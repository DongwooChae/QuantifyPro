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11월\★아이엠엠인베스트먼트\페트라8호, 페트라9호(박상현매니저)_NPS\디스트릭트코리아(강성은)_2409_NPS\2.당기평가\"/>
    </mc:Choice>
  </mc:AlternateContent>
  <bookViews>
    <workbookView xWindow="0" yWindow="0" windowWidth="28800" windowHeight="11955" tabRatio="882" activeTab="10"/>
  </bookViews>
  <sheets>
    <sheet name="재무위험" sheetId="49" r:id="rId1"/>
    <sheet name="재투자" sheetId="32" r:id="rId2"/>
    <sheet name="BS(과거)" sheetId="53" r:id="rId3"/>
    <sheet name="IS(과거)" sheetId="54" r:id="rId4"/>
    <sheet name="BS(분기)" sheetId="55" r:id="rId5"/>
    <sheet name="IS(분기)" sheetId="56" r:id="rId6"/>
    <sheet name="BS" sheetId="7" r:id="rId7"/>
    <sheet name="IS" sheetId="46" r:id="rId8"/>
    <sheet name="RAW" sheetId="52" r:id="rId9"/>
    <sheet name="가결산" sheetId="4" r:id="rId10"/>
    <sheet name="입력" sheetId="1" r:id="rId11"/>
    <sheet name="입력 (자동화)" sheetId="63" r:id="rId12"/>
    <sheet name="가결산 (2)" sheetId="64" r:id="rId13"/>
    <sheet name="재무상태표" sheetId="57" r:id="rId14"/>
    <sheet name="손익계산서" sheetId="58" r:id="rId15"/>
    <sheet name="현금흐름표" sheetId="59" r:id="rId16"/>
    <sheet name="Sheet1" sheetId="60" r:id="rId17"/>
  </sheets>
  <definedNames>
    <definedName name="유동자산">'입력 (자동화)'!$J$5:$J$15</definedName>
  </definedNames>
  <calcPr calcId="162913"/>
</workbook>
</file>

<file path=xl/calcChain.xml><?xml version="1.0" encoding="utf-8"?>
<calcChain xmlns="http://schemas.openxmlformats.org/spreadsheetml/2006/main">
  <c r="D301" i="1" l="1"/>
  <c r="D251" i="1"/>
  <c r="D186" i="1"/>
  <c r="D163" i="1"/>
  <c r="D5" i="1" l="1"/>
  <c r="D100" i="1" l="1"/>
  <c r="D91" i="1" s="1"/>
  <c r="D93" i="1"/>
  <c r="D78" i="1"/>
  <c r="E39" i="1" l="1"/>
  <c r="D39" i="1"/>
  <c r="D38" i="1" l="1"/>
  <c r="D249" i="1"/>
  <c r="D184" i="1"/>
  <c r="D134" i="1"/>
  <c r="D87" i="1" l="1"/>
  <c r="D76" i="1" s="1"/>
  <c r="D55" i="1" l="1"/>
  <c r="F134" i="1" l="1"/>
  <c r="D133" i="1"/>
  <c r="D183" i="1" s="1"/>
  <c r="D31" i="1"/>
  <c r="D314" i="1" l="1"/>
  <c r="D313" i="1"/>
  <c r="D312" i="1"/>
  <c r="D311" i="1"/>
  <c r="D310" i="1"/>
  <c r="C186" i="1" l="1"/>
  <c r="D61" i="4" l="1"/>
  <c r="D66" i="4" l="1"/>
  <c r="D62" i="4"/>
  <c r="N41" i="4" l="1"/>
  <c r="D71" i="1"/>
  <c r="D30" i="1" s="1"/>
  <c r="D4" i="1"/>
  <c r="D25" i="4" l="1"/>
  <c r="C14" i="1" l="1"/>
  <c r="D8" i="4" l="1"/>
  <c r="D22" i="4" l="1"/>
  <c r="T202" i="63" l="1"/>
  <c r="T201" i="63"/>
  <c r="T200" i="63"/>
  <c r="T199" i="63"/>
  <c r="T198" i="63"/>
  <c r="T197" i="63"/>
  <c r="T196" i="63"/>
  <c r="T195" i="63"/>
  <c r="T194" i="63"/>
  <c r="T193" i="63"/>
  <c r="T192" i="63"/>
  <c r="T191" i="63"/>
  <c r="T190" i="63"/>
  <c r="T189" i="63"/>
  <c r="T188" i="63"/>
  <c r="T187" i="63"/>
  <c r="T186" i="63"/>
  <c r="T185" i="63"/>
  <c r="T184" i="63"/>
  <c r="T183" i="63"/>
  <c r="T182" i="63"/>
  <c r="T181" i="63"/>
  <c r="T180" i="63"/>
  <c r="T179" i="63"/>
  <c r="T178" i="63"/>
  <c r="T177" i="63"/>
  <c r="T176" i="63"/>
  <c r="T175" i="63"/>
  <c r="T174" i="63"/>
  <c r="T173" i="63"/>
  <c r="T172" i="63"/>
  <c r="T171" i="63"/>
  <c r="T170" i="63"/>
  <c r="T169" i="63"/>
  <c r="T168" i="63"/>
  <c r="T167" i="63"/>
  <c r="T166" i="63"/>
  <c r="T165" i="63"/>
  <c r="T164" i="63"/>
  <c r="T163" i="63"/>
  <c r="T162" i="63"/>
  <c r="T161" i="63"/>
  <c r="T160" i="63"/>
  <c r="T159" i="63"/>
  <c r="T158" i="63"/>
  <c r="T157" i="63"/>
  <c r="T156" i="63"/>
  <c r="T155" i="63"/>
  <c r="T154" i="63"/>
  <c r="T153" i="63"/>
  <c r="T152" i="63"/>
  <c r="T151" i="63"/>
  <c r="T150" i="63"/>
  <c r="T149" i="63"/>
  <c r="T148" i="63"/>
  <c r="T147" i="63"/>
  <c r="T146" i="63"/>
  <c r="T145" i="63"/>
  <c r="T144" i="63"/>
  <c r="T143" i="63"/>
  <c r="T142" i="63"/>
  <c r="T141" i="63"/>
  <c r="T140" i="63"/>
  <c r="T139" i="63"/>
  <c r="T138" i="63"/>
  <c r="T137" i="63"/>
  <c r="T136" i="63"/>
  <c r="T135" i="63"/>
  <c r="T134" i="63"/>
  <c r="T133" i="63"/>
  <c r="T132" i="63"/>
  <c r="T131" i="63"/>
  <c r="T130" i="63"/>
  <c r="T129" i="63"/>
  <c r="T128" i="63"/>
  <c r="T127" i="63"/>
  <c r="T126" i="63"/>
  <c r="T125" i="63"/>
  <c r="T124" i="63"/>
  <c r="T123" i="63"/>
  <c r="T122" i="63"/>
  <c r="T121" i="63"/>
  <c r="T120" i="63"/>
  <c r="T119" i="63"/>
  <c r="T118" i="63"/>
  <c r="T117" i="63"/>
  <c r="T116" i="63"/>
  <c r="T115" i="63"/>
  <c r="T114" i="63"/>
  <c r="T113" i="63"/>
  <c r="T112" i="63"/>
  <c r="T111" i="63"/>
  <c r="T110" i="63"/>
  <c r="T109" i="63"/>
  <c r="T108" i="63"/>
  <c r="T107" i="63"/>
  <c r="T106" i="63"/>
  <c r="T105" i="63"/>
  <c r="T104" i="63"/>
  <c r="T103" i="63"/>
  <c r="C308" i="63" l="1"/>
  <c r="C307" i="63"/>
  <c r="C306" i="63"/>
  <c r="C305" i="63"/>
  <c r="C304" i="63"/>
  <c r="C303" i="63"/>
  <c r="C302" i="63"/>
  <c r="C299" i="63"/>
  <c r="C298" i="63"/>
  <c r="C297" i="63"/>
  <c r="C296" i="63"/>
  <c r="D295" i="63"/>
  <c r="C295" i="63"/>
  <c r="C294" i="63"/>
  <c r="C293" i="63"/>
  <c r="C292" i="63"/>
  <c r="C291" i="63"/>
  <c r="C290" i="63"/>
  <c r="C289" i="63"/>
  <c r="C288" i="63"/>
  <c r="C287" i="63"/>
  <c r="C286" i="63"/>
  <c r="C285" i="63"/>
  <c r="C284" i="63"/>
  <c r="C283" i="63"/>
  <c r="C282" i="63"/>
  <c r="C281" i="63"/>
  <c r="C280" i="63"/>
  <c r="C279" i="63"/>
  <c r="C278" i="63"/>
  <c r="C277" i="63"/>
  <c r="C276" i="63"/>
  <c r="C275" i="63"/>
  <c r="C274" i="63"/>
  <c r="C273" i="63"/>
  <c r="C272" i="63"/>
  <c r="C271" i="63"/>
  <c r="C270" i="63"/>
  <c r="C269" i="63"/>
  <c r="C268" i="63"/>
  <c r="C267" i="63"/>
  <c r="C266" i="63"/>
  <c r="C265" i="63"/>
  <c r="C264" i="63"/>
  <c r="C263" i="63"/>
  <c r="C262" i="63"/>
  <c r="C261" i="63"/>
  <c r="C260" i="63"/>
  <c r="C259" i="63"/>
  <c r="C258" i="63"/>
  <c r="C257" i="63"/>
  <c r="C256" i="63"/>
  <c r="C255" i="63"/>
  <c r="C254" i="63"/>
  <c r="C253" i="63"/>
  <c r="C252" i="63"/>
  <c r="C251" i="63"/>
  <c r="C250" i="63"/>
  <c r="C249" i="63"/>
  <c r="C248" i="63"/>
  <c r="C247" i="63"/>
  <c r="C246" i="63"/>
  <c r="C245" i="63"/>
  <c r="D244" i="63"/>
  <c r="D243" i="63"/>
  <c r="C243" i="63"/>
  <c r="D242" i="63"/>
  <c r="C242" i="63"/>
  <c r="C241" i="63"/>
  <c r="C240" i="63"/>
  <c r="C239" i="63"/>
  <c r="C238" i="63"/>
  <c r="C237" i="63"/>
  <c r="C236" i="63"/>
  <c r="C235" i="63"/>
  <c r="C234" i="63"/>
  <c r="C233" i="63"/>
  <c r="C232" i="63"/>
  <c r="C231" i="63"/>
  <c r="C230" i="63"/>
  <c r="C229" i="63"/>
  <c r="C228" i="63"/>
  <c r="C227" i="63"/>
  <c r="C226" i="63"/>
  <c r="C225" i="63"/>
  <c r="C224" i="63"/>
  <c r="C223" i="63"/>
  <c r="C222" i="63"/>
  <c r="C221" i="63"/>
  <c r="C220" i="63"/>
  <c r="C219" i="63"/>
  <c r="C218" i="63"/>
  <c r="C217" i="63"/>
  <c r="C216" i="63"/>
  <c r="C215" i="63"/>
  <c r="C214" i="63"/>
  <c r="C213" i="63"/>
  <c r="C212" i="63"/>
  <c r="C211" i="63"/>
  <c r="C210" i="63"/>
  <c r="C209" i="63"/>
  <c r="C208" i="63"/>
  <c r="C207" i="63"/>
  <c r="C206" i="63"/>
  <c r="C205" i="63"/>
  <c r="C204" i="63"/>
  <c r="C203" i="63"/>
  <c r="C202" i="63"/>
  <c r="C201" i="63"/>
  <c r="C200" i="63"/>
  <c r="C199" i="63"/>
  <c r="C198" i="63"/>
  <c r="C197" i="63"/>
  <c r="C196" i="63"/>
  <c r="C195" i="63"/>
  <c r="C194" i="63"/>
  <c r="C193" i="63"/>
  <c r="C192" i="63"/>
  <c r="C191" i="63"/>
  <c r="C190" i="63"/>
  <c r="C189" i="63"/>
  <c r="C188" i="63"/>
  <c r="C187" i="63"/>
  <c r="C186" i="63"/>
  <c r="C185" i="63"/>
  <c r="C184" i="63"/>
  <c r="C183" i="63"/>
  <c r="C182" i="63"/>
  <c r="C181" i="63"/>
  <c r="C180" i="63"/>
  <c r="D178" i="63"/>
  <c r="C178" i="63"/>
  <c r="C177" i="63"/>
  <c r="D176" i="63"/>
  <c r="C176" i="63"/>
  <c r="C175" i="63"/>
  <c r="C174" i="63"/>
  <c r="C173" i="63"/>
  <c r="C172" i="63"/>
  <c r="C171" i="63"/>
  <c r="C170" i="63"/>
  <c r="C169" i="63"/>
  <c r="C168" i="63"/>
  <c r="C167" i="63"/>
  <c r="C166" i="63"/>
  <c r="C165" i="63"/>
  <c r="C164" i="63"/>
  <c r="C163" i="63"/>
  <c r="C162" i="63"/>
  <c r="C161" i="63"/>
  <c r="C160" i="63"/>
  <c r="C159" i="63"/>
  <c r="C158" i="63"/>
  <c r="C157" i="63"/>
  <c r="C156" i="63"/>
  <c r="C155" i="63"/>
  <c r="C154" i="63"/>
  <c r="C153" i="63"/>
  <c r="C152" i="63"/>
  <c r="C151" i="63"/>
  <c r="C150" i="63"/>
  <c r="C149" i="63"/>
  <c r="C148" i="63"/>
  <c r="C147" i="63"/>
  <c r="C146" i="63"/>
  <c r="C145" i="63"/>
  <c r="C144" i="63"/>
  <c r="C143" i="63"/>
  <c r="C142" i="63"/>
  <c r="C141" i="63"/>
  <c r="C140" i="63"/>
  <c r="C139" i="63"/>
  <c r="C138" i="63"/>
  <c r="C137" i="63"/>
  <c r="C136" i="63"/>
  <c r="C135" i="63"/>
  <c r="C134" i="63"/>
  <c r="C133" i="63"/>
  <c r="C132" i="63"/>
  <c r="C131" i="63"/>
  <c r="C130" i="63"/>
  <c r="C129" i="63"/>
  <c r="D128" i="63"/>
  <c r="C128" i="63"/>
  <c r="D127" i="63"/>
  <c r="D177" i="63" s="1"/>
  <c r="D296" i="63" s="1"/>
  <c r="D298" i="63" s="1"/>
  <c r="D299" i="63" s="1"/>
  <c r="G124" i="63" s="1"/>
  <c r="D123" i="63" s="1"/>
  <c r="C127" i="63"/>
  <c r="C126" i="63"/>
  <c r="C125" i="63"/>
  <c r="C120" i="63"/>
  <c r="C119" i="63"/>
  <c r="D114" i="63"/>
  <c r="C114" i="63"/>
  <c r="D110" i="63"/>
  <c r="C110" i="63"/>
  <c r="C106" i="63"/>
  <c r="D105" i="63"/>
  <c r="C105" i="63"/>
  <c r="D101" i="63"/>
  <c r="C101" i="63"/>
  <c r="C100" i="63"/>
  <c r="C99" i="63"/>
  <c r="C98" i="63"/>
  <c r="D97" i="63"/>
  <c r="C97" i="63"/>
  <c r="C96" i="63"/>
  <c r="C95" i="63"/>
  <c r="D94" i="63"/>
  <c r="C94" i="63"/>
  <c r="C93" i="63"/>
  <c r="C92" i="63"/>
  <c r="C91" i="63"/>
  <c r="C90" i="63"/>
  <c r="C89" i="63"/>
  <c r="C88" i="63"/>
  <c r="D87" i="63"/>
  <c r="C87" i="63"/>
  <c r="C86" i="63"/>
  <c r="C85" i="63"/>
  <c r="C84" i="63"/>
  <c r="C83" i="63"/>
  <c r="C82" i="63"/>
  <c r="D81" i="63"/>
  <c r="C81" i="63"/>
  <c r="C80" i="63"/>
  <c r="C79" i="63"/>
  <c r="C78" i="63"/>
  <c r="C77" i="63"/>
  <c r="C76" i="63"/>
  <c r="C75" i="63"/>
  <c r="C74" i="63"/>
  <c r="C73" i="63"/>
  <c r="D72" i="63"/>
  <c r="C72" i="63"/>
  <c r="C71" i="63"/>
  <c r="C70" i="63"/>
  <c r="C69" i="63"/>
  <c r="C68" i="63"/>
  <c r="C67" i="63"/>
  <c r="D66" i="63"/>
  <c r="C66" i="63"/>
  <c r="D50" i="63"/>
  <c r="C50" i="63"/>
  <c r="C35" i="63"/>
  <c r="E34" i="63"/>
  <c r="D34" i="63"/>
  <c r="D33" i="63" s="1"/>
  <c r="C34" i="63"/>
  <c r="C33" i="63"/>
  <c r="C32" i="63"/>
  <c r="C31" i="63"/>
  <c r="C30" i="63"/>
  <c r="C29" i="63"/>
  <c r="C28" i="63"/>
  <c r="D27" i="63"/>
  <c r="D26" i="63" s="1"/>
  <c r="C27" i="63"/>
  <c r="C26" i="63"/>
  <c r="D16" i="63"/>
  <c r="C16" i="63"/>
  <c r="C15" i="63"/>
  <c r="C14" i="63"/>
  <c r="C13" i="63"/>
  <c r="C12" i="63"/>
  <c r="C11" i="63"/>
  <c r="C10" i="63"/>
  <c r="C9" i="63"/>
  <c r="C8" i="63"/>
  <c r="C7" i="63"/>
  <c r="C6" i="63"/>
  <c r="C5" i="63"/>
  <c r="D4" i="63"/>
  <c r="D3" i="63" s="1"/>
  <c r="C4" i="63"/>
  <c r="C3" i="63"/>
  <c r="D70" i="63" l="1"/>
  <c r="D96" i="63" s="1"/>
  <c r="D120" i="63" s="1"/>
  <c r="D1" i="63" s="1"/>
  <c r="D69" i="63"/>
  <c r="D85" i="63"/>
  <c r="D119" i="63"/>
  <c r="E3" i="52" l="1"/>
  <c r="C3" i="52"/>
  <c r="G2" i="4" s="1"/>
  <c r="C232" i="1" l="1"/>
  <c r="C150" i="1"/>
  <c r="H18" i="1" l="1"/>
  <c r="H248" i="1" l="1"/>
  <c r="H78" i="1"/>
  <c r="H103" i="1"/>
  <c r="H93" i="1"/>
  <c r="H71" i="1"/>
  <c r="H39" i="1"/>
  <c r="I39" i="1"/>
  <c r="H38" i="1" l="1"/>
  <c r="T24" i="49" l="1"/>
  <c r="T23" i="49"/>
  <c r="T22" i="49"/>
  <c r="T21" i="49"/>
  <c r="T20" i="49"/>
  <c r="T19" i="49"/>
  <c r="T18" i="49"/>
  <c r="T17" i="49"/>
  <c r="T16" i="49"/>
  <c r="T15" i="49"/>
  <c r="T14" i="49"/>
  <c r="T13" i="49"/>
  <c r="T12" i="49"/>
  <c r="T11" i="49"/>
  <c r="T10" i="49"/>
  <c r="T9" i="49"/>
  <c r="T8" i="49"/>
  <c r="T7" i="49"/>
  <c r="T6" i="49"/>
  <c r="T5" i="49"/>
  <c r="T4" i="49"/>
  <c r="T3" i="49"/>
  <c r="T2" i="49"/>
  <c r="F255" i="4" l="1"/>
  <c r="F254" i="4"/>
  <c r="F252" i="4"/>
  <c r="F251" i="4"/>
  <c r="F250" i="4"/>
  <c r="F244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I215" i="4" s="1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5" i="4"/>
  <c r="F74" i="4"/>
  <c r="F66" i="4"/>
  <c r="F63" i="4"/>
  <c r="F62" i="4"/>
  <c r="F61" i="4"/>
  <c r="F58" i="4"/>
  <c r="F56" i="4"/>
  <c r="F55" i="4"/>
  <c r="F54" i="4"/>
  <c r="F53" i="4"/>
  <c r="F52" i="4"/>
  <c r="F51" i="4"/>
  <c r="F49" i="4"/>
  <c r="F47" i="4"/>
  <c r="F46" i="4"/>
  <c r="I46" i="4" s="1"/>
  <c r="F45" i="4"/>
  <c r="F43" i="4"/>
  <c r="F42" i="4"/>
  <c r="F41" i="4"/>
  <c r="F40" i="4"/>
  <c r="F39" i="4"/>
  <c r="F38" i="4"/>
  <c r="F37" i="4"/>
  <c r="F36" i="4"/>
  <c r="F34" i="4"/>
  <c r="F31" i="4"/>
  <c r="F30" i="4"/>
  <c r="F28" i="4"/>
  <c r="F26" i="4"/>
  <c r="F23" i="4"/>
  <c r="F22" i="4"/>
  <c r="F21" i="4"/>
  <c r="F20" i="4"/>
  <c r="F19" i="4"/>
  <c r="F15" i="4"/>
  <c r="F14" i="4"/>
  <c r="F13" i="4"/>
  <c r="F12" i="4"/>
  <c r="F11" i="4"/>
  <c r="F10" i="4"/>
  <c r="F9" i="4"/>
  <c r="F8" i="4"/>
  <c r="F7" i="4"/>
  <c r="F6" i="4"/>
  <c r="F5" i="4"/>
  <c r="D255" i="4"/>
  <c r="D254" i="4"/>
  <c r="D252" i="4"/>
  <c r="D251" i="4"/>
  <c r="D250" i="4"/>
  <c r="D244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5" i="4"/>
  <c r="D74" i="4"/>
  <c r="D63" i="4"/>
  <c r="D58" i="4"/>
  <c r="D56" i="4"/>
  <c r="D55" i="4"/>
  <c r="D54" i="4"/>
  <c r="D53" i="4"/>
  <c r="D52" i="4"/>
  <c r="D51" i="4"/>
  <c r="D49" i="4"/>
  <c r="D47" i="4"/>
  <c r="D46" i="4"/>
  <c r="D45" i="4"/>
  <c r="D43" i="4"/>
  <c r="D42" i="4"/>
  <c r="D41" i="4"/>
  <c r="D40" i="4"/>
  <c r="D39" i="4"/>
  <c r="D38" i="4"/>
  <c r="D37" i="4"/>
  <c r="D36" i="4"/>
  <c r="D34" i="4"/>
  <c r="D31" i="4"/>
  <c r="D30" i="4"/>
  <c r="D28" i="4"/>
  <c r="D26" i="4"/>
  <c r="D23" i="4"/>
  <c r="D21" i="4"/>
  <c r="D20" i="4"/>
  <c r="D19" i="4"/>
  <c r="D15" i="4"/>
  <c r="D14" i="4"/>
  <c r="D13" i="4"/>
  <c r="D12" i="4"/>
  <c r="D11" i="4"/>
  <c r="D10" i="4"/>
  <c r="D9" i="4"/>
  <c r="D7" i="4"/>
  <c r="D6" i="4"/>
  <c r="D5" i="4"/>
  <c r="N1114" i="52" l="1"/>
  <c r="O1114" i="52"/>
  <c r="P1114" i="52"/>
  <c r="Q1114" i="52"/>
  <c r="R1114" i="52"/>
  <c r="N1115" i="52"/>
  <c r="O1115" i="52"/>
  <c r="P1115" i="52"/>
  <c r="Q1115" i="52"/>
  <c r="R1115" i="52"/>
  <c r="N1116" i="52"/>
  <c r="O1116" i="52"/>
  <c r="P1116" i="52"/>
  <c r="Q1116" i="52"/>
  <c r="R1116" i="52"/>
  <c r="N1117" i="52"/>
  <c r="O1117" i="52"/>
  <c r="P1117" i="52"/>
  <c r="Q1117" i="52"/>
  <c r="R1117" i="52"/>
  <c r="R1113" i="52"/>
  <c r="AB24" i="49" s="1"/>
  <c r="Q1113" i="52"/>
  <c r="AC24" i="49" s="1"/>
  <c r="P1113" i="52"/>
  <c r="AD24" i="49" s="1"/>
  <c r="O1113" i="52"/>
  <c r="AE24" i="49" s="1"/>
  <c r="N1113" i="52"/>
  <c r="AF24" i="49" s="1"/>
  <c r="N793" i="52"/>
  <c r="O793" i="52"/>
  <c r="P793" i="52"/>
  <c r="Q793" i="52"/>
  <c r="R793" i="52"/>
  <c r="N794" i="52"/>
  <c r="O794" i="52"/>
  <c r="P794" i="52"/>
  <c r="Q794" i="52"/>
  <c r="R794" i="52"/>
  <c r="N795" i="52"/>
  <c r="O795" i="52"/>
  <c r="P795" i="52"/>
  <c r="Q795" i="52"/>
  <c r="R795" i="52"/>
  <c r="N796" i="52"/>
  <c r="O796" i="52"/>
  <c r="P796" i="52"/>
  <c r="Q796" i="52"/>
  <c r="R796" i="52"/>
  <c r="N797" i="52"/>
  <c r="O797" i="52"/>
  <c r="P797" i="52"/>
  <c r="Q797" i="52"/>
  <c r="R797" i="52"/>
  <c r="N798" i="52"/>
  <c r="O798" i="52"/>
  <c r="P798" i="52"/>
  <c r="Q798" i="52"/>
  <c r="R798" i="52"/>
  <c r="N799" i="52"/>
  <c r="O799" i="52"/>
  <c r="P799" i="52"/>
  <c r="Q799" i="52"/>
  <c r="R799" i="52"/>
  <c r="N800" i="52"/>
  <c r="O800" i="52"/>
  <c r="P800" i="52"/>
  <c r="Q800" i="52"/>
  <c r="R800" i="52"/>
  <c r="N801" i="52"/>
  <c r="O801" i="52"/>
  <c r="P801" i="52"/>
  <c r="Q801" i="52"/>
  <c r="R801" i="52"/>
  <c r="N802" i="52"/>
  <c r="O802" i="52"/>
  <c r="P802" i="52"/>
  <c r="Q802" i="52"/>
  <c r="R802" i="52"/>
  <c r="N803" i="52"/>
  <c r="O803" i="52"/>
  <c r="P803" i="52"/>
  <c r="Q803" i="52"/>
  <c r="R803" i="52"/>
  <c r="N804" i="52"/>
  <c r="O804" i="52"/>
  <c r="P804" i="52"/>
  <c r="Q804" i="52"/>
  <c r="R804" i="52"/>
  <c r="N805" i="52"/>
  <c r="O805" i="52"/>
  <c r="P805" i="52"/>
  <c r="Q805" i="52"/>
  <c r="R805" i="52"/>
  <c r="N806" i="52"/>
  <c r="O806" i="52"/>
  <c r="P806" i="52"/>
  <c r="Q806" i="52"/>
  <c r="R806" i="52"/>
  <c r="N807" i="52"/>
  <c r="O807" i="52"/>
  <c r="P807" i="52"/>
  <c r="Q807" i="52"/>
  <c r="R807" i="52"/>
  <c r="N808" i="52"/>
  <c r="O808" i="52"/>
  <c r="P808" i="52"/>
  <c r="Q808" i="52"/>
  <c r="R808" i="52"/>
  <c r="N809" i="52"/>
  <c r="O809" i="52"/>
  <c r="P809" i="52"/>
  <c r="Q809" i="52"/>
  <c r="R809" i="52"/>
  <c r="N810" i="52"/>
  <c r="O810" i="52"/>
  <c r="P810" i="52"/>
  <c r="Q810" i="52"/>
  <c r="R810" i="52"/>
  <c r="N811" i="52"/>
  <c r="O811" i="52"/>
  <c r="P811" i="52"/>
  <c r="Q811" i="52"/>
  <c r="R811" i="52"/>
  <c r="N812" i="52"/>
  <c r="O812" i="52"/>
  <c r="P812" i="52"/>
  <c r="Q812" i="52"/>
  <c r="R812" i="52"/>
  <c r="N813" i="52"/>
  <c r="O813" i="52"/>
  <c r="P813" i="52"/>
  <c r="Q813" i="52"/>
  <c r="R813" i="52"/>
  <c r="N814" i="52"/>
  <c r="O814" i="52"/>
  <c r="P814" i="52"/>
  <c r="Q814" i="52"/>
  <c r="R814" i="52"/>
  <c r="N815" i="52"/>
  <c r="O815" i="52"/>
  <c r="P815" i="52"/>
  <c r="Q815" i="52"/>
  <c r="R815" i="52"/>
  <c r="N816" i="52"/>
  <c r="O816" i="52"/>
  <c r="P816" i="52"/>
  <c r="Q816" i="52"/>
  <c r="R816" i="52"/>
  <c r="N817" i="52"/>
  <c r="O817" i="52"/>
  <c r="P817" i="52"/>
  <c r="Q817" i="52"/>
  <c r="R817" i="52"/>
  <c r="N818" i="52"/>
  <c r="O818" i="52"/>
  <c r="P818" i="52"/>
  <c r="Q818" i="52"/>
  <c r="R818" i="52"/>
  <c r="N819" i="52"/>
  <c r="O819" i="52"/>
  <c r="P819" i="52"/>
  <c r="Q819" i="52"/>
  <c r="R819" i="52"/>
  <c r="N820" i="52"/>
  <c r="O820" i="52"/>
  <c r="P820" i="52"/>
  <c r="Q820" i="52"/>
  <c r="R820" i="52"/>
  <c r="N821" i="52"/>
  <c r="O821" i="52"/>
  <c r="P821" i="52"/>
  <c r="Q821" i="52"/>
  <c r="R821" i="52"/>
  <c r="N822" i="52"/>
  <c r="O822" i="52"/>
  <c r="P822" i="52"/>
  <c r="Q822" i="52"/>
  <c r="R822" i="52"/>
  <c r="N823" i="52"/>
  <c r="O823" i="52"/>
  <c r="P823" i="52"/>
  <c r="Q823" i="52"/>
  <c r="R823" i="52"/>
  <c r="N824" i="52"/>
  <c r="O824" i="52"/>
  <c r="P824" i="52"/>
  <c r="Q824" i="52"/>
  <c r="R824" i="52"/>
  <c r="N825" i="52"/>
  <c r="O825" i="52"/>
  <c r="P825" i="52"/>
  <c r="Q825" i="52"/>
  <c r="R825" i="52"/>
  <c r="N826" i="52"/>
  <c r="O826" i="52"/>
  <c r="P826" i="52"/>
  <c r="Q826" i="52"/>
  <c r="R826" i="52"/>
  <c r="N827" i="52"/>
  <c r="O827" i="52"/>
  <c r="P827" i="52"/>
  <c r="Q827" i="52"/>
  <c r="R827" i="52"/>
  <c r="N828" i="52"/>
  <c r="O828" i="52"/>
  <c r="P828" i="52"/>
  <c r="Q828" i="52"/>
  <c r="R828" i="52"/>
  <c r="N829" i="52"/>
  <c r="O829" i="52"/>
  <c r="P829" i="52"/>
  <c r="Q829" i="52"/>
  <c r="R829" i="52"/>
  <c r="N830" i="52"/>
  <c r="E75" i="4" s="1"/>
  <c r="O830" i="52"/>
  <c r="P830" i="52"/>
  <c r="Q830" i="52"/>
  <c r="R830" i="52"/>
  <c r="N831" i="52"/>
  <c r="O831" i="52"/>
  <c r="P831" i="52"/>
  <c r="Q831" i="52"/>
  <c r="R831" i="52"/>
  <c r="N832" i="52"/>
  <c r="O832" i="52"/>
  <c r="P832" i="52"/>
  <c r="Q832" i="52"/>
  <c r="R832" i="52"/>
  <c r="N833" i="52"/>
  <c r="O833" i="52"/>
  <c r="P833" i="52"/>
  <c r="Q833" i="52"/>
  <c r="R833" i="52"/>
  <c r="N834" i="52"/>
  <c r="O834" i="52"/>
  <c r="P834" i="52"/>
  <c r="Q834" i="52"/>
  <c r="R834" i="52"/>
  <c r="N835" i="52"/>
  <c r="O835" i="52"/>
  <c r="P835" i="52"/>
  <c r="Q835" i="52"/>
  <c r="R835" i="52"/>
  <c r="N836" i="52"/>
  <c r="O836" i="52"/>
  <c r="P836" i="52"/>
  <c r="Q836" i="52"/>
  <c r="R836" i="52"/>
  <c r="N837" i="52"/>
  <c r="O837" i="52"/>
  <c r="P837" i="52"/>
  <c r="Q837" i="52"/>
  <c r="R837" i="52"/>
  <c r="N838" i="52"/>
  <c r="O838" i="52"/>
  <c r="P838" i="52"/>
  <c r="Q838" i="52"/>
  <c r="R838" i="52"/>
  <c r="N839" i="52"/>
  <c r="O839" i="52"/>
  <c r="P839" i="52"/>
  <c r="Q839" i="52"/>
  <c r="R839" i="52"/>
  <c r="N840" i="52"/>
  <c r="O840" i="52"/>
  <c r="P840" i="52"/>
  <c r="Q840" i="52"/>
  <c r="R840" i="52"/>
  <c r="N841" i="52"/>
  <c r="O841" i="52"/>
  <c r="P841" i="52"/>
  <c r="Q841" i="52"/>
  <c r="R841" i="52"/>
  <c r="N842" i="52"/>
  <c r="O842" i="52"/>
  <c r="P842" i="52"/>
  <c r="Q842" i="52"/>
  <c r="R842" i="52"/>
  <c r="N843" i="52"/>
  <c r="O843" i="52"/>
  <c r="P843" i="52"/>
  <c r="Q843" i="52"/>
  <c r="R843" i="52"/>
  <c r="N844" i="52"/>
  <c r="O844" i="52"/>
  <c r="P844" i="52"/>
  <c r="Q844" i="52"/>
  <c r="R844" i="52"/>
  <c r="N845" i="52"/>
  <c r="O845" i="52"/>
  <c r="P845" i="52"/>
  <c r="Q845" i="52"/>
  <c r="R845" i="52"/>
  <c r="N846" i="52"/>
  <c r="O846" i="52"/>
  <c r="P846" i="52"/>
  <c r="Q846" i="52"/>
  <c r="R846" i="52"/>
  <c r="N847" i="52"/>
  <c r="O847" i="52"/>
  <c r="P847" i="52"/>
  <c r="Q847" i="52"/>
  <c r="R847" i="52"/>
  <c r="N848" i="52"/>
  <c r="O848" i="52"/>
  <c r="P848" i="52"/>
  <c r="Q848" i="52"/>
  <c r="R848" i="52"/>
  <c r="N849" i="52"/>
  <c r="O849" i="52"/>
  <c r="P849" i="52"/>
  <c r="Q849" i="52"/>
  <c r="R849" i="52"/>
  <c r="N850" i="52"/>
  <c r="O850" i="52"/>
  <c r="P850" i="52"/>
  <c r="Q850" i="52"/>
  <c r="R850" i="52"/>
  <c r="N851" i="52"/>
  <c r="O851" i="52"/>
  <c r="P851" i="52"/>
  <c r="Q851" i="52"/>
  <c r="R851" i="52"/>
  <c r="N852" i="52"/>
  <c r="O852" i="52"/>
  <c r="P852" i="52"/>
  <c r="Q852" i="52"/>
  <c r="R852" i="52"/>
  <c r="N853" i="52"/>
  <c r="O853" i="52"/>
  <c r="P853" i="52"/>
  <c r="Q853" i="52"/>
  <c r="R853" i="52"/>
  <c r="N854" i="52"/>
  <c r="O854" i="52"/>
  <c r="P854" i="52"/>
  <c r="Q854" i="52"/>
  <c r="R854" i="52"/>
  <c r="N855" i="52"/>
  <c r="O855" i="52"/>
  <c r="P855" i="52"/>
  <c r="Q855" i="52"/>
  <c r="R855" i="52"/>
  <c r="N856" i="52"/>
  <c r="O856" i="52"/>
  <c r="P856" i="52"/>
  <c r="Q856" i="52"/>
  <c r="R856" i="52"/>
  <c r="N857" i="52"/>
  <c r="O857" i="52"/>
  <c r="P857" i="52"/>
  <c r="Q857" i="52"/>
  <c r="R857" i="52"/>
  <c r="N858" i="52"/>
  <c r="O858" i="52"/>
  <c r="P858" i="52"/>
  <c r="Q858" i="52"/>
  <c r="R858" i="52"/>
  <c r="N859" i="52"/>
  <c r="O859" i="52"/>
  <c r="P859" i="52"/>
  <c r="Q859" i="52"/>
  <c r="R859" i="52"/>
  <c r="N860" i="52"/>
  <c r="O860" i="52"/>
  <c r="P860" i="52"/>
  <c r="Q860" i="52"/>
  <c r="R860" i="52"/>
  <c r="N861" i="52"/>
  <c r="O861" i="52"/>
  <c r="P861" i="52"/>
  <c r="Q861" i="52"/>
  <c r="R861" i="52"/>
  <c r="N862" i="52"/>
  <c r="O862" i="52"/>
  <c r="P862" i="52"/>
  <c r="Q862" i="52"/>
  <c r="R862" i="52"/>
  <c r="N863" i="52"/>
  <c r="O863" i="52"/>
  <c r="P863" i="52"/>
  <c r="Q863" i="52"/>
  <c r="R863" i="52"/>
  <c r="N864" i="52"/>
  <c r="O864" i="52"/>
  <c r="P864" i="52"/>
  <c r="Q864" i="52"/>
  <c r="R864" i="52"/>
  <c r="N865" i="52"/>
  <c r="O865" i="52"/>
  <c r="P865" i="52"/>
  <c r="Q865" i="52"/>
  <c r="R865" i="52"/>
  <c r="N866" i="52"/>
  <c r="O866" i="52"/>
  <c r="P866" i="52"/>
  <c r="Q866" i="52"/>
  <c r="R866" i="52"/>
  <c r="N867" i="52"/>
  <c r="O867" i="52"/>
  <c r="P867" i="52"/>
  <c r="Q867" i="52"/>
  <c r="R867" i="52"/>
  <c r="N868" i="52"/>
  <c r="O868" i="52"/>
  <c r="P868" i="52"/>
  <c r="Q868" i="52"/>
  <c r="R868" i="52"/>
  <c r="N869" i="52"/>
  <c r="O869" i="52"/>
  <c r="P869" i="52"/>
  <c r="Q869" i="52"/>
  <c r="R869" i="52"/>
  <c r="N870" i="52"/>
  <c r="O870" i="52"/>
  <c r="P870" i="52"/>
  <c r="Q870" i="52"/>
  <c r="R870" i="52"/>
  <c r="N871" i="52"/>
  <c r="E76" i="4" s="1"/>
  <c r="O871" i="52"/>
  <c r="P871" i="52"/>
  <c r="Q871" i="52"/>
  <c r="R871" i="52"/>
  <c r="N872" i="52"/>
  <c r="E77" i="4" s="1"/>
  <c r="O872" i="52"/>
  <c r="P872" i="52"/>
  <c r="Q872" i="52"/>
  <c r="R872" i="52"/>
  <c r="N873" i="52"/>
  <c r="O873" i="52"/>
  <c r="P873" i="52"/>
  <c r="Q873" i="52"/>
  <c r="R873" i="52"/>
  <c r="N874" i="52"/>
  <c r="E78" i="4" s="1"/>
  <c r="O874" i="52"/>
  <c r="P874" i="52"/>
  <c r="Q874" i="52"/>
  <c r="R874" i="52"/>
  <c r="N875" i="52"/>
  <c r="E79" i="4" s="1"/>
  <c r="O875" i="52"/>
  <c r="P875" i="52"/>
  <c r="Q875" i="52"/>
  <c r="R875" i="52"/>
  <c r="N876" i="52"/>
  <c r="E80" i="4" s="1"/>
  <c r="O876" i="52"/>
  <c r="P876" i="52"/>
  <c r="Q876" i="52"/>
  <c r="R876" i="52"/>
  <c r="N877" i="52"/>
  <c r="E81" i="4" s="1"/>
  <c r="O877" i="52"/>
  <c r="P877" i="52"/>
  <c r="Q877" i="52"/>
  <c r="R877" i="52"/>
  <c r="N878" i="52"/>
  <c r="E82" i="4" s="1"/>
  <c r="O878" i="52"/>
  <c r="P878" i="52"/>
  <c r="Q878" i="52"/>
  <c r="R878" i="52"/>
  <c r="N879" i="52"/>
  <c r="E83" i="4" s="1"/>
  <c r="O879" i="52"/>
  <c r="P879" i="52"/>
  <c r="Q879" i="52"/>
  <c r="R879" i="52"/>
  <c r="N880" i="52"/>
  <c r="E84" i="4" s="1"/>
  <c r="O880" i="52"/>
  <c r="P880" i="52"/>
  <c r="Q880" i="52"/>
  <c r="R880" i="52"/>
  <c r="N881" i="52"/>
  <c r="E85" i="4" s="1"/>
  <c r="O881" i="52"/>
  <c r="P881" i="52"/>
  <c r="Q881" i="52"/>
  <c r="R881" i="52"/>
  <c r="N882" i="52"/>
  <c r="E86" i="4" s="1"/>
  <c r="O882" i="52"/>
  <c r="P882" i="52"/>
  <c r="Q882" i="52"/>
  <c r="R882" i="52"/>
  <c r="N883" i="52"/>
  <c r="O883" i="52"/>
  <c r="P883" i="52"/>
  <c r="Q883" i="52"/>
  <c r="R883" i="52"/>
  <c r="N884" i="52"/>
  <c r="E87" i="4" s="1"/>
  <c r="O884" i="52"/>
  <c r="P884" i="52"/>
  <c r="Q884" i="52"/>
  <c r="R884" i="52"/>
  <c r="N885" i="52"/>
  <c r="E88" i="4" s="1"/>
  <c r="O885" i="52"/>
  <c r="P885" i="52"/>
  <c r="Q885" i="52"/>
  <c r="R885" i="52"/>
  <c r="N886" i="52"/>
  <c r="E89" i="4" s="1"/>
  <c r="O886" i="52"/>
  <c r="P886" i="52"/>
  <c r="Q886" i="52"/>
  <c r="R886" i="52"/>
  <c r="N887" i="52"/>
  <c r="E90" i="4" s="1"/>
  <c r="O887" i="52"/>
  <c r="P887" i="52"/>
  <c r="Q887" i="52"/>
  <c r="R887" i="52"/>
  <c r="N888" i="52"/>
  <c r="E91" i="4" s="1"/>
  <c r="O888" i="52"/>
  <c r="P888" i="52"/>
  <c r="Q888" i="52"/>
  <c r="R888" i="52"/>
  <c r="N889" i="52"/>
  <c r="E92" i="4" s="1"/>
  <c r="O889" i="52"/>
  <c r="P889" i="52"/>
  <c r="Q889" i="52"/>
  <c r="R889" i="52"/>
  <c r="N890" i="52"/>
  <c r="E93" i="4" s="1"/>
  <c r="O890" i="52"/>
  <c r="P890" i="52"/>
  <c r="Q890" i="52"/>
  <c r="R890" i="52"/>
  <c r="N891" i="52"/>
  <c r="E94" i="4" s="1"/>
  <c r="O891" i="52"/>
  <c r="P891" i="52"/>
  <c r="Q891" i="52"/>
  <c r="R891" i="52"/>
  <c r="N892" i="52"/>
  <c r="E95" i="4" s="1"/>
  <c r="O892" i="52"/>
  <c r="P892" i="52"/>
  <c r="Q892" i="52"/>
  <c r="R892" i="52"/>
  <c r="N893" i="52"/>
  <c r="E96" i="4" s="1"/>
  <c r="O893" i="52"/>
  <c r="P893" i="52"/>
  <c r="Q893" i="52"/>
  <c r="R893" i="52"/>
  <c r="N894" i="52"/>
  <c r="E97" i="4" s="1"/>
  <c r="O894" i="52"/>
  <c r="P894" i="52"/>
  <c r="Q894" i="52"/>
  <c r="R894" i="52"/>
  <c r="N895" i="52"/>
  <c r="E98" i="4" s="1"/>
  <c r="O895" i="52"/>
  <c r="P895" i="52"/>
  <c r="Q895" i="52"/>
  <c r="R895" i="52"/>
  <c r="N896" i="52"/>
  <c r="E99" i="4" s="1"/>
  <c r="O896" i="52"/>
  <c r="P896" i="52"/>
  <c r="Q896" i="52"/>
  <c r="R896" i="52"/>
  <c r="N897" i="52"/>
  <c r="E100" i="4" s="1"/>
  <c r="O897" i="52"/>
  <c r="P897" i="52"/>
  <c r="Q897" i="52"/>
  <c r="R897" i="52"/>
  <c r="N898" i="52"/>
  <c r="E101" i="4" s="1"/>
  <c r="O898" i="52"/>
  <c r="P898" i="52"/>
  <c r="Q898" i="52"/>
  <c r="R898" i="52"/>
  <c r="N899" i="52"/>
  <c r="E102" i="4" s="1"/>
  <c r="O899" i="52"/>
  <c r="P899" i="52"/>
  <c r="Q899" i="52"/>
  <c r="R899" i="52"/>
  <c r="N900" i="52"/>
  <c r="E103" i="4" s="1"/>
  <c r="O900" i="52"/>
  <c r="P900" i="52"/>
  <c r="Q900" i="52"/>
  <c r="R900" i="52"/>
  <c r="N901" i="52"/>
  <c r="E104" i="4" s="1"/>
  <c r="O901" i="52"/>
  <c r="P901" i="52"/>
  <c r="Q901" i="52"/>
  <c r="R901" i="52"/>
  <c r="N902" i="52"/>
  <c r="O902" i="52"/>
  <c r="P902" i="52"/>
  <c r="Q902" i="52"/>
  <c r="R902" i="52"/>
  <c r="N903" i="52"/>
  <c r="E105" i="4" s="1"/>
  <c r="O903" i="52"/>
  <c r="P903" i="52"/>
  <c r="Q903" i="52"/>
  <c r="R903" i="52"/>
  <c r="N904" i="52"/>
  <c r="E106" i="4" s="1"/>
  <c r="O904" i="52"/>
  <c r="P904" i="52"/>
  <c r="Q904" i="52"/>
  <c r="R904" i="52"/>
  <c r="N905" i="52"/>
  <c r="E107" i="4" s="1"/>
  <c r="O905" i="52"/>
  <c r="P905" i="52"/>
  <c r="Q905" i="52"/>
  <c r="R905" i="52"/>
  <c r="N906" i="52"/>
  <c r="E108" i="4" s="1"/>
  <c r="O906" i="52"/>
  <c r="P906" i="52"/>
  <c r="Q906" i="52"/>
  <c r="R906" i="52"/>
  <c r="N907" i="52"/>
  <c r="E109" i="4" s="1"/>
  <c r="O907" i="52"/>
  <c r="P907" i="52"/>
  <c r="Q907" i="52"/>
  <c r="R907" i="52"/>
  <c r="N908" i="52"/>
  <c r="E110" i="4" s="1"/>
  <c r="O908" i="52"/>
  <c r="P908" i="52"/>
  <c r="Q908" i="52"/>
  <c r="R908" i="52"/>
  <c r="N909" i="52"/>
  <c r="E111" i="4" s="1"/>
  <c r="O909" i="52"/>
  <c r="P909" i="52"/>
  <c r="Q909" i="52"/>
  <c r="R909" i="52"/>
  <c r="N910" i="52"/>
  <c r="E112" i="4" s="1"/>
  <c r="O910" i="52"/>
  <c r="P910" i="52"/>
  <c r="Q910" i="52"/>
  <c r="R910" i="52"/>
  <c r="N911" i="52"/>
  <c r="E113" i="4" s="1"/>
  <c r="O911" i="52"/>
  <c r="P911" i="52"/>
  <c r="Q911" i="52"/>
  <c r="R911" i="52"/>
  <c r="N912" i="52"/>
  <c r="E114" i="4" s="1"/>
  <c r="O912" i="52"/>
  <c r="P912" i="52"/>
  <c r="Q912" i="52"/>
  <c r="R912" i="52"/>
  <c r="N913" i="52"/>
  <c r="E115" i="4" s="1"/>
  <c r="O913" i="52"/>
  <c r="P913" i="52"/>
  <c r="Q913" i="52"/>
  <c r="R913" i="52"/>
  <c r="N914" i="52"/>
  <c r="E116" i="4" s="1"/>
  <c r="O914" i="52"/>
  <c r="P914" i="52"/>
  <c r="Q914" i="52"/>
  <c r="R914" i="52"/>
  <c r="N915" i="52"/>
  <c r="E117" i="4" s="1"/>
  <c r="O915" i="52"/>
  <c r="P915" i="52"/>
  <c r="Q915" i="52"/>
  <c r="R915" i="52"/>
  <c r="N916" i="52"/>
  <c r="O916" i="52"/>
  <c r="P916" i="52"/>
  <c r="Q916" i="52"/>
  <c r="R916" i="52"/>
  <c r="N917" i="52"/>
  <c r="E118" i="4" s="1"/>
  <c r="O917" i="52"/>
  <c r="P917" i="52"/>
  <c r="Q917" i="52"/>
  <c r="R917" i="52"/>
  <c r="N918" i="52"/>
  <c r="E119" i="4" s="1"/>
  <c r="O918" i="52"/>
  <c r="P918" i="52"/>
  <c r="Q918" i="52"/>
  <c r="R918" i="52"/>
  <c r="N919" i="52"/>
  <c r="E120" i="4" s="1"/>
  <c r="O919" i="52"/>
  <c r="P919" i="52"/>
  <c r="Q919" i="52"/>
  <c r="R919" i="52"/>
  <c r="N920" i="52"/>
  <c r="E121" i="4" s="1"/>
  <c r="O920" i="52"/>
  <c r="P920" i="52"/>
  <c r="Q920" i="52"/>
  <c r="R920" i="52"/>
  <c r="N921" i="52"/>
  <c r="E122" i="4" s="1"/>
  <c r="O921" i="52"/>
  <c r="P921" i="52"/>
  <c r="Q921" i="52"/>
  <c r="R921" i="52"/>
  <c r="N922" i="52"/>
  <c r="E123" i="4" s="1"/>
  <c r="O922" i="52"/>
  <c r="P922" i="52"/>
  <c r="Q922" i="52"/>
  <c r="R922" i="52"/>
  <c r="N923" i="52"/>
  <c r="O923" i="52"/>
  <c r="P923" i="52"/>
  <c r="Q923" i="52"/>
  <c r="R923" i="52"/>
  <c r="N924" i="52"/>
  <c r="O924" i="52"/>
  <c r="P924" i="52"/>
  <c r="Q924" i="52"/>
  <c r="R924" i="52"/>
  <c r="N925" i="52"/>
  <c r="O925" i="52"/>
  <c r="P925" i="52"/>
  <c r="Q925" i="52"/>
  <c r="R925" i="52"/>
  <c r="N926" i="52"/>
  <c r="O926" i="52"/>
  <c r="P926" i="52"/>
  <c r="Q926" i="52"/>
  <c r="R926" i="52"/>
  <c r="N927" i="52"/>
  <c r="O927" i="52"/>
  <c r="P927" i="52"/>
  <c r="Q927" i="52"/>
  <c r="R927" i="52"/>
  <c r="N928" i="52"/>
  <c r="O928" i="52"/>
  <c r="P928" i="52"/>
  <c r="Q928" i="52"/>
  <c r="R928" i="52"/>
  <c r="N929" i="52"/>
  <c r="O929" i="52"/>
  <c r="P929" i="52"/>
  <c r="Q929" i="52"/>
  <c r="R929" i="52"/>
  <c r="N930" i="52"/>
  <c r="O930" i="52"/>
  <c r="P930" i="52"/>
  <c r="Q930" i="52"/>
  <c r="R930" i="52"/>
  <c r="N931" i="52"/>
  <c r="O931" i="52"/>
  <c r="P931" i="52"/>
  <c r="Q931" i="52"/>
  <c r="R931" i="52"/>
  <c r="N932" i="52"/>
  <c r="O932" i="52"/>
  <c r="P932" i="52"/>
  <c r="Q932" i="52"/>
  <c r="R932" i="52"/>
  <c r="N933" i="52"/>
  <c r="O933" i="52"/>
  <c r="P933" i="52"/>
  <c r="Q933" i="52"/>
  <c r="R933" i="52"/>
  <c r="N934" i="52"/>
  <c r="O934" i="52"/>
  <c r="P934" i="52"/>
  <c r="Q934" i="52"/>
  <c r="R934" i="52"/>
  <c r="N935" i="52"/>
  <c r="O935" i="52"/>
  <c r="P935" i="52"/>
  <c r="Q935" i="52"/>
  <c r="R935" i="52"/>
  <c r="N936" i="52"/>
  <c r="O936" i="52"/>
  <c r="P936" i="52"/>
  <c r="Q936" i="52"/>
  <c r="R936" i="52"/>
  <c r="N937" i="52"/>
  <c r="E124" i="4" s="1"/>
  <c r="O937" i="52"/>
  <c r="P937" i="52"/>
  <c r="Q937" i="52"/>
  <c r="R937" i="52"/>
  <c r="N938" i="52"/>
  <c r="E125" i="4" s="1"/>
  <c r="O938" i="52"/>
  <c r="P938" i="52"/>
  <c r="Q938" i="52"/>
  <c r="R938" i="52"/>
  <c r="N939" i="52"/>
  <c r="O939" i="52"/>
  <c r="AE4" i="49" s="1"/>
  <c r="P939" i="52"/>
  <c r="AD4" i="49" s="1"/>
  <c r="Q939" i="52"/>
  <c r="AC4" i="49" s="1"/>
  <c r="R939" i="52"/>
  <c r="AB4" i="49" s="1"/>
  <c r="N940" i="52"/>
  <c r="E127" i="4" s="1"/>
  <c r="O940" i="52"/>
  <c r="P940" i="52"/>
  <c r="Q940" i="52"/>
  <c r="R940" i="52"/>
  <c r="N941" i="52"/>
  <c r="E128" i="4" s="1"/>
  <c r="O941" i="52"/>
  <c r="P941" i="52"/>
  <c r="Q941" i="52"/>
  <c r="R941" i="52"/>
  <c r="N942" i="52"/>
  <c r="E129" i="4" s="1"/>
  <c r="O942" i="52"/>
  <c r="P942" i="52"/>
  <c r="Q942" i="52"/>
  <c r="R942" i="52"/>
  <c r="N943" i="52"/>
  <c r="E130" i="4" s="1"/>
  <c r="O943" i="52"/>
  <c r="P943" i="52"/>
  <c r="Q943" i="52"/>
  <c r="R943" i="52"/>
  <c r="N944" i="52"/>
  <c r="E131" i="4" s="1"/>
  <c r="O944" i="52"/>
  <c r="P944" i="52"/>
  <c r="Q944" i="52"/>
  <c r="R944" i="52"/>
  <c r="N945" i="52"/>
  <c r="O945" i="52"/>
  <c r="P945" i="52"/>
  <c r="Q945" i="52"/>
  <c r="R945" i="52"/>
  <c r="N946" i="52"/>
  <c r="E132" i="4" s="1"/>
  <c r="O946" i="52"/>
  <c r="P946" i="52"/>
  <c r="Q946" i="52"/>
  <c r="R946" i="52"/>
  <c r="N947" i="52"/>
  <c r="E133" i="4" s="1"/>
  <c r="O947" i="52"/>
  <c r="P947" i="52"/>
  <c r="Q947" i="52"/>
  <c r="R947" i="52"/>
  <c r="N948" i="52"/>
  <c r="E134" i="4" s="1"/>
  <c r="O948" i="52"/>
  <c r="P948" i="52"/>
  <c r="Q948" i="52"/>
  <c r="R948" i="52"/>
  <c r="N949" i="52"/>
  <c r="E135" i="4" s="1"/>
  <c r="O949" i="52"/>
  <c r="P949" i="52"/>
  <c r="Q949" i="52"/>
  <c r="R949" i="52"/>
  <c r="N950" i="52"/>
  <c r="E136" i="4" s="1"/>
  <c r="O950" i="52"/>
  <c r="P950" i="52"/>
  <c r="Q950" i="52"/>
  <c r="R950" i="52"/>
  <c r="N951" i="52"/>
  <c r="E137" i="4" s="1"/>
  <c r="O951" i="52"/>
  <c r="P951" i="52"/>
  <c r="Q951" i="52"/>
  <c r="R951" i="52"/>
  <c r="N952" i="52"/>
  <c r="E138" i="4" s="1"/>
  <c r="O952" i="52"/>
  <c r="P952" i="52"/>
  <c r="Q952" i="52"/>
  <c r="R952" i="52"/>
  <c r="N953" i="52"/>
  <c r="E139" i="4" s="1"/>
  <c r="O953" i="52"/>
  <c r="P953" i="52"/>
  <c r="Q953" i="52"/>
  <c r="R953" i="52"/>
  <c r="N954" i="52"/>
  <c r="E140" i="4" s="1"/>
  <c r="O954" i="52"/>
  <c r="P954" i="52"/>
  <c r="Q954" i="52"/>
  <c r="R954" i="52"/>
  <c r="N955" i="52"/>
  <c r="E141" i="4" s="1"/>
  <c r="O955" i="52"/>
  <c r="P955" i="52"/>
  <c r="Q955" i="52"/>
  <c r="R955" i="52"/>
  <c r="N956" i="52"/>
  <c r="E142" i="4" s="1"/>
  <c r="O956" i="52"/>
  <c r="P956" i="52"/>
  <c r="Q956" i="52"/>
  <c r="R956" i="52"/>
  <c r="N957" i="52"/>
  <c r="E143" i="4" s="1"/>
  <c r="O957" i="52"/>
  <c r="P957" i="52"/>
  <c r="Q957" i="52"/>
  <c r="R957" i="52"/>
  <c r="N958" i="52"/>
  <c r="E144" i="4" s="1"/>
  <c r="O958" i="52"/>
  <c r="P958" i="52"/>
  <c r="Q958" i="52"/>
  <c r="R958" i="52"/>
  <c r="N959" i="52"/>
  <c r="E145" i="4" s="1"/>
  <c r="O959" i="52"/>
  <c r="P959" i="52"/>
  <c r="Q959" i="52"/>
  <c r="R959" i="52"/>
  <c r="N960" i="52"/>
  <c r="E146" i="4" s="1"/>
  <c r="O960" i="52"/>
  <c r="P960" i="52"/>
  <c r="Q960" i="52"/>
  <c r="R960" i="52"/>
  <c r="N961" i="52"/>
  <c r="E147" i="4" s="1"/>
  <c r="O961" i="52"/>
  <c r="P961" i="52"/>
  <c r="Q961" i="52"/>
  <c r="R961" i="52"/>
  <c r="N962" i="52"/>
  <c r="E148" i="4" s="1"/>
  <c r="O962" i="52"/>
  <c r="P962" i="52"/>
  <c r="Q962" i="52"/>
  <c r="R962" i="52"/>
  <c r="N963" i="52"/>
  <c r="E149" i="4" s="1"/>
  <c r="O963" i="52"/>
  <c r="P963" i="52"/>
  <c r="Q963" i="52"/>
  <c r="R963" i="52"/>
  <c r="N964" i="52"/>
  <c r="E150" i="4" s="1"/>
  <c r="O964" i="52"/>
  <c r="P964" i="52"/>
  <c r="Q964" i="52"/>
  <c r="R964" i="52"/>
  <c r="N965" i="52"/>
  <c r="E151" i="4" s="1"/>
  <c r="O965" i="52"/>
  <c r="P965" i="52"/>
  <c r="Q965" i="52"/>
  <c r="R965" i="52"/>
  <c r="N966" i="52"/>
  <c r="E152" i="4" s="1"/>
  <c r="O966" i="52"/>
  <c r="P966" i="52"/>
  <c r="Q966" i="52"/>
  <c r="R966" i="52"/>
  <c r="N967" i="52"/>
  <c r="E153" i="4" s="1"/>
  <c r="O967" i="52"/>
  <c r="P967" i="52"/>
  <c r="Q967" i="52"/>
  <c r="R967" i="52"/>
  <c r="N968" i="52"/>
  <c r="E154" i="4" s="1"/>
  <c r="O968" i="52"/>
  <c r="P968" i="52"/>
  <c r="Q968" i="52"/>
  <c r="R968" i="52"/>
  <c r="N969" i="52"/>
  <c r="E155" i="4" s="1"/>
  <c r="O969" i="52"/>
  <c r="P969" i="52"/>
  <c r="Q969" i="52"/>
  <c r="R969" i="52"/>
  <c r="N970" i="52"/>
  <c r="E156" i="4" s="1"/>
  <c r="O970" i="52"/>
  <c r="P970" i="52"/>
  <c r="Q970" i="52"/>
  <c r="R970" i="52"/>
  <c r="N971" i="52"/>
  <c r="E157" i="4" s="1"/>
  <c r="O971" i="52"/>
  <c r="P971" i="52"/>
  <c r="Q971" i="52"/>
  <c r="R971" i="52"/>
  <c r="N972" i="52"/>
  <c r="E158" i="4" s="1"/>
  <c r="O972" i="52"/>
  <c r="P972" i="52"/>
  <c r="Q972" i="52"/>
  <c r="R972" i="52"/>
  <c r="N973" i="52"/>
  <c r="E159" i="4" s="1"/>
  <c r="O973" i="52"/>
  <c r="P973" i="52"/>
  <c r="Q973" i="52"/>
  <c r="R973" i="52"/>
  <c r="N974" i="52"/>
  <c r="E160" i="4" s="1"/>
  <c r="O974" i="52"/>
  <c r="P974" i="52"/>
  <c r="Q974" i="52"/>
  <c r="R974" i="52"/>
  <c r="N975" i="52"/>
  <c r="E161" i="4" s="1"/>
  <c r="O975" i="52"/>
  <c r="P975" i="52"/>
  <c r="Q975" i="52"/>
  <c r="R975" i="52"/>
  <c r="N976" i="52"/>
  <c r="E162" i="4" s="1"/>
  <c r="O976" i="52"/>
  <c r="P976" i="52"/>
  <c r="Q976" i="52"/>
  <c r="R976" i="52"/>
  <c r="N977" i="52"/>
  <c r="E163" i="4" s="1"/>
  <c r="O977" i="52"/>
  <c r="P977" i="52"/>
  <c r="Q977" i="52"/>
  <c r="R977" i="52"/>
  <c r="N978" i="52"/>
  <c r="E164" i="4" s="1"/>
  <c r="O978" i="52"/>
  <c r="P978" i="52"/>
  <c r="Q978" i="52"/>
  <c r="R978" i="52"/>
  <c r="N979" i="52"/>
  <c r="E165" i="4" s="1"/>
  <c r="O979" i="52"/>
  <c r="P979" i="52"/>
  <c r="Q979" i="52"/>
  <c r="R979" i="52"/>
  <c r="N980" i="52"/>
  <c r="E166" i="4" s="1"/>
  <c r="O980" i="52"/>
  <c r="P980" i="52"/>
  <c r="Q980" i="52"/>
  <c r="R980" i="52"/>
  <c r="N981" i="52"/>
  <c r="E167" i="4" s="1"/>
  <c r="O981" i="52"/>
  <c r="P981" i="52"/>
  <c r="Q981" i="52"/>
  <c r="R981" i="52"/>
  <c r="N982" i="52"/>
  <c r="E168" i="4" s="1"/>
  <c r="O982" i="52"/>
  <c r="P982" i="52"/>
  <c r="Q982" i="52"/>
  <c r="R982" i="52"/>
  <c r="N983" i="52"/>
  <c r="E169" i="4" s="1"/>
  <c r="O983" i="52"/>
  <c r="P983" i="52"/>
  <c r="Q983" i="52"/>
  <c r="R983" i="52"/>
  <c r="N984" i="52"/>
  <c r="E170" i="4" s="1"/>
  <c r="O984" i="52"/>
  <c r="P984" i="52"/>
  <c r="Q984" i="52"/>
  <c r="R984" i="52"/>
  <c r="N985" i="52"/>
  <c r="E171" i="4" s="1"/>
  <c r="O985" i="52"/>
  <c r="P985" i="52"/>
  <c r="Q985" i="52"/>
  <c r="R985" i="52"/>
  <c r="N986" i="52"/>
  <c r="E172" i="4" s="1"/>
  <c r="O986" i="52"/>
  <c r="P986" i="52"/>
  <c r="Q986" i="52"/>
  <c r="R986" i="52"/>
  <c r="N987" i="52"/>
  <c r="E173" i="4" s="1"/>
  <c r="O987" i="52"/>
  <c r="P987" i="52"/>
  <c r="Q987" i="52"/>
  <c r="R987" i="52"/>
  <c r="N988" i="52"/>
  <c r="E174" i="4" s="1"/>
  <c r="O988" i="52"/>
  <c r="P988" i="52"/>
  <c r="Q988" i="52"/>
  <c r="R988" i="52"/>
  <c r="N989" i="52"/>
  <c r="E175" i="4" s="1"/>
  <c r="O989" i="52"/>
  <c r="P989" i="52"/>
  <c r="Q989" i="52"/>
  <c r="R989" i="52"/>
  <c r="N990" i="52"/>
  <c r="O990" i="52"/>
  <c r="P990" i="52"/>
  <c r="Q990" i="52"/>
  <c r="R990" i="52"/>
  <c r="N991" i="52"/>
  <c r="E176" i="4" s="1"/>
  <c r="O991" i="52"/>
  <c r="P991" i="52"/>
  <c r="Q991" i="52"/>
  <c r="R991" i="52"/>
  <c r="N992" i="52"/>
  <c r="E177" i="4" s="1"/>
  <c r="O992" i="52"/>
  <c r="P992" i="52"/>
  <c r="Q992" i="52"/>
  <c r="R992" i="52"/>
  <c r="N993" i="52"/>
  <c r="E178" i="4" s="1"/>
  <c r="O993" i="52"/>
  <c r="P993" i="52"/>
  <c r="Q993" i="52"/>
  <c r="R993" i="52"/>
  <c r="N994" i="52"/>
  <c r="E179" i="4" s="1"/>
  <c r="O994" i="52"/>
  <c r="P994" i="52"/>
  <c r="Q994" i="52"/>
  <c r="R994" i="52"/>
  <c r="N995" i="52"/>
  <c r="E180" i="4" s="1"/>
  <c r="O995" i="52"/>
  <c r="P995" i="52"/>
  <c r="Q995" i="52"/>
  <c r="R995" i="52"/>
  <c r="N996" i="52"/>
  <c r="E181" i="4" s="1"/>
  <c r="O996" i="52"/>
  <c r="P996" i="52"/>
  <c r="Q996" i="52"/>
  <c r="R996" i="52"/>
  <c r="N997" i="52"/>
  <c r="E182" i="4" s="1"/>
  <c r="O997" i="52"/>
  <c r="P997" i="52"/>
  <c r="Q997" i="52"/>
  <c r="R997" i="52"/>
  <c r="N998" i="52"/>
  <c r="E183" i="4" s="1"/>
  <c r="O998" i="52"/>
  <c r="P998" i="52"/>
  <c r="Q998" i="52"/>
  <c r="R998" i="52"/>
  <c r="N999" i="52"/>
  <c r="E184" i="4" s="1"/>
  <c r="O999" i="52"/>
  <c r="P999" i="52"/>
  <c r="Q999" i="52"/>
  <c r="R999" i="52"/>
  <c r="N1000" i="52"/>
  <c r="E185" i="4" s="1"/>
  <c r="O1000" i="52"/>
  <c r="P1000" i="52"/>
  <c r="Q1000" i="52"/>
  <c r="R1000" i="52"/>
  <c r="N1001" i="52"/>
  <c r="E186" i="4" s="1"/>
  <c r="O1001" i="52"/>
  <c r="P1001" i="52"/>
  <c r="Q1001" i="52"/>
  <c r="R1001" i="52"/>
  <c r="N1002" i="52"/>
  <c r="E187" i="4" s="1"/>
  <c r="O1002" i="52"/>
  <c r="P1002" i="52"/>
  <c r="Q1002" i="52"/>
  <c r="R1002" i="52"/>
  <c r="N1003" i="52"/>
  <c r="E188" i="4" s="1"/>
  <c r="O1003" i="52"/>
  <c r="P1003" i="52"/>
  <c r="Q1003" i="52"/>
  <c r="R1003" i="52"/>
  <c r="N1004" i="52"/>
  <c r="E189" i="4" s="1"/>
  <c r="O1004" i="52"/>
  <c r="P1004" i="52"/>
  <c r="Q1004" i="52"/>
  <c r="R1004" i="52"/>
  <c r="N1005" i="52"/>
  <c r="E190" i="4" s="1"/>
  <c r="O1005" i="52"/>
  <c r="P1005" i="52"/>
  <c r="Q1005" i="52"/>
  <c r="R1005" i="52"/>
  <c r="N1006" i="52"/>
  <c r="E191" i="4" s="1"/>
  <c r="O1006" i="52"/>
  <c r="P1006" i="52"/>
  <c r="Q1006" i="52"/>
  <c r="R1006" i="52"/>
  <c r="N1007" i="52"/>
  <c r="O1007" i="52"/>
  <c r="AE7" i="49" s="1"/>
  <c r="P1007" i="52"/>
  <c r="AD7" i="49" s="1"/>
  <c r="Q1007" i="52"/>
  <c r="AC7" i="49" s="1"/>
  <c r="R1007" i="52"/>
  <c r="AB7" i="49" s="1"/>
  <c r="N1008" i="52"/>
  <c r="E193" i="4" s="1"/>
  <c r="O1008" i="52"/>
  <c r="P1008" i="52"/>
  <c r="Q1008" i="52"/>
  <c r="R1008" i="52"/>
  <c r="N1009" i="52"/>
  <c r="E194" i="4" s="1"/>
  <c r="O1009" i="52"/>
  <c r="P1009" i="52"/>
  <c r="Q1009" i="52"/>
  <c r="R1009" i="52"/>
  <c r="N1010" i="52"/>
  <c r="E195" i="4" s="1"/>
  <c r="O1010" i="52"/>
  <c r="P1010" i="52"/>
  <c r="Q1010" i="52"/>
  <c r="R1010" i="52"/>
  <c r="N1011" i="52"/>
  <c r="E196" i="4" s="1"/>
  <c r="O1011" i="52"/>
  <c r="P1011" i="52"/>
  <c r="Q1011" i="52"/>
  <c r="R1011" i="52"/>
  <c r="N1012" i="52"/>
  <c r="E197" i="4" s="1"/>
  <c r="O1012" i="52"/>
  <c r="P1012" i="52"/>
  <c r="Q1012" i="52"/>
  <c r="R1012" i="52"/>
  <c r="N1013" i="52"/>
  <c r="E198" i="4" s="1"/>
  <c r="O1013" i="52"/>
  <c r="P1013" i="52"/>
  <c r="Q1013" i="52"/>
  <c r="R1013" i="52"/>
  <c r="N1014" i="52"/>
  <c r="E199" i="4" s="1"/>
  <c r="O1014" i="52"/>
  <c r="P1014" i="52"/>
  <c r="Q1014" i="52"/>
  <c r="R1014" i="52"/>
  <c r="N1015" i="52"/>
  <c r="O1015" i="52"/>
  <c r="AE8" i="49" s="1"/>
  <c r="P1015" i="52"/>
  <c r="AD8" i="49" s="1"/>
  <c r="Q1015" i="52"/>
  <c r="AC8" i="49" s="1"/>
  <c r="R1015" i="52"/>
  <c r="AB8" i="49" s="1"/>
  <c r="N1016" i="52"/>
  <c r="E201" i="4" s="1"/>
  <c r="O1016" i="52"/>
  <c r="P1016" i="52"/>
  <c r="Q1016" i="52"/>
  <c r="R1016" i="52"/>
  <c r="N1017" i="52"/>
  <c r="E202" i="4" s="1"/>
  <c r="O1017" i="52"/>
  <c r="P1017" i="52"/>
  <c r="Q1017" i="52"/>
  <c r="R1017" i="52"/>
  <c r="N1018" i="52"/>
  <c r="E203" i="4" s="1"/>
  <c r="O1018" i="52"/>
  <c r="P1018" i="52"/>
  <c r="Q1018" i="52"/>
  <c r="R1018" i="52"/>
  <c r="N1019" i="52"/>
  <c r="E204" i="4" s="1"/>
  <c r="O1019" i="52"/>
  <c r="P1019" i="52"/>
  <c r="Q1019" i="52"/>
  <c r="R1019" i="52"/>
  <c r="N1020" i="52"/>
  <c r="E205" i="4" s="1"/>
  <c r="O1020" i="52"/>
  <c r="P1020" i="52"/>
  <c r="Q1020" i="52"/>
  <c r="R1020" i="52"/>
  <c r="N1021" i="52"/>
  <c r="E206" i="4" s="1"/>
  <c r="O1021" i="52"/>
  <c r="P1021" i="52"/>
  <c r="Q1021" i="52"/>
  <c r="R1021" i="52"/>
  <c r="N1022" i="52"/>
  <c r="E207" i="4" s="1"/>
  <c r="O1022" i="52"/>
  <c r="P1022" i="52"/>
  <c r="Q1022" i="52"/>
  <c r="R1022" i="52"/>
  <c r="N1023" i="52"/>
  <c r="E208" i="4" s="1"/>
  <c r="O1023" i="52"/>
  <c r="P1023" i="52"/>
  <c r="Q1023" i="52"/>
  <c r="R1023" i="52"/>
  <c r="N1024" i="52"/>
  <c r="O1024" i="52"/>
  <c r="P1024" i="52"/>
  <c r="Q1024" i="52"/>
  <c r="R1024" i="52"/>
  <c r="N1025" i="52"/>
  <c r="O1025" i="52"/>
  <c r="P1025" i="52"/>
  <c r="Q1025" i="52"/>
  <c r="R1025" i="52"/>
  <c r="N1026" i="52"/>
  <c r="O1026" i="52"/>
  <c r="P1026" i="52"/>
  <c r="Q1026" i="52"/>
  <c r="R1026" i="52"/>
  <c r="N1027" i="52"/>
  <c r="O1027" i="52"/>
  <c r="P1027" i="52"/>
  <c r="Q1027" i="52"/>
  <c r="R1027" i="52"/>
  <c r="N1028" i="52"/>
  <c r="O1028" i="52"/>
  <c r="P1028" i="52"/>
  <c r="Q1028" i="52"/>
  <c r="R1028" i="52"/>
  <c r="N1029" i="52"/>
  <c r="O1029" i="52"/>
  <c r="P1029" i="52"/>
  <c r="Q1029" i="52"/>
  <c r="R1029" i="52"/>
  <c r="N1030" i="52"/>
  <c r="O1030" i="52"/>
  <c r="P1030" i="52"/>
  <c r="Q1030" i="52"/>
  <c r="R1030" i="52"/>
  <c r="N1031" i="52"/>
  <c r="O1031" i="52"/>
  <c r="P1031" i="52"/>
  <c r="Q1031" i="52"/>
  <c r="R1031" i="52"/>
  <c r="N1032" i="52"/>
  <c r="O1032" i="52"/>
  <c r="P1032" i="52"/>
  <c r="Q1032" i="52"/>
  <c r="R1032" i="52"/>
  <c r="N1033" i="52"/>
  <c r="E209" i="4" s="1"/>
  <c r="O1033" i="52"/>
  <c r="P1033" i="52"/>
  <c r="Q1033" i="52"/>
  <c r="R1033" i="52"/>
  <c r="N1034" i="52"/>
  <c r="E210" i="4" s="1"/>
  <c r="O1034" i="52"/>
  <c r="P1034" i="52"/>
  <c r="Q1034" i="52"/>
  <c r="R1034" i="52"/>
  <c r="N1035" i="52"/>
  <c r="E211" i="4" s="1"/>
  <c r="O1035" i="52"/>
  <c r="P1035" i="52"/>
  <c r="Q1035" i="52"/>
  <c r="R1035" i="52"/>
  <c r="N1036" i="52"/>
  <c r="E212" i="4" s="1"/>
  <c r="O1036" i="52"/>
  <c r="P1036" i="52"/>
  <c r="Q1036" i="52"/>
  <c r="R1036" i="52"/>
  <c r="N1037" i="52"/>
  <c r="O1037" i="52"/>
  <c r="P1037" i="52"/>
  <c r="Q1037" i="52"/>
  <c r="R1037" i="52"/>
  <c r="N1038" i="52"/>
  <c r="O1038" i="52"/>
  <c r="P1038" i="52"/>
  <c r="Q1038" i="52"/>
  <c r="R1038" i="52"/>
  <c r="N1039" i="52"/>
  <c r="O1039" i="52"/>
  <c r="P1039" i="52"/>
  <c r="Q1039" i="52"/>
  <c r="R1039" i="52"/>
  <c r="N1040" i="52"/>
  <c r="O1040" i="52"/>
  <c r="P1040" i="52"/>
  <c r="Q1040" i="52"/>
  <c r="R1040" i="52"/>
  <c r="N1041" i="52"/>
  <c r="O1041" i="52"/>
  <c r="P1041" i="52"/>
  <c r="Q1041" i="52"/>
  <c r="R1041" i="52"/>
  <c r="N1042" i="52"/>
  <c r="O1042" i="52"/>
  <c r="P1042" i="52"/>
  <c r="Q1042" i="52"/>
  <c r="R1042" i="52"/>
  <c r="N1043" i="52"/>
  <c r="O1043" i="52"/>
  <c r="P1043" i="52"/>
  <c r="Q1043" i="52"/>
  <c r="R1043" i="52"/>
  <c r="N1044" i="52"/>
  <c r="O1044" i="52"/>
  <c r="P1044" i="52"/>
  <c r="Q1044" i="52"/>
  <c r="R1044" i="52"/>
  <c r="N1045" i="52"/>
  <c r="O1045" i="52"/>
  <c r="P1045" i="52"/>
  <c r="Q1045" i="52"/>
  <c r="R1045" i="52"/>
  <c r="N1046" i="52"/>
  <c r="O1046" i="52"/>
  <c r="P1046" i="52"/>
  <c r="Q1046" i="52"/>
  <c r="R1046" i="52"/>
  <c r="N1047" i="52"/>
  <c r="O1047" i="52"/>
  <c r="P1047" i="52"/>
  <c r="Q1047" i="52"/>
  <c r="R1047" i="52"/>
  <c r="N1048" i="52"/>
  <c r="O1048" i="52"/>
  <c r="P1048" i="52"/>
  <c r="Q1048" i="52"/>
  <c r="R1048" i="52"/>
  <c r="N1049" i="52"/>
  <c r="O1049" i="52"/>
  <c r="P1049" i="52"/>
  <c r="Q1049" i="52"/>
  <c r="R1049" i="52"/>
  <c r="N1050" i="52"/>
  <c r="O1050" i="52"/>
  <c r="P1050" i="52"/>
  <c r="Q1050" i="52"/>
  <c r="R1050" i="52"/>
  <c r="N1051" i="52"/>
  <c r="O1051" i="52"/>
  <c r="P1051" i="52"/>
  <c r="Q1051" i="52"/>
  <c r="R1051" i="52"/>
  <c r="N1052" i="52"/>
  <c r="O1052" i="52"/>
  <c r="P1052" i="52"/>
  <c r="Q1052" i="52"/>
  <c r="R1052" i="52"/>
  <c r="N1053" i="52"/>
  <c r="O1053" i="52"/>
  <c r="P1053" i="52"/>
  <c r="Q1053" i="52"/>
  <c r="R1053" i="52"/>
  <c r="N1054" i="52"/>
  <c r="O1054" i="52"/>
  <c r="P1054" i="52"/>
  <c r="Q1054" i="52"/>
  <c r="R1054" i="52"/>
  <c r="N1055" i="52"/>
  <c r="O1055" i="52"/>
  <c r="P1055" i="52"/>
  <c r="Q1055" i="52"/>
  <c r="R1055" i="52"/>
  <c r="N1056" i="52"/>
  <c r="O1056" i="52"/>
  <c r="P1056" i="52"/>
  <c r="Q1056" i="52"/>
  <c r="R1056" i="52"/>
  <c r="N1057" i="52"/>
  <c r="O1057" i="52"/>
  <c r="P1057" i="52"/>
  <c r="Q1057" i="52"/>
  <c r="R1057" i="52"/>
  <c r="N1058" i="52"/>
  <c r="O1058" i="52"/>
  <c r="P1058" i="52"/>
  <c r="Q1058" i="52"/>
  <c r="R1058" i="52"/>
  <c r="N1059" i="52"/>
  <c r="O1059" i="52"/>
  <c r="P1059" i="52"/>
  <c r="Q1059" i="52"/>
  <c r="R1059" i="52"/>
  <c r="N1060" i="52"/>
  <c r="E213" i="4" s="1"/>
  <c r="O1060" i="52"/>
  <c r="P1060" i="52"/>
  <c r="Q1060" i="52"/>
  <c r="R1060" i="52"/>
  <c r="N1061" i="52"/>
  <c r="E214" i="4" s="1"/>
  <c r="O1061" i="52"/>
  <c r="P1061" i="52"/>
  <c r="Q1061" i="52"/>
  <c r="R1061" i="52"/>
  <c r="N1062" i="52"/>
  <c r="E215" i="4" s="1"/>
  <c r="O1062" i="52"/>
  <c r="P1062" i="52"/>
  <c r="Q1062" i="52"/>
  <c r="R1062" i="52"/>
  <c r="N1063" i="52"/>
  <c r="E216" i="4" s="1"/>
  <c r="O1063" i="52"/>
  <c r="P1063" i="52"/>
  <c r="Q1063" i="52"/>
  <c r="R1063" i="52"/>
  <c r="N1064" i="52"/>
  <c r="E217" i="4" s="1"/>
  <c r="O1064" i="52"/>
  <c r="P1064" i="52"/>
  <c r="Q1064" i="52"/>
  <c r="R1064" i="52"/>
  <c r="N1065" i="52"/>
  <c r="E218" i="4" s="1"/>
  <c r="O1065" i="52"/>
  <c r="P1065" i="52"/>
  <c r="Q1065" i="52"/>
  <c r="R1065" i="52"/>
  <c r="N1066" i="52"/>
  <c r="E219" i="4" s="1"/>
  <c r="O1066" i="52"/>
  <c r="P1066" i="52"/>
  <c r="Q1066" i="52"/>
  <c r="R1066" i="52"/>
  <c r="N1067" i="52"/>
  <c r="E220" i="4" s="1"/>
  <c r="O1067" i="52"/>
  <c r="P1067" i="52"/>
  <c r="Q1067" i="52"/>
  <c r="R1067" i="52"/>
  <c r="N1068" i="52"/>
  <c r="E221" i="4" s="1"/>
  <c r="O1068" i="52"/>
  <c r="P1068" i="52"/>
  <c r="Q1068" i="52"/>
  <c r="R1068" i="52"/>
  <c r="N1069" i="52"/>
  <c r="E222" i="4" s="1"/>
  <c r="O1069" i="52"/>
  <c r="P1069" i="52"/>
  <c r="Q1069" i="52"/>
  <c r="R1069" i="52"/>
  <c r="N1070" i="52"/>
  <c r="E223" i="4" s="1"/>
  <c r="O1070" i="52"/>
  <c r="P1070" i="52"/>
  <c r="Q1070" i="52"/>
  <c r="R1070" i="52"/>
  <c r="N1071" i="52"/>
  <c r="E224" i="4" s="1"/>
  <c r="O1071" i="52"/>
  <c r="P1071" i="52"/>
  <c r="Q1071" i="52"/>
  <c r="R1071" i="52"/>
  <c r="N1072" i="52"/>
  <c r="E225" i="4" s="1"/>
  <c r="O1072" i="52"/>
  <c r="P1072" i="52"/>
  <c r="Q1072" i="52"/>
  <c r="R1072" i="52"/>
  <c r="N1073" i="52"/>
  <c r="E226" i="4" s="1"/>
  <c r="O1073" i="52"/>
  <c r="P1073" i="52"/>
  <c r="Q1073" i="52"/>
  <c r="R1073" i="52"/>
  <c r="N1074" i="52"/>
  <c r="E227" i="4" s="1"/>
  <c r="O1074" i="52"/>
  <c r="P1074" i="52"/>
  <c r="Q1074" i="52"/>
  <c r="R1074" i="52"/>
  <c r="N1075" i="52"/>
  <c r="E228" i="4" s="1"/>
  <c r="O1075" i="52"/>
  <c r="P1075" i="52"/>
  <c r="Q1075" i="52"/>
  <c r="R1075" i="52"/>
  <c r="N1076" i="52"/>
  <c r="E229" i="4" s="1"/>
  <c r="O1076" i="52"/>
  <c r="P1076" i="52"/>
  <c r="Q1076" i="52"/>
  <c r="R1076" i="52"/>
  <c r="N1077" i="52"/>
  <c r="E230" i="4" s="1"/>
  <c r="O1077" i="52"/>
  <c r="P1077" i="52"/>
  <c r="Q1077" i="52"/>
  <c r="R1077" i="52"/>
  <c r="N1078" i="52"/>
  <c r="E231" i="4" s="1"/>
  <c r="O1078" i="52"/>
  <c r="P1078" i="52"/>
  <c r="Q1078" i="52"/>
  <c r="R1078" i="52"/>
  <c r="N1079" i="52"/>
  <c r="E232" i="4" s="1"/>
  <c r="O1079" i="52"/>
  <c r="P1079" i="52"/>
  <c r="Q1079" i="52"/>
  <c r="R1079" i="52"/>
  <c r="N1080" i="52"/>
  <c r="E233" i="4" s="1"/>
  <c r="O1080" i="52"/>
  <c r="P1080" i="52"/>
  <c r="Q1080" i="52"/>
  <c r="R1080" i="52"/>
  <c r="N1081" i="52"/>
  <c r="E234" i="4" s="1"/>
  <c r="O1081" i="52"/>
  <c r="P1081" i="52"/>
  <c r="Q1081" i="52"/>
  <c r="R1081" i="52"/>
  <c r="N1082" i="52"/>
  <c r="E235" i="4" s="1"/>
  <c r="O1082" i="52"/>
  <c r="P1082" i="52"/>
  <c r="Q1082" i="52"/>
  <c r="R1082" i="52"/>
  <c r="N1083" i="52"/>
  <c r="E236" i="4" s="1"/>
  <c r="O1083" i="52"/>
  <c r="P1083" i="52"/>
  <c r="Q1083" i="52"/>
  <c r="R1083" i="52"/>
  <c r="N1084" i="52"/>
  <c r="E237" i="4" s="1"/>
  <c r="O1084" i="52"/>
  <c r="P1084" i="52"/>
  <c r="Q1084" i="52"/>
  <c r="R1084" i="52"/>
  <c r="N1085" i="52"/>
  <c r="E238" i="4" s="1"/>
  <c r="O1085" i="52"/>
  <c r="P1085" i="52"/>
  <c r="Q1085" i="52"/>
  <c r="R1085" i="52"/>
  <c r="N1086" i="52"/>
  <c r="E239" i="4" s="1"/>
  <c r="O1086" i="52"/>
  <c r="P1086" i="52"/>
  <c r="Q1086" i="52"/>
  <c r="R1086" i="52"/>
  <c r="N1087" i="52"/>
  <c r="E240" i="4" s="1"/>
  <c r="O1087" i="52"/>
  <c r="P1087" i="52"/>
  <c r="Q1087" i="52"/>
  <c r="R1087" i="52"/>
  <c r="N1088" i="52"/>
  <c r="E241" i="4" s="1"/>
  <c r="O1088" i="52"/>
  <c r="P1088" i="52"/>
  <c r="Q1088" i="52"/>
  <c r="R1088" i="52"/>
  <c r="N1089" i="52"/>
  <c r="E242" i="4" s="1"/>
  <c r="O1089" i="52"/>
  <c r="P1089" i="52"/>
  <c r="Q1089" i="52"/>
  <c r="R1089" i="52"/>
  <c r="N1090" i="52"/>
  <c r="O1090" i="52"/>
  <c r="AE5" i="49" s="1"/>
  <c r="P1090" i="52"/>
  <c r="AD5" i="49" s="1"/>
  <c r="Q1090" i="52"/>
  <c r="AC5" i="49" s="1"/>
  <c r="R1090" i="52"/>
  <c r="AB5" i="49" s="1"/>
  <c r="N1091" i="52"/>
  <c r="E244" i="4" s="1"/>
  <c r="O1091" i="52"/>
  <c r="P1091" i="52"/>
  <c r="Q1091" i="52"/>
  <c r="R1091" i="52"/>
  <c r="N1092" i="52"/>
  <c r="E245" i="4" s="1"/>
  <c r="O1092" i="52"/>
  <c r="P1092" i="52"/>
  <c r="Q1092" i="52"/>
  <c r="R1092" i="52"/>
  <c r="N1093" i="52"/>
  <c r="O1093" i="52"/>
  <c r="P1093" i="52"/>
  <c r="Q1093" i="52"/>
  <c r="R1093" i="52"/>
  <c r="N1094" i="52"/>
  <c r="O1094" i="52"/>
  <c r="P1094" i="52"/>
  <c r="Q1094" i="52"/>
  <c r="R1094" i="52"/>
  <c r="N1095" i="52"/>
  <c r="O1095" i="52"/>
  <c r="P1095" i="52"/>
  <c r="Q1095" i="52"/>
  <c r="R1095" i="52"/>
  <c r="N1096" i="52"/>
  <c r="O1096" i="52"/>
  <c r="P1096" i="52"/>
  <c r="Q1096" i="52"/>
  <c r="R1096" i="52"/>
  <c r="N1097" i="52"/>
  <c r="O1097" i="52"/>
  <c r="P1097" i="52"/>
  <c r="Q1097" i="52"/>
  <c r="R1097" i="52"/>
  <c r="N1098" i="52"/>
  <c r="O1098" i="52"/>
  <c r="P1098" i="52"/>
  <c r="Q1098" i="52"/>
  <c r="R1098" i="52"/>
  <c r="N1099" i="52"/>
  <c r="O1099" i="52"/>
  <c r="P1099" i="52"/>
  <c r="Q1099" i="52"/>
  <c r="R1099" i="52"/>
  <c r="N1100" i="52"/>
  <c r="O1100" i="52"/>
  <c r="P1100" i="52"/>
  <c r="Q1100" i="52"/>
  <c r="R1100" i="52"/>
  <c r="N1101" i="52"/>
  <c r="O1101" i="52"/>
  <c r="P1101" i="52"/>
  <c r="Q1101" i="52"/>
  <c r="R1101" i="52"/>
  <c r="N1102" i="52"/>
  <c r="O1102" i="52"/>
  <c r="P1102" i="52"/>
  <c r="Q1102" i="52"/>
  <c r="R1102" i="52"/>
  <c r="N1103" i="52"/>
  <c r="O1103" i="52"/>
  <c r="P1103" i="52"/>
  <c r="Q1103" i="52"/>
  <c r="R1103" i="52"/>
  <c r="N1104" i="52"/>
  <c r="O1104" i="52"/>
  <c r="P1104" i="52"/>
  <c r="Q1104" i="52"/>
  <c r="R1104" i="52"/>
  <c r="N1105" i="52"/>
  <c r="O1105" i="52"/>
  <c r="P1105" i="52"/>
  <c r="Q1105" i="52"/>
  <c r="R1105" i="52"/>
  <c r="N1106" i="52"/>
  <c r="O1106" i="52"/>
  <c r="AE6" i="49" s="1"/>
  <c r="P1106" i="52"/>
  <c r="AD6" i="49" s="1"/>
  <c r="Q1106" i="52"/>
  <c r="AC6" i="49" s="1"/>
  <c r="R1106" i="52"/>
  <c r="AB6" i="49" s="1"/>
  <c r="N1107" i="52"/>
  <c r="O1107" i="52"/>
  <c r="P1107" i="52"/>
  <c r="Q1107" i="52"/>
  <c r="R1107" i="52"/>
  <c r="N1108" i="52"/>
  <c r="O1108" i="52"/>
  <c r="P1108" i="52"/>
  <c r="Q1108" i="52"/>
  <c r="R1108" i="52"/>
  <c r="N1109" i="52"/>
  <c r="O1109" i="52"/>
  <c r="P1109" i="52"/>
  <c r="Q1109" i="52"/>
  <c r="R1109" i="52"/>
  <c r="N1110" i="52"/>
  <c r="O1110" i="52"/>
  <c r="P1110" i="52"/>
  <c r="Q1110" i="52"/>
  <c r="R1110" i="52"/>
  <c r="N1111" i="52"/>
  <c r="O1111" i="52"/>
  <c r="P1111" i="52"/>
  <c r="Q1111" i="52"/>
  <c r="R1111" i="52"/>
  <c r="O792" i="52"/>
  <c r="AE3" i="49" s="1"/>
  <c r="P792" i="52"/>
  <c r="AD3" i="49" s="1"/>
  <c r="Q792" i="52"/>
  <c r="AC3" i="49" s="1"/>
  <c r="R792" i="52"/>
  <c r="AB3" i="49" s="1"/>
  <c r="N792" i="52"/>
  <c r="N6" i="52"/>
  <c r="O6" i="52"/>
  <c r="P6" i="52"/>
  <c r="Q6" i="52"/>
  <c r="R6" i="52"/>
  <c r="N7" i="52"/>
  <c r="E5" i="4" s="1"/>
  <c r="O7" i="52"/>
  <c r="P7" i="52"/>
  <c r="Q7" i="52"/>
  <c r="R7" i="52"/>
  <c r="N8" i="52"/>
  <c r="O8" i="52"/>
  <c r="P8" i="52"/>
  <c r="Q8" i="52"/>
  <c r="R8" i="52"/>
  <c r="N9" i="52"/>
  <c r="O9" i="52"/>
  <c r="P9" i="52"/>
  <c r="Q9" i="52"/>
  <c r="R9" i="52"/>
  <c r="N10" i="52"/>
  <c r="O10" i="52"/>
  <c r="P10" i="52"/>
  <c r="Q10" i="52"/>
  <c r="R10" i="52"/>
  <c r="N11" i="52"/>
  <c r="O11" i="52"/>
  <c r="P11" i="52"/>
  <c r="Q11" i="52"/>
  <c r="R11" i="52"/>
  <c r="N12" i="52"/>
  <c r="O12" i="52"/>
  <c r="P12" i="52"/>
  <c r="Q12" i="52"/>
  <c r="R12" i="52"/>
  <c r="N13" i="52"/>
  <c r="O13" i="52"/>
  <c r="P13" i="52"/>
  <c r="Q13" i="52"/>
  <c r="R13" i="52"/>
  <c r="N14" i="52"/>
  <c r="O14" i="52"/>
  <c r="P14" i="52"/>
  <c r="Q14" i="52"/>
  <c r="R14" i="52"/>
  <c r="N15" i="52"/>
  <c r="O15" i="52"/>
  <c r="P15" i="52"/>
  <c r="Q15" i="52"/>
  <c r="R15" i="52"/>
  <c r="N16" i="52"/>
  <c r="O16" i="52"/>
  <c r="P16" i="52"/>
  <c r="Q16" i="52"/>
  <c r="R16" i="52"/>
  <c r="N17" i="52"/>
  <c r="O17" i="52"/>
  <c r="P17" i="52"/>
  <c r="Q17" i="52"/>
  <c r="R17" i="52"/>
  <c r="N18" i="52"/>
  <c r="E6" i="4" s="1"/>
  <c r="O18" i="52"/>
  <c r="P18" i="52"/>
  <c r="Q18" i="52"/>
  <c r="R18" i="52"/>
  <c r="N19" i="52"/>
  <c r="O19" i="52"/>
  <c r="P19" i="52"/>
  <c r="Q19" i="52"/>
  <c r="R19" i="52"/>
  <c r="N20" i="52"/>
  <c r="O20" i="52"/>
  <c r="P20" i="52"/>
  <c r="Q20" i="52"/>
  <c r="R20" i="52"/>
  <c r="N21" i="52"/>
  <c r="O21" i="52"/>
  <c r="P21" i="52"/>
  <c r="Q21" i="52"/>
  <c r="R21" i="52"/>
  <c r="N22" i="52"/>
  <c r="O22" i="52"/>
  <c r="P22" i="52"/>
  <c r="Q22" i="52"/>
  <c r="R22" i="52"/>
  <c r="N23" i="52"/>
  <c r="O23" i="52"/>
  <c r="P23" i="52"/>
  <c r="Q23" i="52"/>
  <c r="R23" i="52"/>
  <c r="N24" i="52"/>
  <c r="O24" i="52"/>
  <c r="P24" i="52"/>
  <c r="Q24" i="52"/>
  <c r="R24" i="52"/>
  <c r="N25" i="52"/>
  <c r="O25" i="52"/>
  <c r="P25" i="52"/>
  <c r="Q25" i="52"/>
  <c r="R25" i="52"/>
  <c r="N26" i="52"/>
  <c r="E7" i="4" s="1"/>
  <c r="O26" i="52"/>
  <c r="P26" i="52"/>
  <c r="Q26" i="52"/>
  <c r="R26" i="52"/>
  <c r="N27" i="52"/>
  <c r="O27" i="52"/>
  <c r="P27" i="52"/>
  <c r="Q27" i="52"/>
  <c r="R27" i="52"/>
  <c r="N28" i="52"/>
  <c r="O28" i="52"/>
  <c r="P28" i="52"/>
  <c r="Q28" i="52"/>
  <c r="R28" i="52"/>
  <c r="N29" i="52"/>
  <c r="O29" i="52"/>
  <c r="P29" i="52"/>
  <c r="Q29" i="52"/>
  <c r="R29" i="52"/>
  <c r="N30" i="52"/>
  <c r="O30" i="52"/>
  <c r="P30" i="52"/>
  <c r="Q30" i="52"/>
  <c r="R30" i="52"/>
  <c r="N31" i="52"/>
  <c r="O31" i="52"/>
  <c r="P31" i="52"/>
  <c r="Q31" i="52"/>
  <c r="R31" i="52"/>
  <c r="N32" i="52"/>
  <c r="O32" i="52"/>
  <c r="P32" i="52"/>
  <c r="Q32" i="52"/>
  <c r="R32" i="52"/>
  <c r="N33" i="52"/>
  <c r="O33" i="52"/>
  <c r="P33" i="52"/>
  <c r="Q33" i="52"/>
  <c r="R33" i="52"/>
  <c r="N34" i="52"/>
  <c r="O34" i="52"/>
  <c r="P34" i="52"/>
  <c r="Q34" i="52"/>
  <c r="R34" i="52"/>
  <c r="N35" i="52"/>
  <c r="O35" i="52"/>
  <c r="P35" i="52"/>
  <c r="Q35" i="52"/>
  <c r="R35" i="52"/>
  <c r="N36" i="52"/>
  <c r="O36" i="52"/>
  <c r="P36" i="52"/>
  <c r="Q36" i="52"/>
  <c r="R36" i="52"/>
  <c r="N37" i="52"/>
  <c r="O37" i="52"/>
  <c r="P37" i="52"/>
  <c r="Q37" i="52"/>
  <c r="R37" i="52"/>
  <c r="N38" i="52"/>
  <c r="O38" i="52"/>
  <c r="P38" i="52"/>
  <c r="Q38" i="52"/>
  <c r="R38" i="52"/>
  <c r="N39" i="52"/>
  <c r="O39" i="52"/>
  <c r="P39" i="52"/>
  <c r="Q39" i="52"/>
  <c r="R39" i="52"/>
  <c r="N40" i="52"/>
  <c r="O40" i="52"/>
  <c r="P40" i="52"/>
  <c r="Q40" i="52"/>
  <c r="R40" i="52"/>
  <c r="N41" i="52"/>
  <c r="O41" i="52"/>
  <c r="P41" i="52"/>
  <c r="Q41" i="52"/>
  <c r="R41" i="52"/>
  <c r="N42" i="52"/>
  <c r="O42" i="52"/>
  <c r="P42" i="52"/>
  <c r="Q42" i="52"/>
  <c r="R42" i="52"/>
  <c r="N43" i="52"/>
  <c r="O43" i="52"/>
  <c r="P43" i="52"/>
  <c r="Q43" i="52"/>
  <c r="R43" i="52"/>
  <c r="N44" i="52"/>
  <c r="O44" i="52"/>
  <c r="P44" i="52"/>
  <c r="Q44" i="52"/>
  <c r="R44" i="52"/>
  <c r="N45" i="52"/>
  <c r="O45" i="52"/>
  <c r="AE21" i="49" s="1"/>
  <c r="P45" i="52"/>
  <c r="AD21" i="49" s="1"/>
  <c r="Q45" i="52"/>
  <c r="AC21" i="49" s="1"/>
  <c r="R45" i="52"/>
  <c r="AB21" i="49" s="1"/>
  <c r="N46" i="52"/>
  <c r="O46" i="52"/>
  <c r="P46" i="52"/>
  <c r="Q46" i="52"/>
  <c r="R46" i="52"/>
  <c r="N47" i="52"/>
  <c r="O47" i="52"/>
  <c r="P47" i="52"/>
  <c r="Q47" i="52"/>
  <c r="R47" i="52"/>
  <c r="N48" i="52"/>
  <c r="O48" i="52"/>
  <c r="P48" i="52"/>
  <c r="Q48" i="52"/>
  <c r="R48" i="52"/>
  <c r="N49" i="52"/>
  <c r="O49" i="52"/>
  <c r="P49" i="52"/>
  <c r="Q49" i="52"/>
  <c r="R49" i="52"/>
  <c r="N50" i="52"/>
  <c r="O50" i="52"/>
  <c r="P50" i="52"/>
  <c r="Q50" i="52"/>
  <c r="R50" i="52"/>
  <c r="N51" i="52"/>
  <c r="O51" i="52"/>
  <c r="P51" i="52"/>
  <c r="Q51" i="52"/>
  <c r="R51" i="52"/>
  <c r="N52" i="52"/>
  <c r="O52" i="52"/>
  <c r="P52" i="52"/>
  <c r="Q52" i="52"/>
  <c r="R52" i="52"/>
  <c r="N53" i="52"/>
  <c r="O53" i="52"/>
  <c r="P53" i="52"/>
  <c r="Q53" i="52"/>
  <c r="R53" i="52"/>
  <c r="N54" i="52"/>
  <c r="O54" i="52"/>
  <c r="P54" i="52"/>
  <c r="Q54" i="52"/>
  <c r="R54" i="52"/>
  <c r="N55" i="52"/>
  <c r="O55" i="52"/>
  <c r="P55" i="52"/>
  <c r="Q55" i="52"/>
  <c r="R55" i="52"/>
  <c r="N56" i="52"/>
  <c r="E9" i="4" s="1"/>
  <c r="O56" i="52"/>
  <c r="P56" i="52"/>
  <c r="Q56" i="52"/>
  <c r="R56" i="52"/>
  <c r="N57" i="52"/>
  <c r="O57" i="52"/>
  <c r="P57" i="52"/>
  <c r="Q57" i="52"/>
  <c r="R57" i="52"/>
  <c r="N58" i="52"/>
  <c r="O58" i="52"/>
  <c r="P58" i="52"/>
  <c r="Q58" i="52"/>
  <c r="R58" i="52"/>
  <c r="N59" i="52"/>
  <c r="O59" i="52"/>
  <c r="P59" i="52"/>
  <c r="Q59" i="52"/>
  <c r="R59" i="52"/>
  <c r="N60" i="52"/>
  <c r="O60" i="52"/>
  <c r="P60" i="52"/>
  <c r="Q60" i="52"/>
  <c r="R60" i="52"/>
  <c r="N61" i="52"/>
  <c r="O61" i="52"/>
  <c r="P61" i="52"/>
  <c r="Q61" i="52"/>
  <c r="R61" i="52"/>
  <c r="N62" i="52"/>
  <c r="O62" i="52"/>
  <c r="P62" i="52"/>
  <c r="Q62" i="52"/>
  <c r="R62" i="52"/>
  <c r="N63" i="52"/>
  <c r="O63" i="52"/>
  <c r="P63" i="52"/>
  <c r="Q63" i="52"/>
  <c r="R63" i="52"/>
  <c r="N64" i="52"/>
  <c r="O64" i="52"/>
  <c r="P64" i="52"/>
  <c r="Q64" i="52"/>
  <c r="R64" i="52"/>
  <c r="N65" i="52"/>
  <c r="O65" i="52"/>
  <c r="P65" i="52"/>
  <c r="Q65" i="52"/>
  <c r="R65" i="52"/>
  <c r="N66" i="52"/>
  <c r="O66" i="52"/>
  <c r="P66" i="52"/>
  <c r="Q66" i="52"/>
  <c r="R66" i="52"/>
  <c r="N67" i="52"/>
  <c r="E10" i="4" s="1"/>
  <c r="O67" i="52"/>
  <c r="P67" i="52"/>
  <c r="Q67" i="52"/>
  <c r="R67" i="52"/>
  <c r="N68" i="52"/>
  <c r="E11" i="4" s="1"/>
  <c r="O68" i="52"/>
  <c r="P68" i="52"/>
  <c r="Q68" i="52"/>
  <c r="R68" i="52"/>
  <c r="N69" i="52"/>
  <c r="E12" i="4" s="1"/>
  <c r="O69" i="52"/>
  <c r="P69" i="52"/>
  <c r="Q69" i="52"/>
  <c r="R69" i="52"/>
  <c r="N70" i="52"/>
  <c r="E13" i="4" s="1"/>
  <c r="O70" i="52"/>
  <c r="P70" i="52"/>
  <c r="Q70" i="52"/>
  <c r="R70" i="52"/>
  <c r="N71" i="52"/>
  <c r="E14" i="4" s="1"/>
  <c r="O71" i="52"/>
  <c r="P71" i="52"/>
  <c r="Q71" i="52"/>
  <c r="R71" i="52"/>
  <c r="N72" i="52"/>
  <c r="O72" i="52"/>
  <c r="P72" i="52"/>
  <c r="Q72" i="52"/>
  <c r="R72" i="52"/>
  <c r="N73" i="52"/>
  <c r="O73" i="52"/>
  <c r="P73" i="52"/>
  <c r="Q73" i="52"/>
  <c r="R73" i="52"/>
  <c r="N74" i="52"/>
  <c r="O74" i="52"/>
  <c r="P74" i="52"/>
  <c r="Q74" i="52"/>
  <c r="R74" i="52"/>
  <c r="N75" i="52"/>
  <c r="O75" i="52"/>
  <c r="P75" i="52"/>
  <c r="Q75" i="52"/>
  <c r="R75" i="52"/>
  <c r="N76" i="52"/>
  <c r="O76" i="52"/>
  <c r="P76" i="52"/>
  <c r="Q76" i="52"/>
  <c r="R76" i="52"/>
  <c r="N77" i="52"/>
  <c r="O77" i="52"/>
  <c r="P77" i="52"/>
  <c r="Q77" i="52"/>
  <c r="R77" i="52"/>
  <c r="N78" i="52"/>
  <c r="O78" i="52"/>
  <c r="P78" i="52"/>
  <c r="Q78" i="52"/>
  <c r="R78" i="52"/>
  <c r="N79" i="52"/>
  <c r="O79" i="52"/>
  <c r="P79" i="52"/>
  <c r="Q79" i="52"/>
  <c r="R79" i="52"/>
  <c r="N80" i="52"/>
  <c r="O80" i="52"/>
  <c r="P80" i="52"/>
  <c r="Q80" i="52"/>
  <c r="R80" i="52"/>
  <c r="N81" i="52"/>
  <c r="O81" i="52"/>
  <c r="P81" i="52"/>
  <c r="Q81" i="52"/>
  <c r="R81" i="52"/>
  <c r="N82" i="52"/>
  <c r="O82" i="52"/>
  <c r="P82" i="52"/>
  <c r="Q82" i="52"/>
  <c r="R82" i="52"/>
  <c r="N83" i="52"/>
  <c r="O83" i="52"/>
  <c r="P83" i="52"/>
  <c r="Q83" i="52"/>
  <c r="R83" i="52"/>
  <c r="N84" i="52"/>
  <c r="O84" i="52"/>
  <c r="P84" i="52"/>
  <c r="Q84" i="52"/>
  <c r="R84" i="52"/>
  <c r="N85" i="52"/>
  <c r="E15" i="4" s="1"/>
  <c r="O85" i="52"/>
  <c r="P85" i="52"/>
  <c r="Q85" i="52"/>
  <c r="R85" i="52"/>
  <c r="N86" i="52"/>
  <c r="O86" i="52"/>
  <c r="P86" i="52"/>
  <c r="Q86" i="52"/>
  <c r="R86" i="52"/>
  <c r="N87" i="52"/>
  <c r="O87" i="52"/>
  <c r="P87" i="52"/>
  <c r="Q87" i="52"/>
  <c r="R87" i="52"/>
  <c r="N88" i="52"/>
  <c r="O88" i="52"/>
  <c r="P88" i="52"/>
  <c r="Q88" i="52"/>
  <c r="R88" i="52"/>
  <c r="N89" i="52"/>
  <c r="O89" i="52"/>
  <c r="P89" i="52"/>
  <c r="Q89" i="52"/>
  <c r="R89" i="52"/>
  <c r="N90" i="52"/>
  <c r="O90" i="52"/>
  <c r="P90" i="52"/>
  <c r="Q90" i="52"/>
  <c r="R90" i="52"/>
  <c r="N91" i="52"/>
  <c r="O91" i="52"/>
  <c r="P91" i="52"/>
  <c r="Q91" i="52"/>
  <c r="R91" i="52"/>
  <c r="N92" i="52"/>
  <c r="O92" i="52"/>
  <c r="P92" i="52"/>
  <c r="Q92" i="52"/>
  <c r="R92" i="52"/>
  <c r="N93" i="52"/>
  <c r="O93" i="52"/>
  <c r="P93" i="52"/>
  <c r="Q93" i="52"/>
  <c r="R93" i="52"/>
  <c r="N94" i="52"/>
  <c r="O94" i="52"/>
  <c r="P94" i="52"/>
  <c r="Q94" i="52"/>
  <c r="R94" i="52"/>
  <c r="N95" i="52"/>
  <c r="O95" i="52"/>
  <c r="P95" i="52"/>
  <c r="Q95" i="52"/>
  <c r="R95" i="52"/>
  <c r="N96" i="52"/>
  <c r="O96" i="52"/>
  <c r="P96" i="52"/>
  <c r="Q96" i="52"/>
  <c r="R96" i="52"/>
  <c r="N97" i="52"/>
  <c r="O97" i="52"/>
  <c r="P97" i="52"/>
  <c r="Q97" i="52"/>
  <c r="R97" i="52"/>
  <c r="N98" i="52"/>
  <c r="O98" i="52"/>
  <c r="P98" i="52"/>
  <c r="Q98" i="52"/>
  <c r="R98" i="52"/>
  <c r="N99" i="52"/>
  <c r="O99" i="52"/>
  <c r="P99" i="52"/>
  <c r="Q99" i="52"/>
  <c r="R99" i="52"/>
  <c r="N100" i="52"/>
  <c r="O100" i="52"/>
  <c r="P100" i="52"/>
  <c r="Q100" i="52"/>
  <c r="R100" i="52"/>
  <c r="N101" i="52"/>
  <c r="O101" i="52"/>
  <c r="P101" i="52"/>
  <c r="Q101" i="52"/>
  <c r="R101" i="52"/>
  <c r="N102" i="52"/>
  <c r="O102" i="52"/>
  <c r="P102" i="52"/>
  <c r="Q102" i="52"/>
  <c r="R102" i="52"/>
  <c r="N103" i="52"/>
  <c r="O103" i="52"/>
  <c r="P103" i="52"/>
  <c r="Q103" i="52"/>
  <c r="R103" i="52"/>
  <c r="N104" i="52"/>
  <c r="O104" i="52"/>
  <c r="P104" i="52"/>
  <c r="Q104" i="52"/>
  <c r="R104" i="52"/>
  <c r="N105" i="52"/>
  <c r="O105" i="52"/>
  <c r="P105" i="52"/>
  <c r="Q105" i="52"/>
  <c r="R105" i="52"/>
  <c r="N106" i="52"/>
  <c r="O106" i="52"/>
  <c r="P106" i="52"/>
  <c r="Q106" i="52"/>
  <c r="R106" i="52"/>
  <c r="N107" i="52"/>
  <c r="O107" i="52"/>
  <c r="P107" i="52"/>
  <c r="Q107" i="52"/>
  <c r="R107" i="52"/>
  <c r="N108" i="52"/>
  <c r="O108" i="52"/>
  <c r="P108" i="52"/>
  <c r="Q108" i="52"/>
  <c r="R108" i="52"/>
  <c r="N109" i="52"/>
  <c r="O109" i="52"/>
  <c r="P109" i="52"/>
  <c r="Q109" i="52"/>
  <c r="R109" i="52"/>
  <c r="N110" i="52"/>
  <c r="O110" i="52"/>
  <c r="P110" i="52"/>
  <c r="Q110" i="52"/>
  <c r="R110" i="52"/>
  <c r="N111" i="52"/>
  <c r="O111" i="52"/>
  <c r="P111" i="52"/>
  <c r="Q111" i="52"/>
  <c r="R111" i="52"/>
  <c r="N112" i="52"/>
  <c r="O112" i="52"/>
  <c r="P112" i="52"/>
  <c r="Q112" i="52"/>
  <c r="R112" i="52"/>
  <c r="N113" i="52"/>
  <c r="O113" i="52"/>
  <c r="P113" i="52"/>
  <c r="Q113" i="52"/>
  <c r="R113" i="52"/>
  <c r="N114" i="52"/>
  <c r="O114" i="52"/>
  <c r="P114" i="52"/>
  <c r="Q114" i="52"/>
  <c r="R114" i="52"/>
  <c r="N115" i="52"/>
  <c r="O115" i="52"/>
  <c r="P115" i="52"/>
  <c r="Q115" i="52"/>
  <c r="R115" i="52"/>
  <c r="N116" i="52"/>
  <c r="O116" i="52"/>
  <c r="P116" i="52"/>
  <c r="Q116" i="52"/>
  <c r="R116" i="52"/>
  <c r="N117" i="52"/>
  <c r="O117" i="52"/>
  <c r="P117" i="52"/>
  <c r="Q117" i="52"/>
  <c r="R117" i="52"/>
  <c r="N118" i="52"/>
  <c r="O118" i="52"/>
  <c r="P118" i="52"/>
  <c r="Q118" i="52"/>
  <c r="R118" i="52"/>
  <c r="N119" i="52"/>
  <c r="O119" i="52"/>
  <c r="P119" i="52"/>
  <c r="Q119" i="52"/>
  <c r="R119" i="52"/>
  <c r="N120" i="52"/>
  <c r="O120" i="52"/>
  <c r="P120" i="52"/>
  <c r="Q120" i="52"/>
  <c r="R120" i="52"/>
  <c r="N121" i="52"/>
  <c r="O121" i="52"/>
  <c r="P121" i="52"/>
  <c r="Q121" i="52"/>
  <c r="R121" i="52"/>
  <c r="N122" i="52"/>
  <c r="O122" i="52"/>
  <c r="P122" i="52"/>
  <c r="Q122" i="52"/>
  <c r="R122" i="52"/>
  <c r="N123" i="52"/>
  <c r="O123" i="52"/>
  <c r="P123" i="52"/>
  <c r="Q123" i="52"/>
  <c r="R123" i="52"/>
  <c r="N124" i="52"/>
  <c r="O124" i="52"/>
  <c r="P124" i="52"/>
  <c r="Q124" i="52"/>
  <c r="R124" i="52"/>
  <c r="N125" i="52"/>
  <c r="O125" i="52"/>
  <c r="P125" i="52"/>
  <c r="Q125" i="52"/>
  <c r="R125" i="52"/>
  <c r="N126" i="52"/>
  <c r="O126" i="52"/>
  <c r="P126" i="52"/>
  <c r="Q126" i="52"/>
  <c r="R126" i="52"/>
  <c r="N127" i="52"/>
  <c r="O127" i="52"/>
  <c r="P127" i="52"/>
  <c r="Q127" i="52"/>
  <c r="R127" i="52"/>
  <c r="N128" i="52"/>
  <c r="O128" i="52"/>
  <c r="P128" i="52"/>
  <c r="Q128" i="52"/>
  <c r="R128" i="52"/>
  <c r="N129" i="52"/>
  <c r="O129" i="52"/>
  <c r="P129" i="52"/>
  <c r="Q129" i="52"/>
  <c r="R129" i="52"/>
  <c r="N130" i="52"/>
  <c r="O130" i="52"/>
  <c r="P130" i="52"/>
  <c r="Q130" i="52"/>
  <c r="R130" i="52"/>
  <c r="N131" i="52"/>
  <c r="O131" i="52"/>
  <c r="P131" i="52"/>
  <c r="Q131" i="52"/>
  <c r="R131" i="52"/>
  <c r="N132" i="52"/>
  <c r="O132" i="52"/>
  <c r="P132" i="52"/>
  <c r="Q132" i="52"/>
  <c r="R132" i="52"/>
  <c r="N133" i="52"/>
  <c r="E16" i="4" s="1"/>
  <c r="O133" i="52"/>
  <c r="P133" i="52"/>
  <c r="Q133" i="52"/>
  <c r="R133" i="52"/>
  <c r="N134" i="52"/>
  <c r="O134" i="52"/>
  <c r="P134" i="52"/>
  <c r="Q134" i="52"/>
  <c r="R134" i="52"/>
  <c r="N135" i="52"/>
  <c r="O135" i="52"/>
  <c r="P135" i="52"/>
  <c r="Q135" i="52"/>
  <c r="R135" i="52"/>
  <c r="N136" i="52"/>
  <c r="O136" i="52"/>
  <c r="P136" i="52"/>
  <c r="Q136" i="52"/>
  <c r="R136" i="52"/>
  <c r="N137" i="52"/>
  <c r="O137" i="52"/>
  <c r="P137" i="52"/>
  <c r="Q137" i="52"/>
  <c r="R137" i="52"/>
  <c r="N138" i="52"/>
  <c r="O138" i="52"/>
  <c r="P138" i="52"/>
  <c r="Q138" i="52"/>
  <c r="R138" i="52"/>
  <c r="N139" i="52"/>
  <c r="O139" i="52"/>
  <c r="P139" i="52"/>
  <c r="Q139" i="52"/>
  <c r="R139" i="52"/>
  <c r="N140" i="52"/>
  <c r="O140" i="52"/>
  <c r="P140" i="52"/>
  <c r="Q140" i="52"/>
  <c r="R140" i="52"/>
  <c r="N141" i="52"/>
  <c r="O141" i="52"/>
  <c r="P141" i="52"/>
  <c r="Q141" i="52"/>
  <c r="R141" i="52"/>
  <c r="N142" i="52"/>
  <c r="O142" i="52"/>
  <c r="P142" i="52"/>
  <c r="Q142" i="52"/>
  <c r="R142" i="52"/>
  <c r="N143" i="52"/>
  <c r="O143" i="52"/>
  <c r="P143" i="52"/>
  <c r="Q143" i="52"/>
  <c r="R143" i="52"/>
  <c r="N144" i="52"/>
  <c r="O144" i="52"/>
  <c r="P144" i="52"/>
  <c r="Q144" i="52"/>
  <c r="R144" i="52"/>
  <c r="N145" i="52"/>
  <c r="O145" i="52"/>
  <c r="P145" i="52"/>
  <c r="Q145" i="52"/>
  <c r="R145" i="52"/>
  <c r="N146" i="52"/>
  <c r="O146" i="52"/>
  <c r="P146" i="52"/>
  <c r="Q146" i="52"/>
  <c r="R146" i="52"/>
  <c r="N147" i="52"/>
  <c r="O147" i="52"/>
  <c r="P147" i="52"/>
  <c r="Q147" i="52"/>
  <c r="R147" i="52"/>
  <c r="N148" i="52"/>
  <c r="O148" i="52"/>
  <c r="P148" i="52"/>
  <c r="Q148" i="52"/>
  <c r="R148" i="52"/>
  <c r="N149" i="52"/>
  <c r="O149" i="52"/>
  <c r="P149" i="52"/>
  <c r="Q149" i="52"/>
  <c r="R149" i="52"/>
  <c r="N150" i="52"/>
  <c r="O150" i="52"/>
  <c r="P150" i="52"/>
  <c r="Q150" i="52"/>
  <c r="R150" i="52"/>
  <c r="N151" i="52"/>
  <c r="O151" i="52"/>
  <c r="P151" i="52"/>
  <c r="Q151" i="52"/>
  <c r="R151" i="52"/>
  <c r="N152" i="52"/>
  <c r="O152" i="52"/>
  <c r="P152" i="52"/>
  <c r="Q152" i="52"/>
  <c r="R152" i="52"/>
  <c r="N153" i="52"/>
  <c r="O153" i="52"/>
  <c r="P153" i="52"/>
  <c r="Q153" i="52"/>
  <c r="R153" i="52"/>
  <c r="N154" i="52"/>
  <c r="O154" i="52"/>
  <c r="P154" i="52"/>
  <c r="Q154" i="52"/>
  <c r="R154" i="52"/>
  <c r="N155" i="52"/>
  <c r="O155" i="52"/>
  <c r="P155" i="52"/>
  <c r="Q155" i="52"/>
  <c r="R155" i="52"/>
  <c r="N156" i="52"/>
  <c r="O156" i="52"/>
  <c r="P156" i="52"/>
  <c r="Q156" i="52"/>
  <c r="R156" i="52"/>
  <c r="N157" i="52"/>
  <c r="O157" i="52"/>
  <c r="P157" i="52"/>
  <c r="Q157" i="52"/>
  <c r="R157" i="52"/>
  <c r="N158" i="52"/>
  <c r="O158" i="52"/>
  <c r="P158" i="52"/>
  <c r="Q158" i="52"/>
  <c r="R158" i="52"/>
  <c r="N159" i="52"/>
  <c r="O159" i="52"/>
  <c r="P159" i="52"/>
  <c r="Q159" i="52"/>
  <c r="R159" i="52"/>
  <c r="N160" i="52"/>
  <c r="O160" i="52"/>
  <c r="P160" i="52"/>
  <c r="Q160" i="52"/>
  <c r="R160" i="52"/>
  <c r="N161" i="52"/>
  <c r="O161" i="52"/>
  <c r="P161" i="52"/>
  <c r="Q161" i="52"/>
  <c r="R161" i="52"/>
  <c r="N162" i="52"/>
  <c r="O162" i="52"/>
  <c r="P162" i="52"/>
  <c r="Q162" i="52"/>
  <c r="R162" i="52"/>
  <c r="N163" i="52"/>
  <c r="O163" i="52"/>
  <c r="P163" i="52"/>
  <c r="Q163" i="52"/>
  <c r="R163" i="52"/>
  <c r="N164" i="52"/>
  <c r="O164" i="52"/>
  <c r="P164" i="52"/>
  <c r="Q164" i="52"/>
  <c r="R164" i="52"/>
  <c r="N165" i="52"/>
  <c r="O165" i="52"/>
  <c r="P165" i="52"/>
  <c r="Q165" i="52"/>
  <c r="R165" i="52"/>
  <c r="N166" i="52"/>
  <c r="O166" i="52"/>
  <c r="P166" i="52"/>
  <c r="Q166" i="52"/>
  <c r="R166" i="52"/>
  <c r="N167" i="52"/>
  <c r="O167" i="52"/>
  <c r="P167" i="52"/>
  <c r="Q167" i="52"/>
  <c r="R167" i="52"/>
  <c r="N168" i="52"/>
  <c r="O168" i="52"/>
  <c r="P168" i="52"/>
  <c r="Q168" i="52"/>
  <c r="R168" i="52"/>
  <c r="N169" i="52"/>
  <c r="O169" i="52"/>
  <c r="P169" i="52"/>
  <c r="Q169" i="52"/>
  <c r="R169" i="52"/>
  <c r="N170" i="52"/>
  <c r="O170" i="52"/>
  <c r="P170" i="52"/>
  <c r="Q170" i="52"/>
  <c r="R170" i="52"/>
  <c r="N171" i="52"/>
  <c r="O171" i="52"/>
  <c r="P171" i="52"/>
  <c r="Q171" i="52"/>
  <c r="R171" i="52"/>
  <c r="N172" i="52"/>
  <c r="O172" i="52"/>
  <c r="P172" i="52"/>
  <c r="Q172" i="52"/>
  <c r="R172" i="52"/>
  <c r="N173" i="52"/>
  <c r="O173" i="52"/>
  <c r="P173" i="52"/>
  <c r="Q173" i="52"/>
  <c r="R173" i="52"/>
  <c r="N174" i="52"/>
  <c r="O174" i="52"/>
  <c r="P174" i="52"/>
  <c r="Q174" i="52"/>
  <c r="R174" i="52"/>
  <c r="N175" i="52"/>
  <c r="O175" i="52"/>
  <c r="AE15" i="49" s="1"/>
  <c r="P175" i="52"/>
  <c r="AD15" i="49" s="1"/>
  <c r="Q175" i="52"/>
  <c r="AC15" i="49" s="1"/>
  <c r="R175" i="52"/>
  <c r="AB15" i="49" s="1"/>
  <c r="N176" i="52"/>
  <c r="E18" i="4" s="1"/>
  <c r="O176" i="52"/>
  <c r="P176" i="52"/>
  <c r="Q176" i="52"/>
  <c r="R176" i="52"/>
  <c r="N177" i="52"/>
  <c r="O177" i="52"/>
  <c r="P177" i="52"/>
  <c r="Q177" i="52"/>
  <c r="R177" i="52"/>
  <c r="N178" i="52"/>
  <c r="O178" i="52"/>
  <c r="P178" i="52"/>
  <c r="Q178" i="52"/>
  <c r="R178" i="52"/>
  <c r="N179" i="52"/>
  <c r="E19" i="4" s="1"/>
  <c r="O179" i="52"/>
  <c r="P179" i="52"/>
  <c r="Q179" i="52"/>
  <c r="R179" i="52"/>
  <c r="N180" i="52"/>
  <c r="O180" i="52"/>
  <c r="P180" i="52"/>
  <c r="Q180" i="52"/>
  <c r="R180" i="52"/>
  <c r="N181" i="52"/>
  <c r="O181" i="52"/>
  <c r="P181" i="52"/>
  <c r="Q181" i="52"/>
  <c r="R181" i="52"/>
  <c r="N182" i="52"/>
  <c r="O182" i="52"/>
  <c r="P182" i="52"/>
  <c r="Q182" i="52"/>
  <c r="R182" i="52"/>
  <c r="N183" i="52"/>
  <c r="O183" i="52"/>
  <c r="P183" i="52"/>
  <c r="Q183" i="52"/>
  <c r="R183" i="52"/>
  <c r="N184" i="52"/>
  <c r="O184" i="52"/>
  <c r="P184" i="52"/>
  <c r="Q184" i="52"/>
  <c r="R184" i="52"/>
  <c r="N185" i="52"/>
  <c r="O185" i="52"/>
  <c r="P185" i="52"/>
  <c r="Q185" i="52"/>
  <c r="R185" i="52"/>
  <c r="N186" i="52"/>
  <c r="O186" i="52"/>
  <c r="P186" i="52"/>
  <c r="Q186" i="52"/>
  <c r="R186" i="52"/>
  <c r="N187" i="52"/>
  <c r="O187" i="52"/>
  <c r="P187" i="52"/>
  <c r="Q187" i="52"/>
  <c r="R187" i="52"/>
  <c r="N188" i="52"/>
  <c r="O188" i="52"/>
  <c r="P188" i="52"/>
  <c r="Q188" i="52"/>
  <c r="R188" i="52"/>
  <c r="N189" i="52"/>
  <c r="O189" i="52"/>
  <c r="P189" i="52"/>
  <c r="Q189" i="52"/>
  <c r="R189" i="52"/>
  <c r="N190" i="52"/>
  <c r="O190" i="52"/>
  <c r="P190" i="52"/>
  <c r="Q190" i="52"/>
  <c r="R190" i="52"/>
  <c r="N191" i="52"/>
  <c r="O191" i="52"/>
  <c r="P191" i="52"/>
  <c r="Q191" i="52"/>
  <c r="R191" i="52"/>
  <c r="N192" i="52"/>
  <c r="O192" i="52"/>
  <c r="P192" i="52"/>
  <c r="Q192" i="52"/>
  <c r="R192" i="52"/>
  <c r="N193" i="52"/>
  <c r="E20" i="4" s="1"/>
  <c r="O193" i="52"/>
  <c r="P193" i="52"/>
  <c r="Q193" i="52"/>
  <c r="R193" i="52"/>
  <c r="N194" i="52"/>
  <c r="O194" i="52"/>
  <c r="P194" i="52"/>
  <c r="Q194" i="52"/>
  <c r="R194" i="52"/>
  <c r="N195" i="52"/>
  <c r="O195" i="52"/>
  <c r="P195" i="52"/>
  <c r="Q195" i="52"/>
  <c r="R195" i="52"/>
  <c r="N196" i="52"/>
  <c r="O196" i="52"/>
  <c r="P196" i="52"/>
  <c r="Q196" i="52"/>
  <c r="R196" i="52"/>
  <c r="N197" i="52"/>
  <c r="O197" i="52"/>
  <c r="P197" i="52"/>
  <c r="Q197" i="52"/>
  <c r="R197" i="52"/>
  <c r="N198" i="52"/>
  <c r="O198" i="52"/>
  <c r="P198" i="52"/>
  <c r="Q198" i="52"/>
  <c r="R198" i="52"/>
  <c r="N199" i="52"/>
  <c r="O199" i="52"/>
  <c r="P199" i="52"/>
  <c r="Q199" i="52"/>
  <c r="R199" i="52"/>
  <c r="N200" i="52"/>
  <c r="O200" i="52"/>
  <c r="P200" i="52"/>
  <c r="Q200" i="52"/>
  <c r="R200" i="52"/>
  <c r="N201" i="52"/>
  <c r="O201" i="52"/>
  <c r="P201" i="52"/>
  <c r="Q201" i="52"/>
  <c r="R201" i="52"/>
  <c r="N202" i="52"/>
  <c r="O202" i="52"/>
  <c r="P202" i="52"/>
  <c r="Q202" i="52"/>
  <c r="R202" i="52"/>
  <c r="N203" i="52"/>
  <c r="O203" i="52"/>
  <c r="P203" i="52"/>
  <c r="Q203" i="52"/>
  <c r="R203" i="52"/>
  <c r="N204" i="52"/>
  <c r="E21" i="4" s="1"/>
  <c r="O204" i="52"/>
  <c r="P204" i="52"/>
  <c r="Q204" i="52"/>
  <c r="R204" i="52"/>
  <c r="N205" i="52"/>
  <c r="O205" i="52"/>
  <c r="P205" i="52"/>
  <c r="Q205" i="52"/>
  <c r="R205" i="52"/>
  <c r="N206" i="52"/>
  <c r="O206" i="52"/>
  <c r="P206" i="52"/>
  <c r="Q206" i="52"/>
  <c r="R206" i="52"/>
  <c r="N207" i="52"/>
  <c r="O207" i="52"/>
  <c r="P207" i="52"/>
  <c r="Q207" i="52"/>
  <c r="R207" i="52"/>
  <c r="N208" i="52"/>
  <c r="E22" i="4" s="1"/>
  <c r="O208" i="52"/>
  <c r="P208" i="52"/>
  <c r="Q208" i="52"/>
  <c r="R208" i="52"/>
  <c r="N209" i="52"/>
  <c r="O209" i="52"/>
  <c r="P209" i="52"/>
  <c r="Q209" i="52"/>
  <c r="R209" i="52"/>
  <c r="N210" i="52"/>
  <c r="O210" i="52"/>
  <c r="P210" i="52"/>
  <c r="Q210" i="52"/>
  <c r="R210" i="52"/>
  <c r="N211" i="52"/>
  <c r="O211" i="52"/>
  <c r="P211" i="52"/>
  <c r="Q211" i="52"/>
  <c r="R211" i="52"/>
  <c r="N212" i="52"/>
  <c r="O212" i="52"/>
  <c r="P212" i="52"/>
  <c r="Q212" i="52"/>
  <c r="R212" i="52"/>
  <c r="N213" i="52"/>
  <c r="O213" i="52"/>
  <c r="P213" i="52"/>
  <c r="Q213" i="52"/>
  <c r="R213" i="52"/>
  <c r="N214" i="52"/>
  <c r="E23" i="4" s="1"/>
  <c r="O214" i="52"/>
  <c r="P214" i="52"/>
  <c r="Q214" i="52"/>
  <c r="R214" i="52"/>
  <c r="N215" i="52"/>
  <c r="O215" i="52"/>
  <c r="P215" i="52"/>
  <c r="Q215" i="52"/>
  <c r="R215" i="52"/>
  <c r="N216" i="52"/>
  <c r="O216" i="52"/>
  <c r="P216" i="52"/>
  <c r="Q216" i="52"/>
  <c r="R216" i="52"/>
  <c r="N217" i="52"/>
  <c r="O217" i="52"/>
  <c r="P217" i="52"/>
  <c r="Q217" i="52"/>
  <c r="R217" i="52"/>
  <c r="N218" i="52"/>
  <c r="O218" i="52"/>
  <c r="P218" i="52"/>
  <c r="Q218" i="52"/>
  <c r="R218" i="52"/>
  <c r="N219" i="52"/>
  <c r="O219" i="52"/>
  <c r="P219" i="52"/>
  <c r="Q219" i="52"/>
  <c r="R219" i="52"/>
  <c r="N220" i="52"/>
  <c r="O220" i="52"/>
  <c r="P220" i="52"/>
  <c r="Q220" i="52"/>
  <c r="R220" i="52"/>
  <c r="N221" i="52"/>
  <c r="O221" i="52"/>
  <c r="P221" i="52"/>
  <c r="Q221" i="52"/>
  <c r="R221" i="52"/>
  <c r="N222" i="52"/>
  <c r="O222" i="52"/>
  <c r="P222" i="52"/>
  <c r="Q222" i="52"/>
  <c r="R222" i="52"/>
  <c r="N223" i="52"/>
  <c r="O223" i="52"/>
  <c r="P223" i="52"/>
  <c r="Q223" i="52"/>
  <c r="R223" i="52"/>
  <c r="N224" i="52"/>
  <c r="O224" i="52"/>
  <c r="P224" i="52"/>
  <c r="Q224" i="52"/>
  <c r="R224" i="52"/>
  <c r="N225" i="52"/>
  <c r="O225" i="52"/>
  <c r="P225" i="52"/>
  <c r="Q225" i="52"/>
  <c r="R225" i="52"/>
  <c r="N226" i="52"/>
  <c r="O226" i="52"/>
  <c r="P226" i="52"/>
  <c r="Q226" i="52"/>
  <c r="R226" i="52"/>
  <c r="N227" i="52"/>
  <c r="O227" i="52"/>
  <c r="P227" i="52"/>
  <c r="Q227" i="52"/>
  <c r="R227" i="52"/>
  <c r="N228" i="52"/>
  <c r="O228" i="52"/>
  <c r="P228" i="52"/>
  <c r="Q228" i="52"/>
  <c r="R228" i="52"/>
  <c r="N229" i="52"/>
  <c r="O229" i="52"/>
  <c r="P229" i="52"/>
  <c r="Q229" i="52"/>
  <c r="R229" i="52"/>
  <c r="N230" i="52"/>
  <c r="O230" i="52"/>
  <c r="P230" i="52"/>
  <c r="Q230" i="52"/>
  <c r="R230" i="52"/>
  <c r="N231" i="52"/>
  <c r="O231" i="52"/>
  <c r="P231" i="52"/>
  <c r="Q231" i="52"/>
  <c r="R231" i="52"/>
  <c r="N232" i="52"/>
  <c r="O232" i="52"/>
  <c r="P232" i="52"/>
  <c r="Q232" i="52"/>
  <c r="R232" i="52"/>
  <c r="N233" i="52"/>
  <c r="O233" i="52"/>
  <c r="P233" i="52"/>
  <c r="Q233" i="52"/>
  <c r="R233" i="52"/>
  <c r="N234" i="52"/>
  <c r="O234" i="52"/>
  <c r="P234" i="52"/>
  <c r="Q234" i="52"/>
  <c r="R234" i="52"/>
  <c r="N235" i="52"/>
  <c r="O235" i="52"/>
  <c r="P235" i="52"/>
  <c r="Q235" i="52"/>
  <c r="R235" i="52"/>
  <c r="N236" i="52"/>
  <c r="O236" i="52"/>
  <c r="P236" i="52"/>
  <c r="Q236" i="52"/>
  <c r="R236" i="52"/>
  <c r="N237" i="52"/>
  <c r="O237" i="52"/>
  <c r="P237" i="52"/>
  <c r="Q237" i="52"/>
  <c r="R237" i="52"/>
  <c r="N238" i="52"/>
  <c r="O238" i="52"/>
  <c r="P238" i="52"/>
  <c r="Q238" i="52"/>
  <c r="R238" i="52"/>
  <c r="N239" i="52"/>
  <c r="O239" i="52"/>
  <c r="P239" i="52"/>
  <c r="Q239" i="52"/>
  <c r="R239" i="52"/>
  <c r="N240" i="52"/>
  <c r="O240" i="52"/>
  <c r="P240" i="52"/>
  <c r="Q240" i="52"/>
  <c r="R240" i="52"/>
  <c r="N241" i="52"/>
  <c r="O241" i="52"/>
  <c r="P241" i="52"/>
  <c r="Q241" i="52"/>
  <c r="R241" i="52"/>
  <c r="N242" i="52"/>
  <c r="O242" i="52"/>
  <c r="P242" i="52"/>
  <c r="Q242" i="52"/>
  <c r="R242" i="52"/>
  <c r="N243" i="52"/>
  <c r="O243" i="52"/>
  <c r="P243" i="52"/>
  <c r="Q243" i="52"/>
  <c r="R243" i="52"/>
  <c r="N244" i="52"/>
  <c r="O244" i="52"/>
  <c r="P244" i="52"/>
  <c r="Q244" i="52"/>
  <c r="R244" i="52"/>
  <c r="N245" i="52"/>
  <c r="O245" i="52"/>
  <c r="P245" i="52"/>
  <c r="Q245" i="52"/>
  <c r="R245" i="52"/>
  <c r="N246" i="52"/>
  <c r="O246" i="52"/>
  <c r="P246" i="52"/>
  <c r="Q246" i="52"/>
  <c r="R246" i="52"/>
  <c r="N247" i="52"/>
  <c r="E24" i="4" s="1"/>
  <c r="O247" i="52"/>
  <c r="P247" i="52"/>
  <c r="Q247" i="52"/>
  <c r="R247" i="52"/>
  <c r="N248" i="52"/>
  <c r="O248" i="52"/>
  <c r="P248" i="52"/>
  <c r="Q248" i="52"/>
  <c r="R248" i="52"/>
  <c r="N249" i="52"/>
  <c r="O249" i="52"/>
  <c r="P249" i="52"/>
  <c r="Q249" i="52"/>
  <c r="R249" i="52"/>
  <c r="N250" i="52"/>
  <c r="E25" i="4" s="1"/>
  <c r="O250" i="52"/>
  <c r="P250" i="52"/>
  <c r="Q250" i="52"/>
  <c r="R250" i="52"/>
  <c r="N251" i="52"/>
  <c r="O251" i="52"/>
  <c r="P251" i="52"/>
  <c r="Q251" i="52"/>
  <c r="R251" i="52"/>
  <c r="N252" i="52"/>
  <c r="O252" i="52"/>
  <c r="P252" i="52"/>
  <c r="Q252" i="52"/>
  <c r="R252" i="52"/>
  <c r="N253" i="52"/>
  <c r="O253" i="52"/>
  <c r="P253" i="52"/>
  <c r="Q253" i="52"/>
  <c r="R253" i="52"/>
  <c r="N254" i="52"/>
  <c r="O254" i="52"/>
  <c r="P254" i="52"/>
  <c r="Q254" i="52"/>
  <c r="R254" i="52"/>
  <c r="N255" i="52"/>
  <c r="O255" i="52"/>
  <c r="P255" i="52"/>
  <c r="Q255" i="52"/>
  <c r="R255" i="52"/>
  <c r="N256" i="52"/>
  <c r="O256" i="52"/>
  <c r="P256" i="52"/>
  <c r="Q256" i="52"/>
  <c r="R256" i="52"/>
  <c r="N257" i="52"/>
  <c r="O257" i="52"/>
  <c r="P257" i="52"/>
  <c r="Q257" i="52"/>
  <c r="R257" i="52"/>
  <c r="N258" i="52"/>
  <c r="O258" i="52"/>
  <c r="P258" i="52"/>
  <c r="Q258" i="52"/>
  <c r="R258" i="52"/>
  <c r="N259" i="52"/>
  <c r="O259" i="52"/>
  <c r="P259" i="52"/>
  <c r="Q259" i="52"/>
  <c r="R259" i="52"/>
  <c r="N260" i="52"/>
  <c r="O260" i="52"/>
  <c r="P260" i="52"/>
  <c r="Q260" i="52"/>
  <c r="R260" i="52"/>
  <c r="N261" i="52"/>
  <c r="O261" i="52"/>
  <c r="P261" i="52"/>
  <c r="Q261" i="52"/>
  <c r="R261" i="52"/>
  <c r="N262" i="52"/>
  <c r="O262" i="52"/>
  <c r="P262" i="52"/>
  <c r="Q262" i="52"/>
  <c r="R262" i="52"/>
  <c r="N263" i="52"/>
  <c r="O263" i="52"/>
  <c r="P263" i="52"/>
  <c r="Q263" i="52"/>
  <c r="R263" i="52"/>
  <c r="N264" i="52"/>
  <c r="O264" i="52"/>
  <c r="P264" i="52"/>
  <c r="Q264" i="52"/>
  <c r="R264" i="52"/>
  <c r="N265" i="52"/>
  <c r="O265" i="52"/>
  <c r="P265" i="52"/>
  <c r="Q265" i="52"/>
  <c r="R265" i="52"/>
  <c r="N266" i="52"/>
  <c r="O266" i="52"/>
  <c r="P266" i="52"/>
  <c r="Q266" i="52"/>
  <c r="R266" i="52"/>
  <c r="N267" i="52"/>
  <c r="O267" i="52"/>
  <c r="P267" i="52"/>
  <c r="Q267" i="52"/>
  <c r="R267" i="52"/>
  <c r="N268" i="52"/>
  <c r="O268" i="52"/>
  <c r="P268" i="52"/>
  <c r="Q268" i="52"/>
  <c r="R268" i="52"/>
  <c r="N269" i="52"/>
  <c r="O269" i="52"/>
  <c r="P269" i="52"/>
  <c r="Q269" i="52"/>
  <c r="R269" i="52"/>
  <c r="N270" i="52"/>
  <c r="O270" i="52"/>
  <c r="P270" i="52"/>
  <c r="Q270" i="52"/>
  <c r="R270" i="52"/>
  <c r="N271" i="52"/>
  <c r="O271" i="52"/>
  <c r="P271" i="52"/>
  <c r="Q271" i="52"/>
  <c r="R271" i="52"/>
  <c r="N272" i="52"/>
  <c r="O272" i="52"/>
  <c r="P272" i="52"/>
  <c r="Q272" i="52"/>
  <c r="R272" i="52"/>
  <c r="N273" i="52"/>
  <c r="O273" i="52"/>
  <c r="P273" i="52"/>
  <c r="Q273" i="52"/>
  <c r="R273" i="52"/>
  <c r="N274" i="52"/>
  <c r="O274" i="52"/>
  <c r="P274" i="52"/>
  <c r="Q274" i="52"/>
  <c r="R274" i="52"/>
  <c r="N275" i="52"/>
  <c r="O275" i="52"/>
  <c r="P275" i="52"/>
  <c r="Q275" i="52"/>
  <c r="R275" i="52"/>
  <c r="N276" i="52"/>
  <c r="O276" i="52"/>
  <c r="P276" i="52"/>
  <c r="Q276" i="52"/>
  <c r="R276" i="52"/>
  <c r="N277" i="52"/>
  <c r="O277" i="52"/>
  <c r="P277" i="52"/>
  <c r="Q277" i="52"/>
  <c r="R277" i="52"/>
  <c r="N278" i="52"/>
  <c r="E26" i="4" s="1"/>
  <c r="O278" i="52"/>
  <c r="P278" i="52"/>
  <c r="Q278" i="52"/>
  <c r="R278" i="52"/>
  <c r="N279" i="52"/>
  <c r="O279" i="52"/>
  <c r="P279" i="52"/>
  <c r="Q279" i="52"/>
  <c r="R279" i="52"/>
  <c r="N280" i="52"/>
  <c r="O280" i="52"/>
  <c r="P280" i="52"/>
  <c r="Q280" i="52"/>
  <c r="R280" i="52"/>
  <c r="N281" i="52"/>
  <c r="O281" i="52"/>
  <c r="P281" i="52"/>
  <c r="Q281" i="52"/>
  <c r="R281" i="52"/>
  <c r="N282" i="52"/>
  <c r="O282" i="52"/>
  <c r="P282" i="52"/>
  <c r="Q282" i="52"/>
  <c r="R282" i="52"/>
  <c r="N283" i="52"/>
  <c r="O283" i="52"/>
  <c r="P283" i="52"/>
  <c r="Q283" i="52"/>
  <c r="R283" i="52"/>
  <c r="N284" i="52"/>
  <c r="O284" i="52"/>
  <c r="P284" i="52"/>
  <c r="Q284" i="52"/>
  <c r="R284" i="52"/>
  <c r="N285" i="52"/>
  <c r="O285" i="52"/>
  <c r="P285" i="52"/>
  <c r="Q285" i="52"/>
  <c r="R285" i="52"/>
  <c r="N286" i="52"/>
  <c r="O286" i="52"/>
  <c r="P286" i="52"/>
  <c r="Q286" i="52"/>
  <c r="R286" i="52"/>
  <c r="N287" i="52"/>
  <c r="O287" i="52"/>
  <c r="P287" i="52"/>
  <c r="Q287" i="52"/>
  <c r="R287" i="52"/>
  <c r="N288" i="52"/>
  <c r="O288" i="52"/>
  <c r="P288" i="52"/>
  <c r="Q288" i="52"/>
  <c r="R288" i="52"/>
  <c r="N289" i="52"/>
  <c r="O289" i="52"/>
  <c r="P289" i="52"/>
  <c r="Q289" i="52"/>
  <c r="R289" i="52"/>
  <c r="N290" i="52"/>
  <c r="O290" i="52"/>
  <c r="P290" i="52"/>
  <c r="Q290" i="52"/>
  <c r="R290" i="52"/>
  <c r="N291" i="52"/>
  <c r="O291" i="52"/>
  <c r="P291" i="52"/>
  <c r="Q291" i="52"/>
  <c r="R291" i="52"/>
  <c r="N292" i="52"/>
  <c r="O292" i="52"/>
  <c r="P292" i="52"/>
  <c r="Q292" i="52"/>
  <c r="R292" i="52"/>
  <c r="N293" i="52"/>
  <c r="O293" i="52"/>
  <c r="P293" i="52"/>
  <c r="Q293" i="52"/>
  <c r="R293" i="52"/>
  <c r="N294" i="52"/>
  <c r="O294" i="52"/>
  <c r="P294" i="52"/>
  <c r="Q294" i="52"/>
  <c r="R294" i="52"/>
  <c r="N295" i="52"/>
  <c r="O295" i="52"/>
  <c r="P295" i="52"/>
  <c r="Q295" i="52"/>
  <c r="R295" i="52"/>
  <c r="N296" i="52"/>
  <c r="O296" i="52"/>
  <c r="P296" i="52"/>
  <c r="Q296" i="52"/>
  <c r="R296" i="52"/>
  <c r="N297" i="52"/>
  <c r="O297" i="52"/>
  <c r="P297" i="52"/>
  <c r="Q297" i="52"/>
  <c r="R297" i="52"/>
  <c r="N298" i="52"/>
  <c r="O298" i="52"/>
  <c r="P298" i="52"/>
  <c r="Q298" i="52"/>
  <c r="R298" i="52"/>
  <c r="N299" i="52"/>
  <c r="O299" i="52"/>
  <c r="P299" i="52"/>
  <c r="Q299" i="52"/>
  <c r="R299" i="52"/>
  <c r="N300" i="52"/>
  <c r="O300" i="52"/>
  <c r="P300" i="52"/>
  <c r="Q300" i="52"/>
  <c r="R300" i="52"/>
  <c r="N301" i="52"/>
  <c r="O301" i="52"/>
  <c r="P301" i="52"/>
  <c r="Q301" i="52"/>
  <c r="R301" i="52"/>
  <c r="N302" i="52"/>
  <c r="O302" i="52"/>
  <c r="P302" i="52"/>
  <c r="Q302" i="52"/>
  <c r="R302" i="52"/>
  <c r="N303" i="52"/>
  <c r="O303" i="52"/>
  <c r="P303" i="52"/>
  <c r="Q303" i="52"/>
  <c r="R303" i="52"/>
  <c r="N304" i="52"/>
  <c r="O304" i="52"/>
  <c r="P304" i="52"/>
  <c r="Q304" i="52"/>
  <c r="R304" i="52"/>
  <c r="N305" i="52"/>
  <c r="O305" i="52"/>
  <c r="P305" i="52"/>
  <c r="Q305" i="52"/>
  <c r="R305" i="52"/>
  <c r="N306" i="52"/>
  <c r="O306" i="52"/>
  <c r="P306" i="52"/>
  <c r="Q306" i="52"/>
  <c r="R306" i="52"/>
  <c r="N307" i="52"/>
  <c r="O307" i="52"/>
  <c r="P307" i="52"/>
  <c r="Q307" i="52"/>
  <c r="R307" i="52"/>
  <c r="N308" i="52"/>
  <c r="O308" i="52"/>
  <c r="P308" i="52"/>
  <c r="Q308" i="52"/>
  <c r="R308" i="52"/>
  <c r="N309" i="52"/>
  <c r="O309" i="52"/>
  <c r="P309" i="52"/>
  <c r="Q309" i="52"/>
  <c r="R309" i="52"/>
  <c r="N310" i="52"/>
  <c r="O310" i="52"/>
  <c r="P310" i="52"/>
  <c r="Q310" i="52"/>
  <c r="R310" i="52"/>
  <c r="N311" i="52"/>
  <c r="O311" i="52"/>
  <c r="P311" i="52"/>
  <c r="Q311" i="52"/>
  <c r="R311" i="52"/>
  <c r="N312" i="52"/>
  <c r="O312" i="52"/>
  <c r="P312" i="52"/>
  <c r="Q312" i="52"/>
  <c r="R312" i="52"/>
  <c r="N313" i="52"/>
  <c r="O313" i="52"/>
  <c r="P313" i="52"/>
  <c r="Q313" i="52"/>
  <c r="R313" i="52"/>
  <c r="N314" i="52"/>
  <c r="O314" i="52"/>
  <c r="P314" i="52"/>
  <c r="Q314" i="52"/>
  <c r="R314" i="52"/>
  <c r="N315" i="52"/>
  <c r="O315" i="52"/>
  <c r="P315" i="52"/>
  <c r="Q315" i="52"/>
  <c r="R315" i="52"/>
  <c r="N316" i="52"/>
  <c r="O316" i="52"/>
  <c r="P316" i="52"/>
  <c r="Q316" i="52"/>
  <c r="R316" i="52"/>
  <c r="N317" i="52"/>
  <c r="O317" i="52"/>
  <c r="P317" i="52"/>
  <c r="Q317" i="52"/>
  <c r="R317" i="52"/>
  <c r="N318" i="52"/>
  <c r="O318" i="52"/>
  <c r="P318" i="52"/>
  <c r="Q318" i="52"/>
  <c r="R318" i="52"/>
  <c r="N319" i="52"/>
  <c r="O319" i="52"/>
  <c r="P319" i="52"/>
  <c r="Q319" i="52"/>
  <c r="R319" i="52"/>
  <c r="N320" i="52"/>
  <c r="O320" i="52"/>
  <c r="P320" i="52"/>
  <c r="Q320" i="52"/>
  <c r="R320" i="52"/>
  <c r="N321" i="52"/>
  <c r="O321" i="52"/>
  <c r="P321" i="52"/>
  <c r="Q321" i="52"/>
  <c r="R321" i="52"/>
  <c r="N322" i="52"/>
  <c r="O322" i="52"/>
  <c r="P322" i="52"/>
  <c r="Q322" i="52"/>
  <c r="R322" i="52"/>
  <c r="N323" i="52"/>
  <c r="O323" i="52"/>
  <c r="P323" i="52"/>
  <c r="Q323" i="52"/>
  <c r="R323" i="52"/>
  <c r="N324" i="52"/>
  <c r="O324" i="52"/>
  <c r="P324" i="52"/>
  <c r="Q324" i="52"/>
  <c r="R324" i="52"/>
  <c r="N325" i="52"/>
  <c r="O325" i="52"/>
  <c r="P325" i="52"/>
  <c r="Q325" i="52"/>
  <c r="R325" i="52"/>
  <c r="N326" i="52"/>
  <c r="O326" i="52"/>
  <c r="P326" i="52"/>
  <c r="Q326" i="52"/>
  <c r="R326" i="52"/>
  <c r="N327" i="52"/>
  <c r="O327" i="52"/>
  <c r="P327" i="52"/>
  <c r="Q327" i="52"/>
  <c r="R327" i="52"/>
  <c r="N328" i="52"/>
  <c r="O328" i="52"/>
  <c r="P328" i="52"/>
  <c r="Q328" i="52"/>
  <c r="R328" i="52"/>
  <c r="N329" i="52"/>
  <c r="O329" i="52"/>
  <c r="P329" i="52"/>
  <c r="Q329" i="52"/>
  <c r="R329" i="52"/>
  <c r="N330" i="52"/>
  <c r="O330" i="52"/>
  <c r="P330" i="52"/>
  <c r="Q330" i="52"/>
  <c r="R330" i="52"/>
  <c r="N331" i="52"/>
  <c r="O331" i="52"/>
  <c r="P331" i="52"/>
  <c r="Q331" i="52"/>
  <c r="R331" i="52"/>
  <c r="N332" i="52"/>
  <c r="O332" i="52"/>
  <c r="P332" i="52"/>
  <c r="Q332" i="52"/>
  <c r="R332" i="52"/>
  <c r="N333" i="52"/>
  <c r="O333" i="52"/>
  <c r="P333" i="52"/>
  <c r="Q333" i="52"/>
  <c r="R333" i="52"/>
  <c r="N334" i="52"/>
  <c r="O334" i="52"/>
  <c r="P334" i="52"/>
  <c r="Q334" i="52"/>
  <c r="R334" i="52"/>
  <c r="N335" i="52"/>
  <c r="O335" i="52"/>
  <c r="P335" i="52"/>
  <c r="Q335" i="52"/>
  <c r="R335" i="52"/>
  <c r="N336" i="52"/>
  <c r="O336" i="52"/>
  <c r="P336" i="52"/>
  <c r="Q336" i="52"/>
  <c r="R336" i="52"/>
  <c r="N337" i="52"/>
  <c r="O337" i="52"/>
  <c r="P337" i="52"/>
  <c r="Q337" i="52"/>
  <c r="R337" i="52"/>
  <c r="N338" i="52"/>
  <c r="O338" i="52"/>
  <c r="P338" i="52"/>
  <c r="Q338" i="52"/>
  <c r="R338" i="52"/>
  <c r="N339" i="52"/>
  <c r="O339" i="52"/>
  <c r="P339" i="52"/>
  <c r="Q339" i="52"/>
  <c r="R339" i="52"/>
  <c r="N340" i="52"/>
  <c r="O340" i="52"/>
  <c r="P340" i="52"/>
  <c r="Q340" i="52"/>
  <c r="R340" i="52"/>
  <c r="N341" i="52"/>
  <c r="O341" i="52"/>
  <c r="P341" i="52"/>
  <c r="Q341" i="52"/>
  <c r="R341" i="52"/>
  <c r="N342" i="52"/>
  <c r="O342" i="52"/>
  <c r="P342" i="52"/>
  <c r="Q342" i="52"/>
  <c r="R342" i="52"/>
  <c r="N343" i="52"/>
  <c r="O343" i="52"/>
  <c r="P343" i="52"/>
  <c r="Q343" i="52"/>
  <c r="R343" i="52"/>
  <c r="N344" i="52"/>
  <c r="O344" i="52"/>
  <c r="P344" i="52"/>
  <c r="Q344" i="52"/>
  <c r="R344" i="52"/>
  <c r="N345" i="52"/>
  <c r="O345" i="52"/>
  <c r="P345" i="52"/>
  <c r="Q345" i="52"/>
  <c r="R345" i="52"/>
  <c r="N346" i="52"/>
  <c r="O346" i="52"/>
  <c r="P346" i="52"/>
  <c r="Q346" i="52"/>
  <c r="R346" i="52"/>
  <c r="N347" i="52"/>
  <c r="O347" i="52"/>
  <c r="P347" i="52"/>
  <c r="Q347" i="52"/>
  <c r="R347" i="52"/>
  <c r="N348" i="52"/>
  <c r="E27" i="4" s="1"/>
  <c r="O348" i="52"/>
  <c r="P348" i="52"/>
  <c r="Q348" i="52"/>
  <c r="R348" i="52"/>
  <c r="N349" i="52"/>
  <c r="O349" i="52"/>
  <c r="P349" i="52"/>
  <c r="Q349" i="52"/>
  <c r="R349" i="52"/>
  <c r="N350" i="52"/>
  <c r="O350" i="52"/>
  <c r="P350" i="52"/>
  <c r="Q350" i="52"/>
  <c r="R350" i="52"/>
  <c r="N351" i="52"/>
  <c r="O351" i="52"/>
  <c r="P351" i="52"/>
  <c r="Q351" i="52"/>
  <c r="R351" i="52"/>
  <c r="N352" i="52"/>
  <c r="O352" i="52"/>
  <c r="P352" i="52"/>
  <c r="Q352" i="52"/>
  <c r="R352" i="52"/>
  <c r="N353" i="52"/>
  <c r="O353" i="52"/>
  <c r="P353" i="52"/>
  <c r="Q353" i="52"/>
  <c r="R353" i="52"/>
  <c r="N354" i="52"/>
  <c r="O354" i="52"/>
  <c r="P354" i="52"/>
  <c r="Q354" i="52"/>
  <c r="R354" i="52"/>
  <c r="N355" i="52"/>
  <c r="O355" i="52"/>
  <c r="P355" i="52"/>
  <c r="Q355" i="52"/>
  <c r="R355" i="52"/>
  <c r="N356" i="52"/>
  <c r="O356" i="52"/>
  <c r="P356" i="52"/>
  <c r="Q356" i="52"/>
  <c r="R356" i="52"/>
  <c r="N357" i="52"/>
  <c r="O357" i="52"/>
  <c r="P357" i="52"/>
  <c r="Q357" i="52"/>
  <c r="R357" i="52"/>
  <c r="N358" i="52"/>
  <c r="O358" i="52"/>
  <c r="P358" i="52"/>
  <c r="Q358" i="52"/>
  <c r="R358" i="52"/>
  <c r="N359" i="52"/>
  <c r="O359" i="52"/>
  <c r="P359" i="52"/>
  <c r="Q359" i="52"/>
  <c r="R359" i="52"/>
  <c r="N360" i="52"/>
  <c r="O360" i="52"/>
  <c r="P360" i="52"/>
  <c r="Q360" i="52"/>
  <c r="R360" i="52"/>
  <c r="N361" i="52"/>
  <c r="O361" i="52"/>
  <c r="P361" i="52"/>
  <c r="Q361" i="52"/>
  <c r="R361" i="52"/>
  <c r="N362" i="52"/>
  <c r="O362" i="52"/>
  <c r="P362" i="52"/>
  <c r="Q362" i="52"/>
  <c r="R362" i="52"/>
  <c r="N363" i="52"/>
  <c r="O363" i="52"/>
  <c r="P363" i="52"/>
  <c r="Q363" i="52"/>
  <c r="R363" i="52"/>
  <c r="N364" i="52"/>
  <c r="O364" i="52"/>
  <c r="P364" i="52"/>
  <c r="Q364" i="52"/>
  <c r="R364" i="52"/>
  <c r="N365" i="52"/>
  <c r="O365" i="52"/>
  <c r="P365" i="52"/>
  <c r="Q365" i="52"/>
  <c r="R365" i="52"/>
  <c r="N366" i="52"/>
  <c r="O366" i="52"/>
  <c r="P366" i="52"/>
  <c r="Q366" i="52"/>
  <c r="R366" i="52"/>
  <c r="N367" i="52"/>
  <c r="O367" i="52"/>
  <c r="P367" i="52"/>
  <c r="Q367" i="52"/>
  <c r="R367" i="52"/>
  <c r="N368" i="52"/>
  <c r="O368" i="52"/>
  <c r="P368" i="52"/>
  <c r="Q368" i="52"/>
  <c r="R368" i="52"/>
  <c r="N369" i="52"/>
  <c r="O369" i="52"/>
  <c r="P369" i="52"/>
  <c r="Q369" i="52"/>
  <c r="R369" i="52"/>
  <c r="N370" i="52"/>
  <c r="O370" i="52"/>
  <c r="P370" i="52"/>
  <c r="Q370" i="52"/>
  <c r="R370" i="52"/>
  <c r="N371" i="52"/>
  <c r="O371" i="52"/>
  <c r="P371" i="52"/>
  <c r="Q371" i="52"/>
  <c r="R371" i="52"/>
  <c r="N372" i="52"/>
  <c r="O372" i="52"/>
  <c r="P372" i="52"/>
  <c r="Q372" i="52"/>
  <c r="R372" i="52"/>
  <c r="N373" i="52"/>
  <c r="O373" i="52"/>
  <c r="P373" i="52"/>
  <c r="Q373" i="52"/>
  <c r="R373" i="52"/>
  <c r="N374" i="52"/>
  <c r="O374" i="52"/>
  <c r="P374" i="52"/>
  <c r="Q374" i="52"/>
  <c r="R374" i="52"/>
  <c r="N375" i="52"/>
  <c r="O375" i="52"/>
  <c r="P375" i="52"/>
  <c r="Q375" i="52"/>
  <c r="R375" i="52"/>
  <c r="N376" i="52"/>
  <c r="O376" i="52"/>
  <c r="P376" i="52"/>
  <c r="Q376" i="52"/>
  <c r="R376" i="52"/>
  <c r="N377" i="52"/>
  <c r="O377" i="52"/>
  <c r="P377" i="52"/>
  <c r="Q377" i="52"/>
  <c r="R377" i="52"/>
  <c r="N378" i="52"/>
  <c r="O378" i="52"/>
  <c r="P378" i="52"/>
  <c r="Q378" i="52"/>
  <c r="R378" i="52"/>
  <c r="N379" i="52"/>
  <c r="O379" i="52"/>
  <c r="P379" i="52"/>
  <c r="Q379" i="52"/>
  <c r="R379" i="52"/>
  <c r="N380" i="52"/>
  <c r="O380" i="52"/>
  <c r="P380" i="52"/>
  <c r="Q380" i="52"/>
  <c r="R380" i="52"/>
  <c r="N381" i="52"/>
  <c r="O381" i="52"/>
  <c r="P381" i="52"/>
  <c r="Q381" i="52"/>
  <c r="R381" i="52"/>
  <c r="N382" i="52"/>
  <c r="O382" i="52"/>
  <c r="P382" i="52"/>
  <c r="Q382" i="52"/>
  <c r="R382" i="52"/>
  <c r="N383" i="52"/>
  <c r="O383" i="52"/>
  <c r="P383" i="52"/>
  <c r="Q383" i="52"/>
  <c r="R383" i="52"/>
  <c r="N384" i="52"/>
  <c r="O384" i="52"/>
  <c r="P384" i="52"/>
  <c r="Q384" i="52"/>
  <c r="R384" i="52"/>
  <c r="N385" i="52"/>
  <c r="O385" i="52"/>
  <c r="P385" i="52"/>
  <c r="Q385" i="52"/>
  <c r="R385" i="52"/>
  <c r="N386" i="52"/>
  <c r="O386" i="52"/>
  <c r="P386" i="52"/>
  <c r="Q386" i="52"/>
  <c r="R386" i="52"/>
  <c r="N387" i="52"/>
  <c r="O387" i="52"/>
  <c r="P387" i="52"/>
  <c r="Q387" i="52"/>
  <c r="R387" i="52"/>
  <c r="N388" i="52"/>
  <c r="O388" i="52"/>
  <c r="P388" i="52"/>
  <c r="Q388" i="52"/>
  <c r="R388" i="52"/>
  <c r="N389" i="52"/>
  <c r="O389" i="52"/>
  <c r="P389" i="52"/>
  <c r="Q389" i="52"/>
  <c r="R389" i="52"/>
  <c r="N390" i="52"/>
  <c r="O390" i="52"/>
  <c r="P390" i="52"/>
  <c r="Q390" i="52"/>
  <c r="R390" i="52"/>
  <c r="N391" i="52"/>
  <c r="O391" i="52"/>
  <c r="P391" i="52"/>
  <c r="Q391" i="52"/>
  <c r="R391" i="52"/>
  <c r="N392" i="52"/>
  <c r="O392" i="52"/>
  <c r="P392" i="52"/>
  <c r="Q392" i="52"/>
  <c r="R392" i="52"/>
  <c r="N393" i="52"/>
  <c r="E28" i="4" s="1"/>
  <c r="O393" i="52"/>
  <c r="P393" i="52"/>
  <c r="Q393" i="52"/>
  <c r="R393" i="52"/>
  <c r="N394" i="52"/>
  <c r="O394" i="52"/>
  <c r="P394" i="52"/>
  <c r="Q394" i="52"/>
  <c r="R394" i="52"/>
  <c r="N395" i="52"/>
  <c r="O395" i="52"/>
  <c r="P395" i="52"/>
  <c r="Q395" i="52"/>
  <c r="R395" i="52"/>
  <c r="N396" i="52"/>
  <c r="O396" i="52"/>
  <c r="P396" i="52"/>
  <c r="Q396" i="52"/>
  <c r="R396" i="52"/>
  <c r="N397" i="52"/>
  <c r="O397" i="52"/>
  <c r="P397" i="52"/>
  <c r="Q397" i="52"/>
  <c r="R397" i="52"/>
  <c r="N398" i="52"/>
  <c r="O398" i="52"/>
  <c r="P398" i="52"/>
  <c r="Q398" i="52"/>
  <c r="R398" i="52"/>
  <c r="N399" i="52"/>
  <c r="O399" i="52"/>
  <c r="P399" i="52"/>
  <c r="Q399" i="52"/>
  <c r="R399" i="52"/>
  <c r="N400" i="52"/>
  <c r="O400" i="52"/>
  <c r="P400" i="52"/>
  <c r="Q400" i="52"/>
  <c r="R400" i="52"/>
  <c r="N401" i="52"/>
  <c r="O401" i="52"/>
  <c r="P401" i="52"/>
  <c r="Q401" i="52"/>
  <c r="R401" i="52"/>
  <c r="N402" i="52"/>
  <c r="O402" i="52"/>
  <c r="P402" i="52"/>
  <c r="Q402" i="52"/>
  <c r="R402" i="52"/>
  <c r="N403" i="52"/>
  <c r="O403" i="52"/>
  <c r="P403" i="52"/>
  <c r="Q403" i="52"/>
  <c r="R403" i="52"/>
  <c r="N404" i="52"/>
  <c r="O404" i="52"/>
  <c r="P404" i="52"/>
  <c r="Q404" i="52"/>
  <c r="R404" i="52"/>
  <c r="N405" i="52"/>
  <c r="O405" i="52"/>
  <c r="P405" i="52"/>
  <c r="Q405" i="52"/>
  <c r="R405" i="52"/>
  <c r="N406" i="52"/>
  <c r="O406" i="52"/>
  <c r="P406" i="52"/>
  <c r="Q406" i="52"/>
  <c r="R406" i="52"/>
  <c r="N407" i="52"/>
  <c r="O407" i="52"/>
  <c r="P407" i="52"/>
  <c r="Q407" i="52"/>
  <c r="R407" i="52"/>
  <c r="N408" i="52"/>
  <c r="O408" i="52"/>
  <c r="P408" i="52"/>
  <c r="Q408" i="52"/>
  <c r="R408" i="52"/>
  <c r="N409" i="52"/>
  <c r="O409" i="52"/>
  <c r="P409" i="52"/>
  <c r="Q409" i="52"/>
  <c r="R409" i="52"/>
  <c r="N410" i="52"/>
  <c r="O410" i="52"/>
  <c r="P410" i="52"/>
  <c r="Q410" i="52"/>
  <c r="R410" i="52"/>
  <c r="N411" i="52"/>
  <c r="O411" i="52"/>
  <c r="P411" i="52"/>
  <c r="Q411" i="52"/>
  <c r="R411" i="52"/>
  <c r="N412" i="52"/>
  <c r="O412" i="52"/>
  <c r="P412" i="52"/>
  <c r="Q412" i="52"/>
  <c r="R412" i="52"/>
  <c r="N413" i="52"/>
  <c r="O413" i="52"/>
  <c r="P413" i="52"/>
  <c r="Q413" i="52"/>
  <c r="R413" i="52"/>
  <c r="N414" i="52"/>
  <c r="O414" i="52"/>
  <c r="P414" i="52"/>
  <c r="Q414" i="52"/>
  <c r="R414" i="52"/>
  <c r="N415" i="52"/>
  <c r="O415" i="52"/>
  <c r="P415" i="52"/>
  <c r="Q415" i="52"/>
  <c r="R415" i="52"/>
  <c r="N416" i="52"/>
  <c r="O416" i="52"/>
  <c r="P416" i="52"/>
  <c r="Q416" i="52"/>
  <c r="R416" i="52"/>
  <c r="N417" i="52"/>
  <c r="O417" i="52"/>
  <c r="P417" i="52"/>
  <c r="Q417" i="52"/>
  <c r="R417" i="52"/>
  <c r="N418" i="52"/>
  <c r="O418" i="52"/>
  <c r="P418" i="52"/>
  <c r="Q418" i="52"/>
  <c r="R418" i="52"/>
  <c r="N419" i="52"/>
  <c r="O419" i="52"/>
  <c r="P419" i="52"/>
  <c r="Q419" i="52"/>
  <c r="R419" i="52"/>
  <c r="N420" i="52"/>
  <c r="O420" i="52"/>
  <c r="P420" i="52"/>
  <c r="Q420" i="52"/>
  <c r="R420" i="52"/>
  <c r="N421" i="52"/>
  <c r="O421" i="52"/>
  <c r="P421" i="52"/>
  <c r="Q421" i="52"/>
  <c r="R421" i="52"/>
  <c r="N422" i="52"/>
  <c r="O422" i="52"/>
  <c r="P422" i="52"/>
  <c r="Q422" i="52"/>
  <c r="R422" i="52"/>
  <c r="N423" i="52"/>
  <c r="O423" i="52"/>
  <c r="P423" i="52"/>
  <c r="Q423" i="52"/>
  <c r="R423" i="52"/>
  <c r="N424" i="52"/>
  <c r="O424" i="52"/>
  <c r="P424" i="52"/>
  <c r="Q424" i="52"/>
  <c r="R424" i="52"/>
  <c r="N425" i="52"/>
  <c r="O425" i="52"/>
  <c r="P425" i="52"/>
  <c r="Q425" i="52"/>
  <c r="R425" i="52"/>
  <c r="N426" i="52"/>
  <c r="O426" i="52"/>
  <c r="P426" i="52"/>
  <c r="Q426" i="52"/>
  <c r="R426" i="52"/>
  <c r="N427" i="52"/>
  <c r="O427" i="52"/>
  <c r="P427" i="52"/>
  <c r="Q427" i="52"/>
  <c r="R427" i="52"/>
  <c r="N428" i="52"/>
  <c r="O428" i="52"/>
  <c r="P428" i="52"/>
  <c r="Q428" i="52"/>
  <c r="R428" i="52"/>
  <c r="N429" i="52"/>
  <c r="O429" i="52"/>
  <c r="P429" i="52"/>
  <c r="Q429" i="52"/>
  <c r="R429" i="52"/>
  <c r="N430" i="52"/>
  <c r="E29" i="4" s="1"/>
  <c r="O430" i="52"/>
  <c r="P430" i="52"/>
  <c r="Q430" i="52"/>
  <c r="R430" i="52"/>
  <c r="N431" i="52"/>
  <c r="O431" i="52"/>
  <c r="P431" i="52"/>
  <c r="Q431" i="52"/>
  <c r="R431" i="52"/>
  <c r="N432" i="52"/>
  <c r="O432" i="52"/>
  <c r="P432" i="52"/>
  <c r="Q432" i="52"/>
  <c r="R432" i="52"/>
  <c r="N433" i="52"/>
  <c r="O433" i="52"/>
  <c r="P433" i="52"/>
  <c r="Q433" i="52"/>
  <c r="R433" i="52"/>
  <c r="N434" i="52"/>
  <c r="O434" i="52"/>
  <c r="P434" i="52"/>
  <c r="Q434" i="52"/>
  <c r="R434" i="52"/>
  <c r="N435" i="52"/>
  <c r="O435" i="52"/>
  <c r="P435" i="52"/>
  <c r="Q435" i="52"/>
  <c r="R435" i="52"/>
  <c r="N436" i="52"/>
  <c r="O436" i="52"/>
  <c r="P436" i="52"/>
  <c r="Q436" i="52"/>
  <c r="R436" i="52"/>
  <c r="N437" i="52"/>
  <c r="O437" i="52"/>
  <c r="P437" i="52"/>
  <c r="Q437" i="52"/>
  <c r="R437" i="52"/>
  <c r="N438" i="52"/>
  <c r="O438" i="52"/>
  <c r="P438" i="52"/>
  <c r="Q438" i="52"/>
  <c r="R438" i="52"/>
  <c r="N439" i="52"/>
  <c r="O439" i="52"/>
  <c r="P439" i="52"/>
  <c r="Q439" i="52"/>
  <c r="R439" i="52"/>
  <c r="N440" i="52"/>
  <c r="O440" i="52"/>
  <c r="P440" i="52"/>
  <c r="Q440" i="52"/>
  <c r="R440" i="52"/>
  <c r="N441" i="52"/>
  <c r="O441" i="52"/>
  <c r="P441" i="52"/>
  <c r="Q441" i="52"/>
  <c r="R441" i="52"/>
  <c r="N442" i="52"/>
  <c r="O442" i="52"/>
  <c r="P442" i="52"/>
  <c r="Q442" i="52"/>
  <c r="R442" i="52"/>
  <c r="N443" i="52"/>
  <c r="O443" i="52"/>
  <c r="P443" i="52"/>
  <c r="Q443" i="52"/>
  <c r="R443" i="52"/>
  <c r="N444" i="52"/>
  <c r="O444" i="52"/>
  <c r="P444" i="52"/>
  <c r="Q444" i="52"/>
  <c r="R444" i="52"/>
  <c r="N445" i="52"/>
  <c r="O445" i="52"/>
  <c r="P445" i="52"/>
  <c r="Q445" i="52"/>
  <c r="R445" i="52"/>
  <c r="N446" i="52"/>
  <c r="O446" i="52"/>
  <c r="P446" i="52"/>
  <c r="Q446" i="52"/>
  <c r="R446" i="52"/>
  <c r="N447" i="52"/>
  <c r="O447" i="52"/>
  <c r="P447" i="52"/>
  <c r="Q447" i="52"/>
  <c r="R447" i="52"/>
  <c r="N448" i="52"/>
  <c r="O448" i="52"/>
  <c r="P448" i="52"/>
  <c r="Q448" i="52"/>
  <c r="R448" i="52"/>
  <c r="N449" i="52"/>
  <c r="O449" i="52"/>
  <c r="P449" i="52"/>
  <c r="Q449" i="52"/>
  <c r="R449" i="52"/>
  <c r="N450" i="52"/>
  <c r="O450" i="52"/>
  <c r="P450" i="52"/>
  <c r="Q450" i="52"/>
  <c r="R450" i="52"/>
  <c r="N451" i="52"/>
  <c r="O451" i="52"/>
  <c r="P451" i="52"/>
  <c r="Q451" i="52"/>
  <c r="R451" i="52"/>
  <c r="N452" i="52"/>
  <c r="O452" i="52"/>
  <c r="P452" i="52"/>
  <c r="Q452" i="52"/>
  <c r="R452" i="52"/>
  <c r="N453" i="52"/>
  <c r="O453" i="52"/>
  <c r="P453" i="52"/>
  <c r="Q453" i="52"/>
  <c r="R453" i="52"/>
  <c r="N454" i="52"/>
  <c r="O454" i="52"/>
  <c r="P454" i="52"/>
  <c r="Q454" i="52"/>
  <c r="R454" i="52"/>
  <c r="N455" i="52"/>
  <c r="O455" i="52"/>
  <c r="P455" i="52"/>
  <c r="Q455" i="52"/>
  <c r="R455" i="52"/>
  <c r="N456" i="52"/>
  <c r="O456" i="52"/>
  <c r="P456" i="52"/>
  <c r="Q456" i="52"/>
  <c r="R456" i="52"/>
  <c r="N457" i="52"/>
  <c r="O457" i="52"/>
  <c r="P457" i="52"/>
  <c r="Q457" i="52"/>
  <c r="R457" i="52"/>
  <c r="N458" i="52"/>
  <c r="O458" i="52"/>
  <c r="P458" i="52"/>
  <c r="Q458" i="52"/>
  <c r="R458" i="52"/>
  <c r="N459" i="52"/>
  <c r="O459" i="52"/>
  <c r="P459" i="52"/>
  <c r="Q459" i="52"/>
  <c r="R459" i="52"/>
  <c r="N460" i="52"/>
  <c r="O460" i="52"/>
  <c r="P460" i="52"/>
  <c r="Q460" i="52"/>
  <c r="R460" i="52"/>
  <c r="N461" i="52"/>
  <c r="O461" i="52"/>
  <c r="P461" i="52"/>
  <c r="Q461" i="52"/>
  <c r="R461" i="52"/>
  <c r="N462" i="52"/>
  <c r="O462" i="52"/>
  <c r="P462" i="52"/>
  <c r="Q462" i="52"/>
  <c r="R462" i="52"/>
  <c r="N463" i="52"/>
  <c r="O463" i="52"/>
  <c r="P463" i="52"/>
  <c r="Q463" i="52"/>
  <c r="R463" i="52"/>
  <c r="N464" i="52"/>
  <c r="O464" i="52"/>
  <c r="P464" i="52"/>
  <c r="Q464" i="52"/>
  <c r="R464" i="52"/>
  <c r="N465" i="52"/>
  <c r="O465" i="52"/>
  <c r="P465" i="52"/>
  <c r="Q465" i="52"/>
  <c r="R465" i="52"/>
  <c r="N466" i="52"/>
  <c r="O466" i="52"/>
  <c r="P466" i="52"/>
  <c r="Q466" i="52"/>
  <c r="R466" i="52"/>
  <c r="N467" i="52"/>
  <c r="O467" i="52"/>
  <c r="P467" i="52"/>
  <c r="Q467" i="52"/>
  <c r="R467" i="52"/>
  <c r="N468" i="52"/>
  <c r="O468" i="52"/>
  <c r="P468" i="52"/>
  <c r="Q468" i="52"/>
  <c r="R468" i="52"/>
  <c r="N469" i="52"/>
  <c r="O469" i="52"/>
  <c r="P469" i="52"/>
  <c r="Q469" i="52"/>
  <c r="R469" i="52"/>
  <c r="N470" i="52"/>
  <c r="O470" i="52"/>
  <c r="P470" i="52"/>
  <c r="Q470" i="52"/>
  <c r="R470" i="52"/>
  <c r="N471" i="52"/>
  <c r="O471" i="52"/>
  <c r="P471" i="52"/>
  <c r="Q471" i="52"/>
  <c r="R471" i="52"/>
  <c r="N472" i="52"/>
  <c r="E30" i="4" s="1"/>
  <c r="O472" i="52"/>
  <c r="P472" i="52"/>
  <c r="Q472" i="52"/>
  <c r="R472" i="52"/>
  <c r="N473" i="52"/>
  <c r="O473" i="52"/>
  <c r="P473" i="52"/>
  <c r="Q473" i="52"/>
  <c r="R473" i="52"/>
  <c r="N474" i="52"/>
  <c r="O474" i="52"/>
  <c r="P474" i="52"/>
  <c r="Q474" i="52"/>
  <c r="R474" i="52"/>
  <c r="N475" i="52"/>
  <c r="O475" i="52"/>
  <c r="P475" i="52"/>
  <c r="Q475" i="52"/>
  <c r="R475" i="52"/>
  <c r="N476" i="52"/>
  <c r="O476" i="52"/>
  <c r="P476" i="52"/>
  <c r="Q476" i="52"/>
  <c r="R476" i="52"/>
  <c r="N477" i="52"/>
  <c r="O477" i="52"/>
  <c r="P477" i="52"/>
  <c r="Q477" i="52"/>
  <c r="R477" i="52"/>
  <c r="N478" i="52"/>
  <c r="O478" i="52"/>
  <c r="P478" i="52"/>
  <c r="Q478" i="52"/>
  <c r="R478" i="52"/>
  <c r="N479" i="52"/>
  <c r="O479" i="52"/>
  <c r="P479" i="52"/>
  <c r="Q479" i="52"/>
  <c r="R479" i="52"/>
  <c r="N480" i="52"/>
  <c r="O480" i="52"/>
  <c r="P480" i="52"/>
  <c r="Q480" i="52"/>
  <c r="R480" i="52"/>
  <c r="N481" i="52"/>
  <c r="E31" i="4" s="1"/>
  <c r="O481" i="52"/>
  <c r="P481" i="52"/>
  <c r="Q481" i="52"/>
  <c r="R481" i="52"/>
  <c r="N482" i="52"/>
  <c r="O482" i="52"/>
  <c r="P482" i="52"/>
  <c r="Q482" i="52"/>
  <c r="R482" i="52"/>
  <c r="N483" i="52"/>
  <c r="O483" i="52"/>
  <c r="P483" i="52"/>
  <c r="Q483" i="52"/>
  <c r="R483" i="52"/>
  <c r="N484" i="52"/>
  <c r="O484" i="52"/>
  <c r="AE16" i="49" s="1"/>
  <c r="P484" i="52"/>
  <c r="AD16" i="49" s="1"/>
  <c r="Q484" i="52"/>
  <c r="AC16" i="49" s="1"/>
  <c r="R484" i="52"/>
  <c r="AB16" i="49" s="1"/>
  <c r="N485" i="52"/>
  <c r="O485" i="52"/>
  <c r="AE19" i="49" s="1"/>
  <c r="P485" i="52"/>
  <c r="AD19" i="49" s="1"/>
  <c r="Q485" i="52"/>
  <c r="AC19" i="49" s="1"/>
  <c r="R485" i="52"/>
  <c r="AB19" i="49" s="1"/>
  <c r="N486" i="52"/>
  <c r="E34" i="4" s="1"/>
  <c r="O486" i="52"/>
  <c r="P486" i="52"/>
  <c r="Q486" i="52"/>
  <c r="R486" i="52"/>
  <c r="N487" i="52"/>
  <c r="O487" i="52"/>
  <c r="P487" i="52"/>
  <c r="Q487" i="52"/>
  <c r="R487" i="52"/>
  <c r="N488" i="52"/>
  <c r="O488" i="52"/>
  <c r="P488" i="52"/>
  <c r="Q488" i="52"/>
  <c r="R488" i="52"/>
  <c r="N489" i="52"/>
  <c r="O489" i="52"/>
  <c r="P489" i="52"/>
  <c r="Q489" i="52"/>
  <c r="R489" i="52"/>
  <c r="N490" i="52"/>
  <c r="O490" i="52"/>
  <c r="P490" i="52"/>
  <c r="Q490" i="52"/>
  <c r="R490" i="52"/>
  <c r="N491" i="52"/>
  <c r="O491" i="52"/>
  <c r="P491" i="52"/>
  <c r="Q491" i="52"/>
  <c r="R491" i="52"/>
  <c r="N492" i="52"/>
  <c r="AF11" i="49" s="1"/>
  <c r="O492" i="52"/>
  <c r="AE11" i="49" s="1"/>
  <c r="P492" i="52"/>
  <c r="AD11" i="49" s="1"/>
  <c r="Q492" i="52"/>
  <c r="AC11" i="49" s="1"/>
  <c r="R492" i="52"/>
  <c r="AB11" i="49" s="1"/>
  <c r="N493" i="52"/>
  <c r="O493" i="52"/>
  <c r="P493" i="52"/>
  <c r="Q493" i="52"/>
  <c r="R493" i="52"/>
  <c r="N494" i="52"/>
  <c r="O494" i="52"/>
  <c r="P494" i="52"/>
  <c r="Q494" i="52"/>
  <c r="R494" i="52"/>
  <c r="N495" i="52"/>
  <c r="O495" i="52"/>
  <c r="AE9" i="49" s="1"/>
  <c r="P495" i="52"/>
  <c r="AD9" i="49" s="1"/>
  <c r="Q495" i="52"/>
  <c r="AC9" i="49" s="1"/>
  <c r="R495" i="52"/>
  <c r="AB9" i="49" s="1"/>
  <c r="N496" i="52"/>
  <c r="E36" i="4" s="1"/>
  <c r="O496" i="52"/>
  <c r="P496" i="52"/>
  <c r="Q496" i="52"/>
  <c r="R496" i="52"/>
  <c r="N497" i="52"/>
  <c r="E37" i="4" s="1"/>
  <c r="O497" i="52"/>
  <c r="P497" i="52"/>
  <c r="Q497" i="52"/>
  <c r="R497" i="52"/>
  <c r="N498" i="52"/>
  <c r="E38" i="4" s="1"/>
  <c r="O498" i="52"/>
  <c r="P498" i="52"/>
  <c r="Q498" i="52"/>
  <c r="R498" i="52"/>
  <c r="N499" i="52"/>
  <c r="E39" i="4" s="1"/>
  <c r="O499" i="52"/>
  <c r="P499" i="52"/>
  <c r="Q499" i="52"/>
  <c r="R499" i="52"/>
  <c r="N500" i="52"/>
  <c r="E40" i="4" s="1"/>
  <c r="O500" i="52"/>
  <c r="P500" i="52"/>
  <c r="Q500" i="52"/>
  <c r="R500" i="52"/>
  <c r="N501" i="52"/>
  <c r="E41" i="4" s="1"/>
  <c r="O501" i="52"/>
  <c r="P501" i="52"/>
  <c r="Q501" i="52"/>
  <c r="R501" i="52"/>
  <c r="N502" i="52"/>
  <c r="O502" i="52"/>
  <c r="P502" i="52"/>
  <c r="Q502" i="52"/>
  <c r="R502" i="52"/>
  <c r="N503" i="52"/>
  <c r="O503" i="52"/>
  <c r="P503" i="52"/>
  <c r="Q503" i="52"/>
  <c r="R503" i="52"/>
  <c r="N504" i="52"/>
  <c r="E42" i="4" s="1"/>
  <c r="O504" i="52"/>
  <c r="P504" i="52"/>
  <c r="Q504" i="52"/>
  <c r="R504" i="52"/>
  <c r="N505" i="52"/>
  <c r="O505" i="52"/>
  <c r="P505" i="52"/>
  <c r="Q505" i="52"/>
  <c r="R505" i="52"/>
  <c r="N506" i="52"/>
  <c r="O506" i="52"/>
  <c r="P506" i="52"/>
  <c r="Q506" i="52"/>
  <c r="R506" i="52"/>
  <c r="N507" i="52"/>
  <c r="O507" i="52"/>
  <c r="P507" i="52"/>
  <c r="Q507" i="52"/>
  <c r="R507" i="52"/>
  <c r="N508" i="52"/>
  <c r="O508" i="52"/>
  <c r="P508" i="52"/>
  <c r="Q508" i="52"/>
  <c r="R508" i="52"/>
  <c r="N509" i="52"/>
  <c r="O509" i="52"/>
  <c r="P509" i="52"/>
  <c r="Q509" i="52"/>
  <c r="R509" i="52"/>
  <c r="N510" i="52"/>
  <c r="O510" i="52"/>
  <c r="P510" i="52"/>
  <c r="Q510" i="52"/>
  <c r="R510" i="52"/>
  <c r="N511" i="52"/>
  <c r="O511" i="52"/>
  <c r="P511" i="52"/>
  <c r="Q511" i="52"/>
  <c r="R511" i="52"/>
  <c r="N512" i="52"/>
  <c r="O512" i="52"/>
  <c r="P512" i="52"/>
  <c r="Q512" i="52"/>
  <c r="R512" i="52"/>
  <c r="N513" i="52"/>
  <c r="O513" i="52"/>
  <c r="P513" i="52"/>
  <c r="Q513" i="52"/>
  <c r="R513" i="52"/>
  <c r="N514" i="52"/>
  <c r="O514" i="52"/>
  <c r="P514" i="52"/>
  <c r="Q514" i="52"/>
  <c r="R514" i="52"/>
  <c r="N515" i="52"/>
  <c r="O515" i="52"/>
  <c r="P515" i="52"/>
  <c r="Q515" i="52"/>
  <c r="R515" i="52"/>
  <c r="N516" i="52"/>
  <c r="O516" i="52"/>
  <c r="P516" i="52"/>
  <c r="Q516" i="52"/>
  <c r="R516" i="52"/>
  <c r="N517" i="52"/>
  <c r="O517" i="52"/>
  <c r="P517" i="52"/>
  <c r="Q517" i="52"/>
  <c r="R517" i="52"/>
  <c r="N518" i="52"/>
  <c r="O518" i="52"/>
  <c r="P518" i="52"/>
  <c r="Q518" i="52"/>
  <c r="R518" i="52"/>
  <c r="N519" i="52"/>
  <c r="O519" i="52"/>
  <c r="P519" i="52"/>
  <c r="Q519" i="52"/>
  <c r="R519" i="52"/>
  <c r="N520" i="52"/>
  <c r="O520" i="52"/>
  <c r="P520" i="52"/>
  <c r="Q520" i="52"/>
  <c r="R520" i="52"/>
  <c r="N521" i="52"/>
  <c r="O521" i="52"/>
  <c r="P521" i="52"/>
  <c r="Q521" i="52"/>
  <c r="R521" i="52"/>
  <c r="N522" i="52"/>
  <c r="O522" i="52"/>
  <c r="P522" i="52"/>
  <c r="Q522" i="52"/>
  <c r="R522" i="52"/>
  <c r="N523" i="52"/>
  <c r="O523" i="52"/>
  <c r="P523" i="52"/>
  <c r="Q523" i="52"/>
  <c r="R523" i="52"/>
  <c r="N524" i="52"/>
  <c r="O524" i="52"/>
  <c r="P524" i="52"/>
  <c r="Q524" i="52"/>
  <c r="R524" i="52"/>
  <c r="N525" i="52"/>
  <c r="O525" i="52"/>
  <c r="P525" i="52"/>
  <c r="Q525" i="52"/>
  <c r="R525" i="52"/>
  <c r="N526" i="52"/>
  <c r="O526" i="52"/>
  <c r="P526" i="52"/>
  <c r="Q526" i="52"/>
  <c r="R526" i="52"/>
  <c r="N527" i="52"/>
  <c r="O527" i="52"/>
  <c r="P527" i="52"/>
  <c r="Q527" i="52"/>
  <c r="R527" i="52"/>
  <c r="N528" i="52"/>
  <c r="O528" i="52"/>
  <c r="P528" i="52"/>
  <c r="Q528" i="52"/>
  <c r="R528" i="52"/>
  <c r="N529" i="52"/>
  <c r="E43" i="4" s="1"/>
  <c r="O529" i="52"/>
  <c r="P529" i="52"/>
  <c r="Q529" i="52"/>
  <c r="R529" i="52"/>
  <c r="N530" i="52"/>
  <c r="O530" i="52"/>
  <c r="P530" i="52"/>
  <c r="Q530" i="52"/>
  <c r="R530" i="52"/>
  <c r="N531" i="52"/>
  <c r="O531" i="52"/>
  <c r="AE10" i="49" s="1"/>
  <c r="P531" i="52"/>
  <c r="AD10" i="49" s="1"/>
  <c r="Q531" i="52"/>
  <c r="AC10" i="49" s="1"/>
  <c r="R531" i="52"/>
  <c r="AB10" i="49" s="1"/>
  <c r="N532" i="52"/>
  <c r="O532" i="52"/>
  <c r="P532" i="52"/>
  <c r="Q532" i="52"/>
  <c r="R532" i="52"/>
  <c r="N533" i="52"/>
  <c r="O533" i="52"/>
  <c r="P533" i="52"/>
  <c r="Q533" i="52"/>
  <c r="R533" i="52"/>
  <c r="N534" i="52"/>
  <c r="O534" i="52"/>
  <c r="P534" i="52"/>
  <c r="Q534" i="52"/>
  <c r="R534" i="52"/>
  <c r="N535" i="52"/>
  <c r="O535" i="52"/>
  <c r="P535" i="52"/>
  <c r="Q535" i="52"/>
  <c r="R535" i="52"/>
  <c r="N536" i="52"/>
  <c r="O536" i="52"/>
  <c r="P536" i="52"/>
  <c r="Q536" i="52"/>
  <c r="R536" i="52"/>
  <c r="N537" i="52"/>
  <c r="O537" i="52"/>
  <c r="P537" i="52"/>
  <c r="Q537" i="52"/>
  <c r="R537" i="52"/>
  <c r="N538" i="52"/>
  <c r="O538" i="52"/>
  <c r="P538" i="52"/>
  <c r="Q538" i="52"/>
  <c r="R538" i="52"/>
  <c r="N539" i="52"/>
  <c r="E45" i="4" s="1"/>
  <c r="O539" i="52"/>
  <c r="P539" i="52"/>
  <c r="Q539" i="52"/>
  <c r="R539" i="52"/>
  <c r="N540" i="52"/>
  <c r="O540" i="52"/>
  <c r="P540" i="52"/>
  <c r="Q540" i="52"/>
  <c r="R540" i="52"/>
  <c r="N541" i="52"/>
  <c r="E46" i="4" s="1"/>
  <c r="O541" i="52"/>
  <c r="P541" i="52"/>
  <c r="Q541" i="52"/>
  <c r="R541" i="52"/>
  <c r="N542" i="52"/>
  <c r="O542" i="52"/>
  <c r="P542" i="52"/>
  <c r="Q542" i="52"/>
  <c r="R542" i="52"/>
  <c r="N543" i="52"/>
  <c r="O543" i="52"/>
  <c r="P543" i="52"/>
  <c r="Q543" i="52"/>
  <c r="R543" i="52"/>
  <c r="N544" i="52"/>
  <c r="O544" i="52"/>
  <c r="P544" i="52"/>
  <c r="Q544" i="52"/>
  <c r="R544" i="52"/>
  <c r="N545" i="52"/>
  <c r="O545" i="52"/>
  <c r="P545" i="52"/>
  <c r="Q545" i="52"/>
  <c r="R545" i="52"/>
  <c r="N546" i="52"/>
  <c r="O546" i="52"/>
  <c r="P546" i="52"/>
  <c r="Q546" i="52"/>
  <c r="R546" i="52"/>
  <c r="N547" i="52"/>
  <c r="O547" i="52"/>
  <c r="P547" i="52"/>
  <c r="Q547" i="52"/>
  <c r="R547" i="52"/>
  <c r="N548" i="52"/>
  <c r="O548" i="52"/>
  <c r="P548" i="52"/>
  <c r="Q548" i="52"/>
  <c r="R548" i="52"/>
  <c r="N549" i="52"/>
  <c r="E47" i="4" s="1"/>
  <c r="O549" i="52"/>
  <c r="P549" i="52"/>
  <c r="Q549" i="52"/>
  <c r="R549" i="52"/>
  <c r="N550" i="52"/>
  <c r="O550" i="52"/>
  <c r="P550" i="52"/>
  <c r="Q550" i="52"/>
  <c r="R550" i="52"/>
  <c r="N551" i="52"/>
  <c r="O551" i="52"/>
  <c r="P551" i="52"/>
  <c r="Q551" i="52"/>
  <c r="R551" i="52"/>
  <c r="N552" i="52"/>
  <c r="O552" i="52"/>
  <c r="P552" i="52"/>
  <c r="Q552" i="52"/>
  <c r="R552" i="52"/>
  <c r="N553" i="52"/>
  <c r="O553" i="52"/>
  <c r="P553" i="52"/>
  <c r="Q553" i="52"/>
  <c r="R553" i="52"/>
  <c r="N554" i="52"/>
  <c r="O554" i="52"/>
  <c r="P554" i="52"/>
  <c r="Q554" i="52"/>
  <c r="R554" i="52"/>
  <c r="N555" i="52"/>
  <c r="O555" i="52"/>
  <c r="P555" i="52"/>
  <c r="Q555" i="52"/>
  <c r="R555" i="52"/>
  <c r="N556" i="52"/>
  <c r="O556" i="52"/>
  <c r="P556" i="52"/>
  <c r="Q556" i="52"/>
  <c r="R556" i="52"/>
  <c r="N557" i="52"/>
  <c r="O557" i="52"/>
  <c r="P557" i="52"/>
  <c r="Q557" i="52"/>
  <c r="R557" i="52"/>
  <c r="N558" i="52"/>
  <c r="O558" i="52"/>
  <c r="P558" i="52"/>
  <c r="Q558" i="52"/>
  <c r="R558" i="52"/>
  <c r="N559" i="52"/>
  <c r="O559" i="52"/>
  <c r="P559" i="52"/>
  <c r="Q559" i="52"/>
  <c r="R559" i="52"/>
  <c r="N560" i="52"/>
  <c r="O560" i="52"/>
  <c r="P560" i="52"/>
  <c r="Q560" i="52"/>
  <c r="R560" i="52"/>
  <c r="N561" i="52"/>
  <c r="O561" i="52"/>
  <c r="P561" i="52"/>
  <c r="Q561" i="52"/>
  <c r="R561" i="52"/>
  <c r="N562" i="52"/>
  <c r="O562" i="52"/>
  <c r="P562" i="52"/>
  <c r="Q562" i="52"/>
  <c r="R562" i="52"/>
  <c r="N563" i="52"/>
  <c r="O563" i="52"/>
  <c r="P563" i="52"/>
  <c r="Q563" i="52"/>
  <c r="R563" i="52"/>
  <c r="N564" i="52"/>
  <c r="O564" i="52"/>
  <c r="P564" i="52"/>
  <c r="Q564" i="52"/>
  <c r="R564" i="52"/>
  <c r="N565" i="52"/>
  <c r="O565" i="52"/>
  <c r="P565" i="52"/>
  <c r="Q565" i="52"/>
  <c r="R565" i="52"/>
  <c r="N566" i="52"/>
  <c r="O566" i="52"/>
  <c r="P566" i="52"/>
  <c r="Q566" i="52"/>
  <c r="R566" i="52"/>
  <c r="N567" i="52"/>
  <c r="O567" i="52"/>
  <c r="P567" i="52"/>
  <c r="Q567" i="52"/>
  <c r="R567" i="52"/>
  <c r="N568" i="52"/>
  <c r="O568" i="52"/>
  <c r="P568" i="52"/>
  <c r="Q568" i="52"/>
  <c r="R568" i="52"/>
  <c r="N569" i="52"/>
  <c r="O569" i="52"/>
  <c r="P569" i="52"/>
  <c r="Q569" i="52"/>
  <c r="R569" i="52"/>
  <c r="N570" i="52"/>
  <c r="O570" i="52"/>
  <c r="P570" i="52"/>
  <c r="Q570" i="52"/>
  <c r="R570" i="52"/>
  <c r="N571" i="52"/>
  <c r="O571" i="52"/>
  <c r="P571" i="52"/>
  <c r="Q571" i="52"/>
  <c r="R571" i="52"/>
  <c r="N572" i="52"/>
  <c r="O572" i="52"/>
  <c r="P572" i="52"/>
  <c r="Q572" i="52"/>
  <c r="R572" i="52"/>
  <c r="N573" i="52"/>
  <c r="O573" i="52"/>
  <c r="P573" i="52"/>
  <c r="Q573" i="52"/>
  <c r="R573" i="52"/>
  <c r="N574" i="52"/>
  <c r="O574" i="52"/>
  <c r="P574" i="52"/>
  <c r="Q574" i="52"/>
  <c r="R574" i="52"/>
  <c r="N575" i="52"/>
  <c r="O575" i="52"/>
  <c r="P575" i="52"/>
  <c r="Q575" i="52"/>
  <c r="R575" i="52"/>
  <c r="N576" i="52"/>
  <c r="O576" i="52"/>
  <c r="P576" i="52"/>
  <c r="Q576" i="52"/>
  <c r="R576" i="52"/>
  <c r="N577" i="52"/>
  <c r="O577" i="52"/>
  <c r="P577" i="52"/>
  <c r="Q577" i="52"/>
  <c r="R577" i="52"/>
  <c r="N578" i="52"/>
  <c r="O578" i="52"/>
  <c r="P578" i="52"/>
  <c r="Q578" i="52"/>
  <c r="R578" i="52"/>
  <c r="N579" i="52"/>
  <c r="O579" i="52"/>
  <c r="P579" i="52"/>
  <c r="Q579" i="52"/>
  <c r="R579" i="52"/>
  <c r="N580" i="52"/>
  <c r="O580" i="52"/>
  <c r="P580" i="52"/>
  <c r="Q580" i="52"/>
  <c r="R580" i="52"/>
  <c r="N581" i="52"/>
  <c r="O581" i="52"/>
  <c r="P581" i="52"/>
  <c r="Q581" i="52"/>
  <c r="R581" i="52"/>
  <c r="N582" i="52"/>
  <c r="O582" i="52"/>
  <c r="P582" i="52"/>
  <c r="Q582" i="52"/>
  <c r="R582" i="52"/>
  <c r="N583" i="52"/>
  <c r="O583" i="52"/>
  <c r="P583" i="52"/>
  <c r="Q583" i="52"/>
  <c r="R583" i="52"/>
  <c r="N584" i="52"/>
  <c r="O584" i="52"/>
  <c r="P584" i="52"/>
  <c r="Q584" i="52"/>
  <c r="R584" i="52"/>
  <c r="N585" i="52"/>
  <c r="O585" i="52"/>
  <c r="P585" i="52"/>
  <c r="Q585" i="52"/>
  <c r="R585" i="52"/>
  <c r="N586" i="52"/>
  <c r="O586" i="52"/>
  <c r="P586" i="52"/>
  <c r="Q586" i="52"/>
  <c r="R586" i="52"/>
  <c r="N587" i="52"/>
  <c r="O587" i="52"/>
  <c r="P587" i="52"/>
  <c r="Q587" i="52"/>
  <c r="R587" i="52"/>
  <c r="N588" i="52"/>
  <c r="O588" i="52"/>
  <c r="AE18" i="49" s="1"/>
  <c r="P588" i="52"/>
  <c r="AD18" i="49" s="1"/>
  <c r="Q588" i="52"/>
  <c r="AC18" i="49" s="1"/>
  <c r="R588" i="52"/>
  <c r="AB18" i="49" s="1"/>
  <c r="N589" i="52"/>
  <c r="O589" i="52"/>
  <c r="AE13" i="49" s="1"/>
  <c r="P589" i="52"/>
  <c r="AD13" i="49" s="1"/>
  <c r="Q589" i="52"/>
  <c r="AC13" i="49" s="1"/>
  <c r="R589" i="52"/>
  <c r="AB13" i="49" s="1"/>
  <c r="N590" i="52"/>
  <c r="O590" i="52"/>
  <c r="P590" i="52"/>
  <c r="Q590" i="52"/>
  <c r="R590" i="52"/>
  <c r="N591" i="52"/>
  <c r="O591" i="52"/>
  <c r="P591" i="52"/>
  <c r="Q591" i="52"/>
  <c r="R591" i="52"/>
  <c r="N592" i="52"/>
  <c r="O592" i="52"/>
  <c r="P592" i="52"/>
  <c r="Q592" i="52"/>
  <c r="R592" i="52"/>
  <c r="N593" i="52"/>
  <c r="O593" i="52"/>
  <c r="P593" i="52"/>
  <c r="Q593" i="52"/>
  <c r="R593" i="52"/>
  <c r="N594" i="52"/>
  <c r="O594" i="52"/>
  <c r="P594" i="52"/>
  <c r="Q594" i="52"/>
  <c r="R594" i="52"/>
  <c r="N595" i="52"/>
  <c r="O595" i="52"/>
  <c r="P595" i="52"/>
  <c r="Q595" i="52"/>
  <c r="R595" i="52"/>
  <c r="N596" i="52"/>
  <c r="O596" i="52"/>
  <c r="P596" i="52"/>
  <c r="Q596" i="52"/>
  <c r="R596" i="52"/>
  <c r="N597" i="52"/>
  <c r="O597" i="52"/>
  <c r="P597" i="52"/>
  <c r="Q597" i="52"/>
  <c r="R597" i="52"/>
  <c r="N598" i="52"/>
  <c r="O598" i="52"/>
  <c r="P598" i="52"/>
  <c r="Q598" i="52"/>
  <c r="R598" i="52"/>
  <c r="N599" i="52"/>
  <c r="O599" i="52"/>
  <c r="P599" i="52"/>
  <c r="Q599" i="52"/>
  <c r="R599" i="52"/>
  <c r="N600" i="52"/>
  <c r="O600" i="52"/>
  <c r="P600" i="52"/>
  <c r="Q600" i="52"/>
  <c r="R600" i="52"/>
  <c r="N601" i="52"/>
  <c r="O601" i="52"/>
  <c r="P601" i="52"/>
  <c r="Q601" i="52"/>
  <c r="R601" i="52"/>
  <c r="N602" i="52"/>
  <c r="O602" i="52"/>
  <c r="P602" i="52"/>
  <c r="Q602" i="52"/>
  <c r="R602" i="52"/>
  <c r="N603" i="52"/>
  <c r="O603" i="52"/>
  <c r="P603" i="52"/>
  <c r="Q603" i="52"/>
  <c r="R603" i="52"/>
  <c r="N604" i="52"/>
  <c r="O604" i="52"/>
  <c r="P604" i="52"/>
  <c r="Q604" i="52"/>
  <c r="R604" i="52"/>
  <c r="N605" i="52"/>
  <c r="O605" i="52"/>
  <c r="P605" i="52"/>
  <c r="Q605" i="52"/>
  <c r="R605" i="52"/>
  <c r="N606" i="52"/>
  <c r="O606" i="52"/>
  <c r="P606" i="52"/>
  <c r="Q606" i="52"/>
  <c r="R606" i="52"/>
  <c r="N607" i="52"/>
  <c r="O607" i="52"/>
  <c r="P607" i="52"/>
  <c r="Q607" i="52"/>
  <c r="R607" i="52"/>
  <c r="N608" i="52"/>
  <c r="O608" i="52"/>
  <c r="P608" i="52"/>
  <c r="Q608" i="52"/>
  <c r="R608" i="52"/>
  <c r="N609" i="52"/>
  <c r="O609" i="52"/>
  <c r="P609" i="52"/>
  <c r="Q609" i="52"/>
  <c r="R609" i="52"/>
  <c r="N610" i="52"/>
  <c r="O610" i="52"/>
  <c r="P610" i="52"/>
  <c r="Q610" i="52"/>
  <c r="R610" i="52"/>
  <c r="N611" i="52"/>
  <c r="O611" i="52"/>
  <c r="P611" i="52"/>
  <c r="Q611" i="52"/>
  <c r="R611" i="52"/>
  <c r="N612" i="52"/>
  <c r="O612" i="52"/>
  <c r="P612" i="52"/>
  <c r="Q612" i="52"/>
  <c r="R612" i="52"/>
  <c r="N613" i="52"/>
  <c r="O613" i="52"/>
  <c r="P613" i="52"/>
  <c r="Q613" i="52"/>
  <c r="R613" i="52"/>
  <c r="N614" i="52"/>
  <c r="O614" i="52"/>
  <c r="P614" i="52"/>
  <c r="Q614" i="52"/>
  <c r="R614" i="52"/>
  <c r="N615" i="52"/>
  <c r="O615" i="52"/>
  <c r="P615" i="52"/>
  <c r="Q615" i="52"/>
  <c r="R615" i="52"/>
  <c r="N616" i="52"/>
  <c r="O616" i="52"/>
  <c r="P616" i="52"/>
  <c r="Q616" i="52"/>
  <c r="R616" i="52"/>
  <c r="N617" i="52"/>
  <c r="O617" i="52"/>
  <c r="AE12" i="49" s="1"/>
  <c r="P617" i="52"/>
  <c r="AD12" i="49" s="1"/>
  <c r="Q617" i="52"/>
  <c r="AC12" i="49" s="1"/>
  <c r="R617" i="52"/>
  <c r="AB12" i="49" s="1"/>
  <c r="N618" i="52"/>
  <c r="O618" i="52"/>
  <c r="P618" i="52"/>
  <c r="Q618" i="52"/>
  <c r="R618" i="52"/>
  <c r="N619" i="52"/>
  <c r="O619" i="52"/>
  <c r="P619" i="52"/>
  <c r="Q619" i="52"/>
  <c r="R619" i="52"/>
  <c r="N620" i="52"/>
  <c r="O620" i="52"/>
  <c r="P620" i="52"/>
  <c r="Q620" i="52"/>
  <c r="R620" i="52"/>
  <c r="N621" i="52"/>
  <c r="E51" i="4" s="1"/>
  <c r="O621" i="52"/>
  <c r="P621" i="52"/>
  <c r="Q621" i="52"/>
  <c r="R621" i="52"/>
  <c r="N622" i="52"/>
  <c r="E52" i="4" s="1"/>
  <c r="O622" i="52"/>
  <c r="P622" i="52"/>
  <c r="Q622" i="52"/>
  <c r="R622" i="52"/>
  <c r="N623" i="52"/>
  <c r="E53" i="4" s="1"/>
  <c r="O623" i="52"/>
  <c r="P623" i="52"/>
  <c r="Q623" i="52"/>
  <c r="R623" i="52"/>
  <c r="N624" i="52"/>
  <c r="E54" i="4" s="1"/>
  <c r="O624" i="52"/>
  <c r="P624" i="52"/>
  <c r="Q624" i="52"/>
  <c r="R624" i="52"/>
  <c r="N625" i="52"/>
  <c r="E55" i="4" s="1"/>
  <c r="O625" i="52"/>
  <c r="P625" i="52"/>
  <c r="Q625" i="52"/>
  <c r="R625" i="52"/>
  <c r="N626" i="52"/>
  <c r="E56" i="4" s="1"/>
  <c r="O626" i="52"/>
  <c r="P626" i="52"/>
  <c r="Q626" i="52"/>
  <c r="R626" i="52"/>
  <c r="N627" i="52"/>
  <c r="O627" i="52"/>
  <c r="AE14" i="49" s="1"/>
  <c r="P627" i="52"/>
  <c r="AD14" i="49" s="1"/>
  <c r="Q627" i="52"/>
  <c r="AC14" i="49" s="1"/>
  <c r="R627" i="52"/>
  <c r="AB14" i="49" s="1"/>
  <c r="N628" i="52"/>
  <c r="O628" i="52"/>
  <c r="P628" i="52"/>
  <c r="Q628" i="52"/>
  <c r="R628" i="52"/>
  <c r="N629" i="52"/>
  <c r="O629" i="52"/>
  <c r="P629" i="52"/>
  <c r="Q629" i="52"/>
  <c r="R629" i="52"/>
  <c r="N630" i="52"/>
  <c r="O630" i="52"/>
  <c r="P630" i="52"/>
  <c r="Q630" i="52"/>
  <c r="R630" i="52"/>
  <c r="N631" i="52"/>
  <c r="O631" i="52"/>
  <c r="P631" i="52"/>
  <c r="Q631" i="52"/>
  <c r="R631" i="52"/>
  <c r="N632" i="52"/>
  <c r="O632" i="52"/>
  <c r="P632" i="52"/>
  <c r="Q632" i="52"/>
  <c r="R632" i="52"/>
  <c r="N633" i="52"/>
  <c r="O633" i="52"/>
  <c r="P633" i="52"/>
  <c r="Q633" i="52"/>
  <c r="R633" i="52"/>
  <c r="N634" i="52"/>
  <c r="O634" i="52"/>
  <c r="P634" i="52"/>
  <c r="Q634" i="52"/>
  <c r="R634" i="52"/>
  <c r="N635" i="52"/>
  <c r="E58" i="4" s="1"/>
  <c r="O635" i="52"/>
  <c r="P635" i="52"/>
  <c r="Q635" i="52"/>
  <c r="R635" i="52"/>
  <c r="N636" i="52"/>
  <c r="O636" i="52"/>
  <c r="P636" i="52"/>
  <c r="Q636" i="52"/>
  <c r="R636" i="52"/>
  <c r="N637" i="52"/>
  <c r="O637" i="52"/>
  <c r="P637" i="52"/>
  <c r="Q637" i="52"/>
  <c r="R637" i="52"/>
  <c r="N638" i="52"/>
  <c r="O638" i="52"/>
  <c r="P638" i="52"/>
  <c r="Q638" i="52"/>
  <c r="R638" i="52"/>
  <c r="N639" i="52"/>
  <c r="O639" i="52"/>
  <c r="P639" i="52"/>
  <c r="Q639" i="52"/>
  <c r="R639" i="52"/>
  <c r="N640" i="52"/>
  <c r="O640" i="52"/>
  <c r="P640" i="52"/>
  <c r="Q640" i="52"/>
  <c r="R640" i="52"/>
  <c r="N641" i="52"/>
  <c r="O641" i="52"/>
  <c r="P641" i="52"/>
  <c r="Q641" i="52"/>
  <c r="R641" i="52"/>
  <c r="N642" i="52"/>
  <c r="O642" i="52"/>
  <c r="P642" i="52"/>
  <c r="Q642" i="52"/>
  <c r="R642" i="52"/>
  <c r="N643" i="52"/>
  <c r="O643" i="52"/>
  <c r="P643" i="52"/>
  <c r="Q643" i="52"/>
  <c r="R643" i="52"/>
  <c r="N644" i="52"/>
  <c r="O644" i="52"/>
  <c r="P644" i="52"/>
  <c r="Q644" i="52"/>
  <c r="R644" i="52"/>
  <c r="N645" i="52"/>
  <c r="O645" i="52"/>
  <c r="P645" i="52"/>
  <c r="Q645" i="52"/>
  <c r="R645" i="52"/>
  <c r="N646" i="52"/>
  <c r="O646" i="52"/>
  <c r="P646" i="52"/>
  <c r="Q646" i="52"/>
  <c r="R646" i="52"/>
  <c r="N647" i="52"/>
  <c r="O647" i="52"/>
  <c r="P647" i="52"/>
  <c r="Q647" i="52"/>
  <c r="R647" i="52"/>
  <c r="N648" i="52"/>
  <c r="O648" i="52"/>
  <c r="P648" i="52"/>
  <c r="Q648" i="52"/>
  <c r="R648" i="52"/>
  <c r="N649" i="52"/>
  <c r="O649" i="52"/>
  <c r="P649" i="52"/>
  <c r="Q649" i="52"/>
  <c r="R649" i="52"/>
  <c r="N650" i="52"/>
  <c r="O650" i="52"/>
  <c r="P650" i="52"/>
  <c r="Q650" i="52"/>
  <c r="R650" i="52"/>
  <c r="N651" i="52"/>
  <c r="O651" i="52"/>
  <c r="P651" i="52"/>
  <c r="Q651" i="52"/>
  <c r="R651" i="52"/>
  <c r="N652" i="52"/>
  <c r="O652" i="52"/>
  <c r="P652" i="52"/>
  <c r="Q652" i="52"/>
  <c r="R652" i="52"/>
  <c r="N653" i="52"/>
  <c r="O653" i="52"/>
  <c r="P653" i="52"/>
  <c r="Q653" i="52"/>
  <c r="R653" i="52"/>
  <c r="N654" i="52"/>
  <c r="O654" i="52"/>
  <c r="P654" i="52"/>
  <c r="Q654" i="52"/>
  <c r="R654" i="52"/>
  <c r="N655" i="52"/>
  <c r="O655" i="52"/>
  <c r="P655" i="52"/>
  <c r="Q655" i="52"/>
  <c r="R655" i="52"/>
  <c r="N656" i="52"/>
  <c r="O656" i="52"/>
  <c r="P656" i="52"/>
  <c r="Q656" i="52"/>
  <c r="R656" i="52"/>
  <c r="N657" i="52"/>
  <c r="O657" i="52"/>
  <c r="P657" i="52"/>
  <c r="Q657" i="52"/>
  <c r="R657" i="52"/>
  <c r="N658" i="52"/>
  <c r="O658" i="52"/>
  <c r="P658" i="52"/>
  <c r="Q658" i="52"/>
  <c r="R658" i="52"/>
  <c r="N659" i="52"/>
  <c r="O659" i="52"/>
  <c r="P659" i="52"/>
  <c r="Q659" i="52"/>
  <c r="R659" i="52"/>
  <c r="N660" i="52"/>
  <c r="O660" i="52"/>
  <c r="P660" i="52"/>
  <c r="Q660" i="52"/>
  <c r="R660" i="52"/>
  <c r="N661" i="52"/>
  <c r="O661" i="52"/>
  <c r="P661" i="52"/>
  <c r="Q661" i="52"/>
  <c r="R661" i="52"/>
  <c r="N662" i="52"/>
  <c r="O662" i="52"/>
  <c r="P662" i="52"/>
  <c r="Q662" i="52"/>
  <c r="R662" i="52"/>
  <c r="N663" i="52"/>
  <c r="O663" i="52"/>
  <c r="P663" i="52"/>
  <c r="Q663" i="52"/>
  <c r="R663" i="52"/>
  <c r="N664" i="52"/>
  <c r="O664" i="52"/>
  <c r="P664" i="52"/>
  <c r="Q664" i="52"/>
  <c r="R664" i="52"/>
  <c r="N665" i="52"/>
  <c r="O665" i="52"/>
  <c r="P665" i="52"/>
  <c r="Q665" i="52"/>
  <c r="R665" i="52"/>
  <c r="N666" i="52"/>
  <c r="O666" i="52"/>
  <c r="P666" i="52"/>
  <c r="Q666" i="52"/>
  <c r="R666" i="52"/>
  <c r="N667" i="52"/>
  <c r="O667" i="52"/>
  <c r="P667" i="52"/>
  <c r="Q667" i="52"/>
  <c r="R667" i="52"/>
  <c r="N668" i="52"/>
  <c r="O668" i="52"/>
  <c r="P668" i="52"/>
  <c r="Q668" i="52"/>
  <c r="R668" i="52"/>
  <c r="N669" i="52"/>
  <c r="O669" i="52"/>
  <c r="P669" i="52"/>
  <c r="Q669" i="52"/>
  <c r="R669" i="52"/>
  <c r="N670" i="52"/>
  <c r="O670" i="52"/>
  <c r="P670" i="52"/>
  <c r="Q670" i="52"/>
  <c r="R670" i="52"/>
  <c r="N671" i="52"/>
  <c r="O671" i="52"/>
  <c r="P671" i="52"/>
  <c r="Q671" i="52"/>
  <c r="R671" i="52"/>
  <c r="N672" i="52"/>
  <c r="O672" i="52"/>
  <c r="P672" i="52"/>
  <c r="Q672" i="52"/>
  <c r="R672" i="52"/>
  <c r="N673" i="52"/>
  <c r="O673" i="52"/>
  <c r="P673" i="52"/>
  <c r="Q673" i="52"/>
  <c r="R673" i="52"/>
  <c r="N674" i="52"/>
  <c r="O674" i="52"/>
  <c r="P674" i="52"/>
  <c r="Q674" i="52"/>
  <c r="R674" i="52"/>
  <c r="N675" i="52"/>
  <c r="O675" i="52"/>
  <c r="P675" i="52"/>
  <c r="Q675" i="52"/>
  <c r="R675" i="52"/>
  <c r="N676" i="52"/>
  <c r="O676" i="52"/>
  <c r="P676" i="52"/>
  <c r="Q676" i="52"/>
  <c r="R676" i="52"/>
  <c r="N677" i="52"/>
  <c r="O677" i="52"/>
  <c r="P677" i="52"/>
  <c r="Q677" i="52"/>
  <c r="R677" i="52"/>
  <c r="N678" i="52"/>
  <c r="O678" i="52"/>
  <c r="P678" i="52"/>
  <c r="Q678" i="52"/>
  <c r="R678" i="52"/>
  <c r="N679" i="52"/>
  <c r="O679" i="52"/>
  <c r="P679" i="52"/>
  <c r="Q679" i="52"/>
  <c r="R679" i="52"/>
  <c r="N680" i="52"/>
  <c r="O680" i="52"/>
  <c r="P680" i="52"/>
  <c r="Q680" i="52"/>
  <c r="R680" i="52"/>
  <c r="N681" i="52"/>
  <c r="O681" i="52"/>
  <c r="P681" i="52"/>
  <c r="Q681" i="52"/>
  <c r="R681" i="52"/>
  <c r="N682" i="52"/>
  <c r="O682" i="52"/>
  <c r="P682" i="52"/>
  <c r="Q682" i="52"/>
  <c r="R682" i="52"/>
  <c r="N683" i="52"/>
  <c r="O683" i="52"/>
  <c r="P683" i="52"/>
  <c r="Q683" i="52"/>
  <c r="R683" i="52"/>
  <c r="N684" i="52"/>
  <c r="O684" i="52"/>
  <c r="P684" i="52"/>
  <c r="Q684" i="52"/>
  <c r="R684" i="52"/>
  <c r="N685" i="52"/>
  <c r="O685" i="52"/>
  <c r="P685" i="52"/>
  <c r="Q685" i="52"/>
  <c r="R685" i="52"/>
  <c r="N686" i="52"/>
  <c r="O686" i="52"/>
  <c r="P686" i="52"/>
  <c r="Q686" i="52"/>
  <c r="R686" i="52"/>
  <c r="N687" i="52"/>
  <c r="O687" i="52"/>
  <c r="P687" i="52"/>
  <c r="Q687" i="52"/>
  <c r="R687" i="52"/>
  <c r="N688" i="52"/>
  <c r="O688" i="52"/>
  <c r="P688" i="52"/>
  <c r="Q688" i="52"/>
  <c r="R688" i="52"/>
  <c r="N689" i="52"/>
  <c r="O689" i="52"/>
  <c r="P689" i="52"/>
  <c r="Q689" i="52"/>
  <c r="R689" i="52"/>
  <c r="N690" i="52"/>
  <c r="O690" i="52"/>
  <c r="P690" i="52"/>
  <c r="Q690" i="52"/>
  <c r="R690" i="52"/>
  <c r="N691" i="52"/>
  <c r="O691" i="52"/>
  <c r="P691" i="52"/>
  <c r="Q691" i="52"/>
  <c r="R691" i="52"/>
  <c r="N692" i="52"/>
  <c r="O692" i="52"/>
  <c r="P692" i="52"/>
  <c r="Q692" i="52"/>
  <c r="R692" i="52"/>
  <c r="N693" i="52"/>
  <c r="O693" i="52"/>
  <c r="P693" i="52"/>
  <c r="Q693" i="52"/>
  <c r="R693" i="52"/>
  <c r="N694" i="52"/>
  <c r="O694" i="52"/>
  <c r="P694" i="52"/>
  <c r="Q694" i="52"/>
  <c r="R694" i="52"/>
  <c r="N695" i="52"/>
  <c r="O695" i="52"/>
  <c r="P695" i="52"/>
  <c r="Q695" i="52"/>
  <c r="R695" i="52"/>
  <c r="N696" i="52"/>
  <c r="O696" i="52"/>
  <c r="P696" i="52"/>
  <c r="Q696" i="52"/>
  <c r="R696" i="52"/>
  <c r="N697" i="52"/>
  <c r="O697" i="52"/>
  <c r="P697" i="52"/>
  <c r="Q697" i="52"/>
  <c r="R697" i="52"/>
  <c r="N698" i="52"/>
  <c r="O698" i="52"/>
  <c r="P698" i="52"/>
  <c r="Q698" i="52"/>
  <c r="R698" i="52"/>
  <c r="N699" i="52"/>
  <c r="O699" i="52"/>
  <c r="P699" i="52"/>
  <c r="Q699" i="52"/>
  <c r="R699" i="52"/>
  <c r="N700" i="52"/>
  <c r="O700" i="52"/>
  <c r="P700" i="52"/>
  <c r="Q700" i="52"/>
  <c r="R700" i="52"/>
  <c r="N701" i="52"/>
  <c r="O701" i="52"/>
  <c r="AE17" i="49" s="1"/>
  <c r="P701" i="52"/>
  <c r="AD17" i="49" s="1"/>
  <c r="Q701" i="52"/>
  <c r="AC17" i="49" s="1"/>
  <c r="R701" i="52"/>
  <c r="AB17" i="49" s="1"/>
  <c r="N702" i="52"/>
  <c r="O702" i="52"/>
  <c r="AE22" i="49" s="1"/>
  <c r="P702" i="52"/>
  <c r="AD22" i="49" s="1"/>
  <c r="Q702" i="52"/>
  <c r="AC22" i="49" s="1"/>
  <c r="R702" i="52"/>
  <c r="AB22" i="49" s="1"/>
  <c r="N703" i="52"/>
  <c r="O703" i="52"/>
  <c r="P703" i="52"/>
  <c r="Q703" i="52"/>
  <c r="R703" i="52"/>
  <c r="N704" i="52"/>
  <c r="E61" i="4" s="1"/>
  <c r="O704" i="52"/>
  <c r="P704" i="52"/>
  <c r="Q704" i="52"/>
  <c r="R704" i="52"/>
  <c r="N705" i="52"/>
  <c r="O705" i="52"/>
  <c r="P705" i="52"/>
  <c r="Q705" i="52"/>
  <c r="R705" i="52"/>
  <c r="N706" i="52"/>
  <c r="E62" i="4" s="1"/>
  <c r="O706" i="52"/>
  <c r="P706" i="52"/>
  <c r="Q706" i="52"/>
  <c r="R706" i="52"/>
  <c r="N707" i="52"/>
  <c r="E63" i="4" s="1"/>
  <c r="O707" i="52"/>
  <c r="P707" i="52"/>
  <c r="Q707" i="52"/>
  <c r="R707" i="52"/>
  <c r="N708" i="52"/>
  <c r="O708" i="52"/>
  <c r="P708" i="52"/>
  <c r="Q708" i="52"/>
  <c r="R708" i="52"/>
  <c r="N709" i="52"/>
  <c r="E64" i="4" s="1"/>
  <c r="O709" i="52"/>
  <c r="P709" i="52"/>
  <c r="Q709" i="52"/>
  <c r="R709" i="52"/>
  <c r="N710" i="52"/>
  <c r="O710" i="52"/>
  <c r="P710" i="52"/>
  <c r="Q710" i="52"/>
  <c r="R710" i="52"/>
  <c r="N711" i="52"/>
  <c r="AF23" i="49" s="1"/>
  <c r="O711" i="52"/>
  <c r="AE23" i="49" s="1"/>
  <c r="P711" i="52"/>
  <c r="AD23" i="49" s="1"/>
  <c r="Q711" i="52"/>
  <c r="AC23" i="49" s="1"/>
  <c r="R711" i="52"/>
  <c r="AB23" i="49" s="1"/>
  <c r="N712" i="52"/>
  <c r="O712" i="52"/>
  <c r="P712" i="52"/>
  <c r="Q712" i="52"/>
  <c r="R712" i="52"/>
  <c r="N713" i="52"/>
  <c r="O713" i="52"/>
  <c r="P713" i="52"/>
  <c r="Q713" i="52"/>
  <c r="R713" i="52"/>
  <c r="N714" i="52"/>
  <c r="O714" i="52"/>
  <c r="P714" i="52"/>
  <c r="Q714" i="52"/>
  <c r="R714" i="52"/>
  <c r="N715" i="52"/>
  <c r="O715" i="52"/>
  <c r="P715" i="52"/>
  <c r="Q715" i="52"/>
  <c r="R715" i="52"/>
  <c r="N716" i="52"/>
  <c r="O716" i="52"/>
  <c r="P716" i="52"/>
  <c r="Q716" i="52"/>
  <c r="R716" i="52"/>
  <c r="N717" i="52"/>
  <c r="O717" i="52"/>
  <c r="P717" i="52"/>
  <c r="Q717" i="52"/>
  <c r="R717" i="52"/>
  <c r="N718" i="52"/>
  <c r="O718" i="52"/>
  <c r="P718" i="52"/>
  <c r="Q718" i="52"/>
  <c r="R718" i="52"/>
  <c r="N719" i="52"/>
  <c r="O719" i="52"/>
  <c r="P719" i="52"/>
  <c r="Q719" i="52"/>
  <c r="R719" i="52"/>
  <c r="N720" i="52"/>
  <c r="O720" i="52"/>
  <c r="P720" i="52"/>
  <c r="Q720" i="52"/>
  <c r="R720" i="52"/>
  <c r="N721" i="52"/>
  <c r="O721" i="52"/>
  <c r="P721" i="52"/>
  <c r="Q721" i="52"/>
  <c r="R721" i="52"/>
  <c r="N722" i="52"/>
  <c r="O722" i="52"/>
  <c r="P722" i="52"/>
  <c r="Q722" i="52"/>
  <c r="R722" i="52"/>
  <c r="N723" i="52"/>
  <c r="O723" i="52"/>
  <c r="P723" i="52"/>
  <c r="Q723" i="52"/>
  <c r="R723" i="52"/>
  <c r="N724" i="52"/>
  <c r="O724" i="52"/>
  <c r="P724" i="52"/>
  <c r="Q724" i="52"/>
  <c r="R724" i="52"/>
  <c r="N725" i="52"/>
  <c r="O725" i="52"/>
  <c r="P725" i="52"/>
  <c r="Q725" i="52"/>
  <c r="R725" i="52"/>
  <c r="N726" i="52"/>
  <c r="O726" i="52"/>
  <c r="P726" i="52"/>
  <c r="Q726" i="52"/>
  <c r="R726" i="52"/>
  <c r="N727" i="52"/>
  <c r="E65" i="4" s="1"/>
  <c r="O727" i="52"/>
  <c r="P727" i="52"/>
  <c r="Q727" i="52"/>
  <c r="R727" i="52"/>
  <c r="N728" i="52"/>
  <c r="O728" i="52"/>
  <c r="P728" i="52"/>
  <c r="Q728" i="52"/>
  <c r="R728" i="52"/>
  <c r="N729" i="52"/>
  <c r="O729" i="52"/>
  <c r="P729" i="52"/>
  <c r="Q729" i="52"/>
  <c r="R729" i="52"/>
  <c r="N730" i="52"/>
  <c r="O730" i="52"/>
  <c r="P730" i="52"/>
  <c r="Q730" i="52"/>
  <c r="R730" i="52"/>
  <c r="N731" i="52"/>
  <c r="O731" i="52"/>
  <c r="P731" i="52"/>
  <c r="Q731" i="52"/>
  <c r="R731" i="52"/>
  <c r="N732" i="52"/>
  <c r="E66" i="4" s="1"/>
  <c r="O732" i="52"/>
  <c r="P732" i="52"/>
  <c r="Q732" i="52"/>
  <c r="R732" i="52"/>
  <c r="N733" i="52"/>
  <c r="O733" i="52"/>
  <c r="P733" i="52"/>
  <c r="Q733" i="52"/>
  <c r="R733" i="52"/>
  <c r="N734" i="52"/>
  <c r="O734" i="52"/>
  <c r="P734" i="52"/>
  <c r="Q734" i="52"/>
  <c r="R734" i="52"/>
  <c r="N735" i="52"/>
  <c r="O735" i="52"/>
  <c r="P735" i="52"/>
  <c r="Q735" i="52"/>
  <c r="R735" i="52"/>
  <c r="N736" i="52"/>
  <c r="O736" i="52"/>
  <c r="P736" i="52"/>
  <c r="Q736" i="52"/>
  <c r="R736" i="52"/>
  <c r="N737" i="52"/>
  <c r="O737" i="52"/>
  <c r="P737" i="52"/>
  <c r="Q737" i="52"/>
  <c r="R737" i="52"/>
  <c r="N738" i="52"/>
  <c r="O738" i="52"/>
  <c r="P738" i="52"/>
  <c r="Q738" i="52"/>
  <c r="R738" i="52"/>
  <c r="N739" i="52"/>
  <c r="O739" i="52"/>
  <c r="P739" i="52"/>
  <c r="Q739" i="52"/>
  <c r="R739" i="52"/>
  <c r="N740" i="52"/>
  <c r="O740" i="52"/>
  <c r="P740" i="52"/>
  <c r="Q740" i="52"/>
  <c r="R740" i="52"/>
  <c r="N741" i="52"/>
  <c r="O741" i="52"/>
  <c r="P741" i="52"/>
  <c r="Q741" i="52"/>
  <c r="R741" i="52"/>
  <c r="N742" i="52"/>
  <c r="O742" i="52"/>
  <c r="P742" i="52"/>
  <c r="Q742" i="52"/>
  <c r="R742" i="52"/>
  <c r="N743" i="52"/>
  <c r="O743" i="52"/>
  <c r="P743" i="52"/>
  <c r="Q743" i="52"/>
  <c r="R743" i="52"/>
  <c r="N744" i="52"/>
  <c r="O744" i="52"/>
  <c r="P744" i="52"/>
  <c r="Q744" i="52"/>
  <c r="R744" i="52"/>
  <c r="N745" i="52"/>
  <c r="O745" i="52"/>
  <c r="P745" i="52"/>
  <c r="Q745" i="52"/>
  <c r="R745" i="52"/>
  <c r="N746" i="52"/>
  <c r="O746" i="52"/>
  <c r="P746" i="52"/>
  <c r="Q746" i="52"/>
  <c r="R746" i="52"/>
  <c r="N747" i="52"/>
  <c r="E67" i="4" s="1"/>
  <c r="O747" i="52"/>
  <c r="P747" i="52"/>
  <c r="Q747" i="52"/>
  <c r="R747" i="52"/>
  <c r="N748" i="52"/>
  <c r="O748" i="52"/>
  <c r="P748" i="52"/>
  <c r="Q748" i="52"/>
  <c r="R748" i="52"/>
  <c r="N749" i="52"/>
  <c r="O749" i="52"/>
  <c r="P749" i="52"/>
  <c r="Q749" i="52"/>
  <c r="R749" i="52"/>
  <c r="N750" i="52"/>
  <c r="O750" i="52"/>
  <c r="P750" i="52"/>
  <c r="Q750" i="52"/>
  <c r="R750" i="52"/>
  <c r="N751" i="52"/>
  <c r="O751" i="52"/>
  <c r="P751" i="52"/>
  <c r="Q751" i="52"/>
  <c r="R751" i="52"/>
  <c r="N752" i="52"/>
  <c r="O752" i="52"/>
  <c r="P752" i="52"/>
  <c r="Q752" i="52"/>
  <c r="R752" i="52"/>
  <c r="N753" i="52"/>
  <c r="O753" i="52"/>
  <c r="P753" i="52"/>
  <c r="Q753" i="52"/>
  <c r="R753" i="52"/>
  <c r="N754" i="52"/>
  <c r="O754" i="52"/>
  <c r="P754" i="52"/>
  <c r="Q754" i="52"/>
  <c r="R754" i="52"/>
  <c r="N755" i="52"/>
  <c r="O755" i="52"/>
  <c r="P755" i="52"/>
  <c r="Q755" i="52"/>
  <c r="R755" i="52"/>
  <c r="N756" i="52"/>
  <c r="O756" i="52"/>
  <c r="P756" i="52"/>
  <c r="Q756" i="52"/>
  <c r="R756" i="52"/>
  <c r="N757" i="52"/>
  <c r="O757" i="52"/>
  <c r="P757" i="52"/>
  <c r="Q757" i="52"/>
  <c r="R757" i="52"/>
  <c r="N758" i="52"/>
  <c r="O758" i="52"/>
  <c r="P758" i="52"/>
  <c r="Q758" i="52"/>
  <c r="R758" i="52"/>
  <c r="N759" i="52"/>
  <c r="O759" i="52"/>
  <c r="P759" i="52"/>
  <c r="Q759" i="52"/>
  <c r="R759" i="52"/>
  <c r="N760" i="52"/>
  <c r="O760" i="52"/>
  <c r="P760" i="52"/>
  <c r="Q760" i="52"/>
  <c r="R760" i="52"/>
  <c r="N761" i="52"/>
  <c r="O761" i="52"/>
  <c r="P761" i="52"/>
  <c r="Q761" i="52"/>
  <c r="R761" i="52"/>
  <c r="N762" i="52"/>
  <c r="O762" i="52"/>
  <c r="P762" i="52"/>
  <c r="Q762" i="52"/>
  <c r="R762" i="52"/>
  <c r="N763" i="52"/>
  <c r="O763" i="52"/>
  <c r="P763" i="52"/>
  <c r="Q763" i="52"/>
  <c r="R763" i="52"/>
  <c r="N764" i="52"/>
  <c r="O764" i="52"/>
  <c r="P764" i="52"/>
  <c r="Q764" i="52"/>
  <c r="R764" i="52"/>
  <c r="N765" i="52"/>
  <c r="O765" i="52"/>
  <c r="P765" i="52"/>
  <c r="Q765" i="52"/>
  <c r="R765" i="52"/>
  <c r="N766" i="52"/>
  <c r="O766" i="52"/>
  <c r="P766" i="52"/>
  <c r="Q766" i="52"/>
  <c r="R766" i="52"/>
  <c r="N767" i="52"/>
  <c r="O767" i="52"/>
  <c r="P767" i="52"/>
  <c r="Q767" i="52"/>
  <c r="R767" i="52"/>
  <c r="N768" i="52"/>
  <c r="E68" i="4" s="1"/>
  <c r="O768" i="52"/>
  <c r="P768" i="52"/>
  <c r="Q768" i="52"/>
  <c r="R768" i="52"/>
  <c r="N769" i="52"/>
  <c r="O769" i="52"/>
  <c r="P769" i="52"/>
  <c r="Q769" i="52"/>
  <c r="R769" i="52"/>
  <c r="N770" i="52"/>
  <c r="O770" i="52"/>
  <c r="P770" i="52"/>
  <c r="Q770" i="52"/>
  <c r="R770" i="52"/>
  <c r="N771" i="52"/>
  <c r="O771" i="52"/>
  <c r="P771" i="52"/>
  <c r="Q771" i="52"/>
  <c r="R771" i="52"/>
  <c r="N772" i="52"/>
  <c r="O772" i="52"/>
  <c r="P772" i="52"/>
  <c r="Q772" i="52"/>
  <c r="R772" i="52"/>
  <c r="N773" i="52"/>
  <c r="O773" i="52"/>
  <c r="P773" i="52"/>
  <c r="Q773" i="52"/>
  <c r="R773" i="52"/>
  <c r="N774" i="52"/>
  <c r="O774" i="52"/>
  <c r="P774" i="52"/>
  <c r="Q774" i="52"/>
  <c r="R774" i="52"/>
  <c r="N775" i="52"/>
  <c r="O775" i="52"/>
  <c r="P775" i="52"/>
  <c r="Q775" i="52"/>
  <c r="R775" i="52"/>
  <c r="N776" i="52"/>
  <c r="O776" i="52"/>
  <c r="P776" i="52"/>
  <c r="Q776" i="52"/>
  <c r="R776" i="52"/>
  <c r="N777" i="52"/>
  <c r="O777" i="52"/>
  <c r="P777" i="52"/>
  <c r="Q777" i="52"/>
  <c r="R777" i="52"/>
  <c r="N778" i="52"/>
  <c r="O778" i="52"/>
  <c r="P778" i="52"/>
  <c r="Q778" i="52"/>
  <c r="R778" i="52"/>
  <c r="N779" i="52"/>
  <c r="O779" i="52"/>
  <c r="P779" i="52"/>
  <c r="Q779" i="52"/>
  <c r="R779" i="52"/>
  <c r="N780" i="52"/>
  <c r="O780" i="52"/>
  <c r="P780" i="52"/>
  <c r="Q780" i="52"/>
  <c r="R780" i="52"/>
  <c r="N781" i="52"/>
  <c r="O781" i="52"/>
  <c r="P781" i="52"/>
  <c r="Q781" i="52"/>
  <c r="R781" i="52"/>
  <c r="N782" i="52"/>
  <c r="O782" i="52"/>
  <c r="P782" i="52"/>
  <c r="Q782" i="52"/>
  <c r="R782" i="52"/>
  <c r="N783" i="52"/>
  <c r="O783" i="52"/>
  <c r="P783" i="52"/>
  <c r="Q783" i="52"/>
  <c r="R783" i="52"/>
  <c r="N784" i="52"/>
  <c r="O784" i="52"/>
  <c r="P784" i="52"/>
  <c r="Q784" i="52"/>
  <c r="R784" i="52"/>
  <c r="N785" i="52"/>
  <c r="O785" i="52"/>
  <c r="P785" i="52"/>
  <c r="Q785" i="52"/>
  <c r="R785" i="52"/>
  <c r="N786" i="52"/>
  <c r="O786" i="52"/>
  <c r="P786" i="52"/>
  <c r="Q786" i="52"/>
  <c r="R786" i="52"/>
  <c r="N787" i="52"/>
  <c r="O787" i="52"/>
  <c r="AE20" i="49" s="1"/>
  <c r="P787" i="52"/>
  <c r="AD20" i="49" s="1"/>
  <c r="Q787" i="52"/>
  <c r="AC20" i="49" s="1"/>
  <c r="R787" i="52"/>
  <c r="AB20" i="49" s="1"/>
  <c r="N788" i="52"/>
  <c r="E70" i="4" s="1"/>
  <c r="O788" i="52"/>
  <c r="P788" i="52"/>
  <c r="Q788" i="52"/>
  <c r="R788" i="52"/>
  <c r="N789" i="52"/>
  <c r="O789" i="52"/>
  <c r="P789" i="52"/>
  <c r="Q789" i="52"/>
  <c r="R789" i="52"/>
  <c r="N790" i="52"/>
  <c r="O790" i="52"/>
  <c r="P790" i="52"/>
  <c r="Q790" i="52"/>
  <c r="R790" i="52"/>
  <c r="O5" i="52"/>
  <c r="P5" i="52"/>
  <c r="Q5" i="52"/>
  <c r="R5" i="52"/>
  <c r="N5" i="52"/>
  <c r="E4" i="4" s="1"/>
  <c r="O4" i="52"/>
  <c r="P4" i="52"/>
  <c r="Q4" i="52"/>
  <c r="R4" i="52"/>
  <c r="N4" i="52"/>
  <c r="E3" i="4" s="1"/>
  <c r="H1114" i="52"/>
  <c r="I1114" i="52"/>
  <c r="J1114" i="52"/>
  <c r="K1114" i="52"/>
  <c r="L1114" i="52"/>
  <c r="H1115" i="52"/>
  <c r="I1115" i="52"/>
  <c r="J1115" i="52"/>
  <c r="K1115" i="52"/>
  <c r="L1115" i="52"/>
  <c r="H1116" i="52"/>
  <c r="I1116" i="52"/>
  <c r="J1116" i="52"/>
  <c r="K1116" i="52"/>
  <c r="L1116" i="52"/>
  <c r="H1117" i="52"/>
  <c r="I1117" i="52"/>
  <c r="J1117" i="52"/>
  <c r="K1117" i="52"/>
  <c r="L1117" i="52"/>
  <c r="I1113" i="52"/>
  <c r="J1113" i="52"/>
  <c r="K1113" i="52"/>
  <c r="L1113" i="52"/>
  <c r="H1113" i="52"/>
  <c r="H793" i="52"/>
  <c r="I793" i="52"/>
  <c r="J793" i="52"/>
  <c r="K793" i="52"/>
  <c r="L793" i="52"/>
  <c r="H794" i="52"/>
  <c r="I794" i="52"/>
  <c r="J794" i="52"/>
  <c r="K794" i="52"/>
  <c r="L794" i="52"/>
  <c r="H795" i="52"/>
  <c r="I795" i="52"/>
  <c r="J795" i="52"/>
  <c r="K795" i="52"/>
  <c r="L795" i="52"/>
  <c r="H796" i="52"/>
  <c r="I796" i="52"/>
  <c r="J796" i="52"/>
  <c r="K796" i="52"/>
  <c r="L796" i="52"/>
  <c r="H797" i="52"/>
  <c r="I797" i="52"/>
  <c r="J797" i="52"/>
  <c r="K797" i="52"/>
  <c r="L797" i="52"/>
  <c r="H798" i="52"/>
  <c r="I798" i="52"/>
  <c r="J798" i="52"/>
  <c r="K798" i="52"/>
  <c r="L798" i="52"/>
  <c r="H799" i="52"/>
  <c r="I799" i="52"/>
  <c r="J799" i="52"/>
  <c r="K799" i="52"/>
  <c r="L799" i="52"/>
  <c r="H800" i="52"/>
  <c r="I800" i="52"/>
  <c r="J800" i="52"/>
  <c r="K800" i="52"/>
  <c r="L800" i="52"/>
  <c r="H801" i="52"/>
  <c r="I801" i="52"/>
  <c r="J801" i="52"/>
  <c r="K801" i="52"/>
  <c r="L801" i="52"/>
  <c r="H802" i="52"/>
  <c r="I802" i="52"/>
  <c r="J802" i="52"/>
  <c r="K802" i="52"/>
  <c r="L802" i="52"/>
  <c r="H803" i="52"/>
  <c r="I803" i="52"/>
  <c r="J803" i="52"/>
  <c r="K803" i="52"/>
  <c r="L803" i="52"/>
  <c r="H804" i="52"/>
  <c r="I804" i="52"/>
  <c r="J804" i="52"/>
  <c r="K804" i="52"/>
  <c r="L804" i="52"/>
  <c r="H805" i="52"/>
  <c r="I805" i="52"/>
  <c r="J805" i="52"/>
  <c r="K805" i="52"/>
  <c r="L805" i="52"/>
  <c r="H806" i="52"/>
  <c r="I806" i="52"/>
  <c r="J806" i="52"/>
  <c r="K806" i="52"/>
  <c r="L806" i="52"/>
  <c r="H807" i="52"/>
  <c r="I807" i="52"/>
  <c r="J807" i="52"/>
  <c r="K807" i="52"/>
  <c r="L807" i="52"/>
  <c r="H808" i="52"/>
  <c r="I808" i="52"/>
  <c r="J808" i="52"/>
  <c r="K808" i="52"/>
  <c r="L808" i="52"/>
  <c r="H809" i="52"/>
  <c r="I809" i="52"/>
  <c r="J809" i="52"/>
  <c r="K809" i="52"/>
  <c r="L809" i="52"/>
  <c r="H810" i="52"/>
  <c r="I810" i="52"/>
  <c r="J810" i="52"/>
  <c r="K810" i="52"/>
  <c r="L810" i="52"/>
  <c r="H811" i="52"/>
  <c r="I811" i="52"/>
  <c r="J811" i="52"/>
  <c r="K811" i="52"/>
  <c r="L811" i="52"/>
  <c r="H812" i="52"/>
  <c r="I812" i="52"/>
  <c r="J812" i="52"/>
  <c r="K812" i="52"/>
  <c r="L812" i="52"/>
  <c r="H813" i="52"/>
  <c r="I813" i="52"/>
  <c r="J813" i="52"/>
  <c r="K813" i="52"/>
  <c r="L813" i="52"/>
  <c r="H814" i="52"/>
  <c r="I814" i="52"/>
  <c r="J814" i="52"/>
  <c r="K814" i="52"/>
  <c r="L814" i="52"/>
  <c r="H815" i="52"/>
  <c r="I815" i="52"/>
  <c r="J815" i="52"/>
  <c r="K815" i="52"/>
  <c r="L815" i="52"/>
  <c r="H816" i="52"/>
  <c r="I816" i="52"/>
  <c r="J816" i="52"/>
  <c r="K816" i="52"/>
  <c r="L816" i="52"/>
  <c r="H817" i="52"/>
  <c r="I817" i="52"/>
  <c r="J817" i="52"/>
  <c r="K817" i="52"/>
  <c r="L817" i="52"/>
  <c r="H818" i="52"/>
  <c r="I818" i="52"/>
  <c r="J818" i="52"/>
  <c r="K818" i="52"/>
  <c r="L818" i="52"/>
  <c r="H819" i="52"/>
  <c r="I819" i="52"/>
  <c r="J819" i="52"/>
  <c r="K819" i="52"/>
  <c r="L819" i="52"/>
  <c r="H820" i="52"/>
  <c r="I820" i="52"/>
  <c r="J820" i="52"/>
  <c r="K820" i="52"/>
  <c r="L820" i="52"/>
  <c r="H821" i="52"/>
  <c r="I821" i="52"/>
  <c r="J821" i="52"/>
  <c r="K821" i="52"/>
  <c r="L821" i="52"/>
  <c r="H822" i="52"/>
  <c r="I822" i="52"/>
  <c r="J822" i="52"/>
  <c r="K822" i="52"/>
  <c r="L822" i="52"/>
  <c r="H823" i="52"/>
  <c r="I823" i="52"/>
  <c r="J823" i="52"/>
  <c r="K823" i="52"/>
  <c r="L823" i="52"/>
  <c r="H824" i="52"/>
  <c r="I824" i="52"/>
  <c r="J824" i="52"/>
  <c r="K824" i="52"/>
  <c r="L824" i="52"/>
  <c r="H825" i="52"/>
  <c r="I825" i="52"/>
  <c r="J825" i="52"/>
  <c r="K825" i="52"/>
  <c r="L825" i="52"/>
  <c r="H826" i="52"/>
  <c r="I826" i="52"/>
  <c r="J826" i="52"/>
  <c r="K826" i="52"/>
  <c r="L826" i="52"/>
  <c r="H827" i="52"/>
  <c r="I827" i="52"/>
  <c r="J827" i="52"/>
  <c r="K827" i="52"/>
  <c r="L827" i="52"/>
  <c r="H828" i="52"/>
  <c r="I828" i="52"/>
  <c r="J828" i="52"/>
  <c r="K828" i="52"/>
  <c r="L828" i="52"/>
  <c r="H829" i="52"/>
  <c r="I829" i="52"/>
  <c r="J829" i="52"/>
  <c r="K829" i="52"/>
  <c r="L829" i="52"/>
  <c r="H830" i="52"/>
  <c r="I830" i="52"/>
  <c r="J830" i="52"/>
  <c r="K830" i="52"/>
  <c r="L830" i="52"/>
  <c r="H831" i="52"/>
  <c r="I831" i="52"/>
  <c r="J831" i="52"/>
  <c r="K831" i="52"/>
  <c r="L831" i="52"/>
  <c r="H832" i="52"/>
  <c r="I832" i="52"/>
  <c r="J832" i="52"/>
  <c r="K832" i="52"/>
  <c r="L832" i="52"/>
  <c r="H833" i="52"/>
  <c r="I833" i="52"/>
  <c r="J833" i="52"/>
  <c r="K833" i="52"/>
  <c r="L833" i="52"/>
  <c r="H834" i="52"/>
  <c r="I834" i="52"/>
  <c r="J834" i="52"/>
  <c r="K834" i="52"/>
  <c r="L834" i="52"/>
  <c r="H835" i="52"/>
  <c r="I835" i="52"/>
  <c r="J835" i="52"/>
  <c r="K835" i="52"/>
  <c r="L835" i="52"/>
  <c r="H836" i="52"/>
  <c r="I836" i="52"/>
  <c r="J836" i="52"/>
  <c r="K836" i="52"/>
  <c r="L836" i="52"/>
  <c r="H837" i="52"/>
  <c r="I837" i="52"/>
  <c r="J837" i="52"/>
  <c r="K837" i="52"/>
  <c r="L837" i="52"/>
  <c r="H838" i="52"/>
  <c r="I838" i="52"/>
  <c r="J838" i="52"/>
  <c r="K838" i="52"/>
  <c r="L838" i="52"/>
  <c r="H839" i="52"/>
  <c r="I839" i="52"/>
  <c r="J839" i="52"/>
  <c r="K839" i="52"/>
  <c r="L839" i="52"/>
  <c r="H840" i="52"/>
  <c r="I840" i="52"/>
  <c r="J840" i="52"/>
  <c r="K840" i="52"/>
  <c r="L840" i="52"/>
  <c r="H841" i="52"/>
  <c r="I841" i="52"/>
  <c r="J841" i="52"/>
  <c r="K841" i="52"/>
  <c r="L841" i="52"/>
  <c r="H842" i="52"/>
  <c r="I842" i="52"/>
  <c r="J842" i="52"/>
  <c r="K842" i="52"/>
  <c r="L842" i="52"/>
  <c r="H843" i="52"/>
  <c r="I843" i="52"/>
  <c r="J843" i="52"/>
  <c r="K843" i="52"/>
  <c r="L843" i="52"/>
  <c r="H844" i="52"/>
  <c r="I844" i="52"/>
  <c r="J844" i="52"/>
  <c r="K844" i="52"/>
  <c r="L844" i="52"/>
  <c r="H845" i="52"/>
  <c r="I845" i="52"/>
  <c r="J845" i="52"/>
  <c r="K845" i="52"/>
  <c r="L845" i="52"/>
  <c r="H846" i="52"/>
  <c r="I846" i="52"/>
  <c r="J846" i="52"/>
  <c r="K846" i="52"/>
  <c r="L846" i="52"/>
  <c r="H847" i="52"/>
  <c r="I847" i="52"/>
  <c r="J847" i="52"/>
  <c r="K847" i="52"/>
  <c r="L847" i="52"/>
  <c r="H848" i="52"/>
  <c r="I848" i="52"/>
  <c r="J848" i="52"/>
  <c r="K848" i="52"/>
  <c r="L848" i="52"/>
  <c r="H849" i="52"/>
  <c r="I849" i="52"/>
  <c r="J849" i="52"/>
  <c r="K849" i="52"/>
  <c r="L849" i="52"/>
  <c r="H850" i="52"/>
  <c r="I850" i="52"/>
  <c r="J850" i="52"/>
  <c r="K850" i="52"/>
  <c r="L850" i="52"/>
  <c r="H851" i="52"/>
  <c r="I851" i="52"/>
  <c r="J851" i="52"/>
  <c r="K851" i="52"/>
  <c r="L851" i="52"/>
  <c r="H852" i="52"/>
  <c r="I852" i="52"/>
  <c r="J852" i="52"/>
  <c r="K852" i="52"/>
  <c r="L852" i="52"/>
  <c r="H853" i="52"/>
  <c r="I853" i="52"/>
  <c r="J853" i="52"/>
  <c r="K853" i="52"/>
  <c r="L853" i="52"/>
  <c r="H854" i="52"/>
  <c r="I854" i="52"/>
  <c r="J854" i="52"/>
  <c r="K854" i="52"/>
  <c r="L854" i="52"/>
  <c r="H855" i="52"/>
  <c r="I855" i="52"/>
  <c r="J855" i="52"/>
  <c r="K855" i="52"/>
  <c r="L855" i="52"/>
  <c r="H856" i="52"/>
  <c r="I856" i="52"/>
  <c r="J856" i="52"/>
  <c r="K856" i="52"/>
  <c r="L856" i="52"/>
  <c r="H857" i="52"/>
  <c r="I857" i="52"/>
  <c r="J857" i="52"/>
  <c r="K857" i="52"/>
  <c r="L857" i="52"/>
  <c r="H858" i="52"/>
  <c r="I858" i="52"/>
  <c r="J858" i="52"/>
  <c r="K858" i="52"/>
  <c r="L858" i="52"/>
  <c r="H859" i="52"/>
  <c r="I859" i="52"/>
  <c r="J859" i="52"/>
  <c r="K859" i="52"/>
  <c r="L859" i="52"/>
  <c r="H860" i="52"/>
  <c r="I860" i="52"/>
  <c r="J860" i="52"/>
  <c r="K860" i="52"/>
  <c r="L860" i="52"/>
  <c r="H861" i="52"/>
  <c r="I861" i="52"/>
  <c r="J861" i="52"/>
  <c r="K861" i="52"/>
  <c r="L861" i="52"/>
  <c r="H862" i="52"/>
  <c r="I862" i="52"/>
  <c r="J862" i="52"/>
  <c r="K862" i="52"/>
  <c r="L862" i="52"/>
  <c r="H863" i="52"/>
  <c r="I863" i="52"/>
  <c r="J863" i="52"/>
  <c r="K863" i="52"/>
  <c r="L863" i="52"/>
  <c r="H864" i="52"/>
  <c r="I864" i="52"/>
  <c r="J864" i="52"/>
  <c r="K864" i="52"/>
  <c r="L864" i="52"/>
  <c r="H865" i="52"/>
  <c r="I865" i="52"/>
  <c r="J865" i="52"/>
  <c r="K865" i="52"/>
  <c r="L865" i="52"/>
  <c r="H866" i="52"/>
  <c r="I866" i="52"/>
  <c r="J866" i="52"/>
  <c r="K866" i="52"/>
  <c r="L866" i="52"/>
  <c r="H867" i="52"/>
  <c r="I867" i="52"/>
  <c r="J867" i="52"/>
  <c r="K867" i="52"/>
  <c r="L867" i="52"/>
  <c r="H868" i="52"/>
  <c r="I868" i="52"/>
  <c r="J868" i="52"/>
  <c r="K868" i="52"/>
  <c r="L868" i="52"/>
  <c r="H869" i="52"/>
  <c r="I869" i="52"/>
  <c r="J869" i="52"/>
  <c r="K869" i="52"/>
  <c r="L869" i="52"/>
  <c r="H870" i="52"/>
  <c r="I870" i="52"/>
  <c r="J870" i="52"/>
  <c r="K870" i="52"/>
  <c r="L870" i="52"/>
  <c r="H871" i="52"/>
  <c r="I871" i="52"/>
  <c r="J871" i="52"/>
  <c r="K871" i="52"/>
  <c r="L871" i="52"/>
  <c r="H872" i="52"/>
  <c r="I872" i="52"/>
  <c r="J872" i="52"/>
  <c r="K872" i="52"/>
  <c r="L872" i="52"/>
  <c r="H873" i="52"/>
  <c r="I873" i="52"/>
  <c r="J873" i="52"/>
  <c r="K873" i="52"/>
  <c r="L873" i="52"/>
  <c r="H874" i="52"/>
  <c r="I874" i="52"/>
  <c r="J874" i="52"/>
  <c r="K874" i="52"/>
  <c r="L874" i="52"/>
  <c r="H875" i="52"/>
  <c r="I875" i="52"/>
  <c r="J875" i="52"/>
  <c r="K875" i="52"/>
  <c r="L875" i="52"/>
  <c r="H876" i="52"/>
  <c r="I876" i="52"/>
  <c r="J876" i="52"/>
  <c r="K876" i="52"/>
  <c r="L876" i="52"/>
  <c r="H877" i="52"/>
  <c r="I877" i="52"/>
  <c r="J877" i="52"/>
  <c r="K877" i="52"/>
  <c r="L877" i="52"/>
  <c r="H878" i="52"/>
  <c r="I878" i="52"/>
  <c r="J878" i="52"/>
  <c r="K878" i="52"/>
  <c r="L878" i="52"/>
  <c r="H879" i="52"/>
  <c r="I879" i="52"/>
  <c r="J879" i="52"/>
  <c r="K879" i="52"/>
  <c r="L879" i="52"/>
  <c r="H880" i="52"/>
  <c r="I880" i="52"/>
  <c r="J880" i="52"/>
  <c r="K880" i="52"/>
  <c r="L880" i="52"/>
  <c r="H881" i="52"/>
  <c r="I881" i="52"/>
  <c r="J881" i="52"/>
  <c r="K881" i="52"/>
  <c r="L881" i="52"/>
  <c r="H882" i="52"/>
  <c r="I882" i="52"/>
  <c r="J882" i="52"/>
  <c r="K882" i="52"/>
  <c r="L882" i="52"/>
  <c r="H883" i="52"/>
  <c r="I883" i="52"/>
  <c r="J883" i="52"/>
  <c r="K883" i="52"/>
  <c r="L883" i="52"/>
  <c r="H884" i="52"/>
  <c r="I884" i="52"/>
  <c r="J884" i="52"/>
  <c r="K884" i="52"/>
  <c r="L884" i="52"/>
  <c r="H885" i="52"/>
  <c r="I885" i="52"/>
  <c r="J885" i="52"/>
  <c r="K885" i="52"/>
  <c r="L885" i="52"/>
  <c r="H886" i="52"/>
  <c r="I886" i="52"/>
  <c r="J886" i="52"/>
  <c r="K886" i="52"/>
  <c r="L886" i="52"/>
  <c r="H887" i="52"/>
  <c r="I887" i="52"/>
  <c r="J887" i="52"/>
  <c r="K887" i="52"/>
  <c r="L887" i="52"/>
  <c r="H888" i="52"/>
  <c r="I888" i="52"/>
  <c r="J888" i="52"/>
  <c r="K888" i="52"/>
  <c r="L888" i="52"/>
  <c r="H889" i="52"/>
  <c r="I889" i="52"/>
  <c r="J889" i="52"/>
  <c r="K889" i="52"/>
  <c r="L889" i="52"/>
  <c r="H890" i="52"/>
  <c r="I890" i="52"/>
  <c r="J890" i="52"/>
  <c r="K890" i="52"/>
  <c r="L890" i="52"/>
  <c r="H891" i="52"/>
  <c r="I891" i="52"/>
  <c r="J891" i="52"/>
  <c r="K891" i="52"/>
  <c r="L891" i="52"/>
  <c r="H892" i="52"/>
  <c r="I892" i="52"/>
  <c r="J892" i="52"/>
  <c r="K892" i="52"/>
  <c r="L892" i="52"/>
  <c r="H893" i="52"/>
  <c r="I893" i="52"/>
  <c r="J893" i="52"/>
  <c r="K893" i="52"/>
  <c r="L893" i="52"/>
  <c r="H894" i="52"/>
  <c r="I894" i="52"/>
  <c r="J894" i="52"/>
  <c r="K894" i="52"/>
  <c r="L894" i="52"/>
  <c r="H895" i="52"/>
  <c r="I895" i="52"/>
  <c r="J895" i="52"/>
  <c r="K895" i="52"/>
  <c r="L895" i="52"/>
  <c r="H896" i="52"/>
  <c r="I896" i="52"/>
  <c r="J896" i="52"/>
  <c r="K896" i="52"/>
  <c r="L896" i="52"/>
  <c r="H897" i="52"/>
  <c r="I897" i="52"/>
  <c r="J897" i="52"/>
  <c r="K897" i="52"/>
  <c r="L897" i="52"/>
  <c r="H898" i="52"/>
  <c r="I898" i="52"/>
  <c r="J898" i="52"/>
  <c r="K898" i="52"/>
  <c r="L898" i="52"/>
  <c r="H899" i="52"/>
  <c r="I899" i="52"/>
  <c r="J899" i="52"/>
  <c r="K899" i="52"/>
  <c r="L899" i="52"/>
  <c r="H900" i="52"/>
  <c r="I900" i="52"/>
  <c r="J900" i="52"/>
  <c r="K900" i="52"/>
  <c r="L900" i="52"/>
  <c r="H901" i="52"/>
  <c r="I901" i="52"/>
  <c r="J901" i="52"/>
  <c r="K901" i="52"/>
  <c r="L901" i="52"/>
  <c r="H902" i="52"/>
  <c r="I902" i="52"/>
  <c r="J902" i="52"/>
  <c r="K902" i="52"/>
  <c r="L902" i="52"/>
  <c r="H903" i="52"/>
  <c r="I903" i="52"/>
  <c r="J903" i="52"/>
  <c r="K903" i="52"/>
  <c r="L903" i="52"/>
  <c r="H904" i="52"/>
  <c r="I904" i="52"/>
  <c r="J904" i="52"/>
  <c r="K904" i="52"/>
  <c r="L904" i="52"/>
  <c r="H905" i="52"/>
  <c r="I905" i="52"/>
  <c r="J905" i="52"/>
  <c r="K905" i="52"/>
  <c r="L905" i="52"/>
  <c r="H906" i="52"/>
  <c r="I906" i="52"/>
  <c r="J906" i="52"/>
  <c r="K906" i="52"/>
  <c r="L906" i="52"/>
  <c r="H907" i="52"/>
  <c r="I907" i="52"/>
  <c r="J907" i="52"/>
  <c r="K907" i="52"/>
  <c r="L907" i="52"/>
  <c r="H908" i="52"/>
  <c r="I908" i="52"/>
  <c r="J908" i="52"/>
  <c r="K908" i="52"/>
  <c r="L908" i="52"/>
  <c r="H909" i="52"/>
  <c r="I909" i="52"/>
  <c r="J909" i="52"/>
  <c r="K909" i="52"/>
  <c r="L909" i="52"/>
  <c r="H910" i="52"/>
  <c r="I910" i="52"/>
  <c r="J910" i="52"/>
  <c r="K910" i="52"/>
  <c r="L910" i="52"/>
  <c r="H911" i="52"/>
  <c r="I911" i="52"/>
  <c r="J911" i="52"/>
  <c r="K911" i="52"/>
  <c r="L911" i="52"/>
  <c r="H912" i="52"/>
  <c r="I912" i="52"/>
  <c r="J912" i="52"/>
  <c r="K912" i="52"/>
  <c r="L912" i="52"/>
  <c r="H913" i="52"/>
  <c r="I913" i="52"/>
  <c r="J913" i="52"/>
  <c r="K913" i="52"/>
  <c r="L913" i="52"/>
  <c r="H914" i="52"/>
  <c r="I914" i="52"/>
  <c r="J914" i="52"/>
  <c r="K914" i="52"/>
  <c r="L914" i="52"/>
  <c r="H915" i="52"/>
  <c r="I915" i="52"/>
  <c r="J915" i="52"/>
  <c r="K915" i="52"/>
  <c r="L915" i="52"/>
  <c r="H916" i="52"/>
  <c r="I916" i="52"/>
  <c r="J916" i="52"/>
  <c r="K916" i="52"/>
  <c r="L916" i="52"/>
  <c r="H917" i="52"/>
  <c r="I917" i="52"/>
  <c r="J917" i="52"/>
  <c r="K917" i="52"/>
  <c r="L917" i="52"/>
  <c r="H918" i="52"/>
  <c r="I918" i="52"/>
  <c r="J918" i="52"/>
  <c r="K918" i="52"/>
  <c r="L918" i="52"/>
  <c r="H919" i="52"/>
  <c r="I919" i="52"/>
  <c r="J919" i="52"/>
  <c r="K919" i="52"/>
  <c r="L919" i="52"/>
  <c r="H920" i="52"/>
  <c r="I920" i="52"/>
  <c r="J920" i="52"/>
  <c r="K920" i="52"/>
  <c r="L920" i="52"/>
  <c r="H921" i="52"/>
  <c r="I921" i="52"/>
  <c r="J921" i="52"/>
  <c r="K921" i="52"/>
  <c r="L921" i="52"/>
  <c r="H922" i="52"/>
  <c r="I922" i="52"/>
  <c r="J922" i="52"/>
  <c r="K922" i="52"/>
  <c r="L922" i="52"/>
  <c r="H923" i="52"/>
  <c r="I923" i="52"/>
  <c r="J923" i="52"/>
  <c r="K923" i="52"/>
  <c r="L923" i="52"/>
  <c r="H924" i="52"/>
  <c r="I924" i="52"/>
  <c r="J924" i="52"/>
  <c r="K924" i="52"/>
  <c r="L924" i="52"/>
  <c r="H925" i="52"/>
  <c r="I925" i="52"/>
  <c r="J925" i="52"/>
  <c r="K925" i="52"/>
  <c r="L925" i="52"/>
  <c r="H926" i="52"/>
  <c r="I926" i="52"/>
  <c r="J926" i="52"/>
  <c r="K926" i="52"/>
  <c r="L926" i="52"/>
  <c r="H927" i="52"/>
  <c r="I927" i="52"/>
  <c r="J927" i="52"/>
  <c r="K927" i="52"/>
  <c r="L927" i="52"/>
  <c r="H928" i="52"/>
  <c r="I928" i="52"/>
  <c r="J928" i="52"/>
  <c r="K928" i="52"/>
  <c r="L928" i="52"/>
  <c r="H929" i="52"/>
  <c r="I929" i="52"/>
  <c r="J929" i="52"/>
  <c r="K929" i="52"/>
  <c r="L929" i="52"/>
  <c r="H930" i="52"/>
  <c r="I930" i="52"/>
  <c r="J930" i="52"/>
  <c r="K930" i="52"/>
  <c r="L930" i="52"/>
  <c r="H931" i="52"/>
  <c r="I931" i="52"/>
  <c r="J931" i="52"/>
  <c r="K931" i="52"/>
  <c r="L931" i="52"/>
  <c r="H932" i="52"/>
  <c r="I932" i="52"/>
  <c r="J932" i="52"/>
  <c r="K932" i="52"/>
  <c r="L932" i="52"/>
  <c r="H933" i="52"/>
  <c r="I933" i="52"/>
  <c r="J933" i="52"/>
  <c r="K933" i="52"/>
  <c r="L933" i="52"/>
  <c r="H934" i="52"/>
  <c r="I934" i="52"/>
  <c r="J934" i="52"/>
  <c r="K934" i="52"/>
  <c r="L934" i="52"/>
  <c r="H935" i="52"/>
  <c r="I935" i="52"/>
  <c r="J935" i="52"/>
  <c r="K935" i="52"/>
  <c r="L935" i="52"/>
  <c r="H936" i="52"/>
  <c r="I936" i="52"/>
  <c r="J936" i="52"/>
  <c r="K936" i="52"/>
  <c r="L936" i="52"/>
  <c r="H937" i="52"/>
  <c r="I937" i="52"/>
  <c r="J937" i="52"/>
  <c r="K937" i="52"/>
  <c r="L937" i="52"/>
  <c r="H938" i="52"/>
  <c r="I938" i="52"/>
  <c r="J938" i="52"/>
  <c r="K938" i="52"/>
  <c r="L938" i="52"/>
  <c r="H939" i="52"/>
  <c r="I939" i="52"/>
  <c r="J939" i="52"/>
  <c r="K939" i="52"/>
  <c r="L939" i="52"/>
  <c r="H940" i="52"/>
  <c r="I940" i="52"/>
  <c r="J940" i="52"/>
  <c r="K940" i="52"/>
  <c r="L940" i="52"/>
  <c r="H941" i="52"/>
  <c r="I941" i="52"/>
  <c r="J941" i="52"/>
  <c r="K941" i="52"/>
  <c r="L941" i="52"/>
  <c r="H942" i="52"/>
  <c r="I942" i="52"/>
  <c r="J942" i="52"/>
  <c r="K942" i="52"/>
  <c r="L942" i="52"/>
  <c r="H943" i="52"/>
  <c r="I943" i="52"/>
  <c r="J943" i="52"/>
  <c r="K943" i="52"/>
  <c r="L943" i="52"/>
  <c r="H944" i="52"/>
  <c r="I944" i="52"/>
  <c r="J944" i="52"/>
  <c r="K944" i="52"/>
  <c r="L944" i="52"/>
  <c r="H945" i="52"/>
  <c r="I945" i="52"/>
  <c r="J945" i="52"/>
  <c r="K945" i="52"/>
  <c r="L945" i="52"/>
  <c r="H946" i="52"/>
  <c r="I946" i="52"/>
  <c r="J946" i="52"/>
  <c r="K946" i="52"/>
  <c r="L946" i="52"/>
  <c r="H947" i="52"/>
  <c r="I947" i="52"/>
  <c r="J947" i="52"/>
  <c r="K947" i="52"/>
  <c r="L947" i="52"/>
  <c r="H948" i="52"/>
  <c r="I948" i="52"/>
  <c r="J948" i="52"/>
  <c r="K948" i="52"/>
  <c r="L948" i="52"/>
  <c r="H949" i="52"/>
  <c r="I949" i="52"/>
  <c r="J949" i="52"/>
  <c r="K949" i="52"/>
  <c r="L949" i="52"/>
  <c r="H950" i="52"/>
  <c r="I950" i="52"/>
  <c r="J950" i="52"/>
  <c r="K950" i="52"/>
  <c r="L950" i="52"/>
  <c r="H951" i="52"/>
  <c r="I951" i="52"/>
  <c r="J951" i="52"/>
  <c r="K951" i="52"/>
  <c r="L951" i="52"/>
  <c r="H952" i="52"/>
  <c r="I952" i="52"/>
  <c r="J952" i="52"/>
  <c r="K952" i="52"/>
  <c r="L952" i="52"/>
  <c r="H953" i="52"/>
  <c r="I953" i="52"/>
  <c r="J953" i="52"/>
  <c r="K953" i="52"/>
  <c r="L953" i="52"/>
  <c r="H954" i="52"/>
  <c r="I954" i="52"/>
  <c r="J954" i="52"/>
  <c r="K954" i="52"/>
  <c r="L954" i="52"/>
  <c r="H955" i="52"/>
  <c r="I955" i="52"/>
  <c r="J955" i="52"/>
  <c r="K955" i="52"/>
  <c r="L955" i="52"/>
  <c r="H956" i="52"/>
  <c r="I956" i="52"/>
  <c r="J956" i="52"/>
  <c r="K956" i="52"/>
  <c r="L956" i="52"/>
  <c r="H957" i="52"/>
  <c r="I957" i="52"/>
  <c r="J957" i="52"/>
  <c r="K957" i="52"/>
  <c r="L957" i="52"/>
  <c r="H958" i="52"/>
  <c r="I958" i="52"/>
  <c r="J958" i="52"/>
  <c r="K958" i="52"/>
  <c r="L958" i="52"/>
  <c r="H959" i="52"/>
  <c r="I959" i="52"/>
  <c r="J959" i="52"/>
  <c r="K959" i="52"/>
  <c r="L959" i="52"/>
  <c r="H960" i="52"/>
  <c r="I960" i="52"/>
  <c r="J960" i="52"/>
  <c r="K960" i="52"/>
  <c r="L960" i="52"/>
  <c r="H961" i="52"/>
  <c r="I961" i="52"/>
  <c r="J961" i="52"/>
  <c r="K961" i="52"/>
  <c r="L961" i="52"/>
  <c r="H962" i="52"/>
  <c r="I962" i="52"/>
  <c r="J962" i="52"/>
  <c r="K962" i="52"/>
  <c r="L962" i="52"/>
  <c r="H963" i="52"/>
  <c r="I963" i="52"/>
  <c r="J963" i="52"/>
  <c r="K963" i="52"/>
  <c r="L963" i="52"/>
  <c r="H964" i="52"/>
  <c r="I964" i="52"/>
  <c r="J964" i="52"/>
  <c r="K964" i="52"/>
  <c r="L964" i="52"/>
  <c r="H965" i="52"/>
  <c r="I965" i="52"/>
  <c r="J965" i="52"/>
  <c r="K965" i="52"/>
  <c r="L965" i="52"/>
  <c r="H966" i="52"/>
  <c r="I966" i="52"/>
  <c r="J966" i="52"/>
  <c r="K966" i="52"/>
  <c r="L966" i="52"/>
  <c r="H967" i="52"/>
  <c r="I967" i="52"/>
  <c r="J967" i="52"/>
  <c r="K967" i="52"/>
  <c r="L967" i="52"/>
  <c r="H968" i="52"/>
  <c r="I968" i="52"/>
  <c r="J968" i="52"/>
  <c r="K968" i="52"/>
  <c r="L968" i="52"/>
  <c r="H969" i="52"/>
  <c r="I969" i="52"/>
  <c r="J969" i="52"/>
  <c r="K969" i="52"/>
  <c r="L969" i="52"/>
  <c r="H970" i="52"/>
  <c r="I970" i="52"/>
  <c r="J970" i="52"/>
  <c r="K970" i="52"/>
  <c r="L970" i="52"/>
  <c r="H971" i="52"/>
  <c r="I971" i="52"/>
  <c r="J971" i="52"/>
  <c r="K971" i="52"/>
  <c r="L971" i="52"/>
  <c r="H972" i="52"/>
  <c r="I972" i="52"/>
  <c r="J972" i="52"/>
  <c r="K972" i="52"/>
  <c r="L972" i="52"/>
  <c r="H973" i="52"/>
  <c r="I973" i="52"/>
  <c r="J973" i="52"/>
  <c r="K973" i="52"/>
  <c r="L973" i="52"/>
  <c r="H974" i="52"/>
  <c r="I974" i="52"/>
  <c r="J974" i="52"/>
  <c r="K974" i="52"/>
  <c r="L974" i="52"/>
  <c r="H975" i="52"/>
  <c r="I975" i="52"/>
  <c r="J975" i="52"/>
  <c r="K975" i="52"/>
  <c r="L975" i="52"/>
  <c r="H976" i="52"/>
  <c r="I976" i="52"/>
  <c r="J976" i="52"/>
  <c r="K976" i="52"/>
  <c r="L976" i="52"/>
  <c r="H977" i="52"/>
  <c r="I977" i="52"/>
  <c r="J977" i="52"/>
  <c r="K977" i="52"/>
  <c r="L977" i="52"/>
  <c r="H978" i="52"/>
  <c r="I978" i="52"/>
  <c r="J978" i="52"/>
  <c r="K978" i="52"/>
  <c r="L978" i="52"/>
  <c r="H979" i="52"/>
  <c r="I979" i="52"/>
  <c r="J979" i="52"/>
  <c r="K979" i="52"/>
  <c r="L979" i="52"/>
  <c r="H980" i="52"/>
  <c r="I980" i="52"/>
  <c r="J980" i="52"/>
  <c r="K980" i="52"/>
  <c r="L980" i="52"/>
  <c r="H981" i="52"/>
  <c r="I981" i="52"/>
  <c r="J981" i="52"/>
  <c r="K981" i="52"/>
  <c r="L981" i="52"/>
  <c r="H982" i="52"/>
  <c r="I982" i="52"/>
  <c r="J982" i="52"/>
  <c r="K982" i="52"/>
  <c r="L982" i="52"/>
  <c r="H983" i="52"/>
  <c r="I983" i="52"/>
  <c r="J983" i="52"/>
  <c r="K983" i="52"/>
  <c r="L983" i="52"/>
  <c r="H984" i="52"/>
  <c r="I984" i="52"/>
  <c r="J984" i="52"/>
  <c r="K984" i="52"/>
  <c r="L984" i="52"/>
  <c r="H985" i="52"/>
  <c r="I985" i="52"/>
  <c r="J985" i="52"/>
  <c r="K985" i="52"/>
  <c r="L985" i="52"/>
  <c r="H986" i="52"/>
  <c r="I986" i="52"/>
  <c r="J986" i="52"/>
  <c r="K986" i="52"/>
  <c r="L986" i="52"/>
  <c r="H987" i="52"/>
  <c r="I987" i="52"/>
  <c r="J987" i="52"/>
  <c r="K987" i="52"/>
  <c r="L987" i="52"/>
  <c r="H988" i="52"/>
  <c r="I988" i="52"/>
  <c r="J988" i="52"/>
  <c r="K988" i="52"/>
  <c r="L988" i="52"/>
  <c r="H989" i="52"/>
  <c r="I989" i="52"/>
  <c r="J989" i="52"/>
  <c r="K989" i="52"/>
  <c r="L989" i="52"/>
  <c r="H990" i="52"/>
  <c r="I990" i="52"/>
  <c r="J990" i="52"/>
  <c r="K990" i="52"/>
  <c r="L990" i="52"/>
  <c r="H991" i="52"/>
  <c r="I991" i="52"/>
  <c r="J991" i="52"/>
  <c r="K991" i="52"/>
  <c r="L991" i="52"/>
  <c r="H992" i="52"/>
  <c r="I992" i="52"/>
  <c r="J992" i="52"/>
  <c r="K992" i="52"/>
  <c r="L992" i="52"/>
  <c r="H993" i="52"/>
  <c r="I993" i="52"/>
  <c r="J993" i="52"/>
  <c r="K993" i="52"/>
  <c r="L993" i="52"/>
  <c r="H994" i="52"/>
  <c r="I994" i="52"/>
  <c r="J994" i="52"/>
  <c r="K994" i="52"/>
  <c r="L994" i="52"/>
  <c r="H995" i="52"/>
  <c r="I995" i="52"/>
  <c r="J995" i="52"/>
  <c r="K995" i="52"/>
  <c r="L995" i="52"/>
  <c r="H996" i="52"/>
  <c r="I996" i="52"/>
  <c r="J996" i="52"/>
  <c r="K996" i="52"/>
  <c r="L996" i="52"/>
  <c r="H997" i="52"/>
  <c r="I997" i="52"/>
  <c r="J997" i="52"/>
  <c r="K997" i="52"/>
  <c r="L997" i="52"/>
  <c r="H998" i="52"/>
  <c r="I998" i="52"/>
  <c r="J998" i="52"/>
  <c r="K998" i="52"/>
  <c r="L998" i="52"/>
  <c r="H999" i="52"/>
  <c r="I999" i="52"/>
  <c r="J999" i="52"/>
  <c r="K999" i="52"/>
  <c r="L999" i="52"/>
  <c r="H1000" i="52"/>
  <c r="I1000" i="52"/>
  <c r="J1000" i="52"/>
  <c r="K1000" i="52"/>
  <c r="L1000" i="52"/>
  <c r="H1001" i="52"/>
  <c r="I1001" i="52"/>
  <c r="J1001" i="52"/>
  <c r="K1001" i="52"/>
  <c r="L1001" i="52"/>
  <c r="H1002" i="52"/>
  <c r="I1002" i="52"/>
  <c r="J1002" i="52"/>
  <c r="K1002" i="52"/>
  <c r="L1002" i="52"/>
  <c r="H1003" i="52"/>
  <c r="I1003" i="52"/>
  <c r="J1003" i="52"/>
  <c r="K1003" i="52"/>
  <c r="L1003" i="52"/>
  <c r="H1004" i="52"/>
  <c r="I1004" i="52"/>
  <c r="J1004" i="52"/>
  <c r="K1004" i="52"/>
  <c r="L1004" i="52"/>
  <c r="H1005" i="52"/>
  <c r="I1005" i="52"/>
  <c r="J1005" i="52"/>
  <c r="K1005" i="52"/>
  <c r="L1005" i="52"/>
  <c r="H1006" i="52"/>
  <c r="I1006" i="52"/>
  <c r="J1006" i="52"/>
  <c r="K1006" i="52"/>
  <c r="L1006" i="52"/>
  <c r="H1007" i="52"/>
  <c r="I1007" i="52"/>
  <c r="J1007" i="52"/>
  <c r="K1007" i="52"/>
  <c r="L1007" i="52"/>
  <c r="H1008" i="52"/>
  <c r="I1008" i="52"/>
  <c r="J1008" i="52"/>
  <c r="K1008" i="52"/>
  <c r="L1008" i="52"/>
  <c r="H1009" i="52"/>
  <c r="I1009" i="52"/>
  <c r="J1009" i="52"/>
  <c r="K1009" i="52"/>
  <c r="L1009" i="52"/>
  <c r="H1010" i="52"/>
  <c r="I1010" i="52"/>
  <c r="J1010" i="52"/>
  <c r="K1010" i="52"/>
  <c r="L1010" i="52"/>
  <c r="H1011" i="52"/>
  <c r="I1011" i="52"/>
  <c r="J1011" i="52"/>
  <c r="K1011" i="52"/>
  <c r="L1011" i="52"/>
  <c r="H1012" i="52"/>
  <c r="I1012" i="52"/>
  <c r="J1012" i="52"/>
  <c r="K1012" i="52"/>
  <c r="L1012" i="52"/>
  <c r="H1013" i="52"/>
  <c r="I1013" i="52"/>
  <c r="J1013" i="52"/>
  <c r="K1013" i="52"/>
  <c r="L1013" i="52"/>
  <c r="H1014" i="52"/>
  <c r="I1014" i="52"/>
  <c r="J1014" i="52"/>
  <c r="K1014" i="52"/>
  <c r="L1014" i="52"/>
  <c r="H1015" i="52"/>
  <c r="I1015" i="52"/>
  <c r="J1015" i="52"/>
  <c r="K1015" i="52"/>
  <c r="L1015" i="52"/>
  <c r="H1016" i="52"/>
  <c r="I1016" i="52"/>
  <c r="J1016" i="52"/>
  <c r="K1016" i="52"/>
  <c r="L1016" i="52"/>
  <c r="H1017" i="52"/>
  <c r="I1017" i="52"/>
  <c r="J1017" i="52"/>
  <c r="K1017" i="52"/>
  <c r="L1017" i="52"/>
  <c r="H1018" i="52"/>
  <c r="I1018" i="52"/>
  <c r="J1018" i="52"/>
  <c r="K1018" i="52"/>
  <c r="L1018" i="52"/>
  <c r="H1019" i="52"/>
  <c r="I1019" i="52"/>
  <c r="J1019" i="52"/>
  <c r="K1019" i="52"/>
  <c r="L1019" i="52"/>
  <c r="H1020" i="52"/>
  <c r="I1020" i="52"/>
  <c r="J1020" i="52"/>
  <c r="K1020" i="52"/>
  <c r="L1020" i="52"/>
  <c r="H1021" i="52"/>
  <c r="I1021" i="52"/>
  <c r="J1021" i="52"/>
  <c r="K1021" i="52"/>
  <c r="L1021" i="52"/>
  <c r="H1022" i="52"/>
  <c r="I1022" i="52"/>
  <c r="J1022" i="52"/>
  <c r="K1022" i="52"/>
  <c r="L1022" i="52"/>
  <c r="H1023" i="52"/>
  <c r="I1023" i="52"/>
  <c r="J1023" i="52"/>
  <c r="K1023" i="52"/>
  <c r="L1023" i="52"/>
  <c r="H1024" i="52"/>
  <c r="I1024" i="52"/>
  <c r="J1024" i="52"/>
  <c r="K1024" i="52"/>
  <c r="L1024" i="52"/>
  <c r="H1025" i="52"/>
  <c r="I1025" i="52"/>
  <c r="J1025" i="52"/>
  <c r="K1025" i="52"/>
  <c r="L1025" i="52"/>
  <c r="H1026" i="52"/>
  <c r="I1026" i="52"/>
  <c r="J1026" i="52"/>
  <c r="K1026" i="52"/>
  <c r="L1026" i="52"/>
  <c r="H1027" i="52"/>
  <c r="I1027" i="52"/>
  <c r="J1027" i="52"/>
  <c r="K1027" i="52"/>
  <c r="L1027" i="52"/>
  <c r="H1028" i="52"/>
  <c r="I1028" i="52"/>
  <c r="J1028" i="52"/>
  <c r="K1028" i="52"/>
  <c r="L1028" i="52"/>
  <c r="H1029" i="52"/>
  <c r="I1029" i="52"/>
  <c r="J1029" i="52"/>
  <c r="K1029" i="52"/>
  <c r="L1029" i="52"/>
  <c r="H1030" i="52"/>
  <c r="I1030" i="52"/>
  <c r="J1030" i="52"/>
  <c r="K1030" i="52"/>
  <c r="L1030" i="52"/>
  <c r="H1031" i="52"/>
  <c r="I1031" i="52"/>
  <c r="J1031" i="52"/>
  <c r="K1031" i="52"/>
  <c r="L1031" i="52"/>
  <c r="H1032" i="52"/>
  <c r="I1032" i="52"/>
  <c r="J1032" i="52"/>
  <c r="K1032" i="52"/>
  <c r="L1032" i="52"/>
  <c r="H1033" i="52"/>
  <c r="I1033" i="52"/>
  <c r="J1033" i="52"/>
  <c r="K1033" i="52"/>
  <c r="L1033" i="52"/>
  <c r="H1034" i="52"/>
  <c r="I1034" i="52"/>
  <c r="J1034" i="52"/>
  <c r="K1034" i="52"/>
  <c r="L1034" i="52"/>
  <c r="H1035" i="52"/>
  <c r="I1035" i="52"/>
  <c r="J1035" i="52"/>
  <c r="K1035" i="52"/>
  <c r="L1035" i="52"/>
  <c r="H1036" i="52"/>
  <c r="I1036" i="52"/>
  <c r="J1036" i="52"/>
  <c r="K1036" i="52"/>
  <c r="L1036" i="52"/>
  <c r="H1037" i="52"/>
  <c r="I1037" i="52"/>
  <c r="J1037" i="52"/>
  <c r="K1037" i="52"/>
  <c r="L1037" i="52"/>
  <c r="H1038" i="52"/>
  <c r="I1038" i="52"/>
  <c r="J1038" i="52"/>
  <c r="K1038" i="52"/>
  <c r="L1038" i="52"/>
  <c r="H1039" i="52"/>
  <c r="I1039" i="52"/>
  <c r="J1039" i="52"/>
  <c r="K1039" i="52"/>
  <c r="L1039" i="52"/>
  <c r="H1040" i="52"/>
  <c r="I1040" i="52"/>
  <c r="J1040" i="52"/>
  <c r="K1040" i="52"/>
  <c r="L1040" i="52"/>
  <c r="H1041" i="52"/>
  <c r="I1041" i="52"/>
  <c r="J1041" i="52"/>
  <c r="K1041" i="52"/>
  <c r="L1041" i="52"/>
  <c r="H1042" i="52"/>
  <c r="I1042" i="52"/>
  <c r="J1042" i="52"/>
  <c r="K1042" i="52"/>
  <c r="L1042" i="52"/>
  <c r="H1043" i="52"/>
  <c r="I1043" i="52"/>
  <c r="J1043" i="52"/>
  <c r="K1043" i="52"/>
  <c r="L1043" i="52"/>
  <c r="H1044" i="52"/>
  <c r="I1044" i="52"/>
  <c r="J1044" i="52"/>
  <c r="K1044" i="52"/>
  <c r="L1044" i="52"/>
  <c r="H1045" i="52"/>
  <c r="I1045" i="52"/>
  <c r="J1045" i="52"/>
  <c r="K1045" i="52"/>
  <c r="L1045" i="52"/>
  <c r="H1046" i="52"/>
  <c r="I1046" i="52"/>
  <c r="J1046" i="52"/>
  <c r="K1046" i="52"/>
  <c r="L1046" i="52"/>
  <c r="H1047" i="52"/>
  <c r="I1047" i="52"/>
  <c r="J1047" i="52"/>
  <c r="K1047" i="52"/>
  <c r="L1047" i="52"/>
  <c r="H1048" i="52"/>
  <c r="I1048" i="52"/>
  <c r="J1048" i="52"/>
  <c r="K1048" i="52"/>
  <c r="L1048" i="52"/>
  <c r="H1049" i="52"/>
  <c r="I1049" i="52"/>
  <c r="J1049" i="52"/>
  <c r="K1049" i="52"/>
  <c r="L1049" i="52"/>
  <c r="H1050" i="52"/>
  <c r="I1050" i="52"/>
  <c r="J1050" i="52"/>
  <c r="K1050" i="52"/>
  <c r="L1050" i="52"/>
  <c r="H1051" i="52"/>
  <c r="I1051" i="52"/>
  <c r="J1051" i="52"/>
  <c r="K1051" i="52"/>
  <c r="L1051" i="52"/>
  <c r="H1052" i="52"/>
  <c r="I1052" i="52"/>
  <c r="J1052" i="52"/>
  <c r="K1052" i="52"/>
  <c r="L1052" i="52"/>
  <c r="H1053" i="52"/>
  <c r="I1053" i="52"/>
  <c r="J1053" i="52"/>
  <c r="K1053" i="52"/>
  <c r="L1053" i="52"/>
  <c r="H1054" i="52"/>
  <c r="I1054" i="52"/>
  <c r="J1054" i="52"/>
  <c r="K1054" i="52"/>
  <c r="L1054" i="52"/>
  <c r="H1055" i="52"/>
  <c r="I1055" i="52"/>
  <c r="J1055" i="52"/>
  <c r="K1055" i="52"/>
  <c r="L1055" i="52"/>
  <c r="H1056" i="52"/>
  <c r="I1056" i="52"/>
  <c r="J1056" i="52"/>
  <c r="K1056" i="52"/>
  <c r="L1056" i="52"/>
  <c r="H1057" i="52"/>
  <c r="I1057" i="52"/>
  <c r="J1057" i="52"/>
  <c r="K1057" i="52"/>
  <c r="L1057" i="52"/>
  <c r="H1058" i="52"/>
  <c r="I1058" i="52"/>
  <c r="J1058" i="52"/>
  <c r="K1058" i="52"/>
  <c r="L1058" i="52"/>
  <c r="H1059" i="52"/>
  <c r="I1059" i="52"/>
  <c r="J1059" i="52"/>
  <c r="K1059" i="52"/>
  <c r="L1059" i="52"/>
  <c r="H1060" i="52"/>
  <c r="I1060" i="52"/>
  <c r="J1060" i="52"/>
  <c r="K1060" i="52"/>
  <c r="L1060" i="52"/>
  <c r="H1061" i="52"/>
  <c r="I1061" i="52"/>
  <c r="J1061" i="52"/>
  <c r="K1061" i="52"/>
  <c r="L1061" i="52"/>
  <c r="H1062" i="52"/>
  <c r="I1062" i="52"/>
  <c r="J1062" i="52"/>
  <c r="K1062" i="52"/>
  <c r="L1062" i="52"/>
  <c r="H1063" i="52"/>
  <c r="I1063" i="52"/>
  <c r="J1063" i="52"/>
  <c r="K1063" i="52"/>
  <c r="L1063" i="52"/>
  <c r="H1064" i="52"/>
  <c r="I1064" i="52"/>
  <c r="J1064" i="52"/>
  <c r="K1064" i="52"/>
  <c r="L1064" i="52"/>
  <c r="H1065" i="52"/>
  <c r="I1065" i="52"/>
  <c r="J1065" i="52"/>
  <c r="K1065" i="52"/>
  <c r="L1065" i="52"/>
  <c r="H1066" i="52"/>
  <c r="I1066" i="52"/>
  <c r="J1066" i="52"/>
  <c r="K1066" i="52"/>
  <c r="L1066" i="52"/>
  <c r="H1067" i="52"/>
  <c r="I1067" i="52"/>
  <c r="J1067" i="52"/>
  <c r="K1067" i="52"/>
  <c r="L1067" i="52"/>
  <c r="H1068" i="52"/>
  <c r="I1068" i="52"/>
  <c r="J1068" i="52"/>
  <c r="K1068" i="52"/>
  <c r="L1068" i="52"/>
  <c r="H1069" i="52"/>
  <c r="I1069" i="52"/>
  <c r="J1069" i="52"/>
  <c r="K1069" i="52"/>
  <c r="L1069" i="52"/>
  <c r="H1070" i="52"/>
  <c r="I1070" i="52"/>
  <c r="J1070" i="52"/>
  <c r="K1070" i="52"/>
  <c r="L1070" i="52"/>
  <c r="H1071" i="52"/>
  <c r="I1071" i="52"/>
  <c r="J1071" i="52"/>
  <c r="K1071" i="52"/>
  <c r="L1071" i="52"/>
  <c r="H1072" i="52"/>
  <c r="I1072" i="52"/>
  <c r="J1072" i="52"/>
  <c r="K1072" i="52"/>
  <c r="L1072" i="52"/>
  <c r="H1073" i="52"/>
  <c r="I1073" i="52"/>
  <c r="J1073" i="52"/>
  <c r="K1073" i="52"/>
  <c r="L1073" i="52"/>
  <c r="H1074" i="52"/>
  <c r="I1074" i="52"/>
  <c r="J1074" i="52"/>
  <c r="K1074" i="52"/>
  <c r="L1074" i="52"/>
  <c r="H1075" i="52"/>
  <c r="I1075" i="52"/>
  <c r="J1075" i="52"/>
  <c r="K1075" i="52"/>
  <c r="L1075" i="52"/>
  <c r="H1076" i="52"/>
  <c r="I1076" i="52"/>
  <c r="J1076" i="52"/>
  <c r="K1076" i="52"/>
  <c r="L1076" i="52"/>
  <c r="H1077" i="52"/>
  <c r="I1077" i="52"/>
  <c r="J1077" i="52"/>
  <c r="K1077" i="52"/>
  <c r="L1077" i="52"/>
  <c r="H1078" i="52"/>
  <c r="I1078" i="52"/>
  <c r="J1078" i="52"/>
  <c r="K1078" i="52"/>
  <c r="L1078" i="52"/>
  <c r="H1079" i="52"/>
  <c r="I1079" i="52"/>
  <c r="J1079" i="52"/>
  <c r="K1079" i="52"/>
  <c r="L1079" i="52"/>
  <c r="H1080" i="52"/>
  <c r="I1080" i="52"/>
  <c r="J1080" i="52"/>
  <c r="K1080" i="52"/>
  <c r="L1080" i="52"/>
  <c r="H1081" i="52"/>
  <c r="I1081" i="52"/>
  <c r="J1081" i="52"/>
  <c r="K1081" i="52"/>
  <c r="L1081" i="52"/>
  <c r="H1082" i="52"/>
  <c r="I1082" i="52"/>
  <c r="J1082" i="52"/>
  <c r="K1082" i="52"/>
  <c r="L1082" i="52"/>
  <c r="H1083" i="52"/>
  <c r="I1083" i="52"/>
  <c r="J1083" i="52"/>
  <c r="K1083" i="52"/>
  <c r="L1083" i="52"/>
  <c r="H1084" i="52"/>
  <c r="I1084" i="52"/>
  <c r="J1084" i="52"/>
  <c r="K1084" i="52"/>
  <c r="L1084" i="52"/>
  <c r="H1085" i="52"/>
  <c r="I1085" i="52"/>
  <c r="J1085" i="52"/>
  <c r="K1085" i="52"/>
  <c r="L1085" i="52"/>
  <c r="H1086" i="52"/>
  <c r="I1086" i="52"/>
  <c r="J1086" i="52"/>
  <c r="K1086" i="52"/>
  <c r="L1086" i="52"/>
  <c r="H1087" i="52"/>
  <c r="I1087" i="52"/>
  <c r="J1087" i="52"/>
  <c r="K1087" i="52"/>
  <c r="L1087" i="52"/>
  <c r="H1088" i="52"/>
  <c r="I1088" i="52"/>
  <c r="J1088" i="52"/>
  <c r="K1088" i="52"/>
  <c r="L1088" i="52"/>
  <c r="H1089" i="52"/>
  <c r="I1089" i="52"/>
  <c r="J1089" i="52"/>
  <c r="K1089" i="52"/>
  <c r="L1089" i="52"/>
  <c r="H1090" i="52"/>
  <c r="I1090" i="52"/>
  <c r="J1090" i="52"/>
  <c r="K1090" i="52"/>
  <c r="L1090" i="52"/>
  <c r="H1091" i="52"/>
  <c r="I1091" i="52"/>
  <c r="J1091" i="52"/>
  <c r="K1091" i="52"/>
  <c r="L1091" i="52"/>
  <c r="H1092" i="52"/>
  <c r="I1092" i="52"/>
  <c r="J1092" i="52"/>
  <c r="K1092" i="52"/>
  <c r="L1092" i="52"/>
  <c r="H1093" i="52"/>
  <c r="I1093" i="52"/>
  <c r="J1093" i="52"/>
  <c r="K1093" i="52"/>
  <c r="L1093" i="52"/>
  <c r="H1094" i="52"/>
  <c r="I1094" i="52"/>
  <c r="J1094" i="52"/>
  <c r="K1094" i="52"/>
  <c r="L1094" i="52"/>
  <c r="H1095" i="52"/>
  <c r="I1095" i="52"/>
  <c r="J1095" i="52"/>
  <c r="K1095" i="52"/>
  <c r="L1095" i="52"/>
  <c r="H1096" i="52"/>
  <c r="I1096" i="52"/>
  <c r="J1096" i="52"/>
  <c r="K1096" i="52"/>
  <c r="L1096" i="52"/>
  <c r="H1097" i="52"/>
  <c r="I1097" i="52"/>
  <c r="J1097" i="52"/>
  <c r="K1097" i="52"/>
  <c r="L1097" i="52"/>
  <c r="H1098" i="52"/>
  <c r="I1098" i="52"/>
  <c r="J1098" i="52"/>
  <c r="K1098" i="52"/>
  <c r="L1098" i="52"/>
  <c r="H1099" i="52"/>
  <c r="I1099" i="52"/>
  <c r="J1099" i="52"/>
  <c r="K1099" i="52"/>
  <c r="L1099" i="52"/>
  <c r="H1100" i="52"/>
  <c r="I1100" i="52"/>
  <c r="J1100" i="52"/>
  <c r="K1100" i="52"/>
  <c r="L1100" i="52"/>
  <c r="H1101" i="52"/>
  <c r="I1101" i="52"/>
  <c r="J1101" i="52"/>
  <c r="K1101" i="52"/>
  <c r="L1101" i="52"/>
  <c r="H1102" i="52"/>
  <c r="I1102" i="52"/>
  <c r="J1102" i="52"/>
  <c r="K1102" i="52"/>
  <c r="L1102" i="52"/>
  <c r="H1103" i="52"/>
  <c r="I1103" i="52"/>
  <c r="J1103" i="52"/>
  <c r="K1103" i="52"/>
  <c r="L1103" i="52"/>
  <c r="H1104" i="52"/>
  <c r="I1104" i="52"/>
  <c r="J1104" i="52"/>
  <c r="K1104" i="52"/>
  <c r="L1104" i="52"/>
  <c r="H1105" i="52"/>
  <c r="I1105" i="52"/>
  <c r="J1105" i="52"/>
  <c r="K1105" i="52"/>
  <c r="L1105" i="52"/>
  <c r="H1106" i="52"/>
  <c r="I1106" i="52"/>
  <c r="J1106" i="52"/>
  <c r="K1106" i="52"/>
  <c r="L1106" i="52"/>
  <c r="H1107" i="52"/>
  <c r="I1107" i="52"/>
  <c r="J1107" i="52"/>
  <c r="K1107" i="52"/>
  <c r="L1107" i="52"/>
  <c r="H1108" i="52"/>
  <c r="I1108" i="52"/>
  <c r="J1108" i="52"/>
  <c r="K1108" i="52"/>
  <c r="L1108" i="52"/>
  <c r="H1109" i="52"/>
  <c r="I1109" i="52"/>
  <c r="J1109" i="52"/>
  <c r="K1109" i="52"/>
  <c r="L1109" i="52"/>
  <c r="H1110" i="52"/>
  <c r="I1110" i="52"/>
  <c r="J1110" i="52"/>
  <c r="K1110" i="52"/>
  <c r="L1110" i="52"/>
  <c r="H1111" i="52"/>
  <c r="I1111" i="52"/>
  <c r="J1111" i="52"/>
  <c r="K1111" i="52"/>
  <c r="L1111" i="52"/>
  <c r="I792" i="52"/>
  <c r="J792" i="52"/>
  <c r="K792" i="52"/>
  <c r="L792" i="52"/>
  <c r="H792" i="52"/>
  <c r="H5" i="52"/>
  <c r="I5" i="52"/>
  <c r="J5" i="52"/>
  <c r="K5" i="52"/>
  <c r="L5" i="52"/>
  <c r="H6" i="52"/>
  <c r="I6" i="52"/>
  <c r="J6" i="52"/>
  <c r="K6" i="52"/>
  <c r="L6" i="52"/>
  <c r="H7" i="52"/>
  <c r="I7" i="52"/>
  <c r="J7" i="52"/>
  <c r="K7" i="52"/>
  <c r="L7" i="52"/>
  <c r="H8" i="52"/>
  <c r="I8" i="52"/>
  <c r="J8" i="52"/>
  <c r="K8" i="52"/>
  <c r="L8" i="52"/>
  <c r="H9" i="52"/>
  <c r="I9" i="52"/>
  <c r="J9" i="52"/>
  <c r="K9" i="52"/>
  <c r="L9" i="52"/>
  <c r="H10" i="52"/>
  <c r="I10" i="52"/>
  <c r="J10" i="52"/>
  <c r="K10" i="52"/>
  <c r="L10" i="52"/>
  <c r="H11" i="52"/>
  <c r="I11" i="52"/>
  <c r="J11" i="52"/>
  <c r="K11" i="52"/>
  <c r="L11" i="52"/>
  <c r="H12" i="52"/>
  <c r="I12" i="52"/>
  <c r="J12" i="52"/>
  <c r="K12" i="52"/>
  <c r="L12" i="52"/>
  <c r="H13" i="52"/>
  <c r="I13" i="52"/>
  <c r="J13" i="52"/>
  <c r="K13" i="52"/>
  <c r="L13" i="52"/>
  <c r="H14" i="52"/>
  <c r="I14" i="52"/>
  <c r="J14" i="52"/>
  <c r="K14" i="52"/>
  <c r="L14" i="52"/>
  <c r="H15" i="52"/>
  <c r="I15" i="52"/>
  <c r="J15" i="52"/>
  <c r="K15" i="52"/>
  <c r="L15" i="52"/>
  <c r="H16" i="52"/>
  <c r="I16" i="52"/>
  <c r="J16" i="52"/>
  <c r="K16" i="52"/>
  <c r="L16" i="52"/>
  <c r="H17" i="52"/>
  <c r="I17" i="52"/>
  <c r="J17" i="52"/>
  <c r="K17" i="52"/>
  <c r="L17" i="52"/>
  <c r="H18" i="52"/>
  <c r="I18" i="52"/>
  <c r="J18" i="52"/>
  <c r="K18" i="52"/>
  <c r="L18" i="52"/>
  <c r="H19" i="52"/>
  <c r="I19" i="52"/>
  <c r="J19" i="52"/>
  <c r="K19" i="52"/>
  <c r="L19" i="52"/>
  <c r="H20" i="52"/>
  <c r="I20" i="52"/>
  <c r="J20" i="52"/>
  <c r="K20" i="52"/>
  <c r="L20" i="52"/>
  <c r="H21" i="52"/>
  <c r="I21" i="52"/>
  <c r="J21" i="52"/>
  <c r="K21" i="52"/>
  <c r="L21" i="52"/>
  <c r="H22" i="52"/>
  <c r="I22" i="52"/>
  <c r="J22" i="52"/>
  <c r="K22" i="52"/>
  <c r="L22" i="52"/>
  <c r="H23" i="52"/>
  <c r="I23" i="52"/>
  <c r="J23" i="52"/>
  <c r="K23" i="52"/>
  <c r="L23" i="52"/>
  <c r="H24" i="52"/>
  <c r="I24" i="52"/>
  <c r="J24" i="52"/>
  <c r="K24" i="52"/>
  <c r="L24" i="52"/>
  <c r="H25" i="52"/>
  <c r="I25" i="52"/>
  <c r="J25" i="52"/>
  <c r="K25" i="52"/>
  <c r="L25" i="52"/>
  <c r="H26" i="52"/>
  <c r="I26" i="52"/>
  <c r="J26" i="52"/>
  <c r="K26" i="52"/>
  <c r="L26" i="52"/>
  <c r="H27" i="52"/>
  <c r="I27" i="52"/>
  <c r="J27" i="52"/>
  <c r="K27" i="52"/>
  <c r="L27" i="52"/>
  <c r="H28" i="52"/>
  <c r="I28" i="52"/>
  <c r="J28" i="52"/>
  <c r="K28" i="52"/>
  <c r="L28" i="52"/>
  <c r="H29" i="52"/>
  <c r="I29" i="52"/>
  <c r="J29" i="52"/>
  <c r="K29" i="52"/>
  <c r="L29" i="52"/>
  <c r="H30" i="52"/>
  <c r="I30" i="52"/>
  <c r="J30" i="52"/>
  <c r="K30" i="52"/>
  <c r="L30" i="52"/>
  <c r="H31" i="52"/>
  <c r="I31" i="52"/>
  <c r="J31" i="52"/>
  <c r="K31" i="52"/>
  <c r="L31" i="52"/>
  <c r="H32" i="52"/>
  <c r="I32" i="52"/>
  <c r="J32" i="52"/>
  <c r="K32" i="52"/>
  <c r="L32" i="52"/>
  <c r="H33" i="52"/>
  <c r="I33" i="52"/>
  <c r="J33" i="52"/>
  <c r="K33" i="52"/>
  <c r="L33" i="52"/>
  <c r="H34" i="52"/>
  <c r="I34" i="52"/>
  <c r="J34" i="52"/>
  <c r="K34" i="52"/>
  <c r="L34" i="52"/>
  <c r="H35" i="52"/>
  <c r="I35" i="52"/>
  <c r="J35" i="52"/>
  <c r="K35" i="52"/>
  <c r="L35" i="52"/>
  <c r="H36" i="52"/>
  <c r="I36" i="52"/>
  <c r="J36" i="52"/>
  <c r="K36" i="52"/>
  <c r="L36" i="52"/>
  <c r="H37" i="52"/>
  <c r="I37" i="52"/>
  <c r="J37" i="52"/>
  <c r="K37" i="52"/>
  <c r="L37" i="52"/>
  <c r="H38" i="52"/>
  <c r="I38" i="52"/>
  <c r="J38" i="52"/>
  <c r="K38" i="52"/>
  <c r="L38" i="52"/>
  <c r="H39" i="52"/>
  <c r="I39" i="52"/>
  <c r="J39" i="52"/>
  <c r="K39" i="52"/>
  <c r="L39" i="52"/>
  <c r="H40" i="52"/>
  <c r="I40" i="52"/>
  <c r="J40" i="52"/>
  <c r="K40" i="52"/>
  <c r="L40" i="52"/>
  <c r="H41" i="52"/>
  <c r="I41" i="52"/>
  <c r="J41" i="52"/>
  <c r="K41" i="52"/>
  <c r="L41" i="52"/>
  <c r="H42" i="52"/>
  <c r="I42" i="52"/>
  <c r="J42" i="52"/>
  <c r="K42" i="52"/>
  <c r="L42" i="52"/>
  <c r="H43" i="52"/>
  <c r="I43" i="52"/>
  <c r="J43" i="52"/>
  <c r="K43" i="52"/>
  <c r="L43" i="52"/>
  <c r="H44" i="52"/>
  <c r="I44" i="52"/>
  <c r="J44" i="52"/>
  <c r="K44" i="52"/>
  <c r="L44" i="52"/>
  <c r="H45" i="52"/>
  <c r="I45" i="52"/>
  <c r="J45" i="52"/>
  <c r="K45" i="52"/>
  <c r="L45" i="52"/>
  <c r="H46" i="52"/>
  <c r="I46" i="52"/>
  <c r="J46" i="52"/>
  <c r="K46" i="52"/>
  <c r="L46" i="52"/>
  <c r="H47" i="52"/>
  <c r="I47" i="52"/>
  <c r="J47" i="52"/>
  <c r="K47" i="52"/>
  <c r="L47" i="52"/>
  <c r="H48" i="52"/>
  <c r="I48" i="52"/>
  <c r="J48" i="52"/>
  <c r="K48" i="52"/>
  <c r="L48" i="52"/>
  <c r="H49" i="52"/>
  <c r="I49" i="52"/>
  <c r="J49" i="52"/>
  <c r="K49" i="52"/>
  <c r="L49" i="52"/>
  <c r="H50" i="52"/>
  <c r="I50" i="52"/>
  <c r="J50" i="52"/>
  <c r="K50" i="52"/>
  <c r="L50" i="52"/>
  <c r="H51" i="52"/>
  <c r="I51" i="52"/>
  <c r="J51" i="52"/>
  <c r="K51" i="52"/>
  <c r="L51" i="52"/>
  <c r="H52" i="52"/>
  <c r="I52" i="52"/>
  <c r="J52" i="52"/>
  <c r="K52" i="52"/>
  <c r="L52" i="52"/>
  <c r="H53" i="52"/>
  <c r="I53" i="52"/>
  <c r="J53" i="52"/>
  <c r="K53" i="52"/>
  <c r="L53" i="52"/>
  <c r="H54" i="52"/>
  <c r="I54" i="52"/>
  <c r="J54" i="52"/>
  <c r="K54" i="52"/>
  <c r="L54" i="52"/>
  <c r="H55" i="52"/>
  <c r="I55" i="52"/>
  <c r="J55" i="52"/>
  <c r="K55" i="52"/>
  <c r="L55" i="52"/>
  <c r="H56" i="52"/>
  <c r="I56" i="52"/>
  <c r="J56" i="52"/>
  <c r="K56" i="52"/>
  <c r="L56" i="52"/>
  <c r="H57" i="52"/>
  <c r="I57" i="52"/>
  <c r="J57" i="52"/>
  <c r="K57" i="52"/>
  <c r="L57" i="52"/>
  <c r="H58" i="52"/>
  <c r="I58" i="52"/>
  <c r="J58" i="52"/>
  <c r="K58" i="52"/>
  <c r="L58" i="52"/>
  <c r="H59" i="52"/>
  <c r="I59" i="52"/>
  <c r="J59" i="52"/>
  <c r="K59" i="52"/>
  <c r="L59" i="52"/>
  <c r="H60" i="52"/>
  <c r="I60" i="52"/>
  <c r="J60" i="52"/>
  <c r="K60" i="52"/>
  <c r="L60" i="52"/>
  <c r="H61" i="52"/>
  <c r="I61" i="52"/>
  <c r="J61" i="52"/>
  <c r="K61" i="52"/>
  <c r="L61" i="52"/>
  <c r="H62" i="52"/>
  <c r="I62" i="52"/>
  <c r="J62" i="52"/>
  <c r="K62" i="52"/>
  <c r="L62" i="52"/>
  <c r="H63" i="52"/>
  <c r="I63" i="52"/>
  <c r="J63" i="52"/>
  <c r="K63" i="52"/>
  <c r="L63" i="52"/>
  <c r="H64" i="52"/>
  <c r="I64" i="52"/>
  <c r="J64" i="52"/>
  <c r="K64" i="52"/>
  <c r="L64" i="52"/>
  <c r="H65" i="52"/>
  <c r="I65" i="52"/>
  <c r="J65" i="52"/>
  <c r="K65" i="52"/>
  <c r="L65" i="52"/>
  <c r="H66" i="52"/>
  <c r="I66" i="52"/>
  <c r="J66" i="52"/>
  <c r="K66" i="52"/>
  <c r="L66" i="52"/>
  <c r="H67" i="52"/>
  <c r="I67" i="52"/>
  <c r="J67" i="52"/>
  <c r="K67" i="52"/>
  <c r="L67" i="52"/>
  <c r="H68" i="52"/>
  <c r="I68" i="52"/>
  <c r="J68" i="52"/>
  <c r="K68" i="52"/>
  <c r="L68" i="52"/>
  <c r="H69" i="52"/>
  <c r="I69" i="52"/>
  <c r="J69" i="52"/>
  <c r="K69" i="52"/>
  <c r="L69" i="52"/>
  <c r="H70" i="52"/>
  <c r="I70" i="52"/>
  <c r="J70" i="52"/>
  <c r="K70" i="52"/>
  <c r="L70" i="52"/>
  <c r="H71" i="52"/>
  <c r="I71" i="52"/>
  <c r="J71" i="52"/>
  <c r="K71" i="52"/>
  <c r="L71" i="52"/>
  <c r="H72" i="52"/>
  <c r="I72" i="52"/>
  <c r="J72" i="52"/>
  <c r="K72" i="52"/>
  <c r="L72" i="52"/>
  <c r="H73" i="52"/>
  <c r="I73" i="52"/>
  <c r="J73" i="52"/>
  <c r="K73" i="52"/>
  <c r="L73" i="52"/>
  <c r="H74" i="52"/>
  <c r="I74" i="52"/>
  <c r="J74" i="52"/>
  <c r="K74" i="52"/>
  <c r="L74" i="52"/>
  <c r="H75" i="52"/>
  <c r="I75" i="52"/>
  <c r="J75" i="52"/>
  <c r="K75" i="52"/>
  <c r="L75" i="52"/>
  <c r="H76" i="52"/>
  <c r="I76" i="52"/>
  <c r="J76" i="52"/>
  <c r="K76" i="52"/>
  <c r="L76" i="52"/>
  <c r="H77" i="52"/>
  <c r="I77" i="52"/>
  <c r="J77" i="52"/>
  <c r="K77" i="52"/>
  <c r="L77" i="52"/>
  <c r="H78" i="52"/>
  <c r="I78" i="52"/>
  <c r="J78" i="52"/>
  <c r="K78" i="52"/>
  <c r="L78" i="52"/>
  <c r="H79" i="52"/>
  <c r="I79" i="52"/>
  <c r="J79" i="52"/>
  <c r="K79" i="52"/>
  <c r="L79" i="52"/>
  <c r="H80" i="52"/>
  <c r="I80" i="52"/>
  <c r="J80" i="52"/>
  <c r="K80" i="52"/>
  <c r="L80" i="52"/>
  <c r="H81" i="52"/>
  <c r="I81" i="52"/>
  <c r="J81" i="52"/>
  <c r="K81" i="52"/>
  <c r="L81" i="52"/>
  <c r="H82" i="52"/>
  <c r="I82" i="52"/>
  <c r="J82" i="52"/>
  <c r="K82" i="52"/>
  <c r="L82" i="52"/>
  <c r="H83" i="52"/>
  <c r="I83" i="52"/>
  <c r="J83" i="52"/>
  <c r="K83" i="52"/>
  <c r="L83" i="52"/>
  <c r="H84" i="52"/>
  <c r="I84" i="52"/>
  <c r="J84" i="52"/>
  <c r="K84" i="52"/>
  <c r="L84" i="52"/>
  <c r="H85" i="52"/>
  <c r="I85" i="52"/>
  <c r="J85" i="52"/>
  <c r="K85" i="52"/>
  <c r="L85" i="52"/>
  <c r="H86" i="52"/>
  <c r="I86" i="52"/>
  <c r="J86" i="52"/>
  <c r="K86" i="52"/>
  <c r="L86" i="52"/>
  <c r="H87" i="52"/>
  <c r="I87" i="52"/>
  <c r="J87" i="52"/>
  <c r="K87" i="52"/>
  <c r="L87" i="52"/>
  <c r="H88" i="52"/>
  <c r="I88" i="52"/>
  <c r="J88" i="52"/>
  <c r="K88" i="52"/>
  <c r="L88" i="52"/>
  <c r="H89" i="52"/>
  <c r="I89" i="52"/>
  <c r="J89" i="52"/>
  <c r="K89" i="52"/>
  <c r="L89" i="52"/>
  <c r="H90" i="52"/>
  <c r="I90" i="52"/>
  <c r="J90" i="52"/>
  <c r="K90" i="52"/>
  <c r="L90" i="52"/>
  <c r="H91" i="52"/>
  <c r="I91" i="52"/>
  <c r="J91" i="52"/>
  <c r="K91" i="52"/>
  <c r="L91" i="52"/>
  <c r="H92" i="52"/>
  <c r="I92" i="52"/>
  <c r="J92" i="52"/>
  <c r="K92" i="52"/>
  <c r="L92" i="52"/>
  <c r="H93" i="52"/>
  <c r="I93" i="52"/>
  <c r="J93" i="52"/>
  <c r="K93" i="52"/>
  <c r="L93" i="52"/>
  <c r="H94" i="52"/>
  <c r="I94" i="52"/>
  <c r="J94" i="52"/>
  <c r="K94" i="52"/>
  <c r="L94" i="52"/>
  <c r="H95" i="52"/>
  <c r="I95" i="52"/>
  <c r="J95" i="52"/>
  <c r="K95" i="52"/>
  <c r="L95" i="52"/>
  <c r="H96" i="52"/>
  <c r="I96" i="52"/>
  <c r="J96" i="52"/>
  <c r="K96" i="52"/>
  <c r="L96" i="52"/>
  <c r="H97" i="52"/>
  <c r="I97" i="52"/>
  <c r="J97" i="52"/>
  <c r="K97" i="52"/>
  <c r="L97" i="52"/>
  <c r="H98" i="52"/>
  <c r="I98" i="52"/>
  <c r="J98" i="52"/>
  <c r="K98" i="52"/>
  <c r="L98" i="52"/>
  <c r="H99" i="52"/>
  <c r="I99" i="52"/>
  <c r="J99" i="52"/>
  <c r="K99" i="52"/>
  <c r="L99" i="52"/>
  <c r="H100" i="52"/>
  <c r="I100" i="52"/>
  <c r="J100" i="52"/>
  <c r="K100" i="52"/>
  <c r="L100" i="52"/>
  <c r="H101" i="52"/>
  <c r="I101" i="52"/>
  <c r="J101" i="52"/>
  <c r="K101" i="52"/>
  <c r="L101" i="52"/>
  <c r="H102" i="52"/>
  <c r="I102" i="52"/>
  <c r="J102" i="52"/>
  <c r="K102" i="52"/>
  <c r="L102" i="52"/>
  <c r="H103" i="52"/>
  <c r="I103" i="52"/>
  <c r="J103" i="52"/>
  <c r="K103" i="52"/>
  <c r="L103" i="52"/>
  <c r="H104" i="52"/>
  <c r="I104" i="52"/>
  <c r="J104" i="52"/>
  <c r="K104" i="52"/>
  <c r="L104" i="52"/>
  <c r="H105" i="52"/>
  <c r="I105" i="52"/>
  <c r="J105" i="52"/>
  <c r="K105" i="52"/>
  <c r="L105" i="52"/>
  <c r="H106" i="52"/>
  <c r="I106" i="52"/>
  <c r="J106" i="52"/>
  <c r="K106" i="52"/>
  <c r="L106" i="52"/>
  <c r="H107" i="52"/>
  <c r="I107" i="52"/>
  <c r="J107" i="52"/>
  <c r="K107" i="52"/>
  <c r="L107" i="52"/>
  <c r="H108" i="52"/>
  <c r="I108" i="52"/>
  <c r="J108" i="52"/>
  <c r="K108" i="52"/>
  <c r="L108" i="52"/>
  <c r="H109" i="52"/>
  <c r="I109" i="52"/>
  <c r="J109" i="52"/>
  <c r="K109" i="52"/>
  <c r="L109" i="52"/>
  <c r="H110" i="52"/>
  <c r="I110" i="52"/>
  <c r="J110" i="52"/>
  <c r="K110" i="52"/>
  <c r="L110" i="52"/>
  <c r="H111" i="52"/>
  <c r="I111" i="52"/>
  <c r="J111" i="52"/>
  <c r="K111" i="52"/>
  <c r="L111" i="52"/>
  <c r="H112" i="52"/>
  <c r="I112" i="52"/>
  <c r="J112" i="52"/>
  <c r="K112" i="52"/>
  <c r="L112" i="52"/>
  <c r="H113" i="52"/>
  <c r="I113" i="52"/>
  <c r="J113" i="52"/>
  <c r="K113" i="52"/>
  <c r="L113" i="52"/>
  <c r="H114" i="52"/>
  <c r="I114" i="52"/>
  <c r="J114" i="52"/>
  <c r="K114" i="52"/>
  <c r="L114" i="52"/>
  <c r="H115" i="52"/>
  <c r="I115" i="52"/>
  <c r="J115" i="52"/>
  <c r="K115" i="52"/>
  <c r="L115" i="52"/>
  <c r="H116" i="52"/>
  <c r="I116" i="52"/>
  <c r="J116" i="52"/>
  <c r="K116" i="52"/>
  <c r="L116" i="52"/>
  <c r="H117" i="52"/>
  <c r="I117" i="52"/>
  <c r="J117" i="52"/>
  <c r="K117" i="52"/>
  <c r="L117" i="52"/>
  <c r="H118" i="52"/>
  <c r="I118" i="52"/>
  <c r="J118" i="52"/>
  <c r="K118" i="52"/>
  <c r="L118" i="52"/>
  <c r="H119" i="52"/>
  <c r="I119" i="52"/>
  <c r="J119" i="52"/>
  <c r="K119" i="52"/>
  <c r="L119" i="52"/>
  <c r="H120" i="52"/>
  <c r="I120" i="52"/>
  <c r="J120" i="52"/>
  <c r="K120" i="52"/>
  <c r="L120" i="52"/>
  <c r="H121" i="52"/>
  <c r="I121" i="52"/>
  <c r="J121" i="52"/>
  <c r="K121" i="52"/>
  <c r="L121" i="52"/>
  <c r="H122" i="52"/>
  <c r="I122" i="52"/>
  <c r="J122" i="52"/>
  <c r="K122" i="52"/>
  <c r="L122" i="52"/>
  <c r="H123" i="52"/>
  <c r="I123" i="52"/>
  <c r="J123" i="52"/>
  <c r="K123" i="52"/>
  <c r="L123" i="52"/>
  <c r="H124" i="52"/>
  <c r="I124" i="52"/>
  <c r="J124" i="52"/>
  <c r="K124" i="52"/>
  <c r="L124" i="52"/>
  <c r="H125" i="52"/>
  <c r="I125" i="52"/>
  <c r="J125" i="52"/>
  <c r="K125" i="52"/>
  <c r="L125" i="52"/>
  <c r="H126" i="52"/>
  <c r="I126" i="52"/>
  <c r="J126" i="52"/>
  <c r="K126" i="52"/>
  <c r="L126" i="52"/>
  <c r="H127" i="52"/>
  <c r="I127" i="52"/>
  <c r="J127" i="52"/>
  <c r="K127" i="52"/>
  <c r="L127" i="52"/>
  <c r="H128" i="52"/>
  <c r="I128" i="52"/>
  <c r="J128" i="52"/>
  <c r="K128" i="52"/>
  <c r="L128" i="52"/>
  <c r="H129" i="52"/>
  <c r="I129" i="52"/>
  <c r="J129" i="52"/>
  <c r="K129" i="52"/>
  <c r="L129" i="52"/>
  <c r="H130" i="52"/>
  <c r="I130" i="52"/>
  <c r="J130" i="52"/>
  <c r="K130" i="52"/>
  <c r="L130" i="52"/>
  <c r="H131" i="52"/>
  <c r="I131" i="52"/>
  <c r="J131" i="52"/>
  <c r="K131" i="52"/>
  <c r="L131" i="52"/>
  <c r="H132" i="52"/>
  <c r="I132" i="52"/>
  <c r="J132" i="52"/>
  <c r="K132" i="52"/>
  <c r="L132" i="52"/>
  <c r="H133" i="52"/>
  <c r="I133" i="52"/>
  <c r="J133" i="52"/>
  <c r="K133" i="52"/>
  <c r="L133" i="52"/>
  <c r="H134" i="52"/>
  <c r="I134" i="52"/>
  <c r="J134" i="52"/>
  <c r="K134" i="52"/>
  <c r="L134" i="52"/>
  <c r="H135" i="52"/>
  <c r="I135" i="52"/>
  <c r="J135" i="52"/>
  <c r="K135" i="52"/>
  <c r="L135" i="52"/>
  <c r="H136" i="52"/>
  <c r="I136" i="52"/>
  <c r="J136" i="52"/>
  <c r="K136" i="52"/>
  <c r="L136" i="52"/>
  <c r="H137" i="52"/>
  <c r="I137" i="52"/>
  <c r="J137" i="52"/>
  <c r="K137" i="52"/>
  <c r="L137" i="52"/>
  <c r="H138" i="52"/>
  <c r="I138" i="52"/>
  <c r="J138" i="52"/>
  <c r="K138" i="52"/>
  <c r="L138" i="52"/>
  <c r="H139" i="52"/>
  <c r="I139" i="52"/>
  <c r="J139" i="52"/>
  <c r="K139" i="52"/>
  <c r="L139" i="52"/>
  <c r="H140" i="52"/>
  <c r="I140" i="52"/>
  <c r="J140" i="52"/>
  <c r="K140" i="52"/>
  <c r="L140" i="52"/>
  <c r="H141" i="52"/>
  <c r="I141" i="52"/>
  <c r="J141" i="52"/>
  <c r="K141" i="52"/>
  <c r="L141" i="52"/>
  <c r="H142" i="52"/>
  <c r="I142" i="52"/>
  <c r="J142" i="52"/>
  <c r="K142" i="52"/>
  <c r="L142" i="52"/>
  <c r="H143" i="52"/>
  <c r="I143" i="52"/>
  <c r="J143" i="52"/>
  <c r="K143" i="52"/>
  <c r="L143" i="52"/>
  <c r="H144" i="52"/>
  <c r="I144" i="52"/>
  <c r="J144" i="52"/>
  <c r="K144" i="52"/>
  <c r="L144" i="52"/>
  <c r="H145" i="52"/>
  <c r="I145" i="52"/>
  <c r="J145" i="52"/>
  <c r="K145" i="52"/>
  <c r="L145" i="52"/>
  <c r="H146" i="52"/>
  <c r="I146" i="52"/>
  <c r="J146" i="52"/>
  <c r="K146" i="52"/>
  <c r="L146" i="52"/>
  <c r="H147" i="52"/>
  <c r="I147" i="52"/>
  <c r="J147" i="52"/>
  <c r="K147" i="52"/>
  <c r="L147" i="52"/>
  <c r="H148" i="52"/>
  <c r="I148" i="52"/>
  <c r="J148" i="52"/>
  <c r="K148" i="52"/>
  <c r="L148" i="52"/>
  <c r="H149" i="52"/>
  <c r="I149" i="52"/>
  <c r="J149" i="52"/>
  <c r="K149" i="52"/>
  <c r="L149" i="52"/>
  <c r="H150" i="52"/>
  <c r="I150" i="52"/>
  <c r="J150" i="52"/>
  <c r="K150" i="52"/>
  <c r="L150" i="52"/>
  <c r="H151" i="52"/>
  <c r="I151" i="52"/>
  <c r="J151" i="52"/>
  <c r="K151" i="52"/>
  <c r="L151" i="52"/>
  <c r="H152" i="52"/>
  <c r="I152" i="52"/>
  <c r="J152" i="52"/>
  <c r="K152" i="52"/>
  <c r="L152" i="52"/>
  <c r="H153" i="52"/>
  <c r="I153" i="52"/>
  <c r="J153" i="52"/>
  <c r="K153" i="52"/>
  <c r="L153" i="52"/>
  <c r="H154" i="52"/>
  <c r="I154" i="52"/>
  <c r="J154" i="52"/>
  <c r="K154" i="52"/>
  <c r="L154" i="52"/>
  <c r="H155" i="52"/>
  <c r="I155" i="52"/>
  <c r="J155" i="52"/>
  <c r="K155" i="52"/>
  <c r="L155" i="52"/>
  <c r="H156" i="52"/>
  <c r="I156" i="52"/>
  <c r="J156" i="52"/>
  <c r="K156" i="52"/>
  <c r="L156" i="52"/>
  <c r="H157" i="52"/>
  <c r="I157" i="52"/>
  <c r="J157" i="52"/>
  <c r="K157" i="52"/>
  <c r="L157" i="52"/>
  <c r="H158" i="52"/>
  <c r="I158" i="52"/>
  <c r="J158" i="52"/>
  <c r="K158" i="52"/>
  <c r="L158" i="52"/>
  <c r="H159" i="52"/>
  <c r="I159" i="52"/>
  <c r="J159" i="52"/>
  <c r="K159" i="52"/>
  <c r="L159" i="52"/>
  <c r="H160" i="52"/>
  <c r="I160" i="52"/>
  <c r="J160" i="52"/>
  <c r="K160" i="52"/>
  <c r="L160" i="52"/>
  <c r="H161" i="52"/>
  <c r="I161" i="52"/>
  <c r="J161" i="52"/>
  <c r="K161" i="52"/>
  <c r="L161" i="52"/>
  <c r="H162" i="52"/>
  <c r="I162" i="52"/>
  <c r="J162" i="52"/>
  <c r="K162" i="52"/>
  <c r="L162" i="52"/>
  <c r="H163" i="52"/>
  <c r="I163" i="52"/>
  <c r="J163" i="52"/>
  <c r="K163" i="52"/>
  <c r="L163" i="52"/>
  <c r="H164" i="52"/>
  <c r="I164" i="52"/>
  <c r="J164" i="52"/>
  <c r="K164" i="52"/>
  <c r="L164" i="52"/>
  <c r="H165" i="52"/>
  <c r="I165" i="52"/>
  <c r="J165" i="52"/>
  <c r="K165" i="52"/>
  <c r="L165" i="52"/>
  <c r="H166" i="52"/>
  <c r="I166" i="52"/>
  <c r="J166" i="52"/>
  <c r="K166" i="52"/>
  <c r="L166" i="52"/>
  <c r="H167" i="52"/>
  <c r="I167" i="52"/>
  <c r="J167" i="52"/>
  <c r="K167" i="52"/>
  <c r="L167" i="52"/>
  <c r="H168" i="52"/>
  <c r="I168" i="52"/>
  <c r="J168" i="52"/>
  <c r="K168" i="52"/>
  <c r="L168" i="52"/>
  <c r="H169" i="52"/>
  <c r="I169" i="52"/>
  <c r="J169" i="52"/>
  <c r="K169" i="52"/>
  <c r="L169" i="52"/>
  <c r="H170" i="52"/>
  <c r="I170" i="52"/>
  <c r="J170" i="52"/>
  <c r="K170" i="52"/>
  <c r="L170" i="52"/>
  <c r="H171" i="52"/>
  <c r="I171" i="52"/>
  <c r="J171" i="52"/>
  <c r="K171" i="52"/>
  <c r="L171" i="52"/>
  <c r="H172" i="52"/>
  <c r="I172" i="52"/>
  <c r="J172" i="52"/>
  <c r="K172" i="52"/>
  <c r="L172" i="52"/>
  <c r="H173" i="52"/>
  <c r="I173" i="52"/>
  <c r="J173" i="52"/>
  <c r="K173" i="52"/>
  <c r="L173" i="52"/>
  <c r="H174" i="52"/>
  <c r="I174" i="52"/>
  <c r="J174" i="52"/>
  <c r="K174" i="52"/>
  <c r="L174" i="52"/>
  <c r="H175" i="52"/>
  <c r="I175" i="52"/>
  <c r="J175" i="52"/>
  <c r="K175" i="52"/>
  <c r="L175" i="52"/>
  <c r="H176" i="52"/>
  <c r="I176" i="52"/>
  <c r="J176" i="52"/>
  <c r="K176" i="52"/>
  <c r="L176" i="52"/>
  <c r="H177" i="52"/>
  <c r="I177" i="52"/>
  <c r="J177" i="52"/>
  <c r="K177" i="52"/>
  <c r="L177" i="52"/>
  <c r="H178" i="52"/>
  <c r="I178" i="52"/>
  <c r="J178" i="52"/>
  <c r="K178" i="52"/>
  <c r="L178" i="52"/>
  <c r="H179" i="52"/>
  <c r="I179" i="52"/>
  <c r="J179" i="52"/>
  <c r="K179" i="52"/>
  <c r="L179" i="52"/>
  <c r="H180" i="52"/>
  <c r="I180" i="52"/>
  <c r="J180" i="52"/>
  <c r="K180" i="52"/>
  <c r="L180" i="52"/>
  <c r="H181" i="52"/>
  <c r="I181" i="52"/>
  <c r="J181" i="52"/>
  <c r="K181" i="52"/>
  <c r="L181" i="52"/>
  <c r="H182" i="52"/>
  <c r="I182" i="52"/>
  <c r="J182" i="52"/>
  <c r="K182" i="52"/>
  <c r="L182" i="52"/>
  <c r="H183" i="52"/>
  <c r="I183" i="52"/>
  <c r="J183" i="52"/>
  <c r="K183" i="52"/>
  <c r="L183" i="52"/>
  <c r="H184" i="52"/>
  <c r="I184" i="52"/>
  <c r="J184" i="52"/>
  <c r="K184" i="52"/>
  <c r="L184" i="52"/>
  <c r="H185" i="52"/>
  <c r="I185" i="52"/>
  <c r="J185" i="52"/>
  <c r="K185" i="52"/>
  <c r="L185" i="52"/>
  <c r="H186" i="52"/>
  <c r="I186" i="52"/>
  <c r="J186" i="52"/>
  <c r="K186" i="52"/>
  <c r="L186" i="52"/>
  <c r="H187" i="52"/>
  <c r="I187" i="52"/>
  <c r="J187" i="52"/>
  <c r="K187" i="52"/>
  <c r="L187" i="52"/>
  <c r="H188" i="52"/>
  <c r="I188" i="52"/>
  <c r="J188" i="52"/>
  <c r="K188" i="52"/>
  <c r="L188" i="52"/>
  <c r="H189" i="52"/>
  <c r="I189" i="52"/>
  <c r="J189" i="52"/>
  <c r="K189" i="52"/>
  <c r="L189" i="52"/>
  <c r="H190" i="52"/>
  <c r="I190" i="52"/>
  <c r="J190" i="52"/>
  <c r="K190" i="52"/>
  <c r="L190" i="52"/>
  <c r="H191" i="52"/>
  <c r="I191" i="52"/>
  <c r="J191" i="52"/>
  <c r="K191" i="52"/>
  <c r="L191" i="52"/>
  <c r="H192" i="52"/>
  <c r="I192" i="52"/>
  <c r="J192" i="52"/>
  <c r="K192" i="52"/>
  <c r="L192" i="52"/>
  <c r="H193" i="52"/>
  <c r="I193" i="52"/>
  <c r="J193" i="52"/>
  <c r="K193" i="52"/>
  <c r="L193" i="52"/>
  <c r="H194" i="52"/>
  <c r="I194" i="52"/>
  <c r="J194" i="52"/>
  <c r="K194" i="52"/>
  <c r="L194" i="52"/>
  <c r="H195" i="52"/>
  <c r="I195" i="52"/>
  <c r="J195" i="52"/>
  <c r="K195" i="52"/>
  <c r="L195" i="52"/>
  <c r="H196" i="52"/>
  <c r="I196" i="52"/>
  <c r="J196" i="52"/>
  <c r="K196" i="52"/>
  <c r="L196" i="52"/>
  <c r="H197" i="52"/>
  <c r="I197" i="52"/>
  <c r="J197" i="52"/>
  <c r="K197" i="52"/>
  <c r="L197" i="52"/>
  <c r="H198" i="52"/>
  <c r="I198" i="52"/>
  <c r="J198" i="52"/>
  <c r="K198" i="52"/>
  <c r="L198" i="52"/>
  <c r="H199" i="52"/>
  <c r="I199" i="52"/>
  <c r="J199" i="52"/>
  <c r="K199" i="52"/>
  <c r="L199" i="52"/>
  <c r="H200" i="52"/>
  <c r="I200" i="52"/>
  <c r="J200" i="52"/>
  <c r="K200" i="52"/>
  <c r="L200" i="52"/>
  <c r="H201" i="52"/>
  <c r="I201" i="52"/>
  <c r="J201" i="52"/>
  <c r="K201" i="52"/>
  <c r="L201" i="52"/>
  <c r="H202" i="52"/>
  <c r="I202" i="52"/>
  <c r="J202" i="52"/>
  <c r="K202" i="52"/>
  <c r="L202" i="52"/>
  <c r="H203" i="52"/>
  <c r="I203" i="52"/>
  <c r="J203" i="52"/>
  <c r="K203" i="52"/>
  <c r="L203" i="52"/>
  <c r="H204" i="52"/>
  <c r="I204" i="52"/>
  <c r="J204" i="52"/>
  <c r="K204" i="52"/>
  <c r="L204" i="52"/>
  <c r="H205" i="52"/>
  <c r="I205" i="52"/>
  <c r="J205" i="52"/>
  <c r="K205" i="52"/>
  <c r="L205" i="52"/>
  <c r="H206" i="52"/>
  <c r="I206" i="52"/>
  <c r="J206" i="52"/>
  <c r="K206" i="52"/>
  <c r="L206" i="52"/>
  <c r="H207" i="52"/>
  <c r="I207" i="52"/>
  <c r="J207" i="52"/>
  <c r="K207" i="52"/>
  <c r="L207" i="52"/>
  <c r="H208" i="52"/>
  <c r="I208" i="52"/>
  <c r="J208" i="52"/>
  <c r="K208" i="52"/>
  <c r="L208" i="52"/>
  <c r="H209" i="52"/>
  <c r="I209" i="52"/>
  <c r="J209" i="52"/>
  <c r="K209" i="52"/>
  <c r="L209" i="52"/>
  <c r="H210" i="52"/>
  <c r="I210" i="52"/>
  <c r="J210" i="52"/>
  <c r="K210" i="52"/>
  <c r="L210" i="52"/>
  <c r="H211" i="52"/>
  <c r="I211" i="52"/>
  <c r="J211" i="52"/>
  <c r="K211" i="52"/>
  <c r="L211" i="52"/>
  <c r="H212" i="52"/>
  <c r="I212" i="52"/>
  <c r="J212" i="52"/>
  <c r="K212" i="52"/>
  <c r="L212" i="52"/>
  <c r="H213" i="52"/>
  <c r="I213" i="52"/>
  <c r="J213" i="52"/>
  <c r="K213" i="52"/>
  <c r="L213" i="52"/>
  <c r="H214" i="52"/>
  <c r="I214" i="52"/>
  <c r="J214" i="52"/>
  <c r="K214" i="52"/>
  <c r="L214" i="52"/>
  <c r="H215" i="52"/>
  <c r="I215" i="52"/>
  <c r="J215" i="52"/>
  <c r="K215" i="52"/>
  <c r="L215" i="52"/>
  <c r="H216" i="52"/>
  <c r="I216" i="52"/>
  <c r="J216" i="52"/>
  <c r="K216" i="52"/>
  <c r="L216" i="52"/>
  <c r="H217" i="52"/>
  <c r="I217" i="52"/>
  <c r="J217" i="52"/>
  <c r="K217" i="52"/>
  <c r="L217" i="52"/>
  <c r="H218" i="52"/>
  <c r="I218" i="52"/>
  <c r="J218" i="52"/>
  <c r="K218" i="52"/>
  <c r="L218" i="52"/>
  <c r="H219" i="52"/>
  <c r="I219" i="52"/>
  <c r="J219" i="52"/>
  <c r="K219" i="52"/>
  <c r="L219" i="52"/>
  <c r="H220" i="52"/>
  <c r="I220" i="52"/>
  <c r="J220" i="52"/>
  <c r="K220" i="52"/>
  <c r="L220" i="52"/>
  <c r="H221" i="52"/>
  <c r="I221" i="52"/>
  <c r="J221" i="52"/>
  <c r="K221" i="52"/>
  <c r="L221" i="52"/>
  <c r="H222" i="52"/>
  <c r="I222" i="52"/>
  <c r="J222" i="52"/>
  <c r="K222" i="52"/>
  <c r="L222" i="52"/>
  <c r="H223" i="52"/>
  <c r="I223" i="52"/>
  <c r="J223" i="52"/>
  <c r="K223" i="52"/>
  <c r="L223" i="52"/>
  <c r="H224" i="52"/>
  <c r="I224" i="52"/>
  <c r="J224" i="52"/>
  <c r="K224" i="52"/>
  <c r="L224" i="52"/>
  <c r="H225" i="52"/>
  <c r="I225" i="52"/>
  <c r="J225" i="52"/>
  <c r="K225" i="52"/>
  <c r="L225" i="52"/>
  <c r="H226" i="52"/>
  <c r="I226" i="52"/>
  <c r="J226" i="52"/>
  <c r="K226" i="52"/>
  <c r="L226" i="52"/>
  <c r="H227" i="52"/>
  <c r="I227" i="52"/>
  <c r="J227" i="52"/>
  <c r="K227" i="52"/>
  <c r="L227" i="52"/>
  <c r="H228" i="52"/>
  <c r="I228" i="52"/>
  <c r="J228" i="52"/>
  <c r="K228" i="52"/>
  <c r="L228" i="52"/>
  <c r="H229" i="52"/>
  <c r="I229" i="52"/>
  <c r="J229" i="52"/>
  <c r="K229" i="52"/>
  <c r="L229" i="52"/>
  <c r="H230" i="52"/>
  <c r="I230" i="52"/>
  <c r="J230" i="52"/>
  <c r="K230" i="52"/>
  <c r="L230" i="52"/>
  <c r="H231" i="52"/>
  <c r="I231" i="52"/>
  <c r="J231" i="52"/>
  <c r="K231" i="52"/>
  <c r="L231" i="52"/>
  <c r="H232" i="52"/>
  <c r="I232" i="52"/>
  <c r="J232" i="52"/>
  <c r="K232" i="52"/>
  <c r="L232" i="52"/>
  <c r="H233" i="52"/>
  <c r="I233" i="52"/>
  <c r="J233" i="52"/>
  <c r="K233" i="52"/>
  <c r="L233" i="52"/>
  <c r="H234" i="52"/>
  <c r="I234" i="52"/>
  <c r="J234" i="52"/>
  <c r="K234" i="52"/>
  <c r="L234" i="52"/>
  <c r="H235" i="52"/>
  <c r="I235" i="52"/>
  <c r="J235" i="52"/>
  <c r="K235" i="52"/>
  <c r="L235" i="52"/>
  <c r="H236" i="52"/>
  <c r="I236" i="52"/>
  <c r="J236" i="52"/>
  <c r="K236" i="52"/>
  <c r="L236" i="52"/>
  <c r="H237" i="52"/>
  <c r="I237" i="52"/>
  <c r="J237" i="52"/>
  <c r="K237" i="52"/>
  <c r="L237" i="52"/>
  <c r="H238" i="52"/>
  <c r="I238" i="52"/>
  <c r="J238" i="52"/>
  <c r="K238" i="52"/>
  <c r="L238" i="52"/>
  <c r="H239" i="52"/>
  <c r="I239" i="52"/>
  <c r="J239" i="52"/>
  <c r="K239" i="52"/>
  <c r="L239" i="52"/>
  <c r="H240" i="52"/>
  <c r="I240" i="52"/>
  <c r="J240" i="52"/>
  <c r="K240" i="52"/>
  <c r="L240" i="52"/>
  <c r="H241" i="52"/>
  <c r="I241" i="52"/>
  <c r="J241" i="52"/>
  <c r="K241" i="52"/>
  <c r="L241" i="52"/>
  <c r="H242" i="52"/>
  <c r="I242" i="52"/>
  <c r="J242" i="52"/>
  <c r="K242" i="52"/>
  <c r="L242" i="52"/>
  <c r="H243" i="52"/>
  <c r="I243" i="52"/>
  <c r="J243" i="52"/>
  <c r="K243" i="52"/>
  <c r="L243" i="52"/>
  <c r="H244" i="52"/>
  <c r="I244" i="52"/>
  <c r="J244" i="52"/>
  <c r="K244" i="52"/>
  <c r="L244" i="52"/>
  <c r="H245" i="52"/>
  <c r="I245" i="52"/>
  <c r="J245" i="52"/>
  <c r="K245" i="52"/>
  <c r="L245" i="52"/>
  <c r="H246" i="52"/>
  <c r="I246" i="52"/>
  <c r="J246" i="52"/>
  <c r="K246" i="52"/>
  <c r="L246" i="52"/>
  <c r="H247" i="52"/>
  <c r="I247" i="52"/>
  <c r="J247" i="52"/>
  <c r="K247" i="52"/>
  <c r="L247" i="52"/>
  <c r="H248" i="52"/>
  <c r="I248" i="52"/>
  <c r="J248" i="52"/>
  <c r="K248" i="52"/>
  <c r="L248" i="52"/>
  <c r="H249" i="52"/>
  <c r="I249" i="52"/>
  <c r="J249" i="52"/>
  <c r="K249" i="52"/>
  <c r="L249" i="52"/>
  <c r="H250" i="52"/>
  <c r="I250" i="52"/>
  <c r="J250" i="52"/>
  <c r="K250" i="52"/>
  <c r="L250" i="52"/>
  <c r="H251" i="52"/>
  <c r="I251" i="52"/>
  <c r="J251" i="52"/>
  <c r="K251" i="52"/>
  <c r="L251" i="52"/>
  <c r="H252" i="52"/>
  <c r="I252" i="52"/>
  <c r="J252" i="52"/>
  <c r="K252" i="52"/>
  <c r="L252" i="52"/>
  <c r="H253" i="52"/>
  <c r="I253" i="52"/>
  <c r="J253" i="52"/>
  <c r="K253" i="52"/>
  <c r="L253" i="52"/>
  <c r="H254" i="52"/>
  <c r="I254" i="52"/>
  <c r="J254" i="52"/>
  <c r="K254" i="52"/>
  <c r="L254" i="52"/>
  <c r="H255" i="52"/>
  <c r="I255" i="52"/>
  <c r="J255" i="52"/>
  <c r="K255" i="52"/>
  <c r="L255" i="52"/>
  <c r="H256" i="52"/>
  <c r="I256" i="52"/>
  <c r="J256" i="52"/>
  <c r="K256" i="52"/>
  <c r="L256" i="52"/>
  <c r="H257" i="52"/>
  <c r="I257" i="52"/>
  <c r="J257" i="52"/>
  <c r="K257" i="52"/>
  <c r="L257" i="52"/>
  <c r="H258" i="52"/>
  <c r="I258" i="52"/>
  <c r="J258" i="52"/>
  <c r="K258" i="52"/>
  <c r="L258" i="52"/>
  <c r="H259" i="52"/>
  <c r="I259" i="52"/>
  <c r="J259" i="52"/>
  <c r="K259" i="52"/>
  <c r="L259" i="52"/>
  <c r="H260" i="52"/>
  <c r="I260" i="52"/>
  <c r="J260" i="52"/>
  <c r="K260" i="52"/>
  <c r="L260" i="52"/>
  <c r="H261" i="52"/>
  <c r="I261" i="52"/>
  <c r="J261" i="52"/>
  <c r="K261" i="52"/>
  <c r="L261" i="52"/>
  <c r="H262" i="52"/>
  <c r="I262" i="52"/>
  <c r="J262" i="52"/>
  <c r="K262" i="52"/>
  <c r="L262" i="52"/>
  <c r="H263" i="52"/>
  <c r="I263" i="52"/>
  <c r="J263" i="52"/>
  <c r="K263" i="52"/>
  <c r="L263" i="52"/>
  <c r="H264" i="52"/>
  <c r="I264" i="52"/>
  <c r="J264" i="52"/>
  <c r="K264" i="52"/>
  <c r="L264" i="52"/>
  <c r="H265" i="52"/>
  <c r="I265" i="52"/>
  <c r="J265" i="52"/>
  <c r="K265" i="52"/>
  <c r="L265" i="52"/>
  <c r="H266" i="52"/>
  <c r="I266" i="52"/>
  <c r="J266" i="52"/>
  <c r="K266" i="52"/>
  <c r="L266" i="52"/>
  <c r="H267" i="52"/>
  <c r="I267" i="52"/>
  <c r="J267" i="52"/>
  <c r="K267" i="52"/>
  <c r="L267" i="52"/>
  <c r="H268" i="52"/>
  <c r="I268" i="52"/>
  <c r="J268" i="52"/>
  <c r="K268" i="52"/>
  <c r="L268" i="52"/>
  <c r="H269" i="52"/>
  <c r="I269" i="52"/>
  <c r="J269" i="52"/>
  <c r="K269" i="52"/>
  <c r="L269" i="52"/>
  <c r="H270" i="52"/>
  <c r="I270" i="52"/>
  <c r="J270" i="52"/>
  <c r="K270" i="52"/>
  <c r="L270" i="52"/>
  <c r="H271" i="52"/>
  <c r="I271" i="52"/>
  <c r="J271" i="52"/>
  <c r="K271" i="52"/>
  <c r="L271" i="52"/>
  <c r="H272" i="52"/>
  <c r="I272" i="52"/>
  <c r="J272" i="52"/>
  <c r="K272" i="52"/>
  <c r="L272" i="52"/>
  <c r="H273" i="52"/>
  <c r="I273" i="52"/>
  <c r="J273" i="52"/>
  <c r="K273" i="52"/>
  <c r="L273" i="52"/>
  <c r="H274" i="52"/>
  <c r="I274" i="52"/>
  <c r="J274" i="52"/>
  <c r="K274" i="52"/>
  <c r="L274" i="52"/>
  <c r="H275" i="52"/>
  <c r="I275" i="52"/>
  <c r="J275" i="52"/>
  <c r="K275" i="52"/>
  <c r="L275" i="52"/>
  <c r="H276" i="52"/>
  <c r="I276" i="52"/>
  <c r="J276" i="52"/>
  <c r="K276" i="52"/>
  <c r="L276" i="52"/>
  <c r="H277" i="52"/>
  <c r="I277" i="52"/>
  <c r="J277" i="52"/>
  <c r="K277" i="52"/>
  <c r="L277" i="52"/>
  <c r="H278" i="52"/>
  <c r="I278" i="52"/>
  <c r="J278" i="52"/>
  <c r="K278" i="52"/>
  <c r="L278" i="52"/>
  <c r="H279" i="52"/>
  <c r="I279" i="52"/>
  <c r="J279" i="52"/>
  <c r="K279" i="52"/>
  <c r="L279" i="52"/>
  <c r="H280" i="52"/>
  <c r="I280" i="52"/>
  <c r="J280" i="52"/>
  <c r="K280" i="52"/>
  <c r="L280" i="52"/>
  <c r="H281" i="52"/>
  <c r="I281" i="52"/>
  <c r="J281" i="52"/>
  <c r="K281" i="52"/>
  <c r="L281" i="52"/>
  <c r="H282" i="52"/>
  <c r="I282" i="52"/>
  <c r="J282" i="52"/>
  <c r="K282" i="52"/>
  <c r="L282" i="52"/>
  <c r="H283" i="52"/>
  <c r="I283" i="52"/>
  <c r="J283" i="52"/>
  <c r="K283" i="52"/>
  <c r="L283" i="52"/>
  <c r="H284" i="52"/>
  <c r="I284" i="52"/>
  <c r="J284" i="52"/>
  <c r="K284" i="52"/>
  <c r="L284" i="52"/>
  <c r="H285" i="52"/>
  <c r="I285" i="52"/>
  <c r="J285" i="52"/>
  <c r="K285" i="52"/>
  <c r="L285" i="52"/>
  <c r="H286" i="52"/>
  <c r="I286" i="52"/>
  <c r="J286" i="52"/>
  <c r="K286" i="52"/>
  <c r="L286" i="52"/>
  <c r="H287" i="52"/>
  <c r="I287" i="52"/>
  <c r="J287" i="52"/>
  <c r="K287" i="52"/>
  <c r="L287" i="52"/>
  <c r="H288" i="52"/>
  <c r="I288" i="52"/>
  <c r="J288" i="52"/>
  <c r="K288" i="52"/>
  <c r="L288" i="52"/>
  <c r="H289" i="52"/>
  <c r="I289" i="52"/>
  <c r="J289" i="52"/>
  <c r="K289" i="52"/>
  <c r="L289" i="52"/>
  <c r="H290" i="52"/>
  <c r="I290" i="52"/>
  <c r="J290" i="52"/>
  <c r="K290" i="52"/>
  <c r="L290" i="52"/>
  <c r="H291" i="52"/>
  <c r="I291" i="52"/>
  <c r="J291" i="52"/>
  <c r="K291" i="52"/>
  <c r="L291" i="52"/>
  <c r="H292" i="52"/>
  <c r="I292" i="52"/>
  <c r="J292" i="52"/>
  <c r="K292" i="52"/>
  <c r="L292" i="52"/>
  <c r="H293" i="52"/>
  <c r="I293" i="52"/>
  <c r="J293" i="52"/>
  <c r="K293" i="52"/>
  <c r="L293" i="52"/>
  <c r="H294" i="52"/>
  <c r="I294" i="52"/>
  <c r="J294" i="52"/>
  <c r="K294" i="52"/>
  <c r="L294" i="52"/>
  <c r="H295" i="52"/>
  <c r="I295" i="52"/>
  <c r="J295" i="52"/>
  <c r="K295" i="52"/>
  <c r="L295" i="52"/>
  <c r="H296" i="52"/>
  <c r="I296" i="52"/>
  <c r="J296" i="52"/>
  <c r="K296" i="52"/>
  <c r="L296" i="52"/>
  <c r="H297" i="52"/>
  <c r="I297" i="52"/>
  <c r="J297" i="52"/>
  <c r="K297" i="52"/>
  <c r="L297" i="52"/>
  <c r="H298" i="52"/>
  <c r="I298" i="52"/>
  <c r="J298" i="52"/>
  <c r="K298" i="52"/>
  <c r="L298" i="52"/>
  <c r="H299" i="52"/>
  <c r="I299" i="52"/>
  <c r="J299" i="52"/>
  <c r="K299" i="52"/>
  <c r="L299" i="52"/>
  <c r="H300" i="52"/>
  <c r="I300" i="52"/>
  <c r="J300" i="52"/>
  <c r="K300" i="52"/>
  <c r="L300" i="52"/>
  <c r="H301" i="52"/>
  <c r="I301" i="52"/>
  <c r="J301" i="52"/>
  <c r="K301" i="52"/>
  <c r="L301" i="52"/>
  <c r="H302" i="52"/>
  <c r="I302" i="52"/>
  <c r="J302" i="52"/>
  <c r="K302" i="52"/>
  <c r="L302" i="52"/>
  <c r="H303" i="52"/>
  <c r="I303" i="52"/>
  <c r="J303" i="52"/>
  <c r="K303" i="52"/>
  <c r="L303" i="52"/>
  <c r="H304" i="52"/>
  <c r="I304" i="52"/>
  <c r="J304" i="52"/>
  <c r="K304" i="52"/>
  <c r="L304" i="52"/>
  <c r="H305" i="52"/>
  <c r="I305" i="52"/>
  <c r="J305" i="52"/>
  <c r="K305" i="52"/>
  <c r="L305" i="52"/>
  <c r="H306" i="52"/>
  <c r="I306" i="52"/>
  <c r="J306" i="52"/>
  <c r="K306" i="52"/>
  <c r="L306" i="52"/>
  <c r="H307" i="52"/>
  <c r="I307" i="52"/>
  <c r="J307" i="52"/>
  <c r="K307" i="52"/>
  <c r="L307" i="52"/>
  <c r="H308" i="52"/>
  <c r="I308" i="52"/>
  <c r="J308" i="52"/>
  <c r="K308" i="52"/>
  <c r="L308" i="52"/>
  <c r="H309" i="52"/>
  <c r="I309" i="52"/>
  <c r="J309" i="52"/>
  <c r="K309" i="52"/>
  <c r="L309" i="52"/>
  <c r="H310" i="52"/>
  <c r="I310" i="52"/>
  <c r="J310" i="52"/>
  <c r="K310" i="52"/>
  <c r="L310" i="52"/>
  <c r="H311" i="52"/>
  <c r="I311" i="52"/>
  <c r="J311" i="52"/>
  <c r="K311" i="52"/>
  <c r="L311" i="52"/>
  <c r="H312" i="52"/>
  <c r="I312" i="52"/>
  <c r="J312" i="52"/>
  <c r="K312" i="52"/>
  <c r="L312" i="52"/>
  <c r="H313" i="52"/>
  <c r="I313" i="52"/>
  <c r="J313" i="52"/>
  <c r="K313" i="52"/>
  <c r="L313" i="52"/>
  <c r="H314" i="52"/>
  <c r="I314" i="52"/>
  <c r="J314" i="52"/>
  <c r="K314" i="52"/>
  <c r="L314" i="52"/>
  <c r="H315" i="52"/>
  <c r="I315" i="52"/>
  <c r="J315" i="52"/>
  <c r="K315" i="52"/>
  <c r="L315" i="52"/>
  <c r="H316" i="52"/>
  <c r="I316" i="52"/>
  <c r="J316" i="52"/>
  <c r="K316" i="52"/>
  <c r="L316" i="52"/>
  <c r="H317" i="52"/>
  <c r="I317" i="52"/>
  <c r="J317" i="52"/>
  <c r="K317" i="52"/>
  <c r="L317" i="52"/>
  <c r="H318" i="52"/>
  <c r="I318" i="52"/>
  <c r="J318" i="52"/>
  <c r="K318" i="52"/>
  <c r="L318" i="52"/>
  <c r="H319" i="52"/>
  <c r="I319" i="52"/>
  <c r="J319" i="52"/>
  <c r="K319" i="52"/>
  <c r="L319" i="52"/>
  <c r="H320" i="52"/>
  <c r="I320" i="52"/>
  <c r="J320" i="52"/>
  <c r="K320" i="52"/>
  <c r="L320" i="52"/>
  <c r="H321" i="52"/>
  <c r="I321" i="52"/>
  <c r="J321" i="52"/>
  <c r="K321" i="52"/>
  <c r="L321" i="52"/>
  <c r="H322" i="52"/>
  <c r="I322" i="52"/>
  <c r="J322" i="52"/>
  <c r="K322" i="52"/>
  <c r="L322" i="52"/>
  <c r="H323" i="52"/>
  <c r="I323" i="52"/>
  <c r="J323" i="52"/>
  <c r="K323" i="52"/>
  <c r="L323" i="52"/>
  <c r="H324" i="52"/>
  <c r="I324" i="52"/>
  <c r="J324" i="52"/>
  <c r="K324" i="52"/>
  <c r="L324" i="52"/>
  <c r="H325" i="52"/>
  <c r="I325" i="52"/>
  <c r="J325" i="52"/>
  <c r="K325" i="52"/>
  <c r="L325" i="52"/>
  <c r="H326" i="52"/>
  <c r="I326" i="52"/>
  <c r="J326" i="52"/>
  <c r="K326" i="52"/>
  <c r="L326" i="52"/>
  <c r="H327" i="52"/>
  <c r="I327" i="52"/>
  <c r="J327" i="52"/>
  <c r="K327" i="52"/>
  <c r="L327" i="52"/>
  <c r="H328" i="52"/>
  <c r="I328" i="52"/>
  <c r="J328" i="52"/>
  <c r="K328" i="52"/>
  <c r="L328" i="52"/>
  <c r="H329" i="52"/>
  <c r="I329" i="52"/>
  <c r="J329" i="52"/>
  <c r="K329" i="52"/>
  <c r="L329" i="52"/>
  <c r="H330" i="52"/>
  <c r="I330" i="52"/>
  <c r="J330" i="52"/>
  <c r="K330" i="52"/>
  <c r="L330" i="52"/>
  <c r="H331" i="52"/>
  <c r="I331" i="52"/>
  <c r="J331" i="52"/>
  <c r="K331" i="52"/>
  <c r="L331" i="52"/>
  <c r="H332" i="52"/>
  <c r="I332" i="52"/>
  <c r="J332" i="52"/>
  <c r="K332" i="52"/>
  <c r="L332" i="52"/>
  <c r="H333" i="52"/>
  <c r="I333" i="52"/>
  <c r="J333" i="52"/>
  <c r="K333" i="52"/>
  <c r="L333" i="52"/>
  <c r="H334" i="52"/>
  <c r="I334" i="52"/>
  <c r="J334" i="52"/>
  <c r="K334" i="52"/>
  <c r="L334" i="52"/>
  <c r="H335" i="52"/>
  <c r="I335" i="52"/>
  <c r="J335" i="52"/>
  <c r="K335" i="52"/>
  <c r="L335" i="52"/>
  <c r="H336" i="52"/>
  <c r="I336" i="52"/>
  <c r="J336" i="52"/>
  <c r="K336" i="52"/>
  <c r="L336" i="52"/>
  <c r="H337" i="52"/>
  <c r="I337" i="52"/>
  <c r="J337" i="52"/>
  <c r="K337" i="52"/>
  <c r="L337" i="52"/>
  <c r="H338" i="52"/>
  <c r="I338" i="52"/>
  <c r="J338" i="52"/>
  <c r="K338" i="52"/>
  <c r="L338" i="52"/>
  <c r="H339" i="52"/>
  <c r="I339" i="52"/>
  <c r="J339" i="52"/>
  <c r="K339" i="52"/>
  <c r="L339" i="52"/>
  <c r="H340" i="52"/>
  <c r="I340" i="52"/>
  <c r="J340" i="52"/>
  <c r="K340" i="52"/>
  <c r="L340" i="52"/>
  <c r="H341" i="52"/>
  <c r="I341" i="52"/>
  <c r="J341" i="52"/>
  <c r="K341" i="52"/>
  <c r="L341" i="52"/>
  <c r="H342" i="52"/>
  <c r="I342" i="52"/>
  <c r="J342" i="52"/>
  <c r="K342" i="52"/>
  <c r="L342" i="52"/>
  <c r="H343" i="52"/>
  <c r="I343" i="52"/>
  <c r="J343" i="52"/>
  <c r="K343" i="52"/>
  <c r="L343" i="52"/>
  <c r="H344" i="52"/>
  <c r="I344" i="52"/>
  <c r="J344" i="52"/>
  <c r="K344" i="52"/>
  <c r="L344" i="52"/>
  <c r="H345" i="52"/>
  <c r="I345" i="52"/>
  <c r="J345" i="52"/>
  <c r="K345" i="52"/>
  <c r="L345" i="52"/>
  <c r="H346" i="52"/>
  <c r="I346" i="52"/>
  <c r="J346" i="52"/>
  <c r="K346" i="52"/>
  <c r="L346" i="52"/>
  <c r="H347" i="52"/>
  <c r="I347" i="52"/>
  <c r="J347" i="52"/>
  <c r="K347" i="52"/>
  <c r="L347" i="52"/>
  <c r="H348" i="52"/>
  <c r="I348" i="52"/>
  <c r="J348" i="52"/>
  <c r="K348" i="52"/>
  <c r="L348" i="52"/>
  <c r="H349" i="52"/>
  <c r="I349" i="52"/>
  <c r="J349" i="52"/>
  <c r="K349" i="52"/>
  <c r="L349" i="52"/>
  <c r="H350" i="52"/>
  <c r="I350" i="52"/>
  <c r="J350" i="52"/>
  <c r="K350" i="52"/>
  <c r="L350" i="52"/>
  <c r="H351" i="52"/>
  <c r="I351" i="52"/>
  <c r="J351" i="52"/>
  <c r="K351" i="52"/>
  <c r="L351" i="52"/>
  <c r="H352" i="52"/>
  <c r="I352" i="52"/>
  <c r="J352" i="52"/>
  <c r="K352" i="52"/>
  <c r="L352" i="52"/>
  <c r="H353" i="52"/>
  <c r="I353" i="52"/>
  <c r="J353" i="52"/>
  <c r="K353" i="52"/>
  <c r="L353" i="52"/>
  <c r="H354" i="52"/>
  <c r="I354" i="52"/>
  <c r="J354" i="52"/>
  <c r="K354" i="52"/>
  <c r="L354" i="52"/>
  <c r="H355" i="52"/>
  <c r="I355" i="52"/>
  <c r="J355" i="52"/>
  <c r="K355" i="52"/>
  <c r="L355" i="52"/>
  <c r="H356" i="52"/>
  <c r="I356" i="52"/>
  <c r="J356" i="52"/>
  <c r="K356" i="52"/>
  <c r="L356" i="52"/>
  <c r="H357" i="52"/>
  <c r="I357" i="52"/>
  <c r="J357" i="52"/>
  <c r="K357" i="52"/>
  <c r="L357" i="52"/>
  <c r="H358" i="52"/>
  <c r="I358" i="52"/>
  <c r="J358" i="52"/>
  <c r="K358" i="52"/>
  <c r="L358" i="52"/>
  <c r="H359" i="52"/>
  <c r="I359" i="52"/>
  <c r="J359" i="52"/>
  <c r="K359" i="52"/>
  <c r="L359" i="52"/>
  <c r="H360" i="52"/>
  <c r="I360" i="52"/>
  <c r="J360" i="52"/>
  <c r="K360" i="52"/>
  <c r="L360" i="52"/>
  <c r="H361" i="52"/>
  <c r="I361" i="52"/>
  <c r="J361" i="52"/>
  <c r="K361" i="52"/>
  <c r="L361" i="52"/>
  <c r="H362" i="52"/>
  <c r="I362" i="52"/>
  <c r="J362" i="52"/>
  <c r="K362" i="52"/>
  <c r="L362" i="52"/>
  <c r="H363" i="52"/>
  <c r="I363" i="52"/>
  <c r="J363" i="52"/>
  <c r="K363" i="52"/>
  <c r="L363" i="52"/>
  <c r="H364" i="52"/>
  <c r="I364" i="52"/>
  <c r="J364" i="52"/>
  <c r="K364" i="52"/>
  <c r="L364" i="52"/>
  <c r="H365" i="52"/>
  <c r="I365" i="52"/>
  <c r="J365" i="52"/>
  <c r="K365" i="52"/>
  <c r="L365" i="52"/>
  <c r="H366" i="52"/>
  <c r="I366" i="52"/>
  <c r="J366" i="52"/>
  <c r="K366" i="52"/>
  <c r="L366" i="52"/>
  <c r="H367" i="52"/>
  <c r="I367" i="52"/>
  <c r="J367" i="52"/>
  <c r="K367" i="52"/>
  <c r="L367" i="52"/>
  <c r="H368" i="52"/>
  <c r="I368" i="52"/>
  <c r="J368" i="52"/>
  <c r="K368" i="52"/>
  <c r="L368" i="52"/>
  <c r="H369" i="52"/>
  <c r="I369" i="52"/>
  <c r="J369" i="52"/>
  <c r="K369" i="52"/>
  <c r="L369" i="52"/>
  <c r="H370" i="52"/>
  <c r="I370" i="52"/>
  <c r="J370" i="52"/>
  <c r="K370" i="52"/>
  <c r="L370" i="52"/>
  <c r="H371" i="52"/>
  <c r="I371" i="52"/>
  <c r="J371" i="52"/>
  <c r="K371" i="52"/>
  <c r="L371" i="52"/>
  <c r="H372" i="52"/>
  <c r="I372" i="52"/>
  <c r="J372" i="52"/>
  <c r="K372" i="52"/>
  <c r="L372" i="52"/>
  <c r="H373" i="52"/>
  <c r="I373" i="52"/>
  <c r="J373" i="52"/>
  <c r="K373" i="52"/>
  <c r="L373" i="52"/>
  <c r="H374" i="52"/>
  <c r="I374" i="52"/>
  <c r="J374" i="52"/>
  <c r="K374" i="52"/>
  <c r="L374" i="52"/>
  <c r="H375" i="52"/>
  <c r="I375" i="52"/>
  <c r="J375" i="52"/>
  <c r="K375" i="52"/>
  <c r="L375" i="52"/>
  <c r="H376" i="52"/>
  <c r="I376" i="52"/>
  <c r="J376" i="52"/>
  <c r="K376" i="52"/>
  <c r="L376" i="52"/>
  <c r="H377" i="52"/>
  <c r="I377" i="52"/>
  <c r="J377" i="52"/>
  <c r="K377" i="52"/>
  <c r="L377" i="52"/>
  <c r="H378" i="52"/>
  <c r="I378" i="52"/>
  <c r="J378" i="52"/>
  <c r="K378" i="52"/>
  <c r="L378" i="52"/>
  <c r="H379" i="52"/>
  <c r="I379" i="52"/>
  <c r="J379" i="52"/>
  <c r="K379" i="52"/>
  <c r="L379" i="52"/>
  <c r="H380" i="52"/>
  <c r="I380" i="52"/>
  <c r="J380" i="52"/>
  <c r="K380" i="52"/>
  <c r="L380" i="52"/>
  <c r="H381" i="52"/>
  <c r="I381" i="52"/>
  <c r="J381" i="52"/>
  <c r="K381" i="52"/>
  <c r="L381" i="52"/>
  <c r="H382" i="52"/>
  <c r="I382" i="52"/>
  <c r="J382" i="52"/>
  <c r="K382" i="52"/>
  <c r="L382" i="52"/>
  <c r="H383" i="52"/>
  <c r="I383" i="52"/>
  <c r="J383" i="52"/>
  <c r="K383" i="52"/>
  <c r="L383" i="52"/>
  <c r="H384" i="52"/>
  <c r="I384" i="52"/>
  <c r="J384" i="52"/>
  <c r="K384" i="52"/>
  <c r="L384" i="52"/>
  <c r="H385" i="52"/>
  <c r="I385" i="52"/>
  <c r="J385" i="52"/>
  <c r="K385" i="52"/>
  <c r="L385" i="52"/>
  <c r="H386" i="52"/>
  <c r="I386" i="52"/>
  <c r="J386" i="52"/>
  <c r="K386" i="52"/>
  <c r="L386" i="52"/>
  <c r="H387" i="52"/>
  <c r="I387" i="52"/>
  <c r="J387" i="52"/>
  <c r="K387" i="52"/>
  <c r="L387" i="52"/>
  <c r="H388" i="52"/>
  <c r="I388" i="52"/>
  <c r="J388" i="52"/>
  <c r="K388" i="52"/>
  <c r="L388" i="52"/>
  <c r="H389" i="52"/>
  <c r="I389" i="52"/>
  <c r="J389" i="52"/>
  <c r="K389" i="52"/>
  <c r="L389" i="52"/>
  <c r="H390" i="52"/>
  <c r="I390" i="52"/>
  <c r="J390" i="52"/>
  <c r="K390" i="52"/>
  <c r="L390" i="52"/>
  <c r="H391" i="52"/>
  <c r="I391" i="52"/>
  <c r="J391" i="52"/>
  <c r="K391" i="52"/>
  <c r="L391" i="52"/>
  <c r="H392" i="52"/>
  <c r="I392" i="52"/>
  <c r="J392" i="52"/>
  <c r="K392" i="52"/>
  <c r="L392" i="52"/>
  <c r="H393" i="52"/>
  <c r="I393" i="52"/>
  <c r="J393" i="52"/>
  <c r="K393" i="52"/>
  <c r="L393" i="52"/>
  <c r="H394" i="52"/>
  <c r="I394" i="52"/>
  <c r="J394" i="52"/>
  <c r="K394" i="52"/>
  <c r="L394" i="52"/>
  <c r="H395" i="52"/>
  <c r="I395" i="52"/>
  <c r="J395" i="52"/>
  <c r="K395" i="52"/>
  <c r="L395" i="52"/>
  <c r="H396" i="52"/>
  <c r="I396" i="52"/>
  <c r="J396" i="52"/>
  <c r="K396" i="52"/>
  <c r="L396" i="52"/>
  <c r="H397" i="52"/>
  <c r="I397" i="52"/>
  <c r="J397" i="52"/>
  <c r="K397" i="52"/>
  <c r="L397" i="52"/>
  <c r="H398" i="52"/>
  <c r="I398" i="52"/>
  <c r="J398" i="52"/>
  <c r="K398" i="52"/>
  <c r="L398" i="52"/>
  <c r="H399" i="52"/>
  <c r="I399" i="52"/>
  <c r="J399" i="52"/>
  <c r="K399" i="52"/>
  <c r="L399" i="52"/>
  <c r="H400" i="52"/>
  <c r="I400" i="52"/>
  <c r="J400" i="52"/>
  <c r="K400" i="52"/>
  <c r="L400" i="52"/>
  <c r="H401" i="52"/>
  <c r="I401" i="52"/>
  <c r="J401" i="52"/>
  <c r="K401" i="52"/>
  <c r="L401" i="52"/>
  <c r="H402" i="52"/>
  <c r="I402" i="52"/>
  <c r="J402" i="52"/>
  <c r="K402" i="52"/>
  <c r="L402" i="52"/>
  <c r="H403" i="52"/>
  <c r="I403" i="52"/>
  <c r="J403" i="52"/>
  <c r="K403" i="52"/>
  <c r="L403" i="52"/>
  <c r="H404" i="52"/>
  <c r="I404" i="52"/>
  <c r="J404" i="52"/>
  <c r="K404" i="52"/>
  <c r="L404" i="52"/>
  <c r="H405" i="52"/>
  <c r="I405" i="52"/>
  <c r="J405" i="52"/>
  <c r="K405" i="52"/>
  <c r="L405" i="52"/>
  <c r="H406" i="52"/>
  <c r="I406" i="52"/>
  <c r="J406" i="52"/>
  <c r="K406" i="52"/>
  <c r="L406" i="52"/>
  <c r="H407" i="52"/>
  <c r="I407" i="52"/>
  <c r="J407" i="52"/>
  <c r="K407" i="52"/>
  <c r="L407" i="52"/>
  <c r="H408" i="52"/>
  <c r="I408" i="52"/>
  <c r="J408" i="52"/>
  <c r="K408" i="52"/>
  <c r="L408" i="52"/>
  <c r="H409" i="52"/>
  <c r="I409" i="52"/>
  <c r="J409" i="52"/>
  <c r="K409" i="52"/>
  <c r="L409" i="52"/>
  <c r="H410" i="52"/>
  <c r="I410" i="52"/>
  <c r="J410" i="52"/>
  <c r="K410" i="52"/>
  <c r="L410" i="52"/>
  <c r="H411" i="52"/>
  <c r="I411" i="52"/>
  <c r="J411" i="52"/>
  <c r="K411" i="52"/>
  <c r="L411" i="52"/>
  <c r="H412" i="52"/>
  <c r="I412" i="52"/>
  <c r="J412" i="52"/>
  <c r="K412" i="52"/>
  <c r="L412" i="52"/>
  <c r="H413" i="52"/>
  <c r="I413" i="52"/>
  <c r="J413" i="52"/>
  <c r="K413" i="52"/>
  <c r="L413" i="52"/>
  <c r="H414" i="52"/>
  <c r="I414" i="52"/>
  <c r="J414" i="52"/>
  <c r="K414" i="52"/>
  <c r="L414" i="52"/>
  <c r="H415" i="52"/>
  <c r="I415" i="52"/>
  <c r="J415" i="52"/>
  <c r="K415" i="52"/>
  <c r="L415" i="52"/>
  <c r="H416" i="52"/>
  <c r="I416" i="52"/>
  <c r="J416" i="52"/>
  <c r="K416" i="52"/>
  <c r="L416" i="52"/>
  <c r="H417" i="52"/>
  <c r="I417" i="52"/>
  <c r="J417" i="52"/>
  <c r="K417" i="52"/>
  <c r="L417" i="52"/>
  <c r="H418" i="52"/>
  <c r="I418" i="52"/>
  <c r="J418" i="52"/>
  <c r="K418" i="52"/>
  <c r="L418" i="52"/>
  <c r="H419" i="52"/>
  <c r="I419" i="52"/>
  <c r="J419" i="52"/>
  <c r="K419" i="52"/>
  <c r="L419" i="52"/>
  <c r="H420" i="52"/>
  <c r="I420" i="52"/>
  <c r="J420" i="52"/>
  <c r="K420" i="52"/>
  <c r="L420" i="52"/>
  <c r="H421" i="52"/>
  <c r="I421" i="52"/>
  <c r="J421" i="52"/>
  <c r="K421" i="52"/>
  <c r="L421" i="52"/>
  <c r="H422" i="52"/>
  <c r="I422" i="52"/>
  <c r="J422" i="52"/>
  <c r="K422" i="52"/>
  <c r="L422" i="52"/>
  <c r="H423" i="52"/>
  <c r="I423" i="52"/>
  <c r="J423" i="52"/>
  <c r="K423" i="52"/>
  <c r="L423" i="52"/>
  <c r="H424" i="52"/>
  <c r="I424" i="52"/>
  <c r="J424" i="52"/>
  <c r="K424" i="52"/>
  <c r="L424" i="52"/>
  <c r="H425" i="52"/>
  <c r="I425" i="52"/>
  <c r="J425" i="52"/>
  <c r="K425" i="52"/>
  <c r="L425" i="52"/>
  <c r="H426" i="52"/>
  <c r="I426" i="52"/>
  <c r="J426" i="52"/>
  <c r="K426" i="52"/>
  <c r="L426" i="52"/>
  <c r="H427" i="52"/>
  <c r="I427" i="52"/>
  <c r="J427" i="52"/>
  <c r="K427" i="52"/>
  <c r="L427" i="52"/>
  <c r="H428" i="52"/>
  <c r="I428" i="52"/>
  <c r="J428" i="52"/>
  <c r="K428" i="52"/>
  <c r="L428" i="52"/>
  <c r="H429" i="52"/>
  <c r="I429" i="52"/>
  <c r="J429" i="52"/>
  <c r="K429" i="52"/>
  <c r="L429" i="52"/>
  <c r="H430" i="52"/>
  <c r="I430" i="52"/>
  <c r="J430" i="52"/>
  <c r="K430" i="52"/>
  <c r="L430" i="52"/>
  <c r="H431" i="52"/>
  <c r="I431" i="52"/>
  <c r="J431" i="52"/>
  <c r="K431" i="52"/>
  <c r="L431" i="52"/>
  <c r="H432" i="52"/>
  <c r="I432" i="52"/>
  <c r="J432" i="52"/>
  <c r="K432" i="52"/>
  <c r="L432" i="52"/>
  <c r="H433" i="52"/>
  <c r="I433" i="52"/>
  <c r="J433" i="52"/>
  <c r="K433" i="52"/>
  <c r="L433" i="52"/>
  <c r="H434" i="52"/>
  <c r="I434" i="52"/>
  <c r="J434" i="52"/>
  <c r="K434" i="52"/>
  <c r="L434" i="52"/>
  <c r="H435" i="52"/>
  <c r="I435" i="52"/>
  <c r="J435" i="52"/>
  <c r="K435" i="52"/>
  <c r="L435" i="52"/>
  <c r="H436" i="52"/>
  <c r="I436" i="52"/>
  <c r="J436" i="52"/>
  <c r="K436" i="52"/>
  <c r="L436" i="52"/>
  <c r="H437" i="52"/>
  <c r="I437" i="52"/>
  <c r="J437" i="52"/>
  <c r="K437" i="52"/>
  <c r="L437" i="52"/>
  <c r="H438" i="52"/>
  <c r="I438" i="52"/>
  <c r="J438" i="52"/>
  <c r="K438" i="52"/>
  <c r="L438" i="52"/>
  <c r="H439" i="52"/>
  <c r="I439" i="52"/>
  <c r="J439" i="52"/>
  <c r="K439" i="52"/>
  <c r="L439" i="52"/>
  <c r="H440" i="52"/>
  <c r="I440" i="52"/>
  <c r="J440" i="52"/>
  <c r="K440" i="52"/>
  <c r="L440" i="52"/>
  <c r="H441" i="52"/>
  <c r="I441" i="52"/>
  <c r="J441" i="52"/>
  <c r="K441" i="52"/>
  <c r="L441" i="52"/>
  <c r="H442" i="52"/>
  <c r="I442" i="52"/>
  <c r="J442" i="52"/>
  <c r="K442" i="52"/>
  <c r="L442" i="52"/>
  <c r="H443" i="52"/>
  <c r="I443" i="52"/>
  <c r="J443" i="52"/>
  <c r="K443" i="52"/>
  <c r="L443" i="52"/>
  <c r="H444" i="52"/>
  <c r="I444" i="52"/>
  <c r="J444" i="52"/>
  <c r="K444" i="52"/>
  <c r="L444" i="52"/>
  <c r="H445" i="52"/>
  <c r="I445" i="52"/>
  <c r="J445" i="52"/>
  <c r="K445" i="52"/>
  <c r="L445" i="52"/>
  <c r="H446" i="52"/>
  <c r="I446" i="52"/>
  <c r="J446" i="52"/>
  <c r="K446" i="52"/>
  <c r="L446" i="52"/>
  <c r="H447" i="52"/>
  <c r="I447" i="52"/>
  <c r="J447" i="52"/>
  <c r="K447" i="52"/>
  <c r="L447" i="52"/>
  <c r="H448" i="52"/>
  <c r="I448" i="52"/>
  <c r="J448" i="52"/>
  <c r="K448" i="52"/>
  <c r="L448" i="52"/>
  <c r="H449" i="52"/>
  <c r="I449" i="52"/>
  <c r="J449" i="52"/>
  <c r="K449" i="52"/>
  <c r="L449" i="52"/>
  <c r="H450" i="52"/>
  <c r="I450" i="52"/>
  <c r="J450" i="52"/>
  <c r="K450" i="52"/>
  <c r="L450" i="52"/>
  <c r="H451" i="52"/>
  <c r="I451" i="52"/>
  <c r="J451" i="52"/>
  <c r="K451" i="52"/>
  <c r="L451" i="52"/>
  <c r="H452" i="52"/>
  <c r="I452" i="52"/>
  <c r="J452" i="52"/>
  <c r="K452" i="52"/>
  <c r="L452" i="52"/>
  <c r="H453" i="52"/>
  <c r="I453" i="52"/>
  <c r="J453" i="52"/>
  <c r="K453" i="52"/>
  <c r="L453" i="52"/>
  <c r="H454" i="52"/>
  <c r="I454" i="52"/>
  <c r="J454" i="52"/>
  <c r="K454" i="52"/>
  <c r="L454" i="52"/>
  <c r="H455" i="52"/>
  <c r="I455" i="52"/>
  <c r="J455" i="52"/>
  <c r="K455" i="52"/>
  <c r="L455" i="52"/>
  <c r="H456" i="52"/>
  <c r="I456" i="52"/>
  <c r="J456" i="52"/>
  <c r="K456" i="52"/>
  <c r="L456" i="52"/>
  <c r="H457" i="52"/>
  <c r="I457" i="52"/>
  <c r="J457" i="52"/>
  <c r="K457" i="52"/>
  <c r="L457" i="52"/>
  <c r="H458" i="52"/>
  <c r="I458" i="52"/>
  <c r="J458" i="52"/>
  <c r="K458" i="52"/>
  <c r="L458" i="52"/>
  <c r="H459" i="52"/>
  <c r="I459" i="52"/>
  <c r="J459" i="52"/>
  <c r="K459" i="52"/>
  <c r="L459" i="52"/>
  <c r="H460" i="52"/>
  <c r="I460" i="52"/>
  <c r="J460" i="52"/>
  <c r="K460" i="52"/>
  <c r="L460" i="52"/>
  <c r="H461" i="52"/>
  <c r="I461" i="52"/>
  <c r="J461" i="52"/>
  <c r="K461" i="52"/>
  <c r="L461" i="52"/>
  <c r="H462" i="52"/>
  <c r="I462" i="52"/>
  <c r="J462" i="52"/>
  <c r="K462" i="52"/>
  <c r="L462" i="52"/>
  <c r="H463" i="52"/>
  <c r="I463" i="52"/>
  <c r="J463" i="52"/>
  <c r="K463" i="52"/>
  <c r="L463" i="52"/>
  <c r="H464" i="52"/>
  <c r="I464" i="52"/>
  <c r="J464" i="52"/>
  <c r="K464" i="52"/>
  <c r="L464" i="52"/>
  <c r="H465" i="52"/>
  <c r="I465" i="52"/>
  <c r="J465" i="52"/>
  <c r="K465" i="52"/>
  <c r="L465" i="52"/>
  <c r="H466" i="52"/>
  <c r="I466" i="52"/>
  <c r="J466" i="52"/>
  <c r="K466" i="52"/>
  <c r="L466" i="52"/>
  <c r="H467" i="52"/>
  <c r="I467" i="52"/>
  <c r="J467" i="52"/>
  <c r="K467" i="52"/>
  <c r="L467" i="52"/>
  <c r="H468" i="52"/>
  <c r="I468" i="52"/>
  <c r="J468" i="52"/>
  <c r="K468" i="52"/>
  <c r="L468" i="52"/>
  <c r="H469" i="52"/>
  <c r="I469" i="52"/>
  <c r="J469" i="52"/>
  <c r="K469" i="52"/>
  <c r="L469" i="52"/>
  <c r="H470" i="52"/>
  <c r="I470" i="52"/>
  <c r="J470" i="52"/>
  <c r="K470" i="52"/>
  <c r="L470" i="52"/>
  <c r="H471" i="52"/>
  <c r="I471" i="52"/>
  <c r="J471" i="52"/>
  <c r="K471" i="52"/>
  <c r="L471" i="52"/>
  <c r="H472" i="52"/>
  <c r="I472" i="52"/>
  <c r="J472" i="52"/>
  <c r="K472" i="52"/>
  <c r="L472" i="52"/>
  <c r="H473" i="52"/>
  <c r="I473" i="52"/>
  <c r="J473" i="52"/>
  <c r="K473" i="52"/>
  <c r="L473" i="52"/>
  <c r="H474" i="52"/>
  <c r="I474" i="52"/>
  <c r="J474" i="52"/>
  <c r="K474" i="52"/>
  <c r="L474" i="52"/>
  <c r="H475" i="52"/>
  <c r="I475" i="52"/>
  <c r="J475" i="52"/>
  <c r="K475" i="52"/>
  <c r="L475" i="52"/>
  <c r="H476" i="52"/>
  <c r="I476" i="52"/>
  <c r="J476" i="52"/>
  <c r="K476" i="52"/>
  <c r="L476" i="52"/>
  <c r="H477" i="52"/>
  <c r="I477" i="52"/>
  <c r="J477" i="52"/>
  <c r="K477" i="52"/>
  <c r="L477" i="52"/>
  <c r="H478" i="52"/>
  <c r="I478" i="52"/>
  <c r="J478" i="52"/>
  <c r="K478" i="52"/>
  <c r="L478" i="52"/>
  <c r="H479" i="52"/>
  <c r="I479" i="52"/>
  <c r="J479" i="52"/>
  <c r="K479" i="52"/>
  <c r="L479" i="52"/>
  <c r="H480" i="52"/>
  <c r="I480" i="52"/>
  <c r="J480" i="52"/>
  <c r="K480" i="52"/>
  <c r="L480" i="52"/>
  <c r="H481" i="52"/>
  <c r="I481" i="52"/>
  <c r="J481" i="52"/>
  <c r="K481" i="52"/>
  <c r="L481" i="52"/>
  <c r="H482" i="52"/>
  <c r="I482" i="52"/>
  <c r="J482" i="52"/>
  <c r="K482" i="52"/>
  <c r="L482" i="52"/>
  <c r="H483" i="52"/>
  <c r="I483" i="52"/>
  <c r="J483" i="52"/>
  <c r="K483" i="52"/>
  <c r="L483" i="52"/>
  <c r="H484" i="52"/>
  <c r="I484" i="52"/>
  <c r="J484" i="52"/>
  <c r="K484" i="52"/>
  <c r="L484" i="52"/>
  <c r="H485" i="52"/>
  <c r="I485" i="52"/>
  <c r="J485" i="52"/>
  <c r="K485" i="52"/>
  <c r="L485" i="52"/>
  <c r="H486" i="52"/>
  <c r="I486" i="52"/>
  <c r="J486" i="52"/>
  <c r="K486" i="52"/>
  <c r="L486" i="52"/>
  <c r="H487" i="52"/>
  <c r="I487" i="52"/>
  <c r="J487" i="52"/>
  <c r="K487" i="52"/>
  <c r="L487" i="52"/>
  <c r="H488" i="52"/>
  <c r="I488" i="52"/>
  <c r="J488" i="52"/>
  <c r="K488" i="52"/>
  <c r="L488" i="52"/>
  <c r="H489" i="52"/>
  <c r="I489" i="52"/>
  <c r="J489" i="52"/>
  <c r="K489" i="52"/>
  <c r="L489" i="52"/>
  <c r="H490" i="52"/>
  <c r="I490" i="52"/>
  <c r="J490" i="52"/>
  <c r="K490" i="52"/>
  <c r="L490" i="52"/>
  <c r="H491" i="52"/>
  <c r="I491" i="52"/>
  <c r="J491" i="52"/>
  <c r="K491" i="52"/>
  <c r="L491" i="52"/>
  <c r="H492" i="52"/>
  <c r="I492" i="52"/>
  <c r="J492" i="52"/>
  <c r="K492" i="52"/>
  <c r="L492" i="52"/>
  <c r="H493" i="52"/>
  <c r="I493" i="52"/>
  <c r="J493" i="52"/>
  <c r="K493" i="52"/>
  <c r="L493" i="52"/>
  <c r="H494" i="52"/>
  <c r="I494" i="52"/>
  <c r="J494" i="52"/>
  <c r="K494" i="52"/>
  <c r="L494" i="52"/>
  <c r="H495" i="52"/>
  <c r="I495" i="52"/>
  <c r="J495" i="52"/>
  <c r="K495" i="52"/>
  <c r="L495" i="52"/>
  <c r="H496" i="52"/>
  <c r="I496" i="52"/>
  <c r="J496" i="52"/>
  <c r="K496" i="52"/>
  <c r="L496" i="52"/>
  <c r="H497" i="52"/>
  <c r="I497" i="52"/>
  <c r="J497" i="52"/>
  <c r="K497" i="52"/>
  <c r="L497" i="52"/>
  <c r="H498" i="52"/>
  <c r="I498" i="52"/>
  <c r="J498" i="52"/>
  <c r="K498" i="52"/>
  <c r="L498" i="52"/>
  <c r="H499" i="52"/>
  <c r="I499" i="52"/>
  <c r="J499" i="52"/>
  <c r="K499" i="52"/>
  <c r="L499" i="52"/>
  <c r="H500" i="52"/>
  <c r="I500" i="52"/>
  <c r="J500" i="52"/>
  <c r="K500" i="52"/>
  <c r="L500" i="52"/>
  <c r="H501" i="52"/>
  <c r="I501" i="52"/>
  <c r="J501" i="52"/>
  <c r="K501" i="52"/>
  <c r="L501" i="52"/>
  <c r="H502" i="52"/>
  <c r="I502" i="52"/>
  <c r="J502" i="52"/>
  <c r="K502" i="52"/>
  <c r="L502" i="52"/>
  <c r="H503" i="52"/>
  <c r="I503" i="52"/>
  <c r="J503" i="52"/>
  <c r="K503" i="52"/>
  <c r="L503" i="52"/>
  <c r="H504" i="52"/>
  <c r="I504" i="52"/>
  <c r="J504" i="52"/>
  <c r="K504" i="52"/>
  <c r="L504" i="52"/>
  <c r="H505" i="52"/>
  <c r="I505" i="52"/>
  <c r="J505" i="52"/>
  <c r="K505" i="52"/>
  <c r="L505" i="52"/>
  <c r="H506" i="52"/>
  <c r="I506" i="52"/>
  <c r="J506" i="52"/>
  <c r="K506" i="52"/>
  <c r="L506" i="52"/>
  <c r="H507" i="52"/>
  <c r="I507" i="52"/>
  <c r="J507" i="52"/>
  <c r="K507" i="52"/>
  <c r="L507" i="52"/>
  <c r="H508" i="52"/>
  <c r="I508" i="52"/>
  <c r="J508" i="52"/>
  <c r="K508" i="52"/>
  <c r="L508" i="52"/>
  <c r="H509" i="52"/>
  <c r="I509" i="52"/>
  <c r="J509" i="52"/>
  <c r="K509" i="52"/>
  <c r="L509" i="52"/>
  <c r="H510" i="52"/>
  <c r="I510" i="52"/>
  <c r="J510" i="52"/>
  <c r="K510" i="52"/>
  <c r="L510" i="52"/>
  <c r="H511" i="52"/>
  <c r="I511" i="52"/>
  <c r="J511" i="52"/>
  <c r="K511" i="52"/>
  <c r="L511" i="52"/>
  <c r="H512" i="52"/>
  <c r="I512" i="52"/>
  <c r="J512" i="52"/>
  <c r="K512" i="52"/>
  <c r="L512" i="52"/>
  <c r="H513" i="52"/>
  <c r="I513" i="52"/>
  <c r="J513" i="52"/>
  <c r="K513" i="52"/>
  <c r="L513" i="52"/>
  <c r="H514" i="52"/>
  <c r="I514" i="52"/>
  <c r="J514" i="52"/>
  <c r="K514" i="52"/>
  <c r="L514" i="52"/>
  <c r="H515" i="52"/>
  <c r="I515" i="52"/>
  <c r="J515" i="52"/>
  <c r="K515" i="52"/>
  <c r="L515" i="52"/>
  <c r="H516" i="52"/>
  <c r="I516" i="52"/>
  <c r="J516" i="52"/>
  <c r="K516" i="52"/>
  <c r="L516" i="52"/>
  <c r="H517" i="52"/>
  <c r="I517" i="52"/>
  <c r="J517" i="52"/>
  <c r="K517" i="52"/>
  <c r="L517" i="52"/>
  <c r="H518" i="52"/>
  <c r="I518" i="52"/>
  <c r="J518" i="52"/>
  <c r="K518" i="52"/>
  <c r="L518" i="52"/>
  <c r="H519" i="52"/>
  <c r="I519" i="52"/>
  <c r="J519" i="52"/>
  <c r="K519" i="52"/>
  <c r="L519" i="52"/>
  <c r="H520" i="52"/>
  <c r="I520" i="52"/>
  <c r="J520" i="52"/>
  <c r="K520" i="52"/>
  <c r="L520" i="52"/>
  <c r="H521" i="52"/>
  <c r="I521" i="52"/>
  <c r="J521" i="52"/>
  <c r="K521" i="52"/>
  <c r="L521" i="52"/>
  <c r="H522" i="52"/>
  <c r="I522" i="52"/>
  <c r="J522" i="52"/>
  <c r="K522" i="52"/>
  <c r="L522" i="52"/>
  <c r="H523" i="52"/>
  <c r="I523" i="52"/>
  <c r="J523" i="52"/>
  <c r="K523" i="52"/>
  <c r="L523" i="52"/>
  <c r="H524" i="52"/>
  <c r="I524" i="52"/>
  <c r="J524" i="52"/>
  <c r="K524" i="52"/>
  <c r="L524" i="52"/>
  <c r="H525" i="52"/>
  <c r="I525" i="52"/>
  <c r="J525" i="52"/>
  <c r="K525" i="52"/>
  <c r="L525" i="52"/>
  <c r="H526" i="52"/>
  <c r="I526" i="52"/>
  <c r="J526" i="52"/>
  <c r="K526" i="52"/>
  <c r="L526" i="52"/>
  <c r="H527" i="52"/>
  <c r="I527" i="52"/>
  <c r="J527" i="52"/>
  <c r="K527" i="52"/>
  <c r="L527" i="52"/>
  <c r="H528" i="52"/>
  <c r="I528" i="52"/>
  <c r="J528" i="52"/>
  <c r="K528" i="52"/>
  <c r="L528" i="52"/>
  <c r="H529" i="52"/>
  <c r="I529" i="52"/>
  <c r="J529" i="52"/>
  <c r="K529" i="52"/>
  <c r="L529" i="52"/>
  <c r="H530" i="52"/>
  <c r="I530" i="52"/>
  <c r="J530" i="52"/>
  <c r="K530" i="52"/>
  <c r="L530" i="52"/>
  <c r="H531" i="52"/>
  <c r="I531" i="52"/>
  <c r="J531" i="52"/>
  <c r="K531" i="52"/>
  <c r="L531" i="52"/>
  <c r="H532" i="52"/>
  <c r="I532" i="52"/>
  <c r="J532" i="52"/>
  <c r="K532" i="52"/>
  <c r="L532" i="52"/>
  <c r="H533" i="52"/>
  <c r="I533" i="52"/>
  <c r="J533" i="52"/>
  <c r="K533" i="52"/>
  <c r="L533" i="52"/>
  <c r="H534" i="52"/>
  <c r="I534" i="52"/>
  <c r="J534" i="52"/>
  <c r="K534" i="52"/>
  <c r="L534" i="52"/>
  <c r="H535" i="52"/>
  <c r="I535" i="52"/>
  <c r="J535" i="52"/>
  <c r="K535" i="52"/>
  <c r="L535" i="52"/>
  <c r="H536" i="52"/>
  <c r="I536" i="52"/>
  <c r="J536" i="52"/>
  <c r="K536" i="52"/>
  <c r="L536" i="52"/>
  <c r="H537" i="52"/>
  <c r="I537" i="52"/>
  <c r="J537" i="52"/>
  <c r="K537" i="52"/>
  <c r="L537" i="52"/>
  <c r="H538" i="52"/>
  <c r="I538" i="52"/>
  <c r="J538" i="52"/>
  <c r="K538" i="52"/>
  <c r="L538" i="52"/>
  <c r="H539" i="52"/>
  <c r="I539" i="52"/>
  <c r="J539" i="52"/>
  <c r="K539" i="52"/>
  <c r="L539" i="52"/>
  <c r="H540" i="52"/>
  <c r="I540" i="52"/>
  <c r="J540" i="52"/>
  <c r="K540" i="52"/>
  <c r="L540" i="52"/>
  <c r="H541" i="52"/>
  <c r="I541" i="52"/>
  <c r="J541" i="52"/>
  <c r="K541" i="52"/>
  <c r="L541" i="52"/>
  <c r="H542" i="52"/>
  <c r="I542" i="52"/>
  <c r="J542" i="52"/>
  <c r="K542" i="52"/>
  <c r="L542" i="52"/>
  <c r="H543" i="52"/>
  <c r="I543" i="52"/>
  <c r="J543" i="52"/>
  <c r="K543" i="52"/>
  <c r="L543" i="52"/>
  <c r="H544" i="52"/>
  <c r="I544" i="52"/>
  <c r="J544" i="52"/>
  <c r="K544" i="52"/>
  <c r="L544" i="52"/>
  <c r="H545" i="52"/>
  <c r="I545" i="52"/>
  <c r="J545" i="52"/>
  <c r="K545" i="52"/>
  <c r="L545" i="52"/>
  <c r="H546" i="52"/>
  <c r="I546" i="52"/>
  <c r="J546" i="52"/>
  <c r="K546" i="52"/>
  <c r="L546" i="52"/>
  <c r="H547" i="52"/>
  <c r="I547" i="52"/>
  <c r="J547" i="52"/>
  <c r="K547" i="52"/>
  <c r="L547" i="52"/>
  <c r="H548" i="52"/>
  <c r="I548" i="52"/>
  <c r="J548" i="52"/>
  <c r="K548" i="52"/>
  <c r="L548" i="52"/>
  <c r="H549" i="52"/>
  <c r="I549" i="52"/>
  <c r="J549" i="52"/>
  <c r="K549" i="52"/>
  <c r="L549" i="52"/>
  <c r="H550" i="52"/>
  <c r="I550" i="52"/>
  <c r="J550" i="52"/>
  <c r="K550" i="52"/>
  <c r="L550" i="52"/>
  <c r="H551" i="52"/>
  <c r="I551" i="52"/>
  <c r="J551" i="52"/>
  <c r="K551" i="52"/>
  <c r="L551" i="52"/>
  <c r="H552" i="52"/>
  <c r="I552" i="52"/>
  <c r="J552" i="52"/>
  <c r="K552" i="52"/>
  <c r="L552" i="52"/>
  <c r="H553" i="52"/>
  <c r="I553" i="52"/>
  <c r="J553" i="52"/>
  <c r="K553" i="52"/>
  <c r="L553" i="52"/>
  <c r="H554" i="52"/>
  <c r="I554" i="52"/>
  <c r="J554" i="52"/>
  <c r="K554" i="52"/>
  <c r="L554" i="52"/>
  <c r="H555" i="52"/>
  <c r="I555" i="52"/>
  <c r="J555" i="52"/>
  <c r="K555" i="52"/>
  <c r="L555" i="52"/>
  <c r="H556" i="52"/>
  <c r="I556" i="52"/>
  <c r="J556" i="52"/>
  <c r="K556" i="52"/>
  <c r="L556" i="52"/>
  <c r="H557" i="52"/>
  <c r="I557" i="52"/>
  <c r="J557" i="52"/>
  <c r="K557" i="52"/>
  <c r="L557" i="52"/>
  <c r="H558" i="52"/>
  <c r="I558" i="52"/>
  <c r="J558" i="52"/>
  <c r="K558" i="52"/>
  <c r="L558" i="52"/>
  <c r="H559" i="52"/>
  <c r="I559" i="52"/>
  <c r="J559" i="52"/>
  <c r="K559" i="52"/>
  <c r="L559" i="52"/>
  <c r="H560" i="52"/>
  <c r="I560" i="52"/>
  <c r="J560" i="52"/>
  <c r="K560" i="52"/>
  <c r="L560" i="52"/>
  <c r="H561" i="52"/>
  <c r="I561" i="52"/>
  <c r="J561" i="52"/>
  <c r="K561" i="52"/>
  <c r="L561" i="52"/>
  <c r="H562" i="52"/>
  <c r="I562" i="52"/>
  <c r="J562" i="52"/>
  <c r="K562" i="52"/>
  <c r="L562" i="52"/>
  <c r="H563" i="52"/>
  <c r="I563" i="52"/>
  <c r="J563" i="52"/>
  <c r="K563" i="52"/>
  <c r="L563" i="52"/>
  <c r="H564" i="52"/>
  <c r="I564" i="52"/>
  <c r="J564" i="52"/>
  <c r="K564" i="52"/>
  <c r="L564" i="52"/>
  <c r="H565" i="52"/>
  <c r="I565" i="52"/>
  <c r="J565" i="52"/>
  <c r="K565" i="52"/>
  <c r="L565" i="52"/>
  <c r="H566" i="52"/>
  <c r="I566" i="52"/>
  <c r="J566" i="52"/>
  <c r="K566" i="52"/>
  <c r="L566" i="52"/>
  <c r="H567" i="52"/>
  <c r="I567" i="52"/>
  <c r="J567" i="52"/>
  <c r="K567" i="52"/>
  <c r="L567" i="52"/>
  <c r="H568" i="52"/>
  <c r="I568" i="52"/>
  <c r="J568" i="52"/>
  <c r="K568" i="52"/>
  <c r="L568" i="52"/>
  <c r="H569" i="52"/>
  <c r="I569" i="52"/>
  <c r="J569" i="52"/>
  <c r="K569" i="52"/>
  <c r="L569" i="52"/>
  <c r="H570" i="52"/>
  <c r="I570" i="52"/>
  <c r="J570" i="52"/>
  <c r="K570" i="52"/>
  <c r="L570" i="52"/>
  <c r="H571" i="52"/>
  <c r="I571" i="52"/>
  <c r="J571" i="52"/>
  <c r="K571" i="52"/>
  <c r="L571" i="52"/>
  <c r="H572" i="52"/>
  <c r="I572" i="52"/>
  <c r="J572" i="52"/>
  <c r="K572" i="52"/>
  <c r="L572" i="52"/>
  <c r="H573" i="52"/>
  <c r="I573" i="52"/>
  <c r="J573" i="52"/>
  <c r="K573" i="52"/>
  <c r="L573" i="52"/>
  <c r="H574" i="52"/>
  <c r="I574" i="52"/>
  <c r="J574" i="52"/>
  <c r="K574" i="52"/>
  <c r="L574" i="52"/>
  <c r="H575" i="52"/>
  <c r="I575" i="52"/>
  <c r="J575" i="52"/>
  <c r="K575" i="52"/>
  <c r="L575" i="52"/>
  <c r="H576" i="52"/>
  <c r="I576" i="52"/>
  <c r="J576" i="52"/>
  <c r="K576" i="52"/>
  <c r="L576" i="52"/>
  <c r="H577" i="52"/>
  <c r="I577" i="52"/>
  <c r="J577" i="52"/>
  <c r="K577" i="52"/>
  <c r="L577" i="52"/>
  <c r="H578" i="52"/>
  <c r="I578" i="52"/>
  <c r="J578" i="52"/>
  <c r="K578" i="52"/>
  <c r="L578" i="52"/>
  <c r="H579" i="52"/>
  <c r="I579" i="52"/>
  <c r="J579" i="52"/>
  <c r="K579" i="52"/>
  <c r="L579" i="52"/>
  <c r="H580" i="52"/>
  <c r="I580" i="52"/>
  <c r="J580" i="52"/>
  <c r="K580" i="52"/>
  <c r="L580" i="52"/>
  <c r="H581" i="52"/>
  <c r="I581" i="52"/>
  <c r="J581" i="52"/>
  <c r="K581" i="52"/>
  <c r="L581" i="52"/>
  <c r="H582" i="52"/>
  <c r="I582" i="52"/>
  <c r="J582" i="52"/>
  <c r="K582" i="52"/>
  <c r="L582" i="52"/>
  <c r="H583" i="52"/>
  <c r="I583" i="52"/>
  <c r="J583" i="52"/>
  <c r="K583" i="52"/>
  <c r="L583" i="52"/>
  <c r="H584" i="52"/>
  <c r="I584" i="52"/>
  <c r="J584" i="52"/>
  <c r="K584" i="52"/>
  <c r="L584" i="52"/>
  <c r="H585" i="52"/>
  <c r="I585" i="52"/>
  <c r="J585" i="52"/>
  <c r="K585" i="52"/>
  <c r="L585" i="52"/>
  <c r="H586" i="52"/>
  <c r="I586" i="52"/>
  <c r="J586" i="52"/>
  <c r="K586" i="52"/>
  <c r="L586" i="52"/>
  <c r="H587" i="52"/>
  <c r="I587" i="52"/>
  <c r="J587" i="52"/>
  <c r="K587" i="52"/>
  <c r="L587" i="52"/>
  <c r="H588" i="52"/>
  <c r="I588" i="52"/>
  <c r="J588" i="52"/>
  <c r="K588" i="52"/>
  <c r="L588" i="52"/>
  <c r="H589" i="52"/>
  <c r="I589" i="52"/>
  <c r="J589" i="52"/>
  <c r="K589" i="52"/>
  <c r="L589" i="52"/>
  <c r="H590" i="52"/>
  <c r="I590" i="52"/>
  <c r="J590" i="52"/>
  <c r="K590" i="52"/>
  <c r="L590" i="52"/>
  <c r="H591" i="52"/>
  <c r="I591" i="52"/>
  <c r="J591" i="52"/>
  <c r="K591" i="52"/>
  <c r="L591" i="52"/>
  <c r="H592" i="52"/>
  <c r="I592" i="52"/>
  <c r="J592" i="52"/>
  <c r="K592" i="52"/>
  <c r="L592" i="52"/>
  <c r="H593" i="52"/>
  <c r="I593" i="52"/>
  <c r="J593" i="52"/>
  <c r="K593" i="52"/>
  <c r="L593" i="52"/>
  <c r="H594" i="52"/>
  <c r="I594" i="52"/>
  <c r="J594" i="52"/>
  <c r="K594" i="52"/>
  <c r="L594" i="52"/>
  <c r="H595" i="52"/>
  <c r="I595" i="52"/>
  <c r="J595" i="52"/>
  <c r="K595" i="52"/>
  <c r="L595" i="52"/>
  <c r="H596" i="52"/>
  <c r="I596" i="52"/>
  <c r="J596" i="52"/>
  <c r="K596" i="52"/>
  <c r="L596" i="52"/>
  <c r="H597" i="52"/>
  <c r="I597" i="52"/>
  <c r="J597" i="52"/>
  <c r="K597" i="52"/>
  <c r="L597" i="52"/>
  <c r="H598" i="52"/>
  <c r="I598" i="52"/>
  <c r="J598" i="52"/>
  <c r="K598" i="52"/>
  <c r="L598" i="52"/>
  <c r="H599" i="52"/>
  <c r="I599" i="52"/>
  <c r="J599" i="52"/>
  <c r="K599" i="52"/>
  <c r="L599" i="52"/>
  <c r="H600" i="52"/>
  <c r="I600" i="52"/>
  <c r="J600" i="52"/>
  <c r="K600" i="52"/>
  <c r="L600" i="52"/>
  <c r="H601" i="52"/>
  <c r="I601" i="52"/>
  <c r="J601" i="52"/>
  <c r="K601" i="52"/>
  <c r="L601" i="52"/>
  <c r="H602" i="52"/>
  <c r="I602" i="52"/>
  <c r="J602" i="52"/>
  <c r="K602" i="52"/>
  <c r="L602" i="52"/>
  <c r="H603" i="52"/>
  <c r="I603" i="52"/>
  <c r="J603" i="52"/>
  <c r="K603" i="52"/>
  <c r="L603" i="52"/>
  <c r="H604" i="52"/>
  <c r="I604" i="52"/>
  <c r="J604" i="52"/>
  <c r="K604" i="52"/>
  <c r="L604" i="52"/>
  <c r="H605" i="52"/>
  <c r="I605" i="52"/>
  <c r="J605" i="52"/>
  <c r="K605" i="52"/>
  <c r="L605" i="52"/>
  <c r="H606" i="52"/>
  <c r="I606" i="52"/>
  <c r="J606" i="52"/>
  <c r="K606" i="52"/>
  <c r="L606" i="52"/>
  <c r="H607" i="52"/>
  <c r="I607" i="52"/>
  <c r="J607" i="52"/>
  <c r="K607" i="52"/>
  <c r="L607" i="52"/>
  <c r="H608" i="52"/>
  <c r="I608" i="52"/>
  <c r="J608" i="52"/>
  <c r="K608" i="52"/>
  <c r="L608" i="52"/>
  <c r="H609" i="52"/>
  <c r="I609" i="52"/>
  <c r="J609" i="52"/>
  <c r="K609" i="52"/>
  <c r="L609" i="52"/>
  <c r="H610" i="52"/>
  <c r="I610" i="52"/>
  <c r="J610" i="52"/>
  <c r="K610" i="52"/>
  <c r="L610" i="52"/>
  <c r="H611" i="52"/>
  <c r="I611" i="52"/>
  <c r="J611" i="52"/>
  <c r="K611" i="52"/>
  <c r="L611" i="52"/>
  <c r="H612" i="52"/>
  <c r="I612" i="52"/>
  <c r="J612" i="52"/>
  <c r="K612" i="52"/>
  <c r="L612" i="52"/>
  <c r="H613" i="52"/>
  <c r="I613" i="52"/>
  <c r="J613" i="52"/>
  <c r="K613" i="52"/>
  <c r="L613" i="52"/>
  <c r="H614" i="52"/>
  <c r="I614" i="52"/>
  <c r="J614" i="52"/>
  <c r="K614" i="52"/>
  <c r="L614" i="52"/>
  <c r="H615" i="52"/>
  <c r="I615" i="52"/>
  <c r="J615" i="52"/>
  <c r="K615" i="52"/>
  <c r="L615" i="52"/>
  <c r="H616" i="52"/>
  <c r="I616" i="52"/>
  <c r="J616" i="52"/>
  <c r="K616" i="52"/>
  <c r="L616" i="52"/>
  <c r="H617" i="52"/>
  <c r="I617" i="52"/>
  <c r="J617" i="52"/>
  <c r="K617" i="52"/>
  <c r="L617" i="52"/>
  <c r="H618" i="52"/>
  <c r="I618" i="52"/>
  <c r="J618" i="52"/>
  <c r="K618" i="52"/>
  <c r="L618" i="52"/>
  <c r="H619" i="52"/>
  <c r="I619" i="52"/>
  <c r="J619" i="52"/>
  <c r="K619" i="52"/>
  <c r="L619" i="52"/>
  <c r="H620" i="52"/>
  <c r="I620" i="52"/>
  <c r="J620" i="52"/>
  <c r="K620" i="52"/>
  <c r="L620" i="52"/>
  <c r="H621" i="52"/>
  <c r="I621" i="52"/>
  <c r="J621" i="52"/>
  <c r="K621" i="52"/>
  <c r="L621" i="52"/>
  <c r="H622" i="52"/>
  <c r="I622" i="52"/>
  <c r="J622" i="52"/>
  <c r="K622" i="52"/>
  <c r="L622" i="52"/>
  <c r="H623" i="52"/>
  <c r="I623" i="52"/>
  <c r="J623" i="52"/>
  <c r="K623" i="52"/>
  <c r="L623" i="52"/>
  <c r="H624" i="52"/>
  <c r="I624" i="52"/>
  <c r="J624" i="52"/>
  <c r="K624" i="52"/>
  <c r="L624" i="52"/>
  <c r="H625" i="52"/>
  <c r="I625" i="52"/>
  <c r="J625" i="52"/>
  <c r="K625" i="52"/>
  <c r="L625" i="52"/>
  <c r="H626" i="52"/>
  <c r="I626" i="52"/>
  <c r="J626" i="52"/>
  <c r="K626" i="52"/>
  <c r="L626" i="52"/>
  <c r="H627" i="52"/>
  <c r="I627" i="52"/>
  <c r="J627" i="52"/>
  <c r="K627" i="52"/>
  <c r="L627" i="52"/>
  <c r="H628" i="52"/>
  <c r="I628" i="52"/>
  <c r="J628" i="52"/>
  <c r="K628" i="52"/>
  <c r="L628" i="52"/>
  <c r="H629" i="52"/>
  <c r="I629" i="52"/>
  <c r="J629" i="52"/>
  <c r="K629" i="52"/>
  <c r="L629" i="52"/>
  <c r="H630" i="52"/>
  <c r="I630" i="52"/>
  <c r="J630" i="52"/>
  <c r="K630" i="52"/>
  <c r="L630" i="52"/>
  <c r="H631" i="52"/>
  <c r="I631" i="52"/>
  <c r="J631" i="52"/>
  <c r="K631" i="52"/>
  <c r="L631" i="52"/>
  <c r="H632" i="52"/>
  <c r="I632" i="52"/>
  <c r="J632" i="52"/>
  <c r="K632" i="52"/>
  <c r="L632" i="52"/>
  <c r="H633" i="52"/>
  <c r="I633" i="52"/>
  <c r="J633" i="52"/>
  <c r="K633" i="52"/>
  <c r="L633" i="52"/>
  <c r="H634" i="52"/>
  <c r="I634" i="52"/>
  <c r="J634" i="52"/>
  <c r="K634" i="52"/>
  <c r="L634" i="52"/>
  <c r="H635" i="52"/>
  <c r="I635" i="52"/>
  <c r="J635" i="52"/>
  <c r="K635" i="52"/>
  <c r="L635" i="52"/>
  <c r="H636" i="52"/>
  <c r="I636" i="52"/>
  <c r="J636" i="52"/>
  <c r="K636" i="52"/>
  <c r="L636" i="52"/>
  <c r="H637" i="52"/>
  <c r="I637" i="52"/>
  <c r="J637" i="52"/>
  <c r="K637" i="52"/>
  <c r="L637" i="52"/>
  <c r="H638" i="52"/>
  <c r="I638" i="52"/>
  <c r="J638" i="52"/>
  <c r="K638" i="52"/>
  <c r="L638" i="52"/>
  <c r="H639" i="52"/>
  <c r="I639" i="52"/>
  <c r="J639" i="52"/>
  <c r="K639" i="52"/>
  <c r="L639" i="52"/>
  <c r="H640" i="52"/>
  <c r="I640" i="52"/>
  <c r="J640" i="52"/>
  <c r="K640" i="52"/>
  <c r="L640" i="52"/>
  <c r="H641" i="52"/>
  <c r="I641" i="52"/>
  <c r="J641" i="52"/>
  <c r="K641" i="52"/>
  <c r="L641" i="52"/>
  <c r="H642" i="52"/>
  <c r="I642" i="52"/>
  <c r="J642" i="52"/>
  <c r="K642" i="52"/>
  <c r="L642" i="52"/>
  <c r="H643" i="52"/>
  <c r="I643" i="52"/>
  <c r="J643" i="52"/>
  <c r="K643" i="52"/>
  <c r="L643" i="52"/>
  <c r="H644" i="52"/>
  <c r="I644" i="52"/>
  <c r="J644" i="52"/>
  <c r="K644" i="52"/>
  <c r="L644" i="52"/>
  <c r="H645" i="52"/>
  <c r="I645" i="52"/>
  <c r="J645" i="52"/>
  <c r="K645" i="52"/>
  <c r="L645" i="52"/>
  <c r="H646" i="52"/>
  <c r="I646" i="52"/>
  <c r="J646" i="52"/>
  <c r="K646" i="52"/>
  <c r="L646" i="52"/>
  <c r="H647" i="52"/>
  <c r="I647" i="52"/>
  <c r="J647" i="52"/>
  <c r="K647" i="52"/>
  <c r="L647" i="52"/>
  <c r="H648" i="52"/>
  <c r="I648" i="52"/>
  <c r="J648" i="52"/>
  <c r="K648" i="52"/>
  <c r="L648" i="52"/>
  <c r="H649" i="52"/>
  <c r="I649" i="52"/>
  <c r="J649" i="52"/>
  <c r="K649" i="52"/>
  <c r="L649" i="52"/>
  <c r="H650" i="52"/>
  <c r="I650" i="52"/>
  <c r="J650" i="52"/>
  <c r="K650" i="52"/>
  <c r="L650" i="52"/>
  <c r="H651" i="52"/>
  <c r="I651" i="52"/>
  <c r="J651" i="52"/>
  <c r="K651" i="52"/>
  <c r="L651" i="52"/>
  <c r="H652" i="52"/>
  <c r="I652" i="52"/>
  <c r="J652" i="52"/>
  <c r="K652" i="52"/>
  <c r="L652" i="52"/>
  <c r="H653" i="52"/>
  <c r="I653" i="52"/>
  <c r="J653" i="52"/>
  <c r="K653" i="52"/>
  <c r="L653" i="52"/>
  <c r="H654" i="52"/>
  <c r="I654" i="52"/>
  <c r="J654" i="52"/>
  <c r="K654" i="52"/>
  <c r="L654" i="52"/>
  <c r="H655" i="52"/>
  <c r="I655" i="52"/>
  <c r="J655" i="52"/>
  <c r="K655" i="52"/>
  <c r="L655" i="52"/>
  <c r="H656" i="52"/>
  <c r="I656" i="52"/>
  <c r="J656" i="52"/>
  <c r="K656" i="52"/>
  <c r="L656" i="52"/>
  <c r="H657" i="52"/>
  <c r="I657" i="52"/>
  <c r="J657" i="52"/>
  <c r="K657" i="52"/>
  <c r="L657" i="52"/>
  <c r="H658" i="52"/>
  <c r="I658" i="52"/>
  <c r="J658" i="52"/>
  <c r="K658" i="52"/>
  <c r="L658" i="52"/>
  <c r="H659" i="52"/>
  <c r="I659" i="52"/>
  <c r="J659" i="52"/>
  <c r="K659" i="52"/>
  <c r="L659" i="52"/>
  <c r="H660" i="52"/>
  <c r="I660" i="52"/>
  <c r="J660" i="52"/>
  <c r="K660" i="52"/>
  <c r="L660" i="52"/>
  <c r="H661" i="52"/>
  <c r="I661" i="52"/>
  <c r="J661" i="52"/>
  <c r="K661" i="52"/>
  <c r="L661" i="52"/>
  <c r="H662" i="52"/>
  <c r="I662" i="52"/>
  <c r="J662" i="52"/>
  <c r="K662" i="52"/>
  <c r="L662" i="52"/>
  <c r="H663" i="52"/>
  <c r="I663" i="52"/>
  <c r="J663" i="52"/>
  <c r="K663" i="52"/>
  <c r="L663" i="52"/>
  <c r="H664" i="52"/>
  <c r="I664" i="52"/>
  <c r="J664" i="52"/>
  <c r="K664" i="52"/>
  <c r="L664" i="52"/>
  <c r="H665" i="52"/>
  <c r="I665" i="52"/>
  <c r="J665" i="52"/>
  <c r="K665" i="52"/>
  <c r="L665" i="52"/>
  <c r="H666" i="52"/>
  <c r="I666" i="52"/>
  <c r="J666" i="52"/>
  <c r="K666" i="52"/>
  <c r="L666" i="52"/>
  <c r="H667" i="52"/>
  <c r="I667" i="52"/>
  <c r="J667" i="52"/>
  <c r="K667" i="52"/>
  <c r="L667" i="52"/>
  <c r="H668" i="52"/>
  <c r="I668" i="52"/>
  <c r="J668" i="52"/>
  <c r="K668" i="52"/>
  <c r="L668" i="52"/>
  <c r="H669" i="52"/>
  <c r="I669" i="52"/>
  <c r="J669" i="52"/>
  <c r="K669" i="52"/>
  <c r="L669" i="52"/>
  <c r="H670" i="52"/>
  <c r="I670" i="52"/>
  <c r="J670" i="52"/>
  <c r="K670" i="52"/>
  <c r="L670" i="52"/>
  <c r="H671" i="52"/>
  <c r="I671" i="52"/>
  <c r="J671" i="52"/>
  <c r="K671" i="52"/>
  <c r="L671" i="52"/>
  <c r="H672" i="52"/>
  <c r="I672" i="52"/>
  <c r="J672" i="52"/>
  <c r="K672" i="52"/>
  <c r="L672" i="52"/>
  <c r="H673" i="52"/>
  <c r="I673" i="52"/>
  <c r="J673" i="52"/>
  <c r="K673" i="52"/>
  <c r="L673" i="52"/>
  <c r="H674" i="52"/>
  <c r="I674" i="52"/>
  <c r="J674" i="52"/>
  <c r="K674" i="52"/>
  <c r="L674" i="52"/>
  <c r="H675" i="52"/>
  <c r="I675" i="52"/>
  <c r="J675" i="52"/>
  <c r="K675" i="52"/>
  <c r="L675" i="52"/>
  <c r="H676" i="52"/>
  <c r="I676" i="52"/>
  <c r="J676" i="52"/>
  <c r="K676" i="52"/>
  <c r="L676" i="52"/>
  <c r="H677" i="52"/>
  <c r="I677" i="52"/>
  <c r="J677" i="52"/>
  <c r="K677" i="52"/>
  <c r="L677" i="52"/>
  <c r="H678" i="52"/>
  <c r="I678" i="52"/>
  <c r="J678" i="52"/>
  <c r="K678" i="52"/>
  <c r="L678" i="52"/>
  <c r="H679" i="52"/>
  <c r="I679" i="52"/>
  <c r="J679" i="52"/>
  <c r="K679" i="52"/>
  <c r="L679" i="52"/>
  <c r="H680" i="52"/>
  <c r="I680" i="52"/>
  <c r="J680" i="52"/>
  <c r="K680" i="52"/>
  <c r="L680" i="52"/>
  <c r="H681" i="52"/>
  <c r="I681" i="52"/>
  <c r="J681" i="52"/>
  <c r="K681" i="52"/>
  <c r="L681" i="52"/>
  <c r="H682" i="52"/>
  <c r="I682" i="52"/>
  <c r="J682" i="52"/>
  <c r="K682" i="52"/>
  <c r="L682" i="52"/>
  <c r="H683" i="52"/>
  <c r="I683" i="52"/>
  <c r="J683" i="52"/>
  <c r="K683" i="52"/>
  <c r="L683" i="52"/>
  <c r="H684" i="52"/>
  <c r="I684" i="52"/>
  <c r="J684" i="52"/>
  <c r="K684" i="52"/>
  <c r="L684" i="52"/>
  <c r="H685" i="52"/>
  <c r="I685" i="52"/>
  <c r="J685" i="52"/>
  <c r="K685" i="52"/>
  <c r="L685" i="52"/>
  <c r="H686" i="52"/>
  <c r="I686" i="52"/>
  <c r="J686" i="52"/>
  <c r="K686" i="52"/>
  <c r="L686" i="52"/>
  <c r="H687" i="52"/>
  <c r="I687" i="52"/>
  <c r="J687" i="52"/>
  <c r="K687" i="52"/>
  <c r="L687" i="52"/>
  <c r="H688" i="52"/>
  <c r="I688" i="52"/>
  <c r="J688" i="52"/>
  <c r="K688" i="52"/>
  <c r="L688" i="52"/>
  <c r="H689" i="52"/>
  <c r="I689" i="52"/>
  <c r="J689" i="52"/>
  <c r="K689" i="52"/>
  <c r="L689" i="52"/>
  <c r="H690" i="52"/>
  <c r="I690" i="52"/>
  <c r="J690" i="52"/>
  <c r="K690" i="52"/>
  <c r="L690" i="52"/>
  <c r="H691" i="52"/>
  <c r="I691" i="52"/>
  <c r="J691" i="52"/>
  <c r="K691" i="52"/>
  <c r="L691" i="52"/>
  <c r="H692" i="52"/>
  <c r="I692" i="52"/>
  <c r="J692" i="52"/>
  <c r="K692" i="52"/>
  <c r="L692" i="52"/>
  <c r="H693" i="52"/>
  <c r="I693" i="52"/>
  <c r="J693" i="52"/>
  <c r="K693" i="52"/>
  <c r="L693" i="52"/>
  <c r="H694" i="52"/>
  <c r="I694" i="52"/>
  <c r="J694" i="52"/>
  <c r="K694" i="52"/>
  <c r="L694" i="52"/>
  <c r="H695" i="52"/>
  <c r="I695" i="52"/>
  <c r="J695" i="52"/>
  <c r="K695" i="52"/>
  <c r="L695" i="52"/>
  <c r="H696" i="52"/>
  <c r="I696" i="52"/>
  <c r="J696" i="52"/>
  <c r="K696" i="52"/>
  <c r="L696" i="52"/>
  <c r="H697" i="52"/>
  <c r="I697" i="52"/>
  <c r="J697" i="52"/>
  <c r="K697" i="52"/>
  <c r="L697" i="52"/>
  <c r="H698" i="52"/>
  <c r="I698" i="52"/>
  <c r="J698" i="52"/>
  <c r="K698" i="52"/>
  <c r="L698" i="52"/>
  <c r="H699" i="52"/>
  <c r="I699" i="52"/>
  <c r="J699" i="52"/>
  <c r="K699" i="52"/>
  <c r="L699" i="52"/>
  <c r="H700" i="52"/>
  <c r="I700" i="52"/>
  <c r="J700" i="52"/>
  <c r="K700" i="52"/>
  <c r="L700" i="52"/>
  <c r="H701" i="52"/>
  <c r="I701" i="52"/>
  <c r="J701" i="52"/>
  <c r="K701" i="52"/>
  <c r="L701" i="52"/>
  <c r="H702" i="52"/>
  <c r="I702" i="52"/>
  <c r="J702" i="52"/>
  <c r="K702" i="52"/>
  <c r="L702" i="52"/>
  <c r="H703" i="52"/>
  <c r="I703" i="52"/>
  <c r="J703" i="52"/>
  <c r="K703" i="52"/>
  <c r="L703" i="52"/>
  <c r="H704" i="52"/>
  <c r="I704" i="52"/>
  <c r="J704" i="52"/>
  <c r="K704" i="52"/>
  <c r="L704" i="52"/>
  <c r="H705" i="52"/>
  <c r="I705" i="52"/>
  <c r="J705" i="52"/>
  <c r="K705" i="52"/>
  <c r="L705" i="52"/>
  <c r="H706" i="52"/>
  <c r="I706" i="52"/>
  <c r="J706" i="52"/>
  <c r="K706" i="52"/>
  <c r="L706" i="52"/>
  <c r="H707" i="52"/>
  <c r="I707" i="52"/>
  <c r="J707" i="52"/>
  <c r="K707" i="52"/>
  <c r="L707" i="52"/>
  <c r="H708" i="52"/>
  <c r="I708" i="52"/>
  <c r="J708" i="52"/>
  <c r="K708" i="52"/>
  <c r="L708" i="52"/>
  <c r="H709" i="52"/>
  <c r="I709" i="52"/>
  <c r="J709" i="52"/>
  <c r="K709" i="52"/>
  <c r="L709" i="52"/>
  <c r="H710" i="52"/>
  <c r="I710" i="52"/>
  <c r="J710" i="52"/>
  <c r="K710" i="52"/>
  <c r="L710" i="52"/>
  <c r="H711" i="52"/>
  <c r="I711" i="52"/>
  <c r="J711" i="52"/>
  <c r="K711" i="52"/>
  <c r="L711" i="52"/>
  <c r="H712" i="52"/>
  <c r="I712" i="52"/>
  <c r="J712" i="52"/>
  <c r="K712" i="52"/>
  <c r="L712" i="52"/>
  <c r="H713" i="52"/>
  <c r="I713" i="52"/>
  <c r="J713" i="52"/>
  <c r="K713" i="52"/>
  <c r="L713" i="52"/>
  <c r="H714" i="52"/>
  <c r="I714" i="52"/>
  <c r="J714" i="52"/>
  <c r="K714" i="52"/>
  <c r="L714" i="52"/>
  <c r="H715" i="52"/>
  <c r="I715" i="52"/>
  <c r="J715" i="52"/>
  <c r="K715" i="52"/>
  <c r="L715" i="52"/>
  <c r="H716" i="52"/>
  <c r="I716" i="52"/>
  <c r="J716" i="52"/>
  <c r="K716" i="52"/>
  <c r="L716" i="52"/>
  <c r="H717" i="52"/>
  <c r="I717" i="52"/>
  <c r="J717" i="52"/>
  <c r="K717" i="52"/>
  <c r="L717" i="52"/>
  <c r="H718" i="52"/>
  <c r="I718" i="52"/>
  <c r="J718" i="52"/>
  <c r="K718" i="52"/>
  <c r="L718" i="52"/>
  <c r="H719" i="52"/>
  <c r="I719" i="52"/>
  <c r="J719" i="52"/>
  <c r="K719" i="52"/>
  <c r="L719" i="52"/>
  <c r="H720" i="52"/>
  <c r="I720" i="52"/>
  <c r="J720" i="52"/>
  <c r="K720" i="52"/>
  <c r="L720" i="52"/>
  <c r="H721" i="52"/>
  <c r="I721" i="52"/>
  <c r="J721" i="52"/>
  <c r="K721" i="52"/>
  <c r="L721" i="52"/>
  <c r="H722" i="52"/>
  <c r="I722" i="52"/>
  <c r="J722" i="52"/>
  <c r="K722" i="52"/>
  <c r="L722" i="52"/>
  <c r="H723" i="52"/>
  <c r="I723" i="52"/>
  <c r="J723" i="52"/>
  <c r="K723" i="52"/>
  <c r="L723" i="52"/>
  <c r="H724" i="52"/>
  <c r="I724" i="52"/>
  <c r="J724" i="52"/>
  <c r="K724" i="52"/>
  <c r="L724" i="52"/>
  <c r="H725" i="52"/>
  <c r="I725" i="52"/>
  <c r="J725" i="52"/>
  <c r="K725" i="52"/>
  <c r="L725" i="52"/>
  <c r="H726" i="52"/>
  <c r="I726" i="52"/>
  <c r="J726" i="52"/>
  <c r="K726" i="52"/>
  <c r="L726" i="52"/>
  <c r="H727" i="52"/>
  <c r="I727" i="52"/>
  <c r="J727" i="52"/>
  <c r="K727" i="52"/>
  <c r="L727" i="52"/>
  <c r="H728" i="52"/>
  <c r="I728" i="52"/>
  <c r="J728" i="52"/>
  <c r="K728" i="52"/>
  <c r="L728" i="52"/>
  <c r="H729" i="52"/>
  <c r="I729" i="52"/>
  <c r="J729" i="52"/>
  <c r="K729" i="52"/>
  <c r="L729" i="52"/>
  <c r="H730" i="52"/>
  <c r="I730" i="52"/>
  <c r="J730" i="52"/>
  <c r="K730" i="52"/>
  <c r="L730" i="52"/>
  <c r="H731" i="52"/>
  <c r="I731" i="52"/>
  <c r="J731" i="52"/>
  <c r="K731" i="52"/>
  <c r="L731" i="52"/>
  <c r="H732" i="52"/>
  <c r="I732" i="52"/>
  <c r="J732" i="52"/>
  <c r="K732" i="52"/>
  <c r="L732" i="52"/>
  <c r="H733" i="52"/>
  <c r="I733" i="52"/>
  <c r="J733" i="52"/>
  <c r="K733" i="52"/>
  <c r="L733" i="52"/>
  <c r="H734" i="52"/>
  <c r="I734" i="52"/>
  <c r="J734" i="52"/>
  <c r="K734" i="52"/>
  <c r="L734" i="52"/>
  <c r="H735" i="52"/>
  <c r="I735" i="52"/>
  <c r="J735" i="52"/>
  <c r="K735" i="52"/>
  <c r="L735" i="52"/>
  <c r="H736" i="52"/>
  <c r="I736" i="52"/>
  <c r="J736" i="52"/>
  <c r="K736" i="52"/>
  <c r="L736" i="52"/>
  <c r="H737" i="52"/>
  <c r="I737" i="52"/>
  <c r="J737" i="52"/>
  <c r="K737" i="52"/>
  <c r="L737" i="52"/>
  <c r="H738" i="52"/>
  <c r="I738" i="52"/>
  <c r="J738" i="52"/>
  <c r="K738" i="52"/>
  <c r="L738" i="52"/>
  <c r="H739" i="52"/>
  <c r="I739" i="52"/>
  <c r="J739" i="52"/>
  <c r="K739" i="52"/>
  <c r="L739" i="52"/>
  <c r="H740" i="52"/>
  <c r="I740" i="52"/>
  <c r="J740" i="52"/>
  <c r="K740" i="52"/>
  <c r="L740" i="52"/>
  <c r="H741" i="52"/>
  <c r="I741" i="52"/>
  <c r="J741" i="52"/>
  <c r="K741" i="52"/>
  <c r="L741" i="52"/>
  <c r="H742" i="52"/>
  <c r="I742" i="52"/>
  <c r="J742" i="52"/>
  <c r="K742" i="52"/>
  <c r="L742" i="52"/>
  <c r="H743" i="52"/>
  <c r="I743" i="52"/>
  <c r="J743" i="52"/>
  <c r="K743" i="52"/>
  <c r="L743" i="52"/>
  <c r="H744" i="52"/>
  <c r="I744" i="52"/>
  <c r="J744" i="52"/>
  <c r="K744" i="52"/>
  <c r="L744" i="52"/>
  <c r="H745" i="52"/>
  <c r="I745" i="52"/>
  <c r="J745" i="52"/>
  <c r="K745" i="52"/>
  <c r="L745" i="52"/>
  <c r="H746" i="52"/>
  <c r="I746" i="52"/>
  <c r="J746" i="52"/>
  <c r="K746" i="52"/>
  <c r="L746" i="52"/>
  <c r="H747" i="52"/>
  <c r="I747" i="52"/>
  <c r="J747" i="52"/>
  <c r="K747" i="52"/>
  <c r="L747" i="52"/>
  <c r="H748" i="52"/>
  <c r="I748" i="52"/>
  <c r="J748" i="52"/>
  <c r="K748" i="52"/>
  <c r="L748" i="52"/>
  <c r="H749" i="52"/>
  <c r="I749" i="52"/>
  <c r="J749" i="52"/>
  <c r="K749" i="52"/>
  <c r="L749" i="52"/>
  <c r="H750" i="52"/>
  <c r="I750" i="52"/>
  <c r="J750" i="52"/>
  <c r="K750" i="52"/>
  <c r="L750" i="52"/>
  <c r="H751" i="52"/>
  <c r="I751" i="52"/>
  <c r="J751" i="52"/>
  <c r="K751" i="52"/>
  <c r="L751" i="52"/>
  <c r="H752" i="52"/>
  <c r="I752" i="52"/>
  <c r="J752" i="52"/>
  <c r="K752" i="52"/>
  <c r="L752" i="52"/>
  <c r="H753" i="52"/>
  <c r="I753" i="52"/>
  <c r="J753" i="52"/>
  <c r="K753" i="52"/>
  <c r="L753" i="52"/>
  <c r="H754" i="52"/>
  <c r="I754" i="52"/>
  <c r="J754" i="52"/>
  <c r="K754" i="52"/>
  <c r="L754" i="52"/>
  <c r="H755" i="52"/>
  <c r="I755" i="52"/>
  <c r="J755" i="52"/>
  <c r="K755" i="52"/>
  <c r="L755" i="52"/>
  <c r="H756" i="52"/>
  <c r="I756" i="52"/>
  <c r="J756" i="52"/>
  <c r="K756" i="52"/>
  <c r="L756" i="52"/>
  <c r="H757" i="52"/>
  <c r="I757" i="52"/>
  <c r="J757" i="52"/>
  <c r="K757" i="52"/>
  <c r="L757" i="52"/>
  <c r="H758" i="52"/>
  <c r="I758" i="52"/>
  <c r="J758" i="52"/>
  <c r="K758" i="52"/>
  <c r="L758" i="52"/>
  <c r="H759" i="52"/>
  <c r="I759" i="52"/>
  <c r="J759" i="52"/>
  <c r="K759" i="52"/>
  <c r="L759" i="52"/>
  <c r="H760" i="52"/>
  <c r="I760" i="52"/>
  <c r="J760" i="52"/>
  <c r="K760" i="52"/>
  <c r="L760" i="52"/>
  <c r="H761" i="52"/>
  <c r="I761" i="52"/>
  <c r="J761" i="52"/>
  <c r="K761" i="52"/>
  <c r="L761" i="52"/>
  <c r="H762" i="52"/>
  <c r="I762" i="52"/>
  <c r="J762" i="52"/>
  <c r="K762" i="52"/>
  <c r="L762" i="52"/>
  <c r="H763" i="52"/>
  <c r="I763" i="52"/>
  <c r="J763" i="52"/>
  <c r="K763" i="52"/>
  <c r="L763" i="52"/>
  <c r="H764" i="52"/>
  <c r="I764" i="52"/>
  <c r="J764" i="52"/>
  <c r="K764" i="52"/>
  <c r="L764" i="52"/>
  <c r="H765" i="52"/>
  <c r="I765" i="52"/>
  <c r="J765" i="52"/>
  <c r="K765" i="52"/>
  <c r="L765" i="52"/>
  <c r="H766" i="52"/>
  <c r="I766" i="52"/>
  <c r="J766" i="52"/>
  <c r="K766" i="52"/>
  <c r="L766" i="52"/>
  <c r="H767" i="52"/>
  <c r="I767" i="52"/>
  <c r="J767" i="52"/>
  <c r="K767" i="52"/>
  <c r="L767" i="52"/>
  <c r="H768" i="52"/>
  <c r="I768" i="52"/>
  <c r="J768" i="52"/>
  <c r="K768" i="52"/>
  <c r="L768" i="52"/>
  <c r="H769" i="52"/>
  <c r="I769" i="52"/>
  <c r="J769" i="52"/>
  <c r="K769" i="52"/>
  <c r="L769" i="52"/>
  <c r="H770" i="52"/>
  <c r="I770" i="52"/>
  <c r="J770" i="52"/>
  <c r="K770" i="52"/>
  <c r="L770" i="52"/>
  <c r="H771" i="52"/>
  <c r="I771" i="52"/>
  <c r="J771" i="52"/>
  <c r="K771" i="52"/>
  <c r="L771" i="52"/>
  <c r="H772" i="52"/>
  <c r="I772" i="52"/>
  <c r="J772" i="52"/>
  <c r="K772" i="52"/>
  <c r="L772" i="52"/>
  <c r="H773" i="52"/>
  <c r="I773" i="52"/>
  <c r="J773" i="52"/>
  <c r="K773" i="52"/>
  <c r="L773" i="52"/>
  <c r="H774" i="52"/>
  <c r="I774" i="52"/>
  <c r="J774" i="52"/>
  <c r="K774" i="52"/>
  <c r="L774" i="52"/>
  <c r="H775" i="52"/>
  <c r="I775" i="52"/>
  <c r="J775" i="52"/>
  <c r="K775" i="52"/>
  <c r="L775" i="52"/>
  <c r="H776" i="52"/>
  <c r="I776" i="52"/>
  <c r="J776" i="52"/>
  <c r="K776" i="52"/>
  <c r="L776" i="52"/>
  <c r="H777" i="52"/>
  <c r="I777" i="52"/>
  <c r="J777" i="52"/>
  <c r="K777" i="52"/>
  <c r="L777" i="52"/>
  <c r="H778" i="52"/>
  <c r="I778" i="52"/>
  <c r="J778" i="52"/>
  <c r="K778" i="52"/>
  <c r="L778" i="52"/>
  <c r="H779" i="52"/>
  <c r="I779" i="52"/>
  <c r="J779" i="52"/>
  <c r="K779" i="52"/>
  <c r="L779" i="52"/>
  <c r="H780" i="52"/>
  <c r="I780" i="52"/>
  <c r="J780" i="52"/>
  <c r="K780" i="52"/>
  <c r="L780" i="52"/>
  <c r="H781" i="52"/>
  <c r="I781" i="52"/>
  <c r="J781" i="52"/>
  <c r="K781" i="52"/>
  <c r="L781" i="52"/>
  <c r="H782" i="52"/>
  <c r="I782" i="52"/>
  <c r="J782" i="52"/>
  <c r="K782" i="52"/>
  <c r="L782" i="52"/>
  <c r="H783" i="52"/>
  <c r="I783" i="52"/>
  <c r="J783" i="52"/>
  <c r="K783" i="52"/>
  <c r="L783" i="52"/>
  <c r="H784" i="52"/>
  <c r="I784" i="52"/>
  <c r="J784" i="52"/>
  <c r="K784" i="52"/>
  <c r="L784" i="52"/>
  <c r="H785" i="52"/>
  <c r="I785" i="52"/>
  <c r="J785" i="52"/>
  <c r="K785" i="52"/>
  <c r="L785" i="52"/>
  <c r="H786" i="52"/>
  <c r="I786" i="52"/>
  <c r="J786" i="52"/>
  <c r="K786" i="52"/>
  <c r="L786" i="52"/>
  <c r="H787" i="52"/>
  <c r="I787" i="52"/>
  <c r="J787" i="52"/>
  <c r="K787" i="52"/>
  <c r="L787" i="52"/>
  <c r="H788" i="52"/>
  <c r="I788" i="52"/>
  <c r="J788" i="52"/>
  <c r="K788" i="52"/>
  <c r="L788" i="52"/>
  <c r="H789" i="52"/>
  <c r="I789" i="52"/>
  <c r="J789" i="52"/>
  <c r="K789" i="52"/>
  <c r="L789" i="52"/>
  <c r="H790" i="52"/>
  <c r="I790" i="52"/>
  <c r="J790" i="52"/>
  <c r="K790" i="52"/>
  <c r="L790" i="52"/>
  <c r="I4" i="52"/>
  <c r="J4" i="52"/>
  <c r="K4" i="52"/>
  <c r="L4" i="52"/>
  <c r="H4" i="52"/>
  <c r="O3" i="52"/>
  <c r="AE2" i="49" s="1"/>
  <c r="P3" i="52"/>
  <c r="AD2" i="49" s="1"/>
  <c r="Q3" i="52"/>
  <c r="AC2" i="49" s="1"/>
  <c r="R3" i="52"/>
  <c r="AB2" i="49" s="1"/>
  <c r="N3" i="52"/>
  <c r="AF2" i="49" s="1"/>
  <c r="I3" i="52"/>
  <c r="J3" i="52"/>
  <c r="K3" i="52"/>
  <c r="L3" i="52"/>
  <c r="H3" i="52"/>
  <c r="C793" i="52"/>
  <c r="D793" i="52"/>
  <c r="E793" i="52"/>
  <c r="F793" i="52"/>
  <c r="G793" i="52"/>
  <c r="C794" i="52"/>
  <c r="D794" i="52"/>
  <c r="E794" i="52"/>
  <c r="F794" i="52"/>
  <c r="G794" i="52"/>
  <c r="C795" i="52"/>
  <c r="D795" i="52"/>
  <c r="E795" i="52"/>
  <c r="F795" i="52"/>
  <c r="G795" i="52"/>
  <c r="C796" i="52"/>
  <c r="D796" i="52"/>
  <c r="E796" i="52"/>
  <c r="F796" i="52"/>
  <c r="G796" i="52"/>
  <c r="C797" i="52"/>
  <c r="D797" i="52"/>
  <c r="E797" i="52"/>
  <c r="F797" i="52"/>
  <c r="G797" i="52"/>
  <c r="C798" i="52"/>
  <c r="D798" i="52"/>
  <c r="E798" i="52"/>
  <c r="F798" i="52"/>
  <c r="G798" i="52"/>
  <c r="C799" i="52"/>
  <c r="D799" i="52"/>
  <c r="E799" i="52"/>
  <c r="F799" i="52"/>
  <c r="G799" i="52"/>
  <c r="C800" i="52"/>
  <c r="D800" i="52"/>
  <c r="E800" i="52"/>
  <c r="F800" i="52"/>
  <c r="G800" i="52"/>
  <c r="C801" i="52"/>
  <c r="D801" i="52"/>
  <c r="E801" i="52"/>
  <c r="F801" i="52"/>
  <c r="G801" i="52"/>
  <c r="C802" i="52"/>
  <c r="D802" i="52"/>
  <c r="E802" i="52"/>
  <c r="F802" i="52"/>
  <c r="G802" i="52"/>
  <c r="C803" i="52"/>
  <c r="D803" i="52"/>
  <c r="E803" i="52"/>
  <c r="F803" i="52"/>
  <c r="G803" i="52"/>
  <c r="C804" i="52"/>
  <c r="D804" i="52"/>
  <c r="E804" i="52"/>
  <c r="F804" i="52"/>
  <c r="G804" i="52"/>
  <c r="C805" i="52"/>
  <c r="D805" i="52"/>
  <c r="E805" i="52"/>
  <c r="F805" i="52"/>
  <c r="G805" i="52"/>
  <c r="C806" i="52"/>
  <c r="D806" i="52"/>
  <c r="E806" i="52"/>
  <c r="F806" i="52"/>
  <c r="G806" i="52"/>
  <c r="C807" i="52"/>
  <c r="D807" i="52"/>
  <c r="E807" i="52"/>
  <c r="F807" i="52"/>
  <c r="G807" i="52"/>
  <c r="C808" i="52"/>
  <c r="D808" i="52"/>
  <c r="E808" i="52"/>
  <c r="F808" i="52"/>
  <c r="G808" i="52"/>
  <c r="C809" i="52"/>
  <c r="D809" i="52"/>
  <c r="E809" i="52"/>
  <c r="F809" i="52"/>
  <c r="G809" i="52"/>
  <c r="C810" i="52"/>
  <c r="D810" i="52"/>
  <c r="E810" i="52"/>
  <c r="F810" i="52"/>
  <c r="G810" i="52"/>
  <c r="C811" i="52"/>
  <c r="D811" i="52"/>
  <c r="E811" i="52"/>
  <c r="F811" i="52"/>
  <c r="G811" i="52"/>
  <c r="C812" i="52"/>
  <c r="D812" i="52"/>
  <c r="E812" i="52"/>
  <c r="F812" i="52"/>
  <c r="G812" i="52"/>
  <c r="C813" i="52"/>
  <c r="D813" i="52"/>
  <c r="E813" i="52"/>
  <c r="F813" i="52"/>
  <c r="G813" i="52"/>
  <c r="C814" i="52"/>
  <c r="D814" i="52"/>
  <c r="E814" i="52"/>
  <c r="F814" i="52"/>
  <c r="G814" i="52"/>
  <c r="C815" i="52"/>
  <c r="D815" i="52"/>
  <c r="E815" i="52"/>
  <c r="F815" i="52"/>
  <c r="G815" i="52"/>
  <c r="C816" i="52"/>
  <c r="D816" i="52"/>
  <c r="E816" i="52"/>
  <c r="F816" i="52"/>
  <c r="G816" i="52"/>
  <c r="C817" i="52"/>
  <c r="D817" i="52"/>
  <c r="E817" i="52"/>
  <c r="F817" i="52"/>
  <c r="G817" i="52"/>
  <c r="C818" i="52"/>
  <c r="D818" i="52"/>
  <c r="E818" i="52"/>
  <c r="F818" i="52"/>
  <c r="G818" i="52"/>
  <c r="C819" i="52"/>
  <c r="D819" i="52"/>
  <c r="E819" i="52"/>
  <c r="F819" i="52"/>
  <c r="G819" i="52"/>
  <c r="C820" i="52"/>
  <c r="D820" i="52"/>
  <c r="E820" i="52"/>
  <c r="F820" i="52"/>
  <c r="G820" i="52"/>
  <c r="C821" i="52"/>
  <c r="D821" i="52"/>
  <c r="E821" i="52"/>
  <c r="F821" i="52"/>
  <c r="G821" i="52"/>
  <c r="C822" i="52"/>
  <c r="D822" i="52"/>
  <c r="E822" i="52"/>
  <c r="F822" i="52"/>
  <c r="G822" i="52"/>
  <c r="C823" i="52"/>
  <c r="D823" i="52"/>
  <c r="E823" i="52"/>
  <c r="F823" i="52"/>
  <c r="G823" i="52"/>
  <c r="C824" i="52"/>
  <c r="D824" i="52"/>
  <c r="E824" i="52"/>
  <c r="F824" i="52"/>
  <c r="G824" i="52"/>
  <c r="C825" i="52"/>
  <c r="D825" i="52"/>
  <c r="E825" i="52"/>
  <c r="F825" i="52"/>
  <c r="G825" i="52"/>
  <c r="C826" i="52"/>
  <c r="D826" i="52"/>
  <c r="E826" i="52"/>
  <c r="F826" i="52"/>
  <c r="G826" i="52"/>
  <c r="C827" i="52"/>
  <c r="D827" i="52"/>
  <c r="E827" i="52"/>
  <c r="F827" i="52"/>
  <c r="G827" i="52"/>
  <c r="C828" i="52"/>
  <c r="D828" i="52"/>
  <c r="E828" i="52"/>
  <c r="F828" i="52"/>
  <c r="G828" i="52"/>
  <c r="C829" i="52"/>
  <c r="D829" i="52"/>
  <c r="E829" i="52"/>
  <c r="F829" i="52"/>
  <c r="G829" i="52"/>
  <c r="C830" i="52"/>
  <c r="G75" i="4" s="1"/>
  <c r="D830" i="52"/>
  <c r="E830" i="52"/>
  <c r="F830" i="52"/>
  <c r="G830" i="52"/>
  <c r="C831" i="52"/>
  <c r="D831" i="52"/>
  <c r="E831" i="52"/>
  <c r="F831" i="52"/>
  <c r="G831" i="52"/>
  <c r="C832" i="52"/>
  <c r="D832" i="52"/>
  <c r="E832" i="52"/>
  <c r="F832" i="52"/>
  <c r="G832" i="52"/>
  <c r="C833" i="52"/>
  <c r="D833" i="52"/>
  <c r="E833" i="52"/>
  <c r="F833" i="52"/>
  <c r="G833" i="52"/>
  <c r="C834" i="52"/>
  <c r="D834" i="52"/>
  <c r="E834" i="52"/>
  <c r="F834" i="52"/>
  <c r="G834" i="52"/>
  <c r="C835" i="52"/>
  <c r="D835" i="52"/>
  <c r="E835" i="52"/>
  <c r="F835" i="52"/>
  <c r="G835" i="52"/>
  <c r="C836" i="52"/>
  <c r="D836" i="52"/>
  <c r="E836" i="52"/>
  <c r="F836" i="52"/>
  <c r="G836" i="52"/>
  <c r="C837" i="52"/>
  <c r="D837" i="52"/>
  <c r="E837" i="52"/>
  <c r="F837" i="52"/>
  <c r="G837" i="52"/>
  <c r="C838" i="52"/>
  <c r="D838" i="52"/>
  <c r="E838" i="52"/>
  <c r="F838" i="52"/>
  <c r="G838" i="52"/>
  <c r="C839" i="52"/>
  <c r="D839" i="52"/>
  <c r="E839" i="52"/>
  <c r="F839" i="52"/>
  <c r="G839" i="52"/>
  <c r="C840" i="52"/>
  <c r="D840" i="52"/>
  <c r="E840" i="52"/>
  <c r="F840" i="52"/>
  <c r="G840" i="52"/>
  <c r="C841" i="52"/>
  <c r="D841" i="52"/>
  <c r="E841" i="52"/>
  <c r="F841" i="52"/>
  <c r="G841" i="52"/>
  <c r="C842" i="52"/>
  <c r="D842" i="52"/>
  <c r="E842" i="52"/>
  <c r="F842" i="52"/>
  <c r="G842" i="52"/>
  <c r="C843" i="52"/>
  <c r="D843" i="52"/>
  <c r="E843" i="52"/>
  <c r="F843" i="52"/>
  <c r="G843" i="52"/>
  <c r="C844" i="52"/>
  <c r="D844" i="52"/>
  <c r="E844" i="52"/>
  <c r="F844" i="52"/>
  <c r="G844" i="52"/>
  <c r="C845" i="52"/>
  <c r="D845" i="52"/>
  <c r="E845" i="52"/>
  <c r="F845" i="52"/>
  <c r="G845" i="52"/>
  <c r="C846" i="52"/>
  <c r="D846" i="52"/>
  <c r="E846" i="52"/>
  <c r="F846" i="52"/>
  <c r="G846" i="52"/>
  <c r="C847" i="52"/>
  <c r="D847" i="52"/>
  <c r="E847" i="52"/>
  <c r="F847" i="52"/>
  <c r="G847" i="52"/>
  <c r="C848" i="52"/>
  <c r="D848" i="52"/>
  <c r="E848" i="52"/>
  <c r="F848" i="52"/>
  <c r="G848" i="52"/>
  <c r="C849" i="52"/>
  <c r="D849" i="52"/>
  <c r="E849" i="52"/>
  <c r="F849" i="52"/>
  <c r="G849" i="52"/>
  <c r="C850" i="52"/>
  <c r="D850" i="52"/>
  <c r="E850" i="52"/>
  <c r="F850" i="52"/>
  <c r="G850" i="52"/>
  <c r="C851" i="52"/>
  <c r="D851" i="52"/>
  <c r="E851" i="52"/>
  <c r="F851" i="52"/>
  <c r="G851" i="52"/>
  <c r="C852" i="52"/>
  <c r="D852" i="52"/>
  <c r="E852" i="52"/>
  <c r="F852" i="52"/>
  <c r="G852" i="52"/>
  <c r="C853" i="52"/>
  <c r="D853" i="52"/>
  <c r="E853" i="52"/>
  <c r="F853" i="52"/>
  <c r="G853" i="52"/>
  <c r="C854" i="52"/>
  <c r="D854" i="52"/>
  <c r="E854" i="52"/>
  <c r="F854" i="52"/>
  <c r="G854" i="52"/>
  <c r="C855" i="52"/>
  <c r="D855" i="52"/>
  <c r="E855" i="52"/>
  <c r="F855" i="52"/>
  <c r="G855" i="52"/>
  <c r="C856" i="52"/>
  <c r="D856" i="52"/>
  <c r="E856" i="52"/>
  <c r="F856" i="52"/>
  <c r="G856" i="52"/>
  <c r="C857" i="52"/>
  <c r="D857" i="52"/>
  <c r="E857" i="52"/>
  <c r="F857" i="52"/>
  <c r="G857" i="52"/>
  <c r="C858" i="52"/>
  <c r="D858" i="52"/>
  <c r="E858" i="52"/>
  <c r="F858" i="52"/>
  <c r="G858" i="52"/>
  <c r="C859" i="52"/>
  <c r="D859" i="52"/>
  <c r="E859" i="52"/>
  <c r="F859" i="52"/>
  <c r="G859" i="52"/>
  <c r="C860" i="52"/>
  <c r="D860" i="52"/>
  <c r="E860" i="52"/>
  <c r="F860" i="52"/>
  <c r="G860" i="52"/>
  <c r="C861" i="52"/>
  <c r="D861" i="52"/>
  <c r="E861" i="52"/>
  <c r="F861" i="52"/>
  <c r="G861" i="52"/>
  <c r="C862" i="52"/>
  <c r="D862" i="52"/>
  <c r="E862" i="52"/>
  <c r="F862" i="52"/>
  <c r="G862" i="52"/>
  <c r="C863" i="52"/>
  <c r="D863" i="52"/>
  <c r="E863" i="52"/>
  <c r="F863" i="52"/>
  <c r="G863" i="52"/>
  <c r="C864" i="52"/>
  <c r="D864" i="52"/>
  <c r="E864" i="52"/>
  <c r="F864" i="52"/>
  <c r="G864" i="52"/>
  <c r="C865" i="52"/>
  <c r="D865" i="52"/>
  <c r="E865" i="52"/>
  <c r="F865" i="52"/>
  <c r="G865" i="52"/>
  <c r="C866" i="52"/>
  <c r="D866" i="52"/>
  <c r="E866" i="52"/>
  <c r="F866" i="52"/>
  <c r="G866" i="52"/>
  <c r="C867" i="52"/>
  <c r="D867" i="52"/>
  <c r="E867" i="52"/>
  <c r="F867" i="52"/>
  <c r="G867" i="52"/>
  <c r="C868" i="52"/>
  <c r="D868" i="52"/>
  <c r="E868" i="52"/>
  <c r="F868" i="52"/>
  <c r="G868" i="52"/>
  <c r="C869" i="52"/>
  <c r="D869" i="52"/>
  <c r="E869" i="52"/>
  <c r="F869" i="52"/>
  <c r="G869" i="52"/>
  <c r="C870" i="52"/>
  <c r="D870" i="52"/>
  <c r="E870" i="52"/>
  <c r="F870" i="52"/>
  <c r="G870" i="52"/>
  <c r="C871" i="52"/>
  <c r="G76" i="4" s="1"/>
  <c r="D871" i="52"/>
  <c r="E871" i="52"/>
  <c r="F871" i="52"/>
  <c r="G871" i="52"/>
  <c r="C872" i="52"/>
  <c r="G77" i="4" s="1"/>
  <c r="D872" i="52"/>
  <c r="E872" i="52"/>
  <c r="F872" i="52"/>
  <c r="G872" i="52"/>
  <c r="C873" i="52"/>
  <c r="D873" i="52"/>
  <c r="E873" i="52"/>
  <c r="F873" i="52"/>
  <c r="G873" i="52"/>
  <c r="C874" i="52"/>
  <c r="G78" i="4" s="1"/>
  <c r="D874" i="52"/>
  <c r="E874" i="52"/>
  <c r="F874" i="52"/>
  <c r="G874" i="52"/>
  <c r="C875" i="52"/>
  <c r="G79" i="4" s="1"/>
  <c r="D875" i="52"/>
  <c r="E875" i="52"/>
  <c r="F875" i="52"/>
  <c r="G875" i="52"/>
  <c r="C876" i="52"/>
  <c r="G80" i="4" s="1"/>
  <c r="D876" i="52"/>
  <c r="E876" i="52"/>
  <c r="F876" i="52"/>
  <c r="G876" i="52"/>
  <c r="C877" i="52"/>
  <c r="G81" i="4" s="1"/>
  <c r="D877" i="52"/>
  <c r="E877" i="52"/>
  <c r="F877" i="52"/>
  <c r="G877" i="52"/>
  <c r="C878" i="52"/>
  <c r="G82" i="4" s="1"/>
  <c r="D878" i="52"/>
  <c r="E878" i="52"/>
  <c r="F878" i="52"/>
  <c r="G878" i="52"/>
  <c r="C879" i="52"/>
  <c r="G83" i="4" s="1"/>
  <c r="D879" i="52"/>
  <c r="E879" i="52"/>
  <c r="F879" i="52"/>
  <c r="G879" i="52"/>
  <c r="C880" i="52"/>
  <c r="G84" i="4" s="1"/>
  <c r="D880" i="52"/>
  <c r="E880" i="52"/>
  <c r="F880" i="52"/>
  <c r="G880" i="52"/>
  <c r="C881" i="52"/>
  <c r="G85" i="4" s="1"/>
  <c r="D881" i="52"/>
  <c r="E881" i="52"/>
  <c r="F881" i="52"/>
  <c r="G881" i="52"/>
  <c r="C882" i="52"/>
  <c r="G86" i="4" s="1"/>
  <c r="D882" i="52"/>
  <c r="E882" i="52"/>
  <c r="F882" i="52"/>
  <c r="G882" i="52"/>
  <c r="C883" i="52"/>
  <c r="D883" i="52"/>
  <c r="E883" i="52"/>
  <c r="F883" i="52"/>
  <c r="G883" i="52"/>
  <c r="C884" i="52"/>
  <c r="G87" i="4" s="1"/>
  <c r="D884" i="52"/>
  <c r="E884" i="52"/>
  <c r="F884" i="52"/>
  <c r="G884" i="52"/>
  <c r="C885" i="52"/>
  <c r="G88" i="4" s="1"/>
  <c r="D885" i="52"/>
  <c r="E885" i="52"/>
  <c r="F885" i="52"/>
  <c r="G885" i="52"/>
  <c r="C886" i="52"/>
  <c r="G89" i="4" s="1"/>
  <c r="D886" i="52"/>
  <c r="E886" i="52"/>
  <c r="F886" i="52"/>
  <c r="G886" i="52"/>
  <c r="C887" i="52"/>
  <c r="G90" i="4" s="1"/>
  <c r="D887" i="52"/>
  <c r="E887" i="52"/>
  <c r="F887" i="52"/>
  <c r="G887" i="52"/>
  <c r="C888" i="52"/>
  <c r="G91" i="4" s="1"/>
  <c r="D888" i="52"/>
  <c r="E888" i="52"/>
  <c r="F888" i="52"/>
  <c r="G888" i="52"/>
  <c r="C889" i="52"/>
  <c r="D889" i="52"/>
  <c r="E889" i="52"/>
  <c r="J3" i="32" s="1"/>
  <c r="F889" i="52"/>
  <c r="G889" i="52"/>
  <c r="H3" i="32" s="1"/>
  <c r="C890" i="52"/>
  <c r="G93" i="4" s="1"/>
  <c r="D890" i="52"/>
  <c r="E890" i="52"/>
  <c r="F890" i="52"/>
  <c r="G890" i="52"/>
  <c r="C891" i="52"/>
  <c r="G94" i="4" s="1"/>
  <c r="D891" i="52"/>
  <c r="E891" i="52"/>
  <c r="F891" i="52"/>
  <c r="G891" i="52"/>
  <c r="C892" i="52"/>
  <c r="G95" i="4" s="1"/>
  <c r="D892" i="52"/>
  <c r="E892" i="52"/>
  <c r="F892" i="52"/>
  <c r="G892" i="52"/>
  <c r="C893" i="52"/>
  <c r="G96" i="4" s="1"/>
  <c r="D893" i="52"/>
  <c r="E893" i="52"/>
  <c r="F893" i="52"/>
  <c r="G893" i="52"/>
  <c r="C894" i="52"/>
  <c r="G97" i="4" s="1"/>
  <c r="D894" i="52"/>
  <c r="E894" i="52"/>
  <c r="F894" i="52"/>
  <c r="G894" i="52"/>
  <c r="C895" i="52"/>
  <c r="G98" i="4" s="1"/>
  <c r="D895" i="52"/>
  <c r="E895" i="52"/>
  <c r="F895" i="52"/>
  <c r="G895" i="52"/>
  <c r="C896" i="52"/>
  <c r="G99" i="4" s="1"/>
  <c r="D896" i="52"/>
  <c r="E896" i="52"/>
  <c r="F896" i="52"/>
  <c r="G896" i="52"/>
  <c r="C897" i="52"/>
  <c r="G100" i="4" s="1"/>
  <c r="D897" i="52"/>
  <c r="E897" i="52"/>
  <c r="F897" i="52"/>
  <c r="G897" i="52"/>
  <c r="C898" i="52"/>
  <c r="G101" i="4" s="1"/>
  <c r="D898" i="52"/>
  <c r="E898" i="52"/>
  <c r="F898" i="52"/>
  <c r="G898" i="52"/>
  <c r="C899" i="52"/>
  <c r="G102" i="4" s="1"/>
  <c r="D899" i="52"/>
  <c r="E899" i="52"/>
  <c r="F899" i="52"/>
  <c r="G899" i="52"/>
  <c r="C900" i="52"/>
  <c r="G103" i="4" s="1"/>
  <c r="D900" i="52"/>
  <c r="E900" i="52"/>
  <c r="F900" i="52"/>
  <c r="G900" i="52"/>
  <c r="C901" i="52"/>
  <c r="G104" i="4" s="1"/>
  <c r="D901" i="52"/>
  <c r="E901" i="52"/>
  <c r="F901" i="52"/>
  <c r="G901" i="52"/>
  <c r="C902" i="52"/>
  <c r="D902" i="52"/>
  <c r="E902" i="52"/>
  <c r="F902" i="52"/>
  <c r="G902" i="52"/>
  <c r="C903" i="52"/>
  <c r="G105" i="4" s="1"/>
  <c r="D903" i="52"/>
  <c r="E903" i="52"/>
  <c r="F903" i="52"/>
  <c r="G903" i="52"/>
  <c r="C904" i="52"/>
  <c r="G106" i="4" s="1"/>
  <c r="D904" i="52"/>
  <c r="E904" i="52"/>
  <c r="F904" i="52"/>
  <c r="G904" i="52"/>
  <c r="C905" i="52"/>
  <c r="G107" i="4" s="1"/>
  <c r="D905" i="52"/>
  <c r="E905" i="52"/>
  <c r="F905" i="52"/>
  <c r="G905" i="52"/>
  <c r="C906" i="52"/>
  <c r="G108" i="4" s="1"/>
  <c r="D906" i="52"/>
  <c r="E906" i="52"/>
  <c r="F906" i="52"/>
  <c r="G906" i="52"/>
  <c r="C907" i="52"/>
  <c r="G109" i="4" s="1"/>
  <c r="D907" i="52"/>
  <c r="E907" i="52"/>
  <c r="F907" i="52"/>
  <c r="G907" i="52"/>
  <c r="C908" i="52"/>
  <c r="G110" i="4" s="1"/>
  <c r="D908" i="52"/>
  <c r="E908" i="52"/>
  <c r="F908" i="52"/>
  <c r="G908" i="52"/>
  <c r="C909" i="52"/>
  <c r="G111" i="4" s="1"/>
  <c r="D909" i="52"/>
  <c r="E909" i="52"/>
  <c r="F909" i="52"/>
  <c r="G909" i="52"/>
  <c r="C910" i="52"/>
  <c r="G112" i="4" s="1"/>
  <c r="D910" i="52"/>
  <c r="E910" i="52"/>
  <c r="F910" i="52"/>
  <c r="G910" i="52"/>
  <c r="C911" i="52"/>
  <c r="G113" i="4" s="1"/>
  <c r="D911" i="52"/>
  <c r="E911" i="52"/>
  <c r="F911" i="52"/>
  <c r="G911" i="52"/>
  <c r="C912" i="52"/>
  <c r="G114" i="4" s="1"/>
  <c r="D912" i="52"/>
  <c r="E912" i="52"/>
  <c r="F912" i="52"/>
  <c r="G912" i="52"/>
  <c r="C913" i="52"/>
  <c r="G115" i="4" s="1"/>
  <c r="D913" i="52"/>
  <c r="E913" i="52"/>
  <c r="F913" i="52"/>
  <c r="G913" i="52"/>
  <c r="C914" i="52"/>
  <c r="G116" i="4" s="1"/>
  <c r="D914" i="52"/>
  <c r="E914" i="52"/>
  <c r="F914" i="52"/>
  <c r="G914" i="52"/>
  <c r="C915" i="52"/>
  <c r="G117" i="4" s="1"/>
  <c r="D915" i="52"/>
  <c r="E915" i="52"/>
  <c r="F915" i="52"/>
  <c r="G915" i="52"/>
  <c r="C916" i="52"/>
  <c r="D916" i="52"/>
  <c r="E916" i="52"/>
  <c r="F916" i="52"/>
  <c r="G916" i="52"/>
  <c r="C917" i="52"/>
  <c r="G118" i="4" s="1"/>
  <c r="D917" i="52"/>
  <c r="E917" i="52"/>
  <c r="F917" i="52"/>
  <c r="G917" i="52"/>
  <c r="C918" i="52"/>
  <c r="G119" i="4" s="1"/>
  <c r="D918" i="52"/>
  <c r="E918" i="52"/>
  <c r="F918" i="52"/>
  <c r="G918" i="52"/>
  <c r="C919" i="52"/>
  <c r="G120" i="4" s="1"/>
  <c r="D919" i="52"/>
  <c r="E919" i="52"/>
  <c r="F919" i="52"/>
  <c r="G919" i="52"/>
  <c r="C920" i="52"/>
  <c r="G121" i="4" s="1"/>
  <c r="D920" i="52"/>
  <c r="E920" i="52"/>
  <c r="F920" i="52"/>
  <c r="G920" i="52"/>
  <c r="C921" i="52"/>
  <c r="G122" i="4" s="1"/>
  <c r="D921" i="52"/>
  <c r="E921" i="52"/>
  <c r="F921" i="52"/>
  <c r="G921" i="52"/>
  <c r="C922" i="52"/>
  <c r="D922" i="52"/>
  <c r="E922" i="52"/>
  <c r="J113" i="32" s="1"/>
  <c r="F922" i="52"/>
  <c r="G922" i="52"/>
  <c r="H113" i="32" s="1"/>
  <c r="C923" i="52"/>
  <c r="D923" i="52"/>
  <c r="E923" i="52"/>
  <c r="F923" i="52"/>
  <c r="G923" i="52"/>
  <c r="C924" i="52"/>
  <c r="D924" i="52"/>
  <c r="E924" i="52"/>
  <c r="F924" i="52"/>
  <c r="G924" i="52"/>
  <c r="C925" i="52"/>
  <c r="D925" i="52"/>
  <c r="E925" i="52"/>
  <c r="F925" i="52"/>
  <c r="G925" i="52"/>
  <c r="C926" i="52"/>
  <c r="D926" i="52"/>
  <c r="E926" i="52"/>
  <c r="F926" i="52"/>
  <c r="G926" i="52"/>
  <c r="C927" i="52"/>
  <c r="D927" i="52"/>
  <c r="E927" i="52"/>
  <c r="F927" i="52"/>
  <c r="G927" i="52"/>
  <c r="C928" i="52"/>
  <c r="D928" i="52"/>
  <c r="E928" i="52"/>
  <c r="F928" i="52"/>
  <c r="G928" i="52"/>
  <c r="C929" i="52"/>
  <c r="D929" i="52"/>
  <c r="E929" i="52"/>
  <c r="F929" i="52"/>
  <c r="G929" i="52"/>
  <c r="C930" i="52"/>
  <c r="D930" i="52"/>
  <c r="E930" i="52"/>
  <c r="F930" i="52"/>
  <c r="G930" i="52"/>
  <c r="C931" i="52"/>
  <c r="D931" i="52"/>
  <c r="E931" i="52"/>
  <c r="F931" i="52"/>
  <c r="G931" i="52"/>
  <c r="C932" i="52"/>
  <c r="D932" i="52"/>
  <c r="E932" i="52"/>
  <c r="F932" i="52"/>
  <c r="G932" i="52"/>
  <c r="C933" i="52"/>
  <c r="D933" i="52"/>
  <c r="E933" i="52"/>
  <c r="F933" i="52"/>
  <c r="G933" i="52"/>
  <c r="C934" i="52"/>
  <c r="D934" i="52"/>
  <c r="E934" i="52"/>
  <c r="F934" i="52"/>
  <c r="G934" i="52"/>
  <c r="C935" i="52"/>
  <c r="D935" i="52"/>
  <c r="E935" i="52"/>
  <c r="F935" i="52"/>
  <c r="G935" i="52"/>
  <c r="C936" i="52"/>
  <c r="D936" i="52"/>
  <c r="E936" i="52"/>
  <c r="F936" i="52"/>
  <c r="G936" i="52"/>
  <c r="C937" i="52"/>
  <c r="G124" i="4" s="1"/>
  <c r="D937" i="52"/>
  <c r="E937" i="52"/>
  <c r="F937" i="52"/>
  <c r="G937" i="52"/>
  <c r="C938" i="52"/>
  <c r="G125" i="4" s="1"/>
  <c r="D938" i="52"/>
  <c r="E938" i="52"/>
  <c r="F938" i="52"/>
  <c r="G938" i="52"/>
  <c r="C939" i="52"/>
  <c r="D939" i="52"/>
  <c r="Y4" i="49" s="1"/>
  <c r="E939" i="52"/>
  <c r="X4" i="49" s="1"/>
  <c r="F939" i="52"/>
  <c r="W4" i="49" s="1"/>
  <c r="G939" i="52"/>
  <c r="V4" i="49" s="1"/>
  <c r="C940" i="52"/>
  <c r="G127" i="4" s="1"/>
  <c r="D940" i="52"/>
  <c r="E940" i="52"/>
  <c r="F940" i="52"/>
  <c r="G940" i="52"/>
  <c r="C941" i="52"/>
  <c r="G128" i="4" s="1"/>
  <c r="D941" i="52"/>
  <c r="E941" i="52"/>
  <c r="F941" i="52"/>
  <c r="G941" i="52"/>
  <c r="C942" i="52"/>
  <c r="G129" i="4" s="1"/>
  <c r="D942" i="52"/>
  <c r="E942" i="52"/>
  <c r="F942" i="52"/>
  <c r="G942" i="52"/>
  <c r="C943" i="52"/>
  <c r="G130" i="4" s="1"/>
  <c r="I130" i="4" s="1"/>
  <c r="D943" i="52"/>
  <c r="E943" i="52"/>
  <c r="F943" i="52"/>
  <c r="G943" i="52"/>
  <c r="C944" i="52"/>
  <c r="G131" i="4" s="1"/>
  <c r="D944" i="52"/>
  <c r="E944" i="52"/>
  <c r="F944" i="52"/>
  <c r="G944" i="52"/>
  <c r="C945" i="52"/>
  <c r="D945" i="52"/>
  <c r="E945" i="52"/>
  <c r="F945" i="52"/>
  <c r="G945" i="52"/>
  <c r="C946" i="52"/>
  <c r="G132" i="4" s="1"/>
  <c r="D946" i="52"/>
  <c r="E946" i="52"/>
  <c r="F946" i="52"/>
  <c r="G946" i="52"/>
  <c r="C947" i="52"/>
  <c r="G133" i="4" s="1"/>
  <c r="D947" i="52"/>
  <c r="E947" i="52"/>
  <c r="F947" i="52"/>
  <c r="G947" i="52"/>
  <c r="C948" i="52"/>
  <c r="G134" i="4" s="1"/>
  <c r="D948" i="52"/>
  <c r="E948" i="52"/>
  <c r="F948" i="52"/>
  <c r="G948" i="52"/>
  <c r="C949" i="52"/>
  <c r="G135" i="4" s="1"/>
  <c r="D949" i="52"/>
  <c r="E949" i="52"/>
  <c r="F949" i="52"/>
  <c r="G949" i="52"/>
  <c r="C950" i="52"/>
  <c r="G136" i="4" s="1"/>
  <c r="D950" i="52"/>
  <c r="E950" i="52"/>
  <c r="F950" i="52"/>
  <c r="G950" i="52"/>
  <c r="C951" i="52"/>
  <c r="G137" i="4" s="1"/>
  <c r="D951" i="52"/>
  <c r="E951" i="52"/>
  <c r="F951" i="52"/>
  <c r="G951" i="52"/>
  <c r="C952" i="52"/>
  <c r="G138" i="4" s="1"/>
  <c r="D952" i="52"/>
  <c r="E952" i="52"/>
  <c r="F952" i="52"/>
  <c r="G952" i="52"/>
  <c r="C953" i="52"/>
  <c r="G139" i="4" s="1"/>
  <c r="D953" i="52"/>
  <c r="E953" i="52"/>
  <c r="F953" i="52"/>
  <c r="G953" i="52"/>
  <c r="C954" i="52"/>
  <c r="G140" i="4" s="1"/>
  <c r="D954" i="52"/>
  <c r="E954" i="52"/>
  <c r="F954" i="52"/>
  <c r="G954" i="52"/>
  <c r="C955" i="52"/>
  <c r="G141" i="4" s="1"/>
  <c r="D955" i="52"/>
  <c r="E955" i="52"/>
  <c r="F955" i="52"/>
  <c r="G955" i="52"/>
  <c r="C956" i="52"/>
  <c r="G142" i="4" s="1"/>
  <c r="D956" i="52"/>
  <c r="E956" i="52"/>
  <c r="F956" i="52"/>
  <c r="G956" i="52"/>
  <c r="C957" i="52"/>
  <c r="G143" i="4" s="1"/>
  <c r="D957" i="52"/>
  <c r="E957" i="52"/>
  <c r="F957" i="52"/>
  <c r="G957" i="52"/>
  <c r="C958" i="52"/>
  <c r="G144" i="4" s="1"/>
  <c r="D958" i="52"/>
  <c r="E958" i="52"/>
  <c r="F958" i="52"/>
  <c r="G958" i="52"/>
  <c r="C959" i="52"/>
  <c r="G145" i="4" s="1"/>
  <c r="D959" i="52"/>
  <c r="E959" i="52"/>
  <c r="F959" i="52"/>
  <c r="G959" i="52"/>
  <c r="C960" i="52"/>
  <c r="G146" i="4" s="1"/>
  <c r="D960" i="52"/>
  <c r="E960" i="52"/>
  <c r="F960" i="52"/>
  <c r="G960" i="52"/>
  <c r="C961" i="52"/>
  <c r="G147" i="4" s="1"/>
  <c r="D961" i="52"/>
  <c r="E961" i="52"/>
  <c r="F961" i="52"/>
  <c r="G961" i="52"/>
  <c r="C962" i="52"/>
  <c r="G148" i="4" s="1"/>
  <c r="D962" i="52"/>
  <c r="E962" i="52"/>
  <c r="F962" i="52"/>
  <c r="G962" i="52"/>
  <c r="C963" i="52"/>
  <c r="G149" i="4" s="1"/>
  <c r="D963" i="52"/>
  <c r="E963" i="52"/>
  <c r="F963" i="52"/>
  <c r="G963" i="52"/>
  <c r="C964" i="52"/>
  <c r="G150" i="4" s="1"/>
  <c r="D964" i="52"/>
  <c r="E964" i="52"/>
  <c r="F964" i="52"/>
  <c r="G964" i="52"/>
  <c r="C965" i="52"/>
  <c r="G151" i="4" s="1"/>
  <c r="D965" i="52"/>
  <c r="E965" i="52"/>
  <c r="F965" i="52"/>
  <c r="G965" i="52"/>
  <c r="C966" i="52"/>
  <c r="G152" i="4" s="1"/>
  <c r="D966" i="52"/>
  <c r="E966" i="52"/>
  <c r="F966" i="52"/>
  <c r="G966" i="52"/>
  <c r="C967" i="52"/>
  <c r="G153" i="4" s="1"/>
  <c r="D967" i="52"/>
  <c r="E967" i="52"/>
  <c r="F967" i="52"/>
  <c r="G967" i="52"/>
  <c r="C968" i="52"/>
  <c r="G154" i="4" s="1"/>
  <c r="D968" i="52"/>
  <c r="E968" i="52"/>
  <c r="F968" i="52"/>
  <c r="G968" i="52"/>
  <c r="C969" i="52"/>
  <c r="G155" i="4" s="1"/>
  <c r="D969" i="52"/>
  <c r="E969" i="52"/>
  <c r="F969" i="52"/>
  <c r="G969" i="52"/>
  <c r="C970" i="52"/>
  <c r="G156" i="4" s="1"/>
  <c r="D970" i="52"/>
  <c r="E970" i="52"/>
  <c r="F970" i="52"/>
  <c r="G970" i="52"/>
  <c r="C971" i="52"/>
  <c r="G157" i="4" s="1"/>
  <c r="D971" i="52"/>
  <c r="E971" i="52"/>
  <c r="F971" i="52"/>
  <c r="G971" i="52"/>
  <c r="C972" i="52"/>
  <c r="G158" i="4" s="1"/>
  <c r="D972" i="52"/>
  <c r="E972" i="52"/>
  <c r="F972" i="52"/>
  <c r="G972" i="52"/>
  <c r="C973" i="52"/>
  <c r="G159" i="4" s="1"/>
  <c r="D973" i="52"/>
  <c r="E973" i="52"/>
  <c r="F973" i="52"/>
  <c r="G973" i="52"/>
  <c r="C974" i="52"/>
  <c r="G160" i="4" s="1"/>
  <c r="D974" i="52"/>
  <c r="E974" i="52"/>
  <c r="F974" i="52"/>
  <c r="G974" i="52"/>
  <c r="C975" i="52"/>
  <c r="G161" i="4" s="1"/>
  <c r="D975" i="52"/>
  <c r="E975" i="52"/>
  <c r="F975" i="52"/>
  <c r="G975" i="52"/>
  <c r="C976" i="52"/>
  <c r="G162" i="4" s="1"/>
  <c r="D976" i="52"/>
  <c r="E976" i="52"/>
  <c r="F976" i="52"/>
  <c r="G976" i="52"/>
  <c r="C977" i="52"/>
  <c r="G163" i="4" s="1"/>
  <c r="D977" i="52"/>
  <c r="E977" i="52"/>
  <c r="F977" i="52"/>
  <c r="G977" i="52"/>
  <c r="C978" i="52"/>
  <c r="G164" i="4" s="1"/>
  <c r="D978" i="52"/>
  <c r="E978" i="52"/>
  <c r="F978" i="52"/>
  <c r="G978" i="52"/>
  <c r="C979" i="52"/>
  <c r="G165" i="4" s="1"/>
  <c r="D979" i="52"/>
  <c r="E979" i="52"/>
  <c r="F979" i="52"/>
  <c r="G979" i="52"/>
  <c r="C980" i="52"/>
  <c r="G166" i="4" s="1"/>
  <c r="D980" i="52"/>
  <c r="E980" i="52"/>
  <c r="F980" i="52"/>
  <c r="G980" i="52"/>
  <c r="C981" i="52"/>
  <c r="G167" i="4" s="1"/>
  <c r="D981" i="52"/>
  <c r="E981" i="52"/>
  <c r="F981" i="52"/>
  <c r="G981" i="52"/>
  <c r="C982" i="52"/>
  <c r="G168" i="4" s="1"/>
  <c r="D982" i="52"/>
  <c r="E982" i="52"/>
  <c r="F982" i="52"/>
  <c r="G982" i="52"/>
  <c r="C983" i="52"/>
  <c r="G169" i="4" s="1"/>
  <c r="D983" i="52"/>
  <c r="E983" i="52"/>
  <c r="F983" i="52"/>
  <c r="G983" i="52"/>
  <c r="C984" i="52"/>
  <c r="G170" i="4" s="1"/>
  <c r="D984" i="52"/>
  <c r="E984" i="52"/>
  <c r="F984" i="52"/>
  <c r="G984" i="52"/>
  <c r="C985" i="52"/>
  <c r="G171" i="4" s="1"/>
  <c r="D985" i="52"/>
  <c r="E985" i="52"/>
  <c r="F985" i="52"/>
  <c r="G985" i="52"/>
  <c r="C986" i="52"/>
  <c r="G172" i="4" s="1"/>
  <c r="D986" i="52"/>
  <c r="E986" i="52"/>
  <c r="F986" i="52"/>
  <c r="G986" i="52"/>
  <c r="C987" i="52"/>
  <c r="G173" i="4" s="1"/>
  <c r="D987" i="52"/>
  <c r="E987" i="52"/>
  <c r="F987" i="52"/>
  <c r="G987" i="52"/>
  <c r="C988" i="52"/>
  <c r="G174" i="4" s="1"/>
  <c r="D988" i="52"/>
  <c r="E988" i="52"/>
  <c r="F988" i="52"/>
  <c r="G988" i="52"/>
  <c r="C989" i="52"/>
  <c r="G175" i="4" s="1"/>
  <c r="D989" i="52"/>
  <c r="E989" i="52"/>
  <c r="F989" i="52"/>
  <c r="G989" i="52"/>
  <c r="C990" i="52"/>
  <c r="D990" i="52"/>
  <c r="E990" i="52"/>
  <c r="F990" i="52"/>
  <c r="G990" i="52"/>
  <c r="C991" i="52"/>
  <c r="G176" i="4" s="1"/>
  <c r="D991" i="52"/>
  <c r="E991" i="52"/>
  <c r="F991" i="52"/>
  <c r="G991" i="52"/>
  <c r="C992" i="52"/>
  <c r="G177" i="4" s="1"/>
  <c r="D992" i="52"/>
  <c r="E992" i="52"/>
  <c r="F992" i="52"/>
  <c r="G992" i="52"/>
  <c r="C993" i="52"/>
  <c r="G178" i="4" s="1"/>
  <c r="D993" i="52"/>
  <c r="E993" i="52"/>
  <c r="F993" i="52"/>
  <c r="G993" i="52"/>
  <c r="C994" i="52"/>
  <c r="G179" i="4" s="1"/>
  <c r="D994" i="52"/>
  <c r="E994" i="52"/>
  <c r="F994" i="52"/>
  <c r="G994" i="52"/>
  <c r="C995" i="52"/>
  <c r="G180" i="4" s="1"/>
  <c r="D995" i="52"/>
  <c r="E995" i="52"/>
  <c r="F995" i="52"/>
  <c r="G995" i="52"/>
  <c r="C996" i="52"/>
  <c r="G181" i="4" s="1"/>
  <c r="D996" i="52"/>
  <c r="E996" i="52"/>
  <c r="F996" i="52"/>
  <c r="G996" i="52"/>
  <c r="C997" i="52"/>
  <c r="G182" i="4" s="1"/>
  <c r="D997" i="52"/>
  <c r="E997" i="52"/>
  <c r="F997" i="52"/>
  <c r="G997" i="52"/>
  <c r="C998" i="52"/>
  <c r="G183" i="4" s="1"/>
  <c r="D998" i="52"/>
  <c r="E998" i="52"/>
  <c r="F998" i="52"/>
  <c r="G998" i="52"/>
  <c r="C999" i="52"/>
  <c r="G184" i="4" s="1"/>
  <c r="D999" i="52"/>
  <c r="E999" i="52"/>
  <c r="F999" i="52"/>
  <c r="G999" i="52"/>
  <c r="C1000" i="52"/>
  <c r="G185" i="4" s="1"/>
  <c r="D1000" i="52"/>
  <c r="E1000" i="52"/>
  <c r="F1000" i="52"/>
  <c r="G1000" i="52"/>
  <c r="C1001" i="52"/>
  <c r="G186" i="4" s="1"/>
  <c r="D1001" i="52"/>
  <c r="E1001" i="52"/>
  <c r="F1001" i="52"/>
  <c r="G1001" i="52"/>
  <c r="C1002" i="52"/>
  <c r="G187" i="4" s="1"/>
  <c r="D1002" i="52"/>
  <c r="E1002" i="52"/>
  <c r="F1002" i="52"/>
  <c r="G1002" i="52"/>
  <c r="C1003" i="52"/>
  <c r="G188" i="4" s="1"/>
  <c r="D1003" i="52"/>
  <c r="E1003" i="52"/>
  <c r="F1003" i="52"/>
  <c r="G1003" i="52"/>
  <c r="C1004" i="52"/>
  <c r="G189" i="4" s="1"/>
  <c r="D1004" i="52"/>
  <c r="E1004" i="52"/>
  <c r="F1004" i="52"/>
  <c r="G1004" i="52"/>
  <c r="C1005" i="52"/>
  <c r="G190" i="4" s="1"/>
  <c r="D1005" i="52"/>
  <c r="E1005" i="52"/>
  <c r="F1005" i="52"/>
  <c r="G1005" i="52"/>
  <c r="C1006" i="52"/>
  <c r="G191" i="4" s="1"/>
  <c r="D1006" i="52"/>
  <c r="E1006" i="52"/>
  <c r="F1006" i="52"/>
  <c r="G1006" i="52"/>
  <c r="C1007" i="52"/>
  <c r="D1007" i="52"/>
  <c r="Y7" i="49" s="1"/>
  <c r="E1007" i="52"/>
  <c r="X7" i="49" s="1"/>
  <c r="F1007" i="52"/>
  <c r="W7" i="49" s="1"/>
  <c r="G1007" i="52"/>
  <c r="V7" i="49" s="1"/>
  <c r="C1008" i="52"/>
  <c r="G193" i="4" s="1"/>
  <c r="D1008" i="52"/>
  <c r="E1008" i="52"/>
  <c r="F1008" i="52"/>
  <c r="G1008" i="52"/>
  <c r="C1009" i="52"/>
  <c r="G194" i="4" s="1"/>
  <c r="D1009" i="52"/>
  <c r="E1009" i="52"/>
  <c r="F1009" i="52"/>
  <c r="G1009" i="52"/>
  <c r="C1010" i="52"/>
  <c r="G195" i="4" s="1"/>
  <c r="D1010" i="52"/>
  <c r="E1010" i="52"/>
  <c r="F1010" i="52"/>
  <c r="G1010" i="52"/>
  <c r="C1011" i="52"/>
  <c r="G196" i="4" s="1"/>
  <c r="D1011" i="52"/>
  <c r="E1011" i="52"/>
  <c r="F1011" i="52"/>
  <c r="G1011" i="52"/>
  <c r="C1012" i="52"/>
  <c r="G197" i="4" s="1"/>
  <c r="D1012" i="52"/>
  <c r="E1012" i="52"/>
  <c r="F1012" i="52"/>
  <c r="G1012" i="52"/>
  <c r="C1013" i="52"/>
  <c r="G198" i="4" s="1"/>
  <c r="D1013" i="52"/>
  <c r="E1013" i="52"/>
  <c r="F1013" i="52"/>
  <c r="G1013" i="52"/>
  <c r="C1014" i="52"/>
  <c r="G199" i="4" s="1"/>
  <c r="D1014" i="52"/>
  <c r="E1014" i="52"/>
  <c r="F1014" i="52"/>
  <c r="G1014" i="52"/>
  <c r="C1015" i="52"/>
  <c r="D1015" i="52"/>
  <c r="Y8" i="49" s="1"/>
  <c r="E1015" i="52"/>
  <c r="X8" i="49" s="1"/>
  <c r="F1015" i="52"/>
  <c r="W8" i="49" s="1"/>
  <c r="G1015" i="52"/>
  <c r="V8" i="49" s="1"/>
  <c r="C1016" i="52"/>
  <c r="G201" i="4" s="1"/>
  <c r="D1016" i="52"/>
  <c r="E1016" i="52"/>
  <c r="F1016" i="52"/>
  <c r="G1016" i="52"/>
  <c r="C1017" i="52"/>
  <c r="G202" i="4" s="1"/>
  <c r="D1017" i="52"/>
  <c r="E1017" i="52"/>
  <c r="F1017" i="52"/>
  <c r="G1017" i="52"/>
  <c r="C1018" i="52"/>
  <c r="G203" i="4" s="1"/>
  <c r="D1018" i="52"/>
  <c r="E1018" i="52"/>
  <c r="F1018" i="52"/>
  <c r="G1018" i="52"/>
  <c r="C1019" i="52"/>
  <c r="G204" i="4" s="1"/>
  <c r="D1019" i="52"/>
  <c r="E1019" i="52"/>
  <c r="F1019" i="52"/>
  <c r="G1019" i="52"/>
  <c r="C1020" i="52"/>
  <c r="G205" i="4" s="1"/>
  <c r="D1020" i="52"/>
  <c r="E1020" i="52"/>
  <c r="F1020" i="52"/>
  <c r="G1020" i="52"/>
  <c r="C1021" i="52"/>
  <c r="G206" i="4" s="1"/>
  <c r="D1021" i="52"/>
  <c r="E1021" i="52"/>
  <c r="F1021" i="52"/>
  <c r="G1021" i="52"/>
  <c r="C1022" i="52"/>
  <c r="G207" i="4" s="1"/>
  <c r="D1022" i="52"/>
  <c r="E1022" i="52"/>
  <c r="F1022" i="52"/>
  <c r="G1022" i="52"/>
  <c r="C1023" i="52"/>
  <c r="G208" i="4" s="1"/>
  <c r="D1023" i="52"/>
  <c r="E1023" i="52"/>
  <c r="F1023" i="52"/>
  <c r="G1023" i="52"/>
  <c r="C1024" i="52"/>
  <c r="D1024" i="52"/>
  <c r="E1024" i="52"/>
  <c r="F1024" i="52"/>
  <c r="G1024" i="52"/>
  <c r="C1025" i="52"/>
  <c r="D1025" i="52"/>
  <c r="E1025" i="52"/>
  <c r="F1025" i="52"/>
  <c r="G1025" i="52"/>
  <c r="C1026" i="52"/>
  <c r="D1026" i="52"/>
  <c r="E1026" i="52"/>
  <c r="F1026" i="52"/>
  <c r="G1026" i="52"/>
  <c r="C1027" i="52"/>
  <c r="D1027" i="52"/>
  <c r="E1027" i="52"/>
  <c r="F1027" i="52"/>
  <c r="G1027" i="52"/>
  <c r="C1028" i="52"/>
  <c r="D1028" i="52"/>
  <c r="E1028" i="52"/>
  <c r="F1028" i="52"/>
  <c r="G1028" i="52"/>
  <c r="C1029" i="52"/>
  <c r="D1029" i="52"/>
  <c r="E1029" i="52"/>
  <c r="F1029" i="52"/>
  <c r="G1029" i="52"/>
  <c r="C1030" i="52"/>
  <c r="D1030" i="52"/>
  <c r="E1030" i="52"/>
  <c r="F1030" i="52"/>
  <c r="G1030" i="52"/>
  <c r="C1031" i="52"/>
  <c r="D1031" i="52"/>
  <c r="E1031" i="52"/>
  <c r="F1031" i="52"/>
  <c r="G1031" i="52"/>
  <c r="C1032" i="52"/>
  <c r="D1032" i="52"/>
  <c r="E1032" i="52"/>
  <c r="F1032" i="52"/>
  <c r="G1032" i="52"/>
  <c r="C1033" i="52"/>
  <c r="G209" i="4" s="1"/>
  <c r="D1033" i="52"/>
  <c r="E1033" i="52"/>
  <c r="F1033" i="52"/>
  <c r="G1033" i="52"/>
  <c r="C1034" i="52"/>
  <c r="G210" i="4" s="1"/>
  <c r="D1034" i="52"/>
  <c r="E1034" i="52"/>
  <c r="F1034" i="52"/>
  <c r="G1034" i="52"/>
  <c r="C1035" i="52"/>
  <c r="G211" i="4" s="1"/>
  <c r="D1035" i="52"/>
  <c r="E1035" i="52"/>
  <c r="F1035" i="52"/>
  <c r="G1035" i="52"/>
  <c r="C1036" i="52"/>
  <c r="G212" i="4" s="1"/>
  <c r="D1036" i="52"/>
  <c r="E1036" i="52"/>
  <c r="F1036" i="52"/>
  <c r="G1036" i="52"/>
  <c r="C1037" i="52"/>
  <c r="D1037" i="52"/>
  <c r="E1037" i="52"/>
  <c r="F1037" i="52"/>
  <c r="G1037" i="52"/>
  <c r="C1038" i="52"/>
  <c r="D1038" i="52"/>
  <c r="E1038" i="52"/>
  <c r="F1038" i="52"/>
  <c r="G1038" i="52"/>
  <c r="C1039" i="52"/>
  <c r="D1039" i="52"/>
  <c r="E1039" i="52"/>
  <c r="F1039" i="52"/>
  <c r="G1039" i="52"/>
  <c r="C1040" i="52"/>
  <c r="D1040" i="52"/>
  <c r="E1040" i="52"/>
  <c r="F1040" i="52"/>
  <c r="G1040" i="52"/>
  <c r="C1041" i="52"/>
  <c r="D1041" i="52"/>
  <c r="E1041" i="52"/>
  <c r="F1041" i="52"/>
  <c r="G1041" i="52"/>
  <c r="C1042" i="52"/>
  <c r="D1042" i="52"/>
  <c r="E1042" i="52"/>
  <c r="F1042" i="52"/>
  <c r="G1042" i="52"/>
  <c r="C1043" i="52"/>
  <c r="D1043" i="52"/>
  <c r="E1043" i="52"/>
  <c r="F1043" i="52"/>
  <c r="G1043" i="52"/>
  <c r="C1044" i="52"/>
  <c r="D1044" i="52"/>
  <c r="E1044" i="52"/>
  <c r="F1044" i="52"/>
  <c r="G1044" i="52"/>
  <c r="C1045" i="52"/>
  <c r="D1045" i="52"/>
  <c r="E1045" i="52"/>
  <c r="F1045" i="52"/>
  <c r="G1045" i="52"/>
  <c r="C1046" i="52"/>
  <c r="D1046" i="52"/>
  <c r="E1046" i="52"/>
  <c r="F1046" i="52"/>
  <c r="G1046" i="52"/>
  <c r="C1047" i="52"/>
  <c r="D1047" i="52"/>
  <c r="E1047" i="52"/>
  <c r="F1047" i="52"/>
  <c r="G1047" i="52"/>
  <c r="C1048" i="52"/>
  <c r="D1048" i="52"/>
  <c r="E1048" i="52"/>
  <c r="F1048" i="52"/>
  <c r="G1048" i="52"/>
  <c r="C1049" i="52"/>
  <c r="D1049" i="52"/>
  <c r="E1049" i="52"/>
  <c r="F1049" i="52"/>
  <c r="G1049" i="52"/>
  <c r="C1050" i="52"/>
  <c r="D1050" i="52"/>
  <c r="E1050" i="52"/>
  <c r="F1050" i="52"/>
  <c r="G1050" i="52"/>
  <c r="C1051" i="52"/>
  <c r="D1051" i="52"/>
  <c r="E1051" i="52"/>
  <c r="F1051" i="52"/>
  <c r="G1051" i="52"/>
  <c r="C1052" i="52"/>
  <c r="D1052" i="52"/>
  <c r="E1052" i="52"/>
  <c r="F1052" i="52"/>
  <c r="G1052" i="52"/>
  <c r="C1053" i="52"/>
  <c r="D1053" i="52"/>
  <c r="E1053" i="52"/>
  <c r="F1053" i="52"/>
  <c r="G1053" i="52"/>
  <c r="C1054" i="52"/>
  <c r="D1054" i="52"/>
  <c r="E1054" i="52"/>
  <c r="F1054" i="52"/>
  <c r="G1054" i="52"/>
  <c r="C1055" i="52"/>
  <c r="D1055" i="52"/>
  <c r="E1055" i="52"/>
  <c r="F1055" i="52"/>
  <c r="G1055" i="52"/>
  <c r="C1056" i="52"/>
  <c r="D1056" i="52"/>
  <c r="E1056" i="52"/>
  <c r="F1056" i="52"/>
  <c r="G1056" i="52"/>
  <c r="C1057" i="52"/>
  <c r="D1057" i="52"/>
  <c r="E1057" i="52"/>
  <c r="F1057" i="52"/>
  <c r="G1057" i="52"/>
  <c r="C1058" i="52"/>
  <c r="D1058" i="52"/>
  <c r="E1058" i="52"/>
  <c r="F1058" i="52"/>
  <c r="G1058" i="52"/>
  <c r="C1059" i="52"/>
  <c r="D1059" i="52"/>
  <c r="E1059" i="52"/>
  <c r="F1059" i="52"/>
  <c r="G1059" i="52"/>
  <c r="C1060" i="52"/>
  <c r="G213" i="4" s="1"/>
  <c r="D1060" i="52"/>
  <c r="E1060" i="52"/>
  <c r="F1060" i="52"/>
  <c r="G1060" i="52"/>
  <c r="C1061" i="52"/>
  <c r="G214" i="4" s="1"/>
  <c r="D1061" i="52"/>
  <c r="E1061" i="52"/>
  <c r="F1061" i="52"/>
  <c r="G1061" i="52"/>
  <c r="C1062" i="52"/>
  <c r="G215" i="4" s="1"/>
  <c r="D1062" i="52"/>
  <c r="E1062" i="52"/>
  <c r="F1062" i="52"/>
  <c r="G1062" i="52"/>
  <c r="C1063" i="52"/>
  <c r="G216" i="4" s="1"/>
  <c r="D1063" i="52"/>
  <c r="E1063" i="52"/>
  <c r="F1063" i="52"/>
  <c r="G1063" i="52"/>
  <c r="C1064" i="52"/>
  <c r="G217" i="4" s="1"/>
  <c r="D1064" i="52"/>
  <c r="E1064" i="52"/>
  <c r="F1064" i="52"/>
  <c r="G1064" i="52"/>
  <c r="C1065" i="52"/>
  <c r="G218" i="4" s="1"/>
  <c r="D1065" i="52"/>
  <c r="E1065" i="52"/>
  <c r="F1065" i="52"/>
  <c r="G1065" i="52"/>
  <c r="C1066" i="52"/>
  <c r="G219" i="4" s="1"/>
  <c r="D1066" i="52"/>
  <c r="E1066" i="52"/>
  <c r="F1066" i="52"/>
  <c r="G1066" i="52"/>
  <c r="C1067" i="52"/>
  <c r="G220" i="4" s="1"/>
  <c r="D1067" i="52"/>
  <c r="E1067" i="52"/>
  <c r="F1067" i="52"/>
  <c r="G1067" i="52"/>
  <c r="C1068" i="52"/>
  <c r="G221" i="4" s="1"/>
  <c r="D1068" i="52"/>
  <c r="E1068" i="52"/>
  <c r="F1068" i="52"/>
  <c r="G1068" i="52"/>
  <c r="C1069" i="52"/>
  <c r="G222" i="4" s="1"/>
  <c r="D1069" i="52"/>
  <c r="E1069" i="52"/>
  <c r="F1069" i="52"/>
  <c r="G1069" i="52"/>
  <c r="C1070" i="52"/>
  <c r="G223" i="4" s="1"/>
  <c r="D1070" i="52"/>
  <c r="E1070" i="52"/>
  <c r="F1070" i="52"/>
  <c r="G1070" i="52"/>
  <c r="C1071" i="52"/>
  <c r="G224" i="4" s="1"/>
  <c r="D1071" i="52"/>
  <c r="E1071" i="52"/>
  <c r="F1071" i="52"/>
  <c r="G1071" i="52"/>
  <c r="C1072" i="52"/>
  <c r="G225" i="4" s="1"/>
  <c r="D1072" i="52"/>
  <c r="E1072" i="52"/>
  <c r="F1072" i="52"/>
  <c r="G1072" i="52"/>
  <c r="C1073" i="52"/>
  <c r="G226" i="4" s="1"/>
  <c r="D1073" i="52"/>
  <c r="E1073" i="52"/>
  <c r="F1073" i="52"/>
  <c r="G1073" i="52"/>
  <c r="C1074" i="52"/>
  <c r="G227" i="4" s="1"/>
  <c r="D1074" i="52"/>
  <c r="E1074" i="52"/>
  <c r="F1074" i="52"/>
  <c r="G1074" i="52"/>
  <c r="C1075" i="52"/>
  <c r="G228" i="4" s="1"/>
  <c r="D1075" i="52"/>
  <c r="E1075" i="52"/>
  <c r="F1075" i="52"/>
  <c r="G1075" i="52"/>
  <c r="C1076" i="52"/>
  <c r="G229" i="4" s="1"/>
  <c r="D1076" i="52"/>
  <c r="E1076" i="52"/>
  <c r="F1076" i="52"/>
  <c r="G1076" i="52"/>
  <c r="C1077" i="52"/>
  <c r="G230" i="4" s="1"/>
  <c r="D1077" i="52"/>
  <c r="E1077" i="52"/>
  <c r="F1077" i="52"/>
  <c r="G1077" i="52"/>
  <c r="C1078" i="52"/>
  <c r="G231" i="4" s="1"/>
  <c r="D1078" i="52"/>
  <c r="E1078" i="52"/>
  <c r="F1078" i="52"/>
  <c r="G1078" i="52"/>
  <c r="C1079" i="52"/>
  <c r="G232" i="4" s="1"/>
  <c r="D1079" i="52"/>
  <c r="E1079" i="52"/>
  <c r="F1079" i="52"/>
  <c r="G1079" i="52"/>
  <c r="C1080" i="52"/>
  <c r="G233" i="4" s="1"/>
  <c r="D1080" i="52"/>
  <c r="E1080" i="52"/>
  <c r="F1080" i="52"/>
  <c r="G1080" i="52"/>
  <c r="C1081" i="52"/>
  <c r="G234" i="4" s="1"/>
  <c r="D1081" i="52"/>
  <c r="E1081" i="52"/>
  <c r="F1081" i="52"/>
  <c r="G1081" i="52"/>
  <c r="C1082" i="52"/>
  <c r="G235" i="4" s="1"/>
  <c r="D1082" i="52"/>
  <c r="E1082" i="52"/>
  <c r="F1082" i="52"/>
  <c r="G1082" i="52"/>
  <c r="C1083" i="52"/>
  <c r="G236" i="4" s="1"/>
  <c r="D1083" i="52"/>
  <c r="E1083" i="52"/>
  <c r="F1083" i="52"/>
  <c r="G1083" i="52"/>
  <c r="C1084" i="52"/>
  <c r="G237" i="4" s="1"/>
  <c r="D1084" i="52"/>
  <c r="E1084" i="52"/>
  <c r="F1084" i="52"/>
  <c r="G1084" i="52"/>
  <c r="C1085" i="52"/>
  <c r="G238" i="4" s="1"/>
  <c r="D1085" i="52"/>
  <c r="E1085" i="52"/>
  <c r="F1085" i="52"/>
  <c r="G1085" i="52"/>
  <c r="C1086" i="52"/>
  <c r="G239" i="4" s="1"/>
  <c r="D1086" i="52"/>
  <c r="E1086" i="52"/>
  <c r="F1086" i="52"/>
  <c r="G1086" i="52"/>
  <c r="C1087" i="52"/>
  <c r="G240" i="4" s="1"/>
  <c r="D1087" i="52"/>
  <c r="E1087" i="52"/>
  <c r="F1087" i="52"/>
  <c r="G1087" i="52"/>
  <c r="C1088" i="52"/>
  <c r="G241" i="4" s="1"/>
  <c r="D1088" i="52"/>
  <c r="E1088" i="52"/>
  <c r="F1088" i="52"/>
  <c r="G1088" i="52"/>
  <c r="C1089" i="52"/>
  <c r="G242" i="4" s="1"/>
  <c r="D1089" i="52"/>
  <c r="E1089" i="52"/>
  <c r="F1089" i="52"/>
  <c r="G1089" i="52"/>
  <c r="C1090" i="52"/>
  <c r="D1090" i="52"/>
  <c r="Y5" i="49" s="1"/>
  <c r="E1090" i="52"/>
  <c r="X5" i="49" s="1"/>
  <c r="F1090" i="52"/>
  <c r="W5" i="49" s="1"/>
  <c r="G1090" i="52"/>
  <c r="V5" i="49" s="1"/>
  <c r="C1091" i="52"/>
  <c r="G244" i="4" s="1"/>
  <c r="D1091" i="52"/>
  <c r="E1091" i="52"/>
  <c r="F1091" i="52"/>
  <c r="G1091" i="52"/>
  <c r="C1092" i="52"/>
  <c r="G245" i="4" s="1"/>
  <c r="D1092" i="52"/>
  <c r="E1092" i="52"/>
  <c r="F1092" i="52"/>
  <c r="G1092" i="52"/>
  <c r="C1093" i="52"/>
  <c r="D1093" i="52"/>
  <c r="E1093" i="52"/>
  <c r="F1093" i="52"/>
  <c r="G1093" i="52"/>
  <c r="C1094" i="52"/>
  <c r="D1094" i="52"/>
  <c r="E1094" i="52"/>
  <c r="F1094" i="52"/>
  <c r="G1094" i="52"/>
  <c r="C1095" i="52"/>
  <c r="D1095" i="52"/>
  <c r="E1095" i="52"/>
  <c r="F1095" i="52"/>
  <c r="G1095" i="52"/>
  <c r="C1096" i="52"/>
  <c r="D1096" i="52"/>
  <c r="E1096" i="52"/>
  <c r="F1096" i="52"/>
  <c r="G1096" i="52"/>
  <c r="C1097" i="52"/>
  <c r="D1097" i="52"/>
  <c r="E1097" i="52"/>
  <c r="F1097" i="52"/>
  <c r="G1097" i="52"/>
  <c r="C1098" i="52"/>
  <c r="D1098" i="52"/>
  <c r="E1098" i="52"/>
  <c r="F1098" i="52"/>
  <c r="G1098" i="52"/>
  <c r="C1099" i="52"/>
  <c r="D1099" i="52"/>
  <c r="E1099" i="52"/>
  <c r="F1099" i="52"/>
  <c r="G1099" i="52"/>
  <c r="C1100" i="52"/>
  <c r="D1100" i="52"/>
  <c r="E1100" i="52"/>
  <c r="F1100" i="52"/>
  <c r="G1100" i="52"/>
  <c r="C1101" i="52"/>
  <c r="D1101" i="52"/>
  <c r="E1101" i="52"/>
  <c r="F1101" i="52"/>
  <c r="G1101" i="52"/>
  <c r="C1102" i="52"/>
  <c r="D1102" i="52"/>
  <c r="E1102" i="52"/>
  <c r="F1102" i="52"/>
  <c r="G1102" i="52"/>
  <c r="C1103" i="52"/>
  <c r="D1103" i="52"/>
  <c r="E1103" i="52"/>
  <c r="F1103" i="52"/>
  <c r="G1103" i="52"/>
  <c r="C1104" i="52"/>
  <c r="D1104" i="52"/>
  <c r="E1104" i="52"/>
  <c r="F1104" i="52"/>
  <c r="G1104" i="52"/>
  <c r="C1105" i="52"/>
  <c r="D1105" i="52"/>
  <c r="E1105" i="52"/>
  <c r="F1105" i="52"/>
  <c r="G1105" i="52"/>
  <c r="C1106" i="52"/>
  <c r="D1106" i="52"/>
  <c r="Y6" i="49" s="1"/>
  <c r="E1106" i="52"/>
  <c r="X6" i="49" s="1"/>
  <c r="F1106" i="52"/>
  <c r="W6" i="49" s="1"/>
  <c r="G1106" i="52"/>
  <c r="V6" i="49" s="1"/>
  <c r="C1107" i="52"/>
  <c r="D1107" i="52"/>
  <c r="E1107" i="52"/>
  <c r="F1107" i="52"/>
  <c r="G1107" i="52"/>
  <c r="C1108" i="52"/>
  <c r="D1108" i="52"/>
  <c r="E1108" i="52"/>
  <c r="F1108" i="52"/>
  <c r="G1108" i="52"/>
  <c r="C1109" i="52"/>
  <c r="D1109" i="52"/>
  <c r="E1109" i="52"/>
  <c r="F1109" i="52"/>
  <c r="G1109" i="52"/>
  <c r="C1110" i="52"/>
  <c r="D1110" i="52"/>
  <c r="E1110" i="52"/>
  <c r="F1110" i="52"/>
  <c r="G1110" i="52"/>
  <c r="C1111" i="52"/>
  <c r="D1111" i="52"/>
  <c r="E1111" i="52"/>
  <c r="F1111" i="52"/>
  <c r="G1111" i="52"/>
  <c r="C1113" i="52"/>
  <c r="Z24" i="49" s="1"/>
  <c r="D1113" i="52"/>
  <c r="Y24" i="49" s="1"/>
  <c r="E1113" i="52"/>
  <c r="X24" i="49" s="1"/>
  <c r="F1113" i="52"/>
  <c r="W24" i="49" s="1"/>
  <c r="G1113" i="52"/>
  <c r="V24" i="49" s="1"/>
  <c r="C1114" i="52"/>
  <c r="D1114" i="52"/>
  <c r="E1114" i="52"/>
  <c r="J4" i="32" s="1"/>
  <c r="F1114" i="52"/>
  <c r="G1114" i="52"/>
  <c r="H4" i="32" s="1"/>
  <c r="C1115" i="52"/>
  <c r="D1115" i="52"/>
  <c r="E1115" i="52"/>
  <c r="J114" i="32" s="1"/>
  <c r="F1115" i="52"/>
  <c r="G1115" i="52"/>
  <c r="H114" i="32" s="1"/>
  <c r="C1116" i="52"/>
  <c r="D1116" i="52"/>
  <c r="E1116" i="52"/>
  <c r="F1116" i="52"/>
  <c r="G1116" i="52"/>
  <c r="C1117" i="52"/>
  <c r="D1117" i="52"/>
  <c r="E1117" i="52"/>
  <c r="F1117" i="52"/>
  <c r="G1117" i="52"/>
  <c r="D792" i="52"/>
  <c r="Y3" i="49" s="1"/>
  <c r="E792" i="52"/>
  <c r="X3" i="49" s="1"/>
  <c r="F792" i="52"/>
  <c r="W3" i="49" s="1"/>
  <c r="G792" i="52"/>
  <c r="V3" i="49" s="1"/>
  <c r="C792" i="52"/>
  <c r="K4" i="32" l="1"/>
  <c r="K113" i="32"/>
  <c r="K3" i="32"/>
  <c r="I4" i="32"/>
  <c r="I114" i="32"/>
  <c r="I113" i="32"/>
  <c r="L114" i="32"/>
  <c r="K114" i="32"/>
  <c r="I3" i="32"/>
  <c r="L4" i="32"/>
  <c r="E113" i="32"/>
  <c r="D3" i="32"/>
  <c r="D114" i="32"/>
  <c r="C4" i="32"/>
  <c r="G4" i="32"/>
  <c r="D113" i="32"/>
  <c r="C3" i="32"/>
  <c r="G3" i="32"/>
  <c r="C114" i="32"/>
  <c r="G114" i="32"/>
  <c r="F4" i="32"/>
  <c r="C113" i="32"/>
  <c r="G113" i="32"/>
  <c r="F3" i="32"/>
  <c r="F114" i="32"/>
  <c r="E4" i="32"/>
  <c r="F113" i="32"/>
  <c r="E3" i="32"/>
  <c r="E114" i="32"/>
  <c r="D4" i="32"/>
  <c r="AF3" i="49"/>
  <c r="E74" i="4"/>
  <c r="AF6" i="49"/>
  <c r="E246" i="4"/>
  <c r="AF5" i="49"/>
  <c r="E243" i="4"/>
  <c r="AF8" i="49"/>
  <c r="E200" i="4"/>
  <c r="AF7" i="49"/>
  <c r="E192" i="4"/>
  <c r="AF4" i="49"/>
  <c r="E126" i="4"/>
  <c r="AF17" i="49"/>
  <c r="E59" i="4"/>
  <c r="AF12" i="49"/>
  <c r="E50" i="4"/>
  <c r="AF13" i="49"/>
  <c r="E49" i="4"/>
  <c r="AF19" i="49"/>
  <c r="E33" i="4"/>
  <c r="AF21" i="49"/>
  <c r="E8" i="4"/>
  <c r="AF22" i="49"/>
  <c r="E60" i="4"/>
  <c r="AF20" i="49"/>
  <c r="E69" i="4"/>
  <c r="AF14" i="49"/>
  <c r="E57" i="4"/>
  <c r="AF10" i="49"/>
  <c r="E44" i="4"/>
  <c r="AF9" i="49"/>
  <c r="E35" i="4"/>
  <c r="AF15" i="49"/>
  <c r="E17" i="4"/>
  <c r="AF18" i="49"/>
  <c r="E48" i="4"/>
  <c r="AF16" i="49"/>
  <c r="E32" i="4"/>
  <c r="Z8" i="49"/>
  <c r="G200" i="4"/>
  <c r="Z7" i="49"/>
  <c r="G192" i="4"/>
  <c r="Z4" i="49"/>
  <c r="G126" i="4"/>
  <c r="Z3" i="49"/>
  <c r="G74" i="4"/>
  <c r="L3" i="32"/>
  <c r="G92" i="4"/>
  <c r="Z6" i="49"/>
  <c r="G246" i="4"/>
  <c r="Z5" i="49"/>
  <c r="G243" i="4"/>
  <c r="L113" i="32"/>
  <c r="G123" i="4"/>
  <c r="C5" i="52"/>
  <c r="G4" i="4" s="1"/>
  <c r="D5" i="52"/>
  <c r="E5" i="52"/>
  <c r="F5" i="52"/>
  <c r="G5" i="52"/>
  <c r="C6" i="52"/>
  <c r="D6" i="52"/>
  <c r="E6" i="52"/>
  <c r="F6" i="52"/>
  <c r="G6" i="52"/>
  <c r="C7" i="52"/>
  <c r="G5" i="4" s="1"/>
  <c r="D7" i="52"/>
  <c r="E7" i="52"/>
  <c r="F7" i="52"/>
  <c r="G7" i="52"/>
  <c r="C8" i="52"/>
  <c r="D8" i="52"/>
  <c r="E8" i="52"/>
  <c r="F8" i="52"/>
  <c r="G8" i="52"/>
  <c r="C9" i="52"/>
  <c r="D9" i="52"/>
  <c r="E9" i="52"/>
  <c r="F9" i="52"/>
  <c r="G9" i="52"/>
  <c r="C10" i="52"/>
  <c r="D10" i="52"/>
  <c r="E10" i="52"/>
  <c r="F10" i="52"/>
  <c r="G10" i="52"/>
  <c r="C11" i="52"/>
  <c r="D11" i="52"/>
  <c r="E11" i="52"/>
  <c r="F11" i="52"/>
  <c r="G11" i="52"/>
  <c r="C12" i="52"/>
  <c r="D12" i="52"/>
  <c r="E12" i="52"/>
  <c r="F12" i="52"/>
  <c r="G12" i="52"/>
  <c r="C13" i="52"/>
  <c r="D13" i="52"/>
  <c r="E13" i="52"/>
  <c r="F13" i="52"/>
  <c r="G13" i="52"/>
  <c r="C14" i="52"/>
  <c r="D14" i="52"/>
  <c r="E14" i="52"/>
  <c r="F14" i="52"/>
  <c r="G14" i="52"/>
  <c r="C15" i="52"/>
  <c r="D15" i="52"/>
  <c r="E15" i="52"/>
  <c r="F15" i="52"/>
  <c r="G15" i="52"/>
  <c r="C16" i="52"/>
  <c r="D16" i="52"/>
  <c r="E16" i="52"/>
  <c r="F16" i="52"/>
  <c r="G16" i="52"/>
  <c r="C17" i="52"/>
  <c r="D17" i="52"/>
  <c r="E17" i="52"/>
  <c r="F17" i="52"/>
  <c r="G17" i="52"/>
  <c r="C18" i="52"/>
  <c r="G6" i="4" s="1"/>
  <c r="D18" i="52"/>
  <c r="E18" i="52"/>
  <c r="F18" i="52"/>
  <c r="G18" i="52"/>
  <c r="C19" i="52"/>
  <c r="D19" i="52"/>
  <c r="E19" i="52"/>
  <c r="F19" i="52"/>
  <c r="G19" i="52"/>
  <c r="C20" i="52"/>
  <c r="D20" i="52"/>
  <c r="E20" i="52"/>
  <c r="F20" i="52"/>
  <c r="G20" i="52"/>
  <c r="C21" i="52"/>
  <c r="D21" i="52"/>
  <c r="E21" i="52"/>
  <c r="F21" i="52"/>
  <c r="G21" i="52"/>
  <c r="C22" i="52"/>
  <c r="D22" i="52"/>
  <c r="E22" i="52"/>
  <c r="F22" i="52"/>
  <c r="G22" i="52"/>
  <c r="C23" i="52"/>
  <c r="D23" i="52"/>
  <c r="E23" i="52"/>
  <c r="F23" i="52"/>
  <c r="G23" i="52"/>
  <c r="C24" i="52"/>
  <c r="D24" i="52"/>
  <c r="E24" i="52"/>
  <c r="F24" i="52"/>
  <c r="G24" i="52"/>
  <c r="C25" i="52"/>
  <c r="D25" i="52"/>
  <c r="E25" i="52"/>
  <c r="F25" i="52"/>
  <c r="G25" i="52"/>
  <c r="C26" i="52"/>
  <c r="G7" i="4" s="1"/>
  <c r="D26" i="52"/>
  <c r="E26" i="52"/>
  <c r="F26" i="52"/>
  <c r="G26" i="52"/>
  <c r="C27" i="52"/>
  <c r="D27" i="52"/>
  <c r="E27" i="52"/>
  <c r="F27" i="52"/>
  <c r="G27" i="52"/>
  <c r="C28" i="52"/>
  <c r="D28" i="52"/>
  <c r="E28" i="52"/>
  <c r="F28" i="52"/>
  <c r="G28" i="52"/>
  <c r="C29" i="52"/>
  <c r="D29" i="52"/>
  <c r="E29" i="52"/>
  <c r="F29" i="52"/>
  <c r="G29" i="52"/>
  <c r="C30" i="52"/>
  <c r="D30" i="52"/>
  <c r="E30" i="52"/>
  <c r="F30" i="52"/>
  <c r="G30" i="52"/>
  <c r="C31" i="52"/>
  <c r="D31" i="52"/>
  <c r="E31" i="52"/>
  <c r="F31" i="52"/>
  <c r="G31" i="52"/>
  <c r="C32" i="52"/>
  <c r="D32" i="52"/>
  <c r="E32" i="52"/>
  <c r="F32" i="52"/>
  <c r="G32" i="52"/>
  <c r="C33" i="52"/>
  <c r="D33" i="52"/>
  <c r="E33" i="52"/>
  <c r="F33" i="52"/>
  <c r="G33" i="52"/>
  <c r="C34" i="52"/>
  <c r="D34" i="52"/>
  <c r="E34" i="52"/>
  <c r="F34" i="52"/>
  <c r="G34" i="52"/>
  <c r="C35" i="52"/>
  <c r="D35" i="52"/>
  <c r="E35" i="52"/>
  <c r="F35" i="52"/>
  <c r="G35" i="52"/>
  <c r="C36" i="52"/>
  <c r="D36" i="52"/>
  <c r="E36" i="52"/>
  <c r="F36" i="52"/>
  <c r="G36" i="52"/>
  <c r="C37" i="52"/>
  <c r="D37" i="52"/>
  <c r="E37" i="52"/>
  <c r="F37" i="52"/>
  <c r="G37" i="52"/>
  <c r="C38" i="52"/>
  <c r="D38" i="52"/>
  <c r="E38" i="52"/>
  <c r="F38" i="52"/>
  <c r="G38" i="52"/>
  <c r="C39" i="52"/>
  <c r="D39" i="52"/>
  <c r="E39" i="52"/>
  <c r="F39" i="52"/>
  <c r="G39" i="52"/>
  <c r="C40" i="52"/>
  <c r="D40" i="52"/>
  <c r="E40" i="52"/>
  <c r="F40" i="52"/>
  <c r="G40" i="52"/>
  <c r="C41" i="52"/>
  <c r="D41" i="52"/>
  <c r="E41" i="52"/>
  <c r="F41" i="52"/>
  <c r="G41" i="52"/>
  <c r="C42" i="52"/>
  <c r="D42" i="52"/>
  <c r="E42" i="52"/>
  <c r="F42" i="52"/>
  <c r="G42" i="52"/>
  <c r="C43" i="52"/>
  <c r="D43" i="52"/>
  <c r="E43" i="52"/>
  <c r="F43" i="52"/>
  <c r="G43" i="52"/>
  <c r="C44" i="52"/>
  <c r="D44" i="52"/>
  <c r="E44" i="52"/>
  <c r="F44" i="52"/>
  <c r="G44" i="52"/>
  <c r="C45" i="52"/>
  <c r="D45" i="52"/>
  <c r="Y21" i="49" s="1"/>
  <c r="E45" i="52"/>
  <c r="X21" i="49" s="1"/>
  <c r="F45" i="52"/>
  <c r="W21" i="49" s="1"/>
  <c r="G45" i="52"/>
  <c r="V21" i="49" s="1"/>
  <c r="C46" i="52"/>
  <c r="D46" i="52"/>
  <c r="E46" i="52"/>
  <c r="F46" i="52"/>
  <c r="G46" i="52"/>
  <c r="C47" i="52"/>
  <c r="D47" i="52"/>
  <c r="E47" i="52"/>
  <c r="F47" i="52"/>
  <c r="G47" i="52"/>
  <c r="C48" i="52"/>
  <c r="D48" i="52"/>
  <c r="E48" i="52"/>
  <c r="F48" i="52"/>
  <c r="G48" i="52"/>
  <c r="C49" i="52"/>
  <c r="D49" i="52"/>
  <c r="E49" i="52"/>
  <c r="F49" i="52"/>
  <c r="G49" i="52"/>
  <c r="C50" i="52"/>
  <c r="D50" i="52"/>
  <c r="E50" i="52"/>
  <c r="F50" i="52"/>
  <c r="G50" i="52"/>
  <c r="C51" i="52"/>
  <c r="D51" i="52"/>
  <c r="E51" i="52"/>
  <c r="F51" i="52"/>
  <c r="G51" i="52"/>
  <c r="C52" i="52"/>
  <c r="D52" i="52"/>
  <c r="E52" i="52"/>
  <c r="F52" i="52"/>
  <c r="G52" i="52"/>
  <c r="C53" i="52"/>
  <c r="D53" i="52"/>
  <c r="E53" i="52"/>
  <c r="F53" i="52"/>
  <c r="G53" i="52"/>
  <c r="C54" i="52"/>
  <c r="D54" i="52"/>
  <c r="E54" i="52"/>
  <c r="F54" i="52"/>
  <c r="G54" i="52"/>
  <c r="C55" i="52"/>
  <c r="D55" i="52"/>
  <c r="E55" i="52"/>
  <c r="F55" i="52"/>
  <c r="G55" i="52"/>
  <c r="C56" i="52"/>
  <c r="G9" i="4" s="1"/>
  <c r="D56" i="52"/>
  <c r="E56" i="52"/>
  <c r="F56" i="52"/>
  <c r="G56" i="52"/>
  <c r="C57" i="52"/>
  <c r="D57" i="52"/>
  <c r="E57" i="52"/>
  <c r="F57" i="52"/>
  <c r="G57" i="52"/>
  <c r="C58" i="52"/>
  <c r="D58" i="52"/>
  <c r="E58" i="52"/>
  <c r="F58" i="52"/>
  <c r="G58" i="52"/>
  <c r="C59" i="52"/>
  <c r="D59" i="52"/>
  <c r="E59" i="52"/>
  <c r="F59" i="52"/>
  <c r="G59" i="52"/>
  <c r="C60" i="52"/>
  <c r="D60" i="52"/>
  <c r="E60" i="52"/>
  <c r="F60" i="52"/>
  <c r="G60" i="52"/>
  <c r="C61" i="52"/>
  <c r="D61" i="52"/>
  <c r="E61" i="52"/>
  <c r="F61" i="52"/>
  <c r="G61" i="52"/>
  <c r="C62" i="52"/>
  <c r="D62" i="52"/>
  <c r="E62" i="52"/>
  <c r="F62" i="52"/>
  <c r="G62" i="52"/>
  <c r="C63" i="52"/>
  <c r="D63" i="52"/>
  <c r="E63" i="52"/>
  <c r="F63" i="52"/>
  <c r="G63" i="52"/>
  <c r="C64" i="52"/>
  <c r="D64" i="52"/>
  <c r="E64" i="52"/>
  <c r="F64" i="52"/>
  <c r="G64" i="52"/>
  <c r="C65" i="52"/>
  <c r="D65" i="52"/>
  <c r="E65" i="52"/>
  <c r="F65" i="52"/>
  <c r="G65" i="52"/>
  <c r="C66" i="52"/>
  <c r="D66" i="52"/>
  <c r="E66" i="52"/>
  <c r="F66" i="52"/>
  <c r="G66" i="52"/>
  <c r="C67" i="52"/>
  <c r="G10" i="4" s="1"/>
  <c r="D67" i="52"/>
  <c r="E67" i="52"/>
  <c r="F67" i="52"/>
  <c r="G67" i="52"/>
  <c r="C68" i="52"/>
  <c r="G11" i="4" s="1"/>
  <c r="D68" i="52"/>
  <c r="E68" i="52"/>
  <c r="F68" i="52"/>
  <c r="G68" i="52"/>
  <c r="C69" i="52"/>
  <c r="G12" i="4" s="1"/>
  <c r="D69" i="52"/>
  <c r="E69" i="52"/>
  <c r="F69" i="52"/>
  <c r="G69" i="52"/>
  <c r="C70" i="52"/>
  <c r="G13" i="4" s="1"/>
  <c r="D70" i="52"/>
  <c r="E70" i="52"/>
  <c r="F70" i="52"/>
  <c r="G70" i="52"/>
  <c r="C71" i="52"/>
  <c r="G14" i="4" s="1"/>
  <c r="D71" i="52"/>
  <c r="E71" i="52"/>
  <c r="F71" i="52"/>
  <c r="G71" i="52"/>
  <c r="C72" i="52"/>
  <c r="D72" i="52"/>
  <c r="E72" i="52"/>
  <c r="F72" i="52"/>
  <c r="G72" i="52"/>
  <c r="C73" i="52"/>
  <c r="D73" i="52"/>
  <c r="E73" i="52"/>
  <c r="F73" i="52"/>
  <c r="G73" i="52"/>
  <c r="C74" i="52"/>
  <c r="D74" i="52"/>
  <c r="E74" i="52"/>
  <c r="F74" i="52"/>
  <c r="G74" i="52"/>
  <c r="C75" i="52"/>
  <c r="D75" i="52"/>
  <c r="E75" i="52"/>
  <c r="F75" i="52"/>
  <c r="G75" i="52"/>
  <c r="C76" i="52"/>
  <c r="D76" i="52"/>
  <c r="E76" i="52"/>
  <c r="F76" i="52"/>
  <c r="G76" i="52"/>
  <c r="C77" i="52"/>
  <c r="D77" i="52"/>
  <c r="E77" i="52"/>
  <c r="F77" i="52"/>
  <c r="G77" i="52"/>
  <c r="C78" i="52"/>
  <c r="D78" i="52"/>
  <c r="E78" i="52"/>
  <c r="F78" i="52"/>
  <c r="G78" i="52"/>
  <c r="C79" i="52"/>
  <c r="D79" i="52"/>
  <c r="E79" i="52"/>
  <c r="F79" i="52"/>
  <c r="G79" i="52"/>
  <c r="C80" i="52"/>
  <c r="D80" i="52"/>
  <c r="E80" i="52"/>
  <c r="F80" i="52"/>
  <c r="G80" i="52"/>
  <c r="C81" i="52"/>
  <c r="D81" i="52"/>
  <c r="E81" i="52"/>
  <c r="F81" i="52"/>
  <c r="G81" i="52"/>
  <c r="C82" i="52"/>
  <c r="D82" i="52"/>
  <c r="E82" i="52"/>
  <c r="F82" i="52"/>
  <c r="G82" i="52"/>
  <c r="C83" i="52"/>
  <c r="D83" i="52"/>
  <c r="E83" i="52"/>
  <c r="F83" i="52"/>
  <c r="G83" i="52"/>
  <c r="C84" i="52"/>
  <c r="D84" i="52"/>
  <c r="E84" i="52"/>
  <c r="F84" i="52"/>
  <c r="G84" i="52"/>
  <c r="C85" i="52"/>
  <c r="G15" i="4" s="1"/>
  <c r="D85" i="52"/>
  <c r="E85" i="52"/>
  <c r="F85" i="52"/>
  <c r="G85" i="52"/>
  <c r="C86" i="52"/>
  <c r="D86" i="52"/>
  <c r="E86" i="52"/>
  <c r="F86" i="52"/>
  <c r="G86" i="52"/>
  <c r="C87" i="52"/>
  <c r="D87" i="52"/>
  <c r="E87" i="52"/>
  <c r="F87" i="52"/>
  <c r="G87" i="52"/>
  <c r="C88" i="52"/>
  <c r="D88" i="52"/>
  <c r="E88" i="52"/>
  <c r="F88" i="52"/>
  <c r="G88" i="52"/>
  <c r="C89" i="52"/>
  <c r="D89" i="52"/>
  <c r="E89" i="52"/>
  <c r="F89" i="52"/>
  <c r="G89" i="52"/>
  <c r="C90" i="52"/>
  <c r="D90" i="52"/>
  <c r="E90" i="52"/>
  <c r="F90" i="52"/>
  <c r="G90" i="52"/>
  <c r="C91" i="52"/>
  <c r="D91" i="52"/>
  <c r="E91" i="52"/>
  <c r="F91" i="52"/>
  <c r="G91" i="52"/>
  <c r="C92" i="52"/>
  <c r="D92" i="52"/>
  <c r="E92" i="52"/>
  <c r="F92" i="52"/>
  <c r="G92" i="52"/>
  <c r="C93" i="52"/>
  <c r="D93" i="52"/>
  <c r="E93" i="52"/>
  <c r="F93" i="52"/>
  <c r="G93" i="52"/>
  <c r="C94" i="52"/>
  <c r="D94" i="52"/>
  <c r="E94" i="52"/>
  <c r="F94" i="52"/>
  <c r="G94" i="52"/>
  <c r="C95" i="52"/>
  <c r="D95" i="52"/>
  <c r="E95" i="52"/>
  <c r="F95" i="52"/>
  <c r="G95" i="52"/>
  <c r="C96" i="52"/>
  <c r="D96" i="52"/>
  <c r="E96" i="52"/>
  <c r="F96" i="52"/>
  <c r="G96" i="52"/>
  <c r="C97" i="52"/>
  <c r="D97" i="52"/>
  <c r="E97" i="52"/>
  <c r="F97" i="52"/>
  <c r="G97" i="52"/>
  <c r="C98" i="52"/>
  <c r="D98" i="52"/>
  <c r="E98" i="52"/>
  <c r="F98" i="52"/>
  <c r="G98" i="52"/>
  <c r="C99" i="52"/>
  <c r="D99" i="52"/>
  <c r="E99" i="52"/>
  <c r="F99" i="52"/>
  <c r="G99" i="52"/>
  <c r="C100" i="52"/>
  <c r="D100" i="52"/>
  <c r="E100" i="52"/>
  <c r="F100" i="52"/>
  <c r="G100" i="52"/>
  <c r="C101" i="52"/>
  <c r="D101" i="52"/>
  <c r="E101" i="52"/>
  <c r="F101" i="52"/>
  <c r="G101" i="52"/>
  <c r="C102" i="52"/>
  <c r="D102" i="52"/>
  <c r="E102" i="52"/>
  <c r="F102" i="52"/>
  <c r="G102" i="52"/>
  <c r="C103" i="52"/>
  <c r="D103" i="52"/>
  <c r="E103" i="52"/>
  <c r="F103" i="52"/>
  <c r="G103" i="52"/>
  <c r="C104" i="52"/>
  <c r="D104" i="52"/>
  <c r="E104" i="52"/>
  <c r="F104" i="52"/>
  <c r="G104" i="52"/>
  <c r="C105" i="52"/>
  <c r="D105" i="52"/>
  <c r="E105" i="52"/>
  <c r="F105" i="52"/>
  <c r="G105" i="52"/>
  <c r="C106" i="52"/>
  <c r="D106" i="52"/>
  <c r="E106" i="52"/>
  <c r="F106" i="52"/>
  <c r="G106" i="52"/>
  <c r="C107" i="52"/>
  <c r="D107" i="52"/>
  <c r="E107" i="52"/>
  <c r="F107" i="52"/>
  <c r="G107" i="52"/>
  <c r="C108" i="52"/>
  <c r="D108" i="52"/>
  <c r="E108" i="52"/>
  <c r="F108" i="52"/>
  <c r="G108" i="52"/>
  <c r="C109" i="52"/>
  <c r="D109" i="52"/>
  <c r="E109" i="52"/>
  <c r="F109" i="52"/>
  <c r="G109" i="52"/>
  <c r="C110" i="52"/>
  <c r="D110" i="52"/>
  <c r="E110" i="52"/>
  <c r="F110" i="52"/>
  <c r="G110" i="52"/>
  <c r="C111" i="52"/>
  <c r="D111" i="52"/>
  <c r="E111" i="52"/>
  <c r="F111" i="52"/>
  <c r="G111" i="52"/>
  <c r="C112" i="52"/>
  <c r="D112" i="52"/>
  <c r="E112" i="52"/>
  <c r="F112" i="52"/>
  <c r="G112" i="52"/>
  <c r="C113" i="52"/>
  <c r="D113" i="52"/>
  <c r="E113" i="52"/>
  <c r="F113" i="52"/>
  <c r="G113" i="52"/>
  <c r="C114" i="52"/>
  <c r="D114" i="52"/>
  <c r="E114" i="52"/>
  <c r="F114" i="52"/>
  <c r="G114" i="52"/>
  <c r="C115" i="52"/>
  <c r="D115" i="52"/>
  <c r="E115" i="52"/>
  <c r="F115" i="52"/>
  <c r="G115" i="52"/>
  <c r="C116" i="52"/>
  <c r="D116" i="52"/>
  <c r="E116" i="52"/>
  <c r="F116" i="52"/>
  <c r="G116" i="52"/>
  <c r="C117" i="52"/>
  <c r="D117" i="52"/>
  <c r="E117" i="52"/>
  <c r="F117" i="52"/>
  <c r="G117" i="52"/>
  <c r="C118" i="52"/>
  <c r="D118" i="52"/>
  <c r="E118" i="52"/>
  <c r="F118" i="52"/>
  <c r="G118" i="52"/>
  <c r="C119" i="52"/>
  <c r="D119" i="52"/>
  <c r="E119" i="52"/>
  <c r="F119" i="52"/>
  <c r="G119" i="52"/>
  <c r="C120" i="52"/>
  <c r="D120" i="52"/>
  <c r="E120" i="52"/>
  <c r="F120" i="52"/>
  <c r="G120" i="52"/>
  <c r="C121" i="52"/>
  <c r="D121" i="52"/>
  <c r="E121" i="52"/>
  <c r="F121" i="52"/>
  <c r="G121" i="52"/>
  <c r="C122" i="52"/>
  <c r="D122" i="52"/>
  <c r="E122" i="52"/>
  <c r="F122" i="52"/>
  <c r="G122" i="52"/>
  <c r="C123" i="52"/>
  <c r="D123" i="52"/>
  <c r="E123" i="52"/>
  <c r="F123" i="52"/>
  <c r="G123" i="52"/>
  <c r="C124" i="52"/>
  <c r="D124" i="52"/>
  <c r="E124" i="52"/>
  <c r="F124" i="52"/>
  <c r="G124" i="52"/>
  <c r="C125" i="52"/>
  <c r="D125" i="52"/>
  <c r="E125" i="52"/>
  <c r="F125" i="52"/>
  <c r="G125" i="52"/>
  <c r="C126" i="52"/>
  <c r="D126" i="52"/>
  <c r="E126" i="52"/>
  <c r="F126" i="52"/>
  <c r="G126" i="52"/>
  <c r="C127" i="52"/>
  <c r="D127" i="52"/>
  <c r="E127" i="52"/>
  <c r="F127" i="52"/>
  <c r="G127" i="52"/>
  <c r="C128" i="52"/>
  <c r="D128" i="52"/>
  <c r="E128" i="52"/>
  <c r="F128" i="52"/>
  <c r="G128" i="52"/>
  <c r="C129" i="52"/>
  <c r="D129" i="52"/>
  <c r="E129" i="52"/>
  <c r="F129" i="52"/>
  <c r="G129" i="52"/>
  <c r="C130" i="52"/>
  <c r="D130" i="52"/>
  <c r="E130" i="52"/>
  <c r="F130" i="52"/>
  <c r="G130" i="52"/>
  <c r="C131" i="52"/>
  <c r="D131" i="52"/>
  <c r="E131" i="52"/>
  <c r="F131" i="52"/>
  <c r="G131" i="52"/>
  <c r="C132" i="52"/>
  <c r="D132" i="52"/>
  <c r="E132" i="52"/>
  <c r="F132" i="52"/>
  <c r="G132" i="52"/>
  <c r="C133" i="52"/>
  <c r="G16" i="4" s="1"/>
  <c r="D133" i="52"/>
  <c r="E133" i="52"/>
  <c r="F133" i="52"/>
  <c r="G133" i="52"/>
  <c r="C134" i="52"/>
  <c r="D134" i="52"/>
  <c r="E134" i="52"/>
  <c r="F134" i="52"/>
  <c r="G134" i="52"/>
  <c r="C135" i="52"/>
  <c r="D135" i="52"/>
  <c r="E135" i="52"/>
  <c r="F135" i="52"/>
  <c r="G135" i="52"/>
  <c r="C136" i="52"/>
  <c r="D136" i="52"/>
  <c r="E136" i="52"/>
  <c r="F136" i="52"/>
  <c r="G136" i="52"/>
  <c r="C137" i="52"/>
  <c r="D137" i="52"/>
  <c r="E137" i="52"/>
  <c r="F137" i="52"/>
  <c r="G137" i="52"/>
  <c r="C138" i="52"/>
  <c r="D138" i="52"/>
  <c r="E138" i="52"/>
  <c r="F138" i="52"/>
  <c r="G138" i="52"/>
  <c r="C139" i="52"/>
  <c r="D139" i="52"/>
  <c r="E139" i="52"/>
  <c r="F139" i="52"/>
  <c r="G139" i="52"/>
  <c r="C140" i="52"/>
  <c r="D140" i="52"/>
  <c r="E140" i="52"/>
  <c r="F140" i="52"/>
  <c r="G140" i="52"/>
  <c r="C141" i="52"/>
  <c r="D141" i="52"/>
  <c r="E141" i="52"/>
  <c r="F141" i="52"/>
  <c r="G141" i="52"/>
  <c r="C142" i="52"/>
  <c r="D142" i="52"/>
  <c r="E142" i="52"/>
  <c r="F142" i="52"/>
  <c r="G142" i="52"/>
  <c r="C143" i="52"/>
  <c r="D143" i="52"/>
  <c r="E143" i="52"/>
  <c r="F143" i="52"/>
  <c r="G143" i="52"/>
  <c r="C144" i="52"/>
  <c r="D144" i="52"/>
  <c r="E144" i="52"/>
  <c r="F144" i="52"/>
  <c r="G144" i="52"/>
  <c r="C145" i="52"/>
  <c r="D145" i="52"/>
  <c r="E145" i="52"/>
  <c r="F145" i="52"/>
  <c r="G145" i="52"/>
  <c r="C146" i="52"/>
  <c r="D146" i="52"/>
  <c r="E146" i="52"/>
  <c r="F146" i="52"/>
  <c r="G146" i="52"/>
  <c r="C147" i="52"/>
  <c r="D147" i="52"/>
  <c r="E147" i="52"/>
  <c r="F147" i="52"/>
  <c r="G147" i="52"/>
  <c r="C148" i="52"/>
  <c r="D148" i="52"/>
  <c r="E148" i="52"/>
  <c r="F148" i="52"/>
  <c r="G148" i="52"/>
  <c r="C149" i="52"/>
  <c r="D149" i="52"/>
  <c r="E149" i="52"/>
  <c r="F149" i="52"/>
  <c r="G149" i="52"/>
  <c r="C150" i="52"/>
  <c r="D150" i="52"/>
  <c r="E150" i="52"/>
  <c r="F150" i="52"/>
  <c r="G150" i="52"/>
  <c r="C151" i="52"/>
  <c r="D151" i="52"/>
  <c r="E151" i="52"/>
  <c r="F151" i="52"/>
  <c r="G151" i="52"/>
  <c r="C152" i="52"/>
  <c r="D152" i="52"/>
  <c r="E152" i="52"/>
  <c r="F152" i="52"/>
  <c r="G152" i="52"/>
  <c r="C153" i="52"/>
  <c r="D153" i="52"/>
  <c r="E153" i="52"/>
  <c r="F153" i="52"/>
  <c r="G153" i="52"/>
  <c r="C154" i="52"/>
  <c r="D154" i="52"/>
  <c r="E154" i="52"/>
  <c r="F154" i="52"/>
  <c r="G154" i="52"/>
  <c r="C155" i="52"/>
  <c r="D155" i="52"/>
  <c r="E155" i="52"/>
  <c r="F155" i="52"/>
  <c r="G155" i="52"/>
  <c r="C156" i="52"/>
  <c r="D156" i="52"/>
  <c r="E156" i="52"/>
  <c r="F156" i="52"/>
  <c r="G156" i="52"/>
  <c r="C157" i="52"/>
  <c r="D157" i="52"/>
  <c r="E157" i="52"/>
  <c r="F157" i="52"/>
  <c r="G157" i="52"/>
  <c r="C158" i="52"/>
  <c r="D158" i="52"/>
  <c r="E158" i="52"/>
  <c r="F158" i="52"/>
  <c r="G158" i="52"/>
  <c r="C159" i="52"/>
  <c r="D159" i="52"/>
  <c r="E159" i="52"/>
  <c r="F159" i="52"/>
  <c r="G159" i="52"/>
  <c r="C160" i="52"/>
  <c r="D160" i="52"/>
  <c r="E160" i="52"/>
  <c r="F160" i="52"/>
  <c r="G160" i="52"/>
  <c r="C161" i="52"/>
  <c r="D161" i="52"/>
  <c r="E161" i="52"/>
  <c r="F161" i="52"/>
  <c r="G161" i="52"/>
  <c r="C162" i="52"/>
  <c r="D162" i="52"/>
  <c r="E162" i="52"/>
  <c r="F162" i="52"/>
  <c r="G162" i="52"/>
  <c r="C163" i="52"/>
  <c r="D163" i="52"/>
  <c r="E163" i="52"/>
  <c r="F163" i="52"/>
  <c r="G163" i="52"/>
  <c r="C164" i="52"/>
  <c r="D164" i="52"/>
  <c r="E164" i="52"/>
  <c r="F164" i="52"/>
  <c r="G164" i="52"/>
  <c r="C165" i="52"/>
  <c r="D165" i="52"/>
  <c r="E165" i="52"/>
  <c r="F165" i="52"/>
  <c r="G165" i="52"/>
  <c r="C166" i="52"/>
  <c r="D166" i="52"/>
  <c r="E166" i="52"/>
  <c r="F166" i="52"/>
  <c r="G166" i="52"/>
  <c r="C167" i="52"/>
  <c r="D167" i="52"/>
  <c r="E167" i="52"/>
  <c r="F167" i="52"/>
  <c r="G167" i="52"/>
  <c r="C168" i="52"/>
  <c r="D168" i="52"/>
  <c r="E168" i="52"/>
  <c r="F168" i="52"/>
  <c r="G168" i="52"/>
  <c r="C169" i="52"/>
  <c r="D169" i="52"/>
  <c r="E169" i="52"/>
  <c r="F169" i="52"/>
  <c r="G169" i="52"/>
  <c r="C170" i="52"/>
  <c r="D170" i="52"/>
  <c r="E170" i="52"/>
  <c r="F170" i="52"/>
  <c r="G170" i="52"/>
  <c r="C171" i="52"/>
  <c r="D171" i="52"/>
  <c r="E171" i="52"/>
  <c r="F171" i="52"/>
  <c r="G171" i="52"/>
  <c r="C172" i="52"/>
  <c r="D172" i="52"/>
  <c r="E172" i="52"/>
  <c r="F172" i="52"/>
  <c r="G172" i="52"/>
  <c r="C173" i="52"/>
  <c r="D173" i="52"/>
  <c r="E173" i="52"/>
  <c r="F173" i="52"/>
  <c r="G173" i="52"/>
  <c r="C174" i="52"/>
  <c r="D174" i="52"/>
  <c r="E174" i="52"/>
  <c r="F174" i="52"/>
  <c r="G174" i="52"/>
  <c r="C175" i="52"/>
  <c r="D175" i="52"/>
  <c r="Y15" i="49" s="1"/>
  <c r="E175" i="52"/>
  <c r="X15" i="49" s="1"/>
  <c r="F175" i="52"/>
  <c r="W15" i="49" s="1"/>
  <c r="G175" i="52"/>
  <c r="V15" i="49" s="1"/>
  <c r="C176" i="52"/>
  <c r="G18" i="4" s="1"/>
  <c r="D176" i="52"/>
  <c r="E176" i="52"/>
  <c r="F176" i="52"/>
  <c r="G176" i="52"/>
  <c r="C177" i="52"/>
  <c r="D177" i="52"/>
  <c r="E177" i="52"/>
  <c r="F177" i="52"/>
  <c r="G177" i="52"/>
  <c r="C178" i="52"/>
  <c r="D178" i="52"/>
  <c r="E178" i="52"/>
  <c r="F178" i="52"/>
  <c r="G178" i="52"/>
  <c r="C179" i="52"/>
  <c r="G19" i="4" s="1"/>
  <c r="D179" i="52"/>
  <c r="E179" i="52"/>
  <c r="F179" i="52"/>
  <c r="G179" i="52"/>
  <c r="C180" i="52"/>
  <c r="D180" i="52"/>
  <c r="E180" i="52"/>
  <c r="F180" i="52"/>
  <c r="G180" i="52"/>
  <c r="C181" i="52"/>
  <c r="D181" i="52"/>
  <c r="E181" i="52"/>
  <c r="F181" i="52"/>
  <c r="G181" i="52"/>
  <c r="C182" i="52"/>
  <c r="D182" i="52"/>
  <c r="E182" i="52"/>
  <c r="F182" i="52"/>
  <c r="G182" i="52"/>
  <c r="C183" i="52"/>
  <c r="D183" i="52"/>
  <c r="E183" i="52"/>
  <c r="F183" i="52"/>
  <c r="G183" i="52"/>
  <c r="C184" i="52"/>
  <c r="D184" i="52"/>
  <c r="E184" i="52"/>
  <c r="F184" i="52"/>
  <c r="G184" i="52"/>
  <c r="C185" i="52"/>
  <c r="D185" i="52"/>
  <c r="E185" i="52"/>
  <c r="F185" i="52"/>
  <c r="G185" i="52"/>
  <c r="C186" i="52"/>
  <c r="D186" i="52"/>
  <c r="E186" i="52"/>
  <c r="F186" i="52"/>
  <c r="G186" i="52"/>
  <c r="C187" i="52"/>
  <c r="D187" i="52"/>
  <c r="E187" i="52"/>
  <c r="F187" i="52"/>
  <c r="G187" i="52"/>
  <c r="C188" i="52"/>
  <c r="D188" i="52"/>
  <c r="E188" i="52"/>
  <c r="F188" i="52"/>
  <c r="G188" i="52"/>
  <c r="C189" i="52"/>
  <c r="D189" i="52"/>
  <c r="E189" i="52"/>
  <c r="F189" i="52"/>
  <c r="G189" i="52"/>
  <c r="C190" i="52"/>
  <c r="D190" i="52"/>
  <c r="E190" i="52"/>
  <c r="F190" i="52"/>
  <c r="G190" i="52"/>
  <c r="C191" i="52"/>
  <c r="D191" i="52"/>
  <c r="E191" i="52"/>
  <c r="F191" i="52"/>
  <c r="G191" i="52"/>
  <c r="C192" i="52"/>
  <c r="D192" i="52"/>
  <c r="E192" i="52"/>
  <c r="F192" i="52"/>
  <c r="G192" i="52"/>
  <c r="C193" i="52"/>
  <c r="G20" i="4" s="1"/>
  <c r="D193" i="52"/>
  <c r="E193" i="52"/>
  <c r="F193" i="52"/>
  <c r="G193" i="52"/>
  <c r="C194" i="52"/>
  <c r="D194" i="52"/>
  <c r="E194" i="52"/>
  <c r="F194" i="52"/>
  <c r="G194" i="52"/>
  <c r="C195" i="52"/>
  <c r="D195" i="52"/>
  <c r="E195" i="52"/>
  <c r="F195" i="52"/>
  <c r="G195" i="52"/>
  <c r="C196" i="52"/>
  <c r="D196" i="52"/>
  <c r="E196" i="52"/>
  <c r="F196" i="52"/>
  <c r="G196" i="52"/>
  <c r="C197" i="52"/>
  <c r="D197" i="52"/>
  <c r="E197" i="52"/>
  <c r="F197" i="52"/>
  <c r="G197" i="52"/>
  <c r="C198" i="52"/>
  <c r="D198" i="52"/>
  <c r="E198" i="52"/>
  <c r="F198" i="52"/>
  <c r="G198" i="52"/>
  <c r="C199" i="52"/>
  <c r="D199" i="52"/>
  <c r="E199" i="52"/>
  <c r="F199" i="52"/>
  <c r="G199" i="52"/>
  <c r="C200" i="52"/>
  <c r="D200" i="52"/>
  <c r="E200" i="52"/>
  <c r="F200" i="52"/>
  <c r="G200" i="52"/>
  <c r="C201" i="52"/>
  <c r="D201" i="52"/>
  <c r="E201" i="52"/>
  <c r="F201" i="52"/>
  <c r="G201" i="52"/>
  <c r="C202" i="52"/>
  <c r="D202" i="52"/>
  <c r="E202" i="52"/>
  <c r="F202" i="52"/>
  <c r="G202" i="52"/>
  <c r="C203" i="52"/>
  <c r="D203" i="52"/>
  <c r="E203" i="52"/>
  <c r="F203" i="52"/>
  <c r="G203" i="52"/>
  <c r="C204" i="52"/>
  <c r="G21" i="4" s="1"/>
  <c r="D204" i="52"/>
  <c r="E204" i="52"/>
  <c r="F204" i="52"/>
  <c r="G204" i="52"/>
  <c r="C205" i="52"/>
  <c r="D205" i="52"/>
  <c r="E205" i="52"/>
  <c r="F205" i="52"/>
  <c r="G205" i="52"/>
  <c r="C206" i="52"/>
  <c r="D206" i="52"/>
  <c r="E206" i="52"/>
  <c r="F206" i="52"/>
  <c r="G206" i="52"/>
  <c r="C207" i="52"/>
  <c r="D207" i="52"/>
  <c r="E207" i="52"/>
  <c r="F207" i="52"/>
  <c r="G207" i="52"/>
  <c r="C208" i="52"/>
  <c r="G22" i="4" s="1"/>
  <c r="D208" i="52"/>
  <c r="E208" i="52"/>
  <c r="F208" i="52"/>
  <c r="G208" i="52"/>
  <c r="C209" i="52"/>
  <c r="D209" i="52"/>
  <c r="E209" i="52"/>
  <c r="F209" i="52"/>
  <c r="G209" i="52"/>
  <c r="C210" i="52"/>
  <c r="D210" i="52"/>
  <c r="E210" i="52"/>
  <c r="F210" i="52"/>
  <c r="G210" i="52"/>
  <c r="C211" i="52"/>
  <c r="D211" i="52"/>
  <c r="E211" i="52"/>
  <c r="F211" i="52"/>
  <c r="G211" i="52"/>
  <c r="C212" i="52"/>
  <c r="D212" i="52"/>
  <c r="E212" i="52"/>
  <c r="F212" i="52"/>
  <c r="G212" i="52"/>
  <c r="C213" i="52"/>
  <c r="D213" i="52"/>
  <c r="E213" i="52"/>
  <c r="F213" i="52"/>
  <c r="G213" i="52"/>
  <c r="C214" i="52"/>
  <c r="G23" i="4" s="1"/>
  <c r="D214" i="52"/>
  <c r="E214" i="52"/>
  <c r="F214" i="52"/>
  <c r="G214" i="52"/>
  <c r="C215" i="52"/>
  <c r="D215" i="52"/>
  <c r="E215" i="52"/>
  <c r="F215" i="52"/>
  <c r="G215" i="52"/>
  <c r="C216" i="52"/>
  <c r="D216" i="52"/>
  <c r="E216" i="52"/>
  <c r="F216" i="52"/>
  <c r="G216" i="52"/>
  <c r="C217" i="52"/>
  <c r="D217" i="52"/>
  <c r="E217" i="52"/>
  <c r="F217" i="52"/>
  <c r="G217" i="52"/>
  <c r="C218" i="52"/>
  <c r="D218" i="52"/>
  <c r="E218" i="52"/>
  <c r="F218" i="52"/>
  <c r="G218" i="52"/>
  <c r="C219" i="52"/>
  <c r="D219" i="52"/>
  <c r="E219" i="52"/>
  <c r="F219" i="52"/>
  <c r="G219" i="52"/>
  <c r="C220" i="52"/>
  <c r="D220" i="52"/>
  <c r="E220" i="52"/>
  <c r="F220" i="52"/>
  <c r="G220" i="52"/>
  <c r="C221" i="52"/>
  <c r="D221" i="52"/>
  <c r="E221" i="52"/>
  <c r="F221" i="52"/>
  <c r="G221" i="52"/>
  <c r="C222" i="52"/>
  <c r="D222" i="52"/>
  <c r="E222" i="52"/>
  <c r="F222" i="52"/>
  <c r="G222" i="52"/>
  <c r="C223" i="52"/>
  <c r="D223" i="52"/>
  <c r="E223" i="52"/>
  <c r="F223" i="52"/>
  <c r="G223" i="52"/>
  <c r="C224" i="52"/>
  <c r="D224" i="52"/>
  <c r="E224" i="52"/>
  <c r="F224" i="52"/>
  <c r="G224" i="52"/>
  <c r="C225" i="52"/>
  <c r="D225" i="52"/>
  <c r="E225" i="52"/>
  <c r="F225" i="52"/>
  <c r="G225" i="52"/>
  <c r="C226" i="52"/>
  <c r="D226" i="52"/>
  <c r="E226" i="52"/>
  <c r="F226" i="52"/>
  <c r="G226" i="52"/>
  <c r="C227" i="52"/>
  <c r="D227" i="52"/>
  <c r="E227" i="52"/>
  <c r="F227" i="52"/>
  <c r="G227" i="52"/>
  <c r="C228" i="52"/>
  <c r="D228" i="52"/>
  <c r="E228" i="52"/>
  <c r="F228" i="52"/>
  <c r="G228" i="52"/>
  <c r="C229" i="52"/>
  <c r="D229" i="52"/>
  <c r="E229" i="52"/>
  <c r="F229" i="52"/>
  <c r="G229" i="52"/>
  <c r="C230" i="52"/>
  <c r="D230" i="52"/>
  <c r="E230" i="52"/>
  <c r="F230" i="52"/>
  <c r="G230" i="52"/>
  <c r="C231" i="52"/>
  <c r="D231" i="52"/>
  <c r="E231" i="52"/>
  <c r="F231" i="52"/>
  <c r="G231" i="52"/>
  <c r="C232" i="52"/>
  <c r="D232" i="52"/>
  <c r="E232" i="52"/>
  <c r="F232" i="52"/>
  <c r="G232" i="52"/>
  <c r="C233" i="52"/>
  <c r="D233" i="52"/>
  <c r="E233" i="52"/>
  <c r="F233" i="52"/>
  <c r="G233" i="52"/>
  <c r="C234" i="52"/>
  <c r="D234" i="52"/>
  <c r="E234" i="52"/>
  <c r="F234" i="52"/>
  <c r="G234" i="52"/>
  <c r="C235" i="52"/>
  <c r="D235" i="52"/>
  <c r="E235" i="52"/>
  <c r="F235" i="52"/>
  <c r="G235" i="52"/>
  <c r="C236" i="52"/>
  <c r="D236" i="52"/>
  <c r="E236" i="52"/>
  <c r="F236" i="52"/>
  <c r="G236" i="52"/>
  <c r="C237" i="52"/>
  <c r="D237" i="52"/>
  <c r="E237" i="52"/>
  <c r="F237" i="52"/>
  <c r="G237" i="52"/>
  <c r="C238" i="52"/>
  <c r="D238" i="52"/>
  <c r="E238" i="52"/>
  <c r="F238" i="52"/>
  <c r="G238" i="52"/>
  <c r="C239" i="52"/>
  <c r="D239" i="52"/>
  <c r="E239" i="52"/>
  <c r="F239" i="52"/>
  <c r="G239" i="52"/>
  <c r="C240" i="52"/>
  <c r="D240" i="52"/>
  <c r="E240" i="52"/>
  <c r="F240" i="52"/>
  <c r="G240" i="52"/>
  <c r="C241" i="52"/>
  <c r="D241" i="52"/>
  <c r="E241" i="52"/>
  <c r="F241" i="52"/>
  <c r="G241" i="52"/>
  <c r="C242" i="52"/>
  <c r="D242" i="52"/>
  <c r="E242" i="52"/>
  <c r="F242" i="52"/>
  <c r="G242" i="52"/>
  <c r="C243" i="52"/>
  <c r="D243" i="52"/>
  <c r="E243" i="52"/>
  <c r="F243" i="52"/>
  <c r="G243" i="52"/>
  <c r="C244" i="52"/>
  <c r="D244" i="52"/>
  <c r="E244" i="52"/>
  <c r="F244" i="52"/>
  <c r="G244" i="52"/>
  <c r="C245" i="52"/>
  <c r="D245" i="52"/>
  <c r="E245" i="52"/>
  <c r="F245" i="52"/>
  <c r="G245" i="52"/>
  <c r="C246" i="52"/>
  <c r="D246" i="52"/>
  <c r="E246" i="52"/>
  <c r="F246" i="52"/>
  <c r="G246" i="52"/>
  <c r="C247" i="52"/>
  <c r="C5" i="32" s="1"/>
  <c r="D247" i="52"/>
  <c r="E247" i="52"/>
  <c r="J5" i="32" s="1"/>
  <c r="F247" i="52"/>
  <c r="I5" i="32" s="1"/>
  <c r="G247" i="52"/>
  <c r="H5" i="32" s="1"/>
  <c r="C248" i="52"/>
  <c r="D248" i="52"/>
  <c r="E248" i="52"/>
  <c r="F248" i="52"/>
  <c r="G248" i="52"/>
  <c r="C249" i="52"/>
  <c r="D249" i="52"/>
  <c r="E249" i="52"/>
  <c r="F249" i="52"/>
  <c r="G249" i="52"/>
  <c r="C250" i="52"/>
  <c r="C7" i="32" s="1"/>
  <c r="D250" i="52"/>
  <c r="E250" i="52"/>
  <c r="J7" i="32" s="1"/>
  <c r="F250" i="52"/>
  <c r="G250" i="52"/>
  <c r="H7" i="32" s="1"/>
  <c r="C251" i="52"/>
  <c r="D251" i="52"/>
  <c r="E251" i="52"/>
  <c r="F251" i="52"/>
  <c r="G251" i="52"/>
  <c r="C252" i="52"/>
  <c r="D252" i="52"/>
  <c r="E252" i="52"/>
  <c r="F252" i="52"/>
  <c r="G252" i="52"/>
  <c r="C253" i="52"/>
  <c r="D253" i="52"/>
  <c r="E253" i="52"/>
  <c r="F253" i="52"/>
  <c r="G253" i="52"/>
  <c r="C254" i="52"/>
  <c r="D254" i="52"/>
  <c r="E254" i="52"/>
  <c r="F254" i="52"/>
  <c r="G254" i="52"/>
  <c r="C255" i="52"/>
  <c r="D255" i="52"/>
  <c r="E255" i="52"/>
  <c r="F255" i="52"/>
  <c r="G255" i="52"/>
  <c r="C256" i="52"/>
  <c r="D256" i="52"/>
  <c r="E256" i="52"/>
  <c r="F256" i="52"/>
  <c r="G256" i="52"/>
  <c r="C257" i="52"/>
  <c r="D257" i="52"/>
  <c r="E257" i="52"/>
  <c r="F257" i="52"/>
  <c r="G257" i="52"/>
  <c r="C258" i="52"/>
  <c r="D258" i="52"/>
  <c r="E258" i="52"/>
  <c r="F258" i="52"/>
  <c r="G258" i="52"/>
  <c r="C259" i="52"/>
  <c r="D259" i="52"/>
  <c r="E259" i="52"/>
  <c r="F259" i="52"/>
  <c r="G259" i="52"/>
  <c r="C260" i="52"/>
  <c r="D260" i="52"/>
  <c r="E260" i="52"/>
  <c r="F260" i="52"/>
  <c r="G260" i="52"/>
  <c r="C261" i="52"/>
  <c r="D261" i="52"/>
  <c r="E261" i="52"/>
  <c r="F261" i="52"/>
  <c r="G261" i="52"/>
  <c r="C262" i="52"/>
  <c r="D262" i="52"/>
  <c r="E262" i="52"/>
  <c r="F262" i="52"/>
  <c r="G262" i="52"/>
  <c r="C263" i="52"/>
  <c r="D263" i="52"/>
  <c r="E263" i="52"/>
  <c r="F263" i="52"/>
  <c r="G263" i="52"/>
  <c r="C264" i="52"/>
  <c r="D264" i="52"/>
  <c r="E264" i="52"/>
  <c r="F264" i="52"/>
  <c r="G264" i="52"/>
  <c r="C265" i="52"/>
  <c r="D265" i="52"/>
  <c r="E265" i="52"/>
  <c r="F265" i="52"/>
  <c r="G265" i="52"/>
  <c r="C266" i="52"/>
  <c r="D266" i="52"/>
  <c r="E266" i="52"/>
  <c r="F266" i="52"/>
  <c r="G266" i="52"/>
  <c r="C267" i="52"/>
  <c r="D267" i="52"/>
  <c r="E267" i="52"/>
  <c r="F267" i="52"/>
  <c r="G267" i="52"/>
  <c r="C268" i="52"/>
  <c r="D268" i="52"/>
  <c r="E268" i="52"/>
  <c r="F268" i="52"/>
  <c r="G268" i="52"/>
  <c r="C269" i="52"/>
  <c r="D269" i="52"/>
  <c r="E269" i="52"/>
  <c r="F269" i="52"/>
  <c r="G269" i="52"/>
  <c r="C270" i="52"/>
  <c r="D270" i="52"/>
  <c r="E270" i="52"/>
  <c r="F270" i="52"/>
  <c r="G270" i="52"/>
  <c r="C271" i="52"/>
  <c r="D271" i="52"/>
  <c r="E271" i="52"/>
  <c r="F271" i="52"/>
  <c r="G271" i="52"/>
  <c r="C272" i="52"/>
  <c r="D272" i="52"/>
  <c r="E272" i="52"/>
  <c r="F272" i="52"/>
  <c r="G272" i="52"/>
  <c r="C273" i="52"/>
  <c r="D273" i="52"/>
  <c r="E273" i="52"/>
  <c r="F273" i="52"/>
  <c r="G273" i="52"/>
  <c r="C274" i="52"/>
  <c r="D274" i="52"/>
  <c r="E274" i="52"/>
  <c r="F274" i="52"/>
  <c r="G274" i="52"/>
  <c r="C275" i="52"/>
  <c r="D275" i="52"/>
  <c r="E275" i="52"/>
  <c r="F275" i="52"/>
  <c r="G275" i="52"/>
  <c r="C276" i="52"/>
  <c r="D276" i="52"/>
  <c r="E276" i="52"/>
  <c r="F276" i="52"/>
  <c r="G276" i="52"/>
  <c r="C277" i="52"/>
  <c r="D277" i="52"/>
  <c r="E277" i="52"/>
  <c r="F277" i="52"/>
  <c r="G277" i="52"/>
  <c r="C278" i="52"/>
  <c r="C6" i="32" s="1"/>
  <c r="D278" i="52"/>
  <c r="D6" i="32" s="1"/>
  <c r="E278" i="52"/>
  <c r="E17" i="32" s="1"/>
  <c r="F278" i="52"/>
  <c r="F17" i="32" s="1"/>
  <c r="G278" i="52"/>
  <c r="G6" i="32" s="1"/>
  <c r="C279" i="52"/>
  <c r="D279" i="52"/>
  <c r="E279" i="52"/>
  <c r="F279" i="52"/>
  <c r="G279" i="52"/>
  <c r="C280" i="52"/>
  <c r="D280" i="52"/>
  <c r="E280" i="52"/>
  <c r="F280" i="52"/>
  <c r="G280" i="52"/>
  <c r="C281" i="52"/>
  <c r="D281" i="52"/>
  <c r="E281" i="52"/>
  <c r="F281" i="52"/>
  <c r="G281" i="52"/>
  <c r="C282" i="52"/>
  <c r="D282" i="52"/>
  <c r="E282" i="52"/>
  <c r="F282" i="52"/>
  <c r="G282" i="52"/>
  <c r="C283" i="52"/>
  <c r="D283" i="52"/>
  <c r="E283" i="52"/>
  <c r="J23" i="32" s="1"/>
  <c r="F283" i="52"/>
  <c r="I23" i="32" s="1"/>
  <c r="G283" i="52"/>
  <c r="H23" i="32" s="1"/>
  <c r="C284" i="52"/>
  <c r="D284" i="52"/>
  <c r="E284" i="52"/>
  <c r="F284" i="52"/>
  <c r="G284" i="52"/>
  <c r="C285" i="52"/>
  <c r="D285" i="52"/>
  <c r="E285" i="52"/>
  <c r="F285" i="52"/>
  <c r="G285" i="52"/>
  <c r="C286" i="52"/>
  <c r="D286" i="52"/>
  <c r="E286" i="52"/>
  <c r="J24" i="32" s="1"/>
  <c r="F286" i="52"/>
  <c r="G286" i="52"/>
  <c r="H24" i="32" s="1"/>
  <c r="C287" i="52"/>
  <c r="D287" i="52"/>
  <c r="E287" i="52"/>
  <c r="F287" i="52"/>
  <c r="G287" i="52"/>
  <c r="C288" i="52"/>
  <c r="D288" i="52"/>
  <c r="E288" i="52"/>
  <c r="F288" i="52"/>
  <c r="G288" i="52"/>
  <c r="C289" i="52"/>
  <c r="D289" i="52"/>
  <c r="K29" i="32" s="1"/>
  <c r="E289" i="52"/>
  <c r="J29" i="32" s="1"/>
  <c r="F289" i="52"/>
  <c r="G289" i="52"/>
  <c r="H29" i="32" s="1"/>
  <c r="C290" i="52"/>
  <c r="D290" i="52"/>
  <c r="E290" i="52"/>
  <c r="F290" i="52"/>
  <c r="G290" i="52"/>
  <c r="C291" i="52"/>
  <c r="D291" i="52"/>
  <c r="E291" i="52"/>
  <c r="F291" i="52"/>
  <c r="G291" i="52"/>
  <c r="C292" i="52"/>
  <c r="D292" i="52"/>
  <c r="E292" i="52"/>
  <c r="J30" i="32" s="1"/>
  <c r="F292" i="52"/>
  <c r="G292" i="52"/>
  <c r="H30" i="32" s="1"/>
  <c r="C293" i="52"/>
  <c r="D293" i="52"/>
  <c r="E293" i="52"/>
  <c r="F293" i="52"/>
  <c r="G293" i="52"/>
  <c r="C294" i="52"/>
  <c r="D294" i="52"/>
  <c r="E294" i="52"/>
  <c r="F294" i="52"/>
  <c r="G294" i="52"/>
  <c r="C295" i="52"/>
  <c r="D295" i="52"/>
  <c r="E295" i="52"/>
  <c r="J36" i="32" s="1"/>
  <c r="F295" i="52"/>
  <c r="I36" i="32" s="1"/>
  <c r="G295" i="52"/>
  <c r="H36" i="32" s="1"/>
  <c r="C296" i="52"/>
  <c r="D296" i="52"/>
  <c r="E296" i="52"/>
  <c r="F296" i="52"/>
  <c r="G296" i="52"/>
  <c r="C297" i="52"/>
  <c r="D297" i="52"/>
  <c r="E297" i="52"/>
  <c r="F297" i="52"/>
  <c r="G297" i="52"/>
  <c r="C298" i="52"/>
  <c r="D298" i="52"/>
  <c r="E298" i="52"/>
  <c r="J37" i="32" s="1"/>
  <c r="F298" i="52"/>
  <c r="G298" i="52"/>
  <c r="H37" i="32" s="1"/>
  <c r="C299" i="52"/>
  <c r="D299" i="52"/>
  <c r="E299" i="52"/>
  <c r="F299" i="52"/>
  <c r="G299" i="52"/>
  <c r="C300" i="52"/>
  <c r="D300" i="52"/>
  <c r="E300" i="52"/>
  <c r="F300" i="52"/>
  <c r="G300" i="52"/>
  <c r="C301" i="52"/>
  <c r="D301" i="52"/>
  <c r="K43" i="32" s="1"/>
  <c r="E301" i="52"/>
  <c r="J43" i="32" s="1"/>
  <c r="F301" i="52"/>
  <c r="G301" i="52"/>
  <c r="H43" i="32" s="1"/>
  <c r="C302" i="52"/>
  <c r="D302" i="52"/>
  <c r="E302" i="52"/>
  <c r="F302" i="52"/>
  <c r="G302" i="52"/>
  <c r="C303" i="52"/>
  <c r="D303" i="52"/>
  <c r="E303" i="52"/>
  <c r="F303" i="52"/>
  <c r="G303" i="52"/>
  <c r="C304" i="52"/>
  <c r="D304" i="52"/>
  <c r="E304" i="52"/>
  <c r="J44" i="32" s="1"/>
  <c r="F304" i="52"/>
  <c r="G304" i="52"/>
  <c r="H44" i="32" s="1"/>
  <c r="C305" i="52"/>
  <c r="D305" i="52"/>
  <c r="E305" i="52"/>
  <c r="F305" i="52"/>
  <c r="G305" i="52"/>
  <c r="C306" i="52"/>
  <c r="D306" i="52"/>
  <c r="E306" i="52"/>
  <c r="F306" i="52"/>
  <c r="G306" i="52"/>
  <c r="C307" i="52"/>
  <c r="D307" i="52"/>
  <c r="E307" i="52"/>
  <c r="J50" i="32" s="1"/>
  <c r="F307" i="52"/>
  <c r="I50" i="32" s="1"/>
  <c r="G307" i="52"/>
  <c r="H50" i="32" s="1"/>
  <c r="C308" i="52"/>
  <c r="D308" i="52"/>
  <c r="E308" i="52"/>
  <c r="F308" i="52"/>
  <c r="G308" i="52"/>
  <c r="C309" i="52"/>
  <c r="D309" i="52"/>
  <c r="E309" i="52"/>
  <c r="F309" i="52"/>
  <c r="G309" i="52"/>
  <c r="C310" i="52"/>
  <c r="D310" i="52"/>
  <c r="E310" i="52"/>
  <c r="J51" i="32" s="1"/>
  <c r="F310" i="52"/>
  <c r="G310" i="52"/>
  <c r="H51" i="32" s="1"/>
  <c r="C311" i="52"/>
  <c r="D311" i="52"/>
  <c r="E311" i="52"/>
  <c r="F311" i="52"/>
  <c r="G311" i="52"/>
  <c r="C312" i="52"/>
  <c r="D312" i="52"/>
  <c r="E312" i="52"/>
  <c r="F312" i="52"/>
  <c r="G312" i="52"/>
  <c r="C313" i="52"/>
  <c r="D313" i="52"/>
  <c r="K57" i="32" s="1"/>
  <c r="E313" i="52"/>
  <c r="J57" i="32" s="1"/>
  <c r="F313" i="52"/>
  <c r="G313" i="52"/>
  <c r="H57" i="32" s="1"/>
  <c r="C314" i="52"/>
  <c r="D314" i="52"/>
  <c r="E314" i="52"/>
  <c r="F314" i="52"/>
  <c r="G314" i="52"/>
  <c r="C315" i="52"/>
  <c r="D315" i="52"/>
  <c r="E315" i="52"/>
  <c r="F315" i="52"/>
  <c r="G315" i="52"/>
  <c r="C316" i="52"/>
  <c r="D316" i="52"/>
  <c r="E316" i="52"/>
  <c r="J58" i="32" s="1"/>
  <c r="F316" i="52"/>
  <c r="G316" i="52"/>
  <c r="H58" i="32" s="1"/>
  <c r="C317" i="52"/>
  <c r="D317" i="52"/>
  <c r="E317" i="52"/>
  <c r="F317" i="52"/>
  <c r="G317" i="52"/>
  <c r="C318" i="52"/>
  <c r="D318" i="52"/>
  <c r="E318" i="52"/>
  <c r="F318" i="52"/>
  <c r="G318" i="52"/>
  <c r="C319" i="52"/>
  <c r="D319" i="52"/>
  <c r="E319" i="52"/>
  <c r="J64" i="32" s="1"/>
  <c r="F319" i="52"/>
  <c r="I64" i="32" s="1"/>
  <c r="G319" i="52"/>
  <c r="H64" i="32" s="1"/>
  <c r="C320" i="52"/>
  <c r="D320" i="52"/>
  <c r="E320" i="52"/>
  <c r="F320" i="52"/>
  <c r="G320" i="52"/>
  <c r="C321" i="52"/>
  <c r="D321" i="52"/>
  <c r="E321" i="52"/>
  <c r="F321" i="52"/>
  <c r="G321" i="52"/>
  <c r="C322" i="52"/>
  <c r="D322" i="52"/>
  <c r="E322" i="52"/>
  <c r="J65" i="32" s="1"/>
  <c r="F322" i="52"/>
  <c r="G322" i="52"/>
  <c r="H65" i="32" s="1"/>
  <c r="C323" i="52"/>
  <c r="D323" i="52"/>
  <c r="E323" i="52"/>
  <c r="F323" i="52"/>
  <c r="G323" i="52"/>
  <c r="C324" i="52"/>
  <c r="D324" i="52"/>
  <c r="E324" i="52"/>
  <c r="F324" i="52"/>
  <c r="G324" i="52"/>
  <c r="C325" i="52"/>
  <c r="D325" i="52"/>
  <c r="K71" i="32" s="1"/>
  <c r="E325" i="52"/>
  <c r="J71" i="32" s="1"/>
  <c r="F325" i="52"/>
  <c r="G325" i="52"/>
  <c r="H71" i="32" s="1"/>
  <c r="C326" i="52"/>
  <c r="D326" i="52"/>
  <c r="E326" i="52"/>
  <c r="F326" i="52"/>
  <c r="G326" i="52"/>
  <c r="C327" i="52"/>
  <c r="D327" i="52"/>
  <c r="E327" i="52"/>
  <c r="F327" i="52"/>
  <c r="G327" i="52"/>
  <c r="C328" i="52"/>
  <c r="D328" i="52"/>
  <c r="E328" i="52"/>
  <c r="J72" i="32" s="1"/>
  <c r="F328" i="52"/>
  <c r="G328" i="52"/>
  <c r="H72" i="32" s="1"/>
  <c r="C329" i="52"/>
  <c r="D329" i="52"/>
  <c r="E329" i="52"/>
  <c r="F329" i="52"/>
  <c r="G329" i="52"/>
  <c r="C330" i="52"/>
  <c r="D330" i="52"/>
  <c r="E330" i="52"/>
  <c r="F330" i="52"/>
  <c r="G330" i="52"/>
  <c r="C331" i="52"/>
  <c r="D331" i="52"/>
  <c r="E331" i="52"/>
  <c r="J78" i="32" s="1"/>
  <c r="F331" i="52"/>
  <c r="I78" i="32" s="1"/>
  <c r="G331" i="52"/>
  <c r="H78" i="32" s="1"/>
  <c r="C332" i="52"/>
  <c r="D332" i="52"/>
  <c r="E332" i="52"/>
  <c r="F332" i="52"/>
  <c r="G332" i="52"/>
  <c r="C333" i="52"/>
  <c r="D333" i="52"/>
  <c r="E333" i="52"/>
  <c r="F333" i="52"/>
  <c r="G333" i="52"/>
  <c r="C334" i="52"/>
  <c r="D334" i="52"/>
  <c r="E334" i="52"/>
  <c r="J79" i="32" s="1"/>
  <c r="F334" i="52"/>
  <c r="G334" i="52"/>
  <c r="H79" i="32" s="1"/>
  <c r="C335" i="52"/>
  <c r="D335" i="52"/>
  <c r="E335" i="52"/>
  <c r="F335" i="52"/>
  <c r="G335" i="52"/>
  <c r="C336" i="52"/>
  <c r="D336" i="52"/>
  <c r="E336" i="52"/>
  <c r="F336" i="52"/>
  <c r="G336" i="52"/>
  <c r="C337" i="52"/>
  <c r="D337" i="52"/>
  <c r="K85" i="32" s="1"/>
  <c r="E337" i="52"/>
  <c r="J85" i="32" s="1"/>
  <c r="F337" i="52"/>
  <c r="G337" i="52"/>
  <c r="H85" i="32" s="1"/>
  <c r="C338" i="52"/>
  <c r="D338" i="52"/>
  <c r="E338" i="52"/>
  <c r="F338" i="52"/>
  <c r="G338" i="52"/>
  <c r="C339" i="52"/>
  <c r="D339" i="52"/>
  <c r="E339" i="52"/>
  <c r="F339" i="52"/>
  <c r="G339" i="52"/>
  <c r="C340" i="52"/>
  <c r="D340" i="52"/>
  <c r="E340" i="52"/>
  <c r="J86" i="32" s="1"/>
  <c r="F340" i="52"/>
  <c r="G340" i="52"/>
  <c r="H86" i="32" s="1"/>
  <c r="C341" i="52"/>
  <c r="D341" i="52"/>
  <c r="E341" i="52"/>
  <c r="F341" i="52"/>
  <c r="G341" i="52"/>
  <c r="C342" i="52"/>
  <c r="D342" i="52"/>
  <c r="E342" i="52"/>
  <c r="F342" i="52"/>
  <c r="G342" i="52"/>
  <c r="C343" i="52"/>
  <c r="D343" i="52"/>
  <c r="E343" i="52"/>
  <c r="J20" i="32" s="1"/>
  <c r="F343" i="52"/>
  <c r="I20" i="32" s="1"/>
  <c r="G343" i="52"/>
  <c r="H20" i="32" s="1"/>
  <c r="C344" i="52"/>
  <c r="D344" i="52"/>
  <c r="E344" i="52"/>
  <c r="F344" i="52"/>
  <c r="G344" i="52"/>
  <c r="C345" i="52"/>
  <c r="D345" i="52"/>
  <c r="E345" i="52"/>
  <c r="F345" i="52"/>
  <c r="G345" i="52"/>
  <c r="C346" i="52"/>
  <c r="D346" i="52"/>
  <c r="E346" i="52"/>
  <c r="F346" i="52"/>
  <c r="G346" i="52"/>
  <c r="C347" i="52"/>
  <c r="D347" i="52"/>
  <c r="E347" i="52"/>
  <c r="F347" i="52"/>
  <c r="G347" i="52"/>
  <c r="C348" i="52"/>
  <c r="C115" i="32" s="1"/>
  <c r="D348" i="52"/>
  <c r="E348" i="52"/>
  <c r="J115" i="32" s="1"/>
  <c r="F348" i="52"/>
  <c r="G348" i="52"/>
  <c r="H115" i="32" s="1"/>
  <c r="C349" i="52"/>
  <c r="D349" i="52"/>
  <c r="K116" i="32" s="1"/>
  <c r="E349" i="52"/>
  <c r="J116" i="32" s="1"/>
  <c r="F349" i="52"/>
  <c r="G349" i="52"/>
  <c r="H116" i="32" s="1"/>
  <c r="C350" i="52"/>
  <c r="D350" i="52"/>
  <c r="E350" i="52"/>
  <c r="F350" i="52"/>
  <c r="G350" i="52"/>
  <c r="C351" i="52"/>
  <c r="D351" i="52"/>
  <c r="E351" i="52"/>
  <c r="F351" i="52"/>
  <c r="G351" i="52"/>
  <c r="C352" i="52"/>
  <c r="D352" i="52"/>
  <c r="E352" i="52"/>
  <c r="J124" i="32" s="1"/>
  <c r="F352" i="52"/>
  <c r="G352" i="52"/>
  <c r="H124" i="32" s="1"/>
  <c r="C353" i="52"/>
  <c r="D353" i="52"/>
  <c r="E353" i="52"/>
  <c r="J125" i="32" s="1"/>
  <c r="F353" i="52"/>
  <c r="G353" i="52"/>
  <c r="H125" i="32" s="1"/>
  <c r="C354" i="52"/>
  <c r="D354" i="52"/>
  <c r="E354" i="52"/>
  <c r="F354" i="52"/>
  <c r="G354" i="52"/>
  <c r="C355" i="52"/>
  <c r="D355" i="52"/>
  <c r="E355" i="52"/>
  <c r="F355" i="52"/>
  <c r="G355" i="52"/>
  <c r="C356" i="52"/>
  <c r="D356" i="52"/>
  <c r="E356" i="52"/>
  <c r="J131" i="32" s="1"/>
  <c r="F356" i="52"/>
  <c r="G356" i="52"/>
  <c r="H131" i="32" s="1"/>
  <c r="C357" i="52"/>
  <c r="D357" i="52"/>
  <c r="E357" i="52"/>
  <c r="J136" i="32" s="1"/>
  <c r="F357" i="52"/>
  <c r="G357" i="52"/>
  <c r="H136" i="32" s="1"/>
  <c r="C358" i="52"/>
  <c r="D358" i="52"/>
  <c r="E358" i="52"/>
  <c r="J137" i="32" s="1"/>
  <c r="F358" i="52"/>
  <c r="G358" i="52"/>
  <c r="H137" i="32" s="1"/>
  <c r="C359" i="52"/>
  <c r="D359" i="52"/>
  <c r="E359" i="52"/>
  <c r="F359" i="52"/>
  <c r="G359" i="52"/>
  <c r="C360" i="52"/>
  <c r="D360" i="52"/>
  <c r="E360" i="52"/>
  <c r="F360" i="52"/>
  <c r="G360" i="52"/>
  <c r="C361" i="52"/>
  <c r="D361" i="52"/>
  <c r="E361" i="52"/>
  <c r="J143" i="32" s="1"/>
  <c r="F361" i="52"/>
  <c r="G361" i="52"/>
  <c r="H143" i="32" s="1"/>
  <c r="C362" i="52"/>
  <c r="D362" i="52"/>
  <c r="E362" i="52"/>
  <c r="J144" i="32" s="1"/>
  <c r="F362" i="52"/>
  <c r="G362" i="52"/>
  <c r="H144" i="32" s="1"/>
  <c r="C363" i="52"/>
  <c r="D363" i="52"/>
  <c r="E363" i="52"/>
  <c r="F363" i="52"/>
  <c r="G363" i="52"/>
  <c r="C364" i="52"/>
  <c r="D364" i="52"/>
  <c r="E364" i="52"/>
  <c r="F364" i="52"/>
  <c r="G364" i="52"/>
  <c r="C365" i="52"/>
  <c r="D365" i="52"/>
  <c r="K150" i="32" s="1"/>
  <c r="E365" i="52"/>
  <c r="J150" i="32" s="1"/>
  <c r="F365" i="52"/>
  <c r="G365" i="52"/>
  <c r="H150" i="32" s="1"/>
  <c r="C366" i="52"/>
  <c r="D366" i="52"/>
  <c r="E366" i="52"/>
  <c r="J151" i="32" s="1"/>
  <c r="F366" i="52"/>
  <c r="G366" i="52"/>
  <c r="H151" i="32" s="1"/>
  <c r="C367" i="52"/>
  <c r="D367" i="52"/>
  <c r="E367" i="52"/>
  <c r="F367" i="52"/>
  <c r="G367" i="52"/>
  <c r="C368" i="52"/>
  <c r="D368" i="52"/>
  <c r="E368" i="52"/>
  <c r="F368" i="52"/>
  <c r="G368" i="52"/>
  <c r="C369" i="52"/>
  <c r="D369" i="52"/>
  <c r="K157" i="32" s="1"/>
  <c r="E369" i="52"/>
  <c r="J157" i="32" s="1"/>
  <c r="F369" i="52"/>
  <c r="G369" i="52"/>
  <c r="H157" i="32" s="1"/>
  <c r="C370" i="52"/>
  <c r="D370" i="52"/>
  <c r="E370" i="52"/>
  <c r="J158" i="32" s="1"/>
  <c r="F370" i="52"/>
  <c r="G370" i="52"/>
  <c r="H158" i="32" s="1"/>
  <c r="C371" i="52"/>
  <c r="D371" i="52"/>
  <c r="E371" i="52"/>
  <c r="F371" i="52"/>
  <c r="G371" i="52"/>
  <c r="C372" i="52"/>
  <c r="D372" i="52"/>
  <c r="E372" i="52"/>
  <c r="F372" i="52"/>
  <c r="G372" i="52"/>
  <c r="C373" i="52"/>
  <c r="D373" i="52"/>
  <c r="K164" i="32" s="1"/>
  <c r="E373" i="52"/>
  <c r="J164" i="32" s="1"/>
  <c r="F373" i="52"/>
  <c r="G373" i="52"/>
  <c r="H164" i="32" s="1"/>
  <c r="C374" i="52"/>
  <c r="D374" i="52"/>
  <c r="E374" i="52"/>
  <c r="J165" i="32" s="1"/>
  <c r="F374" i="52"/>
  <c r="G374" i="52"/>
  <c r="H165" i="32" s="1"/>
  <c r="C375" i="52"/>
  <c r="D375" i="52"/>
  <c r="E375" i="52"/>
  <c r="F375" i="52"/>
  <c r="G375" i="52"/>
  <c r="C376" i="52"/>
  <c r="D376" i="52"/>
  <c r="E376" i="52"/>
  <c r="F376" i="52"/>
  <c r="G376" i="52"/>
  <c r="C377" i="52"/>
  <c r="D377" i="52"/>
  <c r="K171" i="32" s="1"/>
  <c r="E377" i="52"/>
  <c r="J171" i="32" s="1"/>
  <c r="F377" i="52"/>
  <c r="G377" i="52"/>
  <c r="H171" i="32" s="1"/>
  <c r="C378" i="52"/>
  <c r="D378" i="52"/>
  <c r="E378" i="52"/>
  <c r="J172" i="32" s="1"/>
  <c r="F378" i="52"/>
  <c r="G378" i="52"/>
  <c r="H172" i="32" s="1"/>
  <c r="C379" i="52"/>
  <c r="D379" i="52"/>
  <c r="E379" i="52"/>
  <c r="F379" i="52"/>
  <c r="G379" i="52"/>
  <c r="C380" i="52"/>
  <c r="D380" i="52"/>
  <c r="E380" i="52"/>
  <c r="F380" i="52"/>
  <c r="G380" i="52"/>
  <c r="C381" i="52"/>
  <c r="D381" i="52"/>
  <c r="K178" i="32" s="1"/>
  <c r="E381" i="52"/>
  <c r="J178" i="32" s="1"/>
  <c r="F381" i="52"/>
  <c r="G381" i="52"/>
  <c r="H178" i="32" s="1"/>
  <c r="C382" i="52"/>
  <c r="D382" i="52"/>
  <c r="E382" i="52"/>
  <c r="J179" i="32" s="1"/>
  <c r="F382" i="52"/>
  <c r="G382" i="52"/>
  <c r="H179" i="32" s="1"/>
  <c r="C383" i="52"/>
  <c r="D383" i="52"/>
  <c r="E383" i="52"/>
  <c r="F383" i="52"/>
  <c r="G383" i="52"/>
  <c r="C384" i="52"/>
  <c r="D384" i="52"/>
  <c r="E384" i="52"/>
  <c r="F384" i="52"/>
  <c r="G384" i="52"/>
  <c r="C385" i="52"/>
  <c r="D385" i="52"/>
  <c r="K185" i="32" s="1"/>
  <c r="E385" i="52"/>
  <c r="J185" i="32" s="1"/>
  <c r="F385" i="52"/>
  <c r="G385" i="52"/>
  <c r="H185" i="32" s="1"/>
  <c r="C386" i="52"/>
  <c r="D386" i="52"/>
  <c r="E386" i="52"/>
  <c r="J186" i="32" s="1"/>
  <c r="F386" i="52"/>
  <c r="G386" i="52"/>
  <c r="H186" i="32" s="1"/>
  <c r="C387" i="52"/>
  <c r="D387" i="52"/>
  <c r="E387" i="52"/>
  <c r="F387" i="52"/>
  <c r="G387" i="52"/>
  <c r="C388" i="52"/>
  <c r="D388" i="52"/>
  <c r="E388" i="52"/>
  <c r="F388" i="52"/>
  <c r="G388" i="52"/>
  <c r="C389" i="52"/>
  <c r="D389" i="52"/>
  <c r="K192" i="32" s="1"/>
  <c r="E389" i="52"/>
  <c r="J192" i="32" s="1"/>
  <c r="F389" i="52"/>
  <c r="G389" i="52"/>
  <c r="H192" i="32" s="1"/>
  <c r="C390" i="52"/>
  <c r="D390" i="52"/>
  <c r="E390" i="52"/>
  <c r="J193" i="32" s="1"/>
  <c r="F390" i="52"/>
  <c r="G390" i="52"/>
  <c r="H193" i="32" s="1"/>
  <c r="C391" i="52"/>
  <c r="D391" i="52"/>
  <c r="E391" i="52"/>
  <c r="F391" i="52"/>
  <c r="G391" i="52"/>
  <c r="C392" i="52"/>
  <c r="D392" i="52"/>
  <c r="E392" i="52"/>
  <c r="F392" i="52"/>
  <c r="G392" i="52"/>
  <c r="C393" i="52"/>
  <c r="C199" i="32" s="1"/>
  <c r="D393" i="52"/>
  <c r="K199" i="32" s="1"/>
  <c r="E393" i="52"/>
  <c r="J199" i="32" s="1"/>
  <c r="F393" i="52"/>
  <c r="G393" i="52"/>
  <c r="H199" i="32" s="1"/>
  <c r="C394" i="52"/>
  <c r="D394" i="52"/>
  <c r="E394" i="52"/>
  <c r="J200" i="32" s="1"/>
  <c r="F394" i="52"/>
  <c r="I200" i="32" s="1"/>
  <c r="G394" i="52"/>
  <c r="H200" i="32" s="1"/>
  <c r="C395" i="52"/>
  <c r="D395" i="52"/>
  <c r="E395" i="52"/>
  <c r="F395" i="52"/>
  <c r="G395" i="52"/>
  <c r="C396" i="52"/>
  <c r="D396" i="52"/>
  <c r="E396" i="52"/>
  <c r="F396" i="52"/>
  <c r="G396" i="52"/>
  <c r="C397" i="52"/>
  <c r="D397" i="52"/>
  <c r="K206" i="32" s="1"/>
  <c r="E397" i="52"/>
  <c r="J206" i="32" s="1"/>
  <c r="F397" i="52"/>
  <c r="G397" i="52"/>
  <c r="H206" i="32" s="1"/>
  <c r="C398" i="52"/>
  <c r="D398" i="52"/>
  <c r="E398" i="52"/>
  <c r="J207" i="32" s="1"/>
  <c r="F398" i="52"/>
  <c r="I207" i="32" s="1"/>
  <c r="G398" i="52"/>
  <c r="H207" i="32" s="1"/>
  <c r="C399" i="52"/>
  <c r="D399" i="52"/>
  <c r="E399" i="52"/>
  <c r="F399" i="52"/>
  <c r="G399" i="52"/>
  <c r="C400" i="52"/>
  <c r="D400" i="52"/>
  <c r="E400" i="52"/>
  <c r="F400" i="52"/>
  <c r="G400" i="52"/>
  <c r="C401" i="52"/>
  <c r="D401" i="52"/>
  <c r="K213" i="32" s="1"/>
  <c r="E401" i="52"/>
  <c r="J213" i="32" s="1"/>
  <c r="F401" i="52"/>
  <c r="G401" i="52"/>
  <c r="H213" i="32" s="1"/>
  <c r="C402" i="52"/>
  <c r="D402" i="52"/>
  <c r="E402" i="52"/>
  <c r="J214" i="32" s="1"/>
  <c r="F402" i="52"/>
  <c r="I214" i="32" s="1"/>
  <c r="G402" i="52"/>
  <c r="H214" i="32" s="1"/>
  <c r="C403" i="52"/>
  <c r="D403" i="52"/>
  <c r="E403" i="52"/>
  <c r="F403" i="52"/>
  <c r="G403" i="52"/>
  <c r="C404" i="52"/>
  <c r="D404" i="52"/>
  <c r="E404" i="52"/>
  <c r="F404" i="52"/>
  <c r="G404" i="52"/>
  <c r="C405" i="52"/>
  <c r="D405" i="52"/>
  <c r="K220" i="32" s="1"/>
  <c r="E405" i="52"/>
  <c r="J220" i="32" s="1"/>
  <c r="F405" i="52"/>
  <c r="G405" i="52"/>
  <c r="H220" i="32" s="1"/>
  <c r="C406" i="52"/>
  <c r="D406" i="52"/>
  <c r="E406" i="52"/>
  <c r="J221" i="32" s="1"/>
  <c r="F406" i="52"/>
  <c r="I221" i="32" s="1"/>
  <c r="G406" i="52"/>
  <c r="H221" i="32" s="1"/>
  <c r="C407" i="52"/>
  <c r="D407" i="52"/>
  <c r="E407" i="52"/>
  <c r="F407" i="52"/>
  <c r="G407" i="52"/>
  <c r="C408" i="52"/>
  <c r="D408" i="52"/>
  <c r="E408" i="52"/>
  <c r="F408" i="52"/>
  <c r="G408" i="52"/>
  <c r="C409" i="52"/>
  <c r="D409" i="52"/>
  <c r="E409" i="52"/>
  <c r="F409" i="52"/>
  <c r="G409" i="52"/>
  <c r="C410" i="52"/>
  <c r="D410" i="52"/>
  <c r="E410" i="52"/>
  <c r="F410" i="52"/>
  <c r="G410" i="52"/>
  <c r="C411" i="52"/>
  <c r="D411" i="52"/>
  <c r="E411" i="52"/>
  <c r="F411" i="52"/>
  <c r="G411" i="52"/>
  <c r="C412" i="52"/>
  <c r="D412" i="52"/>
  <c r="E412" i="52"/>
  <c r="F412" i="52"/>
  <c r="G412" i="52"/>
  <c r="C413" i="52"/>
  <c r="D413" i="52"/>
  <c r="E413" i="52"/>
  <c r="F413" i="52"/>
  <c r="G413" i="52"/>
  <c r="C414" i="52"/>
  <c r="D414" i="52"/>
  <c r="E414" i="52"/>
  <c r="F414" i="52"/>
  <c r="G414" i="52"/>
  <c r="C415" i="52"/>
  <c r="D415" i="52"/>
  <c r="E415" i="52"/>
  <c r="F415" i="52"/>
  <c r="G415" i="52"/>
  <c r="C416" i="52"/>
  <c r="D416" i="52"/>
  <c r="E416" i="52"/>
  <c r="F416" i="52"/>
  <c r="G416" i="52"/>
  <c r="C417" i="52"/>
  <c r="D417" i="52"/>
  <c r="E417" i="52"/>
  <c r="F417" i="52"/>
  <c r="G417" i="52"/>
  <c r="C418" i="52"/>
  <c r="D418" i="52"/>
  <c r="E418" i="52"/>
  <c r="F418" i="52"/>
  <c r="G418" i="52"/>
  <c r="C419" i="52"/>
  <c r="D419" i="52"/>
  <c r="E419" i="52"/>
  <c r="F419" i="52"/>
  <c r="G419" i="52"/>
  <c r="C420" i="52"/>
  <c r="D420" i="52"/>
  <c r="E420" i="52"/>
  <c r="F420" i="52"/>
  <c r="G420" i="52"/>
  <c r="C421" i="52"/>
  <c r="D421" i="52"/>
  <c r="E421" i="52"/>
  <c r="F421" i="52"/>
  <c r="G421" i="52"/>
  <c r="C422" i="52"/>
  <c r="D422" i="52"/>
  <c r="E422" i="52"/>
  <c r="F422" i="52"/>
  <c r="G422" i="52"/>
  <c r="C423" i="52"/>
  <c r="D423" i="52"/>
  <c r="E423" i="52"/>
  <c r="F423" i="52"/>
  <c r="G423" i="52"/>
  <c r="C424" i="52"/>
  <c r="D424" i="52"/>
  <c r="E424" i="52"/>
  <c r="F424" i="52"/>
  <c r="G424" i="52"/>
  <c r="C425" i="52"/>
  <c r="D425" i="52"/>
  <c r="E425" i="52"/>
  <c r="F425" i="52"/>
  <c r="G425" i="52"/>
  <c r="C426" i="52"/>
  <c r="D426" i="52"/>
  <c r="E426" i="52"/>
  <c r="F426" i="52"/>
  <c r="G426" i="52"/>
  <c r="C427" i="52"/>
  <c r="D427" i="52"/>
  <c r="E427" i="52"/>
  <c r="F427" i="52"/>
  <c r="G427" i="52"/>
  <c r="C428" i="52"/>
  <c r="D428" i="52"/>
  <c r="E428" i="52"/>
  <c r="F428" i="52"/>
  <c r="G428" i="52"/>
  <c r="C429" i="52"/>
  <c r="D429" i="52"/>
  <c r="E429" i="52"/>
  <c r="F429" i="52"/>
  <c r="G429" i="52"/>
  <c r="C430" i="52"/>
  <c r="G29" i="4" s="1"/>
  <c r="D430" i="52"/>
  <c r="E430" i="52"/>
  <c r="F430" i="52"/>
  <c r="G430" i="52"/>
  <c r="C431" i="52"/>
  <c r="D431" i="52"/>
  <c r="E431" i="52"/>
  <c r="F431" i="52"/>
  <c r="G431" i="52"/>
  <c r="C432" i="52"/>
  <c r="D432" i="52"/>
  <c r="E432" i="52"/>
  <c r="F432" i="52"/>
  <c r="G432" i="52"/>
  <c r="C433" i="52"/>
  <c r="D433" i="52"/>
  <c r="E433" i="52"/>
  <c r="F433" i="52"/>
  <c r="G433" i="52"/>
  <c r="C434" i="52"/>
  <c r="D434" i="52"/>
  <c r="E434" i="52"/>
  <c r="F434" i="52"/>
  <c r="G434" i="52"/>
  <c r="C435" i="52"/>
  <c r="D435" i="52"/>
  <c r="E435" i="52"/>
  <c r="F435" i="52"/>
  <c r="G435" i="52"/>
  <c r="C436" i="52"/>
  <c r="D436" i="52"/>
  <c r="E436" i="52"/>
  <c r="F436" i="52"/>
  <c r="G436" i="52"/>
  <c r="C437" i="52"/>
  <c r="D437" i="52"/>
  <c r="E437" i="52"/>
  <c r="F437" i="52"/>
  <c r="G437" i="52"/>
  <c r="C438" i="52"/>
  <c r="D438" i="52"/>
  <c r="E438" i="52"/>
  <c r="F438" i="52"/>
  <c r="G438" i="52"/>
  <c r="C439" i="52"/>
  <c r="D439" i="52"/>
  <c r="E439" i="52"/>
  <c r="F439" i="52"/>
  <c r="G439" i="52"/>
  <c r="C440" i="52"/>
  <c r="D440" i="52"/>
  <c r="E440" i="52"/>
  <c r="F440" i="52"/>
  <c r="G440" i="52"/>
  <c r="C441" i="52"/>
  <c r="D441" i="52"/>
  <c r="E441" i="52"/>
  <c r="F441" i="52"/>
  <c r="G441" i="52"/>
  <c r="C442" i="52"/>
  <c r="D442" i="52"/>
  <c r="E442" i="52"/>
  <c r="F442" i="52"/>
  <c r="G442" i="52"/>
  <c r="C443" i="52"/>
  <c r="D443" i="52"/>
  <c r="E443" i="52"/>
  <c r="F443" i="52"/>
  <c r="G443" i="52"/>
  <c r="C444" i="52"/>
  <c r="D444" i="52"/>
  <c r="E444" i="52"/>
  <c r="F444" i="52"/>
  <c r="G444" i="52"/>
  <c r="C445" i="52"/>
  <c r="D445" i="52"/>
  <c r="E445" i="52"/>
  <c r="F445" i="52"/>
  <c r="G445" i="52"/>
  <c r="C446" i="52"/>
  <c r="D446" i="52"/>
  <c r="E446" i="52"/>
  <c r="F446" i="52"/>
  <c r="G446" i="52"/>
  <c r="C447" i="52"/>
  <c r="D447" i="52"/>
  <c r="E447" i="52"/>
  <c r="F447" i="52"/>
  <c r="G447" i="52"/>
  <c r="C448" i="52"/>
  <c r="D448" i="52"/>
  <c r="E448" i="52"/>
  <c r="F448" i="52"/>
  <c r="G448" i="52"/>
  <c r="C449" i="52"/>
  <c r="D449" i="52"/>
  <c r="E449" i="52"/>
  <c r="F449" i="52"/>
  <c r="G449" i="52"/>
  <c r="C450" i="52"/>
  <c r="D450" i="52"/>
  <c r="E450" i="52"/>
  <c r="F450" i="52"/>
  <c r="G450" i="52"/>
  <c r="C451" i="52"/>
  <c r="D451" i="52"/>
  <c r="E451" i="52"/>
  <c r="F451" i="52"/>
  <c r="G451" i="52"/>
  <c r="C452" i="52"/>
  <c r="D452" i="52"/>
  <c r="E452" i="52"/>
  <c r="F452" i="52"/>
  <c r="G452" i="52"/>
  <c r="C453" i="52"/>
  <c r="D453" i="52"/>
  <c r="E453" i="52"/>
  <c r="F453" i="52"/>
  <c r="G453" i="52"/>
  <c r="C454" i="52"/>
  <c r="D454" i="52"/>
  <c r="E454" i="52"/>
  <c r="F454" i="52"/>
  <c r="G454" i="52"/>
  <c r="C455" i="52"/>
  <c r="D455" i="52"/>
  <c r="E455" i="52"/>
  <c r="F455" i="52"/>
  <c r="G455" i="52"/>
  <c r="C456" i="52"/>
  <c r="D456" i="52"/>
  <c r="E456" i="52"/>
  <c r="F456" i="52"/>
  <c r="G456" i="52"/>
  <c r="C457" i="52"/>
  <c r="D457" i="52"/>
  <c r="E457" i="52"/>
  <c r="F457" i="52"/>
  <c r="G457" i="52"/>
  <c r="C458" i="52"/>
  <c r="D458" i="52"/>
  <c r="E458" i="52"/>
  <c r="F458" i="52"/>
  <c r="G458" i="52"/>
  <c r="C459" i="52"/>
  <c r="D459" i="52"/>
  <c r="E459" i="52"/>
  <c r="F459" i="52"/>
  <c r="G459" i="52"/>
  <c r="C460" i="52"/>
  <c r="D460" i="52"/>
  <c r="E460" i="52"/>
  <c r="F460" i="52"/>
  <c r="G460" i="52"/>
  <c r="C461" i="52"/>
  <c r="D461" i="52"/>
  <c r="E461" i="52"/>
  <c r="F461" i="52"/>
  <c r="G461" i="52"/>
  <c r="C462" i="52"/>
  <c r="D462" i="52"/>
  <c r="E462" i="52"/>
  <c r="F462" i="52"/>
  <c r="G462" i="52"/>
  <c r="C463" i="52"/>
  <c r="D463" i="52"/>
  <c r="E463" i="52"/>
  <c r="F463" i="52"/>
  <c r="G463" i="52"/>
  <c r="C464" i="52"/>
  <c r="D464" i="52"/>
  <c r="E464" i="52"/>
  <c r="F464" i="52"/>
  <c r="G464" i="52"/>
  <c r="C465" i="52"/>
  <c r="D465" i="52"/>
  <c r="E465" i="52"/>
  <c r="F465" i="52"/>
  <c r="G465" i="52"/>
  <c r="C466" i="52"/>
  <c r="D466" i="52"/>
  <c r="E466" i="52"/>
  <c r="F466" i="52"/>
  <c r="G466" i="52"/>
  <c r="C467" i="52"/>
  <c r="D467" i="52"/>
  <c r="E467" i="52"/>
  <c r="F467" i="52"/>
  <c r="G467" i="52"/>
  <c r="C468" i="52"/>
  <c r="D468" i="52"/>
  <c r="E468" i="52"/>
  <c r="F468" i="52"/>
  <c r="G468" i="52"/>
  <c r="C469" i="52"/>
  <c r="D469" i="52"/>
  <c r="E469" i="52"/>
  <c r="F469" i="52"/>
  <c r="G469" i="52"/>
  <c r="C470" i="52"/>
  <c r="D470" i="52"/>
  <c r="E470" i="52"/>
  <c r="F470" i="52"/>
  <c r="G470" i="52"/>
  <c r="C471" i="52"/>
  <c r="D471" i="52"/>
  <c r="E471" i="52"/>
  <c r="F471" i="52"/>
  <c r="G471" i="52"/>
  <c r="C472" i="52"/>
  <c r="G30" i="4" s="1"/>
  <c r="D472" i="52"/>
  <c r="E472" i="52"/>
  <c r="F472" i="52"/>
  <c r="G472" i="52"/>
  <c r="C473" i="52"/>
  <c r="D473" i="52"/>
  <c r="E473" i="52"/>
  <c r="F473" i="52"/>
  <c r="G473" i="52"/>
  <c r="C474" i="52"/>
  <c r="D474" i="52"/>
  <c r="E474" i="52"/>
  <c r="F474" i="52"/>
  <c r="G474" i="52"/>
  <c r="C475" i="52"/>
  <c r="D475" i="52"/>
  <c r="E475" i="52"/>
  <c r="F475" i="52"/>
  <c r="G475" i="52"/>
  <c r="C476" i="52"/>
  <c r="D476" i="52"/>
  <c r="E476" i="52"/>
  <c r="F476" i="52"/>
  <c r="G476" i="52"/>
  <c r="C477" i="52"/>
  <c r="D477" i="52"/>
  <c r="E477" i="52"/>
  <c r="F477" i="52"/>
  <c r="G477" i="52"/>
  <c r="C478" i="52"/>
  <c r="D478" i="52"/>
  <c r="E478" i="52"/>
  <c r="F478" i="52"/>
  <c r="G478" i="52"/>
  <c r="C479" i="52"/>
  <c r="D479" i="52"/>
  <c r="E479" i="52"/>
  <c r="F479" i="52"/>
  <c r="G479" i="52"/>
  <c r="C480" i="52"/>
  <c r="D480" i="52"/>
  <c r="E480" i="52"/>
  <c r="F480" i="52"/>
  <c r="G480" i="52"/>
  <c r="C481" i="52"/>
  <c r="G31" i="4" s="1"/>
  <c r="D481" i="52"/>
  <c r="E481" i="52"/>
  <c r="F481" i="52"/>
  <c r="G481" i="52"/>
  <c r="C482" i="52"/>
  <c r="D482" i="52"/>
  <c r="E482" i="52"/>
  <c r="F482" i="52"/>
  <c r="G482" i="52"/>
  <c r="C483" i="52"/>
  <c r="D483" i="52"/>
  <c r="E483" i="52"/>
  <c r="F483" i="52"/>
  <c r="G483" i="52"/>
  <c r="C484" i="52"/>
  <c r="D484" i="52"/>
  <c r="Y16" i="49" s="1"/>
  <c r="E484" i="52"/>
  <c r="X16" i="49" s="1"/>
  <c r="F484" i="52"/>
  <c r="W16" i="49" s="1"/>
  <c r="G484" i="52"/>
  <c r="V16" i="49" s="1"/>
  <c r="C485" i="52"/>
  <c r="D485" i="52"/>
  <c r="Y19" i="49" s="1"/>
  <c r="E485" i="52"/>
  <c r="X19" i="49" s="1"/>
  <c r="F485" i="52"/>
  <c r="W19" i="49" s="1"/>
  <c r="G485" i="52"/>
  <c r="V19" i="49" s="1"/>
  <c r="C486" i="52"/>
  <c r="G34" i="4" s="1"/>
  <c r="D486" i="52"/>
  <c r="E486" i="52"/>
  <c r="F486" i="52"/>
  <c r="G486" i="52"/>
  <c r="C487" i="52"/>
  <c r="D487" i="52"/>
  <c r="E487" i="52"/>
  <c r="F487" i="52"/>
  <c r="G487" i="52"/>
  <c r="C488" i="52"/>
  <c r="D488" i="52"/>
  <c r="E488" i="52"/>
  <c r="F488" i="52"/>
  <c r="G488" i="52"/>
  <c r="C489" i="52"/>
  <c r="D489" i="52"/>
  <c r="E489" i="52"/>
  <c r="F489" i="52"/>
  <c r="G489" i="52"/>
  <c r="C490" i="52"/>
  <c r="D490" i="52"/>
  <c r="E490" i="52"/>
  <c r="F490" i="52"/>
  <c r="G490" i="52"/>
  <c r="C491" i="52"/>
  <c r="D491" i="52"/>
  <c r="E491" i="52"/>
  <c r="F491" i="52"/>
  <c r="G491" i="52"/>
  <c r="C492" i="52"/>
  <c r="Z11" i="49" s="1"/>
  <c r="D492" i="52"/>
  <c r="Y11" i="49" s="1"/>
  <c r="E492" i="52"/>
  <c r="X11" i="49" s="1"/>
  <c r="F492" i="52"/>
  <c r="W11" i="49" s="1"/>
  <c r="G492" i="52"/>
  <c r="V11" i="49" s="1"/>
  <c r="C493" i="52"/>
  <c r="D493" i="52"/>
  <c r="E493" i="52"/>
  <c r="F493" i="52"/>
  <c r="G493" i="52"/>
  <c r="C494" i="52"/>
  <c r="D494" i="52"/>
  <c r="E494" i="52"/>
  <c r="F494" i="52"/>
  <c r="G494" i="52"/>
  <c r="C495" i="52"/>
  <c r="D495" i="52"/>
  <c r="Y9" i="49" s="1"/>
  <c r="E495" i="52"/>
  <c r="X9" i="49" s="1"/>
  <c r="F495" i="52"/>
  <c r="W9" i="49" s="1"/>
  <c r="G495" i="52"/>
  <c r="V9" i="49" s="1"/>
  <c r="C496" i="52"/>
  <c r="G36" i="4" s="1"/>
  <c r="D496" i="52"/>
  <c r="E496" i="52"/>
  <c r="F496" i="52"/>
  <c r="G496" i="52"/>
  <c r="C497" i="52"/>
  <c r="G37" i="4" s="1"/>
  <c r="D497" i="52"/>
  <c r="E497" i="52"/>
  <c r="F497" i="52"/>
  <c r="G497" i="52"/>
  <c r="C498" i="52"/>
  <c r="G38" i="4" s="1"/>
  <c r="D498" i="52"/>
  <c r="E498" i="52"/>
  <c r="F498" i="52"/>
  <c r="G498" i="52"/>
  <c r="C499" i="52"/>
  <c r="G39" i="4" s="1"/>
  <c r="D499" i="52"/>
  <c r="E499" i="52"/>
  <c r="F499" i="52"/>
  <c r="G499" i="52"/>
  <c r="C500" i="52"/>
  <c r="G40" i="4" s="1"/>
  <c r="D500" i="52"/>
  <c r="E500" i="52"/>
  <c r="F500" i="52"/>
  <c r="G500" i="52"/>
  <c r="C501" i="52"/>
  <c r="G41" i="4" s="1"/>
  <c r="D501" i="52"/>
  <c r="E501" i="52"/>
  <c r="F501" i="52"/>
  <c r="G501" i="52"/>
  <c r="C502" i="52"/>
  <c r="D502" i="52"/>
  <c r="E502" i="52"/>
  <c r="F502" i="52"/>
  <c r="G502" i="52"/>
  <c r="C503" i="52"/>
  <c r="D503" i="52"/>
  <c r="E503" i="52"/>
  <c r="F503" i="52"/>
  <c r="G503" i="52"/>
  <c r="C504" i="52"/>
  <c r="G42" i="4" s="1"/>
  <c r="D504" i="52"/>
  <c r="E504" i="52"/>
  <c r="F504" i="52"/>
  <c r="G504" i="52"/>
  <c r="C505" i="52"/>
  <c r="D505" i="52"/>
  <c r="E505" i="52"/>
  <c r="F505" i="52"/>
  <c r="G505" i="52"/>
  <c r="C506" i="52"/>
  <c r="D506" i="52"/>
  <c r="E506" i="52"/>
  <c r="F506" i="52"/>
  <c r="G506" i="52"/>
  <c r="C507" i="52"/>
  <c r="D507" i="52"/>
  <c r="E507" i="52"/>
  <c r="F507" i="52"/>
  <c r="G507" i="52"/>
  <c r="C508" i="52"/>
  <c r="D508" i="52"/>
  <c r="E508" i="52"/>
  <c r="F508" i="52"/>
  <c r="G508" i="52"/>
  <c r="C509" i="52"/>
  <c r="D509" i="52"/>
  <c r="E509" i="52"/>
  <c r="F509" i="52"/>
  <c r="G509" i="52"/>
  <c r="C510" i="52"/>
  <c r="D510" i="52"/>
  <c r="E510" i="52"/>
  <c r="F510" i="52"/>
  <c r="G510" i="52"/>
  <c r="C511" i="52"/>
  <c r="D511" i="52"/>
  <c r="E511" i="52"/>
  <c r="F511" i="52"/>
  <c r="G511" i="52"/>
  <c r="C512" i="52"/>
  <c r="D512" i="52"/>
  <c r="E512" i="52"/>
  <c r="F512" i="52"/>
  <c r="G512" i="52"/>
  <c r="C513" i="52"/>
  <c r="D513" i="52"/>
  <c r="E513" i="52"/>
  <c r="F513" i="52"/>
  <c r="G513" i="52"/>
  <c r="C514" i="52"/>
  <c r="D514" i="52"/>
  <c r="E514" i="52"/>
  <c r="F514" i="52"/>
  <c r="G514" i="52"/>
  <c r="C515" i="52"/>
  <c r="D515" i="52"/>
  <c r="E515" i="52"/>
  <c r="F515" i="52"/>
  <c r="G515" i="52"/>
  <c r="C516" i="52"/>
  <c r="D516" i="52"/>
  <c r="E516" i="52"/>
  <c r="F516" i="52"/>
  <c r="G516" i="52"/>
  <c r="C517" i="52"/>
  <c r="D517" i="52"/>
  <c r="E517" i="52"/>
  <c r="F517" i="52"/>
  <c r="G517" i="52"/>
  <c r="C518" i="52"/>
  <c r="D518" i="52"/>
  <c r="E518" i="52"/>
  <c r="F518" i="52"/>
  <c r="G518" i="52"/>
  <c r="C519" i="52"/>
  <c r="D519" i="52"/>
  <c r="E519" i="52"/>
  <c r="F519" i="52"/>
  <c r="G519" i="52"/>
  <c r="C520" i="52"/>
  <c r="D520" i="52"/>
  <c r="E520" i="52"/>
  <c r="F520" i="52"/>
  <c r="G520" i="52"/>
  <c r="C521" i="52"/>
  <c r="D521" i="52"/>
  <c r="E521" i="52"/>
  <c r="F521" i="52"/>
  <c r="G521" i="52"/>
  <c r="C522" i="52"/>
  <c r="D522" i="52"/>
  <c r="E522" i="52"/>
  <c r="F522" i="52"/>
  <c r="G522" i="52"/>
  <c r="C523" i="52"/>
  <c r="D523" i="52"/>
  <c r="E523" i="52"/>
  <c r="F523" i="52"/>
  <c r="G523" i="52"/>
  <c r="C524" i="52"/>
  <c r="D524" i="52"/>
  <c r="E524" i="52"/>
  <c r="F524" i="52"/>
  <c r="G524" i="52"/>
  <c r="C525" i="52"/>
  <c r="D525" i="52"/>
  <c r="E525" i="52"/>
  <c r="F525" i="52"/>
  <c r="G525" i="52"/>
  <c r="C526" i="52"/>
  <c r="D526" i="52"/>
  <c r="E526" i="52"/>
  <c r="F526" i="52"/>
  <c r="G526" i="52"/>
  <c r="C527" i="52"/>
  <c r="D527" i="52"/>
  <c r="E527" i="52"/>
  <c r="F527" i="52"/>
  <c r="G527" i="52"/>
  <c r="C528" i="52"/>
  <c r="D528" i="52"/>
  <c r="E528" i="52"/>
  <c r="F528" i="52"/>
  <c r="G528" i="52"/>
  <c r="C529" i="52"/>
  <c r="G43" i="4" s="1"/>
  <c r="D529" i="52"/>
  <c r="E529" i="52"/>
  <c r="F529" i="52"/>
  <c r="G529" i="52"/>
  <c r="C530" i="52"/>
  <c r="D530" i="52"/>
  <c r="E530" i="52"/>
  <c r="F530" i="52"/>
  <c r="G530" i="52"/>
  <c r="C531" i="52"/>
  <c r="D531" i="52"/>
  <c r="Y10" i="49" s="1"/>
  <c r="E531" i="52"/>
  <c r="X10" i="49" s="1"/>
  <c r="F531" i="52"/>
  <c r="W10" i="49" s="1"/>
  <c r="G531" i="52"/>
  <c r="V10" i="49" s="1"/>
  <c r="C532" i="52"/>
  <c r="D532" i="52"/>
  <c r="E532" i="52"/>
  <c r="F532" i="52"/>
  <c r="G532" i="52"/>
  <c r="C533" i="52"/>
  <c r="D533" i="52"/>
  <c r="E533" i="52"/>
  <c r="F533" i="52"/>
  <c r="G533" i="52"/>
  <c r="C534" i="52"/>
  <c r="D534" i="52"/>
  <c r="E534" i="52"/>
  <c r="F534" i="52"/>
  <c r="G534" i="52"/>
  <c r="C535" i="52"/>
  <c r="D535" i="52"/>
  <c r="E535" i="52"/>
  <c r="F535" i="52"/>
  <c r="G535" i="52"/>
  <c r="C536" i="52"/>
  <c r="D536" i="52"/>
  <c r="E536" i="52"/>
  <c r="F536" i="52"/>
  <c r="G536" i="52"/>
  <c r="C537" i="52"/>
  <c r="D537" i="52"/>
  <c r="E537" i="52"/>
  <c r="F537" i="52"/>
  <c r="G537" i="52"/>
  <c r="C538" i="52"/>
  <c r="D538" i="52"/>
  <c r="E538" i="52"/>
  <c r="F538" i="52"/>
  <c r="G538" i="52"/>
  <c r="C539" i="52"/>
  <c r="G45" i="4" s="1"/>
  <c r="D539" i="52"/>
  <c r="E539" i="52"/>
  <c r="F539" i="52"/>
  <c r="G539" i="52"/>
  <c r="C540" i="52"/>
  <c r="D540" i="52"/>
  <c r="E540" i="52"/>
  <c r="F540" i="52"/>
  <c r="G540" i="52"/>
  <c r="C541" i="52"/>
  <c r="G46" i="4" s="1"/>
  <c r="D541" i="52"/>
  <c r="E541" i="52"/>
  <c r="F541" i="52"/>
  <c r="G541" i="52"/>
  <c r="C542" i="52"/>
  <c r="D542" i="52"/>
  <c r="E542" i="52"/>
  <c r="F542" i="52"/>
  <c r="G542" i="52"/>
  <c r="C543" i="52"/>
  <c r="D543" i="52"/>
  <c r="E543" i="52"/>
  <c r="F543" i="52"/>
  <c r="G543" i="52"/>
  <c r="C544" i="52"/>
  <c r="D544" i="52"/>
  <c r="E544" i="52"/>
  <c r="F544" i="52"/>
  <c r="G544" i="52"/>
  <c r="C545" i="52"/>
  <c r="D545" i="52"/>
  <c r="E545" i="52"/>
  <c r="F545" i="52"/>
  <c r="G545" i="52"/>
  <c r="C546" i="52"/>
  <c r="D546" i="52"/>
  <c r="E546" i="52"/>
  <c r="F546" i="52"/>
  <c r="G546" i="52"/>
  <c r="C547" i="52"/>
  <c r="D547" i="52"/>
  <c r="E547" i="52"/>
  <c r="F547" i="52"/>
  <c r="G547" i="52"/>
  <c r="C548" i="52"/>
  <c r="D548" i="52"/>
  <c r="E548" i="52"/>
  <c r="F548" i="52"/>
  <c r="G548" i="52"/>
  <c r="C549" i="52"/>
  <c r="G47" i="4" s="1"/>
  <c r="D549" i="52"/>
  <c r="E549" i="52"/>
  <c r="F549" i="52"/>
  <c r="G549" i="52"/>
  <c r="C550" i="52"/>
  <c r="D550" i="52"/>
  <c r="E550" i="52"/>
  <c r="F550" i="52"/>
  <c r="G550" i="52"/>
  <c r="C551" i="52"/>
  <c r="D551" i="52"/>
  <c r="E551" i="52"/>
  <c r="F551" i="52"/>
  <c r="G551" i="52"/>
  <c r="C552" i="52"/>
  <c r="D552" i="52"/>
  <c r="E552" i="52"/>
  <c r="F552" i="52"/>
  <c r="G552" i="52"/>
  <c r="C553" i="52"/>
  <c r="D553" i="52"/>
  <c r="E553" i="52"/>
  <c r="F553" i="52"/>
  <c r="G553" i="52"/>
  <c r="C554" i="52"/>
  <c r="D554" i="52"/>
  <c r="E554" i="52"/>
  <c r="F554" i="52"/>
  <c r="G554" i="52"/>
  <c r="C555" i="52"/>
  <c r="D555" i="52"/>
  <c r="E555" i="52"/>
  <c r="F555" i="52"/>
  <c r="G555" i="52"/>
  <c r="C556" i="52"/>
  <c r="D556" i="52"/>
  <c r="E556" i="52"/>
  <c r="F556" i="52"/>
  <c r="G556" i="52"/>
  <c r="C557" i="52"/>
  <c r="D557" i="52"/>
  <c r="E557" i="52"/>
  <c r="F557" i="52"/>
  <c r="G557" i="52"/>
  <c r="C558" i="52"/>
  <c r="D558" i="52"/>
  <c r="E558" i="52"/>
  <c r="F558" i="52"/>
  <c r="G558" i="52"/>
  <c r="C559" i="52"/>
  <c r="D559" i="52"/>
  <c r="E559" i="52"/>
  <c r="F559" i="52"/>
  <c r="G559" i="52"/>
  <c r="C560" i="52"/>
  <c r="D560" i="52"/>
  <c r="E560" i="52"/>
  <c r="F560" i="52"/>
  <c r="G560" i="52"/>
  <c r="C561" i="52"/>
  <c r="D561" i="52"/>
  <c r="E561" i="52"/>
  <c r="F561" i="52"/>
  <c r="G561" i="52"/>
  <c r="C562" i="52"/>
  <c r="D562" i="52"/>
  <c r="E562" i="52"/>
  <c r="F562" i="52"/>
  <c r="G562" i="52"/>
  <c r="C563" i="52"/>
  <c r="D563" i="52"/>
  <c r="E563" i="52"/>
  <c r="F563" i="52"/>
  <c r="G563" i="52"/>
  <c r="C564" i="52"/>
  <c r="D564" i="52"/>
  <c r="E564" i="52"/>
  <c r="F564" i="52"/>
  <c r="G564" i="52"/>
  <c r="C565" i="52"/>
  <c r="D565" i="52"/>
  <c r="E565" i="52"/>
  <c r="F565" i="52"/>
  <c r="G565" i="52"/>
  <c r="C566" i="52"/>
  <c r="D566" i="52"/>
  <c r="E566" i="52"/>
  <c r="F566" i="52"/>
  <c r="G566" i="52"/>
  <c r="C567" i="52"/>
  <c r="D567" i="52"/>
  <c r="E567" i="52"/>
  <c r="F567" i="52"/>
  <c r="G567" i="52"/>
  <c r="C568" i="52"/>
  <c r="D568" i="52"/>
  <c r="E568" i="52"/>
  <c r="F568" i="52"/>
  <c r="G568" i="52"/>
  <c r="C569" i="52"/>
  <c r="D569" i="52"/>
  <c r="E569" i="52"/>
  <c r="F569" i="52"/>
  <c r="G569" i="52"/>
  <c r="C570" i="52"/>
  <c r="D570" i="52"/>
  <c r="E570" i="52"/>
  <c r="F570" i="52"/>
  <c r="G570" i="52"/>
  <c r="C571" i="52"/>
  <c r="D571" i="52"/>
  <c r="E571" i="52"/>
  <c r="F571" i="52"/>
  <c r="G571" i="52"/>
  <c r="C572" i="52"/>
  <c r="D572" i="52"/>
  <c r="E572" i="52"/>
  <c r="F572" i="52"/>
  <c r="G572" i="52"/>
  <c r="C573" i="52"/>
  <c r="D573" i="52"/>
  <c r="E573" i="52"/>
  <c r="F573" i="52"/>
  <c r="G573" i="52"/>
  <c r="C574" i="52"/>
  <c r="D574" i="52"/>
  <c r="E574" i="52"/>
  <c r="F574" i="52"/>
  <c r="G574" i="52"/>
  <c r="C575" i="52"/>
  <c r="D575" i="52"/>
  <c r="E575" i="52"/>
  <c r="F575" i="52"/>
  <c r="G575" i="52"/>
  <c r="C576" i="52"/>
  <c r="D576" i="52"/>
  <c r="E576" i="52"/>
  <c r="F576" i="52"/>
  <c r="G576" i="52"/>
  <c r="C577" i="52"/>
  <c r="D577" i="52"/>
  <c r="E577" i="52"/>
  <c r="F577" i="52"/>
  <c r="G577" i="52"/>
  <c r="C578" i="52"/>
  <c r="D578" i="52"/>
  <c r="E578" i="52"/>
  <c r="F578" i="52"/>
  <c r="G578" i="52"/>
  <c r="C579" i="52"/>
  <c r="D579" i="52"/>
  <c r="E579" i="52"/>
  <c r="F579" i="52"/>
  <c r="G579" i="52"/>
  <c r="C580" i="52"/>
  <c r="D580" i="52"/>
  <c r="E580" i="52"/>
  <c r="F580" i="52"/>
  <c r="G580" i="52"/>
  <c r="C581" i="52"/>
  <c r="D581" i="52"/>
  <c r="E581" i="52"/>
  <c r="F581" i="52"/>
  <c r="G581" i="52"/>
  <c r="C582" i="52"/>
  <c r="D582" i="52"/>
  <c r="E582" i="52"/>
  <c r="F582" i="52"/>
  <c r="G582" i="52"/>
  <c r="C583" i="52"/>
  <c r="D583" i="52"/>
  <c r="E583" i="52"/>
  <c r="F583" i="52"/>
  <c r="G583" i="52"/>
  <c r="C584" i="52"/>
  <c r="D584" i="52"/>
  <c r="E584" i="52"/>
  <c r="F584" i="52"/>
  <c r="G584" i="52"/>
  <c r="C585" i="52"/>
  <c r="D585" i="52"/>
  <c r="E585" i="52"/>
  <c r="F585" i="52"/>
  <c r="G585" i="52"/>
  <c r="C586" i="52"/>
  <c r="D586" i="52"/>
  <c r="E586" i="52"/>
  <c r="F586" i="52"/>
  <c r="G586" i="52"/>
  <c r="C587" i="52"/>
  <c r="D587" i="52"/>
  <c r="E587" i="52"/>
  <c r="F587" i="52"/>
  <c r="G587" i="52"/>
  <c r="C588" i="52"/>
  <c r="D588" i="52"/>
  <c r="Y18" i="49" s="1"/>
  <c r="E588" i="52"/>
  <c r="X18" i="49" s="1"/>
  <c r="F588" i="52"/>
  <c r="W18" i="49" s="1"/>
  <c r="G588" i="52"/>
  <c r="V18" i="49" s="1"/>
  <c r="C589" i="52"/>
  <c r="D589" i="52"/>
  <c r="Y13" i="49" s="1"/>
  <c r="E589" i="52"/>
  <c r="X13" i="49" s="1"/>
  <c r="F589" i="52"/>
  <c r="W13" i="49" s="1"/>
  <c r="G589" i="52"/>
  <c r="V13" i="49" s="1"/>
  <c r="C590" i="52"/>
  <c r="D590" i="52"/>
  <c r="E590" i="52"/>
  <c r="F590" i="52"/>
  <c r="G590" i="52"/>
  <c r="C591" i="52"/>
  <c r="D591" i="52"/>
  <c r="E591" i="52"/>
  <c r="F591" i="52"/>
  <c r="G591" i="52"/>
  <c r="C592" i="52"/>
  <c r="D592" i="52"/>
  <c r="E592" i="52"/>
  <c r="F592" i="52"/>
  <c r="G592" i="52"/>
  <c r="C593" i="52"/>
  <c r="D593" i="52"/>
  <c r="E593" i="52"/>
  <c r="F593" i="52"/>
  <c r="G593" i="52"/>
  <c r="C594" i="52"/>
  <c r="D594" i="52"/>
  <c r="E594" i="52"/>
  <c r="F594" i="52"/>
  <c r="G594" i="52"/>
  <c r="C595" i="52"/>
  <c r="D595" i="52"/>
  <c r="E595" i="52"/>
  <c r="F595" i="52"/>
  <c r="G595" i="52"/>
  <c r="C596" i="52"/>
  <c r="D596" i="52"/>
  <c r="E596" i="52"/>
  <c r="F596" i="52"/>
  <c r="G596" i="52"/>
  <c r="C597" i="52"/>
  <c r="D597" i="52"/>
  <c r="E597" i="52"/>
  <c r="F597" i="52"/>
  <c r="G597" i="52"/>
  <c r="C598" i="52"/>
  <c r="D598" i="52"/>
  <c r="E598" i="52"/>
  <c r="F598" i="52"/>
  <c r="G598" i="52"/>
  <c r="C599" i="52"/>
  <c r="D599" i="52"/>
  <c r="E599" i="52"/>
  <c r="F599" i="52"/>
  <c r="G599" i="52"/>
  <c r="C600" i="52"/>
  <c r="D600" i="52"/>
  <c r="E600" i="52"/>
  <c r="F600" i="52"/>
  <c r="G600" i="52"/>
  <c r="C601" i="52"/>
  <c r="D601" i="52"/>
  <c r="E601" i="52"/>
  <c r="F601" i="52"/>
  <c r="G601" i="52"/>
  <c r="C602" i="52"/>
  <c r="D602" i="52"/>
  <c r="E602" i="52"/>
  <c r="F602" i="52"/>
  <c r="G602" i="52"/>
  <c r="C603" i="52"/>
  <c r="D603" i="52"/>
  <c r="E603" i="52"/>
  <c r="F603" i="52"/>
  <c r="G603" i="52"/>
  <c r="C604" i="52"/>
  <c r="D604" i="52"/>
  <c r="E604" i="52"/>
  <c r="F604" i="52"/>
  <c r="G604" i="52"/>
  <c r="C605" i="52"/>
  <c r="D605" i="52"/>
  <c r="E605" i="52"/>
  <c r="F605" i="52"/>
  <c r="G605" i="52"/>
  <c r="C606" i="52"/>
  <c r="D606" i="52"/>
  <c r="E606" i="52"/>
  <c r="F606" i="52"/>
  <c r="G606" i="52"/>
  <c r="C607" i="52"/>
  <c r="D607" i="52"/>
  <c r="E607" i="52"/>
  <c r="F607" i="52"/>
  <c r="G607" i="52"/>
  <c r="C608" i="52"/>
  <c r="D608" i="52"/>
  <c r="E608" i="52"/>
  <c r="F608" i="52"/>
  <c r="G608" i="52"/>
  <c r="C609" i="52"/>
  <c r="D609" i="52"/>
  <c r="E609" i="52"/>
  <c r="F609" i="52"/>
  <c r="G609" i="52"/>
  <c r="C610" i="52"/>
  <c r="D610" i="52"/>
  <c r="E610" i="52"/>
  <c r="F610" i="52"/>
  <c r="G610" i="52"/>
  <c r="C611" i="52"/>
  <c r="D611" i="52"/>
  <c r="E611" i="52"/>
  <c r="F611" i="52"/>
  <c r="G611" i="52"/>
  <c r="C612" i="52"/>
  <c r="D612" i="52"/>
  <c r="E612" i="52"/>
  <c r="F612" i="52"/>
  <c r="G612" i="52"/>
  <c r="C613" i="52"/>
  <c r="D613" i="52"/>
  <c r="E613" i="52"/>
  <c r="F613" i="52"/>
  <c r="G613" i="52"/>
  <c r="C614" i="52"/>
  <c r="D614" i="52"/>
  <c r="E614" i="52"/>
  <c r="F614" i="52"/>
  <c r="G614" i="52"/>
  <c r="C615" i="52"/>
  <c r="D615" i="52"/>
  <c r="E615" i="52"/>
  <c r="F615" i="52"/>
  <c r="G615" i="52"/>
  <c r="C616" i="52"/>
  <c r="D616" i="52"/>
  <c r="E616" i="52"/>
  <c r="F616" i="52"/>
  <c r="G616" i="52"/>
  <c r="C617" i="52"/>
  <c r="D617" i="52"/>
  <c r="Y12" i="49" s="1"/>
  <c r="E617" i="52"/>
  <c r="X12" i="49" s="1"/>
  <c r="F617" i="52"/>
  <c r="W12" i="49" s="1"/>
  <c r="G617" i="52"/>
  <c r="V12" i="49" s="1"/>
  <c r="C618" i="52"/>
  <c r="D618" i="52"/>
  <c r="E618" i="52"/>
  <c r="F618" i="52"/>
  <c r="G618" i="52"/>
  <c r="C619" i="52"/>
  <c r="D619" i="52"/>
  <c r="E619" i="52"/>
  <c r="F619" i="52"/>
  <c r="G619" i="52"/>
  <c r="C620" i="52"/>
  <c r="D620" i="52"/>
  <c r="E620" i="52"/>
  <c r="F620" i="52"/>
  <c r="G620" i="52"/>
  <c r="C621" i="52"/>
  <c r="G51" i="4" s="1"/>
  <c r="D621" i="52"/>
  <c r="E621" i="52"/>
  <c r="F621" i="52"/>
  <c r="G621" i="52"/>
  <c r="C622" i="52"/>
  <c r="G52" i="4" s="1"/>
  <c r="D622" i="52"/>
  <c r="E622" i="52"/>
  <c r="F622" i="52"/>
  <c r="G622" i="52"/>
  <c r="C623" i="52"/>
  <c r="G53" i="4" s="1"/>
  <c r="D623" i="52"/>
  <c r="E623" i="52"/>
  <c r="F623" i="52"/>
  <c r="G623" i="52"/>
  <c r="C624" i="52"/>
  <c r="G54" i="4" s="1"/>
  <c r="D624" i="52"/>
  <c r="E624" i="52"/>
  <c r="F624" i="52"/>
  <c r="G624" i="52"/>
  <c r="C625" i="52"/>
  <c r="G55" i="4" s="1"/>
  <c r="D625" i="52"/>
  <c r="E625" i="52"/>
  <c r="F625" i="52"/>
  <c r="G625" i="52"/>
  <c r="C626" i="52"/>
  <c r="G56" i="4" s="1"/>
  <c r="D626" i="52"/>
  <c r="E626" i="52"/>
  <c r="F626" i="52"/>
  <c r="G626" i="52"/>
  <c r="C627" i="52"/>
  <c r="D627" i="52"/>
  <c r="Y14" i="49" s="1"/>
  <c r="E627" i="52"/>
  <c r="X14" i="49" s="1"/>
  <c r="F627" i="52"/>
  <c r="W14" i="49" s="1"/>
  <c r="G627" i="52"/>
  <c r="V14" i="49" s="1"/>
  <c r="C628" i="52"/>
  <c r="D628" i="52"/>
  <c r="E628" i="52"/>
  <c r="F628" i="52"/>
  <c r="G628" i="52"/>
  <c r="C629" i="52"/>
  <c r="D629" i="52"/>
  <c r="E629" i="52"/>
  <c r="F629" i="52"/>
  <c r="G629" i="52"/>
  <c r="C630" i="52"/>
  <c r="D630" i="52"/>
  <c r="E630" i="52"/>
  <c r="F630" i="52"/>
  <c r="G630" i="52"/>
  <c r="C631" i="52"/>
  <c r="D631" i="52"/>
  <c r="E631" i="52"/>
  <c r="F631" i="52"/>
  <c r="G631" i="52"/>
  <c r="C632" i="52"/>
  <c r="D632" i="52"/>
  <c r="E632" i="52"/>
  <c r="F632" i="52"/>
  <c r="G632" i="52"/>
  <c r="C633" i="52"/>
  <c r="D633" i="52"/>
  <c r="E633" i="52"/>
  <c r="F633" i="52"/>
  <c r="G633" i="52"/>
  <c r="C634" i="52"/>
  <c r="D634" i="52"/>
  <c r="E634" i="52"/>
  <c r="F634" i="52"/>
  <c r="G634" i="52"/>
  <c r="C635" i="52"/>
  <c r="G58" i="4" s="1"/>
  <c r="D635" i="52"/>
  <c r="E635" i="52"/>
  <c r="F635" i="52"/>
  <c r="G635" i="52"/>
  <c r="C636" i="52"/>
  <c r="D636" i="52"/>
  <c r="E636" i="52"/>
  <c r="F636" i="52"/>
  <c r="G636" i="52"/>
  <c r="C637" i="52"/>
  <c r="D637" i="52"/>
  <c r="E637" i="52"/>
  <c r="F637" i="52"/>
  <c r="G637" i="52"/>
  <c r="C638" i="52"/>
  <c r="D638" i="52"/>
  <c r="E638" i="52"/>
  <c r="F638" i="52"/>
  <c r="G638" i="52"/>
  <c r="C639" i="52"/>
  <c r="D639" i="52"/>
  <c r="E639" i="52"/>
  <c r="F639" i="52"/>
  <c r="G639" i="52"/>
  <c r="C640" i="52"/>
  <c r="D640" i="52"/>
  <c r="E640" i="52"/>
  <c r="F640" i="52"/>
  <c r="G640" i="52"/>
  <c r="C641" i="52"/>
  <c r="D641" i="52"/>
  <c r="E641" i="52"/>
  <c r="F641" i="52"/>
  <c r="G641" i="52"/>
  <c r="C642" i="52"/>
  <c r="D642" i="52"/>
  <c r="E642" i="52"/>
  <c r="F642" i="52"/>
  <c r="G642" i="52"/>
  <c r="C643" i="52"/>
  <c r="D643" i="52"/>
  <c r="E643" i="52"/>
  <c r="F643" i="52"/>
  <c r="G643" i="52"/>
  <c r="C644" i="52"/>
  <c r="D644" i="52"/>
  <c r="E644" i="52"/>
  <c r="F644" i="52"/>
  <c r="G644" i="52"/>
  <c r="C645" i="52"/>
  <c r="D645" i="52"/>
  <c r="E645" i="52"/>
  <c r="F645" i="52"/>
  <c r="G645" i="52"/>
  <c r="C646" i="52"/>
  <c r="D646" i="52"/>
  <c r="E646" i="52"/>
  <c r="F646" i="52"/>
  <c r="G646" i="52"/>
  <c r="C647" i="52"/>
  <c r="D647" i="52"/>
  <c r="E647" i="52"/>
  <c r="F647" i="52"/>
  <c r="G647" i="52"/>
  <c r="C648" i="52"/>
  <c r="D648" i="52"/>
  <c r="E648" i="52"/>
  <c r="F648" i="52"/>
  <c r="G648" i="52"/>
  <c r="C649" i="52"/>
  <c r="D649" i="52"/>
  <c r="E649" i="52"/>
  <c r="F649" i="52"/>
  <c r="G649" i="52"/>
  <c r="C650" i="52"/>
  <c r="D650" i="52"/>
  <c r="E650" i="52"/>
  <c r="F650" i="52"/>
  <c r="G650" i="52"/>
  <c r="C651" i="52"/>
  <c r="D651" i="52"/>
  <c r="E651" i="52"/>
  <c r="F651" i="52"/>
  <c r="G651" i="52"/>
  <c r="C652" i="52"/>
  <c r="D652" i="52"/>
  <c r="E652" i="52"/>
  <c r="F652" i="52"/>
  <c r="G652" i="52"/>
  <c r="C653" i="52"/>
  <c r="D653" i="52"/>
  <c r="E653" i="52"/>
  <c r="F653" i="52"/>
  <c r="G653" i="52"/>
  <c r="C654" i="52"/>
  <c r="D654" i="52"/>
  <c r="E654" i="52"/>
  <c r="F654" i="52"/>
  <c r="G654" i="52"/>
  <c r="C655" i="52"/>
  <c r="D655" i="52"/>
  <c r="E655" i="52"/>
  <c r="F655" i="52"/>
  <c r="G655" i="52"/>
  <c r="C656" i="52"/>
  <c r="D656" i="52"/>
  <c r="E656" i="52"/>
  <c r="F656" i="52"/>
  <c r="G656" i="52"/>
  <c r="C657" i="52"/>
  <c r="D657" i="52"/>
  <c r="E657" i="52"/>
  <c r="F657" i="52"/>
  <c r="G657" i="52"/>
  <c r="C658" i="52"/>
  <c r="D658" i="52"/>
  <c r="E658" i="52"/>
  <c r="F658" i="52"/>
  <c r="G658" i="52"/>
  <c r="C659" i="52"/>
  <c r="D659" i="52"/>
  <c r="E659" i="52"/>
  <c r="F659" i="52"/>
  <c r="G659" i="52"/>
  <c r="C660" i="52"/>
  <c r="D660" i="52"/>
  <c r="E660" i="52"/>
  <c r="F660" i="52"/>
  <c r="G660" i="52"/>
  <c r="C661" i="52"/>
  <c r="D661" i="52"/>
  <c r="E661" i="52"/>
  <c r="F661" i="52"/>
  <c r="G661" i="52"/>
  <c r="C662" i="52"/>
  <c r="D662" i="52"/>
  <c r="E662" i="52"/>
  <c r="F662" i="52"/>
  <c r="G662" i="52"/>
  <c r="C663" i="52"/>
  <c r="D663" i="52"/>
  <c r="E663" i="52"/>
  <c r="F663" i="52"/>
  <c r="G663" i="52"/>
  <c r="C664" i="52"/>
  <c r="D664" i="52"/>
  <c r="E664" i="52"/>
  <c r="F664" i="52"/>
  <c r="G664" i="52"/>
  <c r="C665" i="52"/>
  <c r="D665" i="52"/>
  <c r="E665" i="52"/>
  <c r="F665" i="52"/>
  <c r="G665" i="52"/>
  <c r="C666" i="52"/>
  <c r="D666" i="52"/>
  <c r="E666" i="52"/>
  <c r="F666" i="52"/>
  <c r="G666" i="52"/>
  <c r="C667" i="52"/>
  <c r="D667" i="52"/>
  <c r="E667" i="52"/>
  <c r="F667" i="52"/>
  <c r="G667" i="52"/>
  <c r="C668" i="52"/>
  <c r="D668" i="52"/>
  <c r="E668" i="52"/>
  <c r="F668" i="52"/>
  <c r="G668" i="52"/>
  <c r="C669" i="52"/>
  <c r="D669" i="52"/>
  <c r="E669" i="52"/>
  <c r="F669" i="52"/>
  <c r="G669" i="52"/>
  <c r="C670" i="52"/>
  <c r="D670" i="52"/>
  <c r="E670" i="52"/>
  <c r="F670" i="52"/>
  <c r="G670" i="52"/>
  <c r="C671" i="52"/>
  <c r="D671" i="52"/>
  <c r="E671" i="52"/>
  <c r="F671" i="52"/>
  <c r="G671" i="52"/>
  <c r="C672" i="52"/>
  <c r="D672" i="52"/>
  <c r="E672" i="52"/>
  <c r="F672" i="52"/>
  <c r="G672" i="52"/>
  <c r="C673" i="52"/>
  <c r="D673" i="52"/>
  <c r="E673" i="52"/>
  <c r="F673" i="52"/>
  <c r="G673" i="52"/>
  <c r="C674" i="52"/>
  <c r="D674" i="52"/>
  <c r="E674" i="52"/>
  <c r="F674" i="52"/>
  <c r="G674" i="52"/>
  <c r="C675" i="52"/>
  <c r="D675" i="52"/>
  <c r="E675" i="52"/>
  <c r="F675" i="52"/>
  <c r="G675" i="52"/>
  <c r="C676" i="52"/>
  <c r="D676" i="52"/>
  <c r="E676" i="52"/>
  <c r="F676" i="52"/>
  <c r="G676" i="52"/>
  <c r="C677" i="52"/>
  <c r="D677" i="52"/>
  <c r="E677" i="52"/>
  <c r="F677" i="52"/>
  <c r="G677" i="52"/>
  <c r="C678" i="52"/>
  <c r="D678" i="52"/>
  <c r="E678" i="52"/>
  <c r="F678" i="52"/>
  <c r="G678" i="52"/>
  <c r="C679" i="52"/>
  <c r="D679" i="52"/>
  <c r="E679" i="52"/>
  <c r="F679" i="52"/>
  <c r="G679" i="52"/>
  <c r="C680" i="52"/>
  <c r="D680" i="52"/>
  <c r="E680" i="52"/>
  <c r="F680" i="52"/>
  <c r="G680" i="52"/>
  <c r="C681" i="52"/>
  <c r="D681" i="52"/>
  <c r="E681" i="52"/>
  <c r="F681" i="52"/>
  <c r="G681" i="52"/>
  <c r="C682" i="52"/>
  <c r="D682" i="52"/>
  <c r="E682" i="52"/>
  <c r="F682" i="52"/>
  <c r="G682" i="52"/>
  <c r="C683" i="52"/>
  <c r="D683" i="52"/>
  <c r="E683" i="52"/>
  <c r="F683" i="52"/>
  <c r="G683" i="52"/>
  <c r="C684" i="52"/>
  <c r="D684" i="52"/>
  <c r="E684" i="52"/>
  <c r="F684" i="52"/>
  <c r="G684" i="52"/>
  <c r="C685" i="52"/>
  <c r="D685" i="52"/>
  <c r="E685" i="52"/>
  <c r="F685" i="52"/>
  <c r="G685" i="52"/>
  <c r="C686" i="52"/>
  <c r="D686" i="52"/>
  <c r="E686" i="52"/>
  <c r="F686" i="52"/>
  <c r="G686" i="52"/>
  <c r="C687" i="52"/>
  <c r="D687" i="52"/>
  <c r="E687" i="52"/>
  <c r="F687" i="52"/>
  <c r="G687" i="52"/>
  <c r="C688" i="52"/>
  <c r="D688" i="52"/>
  <c r="E688" i="52"/>
  <c r="F688" i="52"/>
  <c r="G688" i="52"/>
  <c r="C689" i="52"/>
  <c r="D689" i="52"/>
  <c r="E689" i="52"/>
  <c r="F689" i="52"/>
  <c r="G689" i="52"/>
  <c r="C690" i="52"/>
  <c r="D690" i="52"/>
  <c r="E690" i="52"/>
  <c r="F690" i="52"/>
  <c r="G690" i="52"/>
  <c r="C691" i="52"/>
  <c r="D691" i="52"/>
  <c r="E691" i="52"/>
  <c r="F691" i="52"/>
  <c r="G691" i="52"/>
  <c r="C692" i="52"/>
  <c r="D692" i="52"/>
  <c r="E692" i="52"/>
  <c r="F692" i="52"/>
  <c r="G692" i="52"/>
  <c r="C693" i="52"/>
  <c r="D693" i="52"/>
  <c r="E693" i="52"/>
  <c r="F693" i="52"/>
  <c r="G693" i="52"/>
  <c r="C694" i="52"/>
  <c r="D694" i="52"/>
  <c r="E694" i="52"/>
  <c r="F694" i="52"/>
  <c r="G694" i="52"/>
  <c r="C695" i="52"/>
  <c r="D695" i="52"/>
  <c r="E695" i="52"/>
  <c r="F695" i="52"/>
  <c r="G695" i="52"/>
  <c r="C696" i="52"/>
  <c r="D696" i="52"/>
  <c r="E696" i="52"/>
  <c r="F696" i="52"/>
  <c r="G696" i="52"/>
  <c r="C697" i="52"/>
  <c r="D697" i="52"/>
  <c r="E697" i="52"/>
  <c r="F697" i="52"/>
  <c r="G697" i="52"/>
  <c r="C698" i="52"/>
  <c r="D698" i="52"/>
  <c r="E698" i="52"/>
  <c r="F698" i="52"/>
  <c r="G698" i="52"/>
  <c r="C699" i="52"/>
  <c r="D699" i="52"/>
  <c r="E699" i="52"/>
  <c r="F699" i="52"/>
  <c r="G699" i="52"/>
  <c r="C700" i="52"/>
  <c r="D700" i="52"/>
  <c r="E700" i="52"/>
  <c r="F700" i="52"/>
  <c r="G700" i="52"/>
  <c r="C701" i="52"/>
  <c r="D701" i="52"/>
  <c r="Y17" i="49" s="1"/>
  <c r="E701" i="52"/>
  <c r="X17" i="49" s="1"/>
  <c r="F701" i="52"/>
  <c r="W17" i="49" s="1"/>
  <c r="G701" i="52"/>
  <c r="V17" i="49" s="1"/>
  <c r="C702" i="52"/>
  <c r="D702" i="52"/>
  <c r="Y22" i="49" s="1"/>
  <c r="E702" i="52"/>
  <c r="X22" i="49" s="1"/>
  <c r="F702" i="52"/>
  <c r="W22" i="49" s="1"/>
  <c r="G702" i="52"/>
  <c r="V22" i="49" s="1"/>
  <c r="C703" i="52"/>
  <c r="D703" i="52"/>
  <c r="E703" i="52"/>
  <c r="F703" i="52"/>
  <c r="G703" i="52"/>
  <c r="C704" i="52"/>
  <c r="G61" i="4" s="1"/>
  <c r="D704" i="52"/>
  <c r="E704" i="52"/>
  <c r="F704" i="52"/>
  <c r="G704" i="52"/>
  <c r="C705" i="52"/>
  <c r="D705" i="52"/>
  <c r="E705" i="52"/>
  <c r="F705" i="52"/>
  <c r="G705" i="52"/>
  <c r="C706" i="52"/>
  <c r="G62" i="4" s="1"/>
  <c r="D706" i="52"/>
  <c r="E706" i="52"/>
  <c r="F706" i="52"/>
  <c r="G706" i="52"/>
  <c r="C707" i="52"/>
  <c r="G63" i="4" s="1"/>
  <c r="D707" i="52"/>
  <c r="E707" i="52"/>
  <c r="F707" i="52"/>
  <c r="G707" i="52"/>
  <c r="C708" i="52"/>
  <c r="D708" i="52"/>
  <c r="E708" i="52"/>
  <c r="F708" i="52"/>
  <c r="G708" i="52"/>
  <c r="C709" i="52"/>
  <c r="G64" i="4" s="1"/>
  <c r="D709" i="52"/>
  <c r="E709" i="52"/>
  <c r="F709" i="52"/>
  <c r="G709" i="52"/>
  <c r="C710" i="52"/>
  <c r="D710" i="52"/>
  <c r="E710" i="52"/>
  <c r="F710" i="52"/>
  <c r="G710" i="52"/>
  <c r="C711" i="52"/>
  <c r="Z23" i="49" s="1"/>
  <c r="D711" i="52"/>
  <c r="Y23" i="49" s="1"/>
  <c r="E711" i="52"/>
  <c r="X23" i="49" s="1"/>
  <c r="F711" i="52"/>
  <c r="W23" i="49" s="1"/>
  <c r="G711" i="52"/>
  <c r="V23" i="49" s="1"/>
  <c r="C712" i="52"/>
  <c r="D712" i="52"/>
  <c r="E712" i="52"/>
  <c r="F712" i="52"/>
  <c r="G712" i="52"/>
  <c r="C713" i="52"/>
  <c r="D713" i="52"/>
  <c r="E713" i="52"/>
  <c r="F713" i="52"/>
  <c r="G713" i="52"/>
  <c r="C714" i="52"/>
  <c r="D714" i="52"/>
  <c r="E714" i="52"/>
  <c r="F714" i="52"/>
  <c r="G714" i="52"/>
  <c r="C715" i="52"/>
  <c r="D715" i="52"/>
  <c r="E715" i="52"/>
  <c r="F715" i="52"/>
  <c r="G715" i="52"/>
  <c r="C716" i="52"/>
  <c r="D716" i="52"/>
  <c r="E716" i="52"/>
  <c r="F716" i="52"/>
  <c r="G716" i="52"/>
  <c r="C717" i="52"/>
  <c r="D717" i="52"/>
  <c r="E717" i="52"/>
  <c r="F717" i="52"/>
  <c r="G717" i="52"/>
  <c r="C718" i="52"/>
  <c r="D718" i="52"/>
  <c r="E718" i="52"/>
  <c r="F718" i="52"/>
  <c r="G718" i="52"/>
  <c r="C719" i="52"/>
  <c r="D719" i="52"/>
  <c r="E719" i="52"/>
  <c r="F719" i="52"/>
  <c r="G719" i="52"/>
  <c r="C720" i="52"/>
  <c r="D720" i="52"/>
  <c r="E720" i="52"/>
  <c r="F720" i="52"/>
  <c r="G720" i="52"/>
  <c r="C721" i="52"/>
  <c r="D721" i="52"/>
  <c r="E721" i="52"/>
  <c r="F721" i="52"/>
  <c r="G721" i="52"/>
  <c r="C722" i="52"/>
  <c r="D722" i="52"/>
  <c r="E722" i="52"/>
  <c r="F722" i="52"/>
  <c r="G722" i="52"/>
  <c r="C723" i="52"/>
  <c r="D723" i="52"/>
  <c r="E723" i="52"/>
  <c r="F723" i="52"/>
  <c r="G723" i="52"/>
  <c r="C724" i="52"/>
  <c r="D724" i="52"/>
  <c r="E724" i="52"/>
  <c r="F724" i="52"/>
  <c r="G724" i="52"/>
  <c r="C725" i="52"/>
  <c r="D725" i="52"/>
  <c r="E725" i="52"/>
  <c r="F725" i="52"/>
  <c r="G725" i="52"/>
  <c r="C726" i="52"/>
  <c r="D726" i="52"/>
  <c r="E726" i="52"/>
  <c r="F726" i="52"/>
  <c r="G726" i="52"/>
  <c r="C727" i="52"/>
  <c r="G65" i="4" s="1"/>
  <c r="D727" i="52"/>
  <c r="E727" i="52"/>
  <c r="F727" i="52"/>
  <c r="G727" i="52"/>
  <c r="C728" i="52"/>
  <c r="D728" i="52"/>
  <c r="E728" i="52"/>
  <c r="F728" i="52"/>
  <c r="G728" i="52"/>
  <c r="C729" i="52"/>
  <c r="D729" i="52"/>
  <c r="E729" i="52"/>
  <c r="F729" i="52"/>
  <c r="G729" i="52"/>
  <c r="C730" i="52"/>
  <c r="D730" i="52"/>
  <c r="E730" i="52"/>
  <c r="F730" i="52"/>
  <c r="G730" i="52"/>
  <c r="C731" i="52"/>
  <c r="D731" i="52"/>
  <c r="E731" i="52"/>
  <c r="F731" i="52"/>
  <c r="G731" i="52"/>
  <c r="C732" i="52"/>
  <c r="G66" i="4" s="1"/>
  <c r="D732" i="52"/>
  <c r="E732" i="52"/>
  <c r="F732" i="52"/>
  <c r="G732" i="52"/>
  <c r="C733" i="52"/>
  <c r="D733" i="52"/>
  <c r="E733" i="52"/>
  <c r="F733" i="52"/>
  <c r="G733" i="52"/>
  <c r="C734" i="52"/>
  <c r="D734" i="52"/>
  <c r="E734" i="52"/>
  <c r="F734" i="52"/>
  <c r="G734" i="52"/>
  <c r="C735" i="52"/>
  <c r="D735" i="52"/>
  <c r="E735" i="52"/>
  <c r="F735" i="52"/>
  <c r="G735" i="52"/>
  <c r="C736" i="52"/>
  <c r="D736" i="52"/>
  <c r="E736" i="52"/>
  <c r="F736" i="52"/>
  <c r="G736" i="52"/>
  <c r="C737" i="52"/>
  <c r="D737" i="52"/>
  <c r="E737" i="52"/>
  <c r="F737" i="52"/>
  <c r="G737" i="52"/>
  <c r="C738" i="52"/>
  <c r="D738" i="52"/>
  <c r="E738" i="52"/>
  <c r="F738" i="52"/>
  <c r="G738" i="52"/>
  <c r="C739" i="52"/>
  <c r="D739" i="52"/>
  <c r="E739" i="52"/>
  <c r="F739" i="52"/>
  <c r="G739" i="52"/>
  <c r="C740" i="52"/>
  <c r="D740" i="52"/>
  <c r="E740" i="52"/>
  <c r="F740" i="52"/>
  <c r="G740" i="52"/>
  <c r="C741" i="52"/>
  <c r="D741" i="52"/>
  <c r="E741" i="52"/>
  <c r="F741" i="52"/>
  <c r="G741" i="52"/>
  <c r="C742" i="52"/>
  <c r="D742" i="52"/>
  <c r="E742" i="52"/>
  <c r="F742" i="52"/>
  <c r="G742" i="52"/>
  <c r="C743" i="52"/>
  <c r="D743" i="52"/>
  <c r="E743" i="52"/>
  <c r="F743" i="52"/>
  <c r="G743" i="52"/>
  <c r="C744" i="52"/>
  <c r="D744" i="52"/>
  <c r="E744" i="52"/>
  <c r="F744" i="52"/>
  <c r="G744" i="52"/>
  <c r="C745" i="52"/>
  <c r="D745" i="52"/>
  <c r="E745" i="52"/>
  <c r="F745" i="52"/>
  <c r="G745" i="52"/>
  <c r="C746" i="52"/>
  <c r="D746" i="52"/>
  <c r="E746" i="52"/>
  <c r="F746" i="52"/>
  <c r="G746" i="52"/>
  <c r="C747" i="52"/>
  <c r="G67" i="4" s="1"/>
  <c r="D747" i="52"/>
  <c r="E747" i="52"/>
  <c r="F747" i="52"/>
  <c r="G747" i="52"/>
  <c r="C748" i="52"/>
  <c r="D748" i="52"/>
  <c r="E748" i="52"/>
  <c r="F748" i="52"/>
  <c r="G748" i="52"/>
  <c r="C749" i="52"/>
  <c r="D749" i="52"/>
  <c r="E749" i="52"/>
  <c r="F749" i="52"/>
  <c r="G749" i="52"/>
  <c r="C750" i="52"/>
  <c r="D750" i="52"/>
  <c r="E750" i="52"/>
  <c r="F750" i="52"/>
  <c r="G750" i="52"/>
  <c r="C751" i="52"/>
  <c r="D751" i="52"/>
  <c r="E751" i="52"/>
  <c r="F751" i="52"/>
  <c r="G751" i="52"/>
  <c r="C752" i="52"/>
  <c r="D752" i="52"/>
  <c r="E752" i="52"/>
  <c r="F752" i="52"/>
  <c r="G752" i="52"/>
  <c r="C753" i="52"/>
  <c r="D753" i="52"/>
  <c r="E753" i="52"/>
  <c r="F753" i="52"/>
  <c r="G753" i="52"/>
  <c r="C754" i="52"/>
  <c r="D754" i="52"/>
  <c r="E754" i="52"/>
  <c r="F754" i="52"/>
  <c r="G754" i="52"/>
  <c r="C755" i="52"/>
  <c r="D755" i="52"/>
  <c r="E755" i="52"/>
  <c r="F755" i="52"/>
  <c r="G755" i="52"/>
  <c r="C756" i="52"/>
  <c r="D756" i="52"/>
  <c r="E756" i="52"/>
  <c r="F756" i="52"/>
  <c r="G756" i="52"/>
  <c r="C757" i="52"/>
  <c r="D757" i="52"/>
  <c r="E757" i="52"/>
  <c r="F757" i="52"/>
  <c r="G757" i="52"/>
  <c r="C758" i="52"/>
  <c r="D758" i="52"/>
  <c r="E758" i="52"/>
  <c r="F758" i="52"/>
  <c r="G758" i="52"/>
  <c r="C759" i="52"/>
  <c r="D759" i="52"/>
  <c r="E759" i="52"/>
  <c r="F759" i="52"/>
  <c r="G759" i="52"/>
  <c r="C760" i="52"/>
  <c r="D760" i="52"/>
  <c r="E760" i="52"/>
  <c r="F760" i="52"/>
  <c r="G760" i="52"/>
  <c r="C761" i="52"/>
  <c r="D761" i="52"/>
  <c r="E761" i="52"/>
  <c r="F761" i="52"/>
  <c r="G761" i="52"/>
  <c r="C762" i="52"/>
  <c r="D762" i="52"/>
  <c r="E762" i="52"/>
  <c r="F762" i="52"/>
  <c r="G762" i="52"/>
  <c r="C763" i="52"/>
  <c r="D763" i="52"/>
  <c r="E763" i="52"/>
  <c r="F763" i="52"/>
  <c r="G763" i="52"/>
  <c r="C764" i="52"/>
  <c r="D764" i="52"/>
  <c r="E764" i="52"/>
  <c r="F764" i="52"/>
  <c r="G764" i="52"/>
  <c r="C765" i="52"/>
  <c r="D765" i="52"/>
  <c r="E765" i="52"/>
  <c r="F765" i="52"/>
  <c r="G765" i="52"/>
  <c r="C766" i="52"/>
  <c r="D766" i="52"/>
  <c r="E766" i="52"/>
  <c r="F766" i="52"/>
  <c r="G766" i="52"/>
  <c r="C767" i="52"/>
  <c r="D767" i="52"/>
  <c r="E767" i="52"/>
  <c r="F767" i="52"/>
  <c r="G767" i="52"/>
  <c r="C768" i="52"/>
  <c r="G68" i="4" s="1"/>
  <c r="D768" i="52"/>
  <c r="E768" i="52"/>
  <c r="F768" i="52"/>
  <c r="G768" i="52"/>
  <c r="C769" i="52"/>
  <c r="D769" i="52"/>
  <c r="E769" i="52"/>
  <c r="F769" i="52"/>
  <c r="G769" i="52"/>
  <c r="C770" i="52"/>
  <c r="D770" i="52"/>
  <c r="E770" i="52"/>
  <c r="F770" i="52"/>
  <c r="G770" i="52"/>
  <c r="C771" i="52"/>
  <c r="D771" i="52"/>
  <c r="E771" i="52"/>
  <c r="F771" i="52"/>
  <c r="G771" i="52"/>
  <c r="C772" i="52"/>
  <c r="D772" i="52"/>
  <c r="E772" i="52"/>
  <c r="F772" i="52"/>
  <c r="G772" i="52"/>
  <c r="C773" i="52"/>
  <c r="D773" i="52"/>
  <c r="E773" i="52"/>
  <c r="F773" i="52"/>
  <c r="G773" i="52"/>
  <c r="C774" i="52"/>
  <c r="D774" i="52"/>
  <c r="E774" i="52"/>
  <c r="F774" i="52"/>
  <c r="G774" i="52"/>
  <c r="C775" i="52"/>
  <c r="D775" i="52"/>
  <c r="E775" i="52"/>
  <c r="F775" i="52"/>
  <c r="G775" i="52"/>
  <c r="C776" i="52"/>
  <c r="D776" i="52"/>
  <c r="E776" i="52"/>
  <c r="F776" i="52"/>
  <c r="G776" i="52"/>
  <c r="C777" i="52"/>
  <c r="D777" i="52"/>
  <c r="E777" i="52"/>
  <c r="F777" i="52"/>
  <c r="G777" i="52"/>
  <c r="C778" i="52"/>
  <c r="D778" i="52"/>
  <c r="E778" i="52"/>
  <c r="F778" i="52"/>
  <c r="G778" i="52"/>
  <c r="C779" i="52"/>
  <c r="D779" i="52"/>
  <c r="E779" i="52"/>
  <c r="F779" i="52"/>
  <c r="G779" i="52"/>
  <c r="C780" i="52"/>
  <c r="D780" i="52"/>
  <c r="E780" i="52"/>
  <c r="F780" i="52"/>
  <c r="G780" i="52"/>
  <c r="C781" i="52"/>
  <c r="D781" i="52"/>
  <c r="E781" i="52"/>
  <c r="F781" i="52"/>
  <c r="G781" i="52"/>
  <c r="C782" i="52"/>
  <c r="D782" i="52"/>
  <c r="E782" i="52"/>
  <c r="F782" i="52"/>
  <c r="G782" i="52"/>
  <c r="C783" i="52"/>
  <c r="D783" i="52"/>
  <c r="E783" i="52"/>
  <c r="F783" i="52"/>
  <c r="G783" i="52"/>
  <c r="C784" i="52"/>
  <c r="D784" i="52"/>
  <c r="E784" i="52"/>
  <c r="F784" i="52"/>
  <c r="G784" i="52"/>
  <c r="C785" i="52"/>
  <c r="D785" i="52"/>
  <c r="E785" i="52"/>
  <c r="F785" i="52"/>
  <c r="G785" i="52"/>
  <c r="C786" i="52"/>
  <c r="D786" i="52"/>
  <c r="E786" i="52"/>
  <c r="F786" i="52"/>
  <c r="G786" i="52"/>
  <c r="C787" i="52"/>
  <c r="D787" i="52"/>
  <c r="Y20" i="49" s="1"/>
  <c r="E787" i="52"/>
  <c r="X20" i="49" s="1"/>
  <c r="F787" i="52"/>
  <c r="W20" i="49" s="1"/>
  <c r="G787" i="52"/>
  <c r="V20" i="49" s="1"/>
  <c r="C788" i="52"/>
  <c r="G70" i="4" s="1"/>
  <c r="D788" i="52"/>
  <c r="E788" i="52"/>
  <c r="F788" i="52"/>
  <c r="G788" i="52"/>
  <c r="C789" i="52"/>
  <c r="D789" i="52"/>
  <c r="E789" i="52"/>
  <c r="F789" i="52"/>
  <c r="G789" i="52"/>
  <c r="C790" i="52"/>
  <c r="D790" i="52"/>
  <c r="E790" i="52"/>
  <c r="F790" i="52"/>
  <c r="G790" i="52"/>
  <c r="G4" i="52"/>
  <c r="F4" i="52"/>
  <c r="E4" i="52"/>
  <c r="D4" i="52"/>
  <c r="C4" i="52"/>
  <c r="G3" i="4" s="1"/>
  <c r="K137" i="32" l="1"/>
  <c r="I131" i="32"/>
  <c r="I124" i="32"/>
  <c r="I115" i="32"/>
  <c r="I86" i="32"/>
  <c r="K79" i="32"/>
  <c r="I72" i="32"/>
  <c r="K65" i="32"/>
  <c r="I58" i="32"/>
  <c r="K51" i="32"/>
  <c r="I44" i="32"/>
  <c r="K37" i="32"/>
  <c r="I30" i="32"/>
  <c r="K24" i="32"/>
  <c r="K7" i="32"/>
  <c r="I157" i="32"/>
  <c r="I150" i="32"/>
  <c r="I143" i="32"/>
  <c r="I136" i="32"/>
  <c r="I125" i="32"/>
  <c r="I116" i="32"/>
  <c r="I193" i="32"/>
  <c r="I186" i="32"/>
  <c r="I179" i="32"/>
  <c r="I172" i="32"/>
  <c r="I165" i="32"/>
  <c r="I158" i="32"/>
  <c r="I151" i="32"/>
  <c r="I144" i="32"/>
  <c r="I137" i="32"/>
  <c r="K221" i="32"/>
  <c r="K214" i="32"/>
  <c r="K207" i="32"/>
  <c r="K200" i="32"/>
  <c r="K193" i="32"/>
  <c r="K186" i="32"/>
  <c r="K179" i="32"/>
  <c r="K172" i="32"/>
  <c r="K165" i="32"/>
  <c r="K158" i="32"/>
  <c r="K151" i="32"/>
  <c r="K144" i="32"/>
  <c r="L20" i="32"/>
  <c r="L78" i="32"/>
  <c r="L64" i="32"/>
  <c r="L50" i="32"/>
  <c r="L36" i="32"/>
  <c r="L23" i="32"/>
  <c r="I220" i="32"/>
  <c r="I213" i="32"/>
  <c r="I206" i="32"/>
  <c r="I199" i="32"/>
  <c r="I192" i="32"/>
  <c r="I185" i="32"/>
  <c r="I178" i="32"/>
  <c r="I171" i="32"/>
  <c r="I164" i="32"/>
  <c r="L131" i="32"/>
  <c r="L124" i="32"/>
  <c r="K20" i="32"/>
  <c r="L86" i="32"/>
  <c r="I85" i="32"/>
  <c r="K78" i="32"/>
  <c r="L72" i="32"/>
  <c r="I71" i="32"/>
  <c r="K64" i="32"/>
  <c r="L58" i="32"/>
  <c r="I57" i="32"/>
  <c r="K50" i="32"/>
  <c r="L44" i="32"/>
  <c r="I43" i="32"/>
  <c r="K36" i="32"/>
  <c r="L30" i="32"/>
  <c r="I29" i="32"/>
  <c r="K23" i="32"/>
  <c r="K5" i="32"/>
  <c r="L220" i="32"/>
  <c r="L213" i="32"/>
  <c r="L206" i="32"/>
  <c r="L192" i="32"/>
  <c r="L185" i="32"/>
  <c r="L178" i="32"/>
  <c r="L171" i="32"/>
  <c r="L164" i="32"/>
  <c r="L157" i="32"/>
  <c r="L150" i="32"/>
  <c r="L143" i="32"/>
  <c r="L136" i="32"/>
  <c r="K131" i="32"/>
  <c r="L125" i="32"/>
  <c r="K124" i="32"/>
  <c r="L116" i="32"/>
  <c r="K115" i="32"/>
  <c r="K86" i="32"/>
  <c r="L85" i="32"/>
  <c r="I79" i="32"/>
  <c r="K72" i="32"/>
  <c r="L71" i="32"/>
  <c r="I65" i="32"/>
  <c r="K58" i="32"/>
  <c r="L57" i="32"/>
  <c r="I51" i="32"/>
  <c r="K44" i="32"/>
  <c r="L43" i="32"/>
  <c r="I37" i="32"/>
  <c r="K30" i="32"/>
  <c r="L29" i="32"/>
  <c r="I24" i="32"/>
  <c r="I7" i="32"/>
  <c r="L221" i="32"/>
  <c r="L214" i="32"/>
  <c r="L207" i="32"/>
  <c r="L200" i="32"/>
  <c r="L193" i="32"/>
  <c r="L186" i="32"/>
  <c r="L179" i="32"/>
  <c r="L172" i="32"/>
  <c r="L165" i="32"/>
  <c r="L158" i="32"/>
  <c r="L151" i="32"/>
  <c r="L144" i="32"/>
  <c r="K143" i="32"/>
  <c r="L137" i="32"/>
  <c r="K136" i="32"/>
  <c r="K125" i="32"/>
  <c r="L79" i="32"/>
  <c r="L65" i="32"/>
  <c r="L51" i="32"/>
  <c r="L37" i="32"/>
  <c r="L24" i="32"/>
  <c r="C17" i="32"/>
  <c r="D17" i="32"/>
  <c r="F24" i="32"/>
  <c r="C36" i="32"/>
  <c r="G50" i="32"/>
  <c r="D58" i="32"/>
  <c r="E71" i="32"/>
  <c r="F79" i="32"/>
  <c r="C20" i="32"/>
  <c r="E125" i="32"/>
  <c r="E143" i="32"/>
  <c r="E157" i="32"/>
  <c r="E171" i="32"/>
  <c r="E185" i="32"/>
  <c r="E199" i="32"/>
  <c r="E213" i="32"/>
  <c r="D5" i="32"/>
  <c r="G24" i="32"/>
  <c r="D36" i="32"/>
  <c r="E44" i="32"/>
  <c r="F57" i="32"/>
  <c r="C65" i="32"/>
  <c r="G79" i="32"/>
  <c r="D20" i="32"/>
  <c r="F125" i="32"/>
  <c r="C137" i="32"/>
  <c r="F150" i="32"/>
  <c r="G158" i="32"/>
  <c r="C165" i="32"/>
  <c r="F178" i="32"/>
  <c r="G186" i="32"/>
  <c r="C193" i="32"/>
  <c r="F206" i="32"/>
  <c r="G214" i="32"/>
  <c r="C221" i="32"/>
  <c r="D24" i="32"/>
  <c r="E36" i="32"/>
  <c r="F44" i="32"/>
  <c r="C57" i="32"/>
  <c r="G71" i="32"/>
  <c r="D79" i="32"/>
  <c r="E20" i="32"/>
  <c r="F124" i="32"/>
  <c r="G136" i="32"/>
  <c r="C143" i="32"/>
  <c r="D151" i="32"/>
  <c r="G164" i="32"/>
  <c r="C171" i="32"/>
  <c r="D179" i="32"/>
  <c r="G192" i="32"/>
  <c r="D207" i="32"/>
  <c r="G220" i="32"/>
  <c r="E7" i="32"/>
  <c r="G30" i="32"/>
  <c r="D43" i="32"/>
  <c r="E51" i="32"/>
  <c r="F64" i="32"/>
  <c r="C72" i="32"/>
  <c r="G86" i="32"/>
  <c r="D125" i="32"/>
  <c r="E137" i="32"/>
  <c r="E151" i="32"/>
  <c r="E165" i="32"/>
  <c r="E179" i="32"/>
  <c r="E193" i="32"/>
  <c r="E207" i="32"/>
  <c r="E221" i="32"/>
  <c r="G5" i="32"/>
  <c r="C23" i="32"/>
  <c r="G36" i="32"/>
  <c r="D44" i="32"/>
  <c r="E57" i="32"/>
  <c r="F65" i="32"/>
  <c r="C78" i="32"/>
  <c r="G20" i="32"/>
  <c r="D124" i="32"/>
  <c r="F137" i="32"/>
  <c r="F151" i="32"/>
  <c r="F165" i="32"/>
  <c r="F179" i="32"/>
  <c r="F193" i="32"/>
  <c r="F207" i="32"/>
  <c r="F221" i="32"/>
  <c r="D23" i="32"/>
  <c r="E30" i="32"/>
  <c r="F43" i="32"/>
  <c r="C51" i="32"/>
  <c r="G65" i="32"/>
  <c r="D78" i="32"/>
  <c r="E86" i="32"/>
  <c r="E124" i="32"/>
  <c r="G137" i="32"/>
  <c r="C144" i="32"/>
  <c r="F157" i="32"/>
  <c r="G165" i="32"/>
  <c r="C172" i="32"/>
  <c r="F185" i="32"/>
  <c r="G193" i="32"/>
  <c r="C200" i="32"/>
  <c r="F213" i="32"/>
  <c r="G221" i="32"/>
  <c r="E23" i="32"/>
  <c r="F30" i="32"/>
  <c r="C43" i="32"/>
  <c r="G57" i="32"/>
  <c r="D65" i="32"/>
  <c r="E78" i="32"/>
  <c r="F86" i="32"/>
  <c r="C116" i="32"/>
  <c r="F131" i="32"/>
  <c r="G143" i="32"/>
  <c r="C150" i="32"/>
  <c r="D158" i="32"/>
  <c r="G171" i="32"/>
  <c r="C178" i="32"/>
  <c r="D186" i="32"/>
  <c r="G199" i="32"/>
  <c r="C206" i="32"/>
  <c r="D214" i="32"/>
  <c r="F5" i="32"/>
  <c r="D29" i="32"/>
  <c r="E37" i="32"/>
  <c r="F50" i="32"/>
  <c r="C58" i="32"/>
  <c r="G72" i="32"/>
  <c r="D85" i="32"/>
  <c r="G115" i="32"/>
  <c r="C124" i="32"/>
  <c r="D136" i="32"/>
  <c r="D150" i="32"/>
  <c r="D164" i="32"/>
  <c r="D178" i="32"/>
  <c r="D192" i="32"/>
  <c r="D206" i="32"/>
  <c r="D220" i="32"/>
  <c r="F6" i="32"/>
  <c r="G17" i="32"/>
  <c r="E6" i="32"/>
  <c r="G23" i="32"/>
  <c r="D30" i="32"/>
  <c r="E43" i="32"/>
  <c r="F51" i="32"/>
  <c r="C64" i="32"/>
  <c r="G78" i="32"/>
  <c r="D86" i="32"/>
  <c r="E116" i="32"/>
  <c r="E136" i="32"/>
  <c r="E150" i="32"/>
  <c r="E164" i="32"/>
  <c r="E178" i="32"/>
  <c r="E192" i="32"/>
  <c r="E206" i="32"/>
  <c r="E220" i="32"/>
  <c r="F29" i="32"/>
  <c r="C37" i="32"/>
  <c r="G51" i="32"/>
  <c r="D64" i="32"/>
  <c r="E72" i="32"/>
  <c r="F85" i="32"/>
  <c r="F116" i="32"/>
  <c r="F136" i="32"/>
  <c r="G144" i="32"/>
  <c r="C151" i="32"/>
  <c r="F164" i="32"/>
  <c r="G172" i="32"/>
  <c r="C179" i="32"/>
  <c r="F192" i="32"/>
  <c r="G200" i="32"/>
  <c r="C207" i="32"/>
  <c r="F220" i="32"/>
  <c r="D7" i="32"/>
  <c r="C29" i="32"/>
  <c r="G43" i="32"/>
  <c r="D51" i="32"/>
  <c r="E64" i="32"/>
  <c r="F72" i="32"/>
  <c r="C85" i="32"/>
  <c r="G116" i="32"/>
  <c r="C125" i="32"/>
  <c r="D137" i="32"/>
  <c r="G150" i="32"/>
  <c r="C157" i="32"/>
  <c r="D165" i="32"/>
  <c r="G178" i="32"/>
  <c r="C185" i="32"/>
  <c r="D193" i="32"/>
  <c r="G206" i="32"/>
  <c r="C213" i="32"/>
  <c r="D221" i="32"/>
  <c r="E24" i="32"/>
  <c r="F36" i="32"/>
  <c r="C44" i="32"/>
  <c r="G58" i="32"/>
  <c r="D71" i="32"/>
  <c r="E79" i="32"/>
  <c r="F20" i="32"/>
  <c r="G124" i="32"/>
  <c r="C131" i="32"/>
  <c r="E144" i="32"/>
  <c r="E158" i="32"/>
  <c r="E172" i="32"/>
  <c r="E186" i="32"/>
  <c r="E200" i="32"/>
  <c r="E214" i="32"/>
  <c r="F7" i="32"/>
  <c r="E29" i="32"/>
  <c r="F37" i="32"/>
  <c r="C50" i="32"/>
  <c r="G64" i="32"/>
  <c r="D72" i="32"/>
  <c r="E85" i="32"/>
  <c r="D115" i="32"/>
  <c r="D131" i="32"/>
  <c r="F144" i="32"/>
  <c r="F158" i="32"/>
  <c r="F172" i="32"/>
  <c r="F186" i="32"/>
  <c r="F200" i="32"/>
  <c r="F214" i="32"/>
  <c r="G7" i="32"/>
  <c r="C24" i="32"/>
  <c r="G37" i="32"/>
  <c r="D50" i="32"/>
  <c r="E58" i="32"/>
  <c r="F71" i="32"/>
  <c r="C79" i="32"/>
  <c r="E115" i="32"/>
  <c r="E131" i="32"/>
  <c r="F143" i="32"/>
  <c r="G151" i="32"/>
  <c r="C158" i="32"/>
  <c r="F171" i="32"/>
  <c r="G179" i="32"/>
  <c r="C186" i="32"/>
  <c r="F199" i="32"/>
  <c r="G207" i="32"/>
  <c r="C214" i="32"/>
  <c r="E5" i="32"/>
  <c r="G29" i="32"/>
  <c r="D37" i="32"/>
  <c r="E50" i="32"/>
  <c r="F58" i="32"/>
  <c r="C71" i="32"/>
  <c r="G85" i="32"/>
  <c r="F115" i="32"/>
  <c r="G125" i="32"/>
  <c r="C136" i="32"/>
  <c r="D144" i="32"/>
  <c r="G157" i="32"/>
  <c r="C164" i="32"/>
  <c r="D172" i="32"/>
  <c r="G185" i="32"/>
  <c r="C192" i="32"/>
  <c r="D200" i="32"/>
  <c r="G213" i="32"/>
  <c r="C220" i="32"/>
  <c r="F23" i="32"/>
  <c r="C30" i="32"/>
  <c r="G44" i="32"/>
  <c r="D57" i="32"/>
  <c r="E65" i="32"/>
  <c r="F78" i="32"/>
  <c r="C86" i="32"/>
  <c r="D116" i="32"/>
  <c r="G131" i="32"/>
  <c r="D143" i="32"/>
  <c r="D157" i="32"/>
  <c r="D171" i="32"/>
  <c r="D185" i="32"/>
  <c r="D199" i="32"/>
  <c r="D213" i="32"/>
  <c r="G59" i="4"/>
  <c r="Z17" i="49"/>
  <c r="G50" i="4"/>
  <c r="Z12" i="49"/>
  <c r="G49" i="4"/>
  <c r="Z13" i="49"/>
  <c r="G33" i="4"/>
  <c r="Z19" i="49"/>
  <c r="G28" i="4"/>
  <c r="L199" i="32"/>
  <c r="I17" i="32"/>
  <c r="I6" i="32"/>
  <c r="G8" i="4"/>
  <c r="Z21" i="49"/>
  <c r="G60" i="4"/>
  <c r="Z22" i="49"/>
  <c r="H17" i="32"/>
  <c r="H6" i="32"/>
  <c r="G26" i="4"/>
  <c r="L17" i="32"/>
  <c r="L6" i="32"/>
  <c r="G25" i="4"/>
  <c r="L7" i="32"/>
  <c r="G69" i="4"/>
  <c r="Z20" i="49"/>
  <c r="G57" i="4"/>
  <c r="Z14" i="49"/>
  <c r="G44" i="4"/>
  <c r="Z10" i="49"/>
  <c r="G35" i="4"/>
  <c r="Z9" i="49"/>
  <c r="K17" i="32"/>
  <c r="K6" i="32"/>
  <c r="G24" i="4"/>
  <c r="L5" i="32"/>
  <c r="G17" i="4"/>
  <c r="Z15" i="49"/>
  <c r="G48" i="4"/>
  <c r="Z18" i="49"/>
  <c r="G32" i="4"/>
  <c r="Z16" i="49"/>
  <c r="G27" i="4"/>
  <c r="L115" i="32"/>
  <c r="J17" i="32"/>
  <c r="J6" i="32"/>
  <c r="J255" i="4"/>
  <c r="J254" i="4"/>
  <c r="J252" i="4"/>
  <c r="J251" i="4"/>
  <c r="J250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74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3" i="4"/>
  <c r="C314" i="1" l="1"/>
  <c r="C313" i="1"/>
  <c r="C312" i="1"/>
  <c r="C311" i="1"/>
  <c r="C310" i="1"/>
  <c r="C309" i="1"/>
  <c r="C308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26" i="1"/>
  <c r="C125" i="1"/>
  <c r="C116" i="1"/>
  <c r="C111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3" i="1"/>
  <c r="C72" i="1"/>
  <c r="C71" i="1"/>
  <c r="C55" i="1"/>
  <c r="C40" i="1"/>
  <c r="C39" i="1"/>
  <c r="C38" i="1"/>
  <c r="C36" i="1"/>
  <c r="C35" i="1"/>
  <c r="C34" i="1"/>
  <c r="C33" i="1"/>
  <c r="C32" i="1"/>
  <c r="C31" i="1"/>
  <c r="C30" i="1"/>
  <c r="C18" i="1"/>
  <c r="C15" i="1"/>
  <c r="C13" i="1"/>
  <c r="C12" i="1"/>
  <c r="C11" i="1"/>
  <c r="C10" i="1"/>
  <c r="C9" i="1"/>
  <c r="C7" i="1"/>
  <c r="C6" i="1"/>
  <c r="C5" i="1"/>
  <c r="C4" i="1"/>
  <c r="C3" i="1"/>
  <c r="G255" i="4"/>
  <c r="I255" i="4" s="1"/>
  <c r="G254" i="4"/>
  <c r="I254" i="4" s="1"/>
  <c r="G252" i="4"/>
  <c r="I252" i="4" s="1"/>
  <c r="G251" i="4"/>
  <c r="I251" i="4" s="1"/>
  <c r="G250" i="4"/>
  <c r="I250" i="4" s="1"/>
  <c r="I244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29" i="4"/>
  <c r="I128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5" i="4"/>
  <c r="I74" i="4"/>
  <c r="I66" i="4"/>
  <c r="I63" i="4"/>
  <c r="I62" i="4"/>
  <c r="I58" i="4"/>
  <c r="I56" i="4"/>
  <c r="I55" i="4"/>
  <c r="I54" i="4"/>
  <c r="I53" i="4"/>
  <c r="I52" i="4"/>
  <c r="I51" i="4"/>
  <c r="I49" i="4"/>
  <c r="I47" i="4"/>
  <c r="I45" i="4"/>
  <c r="I43" i="4"/>
  <c r="I42" i="4"/>
  <c r="I41" i="4"/>
  <c r="I40" i="4"/>
  <c r="I39" i="4"/>
  <c r="I38" i="4"/>
  <c r="I37" i="4"/>
  <c r="I36" i="4"/>
  <c r="I34" i="4"/>
  <c r="I31" i="4"/>
  <c r="I30" i="4"/>
  <c r="I28" i="4"/>
  <c r="I26" i="4"/>
  <c r="I23" i="4"/>
  <c r="I22" i="4"/>
  <c r="I21" i="4"/>
  <c r="I20" i="4"/>
  <c r="I19" i="4"/>
  <c r="I15" i="4"/>
  <c r="I14" i="4"/>
  <c r="I13" i="4"/>
  <c r="I12" i="4"/>
  <c r="I11" i="4"/>
  <c r="I10" i="4"/>
  <c r="I9" i="4"/>
  <c r="I8" i="4"/>
  <c r="I7" i="4"/>
  <c r="I6" i="4"/>
  <c r="I5" i="4"/>
  <c r="E255" i="4"/>
  <c r="E254" i="4"/>
  <c r="E252" i="4"/>
  <c r="E251" i="4"/>
  <c r="E250" i="4"/>
  <c r="E2" i="4"/>
  <c r="F249" i="4"/>
  <c r="D249" i="4"/>
  <c r="F73" i="4"/>
  <c r="D73" i="4"/>
  <c r="C1" i="4" l="1"/>
  <c r="C255" i="4"/>
  <c r="C254" i="4"/>
  <c r="C252" i="4"/>
  <c r="C251" i="4"/>
  <c r="C250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E249" i="4" l="1"/>
  <c r="E73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I61" i="4"/>
  <c r="D3" i="52"/>
  <c r="F3" i="52"/>
  <c r="G3" i="52"/>
  <c r="F2" i="32" l="1"/>
  <c r="F112" i="32"/>
  <c r="G2" i="32"/>
  <c r="G112" i="32"/>
  <c r="D112" i="32"/>
  <c r="D2" i="32"/>
  <c r="E2" i="32"/>
  <c r="E112" i="32"/>
  <c r="C2" i="32"/>
  <c r="C112" i="32"/>
  <c r="K112" i="32"/>
  <c r="K2" i="32"/>
  <c r="Y2" i="49"/>
  <c r="G73" i="4"/>
  <c r="L2" i="32"/>
  <c r="L112" i="32"/>
  <c r="Z2" i="49"/>
  <c r="J2" i="32"/>
  <c r="J112" i="32"/>
  <c r="X2" i="49"/>
  <c r="I112" i="32"/>
  <c r="I2" i="32"/>
  <c r="W2" i="49"/>
  <c r="H2" i="32"/>
  <c r="H112" i="32"/>
  <c r="V2" i="49"/>
  <c r="G249" i="4" l="1"/>
  <c r="H301" i="1"/>
  <c r="H120" i="1"/>
  <c r="F68" i="4" s="1"/>
  <c r="I68" i="4" s="1"/>
  <c r="H116" i="1"/>
  <c r="F67" i="4" s="1"/>
  <c r="I67" i="4" s="1"/>
  <c r="H111" i="1"/>
  <c r="F65" i="4" s="1"/>
  <c r="I65" i="4" s="1"/>
  <c r="D65" i="4"/>
  <c r="H107" i="1"/>
  <c r="F64" i="4" s="1"/>
  <c r="I64" i="4" s="1"/>
  <c r="D64" i="4"/>
  <c r="F60" i="4"/>
  <c r="I60" i="4" s="1"/>
  <c r="D60" i="4"/>
  <c r="H100" i="1"/>
  <c r="F50" i="4"/>
  <c r="I50" i="4" s="1"/>
  <c r="D50" i="4"/>
  <c r="H87" i="1"/>
  <c r="H76" i="1" s="1"/>
  <c r="F35" i="4"/>
  <c r="I35" i="4" s="1"/>
  <c r="D35" i="4"/>
  <c r="F29" i="4"/>
  <c r="I29" i="4" s="1"/>
  <c r="D29" i="4"/>
  <c r="H55" i="1"/>
  <c r="F27" i="4" s="1"/>
  <c r="I27" i="4" s="1"/>
  <c r="F25" i="4"/>
  <c r="I25" i="4" s="1"/>
  <c r="H31" i="1"/>
  <c r="F18" i="4" s="1"/>
  <c r="I18" i="4" s="1"/>
  <c r="D18" i="4"/>
  <c r="F16" i="4"/>
  <c r="I16" i="4" s="1"/>
  <c r="D16" i="4"/>
  <c r="H4" i="1"/>
  <c r="F4" i="4" s="1"/>
  <c r="I4" i="4" s="1"/>
  <c r="D4" i="4"/>
  <c r="D125" i="1" l="1"/>
  <c r="D68" i="4"/>
  <c r="D67" i="4"/>
  <c r="D27" i="4"/>
  <c r="F57" i="4"/>
  <c r="I57" i="4" s="1"/>
  <c r="H91" i="1"/>
  <c r="F48" i="4" s="1"/>
  <c r="I48" i="4" s="1"/>
  <c r="D190" i="4"/>
  <c r="D127" i="4"/>
  <c r="D57" i="4"/>
  <c r="D242" i="4"/>
  <c r="D44" i="4"/>
  <c r="F44" i="4"/>
  <c r="I44" i="4" s="1"/>
  <c r="H134" i="1"/>
  <c r="F77" i="4" s="1"/>
  <c r="I77" i="4" s="1"/>
  <c r="F125" i="4"/>
  <c r="I125" i="4" s="1"/>
  <c r="H249" i="1"/>
  <c r="F191" i="4" s="1"/>
  <c r="I191" i="4" s="1"/>
  <c r="F242" i="4"/>
  <c r="I242" i="4" s="1"/>
  <c r="H184" i="1"/>
  <c r="F127" i="4" s="1"/>
  <c r="I127" i="4" s="1"/>
  <c r="F190" i="4"/>
  <c r="I190" i="4" s="1"/>
  <c r="D33" i="4"/>
  <c r="D48" i="4"/>
  <c r="D24" i="4"/>
  <c r="D3" i="1"/>
  <c r="D3" i="4" s="1"/>
  <c r="H133" i="1"/>
  <c r="H125" i="1"/>
  <c r="F69" i="4" s="1"/>
  <c r="I69" i="4" s="1"/>
  <c r="F33" i="4"/>
  <c r="I33" i="4" s="1"/>
  <c r="H3" i="1"/>
  <c r="F3" i="4" s="1"/>
  <c r="I3" i="4" s="1"/>
  <c r="D191" i="4" l="1"/>
  <c r="D76" i="4"/>
  <c r="D69" i="4"/>
  <c r="H183" i="1"/>
  <c r="F76" i="4"/>
  <c r="I76" i="4" s="1"/>
  <c r="H30" i="1"/>
  <c r="F17" i="4" s="1"/>
  <c r="I17" i="4" s="1"/>
  <c r="F24" i="4"/>
  <c r="I24" i="4" s="1"/>
  <c r="D75" i="1"/>
  <c r="H102" i="1"/>
  <c r="D102" i="1"/>
  <c r="D126" i="1" s="1"/>
  <c r="E127" i="1" l="1"/>
  <c r="D59" i="4"/>
  <c r="H302" i="1"/>
  <c r="F126" i="4"/>
  <c r="I126" i="4" s="1"/>
  <c r="H126" i="1"/>
  <c r="F70" i="4" s="1"/>
  <c r="I70" i="4" s="1"/>
  <c r="F59" i="4"/>
  <c r="I59" i="4" s="1"/>
  <c r="H75" i="1"/>
  <c r="F32" i="4" s="1"/>
  <c r="I32" i="4" s="1"/>
  <c r="D32" i="4"/>
  <c r="D17" i="4"/>
  <c r="J23" i="49"/>
  <c r="J24" i="49" s="1"/>
  <c r="Q26" i="49" s="1"/>
  <c r="G22" i="49"/>
  <c r="D70" i="4" l="1"/>
  <c r="H304" i="1"/>
  <c r="F243" i="4"/>
  <c r="I243" i="4" s="1"/>
  <c r="AE48" i="49"/>
  <c r="AE33" i="49"/>
  <c r="AE41" i="49"/>
  <c r="AB48" i="49"/>
  <c r="AE31" i="49"/>
  <c r="AC42" i="49"/>
  <c r="AG3" i="49"/>
  <c r="AF47" i="49" s="1"/>
  <c r="AG24" i="49"/>
  <c r="AF48" i="49"/>
  <c r="AG6" i="49"/>
  <c r="AG5" i="49"/>
  <c r="AG4" i="49"/>
  <c r="AC29" i="49"/>
  <c r="AC48" i="49"/>
  <c r="AD48" i="49"/>
  <c r="AE29" i="49"/>
  <c r="AB34" i="49"/>
  <c r="AD34" i="49"/>
  <c r="AD41" i="49"/>
  <c r="AD31" i="49"/>
  <c r="AE38" i="49"/>
  <c r="AD40" i="49"/>
  <c r="AD33" i="49"/>
  <c r="H305" i="1" l="1"/>
  <c r="F246" i="4" s="1"/>
  <c r="I246" i="4" s="1"/>
  <c r="F245" i="4"/>
  <c r="I245" i="4" s="1"/>
  <c r="AF45" i="49"/>
  <c r="AE40" i="49"/>
  <c r="AD29" i="49"/>
  <c r="AD35" i="49"/>
  <c r="AB29" i="49"/>
  <c r="AD38" i="49"/>
  <c r="AF29" i="49"/>
  <c r="AF40" i="49"/>
  <c r="AE35" i="49"/>
  <c r="AE34" i="49"/>
  <c r="AF27" i="49"/>
  <c r="AF28" i="49" s="1"/>
  <c r="AB31" i="49"/>
  <c r="AE27" i="49"/>
  <c r="AE30" i="49" s="1"/>
  <c r="AC38" i="49"/>
  <c r="AF34" i="49"/>
  <c r="AC34" i="49"/>
  <c r="AC35" i="49"/>
  <c r="AF31" i="49"/>
  <c r="AB38" i="49"/>
  <c r="AD27" i="49"/>
  <c r="AD30" i="49" s="1"/>
  <c r="AF35" i="49"/>
  <c r="AF38" i="49"/>
  <c r="AB27" i="49"/>
  <c r="AB28" i="49" s="1"/>
  <c r="AF41" i="49"/>
  <c r="AF33" i="49"/>
  <c r="AC40" i="49"/>
  <c r="AB33" i="49"/>
  <c r="AC27" i="49"/>
  <c r="AC30" i="49" s="1"/>
  <c r="AC31" i="49"/>
  <c r="AD42" i="49"/>
  <c r="AB35" i="49"/>
  <c r="AC41" i="49"/>
  <c r="AE42" i="49"/>
  <c r="AF42" i="49"/>
  <c r="AC33" i="49"/>
  <c r="AE28" i="49" l="1"/>
  <c r="AF30" i="49"/>
  <c r="AB30" i="49"/>
  <c r="AD28" i="49"/>
  <c r="AC28" i="49"/>
  <c r="H1" i="1" l="1"/>
  <c r="D1" i="1" l="1"/>
  <c r="I2" i="4"/>
  <c r="H2" i="4" l="1"/>
  <c r="V35" i="49"/>
  <c r="AD37" i="49"/>
  <c r="AD43" i="49"/>
  <c r="Y35" i="49"/>
  <c r="AC43" i="49"/>
  <c r="X35" i="49"/>
  <c r="AB36" i="49"/>
  <c r="AB43" i="49"/>
  <c r="W38" i="49"/>
  <c r="W31" i="49"/>
  <c r="Y29" i="49"/>
  <c r="V31" i="49"/>
  <c r="Y48" i="49"/>
  <c r="W29" i="49"/>
  <c r="X31" i="49"/>
  <c r="W48" i="49"/>
  <c r="X29" i="49"/>
  <c r="Y31" i="49"/>
  <c r="V29" i="49"/>
  <c r="X48" i="49"/>
  <c r="V48" i="49"/>
  <c r="W41" i="49"/>
  <c r="Y41" i="49"/>
  <c r="AF43" i="49"/>
  <c r="W27" i="49"/>
  <c r="W28" i="49" s="1"/>
  <c r="X41" i="49"/>
  <c r="Z48" i="49"/>
  <c r="Q48" i="49" s="1"/>
  <c r="M91" i="49" s="1"/>
  <c r="AF36" i="49"/>
  <c r="Z41" i="49"/>
  <c r="AF37" i="49"/>
  <c r="V27" i="49"/>
  <c r="V28" i="49" s="1"/>
  <c r="Y27" i="49"/>
  <c r="Y28" i="49" s="1"/>
  <c r="X27" i="49"/>
  <c r="X28" i="49" s="1"/>
  <c r="W47" i="49"/>
  <c r="AB47" i="49"/>
  <c r="W33" i="49"/>
  <c r="W45" i="49"/>
  <c r="AB45" i="49"/>
  <c r="V47" i="49"/>
  <c r="V33" i="49"/>
  <c r="V45" i="49"/>
  <c r="AD47" i="49"/>
  <c r="Y47" i="49"/>
  <c r="Y40" i="49"/>
  <c r="Y45" i="49"/>
  <c r="Y33" i="49"/>
  <c r="AD45" i="49"/>
  <c r="X40" i="49"/>
  <c r="AC47" i="49"/>
  <c r="X47" i="49"/>
  <c r="X33" i="49"/>
  <c r="AC45" i="49"/>
  <c r="X45" i="49"/>
  <c r="L224" i="32"/>
  <c r="K224" i="32"/>
  <c r="J224" i="32"/>
  <c r="I224" i="32"/>
  <c r="H224" i="32"/>
  <c r="G224" i="32"/>
  <c r="F224" i="32"/>
  <c r="W42" i="49" l="1"/>
  <c r="AD36" i="49"/>
  <c r="Y37" i="49"/>
  <c r="W34" i="49"/>
  <c r="AB37" i="49"/>
  <c r="Y34" i="49"/>
  <c r="Y36" i="49"/>
  <c r="Z42" i="49"/>
  <c r="Q42" i="49" s="1"/>
  <c r="F73" i="49" s="1"/>
  <c r="F75" i="49" s="1"/>
  <c r="A75" i="49" s="1"/>
  <c r="Y42" i="49"/>
  <c r="W35" i="49"/>
  <c r="X38" i="49"/>
  <c r="AC37" i="49"/>
  <c r="W43" i="49"/>
  <c r="V34" i="49"/>
  <c r="X36" i="49"/>
  <c r="X34" i="49"/>
  <c r="AC36" i="49"/>
  <c r="X37" i="49"/>
  <c r="X43" i="49"/>
  <c r="Y43" i="49"/>
  <c r="Y38" i="49"/>
  <c r="X42" i="49"/>
  <c r="W36" i="49"/>
  <c r="W37" i="49"/>
  <c r="Z38" i="49"/>
  <c r="Q41" i="49"/>
  <c r="M66" i="49" s="1"/>
  <c r="M94" i="49"/>
  <c r="H94" i="49" s="1"/>
  <c r="M95" i="49"/>
  <c r="H95" i="49" s="1"/>
  <c r="M96" i="49"/>
  <c r="H96" i="49" s="1"/>
  <c r="M92" i="49"/>
  <c r="H92" i="49" s="1"/>
  <c r="M93" i="49"/>
  <c r="H93" i="49" s="1"/>
  <c r="Z29" i="49"/>
  <c r="Y30" i="49"/>
  <c r="W30" i="49"/>
  <c r="X30" i="49"/>
  <c r="V30" i="49"/>
  <c r="Z27" i="49"/>
  <c r="Z28" i="49" s="1"/>
  <c r="Z37" i="49"/>
  <c r="Z36" i="49"/>
  <c r="AE37" i="49"/>
  <c r="AE36" i="49"/>
  <c r="Z31" i="49"/>
  <c r="Q31" i="49" s="1"/>
  <c r="M34" i="49" s="1"/>
  <c r="AE47" i="49"/>
  <c r="Z47" i="49"/>
  <c r="Q47" i="49" s="1"/>
  <c r="F91" i="49" s="1"/>
  <c r="Z43" i="49"/>
  <c r="Z40" i="49"/>
  <c r="AE43" i="49"/>
  <c r="Z35" i="49"/>
  <c r="Z33" i="49"/>
  <c r="Z45" i="49"/>
  <c r="Q45" i="49" s="1"/>
  <c r="F82" i="49" s="1"/>
  <c r="AE45" i="49"/>
  <c r="Z34" i="49"/>
  <c r="E224" i="32"/>
  <c r="D224" i="32"/>
  <c r="F74" i="49" l="1"/>
  <c r="A74" i="49" s="1"/>
  <c r="F76" i="49"/>
  <c r="A76" i="49" s="1"/>
  <c r="F77" i="49"/>
  <c r="A77" i="49" s="1"/>
  <c r="F78" i="49"/>
  <c r="A78" i="49" s="1"/>
  <c r="Q34" i="49"/>
  <c r="M43" i="49" s="1"/>
  <c r="Q35" i="49"/>
  <c r="F50" i="49" s="1"/>
  <c r="F96" i="49"/>
  <c r="A96" i="49" s="1"/>
  <c r="F92" i="49"/>
  <c r="A92" i="49" s="1"/>
  <c r="F93" i="49"/>
  <c r="A93" i="49" s="1"/>
  <c r="F94" i="49"/>
  <c r="A94" i="49" s="1"/>
  <c r="F95" i="49"/>
  <c r="A95" i="49" s="1"/>
  <c r="Z30" i="49"/>
  <c r="Q27" i="49"/>
  <c r="Q43" i="49"/>
  <c r="M73" i="49" s="1"/>
  <c r="M78" i="49" s="1"/>
  <c r="H78" i="49" s="1"/>
  <c r="M38" i="49"/>
  <c r="H38" i="49" s="1"/>
  <c r="M39" i="49"/>
  <c r="H39" i="49" s="1"/>
  <c r="M35" i="49"/>
  <c r="H35" i="49" s="1"/>
  <c r="M36" i="49"/>
  <c r="H36" i="49" s="1"/>
  <c r="M37" i="49"/>
  <c r="H37" i="49" s="1"/>
  <c r="Q29" i="49"/>
  <c r="M27" i="49" s="1"/>
  <c r="Q33" i="49"/>
  <c r="F43" i="49" s="1"/>
  <c r="F85" i="49"/>
  <c r="A85" i="49" s="1"/>
  <c r="F87" i="49"/>
  <c r="A87" i="49" s="1"/>
  <c r="F86" i="49"/>
  <c r="A86" i="49" s="1"/>
  <c r="F83" i="49"/>
  <c r="A83" i="49" s="1"/>
  <c r="F84" i="49"/>
  <c r="A84" i="49" s="1"/>
  <c r="Q40" i="49"/>
  <c r="F66" i="49" s="1"/>
  <c r="Q38" i="49"/>
  <c r="M57" i="49" s="1"/>
  <c r="M70" i="49"/>
  <c r="H70" i="49" s="1"/>
  <c r="M69" i="49"/>
  <c r="H69" i="49" s="1"/>
  <c r="M71" i="49"/>
  <c r="H71" i="49" s="1"/>
  <c r="M67" i="49"/>
  <c r="H67" i="49" s="1"/>
  <c r="M68" i="49"/>
  <c r="H68" i="49" s="1"/>
  <c r="Q36" i="49"/>
  <c r="M50" i="49" s="1"/>
  <c r="M54" i="49" s="1"/>
  <c r="H54" i="49" s="1"/>
  <c r="Q37" i="49"/>
  <c r="F57" i="49" s="1"/>
  <c r="F62" i="49" s="1"/>
  <c r="A62" i="49" s="1"/>
  <c r="K20" i="49"/>
  <c r="Q28" i="49"/>
  <c r="F27" i="49" s="1"/>
  <c r="K17" i="49" l="1"/>
  <c r="M74" i="49"/>
  <c r="H74" i="49" s="1"/>
  <c r="M76" i="49"/>
  <c r="H76" i="49" s="1"/>
  <c r="M77" i="49"/>
  <c r="H77" i="49" s="1"/>
  <c r="M75" i="49"/>
  <c r="H75" i="49" s="1"/>
  <c r="M55" i="49"/>
  <c r="H55" i="49" s="1"/>
  <c r="K8" i="49"/>
  <c r="M51" i="49"/>
  <c r="H51" i="49" s="1"/>
  <c r="M52" i="49"/>
  <c r="H52" i="49" s="1"/>
  <c r="M53" i="49"/>
  <c r="H53" i="49" s="1"/>
  <c r="F60" i="49"/>
  <c r="A60" i="49" s="1"/>
  <c r="F61" i="49"/>
  <c r="A61" i="49" s="1"/>
  <c r="F59" i="49"/>
  <c r="A59" i="49" s="1"/>
  <c r="F58" i="49"/>
  <c r="A58" i="49" s="1"/>
  <c r="K16" i="49"/>
  <c r="K21" i="49"/>
  <c r="F45" i="49"/>
  <c r="A45" i="49" s="1"/>
  <c r="F47" i="49"/>
  <c r="A47" i="49" s="1"/>
  <c r="F44" i="49"/>
  <c r="A44" i="49" s="1"/>
  <c r="F48" i="49"/>
  <c r="A48" i="49" s="1"/>
  <c r="F46" i="49"/>
  <c r="A46" i="49" s="1"/>
  <c r="K19" i="49"/>
  <c r="M62" i="49"/>
  <c r="H62" i="49" s="1"/>
  <c r="M60" i="49"/>
  <c r="H60" i="49" s="1"/>
  <c r="M58" i="49"/>
  <c r="H58" i="49" s="1"/>
  <c r="M59" i="49"/>
  <c r="H59" i="49" s="1"/>
  <c r="M61" i="49"/>
  <c r="H61" i="49" s="1"/>
  <c r="Q30" i="49"/>
  <c r="F34" i="49" s="1"/>
  <c r="M45" i="49"/>
  <c r="H45" i="49" s="1"/>
  <c r="M48" i="49"/>
  <c r="H48" i="49" s="1"/>
  <c r="M47" i="49"/>
  <c r="H47" i="49" s="1"/>
  <c r="M46" i="49"/>
  <c r="H46" i="49" s="1"/>
  <c r="M44" i="49"/>
  <c r="H44" i="49" s="1"/>
  <c r="M29" i="49"/>
  <c r="H29" i="49" s="1"/>
  <c r="M30" i="49"/>
  <c r="H30" i="49" s="1"/>
  <c r="M32" i="49"/>
  <c r="H32" i="49" s="1"/>
  <c r="M31" i="49"/>
  <c r="H31" i="49" s="1"/>
  <c r="M28" i="49"/>
  <c r="H28" i="49" s="1"/>
  <c r="F29" i="49"/>
  <c r="A29" i="49" s="1"/>
  <c r="F30" i="49"/>
  <c r="A30" i="49" s="1"/>
  <c r="F31" i="49"/>
  <c r="A31" i="49" s="1"/>
  <c r="F32" i="49"/>
  <c r="A32" i="49" s="1"/>
  <c r="F28" i="49"/>
  <c r="A28" i="49" s="1"/>
  <c r="F68" i="49"/>
  <c r="A68" i="49" s="1"/>
  <c r="F67" i="49"/>
  <c r="A67" i="49" s="1"/>
  <c r="F71" i="49"/>
  <c r="A71" i="49" s="1"/>
  <c r="F69" i="49"/>
  <c r="A69" i="49" s="1"/>
  <c r="F70" i="49"/>
  <c r="A70" i="49" s="1"/>
  <c r="F53" i="49"/>
  <c r="A53" i="49" s="1"/>
  <c r="F54" i="49"/>
  <c r="A54" i="49" s="1"/>
  <c r="F52" i="49"/>
  <c r="A52" i="49" s="1"/>
  <c r="F55" i="49"/>
  <c r="A55" i="49" s="1"/>
  <c r="F51" i="49"/>
  <c r="A51" i="49" s="1"/>
  <c r="K18" i="49" l="1"/>
  <c r="K11" i="49"/>
  <c r="K6" i="49"/>
  <c r="K12" i="49"/>
  <c r="K13" i="49"/>
  <c r="K10" i="49"/>
  <c r="K9" i="49"/>
  <c r="F35" i="49"/>
  <c r="A35" i="49" s="1"/>
  <c r="F39" i="49"/>
  <c r="A39" i="49" s="1"/>
  <c r="F36" i="49"/>
  <c r="A36" i="49" s="1"/>
  <c r="F37" i="49"/>
  <c r="A37" i="49" s="1"/>
  <c r="F38" i="49"/>
  <c r="A38" i="49" s="1"/>
  <c r="K14" i="49"/>
  <c r="K15" i="49"/>
  <c r="K5" i="49"/>
  <c r="K7" i="49" l="1"/>
  <c r="K22" i="49" s="1"/>
  <c r="G18" i="32" l="1"/>
  <c r="H12" i="32"/>
  <c r="L11" i="32"/>
  <c r="H121" i="32"/>
  <c r="L13" i="32"/>
  <c r="K13" i="32"/>
  <c r="D14" i="32"/>
  <c r="J13" i="32"/>
  <c r="F18" i="32"/>
  <c r="I13" i="32"/>
  <c r="I11" i="32"/>
  <c r="E14" i="32"/>
  <c r="K12" i="32" l="1"/>
  <c r="J12" i="32"/>
  <c r="L87" i="32"/>
  <c r="L59" i="32"/>
  <c r="I12" i="32"/>
  <c r="L31" i="32"/>
  <c r="K8" i="32"/>
  <c r="K10" i="32" s="1"/>
  <c r="L25" i="32"/>
  <c r="L52" i="32"/>
  <c r="L80" i="32"/>
  <c r="L38" i="32"/>
  <c r="L12" i="32"/>
  <c r="L66" i="32"/>
  <c r="L73" i="32"/>
  <c r="L45" i="32"/>
  <c r="I18" i="32"/>
  <c r="H18" i="32" s="1"/>
  <c r="J14" i="32"/>
  <c r="D18" i="32"/>
  <c r="K87" i="32"/>
  <c r="K59" i="32"/>
  <c r="K31" i="32"/>
  <c r="K18" i="32"/>
  <c r="C8" i="32"/>
  <c r="C10" i="32" s="1"/>
  <c r="L8" i="32"/>
  <c r="H14" i="32"/>
  <c r="H15" i="32" s="1"/>
  <c r="H8" i="32"/>
  <c r="H10" i="32" s="1"/>
  <c r="K80" i="32"/>
  <c r="K52" i="32"/>
  <c r="K25" i="32"/>
  <c r="K14" i="32"/>
  <c r="K11" i="32"/>
  <c r="I14" i="32"/>
  <c r="I8" i="32"/>
  <c r="I10" i="32" s="1"/>
  <c r="J18" i="32"/>
  <c r="J11" i="32"/>
  <c r="L18" i="32"/>
  <c r="L19" i="32" s="1"/>
  <c r="H13" i="32"/>
  <c r="J8" i="32"/>
  <c r="J10" i="32" s="1"/>
  <c r="L14" i="32"/>
  <c r="H11" i="32"/>
  <c r="J15" i="32" l="1"/>
  <c r="K15" i="32"/>
  <c r="I15" i="32"/>
  <c r="L9" i="32"/>
  <c r="L15" i="32"/>
  <c r="K19" i="32"/>
  <c r="J19" i="32"/>
  <c r="I19" i="32" s="1"/>
  <c r="H19" i="32" s="1"/>
  <c r="G19" i="32" s="1"/>
  <c r="F19" i="32" s="1"/>
  <c r="G8" i="32"/>
  <c r="G10" i="32" s="1"/>
  <c r="G11" i="32"/>
  <c r="J66" i="32"/>
  <c r="F121" i="32"/>
  <c r="J45" i="32"/>
  <c r="J73" i="32"/>
  <c r="K9" i="32"/>
  <c r="J9" i="32" s="1"/>
  <c r="I9" i="32" s="1"/>
  <c r="K38" i="32"/>
  <c r="K66" i="32"/>
  <c r="G121" i="32"/>
  <c r="K45" i="32"/>
  <c r="K73" i="32"/>
  <c r="E18" i="32"/>
  <c r="E19" i="32" s="1"/>
  <c r="D19" i="32" s="1"/>
  <c r="J25" i="32"/>
  <c r="J52" i="32"/>
  <c r="F14" i="32"/>
  <c r="J59" i="32"/>
  <c r="G12" i="32"/>
  <c r="G13" i="32"/>
  <c r="H9" i="32" l="1"/>
  <c r="G14" i="32"/>
  <c r="G15" i="32" s="1"/>
  <c r="F8" i="32"/>
  <c r="E13" i="32"/>
  <c r="E8" i="32"/>
  <c r="E10" i="32" s="1"/>
  <c r="J87" i="32"/>
  <c r="J31" i="32"/>
  <c r="J80" i="32"/>
  <c r="F13" i="32"/>
  <c r="J38" i="32"/>
  <c r="F12" i="32"/>
  <c r="F15" i="32" s="1"/>
  <c r="F11" i="32"/>
  <c r="E11" i="32" s="1"/>
  <c r="I66" i="32" l="1"/>
  <c r="H66" i="32" s="1"/>
  <c r="I31" i="32"/>
  <c r="H31" i="32" s="1"/>
  <c r="G52" i="32"/>
  <c r="D12" i="32"/>
  <c r="D11" i="32"/>
  <c r="L10" i="32" s="1"/>
  <c r="G9" i="32"/>
  <c r="F10" i="32"/>
  <c r="G87" i="32"/>
  <c r="E121" i="32"/>
  <c r="I52" i="32"/>
  <c r="H52" i="32" s="1"/>
  <c r="E12" i="32"/>
  <c r="E15" i="32" s="1"/>
  <c r="I25" i="32"/>
  <c r="H25" i="32" s="1"/>
  <c r="I87" i="32"/>
  <c r="H87" i="32" s="1"/>
  <c r="D8" i="32"/>
  <c r="D10" i="32" s="1"/>
  <c r="F9" i="32"/>
  <c r="G73" i="32"/>
  <c r="G45" i="32"/>
  <c r="D13" i="32"/>
  <c r="I45" i="32"/>
  <c r="H45" i="32" s="1"/>
  <c r="I59" i="32"/>
  <c r="H59" i="32" s="1"/>
  <c r="I38" i="32"/>
  <c r="H38" i="32" s="1"/>
  <c r="I73" i="32"/>
  <c r="H73" i="32" s="1"/>
  <c r="I80" i="32"/>
  <c r="H80" i="32" s="1"/>
  <c r="D15" i="32" l="1"/>
  <c r="E9" i="32"/>
  <c r="D9" i="32" s="1"/>
  <c r="F66" i="32"/>
  <c r="F80" i="32"/>
  <c r="F38" i="32"/>
  <c r="F31" i="32"/>
  <c r="F25" i="32"/>
  <c r="G66" i="32"/>
  <c r="G80" i="32"/>
  <c r="G38" i="32"/>
  <c r="G59" i="32"/>
  <c r="G31" i="32"/>
  <c r="F45" i="32"/>
  <c r="F73" i="32"/>
  <c r="D121" i="32"/>
  <c r="G25" i="32"/>
  <c r="D73" i="32" l="1"/>
  <c r="D87" i="32"/>
  <c r="D80" i="32"/>
  <c r="F87" i="32"/>
  <c r="D45" i="32"/>
  <c r="D52" i="32"/>
  <c r="F59" i="32"/>
  <c r="D25" i="32"/>
  <c r="D31" i="32"/>
  <c r="D38" i="32"/>
  <c r="D66" i="32"/>
  <c r="F52" i="32"/>
  <c r="E45" i="32" l="1"/>
  <c r="E52" i="32"/>
  <c r="L28" i="32"/>
  <c r="L77" i="32"/>
  <c r="L81" i="32"/>
  <c r="L84" i="32"/>
  <c r="L53" i="32"/>
  <c r="L56" i="32"/>
  <c r="E38" i="32"/>
  <c r="E25" i="32"/>
  <c r="E80" i="32"/>
  <c r="L120" i="32"/>
  <c r="E73" i="32"/>
  <c r="L70" i="32"/>
  <c r="D59" i="32"/>
  <c r="L88" i="32"/>
  <c r="L91" i="32"/>
  <c r="L42" i="32"/>
  <c r="L32" i="32"/>
  <c r="L35" i="32"/>
  <c r="L49" i="32"/>
  <c r="E66" i="32"/>
  <c r="E31" i="32"/>
  <c r="E59" i="32"/>
  <c r="E87" i="32"/>
  <c r="K77" i="32" l="1"/>
  <c r="K28" i="32"/>
  <c r="K35" i="32"/>
  <c r="L74" i="32"/>
  <c r="K42" i="32"/>
  <c r="K70" i="32"/>
  <c r="K53" i="32"/>
  <c r="K56" i="32"/>
  <c r="J120" i="32"/>
  <c r="K49" i="32"/>
  <c r="L60" i="32"/>
  <c r="L63" i="32"/>
  <c r="K88" i="32"/>
  <c r="K91" i="32"/>
  <c r="K84" i="32"/>
  <c r="L39" i="32"/>
  <c r="L46" i="32"/>
  <c r="L67" i="32"/>
  <c r="K120" i="32"/>
  <c r="J49" i="32" l="1"/>
  <c r="J67" i="32"/>
  <c r="J70" i="32"/>
  <c r="J77" i="32"/>
  <c r="J81" i="32"/>
  <c r="J84" i="32"/>
  <c r="J42" i="32"/>
  <c r="J32" i="32"/>
  <c r="J35" i="32"/>
  <c r="K46" i="32"/>
  <c r="K67" i="32"/>
  <c r="K74" i="32"/>
  <c r="J91" i="32"/>
  <c r="I120" i="32"/>
  <c r="K81" i="32"/>
  <c r="K39" i="32"/>
  <c r="K32" i="32"/>
  <c r="K63" i="32"/>
  <c r="J56" i="32"/>
  <c r="J28" i="32"/>
  <c r="I53" i="32" l="1"/>
  <c r="I56" i="32"/>
  <c r="I42" i="32"/>
  <c r="I46" i="32"/>
  <c r="I49" i="32"/>
  <c r="J63" i="32"/>
  <c r="I91" i="32"/>
  <c r="I81" i="32"/>
  <c r="I84" i="32"/>
  <c r="J53" i="32"/>
  <c r="J39" i="32"/>
  <c r="J46" i="32"/>
  <c r="H120" i="32"/>
  <c r="H118" i="32"/>
  <c r="I74" i="32"/>
  <c r="I77" i="32"/>
  <c r="K60" i="32"/>
  <c r="J88" i="32"/>
  <c r="I28" i="32"/>
  <c r="I32" i="32"/>
  <c r="I35" i="32"/>
  <c r="I67" i="32"/>
  <c r="I70" i="32"/>
  <c r="J74" i="32"/>
  <c r="H74" i="32" l="1"/>
  <c r="H77" i="32"/>
  <c r="H81" i="32"/>
  <c r="H84" i="32"/>
  <c r="H39" i="32"/>
  <c r="H42" i="32"/>
  <c r="H67" i="32"/>
  <c r="H70" i="32"/>
  <c r="H32" i="32"/>
  <c r="H35" i="32"/>
  <c r="H88" i="32"/>
  <c r="H91" i="32"/>
  <c r="H53" i="32"/>
  <c r="H56" i="32"/>
  <c r="I39" i="32"/>
  <c r="G118" i="32"/>
  <c r="I63" i="32"/>
  <c r="H28" i="32"/>
  <c r="H46" i="32"/>
  <c r="H49" i="32"/>
  <c r="I88" i="32"/>
  <c r="J60" i="32"/>
  <c r="F120" i="32" l="1"/>
  <c r="F118" i="32"/>
  <c r="G28" i="32"/>
  <c r="G35" i="32"/>
  <c r="G74" i="32"/>
  <c r="G77" i="32"/>
  <c r="G46" i="32"/>
  <c r="G49" i="32"/>
  <c r="H60" i="32"/>
  <c r="H63" i="32"/>
  <c r="G70" i="32"/>
  <c r="G53" i="32"/>
  <c r="G56" i="32"/>
  <c r="G42" i="32"/>
  <c r="G91" i="32"/>
  <c r="G81" i="32"/>
  <c r="G84" i="32"/>
  <c r="I60" i="32"/>
  <c r="G120" i="32"/>
  <c r="F91" i="32" l="1"/>
  <c r="F81" i="32"/>
  <c r="F84" i="32"/>
  <c r="F49" i="32"/>
  <c r="F28" i="32"/>
  <c r="F39" i="32"/>
  <c r="F42" i="32"/>
  <c r="F70" i="32"/>
  <c r="F32" i="32"/>
  <c r="F35" i="32"/>
  <c r="G88" i="32"/>
  <c r="F77" i="32"/>
  <c r="E120" i="32"/>
  <c r="E118" i="32"/>
  <c r="F53" i="32"/>
  <c r="F56" i="32"/>
  <c r="G63" i="32"/>
  <c r="G39" i="32"/>
  <c r="G67" i="32"/>
  <c r="G32" i="32"/>
  <c r="E91" i="32" l="1"/>
  <c r="E74" i="32"/>
  <c r="E77" i="32"/>
  <c r="E32" i="32"/>
  <c r="E35" i="32"/>
  <c r="D28" i="32"/>
  <c r="L26" i="32" s="1"/>
  <c r="K26" i="32" s="1"/>
  <c r="J26" i="32" s="1"/>
  <c r="I26" i="32" s="1"/>
  <c r="H26" i="32" s="1"/>
  <c r="G26" i="32" s="1"/>
  <c r="F26" i="32" s="1"/>
  <c r="E26" i="32" s="1"/>
  <c r="D26" i="32" s="1"/>
  <c r="E28" i="32"/>
  <c r="F88" i="32"/>
  <c r="F63" i="32"/>
  <c r="E70" i="32"/>
  <c r="E46" i="32"/>
  <c r="E49" i="32"/>
  <c r="F74" i="32"/>
  <c r="D120" i="32"/>
  <c r="D118" i="32"/>
  <c r="E53" i="32"/>
  <c r="E56" i="32"/>
  <c r="E42" i="32"/>
  <c r="E84" i="32"/>
  <c r="G60" i="32"/>
  <c r="F67" i="32"/>
  <c r="F46" i="32"/>
  <c r="D81" i="32" l="1"/>
  <c r="D84" i="32"/>
  <c r="L82" i="32" s="1"/>
  <c r="K82" i="32" s="1"/>
  <c r="J82" i="32" s="1"/>
  <c r="I82" i="32" s="1"/>
  <c r="H82" i="32" s="1"/>
  <c r="G82" i="32" s="1"/>
  <c r="F82" i="32" s="1"/>
  <c r="E82" i="32" s="1"/>
  <c r="D82" i="32" s="1"/>
  <c r="D67" i="32"/>
  <c r="D70" i="32"/>
  <c r="L68" i="32" s="1"/>
  <c r="K68" i="32" s="1"/>
  <c r="J68" i="32" s="1"/>
  <c r="I68" i="32" s="1"/>
  <c r="H68" i="32" s="1"/>
  <c r="G68" i="32" s="1"/>
  <c r="F68" i="32" s="1"/>
  <c r="E68" i="32" s="1"/>
  <c r="D68" i="32" s="1"/>
  <c r="D88" i="32"/>
  <c r="D91" i="32"/>
  <c r="L89" i="32" s="1"/>
  <c r="K89" i="32" s="1"/>
  <c r="J89" i="32" s="1"/>
  <c r="I89" i="32" s="1"/>
  <c r="H89" i="32" s="1"/>
  <c r="G89" i="32" s="1"/>
  <c r="F89" i="32" s="1"/>
  <c r="E89" i="32" s="1"/>
  <c r="D89" i="32" s="1"/>
  <c r="D42" i="32"/>
  <c r="L40" i="32" s="1"/>
  <c r="K40" i="32" s="1"/>
  <c r="J40" i="32" s="1"/>
  <c r="I40" i="32" s="1"/>
  <c r="H40" i="32" s="1"/>
  <c r="G40" i="32" s="1"/>
  <c r="F40" i="32" s="1"/>
  <c r="E40" i="32" s="1"/>
  <c r="D40" i="32" s="1"/>
  <c r="D39" i="32"/>
  <c r="E63" i="32"/>
  <c r="D56" i="32"/>
  <c r="L54" i="32" s="1"/>
  <c r="K54" i="32" s="1"/>
  <c r="J54" i="32" s="1"/>
  <c r="I54" i="32" s="1"/>
  <c r="H54" i="32" s="1"/>
  <c r="G54" i="32" s="1"/>
  <c r="F54" i="32" s="1"/>
  <c r="E54" i="32" s="1"/>
  <c r="D54" i="32" s="1"/>
  <c r="D53" i="32"/>
  <c r="D35" i="32"/>
  <c r="L33" i="32" s="1"/>
  <c r="K33" i="32" s="1"/>
  <c r="J33" i="32" s="1"/>
  <c r="I33" i="32" s="1"/>
  <c r="H33" i="32" s="1"/>
  <c r="G33" i="32" s="1"/>
  <c r="F33" i="32" s="1"/>
  <c r="E33" i="32" s="1"/>
  <c r="D33" i="32" s="1"/>
  <c r="D32" i="32"/>
  <c r="E81" i="32"/>
  <c r="E39" i="32"/>
  <c r="E67" i="32"/>
  <c r="F60" i="32"/>
  <c r="E88" i="32"/>
  <c r="C118" i="32"/>
  <c r="D49" i="32"/>
  <c r="L47" i="32" s="1"/>
  <c r="K47" i="32" s="1"/>
  <c r="J47" i="32" s="1"/>
  <c r="I47" i="32" s="1"/>
  <c r="H47" i="32" s="1"/>
  <c r="G47" i="32" s="1"/>
  <c r="F47" i="32" s="1"/>
  <c r="E47" i="32" s="1"/>
  <c r="D47" i="32" s="1"/>
  <c r="D46" i="32"/>
  <c r="D74" i="32"/>
  <c r="D77" i="32"/>
  <c r="L75" i="32" s="1"/>
  <c r="K75" i="32" s="1"/>
  <c r="J75" i="32" s="1"/>
  <c r="I75" i="32" s="1"/>
  <c r="H75" i="32" s="1"/>
  <c r="G75" i="32" s="1"/>
  <c r="F75" i="32" s="1"/>
  <c r="E75" i="32" s="1"/>
  <c r="D75" i="32" s="1"/>
  <c r="L117" i="32" l="1"/>
  <c r="D60" i="32"/>
  <c r="D63" i="32"/>
  <c r="L61" i="32" s="1"/>
  <c r="K61" i="32" s="1"/>
  <c r="J61" i="32" s="1"/>
  <c r="I61" i="32" s="1"/>
  <c r="H61" i="32" s="1"/>
  <c r="G61" i="32" s="1"/>
  <c r="F61" i="32" s="1"/>
  <c r="E61" i="32" s="1"/>
  <c r="D61" i="32" s="1"/>
  <c r="E60" i="32"/>
  <c r="J117" i="32" l="1"/>
  <c r="K117" i="32"/>
  <c r="I117" i="32" l="1"/>
  <c r="G117" i="32" l="1"/>
  <c r="H117" i="32"/>
  <c r="F117" i="32" l="1"/>
  <c r="E117" i="32" l="1"/>
  <c r="D117" i="32" l="1"/>
  <c r="L118" i="32" l="1"/>
  <c r="K118" i="32" l="1"/>
  <c r="L121" i="32"/>
  <c r="J118" i="32" l="1"/>
  <c r="K121" i="32"/>
  <c r="I121" i="32" l="1"/>
  <c r="I118" i="32"/>
  <c r="J121" i="32"/>
  <c r="D21" i="32" l="1"/>
  <c r="D22" i="32" s="1"/>
  <c r="D16" i="32"/>
  <c r="E16" i="32"/>
  <c r="F16" i="32"/>
  <c r="G16" i="32"/>
  <c r="H16" i="32"/>
  <c r="I16" i="32"/>
  <c r="J16" i="32"/>
  <c r="K16" i="32"/>
  <c r="L16" i="32"/>
  <c r="E142" i="32"/>
  <c r="H126" i="32"/>
  <c r="H128" i="32" s="1"/>
  <c r="L122" i="32"/>
  <c r="L123" i="32" s="1"/>
  <c r="K122" i="32"/>
  <c r="K123" i="32" s="1"/>
  <c r="J122" i="32"/>
  <c r="J123" i="32" s="1"/>
  <c r="I122" i="32"/>
  <c r="I123" i="32" s="1"/>
  <c r="H122" i="32"/>
  <c r="H123" i="32" s="1"/>
  <c r="G122" i="32"/>
  <c r="G123" i="32" s="1"/>
  <c r="F122" i="32"/>
  <c r="F123" i="32" s="1"/>
  <c r="E122" i="32"/>
  <c r="E123" i="32" s="1"/>
  <c r="D122" i="32"/>
  <c r="D123" i="32" s="1"/>
  <c r="F132" i="32" l="1"/>
  <c r="F133" i="32" s="1"/>
  <c r="G130" i="32"/>
  <c r="G135" i="32" s="1"/>
  <c r="H138" i="32"/>
  <c r="H140" i="32" s="1"/>
  <c r="L194" i="32"/>
  <c r="L196" i="32" s="1"/>
  <c r="H170" i="32"/>
  <c r="D159" i="32"/>
  <c r="D161" i="32" s="1"/>
  <c r="F145" i="32"/>
  <c r="F147" i="32" s="1"/>
  <c r="D126" i="32"/>
  <c r="D128" i="32" s="1"/>
  <c r="J226" i="32"/>
  <c r="E138" i="32"/>
  <c r="E140" i="32" s="1"/>
  <c r="F177" i="32"/>
  <c r="D152" i="32"/>
  <c r="D154" i="32" s="1"/>
  <c r="I170" i="32"/>
  <c r="K163" i="32"/>
  <c r="L130" i="32"/>
  <c r="L135" i="32" s="1"/>
  <c r="L170" i="32"/>
  <c r="G145" i="32"/>
  <c r="G147" i="32" s="1"/>
  <c r="K130" i="32"/>
  <c r="K135" i="32" s="1"/>
  <c r="K126" i="32"/>
  <c r="K128" i="32" s="1"/>
  <c r="F170" i="32"/>
  <c r="I132" i="32"/>
  <c r="I133" i="32" s="1"/>
  <c r="K142" i="32"/>
  <c r="E145" i="32"/>
  <c r="E147" i="32" s="1"/>
  <c r="L173" i="32"/>
  <c r="L175" i="32" s="1"/>
  <c r="E126" i="32"/>
  <c r="E128" i="32" s="1"/>
  <c r="E159" i="32"/>
  <c r="E161" i="32" s="1"/>
  <c r="H127" i="32"/>
  <c r="I126" i="32"/>
  <c r="I128" i="32" s="1"/>
  <c r="D173" i="32"/>
  <c r="D175" i="32" s="1"/>
  <c r="E152" i="32"/>
  <c r="E154" i="32" s="1"/>
  <c r="J177" i="32"/>
  <c r="J145" i="32"/>
  <c r="J147" i="32" s="1"/>
  <c r="E127" i="32"/>
  <c r="F194" i="32"/>
  <c r="F196" i="32" s="1"/>
  <c r="F180" i="32"/>
  <c r="F182" i="32" s="1"/>
  <c r="D127" i="32"/>
  <c r="E173" i="32"/>
  <c r="E175" i="32" s="1"/>
  <c r="K132" i="32"/>
  <c r="K133" i="32" s="1"/>
  <c r="L149" i="32"/>
  <c r="I142" i="32"/>
  <c r="F156" i="32"/>
  <c r="K184" i="32"/>
  <c r="H177" i="32"/>
  <c r="G170" i="32"/>
  <c r="J170" i="32"/>
  <c r="D145" i="32"/>
  <c r="D147" i="32" s="1"/>
  <c r="F138" i="32"/>
  <c r="F140" i="32" s="1"/>
  <c r="H194" i="32"/>
  <c r="H196" i="32" s="1"/>
  <c r="K127" i="32"/>
  <c r="G138" i="32"/>
  <c r="G140" i="32" s="1"/>
  <c r="D149" i="32"/>
  <c r="F126" i="32"/>
  <c r="F128" i="32" s="1"/>
  <c r="E201" i="32"/>
  <c r="E203" i="32" s="1"/>
  <c r="L127" i="32"/>
  <c r="K170" i="32"/>
  <c r="F163" i="32"/>
  <c r="D132" i="32"/>
  <c r="D133" i="32" s="1"/>
  <c r="F130" i="32"/>
  <c r="F135" i="32" s="1"/>
  <c r="L226" i="32"/>
  <c r="G127" i="32"/>
  <c r="I156" i="32"/>
  <c r="I127" i="32"/>
  <c r="G194" i="32"/>
  <c r="G196" i="32" s="1"/>
  <c r="G205" i="32"/>
  <c r="J126" i="32"/>
  <c r="J128" i="32" s="1"/>
  <c r="H149" i="32"/>
  <c r="H145" i="32"/>
  <c r="H147" i="32" s="1"/>
  <c r="G187" i="32"/>
  <c r="G189" i="32" s="1"/>
  <c r="J130" i="32"/>
  <c r="J135" i="32" s="1"/>
  <c r="I180" i="32"/>
  <c r="I182" i="32" s="1"/>
  <c r="I163" i="32"/>
  <c r="G152" i="32"/>
  <c r="G154" i="32" s="1"/>
  <c r="I130" i="32"/>
  <c r="I135" i="32" s="1"/>
  <c r="F149" i="32"/>
  <c r="G21" i="32"/>
  <c r="G22" i="32" s="1"/>
  <c r="K21" i="32"/>
  <c r="K22" i="32" s="1"/>
  <c r="F173" i="32"/>
  <c r="F175" i="32" s="1"/>
  <c r="L21" i="32"/>
  <c r="L22" i="32" s="1"/>
  <c r="E187" i="32"/>
  <c r="E189" i="32" s="1"/>
  <c r="E180" i="32"/>
  <c r="E182" i="32" s="1"/>
  <c r="E130" i="32"/>
  <c r="E135" i="32" s="1"/>
  <c r="L187" i="32"/>
  <c r="L189" i="32" s="1"/>
  <c r="D181" i="32"/>
  <c r="K156" i="32"/>
  <c r="E166" i="32"/>
  <c r="E168" i="32" s="1"/>
  <c r="I145" i="32"/>
  <c r="I147" i="32" s="1"/>
  <c r="G163" i="32"/>
  <c r="F166" i="32"/>
  <c r="F168" i="32" s="1"/>
  <c r="E184" i="32"/>
  <c r="K166" i="32"/>
  <c r="K168" i="32" s="1"/>
  <c r="E132" i="32"/>
  <c r="E133" i="32" s="1"/>
  <c r="G126" i="32"/>
  <c r="G128" i="32" s="1"/>
  <c r="K219" i="32"/>
  <c r="F208" i="32"/>
  <c r="F210" i="32" s="1"/>
  <c r="K152" i="32"/>
  <c r="K154" i="32" s="1"/>
  <c r="L152" i="32"/>
  <c r="L154" i="32" s="1"/>
  <c r="H163" i="32"/>
  <c r="L159" i="32"/>
  <c r="L161" i="32" s="1"/>
  <c r="G191" i="32"/>
  <c r="G180" i="32"/>
  <c r="G182" i="32" s="1"/>
  <c r="G149" i="32"/>
  <c r="H142" i="32"/>
  <c r="G173" i="32"/>
  <c r="G175" i="32" s="1"/>
  <c r="L132" i="32"/>
  <c r="L133" i="32" s="1"/>
  <c r="I166" i="32"/>
  <c r="I168" i="32" s="1"/>
  <c r="H201" i="32"/>
  <c r="H203" i="32" s="1"/>
  <c r="K205" i="32"/>
  <c r="H226" i="32"/>
  <c r="D226" i="32"/>
  <c r="D215" i="32"/>
  <c r="D217" i="32" s="1"/>
  <c r="F201" i="32"/>
  <c r="F203" i="32" s="1"/>
  <c r="K173" i="32"/>
  <c r="K175" i="32" s="1"/>
  <c r="K138" i="32"/>
  <c r="K140" i="32" s="1"/>
  <c r="K149" i="32"/>
  <c r="J166" i="32"/>
  <c r="J168" i="32" s="1"/>
  <c r="E156" i="32"/>
  <c r="J132" i="32"/>
  <c r="J133" i="32" s="1"/>
  <c r="L126" i="32"/>
  <c r="L128" i="32" s="1"/>
  <c r="F226" i="32"/>
  <c r="F212" i="32"/>
  <c r="H208" i="32"/>
  <c r="H210" i="32" s="1"/>
  <c r="L208" i="32"/>
  <c r="L210" i="32" s="1"/>
  <c r="E208" i="32"/>
  <c r="E210" i="32" s="1"/>
  <c r="J194" i="32"/>
  <c r="J196" i="32" s="1"/>
  <c r="J149" i="32"/>
  <c r="G184" i="32"/>
  <c r="H184" i="32"/>
  <c r="L201" i="32"/>
  <c r="L203" i="32" s="1"/>
  <c r="I205" i="32"/>
  <c r="J212" i="32"/>
  <c r="J187" i="32"/>
  <c r="J189" i="32" s="1"/>
  <c r="K159" i="32"/>
  <c r="K161" i="32" s="1"/>
  <c r="F191" i="32"/>
  <c r="H187" i="32"/>
  <c r="H189" i="32" s="1"/>
  <c r="D130" i="32"/>
  <c r="D135" i="32" s="1"/>
  <c r="D142" i="32"/>
  <c r="D166" i="32"/>
  <c r="D168" i="32" s="1"/>
  <c r="I21" i="32"/>
  <c r="I22" i="32" s="1"/>
  <c r="L191" i="32"/>
  <c r="D191" i="32"/>
  <c r="L180" i="32"/>
  <c r="L182" i="32" s="1"/>
  <c r="L166" i="32"/>
  <c r="L168" i="32" s="1"/>
  <c r="H215" i="32"/>
  <c r="H217" i="32" s="1"/>
  <c r="F215" i="32"/>
  <c r="F217" i="32" s="1"/>
  <c r="E205" i="32"/>
  <c r="D205" i="32"/>
  <c r="K180" i="32"/>
  <c r="K182" i="32" s="1"/>
  <c r="J142" i="32"/>
  <c r="D195" i="32"/>
  <c r="L142" i="32"/>
  <c r="H21" i="32"/>
  <c r="H22" i="32" s="1"/>
  <c r="H173" i="32"/>
  <c r="H175" i="32" s="1"/>
  <c r="G159" i="32"/>
  <c r="G161" i="32" s="1"/>
  <c r="H191" i="32"/>
  <c r="L184" i="32"/>
  <c r="D180" i="32"/>
  <c r="D182" i="32" s="1"/>
  <c r="E177" i="32"/>
  <c r="I159" i="32"/>
  <c r="I161" i="32" s="1"/>
  <c r="F127" i="32"/>
  <c r="D170" i="32"/>
  <c r="G226" i="32"/>
  <c r="E212" i="32"/>
  <c r="I173" i="32"/>
  <c r="I175" i="32" s="1"/>
  <c r="H130" i="32"/>
  <c r="H135" i="32" s="1"/>
  <c r="D177" i="32"/>
  <c r="H166" i="32"/>
  <c r="H168" i="32" s="1"/>
  <c r="F139" i="32"/>
  <c r="F21" i="32"/>
  <c r="F22" i="32" s="1"/>
  <c r="J201" i="32"/>
  <c r="J203" i="32" s="1"/>
  <c r="J205" i="32"/>
  <c r="G215" i="32"/>
  <c r="G217" i="32" s="1"/>
  <c r="E219" i="32"/>
  <c r="L215" i="32"/>
  <c r="L217" i="32" s="1"/>
  <c r="J208" i="32"/>
  <c r="J210" i="32" s="1"/>
  <c r="F205" i="32"/>
  <c r="J180" i="32"/>
  <c r="J182" i="32" s="1"/>
  <c r="J173" i="32"/>
  <c r="J175" i="32" s="1"/>
  <c r="J191" i="32"/>
  <c r="L177" i="32"/>
  <c r="F187" i="32"/>
  <c r="F189" i="32" s="1"/>
  <c r="D138" i="32"/>
  <c r="D140" i="32" s="1"/>
  <c r="J21" i="32"/>
  <c r="J22" i="32" s="1"/>
  <c r="J215" i="32"/>
  <c r="J217" i="32" s="1"/>
  <c r="H212" i="32"/>
  <c r="K215" i="32"/>
  <c r="K217" i="32" s="1"/>
  <c r="D201" i="32"/>
  <c r="D203" i="32" s="1"/>
  <c r="H159" i="32"/>
  <c r="H161" i="32" s="1"/>
  <c r="D187" i="32"/>
  <c r="D189" i="32" s="1"/>
  <c r="H180" i="32"/>
  <c r="H182" i="32" s="1"/>
  <c r="I177" i="32"/>
  <c r="I152" i="32"/>
  <c r="I154" i="32" s="1"/>
  <c r="K145" i="32"/>
  <c r="K147" i="32" s="1"/>
  <c r="G132" i="32"/>
  <c r="G133" i="32" s="1"/>
  <c r="J127" i="32"/>
  <c r="G166" i="32"/>
  <c r="G168" i="32" s="1"/>
  <c r="D153" i="32"/>
  <c r="M16" i="32"/>
  <c r="E21" i="32"/>
  <c r="E22" i="32" s="1"/>
  <c r="I215" i="32"/>
  <c r="I217" i="32" s="1"/>
  <c r="K208" i="32"/>
  <c r="K210" i="32" s="1"/>
  <c r="E215" i="32"/>
  <c r="E217" i="32" s="1"/>
  <c r="I201" i="32"/>
  <c r="I203" i="32" s="1"/>
  <c r="K201" i="32"/>
  <c r="K203" i="32" s="1"/>
  <c r="G201" i="32"/>
  <c r="G203" i="32" s="1"/>
  <c r="D208" i="32"/>
  <c r="D210" i="32" s="1"/>
  <c r="I208" i="32"/>
  <c r="I210" i="32" s="1"/>
  <c r="D194" i="32"/>
  <c r="D196" i="32" s="1"/>
  <c r="E194" i="32"/>
  <c r="E196" i="32" s="1"/>
  <c r="L145" i="32"/>
  <c r="L147" i="32" s="1"/>
  <c r="I187" i="32"/>
  <c r="I189" i="32" s="1"/>
  <c r="K187" i="32"/>
  <c r="K189" i="32" s="1"/>
  <c r="I138" i="32"/>
  <c r="I140" i="32" s="1"/>
  <c r="J159" i="32"/>
  <c r="J161" i="32" s="1"/>
  <c r="F159" i="32"/>
  <c r="F161" i="32" s="1"/>
  <c r="J152" i="32"/>
  <c r="J154" i="32" s="1"/>
  <c r="F152" i="32"/>
  <c r="F154" i="32" s="1"/>
  <c r="H132" i="32"/>
  <c r="H133" i="32" s="1"/>
  <c r="K194" i="32"/>
  <c r="K196" i="32" s="1"/>
  <c r="H152" i="32"/>
  <c r="H154" i="32" s="1"/>
  <c r="L138" i="32"/>
  <c r="L140" i="32" s="1"/>
  <c r="G208" i="32"/>
  <c r="G210" i="32" s="1"/>
  <c r="I194" i="32"/>
  <c r="I196" i="32" s="1"/>
  <c r="J138" i="32"/>
  <c r="J140" i="32" s="1"/>
  <c r="F195" i="32" l="1"/>
  <c r="J223" i="32"/>
  <c r="K223" i="32"/>
  <c r="I167" i="32"/>
  <c r="F167" i="32"/>
  <c r="L160" i="32"/>
  <c r="H174" i="32"/>
  <c r="G167" i="32"/>
  <c r="I153" i="32"/>
  <c r="K181" i="32"/>
  <c r="D146" i="32"/>
  <c r="K167" i="32"/>
  <c r="L167" i="32"/>
  <c r="J167" i="32"/>
  <c r="E223" i="32"/>
  <c r="H195" i="32"/>
  <c r="F160" i="32"/>
  <c r="H167" i="32"/>
  <c r="J146" i="32"/>
  <c r="J184" i="32"/>
  <c r="G160" i="32"/>
  <c r="E139" i="32"/>
  <c r="F153" i="32"/>
  <c r="E226" i="32"/>
  <c r="H160" i="32"/>
  <c r="L153" i="32"/>
  <c r="H139" i="32"/>
  <c r="L139" i="32"/>
  <c r="I195" i="32"/>
  <c r="J181" i="32"/>
  <c r="L163" i="32"/>
  <c r="D167" i="32"/>
  <c r="J174" i="32"/>
  <c r="H188" i="32"/>
  <c r="E163" i="32"/>
  <c r="F142" i="32"/>
  <c r="G146" i="32"/>
  <c r="E181" i="32"/>
  <c r="L188" i="32"/>
  <c r="I139" i="32"/>
  <c r="F209" i="32"/>
  <c r="D184" i="32"/>
  <c r="D156" i="32"/>
  <c r="G142" i="32"/>
  <c r="I174" i="32"/>
  <c r="L181" i="32"/>
  <c r="I202" i="32"/>
  <c r="K153" i="32"/>
  <c r="H205" i="32"/>
  <c r="H202" i="32"/>
  <c r="D139" i="32"/>
  <c r="J153" i="32"/>
  <c r="L223" i="32"/>
  <c r="E170" i="32"/>
  <c r="J156" i="32"/>
  <c r="D188" i="32"/>
  <c r="D223" i="32"/>
  <c r="K226" i="32"/>
  <c r="H209" i="32"/>
  <c r="E167" i="32"/>
  <c r="J202" i="32"/>
  <c r="E153" i="32"/>
  <c r="D174" i="32"/>
  <c r="I160" i="32"/>
  <c r="L146" i="32"/>
  <c r="H146" i="32"/>
  <c r="E216" i="32"/>
  <c r="J139" i="32"/>
  <c r="E174" i="32"/>
  <c r="F223" i="32"/>
  <c r="K139" i="32"/>
  <c r="H181" i="32"/>
  <c r="G188" i="32"/>
  <c r="L156" i="32"/>
  <c r="K146" i="32"/>
  <c r="G181" i="32"/>
  <c r="E202" i="32"/>
  <c r="G195" i="32"/>
  <c r="E195" i="32"/>
  <c r="D202" i="32"/>
  <c r="L195" i="32"/>
  <c r="G139" i="32"/>
  <c r="K202" i="32"/>
  <c r="K188" i="32"/>
  <c r="K191" i="32"/>
  <c r="I149" i="32"/>
  <c r="I146" i="32"/>
  <c r="F202" i="32"/>
  <c r="H156" i="32"/>
  <c r="G202" i="32"/>
  <c r="G177" i="32"/>
  <c r="G174" i="32"/>
  <c r="G223" i="32"/>
  <c r="F174" i="32"/>
  <c r="I184" i="32"/>
  <c r="I181" i="32"/>
  <c r="F181" i="32"/>
  <c r="F184" i="32"/>
  <c r="K195" i="32"/>
  <c r="H223" i="32"/>
  <c r="J216" i="32"/>
  <c r="J219" i="32"/>
  <c r="K216" i="32"/>
  <c r="I188" i="32"/>
  <c r="I191" i="32"/>
  <c r="I212" i="32"/>
  <c r="I209" i="32"/>
  <c r="J209" i="32"/>
  <c r="L205" i="32"/>
  <c r="L202" i="32"/>
  <c r="H219" i="32"/>
  <c r="H216" i="32"/>
  <c r="J163" i="32"/>
  <c r="J160" i="32"/>
  <c r="K209" i="32"/>
  <c r="K212" i="32"/>
  <c r="F219" i="32"/>
  <c r="F216" i="32"/>
  <c r="L219" i="32"/>
  <c r="L216" i="32"/>
  <c r="J195" i="32"/>
  <c r="D160" i="32"/>
  <c r="D163" i="32"/>
  <c r="G156" i="32"/>
  <c r="G153" i="32"/>
  <c r="E188" i="32"/>
  <c r="E191" i="32"/>
  <c r="D212" i="32"/>
  <c r="D209" i="32"/>
  <c r="G209" i="32"/>
  <c r="G212" i="32"/>
  <c r="I226" i="32"/>
  <c r="I223" i="32"/>
  <c r="G216" i="32"/>
  <c r="G219" i="32"/>
  <c r="H153" i="32"/>
  <c r="J188" i="32"/>
  <c r="E146" i="32"/>
  <c r="E149" i="32"/>
  <c r="L174" i="32"/>
  <c r="K177" i="32"/>
  <c r="K174" i="32"/>
  <c r="I216" i="32"/>
  <c r="I219" i="32"/>
  <c r="D216" i="32"/>
  <c r="D219" i="32"/>
  <c r="L209" i="32"/>
  <c r="L212" i="32"/>
  <c r="K160" i="32"/>
  <c r="E160" i="32"/>
  <c r="E209" i="32"/>
  <c r="F188" i="32"/>
  <c r="F146" i="32"/>
  <c r="K129" i="1" l="1"/>
  <c r="H129" i="1" s="1"/>
  <c r="D125" i="4"/>
  <c r="D77" i="4" l="1"/>
  <c r="D302" i="1"/>
  <c r="D304" i="1" s="1"/>
  <c r="D305" i="1" s="1"/>
  <c r="D126" i="4" l="1"/>
  <c r="D243" i="4" l="1"/>
  <c r="D245" i="4" l="1"/>
  <c r="G130" i="1" l="1"/>
  <c r="D129" i="1" s="1"/>
  <c r="D246" i="4"/>
</calcChain>
</file>

<file path=xl/comments1.xml><?xml version="1.0" encoding="utf-8"?>
<comments xmlns="http://schemas.openxmlformats.org/spreadsheetml/2006/main">
  <authors>
    <author>다.강성은</author>
    <author>다.이준혁</author>
  </authors>
  <commentList>
    <comment ref="C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현금및현금성자산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보통예금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적금</t>
        </r>
      </text>
    </comment>
    <comment ref="C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정기예적금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외화예금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제예금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기타단기금융상품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유동성이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충분하지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이상이라면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단기금융상품으로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</text>
    </comment>
    <comment ref="C8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이준혁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매출채권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대손충당금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돋움"/>
            <family val="3"/>
            <charset val="129"/>
          </rPr>
          <t>받을어음</t>
        </r>
        <r>
          <rPr>
            <sz val="9"/>
            <color indexed="81"/>
            <rFont val="Tahoma"/>
            <family val="2"/>
          </rPr>
          <t>(eg.</t>
        </r>
        <r>
          <rPr>
            <sz val="9"/>
            <color indexed="81"/>
            <rFont val="돋움"/>
            <family val="3"/>
            <charset val="129"/>
          </rPr>
          <t>수출환어음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>강성은</t>
        </r>
        <r>
          <rPr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돋움"/>
            <family val="3"/>
            <charset val="129"/>
          </rPr>
          <t>외상매출금</t>
        </r>
      </text>
    </comment>
    <comment ref="C32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장기성예금</t>
        </r>
      </text>
    </comment>
    <comment ref="C3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매도가능증권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투자주식</t>
        </r>
      </text>
    </comment>
    <comment ref="C3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지분법적용투자자산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지분법적용투자주식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종속기업투자주식</t>
        </r>
      </text>
    </comment>
    <comment ref="A77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이준혁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매입채무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돋움"/>
            <family val="3"/>
            <charset val="129"/>
          </rPr>
          <t>지급어음</t>
        </r>
      </text>
    </comment>
    <comment ref="C77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지급어음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외상매입금</t>
        </r>
      </text>
    </comment>
    <comment ref="C87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유동성리스부채</t>
        </r>
      </text>
    </comment>
    <comment ref="C9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유동성리스부채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유동리스부채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유동성금융리스부채</t>
        </r>
      </text>
    </comment>
    <comment ref="C10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비유동성금융리스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금융리스부채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비유동리스부채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비유동금융리스부채</t>
        </r>
      </text>
    </comment>
    <comment ref="C13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영업수익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</text>
    </comment>
    <comment ref="C13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영업비용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판매비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판매관리비</t>
        </r>
      </text>
    </comment>
    <comment ref="C13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직원급여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급료</t>
        </r>
      </text>
    </comment>
    <comment ref="C139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퇴직급여충당금전입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퇴직급여
</t>
        </r>
      </text>
    </comment>
    <comment ref="C142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주식보상비</t>
        </r>
      </text>
    </comment>
    <comment ref="C14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잡급</t>
        </r>
      </text>
    </comment>
    <comment ref="C14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전력비</t>
        </r>
      </text>
    </comment>
    <comment ref="C148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지급임차료</t>
        </r>
      </text>
    </comment>
    <comment ref="A153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이준혁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소모품비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돋움"/>
            <family val="3"/>
            <charset val="129"/>
          </rPr>
          <t>사무용품비</t>
        </r>
      </text>
    </comment>
    <comment ref="C15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사무용품비</t>
        </r>
      </text>
    </comment>
    <comment ref="C157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지급수수료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외주용역비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용역비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지급용역비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인적용역비</t>
        </r>
      </text>
    </comment>
    <comment ref="C158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자동차리스료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차량임차료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차량리스료</t>
        </r>
      </text>
    </comment>
    <comment ref="C16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건물관리비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유지보수비</t>
        </r>
      </text>
    </comment>
    <comment ref="C162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돋움"/>
            <family val="3"/>
            <charset val="129"/>
          </rPr>
          <t>국내접대비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해외접대비</t>
        </r>
      </text>
    </comment>
    <comment ref="C16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샘플비</t>
        </r>
      </text>
    </comment>
    <comment ref="C167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물류비</t>
        </r>
      </text>
    </comment>
    <comment ref="C17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해외출장비</t>
        </r>
      </text>
    </comment>
    <comment ref="C17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수출제비용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수출경비</t>
        </r>
      </text>
    </comment>
    <comment ref="A17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이준혁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판매보증비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돋움"/>
            <family val="3"/>
            <charset val="129"/>
          </rPr>
          <t>보상비</t>
        </r>
      </text>
    </comment>
    <comment ref="C17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호탤객실판매비</t>
        </r>
      </text>
    </comment>
    <comment ref="C18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무형고정자산상각</t>
        </r>
      </text>
    </comment>
    <comment ref="C182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기타판관비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회의비</t>
        </r>
      </text>
    </comment>
    <comment ref="C20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수입수수료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구매대행수익</t>
        </r>
      </text>
    </comment>
    <comment ref="C21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투자자산운용이익</t>
        </r>
      </text>
    </comment>
    <comment ref="C21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장기금융상품평가이익</t>
        </r>
      </text>
    </comment>
    <comment ref="C22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무형자산처분이익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리스자산처분이익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유형자산처분이익</t>
        </r>
      </text>
    </comment>
    <comment ref="C227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지분법평가이익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관계기업의당기순손익에대한지분증감</t>
        </r>
      </text>
    </comment>
    <comment ref="C23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유형자산손상차손환입</t>
        </r>
      </text>
    </comment>
    <comment ref="C23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무형자산손상차손환입</t>
        </r>
      </text>
    </comment>
    <comment ref="C23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기타자산손상차손환입</t>
        </r>
      </text>
    </comment>
    <comment ref="C248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잡이익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사용권자산처분이익</t>
        </r>
      </text>
    </comment>
    <comment ref="C262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기여금</t>
        </r>
      </text>
    </comment>
    <comment ref="C267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재고자산평가손실</t>
        </r>
      </text>
    </comment>
    <comment ref="C27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무형자산처분손실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리스자산처분손실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유형자산처분손실</t>
        </r>
      </text>
    </comment>
    <comment ref="C28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투자자산운용손실</t>
        </r>
      </text>
    </comment>
    <comment ref="C28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매도가능증권손상차손</t>
        </r>
      </text>
    </comment>
    <comment ref="C28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종속기업투자주식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유형자산폐기손실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종속기업투자주식처분손실</t>
        </r>
      </text>
    </comment>
    <comment ref="C28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유형자산손상차손
</t>
        </r>
      </text>
    </comment>
    <comment ref="C287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무형자산손상차손</t>
        </r>
      </text>
    </comment>
    <comment ref="C29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지분법평가손실</t>
        </r>
      </text>
    </comment>
    <comment ref="C30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강성은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잡손실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기타영업외비용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기타영업외손실</t>
        </r>
      </text>
    </comment>
  </commentList>
</comments>
</file>

<file path=xl/sharedStrings.xml><?xml version="1.0" encoding="utf-8"?>
<sst xmlns="http://schemas.openxmlformats.org/spreadsheetml/2006/main" count="3222" uniqueCount="1808">
  <si>
    <t>대차대조표</t>
  </si>
  <si>
    <t>유동자산(계)</t>
  </si>
  <si>
    <t>비유동자산(계)</t>
  </si>
  <si>
    <t>자산총계</t>
  </si>
  <si>
    <t>부채총계</t>
  </si>
  <si>
    <t>자본총계</t>
  </si>
  <si>
    <t>부채와자본총계</t>
  </si>
  <si>
    <t>매출액</t>
  </si>
  <si>
    <t>매출원가</t>
  </si>
  <si>
    <t>매출총이익(손실)</t>
  </si>
  <si>
    <t>판매비와관리비</t>
  </si>
  <si>
    <t>영업이익(손실)</t>
  </si>
  <si>
    <t>영업외수익</t>
  </si>
  <si>
    <t>영업외비용</t>
  </si>
  <si>
    <t>법인세비용차감전계속사업이익(손실)</t>
  </si>
  <si>
    <t>계속사업손익법인세비용(부의법인세비용)</t>
  </si>
  <si>
    <t>계속사업이익(손실)</t>
  </si>
  <si>
    <t>당기순이익(손실)</t>
  </si>
  <si>
    <t> 당좌자산(계)</t>
  </si>
  <si>
    <t>  기타</t>
  </si>
  <si>
    <t>매출액</t>
    <phoneticPr fontId="2" type="noConversion"/>
  </si>
  <si>
    <t>   주주,임원,종업원단기차입금</t>
  </si>
  <si>
    <t>   기타단기차입금</t>
  </si>
  <si>
    <t>계</t>
    <phoneticPr fontId="2" type="noConversion"/>
  </si>
  <si>
    <t> 이자수익</t>
  </si>
  <si>
    <t> 재고자산(계)</t>
  </si>
  <si>
    <t> 배당금수익</t>
  </si>
  <si>
    <t> 유형자산(계)</t>
  </si>
  <si>
    <t>  매입채무</t>
  </si>
  <si>
    <t>  유형,임대주택자산감가상각비</t>
  </si>
  <si>
    <t> 비유동부채(계)</t>
  </si>
  <si>
    <t>  개발비</t>
  </si>
  <si>
    <t> 이자비용</t>
  </si>
  <si>
    <t>  경상개발비</t>
  </si>
  <si>
    <t>  무형자산상각비</t>
  </si>
  <si>
    <t>항목</t>
    <phoneticPr fontId="2" type="noConversion"/>
  </si>
  <si>
    <t>투자활동으로인한현금흐름</t>
  </si>
  <si>
    <t>재무활동으로인한현금흐름</t>
  </si>
  <si>
    <t>취득원가</t>
    <phoneticPr fontId="2" type="noConversion"/>
  </si>
  <si>
    <t> (유형자산감가상각누계액계)</t>
  </si>
  <si>
    <t>  토지</t>
  </si>
  <si>
    <t>  건물</t>
  </si>
  <si>
    <t>  구축물</t>
  </si>
  <si>
    <t>  기계장치</t>
  </si>
  <si>
    <t>  차량운반구</t>
  </si>
  <si>
    <t>  건설중인자산</t>
  </si>
  <si>
    <t> 무형자산(계)</t>
  </si>
  <si>
    <t> 자본금</t>
  </si>
  <si>
    <t>  [보통주발행주식수]</t>
  </si>
  <si>
    <t> 자본잉여금</t>
  </si>
  <si>
    <t> 이익잉여금</t>
  </si>
  <si>
    <t>[평균발행주식수]</t>
  </si>
  <si>
    <t>비고</t>
    <phoneticPr fontId="2" type="noConversion"/>
  </si>
  <si>
    <t> 기타비유동자산(계)</t>
  </si>
  <si>
    <t>  감가상각비(IS)</t>
    <phoneticPr fontId="2" type="noConversion"/>
  </si>
  <si>
    <t> 유형자산(계)</t>
    <phoneticPr fontId="2" type="noConversion"/>
  </si>
  <si>
    <t>  토지</t>
    <phoneticPr fontId="2" type="noConversion"/>
  </si>
  <si>
    <t> (유형자산감가상각누계액계)</t>
    <phoneticPr fontId="2" type="noConversion"/>
  </si>
  <si>
    <t>유형자산감가상각률</t>
    <phoneticPr fontId="2" type="noConversion"/>
  </si>
  <si>
    <t>유형자산증가분</t>
    <phoneticPr fontId="2" type="noConversion"/>
  </si>
  <si>
    <t>감가상각누계액증가분</t>
    <phoneticPr fontId="2" type="noConversion"/>
  </si>
  <si>
    <t>토지증가분</t>
    <phoneticPr fontId="2" type="noConversion"/>
  </si>
  <si>
    <t>유형자산재투자율(R)</t>
    <phoneticPr fontId="2" type="noConversion"/>
  </si>
  <si>
    <t>증가분</t>
    <phoneticPr fontId="2" type="noConversion"/>
  </si>
  <si>
    <t>취득/자본적지출/대체/처분 등</t>
    <phoneticPr fontId="2" type="noConversion"/>
  </si>
  <si>
    <t>  건설중인자산</t>
    <phoneticPr fontId="2" type="noConversion"/>
  </si>
  <si>
    <t>  건물</t>
    <phoneticPr fontId="2" type="noConversion"/>
  </si>
  <si>
    <t>  (건물감가상각누계액)</t>
    <phoneticPr fontId="2" type="noConversion"/>
  </si>
  <si>
    <t>취득/자본적지출/대체/처분 등</t>
    <phoneticPr fontId="2" type="noConversion"/>
  </si>
  <si>
    <t>감가상각</t>
    <phoneticPr fontId="2" type="noConversion"/>
  </si>
  <si>
    <t>상각정도</t>
    <phoneticPr fontId="2" type="noConversion"/>
  </si>
  <si>
    <t>  구축물</t>
    <phoneticPr fontId="2" type="noConversion"/>
  </si>
  <si>
    <t>  (구축물감가상각누계액)</t>
    <phoneticPr fontId="2" type="noConversion"/>
  </si>
  <si>
    <t>  기계장치</t>
    <phoneticPr fontId="2" type="noConversion"/>
  </si>
  <si>
    <t>  (기계장치감가상각누계액)</t>
    <phoneticPr fontId="2" type="noConversion"/>
  </si>
  <si>
    <t>  시설장치</t>
    <phoneticPr fontId="2" type="noConversion"/>
  </si>
  <si>
    <t>  (시설장치감가상각누계액)</t>
    <phoneticPr fontId="2" type="noConversion"/>
  </si>
  <si>
    <t>  선박/항공기 </t>
    <phoneticPr fontId="2" type="noConversion"/>
  </si>
  <si>
    <t>  (선박/항공기감가상각누계액) </t>
    <phoneticPr fontId="2" type="noConversion"/>
  </si>
  <si>
    <t>  차량운반구</t>
    <phoneticPr fontId="2" type="noConversion"/>
  </si>
  <si>
    <t>  (차량운반구감가상각누계액)</t>
    <phoneticPr fontId="2" type="noConversion"/>
  </si>
  <si>
    <t>  공구와기구</t>
    <phoneticPr fontId="2" type="noConversion"/>
  </si>
  <si>
    <t>  (공구와기구감가상각누계액)</t>
    <phoneticPr fontId="2" type="noConversion"/>
  </si>
  <si>
    <t>  비품</t>
    <phoneticPr fontId="2" type="noConversion"/>
  </si>
  <si>
    <t>  (비품감가상각누계액)</t>
    <phoneticPr fontId="2" type="noConversion"/>
  </si>
  <si>
    <t>  금형</t>
    <phoneticPr fontId="2" type="noConversion"/>
  </si>
  <si>
    <t>  (금형감가상각누계액)</t>
    <phoneticPr fontId="2" type="noConversion"/>
  </si>
  <si>
    <t>  기타유형자산</t>
    <phoneticPr fontId="2" type="noConversion"/>
  </si>
  <si>
    <t>  (기타유형자산감가상각누계액)</t>
    <phoneticPr fontId="2" type="noConversion"/>
  </si>
  <si>
    <t>  무형자산상각비(IS)</t>
    <phoneticPr fontId="2" type="noConversion"/>
  </si>
  <si>
    <t> 무형자산(계)</t>
    <phoneticPr fontId="2" type="noConversion"/>
  </si>
  <si>
    <t> (상각누계액)</t>
    <phoneticPr fontId="2" type="noConversion"/>
  </si>
  <si>
    <t>무형자산감가상각률</t>
    <phoneticPr fontId="2" type="noConversion"/>
  </si>
  <si>
    <t>무형자산증가분</t>
    <phoneticPr fontId="2" type="noConversion"/>
  </si>
  <si>
    <t>  영업권</t>
    <phoneticPr fontId="2" type="noConversion"/>
  </si>
  <si>
    <t>  (영업권상각누계액)</t>
    <phoneticPr fontId="2" type="noConversion"/>
  </si>
  <si>
    <t>상각누계액증가분</t>
    <phoneticPr fontId="2" type="noConversion"/>
  </si>
  <si>
    <t>취득/처분</t>
    <phoneticPr fontId="2" type="noConversion"/>
  </si>
  <si>
    <t>  부의영업권(-)</t>
    <phoneticPr fontId="2" type="noConversion"/>
  </si>
  <si>
    <t>  라이선스와프랜차이즈</t>
    <phoneticPr fontId="2" type="noConversion"/>
  </si>
  <si>
    <t>  (라이선스와프랜차이즈상각누계액)</t>
    <phoneticPr fontId="2" type="noConversion"/>
  </si>
  <si>
    <t>  산업재산권</t>
    <phoneticPr fontId="2" type="noConversion"/>
  </si>
  <si>
    <t>  (산업재산권상각누계액)</t>
    <phoneticPr fontId="2" type="noConversion"/>
  </si>
  <si>
    <t>  저작권</t>
    <phoneticPr fontId="2" type="noConversion"/>
  </si>
  <si>
    <t>  (저작권상각누계액)</t>
    <phoneticPr fontId="2" type="noConversion"/>
  </si>
  <si>
    <t>  광업권</t>
    <phoneticPr fontId="2" type="noConversion"/>
  </si>
  <si>
    <t>  (광업권상각누계액)</t>
    <phoneticPr fontId="2" type="noConversion"/>
  </si>
  <si>
    <t>  임차권리금</t>
    <phoneticPr fontId="2" type="noConversion"/>
  </si>
  <si>
    <t>  (임차권리금상각누계액)</t>
    <phoneticPr fontId="2" type="noConversion"/>
  </si>
  <si>
    <t>  어업권</t>
    <phoneticPr fontId="2" type="noConversion"/>
  </si>
  <si>
    <t>  (어업권상각누계액)</t>
    <phoneticPr fontId="2" type="noConversion"/>
  </si>
  <si>
    <t>  차지권</t>
    <phoneticPr fontId="2" type="noConversion"/>
  </si>
  <si>
    <t>  (차지권상각누계액)</t>
    <phoneticPr fontId="2" type="noConversion"/>
  </si>
  <si>
    <t>  전용시설이용권</t>
    <phoneticPr fontId="2" type="noConversion"/>
  </si>
  <si>
    <t>  (전용시설이용권상각누계액)</t>
    <phoneticPr fontId="2" type="noConversion"/>
  </si>
  <si>
    <t>  창업비</t>
    <phoneticPr fontId="2" type="noConversion"/>
  </si>
  <si>
    <t>  (창업비상각누계액)</t>
    <phoneticPr fontId="2" type="noConversion"/>
  </si>
  <si>
    <t>  개발비</t>
    <phoneticPr fontId="2" type="noConversion"/>
  </si>
  <si>
    <t>  (개발비상각누계액)</t>
    <phoneticPr fontId="2" type="noConversion"/>
  </si>
  <si>
    <t>  소프트웨어</t>
    <phoneticPr fontId="2" type="noConversion"/>
  </si>
  <si>
    <t>  (소프트웨어상각누계액)</t>
    <phoneticPr fontId="2" type="noConversion"/>
  </si>
  <si>
    <t>  기타무형자산</t>
    <phoneticPr fontId="2" type="noConversion"/>
  </si>
  <si>
    <t>  (기타무형자산상각누계액)</t>
    <phoneticPr fontId="2" type="noConversion"/>
  </si>
  <si>
    <t>  리스자산</t>
    <phoneticPr fontId="2" type="noConversion"/>
  </si>
  <si>
    <t>  (리스자산감가상각누계액)</t>
    <phoneticPr fontId="2" type="noConversion"/>
  </si>
  <si>
    <t>  우선주자본금</t>
  </si>
  <si>
    <t> 자본조정</t>
  </si>
  <si>
    <t>  현금및현금등가물</t>
  </si>
  <si>
    <t>  단기금융상품</t>
  </si>
  <si>
    <t>  매출채권</t>
  </si>
  <si>
    <t>  단기대여금</t>
  </si>
  <si>
    <t>  선급비용</t>
  </si>
  <si>
    <t> 투자자산(계)</t>
  </si>
  <si>
    <t>  장기금융상품</t>
  </si>
  <si>
    <t>  장기투자증권</t>
  </si>
  <si>
    <t>  시설장치</t>
  </si>
  <si>
    <t>  비품</t>
  </si>
  <si>
    <t>  회원권</t>
  </si>
  <si>
    <t> 유동부채(계)</t>
  </si>
  <si>
    <t>  단기차입금</t>
  </si>
  <si>
    <t>  미지급비용</t>
  </si>
  <si>
    <t>  유동성장기부채</t>
  </si>
  <si>
    <t>   유동성장기차입금</t>
  </si>
  <si>
    <t>  장기차입금(계)</t>
  </si>
  <si>
    <t>  급료와임금</t>
  </si>
  <si>
    <t>  퇴직급여충당금전입액</t>
  </si>
  <si>
    <t>  복리후생비</t>
  </si>
  <si>
    <t>  여비교통비</t>
  </si>
  <si>
    <t>  통신비</t>
  </si>
  <si>
    <t>  수도광열비</t>
  </si>
  <si>
    <t>  세금과공과</t>
  </si>
  <si>
    <t>  감가상각비</t>
  </si>
  <si>
    <t>  수선비</t>
  </si>
  <si>
    <t>  보험료</t>
  </si>
  <si>
    <t>  소모품비</t>
  </si>
  <si>
    <t>  도서인쇄비</t>
  </si>
  <si>
    <t>  차량유지비</t>
  </si>
  <si>
    <t>  교육훈련비</t>
  </si>
  <si>
    <t>  수수료비용</t>
  </si>
  <si>
    <t>  접대비</t>
  </si>
  <si>
    <t>  광고선전비</t>
  </si>
  <si>
    <t>  운반비</t>
  </si>
  <si>
    <t>  대손상각비</t>
  </si>
  <si>
    <t> 외환차익</t>
  </si>
  <si>
    <t> 외화환산이익</t>
  </si>
  <si>
    <t> 대손충당금환입</t>
  </si>
  <si>
    <t> 유,무형,리스자산처분이익</t>
  </si>
  <si>
    <t> 기타영업외수익</t>
  </si>
  <si>
    <t> 기부금</t>
  </si>
  <si>
    <t> 외환차손</t>
  </si>
  <si>
    <t> 외화환산손실</t>
  </si>
  <si>
    <t> 기타대손상각비</t>
  </si>
  <si>
    <t> 투자자산처분손실</t>
  </si>
  <si>
    <t> 매도가능증권처분손실</t>
  </si>
  <si>
    <t> 전기오류수정손실</t>
  </si>
  <si>
    <t> 기타영업외비용</t>
  </si>
  <si>
    <t>[포괄손익]</t>
  </si>
  <si>
    <t>영업활동으로인한현금흐름</t>
  </si>
  <si>
    <t>  선박/항공기</t>
  </si>
  <si>
    <t>  공구와기구</t>
  </si>
  <si>
    <t>  금형</t>
  </si>
  <si>
    <t>  기타유형자산</t>
  </si>
  <si>
    <t>  영업권</t>
  </si>
  <si>
    <t>  부의영업권(-)</t>
  </si>
  <si>
    <t>  산업재산권</t>
  </si>
  <si>
    <t>  저작권</t>
  </si>
  <si>
    <t>  광업권</t>
  </si>
  <si>
    <t>  임차권리금</t>
  </si>
  <si>
    <t>  어업권</t>
  </si>
  <si>
    <t>  차지권</t>
  </si>
  <si>
    <t>  전용시설이용권</t>
  </si>
  <si>
    <t>  창업비</t>
  </si>
  <si>
    <t>  소프트웨어</t>
  </si>
  <si>
    <t>  기타무형자산</t>
  </si>
  <si>
    <t>  리스자산</t>
  </si>
  <si>
    <t>  장기대여금</t>
  </si>
  <si>
    <t>  장기사채(계)</t>
  </si>
  <si>
    <t>  임원급여</t>
  </si>
  <si>
    <t>  상여금</t>
  </si>
  <si>
    <t>  임차료비용</t>
  </si>
  <si>
    <t>  리스료</t>
  </si>
  <si>
    <t>  견본비</t>
  </si>
  <si>
    <t>  수출비용</t>
  </si>
  <si>
    <t>  경상연구개발비</t>
  </si>
  <si>
    <t> 임대료수익</t>
  </si>
  <si>
    <t> 보험차익</t>
  </si>
  <si>
    <t> 유,무형,리스자산처분손실</t>
  </si>
  <si>
    <t>  단기투자증권</t>
  </si>
  <si>
    <t>   영업미수금</t>
  </si>
  <si>
    <t>   영업외화미수금</t>
  </si>
  <si>
    <t>   공사미수금</t>
  </si>
  <si>
    <t>   분양미수금</t>
  </si>
  <si>
    <t>   임대미수금</t>
  </si>
  <si>
    <t>임대주택자산</t>
  </si>
  <si>
    <t>  지분법적용주식</t>
  </si>
  <si>
    <t>  투자부동산</t>
  </si>
  <si>
    <t>  연구개발비</t>
  </si>
  <si>
    <t>   당좌차월</t>
  </si>
  <si>
    <t>   외화단기차입금</t>
  </si>
  <si>
    <t>   특수관계자단기차입금</t>
  </si>
  <si>
    <t>   어음차입금</t>
  </si>
  <si>
    <t>   공사미지급금</t>
  </si>
  <si>
    <t>   유동성사채</t>
  </si>
  <si>
    <t>   유동성금융리스부채장기미지급금선수금</t>
  </si>
  <si>
    <t>   외화장기차입금</t>
  </si>
  <si>
    <t>   차관</t>
  </si>
  <si>
    <t>   특수관계자장기차입금</t>
  </si>
  <si>
    <t>   주주,임원,종업원차입금</t>
  </si>
  <si>
    <t>   금융리스부채</t>
  </si>
  <si>
    <t>   국민주택기금차입금</t>
  </si>
  <si>
    <t>  금융리스부채</t>
  </si>
  <si>
    <t>  [보통주자기주식수]</t>
  </si>
  <si>
    <t> 기타포괄손익누계액</t>
  </si>
  <si>
    <t>[희석평균발행주식수]</t>
  </si>
  <si>
    <t> 매출할인</t>
  </si>
  <si>
    <t> 매입할인</t>
  </si>
  <si>
    <t>  제수당</t>
  </si>
  <si>
    <t>  퇴직금</t>
  </si>
  <si>
    <t>  주식보상비용</t>
  </si>
  <si>
    <t>  기타인건비</t>
  </si>
  <si>
    <t>  도서구입비</t>
  </si>
  <si>
    <t>  전산처리비</t>
  </si>
  <si>
    <t>  하자보수비</t>
  </si>
  <si>
    <t>  기타관리비</t>
  </si>
  <si>
    <t>  보관료</t>
  </si>
  <si>
    <t>  포장비</t>
  </si>
  <si>
    <t>  판매수수료</t>
  </si>
  <si>
    <t>  판매촉진비</t>
  </si>
  <si>
    <t>  해외시장개척비</t>
  </si>
  <si>
    <t>  A/S비</t>
  </si>
  <si>
    <t>  반품충당부채전입액</t>
  </si>
  <si>
    <t>  기타판매비</t>
  </si>
  <si>
    <t>  연구비</t>
  </si>
  <si>
    <t>  로얄티</t>
  </si>
  <si>
    <t>  중간기간판매비와관리비조정</t>
  </si>
  <si>
    <t> 장단기투자증권이자수익</t>
  </si>
  <si>
    <t> 단기투자자산처분이익</t>
  </si>
  <si>
    <t> 단기금융상품처분이익</t>
  </si>
  <si>
    <t> 단기금융상품평가이익</t>
  </si>
  <si>
    <t> 단기매매증권처분이익</t>
  </si>
  <si>
    <t> 단기매매증권평가이익</t>
  </si>
  <si>
    <t> 단기투자일임계약자산평가이익</t>
  </si>
  <si>
    <t> 매출채권처분이익</t>
  </si>
  <si>
    <t> 재고자산평가손실환입</t>
  </si>
  <si>
    <t> 임대주택자산처분이익</t>
  </si>
  <si>
    <t> 주식배당금수익</t>
  </si>
  <si>
    <t> 신주인수권처분이익</t>
  </si>
  <si>
    <t> 수수료수익</t>
  </si>
  <si>
    <t> 원가차익</t>
  </si>
  <si>
    <t> 파생상품거래이익</t>
  </si>
  <si>
    <t> 파생상품거래대환입</t>
  </si>
  <si>
    <t> 파생상품평가이익</t>
  </si>
  <si>
    <t> 환율조정대환입</t>
  </si>
  <si>
    <t> 장단기투자증권평가충당금환입</t>
  </si>
  <si>
    <t> 투자자산평가이익</t>
  </si>
  <si>
    <t> 매도가능증권평가이익</t>
  </si>
  <si>
    <t> 투자자산평가충당금환입</t>
  </si>
  <si>
    <t> 투자자산처분이익</t>
  </si>
  <si>
    <t> 매도가능증권처분이익</t>
  </si>
  <si>
    <t> 만기보유증권처분이익</t>
  </si>
  <si>
    <t> 지분법주식처분이익</t>
  </si>
  <si>
    <t> 기타장단기투자증권처분이익</t>
  </si>
  <si>
    <t> 기타장단기투자증권평가이익</t>
  </si>
  <si>
    <t> 자전거래이익</t>
  </si>
  <si>
    <t> 공정가액조정이익</t>
  </si>
  <si>
    <t> 상각채권추심이익</t>
  </si>
  <si>
    <t> 사채상환이익</t>
  </si>
  <si>
    <t> 지분법이익</t>
  </si>
  <si>
    <t> 임대주택자산감액손실환입</t>
  </si>
  <si>
    <t> 투자자산감액손실환입</t>
  </si>
  <si>
    <t> 매도가능증권감액손실환입</t>
  </si>
  <si>
    <t> 만기보유증권감액손실환입</t>
  </si>
  <si>
    <t> 지분법주식감액손실환입</t>
  </si>
  <si>
    <t> 유형자산감액손실환입</t>
  </si>
  <si>
    <t> 무형자산감액손실환입</t>
  </si>
  <si>
    <t> 기타자산감액손실환입</t>
  </si>
  <si>
    <t> 주식보상비용환입</t>
  </si>
  <si>
    <t> 법인세환급액</t>
  </si>
  <si>
    <t> 전환사채전환이익</t>
  </si>
  <si>
    <t> 중간기간오류이익</t>
  </si>
  <si>
    <t> 중간기간영업외수익조정</t>
  </si>
  <si>
    <t> 전기오류수정이익</t>
  </si>
  <si>
    <t> 복구충당부채환입액</t>
  </si>
  <si>
    <t> 복구공사이익</t>
  </si>
  <si>
    <t> 유동화수익</t>
  </si>
  <si>
    <t> 자산수증이익</t>
  </si>
  <si>
    <t> 채무면제이익</t>
  </si>
  <si>
    <t> 해외사업환산이익환입</t>
  </si>
  <si>
    <t> 사채이자</t>
  </si>
  <si>
    <t> 단기투자자산처분손실</t>
  </si>
  <si>
    <t> 장기투자자산처분손실</t>
  </si>
  <si>
    <t> 단기금융상품처분손실</t>
  </si>
  <si>
    <t> 단기매매증권처분손실</t>
  </si>
  <si>
    <t> 지분법주식처분손실</t>
  </si>
  <si>
    <t> 기타장단기투자증권처분손실</t>
  </si>
  <si>
    <t> 매출채권처분손실</t>
  </si>
  <si>
    <t> 임대주택자산처분손실</t>
  </si>
  <si>
    <t> 신주인수권처분손실</t>
  </si>
  <si>
    <t> 파생상품거래손실</t>
  </si>
  <si>
    <t> 파생상품거래차상각</t>
  </si>
  <si>
    <t> 파생상품평가손실</t>
  </si>
  <si>
    <t> 자산평가손실</t>
  </si>
  <si>
    <t> 수수료비용</t>
  </si>
  <si>
    <t> 원가차손</t>
  </si>
  <si>
    <t> 감가상각비</t>
  </si>
  <si>
    <t> 만기보유증권처분손실</t>
  </si>
  <si>
    <t> 자전거래손실</t>
  </si>
  <si>
    <t> 공정가액조정손실</t>
  </si>
  <si>
    <t> 임대주택자산감액손실</t>
  </si>
  <si>
    <t> 투자자산감액손실</t>
  </si>
  <si>
    <t> 매도가능증권감액손실</t>
  </si>
  <si>
    <t> 만기보유증권감액손실</t>
  </si>
  <si>
    <t> 지분법주식감액손실</t>
  </si>
  <si>
    <t> 유형자산감액손실</t>
  </si>
  <si>
    <t> 무형자산감액손실</t>
  </si>
  <si>
    <t> 기타자산감액손실</t>
  </si>
  <si>
    <t> 사채상환손실</t>
  </si>
  <si>
    <t> 부채상환손실</t>
  </si>
  <si>
    <t> 지분법손실</t>
  </si>
  <si>
    <t> 법인세추납액</t>
  </si>
  <si>
    <t> 전환사채전환손실</t>
  </si>
  <si>
    <t> 중간기간오류손실</t>
  </si>
  <si>
    <t> 중간기간영업외비용조정</t>
  </si>
  <si>
    <t> 복구충당부채전입액</t>
  </si>
  <si>
    <t> 복구공사손실</t>
  </si>
  <si>
    <t> 재해손실</t>
  </si>
  <si>
    <t> 특별상각</t>
  </si>
  <si>
    <t> 해외사업환산손실상각</t>
  </si>
  <si>
    <t>중단사업이익(손실)</t>
  </si>
  <si>
    <t>[중단사업매출액]</t>
  </si>
  <si>
    <t>[중단사업매출원가]</t>
  </si>
  <si>
    <t>[중단사업매출총이익(손실)]</t>
  </si>
  <si>
    <t>[중단사업판매비와관리비]</t>
  </si>
  <si>
    <t>[중단사업감가상각비]</t>
  </si>
  <si>
    <t>[중단사업영업이익(손실)]</t>
  </si>
  <si>
    <t>[중단사업영업외수익]</t>
  </si>
  <si>
    <t>[중단사업영업외비용]</t>
  </si>
  <si>
    <t>[중단사업법인세비용차감전순이익(손실)]</t>
  </si>
  <si>
    <t>[사업중단직접비용]</t>
  </si>
  <si>
    <t>[중단사업손상차손등]</t>
  </si>
  <si>
    <t>[중단사업손익법인세효과]</t>
  </si>
  <si>
    <t>기본주당계속사업손익</t>
  </si>
  <si>
    <t>기본주당순손익</t>
  </si>
  <si>
    <t>희석주당계속사업손익</t>
  </si>
  <si>
    <t>희석주당순손익</t>
  </si>
  <si>
    <t>ROE</t>
    <phoneticPr fontId="2" type="noConversion"/>
  </si>
  <si>
    <t>ROA</t>
    <phoneticPr fontId="2" type="noConversion"/>
  </si>
  <si>
    <t>감가상각정도</t>
    <phoneticPr fontId="2" type="noConversion"/>
  </si>
  <si>
    <t>무형자산상각정도</t>
    <phoneticPr fontId="2" type="noConversion"/>
  </si>
  <si>
    <t>  감가상각비(CF) (L)</t>
    <phoneticPr fontId="2" type="noConversion"/>
  </si>
  <si>
    <t>순취득액 (L)</t>
    <phoneticPr fontId="2" type="noConversion"/>
  </si>
  <si>
    <t>유형자산재투자율 (R)</t>
    <phoneticPr fontId="2" type="noConversion"/>
  </si>
  <si>
    <t>  무형자산상각비(CF) (L)</t>
    <phoneticPr fontId="2" type="noConversion"/>
  </si>
  <si>
    <t>무형자산재투자율 (R)</t>
    <phoneticPr fontId="2" type="noConversion"/>
  </si>
  <si>
    <t>유형자산 상각</t>
    <phoneticPr fontId="2" type="noConversion"/>
  </si>
  <si>
    <t>무형자산 상각</t>
    <phoneticPr fontId="2" type="noConversion"/>
  </si>
  <si>
    <t>당좌차월</t>
  </si>
  <si>
    <t>외화단기차입금</t>
  </si>
  <si>
    <t>어음차입금</t>
  </si>
  <si>
    <t>특수관계자단기차입금</t>
  </si>
  <si>
    <t>기타단기차입금</t>
  </si>
  <si>
    <t>장기차입금</t>
  </si>
  <si>
    <t>외화장기차입금</t>
  </si>
  <si>
    <t>금융리스부채</t>
  </si>
  <si>
    <t>매출액증가율</t>
    <phoneticPr fontId="2" type="noConversion"/>
  </si>
  <si>
    <t>영업이익증가율</t>
    <phoneticPr fontId="2" type="noConversion"/>
  </si>
  <si>
    <t>부채비율</t>
    <phoneticPr fontId="2" type="noConversion"/>
  </si>
  <si>
    <t>재무비율 항목</t>
  </si>
  <si>
    <t>총자본순이익율</t>
  </si>
  <si>
    <t>총자본법인세비용차감전순이익율</t>
  </si>
  <si>
    <t>경영자본영업이익율</t>
  </si>
  <si>
    <t>자기자본순이익율</t>
  </si>
  <si>
    <t>매출액순이익율</t>
  </si>
  <si>
    <t>매출액법인세비용차감전순이익율</t>
  </si>
  <si>
    <t>매출액영업이익율</t>
  </si>
  <si>
    <t>매출액총이익율</t>
  </si>
  <si>
    <t>법인세차감전순이익이자보상비율</t>
  </si>
  <si>
    <t>금융비용/매출액비율</t>
  </si>
  <si>
    <t>자기자본비율</t>
  </si>
  <si>
    <t>부채비율</t>
  </si>
  <si>
    <t>차입금의존도</t>
  </si>
  <si>
    <t>차입금/자기자본</t>
  </si>
  <si>
    <t>유동부채비율</t>
  </si>
  <si>
    <t>비유동자산장기적합율</t>
  </si>
  <si>
    <t>비유동자산비율</t>
  </si>
  <si>
    <t>유동비율</t>
  </si>
  <si>
    <t>당좌비율</t>
  </si>
  <si>
    <t>부채상환계수</t>
  </si>
  <si>
    <t>EBIT대매출액(세전이익)</t>
  </si>
  <si>
    <t>EBITDA대매출액</t>
  </si>
  <si>
    <t>EBITDA대금융비용</t>
  </si>
  <si>
    <t>총C/F대부채비율</t>
  </si>
  <si>
    <t>경영자본회전율</t>
  </si>
  <si>
    <t>총자본회전율</t>
  </si>
  <si>
    <t>매출채권회전율</t>
  </si>
  <si>
    <t>재고자산회전율1</t>
  </si>
  <si>
    <t>매입채무회전율</t>
  </si>
  <si>
    <t>매출액증가율</t>
  </si>
  <si>
    <t>영업이익증가율</t>
  </si>
  <si>
    <t>총자산증가율</t>
  </si>
  <si>
    <t>자기자본증가율</t>
  </si>
  <si>
    <t xml:space="preserve"> </t>
    <phoneticPr fontId="2" type="noConversion"/>
  </si>
  <si>
    <t>재무위험</t>
    <phoneticPr fontId="2" type="noConversion"/>
  </si>
  <si>
    <t>산정기준</t>
    <phoneticPr fontId="2" type="noConversion"/>
  </si>
  <si>
    <t>점수</t>
    <phoneticPr fontId="2" type="noConversion"/>
  </si>
  <si>
    <t>산식</t>
    <phoneticPr fontId="2" type="noConversion"/>
  </si>
  <si>
    <t>평점</t>
    <phoneticPr fontId="2" type="noConversion"/>
  </si>
  <si>
    <t>안정성
25%</t>
    <phoneticPr fontId="2" type="noConversion"/>
  </si>
  <si>
    <t>차입구조</t>
    <phoneticPr fontId="2" type="noConversion"/>
  </si>
  <si>
    <t>단기차입금/총차입금</t>
    <phoneticPr fontId="2" type="noConversion"/>
  </si>
  <si>
    <t>(유동부채+고정부채)/자기자본</t>
    <phoneticPr fontId="2" type="noConversion"/>
  </si>
  <si>
    <t>총차입금</t>
    <phoneticPr fontId="2" type="noConversion"/>
  </si>
  <si>
    <t>차입금의존도</t>
    <phoneticPr fontId="2" type="noConversion"/>
  </si>
  <si>
    <t>차입금/총자본</t>
    <phoneticPr fontId="2" type="noConversion"/>
  </si>
  <si>
    <t>고정장기적합률의 역</t>
    <phoneticPr fontId="2" type="noConversion"/>
  </si>
  <si>
    <t>적합률 = 고정자산/(자기자본+고정부채)</t>
    <phoneticPr fontId="2" type="noConversion"/>
  </si>
  <si>
    <t>수익성
30%</t>
    <phoneticPr fontId="2" type="noConversion"/>
  </si>
  <si>
    <t>매출액영업이익률</t>
    <phoneticPr fontId="2" type="noConversion"/>
  </si>
  <si>
    <t>영업이익/매출액</t>
    <phoneticPr fontId="2" type="noConversion"/>
  </si>
  <si>
    <t>매출액순이익률</t>
    <phoneticPr fontId="2" type="noConversion"/>
  </si>
  <si>
    <t>당기순이익/매출액</t>
    <phoneticPr fontId="2" type="noConversion"/>
  </si>
  <si>
    <t>금융비용부담율</t>
    <phoneticPr fontId="2" type="noConversion"/>
  </si>
  <si>
    <t>금융비용/매출액</t>
    <phoneticPr fontId="2" type="noConversion"/>
  </si>
  <si>
    <t>당기순이익/자본총계</t>
    <phoneticPr fontId="2" type="noConversion"/>
  </si>
  <si>
    <t>당기순이익/총자산</t>
    <phoneticPr fontId="2" type="noConversion"/>
  </si>
  <si>
    <t>이자보상배율</t>
    <phoneticPr fontId="2" type="noConversion"/>
  </si>
  <si>
    <t>(경상이익+금융비용)/금융비용</t>
    <phoneticPr fontId="2" type="noConversion"/>
  </si>
  <si>
    <t>당기말매출액/전기말매출액</t>
    <phoneticPr fontId="2" type="noConversion"/>
  </si>
  <si>
    <t>당기말영업이익/전기말영업이익</t>
    <phoneticPr fontId="2" type="noConversion"/>
  </si>
  <si>
    <t>당기순이익증가율</t>
    <phoneticPr fontId="2" type="noConversion"/>
  </si>
  <si>
    <t>당기말당기순이익/전기말당기순이익</t>
    <phoneticPr fontId="2" type="noConversion"/>
  </si>
  <si>
    <t>매출채권회전율</t>
    <phoneticPr fontId="2" type="noConversion"/>
  </si>
  <si>
    <t>매출액/평균매출채권</t>
    <phoneticPr fontId="2" type="noConversion"/>
  </si>
  <si>
    <t>현금흐름 10%</t>
    <phoneticPr fontId="2" type="noConversion"/>
  </si>
  <si>
    <t>현금흐름비율(영업현금흐름중심)</t>
    <phoneticPr fontId="2" type="noConversion"/>
  </si>
  <si>
    <t>영업활동현금흐름/매출액</t>
    <phoneticPr fontId="2" type="noConversion"/>
  </si>
  <si>
    <t>규모 15%</t>
    <phoneticPr fontId="2" type="noConversion"/>
  </si>
  <si>
    <t>자본총액</t>
    <phoneticPr fontId="2" type="noConversion"/>
  </si>
  <si>
    <t>자본금+주식발행초과금</t>
    <phoneticPr fontId="2" type="noConversion"/>
  </si>
  <si>
    <t>10% 미만</t>
    <phoneticPr fontId="2" type="noConversion"/>
  </si>
  <si>
    <t>100% 미만</t>
    <phoneticPr fontId="2" type="noConversion"/>
  </si>
  <si>
    <t>10% 이상 30% 미만</t>
    <phoneticPr fontId="2" type="noConversion"/>
  </si>
  <si>
    <t>100% 이상 200% 미만</t>
    <phoneticPr fontId="2" type="noConversion"/>
  </si>
  <si>
    <t>30% 이상 50% 미만</t>
    <phoneticPr fontId="2" type="noConversion"/>
  </si>
  <si>
    <t>200% 이상 300% 미만</t>
    <phoneticPr fontId="2" type="noConversion"/>
  </si>
  <si>
    <t>50% 이상 70% 미만</t>
    <phoneticPr fontId="2" type="noConversion"/>
  </si>
  <si>
    <t>300% 이상 500% 미만</t>
    <phoneticPr fontId="2" type="noConversion"/>
  </si>
  <si>
    <t>70% 이상</t>
    <phoneticPr fontId="2" type="noConversion"/>
  </si>
  <si>
    <t>500% 이상</t>
    <phoneticPr fontId="2" type="noConversion"/>
  </si>
  <si>
    <t>20% 미만</t>
    <phoneticPr fontId="2" type="noConversion"/>
  </si>
  <si>
    <t>120% 이상</t>
    <phoneticPr fontId="2" type="noConversion"/>
  </si>
  <si>
    <t>20% 이상 30% 미만</t>
    <phoneticPr fontId="2" type="noConversion"/>
  </si>
  <si>
    <t>120% 미만 100% 이상</t>
    <phoneticPr fontId="2" type="noConversion"/>
  </si>
  <si>
    <t>30% 이상 45% 미만</t>
    <phoneticPr fontId="2" type="noConversion"/>
  </si>
  <si>
    <t>100% 미만 85% 이상</t>
    <phoneticPr fontId="2" type="noConversion"/>
  </si>
  <si>
    <t>45% 이상 60% 미만</t>
    <phoneticPr fontId="2" type="noConversion"/>
  </si>
  <si>
    <t>85% 미만 70% 이상</t>
    <phoneticPr fontId="2" type="noConversion"/>
  </si>
  <si>
    <t>60% 이상</t>
    <phoneticPr fontId="2" type="noConversion"/>
  </si>
  <si>
    <t>70% 미만</t>
    <phoneticPr fontId="2" type="noConversion"/>
  </si>
  <si>
    <t>■ 수익성</t>
    <phoneticPr fontId="2" type="noConversion"/>
  </si>
  <si>
    <t>10% 이상</t>
    <phoneticPr fontId="2" type="noConversion"/>
  </si>
  <si>
    <t>7% 이상</t>
    <phoneticPr fontId="2" type="noConversion"/>
  </si>
  <si>
    <t>10% 미만 7% 이상</t>
    <phoneticPr fontId="2" type="noConversion"/>
  </si>
  <si>
    <t>7% 미만 4% 이상</t>
    <phoneticPr fontId="2" type="noConversion"/>
  </si>
  <si>
    <t>7% 미만 3% 이상</t>
    <phoneticPr fontId="2" type="noConversion"/>
  </si>
  <si>
    <t>4% 미만 2% 이상</t>
    <phoneticPr fontId="2" type="noConversion"/>
  </si>
  <si>
    <t>3% 미만 1% 이상</t>
    <phoneticPr fontId="2" type="noConversion"/>
  </si>
  <si>
    <t>2% 미만 1% 이상</t>
    <phoneticPr fontId="2" type="noConversion"/>
  </si>
  <si>
    <t>1% 미만</t>
    <phoneticPr fontId="2" type="noConversion"/>
  </si>
  <si>
    <t>금융비용부담률</t>
    <phoneticPr fontId="2" type="noConversion"/>
  </si>
  <si>
    <t>2% 미만</t>
    <phoneticPr fontId="2" type="noConversion"/>
  </si>
  <si>
    <t>15% 이상</t>
    <phoneticPr fontId="2" type="noConversion"/>
  </si>
  <si>
    <t>2% 이상 4% 미만</t>
    <phoneticPr fontId="2" type="noConversion"/>
  </si>
  <si>
    <t>15% 미만 10% 이상</t>
    <phoneticPr fontId="2" type="noConversion"/>
  </si>
  <si>
    <t>4% 이상 7% 미만</t>
    <phoneticPr fontId="2" type="noConversion"/>
  </si>
  <si>
    <t>7% 이상 10% 미만</t>
    <phoneticPr fontId="2" type="noConversion"/>
  </si>
  <si>
    <t>이자보상비율</t>
    <phoneticPr fontId="2" type="noConversion"/>
  </si>
  <si>
    <t>현금흐름비율</t>
    <phoneticPr fontId="2" type="noConversion"/>
  </si>
  <si>
    <t>매출액(억원)</t>
    <phoneticPr fontId="2" type="noConversion"/>
  </si>
  <si>
    <t>자본규모(억원)</t>
    <phoneticPr fontId="2" type="noConversion"/>
  </si>
  <si>
    <t>성장성 &amp; 
활동성
20%</t>
    <phoneticPr fontId="2" type="noConversion"/>
  </si>
  <si>
    <t>총차입금</t>
    <phoneticPr fontId="2" type="noConversion"/>
  </si>
  <si>
    <t>10% 이상</t>
    <phoneticPr fontId="2" type="noConversion"/>
  </si>
  <si>
    <t>3% 미만</t>
    <phoneticPr fontId="2" type="noConversion"/>
  </si>
  <si>
    <t>ROA</t>
    <phoneticPr fontId="2" type="noConversion"/>
  </si>
  <si>
    <t>이자보상비율</t>
    <phoneticPr fontId="2" type="noConversion"/>
  </si>
  <si>
    <t>5 이상</t>
    <phoneticPr fontId="2" type="noConversion"/>
  </si>
  <si>
    <t>10% 미만 7% 이상</t>
    <phoneticPr fontId="2" type="noConversion"/>
  </si>
  <si>
    <t>5 미만 3 이상</t>
    <phoneticPr fontId="2" type="noConversion"/>
  </si>
  <si>
    <t>7% 미만 4% 이상</t>
    <phoneticPr fontId="2" type="noConversion"/>
  </si>
  <si>
    <t>3 미만 2 이상</t>
    <phoneticPr fontId="2" type="noConversion"/>
  </si>
  <si>
    <t>4% 미만 1% 이상</t>
    <phoneticPr fontId="2" type="noConversion"/>
  </si>
  <si>
    <t>2 미만 1 이상</t>
    <phoneticPr fontId="2" type="noConversion"/>
  </si>
  <si>
    <t>1% 미만</t>
    <phoneticPr fontId="2" type="noConversion"/>
  </si>
  <si>
    <t>1 미만</t>
    <phoneticPr fontId="2" type="noConversion"/>
  </si>
  <si>
    <t>■ 성장성 &amp; 활동성</t>
    <phoneticPr fontId="2" type="noConversion"/>
  </si>
  <si>
    <t>매출액증가율</t>
    <phoneticPr fontId="2" type="noConversion"/>
  </si>
  <si>
    <t>영업이익증가율</t>
    <phoneticPr fontId="2" type="noConversion"/>
  </si>
  <si>
    <t>20% 이상</t>
    <phoneticPr fontId="2" type="noConversion"/>
  </si>
  <si>
    <t>20% 미만 10% 이상</t>
    <phoneticPr fontId="2" type="noConversion"/>
  </si>
  <si>
    <t>10% 미만 5% 이상</t>
    <phoneticPr fontId="2" type="noConversion"/>
  </si>
  <si>
    <t>10% 미만 % 5이상</t>
    <phoneticPr fontId="2" type="noConversion"/>
  </si>
  <si>
    <t>5% 미만 3% 이상</t>
    <phoneticPr fontId="2" type="noConversion"/>
  </si>
  <si>
    <t>당기순이익증가율</t>
    <phoneticPr fontId="2" type="noConversion"/>
  </si>
  <si>
    <t>매출채권회전율</t>
    <phoneticPr fontId="2" type="noConversion"/>
  </si>
  <si>
    <t>15% 이상</t>
    <phoneticPr fontId="2" type="noConversion"/>
  </si>
  <si>
    <t>10 이상</t>
    <phoneticPr fontId="2" type="noConversion"/>
  </si>
  <si>
    <t>15% 미만 10% 이상</t>
    <phoneticPr fontId="2" type="noConversion"/>
  </si>
  <si>
    <t>10 미만 7 이상</t>
    <phoneticPr fontId="2" type="noConversion"/>
  </si>
  <si>
    <t>7 미만 5 이상</t>
    <phoneticPr fontId="2" type="noConversion"/>
  </si>
  <si>
    <t>3 미만</t>
    <phoneticPr fontId="2" type="noConversion"/>
  </si>
  <si>
    <t>■ 현금흐름</t>
    <phoneticPr fontId="2" type="noConversion"/>
  </si>
  <si>
    <t>현금흐름비율</t>
    <phoneticPr fontId="2" type="noConversion"/>
  </si>
  <si>
    <t>30% 이상</t>
    <phoneticPr fontId="2" type="noConversion"/>
  </si>
  <si>
    <t>30% 미만 25% 이상</t>
    <phoneticPr fontId="2" type="noConversion"/>
  </si>
  <si>
    <t>25% 미만 15% 이상</t>
    <phoneticPr fontId="2" type="noConversion"/>
  </si>
  <si>
    <t>15% 미만 5% 이상</t>
    <phoneticPr fontId="2" type="noConversion"/>
  </si>
  <si>
    <t>5% 미만</t>
    <phoneticPr fontId="2" type="noConversion"/>
  </si>
  <si>
    <t>■ 규모</t>
    <phoneticPr fontId="2" type="noConversion"/>
  </si>
  <si>
    <t>매출액(억원)</t>
    <phoneticPr fontId="2" type="noConversion"/>
  </si>
  <si>
    <t>자본규모(억원)</t>
    <phoneticPr fontId="2" type="noConversion"/>
  </si>
  <si>
    <t>10,000억 이상</t>
    <phoneticPr fontId="2" type="noConversion"/>
  </si>
  <si>
    <t>3,000억 이상</t>
    <phoneticPr fontId="2" type="noConversion"/>
  </si>
  <si>
    <t>5,000억 이상 10,000억 미만</t>
    <phoneticPr fontId="2" type="noConversion"/>
  </si>
  <si>
    <t>700억 이상 3,000억 미만</t>
    <phoneticPr fontId="2" type="noConversion"/>
  </si>
  <si>
    <t>1,000억 이상 5,000억 미만</t>
    <phoneticPr fontId="2" type="noConversion"/>
  </si>
  <si>
    <t>300억 이상 700억 미만</t>
    <phoneticPr fontId="2" type="noConversion"/>
  </si>
  <si>
    <t>500억 이상 1,000억 미만</t>
    <phoneticPr fontId="2" type="noConversion"/>
  </si>
  <si>
    <t>100억 이상 300억 미만</t>
    <phoneticPr fontId="2" type="noConversion"/>
  </si>
  <si>
    <t>500억 미만</t>
    <phoneticPr fontId="2" type="noConversion"/>
  </si>
  <si>
    <t>100억 미만</t>
    <phoneticPr fontId="2" type="noConversion"/>
  </si>
  <si>
    <t>2012.12.31</t>
    <phoneticPr fontId="2" type="noConversion"/>
  </si>
  <si>
    <t>결산</t>
    <phoneticPr fontId="2" type="noConversion"/>
  </si>
  <si>
    <t>분반기</t>
    <phoneticPr fontId="2" type="noConversion"/>
  </si>
  <si>
    <t>■ 안정성</t>
    <phoneticPr fontId="2" type="noConversion"/>
  </si>
  <si>
    <t>현금및현금등가물</t>
  </si>
  <si>
    <t>단기금융상품</t>
  </si>
  <si>
    <t>단기투자증권</t>
  </si>
  <si>
    <t>매출채권</t>
  </si>
  <si>
    <t>단기대여금</t>
  </si>
  <si>
    <t>영업미수금</t>
  </si>
  <si>
    <t>영업외화미수금</t>
  </si>
  <si>
    <t>공사미수금</t>
  </si>
  <si>
    <t>분양미수금</t>
  </si>
  <si>
    <t>임대미수금</t>
  </si>
  <si>
    <t>선급비용</t>
  </si>
  <si>
    <t>장기금융상품</t>
  </si>
  <si>
    <t>장기투자증권</t>
  </si>
  <si>
    <t>지분법적용주식</t>
  </si>
  <si>
    <t>장기대여금</t>
  </si>
  <si>
    <t>투자부동산</t>
  </si>
  <si>
    <t>(유형자산감가상각누계액계)</t>
  </si>
  <si>
    <t>토지</t>
  </si>
  <si>
    <t>개발비</t>
  </si>
  <si>
    <t>회원권</t>
  </si>
  <si>
    <t>연구개발비</t>
  </si>
  <si>
    <t>매입채무</t>
  </si>
  <si>
    <t>단기차입금</t>
  </si>
  <si>
    <t>주주,임원,종업원단기차입금</t>
  </si>
  <si>
    <t>공사미지급금</t>
  </si>
  <si>
    <t>미지급비용</t>
  </si>
  <si>
    <t>유동성장기부채</t>
  </si>
  <si>
    <t>유동성장기차입금</t>
  </si>
  <si>
    <t>유동성사채</t>
  </si>
  <si>
    <t>유동성금융리스부채장기미지급금선수금</t>
  </si>
  <si>
    <t>차관</t>
  </si>
  <si>
    <t>특수관계자장기차입금</t>
  </si>
  <si>
    <t>주주,임원,종업원차입금</t>
  </si>
  <si>
    <t>국민주택기금차입금</t>
  </si>
  <si>
    <t>자본금</t>
  </si>
  <si>
    <t>[1주의금액](원)</t>
  </si>
  <si>
    <t>[보통주발행주식수]</t>
  </si>
  <si>
    <t>우선주자본금</t>
  </si>
  <si>
    <t>자본잉여금</t>
  </si>
  <si>
    <t>자본조정</t>
  </si>
  <si>
    <t>[보통주자기주식수]</t>
  </si>
  <si>
    <t>기타포괄손익누계액</t>
  </si>
  <si>
    <t>이익잉여금</t>
  </si>
  <si>
    <t>임원급여</t>
  </si>
  <si>
    <t>급료와임금</t>
  </si>
  <si>
    <t>제수당</t>
  </si>
  <si>
    <t>상여금</t>
  </si>
  <si>
    <t>퇴직급여충당금전입액</t>
  </si>
  <si>
    <t>퇴직금</t>
  </si>
  <si>
    <t>복리후생비</t>
  </si>
  <si>
    <t>주식보상비용</t>
  </si>
  <si>
    <t>기타인건비</t>
  </si>
  <si>
    <t>여비교통비</t>
  </si>
  <si>
    <t>통신비</t>
  </si>
  <si>
    <t>수도광열비</t>
  </si>
  <si>
    <t>세금과공과</t>
  </si>
  <si>
    <t>임차료비용</t>
  </si>
  <si>
    <t>감가상각비</t>
  </si>
  <si>
    <t>수선비</t>
  </si>
  <si>
    <t>보험료</t>
  </si>
  <si>
    <t>도서구입비</t>
  </si>
  <si>
    <t>소모품비</t>
  </si>
  <si>
    <t>도서인쇄비</t>
  </si>
  <si>
    <t>차량유지비</t>
  </si>
  <si>
    <t>교육훈련비</t>
  </si>
  <si>
    <t>리스료</t>
  </si>
  <si>
    <t>전산처리비</t>
  </si>
  <si>
    <t>하자보수비</t>
  </si>
  <si>
    <t>기타관리비</t>
  </si>
  <si>
    <t>접대비</t>
  </si>
  <si>
    <t>광고선전비</t>
  </si>
  <si>
    <t>보관료</t>
  </si>
  <si>
    <t>견본비</t>
  </si>
  <si>
    <t>포장비</t>
  </si>
  <si>
    <t>운반비</t>
  </si>
  <si>
    <t>판매수수료</t>
  </si>
  <si>
    <t>판매촉진비</t>
  </si>
  <si>
    <t>해외시장개척비</t>
  </si>
  <si>
    <t>수출비용</t>
  </si>
  <si>
    <t>A/S비</t>
  </si>
  <si>
    <t>반품충당부채전입액</t>
  </si>
  <si>
    <t>기타판매비</t>
  </si>
  <si>
    <t>연구비</t>
  </si>
  <si>
    <t>경상연구개발비</t>
  </si>
  <si>
    <t>경상개발비</t>
  </si>
  <si>
    <t>로얄티</t>
  </si>
  <si>
    <t>대손상각비</t>
  </si>
  <si>
    <t>무형자산상각비</t>
  </si>
  <si>
    <t>중간기간판매비와관리비조정</t>
  </si>
  <si>
    <t>기타</t>
  </si>
  <si>
    <t>이자수익</t>
  </si>
  <si>
    <t>장단기투자증권이자수익</t>
  </si>
  <si>
    <t>배당금수익</t>
  </si>
  <si>
    <t>단기투자자산처분이익</t>
  </si>
  <si>
    <t>단기금융상품처분이익</t>
  </si>
  <si>
    <t>단기금융상품평가이익</t>
  </si>
  <si>
    <t>단기매매증권처분이익</t>
  </si>
  <si>
    <t>단기매매증권평가이익</t>
  </si>
  <si>
    <t>단기투자일임계약자산평가이익</t>
  </si>
  <si>
    <t>매출채권처분이익</t>
  </si>
  <si>
    <t>재고자산평가손실환입</t>
  </si>
  <si>
    <t>임대주택자산처분이익</t>
  </si>
  <si>
    <t>주식배당금수익</t>
  </si>
  <si>
    <t>신주인수권처분이익</t>
  </si>
  <si>
    <t>임대료수익</t>
  </si>
  <si>
    <t>수수료수익</t>
  </si>
  <si>
    <t>원가차익</t>
  </si>
  <si>
    <t>매입할인</t>
  </si>
  <si>
    <t>보험차익</t>
  </si>
  <si>
    <t>외환차익</t>
  </si>
  <si>
    <t>외화환산이익</t>
  </si>
  <si>
    <t>파생상품거래이익</t>
  </si>
  <si>
    <t>파생상품거래대환입</t>
  </si>
  <si>
    <t>파생상품평가이익</t>
  </si>
  <si>
    <t>환율조정대환입</t>
  </si>
  <si>
    <t>대손충당금환입</t>
  </si>
  <si>
    <t>장단기투자증권평가충당금환입</t>
  </si>
  <si>
    <t>투자자산평가이익</t>
  </si>
  <si>
    <t>매도가능증권평가이익</t>
  </si>
  <si>
    <t>투자자산평가충당금환입</t>
  </si>
  <si>
    <t>투자자산처분이익</t>
  </si>
  <si>
    <t>매도가능증권처분이익</t>
  </si>
  <si>
    <t>만기보유증권처분이익</t>
  </si>
  <si>
    <t>지분법주식처분이익</t>
  </si>
  <si>
    <t>기타장단기투자증권처분이익</t>
  </si>
  <si>
    <t>기타장단기투자증권평가이익</t>
  </si>
  <si>
    <t>자전거래이익</t>
  </si>
  <si>
    <t>유,무형,리스자산처분이익</t>
  </si>
  <si>
    <t>공정가액조정이익</t>
  </si>
  <si>
    <t>상각채권추심이익</t>
  </si>
  <si>
    <t>사채상환이익</t>
  </si>
  <si>
    <t>지분법이익</t>
  </si>
  <si>
    <t>임대주택자산감액손실환입</t>
  </si>
  <si>
    <t>투자자산감액손실환입</t>
  </si>
  <si>
    <t>매도가능증권감액손실환입</t>
  </si>
  <si>
    <t>만기보유증권감액손실환입</t>
  </si>
  <si>
    <t>지분법주식감액손실환입</t>
  </si>
  <si>
    <t>유형자산감액손실환입</t>
  </si>
  <si>
    <t>무형자산감액손실환입</t>
  </si>
  <si>
    <t>기타자산감액손실환입</t>
  </si>
  <si>
    <t>주식보상비용환입</t>
  </si>
  <si>
    <t>법인세환급액</t>
  </si>
  <si>
    <t>전환사채전환이익</t>
  </si>
  <si>
    <t>중간기간오류이익</t>
  </si>
  <si>
    <t>중간기간영업외수익조정</t>
  </si>
  <si>
    <t>전기오류수정이익</t>
  </si>
  <si>
    <t>복구충당부채환입액</t>
  </si>
  <si>
    <t>복구공사이익</t>
  </si>
  <si>
    <t>유동화수익</t>
  </si>
  <si>
    <t>자산수증이익</t>
  </si>
  <si>
    <t>채무면제이익</t>
  </si>
  <si>
    <t>해외사업환산이익환입</t>
  </si>
  <si>
    <t>기타영업외수익</t>
  </si>
  <si>
    <t>이자비용</t>
  </si>
  <si>
    <t>사채이자</t>
  </si>
  <si>
    <t>단기투자자산처분손실</t>
  </si>
  <si>
    <t>장기투자자산처분손실</t>
  </si>
  <si>
    <t>단기금융상품처분손실</t>
  </si>
  <si>
    <t>단기매매증권처분손실</t>
  </si>
  <si>
    <t>지분법주식처분손실</t>
  </si>
  <si>
    <t>기타장단기투자증권처분손실</t>
  </si>
  <si>
    <t>매출채권처분손실</t>
  </si>
  <si>
    <t>임대주택자산처분손실</t>
  </si>
  <si>
    <t>신주인수권처분손실</t>
  </si>
  <si>
    <t>기부금</t>
  </si>
  <si>
    <t>외환차손</t>
  </si>
  <si>
    <t>파생상품거래손실</t>
  </si>
  <si>
    <t>파생상품거래차상각</t>
  </si>
  <si>
    <t>파생상품평가손실</t>
  </si>
  <si>
    <t>자산평가손실</t>
  </si>
  <si>
    <t>외화환산손실</t>
  </si>
  <si>
    <t>매출할인</t>
  </si>
  <si>
    <t>원가차손</t>
  </si>
  <si>
    <t>기타대손상각비</t>
  </si>
  <si>
    <t>유,무형,리스자산처분손실</t>
  </si>
  <si>
    <t>투자자산처분손실</t>
  </si>
  <si>
    <t>매도가능증권처분손실</t>
  </si>
  <si>
    <t>만기보유증권처분손실</t>
  </si>
  <si>
    <t>자전거래손실</t>
  </si>
  <si>
    <t>공정가액조정손실</t>
  </si>
  <si>
    <t>임대주택자산감액손실</t>
  </si>
  <si>
    <t>투자자산감액손실</t>
  </si>
  <si>
    <t>매도가능증권감액손실</t>
  </si>
  <si>
    <t>만기보유증권감액손실</t>
  </si>
  <si>
    <t>지분법주식감액손실</t>
  </si>
  <si>
    <t>유형자산감액손실</t>
  </si>
  <si>
    <t>무형자산감액손실</t>
  </si>
  <si>
    <t>기타자산감액손실</t>
  </si>
  <si>
    <t>사채상환손실</t>
  </si>
  <si>
    <t>부채상환손실</t>
  </si>
  <si>
    <t>지분법손실</t>
  </si>
  <si>
    <t>법인세추납액</t>
  </si>
  <si>
    <t>전환사채전환손실</t>
  </si>
  <si>
    <t>중간기간오류손실</t>
  </si>
  <si>
    <t>중간기간영업외비용조정</t>
  </si>
  <si>
    <t>전기오류수정손실</t>
  </si>
  <si>
    <t>복구충당부채전입액</t>
  </si>
  <si>
    <t>복구공사손실</t>
  </si>
  <si>
    <t>재해손실</t>
  </si>
  <si>
    <t>특별상각</t>
  </si>
  <si>
    <t>해외사업환산손실상각</t>
  </si>
  <si>
    <t>기타영업외비용</t>
  </si>
  <si>
    <t>유동자산</t>
  </si>
  <si>
    <t>당좌자산</t>
  </si>
  <si>
    <t>재고자산</t>
  </si>
  <si>
    <t>비유동자산</t>
  </si>
  <si>
    <t>투자자산</t>
  </si>
  <si>
    <t>유형자산</t>
  </si>
  <si>
    <t>무형자산</t>
  </si>
  <si>
    <t>기타비유동자산</t>
  </si>
  <si>
    <t>유동부채</t>
  </si>
  <si>
    <t>비유동부채</t>
  </si>
  <si>
    <t>장기사채</t>
  </si>
  <si>
    <t>매출총이익</t>
  </si>
  <si>
    <t>영업이익</t>
  </si>
  <si>
    <t>법인세비용차감전계속사업이익</t>
  </si>
  <si>
    <t>계속사업이익</t>
  </si>
  <si>
    <t>당기순이익</t>
  </si>
  <si>
    <t>유형자산변동</t>
    <phoneticPr fontId="2" type="noConversion"/>
  </si>
  <si>
    <t>수수료비용</t>
  </si>
  <si>
    <t>당좌자산(계)</t>
  </si>
  <si>
    <t>(당좌자산대손충당금(계))</t>
  </si>
  <si>
    <t>현금</t>
  </si>
  <si>
    <t>예금</t>
  </si>
  <si>
    <t>기타예금</t>
  </si>
  <si>
    <t>기타현금등가물</t>
  </si>
  <si>
    <t>[사용제한단기금융상품]</t>
  </si>
  <si>
    <t>기타단기금융상품</t>
  </si>
  <si>
    <t>[수익증권]</t>
  </si>
  <si>
    <t>[채무증권]</t>
  </si>
  <si>
    <t>[기타단기투자증권]</t>
  </si>
  <si>
    <t>매도가능증권</t>
  </si>
  <si>
    <t>(매출채권대손충당금)</t>
  </si>
  <si>
    <t>[특수관계자매출채권]</t>
  </si>
  <si>
    <t>원화매출채권</t>
  </si>
  <si>
    <t>미수금</t>
  </si>
  <si>
    <t>기타미수금</t>
  </si>
  <si>
    <t>선급금</t>
  </si>
  <si>
    <t>기타선급금</t>
  </si>
  <si>
    <t>기타당좌자산</t>
  </si>
  <si>
    <t>재고자산(계)</t>
  </si>
  <si>
    <t>(재고자산평가손실충당금)</t>
  </si>
  <si>
    <t>제품</t>
  </si>
  <si>
    <t>기타제품</t>
  </si>
  <si>
    <t>재공품</t>
  </si>
  <si>
    <t>기타재공품</t>
  </si>
  <si>
    <t>원재료</t>
  </si>
  <si>
    <t>기타원재료</t>
  </si>
  <si>
    <t>미착품</t>
  </si>
  <si>
    <t>기타미착품</t>
  </si>
  <si>
    <t>투자자산(계)</t>
  </si>
  <si>
    <t>[특수관계자매도가능증권]</t>
  </si>
  <si>
    <t>유형자산(계)</t>
  </si>
  <si>
    <t>건물</t>
  </si>
  <si>
    <t>(건물감가상각누계액)</t>
  </si>
  <si>
    <t>기계장치</t>
  </si>
  <si>
    <t>(기계장치감가상각누계액)</t>
  </si>
  <si>
    <t>기타유형자산</t>
  </si>
  <si>
    <t>(기타유형자산감가상각누계액)</t>
  </si>
  <si>
    <t>건설중인자산</t>
  </si>
  <si>
    <t>무형자산(계)</t>
  </si>
  <si>
    <t>영업권</t>
  </si>
  <si>
    <t>산업재산권</t>
  </si>
  <si>
    <t>전용시설이용권</t>
  </si>
  <si>
    <t>기타무형자산</t>
  </si>
  <si>
    <t>기타비유동자산(계)</t>
  </si>
  <si>
    <t>보증금</t>
  </si>
  <si>
    <t>이연법인세자산</t>
  </si>
  <si>
    <t>장기선급비용</t>
  </si>
  <si>
    <t>퇴직관련예치금</t>
  </si>
  <si>
    <t>유동부채(계)</t>
  </si>
  <si>
    <t>원화매입채무</t>
  </si>
  <si>
    <t>미지급금</t>
  </si>
  <si>
    <t>미지급법인세</t>
  </si>
  <si>
    <t>기타미지급금</t>
  </si>
  <si>
    <t>선수금</t>
  </si>
  <si>
    <t>기타선수금</t>
  </si>
  <si>
    <t>예수금</t>
  </si>
  <si>
    <t>기타예수금</t>
  </si>
  <si>
    <t>단기부채성충당부채</t>
  </si>
  <si>
    <t>기타단기부채성충당부채</t>
  </si>
  <si>
    <t>기타유동부채</t>
  </si>
  <si>
    <t>비유동부채(계)</t>
  </si>
  <si>
    <t>장기사채(계)</t>
  </si>
  <si>
    <t>(사채할인발행차금계)</t>
  </si>
  <si>
    <t>사채</t>
  </si>
  <si>
    <t>(사채할인발행차금)</t>
  </si>
  <si>
    <t>장기미지급금</t>
  </si>
  <si>
    <t>기타장기미지급금</t>
  </si>
  <si>
    <t>장기부채성충당부채(계)</t>
  </si>
  <si>
    <t>퇴직급여충당부채</t>
  </si>
  <si>
    <t>기타부채성충당부채</t>
  </si>
  <si>
    <t>이연법인세부채</t>
  </si>
  <si>
    <t>기타비유동부채</t>
  </si>
  <si>
    <t>[수권주식수]</t>
  </si>
  <si>
    <t>보통주자본금</t>
  </si>
  <si>
    <t>[우선주발행주식수]</t>
  </si>
  <si>
    <t>자본준비금</t>
  </si>
  <si>
    <t>주식발행초과금</t>
  </si>
  <si>
    <t>자기주식(-)</t>
  </si>
  <si>
    <t>[우선주자기주식수]</t>
  </si>
  <si>
    <t>주식선택권</t>
  </si>
  <si>
    <t>투자증권평가이익</t>
  </si>
  <si>
    <t>법정적립금,준비금</t>
  </si>
  <si>
    <t>이익준비금</t>
  </si>
  <si>
    <t>기업합리화적립금</t>
  </si>
  <si>
    <t>재무구조개선적립금</t>
  </si>
  <si>
    <t>임의적립금</t>
  </si>
  <si>
    <t>해외시장개척준비금</t>
  </si>
  <si>
    <t>수출손실준비금</t>
  </si>
  <si>
    <t>기술개발준비금</t>
  </si>
  <si>
    <t>자사주처분손실준비금</t>
  </si>
  <si>
    <t>사업및시설확장적립금</t>
  </si>
  <si>
    <t>기타임의적립금</t>
  </si>
  <si>
    <t>미처분이익잉여금</t>
  </si>
  <si>
    <t>[당기순이익]</t>
  </si>
  <si>
    <t>(국고보조금)</t>
  </si>
  <si>
    <t>[외화현금및현금등가물]</t>
  </si>
  <si>
    <t>[외화현금]</t>
  </si>
  <si>
    <t>[외화예금]</t>
  </si>
  <si>
    <t>당좌예금</t>
  </si>
  <si>
    <t>단자예치금</t>
  </si>
  <si>
    <t>[외화단기금융상품]</t>
  </si>
  <si>
    <t>정기예금</t>
  </si>
  <si>
    <t>정기적금</t>
  </si>
  <si>
    <t>별단예금</t>
  </si>
  <si>
    <t>(단기투자증권평가충당금)</t>
  </si>
  <si>
    <t>(단기투자증권공정가액조정)</t>
  </si>
  <si>
    <t>[지분증권]</t>
  </si>
  <si>
    <t>단기매매증권</t>
  </si>
  <si>
    <t>(단기매매증권평가충당금)</t>
  </si>
  <si>
    <t>(매도가능증권평가충당금)</t>
  </si>
  <si>
    <t>(매도가능증권공정가액조정)</t>
  </si>
  <si>
    <t>만기보유증권</t>
  </si>
  <si>
    <t>(만기보유증권평가충당금)</t>
  </si>
  <si>
    <t>(만기보유증권공정가액조정)</t>
  </si>
  <si>
    <t>기타단기투자증권</t>
  </si>
  <si>
    <t>(기타단기투자증권평가충당금)</t>
  </si>
  <si>
    <t>(기타단기투자증권공정가액조정)</t>
  </si>
  <si>
    <t>단기투자일임계약자산</t>
  </si>
  <si>
    <t>(매출채권현재가치할인차금)</t>
  </si>
  <si>
    <t>[만기미도래매출채권양도잔액(할인/배서</t>
  </si>
  <si>
    <t>[상환의무있는양도잔액]</t>
  </si>
  <si>
    <t>[상환의무없는양도잔액]</t>
  </si>
  <si>
    <t>[회계기간동안의매출채권양도총액]</t>
  </si>
  <si>
    <t>외화매출채권</t>
  </si>
  <si>
    <t>기타매출채권</t>
  </si>
  <si>
    <t>(단기대여금현재가치할인차금)</t>
  </si>
  <si>
    <t>(단기대여금대손충당금)</t>
  </si>
  <si>
    <t>특수관계자단기대여금</t>
  </si>
  <si>
    <t>주주임원종업원단기대여금</t>
  </si>
  <si>
    <t>어음단기대여금</t>
  </si>
  <si>
    <t>기타단기대여금</t>
  </si>
  <si>
    <t>(미수금현재가치할인차금)</t>
  </si>
  <si>
    <t>(미수금대손충당금)</t>
  </si>
  <si>
    <t>[특수관계자미수금]</t>
  </si>
  <si>
    <t>외화미수금</t>
  </si>
  <si>
    <t>미수수익</t>
  </si>
  <si>
    <t>(미수수익대손충당금)</t>
  </si>
  <si>
    <t>[특수관계자미수수익]</t>
  </si>
  <si>
    <t>외화미수수익</t>
  </si>
  <si>
    <t>원화미수수익</t>
  </si>
  <si>
    <t>기타미수수익</t>
  </si>
  <si>
    <t>(선급금대손충당금)</t>
  </si>
  <si>
    <t>공사선급금</t>
  </si>
  <si>
    <t>선급법인세</t>
  </si>
  <si>
    <t>부가세대급금</t>
  </si>
  <si>
    <t>담보금</t>
  </si>
  <si>
    <t>자기사채</t>
  </si>
  <si>
    <t>가지급금</t>
  </si>
  <si>
    <t>위탁증거금</t>
  </si>
  <si>
    <t>단기투자자산</t>
  </si>
  <si>
    <t>[사용제한단기투자자산]</t>
  </si>
  <si>
    <t>[특수관계자단기투자자산]</t>
  </si>
  <si>
    <t>[외화단기투자자산]</t>
  </si>
  <si>
    <t>파생상품</t>
  </si>
  <si>
    <t>선도</t>
  </si>
  <si>
    <t>상품선도</t>
  </si>
  <si>
    <t>통화선도</t>
  </si>
  <si>
    <t>이자율선도</t>
  </si>
  <si>
    <t>기타선도</t>
  </si>
  <si>
    <t>선물</t>
  </si>
  <si>
    <t>상품선물</t>
  </si>
  <si>
    <t>통화선물</t>
  </si>
  <si>
    <t>이자율선물</t>
  </si>
  <si>
    <t>주가지수선물</t>
  </si>
  <si>
    <t>기타선물</t>
  </si>
  <si>
    <t>옵션</t>
  </si>
  <si>
    <t>매수상품옵션</t>
  </si>
  <si>
    <t>매수통화옵션</t>
  </si>
  <si>
    <t>매수이자율옵션</t>
  </si>
  <si>
    <t>매수주가지수옵션</t>
  </si>
  <si>
    <t>매수주식옵션</t>
  </si>
  <si>
    <t>매수기타옵션</t>
  </si>
  <si>
    <t>스왑</t>
  </si>
  <si>
    <t>통화스왑</t>
  </si>
  <si>
    <t>이자율스왑</t>
  </si>
  <si>
    <t>기타스왑</t>
  </si>
  <si>
    <t>기타파생상품</t>
  </si>
  <si>
    <t>리스채권</t>
  </si>
  <si>
    <t>(리스채권현재가치할인차금)</t>
  </si>
  <si>
    <t>(리스채권대손충당금)</t>
  </si>
  <si>
    <t>금융리스채권</t>
  </si>
  <si>
    <t>(금융리스채권현재가치할인차금)</t>
  </si>
  <si>
    <t>(금융리스채권대손충당금)</t>
  </si>
  <si>
    <t>해지금융리스채권</t>
  </si>
  <si>
    <t>(해지금융리스채권현재가치할인차금)</t>
  </si>
  <si>
    <t>(해지금융리스채권대손충당금)</t>
  </si>
  <si>
    <t>선급공사원가</t>
  </si>
  <si>
    <t>(기타당좌자산대손충당금)</t>
  </si>
  <si>
    <t>(재고자산사용권조정)</t>
  </si>
  <si>
    <t>상품</t>
  </si>
  <si>
    <t>토지,건물등</t>
  </si>
  <si>
    <t>적송품</t>
  </si>
  <si>
    <t>기타상품</t>
  </si>
  <si>
    <t>완성주택,완성원가</t>
  </si>
  <si>
    <t>부산물</t>
  </si>
  <si>
    <t>반제품</t>
  </si>
  <si>
    <t>미완성공사및주택</t>
  </si>
  <si>
    <t>외주가공재공품</t>
  </si>
  <si>
    <t>건설용자재</t>
  </si>
  <si>
    <t>매입부분품,구입부품</t>
  </si>
  <si>
    <t>용지</t>
  </si>
  <si>
    <t>저장품</t>
  </si>
  <si>
    <t>미착원재료</t>
  </si>
  <si>
    <t>미착상품</t>
  </si>
  <si>
    <t>가설재</t>
  </si>
  <si>
    <t>기타재고자산</t>
  </si>
  <si>
    <t>임대주택용지</t>
  </si>
  <si>
    <t>미완성임대주택</t>
  </si>
  <si>
    <t>임대주택토지</t>
  </si>
  <si>
    <t>완성임대주택</t>
  </si>
  <si>
    <t>(완성임대주택감가상각누계액)</t>
  </si>
  <si>
    <t>임대주택채권</t>
  </si>
  <si>
    <t>(임대주택채권관련국민주택기금차입금)</t>
  </si>
  <si>
    <t>(임대주택채권관련표준임대보증금)</t>
  </si>
  <si>
    <t>(임대주택채권관련전환임대보증금)</t>
  </si>
  <si>
    <t>임대주택</t>
  </si>
  <si>
    <t>(임대주택관련임대자산조정)</t>
  </si>
  <si>
    <t>(임대주택감가상각누계액)</t>
  </si>
  <si>
    <t>기타임대주택자산</t>
  </si>
  <si>
    <t>(대손충당금(계))</t>
  </si>
  <si>
    <t>(현재가치할인차금(계))</t>
  </si>
  <si>
    <t>[사용제한장기금융상품]</t>
  </si>
  <si>
    <t>[외화장기금융상품]</t>
  </si>
  <si>
    <t>기타장기금융상품</t>
  </si>
  <si>
    <t>장기성예금</t>
  </si>
  <si>
    <t>특정현금과예금</t>
  </si>
  <si>
    <t>장기투자자산</t>
  </si>
  <si>
    <t>[사용제한장기투자자산]</t>
  </si>
  <si>
    <t>[특수관계자장기투자자산]</t>
  </si>
  <si>
    <t>[외화장기투자자산]</t>
  </si>
  <si>
    <t>(장기투자증권공정가액조정)</t>
  </si>
  <si>
    <t>(장기투자증권평가충당금)</t>
  </si>
  <si>
    <t>[특수관계자만기보유증권]</t>
  </si>
  <si>
    <t>출자금</t>
  </si>
  <si>
    <t>(출자금평가충당금)</t>
  </si>
  <si>
    <t>장기투자일임계약자산</t>
  </si>
  <si>
    <t>(장기대여금현재가치할인차금)</t>
  </si>
  <si>
    <t>(장기대여금대손충당금)</t>
  </si>
  <si>
    <t>특수관계자장기대여금</t>
  </si>
  <si>
    <t>주주임원종업원장기대여금</t>
  </si>
  <si>
    <t>기타장기대여금</t>
  </si>
  <si>
    <t>기타투자부동산</t>
  </si>
  <si>
    <t>신주인수권</t>
  </si>
  <si>
    <t>기타투자자산</t>
  </si>
  <si>
    <t>(기타투자자산대손충당금)</t>
  </si>
  <si>
    <t>(기타투자자산현재가치할인차금)</t>
  </si>
  <si>
    <t>(유형자산공사부담금계)</t>
  </si>
  <si>
    <t>(유형자산국고보조금계)</t>
  </si>
  <si>
    <t>(유형자산사용권조정계)</t>
  </si>
  <si>
    <t>(유형자산감액손실누계액계)</t>
  </si>
  <si>
    <t>리스자산</t>
  </si>
  <si>
    <t>(리스자산감가상각누계액)</t>
  </si>
  <si>
    <t>(리스자산현재가치할인차금)</t>
  </si>
  <si>
    <t>(리스자산대손충당금)</t>
  </si>
  <si>
    <t>(리스자산처분손실충당금)</t>
  </si>
  <si>
    <t>금융리스자산</t>
  </si>
  <si>
    <t>(금융리스자산감가상각누계액)</t>
  </si>
  <si>
    <t>리스개량자산</t>
  </si>
  <si>
    <t>(리스개량자산감가상각누계액)</t>
  </si>
  <si>
    <t>해지금융리스자산</t>
  </si>
  <si>
    <t>(해지금융리스자산감가상각누계액)</t>
  </si>
  <si>
    <t>운용리스자산</t>
  </si>
  <si>
    <t>(운용리스자산처분손실충당금)</t>
  </si>
  <si>
    <t>(운용리스자산감가상각누계액)</t>
  </si>
  <si>
    <t>선급리스자산</t>
  </si>
  <si>
    <t>(선급리스자산대손충당금)</t>
  </si>
  <si>
    <t>기타리스자산</t>
  </si>
  <si>
    <t>(기타리스자산현재가치할인차금)</t>
  </si>
  <si>
    <t>(기타리스자산대손충당금)</t>
  </si>
  <si>
    <t>(기타리스자산처분손실충당금)</t>
  </si>
  <si>
    <t>(기타리스자산감가상각누계액)</t>
  </si>
  <si>
    <t>렌탈자산</t>
  </si>
  <si>
    <t>(렌탈자산감가상각누계액)</t>
  </si>
  <si>
    <t>(렌탈자산처분손실충당금)</t>
  </si>
  <si>
    <t>선급렌탈자산</t>
  </si>
  <si>
    <t>(토지공사부담금)</t>
  </si>
  <si>
    <t>(토지국고보조금)</t>
  </si>
  <si>
    <t>(토지사용권조정)</t>
  </si>
  <si>
    <t>(토지감액손실누계액)</t>
  </si>
  <si>
    <t>(건물공사부담금)</t>
  </si>
  <si>
    <t>(건물국고보조금)</t>
  </si>
  <si>
    <t>(건물사용권조정)</t>
  </si>
  <si>
    <t>(건물감액손실누계액)</t>
  </si>
  <si>
    <t>구축물</t>
  </si>
  <si>
    <t>(구축물공사부담금)</t>
  </si>
  <si>
    <t>(구축물국고보조금)</t>
  </si>
  <si>
    <t>(구축물감가상각누계액)</t>
  </si>
  <si>
    <t>(구축물사용권조정)</t>
  </si>
  <si>
    <t>(구축물감액손실누계액)</t>
  </si>
  <si>
    <t>(기계장치공사부담금)</t>
  </si>
  <si>
    <t>(기계장치국고보조금)</t>
  </si>
  <si>
    <t>(기계장치사용권조정)</t>
  </si>
  <si>
    <t>(기계장치감액손실누계액)</t>
  </si>
  <si>
    <t>시설장치</t>
  </si>
  <si>
    <t>(시설장치공사부담금)</t>
  </si>
  <si>
    <t>(시설장치국고보조금)</t>
  </si>
  <si>
    <t>(시설장치감가상각누계액)</t>
  </si>
  <si>
    <t>(시설장치사용권조정)</t>
  </si>
  <si>
    <t>(시설장치감액손실누계액)</t>
  </si>
  <si>
    <t>선박/항공기</t>
  </si>
  <si>
    <t>(선박/항공기공사부담금)</t>
  </si>
  <si>
    <t>(선박/항공기국고보조금)</t>
  </si>
  <si>
    <t>(선박/항공기감가상각누계액)</t>
  </si>
  <si>
    <t>(선박/항공기사용권조정)</t>
  </si>
  <si>
    <t>(선박/항공기감액손실누계액)</t>
  </si>
  <si>
    <t>차량운반구</t>
  </si>
  <si>
    <t>(차량운반구공사부담금)</t>
  </si>
  <si>
    <t>(차량운반구국고보조금)</t>
  </si>
  <si>
    <t>(차량운반구감가상각누계액)</t>
  </si>
  <si>
    <t>(차량운반구사용권조정)</t>
  </si>
  <si>
    <t>(차량운반구감액손실누계액)</t>
  </si>
  <si>
    <t>공구와기구</t>
  </si>
  <si>
    <t>(공구와기구공사부담금)</t>
  </si>
  <si>
    <t>(공구와기구국고보조금)</t>
  </si>
  <si>
    <t>(공구와기구감가상각누계액)</t>
  </si>
  <si>
    <t>(공구와기구사용권조정)</t>
  </si>
  <si>
    <t>(공구와기구감액손실누계액)</t>
  </si>
  <si>
    <t>비품</t>
  </si>
  <si>
    <t>(비품공사부담금)</t>
  </si>
  <si>
    <t>(비품국고보조금)</t>
  </si>
  <si>
    <t>(비품감가상각누계액)</t>
  </si>
  <si>
    <t>(비품사용권조정)</t>
  </si>
  <si>
    <t>(비품감액손실누계액)</t>
  </si>
  <si>
    <t>금형</t>
  </si>
  <si>
    <t>(금형공사부담금)</t>
  </si>
  <si>
    <t>(금형국고보조금)</t>
  </si>
  <si>
    <t>(금형감가상각누계액)</t>
  </si>
  <si>
    <t>(금형사용권조정)</t>
  </si>
  <si>
    <t>(금형감액손실누계액)</t>
  </si>
  <si>
    <t>(기타유형자산공사부담금)</t>
  </si>
  <si>
    <t>(기타유형자산국고보조금)</t>
  </si>
  <si>
    <t>(기타유형자산사용권조정)</t>
  </si>
  <si>
    <t>(기타유형자산감액손실누계액)</t>
  </si>
  <si>
    <t>(건설중인자산공사부담금)</t>
  </si>
  <si>
    <t>(건설중인자산국고보조금)</t>
  </si>
  <si>
    <t>(건설중인자산사용권조정)</t>
  </si>
  <si>
    <t>(건설중인자산감액손실누계액)</t>
  </si>
  <si>
    <t>(상각누계액)</t>
  </si>
  <si>
    <t>(감액손실누계액)</t>
  </si>
  <si>
    <t>(영업권상각누계액)</t>
  </si>
  <si>
    <t>(영업권감액손실누계액)</t>
  </si>
  <si>
    <t>(영업권국고보조금)</t>
  </si>
  <si>
    <t>부의영업권(-)</t>
  </si>
  <si>
    <t>라이선스와프랜차이즈</t>
  </si>
  <si>
    <t>(라이선스와프랜차이즈상각누계액)</t>
  </si>
  <si>
    <t>(라이선스와프랜차이즈감액손실누계액)</t>
  </si>
  <si>
    <t>(라이선스와프랜차이즈국고보조금)</t>
  </si>
  <si>
    <t>(산업재산권상각누계액)</t>
  </si>
  <si>
    <t>(산업재산권감액손실누계액)</t>
  </si>
  <si>
    <t>(산업재산권국고보조금)</t>
  </si>
  <si>
    <t>저작권</t>
  </si>
  <si>
    <t>(저작권상각누계액)</t>
  </si>
  <si>
    <t>(저작권감액손실누계액)</t>
  </si>
  <si>
    <t>(저작권국고보조금)</t>
  </si>
  <si>
    <t>광업권</t>
  </si>
  <si>
    <t>(광업권상각누계액)</t>
  </si>
  <si>
    <t>(광업권감액손실누계액)</t>
  </si>
  <si>
    <t>(광업권국고보조금)</t>
  </si>
  <si>
    <t>임차권리금</t>
  </si>
  <si>
    <t>(임차권리금상각누계액)</t>
  </si>
  <si>
    <t>(임차권리금감액손실누계액)</t>
  </si>
  <si>
    <t>(임차권리금국고보조금)</t>
  </si>
  <si>
    <t>어업권</t>
  </si>
  <si>
    <t>(어업권상각누계액)</t>
  </si>
  <si>
    <t>(어업권감액손실누계액)</t>
  </si>
  <si>
    <t>(어업권국고보조금)</t>
  </si>
  <si>
    <t>차지권</t>
  </si>
  <si>
    <t>(차지권상각누계액)</t>
  </si>
  <si>
    <t>(차지권감액손실누계액)</t>
  </si>
  <si>
    <t>(차지권국고보조금)</t>
  </si>
  <si>
    <t>(전용시설이용권상각누계액)</t>
  </si>
  <si>
    <t>(전용시설이용권감액손실누계액)</t>
  </si>
  <si>
    <t>(전용시설이용권국고보조금)</t>
  </si>
  <si>
    <t>창업비</t>
  </si>
  <si>
    <t>(창업비상각누계액)</t>
  </si>
  <si>
    <t>(창업비감액손실누계액)</t>
  </si>
  <si>
    <t>(창업비국고보조금)</t>
  </si>
  <si>
    <t>(개발비상각누계액)</t>
  </si>
  <si>
    <t>(개발비감액손실누계액)</t>
  </si>
  <si>
    <t>(개발비국고보조금)</t>
  </si>
  <si>
    <t>소프트웨어</t>
  </si>
  <si>
    <t>(소프트웨어상각누계액)</t>
  </si>
  <si>
    <t>(소프트웨어감액손실누계액)</t>
  </si>
  <si>
    <t>(소프트웨어국고보조금)</t>
  </si>
  <si>
    <t>(기타무형자산상각누계액)</t>
  </si>
  <si>
    <t>(기타무형자산감액손실누계액)</t>
  </si>
  <si>
    <t>(기타무형자산국고보조금)</t>
  </si>
  <si>
    <t>(기타비유동자산대손충당금)</t>
  </si>
  <si>
    <t>(기타비유동자산현재가치할인차금)</t>
  </si>
  <si>
    <t>(보증금대손충당금)</t>
  </si>
  <si>
    <t>기타금융리스채권</t>
  </si>
  <si>
    <t>(기타금융리스채권대손충당금)</t>
  </si>
  <si>
    <t>(기타금융리스채권현재가치할인차금)</t>
  </si>
  <si>
    <t>장기매출채권</t>
  </si>
  <si>
    <t>(장기매출채권대손충당금)</t>
  </si>
  <si>
    <t>(장기매출채권현재가치할인차금)</t>
  </si>
  <si>
    <t>(장기매출채권선물거래차)</t>
  </si>
  <si>
    <t>출자전환채권</t>
  </si>
  <si>
    <t>(출자전환채권대손충당금)</t>
  </si>
  <si>
    <t>장기미수금</t>
  </si>
  <si>
    <t>(장기미수금대손충당금)</t>
  </si>
  <si>
    <t>(장기미수금현재가치할인차금)</t>
  </si>
  <si>
    <t>(장기미수금선물거래차)</t>
  </si>
  <si>
    <t>장기선급금</t>
  </si>
  <si>
    <t>(장기선급금대손충당금)</t>
  </si>
  <si>
    <t>(장기선급금현재가치할인차금)</t>
  </si>
  <si>
    <t>(장기선급비용대손충당금)</t>
  </si>
  <si>
    <t>부도어음</t>
  </si>
  <si>
    <t>(부도어음대손충당금)</t>
  </si>
  <si>
    <t>운휴자산</t>
  </si>
  <si>
    <t>(운휴자산공사부담금)</t>
  </si>
  <si>
    <t>(운휴자산국고보조금)</t>
  </si>
  <si>
    <t>(운휴자산감가상각누계액)</t>
  </si>
  <si>
    <t>(운휴자산사용권조정)</t>
  </si>
  <si>
    <t>(운휴자산감액손실누계액)</t>
  </si>
  <si>
    <t>(기타대손충당금)</t>
  </si>
  <si>
    <t>(기타현재가치할인차금)</t>
  </si>
  <si>
    <t>이연자산(계)</t>
  </si>
  <si>
    <t>개업비</t>
  </si>
  <si>
    <t>신주발행비</t>
  </si>
  <si>
    <t>사채발행비</t>
  </si>
  <si>
    <t>환율조정차</t>
  </si>
  <si>
    <t>기타이연자산</t>
  </si>
  <si>
    <t>(매입채무현재가치할인차금)</t>
  </si>
  <si>
    <t>[특수관계자매입채무]</t>
  </si>
  <si>
    <t>외화매입채무</t>
  </si>
  <si>
    <t>기타매입채무</t>
  </si>
  <si>
    <t>단기사채(계)</t>
  </si>
  <si>
    <t>(사채할증발행차금)</t>
  </si>
  <si>
    <t>(미지급금현재가치할인차금)</t>
  </si>
  <si>
    <t>영업(대행)미지급금</t>
  </si>
  <si>
    <t>어음미지급금</t>
  </si>
  <si>
    <t>미지급배당금</t>
  </si>
  <si>
    <t>미지급관세</t>
  </si>
  <si>
    <t>미지급부가세</t>
  </si>
  <si>
    <t>(상품권할인액)</t>
  </si>
  <si>
    <t>공사선수금</t>
  </si>
  <si>
    <t>분양선수금</t>
  </si>
  <si>
    <t>임대선수금</t>
  </si>
  <si>
    <t>상품권선수금</t>
  </si>
  <si>
    <t>제세예수금</t>
  </si>
  <si>
    <t>부가세예수금</t>
  </si>
  <si>
    <t>예수보증금</t>
  </si>
  <si>
    <t>수탁계정</t>
  </si>
  <si>
    <t>수입보증금</t>
  </si>
  <si>
    <t>임대보증금</t>
  </si>
  <si>
    <t>기타보증금</t>
  </si>
  <si>
    <t>유동화채무</t>
  </si>
  <si>
    <t>(유동성장기부채전환권조정)</t>
  </si>
  <si>
    <t>(유동성장기부채신주인수권조정)</t>
  </si>
  <si>
    <t>(유동성장기부채장기미지급이자)</t>
  </si>
  <si>
    <t>(유동성장기부채할증발행차금)</t>
  </si>
  <si>
    <t>(유동성장기부채할인발행차금)</t>
  </si>
  <si>
    <t>(유동성장기부채상환할증금)</t>
  </si>
  <si>
    <t>(유동성장기부채현재가치할인차금)</t>
  </si>
  <si>
    <t>유동성외화장기차입금</t>
  </si>
  <si>
    <t>(전환권조정)</t>
  </si>
  <si>
    <t>(신주인수권조정)</t>
  </si>
  <si>
    <t>(장기미지급이자)</t>
  </si>
  <si>
    <t>(유동성사채할증발행차금)</t>
  </si>
  <si>
    <t>(유동성사채할인발행차금)</t>
  </si>
  <si>
    <t>(유동성사채상환할증금)</t>
  </si>
  <si>
    <t>(유동성사채현재가치할인차금)</t>
  </si>
  <si>
    <t>(유동성금융리스부채)</t>
  </si>
  <si>
    <t>기타유동성장기부채</t>
  </si>
  <si>
    <t>선수수익</t>
  </si>
  <si>
    <t>공사손실충당부채</t>
  </si>
  <si>
    <t>반품충당부채</t>
  </si>
  <si>
    <t>하자보수충당부채</t>
  </si>
  <si>
    <t>복구충당부채</t>
  </si>
  <si>
    <t>보증손실충당부채</t>
  </si>
  <si>
    <t>판매보증충당부채</t>
  </si>
  <si>
    <t>가수금</t>
  </si>
  <si>
    <t>매도상품옵션</t>
  </si>
  <si>
    <t>매도통화옵션</t>
  </si>
  <si>
    <t>매도이자율옵션</t>
  </si>
  <si>
    <t>매도주가지수옵션</t>
  </si>
  <si>
    <t>매도주식옵션</t>
  </si>
  <si>
    <t>매도기타옵션</t>
  </si>
  <si>
    <t>(전환권조정계)</t>
  </si>
  <si>
    <t>(신주인수권조정계)</t>
  </si>
  <si>
    <t>(장기미지급이자계)</t>
  </si>
  <si>
    <t>(사채할증발행차금계)</t>
  </si>
  <si>
    <t>(사채상환할증금계)</t>
  </si>
  <si>
    <t>(사채상환할증금)</t>
  </si>
  <si>
    <t>전환사채</t>
  </si>
  <si>
    <t>(전환사채장기미지급이자)</t>
  </si>
  <si>
    <t>(전환사채할증발행차금)</t>
  </si>
  <si>
    <t>(전환사채할인발행차금)</t>
  </si>
  <si>
    <t>(전환사채상환할증금)</t>
  </si>
  <si>
    <t>신주인수권부사채</t>
  </si>
  <si>
    <t>(신주인수권부사채장기미지급이자)</t>
  </si>
  <si>
    <t>(신주인수권부사채할증발행차금)</t>
  </si>
  <si>
    <t>(신주인수권부사채할인발행차금)</t>
  </si>
  <si>
    <t>(신주인수권부사채상환할증금)</t>
  </si>
  <si>
    <t>교환사채</t>
  </si>
  <si>
    <t>(교환사채장기미지급이자)</t>
  </si>
  <si>
    <t>(교환사채할증발행차금)</t>
  </si>
  <si>
    <t>(교환사채상환할증금)</t>
  </si>
  <si>
    <t>(교환사채할인발행차금)</t>
  </si>
  <si>
    <t>장기차입금(계)</t>
  </si>
  <si>
    <t>(장기차입금현재가치할인차금)</t>
  </si>
  <si>
    <t>(장기차입금선물거래대)</t>
  </si>
  <si>
    <t>장기매입채무</t>
  </si>
  <si>
    <t>(장기매입채무현재가치할인차금)</t>
  </si>
  <si>
    <t>(장기매입채무선물거래대)</t>
  </si>
  <si>
    <t>장기선수금</t>
  </si>
  <si>
    <t>(장기선수금현재가치할인차금)</t>
  </si>
  <si>
    <t>(장기미지급금현재가치할인차금)</t>
  </si>
  <si>
    <t>(금융리스부채현재가치할인차금)</t>
  </si>
  <si>
    <t>(기타장기미지급금현재가치할인차금)</t>
  </si>
  <si>
    <t>장기미지급비용</t>
  </si>
  <si>
    <t>(장기미지급비용현재가치할인차금)</t>
  </si>
  <si>
    <t>(퇴직연금미지급금)</t>
  </si>
  <si>
    <t>(퇴직연금운용자산)</t>
  </si>
  <si>
    <t>(퇴직보험예치금)</t>
  </si>
  <si>
    <t>(국민연금전환금)</t>
  </si>
  <si>
    <t>단체퇴직급여충당부채</t>
  </si>
  <si>
    <t>퇴직보험충당부채</t>
  </si>
  <si>
    <t>표준임대보증금</t>
  </si>
  <si>
    <t>(표준임대보증금현재가치할인차금)</t>
  </si>
  <si>
    <t>전환임대보증금</t>
  </si>
  <si>
    <t>(전환임대보증금현재가치할인차금)</t>
  </si>
  <si>
    <t>정리및화의채무</t>
  </si>
  <si>
    <t>(정리및화의채무현재가치할인차금)</t>
  </si>
  <si>
    <t>장기차입금등정리및화의채무</t>
  </si>
  <si>
    <t>(장차등정리화의채무현재가치할인차금)</t>
  </si>
  <si>
    <t>기타정리및화의채무</t>
  </si>
  <si>
    <t>(현재가치할인차금)</t>
  </si>
  <si>
    <t>이연부채(계)</t>
  </si>
  <si>
    <t>환율조정대</t>
  </si>
  <si>
    <t>해외사업환산이익</t>
  </si>
  <si>
    <t>기타이연부채</t>
  </si>
  <si>
    <t>[주식발행초과금포함신주발행비]</t>
  </si>
  <si>
    <t>감자차익</t>
  </si>
  <si>
    <t>합병차익</t>
  </si>
  <si>
    <t>기타자본잉여금</t>
  </si>
  <si>
    <t>국고보조금</t>
  </si>
  <si>
    <t>공사부담금</t>
  </si>
  <si>
    <t>자기주식처분이익</t>
  </si>
  <si>
    <t>전환권대가</t>
  </si>
  <si>
    <t>신주인수권대가</t>
  </si>
  <si>
    <t>재평가적립금</t>
  </si>
  <si>
    <t>주식할인발행차금(-)</t>
  </si>
  <si>
    <t>[주식할인발행차금포함신주발행비]</t>
  </si>
  <si>
    <t>배당건설이자(-)</t>
  </si>
  <si>
    <t>감자차손(-)</t>
  </si>
  <si>
    <t>자기주식처분손실(-)</t>
  </si>
  <si>
    <t>미교부주식배당금</t>
  </si>
  <si>
    <t>신주인수권(-)</t>
  </si>
  <si>
    <t>파생상품평가손실(-)</t>
  </si>
  <si>
    <t>출자전환채무</t>
  </si>
  <si>
    <t>신주청약증거금</t>
  </si>
  <si>
    <t>미가득주식</t>
  </si>
  <si>
    <t>해외사업환산손실(-)</t>
  </si>
  <si>
    <t>투자증권평가손실(-)</t>
  </si>
  <si>
    <t>매도가능증권평가손실(-)</t>
  </si>
  <si>
    <t>만기보유증권평가손실(-)</t>
  </si>
  <si>
    <t>부의지분법자본변동(-)</t>
  </si>
  <si>
    <t>기타투자증권평가손실(-)</t>
  </si>
  <si>
    <t>만기보유증권평가이익</t>
  </si>
  <si>
    <t>지분법자본변동</t>
  </si>
  <si>
    <t>기타투자증권평가이익</t>
  </si>
  <si>
    <t>장기투자일임계약자산평가손실(-)</t>
  </si>
  <si>
    <t>장기투자일임계약자산평가이익</t>
  </si>
  <si>
    <t>현금흐름위험회피파생상품평가손실(-)</t>
  </si>
  <si>
    <t>현금흐름위험회피파생상품평가이익</t>
  </si>
  <si>
    <t>기업발전적립금</t>
  </si>
  <si>
    <t>기타법정적립금</t>
  </si>
  <si>
    <t>가격변동준비금</t>
  </si>
  <si>
    <t>사업손실준비금</t>
  </si>
  <si>
    <t>총매출액</t>
  </si>
  <si>
    <t>[국내]</t>
  </si>
  <si>
    <t>[수출]</t>
  </si>
  <si>
    <t>[구분불명]</t>
  </si>
  <si>
    <t>상품매출액</t>
  </si>
  <si>
    <t>국내</t>
  </si>
  <si>
    <t>수출</t>
  </si>
  <si>
    <t>구분불명</t>
  </si>
  <si>
    <t>제품매출액</t>
  </si>
  <si>
    <t>[공사수입]</t>
  </si>
  <si>
    <t>[분양수입]</t>
  </si>
  <si>
    <t>[임대수입]</t>
  </si>
  <si>
    <t>[용역수입]</t>
  </si>
  <si>
    <t>[지분법이익]</t>
  </si>
  <si>
    <t>[배당수익]</t>
  </si>
  <si>
    <t>[로열티수입]</t>
  </si>
  <si>
    <t>[이자수입]</t>
  </si>
  <si>
    <t>[수수료수입]</t>
  </si>
  <si>
    <t>[제품매출]</t>
  </si>
  <si>
    <t>[기타수입]</t>
  </si>
  <si>
    <t>상품제품매출액</t>
  </si>
  <si>
    <t>기타매출액</t>
  </si>
  <si>
    <t>매출에누리와환입</t>
  </si>
  <si>
    <t>매출장려금등</t>
  </si>
  <si>
    <t>반품추정매출</t>
  </si>
  <si>
    <t>특정매입원가</t>
  </si>
  <si>
    <t>기타매출조정</t>
  </si>
  <si>
    <t>상품매출원가</t>
  </si>
  <si>
    <t>기초재고</t>
  </si>
  <si>
    <t>매입</t>
  </si>
  <si>
    <t>타계정에서대체</t>
  </si>
  <si>
    <t>관세환급금</t>
  </si>
  <si>
    <t>타계정으로대체</t>
  </si>
  <si>
    <t>기말재고</t>
  </si>
  <si>
    <t>제품매출원가</t>
  </si>
  <si>
    <t>당기제품제조원가</t>
  </si>
  <si>
    <t>[공사원가]</t>
  </si>
  <si>
    <t>[분양원가]</t>
  </si>
  <si>
    <t>[임대원가]</t>
  </si>
  <si>
    <t>[용역원가]</t>
  </si>
  <si>
    <t>[제품매출원가]</t>
  </si>
  <si>
    <t>[이자비용]</t>
  </si>
  <si>
    <t>[지분법손실]</t>
  </si>
  <si>
    <t>[기타원가]</t>
  </si>
  <si>
    <t>상품제품매출원가</t>
  </si>
  <si>
    <t>매입/제조</t>
  </si>
  <si>
    <t>기타매출원가</t>
  </si>
  <si>
    <t>재고자산평가손실</t>
  </si>
  <si>
    <t>반품추정매출원가</t>
  </si>
  <si>
    <t>매출원가조정</t>
  </si>
  <si>
    <t>인건비</t>
  </si>
  <si>
    <t>일반관리비</t>
  </si>
  <si>
    <t>판매비</t>
  </si>
  <si>
    <t>기타판매비와관리비</t>
  </si>
  <si>
    <t>영업권상각</t>
  </si>
  <si>
    <t>부의영업권환입(-)</t>
  </si>
  <si>
    <t>라이선스와프랜차이즈상각</t>
  </si>
  <si>
    <t>산업재산권상각</t>
  </si>
  <si>
    <t>저작권상각</t>
  </si>
  <si>
    <t>임차권리금상각</t>
  </si>
  <si>
    <t>광업권상각</t>
  </si>
  <si>
    <t>어업권상각</t>
  </si>
  <si>
    <t>차지권상각</t>
  </si>
  <si>
    <t>전용시설이용권상각</t>
  </si>
  <si>
    <t>창업비상각</t>
  </si>
  <si>
    <t>개발비상각</t>
  </si>
  <si>
    <t>소프트웨어상각</t>
  </si>
  <si>
    <t>기타무형자산상각</t>
  </si>
  <si>
    <t>장기투자자산처분이익</t>
  </si>
  <si>
    <t>유형자산평가이익</t>
  </si>
  <si>
    <t>단기금융상품평가손실</t>
  </si>
  <si>
    <t>재고자산감모손실</t>
  </si>
  <si>
    <t>단기매매증권평가손실</t>
  </si>
  <si>
    <t>단기투자일임계약자산평가손실</t>
  </si>
  <si>
    <t>투자자산평가손실</t>
  </si>
  <si>
    <t>매도가능증권평가손실</t>
  </si>
  <si>
    <t>유형자산평가손실</t>
  </si>
  <si>
    <t>기타장단기투자증권평가손실</t>
  </si>
  <si>
    <t>이연자산상각</t>
  </si>
  <si>
    <t>개업비상각</t>
  </si>
  <si>
    <t>신주발행비상각</t>
  </si>
  <si>
    <t>사채발행비상각</t>
  </si>
  <si>
    <t>연구개발비상각</t>
  </si>
  <si>
    <t>환율조정차상각</t>
  </si>
  <si>
    <t>기타이연자산상각</t>
  </si>
  <si>
    <t>유형,임대주택자산감가상각비</t>
  </si>
  <si>
    <t>재무상태표</t>
    <phoneticPr fontId="2" type="noConversion"/>
  </si>
  <si>
    <t>현금흐름표</t>
  </si>
  <si>
    <t>손익계산서</t>
  </si>
  <si>
    <t>재무상태표</t>
    <phoneticPr fontId="2" type="noConversion"/>
  </si>
  <si>
    <t>무형자산상각비2</t>
    <phoneticPr fontId="2" type="noConversion"/>
  </si>
  <si>
    <t> [1주의금액](원)</t>
  </si>
  <si>
    <t>경상영업외수익(이자수익포함)</t>
  </si>
  <si>
    <t>경상영업외비용(이자비용포함)</t>
  </si>
  <si>
    <t>  무형자산상각비2</t>
  </si>
  <si>
    <t>당기입력</t>
    <phoneticPr fontId="2" type="noConversion"/>
  </si>
  <si>
    <t>전기입력</t>
    <phoneticPr fontId="2" type="noConversion"/>
  </si>
  <si>
    <t>[1주의금액] (원)</t>
    <phoneticPr fontId="2" type="noConversion"/>
  </si>
  <si>
    <t>손익계산서</t>
    <phoneticPr fontId="2" type="noConversion"/>
  </si>
  <si>
    <t>감가상각비1</t>
    <phoneticPr fontId="2" type="noConversion"/>
  </si>
  <si>
    <t>수수료비용1</t>
    <phoneticPr fontId="2" type="noConversion"/>
  </si>
  <si>
    <t>수수료비용2</t>
    <phoneticPr fontId="2" type="noConversion"/>
  </si>
  <si>
    <t>계속사업손익법인세비용</t>
    <phoneticPr fontId="2" type="noConversion"/>
  </si>
  <si>
    <t>현금흐름표</t>
    <phoneticPr fontId="2" type="noConversion"/>
  </si>
  <si>
    <t>입력2!$B:$N</t>
    <phoneticPr fontId="2" type="noConversion"/>
  </si>
  <si>
    <t>Memo</t>
    <phoneticPr fontId="2" type="noConversion"/>
  </si>
  <si>
    <t>무형자산상각비X</t>
    <phoneticPr fontId="2" type="noConversion"/>
  </si>
  <si>
    <t>수수료비용X</t>
    <phoneticPr fontId="2" type="noConversion"/>
  </si>
  <si>
    <t>감가상각비X</t>
    <phoneticPr fontId="2" type="noConversion"/>
  </si>
  <si>
    <t>기타</t>
    <phoneticPr fontId="2" type="noConversion"/>
  </si>
  <si>
    <t>가결산</t>
    <phoneticPr fontId="2" type="noConversion"/>
  </si>
  <si>
    <t>평가기준일</t>
    <phoneticPr fontId="2" type="noConversion"/>
  </si>
  <si>
    <t>2012-00-00</t>
    <phoneticPr fontId="2" type="noConversion"/>
  </si>
  <si>
    <t xml:space="preserve"> 당좌자산(계)</t>
  </si>
  <si>
    <t xml:space="preserve">  현금및현금등가물</t>
  </si>
  <si>
    <t xml:space="preserve">  단기금융상품</t>
  </si>
  <si>
    <t xml:space="preserve">  단기투자증권</t>
  </si>
  <si>
    <t xml:space="preserve">  매출채권</t>
  </si>
  <si>
    <t xml:space="preserve">  단기대여금</t>
  </si>
  <si>
    <t xml:space="preserve">   영업미수금</t>
  </si>
  <si>
    <t xml:space="preserve">   영업외화미수금</t>
  </si>
  <si>
    <t xml:space="preserve">   공사미수금</t>
  </si>
  <si>
    <t xml:space="preserve">   분양미수금</t>
  </si>
  <si>
    <t xml:space="preserve">   임대미수금</t>
  </si>
  <si>
    <t xml:space="preserve">  선급비용</t>
  </si>
  <si>
    <t xml:space="preserve"> 재고자산(계)</t>
  </si>
  <si>
    <t xml:space="preserve"> 투자자산(계)</t>
  </si>
  <si>
    <t xml:space="preserve">  장기금융상품</t>
  </si>
  <si>
    <t xml:space="preserve">  장기투자증권</t>
  </si>
  <si>
    <t xml:space="preserve">  지분법적용주식</t>
  </si>
  <si>
    <t xml:space="preserve">  장기대여금</t>
  </si>
  <si>
    <t xml:space="preserve">  투자부동산</t>
  </si>
  <si>
    <t xml:space="preserve"> 유형자산(계)</t>
  </si>
  <si>
    <t xml:space="preserve"> (유형자산감가상각누계액계)</t>
  </si>
  <si>
    <t xml:space="preserve">  토지</t>
  </si>
  <si>
    <t xml:space="preserve"> 무형자산(계)</t>
  </si>
  <si>
    <t xml:space="preserve">  개발비</t>
  </si>
  <si>
    <t xml:space="preserve"> 기타비유동자산(계)</t>
  </si>
  <si>
    <t xml:space="preserve">  회원권</t>
  </si>
  <si>
    <t xml:space="preserve">  연구개발비</t>
  </si>
  <si>
    <t xml:space="preserve"> 유동부채(계)</t>
  </si>
  <si>
    <t xml:space="preserve">  매입채무</t>
  </si>
  <si>
    <t xml:space="preserve">  단기차입금</t>
  </si>
  <si>
    <t xml:space="preserve">   당좌차월</t>
  </si>
  <si>
    <t xml:space="preserve">   외화단기차입금</t>
  </si>
  <si>
    <t xml:space="preserve">   특수관계자단기차입금</t>
  </si>
  <si>
    <t xml:space="preserve">   어음차입금</t>
  </si>
  <si>
    <t xml:space="preserve">   주주,임원,종업원단기차입금</t>
  </si>
  <si>
    <t xml:space="preserve">   기타단기차입금</t>
  </si>
  <si>
    <t xml:space="preserve">   공사미지급금</t>
  </si>
  <si>
    <t xml:space="preserve">  미지급비용</t>
  </si>
  <si>
    <t xml:space="preserve">  유동성장기부채</t>
  </si>
  <si>
    <t xml:space="preserve">   유동성장기차입금</t>
  </si>
  <si>
    <t xml:space="preserve">   유동성사채</t>
  </si>
  <si>
    <t xml:space="preserve">   유동성금융리스부채장기미지급금선수금</t>
  </si>
  <si>
    <t xml:space="preserve"> 비유동부채(계)</t>
  </si>
  <si>
    <t xml:space="preserve">  장기사채(계)</t>
  </si>
  <si>
    <t xml:space="preserve">  장기차입금(계)</t>
  </si>
  <si>
    <t xml:space="preserve">   외화장기차입금</t>
  </si>
  <si>
    <t xml:space="preserve">   차관</t>
  </si>
  <si>
    <t xml:space="preserve">   특수관계자장기차입금</t>
  </si>
  <si>
    <t xml:space="preserve">   주주,임원,종업원차입금</t>
  </si>
  <si>
    <t xml:space="preserve">   금융리스부채</t>
  </si>
  <si>
    <t xml:space="preserve">   국민주택기금차입금</t>
  </si>
  <si>
    <t xml:space="preserve">  금융리스부채</t>
  </si>
  <si>
    <t xml:space="preserve"> 자본금</t>
  </si>
  <si>
    <t xml:space="preserve"> [1주의금액]</t>
  </si>
  <si>
    <t xml:space="preserve">  [보통주발행주식수]</t>
  </si>
  <si>
    <t xml:space="preserve">  우선주자본금</t>
  </si>
  <si>
    <t xml:space="preserve"> 자본잉여금</t>
  </si>
  <si>
    <t xml:space="preserve"> 자본조정</t>
  </si>
  <si>
    <t xml:space="preserve">  [보통주자기주식수]</t>
  </si>
  <si>
    <t xml:space="preserve"> 기타포괄손익누계액</t>
  </si>
  <si>
    <t xml:space="preserve"> 이익잉여금</t>
  </si>
  <si>
    <t>손익계산서</t>
    <phoneticPr fontId="2" type="noConversion"/>
  </si>
  <si>
    <t>매출액</t>
    <phoneticPr fontId="2" type="noConversion"/>
  </si>
  <si>
    <t xml:space="preserve">  임원급여</t>
  </si>
  <si>
    <t xml:space="preserve">  급료와임금</t>
  </si>
  <si>
    <t xml:space="preserve">  제수당</t>
  </si>
  <si>
    <t xml:space="preserve">  상여금</t>
  </si>
  <si>
    <t xml:space="preserve">  퇴직급여충당금전입액</t>
  </si>
  <si>
    <t xml:space="preserve">  퇴직금</t>
  </si>
  <si>
    <t xml:space="preserve">  복리후생비</t>
  </si>
  <si>
    <t xml:space="preserve">  주식보상비용</t>
  </si>
  <si>
    <t xml:space="preserve">  기타인건비</t>
  </si>
  <si>
    <t xml:space="preserve">  여비교통비</t>
  </si>
  <si>
    <t xml:space="preserve">  통신비</t>
  </si>
  <si>
    <t xml:space="preserve">  수도광열비</t>
  </si>
  <si>
    <t xml:space="preserve">  세금과공과</t>
  </si>
  <si>
    <t xml:space="preserve">  임차료비용</t>
  </si>
  <si>
    <t xml:space="preserve">  감가상각비</t>
  </si>
  <si>
    <t xml:space="preserve">  수선비</t>
  </si>
  <si>
    <t xml:space="preserve">  보험료</t>
  </si>
  <si>
    <t xml:space="preserve">  도서구입비</t>
  </si>
  <si>
    <t xml:space="preserve">  소모품비</t>
  </si>
  <si>
    <t xml:space="preserve">  도서인쇄비</t>
  </si>
  <si>
    <t xml:space="preserve">  차량유지비</t>
  </si>
  <si>
    <t xml:space="preserve">  교육훈련비</t>
  </si>
  <si>
    <t xml:space="preserve">  수수료비용</t>
  </si>
  <si>
    <t xml:space="preserve">  리스료</t>
  </si>
  <si>
    <t xml:space="preserve">  전산처리비</t>
  </si>
  <si>
    <t xml:space="preserve">  하자보수비</t>
  </si>
  <si>
    <t xml:space="preserve">  기타관리비</t>
  </si>
  <si>
    <t xml:space="preserve">  접대비</t>
  </si>
  <si>
    <t xml:space="preserve">  광고선전비</t>
  </si>
  <si>
    <t xml:space="preserve">  보관료</t>
  </si>
  <si>
    <t xml:space="preserve">  견본비</t>
  </si>
  <si>
    <t xml:space="preserve">  포장비</t>
  </si>
  <si>
    <t xml:space="preserve">  운반비</t>
  </si>
  <si>
    <t xml:space="preserve">  판매수수료</t>
  </si>
  <si>
    <t xml:space="preserve">  판매촉진비</t>
  </si>
  <si>
    <t xml:space="preserve">  해외시장개척비</t>
  </si>
  <si>
    <t xml:space="preserve">  수출비용</t>
  </si>
  <si>
    <t xml:space="preserve">  A/S비</t>
  </si>
  <si>
    <t xml:space="preserve">  반품충당부채전입액</t>
  </si>
  <si>
    <t xml:space="preserve">  기타판매비</t>
  </si>
  <si>
    <t xml:space="preserve">  연구비</t>
  </si>
  <si>
    <t xml:space="preserve">  경상연구개발비</t>
  </si>
  <si>
    <t xml:space="preserve">  경상개발비</t>
  </si>
  <si>
    <t xml:space="preserve">  로얄티</t>
  </si>
  <si>
    <t xml:space="preserve">  대손상각비</t>
  </si>
  <si>
    <t xml:space="preserve">  무형자산상각비</t>
  </si>
  <si>
    <t xml:space="preserve">  중간기간판매비와관리비조정</t>
  </si>
  <si>
    <t xml:space="preserve">  기타</t>
  </si>
  <si>
    <t xml:space="preserve"> 이자수익</t>
  </si>
  <si>
    <t xml:space="preserve"> 장단기투자증권이자수익</t>
  </si>
  <si>
    <t xml:space="preserve"> 배당금수익</t>
  </si>
  <si>
    <t xml:space="preserve"> 단기투자자산처분이익</t>
  </si>
  <si>
    <t xml:space="preserve"> 단기금융상품처분이익</t>
  </si>
  <si>
    <t xml:space="preserve"> 단기금융상품평가이익</t>
  </si>
  <si>
    <t xml:space="preserve"> 단기매매증권처분이익</t>
  </si>
  <si>
    <t xml:space="preserve"> 단기매매증권평가이익</t>
  </si>
  <si>
    <t xml:space="preserve"> 단기투자일임계약자산평가이익</t>
  </si>
  <si>
    <t xml:space="preserve"> 매출채권처분이익</t>
  </si>
  <si>
    <t xml:space="preserve"> 재고자산평가손실환입</t>
  </si>
  <si>
    <t xml:space="preserve"> 임대주택자산처분이익</t>
  </si>
  <si>
    <t xml:space="preserve"> 주식배당금수익</t>
  </si>
  <si>
    <t xml:space="preserve"> 신주인수권처분이익</t>
  </si>
  <si>
    <t xml:space="preserve"> 임대료수익</t>
  </si>
  <si>
    <t xml:space="preserve"> 수수료수익</t>
  </si>
  <si>
    <t xml:space="preserve"> 원가차익</t>
  </si>
  <si>
    <t xml:space="preserve"> 매입할인</t>
  </si>
  <si>
    <t xml:space="preserve"> 보험차익</t>
  </si>
  <si>
    <t xml:space="preserve"> 외환차익</t>
  </si>
  <si>
    <t xml:space="preserve"> 외화환산이익</t>
  </si>
  <si>
    <t xml:space="preserve"> 파생상품거래이익</t>
  </si>
  <si>
    <t xml:space="preserve"> 파생상품거래대환입</t>
  </si>
  <si>
    <t xml:space="preserve"> 파생상품평가이익</t>
  </si>
  <si>
    <t xml:space="preserve"> 환율조정대환입</t>
  </si>
  <si>
    <t xml:space="preserve"> 대손충당금환입</t>
  </si>
  <si>
    <t xml:space="preserve"> 장단기투자증권평가충당금환입</t>
  </si>
  <si>
    <t xml:space="preserve"> 투자자산평가이익</t>
  </si>
  <si>
    <t xml:space="preserve"> 매도가능증권평가이익</t>
  </si>
  <si>
    <t xml:space="preserve"> 투자자산평가충당금환입</t>
  </si>
  <si>
    <t xml:space="preserve"> 투자자산처분이익</t>
  </si>
  <si>
    <t xml:space="preserve"> 매도가능증권처분이익</t>
  </si>
  <si>
    <t xml:space="preserve"> 만기보유증권처분이익</t>
  </si>
  <si>
    <t xml:space="preserve"> 지분법주식처분이익</t>
  </si>
  <si>
    <t xml:space="preserve"> 기타장단기투자증권처분이익</t>
  </si>
  <si>
    <t xml:space="preserve"> 기타장단기투자증권평가이익</t>
  </si>
  <si>
    <t xml:space="preserve"> 자전거래이익</t>
  </si>
  <si>
    <t xml:space="preserve"> 유,무형,리스자산처분이익</t>
  </si>
  <si>
    <t xml:space="preserve"> 공정가액조정이익</t>
  </si>
  <si>
    <t xml:space="preserve"> 상각채권추심이익</t>
  </si>
  <si>
    <t xml:space="preserve"> 사채상환이익</t>
  </si>
  <si>
    <t xml:space="preserve"> 지분법이익</t>
  </si>
  <si>
    <t xml:space="preserve"> 임대주택자산감액손실환입</t>
  </si>
  <si>
    <t xml:space="preserve"> 투자자산감액손실환입</t>
  </si>
  <si>
    <t xml:space="preserve"> 매도가능증권감액손실환입</t>
  </si>
  <si>
    <t xml:space="preserve"> 만기보유증권감액손실환입</t>
  </si>
  <si>
    <t xml:space="preserve"> 지분법주식감액손실환입</t>
  </si>
  <si>
    <t xml:space="preserve"> 유형자산감액손실환입</t>
  </si>
  <si>
    <t xml:space="preserve"> 무형자산감액손실환입</t>
  </si>
  <si>
    <t xml:space="preserve"> 기타자산감액손실환입</t>
  </si>
  <si>
    <t xml:space="preserve"> 주식보상비용환입</t>
  </si>
  <si>
    <t xml:space="preserve"> 법인세환급액</t>
  </si>
  <si>
    <t xml:space="preserve"> 전환사채전환이익</t>
  </si>
  <si>
    <t xml:space="preserve"> 중간기간오류이익</t>
  </si>
  <si>
    <t xml:space="preserve"> 중간기간영업외수익조정</t>
  </si>
  <si>
    <t xml:space="preserve"> 전기오류수정이익</t>
  </si>
  <si>
    <t xml:space="preserve"> 복구충당부채환입액</t>
  </si>
  <si>
    <t xml:space="preserve"> 복구공사이익</t>
  </si>
  <si>
    <t xml:space="preserve"> 유동화수익</t>
  </si>
  <si>
    <t xml:space="preserve"> 자산수증이익</t>
  </si>
  <si>
    <t xml:space="preserve"> 채무면제이익</t>
  </si>
  <si>
    <t xml:space="preserve"> 해외사업환산이익환입</t>
  </si>
  <si>
    <t xml:space="preserve"> 기타영업외수익</t>
  </si>
  <si>
    <t xml:space="preserve"> 이자비용</t>
  </si>
  <si>
    <t xml:space="preserve"> 사채이자</t>
  </si>
  <si>
    <t xml:space="preserve"> 단기투자자산처분손실</t>
  </si>
  <si>
    <t xml:space="preserve"> 장기투자자산처분손실</t>
  </si>
  <si>
    <t xml:space="preserve"> 단기금융상품처분손실</t>
  </si>
  <si>
    <t xml:space="preserve"> 단기매매증권처분손실</t>
  </si>
  <si>
    <t xml:space="preserve"> 지분법주식처분손실</t>
  </si>
  <si>
    <t xml:space="preserve"> 기타장단기투자증권처분손실</t>
  </si>
  <si>
    <t xml:space="preserve"> 매출채권처분손실</t>
  </si>
  <si>
    <t xml:space="preserve"> 임대주택자산처분손실</t>
  </si>
  <si>
    <t xml:space="preserve"> 신주인수권처분손실</t>
  </si>
  <si>
    <t xml:space="preserve"> 기부금</t>
  </si>
  <si>
    <t xml:space="preserve"> 외환차손</t>
  </si>
  <si>
    <t xml:space="preserve"> 파생상품거래손실</t>
  </si>
  <si>
    <t xml:space="preserve"> 파생상품거래차상각</t>
  </si>
  <si>
    <t xml:space="preserve"> 파생상품평가손실</t>
  </si>
  <si>
    <t xml:space="preserve"> 자산평가손실</t>
  </si>
  <si>
    <t xml:space="preserve"> 외화환산손실</t>
  </si>
  <si>
    <t xml:space="preserve"> 매출할인</t>
  </si>
  <si>
    <t xml:space="preserve"> 수수료비용</t>
  </si>
  <si>
    <t xml:space="preserve"> 원가차손</t>
  </si>
  <si>
    <t xml:space="preserve"> 기타대손상각비</t>
  </si>
  <si>
    <t xml:space="preserve"> 감가상각비</t>
  </si>
  <si>
    <t xml:space="preserve"> 유,무형,리스자산처분손실</t>
  </si>
  <si>
    <t xml:space="preserve"> 투자자산처분손실</t>
  </si>
  <si>
    <t xml:space="preserve"> 매도가능증권처분손실</t>
  </si>
  <si>
    <t xml:space="preserve"> 만기보유증권처분손실</t>
  </si>
  <si>
    <t xml:space="preserve"> 자전거래손실</t>
  </si>
  <si>
    <t xml:space="preserve"> 공정가액조정손실</t>
  </si>
  <si>
    <t xml:space="preserve"> 임대주택자산감액손실</t>
  </si>
  <si>
    <t xml:space="preserve"> 투자자산감액손실</t>
  </si>
  <si>
    <t xml:space="preserve"> 매도가능증권감액손실</t>
  </si>
  <si>
    <t xml:space="preserve"> 만기보유증권감액손실</t>
  </si>
  <si>
    <t xml:space="preserve"> 지분법주식감액손실</t>
  </si>
  <si>
    <t xml:space="preserve"> 유형자산감액손실</t>
  </si>
  <si>
    <t xml:space="preserve"> 무형자산감액손실</t>
  </si>
  <si>
    <t xml:space="preserve"> 기타자산감액손실</t>
  </si>
  <si>
    <t xml:space="preserve"> 사채상환손실</t>
  </si>
  <si>
    <t xml:space="preserve"> 부채상환손실</t>
  </si>
  <si>
    <t xml:space="preserve"> 지분법손실</t>
  </si>
  <si>
    <t xml:space="preserve"> 법인세추납액</t>
  </si>
  <si>
    <t xml:space="preserve"> 전환사채전환손실</t>
  </si>
  <si>
    <t xml:space="preserve"> 중간기간오류손실</t>
  </si>
  <si>
    <t xml:space="preserve"> 중간기간영업외비용조정</t>
  </si>
  <si>
    <t xml:space="preserve"> 전기오류수정손실</t>
  </si>
  <si>
    <t xml:space="preserve"> 복구충당부채전입액</t>
  </si>
  <si>
    <t xml:space="preserve"> 복구공사손실</t>
  </si>
  <si>
    <t xml:space="preserve"> 재해손실</t>
  </si>
  <si>
    <t xml:space="preserve"> 특별상각</t>
  </si>
  <si>
    <t xml:space="preserve"> 해외사업환산손실상각</t>
  </si>
  <si>
    <t xml:space="preserve"> 기타영업외비용</t>
  </si>
  <si>
    <t>현금흐름표</t>
    <phoneticPr fontId="2" type="noConversion"/>
  </si>
  <si>
    <t>영업활동으로인한현금흐름</t>
    <phoneticPr fontId="2" type="noConversion"/>
  </si>
  <si>
    <t xml:space="preserve">  유형,임대주택자산감가상각비</t>
  </si>
  <si>
    <t xml:space="preserve">   개발비상각</t>
  </si>
  <si>
    <t>개발비</t>
    <phoneticPr fontId="2" type="noConversion"/>
  </si>
  <si>
    <t>IS시트에 손익계산서, 현금흐름표 뺴고 다 지우고 현금흐름표에서 무형자산 상각비옆에 2붙이기</t>
    <phoneticPr fontId="2" type="noConversion"/>
  </si>
  <si>
    <t>BS시트에서 재무상태표 글자 지우기</t>
    <phoneticPr fontId="2" type="noConversion"/>
  </si>
  <si>
    <t>2016.12.31</t>
    <phoneticPr fontId="2" type="noConversion"/>
  </si>
  <si>
    <t>2015.12.31</t>
    <phoneticPr fontId="2" type="noConversion"/>
  </si>
  <si>
    <t>원본</t>
  </si>
  <si>
    <t>금액</t>
  </si>
  <si>
    <t>감사의견</t>
  </si>
  <si>
    <t>-</t>
  </si>
  <si>
    <t>[1주의금액] (원)</t>
  </si>
  <si>
    <t>기본주당계속사업손익 (원)</t>
  </si>
  <si>
    <t>기본주당순손익 (원)</t>
  </si>
  <si>
    <t>현금및현금성자산</t>
  </si>
  <si>
    <t>지분법적용투자자산</t>
  </si>
  <si>
    <t>직원급여</t>
  </si>
  <si>
    <t>퇴직급여충당금전입</t>
  </si>
  <si>
    <t>세금과공과금</t>
  </si>
  <si>
    <t>지급임차료</t>
  </si>
  <si>
    <t>물류비</t>
  </si>
  <si>
    <t>사무용품비</t>
  </si>
  <si>
    <t>지급수수료</t>
  </si>
  <si>
    <t>수입수수료</t>
  </si>
  <si>
    <t>유형자산처분이익</t>
  </si>
  <si>
    <t>지분법평가이익</t>
  </si>
  <si>
    <t>유형자산처분손실</t>
  </si>
  <si>
    <t>매도가능증권손상차손</t>
  </si>
  <si>
    <t>지분법평가손실</t>
  </si>
  <si>
    <t>수수료비용X</t>
  </si>
  <si>
    <t>감가상각비X</t>
  </si>
  <si>
    <t>무형자산상각비2</t>
  </si>
  <si>
    <t>현금</t>
    <phoneticPr fontId="2" type="noConversion"/>
  </si>
  <si>
    <t>정기예적금</t>
    <phoneticPr fontId="2" type="noConversion"/>
  </si>
  <si>
    <t>외상매출금</t>
    <phoneticPr fontId="2" type="noConversion"/>
  </si>
  <si>
    <t>장기사채</t>
    <phoneticPr fontId="2" type="noConversion"/>
  </si>
  <si>
    <t>금융리스부채</t>
    <phoneticPr fontId="2" type="noConversion"/>
  </si>
  <si>
    <t>외상매입금</t>
    <phoneticPr fontId="2" type="noConversion"/>
  </si>
  <si>
    <t>퇴직급여</t>
    <phoneticPr fontId="2" type="noConversion"/>
  </si>
  <si>
    <t>외주용역비</t>
    <phoneticPr fontId="2" type="noConversion"/>
  </si>
  <si>
    <t>결제사수수료</t>
    <phoneticPr fontId="2" type="noConversion"/>
  </si>
  <si>
    <t>전력비</t>
    <phoneticPr fontId="2" type="noConversion"/>
  </si>
  <si>
    <t>호텔객실판매비</t>
    <phoneticPr fontId="2" type="noConversion"/>
  </si>
  <si>
    <t>건물관리비</t>
    <phoneticPr fontId="2" type="noConversion"/>
  </si>
  <si>
    <t>자동차리스료</t>
    <phoneticPr fontId="2" type="noConversion"/>
  </si>
  <si>
    <t>급여</t>
    <phoneticPr fontId="2" type="noConversion"/>
  </si>
  <si>
    <t>판매수수료</t>
    <phoneticPr fontId="2" type="noConversion"/>
  </si>
  <si>
    <t>무형자산손상차손</t>
    <phoneticPr fontId="2" type="noConversion"/>
  </si>
  <si>
    <t>유형자산손상차손</t>
    <phoneticPr fontId="2" type="noConversion"/>
  </si>
  <si>
    <t>유형자산손상차손환입</t>
    <phoneticPr fontId="2" type="noConversion"/>
  </si>
  <si>
    <t>무형자산손상차손환입</t>
    <phoneticPr fontId="2" type="noConversion"/>
  </si>
  <si>
    <t>기타자산손상차손환입</t>
    <phoneticPr fontId="2" type="noConversion"/>
  </si>
  <si>
    <t>종속기업투자주식손상차손</t>
    <phoneticPr fontId="2" type="noConversion"/>
  </si>
  <si>
    <t>종속기업투자주식</t>
    <phoneticPr fontId="2" type="noConversion"/>
  </si>
  <si>
    <t>단기차입금</t>
    <phoneticPr fontId="2" type="noConversion"/>
  </si>
  <si>
    <t>유동성장기부채</t>
    <phoneticPr fontId="2" type="noConversion"/>
  </si>
  <si>
    <t>.</t>
    <phoneticPr fontId="2" type="noConversion"/>
  </si>
  <si>
    <t>,</t>
    <phoneticPr fontId="2" type="noConversion"/>
  </si>
  <si>
    <t xml:space="preserve"> </t>
    <phoneticPr fontId="2" type="noConversion"/>
  </si>
  <si>
    <t> </t>
    <phoneticPr fontId="2" type="noConversion"/>
  </si>
  <si>
    <t>2017.09.30</t>
  </si>
  <si>
    <t>3분기</t>
  </si>
  <si>
    <t>보통예금</t>
    <phoneticPr fontId="2" type="noConversion"/>
  </si>
  <si>
    <t xml:space="preserve">  특허권</t>
    <phoneticPr fontId="2" type="noConversion"/>
  </si>
  <si>
    <t xml:space="preserve">  상표권</t>
    <phoneticPr fontId="2" type="noConversion"/>
  </si>
  <si>
    <t xml:space="preserve">  사용권자산</t>
    <phoneticPr fontId="2" type="noConversion"/>
  </si>
  <si>
    <t>   선급비용</t>
    <phoneticPr fontId="2" type="noConversion"/>
  </si>
  <si>
    <t xml:space="preserve">  이연법인세</t>
    <phoneticPr fontId="2" type="noConversion"/>
  </si>
  <si>
    <t xml:space="preserve">  장기기타채권</t>
    <phoneticPr fontId="2" type="noConversion"/>
  </si>
  <si>
    <t xml:space="preserve">    기타유동자산</t>
    <phoneticPr fontId="2" type="noConversion"/>
  </si>
  <si>
    <t>미수금</t>
    <phoneticPr fontId="2" type="noConversion"/>
  </si>
  <si>
    <t>보증금</t>
    <phoneticPr fontId="2" type="noConversion"/>
  </si>
  <si>
    <t>이연법인세부채</t>
    <phoneticPr fontId="2" type="noConversion"/>
  </si>
  <si>
    <t>미지급금</t>
    <phoneticPr fontId="2" type="noConversion"/>
  </si>
  <si>
    <t>예수금</t>
    <phoneticPr fontId="2" type="noConversion"/>
  </si>
  <si>
    <t>선수수익</t>
    <phoneticPr fontId="2" type="noConversion"/>
  </si>
  <si>
    <t>임차보증금</t>
    <phoneticPr fontId="2" type="noConversion"/>
  </si>
  <si>
    <t>기타보증금</t>
    <phoneticPr fontId="2" type="noConversion"/>
  </si>
  <si>
    <t>특허권</t>
    <phoneticPr fontId="2" type="noConversion"/>
  </si>
  <si>
    <t>상표권</t>
    <phoneticPr fontId="2" type="noConversion"/>
  </si>
  <si>
    <t>소프트웨어</t>
    <phoneticPr fontId="2" type="noConversion"/>
  </si>
  <si>
    <t>장기외상매출금</t>
    <phoneticPr fontId="2" type="noConversion"/>
  </si>
  <si>
    <t>임차보증금</t>
    <phoneticPr fontId="2" type="noConversion"/>
  </si>
  <si>
    <t>퇴직급여충당부채</t>
    <phoneticPr fontId="2" type="noConversion"/>
  </si>
  <si>
    <t>주식발행초과금</t>
    <phoneticPr fontId="2" type="noConversion"/>
  </si>
  <si>
    <t>잡이익, 유형자산 처분이익</t>
    <phoneticPr fontId="2" type="noConversion"/>
  </si>
  <si>
    <t>잡손실, 유형자산처분손실</t>
    <phoneticPr fontId="2" type="noConversion"/>
  </si>
  <si>
    <t>기타보증금</t>
    <phoneticPr fontId="2" type="noConversion"/>
  </si>
  <si>
    <t>기타유동부채</t>
    <phoneticPr fontId="2" type="noConversion"/>
  </si>
  <si>
    <t>기타장기차입금</t>
    <phoneticPr fontId="2" type="noConversion"/>
  </si>
  <si>
    <t>부가세예수금</t>
    <phoneticPr fontId="2" type="noConversion"/>
  </si>
  <si>
    <t>선납세금</t>
    <phoneticPr fontId="2" type="noConversion"/>
  </si>
  <si>
    <t>[보통주자기주식수]</t>
    <phoneticPr fontId="2" type="noConversion"/>
  </si>
  <si>
    <t>임차보증금</t>
    <phoneticPr fontId="2" type="noConversion"/>
  </si>
  <si>
    <t>전신전화가입권</t>
    <phoneticPr fontId="2" type="noConversion"/>
  </si>
  <si>
    <t>퇴직보험예치금</t>
    <phoneticPr fontId="2" type="noConversion"/>
  </si>
  <si>
    <t>결손금/이익잉여금</t>
    <phoneticPr fontId="2" type="noConversion"/>
  </si>
  <si>
    <t>메모삽입 단축키</t>
    <phoneticPr fontId="2" type="noConversion"/>
  </si>
  <si>
    <t>shift + f2</t>
    <phoneticPr fontId="2" type="noConversion"/>
  </si>
  <si>
    <t>예수보증금</t>
    <phoneticPr fontId="2" type="noConversion"/>
  </si>
  <si>
    <t>선수금</t>
    <phoneticPr fontId="2" type="noConversion"/>
  </si>
  <si>
    <t>국고보조금(예수)</t>
    <phoneticPr fontId="2" type="noConversion"/>
  </si>
  <si>
    <t>경상연구개발비(영업외)</t>
    <phoneticPr fontId="2" type="noConversion"/>
  </si>
  <si>
    <t>기타자산</t>
    <phoneticPr fontId="2" type="noConversion"/>
  </si>
  <si>
    <t>계약자산</t>
    <phoneticPr fontId="2" type="noConversion"/>
  </si>
  <si>
    <t>건물</t>
    <phoneticPr fontId="2" type="noConversion"/>
  </si>
  <si>
    <t>시설장치</t>
    <phoneticPr fontId="2" type="noConversion"/>
  </si>
  <si>
    <t>기계장치</t>
    <phoneticPr fontId="2" type="noConversion"/>
  </si>
  <si>
    <t>차량운반구</t>
    <phoneticPr fontId="2" type="noConversion"/>
  </si>
  <si>
    <t>비품</t>
    <phoneticPr fontId="2" type="noConversion"/>
  </si>
  <si>
    <t>선급금</t>
    <phoneticPr fontId="2" type="noConversion"/>
  </si>
  <si>
    <t>2024.08.31</t>
    <phoneticPr fontId="2" type="noConversion"/>
  </si>
  <si>
    <t>디스트릭트코리아</t>
    <phoneticPr fontId="2" type="noConversion"/>
  </si>
  <si>
    <t>리스채권</t>
    <phoneticPr fontId="2" type="noConversion"/>
  </si>
  <si>
    <t>미수수익</t>
    <phoneticPr fontId="2" type="noConversion"/>
  </si>
  <si>
    <t>미청구수익</t>
    <phoneticPr fontId="2" type="noConversion"/>
  </si>
  <si>
    <t>비유동당기손익인식지정금융자산 (I/C)</t>
  </si>
  <si>
    <t>사용권자산</t>
    <phoneticPr fontId="2" type="noConversion"/>
  </si>
  <si>
    <t>산업재산권</t>
    <phoneticPr fontId="2" type="noConversion"/>
  </si>
  <si>
    <t>소프트웨어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</si>
</sst>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-* #,##0_-;\(#,##0\);_-* &quot;-&quot;_-;_-@_-"/>
    <numFmt numFmtId="177" formatCode="#,##0_);\(#,##0\)"/>
    <numFmt numFmtId="178" formatCode="0.00000%"/>
    <numFmt numFmtId="179" formatCode="#,##0_ "/>
    <numFmt numFmtId="180" formatCode="#,##0.00_);[Red]\(#,##0.00\)"/>
    <numFmt numFmtId="181" formatCode="_(* #,##0_);_(* \(#,##0\);_(* &quot;-&quot;_);_(@_)"/>
    <numFmt numFmtId="182" formatCode="#,##0;[Red]&quot;-&quot;#,##0"/>
    <numFmt numFmtId="183" formatCode="#,##0.00;[Red]&quot;-&quot;#,##0.00"/>
    <numFmt numFmtId="184" formatCode="#,##0.0_ "/>
    <numFmt numFmtId="185" formatCode="\ \ \ #,##0"/>
    <numFmt numFmtId="186" formatCode="_ &quot;＄&quot;* #,##0.00_ ;_ &quot;＄&quot;* \-#,##0.00_ ;_ &quot;＄&quot;* &quot;-&quot;??_ ;_ @_ "/>
    <numFmt numFmtId="187" formatCode="&quot;₩&quot;#,##0.00;[Red]&quot;₩&quot;\-#,##0.00"/>
    <numFmt numFmtId="188" formatCode="0_ "/>
    <numFmt numFmtId="189" formatCode="_(* #,##0.00_);_(* &quot;₩&quot;&quot;₩&quot;&quot;₩&quot;&quot;₩&quot;&quot;₩&quot;&quot;₩&quot;\(#,##0.00&quot;₩&quot;&quot;₩&quot;&quot;₩&quot;&quot;₩&quot;&quot;₩&quot;&quot;₩&quot;\);_(* &quot;-&quot;??_);_(@_)"/>
    <numFmt numFmtId="190" formatCode="_(&quot;$&quot;* #,##0_);_(&quot;$&quot;* &quot;₩&quot;&quot;₩&quot;&quot;₩&quot;&quot;₩&quot;&quot;₩&quot;&quot;₩&quot;\(#,##0&quot;₩&quot;&quot;₩&quot;&quot;₩&quot;&quot;₩&quot;&quot;₩&quot;&quot;₩&quot;\);_(&quot;$&quot;* &quot;-&quot;_);_(@_)"/>
    <numFmt numFmtId="191" formatCode="\(#,##0\)"/>
    <numFmt numFmtId="192" formatCode="_ &quot;₩&quot;* #,##0.00_ ;_ &quot;₩&quot;* \-#,##0.00_ ;_ &quot;₩&quot;* &quot;-&quot;??_ ;_ @_ "/>
    <numFmt numFmtId="193" formatCode=";;;"/>
    <numFmt numFmtId="194" formatCode="#."/>
    <numFmt numFmtId="195" formatCode="_ &quot;₩&quot;* #,##0_ ;_ &quot;₩&quot;* \-#,##0_ ;_ &quot;₩&quot;* &quot;-&quot;_ ;_ @_ "/>
    <numFmt numFmtId="196" formatCode="_ &quot;$&quot;* #,##0_ ;_ &quot;$&quot;* \-#,##0_ ;_ &quot;$&quot;* &quot;-&quot;_ ;_ @_ "/>
    <numFmt numFmtId="197" formatCode="_ &quot;¥&quot;* #,##0_ ;_ &quot;¥&quot;* \-#,##0_ ;_ &quot;¥&quot;* &quot;-&quot;_ ;_ @_ "/>
    <numFmt numFmtId="198" formatCode="_ &quot;¥&quot;* #,##0.00_ ;_ &quot;¥&quot;* \-#,##0.00_ ;_ &quot;¥&quot;* &quot;-&quot;??_ ;_ @_ "/>
    <numFmt numFmtId="199" formatCode="_ &quot;$&quot;* #,##0.00_ ;_ &quot;$&quot;* \-#,##0.00_ ;_ &quot;$&quot;* &quot;-&quot;??_ ;_ @_ "/>
    <numFmt numFmtId="200" formatCode="_(&quot;￡&quot;* #,##0_);_(&quot;￡&quot;* \(#,##0\);_(&quot;￡&quot;* &quot;-&quot;_);_(@_)"/>
    <numFmt numFmtId="201" formatCode="_(&quot;￡&quot;* #,##0.0_);_(&quot;￡&quot;* \(#,##0.0\);_(&quot;￡&quot;* &quot;-&quot;_);_(@_)"/>
    <numFmt numFmtId="202" formatCode="_(&quot;￡&quot;* #,##0.00_);_(&quot;￡&quot;* \(#,##0.00\);_(&quot;￡&quot;* &quot;-&quot;_);_(@_)"/>
    <numFmt numFmtId="203" formatCode="_(* #,##0\p_);_(* \(#,##0\p\);_(* &quot;-&quot;\ \p_);_(@_)"/>
    <numFmt numFmtId="204" formatCode="_(* #,##0.00\p_);_(* \(#,##0.00\p\);_(* &quot;-&quot;\ \p_);_(@_)"/>
    <numFmt numFmtId="205" formatCode="&quot;￡&quot;#,##0.00"/>
    <numFmt numFmtId="206" formatCode="0.0000%"/>
    <numFmt numFmtId="207" formatCode="#,##0.0"/>
    <numFmt numFmtId="208" formatCode="#,##0.00;&quot;-&quot;#,##0.00"/>
    <numFmt numFmtId="209" formatCode="#,##0&quot;(☆)&quot;\ "/>
    <numFmt numFmtId="210" formatCode="#.00"/>
    <numFmt numFmtId="211" formatCode="#,##0&quot;포&quot;"/>
    <numFmt numFmtId="212" formatCode="#,##0;&quot;△&quot;#,##0"/>
    <numFmt numFmtId="213" formatCode="#,##0.00\ &quot;DM&quot;;[Red]\-#,##0.00\ &quot;DM&quot;"/>
    <numFmt numFmtId="214" formatCode="#,##0\ &quot;DM&quot;;[Red]\-#,##0\ &quot;DM&quot;"/>
    <numFmt numFmtId="215" formatCode="#,##0&quot;Vial&quot;"/>
    <numFmt numFmtId="216" formatCode="#,##0,,\ ;\-#,##0,,\ ;&quot;-&quot;\ "/>
    <numFmt numFmtId="217" formatCode="&quot;₩&quot;&quot;₩&quot;\$#,##0.00_);&quot;₩&quot;&quot;₩&quot;\(&quot;₩&quot;&quot;₩&quot;\$#,##0.00&quot;₩&quot;&quot;₩&quot;\)"/>
    <numFmt numFmtId="218" formatCode="_-* #,##0.00_-;&quot;₩&quot;\-* #,##0.00_-;_-* &quot;-&quot;??_-;_-@_-"/>
    <numFmt numFmtId="219" formatCode="#,##0;[Red]\(#,##0\);\-"/>
    <numFmt numFmtId="220" formatCode="#,##0&quot;(●)&quot;\ "/>
    <numFmt numFmtId="221" formatCode="&quot;$&quot;#,##0.00_);[Red]&quot;₩&quot;\(&quot;$&quot;#,##0.00&quot;₩&quot;\)"/>
    <numFmt numFmtId="222" formatCode="_(&quot;$&quot;* #,##0.0_);_(&quot;$&quot;* &quot;₩&quot;&quot;₩&quot;&quot;₩&quot;&quot;₩&quot;&quot;₩&quot;&quot;₩&quot;\(#,##0.0&quot;₩&quot;&quot;₩&quot;&quot;₩&quot;&quot;₩&quot;&quot;₩&quot;&quot;₩&quot;\);_(&quot;$&quot;* &quot;-&quot;??_);_(@_)"/>
    <numFmt numFmtId="223" formatCode="&quot;$&quot;#,##0_);[Red]&quot;₩&quot;&quot;₩&quot;&quot;₩&quot;&quot;₩&quot;&quot;₩&quot;&quot;₩&quot;\(&quot;$&quot;#,##0&quot;₩&quot;&quot;₩&quot;&quot;₩&quot;&quot;₩&quot;&quot;₩&quot;&quot;₩&quot;\)"/>
    <numFmt numFmtId="224" formatCode="#,##0&quot;(★)&quot;\ "/>
    <numFmt numFmtId="225" formatCode="#,##0&quot;㎖&quot;"/>
    <numFmt numFmtId="226" formatCode="#,##0&quot;앰플&quot;"/>
    <numFmt numFmtId="227" formatCode="#,##0&quot;g&quot;"/>
    <numFmt numFmtId="228" formatCode="_-* #,##0_-;&quot;₩&quot;&quot;₩&quot;&quot;₩&quot;\-* #,##0_-;_-* &quot;-&quot;_-;_-@_-"/>
    <numFmt numFmtId="229" formatCode="_-* #,##0.00_-;&quot;₩&quot;&quot;₩&quot;&quot;₩&quot;\-* #,##0.00_-;_-* &quot;-&quot;??_-;_-@_-"/>
    <numFmt numFmtId="230" formatCode="mm&quot;월&quot;\ dd&quot;일&quot;"/>
    <numFmt numFmtId="231" formatCode="&quot;￦ &quot;#,##0_);\(&quot;￦ &quot;#,##0\);&quot;￦ &quot;\-_)"/>
    <numFmt numFmtId="232" formatCode="_(* #,##0.00_);_(* &quot;₩&quot;&quot;₩&quot;\(#,##0.00&quot;₩&quot;&quot;₩&quot;\);_(* &quot;-&quot;??_);_(@_)"/>
    <numFmt numFmtId="233" formatCode="#,##0."/>
    <numFmt numFmtId="234" formatCode="#0&quot;일&quot;"/>
    <numFmt numFmtId="235" formatCode="#,##0&quot;(○)&quot;\ "/>
    <numFmt numFmtId="236" formatCode="#,##0&quot;정&quot;"/>
    <numFmt numFmtId="237" formatCode="#,##0&quot;매&quot;"/>
    <numFmt numFmtId="238" formatCode="&quot;#&quot;##0"/>
    <numFmt numFmtId="239" formatCode="#,##0;[Red]\-#,##0;\-"/>
    <numFmt numFmtId="240" formatCode="[Blue]#,##0.00;[Red]\-#,##0.00"/>
    <numFmt numFmtId="241" formatCode="#,##0.0;\(#,##0.0\)"/>
    <numFmt numFmtId="242" formatCode="#,##0&quot;캅셀&quot;"/>
    <numFmt numFmtId="243" formatCode="#,##0_);[Red]\(#,##0\);&quot;-&quot;_);_-@_-"/>
    <numFmt numFmtId="244" formatCode="\(#,##0\);[Red]\(#,##0\);&quot;-&quot;_);_-@_-"/>
    <numFmt numFmtId="245" formatCode="_ * #,##0_ ;_ * \-#,##0_ ;_ * &quot;-&quot;_ ;_ @_ "/>
    <numFmt numFmtId="246" formatCode="_(\$* #,##0.00_);_(\$* \(#,##0.00\);_(\$* &quot;-&quot;??_);_(@_)"/>
    <numFmt numFmtId="247" formatCode="_(&quot;$&quot;* #,##0.00_);_(&quot;$&quot;* \(#,##0.00\);_(&quot;$&quot;* &quot;-&quot;??_);_(@_)"/>
    <numFmt numFmtId="248" formatCode="_(&quot;$&quot;* #,##0_);_(&quot;$&quot;* \(#,##0\);_(&quot;$&quot;* &quot;-&quot;_);_(@_)"/>
    <numFmt numFmtId="249" formatCode="_-&quot;₩&quot;* #,##0_-;&quot;₩&quot;&quot;₩&quot;&quot;₩&quot;\-&quot;₩&quot;* #,##0_-;_-&quot;₩&quot;* &quot;-&quot;_-;_-@_-"/>
    <numFmt numFmtId="250" formatCode="_-&quot;₩&quot;* #,##0.00_-;&quot;₩&quot;&quot;₩&quot;&quot;₩&quot;\-&quot;₩&quot;* #,##0.00_-;_-&quot;₩&quot;* &quot;-&quot;??_-;_-@_-"/>
    <numFmt numFmtId="251" formatCode="%#.00"/>
    <numFmt numFmtId="252" formatCode="_(* #,##0.00_);_(* \(#,##0.00\);_(* &quot;-&quot;??_);_(@_)"/>
    <numFmt numFmtId="253" formatCode="_-&quot;$&quot;* #,##0_-;\-&quot;$&quot;* #,##0_-;_-&quot;$&quot;* &quot;-&quot;_-;_-@_-"/>
    <numFmt numFmtId="254" formatCode="_-&quot;$&quot;* #,##0.00_-;\-&quot;$&quot;* #,##0.00_-;_-&quot;$&quot;* &quot;-&quot;??_-;_-@_-"/>
    <numFmt numFmtId="255" formatCode="\$#.00"/>
    <numFmt numFmtId="256" formatCode="\$#."/>
    <numFmt numFmtId="257" formatCode="_-&quot;￥&quot;* #,##0_-;\-&quot;￥&quot;* #,##0_-;_-&quot;￥&quot;* &quot;-&quot;_-;_-@_-"/>
    <numFmt numFmtId="258" formatCode="_-&quot;￥&quot;* #,##0.00_-;\-&quot;￥&quot;* #,##0.00_-;_-&quot;￥&quot;* &quot;-&quot;??_-;_-@_-"/>
    <numFmt numFmtId="259" formatCode="_ * #,##0.00_ ;_ * \-#,##0.00_ ;_ * &quot;-&quot;??_ ;_ @_ "/>
    <numFmt numFmtId="260" formatCode="0.000%"/>
    <numFmt numFmtId="261" formatCode="_-&quot;₩&quot;* #,##0_-;&quot;₩&quot;&quot;₩&quot;&quot;₩&quot;&quot;₩&quot;&quot;₩&quot;&quot;₩&quot;&quot;₩&quot;&quot;₩&quot;&quot;₩&quot;&quot;₩&quot;\-&quot;₩&quot;* #,##0_-;_-&quot;₩&quot;* &quot;-&quot;_-;_-@_-"/>
    <numFmt numFmtId="262" formatCode="&quot;₩&quot;#,##0;[Red]&quot;₩&quot;\-#,##0"/>
    <numFmt numFmtId="263" formatCode="_-&quot;₩&quot;* #,##0.00_-;&quot;₩&quot;&quot;₩&quot;&quot;₩&quot;&quot;₩&quot;&quot;₩&quot;&quot;₩&quot;&quot;₩&quot;&quot;₩&quot;&quot;₩&quot;&quot;₩&quot;\-&quot;₩&quot;* #,##0.00_-;_-&quot;₩&quot;* &quot;-&quot;??_-;_-@_-"/>
    <numFmt numFmtId="264" formatCode="&quot;$&quot;#,##0_);\(&quot;$&quot;#,##0\)"/>
    <numFmt numFmtId="265" formatCode="#,##0.0\ %"/>
    <numFmt numFmtId="266" formatCode="mmmm\ d\,\ yyyy"/>
    <numFmt numFmtId="267" formatCode="0.0%"/>
    <numFmt numFmtId="268" formatCode="&quot;$&quot;#,##0.00"/>
    <numFmt numFmtId="269" formatCode="\ \ \ \ @"/>
    <numFmt numFmtId="270" formatCode="_(* #,##0.0_);_(* \(#,##0.0\);_(* &quot;-&quot;?_);_(@_)"/>
    <numFmt numFmtId="271" formatCode="\ \ \ \ \ \ \ \ @"/>
    <numFmt numFmtId="272" formatCode="_ * #,##0.0000000_ ;_ * \-#,##0.0000000_ ;_ * &quot;-&quot;_ ;_ @_ "/>
    <numFmt numFmtId="273" formatCode="#,##0.0_);\(#,##0.0\)"/>
    <numFmt numFmtId="274" formatCode="_(* #,##0.00_);_(* \(#,##0.00\)"/>
    <numFmt numFmtId="275" formatCode="_(* #,##0.0_);_(* \(#,##0.0\);_(* &quot;-&quot;??_);_(@_)"/>
    <numFmt numFmtId="276" formatCode="_(&quot;£*&quot;\ #,##0.00_);_(&quot;£*&quot;\ \(#,##0.00\);_(&quot;£*&quot;\ &quot;-&quot;??_);_(@_)"/>
    <numFmt numFmtId="277" formatCode="_(&quot;´*&quot;\ #,##0.00_);_(&quot;´*&quot;\ \(#,##0.00\);_(&quot;´*&quot;\ &quot;-&quot;??_);_(@_)"/>
    <numFmt numFmtId="278" formatCode="&quot;₩&quot;#,##0;[Red]&quot;₩&quot;&quot;-&quot;#,##0"/>
    <numFmt numFmtId="279" formatCode="_(&quot;$&quot;* #,##0.0_);_(&quot;$&quot;* \(#,##0.0\);_(&quot;$&quot;* &quot;-&quot;_);_(@_)"/>
    <numFmt numFmtId="280" formatCode="_(\B\t* #,##0.00_);_(\B\t* \(#,##0.00\);_(\B\t* &quot;-&quot;??_);_(@_)"/>
    <numFmt numFmtId="281" formatCode="_(\R\p* #,##0.00_);_(\R\p* \(#,##0.00\);_(\R\p* &quot;-&quot;??_);_(@_)"/>
    <numFmt numFmtId="282" formatCode="_-&quot;₩&quot;* #,##0.00_-;&quot;₩&quot;\-&quot;₩&quot;* #,##0.00_-;_-&quot;₩&quot;* &quot;-&quot;??_-;_-@_-"/>
    <numFmt numFmtId="283" formatCode="\ @"/>
    <numFmt numFmtId="284" formatCode="#,##0.0000_ ;[Red]\-#,##0.0000\ "/>
    <numFmt numFmtId="285" formatCode="&quot;₩&quot;#,##0;[Red]&quot;₩&quot;&quot;₩&quot;&quot;₩&quot;&quot;₩&quot;&quot;₩&quot;&quot;₩&quot;&quot;₩&quot;&quot;₩&quot;&quot;₩&quot;\-#,##0"/>
    <numFmt numFmtId="286" formatCode="0_%_);\(0\)_%;0_%_);@_%_)"/>
    <numFmt numFmtId="287" formatCode="_-[$€-2]* #,##0.00_-;\-[$€-2]* #,##0.00_-;_-[$€-2]* &quot;-&quot;??_-"/>
    <numFmt numFmtId="288" formatCode="0.0\%_);\(0.0\%\);0.0\%_);@_%_)"/>
    <numFmt numFmtId="289" formatCode="&quot;SFr.&quot;#,##0.00;&quot;SFr.&quot;\-#,##0.00"/>
    <numFmt numFmtId="290" formatCode="0.0"/>
    <numFmt numFmtId="291" formatCode="#,###,##0"/>
    <numFmt numFmtId="292" formatCode="#,##0.0_);&quot;₩&quot;&quot;₩&quot;&quot;₩&quot;\!\!\!\(#,##0.0&quot;₩&quot;&quot;₩&quot;&quot;₩&quot;\!\!\!\)"/>
    <numFmt numFmtId="293" formatCode="#,##0.0000;[Red]\-#,##0.0000"/>
    <numFmt numFmtId="294" formatCode="&quot;$&quot;#,##0.0000_);[Red]\(&quot;$&quot;#,##0.0000\)"/>
    <numFmt numFmtId="295" formatCode="#,##0;[Red]&quot;△&quot;#,##0"/>
    <numFmt numFmtId="296" formatCode="General_)"/>
    <numFmt numFmtId="297" formatCode="#,##0.00&quot; $&quot;;[Red]\-#,##0.00&quot; $&quot;"/>
    <numFmt numFmtId="298" formatCode="d\.m\.yy"/>
    <numFmt numFmtId="299" formatCode="\$#,##0.00;[Red]\$#,##0.00;&quot; &quot;"/>
    <numFmt numFmtId="300" formatCode="#,##0.0_);[Red]\(#,##0.0\)"/>
    <numFmt numFmtId="301" formatCode="_(* #,##0.00\ \x_);_(* \(#,##0.00\ \x\);_(* &quot;-&quot;??_);_(@_)"/>
    <numFmt numFmtId="302" formatCode="_(* #,##0\ \x_);_(* \(#,##0\ \x\);_(* &quot;-&quot;??_);_(@_)"/>
    <numFmt numFmtId="303" formatCode="_(* #,##0.0\ \x_);_(* \(#,##0.0\ \x\);_(* &quot;-&quot;??_);_(@_)"/>
    <numFmt numFmtId="304" formatCode="0.0\x_)_);&quot;NM&quot;_x_)_);0.0\x_)_);@_%_)"/>
    <numFmt numFmtId="305" formatCode="#,##0.0_x_)_);&quot;NM&quot;_x_)_);#,##0.0_x_)_);@_x_)_)"/>
    <numFmt numFmtId="306" formatCode="0%_);\(0%\)"/>
    <numFmt numFmtId="307" formatCode="_(* #,##0.00%;_(* \(#,##0.00%\)"/>
    <numFmt numFmtId="308" formatCode="&quot;$&quot;#,##0,;[Red]\(&quot;$&quot;#,##0,\)"/>
    <numFmt numFmtId="309" formatCode="\ \ @"/>
    <numFmt numFmtId="310" formatCode="&quot;$&quot;#,##0;&quot;₩&quot;&quot;₩&quot;&quot;₩&quot;\!\!\!\-&quot;$&quot;#,##0"/>
    <numFmt numFmtId="311" formatCode="&quot;₩&quot;\ #,##0.00;&quot;₩&quot;\ \-#,##0.00"/>
    <numFmt numFmtId="312" formatCode="0%\ ;[Red]\(0%\);&quot;- &quot;"/>
    <numFmt numFmtId="313" formatCode="#,##0.00,_);[Red]\(#,##0.00\)"/>
    <numFmt numFmtId="314" formatCode="&quot;$&quot;#,##0.00_);\(&quot;$&quot;#,##0.00\)"/>
    <numFmt numFmtId="315" formatCode="#,##0_ ;[Red]\-#,##0\ "/>
    <numFmt numFmtId="316" formatCode="#,##0.00_ ;[Red]\-#,##0.00\ "/>
    <numFmt numFmtId="317" formatCode="#,##0.00%;[Red]\-#,##0.00%"/>
    <numFmt numFmtId="318" formatCode="#,##0_);[Red]\(#,##0\)"/>
    <numFmt numFmtId="319" formatCode="&quot;₩&quot;#,##0_);[Red]\(&quot;₩&quot;#,##0\)"/>
  </numFmts>
  <fonts count="309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sz val="9"/>
      <color theme="0" tint="-0.249977111117893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theme="1"/>
      <name val="돋움"/>
      <family val="3"/>
      <charset val="129"/>
    </font>
    <font>
      <sz val="9"/>
      <color theme="0"/>
      <name val="돋움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9"/>
      <color rgb="FF666699"/>
      <name val="돋움"/>
      <family val="3"/>
      <charset val="129"/>
    </font>
    <font>
      <sz val="9"/>
      <color rgb="FF666699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돋움"/>
      <family val="3"/>
      <charset val="129"/>
    </font>
    <font>
      <sz val="12"/>
      <name val="바탕체"/>
      <family val="1"/>
      <charset val="129"/>
    </font>
    <font>
      <sz val="11"/>
      <color theme="1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9"/>
      <color indexed="8"/>
      <name val="굴림체"/>
      <family val="3"/>
      <charset val="129"/>
    </font>
    <font>
      <sz val="12"/>
      <name val="뼻뮝"/>
      <family val="1"/>
      <charset val="129"/>
    </font>
    <font>
      <sz val="10"/>
      <name val="Helv"/>
      <family val="2"/>
    </font>
    <font>
      <sz val="11"/>
      <name val="μ¸¿o"/>
      <family val="3"/>
      <charset val="129"/>
    </font>
    <font>
      <sz val="12"/>
      <name val="±¼¸²A¼"/>
      <family val="3"/>
      <charset val="129"/>
    </font>
    <font>
      <sz val="1"/>
      <color indexed="8"/>
      <name val="Courier"/>
      <family val="3"/>
    </font>
    <font>
      <sz val="8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4"/>
      <color indexed="12"/>
      <name val="굴림"/>
      <family val="3"/>
      <charset val="129"/>
    </font>
    <font>
      <sz val="10"/>
      <name val="바탕체"/>
      <family val="1"/>
      <charset val="129"/>
    </font>
    <font>
      <b/>
      <sz val="10"/>
      <name val="MS Sans Serif"/>
      <family val="2"/>
    </font>
    <font>
      <sz val="10"/>
      <name val="Times New Roman"/>
      <family val="1"/>
    </font>
    <font>
      <sz val="12"/>
      <color indexed="24"/>
      <name val="바탕체"/>
      <family val="1"/>
      <charset val="129"/>
    </font>
    <font>
      <i/>
      <sz val="12"/>
      <name val="바탕체"/>
      <family val="1"/>
      <charset val="129"/>
    </font>
    <font>
      <sz val="8"/>
      <name val="???"/>
      <family val="1"/>
    </font>
    <font>
      <sz val="12"/>
      <name val="돋움체"/>
      <family val="3"/>
      <charset val="129"/>
    </font>
    <font>
      <sz val="10"/>
      <name val="Arial Narrow"/>
      <family val="2"/>
    </font>
    <font>
      <sz val="12"/>
      <name val="Arial"/>
      <family val="2"/>
    </font>
    <font>
      <sz val="1"/>
      <color indexed="16"/>
      <name val="Courier"/>
      <family val="3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2"/>
      <name val="Times New Roman"/>
      <family val="1"/>
    </font>
    <font>
      <b/>
      <sz val="11"/>
      <color indexed="12"/>
      <name val="굴림체"/>
      <family val="3"/>
      <charset val="129"/>
    </font>
    <font>
      <sz val="12"/>
      <name val="명조"/>
      <family val="3"/>
      <charset val="129"/>
    </font>
    <font>
      <sz val="12"/>
      <name val="¹UAAA¼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</font>
    <font>
      <sz val="11"/>
      <name val="돋움체"/>
      <family val="3"/>
      <charset val="129"/>
    </font>
    <font>
      <sz val="11"/>
      <color indexed="9"/>
      <name val="맑은 고딕"/>
      <family val="3"/>
      <charset val="129"/>
    </font>
    <font>
      <sz val="11"/>
      <color indexed="9"/>
      <name val="맑은 고딕"/>
      <family val="3"/>
    </font>
    <font>
      <sz val="10"/>
      <name val="Geneva"/>
      <family val="2"/>
    </font>
    <font>
      <sz val="12"/>
      <name val="굴림체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sz val="11"/>
      <name val="바탕체"/>
      <family val="1"/>
      <charset val="129"/>
    </font>
    <font>
      <sz val="10"/>
      <name val="PragmaticaCTT"/>
      <family val="1"/>
    </font>
    <font>
      <b/>
      <sz val="16"/>
      <name val="굴림체"/>
      <family val="3"/>
      <charset val="129"/>
    </font>
    <font>
      <sz val="10"/>
      <name val="Century Gothic"/>
      <family val="2"/>
    </font>
    <font>
      <sz val="11"/>
      <color indexed="20"/>
      <name val="맑은 고딕"/>
      <family val="3"/>
      <charset val="129"/>
    </font>
    <font>
      <u/>
      <sz val="12.1"/>
      <color indexed="36"/>
      <name val="돋움"/>
      <family val="3"/>
      <charset val="129"/>
    </font>
    <font>
      <sz val="14"/>
      <name val="뼥?ⓒ"/>
      <family val="3"/>
      <charset val="129"/>
    </font>
    <font>
      <b/>
      <sz val="12"/>
      <name val="돋움체"/>
      <family val="3"/>
      <charset val="129"/>
    </font>
    <font>
      <sz val="14"/>
      <name val="ＭＳ 明朝"/>
      <family val="3"/>
      <charset val="255"/>
    </font>
    <font>
      <sz val="10"/>
      <name val="바탕"/>
      <family val="1"/>
      <charset val="129"/>
    </font>
    <font>
      <sz val="11"/>
      <color indexed="19"/>
      <name val="맑은 고딕"/>
      <family val="3"/>
      <charset val="129"/>
    </font>
    <font>
      <sz val="12"/>
      <name val="宋体"/>
      <family val="3"/>
      <charset val="255"/>
    </font>
    <font>
      <sz val="10"/>
      <name val="돋움체"/>
      <family val="3"/>
      <charset val="129"/>
    </font>
    <font>
      <b/>
      <sz val="10"/>
      <name val="바탕체"/>
      <family val="1"/>
      <charset val="129"/>
    </font>
    <font>
      <b/>
      <sz val="18"/>
      <name val="바탕체"/>
      <family val="1"/>
      <charset val="129"/>
    </font>
    <font>
      <b/>
      <sz val="12"/>
      <name val="바탕체"/>
      <family val="1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굴림체"/>
      <family val="3"/>
      <charset val="129"/>
    </font>
    <font>
      <b/>
      <sz val="11"/>
      <name val="돋움"/>
      <family val="3"/>
      <charset val="129"/>
    </font>
    <font>
      <sz val="10"/>
      <name val="명조"/>
      <family val="3"/>
      <charset val="129"/>
    </font>
    <font>
      <sz val="12"/>
      <name val="官帕眉"/>
      <family val="1"/>
      <charset val="129"/>
    </font>
    <font>
      <b/>
      <sz val="11"/>
      <color indexed="8"/>
      <name val="맑은 고딕"/>
      <family val="3"/>
      <charset val="129"/>
    </font>
    <font>
      <sz val="12"/>
      <name val="新細明體"/>
      <family val="3"/>
      <charset val="255"/>
    </font>
    <font>
      <sz val="11"/>
      <color indexed="62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10"/>
      <name val="Book Antiqua"/>
      <family val="1"/>
    </font>
    <font>
      <u/>
      <sz val="8.4"/>
      <color indexed="12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name val="Arial"/>
      <family val="2"/>
    </font>
    <font>
      <sz val="12"/>
      <name val="Helv"/>
      <family val="2"/>
    </font>
    <font>
      <sz val="9"/>
      <name val="Tahoma"/>
      <family val="2"/>
    </font>
    <font>
      <sz val="9"/>
      <name val="굴림"/>
      <family val="3"/>
      <charset val="129"/>
    </font>
    <font>
      <sz val="12"/>
      <name val="Osaka"/>
      <family val="3"/>
      <charset val="255"/>
    </font>
    <font>
      <u/>
      <sz val="7.7"/>
      <color theme="10"/>
      <name val="맑은 고딕"/>
      <family val="3"/>
      <charset val="129"/>
    </font>
    <font>
      <sz val="12"/>
      <name val="한양그래픽"/>
      <family val="1"/>
      <charset val="129"/>
    </font>
    <font>
      <sz val="14"/>
      <name val="바탕체"/>
      <family val="1"/>
      <charset val="129"/>
    </font>
    <font>
      <sz val="11"/>
      <name val="??????o"/>
      <family val="3"/>
    </font>
    <font>
      <sz val="12"/>
      <name val="ⓒoUAAA¨u"/>
      <family val="1"/>
      <charset val="129"/>
    </font>
    <font>
      <sz val="11"/>
      <name val="¥ì¢¬¢¯o"/>
      <family val="3"/>
    </font>
    <font>
      <sz val="11"/>
      <name val="￥i￠￢￠?o"/>
      <family val="3"/>
      <charset val="129"/>
    </font>
    <font>
      <sz val="11"/>
      <name val="Arial"/>
      <family val="2"/>
    </font>
    <font>
      <sz val="12"/>
      <name val="1UAAA?"/>
      <family val="1"/>
    </font>
    <font>
      <sz val="12"/>
      <name val="¹ÙÅÁÃ¼"/>
      <family val="1"/>
      <charset val="129"/>
    </font>
    <font>
      <sz val="11"/>
      <name val="µ¸¿ò"/>
      <family val="3"/>
      <charset val="129"/>
    </font>
    <font>
      <sz val="12"/>
      <name val="±¼¸²Ã¼"/>
      <family val="3"/>
      <charset val="129"/>
    </font>
    <font>
      <sz val="12"/>
      <name val="∂?좲2A?"/>
      <family val="3"/>
      <charset val="129"/>
    </font>
    <font>
      <sz val="12"/>
      <name val="¹UAAA¼"/>
      <family val="1"/>
      <charset val="129"/>
    </font>
    <font>
      <sz val="12"/>
      <name val="¹ÙÅÁÃ¼"/>
      <family val="3"/>
      <charset val="129"/>
    </font>
    <font>
      <sz val="8"/>
      <name val="Tahoma"/>
      <family val="2"/>
    </font>
    <font>
      <sz val="8"/>
      <name val="Times New Roman"/>
      <family val="1"/>
    </font>
    <font>
      <sz val="10"/>
      <name val="±¼¸²A¼"/>
      <family val="3"/>
      <charset val="129"/>
    </font>
    <font>
      <sz val="10"/>
      <name val="±¼¸²Ã¼"/>
      <family val="3"/>
      <charset val="129"/>
    </font>
    <font>
      <sz val="11"/>
      <color indexed="20"/>
      <name val="맑은 고딕"/>
      <family val="3"/>
    </font>
    <font>
      <u/>
      <sz val="10"/>
      <color indexed="36"/>
      <name val="Arial"/>
      <family val="2"/>
    </font>
    <font>
      <sz val="12"/>
      <name val="Tms Rmn"/>
      <family val="1"/>
    </font>
    <font>
      <sz val="8"/>
      <name val="Verdana"/>
      <family val="2"/>
    </font>
    <font>
      <sz val="11"/>
      <name val="굴림체"/>
      <family val="3"/>
      <charset val="129"/>
    </font>
    <font>
      <sz val="12"/>
      <name val="¡¾¨ù¢¬©÷A¨ù"/>
      <family val="1"/>
      <charset val="129"/>
    </font>
    <font>
      <sz val="8"/>
      <name val="¹UAAA¼"/>
      <family val="1"/>
      <charset val="129"/>
    </font>
    <font>
      <sz val="12"/>
      <name val="System"/>
      <family val="2"/>
      <charset val="129"/>
    </font>
    <font>
      <sz val="11"/>
      <name val="μ¸¿oA¼"/>
      <family val="3"/>
      <charset val="129"/>
    </font>
    <font>
      <sz val="8"/>
      <name val="1UAAA?"/>
      <family val="1"/>
    </font>
    <font>
      <b/>
      <sz val="11"/>
      <color indexed="52"/>
      <name val="맑은 고딕"/>
      <family val="3"/>
    </font>
    <font>
      <b/>
      <sz val="10"/>
      <name val="Helv"/>
      <family val="2"/>
    </font>
    <font>
      <b/>
      <sz val="11"/>
      <color indexed="9"/>
      <name val="맑은 고딕"/>
      <family val="3"/>
    </font>
    <font>
      <sz val="10"/>
      <color indexed="8"/>
      <name val="Impact"/>
      <family val="2"/>
    </font>
    <font>
      <b/>
      <sz val="8"/>
      <name val="Arial"/>
      <family val="2"/>
    </font>
    <font>
      <sz val="8"/>
      <color indexed="12"/>
      <name val="Times New Roman"/>
      <family val="1"/>
    </font>
    <font>
      <sz val="10"/>
      <color indexed="0"/>
      <name val="MS Sans Serif"/>
      <family val="2"/>
    </font>
    <font>
      <sz val="10"/>
      <name val="MS Serif"/>
      <family val="1"/>
    </font>
    <font>
      <sz val="10"/>
      <name val="Courier"/>
      <family val="3"/>
    </font>
    <font>
      <sz val="16"/>
      <name val="굴림체"/>
      <family val="3"/>
      <charset val="129"/>
    </font>
    <font>
      <sz val="8"/>
      <name val="Palatino"/>
      <family val="1"/>
    </font>
    <font>
      <sz val="10"/>
      <color indexed="8"/>
      <name val="Arial"/>
      <family val="2"/>
    </font>
    <font>
      <sz val="10"/>
      <name val="Albertus Medium"/>
      <family val="2"/>
    </font>
    <font>
      <sz val="10"/>
      <color indexed="16"/>
      <name val="MS Serif"/>
      <family val="1"/>
    </font>
    <font>
      <b/>
      <sz val="13"/>
      <name val="굴림"/>
      <family val="3"/>
      <charset val="129"/>
    </font>
    <font>
      <i/>
      <sz val="11"/>
      <color indexed="23"/>
      <name val="맑은 고딕"/>
      <family val="3"/>
    </font>
    <font>
      <u/>
      <sz val="10"/>
      <color indexed="14"/>
      <name val="MS Sans Serif"/>
      <family val="2"/>
    </font>
    <font>
      <sz val="7"/>
      <name val="Palatino"/>
      <family val="1"/>
    </font>
    <font>
      <sz val="11"/>
      <color indexed="17"/>
      <name val="맑은 고딕"/>
      <family val="3"/>
    </font>
    <font>
      <b/>
      <sz val="20"/>
      <name val="MS Sans Serif"/>
      <family val="2"/>
    </font>
    <font>
      <b/>
      <sz val="12"/>
      <name val="MS Sans Serif"/>
      <family val="2"/>
    </font>
    <font>
      <b/>
      <sz val="12"/>
      <name val="Helv"/>
      <family val="2"/>
    </font>
    <font>
      <b/>
      <sz val="8"/>
      <color indexed="8"/>
      <name val="Tahoma"/>
      <family val="2"/>
    </font>
    <font>
      <b/>
      <sz val="8"/>
      <color indexed="9"/>
      <name val="Tahoma"/>
      <family val="2"/>
    </font>
    <font>
      <b/>
      <sz val="10"/>
      <name val="Arial"/>
      <family val="2"/>
    </font>
    <font>
      <i/>
      <sz val="14"/>
      <name val="Palatino"/>
      <family val="1"/>
    </font>
    <font>
      <b/>
      <sz val="11"/>
      <color indexed="56"/>
      <name val="맑은 고딕"/>
      <family val="3"/>
    </font>
    <font>
      <b/>
      <sz val="12"/>
      <name val="Tms Rmn"/>
      <family val="1"/>
    </font>
    <font>
      <i/>
      <sz val="12"/>
      <name val="Arial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u/>
      <sz val="10"/>
      <color indexed="12"/>
      <name val="MS Sans Serif"/>
      <family val="2"/>
    </font>
    <font>
      <b/>
      <sz val="6"/>
      <color indexed="18"/>
      <name val="Arial"/>
      <family val="2"/>
    </font>
    <font>
      <b/>
      <sz val="22"/>
      <color indexed="56"/>
      <name val="굴림"/>
      <family val="3"/>
      <charset val="129"/>
    </font>
    <font>
      <sz val="11"/>
      <color indexed="52"/>
      <name val="맑은 고딕"/>
      <family val="3"/>
    </font>
    <font>
      <sz val="12"/>
      <color indexed="9"/>
      <name val="Helv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11"/>
      <name val="Helv"/>
      <family val="2"/>
    </font>
    <font>
      <sz val="11"/>
      <color indexed="60"/>
      <name val="맑은 고딕"/>
      <family val="3"/>
    </font>
    <font>
      <sz val="7"/>
      <name val="Small Fonts"/>
      <family val="2"/>
    </font>
    <font>
      <b/>
      <i/>
      <sz val="10"/>
      <name val="Arial"/>
      <family val="2"/>
    </font>
    <font>
      <b/>
      <sz val="11"/>
      <color indexed="63"/>
      <name val="맑은 고딕"/>
      <family val="3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  <family val="2"/>
    </font>
    <font>
      <sz val="10"/>
      <name val="Tms Rmn"/>
      <family val="1"/>
    </font>
    <font>
      <sz val="10"/>
      <color indexed="8"/>
      <name val="MS Sans Serif"/>
      <family val="2"/>
    </font>
    <font>
      <sz val="16"/>
      <color indexed="9"/>
      <name val="Tahoma"/>
      <family val="2"/>
    </font>
    <font>
      <sz val="8"/>
      <name val="Helv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0"/>
      <color indexed="18"/>
      <name val="Arial"/>
      <family val="2"/>
    </font>
    <font>
      <i/>
      <sz val="14"/>
      <name val="굴림"/>
      <family val="3"/>
      <charset val="129"/>
    </font>
    <font>
      <b/>
      <sz val="10"/>
      <color indexed="12"/>
      <name val="Arial"/>
      <family val="2"/>
    </font>
    <font>
      <strike/>
      <sz val="12"/>
      <name val="Palatino"/>
      <family val="1"/>
    </font>
    <font>
      <b/>
      <sz val="8"/>
      <color indexed="8"/>
      <name val="Helv"/>
      <family val="2"/>
    </font>
    <font>
      <sz val="10"/>
      <name val="Univers"/>
      <family val="2"/>
    </font>
    <font>
      <sz val="11"/>
      <name val="Univers"/>
      <family val="2"/>
    </font>
    <font>
      <sz val="12"/>
      <name val="Univers"/>
      <family val="2"/>
    </font>
    <font>
      <sz val="8"/>
      <name val="Univers"/>
      <family val="2"/>
    </font>
    <font>
      <sz val="9"/>
      <name val="Univers"/>
      <family val="2"/>
    </font>
    <font>
      <b/>
      <sz val="10"/>
      <name val="Univers"/>
      <family val="2"/>
    </font>
    <font>
      <b/>
      <sz val="11"/>
      <name val="Univers"/>
      <family val="2"/>
    </font>
    <font>
      <b/>
      <sz val="12"/>
      <name val="Univers"/>
      <family val="2"/>
    </font>
    <font>
      <b/>
      <sz val="8"/>
      <name val="Univers"/>
      <family val="2"/>
    </font>
    <font>
      <b/>
      <sz val="9"/>
      <name val="Univer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Helvetica-Black"/>
      <family val="2"/>
    </font>
    <font>
      <sz val="8"/>
      <name val="MS Sans Serif"/>
      <family val="2"/>
    </font>
    <font>
      <sz val="12"/>
      <name val="¹UAAA¼"/>
      <family val="1"/>
    </font>
    <font>
      <b/>
      <sz val="10"/>
      <color indexed="10"/>
      <name val="Arial"/>
      <family val="2"/>
    </font>
    <font>
      <b/>
      <sz val="11"/>
      <name val="Times New Roman"/>
      <family val="1"/>
    </font>
    <font>
      <b/>
      <sz val="26"/>
      <name val="Times New Roman"/>
      <family val="1"/>
    </font>
    <font>
      <b/>
      <sz val="10"/>
      <color indexed="37"/>
      <name val="Arial"/>
      <family val="2"/>
    </font>
    <font>
      <b/>
      <i/>
      <sz val="12"/>
      <color indexed="10"/>
      <name val="Arial"/>
      <family val="2"/>
    </font>
    <font>
      <b/>
      <sz val="14"/>
      <name val="Book Antiqua"/>
      <family val="1"/>
    </font>
    <font>
      <sz val="8"/>
      <color indexed="12"/>
      <name val="Arial"/>
      <family val="2"/>
    </font>
    <font>
      <sz val="8"/>
      <color indexed="10"/>
      <name val="Arial Narrow"/>
      <family val="2"/>
    </font>
    <font>
      <sz val="12"/>
      <name val="¾©"/>
      <family val="1"/>
      <charset val="129"/>
    </font>
    <font>
      <sz val="11"/>
      <color indexed="10"/>
      <name val="맑은 고딕"/>
      <family val="3"/>
    </font>
    <font>
      <sz val="11"/>
      <color rgb="FFFF0000"/>
      <name val="맑은 고딕"/>
      <family val="3"/>
      <charset val="129"/>
      <scheme val="minor"/>
    </font>
    <font>
      <b/>
      <i/>
      <sz val="9"/>
      <color rgb="FFC0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b/>
      <sz val="15"/>
      <color indexed="56"/>
      <name val="맑은 고딕"/>
      <family val="3"/>
    </font>
    <font>
      <b/>
      <sz val="13"/>
      <color indexed="56"/>
      <name val="맑은 고딕"/>
      <family val="3"/>
    </font>
    <font>
      <sz val="11"/>
      <color indexed="62"/>
      <name val="맑은 고딕"/>
      <family val="3"/>
    </font>
    <font>
      <b/>
      <sz val="18"/>
      <color indexed="56"/>
      <name val="맑은 고딕"/>
      <family val="3"/>
    </font>
    <font>
      <b/>
      <sz val="11"/>
      <color indexed="8"/>
      <name val="맑은 고딕"/>
      <family val="3"/>
    </font>
    <font>
      <sz val="9"/>
      <color theme="0" tint="-4.9989318521683403E-2"/>
      <name val="맑은 고딕"/>
      <family val="3"/>
      <charset val="129"/>
      <scheme val="minor"/>
    </font>
    <font>
      <b/>
      <i/>
      <sz val="9"/>
      <color theme="0" tint="-4.9989318521683403E-2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b/>
      <i/>
      <sz val="9"/>
      <color rgb="FF0070C0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i/>
      <sz val="8"/>
      <color rgb="FF0070C0"/>
      <name val="맑은 고딕"/>
      <family val="3"/>
      <charset val="129"/>
      <scheme val="minor"/>
    </font>
    <font>
      <b/>
      <i/>
      <sz val="8"/>
      <color rgb="FF0070C0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9"/>
      <color theme="0" tint="-0.249977111117893"/>
      <name val="돋움"/>
      <family val="3"/>
      <charset val="129"/>
    </font>
    <font>
      <sz val="9"/>
      <color theme="0" tint="-0.249977111117893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</font>
    <font>
      <b/>
      <sz val="15"/>
      <color theme="0"/>
      <name val="돋움"/>
      <family val="3"/>
      <charset val="129"/>
    </font>
    <font>
      <b/>
      <sz val="9"/>
      <color theme="0" tint="-0.249977111117893"/>
      <name val="돋움"/>
      <family val="3"/>
      <charset val="129"/>
    </font>
    <font>
      <b/>
      <sz val="9"/>
      <color theme="0" tint="-0.499984740745262"/>
      <name val="돋움"/>
      <family val="3"/>
      <charset val="129"/>
    </font>
    <font>
      <sz val="9"/>
      <color theme="0" tint="-0.499984740745262"/>
      <name val="돋움"/>
      <family val="3"/>
      <charset val="129"/>
    </font>
    <font>
      <sz val="10"/>
      <color indexed="8"/>
      <name val="맑은 고딕"/>
      <family val="3"/>
      <charset val="129"/>
    </font>
    <font>
      <sz val="9"/>
      <color rgb="FF444444"/>
      <name val="맑은 고딕"/>
      <family val="3"/>
      <charset val="129"/>
      <scheme val="minor"/>
    </font>
    <font>
      <b/>
      <sz val="12"/>
      <color rgb="FF002596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b/>
      <sz val="10"/>
      <color rgb="FF333333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b/>
      <sz val="9"/>
      <color rgb="FF555555"/>
      <name val="맑은 고딕"/>
      <family val="3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 tint="-0.249977111117893"/>
      <name val="맑은 고딕"/>
      <family val="3"/>
      <charset val="129"/>
    </font>
    <font>
      <sz val="9"/>
      <color theme="0"/>
      <name val="맑은 고딕"/>
      <family val="3"/>
      <charset val="129"/>
      <scheme val="major"/>
    </font>
    <font>
      <sz val="9"/>
      <color rgb="FF0070C0"/>
      <name val="맑은 고딕"/>
      <family val="3"/>
      <charset val="129"/>
      <scheme val="major"/>
    </font>
    <font>
      <sz val="9"/>
      <color rgb="FFC0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sz val="21"/>
      <color rgb="FF444444"/>
      <name val="맑은 고딕"/>
      <family val="3"/>
      <charset val="129"/>
      <scheme val="minor"/>
    </font>
    <font>
      <b/>
      <sz val="9"/>
      <color theme="0" tint="-0.249977111117893"/>
      <name val="맑은 고딕"/>
      <family val="2"/>
      <charset val="129"/>
      <scheme val="minor"/>
    </font>
    <font>
      <sz val="9"/>
      <color theme="0" tint="-0.249977111117893"/>
      <name val="맑은 고딕"/>
      <family val="3"/>
      <charset val="129"/>
      <scheme val="minor"/>
    </font>
    <font>
      <b/>
      <sz val="9"/>
      <color theme="0"/>
      <name val="돋움"/>
      <family val="3"/>
      <charset val="129"/>
    </font>
    <font>
      <sz val="11"/>
      <color rgb="FF444444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9"/>
      <color rgb="FFFF0000"/>
      <name val="맑은 고딕"/>
      <family val="3"/>
      <charset val="129"/>
      <scheme val="minor"/>
    </font>
    <font>
      <sz val="9"/>
      <color rgb="FF000000"/>
      <name val="돋움"/>
      <family val="3"/>
      <charset val="129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11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33"/>
        <bgColor indexed="64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9"/>
      </patternFill>
    </fill>
    <fill>
      <patternFill patternType="solid">
        <fgColor indexed="8"/>
        <bgColor indexed="64"/>
      </patternFill>
    </fill>
    <fill>
      <patternFill patternType="gray0625">
        <fgColor indexed="9"/>
      </patternFill>
    </fill>
    <fill>
      <patternFill patternType="lightGray">
        <fgColor indexed="13"/>
      </patternFill>
    </fill>
    <fill>
      <patternFill patternType="solid">
        <fgColor indexed="15"/>
      </patternFill>
    </fill>
    <fill>
      <patternFill patternType="gray0625">
        <fgColor indexed="9"/>
        <bgColor indexed="9"/>
      </patternFill>
    </fill>
    <fill>
      <patternFill patternType="solid">
        <fgColor indexed="12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23"/>
        <bgColor indexed="64"/>
      </patternFill>
    </fill>
    <fill>
      <patternFill patternType="lightGray">
        <f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FECF4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FFF"/>
        <bgColor indexed="64"/>
      </patternFill>
    </fill>
  </fills>
  <borders count="104">
    <border>
      <left/>
      <right/>
      <top/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3"/>
      </left>
      <right/>
      <top style="thick">
        <color indexed="13"/>
      </top>
      <bottom style="thick">
        <color indexed="1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12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12"/>
      </left>
      <right style="dotted">
        <color indexed="12"/>
      </right>
      <top style="dotted">
        <color indexed="12"/>
      </top>
      <bottom style="dotted">
        <color indexed="1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rgb="FF666699"/>
      </top>
      <bottom/>
      <diagonal/>
    </border>
    <border>
      <left/>
      <right style="thin">
        <color theme="0" tint="-0.34998626667073579"/>
      </right>
      <top style="thick">
        <color rgb="FF666699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/>
      <top style="thick">
        <color rgb="FF666699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/>
      <right/>
      <top/>
      <bottom style="thick">
        <color rgb="FF666699"/>
      </bottom>
      <diagonal/>
    </border>
    <border>
      <left/>
      <right/>
      <top style="medium">
        <color rgb="FF002596"/>
      </top>
      <bottom/>
      <diagonal/>
    </border>
    <border>
      <left/>
      <right/>
      <top/>
      <bottom style="medium">
        <color rgb="FF666666"/>
      </bottom>
      <diagonal/>
    </border>
    <border>
      <left/>
      <right style="medium">
        <color rgb="FFDDDDDD"/>
      </right>
      <top style="medium">
        <color rgb="FF002596"/>
      </top>
      <bottom/>
      <diagonal/>
    </border>
    <border>
      <left style="medium">
        <color rgb="FFDDDDDD"/>
      </left>
      <right/>
      <top style="medium">
        <color rgb="FF002596"/>
      </top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999999"/>
      </top>
      <bottom/>
      <diagonal/>
    </border>
    <border>
      <left style="medium">
        <color rgb="FFDDDDDD"/>
      </left>
      <right/>
      <top style="medium">
        <color rgb="FF999999"/>
      </top>
      <bottom/>
      <diagonal/>
    </border>
    <border>
      <left/>
      <right/>
      <top style="medium">
        <color rgb="FFDDDDDD"/>
      </top>
      <bottom style="medium">
        <color rgb="FF666666"/>
      </bottom>
      <diagonal/>
    </border>
    <border>
      <left style="medium">
        <color rgb="FFDDDDDD"/>
      </left>
      <right/>
      <top style="medium">
        <color rgb="FFDDDDDD"/>
      </top>
      <bottom style="medium">
        <color rgb="FF6666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medium">
        <color rgb="FF999999"/>
      </top>
      <bottom style="medium">
        <color rgb="FF666666"/>
      </bottom>
      <diagonal/>
    </border>
    <border>
      <left style="medium">
        <color rgb="FFDDDDDD"/>
      </left>
      <right/>
      <top style="medium">
        <color rgb="FF999999"/>
      </top>
      <bottom style="medium">
        <color rgb="FF666666"/>
      </bottom>
      <diagonal/>
    </border>
  </borders>
  <cellStyleXfs count="14114">
    <xf numFmtId="0" fontId="0" fillId="0" borderId="0">
      <alignment vertical="center"/>
    </xf>
    <xf numFmtId="0" fontId="3" fillId="0" borderId="0"/>
    <xf numFmtId="41" fontId="4" fillId="0" borderId="0" applyFont="0" applyFill="0" applyBorder="0" applyAlignment="0" applyProtection="0">
      <alignment vertical="center"/>
    </xf>
    <xf numFmtId="0" fontId="5" fillId="0" borderId="0"/>
    <xf numFmtId="0" fontId="27" fillId="0" borderId="0"/>
    <xf numFmtId="0" fontId="27" fillId="0" borderId="0"/>
    <xf numFmtId="9" fontId="4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181" fontId="28" fillId="0" borderId="0" applyFont="0" applyFill="0" applyBorder="0" applyAlignment="0" applyProtection="0"/>
    <xf numFmtId="41" fontId="29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/>
    <xf numFmtId="0" fontId="32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4" fillId="0" borderId="0"/>
    <xf numFmtId="0" fontId="28" fillId="0" borderId="0">
      <alignment vertical="center"/>
    </xf>
    <xf numFmtId="0" fontId="28" fillId="0" borderId="0">
      <alignment vertical="center"/>
    </xf>
    <xf numFmtId="0" fontId="30" fillId="0" borderId="0"/>
    <xf numFmtId="0" fontId="4" fillId="0" borderId="0">
      <alignment vertical="center"/>
    </xf>
    <xf numFmtId="0" fontId="4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" fillId="0" borderId="0"/>
    <xf numFmtId="0" fontId="30" fillId="0" borderId="0"/>
    <xf numFmtId="0" fontId="30" fillId="0" borderId="0"/>
    <xf numFmtId="0" fontId="28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4" fontId="35" fillId="0" borderId="0">
      <protection locked="0"/>
    </xf>
    <xf numFmtId="0" fontId="27" fillId="0" borderId="0"/>
    <xf numFmtId="0" fontId="3" fillId="0" borderId="0" applyFont="0" applyFill="0" applyBorder="0" applyAlignment="0" applyProtection="0"/>
    <xf numFmtId="0" fontId="4" fillId="0" borderId="0">
      <protection locked="0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7" fillId="0" borderId="0"/>
    <xf numFmtId="0" fontId="4" fillId="0" borderId="0">
      <protection locked="0"/>
    </xf>
    <xf numFmtId="0" fontId="27" fillId="0" borderId="0"/>
    <xf numFmtId="184" fontId="4" fillId="0" borderId="0">
      <protection locked="0"/>
    </xf>
    <xf numFmtId="38" fontId="36" fillId="15" borderId="0" applyNumberFormat="0" applyBorder="0" applyAlignment="0" applyProtection="0"/>
    <xf numFmtId="0" fontId="37" fillId="0" borderId="16" applyNumberFormat="0" applyAlignment="0" applyProtection="0">
      <alignment horizontal="left" vertical="center"/>
    </xf>
    <xf numFmtId="0" fontId="37" fillId="0" borderId="17">
      <alignment horizontal="left" vertical="center"/>
    </xf>
    <xf numFmtId="185" fontId="4" fillId="0" borderId="0">
      <protection locked="0"/>
    </xf>
    <xf numFmtId="185" fontId="4" fillId="0" borderId="0">
      <protection locked="0"/>
    </xf>
    <xf numFmtId="10" fontId="36" fillId="16" borderId="18" applyNumberFormat="0" applyBorder="0" applyAlignment="0" applyProtection="0"/>
    <xf numFmtId="186" fontId="4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>
      <protection locked="0"/>
    </xf>
    <xf numFmtId="10" fontId="3" fillId="0" borderId="0" applyFont="0" applyFill="0" applyBorder="0" applyAlignment="0" applyProtection="0"/>
    <xf numFmtId="9" fontId="38" fillId="0" borderId="19" applyNumberFormat="0" applyBorder="0"/>
    <xf numFmtId="185" fontId="4" fillId="0" borderId="20">
      <protection locked="0"/>
    </xf>
    <xf numFmtId="189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38" fontId="43" fillId="0" borderId="0" applyFont="0" applyFill="0" applyBorder="0" applyAlignment="0" applyProtection="0"/>
    <xf numFmtId="0" fontId="44" fillId="0" borderId="0"/>
    <xf numFmtId="0" fontId="3" fillId="0" borderId="0"/>
    <xf numFmtId="0" fontId="45" fillId="0" borderId="0" applyNumberFormat="0" applyFill="0" applyBorder="0" applyAlignment="0" applyProtection="0"/>
    <xf numFmtId="0" fontId="4" fillId="0" borderId="0" applyFont="0" applyFill="0" applyBorder="0" applyAlignment="0" applyProtection="0"/>
    <xf numFmtId="40" fontId="38" fillId="0" borderId="0" applyFont="0" applyFill="0" applyBorder="0" applyAlignment="0" applyProtection="0"/>
    <xf numFmtId="191" fontId="46" fillId="0" borderId="0">
      <protection locked="0"/>
    </xf>
    <xf numFmtId="192" fontId="3" fillId="15" borderId="0" applyFont="0" applyFill="0" applyBorder="0" applyAlignment="0" applyProtection="0">
      <alignment horizontal="center"/>
    </xf>
    <xf numFmtId="193" fontId="46" fillId="0" borderId="0" applyFont="0" applyFill="0" applyBorder="0" applyAlignment="0"/>
    <xf numFmtId="0" fontId="27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94" fontId="35" fillId="0" borderId="21">
      <protection locked="0"/>
    </xf>
    <xf numFmtId="0" fontId="47" fillId="0" borderId="0"/>
    <xf numFmtId="0" fontId="47" fillId="0" borderId="0"/>
    <xf numFmtId="0" fontId="3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9" fillId="0" borderId="0"/>
    <xf numFmtId="0" fontId="50" fillId="0" borderId="0" applyFont="0" applyFill="0" applyBorder="0" applyAlignment="0" applyProtection="0"/>
    <xf numFmtId="0" fontId="3" fillId="0" borderId="0"/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4" fillId="0" borderId="22" applyFont="0" applyFill="0" applyBorder="0" applyAlignment="0" applyProtection="0">
      <alignment vertical="center"/>
    </xf>
    <xf numFmtId="0" fontId="27" fillId="0" borderId="0"/>
    <xf numFmtId="0" fontId="3" fillId="0" borderId="0"/>
    <xf numFmtId="0" fontId="27" fillId="0" borderId="0"/>
    <xf numFmtId="41" fontId="51" fillId="0" borderId="0" applyFont="0" applyFill="0" applyBorder="0" applyAlignment="0" applyProtection="0"/>
    <xf numFmtId="0" fontId="52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3" fillId="0" borderId="0"/>
    <xf numFmtId="0" fontId="32" fillId="0" borderId="0"/>
    <xf numFmtId="0" fontId="3" fillId="0" borderId="0"/>
    <xf numFmtId="0" fontId="3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0" fontId="53" fillId="0" borderId="0">
      <protection locked="0"/>
    </xf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27" fillId="0" borderId="0"/>
    <xf numFmtId="41" fontId="51" fillId="0" borderId="0" applyFont="0" applyFill="0" applyBorder="0" applyAlignment="0" applyProtection="0"/>
    <xf numFmtId="0" fontId="3" fillId="0" borderId="0"/>
    <xf numFmtId="0" fontId="52" fillId="0" borderId="0"/>
    <xf numFmtId="0" fontId="3" fillId="0" borderId="0"/>
    <xf numFmtId="0" fontId="3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7" fillId="0" borderId="0"/>
    <xf numFmtId="41" fontId="51" fillId="0" borderId="0" applyFont="0" applyFill="0" applyBorder="0" applyAlignment="0" applyProtection="0"/>
    <xf numFmtId="0" fontId="3" fillId="0" borderId="0"/>
    <xf numFmtId="0" fontId="3" fillId="0" borderId="0"/>
    <xf numFmtId="0" fontId="29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0" fontId="3" fillId="0" borderId="0"/>
    <xf numFmtId="41" fontId="5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3" fillId="0" borderId="0"/>
    <xf numFmtId="0" fontId="3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3" fillId="0" borderId="0"/>
    <xf numFmtId="0" fontId="3" fillId="0" borderId="0"/>
    <xf numFmtId="0" fontId="27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" fillId="0" borderId="0"/>
    <xf numFmtId="0" fontId="27" fillId="0" borderId="0"/>
    <xf numFmtId="0" fontId="32" fillId="0" borderId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27" fillId="0" borderId="0"/>
    <xf numFmtId="0" fontId="3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27" fillId="0" borderId="0"/>
    <xf numFmtId="0" fontId="27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0" fontId="3" fillId="0" borderId="0"/>
    <xf numFmtId="0" fontId="3" fillId="0" borderId="0"/>
    <xf numFmtId="0" fontId="27" fillId="0" borderId="0"/>
    <xf numFmtId="0" fontId="3" fillId="0" borderId="0"/>
    <xf numFmtId="42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3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2" fillId="0" borderId="0"/>
    <xf numFmtId="41" fontId="51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7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2" fillId="0" borderId="0"/>
    <xf numFmtId="0" fontId="3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0" fontId="27" fillId="0" borderId="0"/>
    <xf numFmtId="0" fontId="27" fillId="0" borderId="0"/>
    <xf numFmtId="0" fontId="32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2" fillId="0" borderId="0"/>
    <xf numFmtId="0" fontId="3" fillId="0" borderId="0"/>
    <xf numFmtId="0" fontId="32" fillId="0" borderId="0"/>
    <xf numFmtId="0" fontId="3" fillId="0" borderId="0" applyNumberForma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" fillId="0" borderId="0"/>
    <xf numFmtId="0" fontId="3" fillId="0" borderId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7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27" fillId="0" borderId="0"/>
    <xf numFmtId="0" fontId="29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3" fillId="0" borderId="0"/>
    <xf numFmtId="0" fontId="3" fillId="0" borderId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2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" fillId="0" borderId="0"/>
    <xf numFmtId="0" fontId="50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27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7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" fillId="0" borderId="0"/>
    <xf numFmtId="0" fontId="32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2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3" fillId="0" borderId="0"/>
    <xf numFmtId="0" fontId="32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0" fontId="32" fillId="0" borderId="0"/>
    <xf numFmtId="0" fontId="3" fillId="15" borderId="0"/>
    <xf numFmtId="0" fontId="54" fillId="2" borderId="0"/>
    <xf numFmtId="0" fontId="55" fillId="20" borderId="0"/>
    <xf numFmtId="0" fontId="56" fillId="21" borderId="0"/>
    <xf numFmtId="0" fontId="57" fillId="0" borderId="0"/>
    <xf numFmtId="0" fontId="58" fillId="0" borderId="0"/>
    <xf numFmtId="0" fontId="36" fillId="0" borderId="0"/>
    <xf numFmtId="4" fontId="3" fillId="16" borderId="0"/>
    <xf numFmtId="0" fontId="3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0" fontId="3" fillId="0" borderId="0"/>
    <xf numFmtId="0" fontId="3" fillId="0" borderId="0"/>
    <xf numFmtId="0" fontId="59" fillId="22" borderId="0"/>
    <xf numFmtId="0" fontId="59" fillId="22" borderId="0"/>
    <xf numFmtId="0" fontId="59" fillId="22" borderId="0"/>
    <xf numFmtId="0" fontId="29" fillId="0" borderId="0" applyFont="0" applyFill="0" applyBorder="0" applyAlignment="0" applyProtection="0"/>
    <xf numFmtId="0" fontId="3" fillId="0" borderId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5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7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5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196" fontId="27" fillId="0" borderId="0" applyFont="0" applyFill="0" applyBorder="0" applyAlignment="0" applyProtection="0"/>
    <xf numFmtId="0" fontId="3" fillId="15" borderId="0"/>
    <xf numFmtId="0" fontId="54" fillId="2" borderId="0"/>
    <xf numFmtId="0" fontId="55" fillId="20" borderId="0"/>
    <xf numFmtId="0" fontId="56" fillId="21" borderId="0"/>
    <xf numFmtId="0" fontId="57" fillId="0" borderId="0"/>
    <xf numFmtId="0" fontId="58" fillId="0" borderId="0"/>
    <xf numFmtId="0" fontId="36" fillId="0" borderId="0"/>
    <xf numFmtId="0" fontId="3" fillId="0" borderId="0"/>
    <xf numFmtId="0" fontId="32" fillId="0" borderId="0"/>
    <xf numFmtId="0" fontId="32" fillId="0" borderId="0"/>
    <xf numFmtId="0" fontId="3" fillId="0" borderId="0"/>
    <xf numFmtId="0" fontId="3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00" fontId="60" fillId="0" borderId="0" applyFont="0" applyFill="0" applyBorder="0" applyAlignment="0" applyProtection="0"/>
    <xf numFmtId="201" fontId="60" fillId="0" borderId="0" applyFont="0" applyFill="0" applyBorder="0" applyAlignment="0" applyProtection="0"/>
    <xf numFmtId="202" fontId="60" fillId="0" borderId="0" applyFont="0" applyFill="0" applyBorder="0" applyAlignment="0" applyProtection="0"/>
    <xf numFmtId="203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1" fillId="0" borderId="0" applyFont="0" applyFill="0" applyBorder="0" applyAlignment="0" applyProtection="0"/>
    <xf numFmtId="0" fontId="62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06" fontId="63" fillId="23" borderId="21"/>
    <xf numFmtId="38" fontId="27" fillId="0" borderId="23">
      <alignment vertical="center"/>
    </xf>
    <xf numFmtId="0" fontId="27" fillId="0" borderId="0"/>
    <xf numFmtId="0" fontId="64" fillId="0" borderId="0" applyFont="0" applyFill="0" applyBorder="0" applyAlignment="0" applyProtection="0"/>
    <xf numFmtId="9" fontId="65" fillId="0" borderId="0" applyFont="0" applyFill="0" applyBorder="0" applyAlignment="0" applyProtection="0"/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7" fillId="29" borderId="0" applyNumberFormat="0" applyBorder="0" applyAlignment="0" applyProtection="0">
      <alignment vertical="center"/>
    </xf>
    <xf numFmtId="0" fontId="67" fillId="30" borderId="0" applyNumberFormat="0" applyBorder="0" applyAlignment="0" applyProtection="0">
      <alignment vertical="center"/>
    </xf>
    <xf numFmtId="0" fontId="67" fillId="31" borderId="0" applyNumberFormat="0" applyBorder="0" applyAlignment="0" applyProtection="0">
      <alignment vertical="center"/>
    </xf>
    <xf numFmtId="0" fontId="67" fillId="32" borderId="0" applyNumberFormat="0" applyBorder="0" applyAlignment="0" applyProtection="0">
      <alignment vertical="center"/>
    </xf>
    <xf numFmtId="0" fontId="67" fillId="28" borderId="0" applyNumberFormat="0" applyBorder="0" applyAlignment="0" applyProtection="0">
      <alignment vertical="center"/>
    </xf>
    <xf numFmtId="0" fontId="67" fillId="27" borderId="0" applyNumberFormat="0" applyBorder="0" applyAlignment="0" applyProtection="0">
      <alignment vertical="center"/>
    </xf>
    <xf numFmtId="207" fontId="68" fillId="0" borderId="0" applyFont="0" applyFill="0" applyBorder="0" applyAlignment="0" applyProtection="0"/>
    <xf numFmtId="208" fontId="4" fillId="0" borderId="0" applyFont="0" applyFill="0" applyBorder="0" applyAlignment="0" applyProtection="0"/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3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6" fillId="26" borderId="0" applyNumberFormat="0" applyBorder="0" applyAlignment="0" applyProtection="0">
      <alignment vertical="center"/>
    </xf>
    <xf numFmtId="0" fontId="67" fillId="24" borderId="0" applyNumberFormat="0" applyBorder="0" applyAlignment="0" applyProtection="0">
      <alignment vertical="center"/>
    </xf>
    <xf numFmtId="0" fontId="67" fillId="25" borderId="0" applyNumberFormat="0" applyBorder="0" applyAlignment="0" applyProtection="0">
      <alignment vertical="center"/>
    </xf>
    <xf numFmtId="0" fontId="67" fillId="34" borderId="0" applyNumberFormat="0" applyBorder="0" applyAlignment="0" applyProtection="0">
      <alignment vertical="center"/>
    </xf>
    <xf numFmtId="0" fontId="67" fillId="32" borderId="0" applyNumberFormat="0" applyBorder="0" applyAlignment="0" applyProtection="0">
      <alignment vertical="center"/>
    </xf>
    <xf numFmtId="0" fontId="67" fillId="24" borderId="0" applyNumberFormat="0" applyBorder="0" applyAlignment="0" applyProtection="0">
      <alignment vertical="center"/>
    </xf>
    <xf numFmtId="0" fontId="67" fillId="35" borderId="0" applyNumberFormat="0" applyBorder="0" applyAlignment="0" applyProtection="0">
      <alignment vertical="center"/>
    </xf>
    <xf numFmtId="40" fontId="38" fillId="0" borderId="0" applyFont="0" applyFill="0" applyBorder="0" applyAlignment="0" applyProtection="0"/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70" fillId="37" borderId="0" applyNumberFormat="0" applyBorder="0" applyAlignment="0" applyProtection="0">
      <alignment vertical="center"/>
    </xf>
    <xf numFmtId="0" fontId="70" fillId="25" borderId="0" applyNumberFormat="0" applyBorder="0" applyAlignment="0" applyProtection="0">
      <alignment vertical="center"/>
    </xf>
    <xf numFmtId="0" fontId="70" fillId="34" borderId="0" applyNumberFormat="0" applyBorder="0" applyAlignment="0" applyProtection="0">
      <alignment vertical="center"/>
    </xf>
    <xf numFmtId="0" fontId="70" fillId="38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0" fontId="70" fillId="40" borderId="0" applyNumberFormat="0" applyBorder="0" applyAlignment="0" applyProtection="0">
      <alignment vertical="center"/>
    </xf>
    <xf numFmtId="0" fontId="4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71" fillId="0" borderId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41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42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39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69" fillId="4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0" fontId="74" fillId="44" borderId="24" applyNumberFormat="0" applyAlignment="0" applyProtection="0">
      <alignment vertical="center"/>
    </xf>
    <xf numFmtId="209" fontId="4" fillId="0" borderId="22">
      <alignment vertical="center"/>
    </xf>
    <xf numFmtId="0" fontId="27" fillId="0" borderId="0"/>
    <xf numFmtId="21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211" fontId="27" fillId="0" borderId="0"/>
    <xf numFmtId="0" fontId="27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6" fillId="0" borderId="0"/>
    <xf numFmtId="0" fontId="77" fillId="0" borderId="0" applyFill="0" applyBorder="0" applyAlignment="0" applyProtection="0">
      <alignment horizontal="center" vertical="center"/>
    </xf>
    <xf numFmtId="212" fontId="3" fillId="0" borderId="18">
      <alignment horizontal="right" vertical="center" shrinkToFit="1"/>
    </xf>
    <xf numFmtId="212" fontId="3" fillId="0" borderId="18">
      <alignment horizontal="right" vertical="center" shrinkToFit="1"/>
    </xf>
    <xf numFmtId="212" fontId="3" fillId="0" borderId="18">
      <alignment horizontal="right" vertical="center" shrinkToFit="1"/>
    </xf>
    <xf numFmtId="212" fontId="3" fillId="0" borderId="18">
      <alignment horizontal="right" vertical="center" shrinkToFit="1"/>
    </xf>
    <xf numFmtId="212" fontId="3" fillId="0" borderId="18">
      <alignment horizontal="right" vertical="center" shrinkToFit="1"/>
    </xf>
    <xf numFmtId="212" fontId="3" fillId="0" borderId="18">
      <alignment horizontal="right" vertical="center" shrinkToFit="1"/>
    </xf>
    <xf numFmtId="0" fontId="78" fillId="0" borderId="0" applyNumberFormat="0" applyFill="0" applyBorder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79" fillId="32" borderId="0" applyNumberFormat="0" applyBorder="0" applyAlignment="0" applyProtection="0">
      <alignment vertical="center"/>
    </xf>
    <xf numFmtId="0" fontId="35" fillId="0" borderId="0">
      <protection locked="0"/>
    </xf>
    <xf numFmtId="0" fontId="35" fillId="0" borderId="0">
      <protection locked="0"/>
    </xf>
    <xf numFmtId="0" fontId="4" fillId="0" borderId="18" applyNumberFormat="0" applyBorder="0" applyAlignment="0">
      <alignment horizontal="center" vertical="center"/>
    </xf>
    <xf numFmtId="0" fontId="4" fillId="0" borderId="18" applyNumberFormat="0" applyBorder="0" applyAlignment="0">
      <alignment horizontal="center" vertical="center"/>
    </xf>
    <xf numFmtId="0" fontId="4" fillId="0" borderId="18" applyNumberFormat="0" applyBorder="0" applyAlignment="0">
      <alignment horizontal="center" vertical="center"/>
    </xf>
    <xf numFmtId="0" fontId="4" fillId="0" borderId="18" applyNumberFormat="0" applyBorder="0" applyAlignment="0">
      <alignment horizontal="center" vertical="center"/>
    </xf>
    <xf numFmtId="0" fontId="4" fillId="0" borderId="18" applyNumberFormat="0" applyBorder="0" applyAlignment="0">
      <alignment horizontal="center" vertical="center"/>
    </xf>
    <xf numFmtId="0" fontId="4" fillId="0" borderId="18" applyNumberFormat="0" applyBorder="0" applyAlignment="0">
      <alignment horizontal="center" vertical="center"/>
    </xf>
    <xf numFmtId="0" fontId="80" fillId="0" borderId="0" applyNumberFormat="0" applyFill="0" applyBorder="0" applyAlignment="0" applyProtection="0">
      <alignment vertical="top"/>
      <protection locked="0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7" fillId="26" borderId="25" applyNumberFormat="0" applyFont="0" applyAlignment="0" applyProtection="0">
      <alignment vertical="center"/>
    </xf>
    <xf numFmtId="0" fontId="20" fillId="0" borderId="18" applyFont="0" applyFill="0" applyBorder="0" applyAlignment="0">
      <alignment horizontal="center" vertical="center"/>
    </xf>
    <xf numFmtId="0" fontId="20" fillId="0" borderId="18" applyFont="0" applyFill="0" applyBorder="0" applyAlignment="0">
      <alignment horizontal="center" vertical="center"/>
    </xf>
    <xf numFmtId="0" fontId="20" fillId="0" borderId="18" applyFont="0" applyFill="0" applyBorder="0" applyAlignment="0">
      <alignment horizontal="center" vertical="center"/>
    </xf>
    <xf numFmtId="0" fontId="20" fillId="0" borderId="18" applyFont="0" applyFill="0" applyBorder="0" applyAlignment="0">
      <alignment horizontal="center" vertical="center"/>
    </xf>
    <xf numFmtId="0" fontId="20" fillId="0" borderId="18" applyFont="0" applyFill="0" applyBorder="0" applyAlignment="0">
      <alignment horizontal="center" vertical="center"/>
    </xf>
    <xf numFmtId="0" fontId="20" fillId="0" borderId="18" applyFont="0" applyFill="0" applyBorder="0" applyAlignment="0">
      <alignment horizontal="center" vertical="center"/>
    </xf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49" fontId="44" fillId="0" borderId="26">
      <alignment horizontal="center"/>
    </xf>
    <xf numFmtId="49" fontId="82" fillId="0" borderId="0">
      <alignment vertical="center"/>
    </xf>
    <xf numFmtId="213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0" fontId="83" fillId="0" borderId="0"/>
    <xf numFmtId="215" fontId="27" fillId="0" borderId="0"/>
    <xf numFmtId="216" fontId="72" fillId="0" borderId="0">
      <alignment vertical="center"/>
    </xf>
    <xf numFmtId="217" fontId="4" fillId="0" borderId="0"/>
    <xf numFmtId="9" fontId="3" fillId="0" borderId="0" applyFont="0" applyFill="0" applyBorder="0" applyAlignment="0" applyProtection="0">
      <alignment vertical="center"/>
    </xf>
    <xf numFmtId="218" fontId="4" fillId="0" borderId="27">
      <alignment horizontal="right" vertical="center"/>
    </xf>
    <xf numFmtId="219" fontId="84" fillId="0" borderId="18" applyFont="0" applyBorder="0" applyAlignment="0">
      <alignment horizontal="center" vertical="center"/>
    </xf>
    <xf numFmtId="219" fontId="84" fillId="0" borderId="18" applyFont="0" applyBorder="0" applyAlignment="0">
      <alignment horizontal="center" vertical="center"/>
    </xf>
    <xf numFmtId="219" fontId="84" fillId="0" borderId="18" applyFont="0" applyBorder="0" applyAlignment="0">
      <alignment horizontal="center" vertical="center"/>
    </xf>
    <xf numFmtId="219" fontId="84" fillId="0" borderId="18" applyFont="0" applyBorder="0" applyAlignment="0">
      <alignment horizontal="center" vertical="center"/>
    </xf>
    <xf numFmtId="219" fontId="84" fillId="0" borderId="18" applyFont="0" applyBorder="0" applyAlignment="0">
      <alignment horizontal="center" vertical="center"/>
    </xf>
    <xf numFmtId="219" fontId="84" fillId="0" borderId="18" applyFont="0" applyBorder="0" applyAlignment="0">
      <alignment horizontal="center"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62" fillId="0" borderId="0"/>
    <xf numFmtId="220" fontId="4" fillId="0" borderId="22">
      <alignment vertical="center"/>
    </xf>
    <xf numFmtId="0" fontId="31" fillId="0" borderId="0"/>
    <xf numFmtId="221" fontId="4" fillId="45" borderId="18" applyNumberFormat="0">
      <alignment vertical="center"/>
    </xf>
    <xf numFmtId="221" fontId="4" fillId="45" borderId="18" applyNumberFormat="0">
      <alignment vertical="center"/>
    </xf>
    <xf numFmtId="221" fontId="4" fillId="45" borderId="18" applyNumberFormat="0">
      <alignment vertical="center"/>
    </xf>
    <xf numFmtId="221" fontId="4" fillId="45" borderId="18" applyNumberFormat="0">
      <alignment vertical="center"/>
    </xf>
    <xf numFmtId="221" fontId="4" fillId="45" borderId="18" applyNumberFormat="0">
      <alignment vertical="center"/>
    </xf>
    <xf numFmtId="221" fontId="4" fillId="45" borderId="18" applyNumberFormat="0">
      <alignment vertical="center"/>
    </xf>
    <xf numFmtId="221" fontId="4" fillId="0" borderId="18">
      <alignment vertical="center"/>
    </xf>
    <xf numFmtId="221" fontId="4" fillId="0" borderId="18">
      <alignment vertical="center"/>
    </xf>
    <xf numFmtId="221" fontId="4" fillId="0" borderId="18">
      <alignment vertical="center"/>
    </xf>
    <xf numFmtId="221" fontId="4" fillId="0" borderId="18">
      <alignment vertical="center"/>
    </xf>
    <xf numFmtId="221" fontId="4" fillId="0" borderId="18">
      <alignment vertical="center"/>
    </xf>
    <xf numFmtId="221" fontId="4" fillId="0" borderId="18">
      <alignment vertical="center"/>
    </xf>
    <xf numFmtId="0" fontId="86" fillId="0" borderId="0">
      <alignment vertical="center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37" fontId="44" fillId="0" borderId="28" applyAlignment="0"/>
    <xf numFmtId="37" fontId="44" fillId="0" borderId="28" applyAlignment="0"/>
    <xf numFmtId="37" fontId="44" fillId="0" borderId="28" applyAlignment="0"/>
    <xf numFmtId="37" fontId="44" fillId="0" borderId="28" applyAlignment="0"/>
    <xf numFmtId="37" fontId="44" fillId="0" borderId="28" applyAlignment="0"/>
    <xf numFmtId="3" fontId="87" fillId="0" borderId="18"/>
    <xf numFmtId="3" fontId="87" fillId="0" borderId="18"/>
    <xf numFmtId="3" fontId="87" fillId="0" borderId="18"/>
    <xf numFmtId="3" fontId="87" fillId="0" borderId="18"/>
    <xf numFmtId="3" fontId="87" fillId="0" borderId="18"/>
    <xf numFmtId="3" fontId="87" fillId="0" borderId="18"/>
    <xf numFmtId="0" fontId="87" fillId="0" borderId="18"/>
    <xf numFmtId="0" fontId="87" fillId="0" borderId="18"/>
    <xf numFmtId="0" fontId="87" fillId="0" borderId="18"/>
    <xf numFmtId="0" fontId="87" fillId="0" borderId="18"/>
    <xf numFmtId="0" fontId="87" fillId="0" borderId="18"/>
    <xf numFmtId="0" fontId="87" fillId="0" borderId="18"/>
    <xf numFmtId="3" fontId="87" fillId="0" borderId="29"/>
    <xf numFmtId="3" fontId="87" fillId="0" borderId="30"/>
    <xf numFmtId="0" fontId="88" fillId="0" borderId="18"/>
    <xf numFmtId="0" fontId="88" fillId="0" borderId="18"/>
    <xf numFmtId="0" fontId="88" fillId="0" borderId="18"/>
    <xf numFmtId="0" fontId="88" fillId="0" borderId="18"/>
    <xf numFmtId="0" fontId="88" fillId="0" borderId="18"/>
    <xf numFmtId="0" fontId="88" fillId="0" borderId="18"/>
    <xf numFmtId="0" fontId="89" fillId="0" borderId="0">
      <alignment horizontal="center"/>
    </xf>
    <xf numFmtId="0" fontId="90" fillId="0" borderId="31">
      <alignment horizont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0" fontId="92" fillId="46" borderId="32" applyNumberFormat="0" applyAlignment="0" applyProtection="0">
      <alignment vertical="center"/>
    </xf>
    <xf numFmtId="195" fontId="4" fillId="0" borderId="0" applyFont="0" applyFill="0" applyBorder="0" applyAlignment="0" applyProtection="0"/>
    <xf numFmtId="0" fontId="93" fillId="0" borderId="0">
      <alignment vertical="center"/>
    </xf>
    <xf numFmtId="182" fontId="94" fillId="0" borderId="0">
      <alignment vertical="center"/>
    </xf>
    <xf numFmtId="184" fontId="52" fillId="0" borderId="0" applyFill="0" applyBorder="0" applyProtection="0">
      <alignment vertical="center"/>
    </xf>
    <xf numFmtId="41" fontId="52" fillId="0" borderId="33" applyFill="0" applyBorder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95" fillId="0" borderId="0" applyFont="0" applyFill="0" applyBorder="0" applyAlignment="0" applyProtection="0"/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22" fontId="2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2" fontId="2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2" fontId="2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2" fontId="2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7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0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3" fontId="3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3" fontId="3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3" fontId="3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3" fontId="3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7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4" fontId="96" fillId="0" borderId="22">
      <alignment vertical="center"/>
    </xf>
    <xf numFmtId="0" fontId="97" fillId="0" borderId="34"/>
    <xf numFmtId="225" fontId="27" fillId="0" borderId="0"/>
    <xf numFmtId="226" fontId="27" fillId="0" borderId="0"/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0" fontId="73" fillId="0" borderId="35" applyNumberFormat="0" applyFill="0" applyAlignment="0" applyProtection="0">
      <alignment vertical="center"/>
    </xf>
    <xf numFmtId="227" fontId="27" fillId="0" borderId="0"/>
    <xf numFmtId="228" fontId="98" fillId="0" borderId="0" applyFont="0" applyFill="0" applyBorder="0" applyAlignment="0" applyProtection="0"/>
    <xf numFmtId="229" fontId="98" fillId="0" borderId="0" applyFont="0" applyFill="0" applyBorder="0" applyAlignment="0" applyProtection="0"/>
    <xf numFmtId="0" fontId="32" fillId="0" borderId="0"/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0" fontId="99" fillId="0" borderId="36" applyNumberFormat="0" applyFill="0" applyAlignment="0" applyProtection="0">
      <alignment vertical="center"/>
    </xf>
    <xf numFmtId="230" fontId="4" fillId="0" borderId="0" applyFont="0" applyFill="0" applyBorder="0" applyAlignment="0" applyProtection="0"/>
    <xf numFmtId="230" fontId="4" fillId="0" borderId="0" applyFont="0" applyFill="0" applyBorder="0" applyAlignment="0" applyProtection="0"/>
    <xf numFmtId="231" fontId="32" fillId="0" borderId="0" applyFont="0" applyFill="0" applyBorder="0" applyProtection="0">
      <alignment horizontal="right"/>
    </xf>
    <xf numFmtId="232" fontId="4" fillId="0" borderId="0" applyBorder="0" applyAlignment="0">
      <alignment horizontal="right"/>
    </xf>
    <xf numFmtId="0" fontId="27" fillId="0" borderId="0" applyFont="0" applyFill="0" applyBorder="0" applyAlignment="0" applyProtection="0"/>
    <xf numFmtId="0" fontId="50" fillId="0" borderId="0"/>
    <xf numFmtId="0" fontId="100" fillId="0" borderId="0"/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0" fontId="101" fillId="33" borderId="24" applyNumberFormat="0" applyAlignment="0" applyProtection="0">
      <alignment vertical="center"/>
    </xf>
    <xf numFmtId="4" fontId="35" fillId="0" borderId="0">
      <protection locked="0"/>
    </xf>
    <xf numFmtId="0" fontId="27" fillId="0" borderId="0"/>
    <xf numFmtId="0" fontId="27" fillId="0" borderId="0"/>
    <xf numFmtId="4" fontId="35" fillId="0" borderId="0">
      <protection locked="0"/>
    </xf>
    <xf numFmtId="233" fontId="35" fillId="0" borderId="0">
      <protection locked="0"/>
    </xf>
    <xf numFmtId="234" fontId="27" fillId="0" borderId="0">
      <alignment horizontal="center" vertical="center"/>
    </xf>
    <xf numFmtId="235" fontId="96" fillId="0" borderId="22">
      <alignment vertical="center"/>
    </xf>
    <xf numFmtId="236" fontId="27" fillId="0" borderId="0"/>
    <xf numFmtId="237" fontId="27" fillId="0" borderId="0"/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2" fillId="0" borderId="37" applyNumberFormat="0" applyFill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4" fillId="0" borderId="38" applyNumberFormat="0" applyFill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5" fillId="0" borderId="39" applyNumberFormat="0" applyFill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238" fontId="27" fillId="0" borderId="18">
      <alignment horizontal="left" vertical="center"/>
    </xf>
    <xf numFmtId="238" fontId="27" fillId="0" borderId="18">
      <alignment horizontal="left" vertical="center"/>
    </xf>
    <xf numFmtId="238" fontId="27" fillId="0" borderId="18">
      <alignment horizontal="left" vertical="center"/>
    </xf>
    <xf numFmtId="238" fontId="27" fillId="0" borderId="18">
      <alignment horizontal="left" vertical="center"/>
    </xf>
    <xf numFmtId="238" fontId="27" fillId="0" borderId="18">
      <alignment horizontal="left" vertical="center"/>
    </xf>
    <xf numFmtId="238" fontId="27" fillId="0" borderId="18">
      <alignment horizontal="left" vertical="center"/>
    </xf>
    <xf numFmtId="239" fontId="3" fillId="0" borderId="0" applyFill="0" applyBorder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72" fillId="0" borderId="0" applyFont="0" applyFill="0" applyBorder="0" applyAlignment="0" applyProtection="0"/>
    <xf numFmtId="240" fontId="50" fillId="0" borderId="0">
      <alignment horizontal="right" vertical="center"/>
    </xf>
    <xf numFmtId="0" fontId="62" fillId="0" borderId="0" applyFont="0" applyFill="0" applyBorder="0" applyAlignment="0" applyProtection="0"/>
    <xf numFmtId="0" fontId="107" fillId="0" borderId="0" applyFont="0" applyFill="0" applyBorder="0" applyAlignment="0" applyProtection="0"/>
    <xf numFmtId="181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108" fillId="0" borderId="0" applyNumberFormat="0" applyFill="0" applyBorder="0" applyAlignment="0" applyProtection="0">
      <alignment vertical="top"/>
      <protection locked="0"/>
    </xf>
    <xf numFmtId="241" fontId="3" fillId="0" borderId="40" applyNumberFormat="0" applyFill="0" applyBorder="0" applyAlignment="0" applyProtection="0">
      <alignment horizontal="left" vertical="top"/>
    </xf>
    <xf numFmtId="241" fontId="3" fillId="0" borderId="40">
      <alignment horizontal="left" vertical="top"/>
    </xf>
    <xf numFmtId="241" fontId="3" fillId="0" borderId="40">
      <alignment horizontal="left" vertical="top"/>
    </xf>
    <xf numFmtId="0" fontId="72" fillId="0" borderId="0" applyFont="0" applyFill="0" applyBorder="0" applyAlignment="0" applyProtection="0"/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0" fontId="109" fillId="44" borderId="41" applyNumberFormat="0" applyAlignment="0" applyProtection="0">
      <alignment vertical="center"/>
    </xf>
    <xf numFmtId="242" fontId="27" fillId="0" borderId="0"/>
    <xf numFmtId="38" fontId="27" fillId="0" borderId="0" applyFont="0" applyFill="0" applyBorder="0" applyAlignment="0" applyProtection="0"/>
    <xf numFmtId="243" fontId="110" fillId="0" borderId="20"/>
    <xf numFmtId="244" fontId="110" fillId="0" borderId="0"/>
    <xf numFmtId="243" fontId="110" fillId="0" borderId="0"/>
    <xf numFmtId="245" fontId="27" fillId="0" borderId="42">
      <alignment vertical="center"/>
    </xf>
    <xf numFmtId="0" fontId="72" fillId="0" borderId="0" applyFont="0" applyFill="0" applyBorder="0" applyAlignment="0" applyProtection="0"/>
    <xf numFmtId="0" fontId="72" fillId="0" borderId="0"/>
    <xf numFmtId="0" fontId="27" fillId="0" borderId="0" applyFont="0" applyFill="0" applyBorder="0" applyAlignment="0" applyProtection="0"/>
    <xf numFmtId="246" fontId="4" fillId="0" borderId="26">
      <alignment horizontal="left"/>
    </xf>
    <xf numFmtId="247" fontId="3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8" fillId="0" borderId="0" applyFont="0" applyFill="0" applyBorder="0" applyAlignment="0" applyProtection="0"/>
    <xf numFmtId="248" fontId="3" fillId="0" borderId="0" applyFont="0" applyFill="0" applyBorder="0" applyAlignment="0" applyProtection="0"/>
    <xf numFmtId="0" fontId="3" fillId="0" borderId="0"/>
    <xf numFmtId="249" fontId="98" fillId="0" borderId="0" applyFont="0" applyFill="0" applyBorder="0" applyAlignment="0" applyProtection="0"/>
    <xf numFmtId="250" fontId="98" fillId="0" borderId="0" applyFont="0" applyFill="0" applyBorder="0" applyAlignment="0" applyProtection="0"/>
    <xf numFmtId="251" fontId="35" fillId="0" borderId="0">
      <protection locked="0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112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113" fillId="0" borderId="0">
      <alignment vertical="center"/>
    </xf>
    <xf numFmtId="0" fontId="4" fillId="0" borderId="0" applyNumberFormat="0" applyFill="0" applyBorder="0" applyAlignment="0" applyProtection="0"/>
    <xf numFmtId="0" fontId="28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3" fillId="0" borderId="0"/>
    <xf numFmtId="0" fontId="3" fillId="0" borderId="0"/>
    <xf numFmtId="0" fontId="6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6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6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6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6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6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6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95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14" fillId="0" borderId="0"/>
    <xf numFmtId="0" fontId="115" fillId="0" borderId="0" applyNumberFormat="0" applyFill="0" applyBorder="0" applyAlignment="0" applyProtection="0">
      <alignment vertical="top"/>
      <protection locked="0"/>
    </xf>
    <xf numFmtId="0" fontId="116" fillId="0" borderId="0">
      <alignment vertical="center"/>
    </xf>
    <xf numFmtId="0" fontId="35" fillId="0" borderId="43">
      <protection locked="0"/>
    </xf>
    <xf numFmtId="252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253" fontId="3" fillId="0" borderId="0" applyFont="0" applyFill="0" applyBorder="0" applyAlignment="0" applyProtection="0"/>
    <xf numFmtId="254" fontId="3" fillId="0" borderId="0" applyFont="0" applyFill="0" applyBorder="0" applyAlignment="0" applyProtection="0"/>
    <xf numFmtId="255" fontId="35" fillId="0" borderId="0">
      <protection locked="0"/>
    </xf>
    <xf numFmtId="256" fontId="35" fillId="0" borderId="0">
      <protection locked="0"/>
    </xf>
    <xf numFmtId="0" fontId="117" fillId="0" borderId="44">
      <alignment horizontal="left"/>
    </xf>
    <xf numFmtId="0" fontId="5" fillId="0" borderId="45" applyNumberFormat="0" applyFont="0" applyFill="0" applyProtection="0">
      <alignment horizontal="center" vertical="center" wrapText="1"/>
    </xf>
    <xf numFmtId="0" fontId="5" fillId="0" borderId="45" applyNumberFormat="0" applyFont="0" applyFill="0" applyProtection="0">
      <alignment horizontal="center" vertical="center" wrapText="1"/>
    </xf>
    <xf numFmtId="0" fontId="5" fillId="0" borderId="45" applyNumberFormat="0" applyFont="0" applyFill="0" applyProtection="0">
      <alignment horizontal="center" vertical="center" wrapText="1"/>
    </xf>
    <xf numFmtId="0" fontId="5" fillId="0" borderId="45" applyNumberFormat="0" applyFont="0" applyFill="0" applyProtection="0">
      <alignment horizontal="center" vertical="center" wrapText="1"/>
    </xf>
    <xf numFmtId="0" fontId="116" fillId="0" borderId="0">
      <alignment vertical="center"/>
    </xf>
    <xf numFmtId="9" fontId="98" fillId="0" borderId="0" applyFont="0" applyFill="0" applyBorder="0" applyAlignment="0" applyProtection="0"/>
    <xf numFmtId="257" fontId="62" fillId="0" borderId="0" applyFont="0" applyFill="0" applyBorder="0" applyAlignment="0" applyProtection="0"/>
    <xf numFmtId="258" fontId="62" fillId="0" borderId="0" applyFont="0" applyFill="0" applyBorder="0" applyAlignment="0" applyProtection="0"/>
    <xf numFmtId="0" fontId="98" fillId="0" borderId="0"/>
    <xf numFmtId="41" fontId="118" fillId="0" borderId="0" applyFont="0" applyFill="0" applyBorder="0" applyAlignment="0" applyProtection="0"/>
    <xf numFmtId="43" fontId="118" fillId="0" borderId="0" applyFont="0" applyFill="0" applyBorder="0" applyAlignment="0" applyProtection="0"/>
    <xf numFmtId="245" fontId="119" fillId="0" borderId="0" applyFont="0" applyFill="0" applyBorder="0" applyAlignment="0" applyProtection="0"/>
    <xf numFmtId="41" fontId="120" fillId="0" borderId="0" applyFont="0" applyFill="0" applyBorder="0" applyAlignment="0" applyProtection="0"/>
    <xf numFmtId="0" fontId="72" fillId="0" borderId="0" applyFont="0" applyFill="0" applyBorder="0" applyAlignment="0" applyProtection="0"/>
    <xf numFmtId="259" fontId="119" fillId="0" borderId="0" applyFont="0" applyFill="0" applyBorder="0" applyAlignment="0" applyProtection="0"/>
    <xf numFmtId="43" fontId="120" fillId="0" borderId="0" applyFont="0" applyFill="0" applyBorder="0" applyAlignment="0" applyProtection="0"/>
    <xf numFmtId="0" fontId="121" fillId="0" borderId="0" applyFont="0" applyFill="0" applyBorder="0" applyAlignment="0" applyProtection="0"/>
    <xf numFmtId="0" fontId="70" fillId="47" borderId="0" applyNumberFormat="0" applyBorder="0" applyAlignment="0" applyProtection="0">
      <alignment vertical="center"/>
    </xf>
    <xf numFmtId="0" fontId="70" fillId="43" borderId="0" applyNumberFormat="0" applyBorder="0" applyAlignment="0" applyProtection="0">
      <alignment vertical="center"/>
    </xf>
    <xf numFmtId="0" fontId="70" fillId="48" borderId="0" applyNumberFormat="0" applyBorder="0" applyAlignment="0" applyProtection="0">
      <alignment vertical="center"/>
    </xf>
    <xf numFmtId="0" fontId="70" fillId="38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0" fontId="70" fillId="36" borderId="0" applyNumberFormat="0" applyBorder="0" applyAlignment="0" applyProtection="0">
      <alignment vertical="center"/>
    </xf>
    <xf numFmtId="0" fontId="36" fillId="0" borderId="0" applyNumberFormat="0" applyAlignment="0"/>
    <xf numFmtId="260" fontId="122" fillId="49" borderId="46">
      <alignment horizontal="center" vertical="center"/>
    </xf>
    <xf numFmtId="0" fontId="35" fillId="0" borderId="0">
      <protection locked="0"/>
    </xf>
    <xf numFmtId="187" fontId="65" fillId="0" borderId="0" applyFont="0" applyFill="0" applyBorder="0" applyAlignment="0" applyProtection="0"/>
    <xf numFmtId="0" fontId="123" fillId="0" borderId="0" applyFont="0" applyFill="0" applyBorder="0" applyAlignment="0" applyProtection="0"/>
    <xf numFmtId="248" fontId="124" fillId="0" borderId="0" applyFont="0" applyFill="0" applyBorder="0" applyAlignment="0" applyProtection="0"/>
    <xf numFmtId="42" fontId="33" fillId="0" borderId="0" applyFont="0" applyFill="0" applyBorder="0" applyAlignment="0" applyProtection="0"/>
    <xf numFmtId="37" fontId="125" fillId="0" borderId="0" applyFont="0" applyFill="0" applyBorder="0" applyAlignment="0" applyProtection="0"/>
    <xf numFmtId="0" fontId="122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23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123" fillId="0" borderId="0" applyFont="0" applyFill="0" applyBorder="0" applyAlignment="0" applyProtection="0"/>
    <xf numFmtId="0" fontId="126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27" fillId="0" borderId="0" applyFont="0" applyFill="0" applyBorder="0" applyAlignment="0" applyProtection="0"/>
    <xf numFmtId="195" fontId="124" fillId="0" borderId="0" applyFont="0" applyFill="0" applyBorder="0" applyAlignment="0" applyProtection="0"/>
    <xf numFmtId="0" fontId="128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123" fillId="0" borderId="0" applyFont="0" applyFill="0" applyBorder="0" applyAlignment="0" applyProtection="0"/>
    <xf numFmtId="261" fontId="3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125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125" fillId="0" borderId="0" applyFont="0" applyFill="0" applyBorder="0" applyAlignment="0" applyProtection="0"/>
    <xf numFmtId="192" fontId="27" fillId="0" borderId="0" applyFont="0" applyFill="0" applyBorder="0" applyAlignment="0" applyProtection="0"/>
    <xf numFmtId="0" fontId="35" fillId="0" borderId="0">
      <protection locked="0"/>
    </xf>
    <xf numFmtId="262" fontId="65" fillId="0" borderId="0" applyFont="0" applyFill="0" applyBorder="0" applyAlignment="0" applyProtection="0"/>
    <xf numFmtId="0" fontId="123" fillId="0" borderId="0" applyFont="0" applyFill="0" applyBorder="0" applyAlignment="0" applyProtection="0"/>
    <xf numFmtId="247" fontId="124" fillId="0" borderId="0" applyFont="0" applyFill="0" applyBorder="0" applyAlignment="0" applyProtection="0"/>
    <xf numFmtId="44" fontId="33" fillId="0" borderId="0" applyFont="0" applyFill="0" applyBorder="0" applyAlignment="0" applyProtection="0"/>
    <xf numFmtId="37" fontId="125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123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123" fillId="0" borderId="0" applyFont="0" applyFill="0" applyBorder="0" applyAlignment="0" applyProtection="0"/>
    <xf numFmtId="0" fontId="126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27" fillId="0" borderId="0" applyFont="0" applyFill="0" applyBorder="0" applyAlignment="0" applyProtection="0"/>
    <xf numFmtId="192" fontId="124" fillId="0" borderId="0" applyFont="0" applyFill="0" applyBorder="0" applyAlignment="0" applyProtection="0"/>
    <xf numFmtId="0" fontId="128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123" fillId="0" borderId="0" applyFont="0" applyFill="0" applyBorder="0" applyAlignment="0" applyProtection="0"/>
    <xf numFmtId="263" fontId="3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125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125" fillId="0" borderId="0" applyFont="0" applyFill="0" applyBorder="0" applyAlignment="0" applyProtection="0"/>
    <xf numFmtId="0" fontId="27" fillId="0" borderId="0" applyFont="0" applyFill="0" applyBorder="0" applyAlignment="0" applyProtection="0"/>
    <xf numFmtId="42" fontId="118" fillId="0" borderId="0" applyFont="0" applyFill="0" applyBorder="0" applyAlignment="0" applyProtection="0"/>
    <xf numFmtId="44" fontId="118" fillId="0" borderId="0" applyFont="0" applyFill="0" applyBorder="0" applyAlignment="0" applyProtection="0"/>
    <xf numFmtId="42" fontId="120" fillId="0" borderId="0" applyFont="0" applyFill="0" applyBorder="0" applyAlignment="0" applyProtection="0"/>
    <xf numFmtId="44" fontId="120" fillId="0" borderId="0" applyFont="0" applyFill="0" applyBorder="0" applyAlignment="0" applyProtection="0"/>
    <xf numFmtId="195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/>
    <xf numFmtId="37" fontId="130" fillId="50" borderId="47" applyBorder="0" applyProtection="0">
      <alignment vertical="center"/>
    </xf>
    <xf numFmtId="37" fontId="130" fillId="50" borderId="47" applyBorder="0" applyProtection="0">
      <alignment vertical="center"/>
    </xf>
    <xf numFmtId="0" fontId="131" fillId="0" borderId="0">
      <alignment horizontal="center" wrapText="1"/>
      <protection locked="0"/>
    </xf>
    <xf numFmtId="0" fontId="123" fillId="0" borderId="0" applyFont="0" applyFill="0" applyBorder="0" applyAlignment="0" applyProtection="0"/>
    <xf numFmtId="0" fontId="123" fillId="0" borderId="0" applyFont="0" applyFill="0" applyBorder="0" applyAlignment="0" applyProtection="0"/>
    <xf numFmtId="245" fontId="132" fillId="0" borderId="0" applyFont="0" applyFill="0" applyBorder="0" applyAlignment="0" applyProtection="0"/>
    <xf numFmtId="245" fontId="133" fillId="0" borderId="0" applyFont="0" applyFill="0" applyBorder="0" applyAlignment="0" applyProtection="0"/>
    <xf numFmtId="41" fontId="33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124" fillId="0" borderId="0" applyFont="0" applyFill="0" applyBorder="0" applyAlignment="0" applyProtection="0"/>
    <xf numFmtId="0" fontId="33" fillId="0" borderId="0" applyFont="0" applyFill="0" applyBorder="0" applyAlignment="0" applyProtection="0"/>
    <xf numFmtId="245" fontId="124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0" applyFont="0" applyFill="0" applyBorder="0" applyAlignment="0" applyProtection="0"/>
    <xf numFmtId="245" fontId="33" fillId="0" borderId="0" applyFont="0" applyFill="0" applyBorder="0" applyAlignment="0" applyProtection="0"/>
    <xf numFmtId="183" fontId="65" fillId="0" borderId="0" applyFont="0" applyFill="0" applyBorder="0" applyAlignment="0" applyProtection="0"/>
    <xf numFmtId="252" fontId="124" fillId="0" borderId="0" applyFont="0" applyFill="0" applyBorder="0" applyAlignment="0" applyProtection="0"/>
    <xf numFmtId="43" fontId="33" fillId="0" borderId="0" applyFont="0" applyFill="0" applyBorder="0" applyAlignment="0" applyProtection="0"/>
    <xf numFmtId="37" fontId="125" fillId="0" borderId="0" applyFont="0" applyFill="0" applyBorder="0" applyAlignment="0" applyProtection="0"/>
    <xf numFmtId="0" fontId="124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126" fillId="0" borderId="0" applyFont="0" applyFill="0" applyBorder="0" applyAlignment="0" applyProtection="0"/>
    <xf numFmtId="0" fontId="34" fillId="0" borderId="0" applyFont="0" applyFill="0" applyBorder="0" applyAlignment="0" applyProtection="0"/>
    <xf numFmtId="259" fontId="124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0" applyFont="0" applyFill="0" applyBorder="0" applyAlignment="0" applyProtection="0"/>
    <xf numFmtId="259" fontId="33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134" fillId="30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top"/>
      <protection locked="0"/>
    </xf>
    <xf numFmtId="0" fontId="136" fillId="0" borderId="0" applyNumberFormat="0" applyFill="0" applyBorder="0" applyAlignment="0" applyProtection="0"/>
    <xf numFmtId="0" fontId="137" fillId="2" borderId="0" applyBorder="0">
      <alignment horizontal="left" vertical="center" indent="1"/>
    </xf>
    <xf numFmtId="264" fontId="45" fillId="0" borderId="28" applyAlignment="0" applyProtection="0"/>
    <xf numFmtId="264" fontId="45" fillId="0" borderId="28" applyAlignment="0" applyProtection="0"/>
    <xf numFmtId="264" fontId="45" fillId="0" borderId="28" applyAlignment="0" applyProtection="0"/>
    <xf numFmtId="264" fontId="45" fillId="0" borderId="28" applyAlignment="0" applyProtection="0"/>
    <xf numFmtId="264" fontId="45" fillId="0" borderId="28" applyAlignment="0" applyProtection="0"/>
    <xf numFmtId="265" fontId="138" fillId="0" borderId="0"/>
    <xf numFmtId="265" fontId="138" fillId="0" borderId="0"/>
    <xf numFmtId="0" fontId="118" fillId="0" borderId="0"/>
    <xf numFmtId="0" fontId="139" fillId="0" borderId="0"/>
    <xf numFmtId="0" fontId="121" fillId="0" borderId="0"/>
    <xf numFmtId="0" fontId="120" fillId="0" borderId="0"/>
    <xf numFmtId="0" fontId="121" fillId="0" borderId="0"/>
    <xf numFmtId="0" fontId="140" fillId="0" borderId="0"/>
    <xf numFmtId="0" fontId="124" fillId="0" borderId="0"/>
    <xf numFmtId="0" fontId="33" fillId="0" borderId="0"/>
    <xf numFmtId="0" fontId="125" fillId="0" borderId="0"/>
    <xf numFmtId="0" fontId="34" fillId="0" borderId="0"/>
    <xf numFmtId="0" fontId="129" fillId="0" borderId="0"/>
    <xf numFmtId="0" fontId="129" fillId="0" borderId="0"/>
    <xf numFmtId="0" fontId="124" fillId="0" borderId="0"/>
    <xf numFmtId="0" fontId="141" fillId="0" borderId="0"/>
    <xf numFmtId="0" fontId="124" fillId="0" borderId="0"/>
    <xf numFmtId="0" fontId="65" fillId="0" borderId="0"/>
    <xf numFmtId="49" fontId="124" fillId="0" borderId="0" applyBorder="0"/>
    <xf numFmtId="0" fontId="142" fillId="0" borderId="0"/>
    <xf numFmtId="0" fontId="141" fillId="0" borderId="0" applyNumberFormat="0"/>
    <xf numFmtId="0" fontId="128" fillId="0" borderId="0"/>
    <xf numFmtId="0" fontId="124" fillId="0" borderId="0"/>
    <xf numFmtId="0" fontId="65" fillId="0" borderId="0"/>
    <xf numFmtId="0" fontId="129" fillId="0" borderId="0"/>
    <xf numFmtId="0" fontId="129" fillId="0" borderId="0"/>
    <xf numFmtId="0" fontId="129" fillId="0" borderId="0"/>
    <xf numFmtId="0" fontId="34" fillId="0" borderId="0"/>
    <xf numFmtId="0" fontId="124" fillId="0" borderId="0"/>
    <xf numFmtId="0" fontId="33" fillId="0" borderId="0"/>
    <xf numFmtId="0" fontId="124" fillId="0" borderId="0"/>
    <xf numFmtId="0" fontId="65" fillId="0" borderId="0"/>
    <xf numFmtId="0" fontId="4" fillId="0" borderId="0"/>
    <xf numFmtId="0" fontId="132" fillId="0" borderId="0"/>
    <xf numFmtId="0" fontId="133" fillId="0" borderId="0"/>
    <xf numFmtId="0" fontId="132" fillId="0" borderId="0"/>
    <xf numFmtId="0" fontId="133" fillId="0" borderId="0"/>
    <xf numFmtId="0" fontId="65" fillId="0" borderId="0"/>
    <xf numFmtId="0" fontId="129" fillId="0" borderId="0"/>
    <xf numFmtId="0" fontId="128" fillId="0" borderId="0"/>
    <xf numFmtId="0" fontId="124" fillId="0" borderId="0"/>
    <xf numFmtId="0" fontId="124" fillId="0" borderId="0"/>
    <xf numFmtId="0" fontId="124" fillId="0" borderId="0"/>
    <xf numFmtId="0" fontId="128" fillId="0" borderId="0"/>
    <xf numFmtId="0" fontId="124" fillId="0" borderId="0"/>
    <xf numFmtId="0" fontId="128" fillId="0" borderId="0"/>
    <xf numFmtId="0" fontId="124" fillId="0" borderId="0"/>
    <xf numFmtId="0" fontId="128" fillId="0" borderId="0"/>
    <xf numFmtId="0" fontId="124" fillId="0" borderId="0"/>
    <xf numFmtId="0" fontId="128" fillId="0" borderId="0"/>
    <xf numFmtId="0" fontId="124" fillId="0" borderId="0"/>
    <xf numFmtId="0" fontId="128" fillId="0" borderId="0"/>
    <xf numFmtId="0" fontId="124" fillId="0" borderId="0"/>
    <xf numFmtId="0" fontId="128" fillId="0" borderId="0"/>
    <xf numFmtId="0" fontId="124" fillId="0" borderId="0"/>
    <xf numFmtId="0" fontId="143" fillId="0" borderId="0"/>
    <xf numFmtId="0" fontId="4" fillId="0" borderId="0" applyFill="0" applyBorder="0" applyAlignment="0"/>
    <xf numFmtId="266" fontId="3" fillId="0" borderId="0" applyFill="0" applyBorder="0" applyAlignment="0"/>
    <xf numFmtId="267" fontId="3" fillId="0" borderId="0" applyFill="0" applyBorder="0" applyAlignment="0"/>
    <xf numFmtId="268" fontId="3" fillId="0" borderId="0" applyFill="0" applyBorder="0" applyAlignment="0"/>
    <xf numFmtId="269" fontId="3" fillId="0" borderId="0" applyFill="0" applyBorder="0" applyAlignment="0"/>
    <xf numFmtId="270" fontId="3" fillId="0" borderId="0" applyFill="0" applyBorder="0" applyAlignment="0"/>
    <xf numFmtId="271" fontId="3" fillId="0" borderId="0" applyFill="0" applyBorder="0" applyAlignment="0"/>
    <xf numFmtId="266" fontId="3" fillId="0" borderId="0" applyFill="0" applyBorder="0" applyAlignment="0"/>
    <xf numFmtId="0" fontId="144" fillId="23" borderId="24" applyNumberFormat="0" applyAlignment="0" applyProtection="0">
      <alignment vertical="center"/>
    </xf>
    <xf numFmtId="0" fontId="144" fillId="23" borderId="24" applyNumberFormat="0" applyAlignment="0" applyProtection="0">
      <alignment vertical="center"/>
    </xf>
    <xf numFmtId="0" fontId="144" fillId="23" borderId="24" applyNumberFormat="0" applyAlignment="0" applyProtection="0">
      <alignment vertical="center"/>
    </xf>
    <xf numFmtId="0" fontId="144" fillId="23" borderId="24" applyNumberFormat="0" applyAlignment="0" applyProtection="0">
      <alignment vertical="center"/>
    </xf>
    <xf numFmtId="0" fontId="145" fillId="0" borderId="0"/>
    <xf numFmtId="0" fontId="146" fillId="46" borderId="32" applyNumberFormat="0" applyAlignment="0" applyProtection="0">
      <alignment vertical="center"/>
    </xf>
    <xf numFmtId="0" fontId="29" fillId="0" borderId="0">
      <alignment vertical="center"/>
    </xf>
    <xf numFmtId="9" fontId="119" fillId="0" borderId="0" applyFont="0" applyFill="0" applyBorder="0" applyAlignment="0" applyProtection="0"/>
    <xf numFmtId="0" fontId="147" fillId="16" borderId="48">
      <alignment horizontal="center" wrapText="1"/>
    </xf>
    <xf numFmtId="0" fontId="54" fillId="51" borderId="49" applyNumberFormat="0" applyBorder="0" applyAlignment="0">
      <alignment horizontal="left" wrapText="1"/>
    </xf>
    <xf numFmtId="0" fontId="148" fillId="0" borderId="50">
      <alignment horizontal="center"/>
    </xf>
    <xf numFmtId="272" fontId="27" fillId="0" borderId="0"/>
    <xf numFmtId="272" fontId="27" fillId="0" borderId="0"/>
    <xf numFmtId="272" fontId="27" fillId="0" borderId="0"/>
    <xf numFmtId="272" fontId="27" fillId="0" borderId="0"/>
    <xf numFmtId="272" fontId="27" fillId="0" borderId="0"/>
    <xf numFmtId="272" fontId="27" fillId="0" borderId="0"/>
    <xf numFmtId="272" fontId="27" fillId="0" borderId="0"/>
    <xf numFmtId="272" fontId="27" fillId="0" borderId="0"/>
    <xf numFmtId="273" fontId="71" fillId="0" borderId="0" applyFont="0" applyFill="0" applyBorder="0" applyAlignment="0"/>
    <xf numFmtId="274" fontId="46" fillId="0" borderId="0" applyFont="0" applyFill="0" applyBorder="0" applyAlignment="0" applyProtection="0"/>
    <xf numFmtId="38" fontId="38" fillId="0" borderId="0" applyFont="0" applyFill="0" applyBorder="0" applyAlignment="0" applyProtection="0"/>
    <xf numFmtId="270" fontId="3" fillId="0" borderId="0" applyFont="0" applyFill="0" applyBorder="0" applyAlignment="0" applyProtection="0"/>
    <xf numFmtId="275" fontId="149" fillId="0" borderId="0" applyFont="0" applyFill="0" applyBorder="0" applyAlignment="0" applyProtection="0"/>
    <xf numFmtId="38" fontId="3" fillId="52" borderId="0" applyFont="0" applyFill="0" applyBorder="0" applyAlignment="0" applyProtection="0"/>
    <xf numFmtId="40" fontId="3" fillId="52" borderId="0" applyFont="0" applyFill="0" applyBorder="0" applyAlignment="0" applyProtection="0"/>
    <xf numFmtId="259" fontId="3" fillId="0" borderId="0" applyFont="0" applyFill="0" applyBorder="0" applyAlignment="0" applyProtection="0"/>
    <xf numFmtId="0" fontId="150" fillId="0" borderId="0" applyNumberFormat="0" applyFill="0" applyBorder="0" applyAlignment="0" applyProtection="0"/>
    <xf numFmtId="0" fontId="151" fillId="0" borderId="0" applyNumberFormat="0" applyAlignment="0">
      <alignment horizontal="left"/>
    </xf>
    <xf numFmtId="0" fontId="152" fillId="0" borderId="0" applyNumberFormat="0" applyAlignment="0"/>
    <xf numFmtId="0" fontId="27" fillId="0" borderId="0" applyFont="0" applyFill="0" applyBorder="0" applyAlignment="0" applyProtection="0"/>
    <xf numFmtId="0" fontId="29" fillId="0" borderId="0" applyFont="0" applyFill="0" applyBorder="0" applyAlignment="0" applyProtection="0"/>
    <xf numFmtId="276" fontId="46" fillId="0" borderId="0" applyFont="0" applyFill="0" applyBorder="0" applyAlignment="0" applyProtection="0"/>
    <xf numFmtId="247" fontId="46" fillId="0" borderId="0" applyFont="0" applyFill="0" applyBorder="0" applyAlignment="0" applyProtection="0"/>
    <xf numFmtId="277" fontId="46" fillId="0" borderId="0" applyFont="0" applyFill="0" applyBorder="0" applyAlignment="0"/>
    <xf numFmtId="278" fontId="38" fillId="0" borderId="0" applyFont="0" applyFill="0" applyBorder="0" applyAlignment="0" applyProtection="0"/>
    <xf numFmtId="0" fontId="36" fillId="0" borderId="0" applyFont="0" applyFill="0" applyBorder="0" applyAlignment="0" applyProtection="0"/>
    <xf numFmtId="266" fontId="3" fillId="0" borderId="0" applyFont="0" applyFill="0" applyBorder="0" applyAlignment="0" applyProtection="0"/>
    <xf numFmtId="279" fontId="60" fillId="0" borderId="0" applyFont="0" applyFill="0" applyBorder="0" applyAlignment="0" applyProtection="0"/>
    <xf numFmtId="252" fontId="90" fillId="0" borderId="51">
      <protection locked="0"/>
    </xf>
    <xf numFmtId="252" fontId="90" fillId="0" borderId="51">
      <protection locked="0"/>
    </xf>
    <xf numFmtId="252" fontId="90" fillId="0" borderId="51">
      <protection locked="0"/>
    </xf>
    <xf numFmtId="252" fontId="90" fillId="0" borderId="51">
      <protection locked="0"/>
    </xf>
    <xf numFmtId="0" fontId="3" fillId="52" borderId="0" applyFont="0" applyFill="0" applyBorder="0" applyAlignment="0" applyProtection="0"/>
    <xf numFmtId="0" fontId="3" fillId="52" borderId="0" applyFont="0" applyFill="0" applyBorder="0" applyAlignment="0" applyProtection="0"/>
    <xf numFmtId="280" fontId="46" fillId="0" borderId="0" applyFont="0" applyFill="0" applyBorder="0" applyAlignment="0" applyProtection="0"/>
    <xf numFmtId="281" fontId="46" fillId="0" borderId="0" applyFont="0" applyFill="0" applyBorder="0" applyAlignment="0" applyProtection="0"/>
    <xf numFmtId="282" fontId="27" fillId="0" borderId="18" applyFill="0" applyBorder="0" applyAlignment="0"/>
    <xf numFmtId="282" fontId="27" fillId="0" borderId="18" applyFill="0" applyBorder="0" applyAlignment="0"/>
    <xf numFmtId="282" fontId="27" fillId="0" borderId="18" applyFill="0" applyBorder="0" applyAlignment="0"/>
    <xf numFmtId="282" fontId="27" fillId="0" borderId="18" applyFill="0" applyBorder="0" applyAlignment="0"/>
    <xf numFmtId="282" fontId="27" fillId="0" borderId="18" applyFill="0" applyBorder="0" applyAlignment="0"/>
    <xf numFmtId="282" fontId="27" fillId="0" borderId="18" applyFill="0" applyBorder="0" applyAlignment="0"/>
    <xf numFmtId="283" fontId="27" fillId="0" borderId="0"/>
    <xf numFmtId="0" fontId="150" fillId="0" borderId="0" applyNumberFormat="0" applyFill="0" applyBorder="0" applyAlignment="0" applyProtection="0"/>
    <xf numFmtId="0" fontId="153" fillId="0" borderId="52">
      <alignment horizontal="center" vertical="center"/>
    </xf>
    <xf numFmtId="3" fontId="3" fillId="53" borderId="0" applyNumberFormat="0" applyFont="0" applyBorder="0" applyAlignment="0">
      <protection locked="0"/>
    </xf>
    <xf numFmtId="17" fontId="71" fillId="0" borderId="0" applyFont="0" applyFill="0" applyBorder="0" applyAlignment="0" applyProtection="0"/>
    <xf numFmtId="0" fontId="154" fillId="0" borderId="0" applyFont="0" applyFill="0" applyBorder="0" applyAlignment="0" applyProtection="0"/>
    <xf numFmtId="14" fontId="155" fillId="0" borderId="0" applyFill="0" applyBorder="0" applyAlignment="0"/>
    <xf numFmtId="15" fontId="3" fillId="0" borderId="0"/>
    <xf numFmtId="284" fontId="62" fillId="0" borderId="0" applyFill="0" applyBorder="0" applyProtection="0">
      <alignment horizontal="center" vertical="center" wrapText="1"/>
      <protection locked="0"/>
    </xf>
    <xf numFmtId="284" fontId="62" fillId="0" borderId="0" applyFill="0" applyBorder="0" applyProtection="0">
      <alignment horizontal="center" vertical="center" wrapText="1"/>
      <protection locked="0"/>
    </xf>
    <xf numFmtId="284" fontId="62" fillId="0" borderId="0" applyFill="0" applyBorder="0" applyProtection="0">
      <alignment horizontal="center" vertical="center" wrapText="1"/>
      <protection locked="0"/>
    </xf>
    <xf numFmtId="284" fontId="62" fillId="0" borderId="0" applyFill="0" applyBorder="0" applyProtection="0">
      <alignment horizontal="center" vertical="center" wrapText="1"/>
      <protection locked="0"/>
    </xf>
    <xf numFmtId="284" fontId="62" fillId="0" borderId="0" applyFill="0" applyBorder="0" applyProtection="0">
      <alignment horizontal="center" vertical="center" wrapText="1"/>
      <protection locked="0"/>
    </xf>
    <xf numFmtId="285" fontId="4" fillId="0" borderId="53">
      <alignment vertical="center"/>
    </xf>
    <xf numFmtId="38" fontId="38" fillId="0" borderId="0" applyFont="0" applyFill="0" applyBorder="0" applyAlignment="0" applyProtection="0"/>
    <xf numFmtId="40" fontId="38" fillId="0" borderId="0" applyFont="0" applyFill="0" applyBorder="0" applyAlignment="0" applyProtection="0"/>
    <xf numFmtId="268" fontId="61" fillId="0" borderId="0" applyFont="0" applyFill="0" applyBorder="0" applyAlignment="0" applyProtection="0"/>
    <xf numFmtId="286" fontId="154" fillId="0" borderId="54" applyNumberFormat="0" applyFont="0" applyFill="0" applyAlignment="0" applyProtection="0"/>
    <xf numFmtId="266" fontId="156" fillId="0" borderId="0" applyFill="0" applyBorder="0" applyAlignment="0"/>
    <xf numFmtId="266" fontId="3" fillId="0" borderId="0" applyFill="0" applyBorder="0" applyAlignment="0"/>
    <xf numFmtId="270" fontId="3" fillId="0" borderId="0" applyFill="0" applyBorder="0" applyAlignment="0"/>
    <xf numFmtId="271" fontId="3" fillId="0" borderId="0" applyFill="0" applyBorder="0" applyAlignment="0"/>
    <xf numFmtId="266" fontId="3" fillId="0" borderId="0" applyFill="0" applyBorder="0" applyAlignment="0"/>
    <xf numFmtId="0" fontId="157" fillId="0" borderId="0" applyNumberFormat="0" applyAlignment="0">
      <alignment horizontal="left"/>
    </xf>
    <xf numFmtId="0" fontId="158" fillId="0" borderId="0">
      <alignment horizontal="left"/>
    </xf>
    <xf numFmtId="287" fontId="4" fillId="0" borderId="0" applyFont="0" applyFill="0" applyBorder="0" applyAlignment="0" applyProtection="0"/>
    <xf numFmtId="0" fontId="159" fillId="0" borderId="0" applyNumberFormat="0" applyFill="0" applyBorder="0" applyAlignment="0" applyProtection="0">
      <alignment vertical="center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" fillId="0" borderId="0"/>
    <xf numFmtId="0" fontId="160" fillId="0" borderId="0" applyNumberFormat="0" applyFill="0" applyBorder="0" applyAlignment="0" applyProtection="0"/>
    <xf numFmtId="0" fontId="161" fillId="0" borderId="0" applyFill="0" applyBorder="0" applyProtection="0">
      <alignment horizontal="left"/>
    </xf>
    <xf numFmtId="0" fontId="162" fillId="31" borderId="0" applyNumberFormat="0" applyBorder="0" applyAlignment="0" applyProtection="0">
      <alignment vertical="center"/>
    </xf>
    <xf numFmtId="0" fontId="32" fillId="0" borderId="0"/>
    <xf numFmtId="288" fontId="154" fillId="0" borderId="0" applyFont="0" applyFill="0" applyBorder="0" applyAlignment="0" applyProtection="0">
      <alignment horizontal="right"/>
    </xf>
    <xf numFmtId="289" fontId="4" fillId="0" borderId="0" applyFont="0"/>
    <xf numFmtId="0" fontId="163" fillId="0" borderId="0" applyAlignment="0"/>
    <xf numFmtId="0" fontId="164" fillId="0" borderId="0" applyAlignment="0"/>
    <xf numFmtId="0" fontId="165" fillId="0" borderId="0">
      <alignment horizontal="left"/>
    </xf>
    <xf numFmtId="37" fontId="166" fillId="15" borderId="16" applyFill="0">
      <alignment vertical="center"/>
    </xf>
    <xf numFmtId="37" fontId="167" fillId="54" borderId="55" applyBorder="0">
      <alignment horizontal="left" vertical="center" indent="1"/>
    </xf>
    <xf numFmtId="0" fontId="37" fillId="0" borderId="17">
      <alignment horizontal="left" vertical="center"/>
    </xf>
    <xf numFmtId="0" fontId="37" fillId="0" borderId="17">
      <alignment horizontal="left" vertical="center"/>
    </xf>
    <xf numFmtId="0" fontId="37" fillId="0" borderId="17">
      <alignment horizontal="left" vertical="center"/>
    </xf>
    <xf numFmtId="0" fontId="166" fillId="0" borderId="56" applyNumberFormat="0" applyFill="0">
      <alignment horizontal="centerContinuous" vertical="top"/>
    </xf>
    <xf numFmtId="14" fontId="168" fillId="22" borderId="56">
      <alignment horizontal="center" vertical="center" wrapText="1"/>
    </xf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69" fillId="0" borderId="0" applyProtection="0">
      <alignment horizontal="left"/>
    </xf>
    <xf numFmtId="0" fontId="170" fillId="0" borderId="0" applyNumberFormat="0" applyFill="0" applyBorder="0" applyAlignment="0" applyProtection="0">
      <alignment vertical="center"/>
    </xf>
    <xf numFmtId="0" fontId="171" fillId="0" borderId="0"/>
    <xf numFmtId="0" fontId="172" fillId="0" borderId="0"/>
    <xf numFmtId="0" fontId="173" fillId="0" borderId="57" applyNumberFormat="0" applyFill="0" applyAlignment="0" applyProtection="0"/>
    <xf numFmtId="0" fontId="3" fillId="0" borderId="0">
      <alignment horizontal="center"/>
    </xf>
    <xf numFmtId="49" fontId="168" fillId="0" borderId="0">
      <alignment horizontal="left"/>
    </xf>
    <xf numFmtId="49" fontId="174" fillId="0" borderId="0">
      <alignment horizontal="left"/>
    </xf>
    <xf numFmtId="1" fontId="3" fillId="0" borderId="0" applyFont="0" applyFill="0" applyBorder="0" applyAlignment="0" applyProtection="0"/>
    <xf numFmtId="1" fontId="3" fillId="0" borderId="0" applyFont="0" applyFill="0" applyBorder="0" applyAlignment="0" applyProtection="0"/>
    <xf numFmtId="49" fontId="168" fillId="0" borderId="0"/>
    <xf numFmtId="290" fontId="3" fillId="0" borderId="0" applyFont="0" applyFill="0" applyBorder="0" applyAlignment="0" applyProtection="0"/>
    <xf numFmtId="49" fontId="168" fillId="0" borderId="0"/>
    <xf numFmtId="49" fontId="168" fillId="0" borderId="0"/>
    <xf numFmtId="49" fontId="168" fillId="0" borderId="0">
      <alignment vertical="top"/>
    </xf>
    <xf numFmtId="0" fontId="175" fillId="0" borderId="0" applyNumberFormat="0" applyFill="0" applyBorder="0" applyAlignment="0" applyProtection="0"/>
    <xf numFmtId="291" fontId="176" fillId="55" borderId="0" applyNumberFormat="0" applyBorder="0">
      <alignment horizontal="left"/>
      <protection locked="0"/>
    </xf>
    <xf numFmtId="199" fontId="27" fillId="0" borderId="0" applyFont="0" applyFill="0" applyBorder="0" applyAlignment="0" applyProtection="0"/>
    <xf numFmtId="10" fontId="177" fillId="56" borderId="0"/>
    <xf numFmtId="10" fontId="36" fillId="50" borderId="18" applyNumberFormat="0" applyBorder="0" applyAlignment="0" applyProtection="0"/>
    <xf numFmtId="10" fontId="36" fillId="50" borderId="18" applyNumberFormat="0" applyBorder="0" applyAlignment="0" applyProtection="0"/>
    <xf numFmtId="10" fontId="36" fillId="50" borderId="18" applyNumberFormat="0" applyBorder="0" applyAlignment="0" applyProtection="0"/>
    <xf numFmtId="10" fontId="36" fillId="50" borderId="18" applyNumberFormat="0" applyBorder="0" applyAlignment="0" applyProtection="0"/>
    <xf numFmtId="10" fontId="36" fillId="50" borderId="18" applyNumberFormat="0" applyBorder="0" applyAlignment="0" applyProtection="0"/>
    <xf numFmtId="292" fontId="111" fillId="57" borderId="0"/>
    <xf numFmtId="10" fontId="177" fillId="56" borderId="0"/>
    <xf numFmtId="293" fontId="3" fillId="0" borderId="0" applyFont="0" applyFill="0" applyBorder="0" applyAlignment="0" applyProtection="0"/>
    <xf numFmtId="294" fontId="3" fillId="0" borderId="0" applyFont="0" applyFill="0" applyBorder="0" applyAlignment="0" applyProtection="0"/>
    <xf numFmtId="295" fontId="27" fillId="0" borderId="0">
      <alignment vertical="center"/>
    </xf>
    <xf numFmtId="0" fontId="27" fillId="0" borderId="58" applyFont="0"/>
    <xf numFmtId="43" fontId="3" fillId="0" borderId="0" applyFont="0" applyFill="0" applyBorder="0" applyAlignment="0" applyProtection="0"/>
    <xf numFmtId="0" fontId="46" fillId="0" borderId="0" applyNumberFormat="0" applyFont="0" applyFill="0" applyBorder="0" applyProtection="0">
      <alignment horizontal="left" vertical="center"/>
    </xf>
    <xf numFmtId="196" fontId="27" fillId="0" borderId="0" applyFont="0" applyFill="0" applyBorder="0" applyAlignment="0" applyProtection="0"/>
    <xf numFmtId="291" fontId="155" fillId="58" borderId="0" applyNumberFormat="0" applyBorder="0">
      <alignment horizontal="right"/>
      <protection locked="0"/>
    </xf>
    <xf numFmtId="266" fontId="156" fillId="0" borderId="0" applyFill="0" applyBorder="0" applyAlignment="0"/>
    <xf numFmtId="266" fontId="3" fillId="0" borderId="0" applyFill="0" applyBorder="0" applyAlignment="0"/>
    <xf numFmtId="270" fontId="3" fillId="0" borderId="0" applyFill="0" applyBorder="0" applyAlignment="0"/>
    <xf numFmtId="271" fontId="3" fillId="0" borderId="0" applyFill="0" applyBorder="0" applyAlignment="0"/>
    <xf numFmtId="266" fontId="3" fillId="0" borderId="0" applyFill="0" applyBorder="0" applyAlignment="0"/>
    <xf numFmtId="0" fontId="178" fillId="0" borderId="59" applyNumberFormat="0" applyFill="0" applyAlignment="0" applyProtection="0">
      <alignment vertical="center"/>
    </xf>
    <xf numFmtId="292" fontId="179" fillId="59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96" fontId="180" fillId="60" borderId="0"/>
    <xf numFmtId="43" fontId="3" fillId="0" borderId="0" applyFont="0" applyFill="0" applyBorder="0" applyAlignment="0" applyProtection="0"/>
    <xf numFmtId="259" fontId="3" fillId="0" borderId="0" applyFont="0" applyFill="0" applyBorder="0" applyAlignment="0" applyProtection="0"/>
    <xf numFmtId="0" fontId="3" fillId="0" borderId="0">
      <alignment horizontal="center"/>
    </xf>
    <xf numFmtId="291" fontId="181" fillId="58" borderId="0" applyNumberFormat="0" applyBorder="0">
      <alignment horizontal="right"/>
      <protection locked="0"/>
    </xf>
    <xf numFmtId="181" fontId="3" fillId="0" borderId="0" applyFont="0" applyFill="0" applyBorder="0" applyAlignment="0" applyProtection="0"/>
    <xf numFmtId="25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182" fillId="0" borderId="56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97" fontId="4" fillId="0" borderId="0" applyFont="0" applyFill="0" applyBorder="0" applyAlignment="0" applyProtection="0"/>
    <xf numFmtId="298" fontId="4" fillId="0" borderId="0" applyFont="0" applyFill="0" applyBorder="0" applyAlignment="0" applyProtection="0"/>
    <xf numFmtId="299" fontId="4" fillId="0" borderId="0" applyFont="0" applyFill="0" applyBorder="0" applyAlignment="0" applyProtection="0"/>
    <xf numFmtId="300" fontId="4" fillId="0" borderId="0" applyFont="0" applyFill="0" applyBorder="0" applyAlignment="0" applyProtection="0"/>
    <xf numFmtId="301" fontId="131" fillId="0" borderId="0" applyFont="0" applyFill="0" applyBorder="0" applyAlignment="0" applyProtection="0"/>
    <xf numFmtId="302" fontId="131" fillId="0" borderId="0" applyFont="0" applyFill="0" applyBorder="0" applyAlignment="0" applyProtection="0"/>
    <xf numFmtId="303" fontId="62" fillId="0" borderId="0" applyFont="0" applyFill="0" applyBorder="0" applyAlignment="0" applyProtection="0"/>
    <xf numFmtId="304" fontId="154" fillId="0" borderId="0" applyFont="0" applyFill="0" applyBorder="0" applyAlignment="0" applyProtection="0">
      <alignment horizontal="right"/>
    </xf>
    <xf numFmtId="305" fontId="154" fillId="0" borderId="0" applyFont="0" applyFill="0" applyBorder="0" applyAlignment="0" applyProtection="0">
      <alignment horizontal="right"/>
    </xf>
    <xf numFmtId="0" fontId="3" fillId="0" borderId="0"/>
    <xf numFmtId="0" fontId="3" fillId="0" borderId="0"/>
    <xf numFmtId="3" fontId="168" fillId="0" borderId="0"/>
    <xf numFmtId="0" fontId="183" fillId="33" borderId="0" applyNumberFormat="0" applyBorder="0" applyAlignment="0" applyProtection="0">
      <alignment vertical="center"/>
    </xf>
    <xf numFmtId="0" fontId="46" fillId="0" borderId="0"/>
    <xf numFmtId="37" fontId="184" fillId="0" borderId="0"/>
    <xf numFmtId="0" fontId="50" fillId="0" borderId="60" applyNumberFormat="0" applyFont="0" applyBorder="0" applyProtection="0">
      <alignment horizontal="center" vertical="center"/>
    </xf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37" fontId="130" fillId="50" borderId="17" applyBorder="0">
      <alignment horizontal="left" vertical="center" indent="2"/>
    </xf>
    <xf numFmtId="37" fontId="130" fillId="50" borderId="17" applyBorder="0">
      <alignment horizontal="left" vertical="center" indent="2"/>
    </xf>
    <xf numFmtId="37" fontId="130" fillId="50" borderId="17" applyBorder="0">
      <alignment horizontal="left" vertical="center" indent="2"/>
    </xf>
    <xf numFmtId="37" fontId="130" fillId="50" borderId="17" applyBorder="0">
      <alignment horizontal="left" vertical="center" indent="2"/>
    </xf>
    <xf numFmtId="0" fontId="3" fillId="0" borderId="0"/>
    <xf numFmtId="0" fontId="46" fillId="0" borderId="61" applyFont="0" applyFill="0" applyBorder="0" applyAlignment="0" applyProtection="0">
      <alignment horizontal="right"/>
    </xf>
    <xf numFmtId="0" fontId="46" fillId="0" borderId="61" applyFont="0" applyFill="0" applyBorder="0" applyAlignment="0" applyProtection="0">
      <alignment horizontal="right"/>
    </xf>
    <xf numFmtId="0" fontId="46" fillId="0" borderId="61" applyFont="0" applyFill="0" applyBorder="0" applyAlignment="0" applyProtection="0">
      <alignment horizontal="right"/>
    </xf>
    <xf numFmtId="0" fontId="46" fillId="0" borderId="61" applyFont="0" applyFill="0" applyBorder="0" applyAlignment="0" applyProtection="0">
      <alignment horizontal="right"/>
    </xf>
    <xf numFmtId="296" fontId="152" fillId="0" borderId="0"/>
    <xf numFmtId="0" fontId="3" fillId="0" borderId="0"/>
    <xf numFmtId="222" fontId="27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0" fontId="185" fillId="0" borderId="0"/>
    <xf numFmtId="0" fontId="186" fillId="23" borderId="41" applyNumberFormat="0" applyAlignment="0" applyProtection="0">
      <alignment vertical="center"/>
    </xf>
    <xf numFmtId="0" fontId="186" fillId="23" borderId="41" applyNumberFormat="0" applyAlignment="0" applyProtection="0">
      <alignment vertical="center"/>
    </xf>
    <xf numFmtId="0" fontId="186" fillId="23" borderId="41" applyNumberFormat="0" applyAlignment="0" applyProtection="0">
      <alignment vertical="center"/>
    </xf>
    <xf numFmtId="0" fontId="186" fillId="23" borderId="41" applyNumberFormat="0" applyAlignment="0" applyProtection="0">
      <alignment vertical="center"/>
    </xf>
    <xf numFmtId="40" fontId="187" fillId="50" borderId="0">
      <alignment horizontal="right"/>
    </xf>
    <xf numFmtId="0" fontId="188" fillId="50" borderId="0">
      <alignment horizontal="right"/>
    </xf>
    <xf numFmtId="0" fontId="189" fillId="50" borderId="61"/>
    <xf numFmtId="0" fontId="189" fillId="0" borderId="0" applyBorder="0">
      <alignment horizontal="centerContinuous"/>
    </xf>
    <xf numFmtId="0" fontId="190" fillId="0" borderId="0" applyBorder="0">
      <alignment horizontal="centerContinuous"/>
    </xf>
    <xf numFmtId="1" fontId="191" fillId="0" borderId="0" applyProtection="0">
      <alignment horizontal="right" vertical="center"/>
    </xf>
    <xf numFmtId="0" fontId="72" fillId="0" borderId="0" applyFont="0" applyFill="0" applyBorder="0" applyAlignment="0" applyProtection="0"/>
    <xf numFmtId="14" fontId="131" fillId="0" borderId="0">
      <alignment horizontal="center" wrapText="1"/>
      <protection locked="0"/>
    </xf>
    <xf numFmtId="306" fontId="3" fillId="0" borderId="0" applyFont="0" applyFill="0" applyBorder="0" applyAlignment="0" applyProtection="0"/>
    <xf numFmtId="307" fontId="71" fillId="0" borderId="0" applyFont="0" applyFill="0" applyBorder="0" applyAlignment="0">
      <protection locked="0"/>
    </xf>
    <xf numFmtId="9" fontId="62" fillId="0" borderId="0" applyFont="0" applyFill="0" applyBorder="0" applyAlignment="0" applyProtection="0"/>
    <xf numFmtId="308" fontId="3" fillId="0" borderId="0" applyFont="0" applyFill="0" applyBorder="0" applyAlignment="0" applyProtection="0"/>
    <xf numFmtId="267" fontId="62" fillId="0" borderId="0" applyFont="0" applyFill="0" applyBorder="0" applyAlignment="0" applyProtection="0"/>
    <xf numFmtId="9" fontId="3" fillId="52" borderId="0" applyFont="0" applyFill="0" applyBorder="0" applyAlignment="0" applyProtection="0"/>
    <xf numFmtId="10" fontId="3" fillId="52" borderId="0" applyFont="0" applyFill="0" applyBorder="0" applyAlignment="0" applyProtection="0"/>
    <xf numFmtId="309" fontId="3" fillId="0" borderId="0" applyFont="0" applyFill="0" applyBorder="0" applyAlignment="0" applyProtection="0"/>
    <xf numFmtId="265" fontId="138" fillId="0" borderId="0"/>
    <xf numFmtId="13" fontId="3" fillId="0" borderId="0" applyFont="0" applyFill="0" applyProtection="0"/>
    <xf numFmtId="266" fontId="156" fillId="0" borderId="0" applyFill="0" applyBorder="0" applyAlignment="0"/>
    <xf numFmtId="266" fontId="3" fillId="0" borderId="0" applyFill="0" applyBorder="0" applyAlignment="0"/>
    <xf numFmtId="270" fontId="3" fillId="0" borderId="0" applyFill="0" applyBorder="0" applyAlignment="0"/>
    <xf numFmtId="271" fontId="3" fillId="0" borderId="0" applyFill="0" applyBorder="0" applyAlignment="0"/>
    <xf numFmtId="266" fontId="3" fillId="0" borderId="0" applyFill="0" applyBorder="0" applyAlignment="0"/>
    <xf numFmtId="4" fontId="158" fillId="0" borderId="0">
      <alignment horizontal="right"/>
    </xf>
    <xf numFmtId="310" fontId="192" fillId="0" borderId="0"/>
    <xf numFmtId="9" fontId="193" fillId="0" borderId="0" applyFont="0" applyFill="0" applyProtection="0"/>
    <xf numFmtId="0" fontId="194" fillId="2" borderId="0">
      <alignment horizontal="left" indent="1"/>
    </xf>
    <xf numFmtId="3" fontId="3" fillId="0" borderId="0"/>
    <xf numFmtId="0" fontId="38" fillId="0" borderId="0" applyNumberFormat="0" applyFont="0" applyFill="0" applyBorder="0" applyAlignment="0" applyProtection="0">
      <alignment horizontal="left"/>
    </xf>
    <xf numFmtId="15" fontId="38" fillId="0" borderId="0" applyFont="0" applyFill="0" applyBorder="0" applyAlignment="0" applyProtection="0"/>
    <xf numFmtId="4" fontId="38" fillId="0" borderId="0" applyFont="0" applyFill="0" applyBorder="0" applyAlignment="0" applyProtection="0"/>
    <xf numFmtId="0" fontId="45" fillId="0" borderId="56">
      <alignment horizontal="center"/>
    </xf>
    <xf numFmtId="0" fontId="27" fillId="0" borderId="0" applyFont="0" applyFill="0" applyBorder="0" applyAlignment="0" applyProtection="0"/>
    <xf numFmtId="268" fontId="3" fillId="0" borderId="0"/>
    <xf numFmtId="4" fontId="180" fillId="0" borderId="0">
      <alignment horizontal="right"/>
    </xf>
    <xf numFmtId="30" fontId="195" fillId="0" borderId="0" applyNumberFormat="0" applyFill="0" applyBorder="0" applyAlignment="0" applyProtection="0">
      <alignment horizontal="left"/>
    </xf>
    <xf numFmtId="273" fontId="138" fillId="0" borderId="0">
      <alignment vertical="center"/>
    </xf>
    <xf numFmtId="311" fontId="27" fillId="0" borderId="0" applyFont="0" applyFill="0" applyBorder="0" applyAlignment="0" applyProtection="0"/>
    <xf numFmtId="4" fontId="155" fillId="61" borderId="41" applyNumberFormat="0" applyProtection="0">
      <alignment vertical="center"/>
    </xf>
    <xf numFmtId="4" fontId="155" fillId="61" borderId="41" applyNumberFormat="0" applyProtection="0">
      <alignment vertical="center"/>
    </xf>
    <xf numFmtId="4" fontId="155" fillId="61" borderId="41" applyNumberFormat="0" applyProtection="0">
      <alignment vertical="center"/>
    </xf>
    <xf numFmtId="4" fontId="155" fillId="61" borderId="41" applyNumberFormat="0" applyProtection="0">
      <alignment vertical="center"/>
    </xf>
    <xf numFmtId="4" fontId="196" fillId="61" borderId="41" applyNumberFormat="0" applyProtection="0">
      <alignment vertical="center"/>
    </xf>
    <xf numFmtId="4" fontId="196" fillId="61" borderId="41" applyNumberFormat="0" applyProtection="0">
      <alignment vertical="center"/>
    </xf>
    <xf numFmtId="4" fontId="196" fillId="61" borderId="41" applyNumberFormat="0" applyProtection="0">
      <alignment vertical="center"/>
    </xf>
    <xf numFmtId="4" fontId="196" fillId="61" borderId="41" applyNumberFormat="0" applyProtection="0">
      <alignment vertical="center"/>
    </xf>
    <xf numFmtId="4" fontId="155" fillId="61" borderId="41" applyNumberFormat="0" applyProtection="0">
      <alignment horizontal="left" vertical="center" indent="1"/>
    </xf>
    <xf numFmtId="4" fontId="155" fillId="61" borderId="41" applyNumberFormat="0" applyProtection="0">
      <alignment horizontal="left" vertical="center" indent="1"/>
    </xf>
    <xf numFmtId="4" fontId="155" fillId="61" borderId="41" applyNumberFormat="0" applyProtection="0">
      <alignment horizontal="left" vertical="center" indent="1"/>
    </xf>
    <xf numFmtId="4" fontId="155" fillId="61" borderId="41" applyNumberFormat="0" applyProtection="0">
      <alignment horizontal="left" vertical="center" indent="1"/>
    </xf>
    <xf numFmtId="4" fontId="155" fillId="61" borderId="41" applyNumberFormat="0" applyProtection="0">
      <alignment horizontal="left" vertical="center" indent="1"/>
    </xf>
    <xf numFmtId="4" fontId="155" fillId="61" borderId="41" applyNumberFormat="0" applyProtection="0">
      <alignment horizontal="left" vertical="center" indent="1"/>
    </xf>
    <xf numFmtId="4" fontId="155" fillId="61" borderId="41" applyNumberFormat="0" applyProtection="0">
      <alignment horizontal="left" vertical="center" indent="1"/>
    </xf>
    <xf numFmtId="4" fontId="155" fillId="61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4" fontId="155" fillId="63" borderId="41" applyNumberFormat="0" applyProtection="0">
      <alignment horizontal="right" vertical="center"/>
    </xf>
    <xf numFmtId="4" fontId="155" fillId="63" borderId="41" applyNumberFormat="0" applyProtection="0">
      <alignment horizontal="right" vertical="center"/>
    </xf>
    <xf numFmtId="4" fontId="155" fillId="63" borderId="41" applyNumberFormat="0" applyProtection="0">
      <alignment horizontal="right" vertical="center"/>
    </xf>
    <xf numFmtId="4" fontId="155" fillId="63" borderId="41" applyNumberFormat="0" applyProtection="0">
      <alignment horizontal="right" vertical="center"/>
    </xf>
    <xf numFmtId="4" fontId="155" fillId="64" borderId="41" applyNumberFormat="0" applyProtection="0">
      <alignment horizontal="right" vertical="center"/>
    </xf>
    <xf numFmtId="4" fontId="155" fillId="64" borderId="41" applyNumberFormat="0" applyProtection="0">
      <alignment horizontal="right" vertical="center"/>
    </xf>
    <xf numFmtId="4" fontId="155" fillId="64" borderId="41" applyNumberFormat="0" applyProtection="0">
      <alignment horizontal="right" vertical="center"/>
    </xf>
    <xf numFmtId="4" fontId="155" fillId="64" borderId="41" applyNumberFormat="0" applyProtection="0">
      <alignment horizontal="right" vertical="center"/>
    </xf>
    <xf numFmtId="4" fontId="155" fillId="65" borderId="41" applyNumberFormat="0" applyProtection="0">
      <alignment horizontal="right" vertical="center"/>
    </xf>
    <xf numFmtId="4" fontId="155" fillId="65" borderId="41" applyNumberFormat="0" applyProtection="0">
      <alignment horizontal="right" vertical="center"/>
    </xf>
    <xf numFmtId="4" fontId="155" fillId="65" borderId="41" applyNumberFormat="0" applyProtection="0">
      <alignment horizontal="right" vertical="center"/>
    </xf>
    <xf numFmtId="4" fontId="155" fillId="65" borderId="41" applyNumberFormat="0" applyProtection="0">
      <alignment horizontal="right" vertical="center"/>
    </xf>
    <xf numFmtId="4" fontId="155" fillId="66" borderId="41" applyNumberFormat="0" applyProtection="0">
      <alignment horizontal="right" vertical="center"/>
    </xf>
    <xf numFmtId="4" fontId="155" fillId="66" borderId="41" applyNumberFormat="0" applyProtection="0">
      <alignment horizontal="right" vertical="center"/>
    </xf>
    <xf numFmtId="4" fontId="155" fillId="66" borderId="41" applyNumberFormat="0" applyProtection="0">
      <alignment horizontal="right" vertical="center"/>
    </xf>
    <xf numFmtId="4" fontId="155" fillId="66" borderId="41" applyNumberFormat="0" applyProtection="0">
      <alignment horizontal="right" vertical="center"/>
    </xf>
    <xf numFmtId="4" fontId="155" fillId="67" borderId="41" applyNumberFormat="0" applyProtection="0">
      <alignment horizontal="right" vertical="center"/>
    </xf>
    <xf numFmtId="4" fontId="155" fillId="67" borderId="41" applyNumberFormat="0" applyProtection="0">
      <alignment horizontal="right" vertical="center"/>
    </xf>
    <xf numFmtId="4" fontId="155" fillId="67" borderId="41" applyNumberFormat="0" applyProtection="0">
      <alignment horizontal="right" vertical="center"/>
    </xf>
    <xf numFmtId="4" fontId="155" fillId="67" borderId="41" applyNumberFormat="0" applyProtection="0">
      <alignment horizontal="right" vertical="center"/>
    </xf>
    <xf numFmtId="4" fontId="155" fillId="68" borderId="41" applyNumberFormat="0" applyProtection="0">
      <alignment horizontal="right" vertical="center"/>
    </xf>
    <xf numFmtId="4" fontId="155" fillId="68" borderId="41" applyNumberFormat="0" applyProtection="0">
      <alignment horizontal="right" vertical="center"/>
    </xf>
    <xf numFmtId="4" fontId="155" fillId="68" borderId="41" applyNumberFormat="0" applyProtection="0">
      <alignment horizontal="right" vertical="center"/>
    </xf>
    <xf numFmtId="4" fontId="155" fillId="68" borderId="41" applyNumberFormat="0" applyProtection="0">
      <alignment horizontal="right" vertical="center"/>
    </xf>
    <xf numFmtId="4" fontId="155" fillId="69" borderId="41" applyNumberFormat="0" applyProtection="0">
      <alignment horizontal="right" vertical="center"/>
    </xf>
    <xf numFmtId="4" fontId="155" fillId="69" borderId="41" applyNumberFormat="0" applyProtection="0">
      <alignment horizontal="right" vertical="center"/>
    </xf>
    <xf numFmtId="4" fontId="155" fillId="69" borderId="41" applyNumberFormat="0" applyProtection="0">
      <alignment horizontal="right" vertical="center"/>
    </xf>
    <xf numFmtId="4" fontId="155" fillId="69" borderId="41" applyNumberFormat="0" applyProtection="0">
      <alignment horizontal="right" vertical="center"/>
    </xf>
    <xf numFmtId="4" fontId="155" fillId="70" borderId="41" applyNumberFormat="0" applyProtection="0">
      <alignment horizontal="right" vertical="center"/>
    </xf>
    <xf numFmtId="4" fontId="155" fillId="70" borderId="41" applyNumberFormat="0" applyProtection="0">
      <alignment horizontal="right" vertical="center"/>
    </xf>
    <xf numFmtId="4" fontId="155" fillId="70" borderId="41" applyNumberFormat="0" applyProtection="0">
      <alignment horizontal="right" vertical="center"/>
    </xf>
    <xf numFmtId="4" fontId="155" fillId="70" borderId="41" applyNumberFormat="0" applyProtection="0">
      <alignment horizontal="right" vertical="center"/>
    </xf>
    <xf numFmtId="4" fontId="155" fillId="71" borderId="41" applyNumberFormat="0" applyProtection="0">
      <alignment horizontal="right" vertical="center"/>
    </xf>
    <xf numFmtId="4" fontId="155" fillId="71" borderId="41" applyNumberFormat="0" applyProtection="0">
      <alignment horizontal="right" vertical="center"/>
    </xf>
    <xf numFmtId="4" fontId="155" fillId="71" borderId="41" applyNumberFormat="0" applyProtection="0">
      <alignment horizontal="right" vertical="center"/>
    </xf>
    <xf numFmtId="4" fontId="155" fillId="71" borderId="41" applyNumberFormat="0" applyProtection="0">
      <alignment horizontal="right" vertical="center"/>
    </xf>
    <xf numFmtId="4" fontId="197" fillId="72" borderId="41" applyNumberFormat="0" applyProtection="0">
      <alignment horizontal="left" vertical="center" indent="1"/>
    </xf>
    <xf numFmtId="4" fontId="197" fillId="72" borderId="41" applyNumberFormat="0" applyProtection="0">
      <alignment horizontal="left" vertical="center" indent="1"/>
    </xf>
    <xf numFmtId="4" fontId="197" fillId="72" borderId="41" applyNumberFormat="0" applyProtection="0">
      <alignment horizontal="left" vertical="center" indent="1"/>
    </xf>
    <xf numFmtId="4" fontId="197" fillId="72" borderId="41" applyNumberFormat="0" applyProtection="0">
      <alignment horizontal="left" vertical="center" indent="1"/>
    </xf>
    <xf numFmtId="4" fontId="155" fillId="73" borderId="62" applyNumberFormat="0" applyProtection="0">
      <alignment horizontal="left" vertical="center" indent="1"/>
    </xf>
    <xf numFmtId="4" fontId="155" fillId="73" borderId="62" applyNumberFormat="0" applyProtection="0">
      <alignment horizontal="left" vertical="center" indent="1"/>
    </xf>
    <xf numFmtId="4" fontId="198" fillId="20" borderId="0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4" fontId="155" fillId="73" borderId="41" applyNumberFormat="0" applyProtection="0">
      <alignment horizontal="left" vertical="center" indent="1"/>
    </xf>
    <xf numFmtId="4" fontId="155" fillId="73" borderId="41" applyNumberFormat="0" applyProtection="0">
      <alignment horizontal="left" vertical="center" indent="1"/>
    </xf>
    <xf numFmtId="4" fontId="155" fillId="73" borderId="41" applyNumberFormat="0" applyProtection="0">
      <alignment horizontal="left" vertical="center" indent="1"/>
    </xf>
    <xf numFmtId="4" fontId="155" fillId="73" borderId="41" applyNumberFormat="0" applyProtection="0">
      <alignment horizontal="left" vertical="center" indent="1"/>
    </xf>
    <xf numFmtId="4" fontId="155" fillId="74" borderId="41" applyNumberFormat="0" applyProtection="0">
      <alignment horizontal="left" vertical="center" indent="1"/>
    </xf>
    <xf numFmtId="4" fontId="155" fillId="74" borderId="41" applyNumberFormat="0" applyProtection="0">
      <alignment horizontal="left" vertical="center" indent="1"/>
    </xf>
    <xf numFmtId="4" fontId="155" fillId="74" borderId="41" applyNumberFormat="0" applyProtection="0">
      <alignment horizontal="left" vertical="center" indent="1"/>
    </xf>
    <xf numFmtId="4" fontId="155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74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2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15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4" fontId="155" fillId="16" borderId="41" applyNumberFormat="0" applyProtection="0">
      <alignment vertical="center"/>
    </xf>
    <xf numFmtId="4" fontId="155" fillId="16" borderId="41" applyNumberFormat="0" applyProtection="0">
      <alignment vertical="center"/>
    </xf>
    <xf numFmtId="4" fontId="155" fillId="16" borderId="41" applyNumberFormat="0" applyProtection="0">
      <alignment vertical="center"/>
    </xf>
    <xf numFmtId="4" fontId="155" fillId="16" borderId="41" applyNumberFormat="0" applyProtection="0">
      <alignment vertical="center"/>
    </xf>
    <xf numFmtId="4" fontId="196" fillId="16" borderId="41" applyNumberFormat="0" applyProtection="0">
      <alignment vertical="center"/>
    </xf>
    <xf numFmtId="4" fontId="196" fillId="16" borderId="41" applyNumberFormat="0" applyProtection="0">
      <alignment vertical="center"/>
    </xf>
    <xf numFmtId="4" fontId="196" fillId="16" borderId="41" applyNumberFormat="0" applyProtection="0">
      <alignment vertical="center"/>
    </xf>
    <xf numFmtId="4" fontId="196" fillId="16" borderId="41" applyNumberFormat="0" applyProtection="0">
      <alignment vertical="center"/>
    </xf>
    <xf numFmtId="4" fontId="155" fillId="16" borderId="41" applyNumberFormat="0" applyProtection="0">
      <alignment horizontal="left" vertical="center" indent="1"/>
    </xf>
    <xf numFmtId="4" fontId="155" fillId="16" borderId="41" applyNumberFormat="0" applyProtection="0">
      <alignment horizontal="left" vertical="center" indent="1"/>
    </xf>
    <xf numFmtId="4" fontId="155" fillId="16" borderId="41" applyNumberFormat="0" applyProtection="0">
      <alignment horizontal="left" vertical="center" indent="1"/>
    </xf>
    <xf numFmtId="4" fontId="155" fillId="16" borderId="41" applyNumberFormat="0" applyProtection="0">
      <alignment horizontal="left" vertical="center" indent="1"/>
    </xf>
    <xf numFmtId="4" fontId="155" fillId="16" borderId="41" applyNumberFormat="0" applyProtection="0">
      <alignment horizontal="left" vertical="center" indent="1"/>
    </xf>
    <xf numFmtId="4" fontId="155" fillId="16" borderId="41" applyNumberFormat="0" applyProtection="0">
      <alignment horizontal="left" vertical="center" indent="1"/>
    </xf>
    <xf numFmtId="4" fontId="155" fillId="16" borderId="41" applyNumberFormat="0" applyProtection="0">
      <alignment horizontal="left" vertical="center" indent="1"/>
    </xf>
    <xf numFmtId="4" fontId="155" fillId="16" borderId="41" applyNumberFormat="0" applyProtection="0">
      <alignment horizontal="left" vertical="center" indent="1"/>
    </xf>
    <xf numFmtId="4" fontId="155" fillId="73" borderId="41" applyNumberFormat="0" applyProtection="0">
      <alignment horizontal="right" vertical="center"/>
    </xf>
    <xf numFmtId="4" fontId="155" fillId="73" borderId="41" applyNumberFormat="0" applyProtection="0">
      <alignment horizontal="right" vertical="center"/>
    </xf>
    <xf numFmtId="4" fontId="155" fillId="73" borderId="41" applyNumberFormat="0" applyProtection="0">
      <alignment horizontal="right" vertical="center"/>
    </xf>
    <xf numFmtId="4" fontId="155" fillId="73" borderId="41" applyNumberFormat="0" applyProtection="0">
      <alignment horizontal="right" vertical="center"/>
    </xf>
    <xf numFmtId="4" fontId="196" fillId="73" borderId="41" applyNumberFormat="0" applyProtection="0">
      <alignment horizontal="right" vertical="center"/>
    </xf>
    <xf numFmtId="4" fontId="196" fillId="73" borderId="41" applyNumberFormat="0" applyProtection="0">
      <alignment horizontal="right" vertical="center"/>
    </xf>
    <xf numFmtId="4" fontId="196" fillId="73" borderId="41" applyNumberFormat="0" applyProtection="0">
      <alignment horizontal="right" vertical="center"/>
    </xf>
    <xf numFmtId="4" fontId="196" fillId="73" borderId="41" applyNumberFormat="0" applyProtection="0">
      <alignment horizontal="right" vertical="center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3" fillId="62" borderId="41" applyNumberFormat="0" applyProtection="0">
      <alignment horizontal="left" vertical="center" indent="1"/>
    </xf>
    <xf numFmtId="0" fontId="199" fillId="0" borderId="0"/>
    <xf numFmtId="4" fontId="200" fillId="73" borderId="41" applyNumberFormat="0" applyProtection="0">
      <alignment horizontal="right" vertical="center"/>
    </xf>
    <xf numFmtId="4" fontId="200" fillId="73" borderId="41" applyNumberFormat="0" applyProtection="0">
      <alignment horizontal="right" vertical="center"/>
    </xf>
    <xf numFmtId="4" fontId="200" fillId="73" borderId="41" applyNumberFormat="0" applyProtection="0">
      <alignment horizontal="right" vertical="center"/>
    </xf>
    <xf numFmtId="4" fontId="200" fillId="73" borderId="41" applyNumberFormat="0" applyProtection="0">
      <alignment horizontal="right" vertical="center"/>
    </xf>
    <xf numFmtId="196" fontId="72" fillId="0" borderId="0" applyFont="0" applyFill="0" applyBorder="0" applyAlignment="0" applyProtection="0"/>
    <xf numFmtId="0" fontId="197" fillId="0" borderId="63">
      <alignment wrapText="1"/>
      <protection hidden="1"/>
    </xf>
    <xf numFmtId="0" fontId="197" fillId="0" borderId="63">
      <alignment wrapText="1"/>
      <protection hidden="1"/>
    </xf>
    <xf numFmtId="0" fontId="197" fillId="0" borderId="63">
      <alignment wrapText="1"/>
      <protection hidden="1"/>
    </xf>
    <xf numFmtId="0" fontId="197" fillId="0" borderId="63">
      <alignment wrapText="1"/>
      <protection hidden="1"/>
    </xf>
    <xf numFmtId="0" fontId="201" fillId="0" borderId="63">
      <alignment wrapText="1"/>
      <protection hidden="1"/>
    </xf>
    <xf numFmtId="0" fontId="201" fillId="0" borderId="63">
      <alignment wrapText="1"/>
      <protection hidden="1"/>
    </xf>
    <xf numFmtId="0" fontId="201" fillId="0" borderId="63">
      <alignment wrapText="1"/>
      <protection hidden="1"/>
    </xf>
    <xf numFmtId="0" fontId="201" fillId="0" borderId="63">
      <alignment wrapText="1"/>
      <protection hidden="1"/>
    </xf>
    <xf numFmtId="0" fontId="202" fillId="0" borderId="0">
      <alignment horizontal="left"/>
    </xf>
    <xf numFmtId="0" fontId="203" fillId="0" borderId="64">
      <alignment horizontal="center" vertical="center" wrapText="1"/>
      <protection hidden="1"/>
    </xf>
    <xf numFmtId="0" fontId="193" fillId="0" borderId="0"/>
    <xf numFmtId="0" fontId="38" fillId="0" borderId="0"/>
    <xf numFmtId="0" fontId="204" fillId="0" borderId="0" applyAlignment="0"/>
    <xf numFmtId="0" fontId="182" fillId="0" borderId="0"/>
    <xf numFmtId="40" fontId="205" fillId="0" borderId="0" applyBorder="0">
      <alignment horizontal="right"/>
    </xf>
    <xf numFmtId="0" fontId="206" fillId="0" borderId="0" applyFill="0" applyBorder="0" applyProtection="0">
      <alignment horizontal="left" vertical="center"/>
      <protection locked="0"/>
    </xf>
    <xf numFmtId="0" fontId="206" fillId="0" borderId="0" applyFill="0" applyBorder="0" applyProtection="0">
      <alignment horizontal="left" vertical="center" wrapText="1"/>
      <protection locked="0"/>
    </xf>
    <xf numFmtId="0" fontId="207" fillId="0" borderId="0" applyFill="0" applyBorder="0" applyProtection="0">
      <alignment horizontal="left" vertical="center"/>
      <protection locked="0"/>
    </xf>
    <xf numFmtId="0" fontId="207" fillId="0" borderId="0" applyFill="0" applyBorder="0" applyProtection="0">
      <alignment horizontal="left" vertical="center" wrapText="1"/>
      <protection locked="0"/>
    </xf>
    <xf numFmtId="0" fontId="208" fillId="0" borderId="0" applyFill="0" applyBorder="0" applyProtection="0">
      <alignment horizontal="left" vertical="center"/>
      <protection locked="0"/>
    </xf>
    <xf numFmtId="0" fontId="208" fillId="0" borderId="0" applyFill="0" applyBorder="0" applyProtection="0">
      <alignment horizontal="left" vertical="center" wrapText="1"/>
      <protection locked="0"/>
    </xf>
    <xf numFmtId="0" fontId="209" fillId="0" borderId="0" applyFill="0" applyBorder="0" applyProtection="0">
      <alignment horizontal="left" vertical="center"/>
      <protection locked="0"/>
    </xf>
    <xf numFmtId="0" fontId="209" fillId="0" borderId="0" applyFill="0" applyBorder="0" applyProtection="0">
      <alignment horizontal="left" vertical="center" wrapText="1"/>
      <protection locked="0"/>
    </xf>
    <xf numFmtId="0" fontId="210" fillId="0" borderId="0" applyFill="0" applyBorder="0" applyProtection="0">
      <alignment horizontal="left" vertical="center"/>
      <protection locked="0"/>
    </xf>
    <xf numFmtId="0" fontId="210" fillId="0" borderId="0" applyFill="0" applyBorder="0" applyProtection="0">
      <alignment horizontal="left" vertical="center" wrapText="1"/>
      <protection locked="0"/>
    </xf>
    <xf numFmtId="14" fontId="211" fillId="0" borderId="0" applyFill="0" applyBorder="0" applyProtection="0">
      <alignment horizontal="center" vertical="center" wrapText="1"/>
      <protection locked="0"/>
    </xf>
    <xf numFmtId="14" fontId="212" fillId="0" borderId="0" applyFill="0" applyBorder="0" applyProtection="0">
      <alignment horizontal="center" vertical="center" wrapText="1"/>
      <protection locked="0"/>
    </xf>
    <xf numFmtId="14" fontId="213" fillId="0" borderId="0" applyFill="0" applyBorder="0" applyProtection="0">
      <alignment horizontal="center" vertical="center" wrapText="1"/>
      <protection locked="0"/>
    </xf>
    <xf numFmtId="14" fontId="214" fillId="0" borderId="0" applyFill="0" applyBorder="0" applyProtection="0">
      <alignment horizontal="center" vertical="center" wrapText="1"/>
      <protection locked="0"/>
    </xf>
    <xf numFmtId="14" fontId="215" fillId="0" borderId="0" applyFill="0" applyBorder="0" applyProtection="0">
      <alignment horizontal="center" vertical="center" wrapText="1"/>
      <protection locked="0"/>
    </xf>
    <xf numFmtId="3" fontId="206" fillId="0" borderId="0" applyFill="0" applyBorder="0" applyProtection="0">
      <alignment horizontal="right"/>
      <protection locked="0"/>
    </xf>
    <xf numFmtId="3" fontId="207" fillId="0" borderId="0" applyFill="0" applyBorder="0" applyProtection="0">
      <alignment horizontal="right"/>
      <protection locked="0"/>
    </xf>
    <xf numFmtId="3" fontId="208" fillId="0" borderId="0" applyFill="0" applyBorder="0" applyProtection="0">
      <alignment horizontal="right"/>
      <protection locked="0"/>
    </xf>
    <xf numFmtId="3" fontId="209" fillId="0" borderId="0" applyFill="0" applyBorder="0" applyProtection="0">
      <alignment horizontal="right"/>
      <protection locked="0"/>
    </xf>
    <xf numFmtId="3" fontId="210" fillId="0" borderId="0" applyFill="0" applyBorder="0" applyProtection="0">
      <alignment horizontal="right"/>
      <protection locked="0"/>
    </xf>
    <xf numFmtId="207" fontId="206" fillId="0" borderId="0" applyFill="0" applyBorder="0" applyProtection="0">
      <alignment horizontal="right"/>
      <protection locked="0"/>
    </xf>
    <xf numFmtId="207" fontId="207" fillId="0" borderId="0" applyFill="0" applyBorder="0" applyProtection="0">
      <alignment horizontal="right"/>
      <protection locked="0"/>
    </xf>
    <xf numFmtId="290" fontId="208" fillId="0" borderId="0" applyFill="0" applyBorder="0" applyProtection="0">
      <alignment horizontal="right"/>
      <protection locked="0"/>
    </xf>
    <xf numFmtId="290" fontId="209" fillId="0" borderId="0" applyFill="0" applyBorder="0" applyProtection="0">
      <alignment horizontal="right"/>
      <protection locked="0"/>
    </xf>
    <xf numFmtId="207" fontId="210" fillId="0" borderId="0" applyFill="0" applyBorder="0" applyProtection="0">
      <alignment horizontal="right"/>
      <protection locked="0"/>
    </xf>
    <xf numFmtId="4" fontId="206" fillId="0" borderId="0" applyFill="0" applyBorder="0" applyProtection="0">
      <alignment horizontal="right"/>
      <protection locked="0"/>
    </xf>
    <xf numFmtId="4" fontId="207" fillId="0" borderId="0" applyFill="0" applyBorder="0" applyProtection="0">
      <alignment horizontal="right"/>
      <protection locked="0"/>
    </xf>
    <xf numFmtId="4" fontId="208" fillId="0" borderId="0" applyFill="0" applyBorder="0" applyProtection="0">
      <alignment horizontal="right"/>
      <protection locked="0"/>
    </xf>
    <xf numFmtId="4" fontId="209" fillId="0" borderId="0" applyFill="0" applyBorder="0" applyProtection="0">
      <alignment horizontal="right"/>
      <protection locked="0"/>
    </xf>
    <xf numFmtId="4" fontId="210" fillId="0" borderId="0" applyFill="0" applyBorder="0" applyProtection="0">
      <alignment horizontal="right"/>
      <protection locked="0"/>
    </xf>
    <xf numFmtId="0" fontId="216" fillId="0" borderId="0" applyBorder="0" applyProtection="0">
      <alignment vertical="center"/>
    </xf>
    <xf numFmtId="286" fontId="216" fillId="0" borderId="21" applyBorder="0" applyProtection="0">
      <alignment horizontal="right" vertical="center"/>
    </xf>
    <xf numFmtId="0" fontId="217" fillId="51" borderId="0" applyBorder="0" applyProtection="0">
      <alignment horizontal="centerContinuous" vertical="center"/>
    </xf>
    <xf numFmtId="0" fontId="217" fillId="54" borderId="21" applyBorder="0" applyProtection="0">
      <alignment horizontal="centerContinuous" vertical="center"/>
    </xf>
    <xf numFmtId="0" fontId="218" fillId="0" borderId="0" applyFill="0" applyBorder="0" applyProtection="0">
      <alignment horizontal="left"/>
    </xf>
    <xf numFmtId="0" fontId="161" fillId="0" borderId="55" applyFill="0" applyBorder="0" applyProtection="0">
      <alignment horizontal="left" vertical="top"/>
    </xf>
    <xf numFmtId="49" fontId="155" fillId="0" borderId="0" applyFill="0" applyBorder="0" applyAlignment="0"/>
    <xf numFmtId="266" fontId="156" fillId="0" borderId="0" applyFill="0" applyBorder="0" applyAlignment="0"/>
    <xf numFmtId="312" fontId="3" fillId="0" borderId="0" applyFill="0" applyBorder="0" applyAlignment="0"/>
    <xf numFmtId="0" fontId="38" fillId="0" borderId="0" applyAlignment="0"/>
    <xf numFmtId="0" fontId="219" fillId="0" borderId="0" applyAlignment="0"/>
    <xf numFmtId="0" fontId="65" fillId="0" borderId="0"/>
    <xf numFmtId="0" fontId="220" fillId="0" borderId="0"/>
    <xf numFmtId="0" fontId="221" fillId="0" borderId="0" applyFill="0" applyBorder="0" applyProtection="0">
      <alignment horizontal="left" vertical="top"/>
    </xf>
    <xf numFmtId="40" fontId="222" fillId="0" borderId="0"/>
    <xf numFmtId="3" fontId="223" fillId="52" borderId="0" applyNumberFormat="0">
      <alignment horizontal="centerContinuous"/>
    </xf>
    <xf numFmtId="291" fontId="224" fillId="56" borderId="0" applyNumberFormat="0" applyBorder="0">
      <alignment horizontal="center"/>
      <protection locked="0"/>
    </xf>
    <xf numFmtId="291" fontId="198" fillId="75" borderId="0" applyNumberFormat="0" applyBorder="0">
      <alignment horizontal="center"/>
      <protection locked="0"/>
    </xf>
    <xf numFmtId="291" fontId="197" fillId="52" borderId="0" applyNumberFormat="0" applyBorder="0">
      <alignment horizontal="left"/>
      <protection locked="0"/>
    </xf>
    <xf numFmtId="291" fontId="225" fillId="75" borderId="0" applyNumberFormat="0" applyBorder="0">
      <protection locked="0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26" fillId="0" borderId="56"/>
    <xf numFmtId="0" fontId="185" fillId="0" borderId="0"/>
    <xf numFmtId="0" fontId="168" fillId="0" borderId="28"/>
    <xf numFmtId="0" fontId="168" fillId="0" borderId="28"/>
    <xf numFmtId="0" fontId="168" fillId="0" borderId="28"/>
    <xf numFmtId="0" fontId="168" fillId="0" borderId="28"/>
    <xf numFmtId="0" fontId="168" fillId="0" borderId="28"/>
    <xf numFmtId="0" fontId="3" fillId="0" borderId="21" applyNumberFormat="0" applyFont="0" applyFill="0" applyAlignment="0" applyProtection="0"/>
    <xf numFmtId="0" fontId="3" fillId="0" borderId="0"/>
    <xf numFmtId="37" fontId="36" fillId="61" borderId="0" applyNumberFormat="0" applyBorder="0" applyAlignment="0" applyProtection="0"/>
    <xf numFmtId="37" fontId="36" fillId="0" borderId="0"/>
    <xf numFmtId="3" fontId="227" fillId="0" borderId="57" applyProtection="0"/>
    <xf numFmtId="0" fontId="228" fillId="0" borderId="0">
      <alignment vertical="top"/>
    </xf>
    <xf numFmtId="248" fontId="3" fillId="0" borderId="0" applyFont="0" applyFill="0" applyBorder="0" applyAlignment="0" applyProtection="0"/>
    <xf numFmtId="313" fontId="3" fillId="0" borderId="0" applyFont="0" applyFill="0" applyBorder="0" applyAlignment="0" applyProtection="0"/>
    <xf numFmtId="247" fontId="3" fillId="0" borderId="0" applyFont="0" applyFill="0" applyBorder="0" applyAlignment="0" applyProtection="0"/>
    <xf numFmtId="314" fontId="46" fillId="0" borderId="0" applyFont="0" applyFill="0" applyBorder="0" applyAlignment="0" applyProtection="0"/>
    <xf numFmtId="39" fontId="71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>
      <alignment horizontal="center" textRotation="180"/>
    </xf>
    <xf numFmtId="0" fontId="229" fillId="0" borderId="0"/>
    <xf numFmtId="214" fontId="38" fillId="0" borderId="0" applyFont="0" applyFill="0" applyBorder="0" applyAlignment="0" applyProtection="0"/>
    <xf numFmtId="187" fontId="27" fillId="0" borderId="0" applyFont="0" applyFill="0" applyBorder="0" applyAlignment="0" applyProtection="0"/>
    <xf numFmtId="248" fontId="3" fillId="0" borderId="0" applyFont="0" applyFill="0" applyBorder="0" applyAlignment="0" applyProtection="0"/>
    <xf numFmtId="247" fontId="3" fillId="0" borderId="0" applyFont="0" applyFill="0" applyBorder="0" applyAlignment="0" applyProtection="0"/>
    <xf numFmtId="0" fontId="230" fillId="0" borderId="0" applyNumberFormat="0" applyFill="0" applyBorder="0" applyAlignment="0" applyProtection="0">
      <alignment vertical="center"/>
    </xf>
    <xf numFmtId="0" fontId="71" fillId="0" borderId="0" applyNumberFormat="0" applyFont="0" applyFill="0" applyBorder="0" applyProtection="0">
      <alignment horizontal="center" vertical="center" wrapText="1"/>
    </xf>
    <xf numFmtId="199" fontId="27" fillId="0" borderId="0" applyFont="0" applyFill="0" applyBorder="0" applyAlignment="0" applyProtection="0"/>
    <xf numFmtId="189" fontId="3" fillId="0" borderId="0" applyFont="0" applyFill="0" applyBorder="0" applyAlignment="0" applyProtection="0"/>
    <xf numFmtId="40" fontId="38" fillId="0" borderId="0" applyFont="0" applyFill="0" applyBorder="0" applyAlignment="0" applyProtection="0"/>
    <xf numFmtId="0" fontId="28" fillId="0" borderId="0">
      <alignment vertical="center"/>
    </xf>
    <xf numFmtId="0" fontId="28" fillId="0" borderId="0">
      <alignment vertical="center"/>
    </xf>
    <xf numFmtId="0" fontId="28" fillId="86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66" fillId="29" borderId="0" applyNumberFormat="0" applyBorder="0" applyAlignment="0" applyProtection="0">
      <alignment vertical="center"/>
    </xf>
    <xf numFmtId="0" fontId="28" fillId="9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28" fillId="94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  <xf numFmtId="0" fontId="28" fillId="98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28" fillId="102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28" fillId="106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28" fillId="87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28" fillId="91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28" fillId="95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28" fillId="99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66" fillId="32" borderId="0" applyNumberFormat="0" applyBorder="0" applyAlignment="0" applyProtection="0">
      <alignment vertical="center"/>
    </xf>
    <xf numFmtId="0" fontId="28" fillId="103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66" fillId="24" borderId="0" applyNumberFormat="0" applyBorder="0" applyAlignment="0" applyProtection="0">
      <alignment vertical="center"/>
    </xf>
    <xf numFmtId="0" fontId="28" fillId="107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66" fillId="35" borderId="0" applyNumberFormat="0" applyBorder="0" applyAlignment="0" applyProtection="0">
      <alignment vertical="center"/>
    </xf>
    <xf numFmtId="0" fontId="39" fillId="88" borderId="0" applyNumberFormat="0" applyBorder="0" applyAlignment="0" applyProtection="0">
      <alignment vertical="center"/>
    </xf>
    <xf numFmtId="0" fontId="39" fillId="92" borderId="0" applyNumberFormat="0" applyBorder="0" applyAlignment="0" applyProtection="0">
      <alignment vertical="center"/>
    </xf>
    <xf numFmtId="0" fontId="39" fillId="96" borderId="0" applyNumberFormat="0" applyBorder="0" applyAlignment="0" applyProtection="0">
      <alignment vertical="center"/>
    </xf>
    <xf numFmtId="0" fontId="39" fillId="100" borderId="0" applyNumberFormat="0" applyBorder="0" applyAlignment="0" applyProtection="0">
      <alignment vertical="center"/>
    </xf>
    <xf numFmtId="0" fontId="39" fillId="104" borderId="0" applyNumberFormat="0" applyBorder="0" applyAlignment="0" applyProtection="0">
      <alignment vertical="center"/>
    </xf>
    <xf numFmtId="0" fontId="39" fillId="108" borderId="0" applyNumberFormat="0" applyBorder="0" applyAlignment="0" applyProtection="0">
      <alignment vertical="center"/>
    </xf>
    <xf numFmtId="0" fontId="39" fillId="85" borderId="0" applyNumberFormat="0" applyBorder="0" applyAlignment="0" applyProtection="0">
      <alignment vertical="center"/>
    </xf>
    <xf numFmtId="0" fontId="39" fillId="89" borderId="0" applyNumberFormat="0" applyBorder="0" applyAlignment="0" applyProtection="0">
      <alignment vertical="center"/>
    </xf>
    <xf numFmtId="0" fontId="39" fillId="93" borderId="0" applyNumberFormat="0" applyBorder="0" applyAlignment="0" applyProtection="0">
      <alignment vertical="center"/>
    </xf>
    <xf numFmtId="0" fontId="39" fillId="97" borderId="0" applyNumberFormat="0" applyBorder="0" applyAlignment="0" applyProtection="0">
      <alignment vertical="center"/>
    </xf>
    <xf numFmtId="0" fontId="39" fillId="101" borderId="0" applyNumberFormat="0" applyBorder="0" applyAlignment="0" applyProtection="0">
      <alignment vertical="center"/>
    </xf>
    <xf numFmtId="0" fontId="39" fillId="105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3" fillId="82" borderId="68" applyNumberFormat="0" applyAlignment="0" applyProtection="0">
      <alignment vertical="center"/>
    </xf>
    <xf numFmtId="0" fontId="234" fillId="79" borderId="0" applyNumberFormat="0" applyBorder="0" applyAlignment="0" applyProtection="0">
      <alignment vertical="center"/>
    </xf>
    <xf numFmtId="0" fontId="28" fillId="84" borderId="72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0" fontId="66" fillId="26" borderId="25" applyNumberFormat="0" applyFont="0" applyAlignment="0" applyProtection="0">
      <alignment vertical="center"/>
    </xf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35" fillId="80" borderId="0" applyNumberFormat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40" fillId="83" borderId="71" applyNumberFormat="0" applyAlignment="0" applyProtection="0">
      <alignment vertical="center"/>
    </xf>
    <xf numFmtId="0" fontId="27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0" fontId="237" fillId="0" borderId="70" applyNumberFormat="0" applyFill="0" applyAlignment="0" applyProtection="0">
      <alignment vertical="center"/>
    </xf>
    <xf numFmtId="0" fontId="42" fillId="0" borderId="73" applyNumberFormat="0" applyFill="0" applyAlignment="0" applyProtection="0">
      <alignment vertical="center"/>
    </xf>
    <xf numFmtId="0" fontId="238" fillId="81" borderId="68" applyNumberFormat="0" applyAlignment="0" applyProtection="0">
      <alignment vertical="center"/>
    </xf>
    <xf numFmtId="0" fontId="239" fillId="0" borderId="65" applyNumberFormat="0" applyFill="0" applyAlignment="0" applyProtection="0">
      <alignment vertical="center"/>
    </xf>
    <xf numFmtId="0" fontId="240" fillId="0" borderId="66" applyNumberFormat="0" applyFill="0" applyAlignment="0" applyProtection="0">
      <alignment vertical="center"/>
    </xf>
    <xf numFmtId="0" fontId="241" fillId="0" borderId="67" applyNumberFormat="0" applyFill="0" applyAlignment="0" applyProtection="0">
      <alignment vertical="center"/>
    </xf>
    <xf numFmtId="0" fontId="241" fillId="0" borderId="0" applyNumberFormat="0" applyFill="0" applyBorder="0" applyAlignment="0" applyProtection="0">
      <alignment vertical="center"/>
    </xf>
    <xf numFmtId="0" fontId="242" fillId="0" borderId="0" applyNumberFormat="0" applyFill="0" applyBorder="0" applyAlignment="0" applyProtection="0">
      <alignment vertical="center"/>
    </xf>
    <xf numFmtId="0" fontId="243" fillId="78" borderId="0" applyNumberFormat="0" applyBorder="0" applyAlignment="0" applyProtection="0">
      <alignment vertical="center"/>
    </xf>
    <xf numFmtId="0" fontId="244" fillId="82" borderId="69" applyNumberFormat="0" applyAlignment="0" applyProtection="0">
      <alignment vertical="center"/>
    </xf>
    <xf numFmtId="245" fontId="27" fillId="0" borderId="0" applyFont="0" applyFill="0" applyBorder="0" applyAlignment="0" applyProtection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4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66" fillId="0" borderId="0">
      <alignment vertical="center"/>
    </xf>
    <xf numFmtId="0" fontId="27" fillId="0" borderId="0" applyFont="0" applyAlignment="0"/>
    <xf numFmtId="0" fontId="27" fillId="0" borderId="0" applyFont="0" applyAlignment="0"/>
    <xf numFmtId="0" fontId="27" fillId="0" borderId="0" applyFont="0" applyAlignment="0"/>
    <xf numFmtId="0" fontId="27" fillId="0" borderId="0" applyFont="0" applyAlignment="0"/>
    <xf numFmtId="0" fontId="27" fillId="0" borderId="0" applyFont="0" applyAlignment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245" fillId="0" borderId="74" applyNumberFormat="0" applyFill="0" applyAlignment="0" applyProtection="0">
      <alignment vertical="center"/>
    </xf>
    <xf numFmtId="0" fontId="246" fillId="0" borderId="75" applyNumberFormat="0" applyFill="0" applyAlignment="0" applyProtection="0">
      <alignment vertical="center"/>
    </xf>
    <xf numFmtId="0" fontId="170" fillId="0" borderId="76" applyNumberFormat="0" applyFill="0" applyAlignment="0" applyProtection="0">
      <alignment vertical="center"/>
    </xf>
    <xf numFmtId="0" fontId="247" fillId="27" borderId="24" applyNumberFormat="0" applyAlignment="0" applyProtection="0">
      <alignment vertical="center"/>
    </xf>
    <xf numFmtId="0" fontId="247" fillId="27" borderId="24" applyNumberFormat="0" applyAlignment="0" applyProtection="0">
      <alignment vertical="center"/>
    </xf>
    <xf numFmtId="0" fontId="247" fillId="27" borderId="24" applyNumberFormat="0" applyAlignment="0" applyProtection="0">
      <alignment vertical="center"/>
    </xf>
    <xf numFmtId="0" fontId="67" fillId="26" borderId="25" applyNumberFormat="0" applyFont="0" applyAlignment="0" applyProtection="0">
      <alignment vertical="center"/>
    </xf>
    <xf numFmtId="0" fontId="248" fillId="0" borderId="0" applyNumberFormat="0" applyFill="0" applyBorder="0" applyAlignment="0" applyProtection="0">
      <alignment vertical="center"/>
    </xf>
    <xf numFmtId="0" fontId="249" fillId="0" borderId="77" applyNumberFormat="0" applyFill="0" applyAlignment="0" applyProtection="0">
      <alignment vertical="center"/>
    </xf>
    <xf numFmtId="0" fontId="4" fillId="0" borderId="0">
      <alignment vertical="center"/>
    </xf>
    <xf numFmtId="0" fontId="257" fillId="0" borderId="0" applyNumberFormat="0" applyFill="0" applyBorder="0" applyAlignment="0" applyProtection="0">
      <alignment vertical="center"/>
    </xf>
    <xf numFmtId="0" fontId="258" fillId="0" borderId="65" applyNumberFormat="0" applyFill="0" applyAlignment="0" applyProtection="0">
      <alignment vertical="center"/>
    </xf>
    <xf numFmtId="0" fontId="259" fillId="0" borderId="66" applyNumberFormat="0" applyFill="0" applyAlignment="0" applyProtection="0">
      <alignment vertical="center"/>
    </xf>
    <xf numFmtId="0" fontId="260" fillId="0" borderId="67" applyNumberFormat="0" applyFill="0" applyAlignment="0" applyProtection="0">
      <alignment vertical="center"/>
    </xf>
    <xf numFmtId="0" fontId="260" fillId="0" borderId="0" applyNumberFormat="0" applyFill="0" applyBorder="0" applyAlignment="0" applyProtection="0">
      <alignment vertical="center"/>
    </xf>
    <xf numFmtId="0" fontId="261" fillId="78" borderId="0" applyNumberFormat="0" applyBorder="0" applyAlignment="0" applyProtection="0">
      <alignment vertical="center"/>
    </xf>
    <xf numFmtId="0" fontId="262" fillId="79" borderId="0" applyNumberFormat="0" applyBorder="0" applyAlignment="0" applyProtection="0">
      <alignment vertical="center"/>
    </xf>
    <xf numFmtId="0" fontId="263" fillId="80" borderId="0" applyNumberFormat="0" applyBorder="0" applyAlignment="0" applyProtection="0">
      <alignment vertical="center"/>
    </xf>
    <xf numFmtId="0" fontId="264" fillId="81" borderId="68" applyNumberFormat="0" applyAlignment="0" applyProtection="0">
      <alignment vertical="center"/>
    </xf>
    <xf numFmtId="0" fontId="265" fillId="82" borderId="69" applyNumberFormat="0" applyAlignment="0" applyProtection="0">
      <alignment vertical="center"/>
    </xf>
    <xf numFmtId="0" fontId="266" fillId="82" borderId="68" applyNumberFormat="0" applyAlignment="0" applyProtection="0">
      <alignment vertical="center"/>
    </xf>
    <xf numFmtId="0" fontId="267" fillId="0" borderId="70" applyNumberFormat="0" applyFill="0" applyAlignment="0" applyProtection="0">
      <alignment vertical="center"/>
    </xf>
    <xf numFmtId="0" fontId="268" fillId="83" borderId="71" applyNumberFormat="0" applyAlignment="0" applyProtection="0">
      <alignment vertical="center"/>
    </xf>
    <xf numFmtId="0" fontId="269" fillId="0" borderId="0" applyNumberFormat="0" applyFill="0" applyBorder="0" applyAlignment="0" applyProtection="0">
      <alignment vertical="center"/>
    </xf>
    <xf numFmtId="0" fontId="25" fillId="84" borderId="72" applyNumberFormat="0" applyFont="0" applyAlignment="0" applyProtection="0">
      <alignment vertical="center"/>
    </xf>
    <xf numFmtId="0" fontId="270" fillId="0" borderId="0" applyNumberFormat="0" applyFill="0" applyBorder="0" applyAlignment="0" applyProtection="0">
      <alignment vertical="center"/>
    </xf>
    <xf numFmtId="0" fontId="271" fillId="0" borderId="73" applyNumberFormat="0" applyFill="0" applyAlignment="0" applyProtection="0">
      <alignment vertical="center"/>
    </xf>
    <xf numFmtId="0" fontId="24" fillId="85" borderId="0" applyNumberFormat="0" applyBorder="0" applyAlignment="0" applyProtection="0">
      <alignment vertical="center"/>
    </xf>
    <xf numFmtId="0" fontId="25" fillId="86" borderId="0" applyNumberFormat="0" applyBorder="0" applyAlignment="0" applyProtection="0">
      <alignment vertical="center"/>
    </xf>
    <xf numFmtId="0" fontId="25" fillId="87" borderId="0" applyNumberFormat="0" applyBorder="0" applyAlignment="0" applyProtection="0">
      <alignment vertical="center"/>
    </xf>
    <xf numFmtId="0" fontId="24" fillId="88" borderId="0" applyNumberFormat="0" applyBorder="0" applyAlignment="0" applyProtection="0">
      <alignment vertical="center"/>
    </xf>
    <xf numFmtId="0" fontId="24" fillId="89" borderId="0" applyNumberFormat="0" applyBorder="0" applyAlignment="0" applyProtection="0">
      <alignment vertical="center"/>
    </xf>
    <xf numFmtId="0" fontId="25" fillId="90" borderId="0" applyNumberFormat="0" applyBorder="0" applyAlignment="0" applyProtection="0">
      <alignment vertical="center"/>
    </xf>
    <xf numFmtId="0" fontId="25" fillId="91" borderId="0" applyNumberFormat="0" applyBorder="0" applyAlignment="0" applyProtection="0">
      <alignment vertical="center"/>
    </xf>
    <xf numFmtId="0" fontId="24" fillId="92" borderId="0" applyNumberFormat="0" applyBorder="0" applyAlignment="0" applyProtection="0">
      <alignment vertical="center"/>
    </xf>
    <xf numFmtId="0" fontId="24" fillId="93" borderId="0" applyNumberFormat="0" applyBorder="0" applyAlignment="0" applyProtection="0">
      <alignment vertical="center"/>
    </xf>
    <xf numFmtId="0" fontId="25" fillId="94" borderId="0" applyNumberFormat="0" applyBorder="0" applyAlignment="0" applyProtection="0">
      <alignment vertical="center"/>
    </xf>
    <xf numFmtId="0" fontId="25" fillId="95" borderId="0" applyNumberFormat="0" applyBorder="0" applyAlignment="0" applyProtection="0">
      <alignment vertical="center"/>
    </xf>
    <xf numFmtId="0" fontId="24" fillId="96" borderId="0" applyNumberFormat="0" applyBorder="0" applyAlignment="0" applyProtection="0">
      <alignment vertical="center"/>
    </xf>
    <xf numFmtId="0" fontId="24" fillId="97" borderId="0" applyNumberFormat="0" applyBorder="0" applyAlignment="0" applyProtection="0">
      <alignment vertical="center"/>
    </xf>
    <xf numFmtId="0" fontId="25" fillId="98" borderId="0" applyNumberFormat="0" applyBorder="0" applyAlignment="0" applyProtection="0">
      <alignment vertical="center"/>
    </xf>
    <xf numFmtId="0" fontId="25" fillId="99" borderId="0" applyNumberFormat="0" applyBorder="0" applyAlignment="0" applyProtection="0">
      <alignment vertical="center"/>
    </xf>
    <xf numFmtId="0" fontId="24" fillId="100" borderId="0" applyNumberFormat="0" applyBorder="0" applyAlignment="0" applyProtection="0">
      <alignment vertical="center"/>
    </xf>
    <xf numFmtId="0" fontId="24" fillId="101" borderId="0" applyNumberFormat="0" applyBorder="0" applyAlignment="0" applyProtection="0">
      <alignment vertical="center"/>
    </xf>
    <xf numFmtId="0" fontId="25" fillId="102" borderId="0" applyNumberFormat="0" applyBorder="0" applyAlignment="0" applyProtection="0">
      <alignment vertical="center"/>
    </xf>
    <xf numFmtId="0" fontId="25" fillId="103" borderId="0" applyNumberFormat="0" applyBorder="0" applyAlignment="0" applyProtection="0">
      <alignment vertical="center"/>
    </xf>
    <xf numFmtId="0" fontId="24" fillId="104" borderId="0" applyNumberFormat="0" applyBorder="0" applyAlignment="0" applyProtection="0">
      <alignment vertical="center"/>
    </xf>
    <xf numFmtId="0" fontId="24" fillId="105" borderId="0" applyNumberFormat="0" applyBorder="0" applyAlignment="0" applyProtection="0">
      <alignment vertical="center"/>
    </xf>
    <xf numFmtId="0" fontId="25" fillId="106" borderId="0" applyNumberFormat="0" applyBorder="0" applyAlignment="0" applyProtection="0">
      <alignment vertical="center"/>
    </xf>
    <xf numFmtId="0" fontId="25" fillId="107" borderId="0" applyNumberFormat="0" applyBorder="0" applyAlignment="0" applyProtection="0">
      <alignment vertical="center"/>
    </xf>
    <xf numFmtId="0" fontId="24" fillId="10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4" fillId="0" borderId="0"/>
    <xf numFmtId="41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80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79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3" fillId="0" borderId="0"/>
    <xf numFmtId="0" fontId="300" fillId="0" borderId="0" applyNumberFormat="0" applyFill="0" applyBorder="0" applyAlignment="0" applyProtection="0">
      <alignment vertical="center"/>
    </xf>
    <xf numFmtId="0" fontId="300" fillId="0" borderId="0" applyNumberFormat="0" applyFill="0" applyBorder="0" applyAlignment="0" applyProtection="0">
      <alignment vertical="center"/>
    </xf>
    <xf numFmtId="0" fontId="30" fillId="0" borderId="0"/>
    <xf numFmtId="41" fontId="30" fillId="0" borderId="0" applyFont="0" applyFill="0" applyBorder="0" applyAlignment="0" applyProtection="0">
      <alignment vertical="center"/>
    </xf>
    <xf numFmtId="0" fontId="30" fillId="0" borderId="0"/>
    <xf numFmtId="9" fontId="30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</cellStyleXfs>
  <cellXfs count="507">
    <xf numFmtId="0" fontId="0" fillId="0" borderId="0" xfId="0">
      <alignment vertical="center"/>
    </xf>
    <xf numFmtId="176" fontId="13" fillId="0" borderId="0" xfId="0" applyNumberFormat="1" applyFont="1" applyBorder="1" applyAlignment="1">
      <alignment horizontal="center" vertical="center"/>
    </xf>
    <xf numFmtId="178" fontId="9" fillId="0" borderId="0" xfId="0" applyNumberFormat="1" applyFont="1" applyBorder="1">
      <alignment vertical="center"/>
    </xf>
    <xf numFmtId="176" fontId="9" fillId="0" borderId="0" xfId="0" applyNumberFormat="1" applyFont="1" applyBorder="1">
      <alignment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1" fontId="6" fillId="17" borderId="2" xfId="0" applyNumberFormat="1" applyFont="1" applyFill="1" applyBorder="1">
      <alignment vertical="center"/>
    </xf>
    <xf numFmtId="41" fontId="6" fillId="0" borderId="0" xfId="0" applyNumberFormat="1" applyFont="1" applyBorder="1">
      <alignment vertical="center"/>
    </xf>
    <xf numFmtId="41" fontId="11" fillId="17" borderId="12" xfId="0" applyNumberFormat="1" applyFont="1" applyFill="1" applyBorder="1" applyAlignment="1">
      <alignment horizontal="center" vertical="center"/>
    </xf>
    <xf numFmtId="41" fontId="11" fillId="0" borderId="0" xfId="0" applyNumberFormat="1" applyFont="1" applyBorder="1" applyAlignment="1">
      <alignment horizontal="center" vertical="center"/>
    </xf>
    <xf numFmtId="41" fontId="10" fillId="5" borderId="10" xfId="0" applyNumberFormat="1" applyFont="1" applyFill="1" applyBorder="1">
      <alignment vertical="center"/>
    </xf>
    <xf numFmtId="41" fontId="6" fillId="17" borderId="6" xfId="0" applyNumberFormat="1" applyFont="1" applyFill="1" applyBorder="1">
      <alignment vertical="center"/>
    </xf>
    <xf numFmtId="41" fontId="6" fillId="4" borderId="14" xfId="0" applyNumberFormat="1" applyFont="1" applyFill="1" applyBorder="1">
      <alignment vertical="center"/>
    </xf>
    <xf numFmtId="41" fontId="6" fillId="4" borderId="5" xfId="0" applyNumberFormat="1" applyFont="1" applyFill="1" applyBorder="1">
      <alignment vertical="center"/>
    </xf>
    <xf numFmtId="41" fontId="6" fillId="0" borderId="0" xfId="0" applyNumberFormat="1" applyFont="1" applyFill="1" applyBorder="1">
      <alignment vertical="center"/>
    </xf>
    <xf numFmtId="41" fontId="11" fillId="17" borderId="6" xfId="0" applyNumberFormat="1" applyFont="1" applyFill="1" applyBorder="1">
      <alignment vertical="center"/>
    </xf>
    <xf numFmtId="41" fontId="6" fillId="6" borderId="14" xfId="0" applyNumberFormat="1" applyFont="1" applyFill="1" applyBorder="1">
      <alignment vertical="center"/>
    </xf>
    <xf numFmtId="41" fontId="6" fillId="4" borderId="0" xfId="0" applyNumberFormat="1" applyFont="1" applyFill="1" applyBorder="1">
      <alignment vertical="center"/>
    </xf>
    <xf numFmtId="41" fontId="6" fillId="17" borderId="6" xfId="0" quotePrefix="1" applyNumberFormat="1" applyFont="1" applyFill="1" applyBorder="1">
      <alignment vertical="center"/>
    </xf>
    <xf numFmtId="41" fontId="6" fillId="0" borderId="14" xfId="0" applyNumberFormat="1" applyFont="1" applyBorder="1">
      <alignment vertical="center"/>
    </xf>
    <xf numFmtId="41" fontId="10" fillId="5" borderId="5" xfId="0" applyNumberFormat="1" applyFont="1" applyFill="1" applyBorder="1">
      <alignment vertical="center"/>
    </xf>
    <xf numFmtId="41" fontId="6" fillId="11" borderId="5" xfId="0" applyNumberFormat="1" applyFont="1" applyFill="1" applyBorder="1">
      <alignment vertical="center"/>
    </xf>
    <xf numFmtId="41" fontId="11" fillId="0" borderId="14" xfId="0" applyNumberFormat="1" applyFont="1" applyBorder="1">
      <alignment vertical="center"/>
    </xf>
    <xf numFmtId="41" fontId="6" fillId="4" borderId="6" xfId="0" applyNumberFormat="1" applyFont="1" applyFill="1" applyBorder="1">
      <alignment vertical="center"/>
    </xf>
    <xf numFmtId="41" fontId="11" fillId="0" borderId="0" xfId="0" applyNumberFormat="1" applyFont="1" applyFill="1" applyBorder="1">
      <alignment vertical="center"/>
    </xf>
    <xf numFmtId="41" fontId="8" fillId="3" borderId="5" xfId="0" applyNumberFormat="1" applyFont="1" applyFill="1" applyBorder="1">
      <alignment vertical="center"/>
    </xf>
    <xf numFmtId="41" fontId="8" fillId="17" borderId="6" xfId="0" applyNumberFormat="1" applyFont="1" applyFill="1" applyBorder="1">
      <alignment vertical="center"/>
    </xf>
    <xf numFmtId="41" fontId="6" fillId="5" borderId="0" xfId="0" applyNumberFormat="1" applyFont="1" applyFill="1" applyBorder="1">
      <alignment vertical="center"/>
    </xf>
    <xf numFmtId="41" fontId="8" fillId="0" borderId="0" xfId="0" applyNumberFormat="1" applyFont="1" applyBorder="1">
      <alignment vertical="center"/>
    </xf>
    <xf numFmtId="41" fontId="11" fillId="5" borderId="5" xfId="0" applyNumberFormat="1" applyFont="1" applyFill="1" applyBorder="1">
      <alignment vertical="center"/>
    </xf>
    <xf numFmtId="41" fontId="11" fillId="5" borderId="0" xfId="0" applyNumberFormat="1" applyFont="1" applyFill="1" applyBorder="1">
      <alignment vertical="center"/>
    </xf>
    <xf numFmtId="41" fontId="11" fillId="5" borderId="14" xfId="0" applyNumberFormat="1" applyFont="1" applyFill="1" applyBorder="1">
      <alignment vertical="center"/>
    </xf>
    <xf numFmtId="41" fontId="11" fillId="0" borderId="14" xfId="0" applyNumberFormat="1" applyFont="1" applyFill="1" applyBorder="1">
      <alignment vertical="center"/>
    </xf>
    <xf numFmtId="41" fontId="6" fillId="0" borderId="11" xfId="0" applyNumberFormat="1" applyFont="1" applyBorder="1">
      <alignment vertical="center"/>
    </xf>
    <xf numFmtId="41" fontId="6" fillId="17" borderId="12" xfId="0" applyNumberFormat="1" applyFont="1" applyFill="1" applyBorder="1">
      <alignment vertical="center"/>
    </xf>
    <xf numFmtId="41" fontId="9" fillId="0" borderId="0" xfId="0" applyNumberFormat="1" applyFont="1" applyBorder="1">
      <alignment vertical="center"/>
    </xf>
    <xf numFmtId="41" fontId="13" fillId="0" borderId="0" xfId="0" applyNumberFormat="1" applyFont="1" applyBorder="1" applyAlignment="1">
      <alignment horizontal="center" vertical="center"/>
    </xf>
    <xf numFmtId="41" fontId="9" fillId="0" borderId="14" xfId="0" applyNumberFormat="1" applyFont="1" applyBorder="1">
      <alignment vertical="center"/>
    </xf>
    <xf numFmtId="41" fontId="9" fillId="0" borderId="14" xfId="0" applyNumberFormat="1" applyFont="1" applyFill="1" applyBorder="1">
      <alignment vertical="center"/>
    </xf>
    <xf numFmtId="41" fontId="9" fillId="5" borderId="5" xfId="0" applyNumberFormat="1" applyFont="1" applyFill="1" applyBorder="1">
      <alignment vertical="center"/>
    </xf>
    <xf numFmtId="41" fontId="9" fillId="7" borderId="5" xfId="0" applyNumberFormat="1" applyFont="1" applyFill="1" applyBorder="1">
      <alignment vertical="center"/>
    </xf>
    <xf numFmtId="41" fontId="9" fillId="6" borderId="0" xfId="0" applyNumberFormat="1" applyFont="1" applyFill="1" applyBorder="1">
      <alignment vertical="center"/>
    </xf>
    <xf numFmtId="41" fontId="6" fillId="0" borderId="0" xfId="0" quotePrefix="1" applyNumberFormat="1" applyFont="1" applyBorder="1">
      <alignment vertical="center"/>
    </xf>
    <xf numFmtId="41" fontId="9" fillId="6" borderId="5" xfId="0" applyNumberFormat="1" applyFont="1" applyFill="1" applyBorder="1">
      <alignment vertical="center"/>
    </xf>
    <xf numFmtId="41" fontId="9" fillId="8" borderId="5" xfId="0" applyNumberFormat="1" applyFont="1" applyFill="1" applyBorder="1">
      <alignment vertical="center"/>
    </xf>
    <xf numFmtId="41" fontId="9" fillId="9" borderId="14" xfId="0" applyNumberFormat="1" applyFont="1" applyFill="1" applyBorder="1">
      <alignment vertical="center"/>
    </xf>
    <xf numFmtId="41" fontId="9" fillId="9" borderId="5" xfId="0" applyNumberFormat="1" applyFont="1" applyFill="1" applyBorder="1">
      <alignment vertical="center"/>
    </xf>
    <xf numFmtId="41" fontId="9" fillId="3" borderId="5" xfId="0" applyNumberFormat="1" applyFont="1" applyFill="1" applyBorder="1">
      <alignment vertical="center"/>
    </xf>
    <xf numFmtId="41" fontId="16" fillId="0" borderId="14" xfId="0" applyNumberFormat="1" applyFont="1" applyBorder="1">
      <alignment vertical="center"/>
    </xf>
    <xf numFmtId="41" fontId="9" fillId="0" borderId="5" xfId="0" applyNumberFormat="1" applyFont="1" applyBorder="1">
      <alignment vertical="center"/>
    </xf>
    <xf numFmtId="41" fontId="9" fillId="0" borderId="11" xfId="0" applyNumberFormat="1" applyFont="1" applyBorder="1">
      <alignment vertical="center"/>
    </xf>
    <xf numFmtId="41" fontId="16" fillId="17" borderId="9" xfId="0" applyNumberFormat="1" applyFont="1" applyFill="1" applyBorder="1">
      <alignment vertical="center"/>
    </xf>
    <xf numFmtId="41" fontId="41" fillId="17" borderId="9" xfId="0" applyNumberFormat="1" applyFont="1" applyFill="1" applyBorder="1" applyAlignment="1">
      <alignment horizontal="center" vertical="center"/>
    </xf>
    <xf numFmtId="41" fontId="9" fillId="17" borderId="6" xfId="0" applyNumberFormat="1" applyFont="1" applyFill="1" applyBorder="1">
      <alignment vertical="center"/>
    </xf>
    <xf numFmtId="41" fontId="9" fillId="17" borderId="12" xfId="0" applyNumberFormat="1" applyFont="1" applyFill="1" applyBorder="1">
      <alignment vertical="center"/>
    </xf>
    <xf numFmtId="176" fontId="9" fillId="5" borderId="10" xfId="0" applyNumberFormat="1" applyFont="1" applyFill="1" applyBorder="1">
      <alignment vertical="center"/>
    </xf>
    <xf numFmtId="176" fontId="9" fillId="5" borderId="5" xfId="0" applyNumberFormat="1" applyFont="1" applyFill="1" applyBorder="1">
      <alignment vertical="center"/>
    </xf>
    <xf numFmtId="176" fontId="9" fillId="17" borderId="6" xfId="0" applyNumberFormat="1" applyFont="1" applyFill="1" applyBorder="1">
      <alignment vertical="center"/>
    </xf>
    <xf numFmtId="0" fontId="1" fillId="0" borderId="0" xfId="0" applyFont="1">
      <alignment vertical="center"/>
    </xf>
    <xf numFmtId="315" fontId="1" fillId="0" borderId="0" xfId="0" applyNumberFormat="1" applyFont="1">
      <alignment vertical="center"/>
    </xf>
    <xf numFmtId="41" fontId="11" fillId="5" borderId="3" xfId="0" applyNumberFormat="1" applyFont="1" applyFill="1" applyBorder="1">
      <alignment vertical="center"/>
    </xf>
    <xf numFmtId="41" fontId="11" fillId="6" borderId="14" xfId="0" applyNumberFormat="1" applyFont="1" applyFill="1" applyBorder="1">
      <alignment vertical="center"/>
    </xf>
    <xf numFmtId="41" fontId="6" fillId="4" borderId="2" xfId="0" applyNumberFormat="1" applyFont="1" applyFill="1" applyBorder="1">
      <alignment vertical="center"/>
    </xf>
    <xf numFmtId="41" fontId="11" fillId="0" borderId="4" xfId="0" applyNumberFormat="1" applyFont="1" applyBorder="1">
      <alignment vertical="center"/>
    </xf>
    <xf numFmtId="41" fontId="11" fillId="4" borderId="14" xfId="0" applyNumberFormat="1" applyFont="1" applyFill="1" applyBorder="1">
      <alignment vertical="center"/>
    </xf>
    <xf numFmtId="41" fontId="12" fillId="17" borderId="12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0" borderId="6" xfId="0" applyFont="1" applyBorder="1" applyAlignment="1">
      <alignment vertical="center"/>
    </xf>
    <xf numFmtId="315" fontId="11" fillId="0" borderId="0" xfId="0" applyNumberFormat="1" applyFont="1" applyBorder="1" applyAlignment="1">
      <alignment vertical="center"/>
    </xf>
    <xf numFmtId="315" fontId="11" fillId="0" borderId="6" xfId="0" applyNumberFormat="1" applyFont="1" applyBorder="1" applyAlignment="1">
      <alignment vertical="center"/>
    </xf>
    <xf numFmtId="0" fontId="6" fillId="0" borderId="0" xfId="0" applyFont="1">
      <alignment vertical="center"/>
    </xf>
    <xf numFmtId="0" fontId="10" fillId="0" borderId="6" xfId="0" applyFont="1" applyBorder="1" applyAlignment="1">
      <alignment vertical="center"/>
    </xf>
    <xf numFmtId="315" fontId="10" fillId="0" borderId="0" xfId="0" applyNumberFormat="1" applyFont="1" applyBorder="1" applyAlignment="1">
      <alignment vertical="center"/>
    </xf>
    <xf numFmtId="0" fontId="232" fillId="17" borderId="6" xfId="0" applyFont="1" applyFill="1" applyBorder="1" applyAlignment="1">
      <alignment vertical="center"/>
    </xf>
    <xf numFmtId="315" fontId="11" fillId="0" borderId="0" xfId="0" applyNumberFormat="1" applyFont="1" applyBorder="1" applyAlignment="1">
      <alignment horizontal="right" vertical="center"/>
    </xf>
    <xf numFmtId="315" fontId="12" fillId="0" borderId="6" xfId="0" applyNumberFormat="1" applyFont="1" applyBorder="1" applyAlignment="1">
      <alignment vertical="center"/>
    </xf>
    <xf numFmtId="315" fontId="12" fillId="17" borderId="0" xfId="0" applyNumberFormat="1" applyFont="1" applyFill="1" applyBorder="1" applyAlignment="1">
      <alignment horizontal="right" vertical="center"/>
    </xf>
    <xf numFmtId="315" fontId="12" fillId="0" borderId="0" xfId="0" applyNumberFormat="1" applyFont="1" applyBorder="1" applyAlignment="1">
      <alignment horizontal="right" vertical="center"/>
    </xf>
    <xf numFmtId="0" fontId="10" fillId="0" borderId="0" xfId="0" applyFont="1">
      <alignment vertical="center"/>
    </xf>
    <xf numFmtId="315" fontId="232" fillId="17" borderId="6" xfId="0" applyNumberFormat="1" applyFont="1" applyFill="1" applyBorder="1" applyAlignment="1">
      <alignment vertical="center"/>
    </xf>
    <xf numFmtId="316" fontId="232" fillId="17" borderId="0" xfId="0" applyNumberFormat="1" applyFont="1" applyFill="1" applyBorder="1" applyAlignment="1">
      <alignment horizontal="right" vertical="center"/>
    </xf>
    <xf numFmtId="315" fontId="11" fillId="0" borderId="0" xfId="0" applyNumberFormat="1" applyFont="1" applyAlignment="1">
      <alignment horizontal="right" vertical="center"/>
    </xf>
    <xf numFmtId="315" fontId="11" fillId="0" borderId="2" xfId="0" applyNumberFormat="1" applyFont="1" applyBorder="1" applyAlignment="1">
      <alignment vertical="center"/>
    </xf>
    <xf numFmtId="315" fontId="11" fillId="0" borderId="1" xfId="0" applyNumberFormat="1" applyFont="1" applyBorder="1" applyAlignment="1">
      <alignment horizontal="right" vertical="center"/>
    </xf>
    <xf numFmtId="0" fontId="1" fillId="0" borderId="0" xfId="0" applyFont="1" applyAlignment="1">
      <alignment vertical="center"/>
    </xf>
    <xf numFmtId="176" fontId="9" fillId="8" borderId="4" xfId="0" applyNumberFormat="1" applyFont="1" applyFill="1" applyBorder="1">
      <alignment vertical="center"/>
    </xf>
    <xf numFmtId="176" fontId="9" fillId="8" borderId="14" xfId="0" applyNumberFormat="1" applyFont="1" applyFill="1" applyBorder="1">
      <alignment vertical="center"/>
    </xf>
    <xf numFmtId="315" fontId="6" fillId="0" borderId="0" xfId="0" applyNumberFormat="1" applyFont="1" applyFill="1" applyBorder="1" applyAlignment="1">
      <alignment vertical="center"/>
    </xf>
    <xf numFmtId="315" fontId="6" fillId="0" borderId="0" xfId="0" applyNumberFormat="1" applyFont="1" applyBorder="1" applyAlignment="1">
      <alignment vertical="center"/>
    </xf>
    <xf numFmtId="315" fontId="1" fillId="0" borderId="0" xfId="0" applyNumberFormat="1" applyFont="1" applyFill="1" applyBorder="1">
      <alignment vertical="center"/>
    </xf>
    <xf numFmtId="315" fontId="10" fillId="17" borderId="0" xfId="0" applyNumberFormat="1" applyFont="1" applyFill="1" applyBorder="1">
      <alignment vertical="center"/>
    </xf>
    <xf numFmtId="315" fontId="1" fillId="0" borderId="1" xfId="0" applyNumberFormat="1" applyFont="1" applyBorder="1">
      <alignment vertical="center"/>
    </xf>
    <xf numFmtId="315" fontId="1" fillId="0" borderId="0" xfId="0" applyNumberFormat="1" applyFont="1" applyBorder="1">
      <alignment vertical="center"/>
    </xf>
    <xf numFmtId="316" fontId="10" fillId="17" borderId="0" xfId="0" applyNumberFormat="1" applyFont="1" applyFill="1" applyBorder="1" applyAlignment="1">
      <alignment vertical="center"/>
    </xf>
    <xf numFmtId="0" fontId="1" fillId="0" borderId="6" xfId="0" applyFont="1" applyBorder="1">
      <alignment vertical="center"/>
    </xf>
    <xf numFmtId="0" fontId="1" fillId="0" borderId="6" xfId="0" applyFont="1" applyFill="1" applyBorder="1">
      <alignment vertical="center"/>
    </xf>
    <xf numFmtId="0" fontId="1" fillId="0" borderId="2" xfId="0" applyFont="1" applyBorder="1">
      <alignment vertical="center"/>
    </xf>
    <xf numFmtId="0" fontId="1" fillId="0" borderId="79" xfId="0" applyFont="1" applyBorder="1">
      <alignment vertical="center"/>
    </xf>
    <xf numFmtId="315" fontId="1" fillId="0" borderId="78" xfId="0" applyNumberFormat="1" applyFont="1" applyBorder="1">
      <alignment vertical="center"/>
    </xf>
    <xf numFmtId="315" fontId="11" fillId="0" borderId="79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252" fillId="17" borderId="0" xfId="0" applyFont="1" applyFill="1" applyBorder="1" applyAlignment="1">
      <alignment vertical="center"/>
    </xf>
    <xf numFmtId="10" fontId="253" fillId="17" borderId="0" xfId="0" applyNumberFormat="1" applyFont="1" applyFill="1" applyBorder="1" applyAlignment="1">
      <alignment vertical="center"/>
    </xf>
    <xf numFmtId="315" fontId="11" fillId="0" borderId="0" xfId="0" applyNumberFormat="1" applyFont="1" applyFill="1" applyBorder="1" applyAlignment="1">
      <alignment horizontal="right" vertical="center"/>
    </xf>
    <xf numFmtId="315" fontId="12" fillId="0" borderId="12" xfId="0" applyNumberFormat="1" applyFont="1" applyFill="1" applyBorder="1" applyAlignment="1">
      <alignment vertical="center"/>
    </xf>
    <xf numFmtId="0" fontId="254" fillId="0" borderId="0" xfId="0" applyFont="1" applyFill="1" applyBorder="1" applyAlignment="1">
      <alignment vertical="center"/>
    </xf>
    <xf numFmtId="179" fontId="254" fillId="0" borderId="0" xfId="0" applyNumberFormat="1" applyFont="1" applyBorder="1" applyAlignment="1">
      <alignment vertical="center"/>
    </xf>
    <xf numFmtId="10" fontId="232" fillId="17" borderId="0" xfId="0" applyNumberFormat="1" applyFont="1" applyFill="1" applyBorder="1" applyAlignment="1">
      <alignment vertical="center"/>
    </xf>
    <xf numFmtId="10" fontId="232" fillId="17" borderId="0" xfId="0" applyNumberFormat="1" applyFont="1" applyFill="1" applyBorder="1" applyAlignment="1">
      <alignment horizontal="right" vertical="center"/>
    </xf>
    <xf numFmtId="315" fontId="251" fillId="17" borderId="0" xfId="0" applyNumberFormat="1" applyFont="1" applyFill="1" applyBorder="1" applyAlignment="1">
      <alignment horizontal="right" vertical="center"/>
    </xf>
    <xf numFmtId="315" fontId="11" fillId="0" borderId="12" xfId="0" applyNumberFormat="1" applyFont="1" applyFill="1" applyBorder="1" applyAlignment="1">
      <alignment vertical="center"/>
    </xf>
    <xf numFmtId="315" fontId="250" fillId="0" borderId="11" xfId="0" applyNumberFormat="1" applyFont="1" applyFill="1" applyBorder="1" applyAlignment="1">
      <alignment horizontal="right" vertical="center"/>
    </xf>
    <xf numFmtId="315" fontId="255" fillId="0" borderId="12" xfId="0" applyNumberFormat="1" applyFont="1" applyFill="1" applyBorder="1" applyAlignment="1">
      <alignment vertical="center"/>
    </xf>
    <xf numFmtId="315" fontId="11" fillId="0" borderId="11" xfId="0" applyNumberFormat="1" applyFont="1" applyFill="1" applyBorder="1" applyAlignment="1">
      <alignment vertical="center"/>
    </xf>
    <xf numFmtId="315" fontId="250" fillId="0" borderId="13" xfId="0" applyNumberFormat="1" applyFont="1" applyFill="1" applyBorder="1" applyAlignment="1">
      <alignment horizontal="right" vertical="center"/>
    </xf>
    <xf numFmtId="315" fontId="11" fillId="0" borderId="6" xfId="0" applyNumberFormat="1" applyFont="1" applyFill="1" applyBorder="1" applyAlignment="1">
      <alignment vertical="center"/>
    </xf>
    <xf numFmtId="315" fontId="11" fillId="0" borderId="0" xfId="0" applyNumberFormat="1" applyFont="1" applyFill="1" applyAlignment="1">
      <alignment horizontal="right" vertical="center"/>
    </xf>
    <xf numFmtId="315" fontId="11" fillId="0" borderId="11" xfId="0" applyNumberFormat="1" applyFont="1" applyFill="1" applyBorder="1" applyAlignment="1">
      <alignment horizontal="right" vertical="center"/>
    </xf>
    <xf numFmtId="315" fontId="12" fillId="17" borderId="6" xfId="0" applyNumberFormat="1" applyFont="1" applyFill="1" applyBorder="1" applyAlignment="1">
      <alignment vertical="center"/>
    </xf>
    <xf numFmtId="267" fontId="256" fillId="0" borderId="11" xfId="0" applyNumberFormat="1" applyFont="1" applyFill="1" applyBorder="1" applyAlignment="1">
      <alignment horizontal="right" vertical="center"/>
    </xf>
    <xf numFmtId="315" fontId="12" fillId="17" borderId="0" xfId="0" applyNumberFormat="1" applyFont="1" applyFill="1" applyAlignment="1">
      <alignment horizontal="right" vertical="center"/>
    </xf>
    <xf numFmtId="315" fontId="10" fillId="0" borderId="0" xfId="0" applyNumberFormat="1" applyFont="1" applyFill="1" applyBorder="1">
      <alignment vertical="center"/>
    </xf>
    <xf numFmtId="315" fontId="10" fillId="0" borderId="11" xfId="0" applyNumberFormat="1" applyFont="1" applyFill="1" applyBorder="1">
      <alignment vertical="center"/>
    </xf>
    <xf numFmtId="10" fontId="253" fillId="0" borderId="11" xfId="0" applyNumberFormat="1" applyFont="1" applyFill="1" applyBorder="1">
      <alignment vertical="center"/>
    </xf>
    <xf numFmtId="315" fontId="12" fillId="0" borderId="11" xfId="0" applyNumberFormat="1" applyFont="1" applyFill="1" applyBorder="1" applyAlignment="1">
      <alignment vertical="center"/>
    </xf>
    <xf numFmtId="179" fontId="9" fillId="0" borderId="0" xfId="0" applyNumberFormat="1" applyFont="1" applyBorder="1">
      <alignment vertical="center"/>
    </xf>
    <xf numFmtId="179" fontId="6" fillId="0" borderId="0" xfId="0" applyNumberFormat="1" applyFont="1" applyBorder="1">
      <alignment vertical="center"/>
    </xf>
    <xf numFmtId="41" fontId="11" fillId="0" borderId="0" xfId="0" applyNumberFormat="1" applyFont="1" applyBorder="1" applyAlignment="1">
      <alignment horizontal="right" vertical="center"/>
    </xf>
    <xf numFmtId="41" fontId="16" fillId="0" borderId="0" xfId="0" applyNumberFormat="1" applyFont="1" applyBorder="1" applyAlignment="1">
      <alignment horizontal="right" vertical="center"/>
    </xf>
    <xf numFmtId="176" fontId="16" fillId="0" borderId="0" xfId="0" applyNumberFormat="1" applyFont="1" applyBorder="1" applyAlignment="1">
      <alignment horizontal="right" vertical="center"/>
    </xf>
    <xf numFmtId="41" fontId="41" fillId="0" borderId="0" xfId="0" applyNumberFormat="1" applyFont="1" applyBorder="1" applyAlignment="1">
      <alignment horizontal="right" vertical="center"/>
    </xf>
    <xf numFmtId="176" fontId="41" fillId="0" borderId="0" xfId="0" applyNumberFormat="1" applyFont="1" applyBorder="1" applyAlignment="1">
      <alignment horizontal="right" vertical="center"/>
    </xf>
    <xf numFmtId="0" fontId="17" fillId="0" borderId="0" xfId="0" applyFont="1">
      <alignment vertical="center"/>
    </xf>
    <xf numFmtId="0" fontId="17" fillId="0" borderId="0" xfId="0" applyFont="1" applyFill="1" applyBorder="1">
      <alignment vertical="center"/>
    </xf>
    <xf numFmtId="315" fontId="11" fillId="0" borderId="83" xfId="0" applyNumberFormat="1" applyFont="1" applyBorder="1" applyAlignment="1">
      <alignment vertical="center"/>
    </xf>
    <xf numFmtId="315" fontId="11" fillId="0" borderId="78" xfId="0" applyNumberFormat="1" applyFont="1" applyBorder="1" applyAlignment="1">
      <alignment vertical="center"/>
    </xf>
    <xf numFmtId="315" fontId="11" fillId="0" borderId="14" xfId="0" applyNumberFormat="1" applyFont="1" applyBorder="1" applyAlignment="1">
      <alignment horizontal="right" vertical="center"/>
    </xf>
    <xf numFmtId="176" fontId="13" fillId="8" borderId="84" xfId="0" applyNumberFormat="1" applyFont="1" applyFill="1" applyBorder="1">
      <alignment vertical="center"/>
    </xf>
    <xf numFmtId="176" fontId="13" fillId="8" borderId="85" xfId="0" applyNumberFormat="1" applyFont="1" applyFill="1" applyBorder="1">
      <alignment vertical="center"/>
    </xf>
    <xf numFmtId="0" fontId="273" fillId="0" borderId="0" xfId="0" applyFont="1" applyAlignment="1">
      <alignment horizontal="center" vertical="center"/>
    </xf>
    <xf numFmtId="0" fontId="273" fillId="0" borderId="0" xfId="0" applyFont="1" applyAlignment="1">
      <alignment vertical="center"/>
    </xf>
    <xf numFmtId="0" fontId="273" fillId="0" borderId="0" xfId="0" applyFont="1">
      <alignment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1" xfId="0" quotePrefix="1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10" fontId="6" fillId="0" borderId="0" xfId="0" applyNumberFormat="1" applyFont="1">
      <alignment vertical="center"/>
    </xf>
    <xf numFmtId="10" fontId="1" fillId="0" borderId="0" xfId="0" applyNumberFormat="1" applyFont="1">
      <alignment vertical="center"/>
    </xf>
    <xf numFmtId="41" fontId="10" fillId="0" borderId="0" xfId="0" applyNumberFormat="1" applyFont="1" applyBorder="1">
      <alignment vertical="center"/>
    </xf>
    <xf numFmtId="0" fontId="18" fillId="13" borderId="5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0" borderId="0" xfId="0" applyFont="1">
      <alignment vertical="center"/>
    </xf>
    <xf numFmtId="0" fontId="17" fillId="4" borderId="15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10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21" fillId="4" borderId="86" xfId="0" applyFont="1" applyFill="1" applyBorder="1" applyAlignment="1">
      <alignment horizontal="center" vertical="center"/>
    </xf>
    <xf numFmtId="0" fontId="272" fillId="0" borderId="0" xfId="0" applyFont="1" applyAlignment="1">
      <alignment horizontal="center" vertical="center"/>
    </xf>
    <xf numFmtId="0" fontId="17" fillId="0" borderId="0" xfId="0" applyFont="1" applyFill="1" applyBorder="1" applyAlignment="1">
      <alignment horizontal="left" vertical="center"/>
    </xf>
    <xf numFmtId="0" fontId="272" fillId="0" borderId="0" xfId="0" applyFont="1">
      <alignment vertical="center"/>
    </xf>
    <xf numFmtId="0" fontId="21" fillId="0" borderId="0" xfId="0" applyFont="1" applyFill="1" applyBorder="1" applyAlignment="1">
      <alignment horizontal="left" vertical="center"/>
    </xf>
    <xf numFmtId="0" fontId="18" fillId="0" borderId="0" xfId="0" applyFont="1" applyFill="1" applyBorder="1">
      <alignment vertical="center"/>
    </xf>
    <xf numFmtId="0" fontId="18" fillId="0" borderId="0" xfId="0" applyFont="1" applyFill="1" applyAlignment="1">
      <alignment horizontal="left" vertical="center"/>
    </xf>
    <xf numFmtId="0" fontId="17" fillId="0" borderId="0" xfId="0" applyFont="1" applyFill="1" applyAlignment="1">
      <alignment horizontal="left" vertical="center"/>
    </xf>
    <xf numFmtId="0" fontId="17" fillId="0" borderId="11" xfId="0" applyFont="1" applyFill="1" applyBorder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315" fontId="17" fillId="14" borderId="5" xfId="0" applyNumberFormat="1" applyFont="1" applyFill="1" applyBorder="1" applyAlignment="1">
      <alignment horizontal="right" vertical="center" shrinkToFit="1"/>
    </xf>
    <xf numFmtId="317" fontId="17" fillId="14" borderId="5" xfId="0" applyNumberFormat="1" applyFont="1" applyFill="1" applyBorder="1" applyAlignment="1">
      <alignment horizontal="right" vertical="center" shrinkToFit="1"/>
    </xf>
    <xf numFmtId="317" fontId="17" fillId="0" borderId="0" xfId="0" applyNumberFormat="1" applyFont="1" applyBorder="1" applyAlignment="1">
      <alignment horizontal="right" vertical="center" shrinkToFit="1"/>
    </xf>
    <xf numFmtId="317" fontId="17" fillId="114" borderId="5" xfId="0" applyNumberFormat="1" applyFont="1" applyFill="1" applyBorder="1" applyAlignment="1">
      <alignment horizontal="right" vertical="center" shrinkToFit="1"/>
    </xf>
    <xf numFmtId="316" fontId="17" fillId="14" borderId="5" xfId="0" applyNumberFormat="1" applyFont="1" applyFill="1" applyBorder="1" applyAlignment="1">
      <alignment horizontal="right" vertical="center" shrinkToFit="1"/>
    </xf>
    <xf numFmtId="316" fontId="17" fillId="114" borderId="5" xfId="0" applyNumberFormat="1" applyFont="1" applyFill="1" applyBorder="1" applyAlignment="1">
      <alignment horizontal="right" vertical="center" shrinkToFit="1"/>
    </xf>
    <xf numFmtId="41" fontId="11" fillId="4" borderId="0" xfId="0" applyNumberFormat="1" applyFont="1" applyFill="1" applyBorder="1">
      <alignment vertical="center"/>
    </xf>
    <xf numFmtId="14" fontId="10" fillId="17" borderId="2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vertical="center"/>
    </xf>
    <xf numFmtId="41" fontId="9" fillId="5" borderId="0" xfId="0" applyNumberFormat="1" applyFont="1" applyFill="1" applyBorder="1">
      <alignment vertical="center"/>
    </xf>
    <xf numFmtId="41" fontId="9" fillId="17" borderId="0" xfId="0" applyNumberFormat="1" applyFont="1" applyFill="1" applyBorder="1">
      <alignment vertical="center"/>
    </xf>
    <xf numFmtId="315" fontId="11" fillId="0" borderId="4" xfId="0" applyNumberFormat="1" applyFont="1" applyBorder="1" applyAlignment="1">
      <alignment horizontal="right" vertical="center"/>
    </xf>
    <xf numFmtId="14" fontId="6" fillId="17" borderId="2" xfId="0" applyNumberFormat="1" applyFont="1" applyFill="1" applyBorder="1">
      <alignment vertical="center"/>
    </xf>
    <xf numFmtId="0" fontId="280" fillId="0" borderId="0" xfId="0" applyFont="1" applyAlignment="1">
      <alignment horizontal="center" vertical="center" wrapText="1"/>
    </xf>
    <xf numFmtId="0" fontId="280" fillId="0" borderId="0" xfId="0" applyFont="1">
      <alignment vertical="center"/>
    </xf>
    <xf numFmtId="0" fontId="285" fillId="115" borderId="96" xfId="0" applyFont="1" applyFill="1" applyBorder="1" applyAlignment="1">
      <alignment horizontal="left" vertical="center" wrapText="1"/>
    </xf>
    <xf numFmtId="3" fontId="280" fillId="115" borderId="95" xfId="0" applyNumberFormat="1" applyFont="1" applyFill="1" applyBorder="1" applyAlignment="1">
      <alignment horizontal="right" vertical="center" wrapText="1"/>
    </xf>
    <xf numFmtId="3" fontId="280" fillId="0" borderId="98" xfId="0" applyNumberFormat="1" applyFont="1" applyBorder="1" applyAlignment="1">
      <alignment horizontal="right" vertical="center" wrapText="1"/>
    </xf>
    <xf numFmtId="0" fontId="280" fillId="0" borderId="98" xfId="0" applyFont="1" applyBorder="1" applyAlignment="1">
      <alignment horizontal="right" vertical="center" wrapText="1"/>
    </xf>
    <xf numFmtId="0" fontId="285" fillId="115" borderId="99" xfId="0" applyFont="1" applyFill="1" applyBorder="1" applyAlignment="1">
      <alignment horizontal="left" vertical="center" wrapText="1"/>
    </xf>
    <xf numFmtId="3" fontId="280" fillId="115" borderId="100" xfId="0" applyNumberFormat="1" applyFont="1" applyFill="1" applyBorder="1" applyAlignment="1">
      <alignment horizontal="right" vertical="center" wrapText="1"/>
    </xf>
    <xf numFmtId="0" fontId="288" fillId="0" borderId="0" xfId="0" applyFont="1" applyAlignment="1">
      <alignment vertical="center"/>
    </xf>
    <xf numFmtId="0" fontId="288" fillId="0" borderId="0" xfId="0" applyFont="1" applyFill="1" applyAlignment="1">
      <alignment vertical="center"/>
    </xf>
    <xf numFmtId="0" fontId="288" fillId="0" borderId="0" xfId="0" applyFont="1" applyFill="1" applyAlignment="1">
      <alignment horizontal="left" vertical="center" indent="1"/>
    </xf>
    <xf numFmtId="0" fontId="288" fillId="0" borderId="0" xfId="0" applyFont="1" applyFill="1" applyAlignment="1">
      <alignment horizontal="left" vertical="center" indent="2"/>
    </xf>
    <xf numFmtId="0" fontId="288" fillId="0" borderId="0" xfId="0" applyFont="1" applyFill="1" applyAlignment="1">
      <alignment horizontal="left" vertical="center" indent="3"/>
    </xf>
    <xf numFmtId="0" fontId="288" fillId="0" borderId="0" xfId="0" applyFont="1" applyFill="1" applyAlignment="1">
      <alignment horizontal="left" vertical="center" indent="4"/>
    </xf>
    <xf numFmtId="0" fontId="289" fillId="0" borderId="0" xfId="14104" applyNumberFormat="1" applyFont="1" applyFill="1" applyBorder="1" applyAlignment="1" applyProtection="1">
      <alignment horizontal="left" vertical="center"/>
    </xf>
    <xf numFmtId="0" fontId="288" fillId="0" borderId="0" xfId="0" applyFont="1" applyAlignment="1">
      <alignment horizontal="center" vertical="center"/>
    </xf>
    <xf numFmtId="0" fontId="288" fillId="8" borderId="0" xfId="0" applyFont="1" applyFill="1" applyAlignment="1">
      <alignment horizontal="center" vertical="center"/>
    </xf>
    <xf numFmtId="0" fontId="288" fillId="18" borderId="0" xfId="0" applyFont="1" applyFill="1" applyAlignment="1">
      <alignment horizontal="center" vertical="center"/>
    </xf>
    <xf numFmtId="0" fontId="288" fillId="11" borderId="0" xfId="0" applyFont="1" applyFill="1" applyAlignment="1">
      <alignment horizontal="center" vertical="center"/>
    </xf>
    <xf numFmtId="0" fontId="288" fillId="14" borderId="0" xfId="0" applyFont="1" applyFill="1" applyAlignment="1">
      <alignment horizontal="center" vertical="center"/>
    </xf>
    <xf numFmtId="0" fontId="288" fillId="111" borderId="0" xfId="0" applyFont="1" applyFill="1" applyAlignment="1">
      <alignment horizontal="center" vertical="center"/>
    </xf>
    <xf numFmtId="0" fontId="289" fillId="8" borderId="0" xfId="14104" applyNumberFormat="1" applyFont="1" applyFill="1" applyBorder="1" applyAlignment="1" applyProtection="1">
      <alignment horizontal="center" vertical="center"/>
    </xf>
    <xf numFmtId="0" fontId="288" fillId="0" borderId="0" xfId="0" applyFont="1" applyFill="1" applyAlignment="1">
      <alignment horizontal="center" vertical="center"/>
    </xf>
    <xf numFmtId="315" fontId="288" fillId="0" borderId="0" xfId="0" applyNumberFormat="1" applyFont="1" applyAlignment="1">
      <alignment vertical="center"/>
    </xf>
    <xf numFmtId="315" fontId="288" fillId="0" borderId="0" xfId="0" applyNumberFormat="1" applyFont="1" applyFill="1" applyAlignment="1">
      <alignment vertical="center"/>
    </xf>
    <xf numFmtId="0" fontId="290" fillId="0" borderId="0" xfId="0" applyFont="1" applyAlignment="1">
      <alignment horizontal="center" vertical="center"/>
    </xf>
    <xf numFmtId="0" fontId="290" fillId="0" borderId="0" xfId="0" applyFont="1" applyFill="1" applyAlignment="1">
      <alignment horizontal="center" vertical="center"/>
    </xf>
    <xf numFmtId="315" fontId="290" fillId="0" borderId="0" xfId="0" applyNumberFormat="1" applyFont="1" applyAlignment="1">
      <alignment horizontal="center" vertical="center"/>
    </xf>
    <xf numFmtId="0" fontId="274" fillId="0" borderId="0" xfId="0" applyFont="1" applyFill="1" applyAlignment="1">
      <alignment horizontal="center" vertical="center"/>
    </xf>
    <xf numFmtId="0" fontId="280" fillId="115" borderId="95" xfId="0" applyFont="1" applyFill="1" applyBorder="1" applyAlignment="1">
      <alignment horizontal="right" vertical="center" wrapText="1"/>
    </xf>
    <xf numFmtId="0" fontId="280" fillId="115" borderId="100" xfId="0" applyFont="1" applyFill="1" applyBorder="1" applyAlignment="1">
      <alignment horizontal="right" vertical="center" wrapText="1"/>
    </xf>
    <xf numFmtId="0" fontId="283" fillId="0" borderId="97" xfId="0" applyFont="1" applyBorder="1" applyAlignment="1">
      <alignment horizontal="left" vertical="center" wrapText="1" indent="1"/>
    </xf>
    <xf numFmtId="0" fontId="274" fillId="0" borderId="0" xfId="0" applyFont="1" applyAlignment="1">
      <alignment horizontal="center" vertical="center"/>
    </xf>
    <xf numFmtId="315" fontId="288" fillId="0" borderId="0" xfId="0" applyNumberFormat="1" applyFont="1" applyAlignment="1">
      <alignment horizontal="right" vertical="center"/>
    </xf>
    <xf numFmtId="315" fontId="0" fillId="0" borderId="0" xfId="0" applyNumberFormat="1" applyAlignment="1">
      <alignment horizontal="right" vertical="center"/>
    </xf>
    <xf numFmtId="315" fontId="288" fillId="0" borderId="0" xfId="0" applyNumberFormat="1" applyFont="1" applyFill="1" applyAlignment="1">
      <alignment horizontal="right" vertical="center"/>
    </xf>
    <xf numFmtId="315" fontId="274" fillId="18" borderId="0" xfId="0" applyNumberFormat="1" applyFont="1" applyFill="1" applyAlignment="1">
      <alignment horizontal="center" vertical="center"/>
    </xf>
    <xf numFmtId="315" fontId="274" fillId="8" borderId="0" xfId="0" applyNumberFormat="1" applyFont="1" applyFill="1" applyAlignment="1">
      <alignment horizontal="center" vertical="center"/>
    </xf>
    <xf numFmtId="315" fontId="274" fillId="11" borderId="0" xfId="0" applyNumberFormat="1" applyFont="1" applyFill="1" applyAlignment="1">
      <alignment horizontal="center" vertical="center"/>
    </xf>
    <xf numFmtId="41" fontId="6" fillId="5" borderId="14" xfId="13200" applyFont="1" applyFill="1" applyBorder="1">
      <alignment vertical="center"/>
    </xf>
    <xf numFmtId="41" fontId="6" fillId="0" borderId="14" xfId="13200" applyFont="1" applyBorder="1">
      <alignment vertical="center"/>
    </xf>
    <xf numFmtId="41" fontId="6" fillId="3" borderId="14" xfId="13200" applyFont="1" applyFill="1" applyBorder="1">
      <alignment vertical="center"/>
    </xf>
    <xf numFmtId="41" fontId="6" fillId="3" borderId="13" xfId="13200" applyFont="1" applyFill="1" applyBorder="1">
      <alignment vertical="center"/>
    </xf>
    <xf numFmtId="41" fontId="9" fillId="5" borderId="14" xfId="13200" applyFont="1" applyFill="1" applyBorder="1">
      <alignment vertical="center"/>
    </xf>
    <xf numFmtId="41" fontId="9" fillId="7" borderId="14" xfId="13200" applyFont="1" applyFill="1" applyBorder="1">
      <alignment vertical="center"/>
    </xf>
    <xf numFmtId="41" fontId="9" fillId="0" borderId="14" xfId="13200" applyFont="1" applyFill="1" applyBorder="1">
      <alignment vertical="center"/>
    </xf>
    <xf numFmtId="41" fontId="9" fillId="9" borderId="14" xfId="13200" applyFont="1" applyFill="1" applyBorder="1">
      <alignment vertical="center"/>
    </xf>
    <xf numFmtId="41" fontId="9" fillId="3" borderId="14" xfId="13200" applyFont="1" applyFill="1" applyBorder="1">
      <alignment vertical="center"/>
    </xf>
    <xf numFmtId="41" fontId="9" fillId="0" borderId="13" xfId="13200" applyFont="1" applyFill="1" applyBorder="1">
      <alignment vertical="center"/>
    </xf>
    <xf numFmtId="41" fontId="16" fillId="5" borderId="14" xfId="13200" applyFont="1" applyFill="1" applyBorder="1">
      <alignment vertical="center"/>
    </xf>
    <xf numFmtId="41" fontId="6" fillId="0" borderId="0" xfId="13200" applyFont="1" applyBorder="1">
      <alignment vertical="center"/>
    </xf>
    <xf numFmtId="41" fontId="6" fillId="4" borderId="14" xfId="13200" applyFont="1" applyFill="1" applyBorder="1" applyAlignment="1">
      <alignment horizontal="left" vertical="center" indent="1"/>
    </xf>
    <xf numFmtId="41" fontId="6" fillId="5" borderId="14" xfId="13200" applyFont="1" applyFill="1" applyBorder="1" applyAlignment="1">
      <alignment horizontal="left" vertical="center" indent="1"/>
    </xf>
    <xf numFmtId="41" fontId="6" fillId="0" borderId="14" xfId="13200" applyFont="1" applyBorder="1" applyAlignment="1">
      <alignment horizontal="left" vertical="center" indent="1"/>
    </xf>
    <xf numFmtId="41" fontId="9" fillId="0" borderId="14" xfId="13200" applyFont="1" applyFill="1" applyBorder="1" applyAlignment="1">
      <alignment horizontal="left" vertical="center" indent="2"/>
    </xf>
    <xf numFmtId="41" fontId="9" fillId="0" borderId="14" xfId="13200" applyFont="1" applyFill="1" applyBorder="1" applyAlignment="1">
      <alignment horizontal="left" vertical="center" indent="1"/>
    </xf>
    <xf numFmtId="41" fontId="16" fillId="8" borderId="14" xfId="13200" applyFont="1" applyFill="1" applyBorder="1" applyAlignment="1">
      <alignment horizontal="left" vertical="center" indent="2"/>
    </xf>
    <xf numFmtId="41" fontId="6" fillId="6" borderId="14" xfId="13200" applyFont="1" applyFill="1" applyBorder="1" applyAlignment="1">
      <alignment horizontal="left" vertical="center" indent="2"/>
    </xf>
    <xf numFmtId="41" fontId="6" fillId="4" borderId="14" xfId="13200" applyFont="1" applyFill="1" applyBorder="1" applyAlignment="1">
      <alignment horizontal="left" vertical="center" indent="2"/>
    </xf>
    <xf numFmtId="41" fontId="6" fillId="0" borderId="14" xfId="13200" applyFont="1" applyBorder="1" applyAlignment="1">
      <alignment horizontal="left" vertical="center" indent="2"/>
    </xf>
    <xf numFmtId="41" fontId="6" fillId="6" borderId="14" xfId="13200" applyFont="1" applyFill="1" applyBorder="1" applyAlignment="1">
      <alignment horizontal="left" vertical="center" indent="3"/>
    </xf>
    <xf numFmtId="177" fontId="9" fillId="0" borderId="0" xfId="0" applyNumberFormat="1" applyFont="1" applyBorder="1" applyAlignment="1">
      <alignment vertical="center"/>
    </xf>
    <xf numFmtId="177" fontId="14" fillId="0" borderId="0" xfId="0" applyNumberFormat="1" applyFont="1" applyBorder="1" applyAlignment="1">
      <alignment horizontal="center" vertical="center"/>
    </xf>
    <xf numFmtId="177" fontId="292" fillId="0" borderId="0" xfId="0" applyNumberFormat="1" applyFont="1" applyBorder="1" applyAlignment="1">
      <alignment horizontal="center" vertical="center"/>
    </xf>
    <xf numFmtId="177" fontId="9" fillId="0" borderId="0" xfId="0" applyNumberFormat="1" applyFont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1" fontId="15" fillId="13" borderId="81" xfId="13200" applyFont="1" applyFill="1" applyBorder="1" applyAlignment="1">
      <alignment horizontal="center" vertical="center"/>
    </xf>
    <xf numFmtId="315" fontId="15" fillId="13" borderId="81" xfId="0" applyNumberFormat="1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315" fontId="16" fillId="19" borderId="81" xfId="0" applyNumberFormat="1" applyFont="1" applyFill="1" applyBorder="1" applyAlignment="1">
      <alignment horizontal="right" vertical="center"/>
    </xf>
    <xf numFmtId="0" fontId="9" fillId="18" borderId="0" xfId="0" applyFont="1" applyFill="1" applyAlignment="1">
      <alignment horizontal="center" vertical="center"/>
    </xf>
    <xf numFmtId="315" fontId="16" fillId="5" borderId="81" xfId="0" applyNumberFormat="1" applyFont="1" applyFill="1" applyBorder="1" applyAlignment="1">
      <alignment horizontal="right" vertical="center"/>
    </xf>
    <xf numFmtId="0" fontId="9" fillId="11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6" fillId="8" borderId="0" xfId="14104" applyNumberFormat="1" applyFont="1" applyFill="1" applyBorder="1" applyAlignment="1" applyProtection="1">
      <alignment horizontal="center" vertical="center"/>
    </xf>
    <xf numFmtId="315" fontId="41" fillId="19" borderId="81" xfId="0" applyNumberFormat="1" applyFont="1" applyFill="1" applyBorder="1" applyAlignment="1">
      <alignment horizontal="right" vertical="center"/>
    </xf>
    <xf numFmtId="315" fontId="16" fillId="8" borderId="81" xfId="0" applyNumberFormat="1" applyFont="1" applyFill="1" applyBorder="1" applyAlignment="1">
      <alignment horizontal="right" vertical="center"/>
    </xf>
    <xf numFmtId="315" fontId="16" fillId="4" borderId="81" xfId="0" applyNumberFormat="1" applyFont="1" applyFill="1" applyBorder="1" applyAlignment="1">
      <alignment horizontal="right" vertical="center"/>
    </xf>
    <xf numFmtId="315" fontId="41" fillId="8" borderId="81" xfId="0" applyNumberFormat="1" applyFont="1" applyFill="1" applyBorder="1" applyAlignment="1">
      <alignment horizontal="right" vertical="center"/>
    </xf>
    <xf numFmtId="315" fontId="16" fillId="77" borderId="81" xfId="0" applyNumberFormat="1" applyFont="1" applyFill="1" applyBorder="1" applyAlignment="1">
      <alignment horizontal="right" vertical="center"/>
    </xf>
    <xf numFmtId="315" fontId="41" fillId="110" borderId="81" xfId="0" applyNumberFormat="1" applyFont="1" applyFill="1" applyBorder="1" applyAlignment="1">
      <alignment horizontal="right" vertical="center"/>
    </xf>
    <xf numFmtId="177" fontId="16" fillId="0" borderId="0" xfId="0" applyNumberFormat="1" applyFont="1" applyBorder="1" applyAlignment="1">
      <alignment horizontal="right" vertical="center"/>
    </xf>
    <xf numFmtId="315" fontId="41" fillId="0" borderId="0" xfId="0" applyNumberFormat="1" applyFont="1" applyBorder="1" applyAlignment="1">
      <alignment horizontal="center" vertical="center"/>
    </xf>
    <xf numFmtId="42" fontId="16" fillId="0" borderId="0" xfId="0" applyNumberFormat="1" applyFont="1" applyBorder="1" applyAlignment="1">
      <alignment horizontal="right" vertical="center"/>
    </xf>
    <xf numFmtId="315" fontId="13" fillId="111" borderId="81" xfId="0" applyNumberFormat="1" applyFont="1" applyFill="1" applyBorder="1" applyAlignment="1">
      <alignment horizontal="right" vertical="center"/>
    </xf>
    <xf numFmtId="315" fontId="41" fillId="111" borderId="81" xfId="0" applyNumberFormat="1" applyFont="1" applyFill="1" applyBorder="1" applyAlignment="1">
      <alignment horizontal="right" vertical="center"/>
    </xf>
    <xf numFmtId="315" fontId="9" fillId="111" borderId="81" xfId="0" applyNumberFormat="1" applyFont="1" applyFill="1" applyBorder="1" applyAlignment="1">
      <alignment horizontal="right" vertical="center"/>
    </xf>
    <xf numFmtId="315" fontId="16" fillId="111" borderId="81" xfId="0" applyNumberFormat="1" applyFont="1" applyFill="1" applyBorder="1" applyAlignment="1">
      <alignment horizontal="right" vertical="center"/>
    </xf>
    <xf numFmtId="315" fontId="9" fillId="112" borderId="81" xfId="0" applyNumberFormat="1" applyFont="1" applyFill="1" applyBorder="1" applyAlignment="1">
      <alignment horizontal="right" vertical="center"/>
    </xf>
    <xf numFmtId="315" fontId="16" fillId="112" borderId="81" xfId="0" applyNumberFormat="1" applyFont="1" applyFill="1" applyBorder="1" applyAlignment="1">
      <alignment horizontal="right" vertical="center"/>
    </xf>
    <xf numFmtId="315" fontId="9" fillId="113" borderId="81" xfId="0" applyNumberFormat="1" applyFont="1" applyFill="1" applyBorder="1" applyAlignment="1">
      <alignment horizontal="right" vertical="center"/>
    </xf>
    <xf numFmtId="315" fontId="9" fillId="109" borderId="81" xfId="0" applyNumberFormat="1" applyFont="1" applyFill="1" applyBorder="1" applyAlignment="1">
      <alignment horizontal="right" vertical="center"/>
    </xf>
    <xf numFmtId="177" fontId="14" fillId="0" borderId="0" xfId="0" applyNumberFormat="1" applyFont="1" applyBorder="1" applyAlignment="1">
      <alignment vertical="center"/>
    </xf>
    <xf numFmtId="41" fontId="9" fillId="0" borderId="0" xfId="13200" applyFont="1" applyBorder="1" applyAlignment="1">
      <alignment vertical="center"/>
    </xf>
    <xf numFmtId="41" fontId="16" fillId="19" borderId="81" xfId="13200" applyFont="1" applyFill="1" applyBorder="1" applyAlignment="1">
      <alignment vertical="center"/>
    </xf>
    <xf numFmtId="315" fontId="16" fillId="0" borderId="0" xfId="0" applyNumberFormat="1" applyFont="1" applyBorder="1" applyAlignment="1">
      <alignment vertical="center"/>
    </xf>
    <xf numFmtId="177" fontId="292" fillId="0" borderId="0" xfId="0" applyNumberFormat="1" applyFont="1" applyBorder="1" applyAlignment="1">
      <alignment vertical="center"/>
    </xf>
    <xf numFmtId="41" fontId="41" fillId="19" borderId="81" xfId="13200" applyFont="1" applyFill="1" applyBorder="1" applyAlignment="1">
      <alignment vertical="center"/>
    </xf>
    <xf numFmtId="177" fontId="293" fillId="0" borderId="0" xfId="0" applyNumberFormat="1" applyFont="1" applyBorder="1" applyAlignment="1">
      <alignment vertical="center"/>
    </xf>
    <xf numFmtId="41" fontId="41" fillId="8" borderId="81" xfId="13200" applyFont="1" applyFill="1" applyBorder="1" applyAlignment="1">
      <alignment vertical="center"/>
    </xf>
    <xf numFmtId="41" fontId="41" fillId="110" borderId="81" xfId="13200" applyFont="1" applyFill="1" applyBorder="1" applyAlignment="1">
      <alignment vertical="center"/>
    </xf>
    <xf numFmtId="41" fontId="13" fillId="111" borderId="81" xfId="13200" applyFont="1" applyFill="1" applyBorder="1" applyAlignment="1">
      <alignment vertical="center"/>
    </xf>
    <xf numFmtId="41" fontId="9" fillId="111" borderId="81" xfId="13200" applyFont="1" applyFill="1" applyBorder="1" applyAlignment="1">
      <alignment vertical="center"/>
    </xf>
    <xf numFmtId="41" fontId="9" fillId="112" borderId="81" xfId="13200" applyFont="1" applyFill="1" applyBorder="1" applyAlignment="1">
      <alignment vertical="center"/>
    </xf>
    <xf numFmtId="41" fontId="9" fillId="113" borderId="81" xfId="13200" applyFont="1" applyFill="1" applyBorder="1" applyAlignment="1">
      <alignment vertical="center"/>
    </xf>
    <xf numFmtId="315" fontId="9" fillId="0" borderId="0" xfId="0" applyNumberFormat="1" applyFont="1" applyBorder="1" applyAlignment="1">
      <alignment vertical="center"/>
    </xf>
    <xf numFmtId="315" fontId="9" fillId="0" borderId="0" xfId="0" applyNumberFormat="1" applyFont="1" applyFill="1" applyBorder="1" applyAlignment="1">
      <alignment vertical="center"/>
    </xf>
    <xf numFmtId="177" fontId="15" fillId="12" borderId="81" xfId="0" applyNumberFormat="1" applyFont="1" applyFill="1" applyBorder="1" applyAlignment="1">
      <alignment horizontal="center" vertical="center"/>
    </xf>
    <xf numFmtId="41" fontId="9" fillId="0" borderId="80" xfId="13200" applyFont="1" applyBorder="1" applyAlignment="1">
      <alignment vertical="center"/>
    </xf>
    <xf numFmtId="315" fontId="294" fillId="0" borderId="80" xfId="0" applyNumberFormat="1" applyFont="1" applyBorder="1" applyAlignment="1">
      <alignment horizontal="center" vertical="center"/>
    </xf>
    <xf numFmtId="315" fontId="294" fillId="0" borderId="80" xfId="0" applyNumberFormat="1" applyFont="1" applyFill="1" applyBorder="1" applyAlignment="1">
      <alignment horizontal="center" vertical="center"/>
    </xf>
    <xf numFmtId="315" fontId="295" fillId="0" borderId="80" xfId="0" applyNumberFormat="1" applyFont="1" applyFill="1" applyBorder="1" applyAlignment="1">
      <alignment horizontal="center" vertical="center"/>
    </xf>
    <xf numFmtId="41" fontId="15" fillId="12" borderId="81" xfId="13200" applyFont="1" applyFill="1" applyBorder="1" applyAlignment="1">
      <alignment horizontal="center" vertical="center"/>
    </xf>
    <xf numFmtId="315" fontId="14" fillId="0" borderId="81" xfId="0" applyNumberFormat="1" applyFont="1" applyBorder="1" applyAlignment="1">
      <alignment horizontal="center" vertical="center"/>
    </xf>
    <xf numFmtId="315" fontId="14" fillId="0" borderId="81" xfId="0" applyNumberFormat="1" applyFont="1" applyFill="1" applyBorder="1" applyAlignment="1">
      <alignment horizontal="center" vertical="center"/>
    </xf>
    <xf numFmtId="41" fontId="9" fillId="0" borderId="101" xfId="13200" applyFont="1" applyBorder="1" applyAlignment="1">
      <alignment vertical="center"/>
    </xf>
    <xf numFmtId="315" fontId="9" fillId="0" borderId="101" xfId="0" applyNumberFormat="1" applyFont="1" applyBorder="1" applyAlignment="1">
      <alignment vertical="center"/>
    </xf>
    <xf numFmtId="315" fontId="9" fillId="0" borderId="101" xfId="0" applyNumberFormat="1" applyFont="1" applyFill="1" applyBorder="1" applyAlignment="1">
      <alignment vertical="center"/>
    </xf>
    <xf numFmtId="315" fontId="41" fillId="10" borderId="81" xfId="0" applyNumberFormat="1" applyFont="1" applyFill="1" applyBorder="1" applyAlignment="1">
      <alignment horizontal="center" vertical="center"/>
    </xf>
    <xf numFmtId="177" fontId="9" fillId="0" borderId="81" xfId="0" applyNumberFormat="1" applyFont="1" applyBorder="1" applyAlignment="1">
      <alignment vertical="center"/>
    </xf>
    <xf numFmtId="315" fontId="16" fillId="0" borderId="81" xfId="0" applyNumberFormat="1" applyFont="1" applyBorder="1" applyAlignment="1">
      <alignment vertical="center"/>
    </xf>
    <xf numFmtId="315" fontId="9" fillId="0" borderId="80" xfId="0" applyNumberFormat="1" applyFont="1" applyBorder="1" applyAlignment="1">
      <alignment vertical="center"/>
    </xf>
    <xf numFmtId="315" fontId="9" fillId="0" borderId="80" xfId="0" applyNumberFormat="1" applyFont="1" applyFill="1" applyBorder="1" applyAlignment="1">
      <alignment vertical="center"/>
    </xf>
    <xf numFmtId="177" fontId="291" fillId="0" borderId="81" xfId="0" applyNumberFormat="1" applyFont="1" applyBorder="1" applyAlignment="1">
      <alignment vertical="center"/>
    </xf>
    <xf numFmtId="41" fontId="16" fillId="5" borderId="81" xfId="13200" applyFont="1" applyFill="1" applyBorder="1" applyAlignment="1">
      <alignment horizontal="left" vertical="center" indent="1"/>
    </xf>
    <xf numFmtId="41" fontId="16" fillId="8" borderId="81" xfId="13200" applyFont="1" applyFill="1" applyBorder="1" applyAlignment="1">
      <alignment horizontal="left" vertical="center" indent="1"/>
    </xf>
    <xf numFmtId="41" fontId="16" fillId="77" borderId="81" xfId="13200" applyFont="1" applyFill="1" applyBorder="1" applyAlignment="1">
      <alignment horizontal="left" vertical="center" indent="1"/>
    </xf>
    <xf numFmtId="41" fontId="16" fillId="5" borderId="81" xfId="13200" applyFont="1" applyFill="1" applyBorder="1" applyAlignment="1">
      <alignment horizontal="left" vertical="center" indent="2"/>
    </xf>
    <xf numFmtId="41" fontId="16" fillId="4" borderId="81" xfId="13200" applyFont="1" applyFill="1" applyBorder="1" applyAlignment="1">
      <alignment horizontal="left" vertical="center" indent="2"/>
    </xf>
    <xf numFmtId="41" fontId="16" fillId="77" borderId="81" xfId="13200" applyFont="1" applyFill="1" applyBorder="1" applyAlignment="1">
      <alignment horizontal="left" vertical="center" indent="2"/>
    </xf>
    <xf numFmtId="41" fontId="16" fillId="5" borderId="81" xfId="13200" applyFont="1" applyFill="1" applyBorder="1" applyAlignment="1">
      <alignment horizontal="left" vertical="center" indent="3"/>
    </xf>
    <xf numFmtId="41" fontId="16" fillId="4" borderId="81" xfId="13200" applyFont="1" applyFill="1" applyBorder="1" applyAlignment="1">
      <alignment horizontal="left" vertical="center" indent="3"/>
    </xf>
    <xf numFmtId="41" fontId="9" fillId="112" borderId="81" xfId="13200" applyFont="1" applyFill="1" applyBorder="1" applyAlignment="1">
      <alignment horizontal="left" vertical="center" indent="2"/>
    </xf>
    <xf numFmtId="41" fontId="9" fillId="112" borderId="81" xfId="13200" applyFont="1" applyFill="1" applyBorder="1" applyAlignment="1">
      <alignment horizontal="left" vertical="center" indent="1"/>
    </xf>
    <xf numFmtId="41" fontId="9" fillId="109" borderId="81" xfId="13200" applyFont="1" applyFill="1" applyBorder="1" applyAlignment="1">
      <alignment horizontal="left" vertical="center" indent="2"/>
    </xf>
    <xf numFmtId="0" fontId="274" fillId="18" borderId="0" xfId="0" applyFont="1" applyFill="1" applyAlignment="1">
      <alignment horizontal="center" vertical="center"/>
    </xf>
    <xf numFmtId="0" fontId="274" fillId="0" borderId="0" xfId="0" applyFont="1" applyFill="1" applyAlignment="1">
      <alignment horizontal="left" vertical="center" indent="1"/>
    </xf>
    <xf numFmtId="0" fontId="280" fillId="0" borderId="88" xfId="0" applyFont="1" applyBorder="1" applyAlignment="1">
      <alignment horizontal="center" vertical="center" wrapText="1"/>
    </xf>
    <xf numFmtId="0" fontId="280" fillId="0" borderId="89" xfId="0" applyFont="1" applyBorder="1" applyAlignment="1">
      <alignment horizontal="center" vertical="center" wrapText="1"/>
    </xf>
    <xf numFmtId="0" fontId="282" fillId="0" borderId="91" xfId="0" applyFont="1" applyBorder="1" applyAlignment="1">
      <alignment horizontal="center" vertical="center" wrapText="1"/>
    </xf>
    <xf numFmtId="0" fontId="282" fillId="0" borderId="93" xfId="0" applyFont="1" applyBorder="1" applyAlignment="1">
      <alignment horizontal="center" vertical="center" wrapText="1"/>
    </xf>
    <xf numFmtId="0" fontId="283" fillId="0" borderId="95" xfId="0" applyFont="1" applyBorder="1" applyAlignment="1">
      <alignment horizontal="center" vertical="center" wrapText="1"/>
    </xf>
    <xf numFmtId="0" fontId="282" fillId="0" borderId="96" xfId="0" applyFont="1" applyBorder="1" applyAlignment="1">
      <alignment horizontal="center" vertical="center" wrapText="1"/>
    </xf>
    <xf numFmtId="0" fontId="284" fillId="0" borderId="95" xfId="0" applyFont="1" applyBorder="1" applyAlignment="1">
      <alignment horizontal="center" vertical="center" wrapText="1"/>
    </xf>
    <xf numFmtId="0" fontId="286" fillId="0" borderId="96" xfId="0" applyFont="1" applyBorder="1" applyAlignment="1">
      <alignment horizontal="left" vertical="center" wrapText="1" indent="2"/>
    </xf>
    <xf numFmtId="3" fontId="280" fillId="0" borderId="95" xfId="0" applyNumberFormat="1" applyFont="1" applyBorder="1" applyAlignment="1">
      <alignment horizontal="right" vertical="center" wrapText="1"/>
    </xf>
    <xf numFmtId="0" fontId="280" fillId="0" borderId="95" xfId="0" applyFont="1" applyBorder="1" applyAlignment="1">
      <alignment horizontal="right" vertical="center" wrapText="1"/>
    </xf>
    <xf numFmtId="0" fontId="287" fillId="0" borderId="96" xfId="0" applyFont="1" applyBorder="1" applyAlignment="1">
      <alignment horizontal="left" vertical="center" wrapText="1" indent="3"/>
    </xf>
    <xf numFmtId="0" fontId="287" fillId="0" borderId="96" xfId="0" applyFont="1" applyBorder="1" applyAlignment="1">
      <alignment horizontal="left" vertical="center" wrapText="1" indent="4"/>
    </xf>
    <xf numFmtId="0" fontId="280" fillId="0" borderId="0" xfId="0" applyFont="1">
      <alignment vertical="center"/>
    </xf>
    <xf numFmtId="0" fontId="272" fillId="0" borderId="0" xfId="0" applyFont="1" applyAlignment="1">
      <alignment vertical="center" shrinkToFit="1"/>
    </xf>
    <xf numFmtId="0" fontId="272" fillId="0" borderId="0" xfId="0" applyFont="1" applyAlignment="1">
      <alignment horizontal="center" vertical="center" shrinkToFit="1"/>
    </xf>
    <xf numFmtId="0" fontId="17" fillId="0" borderId="0" xfId="0" applyFont="1" applyAlignment="1">
      <alignment horizontal="center" vertical="center" shrinkToFit="1"/>
    </xf>
    <xf numFmtId="0" fontId="276" fillId="76" borderId="82" xfId="0" applyNumberFormat="1" applyFont="1" applyFill="1" applyBorder="1" applyAlignment="1">
      <alignment horizontal="center" vertical="center" shrinkToFit="1"/>
    </xf>
    <xf numFmtId="315" fontId="277" fillId="76" borderId="5" xfId="0" applyNumberFormat="1" applyFont="1" applyFill="1" applyBorder="1" applyAlignment="1">
      <alignment vertical="center" shrinkToFit="1"/>
    </xf>
    <xf numFmtId="0" fontId="278" fillId="0" borderId="0" xfId="0" applyFont="1" applyAlignment="1">
      <alignment vertical="center" shrinkToFit="1"/>
    </xf>
    <xf numFmtId="0" fontId="272" fillId="0" borderId="82" xfId="0" applyNumberFormat="1" applyFont="1" applyFill="1" applyBorder="1" applyAlignment="1">
      <alignment horizontal="center" vertical="center" shrinkToFit="1"/>
    </xf>
    <xf numFmtId="315" fontId="17" fillId="0" borderId="5" xfId="0" applyNumberFormat="1" applyFont="1" applyBorder="1" applyAlignment="1">
      <alignment vertical="center" shrinkToFit="1"/>
    </xf>
    <xf numFmtId="315" fontId="272" fillId="0" borderId="0" xfId="0" applyNumberFormat="1" applyFont="1" applyAlignment="1">
      <alignment vertical="center" shrinkToFit="1"/>
    </xf>
    <xf numFmtId="315" fontId="17" fillId="14" borderId="5" xfId="0" applyNumberFormat="1" applyFont="1" applyFill="1" applyBorder="1" applyAlignment="1">
      <alignment vertical="center" shrinkToFit="1"/>
    </xf>
    <xf numFmtId="0" fontId="272" fillId="0" borderId="0" xfId="0" applyNumberFormat="1" applyFont="1" applyAlignment="1">
      <alignment horizontal="center" vertical="center" shrinkToFit="1"/>
    </xf>
    <xf numFmtId="0" fontId="17" fillId="0" borderId="0" xfId="0" applyFont="1" applyAlignment="1">
      <alignment vertical="center" shrinkToFit="1"/>
    </xf>
    <xf numFmtId="0" fontId="17" fillId="0" borderId="0" xfId="0" applyFont="1" applyAlignment="1">
      <alignment horizontal="left" vertical="center" shrinkToFit="1"/>
    </xf>
    <xf numFmtId="315" fontId="17" fillId="0" borderId="5" xfId="0" applyNumberFormat="1" applyFont="1" applyBorder="1" applyAlignment="1">
      <alignment horizontal="right" vertical="center" shrinkToFit="1"/>
    </xf>
    <xf numFmtId="315" fontId="17" fillId="0" borderId="0" xfId="0" applyNumberFormat="1" applyFont="1" applyAlignment="1">
      <alignment vertical="center" shrinkToFit="1"/>
    </xf>
    <xf numFmtId="10" fontId="17" fillId="0" borderId="5" xfId="14101" applyNumberFormat="1" applyFont="1" applyBorder="1" applyAlignment="1">
      <alignment vertical="center" shrinkToFit="1"/>
    </xf>
    <xf numFmtId="10" fontId="272" fillId="0" borderId="0" xfId="14101" applyNumberFormat="1" applyFont="1" applyAlignment="1">
      <alignment vertical="center" shrinkToFit="1"/>
    </xf>
    <xf numFmtId="317" fontId="17" fillId="0" borderId="5" xfId="14101" applyNumberFormat="1" applyFont="1" applyBorder="1" applyAlignment="1">
      <alignment horizontal="right" vertical="center" shrinkToFit="1"/>
    </xf>
    <xf numFmtId="317" fontId="17" fillId="14" borderId="5" xfId="14101" applyNumberFormat="1" applyFont="1" applyFill="1" applyBorder="1" applyAlignment="1">
      <alignment horizontal="right" vertical="center" shrinkToFit="1"/>
    </xf>
    <xf numFmtId="10" fontId="17" fillId="0" borderId="0" xfId="14101" applyNumberFormat="1" applyFont="1" applyAlignment="1">
      <alignment vertical="center" shrinkToFit="1"/>
    </xf>
    <xf numFmtId="315" fontId="17" fillId="0" borderId="0" xfId="0" applyNumberFormat="1" applyFont="1" applyAlignment="1">
      <alignment horizontal="right" vertical="center" shrinkToFit="1"/>
    </xf>
    <xf numFmtId="0" fontId="17" fillId="0" borderId="0" xfId="0" applyFont="1" applyAlignment="1">
      <alignment horizontal="right" vertical="center" shrinkToFit="1"/>
    </xf>
    <xf numFmtId="317" fontId="17" fillId="17" borderId="5" xfId="14101" applyNumberFormat="1" applyFont="1" applyFill="1" applyBorder="1" applyAlignment="1">
      <alignment horizontal="right" vertical="center" shrinkToFit="1"/>
    </xf>
    <xf numFmtId="317" fontId="17" fillId="114" borderId="5" xfId="14101" applyNumberFormat="1" applyFont="1" applyFill="1" applyBorder="1" applyAlignment="1">
      <alignment horizontal="right" vertical="center" shrinkToFit="1"/>
    </xf>
    <xf numFmtId="10" fontId="17" fillId="17" borderId="5" xfId="14101" applyNumberFormat="1" applyFont="1" applyFill="1" applyBorder="1" applyAlignment="1">
      <alignment horizontal="right" vertical="center" shrinkToFit="1"/>
    </xf>
    <xf numFmtId="316" fontId="17" fillId="0" borderId="5" xfId="0" applyNumberFormat="1" applyFont="1" applyBorder="1" applyAlignment="1">
      <alignment horizontal="right" vertical="center" shrinkToFit="1"/>
    </xf>
    <xf numFmtId="317" fontId="17" fillId="17" borderId="5" xfId="0" applyNumberFormat="1" applyFont="1" applyFill="1" applyBorder="1" applyAlignment="1">
      <alignment horizontal="right" vertical="center" shrinkToFit="1"/>
    </xf>
    <xf numFmtId="317" fontId="17" fillId="0" borderId="5" xfId="0" applyNumberFormat="1" applyFont="1" applyBorder="1" applyAlignment="1">
      <alignment horizontal="right" vertical="center" shrinkToFit="1"/>
    </xf>
    <xf numFmtId="0" fontId="277" fillId="76" borderId="5" xfId="0" applyFont="1" applyFill="1" applyBorder="1" applyAlignment="1">
      <alignment vertical="center" shrinkToFit="1"/>
    </xf>
    <xf numFmtId="0" fontId="278" fillId="0" borderId="0" xfId="0" applyFont="1" applyBorder="1" applyAlignment="1">
      <alignment vertical="center" shrinkToFit="1"/>
    </xf>
    <xf numFmtId="0" fontId="278" fillId="76" borderId="5" xfId="0" applyFont="1" applyFill="1" applyBorder="1" applyAlignment="1">
      <alignment vertical="center" shrinkToFit="1"/>
    </xf>
    <xf numFmtId="316" fontId="17" fillId="0" borderId="5" xfId="0" applyNumberFormat="1" applyFont="1" applyFill="1" applyBorder="1" applyAlignment="1">
      <alignment vertical="center" shrinkToFit="1"/>
    </xf>
    <xf numFmtId="316" fontId="17" fillId="0" borderId="0" xfId="0" applyNumberFormat="1" applyFont="1" applyBorder="1" applyAlignment="1">
      <alignment vertical="center" shrinkToFit="1"/>
    </xf>
    <xf numFmtId="316" fontId="17" fillId="17" borderId="5" xfId="0" applyNumberFormat="1" applyFont="1" applyFill="1" applyBorder="1" applyAlignment="1">
      <alignment vertical="center" shrinkToFit="1"/>
    </xf>
    <xf numFmtId="316" fontId="272" fillId="0" borderId="0" xfId="0" applyNumberFormat="1" applyFont="1" applyAlignment="1">
      <alignment vertical="center" shrinkToFit="1"/>
    </xf>
    <xf numFmtId="0" fontId="6" fillId="0" borderId="0" xfId="0" quotePrefix="1" applyFont="1" applyAlignment="1">
      <alignment horizontal="center" vertical="center"/>
    </xf>
    <xf numFmtId="0" fontId="297" fillId="0" borderId="0" xfId="0" applyFont="1" applyAlignment="1">
      <alignment horizontal="center" vertical="center"/>
    </xf>
    <xf numFmtId="0" fontId="298" fillId="0" borderId="0" xfId="0" applyFont="1" applyAlignment="1">
      <alignment horizontal="center" vertical="center"/>
    </xf>
    <xf numFmtId="0" fontId="280" fillId="0" borderId="0" xfId="0" applyFont="1">
      <alignment vertical="center"/>
    </xf>
    <xf numFmtId="0" fontId="283" fillId="0" borderId="102" xfId="0" applyFont="1" applyBorder="1" applyAlignment="1">
      <alignment horizontal="left" vertical="center" wrapText="1" indent="1"/>
    </xf>
    <xf numFmtId="3" fontId="280" fillId="0" borderId="103" xfId="0" applyNumberFormat="1" applyFont="1" applyBorder="1" applyAlignment="1">
      <alignment horizontal="right" vertical="center" wrapText="1"/>
    </xf>
    <xf numFmtId="0" fontId="280" fillId="0" borderId="103" xfId="0" applyFont="1" applyBorder="1" applyAlignment="1">
      <alignment horizontal="right" vertical="center" wrapText="1"/>
    </xf>
    <xf numFmtId="0" fontId="280" fillId="0" borderId="0" xfId="0" applyFont="1">
      <alignment vertical="center"/>
    </xf>
    <xf numFmtId="0" fontId="17" fillId="13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299" fillId="13" borderId="0" xfId="0" applyFont="1" applyFill="1" applyAlignment="1">
      <alignment horizontal="center" vertical="center"/>
    </xf>
    <xf numFmtId="14" fontId="299" fillId="13" borderId="0" xfId="0" applyNumberFormat="1" applyFont="1" applyFill="1" applyAlignment="1">
      <alignment horizontal="center" vertical="center" wrapText="1"/>
    </xf>
    <xf numFmtId="14" fontId="299" fillId="13" borderId="0" xfId="0" applyNumberFormat="1" applyFont="1" applyFill="1" applyAlignment="1">
      <alignment horizontal="center" vertical="center"/>
    </xf>
    <xf numFmtId="0" fontId="299" fillId="0" borderId="0" xfId="0" applyFont="1" applyAlignment="1">
      <alignment horizontal="center" vertical="center"/>
    </xf>
    <xf numFmtId="0" fontId="17" fillId="0" borderId="0" xfId="0" applyFont="1" applyFill="1">
      <alignment vertical="center"/>
    </xf>
    <xf numFmtId="179" fontId="17" fillId="0" borderId="0" xfId="0" applyNumberFormat="1" applyFont="1" applyBorder="1">
      <alignment vertical="center"/>
    </xf>
    <xf numFmtId="0" fontId="17" fillId="0" borderId="0" xfId="0" applyFont="1" applyBorder="1">
      <alignment vertical="center"/>
    </xf>
    <xf numFmtId="41" fontId="17" fillId="0" borderId="0" xfId="13200" applyFont="1" applyBorder="1">
      <alignment vertical="center"/>
    </xf>
    <xf numFmtId="0" fontId="0" fillId="0" borderId="0" xfId="0">
      <alignment vertical="center"/>
    </xf>
    <xf numFmtId="0" fontId="280" fillId="0" borderId="0" xfId="0" applyFont="1" applyAlignment="1">
      <alignment horizontal="center" vertical="center" wrapText="1"/>
    </xf>
    <xf numFmtId="0" fontId="280" fillId="0" borderId="88" xfId="0" applyFont="1" applyBorder="1" applyAlignment="1">
      <alignment horizontal="center" vertical="center" wrapText="1"/>
    </xf>
    <xf numFmtId="0" fontId="280" fillId="0" borderId="89" xfId="0" applyFont="1" applyBorder="1" applyAlignment="1">
      <alignment horizontal="center" vertical="center" wrapText="1"/>
    </xf>
    <xf numFmtId="0" fontId="282" fillId="0" borderId="93" xfId="0" applyFont="1" applyBorder="1" applyAlignment="1">
      <alignment horizontal="center" vertical="center" wrapText="1"/>
    </xf>
    <xf numFmtId="0" fontId="283" fillId="0" borderId="95" xfId="0" applyFont="1" applyBorder="1" applyAlignment="1">
      <alignment horizontal="center" vertical="center" wrapText="1"/>
    </xf>
    <xf numFmtId="0" fontId="282" fillId="0" borderId="96" xfId="0" applyFont="1" applyBorder="1" applyAlignment="1">
      <alignment horizontal="center" vertical="center" wrapText="1"/>
    </xf>
    <xf numFmtId="0" fontId="284" fillId="0" borderId="95" xfId="0" applyFont="1" applyBorder="1" applyAlignment="1">
      <alignment horizontal="center" vertical="center" wrapText="1"/>
    </xf>
    <xf numFmtId="0" fontId="285" fillId="115" borderId="96" xfId="0" applyFont="1" applyFill="1" applyBorder="1" applyAlignment="1">
      <alignment horizontal="left" vertical="center" wrapText="1"/>
    </xf>
    <xf numFmtId="3" fontId="280" fillId="115" borderId="95" xfId="0" applyNumberFormat="1" applyFont="1" applyFill="1" applyBorder="1" applyAlignment="1">
      <alignment horizontal="right" vertical="center" wrapText="1"/>
    </xf>
    <xf numFmtId="0" fontId="283" fillId="0" borderId="97" xfId="0" applyFont="1" applyBorder="1" applyAlignment="1">
      <alignment horizontal="left" vertical="center" wrapText="1" indent="1"/>
    </xf>
    <xf numFmtId="3" fontId="280" fillId="0" borderId="98" xfId="0" applyNumberFormat="1" applyFont="1" applyBorder="1" applyAlignment="1">
      <alignment horizontal="right" vertical="center" wrapText="1"/>
    </xf>
    <xf numFmtId="0" fontId="286" fillId="0" borderId="96" xfId="0" applyFont="1" applyBorder="1" applyAlignment="1">
      <alignment horizontal="left" vertical="center" wrapText="1" indent="2"/>
    </xf>
    <xf numFmtId="3" fontId="280" fillId="0" borderId="95" xfId="0" applyNumberFormat="1" applyFont="1" applyBorder="1" applyAlignment="1">
      <alignment horizontal="right" vertical="center" wrapText="1"/>
    </xf>
    <xf numFmtId="0" fontId="287" fillId="0" borderId="96" xfId="0" applyFont="1" applyBorder="1" applyAlignment="1">
      <alignment horizontal="left" vertical="center" wrapText="1" indent="3"/>
    </xf>
    <xf numFmtId="0" fontId="280" fillId="0" borderId="95" xfId="0" applyFont="1" applyBorder="1" applyAlignment="1">
      <alignment horizontal="right" vertical="center" wrapText="1"/>
    </xf>
    <xf numFmtId="0" fontId="280" fillId="0" borderId="98" xfId="0" applyFont="1" applyBorder="1" applyAlignment="1">
      <alignment horizontal="right" vertical="center" wrapText="1"/>
    </xf>
    <xf numFmtId="0" fontId="287" fillId="0" borderId="96" xfId="0" applyFont="1" applyBorder="1" applyAlignment="1">
      <alignment horizontal="left" vertical="center" wrapText="1" indent="4"/>
    </xf>
    <xf numFmtId="0" fontId="280" fillId="115" borderId="95" xfId="0" applyFont="1" applyFill="1" applyBorder="1" applyAlignment="1">
      <alignment horizontal="right" vertical="center" wrapText="1"/>
    </xf>
    <xf numFmtId="0" fontId="282" fillId="0" borderId="91" xfId="0" applyFont="1" applyBorder="1" applyAlignment="1">
      <alignment horizontal="center" vertical="center" wrapText="1"/>
    </xf>
    <xf numFmtId="0" fontId="285" fillId="115" borderId="99" xfId="0" applyFont="1" applyFill="1" applyBorder="1" applyAlignment="1">
      <alignment horizontal="left" vertical="center" wrapText="1"/>
    </xf>
    <xf numFmtId="3" fontId="280" fillId="115" borderId="100" xfId="0" applyNumberFormat="1" applyFont="1" applyFill="1" applyBorder="1" applyAlignment="1">
      <alignment horizontal="right" vertical="center" wrapText="1"/>
    </xf>
    <xf numFmtId="0" fontId="280" fillId="115" borderId="100" xfId="0" applyFont="1" applyFill="1" applyBorder="1" applyAlignment="1">
      <alignment horizontal="right" vertical="center" wrapText="1"/>
    </xf>
    <xf numFmtId="0" fontId="283" fillId="0" borderId="102" xfId="0" applyFont="1" applyBorder="1" applyAlignment="1">
      <alignment horizontal="left" vertical="center" wrapText="1" indent="1"/>
    </xf>
    <xf numFmtId="0" fontId="280" fillId="0" borderId="103" xfId="0" applyFont="1" applyBorder="1" applyAlignment="1">
      <alignment horizontal="right" vertical="center" wrapText="1"/>
    </xf>
    <xf numFmtId="3" fontId="280" fillId="0" borderId="103" xfId="0" applyNumberFormat="1" applyFont="1" applyBorder="1" applyAlignment="1">
      <alignment horizontal="right" vertical="center" wrapText="1"/>
    </xf>
    <xf numFmtId="0" fontId="280" fillId="0" borderId="0" xfId="0" applyFont="1">
      <alignment vertical="center"/>
    </xf>
    <xf numFmtId="0" fontId="30" fillId="0" borderId="0" xfId="20" applyAlignment="1">
      <alignment vertical="center"/>
    </xf>
    <xf numFmtId="0" fontId="282" fillId="116" borderId="96" xfId="0" applyFont="1" applyFill="1" applyBorder="1" applyAlignment="1">
      <alignment horizontal="center" vertical="center" wrapText="1"/>
    </xf>
    <xf numFmtId="0" fontId="283" fillId="116" borderId="97" xfId="0" applyFont="1" applyFill="1" applyBorder="1" applyAlignment="1">
      <alignment horizontal="left" vertical="center" wrapText="1" indent="1"/>
    </xf>
    <xf numFmtId="0" fontId="286" fillId="116" borderId="96" xfId="0" applyFont="1" applyFill="1" applyBorder="1" applyAlignment="1">
      <alignment horizontal="left" vertical="center" wrapText="1" indent="2"/>
    </xf>
    <xf numFmtId="0" fontId="287" fillId="116" borderId="96" xfId="0" applyFont="1" applyFill="1" applyBorder="1" applyAlignment="1">
      <alignment horizontal="left" vertical="center" wrapText="1" indent="3"/>
    </xf>
    <xf numFmtId="41" fontId="6" fillId="6" borderId="14" xfId="13200" applyFont="1" applyFill="1" applyBorder="1" applyAlignment="1">
      <alignment horizontal="left" vertical="center" indent="2"/>
    </xf>
    <xf numFmtId="0" fontId="280" fillId="0" borderId="0" xfId="0" applyFont="1">
      <alignment vertical="center"/>
    </xf>
    <xf numFmtId="318" fontId="305" fillId="4" borderId="0" xfId="0" applyNumberFormat="1" applyFont="1" applyFill="1" applyBorder="1">
      <alignment vertical="center"/>
    </xf>
    <xf numFmtId="41" fontId="6" fillId="11" borderId="3" xfId="0" applyNumberFormat="1" applyFont="1" applyFill="1" applyBorder="1">
      <alignment vertical="center"/>
    </xf>
    <xf numFmtId="41" fontId="9" fillId="7" borderId="3" xfId="0" applyNumberFormat="1" applyFont="1" applyFill="1" applyBorder="1">
      <alignment vertical="center"/>
    </xf>
    <xf numFmtId="41" fontId="9" fillId="8" borderId="10" xfId="0" applyNumberFormat="1" applyFont="1" applyFill="1" applyBorder="1">
      <alignment vertical="center"/>
    </xf>
    <xf numFmtId="3" fontId="306" fillId="0" borderId="0" xfId="36" applyNumberFormat="1" applyFont="1" applyBorder="1" applyAlignment="1">
      <alignment horizontal="right" vertical="center"/>
    </xf>
    <xf numFmtId="41" fontId="9" fillId="0" borderId="0" xfId="0" applyNumberFormat="1" applyFont="1" applyFill="1" applyBorder="1">
      <alignment vertical="center"/>
    </xf>
    <xf numFmtId="319" fontId="307" fillId="0" borderId="26" xfId="13200" applyNumberFormat="1" applyFont="1" applyBorder="1" applyAlignment="1">
      <alignment vertical="center"/>
    </xf>
    <xf numFmtId="0" fontId="17" fillId="0" borderId="14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17" fillId="0" borderId="6" xfId="0" applyFont="1" applyBorder="1" applyAlignment="1">
      <alignment vertical="center"/>
    </xf>
    <xf numFmtId="0" fontId="17" fillId="0" borderId="14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20" fillId="0" borderId="14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17" fillId="0" borderId="13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275" fillId="13" borderId="4" xfId="0" applyFont="1" applyFill="1" applyBorder="1" applyAlignment="1">
      <alignment horizontal="center" vertical="center"/>
    </xf>
    <xf numFmtId="0" fontId="275" fillId="13" borderId="1" xfId="0" applyFont="1" applyFill="1" applyBorder="1" applyAlignment="1">
      <alignment horizontal="center" vertical="center"/>
    </xf>
    <xf numFmtId="0" fontId="275" fillId="0" borderId="1" xfId="0" applyFont="1" applyBorder="1" applyAlignment="1">
      <alignment vertical="center"/>
    </xf>
    <xf numFmtId="0" fontId="275" fillId="0" borderId="2" xfId="0" applyFont="1" applyBorder="1" applyAlignment="1">
      <alignment vertical="center"/>
    </xf>
    <xf numFmtId="0" fontId="275" fillId="0" borderId="13" xfId="0" applyFont="1" applyBorder="1" applyAlignment="1">
      <alignment vertical="center"/>
    </xf>
    <xf numFmtId="0" fontId="275" fillId="0" borderId="11" xfId="0" applyFont="1" applyBorder="1" applyAlignment="1">
      <alignment vertical="center"/>
    </xf>
    <xf numFmtId="0" fontId="275" fillId="0" borderId="12" xfId="0" applyFont="1" applyBorder="1" applyAlignment="1">
      <alignment vertical="center"/>
    </xf>
    <xf numFmtId="0" fontId="18" fillId="13" borderId="7" xfId="0" applyFont="1" applyFill="1" applyBorder="1" applyAlignment="1">
      <alignment horizontal="center" vertical="center"/>
    </xf>
    <xf numFmtId="0" fontId="18" fillId="13" borderId="9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8" xfId="0" applyFont="1" applyBorder="1" applyAlignment="1">
      <alignment vertical="center"/>
    </xf>
    <xf numFmtId="0" fontId="17" fillId="0" borderId="9" xfId="0" applyFont="1" applyBorder="1" applyAlignment="1">
      <alignment vertical="center"/>
    </xf>
    <xf numFmtId="0" fontId="18" fillId="13" borderId="8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4" xfId="0" applyFont="1" applyBorder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13" xfId="0" applyFont="1" applyBorder="1" applyAlignment="1">
      <alignment horizontal="left" vertical="center"/>
    </xf>
    <xf numFmtId="0" fontId="17" fillId="0" borderId="11" xfId="0" applyFont="1" applyBorder="1" applyAlignment="1">
      <alignment vertical="center"/>
    </xf>
    <xf numFmtId="0" fontId="17" fillId="0" borderId="12" xfId="0" applyFont="1" applyBorder="1" applyAlignment="1">
      <alignment vertical="center"/>
    </xf>
    <xf numFmtId="0" fontId="17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left" vertical="center"/>
    </xf>
    <xf numFmtId="0" fontId="17" fillId="0" borderId="5" xfId="0" applyFont="1" applyFill="1" applyBorder="1" applyAlignment="1">
      <alignment horizontal="left" vertical="center"/>
    </xf>
    <xf numFmtId="0" fontId="17" fillId="4" borderId="5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2" fillId="0" borderId="87" xfId="0" applyFont="1" applyBorder="1" applyAlignment="1">
      <alignment horizontal="left" vertical="center"/>
    </xf>
    <xf numFmtId="0" fontId="23" fillId="0" borderId="87" xfId="0" applyFont="1" applyBorder="1">
      <alignment vertical="center"/>
    </xf>
    <xf numFmtId="317" fontId="19" fillId="14" borderId="11" xfId="0" applyNumberFormat="1" applyFont="1" applyFill="1" applyBorder="1" applyAlignment="1">
      <alignment horizontal="right" vertical="center"/>
    </xf>
    <xf numFmtId="317" fontId="17" fillId="0" borderId="11" xfId="0" applyNumberFormat="1" applyFont="1" applyFill="1" applyBorder="1" applyAlignment="1">
      <alignment horizontal="right" vertical="center"/>
    </xf>
    <xf numFmtId="0" fontId="20" fillId="0" borderId="7" xfId="0" applyFont="1" applyFill="1" applyBorder="1" applyAlignment="1">
      <alignment horizontal="left" vertical="center"/>
    </xf>
    <xf numFmtId="0" fontId="20" fillId="0" borderId="8" xfId="0" applyFont="1" applyFill="1" applyBorder="1" applyAlignment="1">
      <alignment horizontal="left" vertical="center"/>
    </xf>
    <xf numFmtId="0" fontId="20" fillId="0" borderId="9" xfId="0" applyFont="1" applyFill="1" applyBorder="1" applyAlignment="1">
      <alignment horizontal="left" vertical="center"/>
    </xf>
    <xf numFmtId="317" fontId="20" fillId="0" borderId="11" xfId="0" applyNumberFormat="1" applyFont="1" applyFill="1" applyBorder="1" applyAlignment="1">
      <alignment horizontal="right" vertical="center"/>
    </xf>
    <xf numFmtId="0" fontId="22" fillId="0" borderId="87" xfId="0" applyFont="1" applyFill="1" applyBorder="1" applyAlignment="1">
      <alignment horizontal="left" vertical="center"/>
    </xf>
    <xf numFmtId="0" fontId="23" fillId="0" borderId="87" xfId="0" applyFont="1" applyFill="1" applyBorder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8" xfId="0" applyFont="1" applyFill="1" applyBorder="1" applyAlignment="1">
      <alignment horizontal="left" vertical="center"/>
    </xf>
    <xf numFmtId="0" fontId="17" fillId="0" borderId="9" xfId="0" applyFont="1" applyFill="1" applyBorder="1" applyAlignment="1">
      <alignment horizontal="left" vertical="center"/>
    </xf>
    <xf numFmtId="316" fontId="21" fillId="14" borderId="11" xfId="0" applyNumberFormat="1" applyFont="1" applyFill="1" applyBorder="1" applyAlignment="1">
      <alignment horizontal="right" vertical="center"/>
    </xf>
    <xf numFmtId="316" fontId="17" fillId="0" borderId="11" xfId="0" applyNumberFormat="1" applyFont="1" applyFill="1" applyBorder="1" applyAlignment="1">
      <alignment horizontal="right" vertical="center"/>
    </xf>
    <xf numFmtId="315" fontId="20" fillId="0" borderId="11" xfId="0" applyNumberFormat="1" applyFont="1" applyFill="1" applyBorder="1" applyAlignment="1">
      <alignment horizontal="right" vertical="center"/>
    </xf>
    <xf numFmtId="315" fontId="17" fillId="0" borderId="11" xfId="0" applyNumberFormat="1" applyFont="1" applyFill="1" applyBorder="1" applyAlignment="1">
      <alignment horizontal="right" vertical="center"/>
    </xf>
    <xf numFmtId="0" fontId="296" fillId="0" borderId="0" xfId="0" applyFont="1" applyAlignment="1">
      <alignment horizontal="center" vertical="center"/>
    </xf>
    <xf numFmtId="0" fontId="280" fillId="0" borderId="0" xfId="0" applyFont="1">
      <alignment vertical="center"/>
    </xf>
    <xf numFmtId="0" fontId="281" fillId="115" borderId="90" xfId="0" applyFont="1" applyFill="1" applyBorder="1" applyAlignment="1">
      <alignment horizontal="center" vertical="center" wrapText="1"/>
    </xf>
    <xf numFmtId="0" fontId="281" fillId="115" borderId="92" xfId="0" applyFont="1" applyFill="1" applyBorder="1" applyAlignment="1">
      <alignment horizontal="center" vertical="center" wrapText="1"/>
    </xf>
    <xf numFmtId="0" fontId="281" fillId="115" borderId="94" xfId="0" applyFont="1" applyFill="1" applyBorder="1" applyAlignment="1">
      <alignment horizontal="center" vertical="center" wrapText="1"/>
    </xf>
    <xf numFmtId="41" fontId="7" fillId="2" borderId="3" xfId="13200" applyFont="1" applyFill="1" applyBorder="1" applyAlignment="1">
      <alignment horizontal="center" vertical="center"/>
    </xf>
    <xf numFmtId="41" fontId="0" fillId="0" borderId="10" xfId="13200" applyFont="1" applyBorder="1">
      <alignment vertical="center"/>
    </xf>
    <xf numFmtId="41" fontId="7" fillId="12" borderId="4" xfId="0" applyNumberFormat="1" applyFont="1" applyFill="1" applyBorder="1" applyAlignment="1">
      <alignment horizontal="center" vertical="center"/>
    </xf>
    <xf numFmtId="41" fontId="39" fillId="12" borderId="1" xfId="0" applyNumberFormat="1" applyFont="1" applyFill="1" applyBorder="1" applyAlignment="1">
      <alignment vertical="center"/>
    </xf>
    <xf numFmtId="41" fontId="39" fillId="12" borderId="13" xfId="0" applyNumberFormat="1" applyFont="1" applyFill="1" applyBorder="1" applyAlignment="1">
      <alignment vertical="center"/>
    </xf>
    <xf numFmtId="41" fontId="39" fillId="12" borderId="11" xfId="0" applyNumberFormat="1" applyFont="1" applyFill="1" applyBorder="1" applyAlignment="1">
      <alignment vertical="center"/>
    </xf>
    <xf numFmtId="41" fontId="7" fillId="12" borderId="1" xfId="0" applyNumberFormat="1" applyFont="1" applyFill="1" applyBorder="1" applyAlignment="1">
      <alignment horizontal="center" vertical="center"/>
    </xf>
    <xf numFmtId="41" fontId="15" fillId="12" borderId="4" xfId="0" applyNumberFormat="1" applyFont="1" applyFill="1" applyBorder="1" applyAlignment="1">
      <alignment horizontal="center" vertical="center"/>
    </xf>
    <xf numFmtId="41" fontId="40" fillId="12" borderId="1" xfId="0" applyNumberFormat="1" applyFont="1" applyFill="1" applyBorder="1" applyAlignment="1">
      <alignment horizontal="center" vertical="center"/>
    </xf>
    <xf numFmtId="41" fontId="40" fillId="12" borderId="14" xfId="0" applyNumberFormat="1" applyFont="1" applyFill="1" applyBorder="1" applyAlignment="1">
      <alignment horizontal="center" vertical="center"/>
    </xf>
    <xf numFmtId="41" fontId="40" fillId="12" borderId="11" xfId="0" applyNumberFormat="1" applyFont="1" applyFill="1" applyBorder="1" applyAlignment="1">
      <alignment horizontal="center" vertical="center"/>
    </xf>
    <xf numFmtId="41" fontId="15" fillId="12" borderId="1" xfId="0" applyNumberFormat="1" applyFont="1" applyFill="1" applyBorder="1" applyAlignment="1">
      <alignment horizontal="center" vertical="center"/>
    </xf>
    <xf numFmtId="41" fontId="40" fillId="12" borderId="0" xfId="0" applyNumberFormat="1" applyFont="1" applyFill="1" applyBorder="1" applyAlignment="1">
      <alignment horizontal="center" vertical="center"/>
    </xf>
    <xf numFmtId="0" fontId="299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319" fontId="308" fillId="0" borderId="26" xfId="13200" applyNumberFormat="1" applyFont="1" applyBorder="1" applyAlignment="1">
      <alignment vertical="center"/>
    </xf>
  </cellXfs>
  <cellStyles count="14114">
    <cellStyle name="_x0012_" xfId="68"/>
    <cellStyle name=" " xfId="69"/>
    <cellStyle name="          _x000d__x000a_386grabber=KSVGA.3GR" xfId="70"/>
    <cellStyle name="          _x000d__x000a_386grabber=vga.3gr_x000d__x000a_" xfId="71"/>
    <cellStyle name="          _x000d__x000a_shell=progman.exe_x000d__x000a_m" xfId="72"/>
    <cellStyle name="_x000a_386grabber=M" xfId="73"/>
    <cellStyle name="%4_x0003_?투자계획 조정내역" xfId="74"/>
    <cellStyle name="&amp;A" xfId="75"/>
    <cellStyle name="(표준)" xfId="76"/>
    <cellStyle name=".000" xfId="77"/>
    <cellStyle name=";;;" xfId="78"/>
    <cellStyle name="?" xfId="79"/>
    <cellStyle name="??" xfId="80"/>
    <cellStyle name="?? [0]_??" xfId="81"/>
    <cellStyle name="?? 10" xfId="82"/>
    <cellStyle name="?? 11" xfId="83"/>
    <cellStyle name="?? 12" xfId="84"/>
    <cellStyle name="?? 13" xfId="85"/>
    <cellStyle name="?? 14" xfId="86"/>
    <cellStyle name="?? 15" xfId="87"/>
    <cellStyle name="?? 16" xfId="88"/>
    <cellStyle name="?? 17" xfId="89"/>
    <cellStyle name="?? 18" xfId="90"/>
    <cellStyle name="?? 19" xfId="91"/>
    <cellStyle name="?? 2" xfId="92"/>
    <cellStyle name="?? 20" xfId="93"/>
    <cellStyle name="?? 21" xfId="94"/>
    <cellStyle name="?? 22" xfId="95"/>
    <cellStyle name="?? 23" xfId="96"/>
    <cellStyle name="?? 24" xfId="97"/>
    <cellStyle name="?? 25" xfId="98"/>
    <cellStyle name="?? 26" xfId="99"/>
    <cellStyle name="?? 27" xfId="100"/>
    <cellStyle name="?? 28" xfId="101"/>
    <cellStyle name="?? 29" xfId="102"/>
    <cellStyle name="?? 3" xfId="103"/>
    <cellStyle name="?? 30" xfId="104"/>
    <cellStyle name="?? 31" xfId="105"/>
    <cellStyle name="?? 32" xfId="106"/>
    <cellStyle name="?? 33" xfId="107"/>
    <cellStyle name="?? 34" xfId="108"/>
    <cellStyle name="?? 35" xfId="109"/>
    <cellStyle name="?? 36" xfId="110"/>
    <cellStyle name="?? 37" xfId="111"/>
    <cellStyle name="?? 38" xfId="112"/>
    <cellStyle name="?? 39" xfId="113"/>
    <cellStyle name="?? 4" xfId="114"/>
    <cellStyle name="?? 40" xfId="115"/>
    <cellStyle name="?? 41" xfId="116"/>
    <cellStyle name="?? 42" xfId="117"/>
    <cellStyle name="?? 43" xfId="118"/>
    <cellStyle name="?? 44" xfId="119"/>
    <cellStyle name="?? 45" xfId="120"/>
    <cellStyle name="?? 46" xfId="121"/>
    <cellStyle name="?? 47" xfId="122"/>
    <cellStyle name="?? 48" xfId="123"/>
    <cellStyle name="?? 49" xfId="124"/>
    <cellStyle name="?? 5" xfId="125"/>
    <cellStyle name="?? 50" xfId="126"/>
    <cellStyle name="?? 51" xfId="127"/>
    <cellStyle name="?? 52" xfId="128"/>
    <cellStyle name="?? 53" xfId="129"/>
    <cellStyle name="?? 54" xfId="130"/>
    <cellStyle name="?? 55" xfId="131"/>
    <cellStyle name="?? 56" xfId="132"/>
    <cellStyle name="?? 57" xfId="133"/>
    <cellStyle name="?? 58" xfId="134"/>
    <cellStyle name="?? 59" xfId="135"/>
    <cellStyle name="?? 6" xfId="136"/>
    <cellStyle name="?? 60" xfId="137"/>
    <cellStyle name="?? 61" xfId="138"/>
    <cellStyle name="?? 62" xfId="139"/>
    <cellStyle name="?? 63" xfId="140"/>
    <cellStyle name="?? 7" xfId="141"/>
    <cellStyle name="?? 8" xfId="142"/>
    <cellStyle name="?? 9" xfId="143"/>
    <cellStyle name="??_x000c_@?_x000d_3?_x0001__x000b_" xfId="144"/>
    <cellStyle name="??_x000c_靖?崧U_x0001_A_x0014_?_x0007__x0001__x0001_" xfId="145"/>
    <cellStyle name="??_x000c_靖?崧U_x0001_B_x0014_?_x0007__x0001__x0001_" xfId="146"/>
    <cellStyle name="??&amp;O?&amp;H?_x0008__x000f__x0007_?_x0007__x0001__x0001_" xfId="4"/>
    <cellStyle name="??&amp;O?&amp;H?_x0008_??_x0007__x0001__x0001_" xfId="5"/>
    <cellStyle name="??&amp;O?&amp;H?_x0008_x_x000b_P_x000c__x0007__x0001__x0001_" xfId="148"/>
    <cellStyle name="??&amp;쏗?뷐9_x0008__x0011__x0007_?_x0007__x0001__x0001_" xfId="147"/>
    <cellStyle name="??_x0011_?_x0010_?" xfId="149"/>
    <cellStyle name="??_  FAB ??  " xfId="150"/>
    <cellStyle name="?_추정FS" xfId="151"/>
    <cellStyle name="?W?_laroux" xfId="152"/>
    <cellStyle name="@" xfId="153"/>
    <cellStyle name="@ 10" xfId="154"/>
    <cellStyle name="@ 11" xfId="155"/>
    <cellStyle name="@ 12" xfId="156"/>
    <cellStyle name="@ 13" xfId="157"/>
    <cellStyle name="@ 14" xfId="158"/>
    <cellStyle name="@ 15" xfId="159"/>
    <cellStyle name="@ 16" xfId="160"/>
    <cellStyle name="@ 17" xfId="161"/>
    <cellStyle name="@ 18" xfId="162"/>
    <cellStyle name="@ 19" xfId="163"/>
    <cellStyle name="@ 2" xfId="164"/>
    <cellStyle name="@ 20" xfId="165"/>
    <cellStyle name="@ 21" xfId="166"/>
    <cellStyle name="@ 22" xfId="167"/>
    <cellStyle name="@ 23" xfId="168"/>
    <cellStyle name="@ 24" xfId="169"/>
    <cellStyle name="@ 25" xfId="170"/>
    <cellStyle name="@ 26" xfId="171"/>
    <cellStyle name="@ 27" xfId="172"/>
    <cellStyle name="@ 28" xfId="173"/>
    <cellStyle name="@ 29" xfId="174"/>
    <cellStyle name="@ 3" xfId="175"/>
    <cellStyle name="@ 30" xfId="176"/>
    <cellStyle name="@ 31" xfId="177"/>
    <cellStyle name="@ 32" xfId="178"/>
    <cellStyle name="@ 33" xfId="179"/>
    <cellStyle name="@ 34" xfId="180"/>
    <cellStyle name="@ 35" xfId="181"/>
    <cellStyle name="@ 36" xfId="182"/>
    <cellStyle name="@ 37" xfId="183"/>
    <cellStyle name="@ 38" xfId="184"/>
    <cellStyle name="@ 39" xfId="185"/>
    <cellStyle name="@ 4" xfId="186"/>
    <cellStyle name="@ 40" xfId="187"/>
    <cellStyle name="@ 41" xfId="188"/>
    <cellStyle name="@ 42" xfId="189"/>
    <cellStyle name="@ 43" xfId="190"/>
    <cellStyle name="@ 44" xfId="191"/>
    <cellStyle name="@ 45" xfId="192"/>
    <cellStyle name="@ 46" xfId="193"/>
    <cellStyle name="@ 47" xfId="194"/>
    <cellStyle name="@ 48" xfId="195"/>
    <cellStyle name="@ 49" xfId="196"/>
    <cellStyle name="@ 5" xfId="197"/>
    <cellStyle name="@ 50" xfId="198"/>
    <cellStyle name="@ 51" xfId="199"/>
    <cellStyle name="@ 52" xfId="200"/>
    <cellStyle name="@ 53" xfId="201"/>
    <cellStyle name="@ 54" xfId="202"/>
    <cellStyle name="@ 55" xfId="203"/>
    <cellStyle name="@ 56" xfId="204"/>
    <cellStyle name="@ 57" xfId="205"/>
    <cellStyle name="@ 58" xfId="206"/>
    <cellStyle name="@ 59" xfId="207"/>
    <cellStyle name="@ 6" xfId="208"/>
    <cellStyle name="@ 60" xfId="209"/>
    <cellStyle name="@ 61" xfId="210"/>
    <cellStyle name="@ 62" xfId="211"/>
    <cellStyle name="@ 63" xfId="212"/>
    <cellStyle name="@ 7" xfId="213"/>
    <cellStyle name="@ 8" xfId="214"/>
    <cellStyle name="@ 9" xfId="215"/>
    <cellStyle name="]_x0004_" xfId="216"/>
    <cellStyle name="_  재무제표(루미-최종)의 워크시트" xfId="217"/>
    <cellStyle name="_●총매출,순매출(051020)" xfId="218"/>
    <cellStyle name="_02 결산안(5월)0705" xfId="219"/>
    <cellStyle name="_03년차입금,예금현황" xfId="220"/>
    <cellStyle name="_04년 03월재무제표" xfId="221"/>
    <cellStyle name="_04년 03월재무제표 10" xfId="222"/>
    <cellStyle name="_04년 03월재무제표 11" xfId="223"/>
    <cellStyle name="_04년 03월재무제표 12" xfId="224"/>
    <cellStyle name="_04년 03월재무제표 13" xfId="225"/>
    <cellStyle name="_04년 03월재무제표 14" xfId="226"/>
    <cellStyle name="_04년 03월재무제표 15" xfId="227"/>
    <cellStyle name="_04년 03월재무제표 16" xfId="228"/>
    <cellStyle name="_04년 03월재무제표 17" xfId="229"/>
    <cellStyle name="_04년 03월재무제표 18" xfId="230"/>
    <cellStyle name="_04년 03월재무제표 19" xfId="231"/>
    <cellStyle name="_04년 03월재무제표 2" xfId="232"/>
    <cellStyle name="_04년 03월재무제표 20" xfId="233"/>
    <cellStyle name="_04년 03월재무제표 21" xfId="234"/>
    <cellStyle name="_04년 03월재무제표 22" xfId="235"/>
    <cellStyle name="_04년 03월재무제표 23" xfId="236"/>
    <cellStyle name="_04년 03월재무제표 24" xfId="237"/>
    <cellStyle name="_04년 03월재무제표 25" xfId="238"/>
    <cellStyle name="_04년 03월재무제표 26" xfId="239"/>
    <cellStyle name="_04년 03월재무제표 27" xfId="240"/>
    <cellStyle name="_04년 03월재무제표 28" xfId="241"/>
    <cellStyle name="_04년 03월재무제표 29" xfId="242"/>
    <cellStyle name="_04년 03월재무제표 3" xfId="243"/>
    <cellStyle name="_04년 03월재무제표 30" xfId="244"/>
    <cellStyle name="_04년 03월재무제표 31" xfId="245"/>
    <cellStyle name="_04년 03월재무제표 32" xfId="246"/>
    <cellStyle name="_04년 03월재무제표 33" xfId="247"/>
    <cellStyle name="_04년 03월재무제표 34" xfId="248"/>
    <cellStyle name="_04년 03월재무제표 35" xfId="249"/>
    <cellStyle name="_04년 03월재무제표 36" xfId="250"/>
    <cellStyle name="_04년 03월재무제표 37" xfId="251"/>
    <cellStyle name="_04년 03월재무제표 38" xfId="252"/>
    <cellStyle name="_04년 03월재무제표 39" xfId="253"/>
    <cellStyle name="_04년 03월재무제표 4" xfId="254"/>
    <cellStyle name="_04년 03월재무제표 40" xfId="255"/>
    <cellStyle name="_04년 03월재무제표 41" xfId="256"/>
    <cellStyle name="_04년 03월재무제표 42" xfId="257"/>
    <cellStyle name="_04년 03월재무제표 43" xfId="258"/>
    <cellStyle name="_04년 03월재무제표 44" xfId="259"/>
    <cellStyle name="_04년 03월재무제표 45" xfId="260"/>
    <cellStyle name="_04년 03월재무제표 46" xfId="261"/>
    <cellStyle name="_04년 03월재무제표 47" xfId="262"/>
    <cellStyle name="_04년 03월재무제표 48" xfId="263"/>
    <cellStyle name="_04년 03월재무제표 49" xfId="264"/>
    <cellStyle name="_04년 03월재무제표 5" xfId="265"/>
    <cellStyle name="_04년 03월재무제표 50" xfId="266"/>
    <cellStyle name="_04년 03월재무제표 51" xfId="267"/>
    <cellStyle name="_04년 03월재무제표 52" xfId="268"/>
    <cellStyle name="_04년 03월재무제표 53" xfId="269"/>
    <cellStyle name="_04년 03월재무제표 54" xfId="270"/>
    <cellStyle name="_04년 03월재무제표 55" xfId="271"/>
    <cellStyle name="_04년 03월재무제표 56" xfId="272"/>
    <cellStyle name="_04년 03월재무제표 57" xfId="273"/>
    <cellStyle name="_04년 03월재무제표 58" xfId="274"/>
    <cellStyle name="_04년 03월재무제표 59" xfId="275"/>
    <cellStyle name="_04년 03월재무제표 6" xfId="276"/>
    <cellStyle name="_04년 03월재무제표 60" xfId="277"/>
    <cellStyle name="_04년 03월재무제표 61" xfId="278"/>
    <cellStyle name="_04년 03월재무제표 62" xfId="279"/>
    <cellStyle name="_04년 03월재무제표 63" xfId="280"/>
    <cellStyle name="_04년 03월재무제표 7" xfId="281"/>
    <cellStyle name="_04년 03월재무제표 8" xfId="282"/>
    <cellStyle name="_04년 03월재무제표 9" xfId="283"/>
    <cellStyle name="_04년 06월재무제표" xfId="284"/>
    <cellStyle name="_04년 06월재무제표 10" xfId="285"/>
    <cellStyle name="_04년 06월재무제표 11" xfId="286"/>
    <cellStyle name="_04년 06월재무제표 12" xfId="287"/>
    <cellStyle name="_04년 06월재무제표 13" xfId="288"/>
    <cellStyle name="_04년 06월재무제표 14" xfId="289"/>
    <cellStyle name="_04년 06월재무제표 15" xfId="290"/>
    <cellStyle name="_04년 06월재무제표 16" xfId="291"/>
    <cellStyle name="_04년 06월재무제표 17" xfId="292"/>
    <cellStyle name="_04년 06월재무제표 18" xfId="293"/>
    <cellStyle name="_04년 06월재무제표 19" xfId="294"/>
    <cellStyle name="_04년 06월재무제표 2" xfId="295"/>
    <cellStyle name="_04년 06월재무제표 20" xfId="296"/>
    <cellStyle name="_04년 06월재무제표 21" xfId="297"/>
    <cellStyle name="_04년 06월재무제표 22" xfId="298"/>
    <cellStyle name="_04년 06월재무제표 23" xfId="299"/>
    <cellStyle name="_04년 06월재무제표 24" xfId="300"/>
    <cellStyle name="_04년 06월재무제표 25" xfId="301"/>
    <cellStyle name="_04년 06월재무제표 26" xfId="302"/>
    <cellStyle name="_04년 06월재무제표 27" xfId="303"/>
    <cellStyle name="_04년 06월재무제표 28" xfId="304"/>
    <cellStyle name="_04년 06월재무제표 29" xfId="305"/>
    <cellStyle name="_04년 06월재무제표 3" xfId="306"/>
    <cellStyle name="_04년 06월재무제표 30" xfId="307"/>
    <cellStyle name="_04년 06월재무제표 31" xfId="308"/>
    <cellStyle name="_04년 06월재무제표 32" xfId="309"/>
    <cellStyle name="_04년 06월재무제표 33" xfId="310"/>
    <cellStyle name="_04년 06월재무제표 34" xfId="311"/>
    <cellStyle name="_04년 06월재무제표 35" xfId="312"/>
    <cellStyle name="_04년 06월재무제표 36" xfId="313"/>
    <cellStyle name="_04년 06월재무제표 37" xfId="314"/>
    <cellStyle name="_04년 06월재무제표 38" xfId="315"/>
    <cellStyle name="_04년 06월재무제표 39" xfId="316"/>
    <cellStyle name="_04년 06월재무제표 4" xfId="317"/>
    <cellStyle name="_04년 06월재무제표 40" xfId="318"/>
    <cellStyle name="_04년 06월재무제표 41" xfId="319"/>
    <cellStyle name="_04년 06월재무제표 42" xfId="320"/>
    <cellStyle name="_04년 06월재무제표 43" xfId="321"/>
    <cellStyle name="_04년 06월재무제표 44" xfId="322"/>
    <cellStyle name="_04년 06월재무제표 45" xfId="323"/>
    <cellStyle name="_04년 06월재무제표 46" xfId="324"/>
    <cellStyle name="_04년 06월재무제표 47" xfId="325"/>
    <cellStyle name="_04년 06월재무제표 48" xfId="326"/>
    <cellStyle name="_04년 06월재무제표 49" xfId="327"/>
    <cellStyle name="_04년 06월재무제표 5" xfId="328"/>
    <cellStyle name="_04년 06월재무제표 50" xfId="329"/>
    <cellStyle name="_04년 06월재무제표 51" xfId="330"/>
    <cellStyle name="_04년 06월재무제표 52" xfId="331"/>
    <cellStyle name="_04년 06월재무제표 53" xfId="332"/>
    <cellStyle name="_04년 06월재무제표 54" xfId="333"/>
    <cellStyle name="_04년 06월재무제표 55" xfId="334"/>
    <cellStyle name="_04년 06월재무제표 56" xfId="335"/>
    <cellStyle name="_04년 06월재무제표 57" xfId="336"/>
    <cellStyle name="_04년 06월재무제표 58" xfId="337"/>
    <cellStyle name="_04년 06월재무제표 59" xfId="338"/>
    <cellStyle name="_04년 06월재무제표 6" xfId="339"/>
    <cellStyle name="_04년 06월재무제표 60" xfId="340"/>
    <cellStyle name="_04년 06월재무제표 61" xfId="341"/>
    <cellStyle name="_04년 06월재무제표 62" xfId="342"/>
    <cellStyle name="_04년 06월재무제표 63" xfId="343"/>
    <cellStyle name="_04년 06월재무제표 7" xfId="344"/>
    <cellStyle name="_04년 06월재무제표 8" xfId="345"/>
    <cellStyle name="_04년 06월재무제표 9" xfId="346"/>
    <cellStyle name="_06.선급이자원천징수" xfId="347"/>
    <cellStyle name="_07(1).3월 제무제표" xfId="348"/>
    <cellStyle name="_07.기당자" xfId="349"/>
    <cellStyle name="_1" xfId="350"/>
    <cellStyle name="_1(1).채권총괄표-VK" xfId="351"/>
    <cellStyle name="_11.임차보증금" xfId="352"/>
    <cellStyle name="_14.미지급금" xfId="353"/>
    <cellStyle name="_15.예수금" xfId="354"/>
    <cellStyle name="_17.기유부" xfId="355"/>
    <cellStyle name="_2" xfId="356"/>
    <cellStyle name="_2000 eyesvision final worksheet(hka)" xfId="357"/>
    <cellStyle name="_2001년12월분 재고(상품)" xfId="358"/>
    <cellStyle name="_2001년12월분 재고(상품)_Sheet1" xfId="368"/>
    <cellStyle name="_2001년12월분 재고(상품)_Sheet1_(신규)케이티건설DCF(2008-10-31)-작업용hk" xfId="369"/>
    <cellStyle name="_2001년12월분 재고(상품)_Sheet1_(신규)케이티건설DCF(2008-10-31)-작업용jy-은주수정" xfId="370"/>
    <cellStyle name="_2001년12월분 재고(상품)_심포니에너지DCF(2008-03-27)" xfId="359"/>
    <cellStyle name="_2001년12월분 재고(상품)_추정재무제표" xfId="360"/>
    <cellStyle name="_2001년12월분 재고(상품)_추정재무제표_(보통주)한국케이블티브이영동방송-DCF(2008-09-30)(2차검토)" xfId="361"/>
    <cellStyle name="_2001년12월분 재고(상품)_추정재무제표_(보통주)한국케이블티브이전남동부방송-DCF(2008-09-30)" xfId="362"/>
    <cellStyle name="_2001년12월분 재고(상품)_추정재무제표_감가상각비추정" xfId="363"/>
    <cellStyle name="_2001년12월분 재고(상품)_추정재무제표_대우인터내셔널DCF(2008-09-30)_검토-이은주" xfId="364"/>
    <cellStyle name="_2001년12월분 재고(상품)_한국케이블티브이전남동부방송DCF(200709)(완료)" xfId="365"/>
    <cellStyle name="_2001년12월분 재고(상품)_한국케이블티브이전남동부방송DCF(200709)(완료)_(신규)케이티건설DCF(2008-10-31)-작업용hk" xfId="366"/>
    <cellStyle name="_2001년12월분 재고(상품)_한국케이블티브이전남동부방송DCF(200709)(완료)_(신규)케이티건설DCF(2008-10-31)-작업용jy-은주수정" xfId="367"/>
    <cellStyle name="_20021231final" xfId="371"/>
    <cellStyle name="_20021231final 10" xfId="372"/>
    <cellStyle name="_20021231final 11" xfId="373"/>
    <cellStyle name="_20021231final 12" xfId="374"/>
    <cellStyle name="_20021231final 13" xfId="375"/>
    <cellStyle name="_20021231final 14" xfId="376"/>
    <cellStyle name="_20021231final 15" xfId="377"/>
    <cellStyle name="_20021231final 16" xfId="378"/>
    <cellStyle name="_20021231final 17" xfId="379"/>
    <cellStyle name="_20021231final 18" xfId="380"/>
    <cellStyle name="_20021231final 19" xfId="381"/>
    <cellStyle name="_20021231final 2" xfId="382"/>
    <cellStyle name="_20021231final 20" xfId="383"/>
    <cellStyle name="_20021231final 21" xfId="384"/>
    <cellStyle name="_20021231final 22" xfId="385"/>
    <cellStyle name="_20021231final 23" xfId="386"/>
    <cellStyle name="_20021231final 24" xfId="387"/>
    <cellStyle name="_20021231final 25" xfId="388"/>
    <cellStyle name="_20021231final 26" xfId="389"/>
    <cellStyle name="_20021231final 27" xfId="390"/>
    <cellStyle name="_20021231final 28" xfId="391"/>
    <cellStyle name="_20021231final 29" xfId="392"/>
    <cellStyle name="_20021231final 3" xfId="393"/>
    <cellStyle name="_20021231final 30" xfId="394"/>
    <cellStyle name="_20021231final 31" xfId="395"/>
    <cellStyle name="_20021231final 32" xfId="396"/>
    <cellStyle name="_20021231final 33" xfId="397"/>
    <cellStyle name="_20021231final 34" xfId="398"/>
    <cellStyle name="_20021231final 35" xfId="399"/>
    <cellStyle name="_20021231final 36" xfId="400"/>
    <cellStyle name="_20021231final 37" xfId="401"/>
    <cellStyle name="_20021231final 38" xfId="402"/>
    <cellStyle name="_20021231final 39" xfId="403"/>
    <cellStyle name="_20021231final 4" xfId="404"/>
    <cellStyle name="_20021231final 40" xfId="405"/>
    <cellStyle name="_20021231final 41" xfId="406"/>
    <cellStyle name="_20021231final 42" xfId="407"/>
    <cellStyle name="_20021231final 43" xfId="408"/>
    <cellStyle name="_20021231final 44" xfId="409"/>
    <cellStyle name="_20021231final 45" xfId="410"/>
    <cellStyle name="_20021231final 46" xfId="411"/>
    <cellStyle name="_20021231final 47" xfId="412"/>
    <cellStyle name="_20021231final 48" xfId="413"/>
    <cellStyle name="_20021231final 49" xfId="414"/>
    <cellStyle name="_20021231final 5" xfId="415"/>
    <cellStyle name="_20021231final 50" xfId="416"/>
    <cellStyle name="_20021231final 51" xfId="417"/>
    <cellStyle name="_20021231final 52" xfId="418"/>
    <cellStyle name="_20021231final 53" xfId="419"/>
    <cellStyle name="_20021231final 54" xfId="420"/>
    <cellStyle name="_20021231final 55" xfId="421"/>
    <cellStyle name="_20021231final 56" xfId="422"/>
    <cellStyle name="_20021231final 57" xfId="423"/>
    <cellStyle name="_20021231final 58" xfId="424"/>
    <cellStyle name="_20021231final 59" xfId="425"/>
    <cellStyle name="_20021231final 6" xfId="426"/>
    <cellStyle name="_20021231final 60" xfId="427"/>
    <cellStyle name="_20021231final 61" xfId="428"/>
    <cellStyle name="_20021231final 62" xfId="429"/>
    <cellStyle name="_20021231final 63" xfId="430"/>
    <cellStyle name="_20021231final 7" xfId="431"/>
    <cellStyle name="_20021231final 8" xfId="432"/>
    <cellStyle name="_20021231final 9" xfId="433"/>
    <cellStyle name="_20021231final_030216" xfId="434"/>
    <cellStyle name="_20021231final_030216 10" xfId="435"/>
    <cellStyle name="_20021231final_030216 11" xfId="436"/>
    <cellStyle name="_20021231final_030216 12" xfId="437"/>
    <cellStyle name="_20021231final_030216 13" xfId="438"/>
    <cellStyle name="_20021231final_030216 14" xfId="439"/>
    <cellStyle name="_20021231final_030216 15" xfId="440"/>
    <cellStyle name="_20021231final_030216 16" xfId="441"/>
    <cellStyle name="_20021231final_030216 17" xfId="442"/>
    <cellStyle name="_20021231final_030216 18" xfId="443"/>
    <cellStyle name="_20021231final_030216 19" xfId="444"/>
    <cellStyle name="_20021231final_030216 2" xfId="445"/>
    <cellStyle name="_20021231final_030216 20" xfId="446"/>
    <cellStyle name="_20021231final_030216 21" xfId="447"/>
    <cellStyle name="_20021231final_030216 22" xfId="448"/>
    <cellStyle name="_20021231final_030216 23" xfId="449"/>
    <cellStyle name="_20021231final_030216 24" xfId="450"/>
    <cellStyle name="_20021231final_030216 25" xfId="451"/>
    <cellStyle name="_20021231final_030216 26" xfId="452"/>
    <cellStyle name="_20021231final_030216 27" xfId="453"/>
    <cellStyle name="_20021231final_030216 28" xfId="454"/>
    <cellStyle name="_20021231final_030216 29" xfId="455"/>
    <cellStyle name="_20021231final_030216 3" xfId="456"/>
    <cellStyle name="_20021231final_030216 30" xfId="457"/>
    <cellStyle name="_20021231final_030216 31" xfId="458"/>
    <cellStyle name="_20021231final_030216 32" xfId="459"/>
    <cellStyle name="_20021231final_030216 33" xfId="460"/>
    <cellStyle name="_20021231final_030216 34" xfId="461"/>
    <cellStyle name="_20021231final_030216 35" xfId="462"/>
    <cellStyle name="_20021231final_030216 36" xfId="463"/>
    <cellStyle name="_20021231final_030216 37" xfId="464"/>
    <cellStyle name="_20021231final_030216 38" xfId="465"/>
    <cellStyle name="_20021231final_030216 39" xfId="466"/>
    <cellStyle name="_20021231final_030216 4" xfId="467"/>
    <cellStyle name="_20021231final_030216 40" xfId="468"/>
    <cellStyle name="_20021231final_030216 41" xfId="469"/>
    <cellStyle name="_20021231final_030216 42" xfId="470"/>
    <cellStyle name="_20021231final_030216 43" xfId="471"/>
    <cellStyle name="_20021231final_030216 44" xfId="472"/>
    <cellStyle name="_20021231final_030216 45" xfId="473"/>
    <cellStyle name="_20021231final_030216 46" xfId="474"/>
    <cellStyle name="_20021231final_030216 47" xfId="475"/>
    <cellStyle name="_20021231final_030216 48" xfId="476"/>
    <cellStyle name="_20021231final_030216 49" xfId="477"/>
    <cellStyle name="_20021231final_030216 5" xfId="478"/>
    <cellStyle name="_20021231final_030216 50" xfId="479"/>
    <cellStyle name="_20021231final_030216 51" xfId="480"/>
    <cellStyle name="_20021231final_030216 52" xfId="481"/>
    <cellStyle name="_20021231final_030216 53" xfId="482"/>
    <cellStyle name="_20021231final_030216 54" xfId="483"/>
    <cellStyle name="_20021231final_030216 55" xfId="484"/>
    <cellStyle name="_20021231final_030216 56" xfId="485"/>
    <cellStyle name="_20021231final_030216 57" xfId="486"/>
    <cellStyle name="_20021231final_030216 58" xfId="487"/>
    <cellStyle name="_20021231final_030216 59" xfId="488"/>
    <cellStyle name="_20021231final_030216 6" xfId="489"/>
    <cellStyle name="_20021231final_030216 60" xfId="490"/>
    <cellStyle name="_20021231final_030216 61" xfId="491"/>
    <cellStyle name="_20021231final_030216 62" xfId="492"/>
    <cellStyle name="_20021231final_030216 63" xfId="493"/>
    <cellStyle name="_20021231final_030216 7" xfId="494"/>
    <cellStyle name="_20021231final_030216 8" xfId="495"/>
    <cellStyle name="_20021231final_030216 9" xfId="496"/>
    <cellStyle name="_20021231final_030216_2002FS_FINAL" xfId="497"/>
    <cellStyle name="_20021231final_030216_2002FS_FINAL 10" xfId="498"/>
    <cellStyle name="_20021231final_030216_2002FS_FINAL 11" xfId="499"/>
    <cellStyle name="_20021231final_030216_2002FS_FINAL 12" xfId="500"/>
    <cellStyle name="_20021231final_030216_2002FS_FINAL 13" xfId="501"/>
    <cellStyle name="_20021231final_030216_2002FS_FINAL 14" xfId="502"/>
    <cellStyle name="_20021231final_030216_2002FS_FINAL 15" xfId="503"/>
    <cellStyle name="_20021231final_030216_2002FS_FINAL 16" xfId="504"/>
    <cellStyle name="_20021231final_030216_2002FS_FINAL 17" xfId="505"/>
    <cellStyle name="_20021231final_030216_2002FS_FINAL 18" xfId="506"/>
    <cellStyle name="_20021231final_030216_2002FS_FINAL 19" xfId="507"/>
    <cellStyle name="_20021231final_030216_2002FS_FINAL 2" xfId="508"/>
    <cellStyle name="_20021231final_030216_2002FS_FINAL 20" xfId="509"/>
    <cellStyle name="_20021231final_030216_2002FS_FINAL 21" xfId="510"/>
    <cellStyle name="_20021231final_030216_2002FS_FINAL 22" xfId="511"/>
    <cellStyle name="_20021231final_030216_2002FS_FINAL 23" xfId="512"/>
    <cellStyle name="_20021231final_030216_2002FS_FINAL 24" xfId="513"/>
    <cellStyle name="_20021231final_030216_2002FS_FINAL 25" xfId="514"/>
    <cellStyle name="_20021231final_030216_2002FS_FINAL 26" xfId="515"/>
    <cellStyle name="_20021231final_030216_2002FS_FINAL 27" xfId="516"/>
    <cellStyle name="_20021231final_030216_2002FS_FINAL 28" xfId="517"/>
    <cellStyle name="_20021231final_030216_2002FS_FINAL 29" xfId="518"/>
    <cellStyle name="_20021231final_030216_2002FS_FINAL 3" xfId="519"/>
    <cellStyle name="_20021231final_030216_2002FS_FINAL 30" xfId="520"/>
    <cellStyle name="_20021231final_030216_2002FS_FINAL 31" xfId="521"/>
    <cellStyle name="_20021231final_030216_2002FS_FINAL 32" xfId="522"/>
    <cellStyle name="_20021231final_030216_2002FS_FINAL 33" xfId="523"/>
    <cellStyle name="_20021231final_030216_2002FS_FINAL 34" xfId="524"/>
    <cellStyle name="_20021231final_030216_2002FS_FINAL 35" xfId="525"/>
    <cellStyle name="_20021231final_030216_2002FS_FINAL 36" xfId="526"/>
    <cellStyle name="_20021231final_030216_2002FS_FINAL 37" xfId="527"/>
    <cellStyle name="_20021231final_030216_2002FS_FINAL 38" xfId="528"/>
    <cellStyle name="_20021231final_030216_2002FS_FINAL 39" xfId="529"/>
    <cellStyle name="_20021231final_030216_2002FS_FINAL 4" xfId="530"/>
    <cellStyle name="_20021231final_030216_2002FS_FINAL 40" xfId="531"/>
    <cellStyle name="_20021231final_030216_2002FS_FINAL 41" xfId="532"/>
    <cellStyle name="_20021231final_030216_2002FS_FINAL 42" xfId="533"/>
    <cellStyle name="_20021231final_030216_2002FS_FINAL 43" xfId="534"/>
    <cellStyle name="_20021231final_030216_2002FS_FINAL 44" xfId="535"/>
    <cellStyle name="_20021231final_030216_2002FS_FINAL 45" xfId="536"/>
    <cellStyle name="_20021231final_030216_2002FS_FINAL 46" xfId="537"/>
    <cellStyle name="_20021231final_030216_2002FS_FINAL 47" xfId="538"/>
    <cellStyle name="_20021231final_030216_2002FS_FINAL 48" xfId="539"/>
    <cellStyle name="_20021231final_030216_2002FS_FINAL 49" xfId="540"/>
    <cellStyle name="_20021231final_030216_2002FS_FINAL 5" xfId="541"/>
    <cellStyle name="_20021231final_030216_2002FS_FINAL 50" xfId="542"/>
    <cellStyle name="_20021231final_030216_2002FS_FINAL 51" xfId="543"/>
    <cellStyle name="_20021231final_030216_2002FS_FINAL 52" xfId="544"/>
    <cellStyle name="_20021231final_030216_2002FS_FINAL 53" xfId="545"/>
    <cellStyle name="_20021231final_030216_2002FS_FINAL 54" xfId="546"/>
    <cellStyle name="_20021231final_030216_2002FS_FINAL 55" xfId="547"/>
    <cellStyle name="_20021231final_030216_2002FS_FINAL 56" xfId="548"/>
    <cellStyle name="_20021231final_030216_2002FS_FINAL 57" xfId="549"/>
    <cellStyle name="_20021231final_030216_2002FS_FINAL 58" xfId="550"/>
    <cellStyle name="_20021231final_030216_2002FS_FINAL 59" xfId="551"/>
    <cellStyle name="_20021231final_030216_2002FS_FINAL 6" xfId="552"/>
    <cellStyle name="_20021231final_030216_2002FS_FINAL 60" xfId="553"/>
    <cellStyle name="_20021231final_030216_2002FS_FINAL 61" xfId="554"/>
    <cellStyle name="_20021231final_030216_2002FS_FINAL 62" xfId="555"/>
    <cellStyle name="_20021231final_030216_2002FS_FINAL 63" xfId="556"/>
    <cellStyle name="_20021231final_030216_2002FS_FINAL 7" xfId="557"/>
    <cellStyle name="_20021231final_030216_2002FS_FINAL 8" xfId="558"/>
    <cellStyle name="_20021231final_030216_2002FS_FINAL 9" xfId="559"/>
    <cellStyle name="_20021231final_030216_승구리- 코바이오SCF2003" xfId="560"/>
    <cellStyle name="_20021231final_030216_승구리- 코바이오SCF2003 10" xfId="561"/>
    <cellStyle name="_20021231final_030216_승구리- 코바이오SCF2003 11" xfId="562"/>
    <cellStyle name="_20021231final_030216_승구리- 코바이오SCF2003 12" xfId="563"/>
    <cellStyle name="_20021231final_030216_승구리- 코바이오SCF2003 13" xfId="564"/>
    <cellStyle name="_20021231final_030216_승구리- 코바이오SCF2003 14" xfId="565"/>
    <cellStyle name="_20021231final_030216_승구리- 코바이오SCF2003 15" xfId="566"/>
    <cellStyle name="_20021231final_030216_승구리- 코바이오SCF2003 16" xfId="567"/>
    <cellStyle name="_20021231final_030216_승구리- 코바이오SCF2003 17" xfId="568"/>
    <cellStyle name="_20021231final_030216_승구리- 코바이오SCF2003 18" xfId="569"/>
    <cellStyle name="_20021231final_030216_승구리- 코바이오SCF2003 19" xfId="570"/>
    <cellStyle name="_20021231final_030216_승구리- 코바이오SCF2003 2" xfId="571"/>
    <cellStyle name="_20021231final_030216_승구리- 코바이오SCF2003 20" xfId="572"/>
    <cellStyle name="_20021231final_030216_승구리- 코바이오SCF2003 21" xfId="573"/>
    <cellStyle name="_20021231final_030216_승구리- 코바이오SCF2003 22" xfId="574"/>
    <cellStyle name="_20021231final_030216_승구리- 코바이오SCF2003 23" xfId="575"/>
    <cellStyle name="_20021231final_030216_승구리- 코바이오SCF2003 24" xfId="576"/>
    <cellStyle name="_20021231final_030216_승구리- 코바이오SCF2003 25" xfId="577"/>
    <cellStyle name="_20021231final_030216_승구리- 코바이오SCF2003 26" xfId="578"/>
    <cellStyle name="_20021231final_030216_승구리- 코바이오SCF2003 27" xfId="579"/>
    <cellStyle name="_20021231final_030216_승구리- 코바이오SCF2003 28" xfId="580"/>
    <cellStyle name="_20021231final_030216_승구리- 코바이오SCF2003 29" xfId="581"/>
    <cellStyle name="_20021231final_030216_승구리- 코바이오SCF2003 3" xfId="582"/>
    <cellStyle name="_20021231final_030216_승구리- 코바이오SCF2003 30" xfId="583"/>
    <cellStyle name="_20021231final_030216_승구리- 코바이오SCF2003 31" xfId="584"/>
    <cellStyle name="_20021231final_030216_승구리- 코바이오SCF2003 32" xfId="585"/>
    <cellStyle name="_20021231final_030216_승구리- 코바이오SCF2003 33" xfId="586"/>
    <cellStyle name="_20021231final_030216_승구리- 코바이오SCF2003 34" xfId="587"/>
    <cellStyle name="_20021231final_030216_승구리- 코바이오SCF2003 35" xfId="588"/>
    <cellStyle name="_20021231final_030216_승구리- 코바이오SCF2003 36" xfId="589"/>
    <cellStyle name="_20021231final_030216_승구리- 코바이오SCF2003 37" xfId="590"/>
    <cellStyle name="_20021231final_030216_승구리- 코바이오SCF2003 38" xfId="591"/>
    <cellStyle name="_20021231final_030216_승구리- 코바이오SCF2003 39" xfId="592"/>
    <cellStyle name="_20021231final_030216_승구리- 코바이오SCF2003 4" xfId="593"/>
    <cellStyle name="_20021231final_030216_승구리- 코바이오SCF2003 40" xfId="594"/>
    <cellStyle name="_20021231final_030216_승구리- 코바이오SCF2003 41" xfId="595"/>
    <cellStyle name="_20021231final_030216_승구리- 코바이오SCF2003 42" xfId="596"/>
    <cellStyle name="_20021231final_030216_승구리- 코바이오SCF2003 43" xfId="597"/>
    <cellStyle name="_20021231final_030216_승구리- 코바이오SCF2003 44" xfId="598"/>
    <cellStyle name="_20021231final_030216_승구리- 코바이오SCF2003 45" xfId="599"/>
    <cellStyle name="_20021231final_030216_승구리- 코바이오SCF2003 46" xfId="600"/>
    <cellStyle name="_20021231final_030216_승구리- 코바이오SCF2003 47" xfId="601"/>
    <cellStyle name="_20021231final_030216_승구리- 코바이오SCF2003 48" xfId="602"/>
    <cellStyle name="_20021231final_030216_승구리- 코바이오SCF2003 49" xfId="603"/>
    <cellStyle name="_20021231final_030216_승구리- 코바이오SCF2003 5" xfId="604"/>
    <cellStyle name="_20021231final_030216_승구리- 코바이오SCF2003 50" xfId="605"/>
    <cellStyle name="_20021231final_030216_승구리- 코바이오SCF2003 51" xfId="606"/>
    <cellStyle name="_20021231final_030216_승구리- 코바이오SCF2003 52" xfId="607"/>
    <cellStyle name="_20021231final_030216_승구리- 코바이오SCF2003 53" xfId="608"/>
    <cellStyle name="_20021231final_030216_승구리- 코바이오SCF2003 54" xfId="609"/>
    <cellStyle name="_20021231final_030216_승구리- 코바이오SCF2003 55" xfId="610"/>
    <cellStyle name="_20021231final_030216_승구리- 코바이오SCF2003 56" xfId="611"/>
    <cellStyle name="_20021231final_030216_승구리- 코바이오SCF2003 57" xfId="612"/>
    <cellStyle name="_20021231final_030216_승구리- 코바이오SCF2003 58" xfId="613"/>
    <cellStyle name="_20021231final_030216_승구리- 코바이오SCF2003 59" xfId="614"/>
    <cellStyle name="_20021231final_030216_승구리- 코바이오SCF2003 6" xfId="615"/>
    <cellStyle name="_20021231final_030216_승구리- 코바이오SCF2003 60" xfId="616"/>
    <cellStyle name="_20021231final_030216_승구리- 코바이오SCF2003 61" xfId="617"/>
    <cellStyle name="_20021231final_030216_승구리- 코바이오SCF2003 62" xfId="618"/>
    <cellStyle name="_20021231final_030216_승구리- 코바이오SCF2003 63" xfId="619"/>
    <cellStyle name="_20021231final_030216_승구리- 코바이오SCF2003 7" xfId="620"/>
    <cellStyle name="_20021231final_030216_승구리- 코바이오SCF2003 8" xfId="621"/>
    <cellStyle name="_20021231final_030216_승구리- 코바이오SCF2003 9" xfId="622"/>
    <cellStyle name="_2002FS_FINAL" xfId="625"/>
    <cellStyle name="_2002年_4月_BS行事計劃(팀취합)" xfId="623"/>
    <cellStyle name="_2002년5월결산보고" xfId="624"/>
    <cellStyle name="_2003 투자유가증권" xfId="626"/>
    <cellStyle name="_2003(2Q)_Depreciation Table" xfId="627"/>
    <cellStyle name="_2003(반기)_케이씨텍_FS&amp;명세" xfId="628"/>
    <cellStyle name="_2003년반기_명세서_큐릭스_최종" xfId="629"/>
    <cellStyle name="_2003년반기_명세서_큐릭스_최종 10" xfId="630"/>
    <cellStyle name="_2003년반기_명세서_큐릭스_최종 11" xfId="631"/>
    <cellStyle name="_2003년반기_명세서_큐릭스_최종 12" xfId="632"/>
    <cellStyle name="_2003년반기_명세서_큐릭스_최종 13" xfId="633"/>
    <cellStyle name="_2003년반기_명세서_큐릭스_최종 14" xfId="634"/>
    <cellStyle name="_2003년반기_명세서_큐릭스_최종 15" xfId="635"/>
    <cellStyle name="_2003년반기_명세서_큐릭스_최종 16" xfId="636"/>
    <cellStyle name="_2003년반기_명세서_큐릭스_최종 17" xfId="637"/>
    <cellStyle name="_2003년반기_명세서_큐릭스_최종 18" xfId="638"/>
    <cellStyle name="_2003년반기_명세서_큐릭스_최종 19" xfId="639"/>
    <cellStyle name="_2003년반기_명세서_큐릭스_최종 2" xfId="640"/>
    <cellStyle name="_2003년반기_명세서_큐릭스_최종 20" xfId="641"/>
    <cellStyle name="_2003년반기_명세서_큐릭스_최종 21" xfId="642"/>
    <cellStyle name="_2003년반기_명세서_큐릭스_최종 22" xfId="643"/>
    <cellStyle name="_2003년반기_명세서_큐릭스_최종 23" xfId="644"/>
    <cellStyle name="_2003년반기_명세서_큐릭스_최종 24" xfId="645"/>
    <cellStyle name="_2003년반기_명세서_큐릭스_최종 25" xfId="646"/>
    <cellStyle name="_2003년반기_명세서_큐릭스_최종 26" xfId="647"/>
    <cellStyle name="_2003년반기_명세서_큐릭스_최종 27" xfId="648"/>
    <cellStyle name="_2003년반기_명세서_큐릭스_최종 28" xfId="649"/>
    <cellStyle name="_2003년반기_명세서_큐릭스_최종 29" xfId="650"/>
    <cellStyle name="_2003년반기_명세서_큐릭스_최종 3" xfId="651"/>
    <cellStyle name="_2003년반기_명세서_큐릭스_최종 30" xfId="652"/>
    <cellStyle name="_2003년반기_명세서_큐릭스_최종 31" xfId="653"/>
    <cellStyle name="_2003년반기_명세서_큐릭스_최종 32" xfId="654"/>
    <cellStyle name="_2003년반기_명세서_큐릭스_최종 33" xfId="655"/>
    <cellStyle name="_2003년반기_명세서_큐릭스_최종 34" xfId="656"/>
    <cellStyle name="_2003년반기_명세서_큐릭스_최종 35" xfId="657"/>
    <cellStyle name="_2003년반기_명세서_큐릭스_최종 36" xfId="658"/>
    <cellStyle name="_2003년반기_명세서_큐릭스_최종 37" xfId="659"/>
    <cellStyle name="_2003년반기_명세서_큐릭스_최종 38" xfId="660"/>
    <cellStyle name="_2003년반기_명세서_큐릭스_최종 39" xfId="661"/>
    <cellStyle name="_2003년반기_명세서_큐릭스_최종 4" xfId="662"/>
    <cellStyle name="_2003년반기_명세서_큐릭스_최종 40" xfId="663"/>
    <cellStyle name="_2003년반기_명세서_큐릭스_최종 41" xfId="664"/>
    <cellStyle name="_2003년반기_명세서_큐릭스_최종 42" xfId="665"/>
    <cellStyle name="_2003년반기_명세서_큐릭스_최종 43" xfId="666"/>
    <cellStyle name="_2003년반기_명세서_큐릭스_최종 44" xfId="667"/>
    <cellStyle name="_2003년반기_명세서_큐릭스_최종 45" xfId="668"/>
    <cellStyle name="_2003년반기_명세서_큐릭스_최종 46" xfId="669"/>
    <cellStyle name="_2003년반기_명세서_큐릭스_최종 47" xfId="670"/>
    <cellStyle name="_2003년반기_명세서_큐릭스_최종 48" xfId="671"/>
    <cellStyle name="_2003년반기_명세서_큐릭스_최종 49" xfId="672"/>
    <cellStyle name="_2003년반기_명세서_큐릭스_최종 5" xfId="673"/>
    <cellStyle name="_2003년반기_명세서_큐릭스_최종 50" xfId="674"/>
    <cellStyle name="_2003년반기_명세서_큐릭스_최종 51" xfId="675"/>
    <cellStyle name="_2003년반기_명세서_큐릭스_최종 52" xfId="676"/>
    <cellStyle name="_2003년반기_명세서_큐릭스_최종 53" xfId="677"/>
    <cellStyle name="_2003년반기_명세서_큐릭스_최종 54" xfId="678"/>
    <cellStyle name="_2003년반기_명세서_큐릭스_최종 55" xfId="679"/>
    <cellStyle name="_2003년반기_명세서_큐릭스_최종 56" xfId="680"/>
    <cellStyle name="_2003년반기_명세서_큐릭스_최종 57" xfId="681"/>
    <cellStyle name="_2003년반기_명세서_큐릭스_최종 58" xfId="682"/>
    <cellStyle name="_2003년반기_명세서_큐릭스_최종 59" xfId="683"/>
    <cellStyle name="_2003년반기_명세서_큐릭스_최종 6" xfId="684"/>
    <cellStyle name="_2003년반기_명세서_큐릭스_최종 60" xfId="685"/>
    <cellStyle name="_2003년반기_명세서_큐릭스_최종 61" xfId="686"/>
    <cellStyle name="_2003년반기_명세서_큐릭스_최종 62" xfId="687"/>
    <cellStyle name="_2003년반기_명세서_큐릭스_최종 63" xfId="688"/>
    <cellStyle name="_2003년반기_명세서_큐릭스_최종 7" xfId="689"/>
    <cellStyle name="_2003년반기_명세서_큐릭스_최종 8" xfId="690"/>
    <cellStyle name="_2003년반기_명세서_큐릭스_최종 9" xfId="691"/>
    <cellStyle name="_2003년반기_명세서_큐릭스회사자료" xfId="692"/>
    <cellStyle name="_2003년반기_명세서_큐릭스회사자료 10" xfId="693"/>
    <cellStyle name="_2003년반기_명세서_큐릭스회사자료 11" xfId="694"/>
    <cellStyle name="_2003년반기_명세서_큐릭스회사자료 12" xfId="695"/>
    <cellStyle name="_2003년반기_명세서_큐릭스회사자료 13" xfId="696"/>
    <cellStyle name="_2003년반기_명세서_큐릭스회사자료 14" xfId="697"/>
    <cellStyle name="_2003년반기_명세서_큐릭스회사자료 15" xfId="698"/>
    <cellStyle name="_2003년반기_명세서_큐릭스회사자료 16" xfId="699"/>
    <cellStyle name="_2003년반기_명세서_큐릭스회사자료 17" xfId="700"/>
    <cellStyle name="_2003년반기_명세서_큐릭스회사자료 18" xfId="701"/>
    <cellStyle name="_2003년반기_명세서_큐릭스회사자료 19" xfId="702"/>
    <cellStyle name="_2003년반기_명세서_큐릭스회사자료 2" xfId="703"/>
    <cellStyle name="_2003년반기_명세서_큐릭스회사자료 20" xfId="704"/>
    <cellStyle name="_2003년반기_명세서_큐릭스회사자료 21" xfId="705"/>
    <cellStyle name="_2003년반기_명세서_큐릭스회사자료 22" xfId="706"/>
    <cellStyle name="_2003년반기_명세서_큐릭스회사자료 23" xfId="707"/>
    <cellStyle name="_2003년반기_명세서_큐릭스회사자료 24" xfId="708"/>
    <cellStyle name="_2003년반기_명세서_큐릭스회사자료 25" xfId="709"/>
    <cellStyle name="_2003년반기_명세서_큐릭스회사자료 26" xfId="710"/>
    <cellStyle name="_2003년반기_명세서_큐릭스회사자료 27" xfId="711"/>
    <cellStyle name="_2003년반기_명세서_큐릭스회사자료 28" xfId="712"/>
    <cellStyle name="_2003년반기_명세서_큐릭스회사자료 29" xfId="713"/>
    <cellStyle name="_2003년반기_명세서_큐릭스회사자료 3" xfId="714"/>
    <cellStyle name="_2003년반기_명세서_큐릭스회사자료 30" xfId="715"/>
    <cellStyle name="_2003년반기_명세서_큐릭스회사자료 31" xfId="716"/>
    <cellStyle name="_2003년반기_명세서_큐릭스회사자료 32" xfId="717"/>
    <cellStyle name="_2003년반기_명세서_큐릭스회사자료 33" xfId="718"/>
    <cellStyle name="_2003년반기_명세서_큐릭스회사자료 34" xfId="719"/>
    <cellStyle name="_2003년반기_명세서_큐릭스회사자료 35" xfId="720"/>
    <cellStyle name="_2003년반기_명세서_큐릭스회사자료 36" xfId="721"/>
    <cellStyle name="_2003년반기_명세서_큐릭스회사자료 37" xfId="722"/>
    <cellStyle name="_2003년반기_명세서_큐릭스회사자료 38" xfId="723"/>
    <cellStyle name="_2003년반기_명세서_큐릭스회사자료 39" xfId="724"/>
    <cellStyle name="_2003년반기_명세서_큐릭스회사자료 4" xfId="725"/>
    <cellStyle name="_2003년반기_명세서_큐릭스회사자료 40" xfId="726"/>
    <cellStyle name="_2003년반기_명세서_큐릭스회사자료 41" xfId="727"/>
    <cellStyle name="_2003년반기_명세서_큐릭스회사자료 42" xfId="728"/>
    <cellStyle name="_2003년반기_명세서_큐릭스회사자료 43" xfId="729"/>
    <cellStyle name="_2003년반기_명세서_큐릭스회사자료 44" xfId="730"/>
    <cellStyle name="_2003년반기_명세서_큐릭스회사자료 45" xfId="731"/>
    <cellStyle name="_2003년반기_명세서_큐릭스회사자료 46" xfId="732"/>
    <cellStyle name="_2003년반기_명세서_큐릭스회사자료 47" xfId="733"/>
    <cellStyle name="_2003년반기_명세서_큐릭스회사자료 48" xfId="734"/>
    <cellStyle name="_2003년반기_명세서_큐릭스회사자료 49" xfId="735"/>
    <cellStyle name="_2003년반기_명세서_큐릭스회사자료 5" xfId="736"/>
    <cellStyle name="_2003년반기_명세서_큐릭스회사자료 50" xfId="737"/>
    <cellStyle name="_2003년반기_명세서_큐릭스회사자료 51" xfId="738"/>
    <cellStyle name="_2003년반기_명세서_큐릭스회사자료 52" xfId="739"/>
    <cellStyle name="_2003년반기_명세서_큐릭스회사자료 53" xfId="740"/>
    <cellStyle name="_2003년반기_명세서_큐릭스회사자료 54" xfId="741"/>
    <cellStyle name="_2003년반기_명세서_큐릭스회사자료 55" xfId="742"/>
    <cellStyle name="_2003년반기_명세서_큐릭스회사자료 56" xfId="743"/>
    <cellStyle name="_2003년반기_명세서_큐릭스회사자료 57" xfId="744"/>
    <cellStyle name="_2003년반기_명세서_큐릭스회사자료 58" xfId="745"/>
    <cellStyle name="_2003년반기_명세서_큐릭스회사자료 59" xfId="746"/>
    <cellStyle name="_2003년반기_명세서_큐릭스회사자료 6" xfId="747"/>
    <cellStyle name="_2003년반기_명세서_큐릭스회사자료 60" xfId="748"/>
    <cellStyle name="_2003년반기_명세서_큐릭스회사자료 61" xfId="749"/>
    <cellStyle name="_2003년반기_명세서_큐릭스회사자료 62" xfId="750"/>
    <cellStyle name="_2003년반기_명세서_큐릭스회사자료 63" xfId="751"/>
    <cellStyle name="_2003년반기_명세서_큐릭스회사자료 7" xfId="752"/>
    <cellStyle name="_2003년반기_명세서_큐릭스회사자료 8" xfId="753"/>
    <cellStyle name="_2003년반기_명세서_큐릭스회사자료 9" xfId="754"/>
    <cellStyle name="_2004년12월유지보수금액(VISA)-예정(1)" xfId="755"/>
    <cellStyle name="_2006년3Q결산정산표-20061017" xfId="756"/>
    <cellStyle name="_20070630-바이오니아FS_20070804" xfId="757"/>
    <cellStyle name="_2007년 8월 FS(c)" xfId="758"/>
    <cellStyle name="_2007년11월 재무제표_팬택앤큐리텔" xfId="759"/>
    <cellStyle name="_2101 FS}}로지트인베스트먼트_5기_2005 인쇄본" xfId="760"/>
    <cellStyle name="_2210 200606(제10기 반기) WTB의 워크시트" xfId="761"/>
    <cellStyle name="_2211  한주금속-2005FS의 워크시트" xfId="762"/>
    <cellStyle name="_2211  한주금속-2005FS의 워크시트 10" xfId="763"/>
    <cellStyle name="_2211  한주금속-2005FS의 워크시트 11" xfId="764"/>
    <cellStyle name="_2211  한주금속-2005FS의 워크시트 12" xfId="765"/>
    <cellStyle name="_2211  한주금속-2005FS의 워크시트 13" xfId="766"/>
    <cellStyle name="_2211  한주금속-2005FS의 워크시트 14" xfId="767"/>
    <cellStyle name="_2211  한주금속-2005FS의 워크시트 15" xfId="768"/>
    <cellStyle name="_2211  한주금속-2005FS의 워크시트 16" xfId="769"/>
    <cellStyle name="_2211  한주금속-2005FS의 워크시트 17" xfId="770"/>
    <cellStyle name="_2211  한주금속-2005FS의 워크시트 18" xfId="771"/>
    <cellStyle name="_2211  한주금속-2005FS의 워크시트 19" xfId="772"/>
    <cellStyle name="_2211  한주금속-2005FS의 워크시트 2" xfId="773"/>
    <cellStyle name="_2211  한주금속-2005FS의 워크시트 20" xfId="774"/>
    <cellStyle name="_2211  한주금속-2005FS의 워크시트 21" xfId="775"/>
    <cellStyle name="_2211  한주금속-2005FS의 워크시트 22" xfId="776"/>
    <cellStyle name="_2211  한주금속-2005FS의 워크시트 23" xfId="777"/>
    <cellStyle name="_2211  한주금속-2005FS의 워크시트 24" xfId="778"/>
    <cellStyle name="_2211  한주금속-2005FS의 워크시트 25" xfId="779"/>
    <cellStyle name="_2211  한주금속-2005FS의 워크시트 26" xfId="780"/>
    <cellStyle name="_2211  한주금속-2005FS의 워크시트 27" xfId="781"/>
    <cellStyle name="_2211  한주금속-2005FS의 워크시트 28" xfId="782"/>
    <cellStyle name="_2211  한주금속-2005FS의 워크시트 29" xfId="783"/>
    <cellStyle name="_2211  한주금속-2005FS의 워크시트 3" xfId="784"/>
    <cellStyle name="_2211  한주금속-2005FS의 워크시트 30" xfId="785"/>
    <cellStyle name="_2211  한주금속-2005FS의 워크시트 31" xfId="786"/>
    <cellStyle name="_2211  한주금속-2005FS의 워크시트 32" xfId="787"/>
    <cellStyle name="_2211  한주금속-2005FS의 워크시트 33" xfId="788"/>
    <cellStyle name="_2211  한주금속-2005FS의 워크시트 34" xfId="789"/>
    <cellStyle name="_2211  한주금속-2005FS의 워크시트 35" xfId="790"/>
    <cellStyle name="_2211  한주금속-2005FS의 워크시트 36" xfId="791"/>
    <cellStyle name="_2211  한주금속-2005FS의 워크시트 37" xfId="792"/>
    <cellStyle name="_2211  한주금속-2005FS의 워크시트 38" xfId="793"/>
    <cellStyle name="_2211  한주금속-2005FS의 워크시트 39" xfId="794"/>
    <cellStyle name="_2211  한주금속-2005FS의 워크시트 4" xfId="795"/>
    <cellStyle name="_2211  한주금속-2005FS의 워크시트 40" xfId="796"/>
    <cellStyle name="_2211  한주금속-2005FS의 워크시트 41" xfId="797"/>
    <cellStyle name="_2211  한주금속-2005FS의 워크시트 42" xfId="798"/>
    <cellStyle name="_2211  한주금속-2005FS의 워크시트 43" xfId="799"/>
    <cellStyle name="_2211  한주금속-2005FS의 워크시트 44" xfId="800"/>
    <cellStyle name="_2211  한주금속-2005FS의 워크시트 45" xfId="801"/>
    <cellStyle name="_2211  한주금속-2005FS의 워크시트 46" xfId="802"/>
    <cellStyle name="_2211  한주금속-2005FS의 워크시트 47" xfId="803"/>
    <cellStyle name="_2211  한주금속-2005FS의 워크시트 48" xfId="804"/>
    <cellStyle name="_2211  한주금속-2005FS의 워크시트 49" xfId="805"/>
    <cellStyle name="_2211  한주금속-2005FS의 워크시트 5" xfId="806"/>
    <cellStyle name="_2211  한주금속-2005FS의 워크시트 50" xfId="807"/>
    <cellStyle name="_2211  한주금속-2005FS의 워크시트 51" xfId="808"/>
    <cellStyle name="_2211  한주금속-2005FS의 워크시트 52" xfId="809"/>
    <cellStyle name="_2211  한주금속-2005FS의 워크시트 53" xfId="810"/>
    <cellStyle name="_2211  한주금속-2005FS의 워크시트 54" xfId="811"/>
    <cellStyle name="_2211  한주금속-2005FS의 워크시트 55" xfId="812"/>
    <cellStyle name="_2211  한주금속-2005FS의 워크시트 56" xfId="813"/>
    <cellStyle name="_2211  한주금속-2005FS의 워크시트 57" xfId="814"/>
    <cellStyle name="_2211  한주금속-2005FS의 워크시트 58" xfId="815"/>
    <cellStyle name="_2211  한주금속-2005FS의 워크시트 59" xfId="816"/>
    <cellStyle name="_2211  한주금속-2005FS의 워크시트 6" xfId="817"/>
    <cellStyle name="_2211  한주금속-2005FS의 워크시트 60" xfId="818"/>
    <cellStyle name="_2211  한주금속-2005FS의 워크시트 61" xfId="819"/>
    <cellStyle name="_2211  한주금속-2005FS의 워크시트 62" xfId="820"/>
    <cellStyle name="_2211  한주금속-2005FS의 워크시트 63" xfId="821"/>
    <cellStyle name="_2211  한주금속-2005FS의 워크시트 7" xfId="822"/>
    <cellStyle name="_2211  한주금속-2005FS의 워크시트 8" xfId="823"/>
    <cellStyle name="_2211  한주금속-2005FS의 워크시트 9" xfId="824"/>
    <cellStyle name="_2231 WTB,인쇄용재무제표(안양방송2005-2월9일2시)" xfId="825"/>
    <cellStyle name="_2232 F-123459_draft" xfId="826"/>
    <cellStyle name="_2261 재무제표 및 정산표_제50기_20060331의 워크시트" xfId="827"/>
    <cellStyle name="_2262 WTB2003_이채널의 워크시트" xfId="828"/>
    <cellStyle name="_2262 WTB2003-sck의 워크시트" xfId="829"/>
    <cellStyle name="_2321 재무제표(현금흐름표)의 워크시트" xfId="830"/>
    <cellStyle name="_2321 재무제표(현금흐름표)의 워크시트 10" xfId="831"/>
    <cellStyle name="_2321 재무제표(현금흐름표)의 워크시트 11" xfId="832"/>
    <cellStyle name="_2321 재무제표(현금흐름표)의 워크시트 12" xfId="833"/>
    <cellStyle name="_2321 재무제표(현금흐름표)의 워크시트 13" xfId="834"/>
    <cellStyle name="_2321 재무제표(현금흐름표)의 워크시트 14" xfId="835"/>
    <cellStyle name="_2321 재무제표(현금흐름표)의 워크시트 15" xfId="836"/>
    <cellStyle name="_2321 재무제표(현금흐름표)의 워크시트 16" xfId="837"/>
    <cellStyle name="_2321 재무제표(현금흐름표)의 워크시트 17" xfId="838"/>
    <cellStyle name="_2321 재무제표(현금흐름표)의 워크시트 18" xfId="839"/>
    <cellStyle name="_2321 재무제표(현금흐름표)의 워크시트 19" xfId="840"/>
    <cellStyle name="_2321 재무제표(현금흐름표)의 워크시트 2" xfId="841"/>
    <cellStyle name="_2321 재무제표(현금흐름표)의 워크시트 20" xfId="842"/>
    <cellStyle name="_2321 재무제표(현금흐름표)의 워크시트 21" xfId="843"/>
    <cellStyle name="_2321 재무제표(현금흐름표)의 워크시트 22" xfId="844"/>
    <cellStyle name="_2321 재무제표(현금흐름표)의 워크시트 23" xfId="845"/>
    <cellStyle name="_2321 재무제표(현금흐름표)의 워크시트 24" xfId="846"/>
    <cellStyle name="_2321 재무제표(현금흐름표)의 워크시트 25" xfId="847"/>
    <cellStyle name="_2321 재무제표(현금흐름표)의 워크시트 26" xfId="848"/>
    <cellStyle name="_2321 재무제표(현금흐름표)의 워크시트 27" xfId="849"/>
    <cellStyle name="_2321 재무제표(현금흐름표)의 워크시트 28" xfId="850"/>
    <cellStyle name="_2321 재무제표(현금흐름표)의 워크시트 29" xfId="851"/>
    <cellStyle name="_2321 재무제표(현금흐름표)의 워크시트 3" xfId="852"/>
    <cellStyle name="_2321 재무제표(현금흐름표)의 워크시트 30" xfId="853"/>
    <cellStyle name="_2321 재무제표(현금흐름표)의 워크시트 31" xfId="854"/>
    <cellStyle name="_2321 재무제표(현금흐름표)의 워크시트 32" xfId="855"/>
    <cellStyle name="_2321 재무제표(현금흐름표)의 워크시트 33" xfId="856"/>
    <cellStyle name="_2321 재무제표(현금흐름표)의 워크시트 34" xfId="857"/>
    <cellStyle name="_2321 재무제표(현금흐름표)의 워크시트 35" xfId="858"/>
    <cellStyle name="_2321 재무제표(현금흐름표)의 워크시트 36" xfId="859"/>
    <cellStyle name="_2321 재무제표(현금흐름표)의 워크시트 37" xfId="860"/>
    <cellStyle name="_2321 재무제표(현금흐름표)의 워크시트 38" xfId="861"/>
    <cellStyle name="_2321 재무제표(현금흐름표)의 워크시트 39" xfId="862"/>
    <cellStyle name="_2321 재무제표(현금흐름표)의 워크시트 4" xfId="863"/>
    <cellStyle name="_2321 재무제표(현금흐름표)의 워크시트 40" xfId="864"/>
    <cellStyle name="_2321 재무제표(현금흐름표)의 워크시트 41" xfId="865"/>
    <cellStyle name="_2321 재무제표(현금흐름표)의 워크시트 42" xfId="866"/>
    <cellStyle name="_2321 재무제표(현금흐름표)의 워크시트 43" xfId="867"/>
    <cellStyle name="_2321 재무제표(현금흐름표)의 워크시트 44" xfId="868"/>
    <cellStyle name="_2321 재무제표(현금흐름표)의 워크시트 45" xfId="869"/>
    <cellStyle name="_2321 재무제표(현금흐름표)의 워크시트 46" xfId="870"/>
    <cellStyle name="_2321 재무제표(현금흐름표)의 워크시트 47" xfId="871"/>
    <cellStyle name="_2321 재무제표(현금흐름표)의 워크시트 48" xfId="872"/>
    <cellStyle name="_2321 재무제표(현금흐름표)의 워크시트 49" xfId="873"/>
    <cellStyle name="_2321 재무제표(현금흐름표)의 워크시트 5" xfId="874"/>
    <cellStyle name="_2321 재무제표(현금흐름표)의 워크시트 50" xfId="875"/>
    <cellStyle name="_2321 재무제표(현금흐름표)의 워크시트 51" xfId="876"/>
    <cellStyle name="_2321 재무제표(현금흐름표)의 워크시트 52" xfId="877"/>
    <cellStyle name="_2321 재무제표(현금흐름표)의 워크시트 53" xfId="878"/>
    <cellStyle name="_2321 재무제표(현금흐름표)의 워크시트 54" xfId="879"/>
    <cellStyle name="_2321 재무제표(현금흐름표)의 워크시트 55" xfId="880"/>
    <cellStyle name="_2321 재무제표(현금흐름표)의 워크시트 56" xfId="881"/>
    <cellStyle name="_2321 재무제표(현금흐름표)의 워크시트 57" xfId="882"/>
    <cellStyle name="_2321 재무제표(현금흐름표)의 워크시트 58" xfId="883"/>
    <cellStyle name="_2321 재무제표(현금흐름표)의 워크시트 59" xfId="884"/>
    <cellStyle name="_2321 재무제표(현금흐름표)의 워크시트 6" xfId="885"/>
    <cellStyle name="_2321 재무제표(현금흐름표)의 워크시트 60" xfId="886"/>
    <cellStyle name="_2321 재무제표(현금흐름표)의 워크시트 61" xfId="887"/>
    <cellStyle name="_2321 재무제표(현금흐름표)의 워크시트 62" xfId="888"/>
    <cellStyle name="_2321 재무제표(현금흐름표)의 워크시트 63" xfId="889"/>
    <cellStyle name="_2321 재무제표(현금흐름표)의 워크시트 7" xfId="890"/>
    <cellStyle name="_2321 재무제표(현금흐름표)의 워크시트 8" xfId="891"/>
    <cellStyle name="_2321 재무제표(현금흐름표)의 워크시트 9" xfId="892"/>
    <cellStyle name="_29.임대수익,잡이익" xfId="893"/>
    <cellStyle name="_2기lead" xfId="895"/>
    <cellStyle name="_2기lead 10" xfId="896"/>
    <cellStyle name="_2기lead 11" xfId="897"/>
    <cellStyle name="_2기lead 12" xfId="898"/>
    <cellStyle name="_2기lead 13" xfId="899"/>
    <cellStyle name="_2기lead 14" xfId="900"/>
    <cellStyle name="_2기lead 15" xfId="901"/>
    <cellStyle name="_2기lead 16" xfId="902"/>
    <cellStyle name="_2기lead 17" xfId="903"/>
    <cellStyle name="_2기lead 18" xfId="904"/>
    <cellStyle name="_2기lead 19" xfId="905"/>
    <cellStyle name="_2기lead 2" xfId="906"/>
    <cellStyle name="_2기lead 20" xfId="907"/>
    <cellStyle name="_2기lead 21" xfId="908"/>
    <cellStyle name="_2기lead 22" xfId="909"/>
    <cellStyle name="_2기lead 23" xfId="910"/>
    <cellStyle name="_2기lead 24" xfId="911"/>
    <cellStyle name="_2기lead 25" xfId="912"/>
    <cellStyle name="_2기lead 26" xfId="913"/>
    <cellStyle name="_2기lead 27" xfId="914"/>
    <cellStyle name="_2기lead 28" xfId="915"/>
    <cellStyle name="_2기lead 29" xfId="916"/>
    <cellStyle name="_2기lead 3" xfId="917"/>
    <cellStyle name="_2기lead 30" xfId="918"/>
    <cellStyle name="_2기lead 31" xfId="919"/>
    <cellStyle name="_2기lead 32" xfId="920"/>
    <cellStyle name="_2기lead 33" xfId="921"/>
    <cellStyle name="_2기lead 34" xfId="922"/>
    <cellStyle name="_2기lead 35" xfId="923"/>
    <cellStyle name="_2기lead 36" xfId="924"/>
    <cellStyle name="_2기lead 37" xfId="925"/>
    <cellStyle name="_2기lead 38" xfId="926"/>
    <cellStyle name="_2기lead 39" xfId="927"/>
    <cellStyle name="_2기lead 4" xfId="928"/>
    <cellStyle name="_2기lead 40" xfId="929"/>
    <cellStyle name="_2기lead 41" xfId="930"/>
    <cellStyle name="_2기lead 42" xfId="931"/>
    <cellStyle name="_2기lead 43" xfId="932"/>
    <cellStyle name="_2기lead 44" xfId="933"/>
    <cellStyle name="_2기lead 45" xfId="934"/>
    <cellStyle name="_2기lead 46" xfId="935"/>
    <cellStyle name="_2기lead 47" xfId="936"/>
    <cellStyle name="_2기lead 48" xfId="937"/>
    <cellStyle name="_2기lead 49" xfId="938"/>
    <cellStyle name="_2기lead 5" xfId="939"/>
    <cellStyle name="_2기lead 50" xfId="940"/>
    <cellStyle name="_2기lead 51" xfId="941"/>
    <cellStyle name="_2기lead 52" xfId="942"/>
    <cellStyle name="_2기lead 53" xfId="943"/>
    <cellStyle name="_2기lead 54" xfId="944"/>
    <cellStyle name="_2기lead 55" xfId="945"/>
    <cellStyle name="_2기lead 56" xfId="946"/>
    <cellStyle name="_2기lead 57" xfId="947"/>
    <cellStyle name="_2기lead 58" xfId="948"/>
    <cellStyle name="_2기lead 59" xfId="949"/>
    <cellStyle name="_2기lead 6" xfId="950"/>
    <cellStyle name="_2기lead 60" xfId="951"/>
    <cellStyle name="_2기lead 61" xfId="952"/>
    <cellStyle name="_2기lead 62" xfId="953"/>
    <cellStyle name="_2기lead 63" xfId="954"/>
    <cellStyle name="_2기lead 7" xfId="955"/>
    <cellStyle name="_2기lead 8" xfId="956"/>
    <cellStyle name="_2기lead 9" xfId="957"/>
    <cellStyle name="_2기lead_04FS_KID산업" xfId="958"/>
    <cellStyle name="_2기lead_04FS_KID산업 10" xfId="959"/>
    <cellStyle name="_2기lead_04FS_KID산업 11" xfId="960"/>
    <cellStyle name="_2기lead_04FS_KID산업 12" xfId="961"/>
    <cellStyle name="_2기lead_04FS_KID산업 13" xfId="962"/>
    <cellStyle name="_2기lead_04FS_KID산업 14" xfId="963"/>
    <cellStyle name="_2기lead_04FS_KID산업 15" xfId="964"/>
    <cellStyle name="_2기lead_04FS_KID산업 16" xfId="965"/>
    <cellStyle name="_2기lead_04FS_KID산업 17" xfId="966"/>
    <cellStyle name="_2기lead_04FS_KID산업 18" xfId="967"/>
    <cellStyle name="_2기lead_04FS_KID산업 19" xfId="968"/>
    <cellStyle name="_2기lead_04FS_KID산업 2" xfId="969"/>
    <cellStyle name="_2기lead_04FS_KID산업 20" xfId="970"/>
    <cellStyle name="_2기lead_04FS_KID산업 21" xfId="971"/>
    <cellStyle name="_2기lead_04FS_KID산업 22" xfId="972"/>
    <cellStyle name="_2기lead_04FS_KID산업 23" xfId="973"/>
    <cellStyle name="_2기lead_04FS_KID산업 24" xfId="974"/>
    <cellStyle name="_2기lead_04FS_KID산업 25" xfId="975"/>
    <cellStyle name="_2기lead_04FS_KID산업 26" xfId="976"/>
    <cellStyle name="_2기lead_04FS_KID산업 27" xfId="977"/>
    <cellStyle name="_2기lead_04FS_KID산업 28" xfId="978"/>
    <cellStyle name="_2기lead_04FS_KID산업 29" xfId="979"/>
    <cellStyle name="_2기lead_04FS_KID산업 3" xfId="980"/>
    <cellStyle name="_2기lead_04FS_KID산업 30" xfId="981"/>
    <cellStyle name="_2기lead_04FS_KID산업 31" xfId="982"/>
    <cellStyle name="_2기lead_04FS_KID산업 32" xfId="983"/>
    <cellStyle name="_2기lead_04FS_KID산업 33" xfId="984"/>
    <cellStyle name="_2기lead_04FS_KID산업 34" xfId="985"/>
    <cellStyle name="_2기lead_04FS_KID산업 35" xfId="986"/>
    <cellStyle name="_2기lead_04FS_KID산업 36" xfId="987"/>
    <cellStyle name="_2기lead_04FS_KID산업 37" xfId="988"/>
    <cellStyle name="_2기lead_04FS_KID산업 38" xfId="989"/>
    <cellStyle name="_2기lead_04FS_KID산업 39" xfId="990"/>
    <cellStyle name="_2기lead_04FS_KID산업 4" xfId="991"/>
    <cellStyle name="_2기lead_04FS_KID산업 40" xfId="992"/>
    <cellStyle name="_2기lead_04FS_KID산업 41" xfId="993"/>
    <cellStyle name="_2기lead_04FS_KID산업 42" xfId="994"/>
    <cellStyle name="_2기lead_04FS_KID산업 43" xfId="995"/>
    <cellStyle name="_2기lead_04FS_KID산업 44" xfId="996"/>
    <cellStyle name="_2기lead_04FS_KID산업 45" xfId="997"/>
    <cellStyle name="_2기lead_04FS_KID산업 46" xfId="998"/>
    <cellStyle name="_2기lead_04FS_KID산업 47" xfId="999"/>
    <cellStyle name="_2기lead_04FS_KID산업 48" xfId="1000"/>
    <cellStyle name="_2기lead_04FS_KID산업 49" xfId="1001"/>
    <cellStyle name="_2기lead_04FS_KID산업 5" xfId="1002"/>
    <cellStyle name="_2기lead_04FS_KID산업 50" xfId="1003"/>
    <cellStyle name="_2기lead_04FS_KID산업 51" xfId="1004"/>
    <cellStyle name="_2기lead_04FS_KID산업 52" xfId="1005"/>
    <cellStyle name="_2기lead_04FS_KID산업 53" xfId="1006"/>
    <cellStyle name="_2기lead_04FS_KID산업 54" xfId="1007"/>
    <cellStyle name="_2기lead_04FS_KID산업 55" xfId="1008"/>
    <cellStyle name="_2기lead_04FS_KID산업 56" xfId="1009"/>
    <cellStyle name="_2기lead_04FS_KID산업 57" xfId="1010"/>
    <cellStyle name="_2기lead_04FS_KID산업 58" xfId="1011"/>
    <cellStyle name="_2기lead_04FS_KID산업 59" xfId="1012"/>
    <cellStyle name="_2기lead_04FS_KID산업 6" xfId="1013"/>
    <cellStyle name="_2기lead_04FS_KID산업 60" xfId="1014"/>
    <cellStyle name="_2기lead_04FS_KID산업 61" xfId="1015"/>
    <cellStyle name="_2기lead_04FS_KID산업 62" xfId="1016"/>
    <cellStyle name="_2기lead_04FS_KID산업 63" xfId="1017"/>
    <cellStyle name="_2기lead_04FS_KID산업 7" xfId="1018"/>
    <cellStyle name="_2기lead_04FS_KID산업 8" xfId="1019"/>
    <cellStyle name="_2기lead_04FS_KID산업 9" xfId="1020"/>
    <cellStyle name="_2기lead_2002FS_FINAL" xfId="1021"/>
    <cellStyle name="_2기lead_2002FS_FINAL 10" xfId="1022"/>
    <cellStyle name="_2기lead_2002FS_FINAL 11" xfId="1023"/>
    <cellStyle name="_2기lead_2002FS_FINAL 12" xfId="1024"/>
    <cellStyle name="_2기lead_2002FS_FINAL 13" xfId="1025"/>
    <cellStyle name="_2기lead_2002FS_FINAL 14" xfId="1026"/>
    <cellStyle name="_2기lead_2002FS_FINAL 15" xfId="1027"/>
    <cellStyle name="_2기lead_2002FS_FINAL 16" xfId="1028"/>
    <cellStyle name="_2기lead_2002FS_FINAL 17" xfId="1029"/>
    <cellStyle name="_2기lead_2002FS_FINAL 18" xfId="1030"/>
    <cellStyle name="_2기lead_2002FS_FINAL 19" xfId="1031"/>
    <cellStyle name="_2기lead_2002FS_FINAL 2" xfId="1032"/>
    <cellStyle name="_2기lead_2002FS_FINAL 20" xfId="1033"/>
    <cellStyle name="_2기lead_2002FS_FINAL 21" xfId="1034"/>
    <cellStyle name="_2기lead_2002FS_FINAL 22" xfId="1035"/>
    <cellStyle name="_2기lead_2002FS_FINAL 23" xfId="1036"/>
    <cellStyle name="_2기lead_2002FS_FINAL 24" xfId="1037"/>
    <cellStyle name="_2기lead_2002FS_FINAL 25" xfId="1038"/>
    <cellStyle name="_2기lead_2002FS_FINAL 26" xfId="1039"/>
    <cellStyle name="_2기lead_2002FS_FINAL 27" xfId="1040"/>
    <cellStyle name="_2기lead_2002FS_FINAL 28" xfId="1041"/>
    <cellStyle name="_2기lead_2002FS_FINAL 29" xfId="1042"/>
    <cellStyle name="_2기lead_2002FS_FINAL 3" xfId="1043"/>
    <cellStyle name="_2기lead_2002FS_FINAL 30" xfId="1044"/>
    <cellStyle name="_2기lead_2002FS_FINAL 31" xfId="1045"/>
    <cellStyle name="_2기lead_2002FS_FINAL 32" xfId="1046"/>
    <cellStyle name="_2기lead_2002FS_FINAL 33" xfId="1047"/>
    <cellStyle name="_2기lead_2002FS_FINAL 34" xfId="1048"/>
    <cellStyle name="_2기lead_2002FS_FINAL 35" xfId="1049"/>
    <cellStyle name="_2기lead_2002FS_FINAL 36" xfId="1050"/>
    <cellStyle name="_2기lead_2002FS_FINAL 37" xfId="1051"/>
    <cellStyle name="_2기lead_2002FS_FINAL 38" xfId="1052"/>
    <cellStyle name="_2기lead_2002FS_FINAL 39" xfId="1053"/>
    <cellStyle name="_2기lead_2002FS_FINAL 4" xfId="1054"/>
    <cellStyle name="_2기lead_2002FS_FINAL 40" xfId="1055"/>
    <cellStyle name="_2기lead_2002FS_FINAL 41" xfId="1056"/>
    <cellStyle name="_2기lead_2002FS_FINAL 42" xfId="1057"/>
    <cellStyle name="_2기lead_2002FS_FINAL 43" xfId="1058"/>
    <cellStyle name="_2기lead_2002FS_FINAL 44" xfId="1059"/>
    <cellStyle name="_2기lead_2002FS_FINAL 45" xfId="1060"/>
    <cellStyle name="_2기lead_2002FS_FINAL 46" xfId="1061"/>
    <cellStyle name="_2기lead_2002FS_FINAL 47" xfId="1062"/>
    <cellStyle name="_2기lead_2002FS_FINAL 48" xfId="1063"/>
    <cellStyle name="_2기lead_2002FS_FINAL 49" xfId="1064"/>
    <cellStyle name="_2기lead_2002FS_FINAL 5" xfId="1065"/>
    <cellStyle name="_2기lead_2002FS_FINAL 50" xfId="1066"/>
    <cellStyle name="_2기lead_2002FS_FINAL 51" xfId="1067"/>
    <cellStyle name="_2기lead_2002FS_FINAL 52" xfId="1068"/>
    <cellStyle name="_2기lead_2002FS_FINAL 53" xfId="1069"/>
    <cellStyle name="_2기lead_2002FS_FINAL 54" xfId="1070"/>
    <cellStyle name="_2기lead_2002FS_FINAL 55" xfId="1071"/>
    <cellStyle name="_2기lead_2002FS_FINAL 56" xfId="1072"/>
    <cellStyle name="_2기lead_2002FS_FINAL 57" xfId="1073"/>
    <cellStyle name="_2기lead_2002FS_FINAL 58" xfId="1074"/>
    <cellStyle name="_2기lead_2002FS_FINAL 59" xfId="1075"/>
    <cellStyle name="_2기lead_2002FS_FINAL 6" xfId="1076"/>
    <cellStyle name="_2기lead_2002FS_FINAL 60" xfId="1077"/>
    <cellStyle name="_2기lead_2002FS_FINAL 61" xfId="1078"/>
    <cellStyle name="_2기lead_2002FS_FINAL 62" xfId="1079"/>
    <cellStyle name="_2기lead_2002FS_FINAL 63" xfId="1080"/>
    <cellStyle name="_2기lead_2002FS_FINAL 7" xfId="1081"/>
    <cellStyle name="_2기lead_2002FS_FINAL 8" xfId="1082"/>
    <cellStyle name="_2기lead_2002FS_FINAL 9" xfId="1083"/>
    <cellStyle name="_2기lead_8720 18기이연법인세의 워크시트" xfId="1084"/>
    <cellStyle name="_2기lead_8720 18기이연법인세의 워크시트 10" xfId="1085"/>
    <cellStyle name="_2기lead_8720 18기이연법인세의 워크시트 11" xfId="1086"/>
    <cellStyle name="_2기lead_8720 18기이연법인세의 워크시트 12" xfId="1087"/>
    <cellStyle name="_2기lead_8720 18기이연법인세의 워크시트 13" xfId="1088"/>
    <cellStyle name="_2기lead_8720 18기이연법인세의 워크시트 14" xfId="1089"/>
    <cellStyle name="_2기lead_8720 18기이연법인세의 워크시트 15" xfId="1090"/>
    <cellStyle name="_2기lead_8720 18기이연법인세의 워크시트 16" xfId="1091"/>
    <cellStyle name="_2기lead_8720 18기이연법인세의 워크시트 17" xfId="1092"/>
    <cellStyle name="_2기lead_8720 18기이연법인세의 워크시트 18" xfId="1093"/>
    <cellStyle name="_2기lead_8720 18기이연법인세의 워크시트 19" xfId="1094"/>
    <cellStyle name="_2기lead_8720 18기이연법인세의 워크시트 2" xfId="1095"/>
    <cellStyle name="_2기lead_8720 18기이연법인세의 워크시트 20" xfId="1096"/>
    <cellStyle name="_2기lead_8720 18기이연법인세의 워크시트 21" xfId="1097"/>
    <cellStyle name="_2기lead_8720 18기이연법인세의 워크시트 22" xfId="1098"/>
    <cellStyle name="_2기lead_8720 18기이연법인세의 워크시트 23" xfId="1099"/>
    <cellStyle name="_2기lead_8720 18기이연법인세의 워크시트 24" xfId="1100"/>
    <cellStyle name="_2기lead_8720 18기이연법인세의 워크시트 25" xfId="1101"/>
    <cellStyle name="_2기lead_8720 18기이연법인세의 워크시트 26" xfId="1102"/>
    <cellStyle name="_2기lead_8720 18기이연법인세의 워크시트 27" xfId="1103"/>
    <cellStyle name="_2기lead_8720 18기이연법인세의 워크시트 28" xfId="1104"/>
    <cellStyle name="_2기lead_8720 18기이연법인세의 워크시트 29" xfId="1105"/>
    <cellStyle name="_2기lead_8720 18기이연법인세의 워크시트 3" xfId="1106"/>
    <cellStyle name="_2기lead_8720 18기이연법인세의 워크시트 30" xfId="1107"/>
    <cellStyle name="_2기lead_8720 18기이연법인세의 워크시트 31" xfId="1108"/>
    <cellStyle name="_2기lead_8720 18기이연법인세의 워크시트 32" xfId="1109"/>
    <cellStyle name="_2기lead_8720 18기이연법인세의 워크시트 33" xfId="1110"/>
    <cellStyle name="_2기lead_8720 18기이연법인세의 워크시트 34" xfId="1111"/>
    <cellStyle name="_2기lead_8720 18기이연법인세의 워크시트 35" xfId="1112"/>
    <cellStyle name="_2기lead_8720 18기이연법인세의 워크시트 36" xfId="1113"/>
    <cellStyle name="_2기lead_8720 18기이연법인세의 워크시트 37" xfId="1114"/>
    <cellStyle name="_2기lead_8720 18기이연법인세의 워크시트 38" xfId="1115"/>
    <cellStyle name="_2기lead_8720 18기이연법인세의 워크시트 39" xfId="1116"/>
    <cellStyle name="_2기lead_8720 18기이연법인세의 워크시트 4" xfId="1117"/>
    <cellStyle name="_2기lead_8720 18기이연법인세의 워크시트 40" xfId="1118"/>
    <cellStyle name="_2기lead_8720 18기이연법인세의 워크시트 41" xfId="1119"/>
    <cellStyle name="_2기lead_8720 18기이연법인세의 워크시트 42" xfId="1120"/>
    <cellStyle name="_2기lead_8720 18기이연법인세의 워크시트 43" xfId="1121"/>
    <cellStyle name="_2기lead_8720 18기이연법인세의 워크시트 44" xfId="1122"/>
    <cellStyle name="_2기lead_8720 18기이연법인세의 워크시트 45" xfId="1123"/>
    <cellStyle name="_2기lead_8720 18기이연법인세의 워크시트 46" xfId="1124"/>
    <cellStyle name="_2기lead_8720 18기이연법인세의 워크시트 47" xfId="1125"/>
    <cellStyle name="_2기lead_8720 18기이연법인세의 워크시트 48" xfId="1126"/>
    <cellStyle name="_2기lead_8720 18기이연법인세의 워크시트 49" xfId="1127"/>
    <cellStyle name="_2기lead_8720 18기이연법인세의 워크시트 5" xfId="1128"/>
    <cellStyle name="_2기lead_8720 18기이연법인세의 워크시트 50" xfId="1129"/>
    <cellStyle name="_2기lead_8720 18기이연법인세의 워크시트 51" xfId="1130"/>
    <cellStyle name="_2기lead_8720 18기이연법인세의 워크시트 52" xfId="1131"/>
    <cellStyle name="_2기lead_8720 18기이연법인세의 워크시트 53" xfId="1132"/>
    <cellStyle name="_2기lead_8720 18기이연법인세의 워크시트 54" xfId="1133"/>
    <cellStyle name="_2기lead_8720 18기이연법인세의 워크시트 55" xfId="1134"/>
    <cellStyle name="_2기lead_8720 18기이연법인세의 워크시트 56" xfId="1135"/>
    <cellStyle name="_2기lead_8720 18기이연법인세의 워크시트 57" xfId="1136"/>
    <cellStyle name="_2기lead_8720 18기이연법인세의 워크시트 58" xfId="1137"/>
    <cellStyle name="_2기lead_8720 18기이연법인세의 워크시트 59" xfId="1138"/>
    <cellStyle name="_2기lead_8720 18기이연법인세의 워크시트 6" xfId="1139"/>
    <cellStyle name="_2기lead_8720 18기이연법인세의 워크시트 60" xfId="1140"/>
    <cellStyle name="_2기lead_8720 18기이연법인세의 워크시트 61" xfId="1141"/>
    <cellStyle name="_2기lead_8720 18기이연법인세의 워크시트 62" xfId="1142"/>
    <cellStyle name="_2기lead_8720 18기이연법인세의 워크시트 63" xfId="1143"/>
    <cellStyle name="_2기lead_8720 18기이연법인세의 워크시트 7" xfId="1144"/>
    <cellStyle name="_2기lead_8720 18기이연법인세의 워크시트 8" xfId="1145"/>
    <cellStyle name="_2기lead_8720 18기이연법인세의 워크시트 9" xfId="1146"/>
    <cellStyle name="_2기lead_대차손익(20070331)_kjh" xfId="1147"/>
    <cellStyle name="_2기lead_대차손익(20070331)_kjh 10" xfId="1148"/>
    <cellStyle name="_2기lead_대차손익(20070331)_kjh 11" xfId="1149"/>
    <cellStyle name="_2기lead_대차손익(20070331)_kjh 12" xfId="1150"/>
    <cellStyle name="_2기lead_대차손익(20070331)_kjh 13" xfId="1151"/>
    <cellStyle name="_2기lead_대차손익(20070331)_kjh 14" xfId="1152"/>
    <cellStyle name="_2기lead_대차손익(20070331)_kjh 15" xfId="1153"/>
    <cellStyle name="_2기lead_대차손익(20070331)_kjh 16" xfId="1154"/>
    <cellStyle name="_2기lead_대차손익(20070331)_kjh 17" xfId="1155"/>
    <cellStyle name="_2기lead_대차손익(20070331)_kjh 18" xfId="1156"/>
    <cellStyle name="_2기lead_대차손익(20070331)_kjh 19" xfId="1157"/>
    <cellStyle name="_2기lead_대차손익(20070331)_kjh 2" xfId="1158"/>
    <cellStyle name="_2기lead_대차손익(20070331)_kjh 20" xfId="1159"/>
    <cellStyle name="_2기lead_대차손익(20070331)_kjh 21" xfId="1160"/>
    <cellStyle name="_2기lead_대차손익(20070331)_kjh 22" xfId="1161"/>
    <cellStyle name="_2기lead_대차손익(20070331)_kjh 23" xfId="1162"/>
    <cellStyle name="_2기lead_대차손익(20070331)_kjh 24" xfId="1163"/>
    <cellStyle name="_2기lead_대차손익(20070331)_kjh 25" xfId="1164"/>
    <cellStyle name="_2기lead_대차손익(20070331)_kjh 26" xfId="1165"/>
    <cellStyle name="_2기lead_대차손익(20070331)_kjh 27" xfId="1166"/>
    <cellStyle name="_2기lead_대차손익(20070331)_kjh 28" xfId="1167"/>
    <cellStyle name="_2기lead_대차손익(20070331)_kjh 29" xfId="1168"/>
    <cellStyle name="_2기lead_대차손익(20070331)_kjh 3" xfId="1169"/>
    <cellStyle name="_2기lead_대차손익(20070331)_kjh 30" xfId="1170"/>
    <cellStyle name="_2기lead_대차손익(20070331)_kjh 31" xfId="1171"/>
    <cellStyle name="_2기lead_대차손익(20070331)_kjh 32" xfId="1172"/>
    <cellStyle name="_2기lead_대차손익(20070331)_kjh 33" xfId="1173"/>
    <cellStyle name="_2기lead_대차손익(20070331)_kjh 34" xfId="1174"/>
    <cellStyle name="_2기lead_대차손익(20070331)_kjh 35" xfId="1175"/>
    <cellStyle name="_2기lead_대차손익(20070331)_kjh 36" xfId="1176"/>
    <cellStyle name="_2기lead_대차손익(20070331)_kjh 37" xfId="1177"/>
    <cellStyle name="_2기lead_대차손익(20070331)_kjh 38" xfId="1178"/>
    <cellStyle name="_2기lead_대차손익(20070331)_kjh 39" xfId="1179"/>
    <cellStyle name="_2기lead_대차손익(20070331)_kjh 4" xfId="1180"/>
    <cellStyle name="_2기lead_대차손익(20070331)_kjh 40" xfId="1181"/>
    <cellStyle name="_2기lead_대차손익(20070331)_kjh 41" xfId="1182"/>
    <cellStyle name="_2기lead_대차손익(20070331)_kjh 42" xfId="1183"/>
    <cellStyle name="_2기lead_대차손익(20070331)_kjh 43" xfId="1184"/>
    <cellStyle name="_2기lead_대차손익(20070331)_kjh 44" xfId="1185"/>
    <cellStyle name="_2기lead_대차손익(20070331)_kjh 45" xfId="1186"/>
    <cellStyle name="_2기lead_대차손익(20070331)_kjh 46" xfId="1187"/>
    <cellStyle name="_2기lead_대차손익(20070331)_kjh 47" xfId="1188"/>
    <cellStyle name="_2기lead_대차손익(20070331)_kjh 48" xfId="1189"/>
    <cellStyle name="_2기lead_대차손익(20070331)_kjh 49" xfId="1190"/>
    <cellStyle name="_2기lead_대차손익(20070331)_kjh 5" xfId="1191"/>
    <cellStyle name="_2기lead_대차손익(20070331)_kjh 50" xfId="1192"/>
    <cellStyle name="_2기lead_대차손익(20070331)_kjh 51" xfId="1193"/>
    <cellStyle name="_2기lead_대차손익(20070331)_kjh 52" xfId="1194"/>
    <cellStyle name="_2기lead_대차손익(20070331)_kjh 53" xfId="1195"/>
    <cellStyle name="_2기lead_대차손익(20070331)_kjh 54" xfId="1196"/>
    <cellStyle name="_2기lead_대차손익(20070331)_kjh 55" xfId="1197"/>
    <cellStyle name="_2기lead_대차손익(20070331)_kjh 56" xfId="1198"/>
    <cellStyle name="_2기lead_대차손익(20070331)_kjh 57" xfId="1199"/>
    <cellStyle name="_2기lead_대차손익(20070331)_kjh 58" xfId="1200"/>
    <cellStyle name="_2기lead_대차손익(20070331)_kjh 59" xfId="1201"/>
    <cellStyle name="_2기lead_대차손익(20070331)_kjh 6" xfId="1202"/>
    <cellStyle name="_2기lead_대차손익(20070331)_kjh 60" xfId="1203"/>
    <cellStyle name="_2기lead_대차손익(20070331)_kjh 61" xfId="1204"/>
    <cellStyle name="_2기lead_대차손익(20070331)_kjh 62" xfId="1205"/>
    <cellStyle name="_2기lead_대차손익(20070331)_kjh 63" xfId="1206"/>
    <cellStyle name="_2기lead_대차손익(20070331)_kjh 7" xfId="1207"/>
    <cellStyle name="_2기lead_대차손익(20070331)_kjh 8" xfId="1208"/>
    <cellStyle name="_2기lead_대차손익(20070331)_kjh 9" xfId="1209"/>
    <cellStyle name="_2기lead_승구리- 코바이오SCF2003" xfId="1210"/>
    <cellStyle name="_2기lead_승구리- 코바이오SCF2003 10" xfId="1211"/>
    <cellStyle name="_2기lead_승구리- 코바이오SCF2003 11" xfId="1212"/>
    <cellStyle name="_2기lead_승구리- 코바이오SCF2003 12" xfId="1213"/>
    <cellStyle name="_2기lead_승구리- 코바이오SCF2003 13" xfId="1214"/>
    <cellStyle name="_2기lead_승구리- 코바이오SCF2003 14" xfId="1215"/>
    <cellStyle name="_2기lead_승구리- 코바이오SCF2003 15" xfId="1216"/>
    <cellStyle name="_2기lead_승구리- 코바이오SCF2003 16" xfId="1217"/>
    <cellStyle name="_2기lead_승구리- 코바이오SCF2003 17" xfId="1218"/>
    <cellStyle name="_2기lead_승구리- 코바이오SCF2003 18" xfId="1219"/>
    <cellStyle name="_2기lead_승구리- 코바이오SCF2003 19" xfId="1220"/>
    <cellStyle name="_2기lead_승구리- 코바이오SCF2003 2" xfId="1221"/>
    <cellStyle name="_2기lead_승구리- 코바이오SCF2003 20" xfId="1222"/>
    <cellStyle name="_2기lead_승구리- 코바이오SCF2003 21" xfId="1223"/>
    <cellStyle name="_2기lead_승구리- 코바이오SCF2003 22" xfId="1224"/>
    <cellStyle name="_2기lead_승구리- 코바이오SCF2003 23" xfId="1225"/>
    <cellStyle name="_2기lead_승구리- 코바이오SCF2003 24" xfId="1226"/>
    <cellStyle name="_2기lead_승구리- 코바이오SCF2003 25" xfId="1227"/>
    <cellStyle name="_2기lead_승구리- 코바이오SCF2003 26" xfId="1228"/>
    <cellStyle name="_2기lead_승구리- 코바이오SCF2003 27" xfId="1229"/>
    <cellStyle name="_2기lead_승구리- 코바이오SCF2003 28" xfId="1230"/>
    <cellStyle name="_2기lead_승구리- 코바이오SCF2003 29" xfId="1231"/>
    <cellStyle name="_2기lead_승구리- 코바이오SCF2003 3" xfId="1232"/>
    <cellStyle name="_2기lead_승구리- 코바이오SCF2003 30" xfId="1233"/>
    <cellStyle name="_2기lead_승구리- 코바이오SCF2003 31" xfId="1234"/>
    <cellStyle name="_2기lead_승구리- 코바이오SCF2003 32" xfId="1235"/>
    <cellStyle name="_2기lead_승구리- 코바이오SCF2003 33" xfId="1236"/>
    <cellStyle name="_2기lead_승구리- 코바이오SCF2003 34" xfId="1237"/>
    <cellStyle name="_2기lead_승구리- 코바이오SCF2003 35" xfId="1238"/>
    <cellStyle name="_2기lead_승구리- 코바이오SCF2003 36" xfId="1239"/>
    <cellStyle name="_2기lead_승구리- 코바이오SCF2003 37" xfId="1240"/>
    <cellStyle name="_2기lead_승구리- 코바이오SCF2003 38" xfId="1241"/>
    <cellStyle name="_2기lead_승구리- 코바이오SCF2003 39" xfId="1242"/>
    <cellStyle name="_2기lead_승구리- 코바이오SCF2003 4" xfId="1243"/>
    <cellStyle name="_2기lead_승구리- 코바이오SCF2003 40" xfId="1244"/>
    <cellStyle name="_2기lead_승구리- 코바이오SCF2003 41" xfId="1245"/>
    <cellStyle name="_2기lead_승구리- 코바이오SCF2003 42" xfId="1246"/>
    <cellStyle name="_2기lead_승구리- 코바이오SCF2003 43" xfId="1247"/>
    <cellStyle name="_2기lead_승구리- 코바이오SCF2003 44" xfId="1248"/>
    <cellStyle name="_2기lead_승구리- 코바이오SCF2003 45" xfId="1249"/>
    <cellStyle name="_2기lead_승구리- 코바이오SCF2003 46" xfId="1250"/>
    <cellStyle name="_2기lead_승구리- 코바이오SCF2003 47" xfId="1251"/>
    <cellStyle name="_2기lead_승구리- 코바이오SCF2003 48" xfId="1252"/>
    <cellStyle name="_2기lead_승구리- 코바이오SCF2003 49" xfId="1253"/>
    <cellStyle name="_2기lead_승구리- 코바이오SCF2003 5" xfId="1254"/>
    <cellStyle name="_2기lead_승구리- 코바이오SCF2003 50" xfId="1255"/>
    <cellStyle name="_2기lead_승구리- 코바이오SCF2003 51" xfId="1256"/>
    <cellStyle name="_2기lead_승구리- 코바이오SCF2003 52" xfId="1257"/>
    <cellStyle name="_2기lead_승구리- 코바이오SCF2003 53" xfId="1258"/>
    <cellStyle name="_2기lead_승구리- 코바이오SCF2003 54" xfId="1259"/>
    <cellStyle name="_2기lead_승구리- 코바이오SCF2003 55" xfId="1260"/>
    <cellStyle name="_2기lead_승구리- 코바이오SCF2003 56" xfId="1261"/>
    <cellStyle name="_2기lead_승구리- 코바이오SCF2003 57" xfId="1262"/>
    <cellStyle name="_2기lead_승구리- 코바이오SCF2003 58" xfId="1263"/>
    <cellStyle name="_2기lead_승구리- 코바이오SCF2003 59" xfId="1264"/>
    <cellStyle name="_2기lead_승구리- 코바이오SCF2003 6" xfId="1265"/>
    <cellStyle name="_2기lead_승구리- 코바이오SCF2003 60" xfId="1266"/>
    <cellStyle name="_2기lead_승구리- 코바이오SCF2003 61" xfId="1267"/>
    <cellStyle name="_2기lead_승구리- 코바이오SCF2003 62" xfId="1268"/>
    <cellStyle name="_2기lead_승구리- 코바이오SCF2003 63" xfId="1269"/>
    <cellStyle name="_2기lead_승구리- 코바이오SCF2003 7" xfId="1270"/>
    <cellStyle name="_2기lead_승구리- 코바이오SCF2003 8" xfId="1271"/>
    <cellStyle name="_2기lead_승구리- 코바이오SCF2003 9" xfId="1272"/>
    <cellStyle name="_2기리드" xfId="894"/>
    <cellStyle name="_30.잡손실" xfId="1273"/>
    <cellStyle name="_32.관계사" xfId="1274"/>
    <cellStyle name="_3월 마진인상효과" xfId="1275"/>
    <cellStyle name="_4기 감사" xfId="1276"/>
    <cellStyle name="_4기 감사 10" xfId="1277"/>
    <cellStyle name="_4기 감사 11" xfId="1278"/>
    <cellStyle name="_4기 감사 12" xfId="1279"/>
    <cellStyle name="_4기 감사 13" xfId="1280"/>
    <cellStyle name="_4기 감사 14" xfId="1281"/>
    <cellStyle name="_4기 감사 15" xfId="1282"/>
    <cellStyle name="_4기 감사 16" xfId="1283"/>
    <cellStyle name="_4기 감사 17" xfId="1284"/>
    <cellStyle name="_4기 감사 18" xfId="1285"/>
    <cellStyle name="_4기 감사 19" xfId="1286"/>
    <cellStyle name="_4기 감사 2" xfId="1287"/>
    <cellStyle name="_4기 감사 20" xfId="1288"/>
    <cellStyle name="_4기 감사 21" xfId="1289"/>
    <cellStyle name="_4기 감사 22" xfId="1290"/>
    <cellStyle name="_4기 감사 23" xfId="1291"/>
    <cellStyle name="_4기 감사 24" xfId="1292"/>
    <cellStyle name="_4기 감사 25" xfId="1293"/>
    <cellStyle name="_4기 감사 26" xfId="1294"/>
    <cellStyle name="_4기 감사 27" xfId="1295"/>
    <cellStyle name="_4기 감사 28" xfId="1296"/>
    <cellStyle name="_4기 감사 29" xfId="1297"/>
    <cellStyle name="_4기 감사 3" xfId="1298"/>
    <cellStyle name="_4기 감사 30" xfId="1299"/>
    <cellStyle name="_4기 감사 31" xfId="1300"/>
    <cellStyle name="_4기 감사 32" xfId="1301"/>
    <cellStyle name="_4기 감사 33" xfId="1302"/>
    <cellStyle name="_4기 감사 34" xfId="1303"/>
    <cellStyle name="_4기 감사 35" xfId="1304"/>
    <cellStyle name="_4기 감사 36" xfId="1305"/>
    <cellStyle name="_4기 감사 37" xfId="1306"/>
    <cellStyle name="_4기 감사 38" xfId="1307"/>
    <cellStyle name="_4기 감사 39" xfId="1308"/>
    <cellStyle name="_4기 감사 4" xfId="1309"/>
    <cellStyle name="_4기 감사 40" xfId="1310"/>
    <cellStyle name="_4기 감사 41" xfId="1311"/>
    <cellStyle name="_4기 감사 42" xfId="1312"/>
    <cellStyle name="_4기 감사 43" xfId="1313"/>
    <cellStyle name="_4기 감사 44" xfId="1314"/>
    <cellStyle name="_4기 감사 45" xfId="1315"/>
    <cellStyle name="_4기 감사 46" xfId="1316"/>
    <cellStyle name="_4기 감사 47" xfId="1317"/>
    <cellStyle name="_4기 감사 48" xfId="1318"/>
    <cellStyle name="_4기 감사 49" xfId="1319"/>
    <cellStyle name="_4기 감사 5" xfId="1320"/>
    <cellStyle name="_4기 감사 50" xfId="1321"/>
    <cellStyle name="_4기 감사 51" xfId="1322"/>
    <cellStyle name="_4기 감사 52" xfId="1323"/>
    <cellStyle name="_4기 감사 53" xfId="1324"/>
    <cellStyle name="_4기 감사 54" xfId="1325"/>
    <cellStyle name="_4기 감사 55" xfId="1326"/>
    <cellStyle name="_4기 감사 56" xfId="1327"/>
    <cellStyle name="_4기 감사 57" xfId="1328"/>
    <cellStyle name="_4기 감사 58" xfId="1329"/>
    <cellStyle name="_4기 감사 59" xfId="1330"/>
    <cellStyle name="_4기 감사 6" xfId="1331"/>
    <cellStyle name="_4기 감사 60" xfId="1332"/>
    <cellStyle name="_4기 감사 61" xfId="1333"/>
    <cellStyle name="_4기 감사 62" xfId="1334"/>
    <cellStyle name="_4기 감사 63" xfId="1335"/>
    <cellStyle name="_4기 감사 7" xfId="1336"/>
    <cellStyle name="_4기 감사 8" xfId="1337"/>
    <cellStyle name="_4기 감사 9" xfId="1338"/>
    <cellStyle name="_4기 감사_04FS_KID산업" xfId="1339"/>
    <cellStyle name="_4기 감사_04FS_KID산업 10" xfId="1340"/>
    <cellStyle name="_4기 감사_04FS_KID산업 11" xfId="1341"/>
    <cellStyle name="_4기 감사_04FS_KID산업 12" xfId="1342"/>
    <cellStyle name="_4기 감사_04FS_KID산업 13" xfId="1343"/>
    <cellStyle name="_4기 감사_04FS_KID산업 14" xfId="1344"/>
    <cellStyle name="_4기 감사_04FS_KID산업 15" xfId="1345"/>
    <cellStyle name="_4기 감사_04FS_KID산업 16" xfId="1346"/>
    <cellStyle name="_4기 감사_04FS_KID산업 17" xfId="1347"/>
    <cellStyle name="_4기 감사_04FS_KID산업 18" xfId="1348"/>
    <cellStyle name="_4기 감사_04FS_KID산업 19" xfId="1349"/>
    <cellStyle name="_4기 감사_04FS_KID산업 2" xfId="1350"/>
    <cellStyle name="_4기 감사_04FS_KID산업 20" xfId="1351"/>
    <cellStyle name="_4기 감사_04FS_KID산업 21" xfId="1352"/>
    <cellStyle name="_4기 감사_04FS_KID산업 22" xfId="1353"/>
    <cellStyle name="_4기 감사_04FS_KID산업 23" xfId="1354"/>
    <cellStyle name="_4기 감사_04FS_KID산업 24" xfId="1355"/>
    <cellStyle name="_4기 감사_04FS_KID산업 25" xfId="1356"/>
    <cellStyle name="_4기 감사_04FS_KID산업 26" xfId="1357"/>
    <cellStyle name="_4기 감사_04FS_KID산업 27" xfId="1358"/>
    <cellStyle name="_4기 감사_04FS_KID산업 28" xfId="1359"/>
    <cellStyle name="_4기 감사_04FS_KID산업 29" xfId="1360"/>
    <cellStyle name="_4기 감사_04FS_KID산업 3" xfId="1361"/>
    <cellStyle name="_4기 감사_04FS_KID산업 30" xfId="1362"/>
    <cellStyle name="_4기 감사_04FS_KID산업 31" xfId="1363"/>
    <cellStyle name="_4기 감사_04FS_KID산업 32" xfId="1364"/>
    <cellStyle name="_4기 감사_04FS_KID산업 33" xfId="1365"/>
    <cellStyle name="_4기 감사_04FS_KID산업 34" xfId="1366"/>
    <cellStyle name="_4기 감사_04FS_KID산업 35" xfId="1367"/>
    <cellStyle name="_4기 감사_04FS_KID산업 36" xfId="1368"/>
    <cellStyle name="_4기 감사_04FS_KID산업 37" xfId="1369"/>
    <cellStyle name="_4기 감사_04FS_KID산업 38" xfId="1370"/>
    <cellStyle name="_4기 감사_04FS_KID산업 39" xfId="1371"/>
    <cellStyle name="_4기 감사_04FS_KID산업 4" xfId="1372"/>
    <cellStyle name="_4기 감사_04FS_KID산업 40" xfId="1373"/>
    <cellStyle name="_4기 감사_04FS_KID산업 41" xfId="1374"/>
    <cellStyle name="_4기 감사_04FS_KID산업 42" xfId="1375"/>
    <cellStyle name="_4기 감사_04FS_KID산업 43" xfId="1376"/>
    <cellStyle name="_4기 감사_04FS_KID산업 44" xfId="1377"/>
    <cellStyle name="_4기 감사_04FS_KID산업 45" xfId="1378"/>
    <cellStyle name="_4기 감사_04FS_KID산업 46" xfId="1379"/>
    <cellStyle name="_4기 감사_04FS_KID산업 47" xfId="1380"/>
    <cellStyle name="_4기 감사_04FS_KID산업 48" xfId="1381"/>
    <cellStyle name="_4기 감사_04FS_KID산업 49" xfId="1382"/>
    <cellStyle name="_4기 감사_04FS_KID산업 5" xfId="1383"/>
    <cellStyle name="_4기 감사_04FS_KID산업 50" xfId="1384"/>
    <cellStyle name="_4기 감사_04FS_KID산업 51" xfId="1385"/>
    <cellStyle name="_4기 감사_04FS_KID산업 52" xfId="1386"/>
    <cellStyle name="_4기 감사_04FS_KID산업 53" xfId="1387"/>
    <cellStyle name="_4기 감사_04FS_KID산업 54" xfId="1388"/>
    <cellStyle name="_4기 감사_04FS_KID산업 55" xfId="1389"/>
    <cellStyle name="_4기 감사_04FS_KID산업 56" xfId="1390"/>
    <cellStyle name="_4기 감사_04FS_KID산업 57" xfId="1391"/>
    <cellStyle name="_4기 감사_04FS_KID산업 58" xfId="1392"/>
    <cellStyle name="_4기 감사_04FS_KID산업 59" xfId="1393"/>
    <cellStyle name="_4기 감사_04FS_KID산업 6" xfId="1394"/>
    <cellStyle name="_4기 감사_04FS_KID산업 60" xfId="1395"/>
    <cellStyle name="_4기 감사_04FS_KID산업 61" xfId="1396"/>
    <cellStyle name="_4기 감사_04FS_KID산업 62" xfId="1397"/>
    <cellStyle name="_4기 감사_04FS_KID산업 63" xfId="1398"/>
    <cellStyle name="_4기 감사_04FS_KID산업 7" xfId="1399"/>
    <cellStyle name="_4기 감사_04FS_KID산업 8" xfId="1400"/>
    <cellStyle name="_4기 감사_04FS_KID산업 9" xfId="1401"/>
    <cellStyle name="_4기 감사_2261-2  WTB_KTC_06기말의 워크시트" xfId="1402"/>
    <cellStyle name="_4기 감사_2261-2  WTB_KTC_06기말의 워크시트 10" xfId="1403"/>
    <cellStyle name="_4기 감사_2261-2  WTB_KTC_06기말의 워크시트 11" xfId="1404"/>
    <cellStyle name="_4기 감사_2261-2  WTB_KTC_06기말의 워크시트 12" xfId="1405"/>
    <cellStyle name="_4기 감사_2261-2  WTB_KTC_06기말의 워크시트 13" xfId="1406"/>
    <cellStyle name="_4기 감사_2261-2  WTB_KTC_06기말의 워크시트 14" xfId="1407"/>
    <cellStyle name="_4기 감사_2261-2  WTB_KTC_06기말의 워크시트 15" xfId="1408"/>
    <cellStyle name="_4기 감사_2261-2  WTB_KTC_06기말의 워크시트 16" xfId="1409"/>
    <cellStyle name="_4기 감사_2261-2  WTB_KTC_06기말의 워크시트 17" xfId="1410"/>
    <cellStyle name="_4기 감사_2261-2  WTB_KTC_06기말의 워크시트 18" xfId="1411"/>
    <cellStyle name="_4기 감사_2261-2  WTB_KTC_06기말의 워크시트 19" xfId="1412"/>
    <cellStyle name="_4기 감사_2261-2  WTB_KTC_06기말의 워크시트 2" xfId="1413"/>
    <cellStyle name="_4기 감사_2261-2  WTB_KTC_06기말의 워크시트 20" xfId="1414"/>
    <cellStyle name="_4기 감사_2261-2  WTB_KTC_06기말의 워크시트 21" xfId="1415"/>
    <cellStyle name="_4기 감사_2261-2  WTB_KTC_06기말의 워크시트 22" xfId="1416"/>
    <cellStyle name="_4기 감사_2261-2  WTB_KTC_06기말의 워크시트 23" xfId="1417"/>
    <cellStyle name="_4기 감사_2261-2  WTB_KTC_06기말의 워크시트 24" xfId="1418"/>
    <cellStyle name="_4기 감사_2261-2  WTB_KTC_06기말의 워크시트 25" xfId="1419"/>
    <cellStyle name="_4기 감사_2261-2  WTB_KTC_06기말의 워크시트 26" xfId="1420"/>
    <cellStyle name="_4기 감사_2261-2  WTB_KTC_06기말의 워크시트 27" xfId="1421"/>
    <cellStyle name="_4기 감사_2261-2  WTB_KTC_06기말의 워크시트 28" xfId="1422"/>
    <cellStyle name="_4기 감사_2261-2  WTB_KTC_06기말의 워크시트 29" xfId="1423"/>
    <cellStyle name="_4기 감사_2261-2  WTB_KTC_06기말의 워크시트 3" xfId="1424"/>
    <cellStyle name="_4기 감사_2261-2  WTB_KTC_06기말의 워크시트 30" xfId="1425"/>
    <cellStyle name="_4기 감사_2261-2  WTB_KTC_06기말의 워크시트 31" xfId="1426"/>
    <cellStyle name="_4기 감사_2261-2  WTB_KTC_06기말의 워크시트 32" xfId="1427"/>
    <cellStyle name="_4기 감사_2261-2  WTB_KTC_06기말의 워크시트 33" xfId="1428"/>
    <cellStyle name="_4기 감사_2261-2  WTB_KTC_06기말의 워크시트 34" xfId="1429"/>
    <cellStyle name="_4기 감사_2261-2  WTB_KTC_06기말의 워크시트 35" xfId="1430"/>
    <cellStyle name="_4기 감사_2261-2  WTB_KTC_06기말의 워크시트 36" xfId="1431"/>
    <cellStyle name="_4기 감사_2261-2  WTB_KTC_06기말의 워크시트 37" xfId="1432"/>
    <cellStyle name="_4기 감사_2261-2  WTB_KTC_06기말의 워크시트 38" xfId="1433"/>
    <cellStyle name="_4기 감사_2261-2  WTB_KTC_06기말의 워크시트 39" xfId="1434"/>
    <cellStyle name="_4기 감사_2261-2  WTB_KTC_06기말의 워크시트 4" xfId="1435"/>
    <cellStyle name="_4기 감사_2261-2  WTB_KTC_06기말의 워크시트 40" xfId="1436"/>
    <cellStyle name="_4기 감사_2261-2  WTB_KTC_06기말의 워크시트 41" xfId="1437"/>
    <cellStyle name="_4기 감사_2261-2  WTB_KTC_06기말의 워크시트 42" xfId="1438"/>
    <cellStyle name="_4기 감사_2261-2  WTB_KTC_06기말의 워크시트 43" xfId="1439"/>
    <cellStyle name="_4기 감사_2261-2  WTB_KTC_06기말의 워크시트 44" xfId="1440"/>
    <cellStyle name="_4기 감사_2261-2  WTB_KTC_06기말의 워크시트 45" xfId="1441"/>
    <cellStyle name="_4기 감사_2261-2  WTB_KTC_06기말의 워크시트 46" xfId="1442"/>
    <cellStyle name="_4기 감사_2261-2  WTB_KTC_06기말의 워크시트 47" xfId="1443"/>
    <cellStyle name="_4기 감사_2261-2  WTB_KTC_06기말의 워크시트 48" xfId="1444"/>
    <cellStyle name="_4기 감사_2261-2  WTB_KTC_06기말의 워크시트 49" xfId="1445"/>
    <cellStyle name="_4기 감사_2261-2  WTB_KTC_06기말의 워크시트 5" xfId="1446"/>
    <cellStyle name="_4기 감사_2261-2  WTB_KTC_06기말의 워크시트 50" xfId="1447"/>
    <cellStyle name="_4기 감사_2261-2  WTB_KTC_06기말의 워크시트 51" xfId="1448"/>
    <cellStyle name="_4기 감사_2261-2  WTB_KTC_06기말의 워크시트 52" xfId="1449"/>
    <cellStyle name="_4기 감사_2261-2  WTB_KTC_06기말의 워크시트 53" xfId="1450"/>
    <cellStyle name="_4기 감사_2261-2  WTB_KTC_06기말의 워크시트 54" xfId="1451"/>
    <cellStyle name="_4기 감사_2261-2  WTB_KTC_06기말의 워크시트 55" xfId="1452"/>
    <cellStyle name="_4기 감사_2261-2  WTB_KTC_06기말의 워크시트 56" xfId="1453"/>
    <cellStyle name="_4기 감사_2261-2  WTB_KTC_06기말의 워크시트 57" xfId="1454"/>
    <cellStyle name="_4기 감사_2261-2  WTB_KTC_06기말의 워크시트 58" xfId="1455"/>
    <cellStyle name="_4기 감사_2261-2  WTB_KTC_06기말의 워크시트 59" xfId="1456"/>
    <cellStyle name="_4기 감사_2261-2  WTB_KTC_06기말의 워크시트 6" xfId="1457"/>
    <cellStyle name="_4기 감사_2261-2  WTB_KTC_06기말의 워크시트 60" xfId="1458"/>
    <cellStyle name="_4기 감사_2261-2  WTB_KTC_06기말의 워크시트 61" xfId="1459"/>
    <cellStyle name="_4기 감사_2261-2  WTB_KTC_06기말의 워크시트 62" xfId="1460"/>
    <cellStyle name="_4기 감사_2261-2  WTB_KTC_06기말의 워크시트 63" xfId="1461"/>
    <cellStyle name="_4기 감사_2261-2  WTB_KTC_06기말의 워크시트 7" xfId="1462"/>
    <cellStyle name="_4기 감사_2261-2  WTB_KTC_06기말의 워크시트 8" xfId="1463"/>
    <cellStyle name="_4기 감사_2261-2  WTB_KTC_06기말의 워크시트 9" xfId="1464"/>
    <cellStyle name="_4기 감사_대차손익(20070331)_kjh" xfId="1465"/>
    <cellStyle name="_4기 감사_대차손익(20070331)_kjh 10" xfId="1466"/>
    <cellStyle name="_4기 감사_대차손익(20070331)_kjh 11" xfId="1467"/>
    <cellStyle name="_4기 감사_대차손익(20070331)_kjh 12" xfId="1468"/>
    <cellStyle name="_4기 감사_대차손익(20070331)_kjh 13" xfId="1469"/>
    <cellStyle name="_4기 감사_대차손익(20070331)_kjh 14" xfId="1470"/>
    <cellStyle name="_4기 감사_대차손익(20070331)_kjh 15" xfId="1471"/>
    <cellStyle name="_4기 감사_대차손익(20070331)_kjh 16" xfId="1472"/>
    <cellStyle name="_4기 감사_대차손익(20070331)_kjh 17" xfId="1473"/>
    <cellStyle name="_4기 감사_대차손익(20070331)_kjh 18" xfId="1474"/>
    <cellStyle name="_4기 감사_대차손익(20070331)_kjh 19" xfId="1475"/>
    <cellStyle name="_4기 감사_대차손익(20070331)_kjh 2" xfId="1476"/>
    <cellStyle name="_4기 감사_대차손익(20070331)_kjh 20" xfId="1477"/>
    <cellStyle name="_4기 감사_대차손익(20070331)_kjh 21" xfId="1478"/>
    <cellStyle name="_4기 감사_대차손익(20070331)_kjh 22" xfId="1479"/>
    <cellStyle name="_4기 감사_대차손익(20070331)_kjh 23" xfId="1480"/>
    <cellStyle name="_4기 감사_대차손익(20070331)_kjh 24" xfId="1481"/>
    <cellStyle name="_4기 감사_대차손익(20070331)_kjh 25" xfId="1482"/>
    <cellStyle name="_4기 감사_대차손익(20070331)_kjh 26" xfId="1483"/>
    <cellStyle name="_4기 감사_대차손익(20070331)_kjh 27" xfId="1484"/>
    <cellStyle name="_4기 감사_대차손익(20070331)_kjh 28" xfId="1485"/>
    <cellStyle name="_4기 감사_대차손익(20070331)_kjh 29" xfId="1486"/>
    <cellStyle name="_4기 감사_대차손익(20070331)_kjh 3" xfId="1487"/>
    <cellStyle name="_4기 감사_대차손익(20070331)_kjh 30" xfId="1488"/>
    <cellStyle name="_4기 감사_대차손익(20070331)_kjh 31" xfId="1489"/>
    <cellStyle name="_4기 감사_대차손익(20070331)_kjh 32" xfId="1490"/>
    <cellStyle name="_4기 감사_대차손익(20070331)_kjh 33" xfId="1491"/>
    <cellStyle name="_4기 감사_대차손익(20070331)_kjh 34" xfId="1492"/>
    <cellStyle name="_4기 감사_대차손익(20070331)_kjh 35" xfId="1493"/>
    <cellStyle name="_4기 감사_대차손익(20070331)_kjh 36" xfId="1494"/>
    <cellStyle name="_4기 감사_대차손익(20070331)_kjh 37" xfId="1495"/>
    <cellStyle name="_4기 감사_대차손익(20070331)_kjh 38" xfId="1496"/>
    <cellStyle name="_4기 감사_대차손익(20070331)_kjh 39" xfId="1497"/>
    <cellStyle name="_4기 감사_대차손익(20070331)_kjh 4" xfId="1498"/>
    <cellStyle name="_4기 감사_대차손익(20070331)_kjh 40" xfId="1499"/>
    <cellStyle name="_4기 감사_대차손익(20070331)_kjh 41" xfId="1500"/>
    <cellStyle name="_4기 감사_대차손익(20070331)_kjh 42" xfId="1501"/>
    <cellStyle name="_4기 감사_대차손익(20070331)_kjh 43" xfId="1502"/>
    <cellStyle name="_4기 감사_대차손익(20070331)_kjh 44" xfId="1503"/>
    <cellStyle name="_4기 감사_대차손익(20070331)_kjh 45" xfId="1504"/>
    <cellStyle name="_4기 감사_대차손익(20070331)_kjh 46" xfId="1505"/>
    <cellStyle name="_4기 감사_대차손익(20070331)_kjh 47" xfId="1506"/>
    <cellStyle name="_4기 감사_대차손익(20070331)_kjh 48" xfId="1507"/>
    <cellStyle name="_4기 감사_대차손익(20070331)_kjh 49" xfId="1508"/>
    <cellStyle name="_4기 감사_대차손익(20070331)_kjh 5" xfId="1509"/>
    <cellStyle name="_4기 감사_대차손익(20070331)_kjh 50" xfId="1510"/>
    <cellStyle name="_4기 감사_대차손익(20070331)_kjh 51" xfId="1511"/>
    <cellStyle name="_4기 감사_대차손익(20070331)_kjh 52" xfId="1512"/>
    <cellStyle name="_4기 감사_대차손익(20070331)_kjh 53" xfId="1513"/>
    <cellStyle name="_4기 감사_대차손익(20070331)_kjh 54" xfId="1514"/>
    <cellStyle name="_4기 감사_대차손익(20070331)_kjh 55" xfId="1515"/>
    <cellStyle name="_4기 감사_대차손익(20070331)_kjh 56" xfId="1516"/>
    <cellStyle name="_4기 감사_대차손익(20070331)_kjh 57" xfId="1517"/>
    <cellStyle name="_4기 감사_대차손익(20070331)_kjh 58" xfId="1518"/>
    <cellStyle name="_4기 감사_대차손익(20070331)_kjh 59" xfId="1519"/>
    <cellStyle name="_4기 감사_대차손익(20070331)_kjh 6" xfId="1520"/>
    <cellStyle name="_4기 감사_대차손익(20070331)_kjh 60" xfId="1521"/>
    <cellStyle name="_4기 감사_대차손익(20070331)_kjh 61" xfId="1522"/>
    <cellStyle name="_4기 감사_대차손익(20070331)_kjh 62" xfId="1523"/>
    <cellStyle name="_4기 감사_대차손익(20070331)_kjh 63" xfId="1524"/>
    <cellStyle name="_4기 감사_대차손익(20070331)_kjh 7" xfId="1525"/>
    <cellStyle name="_4기 감사_대차손익(20070331)_kjh 8" xfId="1526"/>
    <cellStyle name="_4기 감사_대차손익(20070331)_kjh 9" xfId="1527"/>
    <cellStyle name="_4기 세무조정" xfId="1528"/>
    <cellStyle name="_4기 세무조정 10" xfId="1529"/>
    <cellStyle name="_4기 세무조정 11" xfId="1530"/>
    <cellStyle name="_4기 세무조정 12" xfId="1531"/>
    <cellStyle name="_4기 세무조정 13" xfId="1532"/>
    <cellStyle name="_4기 세무조정 14" xfId="1533"/>
    <cellStyle name="_4기 세무조정 15" xfId="1534"/>
    <cellStyle name="_4기 세무조정 16" xfId="1535"/>
    <cellStyle name="_4기 세무조정 17" xfId="1536"/>
    <cellStyle name="_4기 세무조정 18" xfId="1537"/>
    <cellStyle name="_4기 세무조정 19" xfId="1538"/>
    <cellStyle name="_4기 세무조정 2" xfId="1539"/>
    <cellStyle name="_4기 세무조정 20" xfId="1540"/>
    <cellStyle name="_4기 세무조정 21" xfId="1541"/>
    <cellStyle name="_4기 세무조정 22" xfId="1542"/>
    <cellStyle name="_4기 세무조정 23" xfId="1543"/>
    <cellStyle name="_4기 세무조정 24" xfId="1544"/>
    <cellStyle name="_4기 세무조정 25" xfId="1545"/>
    <cellStyle name="_4기 세무조정 26" xfId="1546"/>
    <cellStyle name="_4기 세무조정 27" xfId="1547"/>
    <cellStyle name="_4기 세무조정 28" xfId="1548"/>
    <cellStyle name="_4기 세무조정 29" xfId="1549"/>
    <cellStyle name="_4기 세무조정 3" xfId="1550"/>
    <cellStyle name="_4기 세무조정 30" xfId="1551"/>
    <cellStyle name="_4기 세무조정 31" xfId="1552"/>
    <cellStyle name="_4기 세무조정 32" xfId="1553"/>
    <cellStyle name="_4기 세무조정 33" xfId="1554"/>
    <cellStyle name="_4기 세무조정 34" xfId="1555"/>
    <cellStyle name="_4기 세무조정 35" xfId="1556"/>
    <cellStyle name="_4기 세무조정 36" xfId="1557"/>
    <cellStyle name="_4기 세무조정 37" xfId="1558"/>
    <cellStyle name="_4기 세무조정 38" xfId="1559"/>
    <cellStyle name="_4기 세무조정 39" xfId="1560"/>
    <cellStyle name="_4기 세무조정 4" xfId="1561"/>
    <cellStyle name="_4기 세무조정 40" xfId="1562"/>
    <cellStyle name="_4기 세무조정 41" xfId="1563"/>
    <cellStyle name="_4기 세무조정 42" xfId="1564"/>
    <cellStyle name="_4기 세무조정 43" xfId="1565"/>
    <cellStyle name="_4기 세무조정 44" xfId="1566"/>
    <cellStyle name="_4기 세무조정 45" xfId="1567"/>
    <cellStyle name="_4기 세무조정 46" xfId="1568"/>
    <cellStyle name="_4기 세무조정 47" xfId="1569"/>
    <cellStyle name="_4기 세무조정 48" xfId="1570"/>
    <cellStyle name="_4기 세무조정 49" xfId="1571"/>
    <cellStyle name="_4기 세무조정 5" xfId="1572"/>
    <cellStyle name="_4기 세무조정 50" xfId="1573"/>
    <cellStyle name="_4기 세무조정 51" xfId="1574"/>
    <cellStyle name="_4기 세무조정 52" xfId="1575"/>
    <cellStyle name="_4기 세무조정 53" xfId="1576"/>
    <cellStyle name="_4기 세무조정 54" xfId="1577"/>
    <cellStyle name="_4기 세무조정 55" xfId="1578"/>
    <cellStyle name="_4기 세무조정 56" xfId="1579"/>
    <cellStyle name="_4기 세무조정 57" xfId="1580"/>
    <cellStyle name="_4기 세무조정 58" xfId="1581"/>
    <cellStyle name="_4기 세무조정 59" xfId="1582"/>
    <cellStyle name="_4기 세무조정 6" xfId="1583"/>
    <cellStyle name="_4기 세무조정 60" xfId="1584"/>
    <cellStyle name="_4기 세무조정 61" xfId="1585"/>
    <cellStyle name="_4기 세무조정 62" xfId="1586"/>
    <cellStyle name="_4기 세무조정 63" xfId="1587"/>
    <cellStyle name="_4기 세무조정 7" xfId="1588"/>
    <cellStyle name="_4기 세무조정 8" xfId="1589"/>
    <cellStyle name="_4기 세무조정 9" xfId="1590"/>
    <cellStyle name="_4기 세무조정_04FS_KID산업" xfId="1591"/>
    <cellStyle name="_4기 세무조정_04FS_KID산업 10" xfId="1592"/>
    <cellStyle name="_4기 세무조정_04FS_KID산업 11" xfId="1593"/>
    <cellStyle name="_4기 세무조정_04FS_KID산업 12" xfId="1594"/>
    <cellStyle name="_4기 세무조정_04FS_KID산업 13" xfId="1595"/>
    <cellStyle name="_4기 세무조정_04FS_KID산업 14" xfId="1596"/>
    <cellStyle name="_4기 세무조정_04FS_KID산업 15" xfId="1597"/>
    <cellStyle name="_4기 세무조정_04FS_KID산업 16" xfId="1598"/>
    <cellStyle name="_4기 세무조정_04FS_KID산업 17" xfId="1599"/>
    <cellStyle name="_4기 세무조정_04FS_KID산업 18" xfId="1600"/>
    <cellStyle name="_4기 세무조정_04FS_KID산업 19" xfId="1601"/>
    <cellStyle name="_4기 세무조정_04FS_KID산업 2" xfId="1602"/>
    <cellStyle name="_4기 세무조정_04FS_KID산업 20" xfId="1603"/>
    <cellStyle name="_4기 세무조정_04FS_KID산업 21" xfId="1604"/>
    <cellStyle name="_4기 세무조정_04FS_KID산업 22" xfId="1605"/>
    <cellStyle name="_4기 세무조정_04FS_KID산업 23" xfId="1606"/>
    <cellStyle name="_4기 세무조정_04FS_KID산업 24" xfId="1607"/>
    <cellStyle name="_4기 세무조정_04FS_KID산업 25" xfId="1608"/>
    <cellStyle name="_4기 세무조정_04FS_KID산업 26" xfId="1609"/>
    <cellStyle name="_4기 세무조정_04FS_KID산업 27" xfId="1610"/>
    <cellStyle name="_4기 세무조정_04FS_KID산업 28" xfId="1611"/>
    <cellStyle name="_4기 세무조정_04FS_KID산업 29" xfId="1612"/>
    <cellStyle name="_4기 세무조정_04FS_KID산업 3" xfId="1613"/>
    <cellStyle name="_4기 세무조정_04FS_KID산업 30" xfId="1614"/>
    <cellStyle name="_4기 세무조정_04FS_KID산업 31" xfId="1615"/>
    <cellStyle name="_4기 세무조정_04FS_KID산업 32" xfId="1616"/>
    <cellStyle name="_4기 세무조정_04FS_KID산업 33" xfId="1617"/>
    <cellStyle name="_4기 세무조정_04FS_KID산업 34" xfId="1618"/>
    <cellStyle name="_4기 세무조정_04FS_KID산업 35" xfId="1619"/>
    <cellStyle name="_4기 세무조정_04FS_KID산업 36" xfId="1620"/>
    <cellStyle name="_4기 세무조정_04FS_KID산업 37" xfId="1621"/>
    <cellStyle name="_4기 세무조정_04FS_KID산업 38" xfId="1622"/>
    <cellStyle name="_4기 세무조정_04FS_KID산업 39" xfId="1623"/>
    <cellStyle name="_4기 세무조정_04FS_KID산업 4" xfId="1624"/>
    <cellStyle name="_4기 세무조정_04FS_KID산업 40" xfId="1625"/>
    <cellStyle name="_4기 세무조정_04FS_KID산업 41" xfId="1626"/>
    <cellStyle name="_4기 세무조정_04FS_KID산업 42" xfId="1627"/>
    <cellStyle name="_4기 세무조정_04FS_KID산업 43" xfId="1628"/>
    <cellStyle name="_4기 세무조정_04FS_KID산업 44" xfId="1629"/>
    <cellStyle name="_4기 세무조정_04FS_KID산업 45" xfId="1630"/>
    <cellStyle name="_4기 세무조정_04FS_KID산업 46" xfId="1631"/>
    <cellStyle name="_4기 세무조정_04FS_KID산업 47" xfId="1632"/>
    <cellStyle name="_4기 세무조정_04FS_KID산업 48" xfId="1633"/>
    <cellStyle name="_4기 세무조정_04FS_KID산업 49" xfId="1634"/>
    <cellStyle name="_4기 세무조정_04FS_KID산업 5" xfId="1635"/>
    <cellStyle name="_4기 세무조정_04FS_KID산업 50" xfId="1636"/>
    <cellStyle name="_4기 세무조정_04FS_KID산업 51" xfId="1637"/>
    <cellStyle name="_4기 세무조정_04FS_KID산업 52" xfId="1638"/>
    <cellStyle name="_4기 세무조정_04FS_KID산업 53" xfId="1639"/>
    <cellStyle name="_4기 세무조정_04FS_KID산업 54" xfId="1640"/>
    <cellStyle name="_4기 세무조정_04FS_KID산업 55" xfId="1641"/>
    <cellStyle name="_4기 세무조정_04FS_KID산업 56" xfId="1642"/>
    <cellStyle name="_4기 세무조정_04FS_KID산업 57" xfId="1643"/>
    <cellStyle name="_4기 세무조정_04FS_KID산업 58" xfId="1644"/>
    <cellStyle name="_4기 세무조정_04FS_KID산업 59" xfId="1645"/>
    <cellStyle name="_4기 세무조정_04FS_KID산업 6" xfId="1646"/>
    <cellStyle name="_4기 세무조정_04FS_KID산업 60" xfId="1647"/>
    <cellStyle name="_4기 세무조정_04FS_KID산업 61" xfId="1648"/>
    <cellStyle name="_4기 세무조정_04FS_KID산업 62" xfId="1649"/>
    <cellStyle name="_4기 세무조정_04FS_KID산업 63" xfId="1650"/>
    <cellStyle name="_4기 세무조정_04FS_KID산업 7" xfId="1651"/>
    <cellStyle name="_4기 세무조정_04FS_KID산업 8" xfId="1652"/>
    <cellStyle name="_4기 세무조정_04FS_KID산업 9" xfId="1653"/>
    <cellStyle name="_4기 세무조정_2261-2  WTB_KTC_06기말의 워크시트" xfId="1654"/>
    <cellStyle name="_4기 세무조정_2261-2  WTB_KTC_06기말의 워크시트 10" xfId="1655"/>
    <cellStyle name="_4기 세무조정_2261-2  WTB_KTC_06기말의 워크시트 11" xfId="1656"/>
    <cellStyle name="_4기 세무조정_2261-2  WTB_KTC_06기말의 워크시트 12" xfId="1657"/>
    <cellStyle name="_4기 세무조정_2261-2  WTB_KTC_06기말의 워크시트 13" xfId="1658"/>
    <cellStyle name="_4기 세무조정_2261-2  WTB_KTC_06기말의 워크시트 14" xfId="1659"/>
    <cellStyle name="_4기 세무조정_2261-2  WTB_KTC_06기말의 워크시트 15" xfId="1660"/>
    <cellStyle name="_4기 세무조정_2261-2  WTB_KTC_06기말의 워크시트 16" xfId="1661"/>
    <cellStyle name="_4기 세무조정_2261-2  WTB_KTC_06기말의 워크시트 17" xfId="1662"/>
    <cellStyle name="_4기 세무조정_2261-2  WTB_KTC_06기말의 워크시트 18" xfId="1663"/>
    <cellStyle name="_4기 세무조정_2261-2  WTB_KTC_06기말의 워크시트 19" xfId="1664"/>
    <cellStyle name="_4기 세무조정_2261-2  WTB_KTC_06기말의 워크시트 2" xfId="1665"/>
    <cellStyle name="_4기 세무조정_2261-2  WTB_KTC_06기말의 워크시트 20" xfId="1666"/>
    <cellStyle name="_4기 세무조정_2261-2  WTB_KTC_06기말의 워크시트 21" xfId="1667"/>
    <cellStyle name="_4기 세무조정_2261-2  WTB_KTC_06기말의 워크시트 22" xfId="1668"/>
    <cellStyle name="_4기 세무조정_2261-2  WTB_KTC_06기말의 워크시트 23" xfId="1669"/>
    <cellStyle name="_4기 세무조정_2261-2  WTB_KTC_06기말의 워크시트 24" xfId="1670"/>
    <cellStyle name="_4기 세무조정_2261-2  WTB_KTC_06기말의 워크시트 25" xfId="1671"/>
    <cellStyle name="_4기 세무조정_2261-2  WTB_KTC_06기말의 워크시트 26" xfId="1672"/>
    <cellStyle name="_4기 세무조정_2261-2  WTB_KTC_06기말의 워크시트 27" xfId="1673"/>
    <cellStyle name="_4기 세무조정_2261-2  WTB_KTC_06기말의 워크시트 28" xfId="1674"/>
    <cellStyle name="_4기 세무조정_2261-2  WTB_KTC_06기말의 워크시트 29" xfId="1675"/>
    <cellStyle name="_4기 세무조정_2261-2  WTB_KTC_06기말의 워크시트 3" xfId="1676"/>
    <cellStyle name="_4기 세무조정_2261-2  WTB_KTC_06기말의 워크시트 30" xfId="1677"/>
    <cellStyle name="_4기 세무조정_2261-2  WTB_KTC_06기말의 워크시트 31" xfId="1678"/>
    <cellStyle name="_4기 세무조정_2261-2  WTB_KTC_06기말의 워크시트 32" xfId="1679"/>
    <cellStyle name="_4기 세무조정_2261-2  WTB_KTC_06기말의 워크시트 33" xfId="1680"/>
    <cellStyle name="_4기 세무조정_2261-2  WTB_KTC_06기말의 워크시트 34" xfId="1681"/>
    <cellStyle name="_4기 세무조정_2261-2  WTB_KTC_06기말의 워크시트 35" xfId="1682"/>
    <cellStyle name="_4기 세무조정_2261-2  WTB_KTC_06기말의 워크시트 36" xfId="1683"/>
    <cellStyle name="_4기 세무조정_2261-2  WTB_KTC_06기말의 워크시트 37" xfId="1684"/>
    <cellStyle name="_4기 세무조정_2261-2  WTB_KTC_06기말의 워크시트 38" xfId="1685"/>
    <cellStyle name="_4기 세무조정_2261-2  WTB_KTC_06기말의 워크시트 39" xfId="1686"/>
    <cellStyle name="_4기 세무조정_2261-2  WTB_KTC_06기말의 워크시트 4" xfId="1687"/>
    <cellStyle name="_4기 세무조정_2261-2  WTB_KTC_06기말의 워크시트 40" xfId="1688"/>
    <cellStyle name="_4기 세무조정_2261-2  WTB_KTC_06기말의 워크시트 41" xfId="1689"/>
    <cellStyle name="_4기 세무조정_2261-2  WTB_KTC_06기말의 워크시트 42" xfId="1690"/>
    <cellStyle name="_4기 세무조정_2261-2  WTB_KTC_06기말의 워크시트 43" xfId="1691"/>
    <cellStyle name="_4기 세무조정_2261-2  WTB_KTC_06기말의 워크시트 44" xfId="1692"/>
    <cellStyle name="_4기 세무조정_2261-2  WTB_KTC_06기말의 워크시트 45" xfId="1693"/>
    <cellStyle name="_4기 세무조정_2261-2  WTB_KTC_06기말의 워크시트 46" xfId="1694"/>
    <cellStyle name="_4기 세무조정_2261-2  WTB_KTC_06기말의 워크시트 47" xfId="1695"/>
    <cellStyle name="_4기 세무조정_2261-2  WTB_KTC_06기말의 워크시트 48" xfId="1696"/>
    <cellStyle name="_4기 세무조정_2261-2  WTB_KTC_06기말의 워크시트 49" xfId="1697"/>
    <cellStyle name="_4기 세무조정_2261-2  WTB_KTC_06기말의 워크시트 5" xfId="1698"/>
    <cellStyle name="_4기 세무조정_2261-2  WTB_KTC_06기말의 워크시트 50" xfId="1699"/>
    <cellStyle name="_4기 세무조정_2261-2  WTB_KTC_06기말의 워크시트 51" xfId="1700"/>
    <cellStyle name="_4기 세무조정_2261-2  WTB_KTC_06기말의 워크시트 52" xfId="1701"/>
    <cellStyle name="_4기 세무조정_2261-2  WTB_KTC_06기말의 워크시트 53" xfId="1702"/>
    <cellStyle name="_4기 세무조정_2261-2  WTB_KTC_06기말의 워크시트 54" xfId="1703"/>
    <cellStyle name="_4기 세무조정_2261-2  WTB_KTC_06기말의 워크시트 55" xfId="1704"/>
    <cellStyle name="_4기 세무조정_2261-2  WTB_KTC_06기말의 워크시트 56" xfId="1705"/>
    <cellStyle name="_4기 세무조정_2261-2  WTB_KTC_06기말의 워크시트 57" xfId="1706"/>
    <cellStyle name="_4기 세무조정_2261-2  WTB_KTC_06기말의 워크시트 58" xfId="1707"/>
    <cellStyle name="_4기 세무조정_2261-2  WTB_KTC_06기말의 워크시트 59" xfId="1708"/>
    <cellStyle name="_4기 세무조정_2261-2  WTB_KTC_06기말의 워크시트 6" xfId="1709"/>
    <cellStyle name="_4기 세무조정_2261-2  WTB_KTC_06기말의 워크시트 60" xfId="1710"/>
    <cellStyle name="_4기 세무조정_2261-2  WTB_KTC_06기말의 워크시트 61" xfId="1711"/>
    <cellStyle name="_4기 세무조정_2261-2  WTB_KTC_06기말의 워크시트 62" xfId="1712"/>
    <cellStyle name="_4기 세무조정_2261-2  WTB_KTC_06기말의 워크시트 63" xfId="1713"/>
    <cellStyle name="_4기 세무조정_2261-2  WTB_KTC_06기말의 워크시트 7" xfId="1714"/>
    <cellStyle name="_4기 세무조정_2261-2  WTB_KTC_06기말의 워크시트 8" xfId="1715"/>
    <cellStyle name="_4기 세무조정_2261-2  WTB_KTC_06기말의 워크시트 9" xfId="1716"/>
    <cellStyle name="_4기 세무조정_대차손익(20070331)_kjh" xfId="1717"/>
    <cellStyle name="_4기 세무조정_대차손익(20070331)_kjh 10" xfId="1718"/>
    <cellStyle name="_4기 세무조정_대차손익(20070331)_kjh 11" xfId="1719"/>
    <cellStyle name="_4기 세무조정_대차손익(20070331)_kjh 12" xfId="1720"/>
    <cellStyle name="_4기 세무조정_대차손익(20070331)_kjh 13" xfId="1721"/>
    <cellStyle name="_4기 세무조정_대차손익(20070331)_kjh 14" xfId="1722"/>
    <cellStyle name="_4기 세무조정_대차손익(20070331)_kjh 15" xfId="1723"/>
    <cellStyle name="_4기 세무조정_대차손익(20070331)_kjh 16" xfId="1724"/>
    <cellStyle name="_4기 세무조정_대차손익(20070331)_kjh 17" xfId="1725"/>
    <cellStyle name="_4기 세무조정_대차손익(20070331)_kjh 18" xfId="1726"/>
    <cellStyle name="_4기 세무조정_대차손익(20070331)_kjh 19" xfId="1727"/>
    <cellStyle name="_4기 세무조정_대차손익(20070331)_kjh 2" xfId="1728"/>
    <cellStyle name="_4기 세무조정_대차손익(20070331)_kjh 20" xfId="1729"/>
    <cellStyle name="_4기 세무조정_대차손익(20070331)_kjh 21" xfId="1730"/>
    <cellStyle name="_4기 세무조정_대차손익(20070331)_kjh 22" xfId="1731"/>
    <cellStyle name="_4기 세무조정_대차손익(20070331)_kjh 23" xfId="1732"/>
    <cellStyle name="_4기 세무조정_대차손익(20070331)_kjh 24" xfId="1733"/>
    <cellStyle name="_4기 세무조정_대차손익(20070331)_kjh 25" xfId="1734"/>
    <cellStyle name="_4기 세무조정_대차손익(20070331)_kjh 26" xfId="1735"/>
    <cellStyle name="_4기 세무조정_대차손익(20070331)_kjh 27" xfId="1736"/>
    <cellStyle name="_4기 세무조정_대차손익(20070331)_kjh 28" xfId="1737"/>
    <cellStyle name="_4기 세무조정_대차손익(20070331)_kjh 29" xfId="1738"/>
    <cellStyle name="_4기 세무조정_대차손익(20070331)_kjh 3" xfId="1739"/>
    <cellStyle name="_4기 세무조정_대차손익(20070331)_kjh 30" xfId="1740"/>
    <cellStyle name="_4기 세무조정_대차손익(20070331)_kjh 31" xfId="1741"/>
    <cellStyle name="_4기 세무조정_대차손익(20070331)_kjh 32" xfId="1742"/>
    <cellStyle name="_4기 세무조정_대차손익(20070331)_kjh 33" xfId="1743"/>
    <cellStyle name="_4기 세무조정_대차손익(20070331)_kjh 34" xfId="1744"/>
    <cellStyle name="_4기 세무조정_대차손익(20070331)_kjh 35" xfId="1745"/>
    <cellStyle name="_4기 세무조정_대차손익(20070331)_kjh 36" xfId="1746"/>
    <cellStyle name="_4기 세무조정_대차손익(20070331)_kjh 37" xfId="1747"/>
    <cellStyle name="_4기 세무조정_대차손익(20070331)_kjh 38" xfId="1748"/>
    <cellStyle name="_4기 세무조정_대차손익(20070331)_kjh 39" xfId="1749"/>
    <cellStyle name="_4기 세무조정_대차손익(20070331)_kjh 4" xfId="1750"/>
    <cellStyle name="_4기 세무조정_대차손익(20070331)_kjh 40" xfId="1751"/>
    <cellStyle name="_4기 세무조정_대차손익(20070331)_kjh 41" xfId="1752"/>
    <cellStyle name="_4기 세무조정_대차손익(20070331)_kjh 42" xfId="1753"/>
    <cellStyle name="_4기 세무조정_대차손익(20070331)_kjh 43" xfId="1754"/>
    <cellStyle name="_4기 세무조정_대차손익(20070331)_kjh 44" xfId="1755"/>
    <cellStyle name="_4기 세무조정_대차손익(20070331)_kjh 45" xfId="1756"/>
    <cellStyle name="_4기 세무조정_대차손익(20070331)_kjh 46" xfId="1757"/>
    <cellStyle name="_4기 세무조정_대차손익(20070331)_kjh 47" xfId="1758"/>
    <cellStyle name="_4기 세무조정_대차손익(20070331)_kjh 48" xfId="1759"/>
    <cellStyle name="_4기 세무조정_대차손익(20070331)_kjh 49" xfId="1760"/>
    <cellStyle name="_4기 세무조정_대차손익(20070331)_kjh 5" xfId="1761"/>
    <cellStyle name="_4기 세무조정_대차손익(20070331)_kjh 50" xfId="1762"/>
    <cellStyle name="_4기 세무조정_대차손익(20070331)_kjh 51" xfId="1763"/>
    <cellStyle name="_4기 세무조정_대차손익(20070331)_kjh 52" xfId="1764"/>
    <cellStyle name="_4기 세무조정_대차손익(20070331)_kjh 53" xfId="1765"/>
    <cellStyle name="_4기 세무조정_대차손익(20070331)_kjh 54" xfId="1766"/>
    <cellStyle name="_4기 세무조정_대차손익(20070331)_kjh 55" xfId="1767"/>
    <cellStyle name="_4기 세무조정_대차손익(20070331)_kjh 56" xfId="1768"/>
    <cellStyle name="_4기 세무조정_대차손익(20070331)_kjh 57" xfId="1769"/>
    <cellStyle name="_4기 세무조정_대차손익(20070331)_kjh 58" xfId="1770"/>
    <cellStyle name="_4기 세무조정_대차손익(20070331)_kjh 59" xfId="1771"/>
    <cellStyle name="_4기 세무조정_대차손익(20070331)_kjh 6" xfId="1772"/>
    <cellStyle name="_4기 세무조정_대차손익(20070331)_kjh 60" xfId="1773"/>
    <cellStyle name="_4기 세무조정_대차손익(20070331)_kjh 61" xfId="1774"/>
    <cellStyle name="_4기 세무조정_대차손익(20070331)_kjh 62" xfId="1775"/>
    <cellStyle name="_4기 세무조정_대차손익(20070331)_kjh 63" xfId="1776"/>
    <cellStyle name="_4기 세무조정_대차손익(20070331)_kjh 7" xfId="1777"/>
    <cellStyle name="_4기 세무조정_대차손익(20070331)_kjh 8" xfId="1778"/>
    <cellStyle name="_4기 세무조정_대차손익(20070331)_kjh 9" xfId="1779"/>
    <cellStyle name="_4기기말5-유동부채" xfId="1780"/>
    <cellStyle name="_4기기말5-유동부채 10" xfId="1781"/>
    <cellStyle name="_4기기말5-유동부채 11" xfId="1782"/>
    <cellStyle name="_4기기말5-유동부채 12" xfId="1783"/>
    <cellStyle name="_4기기말5-유동부채 13" xfId="1784"/>
    <cellStyle name="_4기기말5-유동부채 14" xfId="1785"/>
    <cellStyle name="_4기기말5-유동부채 15" xfId="1786"/>
    <cellStyle name="_4기기말5-유동부채 16" xfId="1787"/>
    <cellStyle name="_4기기말5-유동부채 17" xfId="1788"/>
    <cellStyle name="_4기기말5-유동부채 18" xfId="1789"/>
    <cellStyle name="_4기기말5-유동부채 19" xfId="1790"/>
    <cellStyle name="_4기기말5-유동부채 2" xfId="1791"/>
    <cellStyle name="_4기기말5-유동부채 20" xfId="1792"/>
    <cellStyle name="_4기기말5-유동부채 21" xfId="1793"/>
    <cellStyle name="_4기기말5-유동부채 22" xfId="1794"/>
    <cellStyle name="_4기기말5-유동부채 23" xfId="1795"/>
    <cellStyle name="_4기기말5-유동부채 24" xfId="1796"/>
    <cellStyle name="_4기기말5-유동부채 25" xfId="1797"/>
    <cellStyle name="_4기기말5-유동부채 26" xfId="1798"/>
    <cellStyle name="_4기기말5-유동부채 27" xfId="1799"/>
    <cellStyle name="_4기기말5-유동부채 28" xfId="1800"/>
    <cellStyle name="_4기기말5-유동부채 29" xfId="1801"/>
    <cellStyle name="_4기기말5-유동부채 3" xfId="1802"/>
    <cellStyle name="_4기기말5-유동부채 30" xfId="1803"/>
    <cellStyle name="_4기기말5-유동부채 31" xfId="1804"/>
    <cellStyle name="_4기기말5-유동부채 32" xfId="1805"/>
    <cellStyle name="_4기기말5-유동부채 33" xfId="1806"/>
    <cellStyle name="_4기기말5-유동부채 34" xfId="1807"/>
    <cellStyle name="_4기기말5-유동부채 35" xfId="1808"/>
    <cellStyle name="_4기기말5-유동부채 36" xfId="1809"/>
    <cellStyle name="_4기기말5-유동부채 37" xfId="1810"/>
    <cellStyle name="_4기기말5-유동부채 38" xfId="1811"/>
    <cellStyle name="_4기기말5-유동부채 39" xfId="1812"/>
    <cellStyle name="_4기기말5-유동부채 4" xfId="1813"/>
    <cellStyle name="_4기기말5-유동부채 40" xfId="1814"/>
    <cellStyle name="_4기기말5-유동부채 41" xfId="1815"/>
    <cellStyle name="_4기기말5-유동부채 42" xfId="1816"/>
    <cellStyle name="_4기기말5-유동부채 43" xfId="1817"/>
    <cellStyle name="_4기기말5-유동부채 44" xfId="1818"/>
    <cellStyle name="_4기기말5-유동부채 45" xfId="1819"/>
    <cellStyle name="_4기기말5-유동부채 46" xfId="1820"/>
    <cellStyle name="_4기기말5-유동부채 47" xfId="1821"/>
    <cellStyle name="_4기기말5-유동부채 48" xfId="1822"/>
    <cellStyle name="_4기기말5-유동부채 49" xfId="1823"/>
    <cellStyle name="_4기기말5-유동부채 5" xfId="1824"/>
    <cellStyle name="_4기기말5-유동부채 50" xfId="1825"/>
    <cellStyle name="_4기기말5-유동부채 51" xfId="1826"/>
    <cellStyle name="_4기기말5-유동부채 52" xfId="1827"/>
    <cellStyle name="_4기기말5-유동부채 53" xfId="1828"/>
    <cellStyle name="_4기기말5-유동부채 54" xfId="1829"/>
    <cellStyle name="_4기기말5-유동부채 55" xfId="1830"/>
    <cellStyle name="_4기기말5-유동부채 56" xfId="1831"/>
    <cellStyle name="_4기기말5-유동부채 57" xfId="1832"/>
    <cellStyle name="_4기기말5-유동부채 58" xfId="1833"/>
    <cellStyle name="_4기기말5-유동부채 59" xfId="1834"/>
    <cellStyle name="_4기기말5-유동부채 6" xfId="1835"/>
    <cellStyle name="_4기기말5-유동부채 60" xfId="1836"/>
    <cellStyle name="_4기기말5-유동부채 61" xfId="1837"/>
    <cellStyle name="_4기기말5-유동부채 62" xfId="1838"/>
    <cellStyle name="_4기기말5-유동부채 63" xfId="1839"/>
    <cellStyle name="_4기기말5-유동부채 7" xfId="1840"/>
    <cellStyle name="_4기기말5-유동부채 8" xfId="1841"/>
    <cellStyle name="_4기기말5-유동부채 9" xfId="1842"/>
    <cellStyle name="_4기리드" xfId="1843"/>
    <cellStyle name="_4월 마진인상효과" xfId="1844"/>
    <cellStyle name="_5.재무제표-엠투엔_07Q3_신윤호" xfId="1845"/>
    <cellStyle name="_5기세무" xfId="1846"/>
    <cellStyle name="_5기세무 10" xfId="1847"/>
    <cellStyle name="_5기세무 11" xfId="1848"/>
    <cellStyle name="_5기세무 12" xfId="1849"/>
    <cellStyle name="_5기세무 13" xfId="1850"/>
    <cellStyle name="_5기세무 14" xfId="1851"/>
    <cellStyle name="_5기세무 15" xfId="1852"/>
    <cellStyle name="_5기세무 16" xfId="1853"/>
    <cellStyle name="_5기세무 17" xfId="1854"/>
    <cellStyle name="_5기세무 18" xfId="1855"/>
    <cellStyle name="_5기세무 19" xfId="1856"/>
    <cellStyle name="_5기세무 2" xfId="1857"/>
    <cellStyle name="_5기세무 20" xfId="1858"/>
    <cellStyle name="_5기세무 21" xfId="1859"/>
    <cellStyle name="_5기세무 22" xfId="1860"/>
    <cellStyle name="_5기세무 23" xfId="1861"/>
    <cellStyle name="_5기세무 24" xfId="1862"/>
    <cellStyle name="_5기세무 25" xfId="1863"/>
    <cellStyle name="_5기세무 26" xfId="1864"/>
    <cellStyle name="_5기세무 27" xfId="1865"/>
    <cellStyle name="_5기세무 28" xfId="1866"/>
    <cellStyle name="_5기세무 29" xfId="1867"/>
    <cellStyle name="_5기세무 3" xfId="1868"/>
    <cellStyle name="_5기세무 30" xfId="1869"/>
    <cellStyle name="_5기세무 31" xfId="1870"/>
    <cellStyle name="_5기세무 32" xfId="1871"/>
    <cellStyle name="_5기세무 33" xfId="1872"/>
    <cellStyle name="_5기세무 34" xfId="1873"/>
    <cellStyle name="_5기세무 35" xfId="1874"/>
    <cellStyle name="_5기세무 36" xfId="1875"/>
    <cellStyle name="_5기세무 37" xfId="1876"/>
    <cellStyle name="_5기세무 38" xfId="1877"/>
    <cellStyle name="_5기세무 39" xfId="1878"/>
    <cellStyle name="_5기세무 4" xfId="1879"/>
    <cellStyle name="_5기세무 40" xfId="1880"/>
    <cellStyle name="_5기세무 41" xfId="1881"/>
    <cellStyle name="_5기세무 42" xfId="1882"/>
    <cellStyle name="_5기세무 43" xfId="1883"/>
    <cellStyle name="_5기세무 44" xfId="1884"/>
    <cellStyle name="_5기세무 45" xfId="1885"/>
    <cellStyle name="_5기세무 46" xfId="1886"/>
    <cellStyle name="_5기세무 47" xfId="1887"/>
    <cellStyle name="_5기세무 48" xfId="1888"/>
    <cellStyle name="_5기세무 49" xfId="1889"/>
    <cellStyle name="_5기세무 5" xfId="1890"/>
    <cellStyle name="_5기세무 50" xfId="1891"/>
    <cellStyle name="_5기세무 51" xfId="1892"/>
    <cellStyle name="_5기세무 52" xfId="1893"/>
    <cellStyle name="_5기세무 53" xfId="1894"/>
    <cellStyle name="_5기세무 54" xfId="1895"/>
    <cellStyle name="_5기세무 55" xfId="1896"/>
    <cellStyle name="_5기세무 56" xfId="1897"/>
    <cellStyle name="_5기세무 57" xfId="1898"/>
    <cellStyle name="_5기세무 58" xfId="1899"/>
    <cellStyle name="_5기세무 59" xfId="1900"/>
    <cellStyle name="_5기세무 6" xfId="1901"/>
    <cellStyle name="_5기세무 60" xfId="1902"/>
    <cellStyle name="_5기세무 61" xfId="1903"/>
    <cellStyle name="_5기세무 62" xfId="1904"/>
    <cellStyle name="_5기세무 63" xfId="1905"/>
    <cellStyle name="_5기세무 7" xfId="1906"/>
    <cellStyle name="_5기세무 8" xfId="1907"/>
    <cellStyle name="_5기세무 9" xfId="1908"/>
    <cellStyle name="_5기세무최종" xfId="1909"/>
    <cellStyle name="_5기세무최종 10" xfId="1910"/>
    <cellStyle name="_5기세무최종 11" xfId="1911"/>
    <cellStyle name="_5기세무최종 12" xfId="1912"/>
    <cellStyle name="_5기세무최종 13" xfId="1913"/>
    <cellStyle name="_5기세무최종 14" xfId="1914"/>
    <cellStyle name="_5기세무최종 15" xfId="1915"/>
    <cellStyle name="_5기세무최종 16" xfId="1916"/>
    <cellStyle name="_5기세무최종 17" xfId="1917"/>
    <cellStyle name="_5기세무최종 18" xfId="1918"/>
    <cellStyle name="_5기세무최종 19" xfId="1919"/>
    <cellStyle name="_5기세무최종 2" xfId="1920"/>
    <cellStyle name="_5기세무최종 20" xfId="1921"/>
    <cellStyle name="_5기세무최종 21" xfId="1922"/>
    <cellStyle name="_5기세무최종 22" xfId="1923"/>
    <cellStyle name="_5기세무최종 23" xfId="1924"/>
    <cellStyle name="_5기세무최종 24" xfId="1925"/>
    <cellStyle name="_5기세무최종 25" xfId="1926"/>
    <cellStyle name="_5기세무최종 26" xfId="1927"/>
    <cellStyle name="_5기세무최종 27" xfId="1928"/>
    <cellStyle name="_5기세무최종 28" xfId="1929"/>
    <cellStyle name="_5기세무최종 29" xfId="1930"/>
    <cellStyle name="_5기세무최종 3" xfId="1931"/>
    <cellStyle name="_5기세무최종 30" xfId="1932"/>
    <cellStyle name="_5기세무최종 31" xfId="1933"/>
    <cellStyle name="_5기세무최종 32" xfId="1934"/>
    <cellStyle name="_5기세무최종 33" xfId="1935"/>
    <cellStyle name="_5기세무최종 34" xfId="1936"/>
    <cellStyle name="_5기세무최종 35" xfId="1937"/>
    <cellStyle name="_5기세무최종 36" xfId="1938"/>
    <cellStyle name="_5기세무최종 37" xfId="1939"/>
    <cellStyle name="_5기세무최종 38" xfId="1940"/>
    <cellStyle name="_5기세무최종 39" xfId="1941"/>
    <cellStyle name="_5기세무최종 4" xfId="1942"/>
    <cellStyle name="_5기세무최종 40" xfId="1943"/>
    <cellStyle name="_5기세무최종 41" xfId="1944"/>
    <cellStyle name="_5기세무최종 42" xfId="1945"/>
    <cellStyle name="_5기세무최종 43" xfId="1946"/>
    <cellStyle name="_5기세무최종 44" xfId="1947"/>
    <cellStyle name="_5기세무최종 45" xfId="1948"/>
    <cellStyle name="_5기세무최종 46" xfId="1949"/>
    <cellStyle name="_5기세무최종 47" xfId="1950"/>
    <cellStyle name="_5기세무최종 48" xfId="1951"/>
    <cellStyle name="_5기세무최종 49" xfId="1952"/>
    <cellStyle name="_5기세무최종 5" xfId="1953"/>
    <cellStyle name="_5기세무최종 50" xfId="1954"/>
    <cellStyle name="_5기세무최종 51" xfId="1955"/>
    <cellStyle name="_5기세무최종 52" xfId="1956"/>
    <cellStyle name="_5기세무최종 53" xfId="1957"/>
    <cellStyle name="_5기세무최종 54" xfId="1958"/>
    <cellStyle name="_5기세무최종 55" xfId="1959"/>
    <cellStyle name="_5기세무최종 56" xfId="1960"/>
    <cellStyle name="_5기세무최종 57" xfId="1961"/>
    <cellStyle name="_5기세무최종 58" xfId="1962"/>
    <cellStyle name="_5기세무최종 59" xfId="1963"/>
    <cellStyle name="_5기세무최종 6" xfId="1964"/>
    <cellStyle name="_5기세무최종 60" xfId="1965"/>
    <cellStyle name="_5기세무최종 61" xfId="1966"/>
    <cellStyle name="_5기세무최종 62" xfId="1967"/>
    <cellStyle name="_5기세무최종 63" xfId="1968"/>
    <cellStyle name="_5기세무최종 7" xfId="1969"/>
    <cellStyle name="_5기세무최종 8" xfId="1970"/>
    <cellStyle name="_5기세무최종 9" xfId="1971"/>
    <cellStyle name="_5월 마진인상효과" xfId="1972"/>
    <cellStyle name="_6기 lead" xfId="1973"/>
    <cellStyle name="_6기일반조서" xfId="1974"/>
    <cellStyle name="_6기일반조서 10" xfId="1975"/>
    <cellStyle name="_6기일반조서 11" xfId="1976"/>
    <cellStyle name="_6기일반조서 12" xfId="1977"/>
    <cellStyle name="_6기일반조서 13" xfId="1978"/>
    <cellStyle name="_6기일반조서 14" xfId="1979"/>
    <cellStyle name="_6기일반조서 15" xfId="1980"/>
    <cellStyle name="_6기일반조서 16" xfId="1981"/>
    <cellStyle name="_6기일반조서 17" xfId="1982"/>
    <cellStyle name="_6기일반조서 18" xfId="1983"/>
    <cellStyle name="_6기일반조서 19" xfId="1984"/>
    <cellStyle name="_6기일반조서 2" xfId="1985"/>
    <cellStyle name="_6기일반조서 20" xfId="1986"/>
    <cellStyle name="_6기일반조서 21" xfId="1987"/>
    <cellStyle name="_6기일반조서 22" xfId="1988"/>
    <cellStyle name="_6기일반조서 23" xfId="1989"/>
    <cellStyle name="_6기일반조서 24" xfId="1990"/>
    <cellStyle name="_6기일반조서 25" xfId="1991"/>
    <cellStyle name="_6기일반조서 26" xfId="1992"/>
    <cellStyle name="_6기일반조서 27" xfId="1993"/>
    <cellStyle name="_6기일반조서 28" xfId="1994"/>
    <cellStyle name="_6기일반조서 29" xfId="1995"/>
    <cellStyle name="_6기일반조서 3" xfId="1996"/>
    <cellStyle name="_6기일반조서 30" xfId="1997"/>
    <cellStyle name="_6기일반조서 31" xfId="1998"/>
    <cellStyle name="_6기일반조서 32" xfId="1999"/>
    <cellStyle name="_6기일반조서 33" xfId="2000"/>
    <cellStyle name="_6기일반조서 34" xfId="2001"/>
    <cellStyle name="_6기일반조서 35" xfId="2002"/>
    <cellStyle name="_6기일반조서 36" xfId="2003"/>
    <cellStyle name="_6기일반조서 37" xfId="2004"/>
    <cellStyle name="_6기일반조서 38" xfId="2005"/>
    <cellStyle name="_6기일반조서 39" xfId="2006"/>
    <cellStyle name="_6기일반조서 4" xfId="2007"/>
    <cellStyle name="_6기일반조서 40" xfId="2008"/>
    <cellStyle name="_6기일반조서 41" xfId="2009"/>
    <cellStyle name="_6기일반조서 42" xfId="2010"/>
    <cellStyle name="_6기일반조서 43" xfId="2011"/>
    <cellStyle name="_6기일반조서 44" xfId="2012"/>
    <cellStyle name="_6기일반조서 45" xfId="2013"/>
    <cellStyle name="_6기일반조서 46" xfId="2014"/>
    <cellStyle name="_6기일반조서 47" xfId="2015"/>
    <cellStyle name="_6기일반조서 48" xfId="2016"/>
    <cellStyle name="_6기일반조서 49" xfId="2017"/>
    <cellStyle name="_6기일반조서 5" xfId="2018"/>
    <cellStyle name="_6기일반조서 50" xfId="2019"/>
    <cellStyle name="_6기일반조서 51" xfId="2020"/>
    <cellStyle name="_6기일반조서 52" xfId="2021"/>
    <cellStyle name="_6기일반조서 53" xfId="2022"/>
    <cellStyle name="_6기일반조서 54" xfId="2023"/>
    <cellStyle name="_6기일반조서 55" xfId="2024"/>
    <cellStyle name="_6기일반조서 56" xfId="2025"/>
    <cellStyle name="_6기일반조서 57" xfId="2026"/>
    <cellStyle name="_6기일반조서 58" xfId="2027"/>
    <cellStyle name="_6기일반조서 59" xfId="2028"/>
    <cellStyle name="_6기일반조서 6" xfId="2029"/>
    <cellStyle name="_6기일반조서 60" xfId="2030"/>
    <cellStyle name="_6기일반조서 61" xfId="2031"/>
    <cellStyle name="_6기일반조서 62" xfId="2032"/>
    <cellStyle name="_6기일반조서 63" xfId="2033"/>
    <cellStyle name="_6기일반조서 7" xfId="2034"/>
    <cellStyle name="_6기일반조서 8" xfId="2035"/>
    <cellStyle name="_6기일반조서 9" xfId="2036"/>
    <cellStyle name="_6기일반조서_2261-2  WTB_KTC_06기말의 워크시트" xfId="2037"/>
    <cellStyle name="_6기일반조서_2261-2  WTB_KTC_06기말의 워크시트 10" xfId="2038"/>
    <cellStyle name="_6기일반조서_2261-2  WTB_KTC_06기말의 워크시트 11" xfId="2039"/>
    <cellStyle name="_6기일반조서_2261-2  WTB_KTC_06기말의 워크시트 12" xfId="2040"/>
    <cellStyle name="_6기일반조서_2261-2  WTB_KTC_06기말의 워크시트 13" xfId="2041"/>
    <cellStyle name="_6기일반조서_2261-2  WTB_KTC_06기말의 워크시트 14" xfId="2042"/>
    <cellStyle name="_6기일반조서_2261-2  WTB_KTC_06기말의 워크시트 15" xfId="2043"/>
    <cellStyle name="_6기일반조서_2261-2  WTB_KTC_06기말의 워크시트 16" xfId="2044"/>
    <cellStyle name="_6기일반조서_2261-2  WTB_KTC_06기말의 워크시트 17" xfId="2045"/>
    <cellStyle name="_6기일반조서_2261-2  WTB_KTC_06기말의 워크시트 18" xfId="2046"/>
    <cellStyle name="_6기일반조서_2261-2  WTB_KTC_06기말의 워크시트 19" xfId="2047"/>
    <cellStyle name="_6기일반조서_2261-2  WTB_KTC_06기말의 워크시트 2" xfId="2048"/>
    <cellStyle name="_6기일반조서_2261-2  WTB_KTC_06기말의 워크시트 20" xfId="2049"/>
    <cellStyle name="_6기일반조서_2261-2  WTB_KTC_06기말의 워크시트 21" xfId="2050"/>
    <cellStyle name="_6기일반조서_2261-2  WTB_KTC_06기말의 워크시트 22" xfId="2051"/>
    <cellStyle name="_6기일반조서_2261-2  WTB_KTC_06기말의 워크시트 23" xfId="2052"/>
    <cellStyle name="_6기일반조서_2261-2  WTB_KTC_06기말의 워크시트 24" xfId="2053"/>
    <cellStyle name="_6기일반조서_2261-2  WTB_KTC_06기말의 워크시트 25" xfId="2054"/>
    <cellStyle name="_6기일반조서_2261-2  WTB_KTC_06기말의 워크시트 26" xfId="2055"/>
    <cellStyle name="_6기일반조서_2261-2  WTB_KTC_06기말의 워크시트 27" xfId="2056"/>
    <cellStyle name="_6기일반조서_2261-2  WTB_KTC_06기말의 워크시트 28" xfId="2057"/>
    <cellStyle name="_6기일반조서_2261-2  WTB_KTC_06기말의 워크시트 29" xfId="2058"/>
    <cellStyle name="_6기일반조서_2261-2  WTB_KTC_06기말의 워크시트 3" xfId="2059"/>
    <cellStyle name="_6기일반조서_2261-2  WTB_KTC_06기말의 워크시트 30" xfId="2060"/>
    <cellStyle name="_6기일반조서_2261-2  WTB_KTC_06기말의 워크시트 31" xfId="2061"/>
    <cellStyle name="_6기일반조서_2261-2  WTB_KTC_06기말의 워크시트 32" xfId="2062"/>
    <cellStyle name="_6기일반조서_2261-2  WTB_KTC_06기말의 워크시트 33" xfId="2063"/>
    <cellStyle name="_6기일반조서_2261-2  WTB_KTC_06기말의 워크시트 34" xfId="2064"/>
    <cellStyle name="_6기일반조서_2261-2  WTB_KTC_06기말의 워크시트 35" xfId="2065"/>
    <cellStyle name="_6기일반조서_2261-2  WTB_KTC_06기말의 워크시트 36" xfId="2066"/>
    <cellStyle name="_6기일반조서_2261-2  WTB_KTC_06기말의 워크시트 37" xfId="2067"/>
    <cellStyle name="_6기일반조서_2261-2  WTB_KTC_06기말의 워크시트 38" xfId="2068"/>
    <cellStyle name="_6기일반조서_2261-2  WTB_KTC_06기말의 워크시트 39" xfId="2069"/>
    <cellStyle name="_6기일반조서_2261-2  WTB_KTC_06기말의 워크시트 4" xfId="2070"/>
    <cellStyle name="_6기일반조서_2261-2  WTB_KTC_06기말의 워크시트 40" xfId="2071"/>
    <cellStyle name="_6기일반조서_2261-2  WTB_KTC_06기말의 워크시트 41" xfId="2072"/>
    <cellStyle name="_6기일반조서_2261-2  WTB_KTC_06기말의 워크시트 42" xfId="2073"/>
    <cellStyle name="_6기일반조서_2261-2  WTB_KTC_06기말의 워크시트 43" xfId="2074"/>
    <cellStyle name="_6기일반조서_2261-2  WTB_KTC_06기말의 워크시트 44" xfId="2075"/>
    <cellStyle name="_6기일반조서_2261-2  WTB_KTC_06기말의 워크시트 45" xfId="2076"/>
    <cellStyle name="_6기일반조서_2261-2  WTB_KTC_06기말의 워크시트 46" xfId="2077"/>
    <cellStyle name="_6기일반조서_2261-2  WTB_KTC_06기말의 워크시트 47" xfId="2078"/>
    <cellStyle name="_6기일반조서_2261-2  WTB_KTC_06기말의 워크시트 48" xfId="2079"/>
    <cellStyle name="_6기일반조서_2261-2  WTB_KTC_06기말의 워크시트 49" xfId="2080"/>
    <cellStyle name="_6기일반조서_2261-2  WTB_KTC_06기말의 워크시트 5" xfId="2081"/>
    <cellStyle name="_6기일반조서_2261-2  WTB_KTC_06기말의 워크시트 50" xfId="2082"/>
    <cellStyle name="_6기일반조서_2261-2  WTB_KTC_06기말의 워크시트 51" xfId="2083"/>
    <cellStyle name="_6기일반조서_2261-2  WTB_KTC_06기말의 워크시트 52" xfId="2084"/>
    <cellStyle name="_6기일반조서_2261-2  WTB_KTC_06기말의 워크시트 53" xfId="2085"/>
    <cellStyle name="_6기일반조서_2261-2  WTB_KTC_06기말의 워크시트 54" xfId="2086"/>
    <cellStyle name="_6기일반조서_2261-2  WTB_KTC_06기말의 워크시트 55" xfId="2087"/>
    <cellStyle name="_6기일반조서_2261-2  WTB_KTC_06기말의 워크시트 56" xfId="2088"/>
    <cellStyle name="_6기일반조서_2261-2  WTB_KTC_06기말의 워크시트 57" xfId="2089"/>
    <cellStyle name="_6기일반조서_2261-2  WTB_KTC_06기말의 워크시트 58" xfId="2090"/>
    <cellStyle name="_6기일반조서_2261-2  WTB_KTC_06기말의 워크시트 59" xfId="2091"/>
    <cellStyle name="_6기일반조서_2261-2  WTB_KTC_06기말의 워크시트 6" xfId="2092"/>
    <cellStyle name="_6기일반조서_2261-2  WTB_KTC_06기말의 워크시트 60" xfId="2093"/>
    <cellStyle name="_6기일반조서_2261-2  WTB_KTC_06기말의 워크시트 61" xfId="2094"/>
    <cellStyle name="_6기일반조서_2261-2  WTB_KTC_06기말의 워크시트 62" xfId="2095"/>
    <cellStyle name="_6기일반조서_2261-2  WTB_KTC_06기말의 워크시트 63" xfId="2096"/>
    <cellStyle name="_6기일반조서_2261-2  WTB_KTC_06기말의 워크시트 7" xfId="2097"/>
    <cellStyle name="_6기일반조서_2261-2  WTB_KTC_06기말의 워크시트 8" xfId="2098"/>
    <cellStyle name="_6기일반조서_2261-2  WTB_KTC_06기말의 워크시트 9" xfId="2099"/>
    <cellStyle name="_6기일반조서_대차손익(20070331)_kjh" xfId="2100"/>
    <cellStyle name="_6기일반조서_대차손익(20070331)_kjh 10" xfId="2101"/>
    <cellStyle name="_6기일반조서_대차손익(20070331)_kjh 11" xfId="2102"/>
    <cellStyle name="_6기일반조서_대차손익(20070331)_kjh 12" xfId="2103"/>
    <cellStyle name="_6기일반조서_대차손익(20070331)_kjh 13" xfId="2104"/>
    <cellStyle name="_6기일반조서_대차손익(20070331)_kjh 14" xfId="2105"/>
    <cellStyle name="_6기일반조서_대차손익(20070331)_kjh 15" xfId="2106"/>
    <cellStyle name="_6기일반조서_대차손익(20070331)_kjh 16" xfId="2107"/>
    <cellStyle name="_6기일반조서_대차손익(20070331)_kjh 17" xfId="2108"/>
    <cellStyle name="_6기일반조서_대차손익(20070331)_kjh 18" xfId="2109"/>
    <cellStyle name="_6기일반조서_대차손익(20070331)_kjh 19" xfId="2110"/>
    <cellStyle name="_6기일반조서_대차손익(20070331)_kjh 2" xfId="2111"/>
    <cellStyle name="_6기일반조서_대차손익(20070331)_kjh 20" xfId="2112"/>
    <cellStyle name="_6기일반조서_대차손익(20070331)_kjh 21" xfId="2113"/>
    <cellStyle name="_6기일반조서_대차손익(20070331)_kjh 22" xfId="2114"/>
    <cellStyle name="_6기일반조서_대차손익(20070331)_kjh 23" xfId="2115"/>
    <cellStyle name="_6기일반조서_대차손익(20070331)_kjh 24" xfId="2116"/>
    <cellStyle name="_6기일반조서_대차손익(20070331)_kjh 25" xfId="2117"/>
    <cellStyle name="_6기일반조서_대차손익(20070331)_kjh 26" xfId="2118"/>
    <cellStyle name="_6기일반조서_대차손익(20070331)_kjh 27" xfId="2119"/>
    <cellStyle name="_6기일반조서_대차손익(20070331)_kjh 28" xfId="2120"/>
    <cellStyle name="_6기일반조서_대차손익(20070331)_kjh 29" xfId="2121"/>
    <cellStyle name="_6기일반조서_대차손익(20070331)_kjh 3" xfId="2122"/>
    <cellStyle name="_6기일반조서_대차손익(20070331)_kjh 30" xfId="2123"/>
    <cellStyle name="_6기일반조서_대차손익(20070331)_kjh 31" xfId="2124"/>
    <cellStyle name="_6기일반조서_대차손익(20070331)_kjh 32" xfId="2125"/>
    <cellStyle name="_6기일반조서_대차손익(20070331)_kjh 33" xfId="2126"/>
    <cellStyle name="_6기일반조서_대차손익(20070331)_kjh 34" xfId="2127"/>
    <cellStyle name="_6기일반조서_대차손익(20070331)_kjh 35" xfId="2128"/>
    <cellStyle name="_6기일반조서_대차손익(20070331)_kjh 36" xfId="2129"/>
    <cellStyle name="_6기일반조서_대차손익(20070331)_kjh 37" xfId="2130"/>
    <cellStyle name="_6기일반조서_대차손익(20070331)_kjh 38" xfId="2131"/>
    <cellStyle name="_6기일반조서_대차손익(20070331)_kjh 39" xfId="2132"/>
    <cellStyle name="_6기일반조서_대차손익(20070331)_kjh 4" xfId="2133"/>
    <cellStyle name="_6기일반조서_대차손익(20070331)_kjh 40" xfId="2134"/>
    <cellStyle name="_6기일반조서_대차손익(20070331)_kjh 41" xfId="2135"/>
    <cellStyle name="_6기일반조서_대차손익(20070331)_kjh 42" xfId="2136"/>
    <cellStyle name="_6기일반조서_대차손익(20070331)_kjh 43" xfId="2137"/>
    <cellStyle name="_6기일반조서_대차손익(20070331)_kjh 44" xfId="2138"/>
    <cellStyle name="_6기일반조서_대차손익(20070331)_kjh 45" xfId="2139"/>
    <cellStyle name="_6기일반조서_대차손익(20070331)_kjh 46" xfId="2140"/>
    <cellStyle name="_6기일반조서_대차손익(20070331)_kjh 47" xfId="2141"/>
    <cellStyle name="_6기일반조서_대차손익(20070331)_kjh 48" xfId="2142"/>
    <cellStyle name="_6기일반조서_대차손익(20070331)_kjh 49" xfId="2143"/>
    <cellStyle name="_6기일반조서_대차손익(20070331)_kjh 5" xfId="2144"/>
    <cellStyle name="_6기일반조서_대차손익(20070331)_kjh 50" xfId="2145"/>
    <cellStyle name="_6기일반조서_대차손익(20070331)_kjh 51" xfId="2146"/>
    <cellStyle name="_6기일반조서_대차손익(20070331)_kjh 52" xfId="2147"/>
    <cellStyle name="_6기일반조서_대차손익(20070331)_kjh 53" xfId="2148"/>
    <cellStyle name="_6기일반조서_대차손익(20070331)_kjh 54" xfId="2149"/>
    <cellStyle name="_6기일반조서_대차손익(20070331)_kjh 55" xfId="2150"/>
    <cellStyle name="_6기일반조서_대차손익(20070331)_kjh 56" xfId="2151"/>
    <cellStyle name="_6기일반조서_대차손익(20070331)_kjh 57" xfId="2152"/>
    <cellStyle name="_6기일반조서_대차손익(20070331)_kjh 58" xfId="2153"/>
    <cellStyle name="_6기일반조서_대차손익(20070331)_kjh 59" xfId="2154"/>
    <cellStyle name="_6기일반조서_대차손익(20070331)_kjh 6" xfId="2155"/>
    <cellStyle name="_6기일반조서_대차손익(20070331)_kjh 60" xfId="2156"/>
    <cellStyle name="_6기일반조서_대차손익(20070331)_kjh 61" xfId="2157"/>
    <cellStyle name="_6기일반조서_대차손익(20070331)_kjh 62" xfId="2158"/>
    <cellStyle name="_6기일반조서_대차손익(20070331)_kjh 63" xfId="2159"/>
    <cellStyle name="_6기일반조서_대차손익(20070331)_kjh 7" xfId="2160"/>
    <cellStyle name="_6기일반조서_대차손익(20070331)_kjh 8" xfId="2161"/>
    <cellStyle name="_6기일반조서_대차손익(20070331)_kjh 9" xfId="2162"/>
    <cellStyle name="_6월 마진인상효과" xfId="2163"/>
    <cellStyle name="_7" xfId="2164"/>
    <cellStyle name="_7기 lead" xfId="2228"/>
    <cellStyle name="_7기 에자이 현금흐름표" xfId="2165"/>
    <cellStyle name="_7기 에자이 현금흐름표 10" xfId="2166"/>
    <cellStyle name="_7기 에자이 현금흐름표 11" xfId="2167"/>
    <cellStyle name="_7기 에자이 현금흐름표 12" xfId="2168"/>
    <cellStyle name="_7기 에자이 현금흐름표 13" xfId="2169"/>
    <cellStyle name="_7기 에자이 현금흐름표 14" xfId="2170"/>
    <cellStyle name="_7기 에자이 현금흐름표 15" xfId="2171"/>
    <cellStyle name="_7기 에자이 현금흐름표 16" xfId="2172"/>
    <cellStyle name="_7기 에자이 현금흐름표 17" xfId="2173"/>
    <cellStyle name="_7기 에자이 현금흐름표 18" xfId="2174"/>
    <cellStyle name="_7기 에자이 현금흐름표 19" xfId="2175"/>
    <cellStyle name="_7기 에자이 현금흐름표 2" xfId="2176"/>
    <cellStyle name="_7기 에자이 현금흐름표 20" xfId="2177"/>
    <cellStyle name="_7기 에자이 현금흐름표 21" xfId="2178"/>
    <cellStyle name="_7기 에자이 현금흐름표 22" xfId="2179"/>
    <cellStyle name="_7기 에자이 현금흐름표 23" xfId="2180"/>
    <cellStyle name="_7기 에자이 현금흐름표 24" xfId="2181"/>
    <cellStyle name="_7기 에자이 현금흐름표 25" xfId="2182"/>
    <cellStyle name="_7기 에자이 현금흐름표 26" xfId="2183"/>
    <cellStyle name="_7기 에자이 현금흐름표 27" xfId="2184"/>
    <cellStyle name="_7기 에자이 현금흐름표 28" xfId="2185"/>
    <cellStyle name="_7기 에자이 현금흐름표 29" xfId="2186"/>
    <cellStyle name="_7기 에자이 현금흐름표 3" xfId="2187"/>
    <cellStyle name="_7기 에자이 현금흐름표 30" xfId="2188"/>
    <cellStyle name="_7기 에자이 현금흐름표 31" xfId="2189"/>
    <cellStyle name="_7기 에자이 현금흐름표 32" xfId="2190"/>
    <cellStyle name="_7기 에자이 현금흐름표 33" xfId="2191"/>
    <cellStyle name="_7기 에자이 현금흐름표 34" xfId="2192"/>
    <cellStyle name="_7기 에자이 현금흐름표 35" xfId="2193"/>
    <cellStyle name="_7기 에자이 현금흐름표 36" xfId="2194"/>
    <cellStyle name="_7기 에자이 현금흐름표 37" xfId="2195"/>
    <cellStyle name="_7기 에자이 현금흐름표 38" xfId="2196"/>
    <cellStyle name="_7기 에자이 현금흐름표 39" xfId="2197"/>
    <cellStyle name="_7기 에자이 현금흐름표 4" xfId="2198"/>
    <cellStyle name="_7기 에자이 현금흐름표 40" xfId="2199"/>
    <cellStyle name="_7기 에자이 현금흐름표 41" xfId="2200"/>
    <cellStyle name="_7기 에자이 현금흐름표 42" xfId="2201"/>
    <cellStyle name="_7기 에자이 현금흐름표 43" xfId="2202"/>
    <cellStyle name="_7기 에자이 현금흐름표 44" xfId="2203"/>
    <cellStyle name="_7기 에자이 현금흐름표 45" xfId="2204"/>
    <cellStyle name="_7기 에자이 현금흐름표 46" xfId="2205"/>
    <cellStyle name="_7기 에자이 현금흐름표 47" xfId="2206"/>
    <cellStyle name="_7기 에자이 현금흐름표 48" xfId="2207"/>
    <cellStyle name="_7기 에자이 현금흐름표 49" xfId="2208"/>
    <cellStyle name="_7기 에자이 현금흐름표 5" xfId="2209"/>
    <cellStyle name="_7기 에자이 현금흐름표 50" xfId="2210"/>
    <cellStyle name="_7기 에자이 현금흐름표 51" xfId="2211"/>
    <cellStyle name="_7기 에자이 현금흐름표 52" xfId="2212"/>
    <cellStyle name="_7기 에자이 현금흐름표 53" xfId="2213"/>
    <cellStyle name="_7기 에자이 현금흐름표 54" xfId="2214"/>
    <cellStyle name="_7기 에자이 현금흐름표 55" xfId="2215"/>
    <cellStyle name="_7기 에자이 현금흐름표 56" xfId="2216"/>
    <cellStyle name="_7기 에자이 현금흐름표 57" xfId="2217"/>
    <cellStyle name="_7기 에자이 현금흐름표 58" xfId="2218"/>
    <cellStyle name="_7기 에자이 현금흐름표 59" xfId="2219"/>
    <cellStyle name="_7기 에자이 현금흐름표 6" xfId="2220"/>
    <cellStyle name="_7기 에자이 현금흐름표 60" xfId="2221"/>
    <cellStyle name="_7기 에자이 현금흐름표 61" xfId="2222"/>
    <cellStyle name="_7기 에자이 현금흐름표 62" xfId="2223"/>
    <cellStyle name="_7기 에자이 현금흐름표 63" xfId="2224"/>
    <cellStyle name="_7기 에자이 현금흐름표 7" xfId="2225"/>
    <cellStyle name="_7기 에자이 현금흐름표 8" xfId="2226"/>
    <cellStyle name="_7기 에자이 현금흐름표 9" xfId="2227"/>
    <cellStyle name="_7월바겐햄낙농" xfId="2229"/>
    <cellStyle name="_8월 마진인상효과" xfId="2230"/>
    <cellStyle name="_99 Lead" xfId="2231"/>
    <cellStyle name="_9910-구매업무보고-05" xfId="2232"/>
    <cellStyle name="_9910-구매업무보고-05_1" xfId="2233"/>
    <cellStyle name="_Book1" xfId="7173"/>
    <cellStyle name="_Book3" xfId="7174"/>
    <cellStyle name="_BS행사계획(축산1)" xfId="7175"/>
    <cellStyle name="_CASH117" xfId="7176"/>
    <cellStyle name="_CF-0312" xfId="7177"/>
    <cellStyle name="_CF-0312 10" xfId="7178"/>
    <cellStyle name="_CF-0312 11" xfId="7179"/>
    <cellStyle name="_CF-0312 12" xfId="7180"/>
    <cellStyle name="_CF-0312 13" xfId="7181"/>
    <cellStyle name="_CF-0312 14" xfId="7182"/>
    <cellStyle name="_CF-0312 15" xfId="7183"/>
    <cellStyle name="_CF-0312 16" xfId="7184"/>
    <cellStyle name="_CF-0312 17" xfId="7185"/>
    <cellStyle name="_CF-0312 18" xfId="7186"/>
    <cellStyle name="_CF-0312 19" xfId="7187"/>
    <cellStyle name="_CF-0312 2" xfId="7188"/>
    <cellStyle name="_CF-0312 20" xfId="7189"/>
    <cellStyle name="_CF-0312 21" xfId="7190"/>
    <cellStyle name="_CF-0312 22" xfId="7191"/>
    <cellStyle name="_CF-0312 23" xfId="7192"/>
    <cellStyle name="_CF-0312 24" xfId="7193"/>
    <cellStyle name="_CF-0312 25" xfId="7194"/>
    <cellStyle name="_CF-0312 26" xfId="7195"/>
    <cellStyle name="_CF-0312 27" xfId="7196"/>
    <cellStyle name="_CF-0312 28" xfId="7197"/>
    <cellStyle name="_CF-0312 29" xfId="7198"/>
    <cellStyle name="_CF-0312 3" xfId="7199"/>
    <cellStyle name="_CF-0312 30" xfId="7200"/>
    <cellStyle name="_CF-0312 31" xfId="7201"/>
    <cellStyle name="_CF-0312 32" xfId="7202"/>
    <cellStyle name="_CF-0312 33" xfId="7203"/>
    <cellStyle name="_CF-0312 34" xfId="7204"/>
    <cellStyle name="_CF-0312 35" xfId="7205"/>
    <cellStyle name="_CF-0312 36" xfId="7206"/>
    <cellStyle name="_CF-0312 37" xfId="7207"/>
    <cellStyle name="_CF-0312 38" xfId="7208"/>
    <cellStyle name="_CF-0312 39" xfId="7209"/>
    <cellStyle name="_CF-0312 4" xfId="7210"/>
    <cellStyle name="_CF-0312 40" xfId="7211"/>
    <cellStyle name="_CF-0312 41" xfId="7212"/>
    <cellStyle name="_CF-0312 42" xfId="7213"/>
    <cellStyle name="_CF-0312 43" xfId="7214"/>
    <cellStyle name="_CF-0312 44" xfId="7215"/>
    <cellStyle name="_CF-0312 45" xfId="7216"/>
    <cellStyle name="_CF-0312 46" xfId="7217"/>
    <cellStyle name="_CF-0312 47" xfId="7218"/>
    <cellStyle name="_CF-0312 48" xfId="7219"/>
    <cellStyle name="_CF-0312 49" xfId="7220"/>
    <cellStyle name="_CF-0312 5" xfId="7221"/>
    <cellStyle name="_CF-0312 50" xfId="7222"/>
    <cellStyle name="_CF-0312 51" xfId="7223"/>
    <cellStyle name="_CF-0312 52" xfId="7224"/>
    <cellStyle name="_CF-0312 53" xfId="7225"/>
    <cellStyle name="_CF-0312 54" xfId="7226"/>
    <cellStyle name="_CF-0312 55" xfId="7227"/>
    <cellStyle name="_CF-0312 56" xfId="7228"/>
    <cellStyle name="_CF-0312 57" xfId="7229"/>
    <cellStyle name="_CF-0312 58" xfId="7230"/>
    <cellStyle name="_CF-0312 59" xfId="7231"/>
    <cellStyle name="_CF-0312 6" xfId="7232"/>
    <cellStyle name="_CF-0312 60" xfId="7233"/>
    <cellStyle name="_CF-0312 61" xfId="7234"/>
    <cellStyle name="_CF-0312 62" xfId="7235"/>
    <cellStyle name="_CF-0312 63" xfId="7236"/>
    <cellStyle name="_CF-0312 7" xfId="7237"/>
    <cellStyle name="_CF-0312 8" xfId="7238"/>
    <cellStyle name="_CF-0312 9" xfId="7239"/>
    <cellStyle name="_cfsrealfinal" xfId="7240"/>
    <cellStyle name="_Column1" xfId="7241"/>
    <cellStyle name="_Column2" xfId="7242"/>
    <cellStyle name="_Column3" xfId="7243"/>
    <cellStyle name="_Column4" xfId="7244"/>
    <cellStyle name="_Column5" xfId="7245"/>
    <cellStyle name="_Column6" xfId="7246"/>
    <cellStyle name="_Column7" xfId="7247"/>
    <cellStyle name="_Data" xfId="7248"/>
    <cellStyle name="_Fs Jun-2003" xfId="7249"/>
    <cellStyle name="_FS021231" xfId="7250"/>
    <cellStyle name="_FS021231 10" xfId="7251"/>
    <cellStyle name="_FS021231 11" xfId="7252"/>
    <cellStyle name="_FS021231 12" xfId="7253"/>
    <cellStyle name="_FS021231 13" xfId="7254"/>
    <cellStyle name="_FS021231 14" xfId="7255"/>
    <cellStyle name="_FS021231 15" xfId="7256"/>
    <cellStyle name="_FS021231 16" xfId="7257"/>
    <cellStyle name="_FS021231 17" xfId="7258"/>
    <cellStyle name="_FS021231 18" xfId="7259"/>
    <cellStyle name="_FS021231 19" xfId="7260"/>
    <cellStyle name="_FS021231 2" xfId="7261"/>
    <cellStyle name="_FS021231 20" xfId="7262"/>
    <cellStyle name="_FS021231 21" xfId="7263"/>
    <cellStyle name="_FS021231 22" xfId="7264"/>
    <cellStyle name="_FS021231 23" xfId="7265"/>
    <cellStyle name="_FS021231 24" xfId="7266"/>
    <cellStyle name="_FS021231 25" xfId="7267"/>
    <cellStyle name="_FS021231 26" xfId="7268"/>
    <cellStyle name="_FS021231 27" xfId="7269"/>
    <cellStyle name="_FS021231 28" xfId="7270"/>
    <cellStyle name="_FS021231 29" xfId="7271"/>
    <cellStyle name="_FS021231 3" xfId="7272"/>
    <cellStyle name="_FS021231 30" xfId="7273"/>
    <cellStyle name="_FS021231 31" xfId="7274"/>
    <cellStyle name="_FS021231 32" xfId="7275"/>
    <cellStyle name="_FS021231 33" xfId="7276"/>
    <cellStyle name="_FS021231 34" xfId="7277"/>
    <cellStyle name="_FS021231 35" xfId="7278"/>
    <cellStyle name="_FS021231 36" xfId="7279"/>
    <cellStyle name="_FS021231 37" xfId="7280"/>
    <cellStyle name="_FS021231 38" xfId="7281"/>
    <cellStyle name="_FS021231 39" xfId="7282"/>
    <cellStyle name="_FS021231 4" xfId="7283"/>
    <cellStyle name="_FS021231 40" xfId="7284"/>
    <cellStyle name="_FS021231 41" xfId="7285"/>
    <cellStyle name="_FS021231 42" xfId="7286"/>
    <cellStyle name="_FS021231 43" xfId="7287"/>
    <cellStyle name="_FS021231 44" xfId="7288"/>
    <cellStyle name="_FS021231 45" xfId="7289"/>
    <cellStyle name="_FS021231 46" xfId="7290"/>
    <cellStyle name="_FS021231 47" xfId="7291"/>
    <cellStyle name="_FS021231 48" xfId="7292"/>
    <cellStyle name="_FS021231 49" xfId="7293"/>
    <cellStyle name="_FS021231 5" xfId="7294"/>
    <cellStyle name="_FS021231 50" xfId="7295"/>
    <cellStyle name="_FS021231 51" xfId="7296"/>
    <cellStyle name="_FS021231 52" xfId="7297"/>
    <cellStyle name="_FS021231 53" xfId="7298"/>
    <cellStyle name="_FS021231 54" xfId="7299"/>
    <cellStyle name="_FS021231 55" xfId="7300"/>
    <cellStyle name="_FS021231 56" xfId="7301"/>
    <cellStyle name="_FS021231 57" xfId="7302"/>
    <cellStyle name="_FS021231 58" xfId="7303"/>
    <cellStyle name="_FS021231 59" xfId="7304"/>
    <cellStyle name="_FS021231 6" xfId="7305"/>
    <cellStyle name="_FS021231 60" xfId="7306"/>
    <cellStyle name="_FS021231 61" xfId="7307"/>
    <cellStyle name="_FS021231 62" xfId="7308"/>
    <cellStyle name="_FS021231 63" xfId="7309"/>
    <cellStyle name="_FS021231 7" xfId="7310"/>
    <cellStyle name="_FS021231 8" xfId="7311"/>
    <cellStyle name="_FS021231 9" xfId="7312"/>
    <cellStyle name="_FY2003 Q2 고정자산명세서" xfId="7313"/>
    <cellStyle name="_FY2003 Q2 유동부채명세서" xfId="7314"/>
    <cellStyle name="_Header" xfId="7315"/>
    <cellStyle name="_Header_라인손익" xfId="7316"/>
    <cellStyle name="_Header_세목" xfId="7317"/>
    <cellStyle name="_k조서" xfId="7318"/>
    <cellStyle name="_leadschedule _sample" xfId="7319"/>
    <cellStyle name="_PQT" xfId="7320"/>
    <cellStyle name="_PQT 10" xfId="7321"/>
    <cellStyle name="_PQT 11" xfId="7322"/>
    <cellStyle name="_PQT 12" xfId="7323"/>
    <cellStyle name="_PQT 13" xfId="7324"/>
    <cellStyle name="_PQT 14" xfId="7325"/>
    <cellStyle name="_PQT 15" xfId="7326"/>
    <cellStyle name="_PQT 16" xfId="7327"/>
    <cellStyle name="_PQT 17" xfId="7328"/>
    <cellStyle name="_PQT 18" xfId="7329"/>
    <cellStyle name="_PQT 19" xfId="7330"/>
    <cellStyle name="_PQT 2" xfId="7331"/>
    <cellStyle name="_PQT 20" xfId="7332"/>
    <cellStyle name="_PQT 21" xfId="7333"/>
    <cellStyle name="_PQT 22" xfId="7334"/>
    <cellStyle name="_PQT 23" xfId="7335"/>
    <cellStyle name="_PQT 24" xfId="7336"/>
    <cellStyle name="_PQT 25" xfId="7337"/>
    <cellStyle name="_PQT 26" xfId="7338"/>
    <cellStyle name="_PQT 27" xfId="7339"/>
    <cellStyle name="_PQT 28" xfId="7340"/>
    <cellStyle name="_PQT 29" xfId="7341"/>
    <cellStyle name="_PQT 3" xfId="7342"/>
    <cellStyle name="_PQT 30" xfId="7343"/>
    <cellStyle name="_PQT 31" xfId="7344"/>
    <cellStyle name="_PQT 32" xfId="7345"/>
    <cellStyle name="_PQT 33" xfId="7346"/>
    <cellStyle name="_PQT 34" xfId="7347"/>
    <cellStyle name="_PQT 35" xfId="7348"/>
    <cellStyle name="_PQT 36" xfId="7349"/>
    <cellStyle name="_PQT 37" xfId="7350"/>
    <cellStyle name="_PQT 38" xfId="7351"/>
    <cellStyle name="_PQT 39" xfId="7352"/>
    <cellStyle name="_PQT 4" xfId="7353"/>
    <cellStyle name="_PQT 40" xfId="7354"/>
    <cellStyle name="_PQT 41" xfId="7355"/>
    <cellStyle name="_PQT 42" xfId="7356"/>
    <cellStyle name="_PQT 43" xfId="7357"/>
    <cellStyle name="_PQT 44" xfId="7358"/>
    <cellStyle name="_PQT 45" xfId="7359"/>
    <cellStyle name="_PQT 46" xfId="7360"/>
    <cellStyle name="_PQT 47" xfId="7361"/>
    <cellStyle name="_PQT 48" xfId="7362"/>
    <cellStyle name="_PQT 49" xfId="7363"/>
    <cellStyle name="_PQT 5" xfId="7364"/>
    <cellStyle name="_PQT 50" xfId="7365"/>
    <cellStyle name="_PQT 51" xfId="7366"/>
    <cellStyle name="_PQT 52" xfId="7367"/>
    <cellStyle name="_PQT 53" xfId="7368"/>
    <cellStyle name="_PQT 54" xfId="7369"/>
    <cellStyle name="_PQT 55" xfId="7370"/>
    <cellStyle name="_PQT 56" xfId="7371"/>
    <cellStyle name="_PQT 57" xfId="7372"/>
    <cellStyle name="_PQT 58" xfId="7373"/>
    <cellStyle name="_PQT 59" xfId="7374"/>
    <cellStyle name="_PQT 6" xfId="7375"/>
    <cellStyle name="_PQT 60" xfId="7376"/>
    <cellStyle name="_PQT 61" xfId="7377"/>
    <cellStyle name="_PQT 62" xfId="7378"/>
    <cellStyle name="_PQT 63" xfId="7379"/>
    <cellStyle name="_PQT 7" xfId="7380"/>
    <cellStyle name="_PQT 8" xfId="7381"/>
    <cellStyle name="_PQT 9" xfId="7382"/>
    <cellStyle name="_PQT_04FS_KID산업" xfId="7383"/>
    <cellStyle name="_PQT_1" xfId="7384"/>
    <cellStyle name="_PQT_1_04FS_KID산업" xfId="7385"/>
    <cellStyle name="_PQT_1_2002FS_FINAL" xfId="7386"/>
    <cellStyle name="_PQT_1_2211  한주금속-2005FS의 워크시트" xfId="7387"/>
    <cellStyle name="_PQT_1_7기 에자이 현금흐름표" xfId="7388"/>
    <cellStyle name="_PQT_1_8720 18기이연법인세의 워크시트" xfId="7389"/>
    <cellStyle name="_PQT_1_Worksheet in (C) 8730 7기이연법인세검토" xfId="7394"/>
    <cellStyle name="_PQT_1_대차손익(20070331)_kjh" xfId="7390"/>
    <cellStyle name="_PQT_1_마이콤-2004fs(05.2.25)" xfId="7391"/>
    <cellStyle name="_PQT_1_부원05FS-최종" xfId="7392"/>
    <cellStyle name="_PQT_1_승구리- 코바이오SCF2003" xfId="7393"/>
    <cellStyle name="_PQT_2002FS_FINAL" xfId="7395"/>
    <cellStyle name="_PQT_2211  한주금속-2005FS의 워크시트" xfId="7396"/>
    <cellStyle name="_PQT_7기 에자이 현금흐름표" xfId="7397"/>
    <cellStyle name="_PQT_8720 18기이연법인세의 워크시트" xfId="7398"/>
    <cellStyle name="_PQT_Worksheet in (C) 8730 7기이연법인세검토" xfId="7403"/>
    <cellStyle name="_PQT_대차손익(20070331)_kjh" xfId="7399"/>
    <cellStyle name="_PQT_마이콤-2004fs(05.2.25)" xfId="7400"/>
    <cellStyle name="_PQT_부원05FS-최종" xfId="7401"/>
    <cellStyle name="_PQT_승구리- 코바이오SCF2003" xfId="7402"/>
    <cellStyle name="_RHD (2)" xfId="7404"/>
    <cellStyle name="_RHD (2)_04FS_KID산업" xfId="7405"/>
    <cellStyle name="_RHD (2)_1" xfId="7406"/>
    <cellStyle name="_RHD (2)_1_04FS_KID산업" xfId="7407"/>
    <cellStyle name="_RHD (2)_1_2002FS_FINAL" xfId="7408"/>
    <cellStyle name="_RHD (2)_1_2211  한주금속-2005FS의 워크시트" xfId="7409"/>
    <cellStyle name="_RHD (2)_1_7기 에자이 현금흐름표" xfId="7410"/>
    <cellStyle name="_RHD (2)_1_8720 18기이연법인세의 워크시트" xfId="7411"/>
    <cellStyle name="_RHD (2)_1_Worksheet in (C) 8730 7기이연법인세검토" xfId="7416"/>
    <cellStyle name="_RHD (2)_1_대차손익(20070331)_kjh" xfId="7412"/>
    <cellStyle name="_RHD (2)_1_마이콤-2004fs(05.2.25)" xfId="7413"/>
    <cellStyle name="_RHD (2)_1_부원05FS-최종" xfId="7414"/>
    <cellStyle name="_RHD (2)_1_승구리- 코바이오SCF2003" xfId="7415"/>
    <cellStyle name="_RHD (2)_2002FS_FINAL" xfId="7417"/>
    <cellStyle name="_RHD (2)_2211  한주금속-2005FS의 워크시트" xfId="7418"/>
    <cellStyle name="_RHD (2)_7기 에자이 현금흐름표" xfId="7419"/>
    <cellStyle name="_RHD (2)_8720 18기이연법인세의 워크시트" xfId="7420"/>
    <cellStyle name="_RHD (2)_Worksheet in (C) 8730 7기이연법인세검토" xfId="7425"/>
    <cellStyle name="_RHD (2)_대차손익(20070331)_kjh" xfId="7421"/>
    <cellStyle name="_RHD (2)_마이콤-2004fs(05.2.25)" xfId="7422"/>
    <cellStyle name="_RHD (2)_부원05FS-최종" xfId="7423"/>
    <cellStyle name="_RHD (2)_승구리- 코바이오SCF2003" xfId="7424"/>
    <cellStyle name="_Row1" xfId="7426"/>
    <cellStyle name="_Row2" xfId="7427"/>
    <cellStyle name="_Row3" xfId="7428"/>
    <cellStyle name="_Row4" xfId="7429"/>
    <cellStyle name="_Row5" xfId="7430"/>
    <cellStyle name="_Row6" xfId="7431"/>
    <cellStyle name="_Row7" xfId="7432"/>
    <cellStyle name="_Sheet1" xfId="7433"/>
    <cellStyle name="_Sheet3" xfId="7434"/>
    <cellStyle name="_Valuation" xfId="7435"/>
    <cellStyle name="_valuation-STX" xfId="7436"/>
    <cellStyle name="_Worksheet in (C) 8730 7기이연법인세검토" xfId="7437"/>
    <cellStyle name="_가공1_오픈행사계획서" xfId="2234"/>
    <cellStyle name="_감사조서00" xfId="2235"/>
    <cellStyle name="_감사조서00 10" xfId="2236"/>
    <cellStyle name="_감사조서00 11" xfId="2237"/>
    <cellStyle name="_감사조서00 12" xfId="2238"/>
    <cellStyle name="_감사조서00 13" xfId="2239"/>
    <cellStyle name="_감사조서00 14" xfId="2240"/>
    <cellStyle name="_감사조서00 15" xfId="2241"/>
    <cellStyle name="_감사조서00 16" xfId="2242"/>
    <cellStyle name="_감사조서00 17" xfId="2243"/>
    <cellStyle name="_감사조서00 18" xfId="2244"/>
    <cellStyle name="_감사조서00 19" xfId="2245"/>
    <cellStyle name="_감사조서00 2" xfId="2246"/>
    <cellStyle name="_감사조서00 20" xfId="2247"/>
    <cellStyle name="_감사조서00 21" xfId="2248"/>
    <cellStyle name="_감사조서00 22" xfId="2249"/>
    <cellStyle name="_감사조서00 23" xfId="2250"/>
    <cellStyle name="_감사조서00 24" xfId="2251"/>
    <cellStyle name="_감사조서00 25" xfId="2252"/>
    <cellStyle name="_감사조서00 26" xfId="2253"/>
    <cellStyle name="_감사조서00 27" xfId="2254"/>
    <cellStyle name="_감사조서00 28" xfId="2255"/>
    <cellStyle name="_감사조서00 29" xfId="2256"/>
    <cellStyle name="_감사조서00 3" xfId="2257"/>
    <cellStyle name="_감사조서00 30" xfId="2258"/>
    <cellStyle name="_감사조서00 31" xfId="2259"/>
    <cellStyle name="_감사조서00 32" xfId="2260"/>
    <cellStyle name="_감사조서00 33" xfId="2261"/>
    <cellStyle name="_감사조서00 34" xfId="2262"/>
    <cellStyle name="_감사조서00 35" xfId="2263"/>
    <cellStyle name="_감사조서00 36" xfId="2264"/>
    <cellStyle name="_감사조서00 37" xfId="2265"/>
    <cellStyle name="_감사조서00 38" xfId="2266"/>
    <cellStyle name="_감사조서00 39" xfId="2267"/>
    <cellStyle name="_감사조서00 4" xfId="2268"/>
    <cellStyle name="_감사조서00 40" xfId="2269"/>
    <cellStyle name="_감사조서00 41" xfId="2270"/>
    <cellStyle name="_감사조서00 42" xfId="2271"/>
    <cellStyle name="_감사조서00 43" xfId="2272"/>
    <cellStyle name="_감사조서00 44" xfId="2273"/>
    <cellStyle name="_감사조서00 45" xfId="2274"/>
    <cellStyle name="_감사조서00 46" xfId="2275"/>
    <cellStyle name="_감사조서00 47" xfId="2276"/>
    <cellStyle name="_감사조서00 48" xfId="2277"/>
    <cellStyle name="_감사조서00 49" xfId="2278"/>
    <cellStyle name="_감사조서00 5" xfId="2279"/>
    <cellStyle name="_감사조서00 50" xfId="2280"/>
    <cellStyle name="_감사조서00 51" xfId="2281"/>
    <cellStyle name="_감사조서00 52" xfId="2282"/>
    <cellStyle name="_감사조서00 53" xfId="2283"/>
    <cellStyle name="_감사조서00 54" xfId="2284"/>
    <cellStyle name="_감사조서00 55" xfId="2285"/>
    <cellStyle name="_감사조서00 56" xfId="2286"/>
    <cellStyle name="_감사조서00 57" xfId="2287"/>
    <cellStyle name="_감사조서00 58" xfId="2288"/>
    <cellStyle name="_감사조서00 59" xfId="2289"/>
    <cellStyle name="_감사조서00 6" xfId="2290"/>
    <cellStyle name="_감사조서00 60" xfId="2291"/>
    <cellStyle name="_감사조서00 61" xfId="2292"/>
    <cellStyle name="_감사조서00 62" xfId="2293"/>
    <cellStyle name="_감사조서00 63" xfId="2294"/>
    <cellStyle name="_감사조서00 7" xfId="2295"/>
    <cellStyle name="_감사조서00 8" xfId="2296"/>
    <cellStyle name="_감사조서00 9" xfId="2297"/>
    <cellStyle name="_감사조서00_2002FS_FINAL" xfId="2298"/>
    <cellStyle name="_감사조서00_2002FS_FINAL 10" xfId="2299"/>
    <cellStyle name="_감사조서00_2002FS_FINAL 11" xfId="2300"/>
    <cellStyle name="_감사조서00_2002FS_FINAL 12" xfId="2301"/>
    <cellStyle name="_감사조서00_2002FS_FINAL 13" xfId="2302"/>
    <cellStyle name="_감사조서00_2002FS_FINAL 14" xfId="2303"/>
    <cellStyle name="_감사조서00_2002FS_FINAL 15" xfId="2304"/>
    <cellStyle name="_감사조서00_2002FS_FINAL 16" xfId="2305"/>
    <cellStyle name="_감사조서00_2002FS_FINAL 17" xfId="2306"/>
    <cellStyle name="_감사조서00_2002FS_FINAL 18" xfId="2307"/>
    <cellStyle name="_감사조서00_2002FS_FINAL 19" xfId="2308"/>
    <cellStyle name="_감사조서00_2002FS_FINAL 2" xfId="2309"/>
    <cellStyle name="_감사조서00_2002FS_FINAL 20" xfId="2310"/>
    <cellStyle name="_감사조서00_2002FS_FINAL 21" xfId="2311"/>
    <cellStyle name="_감사조서00_2002FS_FINAL 22" xfId="2312"/>
    <cellStyle name="_감사조서00_2002FS_FINAL 23" xfId="2313"/>
    <cellStyle name="_감사조서00_2002FS_FINAL 24" xfId="2314"/>
    <cellStyle name="_감사조서00_2002FS_FINAL 25" xfId="2315"/>
    <cellStyle name="_감사조서00_2002FS_FINAL 26" xfId="2316"/>
    <cellStyle name="_감사조서00_2002FS_FINAL 27" xfId="2317"/>
    <cellStyle name="_감사조서00_2002FS_FINAL 28" xfId="2318"/>
    <cellStyle name="_감사조서00_2002FS_FINAL 29" xfId="2319"/>
    <cellStyle name="_감사조서00_2002FS_FINAL 3" xfId="2320"/>
    <cellStyle name="_감사조서00_2002FS_FINAL 30" xfId="2321"/>
    <cellStyle name="_감사조서00_2002FS_FINAL 31" xfId="2322"/>
    <cellStyle name="_감사조서00_2002FS_FINAL 32" xfId="2323"/>
    <cellStyle name="_감사조서00_2002FS_FINAL 33" xfId="2324"/>
    <cellStyle name="_감사조서00_2002FS_FINAL 34" xfId="2325"/>
    <cellStyle name="_감사조서00_2002FS_FINAL 35" xfId="2326"/>
    <cellStyle name="_감사조서00_2002FS_FINAL 36" xfId="2327"/>
    <cellStyle name="_감사조서00_2002FS_FINAL 37" xfId="2328"/>
    <cellStyle name="_감사조서00_2002FS_FINAL 38" xfId="2329"/>
    <cellStyle name="_감사조서00_2002FS_FINAL 39" xfId="2330"/>
    <cellStyle name="_감사조서00_2002FS_FINAL 4" xfId="2331"/>
    <cellStyle name="_감사조서00_2002FS_FINAL 40" xfId="2332"/>
    <cellStyle name="_감사조서00_2002FS_FINAL 41" xfId="2333"/>
    <cellStyle name="_감사조서00_2002FS_FINAL 42" xfId="2334"/>
    <cellStyle name="_감사조서00_2002FS_FINAL 43" xfId="2335"/>
    <cellStyle name="_감사조서00_2002FS_FINAL 44" xfId="2336"/>
    <cellStyle name="_감사조서00_2002FS_FINAL 45" xfId="2337"/>
    <cellStyle name="_감사조서00_2002FS_FINAL 46" xfId="2338"/>
    <cellStyle name="_감사조서00_2002FS_FINAL 47" xfId="2339"/>
    <cellStyle name="_감사조서00_2002FS_FINAL 48" xfId="2340"/>
    <cellStyle name="_감사조서00_2002FS_FINAL 49" xfId="2341"/>
    <cellStyle name="_감사조서00_2002FS_FINAL 5" xfId="2342"/>
    <cellStyle name="_감사조서00_2002FS_FINAL 50" xfId="2343"/>
    <cellStyle name="_감사조서00_2002FS_FINAL 51" xfId="2344"/>
    <cellStyle name="_감사조서00_2002FS_FINAL 52" xfId="2345"/>
    <cellStyle name="_감사조서00_2002FS_FINAL 53" xfId="2346"/>
    <cellStyle name="_감사조서00_2002FS_FINAL 54" xfId="2347"/>
    <cellStyle name="_감사조서00_2002FS_FINAL 55" xfId="2348"/>
    <cellStyle name="_감사조서00_2002FS_FINAL 56" xfId="2349"/>
    <cellStyle name="_감사조서00_2002FS_FINAL 57" xfId="2350"/>
    <cellStyle name="_감사조서00_2002FS_FINAL 58" xfId="2351"/>
    <cellStyle name="_감사조서00_2002FS_FINAL 59" xfId="2352"/>
    <cellStyle name="_감사조서00_2002FS_FINAL 6" xfId="2353"/>
    <cellStyle name="_감사조서00_2002FS_FINAL 60" xfId="2354"/>
    <cellStyle name="_감사조서00_2002FS_FINAL 61" xfId="2355"/>
    <cellStyle name="_감사조서00_2002FS_FINAL 62" xfId="2356"/>
    <cellStyle name="_감사조서00_2002FS_FINAL 63" xfId="2357"/>
    <cellStyle name="_감사조서00_2002FS_FINAL 7" xfId="2358"/>
    <cellStyle name="_감사조서00_2002FS_FINAL 8" xfId="2359"/>
    <cellStyle name="_감사조서00_2002FS_FINAL 9" xfId="2360"/>
    <cellStyle name="_감사조서00_승구리- 코바이오SCF2003" xfId="2361"/>
    <cellStyle name="_감사조서00_승구리- 코바이오SCF2003 10" xfId="2362"/>
    <cellStyle name="_감사조서00_승구리- 코바이오SCF2003 11" xfId="2363"/>
    <cellStyle name="_감사조서00_승구리- 코바이오SCF2003 12" xfId="2364"/>
    <cellStyle name="_감사조서00_승구리- 코바이오SCF2003 13" xfId="2365"/>
    <cellStyle name="_감사조서00_승구리- 코바이오SCF2003 14" xfId="2366"/>
    <cellStyle name="_감사조서00_승구리- 코바이오SCF2003 15" xfId="2367"/>
    <cellStyle name="_감사조서00_승구리- 코바이오SCF2003 16" xfId="2368"/>
    <cellStyle name="_감사조서00_승구리- 코바이오SCF2003 17" xfId="2369"/>
    <cellStyle name="_감사조서00_승구리- 코바이오SCF2003 18" xfId="2370"/>
    <cellStyle name="_감사조서00_승구리- 코바이오SCF2003 19" xfId="2371"/>
    <cellStyle name="_감사조서00_승구리- 코바이오SCF2003 2" xfId="2372"/>
    <cellStyle name="_감사조서00_승구리- 코바이오SCF2003 20" xfId="2373"/>
    <cellStyle name="_감사조서00_승구리- 코바이오SCF2003 21" xfId="2374"/>
    <cellStyle name="_감사조서00_승구리- 코바이오SCF2003 22" xfId="2375"/>
    <cellStyle name="_감사조서00_승구리- 코바이오SCF2003 23" xfId="2376"/>
    <cellStyle name="_감사조서00_승구리- 코바이오SCF2003 24" xfId="2377"/>
    <cellStyle name="_감사조서00_승구리- 코바이오SCF2003 25" xfId="2378"/>
    <cellStyle name="_감사조서00_승구리- 코바이오SCF2003 26" xfId="2379"/>
    <cellStyle name="_감사조서00_승구리- 코바이오SCF2003 27" xfId="2380"/>
    <cellStyle name="_감사조서00_승구리- 코바이오SCF2003 28" xfId="2381"/>
    <cellStyle name="_감사조서00_승구리- 코바이오SCF2003 29" xfId="2382"/>
    <cellStyle name="_감사조서00_승구리- 코바이오SCF2003 3" xfId="2383"/>
    <cellStyle name="_감사조서00_승구리- 코바이오SCF2003 30" xfId="2384"/>
    <cellStyle name="_감사조서00_승구리- 코바이오SCF2003 31" xfId="2385"/>
    <cellStyle name="_감사조서00_승구리- 코바이오SCF2003 32" xfId="2386"/>
    <cellStyle name="_감사조서00_승구리- 코바이오SCF2003 33" xfId="2387"/>
    <cellStyle name="_감사조서00_승구리- 코바이오SCF2003 34" xfId="2388"/>
    <cellStyle name="_감사조서00_승구리- 코바이오SCF2003 35" xfId="2389"/>
    <cellStyle name="_감사조서00_승구리- 코바이오SCF2003 36" xfId="2390"/>
    <cellStyle name="_감사조서00_승구리- 코바이오SCF2003 37" xfId="2391"/>
    <cellStyle name="_감사조서00_승구리- 코바이오SCF2003 38" xfId="2392"/>
    <cellStyle name="_감사조서00_승구리- 코바이오SCF2003 39" xfId="2393"/>
    <cellStyle name="_감사조서00_승구리- 코바이오SCF2003 4" xfId="2394"/>
    <cellStyle name="_감사조서00_승구리- 코바이오SCF2003 40" xfId="2395"/>
    <cellStyle name="_감사조서00_승구리- 코바이오SCF2003 41" xfId="2396"/>
    <cellStyle name="_감사조서00_승구리- 코바이오SCF2003 42" xfId="2397"/>
    <cellStyle name="_감사조서00_승구리- 코바이오SCF2003 43" xfId="2398"/>
    <cellStyle name="_감사조서00_승구리- 코바이오SCF2003 44" xfId="2399"/>
    <cellStyle name="_감사조서00_승구리- 코바이오SCF2003 45" xfId="2400"/>
    <cellStyle name="_감사조서00_승구리- 코바이오SCF2003 46" xfId="2401"/>
    <cellStyle name="_감사조서00_승구리- 코바이오SCF2003 47" xfId="2402"/>
    <cellStyle name="_감사조서00_승구리- 코바이오SCF2003 48" xfId="2403"/>
    <cellStyle name="_감사조서00_승구리- 코바이오SCF2003 49" xfId="2404"/>
    <cellStyle name="_감사조서00_승구리- 코바이오SCF2003 5" xfId="2405"/>
    <cellStyle name="_감사조서00_승구리- 코바이오SCF2003 50" xfId="2406"/>
    <cellStyle name="_감사조서00_승구리- 코바이오SCF2003 51" xfId="2407"/>
    <cellStyle name="_감사조서00_승구리- 코바이오SCF2003 52" xfId="2408"/>
    <cellStyle name="_감사조서00_승구리- 코바이오SCF2003 53" xfId="2409"/>
    <cellStyle name="_감사조서00_승구리- 코바이오SCF2003 54" xfId="2410"/>
    <cellStyle name="_감사조서00_승구리- 코바이오SCF2003 55" xfId="2411"/>
    <cellStyle name="_감사조서00_승구리- 코바이오SCF2003 56" xfId="2412"/>
    <cellStyle name="_감사조서00_승구리- 코바이오SCF2003 57" xfId="2413"/>
    <cellStyle name="_감사조서00_승구리- 코바이오SCF2003 58" xfId="2414"/>
    <cellStyle name="_감사조서00_승구리- 코바이오SCF2003 59" xfId="2415"/>
    <cellStyle name="_감사조서00_승구리- 코바이오SCF2003 6" xfId="2416"/>
    <cellStyle name="_감사조서00_승구리- 코바이오SCF2003 60" xfId="2417"/>
    <cellStyle name="_감사조서00_승구리- 코바이오SCF2003 61" xfId="2418"/>
    <cellStyle name="_감사조서00_승구리- 코바이오SCF2003 62" xfId="2419"/>
    <cellStyle name="_감사조서00_승구리- 코바이오SCF2003 63" xfId="2420"/>
    <cellStyle name="_감사조서00_승구리- 코바이오SCF2003 7" xfId="2421"/>
    <cellStyle name="_감사조서00_승구리- 코바이오SCF2003 8" xfId="2422"/>
    <cellStyle name="_감사조서00_승구리- 코바이오SCF2003 9" xfId="2423"/>
    <cellStyle name="_감사조서99-1" xfId="2424"/>
    <cellStyle name="_감사조서99-1 10" xfId="2425"/>
    <cellStyle name="_감사조서99-1 11" xfId="2426"/>
    <cellStyle name="_감사조서99-1 12" xfId="2427"/>
    <cellStyle name="_감사조서99-1 13" xfId="2428"/>
    <cellStyle name="_감사조서99-1 14" xfId="2429"/>
    <cellStyle name="_감사조서99-1 15" xfId="2430"/>
    <cellStyle name="_감사조서99-1 16" xfId="2431"/>
    <cellStyle name="_감사조서99-1 17" xfId="2432"/>
    <cellStyle name="_감사조서99-1 18" xfId="2433"/>
    <cellStyle name="_감사조서99-1 19" xfId="2434"/>
    <cellStyle name="_감사조서99-1 2" xfId="2435"/>
    <cellStyle name="_감사조서99-1 20" xfId="2436"/>
    <cellStyle name="_감사조서99-1 21" xfId="2437"/>
    <cellStyle name="_감사조서99-1 22" xfId="2438"/>
    <cellStyle name="_감사조서99-1 23" xfId="2439"/>
    <cellStyle name="_감사조서99-1 24" xfId="2440"/>
    <cellStyle name="_감사조서99-1 25" xfId="2441"/>
    <cellStyle name="_감사조서99-1 26" xfId="2442"/>
    <cellStyle name="_감사조서99-1 27" xfId="2443"/>
    <cellStyle name="_감사조서99-1 28" xfId="2444"/>
    <cellStyle name="_감사조서99-1 29" xfId="2445"/>
    <cellStyle name="_감사조서99-1 3" xfId="2446"/>
    <cellStyle name="_감사조서99-1 30" xfId="2447"/>
    <cellStyle name="_감사조서99-1 31" xfId="2448"/>
    <cellStyle name="_감사조서99-1 32" xfId="2449"/>
    <cellStyle name="_감사조서99-1 33" xfId="2450"/>
    <cellStyle name="_감사조서99-1 34" xfId="2451"/>
    <cellStyle name="_감사조서99-1 35" xfId="2452"/>
    <cellStyle name="_감사조서99-1 36" xfId="2453"/>
    <cellStyle name="_감사조서99-1 37" xfId="2454"/>
    <cellStyle name="_감사조서99-1 38" xfId="2455"/>
    <cellStyle name="_감사조서99-1 39" xfId="2456"/>
    <cellStyle name="_감사조서99-1 4" xfId="2457"/>
    <cellStyle name="_감사조서99-1 40" xfId="2458"/>
    <cellStyle name="_감사조서99-1 41" xfId="2459"/>
    <cellStyle name="_감사조서99-1 42" xfId="2460"/>
    <cellStyle name="_감사조서99-1 43" xfId="2461"/>
    <cellStyle name="_감사조서99-1 44" xfId="2462"/>
    <cellStyle name="_감사조서99-1 45" xfId="2463"/>
    <cellStyle name="_감사조서99-1 46" xfId="2464"/>
    <cellStyle name="_감사조서99-1 47" xfId="2465"/>
    <cellStyle name="_감사조서99-1 48" xfId="2466"/>
    <cellStyle name="_감사조서99-1 49" xfId="2467"/>
    <cellStyle name="_감사조서99-1 5" xfId="2468"/>
    <cellStyle name="_감사조서99-1 50" xfId="2469"/>
    <cellStyle name="_감사조서99-1 51" xfId="2470"/>
    <cellStyle name="_감사조서99-1 52" xfId="2471"/>
    <cellStyle name="_감사조서99-1 53" xfId="2472"/>
    <cellStyle name="_감사조서99-1 54" xfId="2473"/>
    <cellStyle name="_감사조서99-1 55" xfId="2474"/>
    <cellStyle name="_감사조서99-1 56" xfId="2475"/>
    <cellStyle name="_감사조서99-1 57" xfId="2476"/>
    <cellStyle name="_감사조서99-1 58" xfId="2477"/>
    <cellStyle name="_감사조서99-1 59" xfId="2478"/>
    <cellStyle name="_감사조서99-1 6" xfId="2479"/>
    <cellStyle name="_감사조서99-1 60" xfId="2480"/>
    <cellStyle name="_감사조서99-1 61" xfId="2481"/>
    <cellStyle name="_감사조서99-1 62" xfId="2482"/>
    <cellStyle name="_감사조서99-1 63" xfId="2483"/>
    <cellStyle name="_감사조서99-1 7" xfId="2484"/>
    <cellStyle name="_감사조서99-1 8" xfId="2485"/>
    <cellStyle name="_감사조서99-1 9" xfId="2486"/>
    <cellStyle name="_감사조서99-1_2002FS_FINAL" xfId="2487"/>
    <cellStyle name="_감사조서99-1_2002FS_FINAL 10" xfId="2488"/>
    <cellStyle name="_감사조서99-1_2002FS_FINAL 11" xfId="2489"/>
    <cellStyle name="_감사조서99-1_2002FS_FINAL 12" xfId="2490"/>
    <cellStyle name="_감사조서99-1_2002FS_FINAL 13" xfId="2491"/>
    <cellStyle name="_감사조서99-1_2002FS_FINAL 14" xfId="2492"/>
    <cellStyle name="_감사조서99-1_2002FS_FINAL 15" xfId="2493"/>
    <cellStyle name="_감사조서99-1_2002FS_FINAL 16" xfId="2494"/>
    <cellStyle name="_감사조서99-1_2002FS_FINAL 17" xfId="2495"/>
    <cellStyle name="_감사조서99-1_2002FS_FINAL 18" xfId="2496"/>
    <cellStyle name="_감사조서99-1_2002FS_FINAL 19" xfId="2497"/>
    <cellStyle name="_감사조서99-1_2002FS_FINAL 2" xfId="2498"/>
    <cellStyle name="_감사조서99-1_2002FS_FINAL 20" xfId="2499"/>
    <cellStyle name="_감사조서99-1_2002FS_FINAL 21" xfId="2500"/>
    <cellStyle name="_감사조서99-1_2002FS_FINAL 22" xfId="2501"/>
    <cellStyle name="_감사조서99-1_2002FS_FINAL 23" xfId="2502"/>
    <cellStyle name="_감사조서99-1_2002FS_FINAL 24" xfId="2503"/>
    <cellStyle name="_감사조서99-1_2002FS_FINAL 25" xfId="2504"/>
    <cellStyle name="_감사조서99-1_2002FS_FINAL 26" xfId="2505"/>
    <cellStyle name="_감사조서99-1_2002FS_FINAL 27" xfId="2506"/>
    <cellStyle name="_감사조서99-1_2002FS_FINAL 28" xfId="2507"/>
    <cellStyle name="_감사조서99-1_2002FS_FINAL 29" xfId="2508"/>
    <cellStyle name="_감사조서99-1_2002FS_FINAL 3" xfId="2509"/>
    <cellStyle name="_감사조서99-1_2002FS_FINAL 30" xfId="2510"/>
    <cellStyle name="_감사조서99-1_2002FS_FINAL 31" xfId="2511"/>
    <cellStyle name="_감사조서99-1_2002FS_FINAL 32" xfId="2512"/>
    <cellStyle name="_감사조서99-1_2002FS_FINAL 33" xfId="2513"/>
    <cellStyle name="_감사조서99-1_2002FS_FINAL 34" xfId="2514"/>
    <cellStyle name="_감사조서99-1_2002FS_FINAL 35" xfId="2515"/>
    <cellStyle name="_감사조서99-1_2002FS_FINAL 36" xfId="2516"/>
    <cellStyle name="_감사조서99-1_2002FS_FINAL 37" xfId="2517"/>
    <cellStyle name="_감사조서99-1_2002FS_FINAL 38" xfId="2518"/>
    <cellStyle name="_감사조서99-1_2002FS_FINAL 39" xfId="2519"/>
    <cellStyle name="_감사조서99-1_2002FS_FINAL 4" xfId="2520"/>
    <cellStyle name="_감사조서99-1_2002FS_FINAL 40" xfId="2521"/>
    <cellStyle name="_감사조서99-1_2002FS_FINAL 41" xfId="2522"/>
    <cellStyle name="_감사조서99-1_2002FS_FINAL 42" xfId="2523"/>
    <cellStyle name="_감사조서99-1_2002FS_FINAL 43" xfId="2524"/>
    <cellStyle name="_감사조서99-1_2002FS_FINAL 44" xfId="2525"/>
    <cellStyle name="_감사조서99-1_2002FS_FINAL 45" xfId="2526"/>
    <cellStyle name="_감사조서99-1_2002FS_FINAL 46" xfId="2527"/>
    <cellStyle name="_감사조서99-1_2002FS_FINAL 47" xfId="2528"/>
    <cellStyle name="_감사조서99-1_2002FS_FINAL 48" xfId="2529"/>
    <cellStyle name="_감사조서99-1_2002FS_FINAL 49" xfId="2530"/>
    <cellStyle name="_감사조서99-1_2002FS_FINAL 5" xfId="2531"/>
    <cellStyle name="_감사조서99-1_2002FS_FINAL 50" xfId="2532"/>
    <cellStyle name="_감사조서99-1_2002FS_FINAL 51" xfId="2533"/>
    <cellStyle name="_감사조서99-1_2002FS_FINAL 52" xfId="2534"/>
    <cellStyle name="_감사조서99-1_2002FS_FINAL 53" xfId="2535"/>
    <cellStyle name="_감사조서99-1_2002FS_FINAL 54" xfId="2536"/>
    <cellStyle name="_감사조서99-1_2002FS_FINAL 55" xfId="2537"/>
    <cellStyle name="_감사조서99-1_2002FS_FINAL 56" xfId="2538"/>
    <cellStyle name="_감사조서99-1_2002FS_FINAL 57" xfId="2539"/>
    <cellStyle name="_감사조서99-1_2002FS_FINAL 58" xfId="2540"/>
    <cellStyle name="_감사조서99-1_2002FS_FINAL 59" xfId="2541"/>
    <cellStyle name="_감사조서99-1_2002FS_FINAL 6" xfId="2542"/>
    <cellStyle name="_감사조서99-1_2002FS_FINAL 60" xfId="2543"/>
    <cellStyle name="_감사조서99-1_2002FS_FINAL 61" xfId="2544"/>
    <cellStyle name="_감사조서99-1_2002FS_FINAL 62" xfId="2545"/>
    <cellStyle name="_감사조서99-1_2002FS_FINAL 63" xfId="2546"/>
    <cellStyle name="_감사조서99-1_2002FS_FINAL 7" xfId="2547"/>
    <cellStyle name="_감사조서99-1_2002FS_FINAL 8" xfId="2548"/>
    <cellStyle name="_감사조서99-1_2002FS_FINAL 9" xfId="2549"/>
    <cellStyle name="_감사조서99-1_승구리- 코바이오SCF2003" xfId="2550"/>
    <cellStyle name="_감사조서99-1_승구리- 코바이오SCF2003 10" xfId="2551"/>
    <cellStyle name="_감사조서99-1_승구리- 코바이오SCF2003 11" xfId="2552"/>
    <cellStyle name="_감사조서99-1_승구리- 코바이오SCF2003 12" xfId="2553"/>
    <cellStyle name="_감사조서99-1_승구리- 코바이오SCF2003 13" xfId="2554"/>
    <cellStyle name="_감사조서99-1_승구리- 코바이오SCF2003 14" xfId="2555"/>
    <cellStyle name="_감사조서99-1_승구리- 코바이오SCF2003 15" xfId="2556"/>
    <cellStyle name="_감사조서99-1_승구리- 코바이오SCF2003 16" xfId="2557"/>
    <cellStyle name="_감사조서99-1_승구리- 코바이오SCF2003 17" xfId="2558"/>
    <cellStyle name="_감사조서99-1_승구리- 코바이오SCF2003 18" xfId="2559"/>
    <cellStyle name="_감사조서99-1_승구리- 코바이오SCF2003 19" xfId="2560"/>
    <cellStyle name="_감사조서99-1_승구리- 코바이오SCF2003 2" xfId="2561"/>
    <cellStyle name="_감사조서99-1_승구리- 코바이오SCF2003 20" xfId="2562"/>
    <cellStyle name="_감사조서99-1_승구리- 코바이오SCF2003 21" xfId="2563"/>
    <cellStyle name="_감사조서99-1_승구리- 코바이오SCF2003 22" xfId="2564"/>
    <cellStyle name="_감사조서99-1_승구리- 코바이오SCF2003 23" xfId="2565"/>
    <cellStyle name="_감사조서99-1_승구리- 코바이오SCF2003 24" xfId="2566"/>
    <cellStyle name="_감사조서99-1_승구리- 코바이오SCF2003 25" xfId="2567"/>
    <cellStyle name="_감사조서99-1_승구리- 코바이오SCF2003 26" xfId="2568"/>
    <cellStyle name="_감사조서99-1_승구리- 코바이오SCF2003 27" xfId="2569"/>
    <cellStyle name="_감사조서99-1_승구리- 코바이오SCF2003 28" xfId="2570"/>
    <cellStyle name="_감사조서99-1_승구리- 코바이오SCF2003 29" xfId="2571"/>
    <cellStyle name="_감사조서99-1_승구리- 코바이오SCF2003 3" xfId="2572"/>
    <cellStyle name="_감사조서99-1_승구리- 코바이오SCF2003 30" xfId="2573"/>
    <cellStyle name="_감사조서99-1_승구리- 코바이오SCF2003 31" xfId="2574"/>
    <cellStyle name="_감사조서99-1_승구리- 코바이오SCF2003 32" xfId="2575"/>
    <cellStyle name="_감사조서99-1_승구리- 코바이오SCF2003 33" xfId="2576"/>
    <cellStyle name="_감사조서99-1_승구리- 코바이오SCF2003 34" xfId="2577"/>
    <cellStyle name="_감사조서99-1_승구리- 코바이오SCF2003 35" xfId="2578"/>
    <cellStyle name="_감사조서99-1_승구리- 코바이오SCF2003 36" xfId="2579"/>
    <cellStyle name="_감사조서99-1_승구리- 코바이오SCF2003 37" xfId="2580"/>
    <cellStyle name="_감사조서99-1_승구리- 코바이오SCF2003 38" xfId="2581"/>
    <cellStyle name="_감사조서99-1_승구리- 코바이오SCF2003 39" xfId="2582"/>
    <cellStyle name="_감사조서99-1_승구리- 코바이오SCF2003 4" xfId="2583"/>
    <cellStyle name="_감사조서99-1_승구리- 코바이오SCF2003 40" xfId="2584"/>
    <cellStyle name="_감사조서99-1_승구리- 코바이오SCF2003 41" xfId="2585"/>
    <cellStyle name="_감사조서99-1_승구리- 코바이오SCF2003 42" xfId="2586"/>
    <cellStyle name="_감사조서99-1_승구리- 코바이오SCF2003 43" xfId="2587"/>
    <cellStyle name="_감사조서99-1_승구리- 코바이오SCF2003 44" xfId="2588"/>
    <cellStyle name="_감사조서99-1_승구리- 코바이오SCF2003 45" xfId="2589"/>
    <cellStyle name="_감사조서99-1_승구리- 코바이오SCF2003 46" xfId="2590"/>
    <cellStyle name="_감사조서99-1_승구리- 코바이오SCF2003 47" xfId="2591"/>
    <cellStyle name="_감사조서99-1_승구리- 코바이오SCF2003 48" xfId="2592"/>
    <cellStyle name="_감사조서99-1_승구리- 코바이오SCF2003 49" xfId="2593"/>
    <cellStyle name="_감사조서99-1_승구리- 코바이오SCF2003 5" xfId="2594"/>
    <cellStyle name="_감사조서99-1_승구리- 코바이오SCF2003 50" xfId="2595"/>
    <cellStyle name="_감사조서99-1_승구리- 코바이오SCF2003 51" xfId="2596"/>
    <cellStyle name="_감사조서99-1_승구리- 코바이오SCF2003 52" xfId="2597"/>
    <cellStyle name="_감사조서99-1_승구리- 코바이오SCF2003 53" xfId="2598"/>
    <cellStyle name="_감사조서99-1_승구리- 코바이오SCF2003 54" xfId="2599"/>
    <cellStyle name="_감사조서99-1_승구리- 코바이오SCF2003 55" xfId="2600"/>
    <cellStyle name="_감사조서99-1_승구리- 코바이오SCF2003 56" xfId="2601"/>
    <cellStyle name="_감사조서99-1_승구리- 코바이오SCF2003 57" xfId="2602"/>
    <cellStyle name="_감사조서99-1_승구리- 코바이오SCF2003 58" xfId="2603"/>
    <cellStyle name="_감사조서99-1_승구리- 코바이오SCF2003 59" xfId="2604"/>
    <cellStyle name="_감사조서99-1_승구리- 코바이오SCF2003 6" xfId="2605"/>
    <cellStyle name="_감사조서99-1_승구리- 코바이오SCF2003 60" xfId="2606"/>
    <cellStyle name="_감사조서99-1_승구리- 코바이오SCF2003 61" xfId="2607"/>
    <cellStyle name="_감사조서99-1_승구리- 코바이오SCF2003 62" xfId="2608"/>
    <cellStyle name="_감사조서99-1_승구리- 코바이오SCF2003 63" xfId="2609"/>
    <cellStyle name="_감사조서99-1_승구리- 코바이오SCF2003 7" xfId="2610"/>
    <cellStyle name="_감사조서99-1_승구리- 코바이오SCF2003 8" xfId="2611"/>
    <cellStyle name="_감사조서99-1_승구리- 코바이오SCF2003 9" xfId="2612"/>
    <cellStyle name="_강서GSD WTB" xfId="2613"/>
    <cellStyle name="_결산명세서(060731)ver(1).3" xfId="2614"/>
    <cellStyle name="_계정명세_200206" xfId="2615"/>
    <cellStyle name="_과거재무(2003~2006)" xfId="2616"/>
    <cellStyle name="_금형" xfId="2617"/>
    <cellStyle name="_금형_04FS_KID산업" xfId="2618"/>
    <cellStyle name="_금형_2002FS_FINAL" xfId="2619"/>
    <cellStyle name="_금형_2211  한주금속-2005FS의 워크시트" xfId="2620"/>
    <cellStyle name="_금형_7기 에자이 현금흐름표" xfId="2621"/>
    <cellStyle name="_금형_8720 18기이연법인세의 워크시트" xfId="2622"/>
    <cellStyle name="_금형_Worksheet in (C) 8730 7기이연법인세검토" xfId="2627"/>
    <cellStyle name="_금형_대차손익(20070331)_kjh" xfId="2623"/>
    <cellStyle name="_금형_마이콤-2004fs(05.2.25)" xfId="2624"/>
    <cellStyle name="_금형_부원05FS-최종" xfId="2625"/>
    <cellStyle name="_금형_승구리- 코바이오SCF2003" xfId="2626"/>
    <cellStyle name="_기말감사" xfId="2628"/>
    <cellStyle name="_대우BP~1" xfId="2629"/>
    <cellStyle name="_대차손익(20070331)_kjh" xfId="2630"/>
    <cellStyle name="_디피씨_기말4" xfId="2631"/>
    <cellStyle name="_로체 반기 검토" xfId="2632"/>
    <cellStyle name="_마이콤-2004fs(05.2.25)" xfId="2633"/>
    <cellStyle name="_마이콤-2004fs(05.2.25) 10" xfId="2634"/>
    <cellStyle name="_마이콤-2004fs(05.2.25) 11" xfId="2635"/>
    <cellStyle name="_마이콤-2004fs(05.2.25) 12" xfId="2636"/>
    <cellStyle name="_마이콤-2004fs(05.2.25) 13" xfId="2637"/>
    <cellStyle name="_마이콤-2004fs(05.2.25) 14" xfId="2638"/>
    <cellStyle name="_마이콤-2004fs(05.2.25) 15" xfId="2639"/>
    <cellStyle name="_마이콤-2004fs(05.2.25) 16" xfId="2640"/>
    <cellStyle name="_마이콤-2004fs(05.2.25) 17" xfId="2641"/>
    <cellStyle name="_마이콤-2004fs(05.2.25) 18" xfId="2642"/>
    <cellStyle name="_마이콤-2004fs(05.2.25) 19" xfId="2643"/>
    <cellStyle name="_마이콤-2004fs(05.2.25) 2" xfId="2644"/>
    <cellStyle name="_마이콤-2004fs(05.2.25) 20" xfId="2645"/>
    <cellStyle name="_마이콤-2004fs(05.2.25) 21" xfId="2646"/>
    <cellStyle name="_마이콤-2004fs(05.2.25) 22" xfId="2647"/>
    <cellStyle name="_마이콤-2004fs(05.2.25) 23" xfId="2648"/>
    <cellStyle name="_마이콤-2004fs(05.2.25) 24" xfId="2649"/>
    <cellStyle name="_마이콤-2004fs(05.2.25) 25" xfId="2650"/>
    <cellStyle name="_마이콤-2004fs(05.2.25) 26" xfId="2651"/>
    <cellStyle name="_마이콤-2004fs(05.2.25) 27" xfId="2652"/>
    <cellStyle name="_마이콤-2004fs(05.2.25) 28" xfId="2653"/>
    <cellStyle name="_마이콤-2004fs(05.2.25) 29" xfId="2654"/>
    <cellStyle name="_마이콤-2004fs(05.2.25) 3" xfId="2655"/>
    <cellStyle name="_마이콤-2004fs(05.2.25) 30" xfId="2656"/>
    <cellStyle name="_마이콤-2004fs(05.2.25) 31" xfId="2657"/>
    <cellStyle name="_마이콤-2004fs(05.2.25) 32" xfId="2658"/>
    <cellStyle name="_마이콤-2004fs(05.2.25) 33" xfId="2659"/>
    <cellStyle name="_마이콤-2004fs(05.2.25) 34" xfId="2660"/>
    <cellStyle name="_마이콤-2004fs(05.2.25) 35" xfId="2661"/>
    <cellStyle name="_마이콤-2004fs(05.2.25) 36" xfId="2662"/>
    <cellStyle name="_마이콤-2004fs(05.2.25) 37" xfId="2663"/>
    <cellStyle name="_마이콤-2004fs(05.2.25) 38" xfId="2664"/>
    <cellStyle name="_마이콤-2004fs(05.2.25) 39" xfId="2665"/>
    <cellStyle name="_마이콤-2004fs(05.2.25) 4" xfId="2666"/>
    <cellStyle name="_마이콤-2004fs(05.2.25) 40" xfId="2667"/>
    <cellStyle name="_마이콤-2004fs(05.2.25) 41" xfId="2668"/>
    <cellStyle name="_마이콤-2004fs(05.2.25) 42" xfId="2669"/>
    <cellStyle name="_마이콤-2004fs(05.2.25) 43" xfId="2670"/>
    <cellStyle name="_마이콤-2004fs(05.2.25) 44" xfId="2671"/>
    <cellStyle name="_마이콤-2004fs(05.2.25) 45" xfId="2672"/>
    <cellStyle name="_마이콤-2004fs(05.2.25) 46" xfId="2673"/>
    <cellStyle name="_마이콤-2004fs(05.2.25) 47" xfId="2674"/>
    <cellStyle name="_마이콤-2004fs(05.2.25) 48" xfId="2675"/>
    <cellStyle name="_마이콤-2004fs(05.2.25) 49" xfId="2676"/>
    <cellStyle name="_마이콤-2004fs(05.2.25) 5" xfId="2677"/>
    <cellStyle name="_마이콤-2004fs(05.2.25) 50" xfId="2678"/>
    <cellStyle name="_마이콤-2004fs(05.2.25) 51" xfId="2679"/>
    <cellStyle name="_마이콤-2004fs(05.2.25) 52" xfId="2680"/>
    <cellStyle name="_마이콤-2004fs(05.2.25) 53" xfId="2681"/>
    <cellStyle name="_마이콤-2004fs(05.2.25) 54" xfId="2682"/>
    <cellStyle name="_마이콤-2004fs(05.2.25) 55" xfId="2683"/>
    <cellStyle name="_마이콤-2004fs(05.2.25) 56" xfId="2684"/>
    <cellStyle name="_마이콤-2004fs(05.2.25) 57" xfId="2685"/>
    <cellStyle name="_마이콤-2004fs(05.2.25) 58" xfId="2686"/>
    <cellStyle name="_마이콤-2004fs(05.2.25) 59" xfId="2687"/>
    <cellStyle name="_마이콤-2004fs(05.2.25) 6" xfId="2688"/>
    <cellStyle name="_마이콤-2004fs(05.2.25) 60" xfId="2689"/>
    <cellStyle name="_마이콤-2004fs(05.2.25) 61" xfId="2690"/>
    <cellStyle name="_마이콤-2004fs(05.2.25) 62" xfId="2691"/>
    <cellStyle name="_마이콤-2004fs(05.2.25) 63" xfId="2692"/>
    <cellStyle name="_마이콤-2004fs(05.2.25) 7" xfId="2693"/>
    <cellStyle name="_마이콤-2004fs(05.2.25) 8" xfId="2694"/>
    <cellStyle name="_마이콤-2004fs(05.2.25) 9" xfId="2695"/>
    <cellStyle name="_마진인상효과(03년 1월)" xfId="2696"/>
    <cellStyle name="_마진인상효과(03년 2월)" xfId="2697"/>
    <cellStyle name="_만서기업 AJE List(2002.1.31)" xfId="2698"/>
    <cellStyle name="_모인소프트 Score sheet_0304" xfId="2699"/>
    <cellStyle name="_미쓰미-기말감사(2nd)" xfId="2700"/>
    <cellStyle name="_반기 200606(제10기 반기) WTB의 워크시트" xfId="2701"/>
    <cellStyle name="_반기검토" xfId="2702"/>
    <cellStyle name="_반기검토 10" xfId="2703"/>
    <cellStyle name="_반기검토 11" xfId="2704"/>
    <cellStyle name="_반기검토 12" xfId="2705"/>
    <cellStyle name="_반기검토 13" xfId="2706"/>
    <cellStyle name="_반기검토 14" xfId="2707"/>
    <cellStyle name="_반기검토 15" xfId="2708"/>
    <cellStyle name="_반기검토 16" xfId="2709"/>
    <cellStyle name="_반기검토 17" xfId="2710"/>
    <cellStyle name="_반기검토 18" xfId="2711"/>
    <cellStyle name="_반기검토 19" xfId="2712"/>
    <cellStyle name="_반기검토 2" xfId="2713"/>
    <cellStyle name="_반기검토 20" xfId="2714"/>
    <cellStyle name="_반기검토 21" xfId="2715"/>
    <cellStyle name="_반기검토 22" xfId="2716"/>
    <cellStyle name="_반기검토 23" xfId="2717"/>
    <cellStyle name="_반기검토 24" xfId="2718"/>
    <cellStyle name="_반기검토 25" xfId="2719"/>
    <cellStyle name="_반기검토 26" xfId="2720"/>
    <cellStyle name="_반기검토 27" xfId="2721"/>
    <cellStyle name="_반기검토 28" xfId="2722"/>
    <cellStyle name="_반기검토 29" xfId="2723"/>
    <cellStyle name="_반기검토 3" xfId="2724"/>
    <cellStyle name="_반기검토 30" xfId="2725"/>
    <cellStyle name="_반기검토 31" xfId="2726"/>
    <cellStyle name="_반기검토 32" xfId="2727"/>
    <cellStyle name="_반기검토 33" xfId="2728"/>
    <cellStyle name="_반기검토 34" xfId="2729"/>
    <cellStyle name="_반기검토 35" xfId="2730"/>
    <cellStyle name="_반기검토 36" xfId="2731"/>
    <cellStyle name="_반기검토 37" xfId="2732"/>
    <cellStyle name="_반기검토 38" xfId="2733"/>
    <cellStyle name="_반기검토 39" xfId="2734"/>
    <cellStyle name="_반기검토 4" xfId="2735"/>
    <cellStyle name="_반기검토 40" xfId="2736"/>
    <cellStyle name="_반기검토 41" xfId="2737"/>
    <cellStyle name="_반기검토 42" xfId="2738"/>
    <cellStyle name="_반기검토 43" xfId="2739"/>
    <cellStyle name="_반기검토 44" xfId="2740"/>
    <cellStyle name="_반기검토 45" xfId="2741"/>
    <cellStyle name="_반기검토 46" xfId="2742"/>
    <cellStyle name="_반기검토 47" xfId="2743"/>
    <cellStyle name="_반기검토 48" xfId="2744"/>
    <cellStyle name="_반기검토 49" xfId="2745"/>
    <cellStyle name="_반기검토 5" xfId="2746"/>
    <cellStyle name="_반기검토 50" xfId="2747"/>
    <cellStyle name="_반기검토 51" xfId="2748"/>
    <cellStyle name="_반기검토 52" xfId="2749"/>
    <cellStyle name="_반기검토 53" xfId="2750"/>
    <cellStyle name="_반기검토 54" xfId="2751"/>
    <cellStyle name="_반기검토 55" xfId="2752"/>
    <cellStyle name="_반기검토 56" xfId="2753"/>
    <cellStyle name="_반기검토 57" xfId="2754"/>
    <cellStyle name="_반기검토 58" xfId="2755"/>
    <cellStyle name="_반기검토 59" xfId="2756"/>
    <cellStyle name="_반기검토 6" xfId="2757"/>
    <cellStyle name="_반기검토 60" xfId="2758"/>
    <cellStyle name="_반기검토 61" xfId="2759"/>
    <cellStyle name="_반기검토 62" xfId="2760"/>
    <cellStyle name="_반기검토 63" xfId="2761"/>
    <cellStyle name="_반기검토 7" xfId="2762"/>
    <cellStyle name="_반기검토 8" xfId="2763"/>
    <cellStyle name="_반기검토 9" xfId="2764"/>
    <cellStyle name="_반기검토_04FS_KID산업" xfId="2765"/>
    <cellStyle name="_반기검토_04FS_KID산업 10" xfId="2766"/>
    <cellStyle name="_반기검토_04FS_KID산업 11" xfId="2767"/>
    <cellStyle name="_반기검토_04FS_KID산업 12" xfId="2768"/>
    <cellStyle name="_반기검토_04FS_KID산업 13" xfId="2769"/>
    <cellStyle name="_반기검토_04FS_KID산업 14" xfId="2770"/>
    <cellStyle name="_반기검토_04FS_KID산업 15" xfId="2771"/>
    <cellStyle name="_반기검토_04FS_KID산업 16" xfId="2772"/>
    <cellStyle name="_반기검토_04FS_KID산업 17" xfId="2773"/>
    <cellStyle name="_반기검토_04FS_KID산업 18" xfId="2774"/>
    <cellStyle name="_반기검토_04FS_KID산업 19" xfId="2775"/>
    <cellStyle name="_반기검토_04FS_KID산업 2" xfId="2776"/>
    <cellStyle name="_반기검토_04FS_KID산업 20" xfId="2777"/>
    <cellStyle name="_반기검토_04FS_KID산업 21" xfId="2778"/>
    <cellStyle name="_반기검토_04FS_KID산업 22" xfId="2779"/>
    <cellStyle name="_반기검토_04FS_KID산업 23" xfId="2780"/>
    <cellStyle name="_반기검토_04FS_KID산업 24" xfId="2781"/>
    <cellStyle name="_반기검토_04FS_KID산업 25" xfId="2782"/>
    <cellStyle name="_반기검토_04FS_KID산업 26" xfId="2783"/>
    <cellStyle name="_반기검토_04FS_KID산업 27" xfId="2784"/>
    <cellStyle name="_반기검토_04FS_KID산업 28" xfId="2785"/>
    <cellStyle name="_반기검토_04FS_KID산업 29" xfId="2786"/>
    <cellStyle name="_반기검토_04FS_KID산업 3" xfId="2787"/>
    <cellStyle name="_반기검토_04FS_KID산업 30" xfId="2788"/>
    <cellStyle name="_반기검토_04FS_KID산업 31" xfId="2789"/>
    <cellStyle name="_반기검토_04FS_KID산업 32" xfId="2790"/>
    <cellStyle name="_반기검토_04FS_KID산업 33" xfId="2791"/>
    <cellStyle name="_반기검토_04FS_KID산업 34" xfId="2792"/>
    <cellStyle name="_반기검토_04FS_KID산업 35" xfId="2793"/>
    <cellStyle name="_반기검토_04FS_KID산업 36" xfId="2794"/>
    <cellStyle name="_반기검토_04FS_KID산업 37" xfId="2795"/>
    <cellStyle name="_반기검토_04FS_KID산업 38" xfId="2796"/>
    <cellStyle name="_반기검토_04FS_KID산업 39" xfId="2797"/>
    <cellStyle name="_반기검토_04FS_KID산업 4" xfId="2798"/>
    <cellStyle name="_반기검토_04FS_KID산업 40" xfId="2799"/>
    <cellStyle name="_반기검토_04FS_KID산업 41" xfId="2800"/>
    <cellStyle name="_반기검토_04FS_KID산업 42" xfId="2801"/>
    <cellStyle name="_반기검토_04FS_KID산업 43" xfId="2802"/>
    <cellStyle name="_반기검토_04FS_KID산업 44" xfId="2803"/>
    <cellStyle name="_반기검토_04FS_KID산업 45" xfId="2804"/>
    <cellStyle name="_반기검토_04FS_KID산업 46" xfId="2805"/>
    <cellStyle name="_반기검토_04FS_KID산업 47" xfId="2806"/>
    <cellStyle name="_반기검토_04FS_KID산업 48" xfId="2807"/>
    <cellStyle name="_반기검토_04FS_KID산업 49" xfId="2808"/>
    <cellStyle name="_반기검토_04FS_KID산업 5" xfId="2809"/>
    <cellStyle name="_반기검토_04FS_KID산업 50" xfId="2810"/>
    <cellStyle name="_반기검토_04FS_KID산업 51" xfId="2811"/>
    <cellStyle name="_반기검토_04FS_KID산업 52" xfId="2812"/>
    <cellStyle name="_반기검토_04FS_KID산업 53" xfId="2813"/>
    <cellStyle name="_반기검토_04FS_KID산업 54" xfId="2814"/>
    <cellStyle name="_반기검토_04FS_KID산업 55" xfId="2815"/>
    <cellStyle name="_반기검토_04FS_KID산업 56" xfId="2816"/>
    <cellStyle name="_반기검토_04FS_KID산업 57" xfId="2817"/>
    <cellStyle name="_반기검토_04FS_KID산업 58" xfId="2818"/>
    <cellStyle name="_반기검토_04FS_KID산업 59" xfId="2819"/>
    <cellStyle name="_반기검토_04FS_KID산업 6" xfId="2820"/>
    <cellStyle name="_반기검토_04FS_KID산업 60" xfId="2821"/>
    <cellStyle name="_반기검토_04FS_KID산업 61" xfId="2822"/>
    <cellStyle name="_반기검토_04FS_KID산업 62" xfId="2823"/>
    <cellStyle name="_반기검토_04FS_KID산업 63" xfId="2824"/>
    <cellStyle name="_반기검토_04FS_KID산업 7" xfId="2825"/>
    <cellStyle name="_반기검토_04FS_KID산업 8" xfId="2826"/>
    <cellStyle name="_반기검토_04FS_KID산업 9" xfId="2827"/>
    <cellStyle name="_반기검토_2002FS_FINAL" xfId="2828"/>
    <cellStyle name="_반기검토_2002FS_FINAL 10" xfId="2829"/>
    <cellStyle name="_반기검토_2002FS_FINAL 11" xfId="2830"/>
    <cellStyle name="_반기검토_2002FS_FINAL 12" xfId="2831"/>
    <cellStyle name="_반기검토_2002FS_FINAL 13" xfId="2832"/>
    <cellStyle name="_반기검토_2002FS_FINAL 14" xfId="2833"/>
    <cellStyle name="_반기검토_2002FS_FINAL 15" xfId="2834"/>
    <cellStyle name="_반기검토_2002FS_FINAL 16" xfId="2835"/>
    <cellStyle name="_반기검토_2002FS_FINAL 17" xfId="2836"/>
    <cellStyle name="_반기검토_2002FS_FINAL 18" xfId="2837"/>
    <cellStyle name="_반기검토_2002FS_FINAL 19" xfId="2838"/>
    <cellStyle name="_반기검토_2002FS_FINAL 2" xfId="2839"/>
    <cellStyle name="_반기검토_2002FS_FINAL 20" xfId="2840"/>
    <cellStyle name="_반기검토_2002FS_FINAL 21" xfId="2841"/>
    <cellStyle name="_반기검토_2002FS_FINAL 22" xfId="2842"/>
    <cellStyle name="_반기검토_2002FS_FINAL 23" xfId="2843"/>
    <cellStyle name="_반기검토_2002FS_FINAL 24" xfId="2844"/>
    <cellStyle name="_반기검토_2002FS_FINAL 25" xfId="2845"/>
    <cellStyle name="_반기검토_2002FS_FINAL 26" xfId="2846"/>
    <cellStyle name="_반기검토_2002FS_FINAL 27" xfId="2847"/>
    <cellStyle name="_반기검토_2002FS_FINAL 28" xfId="2848"/>
    <cellStyle name="_반기검토_2002FS_FINAL 29" xfId="2849"/>
    <cellStyle name="_반기검토_2002FS_FINAL 3" xfId="2850"/>
    <cellStyle name="_반기검토_2002FS_FINAL 30" xfId="2851"/>
    <cellStyle name="_반기검토_2002FS_FINAL 31" xfId="2852"/>
    <cellStyle name="_반기검토_2002FS_FINAL 32" xfId="2853"/>
    <cellStyle name="_반기검토_2002FS_FINAL 33" xfId="2854"/>
    <cellStyle name="_반기검토_2002FS_FINAL 34" xfId="2855"/>
    <cellStyle name="_반기검토_2002FS_FINAL 35" xfId="2856"/>
    <cellStyle name="_반기검토_2002FS_FINAL 36" xfId="2857"/>
    <cellStyle name="_반기검토_2002FS_FINAL 37" xfId="2858"/>
    <cellStyle name="_반기검토_2002FS_FINAL 38" xfId="2859"/>
    <cellStyle name="_반기검토_2002FS_FINAL 39" xfId="2860"/>
    <cellStyle name="_반기검토_2002FS_FINAL 4" xfId="2861"/>
    <cellStyle name="_반기검토_2002FS_FINAL 40" xfId="2862"/>
    <cellStyle name="_반기검토_2002FS_FINAL 41" xfId="2863"/>
    <cellStyle name="_반기검토_2002FS_FINAL 42" xfId="2864"/>
    <cellStyle name="_반기검토_2002FS_FINAL 43" xfId="2865"/>
    <cellStyle name="_반기검토_2002FS_FINAL 44" xfId="2866"/>
    <cellStyle name="_반기검토_2002FS_FINAL 45" xfId="2867"/>
    <cellStyle name="_반기검토_2002FS_FINAL 46" xfId="2868"/>
    <cellStyle name="_반기검토_2002FS_FINAL 47" xfId="2869"/>
    <cellStyle name="_반기검토_2002FS_FINAL 48" xfId="2870"/>
    <cellStyle name="_반기검토_2002FS_FINAL 49" xfId="2871"/>
    <cellStyle name="_반기검토_2002FS_FINAL 5" xfId="2872"/>
    <cellStyle name="_반기검토_2002FS_FINAL 50" xfId="2873"/>
    <cellStyle name="_반기검토_2002FS_FINAL 51" xfId="2874"/>
    <cellStyle name="_반기검토_2002FS_FINAL 52" xfId="2875"/>
    <cellStyle name="_반기검토_2002FS_FINAL 53" xfId="2876"/>
    <cellStyle name="_반기검토_2002FS_FINAL 54" xfId="2877"/>
    <cellStyle name="_반기검토_2002FS_FINAL 55" xfId="2878"/>
    <cellStyle name="_반기검토_2002FS_FINAL 56" xfId="2879"/>
    <cellStyle name="_반기검토_2002FS_FINAL 57" xfId="2880"/>
    <cellStyle name="_반기검토_2002FS_FINAL 58" xfId="2881"/>
    <cellStyle name="_반기검토_2002FS_FINAL 59" xfId="2882"/>
    <cellStyle name="_반기검토_2002FS_FINAL 6" xfId="2883"/>
    <cellStyle name="_반기검토_2002FS_FINAL 60" xfId="2884"/>
    <cellStyle name="_반기검토_2002FS_FINAL 61" xfId="2885"/>
    <cellStyle name="_반기검토_2002FS_FINAL 62" xfId="2886"/>
    <cellStyle name="_반기검토_2002FS_FINAL 63" xfId="2887"/>
    <cellStyle name="_반기검토_2002FS_FINAL 7" xfId="2888"/>
    <cellStyle name="_반기검토_2002FS_FINAL 8" xfId="2889"/>
    <cellStyle name="_반기검토_2002FS_FINAL 9" xfId="2890"/>
    <cellStyle name="_반기검토_8720 18기이연법인세의 워크시트" xfId="2891"/>
    <cellStyle name="_반기검토_8720 18기이연법인세의 워크시트 10" xfId="2892"/>
    <cellStyle name="_반기검토_8720 18기이연법인세의 워크시트 11" xfId="2893"/>
    <cellStyle name="_반기검토_8720 18기이연법인세의 워크시트 12" xfId="2894"/>
    <cellStyle name="_반기검토_8720 18기이연법인세의 워크시트 13" xfId="2895"/>
    <cellStyle name="_반기검토_8720 18기이연법인세의 워크시트 14" xfId="2896"/>
    <cellStyle name="_반기검토_8720 18기이연법인세의 워크시트 15" xfId="2897"/>
    <cellStyle name="_반기검토_8720 18기이연법인세의 워크시트 16" xfId="2898"/>
    <cellStyle name="_반기검토_8720 18기이연법인세의 워크시트 17" xfId="2899"/>
    <cellStyle name="_반기검토_8720 18기이연법인세의 워크시트 18" xfId="2900"/>
    <cellStyle name="_반기검토_8720 18기이연법인세의 워크시트 19" xfId="2901"/>
    <cellStyle name="_반기검토_8720 18기이연법인세의 워크시트 2" xfId="2902"/>
    <cellStyle name="_반기검토_8720 18기이연법인세의 워크시트 20" xfId="2903"/>
    <cellStyle name="_반기검토_8720 18기이연법인세의 워크시트 21" xfId="2904"/>
    <cellStyle name="_반기검토_8720 18기이연법인세의 워크시트 22" xfId="2905"/>
    <cellStyle name="_반기검토_8720 18기이연법인세의 워크시트 23" xfId="2906"/>
    <cellStyle name="_반기검토_8720 18기이연법인세의 워크시트 24" xfId="2907"/>
    <cellStyle name="_반기검토_8720 18기이연법인세의 워크시트 25" xfId="2908"/>
    <cellStyle name="_반기검토_8720 18기이연법인세의 워크시트 26" xfId="2909"/>
    <cellStyle name="_반기검토_8720 18기이연법인세의 워크시트 27" xfId="2910"/>
    <cellStyle name="_반기검토_8720 18기이연법인세의 워크시트 28" xfId="2911"/>
    <cellStyle name="_반기검토_8720 18기이연법인세의 워크시트 29" xfId="2912"/>
    <cellStyle name="_반기검토_8720 18기이연법인세의 워크시트 3" xfId="2913"/>
    <cellStyle name="_반기검토_8720 18기이연법인세의 워크시트 30" xfId="2914"/>
    <cellStyle name="_반기검토_8720 18기이연법인세의 워크시트 31" xfId="2915"/>
    <cellStyle name="_반기검토_8720 18기이연법인세의 워크시트 32" xfId="2916"/>
    <cellStyle name="_반기검토_8720 18기이연법인세의 워크시트 33" xfId="2917"/>
    <cellStyle name="_반기검토_8720 18기이연법인세의 워크시트 34" xfId="2918"/>
    <cellStyle name="_반기검토_8720 18기이연법인세의 워크시트 35" xfId="2919"/>
    <cellStyle name="_반기검토_8720 18기이연법인세의 워크시트 36" xfId="2920"/>
    <cellStyle name="_반기검토_8720 18기이연법인세의 워크시트 37" xfId="2921"/>
    <cellStyle name="_반기검토_8720 18기이연법인세의 워크시트 38" xfId="2922"/>
    <cellStyle name="_반기검토_8720 18기이연법인세의 워크시트 39" xfId="2923"/>
    <cellStyle name="_반기검토_8720 18기이연법인세의 워크시트 4" xfId="2924"/>
    <cellStyle name="_반기검토_8720 18기이연법인세의 워크시트 40" xfId="2925"/>
    <cellStyle name="_반기검토_8720 18기이연법인세의 워크시트 41" xfId="2926"/>
    <cellStyle name="_반기검토_8720 18기이연법인세의 워크시트 42" xfId="2927"/>
    <cellStyle name="_반기검토_8720 18기이연법인세의 워크시트 43" xfId="2928"/>
    <cellStyle name="_반기검토_8720 18기이연법인세의 워크시트 44" xfId="2929"/>
    <cellStyle name="_반기검토_8720 18기이연법인세의 워크시트 45" xfId="2930"/>
    <cellStyle name="_반기검토_8720 18기이연법인세의 워크시트 46" xfId="2931"/>
    <cellStyle name="_반기검토_8720 18기이연법인세의 워크시트 47" xfId="2932"/>
    <cellStyle name="_반기검토_8720 18기이연법인세의 워크시트 48" xfId="2933"/>
    <cellStyle name="_반기검토_8720 18기이연법인세의 워크시트 49" xfId="2934"/>
    <cellStyle name="_반기검토_8720 18기이연법인세의 워크시트 5" xfId="2935"/>
    <cellStyle name="_반기검토_8720 18기이연법인세의 워크시트 50" xfId="2936"/>
    <cellStyle name="_반기검토_8720 18기이연법인세의 워크시트 51" xfId="2937"/>
    <cellStyle name="_반기검토_8720 18기이연법인세의 워크시트 52" xfId="2938"/>
    <cellStyle name="_반기검토_8720 18기이연법인세의 워크시트 53" xfId="2939"/>
    <cellStyle name="_반기검토_8720 18기이연법인세의 워크시트 54" xfId="2940"/>
    <cellStyle name="_반기검토_8720 18기이연법인세의 워크시트 55" xfId="2941"/>
    <cellStyle name="_반기검토_8720 18기이연법인세의 워크시트 56" xfId="2942"/>
    <cellStyle name="_반기검토_8720 18기이연법인세의 워크시트 57" xfId="2943"/>
    <cellStyle name="_반기검토_8720 18기이연법인세의 워크시트 58" xfId="2944"/>
    <cellStyle name="_반기검토_8720 18기이연법인세의 워크시트 59" xfId="2945"/>
    <cellStyle name="_반기검토_8720 18기이연법인세의 워크시트 6" xfId="2946"/>
    <cellStyle name="_반기검토_8720 18기이연법인세의 워크시트 60" xfId="2947"/>
    <cellStyle name="_반기검토_8720 18기이연법인세의 워크시트 61" xfId="2948"/>
    <cellStyle name="_반기검토_8720 18기이연법인세의 워크시트 62" xfId="2949"/>
    <cellStyle name="_반기검토_8720 18기이연법인세의 워크시트 63" xfId="2950"/>
    <cellStyle name="_반기검토_8720 18기이연법인세의 워크시트 7" xfId="2951"/>
    <cellStyle name="_반기검토_8720 18기이연법인세의 워크시트 8" xfId="2952"/>
    <cellStyle name="_반기검토_8720 18기이연법인세의 워크시트 9" xfId="2953"/>
    <cellStyle name="_반기검토_대차손익(20070331)_kjh" xfId="2954"/>
    <cellStyle name="_반기검토_대차손익(20070331)_kjh 10" xfId="2955"/>
    <cellStyle name="_반기검토_대차손익(20070331)_kjh 11" xfId="2956"/>
    <cellStyle name="_반기검토_대차손익(20070331)_kjh 12" xfId="2957"/>
    <cellStyle name="_반기검토_대차손익(20070331)_kjh 13" xfId="2958"/>
    <cellStyle name="_반기검토_대차손익(20070331)_kjh 14" xfId="2959"/>
    <cellStyle name="_반기검토_대차손익(20070331)_kjh 15" xfId="2960"/>
    <cellStyle name="_반기검토_대차손익(20070331)_kjh 16" xfId="2961"/>
    <cellStyle name="_반기검토_대차손익(20070331)_kjh 17" xfId="2962"/>
    <cellStyle name="_반기검토_대차손익(20070331)_kjh 18" xfId="2963"/>
    <cellStyle name="_반기검토_대차손익(20070331)_kjh 19" xfId="2964"/>
    <cellStyle name="_반기검토_대차손익(20070331)_kjh 2" xfId="2965"/>
    <cellStyle name="_반기검토_대차손익(20070331)_kjh 20" xfId="2966"/>
    <cellStyle name="_반기검토_대차손익(20070331)_kjh 21" xfId="2967"/>
    <cellStyle name="_반기검토_대차손익(20070331)_kjh 22" xfId="2968"/>
    <cellStyle name="_반기검토_대차손익(20070331)_kjh 23" xfId="2969"/>
    <cellStyle name="_반기검토_대차손익(20070331)_kjh 24" xfId="2970"/>
    <cellStyle name="_반기검토_대차손익(20070331)_kjh 25" xfId="2971"/>
    <cellStyle name="_반기검토_대차손익(20070331)_kjh 26" xfId="2972"/>
    <cellStyle name="_반기검토_대차손익(20070331)_kjh 27" xfId="2973"/>
    <cellStyle name="_반기검토_대차손익(20070331)_kjh 28" xfId="2974"/>
    <cellStyle name="_반기검토_대차손익(20070331)_kjh 29" xfId="2975"/>
    <cellStyle name="_반기검토_대차손익(20070331)_kjh 3" xfId="2976"/>
    <cellStyle name="_반기검토_대차손익(20070331)_kjh 30" xfId="2977"/>
    <cellStyle name="_반기검토_대차손익(20070331)_kjh 31" xfId="2978"/>
    <cellStyle name="_반기검토_대차손익(20070331)_kjh 32" xfId="2979"/>
    <cellStyle name="_반기검토_대차손익(20070331)_kjh 33" xfId="2980"/>
    <cellStyle name="_반기검토_대차손익(20070331)_kjh 34" xfId="2981"/>
    <cellStyle name="_반기검토_대차손익(20070331)_kjh 35" xfId="2982"/>
    <cellStyle name="_반기검토_대차손익(20070331)_kjh 36" xfId="2983"/>
    <cellStyle name="_반기검토_대차손익(20070331)_kjh 37" xfId="2984"/>
    <cellStyle name="_반기검토_대차손익(20070331)_kjh 38" xfId="2985"/>
    <cellStyle name="_반기검토_대차손익(20070331)_kjh 39" xfId="2986"/>
    <cellStyle name="_반기검토_대차손익(20070331)_kjh 4" xfId="2987"/>
    <cellStyle name="_반기검토_대차손익(20070331)_kjh 40" xfId="2988"/>
    <cellStyle name="_반기검토_대차손익(20070331)_kjh 41" xfId="2989"/>
    <cellStyle name="_반기검토_대차손익(20070331)_kjh 42" xfId="2990"/>
    <cellStyle name="_반기검토_대차손익(20070331)_kjh 43" xfId="2991"/>
    <cellStyle name="_반기검토_대차손익(20070331)_kjh 44" xfId="2992"/>
    <cellStyle name="_반기검토_대차손익(20070331)_kjh 45" xfId="2993"/>
    <cellStyle name="_반기검토_대차손익(20070331)_kjh 46" xfId="2994"/>
    <cellStyle name="_반기검토_대차손익(20070331)_kjh 47" xfId="2995"/>
    <cellStyle name="_반기검토_대차손익(20070331)_kjh 48" xfId="2996"/>
    <cellStyle name="_반기검토_대차손익(20070331)_kjh 49" xfId="2997"/>
    <cellStyle name="_반기검토_대차손익(20070331)_kjh 5" xfId="2998"/>
    <cellStyle name="_반기검토_대차손익(20070331)_kjh 50" xfId="2999"/>
    <cellStyle name="_반기검토_대차손익(20070331)_kjh 51" xfId="3000"/>
    <cellStyle name="_반기검토_대차손익(20070331)_kjh 52" xfId="3001"/>
    <cellStyle name="_반기검토_대차손익(20070331)_kjh 53" xfId="3002"/>
    <cellStyle name="_반기검토_대차손익(20070331)_kjh 54" xfId="3003"/>
    <cellStyle name="_반기검토_대차손익(20070331)_kjh 55" xfId="3004"/>
    <cellStyle name="_반기검토_대차손익(20070331)_kjh 56" xfId="3005"/>
    <cellStyle name="_반기검토_대차손익(20070331)_kjh 57" xfId="3006"/>
    <cellStyle name="_반기검토_대차손익(20070331)_kjh 58" xfId="3007"/>
    <cellStyle name="_반기검토_대차손익(20070331)_kjh 59" xfId="3008"/>
    <cellStyle name="_반기검토_대차손익(20070331)_kjh 6" xfId="3009"/>
    <cellStyle name="_반기검토_대차손익(20070331)_kjh 60" xfId="3010"/>
    <cellStyle name="_반기검토_대차손익(20070331)_kjh 61" xfId="3011"/>
    <cellStyle name="_반기검토_대차손익(20070331)_kjh 62" xfId="3012"/>
    <cellStyle name="_반기검토_대차손익(20070331)_kjh 63" xfId="3013"/>
    <cellStyle name="_반기검토_대차손익(20070331)_kjh 7" xfId="3014"/>
    <cellStyle name="_반기검토_대차손익(20070331)_kjh 8" xfId="3015"/>
    <cellStyle name="_반기검토_대차손익(20070331)_kjh 9" xfId="3016"/>
    <cellStyle name="_반기검토_승구리- 코바이오SCF2003" xfId="3017"/>
    <cellStyle name="_반기검토_승구리- 코바이오SCF2003 10" xfId="3018"/>
    <cellStyle name="_반기검토_승구리- 코바이오SCF2003 11" xfId="3019"/>
    <cellStyle name="_반기검토_승구리- 코바이오SCF2003 12" xfId="3020"/>
    <cellStyle name="_반기검토_승구리- 코바이오SCF2003 13" xfId="3021"/>
    <cellStyle name="_반기검토_승구리- 코바이오SCF2003 14" xfId="3022"/>
    <cellStyle name="_반기검토_승구리- 코바이오SCF2003 15" xfId="3023"/>
    <cellStyle name="_반기검토_승구리- 코바이오SCF2003 16" xfId="3024"/>
    <cellStyle name="_반기검토_승구리- 코바이오SCF2003 17" xfId="3025"/>
    <cellStyle name="_반기검토_승구리- 코바이오SCF2003 18" xfId="3026"/>
    <cellStyle name="_반기검토_승구리- 코바이오SCF2003 19" xfId="3027"/>
    <cellStyle name="_반기검토_승구리- 코바이오SCF2003 2" xfId="3028"/>
    <cellStyle name="_반기검토_승구리- 코바이오SCF2003 20" xfId="3029"/>
    <cellStyle name="_반기검토_승구리- 코바이오SCF2003 21" xfId="3030"/>
    <cellStyle name="_반기검토_승구리- 코바이오SCF2003 22" xfId="3031"/>
    <cellStyle name="_반기검토_승구리- 코바이오SCF2003 23" xfId="3032"/>
    <cellStyle name="_반기검토_승구리- 코바이오SCF2003 24" xfId="3033"/>
    <cellStyle name="_반기검토_승구리- 코바이오SCF2003 25" xfId="3034"/>
    <cellStyle name="_반기검토_승구리- 코바이오SCF2003 26" xfId="3035"/>
    <cellStyle name="_반기검토_승구리- 코바이오SCF2003 27" xfId="3036"/>
    <cellStyle name="_반기검토_승구리- 코바이오SCF2003 28" xfId="3037"/>
    <cellStyle name="_반기검토_승구리- 코바이오SCF2003 29" xfId="3038"/>
    <cellStyle name="_반기검토_승구리- 코바이오SCF2003 3" xfId="3039"/>
    <cellStyle name="_반기검토_승구리- 코바이오SCF2003 30" xfId="3040"/>
    <cellStyle name="_반기검토_승구리- 코바이오SCF2003 31" xfId="3041"/>
    <cellStyle name="_반기검토_승구리- 코바이오SCF2003 32" xfId="3042"/>
    <cellStyle name="_반기검토_승구리- 코바이오SCF2003 33" xfId="3043"/>
    <cellStyle name="_반기검토_승구리- 코바이오SCF2003 34" xfId="3044"/>
    <cellStyle name="_반기검토_승구리- 코바이오SCF2003 35" xfId="3045"/>
    <cellStyle name="_반기검토_승구리- 코바이오SCF2003 36" xfId="3046"/>
    <cellStyle name="_반기검토_승구리- 코바이오SCF2003 37" xfId="3047"/>
    <cellStyle name="_반기검토_승구리- 코바이오SCF2003 38" xfId="3048"/>
    <cellStyle name="_반기검토_승구리- 코바이오SCF2003 39" xfId="3049"/>
    <cellStyle name="_반기검토_승구리- 코바이오SCF2003 4" xfId="3050"/>
    <cellStyle name="_반기검토_승구리- 코바이오SCF2003 40" xfId="3051"/>
    <cellStyle name="_반기검토_승구리- 코바이오SCF2003 41" xfId="3052"/>
    <cellStyle name="_반기검토_승구리- 코바이오SCF2003 42" xfId="3053"/>
    <cellStyle name="_반기검토_승구리- 코바이오SCF2003 43" xfId="3054"/>
    <cellStyle name="_반기검토_승구리- 코바이오SCF2003 44" xfId="3055"/>
    <cellStyle name="_반기검토_승구리- 코바이오SCF2003 45" xfId="3056"/>
    <cellStyle name="_반기검토_승구리- 코바이오SCF2003 46" xfId="3057"/>
    <cellStyle name="_반기검토_승구리- 코바이오SCF2003 47" xfId="3058"/>
    <cellStyle name="_반기검토_승구리- 코바이오SCF2003 48" xfId="3059"/>
    <cellStyle name="_반기검토_승구리- 코바이오SCF2003 49" xfId="3060"/>
    <cellStyle name="_반기검토_승구리- 코바이오SCF2003 5" xfId="3061"/>
    <cellStyle name="_반기검토_승구리- 코바이오SCF2003 50" xfId="3062"/>
    <cellStyle name="_반기검토_승구리- 코바이오SCF2003 51" xfId="3063"/>
    <cellStyle name="_반기검토_승구리- 코바이오SCF2003 52" xfId="3064"/>
    <cellStyle name="_반기검토_승구리- 코바이오SCF2003 53" xfId="3065"/>
    <cellStyle name="_반기검토_승구리- 코바이오SCF2003 54" xfId="3066"/>
    <cellStyle name="_반기검토_승구리- 코바이오SCF2003 55" xfId="3067"/>
    <cellStyle name="_반기검토_승구리- 코바이오SCF2003 56" xfId="3068"/>
    <cellStyle name="_반기검토_승구리- 코바이오SCF2003 57" xfId="3069"/>
    <cellStyle name="_반기검토_승구리- 코바이오SCF2003 58" xfId="3070"/>
    <cellStyle name="_반기검토_승구리- 코바이오SCF2003 59" xfId="3071"/>
    <cellStyle name="_반기검토_승구리- 코바이오SCF2003 6" xfId="3072"/>
    <cellStyle name="_반기검토_승구리- 코바이오SCF2003 60" xfId="3073"/>
    <cellStyle name="_반기검토_승구리- 코바이오SCF2003 61" xfId="3074"/>
    <cellStyle name="_반기검토_승구리- 코바이오SCF2003 62" xfId="3075"/>
    <cellStyle name="_반기검토_승구리- 코바이오SCF2003 63" xfId="3076"/>
    <cellStyle name="_반기검토_승구리- 코바이오SCF2003 7" xfId="3077"/>
    <cellStyle name="_반기검토_승구리- 코바이오SCF2003 8" xfId="3078"/>
    <cellStyle name="_반기검토_승구리- 코바이오SCF2003 9" xfId="3079"/>
    <cellStyle name="_백화점 유지보수 내역" xfId="3080"/>
    <cellStyle name="_베타(매각제한주식)9월" xfId="3081"/>
    <cellStyle name="_변제계획_0110" xfId="3082"/>
    <cellStyle name="_변제대상채권_0103" xfId="3083"/>
    <cellStyle name="_보수명세3 2004년 롯데카드 장비 유지보수 내역v8_1" xfId="3084"/>
    <cellStyle name="_복사본 회사채2008 06 20" xfId="3085"/>
    <cellStyle name="_부원05FS-최종" xfId="3086"/>
    <cellStyle name="_부원05FS-최종 10" xfId="3087"/>
    <cellStyle name="_부원05FS-최종 11" xfId="3088"/>
    <cellStyle name="_부원05FS-최종 12" xfId="3089"/>
    <cellStyle name="_부원05FS-최종 13" xfId="3090"/>
    <cellStyle name="_부원05FS-최종 14" xfId="3091"/>
    <cellStyle name="_부원05FS-최종 15" xfId="3092"/>
    <cellStyle name="_부원05FS-최종 16" xfId="3093"/>
    <cellStyle name="_부원05FS-최종 17" xfId="3094"/>
    <cellStyle name="_부원05FS-최종 18" xfId="3095"/>
    <cellStyle name="_부원05FS-최종 19" xfId="3096"/>
    <cellStyle name="_부원05FS-최종 2" xfId="3097"/>
    <cellStyle name="_부원05FS-최종 20" xfId="3098"/>
    <cellStyle name="_부원05FS-최종 21" xfId="3099"/>
    <cellStyle name="_부원05FS-최종 22" xfId="3100"/>
    <cellStyle name="_부원05FS-최종 23" xfId="3101"/>
    <cellStyle name="_부원05FS-최종 24" xfId="3102"/>
    <cellStyle name="_부원05FS-최종 25" xfId="3103"/>
    <cellStyle name="_부원05FS-최종 26" xfId="3104"/>
    <cellStyle name="_부원05FS-최종 27" xfId="3105"/>
    <cellStyle name="_부원05FS-최종 28" xfId="3106"/>
    <cellStyle name="_부원05FS-최종 29" xfId="3107"/>
    <cellStyle name="_부원05FS-최종 3" xfId="3108"/>
    <cellStyle name="_부원05FS-최종 30" xfId="3109"/>
    <cellStyle name="_부원05FS-최종 31" xfId="3110"/>
    <cellStyle name="_부원05FS-최종 32" xfId="3111"/>
    <cellStyle name="_부원05FS-최종 33" xfId="3112"/>
    <cellStyle name="_부원05FS-최종 34" xfId="3113"/>
    <cellStyle name="_부원05FS-최종 35" xfId="3114"/>
    <cellStyle name="_부원05FS-최종 36" xfId="3115"/>
    <cellStyle name="_부원05FS-최종 37" xfId="3116"/>
    <cellStyle name="_부원05FS-최종 38" xfId="3117"/>
    <cellStyle name="_부원05FS-최종 39" xfId="3118"/>
    <cellStyle name="_부원05FS-최종 4" xfId="3119"/>
    <cellStyle name="_부원05FS-최종 40" xfId="3120"/>
    <cellStyle name="_부원05FS-최종 41" xfId="3121"/>
    <cellStyle name="_부원05FS-최종 42" xfId="3122"/>
    <cellStyle name="_부원05FS-최종 43" xfId="3123"/>
    <cellStyle name="_부원05FS-최종 44" xfId="3124"/>
    <cellStyle name="_부원05FS-최종 45" xfId="3125"/>
    <cellStyle name="_부원05FS-최종 46" xfId="3126"/>
    <cellStyle name="_부원05FS-최종 47" xfId="3127"/>
    <cellStyle name="_부원05FS-최종 48" xfId="3128"/>
    <cellStyle name="_부원05FS-최종 49" xfId="3129"/>
    <cellStyle name="_부원05FS-최종 5" xfId="3130"/>
    <cellStyle name="_부원05FS-최종 50" xfId="3131"/>
    <cellStyle name="_부원05FS-최종 51" xfId="3132"/>
    <cellStyle name="_부원05FS-최종 52" xfId="3133"/>
    <cellStyle name="_부원05FS-최종 53" xfId="3134"/>
    <cellStyle name="_부원05FS-최종 54" xfId="3135"/>
    <cellStyle name="_부원05FS-최종 55" xfId="3136"/>
    <cellStyle name="_부원05FS-최종 56" xfId="3137"/>
    <cellStyle name="_부원05FS-최종 57" xfId="3138"/>
    <cellStyle name="_부원05FS-최종 58" xfId="3139"/>
    <cellStyle name="_부원05FS-최종 59" xfId="3140"/>
    <cellStyle name="_부원05FS-최종 6" xfId="3141"/>
    <cellStyle name="_부원05FS-최종 60" xfId="3142"/>
    <cellStyle name="_부원05FS-최종 61" xfId="3143"/>
    <cellStyle name="_부원05FS-최종 62" xfId="3144"/>
    <cellStyle name="_부원05FS-최종 63" xfId="3145"/>
    <cellStyle name="_부원05FS-최종 7" xfId="3146"/>
    <cellStyle name="_부원05FS-최종 8" xfId="3147"/>
    <cellStyle name="_부원05FS-최종 9" xfId="3148"/>
    <cellStyle name="_분기조서(hds)" xfId="3149"/>
    <cellStyle name="_분기조서(hds) 10" xfId="3150"/>
    <cellStyle name="_분기조서(hds) 11" xfId="3151"/>
    <cellStyle name="_분기조서(hds) 12" xfId="3152"/>
    <cellStyle name="_분기조서(hds) 13" xfId="3153"/>
    <cellStyle name="_분기조서(hds) 14" xfId="3154"/>
    <cellStyle name="_분기조서(hds) 15" xfId="3155"/>
    <cellStyle name="_분기조서(hds) 16" xfId="3156"/>
    <cellStyle name="_분기조서(hds) 17" xfId="3157"/>
    <cellStyle name="_분기조서(hds) 18" xfId="3158"/>
    <cellStyle name="_분기조서(hds) 19" xfId="3159"/>
    <cellStyle name="_분기조서(hds) 2" xfId="3160"/>
    <cellStyle name="_분기조서(hds) 20" xfId="3161"/>
    <cellStyle name="_분기조서(hds) 21" xfId="3162"/>
    <cellStyle name="_분기조서(hds) 22" xfId="3163"/>
    <cellStyle name="_분기조서(hds) 23" xfId="3164"/>
    <cellStyle name="_분기조서(hds) 24" xfId="3165"/>
    <cellStyle name="_분기조서(hds) 25" xfId="3166"/>
    <cellStyle name="_분기조서(hds) 26" xfId="3167"/>
    <cellStyle name="_분기조서(hds) 27" xfId="3168"/>
    <cellStyle name="_분기조서(hds) 28" xfId="3169"/>
    <cellStyle name="_분기조서(hds) 29" xfId="3170"/>
    <cellStyle name="_분기조서(hds) 3" xfId="3171"/>
    <cellStyle name="_분기조서(hds) 30" xfId="3172"/>
    <cellStyle name="_분기조서(hds) 31" xfId="3173"/>
    <cellStyle name="_분기조서(hds) 32" xfId="3174"/>
    <cellStyle name="_분기조서(hds) 33" xfId="3175"/>
    <cellStyle name="_분기조서(hds) 34" xfId="3176"/>
    <cellStyle name="_분기조서(hds) 35" xfId="3177"/>
    <cellStyle name="_분기조서(hds) 36" xfId="3178"/>
    <cellStyle name="_분기조서(hds) 37" xfId="3179"/>
    <cellStyle name="_분기조서(hds) 38" xfId="3180"/>
    <cellStyle name="_분기조서(hds) 39" xfId="3181"/>
    <cellStyle name="_분기조서(hds) 4" xfId="3182"/>
    <cellStyle name="_분기조서(hds) 40" xfId="3183"/>
    <cellStyle name="_분기조서(hds) 41" xfId="3184"/>
    <cellStyle name="_분기조서(hds) 42" xfId="3185"/>
    <cellStyle name="_분기조서(hds) 43" xfId="3186"/>
    <cellStyle name="_분기조서(hds) 44" xfId="3187"/>
    <cellStyle name="_분기조서(hds) 45" xfId="3188"/>
    <cellStyle name="_분기조서(hds) 46" xfId="3189"/>
    <cellStyle name="_분기조서(hds) 47" xfId="3190"/>
    <cellStyle name="_분기조서(hds) 48" xfId="3191"/>
    <cellStyle name="_분기조서(hds) 49" xfId="3192"/>
    <cellStyle name="_분기조서(hds) 5" xfId="3193"/>
    <cellStyle name="_분기조서(hds) 50" xfId="3194"/>
    <cellStyle name="_분기조서(hds) 51" xfId="3195"/>
    <cellStyle name="_분기조서(hds) 52" xfId="3196"/>
    <cellStyle name="_분기조서(hds) 53" xfId="3197"/>
    <cellStyle name="_분기조서(hds) 54" xfId="3198"/>
    <cellStyle name="_분기조서(hds) 55" xfId="3199"/>
    <cellStyle name="_분기조서(hds) 56" xfId="3200"/>
    <cellStyle name="_분기조서(hds) 57" xfId="3201"/>
    <cellStyle name="_분기조서(hds) 58" xfId="3202"/>
    <cellStyle name="_분기조서(hds) 59" xfId="3203"/>
    <cellStyle name="_분기조서(hds) 6" xfId="3204"/>
    <cellStyle name="_분기조서(hds) 60" xfId="3205"/>
    <cellStyle name="_분기조서(hds) 61" xfId="3206"/>
    <cellStyle name="_분기조서(hds) 62" xfId="3207"/>
    <cellStyle name="_분기조서(hds) 63" xfId="3208"/>
    <cellStyle name="_분기조서(hds) 7" xfId="3209"/>
    <cellStyle name="_분기조서(hds) 8" xfId="3210"/>
    <cellStyle name="_분기조서(hds) 9" xfId="3211"/>
    <cellStyle name="_브이케이_시부인목록표(060925)ver2(1).0" xfId="3212"/>
    <cellStyle name="_비용추정" xfId="3213"/>
    <cellStyle name="_삼영중간" xfId="3214"/>
    <cellStyle name="_샤시 (2)" xfId="3215"/>
    <cellStyle name="_샤시 (2)_04FS_KID산업" xfId="3216"/>
    <cellStyle name="_샤시 (2)_1" xfId="3217"/>
    <cellStyle name="_샤시 (2)_1 10" xfId="3218"/>
    <cellStyle name="_샤시 (2)_1 11" xfId="3219"/>
    <cellStyle name="_샤시 (2)_1 12" xfId="3220"/>
    <cellStyle name="_샤시 (2)_1 13" xfId="3221"/>
    <cellStyle name="_샤시 (2)_1 14" xfId="3222"/>
    <cellStyle name="_샤시 (2)_1 15" xfId="3223"/>
    <cellStyle name="_샤시 (2)_1 16" xfId="3224"/>
    <cellStyle name="_샤시 (2)_1 17" xfId="3225"/>
    <cellStyle name="_샤시 (2)_1 18" xfId="3226"/>
    <cellStyle name="_샤시 (2)_1 19" xfId="3227"/>
    <cellStyle name="_샤시 (2)_1 2" xfId="3228"/>
    <cellStyle name="_샤시 (2)_1 20" xfId="3229"/>
    <cellStyle name="_샤시 (2)_1 21" xfId="3230"/>
    <cellStyle name="_샤시 (2)_1 22" xfId="3231"/>
    <cellStyle name="_샤시 (2)_1 23" xfId="3232"/>
    <cellStyle name="_샤시 (2)_1 24" xfId="3233"/>
    <cellStyle name="_샤시 (2)_1 25" xfId="3234"/>
    <cellStyle name="_샤시 (2)_1 26" xfId="3235"/>
    <cellStyle name="_샤시 (2)_1 27" xfId="3236"/>
    <cellStyle name="_샤시 (2)_1 28" xfId="3237"/>
    <cellStyle name="_샤시 (2)_1 29" xfId="3238"/>
    <cellStyle name="_샤시 (2)_1 3" xfId="3239"/>
    <cellStyle name="_샤시 (2)_1 30" xfId="3240"/>
    <cellStyle name="_샤시 (2)_1 31" xfId="3241"/>
    <cellStyle name="_샤시 (2)_1 32" xfId="3242"/>
    <cellStyle name="_샤시 (2)_1 33" xfId="3243"/>
    <cellStyle name="_샤시 (2)_1 34" xfId="3244"/>
    <cellStyle name="_샤시 (2)_1 35" xfId="3245"/>
    <cellStyle name="_샤시 (2)_1 36" xfId="3246"/>
    <cellStyle name="_샤시 (2)_1 37" xfId="3247"/>
    <cellStyle name="_샤시 (2)_1 38" xfId="3248"/>
    <cellStyle name="_샤시 (2)_1 39" xfId="3249"/>
    <cellStyle name="_샤시 (2)_1 4" xfId="3250"/>
    <cellStyle name="_샤시 (2)_1 40" xfId="3251"/>
    <cellStyle name="_샤시 (2)_1 41" xfId="3252"/>
    <cellStyle name="_샤시 (2)_1 42" xfId="3253"/>
    <cellStyle name="_샤시 (2)_1 43" xfId="3254"/>
    <cellStyle name="_샤시 (2)_1 44" xfId="3255"/>
    <cellStyle name="_샤시 (2)_1 45" xfId="3256"/>
    <cellStyle name="_샤시 (2)_1 46" xfId="3257"/>
    <cellStyle name="_샤시 (2)_1 47" xfId="3258"/>
    <cellStyle name="_샤시 (2)_1 48" xfId="3259"/>
    <cellStyle name="_샤시 (2)_1 49" xfId="3260"/>
    <cellStyle name="_샤시 (2)_1 5" xfId="3261"/>
    <cellStyle name="_샤시 (2)_1 50" xfId="3262"/>
    <cellStyle name="_샤시 (2)_1 51" xfId="3263"/>
    <cellStyle name="_샤시 (2)_1 52" xfId="3264"/>
    <cellStyle name="_샤시 (2)_1 53" xfId="3265"/>
    <cellStyle name="_샤시 (2)_1 54" xfId="3266"/>
    <cellStyle name="_샤시 (2)_1 55" xfId="3267"/>
    <cellStyle name="_샤시 (2)_1 56" xfId="3268"/>
    <cellStyle name="_샤시 (2)_1 57" xfId="3269"/>
    <cellStyle name="_샤시 (2)_1 58" xfId="3270"/>
    <cellStyle name="_샤시 (2)_1 59" xfId="3271"/>
    <cellStyle name="_샤시 (2)_1 6" xfId="3272"/>
    <cellStyle name="_샤시 (2)_1 60" xfId="3273"/>
    <cellStyle name="_샤시 (2)_1 61" xfId="3274"/>
    <cellStyle name="_샤시 (2)_1 62" xfId="3275"/>
    <cellStyle name="_샤시 (2)_1 63" xfId="3276"/>
    <cellStyle name="_샤시 (2)_1 7" xfId="3277"/>
    <cellStyle name="_샤시 (2)_1 8" xfId="3278"/>
    <cellStyle name="_샤시 (2)_1 9" xfId="3279"/>
    <cellStyle name="_샤시 (2)_1_04FS_KID산업" xfId="3280"/>
    <cellStyle name="_샤시 (2)_1_04FS_KID산업 10" xfId="3281"/>
    <cellStyle name="_샤시 (2)_1_04FS_KID산업 11" xfId="3282"/>
    <cellStyle name="_샤시 (2)_1_04FS_KID산업 12" xfId="3283"/>
    <cellStyle name="_샤시 (2)_1_04FS_KID산업 13" xfId="3284"/>
    <cellStyle name="_샤시 (2)_1_04FS_KID산업 14" xfId="3285"/>
    <cellStyle name="_샤시 (2)_1_04FS_KID산업 15" xfId="3286"/>
    <cellStyle name="_샤시 (2)_1_04FS_KID산업 16" xfId="3287"/>
    <cellStyle name="_샤시 (2)_1_04FS_KID산업 17" xfId="3288"/>
    <cellStyle name="_샤시 (2)_1_04FS_KID산업 18" xfId="3289"/>
    <cellStyle name="_샤시 (2)_1_04FS_KID산업 19" xfId="3290"/>
    <cellStyle name="_샤시 (2)_1_04FS_KID산업 2" xfId="3291"/>
    <cellStyle name="_샤시 (2)_1_04FS_KID산업 20" xfId="3292"/>
    <cellStyle name="_샤시 (2)_1_04FS_KID산업 21" xfId="3293"/>
    <cellStyle name="_샤시 (2)_1_04FS_KID산업 22" xfId="3294"/>
    <cellStyle name="_샤시 (2)_1_04FS_KID산업 23" xfId="3295"/>
    <cellStyle name="_샤시 (2)_1_04FS_KID산업 24" xfId="3296"/>
    <cellStyle name="_샤시 (2)_1_04FS_KID산업 25" xfId="3297"/>
    <cellStyle name="_샤시 (2)_1_04FS_KID산업 26" xfId="3298"/>
    <cellStyle name="_샤시 (2)_1_04FS_KID산업 27" xfId="3299"/>
    <cellStyle name="_샤시 (2)_1_04FS_KID산업 28" xfId="3300"/>
    <cellStyle name="_샤시 (2)_1_04FS_KID산업 29" xfId="3301"/>
    <cellStyle name="_샤시 (2)_1_04FS_KID산업 3" xfId="3302"/>
    <cellStyle name="_샤시 (2)_1_04FS_KID산업 30" xfId="3303"/>
    <cellStyle name="_샤시 (2)_1_04FS_KID산업 31" xfId="3304"/>
    <cellStyle name="_샤시 (2)_1_04FS_KID산업 32" xfId="3305"/>
    <cellStyle name="_샤시 (2)_1_04FS_KID산업 33" xfId="3306"/>
    <cellStyle name="_샤시 (2)_1_04FS_KID산업 34" xfId="3307"/>
    <cellStyle name="_샤시 (2)_1_04FS_KID산업 35" xfId="3308"/>
    <cellStyle name="_샤시 (2)_1_04FS_KID산업 36" xfId="3309"/>
    <cellStyle name="_샤시 (2)_1_04FS_KID산업 37" xfId="3310"/>
    <cellStyle name="_샤시 (2)_1_04FS_KID산업 38" xfId="3311"/>
    <cellStyle name="_샤시 (2)_1_04FS_KID산업 39" xfId="3312"/>
    <cellStyle name="_샤시 (2)_1_04FS_KID산업 4" xfId="3313"/>
    <cellStyle name="_샤시 (2)_1_04FS_KID산업 40" xfId="3314"/>
    <cellStyle name="_샤시 (2)_1_04FS_KID산업 41" xfId="3315"/>
    <cellStyle name="_샤시 (2)_1_04FS_KID산업 42" xfId="3316"/>
    <cellStyle name="_샤시 (2)_1_04FS_KID산업 43" xfId="3317"/>
    <cellStyle name="_샤시 (2)_1_04FS_KID산업 44" xfId="3318"/>
    <cellStyle name="_샤시 (2)_1_04FS_KID산업 45" xfId="3319"/>
    <cellStyle name="_샤시 (2)_1_04FS_KID산업 46" xfId="3320"/>
    <cellStyle name="_샤시 (2)_1_04FS_KID산업 47" xfId="3321"/>
    <cellStyle name="_샤시 (2)_1_04FS_KID산업 48" xfId="3322"/>
    <cellStyle name="_샤시 (2)_1_04FS_KID산업 49" xfId="3323"/>
    <cellStyle name="_샤시 (2)_1_04FS_KID산업 5" xfId="3324"/>
    <cellStyle name="_샤시 (2)_1_04FS_KID산업 50" xfId="3325"/>
    <cellStyle name="_샤시 (2)_1_04FS_KID산업 51" xfId="3326"/>
    <cellStyle name="_샤시 (2)_1_04FS_KID산업 52" xfId="3327"/>
    <cellStyle name="_샤시 (2)_1_04FS_KID산업 53" xfId="3328"/>
    <cellStyle name="_샤시 (2)_1_04FS_KID산업 54" xfId="3329"/>
    <cellStyle name="_샤시 (2)_1_04FS_KID산업 55" xfId="3330"/>
    <cellStyle name="_샤시 (2)_1_04FS_KID산업 56" xfId="3331"/>
    <cellStyle name="_샤시 (2)_1_04FS_KID산업 57" xfId="3332"/>
    <cellStyle name="_샤시 (2)_1_04FS_KID산업 58" xfId="3333"/>
    <cellStyle name="_샤시 (2)_1_04FS_KID산업 59" xfId="3334"/>
    <cellStyle name="_샤시 (2)_1_04FS_KID산업 6" xfId="3335"/>
    <cellStyle name="_샤시 (2)_1_04FS_KID산업 60" xfId="3336"/>
    <cellStyle name="_샤시 (2)_1_04FS_KID산업 61" xfId="3337"/>
    <cellStyle name="_샤시 (2)_1_04FS_KID산업 62" xfId="3338"/>
    <cellStyle name="_샤시 (2)_1_04FS_KID산업 63" xfId="3339"/>
    <cellStyle name="_샤시 (2)_1_04FS_KID산업 7" xfId="3340"/>
    <cellStyle name="_샤시 (2)_1_04FS_KID산업 8" xfId="3341"/>
    <cellStyle name="_샤시 (2)_1_04FS_KID산업 9" xfId="3342"/>
    <cellStyle name="_샤시 (2)_1_2002FS_FINAL" xfId="3343"/>
    <cellStyle name="_샤시 (2)_1_2002FS_FINAL 10" xfId="3344"/>
    <cellStyle name="_샤시 (2)_1_2002FS_FINAL 11" xfId="3345"/>
    <cellStyle name="_샤시 (2)_1_2002FS_FINAL 12" xfId="3346"/>
    <cellStyle name="_샤시 (2)_1_2002FS_FINAL 13" xfId="3347"/>
    <cellStyle name="_샤시 (2)_1_2002FS_FINAL 14" xfId="3348"/>
    <cellStyle name="_샤시 (2)_1_2002FS_FINAL 15" xfId="3349"/>
    <cellStyle name="_샤시 (2)_1_2002FS_FINAL 16" xfId="3350"/>
    <cellStyle name="_샤시 (2)_1_2002FS_FINAL 17" xfId="3351"/>
    <cellStyle name="_샤시 (2)_1_2002FS_FINAL 18" xfId="3352"/>
    <cellStyle name="_샤시 (2)_1_2002FS_FINAL 19" xfId="3353"/>
    <cellStyle name="_샤시 (2)_1_2002FS_FINAL 2" xfId="3354"/>
    <cellStyle name="_샤시 (2)_1_2002FS_FINAL 20" xfId="3355"/>
    <cellStyle name="_샤시 (2)_1_2002FS_FINAL 21" xfId="3356"/>
    <cellStyle name="_샤시 (2)_1_2002FS_FINAL 22" xfId="3357"/>
    <cellStyle name="_샤시 (2)_1_2002FS_FINAL 23" xfId="3358"/>
    <cellStyle name="_샤시 (2)_1_2002FS_FINAL 24" xfId="3359"/>
    <cellStyle name="_샤시 (2)_1_2002FS_FINAL 25" xfId="3360"/>
    <cellStyle name="_샤시 (2)_1_2002FS_FINAL 26" xfId="3361"/>
    <cellStyle name="_샤시 (2)_1_2002FS_FINAL 27" xfId="3362"/>
    <cellStyle name="_샤시 (2)_1_2002FS_FINAL 28" xfId="3363"/>
    <cellStyle name="_샤시 (2)_1_2002FS_FINAL 29" xfId="3364"/>
    <cellStyle name="_샤시 (2)_1_2002FS_FINAL 3" xfId="3365"/>
    <cellStyle name="_샤시 (2)_1_2002FS_FINAL 30" xfId="3366"/>
    <cellStyle name="_샤시 (2)_1_2002FS_FINAL 31" xfId="3367"/>
    <cellStyle name="_샤시 (2)_1_2002FS_FINAL 32" xfId="3368"/>
    <cellStyle name="_샤시 (2)_1_2002FS_FINAL 33" xfId="3369"/>
    <cellStyle name="_샤시 (2)_1_2002FS_FINAL 34" xfId="3370"/>
    <cellStyle name="_샤시 (2)_1_2002FS_FINAL 35" xfId="3371"/>
    <cellStyle name="_샤시 (2)_1_2002FS_FINAL 36" xfId="3372"/>
    <cellStyle name="_샤시 (2)_1_2002FS_FINAL 37" xfId="3373"/>
    <cellStyle name="_샤시 (2)_1_2002FS_FINAL 38" xfId="3374"/>
    <cellStyle name="_샤시 (2)_1_2002FS_FINAL 39" xfId="3375"/>
    <cellStyle name="_샤시 (2)_1_2002FS_FINAL 4" xfId="3376"/>
    <cellStyle name="_샤시 (2)_1_2002FS_FINAL 40" xfId="3377"/>
    <cellStyle name="_샤시 (2)_1_2002FS_FINAL 41" xfId="3378"/>
    <cellStyle name="_샤시 (2)_1_2002FS_FINAL 42" xfId="3379"/>
    <cellStyle name="_샤시 (2)_1_2002FS_FINAL 43" xfId="3380"/>
    <cellStyle name="_샤시 (2)_1_2002FS_FINAL 44" xfId="3381"/>
    <cellStyle name="_샤시 (2)_1_2002FS_FINAL 45" xfId="3382"/>
    <cellStyle name="_샤시 (2)_1_2002FS_FINAL 46" xfId="3383"/>
    <cellStyle name="_샤시 (2)_1_2002FS_FINAL 47" xfId="3384"/>
    <cellStyle name="_샤시 (2)_1_2002FS_FINAL 48" xfId="3385"/>
    <cellStyle name="_샤시 (2)_1_2002FS_FINAL 49" xfId="3386"/>
    <cellStyle name="_샤시 (2)_1_2002FS_FINAL 5" xfId="3387"/>
    <cellStyle name="_샤시 (2)_1_2002FS_FINAL 50" xfId="3388"/>
    <cellStyle name="_샤시 (2)_1_2002FS_FINAL 51" xfId="3389"/>
    <cellStyle name="_샤시 (2)_1_2002FS_FINAL 52" xfId="3390"/>
    <cellStyle name="_샤시 (2)_1_2002FS_FINAL 53" xfId="3391"/>
    <cellStyle name="_샤시 (2)_1_2002FS_FINAL 54" xfId="3392"/>
    <cellStyle name="_샤시 (2)_1_2002FS_FINAL 55" xfId="3393"/>
    <cellStyle name="_샤시 (2)_1_2002FS_FINAL 56" xfId="3394"/>
    <cellStyle name="_샤시 (2)_1_2002FS_FINAL 57" xfId="3395"/>
    <cellStyle name="_샤시 (2)_1_2002FS_FINAL 58" xfId="3396"/>
    <cellStyle name="_샤시 (2)_1_2002FS_FINAL 59" xfId="3397"/>
    <cellStyle name="_샤시 (2)_1_2002FS_FINAL 6" xfId="3398"/>
    <cellStyle name="_샤시 (2)_1_2002FS_FINAL 60" xfId="3399"/>
    <cellStyle name="_샤시 (2)_1_2002FS_FINAL 61" xfId="3400"/>
    <cellStyle name="_샤시 (2)_1_2002FS_FINAL 62" xfId="3401"/>
    <cellStyle name="_샤시 (2)_1_2002FS_FINAL 63" xfId="3402"/>
    <cellStyle name="_샤시 (2)_1_2002FS_FINAL 7" xfId="3403"/>
    <cellStyle name="_샤시 (2)_1_2002FS_FINAL 8" xfId="3404"/>
    <cellStyle name="_샤시 (2)_1_2002FS_FINAL 9" xfId="3405"/>
    <cellStyle name="_샤시 (2)_1_2211  한주금속-2005FS의 워크시트" xfId="3406"/>
    <cellStyle name="_샤시 (2)_1_2211  한주금속-2005FS의 워크시트 10" xfId="3407"/>
    <cellStyle name="_샤시 (2)_1_2211  한주금속-2005FS의 워크시트 11" xfId="3408"/>
    <cellStyle name="_샤시 (2)_1_2211  한주금속-2005FS의 워크시트 12" xfId="3409"/>
    <cellStyle name="_샤시 (2)_1_2211  한주금속-2005FS의 워크시트 13" xfId="3410"/>
    <cellStyle name="_샤시 (2)_1_2211  한주금속-2005FS의 워크시트 14" xfId="3411"/>
    <cellStyle name="_샤시 (2)_1_2211  한주금속-2005FS의 워크시트 15" xfId="3412"/>
    <cellStyle name="_샤시 (2)_1_2211  한주금속-2005FS의 워크시트 16" xfId="3413"/>
    <cellStyle name="_샤시 (2)_1_2211  한주금속-2005FS의 워크시트 17" xfId="3414"/>
    <cellStyle name="_샤시 (2)_1_2211  한주금속-2005FS의 워크시트 18" xfId="3415"/>
    <cellStyle name="_샤시 (2)_1_2211  한주금속-2005FS의 워크시트 19" xfId="3416"/>
    <cellStyle name="_샤시 (2)_1_2211  한주금속-2005FS의 워크시트 2" xfId="3417"/>
    <cellStyle name="_샤시 (2)_1_2211  한주금속-2005FS의 워크시트 20" xfId="3418"/>
    <cellStyle name="_샤시 (2)_1_2211  한주금속-2005FS의 워크시트 21" xfId="3419"/>
    <cellStyle name="_샤시 (2)_1_2211  한주금속-2005FS의 워크시트 22" xfId="3420"/>
    <cellStyle name="_샤시 (2)_1_2211  한주금속-2005FS의 워크시트 23" xfId="3421"/>
    <cellStyle name="_샤시 (2)_1_2211  한주금속-2005FS의 워크시트 24" xfId="3422"/>
    <cellStyle name="_샤시 (2)_1_2211  한주금속-2005FS의 워크시트 25" xfId="3423"/>
    <cellStyle name="_샤시 (2)_1_2211  한주금속-2005FS의 워크시트 26" xfId="3424"/>
    <cellStyle name="_샤시 (2)_1_2211  한주금속-2005FS의 워크시트 27" xfId="3425"/>
    <cellStyle name="_샤시 (2)_1_2211  한주금속-2005FS의 워크시트 28" xfId="3426"/>
    <cellStyle name="_샤시 (2)_1_2211  한주금속-2005FS의 워크시트 29" xfId="3427"/>
    <cellStyle name="_샤시 (2)_1_2211  한주금속-2005FS의 워크시트 3" xfId="3428"/>
    <cellStyle name="_샤시 (2)_1_2211  한주금속-2005FS의 워크시트 30" xfId="3429"/>
    <cellStyle name="_샤시 (2)_1_2211  한주금속-2005FS의 워크시트 31" xfId="3430"/>
    <cellStyle name="_샤시 (2)_1_2211  한주금속-2005FS의 워크시트 32" xfId="3431"/>
    <cellStyle name="_샤시 (2)_1_2211  한주금속-2005FS의 워크시트 33" xfId="3432"/>
    <cellStyle name="_샤시 (2)_1_2211  한주금속-2005FS의 워크시트 34" xfId="3433"/>
    <cellStyle name="_샤시 (2)_1_2211  한주금속-2005FS의 워크시트 35" xfId="3434"/>
    <cellStyle name="_샤시 (2)_1_2211  한주금속-2005FS의 워크시트 36" xfId="3435"/>
    <cellStyle name="_샤시 (2)_1_2211  한주금속-2005FS의 워크시트 37" xfId="3436"/>
    <cellStyle name="_샤시 (2)_1_2211  한주금속-2005FS의 워크시트 38" xfId="3437"/>
    <cellStyle name="_샤시 (2)_1_2211  한주금속-2005FS의 워크시트 39" xfId="3438"/>
    <cellStyle name="_샤시 (2)_1_2211  한주금속-2005FS의 워크시트 4" xfId="3439"/>
    <cellStyle name="_샤시 (2)_1_2211  한주금속-2005FS의 워크시트 40" xfId="3440"/>
    <cellStyle name="_샤시 (2)_1_2211  한주금속-2005FS의 워크시트 41" xfId="3441"/>
    <cellStyle name="_샤시 (2)_1_2211  한주금속-2005FS의 워크시트 42" xfId="3442"/>
    <cellStyle name="_샤시 (2)_1_2211  한주금속-2005FS의 워크시트 43" xfId="3443"/>
    <cellStyle name="_샤시 (2)_1_2211  한주금속-2005FS의 워크시트 44" xfId="3444"/>
    <cellStyle name="_샤시 (2)_1_2211  한주금속-2005FS의 워크시트 45" xfId="3445"/>
    <cellStyle name="_샤시 (2)_1_2211  한주금속-2005FS의 워크시트 46" xfId="3446"/>
    <cellStyle name="_샤시 (2)_1_2211  한주금속-2005FS의 워크시트 47" xfId="3447"/>
    <cellStyle name="_샤시 (2)_1_2211  한주금속-2005FS의 워크시트 48" xfId="3448"/>
    <cellStyle name="_샤시 (2)_1_2211  한주금속-2005FS의 워크시트 49" xfId="3449"/>
    <cellStyle name="_샤시 (2)_1_2211  한주금속-2005FS의 워크시트 5" xfId="3450"/>
    <cellStyle name="_샤시 (2)_1_2211  한주금속-2005FS의 워크시트 50" xfId="3451"/>
    <cellStyle name="_샤시 (2)_1_2211  한주금속-2005FS의 워크시트 51" xfId="3452"/>
    <cellStyle name="_샤시 (2)_1_2211  한주금속-2005FS의 워크시트 52" xfId="3453"/>
    <cellStyle name="_샤시 (2)_1_2211  한주금속-2005FS의 워크시트 53" xfId="3454"/>
    <cellStyle name="_샤시 (2)_1_2211  한주금속-2005FS의 워크시트 54" xfId="3455"/>
    <cellStyle name="_샤시 (2)_1_2211  한주금속-2005FS의 워크시트 55" xfId="3456"/>
    <cellStyle name="_샤시 (2)_1_2211  한주금속-2005FS의 워크시트 56" xfId="3457"/>
    <cellStyle name="_샤시 (2)_1_2211  한주금속-2005FS의 워크시트 57" xfId="3458"/>
    <cellStyle name="_샤시 (2)_1_2211  한주금속-2005FS의 워크시트 58" xfId="3459"/>
    <cellStyle name="_샤시 (2)_1_2211  한주금속-2005FS의 워크시트 59" xfId="3460"/>
    <cellStyle name="_샤시 (2)_1_2211  한주금속-2005FS의 워크시트 6" xfId="3461"/>
    <cellStyle name="_샤시 (2)_1_2211  한주금속-2005FS의 워크시트 60" xfId="3462"/>
    <cellStyle name="_샤시 (2)_1_2211  한주금속-2005FS의 워크시트 61" xfId="3463"/>
    <cellStyle name="_샤시 (2)_1_2211  한주금속-2005FS의 워크시트 62" xfId="3464"/>
    <cellStyle name="_샤시 (2)_1_2211  한주금속-2005FS의 워크시트 63" xfId="3465"/>
    <cellStyle name="_샤시 (2)_1_2211  한주금속-2005FS의 워크시트 7" xfId="3466"/>
    <cellStyle name="_샤시 (2)_1_2211  한주금속-2005FS의 워크시트 8" xfId="3467"/>
    <cellStyle name="_샤시 (2)_1_2211  한주금속-2005FS의 워크시트 9" xfId="3468"/>
    <cellStyle name="_샤시 (2)_1_7기 에자이 현금흐름표" xfId="3469"/>
    <cellStyle name="_샤시 (2)_1_7기 에자이 현금흐름표 10" xfId="3470"/>
    <cellStyle name="_샤시 (2)_1_7기 에자이 현금흐름표 11" xfId="3471"/>
    <cellStyle name="_샤시 (2)_1_7기 에자이 현금흐름표 12" xfId="3472"/>
    <cellStyle name="_샤시 (2)_1_7기 에자이 현금흐름표 13" xfId="3473"/>
    <cellStyle name="_샤시 (2)_1_7기 에자이 현금흐름표 14" xfId="3474"/>
    <cellStyle name="_샤시 (2)_1_7기 에자이 현금흐름표 15" xfId="3475"/>
    <cellStyle name="_샤시 (2)_1_7기 에자이 현금흐름표 16" xfId="3476"/>
    <cellStyle name="_샤시 (2)_1_7기 에자이 현금흐름표 17" xfId="3477"/>
    <cellStyle name="_샤시 (2)_1_7기 에자이 현금흐름표 18" xfId="3478"/>
    <cellStyle name="_샤시 (2)_1_7기 에자이 현금흐름표 19" xfId="3479"/>
    <cellStyle name="_샤시 (2)_1_7기 에자이 현금흐름표 2" xfId="3480"/>
    <cellStyle name="_샤시 (2)_1_7기 에자이 현금흐름표 20" xfId="3481"/>
    <cellStyle name="_샤시 (2)_1_7기 에자이 현금흐름표 21" xfId="3482"/>
    <cellStyle name="_샤시 (2)_1_7기 에자이 현금흐름표 22" xfId="3483"/>
    <cellStyle name="_샤시 (2)_1_7기 에자이 현금흐름표 23" xfId="3484"/>
    <cellStyle name="_샤시 (2)_1_7기 에자이 현금흐름표 24" xfId="3485"/>
    <cellStyle name="_샤시 (2)_1_7기 에자이 현금흐름표 25" xfId="3486"/>
    <cellStyle name="_샤시 (2)_1_7기 에자이 현금흐름표 26" xfId="3487"/>
    <cellStyle name="_샤시 (2)_1_7기 에자이 현금흐름표 27" xfId="3488"/>
    <cellStyle name="_샤시 (2)_1_7기 에자이 현금흐름표 28" xfId="3489"/>
    <cellStyle name="_샤시 (2)_1_7기 에자이 현금흐름표 29" xfId="3490"/>
    <cellStyle name="_샤시 (2)_1_7기 에자이 현금흐름표 3" xfId="3491"/>
    <cellStyle name="_샤시 (2)_1_7기 에자이 현금흐름표 30" xfId="3492"/>
    <cellStyle name="_샤시 (2)_1_7기 에자이 현금흐름표 31" xfId="3493"/>
    <cellStyle name="_샤시 (2)_1_7기 에자이 현금흐름표 32" xfId="3494"/>
    <cellStyle name="_샤시 (2)_1_7기 에자이 현금흐름표 33" xfId="3495"/>
    <cellStyle name="_샤시 (2)_1_7기 에자이 현금흐름표 34" xfId="3496"/>
    <cellStyle name="_샤시 (2)_1_7기 에자이 현금흐름표 35" xfId="3497"/>
    <cellStyle name="_샤시 (2)_1_7기 에자이 현금흐름표 36" xfId="3498"/>
    <cellStyle name="_샤시 (2)_1_7기 에자이 현금흐름표 37" xfId="3499"/>
    <cellStyle name="_샤시 (2)_1_7기 에자이 현금흐름표 38" xfId="3500"/>
    <cellStyle name="_샤시 (2)_1_7기 에자이 현금흐름표 39" xfId="3501"/>
    <cellStyle name="_샤시 (2)_1_7기 에자이 현금흐름표 4" xfId="3502"/>
    <cellStyle name="_샤시 (2)_1_7기 에자이 현금흐름표 40" xfId="3503"/>
    <cellStyle name="_샤시 (2)_1_7기 에자이 현금흐름표 41" xfId="3504"/>
    <cellStyle name="_샤시 (2)_1_7기 에자이 현금흐름표 42" xfId="3505"/>
    <cellStyle name="_샤시 (2)_1_7기 에자이 현금흐름표 43" xfId="3506"/>
    <cellStyle name="_샤시 (2)_1_7기 에자이 현금흐름표 44" xfId="3507"/>
    <cellStyle name="_샤시 (2)_1_7기 에자이 현금흐름표 45" xfId="3508"/>
    <cellStyle name="_샤시 (2)_1_7기 에자이 현금흐름표 46" xfId="3509"/>
    <cellStyle name="_샤시 (2)_1_7기 에자이 현금흐름표 47" xfId="3510"/>
    <cellStyle name="_샤시 (2)_1_7기 에자이 현금흐름표 48" xfId="3511"/>
    <cellStyle name="_샤시 (2)_1_7기 에자이 현금흐름표 49" xfId="3512"/>
    <cellStyle name="_샤시 (2)_1_7기 에자이 현금흐름표 5" xfId="3513"/>
    <cellStyle name="_샤시 (2)_1_7기 에자이 현금흐름표 50" xfId="3514"/>
    <cellStyle name="_샤시 (2)_1_7기 에자이 현금흐름표 51" xfId="3515"/>
    <cellStyle name="_샤시 (2)_1_7기 에자이 현금흐름표 52" xfId="3516"/>
    <cellStyle name="_샤시 (2)_1_7기 에자이 현금흐름표 53" xfId="3517"/>
    <cellStyle name="_샤시 (2)_1_7기 에자이 현금흐름표 54" xfId="3518"/>
    <cellStyle name="_샤시 (2)_1_7기 에자이 현금흐름표 55" xfId="3519"/>
    <cellStyle name="_샤시 (2)_1_7기 에자이 현금흐름표 56" xfId="3520"/>
    <cellStyle name="_샤시 (2)_1_7기 에자이 현금흐름표 57" xfId="3521"/>
    <cellStyle name="_샤시 (2)_1_7기 에자이 현금흐름표 58" xfId="3522"/>
    <cellStyle name="_샤시 (2)_1_7기 에자이 현금흐름표 59" xfId="3523"/>
    <cellStyle name="_샤시 (2)_1_7기 에자이 현금흐름표 6" xfId="3524"/>
    <cellStyle name="_샤시 (2)_1_7기 에자이 현금흐름표 60" xfId="3525"/>
    <cellStyle name="_샤시 (2)_1_7기 에자이 현금흐름표 61" xfId="3526"/>
    <cellStyle name="_샤시 (2)_1_7기 에자이 현금흐름표 62" xfId="3527"/>
    <cellStyle name="_샤시 (2)_1_7기 에자이 현금흐름표 63" xfId="3528"/>
    <cellStyle name="_샤시 (2)_1_7기 에자이 현금흐름표 7" xfId="3529"/>
    <cellStyle name="_샤시 (2)_1_7기 에자이 현금흐름표 8" xfId="3530"/>
    <cellStyle name="_샤시 (2)_1_7기 에자이 현금흐름표 9" xfId="3531"/>
    <cellStyle name="_샤시 (2)_1_8720 18기이연법인세의 워크시트" xfId="3532"/>
    <cellStyle name="_샤시 (2)_1_8720 18기이연법인세의 워크시트 10" xfId="3533"/>
    <cellStyle name="_샤시 (2)_1_8720 18기이연법인세의 워크시트 11" xfId="3534"/>
    <cellStyle name="_샤시 (2)_1_8720 18기이연법인세의 워크시트 12" xfId="3535"/>
    <cellStyle name="_샤시 (2)_1_8720 18기이연법인세의 워크시트 13" xfId="3536"/>
    <cellStyle name="_샤시 (2)_1_8720 18기이연법인세의 워크시트 14" xfId="3537"/>
    <cellStyle name="_샤시 (2)_1_8720 18기이연법인세의 워크시트 15" xfId="3538"/>
    <cellStyle name="_샤시 (2)_1_8720 18기이연법인세의 워크시트 16" xfId="3539"/>
    <cellStyle name="_샤시 (2)_1_8720 18기이연법인세의 워크시트 17" xfId="3540"/>
    <cellStyle name="_샤시 (2)_1_8720 18기이연법인세의 워크시트 18" xfId="3541"/>
    <cellStyle name="_샤시 (2)_1_8720 18기이연법인세의 워크시트 19" xfId="3542"/>
    <cellStyle name="_샤시 (2)_1_8720 18기이연법인세의 워크시트 2" xfId="3543"/>
    <cellStyle name="_샤시 (2)_1_8720 18기이연법인세의 워크시트 20" xfId="3544"/>
    <cellStyle name="_샤시 (2)_1_8720 18기이연법인세의 워크시트 21" xfId="3545"/>
    <cellStyle name="_샤시 (2)_1_8720 18기이연법인세의 워크시트 22" xfId="3546"/>
    <cellStyle name="_샤시 (2)_1_8720 18기이연법인세의 워크시트 23" xfId="3547"/>
    <cellStyle name="_샤시 (2)_1_8720 18기이연법인세의 워크시트 24" xfId="3548"/>
    <cellStyle name="_샤시 (2)_1_8720 18기이연법인세의 워크시트 25" xfId="3549"/>
    <cellStyle name="_샤시 (2)_1_8720 18기이연법인세의 워크시트 26" xfId="3550"/>
    <cellStyle name="_샤시 (2)_1_8720 18기이연법인세의 워크시트 27" xfId="3551"/>
    <cellStyle name="_샤시 (2)_1_8720 18기이연법인세의 워크시트 28" xfId="3552"/>
    <cellStyle name="_샤시 (2)_1_8720 18기이연법인세의 워크시트 29" xfId="3553"/>
    <cellStyle name="_샤시 (2)_1_8720 18기이연법인세의 워크시트 3" xfId="3554"/>
    <cellStyle name="_샤시 (2)_1_8720 18기이연법인세의 워크시트 30" xfId="3555"/>
    <cellStyle name="_샤시 (2)_1_8720 18기이연법인세의 워크시트 31" xfId="3556"/>
    <cellStyle name="_샤시 (2)_1_8720 18기이연법인세의 워크시트 32" xfId="3557"/>
    <cellStyle name="_샤시 (2)_1_8720 18기이연법인세의 워크시트 33" xfId="3558"/>
    <cellStyle name="_샤시 (2)_1_8720 18기이연법인세의 워크시트 34" xfId="3559"/>
    <cellStyle name="_샤시 (2)_1_8720 18기이연법인세의 워크시트 35" xfId="3560"/>
    <cellStyle name="_샤시 (2)_1_8720 18기이연법인세의 워크시트 36" xfId="3561"/>
    <cellStyle name="_샤시 (2)_1_8720 18기이연법인세의 워크시트 37" xfId="3562"/>
    <cellStyle name="_샤시 (2)_1_8720 18기이연법인세의 워크시트 38" xfId="3563"/>
    <cellStyle name="_샤시 (2)_1_8720 18기이연법인세의 워크시트 39" xfId="3564"/>
    <cellStyle name="_샤시 (2)_1_8720 18기이연법인세의 워크시트 4" xfId="3565"/>
    <cellStyle name="_샤시 (2)_1_8720 18기이연법인세의 워크시트 40" xfId="3566"/>
    <cellStyle name="_샤시 (2)_1_8720 18기이연법인세의 워크시트 41" xfId="3567"/>
    <cellStyle name="_샤시 (2)_1_8720 18기이연법인세의 워크시트 42" xfId="3568"/>
    <cellStyle name="_샤시 (2)_1_8720 18기이연법인세의 워크시트 43" xfId="3569"/>
    <cellStyle name="_샤시 (2)_1_8720 18기이연법인세의 워크시트 44" xfId="3570"/>
    <cellStyle name="_샤시 (2)_1_8720 18기이연법인세의 워크시트 45" xfId="3571"/>
    <cellStyle name="_샤시 (2)_1_8720 18기이연법인세의 워크시트 46" xfId="3572"/>
    <cellStyle name="_샤시 (2)_1_8720 18기이연법인세의 워크시트 47" xfId="3573"/>
    <cellStyle name="_샤시 (2)_1_8720 18기이연법인세의 워크시트 48" xfId="3574"/>
    <cellStyle name="_샤시 (2)_1_8720 18기이연법인세의 워크시트 49" xfId="3575"/>
    <cellStyle name="_샤시 (2)_1_8720 18기이연법인세의 워크시트 5" xfId="3576"/>
    <cellStyle name="_샤시 (2)_1_8720 18기이연법인세의 워크시트 50" xfId="3577"/>
    <cellStyle name="_샤시 (2)_1_8720 18기이연법인세의 워크시트 51" xfId="3578"/>
    <cellStyle name="_샤시 (2)_1_8720 18기이연법인세의 워크시트 52" xfId="3579"/>
    <cellStyle name="_샤시 (2)_1_8720 18기이연법인세의 워크시트 53" xfId="3580"/>
    <cellStyle name="_샤시 (2)_1_8720 18기이연법인세의 워크시트 54" xfId="3581"/>
    <cellStyle name="_샤시 (2)_1_8720 18기이연법인세의 워크시트 55" xfId="3582"/>
    <cellStyle name="_샤시 (2)_1_8720 18기이연법인세의 워크시트 56" xfId="3583"/>
    <cellStyle name="_샤시 (2)_1_8720 18기이연법인세의 워크시트 57" xfId="3584"/>
    <cellStyle name="_샤시 (2)_1_8720 18기이연법인세의 워크시트 58" xfId="3585"/>
    <cellStyle name="_샤시 (2)_1_8720 18기이연법인세의 워크시트 59" xfId="3586"/>
    <cellStyle name="_샤시 (2)_1_8720 18기이연법인세의 워크시트 6" xfId="3587"/>
    <cellStyle name="_샤시 (2)_1_8720 18기이연법인세의 워크시트 60" xfId="3588"/>
    <cellStyle name="_샤시 (2)_1_8720 18기이연법인세의 워크시트 61" xfId="3589"/>
    <cellStyle name="_샤시 (2)_1_8720 18기이연법인세의 워크시트 62" xfId="3590"/>
    <cellStyle name="_샤시 (2)_1_8720 18기이연법인세의 워크시트 63" xfId="3591"/>
    <cellStyle name="_샤시 (2)_1_8720 18기이연법인세의 워크시트 7" xfId="3592"/>
    <cellStyle name="_샤시 (2)_1_8720 18기이연법인세의 워크시트 8" xfId="3593"/>
    <cellStyle name="_샤시 (2)_1_8720 18기이연법인세의 워크시트 9" xfId="3594"/>
    <cellStyle name="_샤시 (2)_1_Worksheet in (C) 8730 7기이연법인세검토" xfId="3847"/>
    <cellStyle name="_샤시 (2)_1_Worksheet in (C) 8730 7기이연법인세검토 10" xfId="3848"/>
    <cellStyle name="_샤시 (2)_1_Worksheet in (C) 8730 7기이연법인세검토 11" xfId="3849"/>
    <cellStyle name="_샤시 (2)_1_Worksheet in (C) 8730 7기이연법인세검토 12" xfId="3850"/>
    <cellStyle name="_샤시 (2)_1_Worksheet in (C) 8730 7기이연법인세검토 13" xfId="3851"/>
    <cellStyle name="_샤시 (2)_1_Worksheet in (C) 8730 7기이연법인세검토 14" xfId="3852"/>
    <cellStyle name="_샤시 (2)_1_Worksheet in (C) 8730 7기이연법인세검토 15" xfId="3853"/>
    <cellStyle name="_샤시 (2)_1_Worksheet in (C) 8730 7기이연법인세검토 16" xfId="3854"/>
    <cellStyle name="_샤시 (2)_1_Worksheet in (C) 8730 7기이연법인세검토 17" xfId="3855"/>
    <cellStyle name="_샤시 (2)_1_Worksheet in (C) 8730 7기이연법인세검토 18" xfId="3856"/>
    <cellStyle name="_샤시 (2)_1_Worksheet in (C) 8730 7기이연법인세검토 19" xfId="3857"/>
    <cellStyle name="_샤시 (2)_1_Worksheet in (C) 8730 7기이연법인세검토 2" xfId="3858"/>
    <cellStyle name="_샤시 (2)_1_Worksheet in (C) 8730 7기이연법인세검토 20" xfId="3859"/>
    <cellStyle name="_샤시 (2)_1_Worksheet in (C) 8730 7기이연법인세검토 21" xfId="3860"/>
    <cellStyle name="_샤시 (2)_1_Worksheet in (C) 8730 7기이연법인세검토 22" xfId="3861"/>
    <cellStyle name="_샤시 (2)_1_Worksheet in (C) 8730 7기이연법인세검토 23" xfId="3862"/>
    <cellStyle name="_샤시 (2)_1_Worksheet in (C) 8730 7기이연법인세검토 24" xfId="3863"/>
    <cellStyle name="_샤시 (2)_1_Worksheet in (C) 8730 7기이연법인세검토 25" xfId="3864"/>
    <cellStyle name="_샤시 (2)_1_Worksheet in (C) 8730 7기이연법인세검토 26" xfId="3865"/>
    <cellStyle name="_샤시 (2)_1_Worksheet in (C) 8730 7기이연법인세검토 27" xfId="3866"/>
    <cellStyle name="_샤시 (2)_1_Worksheet in (C) 8730 7기이연법인세검토 28" xfId="3867"/>
    <cellStyle name="_샤시 (2)_1_Worksheet in (C) 8730 7기이연법인세검토 29" xfId="3868"/>
    <cellStyle name="_샤시 (2)_1_Worksheet in (C) 8730 7기이연법인세검토 3" xfId="3869"/>
    <cellStyle name="_샤시 (2)_1_Worksheet in (C) 8730 7기이연법인세검토 30" xfId="3870"/>
    <cellStyle name="_샤시 (2)_1_Worksheet in (C) 8730 7기이연법인세검토 31" xfId="3871"/>
    <cellStyle name="_샤시 (2)_1_Worksheet in (C) 8730 7기이연법인세검토 32" xfId="3872"/>
    <cellStyle name="_샤시 (2)_1_Worksheet in (C) 8730 7기이연법인세검토 33" xfId="3873"/>
    <cellStyle name="_샤시 (2)_1_Worksheet in (C) 8730 7기이연법인세검토 34" xfId="3874"/>
    <cellStyle name="_샤시 (2)_1_Worksheet in (C) 8730 7기이연법인세검토 35" xfId="3875"/>
    <cellStyle name="_샤시 (2)_1_Worksheet in (C) 8730 7기이연법인세검토 36" xfId="3876"/>
    <cellStyle name="_샤시 (2)_1_Worksheet in (C) 8730 7기이연법인세검토 37" xfId="3877"/>
    <cellStyle name="_샤시 (2)_1_Worksheet in (C) 8730 7기이연법인세검토 38" xfId="3878"/>
    <cellStyle name="_샤시 (2)_1_Worksheet in (C) 8730 7기이연법인세검토 39" xfId="3879"/>
    <cellStyle name="_샤시 (2)_1_Worksheet in (C) 8730 7기이연법인세검토 4" xfId="3880"/>
    <cellStyle name="_샤시 (2)_1_Worksheet in (C) 8730 7기이연법인세검토 40" xfId="3881"/>
    <cellStyle name="_샤시 (2)_1_Worksheet in (C) 8730 7기이연법인세검토 41" xfId="3882"/>
    <cellStyle name="_샤시 (2)_1_Worksheet in (C) 8730 7기이연법인세검토 42" xfId="3883"/>
    <cellStyle name="_샤시 (2)_1_Worksheet in (C) 8730 7기이연법인세검토 43" xfId="3884"/>
    <cellStyle name="_샤시 (2)_1_Worksheet in (C) 8730 7기이연법인세검토 44" xfId="3885"/>
    <cellStyle name="_샤시 (2)_1_Worksheet in (C) 8730 7기이연법인세검토 45" xfId="3886"/>
    <cellStyle name="_샤시 (2)_1_Worksheet in (C) 8730 7기이연법인세검토 46" xfId="3887"/>
    <cellStyle name="_샤시 (2)_1_Worksheet in (C) 8730 7기이연법인세검토 47" xfId="3888"/>
    <cellStyle name="_샤시 (2)_1_Worksheet in (C) 8730 7기이연법인세검토 48" xfId="3889"/>
    <cellStyle name="_샤시 (2)_1_Worksheet in (C) 8730 7기이연법인세검토 49" xfId="3890"/>
    <cellStyle name="_샤시 (2)_1_Worksheet in (C) 8730 7기이연법인세검토 5" xfId="3891"/>
    <cellStyle name="_샤시 (2)_1_Worksheet in (C) 8730 7기이연법인세검토 50" xfId="3892"/>
    <cellStyle name="_샤시 (2)_1_Worksheet in (C) 8730 7기이연법인세검토 51" xfId="3893"/>
    <cellStyle name="_샤시 (2)_1_Worksheet in (C) 8730 7기이연법인세검토 52" xfId="3894"/>
    <cellStyle name="_샤시 (2)_1_Worksheet in (C) 8730 7기이연법인세검토 53" xfId="3895"/>
    <cellStyle name="_샤시 (2)_1_Worksheet in (C) 8730 7기이연법인세검토 54" xfId="3896"/>
    <cellStyle name="_샤시 (2)_1_Worksheet in (C) 8730 7기이연법인세검토 55" xfId="3897"/>
    <cellStyle name="_샤시 (2)_1_Worksheet in (C) 8730 7기이연법인세검토 56" xfId="3898"/>
    <cellStyle name="_샤시 (2)_1_Worksheet in (C) 8730 7기이연법인세검토 57" xfId="3899"/>
    <cellStyle name="_샤시 (2)_1_Worksheet in (C) 8730 7기이연법인세검토 58" xfId="3900"/>
    <cellStyle name="_샤시 (2)_1_Worksheet in (C) 8730 7기이연법인세검토 59" xfId="3901"/>
    <cellStyle name="_샤시 (2)_1_Worksheet in (C) 8730 7기이연법인세검토 6" xfId="3902"/>
    <cellStyle name="_샤시 (2)_1_Worksheet in (C) 8730 7기이연법인세검토 60" xfId="3903"/>
    <cellStyle name="_샤시 (2)_1_Worksheet in (C) 8730 7기이연법인세검토 61" xfId="3904"/>
    <cellStyle name="_샤시 (2)_1_Worksheet in (C) 8730 7기이연법인세검토 62" xfId="3905"/>
    <cellStyle name="_샤시 (2)_1_Worksheet in (C) 8730 7기이연법인세검토 63" xfId="3906"/>
    <cellStyle name="_샤시 (2)_1_Worksheet in (C) 8730 7기이연법인세검토 7" xfId="3907"/>
    <cellStyle name="_샤시 (2)_1_Worksheet in (C) 8730 7기이연법인세검토 8" xfId="3908"/>
    <cellStyle name="_샤시 (2)_1_Worksheet in (C) 8730 7기이연법인세검토 9" xfId="3909"/>
    <cellStyle name="_샤시 (2)_1_대차손익(20070331)_kjh" xfId="3595"/>
    <cellStyle name="_샤시 (2)_1_대차손익(20070331)_kjh 10" xfId="3596"/>
    <cellStyle name="_샤시 (2)_1_대차손익(20070331)_kjh 11" xfId="3597"/>
    <cellStyle name="_샤시 (2)_1_대차손익(20070331)_kjh 12" xfId="3598"/>
    <cellStyle name="_샤시 (2)_1_대차손익(20070331)_kjh 13" xfId="3599"/>
    <cellStyle name="_샤시 (2)_1_대차손익(20070331)_kjh 14" xfId="3600"/>
    <cellStyle name="_샤시 (2)_1_대차손익(20070331)_kjh 15" xfId="3601"/>
    <cellStyle name="_샤시 (2)_1_대차손익(20070331)_kjh 16" xfId="3602"/>
    <cellStyle name="_샤시 (2)_1_대차손익(20070331)_kjh 17" xfId="3603"/>
    <cellStyle name="_샤시 (2)_1_대차손익(20070331)_kjh 18" xfId="3604"/>
    <cellStyle name="_샤시 (2)_1_대차손익(20070331)_kjh 19" xfId="3605"/>
    <cellStyle name="_샤시 (2)_1_대차손익(20070331)_kjh 2" xfId="3606"/>
    <cellStyle name="_샤시 (2)_1_대차손익(20070331)_kjh 20" xfId="3607"/>
    <cellStyle name="_샤시 (2)_1_대차손익(20070331)_kjh 21" xfId="3608"/>
    <cellStyle name="_샤시 (2)_1_대차손익(20070331)_kjh 22" xfId="3609"/>
    <cellStyle name="_샤시 (2)_1_대차손익(20070331)_kjh 23" xfId="3610"/>
    <cellStyle name="_샤시 (2)_1_대차손익(20070331)_kjh 24" xfId="3611"/>
    <cellStyle name="_샤시 (2)_1_대차손익(20070331)_kjh 25" xfId="3612"/>
    <cellStyle name="_샤시 (2)_1_대차손익(20070331)_kjh 26" xfId="3613"/>
    <cellStyle name="_샤시 (2)_1_대차손익(20070331)_kjh 27" xfId="3614"/>
    <cellStyle name="_샤시 (2)_1_대차손익(20070331)_kjh 28" xfId="3615"/>
    <cellStyle name="_샤시 (2)_1_대차손익(20070331)_kjh 29" xfId="3616"/>
    <cellStyle name="_샤시 (2)_1_대차손익(20070331)_kjh 3" xfId="3617"/>
    <cellStyle name="_샤시 (2)_1_대차손익(20070331)_kjh 30" xfId="3618"/>
    <cellStyle name="_샤시 (2)_1_대차손익(20070331)_kjh 31" xfId="3619"/>
    <cellStyle name="_샤시 (2)_1_대차손익(20070331)_kjh 32" xfId="3620"/>
    <cellStyle name="_샤시 (2)_1_대차손익(20070331)_kjh 33" xfId="3621"/>
    <cellStyle name="_샤시 (2)_1_대차손익(20070331)_kjh 34" xfId="3622"/>
    <cellStyle name="_샤시 (2)_1_대차손익(20070331)_kjh 35" xfId="3623"/>
    <cellStyle name="_샤시 (2)_1_대차손익(20070331)_kjh 36" xfId="3624"/>
    <cellStyle name="_샤시 (2)_1_대차손익(20070331)_kjh 37" xfId="3625"/>
    <cellStyle name="_샤시 (2)_1_대차손익(20070331)_kjh 38" xfId="3626"/>
    <cellStyle name="_샤시 (2)_1_대차손익(20070331)_kjh 39" xfId="3627"/>
    <cellStyle name="_샤시 (2)_1_대차손익(20070331)_kjh 4" xfId="3628"/>
    <cellStyle name="_샤시 (2)_1_대차손익(20070331)_kjh 40" xfId="3629"/>
    <cellStyle name="_샤시 (2)_1_대차손익(20070331)_kjh 41" xfId="3630"/>
    <cellStyle name="_샤시 (2)_1_대차손익(20070331)_kjh 42" xfId="3631"/>
    <cellStyle name="_샤시 (2)_1_대차손익(20070331)_kjh 43" xfId="3632"/>
    <cellStyle name="_샤시 (2)_1_대차손익(20070331)_kjh 44" xfId="3633"/>
    <cellStyle name="_샤시 (2)_1_대차손익(20070331)_kjh 45" xfId="3634"/>
    <cellStyle name="_샤시 (2)_1_대차손익(20070331)_kjh 46" xfId="3635"/>
    <cellStyle name="_샤시 (2)_1_대차손익(20070331)_kjh 47" xfId="3636"/>
    <cellStyle name="_샤시 (2)_1_대차손익(20070331)_kjh 48" xfId="3637"/>
    <cellStyle name="_샤시 (2)_1_대차손익(20070331)_kjh 49" xfId="3638"/>
    <cellStyle name="_샤시 (2)_1_대차손익(20070331)_kjh 5" xfId="3639"/>
    <cellStyle name="_샤시 (2)_1_대차손익(20070331)_kjh 50" xfId="3640"/>
    <cellStyle name="_샤시 (2)_1_대차손익(20070331)_kjh 51" xfId="3641"/>
    <cellStyle name="_샤시 (2)_1_대차손익(20070331)_kjh 52" xfId="3642"/>
    <cellStyle name="_샤시 (2)_1_대차손익(20070331)_kjh 53" xfId="3643"/>
    <cellStyle name="_샤시 (2)_1_대차손익(20070331)_kjh 54" xfId="3644"/>
    <cellStyle name="_샤시 (2)_1_대차손익(20070331)_kjh 55" xfId="3645"/>
    <cellStyle name="_샤시 (2)_1_대차손익(20070331)_kjh 56" xfId="3646"/>
    <cellStyle name="_샤시 (2)_1_대차손익(20070331)_kjh 57" xfId="3647"/>
    <cellStyle name="_샤시 (2)_1_대차손익(20070331)_kjh 58" xfId="3648"/>
    <cellStyle name="_샤시 (2)_1_대차손익(20070331)_kjh 59" xfId="3649"/>
    <cellStyle name="_샤시 (2)_1_대차손익(20070331)_kjh 6" xfId="3650"/>
    <cellStyle name="_샤시 (2)_1_대차손익(20070331)_kjh 60" xfId="3651"/>
    <cellStyle name="_샤시 (2)_1_대차손익(20070331)_kjh 61" xfId="3652"/>
    <cellStyle name="_샤시 (2)_1_대차손익(20070331)_kjh 62" xfId="3653"/>
    <cellStyle name="_샤시 (2)_1_대차손익(20070331)_kjh 63" xfId="3654"/>
    <cellStyle name="_샤시 (2)_1_대차손익(20070331)_kjh 7" xfId="3655"/>
    <cellStyle name="_샤시 (2)_1_대차손익(20070331)_kjh 8" xfId="3656"/>
    <cellStyle name="_샤시 (2)_1_대차손익(20070331)_kjh 9" xfId="3657"/>
    <cellStyle name="_샤시 (2)_1_마이콤-2004fs(05.2.25)" xfId="3658"/>
    <cellStyle name="_샤시 (2)_1_마이콤-2004fs(05.2.25) 10" xfId="3659"/>
    <cellStyle name="_샤시 (2)_1_마이콤-2004fs(05.2.25) 11" xfId="3660"/>
    <cellStyle name="_샤시 (2)_1_마이콤-2004fs(05.2.25) 12" xfId="3661"/>
    <cellStyle name="_샤시 (2)_1_마이콤-2004fs(05.2.25) 13" xfId="3662"/>
    <cellStyle name="_샤시 (2)_1_마이콤-2004fs(05.2.25) 14" xfId="3663"/>
    <cellStyle name="_샤시 (2)_1_마이콤-2004fs(05.2.25) 15" xfId="3664"/>
    <cellStyle name="_샤시 (2)_1_마이콤-2004fs(05.2.25) 16" xfId="3665"/>
    <cellStyle name="_샤시 (2)_1_마이콤-2004fs(05.2.25) 17" xfId="3666"/>
    <cellStyle name="_샤시 (2)_1_마이콤-2004fs(05.2.25) 18" xfId="3667"/>
    <cellStyle name="_샤시 (2)_1_마이콤-2004fs(05.2.25) 19" xfId="3668"/>
    <cellStyle name="_샤시 (2)_1_마이콤-2004fs(05.2.25) 2" xfId="3669"/>
    <cellStyle name="_샤시 (2)_1_마이콤-2004fs(05.2.25) 20" xfId="3670"/>
    <cellStyle name="_샤시 (2)_1_마이콤-2004fs(05.2.25) 21" xfId="3671"/>
    <cellStyle name="_샤시 (2)_1_마이콤-2004fs(05.2.25) 22" xfId="3672"/>
    <cellStyle name="_샤시 (2)_1_마이콤-2004fs(05.2.25) 23" xfId="3673"/>
    <cellStyle name="_샤시 (2)_1_마이콤-2004fs(05.2.25) 24" xfId="3674"/>
    <cellStyle name="_샤시 (2)_1_마이콤-2004fs(05.2.25) 25" xfId="3675"/>
    <cellStyle name="_샤시 (2)_1_마이콤-2004fs(05.2.25) 26" xfId="3676"/>
    <cellStyle name="_샤시 (2)_1_마이콤-2004fs(05.2.25) 27" xfId="3677"/>
    <cellStyle name="_샤시 (2)_1_마이콤-2004fs(05.2.25) 28" xfId="3678"/>
    <cellStyle name="_샤시 (2)_1_마이콤-2004fs(05.2.25) 29" xfId="3679"/>
    <cellStyle name="_샤시 (2)_1_마이콤-2004fs(05.2.25) 3" xfId="3680"/>
    <cellStyle name="_샤시 (2)_1_마이콤-2004fs(05.2.25) 30" xfId="3681"/>
    <cellStyle name="_샤시 (2)_1_마이콤-2004fs(05.2.25) 31" xfId="3682"/>
    <cellStyle name="_샤시 (2)_1_마이콤-2004fs(05.2.25) 32" xfId="3683"/>
    <cellStyle name="_샤시 (2)_1_마이콤-2004fs(05.2.25) 33" xfId="3684"/>
    <cellStyle name="_샤시 (2)_1_마이콤-2004fs(05.2.25) 34" xfId="3685"/>
    <cellStyle name="_샤시 (2)_1_마이콤-2004fs(05.2.25) 35" xfId="3686"/>
    <cellStyle name="_샤시 (2)_1_마이콤-2004fs(05.2.25) 36" xfId="3687"/>
    <cellStyle name="_샤시 (2)_1_마이콤-2004fs(05.2.25) 37" xfId="3688"/>
    <cellStyle name="_샤시 (2)_1_마이콤-2004fs(05.2.25) 38" xfId="3689"/>
    <cellStyle name="_샤시 (2)_1_마이콤-2004fs(05.2.25) 39" xfId="3690"/>
    <cellStyle name="_샤시 (2)_1_마이콤-2004fs(05.2.25) 4" xfId="3691"/>
    <cellStyle name="_샤시 (2)_1_마이콤-2004fs(05.2.25) 40" xfId="3692"/>
    <cellStyle name="_샤시 (2)_1_마이콤-2004fs(05.2.25) 41" xfId="3693"/>
    <cellStyle name="_샤시 (2)_1_마이콤-2004fs(05.2.25) 42" xfId="3694"/>
    <cellStyle name="_샤시 (2)_1_마이콤-2004fs(05.2.25) 43" xfId="3695"/>
    <cellStyle name="_샤시 (2)_1_마이콤-2004fs(05.2.25) 44" xfId="3696"/>
    <cellStyle name="_샤시 (2)_1_마이콤-2004fs(05.2.25) 45" xfId="3697"/>
    <cellStyle name="_샤시 (2)_1_마이콤-2004fs(05.2.25) 46" xfId="3698"/>
    <cellStyle name="_샤시 (2)_1_마이콤-2004fs(05.2.25) 47" xfId="3699"/>
    <cellStyle name="_샤시 (2)_1_마이콤-2004fs(05.2.25) 48" xfId="3700"/>
    <cellStyle name="_샤시 (2)_1_마이콤-2004fs(05.2.25) 49" xfId="3701"/>
    <cellStyle name="_샤시 (2)_1_마이콤-2004fs(05.2.25) 5" xfId="3702"/>
    <cellStyle name="_샤시 (2)_1_마이콤-2004fs(05.2.25) 50" xfId="3703"/>
    <cellStyle name="_샤시 (2)_1_마이콤-2004fs(05.2.25) 51" xfId="3704"/>
    <cellStyle name="_샤시 (2)_1_마이콤-2004fs(05.2.25) 52" xfId="3705"/>
    <cellStyle name="_샤시 (2)_1_마이콤-2004fs(05.2.25) 53" xfId="3706"/>
    <cellStyle name="_샤시 (2)_1_마이콤-2004fs(05.2.25) 54" xfId="3707"/>
    <cellStyle name="_샤시 (2)_1_마이콤-2004fs(05.2.25) 55" xfId="3708"/>
    <cellStyle name="_샤시 (2)_1_마이콤-2004fs(05.2.25) 56" xfId="3709"/>
    <cellStyle name="_샤시 (2)_1_마이콤-2004fs(05.2.25) 57" xfId="3710"/>
    <cellStyle name="_샤시 (2)_1_마이콤-2004fs(05.2.25) 58" xfId="3711"/>
    <cellStyle name="_샤시 (2)_1_마이콤-2004fs(05.2.25) 59" xfId="3712"/>
    <cellStyle name="_샤시 (2)_1_마이콤-2004fs(05.2.25) 6" xfId="3713"/>
    <cellStyle name="_샤시 (2)_1_마이콤-2004fs(05.2.25) 60" xfId="3714"/>
    <cellStyle name="_샤시 (2)_1_마이콤-2004fs(05.2.25) 61" xfId="3715"/>
    <cellStyle name="_샤시 (2)_1_마이콤-2004fs(05.2.25) 62" xfId="3716"/>
    <cellStyle name="_샤시 (2)_1_마이콤-2004fs(05.2.25) 63" xfId="3717"/>
    <cellStyle name="_샤시 (2)_1_마이콤-2004fs(05.2.25) 7" xfId="3718"/>
    <cellStyle name="_샤시 (2)_1_마이콤-2004fs(05.2.25) 8" xfId="3719"/>
    <cellStyle name="_샤시 (2)_1_마이콤-2004fs(05.2.25) 9" xfId="3720"/>
    <cellStyle name="_샤시 (2)_1_부원05FS-최종" xfId="3721"/>
    <cellStyle name="_샤시 (2)_1_부원05FS-최종 10" xfId="3722"/>
    <cellStyle name="_샤시 (2)_1_부원05FS-최종 11" xfId="3723"/>
    <cellStyle name="_샤시 (2)_1_부원05FS-최종 12" xfId="3724"/>
    <cellStyle name="_샤시 (2)_1_부원05FS-최종 13" xfId="3725"/>
    <cellStyle name="_샤시 (2)_1_부원05FS-최종 14" xfId="3726"/>
    <cellStyle name="_샤시 (2)_1_부원05FS-최종 15" xfId="3727"/>
    <cellStyle name="_샤시 (2)_1_부원05FS-최종 16" xfId="3728"/>
    <cellStyle name="_샤시 (2)_1_부원05FS-최종 17" xfId="3729"/>
    <cellStyle name="_샤시 (2)_1_부원05FS-최종 18" xfId="3730"/>
    <cellStyle name="_샤시 (2)_1_부원05FS-최종 19" xfId="3731"/>
    <cellStyle name="_샤시 (2)_1_부원05FS-최종 2" xfId="3732"/>
    <cellStyle name="_샤시 (2)_1_부원05FS-최종 20" xfId="3733"/>
    <cellStyle name="_샤시 (2)_1_부원05FS-최종 21" xfId="3734"/>
    <cellStyle name="_샤시 (2)_1_부원05FS-최종 22" xfId="3735"/>
    <cellStyle name="_샤시 (2)_1_부원05FS-최종 23" xfId="3736"/>
    <cellStyle name="_샤시 (2)_1_부원05FS-최종 24" xfId="3737"/>
    <cellStyle name="_샤시 (2)_1_부원05FS-최종 25" xfId="3738"/>
    <cellStyle name="_샤시 (2)_1_부원05FS-최종 26" xfId="3739"/>
    <cellStyle name="_샤시 (2)_1_부원05FS-최종 27" xfId="3740"/>
    <cellStyle name="_샤시 (2)_1_부원05FS-최종 28" xfId="3741"/>
    <cellStyle name="_샤시 (2)_1_부원05FS-최종 29" xfId="3742"/>
    <cellStyle name="_샤시 (2)_1_부원05FS-최종 3" xfId="3743"/>
    <cellStyle name="_샤시 (2)_1_부원05FS-최종 30" xfId="3744"/>
    <cellStyle name="_샤시 (2)_1_부원05FS-최종 31" xfId="3745"/>
    <cellStyle name="_샤시 (2)_1_부원05FS-최종 32" xfId="3746"/>
    <cellStyle name="_샤시 (2)_1_부원05FS-최종 33" xfId="3747"/>
    <cellStyle name="_샤시 (2)_1_부원05FS-최종 34" xfId="3748"/>
    <cellStyle name="_샤시 (2)_1_부원05FS-최종 35" xfId="3749"/>
    <cellStyle name="_샤시 (2)_1_부원05FS-최종 36" xfId="3750"/>
    <cellStyle name="_샤시 (2)_1_부원05FS-최종 37" xfId="3751"/>
    <cellStyle name="_샤시 (2)_1_부원05FS-최종 38" xfId="3752"/>
    <cellStyle name="_샤시 (2)_1_부원05FS-최종 39" xfId="3753"/>
    <cellStyle name="_샤시 (2)_1_부원05FS-최종 4" xfId="3754"/>
    <cellStyle name="_샤시 (2)_1_부원05FS-최종 40" xfId="3755"/>
    <cellStyle name="_샤시 (2)_1_부원05FS-최종 41" xfId="3756"/>
    <cellStyle name="_샤시 (2)_1_부원05FS-최종 42" xfId="3757"/>
    <cellStyle name="_샤시 (2)_1_부원05FS-최종 43" xfId="3758"/>
    <cellStyle name="_샤시 (2)_1_부원05FS-최종 44" xfId="3759"/>
    <cellStyle name="_샤시 (2)_1_부원05FS-최종 45" xfId="3760"/>
    <cellStyle name="_샤시 (2)_1_부원05FS-최종 46" xfId="3761"/>
    <cellStyle name="_샤시 (2)_1_부원05FS-최종 47" xfId="3762"/>
    <cellStyle name="_샤시 (2)_1_부원05FS-최종 48" xfId="3763"/>
    <cellStyle name="_샤시 (2)_1_부원05FS-최종 49" xfId="3764"/>
    <cellStyle name="_샤시 (2)_1_부원05FS-최종 5" xfId="3765"/>
    <cellStyle name="_샤시 (2)_1_부원05FS-최종 50" xfId="3766"/>
    <cellStyle name="_샤시 (2)_1_부원05FS-최종 51" xfId="3767"/>
    <cellStyle name="_샤시 (2)_1_부원05FS-최종 52" xfId="3768"/>
    <cellStyle name="_샤시 (2)_1_부원05FS-최종 53" xfId="3769"/>
    <cellStyle name="_샤시 (2)_1_부원05FS-최종 54" xfId="3770"/>
    <cellStyle name="_샤시 (2)_1_부원05FS-최종 55" xfId="3771"/>
    <cellStyle name="_샤시 (2)_1_부원05FS-최종 56" xfId="3772"/>
    <cellStyle name="_샤시 (2)_1_부원05FS-최종 57" xfId="3773"/>
    <cellStyle name="_샤시 (2)_1_부원05FS-최종 58" xfId="3774"/>
    <cellStyle name="_샤시 (2)_1_부원05FS-최종 59" xfId="3775"/>
    <cellStyle name="_샤시 (2)_1_부원05FS-최종 6" xfId="3776"/>
    <cellStyle name="_샤시 (2)_1_부원05FS-최종 60" xfId="3777"/>
    <cellStyle name="_샤시 (2)_1_부원05FS-최종 61" xfId="3778"/>
    <cellStyle name="_샤시 (2)_1_부원05FS-최종 62" xfId="3779"/>
    <cellStyle name="_샤시 (2)_1_부원05FS-최종 63" xfId="3780"/>
    <cellStyle name="_샤시 (2)_1_부원05FS-최종 7" xfId="3781"/>
    <cellStyle name="_샤시 (2)_1_부원05FS-최종 8" xfId="3782"/>
    <cellStyle name="_샤시 (2)_1_부원05FS-최종 9" xfId="3783"/>
    <cellStyle name="_샤시 (2)_1_승구리- 코바이오SCF2003" xfId="3784"/>
    <cellStyle name="_샤시 (2)_1_승구리- 코바이오SCF2003 10" xfId="3785"/>
    <cellStyle name="_샤시 (2)_1_승구리- 코바이오SCF2003 11" xfId="3786"/>
    <cellStyle name="_샤시 (2)_1_승구리- 코바이오SCF2003 12" xfId="3787"/>
    <cellStyle name="_샤시 (2)_1_승구리- 코바이오SCF2003 13" xfId="3788"/>
    <cellStyle name="_샤시 (2)_1_승구리- 코바이오SCF2003 14" xfId="3789"/>
    <cellStyle name="_샤시 (2)_1_승구리- 코바이오SCF2003 15" xfId="3790"/>
    <cellStyle name="_샤시 (2)_1_승구리- 코바이오SCF2003 16" xfId="3791"/>
    <cellStyle name="_샤시 (2)_1_승구리- 코바이오SCF2003 17" xfId="3792"/>
    <cellStyle name="_샤시 (2)_1_승구리- 코바이오SCF2003 18" xfId="3793"/>
    <cellStyle name="_샤시 (2)_1_승구리- 코바이오SCF2003 19" xfId="3794"/>
    <cellStyle name="_샤시 (2)_1_승구리- 코바이오SCF2003 2" xfId="3795"/>
    <cellStyle name="_샤시 (2)_1_승구리- 코바이오SCF2003 20" xfId="3796"/>
    <cellStyle name="_샤시 (2)_1_승구리- 코바이오SCF2003 21" xfId="3797"/>
    <cellStyle name="_샤시 (2)_1_승구리- 코바이오SCF2003 22" xfId="3798"/>
    <cellStyle name="_샤시 (2)_1_승구리- 코바이오SCF2003 23" xfId="3799"/>
    <cellStyle name="_샤시 (2)_1_승구리- 코바이오SCF2003 24" xfId="3800"/>
    <cellStyle name="_샤시 (2)_1_승구리- 코바이오SCF2003 25" xfId="3801"/>
    <cellStyle name="_샤시 (2)_1_승구리- 코바이오SCF2003 26" xfId="3802"/>
    <cellStyle name="_샤시 (2)_1_승구리- 코바이오SCF2003 27" xfId="3803"/>
    <cellStyle name="_샤시 (2)_1_승구리- 코바이오SCF2003 28" xfId="3804"/>
    <cellStyle name="_샤시 (2)_1_승구리- 코바이오SCF2003 29" xfId="3805"/>
    <cellStyle name="_샤시 (2)_1_승구리- 코바이오SCF2003 3" xfId="3806"/>
    <cellStyle name="_샤시 (2)_1_승구리- 코바이오SCF2003 30" xfId="3807"/>
    <cellStyle name="_샤시 (2)_1_승구리- 코바이오SCF2003 31" xfId="3808"/>
    <cellStyle name="_샤시 (2)_1_승구리- 코바이오SCF2003 32" xfId="3809"/>
    <cellStyle name="_샤시 (2)_1_승구리- 코바이오SCF2003 33" xfId="3810"/>
    <cellStyle name="_샤시 (2)_1_승구리- 코바이오SCF2003 34" xfId="3811"/>
    <cellStyle name="_샤시 (2)_1_승구리- 코바이오SCF2003 35" xfId="3812"/>
    <cellStyle name="_샤시 (2)_1_승구리- 코바이오SCF2003 36" xfId="3813"/>
    <cellStyle name="_샤시 (2)_1_승구리- 코바이오SCF2003 37" xfId="3814"/>
    <cellStyle name="_샤시 (2)_1_승구리- 코바이오SCF2003 38" xfId="3815"/>
    <cellStyle name="_샤시 (2)_1_승구리- 코바이오SCF2003 39" xfId="3816"/>
    <cellStyle name="_샤시 (2)_1_승구리- 코바이오SCF2003 4" xfId="3817"/>
    <cellStyle name="_샤시 (2)_1_승구리- 코바이오SCF2003 40" xfId="3818"/>
    <cellStyle name="_샤시 (2)_1_승구리- 코바이오SCF2003 41" xfId="3819"/>
    <cellStyle name="_샤시 (2)_1_승구리- 코바이오SCF2003 42" xfId="3820"/>
    <cellStyle name="_샤시 (2)_1_승구리- 코바이오SCF2003 43" xfId="3821"/>
    <cellStyle name="_샤시 (2)_1_승구리- 코바이오SCF2003 44" xfId="3822"/>
    <cellStyle name="_샤시 (2)_1_승구리- 코바이오SCF2003 45" xfId="3823"/>
    <cellStyle name="_샤시 (2)_1_승구리- 코바이오SCF2003 46" xfId="3824"/>
    <cellStyle name="_샤시 (2)_1_승구리- 코바이오SCF2003 47" xfId="3825"/>
    <cellStyle name="_샤시 (2)_1_승구리- 코바이오SCF2003 48" xfId="3826"/>
    <cellStyle name="_샤시 (2)_1_승구리- 코바이오SCF2003 49" xfId="3827"/>
    <cellStyle name="_샤시 (2)_1_승구리- 코바이오SCF2003 5" xfId="3828"/>
    <cellStyle name="_샤시 (2)_1_승구리- 코바이오SCF2003 50" xfId="3829"/>
    <cellStyle name="_샤시 (2)_1_승구리- 코바이오SCF2003 51" xfId="3830"/>
    <cellStyle name="_샤시 (2)_1_승구리- 코바이오SCF2003 52" xfId="3831"/>
    <cellStyle name="_샤시 (2)_1_승구리- 코바이오SCF2003 53" xfId="3832"/>
    <cellStyle name="_샤시 (2)_1_승구리- 코바이오SCF2003 54" xfId="3833"/>
    <cellStyle name="_샤시 (2)_1_승구리- 코바이오SCF2003 55" xfId="3834"/>
    <cellStyle name="_샤시 (2)_1_승구리- 코바이오SCF2003 56" xfId="3835"/>
    <cellStyle name="_샤시 (2)_1_승구리- 코바이오SCF2003 57" xfId="3836"/>
    <cellStyle name="_샤시 (2)_1_승구리- 코바이오SCF2003 58" xfId="3837"/>
    <cellStyle name="_샤시 (2)_1_승구리- 코바이오SCF2003 59" xfId="3838"/>
    <cellStyle name="_샤시 (2)_1_승구리- 코바이오SCF2003 6" xfId="3839"/>
    <cellStyle name="_샤시 (2)_1_승구리- 코바이오SCF2003 60" xfId="3840"/>
    <cellStyle name="_샤시 (2)_1_승구리- 코바이오SCF2003 61" xfId="3841"/>
    <cellStyle name="_샤시 (2)_1_승구리- 코바이오SCF2003 62" xfId="3842"/>
    <cellStyle name="_샤시 (2)_1_승구리- 코바이오SCF2003 63" xfId="3843"/>
    <cellStyle name="_샤시 (2)_1_승구리- 코바이오SCF2003 7" xfId="3844"/>
    <cellStyle name="_샤시 (2)_1_승구리- 코바이오SCF2003 8" xfId="3845"/>
    <cellStyle name="_샤시 (2)_1_승구리- 코바이오SCF2003 9" xfId="3846"/>
    <cellStyle name="_샤시 (2)_2" xfId="3910"/>
    <cellStyle name="_샤시 (2)_2 10" xfId="3911"/>
    <cellStyle name="_샤시 (2)_2 11" xfId="3912"/>
    <cellStyle name="_샤시 (2)_2 12" xfId="3913"/>
    <cellStyle name="_샤시 (2)_2 13" xfId="3914"/>
    <cellStyle name="_샤시 (2)_2 14" xfId="3915"/>
    <cellStyle name="_샤시 (2)_2 15" xfId="3916"/>
    <cellStyle name="_샤시 (2)_2 16" xfId="3917"/>
    <cellStyle name="_샤시 (2)_2 17" xfId="3918"/>
    <cellStyle name="_샤시 (2)_2 18" xfId="3919"/>
    <cellStyle name="_샤시 (2)_2 19" xfId="3920"/>
    <cellStyle name="_샤시 (2)_2 2" xfId="3921"/>
    <cellStyle name="_샤시 (2)_2 20" xfId="3922"/>
    <cellStyle name="_샤시 (2)_2 21" xfId="3923"/>
    <cellStyle name="_샤시 (2)_2 22" xfId="3924"/>
    <cellStyle name="_샤시 (2)_2 23" xfId="3925"/>
    <cellStyle name="_샤시 (2)_2 24" xfId="3926"/>
    <cellStyle name="_샤시 (2)_2 25" xfId="3927"/>
    <cellStyle name="_샤시 (2)_2 26" xfId="3928"/>
    <cellStyle name="_샤시 (2)_2 27" xfId="3929"/>
    <cellStyle name="_샤시 (2)_2 28" xfId="3930"/>
    <cellStyle name="_샤시 (2)_2 29" xfId="3931"/>
    <cellStyle name="_샤시 (2)_2 3" xfId="3932"/>
    <cellStyle name="_샤시 (2)_2 30" xfId="3933"/>
    <cellStyle name="_샤시 (2)_2 31" xfId="3934"/>
    <cellStyle name="_샤시 (2)_2 32" xfId="3935"/>
    <cellStyle name="_샤시 (2)_2 33" xfId="3936"/>
    <cellStyle name="_샤시 (2)_2 34" xfId="3937"/>
    <cellStyle name="_샤시 (2)_2 35" xfId="3938"/>
    <cellStyle name="_샤시 (2)_2 36" xfId="3939"/>
    <cellStyle name="_샤시 (2)_2 37" xfId="3940"/>
    <cellStyle name="_샤시 (2)_2 38" xfId="3941"/>
    <cellStyle name="_샤시 (2)_2 39" xfId="3942"/>
    <cellStyle name="_샤시 (2)_2 4" xfId="3943"/>
    <cellStyle name="_샤시 (2)_2 40" xfId="3944"/>
    <cellStyle name="_샤시 (2)_2 41" xfId="3945"/>
    <cellStyle name="_샤시 (2)_2 42" xfId="3946"/>
    <cellStyle name="_샤시 (2)_2 43" xfId="3947"/>
    <cellStyle name="_샤시 (2)_2 44" xfId="3948"/>
    <cellStyle name="_샤시 (2)_2 45" xfId="3949"/>
    <cellStyle name="_샤시 (2)_2 46" xfId="3950"/>
    <cellStyle name="_샤시 (2)_2 47" xfId="3951"/>
    <cellStyle name="_샤시 (2)_2 48" xfId="3952"/>
    <cellStyle name="_샤시 (2)_2 49" xfId="3953"/>
    <cellStyle name="_샤시 (2)_2 5" xfId="3954"/>
    <cellStyle name="_샤시 (2)_2 50" xfId="3955"/>
    <cellStyle name="_샤시 (2)_2 51" xfId="3956"/>
    <cellStyle name="_샤시 (2)_2 52" xfId="3957"/>
    <cellStyle name="_샤시 (2)_2 53" xfId="3958"/>
    <cellStyle name="_샤시 (2)_2 54" xfId="3959"/>
    <cellStyle name="_샤시 (2)_2 55" xfId="3960"/>
    <cellStyle name="_샤시 (2)_2 56" xfId="3961"/>
    <cellStyle name="_샤시 (2)_2 57" xfId="3962"/>
    <cellStyle name="_샤시 (2)_2 58" xfId="3963"/>
    <cellStyle name="_샤시 (2)_2 59" xfId="3964"/>
    <cellStyle name="_샤시 (2)_2 6" xfId="3965"/>
    <cellStyle name="_샤시 (2)_2 60" xfId="3966"/>
    <cellStyle name="_샤시 (2)_2 61" xfId="3967"/>
    <cellStyle name="_샤시 (2)_2 62" xfId="3968"/>
    <cellStyle name="_샤시 (2)_2 63" xfId="3969"/>
    <cellStyle name="_샤시 (2)_2 7" xfId="3970"/>
    <cellStyle name="_샤시 (2)_2 8" xfId="3971"/>
    <cellStyle name="_샤시 (2)_2 9" xfId="3972"/>
    <cellStyle name="_샤시 (2)_2_04FS_KID산업" xfId="3973"/>
    <cellStyle name="_샤시 (2)_2_04FS_KID산업 10" xfId="3974"/>
    <cellStyle name="_샤시 (2)_2_04FS_KID산업 11" xfId="3975"/>
    <cellStyle name="_샤시 (2)_2_04FS_KID산업 12" xfId="3976"/>
    <cellStyle name="_샤시 (2)_2_04FS_KID산업 13" xfId="3977"/>
    <cellStyle name="_샤시 (2)_2_04FS_KID산업 14" xfId="3978"/>
    <cellStyle name="_샤시 (2)_2_04FS_KID산업 15" xfId="3979"/>
    <cellStyle name="_샤시 (2)_2_04FS_KID산업 16" xfId="3980"/>
    <cellStyle name="_샤시 (2)_2_04FS_KID산업 17" xfId="3981"/>
    <cellStyle name="_샤시 (2)_2_04FS_KID산업 18" xfId="3982"/>
    <cellStyle name="_샤시 (2)_2_04FS_KID산업 19" xfId="3983"/>
    <cellStyle name="_샤시 (2)_2_04FS_KID산업 2" xfId="3984"/>
    <cellStyle name="_샤시 (2)_2_04FS_KID산업 20" xfId="3985"/>
    <cellStyle name="_샤시 (2)_2_04FS_KID산업 21" xfId="3986"/>
    <cellStyle name="_샤시 (2)_2_04FS_KID산업 22" xfId="3987"/>
    <cellStyle name="_샤시 (2)_2_04FS_KID산업 23" xfId="3988"/>
    <cellStyle name="_샤시 (2)_2_04FS_KID산업 24" xfId="3989"/>
    <cellStyle name="_샤시 (2)_2_04FS_KID산업 25" xfId="3990"/>
    <cellStyle name="_샤시 (2)_2_04FS_KID산업 26" xfId="3991"/>
    <cellStyle name="_샤시 (2)_2_04FS_KID산업 27" xfId="3992"/>
    <cellStyle name="_샤시 (2)_2_04FS_KID산업 28" xfId="3993"/>
    <cellStyle name="_샤시 (2)_2_04FS_KID산업 29" xfId="3994"/>
    <cellStyle name="_샤시 (2)_2_04FS_KID산업 3" xfId="3995"/>
    <cellStyle name="_샤시 (2)_2_04FS_KID산업 30" xfId="3996"/>
    <cellStyle name="_샤시 (2)_2_04FS_KID산업 31" xfId="3997"/>
    <cellStyle name="_샤시 (2)_2_04FS_KID산업 32" xfId="3998"/>
    <cellStyle name="_샤시 (2)_2_04FS_KID산업 33" xfId="3999"/>
    <cellStyle name="_샤시 (2)_2_04FS_KID산업 34" xfId="4000"/>
    <cellStyle name="_샤시 (2)_2_04FS_KID산업 35" xfId="4001"/>
    <cellStyle name="_샤시 (2)_2_04FS_KID산업 36" xfId="4002"/>
    <cellStyle name="_샤시 (2)_2_04FS_KID산업 37" xfId="4003"/>
    <cellStyle name="_샤시 (2)_2_04FS_KID산업 38" xfId="4004"/>
    <cellStyle name="_샤시 (2)_2_04FS_KID산업 39" xfId="4005"/>
    <cellStyle name="_샤시 (2)_2_04FS_KID산업 4" xfId="4006"/>
    <cellStyle name="_샤시 (2)_2_04FS_KID산업 40" xfId="4007"/>
    <cellStyle name="_샤시 (2)_2_04FS_KID산업 41" xfId="4008"/>
    <cellStyle name="_샤시 (2)_2_04FS_KID산업 42" xfId="4009"/>
    <cellStyle name="_샤시 (2)_2_04FS_KID산업 43" xfId="4010"/>
    <cellStyle name="_샤시 (2)_2_04FS_KID산업 44" xfId="4011"/>
    <cellStyle name="_샤시 (2)_2_04FS_KID산업 45" xfId="4012"/>
    <cellStyle name="_샤시 (2)_2_04FS_KID산업 46" xfId="4013"/>
    <cellStyle name="_샤시 (2)_2_04FS_KID산업 47" xfId="4014"/>
    <cellStyle name="_샤시 (2)_2_04FS_KID산업 48" xfId="4015"/>
    <cellStyle name="_샤시 (2)_2_04FS_KID산업 49" xfId="4016"/>
    <cellStyle name="_샤시 (2)_2_04FS_KID산업 5" xfId="4017"/>
    <cellStyle name="_샤시 (2)_2_04FS_KID산업 50" xfId="4018"/>
    <cellStyle name="_샤시 (2)_2_04FS_KID산업 51" xfId="4019"/>
    <cellStyle name="_샤시 (2)_2_04FS_KID산업 52" xfId="4020"/>
    <cellStyle name="_샤시 (2)_2_04FS_KID산업 53" xfId="4021"/>
    <cellStyle name="_샤시 (2)_2_04FS_KID산업 54" xfId="4022"/>
    <cellStyle name="_샤시 (2)_2_04FS_KID산업 55" xfId="4023"/>
    <cellStyle name="_샤시 (2)_2_04FS_KID산업 56" xfId="4024"/>
    <cellStyle name="_샤시 (2)_2_04FS_KID산업 57" xfId="4025"/>
    <cellStyle name="_샤시 (2)_2_04FS_KID산업 58" xfId="4026"/>
    <cellStyle name="_샤시 (2)_2_04FS_KID산업 59" xfId="4027"/>
    <cellStyle name="_샤시 (2)_2_04FS_KID산업 6" xfId="4028"/>
    <cellStyle name="_샤시 (2)_2_04FS_KID산업 60" xfId="4029"/>
    <cellStyle name="_샤시 (2)_2_04FS_KID산업 61" xfId="4030"/>
    <cellStyle name="_샤시 (2)_2_04FS_KID산업 62" xfId="4031"/>
    <cellStyle name="_샤시 (2)_2_04FS_KID산업 63" xfId="4032"/>
    <cellStyle name="_샤시 (2)_2_04FS_KID산업 7" xfId="4033"/>
    <cellStyle name="_샤시 (2)_2_04FS_KID산업 8" xfId="4034"/>
    <cellStyle name="_샤시 (2)_2_04FS_KID산업 9" xfId="4035"/>
    <cellStyle name="_샤시 (2)_2_2002FS_FINAL" xfId="4036"/>
    <cellStyle name="_샤시 (2)_2_2002FS_FINAL 10" xfId="4037"/>
    <cellStyle name="_샤시 (2)_2_2002FS_FINAL 11" xfId="4038"/>
    <cellStyle name="_샤시 (2)_2_2002FS_FINAL 12" xfId="4039"/>
    <cellStyle name="_샤시 (2)_2_2002FS_FINAL 13" xfId="4040"/>
    <cellStyle name="_샤시 (2)_2_2002FS_FINAL 14" xfId="4041"/>
    <cellStyle name="_샤시 (2)_2_2002FS_FINAL 15" xfId="4042"/>
    <cellStyle name="_샤시 (2)_2_2002FS_FINAL 16" xfId="4043"/>
    <cellStyle name="_샤시 (2)_2_2002FS_FINAL 17" xfId="4044"/>
    <cellStyle name="_샤시 (2)_2_2002FS_FINAL 18" xfId="4045"/>
    <cellStyle name="_샤시 (2)_2_2002FS_FINAL 19" xfId="4046"/>
    <cellStyle name="_샤시 (2)_2_2002FS_FINAL 2" xfId="4047"/>
    <cellStyle name="_샤시 (2)_2_2002FS_FINAL 20" xfId="4048"/>
    <cellStyle name="_샤시 (2)_2_2002FS_FINAL 21" xfId="4049"/>
    <cellStyle name="_샤시 (2)_2_2002FS_FINAL 22" xfId="4050"/>
    <cellStyle name="_샤시 (2)_2_2002FS_FINAL 23" xfId="4051"/>
    <cellStyle name="_샤시 (2)_2_2002FS_FINAL 24" xfId="4052"/>
    <cellStyle name="_샤시 (2)_2_2002FS_FINAL 25" xfId="4053"/>
    <cellStyle name="_샤시 (2)_2_2002FS_FINAL 26" xfId="4054"/>
    <cellStyle name="_샤시 (2)_2_2002FS_FINAL 27" xfId="4055"/>
    <cellStyle name="_샤시 (2)_2_2002FS_FINAL 28" xfId="4056"/>
    <cellStyle name="_샤시 (2)_2_2002FS_FINAL 29" xfId="4057"/>
    <cellStyle name="_샤시 (2)_2_2002FS_FINAL 3" xfId="4058"/>
    <cellStyle name="_샤시 (2)_2_2002FS_FINAL 30" xfId="4059"/>
    <cellStyle name="_샤시 (2)_2_2002FS_FINAL 31" xfId="4060"/>
    <cellStyle name="_샤시 (2)_2_2002FS_FINAL 32" xfId="4061"/>
    <cellStyle name="_샤시 (2)_2_2002FS_FINAL 33" xfId="4062"/>
    <cellStyle name="_샤시 (2)_2_2002FS_FINAL 34" xfId="4063"/>
    <cellStyle name="_샤시 (2)_2_2002FS_FINAL 35" xfId="4064"/>
    <cellStyle name="_샤시 (2)_2_2002FS_FINAL 36" xfId="4065"/>
    <cellStyle name="_샤시 (2)_2_2002FS_FINAL 37" xfId="4066"/>
    <cellStyle name="_샤시 (2)_2_2002FS_FINAL 38" xfId="4067"/>
    <cellStyle name="_샤시 (2)_2_2002FS_FINAL 39" xfId="4068"/>
    <cellStyle name="_샤시 (2)_2_2002FS_FINAL 4" xfId="4069"/>
    <cellStyle name="_샤시 (2)_2_2002FS_FINAL 40" xfId="4070"/>
    <cellStyle name="_샤시 (2)_2_2002FS_FINAL 41" xfId="4071"/>
    <cellStyle name="_샤시 (2)_2_2002FS_FINAL 42" xfId="4072"/>
    <cellStyle name="_샤시 (2)_2_2002FS_FINAL 43" xfId="4073"/>
    <cellStyle name="_샤시 (2)_2_2002FS_FINAL 44" xfId="4074"/>
    <cellStyle name="_샤시 (2)_2_2002FS_FINAL 45" xfId="4075"/>
    <cellStyle name="_샤시 (2)_2_2002FS_FINAL 46" xfId="4076"/>
    <cellStyle name="_샤시 (2)_2_2002FS_FINAL 47" xfId="4077"/>
    <cellStyle name="_샤시 (2)_2_2002FS_FINAL 48" xfId="4078"/>
    <cellStyle name="_샤시 (2)_2_2002FS_FINAL 49" xfId="4079"/>
    <cellStyle name="_샤시 (2)_2_2002FS_FINAL 5" xfId="4080"/>
    <cellStyle name="_샤시 (2)_2_2002FS_FINAL 50" xfId="4081"/>
    <cellStyle name="_샤시 (2)_2_2002FS_FINAL 51" xfId="4082"/>
    <cellStyle name="_샤시 (2)_2_2002FS_FINAL 52" xfId="4083"/>
    <cellStyle name="_샤시 (2)_2_2002FS_FINAL 53" xfId="4084"/>
    <cellStyle name="_샤시 (2)_2_2002FS_FINAL 54" xfId="4085"/>
    <cellStyle name="_샤시 (2)_2_2002FS_FINAL 55" xfId="4086"/>
    <cellStyle name="_샤시 (2)_2_2002FS_FINAL 56" xfId="4087"/>
    <cellStyle name="_샤시 (2)_2_2002FS_FINAL 57" xfId="4088"/>
    <cellStyle name="_샤시 (2)_2_2002FS_FINAL 58" xfId="4089"/>
    <cellStyle name="_샤시 (2)_2_2002FS_FINAL 59" xfId="4090"/>
    <cellStyle name="_샤시 (2)_2_2002FS_FINAL 6" xfId="4091"/>
    <cellStyle name="_샤시 (2)_2_2002FS_FINAL 60" xfId="4092"/>
    <cellStyle name="_샤시 (2)_2_2002FS_FINAL 61" xfId="4093"/>
    <cellStyle name="_샤시 (2)_2_2002FS_FINAL 62" xfId="4094"/>
    <cellStyle name="_샤시 (2)_2_2002FS_FINAL 63" xfId="4095"/>
    <cellStyle name="_샤시 (2)_2_2002FS_FINAL 7" xfId="4096"/>
    <cellStyle name="_샤시 (2)_2_2002FS_FINAL 8" xfId="4097"/>
    <cellStyle name="_샤시 (2)_2_2002FS_FINAL 9" xfId="4098"/>
    <cellStyle name="_샤시 (2)_2_2211  한주금속-2005FS의 워크시트" xfId="4099"/>
    <cellStyle name="_샤시 (2)_2_2211  한주금속-2005FS의 워크시트 10" xfId="4100"/>
    <cellStyle name="_샤시 (2)_2_2211  한주금속-2005FS의 워크시트 11" xfId="4101"/>
    <cellStyle name="_샤시 (2)_2_2211  한주금속-2005FS의 워크시트 12" xfId="4102"/>
    <cellStyle name="_샤시 (2)_2_2211  한주금속-2005FS의 워크시트 13" xfId="4103"/>
    <cellStyle name="_샤시 (2)_2_2211  한주금속-2005FS의 워크시트 14" xfId="4104"/>
    <cellStyle name="_샤시 (2)_2_2211  한주금속-2005FS의 워크시트 15" xfId="4105"/>
    <cellStyle name="_샤시 (2)_2_2211  한주금속-2005FS의 워크시트 16" xfId="4106"/>
    <cellStyle name="_샤시 (2)_2_2211  한주금속-2005FS의 워크시트 17" xfId="4107"/>
    <cellStyle name="_샤시 (2)_2_2211  한주금속-2005FS의 워크시트 18" xfId="4108"/>
    <cellStyle name="_샤시 (2)_2_2211  한주금속-2005FS의 워크시트 19" xfId="4109"/>
    <cellStyle name="_샤시 (2)_2_2211  한주금속-2005FS의 워크시트 2" xfId="4110"/>
    <cellStyle name="_샤시 (2)_2_2211  한주금속-2005FS의 워크시트 20" xfId="4111"/>
    <cellStyle name="_샤시 (2)_2_2211  한주금속-2005FS의 워크시트 21" xfId="4112"/>
    <cellStyle name="_샤시 (2)_2_2211  한주금속-2005FS의 워크시트 22" xfId="4113"/>
    <cellStyle name="_샤시 (2)_2_2211  한주금속-2005FS의 워크시트 23" xfId="4114"/>
    <cellStyle name="_샤시 (2)_2_2211  한주금속-2005FS의 워크시트 24" xfId="4115"/>
    <cellStyle name="_샤시 (2)_2_2211  한주금속-2005FS의 워크시트 25" xfId="4116"/>
    <cellStyle name="_샤시 (2)_2_2211  한주금속-2005FS의 워크시트 26" xfId="4117"/>
    <cellStyle name="_샤시 (2)_2_2211  한주금속-2005FS의 워크시트 27" xfId="4118"/>
    <cellStyle name="_샤시 (2)_2_2211  한주금속-2005FS의 워크시트 28" xfId="4119"/>
    <cellStyle name="_샤시 (2)_2_2211  한주금속-2005FS의 워크시트 29" xfId="4120"/>
    <cellStyle name="_샤시 (2)_2_2211  한주금속-2005FS의 워크시트 3" xfId="4121"/>
    <cellStyle name="_샤시 (2)_2_2211  한주금속-2005FS의 워크시트 30" xfId="4122"/>
    <cellStyle name="_샤시 (2)_2_2211  한주금속-2005FS의 워크시트 31" xfId="4123"/>
    <cellStyle name="_샤시 (2)_2_2211  한주금속-2005FS의 워크시트 32" xfId="4124"/>
    <cellStyle name="_샤시 (2)_2_2211  한주금속-2005FS의 워크시트 33" xfId="4125"/>
    <cellStyle name="_샤시 (2)_2_2211  한주금속-2005FS의 워크시트 34" xfId="4126"/>
    <cellStyle name="_샤시 (2)_2_2211  한주금속-2005FS의 워크시트 35" xfId="4127"/>
    <cellStyle name="_샤시 (2)_2_2211  한주금속-2005FS의 워크시트 36" xfId="4128"/>
    <cellStyle name="_샤시 (2)_2_2211  한주금속-2005FS의 워크시트 37" xfId="4129"/>
    <cellStyle name="_샤시 (2)_2_2211  한주금속-2005FS의 워크시트 38" xfId="4130"/>
    <cellStyle name="_샤시 (2)_2_2211  한주금속-2005FS의 워크시트 39" xfId="4131"/>
    <cellStyle name="_샤시 (2)_2_2211  한주금속-2005FS의 워크시트 4" xfId="4132"/>
    <cellStyle name="_샤시 (2)_2_2211  한주금속-2005FS의 워크시트 40" xfId="4133"/>
    <cellStyle name="_샤시 (2)_2_2211  한주금속-2005FS의 워크시트 41" xfId="4134"/>
    <cellStyle name="_샤시 (2)_2_2211  한주금속-2005FS의 워크시트 42" xfId="4135"/>
    <cellStyle name="_샤시 (2)_2_2211  한주금속-2005FS의 워크시트 43" xfId="4136"/>
    <cellStyle name="_샤시 (2)_2_2211  한주금속-2005FS의 워크시트 44" xfId="4137"/>
    <cellStyle name="_샤시 (2)_2_2211  한주금속-2005FS의 워크시트 45" xfId="4138"/>
    <cellStyle name="_샤시 (2)_2_2211  한주금속-2005FS의 워크시트 46" xfId="4139"/>
    <cellStyle name="_샤시 (2)_2_2211  한주금속-2005FS의 워크시트 47" xfId="4140"/>
    <cellStyle name="_샤시 (2)_2_2211  한주금속-2005FS의 워크시트 48" xfId="4141"/>
    <cellStyle name="_샤시 (2)_2_2211  한주금속-2005FS의 워크시트 49" xfId="4142"/>
    <cellStyle name="_샤시 (2)_2_2211  한주금속-2005FS의 워크시트 5" xfId="4143"/>
    <cellStyle name="_샤시 (2)_2_2211  한주금속-2005FS의 워크시트 50" xfId="4144"/>
    <cellStyle name="_샤시 (2)_2_2211  한주금속-2005FS의 워크시트 51" xfId="4145"/>
    <cellStyle name="_샤시 (2)_2_2211  한주금속-2005FS의 워크시트 52" xfId="4146"/>
    <cellStyle name="_샤시 (2)_2_2211  한주금속-2005FS의 워크시트 53" xfId="4147"/>
    <cellStyle name="_샤시 (2)_2_2211  한주금속-2005FS의 워크시트 54" xfId="4148"/>
    <cellStyle name="_샤시 (2)_2_2211  한주금속-2005FS의 워크시트 55" xfId="4149"/>
    <cellStyle name="_샤시 (2)_2_2211  한주금속-2005FS의 워크시트 56" xfId="4150"/>
    <cellStyle name="_샤시 (2)_2_2211  한주금속-2005FS의 워크시트 57" xfId="4151"/>
    <cellStyle name="_샤시 (2)_2_2211  한주금속-2005FS의 워크시트 58" xfId="4152"/>
    <cellStyle name="_샤시 (2)_2_2211  한주금속-2005FS의 워크시트 59" xfId="4153"/>
    <cellStyle name="_샤시 (2)_2_2211  한주금속-2005FS의 워크시트 6" xfId="4154"/>
    <cellStyle name="_샤시 (2)_2_2211  한주금속-2005FS의 워크시트 60" xfId="4155"/>
    <cellStyle name="_샤시 (2)_2_2211  한주금속-2005FS의 워크시트 61" xfId="4156"/>
    <cellStyle name="_샤시 (2)_2_2211  한주금속-2005FS의 워크시트 62" xfId="4157"/>
    <cellStyle name="_샤시 (2)_2_2211  한주금속-2005FS의 워크시트 63" xfId="4158"/>
    <cellStyle name="_샤시 (2)_2_2211  한주금속-2005FS의 워크시트 7" xfId="4159"/>
    <cellStyle name="_샤시 (2)_2_2211  한주금속-2005FS의 워크시트 8" xfId="4160"/>
    <cellStyle name="_샤시 (2)_2_2211  한주금속-2005FS의 워크시트 9" xfId="4161"/>
    <cellStyle name="_샤시 (2)_2_7기 에자이 현금흐름표" xfId="4162"/>
    <cellStyle name="_샤시 (2)_2_7기 에자이 현금흐름표 10" xfId="4163"/>
    <cellStyle name="_샤시 (2)_2_7기 에자이 현금흐름표 11" xfId="4164"/>
    <cellStyle name="_샤시 (2)_2_7기 에자이 현금흐름표 12" xfId="4165"/>
    <cellStyle name="_샤시 (2)_2_7기 에자이 현금흐름표 13" xfId="4166"/>
    <cellStyle name="_샤시 (2)_2_7기 에자이 현금흐름표 14" xfId="4167"/>
    <cellStyle name="_샤시 (2)_2_7기 에자이 현금흐름표 15" xfId="4168"/>
    <cellStyle name="_샤시 (2)_2_7기 에자이 현금흐름표 16" xfId="4169"/>
    <cellStyle name="_샤시 (2)_2_7기 에자이 현금흐름표 17" xfId="4170"/>
    <cellStyle name="_샤시 (2)_2_7기 에자이 현금흐름표 18" xfId="4171"/>
    <cellStyle name="_샤시 (2)_2_7기 에자이 현금흐름표 19" xfId="4172"/>
    <cellStyle name="_샤시 (2)_2_7기 에자이 현금흐름표 2" xfId="4173"/>
    <cellStyle name="_샤시 (2)_2_7기 에자이 현금흐름표 20" xfId="4174"/>
    <cellStyle name="_샤시 (2)_2_7기 에자이 현금흐름표 21" xfId="4175"/>
    <cellStyle name="_샤시 (2)_2_7기 에자이 현금흐름표 22" xfId="4176"/>
    <cellStyle name="_샤시 (2)_2_7기 에자이 현금흐름표 23" xfId="4177"/>
    <cellStyle name="_샤시 (2)_2_7기 에자이 현금흐름표 24" xfId="4178"/>
    <cellStyle name="_샤시 (2)_2_7기 에자이 현금흐름표 25" xfId="4179"/>
    <cellStyle name="_샤시 (2)_2_7기 에자이 현금흐름표 26" xfId="4180"/>
    <cellStyle name="_샤시 (2)_2_7기 에자이 현금흐름표 27" xfId="4181"/>
    <cellStyle name="_샤시 (2)_2_7기 에자이 현금흐름표 28" xfId="4182"/>
    <cellStyle name="_샤시 (2)_2_7기 에자이 현금흐름표 29" xfId="4183"/>
    <cellStyle name="_샤시 (2)_2_7기 에자이 현금흐름표 3" xfId="4184"/>
    <cellStyle name="_샤시 (2)_2_7기 에자이 현금흐름표 30" xfId="4185"/>
    <cellStyle name="_샤시 (2)_2_7기 에자이 현금흐름표 31" xfId="4186"/>
    <cellStyle name="_샤시 (2)_2_7기 에자이 현금흐름표 32" xfId="4187"/>
    <cellStyle name="_샤시 (2)_2_7기 에자이 현금흐름표 33" xfId="4188"/>
    <cellStyle name="_샤시 (2)_2_7기 에자이 현금흐름표 34" xfId="4189"/>
    <cellStyle name="_샤시 (2)_2_7기 에자이 현금흐름표 35" xfId="4190"/>
    <cellStyle name="_샤시 (2)_2_7기 에자이 현금흐름표 36" xfId="4191"/>
    <cellStyle name="_샤시 (2)_2_7기 에자이 현금흐름표 37" xfId="4192"/>
    <cellStyle name="_샤시 (2)_2_7기 에자이 현금흐름표 38" xfId="4193"/>
    <cellStyle name="_샤시 (2)_2_7기 에자이 현금흐름표 39" xfId="4194"/>
    <cellStyle name="_샤시 (2)_2_7기 에자이 현금흐름표 4" xfId="4195"/>
    <cellStyle name="_샤시 (2)_2_7기 에자이 현금흐름표 40" xfId="4196"/>
    <cellStyle name="_샤시 (2)_2_7기 에자이 현금흐름표 41" xfId="4197"/>
    <cellStyle name="_샤시 (2)_2_7기 에자이 현금흐름표 42" xfId="4198"/>
    <cellStyle name="_샤시 (2)_2_7기 에자이 현금흐름표 43" xfId="4199"/>
    <cellStyle name="_샤시 (2)_2_7기 에자이 현금흐름표 44" xfId="4200"/>
    <cellStyle name="_샤시 (2)_2_7기 에자이 현금흐름표 45" xfId="4201"/>
    <cellStyle name="_샤시 (2)_2_7기 에자이 현금흐름표 46" xfId="4202"/>
    <cellStyle name="_샤시 (2)_2_7기 에자이 현금흐름표 47" xfId="4203"/>
    <cellStyle name="_샤시 (2)_2_7기 에자이 현금흐름표 48" xfId="4204"/>
    <cellStyle name="_샤시 (2)_2_7기 에자이 현금흐름표 49" xfId="4205"/>
    <cellStyle name="_샤시 (2)_2_7기 에자이 현금흐름표 5" xfId="4206"/>
    <cellStyle name="_샤시 (2)_2_7기 에자이 현금흐름표 50" xfId="4207"/>
    <cellStyle name="_샤시 (2)_2_7기 에자이 현금흐름표 51" xfId="4208"/>
    <cellStyle name="_샤시 (2)_2_7기 에자이 현금흐름표 52" xfId="4209"/>
    <cellStyle name="_샤시 (2)_2_7기 에자이 현금흐름표 53" xfId="4210"/>
    <cellStyle name="_샤시 (2)_2_7기 에자이 현금흐름표 54" xfId="4211"/>
    <cellStyle name="_샤시 (2)_2_7기 에자이 현금흐름표 55" xfId="4212"/>
    <cellStyle name="_샤시 (2)_2_7기 에자이 현금흐름표 56" xfId="4213"/>
    <cellStyle name="_샤시 (2)_2_7기 에자이 현금흐름표 57" xfId="4214"/>
    <cellStyle name="_샤시 (2)_2_7기 에자이 현금흐름표 58" xfId="4215"/>
    <cellStyle name="_샤시 (2)_2_7기 에자이 현금흐름표 59" xfId="4216"/>
    <cellStyle name="_샤시 (2)_2_7기 에자이 현금흐름표 6" xfId="4217"/>
    <cellStyle name="_샤시 (2)_2_7기 에자이 현금흐름표 60" xfId="4218"/>
    <cellStyle name="_샤시 (2)_2_7기 에자이 현금흐름표 61" xfId="4219"/>
    <cellStyle name="_샤시 (2)_2_7기 에자이 현금흐름표 62" xfId="4220"/>
    <cellStyle name="_샤시 (2)_2_7기 에자이 현금흐름표 63" xfId="4221"/>
    <cellStyle name="_샤시 (2)_2_7기 에자이 현금흐름표 7" xfId="4222"/>
    <cellStyle name="_샤시 (2)_2_7기 에자이 현금흐름표 8" xfId="4223"/>
    <cellStyle name="_샤시 (2)_2_7기 에자이 현금흐름표 9" xfId="4224"/>
    <cellStyle name="_샤시 (2)_2_8720 18기이연법인세의 워크시트" xfId="4225"/>
    <cellStyle name="_샤시 (2)_2_8720 18기이연법인세의 워크시트 10" xfId="4226"/>
    <cellStyle name="_샤시 (2)_2_8720 18기이연법인세의 워크시트 11" xfId="4227"/>
    <cellStyle name="_샤시 (2)_2_8720 18기이연법인세의 워크시트 12" xfId="4228"/>
    <cellStyle name="_샤시 (2)_2_8720 18기이연법인세의 워크시트 13" xfId="4229"/>
    <cellStyle name="_샤시 (2)_2_8720 18기이연법인세의 워크시트 14" xfId="4230"/>
    <cellStyle name="_샤시 (2)_2_8720 18기이연법인세의 워크시트 15" xfId="4231"/>
    <cellStyle name="_샤시 (2)_2_8720 18기이연법인세의 워크시트 16" xfId="4232"/>
    <cellStyle name="_샤시 (2)_2_8720 18기이연법인세의 워크시트 17" xfId="4233"/>
    <cellStyle name="_샤시 (2)_2_8720 18기이연법인세의 워크시트 18" xfId="4234"/>
    <cellStyle name="_샤시 (2)_2_8720 18기이연법인세의 워크시트 19" xfId="4235"/>
    <cellStyle name="_샤시 (2)_2_8720 18기이연법인세의 워크시트 2" xfId="4236"/>
    <cellStyle name="_샤시 (2)_2_8720 18기이연법인세의 워크시트 20" xfId="4237"/>
    <cellStyle name="_샤시 (2)_2_8720 18기이연법인세의 워크시트 21" xfId="4238"/>
    <cellStyle name="_샤시 (2)_2_8720 18기이연법인세의 워크시트 22" xfId="4239"/>
    <cellStyle name="_샤시 (2)_2_8720 18기이연법인세의 워크시트 23" xfId="4240"/>
    <cellStyle name="_샤시 (2)_2_8720 18기이연법인세의 워크시트 24" xfId="4241"/>
    <cellStyle name="_샤시 (2)_2_8720 18기이연법인세의 워크시트 25" xfId="4242"/>
    <cellStyle name="_샤시 (2)_2_8720 18기이연법인세의 워크시트 26" xfId="4243"/>
    <cellStyle name="_샤시 (2)_2_8720 18기이연법인세의 워크시트 27" xfId="4244"/>
    <cellStyle name="_샤시 (2)_2_8720 18기이연법인세의 워크시트 28" xfId="4245"/>
    <cellStyle name="_샤시 (2)_2_8720 18기이연법인세의 워크시트 29" xfId="4246"/>
    <cellStyle name="_샤시 (2)_2_8720 18기이연법인세의 워크시트 3" xfId="4247"/>
    <cellStyle name="_샤시 (2)_2_8720 18기이연법인세의 워크시트 30" xfId="4248"/>
    <cellStyle name="_샤시 (2)_2_8720 18기이연법인세의 워크시트 31" xfId="4249"/>
    <cellStyle name="_샤시 (2)_2_8720 18기이연법인세의 워크시트 32" xfId="4250"/>
    <cellStyle name="_샤시 (2)_2_8720 18기이연법인세의 워크시트 33" xfId="4251"/>
    <cellStyle name="_샤시 (2)_2_8720 18기이연법인세의 워크시트 34" xfId="4252"/>
    <cellStyle name="_샤시 (2)_2_8720 18기이연법인세의 워크시트 35" xfId="4253"/>
    <cellStyle name="_샤시 (2)_2_8720 18기이연법인세의 워크시트 36" xfId="4254"/>
    <cellStyle name="_샤시 (2)_2_8720 18기이연법인세의 워크시트 37" xfId="4255"/>
    <cellStyle name="_샤시 (2)_2_8720 18기이연법인세의 워크시트 38" xfId="4256"/>
    <cellStyle name="_샤시 (2)_2_8720 18기이연법인세의 워크시트 39" xfId="4257"/>
    <cellStyle name="_샤시 (2)_2_8720 18기이연법인세의 워크시트 4" xfId="4258"/>
    <cellStyle name="_샤시 (2)_2_8720 18기이연법인세의 워크시트 40" xfId="4259"/>
    <cellStyle name="_샤시 (2)_2_8720 18기이연법인세의 워크시트 41" xfId="4260"/>
    <cellStyle name="_샤시 (2)_2_8720 18기이연법인세의 워크시트 42" xfId="4261"/>
    <cellStyle name="_샤시 (2)_2_8720 18기이연법인세의 워크시트 43" xfId="4262"/>
    <cellStyle name="_샤시 (2)_2_8720 18기이연법인세의 워크시트 44" xfId="4263"/>
    <cellStyle name="_샤시 (2)_2_8720 18기이연법인세의 워크시트 45" xfId="4264"/>
    <cellStyle name="_샤시 (2)_2_8720 18기이연법인세의 워크시트 46" xfId="4265"/>
    <cellStyle name="_샤시 (2)_2_8720 18기이연법인세의 워크시트 47" xfId="4266"/>
    <cellStyle name="_샤시 (2)_2_8720 18기이연법인세의 워크시트 48" xfId="4267"/>
    <cellStyle name="_샤시 (2)_2_8720 18기이연법인세의 워크시트 49" xfId="4268"/>
    <cellStyle name="_샤시 (2)_2_8720 18기이연법인세의 워크시트 5" xfId="4269"/>
    <cellStyle name="_샤시 (2)_2_8720 18기이연법인세의 워크시트 50" xfId="4270"/>
    <cellStyle name="_샤시 (2)_2_8720 18기이연법인세의 워크시트 51" xfId="4271"/>
    <cellStyle name="_샤시 (2)_2_8720 18기이연법인세의 워크시트 52" xfId="4272"/>
    <cellStyle name="_샤시 (2)_2_8720 18기이연법인세의 워크시트 53" xfId="4273"/>
    <cellStyle name="_샤시 (2)_2_8720 18기이연법인세의 워크시트 54" xfId="4274"/>
    <cellStyle name="_샤시 (2)_2_8720 18기이연법인세의 워크시트 55" xfId="4275"/>
    <cellStyle name="_샤시 (2)_2_8720 18기이연법인세의 워크시트 56" xfId="4276"/>
    <cellStyle name="_샤시 (2)_2_8720 18기이연법인세의 워크시트 57" xfId="4277"/>
    <cellStyle name="_샤시 (2)_2_8720 18기이연법인세의 워크시트 58" xfId="4278"/>
    <cellStyle name="_샤시 (2)_2_8720 18기이연법인세의 워크시트 59" xfId="4279"/>
    <cellStyle name="_샤시 (2)_2_8720 18기이연법인세의 워크시트 6" xfId="4280"/>
    <cellStyle name="_샤시 (2)_2_8720 18기이연법인세의 워크시트 60" xfId="4281"/>
    <cellStyle name="_샤시 (2)_2_8720 18기이연법인세의 워크시트 61" xfId="4282"/>
    <cellStyle name="_샤시 (2)_2_8720 18기이연법인세의 워크시트 62" xfId="4283"/>
    <cellStyle name="_샤시 (2)_2_8720 18기이연법인세의 워크시트 63" xfId="4284"/>
    <cellStyle name="_샤시 (2)_2_8720 18기이연법인세의 워크시트 7" xfId="4285"/>
    <cellStyle name="_샤시 (2)_2_8720 18기이연법인세의 워크시트 8" xfId="4286"/>
    <cellStyle name="_샤시 (2)_2_8720 18기이연법인세의 워크시트 9" xfId="4287"/>
    <cellStyle name="_샤시 (2)_2_Worksheet in (C) 8730 7기이연법인세검토" xfId="4540"/>
    <cellStyle name="_샤시 (2)_2_Worksheet in (C) 8730 7기이연법인세검토 10" xfId="4541"/>
    <cellStyle name="_샤시 (2)_2_Worksheet in (C) 8730 7기이연법인세검토 11" xfId="4542"/>
    <cellStyle name="_샤시 (2)_2_Worksheet in (C) 8730 7기이연법인세검토 12" xfId="4543"/>
    <cellStyle name="_샤시 (2)_2_Worksheet in (C) 8730 7기이연법인세검토 13" xfId="4544"/>
    <cellStyle name="_샤시 (2)_2_Worksheet in (C) 8730 7기이연법인세검토 14" xfId="4545"/>
    <cellStyle name="_샤시 (2)_2_Worksheet in (C) 8730 7기이연법인세검토 15" xfId="4546"/>
    <cellStyle name="_샤시 (2)_2_Worksheet in (C) 8730 7기이연법인세검토 16" xfId="4547"/>
    <cellStyle name="_샤시 (2)_2_Worksheet in (C) 8730 7기이연법인세검토 17" xfId="4548"/>
    <cellStyle name="_샤시 (2)_2_Worksheet in (C) 8730 7기이연법인세검토 18" xfId="4549"/>
    <cellStyle name="_샤시 (2)_2_Worksheet in (C) 8730 7기이연법인세검토 19" xfId="4550"/>
    <cellStyle name="_샤시 (2)_2_Worksheet in (C) 8730 7기이연법인세검토 2" xfId="4551"/>
    <cellStyle name="_샤시 (2)_2_Worksheet in (C) 8730 7기이연법인세검토 20" xfId="4552"/>
    <cellStyle name="_샤시 (2)_2_Worksheet in (C) 8730 7기이연법인세검토 21" xfId="4553"/>
    <cellStyle name="_샤시 (2)_2_Worksheet in (C) 8730 7기이연법인세검토 22" xfId="4554"/>
    <cellStyle name="_샤시 (2)_2_Worksheet in (C) 8730 7기이연법인세검토 23" xfId="4555"/>
    <cellStyle name="_샤시 (2)_2_Worksheet in (C) 8730 7기이연법인세검토 24" xfId="4556"/>
    <cellStyle name="_샤시 (2)_2_Worksheet in (C) 8730 7기이연법인세검토 25" xfId="4557"/>
    <cellStyle name="_샤시 (2)_2_Worksheet in (C) 8730 7기이연법인세검토 26" xfId="4558"/>
    <cellStyle name="_샤시 (2)_2_Worksheet in (C) 8730 7기이연법인세검토 27" xfId="4559"/>
    <cellStyle name="_샤시 (2)_2_Worksheet in (C) 8730 7기이연법인세검토 28" xfId="4560"/>
    <cellStyle name="_샤시 (2)_2_Worksheet in (C) 8730 7기이연법인세검토 29" xfId="4561"/>
    <cellStyle name="_샤시 (2)_2_Worksheet in (C) 8730 7기이연법인세검토 3" xfId="4562"/>
    <cellStyle name="_샤시 (2)_2_Worksheet in (C) 8730 7기이연법인세검토 30" xfId="4563"/>
    <cellStyle name="_샤시 (2)_2_Worksheet in (C) 8730 7기이연법인세검토 31" xfId="4564"/>
    <cellStyle name="_샤시 (2)_2_Worksheet in (C) 8730 7기이연법인세검토 32" xfId="4565"/>
    <cellStyle name="_샤시 (2)_2_Worksheet in (C) 8730 7기이연법인세검토 33" xfId="4566"/>
    <cellStyle name="_샤시 (2)_2_Worksheet in (C) 8730 7기이연법인세검토 34" xfId="4567"/>
    <cellStyle name="_샤시 (2)_2_Worksheet in (C) 8730 7기이연법인세검토 35" xfId="4568"/>
    <cellStyle name="_샤시 (2)_2_Worksheet in (C) 8730 7기이연법인세검토 36" xfId="4569"/>
    <cellStyle name="_샤시 (2)_2_Worksheet in (C) 8730 7기이연법인세검토 37" xfId="4570"/>
    <cellStyle name="_샤시 (2)_2_Worksheet in (C) 8730 7기이연법인세검토 38" xfId="4571"/>
    <cellStyle name="_샤시 (2)_2_Worksheet in (C) 8730 7기이연법인세검토 39" xfId="4572"/>
    <cellStyle name="_샤시 (2)_2_Worksheet in (C) 8730 7기이연법인세검토 4" xfId="4573"/>
    <cellStyle name="_샤시 (2)_2_Worksheet in (C) 8730 7기이연법인세검토 40" xfId="4574"/>
    <cellStyle name="_샤시 (2)_2_Worksheet in (C) 8730 7기이연법인세검토 41" xfId="4575"/>
    <cellStyle name="_샤시 (2)_2_Worksheet in (C) 8730 7기이연법인세검토 42" xfId="4576"/>
    <cellStyle name="_샤시 (2)_2_Worksheet in (C) 8730 7기이연법인세검토 43" xfId="4577"/>
    <cellStyle name="_샤시 (2)_2_Worksheet in (C) 8730 7기이연법인세검토 44" xfId="4578"/>
    <cellStyle name="_샤시 (2)_2_Worksheet in (C) 8730 7기이연법인세검토 45" xfId="4579"/>
    <cellStyle name="_샤시 (2)_2_Worksheet in (C) 8730 7기이연법인세검토 46" xfId="4580"/>
    <cellStyle name="_샤시 (2)_2_Worksheet in (C) 8730 7기이연법인세검토 47" xfId="4581"/>
    <cellStyle name="_샤시 (2)_2_Worksheet in (C) 8730 7기이연법인세검토 48" xfId="4582"/>
    <cellStyle name="_샤시 (2)_2_Worksheet in (C) 8730 7기이연법인세검토 49" xfId="4583"/>
    <cellStyle name="_샤시 (2)_2_Worksheet in (C) 8730 7기이연법인세검토 5" xfId="4584"/>
    <cellStyle name="_샤시 (2)_2_Worksheet in (C) 8730 7기이연법인세검토 50" xfId="4585"/>
    <cellStyle name="_샤시 (2)_2_Worksheet in (C) 8730 7기이연법인세검토 51" xfId="4586"/>
    <cellStyle name="_샤시 (2)_2_Worksheet in (C) 8730 7기이연법인세검토 52" xfId="4587"/>
    <cellStyle name="_샤시 (2)_2_Worksheet in (C) 8730 7기이연법인세검토 53" xfId="4588"/>
    <cellStyle name="_샤시 (2)_2_Worksheet in (C) 8730 7기이연법인세검토 54" xfId="4589"/>
    <cellStyle name="_샤시 (2)_2_Worksheet in (C) 8730 7기이연법인세검토 55" xfId="4590"/>
    <cellStyle name="_샤시 (2)_2_Worksheet in (C) 8730 7기이연법인세검토 56" xfId="4591"/>
    <cellStyle name="_샤시 (2)_2_Worksheet in (C) 8730 7기이연법인세검토 57" xfId="4592"/>
    <cellStyle name="_샤시 (2)_2_Worksheet in (C) 8730 7기이연법인세검토 58" xfId="4593"/>
    <cellStyle name="_샤시 (2)_2_Worksheet in (C) 8730 7기이연법인세검토 59" xfId="4594"/>
    <cellStyle name="_샤시 (2)_2_Worksheet in (C) 8730 7기이연법인세검토 6" xfId="4595"/>
    <cellStyle name="_샤시 (2)_2_Worksheet in (C) 8730 7기이연법인세검토 60" xfId="4596"/>
    <cellStyle name="_샤시 (2)_2_Worksheet in (C) 8730 7기이연법인세검토 61" xfId="4597"/>
    <cellStyle name="_샤시 (2)_2_Worksheet in (C) 8730 7기이연법인세검토 62" xfId="4598"/>
    <cellStyle name="_샤시 (2)_2_Worksheet in (C) 8730 7기이연법인세검토 63" xfId="4599"/>
    <cellStyle name="_샤시 (2)_2_Worksheet in (C) 8730 7기이연법인세검토 7" xfId="4600"/>
    <cellStyle name="_샤시 (2)_2_Worksheet in (C) 8730 7기이연법인세검토 8" xfId="4601"/>
    <cellStyle name="_샤시 (2)_2_Worksheet in (C) 8730 7기이연법인세검토 9" xfId="4602"/>
    <cellStyle name="_샤시 (2)_2_대차손익(20070331)_kjh" xfId="4288"/>
    <cellStyle name="_샤시 (2)_2_대차손익(20070331)_kjh 10" xfId="4289"/>
    <cellStyle name="_샤시 (2)_2_대차손익(20070331)_kjh 11" xfId="4290"/>
    <cellStyle name="_샤시 (2)_2_대차손익(20070331)_kjh 12" xfId="4291"/>
    <cellStyle name="_샤시 (2)_2_대차손익(20070331)_kjh 13" xfId="4292"/>
    <cellStyle name="_샤시 (2)_2_대차손익(20070331)_kjh 14" xfId="4293"/>
    <cellStyle name="_샤시 (2)_2_대차손익(20070331)_kjh 15" xfId="4294"/>
    <cellStyle name="_샤시 (2)_2_대차손익(20070331)_kjh 16" xfId="4295"/>
    <cellStyle name="_샤시 (2)_2_대차손익(20070331)_kjh 17" xfId="4296"/>
    <cellStyle name="_샤시 (2)_2_대차손익(20070331)_kjh 18" xfId="4297"/>
    <cellStyle name="_샤시 (2)_2_대차손익(20070331)_kjh 19" xfId="4298"/>
    <cellStyle name="_샤시 (2)_2_대차손익(20070331)_kjh 2" xfId="4299"/>
    <cellStyle name="_샤시 (2)_2_대차손익(20070331)_kjh 20" xfId="4300"/>
    <cellStyle name="_샤시 (2)_2_대차손익(20070331)_kjh 21" xfId="4301"/>
    <cellStyle name="_샤시 (2)_2_대차손익(20070331)_kjh 22" xfId="4302"/>
    <cellStyle name="_샤시 (2)_2_대차손익(20070331)_kjh 23" xfId="4303"/>
    <cellStyle name="_샤시 (2)_2_대차손익(20070331)_kjh 24" xfId="4304"/>
    <cellStyle name="_샤시 (2)_2_대차손익(20070331)_kjh 25" xfId="4305"/>
    <cellStyle name="_샤시 (2)_2_대차손익(20070331)_kjh 26" xfId="4306"/>
    <cellStyle name="_샤시 (2)_2_대차손익(20070331)_kjh 27" xfId="4307"/>
    <cellStyle name="_샤시 (2)_2_대차손익(20070331)_kjh 28" xfId="4308"/>
    <cellStyle name="_샤시 (2)_2_대차손익(20070331)_kjh 29" xfId="4309"/>
    <cellStyle name="_샤시 (2)_2_대차손익(20070331)_kjh 3" xfId="4310"/>
    <cellStyle name="_샤시 (2)_2_대차손익(20070331)_kjh 30" xfId="4311"/>
    <cellStyle name="_샤시 (2)_2_대차손익(20070331)_kjh 31" xfId="4312"/>
    <cellStyle name="_샤시 (2)_2_대차손익(20070331)_kjh 32" xfId="4313"/>
    <cellStyle name="_샤시 (2)_2_대차손익(20070331)_kjh 33" xfId="4314"/>
    <cellStyle name="_샤시 (2)_2_대차손익(20070331)_kjh 34" xfId="4315"/>
    <cellStyle name="_샤시 (2)_2_대차손익(20070331)_kjh 35" xfId="4316"/>
    <cellStyle name="_샤시 (2)_2_대차손익(20070331)_kjh 36" xfId="4317"/>
    <cellStyle name="_샤시 (2)_2_대차손익(20070331)_kjh 37" xfId="4318"/>
    <cellStyle name="_샤시 (2)_2_대차손익(20070331)_kjh 38" xfId="4319"/>
    <cellStyle name="_샤시 (2)_2_대차손익(20070331)_kjh 39" xfId="4320"/>
    <cellStyle name="_샤시 (2)_2_대차손익(20070331)_kjh 4" xfId="4321"/>
    <cellStyle name="_샤시 (2)_2_대차손익(20070331)_kjh 40" xfId="4322"/>
    <cellStyle name="_샤시 (2)_2_대차손익(20070331)_kjh 41" xfId="4323"/>
    <cellStyle name="_샤시 (2)_2_대차손익(20070331)_kjh 42" xfId="4324"/>
    <cellStyle name="_샤시 (2)_2_대차손익(20070331)_kjh 43" xfId="4325"/>
    <cellStyle name="_샤시 (2)_2_대차손익(20070331)_kjh 44" xfId="4326"/>
    <cellStyle name="_샤시 (2)_2_대차손익(20070331)_kjh 45" xfId="4327"/>
    <cellStyle name="_샤시 (2)_2_대차손익(20070331)_kjh 46" xfId="4328"/>
    <cellStyle name="_샤시 (2)_2_대차손익(20070331)_kjh 47" xfId="4329"/>
    <cellStyle name="_샤시 (2)_2_대차손익(20070331)_kjh 48" xfId="4330"/>
    <cellStyle name="_샤시 (2)_2_대차손익(20070331)_kjh 49" xfId="4331"/>
    <cellStyle name="_샤시 (2)_2_대차손익(20070331)_kjh 5" xfId="4332"/>
    <cellStyle name="_샤시 (2)_2_대차손익(20070331)_kjh 50" xfId="4333"/>
    <cellStyle name="_샤시 (2)_2_대차손익(20070331)_kjh 51" xfId="4334"/>
    <cellStyle name="_샤시 (2)_2_대차손익(20070331)_kjh 52" xfId="4335"/>
    <cellStyle name="_샤시 (2)_2_대차손익(20070331)_kjh 53" xfId="4336"/>
    <cellStyle name="_샤시 (2)_2_대차손익(20070331)_kjh 54" xfId="4337"/>
    <cellStyle name="_샤시 (2)_2_대차손익(20070331)_kjh 55" xfId="4338"/>
    <cellStyle name="_샤시 (2)_2_대차손익(20070331)_kjh 56" xfId="4339"/>
    <cellStyle name="_샤시 (2)_2_대차손익(20070331)_kjh 57" xfId="4340"/>
    <cellStyle name="_샤시 (2)_2_대차손익(20070331)_kjh 58" xfId="4341"/>
    <cellStyle name="_샤시 (2)_2_대차손익(20070331)_kjh 59" xfId="4342"/>
    <cellStyle name="_샤시 (2)_2_대차손익(20070331)_kjh 6" xfId="4343"/>
    <cellStyle name="_샤시 (2)_2_대차손익(20070331)_kjh 60" xfId="4344"/>
    <cellStyle name="_샤시 (2)_2_대차손익(20070331)_kjh 61" xfId="4345"/>
    <cellStyle name="_샤시 (2)_2_대차손익(20070331)_kjh 62" xfId="4346"/>
    <cellStyle name="_샤시 (2)_2_대차손익(20070331)_kjh 63" xfId="4347"/>
    <cellStyle name="_샤시 (2)_2_대차손익(20070331)_kjh 7" xfId="4348"/>
    <cellStyle name="_샤시 (2)_2_대차손익(20070331)_kjh 8" xfId="4349"/>
    <cellStyle name="_샤시 (2)_2_대차손익(20070331)_kjh 9" xfId="4350"/>
    <cellStyle name="_샤시 (2)_2_마이콤-2004fs(05.2.25)" xfId="4351"/>
    <cellStyle name="_샤시 (2)_2_마이콤-2004fs(05.2.25) 10" xfId="4352"/>
    <cellStyle name="_샤시 (2)_2_마이콤-2004fs(05.2.25) 11" xfId="4353"/>
    <cellStyle name="_샤시 (2)_2_마이콤-2004fs(05.2.25) 12" xfId="4354"/>
    <cellStyle name="_샤시 (2)_2_마이콤-2004fs(05.2.25) 13" xfId="4355"/>
    <cellStyle name="_샤시 (2)_2_마이콤-2004fs(05.2.25) 14" xfId="4356"/>
    <cellStyle name="_샤시 (2)_2_마이콤-2004fs(05.2.25) 15" xfId="4357"/>
    <cellStyle name="_샤시 (2)_2_마이콤-2004fs(05.2.25) 16" xfId="4358"/>
    <cellStyle name="_샤시 (2)_2_마이콤-2004fs(05.2.25) 17" xfId="4359"/>
    <cellStyle name="_샤시 (2)_2_마이콤-2004fs(05.2.25) 18" xfId="4360"/>
    <cellStyle name="_샤시 (2)_2_마이콤-2004fs(05.2.25) 19" xfId="4361"/>
    <cellStyle name="_샤시 (2)_2_마이콤-2004fs(05.2.25) 2" xfId="4362"/>
    <cellStyle name="_샤시 (2)_2_마이콤-2004fs(05.2.25) 20" xfId="4363"/>
    <cellStyle name="_샤시 (2)_2_마이콤-2004fs(05.2.25) 21" xfId="4364"/>
    <cellStyle name="_샤시 (2)_2_마이콤-2004fs(05.2.25) 22" xfId="4365"/>
    <cellStyle name="_샤시 (2)_2_마이콤-2004fs(05.2.25) 23" xfId="4366"/>
    <cellStyle name="_샤시 (2)_2_마이콤-2004fs(05.2.25) 24" xfId="4367"/>
    <cellStyle name="_샤시 (2)_2_마이콤-2004fs(05.2.25) 25" xfId="4368"/>
    <cellStyle name="_샤시 (2)_2_마이콤-2004fs(05.2.25) 26" xfId="4369"/>
    <cellStyle name="_샤시 (2)_2_마이콤-2004fs(05.2.25) 27" xfId="4370"/>
    <cellStyle name="_샤시 (2)_2_마이콤-2004fs(05.2.25) 28" xfId="4371"/>
    <cellStyle name="_샤시 (2)_2_마이콤-2004fs(05.2.25) 29" xfId="4372"/>
    <cellStyle name="_샤시 (2)_2_마이콤-2004fs(05.2.25) 3" xfId="4373"/>
    <cellStyle name="_샤시 (2)_2_마이콤-2004fs(05.2.25) 30" xfId="4374"/>
    <cellStyle name="_샤시 (2)_2_마이콤-2004fs(05.2.25) 31" xfId="4375"/>
    <cellStyle name="_샤시 (2)_2_마이콤-2004fs(05.2.25) 32" xfId="4376"/>
    <cellStyle name="_샤시 (2)_2_마이콤-2004fs(05.2.25) 33" xfId="4377"/>
    <cellStyle name="_샤시 (2)_2_마이콤-2004fs(05.2.25) 34" xfId="4378"/>
    <cellStyle name="_샤시 (2)_2_마이콤-2004fs(05.2.25) 35" xfId="4379"/>
    <cellStyle name="_샤시 (2)_2_마이콤-2004fs(05.2.25) 36" xfId="4380"/>
    <cellStyle name="_샤시 (2)_2_마이콤-2004fs(05.2.25) 37" xfId="4381"/>
    <cellStyle name="_샤시 (2)_2_마이콤-2004fs(05.2.25) 38" xfId="4382"/>
    <cellStyle name="_샤시 (2)_2_마이콤-2004fs(05.2.25) 39" xfId="4383"/>
    <cellStyle name="_샤시 (2)_2_마이콤-2004fs(05.2.25) 4" xfId="4384"/>
    <cellStyle name="_샤시 (2)_2_마이콤-2004fs(05.2.25) 40" xfId="4385"/>
    <cellStyle name="_샤시 (2)_2_마이콤-2004fs(05.2.25) 41" xfId="4386"/>
    <cellStyle name="_샤시 (2)_2_마이콤-2004fs(05.2.25) 42" xfId="4387"/>
    <cellStyle name="_샤시 (2)_2_마이콤-2004fs(05.2.25) 43" xfId="4388"/>
    <cellStyle name="_샤시 (2)_2_마이콤-2004fs(05.2.25) 44" xfId="4389"/>
    <cellStyle name="_샤시 (2)_2_마이콤-2004fs(05.2.25) 45" xfId="4390"/>
    <cellStyle name="_샤시 (2)_2_마이콤-2004fs(05.2.25) 46" xfId="4391"/>
    <cellStyle name="_샤시 (2)_2_마이콤-2004fs(05.2.25) 47" xfId="4392"/>
    <cellStyle name="_샤시 (2)_2_마이콤-2004fs(05.2.25) 48" xfId="4393"/>
    <cellStyle name="_샤시 (2)_2_마이콤-2004fs(05.2.25) 49" xfId="4394"/>
    <cellStyle name="_샤시 (2)_2_마이콤-2004fs(05.2.25) 5" xfId="4395"/>
    <cellStyle name="_샤시 (2)_2_마이콤-2004fs(05.2.25) 50" xfId="4396"/>
    <cellStyle name="_샤시 (2)_2_마이콤-2004fs(05.2.25) 51" xfId="4397"/>
    <cellStyle name="_샤시 (2)_2_마이콤-2004fs(05.2.25) 52" xfId="4398"/>
    <cellStyle name="_샤시 (2)_2_마이콤-2004fs(05.2.25) 53" xfId="4399"/>
    <cellStyle name="_샤시 (2)_2_마이콤-2004fs(05.2.25) 54" xfId="4400"/>
    <cellStyle name="_샤시 (2)_2_마이콤-2004fs(05.2.25) 55" xfId="4401"/>
    <cellStyle name="_샤시 (2)_2_마이콤-2004fs(05.2.25) 56" xfId="4402"/>
    <cellStyle name="_샤시 (2)_2_마이콤-2004fs(05.2.25) 57" xfId="4403"/>
    <cellStyle name="_샤시 (2)_2_마이콤-2004fs(05.2.25) 58" xfId="4404"/>
    <cellStyle name="_샤시 (2)_2_마이콤-2004fs(05.2.25) 59" xfId="4405"/>
    <cellStyle name="_샤시 (2)_2_마이콤-2004fs(05.2.25) 6" xfId="4406"/>
    <cellStyle name="_샤시 (2)_2_마이콤-2004fs(05.2.25) 60" xfId="4407"/>
    <cellStyle name="_샤시 (2)_2_마이콤-2004fs(05.2.25) 61" xfId="4408"/>
    <cellStyle name="_샤시 (2)_2_마이콤-2004fs(05.2.25) 62" xfId="4409"/>
    <cellStyle name="_샤시 (2)_2_마이콤-2004fs(05.2.25) 63" xfId="4410"/>
    <cellStyle name="_샤시 (2)_2_마이콤-2004fs(05.2.25) 7" xfId="4411"/>
    <cellStyle name="_샤시 (2)_2_마이콤-2004fs(05.2.25) 8" xfId="4412"/>
    <cellStyle name="_샤시 (2)_2_마이콤-2004fs(05.2.25) 9" xfId="4413"/>
    <cellStyle name="_샤시 (2)_2_부원05FS-최종" xfId="4414"/>
    <cellStyle name="_샤시 (2)_2_부원05FS-최종 10" xfId="4415"/>
    <cellStyle name="_샤시 (2)_2_부원05FS-최종 11" xfId="4416"/>
    <cellStyle name="_샤시 (2)_2_부원05FS-최종 12" xfId="4417"/>
    <cellStyle name="_샤시 (2)_2_부원05FS-최종 13" xfId="4418"/>
    <cellStyle name="_샤시 (2)_2_부원05FS-최종 14" xfId="4419"/>
    <cellStyle name="_샤시 (2)_2_부원05FS-최종 15" xfId="4420"/>
    <cellStyle name="_샤시 (2)_2_부원05FS-최종 16" xfId="4421"/>
    <cellStyle name="_샤시 (2)_2_부원05FS-최종 17" xfId="4422"/>
    <cellStyle name="_샤시 (2)_2_부원05FS-최종 18" xfId="4423"/>
    <cellStyle name="_샤시 (2)_2_부원05FS-최종 19" xfId="4424"/>
    <cellStyle name="_샤시 (2)_2_부원05FS-최종 2" xfId="4425"/>
    <cellStyle name="_샤시 (2)_2_부원05FS-최종 20" xfId="4426"/>
    <cellStyle name="_샤시 (2)_2_부원05FS-최종 21" xfId="4427"/>
    <cellStyle name="_샤시 (2)_2_부원05FS-최종 22" xfId="4428"/>
    <cellStyle name="_샤시 (2)_2_부원05FS-최종 23" xfId="4429"/>
    <cellStyle name="_샤시 (2)_2_부원05FS-최종 24" xfId="4430"/>
    <cellStyle name="_샤시 (2)_2_부원05FS-최종 25" xfId="4431"/>
    <cellStyle name="_샤시 (2)_2_부원05FS-최종 26" xfId="4432"/>
    <cellStyle name="_샤시 (2)_2_부원05FS-최종 27" xfId="4433"/>
    <cellStyle name="_샤시 (2)_2_부원05FS-최종 28" xfId="4434"/>
    <cellStyle name="_샤시 (2)_2_부원05FS-최종 29" xfId="4435"/>
    <cellStyle name="_샤시 (2)_2_부원05FS-최종 3" xfId="4436"/>
    <cellStyle name="_샤시 (2)_2_부원05FS-최종 30" xfId="4437"/>
    <cellStyle name="_샤시 (2)_2_부원05FS-최종 31" xfId="4438"/>
    <cellStyle name="_샤시 (2)_2_부원05FS-최종 32" xfId="4439"/>
    <cellStyle name="_샤시 (2)_2_부원05FS-최종 33" xfId="4440"/>
    <cellStyle name="_샤시 (2)_2_부원05FS-최종 34" xfId="4441"/>
    <cellStyle name="_샤시 (2)_2_부원05FS-최종 35" xfId="4442"/>
    <cellStyle name="_샤시 (2)_2_부원05FS-최종 36" xfId="4443"/>
    <cellStyle name="_샤시 (2)_2_부원05FS-최종 37" xfId="4444"/>
    <cellStyle name="_샤시 (2)_2_부원05FS-최종 38" xfId="4445"/>
    <cellStyle name="_샤시 (2)_2_부원05FS-최종 39" xfId="4446"/>
    <cellStyle name="_샤시 (2)_2_부원05FS-최종 4" xfId="4447"/>
    <cellStyle name="_샤시 (2)_2_부원05FS-최종 40" xfId="4448"/>
    <cellStyle name="_샤시 (2)_2_부원05FS-최종 41" xfId="4449"/>
    <cellStyle name="_샤시 (2)_2_부원05FS-최종 42" xfId="4450"/>
    <cellStyle name="_샤시 (2)_2_부원05FS-최종 43" xfId="4451"/>
    <cellStyle name="_샤시 (2)_2_부원05FS-최종 44" xfId="4452"/>
    <cellStyle name="_샤시 (2)_2_부원05FS-최종 45" xfId="4453"/>
    <cellStyle name="_샤시 (2)_2_부원05FS-최종 46" xfId="4454"/>
    <cellStyle name="_샤시 (2)_2_부원05FS-최종 47" xfId="4455"/>
    <cellStyle name="_샤시 (2)_2_부원05FS-최종 48" xfId="4456"/>
    <cellStyle name="_샤시 (2)_2_부원05FS-최종 49" xfId="4457"/>
    <cellStyle name="_샤시 (2)_2_부원05FS-최종 5" xfId="4458"/>
    <cellStyle name="_샤시 (2)_2_부원05FS-최종 50" xfId="4459"/>
    <cellStyle name="_샤시 (2)_2_부원05FS-최종 51" xfId="4460"/>
    <cellStyle name="_샤시 (2)_2_부원05FS-최종 52" xfId="4461"/>
    <cellStyle name="_샤시 (2)_2_부원05FS-최종 53" xfId="4462"/>
    <cellStyle name="_샤시 (2)_2_부원05FS-최종 54" xfId="4463"/>
    <cellStyle name="_샤시 (2)_2_부원05FS-최종 55" xfId="4464"/>
    <cellStyle name="_샤시 (2)_2_부원05FS-최종 56" xfId="4465"/>
    <cellStyle name="_샤시 (2)_2_부원05FS-최종 57" xfId="4466"/>
    <cellStyle name="_샤시 (2)_2_부원05FS-최종 58" xfId="4467"/>
    <cellStyle name="_샤시 (2)_2_부원05FS-최종 59" xfId="4468"/>
    <cellStyle name="_샤시 (2)_2_부원05FS-최종 6" xfId="4469"/>
    <cellStyle name="_샤시 (2)_2_부원05FS-최종 60" xfId="4470"/>
    <cellStyle name="_샤시 (2)_2_부원05FS-최종 61" xfId="4471"/>
    <cellStyle name="_샤시 (2)_2_부원05FS-최종 62" xfId="4472"/>
    <cellStyle name="_샤시 (2)_2_부원05FS-최종 63" xfId="4473"/>
    <cellStyle name="_샤시 (2)_2_부원05FS-최종 7" xfId="4474"/>
    <cellStyle name="_샤시 (2)_2_부원05FS-최종 8" xfId="4475"/>
    <cellStyle name="_샤시 (2)_2_부원05FS-최종 9" xfId="4476"/>
    <cellStyle name="_샤시 (2)_2_승구리- 코바이오SCF2003" xfId="4477"/>
    <cellStyle name="_샤시 (2)_2_승구리- 코바이오SCF2003 10" xfId="4478"/>
    <cellStyle name="_샤시 (2)_2_승구리- 코바이오SCF2003 11" xfId="4479"/>
    <cellStyle name="_샤시 (2)_2_승구리- 코바이오SCF2003 12" xfId="4480"/>
    <cellStyle name="_샤시 (2)_2_승구리- 코바이오SCF2003 13" xfId="4481"/>
    <cellStyle name="_샤시 (2)_2_승구리- 코바이오SCF2003 14" xfId="4482"/>
    <cellStyle name="_샤시 (2)_2_승구리- 코바이오SCF2003 15" xfId="4483"/>
    <cellStyle name="_샤시 (2)_2_승구리- 코바이오SCF2003 16" xfId="4484"/>
    <cellStyle name="_샤시 (2)_2_승구리- 코바이오SCF2003 17" xfId="4485"/>
    <cellStyle name="_샤시 (2)_2_승구리- 코바이오SCF2003 18" xfId="4486"/>
    <cellStyle name="_샤시 (2)_2_승구리- 코바이오SCF2003 19" xfId="4487"/>
    <cellStyle name="_샤시 (2)_2_승구리- 코바이오SCF2003 2" xfId="4488"/>
    <cellStyle name="_샤시 (2)_2_승구리- 코바이오SCF2003 20" xfId="4489"/>
    <cellStyle name="_샤시 (2)_2_승구리- 코바이오SCF2003 21" xfId="4490"/>
    <cellStyle name="_샤시 (2)_2_승구리- 코바이오SCF2003 22" xfId="4491"/>
    <cellStyle name="_샤시 (2)_2_승구리- 코바이오SCF2003 23" xfId="4492"/>
    <cellStyle name="_샤시 (2)_2_승구리- 코바이오SCF2003 24" xfId="4493"/>
    <cellStyle name="_샤시 (2)_2_승구리- 코바이오SCF2003 25" xfId="4494"/>
    <cellStyle name="_샤시 (2)_2_승구리- 코바이오SCF2003 26" xfId="4495"/>
    <cellStyle name="_샤시 (2)_2_승구리- 코바이오SCF2003 27" xfId="4496"/>
    <cellStyle name="_샤시 (2)_2_승구리- 코바이오SCF2003 28" xfId="4497"/>
    <cellStyle name="_샤시 (2)_2_승구리- 코바이오SCF2003 29" xfId="4498"/>
    <cellStyle name="_샤시 (2)_2_승구리- 코바이오SCF2003 3" xfId="4499"/>
    <cellStyle name="_샤시 (2)_2_승구리- 코바이오SCF2003 30" xfId="4500"/>
    <cellStyle name="_샤시 (2)_2_승구리- 코바이오SCF2003 31" xfId="4501"/>
    <cellStyle name="_샤시 (2)_2_승구리- 코바이오SCF2003 32" xfId="4502"/>
    <cellStyle name="_샤시 (2)_2_승구리- 코바이오SCF2003 33" xfId="4503"/>
    <cellStyle name="_샤시 (2)_2_승구리- 코바이오SCF2003 34" xfId="4504"/>
    <cellStyle name="_샤시 (2)_2_승구리- 코바이오SCF2003 35" xfId="4505"/>
    <cellStyle name="_샤시 (2)_2_승구리- 코바이오SCF2003 36" xfId="4506"/>
    <cellStyle name="_샤시 (2)_2_승구리- 코바이오SCF2003 37" xfId="4507"/>
    <cellStyle name="_샤시 (2)_2_승구리- 코바이오SCF2003 38" xfId="4508"/>
    <cellStyle name="_샤시 (2)_2_승구리- 코바이오SCF2003 39" xfId="4509"/>
    <cellStyle name="_샤시 (2)_2_승구리- 코바이오SCF2003 4" xfId="4510"/>
    <cellStyle name="_샤시 (2)_2_승구리- 코바이오SCF2003 40" xfId="4511"/>
    <cellStyle name="_샤시 (2)_2_승구리- 코바이오SCF2003 41" xfId="4512"/>
    <cellStyle name="_샤시 (2)_2_승구리- 코바이오SCF2003 42" xfId="4513"/>
    <cellStyle name="_샤시 (2)_2_승구리- 코바이오SCF2003 43" xfId="4514"/>
    <cellStyle name="_샤시 (2)_2_승구리- 코바이오SCF2003 44" xfId="4515"/>
    <cellStyle name="_샤시 (2)_2_승구리- 코바이오SCF2003 45" xfId="4516"/>
    <cellStyle name="_샤시 (2)_2_승구리- 코바이오SCF2003 46" xfId="4517"/>
    <cellStyle name="_샤시 (2)_2_승구리- 코바이오SCF2003 47" xfId="4518"/>
    <cellStyle name="_샤시 (2)_2_승구리- 코바이오SCF2003 48" xfId="4519"/>
    <cellStyle name="_샤시 (2)_2_승구리- 코바이오SCF2003 49" xfId="4520"/>
    <cellStyle name="_샤시 (2)_2_승구리- 코바이오SCF2003 5" xfId="4521"/>
    <cellStyle name="_샤시 (2)_2_승구리- 코바이오SCF2003 50" xfId="4522"/>
    <cellStyle name="_샤시 (2)_2_승구리- 코바이오SCF2003 51" xfId="4523"/>
    <cellStyle name="_샤시 (2)_2_승구리- 코바이오SCF2003 52" xfId="4524"/>
    <cellStyle name="_샤시 (2)_2_승구리- 코바이오SCF2003 53" xfId="4525"/>
    <cellStyle name="_샤시 (2)_2_승구리- 코바이오SCF2003 54" xfId="4526"/>
    <cellStyle name="_샤시 (2)_2_승구리- 코바이오SCF2003 55" xfId="4527"/>
    <cellStyle name="_샤시 (2)_2_승구리- 코바이오SCF2003 56" xfId="4528"/>
    <cellStyle name="_샤시 (2)_2_승구리- 코바이오SCF2003 57" xfId="4529"/>
    <cellStyle name="_샤시 (2)_2_승구리- 코바이오SCF2003 58" xfId="4530"/>
    <cellStyle name="_샤시 (2)_2_승구리- 코바이오SCF2003 59" xfId="4531"/>
    <cellStyle name="_샤시 (2)_2_승구리- 코바이오SCF2003 6" xfId="4532"/>
    <cellStyle name="_샤시 (2)_2_승구리- 코바이오SCF2003 60" xfId="4533"/>
    <cellStyle name="_샤시 (2)_2_승구리- 코바이오SCF2003 61" xfId="4534"/>
    <cellStyle name="_샤시 (2)_2_승구리- 코바이오SCF2003 62" xfId="4535"/>
    <cellStyle name="_샤시 (2)_2_승구리- 코바이오SCF2003 63" xfId="4536"/>
    <cellStyle name="_샤시 (2)_2_승구리- 코바이오SCF2003 7" xfId="4537"/>
    <cellStyle name="_샤시 (2)_2_승구리- 코바이오SCF2003 8" xfId="4538"/>
    <cellStyle name="_샤시 (2)_2_승구리- 코바이오SCF2003 9" xfId="4539"/>
    <cellStyle name="_샤시 (2)_2002FS_FINAL" xfId="4603"/>
    <cellStyle name="_샤시 (2)_2211  한주금속-2005FS의 워크시트" xfId="4604"/>
    <cellStyle name="_샤시 (2)_7기 에자이 현금흐름표" xfId="4605"/>
    <cellStyle name="_샤시 (2)_8720 18기이연법인세의 워크시트" xfId="4606"/>
    <cellStyle name="_샤시 (2)_Worksheet in (C) 8730 7기이연법인세검토" xfId="4611"/>
    <cellStyle name="_샤시 (2)_대차손익(20070331)_kjh" xfId="4607"/>
    <cellStyle name="_샤시 (2)_마이콤-2004fs(05.2.25)" xfId="4608"/>
    <cellStyle name="_샤시 (2)_부원05FS-최종" xfId="4609"/>
    <cellStyle name="_샤시 (2)_승구리- 코바이오SCF2003" xfId="4610"/>
    <cellStyle name="_세무조정6기" xfId="4612"/>
    <cellStyle name="_세무조정6기 10" xfId="4613"/>
    <cellStyle name="_세무조정6기 11" xfId="4614"/>
    <cellStyle name="_세무조정6기 12" xfId="4615"/>
    <cellStyle name="_세무조정6기 13" xfId="4616"/>
    <cellStyle name="_세무조정6기 14" xfId="4617"/>
    <cellStyle name="_세무조정6기 15" xfId="4618"/>
    <cellStyle name="_세무조정6기 16" xfId="4619"/>
    <cellStyle name="_세무조정6기 17" xfId="4620"/>
    <cellStyle name="_세무조정6기 18" xfId="4621"/>
    <cellStyle name="_세무조정6기 19" xfId="4622"/>
    <cellStyle name="_세무조정6기 2" xfId="4623"/>
    <cellStyle name="_세무조정6기 20" xfId="4624"/>
    <cellStyle name="_세무조정6기 21" xfId="4625"/>
    <cellStyle name="_세무조정6기 22" xfId="4626"/>
    <cellStyle name="_세무조정6기 23" xfId="4627"/>
    <cellStyle name="_세무조정6기 24" xfId="4628"/>
    <cellStyle name="_세무조정6기 25" xfId="4629"/>
    <cellStyle name="_세무조정6기 26" xfId="4630"/>
    <cellStyle name="_세무조정6기 27" xfId="4631"/>
    <cellStyle name="_세무조정6기 28" xfId="4632"/>
    <cellStyle name="_세무조정6기 29" xfId="4633"/>
    <cellStyle name="_세무조정6기 3" xfId="4634"/>
    <cellStyle name="_세무조정6기 30" xfId="4635"/>
    <cellStyle name="_세무조정6기 31" xfId="4636"/>
    <cellStyle name="_세무조정6기 32" xfId="4637"/>
    <cellStyle name="_세무조정6기 33" xfId="4638"/>
    <cellStyle name="_세무조정6기 34" xfId="4639"/>
    <cellStyle name="_세무조정6기 35" xfId="4640"/>
    <cellStyle name="_세무조정6기 36" xfId="4641"/>
    <cellStyle name="_세무조정6기 37" xfId="4642"/>
    <cellStyle name="_세무조정6기 38" xfId="4643"/>
    <cellStyle name="_세무조정6기 39" xfId="4644"/>
    <cellStyle name="_세무조정6기 4" xfId="4645"/>
    <cellStyle name="_세무조정6기 40" xfId="4646"/>
    <cellStyle name="_세무조정6기 41" xfId="4647"/>
    <cellStyle name="_세무조정6기 42" xfId="4648"/>
    <cellStyle name="_세무조정6기 43" xfId="4649"/>
    <cellStyle name="_세무조정6기 44" xfId="4650"/>
    <cellStyle name="_세무조정6기 45" xfId="4651"/>
    <cellStyle name="_세무조정6기 46" xfId="4652"/>
    <cellStyle name="_세무조정6기 47" xfId="4653"/>
    <cellStyle name="_세무조정6기 48" xfId="4654"/>
    <cellStyle name="_세무조정6기 49" xfId="4655"/>
    <cellStyle name="_세무조정6기 5" xfId="4656"/>
    <cellStyle name="_세무조정6기 50" xfId="4657"/>
    <cellStyle name="_세무조정6기 51" xfId="4658"/>
    <cellStyle name="_세무조정6기 52" xfId="4659"/>
    <cellStyle name="_세무조정6기 53" xfId="4660"/>
    <cellStyle name="_세무조정6기 54" xfId="4661"/>
    <cellStyle name="_세무조정6기 55" xfId="4662"/>
    <cellStyle name="_세무조정6기 56" xfId="4663"/>
    <cellStyle name="_세무조정6기 57" xfId="4664"/>
    <cellStyle name="_세무조정6기 58" xfId="4665"/>
    <cellStyle name="_세무조정6기 59" xfId="4666"/>
    <cellStyle name="_세무조정6기 6" xfId="4667"/>
    <cellStyle name="_세무조정6기 60" xfId="4668"/>
    <cellStyle name="_세무조정6기 61" xfId="4669"/>
    <cellStyle name="_세무조정6기 62" xfId="4670"/>
    <cellStyle name="_세무조정6기 63" xfId="4671"/>
    <cellStyle name="_세무조정6기 7" xfId="4672"/>
    <cellStyle name="_세무조정6기 8" xfId="4673"/>
    <cellStyle name="_세무조정6기 9" xfId="4674"/>
    <cellStyle name="_세무조정6기_2261-2  WTB_KTC_06기말의 워크시트" xfId="4675"/>
    <cellStyle name="_세무조정6기_2261-2  WTB_KTC_06기말의 워크시트 10" xfId="4676"/>
    <cellStyle name="_세무조정6기_2261-2  WTB_KTC_06기말의 워크시트 11" xfId="4677"/>
    <cellStyle name="_세무조정6기_2261-2  WTB_KTC_06기말의 워크시트 12" xfId="4678"/>
    <cellStyle name="_세무조정6기_2261-2  WTB_KTC_06기말의 워크시트 13" xfId="4679"/>
    <cellStyle name="_세무조정6기_2261-2  WTB_KTC_06기말의 워크시트 14" xfId="4680"/>
    <cellStyle name="_세무조정6기_2261-2  WTB_KTC_06기말의 워크시트 15" xfId="4681"/>
    <cellStyle name="_세무조정6기_2261-2  WTB_KTC_06기말의 워크시트 16" xfId="4682"/>
    <cellStyle name="_세무조정6기_2261-2  WTB_KTC_06기말의 워크시트 17" xfId="4683"/>
    <cellStyle name="_세무조정6기_2261-2  WTB_KTC_06기말의 워크시트 18" xfId="4684"/>
    <cellStyle name="_세무조정6기_2261-2  WTB_KTC_06기말의 워크시트 19" xfId="4685"/>
    <cellStyle name="_세무조정6기_2261-2  WTB_KTC_06기말의 워크시트 2" xfId="4686"/>
    <cellStyle name="_세무조정6기_2261-2  WTB_KTC_06기말의 워크시트 20" xfId="4687"/>
    <cellStyle name="_세무조정6기_2261-2  WTB_KTC_06기말의 워크시트 21" xfId="4688"/>
    <cellStyle name="_세무조정6기_2261-2  WTB_KTC_06기말의 워크시트 22" xfId="4689"/>
    <cellStyle name="_세무조정6기_2261-2  WTB_KTC_06기말의 워크시트 23" xfId="4690"/>
    <cellStyle name="_세무조정6기_2261-2  WTB_KTC_06기말의 워크시트 24" xfId="4691"/>
    <cellStyle name="_세무조정6기_2261-2  WTB_KTC_06기말의 워크시트 25" xfId="4692"/>
    <cellStyle name="_세무조정6기_2261-2  WTB_KTC_06기말의 워크시트 26" xfId="4693"/>
    <cellStyle name="_세무조정6기_2261-2  WTB_KTC_06기말의 워크시트 27" xfId="4694"/>
    <cellStyle name="_세무조정6기_2261-2  WTB_KTC_06기말의 워크시트 28" xfId="4695"/>
    <cellStyle name="_세무조정6기_2261-2  WTB_KTC_06기말의 워크시트 29" xfId="4696"/>
    <cellStyle name="_세무조정6기_2261-2  WTB_KTC_06기말의 워크시트 3" xfId="4697"/>
    <cellStyle name="_세무조정6기_2261-2  WTB_KTC_06기말의 워크시트 30" xfId="4698"/>
    <cellStyle name="_세무조정6기_2261-2  WTB_KTC_06기말의 워크시트 31" xfId="4699"/>
    <cellStyle name="_세무조정6기_2261-2  WTB_KTC_06기말의 워크시트 32" xfId="4700"/>
    <cellStyle name="_세무조정6기_2261-2  WTB_KTC_06기말의 워크시트 33" xfId="4701"/>
    <cellStyle name="_세무조정6기_2261-2  WTB_KTC_06기말의 워크시트 34" xfId="4702"/>
    <cellStyle name="_세무조정6기_2261-2  WTB_KTC_06기말의 워크시트 35" xfId="4703"/>
    <cellStyle name="_세무조정6기_2261-2  WTB_KTC_06기말의 워크시트 36" xfId="4704"/>
    <cellStyle name="_세무조정6기_2261-2  WTB_KTC_06기말의 워크시트 37" xfId="4705"/>
    <cellStyle name="_세무조정6기_2261-2  WTB_KTC_06기말의 워크시트 38" xfId="4706"/>
    <cellStyle name="_세무조정6기_2261-2  WTB_KTC_06기말의 워크시트 39" xfId="4707"/>
    <cellStyle name="_세무조정6기_2261-2  WTB_KTC_06기말의 워크시트 4" xfId="4708"/>
    <cellStyle name="_세무조정6기_2261-2  WTB_KTC_06기말의 워크시트 40" xfId="4709"/>
    <cellStyle name="_세무조정6기_2261-2  WTB_KTC_06기말의 워크시트 41" xfId="4710"/>
    <cellStyle name="_세무조정6기_2261-2  WTB_KTC_06기말의 워크시트 42" xfId="4711"/>
    <cellStyle name="_세무조정6기_2261-2  WTB_KTC_06기말의 워크시트 43" xfId="4712"/>
    <cellStyle name="_세무조정6기_2261-2  WTB_KTC_06기말의 워크시트 44" xfId="4713"/>
    <cellStyle name="_세무조정6기_2261-2  WTB_KTC_06기말의 워크시트 45" xfId="4714"/>
    <cellStyle name="_세무조정6기_2261-2  WTB_KTC_06기말의 워크시트 46" xfId="4715"/>
    <cellStyle name="_세무조정6기_2261-2  WTB_KTC_06기말의 워크시트 47" xfId="4716"/>
    <cellStyle name="_세무조정6기_2261-2  WTB_KTC_06기말의 워크시트 48" xfId="4717"/>
    <cellStyle name="_세무조정6기_2261-2  WTB_KTC_06기말의 워크시트 49" xfId="4718"/>
    <cellStyle name="_세무조정6기_2261-2  WTB_KTC_06기말의 워크시트 5" xfId="4719"/>
    <cellStyle name="_세무조정6기_2261-2  WTB_KTC_06기말의 워크시트 50" xfId="4720"/>
    <cellStyle name="_세무조정6기_2261-2  WTB_KTC_06기말의 워크시트 51" xfId="4721"/>
    <cellStyle name="_세무조정6기_2261-2  WTB_KTC_06기말의 워크시트 52" xfId="4722"/>
    <cellStyle name="_세무조정6기_2261-2  WTB_KTC_06기말의 워크시트 53" xfId="4723"/>
    <cellStyle name="_세무조정6기_2261-2  WTB_KTC_06기말의 워크시트 54" xfId="4724"/>
    <cellStyle name="_세무조정6기_2261-2  WTB_KTC_06기말의 워크시트 55" xfId="4725"/>
    <cellStyle name="_세무조정6기_2261-2  WTB_KTC_06기말의 워크시트 56" xfId="4726"/>
    <cellStyle name="_세무조정6기_2261-2  WTB_KTC_06기말의 워크시트 57" xfId="4727"/>
    <cellStyle name="_세무조정6기_2261-2  WTB_KTC_06기말의 워크시트 58" xfId="4728"/>
    <cellStyle name="_세무조정6기_2261-2  WTB_KTC_06기말의 워크시트 59" xfId="4729"/>
    <cellStyle name="_세무조정6기_2261-2  WTB_KTC_06기말의 워크시트 6" xfId="4730"/>
    <cellStyle name="_세무조정6기_2261-2  WTB_KTC_06기말의 워크시트 60" xfId="4731"/>
    <cellStyle name="_세무조정6기_2261-2  WTB_KTC_06기말의 워크시트 61" xfId="4732"/>
    <cellStyle name="_세무조정6기_2261-2  WTB_KTC_06기말의 워크시트 62" xfId="4733"/>
    <cellStyle name="_세무조정6기_2261-2  WTB_KTC_06기말의 워크시트 63" xfId="4734"/>
    <cellStyle name="_세무조정6기_2261-2  WTB_KTC_06기말의 워크시트 7" xfId="4735"/>
    <cellStyle name="_세무조정6기_2261-2  WTB_KTC_06기말의 워크시트 8" xfId="4736"/>
    <cellStyle name="_세무조정6기_2261-2  WTB_KTC_06기말의 워크시트 9" xfId="4737"/>
    <cellStyle name="_세무조정6기_대차손익(20070331)_kjh" xfId="4738"/>
    <cellStyle name="_세무조정6기_대차손익(20070331)_kjh 10" xfId="4739"/>
    <cellStyle name="_세무조정6기_대차손익(20070331)_kjh 11" xfId="4740"/>
    <cellStyle name="_세무조정6기_대차손익(20070331)_kjh 12" xfId="4741"/>
    <cellStyle name="_세무조정6기_대차손익(20070331)_kjh 13" xfId="4742"/>
    <cellStyle name="_세무조정6기_대차손익(20070331)_kjh 14" xfId="4743"/>
    <cellStyle name="_세무조정6기_대차손익(20070331)_kjh 15" xfId="4744"/>
    <cellStyle name="_세무조정6기_대차손익(20070331)_kjh 16" xfId="4745"/>
    <cellStyle name="_세무조정6기_대차손익(20070331)_kjh 17" xfId="4746"/>
    <cellStyle name="_세무조정6기_대차손익(20070331)_kjh 18" xfId="4747"/>
    <cellStyle name="_세무조정6기_대차손익(20070331)_kjh 19" xfId="4748"/>
    <cellStyle name="_세무조정6기_대차손익(20070331)_kjh 2" xfId="4749"/>
    <cellStyle name="_세무조정6기_대차손익(20070331)_kjh 20" xfId="4750"/>
    <cellStyle name="_세무조정6기_대차손익(20070331)_kjh 21" xfId="4751"/>
    <cellStyle name="_세무조정6기_대차손익(20070331)_kjh 22" xfId="4752"/>
    <cellStyle name="_세무조정6기_대차손익(20070331)_kjh 23" xfId="4753"/>
    <cellStyle name="_세무조정6기_대차손익(20070331)_kjh 24" xfId="4754"/>
    <cellStyle name="_세무조정6기_대차손익(20070331)_kjh 25" xfId="4755"/>
    <cellStyle name="_세무조정6기_대차손익(20070331)_kjh 26" xfId="4756"/>
    <cellStyle name="_세무조정6기_대차손익(20070331)_kjh 27" xfId="4757"/>
    <cellStyle name="_세무조정6기_대차손익(20070331)_kjh 28" xfId="4758"/>
    <cellStyle name="_세무조정6기_대차손익(20070331)_kjh 29" xfId="4759"/>
    <cellStyle name="_세무조정6기_대차손익(20070331)_kjh 3" xfId="4760"/>
    <cellStyle name="_세무조정6기_대차손익(20070331)_kjh 30" xfId="4761"/>
    <cellStyle name="_세무조정6기_대차손익(20070331)_kjh 31" xfId="4762"/>
    <cellStyle name="_세무조정6기_대차손익(20070331)_kjh 32" xfId="4763"/>
    <cellStyle name="_세무조정6기_대차손익(20070331)_kjh 33" xfId="4764"/>
    <cellStyle name="_세무조정6기_대차손익(20070331)_kjh 34" xfId="4765"/>
    <cellStyle name="_세무조정6기_대차손익(20070331)_kjh 35" xfId="4766"/>
    <cellStyle name="_세무조정6기_대차손익(20070331)_kjh 36" xfId="4767"/>
    <cellStyle name="_세무조정6기_대차손익(20070331)_kjh 37" xfId="4768"/>
    <cellStyle name="_세무조정6기_대차손익(20070331)_kjh 38" xfId="4769"/>
    <cellStyle name="_세무조정6기_대차손익(20070331)_kjh 39" xfId="4770"/>
    <cellStyle name="_세무조정6기_대차손익(20070331)_kjh 4" xfId="4771"/>
    <cellStyle name="_세무조정6기_대차손익(20070331)_kjh 40" xfId="4772"/>
    <cellStyle name="_세무조정6기_대차손익(20070331)_kjh 41" xfId="4773"/>
    <cellStyle name="_세무조정6기_대차손익(20070331)_kjh 42" xfId="4774"/>
    <cellStyle name="_세무조정6기_대차손익(20070331)_kjh 43" xfId="4775"/>
    <cellStyle name="_세무조정6기_대차손익(20070331)_kjh 44" xfId="4776"/>
    <cellStyle name="_세무조정6기_대차손익(20070331)_kjh 45" xfId="4777"/>
    <cellStyle name="_세무조정6기_대차손익(20070331)_kjh 46" xfId="4778"/>
    <cellStyle name="_세무조정6기_대차손익(20070331)_kjh 47" xfId="4779"/>
    <cellStyle name="_세무조정6기_대차손익(20070331)_kjh 48" xfId="4780"/>
    <cellStyle name="_세무조정6기_대차손익(20070331)_kjh 49" xfId="4781"/>
    <cellStyle name="_세무조정6기_대차손익(20070331)_kjh 5" xfId="4782"/>
    <cellStyle name="_세무조정6기_대차손익(20070331)_kjh 50" xfId="4783"/>
    <cellStyle name="_세무조정6기_대차손익(20070331)_kjh 51" xfId="4784"/>
    <cellStyle name="_세무조정6기_대차손익(20070331)_kjh 52" xfId="4785"/>
    <cellStyle name="_세무조정6기_대차손익(20070331)_kjh 53" xfId="4786"/>
    <cellStyle name="_세무조정6기_대차손익(20070331)_kjh 54" xfId="4787"/>
    <cellStyle name="_세무조정6기_대차손익(20070331)_kjh 55" xfId="4788"/>
    <cellStyle name="_세무조정6기_대차손익(20070331)_kjh 56" xfId="4789"/>
    <cellStyle name="_세무조정6기_대차손익(20070331)_kjh 57" xfId="4790"/>
    <cellStyle name="_세무조정6기_대차손익(20070331)_kjh 58" xfId="4791"/>
    <cellStyle name="_세무조정6기_대차손익(20070331)_kjh 59" xfId="4792"/>
    <cellStyle name="_세무조정6기_대차손익(20070331)_kjh 6" xfId="4793"/>
    <cellStyle name="_세무조정6기_대차손익(20070331)_kjh 60" xfId="4794"/>
    <cellStyle name="_세무조정6기_대차손익(20070331)_kjh 61" xfId="4795"/>
    <cellStyle name="_세무조정6기_대차손익(20070331)_kjh 62" xfId="4796"/>
    <cellStyle name="_세무조정6기_대차손익(20070331)_kjh 63" xfId="4797"/>
    <cellStyle name="_세무조정6기_대차손익(20070331)_kjh 7" xfId="4798"/>
    <cellStyle name="_세무조정6기_대차손익(20070331)_kjh 8" xfId="4799"/>
    <cellStyle name="_세무조정6기_대차손익(20070331)_kjh 9" xfId="4800"/>
    <cellStyle name="_세액계산(040217)" xfId="4801"/>
    <cellStyle name="_수산그룹미수금현황_20020506" xfId="4802"/>
    <cellStyle name="_승구리- 코바이오SCF2003" xfId="4803"/>
    <cellStyle name="_승구리- 코바이오SCF2003 10" xfId="4804"/>
    <cellStyle name="_승구리- 코바이오SCF2003 11" xfId="4805"/>
    <cellStyle name="_승구리- 코바이오SCF2003 12" xfId="4806"/>
    <cellStyle name="_승구리- 코바이오SCF2003 13" xfId="4807"/>
    <cellStyle name="_승구리- 코바이오SCF2003 14" xfId="4808"/>
    <cellStyle name="_승구리- 코바이오SCF2003 15" xfId="4809"/>
    <cellStyle name="_승구리- 코바이오SCF2003 16" xfId="4810"/>
    <cellStyle name="_승구리- 코바이오SCF2003 17" xfId="4811"/>
    <cellStyle name="_승구리- 코바이오SCF2003 18" xfId="4812"/>
    <cellStyle name="_승구리- 코바이오SCF2003 19" xfId="4813"/>
    <cellStyle name="_승구리- 코바이오SCF2003 2" xfId="4814"/>
    <cellStyle name="_승구리- 코바이오SCF2003 20" xfId="4815"/>
    <cellStyle name="_승구리- 코바이오SCF2003 21" xfId="4816"/>
    <cellStyle name="_승구리- 코바이오SCF2003 22" xfId="4817"/>
    <cellStyle name="_승구리- 코바이오SCF2003 23" xfId="4818"/>
    <cellStyle name="_승구리- 코바이오SCF2003 24" xfId="4819"/>
    <cellStyle name="_승구리- 코바이오SCF2003 25" xfId="4820"/>
    <cellStyle name="_승구리- 코바이오SCF2003 26" xfId="4821"/>
    <cellStyle name="_승구리- 코바이오SCF2003 27" xfId="4822"/>
    <cellStyle name="_승구리- 코바이오SCF2003 28" xfId="4823"/>
    <cellStyle name="_승구리- 코바이오SCF2003 29" xfId="4824"/>
    <cellStyle name="_승구리- 코바이오SCF2003 3" xfId="4825"/>
    <cellStyle name="_승구리- 코바이오SCF2003 30" xfId="4826"/>
    <cellStyle name="_승구리- 코바이오SCF2003 31" xfId="4827"/>
    <cellStyle name="_승구리- 코바이오SCF2003 32" xfId="4828"/>
    <cellStyle name="_승구리- 코바이오SCF2003 33" xfId="4829"/>
    <cellStyle name="_승구리- 코바이오SCF2003 34" xfId="4830"/>
    <cellStyle name="_승구리- 코바이오SCF2003 35" xfId="4831"/>
    <cellStyle name="_승구리- 코바이오SCF2003 36" xfId="4832"/>
    <cellStyle name="_승구리- 코바이오SCF2003 37" xfId="4833"/>
    <cellStyle name="_승구리- 코바이오SCF2003 38" xfId="4834"/>
    <cellStyle name="_승구리- 코바이오SCF2003 39" xfId="4835"/>
    <cellStyle name="_승구리- 코바이오SCF2003 4" xfId="4836"/>
    <cellStyle name="_승구리- 코바이오SCF2003 40" xfId="4837"/>
    <cellStyle name="_승구리- 코바이오SCF2003 41" xfId="4838"/>
    <cellStyle name="_승구리- 코바이오SCF2003 42" xfId="4839"/>
    <cellStyle name="_승구리- 코바이오SCF2003 43" xfId="4840"/>
    <cellStyle name="_승구리- 코바이오SCF2003 44" xfId="4841"/>
    <cellStyle name="_승구리- 코바이오SCF2003 45" xfId="4842"/>
    <cellStyle name="_승구리- 코바이오SCF2003 46" xfId="4843"/>
    <cellStyle name="_승구리- 코바이오SCF2003 47" xfId="4844"/>
    <cellStyle name="_승구리- 코바이오SCF2003 48" xfId="4845"/>
    <cellStyle name="_승구리- 코바이오SCF2003 49" xfId="4846"/>
    <cellStyle name="_승구리- 코바이오SCF2003 5" xfId="4847"/>
    <cellStyle name="_승구리- 코바이오SCF2003 50" xfId="4848"/>
    <cellStyle name="_승구리- 코바이오SCF2003 51" xfId="4849"/>
    <cellStyle name="_승구리- 코바이오SCF2003 52" xfId="4850"/>
    <cellStyle name="_승구리- 코바이오SCF2003 53" xfId="4851"/>
    <cellStyle name="_승구리- 코바이오SCF2003 54" xfId="4852"/>
    <cellStyle name="_승구리- 코바이오SCF2003 55" xfId="4853"/>
    <cellStyle name="_승구리- 코바이오SCF2003 56" xfId="4854"/>
    <cellStyle name="_승구리- 코바이오SCF2003 57" xfId="4855"/>
    <cellStyle name="_승구리- 코바이오SCF2003 58" xfId="4856"/>
    <cellStyle name="_승구리- 코바이오SCF2003 59" xfId="4857"/>
    <cellStyle name="_승구리- 코바이오SCF2003 6" xfId="4858"/>
    <cellStyle name="_승구리- 코바이오SCF2003 60" xfId="4859"/>
    <cellStyle name="_승구리- 코바이오SCF2003 61" xfId="4860"/>
    <cellStyle name="_승구리- 코바이오SCF2003 62" xfId="4861"/>
    <cellStyle name="_승구리- 코바이오SCF2003 63" xfId="4862"/>
    <cellStyle name="_승구리- 코바이오SCF2003 7" xfId="4863"/>
    <cellStyle name="_승구리- 코바이오SCF2003 8" xfId="4864"/>
    <cellStyle name="_승구리- 코바이오SCF2003 9" xfId="4865"/>
    <cellStyle name="_써니벨테크 AJE List(2002.3.23)" xfId="4866"/>
    <cellStyle name="_아멕스 1월청구근거" xfId="4867"/>
    <cellStyle name="_아크-기말감사" xfId="4868"/>
    <cellStyle name="_아크-기말감사 10" xfId="4869"/>
    <cellStyle name="_아크-기말감사 11" xfId="4870"/>
    <cellStyle name="_아크-기말감사 12" xfId="4871"/>
    <cellStyle name="_아크-기말감사 13" xfId="4872"/>
    <cellStyle name="_아크-기말감사 14" xfId="4873"/>
    <cellStyle name="_아크-기말감사 15" xfId="4874"/>
    <cellStyle name="_아크-기말감사 16" xfId="4875"/>
    <cellStyle name="_아크-기말감사 17" xfId="4876"/>
    <cellStyle name="_아크-기말감사 18" xfId="4877"/>
    <cellStyle name="_아크-기말감사 19" xfId="4878"/>
    <cellStyle name="_아크-기말감사 2" xfId="4879"/>
    <cellStyle name="_아크-기말감사 20" xfId="4880"/>
    <cellStyle name="_아크-기말감사 21" xfId="4881"/>
    <cellStyle name="_아크-기말감사 22" xfId="4882"/>
    <cellStyle name="_아크-기말감사 23" xfId="4883"/>
    <cellStyle name="_아크-기말감사 24" xfId="4884"/>
    <cellStyle name="_아크-기말감사 25" xfId="4885"/>
    <cellStyle name="_아크-기말감사 26" xfId="4886"/>
    <cellStyle name="_아크-기말감사 27" xfId="4887"/>
    <cellStyle name="_아크-기말감사 28" xfId="4888"/>
    <cellStyle name="_아크-기말감사 29" xfId="4889"/>
    <cellStyle name="_아크-기말감사 3" xfId="4890"/>
    <cellStyle name="_아크-기말감사 30" xfId="4891"/>
    <cellStyle name="_아크-기말감사 31" xfId="4892"/>
    <cellStyle name="_아크-기말감사 32" xfId="4893"/>
    <cellStyle name="_아크-기말감사 33" xfId="4894"/>
    <cellStyle name="_아크-기말감사 34" xfId="4895"/>
    <cellStyle name="_아크-기말감사 35" xfId="4896"/>
    <cellStyle name="_아크-기말감사 36" xfId="4897"/>
    <cellStyle name="_아크-기말감사 37" xfId="4898"/>
    <cellStyle name="_아크-기말감사 38" xfId="4899"/>
    <cellStyle name="_아크-기말감사 39" xfId="4900"/>
    <cellStyle name="_아크-기말감사 4" xfId="4901"/>
    <cellStyle name="_아크-기말감사 40" xfId="4902"/>
    <cellStyle name="_아크-기말감사 41" xfId="4903"/>
    <cellStyle name="_아크-기말감사 42" xfId="4904"/>
    <cellStyle name="_아크-기말감사 43" xfId="4905"/>
    <cellStyle name="_아크-기말감사 44" xfId="4906"/>
    <cellStyle name="_아크-기말감사 45" xfId="4907"/>
    <cellStyle name="_아크-기말감사 46" xfId="4908"/>
    <cellStyle name="_아크-기말감사 47" xfId="4909"/>
    <cellStyle name="_아크-기말감사 48" xfId="4910"/>
    <cellStyle name="_아크-기말감사 49" xfId="4911"/>
    <cellStyle name="_아크-기말감사 5" xfId="4912"/>
    <cellStyle name="_아크-기말감사 50" xfId="4913"/>
    <cellStyle name="_아크-기말감사 51" xfId="4914"/>
    <cellStyle name="_아크-기말감사 52" xfId="4915"/>
    <cellStyle name="_아크-기말감사 53" xfId="4916"/>
    <cellStyle name="_아크-기말감사 54" xfId="4917"/>
    <cellStyle name="_아크-기말감사 55" xfId="4918"/>
    <cellStyle name="_아크-기말감사 56" xfId="4919"/>
    <cellStyle name="_아크-기말감사 57" xfId="4920"/>
    <cellStyle name="_아크-기말감사 58" xfId="4921"/>
    <cellStyle name="_아크-기말감사 59" xfId="4922"/>
    <cellStyle name="_아크-기말감사 6" xfId="4923"/>
    <cellStyle name="_아크-기말감사 60" xfId="4924"/>
    <cellStyle name="_아크-기말감사 61" xfId="4925"/>
    <cellStyle name="_아크-기말감사 62" xfId="4926"/>
    <cellStyle name="_아크-기말감사 63" xfId="4927"/>
    <cellStyle name="_아크-기말감사 7" xfId="4928"/>
    <cellStyle name="_아크-기말감사 8" xfId="4929"/>
    <cellStyle name="_아크-기말감사 9" xfId="4930"/>
    <cellStyle name="_야후_03_3Q김민규" xfId="4931"/>
    <cellStyle name="_야후2003_1Q_ldh" xfId="4932"/>
    <cellStyle name="_야후2003_반기_ldh" xfId="4933"/>
    <cellStyle name="_야후정산표_02기말_ldh(최종)-final" xfId="4934"/>
    <cellStyle name="_업무보고8월" xfId="4935"/>
    <cellStyle name="_역사5개년" xfId="4936"/>
    <cellStyle name="_역사5개년 10" xfId="4937"/>
    <cellStyle name="_역사5개년 11" xfId="4938"/>
    <cellStyle name="_역사5개년 12" xfId="4939"/>
    <cellStyle name="_역사5개년 13" xfId="4940"/>
    <cellStyle name="_역사5개년 14" xfId="4941"/>
    <cellStyle name="_역사5개년 15" xfId="4942"/>
    <cellStyle name="_역사5개년 16" xfId="4943"/>
    <cellStyle name="_역사5개년 17" xfId="4944"/>
    <cellStyle name="_역사5개년 18" xfId="4945"/>
    <cellStyle name="_역사5개년 19" xfId="4946"/>
    <cellStyle name="_역사5개년 2" xfId="4947"/>
    <cellStyle name="_역사5개년 20" xfId="4948"/>
    <cellStyle name="_역사5개년 21" xfId="4949"/>
    <cellStyle name="_역사5개년 22" xfId="4950"/>
    <cellStyle name="_역사5개년 23" xfId="4951"/>
    <cellStyle name="_역사5개년 24" xfId="4952"/>
    <cellStyle name="_역사5개년 25" xfId="4953"/>
    <cellStyle name="_역사5개년 26" xfId="4954"/>
    <cellStyle name="_역사5개년 27" xfId="4955"/>
    <cellStyle name="_역사5개년 28" xfId="4956"/>
    <cellStyle name="_역사5개년 29" xfId="4957"/>
    <cellStyle name="_역사5개년 3" xfId="4958"/>
    <cellStyle name="_역사5개년 30" xfId="4959"/>
    <cellStyle name="_역사5개년 31" xfId="4960"/>
    <cellStyle name="_역사5개년 32" xfId="4961"/>
    <cellStyle name="_역사5개년 33" xfId="4962"/>
    <cellStyle name="_역사5개년 34" xfId="4963"/>
    <cellStyle name="_역사5개년 35" xfId="4964"/>
    <cellStyle name="_역사5개년 36" xfId="4965"/>
    <cellStyle name="_역사5개년 37" xfId="4966"/>
    <cellStyle name="_역사5개년 38" xfId="4967"/>
    <cellStyle name="_역사5개년 39" xfId="4968"/>
    <cellStyle name="_역사5개년 4" xfId="4969"/>
    <cellStyle name="_역사5개년 40" xfId="4970"/>
    <cellStyle name="_역사5개년 41" xfId="4971"/>
    <cellStyle name="_역사5개년 42" xfId="4972"/>
    <cellStyle name="_역사5개년 43" xfId="4973"/>
    <cellStyle name="_역사5개년 44" xfId="4974"/>
    <cellStyle name="_역사5개년 45" xfId="4975"/>
    <cellStyle name="_역사5개년 46" xfId="4976"/>
    <cellStyle name="_역사5개년 47" xfId="4977"/>
    <cellStyle name="_역사5개년 48" xfId="4978"/>
    <cellStyle name="_역사5개년 49" xfId="4979"/>
    <cellStyle name="_역사5개년 5" xfId="4980"/>
    <cellStyle name="_역사5개년 50" xfId="4981"/>
    <cellStyle name="_역사5개년 51" xfId="4982"/>
    <cellStyle name="_역사5개년 52" xfId="4983"/>
    <cellStyle name="_역사5개년 53" xfId="4984"/>
    <cellStyle name="_역사5개년 54" xfId="4985"/>
    <cellStyle name="_역사5개년 55" xfId="4986"/>
    <cellStyle name="_역사5개년 56" xfId="4987"/>
    <cellStyle name="_역사5개년 57" xfId="4988"/>
    <cellStyle name="_역사5개년 58" xfId="4989"/>
    <cellStyle name="_역사5개년 59" xfId="4990"/>
    <cellStyle name="_역사5개년 6" xfId="4991"/>
    <cellStyle name="_역사5개년 60" xfId="4992"/>
    <cellStyle name="_역사5개년 61" xfId="4993"/>
    <cellStyle name="_역사5개년 62" xfId="4994"/>
    <cellStyle name="_역사5개년 63" xfId="4995"/>
    <cellStyle name="_역사5개년 7" xfId="4996"/>
    <cellStyle name="_역사5개년 8" xfId="4997"/>
    <cellStyle name="_역사5개년 9" xfId="4998"/>
    <cellStyle name="_울산점활성화협조전3(상품총괄용)" xfId="4999"/>
    <cellStyle name="_월례매출_1_상반기_11월당월 (2)_1월" xfId="5000"/>
    <cellStyle name="_위드 전성호" xfId="5001"/>
    <cellStyle name="_위험조정할인율법(9월)" xfId="5002"/>
    <cellStyle name="_유가증권조서" xfId="5003"/>
    <cellStyle name="_의사록" xfId="5004"/>
    <cellStyle name="_잇츠티비정산표_02기말_ldh" xfId="5005"/>
    <cellStyle name="_재무재표-부속명세서-050211" xfId="5006"/>
    <cellStyle name="_재무제표(현금흐름표)" xfId="5007"/>
    <cellStyle name="_재무제표(현금흐름표) 10" xfId="5008"/>
    <cellStyle name="_재무제표(현금흐름표) 11" xfId="5009"/>
    <cellStyle name="_재무제표(현금흐름표) 12" xfId="5010"/>
    <cellStyle name="_재무제표(현금흐름표) 13" xfId="5011"/>
    <cellStyle name="_재무제표(현금흐름표) 14" xfId="5012"/>
    <cellStyle name="_재무제표(현금흐름표) 15" xfId="5013"/>
    <cellStyle name="_재무제표(현금흐름표) 16" xfId="5014"/>
    <cellStyle name="_재무제표(현금흐름표) 17" xfId="5015"/>
    <cellStyle name="_재무제표(현금흐름표) 18" xfId="5016"/>
    <cellStyle name="_재무제표(현금흐름표) 19" xfId="5017"/>
    <cellStyle name="_재무제표(현금흐름표) 2" xfId="5018"/>
    <cellStyle name="_재무제표(현금흐름표) 20" xfId="5019"/>
    <cellStyle name="_재무제표(현금흐름표) 21" xfId="5020"/>
    <cellStyle name="_재무제표(현금흐름표) 22" xfId="5021"/>
    <cellStyle name="_재무제표(현금흐름표) 23" xfId="5022"/>
    <cellStyle name="_재무제표(현금흐름표) 24" xfId="5023"/>
    <cellStyle name="_재무제표(현금흐름표) 25" xfId="5024"/>
    <cellStyle name="_재무제표(현금흐름표) 26" xfId="5025"/>
    <cellStyle name="_재무제표(현금흐름표) 27" xfId="5026"/>
    <cellStyle name="_재무제표(현금흐름표) 28" xfId="5027"/>
    <cellStyle name="_재무제표(현금흐름표) 29" xfId="5028"/>
    <cellStyle name="_재무제표(현금흐름표) 3" xfId="5029"/>
    <cellStyle name="_재무제표(현금흐름표) 30" xfId="5030"/>
    <cellStyle name="_재무제표(현금흐름표) 31" xfId="5031"/>
    <cellStyle name="_재무제표(현금흐름표) 32" xfId="5032"/>
    <cellStyle name="_재무제표(현금흐름표) 33" xfId="5033"/>
    <cellStyle name="_재무제표(현금흐름표) 34" xfId="5034"/>
    <cellStyle name="_재무제표(현금흐름표) 35" xfId="5035"/>
    <cellStyle name="_재무제표(현금흐름표) 36" xfId="5036"/>
    <cellStyle name="_재무제표(현금흐름표) 37" xfId="5037"/>
    <cellStyle name="_재무제표(현금흐름표) 38" xfId="5038"/>
    <cellStyle name="_재무제표(현금흐름표) 39" xfId="5039"/>
    <cellStyle name="_재무제표(현금흐름표) 4" xfId="5040"/>
    <cellStyle name="_재무제표(현금흐름표) 40" xfId="5041"/>
    <cellStyle name="_재무제표(현금흐름표) 41" xfId="5042"/>
    <cellStyle name="_재무제표(현금흐름표) 42" xfId="5043"/>
    <cellStyle name="_재무제표(현금흐름표) 43" xfId="5044"/>
    <cellStyle name="_재무제표(현금흐름표) 44" xfId="5045"/>
    <cellStyle name="_재무제표(현금흐름표) 45" xfId="5046"/>
    <cellStyle name="_재무제표(현금흐름표) 46" xfId="5047"/>
    <cellStyle name="_재무제표(현금흐름표) 47" xfId="5048"/>
    <cellStyle name="_재무제표(현금흐름표) 48" xfId="5049"/>
    <cellStyle name="_재무제표(현금흐름표) 49" xfId="5050"/>
    <cellStyle name="_재무제표(현금흐름표) 5" xfId="5051"/>
    <cellStyle name="_재무제표(현금흐름표) 50" xfId="5052"/>
    <cellStyle name="_재무제표(현금흐름표) 51" xfId="5053"/>
    <cellStyle name="_재무제표(현금흐름표) 52" xfId="5054"/>
    <cellStyle name="_재무제표(현금흐름표) 53" xfId="5055"/>
    <cellStyle name="_재무제표(현금흐름표) 54" xfId="5056"/>
    <cellStyle name="_재무제표(현금흐름표) 55" xfId="5057"/>
    <cellStyle name="_재무제표(현금흐름표) 56" xfId="5058"/>
    <cellStyle name="_재무제표(현금흐름표) 57" xfId="5059"/>
    <cellStyle name="_재무제표(현금흐름표) 58" xfId="5060"/>
    <cellStyle name="_재무제표(현금흐름표) 59" xfId="5061"/>
    <cellStyle name="_재무제표(현금흐름표) 6" xfId="5062"/>
    <cellStyle name="_재무제표(현금흐름표) 60" xfId="5063"/>
    <cellStyle name="_재무제표(현금흐름표) 61" xfId="5064"/>
    <cellStyle name="_재무제표(현금흐름표) 62" xfId="5065"/>
    <cellStyle name="_재무제표(현금흐름표) 63" xfId="5066"/>
    <cellStyle name="_재무제표(현금흐름표) 7" xfId="5067"/>
    <cellStyle name="_재무제표(현금흐름표) 8" xfId="5068"/>
    <cellStyle name="_재무제표(현금흐름표) 9" xfId="5069"/>
    <cellStyle name="_재무제표(현금흐름표)_2002FS_FINAL" xfId="5070"/>
    <cellStyle name="_재무제표(현금흐름표)_2002FS_FINAL 10" xfId="5071"/>
    <cellStyle name="_재무제표(현금흐름표)_2002FS_FINAL 11" xfId="5072"/>
    <cellStyle name="_재무제표(현금흐름표)_2002FS_FINAL 12" xfId="5073"/>
    <cellStyle name="_재무제표(현금흐름표)_2002FS_FINAL 13" xfId="5074"/>
    <cellStyle name="_재무제표(현금흐름표)_2002FS_FINAL 14" xfId="5075"/>
    <cellStyle name="_재무제표(현금흐름표)_2002FS_FINAL 15" xfId="5076"/>
    <cellStyle name="_재무제표(현금흐름표)_2002FS_FINAL 16" xfId="5077"/>
    <cellStyle name="_재무제표(현금흐름표)_2002FS_FINAL 17" xfId="5078"/>
    <cellStyle name="_재무제표(현금흐름표)_2002FS_FINAL 18" xfId="5079"/>
    <cellStyle name="_재무제표(현금흐름표)_2002FS_FINAL 19" xfId="5080"/>
    <cellStyle name="_재무제표(현금흐름표)_2002FS_FINAL 2" xfId="5081"/>
    <cellStyle name="_재무제표(현금흐름표)_2002FS_FINAL 20" xfId="5082"/>
    <cellStyle name="_재무제표(현금흐름표)_2002FS_FINAL 21" xfId="5083"/>
    <cellStyle name="_재무제표(현금흐름표)_2002FS_FINAL 22" xfId="5084"/>
    <cellStyle name="_재무제표(현금흐름표)_2002FS_FINAL 23" xfId="5085"/>
    <cellStyle name="_재무제표(현금흐름표)_2002FS_FINAL 24" xfId="5086"/>
    <cellStyle name="_재무제표(현금흐름표)_2002FS_FINAL 25" xfId="5087"/>
    <cellStyle name="_재무제표(현금흐름표)_2002FS_FINAL 26" xfId="5088"/>
    <cellStyle name="_재무제표(현금흐름표)_2002FS_FINAL 27" xfId="5089"/>
    <cellStyle name="_재무제표(현금흐름표)_2002FS_FINAL 28" xfId="5090"/>
    <cellStyle name="_재무제표(현금흐름표)_2002FS_FINAL 29" xfId="5091"/>
    <cellStyle name="_재무제표(현금흐름표)_2002FS_FINAL 3" xfId="5092"/>
    <cellStyle name="_재무제표(현금흐름표)_2002FS_FINAL 30" xfId="5093"/>
    <cellStyle name="_재무제표(현금흐름표)_2002FS_FINAL 31" xfId="5094"/>
    <cellStyle name="_재무제표(현금흐름표)_2002FS_FINAL 32" xfId="5095"/>
    <cellStyle name="_재무제표(현금흐름표)_2002FS_FINAL 33" xfId="5096"/>
    <cellStyle name="_재무제표(현금흐름표)_2002FS_FINAL 34" xfId="5097"/>
    <cellStyle name="_재무제표(현금흐름표)_2002FS_FINAL 35" xfId="5098"/>
    <cellStyle name="_재무제표(현금흐름표)_2002FS_FINAL 36" xfId="5099"/>
    <cellStyle name="_재무제표(현금흐름표)_2002FS_FINAL 37" xfId="5100"/>
    <cellStyle name="_재무제표(현금흐름표)_2002FS_FINAL 38" xfId="5101"/>
    <cellStyle name="_재무제표(현금흐름표)_2002FS_FINAL 39" xfId="5102"/>
    <cellStyle name="_재무제표(현금흐름표)_2002FS_FINAL 4" xfId="5103"/>
    <cellStyle name="_재무제표(현금흐름표)_2002FS_FINAL 40" xfId="5104"/>
    <cellStyle name="_재무제표(현금흐름표)_2002FS_FINAL 41" xfId="5105"/>
    <cellStyle name="_재무제표(현금흐름표)_2002FS_FINAL 42" xfId="5106"/>
    <cellStyle name="_재무제표(현금흐름표)_2002FS_FINAL 43" xfId="5107"/>
    <cellStyle name="_재무제표(현금흐름표)_2002FS_FINAL 44" xfId="5108"/>
    <cellStyle name="_재무제표(현금흐름표)_2002FS_FINAL 45" xfId="5109"/>
    <cellStyle name="_재무제표(현금흐름표)_2002FS_FINAL 46" xfId="5110"/>
    <cellStyle name="_재무제표(현금흐름표)_2002FS_FINAL 47" xfId="5111"/>
    <cellStyle name="_재무제표(현금흐름표)_2002FS_FINAL 48" xfId="5112"/>
    <cellStyle name="_재무제표(현금흐름표)_2002FS_FINAL 49" xfId="5113"/>
    <cellStyle name="_재무제표(현금흐름표)_2002FS_FINAL 5" xfId="5114"/>
    <cellStyle name="_재무제표(현금흐름표)_2002FS_FINAL 50" xfId="5115"/>
    <cellStyle name="_재무제표(현금흐름표)_2002FS_FINAL 51" xfId="5116"/>
    <cellStyle name="_재무제표(현금흐름표)_2002FS_FINAL 52" xfId="5117"/>
    <cellStyle name="_재무제표(현금흐름표)_2002FS_FINAL 53" xfId="5118"/>
    <cellStyle name="_재무제표(현금흐름표)_2002FS_FINAL 54" xfId="5119"/>
    <cellStyle name="_재무제표(현금흐름표)_2002FS_FINAL 55" xfId="5120"/>
    <cellStyle name="_재무제표(현금흐름표)_2002FS_FINAL 56" xfId="5121"/>
    <cellStyle name="_재무제표(현금흐름표)_2002FS_FINAL 57" xfId="5122"/>
    <cellStyle name="_재무제표(현금흐름표)_2002FS_FINAL 58" xfId="5123"/>
    <cellStyle name="_재무제표(현금흐름표)_2002FS_FINAL 59" xfId="5124"/>
    <cellStyle name="_재무제표(현금흐름표)_2002FS_FINAL 6" xfId="5125"/>
    <cellStyle name="_재무제표(현금흐름표)_2002FS_FINAL 60" xfId="5126"/>
    <cellStyle name="_재무제표(현금흐름표)_2002FS_FINAL 61" xfId="5127"/>
    <cellStyle name="_재무제표(현금흐름표)_2002FS_FINAL 62" xfId="5128"/>
    <cellStyle name="_재무제표(현금흐름표)_2002FS_FINAL 63" xfId="5129"/>
    <cellStyle name="_재무제표(현금흐름표)_2002FS_FINAL 7" xfId="5130"/>
    <cellStyle name="_재무제표(현금흐름표)_2002FS_FINAL 8" xfId="5131"/>
    <cellStyle name="_재무제표(현금흐름표)_2002FS_FINAL 9" xfId="5132"/>
    <cellStyle name="_재무제표(현금흐름표)_승구리- 코바이오SCF2003" xfId="5133"/>
    <cellStyle name="_재무제표(현금흐름표)_승구리- 코바이오SCF2003 10" xfId="5134"/>
    <cellStyle name="_재무제표(현금흐름표)_승구리- 코바이오SCF2003 11" xfId="5135"/>
    <cellStyle name="_재무제표(현금흐름표)_승구리- 코바이오SCF2003 12" xfId="5136"/>
    <cellStyle name="_재무제표(현금흐름표)_승구리- 코바이오SCF2003 13" xfId="5137"/>
    <cellStyle name="_재무제표(현금흐름표)_승구리- 코바이오SCF2003 14" xfId="5138"/>
    <cellStyle name="_재무제표(현금흐름표)_승구리- 코바이오SCF2003 15" xfId="5139"/>
    <cellStyle name="_재무제표(현금흐름표)_승구리- 코바이오SCF2003 16" xfId="5140"/>
    <cellStyle name="_재무제표(현금흐름표)_승구리- 코바이오SCF2003 17" xfId="5141"/>
    <cellStyle name="_재무제표(현금흐름표)_승구리- 코바이오SCF2003 18" xfId="5142"/>
    <cellStyle name="_재무제표(현금흐름표)_승구리- 코바이오SCF2003 19" xfId="5143"/>
    <cellStyle name="_재무제표(현금흐름표)_승구리- 코바이오SCF2003 2" xfId="5144"/>
    <cellStyle name="_재무제표(현금흐름표)_승구리- 코바이오SCF2003 20" xfId="5145"/>
    <cellStyle name="_재무제표(현금흐름표)_승구리- 코바이오SCF2003 21" xfId="5146"/>
    <cellStyle name="_재무제표(현금흐름표)_승구리- 코바이오SCF2003 22" xfId="5147"/>
    <cellStyle name="_재무제표(현금흐름표)_승구리- 코바이오SCF2003 23" xfId="5148"/>
    <cellStyle name="_재무제표(현금흐름표)_승구리- 코바이오SCF2003 24" xfId="5149"/>
    <cellStyle name="_재무제표(현금흐름표)_승구리- 코바이오SCF2003 25" xfId="5150"/>
    <cellStyle name="_재무제표(현금흐름표)_승구리- 코바이오SCF2003 26" xfId="5151"/>
    <cellStyle name="_재무제표(현금흐름표)_승구리- 코바이오SCF2003 27" xfId="5152"/>
    <cellStyle name="_재무제표(현금흐름표)_승구리- 코바이오SCF2003 28" xfId="5153"/>
    <cellStyle name="_재무제표(현금흐름표)_승구리- 코바이오SCF2003 29" xfId="5154"/>
    <cellStyle name="_재무제표(현금흐름표)_승구리- 코바이오SCF2003 3" xfId="5155"/>
    <cellStyle name="_재무제표(현금흐름표)_승구리- 코바이오SCF2003 30" xfId="5156"/>
    <cellStyle name="_재무제표(현금흐름표)_승구리- 코바이오SCF2003 31" xfId="5157"/>
    <cellStyle name="_재무제표(현금흐름표)_승구리- 코바이오SCF2003 32" xfId="5158"/>
    <cellStyle name="_재무제표(현금흐름표)_승구리- 코바이오SCF2003 33" xfId="5159"/>
    <cellStyle name="_재무제표(현금흐름표)_승구리- 코바이오SCF2003 34" xfId="5160"/>
    <cellStyle name="_재무제표(현금흐름표)_승구리- 코바이오SCF2003 35" xfId="5161"/>
    <cellStyle name="_재무제표(현금흐름표)_승구리- 코바이오SCF2003 36" xfId="5162"/>
    <cellStyle name="_재무제표(현금흐름표)_승구리- 코바이오SCF2003 37" xfId="5163"/>
    <cellStyle name="_재무제표(현금흐름표)_승구리- 코바이오SCF2003 38" xfId="5164"/>
    <cellStyle name="_재무제표(현금흐름표)_승구리- 코바이오SCF2003 39" xfId="5165"/>
    <cellStyle name="_재무제표(현금흐름표)_승구리- 코바이오SCF2003 4" xfId="5166"/>
    <cellStyle name="_재무제표(현금흐름표)_승구리- 코바이오SCF2003 40" xfId="5167"/>
    <cellStyle name="_재무제표(현금흐름표)_승구리- 코바이오SCF2003 41" xfId="5168"/>
    <cellStyle name="_재무제표(현금흐름표)_승구리- 코바이오SCF2003 42" xfId="5169"/>
    <cellStyle name="_재무제표(현금흐름표)_승구리- 코바이오SCF2003 43" xfId="5170"/>
    <cellStyle name="_재무제표(현금흐름표)_승구리- 코바이오SCF2003 44" xfId="5171"/>
    <cellStyle name="_재무제표(현금흐름표)_승구리- 코바이오SCF2003 45" xfId="5172"/>
    <cellStyle name="_재무제표(현금흐름표)_승구리- 코바이오SCF2003 46" xfId="5173"/>
    <cellStyle name="_재무제표(현금흐름표)_승구리- 코바이오SCF2003 47" xfId="5174"/>
    <cellStyle name="_재무제표(현금흐름표)_승구리- 코바이오SCF2003 48" xfId="5175"/>
    <cellStyle name="_재무제표(현금흐름표)_승구리- 코바이오SCF2003 49" xfId="5176"/>
    <cellStyle name="_재무제표(현금흐름표)_승구리- 코바이오SCF2003 5" xfId="5177"/>
    <cellStyle name="_재무제표(현금흐름표)_승구리- 코바이오SCF2003 50" xfId="5178"/>
    <cellStyle name="_재무제표(현금흐름표)_승구리- 코바이오SCF2003 51" xfId="5179"/>
    <cellStyle name="_재무제표(현금흐름표)_승구리- 코바이오SCF2003 52" xfId="5180"/>
    <cellStyle name="_재무제표(현금흐름표)_승구리- 코바이오SCF2003 53" xfId="5181"/>
    <cellStyle name="_재무제표(현금흐름표)_승구리- 코바이오SCF2003 54" xfId="5182"/>
    <cellStyle name="_재무제표(현금흐름표)_승구리- 코바이오SCF2003 55" xfId="5183"/>
    <cellStyle name="_재무제표(현금흐름표)_승구리- 코바이오SCF2003 56" xfId="5184"/>
    <cellStyle name="_재무제표(현금흐름표)_승구리- 코바이오SCF2003 57" xfId="5185"/>
    <cellStyle name="_재무제표(현금흐름표)_승구리- 코바이오SCF2003 58" xfId="5186"/>
    <cellStyle name="_재무제표(현금흐름표)_승구리- 코바이오SCF2003 59" xfId="5187"/>
    <cellStyle name="_재무제표(현금흐름표)_승구리- 코바이오SCF2003 6" xfId="5188"/>
    <cellStyle name="_재무제표(현금흐름표)_승구리- 코바이오SCF2003 60" xfId="5189"/>
    <cellStyle name="_재무제표(현금흐름표)_승구리- 코바이오SCF2003 61" xfId="5190"/>
    <cellStyle name="_재무제표(현금흐름표)_승구리- 코바이오SCF2003 62" xfId="5191"/>
    <cellStyle name="_재무제표(현금흐름표)_승구리- 코바이오SCF2003 63" xfId="5192"/>
    <cellStyle name="_재무제표(현금흐름표)_승구리- 코바이오SCF2003 7" xfId="5193"/>
    <cellStyle name="_재무제표(현금흐름표)_승구리- 코바이오SCF2003 8" xfId="5194"/>
    <cellStyle name="_재무제표(현금흐름표)_승구리- 코바이오SCF2003 9" xfId="5195"/>
    <cellStyle name="_재무제표-4Q-050204" xfId="5196"/>
    <cellStyle name="_재무제표-4Q-050204 10" xfId="5197"/>
    <cellStyle name="_재무제표-4Q-050204 11" xfId="5198"/>
    <cellStyle name="_재무제표-4Q-050204 12" xfId="5199"/>
    <cellStyle name="_재무제표-4Q-050204 13" xfId="5200"/>
    <cellStyle name="_재무제표-4Q-050204 14" xfId="5201"/>
    <cellStyle name="_재무제표-4Q-050204 15" xfId="5202"/>
    <cellStyle name="_재무제표-4Q-050204 16" xfId="5203"/>
    <cellStyle name="_재무제표-4Q-050204 17" xfId="5204"/>
    <cellStyle name="_재무제표-4Q-050204 18" xfId="5205"/>
    <cellStyle name="_재무제표-4Q-050204 19" xfId="5206"/>
    <cellStyle name="_재무제표-4Q-050204 2" xfId="5207"/>
    <cellStyle name="_재무제표-4Q-050204 20" xfId="5208"/>
    <cellStyle name="_재무제표-4Q-050204 21" xfId="5209"/>
    <cellStyle name="_재무제표-4Q-050204 22" xfId="5210"/>
    <cellStyle name="_재무제표-4Q-050204 23" xfId="5211"/>
    <cellStyle name="_재무제표-4Q-050204 24" xfId="5212"/>
    <cellStyle name="_재무제표-4Q-050204 25" xfId="5213"/>
    <cellStyle name="_재무제표-4Q-050204 26" xfId="5214"/>
    <cellStyle name="_재무제표-4Q-050204 27" xfId="5215"/>
    <cellStyle name="_재무제표-4Q-050204 28" xfId="5216"/>
    <cellStyle name="_재무제표-4Q-050204 29" xfId="5217"/>
    <cellStyle name="_재무제표-4Q-050204 3" xfId="5218"/>
    <cellStyle name="_재무제표-4Q-050204 30" xfId="5219"/>
    <cellStyle name="_재무제표-4Q-050204 31" xfId="5220"/>
    <cellStyle name="_재무제표-4Q-050204 32" xfId="5221"/>
    <cellStyle name="_재무제표-4Q-050204 33" xfId="5222"/>
    <cellStyle name="_재무제표-4Q-050204 34" xfId="5223"/>
    <cellStyle name="_재무제표-4Q-050204 35" xfId="5224"/>
    <cellStyle name="_재무제표-4Q-050204 36" xfId="5225"/>
    <cellStyle name="_재무제표-4Q-050204 37" xfId="5226"/>
    <cellStyle name="_재무제표-4Q-050204 38" xfId="5227"/>
    <cellStyle name="_재무제표-4Q-050204 39" xfId="5228"/>
    <cellStyle name="_재무제표-4Q-050204 4" xfId="5229"/>
    <cellStyle name="_재무제표-4Q-050204 40" xfId="5230"/>
    <cellStyle name="_재무제표-4Q-050204 41" xfId="5231"/>
    <cellStyle name="_재무제표-4Q-050204 42" xfId="5232"/>
    <cellStyle name="_재무제표-4Q-050204 43" xfId="5233"/>
    <cellStyle name="_재무제표-4Q-050204 44" xfId="5234"/>
    <cellStyle name="_재무제표-4Q-050204 45" xfId="5235"/>
    <cellStyle name="_재무제표-4Q-050204 46" xfId="5236"/>
    <cellStyle name="_재무제표-4Q-050204 47" xfId="5237"/>
    <cellStyle name="_재무제표-4Q-050204 48" xfId="5238"/>
    <cellStyle name="_재무제표-4Q-050204 49" xfId="5239"/>
    <cellStyle name="_재무제표-4Q-050204 5" xfId="5240"/>
    <cellStyle name="_재무제표-4Q-050204 50" xfId="5241"/>
    <cellStyle name="_재무제표-4Q-050204 51" xfId="5242"/>
    <cellStyle name="_재무제표-4Q-050204 52" xfId="5243"/>
    <cellStyle name="_재무제표-4Q-050204 53" xfId="5244"/>
    <cellStyle name="_재무제표-4Q-050204 54" xfId="5245"/>
    <cellStyle name="_재무제표-4Q-050204 55" xfId="5246"/>
    <cellStyle name="_재무제표-4Q-050204 56" xfId="5247"/>
    <cellStyle name="_재무제표-4Q-050204 57" xfId="5248"/>
    <cellStyle name="_재무제표-4Q-050204 58" xfId="5249"/>
    <cellStyle name="_재무제표-4Q-050204 59" xfId="5250"/>
    <cellStyle name="_재무제표-4Q-050204 6" xfId="5251"/>
    <cellStyle name="_재무제표-4Q-050204 60" xfId="5252"/>
    <cellStyle name="_재무제표-4Q-050204 61" xfId="5253"/>
    <cellStyle name="_재무제표-4Q-050204 62" xfId="5254"/>
    <cellStyle name="_재무제표-4Q-050204 63" xfId="5255"/>
    <cellStyle name="_재무제표-4Q-050204 7" xfId="5256"/>
    <cellStyle name="_재무제표-4Q-050204 8" xfId="5257"/>
    <cellStyle name="_재무제표-4Q-050204 9" xfId="5258"/>
    <cellStyle name="_재무제표-4Q-감사확정(최종분)" xfId="5259"/>
    <cellStyle name="_재무제표-4Q-감사확정(최종분) 10" xfId="5260"/>
    <cellStyle name="_재무제표-4Q-감사확정(최종분) 11" xfId="5261"/>
    <cellStyle name="_재무제표-4Q-감사확정(최종분) 12" xfId="5262"/>
    <cellStyle name="_재무제표-4Q-감사확정(최종분) 13" xfId="5263"/>
    <cellStyle name="_재무제표-4Q-감사확정(최종분) 14" xfId="5264"/>
    <cellStyle name="_재무제표-4Q-감사확정(최종분) 15" xfId="5265"/>
    <cellStyle name="_재무제표-4Q-감사확정(최종분) 16" xfId="5266"/>
    <cellStyle name="_재무제표-4Q-감사확정(최종분) 17" xfId="5267"/>
    <cellStyle name="_재무제표-4Q-감사확정(최종분) 18" xfId="5268"/>
    <cellStyle name="_재무제표-4Q-감사확정(최종분) 19" xfId="5269"/>
    <cellStyle name="_재무제표-4Q-감사확정(최종분) 2" xfId="5270"/>
    <cellStyle name="_재무제표-4Q-감사확정(최종분) 20" xfId="5271"/>
    <cellStyle name="_재무제표-4Q-감사확정(최종분) 21" xfId="5272"/>
    <cellStyle name="_재무제표-4Q-감사확정(최종분) 22" xfId="5273"/>
    <cellStyle name="_재무제표-4Q-감사확정(최종분) 23" xfId="5274"/>
    <cellStyle name="_재무제표-4Q-감사확정(최종분) 24" xfId="5275"/>
    <cellStyle name="_재무제표-4Q-감사확정(최종분) 25" xfId="5276"/>
    <cellStyle name="_재무제표-4Q-감사확정(최종분) 26" xfId="5277"/>
    <cellStyle name="_재무제표-4Q-감사확정(최종분) 27" xfId="5278"/>
    <cellStyle name="_재무제표-4Q-감사확정(최종분) 28" xfId="5279"/>
    <cellStyle name="_재무제표-4Q-감사확정(최종분) 29" xfId="5280"/>
    <cellStyle name="_재무제표-4Q-감사확정(최종분) 3" xfId="5281"/>
    <cellStyle name="_재무제표-4Q-감사확정(최종분) 30" xfId="5282"/>
    <cellStyle name="_재무제표-4Q-감사확정(최종분) 31" xfId="5283"/>
    <cellStyle name="_재무제표-4Q-감사확정(최종분) 32" xfId="5284"/>
    <cellStyle name="_재무제표-4Q-감사확정(최종분) 33" xfId="5285"/>
    <cellStyle name="_재무제표-4Q-감사확정(최종분) 34" xfId="5286"/>
    <cellStyle name="_재무제표-4Q-감사확정(최종분) 35" xfId="5287"/>
    <cellStyle name="_재무제표-4Q-감사확정(최종분) 36" xfId="5288"/>
    <cellStyle name="_재무제표-4Q-감사확정(최종분) 37" xfId="5289"/>
    <cellStyle name="_재무제표-4Q-감사확정(최종분) 38" xfId="5290"/>
    <cellStyle name="_재무제표-4Q-감사확정(최종분) 39" xfId="5291"/>
    <cellStyle name="_재무제표-4Q-감사확정(최종분) 4" xfId="5292"/>
    <cellStyle name="_재무제표-4Q-감사확정(최종분) 40" xfId="5293"/>
    <cellStyle name="_재무제표-4Q-감사확정(최종분) 41" xfId="5294"/>
    <cellStyle name="_재무제표-4Q-감사확정(최종분) 42" xfId="5295"/>
    <cellStyle name="_재무제표-4Q-감사확정(최종분) 43" xfId="5296"/>
    <cellStyle name="_재무제표-4Q-감사확정(최종분) 44" xfId="5297"/>
    <cellStyle name="_재무제표-4Q-감사확정(최종분) 45" xfId="5298"/>
    <cellStyle name="_재무제표-4Q-감사확정(최종분) 46" xfId="5299"/>
    <cellStyle name="_재무제표-4Q-감사확정(최종분) 47" xfId="5300"/>
    <cellStyle name="_재무제표-4Q-감사확정(최종분) 48" xfId="5301"/>
    <cellStyle name="_재무제표-4Q-감사확정(최종분) 49" xfId="5302"/>
    <cellStyle name="_재무제표-4Q-감사확정(최종분) 5" xfId="5303"/>
    <cellStyle name="_재무제표-4Q-감사확정(최종분) 50" xfId="5304"/>
    <cellStyle name="_재무제표-4Q-감사확정(최종분) 51" xfId="5305"/>
    <cellStyle name="_재무제표-4Q-감사확정(최종분) 52" xfId="5306"/>
    <cellStyle name="_재무제표-4Q-감사확정(최종분) 53" xfId="5307"/>
    <cellStyle name="_재무제표-4Q-감사확정(최종분) 54" xfId="5308"/>
    <cellStyle name="_재무제표-4Q-감사확정(최종분) 55" xfId="5309"/>
    <cellStyle name="_재무제표-4Q-감사확정(최종분) 56" xfId="5310"/>
    <cellStyle name="_재무제표-4Q-감사확정(최종분) 57" xfId="5311"/>
    <cellStyle name="_재무제표-4Q-감사확정(최종분) 58" xfId="5312"/>
    <cellStyle name="_재무제표-4Q-감사확정(최종분) 59" xfId="5313"/>
    <cellStyle name="_재무제표-4Q-감사확정(최종분) 6" xfId="5314"/>
    <cellStyle name="_재무제표-4Q-감사확정(최종분) 60" xfId="5315"/>
    <cellStyle name="_재무제표-4Q-감사확정(최종분) 61" xfId="5316"/>
    <cellStyle name="_재무제표-4Q-감사확정(최종분) 62" xfId="5317"/>
    <cellStyle name="_재무제표-4Q-감사확정(최종분) 63" xfId="5318"/>
    <cellStyle name="_재무제표-4Q-감사확정(최종분) 7" xfId="5319"/>
    <cellStyle name="_재무제표-4Q-감사확정(최종분) 8" xfId="5320"/>
    <cellStyle name="_재무제표-4Q-감사확정(최종분) 9" xfId="5321"/>
    <cellStyle name="_정산표 및 수정분개" xfId="5322"/>
    <cellStyle name="_정산표 및 수정분개 10" xfId="5323"/>
    <cellStyle name="_정산표 및 수정분개 11" xfId="5324"/>
    <cellStyle name="_정산표 및 수정분개 12" xfId="5325"/>
    <cellStyle name="_정산표 및 수정분개 13" xfId="5326"/>
    <cellStyle name="_정산표 및 수정분개 14" xfId="5327"/>
    <cellStyle name="_정산표 및 수정분개 15" xfId="5328"/>
    <cellStyle name="_정산표 및 수정분개 16" xfId="5329"/>
    <cellStyle name="_정산표 및 수정분개 17" xfId="5330"/>
    <cellStyle name="_정산표 및 수정분개 18" xfId="5331"/>
    <cellStyle name="_정산표 및 수정분개 19" xfId="5332"/>
    <cellStyle name="_정산표 및 수정분개 2" xfId="5333"/>
    <cellStyle name="_정산표 및 수정분개 20" xfId="5334"/>
    <cellStyle name="_정산표 및 수정분개 21" xfId="5335"/>
    <cellStyle name="_정산표 및 수정분개 22" xfId="5336"/>
    <cellStyle name="_정산표 및 수정분개 23" xfId="5337"/>
    <cellStyle name="_정산표 및 수정분개 24" xfId="5338"/>
    <cellStyle name="_정산표 및 수정분개 25" xfId="5339"/>
    <cellStyle name="_정산표 및 수정분개 26" xfId="5340"/>
    <cellStyle name="_정산표 및 수정분개 27" xfId="5341"/>
    <cellStyle name="_정산표 및 수정분개 28" xfId="5342"/>
    <cellStyle name="_정산표 및 수정분개 29" xfId="5343"/>
    <cellStyle name="_정산표 및 수정분개 3" xfId="5344"/>
    <cellStyle name="_정산표 및 수정분개 30" xfId="5345"/>
    <cellStyle name="_정산표 및 수정분개 31" xfId="5346"/>
    <cellStyle name="_정산표 및 수정분개 32" xfId="5347"/>
    <cellStyle name="_정산표 및 수정분개 33" xfId="5348"/>
    <cellStyle name="_정산표 및 수정분개 34" xfId="5349"/>
    <cellStyle name="_정산표 및 수정분개 35" xfId="5350"/>
    <cellStyle name="_정산표 및 수정분개 36" xfId="5351"/>
    <cellStyle name="_정산표 및 수정분개 37" xfId="5352"/>
    <cellStyle name="_정산표 및 수정분개 38" xfId="5353"/>
    <cellStyle name="_정산표 및 수정분개 39" xfId="5354"/>
    <cellStyle name="_정산표 및 수정분개 4" xfId="5355"/>
    <cellStyle name="_정산표 및 수정분개 40" xfId="5356"/>
    <cellStyle name="_정산표 및 수정분개 41" xfId="5357"/>
    <cellStyle name="_정산표 및 수정분개 42" xfId="5358"/>
    <cellStyle name="_정산표 및 수정분개 43" xfId="5359"/>
    <cellStyle name="_정산표 및 수정분개 44" xfId="5360"/>
    <cellStyle name="_정산표 및 수정분개 45" xfId="5361"/>
    <cellStyle name="_정산표 및 수정분개 46" xfId="5362"/>
    <cellStyle name="_정산표 및 수정분개 47" xfId="5363"/>
    <cellStyle name="_정산표 및 수정분개 48" xfId="5364"/>
    <cellStyle name="_정산표 및 수정분개 49" xfId="5365"/>
    <cellStyle name="_정산표 및 수정분개 5" xfId="5366"/>
    <cellStyle name="_정산표 및 수정분개 50" xfId="5367"/>
    <cellStyle name="_정산표 및 수정분개 51" xfId="5368"/>
    <cellStyle name="_정산표 및 수정분개 52" xfId="5369"/>
    <cellStyle name="_정산표 및 수정분개 53" xfId="5370"/>
    <cellStyle name="_정산표 및 수정분개 54" xfId="5371"/>
    <cellStyle name="_정산표 및 수정분개 55" xfId="5372"/>
    <cellStyle name="_정산표 및 수정분개 56" xfId="5373"/>
    <cellStyle name="_정산표 및 수정분개 57" xfId="5374"/>
    <cellStyle name="_정산표 및 수정분개 58" xfId="5375"/>
    <cellStyle name="_정산표 및 수정분개 59" xfId="5376"/>
    <cellStyle name="_정산표 및 수정분개 6" xfId="5377"/>
    <cellStyle name="_정산표 및 수정분개 60" xfId="5378"/>
    <cellStyle name="_정산표 및 수정분개 61" xfId="5379"/>
    <cellStyle name="_정산표 및 수정분개 62" xfId="5380"/>
    <cellStyle name="_정산표 및 수정분개 63" xfId="5381"/>
    <cellStyle name="_정산표 및 수정분개 7" xfId="5382"/>
    <cellStyle name="_정산표 및 수정분개 8" xfId="5383"/>
    <cellStyle name="_정산표 및 수정분개 9" xfId="5384"/>
    <cellStyle name="_정산표 및 수정분개_04FS_KID산업" xfId="5385"/>
    <cellStyle name="_정산표 및 수정분개_04FS_KID산업 10" xfId="5386"/>
    <cellStyle name="_정산표 및 수정분개_04FS_KID산업 11" xfId="5387"/>
    <cellStyle name="_정산표 및 수정분개_04FS_KID산업 12" xfId="5388"/>
    <cellStyle name="_정산표 및 수정분개_04FS_KID산업 13" xfId="5389"/>
    <cellStyle name="_정산표 및 수정분개_04FS_KID산업 14" xfId="5390"/>
    <cellStyle name="_정산표 및 수정분개_04FS_KID산업 15" xfId="5391"/>
    <cellStyle name="_정산표 및 수정분개_04FS_KID산업 16" xfId="5392"/>
    <cellStyle name="_정산표 및 수정분개_04FS_KID산업 17" xfId="5393"/>
    <cellStyle name="_정산표 및 수정분개_04FS_KID산업 18" xfId="5394"/>
    <cellStyle name="_정산표 및 수정분개_04FS_KID산업 19" xfId="5395"/>
    <cellStyle name="_정산표 및 수정분개_04FS_KID산업 2" xfId="5396"/>
    <cellStyle name="_정산표 및 수정분개_04FS_KID산업 20" xfId="5397"/>
    <cellStyle name="_정산표 및 수정분개_04FS_KID산업 21" xfId="5398"/>
    <cellStyle name="_정산표 및 수정분개_04FS_KID산업 22" xfId="5399"/>
    <cellStyle name="_정산표 및 수정분개_04FS_KID산업 23" xfId="5400"/>
    <cellStyle name="_정산표 및 수정분개_04FS_KID산업 24" xfId="5401"/>
    <cellStyle name="_정산표 및 수정분개_04FS_KID산업 25" xfId="5402"/>
    <cellStyle name="_정산표 및 수정분개_04FS_KID산업 26" xfId="5403"/>
    <cellStyle name="_정산표 및 수정분개_04FS_KID산업 27" xfId="5404"/>
    <cellStyle name="_정산표 및 수정분개_04FS_KID산업 28" xfId="5405"/>
    <cellStyle name="_정산표 및 수정분개_04FS_KID산업 29" xfId="5406"/>
    <cellStyle name="_정산표 및 수정분개_04FS_KID산업 3" xfId="5407"/>
    <cellStyle name="_정산표 및 수정분개_04FS_KID산업 30" xfId="5408"/>
    <cellStyle name="_정산표 및 수정분개_04FS_KID산업 31" xfId="5409"/>
    <cellStyle name="_정산표 및 수정분개_04FS_KID산업 32" xfId="5410"/>
    <cellStyle name="_정산표 및 수정분개_04FS_KID산업 33" xfId="5411"/>
    <cellStyle name="_정산표 및 수정분개_04FS_KID산업 34" xfId="5412"/>
    <cellStyle name="_정산표 및 수정분개_04FS_KID산업 35" xfId="5413"/>
    <cellStyle name="_정산표 및 수정분개_04FS_KID산업 36" xfId="5414"/>
    <cellStyle name="_정산표 및 수정분개_04FS_KID산업 37" xfId="5415"/>
    <cellStyle name="_정산표 및 수정분개_04FS_KID산업 38" xfId="5416"/>
    <cellStyle name="_정산표 및 수정분개_04FS_KID산업 39" xfId="5417"/>
    <cellStyle name="_정산표 및 수정분개_04FS_KID산업 4" xfId="5418"/>
    <cellStyle name="_정산표 및 수정분개_04FS_KID산업 40" xfId="5419"/>
    <cellStyle name="_정산표 및 수정분개_04FS_KID산업 41" xfId="5420"/>
    <cellStyle name="_정산표 및 수정분개_04FS_KID산업 42" xfId="5421"/>
    <cellStyle name="_정산표 및 수정분개_04FS_KID산업 43" xfId="5422"/>
    <cellStyle name="_정산표 및 수정분개_04FS_KID산업 44" xfId="5423"/>
    <cellStyle name="_정산표 및 수정분개_04FS_KID산업 45" xfId="5424"/>
    <cellStyle name="_정산표 및 수정분개_04FS_KID산업 46" xfId="5425"/>
    <cellStyle name="_정산표 및 수정분개_04FS_KID산업 47" xfId="5426"/>
    <cellStyle name="_정산표 및 수정분개_04FS_KID산업 48" xfId="5427"/>
    <cellStyle name="_정산표 및 수정분개_04FS_KID산업 49" xfId="5428"/>
    <cellStyle name="_정산표 및 수정분개_04FS_KID산업 5" xfId="5429"/>
    <cellStyle name="_정산표 및 수정분개_04FS_KID산업 50" xfId="5430"/>
    <cellStyle name="_정산표 및 수정분개_04FS_KID산업 51" xfId="5431"/>
    <cellStyle name="_정산표 및 수정분개_04FS_KID산업 52" xfId="5432"/>
    <cellStyle name="_정산표 및 수정분개_04FS_KID산업 53" xfId="5433"/>
    <cellStyle name="_정산표 및 수정분개_04FS_KID산업 54" xfId="5434"/>
    <cellStyle name="_정산표 및 수정분개_04FS_KID산업 55" xfId="5435"/>
    <cellStyle name="_정산표 및 수정분개_04FS_KID산업 56" xfId="5436"/>
    <cellStyle name="_정산표 및 수정분개_04FS_KID산업 57" xfId="5437"/>
    <cellStyle name="_정산표 및 수정분개_04FS_KID산업 58" xfId="5438"/>
    <cellStyle name="_정산표 및 수정분개_04FS_KID산업 59" xfId="5439"/>
    <cellStyle name="_정산표 및 수정분개_04FS_KID산업 6" xfId="5440"/>
    <cellStyle name="_정산표 및 수정분개_04FS_KID산업 60" xfId="5441"/>
    <cellStyle name="_정산표 및 수정분개_04FS_KID산업 61" xfId="5442"/>
    <cellStyle name="_정산표 및 수정분개_04FS_KID산업 62" xfId="5443"/>
    <cellStyle name="_정산표 및 수정분개_04FS_KID산업 63" xfId="5444"/>
    <cellStyle name="_정산표 및 수정분개_04FS_KID산업 7" xfId="5445"/>
    <cellStyle name="_정산표 및 수정분개_04FS_KID산업 8" xfId="5446"/>
    <cellStyle name="_정산표 및 수정분개_04FS_KID산업 9" xfId="5447"/>
    <cellStyle name="_정산표 및 수정분개_2002FS_FINAL" xfId="5448"/>
    <cellStyle name="_정산표 및 수정분개_2002FS_FINAL 10" xfId="5449"/>
    <cellStyle name="_정산표 및 수정분개_2002FS_FINAL 11" xfId="5450"/>
    <cellStyle name="_정산표 및 수정분개_2002FS_FINAL 12" xfId="5451"/>
    <cellStyle name="_정산표 및 수정분개_2002FS_FINAL 13" xfId="5452"/>
    <cellStyle name="_정산표 및 수정분개_2002FS_FINAL 14" xfId="5453"/>
    <cellStyle name="_정산표 및 수정분개_2002FS_FINAL 15" xfId="5454"/>
    <cellStyle name="_정산표 및 수정분개_2002FS_FINAL 16" xfId="5455"/>
    <cellStyle name="_정산표 및 수정분개_2002FS_FINAL 17" xfId="5456"/>
    <cellStyle name="_정산표 및 수정분개_2002FS_FINAL 18" xfId="5457"/>
    <cellStyle name="_정산표 및 수정분개_2002FS_FINAL 19" xfId="5458"/>
    <cellStyle name="_정산표 및 수정분개_2002FS_FINAL 2" xfId="5459"/>
    <cellStyle name="_정산표 및 수정분개_2002FS_FINAL 20" xfId="5460"/>
    <cellStyle name="_정산표 및 수정분개_2002FS_FINAL 21" xfId="5461"/>
    <cellStyle name="_정산표 및 수정분개_2002FS_FINAL 22" xfId="5462"/>
    <cellStyle name="_정산표 및 수정분개_2002FS_FINAL 23" xfId="5463"/>
    <cellStyle name="_정산표 및 수정분개_2002FS_FINAL 24" xfId="5464"/>
    <cellStyle name="_정산표 및 수정분개_2002FS_FINAL 25" xfId="5465"/>
    <cellStyle name="_정산표 및 수정분개_2002FS_FINAL 26" xfId="5466"/>
    <cellStyle name="_정산표 및 수정분개_2002FS_FINAL 27" xfId="5467"/>
    <cellStyle name="_정산표 및 수정분개_2002FS_FINAL 28" xfId="5468"/>
    <cellStyle name="_정산표 및 수정분개_2002FS_FINAL 29" xfId="5469"/>
    <cellStyle name="_정산표 및 수정분개_2002FS_FINAL 3" xfId="5470"/>
    <cellStyle name="_정산표 및 수정분개_2002FS_FINAL 30" xfId="5471"/>
    <cellStyle name="_정산표 및 수정분개_2002FS_FINAL 31" xfId="5472"/>
    <cellStyle name="_정산표 및 수정분개_2002FS_FINAL 32" xfId="5473"/>
    <cellStyle name="_정산표 및 수정분개_2002FS_FINAL 33" xfId="5474"/>
    <cellStyle name="_정산표 및 수정분개_2002FS_FINAL 34" xfId="5475"/>
    <cellStyle name="_정산표 및 수정분개_2002FS_FINAL 35" xfId="5476"/>
    <cellStyle name="_정산표 및 수정분개_2002FS_FINAL 36" xfId="5477"/>
    <cellStyle name="_정산표 및 수정분개_2002FS_FINAL 37" xfId="5478"/>
    <cellStyle name="_정산표 및 수정분개_2002FS_FINAL 38" xfId="5479"/>
    <cellStyle name="_정산표 및 수정분개_2002FS_FINAL 39" xfId="5480"/>
    <cellStyle name="_정산표 및 수정분개_2002FS_FINAL 4" xfId="5481"/>
    <cellStyle name="_정산표 및 수정분개_2002FS_FINAL 40" xfId="5482"/>
    <cellStyle name="_정산표 및 수정분개_2002FS_FINAL 41" xfId="5483"/>
    <cellStyle name="_정산표 및 수정분개_2002FS_FINAL 42" xfId="5484"/>
    <cellStyle name="_정산표 및 수정분개_2002FS_FINAL 43" xfId="5485"/>
    <cellStyle name="_정산표 및 수정분개_2002FS_FINAL 44" xfId="5486"/>
    <cellStyle name="_정산표 및 수정분개_2002FS_FINAL 45" xfId="5487"/>
    <cellStyle name="_정산표 및 수정분개_2002FS_FINAL 46" xfId="5488"/>
    <cellStyle name="_정산표 및 수정분개_2002FS_FINAL 47" xfId="5489"/>
    <cellStyle name="_정산표 및 수정분개_2002FS_FINAL 48" xfId="5490"/>
    <cellStyle name="_정산표 및 수정분개_2002FS_FINAL 49" xfId="5491"/>
    <cellStyle name="_정산표 및 수정분개_2002FS_FINAL 5" xfId="5492"/>
    <cellStyle name="_정산표 및 수정분개_2002FS_FINAL 50" xfId="5493"/>
    <cellStyle name="_정산표 및 수정분개_2002FS_FINAL 51" xfId="5494"/>
    <cellStyle name="_정산표 및 수정분개_2002FS_FINAL 52" xfId="5495"/>
    <cellStyle name="_정산표 및 수정분개_2002FS_FINAL 53" xfId="5496"/>
    <cellStyle name="_정산표 및 수정분개_2002FS_FINAL 54" xfId="5497"/>
    <cellStyle name="_정산표 및 수정분개_2002FS_FINAL 55" xfId="5498"/>
    <cellStyle name="_정산표 및 수정분개_2002FS_FINAL 56" xfId="5499"/>
    <cellStyle name="_정산표 및 수정분개_2002FS_FINAL 57" xfId="5500"/>
    <cellStyle name="_정산표 및 수정분개_2002FS_FINAL 58" xfId="5501"/>
    <cellStyle name="_정산표 및 수정분개_2002FS_FINAL 59" xfId="5502"/>
    <cellStyle name="_정산표 및 수정분개_2002FS_FINAL 6" xfId="5503"/>
    <cellStyle name="_정산표 및 수정분개_2002FS_FINAL 60" xfId="5504"/>
    <cellStyle name="_정산표 및 수정분개_2002FS_FINAL 61" xfId="5505"/>
    <cellStyle name="_정산표 및 수정분개_2002FS_FINAL 62" xfId="5506"/>
    <cellStyle name="_정산표 및 수정분개_2002FS_FINAL 63" xfId="5507"/>
    <cellStyle name="_정산표 및 수정분개_2002FS_FINAL 7" xfId="5508"/>
    <cellStyle name="_정산표 및 수정분개_2002FS_FINAL 8" xfId="5509"/>
    <cellStyle name="_정산표 및 수정분개_2002FS_FINAL 9" xfId="5510"/>
    <cellStyle name="_정산표 및 수정분개_8720 18기이연법인세의 워크시트" xfId="5511"/>
    <cellStyle name="_정산표 및 수정분개_8720 18기이연법인세의 워크시트 10" xfId="5512"/>
    <cellStyle name="_정산표 및 수정분개_8720 18기이연법인세의 워크시트 11" xfId="5513"/>
    <cellStyle name="_정산표 및 수정분개_8720 18기이연법인세의 워크시트 12" xfId="5514"/>
    <cellStyle name="_정산표 및 수정분개_8720 18기이연법인세의 워크시트 13" xfId="5515"/>
    <cellStyle name="_정산표 및 수정분개_8720 18기이연법인세의 워크시트 14" xfId="5516"/>
    <cellStyle name="_정산표 및 수정분개_8720 18기이연법인세의 워크시트 15" xfId="5517"/>
    <cellStyle name="_정산표 및 수정분개_8720 18기이연법인세의 워크시트 16" xfId="5518"/>
    <cellStyle name="_정산표 및 수정분개_8720 18기이연법인세의 워크시트 17" xfId="5519"/>
    <cellStyle name="_정산표 및 수정분개_8720 18기이연법인세의 워크시트 18" xfId="5520"/>
    <cellStyle name="_정산표 및 수정분개_8720 18기이연법인세의 워크시트 19" xfId="5521"/>
    <cellStyle name="_정산표 및 수정분개_8720 18기이연법인세의 워크시트 2" xfId="5522"/>
    <cellStyle name="_정산표 및 수정분개_8720 18기이연법인세의 워크시트 20" xfId="5523"/>
    <cellStyle name="_정산표 및 수정분개_8720 18기이연법인세의 워크시트 21" xfId="5524"/>
    <cellStyle name="_정산표 및 수정분개_8720 18기이연법인세의 워크시트 22" xfId="5525"/>
    <cellStyle name="_정산표 및 수정분개_8720 18기이연법인세의 워크시트 23" xfId="5526"/>
    <cellStyle name="_정산표 및 수정분개_8720 18기이연법인세의 워크시트 24" xfId="5527"/>
    <cellStyle name="_정산표 및 수정분개_8720 18기이연법인세의 워크시트 25" xfId="5528"/>
    <cellStyle name="_정산표 및 수정분개_8720 18기이연법인세의 워크시트 26" xfId="5529"/>
    <cellStyle name="_정산표 및 수정분개_8720 18기이연법인세의 워크시트 27" xfId="5530"/>
    <cellStyle name="_정산표 및 수정분개_8720 18기이연법인세의 워크시트 28" xfId="5531"/>
    <cellStyle name="_정산표 및 수정분개_8720 18기이연법인세의 워크시트 29" xfId="5532"/>
    <cellStyle name="_정산표 및 수정분개_8720 18기이연법인세의 워크시트 3" xfId="5533"/>
    <cellStyle name="_정산표 및 수정분개_8720 18기이연법인세의 워크시트 30" xfId="5534"/>
    <cellStyle name="_정산표 및 수정분개_8720 18기이연법인세의 워크시트 31" xfId="5535"/>
    <cellStyle name="_정산표 및 수정분개_8720 18기이연법인세의 워크시트 32" xfId="5536"/>
    <cellStyle name="_정산표 및 수정분개_8720 18기이연법인세의 워크시트 33" xfId="5537"/>
    <cellStyle name="_정산표 및 수정분개_8720 18기이연법인세의 워크시트 34" xfId="5538"/>
    <cellStyle name="_정산표 및 수정분개_8720 18기이연법인세의 워크시트 35" xfId="5539"/>
    <cellStyle name="_정산표 및 수정분개_8720 18기이연법인세의 워크시트 36" xfId="5540"/>
    <cellStyle name="_정산표 및 수정분개_8720 18기이연법인세의 워크시트 37" xfId="5541"/>
    <cellStyle name="_정산표 및 수정분개_8720 18기이연법인세의 워크시트 38" xfId="5542"/>
    <cellStyle name="_정산표 및 수정분개_8720 18기이연법인세의 워크시트 39" xfId="5543"/>
    <cellStyle name="_정산표 및 수정분개_8720 18기이연법인세의 워크시트 4" xfId="5544"/>
    <cellStyle name="_정산표 및 수정분개_8720 18기이연법인세의 워크시트 40" xfId="5545"/>
    <cellStyle name="_정산표 및 수정분개_8720 18기이연법인세의 워크시트 41" xfId="5546"/>
    <cellStyle name="_정산표 및 수정분개_8720 18기이연법인세의 워크시트 42" xfId="5547"/>
    <cellStyle name="_정산표 및 수정분개_8720 18기이연법인세의 워크시트 43" xfId="5548"/>
    <cellStyle name="_정산표 및 수정분개_8720 18기이연법인세의 워크시트 44" xfId="5549"/>
    <cellStyle name="_정산표 및 수정분개_8720 18기이연법인세의 워크시트 45" xfId="5550"/>
    <cellStyle name="_정산표 및 수정분개_8720 18기이연법인세의 워크시트 46" xfId="5551"/>
    <cellStyle name="_정산표 및 수정분개_8720 18기이연법인세의 워크시트 47" xfId="5552"/>
    <cellStyle name="_정산표 및 수정분개_8720 18기이연법인세의 워크시트 48" xfId="5553"/>
    <cellStyle name="_정산표 및 수정분개_8720 18기이연법인세의 워크시트 49" xfId="5554"/>
    <cellStyle name="_정산표 및 수정분개_8720 18기이연법인세의 워크시트 5" xfId="5555"/>
    <cellStyle name="_정산표 및 수정분개_8720 18기이연법인세의 워크시트 50" xfId="5556"/>
    <cellStyle name="_정산표 및 수정분개_8720 18기이연법인세의 워크시트 51" xfId="5557"/>
    <cellStyle name="_정산표 및 수정분개_8720 18기이연법인세의 워크시트 52" xfId="5558"/>
    <cellStyle name="_정산표 및 수정분개_8720 18기이연법인세의 워크시트 53" xfId="5559"/>
    <cellStyle name="_정산표 및 수정분개_8720 18기이연법인세의 워크시트 54" xfId="5560"/>
    <cellStyle name="_정산표 및 수정분개_8720 18기이연법인세의 워크시트 55" xfId="5561"/>
    <cellStyle name="_정산표 및 수정분개_8720 18기이연법인세의 워크시트 56" xfId="5562"/>
    <cellStyle name="_정산표 및 수정분개_8720 18기이연법인세의 워크시트 57" xfId="5563"/>
    <cellStyle name="_정산표 및 수정분개_8720 18기이연법인세의 워크시트 58" xfId="5564"/>
    <cellStyle name="_정산표 및 수정분개_8720 18기이연법인세의 워크시트 59" xfId="5565"/>
    <cellStyle name="_정산표 및 수정분개_8720 18기이연법인세의 워크시트 6" xfId="5566"/>
    <cellStyle name="_정산표 및 수정분개_8720 18기이연법인세의 워크시트 60" xfId="5567"/>
    <cellStyle name="_정산표 및 수정분개_8720 18기이연법인세의 워크시트 61" xfId="5568"/>
    <cellStyle name="_정산표 및 수정분개_8720 18기이연법인세의 워크시트 62" xfId="5569"/>
    <cellStyle name="_정산표 및 수정분개_8720 18기이연법인세의 워크시트 63" xfId="5570"/>
    <cellStyle name="_정산표 및 수정분개_8720 18기이연법인세의 워크시트 7" xfId="5571"/>
    <cellStyle name="_정산표 및 수정분개_8720 18기이연법인세의 워크시트 8" xfId="5572"/>
    <cellStyle name="_정산표 및 수정분개_8720 18기이연법인세의 워크시트 9" xfId="5573"/>
    <cellStyle name="_정산표 및 수정분개_대차손익(20070331)_kjh" xfId="5574"/>
    <cellStyle name="_정산표 및 수정분개_대차손익(20070331)_kjh 10" xfId="5575"/>
    <cellStyle name="_정산표 및 수정분개_대차손익(20070331)_kjh 11" xfId="5576"/>
    <cellStyle name="_정산표 및 수정분개_대차손익(20070331)_kjh 12" xfId="5577"/>
    <cellStyle name="_정산표 및 수정분개_대차손익(20070331)_kjh 13" xfId="5578"/>
    <cellStyle name="_정산표 및 수정분개_대차손익(20070331)_kjh 14" xfId="5579"/>
    <cellStyle name="_정산표 및 수정분개_대차손익(20070331)_kjh 15" xfId="5580"/>
    <cellStyle name="_정산표 및 수정분개_대차손익(20070331)_kjh 16" xfId="5581"/>
    <cellStyle name="_정산표 및 수정분개_대차손익(20070331)_kjh 17" xfId="5582"/>
    <cellStyle name="_정산표 및 수정분개_대차손익(20070331)_kjh 18" xfId="5583"/>
    <cellStyle name="_정산표 및 수정분개_대차손익(20070331)_kjh 19" xfId="5584"/>
    <cellStyle name="_정산표 및 수정분개_대차손익(20070331)_kjh 2" xfId="5585"/>
    <cellStyle name="_정산표 및 수정분개_대차손익(20070331)_kjh 20" xfId="5586"/>
    <cellStyle name="_정산표 및 수정분개_대차손익(20070331)_kjh 21" xfId="5587"/>
    <cellStyle name="_정산표 및 수정분개_대차손익(20070331)_kjh 22" xfId="5588"/>
    <cellStyle name="_정산표 및 수정분개_대차손익(20070331)_kjh 23" xfId="5589"/>
    <cellStyle name="_정산표 및 수정분개_대차손익(20070331)_kjh 24" xfId="5590"/>
    <cellStyle name="_정산표 및 수정분개_대차손익(20070331)_kjh 25" xfId="5591"/>
    <cellStyle name="_정산표 및 수정분개_대차손익(20070331)_kjh 26" xfId="5592"/>
    <cellStyle name="_정산표 및 수정분개_대차손익(20070331)_kjh 27" xfId="5593"/>
    <cellStyle name="_정산표 및 수정분개_대차손익(20070331)_kjh 28" xfId="5594"/>
    <cellStyle name="_정산표 및 수정분개_대차손익(20070331)_kjh 29" xfId="5595"/>
    <cellStyle name="_정산표 및 수정분개_대차손익(20070331)_kjh 3" xfId="5596"/>
    <cellStyle name="_정산표 및 수정분개_대차손익(20070331)_kjh 30" xfId="5597"/>
    <cellStyle name="_정산표 및 수정분개_대차손익(20070331)_kjh 31" xfId="5598"/>
    <cellStyle name="_정산표 및 수정분개_대차손익(20070331)_kjh 32" xfId="5599"/>
    <cellStyle name="_정산표 및 수정분개_대차손익(20070331)_kjh 33" xfId="5600"/>
    <cellStyle name="_정산표 및 수정분개_대차손익(20070331)_kjh 34" xfId="5601"/>
    <cellStyle name="_정산표 및 수정분개_대차손익(20070331)_kjh 35" xfId="5602"/>
    <cellStyle name="_정산표 및 수정분개_대차손익(20070331)_kjh 36" xfId="5603"/>
    <cellStyle name="_정산표 및 수정분개_대차손익(20070331)_kjh 37" xfId="5604"/>
    <cellStyle name="_정산표 및 수정분개_대차손익(20070331)_kjh 38" xfId="5605"/>
    <cellStyle name="_정산표 및 수정분개_대차손익(20070331)_kjh 39" xfId="5606"/>
    <cellStyle name="_정산표 및 수정분개_대차손익(20070331)_kjh 4" xfId="5607"/>
    <cellStyle name="_정산표 및 수정분개_대차손익(20070331)_kjh 40" xfId="5608"/>
    <cellStyle name="_정산표 및 수정분개_대차손익(20070331)_kjh 41" xfId="5609"/>
    <cellStyle name="_정산표 및 수정분개_대차손익(20070331)_kjh 42" xfId="5610"/>
    <cellStyle name="_정산표 및 수정분개_대차손익(20070331)_kjh 43" xfId="5611"/>
    <cellStyle name="_정산표 및 수정분개_대차손익(20070331)_kjh 44" xfId="5612"/>
    <cellStyle name="_정산표 및 수정분개_대차손익(20070331)_kjh 45" xfId="5613"/>
    <cellStyle name="_정산표 및 수정분개_대차손익(20070331)_kjh 46" xfId="5614"/>
    <cellStyle name="_정산표 및 수정분개_대차손익(20070331)_kjh 47" xfId="5615"/>
    <cellStyle name="_정산표 및 수정분개_대차손익(20070331)_kjh 48" xfId="5616"/>
    <cellStyle name="_정산표 및 수정분개_대차손익(20070331)_kjh 49" xfId="5617"/>
    <cellStyle name="_정산표 및 수정분개_대차손익(20070331)_kjh 5" xfId="5618"/>
    <cellStyle name="_정산표 및 수정분개_대차손익(20070331)_kjh 50" xfId="5619"/>
    <cellStyle name="_정산표 및 수정분개_대차손익(20070331)_kjh 51" xfId="5620"/>
    <cellStyle name="_정산표 및 수정분개_대차손익(20070331)_kjh 52" xfId="5621"/>
    <cellStyle name="_정산표 및 수정분개_대차손익(20070331)_kjh 53" xfId="5622"/>
    <cellStyle name="_정산표 및 수정분개_대차손익(20070331)_kjh 54" xfId="5623"/>
    <cellStyle name="_정산표 및 수정분개_대차손익(20070331)_kjh 55" xfId="5624"/>
    <cellStyle name="_정산표 및 수정분개_대차손익(20070331)_kjh 56" xfId="5625"/>
    <cellStyle name="_정산표 및 수정분개_대차손익(20070331)_kjh 57" xfId="5626"/>
    <cellStyle name="_정산표 및 수정분개_대차손익(20070331)_kjh 58" xfId="5627"/>
    <cellStyle name="_정산표 및 수정분개_대차손익(20070331)_kjh 59" xfId="5628"/>
    <cellStyle name="_정산표 및 수정분개_대차손익(20070331)_kjh 6" xfId="5629"/>
    <cellStyle name="_정산표 및 수정분개_대차손익(20070331)_kjh 60" xfId="5630"/>
    <cellStyle name="_정산표 및 수정분개_대차손익(20070331)_kjh 61" xfId="5631"/>
    <cellStyle name="_정산표 및 수정분개_대차손익(20070331)_kjh 62" xfId="5632"/>
    <cellStyle name="_정산표 및 수정분개_대차손익(20070331)_kjh 63" xfId="5633"/>
    <cellStyle name="_정산표 및 수정분개_대차손익(20070331)_kjh 7" xfId="5634"/>
    <cellStyle name="_정산표 및 수정분개_대차손익(20070331)_kjh 8" xfId="5635"/>
    <cellStyle name="_정산표 및 수정분개_대차손익(20070331)_kjh 9" xfId="5636"/>
    <cellStyle name="_정산표 및 수정분개_부원05FS-최종" xfId="5637"/>
    <cellStyle name="_정산표 및 수정분개_부원05FS-최종 10" xfId="5638"/>
    <cellStyle name="_정산표 및 수정분개_부원05FS-최종 11" xfId="5639"/>
    <cellStyle name="_정산표 및 수정분개_부원05FS-최종 12" xfId="5640"/>
    <cellStyle name="_정산표 및 수정분개_부원05FS-최종 13" xfId="5641"/>
    <cellStyle name="_정산표 및 수정분개_부원05FS-최종 14" xfId="5642"/>
    <cellStyle name="_정산표 및 수정분개_부원05FS-최종 15" xfId="5643"/>
    <cellStyle name="_정산표 및 수정분개_부원05FS-최종 16" xfId="5644"/>
    <cellStyle name="_정산표 및 수정분개_부원05FS-최종 17" xfId="5645"/>
    <cellStyle name="_정산표 및 수정분개_부원05FS-최종 18" xfId="5646"/>
    <cellStyle name="_정산표 및 수정분개_부원05FS-최종 19" xfId="5647"/>
    <cellStyle name="_정산표 및 수정분개_부원05FS-최종 2" xfId="5648"/>
    <cellStyle name="_정산표 및 수정분개_부원05FS-최종 20" xfId="5649"/>
    <cellStyle name="_정산표 및 수정분개_부원05FS-최종 21" xfId="5650"/>
    <cellStyle name="_정산표 및 수정분개_부원05FS-최종 22" xfId="5651"/>
    <cellStyle name="_정산표 및 수정분개_부원05FS-최종 23" xfId="5652"/>
    <cellStyle name="_정산표 및 수정분개_부원05FS-최종 24" xfId="5653"/>
    <cellStyle name="_정산표 및 수정분개_부원05FS-최종 25" xfId="5654"/>
    <cellStyle name="_정산표 및 수정분개_부원05FS-최종 26" xfId="5655"/>
    <cellStyle name="_정산표 및 수정분개_부원05FS-최종 27" xfId="5656"/>
    <cellStyle name="_정산표 및 수정분개_부원05FS-최종 28" xfId="5657"/>
    <cellStyle name="_정산표 및 수정분개_부원05FS-최종 29" xfId="5658"/>
    <cellStyle name="_정산표 및 수정분개_부원05FS-최종 3" xfId="5659"/>
    <cellStyle name="_정산표 및 수정분개_부원05FS-최종 30" xfId="5660"/>
    <cellStyle name="_정산표 및 수정분개_부원05FS-최종 31" xfId="5661"/>
    <cellStyle name="_정산표 및 수정분개_부원05FS-최종 32" xfId="5662"/>
    <cellStyle name="_정산표 및 수정분개_부원05FS-최종 33" xfId="5663"/>
    <cellStyle name="_정산표 및 수정분개_부원05FS-최종 34" xfId="5664"/>
    <cellStyle name="_정산표 및 수정분개_부원05FS-최종 35" xfId="5665"/>
    <cellStyle name="_정산표 및 수정분개_부원05FS-최종 36" xfId="5666"/>
    <cellStyle name="_정산표 및 수정분개_부원05FS-최종 37" xfId="5667"/>
    <cellStyle name="_정산표 및 수정분개_부원05FS-최종 38" xfId="5668"/>
    <cellStyle name="_정산표 및 수정분개_부원05FS-최종 39" xfId="5669"/>
    <cellStyle name="_정산표 및 수정분개_부원05FS-최종 4" xfId="5670"/>
    <cellStyle name="_정산표 및 수정분개_부원05FS-최종 40" xfId="5671"/>
    <cellStyle name="_정산표 및 수정분개_부원05FS-최종 41" xfId="5672"/>
    <cellStyle name="_정산표 및 수정분개_부원05FS-최종 42" xfId="5673"/>
    <cellStyle name="_정산표 및 수정분개_부원05FS-최종 43" xfId="5674"/>
    <cellStyle name="_정산표 및 수정분개_부원05FS-최종 44" xfId="5675"/>
    <cellStyle name="_정산표 및 수정분개_부원05FS-최종 45" xfId="5676"/>
    <cellStyle name="_정산표 및 수정분개_부원05FS-최종 46" xfId="5677"/>
    <cellStyle name="_정산표 및 수정분개_부원05FS-최종 47" xfId="5678"/>
    <cellStyle name="_정산표 및 수정분개_부원05FS-최종 48" xfId="5679"/>
    <cellStyle name="_정산표 및 수정분개_부원05FS-최종 49" xfId="5680"/>
    <cellStyle name="_정산표 및 수정분개_부원05FS-최종 5" xfId="5681"/>
    <cellStyle name="_정산표 및 수정분개_부원05FS-최종 50" xfId="5682"/>
    <cellStyle name="_정산표 및 수정분개_부원05FS-최종 51" xfId="5683"/>
    <cellStyle name="_정산표 및 수정분개_부원05FS-최종 52" xfId="5684"/>
    <cellStyle name="_정산표 및 수정분개_부원05FS-최종 53" xfId="5685"/>
    <cellStyle name="_정산표 및 수정분개_부원05FS-최종 54" xfId="5686"/>
    <cellStyle name="_정산표 및 수정분개_부원05FS-최종 55" xfId="5687"/>
    <cellStyle name="_정산표 및 수정분개_부원05FS-최종 56" xfId="5688"/>
    <cellStyle name="_정산표 및 수정분개_부원05FS-최종 57" xfId="5689"/>
    <cellStyle name="_정산표 및 수정분개_부원05FS-최종 58" xfId="5690"/>
    <cellStyle name="_정산표 및 수정분개_부원05FS-최종 59" xfId="5691"/>
    <cellStyle name="_정산표 및 수정분개_부원05FS-최종 6" xfId="5692"/>
    <cellStyle name="_정산표 및 수정분개_부원05FS-최종 60" xfId="5693"/>
    <cellStyle name="_정산표 및 수정분개_부원05FS-최종 61" xfId="5694"/>
    <cellStyle name="_정산표 및 수정분개_부원05FS-최종 62" xfId="5695"/>
    <cellStyle name="_정산표 및 수정분개_부원05FS-최종 63" xfId="5696"/>
    <cellStyle name="_정산표 및 수정분개_부원05FS-최종 7" xfId="5697"/>
    <cellStyle name="_정산표 및 수정분개_부원05FS-최종 8" xfId="5698"/>
    <cellStyle name="_정산표 및 수정분개_부원05FS-최종 9" xfId="5699"/>
    <cellStyle name="_정산표 및 수정분개_승구리- 코바이오SCF2003" xfId="5700"/>
    <cellStyle name="_정산표 및 수정분개_승구리- 코바이오SCF2003 10" xfId="5701"/>
    <cellStyle name="_정산표 및 수정분개_승구리- 코바이오SCF2003 11" xfId="5702"/>
    <cellStyle name="_정산표 및 수정분개_승구리- 코바이오SCF2003 12" xfId="5703"/>
    <cellStyle name="_정산표 및 수정분개_승구리- 코바이오SCF2003 13" xfId="5704"/>
    <cellStyle name="_정산표 및 수정분개_승구리- 코바이오SCF2003 14" xfId="5705"/>
    <cellStyle name="_정산표 및 수정분개_승구리- 코바이오SCF2003 15" xfId="5706"/>
    <cellStyle name="_정산표 및 수정분개_승구리- 코바이오SCF2003 16" xfId="5707"/>
    <cellStyle name="_정산표 및 수정분개_승구리- 코바이오SCF2003 17" xfId="5708"/>
    <cellStyle name="_정산표 및 수정분개_승구리- 코바이오SCF2003 18" xfId="5709"/>
    <cellStyle name="_정산표 및 수정분개_승구리- 코바이오SCF2003 19" xfId="5710"/>
    <cellStyle name="_정산표 및 수정분개_승구리- 코바이오SCF2003 2" xfId="5711"/>
    <cellStyle name="_정산표 및 수정분개_승구리- 코바이오SCF2003 20" xfId="5712"/>
    <cellStyle name="_정산표 및 수정분개_승구리- 코바이오SCF2003 21" xfId="5713"/>
    <cellStyle name="_정산표 및 수정분개_승구리- 코바이오SCF2003 22" xfId="5714"/>
    <cellStyle name="_정산표 및 수정분개_승구리- 코바이오SCF2003 23" xfId="5715"/>
    <cellStyle name="_정산표 및 수정분개_승구리- 코바이오SCF2003 24" xfId="5716"/>
    <cellStyle name="_정산표 및 수정분개_승구리- 코바이오SCF2003 25" xfId="5717"/>
    <cellStyle name="_정산표 및 수정분개_승구리- 코바이오SCF2003 26" xfId="5718"/>
    <cellStyle name="_정산표 및 수정분개_승구리- 코바이오SCF2003 27" xfId="5719"/>
    <cellStyle name="_정산표 및 수정분개_승구리- 코바이오SCF2003 28" xfId="5720"/>
    <cellStyle name="_정산표 및 수정분개_승구리- 코바이오SCF2003 29" xfId="5721"/>
    <cellStyle name="_정산표 및 수정분개_승구리- 코바이오SCF2003 3" xfId="5722"/>
    <cellStyle name="_정산표 및 수정분개_승구리- 코바이오SCF2003 30" xfId="5723"/>
    <cellStyle name="_정산표 및 수정분개_승구리- 코바이오SCF2003 31" xfId="5724"/>
    <cellStyle name="_정산표 및 수정분개_승구리- 코바이오SCF2003 32" xfId="5725"/>
    <cellStyle name="_정산표 및 수정분개_승구리- 코바이오SCF2003 33" xfId="5726"/>
    <cellStyle name="_정산표 및 수정분개_승구리- 코바이오SCF2003 34" xfId="5727"/>
    <cellStyle name="_정산표 및 수정분개_승구리- 코바이오SCF2003 35" xfId="5728"/>
    <cellStyle name="_정산표 및 수정분개_승구리- 코바이오SCF2003 36" xfId="5729"/>
    <cellStyle name="_정산표 및 수정분개_승구리- 코바이오SCF2003 37" xfId="5730"/>
    <cellStyle name="_정산표 및 수정분개_승구리- 코바이오SCF2003 38" xfId="5731"/>
    <cellStyle name="_정산표 및 수정분개_승구리- 코바이오SCF2003 39" xfId="5732"/>
    <cellStyle name="_정산표 및 수정분개_승구리- 코바이오SCF2003 4" xfId="5733"/>
    <cellStyle name="_정산표 및 수정분개_승구리- 코바이오SCF2003 40" xfId="5734"/>
    <cellStyle name="_정산표 및 수정분개_승구리- 코바이오SCF2003 41" xfId="5735"/>
    <cellStyle name="_정산표 및 수정분개_승구리- 코바이오SCF2003 42" xfId="5736"/>
    <cellStyle name="_정산표 및 수정분개_승구리- 코바이오SCF2003 43" xfId="5737"/>
    <cellStyle name="_정산표 및 수정분개_승구리- 코바이오SCF2003 44" xfId="5738"/>
    <cellStyle name="_정산표 및 수정분개_승구리- 코바이오SCF2003 45" xfId="5739"/>
    <cellStyle name="_정산표 및 수정분개_승구리- 코바이오SCF2003 46" xfId="5740"/>
    <cellStyle name="_정산표 및 수정분개_승구리- 코바이오SCF2003 47" xfId="5741"/>
    <cellStyle name="_정산표 및 수정분개_승구리- 코바이오SCF2003 48" xfId="5742"/>
    <cellStyle name="_정산표 및 수정분개_승구리- 코바이오SCF2003 49" xfId="5743"/>
    <cellStyle name="_정산표 및 수정분개_승구리- 코바이오SCF2003 5" xfId="5744"/>
    <cellStyle name="_정산표 및 수정분개_승구리- 코바이오SCF2003 50" xfId="5745"/>
    <cellStyle name="_정산표 및 수정분개_승구리- 코바이오SCF2003 51" xfId="5746"/>
    <cellStyle name="_정산표 및 수정분개_승구리- 코바이오SCF2003 52" xfId="5747"/>
    <cellStyle name="_정산표 및 수정분개_승구리- 코바이오SCF2003 53" xfId="5748"/>
    <cellStyle name="_정산표 및 수정분개_승구리- 코바이오SCF2003 54" xfId="5749"/>
    <cellStyle name="_정산표 및 수정분개_승구리- 코바이오SCF2003 55" xfId="5750"/>
    <cellStyle name="_정산표 및 수정분개_승구리- 코바이오SCF2003 56" xfId="5751"/>
    <cellStyle name="_정산표 및 수정분개_승구리- 코바이오SCF2003 57" xfId="5752"/>
    <cellStyle name="_정산표 및 수정분개_승구리- 코바이오SCF2003 58" xfId="5753"/>
    <cellStyle name="_정산표 및 수정분개_승구리- 코바이오SCF2003 59" xfId="5754"/>
    <cellStyle name="_정산표 및 수정분개_승구리- 코바이오SCF2003 6" xfId="5755"/>
    <cellStyle name="_정산표 및 수정분개_승구리- 코바이오SCF2003 60" xfId="5756"/>
    <cellStyle name="_정산표 및 수정분개_승구리- 코바이오SCF2003 61" xfId="5757"/>
    <cellStyle name="_정산표 및 수정분개_승구리- 코바이오SCF2003 62" xfId="5758"/>
    <cellStyle name="_정산표 및 수정분개_승구리- 코바이오SCF2003 63" xfId="5759"/>
    <cellStyle name="_정산표 및 수정분개_승구리- 코바이오SCF2003 7" xfId="5760"/>
    <cellStyle name="_정산표 및 수정분개_승구리- 코바이오SCF2003 8" xfId="5761"/>
    <cellStyle name="_정산표 및 수정분개_승구리- 코바이오SCF2003 9" xfId="5762"/>
    <cellStyle name="_조직유지_총괄표" xfId="5763"/>
    <cellStyle name="_주당순이익" xfId="5764"/>
    <cellStyle name="_주당순이익 10" xfId="5765"/>
    <cellStyle name="_주당순이익 11" xfId="5766"/>
    <cellStyle name="_주당순이익 12" xfId="5767"/>
    <cellStyle name="_주당순이익 13" xfId="5768"/>
    <cellStyle name="_주당순이익 14" xfId="5769"/>
    <cellStyle name="_주당순이익 15" xfId="5770"/>
    <cellStyle name="_주당순이익 16" xfId="5771"/>
    <cellStyle name="_주당순이익 17" xfId="5772"/>
    <cellStyle name="_주당순이익 18" xfId="5773"/>
    <cellStyle name="_주당순이익 19" xfId="5774"/>
    <cellStyle name="_주당순이익 2" xfId="5775"/>
    <cellStyle name="_주당순이익 20" xfId="5776"/>
    <cellStyle name="_주당순이익 21" xfId="5777"/>
    <cellStyle name="_주당순이익 22" xfId="5778"/>
    <cellStyle name="_주당순이익 23" xfId="5779"/>
    <cellStyle name="_주당순이익 24" xfId="5780"/>
    <cellStyle name="_주당순이익 25" xfId="5781"/>
    <cellStyle name="_주당순이익 26" xfId="5782"/>
    <cellStyle name="_주당순이익 27" xfId="5783"/>
    <cellStyle name="_주당순이익 28" xfId="5784"/>
    <cellStyle name="_주당순이익 29" xfId="5785"/>
    <cellStyle name="_주당순이익 3" xfId="5786"/>
    <cellStyle name="_주당순이익 30" xfId="5787"/>
    <cellStyle name="_주당순이익 31" xfId="5788"/>
    <cellStyle name="_주당순이익 32" xfId="5789"/>
    <cellStyle name="_주당순이익 33" xfId="5790"/>
    <cellStyle name="_주당순이익 34" xfId="5791"/>
    <cellStyle name="_주당순이익 35" xfId="5792"/>
    <cellStyle name="_주당순이익 36" xfId="5793"/>
    <cellStyle name="_주당순이익 37" xfId="5794"/>
    <cellStyle name="_주당순이익 38" xfId="5795"/>
    <cellStyle name="_주당순이익 39" xfId="5796"/>
    <cellStyle name="_주당순이익 4" xfId="5797"/>
    <cellStyle name="_주당순이익 40" xfId="5798"/>
    <cellStyle name="_주당순이익 41" xfId="5799"/>
    <cellStyle name="_주당순이익 42" xfId="5800"/>
    <cellStyle name="_주당순이익 43" xfId="5801"/>
    <cellStyle name="_주당순이익 44" xfId="5802"/>
    <cellStyle name="_주당순이익 45" xfId="5803"/>
    <cellStyle name="_주당순이익 46" xfId="5804"/>
    <cellStyle name="_주당순이익 47" xfId="5805"/>
    <cellStyle name="_주당순이익 48" xfId="5806"/>
    <cellStyle name="_주당순이익 49" xfId="5807"/>
    <cellStyle name="_주당순이익 5" xfId="5808"/>
    <cellStyle name="_주당순이익 50" xfId="5809"/>
    <cellStyle name="_주당순이익 51" xfId="5810"/>
    <cellStyle name="_주당순이익 52" xfId="5811"/>
    <cellStyle name="_주당순이익 53" xfId="5812"/>
    <cellStyle name="_주당순이익 54" xfId="5813"/>
    <cellStyle name="_주당순이익 55" xfId="5814"/>
    <cellStyle name="_주당순이익 56" xfId="5815"/>
    <cellStyle name="_주당순이익 57" xfId="5816"/>
    <cellStyle name="_주당순이익 58" xfId="5817"/>
    <cellStyle name="_주당순이익 59" xfId="5818"/>
    <cellStyle name="_주당순이익 6" xfId="5819"/>
    <cellStyle name="_주당순이익 60" xfId="5820"/>
    <cellStyle name="_주당순이익 61" xfId="5821"/>
    <cellStyle name="_주당순이익 62" xfId="5822"/>
    <cellStyle name="_주당순이익 63" xfId="5823"/>
    <cellStyle name="_주당순이익 7" xfId="5824"/>
    <cellStyle name="_주당순이익 8" xfId="5825"/>
    <cellStyle name="_주당순이익 9" xfId="5826"/>
    <cellStyle name="_주당순이익_2002FS_FINAL" xfId="5827"/>
    <cellStyle name="_주당순이익_2002FS_FINAL 10" xfId="5828"/>
    <cellStyle name="_주당순이익_2002FS_FINAL 11" xfId="5829"/>
    <cellStyle name="_주당순이익_2002FS_FINAL 12" xfId="5830"/>
    <cellStyle name="_주당순이익_2002FS_FINAL 13" xfId="5831"/>
    <cellStyle name="_주당순이익_2002FS_FINAL 14" xfId="5832"/>
    <cellStyle name="_주당순이익_2002FS_FINAL 15" xfId="5833"/>
    <cellStyle name="_주당순이익_2002FS_FINAL 16" xfId="5834"/>
    <cellStyle name="_주당순이익_2002FS_FINAL 17" xfId="5835"/>
    <cellStyle name="_주당순이익_2002FS_FINAL 18" xfId="5836"/>
    <cellStyle name="_주당순이익_2002FS_FINAL 19" xfId="5837"/>
    <cellStyle name="_주당순이익_2002FS_FINAL 2" xfId="5838"/>
    <cellStyle name="_주당순이익_2002FS_FINAL 20" xfId="5839"/>
    <cellStyle name="_주당순이익_2002FS_FINAL 21" xfId="5840"/>
    <cellStyle name="_주당순이익_2002FS_FINAL 22" xfId="5841"/>
    <cellStyle name="_주당순이익_2002FS_FINAL 23" xfId="5842"/>
    <cellStyle name="_주당순이익_2002FS_FINAL 24" xfId="5843"/>
    <cellStyle name="_주당순이익_2002FS_FINAL 25" xfId="5844"/>
    <cellStyle name="_주당순이익_2002FS_FINAL 26" xfId="5845"/>
    <cellStyle name="_주당순이익_2002FS_FINAL 27" xfId="5846"/>
    <cellStyle name="_주당순이익_2002FS_FINAL 28" xfId="5847"/>
    <cellStyle name="_주당순이익_2002FS_FINAL 29" xfId="5848"/>
    <cellStyle name="_주당순이익_2002FS_FINAL 3" xfId="5849"/>
    <cellStyle name="_주당순이익_2002FS_FINAL 30" xfId="5850"/>
    <cellStyle name="_주당순이익_2002FS_FINAL 31" xfId="5851"/>
    <cellStyle name="_주당순이익_2002FS_FINAL 32" xfId="5852"/>
    <cellStyle name="_주당순이익_2002FS_FINAL 33" xfId="5853"/>
    <cellStyle name="_주당순이익_2002FS_FINAL 34" xfId="5854"/>
    <cellStyle name="_주당순이익_2002FS_FINAL 35" xfId="5855"/>
    <cellStyle name="_주당순이익_2002FS_FINAL 36" xfId="5856"/>
    <cellStyle name="_주당순이익_2002FS_FINAL 37" xfId="5857"/>
    <cellStyle name="_주당순이익_2002FS_FINAL 38" xfId="5858"/>
    <cellStyle name="_주당순이익_2002FS_FINAL 39" xfId="5859"/>
    <cellStyle name="_주당순이익_2002FS_FINAL 4" xfId="5860"/>
    <cellStyle name="_주당순이익_2002FS_FINAL 40" xfId="5861"/>
    <cellStyle name="_주당순이익_2002FS_FINAL 41" xfId="5862"/>
    <cellStyle name="_주당순이익_2002FS_FINAL 42" xfId="5863"/>
    <cellStyle name="_주당순이익_2002FS_FINAL 43" xfId="5864"/>
    <cellStyle name="_주당순이익_2002FS_FINAL 44" xfId="5865"/>
    <cellStyle name="_주당순이익_2002FS_FINAL 45" xfId="5866"/>
    <cellStyle name="_주당순이익_2002FS_FINAL 46" xfId="5867"/>
    <cellStyle name="_주당순이익_2002FS_FINAL 47" xfId="5868"/>
    <cellStyle name="_주당순이익_2002FS_FINAL 48" xfId="5869"/>
    <cellStyle name="_주당순이익_2002FS_FINAL 49" xfId="5870"/>
    <cellStyle name="_주당순이익_2002FS_FINAL 5" xfId="5871"/>
    <cellStyle name="_주당순이익_2002FS_FINAL 50" xfId="5872"/>
    <cellStyle name="_주당순이익_2002FS_FINAL 51" xfId="5873"/>
    <cellStyle name="_주당순이익_2002FS_FINAL 52" xfId="5874"/>
    <cellStyle name="_주당순이익_2002FS_FINAL 53" xfId="5875"/>
    <cellStyle name="_주당순이익_2002FS_FINAL 54" xfId="5876"/>
    <cellStyle name="_주당순이익_2002FS_FINAL 55" xfId="5877"/>
    <cellStyle name="_주당순이익_2002FS_FINAL 56" xfId="5878"/>
    <cellStyle name="_주당순이익_2002FS_FINAL 57" xfId="5879"/>
    <cellStyle name="_주당순이익_2002FS_FINAL 58" xfId="5880"/>
    <cellStyle name="_주당순이익_2002FS_FINAL 59" xfId="5881"/>
    <cellStyle name="_주당순이익_2002FS_FINAL 6" xfId="5882"/>
    <cellStyle name="_주당순이익_2002FS_FINAL 60" xfId="5883"/>
    <cellStyle name="_주당순이익_2002FS_FINAL 61" xfId="5884"/>
    <cellStyle name="_주당순이익_2002FS_FINAL 62" xfId="5885"/>
    <cellStyle name="_주당순이익_2002FS_FINAL 63" xfId="5886"/>
    <cellStyle name="_주당순이익_2002FS_FINAL 7" xfId="5887"/>
    <cellStyle name="_주당순이익_2002FS_FINAL 8" xfId="5888"/>
    <cellStyle name="_주당순이익_2002FS_FINAL 9" xfId="5889"/>
    <cellStyle name="_주당순이익_승구리- 코바이오SCF2003" xfId="5890"/>
    <cellStyle name="_주당순이익_승구리- 코바이오SCF2003 10" xfId="5891"/>
    <cellStyle name="_주당순이익_승구리- 코바이오SCF2003 11" xfId="5892"/>
    <cellStyle name="_주당순이익_승구리- 코바이오SCF2003 12" xfId="5893"/>
    <cellStyle name="_주당순이익_승구리- 코바이오SCF2003 13" xfId="5894"/>
    <cellStyle name="_주당순이익_승구리- 코바이오SCF2003 14" xfId="5895"/>
    <cellStyle name="_주당순이익_승구리- 코바이오SCF2003 15" xfId="5896"/>
    <cellStyle name="_주당순이익_승구리- 코바이오SCF2003 16" xfId="5897"/>
    <cellStyle name="_주당순이익_승구리- 코바이오SCF2003 17" xfId="5898"/>
    <cellStyle name="_주당순이익_승구리- 코바이오SCF2003 18" xfId="5899"/>
    <cellStyle name="_주당순이익_승구리- 코바이오SCF2003 19" xfId="5900"/>
    <cellStyle name="_주당순이익_승구리- 코바이오SCF2003 2" xfId="5901"/>
    <cellStyle name="_주당순이익_승구리- 코바이오SCF2003 20" xfId="5902"/>
    <cellStyle name="_주당순이익_승구리- 코바이오SCF2003 21" xfId="5903"/>
    <cellStyle name="_주당순이익_승구리- 코바이오SCF2003 22" xfId="5904"/>
    <cellStyle name="_주당순이익_승구리- 코바이오SCF2003 23" xfId="5905"/>
    <cellStyle name="_주당순이익_승구리- 코바이오SCF2003 24" xfId="5906"/>
    <cellStyle name="_주당순이익_승구리- 코바이오SCF2003 25" xfId="5907"/>
    <cellStyle name="_주당순이익_승구리- 코바이오SCF2003 26" xfId="5908"/>
    <cellStyle name="_주당순이익_승구리- 코바이오SCF2003 27" xfId="5909"/>
    <cellStyle name="_주당순이익_승구리- 코바이오SCF2003 28" xfId="5910"/>
    <cellStyle name="_주당순이익_승구리- 코바이오SCF2003 29" xfId="5911"/>
    <cellStyle name="_주당순이익_승구리- 코바이오SCF2003 3" xfId="5912"/>
    <cellStyle name="_주당순이익_승구리- 코바이오SCF2003 30" xfId="5913"/>
    <cellStyle name="_주당순이익_승구리- 코바이오SCF2003 31" xfId="5914"/>
    <cellStyle name="_주당순이익_승구리- 코바이오SCF2003 32" xfId="5915"/>
    <cellStyle name="_주당순이익_승구리- 코바이오SCF2003 33" xfId="5916"/>
    <cellStyle name="_주당순이익_승구리- 코바이오SCF2003 34" xfId="5917"/>
    <cellStyle name="_주당순이익_승구리- 코바이오SCF2003 35" xfId="5918"/>
    <cellStyle name="_주당순이익_승구리- 코바이오SCF2003 36" xfId="5919"/>
    <cellStyle name="_주당순이익_승구리- 코바이오SCF2003 37" xfId="5920"/>
    <cellStyle name="_주당순이익_승구리- 코바이오SCF2003 38" xfId="5921"/>
    <cellStyle name="_주당순이익_승구리- 코바이오SCF2003 39" xfId="5922"/>
    <cellStyle name="_주당순이익_승구리- 코바이오SCF2003 4" xfId="5923"/>
    <cellStyle name="_주당순이익_승구리- 코바이오SCF2003 40" xfId="5924"/>
    <cellStyle name="_주당순이익_승구리- 코바이오SCF2003 41" xfId="5925"/>
    <cellStyle name="_주당순이익_승구리- 코바이오SCF2003 42" xfId="5926"/>
    <cellStyle name="_주당순이익_승구리- 코바이오SCF2003 43" xfId="5927"/>
    <cellStyle name="_주당순이익_승구리- 코바이오SCF2003 44" xfId="5928"/>
    <cellStyle name="_주당순이익_승구리- 코바이오SCF2003 45" xfId="5929"/>
    <cellStyle name="_주당순이익_승구리- 코바이오SCF2003 46" xfId="5930"/>
    <cellStyle name="_주당순이익_승구리- 코바이오SCF2003 47" xfId="5931"/>
    <cellStyle name="_주당순이익_승구리- 코바이오SCF2003 48" xfId="5932"/>
    <cellStyle name="_주당순이익_승구리- 코바이오SCF2003 49" xfId="5933"/>
    <cellStyle name="_주당순이익_승구리- 코바이오SCF2003 5" xfId="5934"/>
    <cellStyle name="_주당순이익_승구리- 코바이오SCF2003 50" xfId="5935"/>
    <cellStyle name="_주당순이익_승구리- 코바이오SCF2003 51" xfId="5936"/>
    <cellStyle name="_주당순이익_승구리- 코바이오SCF2003 52" xfId="5937"/>
    <cellStyle name="_주당순이익_승구리- 코바이오SCF2003 53" xfId="5938"/>
    <cellStyle name="_주당순이익_승구리- 코바이오SCF2003 54" xfId="5939"/>
    <cellStyle name="_주당순이익_승구리- 코바이오SCF2003 55" xfId="5940"/>
    <cellStyle name="_주당순이익_승구리- 코바이오SCF2003 56" xfId="5941"/>
    <cellStyle name="_주당순이익_승구리- 코바이오SCF2003 57" xfId="5942"/>
    <cellStyle name="_주당순이익_승구리- 코바이오SCF2003 58" xfId="5943"/>
    <cellStyle name="_주당순이익_승구리- 코바이오SCF2003 59" xfId="5944"/>
    <cellStyle name="_주당순이익_승구리- 코바이오SCF2003 6" xfId="5945"/>
    <cellStyle name="_주당순이익_승구리- 코바이오SCF2003 60" xfId="5946"/>
    <cellStyle name="_주당순이익_승구리- 코바이오SCF2003 61" xfId="5947"/>
    <cellStyle name="_주당순이익_승구리- 코바이오SCF2003 62" xfId="5948"/>
    <cellStyle name="_주당순이익_승구리- 코바이오SCF2003 63" xfId="5949"/>
    <cellStyle name="_주당순이익_승구리- 코바이오SCF2003 7" xfId="5950"/>
    <cellStyle name="_주당순이익_승구리- 코바이오SCF2003 8" xfId="5951"/>
    <cellStyle name="_주당순이익_승구리- 코바이오SCF2003 9" xfId="5952"/>
    <cellStyle name="_지니텍 2003년 재무제표(최종)" xfId="5953"/>
    <cellStyle name="_지니텍 2003년 재무제표(최종) 10" xfId="5954"/>
    <cellStyle name="_지니텍 2003년 재무제표(최종) 11" xfId="5955"/>
    <cellStyle name="_지니텍 2003년 재무제표(최종) 12" xfId="5956"/>
    <cellStyle name="_지니텍 2003년 재무제표(최종) 13" xfId="5957"/>
    <cellStyle name="_지니텍 2003년 재무제표(최종) 14" xfId="5958"/>
    <cellStyle name="_지니텍 2003년 재무제표(최종) 15" xfId="5959"/>
    <cellStyle name="_지니텍 2003년 재무제표(최종) 16" xfId="5960"/>
    <cellStyle name="_지니텍 2003년 재무제표(최종) 17" xfId="5961"/>
    <cellStyle name="_지니텍 2003년 재무제표(최종) 18" xfId="5962"/>
    <cellStyle name="_지니텍 2003년 재무제표(최종) 19" xfId="5963"/>
    <cellStyle name="_지니텍 2003년 재무제표(최종) 2" xfId="5964"/>
    <cellStyle name="_지니텍 2003년 재무제표(최종) 20" xfId="5965"/>
    <cellStyle name="_지니텍 2003년 재무제표(최종) 21" xfId="5966"/>
    <cellStyle name="_지니텍 2003년 재무제표(최종) 22" xfId="5967"/>
    <cellStyle name="_지니텍 2003년 재무제표(최종) 23" xfId="5968"/>
    <cellStyle name="_지니텍 2003년 재무제표(최종) 24" xfId="5969"/>
    <cellStyle name="_지니텍 2003년 재무제표(최종) 25" xfId="5970"/>
    <cellStyle name="_지니텍 2003년 재무제표(최종) 26" xfId="5971"/>
    <cellStyle name="_지니텍 2003년 재무제표(최종) 27" xfId="5972"/>
    <cellStyle name="_지니텍 2003년 재무제표(최종) 28" xfId="5973"/>
    <cellStyle name="_지니텍 2003년 재무제표(최종) 29" xfId="5974"/>
    <cellStyle name="_지니텍 2003년 재무제표(최종) 3" xfId="5975"/>
    <cellStyle name="_지니텍 2003년 재무제표(최종) 30" xfId="5976"/>
    <cellStyle name="_지니텍 2003년 재무제표(최종) 31" xfId="5977"/>
    <cellStyle name="_지니텍 2003년 재무제표(최종) 32" xfId="5978"/>
    <cellStyle name="_지니텍 2003년 재무제표(최종) 33" xfId="5979"/>
    <cellStyle name="_지니텍 2003년 재무제표(최종) 34" xfId="5980"/>
    <cellStyle name="_지니텍 2003년 재무제표(최종) 35" xfId="5981"/>
    <cellStyle name="_지니텍 2003년 재무제표(최종) 36" xfId="5982"/>
    <cellStyle name="_지니텍 2003년 재무제표(최종) 37" xfId="5983"/>
    <cellStyle name="_지니텍 2003년 재무제표(최종) 38" xfId="5984"/>
    <cellStyle name="_지니텍 2003년 재무제표(최종) 39" xfId="5985"/>
    <cellStyle name="_지니텍 2003년 재무제표(최종) 4" xfId="5986"/>
    <cellStyle name="_지니텍 2003년 재무제표(최종) 40" xfId="5987"/>
    <cellStyle name="_지니텍 2003년 재무제표(최종) 41" xfId="5988"/>
    <cellStyle name="_지니텍 2003년 재무제표(최종) 42" xfId="5989"/>
    <cellStyle name="_지니텍 2003년 재무제표(최종) 43" xfId="5990"/>
    <cellStyle name="_지니텍 2003년 재무제표(최종) 44" xfId="5991"/>
    <cellStyle name="_지니텍 2003년 재무제표(최종) 45" xfId="5992"/>
    <cellStyle name="_지니텍 2003년 재무제표(최종) 46" xfId="5993"/>
    <cellStyle name="_지니텍 2003년 재무제표(최종) 47" xfId="5994"/>
    <cellStyle name="_지니텍 2003년 재무제표(최종) 48" xfId="5995"/>
    <cellStyle name="_지니텍 2003년 재무제표(최종) 49" xfId="5996"/>
    <cellStyle name="_지니텍 2003년 재무제표(최종) 5" xfId="5997"/>
    <cellStyle name="_지니텍 2003년 재무제표(최종) 50" xfId="5998"/>
    <cellStyle name="_지니텍 2003년 재무제표(최종) 51" xfId="5999"/>
    <cellStyle name="_지니텍 2003년 재무제표(최종) 52" xfId="6000"/>
    <cellStyle name="_지니텍 2003년 재무제표(최종) 53" xfId="6001"/>
    <cellStyle name="_지니텍 2003년 재무제표(최종) 54" xfId="6002"/>
    <cellStyle name="_지니텍 2003년 재무제표(최종) 55" xfId="6003"/>
    <cellStyle name="_지니텍 2003년 재무제표(최종) 56" xfId="6004"/>
    <cellStyle name="_지니텍 2003년 재무제표(최종) 57" xfId="6005"/>
    <cellStyle name="_지니텍 2003년 재무제표(최종) 58" xfId="6006"/>
    <cellStyle name="_지니텍 2003년 재무제표(최종) 59" xfId="6007"/>
    <cellStyle name="_지니텍 2003년 재무제표(최종) 6" xfId="6008"/>
    <cellStyle name="_지니텍 2003년 재무제표(최종) 60" xfId="6009"/>
    <cellStyle name="_지니텍 2003년 재무제표(최종) 61" xfId="6010"/>
    <cellStyle name="_지니텍 2003년 재무제표(최종) 62" xfId="6011"/>
    <cellStyle name="_지니텍 2003년 재무제표(최종) 63" xfId="6012"/>
    <cellStyle name="_지니텍 2003년 재무제표(최종) 7" xfId="6013"/>
    <cellStyle name="_지니텍 2003년 재무제표(최종) 8" xfId="6014"/>
    <cellStyle name="_지니텍 2003년 재무제표(최종) 9" xfId="6015"/>
    <cellStyle name="_지니텍 2003년 재무제표(최종)_대차손익(20070331)_kjh" xfId="6016"/>
    <cellStyle name="_지니텍 2003년 재무제표(최종)_대차손익(20070331)_kjh 10" xfId="6017"/>
    <cellStyle name="_지니텍 2003년 재무제표(최종)_대차손익(20070331)_kjh 11" xfId="6018"/>
    <cellStyle name="_지니텍 2003년 재무제표(최종)_대차손익(20070331)_kjh 12" xfId="6019"/>
    <cellStyle name="_지니텍 2003년 재무제표(최종)_대차손익(20070331)_kjh 13" xfId="6020"/>
    <cellStyle name="_지니텍 2003년 재무제표(최종)_대차손익(20070331)_kjh 14" xfId="6021"/>
    <cellStyle name="_지니텍 2003년 재무제표(최종)_대차손익(20070331)_kjh 15" xfId="6022"/>
    <cellStyle name="_지니텍 2003년 재무제표(최종)_대차손익(20070331)_kjh 16" xfId="6023"/>
    <cellStyle name="_지니텍 2003년 재무제표(최종)_대차손익(20070331)_kjh 17" xfId="6024"/>
    <cellStyle name="_지니텍 2003년 재무제표(최종)_대차손익(20070331)_kjh 18" xfId="6025"/>
    <cellStyle name="_지니텍 2003년 재무제표(최종)_대차손익(20070331)_kjh 19" xfId="6026"/>
    <cellStyle name="_지니텍 2003년 재무제표(최종)_대차손익(20070331)_kjh 2" xfId="6027"/>
    <cellStyle name="_지니텍 2003년 재무제표(최종)_대차손익(20070331)_kjh 20" xfId="6028"/>
    <cellStyle name="_지니텍 2003년 재무제표(최종)_대차손익(20070331)_kjh 21" xfId="6029"/>
    <cellStyle name="_지니텍 2003년 재무제표(최종)_대차손익(20070331)_kjh 22" xfId="6030"/>
    <cellStyle name="_지니텍 2003년 재무제표(최종)_대차손익(20070331)_kjh 23" xfId="6031"/>
    <cellStyle name="_지니텍 2003년 재무제표(최종)_대차손익(20070331)_kjh 24" xfId="6032"/>
    <cellStyle name="_지니텍 2003년 재무제표(최종)_대차손익(20070331)_kjh 25" xfId="6033"/>
    <cellStyle name="_지니텍 2003년 재무제표(최종)_대차손익(20070331)_kjh 26" xfId="6034"/>
    <cellStyle name="_지니텍 2003년 재무제표(최종)_대차손익(20070331)_kjh 27" xfId="6035"/>
    <cellStyle name="_지니텍 2003년 재무제표(최종)_대차손익(20070331)_kjh 28" xfId="6036"/>
    <cellStyle name="_지니텍 2003년 재무제표(최종)_대차손익(20070331)_kjh 29" xfId="6037"/>
    <cellStyle name="_지니텍 2003년 재무제표(최종)_대차손익(20070331)_kjh 3" xfId="6038"/>
    <cellStyle name="_지니텍 2003년 재무제표(최종)_대차손익(20070331)_kjh 30" xfId="6039"/>
    <cellStyle name="_지니텍 2003년 재무제표(최종)_대차손익(20070331)_kjh 31" xfId="6040"/>
    <cellStyle name="_지니텍 2003년 재무제표(최종)_대차손익(20070331)_kjh 32" xfId="6041"/>
    <cellStyle name="_지니텍 2003년 재무제표(최종)_대차손익(20070331)_kjh 33" xfId="6042"/>
    <cellStyle name="_지니텍 2003년 재무제표(최종)_대차손익(20070331)_kjh 34" xfId="6043"/>
    <cellStyle name="_지니텍 2003년 재무제표(최종)_대차손익(20070331)_kjh 35" xfId="6044"/>
    <cellStyle name="_지니텍 2003년 재무제표(최종)_대차손익(20070331)_kjh 36" xfId="6045"/>
    <cellStyle name="_지니텍 2003년 재무제표(최종)_대차손익(20070331)_kjh 37" xfId="6046"/>
    <cellStyle name="_지니텍 2003년 재무제표(최종)_대차손익(20070331)_kjh 38" xfId="6047"/>
    <cellStyle name="_지니텍 2003년 재무제표(최종)_대차손익(20070331)_kjh 39" xfId="6048"/>
    <cellStyle name="_지니텍 2003년 재무제표(최종)_대차손익(20070331)_kjh 4" xfId="6049"/>
    <cellStyle name="_지니텍 2003년 재무제표(최종)_대차손익(20070331)_kjh 40" xfId="6050"/>
    <cellStyle name="_지니텍 2003년 재무제표(최종)_대차손익(20070331)_kjh 41" xfId="6051"/>
    <cellStyle name="_지니텍 2003년 재무제표(최종)_대차손익(20070331)_kjh 42" xfId="6052"/>
    <cellStyle name="_지니텍 2003년 재무제표(최종)_대차손익(20070331)_kjh 43" xfId="6053"/>
    <cellStyle name="_지니텍 2003년 재무제표(최종)_대차손익(20070331)_kjh 44" xfId="6054"/>
    <cellStyle name="_지니텍 2003년 재무제표(최종)_대차손익(20070331)_kjh 45" xfId="6055"/>
    <cellStyle name="_지니텍 2003년 재무제표(최종)_대차손익(20070331)_kjh 46" xfId="6056"/>
    <cellStyle name="_지니텍 2003년 재무제표(최종)_대차손익(20070331)_kjh 47" xfId="6057"/>
    <cellStyle name="_지니텍 2003년 재무제표(최종)_대차손익(20070331)_kjh 48" xfId="6058"/>
    <cellStyle name="_지니텍 2003년 재무제표(최종)_대차손익(20070331)_kjh 49" xfId="6059"/>
    <cellStyle name="_지니텍 2003년 재무제표(최종)_대차손익(20070331)_kjh 5" xfId="6060"/>
    <cellStyle name="_지니텍 2003년 재무제표(최종)_대차손익(20070331)_kjh 50" xfId="6061"/>
    <cellStyle name="_지니텍 2003년 재무제표(최종)_대차손익(20070331)_kjh 51" xfId="6062"/>
    <cellStyle name="_지니텍 2003년 재무제표(최종)_대차손익(20070331)_kjh 52" xfId="6063"/>
    <cellStyle name="_지니텍 2003년 재무제표(최종)_대차손익(20070331)_kjh 53" xfId="6064"/>
    <cellStyle name="_지니텍 2003년 재무제표(최종)_대차손익(20070331)_kjh 54" xfId="6065"/>
    <cellStyle name="_지니텍 2003년 재무제표(최종)_대차손익(20070331)_kjh 55" xfId="6066"/>
    <cellStyle name="_지니텍 2003년 재무제표(최종)_대차손익(20070331)_kjh 56" xfId="6067"/>
    <cellStyle name="_지니텍 2003년 재무제표(최종)_대차손익(20070331)_kjh 57" xfId="6068"/>
    <cellStyle name="_지니텍 2003년 재무제표(최종)_대차손익(20070331)_kjh 58" xfId="6069"/>
    <cellStyle name="_지니텍 2003년 재무제표(최종)_대차손익(20070331)_kjh 59" xfId="6070"/>
    <cellStyle name="_지니텍 2003년 재무제표(최종)_대차손익(20070331)_kjh 6" xfId="6071"/>
    <cellStyle name="_지니텍 2003년 재무제표(최종)_대차손익(20070331)_kjh 60" xfId="6072"/>
    <cellStyle name="_지니텍 2003년 재무제표(최종)_대차손익(20070331)_kjh 61" xfId="6073"/>
    <cellStyle name="_지니텍 2003년 재무제표(최종)_대차손익(20070331)_kjh 62" xfId="6074"/>
    <cellStyle name="_지니텍 2003년 재무제표(최종)_대차손익(20070331)_kjh 63" xfId="6075"/>
    <cellStyle name="_지니텍 2003년 재무제표(최종)_대차손익(20070331)_kjh 7" xfId="6076"/>
    <cellStyle name="_지니텍 2003년 재무제표(최종)_대차손익(20070331)_kjh 8" xfId="6077"/>
    <cellStyle name="_지니텍 2003년 재무제표(최종)_대차손익(20070331)_kjh 9" xfId="6078"/>
    <cellStyle name="_차체 (2)" xfId="6079"/>
    <cellStyle name="_차체 (2)_04FS_KID산업" xfId="6080"/>
    <cellStyle name="_차체 (2)_1" xfId="6081"/>
    <cellStyle name="_차체 (2)_1 10" xfId="6082"/>
    <cellStyle name="_차체 (2)_1 11" xfId="6083"/>
    <cellStyle name="_차체 (2)_1 12" xfId="6084"/>
    <cellStyle name="_차체 (2)_1 13" xfId="6085"/>
    <cellStyle name="_차체 (2)_1 14" xfId="6086"/>
    <cellStyle name="_차체 (2)_1 15" xfId="6087"/>
    <cellStyle name="_차체 (2)_1 16" xfId="6088"/>
    <cellStyle name="_차체 (2)_1 17" xfId="6089"/>
    <cellStyle name="_차체 (2)_1 18" xfId="6090"/>
    <cellStyle name="_차체 (2)_1 19" xfId="6091"/>
    <cellStyle name="_차체 (2)_1 2" xfId="6092"/>
    <cellStyle name="_차체 (2)_1 20" xfId="6093"/>
    <cellStyle name="_차체 (2)_1 21" xfId="6094"/>
    <cellStyle name="_차체 (2)_1 22" xfId="6095"/>
    <cellStyle name="_차체 (2)_1 23" xfId="6096"/>
    <cellStyle name="_차체 (2)_1 24" xfId="6097"/>
    <cellStyle name="_차체 (2)_1 25" xfId="6098"/>
    <cellStyle name="_차체 (2)_1 26" xfId="6099"/>
    <cellStyle name="_차체 (2)_1 27" xfId="6100"/>
    <cellStyle name="_차체 (2)_1 28" xfId="6101"/>
    <cellStyle name="_차체 (2)_1 29" xfId="6102"/>
    <cellStyle name="_차체 (2)_1 3" xfId="6103"/>
    <cellStyle name="_차체 (2)_1 30" xfId="6104"/>
    <cellStyle name="_차체 (2)_1 31" xfId="6105"/>
    <cellStyle name="_차체 (2)_1 32" xfId="6106"/>
    <cellStyle name="_차체 (2)_1 33" xfId="6107"/>
    <cellStyle name="_차체 (2)_1 34" xfId="6108"/>
    <cellStyle name="_차체 (2)_1 35" xfId="6109"/>
    <cellStyle name="_차체 (2)_1 36" xfId="6110"/>
    <cellStyle name="_차체 (2)_1 37" xfId="6111"/>
    <cellStyle name="_차체 (2)_1 38" xfId="6112"/>
    <cellStyle name="_차체 (2)_1 39" xfId="6113"/>
    <cellStyle name="_차체 (2)_1 4" xfId="6114"/>
    <cellStyle name="_차체 (2)_1 40" xfId="6115"/>
    <cellStyle name="_차체 (2)_1 41" xfId="6116"/>
    <cellStyle name="_차체 (2)_1 42" xfId="6117"/>
    <cellStyle name="_차체 (2)_1 43" xfId="6118"/>
    <cellStyle name="_차체 (2)_1 44" xfId="6119"/>
    <cellStyle name="_차체 (2)_1 45" xfId="6120"/>
    <cellStyle name="_차체 (2)_1 46" xfId="6121"/>
    <cellStyle name="_차체 (2)_1 47" xfId="6122"/>
    <cellStyle name="_차체 (2)_1 48" xfId="6123"/>
    <cellStyle name="_차체 (2)_1 49" xfId="6124"/>
    <cellStyle name="_차체 (2)_1 5" xfId="6125"/>
    <cellStyle name="_차체 (2)_1 50" xfId="6126"/>
    <cellStyle name="_차체 (2)_1 51" xfId="6127"/>
    <cellStyle name="_차체 (2)_1 52" xfId="6128"/>
    <cellStyle name="_차체 (2)_1 53" xfId="6129"/>
    <cellStyle name="_차체 (2)_1 54" xfId="6130"/>
    <cellStyle name="_차체 (2)_1 55" xfId="6131"/>
    <cellStyle name="_차체 (2)_1 56" xfId="6132"/>
    <cellStyle name="_차체 (2)_1 57" xfId="6133"/>
    <cellStyle name="_차체 (2)_1 58" xfId="6134"/>
    <cellStyle name="_차체 (2)_1 59" xfId="6135"/>
    <cellStyle name="_차체 (2)_1 6" xfId="6136"/>
    <cellStyle name="_차체 (2)_1 60" xfId="6137"/>
    <cellStyle name="_차체 (2)_1 61" xfId="6138"/>
    <cellStyle name="_차체 (2)_1 62" xfId="6139"/>
    <cellStyle name="_차체 (2)_1 63" xfId="6140"/>
    <cellStyle name="_차체 (2)_1 7" xfId="6141"/>
    <cellStyle name="_차체 (2)_1 8" xfId="6142"/>
    <cellStyle name="_차체 (2)_1 9" xfId="6143"/>
    <cellStyle name="_차체 (2)_1_04FS_KID산업" xfId="6144"/>
    <cellStyle name="_차체 (2)_1_04FS_KID산업 10" xfId="6145"/>
    <cellStyle name="_차체 (2)_1_04FS_KID산업 11" xfId="6146"/>
    <cellStyle name="_차체 (2)_1_04FS_KID산업 12" xfId="6147"/>
    <cellStyle name="_차체 (2)_1_04FS_KID산업 13" xfId="6148"/>
    <cellStyle name="_차체 (2)_1_04FS_KID산업 14" xfId="6149"/>
    <cellStyle name="_차체 (2)_1_04FS_KID산업 15" xfId="6150"/>
    <cellStyle name="_차체 (2)_1_04FS_KID산업 16" xfId="6151"/>
    <cellStyle name="_차체 (2)_1_04FS_KID산업 17" xfId="6152"/>
    <cellStyle name="_차체 (2)_1_04FS_KID산업 18" xfId="6153"/>
    <cellStyle name="_차체 (2)_1_04FS_KID산업 19" xfId="6154"/>
    <cellStyle name="_차체 (2)_1_04FS_KID산업 2" xfId="6155"/>
    <cellStyle name="_차체 (2)_1_04FS_KID산업 20" xfId="6156"/>
    <cellStyle name="_차체 (2)_1_04FS_KID산업 21" xfId="6157"/>
    <cellStyle name="_차체 (2)_1_04FS_KID산업 22" xfId="6158"/>
    <cellStyle name="_차체 (2)_1_04FS_KID산업 23" xfId="6159"/>
    <cellStyle name="_차체 (2)_1_04FS_KID산업 24" xfId="6160"/>
    <cellStyle name="_차체 (2)_1_04FS_KID산업 25" xfId="6161"/>
    <cellStyle name="_차체 (2)_1_04FS_KID산업 26" xfId="6162"/>
    <cellStyle name="_차체 (2)_1_04FS_KID산업 27" xfId="6163"/>
    <cellStyle name="_차체 (2)_1_04FS_KID산업 28" xfId="6164"/>
    <cellStyle name="_차체 (2)_1_04FS_KID산업 29" xfId="6165"/>
    <cellStyle name="_차체 (2)_1_04FS_KID산업 3" xfId="6166"/>
    <cellStyle name="_차체 (2)_1_04FS_KID산업 30" xfId="6167"/>
    <cellStyle name="_차체 (2)_1_04FS_KID산업 31" xfId="6168"/>
    <cellStyle name="_차체 (2)_1_04FS_KID산업 32" xfId="6169"/>
    <cellStyle name="_차체 (2)_1_04FS_KID산업 33" xfId="6170"/>
    <cellStyle name="_차체 (2)_1_04FS_KID산업 34" xfId="6171"/>
    <cellStyle name="_차체 (2)_1_04FS_KID산업 35" xfId="6172"/>
    <cellStyle name="_차체 (2)_1_04FS_KID산업 36" xfId="6173"/>
    <cellStyle name="_차체 (2)_1_04FS_KID산업 37" xfId="6174"/>
    <cellStyle name="_차체 (2)_1_04FS_KID산업 38" xfId="6175"/>
    <cellStyle name="_차체 (2)_1_04FS_KID산업 39" xfId="6176"/>
    <cellStyle name="_차체 (2)_1_04FS_KID산업 4" xfId="6177"/>
    <cellStyle name="_차체 (2)_1_04FS_KID산업 40" xfId="6178"/>
    <cellStyle name="_차체 (2)_1_04FS_KID산업 41" xfId="6179"/>
    <cellStyle name="_차체 (2)_1_04FS_KID산업 42" xfId="6180"/>
    <cellStyle name="_차체 (2)_1_04FS_KID산업 43" xfId="6181"/>
    <cellStyle name="_차체 (2)_1_04FS_KID산업 44" xfId="6182"/>
    <cellStyle name="_차체 (2)_1_04FS_KID산업 45" xfId="6183"/>
    <cellStyle name="_차체 (2)_1_04FS_KID산업 46" xfId="6184"/>
    <cellStyle name="_차체 (2)_1_04FS_KID산업 47" xfId="6185"/>
    <cellStyle name="_차체 (2)_1_04FS_KID산업 48" xfId="6186"/>
    <cellStyle name="_차체 (2)_1_04FS_KID산업 49" xfId="6187"/>
    <cellStyle name="_차체 (2)_1_04FS_KID산업 5" xfId="6188"/>
    <cellStyle name="_차체 (2)_1_04FS_KID산업 50" xfId="6189"/>
    <cellStyle name="_차체 (2)_1_04FS_KID산업 51" xfId="6190"/>
    <cellStyle name="_차체 (2)_1_04FS_KID산업 52" xfId="6191"/>
    <cellStyle name="_차체 (2)_1_04FS_KID산업 53" xfId="6192"/>
    <cellStyle name="_차체 (2)_1_04FS_KID산업 54" xfId="6193"/>
    <cellStyle name="_차체 (2)_1_04FS_KID산업 55" xfId="6194"/>
    <cellStyle name="_차체 (2)_1_04FS_KID산업 56" xfId="6195"/>
    <cellStyle name="_차체 (2)_1_04FS_KID산업 57" xfId="6196"/>
    <cellStyle name="_차체 (2)_1_04FS_KID산업 58" xfId="6197"/>
    <cellStyle name="_차체 (2)_1_04FS_KID산업 59" xfId="6198"/>
    <cellStyle name="_차체 (2)_1_04FS_KID산업 6" xfId="6199"/>
    <cellStyle name="_차체 (2)_1_04FS_KID산업 60" xfId="6200"/>
    <cellStyle name="_차체 (2)_1_04FS_KID산업 61" xfId="6201"/>
    <cellStyle name="_차체 (2)_1_04FS_KID산업 62" xfId="6202"/>
    <cellStyle name="_차체 (2)_1_04FS_KID산업 63" xfId="6203"/>
    <cellStyle name="_차체 (2)_1_04FS_KID산업 7" xfId="6204"/>
    <cellStyle name="_차체 (2)_1_04FS_KID산업 8" xfId="6205"/>
    <cellStyle name="_차체 (2)_1_04FS_KID산업 9" xfId="6206"/>
    <cellStyle name="_차체 (2)_1_2002FS_FINAL" xfId="6207"/>
    <cellStyle name="_차체 (2)_1_2002FS_FINAL 10" xfId="6208"/>
    <cellStyle name="_차체 (2)_1_2002FS_FINAL 11" xfId="6209"/>
    <cellStyle name="_차체 (2)_1_2002FS_FINAL 12" xfId="6210"/>
    <cellStyle name="_차체 (2)_1_2002FS_FINAL 13" xfId="6211"/>
    <cellStyle name="_차체 (2)_1_2002FS_FINAL 14" xfId="6212"/>
    <cellStyle name="_차체 (2)_1_2002FS_FINAL 15" xfId="6213"/>
    <cellStyle name="_차체 (2)_1_2002FS_FINAL 16" xfId="6214"/>
    <cellStyle name="_차체 (2)_1_2002FS_FINAL 17" xfId="6215"/>
    <cellStyle name="_차체 (2)_1_2002FS_FINAL 18" xfId="6216"/>
    <cellStyle name="_차체 (2)_1_2002FS_FINAL 19" xfId="6217"/>
    <cellStyle name="_차체 (2)_1_2002FS_FINAL 2" xfId="6218"/>
    <cellStyle name="_차체 (2)_1_2002FS_FINAL 20" xfId="6219"/>
    <cellStyle name="_차체 (2)_1_2002FS_FINAL 21" xfId="6220"/>
    <cellStyle name="_차체 (2)_1_2002FS_FINAL 22" xfId="6221"/>
    <cellStyle name="_차체 (2)_1_2002FS_FINAL 23" xfId="6222"/>
    <cellStyle name="_차체 (2)_1_2002FS_FINAL 24" xfId="6223"/>
    <cellStyle name="_차체 (2)_1_2002FS_FINAL 25" xfId="6224"/>
    <cellStyle name="_차체 (2)_1_2002FS_FINAL 26" xfId="6225"/>
    <cellStyle name="_차체 (2)_1_2002FS_FINAL 27" xfId="6226"/>
    <cellStyle name="_차체 (2)_1_2002FS_FINAL 28" xfId="6227"/>
    <cellStyle name="_차체 (2)_1_2002FS_FINAL 29" xfId="6228"/>
    <cellStyle name="_차체 (2)_1_2002FS_FINAL 3" xfId="6229"/>
    <cellStyle name="_차체 (2)_1_2002FS_FINAL 30" xfId="6230"/>
    <cellStyle name="_차체 (2)_1_2002FS_FINAL 31" xfId="6231"/>
    <cellStyle name="_차체 (2)_1_2002FS_FINAL 32" xfId="6232"/>
    <cellStyle name="_차체 (2)_1_2002FS_FINAL 33" xfId="6233"/>
    <cellStyle name="_차체 (2)_1_2002FS_FINAL 34" xfId="6234"/>
    <cellStyle name="_차체 (2)_1_2002FS_FINAL 35" xfId="6235"/>
    <cellStyle name="_차체 (2)_1_2002FS_FINAL 36" xfId="6236"/>
    <cellStyle name="_차체 (2)_1_2002FS_FINAL 37" xfId="6237"/>
    <cellStyle name="_차체 (2)_1_2002FS_FINAL 38" xfId="6238"/>
    <cellStyle name="_차체 (2)_1_2002FS_FINAL 39" xfId="6239"/>
    <cellStyle name="_차체 (2)_1_2002FS_FINAL 4" xfId="6240"/>
    <cellStyle name="_차체 (2)_1_2002FS_FINAL 40" xfId="6241"/>
    <cellStyle name="_차체 (2)_1_2002FS_FINAL 41" xfId="6242"/>
    <cellStyle name="_차체 (2)_1_2002FS_FINAL 42" xfId="6243"/>
    <cellStyle name="_차체 (2)_1_2002FS_FINAL 43" xfId="6244"/>
    <cellStyle name="_차체 (2)_1_2002FS_FINAL 44" xfId="6245"/>
    <cellStyle name="_차체 (2)_1_2002FS_FINAL 45" xfId="6246"/>
    <cellStyle name="_차체 (2)_1_2002FS_FINAL 46" xfId="6247"/>
    <cellStyle name="_차체 (2)_1_2002FS_FINAL 47" xfId="6248"/>
    <cellStyle name="_차체 (2)_1_2002FS_FINAL 48" xfId="6249"/>
    <cellStyle name="_차체 (2)_1_2002FS_FINAL 49" xfId="6250"/>
    <cellStyle name="_차체 (2)_1_2002FS_FINAL 5" xfId="6251"/>
    <cellStyle name="_차체 (2)_1_2002FS_FINAL 50" xfId="6252"/>
    <cellStyle name="_차체 (2)_1_2002FS_FINAL 51" xfId="6253"/>
    <cellStyle name="_차체 (2)_1_2002FS_FINAL 52" xfId="6254"/>
    <cellStyle name="_차체 (2)_1_2002FS_FINAL 53" xfId="6255"/>
    <cellStyle name="_차체 (2)_1_2002FS_FINAL 54" xfId="6256"/>
    <cellStyle name="_차체 (2)_1_2002FS_FINAL 55" xfId="6257"/>
    <cellStyle name="_차체 (2)_1_2002FS_FINAL 56" xfId="6258"/>
    <cellStyle name="_차체 (2)_1_2002FS_FINAL 57" xfId="6259"/>
    <cellStyle name="_차체 (2)_1_2002FS_FINAL 58" xfId="6260"/>
    <cellStyle name="_차체 (2)_1_2002FS_FINAL 59" xfId="6261"/>
    <cellStyle name="_차체 (2)_1_2002FS_FINAL 6" xfId="6262"/>
    <cellStyle name="_차체 (2)_1_2002FS_FINAL 60" xfId="6263"/>
    <cellStyle name="_차체 (2)_1_2002FS_FINAL 61" xfId="6264"/>
    <cellStyle name="_차체 (2)_1_2002FS_FINAL 62" xfId="6265"/>
    <cellStyle name="_차체 (2)_1_2002FS_FINAL 63" xfId="6266"/>
    <cellStyle name="_차체 (2)_1_2002FS_FINAL 7" xfId="6267"/>
    <cellStyle name="_차체 (2)_1_2002FS_FINAL 8" xfId="6268"/>
    <cellStyle name="_차체 (2)_1_2002FS_FINAL 9" xfId="6269"/>
    <cellStyle name="_차체 (2)_1_2211  한주금속-2005FS의 워크시트" xfId="6270"/>
    <cellStyle name="_차체 (2)_1_2211  한주금속-2005FS의 워크시트 10" xfId="6271"/>
    <cellStyle name="_차체 (2)_1_2211  한주금속-2005FS의 워크시트 11" xfId="6272"/>
    <cellStyle name="_차체 (2)_1_2211  한주금속-2005FS의 워크시트 12" xfId="6273"/>
    <cellStyle name="_차체 (2)_1_2211  한주금속-2005FS의 워크시트 13" xfId="6274"/>
    <cellStyle name="_차체 (2)_1_2211  한주금속-2005FS의 워크시트 14" xfId="6275"/>
    <cellStyle name="_차체 (2)_1_2211  한주금속-2005FS의 워크시트 15" xfId="6276"/>
    <cellStyle name="_차체 (2)_1_2211  한주금속-2005FS의 워크시트 16" xfId="6277"/>
    <cellStyle name="_차체 (2)_1_2211  한주금속-2005FS의 워크시트 17" xfId="6278"/>
    <cellStyle name="_차체 (2)_1_2211  한주금속-2005FS의 워크시트 18" xfId="6279"/>
    <cellStyle name="_차체 (2)_1_2211  한주금속-2005FS의 워크시트 19" xfId="6280"/>
    <cellStyle name="_차체 (2)_1_2211  한주금속-2005FS의 워크시트 2" xfId="6281"/>
    <cellStyle name="_차체 (2)_1_2211  한주금속-2005FS의 워크시트 20" xfId="6282"/>
    <cellStyle name="_차체 (2)_1_2211  한주금속-2005FS의 워크시트 21" xfId="6283"/>
    <cellStyle name="_차체 (2)_1_2211  한주금속-2005FS의 워크시트 22" xfId="6284"/>
    <cellStyle name="_차체 (2)_1_2211  한주금속-2005FS의 워크시트 23" xfId="6285"/>
    <cellStyle name="_차체 (2)_1_2211  한주금속-2005FS의 워크시트 24" xfId="6286"/>
    <cellStyle name="_차체 (2)_1_2211  한주금속-2005FS의 워크시트 25" xfId="6287"/>
    <cellStyle name="_차체 (2)_1_2211  한주금속-2005FS의 워크시트 26" xfId="6288"/>
    <cellStyle name="_차체 (2)_1_2211  한주금속-2005FS의 워크시트 27" xfId="6289"/>
    <cellStyle name="_차체 (2)_1_2211  한주금속-2005FS의 워크시트 28" xfId="6290"/>
    <cellStyle name="_차체 (2)_1_2211  한주금속-2005FS의 워크시트 29" xfId="6291"/>
    <cellStyle name="_차체 (2)_1_2211  한주금속-2005FS의 워크시트 3" xfId="6292"/>
    <cellStyle name="_차체 (2)_1_2211  한주금속-2005FS의 워크시트 30" xfId="6293"/>
    <cellStyle name="_차체 (2)_1_2211  한주금속-2005FS의 워크시트 31" xfId="6294"/>
    <cellStyle name="_차체 (2)_1_2211  한주금속-2005FS의 워크시트 32" xfId="6295"/>
    <cellStyle name="_차체 (2)_1_2211  한주금속-2005FS의 워크시트 33" xfId="6296"/>
    <cellStyle name="_차체 (2)_1_2211  한주금속-2005FS의 워크시트 34" xfId="6297"/>
    <cellStyle name="_차체 (2)_1_2211  한주금속-2005FS의 워크시트 35" xfId="6298"/>
    <cellStyle name="_차체 (2)_1_2211  한주금속-2005FS의 워크시트 36" xfId="6299"/>
    <cellStyle name="_차체 (2)_1_2211  한주금속-2005FS의 워크시트 37" xfId="6300"/>
    <cellStyle name="_차체 (2)_1_2211  한주금속-2005FS의 워크시트 38" xfId="6301"/>
    <cellStyle name="_차체 (2)_1_2211  한주금속-2005FS의 워크시트 39" xfId="6302"/>
    <cellStyle name="_차체 (2)_1_2211  한주금속-2005FS의 워크시트 4" xfId="6303"/>
    <cellStyle name="_차체 (2)_1_2211  한주금속-2005FS의 워크시트 40" xfId="6304"/>
    <cellStyle name="_차체 (2)_1_2211  한주금속-2005FS의 워크시트 41" xfId="6305"/>
    <cellStyle name="_차체 (2)_1_2211  한주금속-2005FS의 워크시트 42" xfId="6306"/>
    <cellStyle name="_차체 (2)_1_2211  한주금속-2005FS의 워크시트 43" xfId="6307"/>
    <cellStyle name="_차체 (2)_1_2211  한주금속-2005FS의 워크시트 44" xfId="6308"/>
    <cellStyle name="_차체 (2)_1_2211  한주금속-2005FS의 워크시트 45" xfId="6309"/>
    <cellStyle name="_차체 (2)_1_2211  한주금속-2005FS의 워크시트 46" xfId="6310"/>
    <cellStyle name="_차체 (2)_1_2211  한주금속-2005FS의 워크시트 47" xfId="6311"/>
    <cellStyle name="_차체 (2)_1_2211  한주금속-2005FS의 워크시트 48" xfId="6312"/>
    <cellStyle name="_차체 (2)_1_2211  한주금속-2005FS의 워크시트 49" xfId="6313"/>
    <cellStyle name="_차체 (2)_1_2211  한주금속-2005FS의 워크시트 5" xfId="6314"/>
    <cellStyle name="_차체 (2)_1_2211  한주금속-2005FS의 워크시트 50" xfId="6315"/>
    <cellStyle name="_차체 (2)_1_2211  한주금속-2005FS의 워크시트 51" xfId="6316"/>
    <cellStyle name="_차체 (2)_1_2211  한주금속-2005FS의 워크시트 52" xfId="6317"/>
    <cellStyle name="_차체 (2)_1_2211  한주금속-2005FS의 워크시트 53" xfId="6318"/>
    <cellStyle name="_차체 (2)_1_2211  한주금속-2005FS의 워크시트 54" xfId="6319"/>
    <cellStyle name="_차체 (2)_1_2211  한주금속-2005FS의 워크시트 55" xfId="6320"/>
    <cellStyle name="_차체 (2)_1_2211  한주금속-2005FS의 워크시트 56" xfId="6321"/>
    <cellStyle name="_차체 (2)_1_2211  한주금속-2005FS의 워크시트 57" xfId="6322"/>
    <cellStyle name="_차체 (2)_1_2211  한주금속-2005FS의 워크시트 58" xfId="6323"/>
    <cellStyle name="_차체 (2)_1_2211  한주금속-2005FS의 워크시트 59" xfId="6324"/>
    <cellStyle name="_차체 (2)_1_2211  한주금속-2005FS의 워크시트 6" xfId="6325"/>
    <cellStyle name="_차체 (2)_1_2211  한주금속-2005FS의 워크시트 60" xfId="6326"/>
    <cellStyle name="_차체 (2)_1_2211  한주금속-2005FS의 워크시트 61" xfId="6327"/>
    <cellStyle name="_차체 (2)_1_2211  한주금속-2005FS의 워크시트 62" xfId="6328"/>
    <cellStyle name="_차체 (2)_1_2211  한주금속-2005FS의 워크시트 63" xfId="6329"/>
    <cellStyle name="_차체 (2)_1_2211  한주금속-2005FS의 워크시트 7" xfId="6330"/>
    <cellStyle name="_차체 (2)_1_2211  한주금속-2005FS의 워크시트 8" xfId="6331"/>
    <cellStyle name="_차체 (2)_1_2211  한주금속-2005FS의 워크시트 9" xfId="6332"/>
    <cellStyle name="_차체 (2)_1_7기 에자이 현금흐름표" xfId="6333"/>
    <cellStyle name="_차체 (2)_1_7기 에자이 현금흐름표 10" xfId="6334"/>
    <cellStyle name="_차체 (2)_1_7기 에자이 현금흐름표 11" xfId="6335"/>
    <cellStyle name="_차체 (2)_1_7기 에자이 현금흐름표 12" xfId="6336"/>
    <cellStyle name="_차체 (2)_1_7기 에자이 현금흐름표 13" xfId="6337"/>
    <cellStyle name="_차체 (2)_1_7기 에자이 현금흐름표 14" xfId="6338"/>
    <cellStyle name="_차체 (2)_1_7기 에자이 현금흐름표 15" xfId="6339"/>
    <cellStyle name="_차체 (2)_1_7기 에자이 현금흐름표 16" xfId="6340"/>
    <cellStyle name="_차체 (2)_1_7기 에자이 현금흐름표 17" xfId="6341"/>
    <cellStyle name="_차체 (2)_1_7기 에자이 현금흐름표 18" xfId="6342"/>
    <cellStyle name="_차체 (2)_1_7기 에자이 현금흐름표 19" xfId="6343"/>
    <cellStyle name="_차체 (2)_1_7기 에자이 현금흐름표 2" xfId="6344"/>
    <cellStyle name="_차체 (2)_1_7기 에자이 현금흐름표 20" xfId="6345"/>
    <cellStyle name="_차체 (2)_1_7기 에자이 현금흐름표 21" xfId="6346"/>
    <cellStyle name="_차체 (2)_1_7기 에자이 현금흐름표 22" xfId="6347"/>
    <cellStyle name="_차체 (2)_1_7기 에자이 현금흐름표 23" xfId="6348"/>
    <cellStyle name="_차체 (2)_1_7기 에자이 현금흐름표 24" xfId="6349"/>
    <cellStyle name="_차체 (2)_1_7기 에자이 현금흐름표 25" xfId="6350"/>
    <cellStyle name="_차체 (2)_1_7기 에자이 현금흐름표 26" xfId="6351"/>
    <cellStyle name="_차체 (2)_1_7기 에자이 현금흐름표 27" xfId="6352"/>
    <cellStyle name="_차체 (2)_1_7기 에자이 현금흐름표 28" xfId="6353"/>
    <cellStyle name="_차체 (2)_1_7기 에자이 현금흐름표 29" xfId="6354"/>
    <cellStyle name="_차체 (2)_1_7기 에자이 현금흐름표 3" xfId="6355"/>
    <cellStyle name="_차체 (2)_1_7기 에자이 현금흐름표 30" xfId="6356"/>
    <cellStyle name="_차체 (2)_1_7기 에자이 현금흐름표 31" xfId="6357"/>
    <cellStyle name="_차체 (2)_1_7기 에자이 현금흐름표 32" xfId="6358"/>
    <cellStyle name="_차체 (2)_1_7기 에자이 현금흐름표 33" xfId="6359"/>
    <cellStyle name="_차체 (2)_1_7기 에자이 현금흐름표 34" xfId="6360"/>
    <cellStyle name="_차체 (2)_1_7기 에자이 현금흐름표 35" xfId="6361"/>
    <cellStyle name="_차체 (2)_1_7기 에자이 현금흐름표 36" xfId="6362"/>
    <cellStyle name="_차체 (2)_1_7기 에자이 현금흐름표 37" xfId="6363"/>
    <cellStyle name="_차체 (2)_1_7기 에자이 현금흐름표 38" xfId="6364"/>
    <cellStyle name="_차체 (2)_1_7기 에자이 현금흐름표 39" xfId="6365"/>
    <cellStyle name="_차체 (2)_1_7기 에자이 현금흐름표 4" xfId="6366"/>
    <cellStyle name="_차체 (2)_1_7기 에자이 현금흐름표 40" xfId="6367"/>
    <cellStyle name="_차체 (2)_1_7기 에자이 현금흐름표 41" xfId="6368"/>
    <cellStyle name="_차체 (2)_1_7기 에자이 현금흐름표 42" xfId="6369"/>
    <cellStyle name="_차체 (2)_1_7기 에자이 현금흐름표 43" xfId="6370"/>
    <cellStyle name="_차체 (2)_1_7기 에자이 현금흐름표 44" xfId="6371"/>
    <cellStyle name="_차체 (2)_1_7기 에자이 현금흐름표 45" xfId="6372"/>
    <cellStyle name="_차체 (2)_1_7기 에자이 현금흐름표 46" xfId="6373"/>
    <cellStyle name="_차체 (2)_1_7기 에자이 현금흐름표 47" xfId="6374"/>
    <cellStyle name="_차체 (2)_1_7기 에자이 현금흐름표 48" xfId="6375"/>
    <cellStyle name="_차체 (2)_1_7기 에자이 현금흐름표 49" xfId="6376"/>
    <cellStyle name="_차체 (2)_1_7기 에자이 현금흐름표 5" xfId="6377"/>
    <cellStyle name="_차체 (2)_1_7기 에자이 현금흐름표 50" xfId="6378"/>
    <cellStyle name="_차체 (2)_1_7기 에자이 현금흐름표 51" xfId="6379"/>
    <cellStyle name="_차체 (2)_1_7기 에자이 현금흐름표 52" xfId="6380"/>
    <cellStyle name="_차체 (2)_1_7기 에자이 현금흐름표 53" xfId="6381"/>
    <cellStyle name="_차체 (2)_1_7기 에자이 현금흐름표 54" xfId="6382"/>
    <cellStyle name="_차체 (2)_1_7기 에자이 현금흐름표 55" xfId="6383"/>
    <cellStyle name="_차체 (2)_1_7기 에자이 현금흐름표 56" xfId="6384"/>
    <cellStyle name="_차체 (2)_1_7기 에자이 현금흐름표 57" xfId="6385"/>
    <cellStyle name="_차체 (2)_1_7기 에자이 현금흐름표 58" xfId="6386"/>
    <cellStyle name="_차체 (2)_1_7기 에자이 현금흐름표 59" xfId="6387"/>
    <cellStyle name="_차체 (2)_1_7기 에자이 현금흐름표 6" xfId="6388"/>
    <cellStyle name="_차체 (2)_1_7기 에자이 현금흐름표 60" xfId="6389"/>
    <cellStyle name="_차체 (2)_1_7기 에자이 현금흐름표 61" xfId="6390"/>
    <cellStyle name="_차체 (2)_1_7기 에자이 현금흐름표 62" xfId="6391"/>
    <cellStyle name="_차체 (2)_1_7기 에자이 현금흐름표 63" xfId="6392"/>
    <cellStyle name="_차체 (2)_1_7기 에자이 현금흐름표 7" xfId="6393"/>
    <cellStyle name="_차체 (2)_1_7기 에자이 현금흐름표 8" xfId="6394"/>
    <cellStyle name="_차체 (2)_1_7기 에자이 현금흐름표 9" xfId="6395"/>
    <cellStyle name="_차체 (2)_1_8720 18기이연법인세의 워크시트" xfId="6396"/>
    <cellStyle name="_차체 (2)_1_8720 18기이연법인세의 워크시트 10" xfId="6397"/>
    <cellStyle name="_차체 (2)_1_8720 18기이연법인세의 워크시트 11" xfId="6398"/>
    <cellStyle name="_차체 (2)_1_8720 18기이연법인세의 워크시트 12" xfId="6399"/>
    <cellStyle name="_차체 (2)_1_8720 18기이연법인세의 워크시트 13" xfId="6400"/>
    <cellStyle name="_차체 (2)_1_8720 18기이연법인세의 워크시트 14" xfId="6401"/>
    <cellStyle name="_차체 (2)_1_8720 18기이연법인세의 워크시트 15" xfId="6402"/>
    <cellStyle name="_차체 (2)_1_8720 18기이연법인세의 워크시트 16" xfId="6403"/>
    <cellStyle name="_차체 (2)_1_8720 18기이연법인세의 워크시트 17" xfId="6404"/>
    <cellStyle name="_차체 (2)_1_8720 18기이연법인세의 워크시트 18" xfId="6405"/>
    <cellStyle name="_차체 (2)_1_8720 18기이연법인세의 워크시트 19" xfId="6406"/>
    <cellStyle name="_차체 (2)_1_8720 18기이연법인세의 워크시트 2" xfId="6407"/>
    <cellStyle name="_차체 (2)_1_8720 18기이연법인세의 워크시트 20" xfId="6408"/>
    <cellStyle name="_차체 (2)_1_8720 18기이연법인세의 워크시트 21" xfId="6409"/>
    <cellStyle name="_차체 (2)_1_8720 18기이연법인세의 워크시트 22" xfId="6410"/>
    <cellStyle name="_차체 (2)_1_8720 18기이연법인세의 워크시트 23" xfId="6411"/>
    <cellStyle name="_차체 (2)_1_8720 18기이연법인세의 워크시트 24" xfId="6412"/>
    <cellStyle name="_차체 (2)_1_8720 18기이연법인세의 워크시트 25" xfId="6413"/>
    <cellStyle name="_차체 (2)_1_8720 18기이연법인세의 워크시트 26" xfId="6414"/>
    <cellStyle name="_차체 (2)_1_8720 18기이연법인세의 워크시트 27" xfId="6415"/>
    <cellStyle name="_차체 (2)_1_8720 18기이연법인세의 워크시트 28" xfId="6416"/>
    <cellStyle name="_차체 (2)_1_8720 18기이연법인세의 워크시트 29" xfId="6417"/>
    <cellStyle name="_차체 (2)_1_8720 18기이연법인세의 워크시트 3" xfId="6418"/>
    <cellStyle name="_차체 (2)_1_8720 18기이연법인세의 워크시트 30" xfId="6419"/>
    <cellStyle name="_차체 (2)_1_8720 18기이연법인세의 워크시트 31" xfId="6420"/>
    <cellStyle name="_차체 (2)_1_8720 18기이연법인세의 워크시트 32" xfId="6421"/>
    <cellStyle name="_차체 (2)_1_8720 18기이연법인세의 워크시트 33" xfId="6422"/>
    <cellStyle name="_차체 (2)_1_8720 18기이연법인세의 워크시트 34" xfId="6423"/>
    <cellStyle name="_차체 (2)_1_8720 18기이연법인세의 워크시트 35" xfId="6424"/>
    <cellStyle name="_차체 (2)_1_8720 18기이연법인세의 워크시트 36" xfId="6425"/>
    <cellStyle name="_차체 (2)_1_8720 18기이연법인세의 워크시트 37" xfId="6426"/>
    <cellStyle name="_차체 (2)_1_8720 18기이연법인세의 워크시트 38" xfId="6427"/>
    <cellStyle name="_차체 (2)_1_8720 18기이연법인세의 워크시트 39" xfId="6428"/>
    <cellStyle name="_차체 (2)_1_8720 18기이연법인세의 워크시트 4" xfId="6429"/>
    <cellStyle name="_차체 (2)_1_8720 18기이연법인세의 워크시트 40" xfId="6430"/>
    <cellStyle name="_차체 (2)_1_8720 18기이연법인세의 워크시트 41" xfId="6431"/>
    <cellStyle name="_차체 (2)_1_8720 18기이연법인세의 워크시트 42" xfId="6432"/>
    <cellStyle name="_차체 (2)_1_8720 18기이연법인세의 워크시트 43" xfId="6433"/>
    <cellStyle name="_차체 (2)_1_8720 18기이연법인세의 워크시트 44" xfId="6434"/>
    <cellStyle name="_차체 (2)_1_8720 18기이연법인세의 워크시트 45" xfId="6435"/>
    <cellStyle name="_차체 (2)_1_8720 18기이연법인세의 워크시트 46" xfId="6436"/>
    <cellStyle name="_차체 (2)_1_8720 18기이연법인세의 워크시트 47" xfId="6437"/>
    <cellStyle name="_차체 (2)_1_8720 18기이연법인세의 워크시트 48" xfId="6438"/>
    <cellStyle name="_차체 (2)_1_8720 18기이연법인세의 워크시트 49" xfId="6439"/>
    <cellStyle name="_차체 (2)_1_8720 18기이연법인세의 워크시트 5" xfId="6440"/>
    <cellStyle name="_차체 (2)_1_8720 18기이연법인세의 워크시트 50" xfId="6441"/>
    <cellStyle name="_차체 (2)_1_8720 18기이연법인세의 워크시트 51" xfId="6442"/>
    <cellStyle name="_차체 (2)_1_8720 18기이연법인세의 워크시트 52" xfId="6443"/>
    <cellStyle name="_차체 (2)_1_8720 18기이연법인세의 워크시트 53" xfId="6444"/>
    <cellStyle name="_차체 (2)_1_8720 18기이연법인세의 워크시트 54" xfId="6445"/>
    <cellStyle name="_차체 (2)_1_8720 18기이연법인세의 워크시트 55" xfId="6446"/>
    <cellStyle name="_차체 (2)_1_8720 18기이연법인세의 워크시트 56" xfId="6447"/>
    <cellStyle name="_차체 (2)_1_8720 18기이연법인세의 워크시트 57" xfId="6448"/>
    <cellStyle name="_차체 (2)_1_8720 18기이연법인세의 워크시트 58" xfId="6449"/>
    <cellStyle name="_차체 (2)_1_8720 18기이연법인세의 워크시트 59" xfId="6450"/>
    <cellStyle name="_차체 (2)_1_8720 18기이연법인세의 워크시트 6" xfId="6451"/>
    <cellStyle name="_차체 (2)_1_8720 18기이연법인세의 워크시트 60" xfId="6452"/>
    <cellStyle name="_차체 (2)_1_8720 18기이연법인세의 워크시트 61" xfId="6453"/>
    <cellStyle name="_차체 (2)_1_8720 18기이연법인세의 워크시트 62" xfId="6454"/>
    <cellStyle name="_차체 (2)_1_8720 18기이연법인세의 워크시트 63" xfId="6455"/>
    <cellStyle name="_차체 (2)_1_8720 18기이연법인세의 워크시트 7" xfId="6456"/>
    <cellStyle name="_차체 (2)_1_8720 18기이연법인세의 워크시트 8" xfId="6457"/>
    <cellStyle name="_차체 (2)_1_8720 18기이연법인세의 워크시트 9" xfId="6458"/>
    <cellStyle name="_차체 (2)_1_Worksheet in (C) 8730 7기이연법인세검토" xfId="6711"/>
    <cellStyle name="_차체 (2)_1_Worksheet in (C) 8730 7기이연법인세검토 10" xfId="6712"/>
    <cellStyle name="_차체 (2)_1_Worksheet in (C) 8730 7기이연법인세검토 11" xfId="6713"/>
    <cellStyle name="_차체 (2)_1_Worksheet in (C) 8730 7기이연법인세검토 12" xfId="6714"/>
    <cellStyle name="_차체 (2)_1_Worksheet in (C) 8730 7기이연법인세검토 13" xfId="6715"/>
    <cellStyle name="_차체 (2)_1_Worksheet in (C) 8730 7기이연법인세검토 14" xfId="6716"/>
    <cellStyle name="_차체 (2)_1_Worksheet in (C) 8730 7기이연법인세검토 15" xfId="6717"/>
    <cellStyle name="_차체 (2)_1_Worksheet in (C) 8730 7기이연법인세검토 16" xfId="6718"/>
    <cellStyle name="_차체 (2)_1_Worksheet in (C) 8730 7기이연법인세검토 17" xfId="6719"/>
    <cellStyle name="_차체 (2)_1_Worksheet in (C) 8730 7기이연법인세검토 18" xfId="6720"/>
    <cellStyle name="_차체 (2)_1_Worksheet in (C) 8730 7기이연법인세검토 19" xfId="6721"/>
    <cellStyle name="_차체 (2)_1_Worksheet in (C) 8730 7기이연법인세검토 2" xfId="6722"/>
    <cellStyle name="_차체 (2)_1_Worksheet in (C) 8730 7기이연법인세검토 20" xfId="6723"/>
    <cellStyle name="_차체 (2)_1_Worksheet in (C) 8730 7기이연법인세검토 21" xfId="6724"/>
    <cellStyle name="_차체 (2)_1_Worksheet in (C) 8730 7기이연법인세검토 22" xfId="6725"/>
    <cellStyle name="_차체 (2)_1_Worksheet in (C) 8730 7기이연법인세검토 23" xfId="6726"/>
    <cellStyle name="_차체 (2)_1_Worksheet in (C) 8730 7기이연법인세검토 24" xfId="6727"/>
    <cellStyle name="_차체 (2)_1_Worksheet in (C) 8730 7기이연법인세검토 25" xfId="6728"/>
    <cellStyle name="_차체 (2)_1_Worksheet in (C) 8730 7기이연법인세검토 26" xfId="6729"/>
    <cellStyle name="_차체 (2)_1_Worksheet in (C) 8730 7기이연법인세검토 27" xfId="6730"/>
    <cellStyle name="_차체 (2)_1_Worksheet in (C) 8730 7기이연법인세검토 28" xfId="6731"/>
    <cellStyle name="_차체 (2)_1_Worksheet in (C) 8730 7기이연법인세검토 29" xfId="6732"/>
    <cellStyle name="_차체 (2)_1_Worksheet in (C) 8730 7기이연법인세검토 3" xfId="6733"/>
    <cellStyle name="_차체 (2)_1_Worksheet in (C) 8730 7기이연법인세검토 30" xfId="6734"/>
    <cellStyle name="_차체 (2)_1_Worksheet in (C) 8730 7기이연법인세검토 31" xfId="6735"/>
    <cellStyle name="_차체 (2)_1_Worksheet in (C) 8730 7기이연법인세검토 32" xfId="6736"/>
    <cellStyle name="_차체 (2)_1_Worksheet in (C) 8730 7기이연법인세검토 33" xfId="6737"/>
    <cellStyle name="_차체 (2)_1_Worksheet in (C) 8730 7기이연법인세검토 34" xfId="6738"/>
    <cellStyle name="_차체 (2)_1_Worksheet in (C) 8730 7기이연법인세검토 35" xfId="6739"/>
    <cellStyle name="_차체 (2)_1_Worksheet in (C) 8730 7기이연법인세검토 36" xfId="6740"/>
    <cellStyle name="_차체 (2)_1_Worksheet in (C) 8730 7기이연법인세검토 37" xfId="6741"/>
    <cellStyle name="_차체 (2)_1_Worksheet in (C) 8730 7기이연법인세검토 38" xfId="6742"/>
    <cellStyle name="_차체 (2)_1_Worksheet in (C) 8730 7기이연법인세검토 39" xfId="6743"/>
    <cellStyle name="_차체 (2)_1_Worksheet in (C) 8730 7기이연법인세검토 4" xfId="6744"/>
    <cellStyle name="_차체 (2)_1_Worksheet in (C) 8730 7기이연법인세검토 40" xfId="6745"/>
    <cellStyle name="_차체 (2)_1_Worksheet in (C) 8730 7기이연법인세검토 41" xfId="6746"/>
    <cellStyle name="_차체 (2)_1_Worksheet in (C) 8730 7기이연법인세검토 42" xfId="6747"/>
    <cellStyle name="_차체 (2)_1_Worksheet in (C) 8730 7기이연법인세검토 43" xfId="6748"/>
    <cellStyle name="_차체 (2)_1_Worksheet in (C) 8730 7기이연법인세검토 44" xfId="6749"/>
    <cellStyle name="_차체 (2)_1_Worksheet in (C) 8730 7기이연법인세검토 45" xfId="6750"/>
    <cellStyle name="_차체 (2)_1_Worksheet in (C) 8730 7기이연법인세검토 46" xfId="6751"/>
    <cellStyle name="_차체 (2)_1_Worksheet in (C) 8730 7기이연법인세검토 47" xfId="6752"/>
    <cellStyle name="_차체 (2)_1_Worksheet in (C) 8730 7기이연법인세검토 48" xfId="6753"/>
    <cellStyle name="_차체 (2)_1_Worksheet in (C) 8730 7기이연법인세검토 49" xfId="6754"/>
    <cellStyle name="_차체 (2)_1_Worksheet in (C) 8730 7기이연법인세검토 5" xfId="6755"/>
    <cellStyle name="_차체 (2)_1_Worksheet in (C) 8730 7기이연법인세검토 50" xfId="6756"/>
    <cellStyle name="_차체 (2)_1_Worksheet in (C) 8730 7기이연법인세검토 51" xfId="6757"/>
    <cellStyle name="_차체 (2)_1_Worksheet in (C) 8730 7기이연법인세검토 52" xfId="6758"/>
    <cellStyle name="_차체 (2)_1_Worksheet in (C) 8730 7기이연법인세검토 53" xfId="6759"/>
    <cellStyle name="_차체 (2)_1_Worksheet in (C) 8730 7기이연법인세검토 54" xfId="6760"/>
    <cellStyle name="_차체 (2)_1_Worksheet in (C) 8730 7기이연법인세검토 55" xfId="6761"/>
    <cellStyle name="_차체 (2)_1_Worksheet in (C) 8730 7기이연법인세검토 56" xfId="6762"/>
    <cellStyle name="_차체 (2)_1_Worksheet in (C) 8730 7기이연법인세검토 57" xfId="6763"/>
    <cellStyle name="_차체 (2)_1_Worksheet in (C) 8730 7기이연법인세검토 58" xfId="6764"/>
    <cellStyle name="_차체 (2)_1_Worksheet in (C) 8730 7기이연법인세검토 59" xfId="6765"/>
    <cellStyle name="_차체 (2)_1_Worksheet in (C) 8730 7기이연법인세검토 6" xfId="6766"/>
    <cellStyle name="_차체 (2)_1_Worksheet in (C) 8730 7기이연법인세검토 60" xfId="6767"/>
    <cellStyle name="_차체 (2)_1_Worksheet in (C) 8730 7기이연법인세검토 61" xfId="6768"/>
    <cellStyle name="_차체 (2)_1_Worksheet in (C) 8730 7기이연법인세검토 62" xfId="6769"/>
    <cellStyle name="_차체 (2)_1_Worksheet in (C) 8730 7기이연법인세검토 63" xfId="6770"/>
    <cellStyle name="_차체 (2)_1_Worksheet in (C) 8730 7기이연법인세검토 7" xfId="6771"/>
    <cellStyle name="_차체 (2)_1_Worksheet in (C) 8730 7기이연법인세검토 8" xfId="6772"/>
    <cellStyle name="_차체 (2)_1_Worksheet in (C) 8730 7기이연법인세검토 9" xfId="6773"/>
    <cellStyle name="_차체 (2)_1_대차손익(20070331)_kjh" xfId="6459"/>
    <cellStyle name="_차체 (2)_1_대차손익(20070331)_kjh 10" xfId="6460"/>
    <cellStyle name="_차체 (2)_1_대차손익(20070331)_kjh 11" xfId="6461"/>
    <cellStyle name="_차체 (2)_1_대차손익(20070331)_kjh 12" xfId="6462"/>
    <cellStyle name="_차체 (2)_1_대차손익(20070331)_kjh 13" xfId="6463"/>
    <cellStyle name="_차체 (2)_1_대차손익(20070331)_kjh 14" xfId="6464"/>
    <cellStyle name="_차체 (2)_1_대차손익(20070331)_kjh 15" xfId="6465"/>
    <cellStyle name="_차체 (2)_1_대차손익(20070331)_kjh 16" xfId="6466"/>
    <cellStyle name="_차체 (2)_1_대차손익(20070331)_kjh 17" xfId="6467"/>
    <cellStyle name="_차체 (2)_1_대차손익(20070331)_kjh 18" xfId="6468"/>
    <cellStyle name="_차체 (2)_1_대차손익(20070331)_kjh 19" xfId="6469"/>
    <cellStyle name="_차체 (2)_1_대차손익(20070331)_kjh 2" xfId="6470"/>
    <cellStyle name="_차체 (2)_1_대차손익(20070331)_kjh 20" xfId="6471"/>
    <cellStyle name="_차체 (2)_1_대차손익(20070331)_kjh 21" xfId="6472"/>
    <cellStyle name="_차체 (2)_1_대차손익(20070331)_kjh 22" xfId="6473"/>
    <cellStyle name="_차체 (2)_1_대차손익(20070331)_kjh 23" xfId="6474"/>
    <cellStyle name="_차체 (2)_1_대차손익(20070331)_kjh 24" xfId="6475"/>
    <cellStyle name="_차체 (2)_1_대차손익(20070331)_kjh 25" xfId="6476"/>
    <cellStyle name="_차체 (2)_1_대차손익(20070331)_kjh 26" xfId="6477"/>
    <cellStyle name="_차체 (2)_1_대차손익(20070331)_kjh 27" xfId="6478"/>
    <cellStyle name="_차체 (2)_1_대차손익(20070331)_kjh 28" xfId="6479"/>
    <cellStyle name="_차체 (2)_1_대차손익(20070331)_kjh 29" xfId="6480"/>
    <cellStyle name="_차체 (2)_1_대차손익(20070331)_kjh 3" xfId="6481"/>
    <cellStyle name="_차체 (2)_1_대차손익(20070331)_kjh 30" xfId="6482"/>
    <cellStyle name="_차체 (2)_1_대차손익(20070331)_kjh 31" xfId="6483"/>
    <cellStyle name="_차체 (2)_1_대차손익(20070331)_kjh 32" xfId="6484"/>
    <cellStyle name="_차체 (2)_1_대차손익(20070331)_kjh 33" xfId="6485"/>
    <cellStyle name="_차체 (2)_1_대차손익(20070331)_kjh 34" xfId="6486"/>
    <cellStyle name="_차체 (2)_1_대차손익(20070331)_kjh 35" xfId="6487"/>
    <cellStyle name="_차체 (2)_1_대차손익(20070331)_kjh 36" xfId="6488"/>
    <cellStyle name="_차체 (2)_1_대차손익(20070331)_kjh 37" xfId="6489"/>
    <cellStyle name="_차체 (2)_1_대차손익(20070331)_kjh 38" xfId="6490"/>
    <cellStyle name="_차체 (2)_1_대차손익(20070331)_kjh 39" xfId="6491"/>
    <cellStyle name="_차체 (2)_1_대차손익(20070331)_kjh 4" xfId="6492"/>
    <cellStyle name="_차체 (2)_1_대차손익(20070331)_kjh 40" xfId="6493"/>
    <cellStyle name="_차체 (2)_1_대차손익(20070331)_kjh 41" xfId="6494"/>
    <cellStyle name="_차체 (2)_1_대차손익(20070331)_kjh 42" xfId="6495"/>
    <cellStyle name="_차체 (2)_1_대차손익(20070331)_kjh 43" xfId="6496"/>
    <cellStyle name="_차체 (2)_1_대차손익(20070331)_kjh 44" xfId="6497"/>
    <cellStyle name="_차체 (2)_1_대차손익(20070331)_kjh 45" xfId="6498"/>
    <cellStyle name="_차체 (2)_1_대차손익(20070331)_kjh 46" xfId="6499"/>
    <cellStyle name="_차체 (2)_1_대차손익(20070331)_kjh 47" xfId="6500"/>
    <cellStyle name="_차체 (2)_1_대차손익(20070331)_kjh 48" xfId="6501"/>
    <cellStyle name="_차체 (2)_1_대차손익(20070331)_kjh 49" xfId="6502"/>
    <cellStyle name="_차체 (2)_1_대차손익(20070331)_kjh 5" xfId="6503"/>
    <cellStyle name="_차체 (2)_1_대차손익(20070331)_kjh 50" xfId="6504"/>
    <cellStyle name="_차체 (2)_1_대차손익(20070331)_kjh 51" xfId="6505"/>
    <cellStyle name="_차체 (2)_1_대차손익(20070331)_kjh 52" xfId="6506"/>
    <cellStyle name="_차체 (2)_1_대차손익(20070331)_kjh 53" xfId="6507"/>
    <cellStyle name="_차체 (2)_1_대차손익(20070331)_kjh 54" xfId="6508"/>
    <cellStyle name="_차체 (2)_1_대차손익(20070331)_kjh 55" xfId="6509"/>
    <cellStyle name="_차체 (2)_1_대차손익(20070331)_kjh 56" xfId="6510"/>
    <cellStyle name="_차체 (2)_1_대차손익(20070331)_kjh 57" xfId="6511"/>
    <cellStyle name="_차체 (2)_1_대차손익(20070331)_kjh 58" xfId="6512"/>
    <cellStyle name="_차체 (2)_1_대차손익(20070331)_kjh 59" xfId="6513"/>
    <cellStyle name="_차체 (2)_1_대차손익(20070331)_kjh 6" xfId="6514"/>
    <cellStyle name="_차체 (2)_1_대차손익(20070331)_kjh 60" xfId="6515"/>
    <cellStyle name="_차체 (2)_1_대차손익(20070331)_kjh 61" xfId="6516"/>
    <cellStyle name="_차체 (2)_1_대차손익(20070331)_kjh 62" xfId="6517"/>
    <cellStyle name="_차체 (2)_1_대차손익(20070331)_kjh 63" xfId="6518"/>
    <cellStyle name="_차체 (2)_1_대차손익(20070331)_kjh 7" xfId="6519"/>
    <cellStyle name="_차체 (2)_1_대차손익(20070331)_kjh 8" xfId="6520"/>
    <cellStyle name="_차체 (2)_1_대차손익(20070331)_kjh 9" xfId="6521"/>
    <cellStyle name="_차체 (2)_1_마이콤-2004fs(05.2.25)" xfId="6522"/>
    <cellStyle name="_차체 (2)_1_마이콤-2004fs(05.2.25) 10" xfId="6523"/>
    <cellStyle name="_차체 (2)_1_마이콤-2004fs(05.2.25) 11" xfId="6524"/>
    <cellStyle name="_차체 (2)_1_마이콤-2004fs(05.2.25) 12" xfId="6525"/>
    <cellStyle name="_차체 (2)_1_마이콤-2004fs(05.2.25) 13" xfId="6526"/>
    <cellStyle name="_차체 (2)_1_마이콤-2004fs(05.2.25) 14" xfId="6527"/>
    <cellStyle name="_차체 (2)_1_마이콤-2004fs(05.2.25) 15" xfId="6528"/>
    <cellStyle name="_차체 (2)_1_마이콤-2004fs(05.2.25) 16" xfId="6529"/>
    <cellStyle name="_차체 (2)_1_마이콤-2004fs(05.2.25) 17" xfId="6530"/>
    <cellStyle name="_차체 (2)_1_마이콤-2004fs(05.2.25) 18" xfId="6531"/>
    <cellStyle name="_차체 (2)_1_마이콤-2004fs(05.2.25) 19" xfId="6532"/>
    <cellStyle name="_차체 (2)_1_마이콤-2004fs(05.2.25) 2" xfId="6533"/>
    <cellStyle name="_차체 (2)_1_마이콤-2004fs(05.2.25) 20" xfId="6534"/>
    <cellStyle name="_차체 (2)_1_마이콤-2004fs(05.2.25) 21" xfId="6535"/>
    <cellStyle name="_차체 (2)_1_마이콤-2004fs(05.2.25) 22" xfId="6536"/>
    <cellStyle name="_차체 (2)_1_마이콤-2004fs(05.2.25) 23" xfId="6537"/>
    <cellStyle name="_차체 (2)_1_마이콤-2004fs(05.2.25) 24" xfId="6538"/>
    <cellStyle name="_차체 (2)_1_마이콤-2004fs(05.2.25) 25" xfId="6539"/>
    <cellStyle name="_차체 (2)_1_마이콤-2004fs(05.2.25) 26" xfId="6540"/>
    <cellStyle name="_차체 (2)_1_마이콤-2004fs(05.2.25) 27" xfId="6541"/>
    <cellStyle name="_차체 (2)_1_마이콤-2004fs(05.2.25) 28" xfId="6542"/>
    <cellStyle name="_차체 (2)_1_마이콤-2004fs(05.2.25) 29" xfId="6543"/>
    <cellStyle name="_차체 (2)_1_마이콤-2004fs(05.2.25) 3" xfId="6544"/>
    <cellStyle name="_차체 (2)_1_마이콤-2004fs(05.2.25) 30" xfId="6545"/>
    <cellStyle name="_차체 (2)_1_마이콤-2004fs(05.2.25) 31" xfId="6546"/>
    <cellStyle name="_차체 (2)_1_마이콤-2004fs(05.2.25) 32" xfId="6547"/>
    <cellStyle name="_차체 (2)_1_마이콤-2004fs(05.2.25) 33" xfId="6548"/>
    <cellStyle name="_차체 (2)_1_마이콤-2004fs(05.2.25) 34" xfId="6549"/>
    <cellStyle name="_차체 (2)_1_마이콤-2004fs(05.2.25) 35" xfId="6550"/>
    <cellStyle name="_차체 (2)_1_마이콤-2004fs(05.2.25) 36" xfId="6551"/>
    <cellStyle name="_차체 (2)_1_마이콤-2004fs(05.2.25) 37" xfId="6552"/>
    <cellStyle name="_차체 (2)_1_마이콤-2004fs(05.2.25) 38" xfId="6553"/>
    <cellStyle name="_차체 (2)_1_마이콤-2004fs(05.2.25) 39" xfId="6554"/>
    <cellStyle name="_차체 (2)_1_마이콤-2004fs(05.2.25) 4" xfId="6555"/>
    <cellStyle name="_차체 (2)_1_마이콤-2004fs(05.2.25) 40" xfId="6556"/>
    <cellStyle name="_차체 (2)_1_마이콤-2004fs(05.2.25) 41" xfId="6557"/>
    <cellStyle name="_차체 (2)_1_마이콤-2004fs(05.2.25) 42" xfId="6558"/>
    <cellStyle name="_차체 (2)_1_마이콤-2004fs(05.2.25) 43" xfId="6559"/>
    <cellStyle name="_차체 (2)_1_마이콤-2004fs(05.2.25) 44" xfId="6560"/>
    <cellStyle name="_차체 (2)_1_마이콤-2004fs(05.2.25) 45" xfId="6561"/>
    <cellStyle name="_차체 (2)_1_마이콤-2004fs(05.2.25) 46" xfId="6562"/>
    <cellStyle name="_차체 (2)_1_마이콤-2004fs(05.2.25) 47" xfId="6563"/>
    <cellStyle name="_차체 (2)_1_마이콤-2004fs(05.2.25) 48" xfId="6564"/>
    <cellStyle name="_차체 (2)_1_마이콤-2004fs(05.2.25) 49" xfId="6565"/>
    <cellStyle name="_차체 (2)_1_마이콤-2004fs(05.2.25) 5" xfId="6566"/>
    <cellStyle name="_차체 (2)_1_마이콤-2004fs(05.2.25) 50" xfId="6567"/>
    <cellStyle name="_차체 (2)_1_마이콤-2004fs(05.2.25) 51" xfId="6568"/>
    <cellStyle name="_차체 (2)_1_마이콤-2004fs(05.2.25) 52" xfId="6569"/>
    <cellStyle name="_차체 (2)_1_마이콤-2004fs(05.2.25) 53" xfId="6570"/>
    <cellStyle name="_차체 (2)_1_마이콤-2004fs(05.2.25) 54" xfId="6571"/>
    <cellStyle name="_차체 (2)_1_마이콤-2004fs(05.2.25) 55" xfId="6572"/>
    <cellStyle name="_차체 (2)_1_마이콤-2004fs(05.2.25) 56" xfId="6573"/>
    <cellStyle name="_차체 (2)_1_마이콤-2004fs(05.2.25) 57" xfId="6574"/>
    <cellStyle name="_차체 (2)_1_마이콤-2004fs(05.2.25) 58" xfId="6575"/>
    <cellStyle name="_차체 (2)_1_마이콤-2004fs(05.2.25) 59" xfId="6576"/>
    <cellStyle name="_차체 (2)_1_마이콤-2004fs(05.2.25) 6" xfId="6577"/>
    <cellStyle name="_차체 (2)_1_마이콤-2004fs(05.2.25) 60" xfId="6578"/>
    <cellStyle name="_차체 (2)_1_마이콤-2004fs(05.2.25) 61" xfId="6579"/>
    <cellStyle name="_차체 (2)_1_마이콤-2004fs(05.2.25) 62" xfId="6580"/>
    <cellStyle name="_차체 (2)_1_마이콤-2004fs(05.2.25) 63" xfId="6581"/>
    <cellStyle name="_차체 (2)_1_마이콤-2004fs(05.2.25) 7" xfId="6582"/>
    <cellStyle name="_차체 (2)_1_마이콤-2004fs(05.2.25) 8" xfId="6583"/>
    <cellStyle name="_차체 (2)_1_마이콤-2004fs(05.2.25) 9" xfId="6584"/>
    <cellStyle name="_차체 (2)_1_부원05FS-최종" xfId="6585"/>
    <cellStyle name="_차체 (2)_1_부원05FS-최종 10" xfId="6586"/>
    <cellStyle name="_차체 (2)_1_부원05FS-최종 11" xfId="6587"/>
    <cellStyle name="_차체 (2)_1_부원05FS-최종 12" xfId="6588"/>
    <cellStyle name="_차체 (2)_1_부원05FS-최종 13" xfId="6589"/>
    <cellStyle name="_차체 (2)_1_부원05FS-최종 14" xfId="6590"/>
    <cellStyle name="_차체 (2)_1_부원05FS-최종 15" xfId="6591"/>
    <cellStyle name="_차체 (2)_1_부원05FS-최종 16" xfId="6592"/>
    <cellStyle name="_차체 (2)_1_부원05FS-최종 17" xfId="6593"/>
    <cellStyle name="_차체 (2)_1_부원05FS-최종 18" xfId="6594"/>
    <cellStyle name="_차체 (2)_1_부원05FS-최종 19" xfId="6595"/>
    <cellStyle name="_차체 (2)_1_부원05FS-최종 2" xfId="6596"/>
    <cellStyle name="_차체 (2)_1_부원05FS-최종 20" xfId="6597"/>
    <cellStyle name="_차체 (2)_1_부원05FS-최종 21" xfId="6598"/>
    <cellStyle name="_차체 (2)_1_부원05FS-최종 22" xfId="6599"/>
    <cellStyle name="_차체 (2)_1_부원05FS-최종 23" xfId="6600"/>
    <cellStyle name="_차체 (2)_1_부원05FS-최종 24" xfId="6601"/>
    <cellStyle name="_차체 (2)_1_부원05FS-최종 25" xfId="6602"/>
    <cellStyle name="_차체 (2)_1_부원05FS-최종 26" xfId="6603"/>
    <cellStyle name="_차체 (2)_1_부원05FS-최종 27" xfId="6604"/>
    <cellStyle name="_차체 (2)_1_부원05FS-최종 28" xfId="6605"/>
    <cellStyle name="_차체 (2)_1_부원05FS-최종 29" xfId="6606"/>
    <cellStyle name="_차체 (2)_1_부원05FS-최종 3" xfId="6607"/>
    <cellStyle name="_차체 (2)_1_부원05FS-최종 30" xfId="6608"/>
    <cellStyle name="_차체 (2)_1_부원05FS-최종 31" xfId="6609"/>
    <cellStyle name="_차체 (2)_1_부원05FS-최종 32" xfId="6610"/>
    <cellStyle name="_차체 (2)_1_부원05FS-최종 33" xfId="6611"/>
    <cellStyle name="_차체 (2)_1_부원05FS-최종 34" xfId="6612"/>
    <cellStyle name="_차체 (2)_1_부원05FS-최종 35" xfId="6613"/>
    <cellStyle name="_차체 (2)_1_부원05FS-최종 36" xfId="6614"/>
    <cellStyle name="_차체 (2)_1_부원05FS-최종 37" xfId="6615"/>
    <cellStyle name="_차체 (2)_1_부원05FS-최종 38" xfId="6616"/>
    <cellStyle name="_차체 (2)_1_부원05FS-최종 39" xfId="6617"/>
    <cellStyle name="_차체 (2)_1_부원05FS-최종 4" xfId="6618"/>
    <cellStyle name="_차체 (2)_1_부원05FS-최종 40" xfId="6619"/>
    <cellStyle name="_차체 (2)_1_부원05FS-최종 41" xfId="6620"/>
    <cellStyle name="_차체 (2)_1_부원05FS-최종 42" xfId="6621"/>
    <cellStyle name="_차체 (2)_1_부원05FS-최종 43" xfId="6622"/>
    <cellStyle name="_차체 (2)_1_부원05FS-최종 44" xfId="6623"/>
    <cellStyle name="_차체 (2)_1_부원05FS-최종 45" xfId="6624"/>
    <cellStyle name="_차체 (2)_1_부원05FS-최종 46" xfId="6625"/>
    <cellStyle name="_차체 (2)_1_부원05FS-최종 47" xfId="6626"/>
    <cellStyle name="_차체 (2)_1_부원05FS-최종 48" xfId="6627"/>
    <cellStyle name="_차체 (2)_1_부원05FS-최종 49" xfId="6628"/>
    <cellStyle name="_차체 (2)_1_부원05FS-최종 5" xfId="6629"/>
    <cellStyle name="_차체 (2)_1_부원05FS-최종 50" xfId="6630"/>
    <cellStyle name="_차체 (2)_1_부원05FS-최종 51" xfId="6631"/>
    <cellStyle name="_차체 (2)_1_부원05FS-최종 52" xfId="6632"/>
    <cellStyle name="_차체 (2)_1_부원05FS-최종 53" xfId="6633"/>
    <cellStyle name="_차체 (2)_1_부원05FS-최종 54" xfId="6634"/>
    <cellStyle name="_차체 (2)_1_부원05FS-최종 55" xfId="6635"/>
    <cellStyle name="_차체 (2)_1_부원05FS-최종 56" xfId="6636"/>
    <cellStyle name="_차체 (2)_1_부원05FS-최종 57" xfId="6637"/>
    <cellStyle name="_차체 (2)_1_부원05FS-최종 58" xfId="6638"/>
    <cellStyle name="_차체 (2)_1_부원05FS-최종 59" xfId="6639"/>
    <cellStyle name="_차체 (2)_1_부원05FS-최종 6" xfId="6640"/>
    <cellStyle name="_차체 (2)_1_부원05FS-최종 60" xfId="6641"/>
    <cellStyle name="_차체 (2)_1_부원05FS-최종 61" xfId="6642"/>
    <cellStyle name="_차체 (2)_1_부원05FS-최종 62" xfId="6643"/>
    <cellStyle name="_차체 (2)_1_부원05FS-최종 63" xfId="6644"/>
    <cellStyle name="_차체 (2)_1_부원05FS-최종 7" xfId="6645"/>
    <cellStyle name="_차체 (2)_1_부원05FS-최종 8" xfId="6646"/>
    <cellStyle name="_차체 (2)_1_부원05FS-최종 9" xfId="6647"/>
    <cellStyle name="_차체 (2)_1_승구리- 코바이오SCF2003" xfId="6648"/>
    <cellStyle name="_차체 (2)_1_승구리- 코바이오SCF2003 10" xfId="6649"/>
    <cellStyle name="_차체 (2)_1_승구리- 코바이오SCF2003 11" xfId="6650"/>
    <cellStyle name="_차체 (2)_1_승구리- 코바이오SCF2003 12" xfId="6651"/>
    <cellStyle name="_차체 (2)_1_승구리- 코바이오SCF2003 13" xfId="6652"/>
    <cellStyle name="_차체 (2)_1_승구리- 코바이오SCF2003 14" xfId="6653"/>
    <cellStyle name="_차체 (2)_1_승구리- 코바이오SCF2003 15" xfId="6654"/>
    <cellStyle name="_차체 (2)_1_승구리- 코바이오SCF2003 16" xfId="6655"/>
    <cellStyle name="_차체 (2)_1_승구리- 코바이오SCF2003 17" xfId="6656"/>
    <cellStyle name="_차체 (2)_1_승구리- 코바이오SCF2003 18" xfId="6657"/>
    <cellStyle name="_차체 (2)_1_승구리- 코바이오SCF2003 19" xfId="6658"/>
    <cellStyle name="_차체 (2)_1_승구리- 코바이오SCF2003 2" xfId="6659"/>
    <cellStyle name="_차체 (2)_1_승구리- 코바이오SCF2003 20" xfId="6660"/>
    <cellStyle name="_차체 (2)_1_승구리- 코바이오SCF2003 21" xfId="6661"/>
    <cellStyle name="_차체 (2)_1_승구리- 코바이오SCF2003 22" xfId="6662"/>
    <cellStyle name="_차체 (2)_1_승구리- 코바이오SCF2003 23" xfId="6663"/>
    <cellStyle name="_차체 (2)_1_승구리- 코바이오SCF2003 24" xfId="6664"/>
    <cellStyle name="_차체 (2)_1_승구리- 코바이오SCF2003 25" xfId="6665"/>
    <cellStyle name="_차체 (2)_1_승구리- 코바이오SCF2003 26" xfId="6666"/>
    <cellStyle name="_차체 (2)_1_승구리- 코바이오SCF2003 27" xfId="6667"/>
    <cellStyle name="_차체 (2)_1_승구리- 코바이오SCF2003 28" xfId="6668"/>
    <cellStyle name="_차체 (2)_1_승구리- 코바이오SCF2003 29" xfId="6669"/>
    <cellStyle name="_차체 (2)_1_승구리- 코바이오SCF2003 3" xfId="6670"/>
    <cellStyle name="_차체 (2)_1_승구리- 코바이오SCF2003 30" xfId="6671"/>
    <cellStyle name="_차체 (2)_1_승구리- 코바이오SCF2003 31" xfId="6672"/>
    <cellStyle name="_차체 (2)_1_승구리- 코바이오SCF2003 32" xfId="6673"/>
    <cellStyle name="_차체 (2)_1_승구리- 코바이오SCF2003 33" xfId="6674"/>
    <cellStyle name="_차체 (2)_1_승구리- 코바이오SCF2003 34" xfId="6675"/>
    <cellStyle name="_차체 (2)_1_승구리- 코바이오SCF2003 35" xfId="6676"/>
    <cellStyle name="_차체 (2)_1_승구리- 코바이오SCF2003 36" xfId="6677"/>
    <cellStyle name="_차체 (2)_1_승구리- 코바이오SCF2003 37" xfId="6678"/>
    <cellStyle name="_차체 (2)_1_승구리- 코바이오SCF2003 38" xfId="6679"/>
    <cellStyle name="_차체 (2)_1_승구리- 코바이오SCF2003 39" xfId="6680"/>
    <cellStyle name="_차체 (2)_1_승구리- 코바이오SCF2003 4" xfId="6681"/>
    <cellStyle name="_차체 (2)_1_승구리- 코바이오SCF2003 40" xfId="6682"/>
    <cellStyle name="_차체 (2)_1_승구리- 코바이오SCF2003 41" xfId="6683"/>
    <cellStyle name="_차체 (2)_1_승구리- 코바이오SCF2003 42" xfId="6684"/>
    <cellStyle name="_차체 (2)_1_승구리- 코바이오SCF2003 43" xfId="6685"/>
    <cellStyle name="_차체 (2)_1_승구리- 코바이오SCF2003 44" xfId="6686"/>
    <cellStyle name="_차체 (2)_1_승구리- 코바이오SCF2003 45" xfId="6687"/>
    <cellStyle name="_차체 (2)_1_승구리- 코바이오SCF2003 46" xfId="6688"/>
    <cellStyle name="_차체 (2)_1_승구리- 코바이오SCF2003 47" xfId="6689"/>
    <cellStyle name="_차체 (2)_1_승구리- 코바이오SCF2003 48" xfId="6690"/>
    <cellStyle name="_차체 (2)_1_승구리- 코바이오SCF2003 49" xfId="6691"/>
    <cellStyle name="_차체 (2)_1_승구리- 코바이오SCF2003 5" xfId="6692"/>
    <cellStyle name="_차체 (2)_1_승구리- 코바이오SCF2003 50" xfId="6693"/>
    <cellStyle name="_차체 (2)_1_승구리- 코바이오SCF2003 51" xfId="6694"/>
    <cellStyle name="_차체 (2)_1_승구리- 코바이오SCF2003 52" xfId="6695"/>
    <cellStyle name="_차체 (2)_1_승구리- 코바이오SCF2003 53" xfId="6696"/>
    <cellStyle name="_차체 (2)_1_승구리- 코바이오SCF2003 54" xfId="6697"/>
    <cellStyle name="_차체 (2)_1_승구리- 코바이오SCF2003 55" xfId="6698"/>
    <cellStyle name="_차체 (2)_1_승구리- 코바이오SCF2003 56" xfId="6699"/>
    <cellStyle name="_차체 (2)_1_승구리- 코바이오SCF2003 57" xfId="6700"/>
    <cellStyle name="_차체 (2)_1_승구리- 코바이오SCF2003 58" xfId="6701"/>
    <cellStyle name="_차체 (2)_1_승구리- 코바이오SCF2003 59" xfId="6702"/>
    <cellStyle name="_차체 (2)_1_승구리- 코바이오SCF2003 6" xfId="6703"/>
    <cellStyle name="_차체 (2)_1_승구리- 코바이오SCF2003 60" xfId="6704"/>
    <cellStyle name="_차체 (2)_1_승구리- 코바이오SCF2003 61" xfId="6705"/>
    <cellStyle name="_차체 (2)_1_승구리- 코바이오SCF2003 62" xfId="6706"/>
    <cellStyle name="_차체 (2)_1_승구리- 코바이오SCF2003 63" xfId="6707"/>
    <cellStyle name="_차체 (2)_1_승구리- 코바이오SCF2003 7" xfId="6708"/>
    <cellStyle name="_차체 (2)_1_승구리- 코바이오SCF2003 8" xfId="6709"/>
    <cellStyle name="_차체 (2)_1_승구리- 코바이오SCF2003 9" xfId="6710"/>
    <cellStyle name="_차체 (2)_2002FS_FINAL" xfId="6774"/>
    <cellStyle name="_차체 (2)_2211  한주금속-2005FS의 워크시트" xfId="6775"/>
    <cellStyle name="_차체 (2)_7기 에자이 현금흐름표" xfId="6776"/>
    <cellStyle name="_차체 (2)_8720 18기이연법인세의 워크시트" xfId="6777"/>
    <cellStyle name="_차체 (2)_Worksheet in (C) 8730 7기이연법인세검토" xfId="6782"/>
    <cellStyle name="_차체 (2)_대차손익(20070331)_kjh" xfId="6778"/>
    <cellStyle name="_차체 (2)_마이콤-2004fs(05.2.25)" xfId="6779"/>
    <cellStyle name="_차체 (2)_부원05FS-최종" xfId="6780"/>
    <cellStyle name="_차체 (2)_승구리- 코바이오SCF2003" xfId="6781"/>
    <cellStyle name="_최종3월10일03fs-한도" xfId="6783"/>
    <cellStyle name="_최종3월10일03fs-한도 10" xfId="6784"/>
    <cellStyle name="_최종3월10일03fs-한도 11" xfId="6785"/>
    <cellStyle name="_최종3월10일03fs-한도 12" xfId="6786"/>
    <cellStyle name="_최종3월10일03fs-한도 13" xfId="6787"/>
    <cellStyle name="_최종3월10일03fs-한도 14" xfId="6788"/>
    <cellStyle name="_최종3월10일03fs-한도 15" xfId="6789"/>
    <cellStyle name="_최종3월10일03fs-한도 16" xfId="6790"/>
    <cellStyle name="_최종3월10일03fs-한도 17" xfId="6791"/>
    <cellStyle name="_최종3월10일03fs-한도 18" xfId="6792"/>
    <cellStyle name="_최종3월10일03fs-한도 19" xfId="6793"/>
    <cellStyle name="_최종3월10일03fs-한도 2" xfId="6794"/>
    <cellStyle name="_최종3월10일03fs-한도 20" xfId="6795"/>
    <cellStyle name="_최종3월10일03fs-한도 21" xfId="6796"/>
    <cellStyle name="_최종3월10일03fs-한도 22" xfId="6797"/>
    <cellStyle name="_최종3월10일03fs-한도 23" xfId="6798"/>
    <cellStyle name="_최종3월10일03fs-한도 24" xfId="6799"/>
    <cellStyle name="_최종3월10일03fs-한도 25" xfId="6800"/>
    <cellStyle name="_최종3월10일03fs-한도 26" xfId="6801"/>
    <cellStyle name="_최종3월10일03fs-한도 27" xfId="6802"/>
    <cellStyle name="_최종3월10일03fs-한도 28" xfId="6803"/>
    <cellStyle name="_최종3월10일03fs-한도 29" xfId="6804"/>
    <cellStyle name="_최종3월10일03fs-한도 3" xfId="6805"/>
    <cellStyle name="_최종3월10일03fs-한도 30" xfId="6806"/>
    <cellStyle name="_최종3월10일03fs-한도 31" xfId="6807"/>
    <cellStyle name="_최종3월10일03fs-한도 32" xfId="6808"/>
    <cellStyle name="_최종3월10일03fs-한도 33" xfId="6809"/>
    <cellStyle name="_최종3월10일03fs-한도 34" xfId="6810"/>
    <cellStyle name="_최종3월10일03fs-한도 35" xfId="6811"/>
    <cellStyle name="_최종3월10일03fs-한도 36" xfId="6812"/>
    <cellStyle name="_최종3월10일03fs-한도 37" xfId="6813"/>
    <cellStyle name="_최종3월10일03fs-한도 38" xfId="6814"/>
    <cellStyle name="_최종3월10일03fs-한도 39" xfId="6815"/>
    <cellStyle name="_최종3월10일03fs-한도 4" xfId="6816"/>
    <cellStyle name="_최종3월10일03fs-한도 40" xfId="6817"/>
    <cellStyle name="_최종3월10일03fs-한도 41" xfId="6818"/>
    <cellStyle name="_최종3월10일03fs-한도 42" xfId="6819"/>
    <cellStyle name="_최종3월10일03fs-한도 43" xfId="6820"/>
    <cellStyle name="_최종3월10일03fs-한도 44" xfId="6821"/>
    <cellStyle name="_최종3월10일03fs-한도 45" xfId="6822"/>
    <cellStyle name="_최종3월10일03fs-한도 46" xfId="6823"/>
    <cellStyle name="_최종3월10일03fs-한도 47" xfId="6824"/>
    <cellStyle name="_최종3월10일03fs-한도 48" xfId="6825"/>
    <cellStyle name="_최종3월10일03fs-한도 49" xfId="6826"/>
    <cellStyle name="_최종3월10일03fs-한도 5" xfId="6827"/>
    <cellStyle name="_최종3월10일03fs-한도 50" xfId="6828"/>
    <cellStyle name="_최종3월10일03fs-한도 51" xfId="6829"/>
    <cellStyle name="_최종3월10일03fs-한도 52" xfId="6830"/>
    <cellStyle name="_최종3월10일03fs-한도 53" xfId="6831"/>
    <cellStyle name="_최종3월10일03fs-한도 54" xfId="6832"/>
    <cellStyle name="_최종3월10일03fs-한도 55" xfId="6833"/>
    <cellStyle name="_최종3월10일03fs-한도 56" xfId="6834"/>
    <cellStyle name="_최종3월10일03fs-한도 57" xfId="6835"/>
    <cellStyle name="_최종3월10일03fs-한도 58" xfId="6836"/>
    <cellStyle name="_최종3월10일03fs-한도 59" xfId="6837"/>
    <cellStyle name="_최종3월10일03fs-한도 6" xfId="6838"/>
    <cellStyle name="_최종3월10일03fs-한도 60" xfId="6839"/>
    <cellStyle name="_최종3월10일03fs-한도 61" xfId="6840"/>
    <cellStyle name="_최종3월10일03fs-한도 62" xfId="6841"/>
    <cellStyle name="_최종3월10일03fs-한도 63" xfId="6842"/>
    <cellStyle name="_최종3월10일03fs-한도 7" xfId="6843"/>
    <cellStyle name="_최종3월10일03fs-한도 8" xfId="6844"/>
    <cellStyle name="_최종3월10일03fs-한도 9" xfId="6845"/>
    <cellStyle name="_카나레_2기정산" xfId="6846"/>
    <cellStyle name="_카나레_2기정산 10" xfId="6847"/>
    <cellStyle name="_카나레_2기정산 11" xfId="6848"/>
    <cellStyle name="_카나레_2기정산 12" xfId="6849"/>
    <cellStyle name="_카나레_2기정산 13" xfId="6850"/>
    <cellStyle name="_카나레_2기정산 14" xfId="6851"/>
    <cellStyle name="_카나레_2기정산 15" xfId="6852"/>
    <cellStyle name="_카나레_2기정산 16" xfId="6853"/>
    <cellStyle name="_카나레_2기정산 17" xfId="6854"/>
    <cellStyle name="_카나레_2기정산 18" xfId="6855"/>
    <cellStyle name="_카나레_2기정산 19" xfId="6856"/>
    <cellStyle name="_카나레_2기정산 2" xfId="6857"/>
    <cellStyle name="_카나레_2기정산 20" xfId="6858"/>
    <cellStyle name="_카나레_2기정산 21" xfId="6859"/>
    <cellStyle name="_카나레_2기정산 22" xfId="6860"/>
    <cellStyle name="_카나레_2기정산 23" xfId="6861"/>
    <cellStyle name="_카나레_2기정산 24" xfId="6862"/>
    <cellStyle name="_카나레_2기정산 25" xfId="6863"/>
    <cellStyle name="_카나레_2기정산 26" xfId="6864"/>
    <cellStyle name="_카나레_2기정산 27" xfId="6865"/>
    <cellStyle name="_카나레_2기정산 28" xfId="6866"/>
    <cellStyle name="_카나레_2기정산 29" xfId="6867"/>
    <cellStyle name="_카나레_2기정산 3" xfId="6868"/>
    <cellStyle name="_카나레_2기정산 30" xfId="6869"/>
    <cellStyle name="_카나레_2기정산 31" xfId="6870"/>
    <cellStyle name="_카나레_2기정산 32" xfId="6871"/>
    <cellStyle name="_카나레_2기정산 33" xfId="6872"/>
    <cellStyle name="_카나레_2기정산 34" xfId="6873"/>
    <cellStyle name="_카나레_2기정산 35" xfId="6874"/>
    <cellStyle name="_카나레_2기정산 36" xfId="6875"/>
    <cellStyle name="_카나레_2기정산 37" xfId="6876"/>
    <cellStyle name="_카나레_2기정산 38" xfId="6877"/>
    <cellStyle name="_카나레_2기정산 39" xfId="6878"/>
    <cellStyle name="_카나레_2기정산 4" xfId="6879"/>
    <cellStyle name="_카나레_2기정산 40" xfId="6880"/>
    <cellStyle name="_카나레_2기정산 41" xfId="6881"/>
    <cellStyle name="_카나레_2기정산 42" xfId="6882"/>
    <cellStyle name="_카나레_2기정산 43" xfId="6883"/>
    <cellStyle name="_카나레_2기정산 44" xfId="6884"/>
    <cellStyle name="_카나레_2기정산 45" xfId="6885"/>
    <cellStyle name="_카나레_2기정산 46" xfId="6886"/>
    <cellStyle name="_카나레_2기정산 47" xfId="6887"/>
    <cellStyle name="_카나레_2기정산 48" xfId="6888"/>
    <cellStyle name="_카나레_2기정산 49" xfId="6889"/>
    <cellStyle name="_카나레_2기정산 5" xfId="6890"/>
    <cellStyle name="_카나레_2기정산 50" xfId="6891"/>
    <cellStyle name="_카나레_2기정산 51" xfId="6892"/>
    <cellStyle name="_카나레_2기정산 52" xfId="6893"/>
    <cellStyle name="_카나레_2기정산 53" xfId="6894"/>
    <cellStyle name="_카나레_2기정산 54" xfId="6895"/>
    <cellStyle name="_카나레_2기정산 55" xfId="6896"/>
    <cellStyle name="_카나레_2기정산 56" xfId="6897"/>
    <cellStyle name="_카나레_2기정산 57" xfId="6898"/>
    <cellStyle name="_카나레_2기정산 58" xfId="6899"/>
    <cellStyle name="_카나레_2기정산 59" xfId="6900"/>
    <cellStyle name="_카나레_2기정산 6" xfId="6901"/>
    <cellStyle name="_카나레_2기정산 60" xfId="6902"/>
    <cellStyle name="_카나레_2기정산 61" xfId="6903"/>
    <cellStyle name="_카나레_2기정산 62" xfId="6904"/>
    <cellStyle name="_카나레_2기정산 63" xfId="6905"/>
    <cellStyle name="_카나레_2기정산 7" xfId="6906"/>
    <cellStyle name="_카나레_2기정산 8" xfId="6907"/>
    <cellStyle name="_카나레_2기정산 9" xfId="6908"/>
    <cellStyle name="_카나레_2기정산_2261-2  WTB_KTC_06기말의 워크시트" xfId="6909"/>
    <cellStyle name="_카나레_2기정산_2261-2  WTB_KTC_06기말의 워크시트 10" xfId="6910"/>
    <cellStyle name="_카나레_2기정산_2261-2  WTB_KTC_06기말의 워크시트 11" xfId="6911"/>
    <cellStyle name="_카나레_2기정산_2261-2  WTB_KTC_06기말의 워크시트 12" xfId="6912"/>
    <cellStyle name="_카나레_2기정산_2261-2  WTB_KTC_06기말의 워크시트 13" xfId="6913"/>
    <cellStyle name="_카나레_2기정산_2261-2  WTB_KTC_06기말의 워크시트 14" xfId="6914"/>
    <cellStyle name="_카나레_2기정산_2261-2  WTB_KTC_06기말의 워크시트 15" xfId="6915"/>
    <cellStyle name="_카나레_2기정산_2261-2  WTB_KTC_06기말의 워크시트 16" xfId="6916"/>
    <cellStyle name="_카나레_2기정산_2261-2  WTB_KTC_06기말의 워크시트 17" xfId="6917"/>
    <cellStyle name="_카나레_2기정산_2261-2  WTB_KTC_06기말의 워크시트 18" xfId="6918"/>
    <cellStyle name="_카나레_2기정산_2261-2  WTB_KTC_06기말의 워크시트 19" xfId="6919"/>
    <cellStyle name="_카나레_2기정산_2261-2  WTB_KTC_06기말의 워크시트 2" xfId="6920"/>
    <cellStyle name="_카나레_2기정산_2261-2  WTB_KTC_06기말의 워크시트 20" xfId="6921"/>
    <cellStyle name="_카나레_2기정산_2261-2  WTB_KTC_06기말의 워크시트 21" xfId="6922"/>
    <cellStyle name="_카나레_2기정산_2261-2  WTB_KTC_06기말의 워크시트 22" xfId="6923"/>
    <cellStyle name="_카나레_2기정산_2261-2  WTB_KTC_06기말의 워크시트 23" xfId="6924"/>
    <cellStyle name="_카나레_2기정산_2261-2  WTB_KTC_06기말의 워크시트 24" xfId="6925"/>
    <cellStyle name="_카나레_2기정산_2261-2  WTB_KTC_06기말의 워크시트 25" xfId="6926"/>
    <cellStyle name="_카나레_2기정산_2261-2  WTB_KTC_06기말의 워크시트 26" xfId="6927"/>
    <cellStyle name="_카나레_2기정산_2261-2  WTB_KTC_06기말의 워크시트 27" xfId="6928"/>
    <cellStyle name="_카나레_2기정산_2261-2  WTB_KTC_06기말의 워크시트 28" xfId="6929"/>
    <cellStyle name="_카나레_2기정산_2261-2  WTB_KTC_06기말의 워크시트 29" xfId="6930"/>
    <cellStyle name="_카나레_2기정산_2261-2  WTB_KTC_06기말의 워크시트 3" xfId="6931"/>
    <cellStyle name="_카나레_2기정산_2261-2  WTB_KTC_06기말의 워크시트 30" xfId="6932"/>
    <cellStyle name="_카나레_2기정산_2261-2  WTB_KTC_06기말의 워크시트 31" xfId="6933"/>
    <cellStyle name="_카나레_2기정산_2261-2  WTB_KTC_06기말의 워크시트 32" xfId="6934"/>
    <cellStyle name="_카나레_2기정산_2261-2  WTB_KTC_06기말의 워크시트 33" xfId="6935"/>
    <cellStyle name="_카나레_2기정산_2261-2  WTB_KTC_06기말의 워크시트 34" xfId="6936"/>
    <cellStyle name="_카나레_2기정산_2261-2  WTB_KTC_06기말의 워크시트 35" xfId="6937"/>
    <cellStyle name="_카나레_2기정산_2261-2  WTB_KTC_06기말의 워크시트 36" xfId="6938"/>
    <cellStyle name="_카나레_2기정산_2261-2  WTB_KTC_06기말의 워크시트 37" xfId="6939"/>
    <cellStyle name="_카나레_2기정산_2261-2  WTB_KTC_06기말의 워크시트 38" xfId="6940"/>
    <cellStyle name="_카나레_2기정산_2261-2  WTB_KTC_06기말의 워크시트 39" xfId="6941"/>
    <cellStyle name="_카나레_2기정산_2261-2  WTB_KTC_06기말의 워크시트 4" xfId="6942"/>
    <cellStyle name="_카나레_2기정산_2261-2  WTB_KTC_06기말의 워크시트 40" xfId="6943"/>
    <cellStyle name="_카나레_2기정산_2261-2  WTB_KTC_06기말의 워크시트 41" xfId="6944"/>
    <cellStyle name="_카나레_2기정산_2261-2  WTB_KTC_06기말의 워크시트 42" xfId="6945"/>
    <cellStyle name="_카나레_2기정산_2261-2  WTB_KTC_06기말의 워크시트 43" xfId="6946"/>
    <cellStyle name="_카나레_2기정산_2261-2  WTB_KTC_06기말의 워크시트 44" xfId="6947"/>
    <cellStyle name="_카나레_2기정산_2261-2  WTB_KTC_06기말의 워크시트 45" xfId="6948"/>
    <cellStyle name="_카나레_2기정산_2261-2  WTB_KTC_06기말의 워크시트 46" xfId="6949"/>
    <cellStyle name="_카나레_2기정산_2261-2  WTB_KTC_06기말의 워크시트 47" xfId="6950"/>
    <cellStyle name="_카나레_2기정산_2261-2  WTB_KTC_06기말의 워크시트 48" xfId="6951"/>
    <cellStyle name="_카나레_2기정산_2261-2  WTB_KTC_06기말의 워크시트 49" xfId="6952"/>
    <cellStyle name="_카나레_2기정산_2261-2  WTB_KTC_06기말의 워크시트 5" xfId="6953"/>
    <cellStyle name="_카나레_2기정산_2261-2  WTB_KTC_06기말의 워크시트 50" xfId="6954"/>
    <cellStyle name="_카나레_2기정산_2261-2  WTB_KTC_06기말의 워크시트 51" xfId="6955"/>
    <cellStyle name="_카나레_2기정산_2261-2  WTB_KTC_06기말의 워크시트 52" xfId="6956"/>
    <cellStyle name="_카나레_2기정산_2261-2  WTB_KTC_06기말의 워크시트 53" xfId="6957"/>
    <cellStyle name="_카나레_2기정산_2261-2  WTB_KTC_06기말의 워크시트 54" xfId="6958"/>
    <cellStyle name="_카나레_2기정산_2261-2  WTB_KTC_06기말의 워크시트 55" xfId="6959"/>
    <cellStyle name="_카나레_2기정산_2261-2  WTB_KTC_06기말의 워크시트 56" xfId="6960"/>
    <cellStyle name="_카나레_2기정산_2261-2  WTB_KTC_06기말의 워크시트 57" xfId="6961"/>
    <cellStyle name="_카나레_2기정산_2261-2  WTB_KTC_06기말의 워크시트 58" xfId="6962"/>
    <cellStyle name="_카나레_2기정산_2261-2  WTB_KTC_06기말의 워크시트 59" xfId="6963"/>
    <cellStyle name="_카나레_2기정산_2261-2  WTB_KTC_06기말의 워크시트 6" xfId="6964"/>
    <cellStyle name="_카나레_2기정산_2261-2  WTB_KTC_06기말의 워크시트 60" xfId="6965"/>
    <cellStyle name="_카나레_2기정산_2261-2  WTB_KTC_06기말의 워크시트 61" xfId="6966"/>
    <cellStyle name="_카나레_2기정산_2261-2  WTB_KTC_06기말의 워크시트 62" xfId="6967"/>
    <cellStyle name="_카나레_2기정산_2261-2  WTB_KTC_06기말의 워크시트 63" xfId="6968"/>
    <cellStyle name="_카나레_2기정산_2261-2  WTB_KTC_06기말의 워크시트 7" xfId="6969"/>
    <cellStyle name="_카나레_2기정산_2261-2  WTB_KTC_06기말의 워크시트 8" xfId="6970"/>
    <cellStyle name="_카나레_2기정산_2261-2  WTB_KTC_06기말의 워크시트 9" xfId="6971"/>
    <cellStyle name="_카나레_2기정산_대차손익(20070331)_kjh" xfId="6972"/>
    <cellStyle name="_카나레_2기정산_대차손익(20070331)_kjh 10" xfId="6973"/>
    <cellStyle name="_카나레_2기정산_대차손익(20070331)_kjh 11" xfId="6974"/>
    <cellStyle name="_카나레_2기정산_대차손익(20070331)_kjh 12" xfId="6975"/>
    <cellStyle name="_카나레_2기정산_대차손익(20070331)_kjh 13" xfId="6976"/>
    <cellStyle name="_카나레_2기정산_대차손익(20070331)_kjh 14" xfId="6977"/>
    <cellStyle name="_카나레_2기정산_대차손익(20070331)_kjh 15" xfId="6978"/>
    <cellStyle name="_카나레_2기정산_대차손익(20070331)_kjh 16" xfId="6979"/>
    <cellStyle name="_카나레_2기정산_대차손익(20070331)_kjh 17" xfId="6980"/>
    <cellStyle name="_카나레_2기정산_대차손익(20070331)_kjh 18" xfId="6981"/>
    <cellStyle name="_카나레_2기정산_대차손익(20070331)_kjh 19" xfId="6982"/>
    <cellStyle name="_카나레_2기정산_대차손익(20070331)_kjh 2" xfId="6983"/>
    <cellStyle name="_카나레_2기정산_대차손익(20070331)_kjh 20" xfId="6984"/>
    <cellStyle name="_카나레_2기정산_대차손익(20070331)_kjh 21" xfId="6985"/>
    <cellStyle name="_카나레_2기정산_대차손익(20070331)_kjh 22" xfId="6986"/>
    <cellStyle name="_카나레_2기정산_대차손익(20070331)_kjh 23" xfId="6987"/>
    <cellStyle name="_카나레_2기정산_대차손익(20070331)_kjh 24" xfId="6988"/>
    <cellStyle name="_카나레_2기정산_대차손익(20070331)_kjh 25" xfId="6989"/>
    <cellStyle name="_카나레_2기정산_대차손익(20070331)_kjh 26" xfId="6990"/>
    <cellStyle name="_카나레_2기정산_대차손익(20070331)_kjh 27" xfId="6991"/>
    <cellStyle name="_카나레_2기정산_대차손익(20070331)_kjh 28" xfId="6992"/>
    <cellStyle name="_카나레_2기정산_대차손익(20070331)_kjh 29" xfId="6993"/>
    <cellStyle name="_카나레_2기정산_대차손익(20070331)_kjh 3" xfId="6994"/>
    <cellStyle name="_카나레_2기정산_대차손익(20070331)_kjh 30" xfId="6995"/>
    <cellStyle name="_카나레_2기정산_대차손익(20070331)_kjh 31" xfId="6996"/>
    <cellStyle name="_카나레_2기정산_대차손익(20070331)_kjh 32" xfId="6997"/>
    <cellStyle name="_카나레_2기정산_대차손익(20070331)_kjh 33" xfId="6998"/>
    <cellStyle name="_카나레_2기정산_대차손익(20070331)_kjh 34" xfId="6999"/>
    <cellStyle name="_카나레_2기정산_대차손익(20070331)_kjh 35" xfId="7000"/>
    <cellStyle name="_카나레_2기정산_대차손익(20070331)_kjh 36" xfId="7001"/>
    <cellStyle name="_카나레_2기정산_대차손익(20070331)_kjh 37" xfId="7002"/>
    <cellStyle name="_카나레_2기정산_대차손익(20070331)_kjh 38" xfId="7003"/>
    <cellStyle name="_카나레_2기정산_대차손익(20070331)_kjh 39" xfId="7004"/>
    <cellStyle name="_카나레_2기정산_대차손익(20070331)_kjh 4" xfId="7005"/>
    <cellStyle name="_카나레_2기정산_대차손익(20070331)_kjh 40" xfId="7006"/>
    <cellStyle name="_카나레_2기정산_대차손익(20070331)_kjh 41" xfId="7007"/>
    <cellStyle name="_카나레_2기정산_대차손익(20070331)_kjh 42" xfId="7008"/>
    <cellStyle name="_카나레_2기정산_대차손익(20070331)_kjh 43" xfId="7009"/>
    <cellStyle name="_카나레_2기정산_대차손익(20070331)_kjh 44" xfId="7010"/>
    <cellStyle name="_카나레_2기정산_대차손익(20070331)_kjh 45" xfId="7011"/>
    <cellStyle name="_카나레_2기정산_대차손익(20070331)_kjh 46" xfId="7012"/>
    <cellStyle name="_카나레_2기정산_대차손익(20070331)_kjh 47" xfId="7013"/>
    <cellStyle name="_카나레_2기정산_대차손익(20070331)_kjh 48" xfId="7014"/>
    <cellStyle name="_카나레_2기정산_대차손익(20070331)_kjh 49" xfId="7015"/>
    <cellStyle name="_카나레_2기정산_대차손익(20070331)_kjh 5" xfId="7016"/>
    <cellStyle name="_카나레_2기정산_대차손익(20070331)_kjh 50" xfId="7017"/>
    <cellStyle name="_카나레_2기정산_대차손익(20070331)_kjh 51" xfId="7018"/>
    <cellStyle name="_카나레_2기정산_대차손익(20070331)_kjh 52" xfId="7019"/>
    <cellStyle name="_카나레_2기정산_대차손익(20070331)_kjh 53" xfId="7020"/>
    <cellStyle name="_카나레_2기정산_대차손익(20070331)_kjh 54" xfId="7021"/>
    <cellStyle name="_카나레_2기정산_대차손익(20070331)_kjh 55" xfId="7022"/>
    <cellStyle name="_카나레_2기정산_대차손익(20070331)_kjh 56" xfId="7023"/>
    <cellStyle name="_카나레_2기정산_대차손익(20070331)_kjh 57" xfId="7024"/>
    <cellStyle name="_카나레_2기정산_대차손익(20070331)_kjh 58" xfId="7025"/>
    <cellStyle name="_카나레_2기정산_대차손익(20070331)_kjh 59" xfId="7026"/>
    <cellStyle name="_카나레_2기정산_대차손익(20070331)_kjh 6" xfId="7027"/>
    <cellStyle name="_카나레_2기정산_대차손익(20070331)_kjh 60" xfId="7028"/>
    <cellStyle name="_카나레_2기정산_대차손익(20070331)_kjh 61" xfId="7029"/>
    <cellStyle name="_카나레_2기정산_대차손익(20070331)_kjh 62" xfId="7030"/>
    <cellStyle name="_카나레_2기정산_대차손익(20070331)_kjh 63" xfId="7031"/>
    <cellStyle name="_카나레_2기정산_대차손익(20070331)_kjh 7" xfId="7032"/>
    <cellStyle name="_카나레_2기정산_대차손익(20070331)_kjh 8" xfId="7033"/>
    <cellStyle name="_카나레_2기정산_대차손익(20070331)_kjh 9" xfId="7034"/>
    <cellStyle name="_케이씨텍02반기(권규한)" xfId="7035"/>
    <cellStyle name="_큐릭스정산표_03반기_v804" xfId="7036"/>
    <cellStyle name="_통합BS_20070724down" xfId="7037"/>
    <cellStyle name="_통합IS_20070724down" xfId="7038"/>
    <cellStyle name="_퇴직급여충당금" xfId="7039"/>
    <cellStyle name="_퇴직급여충당금 10" xfId="7040"/>
    <cellStyle name="_퇴직급여충당금 11" xfId="7041"/>
    <cellStyle name="_퇴직급여충당금 12" xfId="7042"/>
    <cellStyle name="_퇴직급여충당금 13" xfId="7043"/>
    <cellStyle name="_퇴직급여충당금 14" xfId="7044"/>
    <cellStyle name="_퇴직급여충당금 15" xfId="7045"/>
    <cellStyle name="_퇴직급여충당금 16" xfId="7046"/>
    <cellStyle name="_퇴직급여충당금 17" xfId="7047"/>
    <cellStyle name="_퇴직급여충당금 18" xfId="7048"/>
    <cellStyle name="_퇴직급여충당금 19" xfId="7049"/>
    <cellStyle name="_퇴직급여충당금 2" xfId="7050"/>
    <cellStyle name="_퇴직급여충당금 20" xfId="7051"/>
    <cellStyle name="_퇴직급여충당금 21" xfId="7052"/>
    <cellStyle name="_퇴직급여충당금 22" xfId="7053"/>
    <cellStyle name="_퇴직급여충당금 23" xfId="7054"/>
    <cellStyle name="_퇴직급여충당금 24" xfId="7055"/>
    <cellStyle name="_퇴직급여충당금 25" xfId="7056"/>
    <cellStyle name="_퇴직급여충당금 26" xfId="7057"/>
    <cellStyle name="_퇴직급여충당금 27" xfId="7058"/>
    <cellStyle name="_퇴직급여충당금 28" xfId="7059"/>
    <cellStyle name="_퇴직급여충당금 29" xfId="7060"/>
    <cellStyle name="_퇴직급여충당금 3" xfId="7061"/>
    <cellStyle name="_퇴직급여충당금 30" xfId="7062"/>
    <cellStyle name="_퇴직급여충당금 31" xfId="7063"/>
    <cellStyle name="_퇴직급여충당금 32" xfId="7064"/>
    <cellStyle name="_퇴직급여충당금 33" xfId="7065"/>
    <cellStyle name="_퇴직급여충당금 34" xfId="7066"/>
    <cellStyle name="_퇴직급여충당금 35" xfId="7067"/>
    <cellStyle name="_퇴직급여충당금 36" xfId="7068"/>
    <cellStyle name="_퇴직급여충당금 37" xfId="7069"/>
    <cellStyle name="_퇴직급여충당금 38" xfId="7070"/>
    <cellStyle name="_퇴직급여충당금 39" xfId="7071"/>
    <cellStyle name="_퇴직급여충당금 4" xfId="7072"/>
    <cellStyle name="_퇴직급여충당금 40" xfId="7073"/>
    <cellStyle name="_퇴직급여충당금 41" xfId="7074"/>
    <cellStyle name="_퇴직급여충당금 42" xfId="7075"/>
    <cellStyle name="_퇴직급여충당금 43" xfId="7076"/>
    <cellStyle name="_퇴직급여충당금 44" xfId="7077"/>
    <cellStyle name="_퇴직급여충당금 45" xfId="7078"/>
    <cellStyle name="_퇴직급여충당금 46" xfId="7079"/>
    <cellStyle name="_퇴직급여충당금 47" xfId="7080"/>
    <cellStyle name="_퇴직급여충당금 48" xfId="7081"/>
    <cellStyle name="_퇴직급여충당금 49" xfId="7082"/>
    <cellStyle name="_퇴직급여충당금 5" xfId="7083"/>
    <cellStyle name="_퇴직급여충당금 50" xfId="7084"/>
    <cellStyle name="_퇴직급여충당금 51" xfId="7085"/>
    <cellStyle name="_퇴직급여충당금 52" xfId="7086"/>
    <cellStyle name="_퇴직급여충당금 53" xfId="7087"/>
    <cellStyle name="_퇴직급여충당금 54" xfId="7088"/>
    <cellStyle name="_퇴직급여충당금 55" xfId="7089"/>
    <cellStyle name="_퇴직급여충당금 56" xfId="7090"/>
    <cellStyle name="_퇴직급여충당금 57" xfId="7091"/>
    <cellStyle name="_퇴직급여충당금 58" xfId="7092"/>
    <cellStyle name="_퇴직급여충당금 59" xfId="7093"/>
    <cellStyle name="_퇴직급여충당금 6" xfId="7094"/>
    <cellStyle name="_퇴직급여충당금 60" xfId="7095"/>
    <cellStyle name="_퇴직급여충당금 61" xfId="7096"/>
    <cellStyle name="_퇴직급여충당금 62" xfId="7097"/>
    <cellStyle name="_퇴직급여충당금 63" xfId="7098"/>
    <cellStyle name="_퇴직급여충당금 7" xfId="7099"/>
    <cellStyle name="_퇴직급여충당금 8" xfId="7100"/>
    <cellStyle name="_퇴직급여충당금 9" xfId="7101"/>
    <cellStyle name="_팬택앤큐리텔 재무제표(08년4월)" xfId="7102"/>
    <cellStyle name="_한일도요-2001FS(최종)" xfId="7103"/>
    <cellStyle name="_현가율계산표_0313" xfId="7104"/>
    <cellStyle name="_현금흐름표(최종)" xfId="7105"/>
    <cellStyle name="_현금흐름표(최종) 10" xfId="7106"/>
    <cellStyle name="_현금흐름표(최종) 11" xfId="7107"/>
    <cellStyle name="_현금흐름표(최종) 12" xfId="7108"/>
    <cellStyle name="_현금흐름표(최종) 13" xfId="7109"/>
    <cellStyle name="_현금흐름표(최종) 14" xfId="7110"/>
    <cellStyle name="_현금흐름표(최종) 15" xfId="7111"/>
    <cellStyle name="_현금흐름표(최종) 16" xfId="7112"/>
    <cellStyle name="_현금흐름표(최종) 17" xfId="7113"/>
    <cellStyle name="_현금흐름표(최종) 18" xfId="7114"/>
    <cellStyle name="_현금흐름표(최종) 19" xfId="7115"/>
    <cellStyle name="_현금흐름표(최종) 2" xfId="7116"/>
    <cellStyle name="_현금흐름표(최종) 20" xfId="7117"/>
    <cellStyle name="_현금흐름표(최종) 21" xfId="7118"/>
    <cellStyle name="_현금흐름표(최종) 22" xfId="7119"/>
    <cellStyle name="_현금흐름표(최종) 23" xfId="7120"/>
    <cellStyle name="_현금흐름표(최종) 24" xfId="7121"/>
    <cellStyle name="_현금흐름표(최종) 25" xfId="7122"/>
    <cellStyle name="_현금흐름표(최종) 26" xfId="7123"/>
    <cellStyle name="_현금흐름표(최종) 27" xfId="7124"/>
    <cellStyle name="_현금흐름표(최종) 28" xfId="7125"/>
    <cellStyle name="_현금흐름표(최종) 29" xfId="7126"/>
    <cellStyle name="_현금흐름표(최종) 3" xfId="7127"/>
    <cellStyle name="_현금흐름표(최종) 30" xfId="7128"/>
    <cellStyle name="_현금흐름표(최종) 31" xfId="7129"/>
    <cellStyle name="_현금흐름표(최종) 32" xfId="7130"/>
    <cellStyle name="_현금흐름표(최종) 33" xfId="7131"/>
    <cellStyle name="_현금흐름표(최종) 34" xfId="7132"/>
    <cellStyle name="_현금흐름표(최종) 35" xfId="7133"/>
    <cellStyle name="_현금흐름표(최종) 36" xfId="7134"/>
    <cellStyle name="_현금흐름표(최종) 37" xfId="7135"/>
    <cellStyle name="_현금흐름표(최종) 38" xfId="7136"/>
    <cellStyle name="_현금흐름표(최종) 39" xfId="7137"/>
    <cellStyle name="_현금흐름표(최종) 4" xfId="7138"/>
    <cellStyle name="_현금흐름표(최종) 40" xfId="7139"/>
    <cellStyle name="_현금흐름표(최종) 41" xfId="7140"/>
    <cellStyle name="_현금흐름표(최종) 42" xfId="7141"/>
    <cellStyle name="_현금흐름표(최종) 43" xfId="7142"/>
    <cellStyle name="_현금흐름표(최종) 44" xfId="7143"/>
    <cellStyle name="_현금흐름표(최종) 45" xfId="7144"/>
    <cellStyle name="_현금흐름표(최종) 46" xfId="7145"/>
    <cellStyle name="_현금흐름표(최종) 47" xfId="7146"/>
    <cellStyle name="_현금흐름표(최종) 48" xfId="7147"/>
    <cellStyle name="_현금흐름표(최종) 49" xfId="7148"/>
    <cellStyle name="_현금흐름표(최종) 5" xfId="7149"/>
    <cellStyle name="_현금흐름표(최종) 50" xfId="7150"/>
    <cellStyle name="_현금흐름표(최종) 51" xfId="7151"/>
    <cellStyle name="_현금흐름표(최종) 52" xfId="7152"/>
    <cellStyle name="_현금흐름표(최종) 53" xfId="7153"/>
    <cellStyle name="_현금흐름표(최종) 54" xfId="7154"/>
    <cellStyle name="_현금흐름표(최종) 55" xfId="7155"/>
    <cellStyle name="_현금흐름표(최종) 56" xfId="7156"/>
    <cellStyle name="_현금흐름표(최종) 57" xfId="7157"/>
    <cellStyle name="_현금흐름표(최종) 58" xfId="7158"/>
    <cellStyle name="_현금흐름표(최종) 59" xfId="7159"/>
    <cellStyle name="_현금흐름표(최종) 6" xfId="7160"/>
    <cellStyle name="_현금흐름표(최종) 60" xfId="7161"/>
    <cellStyle name="_현금흐름표(최종) 61" xfId="7162"/>
    <cellStyle name="_현금흐름표(최종) 62" xfId="7163"/>
    <cellStyle name="_현금흐름표(최종) 63" xfId="7164"/>
    <cellStyle name="_현금흐름표(최종) 7" xfId="7165"/>
    <cellStyle name="_현금흐름표(최종) 8" xfId="7166"/>
    <cellStyle name="_현금흐름표(최종) 9" xfId="7167"/>
    <cellStyle name="_현담정산표2003" xfId="7168"/>
    <cellStyle name="_현대IT 재무추정_1020" xfId="7169"/>
    <cellStyle name="_현대IT 재무추정_NICE Ver.8(Version1)" xfId="7170"/>
    <cellStyle name="_회사채2007 12 14" xfId="7171"/>
    <cellStyle name="_회사채2008 03 27" xfId="7172"/>
    <cellStyle name="’E‰Y [0.00]_laroux" xfId="7438"/>
    <cellStyle name="’E‰Y_laroux" xfId="7439"/>
    <cellStyle name="￡Currency [0]" xfId="7440"/>
    <cellStyle name="￡Currency [1]" xfId="7441"/>
    <cellStyle name="￡Currency [2]" xfId="7442"/>
    <cellStyle name="￡Currency [p]" xfId="7443"/>
    <cellStyle name="￡Currency [p2]" xfId="7444"/>
    <cellStyle name="￡Pounds" xfId="7445"/>
    <cellStyle name="¤@?e_TEST-1 " xfId="7446"/>
    <cellStyle name="¤d¤A|i[0]_RESULTS" xfId="7447"/>
    <cellStyle name="¤d¤A|i_RESULTS" xfId="7448"/>
    <cellStyle name="᠀ŀ" xfId="12106"/>
    <cellStyle name="᠀ŀŀ䅀᠀ŀŀ䅀᠀ŀ" xfId="12117"/>
    <cellStyle name="᠀ŀŀ䅀᠀ŀŀ䅀᠀ŀŀ䅀᠀ŀŀ䅀᠀ŀŀ䅀᠀ŀŀ䅀᠀ŀŀ䅀᠀ŀŀ䅀᠀ŀŀ䅀᠀ŀ" xfId="12118"/>
    <cellStyle name="W?_BOOKSHIP_°ø¹® " xfId="12458"/>
    <cellStyle name="100" xfId="7449"/>
    <cellStyle name="-156300" xfId="7450"/>
    <cellStyle name="16" xfId="7451"/>
    <cellStyle name="¹eºÐA²_±aA¸" xfId="7453"/>
    <cellStyle name="1월당월 (2)_1월" xfId="7452"/>
    <cellStyle name="20% - Accent1" xfId="7826"/>
    <cellStyle name="20% - Accent2" xfId="7827"/>
    <cellStyle name="20% - Accent3" xfId="7828"/>
    <cellStyle name="20% - Accent4" xfId="7829"/>
    <cellStyle name="20% - Accent5" xfId="7830"/>
    <cellStyle name="20% - Accent6" xfId="7831"/>
    <cellStyle name="20% - 강조색1" xfId="13174" builtinId="30" customBuiltin="1"/>
    <cellStyle name="20% - 강조색1 10" xfId="7454"/>
    <cellStyle name="20% - 강조색1 11" xfId="7455"/>
    <cellStyle name="20% - 강조색1 12" xfId="7456"/>
    <cellStyle name="20% - 강조색1 13" xfId="7457"/>
    <cellStyle name="20% - 강조색1 14" xfId="7458"/>
    <cellStyle name="20% - 강조색1 15" xfId="7459"/>
    <cellStyle name="20% - 강조색1 15 2" xfId="12470"/>
    <cellStyle name="20% - 강조색1 16" xfId="7460"/>
    <cellStyle name="20% - 강조색1 17" xfId="7461"/>
    <cellStyle name="20% - 강조색1 18" xfId="7462"/>
    <cellStyle name="20% - 강조색1 19" xfId="7463"/>
    <cellStyle name="20% - 강조색1 2" xfId="7464"/>
    <cellStyle name="20% - 강조색1 2 10" xfId="12471"/>
    <cellStyle name="20% - 강조색1 2 2" xfId="12472"/>
    <cellStyle name="20% - 강조색1 2 3" xfId="12473"/>
    <cellStyle name="20% - 강조색1 2 4" xfId="12474"/>
    <cellStyle name="20% - 강조색1 2 5" xfId="12475"/>
    <cellStyle name="20% - 강조색1 2 6" xfId="12476"/>
    <cellStyle name="20% - 강조색1 2 7" xfId="12477"/>
    <cellStyle name="20% - 강조색1 2 8" xfId="12478"/>
    <cellStyle name="20% - 강조색1 2 9" xfId="12479"/>
    <cellStyle name="20% - 강조색1 20" xfId="7465"/>
    <cellStyle name="20% - 강조색1 21" xfId="7466"/>
    <cellStyle name="20% - 강조색1 22" xfId="7467"/>
    <cellStyle name="20% - 강조색1 23" xfId="7468"/>
    <cellStyle name="20% - 강조색1 24" xfId="7469"/>
    <cellStyle name="20% - 강조색1 25" xfId="7470"/>
    <cellStyle name="20% - 강조색1 26" xfId="7471"/>
    <cellStyle name="20% - 강조색1 27" xfId="7472"/>
    <cellStyle name="20% - 강조색1 28" xfId="7473"/>
    <cellStyle name="20% - 강조색1 29" xfId="7474"/>
    <cellStyle name="20% - 강조색1 3" xfId="7475"/>
    <cellStyle name="20% - 강조색1 3 10" xfId="12480"/>
    <cellStyle name="20% - 강조색1 3 2" xfId="12481"/>
    <cellStyle name="20% - 강조색1 3 3" xfId="12482"/>
    <cellStyle name="20% - 강조색1 3 4" xfId="12483"/>
    <cellStyle name="20% - 강조색1 3 5" xfId="12484"/>
    <cellStyle name="20% - 강조색1 3 6" xfId="12485"/>
    <cellStyle name="20% - 강조색1 3 7" xfId="12486"/>
    <cellStyle name="20% - 강조색1 3 8" xfId="12487"/>
    <cellStyle name="20% - 강조색1 3 9" xfId="12488"/>
    <cellStyle name="20% - 강조색1 30" xfId="7476"/>
    <cellStyle name="20% - 강조색1 31" xfId="7477"/>
    <cellStyle name="20% - 강조색1 32" xfId="7478"/>
    <cellStyle name="20% - 강조색1 33" xfId="7479"/>
    <cellStyle name="20% - 강조색1 34" xfId="7480"/>
    <cellStyle name="20% - 강조색1 35" xfId="7481"/>
    <cellStyle name="20% - 강조색1 36" xfId="7482"/>
    <cellStyle name="20% - 강조색1 37" xfId="7483"/>
    <cellStyle name="20% - 강조색1 38" xfId="7484"/>
    <cellStyle name="20% - 강조색1 39" xfId="7485"/>
    <cellStyle name="20% - 강조색1 4" xfId="7486"/>
    <cellStyle name="20% - 강조색1 4 10" xfId="12489"/>
    <cellStyle name="20% - 강조색1 4 2" xfId="12490"/>
    <cellStyle name="20% - 강조색1 4 3" xfId="12491"/>
    <cellStyle name="20% - 강조색1 4 4" xfId="12492"/>
    <cellStyle name="20% - 강조색1 4 5" xfId="12493"/>
    <cellStyle name="20% - 강조색1 4 6" xfId="12494"/>
    <cellStyle name="20% - 강조색1 4 7" xfId="12495"/>
    <cellStyle name="20% - 강조색1 4 8" xfId="12496"/>
    <cellStyle name="20% - 강조색1 4 9" xfId="12497"/>
    <cellStyle name="20% - 강조색1 40" xfId="7487"/>
    <cellStyle name="20% - 강조색1 41" xfId="7488"/>
    <cellStyle name="20% - 강조색1 42" xfId="7489"/>
    <cellStyle name="20% - 강조색1 43" xfId="7490"/>
    <cellStyle name="20% - 강조색1 44" xfId="7491"/>
    <cellStyle name="20% - 강조색1 45" xfId="7492"/>
    <cellStyle name="20% - 강조색1 46" xfId="7493"/>
    <cellStyle name="20% - 강조색1 47" xfId="7494"/>
    <cellStyle name="20% - 강조색1 48" xfId="7495"/>
    <cellStyle name="20% - 강조색1 49" xfId="7496"/>
    <cellStyle name="20% - 강조색1 5" xfId="7497"/>
    <cellStyle name="20% - 강조색1 5 10" xfId="12498"/>
    <cellStyle name="20% - 강조색1 5 2" xfId="12499"/>
    <cellStyle name="20% - 강조색1 5 3" xfId="12500"/>
    <cellStyle name="20% - 강조색1 5 4" xfId="12501"/>
    <cellStyle name="20% - 강조색1 5 5" xfId="12502"/>
    <cellStyle name="20% - 강조색1 5 6" xfId="12503"/>
    <cellStyle name="20% - 강조색1 5 7" xfId="12504"/>
    <cellStyle name="20% - 강조색1 5 8" xfId="12505"/>
    <cellStyle name="20% - 강조색1 5 9" xfId="12506"/>
    <cellStyle name="20% - 강조색1 50" xfId="7498"/>
    <cellStyle name="20% - 강조색1 51" xfId="7499"/>
    <cellStyle name="20% - 강조색1 52" xfId="7500"/>
    <cellStyle name="20% - 강조색1 53" xfId="7501"/>
    <cellStyle name="20% - 강조색1 54" xfId="7502"/>
    <cellStyle name="20% - 강조색1 55" xfId="7503"/>
    <cellStyle name="20% - 강조색1 56" xfId="7504"/>
    <cellStyle name="20% - 강조색1 57" xfId="7505"/>
    <cellStyle name="20% - 강조색1 58" xfId="7506"/>
    <cellStyle name="20% - 강조색1 59" xfId="7507"/>
    <cellStyle name="20% - 강조색1 6" xfId="7508"/>
    <cellStyle name="20% - 강조색1 60" xfId="7509"/>
    <cellStyle name="20% - 강조색1 61" xfId="7510"/>
    <cellStyle name="20% - 강조색1 62" xfId="7511"/>
    <cellStyle name="20% - 강조색1 63" xfId="7512"/>
    <cellStyle name="20% - 강조색1 7" xfId="7513"/>
    <cellStyle name="20% - 강조색1 8" xfId="7514"/>
    <cellStyle name="20% - 강조색1 9" xfId="7515"/>
    <cellStyle name="20% - 강조색2" xfId="13178" builtinId="34" customBuiltin="1"/>
    <cellStyle name="20% - 강조색2 10" xfId="7516"/>
    <cellStyle name="20% - 강조색2 11" xfId="7517"/>
    <cellStyle name="20% - 강조색2 12" xfId="7518"/>
    <cellStyle name="20% - 강조색2 13" xfId="7519"/>
    <cellStyle name="20% - 강조색2 14" xfId="7520"/>
    <cellStyle name="20% - 강조색2 15" xfId="7521"/>
    <cellStyle name="20% - 강조색2 15 2" xfId="12507"/>
    <cellStyle name="20% - 강조색2 16" xfId="7522"/>
    <cellStyle name="20% - 강조색2 17" xfId="7523"/>
    <cellStyle name="20% - 강조색2 18" xfId="7524"/>
    <cellStyle name="20% - 강조색2 19" xfId="7525"/>
    <cellStyle name="20% - 강조색2 2" xfId="7526"/>
    <cellStyle name="20% - 강조색2 2 10" xfId="12508"/>
    <cellStyle name="20% - 강조색2 2 2" xfId="12509"/>
    <cellStyle name="20% - 강조색2 2 3" xfId="12510"/>
    <cellStyle name="20% - 강조색2 2 4" xfId="12511"/>
    <cellStyle name="20% - 강조색2 2 5" xfId="12512"/>
    <cellStyle name="20% - 강조색2 2 6" xfId="12513"/>
    <cellStyle name="20% - 강조색2 2 7" xfId="12514"/>
    <cellStyle name="20% - 강조색2 2 8" xfId="12515"/>
    <cellStyle name="20% - 강조색2 2 9" xfId="12516"/>
    <cellStyle name="20% - 강조색2 20" xfId="7527"/>
    <cellStyle name="20% - 강조색2 21" xfId="7528"/>
    <cellStyle name="20% - 강조색2 22" xfId="7529"/>
    <cellStyle name="20% - 강조색2 23" xfId="7530"/>
    <cellStyle name="20% - 강조색2 24" xfId="7531"/>
    <cellStyle name="20% - 강조색2 25" xfId="7532"/>
    <cellStyle name="20% - 강조색2 26" xfId="7533"/>
    <cellStyle name="20% - 강조색2 27" xfId="7534"/>
    <cellStyle name="20% - 강조색2 28" xfId="7535"/>
    <cellStyle name="20% - 강조색2 29" xfId="7536"/>
    <cellStyle name="20% - 강조색2 3" xfId="7537"/>
    <cellStyle name="20% - 강조색2 3 10" xfId="12517"/>
    <cellStyle name="20% - 강조색2 3 2" xfId="12518"/>
    <cellStyle name="20% - 강조색2 3 3" xfId="12519"/>
    <cellStyle name="20% - 강조색2 3 4" xfId="12520"/>
    <cellStyle name="20% - 강조색2 3 5" xfId="12521"/>
    <cellStyle name="20% - 강조색2 3 6" xfId="12522"/>
    <cellStyle name="20% - 강조색2 3 7" xfId="12523"/>
    <cellStyle name="20% - 강조색2 3 8" xfId="12524"/>
    <cellStyle name="20% - 강조색2 3 9" xfId="12525"/>
    <cellStyle name="20% - 강조색2 30" xfId="7538"/>
    <cellStyle name="20% - 강조색2 31" xfId="7539"/>
    <cellStyle name="20% - 강조색2 32" xfId="7540"/>
    <cellStyle name="20% - 강조색2 33" xfId="7541"/>
    <cellStyle name="20% - 강조색2 34" xfId="7542"/>
    <cellStyle name="20% - 강조색2 35" xfId="7543"/>
    <cellStyle name="20% - 강조색2 36" xfId="7544"/>
    <cellStyle name="20% - 강조색2 37" xfId="7545"/>
    <cellStyle name="20% - 강조색2 38" xfId="7546"/>
    <cellStyle name="20% - 강조색2 39" xfId="7547"/>
    <cellStyle name="20% - 강조색2 4" xfId="7548"/>
    <cellStyle name="20% - 강조색2 4 10" xfId="12526"/>
    <cellStyle name="20% - 강조색2 4 2" xfId="12527"/>
    <cellStyle name="20% - 강조색2 4 3" xfId="12528"/>
    <cellStyle name="20% - 강조색2 4 4" xfId="12529"/>
    <cellStyle name="20% - 강조색2 4 5" xfId="12530"/>
    <cellStyle name="20% - 강조색2 4 6" xfId="12531"/>
    <cellStyle name="20% - 강조색2 4 7" xfId="12532"/>
    <cellStyle name="20% - 강조색2 4 8" xfId="12533"/>
    <cellStyle name="20% - 강조색2 4 9" xfId="12534"/>
    <cellStyle name="20% - 강조색2 40" xfId="7549"/>
    <cellStyle name="20% - 강조색2 41" xfId="7550"/>
    <cellStyle name="20% - 강조색2 42" xfId="7551"/>
    <cellStyle name="20% - 강조색2 43" xfId="7552"/>
    <cellStyle name="20% - 강조색2 44" xfId="7553"/>
    <cellStyle name="20% - 강조색2 45" xfId="7554"/>
    <cellStyle name="20% - 강조색2 46" xfId="7555"/>
    <cellStyle name="20% - 강조색2 47" xfId="7556"/>
    <cellStyle name="20% - 강조색2 48" xfId="7557"/>
    <cellStyle name="20% - 강조색2 49" xfId="7558"/>
    <cellStyle name="20% - 강조색2 5" xfId="7559"/>
    <cellStyle name="20% - 강조색2 5 10" xfId="12535"/>
    <cellStyle name="20% - 강조색2 5 2" xfId="12536"/>
    <cellStyle name="20% - 강조색2 5 3" xfId="12537"/>
    <cellStyle name="20% - 강조색2 5 4" xfId="12538"/>
    <cellStyle name="20% - 강조색2 5 5" xfId="12539"/>
    <cellStyle name="20% - 강조색2 5 6" xfId="12540"/>
    <cellStyle name="20% - 강조색2 5 7" xfId="12541"/>
    <cellStyle name="20% - 강조색2 5 8" xfId="12542"/>
    <cellStyle name="20% - 강조색2 5 9" xfId="12543"/>
    <cellStyle name="20% - 강조색2 50" xfId="7560"/>
    <cellStyle name="20% - 강조색2 51" xfId="7561"/>
    <cellStyle name="20% - 강조색2 52" xfId="7562"/>
    <cellStyle name="20% - 강조색2 53" xfId="7563"/>
    <cellStyle name="20% - 강조색2 54" xfId="7564"/>
    <cellStyle name="20% - 강조색2 55" xfId="7565"/>
    <cellStyle name="20% - 강조색2 56" xfId="7566"/>
    <cellStyle name="20% - 강조색2 57" xfId="7567"/>
    <cellStyle name="20% - 강조색2 58" xfId="7568"/>
    <cellStyle name="20% - 강조색2 59" xfId="7569"/>
    <cellStyle name="20% - 강조색2 6" xfId="7570"/>
    <cellStyle name="20% - 강조색2 60" xfId="7571"/>
    <cellStyle name="20% - 강조색2 61" xfId="7572"/>
    <cellStyle name="20% - 강조색2 62" xfId="7573"/>
    <cellStyle name="20% - 강조색2 63" xfId="7574"/>
    <cellStyle name="20% - 강조색2 7" xfId="7575"/>
    <cellStyle name="20% - 강조색2 8" xfId="7576"/>
    <cellStyle name="20% - 강조색2 9" xfId="7577"/>
    <cellStyle name="20% - 강조색3" xfId="13182" builtinId="38" customBuiltin="1"/>
    <cellStyle name="20% - 강조색3 10" xfId="7578"/>
    <cellStyle name="20% - 강조색3 11" xfId="7579"/>
    <cellStyle name="20% - 강조색3 12" xfId="7580"/>
    <cellStyle name="20% - 강조색3 13" xfId="7581"/>
    <cellStyle name="20% - 강조색3 14" xfId="7582"/>
    <cellStyle name="20% - 강조색3 15" xfId="7583"/>
    <cellStyle name="20% - 강조색3 15 2" xfId="12544"/>
    <cellStyle name="20% - 강조색3 16" xfId="7584"/>
    <cellStyle name="20% - 강조색3 17" xfId="7585"/>
    <cellStyle name="20% - 강조색3 18" xfId="7586"/>
    <cellStyle name="20% - 강조색3 19" xfId="7587"/>
    <cellStyle name="20% - 강조색3 2" xfId="7588"/>
    <cellStyle name="20% - 강조색3 2 10" xfId="12545"/>
    <cellStyle name="20% - 강조색3 2 2" xfId="12546"/>
    <cellStyle name="20% - 강조색3 2 3" xfId="12547"/>
    <cellStyle name="20% - 강조색3 2 4" xfId="12548"/>
    <cellStyle name="20% - 강조색3 2 5" xfId="12549"/>
    <cellStyle name="20% - 강조색3 2 6" xfId="12550"/>
    <cellStyle name="20% - 강조색3 2 7" xfId="12551"/>
    <cellStyle name="20% - 강조색3 2 8" xfId="12552"/>
    <cellStyle name="20% - 강조색3 2 9" xfId="12553"/>
    <cellStyle name="20% - 강조색3 20" xfId="7589"/>
    <cellStyle name="20% - 강조색3 21" xfId="7590"/>
    <cellStyle name="20% - 강조색3 22" xfId="7591"/>
    <cellStyle name="20% - 강조색3 23" xfId="7592"/>
    <cellStyle name="20% - 강조색3 24" xfId="7593"/>
    <cellStyle name="20% - 강조색3 25" xfId="7594"/>
    <cellStyle name="20% - 강조색3 26" xfId="7595"/>
    <cellStyle name="20% - 강조색3 27" xfId="7596"/>
    <cellStyle name="20% - 강조색3 28" xfId="7597"/>
    <cellStyle name="20% - 강조색3 29" xfId="7598"/>
    <cellStyle name="20% - 강조색3 3" xfId="7599"/>
    <cellStyle name="20% - 강조색3 3 10" xfId="12554"/>
    <cellStyle name="20% - 강조색3 3 2" xfId="12555"/>
    <cellStyle name="20% - 강조색3 3 3" xfId="12556"/>
    <cellStyle name="20% - 강조색3 3 4" xfId="12557"/>
    <cellStyle name="20% - 강조색3 3 5" xfId="12558"/>
    <cellStyle name="20% - 강조색3 3 6" xfId="12559"/>
    <cellStyle name="20% - 강조색3 3 7" xfId="12560"/>
    <cellStyle name="20% - 강조색3 3 8" xfId="12561"/>
    <cellStyle name="20% - 강조색3 3 9" xfId="12562"/>
    <cellStyle name="20% - 강조색3 30" xfId="7600"/>
    <cellStyle name="20% - 강조색3 31" xfId="7601"/>
    <cellStyle name="20% - 강조색3 32" xfId="7602"/>
    <cellStyle name="20% - 강조색3 33" xfId="7603"/>
    <cellStyle name="20% - 강조색3 34" xfId="7604"/>
    <cellStyle name="20% - 강조색3 35" xfId="7605"/>
    <cellStyle name="20% - 강조색3 36" xfId="7606"/>
    <cellStyle name="20% - 강조색3 37" xfId="7607"/>
    <cellStyle name="20% - 강조색3 38" xfId="7608"/>
    <cellStyle name="20% - 강조색3 39" xfId="7609"/>
    <cellStyle name="20% - 강조색3 4" xfId="7610"/>
    <cellStyle name="20% - 강조색3 4 10" xfId="12563"/>
    <cellStyle name="20% - 강조색3 4 2" xfId="12564"/>
    <cellStyle name="20% - 강조색3 4 3" xfId="12565"/>
    <cellStyle name="20% - 강조색3 4 4" xfId="12566"/>
    <cellStyle name="20% - 강조색3 4 5" xfId="12567"/>
    <cellStyle name="20% - 강조색3 4 6" xfId="12568"/>
    <cellStyle name="20% - 강조색3 4 7" xfId="12569"/>
    <cellStyle name="20% - 강조색3 4 8" xfId="12570"/>
    <cellStyle name="20% - 강조색3 4 9" xfId="12571"/>
    <cellStyle name="20% - 강조색3 40" xfId="7611"/>
    <cellStyle name="20% - 강조색3 41" xfId="7612"/>
    <cellStyle name="20% - 강조색3 42" xfId="7613"/>
    <cellStyle name="20% - 강조색3 43" xfId="7614"/>
    <cellStyle name="20% - 강조색3 44" xfId="7615"/>
    <cellStyle name="20% - 강조색3 45" xfId="7616"/>
    <cellStyle name="20% - 강조색3 46" xfId="7617"/>
    <cellStyle name="20% - 강조색3 47" xfId="7618"/>
    <cellStyle name="20% - 강조색3 48" xfId="7619"/>
    <cellStyle name="20% - 강조색3 49" xfId="7620"/>
    <cellStyle name="20% - 강조색3 5" xfId="7621"/>
    <cellStyle name="20% - 강조색3 5 10" xfId="12572"/>
    <cellStyle name="20% - 강조색3 5 2" xfId="12573"/>
    <cellStyle name="20% - 강조색3 5 3" xfId="12574"/>
    <cellStyle name="20% - 강조색3 5 4" xfId="12575"/>
    <cellStyle name="20% - 강조색3 5 5" xfId="12576"/>
    <cellStyle name="20% - 강조색3 5 6" xfId="12577"/>
    <cellStyle name="20% - 강조색3 5 7" xfId="12578"/>
    <cellStyle name="20% - 강조색3 5 8" xfId="12579"/>
    <cellStyle name="20% - 강조색3 5 9" xfId="12580"/>
    <cellStyle name="20% - 강조색3 50" xfId="7622"/>
    <cellStyle name="20% - 강조색3 51" xfId="7623"/>
    <cellStyle name="20% - 강조색3 52" xfId="7624"/>
    <cellStyle name="20% - 강조색3 53" xfId="7625"/>
    <cellStyle name="20% - 강조색3 54" xfId="7626"/>
    <cellStyle name="20% - 강조색3 55" xfId="7627"/>
    <cellStyle name="20% - 강조색3 56" xfId="7628"/>
    <cellStyle name="20% - 강조색3 57" xfId="7629"/>
    <cellStyle name="20% - 강조색3 58" xfId="7630"/>
    <cellStyle name="20% - 강조색3 59" xfId="7631"/>
    <cellStyle name="20% - 강조색3 6" xfId="7632"/>
    <cellStyle name="20% - 강조색3 60" xfId="7633"/>
    <cellStyle name="20% - 강조색3 61" xfId="7634"/>
    <cellStyle name="20% - 강조색3 62" xfId="7635"/>
    <cellStyle name="20% - 강조색3 63" xfId="7636"/>
    <cellStyle name="20% - 강조색3 7" xfId="7637"/>
    <cellStyle name="20% - 강조색3 8" xfId="7638"/>
    <cellStyle name="20% - 강조색3 9" xfId="7639"/>
    <cellStyle name="20% - 강조색4" xfId="13186" builtinId="42" customBuiltin="1"/>
    <cellStyle name="20% - 강조색4 10" xfId="7640"/>
    <cellStyle name="20% - 강조색4 11" xfId="7641"/>
    <cellStyle name="20% - 강조색4 12" xfId="7642"/>
    <cellStyle name="20% - 강조색4 13" xfId="7643"/>
    <cellStyle name="20% - 강조색4 14" xfId="7644"/>
    <cellStyle name="20% - 강조색4 15" xfId="7645"/>
    <cellStyle name="20% - 강조색4 15 2" xfId="12581"/>
    <cellStyle name="20% - 강조색4 16" xfId="7646"/>
    <cellStyle name="20% - 강조색4 17" xfId="7647"/>
    <cellStyle name="20% - 강조색4 18" xfId="7648"/>
    <cellStyle name="20% - 강조색4 19" xfId="7649"/>
    <cellStyle name="20% - 강조색4 2" xfId="7650"/>
    <cellStyle name="20% - 강조색4 2 10" xfId="12582"/>
    <cellStyle name="20% - 강조색4 2 2" xfId="12583"/>
    <cellStyle name="20% - 강조색4 2 3" xfId="12584"/>
    <cellStyle name="20% - 강조색4 2 4" xfId="12585"/>
    <cellStyle name="20% - 강조색4 2 5" xfId="12586"/>
    <cellStyle name="20% - 강조색4 2 6" xfId="12587"/>
    <cellStyle name="20% - 강조색4 2 7" xfId="12588"/>
    <cellStyle name="20% - 강조색4 2 8" xfId="12589"/>
    <cellStyle name="20% - 강조색4 2 9" xfId="12590"/>
    <cellStyle name="20% - 강조색4 20" xfId="7651"/>
    <cellStyle name="20% - 강조색4 21" xfId="7652"/>
    <cellStyle name="20% - 강조색4 22" xfId="7653"/>
    <cellStyle name="20% - 강조색4 23" xfId="7654"/>
    <cellStyle name="20% - 강조색4 24" xfId="7655"/>
    <cellStyle name="20% - 강조색4 25" xfId="7656"/>
    <cellStyle name="20% - 강조색4 26" xfId="7657"/>
    <cellStyle name="20% - 강조색4 27" xfId="7658"/>
    <cellStyle name="20% - 강조색4 28" xfId="7659"/>
    <cellStyle name="20% - 강조색4 29" xfId="7660"/>
    <cellStyle name="20% - 강조색4 3" xfId="7661"/>
    <cellStyle name="20% - 강조색4 3 10" xfId="12591"/>
    <cellStyle name="20% - 강조색4 3 2" xfId="12592"/>
    <cellStyle name="20% - 강조색4 3 3" xfId="12593"/>
    <cellStyle name="20% - 강조색4 3 4" xfId="12594"/>
    <cellStyle name="20% - 강조색4 3 5" xfId="12595"/>
    <cellStyle name="20% - 강조색4 3 6" xfId="12596"/>
    <cellStyle name="20% - 강조색4 3 7" xfId="12597"/>
    <cellStyle name="20% - 강조색4 3 8" xfId="12598"/>
    <cellStyle name="20% - 강조색4 3 9" xfId="12599"/>
    <cellStyle name="20% - 강조색4 30" xfId="7662"/>
    <cellStyle name="20% - 강조색4 31" xfId="7663"/>
    <cellStyle name="20% - 강조색4 32" xfId="7664"/>
    <cellStyle name="20% - 강조색4 33" xfId="7665"/>
    <cellStyle name="20% - 강조색4 34" xfId="7666"/>
    <cellStyle name="20% - 강조색4 35" xfId="7667"/>
    <cellStyle name="20% - 강조색4 36" xfId="7668"/>
    <cellStyle name="20% - 강조색4 37" xfId="7669"/>
    <cellStyle name="20% - 강조색4 38" xfId="7670"/>
    <cellStyle name="20% - 강조색4 39" xfId="7671"/>
    <cellStyle name="20% - 강조색4 4" xfId="7672"/>
    <cellStyle name="20% - 강조색4 4 10" xfId="12600"/>
    <cellStyle name="20% - 강조색4 4 2" xfId="12601"/>
    <cellStyle name="20% - 강조색4 4 3" xfId="12602"/>
    <cellStyle name="20% - 강조색4 4 4" xfId="12603"/>
    <cellStyle name="20% - 강조색4 4 5" xfId="12604"/>
    <cellStyle name="20% - 강조색4 4 6" xfId="12605"/>
    <cellStyle name="20% - 강조색4 4 7" xfId="12606"/>
    <cellStyle name="20% - 강조색4 4 8" xfId="12607"/>
    <cellStyle name="20% - 강조색4 4 9" xfId="12608"/>
    <cellStyle name="20% - 강조색4 40" xfId="7673"/>
    <cellStyle name="20% - 강조색4 41" xfId="7674"/>
    <cellStyle name="20% - 강조색4 42" xfId="7675"/>
    <cellStyle name="20% - 강조색4 43" xfId="7676"/>
    <cellStyle name="20% - 강조색4 44" xfId="7677"/>
    <cellStyle name="20% - 강조색4 45" xfId="7678"/>
    <cellStyle name="20% - 강조색4 46" xfId="7679"/>
    <cellStyle name="20% - 강조색4 47" xfId="7680"/>
    <cellStyle name="20% - 강조색4 48" xfId="7681"/>
    <cellStyle name="20% - 강조색4 49" xfId="7682"/>
    <cellStyle name="20% - 강조색4 5" xfId="7683"/>
    <cellStyle name="20% - 강조색4 5 10" xfId="12609"/>
    <cellStyle name="20% - 강조색4 5 2" xfId="12610"/>
    <cellStyle name="20% - 강조색4 5 3" xfId="12611"/>
    <cellStyle name="20% - 강조색4 5 4" xfId="12612"/>
    <cellStyle name="20% - 강조색4 5 5" xfId="12613"/>
    <cellStyle name="20% - 강조색4 5 6" xfId="12614"/>
    <cellStyle name="20% - 강조색4 5 7" xfId="12615"/>
    <cellStyle name="20% - 강조색4 5 8" xfId="12616"/>
    <cellStyle name="20% - 강조색4 5 9" xfId="12617"/>
    <cellStyle name="20% - 강조색4 50" xfId="7684"/>
    <cellStyle name="20% - 강조색4 51" xfId="7685"/>
    <cellStyle name="20% - 강조색4 52" xfId="7686"/>
    <cellStyle name="20% - 강조색4 53" xfId="7687"/>
    <cellStyle name="20% - 강조색4 54" xfId="7688"/>
    <cellStyle name="20% - 강조색4 55" xfId="7689"/>
    <cellStyle name="20% - 강조색4 56" xfId="7690"/>
    <cellStyle name="20% - 강조색4 57" xfId="7691"/>
    <cellStyle name="20% - 강조색4 58" xfId="7692"/>
    <cellStyle name="20% - 강조색4 59" xfId="7693"/>
    <cellStyle name="20% - 강조색4 6" xfId="7694"/>
    <cellStyle name="20% - 강조색4 60" xfId="7695"/>
    <cellStyle name="20% - 강조색4 61" xfId="7696"/>
    <cellStyle name="20% - 강조색4 62" xfId="7697"/>
    <cellStyle name="20% - 강조색4 63" xfId="7698"/>
    <cellStyle name="20% - 강조색4 7" xfId="7699"/>
    <cellStyle name="20% - 강조색4 8" xfId="7700"/>
    <cellStyle name="20% - 강조색4 9" xfId="7701"/>
    <cellStyle name="20% - 강조색5" xfId="13190" builtinId="46" customBuiltin="1"/>
    <cellStyle name="20% - 강조색5 10" xfId="7702"/>
    <cellStyle name="20% - 강조색5 11" xfId="7703"/>
    <cellStyle name="20% - 강조색5 12" xfId="7704"/>
    <cellStyle name="20% - 강조색5 13" xfId="7705"/>
    <cellStyle name="20% - 강조색5 14" xfId="7706"/>
    <cellStyle name="20% - 강조색5 15" xfId="7707"/>
    <cellStyle name="20% - 강조색5 15 2" xfId="12618"/>
    <cellStyle name="20% - 강조색5 16" xfId="7708"/>
    <cellStyle name="20% - 강조색5 17" xfId="7709"/>
    <cellStyle name="20% - 강조색5 18" xfId="7710"/>
    <cellStyle name="20% - 강조색5 19" xfId="7711"/>
    <cellStyle name="20% - 강조색5 2" xfId="7712"/>
    <cellStyle name="20% - 강조색5 2 10" xfId="12619"/>
    <cellStyle name="20% - 강조색5 2 2" xfId="12620"/>
    <cellStyle name="20% - 강조색5 2 3" xfId="12621"/>
    <cellStyle name="20% - 강조색5 2 4" xfId="12622"/>
    <cellStyle name="20% - 강조색5 2 5" xfId="12623"/>
    <cellStyle name="20% - 강조색5 2 6" xfId="12624"/>
    <cellStyle name="20% - 강조색5 2 7" xfId="12625"/>
    <cellStyle name="20% - 강조색5 2 8" xfId="12626"/>
    <cellStyle name="20% - 강조색5 2 9" xfId="12627"/>
    <cellStyle name="20% - 강조색5 20" xfId="7713"/>
    <cellStyle name="20% - 강조색5 21" xfId="7714"/>
    <cellStyle name="20% - 강조색5 22" xfId="7715"/>
    <cellStyle name="20% - 강조색5 23" xfId="7716"/>
    <cellStyle name="20% - 강조색5 24" xfId="7717"/>
    <cellStyle name="20% - 강조색5 25" xfId="7718"/>
    <cellStyle name="20% - 강조색5 26" xfId="7719"/>
    <cellStyle name="20% - 강조색5 27" xfId="7720"/>
    <cellStyle name="20% - 강조색5 28" xfId="7721"/>
    <cellStyle name="20% - 강조색5 29" xfId="7722"/>
    <cellStyle name="20% - 강조색5 3" xfId="7723"/>
    <cellStyle name="20% - 강조색5 3 10" xfId="12628"/>
    <cellStyle name="20% - 강조색5 3 2" xfId="12629"/>
    <cellStyle name="20% - 강조색5 3 3" xfId="12630"/>
    <cellStyle name="20% - 강조색5 3 4" xfId="12631"/>
    <cellStyle name="20% - 강조색5 3 5" xfId="12632"/>
    <cellStyle name="20% - 강조색5 3 6" xfId="12633"/>
    <cellStyle name="20% - 강조색5 3 7" xfId="12634"/>
    <cellStyle name="20% - 강조색5 3 8" xfId="12635"/>
    <cellStyle name="20% - 강조색5 3 9" xfId="12636"/>
    <cellStyle name="20% - 강조색5 30" xfId="7724"/>
    <cellStyle name="20% - 강조색5 31" xfId="7725"/>
    <cellStyle name="20% - 강조색5 32" xfId="7726"/>
    <cellStyle name="20% - 강조색5 33" xfId="7727"/>
    <cellStyle name="20% - 강조색5 34" xfId="7728"/>
    <cellStyle name="20% - 강조색5 35" xfId="7729"/>
    <cellStyle name="20% - 강조색5 36" xfId="7730"/>
    <cellStyle name="20% - 강조색5 37" xfId="7731"/>
    <cellStyle name="20% - 강조색5 38" xfId="7732"/>
    <cellStyle name="20% - 강조색5 39" xfId="7733"/>
    <cellStyle name="20% - 강조색5 4" xfId="7734"/>
    <cellStyle name="20% - 강조색5 4 10" xfId="12637"/>
    <cellStyle name="20% - 강조색5 4 2" xfId="12638"/>
    <cellStyle name="20% - 강조색5 4 3" xfId="12639"/>
    <cellStyle name="20% - 강조색5 4 4" xfId="12640"/>
    <cellStyle name="20% - 강조색5 4 5" xfId="12641"/>
    <cellStyle name="20% - 강조색5 4 6" xfId="12642"/>
    <cellStyle name="20% - 강조색5 4 7" xfId="12643"/>
    <cellStyle name="20% - 강조색5 4 8" xfId="12644"/>
    <cellStyle name="20% - 강조색5 4 9" xfId="12645"/>
    <cellStyle name="20% - 강조색5 40" xfId="7735"/>
    <cellStyle name="20% - 강조색5 41" xfId="7736"/>
    <cellStyle name="20% - 강조색5 42" xfId="7737"/>
    <cellStyle name="20% - 강조색5 43" xfId="7738"/>
    <cellStyle name="20% - 강조색5 44" xfId="7739"/>
    <cellStyle name="20% - 강조색5 45" xfId="7740"/>
    <cellStyle name="20% - 강조색5 46" xfId="7741"/>
    <cellStyle name="20% - 강조색5 47" xfId="7742"/>
    <cellStyle name="20% - 강조색5 48" xfId="7743"/>
    <cellStyle name="20% - 강조색5 49" xfId="7744"/>
    <cellStyle name="20% - 강조색5 5" xfId="7745"/>
    <cellStyle name="20% - 강조색5 5 10" xfId="12646"/>
    <cellStyle name="20% - 강조색5 5 2" xfId="12647"/>
    <cellStyle name="20% - 강조색5 5 3" xfId="12648"/>
    <cellStyle name="20% - 강조색5 5 4" xfId="12649"/>
    <cellStyle name="20% - 강조색5 5 5" xfId="12650"/>
    <cellStyle name="20% - 강조색5 5 6" xfId="12651"/>
    <cellStyle name="20% - 강조색5 5 7" xfId="12652"/>
    <cellStyle name="20% - 강조색5 5 8" xfId="12653"/>
    <cellStyle name="20% - 강조색5 5 9" xfId="12654"/>
    <cellStyle name="20% - 강조색5 50" xfId="7746"/>
    <cellStyle name="20% - 강조색5 51" xfId="7747"/>
    <cellStyle name="20% - 강조색5 52" xfId="7748"/>
    <cellStyle name="20% - 강조색5 53" xfId="7749"/>
    <cellStyle name="20% - 강조색5 54" xfId="7750"/>
    <cellStyle name="20% - 강조색5 55" xfId="7751"/>
    <cellStyle name="20% - 강조색5 56" xfId="7752"/>
    <cellStyle name="20% - 강조색5 57" xfId="7753"/>
    <cellStyle name="20% - 강조색5 58" xfId="7754"/>
    <cellStyle name="20% - 강조색5 59" xfId="7755"/>
    <cellStyle name="20% - 강조색5 6" xfId="7756"/>
    <cellStyle name="20% - 강조색5 60" xfId="7757"/>
    <cellStyle name="20% - 강조색5 61" xfId="7758"/>
    <cellStyle name="20% - 강조색5 62" xfId="7759"/>
    <cellStyle name="20% - 강조색5 63" xfId="7760"/>
    <cellStyle name="20% - 강조색5 7" xfId="7761"/>
    <cellStyle name="20% - 강조색5 8" xfId="7762"/>
    <cellStyle name="20% - 강조색5 9" xfId="7763"/>
    <cellStyle name="20% - 강조색6" xfId="13194" builtinId="50" customBuiltin="1"/>
    <cellStyle name="20% - 강조색6 10" xfId="7764"/>
    <cellStyle name="20% - 강조색6 11" xfId="7765"/>
    <cellStyle name="20% - 강조색6 12" xfId="7766"/>
    <cellStyle name="20% - 강조색6 13" xfId="7767"/>
    <cellStyle name="20% - 강조색6 14" xfId="7768"/>
    <cellStyle name="20% - 강조색6 15" xfId="7769"/>
    <cellStyle name="20% - 강조색6 15 2" xfId="12655"/>
    <cellStyle name="20% - 강조색6 16" xfId="7770"/>
    <cellStyle name="20% - 강조색6 17" xfId="7771"/>
    <cellStyle name="20% - 강조색6 18" xfId="7772"/>
    <cellStyle name="20% - 강조색6 19" xfId="7773"/>
    <cellStyle name="20% - 강조색6 2" xfId="7774"/>
    <cellStyle name="20% - 강조색6 2 10" xfId="12656"/>
    <cellStyle name="20% - 강조색6 2 2" xfId="12657"/>
    <cellStyle name="20% - 강조색6 2 3" xfId="12658"/>
    <cellStyle name="20% - 강조색6 2 4" xfId="12659"/>
    <cellStyle name="20% - 강조색6 2 5" xfId="12660"/>
    <cellStyle name="20% - 강조색6 2 6" xfId="12661"/>
    <cellStyle name="20% - 강조색6 2 7" xfId="12662"/>
    <cellStyle name="20% - 강조색6 2 8" xfId="12663"/>
    <cellStyle name="20% - 강조색6 2 9" xfId="12664"/>
    <cellStyle name="20% - 강조색6 20" xfId="7775"/>
    <cellStyle name="20% - 강조색6 21" xfId="7776"/>
    <cellStyle name="20% - 강조색6 22" xfId="7777"/>
    <cellStyle name="20% - 강조색6 23" xfId="7778"/>
    <cellStyle name="20% - 강조색6 24" xfId="7779"/>
    <cellStyle name="20% - 강조색6 25" xfId="7780"/>
    <cellStyle name="20% - 강조색6 26" xfId="7781"/>
    <cellStyle name="20% - 강조색6 27" xfId="7782"/>
    <cellStyle name="20% - 강조색6 28" xfId="7783"/>
    <cellStyle name="20% - 강조색6 29" xfId="7784"/>
    <cellStyle name="20% - 강조색6 3" xfId="7785"/>
    <cellStyle name="20% - 강조색6 3 10" xfId="12665"/>
    <cellStyle name="20% - 강조색6 3 2" xfId="12666"/>
    <cellStyle name="20% - 강조색6 3 3" xfId="12667"/>
    <cellStyle name="20% - 강조색6 3 4" xfId="12668"/>
    <cellStyle name="20% - 강조색6 3 5" xfId="12669"/>
    <cellStyle name="20% - 강조색6 3 6" xfId="12670"/>
    <cellStyle name="20% - 강조색6 3 7" xfId="12671"/>
    <cellStyle name="20% - 강조색6 3 8" xfId="12672"/>
    <cellStyle name="20% - 강조색6 3 9" xfId="12673"/>
    <cellStyle name="20% - 강조색6 30" xfId="7786"/>
    <cellStyle name="20% - 강조색6 31" xfId="7787"/>
    <cellStyle name="20% - 강조색6 32" xfId="7788"/>
    <cellStyle name="20% - 강조색6 33" xfId="7789"/>
    <cellStyle name="20% - 강조색6 34" xfId="7790"/>
    <cellStyle name="20% - 강조색6 35" xfId="7791"/>
    <cellStyle name="20% - 강조색6 36" xfId="7792"/>
    <cellStyle name="20% - 강조색6 37" xfId="7793"/>
    <cellStyle name="20% - 강조색6 38" xfId="7794"/>
    <cellStyle name="20% - 강조색6 39" xfId="7795"/>
    <cellStyle name="20% - 강조색6 4" xfId="7796"/>
    <cellStyle name="20% - 강조색6 4 10" xfId="12674"/>
    <cellStyle name="20% - 강조색6 4 2" xfId="12675"/>
    <cellStyle name="20% - 강조색6 4 3" xfId="12676"/>
    <cellStyle name="20% - 강조색6 4 4" xfId="12677"/>
    <cellStyle name="20% - 강조색6 4 5" xfId="12678"/>
    <cellStyle name="20% - 강조색6 4 6" xfId="12679"/>
    <cellStyle name="20% - 강조색6 4 7" xfId="12680"/>
    <cellStyle name="20% - 강조색6 4 8" xfId="12681"/>
    <cellStyle name="20% - 강조색6 4 9" xfId="12682"/>
    <cellStyle name="20% - 강조색6 40" xfId="7797"/>
    <cellStyle name="20% - 강조색6 41" xfId="7798"/>
    <cellStyle name="20% - 강조색6 42" xfId="7799"/>
    <cellStyle name="20% - 강조색6 43" xfId="7800"/>
    <cellStyle name="20% - 강조색6 44" xfId="7801"/>
    <cellStyle name="20% - 강조색6 45" xfId="7802"/>
    <cellStyle name="20% - 강조색6 46" xfId="7803"/>
    <cellStyle name="20% - 강조색6 47" xfId="7804"/>
    <cellStyle name="20% - 강조색6 48" xfId="7805"/>
    <cellStyle name="20% - 강조색6 49" xfId="7806"/>
    <cellStyle name="20% - 강조색6 5" xfId="7807"/>
    <cellStyle name="20% - 강조색6 5 10" xfId="12683"/>
    <cellStyle name="20% - 강조색6 5 2" xfId="12684"/>
    <cellStyle name="20% - 강조색6 5 3" xfId="12685"/>
    <cellStyle name="20% - 강조색6 5 4" xfId="12686"/>
    <cellStyle name="20% - 강조색6 5 5" xfId="12687"/>
    <cellStyle name="20% - 강조색6 5 6" xfId="12688"/>
    <cellStyle name="20% - 강조색6 5 7" xfId="12689"/>
    <cellStyle name="20% - 강조색6 5 8" xfId="12690"/>
    <cellStyle name="20% - 강조색6 5 9" xfId="12691"/>
    <cellStyle name="20% - 강조색6 50" xfId="7808"/>
    <cellStyle name="20% - 강조색6 51" xfId="7809"/>
    <cellStyle name="20% - 강조색6 52" xfId="7810"/>
    <cellStyle name="20% - 강조색6 53" xfId="7811"/>
    <cellStyle name="20% - 강조색6 54" xfId="7812"/>
    <cellStyle name="20% - 강조색6 55" xfId="7813"/>
    <cellStyle name="20% - 강조색6 56" xfId="7814"/>
    <cellStyle name="20% - 강조색6 57" xfId="7815"/>
    <cellStyle name="20% - 강조색6 58" xfId="7816"/>
    <cellStyle name="20% - 강조색6 59" xfId="7817"/>
    <cellStyle name="20% - 강조색6 6" xfId="7818"/>
    <cellStyle name="20% - 강조색6 60" xfId="7819"/>
    <cellStyle name="20% - 강조색6 61" xfId="7820"/>
    <cellStyle name="20% - 강조색6 62" xfId="7821"/>
    <cellStyle name="20% - 강조색6 63" xfId="7822"/>
    <cellStyle name="20% - 강조색6 7" xfId="7823"/>
    <cellStyle name="20% - 강조색6 8" xfId="7824"/>
    <cellStyle name="20% - 강조색6 9" xfId="7825"/>
    <cellStyle name="³f¹o [0]_RESULTS" xfId="7832"/>
    <cellStyle name="³f¹o_RESULTS" xfId="7833"/>
    <cellStyle name="40% - Accent1" xfId="8206"/>
    <cellStyle name="40% - Accent2" xfId="8207"/>
    <cellStyle name="40% - Accent3" xfId="8208"/>
    <cellStyle name="40% - Accent4" xfId="8209"/>
    <cellStyle name="40% - Accent5" xfId="8210"/>
    <cellStyle name="40% - Accent6" xfId="8211"/>
    <cellStyle name="40% - 강조색1" xfId="13175" builtinId="31" customBuiltin="1"/>
    <cellStyle name="40% - 강조색1 10" xfId="7834"/>
    <cellStyle name="40% - 강조색1 11" xfId="7835"/>
    <cellStyle name="40% - 강조색1 12" xfId="7836"/>
    <cellStyle name="40% - 강조색1 13" xfId="7837"/>
    <cellStyle name="40% - 강조색1 14" xfId="7838"/>
    <cellStyle name="40% - 강조색1 15" xfId="7839"/>
    <cellStyle name="40% - 강조색1 15 2" xfId="12692"/>
    <cellStyle name="40% - 강조색1 16" xfId="7840"/>
    <cellStyle name="40% - 강조색1 17" xfId="7841"/>
    <cellStyle name="40% - 강조색1 18" xfId="7842"/>
    <cellStyle name="40% - 강조색1 19" xfId="7843"/>
    <cellStyle name="40% - 강조색1 2" xfId="7844"/>
    <cellStyle name="40% - 강조색1 2 10" xfId="12693"/>
    <cellStyle name="40% - 강조색1 2 2" xfId="12694"/>
    <cellStyle name="40% - 강조색1 2 3" xfId="12695"/>
    <cellStyle name="40% - 강조색1 2 4" xfId="12696"/>
    <cellStyle name="40% - 강조색1 2 5" xfId="12697"/>
    <cellStyle name="40% - 강조색1 2 6" xfId="12698"/>
    <cellStyle name="40% - 강조색1 2 7" xfId="12699"/>
    <cellStyle name="40% - 강조색1 2 8" xfId="12700"/>
    <cellStyle name="40% - 강조색1 2 9" xfId="12701"/>
    <cellStyle name="40% - 강조색1 20" xfId="7845"/>
    <cellStyle name="40% - 강조색1 21" xfId="7846"/>
    <cellStyle name="40% - 강조색1 22" xfId="7847"/>
    <cellStyle name="40% - 강조색1 23" xfId="7848"/>
    <cellStyle name="40% - 강조색1 24" xfId="7849"/>
    <cellStyle name="40% - 강조색1 25" xfId="7850"/>
    <cellStyle name="40% - 강조색1 26" xfId="7851"/>
    <cellStyle name="40% - 강조색1 27" xfId="7852"/>
    <cellStyle name="40% - 강조색1 28" xfId="7853"/>
    <cellStyle name="40% - 강조색1 29" xfId="7854"/>
    <cellStyle name="40% - 강조색1 3" xfId="7855"/>
    <cellStyle name="40% - 강조색1 3 10" xfId="12702"/>
    <cellStyle name="40% - 강조색1 3 2" xfId="12703"/>
    <cellStyle name="40% - 강조색1 3 3" xfId="12704"/>
    <cellStyle name="40% - 강조색1 3 4" xfId="12705"/>
    <cellStyle name="40% - 강조색1 3 5" xfId="12706"/>
    <cellStyle name="40% - 강조색1 3 6" xfId="12707"/>
    <cellStyle name="40% - 강조색1 3 7" xfId="12708"/>
    <cellStyle name="40% - 강조색1 3 8" xfId="12709"/>
    <cellStyle name="40% - 강조색1 3 9" xfId="12710"/>
    <cellStyle name="40% - 강조색1 30" xfId="7856"/>
    <cellStyle name="40% - 강조색1 31" xfId="7857"/>
    <cellStyle name="40% - 강조색1 32" xfId="7858"/>
    <cellStyle name="40% - 강조색1 33" xfId="7859"/>
    <cellStyle name="40% - 강조색1 34" xfId="7860"/>
    <cellStyle name="40% - 강조색1 35" xfId="7861"/>
    <cellStyle name="40% - 강조색1 36" xfId="7862"/>
    <cellStyle name="40% - 강조색1 37" xfId="7863"/>
    <cellStyle name="40% - 강조색1 38" xfId="7864"/>
    <cellStyle name="40% - 강조색1 39" xfId="7865"/>
    <cellStyle name="40% - 강조색1 4" xfId="7866"/>
    <cellStyle name="40% - 강조색1 4 10" xfId="12711"/>
    <cellStyle name="40% - 강조색1 4 2" xfId="12712"/>
    <cellStyle name="40% - 강조색1 4 3" xfId="12713"/>
    <cellStyle name="40% - 강조색1 4 4" xfId="12714"/>
    <cellStyle name="40% - 강조색1 4 5" xfId="12715"/>
    <cellStyle name="40% - 강조색1 4 6" xfId="12716"/>
    <cellStyle name="40% - 강조색1 4 7" xfId="12717"/>
    <cellStyle name="40% - 강조색1 4 8" xfId="12718"/>
    <cellStyle name="40% - 강조색1 4 9" xfId="12719"/>
    <cellStyle name="40% - 강조색1 40" xfId="7867"/>
    <cellStyle name="40% - 강조색1 41" xfId="7868"/>
    <cellStyle name="40% - 강조색1 42" xfId="7869"/>
    <cellStyle name="40% - 강조색1 43" xfId="7870"/>
    <cellStyle name="40% - 강조색1 44" xfId="7871"/>
    <cellStyle name="40% - 강조색1 45" xfId="7872"/>
    <cellStyle name="40% - 강조색1 46" xfId="7873"/>
    <cellStyle name="40% - 강조색1 47" xfId="7874"/>
    <cellStyle name="40% - 강조색1 48" xfId="7875"/>
    <cellStyle name="40% - 강조색1 49" xfId="7876"/>
    <cellStyle name="40% - 강조색1 5" xfId="7877"/>
    <cellStyle name="40% - 강조색1 5 10" xfId="12720"/>
    <cellStyle name="40% - 강조색1 5 2" xfId="12721"/>
    <cellStyle name="40% - 강조색1 5 3" xfId="12722"/>
    <cellStyle name="40% - 강조색1 5 4" xfId="12723"/>
    <cellStyle name="40% - 강조색1 5 5" xfId="12724"/>
    <cellStyle name="40% - 강조색1 5 6" xfId="12725"/>
    <cellStyle name="40% - 강조색1 5 7" xfId="12726"/>
    <cellStyle name="40% - 강조색1 5 8" xfId="12727"/>
    <cellStyle name="40% - 강조색1 5 9" xfId="12728"/>
    <cellStyle name="40% - 강조색1 50" xfId="7878"/>
    <cellStyle name="40% - 강조색1 51" xfId="7879"/>
    <cellStyle name="40% - 강조색1 52" xfId="7880"/>
    <cellStyle name="40% - 강조색1 53" xfId="7881"/>
    <cellStyle name="40% - 강조색1 54" xfId="7882"/>
    <cellStyle name="40% - 강조색1 55" xfId="7883"/>
    <cellStyle name="40% - 강조색1 56" xfId="7884"/>
    <cellStyle name="40% - 강조색1 57" xfId="7885"/>
    <cellStyle name="40% - 강조색1 58" xfId="7886"/>
    <cellStyle name="40% - 강조색1 59" xfId="7887"/>
    <cellStyle name="40% - 강조색1 6" xfId="7888"/>
    <cellStyle name="40% - 강조색1 60" xfId="7889"/>
    <cellStyle name="40% - 강조색1 61" xfId="7890"/>
    <cellStyle name="40% - 강조색1 62" xfId="7891"/>
    <cellStyle name="40% - 강조색1 63" xfId="7892"/>
    <cellStyle name="40% - 강조색1 7" xfId="7893"/>
    <cellStyle name="40% - 강조색1 8" xfId="7894"/>
    <cellStyle name="40% - 강조색1 9" xfId="7895"/>
    <cellStyle name="40% - 강조색2" xfId="13179" builtinId="35" customBuiltin="1"/>
    <cellStyle name="40% - 강조색2 10" xfId="7896"/>
    <cellStyle name="40% - 강조색2 11" xfId="7897"/>
    <cellStyle name="40% - 강조색2 12" xfId="7898"/>
    <cellStyle name="40% - 강조색2 13" xfId="7899"/>
    <cellStyle name="40% - 강조색2 14" xfId="7900"/>
    <cellStyle name="40% - 강조색2 15" xfId="7901"/>
    <cellStyle name="40% - 강조색2 15 2" xfId="12729"/>
    <cellStyle name="40% - 강조색2 16" xfId="7902"/>
    <cellStyle name="40% - 강조색2 17" xfId="7903"/>
    <cellStyle name="40% - 강조색2 18" xfId="7904"/>
    <cellStyle name="40% - 강조색2 19" xfId="7905"/>
    <cellStyle name="40% - 강조색2 2" xfId="7906"/>
    <cellStyle name="40% - 강조색2 2 10" xfId="12730"/>
    <cellStyle name="40% - 강조색2 2 2" xfId="12731"/>
    <cellStyle name="40% - 강조색2 2 3" xfId="12732"/>
    <cellStyle name="40% - 강조색2 2 4" xfId="12733"/>
    <cellStyle name="40% - 강조색2 2 5" xfId="12734"/>
    <cellStyle name="40% - 강조색2 2 6" xfId="12735"/>
    <cellStyle name="40% - 강조색2 2 7" xfId="12736"/>
    <cellStyle name="40% - 강조색2 2 8" xfId="12737"/>
    <cellStyle name="40% - 강조색2 2 9" xfId="12738"/>
    <cellStyle name="40% - 강조색2 20" xfId="7907"/>
    <cellStyle name="40% - 강조색2 21" xfId="7908"/>
    <cellStyle name="40% - 강조색2 22" xfId="7909"/>
    <cellStyle name="40% - 강조색2 23" xfId="7910"/>
    <cellStyle name="40% - 강조색2 24" xfId="7911"/>
    <cellStyle name="40% - 강조색2 25" xfId="7912"/>
    <cellStyle name="40% - 강조색2 26" xfId="7913"/>
    <cellStyle name="40% - 강조색2 27" xfId="7914"/>
    <cellStyle name="40% - 강조색2 28" xfId="7915"/>
    <cellStyle name="40% - 강조색2 29" xfId="7916"/>
    <cellStyle name="40% - 강조색2 3" xfId="7917"/>
    <cellStyle name="40% - 강조색2 3 10" xfId="12739"/>
    <cellStyle name="40% - 강조색2 3 2" xfId="12740"/>
    <cellStyle name="40% - 강조색2 3 3" xfId="12741"/>
    <cellStyle name="40% - 강조색2 3 4" xfId="12742"/>
    <cellStyle name="40% - 강조색2 3 5" xfId="12743"/>
    <cellStyle name="40% - 강조색2 3 6" xfId="12744"/>
    <cellStyle name="40% - 강조색2 3 7" xfId="12745"/>
    <cellStyle name="40% - 강조색2 3 8" xfId="12746"/>
    <cellStyle name="40% - 강조색2 3 9" xfId="12747"/>
    <cellStyle name="40% - 강조색2 30" xfId="7918"/>
    <cellStyle name="40% - 강조색2 31" xfId="7919"/>
    <cellStyle name="40% - 강조색2 32" xfId="7920"/>
    <cellStyle name="40% - 강조색2 33" xfId="7921"/>
    <cellStyle name="40% - 강조색2 34" xfId="7922"/>
    <cellStyle name="40% - 강조색2 35" xfId="7923"/>
    <cellStyle name="40% - 강조색2 36" xfId="7924"/>
    <cellStyle name="40% - 강조색2 37" xfId="7925"/>
    <cellStyle name="40% - 강조색2 38" xfId="7926"/>
    <cellStyle name="40% - 강조색2 39" xfId="7927"/>
    <cellStyle name="40% - 강조색2 4" xfId="7928"/>
    <cellStyle name="40% - 강조색2 4 10" xfId="12748"/>
    <cellStyle name="40% - 강조색2 4 2" xfId="12749"/>
    <cellStyle name="40% - 강조색2 4 3" xfId="12750"/>
    <cellStyle name="40% - 강조색2 4 4" xfId="12751"/>
    <cellStyle name="40% - 강조색2 4 5" xfId="12752"/>
    <cellStyle name="40% - 강조색2 4 6" xfId="12753"/>
    <cellStyle name="40% - 강조색2 4 7" xfId="12754"/>
    <cellStyle name="40% - 강조색2 4 8" xfId="12755"/>
    <cellStyle name="40% - 강조색2 4 9" xfId="12756"/>
    <cellStyle name="40% - 강조색2 40" xfId="7929"/>
    <cellStyle name="40% - 강조색2 41" xfId="7930"/>
    <cellStyle name="40% - 강조색2 42" xfId="7931"/>
    <cellStyle name="40% - 강조색2 43" xfId="7932"/>
    <cellStyle name="40% - 강조색2 44" xfId="7933"/>
    <cellStyle name="40% - 강조색2 45" xfId="7934"/>
    <cellStyle name="40% - 강조색2 46" xfId="7935"/>
    <cellStyle name="40% - 강조색2 47" xfId="7936"/>
    <cellStyle name="40% - 강조색2 48" xfId="7937"/>
    <cellStyle name="40% - 강조색2 49" xfId="7938"/>
    <cellStyle name="40% - 강조색2 5" xfId="7939"/>
    <cellStyle name="40% - 강조색2 5 10" xfId="12757"/>
    <cellStyle name="40% - 강조색2 5 2" xfId="12758"/>
    <cellStyle name="40% - 강조색2 5 3" xfId="12759"/>
    <cellStyle name="40% - 강조색2 5 4" xfId="12760"/>
    <cellStyle name="40% - 강조색2 5 5" xfId="12761"/>
    <cellStyle name="40% - 강조색2 5 6" xfId="12762"/>
    <cellStyle name="40% - 강조색2 5 7" xfId="12763"/>
    <cellStyle name="40% - 강조색2 5 8" xfId="12764"/>
    <cellStyle name="40% - 강조색2 5 9" xfId="12765"/>
    <cellStyle name="40% - 강조색2 50" xfId="7940"/>
    <cellStyle name="40% - 강조색2 51" xfId="7941"/>
    <cellStyle name="40% - 강조색2 52" xfId="7942"/>
    <cellStyle name="40% - 강조색2 53" xfId="7943"/>
    <cellStyle name="40% - 강조색2 54" xfId="7944"/>
    <cellStyle name="40% - 강조색2 55" xfId="7945"/>
    <cellStyle name="40% - 강조색2 56" xfId="7946"/>
    <cellStyle name="40% - 강조색2 57" xfId="7947"/>
    <cellStyle name="40% - 강조색2 58" xfId="7948"/>
    <cellStyle name="40% - 강조색2 59" xfId="7949"/>
    <cellStyle name="40% - 강조색2 6" xfId="7950"/>
    <cellStyle name="40% - 강조색2 60" xfId="7951"/>
    <cellStyle name="40% - 강조색2 61" xfId="7952"/>
    <cellStyle name="40% - 강조색2 62" xfId="7953"/>
    <cellStyle name="40% - 강조색2 63" xfId="7954"/>
    <cellStyle name="40% - 강조색2 7" xfId="7955"/>
    <cellStyle name="40% - 강조색2 8" xfId="7956"/>
    <cellStyle name="40% - 강조색2 9" xfId="7957"/>
    <cellStyle name="40% - 강조색3" xfId="13183" builtinId="39" customBuiltin="1"/>
    <cellStyle name="40% - 강조색3 10" xfId="7958"/>
    <cellStyle name="40% - 강조색3 11" xfId="7959"/>
    <cellStyle name="40% - 강조색3 12" xfId="7960"/>
    <cellStyle name="40% - 강조색3 13" xfId="7961"/>
    <cellStyle name="40% - 강조색3 14" xfId="7962"/>
    <cellStyle name="40% - 강조색3 15" xfId="7963"/>
    <cellStyle name="40% - 강조색3 15 2" xfId="12766"/>
    <cellStyle name="40% - 강조색3 16" xfId="7964"/>
    <cellStyle name="40% - 강조색3 17" xfId="7965"/>
    <cellStyle name="40% - 강조색3 18" xfId="7966"/>
    <cellStyle name="40% - 강조색3 19" xfId="7967"/>
    <cellStyle name="40% - 강조색3 2" xfId="7968"/>
    <cellStyle name="40% - 강조색3 2 10" xfId="12767"/>
    <cellStyle name="40% - 강조색3 2 2" xfId="12768"/>
    <cellStyle name="40% - 강조색3 2 3" xfId="12769"/>
    <cellStyle name="40% - 강조색3 2 4" xfId="12770"/>
    <cellStyle name="40% - 강조색3 2 5" xfId="12771"/>
    <cellStyle name="40% - 강조색3 2 6" xfId="12772"/>
    <cellStyle name="40% - 강조색3 2 7" xfId="12773"/>
    <cellStyle name="40% - 강조색3 2 8" xfId="12774"/>
    <cellStyle name="40% - 강조색3 2 9" xfId="12775"/>
    <cellStyle name="40% - 강조색3 20" xfId="7969"/>
    <cellStyle name="40% - 강조색3 21" xfId="7970"/>
    <cellStyle name="40% - 강조색3 22" xfId="7971"/>
    <cellStyle name="40% - 강조색3 23" xfId="7972"/>
    <cellStyle name="40% - 강조색3 24" xfId="7973"/>
    <cellStyle name="40% - 강조색3 25" xfId="7974"/>
    <cellStyle name="40% - 강조색3 26" xfId="7975"/>
    <cellStyle name="40% - 강조색3 27" xfId="7976"/>
    <cellStyle name="40% - 강조색3 28" xfId="7977"/>
    <cellStyle name="40% - 강조색3 29" xfId="7978"/>
    <cellStyle name="40% - 강조색3 3" xfId="7979"/>
    <cellStyle name="40% - 강조색3 3 10" xfId="12776"/>
    <cellStyle name="40% - 강조색3 3 2" xfId="12777"/>
    <cellStyle name="40% - 강조색3 3 3" xfId="12778"/>
    <cellStyle name="40% - 강조색3 3 4" xfId="12779"/>
    <cellStyle name="40% - 강조색3 3 5" xfId="12780"/>
    <cellStyle name="40% - 강조색3 3 6" xfId="12781"/>
    <cellStyle name="40% - 강조색3 3 7" xfId="12782"/>
    <cellStyle name="40% - 강조색3 3 8" xfId="12783"/>
    <cellStyle name="40% - 강조색3 3 9" xfId="12784"/>
    <cellStyle name="40% - 강조색3 30" xfId="7980"/>
    <cellStyle name="40% - 강조색3 31" xfId="7981"/>
    <cellStyle name="40% - 강조색3 32" xfId="7982"/>
    <cellStyle name="40% - 강조색3 33" xfId="7983"/>
    <cellStyle name="40% - 강조색3 34" xfId="7984"/>
    <cellStyle name="40% - 강조색3 35" xfId="7985"/>
    <cellStyle name="40% - 강조색3 36" xfId="7986"/>
    <cellStyle name="40% - 강조색3 37" xfId="7987"/>
    <cellStyle name="40% - 강조색3 38" xfId="7988"/>
    <cellStyle name="40% - 강조색3 39" xfId="7989"/>
    <cellStyle name="40% - 강조색3 4" xfId="7990"/>
    <cellStyle name="40% - 강조색3 4 10" xfId="12785"/>
    <cellStyle name="40% - 강조색3 4 2" xfId="12786"/>
    <cellStyle name="40% - 강조색3 4 3" xfId="12787"/>
    <cellStyle name="40% - 강조색3 4 4" xfId="12788"/>
    <cellStyle name="40% - 강조색3 4 5" xfId="12789"/>
    <cellStyle name="40% - 강조색3 4 6" xfId="12790"/>
    <cellStyle name="40% - 강조색3 4 7" xfId="12791"/>
    <cellStyle name="40% - 강조색3 4 8" xfId="12792"/>
    <cellStyle name="40% - 강조색3 4 9" xfId="12793"/>
    <cellStyle name="40% - 강조색3 40" xfId="7991"/>
    <cellStyle name="40% - 강조색3 41" xfId="7992"/>
    <cellStyle name="40% - 강조색3 42" xfId="7993"/>
    <cellStyle name="40% - 강조색3 43" xfId="7994"/>
    <cellStyle name="40% - 강조색3 44" xfId="7995"/>
    <cellStyle name="40% - 강조색3 45" xfId="7996"/>
    <cellStyle name="40% - 강조색3 46" xfId="7997"/>
    <cellStyle name="40% - 강조색3 47" xfId="7998"/>
    <cellStyle name="40% - 강조색3 48" xfId="7999"/>
    <cellStyle name="40% - 강조색3 49" xfId="8000"/>
    <cellStyle name="40% - 강조색3 5" xfId="8001"/>
    <cellStyle name="40% - 강조색3 5 10" xfId="12794"/>
    <cellStyle name="40% - 강조색3 5 2" xfId="12795"/>
    <cellStyle name="40% - 강조색3 5 3" xfId="12796"/>
    <cellStyle name="40% - 강조색3 5 4" xfId="12797"/>
    <cellStyle name="40% - 강조색3 5 5" xfId="12798"/>
    <cellStyle name="40% - 강조색3 5 6" xfId="12799"/>
    <cellStyle name="40% - 강조색3 5 7" xfId="12800"/>
    <cellStyle name="40% - 강조색3 5 8" xfId="12801"/>
    <cellStyle name="40% - 강조색3 5 9" xfId="12802"/>
    <cellStyle name="40% - 강조색3 50" xfId="8002"/>
    <cellStyle name="40% - 강조색3 51" xfId="8003"/>
    <cellStyle name="40% - 강조색3 52" xfId="8004"/>
    <cellStyle name="40% - 강조색3 53" xfId="8005"/>
    <cellStyle name="40% - 강조색3 54" xfId="8006"/>
    <cellStyle name="40% - 강조색3 55" xfId="8007"/>
    <cellStyle name="40% - 강조색3 56" xfId="8008"/>
    <cellStyle name="40% - 강조색3 57" xfId="8009"/>
    <cellStyle name="40% - 강조색3 58" xfId="8010"/>
    <cellStyle name="40% - 강조색3 59" xfId="8011"/>
    <cellStyle name="40% - 강조색3 6" xfId="8012"/>
    <cellStyle name="40% - 강조색3 60" xfId="8013"/>
    <cellStyle name="40% - 강조색3 61" xfId="8014"/>
    <cellStyle name="40% - 강조색3 62" xfId="8015"/>
    <cellStyle name="40% - 강조색3 63" xfId="8016"/>
    <cellStyle name="40% - 강조색3 7" xfId="8017"/>
    <cellStyle name="40% - 강조색3 8" xfId="8018"/>
    <cellStyle name="40% - 강조색3 9" xfId="8019"/>
    <cellStyle name="40% - 강조색4" xfId="13187" builtinId="43" customBuiltin="1"/>
    <cellStyle name="40% - 강조색4 10" xfId="8020"/>
    <cellStyle name="40% - 강조색4 11" xfId="8021"/>
    <cellStyle name="40% - 강조색4 12" xfId="8022"/>
    <cellStyle name="40% - 강조색4 13" xfId="8023"/>
    <cellStyle name="40% - 강조색4 14" xfId="8024"/>
    <cellStyle name="40% - 강조색4 15" xfId="8025"/>
    <cellStyle name="40% - 강조색4 15 2" xfId="12803"/>
    <cellStyle name="40% - 강조색4 16" xfId="8026"/>
    <cellStyle name="40% - 강조색4 17" xfId="8027"/>
    <cellStyle name="40% - 강조색4 18" xfId="8028"/>
    <cellStyle name="40% - 강조색4 19" xfId="8029"/>
    <cellStyle name="40% - 강조색4 2" xfId="8030"/>
    <cellStyle name="40% - 강조색4 2 10" xfId="12804"/>
    <cellStyle name="40% - 강조색4 2 2" xfId="12805"/>
    <cellStyle name="40% - 강조색4 2 3" xfId="12806"/>
    <cellStyle name="40% - 강조색4 2 4" xfId="12807"/>
    <cellStyle name="40% - 강조색4 2 5" xfId="12808"/>
    <cellStyle name="40% - 강조색4 2 6" xfId="12809"/>
    <cellStyle name="40% - 강조색4 2 7" xfId="12810"/>
    <cellStyle name="40% - 강조색4 2 8" xfId="12811"/>
    <cellStyle name="40% - 강조색4 2 9" xfId="12812"/>
    <cellStyle name="40% - 강조색4 20" xfId="8031"/>
    <cellStyle name="40% - 강조색4 21" xfId="8032"/>
    <cellStyle name="40% - 강조색4 22" xfId="8033"/>
    <cellStyle name="40% - 강조색4 23" xfId="8034"/>
    <cellStyle name="40% - 강조색4 24" xfId="8035"/>
    <cellStyle name="40% - 강조색4 25" xfId="8036"/>
    <cellStyle name="40% - 강조색4 26" xfId="8037"/>
    <cellStyle name="40% - 강조색4 27" xfId="8038"/>
    <cellStyle name="40% - 강조색4 28" xfId="8039"/>
    <cellStyle name="40% - 강조색4 29" xfId="8040"/>
    <cellStyle name="40% - 강조색4 3" xfId="8041"/>
    <cellStyle name="40% - 강조색4 3 10" xfId="12813"/>
    <cellStyle name="40% - 강조색4 3 2" xfId="12814"/>
    <cellStyle name="40% - 강조색4 3 3" xfId="12815"/>
    <cellStyle name="40% - 강조색4 3 4" xfId="12816"/>
    <cellStyle name="40% - 강조색4 3 5" xfId="12817"/>
    <cellStyle name="40% - 강조색4 3 6" xfId="12818"/>
    <cellStyle name="40% - 강조색4 3 7" xfId="12819"/>
    <cellStyle name="40% - 강조색4 3 8" xfId="12820"/>
    <cellStyle name="40% - 강조색4 3 9" xfId="12821"/>
    <cellStyle name="40% - 강조색4 30" xfId="8042"/>
    <cellStyle name="40% - 강조색4 31" xfId="8043"/>
    <cellStyle name="40% - 강조색4 32" xfId="8044"/>
    <cellStyle name="40% - 강조색4 33" xfId="8045"/>
    <cellStyle name="40% - 강조색4 34" xfId="8046"/>
    <cellStyle name="40% - 강조색4 35" xfId="8047"/>
    <cellStyle name="40% - 강조색4 36" xfId="8048"/>
    <cellStyle name="40% - 강조색4 37" xfId="8049"/>
    <cellStyle name="40% - 강조색4 38" xfId="8050"/>
    <cellStyle name="40% - 강조색4 39" xfId="8051"/>
    <cellStyle name="40% - 강조색4 4" xfId="8052"/>
    <cellStyle name="40% - 강조색4 4 10" xfId="12822"/>
    <cellStyle name="40% - 강조색4 4 2" xfId="12823"/>
    <cellStyle name="40% - 강조색4 4 3" xfId="12824"/>
    <cellStyle name="40% - 강조색4 4 4" xfId="12825"/>
    <cellStyle name="40% - 강조색4 4 5" xfId="12826"/>
    <cellStyle name="40% - 강조색4 4 6" xfId="12827"/>
    <cellStyle name="40% - 강조색4 4 7" xfId="12828"/>
    <cellStyle name="40% - 강조색4 4 8" xfId="12829"/>
    <cellStyle name="40% - 강조색4 4 9" xfId="12830"/>
    <cellStyle name="40% - 강조색4 40" xfId="8053"/>
    <cellStyle name="40% - 강조색4 41" xfId="8054"/>
    <cellStyle name="40% - 강조색4 42" xfId="8055"/>
    <cellStyle name="40% - 강조색4 43" xfId="8056"/>
    <cellStyle name="40% - 강조색4 44" xfId="8057"/>
    <cellStyle name="40% - 강조색4 45" xfId="8058"/>
    <cellStyle name="40% - 강조색4 46" xfId="8059"/>
    <cellStyle name="40% - 강조색4 47" xfId="8060"/>
    <cellStyle name="40% - 강조색4 48" xfId="8061"/>
    <cellStyle name="40% - 강조색4 49" xfId="8062"/>
    <cellStyle name="40% - 강조색4 5" xfId="8063"/>
    <cellStyle name="40% - 강조색4 5 10" xfId="12831"/>
    <cellStyle name="40% - 강조색4 5 2" xfId="12832"/>
    <cellStyle name="40% - 강조색4 5 3" xfId="12833"/>
    <cellStyle name="40% - 강조색4 5 4" xfId="12834"/>
    <cellStyle name="40% - 강조색4 5 5" xfId="12835"/>
    <cellStyle name="40% - 강조색4 5 6" xfId="12836"/>
    <cellStyle name="40% - 강조색4 5 7" xfId="12837"/>
    <cellStyle name="40% - 강조색4 5 8" xfId="12838"/>
    <cellStyle name="40% - 강조색4 5 9" xfId="12839"/>
    <cellStyle name="40% - 강조색4 50" xfId="8064"/>
    <cellStyle name="40% - 강조색4 51" xfId="8065"/>
    <cellStyle name="40% - 강조색4 52" xfId="8066"/>
    <cellStyle name="40% - 강조색4 53" xfId="8067"/>
    <cellStyle name="40% - 강조색4 54" xfId="8068"/>
    <cellStyle name="40% - 강조색4 55" xfId="8069"/>
    <cellStyle name="40% - 강조색4 56" xfId="8070"/>
    <cellStyle name="40% - 강조색4 57" xfId="8071"/>
    <cellStyle name="40% - 강조색4 58" xfId="8072"/>
    <cellStyle name="40% - 강조색4 59" xfId="8073"/>
    <cellStyle name="40% - 강조색4 6" xfId="8074"/>
    <cellStyle name="40% - 강조색4 60" xfId="8075"/>
    <cellStyle name="40% - 강조색4 61" xfId="8076"/>
    <cellStyle name="40% - 강조색4 62" xfId="8077"/>
    <cellStyle name="40% - 강조색4 63" xfId="8078"/>
    <cellStyle name="40% - 강조색4 7" xfId="8079"/>
    <cellStyle name="40% - 강조색4 8" xfId="8080"/>
    <cellStyle name="40% - 강조색4 9" xfId="8081"/>
    <cellStyle name="40% - 강조색5" xfId="13191" builtinId="47" customBuiltin="1"/>
    <cellStyle name="40% - 강조색5 10" xfId="8082"/>
    <cellStyle name="40% - 강조색5 11" xfId="8083"/>
    <cellStyle name="40% - 강조색5 12" xfId="8084"/>
    <cellStyle name="40% - 강조색5 13" xfId="8085"/>
    <cellStyle name="40% - 강조색5 14" xfId="8086"/>
    <cellStyle name="40% - 강조색5 15" xfId="8087"/>
    <cellStyle name="40% - 강조색5 15 2" xfId="12840"/>
    <cellStyle name="40% - 강조색5 16" xfId="8088"/>
    <cellStyle name="40% - 강조색5 17" xfId="8089"/>
    <cellStyle name="40% - 강조색5 18" xfId="8090"/>
    <cellStyle name="40% - 강조색5 19" xfId="8091"/>
    <cellStyle name="40% - 강조색5 2" xfId="8092"/>
    <cellStyle name="40% - 강조색5 2 10" xfId="12841"/>
    <cellStyle name="40% - 강조색5 2 2" xfId="12842"/>
    <cellStyle name="40% - 강조색5 2 3" xfId="12843"/>
    <cellStyle name="40% - 강조색5 2 4" xfId="12844"/>
    <cellStyle name="40% - 강조색5 2 5" xfId="12845"/>
    <cellStyle name="40% - 강조색5 2 6" xfId="12846"/>
    <cellStyle name="40% - 강조색5 2 7" xfId="12847"/>
    <cellStyle name="40% - 강조색5 2 8" xfId="12848"/>
    <cellStyle name="40% - 강조색5 2 9" xfId="12849"/>
    <cellStyle name="40% - 강조색5 20" xfId="8093"/>
    <cellStyle name="40% - 강조색5 21" xfId="8094"/>
    <cellStyle name="40% - 강조색5 22" xfId="8095"/>
    <cellStyle name="40% - 강조색5 23" xfId="8096"/>
    <cellStyle name="40% - 강조색5 24" xfId="8097"/>
    <cellStyle name="40% - 강조색5 25" xfId="8098"/>
    <cellStyle name="40% - 강조색5 26" xfId="8099"/>
    <cellStyle name="40% - 강조색5 27" xfId="8100"/>
    <cellStyle name="40% - 강조색5 28" xfId="8101"/>
    <cellStyle name="40% - 강조색5 29" xfId="8102"/>
    <cellStyle name="40% - 강조색5 3" xfId="8103"/>
    <cellStyle name="40% - 강조색5 3 10" xfId="12850"/>
    <cellStyle name="40% - 강조색5 3 2" xfId="12851"/>
    <cellStyle name="40% - 강조색5 3 3" xfId="12852"/>
    <cellStyle name="40% - 강조색5 3 4" xfId="12853"/>
    <cellStyle name="40% - 강조색5 3 5" xfId="12854"/>
    <cellStyle name="40% - 강조색5 3 6" xfId="12855"/>
    <cellStyle name="40% - 강조색5 3 7" xfId="12856"/>
    <cellStyle name="40% - 강조색5 3 8" xfId="12857"/>
    <cellStyle name="40% - 강조색5 3 9" xfId="12858"/>
    <cellStyle name="40% - 강조색5 30" xfId="8104"/>
    <cellStyle name="40% - 강조색5 31" xfId="8105"/>
    <cellStyle name="40% - 강조색5 32" xfId="8106"/>
    <cellStyle name="40% - 강조색5 33" xfId="8107"/>
    <cellStyle name="40% - 강조색5 34" xfId="8108"/>
    <cellStyle name="40% - 강조색5 35" xfId="8109"/>
    <cellStyle name="40% - 강조색5 36" xfId="8110"/>
    <cellStyle name="40% - 강조색5 37" xfId="8111"/>
    <cellStyle name="40% - 강조색5 38" xfId="8112"/>
    <cellStyle name="40% - 강조색5 39" xfId="8113"/>
    <cellStyle name="40% - 강조색5 4" xfId="8114"/>
    <cellStyle name="40% - 강조색5 4 10" xfId="12859"/>
    <cellStyle name="40% - 강조색5 4 2" xfId="12860"/>
    <cellStyle name="40% - 강조색5 4 3" xfId="12861"/>
    <cellStyle name="40% - 강조색5 4 4" xfId="12862"/>
    <cellStyle name="40% - 강조색5 4 5" xfId="12863"/>
    <cellStyle name="40% - 강조색5 4 6" xfId="12864"/>
    <cellStyle name="40% - 강조색5 4 7" xfId="12865"/>
    <cellStyle name="40% - 강조색5 4 8" xfId="12866"/>
    <cellStyle name="40% - 강조색5 4 9" xfId="12867"/>
    <cellStyle name="40% - 강조색5 40" xfId="8115"/>
    <cellStyle name="40% - 강조색5 41" xfId="8116"/>
    <cellStyle name="40% - 강조색5 42" xfId="8117"/>
    <cellStyle name="40% - 강조색5 43" xfId="8118"/>
    <cellStyle name="40% - 강조색5 44" xfId="8119"/>
    <cellStyle name="40% - 강조색5 45" xfId="8120"/>
    <cellStyle name="40% - 강조색5 46" xfId="8121"/>
    <cellStyle name="40% - 강조색5 47" xfId="8122"/>
    <cellStyle name="40% - 강조색5 48" xfId="8123"/>
    <cellStyle name="40% - 강조색5 49" xfId="8124"/>
    <cellStyle name="40% - 강조색5 5" xfId="8125"/>
    <cellStyle name="40% - 강조색5 5 10" xfId="12868"/>
    <cellStyle name="40% - 강조색5 5 2" xfId="12869"/>
    <cellStyle name="40% - 강조색5 5 3" xfId="12870"/>
    <cellStyle name="40% - 강조색5 5 4" xfId="12871"/>
    <cellStyle name="40% - 강조색5 5 5" xfId="12872"/>
    <cellStyle name="40% - 강조색5 5 6" xfId="12873"/>
    <cellStyle name="40% - 강조색5 5 7" xfId="12874"/>
    <cellStyle name="40% - 강조색5 5 8" xfId="12875"/>
    <cellStyle name="40% - 강조색5 5 9" xfId="12876"/>
    <cellStyle name="40% - 강조색5 50" xfId="8126"/>
    <cellStyle name="40% - 강조색5 51" xfId="8127"/>
    <cellStyle name="40% - 강조색5 52" xfId="8128"/>
    <cellStyle name="40% - 강조색5 53" xfId="8129"/>
    <cellStyle name="40% - 강조색5 54" xfId="8130"/>
    <cellStyle name="40% - 강조색5 55" xfId="8131"/>
    <cellStyle name="40% - 강조색5 56" xfId="8132"/>
    <cellStyle name="40% - 강조색5 57" xfId="8133"/>
    <cellStyle name="40% - 강조색5 58" xfId="8134"/>
    <cellStyle name="40% - 강조색5 59" xfId="8135"/>
    <cellStyle name="40% - 강조색5 6" xfId="8136"/>
    <cellStyle name="40% - 강조색5 60" xfId="8137"/>
    <cellStyle name="40% - 강조색5 61" xfId="8138"/>
    <cellStyle name="40% - 강조색5 62" xfId="8139"/>
    <cellStyle name="40% - 강조색5 63" xfId="8140"/>
    <cellStyle name="40% - 강조색5 7" xfId="8141"/>
    <cellStyle name="40% - 강조색5 8" xfId="8142"/>
    <cellStyle name="40% - 강조색5 9" xfId="8143"/>
    <cellStyle name="40% - 강조색6" xfId="13195" builtinId="51" customBuiltin="1"/>
    <cellStyle name="40% - 강조색6 10" xfId="8144"/>
    <cellStyle name="40% - 강조색6 11" xfId="8145"/>
    <cellStyle name="40% - 강조색6 12" xfId="8146"/>
    <cellStyle name="40% - 강조색6 13" xfId="8147"/>
    <cellStyle name="40% - 강조색6 14" xfId="8148"/>
    <cellStyle name="40% - 강조색6 15" xfId="8149"/>
    <cellStyle name="40% - 강조색6 15 2" xfId="12877"/>
    <cellStyle name="40% - 강조색6 16" xfId="8150"/>
    <cellStyle name="40% - 강조색6 17" xfId="8151"/>
    <cellStyle name="40% - 강조색6 18" xfId="8152"/>
    <cellStyle name="40% - 강조색6 19" xfId="8153"/>
    <cellStyle name="40% - 강조색6 2" xfId="8154"/>
    <cellStyle name="40% - 강조색6 2 10" xfId="12878"/>
    <cellStyle name="40% - 강조색6 2 2" xfId="12879"/>
    <cellStyle name="40% - 강조색6 2 3" xfId="12880"/>
    <cellStyle name="40% - 강조색6 2 4" xfId="12881"/>
    <cellStyle name="40% - 강조색6 2 5" xfId="12882"/>
    <cellStyle name="40% - 강조색6 2 6" xfId="12883"/>
    <cellStyle name="40% - 강조색6 2 7" xfId="12884"/>
    <cellStyle name="40% - 강조색6 2 8" xfId="12885"/>
    <cellStyle name="40% - 강조색6 2 9" xfId="12886"/>
    <cellStyle name="40% - 강조색6 20" xfId="8155"/>
    <cellStyle name="40% - 강조색6 21" xfId="8156"/>
    <cellStyle name="40% - 강조색6 22" xfId="8157"/>
    <cellStyle name="40% - 강조색6 23" xfId="8158"/>
    <cellStyle name="40% - 강조색6 24" xfId="8159"/>
    <cellStyle name="40% - 강조색6 25" xfId="8160"/>
    <cellStyle name="40% - 강조색6 26" xfId="8161"/>
    <cellStyle name="40% - 강조색6 27" xfId="8162"/>
    <cellStyle name="40% - 강조색6 28" xfId="8163"/>
    <cellStyle name="40% - 강조색6 29" xfId="8164"/>
    <cellStyle name="40% - 강조색6 3" xfId="8165"/>
    <cellStyle name="40% - 강조색6 3 10" xfId="12887"/>
    <cellStyle name="40% - 강조색6 3 2" xfId="12888"/>
    <cellStyle name="40% - 강조색6 3 3" xfId="12889"/>
    <cellStyle name="40% - 강조색6 3 4" xfId="12890"/>
    <cellStyle name="40% - 강조색6 3 5" xfId="12891"/>
    <cellStyle name="40% - 강조색6 3 6" xfId="12892"/>
    <cellStyle name="40% - 강조색6 3 7" xfId="12893"/>
    <cellStyle name="40% - 강조색6 3 8" xfId="12894"/>
    <cellStyle name="40% - 강조색6 3 9" xfId="12895"/>
    <cellStyle name="40% - 강조색6 30" xfId="8166"/>
    <cellStyle name="40% - 강조색6 31" xfId="8167"/>
    <cellStyle name="40% - 강조색6 32" xfId="8168"/>
    <cellStyle name="40% - 강조색6 33" xfId="8169"/>
    <cellStyle name="40% - 강조색6 34" xfId="8170"/>
    <cellStyle name="40% - 강조색6 35" xfId="8171"/>
    <cellStyle name="40% - 강조색6 36" xfId="8172"/>
    <cellStyle name="40% - 강조색6 37" xfId="8173"/>
    <cellStyle name="40% - 강조색6 38" xfId="8174"/>
    <cellStyle name="40% - 강조색6 39" xfId="8175"/>
    <cellStyle name="40% - 강조색6 4" xfId="8176"/>
    <cellStyle name="40% - 강조색6 4 10" xfId="12896"/>
    <cellStyle name="40% - 강조색6 4 2" xfId="12897"/>
    <cellStyle name="40% - 강조색6 4 3" xfId="12898"/>
    <cellStyle name="40% - 강조색6 4 4" xfId="12899"/>
    <cellStyle name="40% - 강조색6 4 5" xfId="12900"/>
    <cellStyle name="40% - 강조색6 4 6" xfId="12901"/>
    <cellStyle name="40% - 강조색6 4 7" xfId="12902"/>
    <cellStyle name="40% - 강조색6 4 8" xfId="12903"/>
    <cellStyle name="40% - 강조색6 4 9" xfId="12904"/>
    <cellStyle name="40% - 강조색6 40" xfId="8177"/>
    <cellStyle name="40% - 강조색6 41" xfId="8178"/>
    <cellStyle name="40% - 강조색6 42" xfId="8179"/>
    <cellStyle name="40% - 강조색6 43" xfId="8180"/>
    <cellStyle name="40% - 강조색6 44" xfId="8181"/>
    <cellStyle name="40% - 강조색6 45" xfId="8182"/>
    <cellStyle name="40% - 강조색6 46" xfId="8183"/>
    <cellStyle name="40% - 강조색6 47" xfId="8184"/>
    <cellStyle name="40% - 강조색6 48" xfId="8185"/>
    <cellStyle name="40% - 강조색6 49" xfId="8186"/>
    <cellStyle name="40% - 강조색6 5" xfId="8187"/>
    <cellStyle name="40% - 강조색6 5 10" xfId="12905"/>
    <cellStyle name="40% - 강조색6 5 2" xfId="12906"/>
    <cellStyle name="40% - 강조색6 5 3" xfId="12907"/>
    <cellStyle name="40% - 강조색6 5 4" xfId="12908"/>
    <cellStyle name="40% - 강조색6 5 5" xfId="12909"/>
    <cellStyle name="40% - 강조색6 5 6" xfId="12910"/>
    <cellStyle name="40% - 강조색6 5 7" xfId="12911"/>
    <cellStyle name="40% - 강조색6 5 8" xfId="12912"/>
    <cellStyle name="40% - 강조색6 5 9" xfId="12913"/>
    <cellStyle name="40% - 강조색6 50" xfId="8188"/>
    <cellStyle name="40% - 강조색6 51" xfId="8189"/>
    <cellStyle name="40% - 강조색6 52" xfId="8190"/>
    <cellStyle name="40% - 강조색6 53" xfId="8191"/>
    <cellStyle name="40% - 강조색6 54" xfId="8192"/>
    <cellStyle name="40% - 강조색6 55" xfId="8193"/>
    <cellStyle name="40% - 강조색6 56" xfId="8194"/>
    <cellStyle name="40% - 강조색6 57" xfId="8195"/>
    <cellStyle name="40% - 강조색6 58" xfId="8196"/>
    <cellStyle name="40% - 강조색6 59" xfId="8197"/>
    <cellStyle name="40% - 강조색6 6" xfId="8198"/>
    <cellStyle name="40% - 강조색6 60" xfId="8199"/>
    <cellStyle name="40% - 강조색6 61" xfId="8200"/>
    <cellStyle name="40% - 강조색6 62" xfId="8201"/>
    <cellStyle name="40% - 강조색6 63" xfId="8202"/>
    <cellStyle name="40% - 강조색6 7" xfId="8203"/>
    <cellStyle name="40% - 강조색6 8" xfId="8204"/>
    <cellStyle name="40% - 강조색6 9" xfId="8205"/>
    <cellStyle name="6" xfId="8212"/>
    <cellStyle name="60% - Accent1" xfId="8585"/>
    <cellStyle name="60% - Accent2" xfId="8586"/>
    <cellStyle name="60% - Accent3" xfId="8587"/>
    <cellStyle name="60% - Accent4" xfId="8588"/>
    <cellStyle name="60% - Accent5" xfId="8589"/>
    <cellStyle name="60% - Accent6" xfId="8590"/>
    <cellStyle name="60% - 강조색1" xfId="13176" builtinId="32" customBuiltin="1"/>
    <cellStyle name="60% - 강조색1 10" xfId="8213"/>
    <cellStyle name="60% - 강조색1 11" xfId="8214"/>
    <cellStyle name="60% - 강조색1 12" xfId="8215"/>
    <cellStyle name="60% - 강조색1 13" xfId="8216"/>
    <cellStyle name="60% - 강조색1 14" xfId="8217"/>
    <cellStyle name="60% - 강조색1 15" xfId="8218"/>
    <cellStyle name="60% - 강조색1 16" xfId="8219"/>
    <cellStyle name="60% - 강조색1 17" xfId="8220"/>
    <cellStyle name="60% - 강조색1 18" xfId="8221"/>
    <cellStyle name="60% - 강조색1 19" xfId="8222"/>
    <cellStyle name="60% - 강조색1 2" xfId="8223"/>
    <cellStyle name="60% - 강조색1 2 2" xfId="12914"/>
    <cellStyle name="60% - 강조색1 20" xfId="8224"/>
    <cellStyle name="60% - 강조색1 21" xfId="8225"/>
    <cellStyle name="60% - 강조색1 22" xfId="8226"/>
    <cellStyle name="60% - 강조색1 23" xfId="8227"/>
    <cellStyle name="60% - 강조색1 24" xfId="8228"/>
    <cellStyle name="60% - 강조색1 25" xfId="8229"/>
    <cellStyle name="60% - 강조색1 26" xfId="8230"/>
    <cellStyle name="60% - 강조색1 27" xfId="8231"/>
    <cellStyle name="60% - 강조색1 28" xfId="8232"/>
    <cellStyle name="60% - 강조색1 29" xfId="8233"/>
    <cellStyle name="60% - 강조색1 3" xfId="8234"/>
    <cellStyle name="60% - 강조색1 30" xfId="8235"/>
    <cellStyle name="60% - 강조색1 31" xfId="8236"/>
    <cellStyle name="60% - 강조색1 32" xfId="8237"/>
    <cellStyle name="60% - 강조색1 33" xfId="8238"/>
    <cellStyle name="60% - 강조색1 34" xfId="8239"/>
    <cellStyle name="60% - 강조색1 35" xfId="8240"/>
    <cellStyle name="60% - 강조색1 36" xfId="8241"/>
    <cellStyle name="60% - 강조색1 37" xfId="8242"/>
    <cellStyle name="60% - 강조색1 38" xfId="8243"/>
    <cellStyle name="60% - 강조색1 39" xfId="8244"/>
    <cellStyle name="60% - 강조색1 4" xfId="8245"/>
    <cellStyle name="60% - 강조색1 40" xfId="8246"/>
    <cellStyle name="60% - 강조색1 41" xfId="8247"/>
    <cellStyle name="60% - 강조색1 42" xfId="8248"/>
    <cellStyle name="60% - 강조색1 43" xfId="8249"/>
    <cellStyle name="60% - 강조색1 44" xfId="8250"/>
    <cellStyle name="60% - 강조색1 45" xfId="8251"/>
    <cellStyle name="60% - 강조색1 46" xfId="8252"/>
    <cellStyle name="60% - 강조색1 47" xfId="8253"/>
    <cellStyle name="60% - 강조색1 48" xfId="8254"/>
    <cellStyle name="60% - 강조색1 49" xfId="8255"/>
    <cellStyle name="60% - 강조색1 5" xfId="8256"/>
    <cellStyle name="60% - 강조색1 50" xfId="8257"/>
    <cellStyle name="60% - 강조색1 51" xfId="8258"/>
    <cellStyle name="60% - 강조색1 52" xfId="8259"/>
    <cellStyle name="60% - 강조색1 53" xfId="8260"/>
    <cellStyle name="60% - 강조색1 54" xfId="8261"/>
    <cellStyle name="60% - 강조색1 55" xfId="8262"/>
    <cellStyle name="60% - 강조색1 56" xfId="8263"/>
    <cellStyle name="60% - 강조색1 57" xfId="8264"/>
    <cellStyle name="60% - 강조색1 58" xfId="8265"/>
    <cellStyle name="60% - 강조색1 59" xfId="8266"/>
    <cellStyle name="60% - 강조색1 6" xfId="8267"/>
    <cellStyle name="60% - 강조색1 60" xfId="8268"/>
    <cellStyle name="60% - 강조색1 61" xfId="8269"/>
    <cellStyle name="60% - 강조색1 62" xfId="8270"/>
    <cellStyle name="60% - 강조색1 63" xfId="8271"/>
    <cellStyle name="60% - 강조색1 7" xfId="8272"/>
    <cellStyle name="60% - 강조색1 8" xfId="8273"/>
    <cellStyle name="60% - 강조색1 9" xfId="8274"/>
    <cellStyle name="60% - 강조색2" xfId="13180" builtinId="36" customBuiltin="1"/>
    <cellStyle name="60% - 강조색2 10" xfId="8275"/>
    <cellStyle name="60% - 강조색2 11" xfId="8276"/>
    <cellStyle name="60% - 강조색2 12" xfId="8277"/>
    <cellStyle name="60% - 강조색2 13" xfId="8278"/>
    <cellStyle name="60% - 강조색2 14" xfId="8279"/>
    <cellStyle name="60% - 강조색2 15" xfId="8280"/>
    <cellStyle name="60% - 강조색2 16" xfId="8281"/>
    <cellStyle name="60% - 강조색2 17" xfId="8282"/>
    <cellStyle name="60% - 강조색2 18" xfId="8283"/>
    <cellStyle name="60% - 강조색2 19" xfId="8284"/>
    <cellStyle name="60% - 강조색2 2" xfId="8285"/>
    <cellStyle name="60% - 강조색2 2 2" xfId="12915"/>
    <cellStyle name="60% - 강조색2 20" xfId="8286"/>
    <cellStyle name="60% - 강조색2 21" xfId="8287"/>
    <cellStyle name="60% - 강조색2 22" xfId="8288"/>
    <cellStyle name="60% - 강조색2 23" xfId="8289"/>
    <cellStyle name="60% - 강조색2 24" xfId="8290"/>
    <cellStyle name="60% - 강조색2 25" xfId="8291"/>
    <cellStyle name="60% - 강조색2 26" xfId="8292"/>
    <cellStyle name="60% - 강조색2 27" xfId="8293"/>
    <cellStyle name="60% - 강조색2 28" xfId="8294"/>
    <cellStyle name="60% - 강조색2 29" xfId="8295"/>
    <cellStyle name="60% - 강조색2 3" xfId="8296"/>
    <cellStyle name="60% - 강조색2 30" xfId="8297"/>
    <cellStyle name="60% - 강조색2 31" xfId="8298"/>
    <cellStyle name="60% - 강조색2 32" xfId="8299"/>
    <cellStyle name="60% - 강조색2 33" xfId="8300"/>
    <cellStyle name="60% - 강조색2 34" xfId="8301"/>
    <cellStyle name="60% - 강조색2 35" xfId="8302"/>
    <cellStyle name="60% - 강조색2 36" xfId="8303"/>
    <cellStyle name="60% - 강조색2 37" xfId="8304"/>
    <cellStyle name="60% - 강조색2 38" xfId="8305"/>
    <cellStyle name="60% - 강조색2 39" xfId="8306"/>
    <cellStyle name="60% - 강조색2 4" xfId="8307"/>
    <cellStyle name="60% - 강조색2 40" xfId="8308"/>
    <cellStyle name="60% - 강조색2 41" xfId="8309"/>
    <cellStyle name="60% - 강조색2 42" xfId="8310"/>
    <cellStyle name="60% - 강조색2 43" xfId="8311"/>
    <cellStyle name="60% - 강조색2 44" xfId="8312"/>
    <cellStyle name="60% - 강조색2 45" xfId="8313"/>
    <cellStyle name="60% - 강조색2 46" xfId="8314"/>
    <cellStyle name="60% - 강조색2 47" xfId="8315"/>
    <cellStyle name="60% - 강조색2 48" xfId="8316"/>
    <cellStyle name="60% - 강조색2 49" xfId="8317"/>
    <cellStyle name="60% - 강조색2 5" xfId="8318"/>
    <cellStyle name="60% - 강조색2 50" xfId="8319"/>
    <cellStyle name="60% - 강조색2 51" xfId="8320"/>
    <cellStyle name="60% - 강조색2 52" xfId="8321"/>
    <cellStyle name="60% - 강조색2 53" xfId="8322"/>
    <cellStyle name="60% - 강조색2 54" xfId="8323"/>
    <cellStyle name="60% - 강조색2 55" xfId="8324"/>
    <cellStyle name="60% - 강조색2 56" xfId="8325"/>
    <cellStyle name="60% - 강조색2 57" xfId="8326"/>
    <cellStyle name="60% - 강조색2 58" xfId="8327"/>
    <cellStyle name="60% - 강조색2 59" xfId="8328"/>
    <cellStyle name="60% - 강조색2 6" xfId="8329"/>
    <cellStyle name="60% - 강조색2 60" xfId="8330"/>
    <cellStyle name="60% - 강조색2 61" xfId="8331"/>
    <cellStyle name="60% - 강조색2 62" xfId="8332"/>
    <cellStyle name="60% - 강조색2 63" xfId="8333"/>
    <cellStyle name="60% - 강조색2 7" xfId="8334"/>
    <cellStyle name="60% - 강조색2 8" xfId="8335"/>
    <cellStyle name="60% - 강조색2 9" xfId="8336"/>
    <cellStyle name="60% - 강조색3" xfId="13184" builtinId="40" customBuiltin="1"/>
    <cellStyle name="60% - 강조색3 10" xfId="8337"/>
    <cellStyle name="60% - 강조색3 11" xfId="8338"/>
    <cellStyle name="60% - 강조색3 12" xfId="8339"/>
    <cellStyle name="60% - 강조색3 13" xfId="8340"/>
    <cellStyle name="60% - 강조색3 14" xfId="8341"/>
    <cellStyle name="60% - 강조색3 15" xfId="8342"/>
    <cellStyle name="60% - 강조색3 16" xfId="8343"/>
    <cellStyle name="60% - 강조색3 17" xfId="8344"/>
    <cellStyle name="60% - 강조색3 18" xfId="8345"/>
    <cellStyle name="60% - 강조색3 19" xfId="8346"/>
    <cellStyle name="60% - 강조색3 2" xfId="8347"/>
    <cellStyle name="60% - 강조색3 2 2" xfId="12916"/>
    <cellStyle name="60% - 강조색3 20" xfId="8348"/>
    <cellStyle name="60% - 강조색3 21" xfId="8349"/>
    <cellStyle name="60% - 강조색3 22" xfId="8350"/>
    <cellStyle name="60% - 강조색3 23" xfId="8351"/>
    <cellStyle name="60% - 강조색3 24" xfId="8352"/>
    <cellStyle name="60% - 강조색3 25" xfId="8353"/>
    <cellStyle name="60% - 강조색3 26" xfId="8354"/>
    <cellStyle name="60% - 강조색3 27" xfId="8355"/>
    <cellStyle name="60% - 강조색3 28" xfId="8356"/>
    <cellStyle name="60% - 강조색3 29" xfId="8357"/>
    <cellStyle name="60% - 강조색3 3" xfId="8358"/>
    <cellStyle name="60% - 강조색3 30" xfId="8359"/>
    <cellStyle name="60% - 강조색3 31" xfId="8360"/>
    <cellStyle name="60% - 강조색3 32" xfId="8361"/>
    <cellStyle name="60% - 강조색3 33" xfId="8362"/>
    <cellStyle name="60% - 강조색3 34" xfId="8363"/>
    <cellStyle name="60% - 강조색3 35" xfId="8364"/>
    <cellStyle name="60% - 강조색3 36" xfId="8365"/>
    <cellStyle name="60% - 강조색3 37" xfId="8366"/>
    <cellStyle name="60% - 강조색3 38" xfId="8367"/>
    <cellStyle name="60% - 강조색3 39" xfId="8368"/>
    <cellStyle name="60% - 강조색3 4" xfId="8369"/>
    <cellStyle name="60% - 강조색3 40" xfId="8370"/>
    <cellStyle name="60% - 강조색3 41" xfId="8371"/>
    <cellStyle name="60% - 강조색3 42" xfId="8372"/>
    <cellStyle name="60% - 강조색3 43" xfId="8373"/>
    <cellStyle name="60% - 강조색3 44" xfId="8374"/>
    <cellStyle name="60% - 강조색3 45" xfId="8375"/>
    <cellStyle name="60% - 강조색3 46" xfId="8376"/>
    <cellStyle name="60% - 강조색3 47" xfId="8377"/>
    <cellStyle name="60% - 강조색3 48" xfId="8378"/>
    <cellStyle name="60% - 강조색3 49" xfId="8379"/>
    <cellStyle name="60% - 강조색3 5" xfId="8380"/>
    <cellStyle name="60% - 강조색3 50" xfId="8381"/>
    <cellStyle name="60% - 강조색3 51" xfId="8382"/>
    <cellStyle name="60% - 강조색3 52" xfId="8383"/>
    <cellStyle name="60% - 강조색3 53" xfId="8384"/>
    <cellStyle name="60% - 강조색3 54" xfId="8385"/>
    <cellStyle name="60% - 강조색3 55" xfId="8386"/>
    <cellStyle name="60% - 강조색3 56" xfId="8387"/>
    <cellStyle name="60% - 강조색3 57" xfId="8388"/>
    <cellStyle name="60% - 강조색3 58" xfId="8389"/>
    <cellStyle name="60% - 강조색3 59" xfId="8390"/>
    <cellStyle name="60% - 강조색3 6" xfId="8391"/>
    <cellStyle name="60% - 강조색3 60" xfId="8392"/>
    <cellStyle name="60% - 강조색3 61" xfId="8393"/>
    <cellStyle name="60% - 강조색3 62" xfId="8394"/>
    <cellStyle name="60% - 강조색3 63" xfId="8395"/>
    <cellStyle name="60% - 강조색3 7" xfId="8396"/>
    <cellStyle name="60% - 강조색3 8" xfId="8397"/>
    <cellStyle name="60% - 강조색3 9" xfId="8398"/>
    <cellStyle name="60% - 강조색4" xfId="13188" builtinId="44" customBuiltin="1"/>
    <cellStyle name="60% - 강조색4 10" xfId="8399"/>
    <cellStyle name="60% - 강조색4 11" xfId="8400"/>
    <cellStyle name="60% - 강조색4 12" xfId="8401"/>
    <cellStyle name="60% - 강조색4 13" xfId="8402"/>
    <cellStyle name="60% - 강조색4 14" xfId="8403"/>
    <cellStyle name="60% - 강조색4 15" xfId="8404"/>
    <cellStyle name="60% - 강조색4 16" xfId="8405"/>
    <cellStyle name="60% - 강조색4 17" xfId="8406"/>
    <cellStyle name="60% - 강조색4 18" xfId="8407"/>
    <cellStyle name="60% - 강조색4 19" xfId="8408"/>
    <cellStyle name="60% - 강조색4 2" xfId="8409"/>
    <cellStyle name="60% - 강조색4 2 2" xfId="12917"/>
    <cellStyle name="60% - 강조색4 20" xfId="8410"/>
    <cellStyle name="60% - 강조색4 21" xfId="8411"/>
    <cellStyle name="60% - 강조색4 22" xfId="8412"/>
    <cellStyle name="60% - 강조색4 23" xfId="8413"/>
    <cellStyle name="60% - 강조색4 24" xfId="8414"/>
    <cellStyle name="60% - 강조색4 25" xfId="8415"/>
    <cellStyle name="60% - 강조색4 26" xfId="8416"/>
    <cellStyle name="60% - 강조색4 27" xfId="8417"/>
    <cellStyle name="60% - 강조색4 28" xfId="8418"/>
    <cellStyle name="60% - 강조색4 29" xfId="8419"/>
    <cellStyle name="60% - 강조색4 3" xfId="8420"/>
    <cellStyle name="60% - 강조색4 30" xfId="8421"/>
    <cellStyle name="60% - 강조색4 31" xfId="8422"/>
    <cellStyle name="60% - 강조색4 32" xfId="8423"/>
    <cellStyle name="60% - 강조색4 33" xfId="8424"/>
    <cellStyle name="60% - 강조색4 34" xfId="8425"/>
    <cellStyle name="60% - 강조색4 35" xfId="8426"/>
    <cellStyle name="60% - 강조색4 36" xfId="8427"/>
    <cellStyle name="60% - 강조색4 37" xfId="8428"/>
    <cellStyle name="60% - 강조색4 38" xfId="8429"/>
    <cellStyle name="60% - 강조색4 39" xfId="8430"/>
    <cellStyle name="60% - 강조색4 4" xfId="8431"/>
    <cellStyle name="60% - 강조색4 40" xfId="8432"/>
    <cellStyle name="60% - 강조색4 41" xfId="8433"/>
    <cellStyle name="60% - 강조색4 42" xfId="8434"/>
    <cellStyle name="60% - 강조색4 43" xfId="8435"/>
    <cellStyle name="60% - 강조색4 44" xfId="8436"/>
    <cellStyle name="60% - 강조색4 45" xfId="8437"/>
    <cellStyle name="60% - 강조색4 46" xfId="8438"/>
    <cellStyle name="60% - 강조색4 47" xfId="8439"/>
    <cellStyle name="60% - 강조색4 48" xfId="8440"/>
    <cellStyle name="60% - 강조색4 49" xfId="8441"/>
    <cellStyle name="60% - 강조색4 5" xfId="8442"/>
    <cellStyle name="60% - 강조색4 50" xfId="8443"/>
    <cellStyle name="60% - 강조색4 51" xfId="8444"/>
    <cellStyle name="60% - 강조색4 52" xfId="8445"/>
    <cellStyle name="60% - 강조색4 53" xfId="8446"/>
    <cellStyle name="60% - 강조색4 54" xfId="8447"/>
    <cellStyle name="60% - 강조색4 55" xfId="8448"/>
    <cellStyle name="60% - 강조색4 56" xfId="8449"/>
    <cellStyle name="60% - 강조색4 57" xfId="8450"/>
    <cellStyle name="60% - 강조색4 58" xfId="8451"/>
    <cellStyle name="60% - 강조색4 59" xfId="8452"/>
    <cellStyle name="60% - 강조색4 6" xfId="8453"/>
    <cellStyle name="60% - 강조색4 60" xfId="8454"/>
    <cellStyle name="60% - 강조색4 61" xfId="8455"/>
    <cellStyle name="60% - 강조색4 62" xfId="8456"/>
    <cellStyle name="60% - 강조색4 63" xfId="8457"/>
    <cellStyle name="60% - 강조색4 7" xfId="8458"/>
    <cellStyle name="60% - 강조색4 8" xfId="8459"/>
    <cellStyle name="60% - 강조색4 9" xfId="8460"/>
    <cellStyle name="60% - 강조색5" xfId="13192" builtinId="48" customBuiltin="1"/>
    <cellStyle name="60% - 강조색5 10" xfId="8461"/>
    <cellStyle name="60% - 강조색5 11" xfId="8462"/>
    <cellStyle name="60% - 강조색5 12" xfId="8463"/>
    <cellStyle name="60% - 강조색5 13" xfId="8464"/>
    <cellStyle name="60% - 강조색5 14" xfId="8465"/>
    <cellStyle name="60% - 강조색5 15" xfId="8466"/>
    <cellStyle name="60% - 강조색5 16" xfId="8467"/>
    <cellStyle name="60% - 강조색5 17" xfId="8468"/>
    <cellStyle name="60% - 강조색5 18" xfId="8469"/>
    <cellStyle name="60% - 강조색5 19" xfId="8470"/>
    <cellStyle name="60% - 강조색5 2" xfId="8471"/>
    <cellStyle name="60% - 강조색5 2 2" xfId="12918"/>
    <cellStyle name="60% - 강조색5 20" xfId="8472"/>
    <cellStyle name="60% - 강조색5 21" xfId="8473"/>
    <cellStyle name="60% - 강조색5 22" xfId="8474"/>
    <cellStyle name="60% - 강조색5 23" xfId="8475"/>
    <cellStyle name="60% - 강조색5 24" xfId="8476"/>
    <cellStyle name="60% - 강조색5 25" xfId="8477"/>
    <cellStyle name="60% - 강조색5 26" xfId="8478"/>
    <cellStyle name="60% - 강조색5 27" xfId="8479"/>
    <cellStyle name="60% - 강조색5 28" xfId="8480"/>
    <cellStyle name="60% - 강조색5 29" xfId="8481"/>
    <cellStyle name="60% - 강조색5 3" xfId="8482"/>
    <cellStyle name="60% - 강조색5 30" xfId="8483"/>
    <cellStyle name="60% - 강조색5 31" xfId="8484"/>
    <cellStyle name="60% - 강조색5 32" xfId="8485"/>
    <cellStyle name="60% - 강조색5 33" xfId="8486"/>
    <cellStyle name="60% - 강조색5 34" xfId="8487"/>
    <cellStyle name="60% - 강조색5 35" xfId="8488"/>
    <cellStyle name="60% - 강조색5 36" xfId="8489"/>
    <cellStyle name="60% - 강조색5 37" xfId="8490"/>
    <cellStyle name="60% - 강조색5 38" xfId="8491"/>
    <cellStyle name="60% - 강조색5 39" xfId="8492"/>
    <cellStyle name="60% - 강조색5 4" xfId="8493"/>
    <cellStyle name="60% - 강조색5 40" xfId="8494"/>
    <cellStyle name="60% - 강조색5 41" xfId="8495"/>
    <cellStyle name="60% - 강조색5 42" xfId="8496"/>
    <cellStyle name="60% - 강조색5 43" xfId="8497"/>
    <cellStyle name="60% - 강조색5 44" xfId="8498"/>
    <cellStyle name="60% - 강조색5 45" xfId="8499"/>
    <cellStyle name="60% - 강조색5 46" xfId="8500"/>
    <cellStyle name="60% - 강조색5 47" xfId="8501"/>
    <cellStyle name="60% - 강조색5 48" xfId="8502"/>
    <cellStyle name="60% - 강조색5 49" xfId="8503"/>
    <cellStyle name="60% - 강조색5 5" xfId="8504"/>
    <cellStyle name="60% - 강조색5 50" xfId="8505"/>
    <cellStyle name="60% - 강조색5 51" xfId="8506"/>
    <cellStyle name="60% - 강조색5 52" xfId="8507"/>
    <cellStyle name="60% - 강조색5 53" xfId="8508"/>
    <cellStyle name="60% - 강조색5 54" xfId="8509"/>
    <cellStyle name="60% - 강조색5 55" xfId="8510"/>
    <cellStyle name="60% - 강조색5 56" xfId="8511"/>
    <cellStyle name="60% - 강조색5 57" xfId="8512"/>
    <cellStyle name="60% - 강조색5 58" xfId="8513"/>
    <cellStyle name="60% - 강조색5 59" xfId="8514"/>
    <cellStyle name="60% - 강조색5 6" xfId="8515"/>
    <cellStyle name="60% - 강조색5 60" xfId="8516"/>
    <cellStyle name="60% - 강조색5 61" xfId="8517"/>
    <cellStyle name="60% - 강조색5 62" xfId="8518"/>
    <cellStyle name="60% - 강조색5 63" xfId="8519"/>
    <cellStyle name="60% - 강조색5 7" xfId="8520"/>
    <cellStyle name="60% - 강조색5 8" xfId="8521"/>
    <cellStyle name="60% - 강조색5 9" xfId="8522"/>
    <cellStyle name="60% - 강조색6" xfId="13196" builtinId="52" customBuiltin="1"/>
    <cellStyle name="60% - 강조색6 10" xfId="8523"/>
    <cellStyle name="60% - 강조색6 11" xfId="8524"/>
    <cellStyle name="60% - 강조색6 12" xfId="8525"/>
    <cellStyle name="60% - 강조색6 13" xfId="8526"/>
    <cellStyle name="60% - 강조색6 14" xfId="8527"/>
    <cellStyle name="60% - 강조색6 15" xfId="8528"/>
    <cellStyle name="60% - 강조색6 16" xfId="8529"/>
    <cellStyle name="60% - 강조색6 17" xfId="8530"/>
    <cellStyle name="60% - 강조색6 18" xfId="8531"/>
    <cellStyle name="60% - 강조색6 19" xfId="8532"/>
    <cellStyle name="60% - 강조색6 2" xfId="8533"/>
    <cellStyle name="60% - 강조색6 2 2" xfId="12919"/>
    <cellStyle name="60% - 강조색6 20" xfId="8534"/>
    <cellStyle name="60% - 강조색6 21" xfId="8535"/>
    <cellStyle name="60% - 강조색6 22" xfId="8536"/>
    <cellStyle name="60% - 강조색6 23" xfId="8537"/>
    <cellStyle name="60% - 강조색6 24" xfId="8538"/>
    <cellStyle name="60% - 강조색6 25" xfId="8539"/>
    <cellStyle name="60% - 강조색6 26" xfId="8540"/>
    <cellStyle name="60% - 강조색6 27" xfId="8541"/>
    <cellStyle name="60% - 강조색6 28" xfId="8542"/>
    <cellStyle name="60% - 강조색6 29" xfId="8543"/>
    <cellStyle name="60% - 강조색6 3" xfId="8544"/>
    <cellStyle name="60% - 강조색6 30" xfId="8545"/>
    <cellStyle name="60% - 강조색6 31" xfId="8546"/>
    <cellStyle name="60% - 강조색6 32" xfId="8547"/>
    <cellStyle name="60% - 강조색6 33" xfId="8548"/>
    <cellStyle name="60% - 강조색6 34" xfId="8549"/>
    <cellStyle name="60% - 강조색6 35" xfId="8550"/>
    <cellStyle name="60% - 강조색6 36" xfId="8551"/>
    <cellStyle name="60% - 강조색6 37" xfId="8552"/>
    <cellStyle name="60% - 강조색6 38" xfId="8553"/>
    <cellStyle name="60% - 강조색6 39" xfId="8554"/>
    <cellStyle name="60% - 강조색6 4" xfId="8555"/>
    <cellStyle name="60% - 강조색6 40" xfId="8556"/>
    <cellStyle name="60% - 강조색6 41" xfId="8557"/>
    <cellStyle name="60% - 강조색6 42" xfId="8558"/>
    <cellStyle name="60% - 강조색6 43" xfId="8559"/>
    <cellStyle name="60% - 강조색6 44" xfId="8560"/>
    <cellStyle name="60% - 강조색6 45" xfId="8561"/>
    <cellStyle name="60% - 강조색6 46" xfId="8562"/>
    <cellStyle name="60% - 강조색6 47" xfId="8563"/>
    <cellStyle name="60% - 강조색6 48" xfId="8564"/>
    <cellStyle name="60% - 강조색6 49" xfId="8565"/>
    <cellStyle name="60% - 강조색6 5" xfId="8566"/>
    <cellStyle name="60% - 강조색6 50" xfId="8567"/>
    <cellStyle name="60% - 강조색6 51" xfId="8568"/>
    <cellStyle name="60% - 강조색6 52" xfId="8569"/>
    <cellStyle name="60% - 강조색6 53" xfId="8570"/>
    <cellStyle name="60% - 강조색6 54" xfId="8571"/>
    <cellStyle name="60% - 강조색6 55" xfId="8572"/>
    <cellStyle name="60% - 강조색6 56" xfId="8573"/>
    <cellStyle name="60% - 강조색6 57" xfId="8574"/>
    <cellStyle name="60% - 강조색6 58" xfId="8575"/>
    <cellStyle name="60% - 강조색6 59" xfId="8576"/>
    <cellStyle name="60% - 강조색6 6" xfId="8577"/>
    <cellStyle name="60% - 강조색6 60" xfId="8578"/>
    <cellStyle name="60% - 강조색6 61" xfId="8579"/>
    <cellStyle name="60% - 강조색6 62" xfId="8580"/>
    <cellStyle name="60% - 강조색6 63" xfId="8581"/>
    <cellStyle name="60% - 강조색6 7" xfId="8582"/>
    <cellStyle name="60% - 강조색6 8" xfId="8583"/>
    <cellStyle name="60% - 강조색6 9" xfId="8584"/>
    <cellStyle name="7" xfId="8591"/>
    <cellStyle name="7_매출" xfId="8592"/>
    <cellStyle name="9" xfId="8593"/>
    <cellStyle name="A¨­???? [0]_2000¨?OER " xfId="11782"/>
    <cellStyle name="A¨­????_2000¨?OER " xfId="11783"/>
    <cellStyle name="A¨­￠￢￠O [0]_¡¾aA￠￢" xfId="11784"/>
    <cellStyle name="A¨­¢¬¢Ò [0]_2000¨ùOER " xfId="11785"/>
    <cellStyle name="A¨­￠￢￠O [0]_INQUIRY ￠?￥i¨u¡AAⓒ￢Aⓒª " xfId="11786"/>
    <cellStyle name="A¨­￠￢￠O_¡¾aA￠￢" xfId="11787"/>
    <cellStyle name="A¨­¢¬¢Ò_2000¨ùOER " xfId="11788"/>
    <cellStyle name="A¨­￠￢￠O_INQUIRY ￠?￥i¨u¡AAⓒ￢Aⓒª " xfId="11789"/>
    <cellStyle name="Accent1" xfId="11790"/>
    <cellStyle name="Accent2" xfId="11791"/>
    <cellStyle name="Accent3" xfId="11792"/>
    <cellStyle name="Accent4" xfId="11793"/>
    <cellStyle name="Accent5" xfId="11794"/>
    <cellStyle name="Accent6" xfId="11795"/>
    <cellStyle name="active" xfId="11796"/>
    <cellStyle name="Actual Date" xfId="11797"/>
    <cellStyle name="Aee­ " xfId="11798"/>
    <cellStyle name="AeE­ [0]_(AO)AA¿μ 9703" xfId="11799"/>
    <cellStyle name="AeE- [0]_?c?A " xfId="11800"/>
    <cellStyle name="ÅëÈ­ [0]_´ë¿©±Ý" xfId="11801"/>
    <cellStyle name="AeE­ [0]_´U±aA÷AO98.12(A¶A¤)CR¾i¼­ " xfId="11802"/>
    <cellStyle name="ÅëÈ­ [0]_¸ÅÃâÃÑ°ý " xfId="11803"/>
    <cellStyle name="AeE­ [0]_°eE¹_11¿a½A " xfId="41"/>
    <cellStyle name="ÅëÈ­ [0]_¼öÀÍ¼º " xfId="11804"/>
    <cellStyle name="AeE­ [0]_¾c½A " xfId="11805"/>
    <cellStyle name="AeE- [0]_4PART " xfId="11806"/>
    <cellStyle name="AeE­ [0]_6¿u2A°AO " xfId="11807"/>
    <cellStyle name="AeE- [0]_64-C STEPPER 줩!줩o?A줩줗(PHOTO) " xfId="11808"/>
    <cellStyle name="ÅëÈ­ [0]_95³âÃÑ°ý¼ö·® " xfId="11809"/>
    <cellStyle name="AeE­ [0]_95³aAN°y¼o·R " xfId="11810"/>
    <cellStyle name="AeE- [0]_953aAN줩y?o좵R " xfId="11811"/>
    <cellStyle name="ÅëÈ­ [0]_ÅðÁ÷º¸Çè±â±Ý¸í¼¼" xfId="11812"/>
    <cellStyle name="AeE­ [0]_AMT " xfId="11813"/>
    <cellStyle name="ÅëÈ­ [0]_AMT " xfId="11814"/>
    <cellStyle name="AeE­ [0]_C°¸nº° " xfId="11815"/>
    <cellStyle name="ÅëÈ­ [0]_COVER97" xfId="11817"/>
    <cellStyle name="AeE- [0]_C줩좲no줩 " xfId="11816"/>
    <cellStyle name="AeE­ [0]_INQUIRY ¿μ¾÷AßAø " xfId="11818"/>
    <cellStyle name="ÅëÈ­ [0]_laroux" xfId="11819"/>
    <cellStyle name="AeE­ [0]_Sheet1" xfId="11820"/>
    <cellStyle name="ÅëÈ­ [0]_Sheet1" xfId="11821"/>
    <cellStyle name="AeE­ [0]_Sheet1_4사비스킷매출(2000)" xfId="11822"/>
    <cellStyle name="ÅëÈ­ [0]_Sheet1_개발회의0420" xfId="11823"/>
    <cellStyle name="AeE­ [0]_Sheet1_보완4(유형별포테이토 자료)" xfId="11824"/>
    <cellStyle name="Aee­ _추정재무제표" xfId="11825"/>
    <cellStyle name="AeE­_(AO)AA¿μ 9703" xfId="11826"/>
    <cellStyle name="AeE-_?c?A " xfId="11827"/>
    <cellStyle name="ÅëÈ­_´ë¿©±Ý" xfId="11828"/>
    <cellStyle name="AeE­_´U±aA÷AO98.12(A¶A¤)CR¾i¼­ " xfId="11829"/>
    <cellStyle name="ÅëÈ­_¸ÅÃâÃÑ°ý " xfId="11830"/>
    <cellStyle name="AeE­_°eE¹_11¿a½A " xfId="42"/>
    <cellStyle name="ÅëÈ­_¼öÀÍ¼º " xfId="11831"/>
    <cellStyle name="AeE­_¾c½A " xfId="11832"/>
    <cellStyle name="AeE-_4PART " xfId="11833"/>
    <cellStyle name="AeE­_6¿u2A°AO " xfId="11834"/>
    <cellStyle name="AeE-_64-C STEPPER 줩!줩o?A줩줗(PHOTO) " xfId="11835"/>
    <cellStyle name="ÅëÈ­_95³âÃÑ°ý¼ö·® " xfId="11836"/>
    <cellStyle name="AeE­_95³aAN°y¼o·R " xfId="11837"/>
    <cellStyle name="AeE-_953aAN줩y?o좵R " xfId="11838"/>
    <cellStyle name="ÅëÈ­_ÅðÁ÷º¸Çè±â±Ý¸í¼¼" xfId="11839"/>
    <cellStyle name="AeE­_AMT " xfId="11840"/>
    <cellStyle name="ÅëÈ­_AMT " xfId="11841"/>
    <cellStyle name="AeE­_C°¸nº° " xfId="11842"/>
    <cellStyle name="ÅëÈ­_COVER97" xfId="11844"/>
    <cellStyle name="AeE-_C줩좲no줩 " xfId="11843"/>
    <cellStyle name="AeE­_INQUIRY ¿μ¾÷AßAø " xfId="11845"/>
    <cellStyle name="ÅëÈ­_laroux" xfId="11846"/>
    <cellStyle name="AeE­_Sheet1" xfId="11847"/>
    <cellStyle name="ÅëÈ­_Sheet1" xfId="11848"/>
    <cellStyle name="AeE­_Sheet1_4사비스킷매출(2000)" xfId="11849"/>
    <cellStyle name="ÅëÈ­_Sheet1_개발회의0420" xfId="11850"/>
    <cellStyle name="AeE­_Sheet1_월별제품별매출(벌크)-비스킷" xfId="11851"/>
    <cellStyle name="AeE¡? [0]_2000¨?OER " xfId="11852"/>
    <cellStyle name="AeE¡?_2000¨?OER " xfId="11853"/>
    <cellStyle name="AeE¡© [0]_2000¨ùOER " xfId="11854"/>
    <cellStyle name="AeE¡©_2000¨ùOER " xfId="11855"/>
    <cellStyle name="AeE¡ⓒ [0]_¡¾aA￠￢" xfId="11856"/>
    <cellStyle name="AeE¡ⓒ_¡¾aA￠￢" xfId="11857"/>
    <cellStyle name="Afrundet valuta_A" xfId="11858"/>
    <cellStyle name="ALIGNMENT" xfId="11859"/>
    <cellStyle name="amount" xfId="11860"/>
    <cellStyle name="amount 2" xfId="11861"/>
    <cellStyle name="args.style" xfId="11862"/>
    <cellStyle name="AÞ¸¶ [0]_(¿uAEP)" xfId="11865"/>
    <cellStyle name="ÄÞ¸¶ [0]_´ãº¸±ÇÀÌÀÚ" xfId="11866"/>
    <cellStyle name="AÞ¸¶ [0]_´U±aA÷AO98.12(A¶A¤)CR¾i¼­ " xfId="11867"/>
    <cellStyle name="ÄÞ¸¶ [0]_¿ùº¸¼ö·á " xfId="11868"/>
    <cellStyle name="AÞ¸¶ [0]_°¡³ª´U " xfId="11869"/>
    <cellStyle name="ÄÞ¸¶ [0]_¼öÀÍ¼º " xfId="11870"/>
    <cellStyle name="AÞ¸¶ [0]_½CAuCoE² _01.미수수익(선물환 외화정기)_재무실" xfId="11871"/>
    <cellStyle name="ÄÞ¸¶ [0]_ÅðÁ÷º¸Çè±â±Ý¸í¼¼" xfId="11872"/>
    <cellStyle name="AÞ¸¶ [0]_INQUIRY ¿μ¾÷AßAø " xfId="11873"/>
    <cellStyle name="ÄÞ¸¶ [0]_laroux" xfId="11874"/>
    <cellStyle name="AÞ¸¶ [0]_Sheet1" xfId="11875"/>
    <cellStyle name="ÄÞ¸¶ [0]_Sheet1" xfId="11876"/>
    <cellStyle name="AÞ¸¶ [0]_Sheet1_4사비스킷매출(2000)" xfId="11877"/>
    <cellStyle name="ÄÞ¸¶ [0]_Sheet1_개발회의0420" xfId="11878"/>
    <cellStyle name="AÞ¸¶ [0]_Sheet1_보완4(유형별포테이토 자료)" xfId="11879"/>
    <cellStyle name="AÞ¸¶_(AO)AA¿μ 9703" xfId="11880"/>
    <cellStyle name="ÄÞ¸¶_´ë¿©±Ý" xfId="11881"/>
    <cellStyle name="AÞ¸¶_´U±aA÷AO98.12(A¶A¤)CR¾i¼­ " xfId="11882"/>
    <cellStyle name="ÄÞ¸¶_¸ÅÃâÃÑ°ý " xfId="11883"/>
    <cellStyle name="AÞ¸¶_°eE¹_11¿a½A " xfId="43"/>
    <cellStyle name="ÄÞ¸¶_¼öÀÍ¼º " xfId="11884"/>
    <cellStyle name="AÞ¸¶_¾c½A " xfId="11885"/>
    <cellStyle name="ÄÞ¸¶_95³âÃÑ°ý¼ö·® " xfId="11886"/>
    <cellStyle name="AÞ¸¶_95³aAN°y¼o·R " xfId="11887"/>
    <cellStyle name="ÄÞ¸¶_ÅðÁ÷º¸Çè±â±Ý¸í¼¼" xfId="11888"/>
    <cellStyle name="AÞ¸¶_INQUIRY ¿μ¾÷AßAø " xfId="11889"/>
    <cellStyle name="ÄÞ¸¶_laroux" xfId="11890"/>
    <cellStyle name="AÞ¸¶_Sheet1" xfId="11891"/>
    <cellStyle name="ÄÞ¸¶_Sheet1" xfId="11892"/>
    <cellStyle name="AÞ¸¶_Sheet1_4사비스킷매출(2000)" xfId="11893"/>
    <cellStyle name="ÄÞ¸¶_Sheet1_개발회의0420" xfId="11894"/>
    <cellStyle name="AÞ¸¶_Sheet1_보완4(유형별포테이토 자료)" xfId="11895"/>
    <cellStyle name="AT좲? [0]_?c?A " xfId="11863"/>
    <cellStyle name="AT좲?_?c?A " xfId="11864"/>
    <cellStyle name="_x0001_b" xfId="11896"/>
    <cellStyle name="Bad" xfId="11897"/>
    <cellStyle name="Besøgt Hyperlink_Kap07.xls Diagram 173" xfId="11898"/>
    <cellStyle name="Body" xfId="11899"/>
    <cellStyle name="Body text" xfId="11900"/>
    <cellStyle name="Border" xfId="11901"/>
    <cellStyle name="Border 2" xfId="11902"/>
    <cellStyle name="Border 3" xfId="11903"/>
    <cellStyle name="Border 4" xfId="11904"/>
    <cellStyle name="Border 5" xfId="11905"/>
    <cellStyle name="BOYLGOTHIC" xfId="11906"/>
    <cellStyle name="BOYSTYLE" xfId="11907"/>
    <cellStyle name="C¡?A¨ª_2000¨?OER " xfId="11908"/>
    <cellStyle name="C¡ÍA¨ª_¡ÆeA¢´¡Æu¢¬n ¨ùoA¢´¡Æu¢¬n" xfId="11909"/>
    <cellStyle name="C¡IA¨ª_¡ÆeEⓒo" xfId="11910"/>
    <cellStyle name="C¡ÍA¨ª_2000¨ùOER " xfId="11911"/>
    <cellStyle name="C¡IA¨ª_2000¨uOER _1월채권" xfId="11912"/>
    <cellStyle name="C￥AØ_  FAB AIA¤  " xfId="11913"/>
    <cellStyle name="Ç¥ÁØ_´ç¿ùÀÚ±Ý¼öÁö" xfId="11914"/>
    <cellStyle name="C￥AØ_´U±aA÷AO98.12(A¶A¤)CR¾i¼­ " xfId="11915"/>
    <cellStyle name="Ç¥ÁØ_¸ÅÃâÃÑ°ý " xfId="11916"/>
    <cellStyle name="C￥AØ_¿¹≫e¿aA≫ " xfId="11917"/>
    <cellStyle name="Ç¥ÁØ_¿ùº¸¼ö·á " xfId="11918"/>
    <cellStyle name="C￥AØ_¿uº¸¼o·a _부산5월결산" xfId="11919"/>
    <cellStyle name="Ç¥ÁØ_¿ùº¸¼ö·á _영업외손익추정" xfId="11920"/>
    <cellStyle name="C￥AØ_≫c¾÷ºIº° AN°e " xfId="11921"/>
    <cellStyle name="Ç¥ÁØ_0N-HANDLING " xfId="11922"/>
    <cellStyle name="C￥AØ_¼±AoAc°i_1_³≫ºI°eE¹´e AßA¤A÷AI " xfId="11923"/>
    <cellStyle name="Ç¥ÁØ_¼öÀÍ¼º " xfId="11924"/>
    <cellStyle name="C￥AØ_¾aC°≫c¿eCoE² " xfId="11925"/>
    <cellStyle name="Ç¥ÁØ_¾ç½Ä " xfId="11926"/>
    <cellStyle name="C￥AØ_5-1±¤°i " xfId="11927"/>
    <cellStyle name="Ç¥ÁØ_5-1±¤°í " xfId="11928"/>
    <cellStyle name="C￥AØ_5-1±¤°i _6RCB1 " xfId="11929"/>
    <cellStyle name="Ç¥ÁØ_5-1±¤°í _가격추이" xfId="11930"/>
    <cellStyle name="C￥AØ_5-1±¤°i _부산5월결산" xfId="11931"/>
    <cellStyle name="Ç¥ÁØ_5-1±¤°í _비용분석자료" xfId="11932"/>
    <cellStyle name="C￥AØ_95³aAN°y¼o·R " xfId="11933"/>
    <cellStyle name="Ç¥ÁØ_ÆÇ°üºñ " xfId="11934"/>
    <cellStyle name="C￥AØ_AI¿ø°eE¹(A¤º¸¼­ºn½º)" xfId="11935"/>
    <cellStyle name="Ç¥ÁØ_Áý°èÇ¥(2¿ù) " xfId="11936"/>
    <cellStyle name="C￥AØ_CoAo¹yAI °A¾×¿ⓒ½A " xfId="11937"/>
    <cellStyle name="Ç¥ÁØ_laroux" xfId="11938"/>
    <cellStyle name="C￥AØ_Sheet1_¿μ¾÷CoE² " xfId="11939"/>
    <cellStyle name="Ç¥ÁØ_Sheet1_0N-HANDLING " xfId="11940"/>
    <cellStyle name="C￥AØ_Sheet1_Ay°eC￥(2¿u) " xfId="11941"/>
    <cellStyle name="Ç¥ÁØ_Sheet1_Áý°èÇ¥(2¿ù) " xfId="11942"/>
    <cellStyle name="C￥AØ_SOON1 " xfId="11943"/>
    <cellStyle name="Ç¥ÁØ_SOON1 " xfId="11944"/>
    <cellStyle name="C￥AØ_SOON1 _Sheet1" xfId="11955"/>
    <cellStyle name="Ç¥ÁØ_SOON1 _Sheet1" xfId="11956"/>
    <cellStyle name="C￥AØ_SOON1 _Sheet4" xfId="11957"/>
    <cellStyle name="Ç¥ÁØ_SOON1 _Sheet4" xfId="11958"/>
    <cellStyle name="C￥AØ_SOON1 _Sheet6" xfId="11959"/>
    <cellStyle name="Ç¥ÁØ_SOON1 _Sheet6" xfId="11960"/>
    <cellStyle name="C￥AØ_SOON1 _가격추이" xfId="11945"/>
    <cellStyle name="Ç¥ÁØ_SOON1 _계속기업가치" xfId="11946"/>
    <cellStyle name="C￥AØ_SOON1 _부산5월결산" xfId="11947"/>
    <cellStyle name="Ç¥ÁØ_SOON1 _영업외손익추정" xfId="11948"/>
    <cellStyle name="C￥AØ_SOON1 _추정FS" xfId="11951"/>
    <cellStyle name="Ç¥ÁØ_SOON1 _추정FS" xfId="11952"/>
    <cellStyle name="C￥AØ_SOON1 _추정손익계산서" xfId="11949"/>
    <cellStyle name="Ç¥ÁØ_SOON1 _추정손익계산서" xfId="11950"/>
    <cellStyle name="C￥AØ_SOON1 _현금흐름표추정" xfId="11953"/>
    <cellStyle name="Ç¥ÁØ_SOON1 _현금흐름표추정" xfId="11954"/>
    <cellStyle name="Calc Currency (0)" xfId="11962"/>
    <cellStyle name="Calc Currency (2)" xfId="11963"/>
    <cellStyle name="Calc Percent (0)" xfId="11964"/>
    <cellStyle name="Calc Percent (1)" xfId="11965"/>
    <cellStyle name="Calc Percent (2)" xfId="11966"/>
    <cellStyle name="Calc Units (0)" xfId="11967"/>
    <cellStyle name="Calc Units (1)" xfId="11968"/>
    <cellStyle name="Calc Units (2)" xfId="11969"/>
    <cellStyle name="Calculation" xfId="11970"/>
    <cellStyle name="Calculation 2" xfId="11971"/>
    <cellStyle name="Calculation 3" xfId="11972"/>
    <cellStyle name="Calculation 4" xfId="11973"/>
    <cellStyle name="category" xfId="11974"/>
    <cellStyle name="Check Cell" xfId="11975"/>
    <cellStyle name="choi" xfId="11976"/>
    <cellStyle name="ⓒoe¨￢¨￠Aⓒ÷_¡¾aA￠￢" xfId="11977"/>
    <cellStyle name="Column Heading" xfId="11978"/>
    <cellStyle name="Column Headings" xfId="11979"/>
    <cellStyle name="Column_Title" xfId="11980"/>
    <cellStyle name="Comma" xfId="44"/>
    <cellStyle name="Comma  - Style1" xfId="11981"/>
    <cellStyle name="Comma  - Style2" xfId="11982"/>
    <cellStyle name="Comma  - Style3" xfId="11983"/>
    <cellStyle name="Comma  - Style4" xfId="11984"/>
    <cellStyle name="Comma  - Style5" xfId="11985"/>
    <cellStyle name="Comma  - Style6" xfId="11986"/>
    <cellStyle name="Comma  - Style7" xfId="11987"/>
    <cellStyle name="Comma  - Style8" xfId="11988"/>
    <cellStyle name="Comma [0.0]" xfId="11989"/>
    <cellStyle name="Comma [0.00]" xfId="11990"/>
    <cellStyle name="Comma [0]" xfId="11991"/>
    <cellStyle name="Comma [00]" xfId="11992"/>
    <cellStyle name="Comma [1]" xfId="11993"/>
    <cellStyle name="Comma 0" xfId="11994"/>
    <cellStyle name="Comma 2" xfId="11995"/>
    <cellStyle name="comma zerodec" xfId="45"/>
    <cellStyle name="Comma^ODCOS " xfId="11996"/>
    <cellStyle name="Comma_ SG&amp;A Bridge " xfId="46"/>
    <cellStyle name="Comma0" xfId="11997"/>
    <cellStyle name="Copied" xfId="11998"/>
    <cellStyle name="COST1" xfId="11999"/>
    <cellStyle name="Cur?ncy_laroux_2_12~3SO2_공문  " xfId="12000"/>
    <cellStyle name="Curren?_x0012_퐀_x0017_?" xfId="12001"/>
    <cellStyle name="Currency" xfId="47"/>
    <cellStyle name="Currency  " xfId="12002"/>
    <cellStyle name="Currency $" xfId="12003"/>
    <cellStyle name="Currency [0.00] (Yen)" xfId="12004"/>
    <cellStyle name="Currency [0]" xfId="12005"/>
    <cellStyle name="Currency [0]?1" xfId="12006"/>
    <cellStyle name="Currency [0]_ SG&amp;A Bridge " xfId="48"/>
    <cellStyle name="Currency [00]" xfId="12007"/>
    <cellStyle name="Currency [1]" xfId="12008"/>
    <cellStyle name="Currency [2]" xfId="12009"/>
    <cellStyle name="Currency [2] 2" xfId="12010"/>
    <cellStyle name="Currency [2] 3" xfId="12011"/>
    <cellStyle name="Currency [2] 4" xfId="12012"/>
    <cellStyle name="Currency 0" xfId="12013"/>
    <cellStyle name="Currency 2" xfId="12014"/>
    <cellStyle name="Currency Bt" xfId="12015"/>
    <cellStyle name="Currency Rp" xfId="12016"/>
    <cellStyle name="currency-$" xfId="12017"/>
    <cellStyle name="currency-$ 2" xfId="12018"/>
    <cellStyle name="currency-$ 2 2" xfId="12019"/>
    <cellStyle name="currency-$ 2 3" xfId="12020"/>
    <cellStyle name="currency-$ 2 4" xfId="12021"/>
    <cellStyle name="currency-$ 2 5" xfId="12022"/>
    <cellStyle name="Currency(￦)" xfId="12023"/>
    <cellStyle name="Currency_ SG&amp;A Bridge " xfId="49"/>
    <cellStyle name="Currency0" xfId="12024"/>
    <cellStyle name="Currency1" xfId="50"/>
    <cellStyle name="C줔AO_  FAB AIA?  " xfId="11961"/>
    <cellStyle name="d" xfId="12025"/>
    <cellStyle name="Data" xfId="12026"/>
    <cellStyle name="Date" xfId="51"/>
    <cellStyle name="Date 2" xfId="12027"/>
    <cellStyle name="Date Aligned" xfId="12028"/>
    <cellStyle name="Date Short" xfId="12029"/>
    <cellStyle name="DATE_(매각제한)대우건설DCF(2007-12-31)(완료)" xfId="12030"/>
    <cellStyle name="Datum 10" xfId="12031"/>
    <cellStyle name="Datum 11" xfId="12032"/>
    <cellStyle name="Datum 12" xfId="12033"/>
    <cellStyle name="Datum 8" xfId="12034"/>
    <cellStyle name="Datum 9" xfId="12035"/>
    <cellStyle name="DELTA" xfId="12036"/>
    <cellStyle name="Dezimal [0]_Aktenbewertung 1994" xfId="12037"/>
    <cellStyle name="Dezimal_Aktenbewertung 1994" xfId="12038"/>
    <cellStyle name="Dollar (zero dec)" xfId="52"/>
    <cellStyle name="Dollars" xfId="12039"/>
    <cellStyle name="Dotted Line" xfId="12040"/>
    <cellStyle name="Enter Currency (0)" xfId="12041"/>
    <cellStyle name="Enter Currency (2)" xfId="12042"/>
    <cellStyle name="Enter Units (0)" xfId="12043"/>
    <cellStyle name="Enter Units (1)" xfId="12044"/>
    <cellStyle name="Enter Units (2)" xfId="12045"/>
    <cellStyle name="Entered" xfId="12046"/>
    <cellStyle name="entry" xfId="12047"/>
    <cellStyle name="Euro" xfId="12048"/>
    <cellStyle name="Explanatory Text" xfId="12049"/>
    <cellStyle name="F2" xfId="12050"/>
    <cellStyle name="F3" xfId="12051"/>
    <cellStyle name="F4" xfId="12052"/>
    <cellStyle name="F5" xfId="12053"/>
    <cellStyle name="F6" xfId="12054"/>
    <cellStyle name="F7" xfId="12055"/>
    <cellStyle name="F8" xfId="12056"/>
    <cellStyle name="Fixed" xfId="53"/>
    <cellStyle name="Flag" xfId="12057"/>
    <cellStyle name="Followed Hyperlink" xfId="12058"/>
    <cellStyle name="Footnote" xfId="12059"/>
    <cellStyle name="Good" xfId="12060"/>
    <cellStyle name="Grey" xfId="54"/>
    <cellStyle name="h" xfId="12061"/>
    <cellStyle name="Hard Percent" xfId="12062"/>
    <cellStyle name="HDR" xfId="12063"/>
    <cellStyle name="head000" xfId="12064"/>
    <cellStyle name="head001" xfId="12065"/>
    <cellStyle name="HEADER" xfId="12066"/>
    <cellStyle name="Header Total" xfId="12067"/>
    <cellStyle name="header_관계사부실발생집계" xfId="12068"/>
    <cellStyle name="Header1" xfId="55"/>
    <cellStyle name="Header2" xfId="56"/>
    <cellStyle name="Header2 2" xfId="12069"/>
    <cellStyle name="Header2 3" xfId="12070"/>
    <cellStyle name="Header2 4" xfId="12071"/>
    <cellStyle name="Header3" xfId="12072"/>
    <cellStyle name="Heading" xfId="12073"/>
    <cellStyle name="Heading 1" xfId="12074"/>
    <cellStyle name="Heading 1 2" xfId="13146"/>
    <cellStyle name="Heading 2" xfId="12075"/>
    <cellStyle name="Heading 2 2" xfId="13147"/>
    <cellStyle name="Heading 3" xfId="12076"/>
    <cellStyle name="Heading 3 2" xfId="13148"/>
    <cellStyle name="Heading 4" xfId="12077"/>
    <cellStyle name="heading, 1,A MAJOR/BOLD" xfId="12078"/>
    <cellStyle name="Heading1" xfId="57"/>
    <cellStyle name="Heading2" xfId="58"/>
    <cellStyle name="Heading3" xfId="12079"/>
    <cellStyle name="HIGHLIGHT" xfId="12080"/>
    <cellStyle name="Horizontal" xfId="12081"/>
    <cellStyle name="HspColumn" xfId="12082"/>
    <cellStyle name="HspColumnBottom" xfId="12083"/>
    <cellStyle name="HspCurrency" xfId="12084"/>
    <cellStyle name="HspNonCurrency" xfId="12085"/>
    <cellStyle name="HspPage" xfId="12086"/>
    <cellStyle name="HspPercentage" xfId="12087"/>
    <cellStyle name="HspPlanType" xfId="12088"/>
    <cellStyle name="HspPOV" xfId="12089"/>
    <cellStyle name="HspRow" xfId="12090"/>
    <cellStyle name="Hyperlink" xfId="12091"/>
    <cellStyle name="Identification requete" xfId="12092"/>
    <cellStyle name="iles|_x0005_h" xfId="12093"/>
    <cellStyle name="Input" xfId="12094"/>
    <cellStyle name="Input [yellow]" xfId="59"/>
    <cellStyle name="Input [yellow] 2" xfId="12095"/>
    <cellStyle name="Input [yellow] 2 2" xfId="12096"/>
    <cellStyle name="Input [yellow] 2 3" xfId="12097"/>
    <cellStyle name="Input [yellow] 2 4" xfId="12098"/>
    <cellStyle name="Input [yellow] 2 5" xfId="12099"/>
    <cellStyle name="Input 2" xfId="13149"/>
    <cellStyle name="Input 3" xfId="13150"/>
    <cellStyle name="Input 4" xfId="13151"/>
    <cellStyle name="Input Cells" xfId="12100"/>
    <cellStyle name="Input_12월재무현황" xfId="12101"/>
    <cellStyle name="Komma [0]_BINV" xfId="12102"/>
    <cellStyle name="Komma_BINV" xfId="12103"/>
    <cellStyle name="KTY" xfId="12104"/>
    <cellStyle name="L" xfId="12105"/>
    <cellStyle name="left" xfId="12107"/>
    <cellStyle name="les" xfId="12108"/>
    <cellStyle name="Ligne détail" xfId="12109"/>
    <cellStyle name="Link Currency (0)" xfId="12110"/>
    <cellStyle name="Link Currency (2)" xfId="12111"/>
    <cellStyle name="Link Units (0)" xfId="12112"/>
    <cellStyle name="Link Units (1)" xfId="12113"/>
    <cellStyle name="Link Units (2)" xfId="12114"/>
    <cellStyle name="Linked Cell" xfId="12115"/>
    <cellStyle name="Linked Cells" xfId="12116"/>
    <cellStyle name="Locked" xfId="12119"/>
    <cellStyle name="ŀ䅀᠀ŀŀ䅀᠀ŀŀ䅀᠀ŀŀ䅀᠀ŀŀ䅀᠀ŀŀ䅀᠀ŀ" xfId="12120"/>
    <cellStyle name="ŀ䅀਀ŀŀ䅀᠀ŀŀ䅀਀ŀŀ䅀᠀ŀŀ䅀᠀ŀŀ䅀᠀ŀŀ䅀᠀ŀŀ䅀᠀ŀŀ䅀᠀ŀŀ䅀᠀ŀŀ䅀᠀ŀ" xfId="12121"/>
    <cellStyle name="Matrix" xfId="12122"/>
    <cellStyle name="MEV1" xfId="12123"/>
    <cellStyle name="Migliaia (0)_2000 Sub C III quarterly" xfId="12124"/>
    <cellStyle name="Migliaia_2000 Sub C III quarterly" xfId="12125"/>
    <cellStyle name="Millares [0]_PERSONAL" xfId="12126"/>
    <cellStyle name="Millares_PERSONAL" xfId="12127"/>
    <cellStyle name="Milliers [0]_!!!GO" xfId="12128"/>
    <cellStyle name="Milliers_!!!GO" xfId="12129"/>
    <cellStyle name="Model" xfId="12130"/>
    <cellStyle name="Mon?aire [0]_AR1194" xfId="60"/>
    <cellStyle name="Mon?aire_AR1194" xfId="61"/>
    <cellStyle name="Moneda [0]_CONTENCION CONDELL 25.051" xfId="12133"/>
    <cellStyle name="Moneda_CONTENCION CONDELL 25.051" xfId="12134"/>
    <cellStyle name="Monétaire [0]_AR1194" xfId="12135"/>
    <cellStyle name="Monétaire_AR1194" xfId="12136"/>
    <cellStyle name="Mon騁aire [0]_!!!GO" xfId="12131"/>
    <cellStyle name="Mon騁aire_!!!GO" xfId="12132"/>
    <cellStyle name="Multiple" xfId="12137"/>
    <cellStyle name="Multiple [0]" xfId="12138"/>
    <cellStyle name="Multiple [1]" xfId="12139"/>
    <cellStyle name="Multiple_(매각제한)대우건설DCF(2007-12-31)(완료)" xfId="12140"/>
    <cellStyle name="MultipleBelow" xfId="12141"/>
    <cellStyle name="Navadno_BINV" xfId="12142"/>
    <cellStyle name="Nermal_ SG&amp;A Bridge " xfId="12143"/>
    <cellStyle name="Neuigkeit" xfId="12144"/>
    <cellStyle name="Neutral" xfId="12145"/>
    <cellStyle name="New Times Roman" xfId="12146"/>
    <cellStyle name="no dec" xfId="12147"/>
    <cellStyle name="nohs" xfId="12148"/>
    <cellStyle name="Normal - Style1" xfId="62"/>
    <cellStyle name="Normal - Style2" xfId="12157"/>
    <cellStyle name="Normal - Style3" xfId="12158"/>
    <cellStyle name="Normal - Style4" xfId="12159"/>
    <cellStyle name="Normal - Style5" xfId="12160"/>
    <cellStyle name="Normal - Style6" xfId="12161"/>
    <cellStyle name="Normal - Style7" xfId="12162"/>
    <cellStyle name="Normal - Style8" xfId="12163"/>
    <cellStyle name="Normal - 유형1" xfId="12149"/>
    <cellStyle name="Normal - 유형2" xfId="12150"/>
    <cellStyle name="Normal - 유형3" xfId="12151"/>
    <cellStyle name="Normal - 유형4" xfId="12152"/>
    <cellStyle name="Normal - 유형5" xfId="12153"/>
    <cellStyle name="Normal - 유형6" xfId="12154"/>
    <cellStyle name="Normal - 유형7" xfId="12155"/>
    <cellStyle name="Normal - 유형8" xfId="12156"/>
    <cellStyle name="Normal 2" xfId="12164"/>
    <cellStyle name="Normal 2 2" xfId="12165"/>
    <cellStyle name="Normal 2 3" xfId="12166"/>
    <cellStyle name="Normal 2 4" xfId="12167"/>
    <cellStyle name="Normal 3" xfId="63"/>
    <cellStyle name="Normal_ SG&amp;A Bridge" xfId="12168"/>
    <cellStyle name="Normal1" xfId="12169"/>
    <cellStyle name="Normal2" xfId="12170"/>
    <cellStyle name="Normal3" xfId="12171"/>
    <cellStyle name="Normal4" xfId="12172"/>
    <cellStyle name="Normale_Entry" xfId="12173"/>
    <cellStyle name="Note" xfId="12174"/>
    <cellStyle name="Note 2" xfId="13152"/>
    <cellStyle name="_x000f_O" xfId="12175"/>
    <cellStyle name="õ" xfId="12176"/>
    <cellStyle name="Œ…?æ맖?e [0.00]_laroux" xfId="12177"/>
    <cellStyle name="Œ…?æ맖?e_laroux" xfId="12178"/>
    <cellStyle name="Œ…‹æØ‚è [0.00]_laroux" xfId="12179"/>
    <cellStyle name="Œ…‹æØ‚è_laroux" xfId="12180"/>
    <cellStyle name="Option" xfId="12181"/>
    <cellStyle name="OptionHeading" xfId="12182"/>
    <cellStyle name="Output" xfId="12183"/>
    <cellStyle name="Output 2" xfId="12184"/>
    <cellStyle name="Output 3" xfId="12185"/>
    <cellStyle name="Output 4" xfId="12186"/>
    <cellStyle name="Output Amounts" xfId="12187"/>
    <cellStyle name="Output Column Headings" xfId="12188"/>
    <cellStyle name="Output Line Items" xfId="12189"/>
    <cellStyle name="Output Report Heading" xfId="12190"/>
    <cellStyle name="Output Report Title" xfId="12191"/>
    <cellStyle name="Page Number" xfId="12192"/>
    <cellStyle name="PE_1월" xfId="12193"/>
    <cellStyle name="per.style" xfId="12194"/>
    <cellStyle name="Percent" xfId="64"/>
    <cellStyle name="Percent (0)" xfId="12195"/>
    <cellStyle name="Percent [0.0%]" xfId="12196"/>
    <cellStyle name="Percent [0]" xfId="12197"/>
    <cellStyle name="Percent [00]" xfId="12198"/>
    <cellStyle name="Percent [1]" xfId="12199"/>
    <cellStyle name="Percent [2]" xfId="65"/>
    <cellStyle name="Percent 0" xfId="12200"/>
    <cellStyle name="Percent 2" xfId="12201"/>
    <cellStyle name="Percent_#6 Temps &amp; Contractors" xfId="12202"/>
    <cellStyle name="PERCENTAGE" xfId="66"/>
    <cellStyle name="PLAN97" xfId="12203"/>
    <cellStyle name="Pourcentage_pldt" xfId="12204"/>
    <cellStyle name="PrePop Currency (0)" xfId="12205"/>
    <cellStyle name="PrePop Currency (2)" xfId="12206"/>
    <cellStyle name="PrePop Units (0)" xfId="12207"/>
    <cellStyle name="PrePop Units (1)" xfId="12208"/>
    <cellStyle name="PrePop Units (2)" xfId="12209"/>
    <cellStyle name="price" xfId="12210"/>
    <cellStyle name="pricing" xfId="12211"/>
    <cellStyle name="Procent_BINV" xfId="12212"/>
    <cellStyle name="Product Title" xfId="12213"/>
    <cellStyle name="Produkte Normal" xfId="12214"/>
    <cellStyle name="PSChar" xfId="12215"/>
    <cellStyle name="PSDate" xfId="12216"/>
    <cellStyle name="PSDec" xfId="12217"/>
    <cellStyle name="PSHeading" xfId="12218"/>
    <cellStyle name="R?" xfId="12219"/>
    <cellStyle name="Revenue" xfId="12220"/>
    <cellStyle name="revised" xfId="12221"/>
    <cellStyle name="RevList" xfId="12222"/>
    <cellStyle name="RM(4개월)" xfId="12223"/>
    <cellStyle name="rrency [0]_laroux_MATERAL2" xfId="12224"/>
    <cellStyle name="SAPBEXaggData" xfId="12225"/>
    <cellStyle name="SAPBEXaggData 2" xfId="12226"/>
    <cellStyle name="SAPBEXaggData 3" xfId="12227"/>
    <cellStyle name="SAPBEXaggData 4" xfId="12228"/>
    <cellStyle name="SAPBEXaggDataEmph" xfId="12229"/>
    <cellStyle name="SAPBEXaggDataEmph 2" xfId="12230"/>
    <cellStyle name="SAPBEXaggDataEmph 3" xfId="12231"/>
    <cellStyle name="SAPBEXaggDataEmph 4" xfId="12232"/>
    <cellStyle name="SAPBEXaggItem" xfId="12233"/>
    <cellStyle name="SAPBEXaggItem 2" xfId="12234"/>
    <cellStyle name="SAPBEXaggItem 3" xfId="12235"/>
    <cellStyle name="SAPBEXaggItem 4" xfId="12236"/>
    <cellStyle name="SAPBEXaggItemX" xfId="12237"/>
    <cellStyle name="SAPBEXaggItemX 2" xfId="12238"/>
    <cellStyle name="SAPBEXaggItemX 3" xfId="12239"/>
    <cellStyle name="SAPBEXaggItemX 4" xfId="12240"/>
    <cellStyle name="SAPBEXchaText" xfId="12241"/>
    <cellStyle name="SAPBEXchaText 2" xfId="12242"/>
    <cellStyle name="SAPBEXchaText 3" xfId="12243"/>
    <cellStyle name="SAPBEXchaText 4" xfId="12244"/>
    <cellStyle name="SAPBEXexcBad7" xfId="12245"/>
    <cellStyle name="SAPBEXexcBad7 2" xfId="12246"/>
    <cellStyle name="SAPBEXexcBad7 3" xfId="12247"/>
    <cellStyle name="SAPBEXexcBad7 4" xfId="12248"/>
    <cellStyle name="SAPBEXexcBad8" xfId="12249"/>
    <cellStyle name="SAPBEXexcBad8 2" xfId="12250"/>
    <cellStyle name="SAPBEXexcBad8 3" xfId="12251"/>
    <cellStyle name="SAPBEXexcBad8 4" xfId="12252"/>
    <cellStyle name="SAPBEXexcBad9" xfId="12253"/>
    <cellStyle name="SAPBEXexcBad9 2" xfId="12254"/>
    <cellStyle name="SAPBEXexcBad9 3" xfId="12255"/>
    <cellStyle name="SAPBEXexcBad9 4" xfId="12256"/>
    <cellStyle name="SAPBEXexcCritical4" xfId="12257"/>
    <cellStyle name="SAPBEXexcCritical4 2" xfId="12258"/>
    <cellStyle name="SAPBEXexcCritical4 3" xfId="12259"/>
    <cellStyle name="SAPBEXexcCritical4 4" xfId="12260"/>
    <cellStyle name="SAPBEXexcCritical5" xfId="12261"/>
    <cellStyle name="SAPBEXexcCritical5 2" xfId="12262"/>
    <cellStyle name="SAPBEXexcCritical5 3" xfId="12263"/>
    <cellStyle name="SAPBEXexcCritical5 4" xfId="12264"/>
    <cellStyle name="SAPBEXexcCritical6" xfId="12265"/>
    <cellStyle name="SAPBEXexcCritical6 2" xfId="12266"/>
    <cellStyle name="SAPBEXexcCritical6 3" xfId="12267"/>
    <cellStyle name="SAPBEXexcCritical6 4" xfId="12268"/>
    <cellStyle name="SAPBEXexcGood1" xfId="12269"/>
    <cellStyle name="SAPBEXexcGood1 2" xfId="12270"/>
    <cellStyle name="SAPBEXexcGood1 3" xfId="12271"/>
    <cellStyle name="SAPBEXexcGood1 4" xfId="12272"/>
    <cellStyle name="SAPBEXexcGood2" xfId="12273"/>
    <cellStyle name="SAPBEXexcGood2 2" xfId="12274"/>
    <cellStyle name="SAPBEXexcGood2 3" xfId="12275"/>
    <cellStyle name="SAPBEXexcGood2 4" xfId="12276"/>
    <cellStyle name="SAPBEXexcGood3" xfId="12277"/>
    <cellStyle name="SAPBEXexcGood3 2" xfId="12278"/>
    <cellStyle name="SAPBEXexcGood3 3" xfId="12279"/>
    <cellStyle name="SAPBEXexcGood3 4" xfId="12280"/>
    <cellStyle name="SAPBEXfilterDrill" xfId="12281"/>
    <cellStyle name="SAPBEXfilterDrill 2" xfId="12282"/>
    <cellStyle name="SAPBEXfilterDrill 3" xfId="12283"/>
    <cellStyle name="SAPBEXfilterDrill 4" xfId="12284"/>
    <cellStyle name="SAPBEXfilterItem" xfId="12285"/>
    <cellStyle name="SAPBEXfilterItem 2" xfId="12286"/>
    <cellStyle name="SAPBEXfilterText" xfId="12287"/>
    <cellStyle name="SAPBEXformats" xfId="12288"/>
    <cellStyle name="SAPBEXformats 2" xfId="12289"/>
    <cellStyle name="SAPBEXformats 3" xfId="12290"/>
    <cellStyle name="SAPBEXformats 4" xfId="12291"/>
    <cellStyle name="SAPBEXheaderItem" xfId="12292"/>
    <cellStyle name="SAPBEXheaderItem 2" xfId="12293"/>
    <cellStyle name="SAPBEXheaderItem 3" xfId="12294"/>
    <cellStyle name="SAPBEXheaderItem 4" xfId="12295"/>
    <cellStyle name="SAPBEXheaderText" xfId="12296"/>
    <cellStyle name="SAPBEXheaderText 2" xfId="12297"/>
    <cellStyle name="SAPBEXheaderText 3" xfId="12298"/>
    <cellStyle name="SAPBEXheaderText 4" xfId="12299"/>
    <cellStyle name="SAPBEXHLevel0" xfId="12300"/>
    <cellStyle name="SAPBEXHLevel0 2" xfId="12301"/>
    <cellStyle name="SAPBEXHLevel0 3" xfId="12302"/>
    <cellStyle name="SAPBEXHLevel0 4" xfId="12303"/>
    <cellStyle name="SAPBEXHLevel0X" xfId="12304"/>
    <cellStyle name="SAPBEXHLevel0X 2" xfId="12305"/>
    <cellStyle name="SAPBEXHLevel0X 3" xfId="12306"/>
    <cellStyle name="SAPBEXHLevel0X 4" xfId="12307"/>
    <cellStyle name="SAPBEXHLevel1" xfId="12308"/>
    <cellStyle name="SAPBEXHLevel1 2" xfId="12309"/>
    <cellStyle name="SAPBEXHLevel1 3" xfId="12310"/>
    <cellStyle name="SAPBEXHLevel1 4" xfId="12311"/>
    <cellStyle name="SAPBEXHLevel1X" xfId="12312"/>
    <cellStyle name="SAPBEXHLevel1X 2" xfId="12313"/>
    <cellStyle name="SAPBEXHLevel1X 3" xfId="12314"/>
    <cellStyle name="SAPBEXHLevel1X 4" xfId="12315"/>
    <cellStyle name="SAPBEXHLevel2" xfId="12316"/>
    <cellStyle name="SAPBEXHLevel2 2" xfId="12317"/>
    <cellStyle name="SAPBEXHLevel2 3" xfId="12318"/>
    <cellStyle name="SAPBEXHLevel2 4" xfId="12319"/>
    <cellStyle name="SAPBEXHLevel2X" xfId="12320"/>
    <cellStyle name="SAPBEXHLevel2X 2" xfId="12321"/>
    <cellStyle name="SAPBEXHLevel2X 3" xfId="12322"/>
    <cellStyle name="SAPBEXHLevel2X 4" xfId="12323"/>
    <cellStyle name="SAPBEXHLevel3" xfId="12324"/>
    <cellStyle name="SAPBEXHLevel3 2" xfId="12325"/>
    <cellStyle name="SAPBEXHLevel3 3" xfId="12326"/>
    <cellStyle name="SAPBEXHLevel3 4" xfId="12327"/>
    <cellStyle name="SAPBEXHLevel3X" xfId="12328"/>
    <cellStyle name="SAPBEXHLevel3X 2" xfId="12329"/>
    <cellStyle name="SAPBEXHLevel3X 3" xfId="12330"/>
    <cellStyle name="SAPBEXHLevel3X 4" xfId="12331"/>
    <cellStyle name="SAPBEXresData" xfId="12332"/>
    <cellStyle name="SAPBEXresData 2" xfId="12333"/>
    <cellStyle name="SAPBEXresData 3" xfId="12334"/>
    <cellStyle name="SAPBEXresData 4" xfId="12335"/>
    <cellStyle name="SAPBEXresDataEmph" xfId="12336"/>
    <cellStyle name="SAPBEXresDataEmph 2" xfId="12337"/>
    <cellStyle name="SAPBEXresDataEmph 3" xfId="12338"/>
    <cellStyle name="SAPBEXresDataEmph 4" xfId="12339"/>
    <cellStyle name="SAPBEXresItem" xfId="12340"/>
    <cellStyle name="SAPBEXresItem 2" xfId="12341"/>
    <cellStyle name="SAPBEXresItem 3" xfId="12342"/>
    <cellStyle name="SAPBEXresItem 4" xfId="12343"/>
    <cellStyle name="SAPBEXresItemX" xfId="12344"/>
    <cellStyle name="SAPBEXresItemX 2" xfId="12345"/>
    <cellStyle name="SAPBEXresItemX 3" xfId="12346"/>
    <cellStyle name="SAPBEXresItemX 4" xfId="12347"/>
    <cellStyle name="SAPBEXstdData" xfId="12348"/>
    <cellStyle name="SAPBEXstdData 2" xfId="12349"/>
    <cellStyle name="SAPBEXstdData 3" xfId="12350"/>
    <cellStyle name="SAPBEXstdData 4" xfId="12351"/>
    <cellStyle name="SAPBEXstdDataEmph" xfId="12352"/>
    <cellStyle name="SAPBEXstdDataEmph 2" xfId="12353"/>
    <cellStyle name="SAPBEXstdDataEmph 3" xfId="12354"/>
    <cellStyle name="SAPBEXstdDataEmph 4" xfId="12355"/>
    <cellStyle name="SAPBEXstdItem" xfId="12356"/>
    <cellStyle name="SAPBEXstdItem 2" xfId="12357"/>
    <cellStyle name="SAPBEXstdItem 3" xfId="12358"/>
    <cellStyle name="SAPBEXstdItem 4" xfId="12359"/>
    <cellStyle name="SAPBEXstdItemX" xfId="12360"/>
    <cellStyle name="SAPBEXstdItemX 2" xfId="12361"/>
    <cellStyle name="SAPBEXstdItemX 3" xfId="12362"/>
    <cellStyle name="SAPBEXstdItemX 4" xfId="12363"/>
    <cellStyle name="SAPBEXtitle" xfId="12364"/>
    <cellStyle name="SAPBEXundefined" xfId="12365"/>
    <cellStyle name="SAPBEXundefined 2" xfId="12366"/>
    <cellStyle name="SAPBEXundefined 3" xfId="12367"/>
    <cellStyle name="SAPBEXundefined 4" xfId="12368"/>
    <cellStyle name="sche|_x0005_" xfId="12369"/>
    <cellStyle name="SDentry" xfId="12370"/>
    <cellStyle name="SDentry 2" xfId="12371"/>
    <cellStyle name="SDentry 3" xfId="12372"/>
    <cellStyle name="SDentry 4" xfId="12373"/>
    <cellStyle name="SDheader" xfId="12374"/>
    <cellStyle name="SDheader 2" xfId="12375"/>
    <cellStyle name="SDheader 3" xfId="12376"/>
    <cellStyle name="SDheader 4" xfId="12377"/>
    <cellStyle name="section" xfId="12378"/>
    <cellStyle name="SHeader" xfId="12379"/>
    <cellStyle name="Standaard_BINV" xfId="12380"/>
    <cellStyle name="Standard_Aktenbewertung 1994" xfId="12381"/>
    <cellStyle name="Strike" xfId="12382"/>
    <cellStyle name="subhead" xfId="12383"/>
    <cellStyle name="Subtotal" xfId="12384"/>
    <cellStyle name="Tabelle Text 10" xfId="12385"/>
    <cellStyle name="Tabelle Text 10 Z" xfId="12386"/>
    <cellStyle name="Tabelle Text 11" xfId="12387"/>
    <cellStyle name="Tabelle Text 11 Z" xfId="12388"/>
    <cellStyle name="Tabelle Text 12" xfId="12389"/>
    <cellStyle name="Tabelle Text 12 Z" xfId="12390"/>
    <cellStyle name="Tabelle Text 8" xfId="12391"/>
    <cellStyle name="Tabelle Text 8 Z" xfId="12392"/>
    <cellStyle name="Tabelle Text 9" xfId="12393"/>
    <cellStyle name="Tabelle Text 9 Z" xfId="12394"/>
    <cellStyle name="Tabelle Überschrift 10" xfId="12395"/>
    <cellStyle name="Tabelle Überschrift 11" xfId="12396"/>
    <cellStyle name="Tabelle Überschrift 12" xfId="12397"/>
    <cellStyle name="Tabelle Überschrift 8" xfId="12398"/>
    <cellStyle name="Tabelle Überschrift 9" xfId="12399"/>
    <cellStyle name="Tabelle Zahl 0 10" xfId="12400"/>
    <cellStyle name="Tabelle Zahl 0 11" xfId="12401"/>
    <cellStyle name="Tabelle Zahl 0 12" xfId="12402"/>
    <cellStyle name="Tabelle Zahl 0 8" xfId="12403"/>
    <cellStyle name="Tabelle Zahl 0 9" xfId="12404"/>
    <cellStyle name="Tabelle Zahl 1 10" xfId="12405"/>
    <cellStyle name="Tabelle Zahl 1 11" xfId="12406"/>
    <cellStyle name="Tabelle Zahl 1 12" xfId="12407"/>
    <cellStyle name="Tabelle Zahl 1 8" xfId="12408"/>
    <cellStyle name="Tabelle Zahl 1 9" xfId="12409"/>
    <cellStyle name="Tabelle Zahl 2 10" xfId="12410"/>
    <cellStyle name="Tabelle Zahl 2 11" xfId="12411"/>
    <cellStyle name="Tabelle Zahl 2 12" xfId="12412"/>
    <cellStyle name="Tabelle Zahl 2 8" xfId="12413"/>
    <cellStyle name="Tabelle Zahl 2 9" xfId="12414"/>
    <cellStyle name="Table Head" xfId="12415"/>
    <cellStyle name="Table Head Aligned" xfId="12416"/>
    <cellStyle name="Table Head Blue" xfId="12417"/>
    <cellStyle name="Table Head Green" xfId="12418"/>
    <cellStyle name="Table Title" xfId="12419"/>
    <cellStyle name="Table Units" xfId="12420"/>
    <cellStyle name="Text Indent A" xfId="12421"/>
    <cellStyle name="Text Indent B" xfId="12422"/>
    <cellStyle name="Text Indent C" xfId="12423"/>
    <cellStyle name="text001" xfId="12424"/>
    <cellStyle name="text002" xfId="12425"/>
    <cellStyle name="þ_x001d_ð'&amp;Oy?Hy9_x0008__x000f__x0007_æ_x0007__x0007__x0001__x0001_" xfId="12426"/>
    <cellStyle name="þ_x001d_ð'&amp;Oy?Hy9_x0008_E_x000c_￠_x000d__x0007__x0001__x0001_" xfId="12427"/>
    <cellStyle name="Tickmark" xfId="12428"/>
    <cellStyle name="Times New Roman" xfId="12429"/>
    <cellStyle name="Title" xfId="12430"/>
    <cellStyle name="Title 2" xfId="13153"/>
    <cellStyle name="Titre colonne" xfId="12431"/>
    <cellStyle name="Titre general" xfId="12432"/>
    <cellStyle name="Titre lignes" xfId="12433"/>
    <cellStyle name="Titre tableau" xfId="12434"/>
    <cellStyle name="Total" xfId="67"/>
    <cellStyle name="Total 2" xfId="13154"/>
    <cellStyle name="Tusental (0)_RESULTS" xfId="12435"/>
    <cellStyle name="Tusental_RESULTS" xfId="12436"/>
    <cellStyle name="Überschrift 1" xfId="12437"/>
    <cellStyle name="Überschrift 2" xfId="12438"/>
    <cellStyle name="Überschrift 3" xfId="12439"/>
    <cellStyle name="Überschrift 3 2" xfId="12440"/>
    <cellStyle name="Überschrift 3 3" xfId="12441"/>
    <cellStyle name="Überschrift 3 4" xfId="12442"/>
    <cellStyle name="Überschrift 3 5" xfId="12443"/>
    <cellStyle name="Underline" xfId="12444"/>
    <cellStyle name="Unit" xfId="12445"/>
    <cellStyle name="Unprot" xfId="12446"/>
    <cellStyle name="Unprot$" xfId="12447"/>
    <cellStyle name="Unprotect" xfId="12448"/>
    <cellStyle name="Update" xfId="12449"/>
    <cellStyle name="Valuta (0)_2000 Sub C III quarterly" xfId="12450"/>
    <cellStyle name="Valuta [0]_BINV" xfId="12451"/>
    <cellStyle name="Valuta_2000 Sub C III quarterly" xfId="12452"/>
    <cellStyle name="VAR $ 0.00" xfId="12453"/>
    <cellStyle name="VAR Comma 0.00" xfId="12454"/>
    <cellStyle name="Vejica [0]_BINV" xfId="12455"/>
    <cellStyle name="Vejica_BINV" xfId="12456"/>
    <cellStyle name="Vertical" xfId="12457"/>
    <cellStyle name="W?rung [0]_Aktenbewertung 1994" xfId="12459"/>
    <cellStyle name="W?rung_Aktenbewertung 1994" xfId="12460"/>
    <cellStyle name="Währung [0]_2001 Sub A - 5.17.00" xfId="12461"/>
    <cellStyle name="Währung_2001 Sub A - 5.17.00" xfId="12462"/>
    <cellStyle name="Warning Text" xfId="12463"/>
    <cellStyle name="wrap" xfId="12464"/>
    <cellStyle name="XLS'|_x0005_t" xfId="12465"/>
    <cellStyle name="" xfId="12466"/>
    <cellStyle name="" xfId="12467"/>
    <cellStyle name="訶택?12월당월" xfId="8594"/>
    <cellStyle name="訶택?부문별" xfId="8595"/>
    <cellStyle name="강조색1" xfId="13173" builtinId="29" customBuiltin="1"/>
    <cellStyle name="강조색1 10" xfId="8596"/>
    <cellStyle name="강조색1 11" xfId="8597"/>
    <cellStyle name="강조색1 12" xfId="8598"/>
    <cellStyle name="강조색1 13" xfId="8599"/>
    <cellStyle name="강조색1 14" xfId="8600"/>
    <cellStyle name="강조색1 15" xfId="8601"/>
    <cellStyle name="강조색1 16" xfId="8602"/>
    <cellStyle name="강조색1 17" xfId="8603"/>
    <cellStyle name="강조색1 18" xfId="8604"/>
    <cellStyle name="강조색1 19" xfId="8605"/>
    <cellStyle name="강조색1 2" xfId="8606"/>
    <cellStyle name="강조색1 2 2" xfId="12920"/>
    <cellStyle name="강조색1 20" xfId="8607"/>
    <cellStyle name="강조색1 21" xfId="8608"/>
    <cellStyle name="강조색1 22" xfId="8609"/>
    <cellStyle name="강조색1 23" xfId="8610"/>
    <cellStyle name="강조색1 24" xfId="8611"/>
    <cellStyle name="강조색1 25" xfId="8612"/>
    <cellStyle name="강조색1 26" xfId="8613"/>
    <cellStyle name="강조색1 27" xfId="8614"/>
    <cellStyle name="강조색1 28" xfId="8615"/>
    <cellStyle name="강조색1 29" xfId="8616"/>
    <cellStyle name="강조색1 3" xfId="8617"/>
    <cellStyle name="강조색1 30" xfId="8618"/>
    <cellStyle name="강조색1 31" xfId="8619"/>
    <cellStyle name="강조색1 32" xfId="8620"/>
    <cellStyle name="강조색1 33" xfId="8621"/>
    <cellStyle name="강조색1 34" xfId="8622"/>
    <cellStyle name="강조색1 35" xfId="8623"/>
    <cellStyle name="강조색1 36" xfId="8624"/>
    <cellStyle name="강조색1 37" xfId="8625"/>
    <cellStyle name="강조색1 38" xfId="8626"/>
    <cellStyle name="강조색1 39" xfId="8627"/>
    <cellStyle name="강조색1 4" xfId="8628"/>
    <cellStyle name="강조색1 40" xfId="8629"/>
    <cellStyle name="강조색1 41" xfId="8630"/>
    <cellStyle name="강조색1 42" xfId="8631"/>
    <cellStyle name="강조색1 43" xfId="8632"/>
    <cellStyle name="강조색1 44" xfId="8633"/>
    <cellStyle name="강조색1 45" xfId="8634"/>
    <cellStyle name="강조색1 46" xfId="8635"/>
    <cellStyle name="강조색1 47" xfId="8636"/>
    <cellStyle name="강조색1 48" xfId="8637"/>
    <cellStyle name="강조색1 49" xfId="8638"/>
    <cellStyle name="강조색1 5" xfId="8639"/>
    <cellStyle name="강조색1 50" xfId="8640"/>
    <cellStyle name="강조색1 51" xfId="8641"/>
    <cellStyle name="강조색1 52" xfId="8642"/>
    <cellStyle name="강조색1 53" xfId="8643"/>
    <cellStyle name="강조색1 54" xfId="8644"/>
    <cellStyle name="강조색1 55" xfId="8645"/>
    <cellStyle name="강조색1 56" xfId="8646"/>
    <cellStyle name="강조색1 57" xfId="8647"/>
    <cellStyle name="강조색1 58" xfId="8648"/>
    <cellStyle name="강조색1 59" xfId="8649"/>
    <cellStyle name="강조색1 6" xfId="8650"/>
    <cellStyle name="강조색1 60" xfId="8651"/>
    <cellStyle name="강조색1 61" xfId="8652"/>
    <cellStyle name="강조색1 62" xfId="8653"/>
    <cellStyle name="강조색1 63" xfId="8654"/>
    <cellStyle name="강조색1 7" xfId="8655"/>
    <cellStyle name="강조색1 8" xfId="8656"/>
    <cellStyle name="강조색1 9" xfId="8657"/>
    <cellStyle name="강조색2" xfId="13177" builtinId="33" customBuiltin="1"/>
    <cellStyle name="강조색2 10" xfId="8658"/>
    <cellStyle name="강조색2 11" xfId="8659"/>
    <cellStyle name="강조색2 12" xfId="8660"/>
    <cellStyle name="강조색2 13" xfId="8661"/>
    <cellStyle name="강조색2 14" xfId="8662"/>
    <cellStyle name="강조색2 15" xfId="8663"/>
    <cellStyle name="강조색2 16" xfId="8664"/>
    <cellStyle name="강조색2 17" xfId="8665"/>
    <cellStyle name="강조색2 18" xfId="8666"/>
    <cellStyle name="강조색2 19" xfId="8667"/>
    <cellStyle name="강조색2 2" xfId="8668"/>
    <cellStyle name="강조색2 2 2" xfId="12921"/>
    <cellStyle name="강조색2 20" xfId="8669"/>
    <cellStyle name="강조색2 21" xfId="8670"/>
    <cellStyle name="강조색2 22" xfId="8671"/>
    <cellStyle name="강조색2 23" xfId="8672"/>
    <cellStyle name="강조색2 24" xfId="8673"/>
    <cellStyle name="강조색2 25" xfId="8674"/>
    <cellStyle name="강조색2 26" xfId="8675"/>
    <cellStyle name="강조색2 27" xfId="8676"/>
    <cellStyle name="강조색2 28" xfId="8677"/>
    <cellStyle name="강조색2 29" xfId="8678"/>
    <cellStyle name="강조색2 3" xfId="8679"/>
    <cellStyle name="강조색2 30" xfId="8680"/>
    <cellStyle name="강조색2 31" xfId="8681"/>
    <cellStyle name="강조색2 32" xfId="8682"/>
    <cellStyle name="강조색2 33" xfId="8683"/>
    <cellStyle name="강조색2 34" xfId="8684"/>
    <cellStyle name="강조색2 35" xfId="8685"/>
    <cellStyle name="강조색2 36" xfId="8686"/>
    <cellStyle name="강조색2 37" xfId="8687"/>
    <cellStyle name="강조색2 38" xfId="8688"/>
    <cellStyle name="강조색2 39" xfId="8689"/>
    <cellStyle name="강조색2 4" xfId="8690"/>
    <cellStyle name="강조색2 40" xfId="8691"/>
    <cellStyle name="강조색2 41" xfId="8692"/>
    <cellStyle name="강조색2 42" xfId="8693"/>
    <cellStyle name="강조색2 43" xfId="8694"/>
    <cellStyle name="강조색2 44" xfId="8695"/>
    <cellStyle name="강조색2 45" xfId="8696"/>
    <cellStyle name="강조색2 46" xfId="8697"/>
    <cellStyle name="강조색2 47" xfId="8698"/>
    <cellStyle name="강조색2 48" xfId="8699"/>
    <cellStyle name="강조색2 49" xfId="8700"/>
    <cellStyle name="강조색2 5" xfId="8701"/>
    <cellStyle name="강조색2 50" xfId="8702"/>
    <cellStyle name="강조색2 51" xfId="8703"/>
    <cellStyle name="강조색2 52" xfId="8704"/>
    <cellStyle name="강조색2 53" xfId="8705"/>
    <cellStyle name="강조색2 54" xfId="8706"/>
    <cellStyle name="강조색2 55" xfId="8707"/>
    <cellStyle name="강조색2 56" xfId="8708"/>
    <cellStyle name="강조색2 57" xfId="8709"/>
    <cellStyle name="강조색2 58" xfId="8710"/>
    <cellStyle name="강조색2 59" xfId="8711"/>
    <cellStyle name="강조색2 6" xfId="8712"/>
    <cellStyle name="강조색2 60" xfId="8713"/>
    <cellStyle name="강조색2 61" xfId="8714"/>
    <cellStyle name="강조색2 62" xfId="8715"/>
    <cellStyle name="강조색2 63" xfId="8716"/>
    <cellStyle name="강조색2 7" xfId="8717"/>
    <cellStyle name="강조색2 8" xfId="8718"/>
    <cellStyle name="강조색2 9" xfId="8719"/>
    <cellStyle name="강조색3" xfId="13181" builtinId="37" customBuiltin="1"/>
    <cellStyle name="강조색3 10" xfId="8720"/>
    <cellStyle name="강조색3 11" xfId="8721"/>
    <cellStyle name="강조색3 12" xfId="8722"/>
    <cellStyle name="강조색3 13" xfId="8723"/>
    <cellStyle name="강조색3 14" xfId="8724"/>
    <cellStyle name="강조색3 15" xfId="8725"/>
    <cellStyle name="강조색3 16" xfId="8726"/>
    <cellStyle name="강조색3 17" xfId="8727"/>
    <cellStyle name="강조색3 18" xfId="8728"/>
    <cellStyle name="강조색3 19" xfId="8729"/>
    <cellStyle name="강조색3 2" xfId="8730"/>
    <cellStyle name="강조색3 2 2" xfId="12922"/>
    <cellStyle name="강조색3 20" xfId="8731"/>
    <cellStyle name="강조색3 21" xfId="8732"/>
    <cellStyle name="강조색3 22" xfId="8733"/>
    <cellStyle name="강조색3 23" xfId="8734"/>
    <cellStyle name="강조색3 24" xfId="8735"/>
    <cellStyle name="강조색3 25" xfId="8736"/>
    <cellStyle name="강조색3 26" xfId="8737"/>
    <cellStyle name="강조색3 27" xfId="8738"/>
    <cellStyle name="강조색3 28" xfId="8739"/>
    <cellStyle name="강조색3 29" xfId="8740"/>
    <cellStyle name="강조색3 3" xfId="8741"/>
    <cellStyle name="강조색3 30" xfId="8742"/>
    <cellStyle name="강조색3 31" xfId="8743"/>
    <cellStyle name="강조색3 32" xfId="8744"/>
    <cellStyle name="강조색3 33" xfId="8745"/>
    <cellStyle name="강조색3 34" xfId="8746"/>
    <cellStyle name="강조색3 35" xfId="8747"/>
    <cellStyle name="강조색3 36" xfId="8748"/>
    <cellStyle name="강조색3 37" xfId="8749"/>
    <cellStyle name="강조색3 38" xfId="8750"/>
    <cellStyle name="강조색3 39" xfId="8751"/>
    <cellStyle name="강조색3 4" xfId="8752"/>
    <cellStyle name="강조색3 40" xfId="8753"/>
    <cellStyle name="강조색3 41" xfId="8754"/>
    <cellStyle name="강조색3 42" xfId="8755"/>
    <cellStyle name="강조색3 43" xfId="8756"/>
    <cellStyle name="강조색3 44" xfId="8757"/>
    <cellStyle name="강조색3 45" xfId="8758"/>
    <cellStyle name="강조색3 46" xfId="8759"/>
    <cellStyle name="강조색3 47" xfId="8760"/>
    <cellStyle name="강조색3 48" xfId="8761"/>
    <cellStyle name="강조색3 49" xfId="8762"/>
    <cellStyle name="강조색3 5" xfId="8763"/>
    <cellStyle name="강조색3 50" xfId="8764"/>
    <cellStyle name="강조색3 51" xfId="8765"/>
    <cellStyle name="강조색3 52" xfId="8766"/>
    <cellStyle name="강조색3 53" xfId="8767"/>
    <cellStyle name="강조색3 54" xfId="8768"/>
    <cellStyle name="강조색3 55" xfId="8769"/>
    <cellStyle name="강조색3 56" xfId="8770"/>
    <cellStyle name="강조색3 57" xfId="8771"/>
    <cellStyle name="강조색3 58" xfId="8772"/>
    <cellStyle name="강조색3 59" xfId="8773"/>
    <cellStyle name="강조색3 6" xfId="8774"/>
    <cellStyle name="강조색3 60" xfId="8775"/>
    <cellStyle name="강조색3 61" xfId="8776"/>
    <cellStyle name="강조색3 62" xfId="8777"/>
    <cellStyle name="강조색3 63" xfId="8778"/>
    <cellStyle name="강조색3 7" xfId="8779"/>
    <cellStyle name="강조색3 8" xfId="8780"/>
    <cellStyle name="강조색3 9" xfId="8781"/>
    <cellStyle name="강조색4" xfId="13185" builtinId="41" customBuiltin="1"/>
    <cellStyle name="강조색4 10" xfId="8782"/>
    <cellStyle name="강조색4 11" xfId="8783"/>
    <cellStyle name="강조색4 12" xfId="8784"/>
    <cellStyle name="강조색4 13" xfId="8785"/>
    <cellStyle name="강조색4 14" xfId="8786"/>
    <cellStyle name="강조색4 15" xfId="8787"/>
    <cellStyle name="강조색4 16" xfId="8788"/>
    <cellStyle name="강조색4 17" xfId="8789"/>
    <cellStyle name="강조색4 18" xfId="8790"/>
    <cellStyle name="강조색4 19" xfId="8791"/>
    <cellStyle name="강조색4 2" xfId="8792"/>
    <cellStyle name="강조색4 2 2" xfId="12923"/>
    <cellStyle name="강조색4 20" xfId="8793"/>
    <cellStyle name="강조색4 21" xfId="8794"/>
    <cellStyle name="강조색4 22" xfId="8795"/>
    <cellStyle name="강조색4 23" xfId="8796"/>
    <cellStyle name="강조색4 24" xfId="8797"/>
    <cellStyle name="강조색4 25" xfId="8798"/>
    <cellStyle name="강조색4 26" xfId="8799"/>
    <cellStyle name="강조색4 27" xfId="8800"/>
    <cellStyle name="강조색4 28" xfId="8801"/>
    <cellStyle name="강조색4 29" xfId="8802"/>
    <cellStyle name="강조색4 3" xfId="8803"/>
    <cellStyle name="강조색4 30" xfId="8804"/>
    <cellStyle name="강조색4 31" xfId="8805"/>
    <cellStyle name="강조색4 32" xfId="8806"/>
    <cellStyle name="강조색4 33" xfId="8807"/>
    <cellStyle name="강조색4 34" xfId="8808"/>
    <cellStyle name="강조색4 35" xfId="8809"/>
    <cellStyle name="강조색4 36" xfId="8810"/>
    <cellStyle name="강조색4 37" xfId="8811"/>
    <cellStyle name="강조색4 38" xfId="8812"/>
    <cellStyle name="강조색4 39" xfId="8813"/>
    <cellStyle name="강조색4 4" xfId="8814"/>
    <cellStyle name="강조색4 40" xfId="8815"/>
    <cellStyle name="강조색4 41" xfId="8816"/>
    <cellStyle name="강조색4 42" xfId="8817"/>
    <cellStyle name="강조색4 43" xfId="8818"/>
    <cellStyle name="강조색4 44" xfId="8819"/>
    <cellStyle name="강조색4 45" xfId="8820"/>
    <cellStyle name="강조색4 46" xfId="8821"/>
    <cellStyle name="강조색4 47" xfId="8822"/>
    <cellStyle name="강조색4 48" xfId="8823"/>
    <cellStyle name="강조색4 49" xfId="8824"/>
    <cellStyle name="강조색4 5" xfId="8825"/>
    <cellStyle name="강조색4 50" xfId="8826"/>
    <cellStyle name="강조색4 51" xfId="8827"/>
    <cellStyle name="강조색4 52" xfId="8828"/>
    <cellStyle name="강조색4 53" xfId="8829"/>
    <cellStyle name="강조색4 54" xfId="8830"/>
    <cellStyle name="강조색4 55" xfId="8831"/>
    <cellStyle name="강조색4 56" xfId="8832"/>
    <cellStyle name="강조색4 57" xfId="8833"/>
    <cellStyle name="강조색4 58" xfId="8834"/>
    <cellStyle name="강조색4 59" xfId="8835"/>
    <cellStyle name="강조색4 6" xfId="8836"/>
    <cellStyle name="강조색4 60" xfId="8837"/>
    <cellStyle name="강조색4 61" xfId="8838"/>
    <cellStyle name="강조색4 62" xfId="8839"/>
    <cellStyle name="강조색4 63" xfId="8840"/>
    <cellStyle name="강조색4 7" xfId="8841"/>
    <cellStyle name="강조색4 8" xfId="8842"/>
    <cellStyle name="강조색4 9" xfId="8843"/>
    <cellStyle name="강조색5" xfId="13189" builtinId="45" customBuiltin="1"/>
    <cellStyle name="강조색5 10" xfId="8844"/>
    <cellStyle name="강조색5 11" xfId="8845"/>
    <cellStyle name="강조색5 12" xfId="8846"/>
    <cellStyle name="강조색5 13" xfId="8847"/>
    <cellStyle name="강조색5 14" xfId="8848"/>
    <cellStyle name="강조색5 15" xfId="8849"/>
    <cellStyle name="강조색5 16" xfId="8850"/>
    <cellStyle name="강조색5 17" xfId="8851"/>
    <cellStyle name="강조색5 18" xfId="8852"/>
    <cellStyle name="강조색5 19" xfId="8853"/>
    <cellStyle name="강조색5 2" xfId="8854"/>
    <cellStyle name="강조색5 2 2" xfId="12924"/>
    <cellStyle name="강조색5 20" xfId="8855"/>
    <cellStyle name="강조색5 21" xfId="8856"/>
    <cellStyle name="강조색5 22" xfId="8857"/>
    <cellStyle name="강조색5 23" xfId="8858"/>
    <cellStyle name="강조색5 24" xfId="8859"/>
    <cellStyle name="강조색5 25" xfId="8860"/>
    <cellStyle name="강조색5 26" xfId="8861"/>
    <cellStyle name="강조색5 27" xfId="8862"/>
    <cellStyle name="강조색5 28" xfId="8863"/>
    <cellStyle name="강조색5 29" xfId="8864"/>
    <cellStyle name="강조색5 3" xfId="8865"/>
    <cellStyle name="강조색5 30" xfId="8866"/>
    <cellStyle name="강조색5 31" xfId="8867"/>
    <cellStyle name="강조색5 32" xfId="8868"/>
    <cellStyle name="강조색5 33" xfId="8869"/>
    <cellStyle name="강조색5 34" xfId="8870"/>
    <cellStyle name="강조색5 35" xfId="8871"/>
    <cellStyle name="강조색5 36" xfId="8872"/>
    <cellStyle name="강조색5 37" xfId="8873"/>
    <cellStyle name="강조색5 38" xfId="8874"/>
    <cellStyle name="강조색5 39" xfId="8875"/>
    <cellStyle name="강조색5 4" xfId="8876"/>
    <cellStyle name="강조색5 40" xfId="8877"/>
    <cellStyle name="강조색5 41" xfId="8878"/>
    <cellStyle name="강조색5 42" xfId="8879"/>
    <cellStyle name="강조색5 43" xfId="8880"/>
    <cellStyle name="강조색5 44" xfId="8881"/>
    <cellStyle name="강조색5 45" xfId="8882"/>
    <cellStyle name="강조색5 46" xfId="8883"/>
    <cellStyle name="강조색5 47" xfId="8884"/>
    <cellStyle name="강조색5 48" xfId="8885"/>
    <cellStyle name="강조색5 49" xfId="8886"/>
    <cellStyle name="강조색5 5" xfId="8887"/>
    <cellStyle name="강조색5 50" xfId="8888"/>
    <cellStyle name="강조색5 51" xfId="8889"/>
    <cellStyle name="강조색5 52" xfId="8890"/>
    <cellStyle name="강조색5 53" xfId="8891"/>
    <cellStyle name="강조색5 54" xfId="8892"/>
    <cellStyle name="강조색5 55" xfId="8893"/>
    <cellStyle name="강조색5 56" xfId="8894"/>
    <cellStyle name="강조색5 57" xfId="8895"/>
    <cellStyle name="강조색5 58" xfId="8896"/>
    <cellStyle name="강조색5 59" xfId="8897"/>
    <cellStyle name="강조색5 6" xfId="8898"/>
    <cellStyle name="강조색5 60" xfId="8899"/>
    <cellStyle name="강조색5 61" xfId="8900"/>
    <cellStyle name="강조색5 62" xfId="8901"/>
    <cellStyle name="강조색5 63" xfId="8902"/>
    <cellStyle name="강조색5 7" xfId="8903"/>
    <cellStyle name="강조색5 8" xfId="8904"/>
    <cellStyle name="강조색5 9" xfId="8905"/>
    <cellStyle name="강조색6" xfId="13193" builtinId="49" customBuiltin="1"/>
    <cellStyle name="강조색6 10" xfId="8906"/>
    <cellStyle name="강조색6 11" xfId="8907"/>
    <cellStyle name="강조색6 12" xfId="8908"/>
    <cellStyle name="강조색6 13" xfId="8909"/>
    <cellStyle name="강조색6 14" xfId="8910"/>
    <cellStyle name="강조색6 15" xfId="8911"/>
    <cellStyle name="강조색6 16" xfId="8912"/>
    <cellStyle name="강조색6 17" xfId="8913"/>
    <cellStyle name="강조색6 18" xfId="8914"/>
    <cellStyle name="강조색6 19" xfId="8915"/>
    <cellStyle name="강조색6 2" xfId="8916"/>
    <cellStyle name="강조색6 2 2" xfId="12925"/>
    <cellStyle name="강조색6 20" xfId="8917"/>
    <cellStyle name="강조색6 21" xfId="8918"/>
    <cellStyle name="강조색6 22" xfId="8919"/>
    <cellStyle name="강조색6 23" xfId="8920"/>
    <cellStyle name="강조색6 24" xfId="8921"/>
    <cellStyle name="강조색6 25" xfId="8922"/>
    <cellStyle name="강조색6 26" xfId="8923"/>
    <cellStyle name="강조색6 27" xfId="8924"/>
    <cellStyle name="강조색6 28" xfId="8925"/>
    <cellStyle name="강조색6 29" xfId="8926"/>
    <cellStyle name="강조색6 3" xfId="8927"/>
    <cellStyle name="강조색6 30" xfId="8928"/>
    <cellStyle name="강조색6 31" xfId="8929"/>
    <cellStyle name="강조색6 32" xfId="8930"/>
    <cellStyle name="강조색6 33" xfId="8931"/>
    <cellStyle name="강조색6 34" xfId="8932"/>
    <cellStyle name="강조색6 35" xfId="8933"/>
    <cellStyle name="강조색6 36" xfId="8934"/>
    <cellStyle name="강조색6 37" xfId="8935"/>
    <cellStyle name="강조색6 38" xfId="8936"/>
    <cellStyle name="강조색6 39" xfId="8937"/>
    <cellStyle name="강조색6 4" xfId="8938"/>
    <cellStyle name="강조색6 40" xfId="8939"/>
    <cellStyle name="강조색6 41" xfId="8940"/>
    <cellStyle name="강조색6 42" xfId="8941"/>
    <cellStyle name="강조색6 43" xfId="8942"/>
    <cellStyle name="강조색6 44" xfId="8943"/>
    <cellStyle name="강조색6 45" xfId="8944"/>
    <cellStyle name="강조색6 46" xfId="8945"/>
    <cellStyle name="강조색6 47" xfId="8946"/>
    <cellStyle name="강조색6 48" xfId="8947"/>
    <cellStyle name="강조색6 49" xfId="8948"/>
    <cellStyle name="강조색6 5" xfId="8949"/>
    <cellStyle name="강조색6 50" xfId="8950"/>
    <cellStyle name="강조색6 51" xfId="8951"/>
    <cellStyle name="강조색6 52" xfId="8952"/>
    <cellStyle name="강조색6 53" xfId="8953"/>
    <cellStyle name="강조색6 54" xfId="8954"/>
    <cellStyle name="강조색6 55" xfId="8955"/>
    <cellStyle name="강조색6 56" xfId="8956"/>
    <cellStyle name="강조색6 57" xfId="8957"/>
    <cellStyle name="강조색6 58" xfId="8958"/>
    <cellStyle name="강조색6 59" xfId="8959"/>
    <cellStyle name="강조색6 6" xfId="8960"/>
    <cellStyle name="강조색6 60" xfId="8961"/>
    <cellStyle name="강조색6 61" xfId="8962"/>
    <cellStyle name="강조색6 62" xfId="8963"/>
    <cellStyle name="강조색6 63" xfId="8964"/>
    <cellStyle name="강조색6 7" xfId="8965"/>
    <cellStyle name="강조색6 8" xfId="8966"/>
    <cellStyle name="강조색6 9" xfId="8967"/>
    <cellStyle name="경고문" xfId="13169" builtinId="11" customBuiltin="1"/>
    <cellStyle name="경고문 10" xfId="8968"/>
    <cellStyle name="경고문 11" xfId="8969"/>
    <cellStyle name="경고문 12" xfId="8970"/>
    <cellStyle name="경고문 13" xfId="8971"/>
    <cellStyle name="경고문 14" xfId="8972"/>
    <cellStyle name="경고문 15" xfId="8973"/>
    <cellStyle name="경고문 16" xfId="8974"/>
    <cellStyle name="경고문 17" xfId="8975"/>
    <cellStyle name="경고문 18" xfId="8976"/>
    <cellStyle name="경고문 19" xfId="8977"/>
    <cellStyle name="경고문 2" xfId="8978"/>
    <cellStyle name="경고문 2 2" xfId="12926"/>
    <cellStyle name="경고문 20" xfId="8979"/>
    <cellStyle name="경고문 21" xfId="8980"/>
    <cellStyle name="경고문 22" xfId="8981"/>
    <cellStyle name="경고문 23" xfId="8982"/>
    <cellStyle name="경고문 24" xfId="8983"/>
    <cellStyle name="경고문 25" xfId="8984"/>
    <cellStyle name="경고문 26" xfId="8985"/>
    <cellStyle name="경고문 27" xfId="8986"/>
    <cellStyle name="경고문 28" xfId="8987"/>
    <cellStyle name="경고문 29" xfId="8988"/>
    <cellStyle name="경고문 3" xfId="8989"/>
    <cellStyle name="경고문 30" xfId="8990"/>
    <cellStyle name="경고문 31" xfId="8991"/>
    <cellStyle name="경고문 32" xfId="8992"/>
    <cellStyle name="경고문 33" xfId="8993"/>
    <cellStyle name="경고문 34" xfId="8994"/>
    <cellStyle name="경고문 35" xfId="8995"/>
    <cellStyle name="경고문 36" xfId="8996"/>
    <cellStyle name="경고문 37" xfId="8997"/>
    <cellStyle name="경고문 38" xfId="8998"/>
    <cellStyle name="경고문 39" xfId="8999"/>
    <cellStyle name="경고문 4" xfId="9000"/>
    <cellStyle name="경고문 40" xfId="9001"/>
    <cellStyle name="경고문 41" xfId="9002"/>
    <cellStyle name="경고문 42" xfId="9003"/>
    <cellStyle name="경고문 43" xfId="9004"/>
    <cellStyle name="경고문 44" xfId="9005"/>
    <cellStyle name="경고문 45" xfId="9006"/>
    <cellStyle name="경고문 46" xfId="9007"/>
    <cellStyle name="경고문 47" xfId="9008"/>
    <cellStyle name="경고문 48" xfId="9009"/>
    <cellStyle name="경고문 49" xfId="9010"/>
    <cellStyle name="경고문 5" xfId="9011"/>
    <cellStyle name="경고문 50" xfId="9012"/>
    <cellStyle name="경고문 51" xfId="9013"/>
    <cellStyle name="경고문 52" xfId="9014"/>
    <cellStyle name="경고문 53" xfId="9015"/>
    <cellStyle name="경고문 54" xfId="9016"/>
    <cellStyle name="경고문 55" xfId="9017"/>
    <cellStyle name="경고문 56" xfId="9018"/>
    <cellStyle name="경고문 57" xfId="9019"/>
    <cellStyle name="경고문 58" xfId="9020"/>
    <cellStyle name="경고문 59" xfId="9021"/>
    <cellStyle name="경고문 6" xfId="9022"/>
    <cellStyle name="경고문 60" xfId="9023"/>
    <cellStyle name="경고문 61" xfId="9024"/>
    <cellStyle name="경고문 62" xfId="9025"/>
    <cellStyle name="경고문 63" xfId="9026"/>
    <cellStyle name="경고문 7" xfId="9027"/>
    <cellStyle name="경고문 8" xfId="9028"/>
    <cellStyle name="경고문 9" xfId="9029"/>
    <cellStyle name="계산" xfId="13166" builtinId="22" customBuiltin="1"/>
    <cellStyle name="계산 10" xfId="9030"/>
    <cellStyle name="계산 10 2" xfId="9031"/>
    <cellStyle name="계산 10 3" xfId="9032"/>
    <cellStyle name="계산 10 4" xfId="9033"/>
    <cellStyle name="계산 11" xfId="9034"/>
    <cellStyle name="계산 11 2" xfId="9035"/>
    <cellStyle name="계산 11 3" xfId="9036"/>
    <cellStyle name="계산 11 4" xfId="9037"/>
    <cellStyle name="계산 12" xfId="9038"/>
    <cellStyle name="계산 12 2" xfId="9039"/>
    <cellStyle name="계산 12 3" xfId="9040"/>
    <cellStyle name="계산 12 4" xfId="9041"/>
    <cellStyle name="계산 13" xfId="9042"/>
    <cellStyle name="계산 13 2" xfId="9043"/>
    <cellStyle name="계산 13 3" xfId="9044"/>
    <cellStyle name="계산 13 4" xfId="9045"/>
    <cellStyle name="계산 14" xfId="9046"/>
    <cellStyle name="계산 14 2" xfId="9047"/>
    <cellStyle name="계산 14 3" xfId="9048"/>
    <cellStyle name="계산 14 4" xfId="9049"/>
    <cellStyle name="계산 15" xfId="9050"/>
    <cellStyle name="계산 15 2" xfId="9051"/>
    <cellStyle name="계산 15 3" xfId="9052"/>
    <cellStyle name="계산 15 4" xfId="9053"/>
    <cellStyle name="계산 16" xfId="9054"/>
    <cellStyle name="계산 16 2" xfId="9055"/>
    <cellStyle name="계산 16 3" xfId="9056"/>
    <cellStyle name="계산 16 4" xfId="9057"/>
    <cellStyle name="계산 17" xfId="9058"/>
    <cellStyle name="계산 17 2" xfId="9059"/>
    <cellStyle name="계산 17 3" xfId="9060"/>
    <cellStyle name="계산 17 4" xfId="9061"/>
    <cellStyle name="계산 18" xfId="9062"/>
    <cellStyle name="계산 18 2" xfId="9063"/>
    <cellStyle name="계산 18 3" xfId="9064"/>
    <cellStyle name="계산 18 4" xfId="9065"/>
    <cellStyle name="계산 19" xfId="9066"/>
    <cellStyle name="계산 19 2" xfId="9067"/>
    <cellStyle name="계산 19 3" xfId="9068"/>
    <cellStyle name="계산 19 4" xfId="9069"/>
    <cellStyle name="계산 2" xfId="9070"/>
    <cellStyle name="계산 2 2" xfId="9071"/>
    <cellStyle name="계산 2 3" xfId="9072"/>
    <cellStyle name="계산 2 4" xfId="9073"/>
    <cellStyle name="계산 2 5" xfId="12927"/>
    <cellStyle name="계산 20" xfId="9074"/>
    <cellStyle name="계산 20 2" xfId="9075"/>
    <cellStyle name="계산 20 3" xfId="9076"/>
    <cellStyle name="계산 20 4" xfId="9077"/>
    <cellStyle name="계산 21" xfId="9078"/>
    <cellStyle name="계산 21 2" xfId="9079"/>
    <cellStyle name="계산 21 3" xfId="9080"/>
    <cellStyle name="계산 21 4" xfId="9081"/>
    <cellStyle name="계산 22" xfId="9082"/>
    <cellStyle name="계산 22 2" xfId="9083"/>
    <cellStyle name="계산 22 3" xfId="9084"/>
    <cellStyle name="계산 22 4" xfId="9085"/>
    <cellStyle name="계산 23" xfId="9086"/>
    <cellStyle name="계산 23 2" xfId="9087"/>
    <cellStyle name="계산 23 3" xfId="9088"/>
    <cellStyle name="계산 23 4" xfId="9089"/>
    <cellStyle name="계산 24" xfId="9090"/>
    <cellStyle name="계산 24 2" xfId="9091"/>
    <cellStyle name="계산 24 3" xfId="9092"/>
    <cellStyle name="계산 24 4" xfId="9093"/>
    <cellStyle name="계산 25" xfId="9094"/>
    <cellStyle name="계산 25 2" xfId="9095"/>
    <cellStyle name="계산 25 3" xfId="9096"/>
    <cellStyle name="계산 25 4" xfId="9097"/>
    <cellStyle name="계산 26" xfId="9098"/>
    <cellStyle name="계산 26 2" xfId="9099"/>
    <cellStyle name="계산 26 3" xfId="9100"/>
    <cellStyle name="계산 26 4" xfId="9101"/>
    <cellStyle name="계산 27" xfId="9102"/>
    <cellStyle name="계산 27 2" xfId="9103"/>
    <cellStyle name="계산 27 3" xfId="9104"/>
    <cellStyle name="계산 27 4" xfId="9105"/>
    <cellStyle name="계산 28" xfId="9106"/>
    <cellStyle name="계산 28 2" xfId="9107"/>
    <cellStyle name="계산 28 3" xfId="9108"/>
    <cellStyle name="계산 28 4" xfId="9109"/>
    <cellStyle name="계산 29" xfId="9110"/>
    <cellStyle name="계산 29 2" xfId="9111"/>
    <cellStyle name="계산 29 3" xfId="9112"/>
    <cellStyle name="계산 29 4" xfId="9113"/>
    <cellStyle name="계산 3" xfId="9114"/>
    <cellStyle name="계산 3 2" xfId="9115"/>
    <cellStyle name="계산 3 3" xfId="9116"/>
    <cellStyle name="계산 3 4" xfId="9117"/>
    <cellStyle name="계산 30" xfId="9118"/>
    <cellStyle name="계산 30 2" xfId="9119"/>
    <cellStyle name="계산 30 3" xfId="9120"/>
    <cellStyle name="계산 30 4" xfId="9121"/>
    <cellStyle name="계산 31" xfId="9122"/>
    <cellStyle name="계산 31 2" xfId="9123"/>
    <cellStyle name="계산 31 3" xfId="9124"/>
    <cellStyle name="계산 31 4" xfId="9125"/>
    <cellStyle name="계산 32" xfId="9126"/>
    <cellStyle name="계산 32 2" xfId="9127"/>
    <cellStyle name="계산 32 3" xfId="9128"/>
    <cellStyle name="계산 32 4" xfId="9129"/>
    <cellStyle name="계산 33" xfId="9130"/>
    <cellStyle name="계산 33 2" xfId="9131"/>
    <cellStyle name="계산 33 3" xfId="9132"/>
    <cellStyle name="계산 33 4" xfId="9133"/>
    <cellStyle name="계산 34" xfId="9134"/>
    <cellStyle name="계산 34 2" xfId="9135"/>
    <cellStyle name="계산 34 3" xfId="9136"/>
    <cellStyle name="계산 34 4" xfId="9137"/>
    <cellStyle name="계산 35" xfId="9138"/>
    <cellStyle name="계산 35 2" xfId="9139"/>
    <cellStyle name="계산 35 3" xfId="9140"/>
    <cellStyle name="계산 35 4" xfId="9141"/>
    <cellStyle name="계산 36" xfId="9142"/>
    <cellStyle name="계산 36 2" xfId="9143"/>
    <cellStyle name="계산 36 3" xfId="9144"/>
    <cellStyle name="계산 36 4" xfId="9145"/>
    <cellStyle name="계산 37" xfId="9146"/>
    <cellStyle name="계산 37 2" xfId="9147"/>
    <cellStyle name="계산 37 3" xfId="9148"/>
    <cellStyle name="계산 37 4" xfId="9149"/>
    <cellStyle name="계산 38" xfId="9150"/>
    <cellStyle name="계산 38 2" xfId="9151"/>
    <cellStyle name="계산 38 3" xfId="9152"/>
    <cellStyle name="계산 38 4" xfId="9153"/>
    <cellStyle name="계산 39" xfId="9154"/>
    <cellStyle name="계산 39 2" xfId="9155"/>
    <cellStyle name="계산 39 3" xfId="9156"/>
    <cellStyle name="계산 39 4" xfId="9157"/>
    <cellStyle name="계산 4" xfId="9158"/>
    <cellStyle name="계산 4 2" xfId="9159"/>
    <cellStyle name="계산 4 3" xfId="9160"/>
    <cellStyle name="계산 4 4" xfId="9161"/>
    <cellStyle name="계산 40" xfId="9162"/>
    <cellStyle name="계산 40 2" xfId="9163"/>
    <cellStyle name="계산 40 3" xfId="9164"/>
    <cellStyle name="계산 40 4" xfId="9165"/>
    <cellStyle name="계산 41" xfId="9166"/>
    <cellStyle name="계산 41 2" xfId="9167"/>
    <cellStyle name="계산 41 3" xfId="9168"/>
    <cellStyle name="계산 41 4" xfId="9169"/>
    <cellStyle name="계산 42" xfId="9170"/>
    <cellStyle name="계산 42 2" xfId="9171"/>
    <cellStyle name="계산 42 3" xfId="9172"/>
    <cellStyle name="계산 42 4" xfId="9173"/>
    <cellStyle name="계산 43" xfId="9174"/>
    <cellStyle name="계산 43 2" xfId="9175"/>
    <cellStyle name="계산 43 3" xfId="9176"/>
    <cellStyle name="계산 43 4" xfId="9177"/>
    <cellStyle name="계산 44" xfId="9178"/>
    <cellStyle name="계산 44 2" xfId="9179"/>
    <cellStyle name="계산 44 3" xfId="9180"/>
    <cellStyle name="계산 44 4" xfId="9181"/>
    <cellStyle name="계산 45" xfId="9182"/>
    <cellStyle name="계산 45 2" xfId="9183"/>
    <cellStyle name="계산 45 3" xfId="9184"/>
    <cellStyle name="계산 45 4" xfId="9185"/>
    <cellStyle name="계산 46" xfId="9186"/>
    <cellStyle name="계산 46 2" xfId="9187"/>
    <cellStyle name="계산 46 3" xfId="9188"/>
    <cellStyle name="계산 46 4" xfId="9189"/>
    <cellStyle name="계산 47" xfId="9190"/>
    <cellStyle name="계산 47 2" xfId="9191"/>
    <cellStyle name="계산 47 3" xfId="9192"/>
    <cellStyle name="계산 47 4" xfId="9193"/>
    <cellStyle name="계산 48" xfId="9194"/>
    <cellStyle name="계산 48 2" xfId="9195"/>
    <cellStyle name="계산 48 3" xfId="9196"/>
    <cellStyle name="계산 48 4" xfId="9197"/>
    <cellStyle name="계산 49" xfId="9198"/>
    <cellStyle name="계산 49 2" xfId="9199"/>
    <cellStyle name="계산 49 3" xfId="9200"/>
    <cellStyle name="계산 49 4" xfId="9201"/>
    <cellStyle name="계산 5" xfId="9202"/>
    <cellStyle name="계산 5 2" xfId="9203"/>
    <cellStyle name="계산 5 3" xfId="9204"/>
    <cellStyle name="계산 5 4" xfId="9205"/>
    <cellStyle name="계산 50" xfId="9206"/>
    <cellStyle name="계산 50 2" xfId="9207"/>
    <cellStyle name="계산 50 3" xfId="9208"/>
    <cellStyle name="계산 50 4" xfId="9209"/>
    <cellStyle name="계산 51" xfId="9210"/>
    <cellStyle name="계산 51 2" xfId="9211"/>
    <cellStyle name="계산 51 3" xfId="9212"/>
    <cellStyle name="계산 51 4" xfId="9213"/>
    <cellStyle name="계산 52" xfId="9214"/>
    <cellStyle name="계산 52 2" xfId="9215"/>
    <cellStyle name="계산 52 3" xfId="9216"/>
    <cellStyle name="계산 52 4" xfId="9217"/>
    <cellStyle name="계산 53" xfId="9218"/>
    <cellStyle name="계산 53 2" xfId="9219"/>
    <cellStyle name="계산 53 3" xfId="9220"/>
    <cellStyle name="계산 53 4" xfId="9221"/>
    <cellStyle name="계산 54" xfId="9222"/>
    <cellStyle name="계산 54 2" xfId="9223"/>
    <cellStyle name="계산 54 3" xfId="9224"/>
    <cellStyle name="계산 54 4" xfId="9225"/>
    <cellStyle name="계산 55" xfId="9226"/>
    <cellStyle name="계산 55 2" xfId="9227"/>
    <cellStyle name="계산 55 3" xfId="9228"/>
    <cellStyle name="계산 55 4" xfId="9229"/>
    <cellStyle name="계산 56" xfId="9230"/>
    <cellStyle name="계산 56 2" xfId="9231"/>
    <cellStyle name="계산 56 3" xfId="9232"/>
    <cellStyle name="계산 56 4" xfId="9233"/>
    <cellStyle name="계산 57" xfId="9234"/>
    <cellStyle name="계산 57 2" xfId="9235"/>
    <cellStyle name="계산 57 3" xfId="9236"/>
    <cellStyle name="계산 57 4" xfId="9237"/>
    <cellStyle name="계산 58" xfId="9238"/>
    <cellStyle name="계산 58 2" xfId="9239"/>
    <cellStyle name="계산 58 3" xfId="9240"/>
    <cellStyle name="계산 58 4" xfId="9241"/>
    <cellStyle name="계산 59" xfId="9242"/>
    <cellStyle name="계산 59 2" xfId="9243"/>
    <cellStyle name="계산 59 3" xfId="9244"/>
    <cellStyle name="계산 59 4" xfId="9245"/>
    <cellStyle name="계산 6" xfId="9246"/>
    <cellStyle name="계산 6 2" xfId="9247"/>
    <cellStyle name="계산 6 3" xfId="9248"/>
    <cellStyle name="계산 6 4" xfId="9249"/>
    <cellStyle name="계산 60" xfId="9250"/>
    <cellStyle name="계산 60 2" xfId="9251"/>
    <cellStyle name="계산 60 3" xfId="9252"/>
    <cellStyle name="계산 60 4" xfId="9253"/>
    <cellStyle name="계산 61" xfId="9254"/>
    <cellStyle name="계산 61 2" xfId="9255"/>
    <cellStyle name="계산 61 3" xfId="9256"/>
    <cellStyle name="계산 61 4" xfId="9257"/>
    <cellStyle name="계산 62" xfId="9258"/>
    <cellStyle name="계산 62 2" xfId="9259"/>
    <cellStyle name="계산 62 3" xfId="9260"/>
    <cellStyle name="계산 62 4" xfId="9261"/>
    <cellStyle name="계산 63" xfId="9262"/>
    <cellStyle name="계산 63 2" xfId="9263"/>
    <cellStyle name="계산 63 3" xfId="9264"/>
    <cellStyle name="계산 63 4" xfId="9265"/>
    <cellStyle name="계산 7" xfId="9266"/>
    <cellStyle name="계산 7 2" xfId="9267"/>
    <cellStyle name="계산 7 3" xfId="9268"/>
    <cellStyle name="계산 7 4" xfId="9269"/>
    <cellStyle name="계산 8" xfId="9270"/>
    <cellStyle name="계산 8 2" xfId="9271"/>
    <cellStyle name="계산 8 3" xfId="9272"/>
    <cellStyle name="계산 8 4" xfId="9273"/>
    <cellStyle name="계산 9" xfId="9274"/>
    <cellStyle name="계산 9 2" xfId="9275"/>
    <cellStyle name="계산 9 3" xfId="9276"/>
    <cellStyle name="계산 9 4" xfId="9277"/>
    <cellStyle name="계약유지" xfId="9278"/>
    <cellStyle name="고정소 - 유형2" xfId="9279"/>
    <cellStyle name="고정소숫점" xfId="9280"/>
    <cellStyle name="고정출력1" xfId="9281"/>
    <cellStyle name="고정출력2" xfId="9282"/>
    <cellStyle name="과립" xfId="9283"/>
    <cellStyle name="괄(계정)" xfId="9284"/>
    <cellStyle name="咬訌裝?INCOM1" xfId="9285"/>
    <cellStyle name="咬訌裝?INCOM10" xfId="9286"/>
    <cellStyle name="咬訌裝?INCOM2" xfId="9287"/>
    <cellStyle name="咬訌裝?INCOM3" xfId="9288"/>
    <cellStyle name="咬訌裝?INCOM4" xfId="9289"/>
    <cellStyle name="咬訌裝?INCOM5" xfId="9290"/>
    <cellStyle name="咬訌裝?INCOM6" xfId="9291"/>
    <cellStyle name="咬訌裝?INCOM7" xfId="9292"/>
    <cellStyle name="咬訌裝?INCOM8" xfId="9293"/>
    <cellStyle name="咬訌裝?INCOM9" xfId="9294"/>
    <cellStyle name="咬訌裝?PRIB11" xfId="9295"/>
    <cellStyle name="咬訌裝?report-2 " xfId="9296"/>
    <cellStyle name="归盒啦_95" xfId="11778"/>
    <cellStyle name="글꼴" xfId="9297"/>
    <cellStyle name="금액" xfId="9298"/>
    <cellStyle name="금액 2" xfId="9299"/>
    <cellStyle name="금액 2 2" xfId="9300"/>
    <cellStyle name="금액 2 3" xfId="9301"/>
    <cellStyle name="금액 2 4" xfId="9302"/>
    <cellStyle name="금액 2 5" xfId="9303"/>
    <cellStyle name="기본" xfId="9304"/>
    <cellStyle name="나쁨" xfId="13162" builtinId="27" customBuiltin="1"/>
    <cellStyle name="나쁨 10" xfId="9305"/>
    <cellStyle name="나쁨 11" xfId="9306"/>
    <cellStyle name="나쁨 12" xfId="9307"/>
    <cellStyle name="나쁨 13" xfId="9308"/>
    <cellStyle name="나쁨 14" xfId="9309"/>
    <cellStyle name="나쁨 15" xfId="9310"/>
    <cellStyle name="나쁨 16" xfId="9311"/>
    <cellStyle name="나쁨 17" xfId="9312"/>
    <cellStyle name="나쁨 18" xfId="9313"/>
    <cellStyle name="나쁨 19" xfId="9314"/>
    <cellStyle name="나쁨 2" xfId="9315"/>
    <cellStyle name="나쁨 2 2" xfId="12928"/>
    <cellStyle name="나쁨 20" xfId="9316"/>
    <cellStyle name="나쁨 21" xfId="9317"/>
    <cellStyle name="나쁨 22" xfId="9318"/>
    <cellStyle name="나쁨 23" xfId="9319"/>
    <cellStyle name="나쁨 24" xfId="9320"/>
    <cellStyle name="나쁨 25" xfId="9321"/>
    <cellStyle name="나쁨 26" xfId="9322"/>
    <cellStyle name="나쁨 27" xfId="9323"/>
    <cellStyle name="나쁨 28" xfId="9324"/>
    <cellStyle name="나쁨 29" xfId="9325"/>
    <cellStyle name="나쁨 3" xfId="9326"/>
    <cellStyle name="나쁨 30" xfId="9327"/>
    <cellStyle name="나쁨 31" xfId="9328"/>
    <cellStyle name="나쁨 32" xfId="9329"/>
    <cellStyle name="나쁨 33" xfId="9330"/>
    <cellStyle name="나쁨 34" xfId="9331"/>
    <cellStyle name="나쁨 35" xfId="9332"/>
    <cellStyle name="나쁨 36" xfId="9333"/>
    <cellStyle name="나쁨 37" xfId="9334"/>
    <cellStyle name="나쁨 38" xfId="9335"/>
    <cellStyle name="나쁨 39" xfId="9336"/>
    <cellStyle name="나쁨 4" xfId="9337"/>
    <cellStyle name="나쁨 40" xfId="9338"/>
    <cellStyle name="나쁨 41" xfId="9339"/>
    <cellStyle name="나쁨 42" xfId="9340"/>
    <cellStyle name="나쁨 43" xfId="9341"/>
    <cellStyle name="나쁨 44" xfId="9342"/>
    <cellStyle name="나쁨 45" xfId="9343"/>
    <cellStyle name="나쁨 46" xfId="9344"/>
    <cellStyle name="나쁨 47" xfId="9345"/>
    <cellStyle name="나쁨 48" xfId="9346"/>
    <cellStyle name="나쁨 49" xfId="9347"/>
    <cellStyle name="나쁨 5" xfId="9348"/>
    <cellStyle name="나쁨 50" xfId="9349"/>
    <cellStyle name="나쁨 51" xfId="9350"/>
    <cellStyle name="나쁨 52" xfId="9351"/>
    <cellStyle name="나쁨 53" xfId="9352"/>
    <cellStyle name="나쁨 54" xfId="9353"/>
    <cellStyle name="나쁨 55" xfId="9354"/>
    <cellStyle name="나쁨 56" xfId="9355"/>
    <cellStyle name="나쁨 57" xfId="9356"/>
    <cellStyle name="나쁨 58" xfId="9357"/>
    <cellStyle name="나쁨 59" xfId="9358"/>
    <cellStyle name="나쁨 6" xfId="9359"/>
    <cellStyle name="나쁨 60" xfId="9360"/>
    <cellStyle name="나쁨 61" xfId="9361"/>
    <cellStyle name="나쁨 62" xfId="9362"/>
    <cellStyle name="나쁨 63" xfId="9363"/>
    <cellStyle name="나쁨 7" xfId="9364"/>
    <cellStyle name="나쁨 8" xfId="9365"/>
    <cellStyle name="나쁨 9" xfId="9366"/>
    <cellStyle name="날짜" xfId="9367"/>
    <cellStyle name="달러" xfId="9368"/>
    <cellStyle name="돋움" xfId="9369"/>
    <cellStyle name="돋움 2" xfId="9370"/>
    <cellStyle name="돋움 2 2" xfId="9371"/>
    <cellStyle name="돋움 2 3" xfId="9372"/>
    <cellStyle name="돋움 2 4" xfId="9373"/>
    <cellStyle name="돋움 2 5" xfId="9374"/>
    <cellStyle name="뒤에 오는 하이퍼링크" xfId="9375"/>
    <cellStyle name="똿뗦먛귟 [0.00]_NT Server " xfId="9376"/>
    <cellStyle name="똿뗦먛귟_NT Server " xfId="9377"/>
    <cellStyle name="메모" xfId="13170" builtinId="10" customBuiltin="1"/>
    <cellStyle name="메모 10" xfId="9378"/>
    <cellStyle name="메모 10 2" xfId="9379"/>
    <cellStyle name="메모 10 3" xfId="9380"/>
    <cellStyle name="메모 10 4" xfId="9381"/>
    <cellStyle name="메모 11" xfId="9382"/>
    <cellStyle name="메모 11 2" xfId="9383"/>
    <cellStyle name="메모 11 3" xfId="9384"/>
    <cellStyle name="메모 11 4" xfId="9385"/>
    <cellStyle name="메모 12" xfId="9386"/>
    <cellStyle name="메모 12 2" xfId="9387"/>
    <cellStyle name="메모 12 3" xfId="9388"/>
    <cellStyle name="메모 12 4" xfId="9389"/>
    <cellStyle name="메모 13" xfId="9390"/>
    <cellStyle name="메모 13 2" xfId="9391"/>
    <cellStyle name="메모 13 3" xfId="9392"/>
    <cellStyle name="메모 13 4" xfId="9393"/>
    <cellStyle name="메모 14" xfId="9394"/>
    <cellStyle name="메모 14 2" xfId="9395"/>
    <cellStyle name="메모 14 3" xfId="9396"/>
    <cellStyle name="메모 14 4" xfId="9397"/>
    <cellStyle name="메모 15" xfId="9398"/>
    <cellStyle name="메모 15 2" xfId="9399"/>
    <cellStyle name="메모 15 3" xfId="9400"/>
    <cellStyle name="메모 15 4" xfId="9401"/>
    <cellStyle name="메모 15 5" xfId="12929"/>
    <cellStyle name="메모 16" xfId="9402"/>
    <cellStyle name="메모 16 2" xfId="9403"/>
    <cellStyle name="메모 16 3" xfId="9404"/>
    <cellStyle name="메모 16 4" xfId="9405"/>
    <cellStyle name="메모 17" xfId="9406"/>
    <cellStyle name="메모 17 2" xfId="9407"/>
    <cellStyle name="메모 17 3" xfId="9408"/>
    <cellStyle name="메모 17 4" xfId="9409"/>
    <cellStyle name="메모 18" xfId="9410"/>
    <cellStyle name="메모 18 2" xfId="9411"/>
    <cellStyle name="메모 18 3" xfId="9412"/>
    <cellStyle name="메모 18 4" xfId="9413"/>
    <cellStyle name="메모 19" xfId="9414"/>
    <cellStyle name="메모 19 2" xfId="9415"/>
    <cellStyle name="메모 19 3" xfId="9416"/>
    <cellStyle name="메모 19 4" xfId="9417"/>
    <cellStyle name="메모 2" xfId="9418"/>
    <cellStyle name="메모 2 10" xfId="12930"/>
    <cellStyle name="메모 2 2" xfId="9419"/>
    <cellStyle name="메모 2 2 2" xfId="12931"/>
    <cellStyle name="메모 2 3" xfId="9420"/>
    <cellStyle name="메모 2 3 2" xfId="12932"/>
    <cellStyle name="메모 2 4" xfId="9421"/>
    <cellStyle name="메모 2 4 2" xfId="12933"/>
    <cellStyle name="메모 2 5" xfId="12934"/>
    <cellStyle name="메모 2 6" xfId="12935"/>
    <cellStyle name="메모 2 7" xfId="12936"/>
    <cellStyle name="메모 2 8" xfId="12937"/>
    <cellStyle name="메모 2 9" xfId="12938"/>
    <cellStyle name="메모 20" xfId="9422"/>
    <cellStyle name="메모 20 2" xfId="9423"/>
    <cellStyle name="메모 20 3" xfId="9424"/>
    <cellStyle name="메모 20 4" xfId="9425"/>
    <cellStyle name="메모 21" xfId="9426"/>
    <cellStyle name="메모 21 2" xfId="9427"/>
    <cellStyle name="메모 21 3" xfId="9428"/>
    <cellStyle name="메모 21 4" xfId="9429"/>
    <cellStyle name="메모 22" xfId="9430"/>
    <cellStyle name="메모 22 2" xfId="9431"/>
    <cellStyle name="메모 22 3" xfId="9432"/>
    <cellStyle name="메모 22 4" xfId="9433"/>
    <cellStyle name="메모 23" xfId="9434"/>
    <cellStyle name="메모 23 2" xfId="9435"/>
    <cellStyle name="메모 23 3" xfId="9436"/>
    <cellStyle name="메모 23 4" xfId="9437"/>
    <cellStyle name="메모 24" xfId="9438"/>
    <cellStyle name="메모 24 2" xfId="9439"/>
    <cellStyle name="메모 24 3" xfId="9440"/>
    <cellStyle name="메모 24 4" xfId="9441"/>
    <cellStyle name="메모 25" xfId="9442"/>
    <cellStyle name="메모 25 2" xfId="9443"/>
    <cellStyle name="메모 25 3" xfId="9444"/>
    <cellStyle name="메모 25 4" xfId="9445"/>
    <cellStyle name="메모 26" xfId="9446"/>
    <cellStyle name="메모 26 2" xfId="9447"/>
    <cellStyle name="메모 26 3" xfId="9448"/>
    <cellStyle name="메모 26 4" xfId="9449"/>
    <cellStyle name="메모 27" xfId="9450"/>
    <cellStyle name="메모 27 2" xfId="9451"/>
    <cellStyle name="메모 27 3" xfId="9452"/>
    <cellStyle name="메모 27 4" xfId="9453"/>
    <cellStyle name="메모 28" xfId="9454"/>
    <cellStyle name="메모 28 2" xfId="9455"/>
    <cellStyle name="메모 28 3" xfId="9456"/>
    <cellStyle name="메모 28 4" xfId="9457"/>
    <cellStyle name="메모 29" xfId="9458"/>
    <cellStyle name="메모 29 2" xfId="9459"/>
    <cellStyle name="메모 29 3" xfId="9460"/>
    <cellStyle name="메모 29 4" xfId="9461"/>
    <cellStyle name="메모 3" xfId="9462"/>
    <cellStyle name="메모 3 10" xfId="12939"/>
    <cellStyle name="메모 3 2" xfId="9463"/>
    <cellStyle name="메모 3 2 2" xfId="12940"/>
    <cellStyle name="메모 3 3" xfId="9464"/>
    <cellStyle name="메모 3 3 2" xfId="12941"/>
    <cellStyle name="메모 3 4" xfId="9465"/>
    <cellStyle name="메모 3 4 2" xfId="12942"/>
    <cellStyle name="메모 3 5" xfId="12943"/>
    <cellStyle name="메모 3 6" xfId="12944"/>
    <cellStyle name="메모 3 7" xfId="12945"/>
    <cellStyle name="메모 3 8" xfId="12946"/>
    <cellStyle name="메모 3 9" xfId="12947"/>
    <cellStyle name="메모 30" xfId="9466"/>
    <cellStyle name="메모 30 2" xfId="9467"/>
    <cellStyle name="메모 30 3" xfId="9468"/>
    <cellStyle name="메모 30 4" xfId="9469"/>
    <cellStyle name="메모 31" xfId="9470"/>
    <cellStyle name="메모 31 2" xfId="9471"/>
    <cellStyle name="메모 31 3" xfId="9472"/>
    <cellStyle name="메모 31 4" xfId="9473"/>
    <cellStyle name="메모 32" xfId="9474"/>
    <cellStyle name="메모 32 2" xfId="9475"/>
    <cellStyle name="메모 32 3" xfId="9476"/>
    <cellStyle name="메모 32 4" xfId="9477"/>
    <cellStyle name="메모 33" xfId="9478"/>
    <cellStyle name="메모 33 2" xfId="9479"/>
    <cellStyle name="메모 33 3" xfId="9480"/>
    <cellStyle name="메모 33 4" xfId="9481"/>
    <cellStyle name="메모 34" xfId="9482"/>
    <cellStyle name="메모 34 2" xfId="9483"/>
    <cellStyle name="메모 34 3" xfId="9484"/>
    <cellStyle name="메모 34 4" xfId="9485"/>
    <cellStyle name="메모 35" xfId="9486"/>
    <cellStyle name="메모 35 2" xfId="9487"/>
    <cellStyle name="메모 35 3" xfId="9488"/>
    <cellStyle name="메모 35 4" xfId="9489"/>
    <cellStyle name="메모 36" xfId="9490"/>
    <cellStyle name="메모 36 2" xfId="9491"/>
    <cellStyle name="메모 36 3" xfId="9492"/>
    <cellStyle name="메모 36 4" xfId="9493"/>
    <cellStyle name="메모 37" xfId="9494"/>
    <cellStyle name="메모 37 2" xfId="9495"/>
    <cellStyle name="메모 37 3" xfId="9496"/>
    <cellStyle name="메모 37 4" xfId="9497"/>
    <cellStyle name="메모 38" xfId="9498"/>
    <cellStyle name="메모 38 2" xfId="9499"/>
    <cellStyle name="메모 38 3" xfId="9500"/>
    <cellStyle name="메모 38 4" xfId="9501"/>
    <cellStyle name="메모 39" xfId="9502"/>
    <cellStyle name="메모 39 2" xfId="9503"/>
    <cellStyle name="메모 39 3" xfId="9504"/>
    <cellStyle name="메모 39 4" xfId="9505"/>
    <cellStyle name="메모 4" xfId="9506"/>
    <cellStyle name="메모 4 10" xfId="12948"/>
    <cellStyle name="메모 4 2" xfId="9507"/>
    <cellStyle name="메모 4 2 2" xfId="12949"/>
    <cellStyle name="메모 4 3" xfId="9508"/>
    <cellStyle name="메모 4 3 2" xfId="12950"/>
    <cellStyle name="메모 4 4" xfId="9509"/>
    <cellStyle name="메모 4 4 2" xfId="12951"/>
    <cellStyle name="메모 4 5" xfId="12952"/>
    <cellStyle name="메모 4 6" xfId="12953"/>
    <cellStyle name="메모 4 7" xfId="12954"/>
    <cellStyle name="메모 4 8" xfId="12955"/>
    <cellStyle name="메모 4 9" xfId="12956"/>
    <cellStyle name="메모 40" xfId="9510"/>
    <cellStyle name="메모 40 2" xfId="9511"/>
    <cellStyle name="메모 40 3" xfId="9512"/>
    <cellStyle name="메모 40 4" xfId="9513"/>
    <cellStyle name="메모 41" xfId="9514"/>
    <cellStyle name="메모 41 2" xfId="9515"/>
    <cellStyle name="메모 41 3" xfId="9516"/>
    <cellStyle name="메모 41 4" xfId="9517"/>
    <cellStyle name="메모 42" xfId="9518"/>
    <cellStyle name="메모 42 2" xfId="9519"/>
    <cellStyle name="메모 42 3" xfId="9520"/>
    <cellStyle name="메모 42 4" xfId="9521"/>
    <cellStyle name="메모 43" xfId="9522"/>
    <cellStyle name="메모 43 2" xfId="9523"/>
    <cellStyle name="메모 43 3" xfId="9524"/>
    <cellStyle name="메모 43 4" xfId="9525"/>
    <cellStyle name="메모 44" xfId="9526"/>
    <cellStyle name="메모 44 2" xfId="9527"/>
    <cellStyle name="메모 44 3" xfId="9528"/>
    <cellStyle name="메모 44 4" xfId="9529"/>
    <cellStyle name="메모 45" xfId="9530"/>
    <cellStyle name="메모 45 2" xfId="9531"/>
    <cellStyle name="메모 45 3" xfId="9532"/>
    <cellStyle name="메모 45 4" xfId="9533"/>
    <cellStyle name="메모 46" xfId="9534"/>
    <cellStyle name="메모 46 2" xfId="9535"/>
    <cellStyle name="메모 46 3" xfId="9536"/>
    <cellStyle name="메모 46 4" xfId="9537"/>
    <cellStyle name="메모 47" xfId="9538"/>
    <cellStyle name="메모 47 2" xfId="9539"/>
    <cellStyle name="메모 47 3" xfId="9540"/>
    <cellStyle name="메모 47 4" xfId="9541"/>
    <cellStyle name="메모 48" xfId="9542"/>
    <cellStyle name="메모 48 2" xfId="9543"/>
    <cellStyle name="메모 48 3" xfId="9544"/>
    <cellStyle name="메모 48 4" xfId="9545"/>
    <cellStyle name="메모 49" xfId="9546"/>
    <cellStyle name="메모 49 2" xfId="9547"/>
    <cellStyle name="메모 49 3" xfId="9548"/>
    <cellStyle name="메모 49 4" xfId="9549"/>
    <cellStyle name="메모 5" xfId="9550"/>
    <cellStyle name="메모 5 10" xfId="12957"/>
    <cellStyle name="메모 5 2" xfId="9551"/>
    <cellStyle name="메모 5 2 2" xfId="12958"/>
    <cellStyle name="메모 5 3" xfId="9552"/>
    <cellStyle name="메모 5 3 2" xfId="12959"/>
    <cellStyle name="메모 5 4" xfId="9553"/>
    <cellStyle name="메모 5 4 2" xfId="12960"/>
    <cellStyle name="메모 5 5" xfId="12961"/>
    <cellStyle name="메모 5 6" xfId="12962"/>
    <cellStyle name="메모 5 7" xfId="12963"/>
    <cellStyle name="메모 5 8" xfId="12964"/>
    <cellStyle name="메모 5 9" xfId="12965"/>
    <cellStyle name="메모 50" xfId="9554"/>
    <cellStyle name="메모 50 2" xfId="9555"/>
    <cellStyle name="메모 50 3" xfId="9556"/>
    <cellStyle name="메모 50 4" xfId="9557"/>
    <cellStyle name="메모 51" xfId="9558"/>
    <cellStyle name="메모 51 2" xfId="9559"/>
    <cellStyle name="메모 51 3" xfId="9560"/>
    <cellStyle name="메모 51 4" xfId="9561"/>
    <cellStyle name="메모 52" xfId="9562"/>
    <cellStyle name="메모 52 2" xfId="9563"/>
    <cellStyle name="메모 52 3" xfId="9564"/>
    <cellStyle name="메모 52 4" xfId="9565"/>
    <cellStyle name="메모 53" xfId="9566"/>
    <cellStyle name="메모 53 2" xfId="9567"/>
    <cellStyle name="메모 53 3" xfId="9568"/>
    <cellStyle name="메모 53 4" xfId="9569"/>
    <cellStyle name="메모 54" xfId="9570"/>
    <cellStyle name="메모 54 2" xfId="9571"/>
    <cellStyle name="메모 54 3" xfId="9572"/>
    <cellStyle name="메모 54 4" xfId="9573"/>
    <cellStyle name="메모 55" xfId="9574"/>
    <cellStyle name="메모 55 2" xfId="9575"/>
    <cellStyle name="메모 55 3" xfId="9576"/>
    <cellStyle name="메모 55 4" xfId="9577"/>
    <cellStyle name="메모 56" xfId="9578"/>
    <cellStyle name="메모 56 2" xfId="9579"/>
    <cellStyle name="메모 56 3" xfId="9580"/>
    <cellStyle name="메모 56 4" xfId="9581"/>
    <cellStyle name="메모 57" xfId="9582"/>
    <cellStyle name="메모 57 2" xfId="9583"/>
    <cellStyle name="메모 57 3" xfId="9584"/>
    <cellStyle name="메모 57 4" xfId="9585"/>
    <cellStyle name="메모 58" xfId="9586"/>
    <cellStyle name="메모 58 2" xfId="9587"/>
    <cellStyle name="메모 58 3" xfId="9588"/>
    <cellStyle name="메모 58 4" xfId="9589"/>
    <cellStyle name="메모 59" xfId="9590"/>
    <cellStyle name="메모 59 2" xfId="9591"/>
    <cellStyle name="메모 59 3" xfId="9592"/>
    <cellStyle name="메모 59 4" xfId="9593"/>
    <cellStyle name="메모 6" xfId="9594"/>
    <cellStyle name="메모 6 2" xfId="9595"/>
    <cellStyle name="메모 6 3" xfId="9596"/>
    <cellStyle name="메모 6 4" xfId="9597"/>
    <cellStyle name="메모 60" xfId="9598"/>
    <cellStyle name="메모 60 2" xfId="9599"/>
    <cellStyle name="메모 60 3" xfId="9600"/>
    <cellStyle name="메모 60 4" xfId="9601"/>
    <cellStyle name="메모 61" xfId="9602"/>
    <cellStyle name="메모 61 2" xfId="9603"/>
    <cellStyle name="메모 61 3" xfId="9604"/>
    <cellStyle name="메모 61 4" xfId="9605"/>
    <cellStyle name="메모 62" xfId="9606"/>
    <cellStyle name="메모 62 2" xfId="9607"/>
    <cellStyle name="메모 62 3" xfId="9608"/>
    <cellStyle name="메모 62 4" xfId="9609"/>
    <cellStyle name="메모 63" xfId="9610"/>
    <cellStyle name="메모 63 2" xfId="9611"/>
    <cellStyle name="메모 63 3" xfId="9612"/>
    <cellStyle name="메모 63 4" xfId="9613"/>
    <cellStyle name="메모 7" xfId="9614"/>
    <cellStyle name="메모 7 2" xfId="9615"/>
    <cellStyle name="메모 7 3" xfId="9616"/>
    <cellStyle name="메모 7 4" xfId="9617"/>
    <cellStyle name="메모 8" xfId="9618"/>
    <cellStyle name="메모 8 2" xfId="9619"/>
    <cellStyle name="메모 8 3" xfId="9620"/>
    <cellStyle name="메모 8 4" xfId="9621"/>
    <cellStyle name="메모 9" xfId="9622"/>
    <cellStyle name="메모 9 2" xfId="9623"/>
    <cellStyle name="메모 9 3" xfId="9624"/>
    <cellStyle name="메모 9 4" xfId="9625"/>
    <cellStyle name="명" xfId="9626"/>
    <cellStyle name="명 2" xfId="9627"/>
    <cellStyle name="명 2 2" xfId="9628"/>
    <cellStyle name="명 2 3" xfId="9629"/>
    <cellStyle name="명 2 4" xfId="9630"/>
    <cellStyle name="명 2 5" xfId="9631"/>
    <cellStyle name="묮뎋 [0.00]_PRODUCT DETAIL Q1" xfId="9632"/>
    <cellStyle name="묮뎋_PRODUCT DETAIL Q1" xfId="9633"/>
    <cellStyle name="문자" xfId="9634"/>
    <cellStyle name="문자열" xfId="9635"/>
    <cellStyle name="믅됞 [0.00]_laroux" xfId="9636"/>
    <cellStyle name="믅됞_laroux" xfId="9637"/>
    <cellStyle name="未定義" xfId="9638"/>
    <cellStyle name="바이알" xfId="9639"/>
    <cellStyle name="백만단위로" xfId="9640"/>
    <cellStyle name="백만원" xfId="9641"/>
    <cellStyle name="백분율" xfId="14101" builtinId="5"/>
    <cellStyle name="백분율 2" xfId="6"/>
    <cellStyle name="백분율 2 2" xfId="12966"/>
    <cellStyle name="백분율 2 3" xfId="14110"/>
    <cellStyle name="백분율 3" xfId="7"/>
    <cellStyle name="백분율 3 2" xfId="12967"/>
    <cellStyle name="백분율 4" xfId="8"/>
    <cellStyle name="백분율 4 2" xfId="12968"/>
    <cellStyle name="백분율 5" xfId="9"/>
    <cellStyle name="백분율 5 2" xfId="12969"/>
    <cellStyle name="백분율 6" xfId="9642"/>
    <cellStyle name="백분율 6 2" xfId="12970"/>
    <cellStyle name="백분율 7" xfId="12971"/>
    <cellStyle name="백분율 8" xfId="12972"/>
    <cellStyle name="백창콤마" xfId="9643"/>
    <cellStyle name="보고서" xfId="9644"/>
    <cellStyle name="보고서 2" xfId="9645"/>
    <cellStyle name="보고서 2 2" xfId="9646"/>
    <cellStyle name="보고서 2 3" xfId="9647"/>
    <cellStyle name="보고서 2 4" xfId="9648"/>
    <cellStyle name="보고서 2 5" xfId="9649"/>
    <cellStyle name="보통" xfId="13163" builtinId="28" customBuiltin="1"/>
    <cellStyle name="보통 10" xfId="9650"/>
    <cellStyle name="보통 11" xfId="9651"/>
    <cellStyle name="보통 12" xfId="9652"/>
    <cellStyle name="보통 13" xfId="9653"/>
    <cellStyle name="보통 14" xfId="9654"/>
    <cellStyle name="보통 15" xfId="9655"/>
    <cellStyle name="보통 16" xfId="9656"/>
    <cellStyle name="보통 17" xfId="9657"/>
    <cellStyle name="보통 18" xfId="9658"/>
    <cellStyle name="보통 19" xfId="9659"/>
    <cellStyle name="보통 2" xfId="9660"/>
    <cellStyle name="보통 2 2" xfId="12973"/>
    <cellStyle name="보통 20" xfId="9661"/>
    <cellStyle name="보통 21" xfId="9662"/>
    <cellStyle name="보통 22" xfId="9663"/>
    <cellStyle name="보통 23" xfId="9664"/>
    <cellStyle name="보통 24" xfId="9665"/>
    <cellStyle name="보통 25" xfId="9666"/>
    <cellStyle name="보통 26" xfId="9667"/>
    <cellStyle name="보통 27" xfId="9668"/>
    <cellStyle name="보통 28" xfId="9669"/>
    <cellStyle name="보통 29" xfId="9670"/>
    <cellStyle name="보통 3" xfId="9671"/>
    <cellStyle name="보통 30" xfId="9672"/>
    <cellStyle name="보통 31" xfId="9673"/>
    <cellStyle name="보통 32" xfId="9674"/>
    <cellStyle name="보통 33" xfId="9675"/>
    <cellStyle name="보통 34" xfId="9676"/>
    <cellStyle name="보통 35" xfId="9677"/>
    <cellStyle name="보통 36" xfId="9678"/>
    <cellStyle name="보통 37" xfId="9679"/>
    <cellStyle name="보통 38" xfId="9680"/>
    <cellStyle name="보통 39" xfId="9681"/>
    <cellStyle name="보통 4" xfId="9682"/>
    <cellStyle name="보통 40" xfId="9683"/>
    <cellStyle name="보통 41" xfId="9684"/>
    <cellStyle name="보통 42" xfId="9685"/>
    <cellStyle name="보통 43" xfId="9686"/>
    <cellStyle name="보통 44" xfId="9687"/>
    <cellStyle name="보통 45" xfId="9688"/>
    <cellStyle name="보통 46" xfId="9689"/>
    <cellStyle name="보통 47" xfId="9690"/>
    <cellStyle name="보통 48" xfId="9691"/>
    <cellStyle name="보통 49" xfId="9692"/>
    <cellStyle name="보통 5" xfId="9693"/>
    <cellStyle name="보통 50" xfId="9694"/>
    <cellStyle name="보통 51" xfId="9695"/>
    <cellStyle name="보통 52" xfId="9696"/>
    <cellStyle name="보통 53" xfId="9697"/>
    <cellStyle name="보통 54" xfId="9698"/>
    <cellStyle name="보통 55" xfId="9699"/>
    <cellStyle name="보통 56" xfId="9700"/>
    <cellStyle name="보통 57" xfId="9701"/>
    <cellStyle name="보통 58" xfId="9702"/>
    <cellStyle name="보통 59" xfId="9703"/>
    <cellStyle name="보통 6" xfId="9704"/>
    <cellStyle name="보통 60" xfId="9705"/>
    <cellStyle name="보통 61" xfId="9706"/>
    <cellStyle name="보통 62" xfId="9707"/>
    <cellStyle name="보통 63" xfId="9708"/>
    <cellStyle name="보통 7" xfId="9709"/>
    <cellStyle name="보통 8" xfId="9710"/>
    <cellStyle name="보통 9" xfId="9711"/>
    <cellStyle name="普通_表皮2" xfId="9712"/>
    <cellStyle name="본사" xfId="9713"/>
    <cellStyle name="뷭?" xfId="9714"/>
    <cellStyle name="삼일-금지" xfId="9715"/>
    <cellStyle name="삼일-금지 2" xfId="9716"/>
    <cellStyle name="삼일-금지 2 2" xfId="9717"/>
    <cellStyle name="삼일-금지 2 3" xfId="9718"/>
    <cellStyle name="삼일-금지 2 4" xfId="9719"/>
    <cellStyle name="삼일-금지 2 5" xfId="9720"/>
    <cellStyle name="삼일-입력" xfId="9721"/>
    <cellStyle name="삼일-입력 2" xfId="9722"/>
    <cellStyle name="삼일-입력 2 2" xfId="9723"/>
    <cellStyle name="삼일-입력 2 3" xfId="9724"/>
    <cellStyle name="삼일-입력 2 4" xfId="9725"/>
    <cellStyle name="삼일-입력 2 5" xfId="9726"/>
    <cellStyle name="常规_03-05" xfId="9727"/>
    <cellStyle name="새귑[0]_롤痰삠悧 " xfId="9728"/>
    <cellStyle name="새귑_롤痰삠悧 " xfId="9729"/>
    <cellStyle name="선택영역의 가운데로" xfId="9730"/>
    <cellStyle name="선택영역의 가운데로 2" xfId="9731"/>
    <cellStyle name="선택영역의 가운데로 3" xfId="9732"/>
    <cellStyle name="선택영역의 가운데로 4" xfId="9733"/>
    <cellStyle name="선택영역의 가운데로 5" xfId="9734"/>
    <cellStyle name="설계서-내용" xfId="9735"/>
    <cellStyle name="설계서-내용 2" xfId="9736"/>
    <cellStyle name="설계서-내용 2 2" xfId="9737"/>
    <cellStyle name="설계서-내용 2 3" xfId="9738"/>
    <cellStyle name="설계서-내용 2 4" xfId="9739"/>
    <cellStyle name="설계서-내용 2 5" xfId="9740"/>
    <cellStyle name="설계서-내용-소수점" xfId="9741"/>
    <cellStyle name="설계서-내용-소수점 2" xfId="9742"/>
    <cellStyle name="설계서-내용-소수점 2 2" xfId="9743"/>
    <cellStyle name="설계서-내용-소수점 2 3" xfId="9744"/>
    <cellStyle name="설계서-내용-소수점 2 4" xfId="9745"/>
    <cellStyle name="설계서-내용-소수점 2 5" xfId="9746"/>
    <cellStyle name="설계서-내용-우" xfId="9747"/>
    <cellStyle name="설계서-내용-좌" xfId="9748"/>
    <cellStyle name="설계서-소제목" xfId="9749"/>
    <cellStyle name="설계서-소제목 2" xfId="9750"/>
    <cellStyle name="설계서-소제목 2 2" xfId="9751"/>
    <cellStyle name="설계서-소제목 2 3" xfId="9752"/>
    <cellStyle name="설계서-소제목 2 4" xfId="9753"/>
    <cellStyle name="설계서-소제목 2 5" xfId="9754"/>
    <cellStyle name="설계서-타이틀" xfId="9755"/>
    <cellStyle name="설계서-항목" xfId="9756"/>
    <cellStyle name="설명 텍스트" xfId="13171" builtinId="53" customBuiltin="1"/>
    <cellStyle name="설명 텍스트 10" xfId="9757"/>
    <cellStyle name="설명 텍스트 11" xfId="9758"/>
    <cellStyle name="설명 텍스트 12" xfId="9759"/>
    <cellStyle name="설명 텍스트 13" xfId="9760"/>
    <cellStyle name="설명 텍스트 14" xfId="9761"/>
    <cellStyle name="설명 텍스트 15" xfId="9762"/>
    <cellStyle name="설명 텍스트 16" xfId="9763"/>
    <cellStyle name="설명 텍스트 17" xfId="9764"/>
    <cellStyle name="설명 텍스트 18" xfId="9765"/>
    <cellStyle name="설명 텍스트 19" xfId="9766"/>
    <cellStyle name="설명 텍스트 2" xfId="9767"/>
    <cellStyle name="설명 텍스트 2 2" xfId="12974"/>
    <cellStyle name="설명 텍스트 20" xfId="9768"/>
    <cellStyle name="설명 텍스트 21" xfId="9769"/>
    <cellStyle name="설명 텍스트 22" xfId="9770"/>
    <cellStyle name="설명 텍스트 23" xfId="9771"/>
    <cellStyle name="설명 텍스트 24" xfId="9772"/>
    <cellStyle name="설명 텍스트 25" xfId="9773"/>
    <cellStyle name="설명 텍스트 26" xfId="9774"/>
    <cellStyle name="설명 텍스트 27" xfId="9775"/>
    <cellStyle name="설명 텍스트 28" xfId="9776"/>
    <cellStyle name="설명 텍스트 29" xfId="9777"/>
    <cellStyle name="설명 텍스트 3" xfId="9778"/>
    <cellStyle name="설명 텍스트 30" xfId="9779"/>
    <cellStyle name="설명 텍스트 31" xfId="9780"/>
    <cellStyle name="설명 텍스트 32" xfId="9781"/>
    <cellStyle name="설명 텍스트 33" xfId="9782"/>
    <cellStyle name="설명 텍스트 34" xfId="9783"/>
    <cellStyle name="설명 텍스트 35" xfId="9784"/>
    <cellStyle name="설명 텍스트 36" xfId="9785"/>
    <cellStyle name="설명 텍스트 37" xfId="9786"/>
    <cellStyle name="설명 텍스트 38" xfId="9787"/>
    <cellStyle name="설명 텍스트 39" xfId="9788"/>
    <cellStyle name="설명 텍스트 4" xfId="9789"/>
    <cellStyle name="설명 텍스트 40" xfId="9790"/>
    <cellStyle name="설명 텍스트 41" xfId="9791"/>
    <cellStyle name="설명 텍스트 42" xfId="9792"/>
    <cellStyle name="설명 텍스트 43" xfId="9793"/>
    <cellStyle name="설명 텍스트 44" xfId="9794"/>
    <cellStyle name="설명 텍스트 45" xfId="9795"/>
    <cellStyle name="설명 텍스트 46" xfId="9796"/>
    <cellStyle name="설명 텍스트 47" xfId="9797"/>
    <cellStyle name="설명 텍스트 48" xfId="9798"/>
    <cellStyle name="설명 텍스트 49" xfId="9799"/>
    <cellStyle name="설명 텍스트 5" xfId="9800"/>
    <cellStyle name="설명 텍스트 50" xfId="9801"/>
    <cellStyle name="설명 텍스트 51" xfId="9802"/>
    <cellStyle name="설명 텍스트 52" xfId="9803"/>
    <cellStyle name="설명 텍스트 53" xfId="9804"/>
    <cellStyle name="설명 텍스트 54" xfId="9805"/>
    <cellStyle name="설명 텍스트 55" xfId="9806"/>
    <cellStyle name="설명 텍스트 56" xfId="9807"/>
    <cellStyle name="설명 텍스트 57" xfId="9808"/>
    <cellStyle name="설명 텍스트 58" xfId="9809"/>
    <cellStyle name="설명 텍스트 59" xfId="9810"/>
    <cellStyle name="설명 텍스트 6" xfId="9811"/>
    <cellStyle name="설명 텍스트 60" xfId="9812"/>
    <cellStyle name="설명 텍스트 61" xfId="9813"/>
    <cellStyle name="설명 텍스트 62" xfId="9814"/>
    <cellStyle name="설명 텍스트 63" xfId="9815"/>
    <cellStyle name="설명 텍스트 7" xfId="9816"/>
    <cellStyle name="설명 텍스트 8" xfId="9817"/>
    <cellStyle name="설명 텍스트 9" xfId="9818"/>
    <cellStyle name="셀 확인" xfId="13168" builtinId="23" customBuiltin="1"/>
    <cellStyle name="셀 확인 10" xfId="9819"/>
    <cellStyle name="셀 확인 11" xfId="9820"/>
    <cellStyle name="셀 확인 12" xfId="9821"/>
    <cellStyle name="셀 확인 13" xfId="9822"/>
    <cellStyle name="셀 확인 14" xfId="9823"/>
    <cellStyle name="셀 확인 15" xfId="9824"/>
    <cellStyle name="셀 확인 16" xfId="9825"/>
    <cellStyle name="셀 확인 17" xfId="9826"/>
    <cellStyle name="셀 확인 18" xfId="9827"/>
    <cellStyle name="셀 확인 19" xfId="9828"/>
    <cellStyle name="셀 확인 2" xfId="9829"/>
    <cellStyle name="셀 확인 2 2" xfId="12975"/>
    <cellStyle name="셀 확인 20" xfId="9830"/>
    <cellStyle name="셀 확인 21" xfId="9831"/>
    <cellStyle name="셀 확인 22" xfId="9832"/>
    <cellStyle name="셀 확인 23" xfId="9833"/>
    <cellStyle name="셀 확인 24" xfId="9834"/>
    <cellStyle name="셀 확인 25" xfId="9835"/>
    <cellStyle name="셀 확인 26" xfId="9836"/>
    <cellStyle name="셀 확인 27" xfId="9837"/>
    <cellStyle name="셀 확인 28" xfId="9838"/>
    <cellStyle name="셀 확인 29" xfId="9839"/>
    <cellStyle name="셀 확인 3" xfId="9840"/>
    <cellStyle name="셀 확인 30" xfId="9841"/>
    <cellStyle name="셀 확인 31" xfId="9842"/>
    <cellStyle name="셀 확인 32" xfId="9843"/>
    <cellStyle name="셀 확인 33" xfId="9844"/>
    <cellStyle name="셀 확인 34" xfId="9845"/>
    <cellStyle name="셀 확인 35" xfId="9846"/>
    <cellStyle name="셀 확인 36" xfId="9847"/>
    <cellStyle name="셀 확인 37" xfId="9848"/>
    <cellStyle name="셀 확인 38" xfId="9849"/>
    <cellStyle name="셀 확인 39" xfId="9850"/>
    <cellStyle name="셀 확인 4" xfId="9851"/>
    <cellStyle name="셀 확인 40" xfId="9852"/>
    <cellStyle name="셀 확인 41" xfId="9853"/>
    <cellStyle name="셀 확인 42" xfId="9854"/>
    <cellStyle name="셀 확인 43" xfId="9855"/>
    <cellStyle name="셀 확인 44" xfId="9856"/>
    <cellStyle name="셀 확인 45" xfId="9857"/>
    <cellStyle name="셀 확인 46" xfId="9858"/>
    <cellStyle name="셀 확인 47" xfId="9859"/>
    <cellStyle name="셀 확인 48" xfId="9860"/>
    <cellStyle name="셀 확인 49" xfId="9861"/>
    <cellStyle name="셀 확인 5" xfId="9862"/>
    <cellStyle name="셀 확인 50" xfId="9863"/>
    <cellStyle name="셀 확인 51" xfId="9864"/>
    <cellStyle name="셀 확인 52" xfId="9865"/>
    <cellStyle name="셀 확인 53" xfId="9866"/>
    <cellStyle name="셀 확인 54" xfId="9867"/>
    <cellStyle name="셀 확인 55" xfId="9868"/>
    <cellStyle name="셀 확인 56" xfId="9869"/>
    <cellStyle name="셀 확인 57" xfId="9870"/>
    <cellStyle name="셀 확인 58" xfId="9871"/>
    <cellStyle name="셀 확인 59" xfId="9872"/>
    <cellStyle name="셀 확인 6" xfId="9873"/>
    <cellStyle name="셀 확인 60" xfId="9874"/>
    <cellStyle name="셀 확인 61" xfId="9875"/>
    <cellStyle name="셀 확인 62" xfId="9876"/>
    <cellStyle name="셀 확인 63" xfId="9877"/>
    <cellStyle name="셀 확인 7" xfId="9878"/>
    <cellStyle name="셀 확인 8" xfId="9879"/>
    <cellStyle name="셀 확인 9" xfId="9880"/>
    <cellStyle name="셈迷?XLS!check_filesche|_x0005_" xfId="9881"/>
    <cellStyle name="숫자" xfId="9882"/>
    <cellStyle name="숫자(R)" xfId="9883"/>
    <cellStyle name="숫자[1]" xfId="9884"/>
    <cellStyle name="숫자_현대IT 재무추정_1020" xfId="9885"/>
    <cellStyle name="쉼표 [0]" xfId="13200" builtinId="6"/>
    <cellStyle name="쉼표 [0] 10" xfId="9886"/>
    <cellStyle name="쉼표 [0] 10 2" xfId="9887"/>
    <cellStyle name="쉼표 [0] 10 3" xfId="9888"/>
    <cellStyle name="쉼표 [0] 10 4" xfId="9889"/>
    <cellStyle name="쉼표 [0] 11" xfId="9890"/>
    <cellStyle name="쉼표 [0] 11 2" xfId="9891"/>
    <cellStyle name="쉼표 [0] 11 3" xfId="9892"/>
    <cellStyle name="쉼표 [0] 11 4" xfId="9893"/>
    <cellStyle name="쉼표 [0] 12" xfId="9894"/>
    <cellStyle name="쉼표 [0] 13" xfId="9895"/>
    <cellStyle name="쉼표 [0] 14" xfId="9896"/>
    <cellStyle name="쉼표 [0] 15" xfId="9897"/>
    <cellStyle name="쉼표 [0] 16" xfId="9898"/>
    <cellStyle name="쉼표 [0] 17" xfId="9899"/>
    <cellStyle name="쉼표 [0] 18" xfId="9900"/>
    <cellStyle name="쉼표 [0] 19" xfId="9901"/>
    <cellStyle name="쉼표 [0] 2" xfId="10"/>
    <cellStyle name="쉼표 [0] 2 10" xfId="9902"/>
    <cellStyle name="쉼표 [0] 2 11" xfId="9903"/>
    <cellStyle name="쉼표 [0] 2 12" xfId="9904"/>
    <cellStyle name="쉼표 [0] 2 13" xfId="9905"/>
    <cellStyle name="쉼표 [0] 2 14" xfId="9906"/>
    <cellStyle name="쉼표 [0] 2 15" xfId="9907"/>
    <cellStyle name="쉼표 [0] 2 16 4" xfId="14103"/>
    <cellStyle name="쉼표 [0] 2 2" xfId="11"/>
    <cellStyle name="쉼표 [0] 2 2 2" xfId="9908"/>
    <cellStyle name="쉼표 [0] 2 3" xfId="9909"/>
    <cellStyle name="쉼표 [0] 2 3 2" xfId="12976"/>
    <cellStyle name="쉼표 [0] 2 4" xfId="9910"/>
    <cellStyle name="쉼표 [0] 2 5" xfId="9911"/>
    <cellStyle name="쉼표 [0] 2 6" xfId="9912"/>
    <cellStyle name="쉼표 [0] 2 7" xfId="9913"/>
    <cellStyle name="쉼표 [0] 2 8" xfId="9914"/>
    <cellStyle name="쉼표 [0] 2 9" xfId="9915"/>
    <cellStyle name="쉼표 [0] 20" xfId="9916"/>
    <cellStyle name="쉼표 [0] 21" xfId="9917"/>
    <cellStyle name="쉼표 [0] 21 2" xfId="12977"/>
    <cellStyle name="쉼표 [0] 22" xfId="9918"/>
    <cellStyle name="쉼표 [0] 22 2" xfId="12978"/>
    <cellStyle name="쉼표 [0] 23" xfId="9919"/>
    <cellStyle name="쉼표 [0] 23 2" xfId="12979"/>
    <cellStyle name="쉼표 [0] 24" xfId="9920"/>
    <cellStyle name="쉼표 [0] 25" xfId="9921"/>
    <cellStyle name="쉼표 [0] 26" xfId="9922"/>
    <cellStyle name="쉼표 [0] 27" xfId="9923"/>
    <cellStyle name="쉼표 [0] 28" xfId="9924"/>
    <cellStyle name="쉼표 [0] 29" xfId="9925"/>
    <cellStyle name="쉼표 [0] 3" xfId="2"/>
    <cellStyle name="쉼표 [0] 3 10" xfId="9926"/>
    <cellStyle name="쉼표 [0] 3 11" xfId="9927"/>
    <cellStyle name="쉼표 [0] 3 12" xfId="9928"/>
    <cellStyle name="쉼표 [0] 3 13" xfId="9929"/>
    <cellStyle name="쉼표 [0] 3 14" xfId="9930"/>
    <cellStyle name="쉼표 [0] 3 2" xfId="12"/>
    <cellStyle name="쉼표 [0] 3 3" xfId="9931"/>
    <cellStyle name="쉼표 [0] 3 3 2" xfId="12980"/>
    <cellStyle name="쉼표 [0] 3 4" xfId="9932"/>
    <cellStyle name="쉼표 [0] 3 5" xfId="9933"/>
    <cellStyle name="쉼표 [0] 3 6" xfId="9934"/>
    <cellStyle name="쉼표 [0] 3 7" xfId="9935"/>
    <cellStyle name="쉼표 [0] 3 8" xfId="9936"/>
    <cellStyle name="쉼표 [0] 3 9" xfId="9937"/>
    <cellStyle name="쉼표 [0] 30" xfId="9938"/>
    <cellStyle name="쉼표 [0] 31" xfId="14108"/>
    <cellStyle name="쉼표 [0] 37" xfId="9939"/>
    <cellStyle name="쉼표 [0] 4" xfId="13"/>
    <cellStyle name="쉼표 [0] 4 2" xfId="9940"/>
    <cellStyle name="쉼표 [0] 4 2 2" xfId="12981"/>
    <cellStyle name="쉼표 [0] 4 3" xfId="9941"/>
    <cellStyle name="쉼표 [0] 4 4" xfId="9942"/>
    <cellStyle name="쉼표 [0] 4 5" xfId="14112"/>
    <cellStyle name="쉼표 [0] 5" xfId="14"/>
    <cellStyle name="쉼표 [0] 5 2" xfId="9943"/>
    <cellStyle name="쉼표 [0] 5 2 2" xfId="12982"/>
    <cellStyle name="쉼표 [0] 5 3" xfId="9944"/>
    <cellStyle name="쉼표 [0] 5 4" xfId="9945"/>
    <cellStyle name="쉼표 [0] 5 5" xfId="9946"/>
    <cellStyle name="쉼표 [0] 6" xfId="15"/>
    <cellStyle name="쉼표 [0] 6 2" xfId="9947"/>
    <cellStyle name="쉼표 [0] 6 2 2" xfId="12983"/>
    <cellStyle name="쉼표 [0] 6 3" xfId="9948"/>
    <cellStyle name="쉼표 [0] 6 4" xfId="9949"/>
    <cellStyle name="쉼표 [0] 6 5" xfId="14113"/>
    <cellStyle name="쉼표 [0] 7" xfId="9950"/>
    <cellStyle name="쉼표 [0] 7 2" xfId="9951"/>
    <cellStyle name="쉼표 [0] 7 3" xfId="9952"/>
    <cellStyle name="쉼표 [0] 7 4" xfId="9953"/>
    <cellStyle name="쉼표 [0] 7 5" xfId="12984"/>
    <cellStyle name="쉼표 [0] 8" xfId="9954"/>
    <cellStyle name="쉼표 [0] 8 2" xfId="12985"/>
    <cellStyle name="쉼표 [0] 8 3" xfId="12986"/>
    <cellStyle name="쉼표 [0] 9" xfId="9955"/>
    <cellStyle name="쉼표 [0] 9 2" xfId="9956"/>
    <cellStyle name="쉼표 [0] 9 3" xfId="9957"/>
    <cellStyle name="쉼표 [0] 9 4" xfId="9958"/>
    <cellStyle name="스타일 1" xfId="16"/>
    <cellStyle name="스타일 1 10" xfId="9959"/>
    <cellStyle name="스타일 1 11" xfId="9960"/>
    <cellStyle name="스타일 1 12" xfId="9961"/>
    <cellStyle name="스타일 1 13" xfId="9962"/>
    <cellStyle name="스타일 1 14" xfId="9963"/>
    <cellStyle name="스타일 1 15" xfId="9964"/>
    <cellStyle name="스타일 1 16" xfId="9965"/>
    <cellStyle name="스타일 1 17" xfId="9966"/>
    <cellStyle name="스타일 1 18" xfId="9967"/>
    <cellStyle name="스타일 1 19" xfId="9968"/>
    <cellStyle name="스타일 1 2" xfId="9969"/>
    <cellStyle name="스타일 1 20" xfId="9970"/>
    <cellStyle name="스타일 1 21" xfId="9971"/>
    <cellStyle name="스타일 1 22" xfId="9972"/>
    <cellStyle name="스타일 1 23" xfId="9973"/>
    <cellStyle name="스타일 1 24" xfId="9974"/>
    <cellStyle name="스타일 1 25" xfId="9975"/>
    <cellStyle name="스타일 1 26" xfId="9976"/>
    <cellStyle name="스타일 1 27" xfId="9977"/>
    <cellStyle name="스타일 1 28" xfId="9978"/>
    <cellStyle name="스타일 1 29" xfId="9979"/>
    <cellStyle name="스타일 1 3" xfId="9980"/>
    <cellStyle name="스타일 1 30" xfId="9981"/>
    <cellStyle name="스타일 1 31" xfId="9982"/>
    <cellStyle name="스타일 1 32" xfId="9983"/>
    <cellStyle name="스타일 1 33" xfId="9984"/>
    <cellStyle name="스타일 1 34" xfId="9985"/>
    <cellStyle name="스타일 1 35" xfId="9986"/>
    <cellStyle name="스타일 1 36" xfId="9987"/>
    <cellStyle name="스타일 1 37" xfId="9988"/>
    <cellStyle name="스타일 1 38" xfId="9989"/>
    <cellStyle name="스타일 1 39" xfId="9990"/>
    <cellStyle name="스타일 1 4" xfId="9991"/>
    <cellStyle name="스타일 1 40" xfId="9992"/>
    <cellStyle name="스타일 1 41" xfId="9993"/>
    <cellStyle name="스타일 1 42" xfId="9994"/>
    <cellStyle name="스타일 1 43" xfId="9995"/>
    <cellStyle name="스타일 1 44" xfId="9996"/>
    <cellStyle name="스타일 1 45" xfId="9997"/>
    <cellStyle name="스타일 1 46" xfId="9998"/>
    <cellStyle name="스타일 1 47" xfId="9999"/>
    <cellStyle name="스타일 1 48" xfId="10000"/>
    <cellStyle name="스타일 1 49" xfId="10001"/>
    <cellStyle name="스타일 1 5" xfId="10002"/>
    <cellStyle name="스타일 1 50" xfId="10003"/>
    <cellStyle name="스타일 1 51" xfId="10004"/>
    <cellStyle name="스타일 1 52" xfId="10005"/>
    <cellStyle name="스타일 1 53" xfId="10006"/>
    <cellStyle name="스타일 1 54" xfId="10007"/>
    <cellStyle name="스타일 1 55" xfId="10008"/>
    <cellStyle name="스타일 1 56" xfId="10009"/>
    <cellStyle name="스타일 1 57" xfId="10010"/>
    <cellStyle name="스타일 1 58" xfId="10011"/>
    <cellStyle name="스타일 1 59" xfId="10012"/>
    <cellStyle name="스타일 1 6" xfId="10013"/>
    <cellStyle name="스타일 1 60" xfId="10014"/>
    <cellStyle name="스타일 1 61" xfId="10015"/>
    <cellStyle name="스타일 1 62" xfId="10016"/>
    <cellStyle name="스타일 1 63" xfId="10017"/>
    <cellStyle name="스타일 1 7" xfId="10018"/>
    <cellStyle name="스타일 1 8" xfId="10019"/>
    <cellStyle name="스타일 1 9" xfId="10020"/>
    <cellStyle name="스타일 1_가격추이" xfId="10021"/>
    <cellStyle name="스타일 10" xfId="10022"/>
    <cellStyle name="스타일 100" xfId="10023"/>
    <cellStyle name="스타일 101" xfId="10024"/>
    <cellStyle name="스타일 102" xfId="10025"/>
    <cellStyle name="스타일 103" xfId="10026"/>
    <cellStyle name="스타일 104" xfId="10027"/>
    <cellStyle name="스타일 105" xfId="10028"/>
    <cellStyle name="스타일 106" xfId="10029"/>
    <cellStyle name="스타일 107" xfId="10030"/>
    <cellStyle name="스타일 108" xfId="10031"/>
    <cellStyle name="스타일 109" xfId="10032"/>
    <cellStyle name="스타일 11" xfId="10033"/>
    <cellStyle name="스타일 110" xfId="10034"/>
    <cellStyle name="스타일 111" xfId="10035"/>
    <cellStyle name="스타일 112" xfId="10036"/>
    <cellStyle name="스타일 113" xfId="10037"/>
    <cellStyle name="스타일 114" xfId="10038"/>
    <cellStyle name="스타일 115" xfId="10039"/>
    <cellStyle name="스타일 116" xfId="10040"/>
    <cellStyle name="스타일 117" xfId="10041"/>
    <cellStyle name="스타일 118" xfId="10042"/>
    <cellStyle name="스타일 119" xfId="10043"/>
    <cellStyle name="스타일 12" xfId="10044"/>
    <cellStyle name="스타일 120" xfId="10045"/>
    <cellStyle name="스타일 121" xfId="10046"/>
    <cellStyle name="스타일 122" xfId="10047"/>
    <cellStyle name="스타일 123" xfId="10048"/>
    <cellStyle name="스타일 124" xfId="10049"/>
    <cellStyle name="스타일 125" xfId="10050"/>
    <cellStyle name="스타일 126" xfId="10051"/>
    <cellStyle name="스타일 127" xfId="10052"/>
    <cellStyle name="스타일 128" xfId="10053"/>
    <cellStyle name="스타일 129" xfId="10054"/>
    <cellStyle name="스타일 13" xfId="10055"/>
    <cellStyle name="스타일 130" xfId="10056"/>
    <cellStyle name="스타일 131" xfId="10057"/>
    <cellStyle name="스타일 132" xfId="10058"/>
    <cellStyle name="스타일 133" xfId="10059"/>
    <cellStyle name="스타일 134" xfId="10060"/>
    <cellStyle name="스타일 135" xfId="10061"/>
    <cellStyle name="스타일 136" xfId="10062"/>
    <cellStyle name="스타일 137" xfId="10063"/>
    <cellStyle name="스타일 138" xfId="10064"/>
    <cellStyle name="스타일 139" xfId="10065"/>
    <cellStyle name="스타일 14" xfId="10066"/>
    <cellStyle name="스타일 140" xfId="10067"/>
    <cellStyle name="스타일 141" xfId="10068"/>
    <cellStyle name="스타일 142" xfId="10069"/>
    <cellStyle name="스타일 143" xfId="10070"/>
    <cellStyle name="스타일 144" xfId="10071"/>
    <cellStyle name="스타일 145" xfId="10072"/>
    <cellStyle name="스타일 146" xfId="10073"/>
    <cellStyle name="스타일 147" xfId="10074"/>
    <cellStyle name="스타일 148" xfId="10075"/>
    <cellStyle name="스타일 149" xfId="10076"/>
    <cellStyle name="스타일 15" xfId="10077"/>
    <cellStyle name="스타일 150" xfId="10078"/>
    <cellStyle name="스타일 151" xfId="10079"/>
    <cellStyle name="스타일 152" xfId="10080"/>
    <cellStyle name="스타일 153" xfId="10081"/>
    <cellStyle name="스타일 154" xfId="10082"/>
    <cellStyle name="스타일 155" xfId="10083"/>
    <cellStyle name="스타일 156" xfId="10084"/>
    <cellStyle name="스타일 157" xfId="10085"/>
    <cellStyle name="스타일 158" xfId="10086"/>
    <cellStyle name="스타일 159" xfId="10087"/>
    <cellStyle name="스타일 16" xfId="10088"/>
    <cellStyle name="스타일 160" xfId="10089"/>
    <cellStyle name="스타일 161" xfId="10090"/>
    <cellStyle name="스타일 162" xfId="10091"/>
    <cellStyle name="스타일 163" xfId="10092"/>
    <cellStyle name="스타일 164" xfId="10093"/>
    <cellStyle name="스타일 165" xfId="10094"/>
    <cellStyle name="스타일 166" xfId="10095"/>
    <cellStyle name="스타일 167" xfId="10096"/>
    <cellStyle name="스타일 168" xfId="10097"/>
    <cellStyle name="스타일 169" xfId="10098"/>
    <cellStyle name="스타일 17" xfId="10099"/>
    <cellStyle name="스타일 170" xfId="10100"/>
    <cellStyle name="스타일 171" xfId="10101"/>
    <cellStyle name="스타일 172" xfId="10102"/>
    <cellStyle name="스타일 173" xfId="10103"/>
    <cellStyle name="스타일 174" xfId="10104"/>
    <cellStyle name="스타일 175" xfId="10105"/>
    <cellStyle name="스타일 176" xfId="10106"/>
    <cellStyle name="스타일 177" xfId="10107"/>
    <cellStyle name="스타일 178" xfId="10108"/>
    <cellStyle name="스타일 179" xfId="10109"/>
    <cellStyle name="스타일 18" xfId="10110"/>
    <cellStyle name="스타일 180" xfId="10111"/>
    <cellStyle name="스타일 181" xfId="10112"/>
    <cellStyle name="스타일 182" xfId="10113"/>
    <cellStyle name="스타일 183" xfId="10114"/>
    <cellStyle name="스타일 184" xfId="10115"/>
    <cellStyle name="스타일 185" xfId="10116"/>
    <cellStyle name="스타일 186" xfId="10117"/>
    <cellStyle name="스타일 187" xfId="10118"/>
    <cellStyle name="스타일 188" xfId="10119"/>
    <cellStyle name="스타일 189" xfId="10120"/>
    <cellStyle name="스타일 19" xfId="10121"/>
    <cellStyle name="스타일 190" xfId="10122"/>
    <cellStyle name="스타일 191" xfId="10123"/>
    <cellStyle name="스타일 192" xfId="10124"/>
    <cellStyle name="스타일 193" xfId="10125"/>
    <cellStyle name="스타일 194" xfId="10126"/>
    <cellStyle name="스타일 195" xfId="10127"/>
    <cellStyle name="스타일 196" xfId="10128"/>
    <cellStyle name="스타일 197" xfId="10129"/>
    <cellStyle name="스타일 198" xfId="10130"/>
    <cellStyle name="스타일 199" xfId="10131"/>
    <cellStyle name="스타일 2" xfId="10132"/>
    <cellStyle name="스타일 20" xfId="10133"/>
    <cellStyle name="스타일 200" xfId="10134"/>
    <cellStyle name="스타일 201" xfId="10135"/>
    <cellStyle name="스타일 202" xfId="10136"/>
    <cellStyle name="스타일 203" xfId="10137"/>
    <cellStyle name="스타일 204" xfId="10138"/>
    <cellStyle name="스타일 205" xfId="10139"/>
    <cellStyle name="스타일 206" xfId="10140"/>
    <cellStyle name="스타일 207" xfId="10141"/>
    <cellStyle name="스타일 208" xfId="10142"/>
    <cellStyle name="스타일 209" xfId="10143"/>
    <cellStyle name="스타일 21" xfId="10144"/>
    <cellStyle name="스타일 210" xfId="10145"/>
    <cellStyle name="스타일 211" xfId="10146"/>
    <cellStyle name="스타일 212" xfId="10147"/>
    <cellStyle name="스타일 213" xfId="10148"/>
    <cellStyle name="스타일 214" xfId="10149"/>
    <cellStyle name="스타일 215" xfId="10150"/>
    <cellStyle name="스타일 216" xfId="10151"/>
    <cellStyle name="스타일 217" xfId="10152"/>
    <cellStyle name="스타일 218" xfId="10153"/>
    <cellStyle name="스타일 219" xfId="10154"/>
    <cellStyle name="스타일 22" xfId="10155"/>
    <cellStyle name="스타일 220" xfId="10156"/>
    <cellStyle name="스타일 221" xfId="10157"/>
    <cellStyle name="스타일 222" xfId="10158"/>
    <cellStyle name="스타일 223" xfId="10159"/>
    <cellStyle name="스타일 224" xfId="10160"/>
    <cellStyle name="스타일 225" xfId="10161"/>
    <cellStyle name="스타일 226" xfId="10162"/>
    <cellStyle name="스타일 227" xfId="10163"/>
    <cellStyle name="스타일 228" xfId="10164"/>
    <cellStyle name="스타일 229" xfId="10165"/>
    <cellStyle name="스타일 23" xfId="10166"/>
    <cellStyle name="스타일 230" xfId="10167"/>
    <cellStyle name="스타일 231" xfId="10168"/>
    <cellStyle name="스타일 232" xfId="10169"/>
    <cellStyle name="스타일 233" xfId="10170"/>
    <cellStyle name="스타일 234" xfId="10171"/>
    <cellStyle name="스타일 235" xfId="10172"/>
    <cellStyle name="스타일 236" xfId="10173"/>
    <cellStyle name="스타일 237" xfId="10174"/>
    <cellStyle name="스타일 238" xfId="10175"/>
    <cellStyle name="스타일 239" xfId="10176"/>
    <cellStyle name="스타일 24" xfId="10177"/>
    <cellStyle name="스타일 240" xfId="10178"/>
    <cellStyle name="스타일 241" xfId="10179"/>
    <cellStyle name="스타일 242" xfId="10180"/>
    <cellStyle name="스타일 243" xfId="10181"/>
    <cellStyle name="스타일 244" xfId="10182"/>
    <cellStyle name="스타일 245" xfId="10183"/>
    <cellStyle name="스타일 246" xfId="10184"/>
    <cellStyle name="스타일 247" xfId="10185"/>
    <cellStyle name="스타일 248" xfId="10186"/>
    <cellStyle name="스타일 249" xfId="10187"/>
    <cellStyle name="스타일 25" xfId="10188"/>
    <cellStyle name="스타일 250" xfId="10189"/>
    <cellStyle name="스타일 251" xfId="10190"/>
    <cellStyle name="스타일 252" xfId="10191"/>
    <cellStyle name="스타일 253" xfId="10192"/>
    <cellStyle name="스타일 254" xfId="10193"/>
    <cellStyle name="스타일 255" xfId="10194"/>
    <cellStyle name="스타일 26" xfId="10195"/>
    <cellStyle name="스타일 27" xfId="10196"/>
    <cellStyle name="스타일 28" xfId="10197"/>
    <cellStyle name="스타일 29" xfId="10198"/>
    <cellStyle name="스타일 3" xfId="10199"/>
    <cellStyle name="스타일 30" xfId="10200"/>
    <cellStyle name="스타일 31" xfId="10201"/>
    <cellStyle name="스타일 32" xfId="10202"/>
    <cellStyle name="스타일 33" xfId="10203"/>
    <cellStyle name="스타일 34" xfId="10204"/>
    <cellStyle name="스타일 35" xfId="10205"/>
    <cellStyle name="스타일 36" xfId="10206"/>
    <cellStyle name="스타일 37" xfId="10207"/>
    <cellStyle name="스타일 38" xfId="10208"/>
    <cellStyle name="스타일 39" xfId="10209"/>
    <cellStyle name="스타일 4" xfId="10210"/>
    <cellStyle name="스타일 40" xfId="10211"/>
    <cellStyle name="스타일 41" xfId="10212"/>
    <cellStyle name="스타일 42" xfId="10213"/>
    <cellStyle name="스타일 43" xfId="10214"/>
    <cellStyle name="스타일 44" xfId="10215"/>
    <cellStyle name="스타일 45" xfId="10216"/>
    <cellStyle name="스타일 46" xfId="10217"/>
    <cellStyle name="스타일 47" xfId="10218"/>
    <cellStyle name="스타일 48" xfId="10219"/>
    <cellStyle name="스타일 49" xfId="10220"/>
    <cellStyle name="스타일 5" xfId="10221"/>
    <cellStyle name="스타일 50" xfId="10222"/>
    <cellStyle name="스타일 51" xfId="10223"/>
    <cellStyle name="스타일 52" xfId="10224"/>
    <cellStyle name="스타일 53" xfId="10225"/>
    <cellStyle name="스타일 54" xfId="10226"/>
    <cellStyle name="스타일 55" xfId="10227"/>
    <cellStyle name="스타일 56" xfId="10228"/>
    <cellStyle name="스타일 57" xfId="10229"/>
    <cellStyle name="스타일 58" xfId="10230"/>
    <cellStyle name="스타일 59" xfId="10231"/>
    <cellStyle name="스타일 6" xfId="10232"/>
    <cellStyle name="스타일 60" xfId="10233"/>
    <cellStyle name="스타일 61" xfId="10234"/>
    <cellStyle name="스타일 62" xfId="10235"/>
    <cellStyle name="스타일 63" xfId="10236"/>
    <cellStyle name="스타일 64" xfId="10237"/>
    <cellStyle name="스타일 65" xfId="10238"/>
    <cellStyle name="스타일 66" xfId="10239"/>
    <cellStyle name="스타일 67" xfId="10240"/>
    <cellStyle name="스타일 68" xfId="10241"/>
    <cellStyle name="스타일 69" xfId="10242"/>
    <cellStyle name="스타일 7" xfId="10243"/>
    <cellStyle name="스타일 70" xfId="10244"/>
    <cellStyle name="스타일 71" xfId="10245"/>
    <cellStyle name="스타일 72" xfId="10246"/>
    <cellStyle name="스타일 73" xfId="10247"/>
    <cellStyle name="스타일 74" xfId="10248"/>
    <cellStyle name="스타일 75" xfId="10249"/>
    <cellStyle name="스타일 76" xfId="10250"/>
    <cellStyle name="스타일 77" xfId="10251"/>
    <cellStyle name="스타일 78" xfId="10252"/>
    <cellStyle name="스타일 79" xfId="10253"/>
    <cellStyle name="스타일 8" xfId="10254"/>
    <cellStyle name="스타일 80" xfId="10255"/>
    <cellStyle name="스타일 81" xfId="10256"/>
    <cellStyle name="스타일 82" xfId="10257"/>
    <cellStyle name="스타일 83" xfId="10258"/>
    <cellStyle name="스타일 84" xfId="10259"/>
    <cellStyle name="스타일 85" xfId="10260"/>
    <cellStyle name="스타일 86" xfId="10261"/>
    <cellStyle name="스타일 87" xfId="10262"/>
    <cellStyle name="스타일 88" xfId="10263"/>
    <cellStyle name="스타일 89" xfId="10264"/>
    <cellStyle name="스타일 9" xfId="10265"/>
    <cellStyle name="스타일 90" xfId="10266"/>
    <cellStyle name="스타일 91" xfId="10267"/>
    <cellStyle name="스타일 92" xfId="10268"/>
    <cellStyle name="스타일 93" xfId="10269"/>
    <cellStyle name="스타일 94" xfId="10270"/>
    <cellStyle name="스타일 95" xfId="10271"/>
    <cellStyle name="스타일 96" xfId="10272"/>
    <cellStyle name="스타일 97" xfId="10273"/>
    <cellStyle name="스타일 98" xfId="10274"/>
    <cellStyle name="스타일 99" xfId="10275"/>
    <cellStyle name="신규계약" xfId="10276"/>
    <cellStyle name="안건회계법인" xfId="10277"/>
    <cellStyle name="액제" xfId="10278"/>
    <cellStyle name="앰플" xfId="10279"/>
    <cellStyle name="연결된 셀" xfId="13167" builtinId="24" customBuiltin="1"/>
    <cellStyle name="연결된 셀 10" xfId="10280"/>
    <cellStyle name="연결된 셀 11" xfId="10281"/>
    <cellStyle name="연결된 셀 12" xfId="10282"/>
    <cellStyle name="연결된 셀 13" xfId="10283"/>
    <cellStyle name="연결된 셀 14" xfId="10284"/>
    <cellStyle name="연결된 셀 15" xfId="10285"/>
    <cellStyle name="연결된 셀 16" xfId="10286"/>
    <cellStyle name="연결된 셀 17" xfId="10287"/>
    <cellStyle name="연결된 셀 18" xfId="10288"/>
    <cellStyle name="연결된 셀 19" xfId="10289"/>
    <cellStyle name="연결된 셀 2" xfId="10290"/>
    <cellStyle name="연결된 셀 2 2" xfId="12987"/>
    <cellStyle name="연결된 셀 20" xfId="10291"/>
    <cellStyle name="연결된 셀 21" xfId="10292"/>
    <cellStyle name="연결된 셀 22" xfId="10293"/>
    <cellStyle name="연결된 셀 23" xfId="10294"/>
    <cellStyle name="연결된 셀 24" xfId="10295"/>
    <cellStyle name="연결된 셀 25" xfId="10296"/>
    <cellStyle name="연결된 셀 26" xfId="10297"/>
    <cellStyle name="연결된 셀 27" xfId="10298"/>
    <cellStyle name="연결된 셀 28" xfId="10299"/>
    <cellStyle name="연결된 셀 29" xfId="10300"/>
    <cellStyle name="연결된 셀 3" xfId="10301"/>
    <cellStyle name="연결된 셀 30" xfId="10302"/>
    <cellStyle name="연결된 셀 31" xfId="10303"/>
    <cellStyle name="연결된 셀 32" xfId="10304"/>
    <cellStyle name="연결된 셀 33" xfId="10305"/>
    <cellStyle name="연결된 셀 34" xfId="10306"/>
    <cellStyle name="연결된 셀 35" xfId="10307"/>
    <cellStyle name="연결된 셀 36" xfId="10308"/>
    <cellStyle name="연결된 셀 37" xfId="10309"/>
    <cellStyle name="연결된 셀 38" xfId="10310"/>
    <cellStyle name="연결된 셀 39" xfId="10311"/>
    <cellStyle name="연결된 셀 4" xfId="10312"/>
    <cellStyle name="연결된 셀 40" xfId="10313"/>
    <cellStyle name="연결된 셀 41" xfId="10314"/>
    <cellStyle name="연결된 셀 42" xfId="10315"/>
    <cellStyle name="연결된 셀 43" xfId="10316"/>
    <cellStyle name="연결된 셀 44" xfId="10317"/>
    <cellStyle name="연결된 셀 45" xfId="10318"/>
    <cellStyle name="연결된 셀 46" xfId="10319"/>
    <cellStyle name="연결된 셀 47" xfId="10320"/>
    <cellStyle name="연결된 셀 48" xfId="10321"/>
    <cellStyle name="연결된 셀 49" xfId="10322"/>
    <cellStyle name="연결된 셀 5" xfId="10323"/>
    <cellStyle name="연결된 셀 50" xfId="10324"/>
    <cellStyle name="연결된 셀 51" xfId="10325"/>
    <cellStyle name="연결된 셀 52" xfId="10326"/>
    <cellStyle name="연결된 셀 53" xfId="10327"/>
    <cellStyle name="연결된 셀 54" xfId="10328"/>
    <cellStyle name="연결된 셀 55" xfId="10329"/>
    <cellStyle name="연결된 셀 56" xfId="10330"/>
    <cellStyle name="연결된 셀 57" xfId="10331"/>
    <cellStyle name="연결된 셀 58" xfId="10332"/>
    <cellStyle name="연결된 셀 59" xfId="10333"/>
    <cellStyle name="연결된 셀 6" xfId="10334"/>
    <cellStyle name="연결된 셀 60" xfId="10335"/>
    <cellStyle name="연결된 셀 61" xfId="10336"/>
    <cellStyle name="연결된 셀 62" xfId="10337"/>
    <cellStyle name="연결된 셀 63" xfId="10338"/>
    <cellStyle name="연결된 셀 7" xfId="10339"/>
    <cellStyle name="연결된 셀 8" xfId="10340"/>
    <cellStyle name="연결된 셀 9" xfId="10341"/>
    <cellStyle name="연고" xfId="10342"/>
    <cellStyle name="열어 본 하이퍼링크" xfId="14106" builtinId="9" customBuiltin="1"/>
    <cellStyle name="霓付 [0]_95" xfId="10343"/>
    <cellStyle name="霓付_95" xfId="10344"/>
    <cellStyle name="外 貨  借 入" xfId="10345"/>
    <cellStyle name="요약" xfId="13172" builtinId="25" customBuiltin="1"/>
    <cellStyle name="요약 10" xfId="10346"/>
    <cellStyle name="요약 10 2" xfId="10347"/>
    <cellStyle name="요약 10 3" xfId="10348"/>
    <cellStyle name="요약 10 4" xfId="10349"/>
    <cellStyle name="요약 11" xfId="10350"/>
    <cellStyle name="요약 11 2" xfId="10351"/>
    <cellStyle name="요약 11 3" xfId="10352"/>
    <cellStyle name="요약 11 4" xfId="10353"/>
    <cellStyle name="요약 12" xfId="10354"/>
    <cellStyle name="요약 12 2" xfId="10355"/>
    <cellStyle name="요약 12 3" xfId="10356"/>
    <cellStyle name="요약 12 4" xfId="10357"/>
    <cellStyle name="요약 13" xfId="10358"/>
    <cellStyle name="요약 13 2" xfId="10359"/>
    <cellStyle name="요약 13 3" xfId="10360"/>
    <cellStyle name="요약 13 4" xfId="10361"/>
    <cellStyle name="요약 14" xfId="10362"/>
    <cellStyle name="요약 14 2" xfId="10363"/>
    <cellStyle name="요약 14 3" xfId="10364"/>
    <cellStyle name="요약 14 4" xfId="10365"/>
    <cellStyle name="요약 15" xfId="10366"/>
    <cellStyle name="요약 15 2" xfId="10367"/>
    <cellStyle name="요약 15 3" xfId="10368"/>
    <cellStyle name="요약 15 4" xfId="10369"/>
    <cellStyle name="요약 16" xfId="10370"/>
    <cellStyle name="요약 16 2" xfId="10371"/>
    <cellStyle name="요약 16 3" xfId="10372"/>
    <cellStyle name="요약 16 4" xfId="10373"/>
    <cellStyle name="요약 17" xfId="10374"/>
    <cellStyle name="요약 17 2" xfId="10375"/>
    <cellStyle name="요약 17 3" xfId="10376"/>
    <cellStyle name="요약 17 4" xfId="10377"/>
    <cellStyle name="요약 18" xfId="10378"/>
    <cellStyle name="요약 18 2" xfId="10379"/>
    <cellStyle name="요약 18 3" xfId="10380"/>
    <cellStyle name="요약 18 4" xfId="10381"/>
    <cellStyle name="요약 19" xfId="10382"/>
    <cellStyle name="요약 19 2" xfId="10383"/>
    <cellStyle name="요약 19 3" xfId="10384"/>
    <cellStyle name="요약 19 4" xfId="10385"/>
    <cellStyle name="요약 2" xfId="10386"/>
    <cellStyle name="요약 2 2" xfId="10387"/>
    <cellStyle name="요약 2 3" xfId="10388"/>
    <cellStyle name="요약 2 4" xfId="10389"/>
    <cellStyle name="요약 2 5" xfId="12988"/>
    <cellStyle name="요약 20" xfId="10390"/>
    <cellStyle name="요약 20 2" xfId="10391"/>
    <cellStyle name="요약 20 3" xfId="10392"/>
    <cellStyle name="요약 20 4" xfId="10393"/>
    <cellStyle name="요약 21" xfId="10394"/>
    <cellStyle name="요약 21 2" xfId="10395"/>
    <cellStyle name="요약 21 3" xfId="10396"/>
    <cellStyle name="요약 21 4" xfId="10397"/>
    <cellStyle name="요약 22" xfId="10398"/>
    <cellStyle name="요약 22 2" xfId="10399"/>
    <cellStyle name="요약 22 3" xfId="10400"/>
    <cellStyle name="요약 22 4" xfId="10401"/>
    <cellStyle name="요약 23" xfId="10402"/>
    <cellStyle name="요약 23 2" xfId="10403"/>
    <cellStyle name="요약 23 3" xfId="10404"/>
    <cellStyle name="요약 23 4" xfId="10405"/>
    <cellStyle name="요약 24" xfId="10406"/>
    <cellStyle name="요약 24 2" xfId="10407"/>
    <cellStyle name="요약 24 3" xfId="10408"/>
    <cellStyle name="요약 24 4" xfId="10409"/>
    <cellStyle name="요약 25" xfId="10410"/>
    <cellStyle name="요약 25 2" xfId="10411"/>
    <cellStyle name="요약 25 3" xfId="10412"/>
    <cellStyle name="요약 25 4" xfId="10413"/>
    <cellStyle name="요약 26" xfId="10414"/>
    <cellStyle name="요약 26 2" xfId="10415"/>
    <cellStyle name="요약 26 3" xfId="10416"/>
    <cellStyle name="요약 26 4" xfId="10417"/>
    <cellStyle name="요약 27" xfId="10418"/>
    <cellStyle name="요약 27 2" xfId="10419"/>
    <cellStyle name="요약 27 3" xfId="10420"/>
    <cellStyle name="요약 27 4" xfId="10421"/>
    <cellStyle name="요약 28" xfId="10422"/>
    <cellStyle name="요약 28 2" xfId="10423"/>
    <cellStyle name="요약 28 3" xfId="10424"/>
    <cellStyle name="요약 28 4" xfId="10425"/>
    <cellStyle name="요약 29" xfId="10426"/>
    <cellStyle name="요약 29 2" xfId="10427"/>
    <cellStyle name="요약 29 3" xfId="10428"/>
    <cellStyle name="요약 29 4" xfId="10429"/>
    <cellStyle name="요약 3" xfId="10430"/>
    <cellStyle name="요약 3 2" xfId="10431"/>
    <cellStyle name="요약 3 3" xfId="10432"/>
    <cellStyle name="요약 3 4" xfId="10433"/>
    <cellStyle name="요약 30" xfId="10434"/>
    <cellStyle name="요약 30 2" xfId="10435"/>
    <cellStyle name="요약 30 3" xfId="10436"/>
    <cellStyle name="요약 30 4" xfId="10437"/>
    <cellStyle name="요약 31" xfId="10438"/>
    <cellStyle name="요약 31 2" xfId="10439"/>
    <cellStyle name="요약 31 3" xfId="10440"/>
    <cellStyle name="요약 31 4" xfId="10441"/>
    <cellStyle name="요약 32" xfId="10442"/>
    <cellStyle name="요약 32 2" xfId="10443"/>
    <cellStyle name="요약 32 3" xfId="10444"/>
    <cellStyle name="요약 32 4" xfId="10445"/>
    <cellStyle name="요약 33" xfId="10446"/>
    <cellStyle name="요약 33 2" xfId="10447"/>
    <cellStyle name="요약 33 3" xfId="10448"/>
    <cellStyle name="요약 33 4" xfId="10449"/>
    <cellStyle name="요약 34" xfId="10450"/>
    <cellStyle name="요약 34 2" xfId="10451"/>
    <cellStyle name="요약 34 3" xfId="10452"/>
    <cellStyle name="요약 34 4" xfId="10453"/>
    <cellStyle name="요약 35" xfId="10454"/>
    <cellStyle name="요약 35 2" xfId="10455"/>
    <cellStyle name="요약 35 3" xfId="10456"/>
    <cellStyle name="요약 35 4" xfId="10457"/>
    <cellStyle name="요약 36" xfId="10458"/>
    <cellStyle name="요약 36 2" xfId="10459"/>
    <cellStyle name="요약 36 3" xfId="10460"/>
    <cellStyle name="요약 36 4" xfId="10461"/>
    <cellStyle name="요약 37" xfId="10462"/>
    <cellStyle name="요약 37 2" xfId="10463"/>
    <cellStyle name="요약 37 3" xfId="10464"/>
    <cellStyle name="요약 37 4" xfId="10465"/>
    <cellStyle name="요약 38" xfId="10466"/>
    <cellStyle name="요약 38 2" xfId="10467"/>
    <cellStyle name="요약 38 3" xfId="10468"/>
    <cellStyle name="요약 38 4" xfId="10469"/>
    <cellStyle name="요약 39" xfId="10470"/>
    <cellStyle name="요약 39 2" xfId="10471"/>
    <cellStyle name="요약 39 3" xfId="10472"/>
    <cellStyle name="요약 39 4" xfId="10473"/>
    <cellStyle name="요약 4" xfId="10474"/>
    <cellStyle name="요약 4 2" xfId="10475"/>
    <cellStyle name="요약 4 3" xfId="10476"/>
    <cellStyle name="요약 4 4" xfId="10477"/>
    <cellStyle name="요약 40" xfId="10478"/>
    <cellStyle name="요약 40 2" xfId="10479"/>
    <cellStyle name="요약 40 3" xfId="10480"/>
    <cellStyle name="요약 40 4" xfId="10481"/>
    <cellStyle name="요약 41" xfId="10482"/>
    <cellStyle name="요약 41 2" xfId="10483"/>
    <cellStyle name="요약 41 3" xfId="10484"/>
    <cellStyle name="요약 41 4" xfId="10485"/>
    <cellStyle name="요약 42" xfId="10486"/>
    <cellStyle name="요약 42 2" xfId="10487"/>
    <cellStyle name="요약 42 3" xfId="10488"/>
    <cellStyle name="요약 42 4" xfId="10489"/>
    <cellStyle name="요약 43" xfId="10490"/>
    <cellStyle name="요약 43 2" xfId="10491"/>
    <cellStyle name="요약 43 3" xfId="10492"/>
    <cellStyle name="요약 43 4" xfId="10493"/>
    <cellStyle name="요약 44" xfId="10494"/>
    <cellStyle name="요약 44 2" xfId="10495"/>
    <cellStyle name="요약 44 3" xfId="10496"/>
    <cellStyle name="요약 44 4" xfId="10497"/>
    <cellStyle name="요약 45" xfId="10498"/>
    <cellStyle name="요약 45 2" xfId="10499"/>
    <cellStyle name="요약 45 3" xfId="10500"/>
    <cellStyle name="요약 45 4" xfId="10501"/>
    <cellStyle name="요약 46" xfId="10502"/>
    <cellStyle name="요약 46 2" xfId="10503"/>
    <cellStyle name="요약 46 3" xfId="10504"/>
    <cellStyle name="요약 46 4" xfId="10505"/>
    <cellStyle name="요약 47" xfId="10506"/>
    <cellStyle name="요약 47 2" xfId="10507"/>
    <cellStyle name="요약 47 3" xfId="10508"/>
    <cellStyle name="요약 47 4" xfId="10509"/>
    <cellStyle name="요약 48" xfId="10510"/>
    <cellStyle name="요약 48 2" xfId="10511"/>
    <cellStyle name="요약 48 3" xfId="10512"/>
    <cellStyle name="요약 48 4" xfId="10513"/>
    <cellStyle name="요약 49" xfId="10514"/>
    <cellStyle name="요약 49 2" xfId="10515"/>
    <cellStyle name="요약 49 3" xfId="10516"/>
    <cellStyle name="요약 49 4" xfId="10517"/>
    <cellStyle name="요약 5" xfId="10518"/>
    <cellStyle name="요약 5 2" xfId="10519"/>
    <cellStyle name="요약 5 3" xfId="10520"/>
    <cellStyle name="요약 5 4" xfId="10521"/>
    <cellStyle name="요약 50" xfId="10522"/>
    <cellStyle name="요약 50 2" xfId="10523"/>
    <cellStyle name="요약 50 3" xfId="10524"/>
    <cellStyle name="요약 50 4" xfId="10525"/>
    <cellStyle name="요약 51" xfId="10526"/>
    <cellStyle name="요약 51 2" xfId="10527"/>
    <cellStyle name="요약 51 3" xfId="10528"/>
    <cellStyle name="요약 51 4" xfId="10529"/>
    <cellStyle name="요약 52" xfId="10530"/>
    <cellStyle name="요약 52 2" xfId="10531"/>
    <cellStyle name="요약 52 3" xfId="10532"/>
    <cellStyle name="요약 52 4" xfId="10533"/>
    <cellStyle name="요약 53" xfId="10534"/>
    <cellStyle name="요약 53 2" xfId="10535"/>
    <cellStyle name="요약 53 3" xfId="10536"/>
    <cellStyle name="요약 53 4" xfId="10537"/>
    <cellStyle name="요약 54" xfId="10538"/>
    <cellStyle name="요약 54 2" xfId="10539"/>
    <cellStyle name="요약 54 3" xfId="10540"/>
    <cellStyle name="요약 54 4" xfId="10541"/>
    <cellStyle name="요약 55" xfId="10542"/>
    <cellStyle name="요약 55 2" xfId="10543"/>
    <cellStyle name="요약 55 3" xfId="10544"/>
    <cellStyle name="요약 55 4" xfId="10545"/>
    <cellStyle name="요약 56" xfId="10546"/>
    <cellStyle name="요약 56 2" xfId="10547"/>
    <cellStyle name="요약 56 3" xfId="10548"/>
    <cellStyle name="요약 56 4" xfId="10549"/>
    <cellStyle name="요약 57" xfId="10550"/>
    <cellStyle name="요약 57 2" xfId="10551"/>
    <cellStyle name="요약 57 3" xfId="10552"/>
    <cellStyle name="요약 57 4" xfId="10553"/>
    <cellStyle name="요약 58" xfId="10554"/>
    <cellStyle name="요약 58 2" xfId="10555"/>
    <cellStyle name="요약 58 3" xfId="10556"/>
    <cellStyle name="요약 58 4" xfId="10557"/>
    <cellStyle name="요약 59" xfId="10558"/>
    <cellStyle name="요약 59 2" xfId="10559"/>
    <cellStyle name="요약 59 3" xfId="10560"/>
    <cellStyle name="요약 59 4" xfId="10561"/>
    <cellStyle name="요약 6" xfId="10562"/>
    <cellStyle name="요약 6 2" xfId="10563"/>
    <cellStyle name="요약 6 3" xfId="10564"/>
    <cellStyle name="요약 6 4" xfId="10565"/>
    <cellStyle name="요약 60" xfId="10566"/>
    <cellStyle name="요약 60 2" xfId="10567"/>
    <cellStyle name="요약 60 3" xfId="10568"/>
    <cellStyle name="요약 60 4" xfId="10569"/>
    <cellStyle name="요약 61" xfId="10570"/>
    <cellStyle name="요약 61 2" xfId="10571"/>
    <cellStyle name="요약 61 3" xfId="10572"/>
    <cellStyle name="요약 61 4" xfId="10573"/>
    <cellStyle name="요약 62" xfId="10574"/>
    <cellStyle name="요약 62 2" xfId="10575"/>
    <cellStyle name="요약 62 3" xfId="10576"/>
    <cellStyle name="요약 62 4" xfId="10577"/>
    <cellStyle name="요약 63" xfId="10578"/>
    <cellStyle name="요약 63 2" xfId="10579"/>
    <cellStyle name="요약 63 3" xfId="10580"/>
    <cellStyle name="요약 63 4" xfId="10581"/>
    <cellStyle name="요약 7" xfId="10582"/>
    <cellStyle name="요약 7 2" xfId="10583"/>
    <cellStyle name="요약 7 3" xfId="10584"/>
    <cellStyle name="요약 7 4" xfId="10585"/>
    <cellStyle name="요약 8" xfId="10586"/>
    <cellStyle name="요약 8 2" xfId="10587"/>
    <cellStyle name="요약 8 3" xfId="10588"/>
    <cellStyle name="요약 8 4" xfId="10589"/>
    <cellStyle name="요약 9" xfId="10590"/>
    <cellStyle name="요약 9 2" xfId="10591"/>
    <cellStyle name="요약 9 3" xfId="10592"/>
    <cellStyle name="요약 9 4" xfId="10593"/>
    <cellStyle name="원" xfId="10594"/>
    <cellStyle name="원_롯데역사보고서폼" xfId="10595"/>
    <cellStyle name="원통화" xfId="10596"/>
    <cellStyle name="원화" xfId="10597"/>
    <cellStyle name="월당월 (2)" xfId="10598"/>
    <cellStyle name="유형" xfId="10599"/>
    <cellStyle name="一般_306B Monthly Reconciliation" xfId="10600"/>
    <cellStyle name="입력" xfId="13164" builtinId="20" customBuiltin="1"/>
    <cellStyle name="입력 10" xfId="10601"/>
    <cellStyle name="입력 10 2" xfId="10602"/>
    <cellStyle name="입력 10 3" xfId="10603"/>
    <cellStyle name="입력 10 4" xfId="10604"/>
    <cellStyle name="입력 11" xfId="10605"/>
    <cellStyle name="입력 11 2" xfId="10606"/>
    <cellStyle name="입력 11 3" xfId="10607"/>
    <cellStyle name="입력 11 4" xfId="10608"/>
    <cellStyle name="입력 12" xfId="10609"/>
    <cellStyle name="입력 12 2" xfId="10610"/>
    <cellStyle name="입력 12 3" xfId="10611"/>
    <cellStyle name="입력 12 4" xfId="10612"/>
    <cellStyle name="입력 13" xfId="10613"/>
    <cellStyle name="입력 13 2" xfId="10614"/>
    <cellStyle name="입력 13 3" xfId="10615"/>
    <cellStyle name="입력 13 4" xfId="10616"/>
    <cellStyle name="입력 14" xfId="10617"/>
    <cellStyle name="입력 14 2" xfId="10618"/>
    <cellStyle name="입력 14 3" xfId="10619"/>
    <cellStyle name="입력 14 4" xfId="10620"/>
    <cellStyle name="입력 15" xfId="10621"/>
    <cellStyle name="입력 15 2" xfId="10622"/>
    <cellStyle name="입력 15 3" xfId="10623"/>
    <cellStyle name="입력 15 4" xfId="10624"/>
    <cellStyle name="입력 16" xfId="10625"/>
    <cellStyle name="입력 16 2" xfId="10626"/>
    <cellStyle name="입력 16 3" xfId="10627"/>
    <cellStyle name="입력 16 4" xfId="10628"/>
    <cellStyle name="입력 17" xfId="10629"/>
    <cellStyle name="입력 17 2" xfId="10630"/>
    <cellStyle name="입력 17 3" xfId="10631"/>
    <cellStyle name="입력 17 4" xfId="10632"/>
    <cellStyle name="입력 18" xfId="10633"/>
    <cellStyle name="입력 18 2" xfId="10634"/>
    <cellStyle name="입력 18 3" xfId="10635"/>
    <cellStyle name="입력 18 4" xfId="10636"/>
    <cellStyle name="입력 19" xfId="10637"/>
    <cellStyle name="입력 19 2" xfId="10638"/>
    <cellStyle name="입력 19 3" xfId="10639"/>
    <cellStyle name="입력 19 4" xfId="10640"/>
    <cellStyle name="입력 2" xfId="10641"/>
    <cellStyle name="입력 2 2" xfId="10642"/>
    <cellStyle name="입력 2 3" xfId="10643"/>
    <cellStyle name="입력 2 4" xfId="10644"/>
    <cellStyle name="입력 2 5" xfId="12989"/>
    <cellStyle name="입력 20" xfId="10645"/>
    <cellStyle name="입력 20 2" xfId="10646"/>
    <cellStyle name="입력 20 3" xfId="10647"/>
    <cellStyle name="입력 20 4" xfId="10648"/>
    <cellStyle name="입력 21" xfId="10649"/>
    <cellStyle name="입력 21 2" xfId="10650"/>
    <cellStyle name="입력 21 3" xfId="10651"/>
    <cellStyle name="입력 21 4" xfId="10652"/>
    <cellStyle name="입력 22" xfId="10653"/>
    <cellStyle name="입력 22 2" xfId="10654"/>
    <cellStyle name="입력 22 3" xfId="10655"/>
    <cellStyle name="입력 22 4" xfId="10656"/>
    <cellStyle name="입력 23" xfId="10657"/>
    <cellStyle name="입력 23 2" xfId="10658"/>
    <cellStyle name="입력 23 3" xfId="10659"/>
    <cellStyle name="입력 23 4" xfId="10660"/>
    <cellStyle name="입력 24" xfId="10661"/>
    <cellStyle name="입력 24 2" xfId="10662"/>
    <cellStyle name="입력 24 3" xfId="10663"/>
    <cellStyle name="입력 24 4" xfId="10664"/>
    <cellStyle name="입력 25" xfId="10665"/>
    <cellStyle name="입력 25 2" xfId="10666"/>
    <cellStyle name="입력 25 3" xfId="10667"/>
    <cellStyle name="입력 25 4" xfId="10668"/>
    <cellStyle name="입력 26" xfId="10669"/>
    <cellStyle name="입력 26 2" xfId="10670"/>
    <cellStyle name="입력 26 3" xfId="10671"/>
    <cellStyle name="입력 26 4" xfId="10672"/>
    <cellStyle name="입력 27" xfId="10673"/>
    <cellStyle name="입력 27 2" xfId="10674"/>
    <cellStyle name="입력 27 3" xfId="10675"/>
    <cellStyle name="입력 27 4" xfId="10676"/>
    <cellStyle name="입력 28" xfId="10677"/>
    <cellStyle name="입력 28 2" xfId="10678"/>
    <cellStyle name="입력 28 3" xfId="10679"/>
    <cellStyle name="입력 28 4" xfId="10680"/>
    <cellStyle name="입력 29" xfId="10681"/>
    <cellStyle name="입력 29 2" xfId="10682"/>
    <cellStyle name="입력 29 3" xfId="10683"/>
    <cellStyle name="입력 29 4" xfId="10684"/>
    <cellStyle name="입력 3" xfId="10685"/>
    <cellStyle name="입력 3 2" xfId="10686"/>
    <cellStyle name="입력 3 3" xfId="10687"/>
    <cellStyle name="입력 3 4" xfId="10688"/>
    <cellStyle name="입력 30" xfId="10689"/>
    <cellStyle name="입력 30 2" xfId="10690"/>
    <cellStyle name="입력 30 3" xfId="10691"/>
    <cellStyle name="입력 30 4" xfId="10692"/>
    <cellStyle name="입력 31" xfId="10693"/>
    <cellStyle name="입력 31 2" xfId="10694"/>
    <cellStyle name="입력 31 3" xfId="10695"/>
    <cellStyle name="입력 31 4" xfId="10696"/>
    <cellStyle name="입력 32" xfId="10697"/>
    <cellStyle name="입력 32 2" xfId="10698"/>
    <cellStyle name="입력 32 3" xfId="10699"/>
    <cellStyle name="입력 32 4" xfId="10700"/>
    <cellStyle name="입력 33" xfId="10701"/>
    <cellStyle name="입력 33 2" xfId="10702"/>
    <cellStyle name="입력 33 3" xfId="10703"/>
    <cellStyle name="입력 33 4" xfId="10704"/>
    <cellStyle name="입력 34" xfId="10705"/>
    <cellStyle name="입력 34 2" xfId="10706"/>
    <cellStyle name="입력 34 3" xfId="10707"/>
    <cellStyle name="입력 34 4" xfId="10708"/>
    <cellStyle name="입력 35" xfId="10709"/>
    <cellStyle name="입력 35 2" xfId="10710"/>
    <cellStyle name="입력 35 3" xfId="10711"/>
    <cellStyle name="입력 35 4" xfId="10712"/>
    <cellStyle name="입력 36" xfId="10713"/>
    <cellStyle name="입력 36 2" xfId="10714"/>
    <cellStyle name="입력 36 3" xfId="10715"/>
    <cellStyle name="입력 36 4" xfId="10716"/>
    <cellStyle name="입력 37" xfId="10717"/>
    <cellStyle name="입력 37 2" xfId="10718"/>
    <cellStyle name="입력 37 3" xfId="10719"/>
    <cellStyle name="입력 37 4" xfId="10720"/>
    <cellStyle name="입력 38" xfId="10721"/>
    <cellStyle name="입력 38 2" xfId="10722"/>
    <cellStyle name="입력 38 3" xfId="10723"/>
    <cellStyle name="입력 38 4" xfId="10724"/>
    <cellStyle name="입력 39" xfId="10725"/>
    <cellStyle name="입력 39 2" xfId="10726"/>
    <cellStyle name="입력 39 3" xfId="10727"/>
    <cellStyle name="입력 39 4" xfId="10728"/>
    <cellStyle name="입력 4" xfId="10729"/>
    <cellStyle name="입력 4 2" xfId="10730"/>
    <cellStyle name="입력 4 3" xfId="10731"/>
    <cellStyle name="입력 4 4" xfId="10732"/>
    <cellStyle name="입력 40" xfId="10733"/>
    <cellStyle name="입력 40 2" xfId="10734"/>
    <cellStyle name="입력 40 3" xfId="10735"/>
    <cellStyle name="입력 40 4" xfId="10736"/>
    <cellStyle name="입력 41" xfId="10737"/>
    <cellStyle name="입력 41 2" xfId="10738"/>
    <cellStyle name="입력 41 3" xfId="10739"/>
    <cellStyle name="입력 41 4" xfId="10740"/>
    <cellStyle name="입력 42" xfId="10741"/>
    <cellStyle name="입력 42 2" xfId="10742"/>
    <cellStyle name="입력 42 3" xfId="10743"/>
    <cellStyle name="입력 42 4" xfId="10744"/>
    <cellStyle name="입력 43" xfId="10745"/>
    <cellStyle name="입력 43 2" xfId="10746"/>
    <cellStyle name="입력 43 3" xfId="10747"/>
    <cellStyle name="입력 43 4" xfId="10748"/>
    <cellStyle name="입력 44" xfId="10749"/>
    <cellStyle name="입력 44 2" xfId="10750"/>
    <cellStyle name="입력 44 3" xfId="10751"/>
    <cellStyle name="입력 44 4" xfId="10752"/>
    <cellStyle name="입력 45" xfId="10753"/>
    <cellStyle name="입력 45 2" xfId="10754"/>
    <cellStyle name="입력 45 3" xfId="10755"/>
    <cellStyle name="입력 45 4" xfId="10756"/>
    <cellStyle name="입력 46" xfId="10757"/>
    <cellStyle name="입력 46 2" xfId="10758"/>
    <cellStyle name="입력 46 3" xfId="10759"/>
    <cellStyle name="입력 46 4" xfId="10760"/>
    <cellStyle name="입력 47" xfId="10761"/>
    <cellStyle name="입력 47 2" xfId="10762"/>
    <cellStyle name="입력 47 3" xfId="10763"/>
    <cellStyle name="입력 47 4" xfId="10764"/>
    <cellStyle name="입력 48" xfId="10765"/>
    <cellStyle name="입력 48 2" xfId="10766"/>
    <cellStyle name="입력 48 3" xfId="10767"/>
    <cellStyle name="입력 48 4" xfId="10768"/>
    <cellStyle name="입력 49" xfId="10769"/>
    <cellStyle name="입력 49 2" xfId="10770"/>
    <cellStyle name="입력 49 3" xfId="10771"/>
    <cellStyle name="입력 49 4" xfId="10772"/>
    <cellStyle name="입력 5" xfId="10773"/>
    <cellStyle name="입력 5 2" xfId="10774"/>
    <cellStyle name="입력 5 3" xfId="10775"/>
    <cellStyle name="입력 5 4" xfId="10776"/>
    <cellStyle name="입력 50" xfId="10777"/>
    <cellStyle name="입력 50 2" xfId="10778"/>
    <cellStyle name="입력 50 3" xfId="10779"/>
    <cellStyle name="입력 50 4" xfId="10780"/>
    <cellStyle name="입력 51" xfId="10781"/>
    <cellStyle name="입력 51 2" xfId="10782"/>
    <cellStyle name="입력 51 3" xfId="10783"/>
    <cellStyle name="입력 51 4" xfId="10784"/>
    <cellStyle name="입력 52" xfId="10785"/>
    <cellStyle name="입력 52 2" xfId="10786"/>
    <cellStyle name="입력 52 3" xfId="10787"/>
    <cellStyle name="입력 52 4" xfId="10788"/>
    <cellStyle name="입력 53" xfId="10789"/>
    <cellStyle name="입력 53 2" xfId="10790"/>
    <cellStyle name="입력 53 3" xfId="10791"/>
    <cellStyle name="입력 53 4" xfId="10792"/>
    <cellStyle name="입력 54" xfId="10793"/>
    <cellStyle name="입력 54 2" xfId="10794"/>
    <cellStyle name="입력 54 3" xfId="10795"/>
    <cellStyle name="입력 54 4" xfId="10796"/>
    <cellStyle name="입력 55" xfId="10797"/>
    <cellStyle name="입력 55 2" xfId="10798"/>
    <cellStyle name="입력 55 3" xfId="10799"/>
    <cellStyle name="입력 55 4" xfId="10800"/>
    <cellStyle name="입력 56" xfId="10801"/>
    <cellStyle name="입력 56 2" xfId="10802"/>
    <cellStyle name="입력 56 3" xfId="10803"/>
    <cellStyle name="입력 56 4" xfId="10804"/>
    <cellStyle name="입력 57" xfId="10805"/>
    <cellStyle name="입력 57 2" xfId="10806"/>
    <cellStyle name="입력 57 3" xfId="10807"/>
    <cellStyle name="입력 57 4" xfId="10808"/>
    <cellStyle name="입력 58" xfId="10809"/>
    <cellStyle name="입력 58 2" xfId="10810"/>
    <cellStyle name="입력 58 3" xfId="10811"/>
    <cellStyle name="입력 58 4" xfId="10812"/>
    <cellStyle name="입력 59" xfId="10813"/>
    <cellStyle name="입력 59 2" xfId="10814"/>
    <cellStyle name="입력 59 3" xfId="10815"/>
    <cellStyle name="입력 59 4" xfId="10816"/>
    <cellStyle name="입력 6" xfId="10817"/>
    <cellStyle name="입력 6 2" xfId="10818"/>
    <cellStyle name="입력 6 3" xfId="10819"/>
    <cellStyle name="입력 6 4" xfId="10820"/>
    <cellStyle name="입력 60" xfId="10821"/>
    <cellStyle name="입력 60 2" xfId="10822"/>
    <cellStyle name="입력 60 3" xfId="10823"/>
    <cellStyle name="입력 60 4" xfId="10824"/>
    <cellStyle name="입력 61" xfId="10825"/>
    <cellStyle name="입력 61 2" xfId="10826"/>
    <cellStyle name="입력 61 3" xfId="10827"/>
    <cellStyle name="입력 61 4" xfId="10828"/>
    <cellStyle name="입력 62" xfId="10829"/>
    <cellStyle name="입력 62 2" xfId="10830"/>
    <cellStyle name="입력 62 3" xfId="10831"/>
    <cellStyle name="입력 62 4" xfId="10832"/>
    <cellStyle name="입력 63" xfId="10833"/>
    <cellStyle name="입력 63 2" xfId="10834"/>
    <cellStyle name="입력 63 3" xfId="10835"/>
    <cellStyle name="입력 63 4" xfId="10836"/>
    <cellStyle name="입력 7" xfId="10837"/>
    <cellStyle name="입력 7 2" xfId="10838"/>
    <cellStyle name="입력 7 3" xfId="10839"/>
    <cellStyle name="입력 7 4" xfId="10840"/>
    <cellStyle name="입력 8" xfId="10841"/>
    <cellStyle name="입력 8 2" xfId="10842"/>
    <cellStyle name="입력 8 3" xfId="10843"/>
    <cellStyle name="입력 8 4" xfId="10844"/>
    <cellStyle name="입력 9" xfId="10845"/>
    <cellStyle name="입력 9 2" xfId="10846"/>
    <cellStyle name="입력 9 3" xfId="10847"/>
    <cellStyle name="입력 9 4" xfId="10848"/>
    <cellStyle name="자리수" xfId="10849"/>
    <cellStyle name="자리수 - 유형1" xfId="10850"/>
    <cellStyle name="자리수 - 유형3" xfId="10851"/>
    <cellStyle name="자리수_(보통주)강원방송-DCF(2008-09-30)" xfId="10852"/>
    <cellStyle name="자리수0" xfId="10853"/>
    <cellStyle name="작업일수" xfId="10854"/>
    <cellStyle name="재계약" xfId="10855"/>
    <cellStyle name="정" xfId="10856"/>
    <cellStyle name="제놀" xfId="10857"/>
    <cellStyle name="제목" xfId="13156" builtinId="15" customBuiltin="1"/>
    <cellStyle name="제목 1" xfId="13157" builtinId="16" customBuiltin="1"/>
    <cellStyle name="제목 1 10" xfId="10858"/>
    <cellStyle name="제목 1 11" xfId="10859"/>
    <cellStyle name="제목 1 12" xfId="10860"/>
    <cellStyle name="제목 1 13" xfId="10861"/>
    <cellStyle name="제목 1 14" xfId="10862"/>
    <cellStyle name="제목 1 15" xfId="10863"/>
    <cellStyle name="제목 1 16" xfId="10864"/>
    <cellStyle name="제목 1 17" xfId="10865"/>
    <cellStyle name="제목 1 18" xfId="10866"/>
    <cellStyle name="제목 1 19" xfId="10867"/>
    <cellStyle name="제목 1 2" xfId="10868"/>
    <cellStyle name="제목 1 2 2" xfId="12990"/>
    <cellStyle name="제목 1 20" xfId="10869"/>
    <cellStyle name="제목 1 21" xfId="10870"/>
    <cellStyle name="제목 1 22" xfId="10871"/>
    <cellStyle name="제목 1 23" xfId="10872"/>
    <cellStyle name="제목 1 24" xfId="10873"/>
    <cellStyle name="제목 1 25" xfId="10874"/>
    <cellStyle name="제목 1 26" xfId="10875"/>
    <cellStyle name="제목 1 27" xfId="10876"/>
    <cellStyle name="제목 1 28" xfId="10877"/>
    <cellStyle name="제목 1 29" xfId="10878"/>
    <cellStyle name="제목 1 3" xfId="10879"/>
    <cellStyle name="제목 1 30" xfId="10880"/>
    <cellStyle name="제목 1 31" xfId="10881"/>
    <cellStyle name="제목 1 32" xfId="10882"/>
    <cellStyle name="제목 1 33" xfId="10883"/>
    <cellStyle name="제목 1 34" xfId="10884"/>
    <cellStyle name="제목 1 35" xfId="10885"/>
    <cellStyle name="제목 1 36" xfId="10886"/>
    <cellStyle name="제목 1 37" xfId="10887"/>
    <cellStyle name="제목 1 38" xfId="10888"/>
    <cellStyle name="제목 1 39" xfId="10889"/>
    <cellStyle name="제목 1 4" xfId="10890"/>
    <cellStyle name="제목 1 40" xfId="10891"/>
    <cellStyle name="제목 1 41" xfId="10892"/>
    <cellStyle name="제목 1 42" xfId="10893"/>
    <cellStyle name="제목 1 43" xfId="10894"/>
    <cellStyle name="제목 1 44" xfId="10895"/>
    <cellStyle name="제목 1 45" xfId="10896"/>
    <cellStyle name="제목 1 46" xfId="10897"/>
    <cellStyle name="제목 1 47" xfId="10898"/>
    <cellStyle name="제목 1 48" xfId="10899"/>
    <cellStyle name="제목 1 49" xfId="10900"/>
    <cellStyle name="제목 1 5" xfId="10901"/>
    <cellStyle name="제목 1 50" xfId="10902"/>
    <cellStyle name="제목 1 51" xfId="10903"/>
    <cellStyle name="제목 1 52" xfId="10904"/>
    <cellStyle name="제목 1 53" xfId="10905"/>
    <cellStyle name="제목 1 54" xfId="10906"/>
    <cellStyle name="제목 1 55" xfId="10907"/>
    <cellStyle name="제목 1 56" xfId="10908"/>
    <cellStyle name="제목 1 57" xfId="10909"/>
    <cellStyle name="제목 1 58" xfId="10910"/>
    <cellStyle name="제목 1 59" xfId="10911"/>
    <cellStyle name="제목 1 6" xfId="10912"/>
    <cellStyle name="제목 1 60" xfId="10913"/>
    <cellStyle name="제목 1 61" xfId="10914"/>
    <cellStyle name="제목 1 62" xfId="10915"/>
    <cellStyle name="제목 1 63" xfId="10916"/>
    <cellStyle name="제목 1 7" xfId="10917"/>
    <cellStyle name="제목 1 8" xfId="10918"/>
    <cellStyle name="제목 1 9" xfId="10919"/>
    <cellStyle name="제목 10" xfId="10920"/>
    <cellStyle name="제목 11" xfId="10921"/>
    <cellStyle name="제목 12" xfId="10922"/>
    <cellStyle name="제목 13" xfId="10923"/>
    <cellStyle name="제목 14" xfId="10924"/>
    <cellStyle name="제목 15" xfId="10925"/>
    <cellStyle name="제목 16" xfId="10926"/>
    <cellStyle name="제목 17" xfId="10927"/>
    <cellStyle name="제목 18" xfId="10928"/>
    <cellStyle name="제목 19" xfId="10929"/>
    <cellStyle name="제목 2" xfId="13158" builtinId="17" customBuiltin="1"/>
    <cellStyle name="제목 2 10" xfId="10930"/>
    <cellStyle name="제목 2 11" xfId="10931"/>
    <cellStyle name="제목 2 12" xfId="10932"/>
    <cellStyle name="제목 2 13" xfId="10933"/>
    <cellStyle name="제목 2 14" xfId="10934"/>
    <cellStyle name="제목 2 15" xfId="10935"/>
    <cellStyle name="제목 2 16" xfId="10936"/>
    <cellStyle name="제목 2 17" xfId="10937"/>
    <cellStyle name="제목 2 18" xfId="10938"/>
    <cellStyle name="제목 2 19" xfId="10939"/>
    <cellStyle name="제목 2 2" xfId="10940"/>
    <cellStyle name="제목 2 2 2" xfId="12991"/>
    <cellStyle name="제목 2 20" xfId="10941"/>
    <cellStyle name="제목 2 21" xfId="10942"/>
    <cellStyle name="제목 2 22" xfId="10943"/>
    <cellStyle name="제목 2 23" xfId="10944"/>
    <cellStyle name="제목 2 24" xfId="10945"/>
    <cellStyle name="제목 2 25" xfId="10946"/>
    <cellStyle name="제목 2 26" xfId="10947"/>
    <cellStyle name="제목 2 27" xfId="10948"/>
    <cellStyle name="제목 2 28" xfId="10949"/>
    <cellStyle name="제목 2 29" xfId="10950"/>
    <cellStyle name="제목 2 3" xfId="10951"/>
    <cellStyle name="제목 2 30" xfId="10952"/>
    <cellStyle name="제목 2 31" xfId="10953"/>
    <cellStyle name="제목 2 32" xfId="10954"/>
    <cellStyle name="제목 2 33" xfId="10955"/>
    <cellStyle name="제목 2 34" xfId="10956"/>
    <cellStyle name="제목 2 35" xfId="10957"/>
    <cellStyle name="제목 2 36" xfId="10958"/>
    <cellStyle name="제목 2 37" xfId="10959"/>
    <cellStyle name="제목 2 38" xfId="10960"/>
    <cellStyle name="제목 2 39" xfId="10961"/>
    <cellStyle name="제목 2 4" xfId="10962"/>
    <cellStyle name="제목 2 40" xfId="10963"/>
    <cellStyle name="제목 2 41" xfId="10964"/>
    <cellStyle name="제목 2 42" xfId="10965"/>
    <cellStyle name="제목 2 43" xfId="10966"/>
    <cellStyle name="제목 2 44" xfId="10967"/>
    <cellStyle name="제목 2 45" xfId="10968"/>
    <cellStyle name="제목 2 46" xfId="10969"/>
    <cellStyle name="제목 2 47" xfId="10970"/>
    <cellStyle name="제목 2 48" xfId="10971"/>
    <cellStyle name="제목 2 49" xfId="10972"/>
    <cellStyle name="제목 2 5" xfId="10973"/>
    <cellStyle name="제목 2 50" xfId="10974"/>
    <cellStyle name="제목 2 51" xfId="10975"/>
    <cellStyle name="제목 2 52" xfId="10976"/>
    <cellStyle name="제목 2 53" xfId="10977"/>
    <cellStyle name="제목 2 54" xfId="10978"/>
    <cellStyle name="제목 2 55" xfId="10979"/>
    <cellStyle name="제목 2 56" xfId="10980"/>
    <cellStyle name="제목 2 57" xfId="10981"/>
    <cellStyle name="제목 2 58" xfId="10982"/>
    <cellStyle name="제목 2 59" xfId="10983"/>
    <cellStyle name="제목 2 6" xfId="10984"/>
    <cellStyle name="제목 2 60" xfId="10985"/>
    <cellStyle name="제목 2 61" xfId="10986"/>
    <cellStyle name="제목 2 62" xfId="10987"/>
    <cellStyle name="제목 2 63" xfId="10988"/>
    <cellStyle name="제목 2 7" xfId="10989"/>
    <cellStyle name="제목 2 8" xfId="10990"/>
    <cellStyle name="제목 2 9" xfId="10991"/>
    <cellStyle name="제목 20" xfId="10992"/>
    <cellStyle name="제목 21" xfId="10993"/>
    <cellStyle name="제목 22" xfId="10994"/>
    <cellStyle name="제목 23" xfId="10995"/>
    <cellStyle name="제목 24" xfId="10996"/>
    <cellStyle name="제목 25" xfId="10997"/>
    <cellStyle name="제목 26" xfId="10998"/>
    <cellStyle name="제목 27" xfId="10999"/>
    <cellStyle name="제목 28" xfId="11000"/>
    <cellStyle name="제목 29" xfId="11001"/>
    <cellStyle name="제목 3" xfId="13159" builtinId="18" customBuiltin="1"/>
    <cellStyle name="제목 3 10" xfId="11002"/>
    <cellStyle name="제목 3 11" xfId="11003"/>
    <cellStyle name="제목 3 12" xfId="11004"/>
    <cellStyle name="제목 3 13" xfId="11005"/>
    <cellStyle name="제목 3 14" xfId="11006"/>
    <cellStyle name="제목 3 15" xfId="11007"/>
    <cellStyle name="제목 3 16" xfId="11008"/>
    <cellStyle name="제목 3 17" xfId="11009"/>
    <cellStyle name="제목 3 18" xfId="11010"/>
    <cellStyle name="제목 3 19" xfId="11011"/>
    <cellStyle name="제목 3 2" xfId="11012"/>
    <cellStyle name="제목 3 2 2" xfId="12992"/>
    <cellStyle name="제목 3 20" xfId="11013"/>
    <cellStyle name="제목 3 21" xfId="11014"/>
    <cellStyle name="제목 3 22" xfId="11015"/>
    <cellStyle name="제목 3 23" xfId="11016"/>
    <cellStyle name="제목 3 24" xfId="11017"/>
    <cellStyle name="제목 3 25" xfId="11018"/>
    <cellStyle name="제목 3 26" xfId="11019"/>
    <cellStyle name="제목 3 27" xfId="11020"/>
    <cellStyle name="제목 3 28" xfId="11021"/>
    <cellStyle name="제목 3 29" xfId="11022"/>
    <cellStyle name="제목 3 3" xfId="11023"/>
    <cellStyle name="제목 3 30" xfId="11024"/>
    <cellStyle name="제목 3 31" xfId="11025"/>
    <cellStyle name="제목 3 32" xfId="11026"/>
    <cellStyle name="제목 3 33" xfId="11027"/>
    <cellStyle name="제목 3 34" xfId="11028"/>
    <cellStyle name="제목 3 35" xfId="11029"/>
    <cellStyle name="제목 3 36" xfId="11030"/>
    <cellStyle name="제목 3 37" xfId="11031"/>
    <cellStyle name="제목 3 38" xfId="11032"/>
    <cellStyle name="제목 3 39" xfId="11033"/>
    <cellStyle name="제목 3 4" xfId="11034"/>
    <cellStyle name="제목 3 40" xfId="11035"/>
    <cellStyle name="제목 3 41" xfId="11036"/>
    <cellStyle name="제목 3 42" xfId="11037"/>
    <cellStyle name="제목 3 43" xfId="11038"/>
    <cellStyle name="제목 3 44" xfId="11039"/>
    <cellStyle name="제목 3 45" xfId="11040"/>
    <cellStyle name="제목 3 46" xfId="11041"/>
    <cellStyle name="제목 3 47" xfId="11042"/>
    <cellStyle name="제목 3 48" xfId="11043"/>
    <cellStyle name="제목 3 49" xfId="11044"/>
    <cellStyle name="제목 3 5" xfId="11045"/>
    <cellStyle name="제목 3 50" xfId="11046"/>
    <cellStyle name="제목 3 51" xfId="11047"/>
    <cellStyle name="제목 3 52" xfId="11048"/>
    <cellStyle name="제목 3 53" xfId="11049"/>
    <cellStyle name="제목 3 54" xfId="11050"/>
    <cellStyle name="제목 3 55" xfId="11051"/>
    <cellStyle name="제목 3 56" xfId="11052"/>
    <cellStyle name="제목 3 57" xfId="11053"/>
    <cellStyle name="제목 3 58" xfId="11054"/>
    <cellStyle name="제목 3 59" xfId="11055"/>
    <cellStyle name="제목 3 6" xfId="11056"/>
    <cellStyle name="제목 3 60" xfId="11057"/>
    <cellStyle name="제목 3 61" xfId="11058"/>
    <cellStyle name="제목 3 62" xfId="11059"/>
    <cellStyle name="제목 3 63" xfId="11060"/>
    <cellStyle name="제목 3 7" xfId="11061"/>
    <cellStyle name="제목 3 8" xfId="11062"/>
    <cellStyle name="제목 3 9" xfId="11063"/>
    <cellStyle name="제목 30" xfId="11064"/>
    <cellStyle name="제목 31" xfId="11065"/>
    <cellStyle name="제목 32" xfId="11066"/>
    <cellStyle name="제목 33" xfId="11067"/>
    <cellStyle name="제목 34" xfId="11068"/>
    <cellStyle name="제목 35" xfId="11069"/>
    <cellStyle name="제목 36" xfId="11070"/>
    <cellStyle name="제목 37" xfId="11071"/>
    <cellStyle name="제목 38" xfId="11072"/>
    <cellStyle name="제목 39" xfId="11073"/>
    <cellStyle name="제목 4" xfId="13160" builtinId="19" customBuiltin="1"/>
    <cellStyle name="제목 4 10" xfId="11074"/>
    <cellStyle name="제목 4 11" xfId="11075"/>
    <cellStyle name="제목 4 12" xfId="11076"/>
    <cellStyle name="제목 4 13" xfId="11077"/>
    <cellStyle name="제목 4 14" xfId="11078"/>
    <cellStyle name="제목 4 15" xfId="11079"/>
    <cellStyle name="제목 4 16" xfId="11080"/>
    <cellStyle name="제목 4 17" xfId="11081"/>
    <cellStyle name="제목 4 18" xfId="11082"/>
    <cellStyle name="제목 4 19" xfId="11083"/>
    <cellStyle name="제목 4 2" xfId="11084"/>
    <cellStyle name="제목 4 2 2" xfId="12993"/>
    <cellStyle name="제목 4 20" xfId="11085"/>
    <cellStyle name="제목 4 21" xfId="11086"/>
    <cellStyle name="제목 4 22" xfId="11087"/>
    <cellStyle name="제목 4 23" xfId="11088"/>
    <cellStyle name="제목 4 24" xfId="11089"/>
    <cellStyle name="제목 4 25" xfId="11090"/>
    <cellStyle name="제목 4 26" xfId="11091"/>
    <cellStyle name="제목 4 27" xfId="11092"/>
    <cellStyle name="제목 4 28" xfId="11093"/>
    <cellStyle name="제목 4 29" xfId="11094"/>
    <cellStyle name="제목 4 3" xfId="11095"/>
    <cellStyle name="제목 4 30" xfId="11096"/>
    <cellStyle name="제목 4 31" xfId="11097"/>
    <cellStyle name="제목 4 32" xfId="11098"/>
    <cellStyle name="제목 4 33" xfId="11099"/>
    <cellStyle name="제목 4 34" xfId="11100"/>
    <cellStyle name="제목 4 35" xfId="11101"/>
    <cellStyle name="제목 4 36" xfId="11102"/>
    <cellStyle name="제목 4 37" xfId="11103"/>
    <cellStyle name="제목 4 38" xfId="11104"/>
    <cellStyle name="제목 4 39" xfId="11105"/>
    <cellStyle name="제목 4 4" xfId="11106"/>
    <cellStyle name="제목 4 40" xfId="11107"/>
    <cellStyle name="제목 4 41" xfId="11108"/>
    <cellStyle name="제목 4 42" xfId="11109"/>
    <cellStyle name="제목 4 43" xfId="11110"/>
    <cellStyle name="제목 4 44" xfId="11111"/>
    <cellStyle name="제목 4 45" xfId="11112"/>
    <cellStyle name="제목 4 46" xfId="11113"/>
    <cellStyle name="제목 4 47" xfId="11114"/>
    <cellStyle name="제목 4 48" xfId="11115"/>
    <cellStyle name="제목 4 49" xfId="11116"/>
    <cellStyle name="제목 4 5" xfId="11117"/>
    <cellStyle name="제목 4 50" xfId="11118"/>
    <cellStyle name="제목 4 51" xfId="11119"/>
    <cellStyle name="제목 4 52" xfId="11120"/>
    <cellStyle name="제목 4 53" xfId="11121"/>
    <cellStyle name="제목 4 54" xfId="11122"/>
    <cellStyle name="제목 4 55" xfId="11123"/>
    <cellStyle name="제목 4 56" xfId="11124"/>
    <cellStyle name="제목 4 57" xfId="11125"/>
    <cellStyle name="제목 4 58" xfId="11126"/>
    <cellStyle name="제목 4 59" xfId="11127"/>
    <cellStyle name="제목 4 6" xfId="11128"/>
    <cellStyle name="제목 4 60" xfId="11129"/>
    <cellStyle name="제목 4 61" xfId="11130"/>
    <cellStyle name="제목 4 62" xfId="11131"/>
    <cellStyle name="제목 4 63" xfId="11132"/>
    <cellStyle name="제목 4 7" xfId="11133"/>
    <cellStyle name="제목 4 8" xfId="11134"/>
    <cellStyle name="제목 4 9" xfId="11135"/>
    <cellStyle name="제목 40" xfId="11136"/>
    <cellStyle name="제목 41" xfId="11137"/>
    <cellStyle name="제목 42" xfId="11138"/>
    <cellStyle name="제목 43" xfId="11139"/>
    <cellStyle name="제목 44" xfId="11140"/>
    <cellStyle name="제목 45" xfId="11141"/>
    <cellStyle name="제목 46" xfId="11142"/>
    <cellStyle name="제목 47" xfId="11143"/>
    <cellStyle name="제목 48" xfId="11144"/>
    <cellStyle name="제목 49" xfId="11145"/>
    <cellStyle name="제목 5" xfId="11146"/>
    <cellStyle name="제목 5 2" xfId="12994"/>
    <cellStyle name="제목 50" xfId="11147"/>
    <cellStyle name="제목 51" xfId="11148"/>
    <cellStyle name="제목 52" xfId="11149"/>
    <cellStyle name="제목 53" xfId="11150"/>
    <cellStyle name="제목 54" xfId="11151"/>
    <cellStyle name="제목 55" xfId="11152"/>
    <cellStyle name="제목 56" xfId="11153"/>
    <cellStyle name="제목 57" xfId="11154"/>
    <cellStyle name="제목 58" xfId="11155"/>
    <cellStyle name="제목 59" xfId="11156"/>
    <cellStyle name="제목 6" xfId="11157"/>
    <cellStyle name="제목 60" xfId="11158"/>
    <cellStyle name="제목 61" xfId="11159"/>
    <cellStyle name="제목 62" xfId="11160"/>
    <cellStyle name="제목 63" xfId="11161"/>
    <cellStyle name="제목 64" xfId="11162"/>
    <cellStyle name="제목 65" xfId="11163"/>
    <cellStyle name="제목 66" xfId="11164"/>
    <cellStyle name="제목 7" xfId="11165"/>
    <cellStyle name="제목 8" xfId="11166"/>
    <cellStyle name="제목 9" xfId="11167"/>
    <cellStyle name="제조번호" xfId="11168"/>
    <cellStyle name="제조번호 2" xfId="11169"/>
    <cellStyle name="제조번호 2 2" xfId="11170"/>
    <cellStyle name="제조번호 2 3" xfId="11171"/>
    <cellStyle name="제조번호 2 4" xfId="11172"/>
    <cellStyle name="제조번호 2 5" xfId="11173"/>
    <cellStyle name="좋은양식" xfId="11174"/>
    <cellStyle name="좋음" xfId="13161" builtinId="26" customBuiltin="1"/>
    <cellStyle name="좋음 10" xfId="11175"/>
    <cellStyle name="좋음 11" xfId="11176"/>
    <cellStyle name="좋음 12" xfId="11177"/>
    <cellStyle name="좋음 13" xfId="11178"/>
    <cellStyle name="좋음 14" xfId="11179"/>
    <cellStyle name="좋음 15" xfId="11180"/>
    <cellStyle name="좋음 16" xfId="11181"/>
    <cellStyle name="좋음 17" xfId="11182"/>
    <cellStyle name="좋음 18" xfId="11183"/>
    <cellStyle name="좋음 19" xfId="11184"/>
    <cellStyle name="좋음 2" xfId="11185"/>
    <cellStyle name="좋음 2 2" xfId="12995"/>
    <cellStyle name="좋음 20" xfId="11186"/>
    <cellStyle name="좋음 21" xfId="11187"/>
    <cellStyle name="좋음 22" xfId="11188"/>
    <cellStyle name="좋음 23" xfId="11189"/>
    <cellStyle name="좋음 24" xfId="11190"/>
    <cellStyle name="좋음 25" xfId="11191"/>
    <cellStyle name="좋음 26" xfId="11192"/>
    <cellStyle name="좋음 27" xfId="11193"/>
    <cellStyle name="좋음 28" xfId="11194"/>
    <cellStyle name="좋음 29" xfId="11195"/>
    <cellStyle name="좋음 3" xfId="11196"/>
    <cellStyle name="좋음 30" xfId="11197"/>
    <cellStyle name="좋음 31" xfId="11198"/>
    <cellStyle name="좋음 32" xfId="11199"/>
    <cellStyle name="좋음 33" xfId="11200"/>
    <cellStyle name="좋음 34" xfId="11201"/>
    <cellStyle name="좋음 35" xfId="11202"/>
    <cellStyle name="좋음 36" xfId="11203"/>
    <cellStyle name="좋음 37" xfId="11204"/>
    <cellStyle name="좋음 38" xfId="11205"/>
    <cellStyle name="좋음 39" xfId="11206"/>
    <cellStyle name="좋음 4" xfId="11207"/>
    <cellStyle name="좋음 40" xfId="11208"/>
    <cellStyle name="좋음 41" xfId="11209"/>
    <cellStyle name="좋음 42" xfId="11210"/>
    <cellStyle name="좋음 43" xfId="11211"/>
    <cellStyle name="좋음 44" xfId="11212"/>
    <cellStyle name="좋음 45" xfId="11213"/>
    <cellStyle name="좋음 46" xfId="11214"/>
    <cellStyle name="좋음 47" xfId="11215"/>
    <cellStyle name="좋음 48" xfId="11216"/>
    <cellStyle name="좋음 49" xfId="11217"/>
    <cellStyle name="좋음 5" xfId="11218"/>
    <cellStyle name="좋음 50" xfId="11219"/>
    <cellStyle name="좋음 51" xfId="11220"/>
    <cellStyle name="좋음 52" xfId="11221"/>
    <cellStyle name="좋음 53" xfId="11222"/>
    <cellStyle name="좋음 54" xfId="11223"/>
    <cellStyle name="좋음 55" xfId="11224"/>
    <cellStyle name="좋음 56" xfId="11225"/>
    <cellStyle name="좋음 57" xfId="11226"/>
    <cellStyle name="좋음 58" xfId="11227"/>
    <cellStyle name="좋음 59" xfId="11228"/>
    <cellStyle name="좋음 6" xfId="11229"/>
    <cellStyle name="좋음 60" xfId="11230"/>
    <cellStyle name="좋음 61" xfId="11231"/>
    <cellStyle name="좋음 62" xfId="11232"/>
    <cellStyle name="좋음 63" xfId="11233"/>
    <cellStyle name="좋음 7" xfId="11234"/>
    <cellStyle name="좋음 8" xfId="11235"/>
    <cellStyle name="좋음 9" xfId="11236"/>
    <cellStyle name="즓㉤㿙㑩贚ꍆ㿡㑩贚ꍆ㿑" xfId="11237"/>
    <cellStyle name="증감" xfId="11238"/>
    <cellStyle name="지정되지 않음" xfId="17"/>
    <cellStyle name="钎霖_4岿角利" xfId="11781"/>
    <cellStyle name="千分位[0]_laroux" xfId="11239"/>
    <cellStyle name="千分位_fs1000tw" xfId="11240"/>
    <cellStyle name="千位分隔[0]_2003년 상반기재고(8月)" xfId="11241"/>
    <cellStyle name="千位分隔_BOOK1" xfId="11242"/>
    <cellStyle name="超連結_TW BOOKINGS RPT April 5- April 9 99" xfId="11243"/>
    <cellStyle name="추가" xfId="11244"/>
    <cellStyle name="추가2" xfId="11245"/>
    <cellStyle name="추가3" xfId="11246"/>
    <cellStyle name="출 (한장)" xfId="11247"/>
    <cellStyle name="출력" xfId="13165" builtinId="21" customBuiltin="1"/>
    <cellStyle name="출력 10" xfId="11248"/>
    <cellStyle name="출력 10 2" xfId="11249"/>
    <cellStyle name="출력 10 3" xfId="11250"/>
    <cellStyle name="출력 10 4" xfId="11251"/>
    <cellStyle name="출력 11" xfId="11252"/>
    <cellStyle name="출력 11 2" xfId="11253"/>
    <cellStyle name="출력 11 3" xfId="11254"/>
    <cellStyle name="출력 11 4" xfId="11255"/>
    <cellStyle name="출력 12" xfId="11256"/>
    <cellStyle name="출력 12 2" xfId="11257"/>
    <cellStyle name="출력 12 3" xfId="11258"/>
    <cellStyle name="출력 12 4" xfId="11259"/>
    <cellStyle name="출력 13" xfId="11260"/>
    <cellStyle name="출력 13 2" xfId="11261"/>
    <cellStyle name="출력 13 3" xfId="11262"/>
    <cellStyle name="출력 13 4" xfId="11263"/>
    <cellStyle name="출력 14" xfId="11264"/>
    <cellStyle name="출력 14 2" xfId="11265"/>
    <cellStyle name="출력 14 3" xfId="11266"/>
    <cellStyle name="출력 14 4" xfId="11267"/>
    <cellStyle name="출력 15" xfId="11268"/>
    <cellStyle name="출력 15 2" xfId="11269"/>
    <cellStyle name="출력 15 3" xfId="11270"/>
    <cellStyle name="출력 15 4" xfId="11271"/>
    <cellStyle name="출력 16" xfId="11272"/>
    <cellStyle name="출력 16 2" xfId="11273"/>
    <cellStyle name="출력 16 3" xfId="11274"/>
    <cellStyle name="출력 16 4" xfId="11275"/>
    <cellStyle name="출력 17" xfId="11276"/>
    <cellStyle name="출력 17 2" xfId="11277"/>
    <cellStyle name="출력 17 3" xfId="11278"/>
    <cellStyle name="출력 17 4" xfId="11279"/>
    <cellStyle name="출력 18" xfId="11280"/>
    <cellStyle name="출력 18 2" xfId="11281"/>
    <cellStyle name="출력 18 3" xfId="11282"/>
    <cellStyle name="출력 18 4" xfId="11283"/>
    <cellStyle name="출력 19" xfId="11284"/>
    <cellStyle name="출력 19 2" xfId="11285"/>
    <cellStyle name="출력 19 3" xfId="11286"/>
    <cellStyle name="출력 19 4" xfId="11287"/>
    <cellStyle name="출력 2" xfId="11288"/>
    <cellStyle name="출력 2 2" xfId="11289"/>
    <cellStyle name="출력 2 3" xfId="11290"/>
    <cellStyle name="출력 2 4" xfId="11291"/>
    <cellStyle name="출력 2 5" xfId="12996"/>
    <cellStyle name="출력 20" xfId="11292"/>
    <cellStyle name="출력 20 2" xfId="11293"/>
    <cellStyle name="출력 20 3" xfId="11294"/>
    <cellStyle name="출력 20 4" xfId="11295"/>
    <cellStyle name="출력 21" xfId="11296"/>
    <cellStyle name="출력 21 2" xfId="11297"/>
    <cellStyle name="출력 21 3" xfId="11298"/>
    <cellStyle name="출력 21 4" xfId="11299"/>
    <cellStyle name="출력 22" xfId="11300"/>
    <cellStyle name="출력 22 2" xfId="11301"/>
    <cellStyle name="출력 22 3" xfId="11302"/>
    <cellStyle name="출력 22 4" xfId="11303"/>
    <cellStyle name="출력 23" xfId="11304"/>
    <cellStyle name="출력 23 2" xfId="11305"/>
    <cellStyle name="출력 23 3" xfId="11306"/>
    <cellStyle name="출력 23 4" xfId="11307"/>
    <cellStyle name="출력 24" xfId="11308"/>
    <cellStyle name="출력 24 2" xfId="11309"/>
    <cellStyle name="출력 24 3" xfId="11310"/>
    <cellStyle name="출력 24 4" xfId="11311"/>
    <cellStyle name="출력 25" xfId="11312"/>
    <cellStyle name="출력 25 2" xfId="11313"/>
    <cellStyle name="출력 25 3" xfId="11314"/>
    <cellStyle name="출력 25 4" xfId="11315"/>
    <cellStyle name="출력 26" xfId="11316"/>
    <cellStyle name="출력 26 2" xfId="11317"/>
    <cellStyle name="출력 26 3" xfId="11318"/>
    <cellStyle name="출력 26 4" xfId="11319"/>
    <cellStyle name="출력 27" xfId="11320"/>
    <cellStyle name="출력 27 2" xfId="11321"/>
    <cellStyle name="출력 27 3" xfId="11322"/>
    <cellStyle name="출력 27 4" xfId="11323"/>
    <cellStyle name="출력 28" xfId="11324"/>
    <cellStyle name="출력 28 2" xfId="11325"/>
    <cellStyle name="출력 28 3" xfId="11326"/>
    <cellStyle name="출력 28 4" xfId="11327"/>
    <cellStyle name="출력 29" xfId="11328"/>
    <cellStyle name="출력 29 2" xfId="11329"/>
    <cellStyle name="출력 29 3" xfId="11330"/>
    <cellStyle name="출력 29 4" xfId="11331"/>
    <cellStyle name="출력 3" xfId="11332"/>
    <cellStyle name="출력 3 2" xfId="11333"/>
    <cellStyle name="출력 3 3" xfId="11334"/>
    <cellStyle name="출력 3 4" xfId="11335"/>
    <cellStyle name="출력 30" xfId="11336"/>
    <cellStyle name="출력 30 2" xfId="11337"/>
    <cellStyle name="출력 30 3" xfId="11338"/>
    <cellStyle name="출력 30 4" xfId="11339"/>
    <cellStyle name="출력 31" xfId="11340"/>
    <cellStyle name="출력 31 2" xfId="11341"/>
    <cellStyle name="출력 31 3" xfId="11342"/>
    <cellStyle name="출력 31 4" xfId="11343"/>
    <cellStyle name="출력 32" xfId="11344"/>
    <cellStyle name="출력 32 2" xfId="11345"/>
    <cellStyle name="출력 32 3" xfId="11346"/>
    <cellStyle name="출력 32 4" xfId="11347"/>
    <cellStyle name="출력 33" xfId="11348"/>
    <cellStyle name="출력 33 2" xfId="11349"/>
    <cellStyle name="출력 33 3" xfId="11350"/>
    <cellStyle name="출력 33 4" xfId="11351"/>
    <cellStyle name="출력 34" xfId="11352"/>
    <cellStyle name="출력 34 2" xfId="11353"/>
    <cellStyle name="출력 34 3" xfId="11354"/>
    <cellStyle name="출력 34 4" xfId="11355"/>
    <cellStyle name="출력 35" xfId="11356"/>
    <cellStyle name="출력 35 2" xfId="11357"/>
    <cellStyle name="출력 35 3" xfId="11358"/>
    <cellStyle name="출력 35 4" xfId="11359"/>
    <cellStyle name="출력 36" xfId="11360"/>
    <cellStyle name="출력 36 2" xfId="11361"/>
    <cellStyle name="출력 36 3" xfId="11362"/>
    <cellStyle name="출력 36 4" xfId="11363"/>
    <cellStyle name="출력 37" xfId="11364"/>
    <cellStyle name="출력 37 2" xfId="11365"/>
    <cellStyle name="출력 37 3" xfId="11366"/>
    <cellStyle name="출력 37 4" xfId="11367"/>
    <cellStyle name="출력 38" xfId="11368"/>
    <cellStyle name="출력 38 2" xfId="11369"/>
    <cellStyle name="출력 38 3" xfId="11370"/>
    <cellStyle name="출력 38 4" xfId="11371"/>
    <cellStyle name="출력 39" xfId="11372"/>
    <cellStyle name="출력 39 2" xfId="11373"/>
    <cellStyle name="출력 39 3" xfId="11374"/>
    <cellStyle name="출력 39 4" xfId="11375"/>
    <cellStyle name="출력 4" xfId="11376"/>
    <cellStyle name="출력 4 2" xfId="11377"/>
    <cellStyle name="출력 4 3" xfId="11378"/>
    <cellStyle name="출력 4 4" xfId="11379"/>
    <cellStyle name="출력 40" xfId="11380"/>
    <cellStyle name="출력 40 2" xfId="11381"/>
    <cellStyle name="출력 40 3" xfId="11382"/>
    <cellStyle name="출력 40 4" xfId="11383"/>
    <cellStyle name="출력 41" xfId="11384"/>
    <cellStyle name="출력 41 2" xfId="11385"/>
    <cellStyle name="출력 41 3" xfId="11386"/>
    <cellStyle name="출력 41 4" xfId="11387"/>
    <cellStyle name="출력 42" xfId="11388"/>
    <cellStyle name="출력 42 2" xfId="11389"/>
    <cellStyle name="출력 42 3" xfId="11390"/>
    <cellStyle name="출력 42 4" xfId="11391"/>
    <cellStyle name="출력 43" xfId="11392"/>
    <cellStyle name="출력 43 2" xfId="11393"/>
    <cellStyle name="출력 43 3" xfId="11394"/>
    <cellStyle name="출력 43 4" xfId="11395"/>
    <cellStyle name="출력 44" xfId="11396"/>
    <cellStyle name="출력 44 2" xfId="11397"/>
    <cellStyle name="출력 44 3" xfId="11398"/>
    <cellStyle name="출력 44 4" xfId="11399"/>
    <cellStyle name="출력 45" xfId="11400"/>
    <cellStyle name="출력 45 2" xfId="11401"/>
    <cellStyle name="출력 45 3" xfId="11402"/>
    <cellStyle name="출력 45 4" xfId="11403"/>
    <cellStyle name="출력 46" xfId="11404"/>
    <cellStyle name="출력 46 2" xfId="11405"/>
    <cellStyle name="출력 46 3" xfId="11406"/>
    <cellStyle name="출력 46 4" xfId="11407"/>
    <cellStyle name="출력 47" xfId="11408"/>
    <cellStyle name="출력 47 2" xfId="11409"/>
    <cellStyle name="출력 47 3" xfId="11410"/>
    <cellStyle name="출력 47 4" xfId="11411"/>
    <cellStyle name="출력 48" xfId="11412"/>
    <cellStyle name="출력 48 2" xfId="11413"/>
    <cellStyle name="출력 48 3" xfId="11414"/>
    <cellStyle name="출력 48 4" xfId="11415"/>
    <cellStyle name="출력 49" xfId="11416"/>
    <cellStyle name="출력 49 2" xfId="11417"/>
    <cellStyle name="출력 49 3" xfId="11418"/>
    <cellStyle name="출력 49 4" xfId="11419"/>
    <cellStyle name="출력 5" xfId="11420"/>
    <cellStyle name="출력 5 2" xfId="11421"/>
    <cellStyle name="출력 5 3" xfId="11422"/>
    <cellStyle name="출력 5 4" xfId="11423"/>
    <cellStyle name="출력 50" xfId="11424"/>
    <cellStyle name="출력 50 2" xfId="11425"/>
    <cellStyle name="출력 50 3" xfId="11426"/>
    <cellStyle name="출력 50 4" xfId="11427"/>
    <cellStyle name="출력 51" xfId="11428"/>
    <cellStyle name="출력 51 2" xfId="11429"/>
    <cellStyle name="출력 51 3" xfId="11430"/>
    <cellStyle name="출력 51 4" xfId="11431"/>
    <cellStyle name="출력 52" xfId="11432"/>
    <cellStyle name="출력 52 2" xfId="11433"/>
    <cellStyle name="출력 52 3" xfId="11434"/>
    <cellStyle name="출력 52 4" xfId="11435"/>
    <cellStyle name="출력 53" xfId="11436"/>
    <cellStyle name="출력 53 2" xfId="11437"/>
    <cellStyle name="출력 53 3" xfId="11438"/>
    <cellStyle name="출력 53 4" xfId="11439"/>
    <cellStyle name="출력 54" xfId="11440"/>
    <cellStyle name="출력 54 2" xfId="11441"/>
    <cellStyle name="출력 54 3" xfId="11442"/>
    <cellStyle name="출력 54 4" xfId="11443"/>
    <cellStyle name="출력 55" xfId="11444"/>
    <cellStyle name="출력 55 2" xfId="11445"/>
    <cellStyle name="출력 55 3" xfId="11446"/>
    <cellStyle name="출력 55 4" xfId="11447"/>
    <cellStyle name="출력 56" xfId="11448"/>
    <cellStyle name="출력 56 2" xfId="11449"/>
    <cellStyle name="출력 56 3" xfId="11450"/>
    <cellStyle name="출력 56 4" xfId="11451"/>
    <cellStyle name="출력 57" xfId="11452"/>
    <cellStyle name="출력 57 2" xfId="11453"/>
    <cellStyle name="출력 57 3" xfId="11454"/>
    <cellStyle name="출력 57 4" xfId="11455"/>
    <cellStyle name="출력 58" xfId="11456"/>
    <cellStyle name="출력 58 2" xfId="11457"/>
    <cellStyle name="출력 58 3" xfId="11458"/>
    <cellStyle name="출력 58 4" xfId="11459"/>
    <cellStyle name="출력 59" xfId="11460"/>
    <cellStyle name="출력 59 2" xfId="11461"/>
    <cellStyle name="출력 59 3" xfId="11462"/>
    <cellStyle name="출력 59 4" xfId="11463"/>
    <cellStyle name="출력 6" xfId="11464"/>
    <cellStyle name="출력 6 2" xfId="11465"/>
    <cellStyle name="출력 6 3" xfId="11466"/>
    <cellStyle name="출력 6 4" xfId="11467"/>
    <cellStyle name="출력 60" xfId="11468"/>
    <cellStyle name="출력 60 2" xfId="11469"/>
    <cellStyle name="출력 60 3" xfId="11470"/>
    <cellStyle name="출력 60 4" xfId="11471"/>
    <cellStyle name="출력 61" xfId="11472"/>
    <cellStyle name="출력 61 2" xfId="11473"/>
    <cellStyle name="출력 61 3" xfId="11474"/>
    <cellStyle name="출력 61 4" xfId="11475"/>
    <cellStyle name="출력 62" xfId="11476"/>
    <cellStyle name="출력 62 2" xfId="11477"/>
    <cellStyle name="출력 62 3" xfId="11478"/>
    <cellStyle name="출력 62 4" xfId="11479"/>
    <cellStyle name="출력 63" xfId="11480"/>
    <cellStyle name="출력 63 2" xfId="11481"/>
    <cellStyle name="출력 63 3" xfId="11482"/>
    <cellStyle name="출력 63 4" xfId="11483"/>
    <cellStyle name="출력 7" xfId="11484"/>
    <cellStyle name="출력 7 2" xfId="11485"/>
    <cellStyle name="출력 7 3" xfId="11486"/>
    <cellStyle name="출력 7 4" xfId="11487"/>
    <cellStyle name="출력 8" xfId="11488"/>
    <cellStyle name="출력 8 2" xfId="11489"/>
    <cellStyle name="출력 8 3" xfId="11490"/>
    <cellStyle name="출력 8 4" xfId="11491"/>
    <cellStyle name="출력 9" xfId="11492"/>
    <cellStyle name="출력 9 2" xfId="11493"/>
    <cellStyle name="출력 9 3" xfId="11494"/>
    <cellStyle name="출력 9 4" xfId="11495"/>
    <cellStyle name="캅셀" xfId="11496"/>
    <cellStyle name="콤마 [0]" xfId="11497"/>
    <cellStyle name="콤마 [0] 2" xfId="12997"/>
    <cellStyle name="콤마 [0]-총계" xfId="11498"/>
    <cellStyle name="콤마 [0]-합계" xfId="11499"/>
    <cellStyle name="콤마 [0]-합계2" xfId="11500"/>
    <cellStyle name="콤마 [1]" xfId="11501"/>
    <cellStyle name="콤마,_x0005__x0014_" xfId="11502"/>
    <cellStyle name="콤마[0]" xfId="11503"/>
    <cellStyle name="콤마_   " xfId="11504"/>
    <cellStyle name="통화 [$]" xfId="11505"/>
    <cellStyle name="通貨 [0.00]_005 Income Statement" xfId="11506"/>
    <cellStyle name="통화 [0ɝ_laroux_성일개발(주)현금흐름표" xfId="11507"/>
    <cellStyle name="통화 [0ဠ_Model mix1_원가 " xfId="11508"/>
    <cellStyle name="通貨_005 Income Statement" xfId="11509"/>
    <cellStyle name="트윈리버(주)" xfId="11510"/>
    <cellStyle name="烹拳 [0]_95" xfId="11511"/>
    <cellStyle name="烹拳_95" xfId="11512"/>
    <cellStyle name="퍼센트" xfId="11513"/>
    <cellStyle name="표준" xfId="0" builtinId="0"/>
    <cellStyle name="표준 - Style1" xfId="11522"/>
    <cellStyle name="표준 - Style2" xfId="11523"/>
    <cellStyle name="표준 - Style3" xfId="11524"/>
    <cellStyle name="표준 - Style4" xfId="11525"/>
    <cellStyle name="표준 - Style5" xfId="11526"/>
    <cellStyle name="표준 - Style6" xfId="11527"/>
    <cellStyle name="표준 - Style7" xfId="11528"/>
    <cellStyle name="표준 - Style8" xfId="11529"/>
    <cellStyle name="표준 - 유형1" xfId="11514"/>
    <cellStyle name="표준 - 유형2" xfId="11515"/>
    <cellStyle name="표준 - 유형3" xfId="11516"/>
    <cellStyle name="표준 - 유형4" xfId="11517"/>
    <cellStyle name="표준 - 유형5" xfId="11518"/>
    <cellStyle name="표준 - 유형6" xfId="11519"/>
    <cellStyle name="표준 - 유형7" xfId="11520"/>
    <cellStyle name="표준 - 유형8" xfId="11521"/>
    <cellStyle name="표준 10" xfId="18"/>
    <cellStyle name="표준 10 10" xfId="12998"/>
    <cellStyle name="표준 10 11" xfId="12999"/>
    <cellStyle name="표준 10 12" xfId="13000"/>
    <cellStyle name="표준 10 13" xfId="13001"/>
    <cellStyle name="표준 10 14" xfId="13002"/>
    <cellStyle name="표준 10 15" xfId="13003"/>
    <cellStyle name="표준 10 2" xfId="11530"/>
    <cellStyle name="표준 10 2 2" xfId="12468"/>
    <cellStyle name="표준 10 3" xfId="11531"/>
    <cellStyle name="표준 10 4" xfId="11532"/>
    <cellStyle name="표준 10 5" xfId="13004"/>
    <cellStyle name="표준 10 6" xfId="13005"/>
    <cellStyle name="표준 10 7" xfId="13006"/>
    <cellStyle name="표준 10 8" xfId="13007"/>
    <cellStyle name="표준 10 9" xfId="13008"/>
    <cellStyle name="표준 10_가격추이" xfId="11533"/>
    <cellStyle name="표준 11" xfId="19"/>
    <cellStyle name="표준 11 10" xfId="13009"/>
    <cellStyle name="표준 11 11" xfId="13010"/>
    <cellStyle name="표준 11 12" xfId="13011"/>
    <cellStyle name="표준 11 13" xfId="13012"/>
    <cellStyle name="표준 11 14" xfId="13013"/>
    <cellStyle name="표준 11 15" xfId="13014"/>
    <cellStyle name="표준 11 2" xfId="13015"/>
    <cellStyle name="표준 11 3" xfId="13016"/>
    <cellStyle name="표준 11 4" xfId="13017"/>
    <cellStyle name="표준 11 5" xfId="13018"/>
    <cellStyle name="표준 11 6" xfId="13019"/>
    <cellStyle name="표준 11 7" xfId="13020"/>
    <cellStyle name="표준 11 8" xfId="13021"/>
    <cellStyle name="표준 11 9" xfId="13022"/>
    <cellStyle name="표준 12" xfId="20"/>
    <cellStyle name="표준 12 10" xfId="13023"/>
    <cellStyle name="표준 12 11" xfId="13024"/>
    <cellStyle name="표준 12 12" xfId="13025"/>
    <cellStyle name="표준 12 13" xfId="13026"/>
    <cellStyle name="표준 12 14" xfId="13027"/>
    <cellStyle name="표준 12 15" xfId="13028"/>
    <cellStyle name="표준 12 16" xfId="13199"/>
    <cellStyle name="표준 12 2" xfId="13029"/>
    <cellStyle name="표준 12 3" xfId="13030"/>
    <cellStyle name="표준 12 4" xfId="13031"/>
    <cellStyle name="표준 12 5" xfId="13032"/>
    <cellStyle name="표준 12 6" xfId="13033"/>
    <cellStyle name="표준 12 7" xfId="13034"/>
    <cellStyle name="표준 12 8" xfId="13035"/>
    <cellStyle name="표준 12 9" xfId="13036"/>
    <cellStyle name="표준 13" xfId="21"/>
    <cellStyle name="표준 13 10" xfId="13037"/>
    <cellStyle name="표준 13 11" xfId="13038"/>
    <cellStyle name="표준 13 12" xfId="13039"/>
    <cellStyle name="표준 13 13" xfId="13040"/>
    <cellStyle name="표준 13 14" xfId="13041"/>
    <cellStyle name="표준 13 15" xfId="13042"/>
    <cellStyle name="표준 13 2" xfId="13043"/>
    <cellStyle name="표준 13 3" xfId="13044"/>
    <cellStyle name="표준 13 4" xfId="13045"/>
    <cellStyle name="표준 13 5" xfId="13046"/>
    <cellStyle name="표준 13 6" xfId="13047"/>
    <cellStyle name="표준 13 7" xfId="13048"/>
    <cellStyle name="표준 13 8" xfId="13049"/>
    <cellStyle name="표준 13 9" xfId="13050"/>
    <cellStyle name="표준 14" xfId="22"/>
    <cellStyle name="표준 14 10" xfId="13051"/>
    <cellStyle name="표준 14 11" xfId="13052"/>
    <cellStyle name="표준 14 12" xfId="13053"/>
    <cellStyle name="표준 14 13" xfId="13054"/>
    <cellStyle name="표준 14 14" xfId="13055"/>
    <cellStyle name="표준 14 15" xfId="13056"/>
    <cellStyle name="표준 14 2" xfId="13057"/>
    <cellStyle name="표준 14 3" xfId="13058"/>
    <cellStyle name="표준 14 4" xfId="13059"/>
    <cellStyle name="표준 14 5" xfId="13060"/>
    <cellStyle name="표준 14 6" xfId="13061"/>
    <cellStyle name="표준 14 7" xfId="13062"/>
    <cellStyle name="표준 14 8" xfId="13063"/>
    <cellStyle name="표준 14 9" xfId="13064"/>
    <cellStyle name="표준 15" xfId="23"/>
    <cellStyle name="표준 15 10" xfId="13065"/>
    <cellStyle name="표준 15 11" xfId="13066"/>
    <cellStyle name="표준 15 12" xfId="13067"/>
    <cellStyle name="표준 15 13" xfId="13068"/>
    <cellStyle name="표준 15 14" xfId="13069"/>
    <cellStyle name="표준 15 15" xfId="13070"/>
    <cellStyle name="표준 15 2" xfId="13071"/>
    <cellStyle name="표준 15 3" xfId="13072"/>
    <cellStyle name="표준 15 4" xfId="13073"/>
    <cellStyle name="표준 15 5" xfId="13074"/>
    <cellStyle name="표준 15 6" xfId="13075"/>
    <cellStyle name="표준 15 7" xfId="13076"/>
    <cellStyle name="표준 15 8" xfId="13077"/>
    <cellStyle name="표준 15 9" xfId="13078"/>
    <cellStyle name="표준 16" xfId="24"/>
    <cellStyle name="표준 16 10" xfId="13079"/>
    <cellStyle name="표준 16 11" xfId="13080"/>
    <cellStyle name="표준 16 12" xfId="13081"/>
    <cellStyle name="표준 16 13" xfId="13082"/>
    <cellStyle name="표준 16 14" xfId="13083"/>
    <cellStyle name="표준 16 15" xfId="13084"/>
    <cellStyle name="표준 16 2" xfId="13085"/>
    <cellStyle name="표준 16 3" xfId="13086"/>
    <cellStyle name="표준 16 4" xfId="13087"/>
    <cellStyle name="표준 16 5" xfId="13088"/>
    <cellStyle name="표준 16 6" xfId="13089"/>
    <cellStyle name="표준 16 7" xfId="13090"/>
    <cellStyle name="표준 16 8" xfId="13091"/>
    <cellStyle name="표준 16 9" xfId="13092"/>
    <cellStyle name="표준 17" xfId="25"/>
    <cellStyle name="표준 17 10" xfId="13093"/>
    <cellStyle name="표준 17 2" xfId="13094"/>
    <cellStyle name="표준 17 3" xfId="13095"/>
    <cellStyle name="표준 17 4" xfId="13096"/>
    <cellStyle name="표준 17 5" xfId="13097"/>
    <cellStyle name="표준 17 6" xfId="13098"/>
    <cellStyle name="표준 17 7" xfId="13099"/>
    <cellStyle name="표준 17 8" xfId="13100"/>
    <cellStyle name="표준 17 9" xfId="13101"/>
    <cellStyle name="표준 18" xfId="26"/>
    <cellStyle name="표준 18 10" xfId="13102"/>
    <cellStyle name="표준 18 2" xfId="27"/>
    <cellStyle name="표준 18 3" xfId="13103"/>
    <cellStyle name="표준 18 4" xfId="13104"/>
    <cellStyle name="표준 18 5" xfId="13105"/>
    <cellStyle name="표준 18 6" xfId="13106"/>
    <cellStyle name="표준 18 7" xfId="13107"/>
    <cellStyle name="표준 18 8" xfId="13108"/>
    <cellStyle name="표준 18 9" xfId="13109"/>
    <cellStyle name="표준 19" xfId="28"/>
    <cellStyle name="표준 19 2" xfId="13110"/>
    <cellStyle name="표준 2" xfId="1"/>
    <cellStyle name="표준 2 10" xfId="11534"/>
    <cellStyle name="표준 2 11" xfId="14109"/>
    <cellStyle name="표준 2 2" xfId="3"/>
    <cellStyle name="표준 2 2 2" xfId="29"/>
    <cellStyle name="표준 2 3" xfId="30"/>
    <cellStyle name="표준 2 4" xfId="11535"/>
    <cellStyle name="표준 2 4 2" xfId="12469"/>
    <cellStyle name="표준 2 4 2 2" xfId="13111"/>
    <cellStyle name="표준 2 5" xfId="11536"/>
    <cellStyle name="표준 2 6" xfId="11537"/>
    <cellStyle name="표준 2 7" xfId="11538"/>
    <cellStyle name="표준 2 8" xfId="11539"/>
    <cellStyle name="표준 2 9" xfId="11540"/>
    <cellStyle name="표준 2_(보통주)한국케이블티브이전남동부방송-DCF(2008-09-30)" xfId="11541"/>
    <cellStyle name="표준 20" xfId="31"/>
    <cellStyle name="표준 20 2" xfId="13112"/>
    <cellStyle name="표준 21" xfId="32"/>
    <cellStyle name="표준 21 2" xfId="13113"/>
    <cellStyle name="표준 22" xfId="11542"/>
    <cellStyle name="표준 22 2" xfId="13114"/>
    <cellStyle name="표준 221" xfId="14102"/>
    <cellStyle name="표준 23" xfId="11543"/>
    <cellStyle name="표준 23 2" xfId="13115"/>
    <cellStyle name="표준 24" xfId="11544"/>
    <cellStyle name="표준 25" xfId="11545"/>
    <cellStyle name="표준 26" xfId="11546"/>
    <cellStyle name="표준 27" xfId="11547"/>
    <cellStyle name="표준 28" xfId="11548"/>
    <cellStyle name="표준 29" xfId="13197"/>
    <cellStyle name="표준 3" xfId="33"/>
    <cellStyle name="표준 3 2" xfId="11549"/>
    <cellStyle name="표준 3 2 2" xfId="13116"/>
    <cellStyle name="표준 3 3" xfId="11550"/>
    <cellStyle name="표준 3 4" xfId="11551"/>
    <cellStyle name="표준 3 5" xfId="11552"/>
    <cellStyle name="표준 3 6" xfId="11553"/>
    <cellStyle name="표준 3 7" xfId="13198"/>
    <cellStyle name="표준 3 8" xfId="14111"/>
    <cellStyle name="표준 3_(보통주)한국케이블티브이전남동부방송-DCF(2008-09-30)" xfId="11554"/>
    <cellStyle name="표준 30" xfId="11555"/>
    <cellStyle name="표준 31" xfId="11556"/>
    <cellStyle name="표준 32" xfId="11557"/>
    <cellStyle name="표준 33" xfId="14100"/>
    <cellStyle name="표준 34" xfId="11558"/>
    <cellStyle name="표준 35" xfId="34"/>
    <cellStyle name="표준 36" xfId="11559"/>
    <cellStyle name="표준 37" xfId="11560"/>
    <cellStyle name="표준 38" xfId="14107"/>
    <cellStyle name="표준 39" xfId="11561"/>
    <cellStyle name="표준 4" xfId="35"/>
    <cellStyle name="표준 4 10" xfId="11562"/>
    <cellStyle name="표준 4 10 2" xfId="13201"/>
    <cellStyle name="표준 4 10 2 2" xfId="13202"/>
    <cellStyle name="표준 4 10 3" xfId="13203"/>
    <cellStyle name="표준 4 10 4" xfId="13204"/>
    <cellStyle name="표준 4 10 5" xfId="13205"/>
    <cellStyle name="표준 4 11" xfId="11563"/>
    <cellStyle name="표준 4 11 2" xfId="13206"/>
    <cellStyle name="표준 4 11 2 2" xfId="13207"/>
    <cellStyle name="표준 4 11 3" xfId="13208"/>
    <cellStyle name="표준 4 11 4" xfId="13209"/>
    <cellStyle name="표준 4 11 5" xfId="13210"/>
    <cellStyle name="표준 4 12" xfId="13211"/>
    <cellStyle name="표준 4 12 2" xfId="13212"/>
    <cellStyle name="표준 4 13" xfId="13213"/>
    <cellStyle name="표준 4 14" xfId="13214"/>
    <cellStyle name="표준 4 15" xfId="13215"/>
    <cellStyle name="표준 4 2" xfId="11564"/>
    <cellStyle name="표준 4 2 10" xfId="11565"/>
    <cellStyle name="표준 4 2 10 2" xfId="13216"/>
    <cellStyle name="표준 4 2 10 2 2" xfId="13217"/>
    <cellStyle name="표준 4 2 10 3" xfId="13218"/>
    <cellStyle name="표준 4 2 10 4" xfId="13219"/>
    <cellStyle name="표준 4 2 10 5" xfId="13220"/>
    <cellStyle name="표준 4 2 11" xfId="13117"/>
    <cellStyle name="표준 4 2 11 2" xfId="13221"/>
    <cellStyle name="표준 4 2 12" xfId="13222"/>
    <cellStyle name="표준 4 2 13" xfId="13223"/>
    <cellStyle name="표준 4 2 14" xfId="13224"/>
    <cellStyle name="표준 4 2 2" xfId="11566"/>
    <cellStyle name="표준 4 2 2 10" xfId="13225"/>
    <cellStyle name="표준 4 2 2 2" xfId="11567"/>
    <cellStyle name="표준 4 2 2 2 2" xfId="11568"/>
    <cellStyle name="표준 4 2 2 2 2 2" xfId="11569"/>
    <cellStyle name="표준 4 2 2 2 2 2 2" xfId="13226"/>
    <cellStyle name="표준 4 2 2 2 2 2 2 2" xfId="13227"/>
    <cellStyle name="표준 4 2 2 2 2 2 3" xfId="13228"/>
    <cellStyle name="표준 4 2 2 2 2 2 4" xfId="13229"/>
    <cellStyle name="표준 4 2 2 2 2 2 5" xfId="13230"/>
    <cellStyle name="표준 4 2 2 2 2 3" xfId="11570"/>
    <cellStyle name="표준 4 2 2 2 2 3 2" xfId="13231"/>
    <cellStyle name="표준 4 2 2 2 2 3 2 2" xfId="13232"/>
    <cellStyle name="표준 4 2 2 2 2 3 3" xfId="13233"/>
    <cellStyle name="표준 4 2 2 2 2 3 4" xfId="13234"/>
    <cellStyle name="표준 4 2 2 2 2 3 5" xfId="13235"/>
    <cellStyle name="표준 4 2 2 2 2 4" xfId="13236"/>
    <cellStyle name="표준 4 2 2 2 2 4 2" xfId="13237"/>
    <cellStyle name="표준 4 2 2 2 2 5" xfId="13238"/>
    <cellStyle name="표준 4 2 2 2 2 6" xfId="13239"/>
    <cellStyle name="표준 4 2 2 2 2 7" xfId="13240"/>
    <cellStyle name="표준 4 2 2 2 3" xfId="11571"/>
    <cellStyle name="표준 4 2 2 2 3 2" xfId="13241"/>
    <cellStyle name="표준 4 2 2 2 3 2 2" xfId="13242"/>
    <cellStyle name="표준 4 2 2 2 3 3" xfId="13243"/>
    <cellStyle name="표준 4 2 2 2 3 4" xfId="13244"/>
    <cellStyle name="표준 4 2 2 2 3 5" xfId="13245"/>
    <cellStyle name="표준 4 2 2 2 4" xfId="11572"/>
    <cellStyle name="표준 4 2 2 2 4 2" xfId="13246"/>
    <cellStyle name="표준 4 2 2 2 4 2 2" xfId="13247"/>
    <cellStyle name="표준 4 2 2 2 4 3" xfId="13248"/>
    <cellStyle name="표준 4 2 2 2 4 4" xfId="13249"/>
    <cellStyle name="표준 4 2 2 2 4 5" xfId="13250"/>
    <cellStyle name="표준 4 2 2 2 5" xfId="13251"/>
    <cellStyle name="표준 4 2 2 2 5 2" xfId="13252"/>
    <cellStyle name="표준 4 2 2 2 6" xfId="13253"/>
    <cellStyle name="표준 4 2 2 2 7" xfId="13254"/>
    <cellStyle name="표준 4 2 2 2 8" xfId="13255"/>
    <cellStyle name="표준 4 2 2 3" xfId="11573"/>
    <cellStyle name="표준 4 2 2 3 2" xfId="11574"/>
    <cellStyle name="표준 4 2 2 3 2 2" xfId="11575"/>
    <cellStyle name="표준 4 2 2 3 2 2 2" xfId="13256"/>
    <cellStyle name="표준 4 2 2 3 2 2 2 2" xfId="13257"/>
    <cellStyle name="표준 4 2 2 3 2 2 3" xfId="13258"/>
    <cellStyle name="표준 4 2 2 3 2 2 4" xfId="13259"/>
    <cellStyle name="표준 4 2 2 3 2 2 5" xfId="13260"/>
    <cellStyle name="표준 4 2 2 3 2 3" xfId="11576"/>
    <cellStyle name="표준 4 2 2 3 2 3 2" xfId="13261"/>
    <cellStyle name="표준 4 2 2 3 2 3 2 2" xfId="13262"/>
    <cellStyle name="표준 4 2 2 3 2 3 3" xfId="13263"/>
    <cellStyle name="표준 4 2 2 3 2 3 4" xfId="13264"/>
    <cellStyle name="표준 4 2 2 3 2 3 5" xfId="13265"/>
    <cellStyle name="표준 4 2 2 3 2 4" xfId="13266"/>
    <cellStyle name="표준 4 2 2 3 2 4 2" xfId="13267"/>
    <cellStyle name="표준 4 2 2 3 2 5" xfId="13268"/>
    <cellStyle name="표준 4 2 2 3 2 6" xfId="13269"/>
    <cellStyle name="표준 4 2 2 3 2 7" xfId="13270"/>
    <cellStyle name="표준 4 2 2 3 3" xfId="11577"/>
    <cellStyle name="표준 4 2 2 3 3 2" xfId="13271"/>
    <cellStyle name="표준 4 2 2 3 3 2 2" xfId="13272"/>
    <cellStyle name="표준 4 2 2 3 3 3" xfId="13273"/>
    <cellStyle name="표준 4 2 2 3 3 4" xfId="13274"/>
    <cellStyle name="표준 4 2 2 3 3 5" xfId="13275"/>
    <cellStyle name="표준 4 2 2 3 4" xfId="11578"/>
    <cellStyle name="표준 4 2 2 3 4 2" xfId="13276"/>
    <cellStyle name="표준 4 2 2 3 4 2 2" xfId="13277"/>
    <cellStyle name="표준 4 2 2 3 4 3" xfId="13278"/>
    <cellStyle name="표준 4 2 2 3 4 4" xfId="13279"/>
    <cellStyle name="표준 4 2 2 3 4 5" xfId="13280"/>
    <cellStyle name="표준 4 2 2 3 5" xfId="13281"/>
    <cellStyle name="표준 4 2 2 3 5 2" xfId="13282"/>
    <cellStyle name="표준 4 2 2 3 6" xfId="13283"/>
    <cellStyle name="표준 4 2 2 3 7" xfId="13284"/>
    <cellStyle name="표준 4 2 2 3 8" xfId="13285"/>
    <cellStyle name="표준 4 2 2 4" xfId="11579"/>
    <cellStyle name="표준 4 2 2 4 2" xfId="11580"/>
    <cellStyle name="표준 4 2 2 4 2 2" xfId="13286"/>
    <cellStyle name="표준 4 2 2 4 2 2 2" xfId="13287"/>
    <cellStyle name="표준 4 2 2 4 2 3" xfId="13288"/>
    <cellStyle name="표준 4 2 2 4 2 4" xfId="13289"/>
    <cellStyle name="표준 4 2 2 4 2 5" xfId="13290"/>
    <cellStyle name="표준 4 2 2 4 3" xfId="11581"/>
    <cellStyle name="표준 4 2 2 4 3 2" xfId="13291"/>
    <cellStyle name="표준 4 2 2 4 3 2 2" xfId="13292"/>
    <cellStyle name="표준 4 2 2 4 3 3" xfId="13293"/>
    <cellStyle name="표준 4 2 2 4 3 4" xfId="13294"/>
    <cellStyle name="표준 4 2 2 4 3 5" xfId="13295"/>
    <cellStyle name="표준 4 2 2 4 4" xfId="13296"/>
    <cellStyle name="표준 4 2 2 4 4 2" xfId="13297"/>
    <cellStyle name="표준 4 2 2 4 5" xfId="13298"/>
    <cellStyle name="표준 4 2 2 4 6" xfId="13299"/>
    <cellStyle name="표준 4 2 2 4 7" xfId="13300"/>
    <cellStyle name="표준 4 2 2 5" xfId="11582"/>
    <cellStyle name="표준 4 2 2 5 2" xfId="13301"/>
    <cellStyle name="표준 4 2 2 5 2 2" xfId="13302"/>
    <cellStyle name="표준 4 2 2 5 3" xfId="13303"/>
    <cellStyle name="표준 4 2 2 5 4" xfId="13304"/>
    <cellStyle name="표준 4 2 2 5 5" xfId="13305"/>
    <cellStyle name="표준 4 2 2 6" xfId="11583"/>
    <cellStyle name="표준 4 2 2 6 2" xfId="13306"/>
    <cellStyle name="표준 4 2 2 6 2 2" xfId="13307"/>
    <cellStyle name="표준 4 2 2 6 3" xfId="13308"/>
    <cellStyle name="표준 4 2 2 6 4" xfId="13309"/>
    <cellStyle name="표준 4 2 2 6 5" xfId="13310"/>
    <cellStyle name="표준 4 2 2 7" xfId="13311"/>
    <cellStyle name="표준 4 2 2 7 2" xfId="13312"/>
    <cellStyle name="표준 4 2 2 8" xfId="13313"/>
    <cellStyle name="표준 4 2 2 9" xfId="13314"/>
    <cellStyle name="표준 4 2 3" xfId="11584"/>
    <cellStyle name="표준 4 2 3 10" xfId="13315"/>
    <cellStyle name="표준 4 2 3 2" xfId="11585"/>
    <cellStyle name="표준 4 2 3 2 2" xfId="11586"/>
    <cellStyle name="표준 4 2 3 2 2 2" xfId="11587"/>
    <cellStyle name="표준 4 2 3 2 2 2 2" xfId="13316"/>
    <cellStyle name="표준 4 2 3 2 2 2 2 2" xfId="13317"/>
    <cellStyle name="표준 4 2 3 2 2 2 3" xfId="13318"/>
    <cellStyle name="표준 4 2 3 2 2 2 4" xfId="13319"/>
    <cellStyle name="표준 4 2 3 2 2 2 5" xfId="13320"/>
    <cellStyle name="표준 4 2 3 2 2 3" xfId="11588"/>
    <cellStyle name="표준 4 2 3 2 2 3 2" xfId="13321"/>
    <cellStyle name="표준 4 2 3 2 2 3 2 2" xfId="13322"/>
    <cellStyle name="표준 4 2 3 2 2 3 3" xfId="13323"/>
    <cellStyle name="표준 4 2 3 2 2 3 4" xfId="13324"/>
    <cellStyle name="표준 4 2 3 2 2 3 5" xfId="13325"/>
    <cellStyle name="표준 4 2 3 2 2 4" xfId="13326"/>
    <cellStyle name="표준 4 2 3 2 2 4 2" xfId="13327"/>
    <cellStyle name="표준 4 2 3 2 2 5" xfId="13328"/>
    <cellStyle name="표준 4 2 3 2 2 6" xfId="13329"/>
    <cellStyle name="표준 4 2 3 2 2 7" xfId="13330"/>
    <cellStyle name="표준 4 2 3 2 3" xfId="11589"/>
    <cellStyle name="표준 4 2 3 2 3 2" xfId="13331"/>
    <cellStyle name="표준 4 2 3 2 3 2 2" xfId="13332"/>
    <cellStyle name="표준 4 2 3 2 3 3" xfId="13333"/>
    <cellStyle name="표준 4 2 3 2 3 4" xfId="13334"/>
    <cellStyle name="표준 4 2 3 2 3 5" xfId="13335"/>
    <cellStyle name="표준 4 2 3 2 4" xfId="11590"/>
    <cellStyle name="표준 4 2 3 2 4 2" xfId="13336"/>
    <cellStyle name="표준 4 2 3 2 4 2 2" xfId="13337"/>
    <cellStyle name="표준 4 2 3 2 4 3" xfId="13338"/>
    <cellStyle name="표준 4 2 3 2 4 4" xfId="13339"/>
    <cellStyle name="표준 4 2 3 2 4 5" xfId="13340"/>
    <cellStyle name="표준 4 2 3 2 5" xfId="13341"/>
    <cellStyle name="표준 4 2 3 2 5 2" xfId="13342"/>
    <cellStyle name="표준 4 2 3 2 6" xfId="13343"/>
    <cellStyle name="표준 4 2 3 2 7" xfId="13344"/>
    <cellStyle name="표준 4 2 3 2 8" xfId="13345"/>
    <cellStyle name="표준 4 2 3 3" xfId="11591"/>
    <cellStyle name="표준 4 2 3 3 2" xfId="11592"/>
    <cellStyle name="표준 4 2 3 3 2 2" xfId="11593"/>
    <cellStyle name="표준 4 2 3 3 2 2 2" xfId="13346"/>
    <cellStyle name="표준 4 2 3 3 2 2 2 2" xfId="13347"/>
    <cellStyle name="표준 4 2 3 3 2 2 3" xfId="13348"/>
    <cellStyle name="표준 4 2 3 3 2 2 4" xfId="13349"/>
    <cellStyle name="표준 4 2 3 3 2 2 5" xfId="13350"/>
    <cellStyle name="표준 4 2 3 3 2 3" xfId="11594"/>
    <cellStyle name="표준 4 2 3 3 2 3 2" xfId="13351"/>
    <cellStyle name="표준 4 2 3 3 2 3 2 2" xfId="13352"/>
    <cellStyle name="표준 4 2 3 3 2 3 3" xfId="13353"/>
    <cellStyle name="표준 4 2 3 3 2 3 4" xfId="13354"/>
    <cellStyle name="표준 4 2 3 3 2 3 5" xfId="13355"/>
    <cellStyle name="표준 4 2 3 3 2 4" xfId="13356"/>
    <cellStyle name="표준 4 2 3 3 2 4 2" xfId="13357"/>
    <cellStyle name="표준 4 2 3 3 2 5" xfId="13358"/>
    <cellStyle name="표준 4 2 3 3 2 6" xfId="13359"/>
    <cellStyle name="표준 4 2 3 3 2 7" xfId="13360"/>
    <cellStyle name="표준 4 2 3 3 3" xfId="11595"/>
    <cellStyle name="표준 4 2 3 3 3 2" xfId="13361"/>
    <cellStyle name="표준 4 2 3 3 3 2 2" xfId="13362"/>
    <cellStyle name="표준 4 2 3 3 3 3" xfId="13363"/>
    <cellStyle name="표준 4 2 3 3 3 4" xfId="13364"/>
    <cellStyle name="표준 4 2 3 3 3 5" xfId="13365"/>
    <cellStyle name="표준 4 2 3 3 4" xfId="11596"/>
    <cellStyle name="표준 4 2 3 3 4 2" xfId="13366"/>
    <cellStyle name="표준 4 2 3 3 4 2 2" xfId="13367"/>
    <cellStyle name="표준 4 2 3 3 4 3" xfId="13368"/>
    <cellStyle name="표준 4 2 3 3 4 4" xfId="13369"/>
    <cellStyle name="표준 4 2 3 3 4 5" xfId="13370"/>
    <cellStyle name="표준 4 2 3 3 5" xfId="13371"/>
    <cellStyle name="표준 4 2 3 3 5 2" xfId="13372"/>
    <cellStyle name="표준 4 2 3 3 6" xfId="13373"/>
    <cellStyle name="표준 4 2 3 3 7" xfId="13374"/>
    <cellStyle name="표준 4 2 3 3 8" xfId="13375"/>
    <cellStyle name="표준 4 2 3 4" xfId="11597"/>
    <cellStyle name="표준 4 2 3 4 2" xfId="11598"/>
    <cellStyle name="표준 4 2 3 4 2 2" xfId="13376"/>
    <cellStyle name="표준 4 2 3 4 2 2 2" xfId="13377"/>
    <cellStyle name="표준 4 2 3 4 2 3" xfId="13378"/>
    <cellStyle name="표준 4 2 3 4 2 4" xfId="13379"/>
    <cellStyle name="표준 4 2 3 4 2 5" xfId="13380"/>
    <cellStyle name="표준 4 2 3 4 3" xfId="11599"/>
    <cellStyle name="표준 4 2 3 4 3 2" xfId="13381"/>
    <cellStyle name="표준 4 2 3 4 3 2 2" xfId="13382"/>
    <cellStyle name="표준 4 2 3 4 3 3" xfId="13383"/>
    <cellStyle name="표준 4 2 3 4 3 4" xfId="13384"/>
    <cellStyle name="표준 4 2 3 4 3 5" xfId="13385"/>
    <cellStyle name="표준 4 2 3 4 4" xfId="13386"/>
    <cellStyle name="표준 4 2 3 4 4 2" xfId="13387"/>
    <cellStyle name="표준 4 2 3 4 5" xfId="13388"/>
    <cellStyle name="표준 4 2 3 4 6" xfId="13389"/>
    <cellStyle name="표준 4 2 3 4 7" xfId="13390"/>
    <cellStyle name="표준 4 2 3 5" xfId="11600"/>
    <cellStyle name="표준 4 2 3 5 2" xfId="13391"/>
    <cellStyle name="표준 4 2 3 5 2 2" xfId="13392"/>
    <cellStyle name="표준 4 2 3 5 3" xfId="13393"/>
    <cellStyle name="표준 4 2 3 5 4" xfId="13394"/>
    <cellStyle name="표준 4 2 3 5 5" xfId="13395"/>
    <cellStyle name="표준 4 2 3 6" xfId="11601"/>
    <cellStyle name="표준 4 2 3 6 2" xfId="13396"/>
    <cellStyle name="표준 4 2 3 6 2 2" xfId="13397"/>
    <cellStyle name="표준 4 2 3 6 3" xfId="13398"/>
    <cellStyle name="표준 4 2 3 6 4" xfId="13399"/>
    <cellStyle name="표준 4 2 3 6 5" xfId="13400"/>
    <cellStyle name="표준 4 2 3 7" xfId="13401"/>
    <cellStyle name="표준 4 2 3 7 2" xfId="13402"/>
    <cellStyle name="표준 4 2 3 8" xfId="13403"/>
    <cellStyle name="표준 4 2 3 9" xfId="13404"/>
    <cellStyle name="표준 4 2 4" xfId="11602"/>
    <cellStyle name="표준 4 2 4 10" xfId="13405"/>
    <cellStyle name="표준 4 2 4 2" xfId="11603"/>
    <cellStyle name="표준 4 2 4 2 2" xfId="11604"/>
    <cellStyle name="표준 4 2 4 2 2 2" xfId="11605"/>
    <cellStyle name="표준 4 2 4 2 2 2 2" xfId="13406"/>
    <cellStyle name="표준 4 2 4 2 2 2 2 2" xfId="13407"/>
    <cellStyle name="표준 4 2 4 2 2 2 3" xfId="13408"/>
    <cellStyle name="표준 4 2 4 2 2 2 4" xfId="13409"/>
    <cellStyle name="표준 4 2 4 2 2 2 5" xfId="13410"/>
    <cellStyle name="표준 4 2 4 2 2 3" xfId="11606"/>
    <cellStyle name="표준 4 2 4 2 2 3 2" xfId="13411"/>
    <cellStyle name="표준 4 2 4 2 2 3 2 2" xfId="13412"/>
    <cellStyle name="표준 4 2 4 2 2 3 3" xfId="13413"/>
    <cellStyle name="표준 4 2 4 2 2 3 4" xfId="13414"/>
    <cellStyle name="표준 4 2 4 2 2 3 5" xfId="13415"/>
    <cellStyle name="표준 4 2 4 2 2 4" xfId="13416"/>
    <cellStyle name="표준 4 2 4 2 2 4 2" xfId="13417"/>
    <cellStyle name="표준 4 2 4 2 2 5" xfId="13418"/>
    <cellStyle name="표준 4 2 4 2 2 6" xfId="13419"/>
    <cellStyle name="표준 4 2 4 2 2 7" xfId="13420"/>
    <cellStyle name="표준 4 2 4 2 3" xfId="11607"/>
    <cellStyle name="표준 4 2 4 2 3 2" xfId="13421"/>
    <cellStyle name="표준 4 2 4 2 3 2 2" xfId="13422"/>
    <cellStyle name="표준 4 2 4 2 3 3" xfId="13423"/>
    <cellStyle name="표준 4 2 4 2 3 4" xfId="13424"/>
    <cellStyle name="표준 4 2 4 2 3 5" xfId="13425"/>
    <cellStyle name="표준 4 2 4 2 4" xfId="11608"/>
    <cellStyle name="표준 4 2 4 2 4 2" xfId="13426"/>
    <cellStyle name="표준 4 2 4 2 4 2 2" xfId="13427"/>
    <cellStyle name="표준 4 2 4 2 4 3" xfId="13428"/>
    <cellStyle name="표준 4 2 4 2 4 4" xfId="13429"/>
    <cellStyle name="표준 4 2 4 2 4 5" xfId="13430"/>
    <cellStyle name="표준 4 2 4 2 5" xfId="13431"/>
    <cellStyle name="표준 4 2 4 2 5 2" xfId="13432"/>
    <cellStyle name="표준 4 2 4 2 6" xfId="13433"/>
    <cellStyle name="표준 4 2 4 2 7" xfId="13434"/>
    <cellStyle name="표준 4 2 4 2 8" xfId="13435"/>
    <cellStyle name="표준 4 2 4 3" xfId="11609"/>
    <cellStyle name="표준 4 2 4 3 2" xfId="11610"/>
    <cellStyle name="표준 4 2 4 3 2 2" xfId="11611"/>
    <cellStyle name="표준 4 2 4 3 2 2 2" xfId="13436"/>
    <cellStyle name="표준 4 2 4 3 2 2 2 2" xfId="13437"/>
    <cellStyle name="표준 4 2 4 3 2 2 3" xfId="13438"/>
    <cellStyle name="표준 4 2 4 3 2 2 4" xfId="13439"/>
    <cellStyle name="표준 4 2 4 3 2 2 5" xfId="13440"/>
    <cellStyle name="표준 4 2 4 3 2 3" xfId="11612"/>
    <cellStyle name="표준 4 2 4 3 2 3 2" xfId="13441"/>
    <cellStyle name="표준 4 2 4 3 2 3 2 2" xfId="13442"/>
    <cellStyle name="표준 4 2 4 3 2 3 3" xfId="13443"/>
    <cellStyle name="표준 4 2 4 3 2 3 4" xfId="13444"/>
    <cellStyle name="표준 4 2 4 3 2 3 5" xfId="13445"/>
    <cellStyle name="표준 4 2 4 3 2 4" xfId="13446"/>
    <cellStyle name="표준 4 2 4 3 2 4 2" xfId="13447"/>
    <cellStyle name="표준 4 2 4 3 2 5" xfId="13448"/>
    <cellStyle name="표준 4 2 4 3 2 6" xfId="13449"/>
    <cellStyle name="표준 4 2 4 3 2 7" xfId="13450"/>
    <cellStyle name="표준 4 2 4 3 3" xfId="11613"/>
    <cellStyle name="표준 4 2 4 3 3 2" xfId="13451"/>
    <cellStyle name="표준 4 2 4 3 3 2 2" xfId="13452"/>
    <cellStyle name="표준 4 2 4 3 3 3" xfId="13453"/>
    <cellStyle name="표준 4 2 4 3 3 4" xfId="13454"/>
    <cellStyle name="표준 4 2 4 3 3 5" xfId="13455"/>
    <cellStyle name="표준 4 2 4 3 4" xfId="11614"/>
    <cellStyle name="표준 4 2 4 3 4 2" xfId="13456"/>
    <cellStyle name="표준 4 2 4 3 4 2 2" xfId="13457"/>
    <cellStyle name="표준 4 2 4 3 4 3" xfId="13458"/>
    <cellStyle name="표준 4 2 4 3 4 4" xfId="13459"/>
    <cellStyle name="표준 4 2 4 3 4 5" xfId="13460"/>
    <cellStyle name="표준 4 2 4 3 5" xfId="13461"/>
    <cellStyle name="표준 4 2 4 3 5 2" xfId="13462"/>
    <cellStyle name="표준 4 2 4 3 6" xfId="13463"/>
    <cellStyle name="표준 4 2 4 3 7" xfId="13464"/>
    <cellStyle name="표준 4 2 4 3 8" xfId="13465"/>
    <cellStyle name="표준 4 2 4 4" xfId="11615"/>
    <cellStyle name="표준 4 2 4 4 2" xfId="11616"/>
    <cellStyle name="표준 4 2 4 4 2 2" xfId="13466"/>
    <cellStyle name="표준 4 2 4 4 2 2 2" xfId="13467"/>
    <cellStyle name="표준 4 2 4 4 2 3" xfId="13468"/>
    <cellStyle name="표준 4 2 4 4 2 4" xfId="13469"/>
    <cellStyle name="표준 4 2 4 4 2 5" xfId="13470"/>
    <cellStyle name="표준 4 2 4 4 3" xfId="11617"/>
    <cellStyle name="표준 4 2 4 4 3 2" xfId="13471"/>
    <cellStyle name="표준 4 2 4 4 3 2 2" xfId="13472"/>
    <cellStyle name="표준 4 2 4 4 3 3" xfId="13473"/>
    <cellStyle name="표준 4 2 4 4 3 4" xfId="13474"/>
    <cellStyle name="표준 4 2 4 4 3 5" xfId="13475"/>
    <cellStyle name="표준 4 2 4 4 4" xfId="13476"/>
    <cellStyle name="표준 4 2 4 4 4 2" xfId="13477"/>
    <cellStyle name="표준 4 2 4 4 5" xfId="13478"/>
    <cellStyle name="표준 4 2 4 4 6" xfId="13479"/>
    <cellStyle name="표준 4 2 4 4 7" xfId="13480"/>
    <cellStyle name="표준 4 2 4 5" xfId="11618"/>
    <cellStyle name="표준 4 2 4 5 2" xfId="13481"/>
    <cellStyle name="표준 4 2 4 5 2 2" xfId="13482"/>
    <cellStyle name="표준 4 2 4 5 3" xfId="13483"/>
    <cellStyle name="표준 4 2 4 5 4" xfId="13484"/>
    <cellStyle name="표준 4 2 4 5 5" xfId="13485"/>
    <cellStyle name="표준 4 2 4 6" xfId="11619"/>
    <cellStyle name="표준 4 2 4 6 2" xfId="13486"/>
    <cellStyle name="표준 4 2 4 6 2 2" xfId="13487"/>
    <cellStyle name="표준 4 2 4 6 3" xfId="13488"/>
    <cellStyle name="표준 4 2 4 6 4" xfId="13489"/>
    <cellStyle name="표준 4 2 4 6 5" xfId="13490"/>
    <cellStyle name="표준 4 2 4 7" xfId="13491"/>
    <cellStyle name="표준 4 2 4 7 2" xfId="13492"/>
    <cellStyle name="표준 4 2 4 8" xfId="13493"/>
    <cellStyle name="표준 4 2 4 9" xfId="13494"/>
    <cellStyle name="표준 4 2 5" xfId="11620"/>
    <cellStyle name="표준 4 2 5 10" xfId="13495"/>
    <cellStyle name="표준 4 2 5 2" xfId="11621"/>
    <cellStyle name="표준 4 2 5 2 2" xfId="11622"/>
    <cellStyle name="표준 4 2 5 2 2 2" xfId="11623"/>
    <cellStyle name="표준 4 2 5 2 2 2 2" xfId="13496"/>
    <cellStyle name="표준 4 2 5 2 2 2 2 2" xfId="13497"/>
    <cellStyle name="표준 4 2 5 2 2 2 3" xfId="13498"/>
    <cellStyle name="표준 4 2 5 2 2 2 4" xfId="13499"/>
    <cellStyle name="표준 4 2 5 2 2 2 5" xfId="13500"/>
    <cellStyle name="표준 4 2 5 2 2 3" xfId="11624"/>
    <cellStyle name="표준 4 2 5 2 2 3 2" xfId="13501"/>
    <cellStyle name="표준 4 2 5 2 2 3 2 2" xfId="13502"/>
    <cellStyle name="표준 4 2 5 2 2 3 3" xfId="13503"/>
    <cellStyle name="표준 4 2 5 2 2 3 4" xfId="13504"/>
    <cellStyle name="표준 4 2 5 2 2 3 5" xfId="13505"/>
    <cellStyle name="표준 4 2 5 2 2 4" xfId="13506"/>
    <cellStyle name="표준 4 2 5 2 2 4 2" xfId="13507"/>
    <cellStyle name="표준 4 2 5 2 2 5" xfId="13508"/>
    <cellStyle name="표준 4 2 5 2 2 6" xfId="13509"/>
    <cellStyle name="표준 4 2 5 2 2 7" xfId="13510"/>
    <cellStyle name="표준 4 2 5 2 3" xfId="11625"/>
    <cellStyle name="표준 4 2 5 2 3 2" xfId="13511"/>
    <cellStyle name="표준 4 2 5 2 3 2 2" xfId="13512"/>
    <cellStyle name="표준 4 2 5 2 3 3" xfId="13513"/>
    <cellStyle name="표준 4 2 5 2 3 4" xfId="13514"/>
    <cellStyle name="표준 4 2 5 2 3 5" xfId="13515"/>
    <cellStyle name="표준 4 2 5 2 4" xfId="11626"/>
    <cellStyle name="표준 4 2 5 2 4 2" xfId="13516"/>
    <cellStyle name="표준 4 2 5 2 4 2 2" xfId="13517"/>
    <cellStyle name="표준 4 2 5 2 4 3" xfId="13518"/>
    <cellStyle name="표준 4 2 5 2 4 4" xfId="13519"/>
    <cellStyle name="표준 4 2 5 2 4 5" xfId="13520"/>
    <cellStyle name="표준 4 2 5 2 5" xfId="13521"/>
    <cellStyle name="표준 4 2 5 2 5 2" xfId="13522"/>
    <cellStyle name="표준 4 2 5 2 6" xfId="13523"/>
    <cellStyle name="표준 4 2 5 2 7" xfId="13524"/>
    <cellStyle name="표준 4 2 5 2 8" xfId="13525"/>
    <cellStyle name="표준 4 2 5 3" xfId="11627"/>
    <cellStyle name="표준 4 2 5 3 2" xfId="11628"/>
    <cellStyle name="표준 4 2 5 3 2 2" xfId="11629"/>
    <cellStyle name="표준 4 2 5 3 2 2 2" xfId="13526"/>
    <cellStyle name="표준 4 2 5 3 2 2 2 2" xfId="13527"/>
    <cellStyle name="표준 4 2 5 3 2 2 3" xfId="13528"/>
    <cellStyle name="표준 4 2 5 3 2 2 4" xfId="13529"/>
    <cellStyle name="표준 4 2 5 3 2 2 5" xfId="13530"/>
    <cellStyle name="표준 4 2 5 3 2 3" xfId="11630"/>
    <cellStyle name="표준 4 2 5 3 2 3 2" xfId="13531"/>
    <cellStyle name="표준 4 2 5 3 2 3 2 2" xfId="13532"/>
    <cellStyle name="표준 4 2 5 3 2 3 3" xfId="13533"/>
    <cellStyle name="표준 4 2 5 3 2 3 4" xfId="13534"/>
    <cellStyle name="표준 4 2 5 3 2 3 5" xfId="13535"/>
    <cellStyle name="표준 4 2 5 3 2 4" xfId="13536"/>
    <cellStyle name="표준 4 2 5 3 2 4 2" xfId="13537"/>
    <cellStyle name="표준 4 2 5 3 2 5" xfId="13538"/>
    <cellStyle name="표준 4 2 5 3 2 6" xfId="13539"/>
    <cellStyle name="표준 4 2 5 3 2 7" xfId="13540"/>
    <cellStyle name="표준 4 2 5 3 3" xfId="11631"/>
    <cellStyle name="표준 4 2 5 3 3 2" xfId="13541"/>
    <cellStyle name="표준 4 2 5 3 3 2 2" xfId="13542"/>
    <cellStyle name="표준 4 2 5 3 3 3" xfId="13543"/>
    <cellStyle name="표준 4 2 5 3 3 4" xfId="13544"/>
    <cellStyle name="표준 4 2 5 3 3 5" xfId="13545"/>
    <cellStyle name="표준 4 2 5 3 4" xfId="11632"/>
    <cellStyle name="표준 4 2 5 3 4 2" xfId="13546"/>
    <cellStyle name="표준 4 2 5 3 4 2 2" xfId="13547"/>
    <cellStyle name="표준 4 2 5 3 4 3" xfId="13548"/>
    <cellStyle name="표준 4 2 5 3 4 4" xfId="13549"/>
    <cellStyle name="표준 4 2 5 3 4 5" xfId="13550"/>
    <cellStyle name="표준 4 2 5 3 5" xfId="13551"/>
    <cellStyle name="표준 4 2 5 3 5 2" xfId="13552"/>
    <cellStyle name="표준 4 2 5 3 6" xfId="13553"/>
    <cellStyle name="표준 4 2 5 3 7" xfId="13554"/>
    <cellStyle name="표준 4 2 5 3 8" xfId="13555"/>
    <cellStyle name="표준 4 2 5 4" xfId="11633"/>
    <cellStyle name="표준 4 2 5 4 2" xfId="11634"/>
    <cellStyle name="표준 4 2 5 4 2 2" xfId="13556"/>
    <cellStyle name="표준 4 2 5 4 2 2 2" xfId="13557"/>
    <cellStyle name="표준 4 2 5 4 2 3" xfId="13558"/>
    <cellStyle name="표준 4 2 5 4 2 4" xfId="13559"/>
    <cellStyle name="표준 4 2 5 4 2 5" xfId="13560"/>
    <cellStyle name="표준 4 2 5 4 3" xfId="11635"/>
    <cellStyle name="표준 4 2 5 4 3 2" xfId="13561"/>
    <cellStyle name="표준 4 2 5 4 3 2 2" xfId="13562"/>
    <cellStyle name="표준 4 2 5 4 3 3" xfId="13563"/>
    <cellStyle name="표준 4 2 5 4 3 4" xfId="13564"/>
    <cellStyle name="표준 4 2 5 4 3 5" xfId="13565"/>
    <cellStyle name="표준 4 2 5 4 4" xfId="13566"/>
    <cellStyle name="표준 4 2 5 4 4 2" xfId="13567"/>
    <cellStyle name="표준 4 2 5 4 5" xfId="13568"/>
    <cellStyle name="표준 4 2 5 4 6" xfId="13569"/>
    <cellStyle name="표준 4 2 5 4 7" xfId="13570"/>
    <cellStyle name="표준 4 2 5 5" xfId="11636"/>
    <cellStyle name="표준 4 2 5 5 2" xfId="13571"/>
    <cellStyle name="표준 4 2 5 5 2 2" xfId="13572"/>
    <cellStyle name="표준 4 2 5 5 3" xfId="13573"/>
    <cellStyle name="표준 4 2 5 5 4" xfId="13574"/>
    <cellStyle name="표준 4 2 5 5 5" xfId="13575"/>
    <cellStyle name="표준 4 2 5 6" xfId="11637"/>
    <cellStyle name="표준 4 2 5 6 2" xfId="13576"/>
    <cellStyle name="표준 4 2 5 6 2 2" xfId="13577"/>
    <cellStyle name="표준 4 2 5 6 3" xfId="13578"/>
    <cellStyle name="표준 4 2 5 6 4" xfId="13579"/>
    <cellStyle name="표준 4 2 5 6 5" xfId="13580"/>
    <cellStyle name="표준 4 2 5 7" xfId="13581"/>
    <cellStyle name="표준 4 2 5 7 2" xfId="13582"/>
    <cellStyle name="표준 4 2 5 8" xfId="13583"/>
    <cellStyle name="표준 4 2 5 9" xfId="13584"/>
    <cellStyle name="표준 4 2 6" xfId="11638"/>
    <cellStyle name="표준 4 2 6 2" xfId="11639"/>
    <cellStyle name="표준 4 2 6 2 2" xfId="11640"/>
    <cellStyle name="표준 4 2 6 2 2 2" xfId="13585"/>
    <cellStyle name="표준 4 2 6 2 2 2 2" xfId="13586"/>
    <cellStyle name="표준 4 2 6 2 2 3" xfId="13587"/>
    <cellStyle name="표준 4 2 6 2 2 4" xfId="13588"/>
    <cellStyle name="표준 4 2 6 2 2 5" xfId="13589"/>
    <cellStyle name="표준 4 2 6 2 3" xfId="11641"/>
    <cellStyle name="표준 4 2 6 2 3 2" xfId="13590"/>
    <cellStyle name="표준 4 2 6 2 3 2 2" xfId="13591"/>
    <cellStyle name="표준 4 2 6 2 3 3" xfId="13592"/>
    <cellStyle name="표준 4 2 6 2 3 4" xfId="13593"/>
    <cellStyle name="표준 4 2 6 2 3 5" xfId="13594"/>
    <cellStyle name="표준 4 2 6 2 4" xfId="13595"/>
    <cellStyle name="표준 4 2 6 2 4 2" xfId="13596"/>
    <cellStyle name="표준 4 2 6 2 5" xfId="13597"/>
    <cellStyle name="표준 4 2 6 2 6" xfId="13598"/>
    <cellStyle name="표준 4 2 6 2 7" xfId="13599"/>
    <cellStyle name="표준 4 2 6 3" xfId="11642"/>
    <cellStyle name="표준 4 2 6 3 2" xfId="13600"/>
    <cellStyle name="표준 4 2 6 3 2 2" xfId="13601"/>
    <cellStyle name="표준 4 2 6 3 3" xfId="13602"/>
    <cellStyle name="표준 4 2 6 3 4" xfId="13603"/>
    <cellStyle name="표준 4 2 6 3 5" xfId="13604"/>
    <cellStyle name="표준 4 2 6 4" xfId="11643"/>
    <cellStyle name="표준 4 2 6 4 2" xfId="13605"/>
    <cellStyle name="표준 4 2 6 4 2 2" xfId="13606"/>
    <cellStyle name="표준 4 2 6 4 3" xfId="13607"/>
    <cellStyle name="표준 4 2 6 4 4" xfId="13608"/>
    <cellStyle name="표준 4 2 6 4 5" xfId="13609"/>
    <cellStyle name="표준 4 2 6 5" xfId="13610"/>
    <cellStyle name="표준 4 2 6 5 2" xfId="13611"/>
    <cellStyle name="표준 4 2 6 6" xfId="13612"/>
    <cellStyle name="표준 4 2 6 7" xfId="13613"/>
    <cellStyle name="표준 4 2 6 8" xfId="13614"/>
    <cellStyle name="표준 4 2 7" xfId="11644"/>
    <cellStyle name="표준 4 2 7 2" xfId="11645"/>
    <cellStyle name="표준 4 2 7 2 2" xfId="11646"/>
    <cellStyle name="표준 4 2 7 2 2 2" xfId="13615"/>
    <cellStyle name="표준 4 2 7 2 2 2 2" xfId="13616"/>
    <cellStyle name="표준 4 2 7 2 2 3" xfId="13617"/>
    <cellStyle name="표준 4 2 7 2 2 4" xfId="13618"/>
    <cellStyle name="표준 4 2 7 2 2 5" xfId="13619"/>
    <cellStyle name="표준 4 2 7 2 3" xfId="11647"/>
    <cellStyle name="표준 4 2 7 2 3 2" xfId="13620"/>
    <cellStyle name="표준 4 2 7 2 3 2 2" xfId="13621"/>
    <cellStyle name="표준 4 2 7 2 3 3" xfId="13622"/>
    <cellStyle name="표준 4 2 7 2 3 4" xfId="13623"/>
    <cellStyle name="표준 4 2 7 2 3 5" xfId="13624"/>
    <cellStyle name="표준 4 2 7 2 4" xfId="13625"/>
    <cellStyle name="표준 4 2 7 2 4 2" xfId="13626"/>
    <cellStyle name="표준 4 2 7 2 5" xfId="13627"/>
    <cellStyle name="표준 4 2 7 2 6" xfId="13628"/>
    <cellStyle name="표준 4 2 7 2 7" xfId="13629"/>
    <cellStyle name="표준 4 2 7 3" xfId="11648"/>
    <cellStyle name="표준 4 2 7 3 2" xfId="13630"/>
    <cellStyle name="표준 4 2 7 3 2 2" xfId="13631"/>
    <cellStyle name="표준 4 2 7 3 3" xfId="13632"/>
    <cellStyle name="표준 4 2 7 3 4" xfId="13633"/>
    <cellStyle name="표준 4 2 7 3 5" xfId="13634"/>
    <cellStyle name="표준 4 2 7 4" xfId="11649"/>
    <cellStyle name="표준 4 2 7 4 2" xfId="13635"/>
    <cellStyle name="표준 4 2 7 4 2 2" xfId="13636"/>
    <cellStyle name="표준 4 2 7 4 3" xfId="13637"/>
    <cellStyle name="표준 4 2 7 4 4" xfId="13638"/>
    <cellStyle name="표준 4 2 7 4 5" xfId="13639"/>
    <cellStyle name="표준 4 2 7 5" xfId="13640"/>
    <cellStyle name="표준 4 2 7 5 2" xfId="13641"/>
    <cellStyle name="표준 4 2 7 6" xfId="13642"/>
    <cellStyle name="표준 4 2 7 7" xfId="13643"/>
    <cellStyle name="표준 4 2 7 8" xfId="13644"/>
    <cellStyle name="표준 4 2 8" xfId="11650"/>
    <cellStyle name="표준 4 2 8 2" xfId="11651"/>
    <cellStyle name="표준 4 2 8 2 2" xfId="13645"/>
    <cellStyle name="표준 4 2 8 2 2 2" xfId="13646"/>
    <cellStyle name="표준 4 2 8 2 3" xfId="13647"/>
    <cellStyle name="표준 4 2 8 2 4" xfId="13648"/>
    <cellStyle name="표준 4 2 8 2 5" xfId="13649"/>
    <cellStyle name="표준 4 2 8 3" xfId="11652"/>
    <cellStyle name="표준 4 2 8 3 2" xfId="13650"/>
    <cellStyle name="표준 4 2 8 3 2 2" xfId="13651"/>
    <cellStyle name="표준 4 2 8 3 3" xfId="13652"/>
    <cellStyle name="표준 4 2 8 3 4" xfId="13653"/>
    <cellStyle name="표준 4 2 8 3 5" xfId="13654"/>
    <cellStyle name="표준 4 2 8 4" xfId="13655"/>
    <cellStyle name="표준 4 2 8 4 2" xfId="13656"/>
    <cellStyle name="표준 4 2 8 5" xfId="13657"/>
    <cellStyle name="표준 4 2 8 6" xfId="13658"/>
    <cellStyle name="표준 4 2 8 7" xfId="13659"/>
    <cellStyle name="표준 4 2 9" xfId="11653"/>
    <cellStyle name="표준 4 2 9 2" xfId="13660"/>
    <cellStyle name="표준 4 2 9 2 2" xfId="13661"/>
    <cellStyle name="표준 4 2 9 3" xfId="13662"/>
    <cellStyle name="표준 4 2 9 4" xfId="13663"/>
    <cellStyle name="표준 4 2 9 5" xfId="13664"/>
    <cellStyle name="표준 4 3" xfId="11654"/>
    <cellStyle name="표준 4 3 10" xfId="13665"/>
    <cellStyle name="표준 4 3 2" xfId="11655"/>
    <cellStyle name="표준 4 3 2 2" xfId="11656"/>
    <cellStyle name="표준 4 3 2 2 2" xfId="11657"/>
    <cellStyle name="표준 4 3 2 2 2 2" xfId="13666"/>
    <cellStyle name="표준 4 3 2 2 2 2 2" xfId="13667"/>
    <cellStyle name="표준 4 3 2 2 2 3" xfId="13668"/>
    <cellStyle name="표준 4 3 2 2 2 4" xfId="13669"/>
    <cellStyle name="표준 4 3 2 2 2 5" xfId="13670"/>
    <cellStyle name="표준 4 3 2 2 3" xfId="11658"/>
    <cellStyle name="표준 4 3 2 2 3 2" xfId="13671"/>
    <cellStyle name="표준 4 3 2 2 3 2 2" xfId="13672"/>
    <cellStyle name="표준 4 3 2 2 3 3" xfId="13673"/>
    <cellStyle name="표준 4 3 2 2 3 4" xfId="13674"/>
    <cellStyle name="표준 4 3 2 2 3 5" xfId="13675"/>
    <cellStyle name="표준 4 3 2 2 4" xfId="13676"/>
    <cellStyle name="표준 4 3 2 2 4 2" xfId="13677"/>
    <cellStyle name="표준 4 3 2 2 5" xfId="13678"/>
    <cellStyle name="표준 4 3 2 2 6" xfId="13679"/>
    <cellStyle name="표준 4 3 2 2 7" xfId="13680"/>
    <cellStyle name="표준 4 3 2 3" xfId="11659"/>
    <cellStyle name="표준 4 3 2 3 2" xfId="13681"/>
    <cellStyle name="표준 4 3 2 3 2 2" xfId="13682"/>
    <cellStyle name="표준 4 3 2 3 3" xfId="13683"/>
    <cellStyle name="표준 4 3 2 3 4" xfId="13684"/>
    <cellStyle name="표준 4 3 2 3 5" xfId="13685"/>
    <cellStyle name="표준 4 3 2 4" xfId="11660"/>
    <cellStyle name="표준 4 3 2 4 2" xfId="13686"/>
    <cellStyle name="표준 4 3 2 4 2 2" xfId="13687"/>
    <cellStyle name="표준 4 3 2 4 3" xfId="13688"/>
    <cellStyle name="표준 4 3 2 4 4" xfId="13689"/>
    <cellStyle name="표준 4 3 2 4 5" xfId="13690"/>
    <cellStyle name="표준 4 3 2 5" xfId="13691"/>
    <cellStyle name="표준 4 3 2 5 2" xfId="13692"/>
    <cellStyle name="표준 4 3 2 6" xfId="13693"/>
    <cellStyle name="표준 4 3 2 7" xfId="13694"/>
    <cellStyle name="표준 4 3 2 8" xfId="13695"/>
    <cellStyle name="표준 4 3 3" xfId="11661"/>
    <cellStyle name="표준 4 3 3 2" xfId="11662"/>
    <cellStyle name="표준 4 3 3 2 2" xfId="11663"/>
    <cellStyle name="표준 4 3 3 2 2 2" xfId="13696"/>
    <cellStyle name="표준 4 3 3 2 2 2 2" xfId="13697"/>
    <cellStyle name="표준 4 3 3 2 2 3" xfId="13698"/>
    <cellStyle name="표준 4 3 3 2 2 4" xfId="13699"/>
    <cellStyle name="표준 4 3 3 2 2 5" xfId="13700"/>
    <cellStyle name="표준 4 3 3 2 3" xfId="11664"/>
    <cellStyle name="표준 4 3 3 2 3 2" xfId="13701"/>
    <cellStyle name="표준 4 3 3 2 3 2 2" xfId="13702"/>
    <cellStyle name="표준 4 3 3 2 3 3" xfId="13703"/>
    <cellStyle name="표준 4 3 3 2 3 4" xfId="13704"/>
    <cellStyle name="표준 4 3 3 2 3 5" xfId="13705"/>
    <cellStyle name="표준 4 3 3 2 4" xfId="13706"/>
    <cellStyle name="표준 4 3 3 2 4 2" xfId="13707"/>
    <cellStyle name="표준 4 3 3 2 5" xfId="13708"/>
    <cellStyle name="표준 4 3 3 2 6" xfId="13709"/>
    <cellStyle name="표준 4 3 3 2 7" xfId="13710"/>
    <cellStyle name="표준 4 3 3 3" xfId="11665"/>
    <cellStyle name="표준 4 3 3 3 2" xfId="13711"/>
    <cellStyle name="표준 4 3 3 3 2 2" xfId="13712"/>
    <cellStyle name="표준 4 3 3 3 3" xfId="13713"/>
    <cellStyle name="표준 4 3 3 3 4" xfId="13714"/>
    <cellStyle name="표준 4 3 3 3 5" xfId="13715"/>
    <cellStyle name="표준 4 3 3 4" xfId="11666"/>
    <cellStyle name="표준 4 3 3 4 2" xfId="13716"/>
    <cellStyle name="표준 4 3 3 4 2 2" xfId="13717"/>
    <cellStyle name="표준 4 3 3 4 3" xfId="13718"/>
    <cellStyle name="표준 4 3 3 4 4" xfId="13719"/>
    <cellStyle name="표준 4 3 3 4 5" xfId="13720"/>
    <cellStyle name="표준 4 3 3 5" xfId="13721"/>
    <cellStyle name="표준 4 3 3 5 2" xfId="13722"/>
    <cellStyle name="표준 4 3 3 6" xfId="13723"/>
    <cellStyle name="표준 4 3 3 7" xfId="13724"/>
    <cellStyle name="표준 4 3 3 8" xfId="13725"/>
    <cellStyle name="표준 4 3 4" xfId="11667"/>
    <cellStyle name="표준 4 3 4 2" xfId="11668"/>
    <cellStyle name="표준 4 3 4 2 2" xfId="13726"/>
    <cellStyle name="표준 4 3 4 2 2 2" xfId="13727"/>
    <cellStyle name="표준 4 3 4 2 3" xfId="13728"/>
    <cellStyle name="표준 4 3 4 2 4" xfId="13729"/>
    <cellStyle name="표준 4 3 4 2 5" xfId="13730"/>
    <cellStyle name="표준 4 3 4 3" xfId="11669"/>
    <cellStyle name="표준 4 3 4 3 2" xfId="13731"/>
    <cellStyle name="표준 4 3 4 3 2 2" xfId="13732"/>
    <cellStyle name="표준 4 3 4 3 3" xfId="13733"/>
    <cellStyle name="표준 4 3 4 3 4" xfId="13734"/>
    <cellStyle name="표준 4 3 4 3 5" xfId="13735"/>
    <cellStyle name="표준 4 3 4 4" xfId="13736"/>
    <cellStyle name="표준 4 3 4 4 2" xfId="13737"/>
    <cellStyle name="표준 4 3 4 5" xfId="13738"/>
    <cellStyle name="표준 4 3 4 6" xfId="13739"/>
    <cellStyle name="표준 4 3 4 7" xfId="13740"/>
    <cellStyle name="표준 4 3 5" xfId="11670"/>
    <cellStyle name="표준 4 3 5 2" xfId="13741"/>
    <cellStyle name="표준 4 3 5 2 2" xfId="13742"/>
    <cellStyle name="표준 4 3 5 3" xfId="13743"/>
    <cellStyle name="표준 4 3 5 4" xfId="13744"/>
    <cellStyle name="표준 4 3 5 5" xfId="13745"/>
    <cellStyle name="표준 4 3 6" xfId="11671"/>
    <cellStyle name="표준 4 3 6 2" xfId="13746"/>
    <cellStyle name="표준 4 3 6 2 2" xfId="13747"/>
    <cellStyle name="표준 4 3 6 3" xfId="13748"/>
    <cellStyle name="표준 4 3 6 4" xfId="13749"/>
    <cellStyle name="표준 4 3 6 5" xfId="13750"/>
    <cellStyle name="표준 4 3 7" xfId="13751"/>
    <cellStyle name="표준 4 3 7 2" xfId="13752"/>
    <cellStyle name="표준 4 3 8" xfId="13753"/>
    <cellStyle name="표준 4 3 9" xfId="13754"/>
    <cellStyle name="표준 4 4" xfId="11672"/>
    <cellStyle name="표준 4 4 10" xfId="13755"/>
    <cellStyle name="표준 4 4 2" xfId="11673"/>
    <cellStyle name="표준 4 4 2 2" xfId="11674"/>
    <cellStyle name="표준 4 4 2 2 2" xfId="11675"/>
    <cellStyle name="표준 4 4 2 2 2 2" xfId="13756"/>
    <cellStyle name="표준 4 4 2 2 2 2 2" xfId="13757"/>
    <cellStyle name="표준 4 4 2 2 2 3" xfId="13758"/>
    <cellStyle name="표준 4 4 2 2 2 4" xfId="13759"/>
    <cellStyle name="표준 4 4 2 2 2 5" xfId="13760"/>
    <cellStyle name="표준 4 4 2 2 3" xfId="11676"/>
    <cellStyle name="표준 4 4 2 2 3 2" xfId="13761"/>
    <cellStyle name="표준 4 4 2 2 3 2 2" xfId="13762"/>
    <cellStyle name="표준 4 4 2 2 3 3" xfId="13763"/>
    <cellStyle name="표준 4 4 2 2 3 4" xfId="13764"/>
    <cellStyle name="표준 4 4 2 2 3 5" xfId="13765"/>
    <cellStyle name="표준 4 4 2 2 4" xfId="13766"/>
    <cellStyle name="표준 4 4 2 2 4 2" xfId="13767"/>
    <cellStyle name="표준 4 4 2 2 5" xfId="13768"/>
    <cellStyle name="표준 4 4 2 2 6" xfId="13769"/>
    <cellStyle name="표준 4 4 2 2 7" xfId="13770"/>
    <cellStyle name="표준 4 4 2 3" xfId="11677"/>
    <cellStyle name="표준 4 4 2 3 2" xfId="13771"/>
    <cellStyle name="표준 4 4 2 3 2 2" xfId="13772"/>
    <cellStyle name="표준 4 4 2 3 3" xfId="13773"/>
    <cellStyle name="표준 4 4 2 3 4" xfId="13774"/>
    <cellStyle name="표준 4 4 2 3 5" xfId="13775"/>
    <cellStyle name="표준 4 4 2 4" xfId="11678"/>
    <cellStyle name="표준 4 4 2 4 2" xfId="13776"/>
    <cellStyle name="표준 4 4 2 4 2 2" xfId="13777"/>
    <cellStyle name="표준 4 4 2 4 3" xfId="13778"/>
    <cellStyle name="표준 4 4 2 4 4" xfId="13779"/>
    <cellStyle name="표준 4 4 2 4 5" xfId="13780"/>
    <cellStyle name="표준 4 4 2 5" xfId="13781"/>
    <cellStyle name="표준 4 4 2 5 2" xfId="13782"/>
    <cellStyle name="표준 4 4 2 6" xfId="13783"/>
    <cellStyle name="표준 4 4 2 7" xfId="13784"/>
    <cellStyle name="표준 4 4 2 8" xfId="13785"/>
    <cellStyle name="표준 4 4 3" xfId="11679"/>
    <cellStyle name="표준 4 4 3 2" xfId="11680"/>
    <cellStyle name="표준 4 4 3 2 2" xfId="11681"/>
    <cellStyle name="표준 4 4 3 2 2 2" xfId="13786"/>
    <cellStyle name="표준 4 4 3 2 2 2 2" xfId="13787"/>
    <cellStyle name="표준 4 4 3 2 2 3" xfId="13788"/>
    <cellStyle name="표준 4 4 3 2 2 4" xfId="13789"/>
    <cellStyle name="표준 4 4 3 2 2 5" xfId="13790"/>
    <cellStyle name="표준 4 4 3 2 3" xfId="11682"/>
    <cellStyle name="표준 4 4 3 2 3 2" xfId="13791"/>
    <cellStyle name="표준 4 4 3 2 3 2 2" xfId="13792"/>
    <cellStyle name="표준 4 4 3 2 3 3" xfId="13793"/>
    <cellStyle name="표준 4 4 3 2 3 4" xfId="13794"/>
    <cellStyle name="표준 4 4 3 2 3 5" xfId="13795"/>
    <cellStyle name="표준 4 4 3 2 4" xfId="13796"/>
    <cellStyle name="표준 4 4 3 2 4 2" xfId="13797"/>
    <cellStyle name="표준 4 4 3 2 5" xfId="13798"/>
    <cellStyle name="표준 4 4 3 2 6" xfId="13799"/>
    <cellStyle name="표준 4 4 3 2 7" xfId="13800"/>
    <cellStyle name="표준 4 4 3 3" xfId="11683"/>
    <cellStyle name="표준 4 4 3 3 2" xfId="13801"/>
    <cellStyle name="표준 4 4 3 3 2 2" xfId="13802"/>
    <cellStyle name="표준 4 4 3 3 3" xfId="13803"/>
    <cellStyle name="표준 4 4 3 3 4" xfId="13804"/>
    <cellStyle name="표준 4 4 3 3 5" xfId="13805"/>
    <cellStyle name="표준 4 4 3 4" xfId="11684"/>
    <cellStyle name="표준 4 4 3 4 2" xfId="13806"/>
    <cellStyle name="표준 4 4 3 4 2 2" xfId="13807"/>
    <cellStyle name="표준 4 4 3 4 3" xfId="13808"/>
    <cellStyle name="표준 4 4 3 4 4" xfId="13809"/>
    <cellStyle name="표준 4 4 3 4 5" xfId="13810"/>
    <cellStyle name="표준 4 4 3 5" xfId="13811"/>
    <cellStyle name="표준 4 4 3 5 2" xfId="13812"/>
    <cellStyle name="표준 4 4 3 6" xfId="13813"/>
    <cellStyle name="표준 4 4 3 7" xfId="13814"/>
    <cellStyle name="표준 4 4 3 8" xfId="13815"/>
    <cellStyle name="표준 4 4 4" xfId="11685"/>
    <cellStyle name="표준 4 4 4 2" xfId="11686"/>
    <cellStyle name="표준 4 4 4 2 2" xfId="13816"/>
    <cellStyle name="표준 4 4 4 2 2 2" xfId="13817"/>
    <cellStyle name="표준 4 4 4 2 3" xfId="13818"/>
    <cellStyle name="표준 4 4 4 2 4" xfId="13819"/>
    <cellStyle name="표준 4 4 4 2 5" xfId="13820"/>
    <cellStyle name="표준 4 4 4 3" xfId="11687"/>
    <cellStyle name="표준 4 4 4 3 2" xfId="13821"/>
    <cellStyle name="표준 4 4 4 3 2 2" xfId="13822"/>
    <cellStyle name="표준 4 4 4 3 3" xfId="13823"/>
    <cellStyle name="표준 4 4 4 3 4" xfId="13824"/>
    <cellStyle name="표준 4 4 4 3 5" xfId="13825"/>
    <cellStyle name="표준 4 4 4 4" xfId="13826"/>
    <cellStyle name="표준 4 4 4 4 2" xfId="13827"/>
    <cellStyle name="표준 4 4 4 5" xfId="13828"/>
    <cellStyle name="표준 4 4 4 6" xfId="13829"/>
    <cellStyle name="표준 4 4 4 7" xfId="13830"/>
    <cellStyle name="표준 4 4 5" xfId="11688"/>
    <cellStyle name="표준 4 4 5 2" xfId="13831"/>
    <cellStyle name="표준 4 4 5 2 2" xfId="13832"/>
    <cellStyle name="표준 4 4 5 3" xfId="13833"/>
    <cellStyle name="표준 4 4 5 4" xfId="13834"/>
    <cellStyle name="표준 4 4 5 5" xfId="13835"/>
    <cellStyle name="표준 4 4 6" xfId="11689"/>
    <cellStyle name="표준 4 4 6 2" xfId="13836"/>
    <cellStyle name="표준 4 4 6 2 2" xfId="13837"/>
    <cellStyle name="표준 4 4 6 3" xfId="13838"/>
    <cellStyle name="표준 4 4 6 4" xfId="13839"/>
    <cellStyle name="표준 4 4 6 5" xfId="13840"/>
    <cellStyle name="표준 4 4 7" xfId="13841"/>
    <cellStyle name="표준 4 4 7 2" xfId="13842"/>
    <cellStyle name="표준 4 4 8" xfId="13843"/>
    <cellStyle name="표준 4 4 9" xfId="13844"/>
    <cellStyle name="표준 4 5" xfId="11690"/>
    <cellStyle name="표준 4 5 10" xfId="13845"/>
    <cellStyle name="표준 4 5 2" xfId="11691"/>
    <cellStyle name="표준 4 5 2 2" xfId="11692"/>
    <cellStyle name="표준 4 5 2 2 2" xfId="11693"/>
    <cellStyle name="표준 4 5 2 2 2 2" xfId="13846"/>
    <cellStyle name="표준 4 5 2 2 2 2 2" xfId="13847"/>
    <cellStyle name="표준 4 5 2 2 2 3" xfId="13848"/>
    <cellStyle name="표준 4 5 2 2 2 4" xfId="13849"/>
    <cellStyle name="표준 4 5 2 2 2 5" xfId="13850"/>
    <cellStyle name="표준 4 5 2 2 3" xfId="11694"/>
    <cellStyle name="표준 4 5 2 2 3 2" xfId="13851"/>
    <cellStyle name="표준 4 5 2 2 3 2 2" xfId="13852"/>
    <cellStyle name="표준 4 5 2 2 3 3" xfId="13853"/>
    <cellStyle name="표준 4 5 2 2 3 4" xfId="13854"/>
    <cellStyle name="표준 4 5 2 2 3 5" xfId="13855"/>
    <cellStyle name="표준 4 5 2 2 4" xfId="13856"/>
    <cellStyle name="표준 4 5 2 2 4 2" xfId="13857"/>
    <cellStyle name="표준 4 5 2 2 5" xfId="13858"/>
    <cellStyle name="표준 4 5 2 2 6" xfId="13859"/>
    <cellStyle name="표준 4 5 2 2 7" xfId="13860"/>
    <cellStyle name="표준 4 5 2 3" xfId="11695"/>
    <cellStyle name="표준 4 5 2 3 2" xfId="13861"/>
    <cellStyle name="표준 4 5 2 3 2 2" xfId="13862"/>
    <cellStyle name="표준 4 5 2 3 3" xfId="13863"/>
    <cellStyle name="표준 4 5 2 3 4" xfId="13864"/>
    <cellStyle name="표준 4 5 2 3 5" xfId="13865"/>
    <cellStyle name="표준 4 5 2 4" xfId="11696"/>
    <cellStyle name="표준 4 5 2 4 2" xfId="13866"/>
    <cellStyle name="표준 4 5 2 4 2 2" xfId="13867"/>
    <cellStyle name="표준 4 5 2 4 3" xfId="13868"/>
    <cellStyle name="표준 4 5 2 4 4" xfId="13869"/>
    <cellStyle name="표준 4 5 2 4 5" xfId="13870"/>
    <cellStyle name="표준 4 5 2 5" xfId="13871"/>
    <cellStyle name="표준 4 5 2 5 2" xfId="13872"/>
    <cellStyle name="표준 4 5 2 6" xfId="13873"/>
    <cellStyle name="표준 4 5 2 7" xfId="13874"/>
    <cellStyle name="표준 4 5 2 8" xfId="13875"/>
    <cellStyle name="표준 4 5 3" xfId="11697"/>
    <cellStyle name="표준 4 5 3 2" xfId="11698"/>
    <cellStyle name="표준 4 5 3 2 2" xfId="11699"/>
    <cellStyle name="표준 4 5 3 2 2 2" xfId="13876"/>
    <cellStyle name="표준 4 5 3 2 2 2 2" xfId="13877"/>
    <cellStyle name="표준 4 5 3 2 2 3" xfId="13878"/>
    <cellStyle name="표준 4 5 3 2 2 4" xfId="13879"/>
    <cellStyle name="표준 4 5 3 2 2 5" xfId="13880"/>
    <cellStyle name="표준 4 5 3 2 3" xfId="11700"/>
    <cellStyle name="표준 4 5 3 2 3 2" xfId="13881"/>
    <cellStyle name="표준 4 5 3 2 3 2 2" xfId="13882"/>
    <cellStyle name="표준 4 5 3 2 3 3" xfId="13883"/>
    <cellStyle name="표준 4 5 3 2 3 4" xfId="13884"/>
    <cellStyle name="표준 4 5 3 2 3 5" xfId="13885"/>
    <cellStyle name="표준 4 5 3 2 4" xfId="13886"/>
    <cellStyle name="표준 4 5 3 2 4 2" xfId="13887"/>
    <cellStyle name="표준 4 5 3 2 5" xfId="13888"/>
    <cellStyle name="표준 4 5 3 2 6" xfId="13889"/>
    <cellStyle name="표준 4 5 3 2 7" xfId="13890"/>
    <cellStyle name="표준 4 5 3 3" xfId="11701"/>
    <cellStyle name="표준 4 5 3 3 2" xfId="13891"/>
    <cellStyle name="표준 4 5 3 3 2 2" xfId="13892"/>
    <cellStyle name="표준 4 5 3 3 3" xfId="13893"/>
    <cellStyle name="표준 4 5 3 3 4" xfId="13894"/>
    <cellStyle name="표준 4 5 3 3 5" xfId="13895"/>
    <cellStyle name="표준 4 5 3 4" xfId="11702"/>
    <cellStyle name="표준 4 5 3 4 2" xfId="13896"/>
    <cellStyle name="표준 4 5 3 4 2 2" xfId="13897"/>
    <cellStyle name="표준 4 5 3 4 3" xfId="13898"/>
    <cellStyle name="표준 4 5 3 4 4" xfId="13899"/>
    <cellStyle name="표준 4 5 3 4 5" xfId="13900"/>
    <cellStyle name="표준 4 5 3 5" xfId="13901"/>
    <cellStyle name="표준 4 5 3 5 2" xfId="13902"/>
    <cellStyle name="표준 4 5 3 6" xfId="13903"/>
    <cellStyle name="표준 4 5 3 7" xfId="13904"/>
    <cellStyle name="표준 4 5 3 8" xfId="13905"/>
    <cellStyle name="표준 4 5 4" xfId="11703"/>
    <cellStyle name="표준 4 5 4 2" xfId="11704"/>
    <cellStyle name="표준 4 5 4 2 2" xfId="13906"/>
    <cellStyle name="표준 4 5 4 2 2 2" xfId="13907"/>
    <cellStyle name="표준 4 5 4 2 3" xfId="13908"/>
    <cellStyle name="표준 4 5 4 2 4" xfId="13909"/>
    <cellStyle name="표준 4 5 4 2 5" xfId="13910"/>
    <cellStyle name="표준 4 5 4 3" xfId="11705"/>
    <cellStyle name="표준 4 5 4 3 2" xfId="13911"/>
    <cellStyle name="표준 4 5 4 3 2 2" xfId="13912"/>
    <cellStyle name="표준 4 5 4 3 3" xfId="13913"/>
    <cellStyle name="표준 4 5 4 3 4" xfId="13914"/>
    <cellStyle name="표준 4 5 4 3 5" xfId="13915"/>
    <cellStyle name="표준 4 5 4 4" xfId="13916"/>
    <cellStyle name="표준 4 5 4 4 2" xfId="13917"/>
    <cellStyle name="표준 4 5 4 5" xfId="13918"/>
    <cellStyle name="표준 4 5 4 6" xfId="13919"/>
    <cellStyle name="표준 4 5 4 7" xfId="13920"/>
    <cellStyle name="표준 4 5 5" xfId="11706"/>
    <cellStyle name="표준 4 5 5 2" xfId="13921"/>
    <cellStyle name="표준 4 5 5 2 2" xfId="13922"/>
    <cellStyle name="표준 4 5 5 3" xfId="13923"/>
    <cellStyle name="표준 4 5 5 4" xfId="13924"/>
    <cellStyle name="표준 4 5 5 5" xfId="13925"/>
    <cellStyle name="표준 4 5 6" xfId="11707"/>
    <cellStyle name="표준 4 5 6 2" xfId="13926"/>
    <cellStyle name="표준 4 5 6 2 2" xfId="13927"/>
    <cellStyle name="표준 4 5 6 3" xfId="13928"/>
    <cellStyle name="표준 4 5 6 4" xfId="13929"/>
    <cellStyle name="표준 4 5 6 5" xfId="13930"/>
    <cellStyle name="표준 4 5 7" xfId="13931"/>
    <cellStyle name="표준 4 5 7 2" xfId="13932"/>
    <cellStyle name="표준 4 5 8" xfId="13933"/>
    <cellStyle name="표준 4 5 9" xfId="13934"/>
    <cellStyle name="표준 4 6" xfId="11708"/>
    <cellStyle name="표준 4 6 10" xfId="13935"/>
    <cellStyle name="표준 4 6 2" xfId="11709"/>
    <cellStyle name="표준 4 6 2 2" xfId="11710"/>
    <cellStyle name="표준 4 6 2 2 2" xfId="11711"/>
    <cellStyle name="표준 4 6 2 2 2 2" xfId="13936"/>
    <cellStyle name="표준 4 6 2 2 2 2 2" xfId="13937"/>
    <cellStyle name="표준 4 6 2 2 2 3" xfId="13938"/>
    <cellStyle name="표준 4 6 2 2 2 4" xfId="13939"/>
    <cellStyle name="표준 4 6 2 2 2 5" xfId="13940"/>
    <cellStyle name="표준 4 6 2 2 3" xfId="11712"/>
    <cellStyle name="표준 4 6 2 2 3 2" xfId="13941"/>
    <cellStyle name="표준 4 6 2 2 3 2 2" xfId="13942"/>
    <cellStyle name="표준 4 6 2 2 3 3" xfId="13943"/>
    <cellStyle name="표준 4 6 2 2 3 4" xfId="13944"/>
    <cellStyle name="표준 4 6 2 2 3 5" xfId="13945"/>
    <cellStyle name="표준 4 6 2 2 4" xfId="13946"/>
    <cellStyle name="표준 4 6 2 2 4 2" xfId="13947"/>
    <cellStyle name="표준 4 6 2 2 5" xfId="13948"/>
    <cellStyle name="표준 4 6 2 2 6" xfId="13949"/>
    <cellStyle name="표준 4 6 2 2 7" xfId="13950"/>
    <cellStyle name="표준 4 6 2 3" xfId="11713"/>
    <cellStyle name="표준 4 6 2 3 2" xfId="13951"/>
    <cellStyle name="표준 4 6 2 3 2 2" xfId="13952"/>
    <cellStyle name="표준 4 6 2 3 3" xfId="13953"/>
    <cellStyle name="표준 4 6 2 3 4" xfId="13954"/>
    <cellStyle name="표준 4 6 2 3 5" xfId="13955"/>
    <cellStyle name="표준 4 6 2 4" xfId="11714"/>
    <cellStyle name="표준 4 6 2 4 2" xfId="13956"/>
    <cellStyle name="표준 4 6 2 4 2 2" xfId="13957"/>
    <cellStyle name="표준 4 6 2 4 3" xfId="13958"/>
    <cellStyle name="표준 4 6 2 4 4" xfId="13959"/>
    <cellStyle name="표준 4 6 2 4 5" xfId="13960"/>
    <cellStyle name="표준 4 6 2 5" xfId="13961"/>
    <cellStyle name="표준 4 6 2 5 2" xfId="13962"/>
    <cellStyle name="표준 4 6 2 6" xfId="13963"/>
    <cellStyle name="표준 4 6 2 7" xfId="13964"/>
    <cellStyle name="표준 4 6 2 8" xfId="13965"/>
    <cellStyle name="표준 4 6 3" xfId="11715"/>
    <cellStyle name="표준 4 6 3 2" xfId="11716"/>
    <cellStyle name="표준 4 6 3 2 2" xfId="11717"/>
    <cellStyle name="표준 4 6 3 2 2 2" xfId="13966"/>
    <cellStyle name="표준 4 6 3 2 2 2 2" xfId="13967"/>
    <cellStyle name="표준 4 6 3 2 2 3" xfId="13968"/>
    <cellStyle name="표준 4 6 3 2 2 4" xfId="13969"/>
    <cellStyle name="표준 4 6 3 2 2 5" xfId="13970"/>
    <cellStyle name="표준 4 6 3 2 3" xfId="11718"/>
    <cellStyle name="표준 4 6 3 2 3 2" xfId="13971"/>
    <cellStyle name="표준 4 6 3 2 3 2 2" xfId="13972"/>
    <cellStyle name="표준 4 6 3 2 3 3" xfId="13973"/>
    <cellStyle name="표준 4 6 3 2 3 4" xfId="13974"/>
    <cellStyle name="표준 4 6 3 2 3 5" xfId="13975"/>
    <cellStyle name="표준 4 6 3 2 4" xfId="13976"/>
    <cellStyle name="표준 4 6 3 2 4 2" xfId="13977"/>
    <cellStyle name="표준 4 6 3 2 5" xfId="13978"/>
    <cellStyle name="표준 4 6 3 2 6" xfId="13979"/>
    <cellStyle name="표준 4 6 3 2 7" xfId="13980"/>
    <cellStyle name="표준 4 6 3 3" xfId="11719"/>
    <cellStyle name="표준 4 6 3 3 2" xfId="13981"/>
    <cellStyle name="표준 4 6 3 3 2 2" xfId="13982"/>
    <cellStyle name="표준 4 6 3 3 3" xfId="13983"/>
    <cellStyle name="표준 4 6 3 3 4" xfId="13984"/>
    <cellStyle name="표준 4 6 3 3 5" xfId="13985"/>
    <cellStyle name="표준 4 6 3 4" xfId="11720"/>
    <cellStyle name="표준 4 6 3 4 2" xfId="13986"/>
    <cellStyle name="표준 4 6 3 4 2 2" xfId="13987"/>
    <cellStyle name="표준 4 6 3 4 3" xfId="13988"/>
    <cellStyle name="표준 4 6 3 4 4" xfId="13989"/>
    <cellStyle name="표준 4 6 3 4 5" xfId="13990"/>
    <cellStyle name="표준 4 6 3 5" xfId="13991"/>
    <cellStyle name="표준 4 6 3 5 2" xfId="13992"/>
    <cellStyle name="표준 4 6 3 6" xfId="13993"/>
    <cellStyle name="표준 4 6 3 7" xfId="13994"/>
    <cellStyle name="표준 4 6 3 8" xfId="13995"/>
    <cellStyle name="표준 4 6 4" xfId="11721"/>
    <cellStyle name="표준 4 6 4 2" xfId="11722"/>
    <cellStyle name="표준 4 6 4 2 2" xfId="13996"/>
    <cellStyle name="표준 4 6 4 2 2 2" xfId="13997"/>
    <cellStyle name="표준 4 6 4 2 3" xfId="13998"/>
    <cellStyle name="표준 4 6 4 2 4" xfId="13999"/>
    <cellStyle name="표준 4 6 4 2 5" xfId="14000"/>
    <cellStyle name="표준 4 6 4 3" xfId="11723"/>
    <cellStyle name="표준 4 6 4 3 2" xfId="14001"/>
    <cellStyle name="표준 4 6 4 3 2 2" xfId="14002"/>
    <cellStyle name="표준 4 6 4 3 3" xfId="14003"/>
    <cellStyle name="표준 4 6 4 3 4" xfId="14004"/>
    <cellStyle name="표준 4 6 4 3 5" xfId="14005"/>
    <cellStyle name="표준 4 6 4 4" xfId="14006"/>
    <cellStyle name="표준 4 6 4 4 2" xfId="14007"/>
    <cellStyle name="표준 4 6 4 5" xfId="14008"/>
    <cellStyle name="표준 4 6 4 6" xfId="14009"/>
    <cellStyle name="표준 4 6 4 7" xfId="14010"/>
    <cellStyle name="표준 4 6 5" xfId="11724"/>
    <cellStyle name="표준 4 6 5 2" xfId="14011"/>
    <cellStyle name="표준 4 6 5 2 2" xfId="14012"/>
    <cellStyle name="표준 4 6 5 3" xfId="14013"/>
    <cellStyle name="표준 4 6 5 4" xfId="14014"/>
    <cellStyle name="표준 4 6 5 5" xfId="14015"/>
    <cellStyle name="표준 4 6 6" xfId="11725"/>
    <cellStyle name="표준 4 6 6 2" xfId="14016"/>
    <cellStyle name="표준 4 6 6 2 2" xfId="14017"/>
    <cellStyle name="표준 4 6 6 3" xfId="14018"/>
    <cellStyle name="표준 4 6 6 4" xfId="14019"/>
    <cellStyle name="표준 4 6 6 5" xfId="14020"/>
    <cellStyle name="표준 4 6 7" xfId="14021"/>
    <cellStyle name="표준 4 6 7 2" xfId="14022"/>
    <cellStyle name="표준 4 6 8" xfId="14023"/>
    <cellStyle name="표준 4 6 9" xfId="14024"/>
    <cellStyle name="표준 4 7" xfId="11726"/>
    <cellStyle name="표준 4 7 2" xfId="11727"/>
    <cellStyle name="표준 4 7 2 2" xfId="11728"/>
    <cellStyle name="표준 4 7 2 2 2" xfId="14025"/>
    <cellStyle name="표준 4 7 2 2 2 2" xfId="14026"/>
    <cellStyle name="표준 4 7 2 2 3" xfId="14027"/>
    <cellStyle name="표준 4 7 2 2 4" xfId="14028"/>
    <cellStyle name="표준 4 7 2 2 5" xfId="14029"/>
    <cellStyle name="표준 4 7 2 3" xfId="11729"/>
    <cellStyle name="표준 4 7 2 3 2" xfId="14030"/>
    <cellStyle name="표준 4 7 2 3 2 2" xfId="14031"/>
    <cellStyle name="표준 4 7 2 3 3" xfId="14032"/>
    <cellStyle name="표준 4 7 2 3 4" xfId="14033"/>
    <cellStyle name="표준 4 7 2 3 5" xfId="14034"/>
    <cellStyle name="표준 4 7 2 4" xfId="14035"/>
    <cellStyle name="표준 4 7 2 4 2" xfId="14036"/>
    <cellStyle name="표준 4 7 2 5" xfId="14037"/>
    <cellStyle name="표준 4 7 2 6" xfId="14038"/>
    <cellStyle name="표준 4 7 2 7" xfId="14039"/>
    <cellStyle name="표준 4 7 3" xfId="11730"/>
    <cellStyle name="표준 4 7 3 2" xfId="14040"/>
    <cellStyle name="표준 4 7 3 2 2" xfId="14041"/>
    <cellStyle name="표준 4 7 3 3" xfId="14042"/>
    <cellStyle name="표준 4 7 3 4" xfId="14043"/>
    <cellStyle name="표준 4 7 3 5" xfId="14044"/>
    <cellStyle name="표준 4 7 4" xfId="11731"/>
    <cellStyle name="표준 4 7 4 2" xfId="14045"/>
    <cellStyle name="표준 4 7 4 2 2" xfId="14046"/>
    <cellStyle name="표준 4 7 4 3" xfId="14047"/>
    <cellStyle name="표준 4 7 4 4" xfId="14048"/>
    <cellStyle name="표준 4 7 4 5" xfId="14049"/>
    <cellStyle name="표준 4 7 5" xfId="14050"/>
    <cellStyle name="표준 4 7 5 2" xfId="14051"/>
    <cellStyle name="표준 4 7 6" xfId="14052"/>
    <cellStyle name="표준 4 7 7" xfId="14053"/>
    <cellStyle name="표준 4 7 8" xfId="14054"/>
    <cellStyle name="표준 4 8" xfId="11732"/>
    <cellStyle name="표준 4 8 2" xfId="11733"/>
    <cellStyle name="표준 4 8 2 2" xfId="11734"/>
    <cellStyle name="표준 4 8 2 2 2" xfId="14055"/>
    <cellStyle name="표준 4 8 2 2 2 2" xfId="14056"/>
    <cellStyle name="표준 4 8 2 2 3" xfId="14057"/>
    <cellStyle name="표준 4 8 2 2 4" xfId="14058"/>
    <cellStyle name="표준 4 8 2 2 5" xfId="14059"/>
    <cellStyle name="표준 4 8 2 3" xfId="11735"/>
    <cellStyle name="표준 4 8 2 3 2" xfId="14060"/>
    <cellStyle name="표준 4 8 2 3 2 2" xfId="14061"/>
    <cellStyle name="표준 4 8 2 3 3" xfId="14062"/>
    <cellStyle name="표준 4 8 2 3 4" xfId="14063"/>
    <cellStyle name="표준 4 8 2 3 5" xfId="14064"/>
    <cellStyle name="표준 4 8 2 4" xfId="14065"/>
    <cellStyle name="표준 4 8 2 4 2" xfId="14066"/>
    <cellStyle name="표준 4 8 2 5" xfId="14067"/>
    <cellStyle name="표준 4 8 2 6" xfId="14068"/>
    <cellStyle name="표준 4 8 2 7" xfId="14069"/>
    <cellStyle name="표준 4 8 3" xfId="11736"/>
    <cellStyle name="표준 4 8 3 2" xfId="14070"/>
    <cellStyle name="표준 4 8 3 2 2" xfId="14071"/>
    <cellStyle name="표준 4 8 3 3" xfId="14072"/>
    <cellStyle name="표준 4 8 3 4" xfId="14073"/>
    <cellStyle name="표준 4 8 3 5" xfId="14074"/>
    <cellStyle name="표준 4 8 4" xfId="11737"/>
    <cellStyle name="표준 4 8 4 2" xfId="14075"/>
    <cellStyle name="표준 4 8 4 2 2" xfId="14076"/>
    <cellStyle name="표준 4 8 4 3" xfId="14077"/>
    <cellStyle name="표준 4 8 4 4" xfId="14078"/>
    <cellStyle name="표준 4 8 4 5" xfId="14079"/>
    <cellStyle name="표준 4 8 5" xfId="14080"/>
    <cellStyle name="표준 4 8 5 2" xfId="14081"/>
    <cellStyle name="표준 4 8 6" xfId="14082"/>
    <cellStyle name="표준 4 8 7" xfId="14083"/>
    <cellStyle name="표준 4 8 8" xfId="14084"/>
    <cellStyle name="표준 4 9" xfId="11738"/>
    <cellStyle name="표준 4 9 2" xfId="11739"/>
    <cellStyle name="표준 4 9 2 2" xfId="14085"/>
    <cellStyle name="표준 4 9 2 2 2" xfId="14086"/>
    <cellStyle name="표준 4 9 2 3" xfId="14087"/>
    <cellStyle name="표준 4 9 2 4" xfId="14088"/>
    <cellStyle name="표준 4 9 2 5" xfId="14089"/>
    <cellStyle name="표준 4 9 3" xfId="11740"/>
    <cellStyle name="표준 4 9 3 2" xfId="14090"/>
    <cellStyle name="표준 4 9 3 2 2" xfId="14091"/>
    <cellStyle name="표준 4 9 3 3" xfId="14092"/>
    <cellStyle name="표준 4 9 3 4" xfId="14093"/>
    <cellStyle name="표준 4 9 3 5" xfId="14094"/>
    <cellStyle name="표준 4 9 4" xfId="14095"/>
    <cellStyle name="표준 4 9 4 2" xfId="14096"/>
    <cellStyle name="표준 4 9 5" xfId="14097"/>
    <cellStyle name="표준 4 9 6" xfId="14098"/>
    <cellStyle name="표준 4 9 7" xfId="14099"/>
    <cellStyle name="표준 4_(보통주)한국케이블티브이전남동부방송-DCF(2008-09-30)" xfId="11741"/>
    <cellStyle name="표준 40" xfId="11742"/>
    <cellStyle name="표준 41" xfId="11743"/>
    <cellStyle name="표준 42" xfId="11744"/>
    <cellStyle name="표준 43" xfId="11745"/>
    <cellStyle name="표준 5" xfId="36"/>
    <cellStyle name="표준 5 2" xfId="11746"/>
    <cellStyle name="표준 5 2 2" xfId="13118"/>
    <cellStyle name="표준 5 3" xfId="11747"/>
    <cellStyle name="표준 5 4" xfId="11748"/>
    <cellStyle name="표준 5 5" xfId="13155"/>
    <cellStyle name="표준 5_가격추이" xfId="11749"/>
    <cellStyle name="표준 6" xfId="37"/>
    <cellStyle name="표준 6 2" xfId="11750"/>
    <cellStyle name="표준 6 2 2" xfId="13119"/>
    <cellStyle name="표준 6 3" xfId="11751"/>
    <cellStyle name="표준 6 4" xfId="11752"/>
    <cellStyle name="표준 6_가격추이" xfId="11753"/>
    <cellStyle name="표준 7" xfId="38"/>
    <cellStyle name="표준 7 2" xfId="11754"/>
    <cellStyle name="표준 7 2 2" xfId="13120"/>
    <cellStyle name="표준 7_가격추이" xfId="11755"/>
    <cellStyle name="표준 8" xfId="39"/>
    <cellStyle name="표준 8 10" xfId="13121"/>
    <cellStyle name="표준 8 11" xfId="13122"/>
    <cellStyle name="표준 8 12" xfId="13123"/>
    <cellStyle name="표준 8 13" xfId="13124"/>
    <cellStyle name="표준 8 14" xfId="13125"/>
    <cellStyle name="표준 8 15" xfId="13126"/>
    <cellStyle name="표준 8 2" xfId="11756"/>
    <cellStyle name="표준 8 3" xfId="11757"/>
    <cellStyle name="표준 8 4" xfId="11758"/>
    <cellStyle name="표준 8 5" xfId="13127"/>
    <cellStyle name="표준 8 6" xfId="13128"/>
    <cellStyle name="표준 8 7" xfId="13129"/>
    <cellStyle name="표준 8 8" xfId="13130"/>
    <cellStyle name="표준 8 9" xfId="13131"/>
    <cellStyle name="표준 8_가격추이" xfId="11759"/>
    <cellStyle name="표준 9" xfId="40"/>
    <cellStyle name="표준 9 10" xfId="13132"/>
    <cellStyle name="표준 9 11" xfId="13133"/>
    <cellStyle name="표준 9 12" xfId="13134"/>
    <cellStyle name="표준 9 13" xfId="13135"/>
    <cellStyle name="표준 9 14" xfId="13136"/>
    <cellStyle name="표준 9 15" xfId="13137"/>
    <cellStyle name="표준 9 2" xfId="13138"/>
    <cellStyle name="표준 9 3" xfId="13139"/>
    <cellStyle name="표준 9 4" xfId="13140"/>
    <cellStyle name="표준 9 5" xfId="13141"/>
    <cellStyle name="표준 9 6" xfId="13142"/>
    <cellStyle name="표준 9 7" xfId="13143"/>
    <cellStyle name="표준 9 8" xfId="13144"/>
    <cellStyle name="표준 9 9" xfId="13145"/>
    <cellStyle name="표준 92" xfId="11760"/>
    <cellStyle name="표준 93" xfId="11761"/>
    <cellStyle name="標準_(01)タイムクリエイトＰＬ単年度1" xfId="11762"/>
    <cellStyle name="표준_Sheet1" xfId="14104"/>
    <cellStyle name="하이퍼링크" xfId="14105" builtinId="8" customBuiltin="1"/>
    <cellStyle name="하이퍼링크 2" xfId="11763"/>
    <cellStyle name="한양그래픽" xfId="11764"/>
    <cellStyle name="합산" xfId="11765"/>
    <cellStyle name="桁区切り [0.00]_005 Income Statement" xfId="11766"/>
    <cellStyle name="桁区切り_005 Income Statement" xfId="11767"/>
    <cellStyle name="货币[0]_BOOK1" xfId="11779"/>
    <cellStyle name="货币_BOOK1" xfId="11780"/>
    <cellStyle name="貨幣 [0]_PERSONAL" xfId="11768"/>
    <cellStyle name="貨幣_PERSONAL" xfId="11769"/>
    <cellStyle name="화폐기호" xfId="11770"/>
    <cellStyle name="화폐기호0" xfId="11771"/>
    <cellStyle name="황대호" xfId="11772"/>
    <cellStyle name="회색테두리" xfId="11773"/>
    <cellStyle name="회색테두리 2" xfId="11774"/>
    <cellStyle name="회색테두리 3" xfId="11775"/>
    <cellStyle name="회색테두리 4" xfId="11776"/>
    <cellStyle name="휴" xfId="11777"/>
  </cellStyles>
  <dxfs count="111"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EBEBEB"/>
      <rgbColor rgb="009999FF"/>
      <rgbColor rgb="00993366"/>
      <rgbColor rgb="00FFFFCC"/>
      <rgbColor rgb="00D1EFFF"/>
      <rgbColor rgb="00FAF0E1"/>
      <rgbColor rgb="00EBEBEB"/>
      <rgbColor rgb="00F7F7F7"/>
      <rgbColor rgb="00CCCCFF"/>
      <rgbColor rgb="00E92A1D"/>
      <rgbColor rgb="0000A23A"/>
      <rgbColor rgb="00FFE400"/>
      <rgbColor rgb="00C0C0C0"/>
      <rgbColor rgb="00FEF4F7"/>
      <rgbColor rgb="003E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556CAB"/>
      <rgbColor rgb="00F7F7F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  <color rgb="FFCCFFCC"/>
      <color rgb="FFCCFFFF"/>
      <color rgb="FF99FF99"/>
      <color rgb="FFEFECF4"/>
      <color rgb="FF666699"/>
      <color rgb="FFDEDEEA"/>
      <color rgb="FFCACADC"/>
      <color rgb="FFBE4B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재투자!$B$4</c:f>
              <c:strCache>
                <c:ptCount val="1"/>
                <c:pt idx="0">
                  <c:v>  감가상각비(CF) (L)</c:v>
                </c:pt>
              </c:strCache>
            </c:strRef>
          </c:tx>
          <c:spPr>
            <a:ln w="25400"/>
          </c:spPr>
          <c:marker>
            <c:symbol val="square"/>
            <c:size val="5"/>
          </c:marker>
          <c:cat>
            <c:numRef>
              <c:f>재투자!$C$2:$L$2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cat>
          <c:val>
            <c:numRef>
              <c:f>재투자!$C$4:$L$4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2B-4446-8A29-5AB73A6DF987}"/>
            </c:ext>
          </c:extLst>
        </c:ser>
        <c:ser>
          <c:idx val="1"/>
          <c:order val="1"/>
          <c:tx>
            <c:strRef>
              <c:f>재투자!$B$15</c:f>
              <c:strCache>
                <c:ptCount val="1"/>
                <c:pt idx="0">
                  <c:v>순취득액 (L)</c:v>
                </c:pt>
              </c:strCache>
            </c:strRef>
          </c:tx>
          <c:spPr>
            <a:ln w="25400"/>
          </c:spPr>
          <c:marker>
            <c:symbol val="square"/>
            <c:size val="5"/>
          </c:marker>
          <c:cat>
            <c:numRef>
              <c:f>재투자!$C$2:$L$2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cat>
          <c:val>
            <c:numRef>
              <c:f>재투자!$C$15:$L$15</c:f>
              <c:numCache>
                <c:formatCode>#,##0_ ;[Red]\-#,##0\ 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2B-4446-8A29-5AB73A6DF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746688"/>
        <c:axId val="855456512"/>
      </c:lineChart>
      <c:lineChart>
        <c:grouping val="standard"/>
        <c:varyColors val="0"/>
        <c:ser>
          <c:idx val="2"/>
          <c:order val="2"/>
          <c:tx>
            <c:strRef>
              <c:f>재투자!$B$16</c:f>
              <c:strCache>
                <c:ptCount val="1"/>
                <c:pt idx="0">
                  <c:v>유형자산재투자율 (R)</c:v>
                </c:pt>
              </c:strCache>
            </c:strRef>
          </c:tx>
          <c:spPr>
            <a:ln w="25400">
              <a:prstDash val="sysDash"/>
            </a:ln>
          </c:spPr>
          <c:marker>
            <c:symbol val="none"/>
          </c:marker>
          <c:cat>
            <c:numRef>
              <c:f>재투자!$C$2:$L$2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cat>
          <c:val>
            <c:numRef>
              <c:f>재투자!$C$16:$L$16</c:f>
              <c:numCache>
                <c:formatCode>0.00%</c:formatCode>
                <c:ptCount val="10"/>
                <c:pt idx="0" formatCode="#,##0_ ;[Red]\-#,##0\ 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2B-4446-8A29-5AB73A6DF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747712"/>
        <c:axId val="855457088"/>
      </c:lineChart>
      <c:catAx>
        <c:axId val="93374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855456512"/>
        <c:crosses val="autoZero"/>
        <c:auto val="1"/>
        <c:lblAlgn val="ctr"/>
        <c:lblOffset val="100"/>
        <c:noMultiLvlLbl val="0"/>
      </c:catAx>
      <c:valAx>
        <c:axId val="855456512"/>
        <c:scaling>
          <c:orientation val="minMax"/>
        </c:scaling>
        <c:delete val="0"/>
        <c:axPos val="l"/>
        <c:numFmt formatCode="#,##0_ ;[Red]\-#,##0\ 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33746688"/>
        <c:crosses val="autoZero"/>
        <c:crossBetween val="between"/>
      </c:valAx>
      <c:valAx>
        <c:axId val="85545708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33747712"/>
        <c:crosses val="max"/>
        <c:crossBetween val="between"/>
      </c:valAx>
      <c:catAx>
        <c:axId val="933747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55457088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재투자!$B$114</c:f>
              <c:strCache>
                <c:ptCount val="1"/>
                <c:pt idx="0">
                  <c:v>  무형자산상각비(CF) (L)</c:v>
                </c:pt>
              </c:strCache>
            </c:strRef>
          </c:tx>
          <c:spPr>
            <a:ln w="25400"/>
          </c:spPr>
          <c:marker>
            <c:symbol val="square"/>
            <c:size val="5"/>
          </c:marker>
          <c:cat>
            <c:numRef>
              <c:f>재투자!$C$112:$L$112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cat>
          <c:val>
            <c:numRef>
              <c:f>재투자!$C$114:$L$114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3-4065-BA02-4E9B545777E7}"/>
            </c:ext>
          </c:extLst>
        </c:ser>
        <c:ser>
          <c:idx val="1"/>
          <c:order val="1"/>
          <c:tx>
            <c:strRef>
              <c:f>재투자!$B$122</c:f>
              <c:strCache>
                <c:ptCount val="1"/>
                <c:pt idx="0">
                  <c:v>순취득액 (L)</c:v>
                </c:pt>
              </c:strCache>
            </c:strRef>
          </c:tx>
          <c:spPr>
            <a:ln w="25400"/>
          </c:spPr>
          <c:marker>
            <c:symbol val="square"/>
            <c:size val="5"/>
          </c:marker>
          <c:cat>
            <c:numRef>
              <c:f>재투자!$C$112:$L$112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cat>
          <c:val>
            <c:numRef>
              <c:f>재투자!$C$122:$L$122</c:f>
              <c:numCache>
                <c:formatCode>#,##0_ ;[Red]\-#,##0\ 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B3-4065-BA02-4E9B5457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596608"/>
        <c:axId val="896455744"/>
      </c:lineChart>
      <c:lineChart>
        <c:grouping val="standard"/>
        <c:varyColors val="0"/>
        <c:ser>
          <c:idx val="2"/>
          <c:order val="2"/>
          <c:tx>
            <c:strRef>
              <c:f>재투자!$B$123</c:f>
              <c:strCache>
                <c:ptCount val="1"/>
                <c:pt idx="0">
                  <c:v>무형자산재투자율 (R)</c:v>
                </c:pt>
              </c:strCache>
            </c:strRef>
          </c:tx>
          <c:spPr>
            <a:ln w="25400">
              <a:prstDash val="sysDash"/>
            </a:ln>
          </c:spPr>
          <c:marker>
            <c:symbol val="none"/>
          </c:marker>
          <c:cat>
            <c:numRef>
              <c:f>재투자!$C$112:$L$112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cat>
          <c:val>
            <c:numRef>
              <c:f>재투자!$C$123:$L$123</c:f>
              <c:numCache>
                <c:formatCode>0.00%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B3-4065-BA02-4E9B5457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597632"/>
        <c:axId val="1049026560"/>
      </c:lineChart>
      <c:catAx>
        <c:axId val="9345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896455744"/>
        <c:crosses val="autoZero"/>
        <c:auto val="1"/>
        <c:lblAlgn val="ctr"/>
        <c:lblOffset val="100"/>
        <c:noMultiLvlLbl val="0"/>
      </c:catAx>
      <c:valAx>
        <c:axId val="896455744"/>
        <c:scaling>
          <c:orientation val="minMax"/>
        </c:scaling>
        <c:delete val="0"/>
        <c:axPos val="l"/>
        <c:numFmt formatCode="#,##0_ ;[Red]\-#,##0\ 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34596608"/>
        <c:crosses val="autoZero"/>
        <c:crossBetween val="between"/>
      </c:valAx>
      <c:valAx>
        <c:axId val="104902656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34597632"/>
        <c:crosses val="max"/>
        <c:crossBetween val="between"/>
      </c:valAx>
      <c:catAx>
        <c:axId val="93459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4902656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16" fmlaLink="$M$24" fmlaRange="$G$23:$G$24" sel="1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22</xdr:row>
          <xdr:rowOff>133350</xdr:rowOff>
        </xdr:from>
        <xdr:to>
          <xdr:col>14</xdr:col>
          <xdr:colOff>9525</xdr:colOff>
          <xdr:row>24</xdr:row>
          <xdr:rowOff>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92</xdr:row>
      <xdr:rowOff>0</xdr:rowOff>
    </xdr:from>
    <xdr:to>
      <xdr:col>5</xdr:col>
      <xdr:colOff>333375</xdr:colOff>
      <xdr:row>110</xdr:row>
      <xdr:rowOff>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92</xdr:row>
      <xdr:rowOff>0</xdr:rowOff>
    </xdr:from>
    <xdr:to>
      <xdr:col>12</xdr:col>
      <xdr:colOff>400050</xdr:colOff>
      <xdr:row>110</xdr:row>
      <xdr:rowOff>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9FF99"/>
  </sheetPr>
  <dimension ref="A1:AG96"/>
  <sheetViews>
    <sheetView showGridLines="0" topLeftCell="B7" workbookViewId="0">
      <selection activeCell="W19" sqref="W19"/>
    </sheetView>
  </sheetViews>
  <sheetFormatPr defaultColWidth="6.625" defaultRowHeight="12.95" customHeight="1" outlineLevelCol="1"/>
  <cols>
    <col min="1" max="1" width="2.625" style="149" customWidth="1" outlineLevel="1"/>
    <col min="2" max="7" width="6.625" style="150" customWidth="1" outlineLevel="1"/>
    <col min="8" max="8" width="6.625" style="149" customWidth="1" outlineLevel="1"/>
    <col min="9" max="14" width="6.625" style="150" customWidth="1" outlineLevel="1"/>
    <col min="15" max="15" width="6.625" style="150" outlineLevel="1"/>
    <col min="16" max="16" width="15.625" style="150" customWidth="1" outlineLevel="1"/>
    <col min="17" max="17" width="10.625" style="150" customWidth="1" outlineLevel="1"/>
    <col min="18" max="18" width="2.625" style="150" customWidth="1"/>
    <col min="19" max="19" width="6.625" style="334" customWidth="1" outlineLevel="1"/>
    <col min="20" max="20" width="15.625" style="345" customWidth="1" outlineLevel="1"/>
    <col min="21" max="21" width="1.625" style="345" customWidth="1" outlineLevel="1"/>
    <col min="22" max="26" width="9.625" style="345" customWidth="1" outlineLevel="1"/>
    <col min="27" max="27" width="1.625" style="345" customWidth="1" outlineLevel="1"/>
    <col min="28" max="32" width="9.625" style="345" customWidth="1" outlineLevel="1"/>
    <col min="33" max="33" width="9.625" style="346" customWidth="1" outlineLevel="1"/>
    <col min="34" max="16384" width="6.625" style="150"/>
  </cols>
  <sheetData>
    <row r="1" spans="1:33" ht="12.95" customHeight="1">
      <c r="A1" s="149" t="s">
        <v>421</v>
      </c>
      <c r="T1" s="335">
        <v>2</v>
      </c>
      <c r="U1" s="335"/>
      <c r="V1" s="335">
        <v>7</v>
      </c>
      <c r="W1" s="335">
        <v>6</v>
      </c>
      <c r="X1" s="335">
        <v>5</v>
      </c>
      <c r="Y1" s="335">
        <v>4</v>
      </c>
      <c r="Z1" s="335">
        <v>3</v>
      </c>
      <c r="AA1" s="335"/>
      <c r="AB1" s="335">
        <v>18</v>
      </c>
      <c r="AC1" s="335">
        <v>17</v>
      </c>
      <c r="AD1" s="335">
        <v>16</v>
      </c>
      <c r="AE1" s="335">
        <v>15</v>
      </c>
      <c r="AF1" s="335">
        <v>14</v>
      </c>
      <c r="AG1" s="336"/>
    </row>
    <row r="2" spans="1:33" s="132" customFormat="1" ht="12.95" customHeight="1">
      <c r="A2" s="151"/>
      <c r="B2" s="440" t="s">
        <v>422</v>
      </c>
      <c r="C2" s="441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3"/>
      <c r="S2" s="337">
        <v>110000</v>
      </c>
      <c r="T2" s="338" t="str">
        <f>VLOOKUP($S:$S,RAW!$A:$R,$1:$1,0)</f>
        <v>재무상태표</v>
      </c>
      <c r="U2" s="339"/>
      <c r="V2" s="338" t="e">
        <f>VLOOKUP($S:$S,RAW!$A:$R,$1:$1,0)</f>
        <v>#N/A</v>
      </c>
      <c r="W2" s="338" t="e">
        <f>VLOOKUP($S:$S,RAW!$A:$R,$1:$1,0)</f>
        <v>#N/A</v>
      </c>
      <c r="X2" s="338" t="e">
        <f>VLOOKUP($S:$S,RAW!$A:$R,$1:$1,0)</f>
        <v>#N/A</v>
      </c>
      <c r="Y2" s="338" t="e">
        <f>VLOOKUP($S:$S,RAW!$A:$R,$1:$1,0)</f>
        <v>#N/A</v>
      </c>
      <c r="Z2" s="338" t="e">
        <f>VLOOKUP($S:$S,RAW!$A:$R,$1:$1,0)</f>
        <v>#N/A</v>
      </c>
      <c r="AA2" s="339"/>
      <c r="AB2" s="338" t="e">
        <f>VLOOKUP($S:$S,RAW!$A:$R,$1:$1,0)</f>
        <v>#N/A</v>
      </c>
      <c r="AC2" s="338" t="e">
        <f>VLOOKUP($S:$S,RAW!$A:$R,$1:$1,0)</f>
        <v>#N/A</v>
      </c>
      <c r="AD2" s="338" t="e">
        <f>VLOOKUP($S:$S,RAW!$A:$R,$1:$1,0)</f>
        <v>#N/A</v>
      </c>
      <c r="AE2" s="338" t="e">
        <f>VLOOKUP($S:$S,RAW!$A:$R,$1:$1,0)</f>
        <v>#N/A</v>
      </c>
      <c r="AF2" s="338" t="e">
        <f>VLOOKUP($S:$S,RAW!$A:$R,$1:$1,0)</f>
        <v>#N/A</v>
      </c>
      <c r="AG2" s="338" t="s">
        <v>551</v>
      </c>
    </row>
    <row r="3" spans="1:33" s="132" customFormat="1" ht="12.95" customHeight="1">
      <c r="A3" s="151"/>
      <c r="B3" s="444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6"/>
      <c r="S3" s="340">
        <v>121000</v>
      </c>
      <c r="T3" s="341" t="str">
        <f>VLOOKUP($S:$S,RAW!$A:$R,$1:$1,0)</f>
        <v>매출액</v>
      </c>
      <c r="U3" s="342"/>
      <c r="V3" s="341">
        <f>VLOOKUP($S:$S,RAW!$A:$R,$1:$1,0)</f>
        <v>0</v>
      </c>
      <c r="W3" s="341">
        <f>VLOOKUP($S:$S,RAW!$A:$R,$1:$1,0)</f>
        <v>0</v>
      </c>
      <c r="X3" s="341">
        <f>VLOOKUP($S:$S,RAW!$A:$R,$1:$1,0)</f>
        <v>0</v>
      </c>
      <c r="Y3" s="341">
        <f>VLOOKUP($S:$S,RAW!$A:$R,$1:$1,0)</f>
        <v>0</v>
      </c>
      <c r="Z3" s="341">
        <f>VLOOKUP($S:$S,RAW!$A:$R,$1:$1,0)</f>
        <v>14965246</v>
      </c>
      <c r="AA3" s="342"/>
      <c r="AB3" s="341">
        <f>VLOOKUP($S:$S,RAW!$A:$R,$1:$1,0)</f>
        <v>0</v>
      </c>
      <c r="AC3" s="341">
        <f>VLOOKUP($S:$S,RAW!$A:$R,$1:$1,0)</f>
        <v>0</v>
      </c>
      <c r="AD3" s="341">
        <f>VLOOKUP($S:$S,RAW!$A:$R,$1:$1,0)</f>
        <v>0</v>
      </c>
      <c r="AE3" s="341">
        <f>VLOOKUP($S:$S,RAW!$A:$R,$1:$1,0)</f>
        <v>0</v>
      </c>
      <c r="AF3" s="341">
        <f>VLOOKUP($S:$S,RAW!$A:$R,$1:$1,0)</f>
        <v>0</v>
      </c>
      <c r="AG3" s="343" t="e">
        <f>AF3*12/AG$1</f>
        <v>#DIV/0!</v>
      </c>
    </row>
    <row r="4" spans="1:33" s="5" customFormat="1" ht="12.95" customHeight="1">
      <c r="A4" s="4"/>
      <c r="B4" s="447" t="s">
        <v>423</v>
      </c>
      <c r="C4" s="448"/>
      <c r="D4" s="447" t="s">
        <v>35</v>
      </c>
      <c r="E4" s="449"/>
      <c r="F4" s="450"/>
      <c r="G4" s="148" t="s">
        <v>424</v>
      </c>
      <c r="H4" s="447" t="s">
        <v>425</v>
      </c>
      <c r="I4" s="451"/>
      <c r="J4" s="452"/>
      <c r="K4" s="148" t="s">
        <v>426</v>
      </c>
      <c r="L4" s="447" t="s">
        <v>52</v>
      </c>
      <c r="M4" s="453"/>
      <c r="N4" s="448"/>
      <c r="S4" s="344">
        <v>125000</v>
      </c>
      <c r="T4" s="341" t="str">
        <f>VLOOKUP($S:$S,RAW!$A:$R,$1:$1,0)</f>
        <v>영업이익(손실)</v>
      </c>
      <c r="U4" s="342"/>
      <c r="V4" s="341">
        <f>VLOOKUP($S:$S,RAW!$A:$R,$1:$1,0)</f>
        <v>0</v>
      </c>
      <c r="W4" s="341">
        <f>VLOOKUP($S:$S,RAW!$A:$R,$1:$1,0)</f>
        <v>0</v>
      </c>
      <c r="X4" s="341">
        <f>VLOOKUP($S:$S,RAW!$A:$R,$1:$1,0)</f>
        <v>0</v>
      </c>
      <c r="Y4" s="341">
        <f>VLOOKUP($S:$S,RAW!$A:$R,$1:$1,0)</f>
        <v>0</v>
      </c>
      <c r="Z4" s="341">
        <f>VLOOKUP($S:$S,RAW!$A:$R,$1:$1,0)</f>
        <v>1136754</v>
      </c>
      <c r="AA4" s="342"/>
      <c r="AB4" s="341">
        <f>VLOOKUP($S:$S,RAW!$A:$R,$1:$1,0)</f>
        <v>0</v>
      </c>
      <c r="AC4" s="341">
        <f>VLOOKUP($S:$S,RAW!$A:$R,$1:$1,0)</f>
        <v>0</v>
      </c>
      <c r="AD4" s="341">
        <f>VLOOKUP($S:$S,RAW!$A:$R,$1:$1,0)</f>
        <v>0</v>
      </c>
      <c r="AE4" s="341">
        <f>VLOOKUP($S:$S,RAW!$A:$R,$1:$1,0)</f>
        <v>0</v>
      </c>
      <c r="AF4" s="341">
        <f>VLOOKUP($S:$S,RAW!$A:$R,$1:$1,0)</f>
        <v>0</v>
      </c>
      <c r="AG4" s="343" t="e">
        <f>AF4*12/AG$1</f>
        <v>#DIV/0!</v>
      </c>
    </row>
    <row r="5" spans="1:33" s="132" customFormat="1" ht="12.95" customHeight="1">
      <c r="A5" s="151"/>
      <c r="B5" s="454" t="s">
        <v>427</v>
      </c>
      <c r="C5" s="455"/>
      <c r="D5" s="456" t="s">
        <v>428</v>
      </c>
      <c r="E5" s="457"/>
      <c r="F5" s="455"/>
      <c r="G5" s="167">
        <v>8</v>
      </c>
      <c r="H5" s="458" t="s">
        <v>429</v>
      </c>
      <c r="I5" s="459"/>
      <c r="J5" s="460"/>
      <c r="K5" s="152">
        <f>VLOOKUP("v",A28:B32,2,0)</f>
        <v>8</v>
      </c>
      <c r="L5" s="456"/>
      <c r="M5" s="457"/>
      <c r="N5" s="455"/>
      <c r="S5" s="344">
        <v>128000</v>
      </c>
      <c r="T5" s="341" t="str">
        <f>VLOOKUP($S:$S,RAW!$A:$R,$1:$1,0)</f>
        <v>법인세비용차감전계속사업이익(손실)</v>
      </c>
      <c r="U5" s="342"/>
      <c r="V5" s="341">
        <f>VLOOKUP($S:$S,RAW!$A:$R,$1:$1,0)</f>
        <v>0</v>
      </c>
      <c r="W5" s="341">
        <f>VLOOKUP($S:$S,RAW!$A:$R,$1:$1,0)</f>
        <v>0</v>
      </c>
      <c r="X5" s="341">
        <f>VLOOKUP($S:$S,RAW!$A:$R,$1:$1,0)</f>
        <v>0</v>
      </c>
      <c r="Y5" s="341">
        <f>VLOOKUP($S:$S,RAW!$A:$R,$1:$1,0)</f>
        <v>0</v>
      </c>
      <c r="Z5" s="341">
        <f>VLOOKUP($S:$S,RAW!$A:$R,$1:$1,0)</f>
        <v>1174487</v>
      </c>
      <c r="AA5" s="342"/>
      <c r="AB5" s="341">
        <f>VLOOKUP($S:$S,RAW!$A:$R,$1:$1,0)</f>
        <v>0</v>
      </c>
      <c r="AC5" s="341">
        <f>VLOOKUP($S:$S,RAW!$A:$R,$1:$1,0)</f>
        <v>0</v>
      </c>
      <c r="AD5" s="341">
        <f>VLOOKUP($S:$S,RAW!$A:$R,$1:$1,0)</f>
        <v>0</v>
      </c>
      <c r="AE5" s="341">
        <f>VLOOKUP($S:$S,RAW!$A:$R,$1:$1,0)</f>
        <v>0</v>
      </c>
      <c r="AF5" s="341">
        <f>VLOOKUP($S:$S,RAW!$A:$R,$1:$1,0)</f>
        <v>0</v>
      </c>
      <c r="AG5" s="343" t="e">
        <f>AF5*12/AG$1</f>
        <v>#DIV/0!</v>
      </c>
    </row>
    <row r="6" spans="1:33" s="132" customFormat="1" ht="12.95" customHeight="1">
      <c r="A6" s="151"/>
      <c r="B6" s="431"/>
      <c r="C6" s="433"/>
      <c r="D6" s="431" t="s">
        <v>386</v>
      </c>
      <c r="E6" s="432"/>
      <c r="F6" s="433"/>
      <c r="G6" s="167">
        <v>7</v>
      </c>
      <c r="H6" s="428" t="s">
        <v>430</v>
      </c>
      <c r="I6" s="429"/>
      <c r="J6" s="430"/>
      <c r="K6" s="152" t="e">
        <f>VLOOKUP("v",H28:I32,2,0)</f>
        <v>#N/A</v>
      </c>
      <c r="L6" s="431"/>
      <c r="M6" s="432"/>
      <c r="N6" s="433"/>
      <c r="S6" s="344">
        <v>129000</v>
      </c>
      <c r="T6" s="341" t="str">
        <f>VLOOKUP($S:$S,RAW!$A:$R,$1:$1,0)</f>
        <v>당기순이익(손실)</v>
      </c>
      <c r="U6" s="342"/>
      <c r="V6" s="341">
        <f>VLOOKUP($S:$S,RAW!$A:$R,$1:$1,0)</f>
        <v>0</v>
      </c>
      <c r="W6" s="341">
        <f>VLOOKUP($S:$S,RAW!$A:$R,$1:$1,0)</f>
        <v>0</v>
      </c>
      <c r="X6" s="341">
        <f>VLOOKUP($S:$S,RAW!$A:$R,$1:$1,0)</f>
        <v>0</v>
      </c>
      <c r="Y6" s="341">
        <f>VLOOKUP($S:$S,RAW!$A:$R,$1:$1,0)</f>
        <v>0</v>
      </c>
      <c r="Z6" s="341">
        <f>VLOOKUP($S:$S,RAW!$A:$R,$1:$1,0)</f>
        <v>980449</v>
      </c>
      <c r="AA6" s="342"/>
      <c r="AB6" s="341">
        <f>VLOOKUP($S:$S,RAW!$A:$R,$1:$1,0)</f>
        <v>0</v>
      </c>
      <c r="AC6" s="341">
        <f>VLOOKUP($S:$S,RAW!$A:$R,$1:$1,0)</f>
        <v>0</v>
      </c>
      <c r="AD6" s="341">
        <f>VLOOKUP($S:$S,RAW!$A:$R,$1:$1,0)</f>
        <v>0</v>
      </c>
      <c r="AE6" s="341">
        <f>VLOOKUP($S:$S,RAW!$A:$R,$1:$1,0)</f>
        <v>0</v>
      </c>
      <c r="AF6" s="341">
        <f>VLOOKUP($S:$S,RAW!$A:$R,$1:$1,0)</f>
        <v>0</v>
      </c>
      <c r="AG6" s="343" t="e">
        <f>AF6*12/AG$1</f>
        <v>#DIV/0!</v>
      </c>
    </row>
    <row r="7" spans="1:33" s="132" customFormat="1" ht="12.95" customHeight="1">
      <c r="A7" s="151"/>
      <c r="B7" s="431"/>
      <c r="C7" s="433"/>
      <c r="D7" s="431" t="s">
        <v>432</v>
      </c>
      <c r="E7" s="432"/>
      <c r="F7" s="433"/>
      <c r="G7" s="167">
        <v>5</v>
      </c>
      <c r="H7" s="434" t="s">
        <v>433</v>
      </c>
      <c r="I7" s="435"/>
      <c r="J7" s="436"/>
      <c r="K7" s="152" t="e">
        <f>VLOOKUP("v",A35:B39,2,0)</f>
        <v>#N/A</v>
      </c>
      <c r="L7" s="431"/>
      <c r="M7" s="432"/>
      <c r="N7" s="433"/>
      <c r="S7" s="344">
        <v>126110</v>
      </c>
      <c r="T7" s="341" t="str">
        <f>VLOOKUP($S:$S,RAW!$A:$R,$1:$1,0)</f>
        <v>이자비용</v>
      </c>
      <c r="U7" s="342"/>
      <c r="V7" s="341">
        <f>VLOOKUP($S:$S,RAW!$A:$R,$1:$1,0)</f>
        <v>0</v>
      </c>
      <c r="W7" s="341">
        <f>VLOOKUP($S:$S,RAW!$A:$R,$1:$1,0)</f>
        <v>0</v>
      </c>
      <c r="X7" s="341">
        <f>VLOOKUP($S:$S,RAW!$A:$R,$1:$1,0)</f>
        <v>0</v>
      </c>
      <c r="Y7" s="341">
        <f>VLOOKUP($S:$S,RAW!$A:$R,$1:$1,0)</f>
        <v>0</v>
      </c>
      <c r="Z7" s="341">
        <f>VLOOKUP($S:$S,RAW!$A:$R,$1:$1,0)</f>
        <v>136508</v>
      </c>
      <c r="AA7" s="342"/>
      <c r="AB7" s="341">
        <f>VLOOKUP($S:$S,RAW!$A:$R,$1:$1,0)</f>
        <v>0</v>
      </c>
      <c r="AC7" s="341">
        <f>VLOOKUP($S:$S,RAW!$A:$R,$1:$1,0)</f>
        <v>0</v>
      </c>
      <c r="AD7" s="341">
        <f>VLOOKUP($S:$S,RAW!$A:$R,$1:$1,0)</f>
        <v>0</v>
      </c>
      <c r="AE7" s="341">
        <f>VLOOKUP($S:$S,RAW!$A:$R,$1:$1,0)</f>
        <v>0</v>
      </c>
      <c r="AF7" s="341">
        <f>VLOOKUP($S:$S,RAW!$A:$R,$1:$1,0)</f>
        <v>0</v>
      </c>
      <c r="AG7" s="343"/>
    </row>
    <row r="8" spans="1:33" s="132" customFormat="1" ht="12.95" customHeight="1">
      <c r="A8" s="151"/>
      <c r="B8" s="437"/>
      <c r="C8" s="439"/>
      <c r="D8" s="431" t="s">
        <v>434</v>
      </c>
      <c r="E8" s="432"/>
      <c r="F8" s="433"/>
      <c r="G8" s="167">
        <v>5</v>
      </c>
      <c r="H8" s="428" t="s">
        <v>435</v>
      </c>
      <c r="I8" s="429"/>
      <c r="J8" s="430"/>
      <c r="K8" s="152" t="e">
        <f>VLOOKUP("v",H35:I39,2,0)</f>
        <v>#N/A</v>
      </c>
      <c r="L8" s="437"/>
      <c r="M8" s="438"/>
      <c r="N8" s="439"/>
      <c r="S8" s="344">
        <v>126132</v>
      </c>
      <c r="T8" s="341" t="str">
        <f>VLOOKUP($S:$S,RAW!$A:$R,$1:$1,0)</f>
        <v>매출채권처분손실</v>
      </c>
      <c r="U8" s="342"/>
      <c r="V8" s="341">
        <f>VLOOKUP($S:$S,RAW!$A:$R,$1:$1,0)</f>
        <v>0</v>
      </c>
      <c r="W8" s="341">
        <f>VLOOKUP($S:$S,RAW!$A:$R,$1:$1,0)</f>
        <v>0</v>
      </c>
      <c r="X8" s="341">
        <f>VLOOKUP($S:$S,RAW!$A:$R,$1:$1,0)</f>
        <v>0</v>
      </c>
      <c r="Y8" s="341">
        <f>VLOOKUP($S:$S,RAW!$A:$R,$1:$1,0)</f>
        <v>0</v>
      </c>
      <c r="Z8" s="341">
        <f>VLOOKUP($S:$S,RAW!$A:$R,$1:$1,0)</f>
        <v>0</v>
      </c>
      <c r="AA8" s="342"/>
      <c r="AB8" s="341">
        <f>VLOOKUP($S:$S,RAW!$A:$R,$1:$1,0)</f>
        <v>0</v>
      </c>
      <c r="AC8" s="341">
        <f>VLOOKUP($S:$S,RAW!$A:$R,$1:$1,0)</f>
        <v>0</v>
      </c>
      <c r="AD8" s="341">
        <f>VLOOKUP($S:$S,RAW!$A:$R,$1:$1,0)</f>
        <v>0</v>
      </c>
      <c r="AE8" s="341">
        <f>VLOOKUP($S:$S,RAW!$A:$R,$1:$1,0)</f>
        <v>0</v>
      </c>
      <c r="AF8" s="341">
        <f>VLOOKUP($S:$S,RAW!$A:$R,$1:$1,0)</f>
        <v>0</v>
      </c>
      <c r="AG8" s="343"/>
    </row>
    <row r="9" spans="1:33" s="132" customFormat="1" ht="12.95" customHeight="1">
      <c r="A9" s="151"/>
      <c r="B9" s="454" t="s">
        <v>436</v>
      </c>
      <c r="C9" s="455"/>
      <c r="D9" s="456" t="s">
        <v>437</v>
      </c>
      <c r="E9" s="457"/>
      <c r="F9" s="455"/>
      <c r="G9" s="168">
        <v>5</v>
      </c>
      <c r="H9" s="458" t="s">
        <v>438</v>
      </c>
      <c r="I9" s="459"/>
      <c r="J9" s="460"/>
      <c r="K9" s="153">
        <f>VLOOKUP("v",A44:B48,2,0)</f>
        <v>4</v>
      </c>
      <c r="L9" s="456"/>
      <c r="M9" s="457"/>
      <c r="N9" s="455"/>
      <c r="S9" s="344">
        <v>115130</v>
      </c>
      <c r="T9" s="341" t="str">
        <f>VLOOKUP($S:$S,RAW!$A:$R,$1:$1,0)</f>
        <v>단기차입금</v>
      </c>
      <c r="U9" s="342"/>
      <c r="V9" s="341">
        <f>VLOOKUP($S:$S,RAW!$A:$R,$1:$1,0)</f>
        <v>0</v>
      </c>
      <c r="W9" s="341">
        <f>VLOOKUP($S:$S,RAW!$A:$R,$1:$1,0)</f>
        <v>0</v>
      </c>
      <c r="X9" s="341">
        <f>VLOOKUP($S:$S,RAW!$A:$R,$1:$1,0)</f>
        <v>0</v>
      </c>
      <c r="Y9" s="341">
        <f>VLOOKUP($S:$S,RAW!$A:$R,$1:$1,0)</f>
        <v>0</v>
      </c>
      <c r="Z9" s="341">
        <f>VLOOKUP($S:$S,RAW!$A:$R,$1:$1,0)</f>
        <v>0</v>
      </c>
      <c r="AA9" s="342"/>
      <c r="AB9" s="341">
        <f>VLOOKUP($S:$S,RAW!$A:$R,$1:$1,0)</f>
        <v>0</v>
      </c>
      <c r="AC9" s="341">
        <f>VLOOKUP($S:$S,RAW!$A:$R,$1:$1,0)</f>
        <v>0</v>
      </c>
      <c r="AD9" s="341">
        <f>VLOOKUP($S:$S,RAW!$A:$R,$1:$1,0)</f>
        <v>0</v>
      </c>
      <c r="AE9" s="341">
        <f>VLOOKUP($S:$S,RAW!$A:$R,$1:$1,0)</f>
        <v>0</v>
      </c>
      <c r="AF9" s="341">
        <f>VLOOKUP($S:$S,RAW!$A:$R,$1:$1,0)</f>
        <v>0</v>
      </c>
      <c r="AG9" s="343"/>
    </row>
    <row r="10" spans="1:33" s="132" customFormat="1" ht="12.95" customHeight="1">
      <c r="A10" s="151"/>
      <c r="B10" s="431"/>
      <c r="C10" s="433"/>
      <c r="D10" s="431" t="s">
        <v>439</v>
      </c>
      <c r="E10" s="432"/>
      <c r="F10" s="433"/>
      <c r="G10" s="167">
        <v>5</v>
      </c>
      <c r="H10" s="428" t="s">
        <v>440</v>
      </c>
      <c r="I10" s="429"/>
      <c r="J10" s="430"/>
      <c r="K10" s="152">
        <f>VLOOKUP("v",H44:I48,2,0)</f>
        <v>4</v>
      </c>
      <c r="L10" s="431"/>
      <c r="M10" s="432"/>
      <c r="N10" s="433"/>
      <c r="S10" s="344">
        <v>115190</v>
      </c>
      <c r="T10" s="341" t="str">
        <f>VLOOKUP($S:$S,RAW!$A:$R,$1:$1,0)</f>
        <v>유동성장기부채</v>
      </c>
      <c r="U10" s="342"/>
      <c r="V10" s="341">
        <f>VLOOKUP($S:$S,RAW!$A:$R,$1:$1,0)</f>
        <v>0</v>
      </c>
      <c r="W10" s="341">
        <f>VLOOKUP($S:$S,RAW!$A:$R,$1:$1,0)</f>
        <v>0</v>
      </c>
      <c r="X10" s="341">
        <f>VLOOKUP($S:$S,RAW!$A:$R,$1:$1,0)</f>
        <v>0</v>
      </c>
      <c r="Y10" s="341">
        <f>VLOOKUP($S:$S,RAW!$A:$R,$1:$1,0)</f>
        <v>0</v>
      </c>
      <c r="Z10" s="341">
        <f>VLOOKUP($S:$S,RAW!$A:$R,$1:$1,0)</f>
        <v>0</v>
      </c>
      <c r="AA10" s="342"/>
      <c r="AB10" s="341">
        <f>VLOOKUP($S:$S,RAW!$A:$R,$1:$1,0)</f>
        <v>0</v>
      </c>
      <c r="AC10" s="341">
        <f>VLOOKUP($S:$S,RAW!$A:$R,$1:$1,0)</f>
        <v>0</v>
      </c>
      <c r="AD10" s="341">
        <f>VLOOKUP($S:$S,RAW!$A:$R,$1:$1,0)</f>
        <v>0</v>
      </c>
      <c r="AE10" s="341">
        <f>VLOOKUP($S:$S,RAW!$A:$R,$1:$1,0)</f>
        <v>0</v>
      </c>
      <c r="AF10" s="341">
        <f>VLOOKUP($S:$S,RAW!$A:$R,$1:$1,0)</f>
        <v>0</v>
      </c>
      <c r="AG10" s="343"/>
    </row>
    <row r="11" spans="1:33" s="132" customFormat="1" ht="12.95" customHeight="1">
      <c r="A11" s="151"/>
      <c r="B11" s="431"/>
      <c r="C11" s="433"/>
      <c r="D11" s="431" t="s">
        <v>441</v>
      </c>
      <c r="E11" s="432"/>
      <c r="F11" s="433"/>
      <c r="G11" s="167">
        <v>5</v>
      </c>
      <c r="H11" s="428" t="s">
        <v>442</v>
      </c>
      <c r="I11" s="429"/>
      <c r="J11" s="430"/>
      <c r="K11" s="152">
        <f>VLOOKUP("v",A51:B55,2,0)</f>
        <v>5</v>
      </c>
      <c r="L11" s="431"/>
      <c r="M11" s="432"/>
      <c r="N11" s="433"/>
      <c r="S11" s="344">
        <v>115400</v>
      </c>
      <c r="T11" s="341" t="str">
        <f>VLOOKUP($S:$S,RAW!$A:$R,$1:$1,0)</f>
        <v>단기사채(계)</v>
      </c>
      <c r="U11" s="342"/>
      <c r="V11" s="341">
        <f>VLOOKUP($S:$S,RAW!$A:$R,$1:$1,0)</f>
        <v>0</v>
      </c>
      <c r="W11" s="341">
        <f>VLOOKUP($S:$S,RAW!$A:$R,$1:$1,0)</f>
        <v>0</v>
      </c>
      <c r="X11" s="341">
        <f>VLOOKUP($S:$S,RAW!$A:$R,$1:$1,0)</f>
        <v>0</v>
      </c>
      <c r="Y11" s="341">
        <f>VLOOKUP($S:$S,RAW!$A:$R,$1:$1,0)</f>
        <v>0</v>
      </c>
      <c r="Z11" s="341">
        <f>VLOOKUP($S:$S,RAW!$A:$R,$1:$1,0)</f>
        <v>0</v>
      </c>
      <c r="AA11" s="342"/>
      <c r="AB11" s="341">
        <f>VLOOKUP($S:$S,RAW!$A:$R,$1:$1,0)</f>
        <v>0</v>
      </c>
      <c r="AC11" s="341">
        <f>VLOOKUP($S:$S,RAW!$A:$R,$1:$1,0)</f>
        <v>0</v>
      </c>
      <c r="AD11" s="341">
        <f>VLOOKUP($S:$S,RAW!$A:$R,$1:$1,0)</f>
        <v>0</v>
      </c>
      <c r="AE11" s="341">
        <f>VLOOKUP($S:$S,RAW!$A:$R,$1:$1,0)</f>
        <v>0</v>
      </c>
      <c r="AF11" s="341">
        <f>VLOOKUP($S:$S,RAW!$A:$R,$1:$1,0)</f>
        <v>0</v>
      </c>
      <c r="AG11" s="343"/>
    </row>
    <row r="12" spans="1:33" s="132" customFormat="1" ht="12.95" customHeight="1">
      <c r="A12" s="151"/>
      <c r="B12" s="431"/>
      <c r="C12" s="433"/>
      <c r="D12" s="431" t="s">
        <v>365</v>
      </c>
      <c r="E12" s="432"/>
      <c r="F12" s="433"/>
      <c r="G12" s="167">
        <v>5</v>
      </c>
      <c r="H12" s="428" t="s">
        <v>443</v>
      </c>
      <c r="I12" s="429"/>
      <c r="J12" s="430"/>
      <c r="K12" s="152" t="e">
        <f>VLOOKUP("v",H51:I55,2,0)</f>
        <v>#N/A</v>
      </c>
      <c r="L12" s="431"/>
      <c r="M12" s="432"/>
      <c r="N12" s="433"/>
      <c r="S12" s="344">
        <v>116200</v>
      </c>
      <c r="T12" s="341" t="str">
        <f>VLOOKUP($S:$S,RAW!$A:$R,$1:$1,0)</f>
        <v>장기차입금(계)</v>
      </c>
      <c r="U12" s="342"/>
      <c r="V12" s="341">
        <f>VLOOKUP($S:$S,RAW!$A:$R,$1:$1,0)</f>
        <v>0</v>
      </c>
      <c r="W12" s="341">
        <f>VLOOKUP($S:$S,RAW!$A:$R,$1:$1,0)</f>
        <v>0</v>
      </c>
      <c r="X12" s="341">
        <f>VLOOKUP($S:$S,RAW!$A:$R,$1:$1,0)</f>
        <v>0</v>
      </c>
      <c r="Y12" s="341">
        <f>VLOOKUP($S:$S,RAW!$A:$R,$1:$1,0)</f>
        <v>0</v>
      </c>
      <c r="Z12" s="341">
        <f>VLOOKUP($S:$S,RAW!$A:$R,$1:$1,0)</f>
        <v>0</v>
      </c>
      <c r="AA12" s="342"/>
      <c r="AB12" s="341">
        <f>VLOOKUP($S:$S,RAW!$A:$R,$1:$1,0)</f>
        <v>0</v>
      </c>
      <c r="AC12" s="341">
        <f>VLOOKUP($S:$S,RAW!$A:$R,$1:$1,0)</f>
        <v>0</v>
      </c>
      <c r="AD12" s="341">
        <f>VLOOKUP($S:$S,RAW!$A:$R,$1:$1,0)</f>
        <v>0</v>
      </c>
      <c r="AE12" s="341">
        <f>VLOOKUP($S:$S,RAW!$A:$R,$1:$1,0)</f>
        <v>0</v>
      </c>
      <c r="AF12" s="341">
        <f>VLOOKUP($S:$S,RAW!$A:$R,$1:$1,0)</f>
        <v>0</v>
      </c>
      <c r="AG12" s="343"/>
    </row>
    <row r="13" spans="1:33" s="132" customFormat="1" ht="12.95" customHeight="1">
      <c r="A13" s="151"/>
      <c r="B13" s="431"/>
      <c r="C13" s="433"/>
      <c r="D13" s="431" t="s">
        <v>366</v>
      </c>
      <c r="E13" s="432"/>
      <c r="F13" s="433"/>
      <c r="G13" s="167">
        <v>5</v>
      </c>
      <c r="H13" s="428" t="s">
        <v>444</v>
      </c>
      <c r="I13" s="429"/>
      <c r="J13" s="430"/>
      <c r="K13" s="152" t="e">
        <f>VLOOKUP("v",A58:B62,2,0)</f>
        <v>#N/A</v>
      </c>
      <c r="L13" s="431"/>
      <c r="M13" s="432"/>
      <c r="N13" s="433"/>
      <c r="S13" s="344">
        <v>116050</v>
      </c>
      <c r="T13" s="341" t="str">
        <f>VLOOKUP($S:$S,RAW!$A:$R,$1:$1,0)</f>
        <v>장기사채(계)</v>
      </c>
      <c r="U13" s="342"/>
      <c r="V13" s="341">
        <f>VLOOKUP($S:$S,RAW!$A:$R,$1:$1,0)</f>
        <v>0</v>
      </c>
      <c r="W13" s="341">
        <f>VLOOKUP($S:$S,RAW!$A:$R,$1:$1,0)</f>
        <v>0</v>
      </c>
      <c r="X13" s="341">
        <f>VLOOKUP($S:$S,RAW!$A:$R,$1:$1,0)</f>
        <v>0</v>
      </c>
      <c r="Y13" s="341">
        <f>VLOOKUP($S:$S,RAW!$A:$R,$1:$1,0)</f>
        <v>0</v>
      </c>
      <c r="Z13" s="341">
        <f>VLOOKUP($S:$S,RAW!$A:$R,$1:$1,0)</f>
        <v>0</v>
      </c>
      <c r="AA13" s="342"/>
      <c r="AB13" s="341">
        <f>VLOOKUP($S:$S,RAW!$A:$R,$1:$1,0)</f>
        <v>0</v>
      </c>
      <c r="AC13" s="341">
        <f>VLOOKUP($S:$S,RAW!$A:$R,$1:$1,0)</f>
        <v>0</v>
      </c>
      <c r="AD13" s="341">
        <f>VLOOKUP($S:$S,RAW!$A:$R,$1:$1,0)</f>
        <v>0</v>
      </c>
      <c r="AE13" s="341">
        <f>VLOOKUP($S:$S,RAW!$A:$R,$1:$1,0)</f>
        <v>0</v>
      </c>
      <c r="AF13" s="341">
        <f>VLOOKUP($S:$S,RAW!$A:$R,$1:$1,0)</f>
        <v>0</v>
      </c>
      <c r="AG13" s="343"/>
    </row>
    <row r="14" spans="1:33" s="132" customFormat="1" ht="12.95" customHeight="1">
      <c r="A14" s="151"/>
      <c r="B14" s="437"/>
      <c r="C14" s="439"/>
      <c r="D14" s="437" t="s">
        <v>445</v>
      </c>
      <c r="E14" s="438"/>
      <c r="F14" s="439"/>
      <c r="G14" s="169">
        <v>5</v>
      </c>
      <c r="H14" s="461" t="s">
        <v>446</v>
      </c>
      <c r="I14" s="462"/>
      <c r="J14" s="463"/>
      <c r="K14" s="154">
        <f>VLOOKUP("v",H58:I62,2,0)</f>
        <v>5</v>
      </c>
      <c r="L14" s="431"/>
      <c r="M14" s="432"/>
      <c r="N14" s="433"/>
      <c r="S14" s="344">
        <v>116260</v>
      </c>
      <c r="T14" s="341" t="str">
        <f>VLOOKUP($S:$S,RAW!$A:$R,$1:$1,0)</f>
        <v>금융리스부채</v>
      </c>
      <c r="U14" s="342"/>
      <c r="V14" s="341">
        <f>VLOOKUP($S:$S,RAW!$A:$R,$1:$1,0)</f>
        <v>0</v>
      </c>
      <c r="W14" s="341">
        <f>VLOOKUP($S:$S,RAW!$A:$R,$1:$1,0)</f>
        <v>0</v>
      </c>
      <c r="X14" s="341">
        <f>VLOOKUP($S:$S,RAW!$A:$R,$1:$1,0)</f>
        <v>0</v>
      </c>
      <c r="Y14" s="341">
        <f>VLOOKUP($S:$S,RAW!$A:$R,$1:$1,0)</f>
        <v>0</v>
      </c>
      <c r="Z14" s="341">
        <f>VLOOKUP($S:$S,RAW!$A:$R,$1:$1,0)</f>
        <v>0</v>
      </c>
      <c r="AA14" s="342"/>
      <c r="AB14" s="341">
        <f>VLOOKUP($S:$S,RAW!$A:$R,$1:$1,0)</f>
        <v>0</v>
      </c>
      <c r="AC14" s="341">
        <f>VLOOKUP($S:$S,RAW!$A:$R,$1:$1,0)</f>
        <v>0</v>
      </c>
      <c r="AD14" s="341">
        <f>VLOOKUP($S:$S,RAW!$A:$R,$1:$1,0)</f>
        <v>0</v>
      </c>
      <c r="AE14" s="341">
        <f>VLOOKUP($S:$S,RAW!$A:$R,$1:$1,0)</f>
        <v>0</v>
      </c>
      <c r="AF14" s="341">
        <f>VLOOKUP($S:$S,RAW!$A:$R,$1:$1,0)</f>
        <v>0</v>
      </c>
      <c r="AG14" s="343"/>
    </row>
    <row r="15" spans="1:33" s="132" customFormat="1" ht="12.95" customHeight="1">
      <c r="A15" s="151"/>
      <c r="B15" s="454" t="s">
        <v>500</v>
      </c>
      <c r="C15" s="455"/>
      <c r="D15" s="431" t="s">
        <v>384</v>
      </c>
      <c r="E15" s="432"/>
      <c r="F15" s="433"/>
      <c r="G15" s="167">
        <v>5</v>
      </c>
      <c r="H15" s="428" t="s">
        <v>447</v>
      </c>
      <c r="I15" s="429"/>
      <c r="J15" s="430"/>
      <c r="K15" s="152" t="e">
        <f>VLOOKUP("v",A67:B71,2,0)</f>
        <v>#N/A</v>
      </c>
      <c r="L15" s="456"/>
      <c r="M15" s="457"/>
      <c r="N15" s="455"/>
      <c r="S15" s="344">
        <v>114000</v>
      </c>
      <c r="T15" s="341" t="str">
        <f>VLOOKUP($S:$S,RAW!$A:$R,$1:$1,0)</f>
        <v>비유동자산(계)</v>
      </c>
      <c r="U15" s="342"/>
      <c r="V15" s="341">
        <f>VLOOKUP($S:$S,RAW!$A:$R,$1:$1,0)</f>
        <v>0</v>
      </c>
      <c r="W15" s="341">
        <f>VLOOKUP($S:$S,RAW!$A:$R,$1:$1,0)</f>
        <v>0</v>
      </c>
      <c r="X15" s="341">
        <f>VLOOKUP($S:$S,RAW!$A:$R,$1:$1,0)</f>
        <v>0</v>
      </c>
      <c r="Y15" s="341">
        <f>VLOOKUP($S:$S,RAW!$A:$R,$1:$1,0)</f>
        <v>0</v>
      </c>
      <c r="Z15" s="341">
        <f>VLOOKUP($S:$S,RAW!$A:$R,$1:$1,0)</f>
        <v>0</v>
      </c>
      <c r="AA15" s="342"/>
      <c r="AB15" s="341">
        <f>VLOOKUP($S:$S,RAW!$A:$R,$1:$1,0)</f>
        <v>0</v>
      </c>
      <c r="AC15" s="341">
        <f>VLOOKUP($S:$S,RAW!$A:$R,$1:$1,0)</f>
        <v>0</v>
      </c>
      <c r="AD15" s="341">
        <f>VLOOKUP($S:$S,RAW!$A:$R,$1:$1,0)</f>
        <v>0</v>
      </c>
      <c r="AE15" s="341">
        <f>VLOOKUP($S:$S,RAW!$A:$R,$1:$1,0)</f>
        <v>0</v>
      </c>
      <c r="AF15" s="341">
        <f>VLOOKUP($S:$S,RAW!$A:$R,$1:$1,0)</f>
        <v>0</v>
      </c>
      <c r="AG15" s="343"/>
    </row>
    <row r="16" spans="1:33" s="132" customFormat="1" ht="12.95" customHeight="1">
      <c r="A16" s="151"/>
      <c r="B16" s="431"/>
      <c r="C16" s="433"/>
      <c r="D16" s="431" t="s">
        <v>385</v>
      </c>
      <c r="E16" s="432"/>
      <c r="F16" s="433"/>
      <c r="G16" s="167">
        <v>5</v>
      </c>
      <c r="H16" s="428" t="s">
        <v>448</v>
      </c>
      <c r="I16" s="429"/>
      <c r="J16" s="430"/>
      <c r="K16" s="152" t="e">
        <f>VLOOKUP("v",H67:I71,2,0)</f>
        <v>#N/A</v>
      </c>
      <c r="L16" s="431"/>
      <c r="M16" s="432"/>
      <c r="N16" s="433"/>
      <c r="S16" s="344">
        <v>115000</v>
      </c>
      <c r="T16" s="341" t="str">
        <f>VLOOKUP($S:$S,RAW!$A:$R,$1:$1,0)</f>
        <v>자산총계</v>
      </c>
      <c r="U16" s="342"/>
      <c r="V16" s="341">
        <f>VLOOKUP($S:$S,RAW!$A:$R,$1:$1,0)</f>
        <v>0</v>
      </c>
      <c r="W16" s="341">
        <f>VLOOKUP($S:$S,RAW!$A:$R,$1:$1,0)</f>
        <v>0</v>
      </c>
      <c r="X16" s="341">
        <f>VLOOKUP($S:$S,RAW!$A:$R,$1:$1,0)</f>
        <v>0</v>
      </c>
      <c r="Y16" s="341">
        <f>VLOOKUP($S:$S,RAW!$A:$R,$1:$1,0)</f>
        <v>0</v>
      </c>
      <c r="Z16" s="341">
        <f>VLOOKUP($S:$S,RAW!$A:$R,$1:$1,0)</f>
        <v>0</v>
      </c>
      <c r="AA16" s="342"/>
      <c r="AB16" s="341">
        <f>VLOOKUP($S:$S,RAW!$A:$R,$1:$1,0)</f>
        <v>0</v>
      </c>
      <c r="AC16" s="341">
        <f>VLOOKUP($S:$S,RAW!$A:$R,$1:$1,0)</f>
        <v>0</v>
      </c>
      <c r="AD16" s="341">
        <f>VLOOKUP($S:$S,RAW!$A:$R,$1:$1,0)</f>
        <v>0</v>
      </c>
      <c r="AE16" s="341">
        <f>VLOOKUP($S:$S,RAW!$A:$R,$1:$1,0)</f>
        <v>0</v>
      </c>
      <c r="AF16" s="341">
        <f>VLOOKUP($S:$S,RAW!$A:$R,$1:$1,0)</f>
        <v>0</v>
      </c>
      <c r="AG16" s="343"/>
    </row>
    <row r="17" spans="1:33" s="132" customFormat="1" ht="12.95" customHeight="1">
      <c r="A17" s="151"/>
      <c r="B17" s="431"/>
      <c r="C17" s="433"/>
      <c r="D17" s="431" t="s">
        <v>449</v>
      </c>
      <c r="E17" s="432"/>
      <c r="F17" s="433"/>
      <c r="G17" s="167">
        <v>5</v>
      </c>
      <c r="H17" s="428" t="s">
        <v>450</v>
      </c>
      <c r="I17" s="429"/>
      <c r="J17" s="430"/>
      <c r="K17" s="152" t="e">
        <f>VLOOKUP("v",A74:B78,2,0)</f>
        <v>#N/A</v>
      </c>
      <c r="L17" s="431"/>
      <c r="M17" s="432"/>
      <c r="N17" s="433"/>
      <c r="S17" s="344">
        <v>118000</v>
      </c>
      <c r="T17" s="341" t="str">
        <f>VLOOKUP($S:$S,RAW!$A:$R,$1:$1,0)</f>
        <v>부채총계</v>
      </c>
      <c r="U17" s="342"/>
      <c r="V17" s="341">
        <f>VLOOKUP($S:$S,RAW!$A:$R,$1:$1,0)</f>
        <v>0</v>
      </c>
      <c r="W17" s="341">
        <f>VLOOKUP($S:$S,RAW!$A:$R,$1:$1,0)</f>
        <v>0</v>
      </c>
      <c r="X17" s="341">
        <f>VLOOKUP($S:$S,RAW!$A:$R,$1:$1,0)</f>
        <v>0</v>
      </c>
      <c r="Y17" s="341">
        <f>VLOOKUP($S:$S,RAW!$A:$R,$1:$1,0)</f>
        <v>0</v>
      </c>
      <c r="Z17" s="341">
        <f>VLOOKUP($S:$S,RAW!$A:$R,$1:$1,0)</f>
        <v>0</v>
      </c>
      <c r="AA17" s="342"/>
      <c r="AB17" s="341">
        <f>VLOOKUP($S:$S,RAW!$A:$R,$1:$1,0)</f>
        <v>0</v>
      </c>
      <c r="AC17" s="341">
        <f>VLOOKUP($S:$S,RAW!$A:$R,$1:$1,0)</f>
        <v>0</v>
      </c>
      <c r="AD17" s="341">
        <f>VLOOKUP($S:$S,RAW!$A:$R,$1:$1,0)</f>
        <v>0</v>
      </c>
      <c r="AE17" s="341">
        <f>VLOOKUP($S:$S,RAW!$A:$R,$1:$1,0)</f>
        <v>0</v>
      </c>
      <c r="AF17" s="341">
        <f>VLOOKUP($S:$S,RAW!$A:$R,$1:$1,0)</f>
        <v>0</v>
      </c>
      <c r="AG17" s="343"/>
    </row>
    <row r="18" spans="1:33" s="132" customFormat="1" ht="12.95" customHeight="1">
      <c r="A18" s="151"/>
      <c r="B18" s="437"/>
      <c r="C18" s="439"/>
      <c r="D18" s="431" t="s">
        <v>451</v>
      </c>
      <c r="E18" s="432"/>
      <c r="F18" s="433"/>
      <c r="G18" s="167">
        <v>5</v>
      </c>
      <c r="H18" s="428" t="s">
        <v>452</v>
      </c>
      <c r="I18" s="429"/>
      <c r="J18" s="430"/>
      <c r="K18" s="152" t="e">
        <f>VLOOKUP("v",H74:I78,2,0)</f>
        <v>#N/A</v>
      </c>
      <c r="L18" s="437"/>
      <c r="M18" s="438"/>
      <c r="N18" s="439"/>
      <c r="S18" s="344">
        <v>117000</v>
      </c>
      <c r="T18" s="341" t="str">
        <f>VLOOKUP($S:$S,RAW!$A:$R,$1:$1,0)</f>
        <v>비유동부채(계)</v>
      </c>
      <c r="U18" s="342"/>
      <c r="V18" s="341">
        <f>VLOOKUP($S:$S,RAW!$A:$R,$1:$1,0)</f>
        <v>0</v>
      </c>
      <c r="W18" s="341">
        <f>VLOOKUP($S:$S,RAW!$A:$R,$1:$1,0)</f>
        <v>0</v>
      </c>
      <c r="X18" s="341">
        <f>VLOOKUP($S:$S,RAW!$A:$R,$1:$1,0)</f>
        <v>0</v>
      </c>
      <c r="Y18" s="341">
        <f>VLOOKUP($S:$S,RAW!$A:$R,$1:$1,0)</f>
        <v>0</v>
      </c>
      <c r="Z18" s="341">
        <f>VLOOKUP($S:$S,RAW!$A:$R,$1:$1,0)</f>
        <v>0</v>
      </c>
      <c r="AA18" s="342"/>
      <c r="AB18" s="341">
        <f>VLOOKUP($S:$S,RAW!$A:$R,$1:$1,0)</f>
        <v>0</v>
      </c>
      <c r="AC18" s="341">
        <f>VLOOKUP($S:$S,RAW!$A:$R,$1:$1,0)</f>
        <v>0</v>
      </c>
      <c r="AD18" s="341">
        <f>VLOOKUP($S:$S,RAW!$A:$R,$1:$1,0)</f>
        <v>0</v>
      </c>
      <c r="AE18" s="341">
        <f>VLOOKUP($S:$S,RAW!$A:$R,$1:$1,0)</f>
        <v>0</v>
      </c>
      <c r="AF18" s="341">
        <f>VLOOKUP($S:$S,RAW!$A:$R,$1:$1,0)</f>
        <v>0</v>
      </c>
      <c r="AG18" s="343"/>
    </row>
    <row r="19" spans="1:33" s="132" customFormat="1" ht="12.95" customHeight="1">
      <c r="A19" s="151"/>
      <c r="B19" s="464" t="s">
        <v>453</v>
      </c>
      <c r="C19" s="450"/>
      <c r="D19" s="464" t="s">
        <v>454</v>
      </c>
      <c r="E19" s="449"/>
      <c r="F19" s="450"/>
      <c r="G19" s="166">
        <v>10</v>
      </c>
      <c r="H19" s="465" t="s">
        <v>455</v>
      </c>
      <c r="I19" s="451"/>
      <c r="J19" s="452"/>
      <c r="K19" s="155">
        <f>VLOOKUP("v",A83:B87,2,0)</f>
        <v>1</v>
      </c>
      <c r="L19" s="464"/>
      <c r="M19" s="449"/>
      <c r="N19" s="450"/>
      <c r="S19" s="344">
        <v>116000</v>
      </c>
      <c r="T19" s="341" t="str">
        <f>VLOOKUP($S:$S,RAW!$A:$R,$1:$1,0)</f>
        <v>유동부채(계)</v>
      </c>
      <c r="U19" s="342"/>
      <c r="V19" s="341">
        <f>VLOOKUP($S:$S,RAW!$A:$R,$1:$1,0)</f>
        <v>0</v>
      </c>
      <c r="W19" s="341">
        <f>VLOOKUP($S:$S,RAW!$A:$R,$1:$1,0)</f>
        <v>0</v>
      </c>
      <c r="X19" s="341">
        <f>VLOOKUP($S:$S,RAW!$A:$R,$1:$1,0)</f>
        <v>0</v>
      </c>
      <c r="Y19" s="341">
        <f>VLOOKUP($S:$S,RAW!$A:$R,$1:$1,0)</f>
        <v>0</v>
      </c>
      <c r="Z19" s="341">
        <f>VLOOKUP($S:$S,RAW!$A:$R,$1:$1,0)</f>
        <v>0</v>
      </c>
      <c r="AA19" s="342"/>
      <c r="AB19" s="341">
        <f>VLOOKUP($S:$S,RAW!$A:$R,$1:$1,0)</f>
        <v>0</v>
      </c>
      <c r="AC19" s="341">
        <f>VLOOKUP($S:$S,RAW!$A:$R,$1:$1,0)</f>
        <v>0</v>
      </c>
      <c r="AD19" s="341">
        <f>VLOOKUP($S:$S,RAW!$A:$R,$1:$1,0)</f>
        <v>0</v>
      </c>
      <c r="AE19" s="341">
        <f>VLOOKUP($S:$S,RAW!$A:$R,$1:$1,0)</f>
        <v>0</v>
      </c>
      <c r="AF19" s="341">
        <f>VLOOKUP($S:$S,RAW!$A:$R,$1:$1,0)</f>
        <v>0</v>
      </c>
      <c r="AG19" s="343"/>
    </row>
    <row r="20" spans="1:33" s="132" customFormat="1" ht="12.95" customHeight="1">
      <c r="A20" s="151"/>
      <c r="B20" s="456" t="s">
        <v>456</v>
      </c>
      <c r="C20" s="455"/>
      <c r="D20" s="431" t="s">
        <v>457</v>
      </c>
      <c r="E20" s="432"/>
      <c r="F20" s="433"/>
      <c r="G20" s="167">
        <v>8</v>
      </c>
      <c r="H20" s="428" t="s">
        <v>458</v>
      </c>
      <c r="I20" s="429"/>
      <c r="J20" s="430"/>
      <c r="K20" s="152">
        <f>VLOOKUP("v",H92:I96,2,0)</f>
        <v>1</v>
      </c>
      <c r="L20" s="456"/>
      <c r="M20" s="457"/>
      <c r="N20" s="455"/>
      <c r="S20" s="344">
        <v>118900</v>
      </c>
      <c r="T20" s="341" t="str">
        <f>VLOOKUP($S:$S,RAW!$A:$R,$1:$1,0)</f>
        <v>자본총계</v>
      </c>
      <c r="U20" s="342"/>
      <c r="V20" s="341">
        <f>VLOOKUP($S:$S,RAW!$A:$R,$1:$1,0)</f>
        <v>0</v>
      </c>
      <c r="W20" s="341">
        <f>VLOOKUP($S:$S,RAW!$A:$R,$1:$1,0)</f>
        <v>0</v>
      </c>
      <c r="X20" s="341">
        <f>VLOOKUP($S:$S,RAW!$A:$R,$1:$1,0)</f>
        <v>0</v>
      </c>
      <c r="Y20" s="341">
        <f>VLOOKUP($S:$S,RAW!$A:$R,$1:$1,0)</f>
        <v>0</v>
      </c>
      <c r="Z20" s="341">
        <f>VLOOKUP($S:$S,RAW!$A:$R,$1:$1,0)</f>
        <v>0</v>
      </c>
      <c r="AA20" s="342"/>
      <c r="AB20" s="341">
        <f>VLOOKUP($S:$S,RAW!$A:$R,$1:$1,0)</f>
        <v>0</v>
      </c>
      <c r="AC20" s="341">
        <f>VLOOKUP($S:$S,RAW!$A:$R,$1:$1,0)</f>
        <v>0</v>
      </c>
      <c r="AD20" s="341">
        <f>VLOOKUP($S:$S,RAW!$A:$R,$1:$1,0)</f>
        <v>0</v>
      </c>
      <c r="AE20" s="341">
        <f>VLOOKUP($S:$S,RAW!$A:$R,$1:$1,0)</f>
        <v>0</v>
      </c>
      <c r="AF20" s="341">
        <f>VLOOKUP($S:$S,RAW!$A:$R,$1:$1,0)</f>
        <v>0</v>
      </c>
      <c r="AG20" s="343"/>
    </row>
    <row r="21" spans="1:33" s="132" customFormat="1" ht="12.95" customHeight="1" thickBot="1">
      <c r="A21" s="151"/>
      <c r="B21" s="437"/>
      <c r="C21" s="439"/>
      <c r="D21" s="431" t="s">
        <v>20</v>
      </c>
      <c r="E21" s="432"/>
      <c r="F21" s="433"/>
      <c r="G21" s="167">
        <v>7</v>
      </c>
      <c r="H21" s="428"/>
      <c r="I21" s="429"/>
      <c r="J21" s="430"/>
      <c r="K21" s="152">
        <f>VLOOKUP("v",A92:B96,2,0)</f>
        <v>1</v>
      </c>
      <c r="L21" s="437"/>
      <c r="M21" s="438"/>
      <c r="N21" s="439"/>
      <c r="S21" s="344">
        <v>111150</v>
      </c>
      <c r="T21" s="341" t="str">
        <f>VLOOKUP($S:$S,RAW!$A:$R,$1:$1,0)</f>
        <v>매출채권</v>
      </c>
      <c r="U21" s="342"/>
      <c r="V21" s="341">
        <f>VLOOKUP($S:$S,RAW!$A:$R,$1:$1,0)</f>
        <v>0</v>
      </c>
      <c r="W21" s="341">
        <f>VLOOKUP($S:$S,RAW!$A:$R,$1:$1,0)</f>
        <v>0</v>
      </c>
      <c r="X21" s="341">
        <f>VLOOKUP($S:$S,RAW!$A:$R,$1:$1,0)</f>
        <v>0</v>
      </c>
      <c r="Y21" s="341">
        <f>VLOOKUP($S:$S,RAW!$A:$R,$1:$1,0)</f>
        <v>0</v>
      </c>
      <c r="Z21" s="341">
        <f>VLOOKUP($S:$S,RAW!$A:$R,$1:$1,0)</f>
        <v>0</v>
      </c>
      <c r="AA21" s="342"/>
      <c r="AB21" s="341">
        <f>VLOOKUP($S:$S,RAW!$A:$R,$1:$1,0)</f>
        <v>0</v>
      </c>
      <c r="AC21" s="341">
        <f>VLOOKUP($S:$S,RAW!$A:$R,$1:$1,0)</f>
        <v>0</v>
      </c>
      <c r="AD21" s="341">
        <f>VLOOKUP($S:$S,RAW!$A:$R,$1:$1,0)</f>
        <v>0</v>
      </c>
      <c r="AE21" s="341">
        <f>VLOOKUP($S:$S,RAW!$A:$R,$1:$1,0)</f>
        <v>0</v>
      </c>
      <c r="AF21" s="341">
        <f>VLOOKUP($S:$S,RAW!$A:$R,$1:$1,0)</f>
        <v>0</v>
      </c>
      <c r="AG21" s="343"/>
    </row>
    <row r="22" spans="1:33" s="132" customFormat="1" ht="12.95" customHeight="1" thickTop="1" thickBot="1">
      <c r="A22" s="151"/>
      <c r="B22" s="464" t="s">
        <v>23</v>
      </c>
      <c r="C22" s="450"/>
      <c r="D22" s="464"/>
      <c r="E22" s="449"/>
      <c r="F22" s="450"/>
      <c r="G22" s="166">
        <f>SUM(G5:G21)</f>
        <v>100</v>
      </c>
      <c r="H22" s="465"/>
      <c r="I22" s="451"/>
      <c r="J22" s="451"/>
      <c r="K22" s="156" t="e">
        <f>SUM(K5:K21)</f>
        <v>#N/A</v>
      </c>
      <c r="L22" s="438"/>
      <c r="M22" s="438"/>
      <c r="N22" s="439"/>
      <c r="S22" s="344">
        <v>118100</v>
      </c>
      <c r="T22" s="341" t="str">
        <f>VLOOKUP($S:$S,RAW!$A:$R,$1:$1,0)</f>
        <v>자본금</v>
      </c>
      <c r="U22" s="342"/>
      <c r="V22" s="341">
        <f>VLOOKUP($S:$S,RAW!$A:$R,$1:$1,0)</f>
        <v>0</v>
      </c>
      <c r="W22" s="341">
        <f>VLOOKUP($S:$S,RAW!$A:$R,$1:$1,0)</f>
        <v>0</v>
      </c>
      <c r="X22" s="341">
        <f>VLOOKUP($S:$S,RAW!$A:$R,$1:$1,0)</f>
        <v>0</v>
      </c>
      <c r="Y22" s="341">
        <f>VLOOKUP($S:$S,RAW!$A:$R,$1:$1,0)</f>
        <v>0</v>
      </c>
      <c r="Z22" s="341">
        <f>VLOOKUP($S:$S,RAW!$A:$R,$1:$1,0)</f>
        <v>0</v>
      </c>
      <c r="AA22" s="342"/>
      <c r="AB22" s="341">
        <f>VLOOKUP($S:$S,RAW!$A:$R,$1:$1,0)</f>
        <v>0</v>
      </c>
      <c r="AC22" s="341">
        <f>VLOOKUP($S:$S,RAW!$A:$R,$1:$1,0)</f>
        <v>0</v>
      </c>
      <c r="AD22" s="341">
        <f>VLOOKUP($S:$S,RAW!$A:$R,$1:$1,0)</f>
        <v>0</v>
      </c>
      <c r="AE22" s="341">
        <f>VLOOKUP($S:$S,RAW!$A:$R,$1:$1,0)</f>
        <v>0</v>
      </c>
      <c r="AF22" s="341">
        <f>VLOOKUP($S:$S,RAW!$A:$R,$1:$1,0)</f>
        <v>0</v>
      </c>
      <c r="AG22" s="343"/>
    </row>
    <row r="23" spans="1:33" s="132" customFormat="1" ht="12.95" customHeight="1" thickTop="1">
      <c r="A23" s="151"/>
      <c r="B23" s="157"/>
      <c r="C23" s="157"/>
      <c r="D23" s="157"/>
      <c r="E23" s="157"/>
      <c r="F23" s="157"/>
      <c r="G23" s="4" t="s">
        <v>552</v>
      </c>
      <c r="H23" s="4">
        <v>1</v>
      </c>
      <c r="I23" s="151">
        <v>7</v>
      </c>
      <c r="J23" s="151">
        <f>M24</f>
        <v>1</v>
      </c>
      <c r="K23" s="159"/>
      <c r="L23" s="159"/>
      <c r="M23" s="157"/>
      <c r="N23" s="159"/>
      <c r="S23" s="344">
        <v>118211</v>
      </c>
      <c r="T23" s="341" t="str">
        <f>VLOOKUP($S:$S,RAW!$A:$R,$1:$1,0)</f>
        <v>주식발행초과금</v>
      </c>
      <c r="U23" s="342"/>
      <c r="V23" s="341">
        <f>VLOOKUP($S:$S,RAW!$A:$R,$1:$1,0)</f>
        <v>0</v>
      </c>
      <c r="W23" s="341">
        <f>VLOOKUP($S:$S,RAW!$A:$R,$1:$1,0)</f>
        <v>0</v>
      </c>
      <c r="X23" s="341">
        <f>VLOOKUP($S:$S,RAW!$A:$R,$1:$1,0)</f>
        <v>0</v>
      </c>
      <c r="Y23" s="341">
        <f>VLOOKUP($S:$S,RAW!$A:$R,$1:$1,0)</f>
        <v>0</v>
      </c>
      <c r="Z23" s="341">
        <f>VLOOKUP($S:$S,RAW!$A:$R,$1:$1,0)</f>
        <v>0</v>
      </c>
      <c r="AA23" s="342"/>
      <c r="AB23" s="341">
        <f>VLOOKUP($S:$S,RAW!$A:$R,$1:$1,0)</f>
        <v>0</v>
      </c>
      <c r="AC23" s="341">
        <f>VLOOKUP($S:$S,RAW!$A:$R,$1:$1,0)</f>
        <v>0</v>
      </c>
      <c r="AD23" s="341">
        <f>VLOOKUP($S:$S,RAW!$A:$R,$1:$1,0)</f>
        <v>0</v>
      </c>
      <c r="AE23" s="341">
        <f>VLOOKUP($S:$S,RAW!$A:$R,$1:$1,0)</f>
        <v>0</v>
      </c>
      <c r="AF23" s="341">
        <f>VLOOKUP($S:$S,RAW!$A:$R,$1:$1,0)</f>
        <v>0</v>
      </c>
      <c r="AG23" s="343"/>
    </row>
    <row r="24" spans="1:33" s="132" customFormat="1" ht="12.95" customHeight="1">
      <c r="A24" s="151"/>
      <c r="B24" s="157"/>
      <c r="C24" s="157"/>
      <c r="D24" s="157"/>
      <c r="E24" s="157"/>
      <c r="F24" s="157"/>
      <c r="G24" s="4" t="s">
        <v>553</v>
      </c>
      <c r="H24" s="4">
        <v>2</v>
      </c>
      <c r="I24" s="151">
        <v>13</v>
      </c>
      <c r="J24" s="151">
        <f>VLOOKUP($J$23,$H$23:$I$24,2,0)</f>
        <v>7</v>
      </c>
      <c r="K24" s="159"/>
      <c r="L24" s="159"/>
      <c r="M24" s="157">
        <v>1</v>
      </c>
      <c r="N24" s="159"/>
      <c r="S24" s="344">
        <v>161000</v>
      </c>
      <c r="T24" s="341" t="str">
        <f>VLOOKUP($S:$S,RAW!$A:$R,$1:$1,0)</f>
        <v>영업활동으로인한현금흐름</v>
      </c>
      <c r="U24" s="342"/>
      <c r="V24" s="341">
        <f>VLOOKUP($S:$S,RAW!$A:$R,$1:$1,0)</f>
        <v>0</v>
      </c>
      <c r="W24" s="341">
        <f>VLOOKUP($S:$S,RAW!$A:$R,$1:$1,0)</f>
        <v>0</v>
      </c>
      <c r="X24" s="341">
        <f>VLOOKUP($S:$S,RAW!$A:$R,$1:$1,0)</f>
        <v>0</v>
      </c>
      <c r="Y24" s="341">
        <f>VLOOKUP($S:$S,RAW!$A:$R,$1:$1,0)</f>
        <v>0</v>
      </c>
      <c r="Z24" s="341">
        <f>VLOOKUP($S:$S,RAW!$A:$R,$1:$1,0)</f>
        <v>0</v>
      </c>
      <c r="AA24" s="342"/>
      <c r="AB24" s="341">
        <f>VLOOKUP($S:$S,RAW!$A:$R,$1:$1,0)</f>
        <v>0</v>
      </c>
      <c r="AC24" s="341">
        <f>VLOOKUP($S:$S,RAW!$A:$R,$1:$1,0)</f>
        <v>0</v>
      </c>
      <c r="AD24" s="341">
        <f>VLOOKUP($S:$S,RAW!$A:$R,$1:$1,0)</f>
        <v>0</v>
      </c>
      <c r="AE24" s="341">
        <f>VLOOKUP($S:$S,RAW!$A:$R,$1:$1,0)</f>
        <v>0</v>
      </c>
      <c r="AF24" s="341">
        <f>VLOOKUP($S:$S,RAW!$A:$R,$1:$1,0)</f>
        <v>0</v>
      </c>
      <c r="AG24" s="343" t="e">
        <f>AF24*12/AG$1</f>
        <v>#DIV/0!</v>
      </c>
    </row>
    <row r="25" spans="1:33" ht="12.95" customHeight="1" thickBot="1">
      <c r="B25" s="469" t="s">
        <v>554</v>
      </c>
      <c r="C25" s="470"/>
      <c r="D25" s="470"/>
      <c r="E25" s="470"/>
      <c r="F25" s="470"/>
      <c r="G25" s="470"/>
      <c r="H25" s="470"/>
      <c r="I25" s="470"/>
      <c r="J25" s="470"/>
      <c r="K25" s="470"/>
      <c r="L25" s="470"/>
      <c r="M25" s="470"/>
      <c r="N25" s="470"/>
      <c r="U25" s="334"/>
      <c r="AA25" s="334"/>
    </row>
    <row r="26" spans="1:33" ht="12.95" customHeight="1" thickTop="1">
      <c r="B26" s="160"/>
      <c r="C26" s="133"/>
      <c r="D26" s="133"/>
      <c r="E26" s="133"/>
      <c r="F26" s="133"/>
      <c r="G26" s="133"/>
      <c r="H26" s="161"/>
      <c r="I26" s="133"/>
      <c r="J26" s="133"/>
      <c r="K26" s="133"/>
      <c r="L26" s="133"/>
      <c r="M26" s="133"/>
      <c r="N26" s="133"/>
      <c r="Q26" s="4">
        <f>J24</f>
        <v>7</v>
      </c>
      <c r="R26" s="4"/>
      <c r="U26" s="334"/>
      <c r="V26" s="335">
        <v>3</v>
      </c>
      <c r="W26" s="335">
        <v>4</v>
      </c>
      <c r="X26" s="335">
        <v>5</v>
      </c>
      <c r="Y26" s="335">
        <v>6</v>
      </c>
      <c r="Z26" s="335">
        <v>7</v>
      </c>
      <c r="AA26" s="335"/>
      <c r="AB26" s="335">
        <v>9</v>
      </c>
      <c r="AC26" s="335">
        <v>10</v>
      </c>
      <c r="AD26" s="335">
        <v>11</v>
      </c>
      <c r="AE26" s="335">
        <v>12</v>
      </c>
      <c r="AF26" s="335">
        <v>13</v>
      </c>
    </row>
    <row r="27" spans="1:33" ht="12.95" customHeight="1">
      <c r="B27" s="165" t="s">
        <v>428</v>
      </c>
      <c r="C27" s="165"/>
      <c r="D27" s="165"/>
      <c r="E27" s="165"/>
      <c r="F27" s="471">
        <f>Q28</f>
        <v>0</v>
      </c>
      <c r="G27" s="471"/>
      <c r="H27" s="162"/>
      <c r="I27" s="163" t="s">
        <v>386</v>
      </c>
      <c r="J27" s="163"/>
      <c r="K27" s="163"/>
      <c r="L27" s="163"/>
      <c r="M27" s="472" t="e">
        <f>Q29</f>
        <v>#DIV/0!</v>
      </c>
      <c r="N27" s="472"/>
      <c r="P27" s="170" t="s">
        <v>501</v>
      </c>
      <c r="Q27" s="171">
        <f>VLOOKUP(T27:$T$48,T27:$AF$48,Q$26,0)</f>
        <v>0</v>
      </c>
      <c r="R27" s="4"/>
      <c r="T27" s="341" t="s">
        <v>431</v>
      </c>
      <c r="U27" s="342"/>
      <c r="V27" s="347">
        <f>SUM(V9:V13)</f>
        <v>0</v>
      </c>
      <c r="W27" s="347">
        <f>SUM(W9:W13)</f>
        <v>0</v>
      </c>
      <c r="X27" s="347">
        <f>SUM(X9:X13)</f>
        <v>0</v>
      </c>
      <c r="Y27" s="347">
        <f>SUM(Y9:Y13)</f>
        <v>0</v>
      </c>
      <c r="Z27" s="171">
        <f>SUM(Z9:Z13)</f>
        <v>0</v>
      </c>
      <c r="AA27" s="348"/>
      <c r="AB27" s="347">
        <f>SUM(AB9:AB13)</f>
        <v>0</v>
      </c>
      <c r="AC27" s="347">
        <f>SUM(AC9:AC13)</f>
        <v>0</v>
      </c>
      <c r="AD27" s="347">
        <f>SUM(AD9:AD13)</f>
        <v>0</v>
      </c>
      <c r="AE27" s="347">
        <f>SUM(AE9:AE13)</f>
        <v>0</v>
      </c>
      <c r="AF27" s="171">
        <f>SUM(AF9:AF13)</f>
        <v>0</v>
      </c>
    </row>
    <row r="28" spans="1:33" ht="12.95" customHeight="1">
      <c r="A28" s="149" t="str">
        <f>IF(F28="♣","v","")</f>
        <v>v</v>
      </c>
      <c r="B28" s="166">
        <v>8</v>
      </c>
      <c r="C28" s="466" t="s">
        <v>459</v>
      </c>
      <c r="D28" s="466"/>
      <c r="E28" s="466"/>
      <c r="F28" s="467" t="str">
        <f>IF(F$27&lt;0.1,"♣","")</f>
        <v>♣</v>
      </c>
      <c r="G28" s="467"/>
      <c r="H28" s="162" t="e">
        <f>IF(M28="♣","v","")</f>
        <v>#DIV/0!</v>
      </c>
      <c r="I28" s="166">
        <v>7</v>
      </c>
      <c r="J28" s="468" t="s">
        <v>460</v>
      </c>
      <c r="K28" s="468"/>
      <c r="L28" s="468"/>
      <c r="M28" s="467" t="e">
        <f>IF(M$27&lt;1,"♣","")</f>
        <v>#DIV/0!</v>
      </c>
      <c r="N28" s="467"/>
      <c r="P28" s="170" t="s">
        <v>428</v>
      </c>
      <c r="Q28" s="172">
        <f>VLOOKUP(T28:$T$48,T28:$AF$48,Q$26,0)</f>
        <v>0</v>
      </c>
      <c r="R28" s="4"/>
      <c r="T28" s="349" t="s">
        <v>428</v>
      </c>
      <c r="U28" s="350"/>
      <c r="V28" s="351">
        <f>IFERROR((V9+V10)/V27,0)</f>
        <v>0</v>
      </c>
      <c r="W28" s="351">
        <f>IFERROR((W9+W10)/W27,0)</f>
        <v>0</v>
      </c>
      <c r="X28" s="351">
        <f>IFERROR((X9+X10)/X27,0)</f>
        <v>0</v>
      </c>
      <c r="Y28" s="351">
        <f>IFERROR((Y9+Y10)/Y27,0)</f>
        <v>0</v>
      </c>
      <c r="Z28" s="352">
        <f>IFERROR((Z9+Z10)/Z27,0)</f>
        <v>0</v>
      </c>
      <c r="AA28" s="353"/>
      <c r="AB28" s="351">
        <f>IFERROR((AB9+AB10)/AB27,0)</f>
        <v>0</v>
      </c>
      <c r="AC28" s="351">
        <f>IFERROR((AC9+AC10)/AC27,0)</f>
        <v>0</v>
      </c>
      <c r="AD28" s="351">
        <f>IFERROR((AD9+AD10)/AD27,0)</f>
        <v>0</v>
      </c>
      <c r="AE28" s="351">
        <f>IFERROR((AE9+AE10)/AE27,0)</f>
        <v>0</v>
      </c>
      <c r="AF28" s="352">
        <f>IFERROR((AF9+AF10)/AF27,0)</f>
        <v>0</v>
      </c>
    </row>
    <row r="29" spans="1:33" ht="12.95" customHeight="1">
      <c r="A29" s="149" t="str">
        <f>IF(F29="♣","v","")</f>
        <v/>
      </c>
      <c r="B29" s="166">
        <v>7</v>
      </c>
      <c r="C29" s="466" t="s">
        <v>461</v>
      </c>
      <c r="D29" s="466"/>
      <c r="E29" s="466"/>
      <c r="F29" s="467" t="str">
        <f>IF(F$27&gt;=0.1,IF(F$27&lt;0.3,"♣",""),"")</f>
        <v/>
      </c>
      <c r="G29" s="467"/>
      <c r="H29" s="162" t="e">
        <f>IF(M29="♣","v","")</f>
        <v>#DIV/0!</v>
      </c>
      <c r="I29" s="166">
        <v>5</v>
      </c>
      <c r="J29" s="468" t="s">
        <v>462</v>
      </c>
      <c r="K29" s="468"/>
      <c r="L29" s="468"/>
      <c r="M29" s="467" t="e">
        <f>IF(M$27&gt;=1,IF(M$27&lt;2,"♣",""),"")</f>
        <v>#DIV/0!</v>
      </c>
      <c r="N29" s="467"/>
      <c r="P29" s="170" t="s">
        <v>386</v>
      </c>
      <c r="Q29" s="172" t="e">
        <f>VLOOKUP(T29:$T$48,T29:$AF$48,Q$26,0)</f>
        <v>#DIV/0!</v>
      </c>
      <c r="R29" s="4"/>
      <c r="T29" s="341" t="s">
        <v>386</v>
      </c>
      <c r="U29" s="348"/>
      <c r="V29" s="351" t="e">
        <f>V17/V20</f>
        <v>#DIV/0!</v>
      </c>
      <c r="W29" s="351" t="e">
        <f>W17/W20</f>
        <v>#DIV/0!</v>
      </c>
      <c r="X29" s="351" t="e">
        <f>X17/X20</f>
        <v>#DIV/0!</v>
      </c>
      <c r="Y29" s="351" t="e">
        <f>Y17/Y20</f>
        <v>#DIV/0!</v>
      </c>
      <c r="Z29" s="352" t="e">
        <f>Z17/Z20</f>
        <v>#DIV/0!</v>
      </c>
      <c r="AA29" s="348"/>
      <c r="AB29" s="351" t="e">
        <f>AB17/AB20</f>
        <v>#DIV/0!</v>
      </c>
      <c r="AC29" s="351" t="e">
        <f>AC17/AC20</f>
        <v>#DIV/0!</v>
      </c>
      <c r="AD29" s="351" t="e">
        <f>AD17/AD20</f>
        <v>#DIV/0!</v>
      </c>
      <c r="AE29" s="351" t="e">
        <f>AE17/AE20</f>
        <v>#DIV/0!</v>
      </c>
      <c r="AF29" s="352" t="e">
        <f>AF17/AF20</f>
        <v>#DIV/0!</v>
      </c>
    </row>
    <row r="30" spans="1:33" ht="12.95" customHeight="1">
      <c r="A30" s="149" t="str">
        <f>IF(F30="♣","v","")</f>
        <v/>
      </c>
      <c r="B30" s="166">
        <v>5</v>
      </c>
      <c r="C30" s="466" t="s">
        <v>463</v>
      </c>
      <c r="D30" s="466"/>
      <c r="E30" s="466"/>
      <c r="F30" s="467" t="str">
        <f>IF(F$27&gt;=0.3,IF(F$27&lt;0.5,"♣",""),"")</f>
        <v/>
      </c>
      <c r="G30" s="467"/>
      <c r="H30" s="162" t="e">
        <f>IF(M30="♣","v","")</f>
        <v>#DIV/0!</v>
      </c>
      <c r="I30" s="166">
        <v>3</v>
      </c>
      <c r="J30" s="468" t="s">
        <v>464</v>
      </c>
      <c r="K30" s="468"/>
      <c r="L30" s="468"/>
      <c r="M30" s="467" t="e">
        <f>IF(M$27&gt;=2,IF(M$27&lt;3,"♣",""),"")</f>
        <v>#DIV/0!</v>
      </c>
      <c r="N30" s="467"/>
      <c r="P30" s="170" t="s">
        <v>432</v>
      </c>
      <c r="Q30" s="172" t="e">
        <f>VLOOKUP(T30:$T$48,T30:$AF$48,Q$26,0)</f>
        <v>#DIV/0!</v>
      </c>
      <c r="R30" s="4"/>
      <c r="T30" s="341" t="s">
        <v>432</v>
      </c>
      <c r="U30" s="348"/>
      <c r="V30" s="351" t="e">
        <f>V27/V16</f>
        <v>#DIV/0!</v>
      </c>
      <c r="W30" s="351" t="e">
        <f>W27/W16</f>
        <v>#DIV/0!</v>
      </c>
      <c r="X30" s="351" t="e">
        <f>X27/X16</f>
        <v>#DIV/0!</v>
      </c>
      <c r="Y30" s="351" t="e">
        <f>Y27/Y16</f>
        <v>#DIV/0!</v>
      </c>
      <c r="Z30" s="352" t="e">
        <f>Z27/Z16</f>
        <v>#DIV/0!</v>
      </c>
      <c r="AA30" s="348"/>
      <c r="AB30" s="351" t="e">
        <f>AB27/AB16</f>
        <v>#DIV/0!</v>
      </c>
      <c r="AC30" s="351" t="e">
        <f>AC27/AC16</f>
        <v>#DIV/0!</v>
      </c>
      <c r="AD30" s="351" t="e">
        <f>AD27/AD16</f>
        <v>#DIV/0!</v>
      </c>
      <c r="AE30" s="351" t="e">
        <f>AE27/AE16</f>
        <v>#DIV/0!</v>
      </c>
      <c r="AF30" s="352" t="e">
        <f>AF27/AF16</f>
        <v>#DIV/0!</v>
      </c>
    </row>
    <row r="31" spans="1:33" ht="12.95" customHeight="1">
      <c r="A31" s="149" t="str">
        <f>IF(F31="♣","v","")</f>
        <v/>
      </c>
      <c r="B31" s="166">
        <v>3</v>
      </c>
      <c r="C31" s="466" t="s">
        <v>465</v>
      </c>
      <c r="D31" s="466"/>
      <c r="E31" s="466"/>
      <c r="F31" s="467" t="str">
        <f>IF(F$27&gt;=0.5,IF(F$27&lt;0.7,"♣",""),"")</f>
        <v/>
      </c>
      <c r="G31" s="467"/>
      <c r="H31" s="162" t="e">
        <f>IF(M31="♣","v","")</f>
        <v>#DIV/0!</v>
      </c>
      <c r="I31" s="166">
        <v>2</v>
      </c>
      <c r="J31" s="468" t="s">
        <v>466</v>
      </c>
      <c r="K31" s="468"/>
      <c r="L31" s="468"/>
      <c r="M31" s="467" t="e">
        <f>IF(M$27&gt;=3,IF(M$27&lt;5,"♣",""),"")</f>
        <v>#DIV/0!</v>
      </c>
      <c r="N31" s="467"/>
      <c r="P31" s="170" t="s">
        <v>434</v>
      </c>
      <c r="Q31" s="172" t="e">
        <f>VLOOKUP(T31:$T$48,T31:$AF$48,Q$26,0)</f>
        <v>#DIV/0!</v>
      </c>
      <c r="R31" s="4"/>
      <c r="T31" s="341" t="s">
        <v>434</v>
      </c>
      <c r="U31" s="348"/>
      <c r="V31" s="351" t="e">
        <f>1/(V15/(V18+V20))</f>
        <v>#DIV/0!</v>
      </c>
      <c r="W31" s="351" t="e">
        <f>1/(W15/(W18+W20))</f>
        <v>#DIV/0!</v>
      </c>
      <c r="X31" s="351" t="e">
        <f>1/(X15/(X18+X20))</f>
        <v>#DIV/0!</v>
      </c>
      <c r="Y31" s="351" t="e">
        <f>1/(Y15/(Y18+Y20))</f>
        <v>#DIV/0!</v>
      </c>
      <c r="Z31" s="352" t="e">
        <f>1/(Z15/(Z18+Z20))</f>
        <v>#DIV/0!</v>
      </c>
      <c r="AA31" s="348"/>
      <c r="AB31" s="351" t="e">
        <f>1/(AB15/(AB18+AB20))</f>
        <v>#DIV/0!</v>
      </c>
      <c r="AC31" s="351" t="e">
        <f>1/(AC15/(AC18+AC20))</f>
        <v>#DIV/0!</v>
      </c>
      <c r="AD31" s="351" t="e">
        <f>1/(AD15/(AD18+AD20))</f>
        <v>#DIV/0!</v>
      </c>
      <c r="AE31" s="351" t="e">
        <f>1/(AE15/(AE18+AE20))</f>
        <v>#DIV/0!</v>
      </c>
      <c r="AF31" s="352" t="e">
        <f>1/(AF15/(AF18+AF20))</f>
        <v>#DIV/0!</v>
      </c>
    </row>
    <row r="32" spans="1:33" ht="12.95" customHeight="1">
      <c r="A32" s="149" t="str">
        <f>IF(F32="♣","v","")</f>
        <v/>
      </c>
      <c r="B32" s="166">
        <v>1</v>
      </c>
      <c r="C32" s="466" t="s">
        <v>467</v>
      </c>
      <c r="D32" s="466"/>
      <c r="E32" s="466"/>
      <c r="F32" s="467" t="str">
        <f>IF(F$27&gt;=0.7,"♣","")</f>
        <v/>
      </c>
      <c r="G32" s="467"/>
      <c r="H32" s="162" t="e">
        <f>IF(M32="♣","v","")</f>
        <v>#DIV/0!</v>
      </c>
      <c r="I32" s="166">
        <v>1</v>
      </c>
      <c r="J32" s="468" t="s">
        <v>468</v>
      </c>
      <c r="K32" s="468"/>
      <c r="L32" s="468"/>
      <c r="M32" s="467" t="e">
        <f>IF(M$27&gt;=5,"♣","")</f>
        <v>#DIV/0!</v>
      </c>
      <c r="N32" s="467"/>
      <c r="Q32" s="173"/>
      <c r="R32" s="4"/>
      <c r="T32" s="348"/>
      <c r="U32" s="348"/>
      <c r="V32" s="354"/>
      <c r="W32" s="354"/>
      <c r="X32" s="354"/>
      <c r="Y32" s="354"/>
      <c r="Z32" s="354"/>
      <c r="AA32" s="348"/>
      <c r="AB32" s="355"/>
      <c r="AC32" s="355"/>
      <c r="AD32" s="355"/>
      <c r="AE32" s="355"/>
      <c r="AF32" s="355"/>
    </row>
    <row r="33" spans="1:32" ht="12.95" customHeight="1">
      <c r="B33" s="163"/>
      <c r="C33" s="163"/>
      <c r="D33" s="163"/>
      <c r="E33" s="163"/>
      <c r="F33" s="163"/>
      <c r="G33" s="163"/>
      <c r="H33" s="162"/>
      <c r="I33" s="163"/>
      <c r="J33" s="163"/>
      <c r="K33" s="163"/>
      <c r="L33" s="163"/>
      <c r="M33" s="163"/>
      <c r="N33" s="163"/>
      <c r="P33" s="170" t="s">
        <v>437</v>
      </c>
      <c r="Q33" s="172">
        <f>VLOOKUP(T33:$T$48,T33:$AF$48,Q$26,0)</f>
        <v>7.595959331373503E-2</v>
      </c>
      <c r="R33" s="4"/>
      <c r="T33" s="341" t="s">
        <v>437</v>
      </c>
      <c r="U33" s="348"/>
      <c r="V33" s="351" t="e">
        <f>V4/V3</f>
        <v>#DIV/0!</v>
      </c>
      <c r="W33" s="351" t="e">
        <f>W4/W3</f>
        <v>#DIV/0!</v>
      </c>
      <c r="X33" s="351" t="e">
        <f>X4/X3</f>
        <v>#DIV/0!</v>
      </c>
      <c r="Y33" s="351" t="e">
        <f>Y4/Y3</f>
        <v>#DIV/0!</v>
      </c>
      <c r="Z33" s="352">
        <f>Z4/Z3</f>
        <v>7.595959331373503E-2</v>
      </c>
      <c r="AA33" s="348"/>
      <c r="AB33" s="351" t="e">
        <f>AB4/AB3</f>
        <v>#DIV/0!</v>
      </c>
      <c r="AC33" s="351" t="e">
        <f>AC4/AC3</f>
        <v>#DIV/0!</v>
      </c>
      <c r="AD33" s="351" t="e">
        <f>AD4/AD3</f>
        <v>#DIV/0!</v>
      </c>
      <c r="AE33" s="351" t="e">
        <f>AE4/AE3</f>
        <v>#DIV/0!</v>
      </c>
      <c r="AF33" s="352" t="e">
        <f>AF4/AF3</f>
        <v>#DIV/0!</v>
      </c>
    </row>
    <row r="34" spans="1:32" ht="12.95" customHeight="1">
      <c r="B34" s="163" t="s">
        <v>432</v>
      </c>
      <c r="C34" s="163"/>
      <c r="D34" s="163"/>
      <c r="E34" s="163"/>
      <c r="F34" s="476" t="e">
        <f>Q30</f>
        <v>#DIV/0!</v>
      </c>
      <c r="G34" s="476"/>
      <c r="H34" s="162"/>
      <c r="I34" s="163" t="s">
        <v>434</v>
      </c>
      <c r="J34" s="163"/>
      <c r="K34" s="163"/>
      <c r="L34" s="164"/>
      <c r="M34" s="472" t="e">
        <f>Q31</f>
        <v>#DIV/0!</v>
      </c>
      <c r="N34" s="472"/>
      <c r="P34" s="170" t="s">
        <v>439</v>
      </c>
      <c r="Q34" s="172">
        <f>VLOOKUP(T34:$T$48,T34:$AF$48,Q$26,0)</f>
        <v>6.5515060694625399E-2</v>
      </c>
      <c r="R34" s="4"/>
      <c r="T34" s="341" t="s">
        <v>439</v>
      </c>
      <c r="U34" s="348"/>
      <c r="V34" s="351" t="e">
        <f>V6/V3</f>
        <v>#DIV/0!</v>
      </c>
      <c r="W34" s="351" t="e">
        <f>W6/W3</f>
        <v>#DIV/0!</v>
      </c>
      <c r="X34" s="351" t="e">
        <f>X6/X3</f>
        <v>#DIV/0!</v>
      </c>
      <c r="Y34" s="351" t="e">
        <f>Y6/Y3</f>
        <v>#DIV/0!</v>
      </c>
      <c r="Z34" s="352">
        <f>Z6/Z3</f>
        <v>6.5515060694625399E-2</v>
      </c>
      <c r="AA34" s="348"/>
      <c r="AB34" s="351" t="e">
        <f>AB6/AB3</f>
        <v>#DIV/0!</v>
      </c>
      <c r="AC34" s="351" t="e">
        <f>AC6/AC3</f>
        <v>#DIV/0!</v>
      </c>
      <c r="AD34" s="351" t="e">
        <f>AD6/AD3</f>
        <v>#DIV/0!</v>
      </c>
      <c r="AE34" s="351" t="e">
        <f>AE6/AE3</f>
        <v>#DIV/0!</v>
      </c>
      <c r="AF34" s="352" t="e">
        <f>AF6/AF3</f>
        <v>#DIV/0!</v>
      </c>
    </row>
    <row r="35" spans="1:32" ht="12.95" customHeight="1">
      <c r="A35" s="149" t="e">
        <f>IF(F35="♣","v","")</f>
        <v>#DIV/0!</v>
      </c>
      <c r="B35" s="166">
        <v>5</v>
      </c>
      <c r="C35" s="473" t="s">
        <v>469</v>
      </c>
      <c r="D35" s="474"/>
      <c r="E35" s="475"/>
      <c r="F35" s="467" t="e">
        <f>IF(F$34&lt;0.2,"♣","")</f>
        <v>#DIV/0!</v>
      </c>
      <c r="G35" s="467"/>
      <c r="H35" s="162" t="e">
        <f>IF(M35="♣","v","")</f>
        <v>#DIV/0!</v>
      </c>
      <c r="I35" s="166">
        <v>5</v>
      </c>
      <c r="J35" s="468" t="s">
        <v>470</v>
      </c>
      <c r="K35" s="468"/>
      <c r="L35" s="468"/>
      <c r="M35" s="467" t="e">
        <f>IF(M$34&gt;=1.2,"♣","")</f>
        <v>#DIV/0!</v>
      </c>
      <c r="N35" s="467"/>
      <c r="P35" s="170" t="s">
        <v>489</v>
      </c>
      <c r="Q35" s="172">
        <f>VLOOKUP(T35:$T$48,T35:$AF$48,Q$26,0)</f>
        <v>9.1216676291188264E-3</v>
      </c>
      <c r="R35" s="4"/>
      <c r="T35" s="341" t="s">
        <v>489</v>
      </c>
      <c r="U35" s="348"/>
      <c r="V35" s="351" t="e">
        <f>(V7+V8)/V3</f>
        <v>#DIV/0!</v>
      </c>
      <c r="W35" s="351" t="e">
        <f>(W7+W8)/W3</f>
        <v>#DIV/0!</v>
      </c>
      <c r="X35" s="351" t="e">
        <f>(X7+X8)/X3</f>
        <v>#DIV/0!</v>
      </c>
      <c r="Y35" s="351" t="e">
        <f>(Y7+Y8)/Y3</f>
        <v>#DIV/0!</v>
      </c>
      <c r="Z35" s="352">
        <f>(Z7+Z8)/Z3</f>
        <v>9.1216676291188264E-3</v>
      </c>
      <c r="AA35" s="348"/>
      <c r="AB35" s="351" t="e">
        <f>(AB7+AB8)/AB3</f>
        <v>#DIV/0!</v>
      </c>
      <c r="AC35" s="351" t="e">
        <f>(AC7+AC8)/AC3</f>
        <v>#DIV/0!</v>
      </c>
      <c r="AD35" s="351" t="e">
        <f>(AD7+AD8)/AD3</f>
        <v>#DIV/0!</v>
      </c>
      <c r="AE35" s="351" t="e">
        <f>(AE7+AE8)/AE3</f>
        <v>#DIV/0!</v>
      </c>
      <c r="AF35" s="352" t="e">
        <f>(AF7+AF8)/AF3</f>
        <v>#DIV/0!</v>
      </c>
    </row>
    <row r="36" spans="1:32" ht="12.95" customHeight="1">
      <c r="A36" s="149" t="e">
        <f>IF(F36="♣","v","")</f>
        <v>#DIV/0!</v>
      </c>
      <c r="B36" s="166">
        <v>4</v>
      </c>
      <c r="C36" s="473" t="s">
        <v>471</v>
      </c>
      <c r="D36" s="474"/>
      <c r="E36" s="475"/>
      <c r="F36" s="467" t="e">
        <f>IF(F$34&gt;=0.2,IF(F$34&lt;0.3,"♣",""),"")</f>
        <v>#DIV/0!</v>
      </c>
      <c r="G36" s="467"/>
      <c r="H36" s="162" t="e">
        <f>IF(M36="♣","v","")</f>
        <v>#DIV/0!</v>
      </c>
      <c r="I36" s="166">
        <v>4</v>
      </c>
      <c r="J36" s="468" t="s">
        <v>472</v>
      </c>
      <c r="K36" s="468"/>
      <c r="L36" s="468"/>
      <c r="M36" s="467" t="e">
        <f>IF(M$34&lt;1.2,IF(M$34&gt;=1,"♣",""),"")</f>
        <v>#DIV/0!</v>
      </c>
      <c r="N36" s="467"/>
      <c r="P36" s="170" t="s">
        <v>365</v>
      </c>
      <c r="Q36" s="174" t="e">
        <f>VLOOKUP(T36:$T$48,T36:$AF$48,Q$26,0)</f>
        <v>#DIV/0!</v>
      </c>
      <c r="R36" s="4"/>
      <c r="T36" s="341" t="s">
        <v>365</v>
      </c>
      <c r="U36" s="348"/>
      <c r="V36" s="356"/>
      <c r="W36" s="351" t="e">
        <f>W6/AVERAGE(V20,W20)</f>
        <v>#DIV/0!</v>
      </c>
      <c r="X36" s="351" t="e">
        <f>X6/AVERAGE(W20,X20)</f>
        <v>#DIV/0!</v>
      </c>
      <c r="Y36" s="351" t="e">
        <f>Y6/AVERAGE(X20,Y20)</f>
        <v>#DIV/0!</v>
      </c>
      <c r="Z36" s="352" t="e">
        <f>Z6/AVERAGE(Y20,Z20)</f>
        <v>#DIV/0!</v>
      </c>
      <c r="AA36" s="348"/>
      <c r="AB36" s="351" t="e">
        <f>W6/AVERAGE(V20,AB20)</f>
        <v>#DIV/0!</v>
      </c>
      <c r="AC36" s="351" t="e">
        <f>X6/AVERAGE(W20,AC20)</f>
        <v>#DIV/0!</v>
      </c>
      <c r="AD36" s="351" t="e">
        <f>Y6/AVERAGE(X20,AD20)</f>
        <v>#DIV/0!</v>
      </c>
      <c r="AE36" s="351" t="e">
        <f>Z6/AVERAGE(Y20,AE20)</f>
        <v>#DIV/0!</v>
      </c>
      <c r="AF36" s="357" t="e">
        <f>AG6/AVERAGE(Z20,AF20)</f>
        <v>#DIV/0!</v>
      </c>
    </row>
    <row r="37" spans="1:32" ht="12.95" customHeight="1">
      <c r="A37" s="149" t="e">
        <f>IF(F37="♣","v","")</f>
        <v>#DIV/0!</v>
      </c>
      <c r="B37" s="166">
        <v>3</v>
      </c>
      <c r="C37" s="473" t="s">
        <v>473</v>
      </c>
      <c r="D37" s="474"/>
      <c r="E37" s="475"/>
      <c r="F37" s="467" t="e">
        <f>IF(F$34&gt;=0.3,IF(F$34&lt;0.45,"♣",""),"")</f>
        <v>#DIV/0!</v>
      </c>
      <c r="G37" s="467"/>
      <c r="H37" s="162" t="e">
        <f>IF(M37="♣","v","")</f>
        <v>#DIV/0!</v>
      </c>
      <c r="I37" s="166">
        <v>3</v>
      </c>
      <c r="J37" s="468" t="s">
        <v>474</v>
      </c>
      <c r="K37" s="468"/>
      <c r="L37" s="468"/>
      <c r="M37" s="467" t="e">
        <f>IF(M$34&lt;1,IF(M$34&gt;=0.85,"♣",""),"")</f>
        <v>#DIV/0!</v>
      </c>
      <c r="N37" s="467"/>
      <c r="P37" s="170" t="s">
        <v>366</v>
      </c>
      <c r="Q37" s="174" t="e">
        <f>VLOOKUP(T37:$T$48,T37:$AF$48,Q$26,0)</f>
        <v>#DIV/0!</v>
      </c>
      <c r="R37" s="4"/>
      <c r="T37" s="341" t="s">
        <v>366</v>
      </c>
      <c r="U37" s="348"/>
      <c r="V37" s="358"/>
      <c r="W37" s="351" t="e">
        <f>W6/AVERAGE(V16,W16)</f>
        <v>#DIV/0!</v>
      </c>
      <c r="X37" s="351" t="e">
        <f>X6/AVERAGE(W16,X16)</f>
        <v>#DIV/0!</v>
      </c>
      <c r="Y37" s="351" t="e">
        <f>Y6/AVERAGE(X16,Y16)</f>
        <v>#DIV/0!</v>
      </c>
      <c r="Z37" s="352" t="e">
        <f>Z6/AVERAGE(Y16,Z16)</f>
        <v>#DIV/0!</v>
      </c>
      <c r="AA37" s="348"/>
      <c r="AB37" s="351" t="e">
        <f>W6/AVERAGE(V16,AB16)</f>
        <v>#DIV/0!</v>
      </c>
      <c r="AC37" s="351" t="e">
        <f>X6/AVERAGE(W16,AC16)</f>
        <v>#DIV/0!</v>
      </c>
      <c r="AD37" s="351" t="e">
        <f>Y6/AVERAGE(X16,AD16)</f>
        <v>#DIV/0!</v>
      </c>
      <c r="AE37" s="351" t="e">
        <f>Z6/AVERAGE(Y16,AE16)</f>
        <v>#DIV/0!</v>
      </c>
      <c r="AF37" s="357" t="e">
        <f>AG6/AVERAGE(Z16,AF16)</f>
        <v>#DIV/0!</v>
      </c>
    </row>
    <row r="38" spans="1:32" ht="12.95" customHeight="1">
      <c r="A38" s="149" t="e">
        <f>IF(F38="♣","v","")</f>
        <v>#DIV/0!</v>
      </c>
      <c r="B38" s="166">
        <v>2</v>
      </c>
      <c r="C38" s="473" t="s">
        <v>475</v>
      </c>
      <c r="D38" s="474"/>
      <c r="E38" s="475"/>
      <c r="F38" s="467" t="e">
        <f>IF(F$34&gt;=0.45,IF(F$34&lt;0.6,"♣",""),"")</f>
        <v>#DIV/0!</v>
      </c>
      <c r="G38" s="467"/>
      <c r="H38" s="162" t="e">
        <f>IF(M38="♣","v","")</f>
        <v>#DIV/0!</v>
      </c>
      <c r="I38" s="166">
        <v>2</v>
      </c>
      <c r="J38" s="468" t="s">
        <v>476</v>
      </c>
      <c r="K38" s="468"/>
      <c r="L38" s="468"/>
      <c r="M38" s="467" t="e">
        <f>IF(M$34&lt;0.85,IF(M$34&gt;=0.7,"♣",""),"")</f>
        <v>#DIV/0!</v>
      </c>
      <c r="N38" s="467"/>
      <c r="P38" s="170" t="s">
        <v>496</v>
      </c>
      <c r="Q38" s="175">
        <f>VLOOKUP(T38:$T$48,T38:$AF$48,Q$26,0)</f>
        <v>9.6037961145134343</v>
      </c>
      <c r="R38" s="4"/>
      <c r="T38" s="341" t="s">
        <v>496</v>
      </c>
      <c r="U38" s="348"/>
      <c r="V38" s="358"/>
      <c r="W38" s="359">
        <f>IFERROR((W5+W7+W8)/(W7+W8),0)</f>
        <v>0</v>
      </c>
      <c r="X38" s="359">
        <f>IFERROR((X5+X7+X8)/(X7+X8),0)</f>
        <v>0</v>
      </c>
      <c r="Y38" s="359">
        <f>IFERROR((Y5+Y7+Y8)/(Y7+Y8),0)</f>
        <v>0</v>
      </c>
      <c r="Z38" s="175">
        <f>IFERROR((Z5+Z7+Z8)/(Z7+Z8),0)</f>
        <v>9.6037961145134343</v>
      </c>
      <c r="AA38" s="348"/>
      <c r="AB38" s="359">
        <f>IFERROR((AB5+AB7+AB8)/(AB7+AB8),0)</f>
        <v>0</v>
      </c>
      <c r="AC38" s="359">
        <f>IFERROR((AC5+AC7+AC8)/(AC7+AC8),0)</f>
        <v>0</v>
      </c>
      <c r="AD38" s="359">
        <f>IFERROR((AD5+AD7+AD8)/(AD7+AD8),0)</f>
        <v>0</v>
      </c>
      <c r="AE38" s="359">
        <f>IFERROR((AE5+AE7+AE8)/(AE7+AE8),0)</f>
        <v>0</v>
      </c>
      <c r="AF38" s="175">
        <f>IFERROR((AF5+AF7+AF8)/(AF7+AF8),0)</f>
        <v>0</v>
      </c>
    </row>
    <row r="39" spans="1:32" ht="12.95" customHeight="1">
      <c r="A39" s="149" t="e">
        <f>IF(F39="♣","v","")</f>
        <v>#DIV/0!</v>
      </c>
      <c r="B39" s="166">
        <v>1</v>
      </c>
      <c r="C39" s="473" t="s">
        <v>477</v>
      </c>
      <c r="D39" s="474"/>
      <c r="E39" s="475"/>
      <c r="F39" s="467" t="e">
        <f>IF(F$34&gt;=0.6,"♣","")</f>
        <v>#DIV/0!</v>
      </c>
      <c r="G39" s="467"/>
      <c r="H39" s="162" t="e">
        <f>IF(M39="♣","v","")</f>
        <v>#DIV/0!</v>
      </c>
      <c r="I39" s="166">
        <v>1</v>
      </c>
      <c r="J39" s="468" t="s">
        <v>478</v>
      </c>
      <c r="K39" s="468"/>
      <c r="L39" s="468"/>
      <c r="M39" s="467" t="e">
        <f>IF(M$34&lt;0.7,"♣","")</f>
        <v>#DIV/0!</v>
      </c>
      <c r="N39" s="467"/>
      <c r="Q39" s="173"/>
      <c r="R39" s="4"/>
      <c r="T39" s="348"/>
      <c r="U39" s="348"/>
      <c r="V39" s="354"/>
      <c r="W39" s="354"/>
      <c r="X39" s="354"/>
      <c r="Y39" s="354"/>
      <c r="Z39" s="354"/>
      <c r="AA39" s="348"/>
      <c r="AB39" s="355"/>
      <c r="AC39" s="355"/>
      <c r="AD39" s="355"/>
      <c r="AE39" s="355"/>
      <c r="AF39" s="355"/>
    </row>
    <row r="40" spans="1:32" ht="12.95" customHeight="1">
      <c r="B40" s="163"/>
      <c r="C40" s="163"/>
      <c r="D40" s="163"/>
      <c r="E40" s="163"/>
      <c r="F40" s="163"/>
      <c r="G40" s="163"/>
      <c r="H40" s="162"/>
      <c r="I40" s="163"/>
      <c r="J40" s="163"/>
      <c r="K40" s="163"/>
      <c r="L40" s="163"/>
      <c r="M40" s="163"/>
      <c r="N40" s="163"/>
      <c r="P40" s="170" t="s">
        <v>384</v>
      </c>
      <c r="Q40" s="172" t="e">
        <f>VLOOKUP(T40:$T$48,T40:$AF$48,Q$26,0)</f>
        <v>#DIV/0!</v>
      </c>
      <c r="R40" s="4"/>
      <c r="T40" s="341" t="s">
        <v>384</v>
      </c>
      <c r="U40" s="348"/>
      <c r="V40" s="360"/>
      <c r="W40" s="361">
        <v>0</v>
      </c>
      <c r="X40" s="361" t="e">
        <f>X3/W3-1</f>
        <v>#DIV/0!</v>
      </c>
      <c r="Y40" s="361" t="e">
        <f>Y3/X3-1</f>
        <v>#DIV/0!</v>
      </c>
      <c r="Z40" s="172" t="e">
        <f>Z3/Y3-1</f>
        <v>#DIV/0!</v>
      </c>
      <c r="AA40" s="348"/>
      <c r="AB40" s="360"/>
      <c r="AC40" s="361" t="e">
        <f>AC3/AB3-1</f>
        <v>#DIV/0!</v>
      </c>
      <c r="AD40" s="361" t="e">
        <f>AD3/AC3-1</f>
        <v>#DIV/0!</v>
      </c>
      <c r="AE40" s="361" t="e">
        <f>AE3/AD3-1</f>
        <v>#DIV/0!</v>
      </c>
      <c r="AF40" s="172" t="e">
        <f>AF3/AE3-1</f>
        <v>#DIV/0!</v>
      </c>
    </row>
    <row r="41" spans="1:32" ht="12.95" customHeight="1" thickBot="1">
      <c r="B41" s="477" t="s">
        <v>479</v>
      </c>
      <c r="C41" s="478"/>
      <c r="D41" s="478"/>
      <c r="E41" s="478"/>
      <c r="F41" s="478"/>
      <c r="G41" s="478"/>
      <c r="H41" s="478"/>
      <c r="I41" s="478"/>
      <c r="J41" s="478"/>
      <c r="K41" s="478"/>
      <c r="L41" s="478"/>
      <c r="M41" s="478"/>
      <c r="N41" s="478"/>
      <c r="P41" s="170" t="s">
        <v>385</v>
      </c>
      <c r="Q41" s="172" t="e">
        <f>VLOOKUP(T41:$T$48,T41:$AF$48,Q$26,0)</f>
        <v>#DIV/0!</v>
      </c>
      <c r="R41" s="4"/>
      <c r="T41" s="341" t="s">
        <v>385</v>
      </c>
      <c r="U41" s="348"/>
      <c r="V41" s="360"/>
      <c r="W41" s="361" t="e">
        <f>IF(ABS(V4)+ABS(W4)&gt;V4+W4,IF(V4*W4&gt;0,"적지",IF(W4&gt;V4,"흑전","적전")),W4/V4-1)</f>
        <v>#DIV/0!</v>
      </c>
      <c r="X41" s="361" t="e">
        <f>IF(ABS(W4)+ABS(X4)&gt;W4+X4,IF(W4*X4&gt;0,"적지",IF(X4&gt;W4,"흑전","적전")),X4/W4-1)</f>
        <v>#DIV/0!</v>
      </c>
      <c r="Y41" s="361" t="e">
        <f>IF(ABS(X4)+ABS(Y4)&gt;X4+Y4,IF(X4*Y4&gt;0,"적지",IF(Y4&gt;X4,"흑전","적전")),Y4/X4-1)</f>
        <v>#DIV/0!</v>
      </c>
      <c r="Z41" s="172" t="e">
        <f>IF(ABS(Y4)+ABS(Z4)&gt;Y4+Z4,IF(Y4*Z4&gt;0,"적지",IF(Z4&gt;Y4,"흑전","적전")),Z4/Y4-1)</f>
        <v>#DIV/0!</v>
      </c>
      <c r="AA41" s="348"/>
      <c r="AB41" s="360"/>
      <c r="AC41" s="361" t="e">
        <f>IF(ABS(AB4)+ABS(AC4)&gt;AB4+AC4,IF(AB4*AC4&gt;0,"적지",IF(AC4&gt;AB4,"흑전","적전")),AC4/AB4-1)</f>
        <v>#DIV/0!</v>
      </c>
      <c r="AD41" s="361" t="e">
        <f>IF(ABS(AC4)+ABS(AD4)&gt;AC4+AD4,IF(AC4*AD4&gt;0,"적지",IF(AD4&gt;AC4,"흑전","적전")),AD4/AC4-1)</f>
        <v>#DIV/0!</v>
      </c>
      <c r="AE41" s="361" t="e">
        <f>IF(ABS(AD4)+ABS(AE4)&gt;AD4+AE4,IF(AD4*AE4&gt;0,"적지",IF(AE4&gt;AD4,"흑전","적전")),AE4/AD4-1)</f>
        <v>#DIV/0!</v>
      </c>
      <c r="AF41" s="172" t="e">
        <f>IF(ABS(AE4)+ABS(AF4)&gt;AE4+AF4,IF(AE4*AF4&gt;0,"적지",IF(AF4&gt;AE4,"흑전","적전")),AF4/AE4-1)</f>
        <v>#DIV/0!</v>
      </c>
    </row>
    <row r="42" spans="1:32" ht="12.95" customHeight="1" thickTop="1">
      <c r="B42" s="160"/>
      <c r="C42" s="133"/>
      <c r="D42" s="133"/>
      <c r="E42" s="133"/>
      <c r="F42" s="133"/>
      <c r="G42" s="133"/>
      <c r="H42" s="161"/>
      <c r="I42" s="133"/>
      <c r="J42" s="133"/>
      <c r="K42" s="133"/>
      <c r="L42" s="133"/>
      <c r="M42" s="133"/>
      <c r="N42" s="133"/>
      <c r="P42" s="170" t="s">
        <v>449</v>
      </c>
      <c r="Q42" s="172" t="e">
        <f>VLOOKUP(T42:$T$48,T42:$AF$48,Q$26,0)</f>
        <v>#DIV/0!</v>
      </c>
      <c r="R42" s="4"/>
      <c r="T42" s="341" t="s">
        <v>449</v>
      </c>
      <c r="U42" s="348"/>
      <c r="V42" s="360"/>
      <c r="W42" s="361" t="e">
        <f>IF(ABS(V6)+ABS(W6)&gt;V6+W6,IF(V6*W6&gt;0,"적지",IF(W6&gt;V6,"흑전","적전")),W6/V6-1)</f>
        <v>#DIV/0!</v>
      </c>
      <c r="X42" s="361" t="e">
        <f>IF(ABS(W6)+ABS(X6)&gt;W6+X6,IF(W6*X6&gt;0,"적지",IF(X6&gt;W6,"흑전","적전")),X6/W6-1)</f>
        <v>#DIV/0!</v>
      </c>
      <c r="Y42" s="361" t="e">
        <f>IF(ABS(X6)+ABS(Y6)&gt;X6+Y6,IF(X6*Y6&gt;0,"적지",IF(Y6&gt;X6,"흑전","적전")),Y6/X6-1)</f>
        <v>#DIV/0!</v>
      </c>
      <c r="Z42" s="172" t="e">
        <f>IF(ABS(Y6)+ABS(Z6)&gt;Y6+Z6,IF(Y6*Z6&gt;0,"적지",IF(Z6&gt;Y6,"흑전","적전")),Z6/Y6-1)</f>
        <v>#DIV/0!</v>
      </c>
      <c r="AA42" s="348"/>
      <c r="AB42" s="360"/>
      <c r="AC42" s="361" t="e">
        <f>IF(ABS(AB6)+ABS(AC6)&gt;AB6+AC6,IF(AB6*AC6&gt;0,"적지",IF(AC6&gt;AB6,"흑전","적전")),AC6/AB6-1)</f>
        <v>#DIV/0!</v>
      </c>
      <c r="AD42" s="361" t="e">
        <f>IF(ABS(AC6)+ABS(AD6)&gt;AC6+AD6,IF(AC6*AD6&gt;0,"적지",IF(AD6&gt;AC6,"흑전","적전")),AD6/AC6-1)</f>
        <v>#DIV/0!</v>
      </c>
      <c r="AE42" s="361" t="e">
        <f>IF(ABS(AD6)+ABS(AE6)&gt;AD6+AE6,IF(AD6*AE6&gt;0,"적지",IF(AE6&gt;AD6,"흑전","적전")),AE6/AD6-1)</f>
        <v>#DIV/0!</v>
      </c>
      <c r="AF42" s="172" t="e">
        <f>IF(ABS(AE6)+ABS(AF6)&gt;AE6+AF6,IF(AE6*AF6&gt;0,"적지",IF(AF6&gt;AE6,"흑전","적전")),AF6/AE6-1)</f>
        <v>#DIV/0!</v>
      </c>
    </row>
    <row r="43" spans="1:32" ht="12.95" customHeight="1">
      <c r="B43" s="163" t="s">
        <v>437</v>
      </c>
      <c r="C43" s="163"/>
      <c r="D43" s="163"/>
      <c r="E43" s="163"/>
      <c r="F43" s="476">
        <f>Q33</f>
        <v>7.595959331373503E-2</v>
      </c>
      <c r="G43" s="476"/>
      <c r="H43" s="162"/>
      <c r="I43" s="163" t="s">
        <v>439</v>
      </c>
      <c r="J43" s="163"/>
      <c r="K43" s="163"/>
      <c r="L43" s="163"/>
      <c r="M43" s="472">
        <f>Q34</f>
        <v>6.5515060694625399E-2</v>
      </c>
      <c r="N43" s="472"/>
      <c r="P43" s="170" t="s">
        <v>451</v>
      </c>
      <c r="Q43" s="176" t="e">
        <f>VLOOKUP(T43:$T$48,T43:$AF$48,Q$26,0)</f>
        <v>#DIV/0!</v>
      </c>
      <c r="R43" s="4"/>
      <c r="T43" s="341" t="s">
        <v>451</v>
      </c>
      <c r="U43" s="348"/>
      <c r="V43" s="360"/>
      <c r="W43" s="359" t="e">
        <f>W3/AVERAGE(V21,W21)</f>
        <v>#DIV/0!</v>
      </c>
      <c r="X43" s="359" t="e">
        <f>X3/AVERAGE(W21,X21)</f>
        <v>#DIV/0!</v>
      </c>
      <c r="Y43" s="359" t="e">
        <f>Y3/AVERAGE(X21,Y21)</f>
        <v>#DIV/0!</v>
      </c>
      <c r="Z43" s="175" t="e">
        <f>Z3/AVERAGE(Y21,Z21)</f>
        <v>#DIV/0!</v>
      </c>
      <c r="AA43" s="348"/>
      <c r="AB43" s="359" t="e">
        <f>W3/AVERAGE(V21,AB21)</f>
        <v>#DIV/0!</v>
      </c>
      <c r="AC43" s="359" t="e">
        <f>X3/AVERAGE(W21,AC21)</f>
        <v>#DIV/0!</v>
      </c>
      <c r="AD43" s="359" t="e">
        <f>Y3/AVERAGE(X21,AD21)</f>
        <v>#DIV/0!</v>
      </c>
      <c r="AE43" s="359" t="e">
        <f>Z3/AVERAGE(Y21,AE21)</f>
        <v>#DIV/0!</v>
      </c>
      <c r="AF43" s="176" t="e">
        <f>AG3/AVERAGE(Z21,AF21)</f>
        <v>#DIV/0!</v>
      </c>
    </row>
    <row r="44" spans="1:32" ht="12.95" customHeight="1">
      <c r="A44" s="149" t="str">
        <f>IF(F44="♣","v","")</f>
        <v/>
      </c>
      <c r="B44" s="166">
        <v>5</v>
      </c>
      <c r="C44" s="466" t="s">
        <v>480</v>
      </c>
      <c r="D44" s="466"/>
      <c r="E44" s="466"/>
      <c r="F44" s="467" t="str">
        <f>IF(F$43&gt;=0.1,"♣","")</f>
        <v/>
      </c>
      <c r="G44" s="467"/>
      <c r="H44" s="162" t="str">
        <f>IF(M44="♣","v","")</f>
        <v/>
      </c>
      <c r="I44" s="166">
        <v>5</v>
      </c>
      <c r="J44" s="466" t="s">
        <v>481</v>
      </c>
      <c r="K44" s="466"/>
      <c r="L44" s="466"/>
      <c r="M44" s="467" t="str">
        <f>IF(M$43&gt;=0.07,"♣","")</f>
        <v/>
      </c>
      <c r="N44" s="467"/>
      <c r="Q44" s="173"/>
      <c r="R44" s="4"/>
      <c r="T44" s="348"/>
      <c r="U44" s="348"/>
      <c r="V44" s="354"/>
      <c r="W44" s="354"/>
      <c r="X44" s="354"/>
      <c r="Y44" s="354"/>
      <c r="Z44" s="354"/>
      <c r="AA44" s="348"/>
      <c r="AB44" s="355"/>
      <c r="AC44" s="355"/>
      <c r="AD44" s="355"/>
      <c r="AE44" s="355"/>
      <c r="AF44" s="355"/>
    </row>
    <row r="45" spans="1:32" ht="12.95" customHeight="1">
      <c r="A45" s="149" t="str">
        <f>IF(F45="♣","v","")</f>
        <v>v</v>
      </c>
      <c r="B45" s="166">
        <v>4</v>
      </c>
      <c r="C45" s="466" t="s">
        <v>482</v>
      </c>
      <c r="D45" s="466"/>
      <c r="E45" s="466"/>
      <c r="F45" s="467" t="str">
        <f>IF(F$43&lt;0.1,IF(F$43&gt;=0.07,"♣",""),"")</f>
        <v>♣</v>
      </c>
      <c r="G45" s="467"/>
      <c r="H45" s="162" t="str">
        <f>IF(M45="♣","v","")</f>
        <v>v</v>
      </c>
      <c r="I45" s="166">
        <v>4</v>
      </c>
      <c r="J45" s="466" t="s">
        <v>483</v>
      </c>
      <c r="K45" s="466"/>
      <c r="L45" s="466"/>
      <c r="M45" s="467" t="str">
        <f>IF(M$43&lt;0.07,IF(M$43&gt;=0.04,"♣",""),"")</f>
        <v>♣</v>
      </c>
      <c r="N45" s="467"/>
      <c r="P45" s="170" t="s">
        <v>497</v>
      </c>
      <c r="Q45" s="172">
        <f>VLOOKUP(T45:$T$48,T45:$AF$48,Q$26,0)</f>
        <v>0</v>
      </c>
      <c r="R45" s="4"/>
      <c r="T45" s="341" t="s">
        <v>497</v>
      </c>
      <c r="U45" s="348"/>
      <c r="V45" s="361" t="e">
        <f>V24/V3</f>
        <v>#DIV/0!</v>
      </c>
      <c r="W45" s="361" t="e">
        <f>W24/W3</f>
        <v>#DIV/0!</v>
      </c>
      <c r="X45" s="361" t="e">
        <f>X24/X3</f>
        <v>#DIV/0!</v>
      </c>
      <c r="Y45" s="361" t="e">
        <f>Y24/Y3</f>
        <v>#DIV/0!</v>
      </c>
      <c r="Z45" s="172">
        <f>Z24/Z3</f>
        <v>0</v>
      </c>
      <c r="AA45" s="348"/>
      <c r="AB45" s="361" t="e">
        <f>W24/W3</f>
        <v>#DIV/0!</v>
      </c>
      <c r="AC45" s="361" t="e">
        <f>X24/X3</f>
        <v>#DIV/0!</v>
      </c>
      <c r="AD45" s="361" t="e">
        <f>Y24/Y3</f>
        <v>#DIV/0!</v>
      </c>
      <c r="AE45" s="361">
        <f>Z24/Z3</f>
        <v>0</v>
      </c>
      <c r="AF45" s="172" t="e">
        <f>AG24/AG3</f>
        <v>#DIV/0!</v>
      </c>
    </row>
    <row r="46" spans="1:32" ht="12.95" customHeight="1">
      <c r="A46" s="149" t="str">
        <f>IF(F46="♣","v","")</f>
        <v/>
      </c>
      <c r="B46" s="166">
        <v>3</v>
      </c>
      <c r="C46" s="466" t="s">
        <v>484</v>
      </c>
      <c r="D46" s="466"/>
      <c r="E46" s="466"/>
      <c r="F46" s="467" t="str">
        <f>IF(F$43&lt;0.07,IF(F$43&gt;=0.03,"♣",""),"")</f>
        <v/>
      </c>
      <c r="G46" s="467"/>
      <c r="H46" s="162" t="str">
        <f>IF(M46="♣","v","")</f>
        <v/>
      </c>
      <c r="I46" s="166">
        <v>3</v>
      </c>
      <c r="J46" s="466" t="s">
        <v>485</v>
      </c>
      <c r="K46" s="466"/>
      <c r="L46" s="466"/>
      <c r="M46" s="467" t="str">
        <f>IF(M$43&lt;0.04,IF(M$43&gt;=0.02,"♣",""),"")</f>
        <v/>
      </c>
      <c r="N46" s="467"/>
      <c r="Q46" s="173"/>
      <c r="R46" s="4"/>
      <c r="T46" s="348"/>
      <c r="U46" s="348"/>
      <c r="V46" s="354"/>
      <c r="W46" s="354"/>
      <c r="X46" s="354"/>
      <c r="Y46" s="354"/>
      <c r="Z46" s="354"/>
      <c r="AA46" s="348"/>
      <c r="AB46" s="354"/>
      <c r="AC46" s="354"/>
      <c r="AD46" s="354"/>
      <c r="AE46" s="354"/>
      <c r="AF46" s="354"/>
    </row>
    <row r="47" spans="1:32" ht="12.95" customHeight="1">
      <c r="A47" s="149" t="str">
        <f>IF(F47="♣","v","")</f>
        <v/>
      </c>
      <c r="B47" s="166">
        <v>2</v>
      </c>
      <c r="C47" s="466" t="s">
        <v>486</v>
      </c>
      <c r="D47" s="466"/>
      <c r="E47" s="466"/>
      <c r="F47" s="467" t="str">
        <f>IF(F$43&lt;0.03,IF(F$43&gt;=0.01,"♣",""),"")</f>
        <v/>
      </c>
      <c r="G47" s="467"/>
      <c r="H47" s="162" t="str">
        <f>IF(M47="♣","v","")</f>
        <v/>
      </c>
      <c r="I47" s="166">
        <v>2</v>
      </c>
      <c r="J47" s="466" t="s">
        <v>487</v>
      </c>
      <c r="K47" s="466"/>
      <c r="L47" s="466"/>
      <c r="M47" s="467" t="str">
        <f>IF(M$43&lt;0.02,IF(M$43&gt;=0.01,"♣",""),"")</f>
        <v/>
      </c>
      <c r="N47" s="467"/>
      <c r="P47" s="170" t="s">
        <v>498</v>
      </c>
      <c r="Q47" s="171">
        <f>VLOOKUP(T47:$T$48,T47:$AF$48,Q$26,0)</f>
        <v>149.65245999999999</v>
      </c>
      <c r="R47" s="4"/>
      <c r="T47" s="341" t="s">
        <v>498</v>
      </c>
      <c r="U47" s="348"/>
      <c r="V47" s="347">
        <f>V3/100000</f>
        <v>0</v>
      </c>
      <c r="W47" s="347">
        <f>W3/100000</f>
        <v>0</v>
      </c>
      <c r="X47" s="347">
        <f>X3/100000</f>
        <v>0</v>
      </c>
      <c r="Y47" s="347">
        <f>Y3/100000</f>
        <v>0</v>
      </c>
      <c r="Z47" s="171">
        <f>Z3/100000</f>
        <v>149.65245999999999</v>
      </c>
      <c r="AA47" s="348"/>
      <c r="AB47" s="347">
        <f>W3/100000</f>
        <v>0</v>
      </c>
      <c r="AC47" s="347">
        <f>X3/100000</f>
        <v>0</v>
      </c>
      <c r="AD47" s="347">
        <f>Y3/100000</f>
        <v>0</v>
      </c>
      <c r="AE47" s="347">
        <f>Z3/100000</f>
        <v>149.65245999999999</v>
      </c>
      <c r="AF47" s="171" t="e">
        <f>AG3/100000</f>
        <v>#DIV/0!</v>
      </c>
    </row>
    <row r="48" spans="1:32" ht="12.95" customHeight="1">
      <c r="A48" s="149" t="str">
        <f>IF(F48="♣","v","")</f>
        <v/>
      </c>
      <c r="B48" s="166">
        <v>1</v>
      </c>
      <c r="C48" s="466" t="s">
        <v>488</v>
      </c>
      <c r="D48" s="466"/>
      <c r="E48" s="466"/>
      <c r="F48" s="467" t="str">
        <f>IF(F$43&lt;0.01,"♣","")</f>
        <v/>
      </c>
      <c r="G48" s="467"/>
      <c r="H48" s="162" t="str">
        <f>IF(M48="♣","v","")</f>
        <v/>
      </c>
      <c r="I48" s="166">
        <v>1</v>
      </c>
      <c r="J48" s="466" t="s">
        <v>488</v>
      </c>
      <c r="K48" s="466"/>
      <c r="L48" s="466"/>
      <c r="M48" s="467" t="str">
        <f>IF(M$43&lt;0.01,"♣","")</f>
        <v/>
      </c>
      <c r="N48" s="467"/>
      <c r="P48" s="170" t="s">
        <v>499</v>
      </c>
      <c r="Q48" s="171">
        <f>VLOOKUP(T48:$T$48,T48:$AF$48,Q$26,0)</f>
        <v>0</v>
      </c>
      <c r="R48" s="4"/>
      <c r="T48" s="341" t="s">
        <v>499</v>
      </c>
      <c r="U48" s="348"/>
      <c r="V48" s="347">
        <f>(V22+V23)/100000</f>
        <v>0</v>
      </c>
      <c r="W48" s="347">
        <f>(W22+W23)/100000</f>
        <v>0</v>
      </c>
      <c r="X48" s="347">
        <f>(X22+X23)/100000</f>
        <v>0</v>
      </c>
      <c r="Y48" s="347">
        <f>(Y22+Y23)/100000</f>
        <v>0</v>
      </c>
      <c r="Z48" s="171">
        <f>(Z22+Z23)/100000</f>
        <v>0</v>
      </c>
      <c r="AA48" s="348"/>
      <c r="AB48" s="347">
        <f>(AB22+AB23)/100000</f>
        <v>0</v>
      </c>
      <c r="AC48" s="347">
        <f>(AC22+AC23)/100000</f>
        <v>0</v>
      </c>
      <c r="AD48" s="347">
        <f>(AD22+AD23)/100000</f>
        <v>0</v>
      </c>
      <c r="AE48" s="347">
        <f>(AE22+AE23)/100000</f>
        <v>0</v>
      </c>
      <c r="AF48" s="171">
        <f>(AF22+AF23)/100000</f>
        <v>0</v>
      </c>
    </row>
    <row r="49" spans="1:32" ht="12.95" customHeight="1">
      <c r="B49" s="163"/>
      <c r="C49" s="163"/>
      <c r="D49" s="163"/>
      <c r="E49" s="163"/>
      <c r="F49" s="163"/>
      <c r="G49" s="163"/>
      <c r="H49" s="162"/>
      <c r="I49" s="163"/>
      <c r="J49" s="163"/>
      <c r="K49" s="163"/>
      <c r="L49" s="163"/>
      <c r="M49" s="163"/>
      <c r="N49" s="163"/>
      <c r="R49" s="4"/>
    </row>
    <row r="50" spans="1:32" ht="12.95" customHeight="1">
      <c r="B50" s="165" t="s">
        <v>489</v>
      </c>
      <c r="C50" s="165"/>
      <c r="D50" s="165"/>
      <c r="E50" s="165"/>
      <c r="F50" s="471">
        <f>Q35</f>
        <v>9.1216676291188264E-3</v>
      </c>
      <c r="G50" s="471"/>
      <c r="H50" s="162"/>
      <c r="I50" s="163" t="s">
        <v>365</v>
      </c>
      <c r="J50" s="163"/>
      <c r="K50" s="163"/>
      <c r="L50" s="163"/>
      <c r="M50" s="472" t="e">
        <f>Q36</f>
        <v>#DIV/0!</v>
      </c>
      <c r="N50" s="472"/>
    </row>
    <row r="51" spans="1:32" ht="12.95" customHeight="1">
      <c r="A51" s="149" t="str">
        <f>IF(F51="♣","v","")</f>
        <v>v</v>
      </c>
      <c r="B51" s="166">
        <v>5</v>
      </c>
      <c r="C51" s="479" t="s">
        <v>490</v>
      </c>
      <c r="D51" s="480"/>
      <c r="E51" s="481"/>
      <c r="F51" s="467" t="str">
        <f>IF(F$50&lt;0.02,"♣","")</f>
        <v>♣</v>
      </c>
      <c r="G51" s="467"/>
      <c r="H51" s="162" t="e">
        <f>IF(M51="♣","v","")</f>
        <v>#DIV/0!</v>
      </c>
      <c r="I51" s="166">
        <v>5</v>
      </c>
      <c r="J51" s="466" t="s">
        <v>491</v>
      </c>
      <c r="K51" s="466"/>
      <c r="L51" s="466"/>
      <c r="M51" s="467" t="e">
        <f>IF(M$50&gt;=0.15,"♣","")</f>
        <v>#DIV/0!</v>
      </c>
      <c r="N51" s="467"/>
      <c r="T51" s="362" t="s">
        <v>387</v>
      </c>
      <c r="U51" s="363"/>
      <c r="V51" s="364"/>
      <c r="W51" s="364"/>
      <c r="X51" s="362"/>
      <c r="Y51" s="362"/>
      <c r="Z51" s="362"/>
      <c r="AA51" s="363"/>
      <c r="AB51" s="364"/>
      <c r="AC51" s="364"/>
      <c r="AD51" s="362"/>
      <c r="AE51" s="362"/>
      <c r="AF51" s="362"/>
    </row>
    <row r="52" spans="1:32" ht="12.95" customHeight="1">
      <c r="A52" s="149" t="str">
        <f>IF(F52="♣","v","")</f>
        <v/>
      </c>
      <c r="B52" s="166">
        <v>4</v>
      </c>
      <c r="C52" s="479" t="s">
        <v>492</v>
      </c>
      <c r="D52" s="480"/>
      <c r="E52" s="481"/>
      <c r="F52" s="467" t="str">
        <f>IF(F$50&gt;=0.02,IF(F$50&lt;0.04,"♣",""),"")</f>
        <v/>
      </c>
      <c r="G52" s="467"/>
      <c r="H52" s="162" t="e">
        <f>IF(M52="♣","v","")</f>
        <v>#DIV/0!</v>
      </c>
      <c r="I52" s="166">
        <v>4</v>
      </c>
      <c r="J52" s="466" t="s">
        <v>493</v>
      </c>
      <c r="K52" s="466"/>
      <c r="L52" s="466"/>
      <c r="M52" s="467" t="e">
        <f>IF(M$50&lt;0.15,IF(M$50&gt;=0.1,"♣",""),"")</f>
        <v>#DIV/0!</v>
      </c>
      <c r="N52" s="467"/>
      <c r="T52" s="365" t="s">
        <v>388</v>
      </c>
      <c r="U52" s="366"/>
      <c r="V52" s="367"/>
      <c r="W52" s="367"/>
      <c r="X52" s="365"/>
      <c r="Y52" s="365"/>
      <c r="Z52" s="365"/>
      <c r="AA52" s="366"/>
      <c r="AB52" s="367"/>
      <c r="AC52" s="367"/>
      <c r="AD52" s="365"/>
      <c r="AE52" s="365"/>
      <c r="AF52" s="365"/>
    </row>
    <row r="53" spans="1:32" ht="12.95" customHeight="1">
      <c r="A53" s="149" t="str">
        <f>IF(F53="♣","v","")</f>
        <v/>
      </c>
      <c r="B53" s="166">
        <v>3</v>
      </c>
      <c r="C53" s="479" t="s">
        <v>494</v>
      </c>
      <c r="D53" s="480"/>
      <c r="E53" s="481"/>
      <c r="F53" s="467" t="str">
        <f>IF(F$50&gt;=0.04,IF(F$50&lt;0.07,"♣",""),"")</f>
        <v/>
      </c>
      <c r="G53" s="467"/>
      <c r="H53" s="162" t="e">
        <f>IF(M53="♣","v","")</f>
        <v>#DIV/0!</v>
      </c>
      <c r="I53" s="166">
        <v>3</v>
      </c>
      <c r="J53" s="466" t="s">
        <v>482</v>
      </c>
      <c r="K53" s="466"/>
      <c r="L53" s="466"/>
      <c r="M53" s="467" t="e">
        <f>IF(M$50&lt;0.1,IF(M$50&gt;=0.07,"♣",""),"")</f>
        <v>#DIV/0!</v>
      </c>
      <c r="N53" s="467"/>
      <c r="T53" s="365" t="s">
        <v>389</v>
      </c>
      <c r="U53" s="366"/>
      <c r="V53" s="367"/>
      <c r="W53" s="367"/>
      <c r="X53" s="365"/>
      <c r="Y53" s="365"/>
      <c r="Z53" s="365"/>
      <c r="AA53" s="366"/>
      <c r="AB53" s="367"/>
      <c r="AC53" s="367"/>
      <c r="AD53" s="365"/>
      <c r="AE53" s="365"/>
      <c r="AF53" s="365"/>
    </row>
    <row r="54" spans="1:32" ht="12.95" customHeight="1">
      <c r="A54" s="149" t="str">
        <f>IF(F54="♣","v","")</f>
        <v/>
      </c>
      <c r="B54" s="166">
        <v>2</v>
      </c>
      <c r="C54" s="479" t="s">
        <v>495</v>
      </c>
      <c r="D54" s="480"/>
      <c r="E54" s="481"/>
      <c r="F54" s="467" t="str">
        <f>IF(F$50&gt;=0.07,IF(F$50&lt;0.1,"♣",""),"")</f>
        <v/>
      </c>
      <c r="G54" s="467"/>
      <c r="H54" s="162" t="e">
        <f>IF(M54="♣","v","")</f>
        <v>#DIV/0!</v>
      </c>
      <c r="I54" s="166">
        <v>2</v>
      </c>
      <c r="J54" s="466" t="s">
        <v>484</v>
      </c>
      <c r="K54" s="466"/>
      <c r="L54" s="466"/>
      <c r="M54" s="467" t="e">
        <f>IF(M$50&lt;0.07,IF(M$50&gt;=0.03,"♣",""),"")</f>
        <v>#DIV/0!</v>
      </c>
      <c r="N54" s="467"/>
      <c r="T54" s="365" t="s">
        <v>390</v>
      </c>
      <c r="U54" s="366"/>
      <c r="V54" s="367"/>
      <c r="W54" s="367"/>
      <c r="X54" s="365"/>
      <c r="Y54" s="365"/>
      <c r="Z54" s="365"/>
      <c r="AA54" s="366"/>
      <c r="AB54" s="367"/>
      <c r="AC54" s="367"/>
      <c r="AD54" s="365"/>
      <c r="AE54" s="365"/>
      <c r="AF54" s="365"/>
    </row>
    <row r="55" spans="1:32" ht="12.95" customHeight="1">
      <c r="A55" s="149" t="str">
        <f>IF(F55="♣","v","")</f>
        <v/>
      </c>
      <c r="B55" s="166">
        <v>1</v>
      </c>
      <c r="C55" s="479" t="s">
        <v>502</v>
      </c>
      <c r="D55" s="480"/>
      <c r="E55" s="481"/>
      <c r="F55" s="467" t="str">
        <f>IF(F$50&gt;=0.1,"♣","")</f>
        <v/>
      </c>
      <c r="G55" s="467"/>
      <c r="H55" s="162" t="e">
        <f>IF(M55="♣","v","")</f>
        <v>#DIV/0!</v>
      </c>
      <c r="I55" s="166">
        <v>1</v>
      </c>
      <c r="J55" s="466" t="s">
        <v>503</v>
      </c>
      <c r="K55" s="466"/>
      <c r="L55" s="466"/>
      <c r="M55" s="467" t="e">
        <f>IF(M$50&lt;0.03,"♣","")</f>
        <v>#DIV/0!</v>
      </c>
      <c r="N55" s="467"/>
      <c r="S55" s="368"/>
      <c r="T55" s="365" t="s">
        <v>391</v>
      </c>
      <c r="U55" s="366"/>
      <c r="V55" s="367"/>
      <c r="W55" s="367"/>
      <c r="X55" s="365"/>
      <c r="Y55" s="365"/>
      <c r="Z55" s="365"/>
      <c r="AA55" s="366"/>
      <c r="AB55" s="367"/>
      <c r="AC55" s="367"/>
      <c r="AD55" s="365"/>
      <c r="AE55" s="365"/>
      <c r="AF55" s="365"/>
    </row>
    <row r="56" spans="1:32" ht="12.95" customHeight="1">
      <c r="B56" s="163"/>
      <c r="C56" s="163"/>
      <c r="D56" s="163"/>
      <c r="E56" s="163"/>
      <c r="F56" s="163"/>
      <c r="G56" s="163"/>
      <c r="H56" s="162"/>
      <c r="I56" s="163"/>
      <c r="J56" s="163"/>
      <c r="K56" s="163"/>
      <c r="L56" s="163"/>
      <c r="M56" s="163"/>
      <c r="N56" s="163"/>
      <c r="S56" s="368"/>
      <c r="T56" s="365" t="s">
        <v>392</v>
      </c>
      <c r="U56" s="366"/>
      <c r="V56" s="367"/>
      <c r="W56" s="367"/>
      <c r="X56" s="365"/>
      <c r="Y56" s="365"/>
      <c r="Z56" s="365"/>
      <c r="AA56" s="366"/>
      <c r="AB56" s="367"/>
      <c r="AC56" s="367"/>
      <c r="AD56" s="365"/>
      <c r="AE56" s="365"/>
      <c r="AF56" s="365"/>
    </row>
    <row r="57" spans="1:32" ht="12.95" customHeight="1">
      <c r="B57" s="163" t="s">
        <v>504</v>
      </c>
      <c r="C57" s="163"/>
      <c r="D57" s="163"/>
      <c r="E57" s="163"/>
      <c r="F57" s="476" t="e">
        <f>Q37</f>
        <v>#DIV/0!</v>
      </c>
      <c r="G57" s="476"/>
      <c r="H57" s="162"/>
      <c r="I57" s="165" t="s">
        <v>505</v>
      </c>
      <c r="J57" s="165"/>
      <c r="K57" s="165"/>
      <c r="L57" s="165"/>
      <c r="M57" s="482">
        <f>Q38</f>
        <v>9.6037961145134343</v>
      </c>
      <c r="N57" s="482"/>
      <c r="S57" s="368"/>
      <c r="T57" s="365" t="s">
        <v>393</v>
      </c>
      <c r="U57" s="366"/>
      <c r="V57" s="367"/>
      <c r="W57" s="367"/>
      <c r="X57" s="365"/>
      <c r="Y57" s="365"/>
      <c r="Z57" s="365"/>
      <c r="AA57" s="366"/>
      <c r="AB57" s="367"/>
      <c r="AC57" s="367"/>
      <c r="AD57" s="365"/>
      <c r="AE57" s="365"/>
      <c r="AF57" s="365"/>
    </row>
    <row r="58" spans="1:32" ht="12.95" customHeight="1">
      <c r="A58" s="149" t="e">
        <f>IF(F58="♣","v","")</f>
        <v>#DIV/0!</v>
      </c>
      <c r="B58" s="166">
        <v>5</v>
      </c>
      <c r="C58" s="468" t="s">
        <v>502</v>
      </c>
      <c r="D58" s="468"/>
      <c r="E58" s="468"/>
      <c r="F58" s="467" t="e">
        <f>IF(F$57&gt;=0.1,"♣","")</f>
        <v>#DIV/0!</v>
      </c>
      <c r="G58" s="467"/>
      <c r="H58" s="162" t="str">
        <f>IF(M58="♣","v","")</f>
        <v>v</v>
      </c>
      <c r="I58" s="166">
        <v>5</v>
      </c>
      <c r="J58" s="468" t="s">
        <v>506</v>
      </c>
      <c r="K58" s="468"/>
      <c r="L58" s="468"/>
      <c r="M58" s="467" t="str">
        <f>IF(M$57&gt;=5,"♣","")</f>
        <v>♣</v>
      </c>
      <c r="N58" s="467"/>
      <c r="S58" s="368"/>
      <c r="T58" s="365" t="s">
        <v>394</v>
      </c>
      <c r="U58" s="366"/>
      <c r="V58" s="367"/>
      <c r="W58" s="367"/>
      <c r="X58" s="365"/>
      <c r="Y58" s="365"/>
      <c r="Z58" s="365"/>
      <c r="AA58" s="366"/>
      <c r="AB58" s="367"/>
      <c r="AC58" s="367"/>
      <c r="AD58" s="365"/>
      <c r="AE58" s="365"/>
      <c r="AF58" s="365"/>
    </row>
    <row r="59" spans="1:32" ht="12.95" customHeight="1">
      <c r="A59" s="149" t="e">
        <f>IF(F59="♣","v","")</f>
        <v>#DIV/0!</v>
      </c>
      <c r="B59" s="166">
        <v>4</v>
      </c>
      <c r="C59" s="468" t="s">
        <v>507</v>
      </c>
      <c r="D59" s="468"/>
      <c r="E59" s="468"/>
      <c r="F59" s="467" t="e">
        <f>IF(F$57&lt;0.1,IF(F$57&gt;=0.07,"♣",""),"")</f>
        <v>#DIV/0!</v>
      </c>
      <c r="G59" s="467"/>
      <c r="H59" s="162" t="str">
        <f>IF(M59="♣","v","")</f>
        <v/>
      </c>
      <c r="I59" s="166">
        <v>4</v>
      </c>
      <c r="J59" s="468" t="s">
        <v>508</v>
      </c>
      <c r="K59" s="468"/>
      <c r="L59" s="468"/>
      <c r="M59" s="467" t="str">
        <f>IF(M$57&lt;5,IF(M$57&gt;=3,"♣",""),"")</f>
        <v/>
      </c>
      <c r="N59" s="467"/>
      <c r="S59" s="368"/>
      <c r="T59" s="365" t="s">
        <v>395</v>
      </c>
      <c r="U59" s="366"/>
      <c r="V59" s="367"/>
      <c r="W59" s="367"/>
      <c r="X59" s="365"/>
      <c r="Y59" s="365"/>
      <c r="Z59" s="365"/>
      <c r="AA59" s="366"/>
      <c r="AB59" s="367"/>
      <c r="AC59" s="367"/>
      <c r="AD59" s="365"/>
      <c r="AE59" s="365"/>
      <c r="AF59" s="365"/>
    </row>
    <row r="60" spans="1:32" ht="12.95" customHeight="1">
      <c r="A60" s="149" t="e">
        <f>IF(F60="♣","v","")</f>
        <v>#DIV/0!</v>
      </c>
      <c r="B60" s="166">
        <v>3</v>
      </c>
      <c r="C60" s="468" t="s">
        <v>509</v>
      </c>
      <c r="D60" s="468"/>
      <c r="E60" s="468"/>
      <c r="F60" s="467" t="e">
        <f>IF(F$57&lt;0.07,IF(F$57&gt;=0.04,"♣",""),"")</f>
        <v>#DIV/0!</v>
      </c>
      <c r="G60" s="467"/>
      <c r="H60" s="162" t="str">
        <f>IF(M60="♣","v","")</f>
        <v/>
      </c>
      <c r="I60" s="166">
        <v>3</v>
      </c>
      <c r="J60" s="468" t="s">
        <v>510</v>
      </c>
      <c r="K60" s="468"/>
      <c r="L60" s="468"/>
      <c r="M60" s="467" t="str">
        <f>IF(M$57&lt;3,IF(M$57&gt;=2,"♣",""),"")</f>
        <v/>
      </c>
      <c r="N60" s="467"/>
      <c r="S60" s="368"/>
      <c r="T60" s="365" t="s">
        <v>396</v>
      </c>
      <c r="U60" s="366"/>
      <c r="V60" s="367"/>
      <c r="W60" s="367"/>
      <c r="X60" s="365"/>
      <c r="Y60" s="365"/>
      <c r="Z60" s="365"/>
      <c r="AA60" s="366"/>
      <c r="AB60" s="367"/>
      <c r="AC60" s="367"/>
      <c r="AD60" s="365"/>
      <c r="AE60" s="365"/>
      <c r="AF60" s="365"/>
    </row>
    <row r="61" spans="1:32" ht="12.95" customHeight="1">
      <c r="A61" s="149" t="e">
        <f>IF(F61="♣","v","")</f>
        <v>#DIV/0!</v>
      </c>
      <c r="B61" s="166">
        <v>2</v>
      </c>
      <c r="C61" s="468" t="s">
        <v>511</v>
      </c>
      <c r="D61" s="468"/>
      <c r="E61" s="468"/>
      <c r="F61" s="467" t="e">
        <f>IF(F$57&lt;0.04,IF(F$57&gt;=0.01,"♣",""),"")</f>
        <v>#DIV/0!</v>
      </c>
      <c r="G61" s="467"/>
      <c r="H61" s="162" t="str">
        <f>IF(M61="♣","v","")</f>
        <v/>
      </c>
      <c r="I61" s="166">
        <v>2</v>
      </c>
      <c r="J61" s="468" t="s">
        <v>512</v>
      </c>
      <c r="K61" s="468"/>
      <c r="L61" s="468"/>
      <c r="M61" s="467" t="str">
        <f>IF(M$57&lt;2,IF(M$57&gt;=1,"♣",""),"")</f>
        <v/>
      </c>
      <c r="N61" s="467"/>
      <c r="S61" s="368"/>
      <c r="T61" s="365" t="s">
        <v>397</v>
      </c>
      <c r="U61" s="366"/>
      <c r="V61" s="367"/>
      <c r="W61" s="367"/>
      <c r="X61" s="365"/>
      <c r="Y61" s="365"/>
      <c r="Z61" s="365"/>
      <c r="AA61" s="366"/>
      <c r="AB61" s="367"/>
      <c r="AC61" s="367"/>
      <c r="AD61" s="365"/>
      <c r="AE61" s="365"/>
      <c r="AF61" s="365"/>
    </row>
    <row r="62" spans="1:32" ht="12.95" customHeight="1">
      <c r="A62" s="149" t="e">
        <f>IF(F62="♣","v","")</f>
        <v>#DIV/0!</v>
      </c>
      <c r="B62" s="166">
        <v>1</v>
      </c>
      <c r="C62" s="468" t="s">
        <v>513</v>
      </c>
      <c r="D62" s="468"/>
      <c r="E62" s="468"/>
      <c r="F62" s="467" t="e">
        <f>IF(F$57&lt;0.01,"♣","")</f>
        <v>#DIV/0!</v>
      </c>
      <c r="G62" s="467"/>
      <c r="H62" s="162" t="str">
        <f>IF(M62="♣","v","")</f>
        <v/>
      </c>
      <c r="I62" s="166">
        <v>1</v>
      </c>
      <c r="J62" s="468" t="s">
        <v>514</v>
      </c>
      <c r="K62" s="468"/>
      <c r="L62" s="468"/>
      <c r="M62" s="467" t="str">
        <f>IF(M$57&lt;1,"♣","")</f>
        <v/>
      </c>
      <c r="N62" s="467"/>
      <c r="S62" s="368"/>
      <c r="T62" s="365" t="s">
        <v>398</v>
      </c>
      <c r="U62" s="366"/>
      <c r="V62" s="367"/>
      <c r="W62" s="367"/>
      <c r="X62" s="365"/>
      <c r="Y62" s="365"/>
      <c r="Z62" s="365"/>
      <c r="AA62" s="366"/>
      <c r="AB62" s="367"/>
      <c r="AC62" s="367"/>
      <c r="AD62" s="365"/>
      <c r="AE62" s="365"/>
      <c r="AF62" s="365"/>
    </row>
    <row r="63" spans="1:32" ht="12.95" customHeight="1">
      <c r="B63" s="163"/>
      <c r="C63" s="163"/>
      <c r="D63" s="163"/>
      <c r="E63" s="163"/>
      <c r="F63" s="163"/>
      <c r="G63" s="163"/>
      <c r="H63" s="162"/>
      <c r="I63" s="163"/>
      <c r="J63" s="163"/>
      <c r="K63" s="163"/>
      <c r="L63" s="163"/>
      <c r="M63" s="163"/>
      <c r="N63" s="163"/>
      <c r="S63" s="368"/>
      <c r="T63" s="365" t="s">
        <v>399</v>
      </c>
      <c r="U63" s="366"/>
      <c r="V63" s="367"/>
      <c r="W63" s="367"/>
      <c r="X63" s="365"/>
      <c r="Y63" s="365"/>
      <c r="Z63" s="365"/>
      <c r="AA63" s="366"/>
      <c r="AB63" s="367"/>
      <c r="AC63" s="367"/>
      <c r="AD63" s="365"/>
      <c r="AE63" s="365"/>
      <c r="AF63" s="365"/>
    </row>
    <row r="64" spans="1:32" ht="12.95" customHeight="1" thickBot="1">
      <c r="B64" s="477" t="s">
        <v>515</v>
      </c>
      <c r="C64" s="478"/>
      <c r="D64" s="478"/>
      <c r="E64" s="478"/>
      <c r="F64" s="478"/>
      <c r="G64" s="478"/>
      <c r="H64" s="478"/>
      <c r="I64" s="478"/>
      <c r="J64" s="478"/>
      <c r="K64" s="478"/>
      <c r="L64" s="478"/>
      <c r="M64" s="478"/>
      <c r="N64" s="478"/>
      <c r="S64" s="368"/>
      <c r="T64" s="365" t="s">
        <v>400</v>
      </c>
      <c r="U64" s="366"/>
      <c r="V64" s="367"/>
      <c r="W64" s="367"/>
      <c r="X64" s="365"/>
      <c r="Y64" s="365"/>
      <c r="Z64" s="365"/>
      <c r="AA64" s="366"/>
      <c r="AB64" s="367"/>
      <c r="AC64" s="367"/>
      <c r="AD64" s="365"/>
      <c r="AE64" s="365"/>
      <c r="AF64" s="365"/>
    </row>
    <row r="65" spans="1:32" ht="12.95" customHeight="1" thickTop="1">
      <c r="B65" s="160"/>
      <c r="C65" s="133"/>
      <c r="D65" s="133"/>
      <c r="E65" s="133"/>
      <c r="F65" s="133"/>
      <c r="G65" s="133"/>
      <c r="H65" s="161"/>
      <c r="I65" s="133"/>
      <c r="J65" s="133"/>
      <c r="K65" s="133"/>
      <c r="L65" s="133"/>
      <c r="M65" s="133"/>
      <c r="N65" s="133"/>
      <c r="S65" s="368"/>
      <c r="T65" s="365" t="s">
        <v>401</v>
      </c>
      <c r="U65" s="366"/>
      <c r="V65" s="367"/>
      <c r="W65" s="367"/>
      <c r="X65" s="365"/>
      <c r="Y65" s="365"/>
      <c r="Z65" s="365"/>
      <c r="AA65" s="366"/>
      <c r="AB65" s="367"/>
      <c r="AC65" s="367"/>
      <c r="AD65" s="365"/>
      <c r="AE65" s="365"/>
      <c r="AF65" s="365"/>
    </row>
    <row r="66" spans="1:32" ht="12.95" customHeight="1">
      <c r="B66" s="163" t="s">
        <v>516</v>
      </c>
      <c r="C66" s="163"/>
      <c r="D66" s="163"/>
      <c r="E66" s="163"/>
      <c r="F66" s="476" t="e">
        <f>Q40</f>
        <v>#DIV/0!</v>
      </c>
      <c r="G66" s="476"/>
      <c r="H66" s="162"/>
      <c r="I66" s="163" t="s">
        <v>517</v>
      </c>
      <c r="J66" s="163"/>
      <c r="K66" s="163"/>
      <c r="L66" s="163"/>
      <c r="M66" s="472" t="e">
        <f>IF(ISTEXT(Q41),0,Q41)</f>
        <v>#DIV/0!</v>
      </c>
      <c r="N66" s="472"/>
      <c r="S66" s="368"/>
      <c r="T66" s="365" t="s">
        <v>402</v>
      </c>
      <c r="U66" s="366"/>
      <c r="V66" s="367"/>
      <c r="W66" s="367"/>
      <c r="X66" s="365"/>
      <c r="Y66" s="365"/>
      <c r="Z66" s="365"/>
      <c r="AA66" s="366"/>
      <c r="AB66" s="367"/>
      <c r="AC66" s="367"/>
      <c r="AD66" s="365"/>
      <c r="AE66" s="365"/>
      <c r="AF66" s="365"/>
    </row>
    <row r="67" spans="1:32" ht="12.95" customHeight="1">
      <c r="A67" s="149" t="e">
        <f>IF(F67="♣","v","")</f>
        <v>#DIV/0!</v>
      </c>
      <c r="B67" s="166">
        <v>5</v>
      </c>
      <c r="C67" s="466" t="s">
        <v>518</v>
      </c>
      <c r="D67" s="466"/>
      <c r="E67" s="466"/>
      <c r="F67" s="467" t="e">
        <f>IF(F$66&gt;=0.2,"♣","")</f>
        <v>#DIV/0!</v>
      </c>
      <c r="G67" s="467"/>
      <c r="H67" s="162" t="e">
        <f>IF(M67="♣","v","")</f>
        <v>#DIV/0!</v>
      </c>
      <c r="I67" s="166">
        <v>5</v>
      </c>
      <c r="J67" s="466" t="s">
        <v>518</v>
      </c>
      <c r="K67" s="466"/>
      <c r="L67" s="466"/>
      <c r="M67" s="467" t="e">
        <f>IF(M$66&gt;=0.2,"♣","")</f>
        <v>#DIV/0!</v>
      </c>
      <c r="N67" s="467"/>
      <c r="S67" s="368"/>
      <c r="T67" s="365" t="s">
        <v>403</v>
      </c>
      <c r="U67" s="366"/>
      <c r="V67" s="367"/>
      <c r="W67" s="367"/>
      <c r="X67" s="365"/>
      <c r="Y67" s="365"/>
      <c r="Z67" s="365"/>
      <c r="AA67" s="366"/>
      <c r="AB67" s="367"/>
      <c r="AC67" s="367"/>
      <c r="AD67" s="365"/>
      <c r="AE67" s="365"/>
      <c r="AF67" s="365"/>
    </row>
    <row r="68" spans="1:32" ht="12.95" customHeight="1">
      <c r="A68" s="149" t="e">
        <f>IF(F68="♣","v","")</f>
        <v>#DIV/0!</v>
      </c>
      <c r="B68" s="166">
        <v>4</v>
      </c>
      <c r="C68" s="466" t="s">
        <v>519</v>
      </c>
      <c r="D68" s="466"/>
      <c r="E68" s="466"/>
      <c r="F68" s="467" t="e">
        <f>IF(F$66&lt;0.2,IF(F$66&gt;=0.1,"♣",""),"")</f>
        <v>#DIV/0!</v>
      </c>
      <c r="G68" s="467"/>
      <c r="H68" s="162" t="e">
        <f>IF(M68="♣","v","")</f>
        <v>#DIV/0!</v>
      </c>
      <c r="I68" s="166">
        <v>4</v>
      </c>
      <c r="J68" s="466" t="s">
        <v>519</v>
      </c>
      <c r="K68" s="466"/>
      <c r="L68" s="466"/>
      <c r="M68" s="467" t="e">
        <f>IF(M$66&lt;0.2,IF(M$66&gt;=0.1,"♣",""),"")</f>
        <v>#DIV/0!</v>
      </c>
      <c r="N68" s="467"/>
      <c r="S68" s="368"/>
      <c r="T68" s="365" t="s">
        <v>404</v>
      </c>
      <c r="U68" s="366"/>
      <c r="V68" s="367"/>
      <c r="W68" s="367"/>
      <c r="X68" s="365"/>
      <c r="Y68" s="365"/>
      <c r="Z68" s="365"/>
      <c r="AA68" s="366"/>
      <c r="AB68" s="367"/>
      <c r="AC68" s="367"/>
      <c r="AD68" s="365"/>
      <c r="AE68" s="365"/>
      <c r="AF68" s="365"/>
    </row>
    <row r="69" spans="1:32" ht="12.95" customHeight="1">
      <c r="A69" s="149" t="e">
        <f>IF(F69="♣","v","")</f>
        <v>#DIV/0!</v>
      </c>
      <c r="B69" s="166">
        <v>3</v>
      </c>
      <c r="C69" s="466" t="s">
        <v>520</v>
      </c>
      <c r="D69" s="466"/>
      <c r="E69" s="466"/>
      <c r="F69" s="467" t="e">
        <f>IF(F$66&lt;0.1,IF(F$66&gt;=0.05,"♣",""),"")</f>
        <v>#DIV/0!</v>
      </c>
      <c r="G69" s="467"/>
      <c r="H69" s="162" t="e">
        <f>IF(M69="♣","v","")</f>
        <v>#DIV/0!</v>
      </c>
      <c r="I69" s="166">
        <v>3</v>
      </c>
      <c r="J69" s="466" t="s">
        <v>521</v>
      </c>
      <c r="K69" s="466"/>
      <c r="L69" s="466"/>
      <c r="M69" s="467" t="e">
        <f>IF(M$66&lt;0.1,IF(M$66&gt;=0.05,"♣",""),"")</f>
        <v>#DIV/0!</v>
      </c>
      <c r="N69" s="467"/>
      <c r="S69" s="368"/>
      <c r="T69" s="365" t="s">
        <v>405</v>
      </c>
      <c r="U69" s="366"/>
      <c r="V69" s="367"/>
      <c r="W69" s="367"/>
      <c r="X69" s="365"/>
      <c r="Y69" s="365"/>
      <c r="Z69" s="365"/>
      <c r="AA69" s="366"/>
      <c r="AB69" s="367"/>
      <c r="AC69" s="367"/>
      <c r="AD69" s="365"/>
      <c r="AE69" s="365"/>
      <c r="AF69" s="365"/>
    </row>
    <row r="70" spans="1:32" ht="12.95" customHeight="1">
      <c r="A70" s="149" t="e">
        <f>IF(F70="♣","v","")</f>
        <v>#DIV/0!</v>
      </c>
      <c r="B70" s="166">
        <v>2</v>
      </c>
      <c r="C70" s="466" t="s">
        <v>522</v>
      </c>
      <c r="D70" s="466"/>
      <c r="E70" s="466"/>
      <c r="F70" s="467" t="e">
        <f>IF(F$66&lt;0.05,IF(F$66&gt;=0.03,"♣",""),"")</f>
        <v>#DIV/0!</v>
      </c>
      <c r="G70" s="467"/>
      <c r="H70" s="162" t="e">
        <f>IF(M70="♣","v","")</f>
        <v>#DIV/0!</v>
      </c>
      <c r="I70" s="166">
        <v>2</v>
      </c>
      <c r="J70" s="466" t="s">
        <v>522</v>
      </c>
      <c r="K70" s="466"/>
      <c r="L70" s="466"/>
      <c r="M70" s="467" t="e">
        <f>IF(M$66&lt;0.05,IF(M$66&gt;=0.03,"♣",""),"")</f>
        <v>#DIV/0!</v>
      </c>
      <c r="N70" s="467"/>
      <c r="S70" s="368"/>
      <c r="T70" s="365" t="s">
        <v>406</v>
      </c>
      <c r="U70" s="366"/>
      <c r="V70" s="367"/>
      <c r="W70" s="367"/>
      <c r="X70" s="365"/>
      <c r="Y70" s="365"/>
      <c r="Z70" s="365"/>
      <c r="AA70" s="366"/>
      <c r="AB70" s="367"/>
      <c r="AC70" s="367"/>
      <c r="AD70" s="365"/>
      <c r="AE70" s="365"/>
      <c r="AF70" s="365"/>
    </row>
    <row r="71" spans="1:32" ht="12.95" customHeight="1">
      <c r="A71" s="149" t="e">
        <f>IF(F71="♣","v","")</f>
        <v>#DIV/0!</v>
      </c>
      <c r="B71" s="166">
        <v>1</v>
      </c>
      <c r="C71" s="466" t="s">
        <v>503</v>
      </c>
      <c r="D71" s="466"/>
      <c r="E71" s="466"/>
      <c r="F71" s="467" t="e">
        <f>IF(F$66&lt;0.03,"♣","")</f>
        <v>#DIV/0!</v>
      </c>
      <c r="G71" s="467"/>
      <c r="H71" s="162" t="e">
        <f>IF(M71="♣","v","")</f>
        <v>#DIV/0!</v>
      </c>
      <c r="I71" s="166">
        <v>1</v>
      </c>
      <c r="J71" s="466" t="s">
        <v>503</v>
      </c>
      <c r="K71" s="466"/>
      <c r="L71" s="466"/>
      <c r="M71" s="467" t="e">
        <f>IF(M$66&lt;0.03,"♣","")</f>
        <v>#DIV/0!</v>
      </c>
      <c r="N71" s="467"/>
      <c r="S71" s="368"/>
      <c r="T71" s="365" t="s">
        <v>407</v>
      </c>
      <c r="U71" s="366"/>
      <c r="V71" s="367"/>
      <c r="W71" s="367"/>
      <c r="X71" s="365"/>
      <c r="Y71" s="365"/>
      <c r="Z71" s="365"/>
      <c r="AA71" s="366"/>
      <c r="AB71" s="367"/>
      <c r="AC71" s="367"/>
      <c r="AD71" s="365"/>
      <c r="AE71" s="365"/>
      <c r="AF71" s="365"/>
    </row>
    <row r="72" spans="1:32" ht="12.95" customHeight="1">
      <c r="B72" s="163"/>
      <c r="C72" s="163"/>
      <c r="D72" s="163"/>
      <c r="E72" s="163"/>
      <c r="F72" s="163"/>
      <c r="G72" s="163"/>
      <c r="H72" s="162"/>
      <c r="I72" s="163"/>
      <c r="J72" s="163"/>
      <c r="K72" s="163"/>
      <c r="L72" s="163"/>
      <c r="M72" s="163"/>
      <c r="N72" s="163"/>
      <c r="S72" s="368"/>
      <c r="T72" s="365" t="s">
        <v>408</v>
      </c>
      <c r="U72" s="366"/>
      <c r="V72" s="367"/>
      <c r="W72" s="367"/>
      <c r="X72" s="365"/>
      <c r="Y72" s="365"/>
      <c r="Z72" s="365"/>
      <c r="AA72" s="366"/>
      <c r="AB72" s="367"/>
      <c r="AC72" s="367"/>
      <c r="AD72" s="365"/>
      <c r="AE72" s="365"/>
      <c r="AF72" s="365"/>
    </row>
    <row r="73" spans="1:32" ht="12.95" customHeight="1">
      <c r="B73" s="163" t="s">
        <v>523</v>
      </c>
      <c r="C73" s="163"/>
      <c r="D73" s="163"/>
      <c r="E73" s="163"/>
      <c r="F73" s="476" t="e">
        <f>IF(ISTEXT(Q42),0,Q42)</f>
        <v>#DIV/0!</v>
      </c>
      <c r="G73" s="476"/>
      <c r="H73" s="162"/>
      <c r="I73" s="163" t="s">
        <v>524</v>
      </c>
      <c r="J73" s="163"/>
      <c r="K73" s="163"/>
      <c r="L73" s="163"/>
      <c r="M73" s="483" t="e">
        <f>Q43</f>
        <v>#DIV/0!</v>
      </c>
      <c r="N73" s="483"/>
      <c r="S73" s="368"/>
      <c r="T73" s="365" t="s">
        <v>409</v>
      </c>
      <c r="U73" s="366"/>
      <c r="V73" s="367"/>
      <c r="W73" s="367"/>
      <c r="X73" s="365"/>
      <c r="Y73" s="365"/>
      <c r="Z73" s="365"/>
      <c r="AA73" s="366"/>
      <c r="AB73" s="367"/>
      <c r="AC73" s="367"/>
      <c r="AD73" s="365"/>
      <c r="AE73" s="365"/>
      <c r="AF73" s="365"/>
    </row>
    <row r="74" spans="1:32" ht="12.95" customHeight="1">
      <c r="A74" s="149" t="e">
        <f>IF(F74="♣","v","")</f>
        <v>#DIV/0!</v>
      </c>
      <c r="B74" s="166">
        <v>5</v>
      </c>
      <c r="C74" s="466" t="s">
        <v>525</v>
      </c>
      <c r="D74" s="466"/>
      <c r="E74" s="466"/>
      <c r="F74" s="467" t="e">
        <f>IF(F$73&gt;=0.15,"♣","")</f>
        <v>#DIV/0!</v>
      </c>
      <c r="G74" s="467"/>
      <c r="H74" s="162" t="e">
        <f>IF(M74="♣","v","")</f>
        <v>#DIV/0!</v>
      </c>
      <c r="I74" s="166">
        <v>5</v>
      </c>
      <c r="J74" s="466" t="s">
        <v>526</v>
      </c>
      <c r="K74" s="466"/>
      <c r="L74" s="466"/>
      <c r="M74" s="467" t="e">
        <f>IF(M$73&gt;=10,"♣","")</f>
        <v>#DIV/0!</v>
      </c>
      <c r="N74" s="467"/>
      <c r="S74" s="368"/>
      <c r="T74" s="365" t="s">
        <v>410</v>
      </c>
      <c r="U74" s="366"/>
      <c r="V74" s="367"/>
      <c r="W74" s="367"/>
      <c r="X74" s="365"/>
      <c r="Y74" s="365"/>
      <c r="Z74" s="365"/>
      <c r="AA74" s="366"/>
      <c r="AB74" s="367"/>
      <c r="AC74" s="367"/>
      <c r="AD74" s="365"/>
      <c r="AE74" s="365"/>
      <c r="AF74" s="365"/>
    </row>
    <row r="75" spans="1:32" ht="12.95" customHeight="1">
      <c r="A75" s="149" t="e">
        <f>IF(F75="♣","v","")</f>
        <v>#DIV/0!</v>
      </c>
      <c r="B75" s="166">
        <v>4</v>
      </c>
      <c r="C75" s="466" t="s">
        <v>527</v>
      </c>
      <c r="D75" s="466"/>
      <c r="E75" s="466"/>
      <c r="F75" s="467" t="e">
        <f>IF(F$73&lt;0.15,IF(F$73&gt;=0.1,"♣",""),"")</f>
        <v>#DIV/0!</v>
      </c>
      <c r="G75" s="467"/>
      <c r="H75" s="162" t="e">
        <f>IF(M75="♣","v","")</f>
        <v>#DIV/0!</v>
      </c>
      <c r="I75" s="166">
        <v>4</v>
      </c>
      <c r="J75" s="466" t="s">
        <v>528</v>
      </c>
      <c r="K75" s="466"/>
      <c r="L75" s="466"/>
      <c r="M75" s="467" t="e">
        <f>IF(M$73&lt;10,IF(M$73&gt;=7,"♣",""),"")</f>
        <v>#DIV/0!</v>
      </c>
      <c r="N75" s="467"/>
      <c r="S75" s="368"/>
      <c r="T75" s="365" t="s">
        <v>411</v>
      </c>
      <c r="U75" s="366"/>
      <c r="V75" s="367"/>
      <c r="W75" s="367"/>
      <c r="X75" s="365"/>
      <c r="Y75" s="365"/>
      <c r="Z75" s="365"/>
      <c r="AA75" s="366"/>
      <c r="AB75" s="367"/>
      <c r="AC75" s="367"/>
      <c r="AD75" s="365"/>
      <c r="AE75" s="365"/>
      <c r="AF75" s="365"/>
    </row>
    <row r="76" spans="1:32" ht="12.95" customHeight="1">
      <c r="A76" s="149" t="e">
        <f>IF(F76="♣","v","")</f>
        <v>#DIV/0!</v>
      </c>
      <c r="B76" s="166">
        <v>3</v>
      </c>
      <c r="C76" s="466" t="s">
        <v>520</v>
      </c>
      <c r="D76" s="466"/>
      <c r="E76" s="466"/>
      <c r="F76" s="467" t="e">
        <f>IF(F$73&lt;0.1,IF(F$73&gt;=0.05,"♣",""),"")</f>
        <v>#DIV/0!</v>
      </c>
      <c r="G76" s="467"/>
      <c r="H76" s="162" t="e">
        <f>IF(M76="♣","v","")</f>
        <v>#DIV/0!</v>
      </c>
      <c r="I76" s="166">
        <v>3</v>
      </c>
      <c r="J76" s="466" t="s">
        <v>529</v>
      </c>
      <c r="K76" s="466"/>
      <c r="L76" s="466"/>
      <c r="M76" s="467" t="e">
        <f>IF(M$73&lt;7,IF(M$73&gt;=5,"♣",""),"")</f>
        <v>#DIV/0!</v>
      </c>
      <c r="N76" s="467"/>
      <c r="S76" s="368"/>
      <c r="T76" s="365" t="s">
        <v>412</v>
      </c>
      <c r="U76" s="366"/>
      <c r="V76" s="367"/>
      <c r="W76" s="367"/>
      <c r="X76" s="365"/>
      <c r="Y76" s="365"/>
      <c r="Z76" s="365"/>
      <c r="AA76" s="366"/>
      <c r="AB76" s="367"/>
      <c r="AC76" s="367"/>
      <c r="AD76" s="365"/>
      <c r="AE76" s="365"/>
      <c r="AF76" s="365"/>
    </row>
    <row r="77" spans="1:32" ht="12.95" customHeight="1">
      <c r="A77" s="149" t="e">
        <f>IF(F77="♣","v","")</f>
        <v>#DIV/0!</v>
      </c>
      <c r="B77" s="166">
        <v>2</v>
      </c>
      <c r="C77" s="466" t="s">
        <v>522</v>
      </c>
      <c r="D77" s="466"/>
      <c r="E77" s="466"/>
      <c r="F77" s="467" t="e">
        <f>IF(F$73&lt;0.05,IF(F$73&gt;=0.03,"♣",""),"")</f>
        <v>#DIV/0!</v>
      </c>
      <c r="G77" s="467"/>
      <c r="H77" s="162" t="e">
        <f>IF(M77="♣","v","")</f>
        <v>#DIV/0!</v>
      </c>
      <c r="I77" s="166">
        <v>2</v>
      </c>
      <c r="J77" s="466" t="s">
        <v>508</v>
      </c>
      <c r="K77" s="466"/>
      <c r="L77" s="466"/>
      <c r="M77" s="467" t="e">
        <f>IF(M$73&lt;5,IF(M$73&gt;=3,"♣",""),"")</f>
        <v>#DIV/0!</v>
      </c>
      <c r="N77" s="467"/>
      <c r="S77" s="368"/>
      <c r="T77" s="365" t="s">
        <v>413</v>
      </c>
      <c r="U77" s="366"/>
      <c r="V77" s="367"/>
      <c r="W77" s="367"/>
      <c r="X77" s="365"/>
      <c r="Y77" s="365"/>
      <c r="Z77" s="365"/>
      <c r="AA77" s="366"/>
      <c r="AB77" s="367"/>
      <c r="AC77" s="367"/>
      <c r="AD77" s="365"/>
      <c r="AE77" s="365"/>
      <c r="AF77" s="365"/>
    </row>
    <row r="78" spans="1:32" ht="12.95" customHeight="1">
      <c r="A78" s="149" t="e">
        <f>IF(F78="♣","v","")</f>
        <v>#DIV/0!</v>
      </c>
      <c r="B78" s="166">
        <v>1</v>
      </c>
      <c r="C78" s="466" t="s">
        <v>503</v>
      </c>
      <c r="D78" s="466"/>
      <c r="E78" s="466"/>
      <c r="F78" s="467" t="e">
        <f>IF(F$73&lt;0.03,"♣","")</f>
        <v>#DIV/0!</v>
      </c>
      <c r="G78" s="467"/>
      <c r="H78" s="162" t="e">
        <f>IF(M78="♣","v","")</f>
        <v>#DIV/0!</v>
      </c>
      <c r="I78" s="166">
        <v>1</v>
      </c>
      <c r="J78" s="466" t="s">
        <v>530</v>
      </c>
      <c r="K78" s="466"/>
      <c r="L78" s="466"/>
      <c r="M78" s="467" t="e">
        <f>IF(M$73&lt;3,"♣","")</f>
        <v>#DIV/0!</v>
      </c>
      <c r="N78" s="467"/>
      <c r="S78" s="368"/>
      <c r="T78" s="365" t="s">
        <v>414</v>
      </c>
      <c r="U78" s="366"/>
      <c r="V78" s="367"/>
      <c r="W78" s="367"/>
      <c r="X78" s="365"/>
      <c r="Y78" s="365"/>
      <c r="Z78" s="365"/>
      <c r="AA78" s="366"/>
      <c r="AB78" s="367"/>
      <c r="AC78" s="367"/>
      <c r="AD78" s="365"/>
      <c r="AE78" s="365"/>
      <c r="AF78" s="365"/>
    </row>
    <row r="79" spans="1:32" ht="12.95" customHeight="1">
      <c r="B79" s="163"/>
      <c r="C79" s="163"/>
      <c r="D79" s="163"/>
      <c r="E79" s="163"/>
      <c r="F79" s="163"/>
      <c r="G79" s="163"/>
      <c r="H79" s="162"/>
      <c r="I79" s="163"/>
      <c r="J79" s="163"/>
      <c r="K79" s="163"/>
      <c r="L79" s="163"/>
      <c r="M79" s="163"/>
      <c r="N79" s="163"/>
      <c r="S79" s="368"/>
      <c r="T79" s="365" t="s">
        <v>415</v>
      </c>
      <c r="U79" s="366"/>
      <c r="V79" s="367"/>
      <c r="W79" s="367"/>
      <c r="X79" s="365"/>
      <c r="Y79" s="365"/>
      <c r="Z79" s="365"/>
      <c r="AA79" s="366"/>
      <c r="AB79" s="367"/>
      <c r="AC79" s="367"/>
      <c r="AD79" s="365"/>
      <c r="AE79" s="365"/>
      <c r="AF79" s="365"/>
    </row>
    <row r="80" spans="1:32" ht="12.95" customHeight="1" thickBot="1">
      <c r="B80" s="477" t="s">
        <v>531</v>
      </c>
      <c r="C80" s="478"/>
      <c r="D80" s="478"/>
      <c r="E80" s="478"/>
      <c r="F80" s="478"/>
      <c r="G80" s="478"/>
      <c r="H80" s="478"/>
      <c r="I80" s="478"/>
      <c r="J80" s="478"/>
      <c r="K80" s="478"/>
      <c r="L80" s="478"/>
      <c r="M80" s="478"/>
      <c r="N80" s="478"/>
      <c r="S80" s="368"/>
      <c r="T80" s="365" t="s">
        <v>416</v>
      </c>
      <c r="U80" s="366"/>
      <c r="V80" s="367"/>
      <c r="W80" s="367"/>
      <c r="X80" s="365"/>
      <c r="Y80" s="365"/>
      <c r="Z80" s="365"/>
      <c r="AA80" s="366"/>
      <c r="AB80" s="367"/>
      <c r="AC80" s="367"/>
      <c r="AD80" s="365"/>
      <c r="AE80" s="365"/>
      <c r="AF80" s="365"/>
    </row>
    <row r="81" spans="1:32" ht="12.95" customHeight="1" thickTop="1">
      <c r="B81" s="160"/>
      <c r="C81" s="133"/>
      <c r="D81" s="133"/>
      <c r="E81" s="133"/>
      <c r="F81" s="133"/>
      <c r="G81" s="133"/>
      <c r="H81" s="161"/>
      <c r="I81" s="133"/>
      <c r="J81" s="133"/>
      <c r="K81" s="133"/>
      <c r="L81" s="133"/>
      <c r="M81" s="133"/>
      <c r="N81" s="133"/>
      <c r="S81" s="368"/>
      <c r="T81" s="365" t="s">
        <v>417</v>
      </c>
      <c r="U81" s="366"/>
      <c r="V81" s="367"/>
      <c r="W81" s="367"/>
      <c r="X81" s="365"/>
      <c r="Y81" s="365"/>
      <c r="Z81" s="365"/>
      <c r="AA81" s="366"/>
      <c r="AB81" s="367"/>
      <c r="AC81" s="367"/>
      <c r="AD81" s="365"/>
      <c r="AE81" s="365"/>
      <c r="AF81" s="365"/>
    </row>
    <row r="82" spans="1:32" ht="12.95" customHeight="1">
      <c r="B82" s="163" t="s">
        <v>532</v>
      </c>
      <c r="C82" s="163"/>
      <c r="D82" s="163"/>
      <c r="E82" s="163"/>
      <c r="F82" s="476">
        <f>Q45</f>
        <v>0</v>
      </c>
      <c r="G82" s="476"/>
      <c r="H82" s="162"/>
      <c r="I82" s="158"/>
      <c r="J82" s="158"/>
      <c r="K82" s="158"/>
      <c r="L82" s="158"/>
      <c r="M82" s="158"/>
      <c r="N82" s="158"/>
      <c r="S82" s="368"/>
      <c r="T82" s="365" t="s">
        <v>418</v>
      </c>
      <c r="U82" s="366"/>
      <c r="V82" s="367"/>
      <c r="W82" s="367"/>
      <c r="X82" s="365"/>
      <c r="Y82" s="365"/>
      <c r="Z82" s="365"/>
      <c r="AA82" s="366"/>
      <c r="AB82" s="367"/>
      <c r="AC82" s="367"/>
      <c r="AD82" s="365"/>
      <c r="AE82" s="365"/>
      <c r="AF82" s="365"/>
    </row>
    <row r="83" spans="1:32" ht="12.95" customHeight="1">
      <c r="A83" s="149" t="str">
        <f>IF(F83="♣","v","")</f>
        <v/>
      </c>
      <c r="B83" s="166">
        <v>10</v>
      </c>
      <c r="C83" s="468" t="s">
        <v>533</v>
      </c>
      <c r="D83" s="468"/>
      <c r="E83" s="468"/>
      <c r="F83" s="467" t="str">
        <f>IF(F$82&gt;=0.3,"♣","")</f>
        <v/>
      </c>
      <c r="G83" s="467"/>
      <c r="H83" s="162"/>
      <c r="I83" s="158"/>
      <c r="J83" s="158"/>
      <c r="K83" s="158"/>
      <c r="L83" s="158"/>
      <c r="M83" s="158"/>
      <c r="N83" s="158"/>
      <c r="S83" s="368"/>
      <c r="T83" s="365" t="s">
        <v>419</v>
      </c>
      <c r="U83" s="366"/>
      <c r="V83" s="367"/>
      <c r="W83" s="367"/>
      <c r="X83" s="365"/>
      <c r="Y83" s="365"/>
      <c r="Z83" s="365"/>
      <c r="AA83" s="366"/>
      <c r="AB83" s="367"/>
      <c r="AC83" s="367"/>
      <c r="AD83" s="365"/>
      <c r="AE83" s="365"/>
      <c r="AF83" s="365"/>
    </row>
    <row r="84" spans="1:32" ht="12.95" customHeight="1">
      <c r="A84" s="149" t="str">
        <f>IF(F84="♣","v","")</f>
        <v/>
      </c>
      <c r="B84" s="166">
        <v>7</v>
      </c>
      <c r="C84" s="468" t="s">
        <v>534</v>
      </c>
      <c r="D84" s="468"/>
      <c r="E84" s="468"/>
      <c r="F84" s="467" t="str">
        <f>IF(F$82&lt;0.3,IF(F$82&gt;=0.25,"♣",""),"")</f>
        <v/>
      </c>
      <c r="G84" s="467"/>
      <c r="H84" s="162"/>
      <c r="I84" s="158"/>
      <c r="J84" s="158"/>
      <c r="K84" s="158"/>
      <c r="L84" s="158"/>
      <c r="M84" s="158"/>
      <c r="N84" s="158"/>
      <c r="S84" s="368"/>
      <c r="T84" s="365" t="s">
        <v>420</v>
      </c>
      <c r="U84" s="366"/>
      <c r="V84" s="367"/>
      <c r="W84" s="367"/>
      <c r="X84" s="365"/>
      <c r="Y84" s="365"/>
      <c r="Z84" s="365"/>
      <c r="AA84" s="366"/>
      <c r="AB84" s="367"/>
      <c r="AC84" s="367"/>
      <c r="AD84" s="365"/>
      <c r="AE84" s="365"/>
      <c r="AF84" s="365"/>
    </row>
    <row r="85" spans="1:32" ht="12.95" customHeight="1">
      <c r="A85" s="149" t="str">
        <f>IF(F85="♣","v","")</f>
        <v/>
      </c>
      <c r="B85" s="166">
        <v>5</v>
      </c>
      <c r="C85" s="468" t="s">
        <v>535</v>
      </c>
      <c r="D85" s="468"/>
      <c r="E85" s="468"/>
      <c r="F85" s="467" t="str">
        <f>IF(F$82&lt;0.25,IF(F$82&gt;=0.15,"♣",""),"")</f>
        <v/>
      </c>
      <c r="G85" s="467"/>
      <c r="H85" s="162"/>
      <c r="I85" s="158"/>
      <c r="J85" s="158"/>
      <c r="K85" s="158"/>
      <c r="L85" s="158"/>
      <c r="M85" s="158"/>
      <c r="N85" s="158"/>
      <c r="S85" s="368"/>
    </row>
    <row r="86" spans="1:32" ht="12.95" customHeight="1">
      <c r="A86" s="149" t="str">
        <f>IF(F86="♣","v","")</f>
        <v/>
      </c>
      <c r="B86" s="166">
        <v>3</v>
      </c>
      <c r="C86" s="468" t="s">
        <v>536</v>
      </c>
      <c r="D86" s="468"/>
      <c r="E86" s="468"/>
      <c r="F86" s="467" t="str">
        <f>IF(F$82&lt;0.15,IF(F$82&gt;=0.05,"♣",""),"")</f>
        <v/>
      </c>
      <c r="G86" s="467"/>
      <c r="H86" s="162"/>
      <c r="I86" s="158"/>
      <c r="J86" s="158"/>
      <c r="K86" s="158"/>
      <c r="L86" s="158"/>
      <c r="M86" s="158"/>
      <c r="N86" s="158"/>
      <c r="S86" s="368"/>
    </row>
    <row r="87" spans="1:32" ht="12.95" customHeight="1">
      <c r="A87" s="149" t="str">
        <f>IF(F87="♣","v","")</f>
        <v>v</v>
      </c>
      <c r="B87" s="166">
        <v>1</v>
      </c>
      <c r="C87" s="468" t="s">
        <v>537</v>
      </c>
      <c r="D87" s="468"/>
      <c r="E87" s="468"/>
      <c r="F87" s="467" t="str">
        <f>IF(F$82&lt;0.05,"♣","")</f>
        <v>♣</v>
      </c>
      <c r="G87" s="467"/>
      <c r="H87" s="162"/>
      <c r="I87" s="158"/>
      <c r="J87" s="158"/>
      <c r="K87" s="158"/>
      <c r="L87" s="158"/>
      <c r="M87" s="158"/>
      <c r="N87" s="158"/>
      <c r="S87" s="368"/>
    </row>
    <row r="88" spans="1:32" ht="12.95" customHeight="1">
      <c r="B88" s="163"/>
      <c r="C88" s="163"/>
      <c r="D88" s="163"/>
      <c r="E88" s="163"/>
      <c r="F88" s="163"/>
      <c r="G88" s="163"/>
      <c r="H88" s="162"/>
      <c r="I88" s="163"/>
      <c r="J88" s="163"/>
      <c r="K88" s="163"/>
      <c r="L88" s="163"/>
      <c r="M88" s="163"/>
      <c r="N88" s="163"/>
    </row>
    <row r="89" spans="1:32" ht="12.95" customHeight="1" thickBot="1">
      <c r="B89" s="477" t="s">
        <v>538</v>
      </c>
      <c r="C89" s="478"/>
      <c r="D89" s="478"/>
      <c r="E89" s="478"/>
      <c r="F89" s="478"/>
      <c r="G89" s="478"/>
      <c r="H89" s="478"/>
      <c r="I89" s="478"/>
      <c r="J89" s="478"/>
      <c r="K89" s="478"/>
      <c r="L89" s="478"/>
      <c r="M89" s="478"/>
      <c r="N89" s="478"/>
    </row>
    <row r="90" spans="1:32" ht="12.95" customHeight="1" thickTop="1">
      <c r="B90" s="160"/>
      <c r="C90" s="133"/>
      <c r="D90" s="133"/>
      <c r="E90" s="133"/>
      <c r="F90" s="133"/>
      <c r="G90" s="133"/>
      <c r="H90" s="161"/>
      <c r="I90" s="133"/>
      <c r="J90" s="133"/>
      <c r="K90" s="133"/>
      <c r="L90" s="133"/>
      <c r="M90" s="133"/>
      <c r="N90" s="133"/>
    </row>
    <row r="91" spans="1:32" ht="12.95" customHeight="1">
      <c r="B91" s="163" t="s">
        <v>539</v>
      </c>
      <c r="C91" s="163"/>
      <c r="D91" s="163"/>
      <c r="E91" s="163"/>
      <c r="F91" s="484">
        <f>Q47</f>
        <v>149.65245999999999</v>
      </c>
      <c r="G91" s="484"/>
      <c r="H91" s="162"/>
      <c r="I91" s="163" t="s">
        <v>540</v>
      </c>
      <c r="J91" s="163"/>
      <c r="K91" s="163"/>
      <c r="L91" s="163"/>
      <c r="M91" s="485">
        <f>Q48</f>
        <v>0</v>
      </c>
      <c r="N91" s="485"/>
    </row>
    <row r="92" spans="1:32" ht="12.95" customHeight="1">
      <c r="A92" s="149" t="str">
        <f>IF(F92="♣","v","")</f>
        <v/>
      </c>
      <c r="B92" s="166">
        <v>7</v>
      </c>
      <c r="C92" s="466" t="s">
        <v>541</v>
      </c>
      <c r="D92" s="466"/>
      <c r="E92" s="466"/>
      <c r="F92" s="467" t="str">
        <f>IF(F$91&gt;=10000,"♣","")</f>
        <v/>
      </c>
      <c r="G92" s="467"/>
      <c r="H92" s="162" t="str">
        <f>IF(M92="♣","v","")</f>
        <v/>
      </c>
      <c r="I92" s="166">
        <v>8</v>
      </c>
      <c r="J92" s="466" t="s">
        <v>542</v>
      </c>
      <c r="K92" s="466"/>
      <c r="L92" s="466"/>
      <c r="M92" s="467" t="str">
        <f>IF(M$91&gt;=3000,"♣","")</f>
        <v/>
      </c>
      <c r="N92" s="467"/>
    </row>
    <row r="93" spans="1:32" ht="12.95" customHeight="1">
      <c r="A93" s="149" t="str">
        <f>IF(F93="♣","v","")</f>
        <v/>
      </c>
      <c r="B93" s="166">
        <v>5</v>
      </c>
      <c r="C93" s="466" t="s">
        <v>543</v>
      </c>
      <c r="D93" s="466"/>
      <c r="E93" s="466"/>
      <c r="F93" s="467" t="str">
        <f>IF(F$91&lt;10000,IF(F$91&gt;=5000,"♣",""),"")</f>
        <v/>
      </c>
      <c r="G93" s="467"/>
      <c r="H93" s="162" t="str">
        <f>IF(M93="♣","v","")</f>
        <v/>
      </c>
      <c r="I93" s="166">
        <v>7</v>
      </c>
      <c r="J93" s="466" t="s">
        <v>544</v>
      </c>
      <c r="K93" s="466"/>
      <c r="L93" s="466"/>
      <c r="M93" s="467" t="str">
        <f>IF(M$91&lt;3000,IF(M$91&gt;=700,"♣",""),"")</f>
        <v/>
      </c>
      <c r="N93" s="467"/>
    </row>
    <row r="94" spans="1:32" ht="12.95" customHeight="1">
      <c r="A94" s="149" t="str">
        <f>IF(F94="♣","v","")</f>
        <v/>
      </c>
      <c r="B94" s="166">
        <v>3</v>
      </c>
      <c r="C94" s="466" t="s">
        <v>545</v>
      </c>
      <c r="D94" s="466"/>
      <c r="E94" s="466"/>
      <c r="F94" s="467" t="str">
        <f>IF(F$91&lt;5000,IF(F$91&gt;=1000,"♣",""),"")</f>
        <v/>
      </c>
      <c r="G94" s="467"/>
      <c r="H94" s="162" t="str">
        <f>IF(M94="♣","v","")</f>
        <v/>
      </c>
      <c r="I94" s="166">
        <v>5</v>
      </c>
      <c r="J94" s="466" t="s">
        <v>546</v>
      </c>
      <c r="K94" s="466"/>
      <c r="L94" s="466"/>
      <c r="M94" s="467" t="str">
        <f>IF(M$91&lt;700,IF(M$91&gt;=300,"♣",""),"")</f>
        <v/>
      </c>
      <c r="N94" s="467"/>
    </row>
    <row r="95" spans="1:32" ht="12.95" customHeight="1">
      <c r="A95" s="149" t="str">
        <f>IF(F95="♣","v","")</f>
        <v/>
      </c>
      <c r="B95" s="166">
        <v>2</v>
      </c>
      <c r="C95" s="466" t="s">
        <v>547</v>
      </c>
      <c r="D95" s="466"/>
      <c r="E95" s="466"/>
      <c r="F95" s="467" t="str">
        <f>IF(F$91&lt;1000,IF(F$91&gt;=500,"♣",""),"")</f>
        <v/>
      </c>
      <c r="G95" s="467"/>
      <c r="H95" s="162" t="str">
        <f>IF(M95="♣","v","")</f>
        <v/>
      </c>
      <c r="I95" s="166">
        <v>3</v>
      </c>
      <c r="J95" s="466" t="s">
        <v>548</v>
      </c>
      <c r="K95" s="466"/>
      <c r="L95" s="466"/>
      <c r="M95" s="467" t="str">
        <f>IF(M$91&lt;300,IF(M$91&gt;=100,"♣",""),"")</f>
        <v/>
      </c>
      <c r="N95" s="467"/>
    </row>
    <row r="96" spans="1:32" ht="12.95" customHeight="1">
      <c r="A96" s="149" t="str">
        <f>IF(F96="♣","v","")</f>
        <v>v</v>
      </c>
      <c r="B96" s="166">
        <v>1</v>
      </c>
      <c r="C96" s="466" t="s">
        <v>549</v>
      </c>
      <c r="D96" s="466"/>
      <c r="E96" s="466"/>
      <c r="F96" s="467" t="str">
        <f>IF(F$91&lt;500,"♣","")</f>
        <v>♣</v>
      </c>
      <c r="G96" s="467"/>
      <c r="H96" s="162" t="str">
        <f>IF(M96="♣","v","")</f>
        <v>v</v>
      </c>
      <c r="I96" s="166">
        <v>1</v>
      </c>
      <c r="J96" s="466" t="s">
        <v>550</v>
      </c>
      <c r="K96" s="466"/>
      <c r="L96" s="466"/>
      <c r="M96" s="467" t="str">
        <f>IF(M$91&lt;100,"♣","")</f>
        <v>♣</v>
      </c>
      <c r="N96" s="467"/>
    </row>
  </sheetData>
  <mergeCells count="257">
    <mergeCell ref="C96:E96"/>
    <mergeCell ref="F96:G96"/>
    <mergeCell ref="J96:L96"/>
    <mergeCell ref="M96:N96"/>
    <mergeCell ref="C95:E95"/>
    <mergeCell ref="F95:G95"/>
    <mergeCell ref="J95:L95"/>
    <mergeCell ref="M95:N95"/>
    <mergeCell ref="C94:E94"/>
    <mergeCell ref="F94:G94"/>
    <mergeCell ref="J94:L94"/>
    <mergeCell ref="M94:N94"/>
    <mergeCell ref="C93:E93"/>
    <mergeCell ref="F93:G93"/>
    <mergeCell ref="J93:L93"/>
    <mergeCell ref="M93:N93"/>
    <mergeCell ref="C92:E92"/>
    <mergeCell ref="F92:G92"/>
    <mergeCell ref="J92:L92"/>
    <mergeCell ref="M92:N92"/>
    <mergeCell ref="C87:E87"/>
    <mergeCell ref="F87:G87"/>
    <mergeCell ref="B89:N89"/>
    <mergeCell ref="F91:G91"/>
    <mergeCell ref="M91:N91"/>
    <mergeCell ref="C85:E85"/>
    <mergeCell ref="F85:G85"/>
    <mergeCell ref="C86:E86"/>
    <mergeCell ref="F86:G86"/>
    <mergeCell ref="C83:E83"/>
    <mergeCell ref="F83:G83"/>
    <mergeCell ref="C84:E84"/>
    <mergeCell ref="F84:G84"/>
    <mergeCell ref="B80:N80"/>
    <mergeCell ref="F82:G82"/>
    <mergeCell ref="C78:E78"/>
    <mergeCell ref="F78:G78"/>
    <mergeCell ref="J78:L78"/>
    <mergeCell ref="M78:N78"/>
    <mergeCell ref="C77:E77"/>
    <mergeCell ref="F77:G77"/>
    <mergeCell ref="J77:L77"/>
    <mergeCell ref="M77:N77"/>
    <mergeCell ref="C76:E76"/>
    <mergeCell ref="F76:G76"/>
    <mergeCell ref="J76:L76"/>
    <mergeCell ref="M76:N76"/>
    <mergeCell ref="C75:E75"/>
    <mergeCell ref="F75:G75"/>
    <mergeCell ref="J75:L75"/>
    <mergeCell ref="M75:N75"/>
    <mergeCell ref="F73:G73"/>
    <mergeCell ref="M73:N73"/>
    <mergeCell ref="C74:E74"/>
    <mergeCell ref="F74:G74"/>
    <mergeCell ref="J74:L74"/>
    <mergeCell ref="M74:N74"/>
    <mergeCell ref="C71:E71"/>
    <mergeCell ref="F71:G71"/>
    <mergeCell ref="J71:L71"/>
    <mergeCell ref="M71:N71"/>
    <mergeCell ref="C70:E70"/>
    <mergeCell ref="F70:G70"/>
    <mergeCell ref="J70:L70"/>
    <mergeCell ref="M70:N70"/>
    <mergeCell ref="C69:E69"/>
    <mergeCell ref="F69:G69"/>
    <mergeCell ref="J69:L69"/>
    <mergeCell ref="M69:N69"/>
    <mergeCell ref="C68:E68"/>
    <mergeCell ref="F68:G68"/>
    <mergeCell ref="J68:L68"/>
    <mergeCell ref="M68:N68"/>
    <mergeCell ref="B64:N64"/>
    <mergeCell ref="F66:G66"/>
    <mergeCell ref="M66:N66"/>
    <mergeCell ref="C67:E67"/>
    <mergeCell ref="F67:G67"/>
    <mergeCell ref="J67:L67"/>
    <mergeCell ref="M67:N67"/>
    <mergeCell ref="C62:E62"/>
    <mergeCell ref="F62:G62"/>
    <mergeCell ref="J62:L62"/>
    <mergeCell ref="M62:N62"/>
    <mergeCell ref="C61:E61"/>
    <mergeCell ref="F61:G61"/>
    <mergeCell ref="J61:L61"/>
    <mergeCell ref="M61:N61"/>
    <mergeCell ref="C60:E60"/>
    <mergeCell ref="F60:G60"/>
    <mergeCell ref="J60:L60"/>
    <mergeCell ref="M60:N60"/>
    <mergeCell ref="C59:E59"/>
    <mergeCell ref="F59:G59"/>
    <mergeCell ref="J59:L59"/>
    <mergeCell ref="M59:N59"/>
    <mergeCell ref="F57:G57"/>
    <mergeCell ref="M57:N57"/>
    <mergeCell ref="C58:E58"/>
    <mergeCell ref="F58:G58"/>
    <mergeCell ref="J58:L58"/>
    <mergeCell ref="M58:N58"/>
    <mergeCell ref="C55:E55"/>
    <mergeCell ref="F55:G55"/>
    <mergeCell ref="J55:L55"/>
    <mergeCell ref="M55:N55"/>
    <mergeCell ref="C54:E54"/>
    <mergeCell ref="F54:G54"/>
    <mergeCell ref="J54:L54"/>
    <mergeCell ref="M54:N54"/>
    <mergeCell ref="C53:E53"/>
    <mergeCell ref="F53:G53"/>
    <mergeCell ref="J53:L53"/>
    <mergeCell ref="M53:N53"/>
    <mergeCell ref="C52:E52"/>
    <mergeCell ref="F52:G52"/>
    <mergeCell ref="J52:L52"/>
    <mergeCell ref="M52:N52"/>
    <mergeCell ref="F50:G50"/>
    <mergeCell ref="M50:N50"/>
    <mergeCell ref="C51:E51"/>
    <mergeCell ref="F51:G51"/>
    <mergeCell ref="J51:L51"/>
    <mergeCell ref="M51:N51"/>
    <mergeCell ref="C48:E48"/>
    <mergeCell ref="F48:G48"/>
    <mergeCell ref="J48:L48"/>
    <mergeCell ref="M48:N48"/>
    <mergeCell ref="C47:E47"/>
    <mergeCell ref="F47:G47"/>
    <mergeCell ref="J47:L47"/>
    <mergeCell ref="M47:N47"/>
    <mergeCell ref="C46:E46"/>
    <mergeCell ref="F46:G46"/>
    <mergeCell ref="J46:L46"/>
    <mergeCell ref="M46:N46"/>
    <mergeCell ref="C45:E45"/>
    <mergeCell ref="F45:G45"/>
    <mergeCell ref="J45:L45"/>
    <mergeCell ref="M45:N45"/>
    <mergeCell ref="B41:N41"/>
    <mergeCell ref="F43:G43"/>
    <mergeCell ref="M43:N43"/>
    <mergeCell ref="C44:E44"/>
    <mergeCell ref="F44:G44"/>
    <mergeCell ref="J44:L44"/>
    <mergeCell ref="M44:N44"/>
    <mergeCell ref="C39:E39"/>
    <mergeCell ref="F39:G39"/>
    <mergeCell ref="J39:L39"/>
    <mergeCell ref="M39:N39"/>
    <mergeCell ref="C38:E38"/>
    <mergeCell ref="F38:G38"/>
    <mergeCell ref="J38:L38"/>
    <mergeCell ref="M38:N38"/>
    <mergeCell ref="C37:E37"/>
    <mergeCell ref="F37:G37"/>
    <mergeCell ref="J37:L37"/>
    <mergeCell ref="M37:N37"/>
    <mergeCell ref="C36:E36"/>
    <mergeCell ref="F36:G36"/>
    <mergeCell ref="J36:L36"/>
    <mergeCell ref="M36:N36"/>
    <mergeCell ref="F34:G34"/>
    <mergeCell ref="M34:N34"/>
    <mergeCell ref="C35:E35"/>
    <mergeCell ref="F35:G35"/>
    <mergeCell ref="J35:L35"/>
    <mergeCell ref="M35:N35"/>
    <mergeCell ref="C32:E32"/>
    <mergeCell ref="F32:G32"/>
    <mergeCell ref="J32:L32"/>
    <mergeCell ref="M32:N32"/>
    <mergeCell ref="C31:E31"/>
    <mergeCell ref="F31:G31"/>
    <mergeCell ref="J31:L31"/>
    <mergeCell ref="M31:N31"/>
    <mergeCell ref="C30:E30"/>
    <mergeCell ref="F30:G30"/>
    <mergeCell ref="J30:L30"/>
    <mergeCell ref="M30:N30"/>
    <mergeCell ref="C29:E29"/>
    <mergeCell ref="F29:G29"/>
    <mergeCell ref="J29:L29"/>
    <mergeCell ref="M29:N29"/>
    <mergeCell ref="B25:N25"/>
    <mergeCell ref="F27:G27"/>
    <mergeCell ref="M27:N27"/>
    <mergeCell ref="C28:E28"/>
    <mergeCell ref="F28:G28"/>
    <mergeCell ref="J28:L28"/>
    <mergeCell ref="M28:N28"/>
    <mergeCell ref="B22:C22"/>
    <mergeCell ref="D22:F22"/>
    <mergeCell ref="H22:J22"/>
    <mergeCell ref="L22:N22"/>
    <mergeCell ref="B19:C19"/>
    <mergeCell ref="D19:F19"/>
    <mergeCell ref="H19:J19"/>
    <mergeCell ref="L19:N19"/>
    <mergeCell ref="B20:C21"/>
    <mergeCell ref="D20:F20"/>
    <mergeCell ref="H20:J20"/>
    <mergeCell ref="L20:N20"/>
    <mergeCell ref="H17:J17"/>
    <mergeCell ref="L17:N17"/>
    <mergeCell ref="D18:F18"/>
    <mergeCell ref="H18:J18"/>
    <mergeCell ref="L18:N18"/>
    <mergeCell ref="D14:F14"/>
    <mergeCell ref="H14:J14"/>
    <mergeCell ref="L14:N14"/>
    <mergeCell ref="D21:F21"/>
    <mergeCell ref="H21:J21"/>
    <mergeCell ref="L21:N21"/>
    <mergeCell ref="B15:C18"/>
    <mergeCell ref="D15:F15"/>
    <mergeCell ref="H15:J15"/>
    <mergeCell ref="L15:N15"/>
    <mergeCell ref="D16:F16"/>
    <mergeCell ref="H16:J16"/>
    <mergeCell ref="L16:N16"/>
    <mergeCell ref="D12:F12"/>
    <mergeCell ref="H12:J12"/>
    <mergeCell ref="L12:N12"/>
    <mergeCell ref="D13:F13"/>
    <mergeCell ref="H13:J13"/>
    <mergeCell ref="L13:N13"/>
    <mergeCell ref="B9:C14"/>
    <mergeCell ref="D9:F9"/>
    <mergeCell ref="H9:J9"/>
    <mergeCell ref="L9:N9"/>
    <mergeCell ref="D10:F10"/>
    <mergeCell ref="H10:J10"/>
    <mergeCell ref="L10:N10"/>
    <mergeCell ref="D11:F11"/>
    <mergeCell ref="H11:J11"/>
    <mergeCell ref="L11:N11"/>
    <mergeCell ref="D17:F17"/>
    <mergeCell ref="H6:J6"/>
    <mergeCell ref="L6:N6"/>
    <mergeCell ref="D7:F7"/>
    <mergeCell ref="H7:J7"/>
    <mergeCell ref="L7:N7"/>
    <mergeCell ref="D8:F8"/>
    <mergeCell ref="H8:J8"/>
    <mergeCell ref="L8:N8"/>
    <mergeCell ref="B2:N3"/>
    <mergeCell ref="B4:C4"/>
    <mergeCell ref="D4:F4"/>
    <mergeCell ref="H4:J4"/>
    <mergeCell ref="L4:N4"/>
    <mergeCell ref="B5:C8"/>
    <mergeCell ref="D5:F5"/>
    <mergeCell ref="H5:J5"/>
    <mergeCell ref="L5:N5"/>
    <mergeCell ref="D6:F6"/>
  </mergeCells>
  <phoneticPr fontId="2" type="noConversion"/>
  <conditionalFormatting sqref="V53">
    <cfRule type="expression" dxfId="110" priority="98">
      <formula>V53=Z53</formula>
    </cfRule>
  </conditionalFormatting>
  <conditionalFormatting sqref="V54">
    <cfRule type="expression" dxfId="109" priority="97">
      <formula>V54=Z54</formula>
    </cfRule>
  </conditionalFormatting>
  <conditionalFormatting sqref="V55">
    <cfRule type="expression" dxfId="108" priority="96">
      <formula>V55=Z55</formula>
    </cfRule>
  </conditionalFormatting>
  <conditionalFormatting sqref="V56">
    <cfRule type="expression" dxfId="107" priority="95">
      <formula>V56=Z56</formula>
    </cfRule>
  </conditionalFormatting>
  <conditionalFormatting sqref="V57">
    <cfRule type="expression" dxfId="106" priority="94">
      <formula>V57=Z57</formula>
    </cfRule>
  </conditionalFormatting>
  <conditionalFormatting sqref="V58">
    <cfRule type="expression" dxfId="105" priority="93">
      <formula>V58=Z58</formula>
    </cfRule>
  </conditionalFormatting>
  <conditionalFormatting sqref="V59">
    <cfRule type="expression" dxfId="104" priority="92">
      <formula>V59=Z59</formula>
    </cfRule>
  </conditionalFormatting>
  <conditionalFormatting sqref="V60">
    <cfRule type="expression" dxfId="103" priority="91">
      <formula>V60=Z60</formula>
    </cfRule>
  </conditionalFormatting>
  <conditionalFormatting sqref="V61">
    <cfRule type="expression" dxfId="102" priority="90">
      <formula>V61=Z61</formula>
    </cfRule>
  </conditionalFormatting>
  <conditionalFormatting sqref="V62">
    <cfRule type="expression" dxfId="101" priority="89">
      <formula>V62=Z62</formula>
    </cfRule>
  </conditionalFormatting>
  <conditionalFormatting sqref="V63">
    <cfRule type="expression" dxfId="100" priority="88">
      <formula>V63=Z63</formula>
    </cfRule>
  </conditionalFormatting>
  <conditionalFormatting sqref="V64">
    <cfRule type="expression" dxfId="99" priority="87">
      <formula>V64=Z64</formula>
    </cfRule>
  </conditionalFormatting>
  <conditionalFormatting sqref="V65">
    <cfRule type="expression" dxfId="98" priority="86">
      <formula>V65=Z65</formula>
    </cfRule>
  </conditionalFormatting>
  <conditionalFormatting sqref="V66">
    <cfRule type="expression" dxfId="97" priority="85">
      <formula>V66=Z66</formula>
    </cfRule>
  </conditionalFormatting>
  <conditionalFormatting sqref="V67">
    <cfRule type="expression" dxfId="96" priority="84">
      <formula>V67=Z67</formula>
    </cfRule>
  </conditionalFormatting>
  <conditionalFormatting sqref="V68">
    <cfRule type="expression" dxfId="95" priority="83">
      <formula>V68=Z68</formula>
    </cfRule>
  </conditionalFormatting>
  <conditionalFormatting sqref="V69">
    <cfRule type="expression" dxfId="94" priority="82">
      <formula>V69=Z69</formula>
    </cfRule>
  </conditionalFormatting>
  <conditionalFormatting sqref="V70">
    <cfRule type="expression" dxfId="93" priority="81">
      <formula>V70=Z70</formula>
    </cfRule>
  </conditionalFormatting>
  <conditionalFormatting sqref="V71">
    <cfRule type="expression" dxfId="92" priority="80">
      <formula>V71=Z71</formula>
    </cfRule>
  </conditionalFormatting>
  <conditionalFormatting sqref="V72">
    <cfRule type="expression" dxfId="91" priority="79">
      <formula>V72=Z72</formula>
    </cfRule>
  </conditionalFormatting>
  <conditionalFormatting sqref="V73">
    <cfRule type="expression" dxfId="90" priority="78">
      <formula>V73=Z73</formula>
    </cfRule>
  </conditionalFormatting>
  <conditionalFormatting sqref="V74">
    <cfRule type="expression" dxfId="89" priority="77">
      <formula>V74=Z74</formula>
    </cfRule>
  </conditionalFormatting>
  <conditionalFormatting sqref="V75">
    <cfRule type="expression" dxfId="88" priority="76">
      <formula>V75=Z75</formula>
    </cfRule>
  </conditionalFormatting>
  <conditionalFormatting sqref="V76">
    <cfRule type="expression" dxfId="87" priority="75">
      <formula>V76=Z76</formula>
    </cfRule>
  </conditionalFormatting>
  <conditionalFormatting sqref="V77">
    <cfRule type="expression" dxfId="86" priority="74">
      <formula>V77=Z77</formula>
    </cfRule>
  </conditionalFormatting>
  <conditionalFormatting sqref="V78">
    <cfRule type="expression" dxfId="85" priority="73">
      <formula>V78=Z78</formula>
    </cfRule>
  </conditionalFormatting>
  <conditionalFormatting sqref="V79">
    <cfRule type="expression" dxfId="84" priority="72">
      <formula>V79=Z79</formula>
    </cfRule>
  </conditionalFormatting>
  <conditionalFormatting sqref="V80">
    <cfRule type="expression" dxfId="83" priority="71">
      <formula>V80=Z80</formula>
    </cfRule>
  </conditionalFormatting>
  <conditionalFormatting sqref="V81">
    <cfRule type="expression" dxfId="82" priority="70">
      <formula>V81=Z81</formula>
    </cfRule>
  </conditionalFormatting>
  <conditionalFormatting sqref="V82">
    <cfRule type="expression" dxfId="81" priority="69">
      <formula>V82=Z82</formula>
    </cfRule>
  </conditionalFormatting>
  <conditionalFormatting sqref="V83">
    <cfRule type="expression" dxfId="80" priority="68">
      <formula>V83=Z83</formula>
    </cfRule>
  </conditionalFormatting>
  <conditionalFormatting sqref="V84">
    <cfRule type="expression" dxfId="79" priority="67">
      <formula>V84=Z84</formula>
    </cfRule>
  </conditionalFormatting>
  <conditionalFormatting sqref="V52">
    <cfRule type="expression" dxfId="78" priority="66">
      <formula>V52=Z52</formula>
    </cfRule>
  </conditionalFormatting>
  <conditionalFormatting sqref="V53">
    <cfRule type="expression" dxfId="77" priority="65">
      <formula>V53=Z53</formula>
    </cfRule>
  </conditionalFormatting>
  <conditionalFormatting sqref="V54">
    <cfRule type="expression" dxfId="76" priority="64">
      <formula>V54=Z54</formula>
    </cfRule>
  </conditionalFormatting>
  <conditionalFormatting sqref="V55">
    <cfRule type="expression" dxfId="75" priority="63">
      <formula>V55=Z55</formula>
    </cfRule>
  </conditionalFormatting>
  <conditionalFormatting sqref="V56">
    <cfRule type="expression" dxfId="74" priority="62">
      <formula>V56=Z56</formula>
    </cfRule>
  </conditionalFormatting>
  <conditionalFormatting sqref="V57">
    <cfRule type="expression" dxfId="73" priority="61">
      <formula>V57=Z57</formula>
    </cfRule>
  </conditionalFormatting>
  <conditionalFormatting sqref="V58">
    <cfRule type="expression" dxfId="72" priority="60">
      <formula>V58=Z58</formula>
    </cfRule>
  </conditionalFormatting>
  <conditionalFormatting sqref="V59">
    <cfRule type="expression" dxfId="71" priority="59">
      <formula>V59=Z59</formula>
    </cfRule>
  </conditionalFormatting>
  <conditionalFormatting sqref="V60">
    <cfRule type="expression" dxfId="70" priority="58">
      <formula>V60=Z60</formula>
    </cfRule>
  </conditionalFormatting>
  <conditionalFormatting sqref="V61">
    <cfRule type="expression" dxfId="69" priority="57">
      <formula>V61=Z61</formula>
    </cfRule>
  </conditionalFormatting>
  <conditionalFormatting sqref="V62">
    <cfRule type="expression" dxfId="68" priority="56">
      <formula>V62=Z62</formula>
    </cfRule>
  </conditionalFormatting>
  <conditionalFormatting sqref="V63">
    <cfRule type="expression" dxfId="67" priority="55">
      <formula>V63=Z63</formula>
    </cfRule>
  </conditionalFormatting>
  <conditionalFormatting sqref="V64">
    <cfRule type="expression" dxfId="66" priority="54">
      <formula>V64=Z64</formula>
    </cfRule>
  </conditionalFormatting>
  <conditionalFormatting sqref="V65">
    <cfRule type="expression" dxfId="65" priority="53">
      <formula>V65=Z65</formula>
    </cfRule>
  </conditionalFormatting>
  <conditionalFormatting sqref="V66">
    <cfRule type="expression" dxfId="64" priority="52">
      <formula>V66=Z66</formula>
    </cfRule>
  </conditionalFormatting>
  <conditionalFormatting sqref="V67">
    <cfRule type="expression" dxfId="63" priority="51">
      <formula>V67=Z67</formula>
    </cfRule>
  </conditionalFormatting>
  <conditionalFormatting sqref="V68">
    <cfRule type="expression" dxfId="62" priority="50">
      <formula>V68=Z68</formula>
    </cfRule>
  </conditionalFormatting>
  <conditionalFormatting sqref="V69">
    <cfRule type="expression" dxfId="61" priority="49">
      <formula>V69=Z69</formula>
    </cfRule>
  </conditionalFormatting>
  <conditionalFormatting sqref="V70">
    <cfRule type="expression" dxfId="60" priority="48">
      <formula>V70=Z70</formula>
    </cfRule>
  </conditionalFormatting>
  <conditionalFormatting sqref="V71">
    <cfRule type="expression" dxfId="59" priority="47">
      <formula>V71=Z71</formula>
    </cfRule>
  </conditionalFormatting>
  <conditionalFormatting sqref="V72">
    <cfRule type="expression" dxfId="58" priority="46">
      <formula>V72=Z72</formula>
    </cfRule>
  </conditionalFormatting>
  <conditionalFormatting sqref="V73">
    <cfRule type="expression" dxfId="57" priority="45">
      <formula>V73=Z73</formula>
    </cfRule>
  </conditionalFormatting>
  <conditionalFormatting sqref="V74">
    <cfRule type="expression" dxfId="56" priority="44">
      <formula>V74=Z74</formula>
    </cfRule>
  </conditionalFormatting>
  <conditionalFormatting sqref="V75">
    <cfRule type="expression" dxfId="55" priority="43">
      <formula>V75=Z75</formula>
    </cfRule>
  </conditionalFormatting>
  <conditionalFormatting sqref="V76">
    <cfRule type="expression" dxfId="54" priority="42">
      <formula>V76=Z76</formula>
    </cfRule>
  </conditionalFormatting>
  <conditionalFormatting sqref="V77">
    <cfRule type="expression" dxfId="53" priority="41">
      <formula>V77=Z77</formula>
    </cfRule>
  </conditionalFormatting>
  <conditionalFormatting sqref="V78">
    <cfRule type="expression" dxfId="52" priority="40">
      <formula>V78=Z78</formula>
    </cfRule>
  </conditionalFormatting>
  <conditionalFormatting sqref="V79">
    <cfRule type="expression" dxfId="51" priority="39">
      <formula>V79=Z79</formula>
    </cfRule>
  </conditionalFormatting>
  <conditionalFormatting sqref="V80">
    <cfRule type="expression" dxfId="50" priority="38">
      <formula>V80=Z80</formula>
    </cfRule>
  </conditionalFormatting>
  <conditionalFormatting sqref="V81">
    <cfRule type="expression" dxfId="49" priority="37">
      <formula>V81=Z81</formula>
    </cfRule>
  </conditionalFormatting>
  <conditionalFormatting sqref="V82">
    <cfRule type="expression" dxfId="48" priority="36">
      <formula>V82=Z82</formula>
    </cfRule>
  </conditionalFormatting>
  <conditionalFormatting sqref="V83">
    <cfRule type="expression" dxfId="47" priority="35">
      <formula>V83=Z83</formula>
    </cfRule>
  </conditionalFormatting>
  <conditionalFormatting sqref="V84">
    <cfRule type="expression" dxfId="46" priority="34">
      <formula>V84=Z84</formula>
    </cfRule>
  </conditionalFormatting>
  <conditionalFormatting sqref="AB52">
    <cfRule type="expression" dxfId="45" priority="33">
      <formula>AB52=AF52</formula>
    </cfRule>
  </conditionalFormatting>
  <conditionalFormatting sqref="AB53">
    <cfRule type="expression" dxfId="44" priority="32">
      <formula>AB53=AF53</formula>
    </cfRule>
  </conditionalFormatting>
  <conditionalFormatting sqref="AB54">
    <cfRule type="expression" dxfId="43" priority="31">
      <formula>AB54=AF54</formula>
    </cfRule>
  </conditionalFormatting>
  <conditionalFormatting sqref="AB55">
    <cfRule type="expression" dxfId="42" priority="30">
      <formula>AB55=AF55</formula>
    </cfRule>
  </conditionalFormatting>
  <conditionalFormatting sqref="AB56">
    <cfRule type="expression" dxfId="41" priority="29">
      <formula>AB56=AF56</formula>
    </cfRule>
  </conditionalFormatting>
  <conditionalFormatting sqref="AB57">
    <cfRule type="expression" dxfId="40" priority="28">
      <formula>AB57=AF57</formula>
    </cfRule>
  </conditionalFormatting>
  <conditionalFormatting sqref="AB58">
    <cfRule type="expression" dxfId="39" priority="27">
      <formula>AB58=AF58</formula>
    </cfRule>
  </conditionalFormatting>
  <conditionalFormatting sqref="AB59">
    <cfRule type="expression" dxfId="38" priority="26">
      <formula>AB59=AF59</formula>
    </cfRule>
  </conditionalFormatting>
  <conditionalFormatting sqref="AB60">
    <cfRule type="expression" dxfId="37" priority="25">
      <formula>AB60=AF60</formula>
    </cfRule>
  </conditionalFormatting>
  <conditionalFormatting sqref="AB61">
    <cfRule type="expression" dxfId="36" priority="24">
      <formula>AB61=AF61</formula>
    </cfRule>
  </conditionalFormatting>
  <conditionalFormatting sqref="AB62">
    <cfRule type="expression" dxfId="35" priority="23">
      <formula>AB62=AF62</formula>
    </cfRule>
  </conditionalFormatting>
  <conditionalFormatting sqref="AB63">
    <cfRule type="expression" dxfId="34" priority="22">
      <formula>AB63=AF63</formula>
    </cfRule>
  </conditionalFormatting>
  <conditionalFormatting sqref="AB64">
    <cfRule type="expression" dxfId="33" priority="21">
      <formula>AB64=AF64</formula>
    </cfRule>
  </conditionalFormatting>
  <conditionalFormatting sqref="AB65">
    <cfRule type="expression" dxfId="32" priority="20">
      <formula>AB65=AF65</formula>
    </cfRule>
  </conditionalFormatting>
  <conditionalFormatting sqref="AB66">
    <cfRule type="expression" dxfId="31" priority="19">
      <formula>AB66=AF66</formula>
    </cfRule>
  </conditionalFormatting>
  <conditionalFormatting sqref="AB67">
    <cfRule type="expression" dxfId="30" priority="18">
      <formula>AB67=AF67</formula>
    </cfRule>
  </conditionalFormatting>
  <conditionalFormatting sqref="AB68">
    <cfRule type="expression" dxfId="29" priority="17">
      <formula>AB68=AF68</formula>
    </cfRule>
  </conditionalFormatting>
  <conditionalFormatting sqref="AB69">
    <cfRule type="expression" dxfId="28" priority="16">
      <formula>AB69=AF69</formula>
    </cfRule>
  </conditionalFormatting>
  <conditionalFormatting sqref="AB70">
    <cfRule type="expression" dxfId="27" priority="15">
      <formula>AB70=AF70</formula>
    </cfRule>
  </conditionalFormatting>
  <conditionalFormatting sqref="AB71">
    <cfRule type="expression" dxfId="26" priority="14">
      <formula>AB71=AF71</formula>
    </cfRule>
  </conditionalFormatting>
  <conditionalFormatting sqref="AB72">
    <cfRule type="expression" dxfId="25" priority="13">
      <formula>AB72=AF72</formula>
    </cfRule>
  </conditionalFormatting>
  <conditionalFormatting sqref="AB73">
    <cfRule type="expression" dxfId="24" priority="12">
      <formula>AB73=AF73</formula>
    </cfRule>
  </conditionalFormatting>
  <conditionalFormatting sqref="AB74">
    <cfRule type="expression" dxfId="23" priority="11">
      <formula>AB74=AF74</formula>
    </cfRule>
  </conditionalFormatting>
  <conditionalFormatting sqref="AB75">
    <cfRule type="expression" dxfId="22" priority="10">
      <formula>AB75=AF75</formula>
    </cfRule>
  </conditionalFormatting>
  <conditionalFormatting sqref="AB76">
    <cfRule type="expression" dxfId="21" priority="9">
      <formula>AB76=AF76</formula>
    </cfRule>
  </conditionalFormatting>
  <conditionalFormatting sqref="AB77">
    <cfRule type="expression" dxfId="20" priority="8">
      <formula>AB77=AF77</formula>
    </cfRule>
  </conditionalFormatting>
  <conditionalFormatting sqref="AB78">
    <cfRule type="expression" dxfId="19" priority="7">
      <formula>AB78=AF78</formula>
    </cfRule>
  </conditionalFormatting>
  <conditionalFormatting sqref="AB79">
    <cfRule type="expression" dxfId="18" priority="6">
      <formula>AB79=AF79</formula>
    </cfRule>
  </conditionalFormatting>
  <conditionalFormatting sqref="AB80">
    <cfRule type="expression" dxfId="17" priority="5">
      <formula>AB80=AF80</formula>
    </cfRule>
  </conditionalFormatting>
  <conditionalFormatting sqref="AB81">
    <cfRule type="expression" dxfId="16" priority="4">
      <formula>AB81=AF81</formula>
    </cfRule>
  </conditionalFormatting>
  <conditionalFormatting sqref="AB82">
    <cfRule type="expression" dxfId="15" priority="3">
      <formula>AB82=AF82</formula>
    </cfRule>
  </conditionalFormatting>
  <conditionalFormatting sqref="AB83">
    <cfRule type="expression" dxfId="14" priority="2">
      <formula>AB83=AF83</formula>
    </cfRule>
  </conditionalFormatting>
  <conditionalFormatting sqref="AB84">
    <cfRule type="expression" dxfId="13" priority="1">
      <formula>AB84=AF84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rop Down 1">
              <controlPr defaultSize="0" autoLine="0" autoPict="0">
                <anchor moveWithCells="1">
                  <from>
                    <xdr:col>11</xdr:col>
                    <xdr:colOff>276225</xdr:colOff>
                    <xdr:row>22</xdr:row>
                    <xdr:rowOff>133350</xdr:rowOff>
                  </from>
                  <to>
                    <xdr:col>14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9FF99"/>
  </sheetPr>
  <dimension ref="A1:N227"/>
  <sheetViews>
    <sheetView showGridLines="0" showZeros="0" zoomScaleNormal="100" workbookViewId="0">
      <selection activeCell="E12" sqref="E12"/>
    </sheetView>
  </sheetViews>
  <sheetFormatPr defaultRowHeight="12" outlineLevelRow="1"/>
  <cols>
    <col min="1" max="1" width="6.75" style="371" bestFit="1" customWidth="1"/>
    <col min="2" max="2" width="28.25" style="84" bestFit="1" customWidth="1"/>
    <col min="3" max="12" width="9.125" style="58" customWidth="1"/>
    <col min="13" max="13" width="10.625" style="58" customWidth="1"/>
    <col min="14" max="16384" width="9" style="58"/>
  </cols>
  <sheetData>
    <row r="1" spans="1:14" s="141" customFormat="1">
      <c r="A1" s="139"/>
      <c r="B1" s="140"/>
      <c r="C1" s="139">
        <v>12</v>
      </c>
      <c r="D1" s="139">
        <v>11</v>
      </c>
      <c r="E1" s="139">
        <v>10</v>
      </c>
      <c r="F1" s="139">
        <v>9</v>
      </c>
      <c r="G1" s="139">
        <v>8</v>
      </c>
      <c r="H1" s="139">
        <v>7</v>
      </c>
      <c r="I1" s="139">
        <v>6</v>
      </c>
      <c r="J1" s="139">
        <v>5</v>
      </c>
      <c r="K1" s="139">
        <v>4</v>
      </c>
      <c r="L1" s="139">
        <v>3</v>
      </c>
      <c r="M1" s="139"/>
    </row>
    <row r="2" spans="1:14" s="66" customFormat="1">
      <c r="A2" s="370">
        <v>110000</v>
      </c>
      <c r="B2" s="144" t="s">
        <v>374</v>
      </c>
      <c r="C2" s="143" t="e">
        <f>VLOOKUP($A:$A,RAW!$A:$R,C$1,0)</f>
        <v>#N/A</v>
      </c>
      <c r="D2" s="143" t="e">
        <f>VLOOKUP($A:$A,RAW!$A:$R,D$1,0)</f>
        <v>#N/A</v>
      </c>
      <c r="E2" s="143" t="e">
        <f>VLOOKUP($A:$A,RAW!$A:$R,E$1,0)</f>
        <v>#N/A</v>
      </c>
      <c r="F2" s="143" t="e">
        <f>VLOOKUP($A:$A,RAW!$A:$R,F$1,0)</f>
        <v>#N/A</v>
      </c>
      <c r="G2" s="143" t="e">
        <f>VLOOKUP($A:$A,RAW!$A:$R,G$1,0)</f>
        <v>#N/A</v>
      </c>
      <c r="H2" s="143" t="e">
        <f>VLOOKUP($A:$A,RAW!$A:$R,H$1,0)</f>
        <v>#N/A</v>
      </c>
      <c r="I2" s="143" t="e">
        <f>VLOOKUP($A:$A,RAW!$A:$R,I$1,0)</f>
        <v>#N/A</v>
      </c>
      <c r="J2" s="143" t="e">
        <f>VLOOKUP($A:$A,RAW!$A:$R,J$1,0)</f>
        <v>#N/A</v>
      </c>
      <c r="K2" s="143" t="e">
        <f>VLOOKUP($A:$A,RAW!$A:$R,K$1,0)</f>
        <v>#N/A</v>
      </c>
      <c r="L2" s="143" t="e">
        <f>VLOOKUP($A:$A,RAW!$A:$R,L$1,0)</f>
        <v>#N/A</v>
      </c>
      <c r="M2" s="143"/>
    </row>
    <row r="3" spans="1:14" s="100" customFormat="1">
      <c r="A3" s="371">
        <v>124216</v>
      </c>
      <c r="B3" s="67" t="s">
        <v>54</v>
      </c>
      <c r="C3" s="68">
        <f>ROUND(VLOOKUP($A:$A,RAW!$A:$R,C$1,0)/1000,0)</f>
        <v>0</v>
      </c>
      <c r="D3" s="68">
        <f>ROUND(VLOOKUP($A:$A,RAW!$A:$R,D$1,0)/1000,0)</f>
        <v>0</v>
      </c>
      <c r="E3" s="68">
        <f>ROUND(VLOOKUP($A:$A,RAW!$A:$R,E$1,0)/1000,0)</f>
        <v>0</v>
      </c>
      <c r="F3" s="68">
        <f>ROUND(VLOOKUP($A:$A,RAW!$A:$R,F$1,0)/1000,0)</f>
        <v>0</v>
      </c>
      <c r="G3" s="68">
        <f>ROUND(VLOOKUP($A:$A,RAW!$A:$R,G$1,0)/1000,0)</f>
        <v>0</v>
      </c>
      <c r="H3" s="68">
        <f>ROUND(VLOOKUP($A:$A,RAW!$A:$R,H$1,0)/1000,0)</f>
        <v>0</v>
      </c>
      <c r="I3" s="68">
        <f>ROUND(VLOOKUP($A:$A,RAW!$A:$R,I$1,0)/1000,0)</f>
        <v>0</v>
      </c>
      <c r="J3" s="68">
        <f>ROUND(VLOOKUP($A:$A,RAW!$A:$R,J$1,0)/1000,0)</f>
        <v>0</v>
      </c>
      <c r="K3" s="68">
        <f>ROUND(VLOOKUP($A:$A,RAW!$A:$R,K$1,0)/1000,0)</f>
        <v>0</v>
      </c>
      <c r="L3" s="68">
        <f>ROUND(VLOOKUP($A:$A,RAW!$A:$R,L$1,0)/1000,0)</f>
        <v>173</v>
      </c>
      <c r="M3" s="68"/>
    </row>
    <row r="4" spans="1:14" s="100" customFormat="1">
      <c r="A4" s="371">
        <v>161211</v>
      </c>
      <c r="B4" s="67" t="s">
        <v>369</v>
      </c>
      <c r="C4" s="68">
        <f>ROUND(VLOOKUP($A:$A,RAW!$A:$R,C$1,0)/1000,0)</f>
        <v>0</v>
      </c>
      <c r="D4" s="68">
        <f>ROUND(VLOOKUP($A:$A,RAW!$A:$R,D$1,0)/1000,0)</f>
        <v>0</v>
      </c>
      <c r="E4" s="68">
        <f>ROUND(VLOOKUP($A:$A,RAW!$A:$R,E$1,0)/1000,0)</f>
        <v>0</v>
      </c>
      <c r="F4" s="68">
        <f>ROUND(VLOOKUP($A:$A,RAW!$A:$R,F$1,0)/1000,0)</f>
        <v>0</v>
      </c>
      <c r="G4" s="68">
        <f>ROUND(VLOOKUP($A:$A,RAW!$A:$R,G$1,0)/1000,0)</f>
        <v>0</v>
      </c>
      <c r="H4" s="68">
        <f>ROUND(VLOOKUP($A:$A,RAW!$A:$R,H$1,0)/1000,0)</f>
        <v>0</v>
      </c>
      <c r="I4" s="68">
        <f>ROUND(VLOOKUP($A:$A,RAW!$A:$R,I$1,0)/1000,0)</f>
        <v>0</v>
      </c>
      <c r="J4" s="68">
        <f>ROUND(VLOOKUP($A:$A,RAW!$A:$R,J$1,0)/1000,0)</f>
        <v>0</v>
      </c>
      <c r="K4" s="68">
        <f>ROUND(VLOOKUP($A:$A,RAW!$A:$R,K$1,0)/1000,0)</f>
        <v>0</v>
      </c>
      <c r="L4" s="68">
        <f>ROUND(VLOOKUP($A:$A,RAW!$A:$R,L$1,0)/1000,0)</f>
        <v>0</v>
      </c>
      <c r="M4" s="68"/>
      <c r="N4" s="369"/>
    </row>
    <row r="5" spans="1:14" s="70" customFormat="1">
      <c r="A5" s="371">
        <v>113200</v>
      </c>
      <c r="B5" s="69" t="s">
        <v>55</v>
      </c>
      <c r="C5" s="68">
        <f>ROUND(VLOOKUP($A:$A,RAW!$A:$R,C$1,0)/1000,0)</f>
        <v>0</v>
      </c>
      <c r="D5" s="68">
        <f>ROUND(VLOOKUP($A:$A,RAW!$A:$R,D$1,0)/1000,0)</f>
        <v>0</v>
      </c>
      <c r="E5" s="68">
        <f>ROUND(VLOOKUP($A:$A,RAW!$A:$R,E$1,0)/1000,0)</f>
        <v>0</v>
      </c>
      <c r="F5" s="68">
        <f>ROUND(VLOOKUP($A:$A,RAW!$A:$R,F$1,0)/1000,0)</f>
        <v>0</v>
      </c>
      <c r="G5" s="68">
        <f>ROUND(VLOOKUP($A:$A,RAW!$A:$R,G$1,0)/1000,0)</f>
        <v>0</v>
      </c>
      <c r="H5" s="68">
        <f>ROUND(VLOOKUP($A:$A,RAW!$A:$R,H$1,0)/1000,0)</f>
        <v>0</v>
      </c>
      <c r="I5" s="68">
        <f>ROUND(VLOOKUP($A:$A,RAW!$A:$R,I$1,0)/1000,0)</f>
        <v>0</v>
      </c>
      <c r="J5" s="68">
        <f>ROUND(VLOOKUP($A:$A,RAW!$A:$R,J$1,0)/1000,0)</f>
        <v>0</v>
      </c>
      <c r="K5" s="68">
        <f>ROUND(VLOOKUP($A:$A,RAW!$A:$R,K$1,0)/1000,0)</f>
        <v>0</v>
      </c>
      <c r="L5" s="68">
        <f>ROUND(VLOOKUP($A:$A,RAW!$A:$R,L$1,0)/1000,0)</f>
        <v>0</v>
      </c>
      <c r="M5" s="68"/>
    </row>
    <row r="6" spans="1:14">
      <c r="A6" s="371">
        <v>113110</v>
      </c>
      <c r="B6" s="69" t="s">
        <v>56</v>
      </c>
      <c r="C6" s="68">
        <f>ROUND(VLOOKUP($A:$A,RAW!$A:$R,C$1,0)/1000,0)</f>
        <v>0</v>
      </c>
      <c r="D6" s="68">
        <f>ROUND(VLOOKUP($A:$A,RAW!$A:$R,D$1,0)/1000,0)</f>
        <v>0</v>
      </c>
      <c r="E6" s="68">
        <f>ROUND(VLOOKUP($A:$A,RAW!$A:$R,E$1,0)/1000,0)</f>
        <v>0</v>
      </c>
      <c r="F6" s="68">
        <f>ROUND(VLOOKUP($A:$A,RAW!$A:$R,F$1,0)/1000,0)</f>
        <v>0</v>
      </c>
      <c r="G6" s="68">
        <f>ROUND(VLOOKUP($A:$A,RAW!$A:$R,G$1,0)/1000,0)</f>
        <v>0</v>
      </c>
      <c r="H6" s="68">
        <f>ROUND(VLOOKUP($A:$A,RAW!$A:$R,H$1,0)/1000,0)</f>
        <v>0</v>
      </c>
      <c r="I6" s="68">
        <f>ROUND(VLOOKUP($A:$A,RAW!$A:$R,I$1,0)/1000,0)</f>
        <v>0</v>
      </c>
      <c r="J6" s="68">
        <f>ROUND(VLOOKUP($A:$A,RAW!$A:$R,J$1,0)/1000,0)</f>
        <v>0</v>
      </c>
      <c r="K6" s="68">
        <f>ROUND(VLOOKUP($A:$A,RAW!$A:$R,K$1,0)/1000,0)</f>
        <v>0</v>
      </c>
      <c r="L6" s="68">
        <f>ROUND(VLOOKUP($A:$A,RAW!$A:$R,L$1,0)/1000,0)</f>
        <v>0</v>
      </c>
      <c r="M6" s="68"/>
    </row>
    <row r="7" spans="1:14" s="70" customFormat="1">
      <c r="A7" s="371">
        <v>113201</v>
      </c>
      <c r="B7" s="69" t="s">
        <v>57</v>
      </c>
      <c r="C7" s="68">
        <f>ROUND(VLOOKUP($A:$A,RAW!$A:$R,C$1,0)/1000,0)</f>
        <v>0</v>
      </c>
      <c r="D7" s="68">
        <f>ROUND(VLOOKUP($A:$A,RAW!$A:$R,D$1,0)/1000,0)</f>
        <v>0</v>
      </c>
      <c r="E7" s="68">
        <f>ROUND(VLOOKUP($A:$A,RAW!$A:$R,E$1,0)/1000,0)</f>
        <v>0</v>
      </c>
      <c r="F7" s="68">
        <f>ROUND(VLOOKUP($A:$A,RAW!$A:$R,F$1,0)/1000,0)</f>
        <v>0</v>
      </c>
      <c r="G7" s="68">
        <f>ROUND(VLOOKUP($A:$A,RAW!$A:$R,G$1,0)/1000,0)</f>
        <v>0</v>
      </c>
      <c r="H7" s="68">
        <f>ROUND(VLOOKUP($A:$A,RAW!$A:$R,H$1,0)/1000,0)</f>
        <v>0</v>
      </c>
      <c r="I7" s="68">
        <f>ROUND(VLOOKUP($A:$A,RAW!$A:$R,I$1,0)/1000,0)</f>
        <v>0</v>
      </c>
      <c r="J7" s="68">
        <f>ROUND(VLOOKUP($A:$A,RAW!$A:$R,J$1,0)/1000,0)</f>
        <v>0</v>
      </c>
      <c r="K7" s="68">
        <f>ROUND(VLOOKUP($A:$A,RAW!$A:$R,K$1,0)/1000,0)</f>
        <v>0</v>
      </c>
      <c r="L7" s="68">
        <f>ROUND(VLOOKUP($A:$A,RAW!$A:$R,L$1,0)/1000,0)</f>
        <v>0</v>
      </c>
      <c r="M7" s="68"/>
    </row>
    <row r="8" spans="1:14" s="100" customFormat="1">
      <c r="A8" s="371"/>
      <c r="B8" s="71" t="s">
        <v>38</v>
      </c>
      <c r="C8" s="72">
        <f>C5-C6+C7</f>
        <v>0</v>
      </c>
      <c r="D8" s="72">
        <f>D5-D6+D7</f>
        <v>0</v>
      </c>
      <c r="E8" s="72">
        <f t="shared" ref="E8:L8" si="0">E5-E6+E7</f>
        <v>0</v>
      </c>
      <c r="F8" s="72">
        <f t="shared" si="0"/>
        <v>0</v>
      </c>
      <c r="G8" s="72">
        <f t="shared" si="0"/>
        <v>0</v>
      </c>
      <c r="H8" s="72">
        <f t="shared" si="0"/>
        <v>0</v>
      </c>
      <c r="I8" s="72">
        <f t="shared" si="0"/>
        <v>0</v>
      </c>
      <c r="J8" s="72">
        <f t="shared" si="0"/>
        <v>0</v>
      </c>
      <c r="K8" s="72">
        <f t="shared" si="0"/>
        <v>0</v>
      </c>
      <c r="L8" s="72">
        <f t="shared" si="0"/>
        <v>0</v>
      </c>
      <c r="M8" s="72"/>
    </row>
    <row r="9" spans="1:14" s="100" customFormat="1">
      <c r="A9" s="371"/>
      <c r="B9" s="73" t="s">
        <v>58</v>
      </c>
      <c r="C9" s="101"/>
      <c r="D9" s="107" t="str">
        <f>IFERROR(D4/C8,"")</f>
        <v/>
      </c>
      <c r="E9" s="107" t="str">
        <f t="shared" ref="E9:L9" si="1">IFERROR(E4/D8,"")</f>
        <v/>
      </c>
      <c r="F9" s="107" t="str">
        <f t="shared" si="1"/>
        <v/>
      </c>
      <c r="G9" s="107" t="str">
        <f t="shared" si="1"/>
        <v/>
      </c>
      <c r="H9" s="107" t="str">
        <f t="shared" si="1"/>
        <v/>
      </c>
      <c r="I9" s="107" t="str">
        <f t="shared" si="1"/>
        <v/>
      </c>
      <c r="J9" s="107" t="str">
        <f t="shared" si="1"/>
        <v/>
      </c>
      <c r="K9" s="107" t="str">
        <f t="shared" si="1"/>
        <v/>
      </c>
      <c r="L9" s="107" t="str">
        <f t="shared" si="1"/>
        <v/>
      </c>
      <c r="M9" s="107"/>
    </row>
    <row r="10" spans="1:14" s="100" customFormat="1">
      <c r="A10" s="371"/>
      <c r="B10" s="73" t="s">
        <v>367</v>
      </c>
      <c r="C10" s="102" t="e">
        <f>C7/C8</f>
        <v>#DIV/0!</v>
      </c>
      <c r="D10" s="102" t="e">
        <f>D7/D8</f>
        <v>#DIV/0!</v>
      </c>
      <c r="E10" s="102" t="e">
        <f t="shared" ref="E10:L10" si="2">E7/E8</f>
        <v>#DIV/0!</v>
      </c>
      <c r="F10" s="102" t="e">
        <f t="shared" si="2"/>
        <v>#DIV/0!</v>
      </c>
      <c r="G10" s="102" t="e">
        <f t="shared" si="2"/>
        <v>#DIV/0!</v>
      </c>
      <c r="H10" s="102" t="e">
        <f t="shared" si="2"/>
        <v>#DIV/0!</v>
      </c>
      <c r="I10" s="102" t="e">
        <f t="shared" si="2"/>
        <v>#DIV/0!</v>
      </c>
      <c r="J10" s="102" t="e">
        <f t="shared" si="2"/>
        <v>#DIV/0!</v>
      </c>
      <c r="K10" s="102" t="e">
        <f t="shared" si="2"/>
        <v>#DIV/0!</v>
      </c>
      <c r="L10" s="102" t="e">
        <f t="shared" si="2"/>
        <v>#DIV/0!</v>
      </c>
      <c r="M10" s="102"/>
    </row>
    <row r="11" spans="1:14" s="100" customFormat="1">
      <c r="A11" s="371"/>
      <c r="B11" s="179" t="s">
        <v>773</v>
      </c>
      <c r="C11" s="105"/>
      <c r="D11" s="106">
        <f>D5-D6</f>
        <v>0</v>
      </c>
      <c r="E11" s="106">
        <f t="shared" ref="E11:L11" si="3">E5-E6</f>
        <v>0</v>
      </c>
      <c r="F11" s="106">
        <f t="shared" si="3"/>
        <v>0</v>
      </c>
      <c r="G11" s="106">
        <f t="shared" si="3"/>
        <v>0</v>
      </c>
      <c r="H11" s="106">
        <f t="shared" si="3"/>
        <v>0</v>
      </c>
      <c r="I11" s="106">
        <f t="shared" si="3"/>
        <v>0</v>
      </c>
      <c r="J11" s="106">
        <f t="shared" si="3"/>
        <v>0</v>
      </c>
      <c r="K11" s="106">
        <f t="shared" si="3"/>
        <v>0</v>
      </c>
      <c r="L11" s="106">
        <f t="shared" si="3"/>
        <v>0</v>
      </c>
      <c r="M11" s="106"/>
    </row>
    <row r="12" spans="1:14" s="70" customFormat="1">
      <c r="A12" s="371"/>
      <c r="B12" s="69" t="s">
        <v>59</v>
      </c>
      <c r="C12" s="105"/>
      <c r="D12" s="74">
        <f>D5-C5</f>
        <v>0</v>
      </c>
      <c r="E12" s="74">
        <f t="shared" ref="E12:L12" si="4">E5-D5</f>
        <v>0</v>
      </c>
      <c r="F12" s="74">
        <f t="shared" si="4"/>
        <v>0</v>
      </c>
      <c r="G12" s="74">
        <f t="shared" si="4"/>
        <v>0</v>
      </c>
      <c r="H12" s="74">
        <f t="shared" si="4"/>
        <v>0</v>
      </c>
      <c r="I12" s="74">
        <f t="shared" si="4"/>
        <v>0</v>
      </c>
      <c r="J12" s="74">
        <f t="shared" si="4"/>
        <v>0</v>
      </c>
      <c r="K12" s="74">
        <f t="shared" si="4"/>
        <v>0</v>
      </c>
      <c r="L12" s="74">
        <f t="shared" si="4"/>
        <v>0</v>
      </c>
      <c r="M12" s="74"/>
    </row>
    <row r="13" spans="1:14" s="70" customFormat="1">
      <c r="A13" s="371"/>
      <c r="B13" s="69" t="s">
        <v>60</v>
      </c>
      <c r="C13" s="105"/>
      <c r="D13" s="74">
        <f>D7-C7</f>
        <v>0</v>
      </c>
      <c r="E13" s="74">
        <f t="shared" ref="E13:L13" si="5">E7-D7</f>
        <v>0</v>
      </c>
      <c r="F13" s="74">
        <f t="shared" si="5"/>
        <v>0</v>
      </c>
      <c r="G13" s="74">
        <f t="shared" si="5"/>
        <v>0</v>
      </c>
      <c r="H13" s="74">
        <f t="shared" si="5"/>
        <v>0</v>
      </c>
      <c r="I13" s="74">
        <f t="shared" si="5"/>
        <v>0</v>
      </c>
      <c r="J13" s="74">
        <f t="shared" si="5"/>
        <v>0</v>
      </c>
      <c r="K13" s="74">
        <f t="shared" si="5"/>
        <v>0</v>
      </c>
      <c r="L13" s="74">
        <f t="shared" si="5"/>
        <v>0</v>
      </c>
      <c r="M13" s="74"/>
    </row>
    <row r="14" spans="1:14" s="70" customFormat="1">
      <c r="A14" s="371"/>
      <c r="B14" s="69" t="s">
        <v>61</v>
      </c>
      <c r="C14" s="105"/>
      <c r="D14" s="74">
        <f>D6-C6</f>
        <v>0</v>
      </c>
      <c r="E14" s="74">
        <f t="shared" ref="E14:L14" si="6">E6-D6</f>
        <v>0</v>
      </c>
      <c r="F14" s="74">
        <f t="shared" si="6"/>
        <v>0</v>
      </c>
      <c r="G14" s="74">
        <f t="shared" si="6"/>
        <v>0</v>
      </c>
      <c r="H14" s="74">
        <f t="shared" si="6"/>
        <v>0</v>
      </c>
      <c r="I14" s="74">
        <f t="shared" si="6"/>
        <v>0</v>
      </c>
      <c r="J14" s="74">
        <f t="shared" si="6"/>
        <v>0</v>
      </c>
      <c r="K14" s="74">
        <f t="shared" si="6"/>
        <v>0</v>
      </c>
      <c r="L14" s="74">
        <f t="shared" si="6"/>
        <v>0</v>
      </c>
      <c r="M14" s="74"/>
    </row>
    <row r="15" spans="1:14" s="78" customFormat="1">
      <c r="A15" s="370"/>
      <c r="B15" s="75" t="s">
        <v>370</v>
      </c>
      <c r="C15" s="105"/>
      <c r="D15" s="77">
        <f>D12-D14+D4</f>
        <v>0</v>
      </c>
      <c r="E15" s="77">
        <f t="shared" ref="E15:L15" si="7">E12-E14+E4</f>
        <v>0</v>
      </c>
      <c r="F15" s="77">
        <f t="shared" si="7"/>
        <v>0</v>
      </c>
      <c r="G15" s="77">
        <f t="shared" si="7"/>
        <v>0</v>
      </c>
      <c r="H15" s="77">
        <f t="shared" si="7"/>
        <v>0</v>
      </c>
      <c r="I15" s="77">
        <f t="shared" si="7"/>
        <v>0</v>
      </c>
      <c r="J15" s="77">
        <f t="shared" si="7"/>
        <v>0</v>
      </c>
      <c r="K15" s="77">
        <f t="shared" si="7"/>
        <v>0</v>
      </c>
      <c r="L15" s="77">
        <f t="shared" si="7"/>
        <v>0</v>
      </c>
      <c r="M15" s="77"/>
    </row>
    <row r="16" spans="1:14" s="70" customFormat="1">
      <c r="A16" s="371"/>
      <c r="B16" s="79" t="s">
        <v>371</v>
      </c>
      <c r="C16" s="109" t="s">
        <v>62</v>
      </c>
      <c r="D16" s="108" t="str">
        <f>IFERROR(D15/D4,"")</f>
        <v/>
      </c>
      <c r="E16" s="108" t="str">
        <f t="shared" ref="E16:K16" si="8">IFERROR(E15/E4,"")</f>
        <v/>
      </c>
      <c r="F16" s="108" t="str">
        <f t="shared" si="8"/>
        <v/>
      </c>
      <c r="G16" s="108" t="str">
        <f t="shared" si="8"/>
        <v/>
      </c>
      <c r="H16" s="108" t="str">
        <f t="shared" si="8"/>
        <v/>
      </c>
      <c r="I16" s="108" t="str">
        <f t="shared" si="8"/>
        <v/>
      </c>
      <c r="J16" s="108" t="str">
        <f t="shared" si="8"/>
        <v/>
      </c>
      <c r="K16" s="108" t="str">
        <f t="shared" si="8"/>
        <v/>
      </c>
      <c r="L16" s="108" t="str">
        <f>IFERROR(L15/L4,"")</f>
        <v/>
      </c>
      <c r="M16" s="108" t="e">
        <f>AVERAGE(D16:L16)</f>
        <v>#DIV/0!</v>
      </c>
      <c r="N16" s="145"/>
    </row>
    <row r="17" spans="1:13" ht="12.75" hidden="1" outlineLevel="1" thickTop="1">
      <c r="A17" s="371">
        <v>113110</v>
      </c>
      <c r="B17" s="99" t="s">
        <v>56</v>
      </c>
      <c r="C17" s="134">
        <f>ROUND(VLOOKUP($A:$A,RAW!$A:$R,C$1,0)/1000,0)</f>
        <v>0</v>
      </c>
      <c r="D17" s="135">
        <f>ROUND(VLOOKUP($A:$A,RAW!$A:$R,D$1,0)/1000,0)</f>
        <v>0</v>
      </c>
      <c r="E17" s="135">
        <f>ROUND(VLOOKUP($A:$A,RAW!$A:$R,E$1,0)/1000,0)</f>
        <v>0</v>
      </c>
      <c r="F17" s="135">
        <f>ROUND(VLOOKUP($A:$A,RAW!$A:$R,F$1,0)/1000,0)</f>
        <v>0</v>
      </c>
      <c r="G17" s="135">
        <f>ROUND(VLOOKUP($A:$A,RAW!$A:$R,G$1,0)/1000,0)</f>
        <v>0</v>
      </c>
      <c r="H17" s="135">
        <f>ROUND(VLOOKUP($A:$A,RAW!$A:$R,H$1,0)/1000,0)</f>
        <v>0</v>
      </c>
      <c r="I17" s="135">
        <f>ROUND(VLOOKUP($A:$A,RAW!$A:$R,I$1,0)/1000,0)</f>
        <v>0</v>
      </c>
      <c r="J17" s="135">
        <f>ROUND(VLOOKUP($A:$A,RAW!$A:$R,J$1,0)/1000,0)</f>
        <v>0</v>
      </c>
      <c r="K17" s="135">
        <f>ROUND(VLOOKUP($A:$A,RAW!$A:$R,K$1,0)/1000,0)</f>
        <v>0</v>
      </c>
      <c r="L17" s="135">
        <f>ROUND(VLOOKUP($A:$A,RAW!$A:$R,L$1,0)/1000,0)</f>
        <v>0</v>
      </c>
      <c r="M17" s="135"/>
    </row>
    <row r="18" spans="1:13" hidden="1" outlineLevel="1">
      <c r="B18" s="69" t="s">
        <v>63</v>
      </c>
      <c r="C18" s="105"/>
      <c r="D18" s="81">
        <f>IFERROR(D17-C17,0)</f>
        <v>0</v>
      </c>
      <c r="E18" s="81">
        <f t="shared" ref="E18:L18" si="9">IFERROR(E17-D17,0)</f>
        <v>0</v>
      </c>
      <c r="F18" s="81">
        <f t="shared" si="9"/>
        <v>0</v>
      </c>
      <c r="G18" s="81">
        <f t="shared" si="9"/>
        <v>0</v>
      </c>
      <c r="H18" s="81">
        <f t="shared" si="9"/>
        <v>0</v>
      </c>
      <c r="I18" s="81">
        <f t="shared" si="9"/>
        <v>0</v>
      </c>
      <c r="J18" s="81">
        <f t="shared" si="9"/>
        <v>0</v>
      </c>
      <c r="K18" s="81">
        <f t="shared" si="9"/>
        <v>0</v>
      </c>
      <c r="L18" s="81">
        <f t="shared" si="9"/>
        <v>0</v>
      </c>
      <c r="M18" s="81"/>
    </row>
    <row r="19" spans="1:13" hidden="1" outlineLevel="1">
      <c r="B19" s="115" t="s">
        <v>64</v>
      </c>
      <c r="C19" s="105"/>
      <c r="D19" s="116">
        <f>IFERROR(D18,0)</f>
        <v>0</v>
      </c>
      <c r="E19" s="116">
        <f t="shared" ref="E19:L19" si="10">IFERROR(E18,0)</f>
        <v>0</v>
      </c>
      <c r="F19" s="116">
        <f t="shared" si="10"/>
        <v>0</v>
      </c>
      <c r="G19" s="116">
        <f t="shared" si="10"/>
        <v>0</v>
      </c>
      <c r="H19" s="116">
        <f t="shared" si="10"/>
        <v>0</v>
      </c>
      <c r="I19" s="116">
        <f t="shared" si="10"/>
        <v>0</v>
      </c>
      <c r="J19" s="116">
        <f t="shared" si="10"/>
        <v>0</v>
      </c>
      <c r="K19" s="116">
        <f t="shared" si="10"/>
        <v>0</v>
      </c>
      <c r="L19" s="116">
        <f t="shared" si="10"/>
        <v>0</v>
      </c>
      <c r="M19" s="116"/>
    </row>
    <row r="20" spans="1:13" hidden="1" outlineLevel="1">
      <c r="A20" s="371">
        <v>113199</v>
      </c>
      <c r="B20" s="82" t="s">
        <v>65</v>
      </c>
      <c r="C20" s="83">
        <f>ROUND(VLOOKUP($A:$A,RAW!$A:$R,C$1,0)/1000,0)</f>
        <v>0</v>
      </c>
      <c r="D20" s="83">
        <f>ROUND(VLOOKUP($A:$A,RAW!$A:$R,D$1,0)/1000,0)</f>
        <v>0</v>
      </c>
      <c r="E20" s="83">
        <f>ROUND(VLOOKUP($A:$A,RAW!$A:$R,E$1,0)/1000,0)</f>
        <v>0</v>
      </c>
      <c r="F20" s="83">
        <f>ROUND(VLOOKUP($A:$A,RAW!$A:$R,F$1,0)/1000,0)</f>
        <v>0</v>
      </c>
      <c r="G20" s="83">
        <f>ROUND(VLOOKUP($A:$A,RAW!$A:$R,G$1,0)/1000,0)</f>
        <v>0</v>
      </c>
      <c r="H20" s="83">
        <f>ROUND(VLOOKUP($A:$A,RAW!$A:$R,H$1,0)/1000,0)</f>
        <v>0</v>
      </c>
      <c r="I20" s="83">
        <f>ROUND(VLOOKUP($A:$A,RAW!$A:$R,I$1,0)/1000,0)</f>
        <v>0</v>
      </c>
      <c r="J20" s="83">
        <f>ROUND(VLOOKUP($A:$A,RAW!$A:$R,J$1,0)/1000,0)</f>
        <v>0</v>
      </c>
      <c r="K20" s="83">
        <f>ROUND(VLOOKUP($A:$A,RAW!$A:$R,K$1,0)/1000,0)</f>
        <v>0</v>
      </c>
      <c r="L20" s="83">
        <f>ROUND(VLOOKUP($A:$A,RAW!$A:$R,L$1,0)/1000,0)</f>
        <v>0</v>
      </c>
      <c r="M20" s="83"/>
    </row>
    <row r="21" spans="1:13" hidden="1" outlineLevel="1">
      <c r="B21" s="69" t="s">
        <v>63</v>
      </c>
      <c r="C21" s="105"/>
      <c r="D21" s="81">
        <f>IFERROR(D20-C20,"")</f>
        <v>0</v>
      </c>
      <c r="E21" s="81">
        <f t="shared" ref="E21:L21" si="11">IFERROR(E20-D20,"")</f>
        <v>0</v>
      </c>
      <c r="F21" s="81">
        <f t="shared" si="11"/>
        <v>0</v>
      </c>
      <c r="G21" s="81">
        <f t="shared" si="11"/>
        <v>0</v>
      </c>
      <c r="H21" s="81">
        <f t="shared" si="11"/>
        <v>0</v>
      </c>
      <c r="I21" s="81">
        <f t="shared" si="11"/>
        <v>0</v>
      </c>
      <c r="J21" s="81">
        <f t="shared" si="11"/>
        <v>0</v>
      </c>
      <c r="K21" s="81">
        <f t="shared" si="11"/>
        <v>0</v>
      </c>
      <c r="L21" s="81">
        <f t="shared" si="11"/>
        <v>0</v>
      </c>
      <c r="M21" s="81"/>
    </row>
    <row r="22" spans="1:13" hidden="1" outlineLevel="1">
      <c r="B22" s="110" t="s">
        <v>64</v>
      </c>
      <c r="C22" s="105"/>
      <c r="D22" s="117">
        <f>IFERROR(D21,0)</f>
        <v>0</v>
      </c>
      <c r="E22" s="117">
        <f t="shared" ref="E22:L22" si="12">IFERROR(E21,0)</f>
        <v>0</v>
      </c>
      <c r="F22" s="117">
        <f t="shared" si="12"/>
        <v>0</v>
      </c>
      <c r="G22" s="117">
        <f t="shared" si="12"/>
        <v>0</v>
      </c>
      <c r="H22" s="117">
        <f t="shared" si="12"/>
        <v>0</v>
      </c>
      <c r="I22" s="117">
        <f t="shared" si="12"/>
        <v>0</v>
      </c>
      <c r="J22" s="117">
        <f t="shared" si="12"/>
        <v>0</v>
      </c>
      <c r="K22" s="117">
        <f t="shared" si="12"/>
        <v>0</v>
      </c>
      <c r="L22" s="117">
        <f t="shared" si="12"/>
        <v>0</v>
      </c>
      <c r="M22" s="117"/>
    </row>
    <row r="23" spans="1:13" hidden="1" outlineLevel="1">
      <c r="A23" s="371">
        <v>113120</v>
      </c>
      <c r="B23" s="69" t="s">
        <v>66</v>
      </c>
      <c r="C23" s="182">
        <f>ROUND(VLOOKUP($A:$A,RAW!$A:$R,C$1,0)/1000,0)</f>
        <v>0</v>
      </c>
      <c r="D23" s="83">
        <f>ROUND(VLOOKUP($A:$A,RAW!$A:$R,D$1,0)/1000,0)</f>
        <v>0</v>
      </c>
      <c r="E23" s="83">
        <f>ROUND(VLOOKUP($A:$A,RAW!$A:$R,E$1,0)/1000,0)</f>
        <v>0</v>
      </c>
      <c r="F23" s="83">
        <f>ROUND(VLOOKUP($A:$A,RAW!$A:$R,F$1,0)/1000,0)</f>
        <v>0</v>
      </c>
      <c r="G23" s="83">
        <f>ROUND(VLOOKUP($A:$A,RAW!$A:$R,G$1,0)/1000,0)</f>
        <v>0</v>
      </c>
      <c r="H23" s="83">
        <f>ROUND(VLOOKUP($A:$A,RAW!$A:$R,H$1,0)/1000,0)</f>
        <v>0</v>
      </c>
      <c r="I23" s="83">
        <f>ROUND(VLOOKUP($A:$A,RAW!$A:$R,I$1,0)/1000,0)</f>
        <v>0</v>
      </c>
      <c r="J23" s="83">
        <f>ROUND(VLOOKUP($A:$A,RAW!$A:$R,J$1,0)/1000,0)</f>
        <v>0</v>
      </c>
      <c r="K23" s="83">
        <f>ROUND(VLOOKUP($A:$A,RAW!$A:$R,K$1,0)/1000,0)</f>
        <v>0</v>
      </c>
      <c r="L23" s="83">
        <f>ROUND(VLOOKUP($A:$A,RAW!$A:$R,L$1,0)/1000,0)</f>
        <v>0</v>
      </c>
      <c r="M23" s="83"/>
    </row>
    <row r="24" spans="1:13" hidden="1" outlineLevel="1">
      <c r="A24" s="371">
        <v>113121</v>
      </c>
      <c r="B24" s="69" t="s">
        <v>67</v>
      </c>
      <c r="C24" s="136">
        <f>ROUND(VLOOKUP($A:$A,RAW!$A:$R,C$1,0)/1000,0)</f>
        <v>0</v>
      </c>
      <c r="D24" s="74">
        <f>ROUND(VLOOKUP($A:$A,RAW!$A:$R,D$1,0)/1000,0)</f>
        <v>0</v>
      </c>
      <c r="E24" s="74">
        <f>ROUND(VLOOKUP($A:$A,RAW!$A:$R,E$1,0)/1000,0)</f>
        <v>0</v>
      </c>
      <c r="F24" s="74">
        <f>ROUND(VLOOKUP($A:$A,RAW!$A:$R,F$1,0)/1000,0)</f>
        <v>0</v>
      </c>
      <c r="G24" s="74">
        <f>ROUND(VLOOKUP($A:$A,RAW!$A:$R,G$1,0)/1000,0)</f>
        <v>0</v>
      </c>
      <c r="H24" s="74">
        <f>ROUND(VLOOKUP($A:$A,RAW!$A:$R,H$1,0)/1000,0)</f>
        <v>0</v>
      </c>
      <c r="I24" s="74">
        <f>ROUND(VLOOKUP($A:$A,RAW!$A:$R,I$1,0)/1000,0)</f>
        <v>0</v>
      </c>
      <c r="J24" s="74">
        <f>ROUND(VLOOKUP($A:$A,RAW!$A:$R,J$1,0)/1000,0)</f>
        <v>0</v>
      </c>
      <c r="K24" s="74">
        <f>ROUND(VLOOKUP($A:$A,RAW!$A:$R,K$1,0)/1000,0)</f>
        <v>0</v>
      </c>
      <c r="L24" s="74">
        <f>ROUND(VLOOKUP($A:$A,RAW!$A:$R,L$1,0)/1000,0)</f>
        <v>0</v>
      </c>
      <c r="M24" s="74"/>
    </row>
    <row r="25" spans="1:13" hidden="1" outlineLevel="1">
      <c r="B25" s="69" t="s">
        <v>63</v>
      </c>
      <c r="C25" s="105"/>
      <c r="D25" s="74">
        <f>IFERROR(D23-C23,"")</f>
        <v>0</v>
      </c>
      <c r="E25" s="74">
        <f t="shared" ref="E25:L25" si="13">IFERROR(E23-D23,"")</f>
        <v>0</v>
      </c>
      <c r="F25" s="74">
        <f t="shared" si="13"/>
        <v>0</v>
      </c>
      <c r="G25" s="74">
        <f t="shared" si="13"/>
        <v>0</v>
      </c>
      <c r="H25" s="74">
        <f t="shared" si="13"/>
        <v>0</v>
      </c>
      <c r="I25" s="74">
        <f t="shared" si="13"/>
        <v>0</v>
      </c>
      <c r="J25" s="74">
        <f t="shared" si="13"/>
        <v>0</v>
      </c>
      <c r="K25" s="74">
        <f t="shared" si="13"/>
        <v>0</v>
      </c>
      <c r="L25" s="74">
        <f t="shared" si="13"/>
        <v>0</v>
      </c>
      <c r="M25" s="74"/>
    </row>
    <row r="26" spans="1:13" hidden="1" outlineLevel="1">
      <c r="B26" s="115" t="s">
        <v>68</v>
      </c>
      <c r="C26" s="105"/>
      <c r="D26" s="103">
        <f>IFERROR(D25+D27,"")</f>
        <v>0</v>
      </c>
      <c r="E26" s="103">
        <f t="shared" ref="E26:L26" si="14">IFERROR(E25+E27,"")</f>
        <v>0</v>
      </c>
      <c r="F26" s="103">
        <f t="shared" si="14"/>
        <v>0</v>
      </c>
      <c r="G26" s="103">
        <f t="shared" si="14"/>
        <v>0</v>
      </c>
      <c r="H26" s="103">
        <f t="shared" si="14"/>
        <v>0</v>
      </c>
      <c r="I26" s="103">
        <f t="shared" si="14"/>
        <v>0</v>
      </c>
      <c r="J26" s="103">
        <f t="shared" si="14"/>
        <v>0</v>
      </c>
      <c r="K26" s="103">
        <f t="shared" si="14"/>
        <v>0</v>
      </c>
      <c r="L26" s="103">
        <f t="shared" si="14"/>
        <v>0</v>
      </c>
      <c r="M26" s="103"/>
    </row>
    <row r="27" spans="1:13" hidden="1" outlineLevel="1">
      <c r="B27" s="118" t="s">
        <v>69</v>
      </c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</row>
    <row r="28" spans="1:13" hidden="1" outlineLevel="1">
      <c r="B28" s="110"/>
      <c r="C28" s="111" t="s">
        <v>70</v>
      </c>
      <c r="D28" s="119" t="str">
        <f>IFERROR(D24/(D23+D24),"")</f>
        <v/>
      </c>
      <c r="E28" s="119" t="str">
        <f t="shared" ref="E28:L28" si="15">IFERROR(E24/(E23+E24),"")</f>
        <v/>
      </c>
      <c r="F28" s="119" t="str">
        <f t="shared" si="15"/>
        <v/>
      </c>
      <c r="G28" s="119" t="str">
        <f t="shared" si="15"/>
        <v/>
      </c>
      <c r="H28" s="119" t="str">
        <f t="shared" si="15"/>
        <v/>
      </c>
      <c r="I28" s="119" t="str">
        <f t="shared" si="15"/>
        <v/>
      </c>
      <c r="J28" s="119" t="str">
        <f t="shared" si="15"/>
        <v/>
      </c>
      <c r="K28" s="119" t="str">
        <f t="shared" si="15"/>
        <v/>
      </c>
      <c r="L28" s="119" t="str">
        <f t="shared" si="15"/>
        <v/>
      </c>
      <c r="M28" s="119"/>
    </row>
    <row r="29" spans="1:13" hidden="1" outlineLevel="1">
      <c r="A29" s="371">
        <v>113130</v>
      </c>
      <c r="B29" s="69" t="s">
        <v>71</v>
      </c>
      <c r="C29" s="83">
        <f>ROUND(VLOOKUP($A:$A,RAW!$A:$R,C$1,0)/1000,0)</f>
        <v>0</v>
      </c>
      <c r="D29" s="83">
        <f>ROUND(VLOOKUP($A:$A,RAW!$A:$R,D$1,0)/1000,0)</f>
        <v>0</v>
      </c>
      <c r="E29" s="83">
        <f>ROUND(VLOOKUP($A:$A,RAW!$A:$R,E$1,0)/1000,0)</f>
        <v>0</v>
      </c>
      <c r="F29" s="83">
        <f>ROUND(VLOOKUP($A:$A,RAW!$A:$R,F$1,0)/1000,0)</f>
        <v>0</v>
      </c>
      <c r="G29" s="83">
        <f>ROUND(VLOOKUP($A:$A,RAW!$A:$R,G$1,0)/1000,0)</f>
        <v>0</v>
      </c>
      <c r="H29" s="83">
        <f>ROUND(VLOOKUP($A:$A,RAW!$A:$R,H$1,0)/1000,0)</f>
        <v>0</v>
      </c>
      <c r="I29" s="83">
        <f>ROUND(VLOOKUP($A:$A,RAW!$A:$R,I$1,0)/1000,0)</f>
        <v>0</v>
      </c>
      <c r="J29" s="83">
        <f>ROUND(VLOOKUP($A:$A,RAW!$A:$R,J$1,0)/1000,0)</f>
        <v>0</v>
      </c>
      <c r="K29" s="83">
        <f>ROUND(VLOOKUP($A:$A,RAW!$A:$R,K$1,0)/1000,0)</f>
        <v>0</v>
      </c>
      <c r="L29" s="83">
        <f>ROUND(VLOOKUP($A:$A,RAW!$A:$R,L$1,0)/1000,0)</f>
        <v>0</v>
      </c>
      <c r="M29" s="83"/>
    </row>
    <row r="30" spans="1:13" hidden="1" outlineLevel="1">
      <c r="A30" s="371">
        <v>113131</v>
      </c>
      <c r="B30" s="69" t="s">
        <v>72</v>
      </c>
      <c r="C30" s="136">
        <f>ROUND(VLOOKUP($A:$A,RAW!$A:$R,C$1,0)/1000,0)</f>
        <v>0</v>
      </c>
      <c r="D30" s="74">
        <f>ROUND(VLOOKUP($A:$A,RAW!$A:$R,D$1,0)/1000,0)</f>
        <v>0</v>
      </c>
      <c r="E30" s="74">
        <f>ROUND(VLOOKUP($A:$A,RAW!$A:$R,E$1,0)/1000,0)</f>
        <v>0</v>
      </c>
      <c r="F30" s="74">
        <f>ROUND(VLOOKUP($A:$A,RAW!$A:$R,F$1,0)/1000,0)</f>
        <v>0</v>
      </c>
      <c r="G30" s="74">
        <f>ROUND(VLOOKUP($A:$A,RAW!$A:$R,G$1,0)/1000,0)</f>
        <v>0</v>
      </c>
      <c r="H30" s="74">
        <f>ROUND(VLOOKUP($A:$A,RAW!$A:$R,H$1,0)/1000,0)</f>
        <v>0</v>
      </c>
      <c r="I30" s="74">
        <f>ROUND(VLOOKUP($A:$A,RAW!$A:$R,I$1,0)/1000,0)</f>
        <v>0</v>
      </c>
      <c r="J30" s="74">
        <f>ROUND(VLOOKUP($A:$A,RAW!$A:$R,J$1,0)/1000,0)</f>
        <v>0</v>
      </c>
      <c r="K30" s="74">
        <f>ROUND(VLOOKUP($A:$A,RAW!$A:$R,K$1,0)/1000,0)</f>
        <v>0</v>
      </c>
      <c r="L30" s="74">
        <f>ROUND(VLOOKUP($A:$A,RAW!$A:$R,L$1,0)/1000,0)</f>
        <v>0</v>
      </c>
      <c r="M30" s="74"/>
    </row>
    <row r="31" spans="1:13" hidden="1" outlineLevel="1">
      <c r="B31" s="69" t="s">
        <v>63</v>
      </c>
      <c r="C31" s="105"/>
      <c r="D31" s="81">
        <f>IFERROR(D29-C29,"")</f>
        <v>0</v>
      </c>
      <c r="E31" s="81">
        <f t="shared" ref="E31:L31" si="16">IFERROR(E29-D29,"")</f>
        <v>0</v>
      </c>
      <c r="F31" s="81">
        <f t="shared" si="16"/>
        <v>0</v>
      </c>
      <c r="G31" s="81">
        <f t="shared" si="16"/>
        <v>0</v>
      </c>
      <c r="H31" s="81">
        <f t="shared" si="16"/>
        <v>0</v>
      </c>
      <c r="I31" s="81">
        <f t="shared" si="16"/>
        <v>0</v>
      </c>
      <c r="J31" s="81">
        <f t="shared" si="16"/>
        <v>0</v>
      </c>
      <c r="K31" s="81">
        <f t="shared" si="16"/>
        <v>0</v>
      </c>
      <c r="L31" s="81">
        <f t="shared" si="16"/>
        <v>0</v>
      </c>
      <c r="M31" s="81"/>
    </row>
    <row r="32" spans="1:13" hidden="1" outlineLevel="1">
      <c r="B32" s="69" t="s">
        <v>60</v>
      </c>
      <c r="C32" s="105"/>
      <c r="D32" s="81">
        <f>IFERROR(D30-C30,"")</f>
        <v>0</v>
      </c>
      <c r="E32" s="81">
        <f t="shared" ref="E32:L32" si="17">IFERROR(E30-D30,"")</f>
        <v>0</v>
      </c>
      <c r="F32" s="81">
        <f t="shared" si="17"/>
        <v>0</v>
      </c>
      <c r="G32" s="81">
        <f t="shared" si="17"/>
        <v>0</v>
      </c>
      <c r="H32" s="81">
        <f t="shared" si="17"/>
        <v>0</v>
      </c>
      <c r="I32" s="81">
        <f t="shared" si="17"/>
        <v>0</v>
      </c>
      <c r="J32" s="81">
        <f t="shared" si="17"/>
        <v>0</v>
      </c>
      <c r="K32" s="81">
        <f t="shared" si="17"/>
        <v>0</v>
      </c>
      <c r="L32" s="81">
        <f t="shared" si="17"/>
        <v>0</v>
      </c>
      <c r="M32" s="81"/>
    </row>
    <row r="33" spans="1:13" hidden="1" outlineLevel="1">
      <c r="B33" s="115" t="s">
        <v>68</v>
      </c>
      <c r="C33" s="105"/>
      <c r="D33" s="103">
        <f>IFERROR(D31+D34,"")</f>
        <v>0</v>
      </c>
      <c r="E33" s="103">
        <f t="shared" ref="E33:L33" si="18">IFERROR(E31+E34,"")</f>
        <v>0</v>
      </c>
      <c r="F33" s="103">
        <f t="shared" si="18"/>
        <v>0</v>
      </c>
      <c r="G33" s="103">
        <f t="shared" si="18"/>
        <v>0</v>
      </c>
      <c r="H33" s="103">
        <f t="shared" si="18"/>
        <v>0</v>
      </c>
      <c r="I33" s="103">
        <f t="shared" si="18"/>
        <v>0</v>
      </c>
      <c r="J33" s="103">
        <f t="shared" si="18"/>
        <v>0</v>
      </c>
      <c r="K33" s="103">
        <f t="shared" si="18"/>
        <v>0</v>
      </c>
      <c r="L33" s="103">
        <f t="shared" si="18"/>
        <v>0</v>
      </c>
      <c r="M33" s="103"/>
    </row>
    <row r="34" spans="1:13" hidden="1" outlineLevel="1">
      <c r="B34" s="118" t="s">
        <v>69</v>
      </c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</row>
    <row r="35" spans="1:13" hidden="1" outlineLevel="1">
      <c r="B35" s="110"/>
      <c r="C35" s="111" t="s">
        <v>70</v>
      </c>
      <c r="D35" s="119" t="str">
        <f>IFERROR(D30/(D30+D29),"")</f>
        <v/>
      </c>
      <c r="E35" s="119" t="str">
        <f t="shared" ref="E35:L35" si="19">IFERROR(E30/(E30+E29),"")</f>
        <v/>
      </c>
      <c r="F35" s="119" t="str">
        <f t="shared" si="19"/>
        <v/>
      </c>
      <c r="G35" s="119" t="str">
        <f t="shared" si="19"/>
        <v/>
      </c>
      <c r="H35" s="119" t="str">
        <f t="shared" si="19"/>
        <v/>
      </c>
      <c r="I35" s="119" t="str">
        <f t="shared" si="19"/>
        <v/>
      </c>
      <c r="J35" s="119" t="str">
        <f t="shared" si="19"/>
        <v/>
      </c>
      <c r="K35" s="119" t="str">
        <f t="shared" si="19"/>
        <v/>
      </c>
      <c r="L35" s="119" t="str">
        <f t="shared" si="19"/>
        <v/>
      </c>
      <c r="M35" s="119"/>
    </row>
    <row r="36" spans="1:13" hidden="1" outlineLevel="1">
      <c r="A36" s="371">
        <v>113140</v>
      </c>
      <c r="B36" s="69" t="s">
        <v>73</v>
      </c>
      <c r="C36" s="83">
        <f>ROUND(VLOOKUP($A:$A,RAW!$A:$R,C$1,0)/1000,0)</f>
        <v>0</v>
      </c>
      <c r="D36" s="83">
        <f>ROUND(VLOOKUP($A:$A,RAW!$A:$R,D$1,0)/1000,0)</f>
        <v>0</v>
      </c>
      <c r="E36" s="83">
        <f>ROUND(VLOOKUP($A:$A,RAW!$A:$R,E$1,0)/1000,0)</f>
        <v>0</v>
      </c>
      <c r="F36" s="83">
        <f>ROUND(VLOOKUP($A:$A,RAW!$A:$R,F$1,0)/1000,0)</f>
        <v>0</v>
      </c>
      <c r="G36" s="83">
        <f>ROUND(VLOOKUP($A:$A,RAW!$A:$R,G$1,0)/1000,0)</f>
        <v>0</v>
      </c>
      <c r="H36" s="83">
        <f>ROUND(VLOOKUP($A:$A,RAW!$A:$R,H$1,0)/1000,0)</f>
        <v>0</v>
      </c>
      <c r="I36" s="83">
        <f>ROUND(VLOOKUP($A:$A,RAW!$A:$R,I$1,0)/1000,0)</f>
        <v>0</v>
      </c>
      <c r="J36" s="83">
        <f>ROUND(VLOOKUP($A:$A,RAW!$A:$R,J$1,0)/1000,0)</f>
        <v>0</v>
      </c>
      <c r="K36" s="83">
        <f>ROUND(VLOOKUP($A:$A,RAW!$A:$R,K$1,0)/1000,0)</f>
        <v>0</v>
      </c>
      <c r="L36" s="83">
        <f>ROUND(VLOOKUP($A:$A,RAW!$A:$R,L$1,0)/1000,0)</f>
        <v>0</v>
      </c>
      <c r="M36" s="83"/>
    </row>
    <row r="37" spans="1:13" hidden="1" outlineLevel="1">
      <c r="A37" s="371">
        <v>113141</v>
      </c>
      <c r="B37" s="69" t="s">
        <v>74</v>
      </c>
      <c r="C37" s="136">
        <f>ROUND(VLOOKUP($A:$A,RAW!$A:$R,C$1,0)/1000,0)</f>
        <v>0</v>
      </c>
      <c r="D37" s="74">
        <f>ROUND(VLOOKUP($A:$A,RAW!$A:$R,D$1,0)/1000,0)</f>
        <v>0</v>
      </c>
      <c r="E37" s="74">
        <f>ROUND(VLOOKUP($A:$A,RAW!$A:$R,E$1,0)/1000,0)</f>
        <v>0</v>
      </c>
      <c r="F37" s="74">
        <f>ROUND(VLOOKUP($A:$A,RAW!$A:$R,F$1,0)/1000,0)</f>
        <v>0</v>
      </c>
      <c r="G37" s="74">
        <f>ROUND(VLOOKUP($A:$A,RAW!$A:$R,G$1,0)/1000,0)</f>
        <v>0</v>
      </c>
      <c r="H37" s="74">
        <f>ROUND(VLOOKUP($A:$A,RAW!$A:$R,H$1,0)/1000,0)</f>
        <v>0</v>
      </c>
      <c r="I37" s="74">
        <f>ROUND(VLOOKUP($A:$A,RAW!$A:$R,I$1,0)/1000,0)</f>
        <v>0</v>
      </c>
      <c r="J37" s="74">
        <f>ROUND(VLOOKUP($A:$A,RAW!$A:$R,J$1,0)/1000,0)</f>
        <v>0</v>
      </c>
      <c r="K37" s="74">
        <f>ROUND(VLOOKUP($A:$A,RAW!$A:$R,K$1,0)/1000,0)</f>
        <v>0</v>
      </c>
      <c r="L37" s="74">
        <f>ROUND(VLOOKUP($A:$A,RAW!$A:$R,L$1,0)/1000,0)</f>
        <v>0</v>
      </c>
      <c r="M37" s="74"/>
    </row>
    <row r="38" spans="1:13" hidden="1" outlineLevel="1">
      <c r="B38" s="69" t="s">
        <v>63</v>
      </c>
      <c r="C38" s="105"/>
      <c r="D38" s="81">
        <f>IFERROR(D36-C36,"")</f>
        <v>0</v>
      </c>
      <c r="E38" s="81">
        <f t="shared" ref="E38:L38" si="20">IFERROR(E36-D36,"")</f>
        <v>0</v>
      </c>
      <c r="F38" s="81">
        <f t="shared" si="20"/>
        <v>0</v>
      </c>
      <c r="G38" s="81">
        <f t="shared" si="20"/>
        <v>0</v>
      </c>
      <c r="H38" s="81">
        <f t="shared" si="20"/>
        <v>0</v>
      </c>
      <c r="I38" s="81">
        <f t="shared" si="20"/>
        <v>0</v>
      </c>
      <c r="J38" s="81">
        <f t="shared" si="20"/>
        <v>0</v>
      </c>
      <c r="K38" s="81">
        <f t="shared" si="20"/>
        <v>0</v>
      </c>
      <c r="L38" s="81">
        <f t="shared" si="20"/>
        <v>0</v>
      </c>
      <c r="M38" s="81"/>
    </row>
    <row r="39" spans="1:13" hidden="1" outlineLevel="1">
      <c r="B39" s="69" t="s">
        <v>60</v>
      </c>
      <c r="C39" s="105"/>
      <c r="D39" s="81">
        <f>IFERROR(D37-C37,"")</f>
        <v>0</v>
      </c>
      <c r="E39" s="81">
        <f t="shared" ref="E39:L39" si="21">IFERROR(E37-D37,"")</f>
        <v>0</v>
      </c>
      <c r="F39" s="81">
        <f t="shared" si="21"/>
        <v>0</v>
      </c>
      <c r="G39" s="81">
        <f t="shared" si="21"/>
        <v>0</v>
      </c>
      <c r="H39" s="81">
        <f t="shared" si="21"/>
        <v>0</v>
      </c>
      <c r="I39" s="81">
        <f t="shared" si="21"/>
        <v>0</v>
      </c>
      <c r="J39" s="81">
        <f t="shared" si="21"/>
        <v>0</v>
      </c>
      <c r="K39" s="81">
        <f t="shared" si="21"/>
        <v>0</v>
      </c>
      <c r="L39" s="81">
        <f t="shared" si="21"/>
        <v>0</v>
      </c>
      <c r="M39" s="81"/>
    </row>
    <row r="40" spans="1:13" hidden="1" outlineLevel="1">
      <c r="B40" s="115" t="s">
        <v>68</v>
      </c>
      <c r="C40" s="105"/>
      <c r="D40" s="103">
        <f>IFERROR(D38+D41,"")</f>
        <v>0</v>
      </c>
      <c r="E40" s="103">
        <f t="shared" ref="E40:L40" si="22">IFERROR(E38+E41,"")</f>
        <v>0</v>
      </c>
      <c r="F40" s="103">
        <f t="shared" si="22"/>
        <v>0</v>
      </c>
      <c r="G40" s="103">
        <f t="shared" si="22"/>
        <v>0</v>
      </c>
      <c r="H40" s="103">
        <f t="shared" si="22"/>
        <v>0</v>
      </c>
      <c r="I40" s="103">
        <f t="shared" si="22"/>
        <v>0</v>
      </c>
      <c r="J40" s="103">
        <f t="shared" si="22"/>
        <v>0</v>
      </c>
      <c r="K40" s="103">
        <f t="shared" si="22"/>
        <v>0</v>
      </c>
      <c r="L40" s="103">
        <f t="shared" si="22"/>
        <v>0</v>
      </c>
      <c r="M40" s="103"/>
    </row>
    <row r="41" spans="1:13" hidden="1" outlineLevel="1">
      <c r="B41" s="118" t="s">
        <v>69</v>
      </c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 hidden="1" outlineLevel="1">
      <c r="B42" s="112"/>
      <c r="C42" s="111" t="s">
        <v>70</v>
      </c>
      <c r="D42" s="119" t="str">
        <f>IFERROR(D37/(D37+D36),"")</f>
        <v/>
      </c>
      <c r="E42" s="119" t="str">
        <f t="shared" ref="E42:L42" si="23">IFERROR(E37/(E37+E36),"")</f>
        <v/>
      </c>
      <c r="F42" s="119" t="str">
        <f t="shared" si="23"/>
        <v/>
      </c>
      <c r="G42" s="119" t="str">
        <f t="shared" si="23"/>
        <v/>
      </c>
      <c r="H42" s="119" t="str">
        <f t="shared" si="23"/>
        <v/>
      </c>
      <c r="I42" s="119" t="str">
        <f t="shared" si="23"/>
        <v/>
      </c>
      <c r="J42" s="119" t="str">
        <f t="shared" si="23"/>
        <v/>
      </c>
      <c r="K42" s="119" t="str">
        <f t="shared" si="23"/>
        <v/>
      </c>
      <c r="L42" s="119" t="str">
        <f t="shared" si="23"/>
        <v/>
      </c>
      <c r="M42" s="119"/>
    </row>
    <row r="43" spans="1:13" hidden="1" outlineLevel="1">
      <c r="A43" s="371">
        <v>113146</v>
      </c>
      <c r="B43" s="69" t="s">
        <v>75</v>
      </c>
      <c r="C43" s="83">
        <f>ROUND(VLOOKUP($A:$A,RAW!$A:$R,C$1,0)/1000,0)</f>
        <v>0</v>
      </c>
      <c r="D43" s="83">
        <f>ROUND(VLOOKUP($A:$A,RAW!$A:$R,D$1,0)/1000,0)</f>
        <v>0</v>
      </c>
      <c r="E43" s="83">
        <f>ROUND(VLOOKUP($A:$A,RAW!$A:$R,E$1,0)/1000,0)</f>
        <v>0</v>
      </c>
      <c r="F43" s="83">
        <f>ROUND(VLOOKUP($A:$A,RAW!$A:$R,F$1,0)/1000,0)</f>
        <v>0</v>
      </c>
      <c r="G43" s="83">
        <f>ROUND(VLOOKUP($A:$A,RAW!$A:$R,G$1,0)/1000,0)</f>
        <v>0</v>
      </c>
      <c r="H43" s="83">
        <f>ROUND(VLOOKUP($A:$A,RAW!$A:$R,H$1,0)/1000,0)</f>
        <v>0</v>
      </c>
      <c r="I43" s="83">
        <f>ROUND(VLOOKUP($A:$A,RAW!$A:$R,I$1,0)/1000,0)</f>
        <v>0</v>
      </c>
      <c r="J43" s="83">
        <f>ROUND(VLOOKUP($A:$A,RAW!$A:$R,J$1,0)/1000,0)</f>
        <v>0</v>
      </c>
      <c r="K43" s="83">
        <f>ROUND(VLOOKUP($A:$A,RAW!$A:$R,K$1,0)/1000,0)</f>
        <v>0</v>
      </c>
      <c r="L43" s="83">
        <f>ROUND(VLOOKUP($A:$A,RAW!$A:$R,L$1,0)/1000,0)</f>
        <v>0</v>
      </c>
      <c r="M43" s="83"/>
    </row>
    <row r="44" spans="1:13" hidden="1" outlineLevel="1">
      <c r="A44" s="371">
        <v>113149</v>
      </c>
      <c r="B44" s="69" t="s">
        <v>76</v>
      </c>
      <c r="C44" s="136">
        <f>ROUND(VLOOKUP($A:$A,RAW!$A:$R,C$1,0)/1000,0)</f>
        <v>0</v>
      </c>
      <c r="D44" s="74">
        <f>ROUND(VLOOKUP($A:$A,RAW!$A:$R,D$1,0)/1000,0)</f>
        <v>0</v>
      </c>
      <c r="E44" s="74">
        <f>ROUND(VLOOKUP($A:$A,RAW!$A:$R,E$1,0)/1000,0)</f>
        <v>0</v>
      </c>
      <c r="F44" s="74">
        <f>ROUND(VLOOKUP($A:$A,RAW!$A:$R,F$1,0)/1000,0)</f>
        <v>0</v>
      </c>
      <c r="G44" s="74">
        <f>ROUND(VLOOKUP($A:$A,RAW!$A:$R,G$1,0)/1000,0)</f>
        <v>0</v>
      </c>
      <c r="H44" s="74">
        <f>ROUND(VLOOKUP($A:$A,RAW!$A:$R,H$1,0)/1000,0)</f>
        <v>0</v>
      </c>
      <c r="I44" s="74">
        <f>ROUND(VLOOKUP($A:$A,RAW!$A:$R,I$1,0)/1000,0)</f>
        <v>0</v>
      </c>
      <c r="J44" s="74">
        <f>ROUND(VLOOKUP($A:$A,RAW!$A:$R,J$1,0)/1000,0)</f>
        <v>0</v>
      </c>
      <c r="K44" s="74">
        <f>ROUND(VLOOKUP($A:$A,RAW!$A:$R,K$1,0)/1000,0)</f>
        <v>0</v>
      </c>
      <c r="L44" s="74">
        <f>ROUND(VLOOKUP($A:$A,RAW!$A:$R,L$1,0)/1000,0)</f>
        <v>0</v>
      </c>
      <c r="M44" s="74"/>
    </row>
    <row r="45" spans="1:13" hidden="1" outlineLevel="1">
      <c r="B45" s="69" t="s">
        <v>63</v>
      </c>
      <c r="C45" s="105"/>
      <c r="D45" s="81">
        <f>IFERROR(D43-C43,"")</f>
        <v>0</v>
      </c>
      <c r="E45" s="81">
        <f t="shared" ref="E45:L45" si="24">IFERROR(E43-D43,"")</f>
        <v>0</v>
      </c>
      <c r="F45" s="81">
        <f t="shared" si="24"/>
        <v>0</v>
      </c>
      <c r="G45" s="81">
        <f t="shared" si="24"/>
        <v>0</v>
      </c>
      <c r="H45" s="81">
        <f t="shared" si="24"/>
        <v>0</v>
      </c>
      <c r="I45" s="81">
        <f t="shared" si="24"/>
        <v>0</v>
      </c>
      <c r="J45" s="81">
        <f t="shared" si="24"/>
        <v>0</v>
      </c>
      <c r="K45" s="81">
        <f t="shared" si="24"/>
        <v>0</v>
      </c>
      <c r="L45" s="81">
        <f t="shared" si="24"/>
        <v>0</v>
      </c>
      <c r="M45" s="81"/>
    </row>
    <row r="46" spans="1:13" hidden="1" outlineLevel="1">
      <c r="B46" s="69" t="s">
        <v>60</v>
      </c>
      <c r="C46" s="105"/>
      <c r="D46" s="81">
        <f>IFERROR(D44-C44,"")</f>
        <v>0</v>
      </c>
      <c r="E46" s="81">
        <f t="shared" ref="E46:L46" si="25">IFERROR(E44-D44,"")</f>
        <v>0</v>
      </c>
      <c r="F46" s="81">
        <f t="shared" si="25"/>
        <v>0</v>
      </c>
      <c r="G46" s="81">
        <f t="shared" si="25"/>
        <v>0</v>
      </c>
      <c r="H46" s="81">
        <f t="shared" si="25"/>
        <v>0</v>
      </c>
      <c r="I46" s="81">
        <f t="shared" si="25"/>
        <v>0</v>
      </c>
      <c r="J46" s="81">
        <f t="shared" si="25"/>
        <v>0</v>
      </c>
      <c r="K46" s="81">
        <f t="shared" si="25"/>
        <v>0</v>
      </c>
      <c r="L46" s="81">
        <f t="shared" si="25"/>
        <v>0</v>
      </c>
      <c r="M46" s="81"/>
    </row>
    <row r="47" spans="1:13" hidden="1" outlineLevel="1">
      <c r="B47" s="115" t="s">
        <v>68</v>
      </c>
      <c r="C47" s="105"/>
      <c r="D47" s="103">
        <f>IFERROR(D45+D48,"")</f>
        <v>0</v>
      </c>
      <c r="E47" s="103">
        <f t="shared" ref="E47:L47" si="26">IFERROR(E45+E48,"")</f>
        <v>0</v>
      </c>
      <c r="F47" s="103">
        <f t="shared" si="26"/>
        <v>0</v>
      </c>
      <c r="G47" s="103">
        <f t="shared" si="26"/>
        <v>0</v>
      </c>
      <c r="H47" s="103">
        <f t="shared" si="26"/>
        <v>0</v>
      </c>
      <c r="I47" s="103">
        <f t="shared" si="26"/>
        <v>0</v>
      </c>
      <c r="J47" s="103">
        <f t="shared" si="26"/>
        <v>0</v>
      </c>
      <c r="K47" s="103">
        <f t="shared" si="26"/>
        <v>0</v>
      </c>
      <c r="L47" s="103">
        <f t="shared" si="26"/>
        <v>0</v>
      </c>
      <c r="M47" s="103"/>
    </row>
    <row r="48" spans="1:13" hidden="1" outlineLevel="1">
      <c r="B48" s="118" t="s">
        <v>69</v>
      </c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</row>
    <row r="49" spans="1:13" hidden="1" outlineLevel="1">
      <c r="B49" s="110"/>
      <c r="C49" s="111" t="s">
        <v>70</v>
      </c>
      <c r="D49" s="119" t="str">
        <f>IFERROR(D44/(D44+D43),"")</f>
        <v/>
      </c>
      <c r="E49" s="119" t="str">
        <f t="shared" ref="E49:L49" si="27">IFERROR(E44/(E44+E43),"")</f>
        <v/>
      </c>
      <c r="F49" s="119" t="str">
        <f t="shared" si="27"/>
        <v/>
      </c>
      <c r="G49" s="119" t="str">
        <f t="shared" si="27"/>
        <v/>
      </c>
      <c r="H49" s="119" t="str">
        <f t="shared" si="27"/>
        <v/>
      </c>
      <c r="I49" s="119" t="str">
        <f t="shared" si="27"/>
        <v/>
      </c>
      <c r="J49" s="119" t="str">
        <f t="shared" si="27"/>
        <v/>
      </c>
      <c r="K49" s="119" t="str">
        <f t="shared" si="27"/>
        <v/>
      </c>
      <c r="L49" s="119" t="str">
        <f t="shared" si="27"/>
        <v/>
      </c>
      <c r="M49" s="119"/>
    </row>
    <row r="50" spans="1:13" hidden="1" outlineLevel="1">
      <c r="A50" s="371">
        <v>113150</v>
      </c>
      <c r="B50" s="82" t="s">
        <v>77</v>
      </c>
      <c r="C50" s="83">
        <f>ROUND(VLOOKUP($A:$A,RAW!$A:$R,C$1,0)/1000,0)</f>
        <v>0</v>
      </c>
      <c r="D50" s="83">
        <f>ROUND(VLOOKUP($A:$A,RAW!$A:$R,D$1,0)/1000,0)</f>
        <v>0</v>
      </c>
      <c r="E50" s="83">
        <f>ROUND(VLOOKUP($A:$A,RAW!$A:$R,E$1,0)/1000,0)</f>
        <v>0</v>
      </c>
      <c r="F50" s="83">
        <f>ROUND(VLOOKUP($A:$A,RAW!$A:$R,F$1,0)/1000,0)</f>
        <v>0</v>
      </c>
      <c r="G50" s="83">
        <f>ROUND(VLOOKUP($A:$A,RAW!$A:$R,G$1,0)/1000,0)</f>
        <v>0</v>
      </c>
      <c r="H50" s="83">
        <f>ROUND(VLOOKUP($A:$A,RAW!$A:$R,H$1,0)/1000,0)</f>
        <v>0</v>
      </c>
      <c r="I50" s="83">
        <f>ROUND(VLOOKUP($A:$A,RAW!$A:$R,I$1,0)/1000,0)</f>
        <v>0</v>
      </c>
      <c r="J50" s="83">
        <f>ROUND(VLOOKUP($A:$A,RAW!$A:$R,J$1,0)/1000,0)</f>
        <v>0</v>
      </c>
      <c r="K50" s="83">
        <f>ROUND(VLOOKUP($A:$A,RAW!$A:$R,K$1,0)/1000,0)</f>
        <v>0</v>
      </c>
      <c r="L50" s="83">
        <f>ROUND(VLOOKUP($A:$A,RAW!$A:$R,L$1,0)/1000,0)</f>
        <v>0</v>
      </c>
      <c r="M50" s="83"/>
    </row>
    <row r="51" spans="1:13" hidden="1" outlineLevel="1">
      <c r="A51" s="371">
        <v>113151</v>
      </c>
      <c r="B51" s="69" t="s">
        <v>78</v>
      </c>
      <c r="C51" s="136">
        <f>ROUND(VLOOKUP($A:$A,RAW!$A:$R,C$1,0)/1000,0)</f>
        <v>0</v>
      </c>
      <c r="D51" s="74">
        <f>ROUND(VLOOKUP($A:$A,RAW!$A:$R,D$1,0)/1000,0)</f>
        <v>0</v>
      </c>
      <c r="E51" s="74">
        <f>ROUND(VLOOKUP($A:$A,RAW!$A:$R,E$1,0)/1000,0)</f>
        <v>0</v>
      </c>
      <c r="F51" s="74">
        <f>ROUND(VLOOKUP($A:$A,RAW!$A:$R,F$1,0)/1000,0)</f>
        <v>0</v>
      </c>
      <c r="G51" s="74">
        <f>ROUND(VLOOKUP($A:$A,RAW!$A:$R,G$1,0)/1000,0)</f>
        <v>0</v>
      </c>
      <c r="H51" s="74">
        <f>ROUND(VLOOKUP($A:$A,RAW!$A:$R,H$1,0)/1000,0)</f>
        <v>0</v>
      </c>
      <c r="I51" s="74">
        <f>ROUND(VLOOKUP($A:$A,RAW!$A:$R,I$1,0)/1000,0)</f>
        <v>0</v>
      </c>
      <c r="J51" s="74">
        <f>ROUND(VLOOKUP($A:$A,RAW!$A:$R,J$1,0)/1000,0)</f>
        <v>0</v>
      </c>
      <c r="K51" s="74">
        <f>ROUND(VLOOKUP($A:$A,RAW!$A:$R,K$1,0)/1000,0)</f>
        <v>0</v>
      </c>
      <c r="L51" s="74">
        <f>ROUND(VLOOKUP($A:$A,RAW!$A:$R,L$1,0)/1000,0)</f>
        <v>0</v>
      </c>
      <c r="M51" s="74"/>
    </row>
    <row r="52" spans="1:13" hidden="1" outlineLevel="1">
      <c r="B52" s="69" t="s">
        <v>63</v>
      </c>
      <c r="C52" s="105"/>
      <c r="D52" s="81">
        <f>IFERROR(D50-C50,"")</f>
        <v>0</v>
      </c>
      <c r="E52" s="81">
        <f t="shared" ref="E52:L52" si="28">IFERROR(E50-D50,"")</f>
        <v>0</v>
      </c>
      <c r="F52" s="81">
        <f t="shared" si="28"/>
        <v>0</v>
      </c>
      <c r="G52" s="81">
        <f t="shared" si="28"/>
        <v>0</v>
      </c>
      <c r="H52" s="81">
        <f t="shared" si="28"/>
        <v>0</v>
      </c>
      <c r="I52" s="81">
        <f t="shared" si="28"/>
        <v>0</v>
      </c>
      <c r="J52" s="81">
        <f t="shared" si="28"/>
        <v>0</v>
      </c>
      <c r="K52" s="81">
        <f t="shared" si="28"/>
        <v>0</v>
      </c>
      <c r="L52" s="81">
        <f t="shared" si="28"/>
        <v>0</v>
      </c>
      <c r="M52" s="81"/>
    </row>
    <row r="53" spans="1:13" hidden="1" outlineLevel="1">
      <c r="B53" s="69" t="s">
        <v>60</v>
      </c>
      <c r="C53" s="105"/>
      <c r="D53" s="81">
        <f>IFERROR(D51-C51,"")</f>
        <v>0</v>
      </c>
      <c r="E53" s="81">
        <f t="shared" ref="E53:L53" si="29">IFERROR(E51-D51,"")</f>
        <v>0</v>
      </c>
      <c r="F53" s="81">
        <f t="shared" si="29"/>
        <v>0</v>
      </c>
      <c r="G53" s="81">
        <f t="shared" si="29"/>
        <v>0</v>
      </c>
      <c r="H53" s="81">
        <f t="shared" si="29"/>
        <v>0</v>
      </c>
      <c r="I53" s="81">
        <f t="shared" si="29"/>
        <v>0</v>
      </c>
      <c r="J53" s="81">
        <f t="shared" si="29"/>
        <v>0</v>
      </c>
      <c r="K53" s="81">
        <f t="shared" si="29"/>
        <v>0</v>
      </c>
      <c r="L53" s="81">
        <f t="shared" si="29"/>
        <v>0</v>
      </c>
      <c r="M53" s="81"/>
    </row>
    <row r="54" spans="1:13" hidden="1" outlineLevel="1">
      <c r="B54" s="115" t="s">
        <v>68</v>
      </c>
      <c r="C54" s="105"/>
      <c r="D54" s="103">
        <f>IFERROR(D52+D55,"")</f>
        <v>0</v>
      </c>
      <c r="E54" s="103">
        <f t="shared" ref="E54:L54" si="30">IFERROR(E52+E55,"")</f>
        <v>0</v>
      </c>
      <c r="F54" s="103">
        <f t="shared" si="30"/>
        <v>0</v>
      </c>
      <c r="G54" s="103">
        <f t="shared" si="30"/>
        <v>0</v>
      </c>
      <c r="H54" s="103">
        <f t="shared" si="30"/>
        <v>0</v>
      </c>
      <c r="I54" s="103">
        <f t="shared" si="30"/>
        <v>0</v>
      </c>
      <c r="J54" s="103">
        <f t="shared" si="30"/>
        <v>0</v>
      </c>
      <c r="K54" s="103">
        <f t="shared" si="30"/>
        <v>0</v>
      </c>
      <c r="L54" s="103">
        <f t="shared" si="30"/>
        <v>0</v>
      </c>
      <c r="M54" s="103"/>
    </row>
    <row r="55" spans="1:13" hidden="1" outlineLevel="1">
      <c r="B55" s="118" t="s">
        <v>69</v>
      </c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</row>
    <row r="56" spans="1:13" hidden="1" outlineLevel="1">
      <c r="B56" s="110"/>
      <c r="C56" s="111" t="s">
        <v>70</v>
      </c>
      <c r="D56" s="119" t="str">
        <f>IFERROR(D51/(D51+D50),"")</f>
        <v/>
      </c>
      <c r="E56" s="119" t="str">
        <f t="shared" ref="E56:L56" si="31">IFERROR(E51/(E51+E50),"")</f>
        <v/>
      </c>
      <c r="F56" s="119" t="str">
        <f t="shared" si="31"/>
        <v/>
      </c>
      <c r="G56" s="119" t="str">
        <f t="shared" si="31"/>
        <v/>
      </c>
      <c r="H56" s="119" t="str">
        <f t="shared" si="31"/>
        <v/>
      </c>
      <c r="I56" s="119" t="str">
        <f t="shared" si="31"/>
        <v/>
      </c>
      <c r="J56" s="119" t="str">
        <f t="shared" si="31"/>
        <v/>
      </c>
      <c r="K56" s="119" t="str">
        <f t="shared" si="31"/>
        <v/>
      </c>
      <c r="L56" s="119" t="str">
        <f t="shared" si="31"/>
        <v/>
      </c>
      <c r="M56" s="119"/>
    </row>
    <row r="57" spans="1:13" hidden="1" outlineLevel="1">
      <c r="A57" s="371">
        <v>113160</v>
      </c>
      <c r="B57" s="69" t="s">
        <v>79</v>
      </c>
      <c r="C57" s="83">
        <f>ROUND(VLOOKUP($A:$A,RAW!$A:$R,C$1,0)/1000,0)</f>
        <v>0</v>
      </c>
      <c r="D57" s="83">
        <f>ROUND(VLOOKUP($A:$A,RAW!$A:$R,D$1,0)/1000,0)</f>
        <v>0</v>
      </c>
      <c r="E57" s="83">
        <f>ROUND(VLOOKUP($A:$A,RAW!$A:$R,E$1,0)/1000,0)</f>
        <v>0</v>
      </c>
      <c r="F57" s="83">
        <f>ROUND(VLOOKUP($A:$A,RAW!$A:$R,F$1,0)/1000,0)</f>
        <v>0</v>
      </c>
      <c r="G57" s="83">
        <f>ROUND(VLOOKUP($A:$A,RAW!$A:$R,G$1,0)/1000,0)</f>
        <v>0</v>
      </c>
      <c r="H57" s="83">
        <f>ROUND(VLOOKUP($A:$A,RAW!$A:$R,H$1,0)/1000,0)</f>
        <v>0</v>
      </c>
      <c r="I57" s="83">
        <f>ROUND(VLOOKUP($A:$A,RAW!$A:$R,I$1,0)/1000,0)</f>
        <v>0</v>
      </c>
      <c r="J57" s="83">
        <f>ROUND(VLOOKUP($A:$A,RAW!$A:$R,J$1,0)/1000,0)</f>
        <v>0</v>
      </c>
      <c r="K57" s="83">
        <f>ROUND(VLOOKUP($A:$A,RAW!$A:$R,K$1,0)/1000,0)</f>
        <v>0</v>
      </c>
      <c r="L57" s="83">
        <f>ROUND(VLOOKUP($A:$A,RAW!$A:$R,L$1,0)/1000,0)</f>
        <v>0</v>
      </c>
      <c r="M57" s="83"/>
    </row>
    <row r="58" spans="1:13" hidden="1" outlineLevel="1">
      <c r="A58" s="371">
        <v>113161</v>
      </c>
      <c r="B58" s="69" t="s">
        <v>80</v>
      </c>
      <c r="C58" s="136">
        <f>ROUND(VLOOKUP($A:$A,RAW!$A:$R,C$1,0)/1000,0)</f>
        <v>0</v>
      </c>
      <c r="D58" s="74">
        <f>ROUND(VLOOKUP($A:$A,RAW!$A:$R,D$1,0)/1000,0)</f>
        <v>0</v>
      </c>
      <c r="E58" s="74">
        <f>ROUND(VLOOKUP($A:$A,RAW!$A:$R,E$1,0)/1000,0)</f>
        <v>0</v>
      </c>
      <c r="F58" s="74">
        <f>ROUND(VLOOKUP($A:$A,RAW!$A:$R,F$1,0)/1000,0)</f>
        <v>0</v>
      </c>
      <c r="G58" s="74">
        <f>ROUND(VLOOKUP($A:$A,RAW!$A:$R,G$1,0)/1000,0)</f>
        <v>0</v>
      </c>
      <c r="H58" s="74">
        <f>ROUND(VLOOKUP($A:$A,RAW!$A:$R,H$1,0)/1000,0)</f>
        <v>0</v>
      </c>
      <c r="I58" s="74">
        <f>ROUND(VLOOKUP($A:$A,RAW!$A:$R,I$1,0)/1000,0)</f>
        <v>0</v>
      </c>
      <c r="J58" s="74">
        <f>ROUND(VLOOKUP($A:$A,RAW!$A:$R,J$1,0)/1000,0)</f>
        <v>0</v>
      </c>
      <c r="K58" s="74">
        <f>ROUND(VLOOKUP($A:$A,RAW!$A:$R,K$1,0)/1000,0)</f>
        <v>0</v>
      </c>
      <c r="L58" s="74">
        <f>ROUND(VLOOKUP($A:$A,RAW!$A:$R,L$1,0)/1000,0)</f>
        <v>0</v>
      </c>
      <c r="M58" s="74"/>
    </row>
    <row r="59" spans="1:13" hidden="1" outlineLevel="1">
      <c r="B59" s="69" t="s">
        <v>63</v>
      </c>
      <c r="C59" s="105"/>
      <c r="D59" s="81">
        <f>IFERROR(D57-C57,"")</f>
        <v>0</v>
      </c>
      <c r="E59" s="81">
        <f t="shared" ref="E59:L59" si="32">IFERROR(E57-D57,"")</f>
        <v>0</v>
      </c>
      <c r="F59" s="81">
        <f t="shared" si="32"/>
        <v>0</v>
      </c>
      <c r="G59" s="81">
        <f t="shared" si="32"/>
        <v>0</v>
      </c>
      <c r="H59" s="81">
        <f t="shared" si="32"/>
        <v>0</v>
      </c>
      <c r="I59" s="81">
        <f t="shared" si="32"/>
        <v>0</v>
      </c>
      <c r="J59" s="81">
        <f t="shared" si="32"/>
        <v>0</v>
      </c>
      <c r="K59" s="81">
        <f t="shared" si="32"/>
        <v>0</v>
      </c>
      <c r="L59" s="81">
        <f t="shared" si="32"/>
        <v>0</v>
      </c>
      <c r="M59" s="81"/>
    </row>
    <row r="60" spans="1:13" hidden="1" outlineLevel="1">
      <c r="B60" s="69" t="s">
        <v>60</v>
      </c>
      <c r="C60" s="105"/>
      <c r="D60" s="81">
        <f>IFERROR(D58-C58,"")</f>
        <v>0</v>
      </c>
      <c r="E60" s="81">
        <f t="shared" ref="E60:L60" si="33">IFERROR(E58-D58,"")</f>
        <v>0</v>
      </c>
      <c r="F60" s="81">
        <f t="shared" si="33"/>
        <v>0</v>
      </c>
      <c r="G60" s="81">
        <f t="shared" si="33"/>
        <v>0</v>
      </c>
      <c r="H60" s="81">
        <f t="shared" si="33"/>
        <v>0</v>
      </c>
      <c r="I60" s="81">
        <f t="shared" si="33"/>
        <v>0</v>
      </c>
      <c r="J60" s="81">
        <f t="shared" si="33"/>
        <v>0</v>
      </c>
      <c r="K60" s="81">
        <f t="shared" si="33"/>
        <v>0</v>
      </c>
      <c r="L60" s="81">
        <f t="shared" si="33"/>
        <v>0</v>
      </c>
      <c r="M60" s="81"/>
    </row>
    <row r="61" spans="1:13" hidden="1" outlineLevel="1">
      <c r="B61" s="115" t="s">
        <v>68</v>
      </c>
      <c r="C61" s="105"/>
      <c r="D61" s="103">
        <f>IFERROR(D59+D62,"")</f>
        <v>0</v>
      </c>
      <c r="E61" s="103">
        <f t="shared" ref="E61:L61" si="34">IFERROR(E59+E62,"")</f>
        <v>0</v>
      </c>
      <c r="F61" s="103">
        <f t="shared" si="34"/>
        <v>0</v>
      </c>
      <c r="G61" s="103">
        <f t="shared" si="34"/>
        <v>0</v>
      </c>
      <c r="H61" s="103">
        <f t="shared" si="34"/>
        <v>0</v>
      </c>
      <c r="I61" s="103">
        <f t="shared" si="34"/>
        <v>0</v>
      </c>
      <c r="J61" s="103">
        <f t="shared" si="34"/>
        <v>0</v>
      </c>
      <c r="K61" s="103">
        <f t="shared" si="34"/>
        <v>0</v>
      </c>
      <c r="L61" s="103">
        <f t="shared" si="34"/>
        <v>0</v>
      </c>
      <c r="M61" s="103"/>
    </row>
    <row r="62" spans="1:13" hidden="1" outlineLevel="1">
      <c r="B62" s="118" t="s">
        <v>69</v>
      </c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</row>
    <row r="63" spans="1:13" hidden="1" outlineLevel="1">
      <c r="B63" s="110"/>
      <c r="C63" s="111" t="s">
        <v>70</v>
      </c>
      <c r="D63" s="119" t="str">
        <f>IFERROR(D58/(D58+D57),"")</f>
        <v/>
      </c>
      <c r="E63" s="119" t="str">
        <f t="shared" ref="E63:L63" si="35">IFERROR(E58/(E58+E57),"")</f>
        <v/>
      </c>
      <c r="F63" s="119" t="str">
        <f t="shared" si="35"/>
        <v/>
      </c>
      <c r="G63" s="119" t="str">
        <f t="shared" si="35"/>
        <v/>
      </c>
      <c r="H63" s="119" t="str">
        <f t="shared" si="35"/>
        <v/>
      </c>
      <c r="I63" s="119" t="str">
        <f t="shared" si="35"/>
        <v/>
      </c>
      <c r="J63" s="119" t="str">
        <f t="shared" si="35"/>
        <v/>
      </c>
      <c r="K63" s="119" t="str">
        <f t="shared" si="35"/>
        <v/>
      </c>
      <c r="L63" s="119" t="str">
        <f t="shared" si="35"/>
        <v/>
      </c>
      <c r="M63" s="119"/>
    </row>
    <row r="64" spans="1:13" hidden="1" outlineLevel="1">
      <c r="A64" s="371">
        <v>113170</v>
      </c>
      <c r="B64" s="69" t="s">
        <v>81</v>
      </c>
      <c r="C64" s="83">
        <f>ROUND(VLOOKUP($A:$A,RAW!$A:$R,C$1,0)/1000,0)</f>
        <v>0</v>
      </c>
      <c r="D64" s="83">
        <f>ROUND(VLOOKUP($A:$A,RAW!$A:$R,D$1,0)/1000,0)</f>
        <v>0</v>
      </c>
      <c r="E64" s="83">
        <f>ROUND(VLOOKUP($A:$A,RAW!$A:$R,E$1,0)/1000,0)</f>
        <v>0</v>
      </c>
      <c r="F64" s="83">
        <f>ROUND(VLOOKUP($A:$A,RAW!$A:$R,F$1,0)/1000,0)</f>
        <v>0</v>
      </c>
      <c r="G64" s="83">
        <f>ROUND(VLOOKUP($A:$A,RAW!$A:$R,G$1,0)/1000,0)</f>
        <v>0</v>
      </c>
      <c r="H64" s="83">
        <f>ROUND(VLOOKUP($A:$A,RAW!$A:$R,H$1,0)/1000,0)</f>
        <v>0</v>
      </c>
      <c r="I64" s="83">
        <f>ROUND(VLOOKUP($A:$A,RAW!$A:$R,I$1,0)/1000,0)</f>
        <v>0</v>
      </c>
      <c r="J64" s="83">
        <f>ROUND(VLOOKUP($A:$A,RAW!$A:$R,J$1,0)/1000,0)</f>
        <v>0</v>
      </c>
      <c r="K64" s="83">
        <f>ROUND(VLOOKUP($A:$A,RAW!$A:$R,K$1,0)/1000,0)</f>
        <v>0</v>
      </c>
      <c r="L64" s="83">
        <f>ROUND(VLOOKUP($A:$A,RAW!$A:$R,L$1,0)/1000,0)</f>
        <v>0</v>
      </c>
      <c r="M64" s="83"/>
    </row>
    <row r="65" spans="1:13" hidden="1" outlineLevel="1">
      <c r="A65" s="371">
        <v>113171</v>
      </c>
      <c r="B65" s="69" t="s">
        <v>82</v>
      </c>
      <c r="C65" s="136">
        <f>ROUND(VLOOKUP($A:$A,RAW!$A:$R,C$1,0)/1000,0)</f>
        <v>0</v>
      </c>
      <c r="D65" s="74">
        <f>ROUND(VLOOKUP($A:$A,RAW!$A:$R,D$1,0)/1000,0)</f>
        <v>0</v>
      </c>
      <c r="E65" s="74">
        <f>ROUND(VLOOKUP($A:$A,RAW!$A:$R,E$1,0)/1000,0)</f>
        <v>0</v>
      </c>
      <c r="F65" s="74">
        <f>ROUND(VLOOKUP($A:$A,RAW!$A:$R,F$1,0)/1000,0)</f>
        <v>0</v>
      </c>
      <c r="G65" s="74">
        <f>ROUND(VLOOKUP($A:$A,RAW!$A:$R,G$1,0)/1000,0)</f>
        <v>0</v>
      </c>
      <c r="H65" s="74">
        <f>ROUND(VLOOKUP($A:$A,RAW!$A:$R,H$1,0)/1000,0)</f>
        <v>0</v>
      </c>
      <c r="I65" s="74">
        <f>ROUND(VLOOKUP($A:$A,RAW!$A:$R,I$1,0)/1000,0)</f>
        <v>0</v>
      </c>
      <c r="J65" s="74">
        <f>ROUND(VLOOKUP($A:$A,RAW!$A:$R,J$1,0)/1000,0)</f>
        <v>0</v>
      </c>
      <c r="K65" s="74">
        <f>ROUND(VLOOKUP($A:$A,RAW!$A:$R,K$1,0)/1000,0)</f>
        <v>0</v>
      </c>
      <c r="L65" s="74">
        <f>ROUND(VLOOKUP($A:$A,RAW!$A:$R,L$1,0)/1000,0)</f>
        <v>0</v>
      </c>
      <c r="M65" s="74"/>
    </row>
    <row r="66" spans="1:13" hidden="1" outlineLevel="1">
      <c r="B66" s="69" t="s">
        <v>63</v>
      </c>
      <c r="C66" s="105"/>
      <c r="D66" s="81">
        <f>IFERROR(D64-C64,"")</f>
        <v>0</v>
      </c>
      <c r="E66" s="81">
        <f t="shared" ref="E66:L66" si="36">IFERROR(E64-D64,"")</f>
        <v>0</v>
      </c>
      <c r="F66" s="81">
        <f t="shared" si="36"/>
        <v>0</v>
      </c>
      <c r="G66" s="81">
        <f t="shared" si="36"/>
        <v>0</v>
      </c>
      <c r="H66" s="81">
        <f t="shared" si="36"/>
        <v>0</v>
      </c>
      <c r="I66" s="81">
        <f t="shared" si="36"/>
        <v>0</v>
      </c>
      <c r="J66" s="81">
        <f t="shared" si="36"/>
        <v>0</v>
      </c>
      <c r="K66" s="81">
        <f t="shared" si="36"/>
        <v>0</v>
      </c>
      <c r="L66" s="81">
        <f t="shared" si="36"/>
        <v>0</v>
      </c>
      <c r="M66" s="81"/>
    </row>
    <row r="67" spans="1:13" hidden="1" outlineLevel="1">
      <c r="B67" s="69" t="s">
        <v>60</v>
      </c>
      <c r="C67" s="105"/>
      <c r="D67" s="81">
        <f>IFERROR(D65-C65,"")</f>
        <v>0</v>
      </c>
      <c r="E67" s="81">
        <f t="shared" ref="E67:L67" si="37">IFERROR(E65-D65,"")</f>
        <v>0</v>
      </c>
      <c r="F67" s="81">
        <f t="shared" si="37"/>
        <v>0</v>
      </c>
      <c r="G67" s="81">
        <f t="shared" si="37"/>
        <v>0</v>
      </c>
      <c r="H67" s="81">
        <f t="shared" si="37"/>
        <v>0</v>
      </c>
      <c r="I67" s="81">
        <f t="shared" si="37"/>
        <v>0</v>
      </c>
      <c r="J67" s="81">
        <f t="shared" si="37"/>
        <v>0</v>
      </c>
      <c r="K67" s="81">
        <f t="shared" si="37"/>
        <v>0</v>
      </c>
      <c r="L67" s="81">
        <f t="shared" si="37"/>
        <v>0</v>
      </c>
      <c r="M67" s="81"/>
    </row>
    <row r="68" spans="1:13" hidden="1" outlineLevel="1">
      <c r="B68" s="115" t="s">
        <v>68</v>
      </c>
      <c r="C68" s="105"/>
      <c r="D68" s="103">
        <f>IFERROR(D66+D69,"")</f>
        <v>0</v>
      </c>
      <c r="E68" s="103">
        <f t="shared" ref="E68:L68" si="38">IFERROR(E66+E69,"")</f>
        <v>0</v>
      </c>
      <c r="F68" s="103">
        <f t="shared" si="38"/>
        <v>0</v>
      </c>
      <c r="G68" s="103">
        <f t="shared" si="38"/>
        <v>0</v>
      </c>
      <c r="H68" s="103">
        <f t="shared" si="38"/>
        <v>0</v>
      </c>
      <c r="I68" s="103">
        <f t="shared" si="38"/>
        <v>0</v>
      </c>
      <c r="J68" s="103">
        <f t="shared" si="38"/>
        <v>0</v>
      </c>
      <c r="K68" s="103">
        <f t="shared" si="38"/>
        <v>0</v>
      </c>
      <c r="L68" s="103">
        <f t="shared" si="38"/>
        <v>0</v>
      </c>
      <c r="M68" s="103"/>
    </row>
    <row r="69" spans="1:13" hidden="1" outlineLevel="1">
      <c r="B69" s="118" t="s">
        <v>69</v>
      </c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</row>
    <row r="70" spans="1:13" hidden="1" outlineLevel="1">
      <c r="B70" s="110"/>
      <c r="C70" s="111" t="s">
        <v>70</v>
      </c>
      <c r="D70" s="119" t="str">
        <f>IFERROR(D65/(D65+D64),"")</f>
        <v/>
      </c>
      <c r="E70" s="119" t="str">
        <f t="shared" ref="E70:L70" si="39">IFERROR(E65/(E65+E64),"")</f>
        <v/>
      </c>
      <c r="F70" s="119" t="str">
        <f t="shared" si="39"/>
        <v/>
      </c>
      <c r="G70" s="119" t="str">
        <f t="shared" si="39"/>
        <v/>
      </c>
      <c r="H70" s="119" t="str">
        <f t="shared" si="39"/>
        <v/>
      </c>
      <c r="I70" s="119" t="str">
        <f t="shared" si="39"/>
        <v/>
      </c>
      <c r="J70" s="119" t="str">
        <f t="shared" si="39"/>
        <v/>
      </c>
      <c r="K70" s="119" t="str">
        <f t="shared" si="39"/>
        <v/>
      </c>
      <c r="L70" s="119" t="str">
        <f t="shared" si="39"/>
        <v/>
      </c>
      <c r="M70" s="119"/>
    </row>
    <row r="71" spans="1:13" hidden="1" outlineLevel="1">
      <c r="A71" s="371">
        <v>113180</v>
      </c>
      <c r="B71" s="69" t="s">
        <v>83</v>
      </c>
      <c r="C71" s="83">
        <f>ROUND(VLOOKUP($A:$A,RAW!$A:$R,C$1,0)/1000,0)</f>
        <v>0</v>
      </c>
      <c r="D71" s="83">
        <f>ROUND(VLOOKUP($A:$A,RAW!$A:$R,D$1,0)/1000,0)</f>
        <v>0</v>
      </c>
      <c r="E71" s="83">
        <f>ROUND(VLOOKUP($A:$A,RAW!$A:$R,E$1,0)/1000,0)</f>
        <v>0</v>
      </c>
      <c r="F71" s="83">
        <f>ROUND(VLOOKUP($A:$A,RAW!$A:$R,F$1,0)/1000,0)</f>
        <v>0</v>
      </c>
      <c r="G71" s="83">
        <f>ROUND(VLOOKUP($A:$A,RAW!$A:$R,G$1,0)/1000,0)</f>
        <v>0</v>
      </c>
      <c r="H71" s="83">
        <f>ROUND(VLOOKUP($A:$A,RAW!$A:$R,H$1,0)/1000,0)</f>
        <v>0</v>
      </c>
      <c r="I71" s="83">
        <f>ROUND(VLOOKUP($A:$A,RAW!$A:$R,I$1,0)/1000,0)</f>
        <v>0</v>
      </c>
      <c r="J71" s="83">
        <f>ROUND(VLOOKUP($A:$A,RAW!$A:$R,J$1,0)/1000,0)</f>
        <v>0</v>
      </c>
      <c r="K71" s="83">
        <f>ROUND(VLOOKUP($A:$A,RAW!$A:$R,K$1,0)/1000,0)</f>
        <v>0</v>
      </c>
      <c r="L71" s="83">
        <f>ROUND(VLOOKUP($A:$A,RAW!$A:$R,L$1,0)/1000,0)</f>
        <v>0</v>
      </c>
      <c r="M71" s="83"/>
    </row>
    <row r="72" spans="1:13" hidden="1" outlineLevel="1">
      <c r="A72" s="371">
        <v>113181</v>
      </c>
      <c r="B72" s="69" t="s">
        <v>84</v>
      </c>
      <c r="C72" s="136">
        <f>ROUND(VLOOKUP($A:$A,RAW!$A:$R,C$1,0)/1000,0)</f>
        <v>0</v>
      </c>
      <c r="D72" s="74">
        <f>ROUND(VLOOKUP($A:$A,RAW!$A:$R,D$1,0)/1000,0)</f>
        <v>0</v>
      </c>
      <c r="E72" s="74">
        <f>ROUND(VLOOKUP($A:$A,RAW!$A:$R,E$1,0)/1000,0)</f>
        <v>0</v>
      </c>
      <c r="F72" s="74">
        <f>ROUND(VLOOKUP($A:$A,RAW!$A:$R,F$1,0)/1000,0)</f>
        <v>0</v>
      </c>
      <c r="G72" s="74">
        <f>ROUND(VLOOKUP($A:$A,RAW!$A:$R,G$1,0)/1000,0)</f>
        <v>0</v>
      </c>
      <c r="H72" s="74">
        <f>ROUND(VLOOKUP($A:$A,RAW!$A:$R,H$1,0)/1000,0)</f>
        <v>0</v>
      </c>
      <c r="I72" s="74">
        <f>ROUND(VLOOKUP($A:$A,RAW!$A:$R,I$1,0)/1000,0)</f>
        <v>0</v>
      </c>
      <c r="J72" s="74">
        <f>ROUND(VLOOKUP($A:$A,RAW!$A:$R,J$1,0)/1000,0)</f>
        <v>0</v>
      </c>
      <c r="K72" s="74">
        <f>ROUND(VLOOKUP($A:$A,RAW!$A:$R,K$1,0)/1000,0)</f>
        <v>0</v>
      </c>
      <c r="L72" s="74">
        <f>ROUND(VLOOKUP($A:$A,RAW!$A:$R,L$1,0)/1000,0)</f>
        <v>0</v>
      </c>
      <c r="M72" s="74"/>
    </row>
    <row r="73" spans="1:13" hidden="1" outlineLevel="1">
      <c r="B73" s="69" t="s">
        <v>63</v>
      </c>
      <c r="C73" s="105"/>
      <c r="D73" s="81">
        <f>IFERROR(D71-C71,"")</f>
        <v>0</v>
      </c>
      <c r="E73" s="81">
        <f t="shared" ref="E73:L73" si="40">IFERROR(E71-D71,"")</f>
        <v>0</v>
      </c>
      <c r="F73" s="81">
        <f t="shared" si="40"/>
        <v>0</v>
      </c>
      <c r="G73" s="81">
        <f t="shared" si="40"/>
        <v>0</v>
      </c>
      <c r="H73" s="81">
        <f t="shared" si="40"/>
        <v>0</v>
      </c>
      <c r="I73" s="81">
        <f t="shared" si="40"/>
        <v>0</v>
      </c>
      <c r="J73" s="81">
        <f t="shared" si="40"/>
        <v>0</v>
      </c>
      <c r="K73" s="81">
        <f t="shared" si="40"/>
        <v>0</v>
      </c>
      <c r="L73" s="81">
        <f t="shared" si="40"/>
        <v>0</v>
      </c>
      <c r="M73" s="81"/>
    </row>
    <row r="74" spans="1:13" hidden="1" outlineLevel="1">
      <c r="B74" s="69" t="s">
        <v>60</v>
      </c>
      <c r="C74" s="105"/>
      <c r="D74" s="81">
        <f>IFERROR(D72-C72,"")</f>
        <v>0</v>
      </c>
      <c r="E74" s="81">
        <f t="shared" ref="E74:L74" si="41">IFERROR(E72-D72,"")</f>
        <v>0</v>
      </c>
      <c r="F74" s="81">
        <f t="shared" si="41"/>
        <v>0</v>
      </c>
      <c r="G74" s="81">
        <f t="shared" si="41"/>
        <v>0</v>
      </c>
      <c r="H74" s="81">
        <f t="shared" si="41"/>
        <v>0</v>
      </c>
      <c r="I74" s="81">
        <f t="shared" si="41"/>
        <v>0</v>
      </c>
      <c r="J74" s="81">
        <f t="shared" si="41"/>
        <v>0</v>
      </c>
      <c r="K74" s="81">
        <f t="shared" si="41"/>
        <v>0</v>
      </c>
      <c r="L74" s="81">
        <f t="shared" si="41"/>
        <v>0</v>
      </c>
      <c r="M74" s="81"/>
    </row>
    <row r="75" spans="1:13" hidden="1" outlineLevel="1">
      <c r="B75" s="115" t="s">
        <v>68</v>
      </c>
      <c r="C75" s="105"/>
      <c r="D75" s="103">
        <f>IFERROR(D73+D76,"")</f>
        <v>0</v>
      </c>
      <c r="E75" s="103">
        <f t="shared" ref="E75:L75" si="42">IFERROR(E73+E76,"")</f>
        <v>0</v>
      </c>
      <c r="F75" s="103">
        <f t="shared" si="42"/>
        <v>0</v>
      </c>
      <c r="G75" s="103">
        <f t="shared" si="42"/>
        <v>0</v>
      </c>
      <c r="H75" s="103">
        <f t="shared" si="42"/>
        <v>0</v>
      </c>
      <c r="I75" s="103">
        <f t="shared" si="42"/>
        <v>0</v>
      </c>
      <c r="J75" s="103">
        <f t="shared" si="42"/>
        <v>0</v>
      </c>
      <c r="K75" s="103">
        <f t="shared" si="42"/>
        <v>0</v>
      </c>
      <c r="L75" s="103">
        <f t="shared" si="42"/>
        <v>0</v>
      </c>
      <c r="M75" s="103"/>
    </row>
    <row r="76" spans="1:13" hidden="1" outlineLevel="1">
      <c r="B76" s="118" t="s">
        <v>69</v>
      </c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</row>
    <row r="77" spans="1:13" hidden="1" outlineLevel="1">
      <c r="B77" s="110"/>
      <c r="C77" s="111" t="s">
        <v>70</v>
      </c>
      <c r="D77" s="119" t="str">
        <f>IFERROR(D72/(D72+D71),"")</f>
        <v/>
      </c>
      <c r="E77" s="119" t="str">
        <f t="shared" ref="E77:L77" si="43">IFERROR(E72/(E72+E71),"")</f>
        <v/>
      </c>
      <c r="F77" s="119" t="str">
        <f t="shared" si="43"/>
        <v/>
      </c>
      <c r="G77" s="119" t="str">
        <f t="shared" si="43"/>
        <v/>
      </c>
      <c r="H77" s="119" t="str">
        <f t="shared" si="43"/>
        <v/>
      </c>
      <c r="I77" s="119" t="str">
        <f t="shared" si="43"/>
        <v/>
      </c>
      <c r="J77" s="119" t="str">
        <f t="shared" si="43"/>
        <v/>
      </c>
      <c r="K77" s="119" t="str">
        <f t="shared" si="43"/>
        <v/>
      </c>
      <c r="L77" s="119" t="str">
        <f t="shared" si="43"/>
        <v/>
      </c>
      <c r="M77" s="119"/>
    </row>
    <row r="78" spans="1:13" hidden="1" outlineLevel="1">
      <c r="A78" s="371">
        <v>113182</v>
      </c>
      <c r="B78" s="69" t="s">
        <v>85</v>
      </c>
      <c r="C78" s="83">
        <f>ROUND(VLOOKUP($A:$A,RAW!$A:$R,C$1,0)/1000,0)</f>
        <v>0</v>
      </c>
      <c r="D78" s="83">
        <f>ROUND(VLOOKUP($A:$A,RAW!$A:$R,D$1,0)/1000,0)</f>
        <v>0</v>
      </c>
      <c r="E78" s="83">
        <f>ROUND(VLOOKUP($A:$A,RAW!$A:$R,E$1,0)/1000,0)</f>
        <v>0</v>
      </c>
      <c r="F78" s="83">
        <f>ROUND(VLOOKUP($A:$A,RAW!$A:$R,F$1,0)/1000,0)</f>
        <v>0</v>
      </c>
      <c r="G78" s="83">
        <f>ROUND(VLOOKUP($A:$A,RAW!$A:$R,G$1,0)/1000,0)</f>
        <v>0</v>
      </c>
      <c r="H78" s="83">
        <f>ROUND(VLOOKUP($A:$A,RAW!$A:$R,H$1,0)/1000,0)</f>
        <v>0</v>
      </c>
      <c r="I78" s="83">
        <f>ROUND(VLOOKUP($A:$A,RAW!$A:$R,I$1,0)/1000,0)</f>
        <v>0</v>
      </c>
      <c r="J78" s="83">
        <f>ROUND(VLOOKUP($A:$A,RAW!$A:$R,J$1,0)/1000,0)</f>
        <v>0</v>
      </c>
      <c r="K78" s="83">
        <f>ROUND(VLOOKUP($A:$A,RAW!$A:$R,K$1,0)/1000,0)</f>
        <v>0</v>
      </c>
      <c r="L78" s="83">
        <f>ROUND(VLOOKUP($A:$A,RAW!$A:$R,L$1,0)/1000,0)</f>
        <v>0</v>
      </c>
      <c r="M78" s="83"/>
    </row>
    <row r="79" spans="1:13" hidden="1" outlineLevel="1">
      <c r="A79" s="371">
        <v>113183</v>
      </c>
      <c r="B79" s="69" t="s">
        <v>86</v>
      </c>
      <c r="C79" s="136">
        <f>ROUND(VLOOKUP($A:$A,RAW!$A:$R,C$1,0)/1000,0)</f>
        <v>0</v>
      </c>
      <c r="D79" s="74">
        <f>ROUND(VLOOKUP($A:$A,RAW!$A:$R,D$1,0)/1000,0)</f>
        <v>0</v>
      </c>
      <c r="E79" s="74">
        <f>ROUND(VLOOKUP($A:$A,RAW!$A:$R,E$1,0)/1000,0)</f>
        <v>0</v>
      </c>
      <c r="F79" s="74">
        <f>ROUND(VLOOKUP($A:$A,RAW!$A:$R,F$1,0)/1000,0)</f>
        <v>0</v>
      </c>
      <c r="G79" s="74">
        <f>ROUND(VLOOKUP($A:$A,RAW!$A:$R,G$1,0)/1000,0)</f>
        <v>0</v>
      </c>
      <c r="H79" s="74">
        <f>ROUND(VLOOKUP($A:$A,RAW!$A:$R,H$1,0)/1000,0)</f>
        <v>0</v>
      </c>
      <c r="I79" s="74">
        <f>ROUND(VLOOKUP($A:$A,RAW!$A:$R,I$1,0)/1000,0)</f>
        <v>0</v>
      </c>
      <c r="J79" s="74">
        <f>ROUND(VLOOKUP($A:$A,RAW!$A:$R,J$1,0)/1000,0)</f>
        <v>0</v>
      </c>
      <c r="K79" s="74">
        <f>ROUND(VLOOKUP($A:$A,RAW!$A:$R,K$1,0)/1000,0)</f>
        <v>0</v>
      </c>
      <c r="L79" s="74">
        <f>ROUND(VLOOKUP($A:$A,RAW!$A:$R,L$1,0)/1000,0)</f>
        <v>0</v>
      </c>
      <c r="M79" s="74"/>
    </row>
    <row r="80" spans="1:13" hidden="1" outlineLevel="1">
      <c r="B80" s="69" t="s">
        <v>63</v>
      </c>
      <c r="C80" s="105"/>
      <c r="D80" s="81">
        <f>IFERROR(D78-C78,"")</f>
        <v>0</v>
      </c>
      <c r="E80" s="81">
        <f t="shared" ref="E80:L80" si="44">IFERROR(E78-D78,"")</f>
        <v>0</v>
      </c>
      <c r="F80" s="81">
        <f t="shared" si="44"/>
        <v>0</v>
      </c>
      <c r="G80" s="81">
        <f t="shared" si="44"/>
        <v>0</v>
      </c>
      <c r="H80" s="81">
        <f t="shared" si="44"/>
        <v>0</v>
      </c>
      <c r="I80" s="81">
        <f t="shared" si="44"/>
        <v>0</v>
      </c>
      <c r="J80" s="81">
        <f t="shared" si="44"/>
        <v>0</v>
      </c>
      <c r="K80" s="81">
        <f t="shared" si="44"/>
        <v>0</v>
      </c>
      <c r="L80" s="81">
        <f t="shared" si="44"/>
        <v>0</v>
      </c>
      <c r="M80" s="81"/>
    </row>
    <row r="81" spans="1:14" hidden="1" outlineLevel="1">
      <c r="B81" s="69" t="s">
        <v>60</v>
      </c>
      <c r="C81" s="105"/>
      <c r="D81" s="81">
        <f>IFERROR(D79-C79,"")</f>
        <v>0</v>
      </c>
      <c r="E81" s="81">
        <f t="shared" ref="E81:L81" si="45">IFERROR(E79-D79,"")</f>
        <v>0</v>
      </c>
      <c r="F81" s="81">
        <f t="shared" si="45"/>
        <v>0</v>
      </c>
      <c r="G81" s="81">
        <f t="shared" si="45"/>
        <v>0</v>
      </c>
      <c r="H81" s="81">
        <f t="shared" si="45"/>
        <v>0</v>
      </c>
      <c r="I81" s="81">
        <f t="shared" si="45"/>
        <v>0</v>
      </c>
      <c r="J81" s="81">
        <f t="shared" si="45"/>
        <v>0</v>
      </c>
      <c r="K81" s="81">
        <f t="shared" si="45"/>
        <v>0</v>
      </c>
      <c r="L81" s="81">
        <f t="shared" si="45"/>
        <v>0</v>
      </c>
      <c r="M81" s="81"/>
    </row>
    <row r="82" spans="1:14" hidden="1" outlineLevel="1">
      <c r="B82" s="115" t="s">
        <v>68</v>
      </c>
      <c r="C82" s="105"/>
      <c r="D82" s="103">
        <f>IFERROR(D80+D83,"")</f>
        <v>0</v>
      </c>
      <c r="E82" s="103">
        <f t="shared" ref="E82:L82" si="46">IFERROR(E80+E83,"")</f>
        <v>0</v>
      </c>
      <c r="F82" s="103">
        <f t="shared" si="46"/>
        <v>0</v>
      </c>
      <c r="G82" s="103">
        <f t="shared" si="46"/>
        <v>0</v>
      </c>
      <c r="H82" s="103">
        <f t="shared" si="46"/>
        <v>0</v>
      </c>
      <c r="I82" s="103">
        <f t="shared" si="46"/>
        <v>0</v>
      </c>
      <c r="J82" s="103">
        <f t="shared" si="46"/>
        <v>0</v>
      </c>
      <c r="K82" s="103">
        <f t="shared" si="46"/>
        <v>0</v>
      </c>
      <c r="L82" s="103">
        <f t="shared" si="46"/>
        <v>0</v>
      </c>
      <c r="M82" s="103"/>
    </row>
    <row r="83" spans="1:14" hidden="1" outlineLevel="1">
      <c r="B83" s="118" t="s">
        <v>69</v>
      </c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</row>
    <row r="84" spans="1:14" hidden="1" outlineLevel="1">
      <c r="B84" s="110"/>
      <c r="C84" s="111" t="s">
        <v>70</v>
      </c>
      <c r="D84" s="119" t="str">
        <f>IFERROR(D79/(D79+D78),"")</f>
        <v/>
      </c>
      <c r="E84" s="119" t="str">
        <f t="shared" ref="E84:L84" si="47">IFERROR(E79/(E79+E78),"")</f>
        <v/>
      </c>
      <c r="F84" s="119" t="str">
        <f t="shared" si="47"/>
        <v/>
      </c>
      <c r="G84" s="119" t="str">
        <f t="shared" si="47"/>
        <v/>
      </c>
      <c r="H84" s="119" t="str">
        <f t="shared" si="47"/>
        <v/>
      </c>
      <c r="I84" s="119" t="str">
        <f t="shared" si="47"/>
        <v/>
      </c>
      <c r="J84" s="119" t="str">
        <f t="shared" si="47"/>
        <v/>
      </c>
      <c r="K84" s="119" t="str">
        <f t="shared" si="47"/>
        <v/>
      </c>
      <c r="L84" s="119" t="str">
        <f t="shared" si="47"/>
        <v/>
      </c>
      <c r="M84" s="119"/>
    </row>
    <row r="85" spans="1:14" hidden="1" outlineLevel="1">
      <c r="A85" s="371">
        <v>113190</v>
      </c>
      <c r="B85" s="69" t="s">
        <v>87</v>
      </c>
      <c r="C85" s="83">
        <f>ROUND(VLOOKUP($A:$A,RAW!$A:$R,C$1,0)/1000,0)</f>
        <v>0</v>
      </c>
      <c r="D85" s="83">
        <f>ROUND(VLOOKUP($A:$A,RAW!$A:$R,D$1,0)/1000,0)</f>
        <v>0</v>
      </c>
      <c r="E85" s="83">
        <f>ROUND(VLOOKUP($A:$A,RAW!$A:$R,E$1,0)/1000,0)</f>
        <v>0</v>
      </c>
      <c r="F85" s="83">
        <f>ROUND(VLOOKUP($A:$A,RAW!$A:$R,F$1,0)/1000,0)</f>
        <v>0</v>
      </c>
      <c r="G85" s="83">
        <f>ROUND(VLOOKUP($A:$A,RAW!$A:$R,G$1,0)/1000,0)</f>
        <v>0</v>
      </c>
      <c r="H85" s="83">
        <f>ROUND(VLOOKUP($A:$A,RAW!$A:$R,H$1,0)/1000,0)</f>
        <v>0</v>
      </c>
      <c r="I85" s="83">
        <f>ROUND(VLOOKUP($A:$A,RAW!$A:$R,I$1,0)/1000,0)</f>
        <v>0</v>
      </c>
      <c r="J85" s="83">
        <f>ROUND(VLOOKUP($A:$A,RAW!$A:$R,J$1,0)/1000,0)</f>
        <v>0</v>
      </c>
      <c r="K85" s="83">
        <f>ROUND(VLOOKUP($A:$A,RAW!$A:$R,K$1,0)/1000,0)</f>
        <v>0</v>
      </c>
      <c r="L85" s="83">
        <f>ROUND(VLOOKUP($A:$A,RAW!$A:$R,L$1,0)/1000,0)</f>
        <v>0</v>
      </c>
      <c r="M85" s="83"/>
    </row>
    <row r="86" spans="1:14" hidden="1" outlineLevel="1">
      <c r="A86" s="371">
        <v>113191</v>
      </c>
      <c r="B86" s="69" t="s">
        <v>88</v>
      </c>
      <c r="C86" s="136">
        <f>ROUND(VLOOKUP($A:$A,RAW!$A:$R,C$1,0)/1000,0)</f>
        <v>0</v>
      </c>
      <c r="D86" s="74">
        <f>ROUND(VLOOKUP($A:$A,RAW!$A:$R,D$1,0)/1000,0)</f>
        <v>0</v>
      </c>
      <c r="E86" s="74">
        <f>ROUND(VLOOKUP($A:$A,RAW!$A:$R,E$1,0)/1000,0)</f>
        <v>0</v>
      </c>
      <c r="F86" s="74">
        <f>ROUND(VLOOKUP($A:$A,RAW!$A:$R,F$1,0)/1000,0)</f>
        <v>0</v>
      </c>
      <c r="G86" s="74">
        <f>ROUND(VLOOKUP($A:$A,RAW!$A:$R,G$1,0)/1000,0)</f>
        <v>0</v>
      </c>
      <c r="H86" s="74">
        <f>ROUND(VLOOKUP($A:$A,RAW!$A:$R,H$1,0)/1000,0)</f>
        <v>0</v>
      </c>
      <c r="I86" s="74">
        <f>ROUND(VLOOKUP($A:$A,RAW!$A:$R,I$1,0)/1000,0)</f>
        <v>0</v>
      </c>
      <c r="J86" s="74">
        <f>ROUND(VLOOKUP($A:$A,RAW!$A:$R,J$1,0)/1000,0)</f>
        <v>0</v>
      </c>
      <c r="K86" s="74">
        <f>ROUND(VLOOKUP($A:$A,RAW!$A:$R,K$1,0)/1000,0)</f>
        <v>0</v>
      </c>
      <c r="L86" s="74">
        <f>ROUND(VLOOKUP($A:$A,RAW!$A:$R,L$1,0)/1000,0)</f>
        <v>0</v>
      </c>
      <c r="M86" s="74"/>
    </row>
    <row r="87" spans="1:14" hidden="1" outlineLevel="1">
      <c r="B87" s="69" t="s">
        <v>63</v>
      </c>
      <c r="C87" s="105"/>
      <c r="D87" s="81">
        <f>IFERROR(D85-C85,"")</f>
        <v>0</v>
      </c>
      <c r="E87" s="81">
        <f t="shared" ref="E87:L87" si="48">IFERROR(E85-D85,"")</f>
        <v>0</v>
      </c>
      <c r="F87" s="81">
        <f t="shared" si="48"/>
        <v>0</v>
      </c>
      <c r="G87" s="81">
        <f t="shared" si="48"/>
        <v>0</v>
      </c>
      <c r="H87" s="81">
        <f t="shared" si="48"/>
        <v>0</v>
      </c>
      <c r="I87" s="81">
        <f t="shared" si="48"/>
        <v>0</v>
      </c>
      <c r="J87" s="81">
        <f t="shared" si="48"/>
        <v>0</v>
      </c>
      <c r="K87" s="81">
        <f t="shared" si="48"/>
        <v>0</v>
      </c>
      <c r="L87" s="81">
        <f t="shared" si="48"/>
        <v>0</v>
      </c>
      <c r="M87" s="81"/>
    </row>
    <row r="88" spans="1:14" hidden="1" outlineLevel="1">
      <c r="B88" s="69" t="s">
        <v>60</v>
      </c>
      <c r="C88" s="105"/>
      <c r="D88" s="81">
        <f>IFERROR(D86-C86,"")</f>
        <v>0</v>
      </c>
      <c r="E88" s="81">
        <f t="shared" ref="E88:L88" si="49">IFERROR(E86-D86,"")</f>
        <v>0</v>
      </c>
      <c r="F88" s="81">
        <f t="shared" si="49"/>
        <v>0</v>
      </c>
      <c r="G88" s="81">
        <f t="shared" si="49"/>
        <v>0</v>
      </c>
      <c r="H88" s="81">
        <f t="shared" si="49"/>
        <v>0</v>
      </c>
      <c r="I88" s="81">
        <f t="shared" si="49"/>
        <v>0</v>
      </c>
      <c r="J88" s="81">
        <f t="shared" si="49"/>
        <v>0</v>
      </c>
      <c r="K88" s="81">
        <f t="shared" si="49"/>
        <v>0</v>
      </c>
      <c r="L88" s="81">
        <f t="shared" si="49"/>
        <v>0</v>
      </c>
      <c r="M88" s="81"/>
    </row>
    <row r="89" spans="1:14" hidden="1" outlineLevel="1">
      <c r="B89" s="115" t="s">
        <v>68</v>
      </c>
      <c r="C89" s="105"/>
      <c r="D89" s="103">
        <f>IFERROR(D87+D90,"")</f>
        <v>0</v>
      </c>
      <c r="E89" s="103">
        <f t="shared" ref="E89:L89" si="50">IFERROR(E87+E90,"")</f>
        <v>0</v>
      </c>
      <c r="F89" s="103">
        <f t="shared" si="50"/>
        <v>0</v>
      </c>
      <c r="G89" s="103">
        <f t="shared" si="50"/>
        <v>0</v>
      </c>
      <c r="H89" s="103">
        <f t="shared" si="50"/>
        <v>0</v>
      </c>
      <c r="I89" s="103">
        <f t="shared" si="50"/>
        <v>0</v>
      </c>
      <c r="J89" s="103">
        <f t="shared" si="50"/>
        <v>0</v>
      </c>
      <c r="K89" s="103">
        <f t="shared" si="50"/>
        <v>0</v>
      </c>
      <c r="L89" s="103">
        <f t="shared" si="50"/>
        <v>0</v>
      </c>
      <c r="M89" s="103"/>
    </row>
    <row r="90" spans="1:14" hidden="1" outlineLevel="1">
      <c r="B90" s="118" t="s">
        <v>69</v>
      </c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4" hidden="1" outlineLevel="1">
      <c r="B91" s="113"/>
      <c r="C91" s="114" t="s">
        <v>70</v>
      </c>
      <c r="D91" s="119" t="str">
        <f>IFERROR(D86/(D86+D85),"")</f>
        <v/>
      </c>
      <c r="E91" s="119" t="str">
        <f t="shared" ref="E91:L91" si="51">IFERROR(E86/(E86+E85),"")</f>
        <v/>
      </c>
      <c r="F91" s="119" t="str">
        <f t="shared" si="51"/>
        <v/>
      </c>
      <c r="G91" s="119" t="str">
        <f t="shared" si="51"/>
        <v/>
      </c>
      <c r="H91" s="119" t="str">
        <f t="shared" si="51"/>
        <v/>
      </c>
      <c r="I91" s="119" t="str">
        <f t="shared" si="51"/>
        <v/>
      </c>
      <c r="J91" s="119" t="str">
        <f t="shared" si="51"/>
        <v/>
      </c>
      <c r="K91" s="119" t="str">
        <f t="shared" si="51"/>
        <v/>
      </c>
      <c r="L91" s="119" t="str">
        <f t="shared" si="51"/>
        <v/>
      </c>
      <c r="M91" s="119"/>
    </row>
    <row r="92" spans="1:14" collapsed="1">
      <c r="N92" s="146"/>
    </row>
    <row r="112" spans="1:13">
      <c r="A112" s="370">
        <v>110000</v>
      </c>
      <c r="B112" s="144" t="s">
        <v>375</v>
      </c>
      <c r="C112" s="143" t="e">
        <f>VLOOKUP($A:$A,RAW!$A:$R,C$1,0)</f>
        <v>#N/A</v>
      </c>
      <c r="D112" s="143" t="e">
        <f>VLOOKUP($A:$A,RAW!$A:$R,D$1,0)</f>
        <v>#N/A</v>
      </c>
      <c r="E112" s="143" t="e">
        <f>VLOOKUP($A:$A,RAW!$A:$R,E$1,0)</f>
        <v>#N/A</v>
      </c>
      <c r="F112" s="143" t="e">
        <f>VLOOKUP($A:$A,RAW!$A:$R,F$1,0)</f>
        <v>#N/A</v>
      </c>
      <c r="G112" s="143" t="e">
        <f>VLOOKUP($A:$A,RAW!$A:$R,G$1,0)</f>
        <v>#N/A</v>
      </c>
      <c r="H112" s="143" t="e">
        <f>VLOOKUP($A:$A,RAW!$A:$R,H$1,0)</f>
        <v>#N/A</v>
      </c>
      <c r="I112" s="143" t="e">
        <f>VLOOKUP($A:$A,RAW!$A:$R,I$1,0)</f>
        <v>#N/A</v>
      </c>
      <c r="J112" s="143" t="e">
        <f>VLOOKUP($A:$A,RAW!$A:$R,J$1,0)</f>
        <v>#N/A</v>
      </c>
      <c r="K112" s="143" t="e">
        <f>VLOOKUP($A:$A,RAW!$A:$R,K$1,0)</f>
        <v>#N/A</v>
      </c>
      <c r="L112" s="143" t="e">
        <f>VLOOKUP($A:$A,RAW!$A:$R,L$1,0)</f>
        <v>#N/A</v>
      </c>
      <c r="M112" s="142"/>
    </row>
    <row r="113" spans="1:13">
      <c r="A113" s="371">
        <v>124450</v>
      </c>
      <c r="B113" s="67" t="s">
        <v>89</v>
      </c>
      <c r="C113" s="68">
        <f>ROUND(VLOOKUP($A:$A,RAW!$A:$R,C$1,0)/1000,0)</f>
        <v>0</v>
      </c>
      <c r="D113" s="68">
        <f>ROUND(VLOOKUP($A:$A,RAW!$A:$R,D$1,0)/1000,0)</f>
        <v>0</v>
      </c>
      <c r="E113" s="68">
        <f>ROUND(VLOOKUP($A:$A,RAW!$A:$R,E$1,0)/1000,0)</f>
        <v>0</v>
      </c>
      <c r="F113" s="68">
        <f>ROUND(VLOOKUP($A:$A,RAW!$A:$R,F$1,0)/1000,0)</f>
        <v>0</v>
      </c>
      <c r="G113" s="68">
        <f>ROUND(VLOOKUP($A:$A,RAW!$A:$R,G$1,0)/1000,0)</f>
        <v>0</v>
      </c>
      <c r="H113" s="68">
        <f>ROUND(VLOOKUP($A:$A,RAW!$A:$R,H$1,0)/1000,0)</f>
        <v>0</v>
      </c>
      <c r="I113" s="68">
        <f>ROUND(VLOOKUP($A:$A,RAW!$A:$R,I$1,0)/1000,0)</f>
        <v>0</v>
      </c>
      <c r="J113" s="68">
        <f>ROUND(VLOOKUP($A:$A,RAW!$A:$R,J$1,0)/1000,0)</f>
        <v>0</v>
      </c>
      <c r="K113" s="68">
        <f>ROUND(VLOOKUP($A:$A,RAW!$A:$R,K$1,0)/1000,0)</f>
        <v>0</v>
      </c>
      <c r="L113" s="68">
        <f>ROUND(VLOOKUP($A:$A,RAW!$A:$R,L$1,0)/1000,0)</f>
        <v>1</v>
      </c>
      <c r="M113" s="68"/>
    </row>
    <row r="114" spans="1:13">
      <c r="A114" s="371">
        <v>161212</v>
      </c>
      <c r="B114" s="67" t="s">
        <v>372</v>
      </c>
      <c r="C114" s="68">
        <f>ROUND(VLOOKUP($A:$A,RAW!$A:$R,C$1,0)/1000,0)</f>
        <v>0</v>
      </c>
      <c r="D114" s="68">
        <f>ROUND(VLOOKUP($A:$A,RAW!$A:$R,D$1,0)/1000,0)</f>
        <v>0</v>
      </c>
      <c r="E114" s="68">
        <f>ROUND(VLOOKUP($A:$A,RAW!$A:$R,E$1,0)/1000,0)</f>
        <v>0</v>
      </c>
      <c r="F114" s="68">
        <f>ROUND(VLOOKUP($A:$A,RAW!$A:$R,F$1,0)/1000,0)</f>
        <v>0</v>
      </c>
      <c r="G114" s="68">
        <f>ROUND(VLOOKUP($A:$A,RAW!$A:$R,G$1,0)/1000,0)</f>
        <v>0</v>
      </c>
      <c r="H114" s="68">
        <f>ROUND(VLOOKUP($A:$A,RAW!$A:$R,H$1,0)/1000,0)</f>
        <v>0</v>
      </c>
      <c r="I114" s="68">
        <f>ROUND(VLOOKUP($A:$A,RAW!$A:$R,I$1,0)/1000,0)</f>
        <v>0</v>
      </c>
      <c r="J114" s="68">
        <f>ROUND(VLOOKUP($A:$A,RAW!$A:$R,J$1,0)/1000,0)</f>
        <v>0</v>
      </c>
      <c r="K114" s="68">
        <f>ROUND(VLOOKUP($A:$A,RAW!$A:$R,K$1,0)/1000,0)</f>
        <v>0</v>
      </c>
      <c r="L114" s="68">
        <f>ROUND(VLOOKUP($A:$A,RAW!$A:$R,L$1,0)/1000,0)</f>
        <v>0</v>
      </c>
      <c r="M114" s="68"/>
    </row>
    <row r="115" spans="1:13">
      <c r="A115" s="371">
        <v>113400</v>
      </c>
      <c r="B115" s="69" t="s">
        <v>90</v>
      </c>
      <c r="C115" s="68">
        <f>ROUND(VLOOKUP($A:$A,RAW!$A:$R,C$1,0)/1000,0)</f>
        <v>0</v>
      </c>
      <c r="D115" s="68">
        <f>ROUND(VLOOKUP($A:$A,RAW!$A:$R,D$1,0)/1000,0)</f>
        <v>0</v>
      </c>
      <c r="E115" s="68">
        <f>ROUND(VLOOKUP($A:$A,RAW!$A:$R,E$1,0)/1000,0)</f>
        <v>0</v>
      </c>
      <c r="F115" s="68">
        <f>ROUND(VLOOKUP($A:$A,RAW!$A:$R,F$1,0)/1000,0)</f>
        <v>0</v>
      </c>
      <c r="G115" s="68">
        <f>ROUND(VLOOKUP($A:$A,RAW!$A:$R,G$1,0)/1000,0)</f>
        <v>0</v>
      </c>
      <c r="H115" s="68">
        <f>ROUND(VLOOKUP($A:$A,RAW!$A:$R,H$1,0)/1000,0)</f>
        <v>0</v>
      </c>
      <c r="I115" s="68">
        <f>ROUND(VLOOKUP($A:$A,RAW!$A:$R,I$1,0)/1000,0)</f>
        <v>0</v>
      </c>
      <c r="J115" s="68">
        <f>ROUND(VLOOKUP($A:$A,RAW!$A:$R,J$1,0)/1000,0)</f>
        <v>0</v>
      </c>
      <c r="K115" s="68">
        <f>ROUND(VLOOKUP($A:$A,RAW!$A:$R,K$1,0)/1000,0)</f>
        <v>0</v>
      </c>
      <c r="L115" s="68">
        <f>ROUND(VLOOKUP($A:$A,RAW!$A:$R,L$1,0)/1000,0)</f>
        <v>0</v>
      </c>
      <c r="M115" s="68"/>
    </row>
    <row r="116" spans="1:13">
      <c r="A116" s="371">
        <v>113355</v>
      </c>
      <c r="B116" s="69" t="s">
        <v>91</v>
      </c>
      <c r="C116" s="68">
        <f>ROUND(VLOOKUP($A:$A,RAW!$A:$R,C$1,0)/1000,0)</f>
        <v>0</v>
      </c>
      <c r="D116" s="68">
        <f>ROUND(VLOOKUP($A:$A,RAW!$A:$R,D$1,0)/1000,0)</f>
        <v>0</v>
      </c>
      <c r="E116" s="68">
        <f>ROUND(VLOOKUP($A:$A,RAW!$A:$R,E$1,0)/1000,0)</f>
        <v>0</v>
      </c>
      <c r="F116" s="68">
        <f>ROUND(VLOOKUP($A:$A,RAW!$A:$R,F$1,0)/1000,0)</f>
        <v>0</v>
      </c>
      <c r="G116" s="68">
        <f>ROUND(VLOOKUP($A:$A,RAW!$A:$R,G$1,0)/1000,0)</f>
        <v>0</v>
      </c>
      <c r="H116" s="68">
        <f>ROUND(VLOOKUP($A:$A,RAW!$A:$R,H$1,0)/1000,0)</f>
        <v>0</v>
      </c>
      <c r="I116" s="68">
        <f>ROUND(VLOOKUP($A:$A,RAW!$A:$R,I$1,0)/1000,0)</f>
        <v>0</v>
      </c>
      <c r="J116" s="68">
        <f>ROUND(VLOOKUP($A:$A,RAW!$A:$R,J$1,0)/1000,0)</f>
        <v>0</v>
      </c>
      <c r="K116" s="68">
        <f>ROUND(VLOOKUP($A:$A,RAW!$A:$R,K$1,0)/1000,0)</f>
        <v>0</v>
      </c>
      <c r="L116" s="68">
        <f>ROUND(VLOOKUP($A:$A,RAW!$A:$R,L$1,0)/1000,0)</f>
        <v>0</v>
      </c>
      <c r="M116" s="68"/>
    </row>
    <row r="117" spans="1:13">
      <c r="B117" s="73" t="s">
        <v>92</v>
      </c>
      <c r="C117" s="93"/>
      <c r="D117" s="107" t="str">
        <f>IFERROR(D114/C115,"")</f>
        <v/>
      </c>
      <c r="E117" s="107" t="str">
        <f t="shared" ref="E117:L117" si="52">IFERROR(E114/D115,"")</f>
        <v/>
      </c>
      <c r="F117" s="107" t="str">
        <f t="shared" si="52"/>
        <v/>
      </c>
      <c r="G117" s="107" t="str">
        <f t="shared" si="52"/>
        <v/>
      </c>
      <c r="H117" s="107" t="str">
        <f t="shared" si="52"/>
        <v/>
      </c>
      <c r="I117" s="107" t="str">
        <f t="shared" si="52"/>
        <v/>
      </c>
      <c r="J117" s="107" t="str">
        <f t="shared" si="52"/>
        <v/>
      </c>
      <c r="K117" s="107" t="str">
        <f t="shared" si="52"/>
        <v/>
      </c>
      <c r="L117" s="107" t="str">
        <f t="shared" si="52"/>
        <v/>
      </c>
      <c r="M117" s="107"/>
    </row>
    <row r="118" spans="1:13">
      <c r="B118" s="73" t="s">
        <v>368</v>
      </c>
      <c r="C118" s="102" t="e">
        <f>C116/C115</f>
        <v>#DIV/0!</v>
      </c>
      <c r="D118" s="102" t="e">
        <f t="shared" ref="D118:L118" si="53">D116/D115</f>
        <v>#DIV/0!</v>
      </c>
      <c r="E118" s="102" t="e">
        <f t="shared" si="53"/>
        <v>#DIV/0!</v>
      </c>
      <c r="F118" s="102" t="e">
        <f t="shared" si="53"/>
        <v>#DIV/0!</v>
      </c>
      <c r="G118" s="102" t="e">
        <f t="shared" si="53"/>
        <v>#DIV/0!</v>
      </c>
      <c r="H118" s="102" t="e">
        <f t="shared" si="53"/>
        <v>#DIV/0!</v>
      </c>
      <c r="I118" s="102" t="e">
        <f t="shared" si="53"/>
        <v>#DIV/0!</v>
      </c>
      <c r="J118" s="102" t="e">
        <f t="shared" si="53"/>
        <v>#DIV/0!</v>
      </c>
      <c r="K118" s="102" t="e">
        <f t="shared" si="53"/>
        <v>#DIV/0!</v>
      </c>
      <c r="L118" s="102" t="e">
        <f t="shared" si="53"/>
        <v>#DIV/0!</v>
      </c>
      <c r="M118" s="107"/>
    </row>
    <row r="119" spans="1:13">
      <c r="B119" s="67"/>
      <c r="C119" s="87"/>
      <c r="D119" s="88"/>
      <c r="E119" s="88"/>
      <c r="F119" s="88"/>
      <c r="G119" s="88"/>
      <c r="H119" s="88"/>
      <c r="I119" s="88"/>
      <c r="J119" s="88"/>
      <c r="K119" s="88"/>
      <c r="L119" s="88"/>
      <c r="M119" s="88"/>
    </row>
    <row r="120" spans="1:13">
      <c r="B120" s="69" t="s">
        <v>93</v>
      </c>
      <c r="C120" s="87"/>
      <c r="D120" s="74">
        <f>D115-C115</f>
        <v>0</v>
      </c>
      <c r="E120" s="74">
        <f t="shared" ref="E120:L120" si="54">E115-D115</f>
        <v>0</v>
      </c>
      <c r="F120" s="74">
        <f t="shared" si="54"/>
        <v>0</v>
      </c>
      <c r="G120" s="74">
        <f t="shared" si="54"/>
        <v>0</v>
      </c>
      <c r="H120" s="74">
        <f t="shared" si="54"/>
        <v>0</v>
      </c>
      <c r="I120" s="74">
        <f t="shared" si="54"/>
        <v>0</v>
      </c>
      <c r="J120" s="74">
        <f t="shared" si="54"/>
        <v>0</v>
      </c>
      <c r="K120" s="74">
        <f t="shared" si="54"/>
        <v>0</v>
      </c>
      <c r="L120" s="74">
        <f t="shared" si="54"/>
        <v>0</v>
      </c>
      <c r="M120" s="74"/>
    </row>
    <row r="121" spans="1:13">
      <c r="B121" s="69" t="s">
        <v>60</v>
      </c>
      <c r="C121" s="87"/>
      <c r="D121" s="74">
        <f>IFERROR(D116-C116,"")</f>
        <v>0</v>
      </c>
      <c r="E121" s="74">
        <f t="shared" ref="E121:L121" si="55">IFERROR(E116-D116,"")</f>
        <v>0</v>
      </c>
      <c r="F121" s="74">
        <f t="shared" si="55"/>
        <v>0</v>
      </c>
      <c r="G121" s="74">
        <f t="shared" si="55"/>
        <v>0</v>
      </c>
      <c r="H121" s="74">
        <f t="shared" si="55"/>
        <v>0</v>
      </c>
      <c r="I121" s="74">
        <f t="shared" si="55"/>
        <v>0</v>
      </c>
      <c r="J121" s="74">
        <f t="shared" si="55"/>
        <v>0</v>
      </c>
      <c r="K121" s="74">
        <f t="shared" si="55"/>
        <v>0</v>
      </c>
      <c r="L121" s="74">
        <f t="shared" si="55"/>
        <v>0</v>
      </c>
      <c r="M121" s="74"/>
    </row>
    <row r="122" spans="1:13">
      <c r="B122" s="75" t="s">
        <v>370</v>
      </c>
      <c r="C122" s="87"/>
      <c r="D122" s="77">
        <f>D120+D114</f>
        <v>0</v>
      </c>
      <c r="E122" s="77">
        <f t="shared" ref="E122:L122" si="56">E120+E114</f>
        <v>0</v>
      </c>
      <c r="F122" s="77">
        <f t="shared" si="56"/>
        <v>0</v>
      </c>
      <c r="G122" s="77">
        <f t="shared" si="56"/>
        <v>0</v>
      </c>
      <c r="H122" s="77">
        <f t="shared" si="56"/>
        <v>0</v>
      </c>
      <c r="I122" s="77">
        <f t="shared" si="56"/>
        <v>0</v>
      </c>
      <c r="J122" s="77">
        <f t="shared" si="56"/>
        <v>0</v>
      </c>
      <c r="K122" s="77">
        <f t="shared" si="56"/>
        <v>0</v>
      </c>
      <c r="L122" s="77">
        <f t="shared" si="56"/>
        <v>0</v>
      </c>
      <c r="M122" s="77"/>
    </row>
    <row r="123" spans="1:13">
      <c r="B123" s="79" t="s">
        <v>373</v>
      </c>
      <c r="C123" s="80"/>
      <c r="D123" s="108" t="str">
        <f>IFERROR(D122/D114,"")</f>
        <v/>
      </c>
      <c r="E123" s="108" t="str">
        <f t="shared" ref="E123:L123" si="57">IFERROR(E122/E114,"")</f>
        <v/>
      </c>
      <c r="F123" s="108" t="str">
        <f t="shared" si="57"/>
        <v/>
      </c>
      <c r="G123" s="108" t="str">
        <f t="shared" si="57"/>
        <v/>
      </c>
      <c r="H123" s="108" t="str">
        <f t="shared" si="57"/>
        <v/>
      </c>
      <c r="I123" s="108" t="str">
        <f t="shared" si="57"/>
        <v/>
      </c>
      <c r="J123" s="108" t="str">
        <f t="shared" si="57"/>
        <v/>
      </c>
      <c r="K123" s="108" t="str">
        <f t="shared" si="57"/>
        <v/>
      </c>
      <c r="L123" s="108" t="str">
        <f t="shared" si="57"/>
        <v/>
      </c>
      <c r="M123" s="108"/>
    </row>
    <row r="124" spans="1:13" ht="12.75" hidden="1" outlineLevel="1" thickTop="1">
      <c r="A124" s="371">
        <v>113210</v>
      </c>
      <c r="B124" s="97" t="s">
        <v>94</v>
      </c>
      <c r="C124" s="98">
        <f>ROUND(VLOOKUP($A:$A,RAW!$A:$R,C$1,0)/1000,0)</f>
        <v>0</v>
      </c>
      <c r="D124" s="98">
        <f>ROUND(VLOOKUP($A:$A,RAW!$A:$R,D$1,0)/1000,0)</f>
        <v>0</v>
      </c>
      <c r="E124" s="98">
        <f>ROUND(VLOOKUP($A:$A,RAW!$A:$R,E$1,0)/1000,0)</f>
        <v>0</v>
      </c>
      <c r="F124" s="98">
        <f>ROUND(VLOOKUP($A:$A,RAW!$A:$R,F$1,0)/1000,0)</f>
        <v>0</v>
      </c>
      <c r="G124" s="98">
        <f>ROUND(VLOOKUP($A:$A,RAW!$A:$R,G$1,0)/1000,0)</f>
        <v>0</v>
      </c>
      <c r="H124" s="98">
        <f>ROUND(VLOOKUP($A:$A,RAW!$A:$R,H$1,0)/1000,0)</f>
        <v>0</v>
      </c>
      <c r="I124" s="98">
        <f>ROUND(VLOOKUP($A:$A,RAW!$A:$R,I$1,0)/1000,0)</f>
        <v>0</v>
      </c>
      <c r="J124" s="98">
        <f>ROUND(VLOOKUP($A:$A,RAW!$A:$R,J$1,0)/1000,0)</f>
        <v>0</v>
      </c>
      <c r="K124" s="98">
        <f>ROUND(VLOOKUP($A:$A,RAW!$A:$R,K$1,0)/1000,0)</f>
        <v>0</v>
      </c>
      <c r="L124" s="98">
        <f>ROUND(VLOOKUP($A:$A,RAW!$A:$R,L$1,0)/1000,0)</f>
        <v>0</v>
      </c>
      <c r="M124" s="98"/>
    </row>
    <row r="125" spans="1:13" hidden="1" outlineLevel="1">
      <c r="A125" s="371">
        <v>113211</v>
      </c>
      <c r="B125" s="94" t="s">
        <v>95</v>
      </c>
      <c r="C125" s="59">
        <f>ROUND(VLOOKUP($A:$A,RAW!$A:$R,C$1,0)/1000,0)</f>
        <v>0</v>
      </c>
      <c r="D125" s="59">
        <f>ROUND(VLOOKUP($A:$A,RAW!$A:$R,D$1,0)/1000,0)</f>
        <v>0</v>
      </c>
      <c r="E125" s="59">
        <f>ROUND(VLOOKUP($A:$A,RAW!$A:$R,E$1,0)/1000,0)</f>
        <v>0</v>
      </c>
      <c r="F125" s="59">
        <f>ROUND(VLOOKUP($A:$A,RAW!$A:$R,F$1,0)/1000,0)</f>
        <v>0</v>
      </c>
      <c r="G125" s="59">
        <f>ROUND(VLOOKUP($A:$A,RAW!$A:$R,G$1,0)/1000,0)</f>
        <v>0</v>
      </c>
      <c r="H125" s="59">
        <f>ROUND(VLOOKUP($A:$A,RAW!$A:$R,H$1,0)/1000,0)</f>
        <v>0</v>
      </c>
      <c r="I125" s="59">
        <f>ROUND(VLOOKUP($A:$A,RAW!$A:$R,I$1,0)/1000,0)</f>
        <v>0</v>
      </c>
      <c r="J125" s="59">
        <f>ROUND(VLOOKUP($A:$A,RAW!$A:$R,J$1,0)/1000,0)</f>
        <v>0</v>
      </c>
      <c r="K125" s="59">
        <f>ROUND(VLOOKUP($A:$A,RAW!$A:$R,K$1,0)/1000,0)</f>
        <v>0</v>
      </c>
      <c r="L125" s="59">
        <f>ROUND(VLOOKUP($A:$A,RAW!$A:$R,L$1,0)/1000,0)</f>
        <v>0</v>
      </c>
      <c r="M125" s="59"/>
    </row>
    <row r="126" spans="1:13" hidden="1" outlineLevel="1">
      <c r="B126" s="95" t="s">
        <v>63</v>
      </c>
      <c r="C126" s="87"/>
      <c r="D126" s="89">
        <f>IFERROR(D124-C124,"")</f>
        <v>0</v>
      </c>
      <c r="E126" s="89">
        <f t="shared" ref="E126:L126" si="58">IFERROR(E124-D124,"")</f>
        <v>0</v>
      </c>
      <c r="F126" s="89">
        <f t="shared" si="58"/>
        <v>0</v>
      </c>
      <c r="G126" s="89">
        <f t="shared" si="58"/>
        <v>0</v>
      </c>
      <c r="H126" s="89">
        <f t="shared" si="58"/>
        <v>0</v>
      </c>
      <c r="I126" s="89">
        <f t="shared" si="58"/>
        <v>0</v>
      </c>
      <c r="J126" s="89">
        <f t="shared" si="58"/>
        <v>0</v>
      </c>
      <c r="K126" s="89">
        <f t="shared" si="58"/>
        <v>0</v>
      </c>
      <c r="L126" s="89">
        <f t="shared" si="58"/>
        <v>0</v>
      </c>
      <c r="M126" s="89"/>
    </row>
    <row r="127" spans="1:13" hidden="1" outlineLevel="1">
      <c r="B127" s="95" t="s">
        <v>96</v>
      </c>
      <c r="C127" s="87"/>
      <c r="D127" s="89">
        <f>IFERROR(D125-C125,"")</f>
        <v>0</v>
      </c>
      <c r="E127" s="89">
        <f t="shared" ref="E127:L127" si="59">IFERROR(E125-D125,"")</f>
        <v>0</v>
      </c>
      <c r="F127" s="89">
        <f t="shared" si="59"/>
        <v>0</v>
      </c>
      <c r="G127" s="89">
        <f t="shared" si="59"/>
        <v>0</v>
      </c>
      <c r="H127" s="89">
        <f t="shared" si="59"/>
        <v>0</v>
      </c>
      <c r="I127" s="89">
        <f t="shared" si="59"/>
        <v>0</v>
      </c>
      <c r="J127" s="89">
        <f t="shared" si="59"/>
        <v>0</v>
      </c>
      <c r="K127" s="89">
        <f t="shared" si="59"/>
        <v>0</v>
      </c>
      <c r="L127" s="89">
        <f t="shared" si="59"/>
        <v>0</v>
      </c>
      <c r="M127" s="89"/>
    </row>
    <row r="128" spans="1:13" hidden="1" outlineLevel="1">
      <c r="B128" s="115" t="s">
        <v>97</v>
      </c>
      <c r="C128" s="87"/>
      <c r="D128" s="121">
        <f>IFERROR(D126+D129,"")</f>
        <v>0</v>
      </c>
      <c r="E128" s="121">
        <f t="shared" ref="E128:L128" si="60">IFERROR(E126+E129,"")</f>
        <v>0</v>
      </c>
      <c r="F128" s="121">
        <f t="shared" si="60"/>
        <v>0</v>
      </c>
      <c r="G128" s="121">
        <f t="shared" si="60"/>
        <v>0</v>
      </c>
      <c r="H128" s="121">
        <f t="shared" si="60"/>
        <v>0</v>
      </c>
      <c r="I128" s="121">
        <f t="shared" si="60"/>
        <v>0</v>
      </c>
      <c r="J128" s="121">
        <f t="shared" si="60"/>
        <v>0</v>
      </c>
      <c r="K128" s="121">
        <f t="shared" si="60"/>
        <v>0</v>
      </c>
      <c r="L128" s="121">
        <f t="shared" si="60"/>
        <v>0</v>
      </c>
      <c r="M128" s="121"/>
    </row>
    <row r="129" spans="1:13" hidden="1" outlineLevel="1">
      <c r="B129" s="118" t="s">
        <v>69</v>
      </c>
      <c r="C129" s="90"/>
      <c r="D129" s="90"/>
      <c r="E129" s="90"/>
      <c r="F129" s="90"/>
      <c r="G129" s="90"/>
      <c r="H129" s="90"/>
      <c r="I129" s="90"/>
      <c r="J129" s="90"/>
      <c r="K129" s="90"/>
      <c r="L129" s="90"/>
      <c r="M129" s="90"/>
    </row>
    <row r="130" spans="1:13" hidden="1" outlineLevel="1">
      <c r="B130" s="104"/>
      <c r="C130" s="122"/>
      <c r="D130" s="123" t="str">
        <f>IFERROR(D125/(D124+D125),"")</f>
        <v/>
      </c>
      <c r="E130" s="123" t="str">
        <f t="shared" ref="E130:L130" si="61">IFERROR(E125/(E124+E125),"")</f>
        <v/>
      </c>
      <c r="F130" s="123" t="str">
        <f t="shared" si="61"/>
        <v/>
      </c>
      <c r="G130" s="123" t="str">
        <f t="shared" si="61"/>
        <v/>
      </c>
      <c r="H130" s="123" t="str">
        <f t="shared" si="61"/>
        <v/>
      </c>
      <c r="I130" s="123" t="str">
        <f t="shared" si="61"/>
        <v/>
      </c>
      <c r="J130" s="123" t="str">
        <f t="shared" si="61"/>
        <v/>
      </c>
      <c r="K130" s="123" t="str">
        <f t="shared" si="61"/>
        <v/>
      </c>
      <c r="L130" s="123" t="str">
        <f t="shared" si="61"/>
        <v/>
      </c>
      <c r="M130" s="123"/>
    </row>
    <row r="131" spans="1:13" hidden="1" outlineLevel="1">
      <c r="A131" s="371">
        <v>113215</v>
      </c>
      <c r="B131" s="94" t="s">
        <v>98</v>
      </c>
      <c r="C131" s="59">
        <f>ROUND(VLOOKUP($A:$A,RAW!$A:$R,C$1,0)/1000,0)</f>
        <v>0</v>
      </c>
      <c r="D131" s="59">
        <f>ROUND(VLOOKUP($A:$A,RAW!$A:$R,D$1,0)/1000,0)</f>
        <v>0</v>
      </c>
      <c r="E131" s="59">
        <f>ROUND(VLOOKUP($A:$A,RAW!$A:$R,E$1,0)/1000,0)</f>
        <v>0</v>
      </c>
      <c r="F131" s="59">
        <f>ROUND(VLOOKUP($A:$A,RAW!$A:$R,F$1,0)/1000,0)</f>
        <v>0</v>
      </c>
      <c r="G131" s="59">
        <f>ROUND(VLOOKUP($A:$A,RAW!$A:$R,G$1,0)/1000,0)</f>
        <v>0</v>
      </c>
      <c r="H131" s="59">
        <f>ROUND(VLOOKUP($A:$A,RAW!$A:$R,H$1,0)/1000,0)</f>
        <v>0</v>
      </c>
      <c r="I131" s="59">
        <f>ROUND(VLOOKUP($A:$A,RAW!$A:$R,I$1,0)/1000,0)</f>
        <v>0</v>
      </c>
      <c r="J131" s="59">
        <f>ROUND(VLOOKUP($A:$A,RAW!$A:$R,J$1,0)/1000,0)</f>
        <v>0</v>
      </c>
      <c r="K131" s="59">
        <f>ROUND(VLOOKUP($A:$A,RAW!$A:$R,K$1,0)/1000,0)</f>
        <v>0</v>
      </c>
      <c r="L131" s="59">
        <f>ROUND(VLOOKUP($A:$A,RAW!$A:$R,L$1,0)/1000,0)</f>
        <v>0</v>
      </c>
      <c r="M131" s="59"/>
    </row>
    <row r="132" spans="1:13" hidden="1" outlineLevel="1">
      <c r="B132" s="95" t="s">
        <v>63</v>
      </c>
      <c r="C132" s="87"/>
      <c r="D132" s="59">
        <f>IFERROR(D131-C131,"")</f>
        <v>0</v>
      </c>
      <c r="E132" s="59">
        <f t="shared" ref="E132:L132" si="62">IFERROR(E131-D131,"")</f>
        <v>0</v>
      </c>
      <c r="F132" s="59">
        <f t="shared" si="62"/>
        <v>0</v>
      </c>
      <c r="G132" s="59">
        <f t="shared" si="62"/>
        <v>0</v>
      </c>
      <c r="H132" s="59">
        <f t="shared" si="62"/>
        <v>0</v>
      </c>
      <c r="I132" s="59">
        <f t="shared" si="62"/>
        <v>0</v>
      </c>
      <c r="J132" s="59">
        <f t="shared" si="62"/>
        <v>0</v>
      </c>
      <c r="K132" s="59">
        <f t="shared" si="62"/>
        <v>0</v>
      </c>
      <c r="L132" s="59">
        <f t="shared" si="62"/>
        <v>0</v>
      </c>
      <c r="M132" s="59"/>
    </row>
    <row r="133" spans="1:13" hidden="1" outlineLevel="1">
      <c r="B133" s="115" t="s">
        <v>97</v>
      </c>
      <c r="C133" s="87"/>
      <c r="D133" s="121">
        <f>IFERROR(D132+D134,"")</f>
        <v>0</v>
      </c>
      <c r="E133" s="121">
        <f t="shared" ref="E133:L133" si="63">IFERROR(E132+E134,"")</f>
        <v>0</v>
      </c>
      <c r="F133" s="121">
        <f t="shared" si="63"/>
        <v>0</v>
      </c>
      <c r="G133" s="121">
        <f t="shared" si="63"/>
        <v>0</v>
      </c>
      <c r="H133" s="121">
        <f t="shared" si="63"/>
        <v>0</v>
      </c>
      <c r="I133" s="121">
        <f t="shared" si="63"/>
        <v>0</v>
      </c>
      <c r="J133" s="121">
        <f t="shared" si="63"/>
        <v>0</v>
      </c>
      <c r="K133" s="121">
        <f t="shared" si="63"/>
        <v>0</v>
      </c>
      <c r="L133" s="121">
        <f t="shared" si="63"/>
        <v>0</v>
      </c>
      <c r="M133" s="121"/>
    </row>
    <row r="134" spans="1:13" hidden="1" outlineLevel="1">
      <c r="B134" s="118" t="s">
        <v>69</v>
      </c>
      <c r="C134" s="90"/>
      <c r="D134" s="90"/>
      <c r="E134" s="90"/>
      <c r="F134" s="90"/>
      <c r="G134" s="90"/>
      <c r="H134" s="90"/>
      <c r="I134" s="90"/>
      <c r="J134" s="90"/>
      <c r="K134" s="90"/>
      <c r="L134" s="90"/>
      <c r="M134" s="90"/>
    </row>
    <row r="135" spans="1:13" hidden="1" outlineLevel="1">
      <c r="B135" s="104"/>
      <c r="C135" s="122"/>
      <c r="D135" s="123" t="str">
        <f>IFERROR(D130/(D129+D130),"")</f>
        <v/>
      </c>
      <c r="E135" s="123" t="str">
        <f t="shared" ref="E135:L135" si="64">IFERROR(E130/(E129+E130),"")</f>
        <v/>
      </c>
      <c r="F135" s="123" t="str">
        <f t="shared" si="64"/>
        <v/>
      </c>
      <c r="G135" s="123" t="str">
        <f t="shared" si="64"/>
        <v/>
      </c>
      <c r="H135" s="123" t="str">
        <f t="shared" si="64"/>
        <v/>
      </c>
      <c r="I135" s="123" t="str">
        <f t="shared" si="64"/>
        <v/>
      </c>
      <c r="J135" s="123" t="str">
        <f t="shared" si="64"/>
        <v/>
      </c>
      <c r="K135" s="123" t="str">
        <f t="shared" si="64"/>
        <v/>
      </c>
      <c r="L135" s="123" t="str">
        <f t="shared" si="64"/>
        <v/>
      </c>
      <c r="M135" s="123"/>
    </row>
    <row r="136" spans="1:13" hidden="1" outlineLevel="1">
      <c r="A136" s="371">
        <v>113230</v>
      </c>
      <c r="B136" s="94" t="s">
        <v>99</v>
      </c>
      <c r="C136" s="59">
        <f>ROUND(VLOOKUP($A:$A,RAW!$A:$R,C$1,0)/1000,0)</f>
        <v>0</v>
      </c>
      <c r="D136" s="59">
        <f>ROUND(VLOOKUP($A:$A,RAW!$A:$R,D$1,0)/1000,0)</f>
        <v>0</v>
      </c>
      <c r="E136" s="59">
        <f>ROUND(VLOOKUP($A:$A,RAW!$A:$R,E$1,0)/1000,0)</f>
        <v>0</v>
      </c>
      <c r="F136" s="59">
        <f>ROUND(VLOOKUP($A:$A,RAW!$A:$R,F$1,0)/1000,0)</f>
        <v>0</v>
      </c>
      <c r="G136" s="59">
        <f>ROUND(VLOOKUP($A:$A,RAW!$A:$R,G$1,0)/1000,0)</f>
        <v>0</v>
      </c>
      <c r="H136" s="59">
        <f>ROUND(VLOOKUP($A:$A,RAW!$A:$R,H$1,0)/1000,0)</f>
        <v>0</v>
      </c>
      <c r="I136" s="59">
        <f>ROUND(VLOOKUP($A:$A,RAW!$A:$R,I$1,0)/1000,0)</f>
        <v>0</v>
      </c>
      <c r="J136" s="59">
        <f>ROUND(VLOOKUP($A:$A,RAW!$A:$R,J$1,0)/1000,0)</f>
        <v>0</v>
      </c>
      <c r="K136" s="59">
        <f>ROUND(VLOOKUP($A:$A,RAW!$A:$R,K$1,0)/1000,0)</f>
        <v>0</v>
      </c>
      <c r="L136" s="59">
        <f>ROUND(VLOOKUP($A:$A,RAW!$A:$R,L$1,0)/1000,0)</f>
        <v>0</v>
      </c>
      <c r="M136" s="59"/>
    </row>
    <row r="137" spans="1:13" hidden="1" outlineLevel="1">
      <c r="A137" s="371">
        <v>113231</v>
      </c>
      <c r="B137" s="94" t="s">
        <v>100</v>
      </c>
      <c r="C137" s="59">
        <f>ROUND(VLOOKUP($A:$A,RAW!$A:$R,C$1,0)/1000,0)</f>
        <v>0</v>
      </c>
      <c r="D137" s="59">
        <f>ROUND(VLOOKUP($A:$A,RAW!$A:$R,D$1,0)/1000,0)</f>
        <v>0</v>
      </c>
      <c r="E137" s="59">
        <f>ROUND(VLOOKUP($A:$A,RAW!$A:$R,E$1,0)/1000,0)</f>
        <v>0</v>
      </c>
      <c r="F137" s="59">
        <f>ROUND(VLOOKUP($A:$A,RAW!$A:$R,F$1,0)/1000,0)</f>
        <v>0</v>
      </c>
      <c r="G137" s="59">
        <f>ROUND(VLOOKUP($A:$A,RAW!$A:$R,G$1,0)/1000,0)</f>
        <v>0</v>
      </c>
      <c r="H137" s="59">
        <f>ROUND(VLOOKUP($A:$A,RAW!$A:$R,H$1,0)/1000,0)</f>
        <v>0</v>
      </c>
      <c r="I137" s="59">
        <f>ROUND(VLOOKUP($A:$A,RAW!$A:$R,I$1,0)/1000,0)</f>
        <v>0</v>
      </c>
      <c r="J137" s="59">
        <f>ROUND(VLOOKUP($A:$A,RAW!$A:$R,J$1,0)/1000,0)</f>
        <v>0</v>
      </c>
      <c r="K137" s="59">
        <f>ROUND(VLOOKUP($A:$A,RAW!$A:$R,K$1,0)/1000,0)</f>
        <v>0</v>
      </c>
      <c r="L137" s="59">
        <f>ROUND(VLOOKUP($A:$A,RAW!$A:$R,L$1,0)/1000,0)</f>
        <v>0</v>
      </c>
      <c r="M137" s="59"/>
    </row>
    <row r="138" spans="1:13" hidden="1" outlineLevel="1">
      <c r="B138" s="95" t="s">
        <v>63</v>
      </c>
      <c r="C138" s="87"/>
      <c r="D138" s="89">
        <f>IFERROR(D136-C136,"")</f>
        <v>0</v>
      </c>
      <c r="E138" s="89">
        <f t="shared" ref="E138:L138" si="65">IFERROR(E136-D136,"")</f>
        <v>0</v>
      </c>
      <c r="F138" s="89">
        <f t="shared" si="65"/>
        <v>0</v>
      </c>
      <c r="G138" s="89">
        <f t="shared" si="65"/>
        <v>0</v>
      </c>
      <c r="H138" s="89">
        <f t="shared" si="65"/>
        <v>0</v>
      </c>
      <c r="I138" s="89">
        <f t="shared" si="65"/>
        <v>0</v>
      </c>
      <c r="J138" s="89">
        <f t="shared" si="65"/>
        <v>0</v>
      </c>
      <c r="K138" s="89">
        <f t="shared" si="65"/>
        <v>0</v>
      </c>
      <c r="L138" s="89">
        <f t="shared" si="65"/>
        <v>0</v>
      </c>
      <c r="M138" s="89"/>
    </row>
    <row r="139" spans="1:13" hidden="1" outlineLevel="1">
      <c r="B139" s="95" t="s">
        <v>96</v>
      </c>
      <c r="C139" s="87"/>
      <c r="D139" s="89">
        <f>IFERROR(D137-C137,"")</f>
        <v>0</v>
      </c>
      <c r="E139" s="89">
        <f t="shared" ref="E139:L139" si="66">IFERROR(E137-D137,"")</f>
        <v>0</v>
      </c>
      <c r="F139" s="89">
        <f t="shared" si="66"/>
        <v>0</v>
      </c>
      <c r="G139" s="89">
        <f t="shared" si="66"/>
        <v>0</v>
      </c>
      <c r="H139" s="89">
        <f t="shared" si="66"/>
        <v>0</v>
      </c>
      <c r="I139" s="89">
        <f t="shared" si="66"/>
        <v>0</v>
      </c>
      <c r="J139" s="89">
        <f t="shared" si="66"/>
        <v>0</v>
      </c>
      <c r="K139" s="89">
        <f t="shared" si="66"/>
        <v>0</v>
      </c>
      <c r="L139" s="89">
        <f t="shared" si="66"/>
        <v>0</v>
      </c>
      <c r="M139" s="89"/>
    </row>
    <row r="140" spans="1:13" hidden="1" outlineLevel="1">
      <c r="B140" s="115" t="s">
        <v>97</v>
      </c>
      <c r="C140" s="87"/>
      <c r="D140" s="121">
        <f>IFERROR(D138+D141,"")</f>
        <v>0</v>
      </c>
      <c r="E140" s="121">
        <f t="shared" ref="E140:L140" si="67">IFERROR(E138+E141,"")</f>
        <v>0</v>
      </c>
      <c r="F140" s="121">
        <f t="shared" si="67"/>
        <v>0</v>
      </c>
      <c r="G140" s="121">
        <f t="shared" si="67"/>
        <v>0</v>
      </c>
      <c r="H140" s="121">
        <f t="shared" si="67"/>
        <v>0</v>
      </c>
      <c r="I140" s="121">
        <f t="shared" si="67"/>
        <v>0</v>
      </c>
      <c r="J140" s="121">
        <f t="shared" si="67"/>
        <v>0</v>
      </c>
      <c r="K140" s="121">
        <f t="shared" si="67"/>
        <v>0</v>
      </c>
      <c r="L140" s="121">
        <f t="shared" si="67"/>
        <v>0</v>
      </c>
      <c r="M140" s="121"/>
    </row>
    <row r="141" spans="1:13" hidden="1" outlineLevel="1">
      <c r="B141" s="118" t="s">
        <v>69</v>
      </c>
      <c r="C141" s="90"/>
      <c r="D141" s="90"/>
      <c r="E141" s="90"/>
      <c r="F141" s="90"/>
      <c r="G141" s="90"/>
      <c r="H141" s="90"/>
      <c r="I141" s="90"/>
      <c r="J141" s="90"/>
      <c r="K141" s="90"/>
      <c r="L141" s="90"/>
      <c r="M141" s="90"/>
    </row>
    <row r="142" spans="1:13" hidden="1" outlineLevel="1">
      <c r="B142" s="104"/>
      <c r="C142" s="122"/>
      <c r="D142" s="123" t="str">
        <f>IFERROR(D137/(D136+D137),"")</f>
        <v/>
      </c>
      <c r="E142" s="123" t="str">
        <f t="shared" ref="E142:L142" si="68">IFERROR(E137/(E136+E137),"")</f>
        <v/>
      </c>
      <c r="F142" s="123" t="str">
        <f t="shared" si="68"/>
        <v/>
      </c>
      <c r="G142" s="123" t="str">
        <f t="shared" si="68"/>
        <v/>
      </c>
      <c r="H142" s="123" t="str">
        <f t="shared" si="68"/>
        <v/>
      </c>
      <c r="I142" s="123" t="str">
        <f t="shared" si="68"/>
        <v/>
      </c>
      <c r="J142" s="123" t="str">
        <f t="shared" si="68"/>
        <v/>
      </c>
      <c r="K142" s="123" t="str">
        <f t="shared" si="68"/>
        <v/>
      </c>
      <c r="L142" s="123" t="str">
        <f t="shared" si="68"/>
        <v/>
      </c>
      <c r="M142" s="123"/>
    </row>
    <row r="143" spans="1:13" hidden="1" outlineLevel="1">
      <c r="A143" s="371">
        <v>113220</v>
      </c>
      <c r="B143" s="96" t="s">
        <v>101</v>
      </c>
      <c r="C143" s="91">
        <f>ROUND(VLOOKUP($A:$A,RAW!$A:$R,C$1,0)/1000,0)</f>
        <v>0</v>
      </c>
      <c r="D143" s="91">
        <f>ROUND(VLOOKUP($A:$A,RAW!$A:$R,D$1,0)/1000,0)</f>
        <v>0</v>
      </c>
      <c r="E143" s="91">
        <f>ROUND(VLOOKUP($A:$A,RAW!$A:$R,E$1,0)/1000,0)</f>
        <v>0</v>
      </c>
      <c r="F143" s="91">
        <f>ROUND(VLOOKUP($A:$A,RAW!$A:$R,F$1,0)/1000,0)</f>
        <v>0</v>
      </c>
      <c r="G143" s="91">
        <f>ROUND(VLOOKUP($A:$A,RAW!$A:$R,G$1,0)/1000,0)</f>
        <v>0</v>
      </c>
      <c r="H143" s="91">
        <f>ROUND(VLOOKUP($A:$A,RAW!$A:$R,H$1,0)/1000,0)</f>
        <v>0</v>
      </c>
      <c r="I143" s="91">
        <f>ROUND(VLOOKUP($A:$A,RAW!$A:$R,I$1,0)/1000,0)</f>
        <v>0</v>
      </c>
      <c r="J143" s="91">
        <f>ROUND(VLOOKUP($A:$A,RAW!$A:$R,J$1,0)/1000,0)</f>
        <v>0</v>
      </c>
      <c r="K143" s="91">
        <f>ROUND(VLOOKUP($A:$A,RAW!$A:$R,K$1,0)/1000,0)</f>
        <v>0</v>
      </c>
      <c r="L143" s="91">
        <f>ROUND(VLOOKUP($A:$A,RAW!$A:$R,L$1,0)/1000,0)</f>
        <v>0</v>
      </c>
      <c r="M143" s="91"/>
    </row>
    <row r="144" spans="1:13" hidden="1" outlineLevel="1">
      <c r="A144" s="371">
        <v>113221</v>
      </c>
      <c r="B144" s="94" t="s">
        <v>102</v>
      </c>
      <c r="C144" s="92">
        <f>ROUND(VLOOKUP($A:$A,RAW!$A:$R,C$1,0)/1000,0)</f>
        <v>0</v>
      </c>
      <c r="D144" s="92">
        <f>ROUND(VLOOKUP($A:$A,RAW!$A:$R,D$1,0)/1000,0)</f>
        <v>0</v>
      </c>
      <c r="E144" s="92">
        <f>ROUND(VLOOKUP($A:$A,RAW!$A:$R,E$1,0)/1000,0)</f>
        <v>0</v>
      </c>
      <c r="F144" s="92">
        <f>ROUND(VLOOKUP($A:$A,RAW!$A:$R,F$1,0)/1000,0)</f>
        <v>0</v>
      </c>
      <c r="G144" s="92">
        <f>ROUND(VLOOKUP($A:$A,RAW!$A:$R,G$1,0)/1000,0)</f>
        <v>0</v>
      </c>
      <c r="H144" s="92">
        <f>ROUND(VLOOKUP($A:$A,RAW!$A:$R,H$1,0)/1000,0)</f>
        <v>0</v>
      </c>
      <c r="I144" s="92">
        <f>ROUND(VLOOKUP($A:$A,RAW!$A:$R,I$1,0)/1000,0)</f>
        <v>0</v>
      </c>
      <c r="J144" s="92">
        <f>ROUND(VLOOKUP($A:$A,RAW!$A:$R,J$1,0)/1000,0)</f>
        <v>0</v>
      </c>
      <c r="K144" s="92">
        <f>ROUND(VLOOKUP($A:$A,RAW!$A:$R,K$1,0)/1000,0)</f>
        <v>0</v>
      </c>
      <c r="L144" s="92">
        <f>ROUND(VLOOKUP($A:$A,RAW!$A:$R,L$1,0)/1000,0)</f>
        <v>0</v>
      </c>
      <c r="M144" s="92"/>
    </row>
    <row r="145" spans="1:13" hidden="1" outlineLevel="1">
      <c r="B145" s="95" t="s">
        <v>63</v>
      </c>
      <c r="C145" s="87"/>
      <c r="D145" s="89">
        <f>IFERROR(D143-C143,"")</f>
        <v>0</v>
      </c>
      <c r="E145" s="89">
        <f t="shared" ref="E145:L145" si="69">IFERROR(E143-D143,"")</f>
        <v>0</v>
      </c>
      <c r="F145" s="89">
        <f t="shared" si="69"/>
        <v>0</v>
      </c>
      <c r="G145" s="89">
        <f t="shared" si="69"/>
        <v>0</v>
      </c>
      <c r="H145" s="89">
        <f t="shared" si="69"/>
        <v>0</v>
      </c>
      <c r="I145" s="89">
        <f t="shared" si="69"/>
        <v>0</v>
      </c>
      <c r="J145" s="89">
        <f t="shared" si="69"/>
        <v>0</v>
      </c>
      <c r="K145" s="89">
        <f t="shared" si="69"/>
        <v>0</v>
      </c>
      <c r="L145" s="89">
        <f t="shared" si="69"/>
        <v>0</v>
      </c>
      <c r="M145" s="89"/>
    </row>
    <row r="146" spans="1:13" hidden="1" outlineLevel="1">
      <c r="B146" s="95" t="s">
        <v>96</v>
      </c>
      <c r="C146" s="87"/>
      <c r="D146" s="89">
        <f>IFERROR(D144-C144,"")</f>
        <v>0</v>
      </c>
      <c r="E146" s="89">
        <f t="shared" ref="E146:L146" si="70">IFERROR(E144-D144,"")</f>
        <v>0</v>
      </c>
      <c r="F146" s="89">
        <f t="shared" si="70"/>
        <v>0</v>
      </c>
      <c r="G146" s="89">
        <f t="shared" si="70"/>
        <v>0</v>
      </c>
      <c r="H146" s="89">
        <f t="shared" si="70"/>
        <v>0</v>
      </c>
      <c r="I146" s="89">
        <f t="shared" si="70"/>
        <v>0</v>
      </c>
      <c r="J146" s="89">
        <f t="shared" si="70"/>
        <v>0</v>
      </c>
      <c r="K146" s="89">
        <f t="shared" si="70"/>
        <v>0</v>
      </c>
      <c r="L146" s="89">
        <f t="shared" si="70"/>
        <v>0</v>
      </c>
      <c r="M146" s="89"/>
    </row>
    <row r="147" spans="1:13" hidden="1" outlineLevel="1">
      <c r="B147" s="115" t="s">
        <v>97</v>
      </c>
      <c r="C147" s="87"/>
      <c r="D147" s="121">
        <f>IFERROR(D145+D148,"")</f>
        <v>0</v>
      </c>
      <c r="E147" s="121">
        <f t="shared" ref="E147:L147" si="71">IFERROR(E145+E148,"")</f>
        <v>0</v>
      </c>
      <c r="F147" s="121">
        <f t="shared" si="71"/>
        <v>0</v>
      </c>
      <c r="G147" s="121">
        <f t="shared" si="71"/>
        <v>0</v>
      </c>
      <c r="H147" s="121">
        <f t="shared" si="71"/>
        <v>0</v>
      </c>
      <c r="I147" s="121">
        <f t="shared" si="71"/>
        <v>0</v>
      </c>
      <c r="J147" s="121">
        <f t="shared" si="71"/>
        <v>0</v>
      </c>
      <c r="K147" s="121">
        <f t="shared" si="71"/>
        <v>0</v>
      </c>
      <c r="L147" s="121">
        <f t="shared" si="71"/>
        <v>0</v>
      </c>
      <c r="M147" s="121"/>
    </row>
    <row r="148" spans="1:13" hidden="1" outlineLevel="1">
      <c r="B148" s="118" t="s">
        <v>69</v>
      </c>
      <c r="C148" s="90"/>
      <c r="D148" s="90"/>
      <c r="E148" s="90"/>
      <c r="F148" s="90"/>
      <c r="G148" s="90"/>
      <c r="H148" s="90"/>
      <c r="I148" s="90"/>
      <c r="J148" s="90"/>
      <c r="K148" s="90"/>
      <c r="L148" s="90"/>
      <c r="M148" s="90"/>
    </row>
    <row r="149" spans="1:13" hidden="1" outlineLevel="1">
      <c r="B149" s="104"/>
      <c r="C149" s="122"/>
      <c r="D149" s="123" t="str">
        <f>IFERROR(D144/(D143+D144),"")</f>
        <v/>
      </c>
      <c r="E149" s="123" t="str">
        <f t="shared" ref="E149:L149" si="72">IFERROR(E144/(E143+E144),"")</f>
        <v/>
      </c>
      <c r="F149" s="123" t="str">
        <f t="shared" si="72"/>
        <v/>
      </c>
      <c r="G149" s="123" t="str">
        <f t="shared" si="72"/>
        <v/>
      </c>
      <c r="H149" s="123" t="str">
        <f t="shared" si="72"/>
        <v/>
      </c>
      <c r="I149" s="123" t="str">
        <f t="shared" si="72"/>
        <v/>
      </c>
      <c r="J149" s="123" t="str">
        <f t="shared" si="72"/>
        <v/>
      </c>
      <c r="K149" s="123" t="str">
        <f t="shared" si="72"/>
        <v/>
      </c>
      <c r="L149" s="123" t="str">
        <f t="shared" si="72"/>
        <v/>
      </c>
      <c r="M149" s="123"/>
    </row>
    <row r="150" spans="1:13" hidden="1" outlineLevel="1">
      <c r="A150" s="371">
        <v>113240</v>
      </c>
      <c r="B150" s="94" t="s">
        <v>103</v>
      </c>
      <c r="C150" s="59">
        <f>ROUND(VLOOKUP($A:$A,RAW!$A:$R,C$1,0)/1000,0)</f>
        <v>0</v>
      </c>
      <c r="D150" s="59">
        <f>ROUND(VLOOKUP($A:$A,RAW!$A:$R,D$1,0)/1000,0)</f>
        <v>0</v>
      </c>
      <c r="E150" s="59">
        <f>ROUND(VLOOKUP($A:$A,RAW!$A:$R,E$1,0)/1000,0)</f>
        <v>0</v>
      </c>
      <c r="F150" s="59">
        <f>ROUND(VLOOKUP($A:$A,RAW!$A:$R,F$1,0)/1000,0)</f>
        <v>0</v>
      </c>
      <c r="G150" s="59">
        <f>ROUND(VLOOKUP($A:$A,RAW!$A:$R,G$1,0)/1000,0)</f>
        <v>0</v>
      </c>
      <c r="H150" s="59">
        <f>ROUND(VLOOKUP($A:$A,RAW!$A:$R,H$1,0)/1000,0)</f>
        <v>0</v>
      </c>
      <c r="I150" s="59">
        <f>ROUND(VLOOKUP($A:$A,RAW!$A:$R,I$1,0)/1000,0)</f>
        <v>0</v>
      </c>
      <c r="J150" s="59">
        <f>ROUND(VLOOKUP($A:$A,RAW!$A:$R,J$1,0)/1000,0)</f>
        <v>0</v>
      </c>
      <c r="K150" s="59">
        <f>ROUND(VLOOKUP($A:$A,RAW!$A:$R,K$1,0)/1000,0)</f>
        <v>0</v>
      </c>
      <c r="L150" s="59">
        <f>ROUND(VLOOKUP($A:$A,RAW!$A:$R,L$1,0)/1000,0)</f>
        <v>0</v>
      </c>
      <c r="M150" s="59"/>
    </row>
    <row r="151" spans="1:13" hidden="1" outlineLevel="1">
      <c r="A151" s="371">
        <v>113241</v>
      </c>
      <c r="B151" s="94" t="s">
        <v>104</v>
      </c>
      <c r="C151" s="59">
        <f>ROUND(VLOOKUP($A:$A,RAW!$A:$R,C$1,0)/1000,0)</f>
        <v>0</v>
      </c>
      <c r="D151" s="59">
        <f>ROUND(VLOOKUP($A:$A,RAW!$A:$R,D$1,0)/1000,0)</f>
        <v>0</v>
      </c>
      <c r="E151" s="59">
        <f>ROUND(VLOOKUP($A:$A,RAW!$A:$R,E$1,0)/1000,0)</f>
        <v>0</v>
      </c>
      <c r="F151" s="59">
        <f>ROUND(VLOOKUP($A:$A,RAW!$A:$R,F$1,0)/1000,0)</f>
        <v>0</v>
      </c>
      <c r="G151" s="59">
        <f>ROUND(VLOOKUP($A:$A,RAW!$A:$R,G$1,0)/1000,0)</f>
        <v>0</v>
      </c>
      <c r="H151" s="59">
        <f>ROUND(VLOOKUP($A:$A,RAW!$A:$R,H$1,0)/1000,0)</f>
        <v>0</v>
      </c>
      <c r="I151" s="59">
        <f>ROUND(VLOOKUP($A:$A,RAW!$A:$R,I$1,0)/1000,0)</f>
        <v>0</v>
      </c>
      <c r="J151" s="59">
        <f>ROUND(VLOOKUP($A:$A,RAW!$A:$R,J$1,0)/1000,0)</f>
        <v>0</v>
      </c>
      <c r="K151" s="59">
        <f>ROUND(VLOOKUP($A:$A,RAW!$A:$R,K$1,0)/1000,0)</f>
        <v>0</v>
      </c>
      <c r="L151" s="59">
        <f>ROUND(VLOOKUP($A:$A,RAW!$A:$R,L$1,0)/1000,0)</f>
        <v>0</v>
      </c>
      <c r="M151" s="59"/>
    </row>
    <row r="152" spans="1:13" hidden="1" outlineLevel="1">
      <c r="B152" s="95" t="s">
        <v>63</v>
      </c>
      <c r="C152" s="87"/>
      <c r="D152" s="89">
        <f>IFERROR(D150-C150,"")</f>
        <v>0</v>
      </c>
      <c r="E152" s="89">
        <f t="shared" ref="E152:L152" si="73">IFERROR(E150-D150,"")</f>
        <v>0</v>
      </c>
      <c r="F152" s="89">
        <f t="shared" si="73"/>
        <v>0</v>
      </c>
      <c r="G152" s="89">
        <f t="shared" si="73"/>
        <v>0</v>
      </c>
      <c r="H152" s="89">
        <f t="shared" si="73"/>
        <v>0</v>
      </c>
      <c r="I152" s="89">
        <f t="shared" si="73"/>
        <v>0</v>
      </c>
      <c r="J152" s="89">
        <f t="shared" si="73"/>
        <v>0</v>
      </c>
      <c r="K152" s="89">
        <f t="shared" si="73"/>
        <v>0</v>
      </c>
      <c r="L152" s="89">
        <f t="shared" si="73"/>
        <v>0</v>
      </c>
      <c r="M152" s="89"/>
    </row>
    <row r="153" spans="1:13" hidden="1" outlineLevel="1">
      <c r="B153" s="95" t="s">
        <v>96</v>
      </c>
      <c r="C153" s="87"/>
      <c r="D153" s="89">
        <f>IFERROR(D151-C151,"")</f>
        <v>0</v>
      </c>
      <c r="E153" s="89">
        <f t="shared" ref="E153:L153" si="74">IFERROR(E151-D151,"")</f>
        <v>0</v>
      </c>
      <c r="F153" s="89">
        <f t="shared" si="74"/>
        <v>0</v>
      </c>
      <c r="G153" s="89">
        <f t="shared" si="74"/>
        <v>0</v>
      </c>
      <c r="H153" s="89">
        <f t="shared" si="74"/>
        <v>0</v>
      </c>
      <c r="I153" s="89">
        <f t="shared" si="74"/>
        <v>0</v>
      </c>
      <c r="J153" s="89">
        <f t="shared" si="74"/>
        <v>0</v>
      </c>
      <c r="K153" s="89">
        <f t="shared" si="74"/>
        <v>0</v>
      </c>
      <c r="L153" s="89">
        <f t="shared" si="74"/>
        <v>0</v>
      </c>
      <c r="M153" s="89"/>
    </row>
    <row r="154" spans="1:13" hidden="1" outlineLevel="1">
      <c r="B154" s="115" t="s">
        <v>97</v>
      </c>
      <c r="C154" s="87"/>
      <c r="D154" s="121">
        <f>IFERROR(D152+D155,"")</f>
        <v>0</v>
      </c>
      <c r="E154" s="121">
        <f t="shared" ref="E154:L154" si="75">IFERROR(E152+E155,"")</f>
        <v>0</v>
      </c>
      <c r="F154" s="121">
        <f t="shared" si="75"/>
        <v>0</v>
      </c>
      <c r="G154" s="121">
        <f t="shared" si="75"/>
        <v>0</v>
      </c>
      <c r="H154" s="121">
        <f t="shared" si="75"/>
        <v>0</v>
      </c>
      <c r="I154" s="121">
        <f t="shared" si="75"/>
        <v>0</v>
      </c>
      <c r="J154" s="121">
        <f t="shared" si="75"/>
        <v>0</v>
      </c>
      <c r="K154" s="121">
        <f t="shared" si="75"/>
        <v>0</v>
      </c>
      <c r="L154" s="121">
        <f t="shared" si="75"/>
        <v>0</v>
      </c>
      <c r="M154" s="121"/>
    </row>
    <row r="155" spans="1:13" hidden="1" outlineLevel="1">
      <c r="B155" s="118" t="s">
        <v>69</v>
      </c>
      <c r="C155" s="90"/>
      <c r="D155" s="90"/>
      <c r="E155" s="90"/>
      <c r="F155" s="90"/>
      <c r="G155" s="90"/>
      <c r="H155" s="90"/>
      <c r="I155" s="90"/>
      <c r="J155" s="90"/>
      <c r="K155" s="90"/>
      <c r="L155" s="90"/>
      <c r="M155" s="90"/>
    </row>
    <row r="156" spans="1:13" hidden="1" outlineLevel="1">
      <c r="B156" s="104"/>
      <c r="C156" s="122"/>
      <c r="D156" s="123" t="str">
        <f>IFERROR(D151/(D150+D151),"")</f>
        <v/>
      </c>
      <c r="E156" s="123" t="str">
        <f t="shared" ref="E156:L156" si="76">IFERROR(E151/(E150+E151),"")</f>
        <v/>
      </c>
      <c r="F156" s="123" t="str">
        <f t="shared" si="76"/>
        <v/>
      </c>
      <c r="G156" s="123" t="str">
        <f t="shared" si="76"/>
        <v/>
      </c>
      <c r="H156" s="123" t="str">
        <f t="shared" si="76"/>
        <v/>
      </c>
      <c r="I156" s="123" t="str">
        <f t="shared" si="76"/>
        <v/>
      </c>
      <c r="J156" s="123" t="str">
        <f t="shared" si="76"/>
        <v/>
      </c>
      <c r="K156" s="123" t="str">
        <f t="shared" si="76"/>
        <v/>
      </c>
      <c r="L156" s="123" t="str">
        <f t="shared" si="76"/>
        <v/>
      </c>
      <c r="M156" s="123"/>
    </row>
    <row r="157" spans="1:13" hidden="1" outlineLevel="1">
      <c r="A157" s="371">
        <v>113260</v>
      </c>
      <c r="B157" s="94" t="s">
        <v>105</v>
      </c>
      <c r="C157" s="59">
        <f>ROUND(VLOOKUP($A:$A,RAW!$A:$R,C$1,0)/1000,0)</f>
        <v>0</v>
      </c>
      <c r="D157" s="59">
        <f>ROUND(VLOOKUP($A:$A,RAW!$A:$R,D$1,0)/1000,0)</f>
        <v>0</v>
      </c>
      <c r="E157" s="59">
        <f>ROUND(VLOOKUP($A:$A,RAW!$A:$R,E$1,0)/1000,0)</f>
        <v>0</v>
      </c>
      <c r="F157" s="59">
        <f>ROUND(VLOOKUP($A:$A,RAW!$A:$R,F$1,0)/1000,0)</f>
        <v>0</v>
      </c>
      <c r="G157" s="59">
        <f>ROUND(VLOOKUP($A:$A,RAW!$A:$R,G$1,0)/1000,0)</f>
        <v>0</v>
      </c>
      <c r="H157" s="59">
        <f>ROUND(VLOOKUP($A:$A,RAW!$A:$R,H$1,0)/1000,0)</f>
        <v>0</v>
      </c>
      <c r="I157" s="59">
        <f>ROUND(VLOOKUP($A:$A,RAW!$A:$R,I$1,0)/1000,0)</f>
        <v>0</v>
      </c>
      <c r="J157" s="59">
        <f>ROUND(VLOOKUP($A:$A,RAW!$A:$R,J$1,0)/1000,0)</f>
        <v>0</v>
      </c>
      <c r="K157" s="59">
        <f>ROUND(VLOOKUP($A:$A,RAW!$A:$R,K$1,0)/1000,0)</f>
        <v>0</v>
      </c>
      <c r="L157" s="59">
        <f>ROUND(VLOOKUP($A:$A,RAW!$A:$R,L$1,0)/1000,0)</f>
        <v>0</v>
      </c>
      <c r="M157" s="59"/>
    </row>
    <row r="158" spans="1:13" hidden="1" outlineLevel="1">
      <c r="A158" s="371">
        <v>113261</v>
      </c>
      <c r="B158" s="94" t="s">
        <v>106</v>
      </c>
      <c r="C158" s="59">
        <f>ROUND(VLOOKUP($A:$A,RAW!$A:$R,C$1,0)/1000,0)</f>
        <v>0</v>
      </c>
      <c r="D158" s="59">
        <f>ROUND(VLOOKUP($A:$A,RAW!$A:$R,D$1,0)/1000,0)</f>
        <v>0</v>
      </c>
      <c r="E158" s="59">
        <f>ROUND(VLOOKUP($A:$A,RAW!$A:$R,E$1,0)/1000,0)</f>
        <v>0</v>
      </c>
      <c r="F158" s="59">
        <f>ROUND(VLOOKUP($A:$A,RAW!$A:$R,F$1,0)/1000,0)</f>
        <v>0</v>
      </c>
      <c r="G158" s="59">
        <f>ROUND(VLOOKUP($A:$A,RAW!$A:$R,G$1,0)/1000,0)</f>
        <v>0</v>
      </c>
      <c r="H158" s="59">
        <f>ROUND(VLOOKUP($A:$A,RAW!$A:$R,H$1,0)/1000,0)</f>
        <v>0</v>
      </c>
      <c r="I158" s="59">
        <f>ROUND(VLOOKUP($A:$A,RAW!$A:$R,I$1,0)/1000,0)</f>
        <v>0</v>
      </c>
      <c r="J158" s="59">
        <f>ROUND(VLOOKUP($A:$A,RAW!$A:$R,J$1,0)/1000,0)</f>
        <v>0</v>
      </c>
      <c r="K158" s="59">
        <f>ROUND(VLOOKUP($A:$A,RAW!$A:$R,K$1,0)/1000,0)</f>
        <v>0</v>
      </c>
      <c r="L158" s="59">
        <f>ROUND(VLOOKUP($A:$A,RAW!$A:$R,L$1,0)/1000,0)</f>
        <v>0</v>
      </c>
      <c r="M158" s="59"/>
    </row>
    <row r="159" spans="1:13" hidden="1" outlineLevel="1">
      <c r="B159" s="95" t="s">
        <v>63</v>
      </c>
      <c r="C159" s="87"/>
      <c r="D159" s="89">
        <f>IFERROR(D157-C157,"")</f>
        <v>0</v>
      </c>
      <c r="E159" s="89">
        <f t="shared" ref="E159:L159" si="77">IFERROR(E157-D157,"")</f>
        <v>0</v>
      </c>
      <c r="F159" s="89">
        <f t="shared" si="77"/>
        <v>0</v>
      </c>
      <c r="G159" s="89">
        <f t="shared" si="77"/>
        <v>0</v>
      </c>
      <c r="H159" s="89">
        <f t="shared" si="77"/>
        <v>0</v>
      </c>
      <c r="I159" s="89">
        <f t="shared" si="77"/>
        <v>0</v>
      </c>
      <c r="J159" s="89">
        <f t="shared" si="77"/>
        <v>0</v>
      </c>
      <c r="K159" s="89">
        <f t="shared" si="77"/>
        <v>0</v>
      </c>
      <c r="L159" s="89">
        <f t="shared" si="77"/>
        <v>0</v>
      </c>
      <c r="M159" s="89"/>
    </row>
    <row r="160" spans="1:13" hidden="1" outlineLevel="1">
      <c r="B160" s="95" t="s">
        <v>96</v>
      </c>
      <c r="C160" s="87"/>
      <c r="D160" s="89">
        <f>IFERROR(D158-C158,"")</f>
        <v>0</v>
      </c>
      <c r="E160" s="89">
        <f t="shared" ref="E160:L160" si="78">IFERROR(E158-D158,"")</f>
        <v>0</v>
      </c>
      <c r="F160" s="89">
        <f t="shared" si="78"/>
        <v>0</v>
      </c>
      <c r="G160" s="89">
        <f t="shared" si="78"/>
        <v>0</v>
      </c>
      <c r="H160" s="89">
        <f t="shared" si="78"/>
        <v>0</v>
      </c>
      <c r="I160" s="89">
        <f t="shared" si="78"/>
        <v>0</v>
      </c>
      <c r="J160" s="89">
        <f t="shared" si="78"/>
        <v>0</v>
      </c>
      <c r="K160" s="89">
        <f t="shared" si="78"/>
        <v>0</v>
      </c>
      <c r="L160" s="89">
        <f t="shared" si="78"/>
        <v>0</v>
      </c>
      <c r="M160" s="89"/>
    </row>
    <row r="161" spans="1:13" hidden="1" outlineLevel="1">
      <c r="B161" s="115" t="s">
        <v>97</v>
      </c>
      <c r="C161" s="87"/>
      <c r="D161" s="121">
        <f>IFERROR(D159+D162,"")</f>
        <v>0</v>
      </c>
      <c r="E161" s="121">
        <f t="shared" ref="E161:L161" si="79">IFERROR(E159+E162,"")</f>
        <v>0</v>
      </c>
      <c r="F161" s="121">
        <f t="shared" si="79"/>
        <v>0</v>
      </c>
      <c r="G161" s="121">
        <f t="shared" si="79"/>
        <v>0</v>
      </c>
      <c r="H161" s="121">
        <f t="shared" si="79"/>
        <v>0</v>
      </c>
      <c r="I161" s="121">
        <f t="shared" si="79"/>
        <v>0</v>
      </c>
      <c r="J161" s="121">
        <f t="shared" si="79"/>
        <v>0</v>
      </c>
      <c r="K161" s="121">
        <f t="shared" si="79"/>
        <v>0</v>
      </c>
      <c r="L161" s="121">
        <f t="shared" si="79"/>
        <v>0</v>
      </c>
      <c r="M161" s="121"/>
    </row>
    <row r="162" spans="1:13" hidden="1" outlineLevel="1">
      <c r="B162" s="118" t="s">
        <v>69</v>
      </c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</row>
    <row r="163" spans="1:13" hidden="1" outlineLevel="1">
      <c r="B163" s="104"/>
      <c r="C163" s="122"/>
      <c r="D163" s="123" t="str">
        <f>IFERROR(D158/(D157+D158),"")</f>
        <v/>
      </c>
      <c r="E163" s="123" t="str">
        <f t="shared" ref="E163:L163" si="80">IFERROR(E158/(E157+E158),"")</f>
        <v/>
      </c>
      <c r="F163" s="123" t="str">
        <f t="shared" si="80"/>
        <v/>
      </c>
      <c r="G163" s="123" t="str">
        <f t="shared" si="80"/>
        <v/>
      </c>
      <c r="H163" s="123" t="str">
        <f t="shared" si="80"/>
        <v/>
      </c>
      <c r="I163" s="123" t="str">
        <f t="shared" si="80"/>
        <v/>
      </c>
      <c r="J163" s="123" t="str">
        <f t="shared" si="80"/>
        <v/>
      </c>
      <c r="K163" s="123" t="str">
        <f t="shared" si="80"/>
        <v/>
      </c>
      <c r="L163" s="123" t="str">
        <f t="shared" si="80"/>
        <v/>
      </c>
      <c r="M163" s="123"/>
    </row>
    <row r="164" spans="1:13" hidden="1" outlineLevel="1">
      <c r="A164" s="371">
        <v>113250</v>
      </c>
      <c r="B164" s="94" t="s">
        <v>107</v>
      </c>
      <c r="C164" s="59">
        <f>ROUND(VLOOKUP($A:$A,RAW!$A:$R,C$1,0)/1000,0)</f>
        <v>0</v>
      </c>
      <c r="D164" s="59">
        <f>ROUND(VLOOKUP($A:$A,RAW!$A:$R,D$1,0)/1000,0)</f>
        <v>0</v>
      </c>
      <c r="E164" s="59">
        <f>ROUND(VLOOKUP($A:$A,RAW!$A:$R,E$1,0)/1000,0)</f>
        <v>0</v>
      </c>
      <c r="F164" s="59">
        <f>ROUND(VLOOKUP($A:$A,RAW!$A:$R,F$1,0)/1000,0)</f>
        <v>0</v>
      </c>
      <c r="G164" s="59">
        <f>ROUND(VLOOKUP($A:$A,RAW!$A:$R,G$1,0)/1000,0)</f>
        <v>0</v>
      </c>
      <c r="H164" s="59">
        <f>ROUND(VLOOKUP($A:$A,RAW!$A:$R,H$1,0)/1000,0)</f>
        <v>0</v>
      </c>
      <c r="I164" s="59">
        <f>ROUND(VLOOKUP($A:$A,RAW!$A:$R,I$1,0)/1000,0)</f>
        <v>0</v>
      </c>
      <c r="J164" s="59">
        <f>ROUND(VLOOKUP($A:$A,RAW!$A:$R,J$1,0)/1000,0)</f>
        <v>0</v>
      </c>
      <c r="K164" s="59">
        <f>ROUND(VLOOKUP($A:$A,RAW!$A:$R,K$1,0)/1000,0)</f>
        <v>0</v>
      </c>
      <c r="L164" s="59">
        <f>ROUND(VLOOKUP($A:$A,RAW!$A:$R,L$1,0)/1000,0)</f>
        <v>0</v>
      </c>
      <c r="M164" s="59"/>
    </row>
    <row r="165" spans="1:13" hidden="1" outlineLevel="1">
      <c r="A165" s="371">
        <v>113251</v>
      </c>
      <c r="B165" s="94" t="s">
        <v>108</v>
      </c>
      <c r="C165" s="59">
        <f>ROUND(VLOOKUP($A:$A,RAW!$A:$R,C$1,0)/1000,0)</f>
        <v>0</v>
      </c>
      <c r="D165" s="59">
        <f>ROUND(VLOOKUP($A:$A,RAW!$A:$R,D$1,0)/1000,0)</f>
        <v>0</v>
      </c>
      <c r="E165" s="59">
        <f>ROUND(VLOOKUP($A:$A,RAW!$A:$R,E$1,0)/1000,0)</f>
        <v>0</v>
      </c>
      <c r="F165" s="59">
        <f>ROUND(VLOOKUP($A:$A,RAW!$A:$R,F$1,0)/1000,0)</f>
        <v>0</v>
      </c>
      <c r="G165" s="59">
        <f>ROUND(VLOOKUP($A:$A,RAW!$A:$R,G$1,0)/1000,0)</f>
        <v>0</v>
      </c>
      <c r="H165" s="59">
        <f>ROUND(VLOOKUP($A:$A,RAW!$A:$R,H$1,0)/1000,0)</f>
        <v>0</v>
      </c>
      <c r="I165" s="59">
        <f>ROUND(VLOOKUP($A:$A,RAW!$A:$R,I$1,0)/1000,0)</f>
        <v>0</v>
      </c>
      <c r="J165" s="59">
        <f>ROUND(VLOOKUP($A:$A,RAW!$A:$R,J$1,0)/1000,0)</f>
        <v>0</v>
      </c>
      <c r="K165" s="59">
        <f>ROUND(VLOOKUP($A:$A,RAW!$A:$R,K$1,0)/1000,0)</f>
        <v>0</v>
      </c>
      <c r="L165" s="59">
        <f>ROUND(VLOOKUP($A:$A,RAW!$A:$R,L$1,0)/1000,0)</f>
        <v>0</v>
      </c>
      <c r="M165" s="59"/>
    </row>
    <row r="166" spans="1:13" hidden="1" outlineLevel="1">
      <c r="B166" s="95" t="s">
        <v>63</v>
      </c>
      <c r="C166" s="87"/>
      <c r="D166" s="89">
        <f>IFERROR(D164-C164,"")</f>
        <v>0</v>
      </c>
      <c r="E166" s="89">
        <f t="shared" ref="E166:L166" si="81">IFERROR(E164-D164,"")</f>
        <v>0</v>
      </c>
      <c r="F166" s="89">
        <f t="shared" si="81"/>
        <v>0</v>
      </c>
      <c r="G166" s="89">
        <f t="shared" si="81"/>
        <v>0</v>
      </c>
      <c r="H166" s="89">
        <f t="shared" si="81"/>
        <v>0</v>
      </c>
      <c r="I166" s="89">
        <f t="shared" si="81"/>
        <v>0</v>
      </c>
      <c r="J166" s="89">
        <f t="shared" si="81"/>
        <v>0</v>
      </c>
      <c r="K166" s="89">
        <f t="shared" si="81"/>
        <v>0</v>
      </c>
      <c r="L166" s="89">
        <f t="shared" si="81"/>
        <v>0</v>
      </c>
      <c r="M166" s="89"/>
    </row>
    <row r="167" spans="1:13" hidden="1" outlineLevel="1">
      <c r="B167" s="95" t="s">
        <v>96</v>
      </c>
      <c r="C167" s="87"/>
      <c r="D167" s="89">
        <f>IFERROR(D165-C165,"")</f>
        <v>0</v>
      </c>
      <c r="E167" s="89">
        <f t="shared" ref="E167:L167" si="82">IFERROR(E165-D165,"")</f>
        <v>0</v>
      </c>
      <c r="F167" s="89">
        <f t="shared" si="82"/>
        <v>0</v>
      </c>
      <c r="G167" s="89">
        <f t="shared" si="82"/>
        <v>0</v>
      </c>
      <c r="H167" s="89">
        <f t="shared" si="82"/>
        <v>0</v>
      </c>
      <c r="I167" s="89">
        <f t="shared" si="82"/>
        <v>0</v>
      </c>
      <c r="J167" s="89">
        <f t="shared" si="82"/>
        <v>0</v>
      </c>
      <c r="K167" s="89">
        <f t="shared" si="82"/>
        <v>0</v>
      </c>
      <c r="L167" s="89">
        <f t="shared" si="82"/>
        <v>0</v>
      </c>
      <c r="M167" s="89"/>
    </row>
    <row r="168" spans="1:13" hidden="1" outlineLevel="1">
      <c r="B168" s="115" t="s">
        <v>97</v>
      </c>
      <c r="C168" s="87"/>
      <c r="D168" s="121">
        <f>IFERROR(D166+D169,"")</f>
        <v>0</v>
      </c>
      <c r="E168" s="121">
        <f t="shared" ref="E168:L168" si="83">IFERROR(E166+E169,"")</f>
        <v>0</v>
      </c>
      <c r="F168" s="121">
        <f t="shared" si="83"/>
        <v>0</v>
      </c>
      <c r="G168" s="121">
        <f t="shared" si="83"/>
        <v>0</v>
      </c>
      <c r="H168" s="121">
        <f t="shared" si="83"/>
        <v>0</v>
      </c>
      <c r="I168" s="121">
        <f t="shared" si="83"/>
        <v>0</v>
      </c>
      <c r="J168" s="121">
        <f t="shared" si="83"/>
        <v>0</v>
      </c>
      <c r="K168" s="121">
        <f t="shared" si="83"/>
        <v>0</v>
      </c>
      <c r="L168" s="121">
        <f t="shared" si="83"/>
        <v>0</v>
      </c>
      <c r="M168" s="121"/>
    </row>
    <row r="169" spans="1:13" hidden="1" outlineLevel="1">
      <c r="B169" s="118" t="s">
        <v>69</v>
      </c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</row>
    <row r="170" spans="1:13" hidden="1" outlineLevel="1">
      <c r="B170" s="104"/>
      <c r="C170" s="122"/>
      <c r="D170" s="123" t="str">
        <f>IFERROR(D165/(D164+D165),"")</f>
        <v/>
      </c>
      <c r="E170" s="123" t="str">
        <f t="shared" ref="E170:L170" si="84">IFERROR(E165/(E164+E165),"")</f>
        <v/>
      </c>
      <c r="F170" s="123" t="str">
        <f t="shared" si="84"/>
        <v/>
      </c>
      <c r="G170" s="123" t="str">
        <f t="shared" si="84"/>
        <v/>
      </c>
      <c r="H170" s="123" t="str">
        <f t="shared" si="84"/>
        <v/>
      </c>
      <c r="I170" s="123" t="str">
        <f t="shared" si="84"/>
        <v/>
      </c>
      <c r="J170" s="123" t="str">
        <f t="shared" si="84"/>
        <v/>
      </c>
      <c r="K170" s="123" t="str">
        <f t="shared" si="84"/>
        <v/>
      </c>
      <c r="L170" s="123" t="str">
        <f t="shared" si="84"/>
        <v/>
      </c>
      <c r="M170" s="123"/>
    </row>
    <row r="171" spans="1:13" hidden="1" outlineLevel="1">
      <c r="A171" s="371">
        <v>113270</v>
      </c>
      <c r="B171" s="94" t="s">
        <v>109</v>
      </c>
      <c r="C171" s="59">
        <f>ROUND(VLOOKUP($A:$A,RAW!$A:$R,C$1,0)/1000,0)</f>
        <v>0</v>
      </c>
      <c r="D171" s="59">
        <f>ROUND(VLOOKUP($A:$A,RAW!$A:$R,D$1,0)/1000,0)</f>
        <v>0</v>
      </c>
      <c r="E171" s="59">
        <f>ROUND(VLOOKUP($A:$A,RAW!$A:$R,E$1,0)/1000,0)</f>
        <v>0</v>
      </c>
      <c r="F171" s="59">
        <f>ROUND(VLOOKUP($A:$A,RAW!$A:$R,F$1,0)/1000,0)</f>
        <v>0</v>
      </c>
      <c r="G171" s="59">
        <f>ROUND(VLOOKUP($A:$A,RAW!$A:$R,G$1,0)/1000,0)</f>
        <v>0</v>
      </c>
      <c r="H171" s="59">
        <f>ROUND(VLOOKUP($A:$A,RAW!$A:$R,H$1,0)/1000,0)</f>
        <v>0</v>
      </c>
      <c r="I171" s="59">
        <f>ROUND(VLOOKUP($A:$A,RAW!$A:$R,I$1,0)/1000,0)</f>
        <v>0</v>
      </c>
      <c r="J171" s="59">
        <f>ROUND(VLOOKUP($A:$A,RAW!$A:$R,J$1,0)/1000,0)</f>
        <v>0</v>
      </c>
      <c r="K171" s="59">
        <f>ROUND(VLOOKUP($A:$A,RAW!$A:$R,K$1,0)/1000,0)</f>
        <v>0</v>
      </c>
      <c r="L171" s="59">
        <f>ROUND(VLOOKUP($A:$A,RAW!$A:$R,L$1,0)/1000,0)</f>
        <v>0</v>
      </c>
      <c r="M171" s="59"/>
    </row>
    <row r="172" spans="1:13" hidden="1" outlineLevel="1">
      <c r="A172" s="371">
        <v>113271</v>
      </c>
      <c r="B172" s="94" t="s">
        <v>110</v>
      </c>
      <c r="C172" s="59">
        <f>ROUND(VLOOKUP($A:$A,RAW!$A:$R,C$1,0)/1000,0)</f>
        <v>0</v>
      </c>
      <c r="D172" s="59">
        <f>ROUND(VLOOKUP($A:$A,RAW!$A:$R,D$1,0)/1000,0)</f>
        <v>0</v>
      </c>
      <c r="E172" s="59">
        <f>ROUND(VLOOKUP($A:$A,RAW!$A:$R,E$1,0)/1000,0)</f>
        <v>0</v>
      </c>
      <c r="F172" s="59">
        <f>ROUND(VLOOKUP($A:$A,RAW!$A:$R,F$1,0)/1000,0)</f>
        <v>0</v>
      </c>
      <c r="G172" s="59">
        <f>ROUND(VLOOKUP($A:$A,RAW!$A:$R,G$1,0)/1000,0)</f>
        <v>0</v>
      </c>
      <c r="H172" s="59">
        <f>ROUND(VLOOKUP($A:$A,RAW!$A:$R,H$1,0)/1000,0)</f>
        <v>0</v>
      </c>
      <c r="I172" s="59">
        <f>ROUND(VLOOKUP($A:$A,RAW!$A:$R,I$1,0)/1000,0)</f>
        <v>0</v>
      </c>
      <c r="J172" s="59">
        <f>ROUND(VLOOKUP($A:$A,RAW!$A:$R,J$1,0)/1000,0)</f>
        <v>0</v>
      </c>
      <c r="K172" s="59">
        <f>ROUND(VLOOKUP($A:$A,RAW!$A:$R,K$1,0)/1000,0)</f>
        <v>0</v>
      </c>
      <c r="L172" s="59">
        <f>ROUND(VLOOKUP($A:$A,RAW!$A:$R,L$1,0)/1000,0)</f>
        <v>0</v>
      </c>
      <c r="M172" s="59"/>
    </row>
    <row r="173" spans="1:13" hidden="1" outlineLevel="1">
      <c r="B173" s="95" t="s">
        <v>63</v>
      </c>
      <c r="C173" s="87"/>
      <c r="D173" s="89">
        <f>IFERROR(D171-C171,"")</f>
        <v>0</v>
      </c>
      <c r="E173" s="89">
        <f t="shared" ref="E173:L173" si="85">IFERROR(E171-D171,"")</f>
        <v>0</v>
      </c>
      <c r="F173" s="89">
        <f t="shared" si="85"/>
        <v>0</v>
      </c>
      <c r="G173" s="89">
        <f t="shared" si="85"/>
        <v>0</v>
      </c>
      <c r="H173" s="89">
        <f t="shared" si="85"/>
        <v>0</v>
      </c>
      <c r="I173" s="89">
        <f t="shared" si="85"/>
        <v>0</v>
      </c>
      <c r="J173" s="89">
        <f t="shared" si="85"/>
        <v>0</v>
      </c>
      <c r="K173" s="89">
        <f t="shared" si="85"/>
        <v>0</v>
      </c>
      <c r="L173" s="89">
        <f t="shared" si="85"/>
        <v>0</v>
      </c>
      <c r="M173" s="89"/>
    </row>
    <row r="174" spans="1:13" hidden="1" outlineLevel="1">
      <c r="B174" s="95" t="s">
        <v>96</v>
      </c>
      <c r="C174" s="87"/>
      <c r="D174" s="89">
        <f>IFERROR(D172-C172,"")</f>
        <v>0</v>
      </c>
      <c r="E174" s="89">
        <f t="shared" ref="E174:L174" si="86">IFERROR(E172-D172,"")</f>
        <v>0</v>
      </c>
      <c r="F174" s="89">
        <f t="shared" si="86"/>
        <v>0</v>
      </c>
      <c r="G174" s="89">
        <f t="shared" si="86"/>
        <v>0</v>
      </c>
      <c r="H174" s="89">
        <f t="shared" si="86"/>
        <v>0</v>
      </c>
      <c r="I174" s="89">
        <f t="shared" si="86"/>
        <v>0</v>
      </c>
      <c r="J174" s="89">
        <f t="shared" si="86"/>
        <v>0</v>
      </c>
      <c r="K174" s="89">
        <f t="shared" si="86"/>
        <v>0</v>
      </c>
      <c r="L174" s="89">
        <f t="shared" si="86"/>
        <v>0</v>
      </c>
      <c r="M174" s="89"/>
    </row>
    <row r="175" spans="1:13" hidden="1" outlineLevel="1">
      <c r="B175" s="115" t="s">
        <v>97</v>
      </c>
      <c r="C175" s="87"/>
      <c r="D175" s="121">
        <f>IFERROR(D173+D176,"")</f>
        <v>0</v>
      </c>
      <c r="E175" s="121">
        <f t="shared" ref="E175:L175" si="87">IFERROR(E173+E176,"")</f>
        <v>0</v>
      </c>
      <c r="F175" s="121">
        <f t="shared" si="87"/>
        <v>0</v>
      </c>
      <c r="G175" s="121">
        <f t="shared" si="87"/>
        <v>0</v>
      </c>
      <c r="H175" s="121">
        <f t="shared" si="87"/>
        <v>0</v>
      </c>
      <c r="I175" s="121">
        <f t="shared" si="87"/>
        <v>0</v>
      </c>
      <c r="J175" s="121">
        <f t="shared" si="87"/>
        <v>0</v>
      </c>
      <c r="K175" s="121">
        <f t="shared" si="87"/>
        <v>0</v>
      </c>
      <c r="L175" s="121">
        <f t="shared" si="87"/>
        <v>0</v>
      </c>
      <c r="M175" s="121"/>
    </row>
    <row r="176" spans="1:13" hidden="1" outlineLevel="1">
      <c r="B176" s="118" t="s">
        <v>69</v>
      </c>
      <c r="C176" s="90"/>
      <c r="D176" s="90"/>
      <c r="E176" s="90"/>
      <c r="F176" s="90"/>
      <c r="G176" s="90"/>
      <c r="H176" s="90"/>
      <c r="I176" s="90"/>
      <c r="J176" s="90"/>
      <c r="K176" s="90"/>
      <c r="L176" s="90"/>
      <c r="M176" s="90"/>
    </row>
    <row r="177" spans="1:13" hidden="1" outlineLevel="1">
      <c r="B177" s="104"/>
      <c r="C177" s="122"/>
      <c r="D177" s="123" t="str">
        <f>IFERROR(D172/(D171+D172),"")</f>
        <v/>
      </c>
      <c r="E177" s="123" t="str">
        <f t="shared" ref="E177:L177" si="88">IFERROR(E172/(E171+E172),"")</f>
        <v/>
      </c>
      <c r="F177" s="123" t="str">
        <f t="shared" si="88"/>
        <v/>
      </c>
      <c r="G177" s="123" t="str">
        <f t="shared" si="88"/>
        <v/>
      </c>
      <c r="H177" s="123" t="str">
        <f t="shared" si="88"/>
        <v/>
      </c>
      <c r="I177" s="123" t="str">
        <f t="shared" si="88"/>
        <v/>
      </c>
      <c r="J177" s="123" t="str">
        <f t="shared" si="88"/>
        <v/>
      </c>
      <c r="K177" s="123" t="str">
        <f t="shared" si="88"/>
        <v/>
      </c>
      <c r="L177" s="123" t="str">
        <f t="shared" si="88"/>
        <v/>
      </c>
      <c r="M177" s="123"/>
    </row>
    <row r="178" spans="1:13" hidden="1" outlineLevel="1">
      <c r="A178" s="371">
        <v>113280</v>
      </c>
      <c r="B178" s="94" t="s">
        <v>111</v>
      </c>
      <c r="C178" s="59">
        <f>ROUND(VLOOKUP($A:$A,RAW!$A:$R,C$1,0)/1000,0)</f>
        <v>0</v>
      </c>
      <c r="D178" s="59">
        <f>ROUND(VLOOKUP($A:$A,RAW!$A:$R,D$1,0)/1000,0)</f>
        <v>0</v>
      </c>
      <c r="E178" s="59">
        <f>ROUND(VLOOKUP($A:$A,RAW!$A:$R,E$1,0)/1000,0)</f>
        <v>0</v>
      </c>
      <c r="F178" s="59">
        <f>ROUND(VLOOKUP($A:$A,RAW!$A:$R,F$1,0)/1000,0)</f>
        <v>0</v>
      </c>
      <c r="G178" s="59">
        <f>ROUND(VLOOKUP($A:$A,RAW!$A:$R,G$1,0)/1000,0)</f>
        <v>0</v>
      </c>
      <c r="H178" s="59">
        <f>ROUND(VLOOKUP($A:$A,RAW!$A:$R,H$1,0)/1000,0)</f>
        <v>0</v>
      </c>
      <c r="I178" s="59">
        <f>ROUND(VLOOKUP($A:$A,RAW!$A:$R,I$1,0)/1000,0)</f>
        <v>0</v>
      </c>
      <c r="J178" s="59">
        <f>ROUND(VLOOKUP($A:$A,RAW!$A:$R,J$1,0)/1000,0)</f>
        <v>0</v>
      </c>
      <c r="K178" s="59">
        <f>ROUND(VLOOKUP($A:$A,RAW!$A:$R,K$1,0)/1000,0)</f>
        <v>0</v>
      </c>
      <c r="L178" s="59">
        <f>ROUND(VLOOKUP($A:$A,RAW!$A:$R,L$1,0)/1000,0)</f>
        <v>0</v>
      </c>
      <c r="M178" s="59"/>
    </row>
    <row r="179" spans="1:13" hidden="1" outlineLevel="1">
      <c r="A179" s="371">
        <v>113281</v>
      </c>
      <c r="B179" s="94" t="s">
        <v>112</v>
      </c>
      <c r="C179" s="59">
        <f>ROUND(VLOOKUP($A:$A,RAW!$A:$R,C$1,0)/1000,0)</f>
        <v>0</v>
      </c>
      <c r="D179" s="59">
        <f>ROUND(VLOOKUP($A:$A,RAW!$A:$R,D$1,0)/1000,0)</f>
        <v>0</v>
      </c>
      <c r="E179" s="59">
        <f>ROUND(VLOOKUP($A:$A,RAW!$A:$R,E$1,0)/1000,0)</f>
        <v>0</v>
      </c>
      <c r="F179" s="59">
        <f>ROUND(VLOOKUP($A:$A,RAW!$A:$R,F$1,0)/1000,0)</f>
        <v>0</v>
      </c>
      <c r="G179" s="59">
        <f>ROUND(VLOOKUP($A:$A,RAW!$A:$R,G$1,0)/1000,0)</f>
        <v>0</v>
      </c>
      <c r="H179" s="59">
        <f>ROUND(VLOOKUP($A:$A,RAW!$A:$R,H$1,0)/1000,0)</f>
        <v>0</v>
      </c>
      <c r="I179" s="59">
        <f>ROUND(VLOOKUP($A:$A,RAW!$A:$R,I$1,0)/1000,0)</f>
        <v>0</v>
      </c>
      <c r="J179" s="59">
        <f>ROUND(VLOOKUP($A:$A,RAW!$A:$R,J$1,0)/1000,0)</f>
        <v>0</v>
      </c>
      <c r="K179" s="59">
        <f>ROUND(VLOOKUP($A:$A,RAW!$A:$R,K$1,0)/1000,0)</f>
        <v>0</v>
      </c>
      <c r="L179" s="59">
        <f>ROUND(VLOOKUP($A:$A,RAW!$A:$R,L$1,0)/1000,0)</f>
        <v>0</v>
      </c>
      <c r="M179" s="59"/>
    </row>
    <row r="180" spans="1:13" hidden="1" outlineLevel="1">
      <c r="B180" s="95" t="s">
        <v>63</v>
      </c>
      <c r="C180" s="87"/>
      <c r="D180" s="89">
        <f>IFERROR(D178-C178,"")</f>
        <v>0</v>
      </c>
      <c r="E180" s="89">
        <f t="shared" ref="E180:L180" si="89">IFERROR(E178-D178,"")</f>
        <v>0</v>
      </c>
      <c r="F180" s="89">
        <f t="shared" si="89"/>
        <v>0</v>
      </c>
      <c r="G180" s="89">
        <f t="shared" si="89"/>
        <v>0</v>
      </c>
      <c r="H180" s="89">
        <f t="shared" si="89"/>
        <v>0</v>
      </c>
      <c r="I180" s="89">
        <f t="shared" si="89"/>
        <v>0</v>
      </c>
      <c r="J180" s="89">
        <f t="shared" si="89"/>
        <v>0</v>
      </c>
      <c r="K180" s="89">
        <f t="shared" si="89"/>
        <v>0</v>
      </c>
      <c r="L180" s="89">
        <f t="shared" si="89"/>
        <v>0</v>
      </c>
      <c r="M180" s="89"/>
    </row>
    <row r="181" spans="1:13" hidden="1" outlineLevel="1">
      <c r="B181" s="95" t="s">
        <v>96</v>
      </c>
      <c r="C181" s="87"/>
      <c r="D181" s="89">
        <f>IFERROR(D179-C179,"")</f>
        <v>0</v>
      </c>
      <c r="E181" s="89">
        <f t="shared" ref="E181:L181" si="90">IFERROR(E179-D179,"")</f>
        <v>0</v>
      </c>
      <c r="F181" s="89">
        <f t="shared" si="90"/>
        <v>0</v>
      </c>
      <c r="G181" s="89">
        <f t="shared" si="90"/>
        <v>0</v>
      </c>
      <c r="H181" s="89">
        <f t="shared" si="90"/>
        <v>0</v>
      </c>
      <c r="I181" s="89">
        <f t="shared" si="90"/>
        <v>0</v>
      </c>
      <c r="J181" s="89">
        <f t="shared" si="90"/>
        <v>0</v>
      </c>
      <c r="K181" s="89">
        <f t="shared" si="90"/>
        <v>0</v>
      </c>
      <c r="L181" s="89">
        <f t="shared" si="90"/>
        <v>0</v>
      </c>
      <c r="M181" s="89"/>
    </row>
    <row r="182" spans="1:13" hidden="1" outlineLevel="1">
      <c r="B182" s="115" t="s">
        <v>97</v>
      </c>
      <c r="C182" s="87"/>
      <c r="D182" s="121">
        <f>IFERROR(D180+D183,"")</f>
        <v>0</v>
      </c>
      <c r="E182" s="121">
        <f t="shared" ref="E182:L182" si="91">IFERROR(E180+E183,"")</f>
        <v>0</v>
      </c>
      <c r="F182" s="121">
        <f t="shared" si="91"/>
        <v>0</v>
      </c>
      <c r="G182" s="121">
        <f t="shared" si="91"/>
        <v>0</v>
      </c>
      <c r="H182" s="121">
        <f t="shared" si="91"/>
        <v>0</v>
      </c>
      <c r="I182" s="121">
        <f t="shared" si="91"/>
        <v>0</v>
      </c>
      <c r="J182" s="121">
        <f t="shared" si="91"/>
        <v>0</v>
      </c>
      <c r="K182" s="121">
        <f t="shared" si="91"/>
        <v>0</v>
      </c>
      <c r="L182" s="121">
        <f t="shared" si="91"/>
        <v>0</v>
      </c>
      <c r="M182" s="121"/>
    </row>
    <row r="183" spans="1:13" hidden="1" outlineLevel="1">
      <c r="B183" s="118" t="s">
        <v>69</v>
      </c>
      <c r="C183" s="90"/>
      <c r="D183" s="90"/>
      <c r="E183" s="90"/>
      <c r="F183" s="90"/>
      <c r="G183" s="90"/>
      <c r="H183" s="90"/>
      <c r="I183" s="90"/>
      <c r="J183" s="90"/>
      <c r="K183" s="90"/>
      <c r="L183" s="90"/>
      <c r="M183" s="90"/>
    </row>
    <row r="184" spans="1:13" hidden="1" outlineLevel="1">
      <c r="B184" s="104"/>
      <c r="C184" s="122"/>
      <c r="D184" s="123" t="str">
        <f>IFERROR(D179/(D178+D179),"")</f>
        <v/>
      </c>
      <c r="E184" s="123" t="str">
        <f t="shared" ref="E184:L184" si="92">IFERROR(E179/(E178+E179),"")</f>
        <v/>
      </c>
      <c r="F184" s="123" t="str">
        <f t="shared" si="92"/>
        <v/>
      </c>
      <c r="G184" s="123" t="str">
        <f t="shared" si="92"/>
        <v/>
      </c>
      <c r="H184" s="123" t="str">
        <f t="shared" si="92"/>
        <v/>
      </c>
      <c r="I184" s="123" t="str">
        <f t="shared" si="92"/>
        <v/>
      </c>
      <c r="J184" s="123" t="str">
        <f t="shared" si="92"/>
        <v/>
      </c>
      <c r="K184" s="123" t="str">
        <f t="shared" si="92"/>
        <v/>
      </c>
      <c r="L184" s="123" t="str">
        <f t="shared" si="92"/>
        <v/>
      </c>
      <c r="M184" s="123"/>
    </row>
    <row r="185" spans="1:13" hidden="1" outlineLevel="1">
      <c r="A185" s="371">
        <v>113290</v>
      </c>
      <c r="B185" s="94" t="s">
        <v>113</v>
      </c>
      <c r="C185" s="59">
        <f>ROUND(VLOOKUP($A:$A,RAW!$A:$R,C$1,0)/1000,0)</f>
        <v>0</v>
      </c>
      <c r="D185" s="59">
        <f>ROUND(VLOOKUP($A:$A,RAW!$A:$R,D$1,0)/1000,0)</f>
        <v>0</v>
      </c>
      <c r="E185" s="59">
        <f>ROUND(VLOOKUP($A:$A,RAW!$A:$R,E$1,0)/1000,0)</f>
        <v>0</v>
      </c>
      <c r="F185" s="59">
        <f>ROUND(VLOOKUP($A:$A,RAW!$A:$R,F$1,0)/1000,0)</f>
        <v>0</v>
      </c>
      <c r="G185" s="59">
        <f>ROUND(VLOOKUP($A:$A,RAW!$A:$R,G$1,0)/1000,0)</f>
        <v>0</v>
      </c>
      <c r="H185" s="59">
        <f>ROUND(VLOOKUP($A:$A,RAW!$A:$R,H$1,0)/1000,0)</f>
        <v>0</v>
      </c>
      <c r="I185" s="59">
        <f>ROUND(VLOOKUP($A:$A,RAW!$A:$R,I$1,0)/1000,0)</f>
        <v>0</v>
      </c>
      <c r="J185" s="59">
        <f>ROUND(VLOOKUP($A:$A,RAW!$A:$R,J$1,0)/1000,0)</f>
        <v>0</v>
      </c>
      <c r="K185" s="59">
        <f>ROUND(VLOOKUP($A:$A,RAW!$A:$R,K$1,0)/1000,0)</f>
        <v>0</v>
      </c>
      <c r="L185" s="59">
        <f>ROUND(VLOOKUP($A:$A,RAW!$A:$R,L$1,0)/1000,0)</f>
        <v>0</v>
      </c>
      <c r="M185" s="59"/>
    </row>
    <row r="186" spans="1:13" hidden="1" outlineLevel="1">
      <c r="A186" s="371">
        <v>113291</v>
      </c>
      <c r="B186" s="94" t="s">
        <v>114</v>
      </c>
      <c r="C186" s="59">
        <f>ROUND(VLOOKUP($A:$A,RAW!$A:$R,C$1,0)/1000,0)</f>
        <v>0</v>
      </c>
      <c r="D186" s="59">
        <f>ROUND(VLOOKUP($A:$A,RAW!$A:$R,D$1,0)/1000,0)</f>
        <v>0</v>
      </c>
      <c r="E186" s="59">
        <f>ROUND(VLOOKUP($A:$A,RAW!$A:$R,E$1,0)/1000,0)</f>
        <v>0</v>
      </c>
      <c r="F186" s="59">
        <f>ROUND(VLOOKUP($A:$A,RAW!$A:$R,F$1,0)/1000,0)</f>
        <v>0</v>
      </c>
      <c r="G186" s="59">
        <f>ROUND(VLOOKUP($A:$A,RAW!$A:$R,G$1,0)/1000,0)</f>
        <v>0</v>
      </c>
      <c r="H186" s="59">
        <f>ROUND(VLOOKUP($A:$A,RAW!$A:$R,H$1,0)/1000,0)</f>
        <v>0</v>
      </c>
      <c r="I186" s="59">
        <f>ROUND(VLOOKUP($A:$A,RAW!$A:$R,I$1,0)/1000,0)</f>
        <v>0</v>
      </c>
      <c r="J186" s="59">
        <f>ROUND(VLOOKUP($A:$A,RAW!$A:$R,J$1,0)/1000,0)</f>
        <v>0</v>
      </c>
      <c r="K186" s="59">
        <f>ROUND(VLOOKUP($A:$A,RAW!$A:$R,K$1,0)/1000,0)</f>
        <v>0</v>
      </c>
      <c r="L186" s="59">
        <f>ROUND(VLOOKUP($A:$A,RAW!$A:$R,L$1,0)/1000,0)</f>
        <v>0</v>
      </c>
      <c r="M186" s="59"/>
    </row>
    <row r="187" spans="1:13" hidden="1" outlineLevel="1">
      <c r="B187" s="95" t="s">
        <v>63</v>
      </c>
      <c r="C187" s="87"/>
      <c r="D187" s="89">
        <f>IFERROR(D185-C185,"")</f>
        <v>0</v>
      </c>
      <c r="E187" s="89">
        <f t="shared" ref="E187:L187" si="93">IFERROR(E185-D185,"")</f>
        <v>0</v>
      </c>
      <c r="F187" s="89">
        <f t="shared" si="93"/>
        <v>0</v>
      </c>
      <c r="G187" s="89">
        <f t="shared" si="93"/>
        <v>0</v>
      </c>
      <c r="H187" s="89">
        <f t="shared" si="93"/>
        <v>0</v>
      </c>
      <c r="I187" s="89">
        <f t="shared" si="93"/>
        <v>0</v>
      </c>
      <c r="J187" s="89">
        <f t="shared" si="93"/>
        <v>0</v>
      </c>
      <c r="K187" s="89">
        <f t="shared" si="93"/>
        <v>0</v>
      </c>
      <c r="L187" s="89">
        <f t="shared" si="93"/>
        <v>0</v>
      </c>
      <c r="M187" s="89"/>
    </row>
    <row r="188" spans="1:13" hidden="1" outlineLevel="1">
      <c r="B188" s="95" t="s">
        <v>96</v>
      </c>
      <c r="C188" s="87"/>
      <c r="D188" s="89">
        <f>IFERROR(D186-C186,"")</f>
        <v>0</v>
      </c>
      <c r="E188" s="89">
        <f t="shared" ref="E188:L188" si="94">IFERROR(E186-D186,"")</f>
        <v>0</v>
      </c>
      <c r="F188" s="89">
        <f t="shared" si="94"/>
        <v>0</v>
      </c>
      <c r="G188" s="89">
        <f t="shared" si="94"/>
        <v>0</v>
      </c>
      <c r="H188" s="89">
        <f t="shared" si="94"/>
        <v>0</v>
      </c>
      <c r="I188" s="89">
        <f t="shared" si="94"/>
        <v>0</v>
      </c>
      <c r="J188" s="89">
        <f t="shared" si="94"/>
        <v>0</v>
      </c>
      <c r="K188" s="89">
        <f t="shared" si="94"/>
        <v>0</v>
      </c>
      <c r="L188" s="89">
        <f t="shared" si="94"/>
        <v>0</v>
      </c>
      <c r="M188" s="89"/>
    </row>
    <row r="189" spans="1:13" hidden="1" outlineLevel="1">
      <c r="B189" s="115" t="s">
        <v>97</v>
      </c>
      <c r="C189" s="87"/>
      <c r="D189" s="121">
        <f>IFERROR(D187+D190,"")</f>
        <v>0</v>
      </c>
      <c r="E189" s="121">
        <f t="shared" ref="E189:L189" si="95">IFERROR(E187+E190,"")</f>
        <v>0</v>
      </c>
      <c r="F189" s="121">
        <f t="shared" si="95"/>
        <v>0</v>
      </c>
      <c r="G189" s="121">
        <f t="shared" si="95"/>
        <v>0</v>
      </c>
      <c r="H189" s="121">
        <f t="shared" si="95"/>
        <v>0</v>
      </c>
      <c r="I189" s="121">
        <f t="shared" si="95"/>
        <v>0</v>
      </c>
      <c r="J189" s="121">
        <f t="shared" si="95"/>
        <v>0</v>
      </c>
      <c r="K189" s="121">
        <f t="shared" si="95"/>
        <v>0</v>
      </c>
      <c r="L189" s="121">
        <f t="shared" si="95"/>
        <v>0</v>
      </c>
      <c r="M189" s="121"/>
    </row>
    <row r="190" spans="1:13" hidden="1" outlineLevel="1">
      <c r="B190" s="118" t="s">
        <v>69</v>
      </c>
      <c r="C190" s="90"/>
      <c r="D190" s="90"/>
      <c r="E190" s="90"/>
      <c r="F190" s="90"/>
      <c r="G190" s="90"/>
      <c r="H190" s="90"/>
      <c r="I190" s="90"/>
      <c r="J190" s="90"/>
      <c r="K190" s="90"/>
      <c r="L190" s="90"/>
      <c r="M190" s="90"/>
    </row>
    <row r="191" spans="1:13" hidden="1" outlineLevel="1">
      <c r="B191" s="104"/>
      <c r="C191" s="122"/>
      <c r="D191" s="123" t="str">
        <f>IFERROR(D186/(D185+D186),"")</f>
        <v/>
      </c>
      <c r="E191" s="123" t="str">
        <f t="shared" ref="E191:L191" si="96">IFERROR(E186/(E185+E186),"")</f>
        <v/>
      </c>
      <c r="F191" s="123" t="str">
        <f t="shared" si="96"/>
        <v/>
      </c>
      <c r="G191" s="123" t="str">
        <f t="shared" si="96"/>
        <v/>
      </c>
      <c r="H191" s="123" t="str">
        <f t="shared" si="96"/>
        <v/>
      </c>
      <c r="I191" s="123" t="str">
        <f t="shared" si="96"/>
        <v/>
      </c>
      <c r="J191" s="123" t="str">
        <f t="shared" si="96"/>
        <v/>
      </c>
      <c r="K191" s="123" t="str">
        <f t="shared" si="96"/>
        <v/>
      </c>
      <c r="L191" s="123" t="str">
        <f t="shared" si="96"/>
        <v/>
      </c>
      <c r="M191" s="123"/>
    </row>
    <row r="192" spans="1:13" hidden="1" outlineLevel="1">
      <c r="A192" s="371">
        <v>113295</v>
      </c>
      <c r="B192" s="94" t="s">
        <v>115</v>
      </c>
      <c r="C192" s="59">
        <f>ROUND(VLOOKUP($A:$A,RAW!$A:$R,C$1,0)/1000,0)</f>
        <v>0</v>
      </c>
      <c r="D192" s="59">
        <f>ROUND(VLOOKUP($A:$A,RAW!$A:$R,D$1,0)/1000,0)</f>
        <v>0</v>
      </c>
      <c r="E192" s="59">
        <f>ROUND(VLOOKUP($A:$A,RAW!$A:$R,E$1,0)/1000,0)</f>
        <v>0</v>
      </c>
      <c r="F192" s="59">
        <f>ROUND(VLOOKUP($A:$A,RAW!$A:$R,F$1,0)/1000,0)</f>
        <v>0</v>
      </c>
      <c r="G192" s="59">
        <f>ROUND(VLOOKUP($A:$A,RAW!$A:$R,G$1,0)/1000,0)</f>
        <v>0</v>
      </c>
      <c r="H192" s="59">
        <f>ROUND(VLOOKUP($A:$A,RAW!$A:$R,H$1,0)/1000,0)</f>
        <v>0</v>
      </c>
      <c r="I192" s="59">
        <f>ROUND(VLOOKUP($A:$A,RAW!$A:$R,I$1,0)/1000,0)</f>
        <v>0</v>
      </c>
      <c r="J192" s="59">
        <f>ROUND(VLOOKUP($A:$A,RAW!$A:$R,J$1,0)/1000,0)</f>
        <v>0</v>
      </c>
      <c r="K192" s="59">
        <f>ROUND(VLOOKUP($A:$A,RAW!$A:$R,K$1,0)/1000,0)</f>
        <v>0</v>
      </c>
      <c r="L192" s="59">
        <f>ROUND(VLOOKUP($A:$A,RAW!$A:$R,L$1,0)/1000,0)</f>
        <v>0</v>
      </c>
      <c r="M192" s="59"/>
    </row>
    <row r="193" spans="1:13" hidden="1" outlineLevel="1">
      <c r="A193" s="371">
        <v>113340</v>
      </c>
      <c r="B193" s="94" t="s">
        <v>116</v>
      </c>
      <c r="C193" s="59">
        <f>ROUND(VLOOKUP($A:$A,RAW!$A:$R,C$1,0)/1000,0)</f>
        <v>0</v>
      </c>
      <c r="D193" s="59">
        <f>ROUND(VLOOKUP($A:$A,RAW!$A:$R,D$1,0)/1000,0)</f>
        <v>0</v>
      </c>
      <c r="E193" s="59">
        <f>ROUND(VLOOKUP($A:$A,RAW!$A:$R,E$1,0)/1000,0)</f>
        <v>0</v>
      </c>
      <c r="F193" s="59">
        <f>ROUND(VLOOKUP($A:$A,RAW!$A:$R,F$1,0)/1000,0)</f>
        <v>0</v>
      </c>
      <c r="G193" s="59">
        <f>ROUND(VLOOKUP($A:$A,RAW!$A:$R,G$1,0)/1000,0)</f>
        <v>0</v>
      </c>
      <c r="H193" s="59">
        <f>ROUND(VLOOKUP($A:$A,RAW!$A:$R,H$1,0)/1000,0)</f>
        <v>0</v>
      </c>
      <c r="I193" s="59">
        <f>ROUND(VLOOKUP($A:$A,RAW!$A:$R,I$1,0)/1000,0)</f>
        <v>0</v>
      </c>
      <c r="J193" s="59">
        <f>ROUND(VLOOKUP($A:$A,RAW!$A:$R,J$1,0)/1000,0)</f>
        <v>0</v>
      </c>
      <c r="K193" s="59">
        <f>ROUND(VLOOKUP($A:$A,RAW!$A:$R,K$1,0)/1000,0)</f>
        <v>0</v>
      </c>
      <c r="L193" s="59">
        <f>ROUND(VLOOKUP($A:$A,RAW!$A:$R,L$1,0)/1000,0)</f>
        <v>0</v>
      </c>
      <c r="M193" s="59"/>
    </row>
    <row r="194" spans="1:13" hidden="1" outlineLevel="1">
      <c r="B194" s="95" t="s">
        <v>63</v>
      </c>
      <c r="C194" s="87"/>
      <c r="D194" s="89">
        <f>IFERROR(D192-C192,"")</f>
        <v>0</v>
      </c>
      <c r="E194" s="89">
        <f t="shared" ref="E194:L194" si="97">IFERROR(E192-D192,"")</f>
        <v>0</v>
      </c>
      <c r="F194" s="89">
        <f t="shared" si="97"/>
        <v>0</v>
      </c>
      <c r="G194" s="89">
        <f t="shared" si="97"/>
        <v>0</v>
      </c>
      <c r="H194" s="89">
        <f t="shared" si="97"/>
        <v>0</v>
      </c>
      <c r="I194" s="89">
        <f t="shared" si="97"/>
        <v>0</v>
      </c>
      <c r="J194" s="89">
        <f t="shared" si="97"/>
        <v>0</v>
      </c>
      <c r="K194" s="89">
        <f t="shared" si="97"/>
        <v>0</v>
      </c>
      <c r="L194" s="89">
        <f t="shared" si="97"/>
        <v>0</v>
      </c>
      <c r="M194" s="89"/>
    </row>
    <row r="195" spans="1:13" hidden="1" outlineLevel="1">
      <c r="B195" s="95" t="s">
        <v>96</v>
      </c>
      <c r="C195" s="87"/>
      <c r="D195" s="89">
        <f>IFERROR(D193-C193,"")</f>
        <v>0</v>
      </c>
      <c r="E195" s="89">
        <f t="shared" ref="E195:L195" si="98">IFERROR(E193-D193,"")</f>
        <v>0</v>
      </c>
      <c r="F195" s="89">
        <f t="shared" si="98"/>
        <v>0</v>
      </c>
      <c r="G195" s="89">
        <f t="shared" si="98"/>
        <v>0</v>
      </c>
      <c r="H195" s="89">
        <f t="shared" si="98"/>
        <v>0</v>
      </c>
      <c r="I195" s="89">
        <f t="shared" si="98"/>
        <v>0</v>
      </c>
      <c r="J195" s="89">
        <f t="shared" si="98"/>
        <v>0</v>
      </c>
      <c r="K195" s="89">
        <f t="shared" si="98"/>
        <v>0</v>
      </c>
      <c r="L195" s="89">
        <f t="shared" si="98"/>
        <v>0</v>
      </c>
      <c r="M195" s="89"/>
    </row>
    <row r="196" spans="1:13" hidden="1" outlineLevel="1">
      <c r="B196" s="115" t="s">
        <v>97</v>
      </c>
      <c r="C196" s="87"/>
      <c r="D196" s="121">
        <f>IFERROR(D194+D197,"")</f>
        <v>0</v>
      </c>
      <c r="E196" s="121">
        <f t="shared" ref="E196:L196" si="99">IFERROR(E194+E197,"")</f>
        <v>0</v>
      </c>
      <c r="F196" s="121">
        <f t="shared" si="99"/>
        <v>0</v>
      </c>
      <c r="G196" s="121">
        <f t="shared" si="99"/>
        <v>0</v>
      </c>
      <c r="H196" s="121">
        <f t="shared" si="99"/>
        <v>0</v>
      </c>
      <c r="I196" s="121">
        <f t="shared" si="99"/>
        <v>0</v>
      </c>
      <c r="J196" s="121">
        <f t="shared" si="99"/>
        <v>0</v>
      </c>
      <c r="K196" s="121">
        <f t="shared" si="99"/>
        <v>0</v>
      </c>
      <c r="L196" s="121">
        <f t="shared" si="99"/>
        <v>0</v>
      </c>
      <c r="M196" s="121"/>
    </row>
    <row r="197" spans="1:13" hidden="1" outlineLevel="1">
      <c r="B197" s="118" t="s">
        <v>69</v>
      </c>
      <c r="C197" s="90"/>
      <c r="D197" s="90"/>
      <c r="E197" s="90"/>
      <c r="F197" s="90"/>
      <c r="G197" s="90"/>
      <c r="H197" s="90"/>
      <c r="I197" s="90"/>
      <c r="J197" s="90"/>
      <c r="K197" s="90"/>
      <c r="L197" s="90"/>
      <c r="M197" s="90"/>
    </row>
    <row r="198" spans="1:13" hidden="1" outlineLevel="1">
      <c r="B198" s="104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</row>
    <row r="199" spans="1:13" hidden="1" outlineLevel="1">
      <c r="A199" s="371">
        <v>113296</v>
      </c>
      <c r="B199" s="94" t="s">
        <v>117</v>
      </c>
      <c r="C199" s="59">
        <f>ROUND(VLOOKUP($A:$A,RAW!$A:$R,C$1,0)/1000,0)</f>
        <v>0</v>
      </c>
      <c r="D199" s="59">
        <f>ROUND(VLOOKUP($A:$A,RAW!$A:$R,D$1,0)/1000,0)</f>
        <v>0</v>
      </c>
      <c r="E199" s="59">
        <f>ROUND(VLOOKUP($A:$A,RAW!$A:$R,E$1,0)/1000,0)</f>
        <v>0</v>
      </c>
      <c r="F199" s="59">
        <f>ROUND(VLOOKUP($A:$A,RAW!$A:$R,F$1,0)/1000,0)</f>
        <v>0</v>
      </c>
      <c r="G199" s="59">
        <f>ROUND(VLOOKUP($A:$A,RAW!$A:$R,G$1,0)/1000,0)</f>
        <v>0</v>
      </c>
      <c r="H199" s="59">
        <f>ROUND(VLOOKUP($A:$A,RAW!$A:$R,H$1,0)/1000,0)</f>
        <v>0</v>
      </c>
      <c r="I199" s="59">
        <f>ROUND(VLOOKUP($A:$A,RAW!$A:$R,I$1,0)/1000,0)</f>
        <v>0</v>
      </c>
      <c r="J199" s="59">
        <f>ROUND(VLOOKUP($A:$A,RAW!$A:$R,J$1,0)/1000,0)</f>
        <v>0</v>
      </c>
      <c r="K199" s="59">
        <f>ROUND(VLOOKUP($A:$A,RAW!$A:$R,K$1,0)/1000,0)</f>
        <v>0</v>
      </c>
      <c r="L199" s="59">
        <f>ROUND(VLOOKUP($A:$A,RAW!$A:$R,L$1,0)/1000,0)</f>
        <v>0</v>
      </c>
      <c r="M199" s="59"/>
    </row>
    <row r="200" spans="1:13" hidden="1" outlineLevel="1">
      <c r="A200" s="371">
        <v>113343</v>
      </c>
      <c r="B200" s="94" t="s">
        <v>118</v>
      </c>
      <c r="C200" s="59">
        <f>ROUND(VLOOKUP($A:$A,RAW!$A:$R,C$1,0)/1000,0)</f>
        <v>0</v>
      </c>
      <c r="D200" s="59">
        <f>ROUND(VLOOKUP($A:$A,RAW!$A:$R,D$1,0)/1000,0)</f>
        <v>0</v>
      </c>
      <c r="E200" s="59">
        <f>ROUND(VLOOKUP($A:$A,RAW!$A:$R,E$1,0)/1000,0)</f>
        <v>0</v>
      </c>
      <c r="F200" s="59">
        <f>ROUND(VLOOKUP($A:$A,RAW!$A:$R,F$1,0)/1000,0)</f>
        <v>0</v>
      </c>
      <c r="G200" s="59">
        <f>ROUND(VLOOKUP($A:$A,RAW!$A:$R,G$1,0)/1000,0)</f>
        <v>0</v>
      </c>
      <c r="H200" s="59">
        <f>ROUND(VLOOKUP($A:$A,RAW!$A:$R,H$1,0)/1000,0)</f>
        <v>0</v>
      </c>
      <c r="I200" s="59">
        <f>ROUND(VLOOKUP($A:$A,RAW!$A:$R,I$1,0)/1000,0)</f>
        <v>0</v>
      </c>
      <c r="J200" s="59">
        <f>ROUND(VLOOKUP($A:$A,RAW!$A:$R,J$1,0)/1000,0)</f>
        <v>0</v>
      </c>
      <c r="K200" s="59">
        <f>ROUND(VLOOKUP($A:$A,RAW!$A:$R,K$1,0)/1000,0)</f>
        <v>0</v>
      </c>
      <c r="L200" s="59">
        <f>ROUND(VLOOKUP($A:$A,RAW!$A:$R,L$1,0)/1000,0)</f>
        <v>0</v>
      </c>
      <c r="M200" s="59"/>
    </row>
    <row r="201" spans="1:13" hidden="1" outlineLevel="1">
      <c r="B201" s="95" t="s">
        <v>63</v>
      </c>
      <c r="C201" s="87"/>
      <c r="D201" s="89">
        <f>IFERROR(D199-C199,"")</f>
        <v>0</v>
      </c>
      <c r="E201" s="89">
        <f t="shared" ref="E201:L201" si="100">IFERROR(E199-D199,"")</f>
        <v>0</v>
      </c>
      <c r="F201" s="89">
        <f t="shared" si="100"/>
        <v>0</v>
      </c>
      <c r="G201" s="89">
        <f t="shared" si="100"/>
        <v>0</v>
      </c>
      <c r="H201" s="89">
        <f t="shared" si="100"/>
        <v>0</v>
      </c>
      <c r="I201" s="89">
        <f t="shared" si="100"/>
        <v>0</v>
      </c>
      <c r="J201" s="89">
        <f t="shared" si="100"/>
        <v>0</v>
      </c>
      <c r="K201" s="89">
        <f t="shared" si="100"/>
        <v>0</v>
      </c>
      <c r="L201" s="89">
        <f t="shared" si="100"/>
        <v>0</v>
      </c>
      <c r="M201" s="89"/>
    </row>
    <row r="202" spans="1:13" hidden="1" outlineLevel="1">
      <c r="B202" s="95" t="s">
        <v>96</v>
      </c>
      <c r="C202" s="87"/>
      <c r="D202" s="89">
        <f>IFERROR(D200-C200,"")</f>
        <v>0</v>
      </c>
      <c r="E202" s="89">
        <f t="shared" ref="E202:L202" si="101">IFERROR(E200-D200,"")</f>
        <v>0</v>
      </c>
      <c r="F202" s="89">
        <f t="shared" si="101"/>
        <v>0</v>
      </c>
      <c r="G202" s="89">
        <f t="shared" si="101"/>
        <v>0</v>
      </c>
      <c r="H202" s="89">
        <f t="shared" si="101"/>
        <v>0</v>
      </c>
      <c r="I202" s="89">
        <f t="shared" si="101"/>
        <v>0</v>
      </c>
      <c r="J202" s="89">
        <f t="shared" si="101"/>
        <v>0</v>
      </c>
      <c r="K202" s="89">
        <f t="shared" si="101"/>
        <v>0</v>
      </c>
      <c r="L202" s="89">
        <f t="shared" si="101"/>
        <v>0</v>
      </c>
      <c r="M202" s="89"/>
    </row>
    <row r="203" spans="1:13" hidden="1" outlineLevel="1">
      <c r="B203" s="115" t="s">
        <v>97</v>
      </c>
      <c r="C203" s="87"/>
      <c r="D203" s="121">
        <f>IFERROR(D201+D204,"")</f>
        <v>0</v>
      </c>
      <c r="E203" s="121">
        <f t="shared" ref="E203:L203" si="102">IFERROR(E201+E204,"")</f>
        <v>0</v>
      </c>
      <c r="F203" s="121">
        <f t="shared" si="102"/>
        <v>0</v>
      </c>
      <c r="G203" s="121">
        <f t="shared" si="102"/>
        <v>0</v>
      </c>
      <c r="H203" s="121">
        <f t="shared" si="102"/>
        <v>0</v>
      </c>
      <c r="I203" s="121">
        <f t="shared" si="102"/>
        <v>0</v>
      </c>
      <c r="J203" s="121">
        <f t="shared" si="102"/>
        <v>0</v>
      </c>
      <c r="K203" s="121">
        <f t="shared" si="102"/>
        <v>0</v>
      </c>
      <c r="L203" s="121">
        <f t="shared" si="102"/>
        <v>0</v>
      </c>
      <c r="M203" s="121"/>
    </row>
    <row r="204" spans="1:13" hidden="1" outlineLevel="1">
      <c r="B204" s="118" t="s">
        <v>69</v>
      </c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</row>
    <row r="205" spans="1:13" hidden="1" outlineLevel="1">
      <c r="B205" s="104"/>
      <c r="C205" s="122"/>
      <c r="D205" s="123" t="str">
        <f>IFERROR(D200/(D199+D200),"")</f>
        <v/>
      </c>
      <c r="E205" s="123" t="str">
        <f t="shared" ref="E205:L205" si="103">IFERROR(E200/(E199+E200),"")</f>
        <v/>
      </c>
      <c r="F205" s="123" t="str">
        <f t="shared" si="103"/>
        <v/>
      </c>
      <c r="G205" s="123" t="str">
        <f t="shared" si="103"/>
        <v/>
      </c>
      <c r="H205" s="123" t="str">
        <f t="shared" si="103"/>
        <v/>
      </c>
      <c r="I205" s="123" t="str">
        <f t="shared" si="103"/>
        <v/>
      </c>
      <c r="J205" s="123" t="str">
        <f t="shared" si="103"/>
        <v/>
      </c>
      <c r="K205" s="123" t="str">
        <f t="shared" si="103"/>
        <v/>
      </c>
      <c r="L205" s="123" t="str">
        <f t="shared" si="103"/>
        <v/>
      </c>
      <c r="M205" s="123"/>
    </row>
    <row r="206" spans="1:13" hidden="1" outlineLevel="1">
      <c r="A206" s="371">
        <v>113297</v>
      </c>
      <c r="B206" s="94" t="s">
        <v>119</v>
      </c>
      <c r="C206" s="59">
        <f>ROUND(VLOOKUP($A:$A,RAW!$A:$R,C$1,0)/1000,0)</f>
        <v>0</v>
      </c>
      <c r="D206" s="59">
        <f>ROUND(VLOOKUP($A:$A,RAW!$A:$R,D$1,0)/1000,0)</f>
        <v>0</v>
      </c>
      <c r="E206" s="59">
        <f>ROUND(VLOOKUP($A:$A,RAW!$A:$R,E$1,0)/1000,0)</f>
        <v>0</v>
      </c>
      <c r="F206" s="59">
        <f>ROUND(VLOOKUP($A:$A,RAW!$A:$R,F$1,0)/1000,0)</f>
        <v>0</v>
      </c>
      <c r="G206" s="59">
        <f>ROUND(VLOOKUP($A:$A,RAW!$A:$R,G$1,0)/1000,0)</f>
        <v>0</v>
      </c>
      <c r="H206" s="59">
        <f>ROUND(VLOOKUP($A:$A,RAW!$A:$R,H$1,0)/1000,0)</f>
        <v>0</v>
      </c>
      <c r="I206" s="59">
        <f>ROUND(VLOOKUP($A:$A,RAW!$A:$R,I$1,0)/1000,0)</f>
        <v>0</v>
      </c>
      <c r="J206" s="59">
        <f>ROUND(VLOOKUP($A:$A,RAW!$A:$R,J$1,0)/1000,0)</f>
        <v>0</v>
      </c>
      <c r="K206" s="59">
        <f>ROUND(VLOOKUP($A:$A,RAW!$A:$R,K$1,0)/1000,0)</f>
        <v>0</v>
      </c>
      <c r="L206" s="59">
        <f>ROUND(VLOOKUP($A:$A,RAW!$A:$R,L$1,0)/1000,0)</f>
        <v>0</v>
      </c>
      <c r="M206" s="59"/>
    </row>
    <row r="207" spans="1:13" hidden="1" outlineLevel="1">
      <c r="A207" s="371">
        <v>113346</v>
      </c>
      <c r="B207" s="94" t="s">
        <v>120</v>
      </c>
      <c r="C207" s="59">
        <f>ROUND(VLOOKUP($A:$A,RAW!$A:$R,C$1,0)/1000,0)</f>
        <v>0</v>
      </c>
      <c r="D207" s="59">
        <f>ROUND(VLOOKUP($A:$A,RAW!$A:$R,D$1,0)/1000,0)</f>
        <v>0</v>
      </c>
      <c r="E207" s="59">
        <f>ROUND(VLOOKUP($A:$A,RAW!$A:$R,E$1,0)/1000,0)</f>
        <v>0</v>
      </c>
      <c r="F207" s="59">
        <f>ROUND(VLOOKUP($A:$A,RAW!$A:$R,F$1,0)/1000,0)</f>
        <v>0</v>
      </c>
      <c r="G207" s="59">
        <f>ROUND(VLOOKUP($A:$A,RAW!$A:$R,G$1,0)/1000,0)</f>
        <v>0</v>
      </c>
      <c r="H207" s="59">
        <f>ROUND(VLOOKUP($A:$A,RAW!$A:$R,H$1,0)/1000,0)</f>
        <v>0</v>
      </c>
      <c r="I207" s="59">
        <f>ROUND(VLOOKUP($A:$A,RAW!$A:$R,I$1,0)/1000,0)</f>
        <v>0</v>
      </c>
      <c r="J207" s="59">
        <f>ROUND(VLOOKUP($A:$A,RAW!$A:$R,J$1,0)/1000,0)</f>
        <v>0</v>
      </c>
      <c r="K207" s="59">
        <f>ROUND(VLOOKUP($A:$A,RAW!$A:$R,K$1,0)/1000,0)</f>
        <v>0</v>
      </c>
      <c r="L207" s="59">
        <f>ROUND(VLOOKUP($A:$A,RAW!$A:$R,L$1,0)/1000,0)</f>
        <v>0</v>
      </c>
      <c r="M207" s="59"/>
    </row>
    <row r="208" spans="1:13" hidden="1" outlineLevel="1">
      <c r="B208" s="95" t="s">
        <v>63</v>
      </c>
      <c r="C208" s="87"/>
      <c r="D208" s="89">
        <f>IFERROR(D206-C206,"")</f>
        <v>0</v>
      </c>
      <c r="E208" s="89">
        <f t="shared" ref="E208:L208" si="104">IFERROR(E206-D206,"")</f>
        <v>0</v>
      </c>
      <c r="F208" s="89">
        <f t="shared" si="104"/>
        <v>0</v>
      </c>
      <c r="G208" s="89">
        <f t="shared" si="104"/>
        <v>0</v>
      </c>
      <c r="H208" s="89">
        <f t="shared" si="104"/>
        <v>0</v>
      </c>
      <c r="I208" s="89">
        <f t="shared" si="104"/>
        <v>0</v>
      </c>
      <c r="J208" s="89">
        <f t="shared" si="104"/>
        <v>0</v>
      </c>
      <c r="K208" s="89">
        <f t="shared" si="104"/>
        <v>0</v>
      </c>
      <c r="L208" s="89">
        <f t="shared" si="104"/>
        <v>0</v>
      </c>
      <c r="M208" s="89"/>
    </row>
    <row r="209" spans="1:13" hidden="1" outlineLevel="1">
      <c r="B209" s="95" t="s">
        <v>96</v>
      </c>
      <c r="C209" s="87"/>
      <c r="D209" s="89">
        <f>IFERROR(D207-C207,"")</f>
        <v>0</v>
      </c>
      <c r="E209" s="89">
        <f t="shared" ref="E209:L209" si="105">IFERROR(E207-D207,"")</f>
        <v>0</v>
      </c>
      <c r="F209" s="89">
        <f t="shared" si="105"/>
        <v>0</v>
      </c>
      <c r="G209" s="89">
        <f t="shared" si="105"/>
        <v>0</v>
      </c>
      <c r="H209" s="89">
        <f t="shared" si="105"/>
        <v>0</v>
      </c>
      <c r="I209" s="89">
        <f t="shared" si="105"/>
        <v>0</v>
      </c>
      <c r="J209" s="89">
        <f t="shared" si="105"/>
        <v>0</v>
      </c>
      <c r="K209" s="89">
        <f t="shared" si="105"/>
        <v>0</v>
      </c>
      <c r="L209" s="89">
        <f t="shared" si="105"/>
        <v>0</v>
      </c>
      <c r="M209" s="89"/>
    </row>
    <row r="210" spans="1:13" hidden="1" outlineLevel="1">
      <c r="B210" s="115" t="s">
        <v>97</v>
      </c>
      <c r="C210" s="87"/>
      <c r="D210" s="121">
        <f>IFERROR(D208+D211,"")</f>
        <v>0</v>
      </c>
      <c r="E210" s="121">
        <f t="shared" ref="E210:L210" si="106">IFERROR(E208+E211,"")</f>
        <v>0</v>
      </c>
      <c r="F210" s="121">
        <f t="shared" si="106"/>
        <v>0</v>
      </c>
      <c r="G210" s="121">
        <f t="shared" si="106"/>
        <v>0</v>
      </c>
      <c r="H210" s="121">
        <f t="shared" si="106"/>
        <v>0</v>
      </c>
      <c r="I210" s="121">
        <f t="shared" si="106"/>
        <v>0</v>
      </c>
      <c r="J210" s="121">
        <f t="shared" si="106"/>
        <v>0</v>
      </c>
      <c r="K210" s="121">
        <f t="shared" si="106"/>
        <v>0</v>
      </c>
      <c r="L210" s="121">
        <f t="shared" si="106"/>
        <v>0</v>
      </c>
      <c r="M210" s="121"/>
    </row>
    <row r="211" spans="1:13" hidden="1" outlineLevel="1">
      <c r="B211" s="118" t="s">
        <v>69</v>
      </c>
      <c r="C211" s="90"/>
      <c r="D211" s="90"/>
      <c r="E211" s="90"/>
      <c r="F211" s="90"/>
      <c r="G211" s="90"/>
      <c r="H211" s="90"/>
      <c r="I211" s="90"/>
      <c r="J211" s="90"/>
      <c r="K211" s="90"/>
      <c r="L211" s="90"/>
      <c r="M211" s="90"/>
    </row>
    <row r="212" spans="1:13" hidden="1" outlineLevel="1">
      <c r="B212" s="104"/>
      <c r="C212" s="122"/>
      <c r="D212" s="123" t="str">
        <f>IFERROR(D207/(D206+D207),"")</f>
        <v/>
      </c>
      <c r="E212" s="123" t="str">
        <f t="shared" ref="E212:L212" si="107">IFERROR(E207/(E206+E207),"")</f>
        <v/>
      </c>
      <c r="F212" s="123" t="str">
        <f t="shared" si="107"/>
        <v/>
      </c>
      <c r="G212" s="123" t="str">
        <f t="shared" si="107"/>
        <v/>
      </c>
      <c r="H212" s="123" t="str">
        <f t="shared" si="107"/>
        <v/>
      </c>
      <c r="I212" s="123" t="str">
        <f t="shared" si="107"/>
        <v/>
      </c>
      <c r="J212" s="123" t="str">
        <f t="shared" si="107"/>
        <v/>
      </c>
      <c r="K212" s="123" t="str">
        <f t="shared" si="107"/>
        <v/>
      </c>
      <c r="L212" s="123" t="str">
        <f t="shared" si="107"/>
        <v/>
      </c>
      <c r="M212" s="123"/>
    </row>
    <row r="213" spans="1:13" hidden="1" outlineLevel="1">
      <c r="A213" s="371">
        <v>113300</v>
      </c>
      <c r="B213" s="94" t="s">
        <v>121</v>
      </c>
      <c r="C213" s="59">
        <f>ROUND(VLOOKUP($A:$A,RAW!$A:$R,C$1,0)/1000,0)</f>
        <v>0</v>
      </c>
      <c r="D213" s="59">
        <f>ROUND(VLOOKUP($A:$A,RAW!$A:$R,D$1,0)/1000,0)</f>
        <v>0</v>
      </c>
      <c r="E213" s="59">
        <f>ROUND(VLOOKUP($A:$A,RAW!$A:$R,E$1,0)/1000,0)</f>
        <v>0</v>
      </c>
      <c r="F213" s="59">
        <f>ROUND(VLOOKUP($A:$A,RAW!$A:$R,F$1,0)/1000,0)</f>
        <v>0</v>
      </c>
      <c r="G213" s="59">
        <f>ROUND(VLOOKUP($A:$A,RAW!$A:$R,G$1,0)/1000,0)</f>
        <v>0</v>
      </c>
      <c r="H213" s="59">
        <f>ROUND(VLOOKUP($A:$A,RAW!$A:$R,H$1,0)/1000,0)</f>
        <v>0</v>
      </c>
      <c r="I213" s="59">
        <f>ROUND(VLOOKUP($A:$A,RAW!$A:$R,I$1,0)/1000,0)</f>
        <v>0</v>
      </c>
      <c r="J213" s="59">
        <f>ROUND(VLOOKUP($A:$A,RAW!$A:$R,J$1,0)/1000,0)</f>
        <v>0</v>
      </c>
      <c r="K213" s="59">
        <f>ROUND(VLOOKUP($A:$A,RAW!$A:$R,K$1,0)/1000,0)</f>
        <v>0</v>
      </c>
      <c r="L213" s="59">
        <f>ROUND(VLOOKUP($A:$A,RAW!$A:$R,L$1,0)/1000,0)</f>
        <v>0</v>
      </c>
      <c r="M213" s="59"/>
    </row>
    <row r="214" spans="1:13" hidden="1" outlineLevel="1">
      <c r="A214" s="371">
        <v>113349</v>
      </c>
      <c r="B214" s="94" t="s">
        <v>122</v>
      </c>
      <c r="C214" s="59">
        <f>ROUND(VLOOKUP($A:$A,RAW!$A:$R,C$1,0)/1000,0)</f>
        <v>0</v>
      </c>
      <c r="D214" s="59">
        <f>ROUND(VLOOKUP($A:$A,RAW!$A:$R,D$1,0)/1000,0)</f>
        <v>0</v>
      </c>
      <c r="E214" s="59">
        <f>ROUND(VLOOKUP($A:$A,RAW!$A:$R,E$1,0)/1000,0)</f>
        <v>0</v>
      </c>
      <c r="F214" s="59">
        <f>ROUND(VLOOKUP($A:$A,RAW!$A:$R,F$1,0)/1000,0)</f>
        <v>0</v>
      </c>
      <c r="G214" s="59">
        <f>ROUND(VLOOKUP($A:$A,RAW!$A:$R,G$1,0)/1000,0)</f>
        <v>0</v>
      </c>
      <c r="H214" s="59">
        <f>ROUND(VLOOKUP($A:$A,RAW!$A:$R,H$1,0)/1000,0)</f>
        <v>0</v>
      </c>
      <c r="I214" s="59">
        <f>ROUND(VLOOKUP($A:$A,RAW!$A:$R,I$1,0)/1000,0)</f>
        <v>0</v>
      </c>
      <c r="J214" s="59">
        <f>ROUND(VLOOKUP($A:$A,RAW!$A:$R,J$1,0)/1000,0)</f>
        <v>0</v>
      </c>
      <c r="K214" s="59">
        <f>ROUND(VLOOKUP($A:$A,RAW!$A:$R,K$1,0)/1000,0)</f>
        <v>0</v>
      </c>
      <c r="L214" s="59">
        <f>ROUND(VLOOKUP($A:$A,RAW!$A:$R,L$1,0)/1000,0)</f>
        <v>0</v>
      </c>
      <c r="M214" s="59"/>
    </row>
    <row r="215" spans="1:13" hidden="1" outlineLevel="1">
      <c r="B215" s="95" t="s">
        <v>63</v>
      </c>
      <c r="C215" s="87"/>
      <c r="D215" s="89">
        <f>IFERROR(D213-C213,"")</f>
        <v>0</v>
      </c>
      <c r="E215" s="89">
        <f t="shared" ref="E215:L215" si="108">IFERROR(E213-D213,"")</f>
        <v>0</v>
      </c>
      <c r="F215" s="89">
        <f t="shared" si="108"/>
        <v>0</v>
      </c>
      <c r="G215" s="89">
        <f t="shared" si="108"/>
        <v>0</v>
      </c>
      <c r="H215" s="89">
        <f t="shared" si="108"/>
        <v>0</v>
      </c>
      <c r="I215" s="89">
        <f t="shared" si="108"/>
        <v>0</v>
      </c>
      <c r="J215" s="89">
        <f t="shared" si="108"/>
        <v>0</v>
      </c>
      <c r="K215" s="89">
        <f t="shared" si="108"/>
        <v>0</v>
      </c>
      <c r="L215" s="89">
        <f t="shared" si="108"/>
        <v>0</v>
      </c>
      <c r="M215" s="89"/>
    </row>
    <row r="216" spans="1:13" hidden="1" outlineLevel="1">
      <c r="B216" s="95" t="s">
        <v>96</v>
      </c>
      <c r="C216" s="87"/>
      <c r="D216" s="89">
        <f>IFERROR(D214-C214,"")</f>
        <v>0</v>
      </c>
      <c r="E216" s="89">
        <f t="shared" ref="E216:L216" si="109">IFERROR(E214-D214,"")</f>
        <v>0</v>
      </c>
      <c r="F216" s="89">
        <f t="shared" si="109"/>
        <v>0</v>
      </c>
      <c r="G216" s="89">
        <f t="shared" si="109"/>
        <v>0</v>
      </c>
      <c r="H216" s="89">
        <f t="shared" si="109"/>
        <v>0</v>
      </c>
      <c r="I216" s="89">
        <f t="shared" si="109"/>
        <v>0</v>
      </c>
      <c r="J216" s="89">
        <f t="shared" si="109"/>
        <v>0</v>
      </c>
      <c r="K216" s="89">
        <f t="shared" si="109"/>
        <v>0</v>
      </c>
      <c r="L216" s="89">
        <f t="shared" si="109"/>
        <v>0</v>
      </c>
      <c r="M216" s="89"/>
    </row>
    <row r="217" spans="1:13" hidden="1" outlineLevel="1">
      <c r="B217" s="115" t="s">
        <v>97</v>
      </c>
      <c r="C217" s="87"/>
      <c r="D217" s="121">
        <f>IFERROR(D215+D218,"")</f>
        <v>0</v>
      </c>
      <c r="E217" s="121">
        <f t="shared" ref="E217:L217" si="110">IFERROR(E215+E218,"")</f>
        <v>0</v>
      </c>
      <c r="F217" s="121">
        <f t="shared" si="110"/>
        <v>0</v>
      </c>
      <c r="G217" s="121">
        <f t="shared" si="110"/>
        <v>0</v>
      </c>
      <c r="H217" s="121">
        <f t="shared" si="110"/>
        <v>0</v>
      </c>
      <c r="I217" s="121">
        <f t="shared" si="110"/>
        <v>0</v>
      </c>
      <c r="J217" s="121">
        <f t="shared" si="110"/>
        <v>0</v>
      </c>
      <c r="K217" s="121">
        <f t="shared" si="110"/>
        <v>0</v>
      </c>
      <c r="L217" s="121">
        <f t="shared" si="110"/>
        <v>0</v>
      </c>
      <c r="M217" s="121"/>
    </row>
    <row r="218" spans="1:13" hidden="1" outlineLevel="1">
      <c r="B218" s="118" t="s">
        <v>69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</row>
    <row r="219" spans="1:13" hidden="1" outlineLevel="1">
      <c r="B219" s="104"/>
      <c r="C219" s="122"/>
      <c r="D219" s="123" t="str">
        <f>IFERROR(D214/(D213+D214),"")</f>
        <v/>
      </c>
      <c r="E219" s="123" t="str">
        <f t="shared" ref="E219:L219" si="111">IFERROR(E214/(E213+E214),"")</f>
        <v/>
      </c>
      <c r="F219" s="123" t="str">
        <f t="shared" si="111"/>
        <v/>
      </c>
      <c r="G219" s="123" t="str">
        <f t="shared" si="111"/>
        <v/>
      </c>
      <c r="H219" s="123" t="str">
        <f t="shared" si="111"/>
        <v/>
      </c>
      <c r="I219" s="123" t="str">
        <f t="shared" si="111"/>
        <v/>
      </c>
      <c r="J219" s="123" t="str">
        <f t="shared" si="111"/>
        <v/>
      </c>
      <c r="K219" s="123" t="str">
        <f t="shared" si="111"/>
        <v/>
      </c>
      <c r="L219" s="123" t="str">
        <f t="shared" si="111"/>
        <v/>
      </c>
      <c r="M219" s="123"/>
    </row>
    <row r="220" spans="1:13" hidden="1" outlineLevel="1">
      <c r="A220" s="371">
        <v>113360</v>
      </c>
      <c r="B220" s="94" t="s">
        <v>123</v>
      </c>
      <c r="C220" s="59">
        <f>ROUND(VLOOKUP($A:$A,RAW!$A:$R,C$1,0)/1000,0)</f>
        <v>0</v>
      </c>
      <c r="D220" s="59">
        <f>ROUND(VLOOKUP($A:$A,RAW!$A:$R,D$1,0)/1000,0)</f>
        <v>0</v>
      </c>
      <c r="E220" s="59">
        <f>ROUND(VLOOKUP($A:$A,RAW!$A:$R,E$1,0)/1000,0)</f>
        <v>0</v>
      </c>
      <c r="F220" s="59">
        <f>ROUND(VLOOKUP($A:$A,RAW!$A:$R,F$1,0)/1000,0)</f>
        <v>0</v>
      </c>
      <c r="G220" s="59">
        <f>ROUND(VLOOKUP($A:$A,RAW!$A:$R,G$1,0)/1000,0)</f>
        <v>0</v>
      </c>
      <c r="H220" s="59">
        <f>ROUND(VLOOKUP($A:$A,RAW!$A:$R,H$1,0)/1000,0)</f>
        <v>0</v>
      </c>
      <c r="I220" s="59">
        <f>ROUND(VLOOKUP($A:$A,RAW!$A:$R,I$1,0)/1000,0)</f>
        <v>0</v>
      </c>
      <c r="J220" s="59">
        <f>ROUND(VLOOKUP($A:$A,RAW!$A:$R,J$1,0)/1000,0)</f>
        <v>0</v>
      </c>
      <c r="K220" s="59">
        <f>ROUND(VLOOKUP($A:$A,RAW!$A:$R,K$1,0)/1000,0)</f>
        <v>0</v>
      </c>
      <c r="L220" s="59">
        <f>ROUND(VLOOKUP($A:$A,RAW!$A:$R,L$1,0)/1000,0)</f>
        <v>0</v>
      </c>
      <c r="M220" s="59"/>
    </row>
    <row r="221" spans="1:13" hidden="1" outlineLevel="1">
      <c r="A221" s="371">
        <v>113361</v>
      </c>
      <c r="B221" s="94" t="s">
        <v>124</v>
      </c>
      <c r="C221" s="59">
        <f>ROUND(VLOOKUP($A:$A,RAW!$A:$R,C$1,0)/1000,0)</f>
        <v>0</v>
      </c>
      <c r="D221" s="59">
        <f>ROUND(VLOOKUP($A:$A,RAW!$A:$R,D$1,0)/1000,0)</f>
        <v>0</v>
      </c>
      <c r="E221" s="59">
        <f>ROUND(VLOOKUP($A:$A,RAW!$A:$R,E$1,0)/1000,0)</f>
        <v>0</v>
      </c>
      <c r="F221" s="59">
        <f>ROUND(VLOOKUP($A:$A,RAW!$A:$R,F$1,0)/1000,0)</f>
        <v>0</v>
      </c>
      <c r="G221" s="59">
        <f>ROUND(VLOOKUP($A:$A,RAW!$A:$R,G$1,0)/1000,0)</f>
        <v>0</v>
      </c>
      <c r="H221" s="59">
        <f>ROUND(VLOOKUP($A:$A,RAW!$A:$R,H$1,0)/1000,0)</f>
        <v>0</v>
      </c>
      <c r="I221" s="59">
        <f>ROUND(VLOOKUP($A:$A,RAW!$A:$R,I$1,0)/1000,0)</f>
        <v>0</v>
      </c>
      <c r="J221" s="59">
        <f>ROUND(VLOOKUP($A:$A,RAW!$A:$R,J$1,0)/1000,0)</f>
        <v>0</v>
      </c>
      <c r="K221" s="59">
        <f>ROUND(VLOOKUP($A:$A,RAW!$A:$R,K$1,0)/1000,0)</f>
        <v>0</v>
      </c>
      <c r="L221" s="59">
        <f>ROUND(VLOOKUP($A:$A,RAW!$A:$R,L$1,0)/1000,0)</f>
        <v>0</v>
      </c>
      <c r="M221" s="59"/>
    </row>
    <row r="222" spans="1:13" hidden="1" outlineLevel="1">
      <c r="B222" s="95" t="s">
        <v>63</v>
      </c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</row>
    <row r="223" spans="1:13" hidden="1" outlineLevel="1">
      <c r="B223" s="95" t="s">
        <v>96</v>
      </c>
      <c r="C223" s="87"/>
      <c r="D223" s="89">
        <f>IFERROR(D221-C221,"")</f>
        <v>0</v>
      </c>
      <c r="E223" s="89">
        <f t="shared" ref="E223:L223" si="112">IFERROR(E221-D221,"")</f>
        <v>0</v>
      </c>
      <c r="F223" s="89">
        <f t="shared" si="112"/>
        <v>0</v>
      </c>
      <c r="G223" s="89">
        <f t="shared" si="112"/>
        <v>0</v>
      </c>
      <c r="H223" s="89">
        <f t="shared" si="112"/>
        <v>0</v>
      </c>
      <c r="I223" s="89">
        <f t="shared" si="112"/>
        <v>0</v>
      </c>
      <c r="J223" s="89">
        <f t="shared" si="112"/>
        <v>0</v>
      </c>
      <c r="K223" s="89">
        <f t="shared" si="112"/>
        <v>0</v>
      </c>
      <c r="L223" s="89">
        <f t="shared" si="112"/>
        <v>0</v>
      </c>
      <c r="M223" s="89"/>
    </row>
    <row r="224" spans="1:13" hidden="1" outlineLevel="1">
      <c r="B224" s="115" t="s">
        <v>97</v>
      </c>
      <c r="C224" s="87"/>
      <c r="D224" s="121">
        <f>IFERROR(D222+D225,"")</f>
        <v>0</v>
      </c>
      <c r="E224" s="121">
        <f t="shared" ref="E224:L224" si="113">IFERROR(E222+E225,"")</f>
        <v>0</v>
      </c>
      <c r="F224" s="121">
        <f t="shared" si="113"/>
        <v>0</v>
      </c>
      <c r="G224" s="121">
        <f t="shared" si="113"/>
        <v>0</v>
      </c>
      <c r="H224" s="121">
        <f t="shared" si="113"/>
        <v>0</v>
      </c>
      <c r="I224" s="121">
        <f t="shared" si="113"/>
        <v>0</v>
      </c>
      <c r="J224" s="121">
        <f t="shared" si="113"/>
        <v>0</v>
      </c>
      <c r="K224" s="121">
        <f t="shared" si="113"/>
        <v>0</v>
      </c>
      <c r="L224" s="121">
        <f t="shared" si="113"/>
        <v>0</v>
      </c>
      <c r="M224" s="121"/>
    </row>
    <row r="225" spans="2:13" hidden="1" outlineLevel="1">
      <c r="B225" s="118" t="s">
        <v>69</v>
      </c>
      <c r="C225" s="90"/>
      <c r="D225" s="90"/>
      <c r="E225" s="90"/>
      <c r="F225" s="90"/>
      <c r="G225" s="90"/>
      <c r="H225" s="90"/>
      <c r="I225" s="90"/>
      <c r="J225" s="90"/>
      <c r="K225" s="90"/>
      <c r="L225" s="90"/>
      <c r="M225" s="90"/>
    </row>
    <row r="226" spans="2:13" hidden="1" outlineLevel="1">
      <c r="B226" s="124"/>
      <c r="C226" s="122"/>
      <c r="D226" s="123" t="str">
        <f>IFERROR(D221/(D220+D221),"")</f>
        <v/>
      </c>
      <c r="E226" s="123" t="str">
        <f t="shared" ref="E226:L226" si="114">IFERROR(E221/(E220+E221),"")</f>
        <v/>
      </c>
      <c r="F226" s="123" t="str">
        <f t="shared" si="114"/>
        <v/>
      </c>
      <c r="G226" s="123" t="str">
        <f t="shared" si="114"/>
        <v/>
      </c>
      <c r="H226" s="123" t="str">
        <f t="shared" si="114"/>
        <v/>
      </c>
      <c r="I226" s="123" t="str">
        <f t="shared" si="114"/>
        <v/>
      </c>
      <c r="J226" s="123" t="str">
        <f t="shared" si="114"/>
        <v/>
      </c>
      <c r="K226" s="123" t="str">
        <f t="shared" si="114"/>
        <v/>
      </c>
      <c r="L226" s="123" t="str">
        <f t="shared" si="114"/>
        <v/>
      </c>
      <c r="M226" s="123"/>
    </row>
    <row r="227" spans="2:13" collapsed="1"/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2"/>
  <sheetViews>
    <sheetView showGridLines="0" zoomScale="85" zoomScaleNormal="85" workbookViewId="0"/>
  </sheetViews>
  <sheetFormatPr defaultRowHeight="12"/>
  <cols>
    <col min="1" max="1" width="31.625" style="372" bestFit="1" customWidth="1"/>
    <col min="2" max="2" width="16.5" style="372" customWidth="1"/>
    <col min="3" max="3" width="13.875" style="372" customWidth="1"/>
    <col min="4" max="4" width="12" style="372" customWidth="1"/>
    <col min="5" max="5" width="11.375" style="372" customWidth="1"/>
    <col min="6" max="6" width="10.875" style="372" bestFit="1" customWidth="1"/>
    <col min="7" max="16384" width="9" style="372"/>
  </cols>
  <sheetData>
    <row r="1" spans="1:6" ht="12.75" thickBot="1">
      <c r="A1" s="184"/>
    </row>
    <row r="2" spans="1:6">
      <c r="A2" s="321"/>
      <c r="B2" s="321"/>
      <c r="C2" s="321"/>
      <c r="D2" s="321"/>
    </row>
    <row r="3" spans="1:6" ht="12.75" thickBot="1">
      <c r="A3" s="322"/>
      <c r="B3" s="322"/>
      <c r="C3" s="322"/>
      <c r="D3" s="322"/>
    </row>
    <row r="4" spans="1:6">
      <c r="A4" s="184"/>
    </row>
    <row r="5" spans="1:6">
      <c r="A5" s="184"/>
    </row>
    <row r="6" spans="1:6" ht="32.25" thickBot="1">
      <c r="A6" s="486"/>
      <c r="B6" s="487"/>
      <c r="C6" s="487"/>
      <c r="D6" s="487"/>
      <c r="E6" s="487"/>
      <c r="F6" s="487"/>
    </row>
    <row r="7" spans="1:6" ht="13.5">
      <c r="A7" s="488"/>
      <c r="B7" s="323"/>
      <c r="C7" s="323"/>
      <c r="D7" s="323"/>
      <c r="E7" s="323"/>
      <c r="F7" s="323"/>
    </row>
    <row r="8" spans="1:6" ht="13.5">
      <c r="A8" s="489"/>
      <c r="B8" s="324"/>
      <c r="C8" s="324"/>
      <c r="D8" s="324"/>
      <c r="E8" s="324"/>
      <c r="F8" s="324"/>
    </row>
    <row r="9" spans="1:6" ht="14.25" thickBot="1">
      <c r="A9" s="489"/>
      <c r="B9" s="324"/>
      <c r="C9" s="324"/>
      <c r="D9" s="324"/>
      <c r="E9" s="324"/>
      <c r="F9" s="324"/>
    </row>
    <row r="10" spans="1:6" ht="12.75" thickBot="1">
      <c r="A10" s="490"/>
      <c r="B10" s="325"/>
      <c r="C10" s="325"/>
      <c r="D10" s="325"/>
      <c r="E10" s="325"/>
      <c r="F10" s="325"/>
    </row>
    <row r="11" spans="1:6" ht="14.25" thickBot="1">
      <c r="A11" s="326"/>
      <c r="B11" s="327"/>
      <c r="C11" s="327"/>
      <c r="D11" s="327"/>
      <c r="E11" s="327"/>
      <c r="F11" s="327"/>
    </row>
    <row r="12" spans="1:6" ht="12.75" thickBot="1">
      <c r="A12" s="186"/>
      <c r="B12" s="187"/>
      <c r="C12" s="187"/>
      <c r="D12" s="187"/>
      <c r="E12" s="187"/>
      <c r="F12" s="187"/>
    </row>
    <row r="13" spans="1:6" ht="12.75" thickBot="1">
      <c r="A13" s="215"/>
      <c r="B13" s="188"/>
      <c r="C13" s="188"/>
      <c r="D13" s="188"/>
      <c r="E13" s="188"/>
      <c r="F13" s="188"/>
    </row>
    <row r="14" spans="1:6" ht="12.75" thickBot="1">
      <c r="A14" s="328"/>
      <c r="B14" s="329"/>
      <c r="C14" s="329"/>
      <c r="D14" s="329"/>
      <c r="E14" s="329"/>
      <c r="F14" s="329"/>
    </row>
    <row r="15" spans="1:6" ht="12.75" thickBot="1">
      <c r="A15" s="331"/>
      <c r="B15" s="330"/>
      <c r="C15" s="330"/>
      <c r="D15" s="330"/>
      <c r="E15" s="330"/>
      <c r="F15" s="329"/>
    </row>
    <row r="16" spans="1:6" ht="12.75" thickBot="1">
      <c r="A16" s="332"/>
      <c r="B16" s="330"/>
      <c r="C16" s="330"/>
      <c r="D16" s="330"/>
      <c r="E16" s="330"/>
      <c r="F16" s="329"/>
    </row>
    <row r="17" spans="1:6" ht="12.75" thickBot="1">
      <c r="A17" s="331"/>
      <c r="B17" s="329"/>
      <c r="C17" s="329"/>
      <c r="D17" s="329"/>
      <c r="E17" s="329"/>
      <c r="F17" s="330"/>
    </row>
    <row r="18" spans="1:6" ht="12.75" thickBot="1">
      <c r="A18" s="328"/>
      <c r="B18" s="329"/>
      <c r="C18" s="329"/>
      <c r="D18" s="329"/>
      <c r="E18" s="329"/>
      <c r="F18" s="329"/>
    </row>
    <row r="19" spans="1:6" ht="12.75" thickBot="1">
      <c r="A19" s="328"/>
      <c r="B19" s="329"/>
      <c r="C19" s="329"/>
      <c r="D19" s="329"/>
      <c r="E19" s="330"/>
      <c r="F19" s="330"/>
    </row>
    <row r="20" spans="1:6" ht="12.75" thickBot="1">
      <c r="A20" s="331"/>
      <c r="B20" s="329"/>
      <c r="C20" s="329"/>
      <c r="D20" s="329"/>
      <c r="E20" s="329"/>
      <c r="F20" s="329"/>
    </row>
    <row r="21" spans="1:6" ht="12.75" thickBot="1">
      <c r="A21" s="328"/>
      <c r="B21" s="329"/>
      <c r="C21" s="329"/>
      <c r="D21" s="329"/>
      <c r="E21" s="329"/>
      <c r="F21" s="329"/>
    </row>
    <row r="22" spans="1:6" ht="12.75" thickBot="1">
      <c r="A22" s="331"/>
      <c r="B22" s="330"/>
      <c r="C22" s="330"/>
      <c r="D22" s="329"/>
      <c r="E22" s="330"/>
      <c r="F22" s="330"/>
    </row>
    <row r="23" spans="1:6" ht="12.75" thickBot="1">
      <c r="A23" s="331"/>
      <c r="B23" s="329"/>
      <c r="C23" s="329"/>
      <c r="D23" s="329"/>
      <c r="E23" s="329"/>
      <c r="F23" s="330"/>
    </row>
    <row r="24" spans="1:6" ht="12.75" thickBot="1">
      <c r="A24" s="331"/>
      <c r="B24" s="330"/>
      <c r="C24" s="330"/>
      <c r="D24" s="330"/>
      <c r="E24" s="329"/>
      <c r="F24" s="329"/>
    </row>
    <row r="25" spans="1:6" ht="12.75" thickBot="1">
      <c r="A25" s="331"/>
      <c r="B25" s="329"/>
      <c r="C25" s="329"/>
      <c r="D25" s="329"/>
      <c r="E25" s="330"/>
      <c r="F25" s="330"/>
    </row>
    <row r="26" spans="1:6" ht="12.75" thickBot="1">
      <c r="A26" s="328"/>
      <c r="B26" s="329"/>
      <c r="C26" s="329"/>
      <c r="D26" s="329"/>
      <c r="E26" s="329"/>
      <c r="F26" s="329"/>
    </row>
    <row r="27" spans="1:6" ht="12.75" thickBot="1">
      <c r="A27" s="328"/>
      <c r="B27" s="330"/>
      <c r="C27" s="330"/>
      <c r="D27" s="330"/>
      <c r="E27" s="330"/>
      <c r="F27" s="329"/>
    </row>
    <row r="28" spans="1:6" ht="12.75" thickBot="1">
      <c r="A28" s="331"/>
      <c r="B28" s="329"/>
      <c r="C28" s="329"/>
      <c r="D28" s="329"/>
      <c r="E28" s="329"/>
      <c r="F28" s="329"/>
    </row>
    <row r="29" spans="1:6" ht="12.75" thickBot="1">
      <c r="A29" s="328"/>
      <c r="B29" s="330"/>
      <c r="C29" s="330"/>
      <c r="D29" s="330"/>
      <c r="E29" s="329"/>
      <c r="F29" s="330"/>
    </row>
    <row r="30" spans="1:6" ht="12.75" thickBot="1">
      <c r="A30" s="331"/>
      <c r="B30" s="330"/>
      <c r="C30" s="330"/>
      <c r="D30" s="330"/>
      <c r="E30" s="329"/>
      <c r="F30" s="330"/>
    </row>
    <row r="31" spans="1:6" ht="12.75" thickBot="1">
      <c r="A31" s="328"/>
      <c r="B31" s="330"/>
      <c r="C31" s="330"/>
      <c r="D31" s="330"/>
      <c r="E31" s="330"/>
      <c r="F31" s="329"/>
    </row>
    <row r="32" spans="1:6" ht="12.75" thickBot="1">
      <c r="A32" s="331"/>
      <c r="B32" s="330"/>
      <c r="C32" s="330"/>
      <c r="D32" s="330"/>
      <c r="E32" s="330"/>
      <c r="F32" s="329"/>
    </row>
    <row r="33" spans="1:6" ht="12.75" thickBot="1">
      <c r="A33" s="328"/>
      <c r="B33" s="329"/>
      <c r="C33" s="329"/>
      <c r="D33" s="329"/>
      <c r="E33" s="329"/>
      <c r="F33" s="329"/>
    </row>
    <row r="34" spans="1:6" ht="12.75" thickBot="1">
      <c r="A34" s="328"/>
      <c r="B34" s="329"/>
      <c r="C34" s="329"/>
      <c r="D34" s="329"/>
      <c r="E34" s="329"/>
      <c r="F34" s="329"/>
    </row>
    <row r="35" spans="1:6" ht="12.75" thickBot="1">
      <c r="A35" s="186"/>
      <c r="B35" s="187"/>
      <c r="C35" s="187"/>
      <c r="D35" s="187"/>
      <c r="E35" s="187"/>
      <c r="F35" s="187"/>
    </row>
    <row r="36" spans="1:6" ht="12.75" thickBot="1">
      <c r="A36" s="215"/>
      <c r="B36" s="188"/>
      <c r="C36" s="188"/>
      <c r="D36" s="188"/>
      <c r="E36" s="188"/>
      <c r="F36" s="188"/>
    </row>
    <row r="37" spans="1:6" ht="12.75" thickBot="1">
      <c r="A37" s="328"/>
      <c r="B37" s="330"/>
      <c r="C37" s="330"/>
      <c r="D37" s="330"/>
      <c r="E37" s="329"/>
      <c r="F37" s="330"/>
    </row>
    <row r="38" spans="1:6" ht="12.75" thickBot="1">
      <c r="A38" s="331"/>
      <c r="B38" s="330"/>
      <c r="C38" s="330"/>
      <c r="D38" s="330"/>
      <c r="E38" s="329"/>
      <c r="F38" s="330"/>
    </row>
    <row r="39" spans="1:6" ht="12.75" thickBot="1">
      <c r="A39" s="328"/>
      <c r="B39" s="329"/>
      <c r="C39" s="329"/>
      <c r="D39" s="329"/>
      <c r="E39" s="329"/>
      <c r="F39" s="329"/>
    </row>
    <row r="40" spans="1:6" ht="12.75" thickBot="1">
      <c r="A40" s="331"/>
      <c r="B40" s="330"/>
      <c r="C40" s="330"/>
      <c r="D40" s="330"/>
      <c r="E40" s="329"/>
      <c r="F40" s="329"/>
    </row>
    <row r="41" spans="1:6" ht="12.75" thickBot="1">
      <c r="A41" s="331"/>
      <c r="B41" s="329"/>
      <c r="C41" s="329"/>
      <c r="D41" s="329"/>
      <c r="E41" s="330"/>
      <c r="F41" s="330"/>
    </row>
    <row r="42" spans="1:6" ht="12.75" thickBot="1">
      <c r="A42" s="215"/>
      <c r="B42" s="188"/>
      <c r="C42" s="188"/>
      <c r="D42" s="188"/>
      <c r="E42" s="188"/>
      <c r="F42" s="188"/>
    </row>
    <row r="43" spans="1:6" ht="12.75" thickBot="1">
      <c r="A43" s="215"/>
      <c r="B43" s="188"/>
      <c r="C43" s="188"/>
      <c r="D43" s="188"/>
      <c r="E43" s="188"/>
      <c r="F43" s="188"/>
    </row>
    <row r="44" spans="1:6" ht="12.75" thickBot="1">
      <c r="A44" s="328"/>
      <c r="B44" s="329"/>
      <c r="C44" s="329"/>
      <c r="D44" s="329"/>
      <c r="E44" s="329"/>
      <c r="F44" s="329"/>
    </row>
    <row r="45" spans="1:6" ht="12.75" thickBot="1">
      <c r="A45" s="328"/>
      <c r="B45" s="329"/>
      <c r="C45" s="329"/>
      <c r="D45" s="329"/>
      <c r="E45" s="329"/>
      <c r="F45" s="329"/>
    </row>
    <row r="46" spans="1:6" ht="12.75" thickBot="1">
      <c r="A46" s="328"/>
      <c r="B46" s="329"/>
      <c r="C46" s="329"/>
      <c r="D46" s="329"/>
      <c r="E46" s="329"/>
      <c r="F46" s="329"/>
    </row>
    <row r="47" spans="1:6" ht="12.75" thickBot="1">
      <c r="A47" s="328"/>
      <c r="B47" s="329"/>
      <c r="C47" s="329"/>
      <c r="D47" s="329"/>
      <c r="E47" s="329"/>
      <c r="F47" s="329"/>
    </row>
    <row r="48" spans="1:6" ht="12.75" thickBot="1">
      <c r="A48" s="328"/>
      <c r="B48" s="329"/>
      <c r="C48" s="329"/>
      <c r="D48" s="329"/>
      <c r="E48" s="329"/>
      <c r="F48" s="329"/>
    </row>
    <row r="49" spans="1:6" ht="12.75" thickBot="1">
      <c r="A49" s="328"/>
      <c r="B49" s="329"/>
      <c r="C49" s="329"/>
      <c r="D49" s="329"/>
      <c r="E49" s="329"/>
      <c r="F49" s="329"/>
    </row>
    <row r="50" spans="1:6" ht="12.75" thickBot="1">
      <c r="A50" s="328"/>
      <c r="B50" s="329"/>
      <c r="C50" s="329"/>
      <c r="D50" s="329"/>
      <c r="E50" s="329"/>
      <c r="F50" s="329"/>
    </row>
    <row r="51" spans="1:6" ht="12.75" thickBot="1">
      <c r="A51" s="328"/>
      <c r="B51" s="329"/>
      <c r="C51" s="329"/>
      <c r="D51" s="329"/>
      <c r="E51" s="329"/>
      <c r="F51" s="329"/>
    </row>
    <row r="52" spans="1:6" ht="12.75" thickBot="1">
      <c r="A52" s="328"/>
      <c r="B52" s="329"/>
      <c r="C52" s="329"/>
      <c r="D52" s="329"/>
      <c r="E52" s="329"/>
      <c r="F52" s="329"/>
    </row>
    <row r="53" spans="1:6" ht="12.75" thickBot="1">
      <c r="A53" s="328"/>
      <c r="B53" s="329"/>
      <c r="C53" s="330"/>
      <c r="D53" s="329"/>
      <c r="E53" s="329"/>
      <c r="F53" s="329"/>
    </row>
    <row r="54" spans="1:6" ht="12.75" thickBot="1">
      <c r="A54" s="215"/>
      <c r="B54" s="188"/>
      <c r="C54" s="188"/>
      <c r="D54" s="188"/>
      <c r="E54" s="188"/>
      <c r="F54" s="189"/>
    </row>
    <row r="55" spans="1:6" ht="12.75" thickBot="1">
      <c r="A55" s="328"/>
      <c r="B55" s="329"/>
      <c r="C55" s="329"/>
      <c r="D55" s="329"/>
      <c r="E55" s="330"/>
      <c r="F55" s="330"/>
    </row>
    <row r="56" spans="1:6" ht="12.75" thickBot="1">
      <c r="A56" s="328"/>
      <c r="B56" s="330"/>
      <c r="C56" s="329"/>
      <c r="D56" s="329"/>
      <c r="E56" s="329"/>
      <c r="F56" s="330"/>
    </row>
    <row r="57" spans="1:6" ht="12.75" thickBot="1">
      <c r="A57" s="186"/>
      <c r="B57" s="187"/>
      <c r="C57" s="187"/>
      <c r="D57" s="187"/>
      <c r="E57" s="187"/>
      <c r="F57" s="187"/>
    </row>
    <row r="58" spans="1:6" ht="12.75" thickBot="1">
      <c r="A58" s="215"/>
      <c r="B58" s="188"/>
      <c r="C58" s="188"/>
      <c r="D58" s="188"/>
      <c r="E58" s="188"/>
      <c r="F58" s="188"/>
    </row>
    <row r="59" spans="1:6" ht="12.75" thickBot="1">
      <c r="A59" s="328"/>
      <c r="B59" s="329"/>
      <c r="C59" s="329"/>
      <c r="D59" s="329"/>
      <c r="E59" s="329"/>
      <c r="F59" s="329"/>
    </row>
    <row r="60" spans="1:6" ht="12.75" thickBot="1">
      <c r="A60" s="331"/>
      <c r="B60" s="329"/>
      <c r="C60" s="329"/>
      <c r="D60" s="329"/>
      <c r="E60" s="329"/>
      <c r="F60" s="329"/>
    </row>
    <row r="61" spans="1:6" ht="12.75" thickBot="1">
      <c r="A61" s="331"/>
      <c r="B61" s="329"/>
      <c r="C61" s="329"/>
      <c r="D61" s="329"/>
      <c r="E61" s="329"/>
      <c r="F61" s="329"/>
    </row>
    <row r="62" spans="1:6" ht="12.75" thickBot="1">
      <c r="A62" s="328"/>
      <c r="B62" s="329"/>
      <c r="C62" s="329"/>
      <c r="D62" s="329"/>
      <c r="E62" s="329"/>
      <c r="F62" s="329"/>
    </row>
    <row r="63" spans="1:6" ht="12.75" thickBot="1">
      <c r="A63" s="331"/>
      <c r="B63" s="329"/>
      <c r="C63" s="329"/>
      <c r="D63" s="329"/>
      <c r="E63" s="329"/>
      <c r="F63" s="329"/>
    </row>
    <row r="64" spans="1:6" ht="12.75" thickBot="1">
      <c r="A64" s="328"/>
      <c r="B64" s="329"/>
      <c r="C64" s="329"/>
      <c r="D64" s="329"/>
      <c r="E64" s="329"/>
      <c r="F64" s="329"/>
    </row>
    <row r="65" spans="1:6" ht="12.75" thickBot="1">
      <c r="A65" s="331"/>
      <c r="B65" s="329"/>
      <c r="C65" s="329"/>
      <c r="D65" s="329"/>
      <c r="E65" s="329"/>
      <c r="F65" s="329"/>
    </row>
    <row r="66" spans="1:6" ht="12.75" thickBot="1">
      <c r="A66" s="328"/>
      <c r="B66" s="329"/>
      <c r="C66" s="329"/>
      <c r="D66" s="329"/>
      <c r="E66" s="329"/>
      <c r="F66" s="329"/>
    </row>
    <row r="67" spans="1:6" ht="12.75" thickBot="1">
      <c r="A67" s="328"/>
      <c r="B67" s="329"/>
      <c r="C67" s="329"/>
      <c r="D67" s="330"/>
      <c r="E67" s="330"/>
      <c r="F67" s="330"/>
    </row>
    <row r="68" spans="1:6" ht="12.75" thickBot="1">
      <c r="A68" s="331"/>
      <c r="B68" s="329"/>
      <c r="C68" s="329"/>
      <c r="D68" s="330"/>
      <c r="E68" s="330"/>
      <c r="F68" s="330"/>
    </row>
    <row r="69" spans="1:6" ht="12.75" thickBot="1">
      <c r="A69" s="328"/>
      <c r="B69" s="329"/>
      <c r="C69" s="330"/>
      <c r="D69" s="330"/>
      <c r="E69" s="330"/>
      <c r="F69" s="330"/>
    </row>
    <row r="70" spans="1:6" ht="12.75" thickBot="1">
      <c r="A70" s="215"/>
      <c r="B70" s="188"/>
      <c r="C70" s="188"/>
      <c r="D70" s="188"/>
      <c r="E70" s="188"/>
      <c r="F70" s="188"/>
    </row>
    <row r="71" spans="1:6" ht="12.75" thickBot="1">
      <c r="A71" s="328"/>
      <c r="B71" s="329"/>
      <c r="C71" s="329"/>
      <c r="D71" s="329"/>
      <c r="E71" s="329"/>
      <c r="F71" s="329"/>
    </row>
    <row r="72" spans="1:6" ht="12.75" thickBot="1">
      <c r="A72" s="331"/>
      <c r="B72" s="329"/>
      <c r="C72" s="329"/>
      <c r="D72" s="329"/>
      <c r="E72" s="329"/>
      <c r="F72" s="329"/>
    </row>
    <row r="73" spans="1:6" ht="12.75" thickBot="1">
      <c r="A73" s="328"/>
      <c r="B73" s="329"/>
      <c r="C73" s="329"/>
      <c r="D73" s="329"/>
      <c r="E73" s="329"/>
      <c r="F73" s="329"/>
    </row>
    <row r="74" spans="1:6" ht="12.75" thickBot="1">
      <c r="A74" s="331"/>
      <c r="B74" s="329"/>
      <c r="C74" s="329"/>
      <c r="D74" s="329"/>
      <c r="E74" s="329"/>
      <c r="F74" s="329"/>
    </row>
    <row r="75" spans="1:6" ht="12.75" thickBot="1">
      <c r="A75" s="331"/>
      <c r="B75" s="329"/>
      <c r="C75" s="330"/>
      <c r="D75" s="330"/>
      <c r="E75" s="330"/>
      <c r="F75" s="330"/>
    </row>
    <row r="76" spans="1:6" ht="12.75" thickBot="1">
      <c r="A76" s="331"/>
      <c r="B76" s="330"/>
      <c r="C76" s="329"/>
      <c r="D76" s="329"/>
      <c r="E76" s="329"/>
      <c r="F76" s="329"/>
    </row>
    <row r="77" spans="1:6" ht="12.75" thickBot="1">
      <c r="A77" s="331"/>
      <c r="B77" s="329"/>
      <c r="C77" s="329"/>
      <c r="D77" s="329"/>
      <c r="E77" s="329"/>
      <c r="F77" s="329"/>
    </row>
    <row r="78" spans="1:6" ht="12.75" thickBot="1">
      <c r="A78" s="328"/>
      <c r="B78" s="329"/>
      <c r="C78" s="329"/>
      <c r="D78" s="329"/>
      <c r="E78" s="329"/>
      <c r="F78" s="330"/>
    </row>
    <row r="79" spans="1:6" ht="12.75" thickBot="1">
      <c r="A79" s="331"/>
      <c r="B79" s="329"/>
      <c r="C79" s="329"/>
      <c r="D79" s="329"/>
      <c r="E79" s="329"/>
      <c r="F79" s="330"/>
    </row>
    <row r="80" spans="1:6" ht="12.75" thickBot="1">
      <c r="A80" s="328"/>
      <c r="B80" s="330"/>
      <c r="C80" s="330"/>
      <c r="D80" s="330"/>
      <c r="E80" s="330"/>
      <c r="F80" s="329"/>
    </row>
    <row r="81" spans="1:6" ht="12.75" thickBot="1">
      <c r="A81" s="328"/>
      <c r="B81" s="329"/>
      <c r="C81" s="329"/>
      <c r="D81" s="329"/>
      <c r="E81" s="329"/>
      <c r="F81" s="329"/>
    </row>
    <row r="82" spans="1:6" ht="12.75" thickBot="1">
      <c r="A82" s="186"/>
      <c r="B82" s="187"/>
      <c r="C82" s="187"/>
      <c r="D82" s="187"/>
      <c r="E82" s="187"/>
      <c r="F82" s="187"/>
    </row>
    <row r="83" spans="1:6" ht="12.75" thickBot="1">
      <c r="A83" s="215"/>
      <c r="B83" s="188"/>
      <c r="C83" s="188"/>
      <c r="D83" s="188"/>
      <c r="E83" s="188"/>
      <c r="F83" s="188"/>
    </row>
    <row r="84" spans="1:6" ht="12.75" thickBot="1">
      <c r="A84" s="215"/>
      <c r="B84" s="188"/>
      <c r="C84" s="188"/>
      <c r="D84" s="188"/>
      <c r="E84" s="188"/>
      <c r="F84" s="188"/>
    </row>
    <row r="85" spans="1:6" ht="12.75" thickBot="1">
      <c r="A85" s="215"/>
      <c r="B85" s="188"/>
      <c r="C85" s="188"/>
      <c r="D85" s="188"/>
      <c r="E85" s="188"/>
      <c r="F85" s="188"/>
    </row>
    <row r="86" spans="1:6" ht="12.75" thickBot="1">
      <c r="A86" s="328"/>
      <c r="B86" s="329"/>
      <c r="C86" s="329"/>
      <c r="D86" s="329"/>
      <c r="E86" s="329"/>
      <c r="F86" s="329"/>
    </row>
    <row r="87" spans="1:6" ht="12.75" thickBot="1">
      <c r="A87" s="328"/>
      <c r="B87" s="329"/>
      <c r="C87" s="329"/>
      <c r="D87" s="329"/>
      <c r="E87" s="329"/>
      <c r="F87" s="329"/>
    </row>
    <row r="88" spans="1:6" ht="12.75" thickBot="1">
      <c r="A88" s="215"/>
      <c r="B88" s="188"/>
      <c r="C88" s="188"/>
      <c r="D88" s="188"/>
      <c r="E88" s="188"/>
      <c r="F88" s="188"/>
    </row>
    <row r="89" spans="1:6" ht="12.75" thickBot="1">
      <c r="A89" s="328"/>
      <c r="B89" s="329"/>
      <c r="C89" s="329"/>
      <c r="D89" s="329"/>
      <c r="E89" s="329"/>
      <c r="F89" s="329"/>
    </row>
    <row r="90" spans="1:6" ht="12.75" thickBot="1">
      <c r="A90" s="331"/>
      <c r="B90" s="329"/>
      <c r="C90" s="329"/>
      <c r="D90" s="329"/>
      <c r="E90" s="329"/>
      <c r="F90" s="329"/>
    </row>
    <row r="91" spans="1:6" ht="12.75" thickBot="1">
      <c r="A91" s="215"/>
      <c r="B91" s="188"/>
      <c r="C91" s="188"/>
      <c r="D91" s="188"/>
      <c r="E91" s="188"/>
      <c r="F91" s="188"/>
    </row>
    <row r="92" spans="1:6" ht="12.75" thickBot="1">
      <c r="A92" s="328"/>
      <c r="B92" s="329"/>
      <c r="C92" s="329"/>
      <c r="D92" s="329"/>
      <c r="E92" s="330"/>
      <c r="F92" s="330"/>
    </row>
    <row r="93" spans="1:6" ht="12.75" thickBot="1">
      <c r="A93" s="331"/>
      <c r="B93" s="329"/>
      <c r="C93" s="329"/>
      <c r="D93" s="329"/>
      <c r="E93" s="330"/>
      <c r="F93" s="330"/>
    </row>
    <row r="94" spans="1:6" ht="12.75" thickBot="1">
      <c r="A94" s="328"/>
      <c r="B94" s="329"/>
      <c r="C94" s="329"/>
      <c r="D94" s="330"/>
      <c r="E94" s="330"/>
      <c r="F94" s="330"/>
    </row>
    <row r="95" spans="1:6" ht="12.75" thickBot="1">
      <c r="A95" s="331"/>
      <c r="B95" s="329"/>
      <c r="C95" s="329"/>
      <c r="D95" s="330"/>
      <c r="E95" s="330"/>
      <c r="F95" s="330"/>
    </row>
    <row r="96" spans="1:6" ht="12.75" thickBot="1">
      <c r="A96" s="328"/>
      <c r="B96" s="329"/>
      <c r="C96" s="329"/>
      <c r="D96" s="329"/>
      <c r="E96" s="329"/>
      <c r="F96" s="329"/>
    </row>
    <row r="97" spans="1:6" ht="12.75" thickBot="1">
      <c r="A97" s="328"/>
      <c r="B97" s="329"/>
      <c r="C97" s="329"/>
      <c r="D97" s="329"/>
      <c r="E97" s="329"/>
      <c r="F97" s="329"/>
    </row>
    <row r="98" spans="1:6" ht="12.75" thickBot="1">
      <c r="A98" s="328"/>
      <c r="B98" s="330"/>
      <c r="C98" s="330"/>
      <c r="D98" s="330"/>
      <c r="E98" s="329"/>
      <c r="F98" s="330"/>
    </row>
    <row r="99" spans="1:6" ht="12.75" thickBot="1">
      <c r="A99" s="186"/>
      <c r="B99" s="187"/>
      <c r="C99" s="187"/>
      <c r="D99" s="187"/>
      <c r="E99" s="187"/>
      <c r="F99" s="187"/>
    </row>
    <row r="100" spans="1:6" ht="12.75" thickBot="1">
      <c r="A100" s="186"/>
      <c r="B100" s="187"/>
      <c r="C100" s="187"/>
      <c r="D100" s="187"/>
      <c r="E100" s="187"/>
      <c r="F100" s="187"/>
    </row>
    <row r="101" spans="1:6" ht="12.75" thickBot="1">
      <c r="A101" s="190"/>
      <c r="B101" s="191"/>
      <c r="C101" s="191"/>
      <c r="D101" s="191"/>
      <c r="E101" s="191"/>
      <c r="F101" s="191"/>
    </row>
    <row r="102" spans="1:6">
      <c r="A102" s="184"/>
    </row>
  </sheetData>
  <mergeCells count="2">
    <mergeCell ref="A6:F6"/>
    <mergeCell ref="A7:A10"/>
  </mergeCells>
  <phoneticPr fontId="2" type="noConversion"/>
  <conditionalFormatting sqref="A16:A102 K16:K102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38"/>
  <sheetViews>
    <sheetView showGridLines="0" zoomScale="85" zoomScaleNormal="85" workbookViewId="0">
      <selection activeCell="B55" sqref="B55"/>
    </sheetView>
  </sheetViews>
  <sheetFormatPr defaultRowHeight="12"/>
  <cols>
    <col min="1" max="1" width="36" style="185" bestFit="1" customWidth="1"/>
    <col min="2" max="2" width="15.875" style="185" customWidth="1"/>
    <col min="3" max="3" width="13.375" style="185" customWidth="1"/>
    <col min="4" max="5" width="12.25" style="185" customWidth="1"/>
    <col min="6" max="6" width="11.5" style="185" bestFit="1" customWidth="1"/>
    <col min="7" max="16384" width="9" style="185"/>
  </cols>
  <sheetData>
    <row r="1" spans="1:6" s="372" customFormat="1" ht="32.25" thickBot="1">
      <c r="A1" s="486"/>
      <c r="B1" s="487"/>
      <c r="C1" s="487"/>
      <c r="D1" s="487"/>
      <c r="E1" s="487"/>
      <c r="F1" s="487"/>
    </row>
    <row r="2" spans="1:6" s="372" customFormat="1" ht="13.5">
      <c r="A2" s="488"/>
      <c r="B2" s="323"/>
      <c r="C2" s="323"/>
      <c r="D2" s="323"/>
      <c r="E2" s="323"/>
      <c r="F2" s="323"/>
    </row>
    <row r="3" spans="1:6" s="372" customFormat="1" ht="13.5">
      <c r="A3" s="489"/>
      <c r="B3" s="324"/>
      <c r="C3" s="324"/>
      <c r="D3" s="324"/>
      <c r="E3" s="324"/>
      <c r="F3" s="324"/>
    </row>
    <row r="4" spans="1:6" s="372" customFormat="1" ht="14.25" thickBot="1">
      <c r="A4" s="489"/>
      <c r="B4" s="324"/>
      <c r="C4" s="324"/>
      <c r="D4" s="324"/>
      <c r="E4" s="324"/>
      <c r="F4" s="324"/>
    </row>
    <row r="5" spans="1:6" s="372" customFormat="1" ht="12.75" thickBot="1">
      <c r="A5" s="490"/>
      <c r="B5" s="325"/>
      <c r="C5" s="325"/>
      <c r="D5" s="325"/>
      <c r="E5" s="325"/>
      <c r="F5" s="325"/>
    </row>
    <row r="6" spans="1:6" s="372" customFormat="1" ht="14.25" thickBot="1">
      <c r="A6" s="326"/>
      <c r="B6" s="327"/>
      <c r="C6" s="327"/>
      <c r="D6" s="327"/>
      <c r="E6" s="327"/>
      <c r="F6" s="327"/>
    </row>
    <row r="7" spans="1:6" s="372" customFormat="1" ht="12.75" thickBot="1">
      <c r="A7" s="186"/>
      <c r="B7" s="187"/>
      <c r="C7" s="187"/>
      <c r="D7" s="187"/>
      <c r="E7" s="187"/>
      <c r="F7" s="187"/>
    </row>
    <row r="8" spans="1:6" s="372" customFormat="1" ht="12.75" thickBot="1">
      <c r="A8" s="215"/>
      <c r="B8" s="188"/>
      <c r="C8" s="188"/>
      <c r="D8" s="188"/>
      <c r="E8" s="188"/>
      <c r="F8" s="188"/>
    </row>
    <row r="9" spans="1:6" s="372" customFormat="1" ht="12.75" thickBot="1">
      <c r="A9" s="328"/>
      <c r="B9" s="329"/>
      <c r="C9" s="329"/>
      <c r="D9" s="329"/>
      <c r="E9" s="329"/>
      <c r="F9" s="329"/>
    </row>
    <row r="10" spans="1:6" s="372" customFormat="1" ht="12.75" thickBot="1">
      <c r="A10" s="331"/>
      <c r="B10" s="330"/>
      <c r="C10" s="330"/>
      <c r="D10" s="330"/>
      <c r="E10" s="330"/>
      <c r="F10" s="329"/>
    </row>
    <row r="11" spans="1:6" s="372" customFormat="1" ht="12.75" thickBot="1">
      <c r="A11" s="328"/>
      <c r="B11" s="329"/>
      <c r="C11" s="329"/>
      <c r="D11" s="329"/>
      <c r="E11" s="329"/>
      <c r="F11" s="329"/>
    </row>
    <row r="12" spans="1:6" s="372" customFormat="1" ht="12.75" thickBot="1">
      <c r="A12" s="328"/>
      <c r="B12" s="329"/>
      <c r="C12" s="329"/>
      <c r="D12" s="329"/>
      <c r="E12" s="329"/>
      <c r="F12" s="329"/>
    </row>
    <row r="13" spans="1:6" s="372" customFormat="1" ht="12.75" thickBot="1">
      <c r="A13" s="328"/>
      <c r="B13" s="329"/>
      <c r="C13" s="329"/>
      <c r="D13" s="329"/>
      <c r="E13" s="329"/>
      <c r="F13" s="329"/>
    </row>
    <row r="14" spans="1:6" s="372" customFormat="1" ht="12.75" thickBot="1">
      <c r="A14" s="331"/>
      <c r="B14" s="330"/>
      <c r="C14" s="330"/>
      <c r="D14" s="330"/>
      <c r="E14" s="330"/>
      <c r="F14" s="329"/>
    </row>
    <row r="15" spans="1:6" s="372" customFormat="1" ht="12.75" thickBot="1">
      <c r="A15" s="186"/>
      <c r="B15" s="187"/>
      <c r="C15" s="187"/>
      <c r="D15" s="187"/>
      <c r="E15" s="187"/>
      <c r="F15" s="187"/>
    </row>
    <row r="16" spans="1:6" s="372" customFormat="1" ht="12.75" thickBot="1">
      <c r="A16" s="215"/>
      <c r="B16" s="188"/>
      <c r="C16" s="188"/>
      <c r="D16" s="188"/>
      <c r="E16" s="188"/>
      <c r="F16" s="188"/>
    </row>
    <row r="17" spans="1:6" s="372" customFormat="1" ht="12.75" thickBot="1">
      <c r="A17" s="328"/>
      <c r="B17" s="329"/>
      <c r="C17" s="329"/>
      <c r="D17" s="329"/>
      <c r="E17" s="329"/>
      <c r="F17" s="329"/>
    </row>
    <row r="18" spans="1:6" s="372" customFormat="1" ht="12.75" thickBot="1">
      <c r="A18" s="215"/>
      <c r="B18" s="188"/>
      <c r="C18" s="188"/>
      <c r="D18" s="188"/>
      <c r="E18" s="188"/>
      <c r="F18" s="188"/>
    </row>
    <row r="19" spans="1:6" s="372" customFormat="1" ht="12.75" thickBot="1">
      <c r="A19" s="186"/>
      <c r="B19" s="187"/>
      <c r="C19" s="187"/>
      <c r="D19" s="187"/>
      <c r="E19" s="187"/>
      <c r="F19" s="187"/>
    </row>
    <row r="20" spans="1:6" s="372" customFormat="1" ht="12.75" thickBot="1">
      <c r="A20" s="186"/>
      <c r="B20" s="187"/>
      <c r="C20" s="187"/>
      <c r="D20" s="187"/>
      <c r="E20" s="187"/>
      <c r="F20" s="187"/>
    </row>
    <row r="21" spans="1:6" s="372" customFormat="1" ht="12.75" thickBot="1">
      <c r="A21" s="215"/>
      <c r="B21" s="188"/>
      <c r="C21" s="188"/>
      <c r="D21" s="188"/>
      <c r="E21" s="188"/>
      <c r="F21" s="188"/>
    </row>
    <row r="22" spans="1:6" s="372" customFormat="1" ht="12.75" thickBot="1">
      <c r="A22" s="328"/>
      <c r="B22" s="329"/>
      <c r="C22" s="329"/>
      <c r="D22" s="329"/>
      <c r="E22" s="329"/>
      <c r="F22" s="329"/>
    </row>
    <row r="23" spans="1:6" s="372" customFormat="1" ht="12.75" thickBot="1">
      <c r="A23" s="328"/>
      <c r="B23" s="329"/>
      <c r="C23" s="329"/>
      <c r="D23" s="329"/>
      <c r="E23" s="329"/>
      <c r="F23" s="329"/>
    </row>
    <row r="24" spans="1:6" s="372" customFormat="1" ht="12.75" thickBot="1">
      <c r="A24" s="328"/>
      <c r="B24" s="329"/>
      <c r="C24" s="329"/>
      <c r="D24" s="329"/>
      <c r="E24" s="329"/>
      <c r="F24" s="329"/>
    </row>
    <row r="25" spans="1:6" s="372" customFormat="1" ht="12.75" thickBot="1">
      <c r="A25" s="215"/>
      <c r="B25" s="188"/>
      <c r="C25" s="188"/>
      <c r="D25" s="188"/>
      <c r="E25" s="188"/>
      <c r="F25" s="188"/>
    </row>
    <row r="26" spans="1:6" s="372" customFormat="1" ht="12.75" thickBot="1">
      <c r="A26" s="328"/>
      <c r="B26" s="329"/>
      <c r="C26" s="329"/>
      <c r="D26" s="329"/>
      <c r="E26" s="329"/>
      <c r="F26" s="329"/>
    </row>
    <row r="27" spans="1:6" s="372" customFormat="1" ht="12.75" thickBot="1">
      <c r="A27" s="328"/>
      <c r="B27" s="329"/>
      <c r="C27" s="329"/>
      <c r="D27" s="329"/>
      <c r="E27" s="329"/>
      <c r="F27" s="330"/>
    </row>
    <row r="28" spans="1:6" s="372" customFormat="1" ht="12.75" thickBot="1">
      <c r="A28" s="328"/>
      <c r="B28" s="329"/>
      <c r="C28" s="329"/>
      <c r="D28" s="329"/>
      <c r="E28" s="329"/>
      <c r="F28" s="329"/>
    </row>
    <row r="29" spans="1:6" s="372" customFormat="1" ht="12.75" thickBot="1">
      <c r="A29" s="328"/>
      <c r="B29" s="329"/>
      <c r="C29" s="329"/>
      <c r="D29" s="329"/>
      <c r="E29" s="329"/>
      <c r="F29" s="330"/>
    </row>
    <row r="30" spans="1:6" s="372" customFormat="1" ht="12.75" thickBot="1">
      <c r="A30" s="328"/>
      <c r="B30" s="329"/>
      <c r="C30" s="329"/>
      <c r="D30" s="329"/>
      <c r="E30" s="329"/>
      <c r="F30" s="329"/>
    </row>
    <row r="31" spans="1:6" s="372" customFormat="1" ht="12.75" thickBot="1">
      <c r="A31" s="328"/>
      <c r="B31" s="329"/>
      <c r="C31" s="329"/>
      <c r="D31" s="329"/>
      <c r="E31" s="329"/>
      <c r="F31" s="329"/>
    </row>
    <row r="32" spans="1:6" s="372" customFormat="1" ht="12.75" thickBot="1">
      <c r="A32" s="328"/>
      <c r="B32" s="329"/>
      <c r="C32" s="329"/>
      <c r="D32" s="329"/>
      <c r="E32" s="329"/>
      <c r="F32" s="329"/>
    </row>
    <row r="33" spans="1:6" s="372" customFormat="1" ht="12.75" thickBot="1">
      <c r="A33" s="328"/>
      <c r="B33" s="329"/>
      <c r="C33" s="329"/>
      <c r="D33" s="329"/>
      <c r="E33" s="329"/>
      <c r="F33" s="329"/>
    </row>
    <row r="34" spans="1:6" s="372" customFormat="1" ht="12.75" thickBot="1">
      <c r="A34" s="328"/>
      <c r="B34" s="329"/>
      <c r="C34" s="329"/>
      <c r="D34" s="329"/>
      <c r="E34" s="329"/>
      <c r="F34" s="329"/>
    </row>
    <row r="35" spans="1:6" s="372" customFormat="1" ht="12.75" thickBot="1">
      <c r="A35" s="328"/>
      <c r="B35" s="329"/>
      <c r="C35" s="329"/>
      <c r="D35" s="329"/>
      <c r="E35" s="329"/>
      <c r="F35" s="330"/>
    </row>
    <row r="36" spans="1:6" s="372" customFormat="1" ht="12.75" thickBot="1">
      <c r="A36" s="328"/>
      <c r="B36" s="329"/>
      <c r="C36" s="329"/>
      <c r="D36" s="329"/>
      <c r="E36" s="329"/>
      <c r="F36" s="329"/>
    </row>
    <row r="37" spans="1:6" s="372" customFormat="1" ht="12.75" thickBot="1">
      <c r="A37" s="328"/>
      <c r="B37" s="329"/>
      <c r="C37" s="329"/>
      <c r="D37" s="329"/>
      <c r="E37" s="329"/>
      <c r="F37" s="329"/>
    </row>
    <row r="38" spans="1:6" s="372" customFormat="1" ht="12.75" thickBot="1">
      <c r="A38" s="215"/>
      <c r="B38" s="188"/>
      <c r="C38" s="188"/>
      <c r="D38" s="188"/>
      <c r="E38" s="188"/>
      <c r="F38" s="188"/>
    </row>
    <row r="39" spans="1:6" s="372" customFormat="1" ht="12.75" thickBot="1">
      <c r="A39" s="328"/>
      <c r="B39" s="329"/>
      <c r="C39" s="329"/>
      <c r="D39" s="329"/>
      <c r="E39" s="329"/>
      <c r="F39" s="329"/>
    </row>
    <row r="40" spans="1:6" s="372" customFormat="1" ht="12.75" thickBot="1">
      <c r="A40" s="328"/>
      <c r="B40" s="329"/>
      <c r="C40" s="329"/>
      <c r="D40" s="329"/>
      <c r="E40" s="329"/>
      <c r="F40" s="330"/>
    </row>
    <row r="41" spans="1:6" s="372" customFormat="1" ht="12.75" thickBot="1">
      <c r="A41" s="186"/>
      <c r="B41" s="187"/>
      <c r="C41" s="187"/>
      <c r="D41" s="187"/>
      <c r="E41" s="187"/>
      <c r="F41" s="187"/>
    </row>
    <row r="42" spans="1:6" s="372" customFormat="1" ht="12.75" thickBot="1">
      <c r="A42" s="186"/>
      <c r="B42" s="187"/>
      <c r="C42" s="187"/>
      <c r="D42" s="187"/>
      <c r="E42" s="187"/>
      <c r="F42" s="187"/>
    </row>
    <row r="43" spans="1:6" s="372" customFormat="1" ht="12.75" thickBot="1">
      <c r="A43" s="215"/>
      <c r="B43" s="188"/>
      <c r="C43" s="188"/>
      <c r="D43" s="188"/>
      <c r="E43" s="188"/>
      <c r="F43" s="188"/>
    </row>
    <row r="44" spans="1:6" s="372" customFormat="1" ht="12.75" thickBot="1">
      <c r="A44" s="215"/>
      <c r="B44" s="189"/>
      <c r="C44" s="189"/>
      <c r="D44" s="188"/>
      <c r="E44" s="188"/>
      <c r="F44" s="188"/>
    </row>
    <row r="45" spans="1:6" s="372" customFormat="1" ht="12.75" thickBot="1">
      <c r="A45" s="215"/>
      <c r="B45" s="188"/>
      <c r="C45" s="188"/>
      <c r="D45" s="188"/>
      <c r="E45" s="188"/>
      <c r="F45" s="188"/>
    </row>
    <row r="46" spans="1:6" s="372" customFormat="1" ht="12.75" thickBot="1">
      <c r="A46" s="186"/>
      <c r="B46" s="187"/>
      <c r="C46" s="187"/>
      <c r="D46" s="187"/>
      <c r="E46" s="187"/>
      <c r="F46" s="187"/>
    </row>
    <row r="47" spans="1:6" s="372" customFormat="1" ht="12.75" thickBot="1">
      <c r="A47" s="215"/>
      <c r="B47" s="188"/>
      <c r="C47" s="188"/>
      <c r="D47" s="188"/>
      <c r="E47" s="188"/>
      <c r="F47" s="188"/>
    </row>
    <row r="48" spans="1:6" s="372" customFormat="1" ht="12.75" thickBot="1">
      <c r="A48" s="215"/>
      <c r="B48" s="188"/>
      <c r="C48" s="188"/>
      <c r="D48" s="188"/>
      <c r="E48" s="188"/>
      <c r="F48" s="189"/>
    </row>
    <row r="49" spans="1:6" s="372" customFormat="1" ht="12.75" thickBot="1">
      <c r="A49" s="215"/>
      <c r="B49" s="189"/>
      <c r="C49" s="188"/>
      <c r="D49" s="189"/>
      <c r="E49" s="189"/>
      <c r="F49" s="189"/>
    </row>
    <row r="50" spans="1:6" s="372" customFormat="1" ht="12.75" thickBot="1">
      <c r="A50" s="215"/>
      <c r="B50" s="188"/>
      <c r="C50" s="188"/>
      <c r="D50" s="188"/>
      <c r="E50" s="189"/>
      <c r="F50" s="189"/>
    </row>
    <row r="51" spans="1:6" s="372" customFormat="1" ht="12.75" thickBot="1">
      <c r="A51" s="186"/>
      <c r="B51" s="187"/>
      <c r="C51" s="187"/>
      <c r="D51" s="187"/>
      <c r="E51" s="187"/>
      <c r="F51" s="187"/>
    </row>
    <row r="52" spans="1:6" s="372" customFormat="1" ht="12.75" thickBot="1">
      <c r="A52" s="186"/>
      <c r="B52" s="187"/>
      <c r="C52" s="187"/>
      <c r="D52" s="187"/>
      <c r="E52" s="187"/>
      <c r="F52" s="187"/>
    </row>
    <row r="53" spans="1:6" s="372" customFormat="1" ht="12.75" thickBot="1">
      <c r="A53" s="186"/>
      <c r="B53" s="187"/>
      <c r="C53" s="187"/>
      <c r="D53" s="187"/>
      <c r="E53" s="187"/>
      <c r="F53" s="187"/>
    </row>
    <row r="54" spans="1:6" s="372" customFormat="1" ht="12.75" thickBot="1">
      <c r="A54" s="186"/>
      <c r="B54" s="187"/>
      <c r="C54" s="187"/>
      <c r="D54" s="187"/>
      <c r="E54" s="187"/>
      <c r="F54" s="187"/>
    </row>
    <row r="55" spans="1:6" s="372" customFormat="1" ht="12.75" thickBot="1">
      <c r="A55" s="186"/>
      <c r="B55" s="213"/>
      <c r="C55" s="213"/>
      <c r="D55" s="213"/>
      <c r="E55" s="213"/>
      <c r="F55" s="213"/>
    </row>
    <row r="56" spans="1:6" s="372" customFormat="1" ht="12.75" thickBot="1">
      <c r="A56" s="190"/>
      <c r="B56" s="214"/>
      <c r="C56" s="214"/>
      <c r="D56" s="214"/>
      <c r="E56" s="214"/>
      <c r="F56" s="214"/>
    </row>
    <row r="57" spans="1:6" s="372" customFormat="1">
      <c r="A57" s="184"/>
    </row>
    <row r="58" spans="1:6" s="372" customFormat="1" ht="32.25" thickBot="1">
      <c r="A58" s="486"/>
      <c r="B58" s="487"/>
      <c r="C58" s="487"/>
      <c r="D58" s="487"/>
      <c r="E58" s="487"/>
      <c r="F58" s="487"/>
    </row>
    <row r="59" spans="1:6" s="372" customFormat="1" ht="13.5">
      <c r="A59" s="488"/>
      <c r="B59" s="323"/>
      <c r="C59" s="323"/>
      <c r="D59" s="323"/>
      <c r="E59" s="323"/>
      <c r="F59" s="323"/>
    </row>
    <row r="60" spans="1:6" s="372" customFormat="1" ht="13.5">
      <c r="A60" s="489"/>
      <c r="B60" s="324"/>
      <c r="C60" s="324"/>
      <c r="D60" s="324"/>
      <c r="E60" s="324"/>
      <c r="F60" s="324"/>
    </row>
    <row r="61" spans="1:6" s="372" customFormat="1" ht="14.25" thickBot="1">
      <c r="A61" s="489"/>
      <c r="B61" s="324"/>
      <c r="C61" s="324"/>
      <c r="D61" s="324"/>
      <c r="E61" s="324"/>
      <c r="F61" s="324"/>
    </row>
    <row r="62" spans="1:6" s="372" customFormat="1" ht="12.75" thickBot="1">
      <c r="A62" s="490"/>
      <c r="B62" s="325"/>
      <c r="C62" s="325"/>
      <c r="D62" s="325"/>
      <c r="E62" s="325"/>
      <c r="F62" s="325"/>
    </row>
    <row r="63" spans="1:6" s="372" customFormat="1" ht="14.25" thickBot="1">
      <c r="A63" s="326"/>
      <c r="B63" s="327"/>
      <c r="C63" s="327"/>
      <c r="D63" s="327"/>
      <c r="E63" s="327"/>
      <c r="F63" s="327"/>
    </row>
    <row r="64" spans="1:6" s="372" customFormat="1" ht="12.75" thickBot="1">
      <c r="A64" s="186"/>
      <c r="B64" s="187"/>
      <c r="C64" s="187"/>
      <c r="D64" s="187"/>
      <c r="E64" s="187"/>
      <c r="F64" s="187"/>
    </row>
    <row r="65" spans="1:6" s="372" customFormat="1" ht="12.75" thickBot="1">
      <c r="A65" s="215"/>
      <c r="B65" s="188"/>
      <c r="C65" s="188"/>
      <c r="D65" s="188"/>
      <c r="E65" s="188"/>
      <c r="F65" s="188"/>
    </row>
    <row r="66" spans="1:6" s="372" customFormat="1" ht="12.75" thickBot="1">
      <c r="A66" s="215"/>
      <c r="B66" s="188"/>
      <c r="C66" s="188"/>
      <c r="D66" s="188"/>
      <c r="E66" s="188"/>
      <c r="F66" s="188"/>
    </row>
    <row r="67" spans="1:6" s="372" customFormat="1" ht="12.75" thickBot="1">
      <c r="A67" s="328"/>
      <c r="B67" s="329"/>
      <c r="C67" s="329"/>
      <c r="D67" s="329"/>
      <c r="E67" s="329"/>
      <c r="F67" s="329"/>
    </row>
    <row r="68" spans="1:6" s="372" customFormat="1" ht="12.75" thickBot="1">
      <c r="A68" s="328"/>
      <c r="B68" s="329"/>
      <c r="C68" s="329"/>
      <c r="D68" s="329"/>
      <c r="E68" s="329"/>
      <c r="F68" s="329"/>
    </row>
    <row r="69" spans="1:6" s="372" customFormat="1" ht="12.75" thickBot="1">
      <c r="A69" s="328"/>
      <c r="B69" s="330"/>
      <c r="C69" s="329"/>
      <c r="D69" s="330"/>
      <c r="E69" s="330"/>
      <c r="F69" s="330"/>
    </row>
    <row r="70" spans="1:6" s="372" customFormat="1" ht="12.75" thickBot="1">
      <c r="A70" s="215"/>
      <c r="B70" s="189"/>
      <c r="C70" s="189"/>
      <c r="D70" s="188"/>
      <c r="E70" s="188"/>
      <c r="F70" s="188"/>
    </row>
    <row r="71" spans="1:6" s="372" customFormat="1" ht="12.75" thickBot="1">
      <c r="A71" s="328"/>
      <c r="B71" s="330"/>
      <c r="C71" s="330"/>
      <c r="D71" s="329"/>
      <c r="E71" s="329"/>
      <c r="F71" s="329"/>
    </row>
    <row r="72" spans="1:6" s="372" customFormat="1" ht="12.75" thickBot="1">
      <c r="A72" s="215"/>
      <c r="B72" s="188"/>
      <c r="C72" s="188"/>
      <c r="D72" s="188"/>
      <c r="E72" s="188"/>
      <c r="F72" s="188"/>
    </row>
    <row r="73" spans="1:6" s="372" customFormat="1" ht="12.75" thickBot="1">
      <c r="A73" s="328"/>
      <c r="B73" s="329"/>
      <c r="C73" s="329"/>
      <c r="D73" s="329"/>
      <c r="E73" s="329"/>
      <c r="F73" s="329"/>
    </row>
    <row r="74" spans="1:6" s="372" customFormat="1" ht="12.75" thickBot="1">
      <c r="A74" s="328"/>
      <c r="B74" s="330"/>
      <c r="C74" s="330"/>
      <c r="D74" s="330"/>
      <c r="E74" s="329"/>
      <c r="F74" s="329"/>
    </row>
    <row r="75" spans="1:6" s="372" customFormat="1" ht="12.75" thickBot="1">
      <c r="A75" s="328"/>
      <c r="B75" s="329"/>
      <c r="C75" s="329"/>
      <c r="D75" s="329"/>
      <c r="E75" s="329"/>
      <c r="F75" s="329"/>
    </row>
    <row r="76" spans="1:6" s="372" customFormat="1" ht="12.75" thickBot="1">
      <c r="A76" s="328"/>
      <c r="B76" s="329"/>
      <c r="C76" s="329"/>
      <c r="D76" s="329"/>
      <c r="E76" s="329"/>
      <c r="F76" s="329"/>
    </row>
    <row r="77" spans="1:6" s="372" customFormat="1" ht="12.75" thickBot="1">
      <c r="A77" s="328"/>
      <c r="B77" s="329"/>
      <c r="C77" s="329"/>
      <c r="D77" s="329"/>
      <c r="E77" s="329"/>
      <c r="F77" s="330"/>
    </row>
    <row r="78" spans="1:6" s="372" customFormat="1" ht="12.75" thickBot="1">
      <c r="A78" s="328"/>
      <c r="B78" s="329"/>
      <c r="C78" s="329"/>
      <c r="D78" s="329"/>
      <c r="E78" s="329"/>
      <c r="F78" s="329"/>
    </row>
    <row r="79" spans="1:6" s="372" customFormat="1" ht="12.75" thickBot="1">
      <c r="A79" s="328"/>
      <c r="B79" s="329"/>
      <c r="C79" s="329"/>
      <c r="D79" s="329"/>
      <c r="E79" s="329"/>
      <c r="F79" s="329"/>
    </row>
    <row r="80" spans="1:6" s="372" customFormat="1" ht="12.75" thickBot="1">
      <c r="A80" s="328"/>
      <c r="B80" s="329"/>
      <c r="C80" s="329"/>
      <c r="D80" s="329"/>
      <c r="E80" s="329"/>
      <c r="F80" s="329"/>
    </row>
    <row r="81" spans="1:6" s="372" customFormat="1" ht="12.75" thickBot="1">
      <c r="A81" s="328"/>
      <c r="B81" s="329"/>
      <c r="C81" s="329"/>
      <c r="D81" s="329"/>
      <c r="E81" s="329"/>
      <c r="F81" s="329"/>
    </row>
    <row r="82" spans="1:6" s="372" customFormat="1" ht="12.75" thickBot="1">
      <c r="A82" s="328"/>
      <c r="B82" s="329"/>
      <c r="C82" s="329"/>
      <c r="D82" s="329"/>
      <c r="E82" s="329"/>
      <c r="F82" s="329"/>
    </row>
    <row r="83" spans="1:6" s="372" customFormat="1" ht="12.75" thickBot="1">
      <c r="A83" s="328"/>
      <c r="B83" s="329"/>
      <c r="C83" s="329"/>
      <c r="D83" s="329"/>
      <c r="E83" s="329"/>
      <c r="F83" s="330"/>
    </row>
    <row r="84" spans="1:6" s="372" customFormat="1" ht="12.75" thickBot="1">
      <c r="A84" s="328"/>
      <c r="B84" s="329"/>
      <c r="C84" s="329"/>
      <c r="D84" s="329"/>
      <c r="E84" s="329"/>
      <c r="F84" s="329"/>
    </row>
    <row r="85" spans="1:6" s="372" customFormat="1" ht="12.75" thickBot="1">
      <c r="A85" s="328"/>
      <c r="B85" s="329"/>
      <c r="C85" s="329"/>
      <c r="D85" s="329"/>
      <c r="E85" s="329"/>
      <c r="F85" s="329"/>
    </row>
    <row r="86" spans="1:6" s="372" customFormat="1" ht="12.75" thickBot="1">
      <c r="A86" s="328"/>
      <c r="B86" s="330"/>
      <c r="C86" s="330"/>
      <c r="D86" s="330"/>
      <c r="E86" s="329"/>
      <c r="F86" s="329"/>
    </row>
    <row r="87" spans="1:6" s="372" customFormat="1" ht="12.75" thickBot="1">
      <c r="A87" s="328"/>
      <c r="B87" s="329"/>
      <c r="C87" s="329"/>
      <c r="D87" s="329"/>
      <c r="E87" s="329"/>
      <c r="F87" s="329"/>
    </row>
    <row r="88" spans="1:6" s="372" customFormat="1" ht="12.75" thickBot="1">
      <c r="A88" s="186"/>
      <c r="B88" s="187"/>
      <c r="C88" s="187"/>
      <c r="D88" s="187"/>
      <c r="E88" s="187"/>
      <c r="F88" s="187"/>
    </row>
    <row r="89" spans="1:6" s="372" customFormat="1" ht="12.75" thickBot="1">
      <c r="A89" s="215"/>
      <c r="B89" s="188"/>
      <c r="C89" s="188"/>
      <c r="D89" s="188"/>
      <c r="E89" s="188"/>
      <c r="F89" s="188"/>
    </row>
    <row r="90" spans="1:6" s="372" customFormat="1" ht="12.75" thickBot="1">
      <c r="A90" s="328"/>
      <c r="B90" s="329"/>
      <c r="C90" s="329"/>
      <c r="D90" s="329"/>
      <c r="E90" s="329"/>
      <c r="F90" s="329"/>
    </row>
    <row r="91" spans="1:6" s="372" customFormat="1" ht="12.75" thickBot="1">
      <c r="A91" s="331"/>
      <c r="B91" s="330"/>
      <c r="C91" s="329"/>
      <c r="D91" s="329"/>
      <c r="E91" s="329"/>
      <c r="F91" s="329"/>
    </row>
    <row r="92" spans="1:6" s="372" customFormat="1" ht="12.75" thickBot="1">
      <c r="A92" s="331"/>
      <c r="B92" s="330"/>
      <c r="C92" s="330"/>
      <c r="D92" s="329"/>
      <c r="E92" s="330"/>
      <c r="F92" s="330"/>
    </row>
    <row r="93" spans="1:6" s="372" customFormat="1" ht="12.75" thickBot="1">
      <c r="A93" s="331"/>
      <c r="B93" s="329"/>
      <c r="C93" s="329"/>
      <c r="D93" s="329"/>
      <c r="E93" s="329"/>
      <c r="F93" s="330"/>
    </row>
    <row r="94" spans="1:6" s="372" customFormat="1" ht="12.75" thickBot="1">
      <c r="A94" s="328"/>
      <c r="B94" s="329"/>
      <c r="C94" s="329"/>
      <c r="D94" s="329"/>
      <c r="E94" s="329"/>
      <c r="F94" s="330"/>
    </row>
    <row r="95" spans="1:6" s="372" customFormat="1" ht="12.75" thickBot="1">
      <c r="A95" s="331"/>
      <c r="B95" s="330"/>
      <c r="C95" s="330"/>
      <c r="D95" s="329"/>
      <c r="E95" s="330"/>
      <c r="F95" s="330"/>
    </row>
    <row r="96" spans="1:6" s="372" customFormat="1" ht="12.75" thickBot="1">
      <c r="A96" s="331"/>
      <c r="B96" s="329"/>
      <c r="C96" s="329"/>
      <c r="D96" s="329"/>
      <c r="E96" s="329"/>
      <c r="F96" s="330"/>
    </row>
    <row r="97" spans="1:6" s="372" customFormat="1" ht="12.75" thickBot="1">
      <c r="A97" s="331"/>
      <c r="B97" s="330"/>
      <c r="C97" s="330"/>
      <c r="D97" s="330"/>
      <c r="E97" s="330"/>
      <c r="F97" s="330"/>
    </row>
    <row r="98" spans="1:6" s="372" customFormat="1" ht="12.75" thickBot="1">
      <c r="A98" s="328"/>
      <c r="B98" s="330"/>
      <c r="C98" s="329"/>
      <c r="D98" s="329"/>
      <c r="E98" s="329"/>
      <c r="F98" s="329"/>
    </row>
    <row r="99" spans="1:6" s="372" customFormat="1" ht="12.75" thickBot="1">
      <c r="A99" s="331"/>
      <c r="B99" s="330"/>
      <c r="C99" s="329"/>
      <c r="D99" s="329"/>
      <c r="E99" s="329"/>
      <c r="F99" s="330"/>
    </row>
    <row r="100" spans="1:6" s="372" customFormat="1" ht="12.75" thickBot="1">
      <c r="A100" s="331"/>
      <c r="B100" s="330"/>
      <c r="C100" s="330"/>
      <c r="D100" s="329"/>
      <c r="E100" s="330"/>
      <c r="F100" s="330"/>
    </row>
    <row r="101" spans="1:6" s="372" customFormat="1" ht="12.75" thickBot="1">
      <c r="A101" s="331"/>
      <c r="B101" s="330"/>
      <c r="C101" s="330"/>
      <c r="D101" s="330"/>
      <c r="E101" s="330"/>
      <c r="F101" s="329"/>
    </row>
    <row r="102" spans="1:6" s="372" customFormat="1" ht="12.75" thickBot="1">
      <c r="A102" s="331"/>
      <c r="B102" s="330"/>
      <c r="C102" s="330"/>
      <c r="D102" s="330"/>
      <c r="E102" s="329"/>
      <c r="F102" s="330"/>
    </row>
    <row r="103" spans="1:6" s="372" customFormat="1" ht="12.75" thickBot="1">
      <c r="A103" s="215"/>
      <c r="B103" s="188"/>
      <c r="C103" s="188"/>
      <c r="D103" s="188"/>
      <c r="E103" s="188"/>
      <c r="F103" s="188"/>
    </row>
    <row r="104" spans="1:6" s="372" customFormat="1" ht="12.75" thickBot="1">
      <c r="A104" s="328"/>
      <c r="B104" s="329"/>
      <c r="C104" s="329"/>
      <c r="D104" s="329"/>
      <c r="E104" s="329"/>
      <c r="F104" s="329"/>
    </row>
    <row r="105" spans="1:6" s="372" customFormat="1" ht="12.75" thickBot="1">
      <c r="A105" s="331"/>
      <c r="B105" s="330"/>
      <c r="C105" s="329"/>
      <c r="D105" s="329"/>
      <c r="E105" s="329"/>
      <c r="F105" s="329"/>
    </row>
    <row r="106" spans="1:6" s="372" customFormat="1" ht="12.75" thickBot="1">
      <c r="A106" s="331"/>
      <c r="B106" s="329"/>
      <c r="C106" s="330"/>
      <c r="D106" s="330"/>
      <c r="E106" s="329"/>
      <c r="F106" s="330"/>
    </row>
    <row r="107" spans="1:6" s="372" customFormat="1" ht="12.75" thickBot="1">
      <c r="A107" s="331"/>
      <c r="B107" s="329"/>
      <c r="C107" s="329"/>
      <c r="D107" s="329"/>
      <c r="E107" s="329"/>
      <c r="F107" s="329"/>
    </row>
    <row r="108" spans="1:6" s="372" customFormat="1" ht="12.75" thickBot="1">
      <c r="A108" s="328"/>
      <c r="B108" s="329"/>
      <c r="C108" s="329"/>
      <c r="D108" s="329"/>
      <c r="E108" s="329"/>
      <c r="F108" s="329"/>
    </row>
    <row r="109" spans="1:6" s="372" customFormat="1" ht="12.75" thickBot="1">
      <c r="A109" s="331"/>
      <c r="B109" s="330"/>
      <c r="C109" s="330"/>
      <c r="D109" s="330"/>
      <c r="E109" s="329"/>
      <c r="F109" s="330"/>
    </row>
    <row r="110" spans="1:6" s="372" customFormat="1" ht="12.75" thickBot="1">
      <c r="A110" s="331"/>
      <c r="B110" s="329"/>
      <c r="C110" s="329"/>
      <c r="D110" s="329"/>
      <c r="E110" s="330"/>
      <c r="F110" s="329"/>
    </row>
    <row r="111" spans="1:6" s="372" customFormat="1" ht="12.75" thickBot="1">
      <c r="A111" s="331"/>
      <c r="B111" s="330"/>
      <c r="C111" s="330"/>
      <c r="D111" s="329"/>
      <c r="E111" s="330"/>
      <c r="F111" s="330"/>
    </row>
    <row r="112" spans="1:6" s="372" customFormat="1" ht="12.75" thickBot="1">
      <c r="A112" s="328"/>
      <c r="B112" s="329"/>
      <c r="C112" s="329"/>
      <c r="D112" s="329"/>
      <c r="E112" s="329"/>
      <c r="F112" s="329"/>
    </row>
    <row r="113" spans="1:6" s="372" customFormat="1" ht="12.75" thickBot="1">
      <c r="A113" s="331"/>
      <c r="B113" s="330"/>
      <c r="C113" s="330"/>
      <c r="D113" s="330"/>
      <c r="E113" s="330"/>
      <c r="F113" s="329"/>
    </row>
    <row r="114" spans="1:6" s="372" customFormat="1" ht="12.75" thickBot="1">
      <c r="A114" s="331"/>
      <c r="B114" s="329"/>
      <c r="C114" s="329"/>
      <c r="D114" s="329"/>
      <c r="E114" s="329"/>
      <c r="F114" s="329"/>
    </row>
    <row r="115" spans="1:6" s="372" customFormat="1" ht="12.75" thickBot="1">
      <c r="A115" s="331"/>
      <c r="B115" s="329"/>
      <c r="C115" s="329"/>
      <c r="D115" s="330"/>
      <c r="E115" s="329"/>
      <c r="F115" s="329"/>
    </row>
    <row r="116" spans="1:6" s="372" customFormat="1" ht="12.75" thickBot="1">
      <c r="A116" s="331"/>
      <c r="B116" s="329"/>
      <c r="C116" s="329"/>
      <c r="D116" s="329"/>
      <c r="E116" s="329"/>
      <c r="F116" s="330"/>
    </row>
    <row r="117" spans="1:6" s="372" customFormat="1" ht="12.75" thickBot="1">
      <c r="A117" s="331"/>
      <c r="B117" s="330"/>
      <c r="C117" s="330"/>
      <c r="D117" s="330"/>
      <c r="E117" s="330"/>
      <c r="F117" s="329"/>
    </row>
    <row r="118" spans="1:6" s="372" customFormat="1" ht="12.75" thickBot="1">
      <c r="A118" s="331"/>
      <c r="B118" s="329"/>
      <c r="C118" s="330"/>
      <c r="D118" s="329"/>
      <c r="E118" s="329"/>
      <c r="F118" s="329"/>
    </row>
    <row r="119" spans="1:6" s="372" customFormat="1" ht="12.75" thickBot="1">
      <c r="A119" s="186"/>
      <c r="B119" s="187"/>
      <c r="C119" s="187"/>
      <c r="D119" s="187"/>
      <c r="E119" s="213"/>
      <c r="F119" s="187"/>
    </row>
    <row r="120" spans="1:6" s="372" customFormat="1" ht="12.75" thickBot="1">
      <c r="A120" s="215"/>
      <c r="B120" s="189"/>
      <c r="C120" s="188"/>
      <c r="D120" s="188"/>
      <c r="E120" s="189"/>
      <c r="F120" s="188"/>
    </row>
    <row r="121" spans="1:6" s="372" customFormat="1" ht="12.75" thickBot="1">
      <c r="A121" s="328"/>
      <c r="B121" s="330"/>
      <c r="C121" s="329"/>
      <c r="D121" s="329"/>
      <c r="E121" s="330"/>
      <c r="F121" s="329"/>
    </row>
    <row r="122" spans="1:6" s="372" customFormat="1" ht="12.75" thickBot="1">
      <c r="A122" s="331"/>
      <c r="B122" s="330"/>
      <c r="C122" s="329"/>
      <c r="D122" s="329"/>
      <c r="E122" s="330"/>
      <c r="F122" s="329"/>
    </row>
    <row r="123" spans="1:6" s="372" customFormat="1" ht="12.75" thickBot="1">
      <c r="A123" s="328"/>
      <c r="B123" s="330"/>
      <c r="C123" s="330"/>
      <c r="D123" s="330"/>
      <c r="E123" s="330"/>
      <c r="F123" s="329"/>
    </row>
    <row r="124" spans="1:6" s="372" customFormat="1" ht="12.75" thickBot="1">
      <c r="A124" s="331"/>
      <c r="B124" s="330"/>
      <c r="C124" s="330"/>
      <c r="D124" s="330"/>
      <c r="E124" s="330"/>
      <c r="F124" s="329"/>
    </row>
    <row r="125" spans="1:6" s="372" customFormat="1" ht="12.75" thickBot="1">
      <c r="A125" s="215"/>
      <c r="B125" s="188"/>
      <c r="C125" s="188"/>
      <c r="D125" s="188"/>
      <c r="E125" s="189"/>
      <c r="F125" s="189"/>
    </row>
    <row r="126" spans="1:6" s="372" customFormat="1" ht="12.75" thickBot="1">
      <c r="A126" s="328"/>
      <c r="B126" s="329"/>
      <c r="C126" s="330"/>
      <c r="D126" s="330"/>
      <c r="E126" s="330"/>
      <c r="F126" s="330"/>
    </row>
    <row r="127" spans="1:6" s="372" customFormat="1" ht="12.75" thickBot="1">
      <c r="A127" s="331"/>
      <c r="B127" s="329"/>
      <c r="C127" s="330"/>
      <c r="D127" s="330"/>
      <c r="E127" s="330"/>
      <c r="F127" s="330"/>
    </row>
    <row r="128" spans="1:6" s="372" customFormat="1" ht="12.75" thickBot="1">
      <c r="A128" s="328"/>
      <c r="B128" s="330"/>
      <c r="C128" s="330"/>
      <c r="D128" s="329"/>
      <c r="E128" s="330"/>
      <c r="F128" s="330"/>
    </row>
    <row r="129" spans="1:6" s="372" customFormat="1" ht="12.75" thickBot="1">
      <c r="A129" s="331"/>
      <c r="B129" s="330"/>
      <c r="C129" s="330"/>
      <c r="D129" s="329"/>
      <c r="E129" s="330"/>
      <c r="F129" s="330"/>
    </row>
    <row r="130" spans="1:6" s="372" customFormat="1" ht="12.75" thickBot="1">
      <c r="A130" s="328"/>
      <c r="B130" s="329"/>
      <c r="C130" s="329"/>
      <c r="D130" s="330"/>
      <c r="E130" s="330"/>
      <c r="F130" s="330"/>
    </row>
    <row r="131" spans="1:6" s="372" customFormat="1" ht="12.75" thickBot="1">
      <c r="A131" s="186"/>
      <c r="B131" s="187"/>
      <c r="C131" s="187"/>
      <c r="D131" s="187"/>
      <c r="E131" s="187"/>
      <c r="F131" s="187"/>
    </row>
    <row r="132" spans="1:6" s="372" customFormat="1" ht="12.75" thickBot="1">
      <c r="A132" s="186"/>
      <c r="B132" s="187"/>
      <c r="C132" s="187"/>
      <c r="D132" s="187"/>
      <c r="E132" s="187"/>
      <c r="F132" s="213"/>
    </row>
    <row r="133" spans="1:6" s="372" customFormat="1" ht="12.75" thickBot="1">
      <c r="A133" s="186"/>
      <c r="B133" s="187"/>
      <c r="C133" s="187"/>
      <c r="D133" s="187"/>
      <c r="E133" s="187"/>
      <c r="F133" s="187"/>
    </row>
    <row r="134" spans="1:6" s="372" customFormat="1" ht="12.75" thickBot="1">
      <c r="A134" s="186"/>
      <c r="B134" s="187"/>
      <c r="C134" s="187"/>
      <c r="D134" s="187"/>
      <c r="E134" s="187"/>
      <c r="F134" s="213"/>
    </row>
    <row r="135" spans="1:6" s="372" customFormat="1" ht="12.75" thickBot="1">
      <c r="A135" s="215"/>
      <c r="B135" s="188"/>
      <c r="C135" s="188"/>
      <c r="D135" s="188"/>
      <c r="E135" s="188"/>
      <c r="F135" s="189"/>
    </row>
    <row r="136" spans="1:6" s="372" customFormat="1" ht="12.75" thickBot="1">
      <c r="A136" s="215"/>
      <c r="B136" s="188"/>
      <c r="C136" s="188"/>
      <c r="D136" s="189"/>
      <c r="E136" s="189"/>
      <c r="F136" s="189"/>
    </row>
    <row r="137" spans="1:6" s="372" customFormat="1" ht="12.75" thickBot="1">
      <c r="A137" s="373"/>
      <c r="B137" s="375"/>
      <c r="C137" s="374"/>
      <c r="D137" s="375"/>
      <c r="E137" s="375"/>
      <c r="F137" s="375"/>
    </row>
    <row r="138" spans="1:6" s="372" customFormat="1">
      <c r="A138" s="184"/>
    </row>
  </sheetData>
  <mergeCells count="4">
    <mergeCell ref="A58:F58"/>
    <mergeCell ref="A59:A62"/>
    <mergeCell ref="A1:F1"/>
    <mergeCell ref="A2:A5"/>
  </mergeCells>
  <phoneticPr fontId="2" type="noConversion"/>
  <conditionalFormatting sqref="A1:A47 K1:K28">
    <cfRule type="duplicateValues" dxfId="11" priority="2"/>
  </conditionalFormatting>
  <conditionalFormatting sqref="K1:K7 A1:A7">
    <cfRule type="duplicateValues" dxfId="1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2"/>
  <sheetViews>
    <sheetView showGridLines="0" zoomScale="85" zoomScaleNormal="85" workbookViewId="0">
      <selection activeCell="B45" sqref="B45"/>
    </sheetView>
  </sheetViews>
  <sheetFormatPr defaultRowHeight="12"/>
  <cols>
    <col min="1" max="1" width="36" style="333" bestFit="1" customWidth="1"/>
    <col min="2" max="2" width="15.875" style="333" customWidth="1"/>
    <col min="3" max="3" width="13.375" style="333" customWidth="1"/>
    <col min="4" max="5" width="12.25" style="333" customWidth="1"/>
    <col min="6" max="6" width="11.5" style="333" bestFit="1" customWidth="1"/>
    <col min="7" max="16384" width="9" style="333"/>
  </cols>
  <sheetData>
    <row r="1" spans="1:6" ht="12.75" thickBot="1">
      <c r="A1" s="184"/>
    </row>
    <row r="2" spans="1:6">
      <c r="A2" s="321"/>
      <c r="B2" s="321"/>
      <c r="C2" s="321"/>
      <c r="D2" s="321"/>
    </row>
    <row r="3" spans="1:6" ht="12.75" thickBot="1">
      <c r="A3" s="322"/>
      <c r="B3" s="322"/>
      <c r="C3" s="322"/>
      <c r="D3" s="322"/>
    </row>
    <row r="4" spans="1:6">
      <c r="A4" s="184"/>
    </row>
    <row r="5" spans="1:6">
      <c r="A5" s="184"/>
    </row>
    <row r="6" spans="1:6" ht="32.25" thickBot="1">
      <c r="A6" s="486"/>
      <c r="B6" s="487"/>
      <c r="C6" s="487"/>
      <c r="D6" s="487"/>
      <c r="E6" s="487"/>
      <c r="F6" s="487"/>
    </row>
    <row r="7" spans="1:6" ht="13.5">
      <c r="A7" s="488"/>
      <c r="B7" s="323"/>
      <c r="C7" s="323"/>
      <c r="D7" s="323"/>
      <c r="E7" s="323"/>
      <c r="F7" s="323"/>
    </row>
    <row r="8" spans="1:6" ht="13.5">
      <c r="A8" s="489"/>
      <c r="B8" s="324"/>
      <c r="C8" s="324"/>
      <c r="D8" s="324"/>
      <c r="E8" s="324"/>
      <c r="F8" s="324"/>
    </row>
    <row r="9" spans="1:6" ht="14.25" thickBot="1">
      <c r="A9" s="489"/>
      <c r="B9" s="324"/>
      <c r="C9" s="324"/>
      <c r="D9" s="324"/>
      <c r="E9" s="324"/>
      <c r="F9" s="324"/>
    </row>
    <row r="10" spans="1:6" ht="12.75" thickBot="1">
      <c r="A10" s="490"/>
      <c r="B10" s="325"/>
      <c r="C10" s="325"/>
      <c r="D10" s="325"/>
      <c r="E10" s="325"/>
      <c r="F10" s="325"/>
    </row>
    <row r="11" spans="1:6" ht="14.25" thickBot="1">
      <c r="A11" s="326"/>
      <c r="B11" s="327"/>
      <c r="C11" s="327"/>
      <c r="D11" s="327"/>
      <c r="E11" s="327"/>
      <c r="F11" s="327"/>
    </row>
    <row r="12" spans="1:6" ht="12.75" thickBot="1">
      <c r="A12" s="186"/>
      <c r="B12" s="187"/>
      <c r="C12" s="187"/>
      <c r="D12" s="187"/>
      <c r="E12" s="187"/>
      <c r="F12" s="187"/>
    </row>
    <row r="13" spans="1:6" ht="12.75" thickBot="1">
      <c r="A13" s="215"/>
      <c r="B13" s="188"/>
      <c r="C13" s="188"/>
      <c r="D13" s="188"/>
      <c r="E13" s="188"/>
      <c r="F13" s="188"/>
    </row>
    <row r="14" spans="1:6" ht="12.75" thickBot="1">
      <c r="A14" s="215"/>
      <c r="B14" s="188"/>
      <c r="C14" s="188"/>
      <c r="D14" s="188"/>
      <c r="E14" s="188"/>
      <c r="F14" s="188"/>
    </row>
    <row r="15" spans="1:6" ht="12.75" thickBot="1">
      <c r="A15" s="328"/>
      <c r="B15" s="329"/>
      <c r="C15" s="329"/>
      <c r="D15" s="329"/>
      <c r="E15" s="329"/>
      <c r="F15" s="329"/>
    </row>
    <row r="16" spans="1:6" ht="12.75" thickBot="1">
      <c r="A16" s="331"/>
      <c r="B16" s="329"/>
      <c r="C16" s="329"/>
      <c r="D16" s="329"/>
      <c r="E16" s="329"/>
      <c r="F16" s="329"/>
    </row>
    <row r="17" spans="1:6" ht="12.75" thickBot="1">
      <c r="A17" s="328"/>
      <c r="B17" s="329"/>
      <c r="C17" s="329"/>
      <c r="D17" s="329"/>
      <c r="E17" s="330"/>
      <c r="F17" s="329"/>
    </row>
    <row r="18" spans="1:6" ht="12.75" thickBot="1">
      <c r="A18" s="328"/>
      <c r="B18" s="329"/>
      <c r="C18" s="329"/>
      <c r="D18" s="329"/>
      <c r="E18" s="330"/>
      <c r="F18" s="330"/>
    </row>
    <row r="19" spans="1:6" ht="12.75" thickBot="1">
      <c r="A19" s="331"/>
      <c r="B19" s="329"/>
      <c r="C19" s="329"/>
      <c r="D19" s="329"/>
      <c r="E19" s="330"/>
      <c r="F19" s="329"/>
    </row>
    <row r="20" spans="1:6" ht="12.75" thickBot="1">
      <c r="A20" s="328"/>
      <c r="B20" s="329"/>
      <c r="C20" s="329"/>
      <c r="D20" s="329"/>
      <c r="E20" s="329"/>
      <c r="F20" s="329"/>
    </row>
    <row r="21" spans="1:6" ht="12.75" thickBot="1">
      <c r="A21" s="328"/>
      <c r="B21" s="329"/>
      <c r="C21" s="329"/>
      <c r="D21" s="329"/>
      <c r="E21" s="329"/>
      <c r="F21" s="329"/>
    </row>
    <row r="22" spans="1:6" ht="12.75" thickBot="1">
      <c r="A22" s="328"/>
      <c r="B22" s="329"/>
      <c r="C22" s="329"/>
      <c r="D22" s="329"/>
      <c r="E22" s="330"/>
      <c r="F22" s="329"/>
    </row>
    <row r="23" spans="1:6" ht="12.75" thickBot="1">
      <c r="A23" s="331"/>
      <c r="B23" s="329"/>
      <c r="C23" s="330"/>
      <c r="D23" s="330"/>
      <c r="E23" s="330"/>
      <c r="F23" s="330"/>
    </row>
    <row r="24" spans="1:6" ht="12.75" thickBot="1">
      <c r="A24" s="331"/>
      <c r="B24" s="329"/>
      <c r="C24" s="329"/>
      <c r="D24" s="329"/>
      <c r="E24" s="329"/>
      <c r="F24" s="329"/>
    </row>
    <row r="25" spans="1:6" ht="12.75" thickBot="1">
      <c r="A25" s="328"/>
      <c r="B25" s="329"/>
      <c r="C25" s="329"/>
      <c r="D25" s="329"/>
      <c r="E25" s="330"/>
      <c r="F25" s="329"/>
    </row>
    <row r="26" spans="1:6" ht="12.75" thickBot="1">
      <c r="A26" s="328"/>
      <c r="B26" s="329"/>
      <c r="C26" s="329"/>
      <c r="D26" s="329"/>
      <c r="E26" s="330"/>
      <c r="F26" s="330"/>
    </row>
    <row r="27" spans="1:6" ht="12.75" thickBot="1">
      <c r="A27" s="331"/>
      <c r="B27" s="329"/>
      <c r="C27" s="329"/>
      <c r="D27" s="329"/>
      <c r="E27" s="330"/>
      <c r="F27" s="329"/>
    </row>
    <row r="28" spans="1:6" ht="12.75" thickBot="1">
      <c r="A28" s="328"/>
      <c r="B28" s="329"/>
      <c r="C28" s="329"/>
      <c r="D28" s="329"/>
      <c r="E28" s="329"/>
      <c r="F28" s="329"/>
    </row>
    <row r="29" spans="1:6" ht="12.75" thickBot="1">
      <c r="A29" s="328"/>
      <c r="B29" s="329"/>
      <c r="C29" s="329"/>
      <c r="D29" s="329"/>
      <c r="E29" s="329"/>
      <c r="F29" s="329"/>
    </row>
    <row r="30" spans="1:6" ht="12.75" thickBot="1">
      <c r="A30" s="331"/>
      <c r="B30" s="329"/>
      <c r="C30" s="329"/>
      <c r="D30" s="329"/>
      <c r="E30" s="329"/>
      <c r="F30" s="329"/>
    </row>
    <row r="31" spans="1:6" ht="12.75" thickBot="1">
      <c r="A31" s="328"/>
      <c r="B31" s="329"/>
      <c r="C31" s="329"/>
      <c r="D31" s="329"/>
      <c r="E31" s="329"/>
      <c r="F31" s="329"/>
    </row>
    <row r="32" spans="1:6" ht="12.75" thickBot="1">
      <c r="A32" s="328"/>
      <c r="B32" s="329"/>
      <c r="C32" s="329"/>
      <c r="D32" s="329"/>
      <c r="E32" s="329"/>
      <c r="F32" s="329"/>
    </row>
    <row r="33" spans="1:6" ht="12.75" thickBot="1">
      <c r="A33" s="331"/>
      <c r="B33" s="329"/>
      <c r="C33" s="329"/>
      <c r="D33" s="329"/>
      <c r="E33" s="329"/>
      <c r="F33" s="329"/>
    </row>
    <row r="34" spans="1:6" ht="12.75" thickBot="1">
      <c r="A34" s="328"/>
      <c r="B34" s="329"/>
      <c r="C34" s="329"/>
      <c r="D34" s="329"/>
      <c r="E34" s="329"/>
      <c r="F34" s="329"/>
    </row>
    <row r="35" spans="1:6" ht="12.75" thickBot="1">
      <c r="A35" s="328"/>
      <c r="B35" s="330"/>
      <c r="C35" s="330"/>
      <c r="D35" s="330"/>
      <c r="E35" s="329"/>
      <c r="F35" s="330"/>
    </row>
    <row r="36" spans="1:6" ht="12.75" thickBot="1">
      <c r="A36" s="328"/>
      <c r="B36" s="329"/>
      <c r="C36" s="329"/>
      <c r="D36" s="329"/>
      <c r="E36" s="329"/>
      <c r="F36" s="329"/>
    </row>
    <row r="37" spans="1:6" ht="12.75" thickBot="1">
      <c r="A37" s="215"/>
      <c r="B37" s="188"/>
      <c r="C37" s="188"/>
      <c r="D37" s="188"/>
      <c r="E37" s="188"/>
      <c r="F37" s="188"/>
    </row>
    <row r="38" spans="1:6" ht="12.75" thickBot="1">
      <c r="A38" s="328"/>
      <c r="B38" s="329"/>
      <c r="C38" s="329"/>
      <c r="D38" s="329"/>
      <c r="E38" s="329"/>
      <c r="F38" s="329"/>
    </row>
    <row r="39" spans="1:6" ht="12.75" thickBot="1">
      <c r="A39" s="331"/>
      <c r="B39" s="329"/>
      <c r="C39" s="329"/>
      <c r="D39" s="329"/>
      <c r="E39" s="329"/>
      <c r="F39" s="329"/>
    </row>
    <row r="40" spans="1:6" ht="12.75" thickBot="1">
      <c r="A40" s="328"/>
      <c r="B40" s="330"/>
      <c r="C40" s="330"/>
      <c r="D40" s="330"/>
      <c r="E40" s="329"/>
      <c r="F40" s="329"/>
    </row>
    <row r="41" spans="1:6" ht="12.75" thickBot="1">
      <c r="A41" s="331"/>
      <c r="B41" s="330"/>
      <c r="C41" s="330"/>
      <c r="D41" s="330"/>
      <c r="E41" s="329"/>
      <c r="F41" s="329"/>
    </row>
    <row r="42" spans="1:6" ht="12.75" thickBot="1">
      <c r="A42" s="328"/>
      <c r="B42" s="330"/>
      <c r="C42" s="330"/>
      <c r="D42" s="330"/>
      <c r="E42" s="330"/>
      <c r="F42" s="329"/>
    </row>
    <row r="43" spans="1:6" ht="12.75" thickBot="1">
      <c r="A43" s="331"/>
      <c r="B43" s="330"/>
      <c r="C43" s="330"/>
      <c r="D43" s="330"/>
      <c r="E43" s="330"/>
      <c r="F43" s="329"/>
    </row>
    <row r="44" spans="1:6" ht="12.75" thickBot="1">
      <c r="A44" s="328"/>
      <c r="B44" s="329"/>
      <c r="C44" s="329"/>
      <c r="D44" s="329"/>
      <c r="E44" s="329"/>
      <c r="F44" s="329"/>
    </row>
    <row r="45" spans="1:6" ht="12.75" thickBot="1">
      <c r="A45" s="328"/>
      <c r="B45" s="329"/>
      <c r="C45" s="329"/>
      <c r="D45" s="329"/>
      <c r="E45" s="329"/>
      <c r="F45" s="329"/>
    </row>
    <row r="46" spans="1:6" ht="12.75" thickBot="1">
      <c r="A46" s="328"/>
      <c r="B46" s="329"/>
      <c r="C46" s="329"/>
      <c r="D46" s="329"/>
      <c r="E46" s="329"/>
      <c r="F46" s="330"/>
    </row>
    <row r="47" spans="1:6" ht="12.75" thickBot="1">
      <c r="A47" s="186"/>
      <c r="B47" s="187"/>
      <c r="C47" s="187"/>
      <c r="D47" s="187"/>
      <c r="E47" s="187"/>
      <c r="F47" s="187"/>
    </row>
    <row r="48" spans="1:6" ht="12.75" thickBot="1">
      <c r="A48" s="215"/>
      <c r="B48" s="188"/>
      <c r="C48" s="188"/>
      <c r="D48" s="188"/>
      <c r="E48" s="188"/>
      <c r="F48" s="188"/>
    </row>
    <row r="49" spans="1:6" ht="12.75" thickBot="1">
      <c r="A49" s="215"/>
      <c r="B49" s="188"/>
      <c r="C49" s="188"/>
      <c r="D49" s="188"/>
      <c r="E49" s="188"/>
      <c r="F49" s="188"/>
    </row>
    <row r="50" spans="1:6" ht="12.75" thickBot="1">
      <c r="A50" s="328"/>
      <c r="B50" s="329"/>
      <c r="C50" s="329"/>
      <c r="D50" s="329"/>
      <c r="E50" s="329"/>
      <c r="F50" s="329"/>
    </row>
    <row r="51" spans="1:6" ht="12.75" thickBot="1">
      <c r="A51" s="328"/>
      <c r="B51" s="329"/>
      <c r="C51" s="329"/>
      <c r="D51" s="329"/>
      <c r="E51" s="330"/>
      <c r="F51" s="330"/>
    </row>
    <row r="52" spans="1:6" ht="12.75" thickBot="1">
      <c r="A52" s="331"/>
      <c r="B52" s="329"/>
      <c r="C52" s="329"/>
      <c r="D52" s="329"/>
      <c r="E52" s="330"/>
      <c r="F52" s="329"/>
    </row>
    <row r="53" spans="1:6" ht="12.75" thickBot="1">
      <c r="A53" s="331"/>
      <c r="B53" s="329"/>
      <c r="C53" s="329"/>
      <c r="D53" s="329"/>
      <c r="E53" s="329"/>
      <c r="F53" s="329"/>
    </row>
    <row r="54" spans="1:6" ht="12.75" thickBot="1">
      <c r="A54" s="328"/>
      <c r="B54" s="329"/>
      <c r="C54" s="329"/>
      <c r="D54" s="329"/>
      <c r="E54" s="329"/>
      <c r="F54" s="329"/>
    </row>
    <row r="55" spans="1:6" ht="12.75" thickBot="1">
      <c r="A55" s="331"/>
      <c r="B55" s="329"/>
      <c r="C55" s="329"/>
      <c r="D55" s="329"/>
      <c r="E55" s="329"/>
      <c r="F55" s="329"/>
    </row>
    <row r="56" spans="1:6" ht="12.75" thickBot="1">
      <c r="A56" s="331"/>
      <c r="B56" s="329"/>
      <c r="C56" s="329"/>
      <c r="D56" s="329"/>
      <c r="E56" s="330"/>
      <c r="F56" s="329"/>
    </row>
    <row r="57" spans="1:6" ht="12.75" thickBot="1">
      <c r="A57" s="328"/>
      <c r="B57" s="329"/>
      <c r="C57" s="329"/>
      <c r="D57" s="329"/>
      <c r="E57" s="329"/>
      <c r="F57" s="329"/>
    </row>
    <row r="58" spans="1:6" ht="12.75" thickBot="1">
      <c r="A58" s="328"/>
      <c r="B58" s="329"/>
      <c r="C58" s="329"/>
      <c r="D58" s="329"/>
      <c r="E58" s="329"/>
      <c r="F58" s="329"/>
    </row>
    <row r="59" spans="1:6" ht="12.75" thickBot="1">
      <c r="A59" s="328"/>
      <c r="B59" s="329"/>
      <c r="C59" s="329"/>
      <c r="D59" s="329"/>
      <c r="E59" s="329"/>
      <c r="F59" s="329"/>
    </row>
    <row r="60" spans="1:6" ht="12.75" thickBot="1">
      <c r="A60" s="331"/>
      <c r="B60" s="329"/>
      <c r="C60" s="329"/>
      <c r="D60" s="329"/>
      <c r="E60" s="329"/>
      <c r="F60" s="329"/>
    </row>
    <row r="61" spans="1:6" ht="12.75" thickBot="1">
      <c r="A61" s="328"/>
      <c r="B61" s="329"/>
      <c r="C61" s="329"/>
      <c r="D61" s="329"/>
      <c r="E61" s="329"/>
      <c r="F61" s="329"/>
    </row>
    <row r="62" spans="1:6" ht="12.75" thickBot="1">
      <c r="A62" s="331"/>
      <c r="B62" s="329"/>
      <c r="C62" s="329"/>
      <c r="D62" s="329"/>
      <c r="E62" s="329"/>
      <c r="F62" s="329"/>
    </row>
    <row r="63" spans="1:6" ht="12.75" thickBot="1">
      <c r="A63" s="215"/>
      <c r="B63" s="188"/>
      <c r="C63" s="188"/>
      <c r="D63" s="188"/>
      <c r="E63" s="188"/>
      <c r="F63" s="188"/>
    </row>
    <row r="64" spans="1:6" ht="12.75" thickBot="1">
      <c r="A64" s="215"/>
      <c r="B64" s="188"/>
      <c r="C64" s="188"/>
      <c r="D64" s="188"/>
      <c r="E64" s="188"/>
      <c r="F64" s="188"/>
    </row>
    <row r="65" spans="1:6" ht="12.75" thickBot="1">
      <c r="A65" s="328"/>
      <c r="B65" s="329"/>
      <c r="C65" s="329"/>
      <c r="D65" s="329"/>
      <c r="E65" s="329"/>
      <c r="F65" s="329"/>
    </row>
    <row r="66" spans="1:6" ht="12.75" thickBot="1">
      <c r="A66" s="328"/>
      <c r="B66" s="329"/>
      <c r="C66" s="329"/>
      <c r="D66" s="329"/>
      <c r="E66" s="329"/>
      <c r="F66" s="329"/>
    </row>
    <row r="67" spans="1:6" ht="12.75" thickBot="1">
      <c r="A67" s="328"/>
      <c r="B67" s="329"/>
      <c r="C67" s="329"/>
      <c r="D67" s="329"/>
      <c r="E67" s="329"/>
      <c r="F67" s="329"/>
    </row>
    <row r="68" spans="1:6" ht="12.75" thickBot="1">
      <c r="A68" s="328"/>
      <c r="B68" s="329"/>
      <c r="C68" s="329"/>
      <c r="D68" s="329"/>
      <c r="E68" s="329"/>
      <c r="F68" s="329"/>
    </row>
    <row r="69" spans="1:6" ht="12.75" thickBot="1">
      <c r="A69" s="328"/>
      <c r="B69" s="329"/>
      <c r="C69" s="329"/>
      <c r="D69" s="329"/>
      <c r="E69" s="329"/>
      <c r="F69" s="329"/>
    </row>
    <row r="70" spans="1:6" ht="12.75" thickBot="1">
      <c r="A70" s="328"/>
      <c r="B70" s="329"/>
      <c r="C70" s="329"/>
      <c r="D70" s="329"/>
      <c r="E70" s="329"/>
      <c r="F70" s="329"/>
    </row>
    <row r="71" spans="1:6" ht="12.75" thickBot="1">
      <c r="A71" s="328"/>
      <c r="B71" s="329"/>
      <c r="C71" s="329"/>
      <c r="D71" s="329"/>
      <c r="E71" s="329"/>
      <c r="F71" s="329"/>
    </row>
    <row r="72" spans="1:6" ht="12.75" thickBot="1">
      <c r="A72" s="215"/>
      <c r="B72" s="188"/>
      <c r="C72" s="188"/>
      <c r="D72" s="188"/>
      <c r="E72" s="188"/>
      <c r="F72" s="188"/>
    </row>
    <row r="73" spans="1:6" ht="12.75" thickBot="1">
      <c r="A73" s="328"/>
      <c r="B73" s="329"/>
      <c r="C73" s="329"/>
      <c r="D73" s="329"/>
      <c r="E73" s="329"/>
      <c r="F73" s="329"/>
    </row>
    <row r="74" spans="1:6" ht="12.75" thickBot="1">
      <c r="A74" s="215"/>
      <c r="B74" s="188"/>
      <c r="C74" s="188"/>
      <c r="D74" s="188"/>
      <c r="E74" s="188"/>
      <c r="F74" s="188"/>
    </row>
    <row r="75" spans="1:6" ht="12.75" thickBot="1">
      <c r="A75" s="215"/>
      <c r="B75" s="188"/>
      <c r="C75" s="188"/>
      <c r="D75" s="188"/>
      <c r="E75" s="188"/>
      <c r="F75" s="189"/>
    </row>
    <row r="76" spans="1:6" ht="12.75" thickBot="1">
      <c r="A76" s="328"/>
      <c r="B76" s="329"/>
      <c r="C76" s="329"/>
      <c r="D76" s="329"/>
      <c r="E76" s="329"/>
      <c r="F76" s="329"/>
    </row>
    <row r="77" spans="1:6" ht="12.75" thickBot="1">
      <c r="A77" s="328"/>
      <c r="B77" s="329"/>
      <c r="C77" s="329"/>
      <c r="D77" s="329"/>
      <c r="E77" s="329"/>
      <c r="F77" s="329"/>
    </row>
    <row r="78" spans="1:6" ht="12.75" thickBot="1">
      <c r="A78" s="328"/>
      <c r="B78" s="329"/>
      <c r="C78" s="329"/>
      <c r="D78" s="329"/>
      <c r="E78" s="329"/>
      <c r="F78" s="330"/>
    </row>
    <row r="79" spans="1:6" ht="12.75" thickBot="1">
      <c r="A79" s="328"/>
      <c r="B79" s="329"/>
      <c r="C79" s="329"/>
      <c r="D79" s="329"/>
      <c r="E79" s="329"/>
      <c r="F79" s="329"/>
    </row>
    <row r="80" spans="1:6" ht="12.75" thickBot="1">
      <c r="A80" s="186"/>
      <c r="B80" s="187"/>
      <c r="C80" s="187"/>
      <c r="D80" s="187"/>
      <c r="E80" s="187"/>
      <c r="F80" s="187"/>
    </row>
    <row r="81" spans="1:6" ht="12.75" thickBot="1">
      <c r="A81" s="215"/>
      <c r="B81" s="188"/>
      <c r="C81" s="188"/>
      <c r="D81" s="188"/>
      <c r="E81" s="188"/>
      <c r="F81" s="188"/>
    </row>
    <row r="82" spans="1:6" ht="12.75" thickBot="1">
      <c r="A82" s="328"/>
      <c r="B82" s="329"/>
      <c r="C82" s="329"/>
      <c r="D82" s="329"/>
      <c r="E82" s="329"/>
      <c r="F82" s="329"/>
    </row>
    <row r="83" spans="1:6" ht="12.75" thickBot="1">
      <c r="A83" s="331"/>
      <c r="B83" s="329"/>
      <c r="C83" s="329"/>
      <c r="D83" s="329"/>
      <c r="E83" s="329"/>
      <c r="F83" s="329"/>
    </row>
    <row r="84" spans="1:6" ht="12.75" thickBot="1">
      <c r="A84" s="328"/>
      <c r="B84" s="329"/>
      <c r="C84" s="329"/>
      <c r="D84" s="329"/>
      <c r="E84" s="329"/>
      <c r="F84" s="329"/>
    </row>
    <row r="85" spans="1:6" ht="12.75" thickBot="1">
      <c r="A85" s="331"/>
      <c r="B85" s="329"/>
      <c r="C85" s="329"/>
      <c r="D85" s="329"/>
      <c r="E85" s="329"/>
      <c r="F85" s="329"/>
    </row>
    <row r="86" spans="1:6" ht="12.75" thickBot="1">
      <c r="A86" s="328"/>
      <c r="B86" s="329"/>
      <c r="C86" s="329"/>
      <c r="D86" s="329"/>
      <c r="E86" s="329"/>
      <c r="F86" s="329"/>
    </row>
    <row r="87" spans="1:6" ht="12.75" thickBot="1">
      <c r="A87" s="331"/>
      <c r="B87" s="329"/>
      <c r="C87" s="329"/>
      <c r="D87" s="329"/>
      <c r="E87" s="329"/>
      <c r="F87" s="329"/>
    </row>
    <row r="88" spans="1:6" ht="12.75" thickBot="1">
      <c r="A88" s="328"/>
      <c r="B88" s="329"/>
      <c r="C88" s="329"/>
      <c r="D88" s="329"/>
      <c r="E88" s="329"/>
      <c r="F88" s="329"/>
    </row>
    <row r="89" spans="1:6" ht="12.75" thickBot="1">
      <c r="A89" s="328"/>
      <c r="B89" s="329"/>
      <c r="C89" s="329"/>
      <c r="D89" s="329"/>
      <c r="E89" s="329"/>
      <c r="F89" s="329"/>
    </row>
    <row r="90" spans="1:6" ht="12.75" thickBot="1">
      <c r="A90" s="328"/>
      <c r="B90" s="329"/>
      <c r="C90" s="330"/>
      <c r="D90" s="329"/>
      <c r="E90" s="330"/>
      <c r="F90" s="330"/>
    </row>
    <row r="91" spans="1:6" ht="12.75" thickBot="1">
      <c r="A91" s="331"/>
      <c r="B91" s="329"/>
      <c r="C91" s="329"/>
      <c r="D91" s="329"/>
      <c r="E91" s="329"/>
      <c r="F91" s="329"/>
    </row>
    <row r="92" spans="1:6" ht="12.75" thickBot="1">
      <c r="A92" s="331"/>
      <c r="B92" s="329"/>
      <c r="C92" s="329"/>
      <c r="D92" s="329"/>
      <c r="E92" s="330"/>
      <c r="F92" s="329"/>
    </row>
    <row r="93" spans="1:6" ht="12.75" thickBot="1">
      <c r="A93" s="331"/>
      <c r="B93" s="329"/>
      <c r="C93" s="329"/>
      <c r="D93" s="329"/>
      <c r="E93" s="329"/>
      <c r="F93" s="329"/>
    </row>
    <row r="94" spans="1:6" ht="12.75" thickBot="1">
      <c r="A94" s="328"/>
      <c r="B94" s="329"/>
      <c r="C94" s="329"/>
      <c r="D94" s="329"/>
      <c r="E94" s="329"/>
      <c r="F94" s="329"/>
    </row>
    <row r="95" spans="1:6" ht="12.75" thickBot="1">
      <c r="A95" s="331"/>
      <c r="B95" s="330"/>
      <c r="C95" s="330"/>
      <c r="D95" s="330"/>
      <c r="E95" s="329"/>
      <c r="F95" s="329"/>
    </row>
    <row r="96" spans="1:6" ht="12.75" thickBot="1">
      <c r="A96" s="331"/>
      <c r="B96" s="329"/>
      <c r="C96" s="329"/>
      <c r="D96" s="329"/>
      <c r="E96" s="330"/>
      <c r="F96" s="330"/>
    </row>
    <row r="97" spans="1:6" ht="12.75" thickBot="1">
      <c r="A97" s="328"/>
      <c r="B97" s="329"/>
      <c r="C97" s="329"/>
      <c r="D97" s="329"/>
      <c r="E97" s="329"/>
      <c r="F97" s="329"/>
    </row>
    <row r="98" spans="1:6" ht="12.75" thickBot="1">
      <c r="A98" s="215"/>
      <c r="B98" s="188"/>
      <c r="C98" s="188"/>
      <c r="D98" s="188"/>
      <c r="E98" s="188"/>
      <c r="F98" s="188"/>
    </row>
    <row r="99" spans="1:6" ht="12.75" thickBot="1">
      <c r="A99" s="328"/>
      <c r="B99" s="329"/>
      <c r="C99" s="329"/>
      <c r="D99" s="329"/>
      <c r="E99" s="329"/>
      <c r="F99" s="329"/>
    </row>
    <row r="100" spans="1:6" ht="12.75" thickBot="1">
      <c r="A100" s="328"/>
      <c r="B100" s="329"/>
      <c r="C100" s="329"/>
      <c r="D100" s="329"/>
      <c r="E100" s="329"/>
      <c r="F100" s="329"/>
    </row>
    <row r="101" spans="1:6" ht="12.75" thickBot="1">
      <c r="A101" s="331"/>
      <c r="B101" s="329"/>
      <c r="C101" s="329"/>
      <c r="D101" s="329"/>
      <c r="E101" s="329"/>
      <c r="F101" s="329"/>
    </row>
    <row r="102" spans="1:6" ht="12.75" thickBot="1">
      <c r="A102" s="331"/>
      <c r="B102" s="329"/>
      <c r="C102" s="329"/>
      <c r="D102" s="329"/>
      <c r="E102" s="329"/>
      <c r="F102" s="329"/>
    </row>
    <row r="103" spans="1:6" ht="12.75" thickBot="1">
      <c r="A103" s="328"/>
      <c r="B103" s="329"/>
      <c r="C103" s="329"/>
      <c r="D103" s="329"/>
      <c r="E103" s="329"/>
      <c r="F103" s="329"/>
    </row>
    <row r="104" spans="1:6" ht="12.75" thickBot="1">
      <c r="A104" s="328"/>
      <c r="B104" s="329"/>
      <c r="C104" s="330"/>
      <c r="D104" s="329"/>
      <c r="E104" s="330"/>
      <c r="F104" s="330"/>
    </row>
    <row r="105" spans="1:6" ht="12.75" thickBot="1">
      <c r="A105" s="331"/>
      <c r="B105" s="329"/>
      <c r="C105" s="329"/>
      <c r="D105" s="329"/>
      <c r="E105" s="329"/>
      <c r="F105" s="329"/>
    </row>
    <row r="106" spans="1:6" ht="12.75" thickBot="1">
      <c r="A106" s="328"/>
      <c r="B106" s="329"/>
      <c r="C106" s="329"/>
      <c r="D106" s="329"/>
      <c r="E106" s="329"/>
      <c r="F106" s="329"/>
    </row>
    <row r="107" spans="1:6" ht="12.75" thickBot="1">
      <c r="A107" s="331"/>
      <c r="B107" s="329"/>
      <c r="C107" s="329"/>
      <c r="D107" s="329"/>
      <c r="E107" s="329"/>
      <c r="F107" s="329"/>
    </row>
    <row r="108" spans="1:6" ht="12.75" thickBot="1">
      <c r="A108" s="331"/>
      <c r="B108" s="329"/>
      <c r="C108" s="329"/>
      <c r="D108" s="329"/>
      <c r="E108" s="330"/>
      <c r="F108" s="329"/>
    </row>
    <row r="109" spans="1:6" ht="12.75" thickBot="1">
      <c r="A109" s="331"/>
      <c r="B109" s="329"/>
      <c r="C109" s="329"/>
      <c r="D109" s="329"/>
      <c r="E109" s="330"/>
      <c r="F109" s="329"/>
    </row>
    <row r="110" spans="1:6" ht="12.75" thickBot="1">
      <c r="A110" s="328"/>
      <c r="B110" s="329"/>
      <c r="C110" s="329"/>
      <c r="D110" s="329"/>
      <c r="E110" s="329"/>
      <c r="F110" s="329"/>
    </row>
    <row r="111" spans="1:6" ht="12.75" thickBot="1">
      <c r="A111" s="331"/>
      <c r="B111" s="329"/>
      <c r="C111" s="329"/>
      <c r="D111" s="329"/>
      <c r="E111" s="329"/>
      <c r="F111" s="329"/>
    </row>
    <row r="112" spans="1:6" ht="12.75" thickBot="1">
      <c r="A112" s="331"/>
      <c r="B112" s="329"/>
      <c r="C112" s="329"/>
      <c r="D112" s="329"/>
      <c r="E112" s="329"/>
      <c r="F112" s="329"/>
    </row>
    <row r="113" spans="1:6" ht="12.75" thickBot="1">
      <c r="A113" s="328"/>
      <c r="B113" s="330"/>
      <c r="C113" s="329"/>
      <c r="D113" s="329"/>
      <c r="E113" s="329"/>
      <c r="F113" s="329"/>
    </row>
    <row r="114" spans="1:6" ht="12.75" thickBot="1">
      <c r="A114" s="186"/>
      <c r="B114" s="187"/>
      <c r="C114" s="187"/>
      <c r="D114" s="187"/>
      <c r="E114" s="187"/>
      <c r="F114" s="187"/>
    </row>
    <row r="115" spans="1:6" ht="12.75" thickBot="1">
      <c r="A115" s="215"/>
      <c r="B115" s="188"/>
      <c r="C115" s="188"/>
      <c r="D115" s="188"/>
      <c r="E115" s="188"/>
      <c r="F115" s="188"/>
    </row>
    <row r="116" spans="1:6" ht="12.75" thickBot="1">
      <c r="A116" s="215"/>
      <c r="B116" s="188"/>
      <c r="C116" s="188"/>
      <c r="D116" s="188"/>
      <c r="E116" s="188"/>
      <c r="F116" s="188"/>
    </row>
    <row r="117" spans="1:6" ht="12.75" thickBot="1">
      <c r="A117" s="215"/>
      <c r="B117" s="188"/>
      <c r="C117" s="188"/>
      <c r="D117" s="188"/>
      <c r="E117" s="188"/>
      <c r="F117" s="188"/>
    </row>
    <row r="118" spans="1:6" ht="12.75" thickBot="1">
      <c r="A118" s="328"/>
      <c r="B118" s="329"/>
      <c r="C118" s="329"/>
      <c r="D118" s="329"/>
      <c r="E118" s="329"/>
      <c r="F118" s="329"/>
    </row>
    <row r="119" spans="1:6" ht="12.75" thickBot="1">
      <c r="A119" s="328"/>
      <c r="B119" s="329"/>
      <c r="C119" s="329"/>
      <c r="D119" s="329"/>
      <c r="E119" s="329"/>
      <c r="F119" s="329"/>
    </row>
    <row r="120" spans="1:6" ht="12.75" thickBot="1">
      <c r="A120" s="328"/>
      <c r="B120" s="329"/>
      <c r="C120" s="329"/>
      <c r="D120" s="329"/>
      <c r="E120" s="329"/>
      <c r="F120" s="329"/>
    </row>
    <row r="121" spans="1:6" ht="12.75" thickBot="1">
      <c r="A121" s="328"/>
      <c r="B121" s="329"/>
      <c r="C121" s="329"/>
      <c r="D121" s="329"/>
      <c r="E121" s="329"/>
      <c r="F121" s="329"/>
    </row>
    <row r="122" spans="1:6" ht="12.75" thickBot="1">
      <c r="A122" s="215"/>
      <c r="B122" s="188"/>
      <c r="C122" s="188"/>
      <c r="D122" s="188"/>
      <c r="E122" s="188"/>
      <c r="F122" s="188"/>
    </row>
    <row r="123" spans="1:6" ht="12.75" thickBot="1">
      <c r="A123" s="328"/>
      <c r="B123" s="329"/>
      <c r="C123" s="329"/>
      <c r="D123" s="329"/>
      <c r="E123" s="329"/>
      <c r="F123" s="329"/>
    </row>
    <row r="124" spans="1:6" ht="12.75" thickBot="1">
      <c r="A124" s="331"/>
      <c r="B124" s="329"/>
      <c r="C124" s="329"/>
      <c r="D124" s="329"/>
      <c r="E124" s="329"/>
      <c r="F124" s="329"/>
    </row>
    <row r="125" spans="1:6" ht="12.75" thickBot="1">
      <c r="A125" s="331"/>
      <c r="B125" s="329"/>
      <c r="C125" s="329"/>
      <c r="D125" s="329"/>
      <c r="E125" s="329"/>
      <c r="F125" s="329"/>
    </row>
    <row r="126" spans="1:6" ht="12.75" thickBot="1">
      <c r="A126" s="332"/>
      <c r="B126" s="330"/>
      <c r="C126" s="330"/>
      <c r="D126" s="330"/>
      <c r="E126" s="330"/>
      <c r="F126" s="329"/>
    </row>
    <row r="127" spans="1:6" ht="12.75" thickBot="1">
      <c r="A127" s="332"/>
      <c r="B127" s="329"/>
      <c r="C127" s="329"/>
      <c r="D127" s="329"/>
      <c r="E127" s="329"/>
      <c r="F127" s="329"/>
    </row>
    <row r="128" spans="1:6" ht="12.75" thickBot="1">
      <c r="A128" s="215"/>
      <c r="B128" s="188"/>
      <c r="C128" s="188"/>
      <c r="D128" s="188"/>
      <c r="E128" s="188"/>
      <c r="F128" s="188"/>
    </row>
    <row r="129" spans="1:6" ht="12.75" thickBot="1">
      <c r="A129" s="328"/>
      <c r="B129" s="329"/>
      <c r="C129" s="329"/>
      <c r="D129" s="329"/>
      <c r="E129" s="329"/>
      <c r="F129" s="329"/>
    </row>
    <row r="130" spans="1:6" ht="12.75" thickBot="1">
      <c r="A130" s="328"/>
      <c r="B130" s="329"/>
      <c r="C130" s="329"/>
      <c r="D130" s="329"/>
      <c r="E130" s="329"/>
      <c r="F130" s="330"/>
    </row>
    <row r="131" spans="1:6" ht="12.75" thickBot="1">
      <c r="A131" s="328"/>
      <c r="B131" s="329"/>
      <c r="C131" s="329"/>
      <c r="D131" s="329"/>
      <c r="E131" s="330"/>
      <c r="F131" s="330"/>
    </row>
    <row r="132" spans="1:6" ht="12.75" thickBot="1">
      <c r="A132" s="215"/>
      <c r="B132" s="188"/>
      <c r="C132" s="188"/>
      <c r="D132" s="188"/>
      <c r="E132" s="188"/>
      <c r="F132" s="188"/>
    </row>
    <row r="133" spans="1:6" ht="12.75" thickBot="1">
      <c r="A133" s="328"/>
      <c r="B133" s="329"/>
      <c r="C133" s="329"/>
      <c r="D133" s="330"/>
      <c r="E133" s="329"/>
      <c r="F133" s="329"/>
    </row>
    <row r="134" spans="1:6" ht="12.75" thickBot="1">
      <c r="A134" s="328"/>
      <c r="B134" s="330"/>
      <c r="C134" s="330"/>
      <c r="D134" s="329"/>
      <c r="E134" s="330"/>
      <c r="F134" s="330"/>
    </row>
    <row r="135" spans="1:6" ht="12.75" thickBot="1">
      <c r="A135" s="328"/>
      <c r="B135" s="329"/>
      <c r="C135" s="329"/>
      <c r="D135" s="329"/>
      <c r="E135" s="329"/>
      <c r="F135" s="329"/>
    </row>
    <row r="136" spans="1:6" ht="12.75" thickBot="1">
      <c r="A136" s="331"/>
      <c r="B136" s="329"/>
      <c r="C136" s="329"/>
      <c r="D136" s="329"/>
      <c r="E136" s="329"/>
      <c r="F136" s="329"/>
    </row>
    <row r="137" spans="1:6" ht="12.75" thickBot="1">
      <c r="A137" s="328"/>
      <c r="B137" s="329"/>
      <c r="C137" s="329"/>
      <c r="D137" s="329"/>
      <c r="E137" s="329"/>
      <c r="F137" s="329"/>
    </row>
    <row r="138" spans="1:6" ht="12.75" thickBot="1">
      <c r="A138" s="331"/>
      <c r="B138" s="329"/>
      <c r="C138" s="329"/>
      <c r="D138" s="329"/>
      <c r="E138" s="329"/>
      <c r="F138" s="329"/>
    </row>
    <row r="139" spans="1:6" ht="12.75" thickBot="1">
      <c r="A139" s="331"/>
      <c r="B139" s="329"/>
      <c r="C139" s="329"/>
      <c r="D139" s="329"/>
      <c r="E139" s="329"/>
      <c r="F139" s="329"/>
    </row>
    <row r="140" spans="1:6" ht="12.75" thickBot="1">
      <c r="A140" s="328"/>
      <c r="B140" s="329"/>
      <c r="C140" s="329"/>
      <c r="D140" s="329"/>
      <c r="E140" s="329"/>
      <c r="F140" s="329"/>
    </row>
    <row r="141" spans="1:6" ht="12.75" thickBot="1">
      <c r="A141" s="328"/>
      <c r="B141" s="329"/>
      <c r="C141" s="329"/>
      <c r="D141" s="329"/>
      <c r="E141" s="329"/>
      <c r="F141" s="329"/>
    </row>
    <row r="142" spans="1:6" ht="12.75" thickBot="1">
      <c r="A142" s="215"/>
      <c r="B142" s="188"/>
      <c r="C142" s="188"/>
      <c r="D142" s="188"/>
      <c r="E142" s="188"/>
      <c r="F142" s="188"/>
    </row>
    <row r="143" spans="1:6" ht="12.75" thickBot="1">
      <c r="A143" s="328"/>
      <c r="B143" s="329"/>
      <c r="C143" s="329"/>
      <c r="D143" s="330"/>
      <c r="E143" s="330"/>
      <c r="F143" s="330"/>
    </row>
    <row r="144" spans="1:6" ht="12.75" thickBot="1">
      <c r="A144" s="331"/>
      <c r="B144" s="329"/>
      <c r="C144" s="329"/>
      <c r="D144" s="330"/>
      <c r="E144" s="330"/>
      <c r="F144" s="330"/>
    </row>
    <row r="145" spans="1:6" ht="12.75" thickBot="1">
      <c r="A145" s="328"/>
      <c r="B145" s="329"/>
      <c r="C145" s="329"/>
      <c r="D145" s="330"/>
      <c r="E145" s="330"/>
      <c r="F145" s="330"/>
    </row>
    <row r="146" spans="1:6" ht="12.75" thickBot="1">
      <c r="A146" s="331"/>
      <c r="B146" s="329"/>
      <c r="C146" s="329"/>
      <c r="D146" s="330"/>
      <c r="E146" s="330"/>
      <c r="F146" s="330"/>
    </row>
    <row r="147" spans="1:6" ht="12.75" thickBot="1">
      <c r="A147" s="328"/>
      <c r="B147" s="329"/>
      <c r="C147" s="329"/>
      <c r="D147" s="329"/>
      <c r="E147" s="329"/>
      <c r="F147" s="329"/>
    </row>
    <row r="148" spans="1:6" ht="12.75" thickBot="1">
      <c r="A148" s="328"/>
      <c r="B148" s="329"/>
      <c r="C148" s="329"/>
      <c r="D148" s="329"/>
      <c r="E148" s="329"/>
      <c r="F148" s="329"/>
    </row>
    <row r="149" spans="1:6" ht="12.75" thickBot="1">
      <c r="A149" s="186"/>
      <c r="B149" s="187"/>
      <c r="C149" s="187"/>
      <c r="D149" s="187"/>
      <c r="E149" s="187"/>
      <c r="F149" s="187"/>
    </row>
    <row r="150" spans="1:6" ht="12.75" thickBot="1">
      <c r="A150" s="186"/>
      <c r="B150" s="187"/>
      <c r="C150" s="187"/>
      <c r="D150" s="187"/>
      <c r="E150" s="187"/>
      <c r="F150" s="187"/>
    </row>
    <row r="151" spans="1:6" ht="12.75" thickBot="1">
      <c r="A151" s="190"/>
      <c r="B151" s="191"/>
      <c r="C151" s="191"/>
      <c r="D151" s="191"/>
      <c r="E151" s="191"/>
      <c r="F151" s="191"/>
    </row>
    <row r="152" spans="1:6">
      <c r="A152" s="184"/>
    </row>
  </sheetData>
  <mergeCells count="2">
    <mergeCell ref="A6:F6"/>
    <mergeCell ref="A7:A10"/>
  </mergeCells>
  <phoneticPr fontId="2" type="noConversion"/>
  <conditionalFormatting sqref="K16:K137 A16:A152">
    <cfRule type="duplicateValues" dxfId="9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26"/>
  <sheetViews>
    <sheetView showGridLines="0" zoomScale="85" zoomScaleNormal="85" workbookViewId="0">
      <selection sqref="A1:F1"/>
    </sheetView>
  </sheetViews>
  <sheetFormatPr defaultRowHeight="12"/>
  <cols>
    <col min="1" max="1" width="36" style="185" bestFit="1" customWidth="1"/>
    <col min="2" max="2" width="15.875" style="185" customWidth="1"/>
    <col min="3" max="3" width="13.375" style="185" customWidth="1"/>
    <col min="4" max="5" width="12.25" style="185" customWidth="1"/>
    <col min="6" max="6" width="11.5" style="185" bestFit="1" customWidth="1"/>
    <col min="7" max="16384" width="9" style="185"/>
  </cols>
  <sheetData>
    <row r="1" spans="1:6" s="333" customFormat="1" ht="32.25" thickBot="1">
      <c r="A1" s="486"/>
      <c r="B1" s="487"/>
      <c r="C1" s="487"/>
      <c r="D1" s="487"/>
      <c r="E1" s="487"/>
      <c r="F1" s="487"/>
    </row>
    <row r="2" spans="1:6" s="333" customFormat="1" ht="13.5">
      <c r="A2" s="488"/>
      <c r="B2" s="323"/>
      <c r="C2" s="323"/>
      <c r="D2" s="323"/>
      <c r="E2" s="323"/>
      <c r="F2" s="323"/>
    </row>
    <row r="3" spans="1:6" s="333" customFormat="1" ht="13.5">
      <c r="A3" s="489"/>
      <c r="B3" s="324"/>
      <c r="C3" s="324"/>
      <c r="D3" s="324"/>
      <c r="E3" s="324"/>
      <c r="F3" s="324"/>
    </row>
    <row r="4" spans="1:6" s="333" customFormat="1" ht="14.25" thickBot="1">
      <c r="A4" s="489"/>
      <c r="B4" s="324"/>
      <c r="C4" s="324"/>
      <c r="D4" s="324"/>
      <c r="E4" s="324"/>
      <c r="F4" s="324"/>
    </row>
    <row r="5" spans="1:6" s="333" customFormat="1" ht="12.75" thickBot="1">
      <c r="A5" s="490"/>
      <c r="B5" s="325"/>
      <c r="C5" s="325"/>
      <c r="D5" s="325"/>
      <c r="E5" s="325"/>
      <c r="F5" s="325"/>
    </row>
    <row r="6" spans="1:6" s="333" customFormat="1" ht="14.25" thickBot="1">
      <c r="A6" s="326"/>
      <c r="B6" s="327"/>
      <c r="C6" s="327"/>
      <c r="D6" s="327"/>
      <c r="E6" s="327"/>
      <c r="F6" s="327"/>
    </row>
    <row r="7" spans="1:6" s="333" customFormat="1" ht="12.75" thickBot="1">
      <c r="A7" s="186"/>
      <c r="B7" s="187"/>
      <c r="C7" s="187"/>
      <c r="D7" s="187"/>
      <c r="E7" s="187"/>
      <c r="F7" s="187"/>
    </row>
    <row r="8" spans="1:6" s="333" customFormat="1" ht="12.75" thickBot="1">
      <c r="A8" s="215"/>
      <c r="B8" s="188"/>
      <c r="C8" s="188"/>
      <c r="D8" s="188"/>
      <c r="E8" s="188"/>
      <c r="F8" s="188"/>
    </row>
    <row r="9" spans="1:6" s="333" customFormat="1" ht="12.75" thickBot="1">
      <c r="A9" s="328"/>
      <c r="B9" s="329"/>
      <c r="C9" s="329"/>
      <c r="D9" s="329"/>
      <c r="E9" s="330"/>
      <c r="F9" s="330"/>
    </row>
    <row r="10" spans="1:6" s="333" customFormat="1" ht="12.75" thickBot="1">
      <c r="A10" s="328"/>
      <c r="B10" s="329"/>
      <c r="C10" s="329"/>
      <c r="D10" s="329"/>
      <c r="E10" s="330"/>
      <c r="F10" s="330"/>
    </row>
    <row r="11" spans="1:6" s="333" customFormat="1" ht="12.75" thickBot="1">
      <c r="A11" s="328"/>
      <c r="B11" s="329"/>
      <c r="C11" s="329"/>
      <c r="D11" s="329"/>
      <c r="E11" s="329"/>
      <c r="F11" s="329"/>
    </row>
    <row r="12" spans="1:6" s="333" customFormat="1" ht="12.75" thickBot="1">
      <c r="A12" s="331"/>
      <c r="B12" s="329"/>
      <c r="C12" s="329"/>
      <c r="D12" s="329"/>
      <c r="E12" s="330"/>
      <c r="F12" s="330"/>
    </row>
    <row r="13" spans="1:6" s="333" customFormat="1" ht="12.75" thickBot="1">
      <c r="A13" s="331"/>
      <c r="B13" s="329"/>
      <c r="C13" s="329"/>
      <c r="D13" s="329"/>
      <c r="E13" s="330"/>
      <c r="F13" s="330"/>
    </row>
    <row r="14" spans="1:6" s="333" customFormat="1" ht="12.75" thickBot="1">
      <c r="A14" s="328"/>
      <c r="B14" s="329"/>
      <c r="C14" s="329"/>
      <c r="D14" s="329"/>
      <c r="E14" s="329"/>
      <c r="F14" s="329"/>
    </row>
    <row r="15" spans="1:6" s="333" customFormat="1" ht="12.75" thickBot="1">
      <c r="A15" s="328"/>
      <c r="B15" s="329"/>
      <c r="C15" s="329"/>
      <c r="D15" s="329"/>
      <c r="E15" s="329"/>
      <c r="F15" s="329"/>
    </row>
    <row r="16" spans="1:6" s="333" customFormat="1" ht="12.75" thickBot="1">
      <c r="A16" s="328"/>
      <c r="B16" s="329"/>
      <c r="C16" s="329"/>
      <c r="D16" s="329"/>
      <c r="E16" s="329"/>
      <c r="F16" s="330"/>
    </row>
    <row r="17" spans="1:6" s="333" customFormat="1" ht="12.75" thickBot="1">
      <c r="A17" s="331"/>
      <c r="B17" s="329"/>
      <c r="C17" s="329"/>
      <c r="D17" s="329"/>
      <c r="E17" s="330"/>
      <c r="F17" s="330"/>
    </row>
    <row r="18" spans="1:6" s="333" customFormat="1" ht="12.75" thickBot="1">
      <c r="A18" s="328"/>
      <c r="B18" s="330"/>
      <c r="C18" s="330"/>
      <c r="D18" s="330"/>
      <c r="E18" s="330"/>
      <c r="F18" s="329"/>
    </row>
    <row r="19" spans="1:6" s="333" customFormat="1" ht="12.75" thickBot="1">
      <c r="A19" s="186"/>
      <c r="B19" s="187"/>
      <c r="C19" s="187"/>
      <c r="D19" s="187"/>
      <c r="E19" s="187"/>
      <c r="F19" s="187"/>
    </row>
    <row r="20" spans="1:6" s="333" customFormat="1" ht="12.75" thickBot="1">
      <c r="A20" s="215"/>
      <c r="B20" s="188"/>
      <c r="C20" s="188"/>
      <c r="D20" s="188"/>
      <c r="E20" s="188"/>
      <c r="F20" s="188"/>
    </row>
    <row r="21" spans="1:6" s="333" customFormat="1" ht="12.75" thickBot="1">
      <c r="A21" s="328"/>
      <c r="B21" s="329"/>
      <c r="C21" s="329"/>
      <c r="D21" s="329"/>
      <c r="E21" s="329"/>
      <c r="F21" s="329"/>
    </row>
    <row r="22" spans="1:6" s="333" customFormat="1" ht="12.75" thickBot="1">
      <c r="A22" s="215"/>
      <c r="B22" s="188"/>
      <c r="C22" s="188"/>
      <c r="D22" s="188"/>
      <c r="E22" s="188"/>
      <c r="F22" s="188"/>
    </row>
    <row r="23" spans="1:6" s="333" customFormat="1" ht="12.75" thickBot="1">
      <c r="A23" s="215"/>
      <c r="B23" s="188"/>
      <c r="C23" s="188"/>
      <c r="D23" s="188"/>
      <c r="E23" s="188"/>
      <c r="F23" s="188"/>
    </row>
    <row r="24" spans="1:6" s="333" customFormat="1" ht="12.75" thickBot="1">
      <c r="A24" s="215"/>
      <c r="B24" s="188"/>
      <c r="C24" s="188"/>
      <c r="D24" s="188"/>
      <c r="E24" s="188"/>
      <c r="F24" s="189"/>
    </row>
    <row r="25" spans="1:6" s="333" customFormat="1" ht="12.75" thickBot="1">
      <c r="A25" s="328"/>
      <c r="B25" s="329"/>
      <c r="C25" s="329"/>
      <c r="D25" s="329"/>
      <c r="E25" s="329"/>
      <c r="F25" s="330"/>
    </row>
    <row r="26" spans="1:6" s="333" customFormat="1" ht="12.75" thickBot="1">
      <c r="A26" s="328"/>
      <c r="B26" s="329"/>
      <c r="C26" s="329"/>
      <c r="D26" s="329"/>
      <c r="E26" s="329"/>
      <c r="F26" s="330"/>
    </row>
    <row r="27" spans="1:6" s="333" customFormat="1" ht="12.75" thickBot="1">
      <c r="A27" s="328"/>
      <c r="B27" s="329"/>
      <c r="C27" s="329"/>
      <c r="D27" s="329"/>
      <c r="E27" s="329"/>
      <c r="F27" s="330"/>
    </row>
    <row r="28" spans="1:6" s="333" customFormat="1" ht="12.75" thickBot="1">
      <c r="A28" s="215"/>
      <c r="B28" s="189"/>
      <c r="C28" s="189"/>
      <c r="D28" s="189"/>
      <c r="E28" s="189"/>
      <c r="F28" s="188"/>
    </row>
    <row r="29" spans="1:6" s="333" customFormat="1" ht="12.75" thickBot="1">
      <c r="A29" s="328"/>
      <c r="B29" s="330"/>
      <c r="C29" s="330"/>
      <c r="D29" s="330"/>
      <c r="E29" s="330"/>
      <c r="F29" s="329"/>
    </row>
    <row r="30" spans="1:6" s="333" customFormat="1" ht="12.75" thickBot="1">
      <c r="A30" s="186"/>
      <c r="B30" s="187"/>
      <c r="C30" s="187"/>
      <c r="D30" s="187"/>
      <c r="E30" s="187"/>
      <c r="F30" s="187"/>
    </row>
    <row r="31" spans="1:6" s="333" customFormat="1" ht="12.75" thickBot="1">
      <c r="A31" s="186"/>
      <c r="B31" s="187"/>
      <c r="C31" s="187"/>
      <c r="D31" s="187"/>
      <c r="E31" s="187"/>
      <c r="F31" s="187"/>
    </row>
    <row r="32" spans="1:6" s="333" customFormat="1" ht="12.75" thickBot="1">
      <c r="A32" s="215"/>
      <c r="B32" s="188"/>
      <c r="C32" s="188"/>
      <c r="D32" s="188"/>
      <c r="E32" s="188"/>
      <c r="F32" s="188"/>
    </row>
    <row r="33" spans="1:6" s="333" customFormat="1" ht="12.75" thickBot="1">
      <c r="A33" s="328"/>
      <c r="B33" s="329"/>
      <c r="C33" s="329"/>
      <c r="D33" s="329"/>
      <c r="E33" s="329"/>
      <c r="F33" s="329"/>
    </row>
    <row r="34" spans="1:6" s="333" customFormat="1" ht="12.75" thickBot="1">
      <c r="A34" s="328"/>
      <c r="B34" s="329"/>
      <c r="C34" s="329"/>
      <c r="D34" s="329"/>
      <c r="E34" s="329"/>
      <c r="F34" s="329"/>
    </row>
    <row r="35" spans="1:6" s="333" customFormat="1" ht="12.75" thickBot="1">
      <c r="A35" s="328"/>
      <c r="B35" s="329"/>
      <c r="C35" s="329"/>
      <c r="D35" s="329"/>
      <c r="E35" s="329"/>
      <c r="F35" s="329"/>
    </row>
    <row r="36" spans="1:6" s="333" customFormat="1" ht="12.75" thickBot="1">
      <c r="A36" s="215"/>
      <c r="B36" s="188"/>
      <c r="C36" s="188"/>
      <c r="D36" s="188"/>
      <c r="E36" s="188"/>
      <c r="F36" s="188"/>
    </row>
    <row r="37" spans="1:6" s="333" customFormat="1" ht="12.75" thickBot="1">
      <c r="A37" s="328"/>
      <c r="B37" s="329"/>
      <c r="C37" s="329"/>
      <c r="D37" s="329"/>
      <c r="E37" s="329"/>
      <c r="F37" s="329"/>
    </row>
    <row r="38" spans="1:6" s="333" customFormat="1" ht="12.75" thickBot="1">
      <c r="A38" s="328"/>
      <c r="B38" s="329"/>
      <c r="C38" s="329"/>
      <c r="D38" s="329"/>
      <c r="E38" s="329"/>
      <c r="F38" s="329"/>
    </row>
    <row r="39" spans="1:6" s="333" customFormat="1" ht="12.75" thickBot="1">
      <c r="A39" s="328"/>
      <c r="B39" s="329"/>
      <c r="C39" s="329"/>
      <c r="D39" s="329"/>
      <c r="E39" s="329"/>
      <c r="F39" s="329"/>
    </row>
    <row r="40" spans="1:6" s="333" customFormat="1" ht="12.75" thickBot="1">
      <c r="A40" s="328"/>
      <c r="B40" s="329"/>
      <c r="C40" s="329"/>
      <c r="D40" s="329"/>
      <c r="E40" s="329"/>
      <c r="F40" s="329"/>
    </row>
    <row r="41" spans="1:6" s="333" customFormat="1" ht="12.75" thickBot="1">
      <c r="A41" s="215"/>
      <c r="B41" s="188"/>
      <c r="C41" s="188"/>
      <c r="D41" s="188"/>
      <c r="E41" s="188"/>
      <c r="F41" s="188"/>
    </row>
    <row r="42" spans="1:6" s="333" customFormat="1" ht="12.75" thickBot="1">
      <c r="A42" s="328"/>
      <c r="B42" s="329"/>
      <c r="C42" s="329"/>
      <c r="D42" s="329"/>
      <c r="E42" s="329"/>
      <c r="F42" s="329"/>
    </row>
    <row r="43" spans="1:6" s="333" customFormat="1" ht="12.75" thickBot="1">
      <c r="A43" s="215"/>
      <c r="B43" s="188"/>
      <c r="C43" s="188"/>
      <c r="D43" s="188"/>
      <c r="E43" s="188"/>
      <c r="F43" s="188"/>
    </row>
    <row r="44" spans="1:6" s="333" customFormat="1" ht="12.75" thickBot="1">
      <c r="A44" s="328"/>
      <c r="B44" s="329"/>
      <c r="C44" s="329"/>
      <c r="D44" s="329"/>
      <c r="E44" s="329"/>
      <c r="F44" s="329"/>
    </row>
    <row r="45" spans="1:6" s="333" customFormat="1" ht="12.75" thickBot="1">
      <c r="A45" s="328"/>
      <c r="B45" s="329"/>
      <c r="C45" s="329"/>
      <c r="D45" s="329"/>
      <c r="E45" s="329"/>
      <c r="F45" s="329"/>
    </row>
    <row r="46" spans="1:6" s="333" customFormat="1" ht="12.75" thickBot="1">
      <c r="A46" s="331"/>
      <c r="B46" s="329"/>
      <c r="C46" s="329"/>
      <c r="D46" s="329"/>
      <c r="E46" s="329"/>
      <c r="F46" s="329"/>
    </row>
    <row r="47" spans="1:6" s="333" customFormat="1" ht="12.75" thickBot="1">
      <c r="A47" s="328"/>
      <c r="B47" s="329"/>
      <c r="C47" s="329"/>
      <c r="D47" s="329"/>
      <c r="E47" s="329"/>
      <c r="F47" s="329"/>
    </row>
    <row r="48" spans="1:6" s="333" customFormat="1" ht="12.75" thickBot="1">
      <c r="A48" s="186"/>
      <c r="B48" s="187"/>
      <c r="C48" s="187"/>
      <c r="D48" s="187"/>
      <c r="E48" s="187"/>
      <c r="F48" s="187"/>
    </row>
    <row r="49" spans="1:6" s="333" customFormat="1" ht="12.75" thickBot="1">
      <c r="A49" s="186"/>
      <c r="B49" s="187"/>
      <c r="C49" s="187"/>
      <c r="D49" s="187"/>
      <c r="E49" s="187"/>
      <c r="F49" s="187"/>
    </row>
    <row r="50" spans="1:6" s="333" customFormat="1" ht="12.75" thickBot="1">
      <c r="A50" s="215"/>
      <c r="B50" s="188"/>
      <c r="C50" s="188"/>
      <c r="D50" s="188"/>
      <c r="E50" s="188"/>
      <c r="F50" s="188"/>
    </row>
    <row r="51" spans="1:6" s="333" customFormat="1" ht="12.75" thickBot="1">
      <c r="A51" s="215"/>
      <c r="B51" s="188"/>
      <c r="C51" s="188"/>
      <c r="D51" s="188"/>
      <c r="E51" s="188"/>
      <c r="F51" s="188"/>
    </row>
    <row r="52" spans="1:6" s="333" customFormat="1" ht="12.75" thickBot="1">
      <c r="A52" s="215"/>
      <c r="B52" s="188"/>
      <c r="C52" s="188"/>
      <c r="D52" s="188"/>
      <c r="E52" s="188"/>
      <c r="F52" s="188"/>
    </row>
    <row r="53" spans="1:6" s="333" customFormat="1" ht="12.75" thickBot="1">
      <c r="A53" s="215"/>
      <c r="B53" s="188"/>
      <c r="C53" s="188"/>
      <c r="D53" s="188"/>
      <c r="E53" s="188"/>
      <c r="F53" s="188"/>
    </row>
    <row r="54" spans="1:6" s="333" customFormat="1" ht="12.75" thickBot="1">
      <c r="A54" s="215"/>
      <c r="B54" s="188"/>
      <c r="C54" s="188"/>
      <c r="D54" s="188"/>
      <c r="E54" s="188"/>
      <c r="F54" s="188"/>
    </row>
    <row r="55" spans="1:6" s="333" customFormat="1" ht="12.75" thickBot="1">
      <c r="A55" s="215"/>
      <c r="B55" s="188"/>
      <c r="C55" s="188"/>
      <c r="D55" s="188"/>
      <c r="E55" s="188"/>
      <c r="F55" s="188"/>
    </row>
    <row r="56" spans="1:6" s="333" customFormat="1" ht="12.75" thickBot="1">
      <c r="A56" s="215"/>
      <c r="B56" s="188"/>
      <c r="C56" s="188"/>
      <c r="D56" s="189"/>
      <c r="E56" s="188"/>
      <c r="F56" s="189"/>
    </row>
    <row r="57" spans="1:6" s="333" customFormat="1" ht="12.75" thickBot="1">
      <c r="A57" s="215"/>
      <c r="B57" s="188"/>
      <c r="C57" s="188"/>
      <c r="D57" s="188"/>
      <c r="E57" s="189"/>
      <c r="F57" s="189"/>
    </row>
    <row r="58" spans="1:6" s="333" customFormat="1" ht="12.75" thickBot="1">
      <c r="A58" s="215"/>
      <c r="B58" s="189"/>
      <c r="C58" s="189"/>
      <c r="D58" s="188"/>
      <c r="E58" s="188"/>
      <c r="F58" s="188"/>
    </row>
    <row r="59" spans="1:6" s="333" customFormat="1" ht="12.75" thickBot="1">
      <c r="A59" s="215"/>
      <c r="B59" s="188"/>
      <c r="C59" s="188"/>
      <c r="D59" s="188"/>
      <c r="E59" s="188"/>
      <c r="F59" s="188"/>
    </row>
    <row r="60" spans="1:6" s="333" customFormat="1" ht="12.75" thickBot="1">
      <c r="A60" s="215"/>
      <c r="B60" s="188"/>
      <c r="C60" s="188"/>
      <c r="D60" s="188"/>
      <c r="E60" s="188"/>
      <c r="F60" s="188"/>
    </row>
    <row r="61" spans="1:6" s="333" customFormat="1" ht="12.75" thickBot="1">
      <c r="A61" s="215"/>
      <c r="B61" s="189"/>
      <c r="C61" s="189"/>
      <c r="D61" s="188"/>
      <c r="E61" s="188"/>
      <c r="F61" s="188"/>
    </row>
    <row r="62" spans="1:6" s="333" customFormat="1" ht="12.75" thickBot="1">
      <c r="A62" s="215"/>
      <c r="B62" s="188"/>
      <c r="C62" s="188"/>
      <c r="D62" s="188"/>
      <c r="E62" s="188"/>
      <c r="F62" s="188"/>
    </row>
    <row r="63" spans="1:6" s="333" customFormat="1" ht="12.75" thickBot="1">
      <c r="A63" s="186"/>
      <c r="B63" s="187"/>
      <c r="C63" s="187"/>
      <c r="D63" s="187"/>
      <c r="E63" s="187"/>
      <c r="F63" s="187"/>
    </row>
    <row r="64" spans="1:6" s="333" customFormat="1" ht="12.75" thickBot="1">
      <c r="A64" s="215"/>
      <c r="B64" s="188"/>
      <c r="C64" s="188"/>
      <c r="D64" s="188"/>
      <c r="E64" s="188"/>
      <c r="F64" s="188"/>
    </row>
    <row r="65" spans="1:6" s="333" customFormat="1" ht="12.75" thickBot="1">
      <c r="A65" s="215"/>
      <c r="B65" s="189"/>
      <c r="C65" s="189"/>
      <c r="D65" s="188"/>
      <c r="E65" s="188"/>
      <c r="F65" s="188"/>
    </row>
    <row r="66" spans="1:6" s="333" customFormat="1" ht="12.75" thickBot="1">
      <c r="A66" s="215"/>
      <c r="B66" s="188"/>
      <c r="C66" s="188"/>
      <c r="D66" s="188"/>
      <c r="E66" s="188"/>
      <c r="F66" s="188"/>
    </row>
    <row r="67" spans="1:6" s="333" customFormat="1" ht="12.75" thickBot="1">
      <c r="A67" s="215"/>
      <c r="B67" s="188"/>
      <c r="C67" s="188"/>
      <c r="D67" s="188"/>
      <c r="E67" s="188"/>
      <c r="F67" s="188"/>
    </row>
    <row r="68" spans="1:6" s="333" customFormat="1" ht="12.75" thickBot="1">
      <c r="A68" s="215"/>
      <c r="B68" s="188"/>
      <c r="C68" s="188"/>
      <c r="D68" s="188"/>
      <c r="E68" s="188"/>
      <c r="F68" s="188"/>
    </row>
    <row r="69" spans="1:6" s="333" customFormat="1" ht="12.75" thickBot="1">
      <c r="A69" s="215"/>
      <c r="B69" s="188"/>
      <c r="C69" s="188"/>
      <c r="D69" s="188"/>
      <c r="E69" s="188"/>
      <c r="F69" s="188"/>
    </row>
    <row r="70" spans="1:6" s="333" customFormat="1" ht="12.75" thickBot="1">
      <c r="A70" s="215"/>
      <c r="B70" s="188"/>
      <c r="C70" s="188"/>
      <c r="D70" s="188"/>
      <c r="E70" s="188"/>
      <c r="F70" s="188"/>
    </row>
    <row r="71" spans="1:6" s="333" customFormat="1" ht="12.75" thickBot="1">
      <c r="A71" s="215"/>
      <c r="B71" s="188"/>
      <c r="C71" s="188"/>
      <c r="D71" s="188"/>
      <c r="E71" s="188"/>
      <c r="F71" s="188"/>
    </row>
    <row r="72" spans="1:6" s="333" customFormat="1" ht="12.75" thickBot="1">
      <c r="A72" s="215"/>
      <c r="B72" s="188"/>
      <c r="C72" s="188"/>
      <c r="D72" s="188"/>
      <c r="E72" s="188"/>
      <c r="F72" s="188"/>
    </row>
    <row r="73" spans="1:6" s="333" customFormat="1" ht="12.75" thickBot="1">
      <c r="A73" s="215"/>
      <c r="B73" s="188"/>
      <c r="C73" s="188"/>
      <c r="D73" s="188"/>
      <c r="E73" s="188"/>
      <c r="F73" s="188"/>
    </row>
    <row r="74" spans="1:6" s="333" customFormat="1" ht="12.75" thickBot="1">
      <c r="A74" s="215"/>
      <c r="B74" s="188"/>
      <c r="C74" s="188"/>
      <c r="D74" s="188"/>
      <c r="E74" s="188"/>
      <c r="F74" s="189"/>
    </row>
    <row r="75" spans="1:6" s="333" customFormat="1" ht="12.75" thickBot="1">
      <c r="A75" s="215"/>
      <c r="B75" s="189"/>
      <c r="C75" s="189"/>
      <c r="D75" s="188"/>
      <c r="E75" s="189"/>
      <c r="F75" s="189"/>
    </row>
    <row r="76" spans="1:6" s="333" customFormat="1" ht="12.75" thickBot="1">
      <c r="A76" s="215"/>
      <c r="B76" s="188"/>
      <c r="C76" s="188"/>
      <c r="D76" s="188"/>
      <c r="E76" s="188"/>
      <c r="F76" s="188"/>
    </row>
    <row r="77" spans="1:6" s="333" customFormat="1" ht="12.75" thickBot="1">
      <c r="A77" s="215"/>
      <c r="B77" s="189"/>
      <c r="C77" s="189"/>
      <c r="D77" s="188"/>
      <c r="E77" s="189"/>
      <c r="F77" s="189"/>
    </row>
    <row r="78" spans="1:6" s="333" customFormat="1" ht="12.75" thickBot="1">
      <c r="A78" s="215"/>
      <c r="B78" s="188"/>
      <c r="C78" s="188"/>
      <c r="D78" s="188"/>
      <c r="E78" s="188"/>
      <c r="F78" s="188"/>
    </row>
    <row r="79" spans="1:6" s="333" customFormat="1" ht="12.75" thickBot="1">
      <c r="A79" s="215"/>
      <c r="B79" s="188"/>
      <c r="C79" s="188"/>
      <c r="D79" s="188"/>
      <c r="E79" s="188"/>
      <c r="F79" s="188"/>
    </row>
    <row r="80" spans="1:6" s="333" customFormat="1" ht="12.75" thickBot="1">
      <c r="A80" s="186"/>
      <c r="B80" s="187"/>
      <c r="C80" s="187"/>
      <c r="D80" s="187"/>
      <c r="E80" s="187"/>
      <c r="F80" s="187"/>
    </row>
    <row r="81" spans="1:6" s="333" customFormat="1" ht="12.75" thickBot="1">
      <c r="A81" s="186"/>
      <c r="B81" s="187"/>
      <c r="C81" s="187"/>
      <c r="D81" s="187"/>
      <c r="E81" s="187"/>
      <c r="F81" s="187"/>
    </row>
    <row r="82" spans="1:6" s="333" customFormat="1" ht="12.75" thickBot="1">
      <c r="A82" s="186"/>
      <c r="B82" s="187"/>
      <c r="C82" s="187"/>
      <c r="D82" s="187"/>
      <c r="E82" s="187"/>
      <c r="F82" s="187"/>
    </row>
    <row r="83" spans="1:6" s="333" customFormat="1" ht="12.75" thickBot="1">
      <c r="A83" s="186"/>
      <c r="B83" s="187"/>
      <c r="C83" s="187"/>
      <c r="D83" s="187"/>
      <c r="E83" s="187"/>
      <c r="F83" s="187"/>
    </row>
    <row r="84" spans="1:6" s="333" customFormat="1" ht="12.75" thickBot="1">
      <c r="A84" s="186"/>
      <c r="B84" s="187"/>
      <c r="C84" s="187"/>
      <c r="D84" s="187"/>
      <c r="E84" s="213"/>
      <c r="F84" s="187"/>
    </row>
    <row r="85" spans="1:6" s="333" customFormat="1" ht="12.75" thickBot="1">
      <c r="A85" s="186"/>
      <c r="B85" s="213"/>
      <c r="C85" s="213"/>
      <c r="D85" s="187"/>
      <c r="E85" s="213"/>
      <c r="F85" s="213"/>
    </row>
    <row r="86" spans="1:6" s="333" customFormat="1" ht="12.75" thickBot="1">
      <c r="A86" s="190"/>
      <c r="B86" s="214"/>
      <c r="C86" s="214"/>
      <c r="D86" s="191"/>
      <c r="E86" s="214"/>
      <c r="F86" s="214"/>
    </row>
    <row r="87" spans="1:6" s="333" customFormat="1">
      <c r="A87" s="184"/>
    </row>
    <row r="88" spans="1:6" s="333" customFormat="1" ht="32.25" thickBot="1">
      <c r="A88" s="486"/>
      <c r="B88" s="487"/>
      <c r="C88" s="487"/>
      <c r="D88" s="487"/>
      <c r="E88" s="487"/>
      <c r="F88" s="487"/>
    </row>
    <row r="89" spans="1:6" s="333" customFormat="1" ht="13.5">
      <c r="A89" s="488"/>
      <c r="B89" s="323"/>
      <c r="C89" s="323"/>
      <c r="D89" s="323"/>
      <c r="E89" s="323"/>
      <c r="F89" s="323"/>
    </row>
    <row r="90" spans="1:6" s="333" customFormat="1" ht="13.5">
      <c r="A90" s="489"/>
      <c r="B90" s="324"/>
      <c r="C90" s="324"/>
      <c r="D90" s="324"/>
      <c r="E90" s="324"/>
      <c r="F90" s="324"/>
    </row>
    <row r="91" spans="1:6" s="333" customFormat="1" ht="14.25" thickBot="1">
      <c r="A91" s="489"/>
      <c r="B91" s="324"/>
      <c r="C91" s="324"/>
      <c r="D91" s="324"/>
      <c r="E91" s="324"/>
      <c r="F91" s="324"/>
    </row>
    <row r="92" spans="1:6" s="333" customFormat="1" ht="12.75" thickBot="1">
      <c r="A92" s="490"/>
      <c r="B92" s="325"/>
      <c r="C92" s="325"/>
      <c r="D92" s="325"/>
      <c r="E92" s="325"/>
      <c r="F92" s="325"/>
    </row>
    <row r="93" spans="1:6" s="333" customFormat="1" ht="14.25" thickBot="1">
      <c r="A93" s="326"/>
      <c r="B93" s="327"/>
      <c r="C93" s="327"/>
      <c r="D93" s="327"/>
      <c r="E93" s="327"/>
      <c r="F93" s="327"/>
    </row>
    <row r="94" spans="1:6" s="333" customFormat="1" ht="12.75" thickBot="1">
      <c r="A94" s="186"/>
      <c r="B94" s="187"/>
      <c r="C94" s="187"/>
      <c r="D94" s="187"/>
      <c r="E94" s="187"/>
      <c r="F94" s="187"/>
    </row>
    <row r="95" spans="1:6" s="333" customFormat="1" ht="12.75" thickBot="1">
      <c r="A95" s="215"/>
      <c r="B95" s="188"/>
      <c r="C95" s="188"/>
      <c r="D95" s="188"/>
      <c r="E95" s="188"/>
      <c r="F95" s="188"/>
    </row>
    <row r="96" spans="1:6" s="333" customFormat="1" ht="12.75" thickBot="1">
      <c r="A96" s="215"/>
      <c r="B96" s="188"/>
      <c r="C96" s="188"/>
      <c r="D96" s="188"/>
      <c r="E96" s="188"/>
      <c r="F96" s="188"/>
    </row>
    <row r="97" spans="1:6" s="333" customFormat="1" ht="12.75" thickBot="1">
      <c r="A97" s="328"/>
      <c r="B97" s="329"/>
      <c r="C97" s="329"/>
      <c r="D97" s="329"/>
      <c r="E97" s="329"/>
      <c r="F97" s="329"/>
    </row>
    <row r="98" spans="1:6" s="333" customFormat="1" ht="12.75" thickBot="1">
      <c r="A98" s="328"/>
      <c r="B98" s="329"/>
      <c r="C98" s="329"/>
      <c r="D98" s="329"/>
      <c r="E98" s="329"/>
      <c r="F98" s="329"/>
    </row>
    <row r="99" spans="1:6" s="333" customFormat="1">
      <c r="A99" s="331"/>
      <c r="B99" s="329"/>
      <c r="C99" s="329"/>
      <c r="D99" s="329"/>
      <c r="E99" s="329"/>
      <c r="F99" s="329"/>
    </row>
    <row r="100" spans="1:6" s="333" customFormat="1"/>
    <row r="101" spans="1:6" s="333" customFormat="1"/>
    <row r="102" spans="1:6" s="333" customFormat="1"/>
    <row r="103" spans="1:6" s="333" customFormat="1"/>
    <row r="104" spans="1:6" s="333" customFormat="1"/>
    <row r="105" spans="1:6" s="333" customFormat="1"/>
    <row r="106" spans="1:6" s="333" customFormat="1"/>
    <row r="107" spans="1:6" s="333" customFormat="1"/>
    <row r="108" spans="1:6" s="333" customFormat="1"/>
    <row r="109" spans="1:6" s="333" customFormat="1"/>
    <row r="110" spans="1:6" s="333" customFormat="1"/>
    <row r="111" spans="1:6" s="333" customFormat="1"/>
    <row r="112" spans="1:6" s="333" customFormat="1"/>
    <row r="113" s="333" customFormat="1"/>
    <row r="114" s="333" customFormat="1"/>
    <row r="115" s="333" customFormat="1"/>
    <row r="116" s="333" customFormat="1"/>
    <row r="117" s="333" customFormat="1"/>
    <row r="118" s="333" customFormat="1"/>
    <row r="119" s="333" customFormat="1"/>
    <row r="120" s="333" customFormat="1"/>
    <row r="121" s="333" customFormat="1"/>
    <row r="122" s="333" customFormat="1"/>
    <row r="123" s="333" customFormat="1"/>
    <row r="124" s="333" customFormat="1"/>
    <row r="125" s="333" customFormat="1"/>
    <row r="126" s="333" customFormat="1"/>
  </sheetData>
  <mergeCells count="4">
    <mergeCell ref="A1:F1"/>
    <mergeCell ref="A2:A5"/>
    <mergeCell ref="A88:F88"/>
    <mergeCell ref="A89:A92"/>
  </mergeCells>
  <phoneticPr fontId="2" type="noConversion"/>
  <conditionalFormatting sqref="A1:A4">
    <cfRule type="duplicateValues" dxfId="8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D246"/>
  <sheetViews>
    <sheetView showGridLines="0" zoomScale="85" zoomScaleNormal="85" workbookViewId="0">
      <selection activeCell="G16" sqref="G16"/>
    </sheetView>
  </sheetViews>
  <sheetFormatPr defaultRowHeight="12"/>
  <cols>
    <col min="1" max="1" width="31.625" style="376" bestFit="1" customWidth="1"/>
    <col min="2" max="2" width="16.5" style="376" customWidth="1"/>
    <col min="3" max="3" width="11.375" style="376" customWidth="1"/>
    <col min="4" max="4" width="10.25" style="376" bestFit="1" customWidth="1"/>
    <col min="5" max="16384" width="9" style="376"/>
  </cols>
  <sheetData>
    <row r="1" spans="1:4" ht="17.25" thickBot="1">
      <c r="A1" s="388"/>
      <c r="B1" s="387"/>
      <c r="C1" s="387"/>
      <c r="D1" s="387"/>
    </row>
    <row r="2" spans="1:4" ht="16.5">
      <c r="A2" s="389"/>
      <c r="B2" s="389"/>
      <c r="C2" s="387"/>
      <c r="D2" s="387"/>
    </row>
    <row r="3" spans="1:4" ht="17.25" thickBot="1">
      <c r="A3" s="390"/>
      <c r="B3" s="390"/>
      <c r="C3" s="387"/>
      <c r="D3" s="387"/>
    </row>
    <row r="4" spans="1:4" ht="16.5">
      <c r="A4" s="388"/>
      <c r="B4" s="387"/>
      <c r="C4" s="387"/>
      <c r="D4" s="387"/>
    </row>
    <row r="5" spans="1:4" ht="16.5">
      <c r="A5" s="388"/>
      <c r="B5" s="387"/>
      <c r="C5" s="387"/>
      <c r="D5" s="387"/>
    </row>
    <row r="6" spans="1:4" ht="31.5">
      <c r="A6" s="486"/>
      <c r="B6" s="487"/>
      <c r="C6" s="487"/>
      <c r="D6" s="487"/>
    </row>
    <row r="7" spans="1:4">
      <c r="A7" s="420"/>
    </row>
    <row r="8" spans="1:4">
      <c r="A8" s="420"/>
      <c r="B8" s="420"/>
    </row>
    <row r="9" spans="1:4">
      <c r="A9" s="420"/>
      <c r="B9" s="420"/>
    </row>
    <row r="10" spans="1:4">
      <c r="A10" s="420"/>
      <c r="B10" s="420"/>
    </row>
    <row r="11" spans="1:4">
      <c r="A11" s="420"/>
      <c r="B11" s="420"/>
    </row>
    <row r="12" spans="1:4">
      <c r="A12" s="420"/>
      <c r="B12" s="420"/>
    </row>
    <row r="13" spans="1:4">
      <c r="A13" s="420"/>
      <c r="B13" s="420"/>
    </row>
    <row r="14" spans="1:4">
      <c r="A14" s="420"/>
      <c r="B14" s="420"/>
    </row>
    <row r="15" spans="1:4">
      <c r="A15" s="420"/>
      <c r="B15" s="420"/>
    </row>
    <row r="16" spans="1:4">
      <c r="A16" s="420"/>
      <c r="B16" s="420"/>
    </row>
    <row r="17" spans="1:2">
      <c r="A17" s="420"/>
      <c r="B17" s="420"/>
    </row>
    <row r="18" spans="1:2">
      <c r="A18" s="420"/>
      <c r="B18" s="420"/>
    </row>
    <row r="19" spans="1:2">
      <c r="A19" s="420"/>
      <c r="B19" s="420"/>
    </row>
    <row r="20" spans="1:2">
      <c r="A20" s="420"/>
      <c r="B20" s="420"/>
    </row>
    <row r="21" spans="1:2">
      <c r="A21" s="420"/>
      <c r="B21" s="420"/>
    </row>
    <row r="22" spans="1:2">
      <c r="A22" s="420"/>
      <c r="B22" s="420"/>
    </row>
    <row r="23" spans="1:2">
      <c r="A23" s="420"/>
      <c r="B23" s="420"/>
    </row>
    <row r="24" spans="1:2">
      <c r="A24" s="420"/>
      <c r="B24" s="420"/>
    </row>
    <row r="25" spans="1:2">
      <c r="A25" s="420"/>
      <c r="B25" s="420"/>
    </row>
    <row r="26" spans="1:2">
      <c r="A26" s="420"/>
      <c r="B26" s="420"/>
    </row>
    <row r="27" spans="1:2">
      <c r="A27" s="420"/>
      <c r="B27" s="420"/>
    </row>
    <row r="28" spans="1:2">
      <c r="A28" s="420"/>
      <c r="B28" s="420"/>
    </row>
    <row r="29" spans="1:2">
      <c r="A29" s="420"/>
      <c r="B29" s="420"/>
    </row>
    <row r="30" spans="1:2">
      <c r="A30" s="420"/>
      <c r="B30" s="420"/>
    </row>
    <row r="31" spans="1:2">
      <c r="A31" s="420"/>
      <c r="B31" s="420"/>
    </row>
    <row r="32" spans="1:2">
      <c r="A32" s="420"/>
      <c r="B32" s="420"/>
    </row>
    <row r="33" spans="1:2">
      <c r="A33" s="420"/>
      <c r="B33" s="420"/>
    </row>
    <row r="34" spans="1:2">
      <c r="A34" s="420"/>
      <c r="B34" s="420"/>
    </row>
    <row r="35" spans="1:2">
      <c r="A35" s="420"/>
      <c r="B35" s="420"/>
    </row>
    <row r="36" spans="1:2">
      <c r="A36" s="420"/>
      <c r="B36" s="420"/>
    </row>
    <row r="37" spans="1:2">
      <c r="A37" s="420"/>
      <c r="B37" s="420"/>
    </row>
    <row r="38" spans="1:2">
      <c r="A38" s="420"/>
      <c r="B38" s="420"/>
    </row>
    <row r="39" spans="1:2">
      <c r="A39" s="420"/>
      <c r="B39" s="420"/>
    </row>
    <row r="40" spans="1:2">
      <c r="A40" s="420"/>
      <c r="B40" s="420"/>
    </row>
    <row r="41" spans="1:2">
      <c r="A41" s="420"/>
      <c r="B41" s="420"/>
    </row>
    <row r="42" spans="1:2">
      <c r="A42" s="420"/>
      <c r="B42" s="420"/>
    </row>
    <row r="43" spans="1:2">
      <c r="A43" s="420"/>
      <c r="B43" s="420"/>
    </row>
    <row r="44" spans="1:2">
      <c r="A44" s="420"/>
      <c r="B44" s="420"/>
    </row>
    <row r="45" spans="1:2">
      <c r="A45" s="420"/>
      <c r="B45" s="420"/>
    </row>
    <row r="46" spans="1:2">
      <c r="A46" s="420"/>
      <c r="B46" s="420"/>
    </row>
    <row r="47" spans="1:2">
      <c r="A47" s="420"/>
      <c r="B47" s="420"/>
    </row>
    <row r="48" spans="1:2">
      <c r="A48" s="420"/>
      <c r="B48" s="420"/>
    </row>
    <row r="49" spans="1:2">
      <c r="A49" s="420"/>
      <c r="B49" s="420"/>
    </row>
    <row r="50" spans="1:2">
      <c r="A50" s="420"/>
      <c r="B50" s="420"/>
    </row>
    <row r="51" spans="1:2">
      <c r="A51" s="420"/>
      <c r="B51" s="420"/>
    </row>
    <row r="52" spans="1:2">
      <c r="A52" s="420"/>
      <c r="B52" s="420"/>
    </row>
    <row r="53" spans="1:2">
      <c r="A53" s="420"/>
      <c r="B53" s="420"/>
    </row>
    <row r="54" spans="1:2">
      <c r="A54" s="420"/>
      <c r="B54" s="420"/>
    </row>
    <row r="55" spans="1:2">
      <c r="A55" s="420"/>
      <c r="B55" s="420"/>
    </row>
    <row r="56" spans="1:2">
      <c r="A56" s="420"/>
      <c r="B56" s="420"/>
    </row>
    <row r="57" spans="1:2">
      <c r="A57" s="420"/>
      <c r="B57" s="420"/>
    </row>
    <row r="58" spans="1:2">
      <c r="A58" s="420"/>
      <c r="B58" s="420"/>
    </row>
    <row r="59" spans="1:2">
      <c r="A59" s="420"/>
      <c r="B59" s="420"/>
    </row>
    <row r="60" spans="1:2">
      <c r="B60" s="420"/>
    </row>
    <row r="61" spans="1:2">
      <c r="B61" s="420"/>
    </row>
    <row r="62" spans="1:2">
      <c r="B62" s="420"/>
    </row>
    <row r="63" spans="1:2">
      <c r="B63" s="420"/>
    </row>
    <row r="64" spans="1:2">
      <c r="B64" s="420"/>
    </row>
    <row r="65" spans="2:2">
      <c r="B65" s="420"/>
    </row>
    <row r="66" spans="2:2">
      <c r="B66" s="420"/>
    </row>
    <row r="67" spans="2:2">
      <c r="B67" s="420"/>
    </row>
    <row r="68" spans="2:2">
      <c r="B68" s="420"/>
    </row>
    <row r="69" spans="2:2">
      <c r="B69" s="420"/>
    </row>
    <row r="70" spans="2:2" ht="13.5" customHeight="1">
      <c r="B70" s="420"/>
    </row>
    <row r="71" spans="2:2" ht="13.5" customHeight="1">
      <c r="B71" s="420"/>
    </row>
    <row r="72" spans="2:2" ht="14.25" customHeight="1">
      <c r="B72" s="420"/>
    </row>
    <row r="73" spans="2:2" ht="12.75" customHeight="1">
      <c r="B73" s="420"/>
    </row>
    <row r="74" spans="2:2">
      <c r="B74" s="420"/>
    </row>
    <row r="75" spans="2:2">
      <c r="B75" s="420"/>
    </row>
    <row r="76" spans="2:2">
      <c r="B76" s="420"/>
    </row>
    <row r="77" spans="2:2">
      <c r="B77" s="420"/>
    </row>
    <row r="78" spans="2:2">
      <c r="B78" s="420"/>
    </row>
    <row r="79" spans="2:2">
      <c r="B79" s="420"/>
    </row>
    <row r="80" spans="2:2">
      <c r="B80" s="420"/>
    </row>
    <row r="81" spans="2:2">
      <c r="B81" s="420"/>
    </row>
    <row r="82" spans="2:2">
      <c r="B82" s="420"/>
    </row>
    <row r="83" spans="2:2">
      <c r="B83" s="420"/>
    </row>
    <row r="84" spans="2:2">
      <c r="B84" s="420"/>
    </row>
    <row r="85" spans="2:2">
      <c r="B85" s="420"/>
    </row>
    <row r="86" spans="2:2">
      <c r="B86" s="420"/>
    </row>
    <row r="87" spans="2:2">
      <c r="B87" s="420"/>
    </row>
    <row r="88" spans="2:2">
      <c r="B88" s="420"/>
    </row>
    <row r="89" spans="2:2">
      <c r="B89" s="420"/>
    </row>
    <row r="90" spans="2:2">
      <c r="B90" s="420"/>
    </row>
    <row r="91" spans="2:2">
      <c r="B91" s="420"/>
    </row>
    <row r="92" spans="2:2">
      <c r="B92" s="420"/>
    </row>
    <row r="93" spans="2:2">
      <c r="B93" s="420"/>
    </row>
    <row r="94" spans="2:2">
      <c r="B94" s="420"/>
    </row>
    <row r="95" spans="2:2">
      <c r="B95" s="420"/>
    </row>
    <row r="96" spans="2:2">
      <c r="B96" s="420"/>
    </row>
    <row r="97" spans="2:2">
      <c r="B97" s="420"/>
    </row>
    <row r="98" spans="2:2">
      <c r="B98" s="420"/>
    </row>
    <row r="99" spans="2:2">
      <c r="B99" s="420"/>
    </row>
    <row r="100" spans="2:2">
      <c r="B100" s="420"/>
    </row>
    <row r="101" spans="2:2">
      <c r="B101" s="420"/>
    </row>
    <row r="102" spans="2:2">
      <c r="B102" s="420"/>
    </row>
    <row r="103" spans="2:2" ht="14.25" customHeight="1">
      <c r="B103" s="420"/>
    </row>
    <row r="104" spans="2:2" ht="12.75" customHeight="1">
      <c r="B104" s="420"/>
    </row>
    <row r="105" spans="2:2">
      <c r="B105" s="420"/>
    </row>
    <row r="106" spans="2:2">
      <c r="B106" s="420"/>
    </row>
    <row r="107" spans="2:2" ht="13.5" customHeight="1">
      <c r="B107" s="420"/>
    </row>
    <row r="108" spans="2:2" ht="13.5" customHeight="1">
      <c r="B108" s="420"/>
    </row>
    <row r="109" spans="2:2" ht="14.25" customHeight="1">
      <c r="B109" s="420"/>
    </row>
    <row r="110" spans="2:2" ht="12.75" customHeight="1">
      <c r="B110" s="420"/>
    </row>
    <row r="111" spans="2:2">
      <c r="B111" s="420"/>
    </row>
    <row r="112" spans="2:2">
      <c r="B112" s="420"/>
    </row>
    <row r="113" spans="2:2">
      <c r="B113" s="420"/>
    </row>
    <row r="114" spans="2:2">
      <c r="B114" s="420"/>
    </row>
    <row r="115" spans="2:2">
      <c r="B115" s="420"/>
    </row>
    <row r="116" spans="2:2">
      <c r="B116" s="420"/>
    </row>
    <row r="117" spans="2:2">
      <c r="B117" s="420"/>
    </row>
    <row r="118" spans="2:2">
      <c r="B118" s="420"/>
    </row>
    <row r="119" spans="2:2">
      <c r="B119" s="420"/>
    </row>
    <row r="120" spans="2:2">
      <c r="B120" s="420"/>
    </row>
    <row r="121" spans="2:2">
      <c r="B121" s="420"/>
    </row>
    <row r="122" spans="2:2">
      <c r="B122" s="420"/>
    </row>
    <row r="123" spans="2:2">
      <c r="B123" s="420"/>
    </row>
    <row r="124" spans="2:2" ht="13.5" customHeight="1">
      <c r="B124" s="420"/>
    </row>
    <row r="125" spans="2:2" ht="13.5" customHeight="1">
      <c r="B125" s="420"/>
    </row>
    <row r="126" spans="2:2" ht="14.25" customHeight="1">
      <c r="B126" s="420"/>
    </row>
    <row r="127" spans="2:2" ht="12.75" customHeight="1">
      <c r="B127" s="420"/>
    </row>
    <row r="128" spans="2:2">
      <c r="B128" s="420"/>
    </row>
    <row r="129" spans="2:2">
      <c r="B129" s="420"/>
    </row>
    <row r="130" spans="2:2">
      <c r="B130" s="420"/>
    </row>
    <row r="131" spans="2:2">
      <c r="B131" s="420"/>
    </row>
    <row r="132" spans="2:2">
      <c r="B132" s="420"/>
    </row>
    <row r="133" spans="2:2">
      <c r="B133" s="420"/>
    </row>
    <row r="134" spans="2:2">
      <c r="B134" s="420"/>
    </row>
    <row r="135" spans="2:2">
      <c r="B135" s="420"/>
    </row>
    <row r="136" spans="2:2">
      <c r="B136" s="420"/>
    </row>
    <row r="137" spans="2:2">
      <c r="B137" s="420"/>
    </row>
    <row r="138" spans="2:2">
      <c r="B138" s="420"/>
    </row>
    <row r="139" spans="2:2">
      <c r="B139" s="420"/>
    </row>
    <row r="140" spans="2:2">
      <c r="B140" s="420"/>
    </row>
    <row r="141" spans="2:2">
      <c r="B141" s="420"/>
    </row>
    <row r="142" spans="2:2">
      <c r="B142" s="420"/>
    </row>
    <row r="143" spans="2:2">
      <c r="B143" s="420"/>
    </row>
    <row r="144" spans="2:2">
      <c r="B144" s="420"/>
    </row>
    <row r="145" spans="2:2">
      <c r="B145" s="420"/>
    </row>
    <row r="243" ht="13.5" customHeight="1"/>
    <row r="244" ht="13.5" customHeight="1"/>
    <row r="245" ht="14.25" customHeight="1"/>
    <row r="246" ht="12.75" customHeight="1"/>
  </sheetData>
  <mergeCells count="1">
    <mergeCell ref="A6:D6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F251"/>
  <sheetViews>
    <sheetView showGridLines="0" zoomScale="85" zoomScaleNormal="85" workbookViewId="0">
      <selection activeCell="D16" sqref="D16"/>
    </sheetView>
  </sheetViews>
  <sheetFormatPr defaultRowHeight="12"/>
  <cols>
    <col min="1" max="1" width="31.625" style="413" bestFit="1" customWidth="1"/>
    <col min="2" max="2" width="16.5" style="413" customWidth="1"/>
    <col min="3" max="3" width="13.875" style="413" customWidth="1"/>
    <col min="4" max="4" width="12" style="413" customWidth="1"/>
    <col min="5" max="5" width="11.375" style="413" customWidth="1"/>
    <col min="6" max="6" width="10.25" style="413" bestFit="1" customWidth="1"/>
    <col min="7" max="16384" width="9" style="376"/>
  </cols>
  <sheetData>
    <row r="1" spans="1:6" ht="32.25" thickBot="1">
      <c r="A1" s="486"/>
      <c r="B1" s="487"/>
      <c r="C1" s="487"/>
      <c r="D1" s="487"/>
      <c r="E1" s="487"/>
      <c r="F1" s="487"/>
    </row>
    <row r="2" spans="1:6" ht="13.5" customHeight="1">
      <c r="A2" s="488" t="s">
        <v>1436</v>
      </c>
      <c r="B2" s="406" t="s">
        <v>1748</v>
      </c>
      <c r="C2" s="406"/>
      <c r="D2" s="406"/>
      <c r="E2" s="406"/>
      <c r="F2" s="406"/>
    </row>
    <row r="3" spans="1:6" ht="13.5" customHeight="1">
      <c r="A3" s="489"/>
      <c r="B3" s="391" t="s">
        <v>1749</v>
      </c>
      <c r="C3" s="391"/>
      <c r="D3" s="391"/>
      <c r="E3" s="391"/>
      <c r="F3" s="391"/>
    </row>
    <row r="4" spans="1:6" ht="14.25" customHeight="1" thickBot="1">
      <c r="A4" s="489"/>
      <c r="B4" s="391" t="s">
        <v>1695</v>
      </c>
      <c r="C4" s="391"/>
      <c r="D4" s="391"/>
      <c r="E4" s="391"/>
      <c r="F4" s="391"/>
    </row>
    <row r="5" spans="1:6" ht="12.75" customHeight="1" thickBot="1">
      <c r="A5" s="490"/>
      <c r="B5" s="392" t="s">
        <v>1696</v>
      </c>
      <c r="C5" s="392"/>
      <c r="D5" s="392"/>
      <c r="E5" s="392"/>
      <c r="F5" s="392"/>
    </row>
    <row r="6" spans="1:6" ht="14.25" thickBot="1">
      <c r="A6" s="415" t="s">
        <v>1697</v>
      </c>
      <c r="B6" s="394" t="s">
        <v>1698</v>
      </c>
      <c r="C6" s="394"/>
      <c r="D6" s="394"/>
      <c r="E6" s="394"/>
      <c r="F6" s="394"/>
    </row>
    <row r="7" spans="1:6" ht="12.75" thickBot="1">
      <c r="A7" s="395" t="s">
        <v>7</v>
      </c>
      <c r="B7" s="396">
        <v>14965246</v>
      </c>
      <c r="C7" s="396"/>
      <c r="D7" s="396"/>
      <c r="E7" s="396"/>
      <c r="F7" s="396"/>
    </row>
    <row r="8" spans="1:6" ht="12.75" thickBot="1">
      <c r="A8" s="416" t="s">
        <v>1348</v>
      </c>
      <c r="B8" s="398">
        <v>14965246</v>
      </c>
      <c r="C8" s="398"/>
      <c r="D8" s="398"/>
      <c r="E8" s="398"/>
      <c r="F8" s="398"/>
    </row>
    <row r="9" spans="1:6" ht="12.75" thickBot="1">
      <c r="A9" s="417" t="s">
        <v>1352</v>
      </c>
      <c r="B9" s="400">
        <v>378117</v>
      </c>
      <c r="C9" s="400"/>
      <c r="D9" s="400"/>
      <c r="E9" s="400"/>
      <c r="F9" s="400"/>
    </row>
    <row r="10" spans="1:6" ht="12.75" thickBot="1">
      <c r="A10" s="417" t="s">
        <v>1356</v>
      </c>
      <c r="B10" s="400">
        <v>14587129</v>
      </c>
      <c r="C10" s="400"/>
      <c r="D10" s="400"/>
      <c r="E10" s="400"/>
      <c r="F10" s="400"/>
    </row>
    <row r="11" spans="1:6" ht="12.75" thickBot="1">
      <c r="A11" s="417" t="s">
        <v>1366</v>
      </c>
      <c r="B11" s="400">
        <v>14526927</v>
      </c>
      <c r="C11" s="400"/>
      <c r="D11" s="400"/>
      <c r="E11" s="400"/>
      <c r="F11" s="400"/>
    </row>
    <row r="12" spans="1:6" ht="12.75" thickBot="1">
      <c r="A12" s="417" t="s">
        <v>1367</v>
      </c>
      <c r="B12" s="400">
        <v>60202</v>
      </c>
      <c r="C12" s="400"/>
      <c r="D12" s="400"/>
      <c r="E12" s="400"/>
      <c r="F12" s="400"/>
    </row>
    <row r="13" spans="1:6" ht="12.75" thickBot="1">
      <c r="A13" s="395" t="s">
        <v>8</v>
      </c>
      <c r="B13" s="396">
        <v>10593806</v>
      </c>
      <c r="C13" s="396"/>
      <c r="D13" s="396"/>
      <c r="E13" s="396"/>
      <c r="F13" s="396"/>
    </row>
    <row r="14" spans="1:6" ht="12.75" thickBot="1">
      <c r="A14" s="416" t="s">
        <v>1375</v>
      </c>
      <c r="B14" s="398">
        <v>324330</v>
      </c>
      <c r="C14" s="398"/>
      <c r="D14" s="398"/>
      <c r="E14" s="398"/>
      <c r="F14" s="398"/>
    </row>
    <row r="15" spans="1:6" ht="12.75" thickBot="1">
      <c r="A15" s="417" t="s">
        <v>1376</v>
      </c>
      <c r="B15" s="400">
        <v>510545</v>
      </c>
      <c r="C15" s="400"/>
      <c r="D15" s="400"/>
      <c r="E15" s="400"/>
      <c r="F15" s="400"/>
    </row>
    <row r="16" spans="1:6" ht="12.75" thickBot="1">
      <c r="A16" s="417" t="s">
        <v>1377</v>
      </c>
      <c r="B16" s="400">
        <v>1315112</v>
      </c>
      <c r="C16" s="400"/>
      <c r="D16" s="400"/>
      <c r="E16" s="400"/>
      <c r="F16" s="400"/>
    </row>
    <row r="17" spans="1:6" ht="12.75" thickBot="1">
      <c r="A17" s="417" t="s">
        <v>1381</v>
      </c>
      <c r="B17" s="400">
        <v>1501327</v>
      </c>
      <c r="C17" s="402"/>
      <c r="D17" s="402"/>
      <c r="E17" s="402"/>
      <c r="F17" s="400"/>
    </row>
    <row r="18" spans="1:6" ht="12.75" thickBot="1">
      <c r="A18" s="416" t="s">
        <v>1382</v>
      </c>
      <c r="B18" s="398">
        <v>10269476</v>
      </c>
      <c r="C18" s="400"/>
      <c r="D18" s="400"/>
      <c r="E18" s="400"/>
      <c r="F18" s="400"/>
    </row>
    <row r="19" spans="1:6" ht="12.75" thickBot="1">
      <c r="A19" s="417" t="s">
        <v>1376</v>
      </c>
      <c r="B19" s="400">
        <v>72989</v>
      </c>
      <c r="C19" s="398"/>
      <c r="D19" s="398"/>
      <c r="E19" s="398"/>
      <c r="F19" s="398"/>
    </row>
    <row r="20" spans="1:6" ht="12.75" thickBot="1">
      <c r="A20" s="417" t="s">
        <v>1383</v>
      </c>
      <c r="B20" s="400">
        <v>10603062</v>
      </c>
      <c r="C20" s="400"/>
      <c r="D20" s="400"/>
      <c r="E20" s="400"/>
      <c r="F20" s="400"/>
    </row>
    <row r="21" spans="1:6" ht="12.75" thickBot="1">
      <c r="A21" s="417" t="s">
        <v>1381</v>
      </c>
      <c r="B21" s="400">
        <v>406576</v>
      </c>
      <c r="C21" s="400"/>
      <c r="D21" s="400"/>
      <c r="E21" s="400"/>
      <c r="F21" s="400"/>
    </row>
    <row r="22" spans="1:6" ht="12.75" thickBot="1">
      <c r="A22" s="416" t="s">
        <v>1388</v>
      </c>
      <c r="B22" s="398">
        <v>10269476</v>
      </c>
      <c r="C22" s="400"/>
      <c r="D22" s="402"/>
      <c r="E22" s="402"/>
      <c r="F22" s="402"/>
    </row>
    <row r="23" spans="1:6" ht="12.75" thickBot="1">
      <c r="A23" s="395" t="s">
        <v>9</v>
      </c>
      <c r="B23" s="396">
        <v>4371440</v>
      </c>
      <c r="C23" s="400"/>
      <c r="D23" s="400"/>
      <c r="E23" s="400"/>
      <c r="F23" s="400"/>
    </row>
    <row r="24" spans="1:6" ht="12.75" thickBot="1">
      <c r="A24" s="395" t="s">
        <v>10</v>
      </c>
      <c r="B24" s="396">
        <v>3234686</v>
      </c>
      <c r="C24" s="398"/>
      <c r="D24" s="398"/>
      <c r="E24" s="398"/>
      <c r="F24" s="398"/>
    </row>
    <row r="25" spans="1:6" ht="12.75" thickBot="1">
      <c r="A25" s="416" t="s">
        <v>1398</v>
      </c>
      <c r="B25" s="398">
        <v>1258812</v>
      </c>
      <c r="C25" s="396"/>
      <c r="D25" s="396"/>
      <c r="E25" s="396"/>
      <c r="F25" s="396"/>
    </row>
    <row r="26" spans="1:6" ht="12.75" thickBot="1">
      <c r="A26" s="417" t="s">
        <v>599</v>
      </c>
      <c r="B26" s="400">
        <v>1085493</v>
      </c>
      <c r="C26" s="396"/>
      <c r="D26" s="396"/>
      <c r="E26" s="396"/>
      <c r="F26" s="396"/>
    </row>
    <row r="27" spans="1:6" ht="12.75" thickBot="1">
      <c r="A27" s="417" t="s">
        <v>602</v>
      </c>
      <c r="B27" s="400">
        <v>63471</v>
      </c>
      <c r="C27" s="398"/>
      <c r="D27" s="398"/>
      <c r="E27" s="398"/>
      <c r="F27" s="398"/>
    </row>
    <row r="28" spans="1:6" ht="12.75" thickBot="1">
      <c r="A28" s="417" t="s">
        <v>604</v>
      </c>
      <c r="B28" s="400">
        <v>109848</v>
      </c>
      <c r="C28" s="400"/>
      <c r="D28" s="400"/>
      <c r="E28" s="400"/>
      <c r="F28" s="400"/>
    </row>
    <row r="29" spans="1:6" ht="12.75" thickBot="1">
      <c r="A29" s="416" t="s">
        <v>1399</v>
      </c>
      <c r="B29" s="398">
        <v>1496256</v>
      </c>
      <c r="C29" s="400"/>
      <c r="D29" s="400"/>
      <c r="E29" s="400"/>
      <c r="F29" s="400"/>
    </row>
    <row r="30" spans="1:6" ht="12.75" thickBot="1">
      <c r="A30" s="417" t="s">
        <v>607</v>
      </c>
      <c r="B30" s="400">
        <v>27254</v>
      </c>
      <c r="C30" s="400"/>
      <c r="D30" s="400"/>
      <c r="E30" s="400"/>
      <c r="F30" s="400"/>
    </row>
    <row r="31" spans="1:6" ht="12.75" thickBot="1">
      <c r="A31" s="417" t="s">
        <v>608</v>
      </c>
      <c r="B31" s="400">
        <v>14084</v>
      </c>
      <c r="C31" s="398"/>
      <c r="D31" s="398"/>
      <c r="E31" s="398"/>
      <c r="F31" s="398"/>
    </row>
    <row r="32" spans="1:6" ht="12.75" thickBot="1">
      <c r="A32" s="417" t="s">
        <v>609</v>
      </c>
      <c r="B32" s="400">
        <v>20897</v>
      </c>
      <c r="C32" s="400"/>
      <c r="D32" s="400"/>
      <c r="E32" s="400"/>
      <c r="F32" s="400"/>
    </row>
    <row r="33" spans="1:6" ht="12.75" thickBot="1">
      <c r="A33" s="417" t="s">
        <v>610</v>
      </c>
      <c r="B33" s="400">
        <v>65953</v>
      </c>
      <c r="C33" s="400"/>
      <c r="D33" s="400"/>
      <c r="E33" s="400"/>
      <c r="F33" s="400"/>
    </row>
    <row r="34" spans="1:6" ht="12.75" thickBot="1">
      <c r="A34" s="417" t="s">
        <v>611</v>
      </c>
      <c r="B34" s="400">
        <v>318239</v>
      </c>
      <c r="C34" s="400"/>
      <c r="D34" s="400"/>
      <c r="E34" s="400"/>
      <c r="F34" s="400"/>
    </row>
    <row r="35" spans="1:6" ht="12.75" thickBot="1">
      <c r="A35" s="417" t="s">
        <v>612</v>
      </c>
      <c r="B35" s="400">
        <v>173069</v>
      </c>
      <c r="C35" s="400"/>
      <c r="D35" s="400"/>
      <c r="E35" s="400"/>
      <c r="F35" s="400"/>
    </row>
    <row r="36" spans="1:6" ht="12.75" thickBot="1">
      <c r="A36" s="417" t="s">
        <v>613</v>
      </c>
      <c r="B36" s="400">
        <v>4880</v>
      </c>
      <c r="C36" s="400"/>
      <c r="D36" s="400"/>
      <c r="E36" s="400"/>
      <c r="F36" s="400"/>
    </row>
    <row r="37" spans="1:6" ht="12.75" thickBot="1">
      <c r="A37" s="417" t="s">
        <v>614</v>
      </c>
      <c r="B37" s="400">
        <v>26974</v>
      </c>
      <c r="C37" s="400"/>
      <c r="D37" s="400"/>
      <c r="E37" s="400"/>
      <c r="F37" s="400"/>
    </row>
    <row r="38" spans="1:6" ht="12.75" thickBot="1">
      <c r="A38" s="417" t="s">
        <v>616</v>
      </c>
      <c r="B38" s="400">
        <v>78424</v>
      </c>
      <c r="C38" s="400"/>
      <c r="D38" s="400"/>
      <c r="E38" s="400"/>
      <c r="F38" s="400"/>
    </row>
    <row r="39" spans="1:6" ht="12.75" thickBot="1">
      <c r="A39" s="417" t="s">
        <v>617</v>
      </c>
      <c r="B39" s="400">
        <v>1653</v>
      </c>
      <c r="C39" s="400"/>
      <c r="D39" s="400"/>
      <c r="E39" s="400"/>
      <c r="F39" s="400"/>
    </row>
    <row r="40" spans="1:6" ht="12.75" thickBot="1">
      <c r="A40" s="417" t="s">
        <v>618</v>
      </c>
      <c r="B40" s="400">
        <v>48307</v>
      </c>
      <c r="C40" s="400"/>
      <c r="D40" s="400"/>
      <c r="E40" s="400"/>
      <c r="F40" s="400"/>
    </row>
    <row r="41" spans="1:6" ht="12.75" thickBot="1">
      <c r="A41" s="417" t="s">
        <v>619</v>
      </c>
      <c r="B41" s="402">
        <v>65</v>
      </c>
      <c r="C41" s="400"/>
      <c r="D41" s="400"/>
      <c r="E41" s="400"/>
      <c r="F41" s="400"/>
    </row>
    <row r="42" spans="1:6" ht="12.75" thickBot="1">
      <c r="A42" s="417" t="s">
        <v>774</v>
      </c>
      <c r="B42" s="400">
        <v>604713</v>
      </c>
      <c r="C42" s="400"/>
      <c r="D42" s="400"/>
      <c r="E42" s="400"/>
      <c r="F42" s="400"/>
    </row>
    <row r="43" spans="1:6" ht="12.75" thickBot="1">
      <c r="A43" s="417" t="s">
        <v>623</v>
      </c>
      <c r="B43" s="400">
        <v>111743</v>
      </c>
      <c r="C43" s="400"/>
      <c r="D43" s="402"/>
      <c r="E43" s="402"/>
      <c r="F43" s="402"/>
    </row>
    <row r="44" spans="1:6" ht="12.75" thickBot="1">
      <c r="A44" s="416" t="s">
        <v>1400</v>
      </c>
      <c r="B44" s="398">
        <v>242966</v>
      </c>
      <c r="C44" s="400"/>
      <c r="D44" s="400"/>
      <c r="E44" s="400"/>
      <c r="F44" s="400"/>
    </row>
    <row r="45" spans="1:6" ht="12.75" thickBot="1">
      <c r="A45" s="417" t="s">
        <v>624</v>
      </c>
      <c r="B45" s="400">
        <v>57815</v>
      </c>
      <c r="C45" s="398"/>
      <c r="D45" s="398"/>
      <c r="E45" s="398"/>
      <c r="F45" s="398"/>
    </row>
    <row r="46" spans="1:6" ht="12.75" thickBot="1">
      <c r="A46" s="417" t="s">
        <v>625</v>
      </c>
      <c r="B46" s="400">
        <v>82820</v>
      </c>
      <c r="C46" s="400"/>
      <c r="D46" s="400"/>
      <c r="E46" s="400"/>
      <c r="F46" s="400"/>
    </row>
    <row r="47" spans="1:6" ht="12.75" thickBot="1">
      <c r="A47" s="417" t="s">
        <v>629</v>
      </c>
      <c r="B47" s="400">
        <v>102332</v>
      </c>
      <c r="C47" s="400"/>
      <c r="D47" s="400"/>
      <c r="E47" s="400"/>
      <c r="F47" s="400"/>
    </row>
    <row r="48" spans="1:6" ht="12.75" thickBot="1">
      <c r="A48" s="416" t="s">
        <v>1401</v>
      </c>
      <c r="B48" s="398">
        <v>236652</v>
      </c>
      <c r="C48" s="400"/>
      <c r="D48" s="402"/>
      <c r="E48" s="400"/>
      <c r="F48" s="400"/>
    </row>
    <row r="49" spans="1:6" ht="12.75" thickBot="1">
      <c r="A49" s="417" t="s">
        <v>639</v>
      </c>
      <c r="B49" s="400">
        <v>185614</v>
      </c>
      <c r="C49" s="400"/>
      <c r="D49" s="400"/>
      <c r="E49" s="400"/>
      <c r="F49" s="400"/>
    </row>
    <row r="50" spans="1:6" ht="12.75" thickBot="1">
      <c r="A50" s="417" t="s">
        <v>641</v>
      </c>
      <c r="B50" s="400">
        <v>50056</v>
      </c>
      <c r="C50" s="400"/>
      <c r="D50" s="400"/>
      <c r="E50" s="400"/>
      <c r="F50" s="400"/>
    </row>
    <row r="51" spans="1:6" ht="12.75" thickBot="1">
      <c r="A51" s="417" t="s">
        <v>642</v>
      </c>
      <c r="B51" s="402">
        <v>981</v>
      </c>
      <c r="C51" s="398"/>
      <c r="D51" s="398"/>
      <c r="E51" s="398"/>
      <c r="F51" s="398"/>
    </row>
    <row r="52" spans="1:6" ht="12.75" thickBot="1">
      <c r="A52" s="418" t="s">
        <v>1405</v>
      </c>
      <c r="B52" s="402">
        <v>981</v>
      </c>
      <c r="C52" s="400"/>
      <c r="D52" s="402"/>
      <c r="E52" s="402"/>
      <c r="F52" s="402"/>
    </row>
    <row r="53" spans="1:6" ht="12.75" thickBot="1">
      <c r="A53" s="395" t="s">
        <v>11</v>
      </c>
      <c r="B53" s="396">
        <v>1136754</v>
      </c>
      <c r="C53" s="400"/>
      <c r="D53" s="400"/>
      <c r="E53" s="400"/>
      <c r="F53" s="400"/>
    </row>
    <row r="54" spans="1:6" ht="12.75" thickBot="1">
      <c r="A54" s="395" t="s">
        <v>12</v>
      </c>
      <c r="B54" s="396">
        <v>387494</v>
      </c>
      <c r="C54" s="400"/>
      <c r="D54" s="400"/>
      <c r="E54" s="400"/>
      <c r="F54" s="400"/>
    </row>
    <row r="55" spans="1:6" ht="12.75" thickBot="1">
      <c r="A55" s="416" t="s">
        <v>645</v>
      </c>
      <c r="B55" s="398">
        <v>3626</v>
      </c>
      <c r="C55" s="400"/>
      <c r="D55" s="400"/>
      <c r="E55" s="400"/>
      <c r="F55" s="400"/>
    </row>
    <row r="56" spans="1:6" ht="12.75" thickBot="1">
      <c r="A56" s="416" t="s">
        <v>659</v>
      </c>
      <c r="B56" s="398">
        <v>249232</v>
      </c>
      <c r="C56" s="400"/>
      <c r="D56" s="400"/>
      <c r="E56" s="400"/>
      <c r="F56" s="400"/>
    </row>
    <row r="57" spans="1:6" ht="12.75" thickBot="1">
      <c r="A57" s="416" t="s">
        <v>664</v>
      </c>
      <c r="B57" s="398">
        <v>3549</v>
      </c>
      <c r="C57" s="400"/>
      <c r="D57" s="400"/>
      <c r="E57" s="400"/>
      <c r="F57" s="400"/>
    </row>
    <row r="58" spans="1:6" ht="12.75" thickBot="1">
      <c r="A58" s="416" t="s">
        <v>686</v>
      </c>
      <c r="B58" s="398">
        <v>27373</v>
      </c>
      <c r="C58" s="400"/>
      <c r="D58" s="400"/>
      <c r="E58" s="400"/>
      <c r="F58" s="400"/>
    </row>
    <row r="59" spans="1:6" ht="17.25" customHeight="1" thickBot="1">
      <c r="A59" s="416" t="s">
        <v>707</v>
      </c>
      <c r="B59" s="398">
        <v>103714</v>
      </c>
      <c r="C59" s="396"/>
      <c r="D59" s="396"/>
      <c r="E59" s="396"/>
      <c r="F59" s="396"/>
    </row>
    <row r="60" spans="1:6" ht="17.25" customHeight="1" thickBot="1">
      <c r="A60" s="395" t="s">
        <v>13</v>
      </c>
      <c r="B60" s="396">
        <v>349761</v>
      </c>
      <c r="C60" s="396"/>
      <c r="D60" s="396"/>
      <c r="E60" s="396"/>
      <c r="F60" s="396"/>
    </row>
    <row r="61" spans="1:6" ht="14.25" customHeight="1" thickBot="1">
      <c r="A61" s="416" t="s">
        <v>708</v>
      </c>
      <c r="B61" s="398">
        <v>136508</v>
      </c>
      <c r="C61" s="398"/>
      <c r="D61" s="398"/>
      <c r="E61" s="398"/>
      <c r="F61" s="398"/>
    </row>
    <row r="62" spans="1:6" ht="17.25" customHeight="1" thickBot="1">
      <c r="A62" s="416" t="s">
        <v>719</v>
      </c>
      <c r="B62" s="398">
        <v>2577</v>
      </c>
      <c r="C62" s="398"/>
      <c r="D62" s="403"/>
      <c r="E62" s="403"/>
      <c r="F62" s="403"/>
    </row>
    <row r="63" spans="1:6" ht="17.25" customHeight="1" thickBot="1">
      <c r="A63" s="416" t="s">
        <v>720</v>
      </c>
      <c r="B63" s="398">
        <v>23540</v>
      </c>
      <c r="C63" s="398"/>
      <c r="D63" s="398"/>
      <c r="E63" s="398"/>
      <c r="F63" s="398"/>
    </row>
    <row r="64" spans="1:6" ht="12.75" thickBot="1">
      <c r="A64" s="416" t="s">
        <v>756</v>
      </c>
      <c r="B64" s="398">
        <v>187136</v>
      </c>
      <c r="C64" s="398"/>
      <c r="D64" s="398"/>
      <c r="E64" s="398"/>
      <c r="F64" s="398"/>
    </row>
    <row r="65" spans="1:6" ht="12.75" thickBot="1">
      <c r="A65" s="395" t="s">
        <v>14</v>
      </c>
      <c r="B65" s="396">
        <v>1174487</v>
      </c>
      <c r="C65" s="403"/>
      <c r="D65" s="403"/>
      <c r="E65" s="398"/>
      <c r="F65" s="403"/>
    </row>
    <row r="66" spans="1:6" ht="13.5" customHeight="1" thickBot="1">
      <c r="A66" s="395" t="s">
        <v>15</v>
      </c>
      <c r="B66" s="396">
        <v>194038</v>
      </c>
      <c r="C66" s="403"/>
      <c r="D66" s="398"/>
      <c r="E66" s="398"/>
      <c r="F66" s="403"/>
    </row>
    <row r="67" spans="1:6" ht="13.5" customHeight="1" thickBot="1">
      <c r="A67" s="395" t="s">
        <v>16</v>
      </c>
      <c r="B67" s="396">
        <v>980449</v>
      </c>
      <c r="C67" s="398"/>
      <c r="D67" s="398"/>
      <c r="E67" s="403"/>
      <c r="F67" s="403"/>
    </row>
    <row r="68" spans="1:6" ht="14.25" customHeight="1" thickBot="1">
      <c r="A68" s="395" t="s">
        <v>17</v>
      </c>
      <c r="B68" s="396">
        <v>980449</v>
      </c>
      <c r="C68" s="403"/>
      <c r="D68" s="398"/>
      <c r="E68" s="398"/>
      <c r="F68" s="403"/>
    </row>
    <row r="69" spans="1:6" ht="12.75" customHeight="1" thickBot="1">
      <c r="A69" s="395" t="s">
        <v>1700</v>
      </c>
      <c r="B69" s="396">
        <v>24164</v>
      </c>
      <c r="C69" s="398"/>
      <c r="D69" s="398"/>
      <c r="E69" s="398"/>
      <c r="F69" s="398"/>
    </row>
    <row r="70" spans="1:6" ht="12.75" thickBot="1">
      <c r="A70" s="407" t="s">
        <v>1701</v>
      </c>
      <c r="B70" s="408">
        <v>24164</v>
      </c>
      <c r="C70" s="396"/>
      <c r="D70" s="396"/>
      <c r="E70" s="396"/>
      <c r="F70" s="396"/>
    </row>
    <row r="71" spans="1:6" ht="12.75" thickBot="1">
      <c r="A71" s="397"/>
      <c r="B71" s="398"/>
      <c r="C71" s="398"/>
      <c r="D71" s="398"/>
      <c r="E71" s="398"/>
      <c r="F71" s="398"/>
    </row>
    <row r="72" spans="1:6" ht="12.75" thickBot="1">
      <c r="A72" s="397"/>
      <c r="B72" s="398"/>
      <c r="C72" s="398"/>
      <c r="D72" s="398"/>
      <c r="E72" s="398"/>
      <c r="F72" s="398"/>
    </row>
    <row r="73" spans="1:6" ht="12.75" thickBot="1">
      <c r="A73" s="397"/>
      <c r="B73" s="398"/>
      <c r="C73" s="398"/>
      <c r="D73" s="403"/>
      <c r="E73" s="398"/>
      <c r="F73" s="398"/>
    </row>
    <row r="74" spans="1:6" ht="12.75" thickBot="1">
      <c r="A74" s="397"/>
      <c r="B74" s="398"/>
      <c r="C74" s="398"/>
      <c r="D74" s="398"/>
      <c r="E74" s="398"/>
      <c r="F74" s="398"/>
    </row>
    <row r="75" spans="1:6" ht="12.75" thickBot="1">
      <c r="A75" s="399"/>
      <c r="B75" s="402"/>
      <c r="C75" s="400"/>
      <c r="D75" s="400"/>
      <c r="E75" s="400"/>
      <c r="F75" s="402"/>
    </row>
    <row r="76" spans="1:6" ht="12.75" thickBot="1">
      <c r="A76" s="399"/>
      <c r="B76" s="400"/>
      <c r="C76" s="400"/>
      <c r="D76" s="402"/>
      <c r="E76" s="402"/>
      <c r="F76" s="402"/>
    </row>
    <row r="77" spans="1:6" ht="12.75" thickBot="1">
      <c r="A77" s="399"/>
      <c r="B77" s="402"/>
      <c r="C77" s="402"/>
      <c r="D77" s="402"/>
      <c r="E77" s="402"/>
      <c r="F77" s="400"/>
    </row>
    <row r="78" spans="1:6" ht="12.75" thickBot="1">
      <c r="A78" s="397"/>
      <c r="B78" s="398"/>
      <c r="C78" s="398"/>
      <c r="D78" s="398"/>
      <c r="E78" s="398"/>
      <c r="F78" s="398"/>
    </row>
    <row r="79" spans="1:6" ht="12.75" thickBot="1">
      <c r="A79" s="397"/>
      <c r="B79" s="403"/>
      <c r="C79" s="398"/>
      <c r="D79" s="403"/>
      <c r="E79" s="403"/>
      <c r="F79" s="403"/>
    </row>
    <row r="80" spans="1:6" ht="12.75" thickBot="1">
      <c r="A80" s="397"/>
      <c r="B80" s="398"/>
      <c r="C80" s="398"/>
      <c r="D80" s="398"/>
      <c r="E80" s="403"/>
      <c r="F80" s="403"/>
    </row>
    <row r="81" spans="1:6" ht="12.75" thickBot="1">
      <c r="A81" s="397"/>
      <c r="B81" s="403"/>
      <c r="C81" s="398"/>
      <c r="D81" s="403"/>
      <c r="E81" s="403"/>
      <c r="F81" s="403"/>
    </row>
    <row r="82" spans="1:6" ht="12.75" thickBot="1">
      <c r="A82" s="397"/>
      <c r="B82" s="398"/>
      <c r="C82" s="398"/>
      <c r="D82" s="403"/>
      <c r="E82" s="403"/>
      <c r="F82" s="403"/>
    </row>
    <row r="83" spans="1:6" ht="13.5" customHeight="1" thickBot="1">
      <c r="A83" s="395"/>
      <c r="B83" s="396"/>
      <c r="C83" s="396"/>
      <c r="D83" s="396"/>
      <c r="E83" s="396"/>
      <c r="F83" s="396"/>
    </row>
    <row r="84" spans="1:6" ht="13.5" customHeight="1" thickBot="1">
      <c r="A84" s="395"/>
      <c r="B84" s="396"/>
      <c r="C84" s="396"/>
      <c r="D84" s="396"/>
      <c r="E84" s="396"/>
      <c r="F84" s="396"/>
    </row>
    <row r="85" spans="1:6" ht="14.25" customHeight="1" thickBot="1">
      <c r="A85" s="395"/>
      <c r="B85" s="396"/>
      <c r="C85" s="396"/>
      <c r="D85" s="396"/>
      <c r="E85" s="396"/>
      <c r="F85" s="396"/>
    </row>
    <row r="86" spans="1:6" ht="12.75" customHeight="1" thickBot="1">
      <c r="A86" s="395"/>
      <c r="B86" s="396"/>
      <c r="C86" s="396"/>
      <c r="D86" s="396"/>
      <c r="E86" s="396"/>
      <c r="F86" s="396"/>
    </row>
    <row r="87" spans="1:6" ht="12.75" thickBot="1">
      <c r="A87" s="395"/>
      <c r="B87" s="396"/>
      <c r="C87" s="396"/>
      <c r="D87" s="405"/>
      <c r="E87" s="405"/>
      <c r="F87" s="405"/>
    </row>
    <row r="88" spans="1:6" ht="12.75" thickBot="1">
      <c r="A88" s="395"/>
      <c r="B88" s="405"/>
      <c r="C88" s="396"/>
      <c r="D88" s="396"/>
      <c r="E88" s="396"/>
      <c r="F88" s="396"/>
    </row>
    <row r="89" spans="1:6" ht="12.75" thickBot="1">
      <c r="A89" s="407"/>
      <c r="B89" s="409"/>
      <c r="C89" s="408"/>
      <c r="D89" s="408"/>
      <c r="E89" s="408"/>
      <c r="F89" s="408"/>
    </row>
    <row r="90" spans="1:6" ht="12.75" thickBot="1">
      <c r="A90" s="395"/>
      <c r="B90" s="396"/>
      <c r="C90" s="396"/>
      <c r="D90" s="396"/>
      <c r="E90" s="398"/>
      <c r="F90" s="398"/>
    </row>
    <row r="91" spans="1:6" ht="12.75" thickBot="1">
      <c r="A91" s="395"/>
      <c r="B91" s="396"/>
      <c r="C91" s="396"/>
      <c r="D91" s="405"/>
      <c r="E91" s="400"/>
      <c r="F91" s="400"/>
    </row>
    <row r="92" spans="1:6" ht="12.75" thickBot="1">
      <c r="A92" s="395"/>
      <c r="B92" s="396"/>
      <c r="C92" s="396"/>
      <c r="D92" s="396"/>
      <c r="E92" s="400"/>
      <c r="F92" s="400"/>
    </row>
    <row r="93" spans="1:6" ht="12.75" thickBot="1">
      <c r="A93" s="395"/>
      <c r="B93" s="396"/>
      <c r="C93" s="396"/>
      <c r="D93" s="396"/>
      <c r="E93" s="400"/>
      <c r="F93" s="402"/>
    </row>
    <row r="94" spans="1:6" ht="12.75" thickBot="1">
      <c r="A94" s="395"/>
      <c r="B94" s="396"/>
      <c r="C94" s="396"/>
      <c r="D94" s="396"/>
      <c r="E94" s="400"/>
      <c r="F94" s="402"/>
    </row>
    <row r="95" spans="1:6" ht="12.75" thickBot="1">
      <c r="A95" s="407"/>
      <c r="B95" s="408"/>
      <c r="C95" s="408"/>
      <c r="D95" s="408"/>
      <c r="E95" s="400"/>
      <c r="F95" s="402"/>
    </row>
    <row r="96" spans="1:6" ht="12.75" thickBot="1">
      <c r="A96" s="401"/>
      <c r="B96" s="402"/>
      <c r="C96" s="402"/>
      <c r="D96" s="402"/>
      <c r="E96" s="400"/>
      <c r="F96" s="402"/>
    </row>
    <row r="97" spans="1:6" ht="12.75" thickBot="1">
      <c r="A97" s="397"/>
      <c r="B97" s="398"/>
      <c r="C97" s="398"/>
      <c r="D97" s="398"/>
      <c r="E97" s="398"/>
      <c r="F97" s="398"/>
    </row>
    <row r="98" spans="1:6" ht="12.75" thickBot="1">
      <c r="A98" s="399"/>
      <c r="B98" s="402"/>
      <c r="C98" s="402"/>
      <c r="D98" s="402"/>
      <c r="E98" s="402"/>
      <c r="F98" s="400"/>
    </row>
    <row r="99" spans="1:6" ht="12.75" thickBot="1">
      <c r="A99" s="401"/>
      <c r="B99" s="402"/>
      <c r="C99" s="402"/>
      <c r="D99" s="402"/>
      <c r="E99" s="402"/>
      <c r="F99" s="400"/>
    </row>
    <row r="100" spans="1:6" ht="13.5" customHeight="1" thickBot="1">
      <c r="A100" s="399"/>
      <c r="B100" s="402"/>
      <c r="C100" s="402"/>
      <c r="D100" s="400"/>
      <c r="E100" s="400"/>
      <c r="F100" s="400"/>
    </row>
    <row r="101" spans="1:6" ht="13.5" customHeight="1" thickBot="1">
      <c r="A101" s="401"/>
      <c r="B101" s="402"/>
      <c r="C101" s="402"/>
      <c r="D101" s="400"/>
      <c r="E101" s="400"/>
      <c r="F101" s="400"/>
    </row>
    <row r="102" spans="1:6" ht="14.25" customHeight="1" thickBot="1">
      <c r="A102" s="399"/>
      <c r="B102" s="400"/>
      <c r="C102" s="400"/>
      <c r="D102" s="400"/>
      <c r="E102" s="400"/>
      <c r="F102" s="400"/>
    </row>
    <row r="103" spans="1:6" ht="12.75" customHeight="1" thickBot="1">
      <c r="A103" s="401"/>
      <c r="B103" s="402"/>
      <c r="C103" s="402"/>
      <c r="D103" s="400"/>
      <c r="E103" s="400"/>
      <c r="F103" s="400"/>
    </row>
    <row r="104" spans="1:6" ht="12.75" customHeight="1" thickBot="1">
      <c r="A104" s="401"/>
      <c r="B104" s="400"/>
      <c r="C104" s="400"/>
      <c r="D104" s="400"/>
      <c r="E104" s="400"/>
      <c r="F104" s="400"/>
    </row>
    <row r="105" spans="1:6" ht="12.75" thickBot="1">
      <c r="A105" s="401"/>
      <c r="B105" s="402"/>
      <c r="C105" s="402"/>
      <c r="D105" s="402"/>
      <c r="E105" s="402"/>
      <c r="F105" s="402"/>
    </row>
    <row r="106" spans="1:6" ht="12.75" thickBot="1">
      <c r="A106" s="401"/>
      <c r="B106" s="400"/>
      <c r="C106" s="400"/>
      <c r="D106" s="400"/>
      <c r="E106" s="400"/>
      <c r="F106" s="400"/>
    </row>
    <row r="107" spans="1:6" ht="12.75" thickBot="1">
      <c r="A107" s="401"/>
      <c r="B107" s="400"/>
      <c r="C107" s="400"/>
      <c r="D107" s="400"/>
      <c r="E107" s="400"/>
      <c r="F107" s="400"/>
    </row>
    <row r="108" spans="1:6" ht="13.5" customHeight="1" thickBot="1">
      <c r="A108" s="401"/>
      <c r="B108" s="400"/>
      <c r="C108" s="402"/>
      <c r="D108" s="402"/>
      <c r="E108" s="402"/>
      <c r="F108" s="402"/>
    </row>
    <row r="109" spans="1:6" ht="13.5" customHeight="1" thickBot="1">
      <c r="A109" s="395"/>
      <c r="B109" s="396"/>
      <c r="C109" s="396"/>
      <c r="D109" s="396"/>
      <c r="E109" s="396"/>
      <c r="F109" s="396"/>
    </row>
    <row r="110" spans="1:6" ht="14.25" customHeight="1" thickBot="1">
      <c r="A110" s="397"/>
      <c r="B110" s="398"/>
      <c r="C110" s="398"/>
      <c r="D110" s="398"/>
      <c r="E110" s="398"/>
      <c r="F110" s="398"/>
    </row>
    <row r="111" spans="1:6" ht="12.75" customHeight="1" thickBot="1">
      <c r="A111" s="399"/>
      <c r="B111" s="400"/>
      <c r="C111" s="400"/>
      <c r="D111" s="402"/>
      <c r="E111" s="402"/>
      <c r="F111" s="402"/>
    </row>
    <row r="112" spans="1:6" ht="12.75" thickBot="1">
      <c r="A112" s="401"/>
      <c r="B112" s="400"/>
      <c r="C112" s="400"/>
      <c r="D112" s="402"/>
      <c r="E112" s="402"/>
      <c r="F112" s="402"/>
    </row>
    <row r="113" spans="1:6" ht="12.75" thickBot="1">
      <c r="A113" s="399"/>
      <c r="B113" s="402"/>
      <c r="C113" s="400"/>
      <c r="D113" s="400"/>
      <c r="E113" s="402"/>
      <c r="F113" s="400"/>
    </row>
    <row r="114" spans="1:6" ht="12.75" thickBot="1">
      <c r="A114" s="401"/>
      <c r="B114" s="402"/>
      <c r="C114" s="400"/>
      <c r="D114" s="400"/>
      <c r="E114" s="402"/>
      <c r="F114" s="402"/>
    </row>
    <row r="115" spans="1:6" ht="12.75" thickBot="1">
      <c r="A115" s="401"/>
      <c r="B115" s="402"/>
      <c r="C115" s="402"/>
      <c r="D115" s="402"/>
      <c r="E115" s="402"/>
      <c r="F115" s="400"/>
    </row>
    <row r="116" spans="1:6" ht="12.75" thickBot="1">
      <c r="A116" s="399"/>
      <c r="B116" s="400"/>
      <c r="C116" s="402"/>
      <c r="D116" s="402"/>
      <c r="E116" s="400"/>
      <c r="F116" s="400"/>
    </row>
    <row r="117" spans="1:6" ht="12.75" thickBot="1">
      <c r="A117" s="401"/>
      <c r="B117" s="400"/>
      <c r="C117" s="402"/>
      <c r="D117" s="402"/>
      <c r="E117" s="400"/>
      <c r="F117" s="400"/>
    </row>
    <row r="118" spans="1:6" ht="12.75" thickBot="1">
      <c r="A118" s="397"/>
      <c r="B118" s="398"/>
      <c r="C118" s="398"/>
      <c r="D118" s="398"/>
      <c r="E118" s="398"/>
      <c r="F118" s="398"/>
    </row>
    <row r="119" spans="1:6" ht="12.75" thickBot="1">
      <c r="A119" s="399"/>
      <c r="B119" s="400"/>
      <c r="C119" s="400"/>
      <c r="D119" s="400"/>
      <c r="E119" s="400"/>
      <c r="F119" s="400"/>
    </row>
    <row r="120" spans="1:6" ht="12.75" thickBot="1">
      <c r="A120" s="401"/>
      <c r="B120" s="400"/>
      <c r="C120" s="402"/>
      <c r="D120" s="400"/>
      <c r="E120" s="400"/>
      <c r="F120" s="402"/>
    </row>
    <row r="121" spans="1:6" ht="12.75" thickBot="1">
      <c r="A121" s="401"/>
      <c r="B121" s="402"/>
      <c r="C121" s="400"/>
      <c r="D121" s="402"/>
      <c r="E121" s="402"/>
      <c r="F121" s="402"/>
    </row>
    <row r="122" spans="1:6" ht="12.75" thickBot="1">
      <c r="A122" s="401"/>
      <c r="B122" s="402"/>
      <c r="C122" s="402"/>
      <c r="D122" s="400"/>
      <c r="E122" s="400"/>
      <c r="F122" s="400"/>
    </row>
    <row r="123" spans="1:6" ht="12.75" thickBot="1">
      <c r="A123" s="399"/>
      <c r="B123" s="402"/>
      <c r="C123" s="400"/>
      <c r="D123" s="402"/>
      <c r="E123" s="402"/>
      <c r="F123" s="402"/>
    </row>
    <row r="124" spans="1:6" ht="12.75" thickBot="1">
      <c r="A124" s="401"/>
      <c r="B124" s="402"/>
      <c r="C124" s="400"/>
      <c r="D124" s="402"/>
      <c r="E124" s="402"/>
      <c r="F124" s="402"/>
    </row>
    <row r="125" spans="1:6" ht="12.75" thickBot="1">
      <c r="A125" s="395"/>
      <c r="B125" s="396"/>
      <c r="C125" s="396"/>
      <c r="D125" s="396"/>
      <c r="E125" s="396"/>
      <c r="F125" s="396"/>
    </row>
    <row r="126" spans="1:6" ht="12.75" thickBot="1">
      <c r="A126" s="395"/>
      <c r="B126" s="396"/>
      <c r="C126" s="396"/>
      <c r="D126" s="396"/>
      <c r="E126" s="396"/>
      <c r="F126" s="396"/>
    </row>
    <row r="127" spans="1:6" ht="12.75" thickBot="1">
      <c r="A127" s="395"/>
      <c r="B127" s="396"/>
      <c r="C127" s="396"/>
      <c r="D127" s="396"/>
      <c r="E127" s="396"/>
      <c r="F127" s="396"/>
    </row>
    <row r="128" spans="1:6" ht="12.75" thickBot="1">
      <c r="A128" s="395"/>
      <c r="B128" s="405"/>
      <c r="C128" s="396"/>
      <c r="D128" s="405"/>
      <c r="E128" s="396"/>
      <c r="F128" s="396"/>
    </row>
    <row r="129" spans="1:6" ht="12.75" thickBot="1">
      <c r="A129" s="397"/>
      <c r="B129" s="403"/>
      <c r="C129" s="403"/>
      <c r="D129" s="403"/>
      <c r="E129" s="398"/>
      <c r="F129" s="398"/>
    </row>
    <row r="130" spans="1:6" ht="12.75" thickBot="1">
      <c r="A130" s="410"/>
      <c r="B130" s="411"/>
      <c r="C130" s="412"/>
      <c r="D130" s="411"/>
      <c r="E130" s="412"/>
      <c r="F130" s="411"/>
    </row>
    <row r="131" spans="1:6" ht="16.5">
      <c r="A131" s="388"/>
      <c r="B131" s="387"/>
      <c r="C131" s="387"/>
      <c r="D131" s="387"/>
      <c r="E131" s="387"/>
      <c r="F131" s="387"/>
    </row>
    <row r="132" spans="1:6" ht="32.25" thickBot="1">
      <c r="A132" s="486"/>
      <c r="B132" s="487"/>
      <c r="C132" s="487"/>
      <c r="D132" s="487"/>
      <c r="E132" s="487"/>
      <c r="F132" s="487"/>
    </row>
    <row r="133" spans="1:6" ht="13.5" customHeight="1">
      <c r="A133" s="488"/>
      <c r="B133" s="406"/>
      <c r="C133" s="406"/>
      <c r="D133" s="406"/>
      <c r="E133" s="406"/>
      <c r="F133" s="406"/>
    </row>
    <row r="134" spans="1:6" ht="13.5" customHeight="1">
      <c r="A134" s="489"/>
      <c r="B134" s="391"/>
      <c r="C134" s="391"/>
      <c r="D134" s="391"/>
      <c r="E134" s="391"/>
      <c r="F134" s="391"/>
    </row>
    <row r="135" spans="1:6" ht="14.25" customHeight="1" thickBot="1">
      <c r="A135" s="489"/>
      <c r="B135" s="391"/>
      <c r="C135" s="391"/>
      <c r="D135" s="391"/>
      <c r="E135" s="391"/>
      <c r="F135" s="391"/>
    </row>
    <row r="136" spans="1:6" ht="12.75" customHeight="1" thickBot="1">
      <c r="A136" s="490"/>
      <c r="B136" s="392"/>
      <c r="C136" s="392"/>
      <c r="D136" s="392"/>
      <c r="E136" s="392"/>
      <c r="F136" s="392"/>
    </row>
    <row r="137" spans="1:6" ht="14.25" thickBot="1">
      <c r="A137" s="393"/>
      <c r="B137" s="394"/>
      <c r="C137" s="394"/>
      <c r="D137" s="394"/>
      <c r="E137" s="394"/>
      <c r="F137" s="394"/>
    </row>
    <row r="138" spans="1:6" ht="12.75" thickBot="1">
      <c r="A138" s="395"/>
      <c r="B138" s="396"/>
      <c r="C138" s="396"/>
      <c r="D138" s="396"/>
      <c r="E138" s="396"/>
      <c r="F138" s="396"/>
    </row>
    <row r="139" spans="1:6" ht="12.75" thickBot="1">
      <c r="A139" s="397"/>
      <c r="B139" s="398"/>
      <c r="C139" s="398"/>
      <c r="D139" s="398"/>
      <c r="E139" s="398"/>
      <c r="F139" s="398"/>
    </row>
    <row r="140" spans="1:6" ht="12.75" thickBot="1">
      <c r="A140" s="397"/>
      <c r="B140" s="398"/>
      <c r="C140" s="398"/>
      <c r="D140" s="398"/>
      <c r="E140" s="398"/>
      <c r="F140" s="398"/>
    </row>
    <row r="141" spans="1:6" ht="12.75" thickBot="1">
      <c r="A141" s="399"/>
      <c r="B141" s="400"/>
      <c r="C141" s="400"/>
      <c r="D141" s="400"/>
      <c r="E141" s="400"/>
      <c r="F141" s="400"/>
    </row>
    <row r="142" spans="1:6" ht="12.75" thickBot="1">
      <c r="A142" s="399"/>
      <c r="B142" s="400"/>
      <c r="C142" s="400"/>
      <c r="D142" s="400"/>
      <c r="E142" s="400"/>
      <c r="F142" s="400"/>
    </row>
    <row r="143" spans="1:6" ht="17.25" customHeight="1" thickBot="1">
      <c r="A143" s="401"/>
      <c r="B143" s="402"/>
      <c r="C143" s="400"/>
      <c r="D143" s="400"/>
      <c r="E143" s="400"/>
      <c r="F143" s="400"/>
    </row>
    <row r="144" spans="1:6" ht="17.25" customHeight="1" thickBot="1">
      <c r="A144" s="401"/>
      <c r="B144" s="400"/>
      <c r="C144" s="400"/>
      <c r="D144" s="400"/>
      <c r="E144" s="400"/>
      <c r="F144" s="400"/>
    </row>
    <row r="145" spans="1:6" ht="12.75" thickBot="1">
      <c r="A145" s="399"/>
      <c r="B145" s="402"/>
      <c r="C145" s="400"/>
      <c r="D145" s="402"/>
      <c r="E145" s="400"/>
      <c r="F145" s="400"/>
    </row>
    <row r="146" spans="1:6" ht="12.75" thickBot="1">
      <c r="A146" s="399"/>
      <c r="B146" s="402"/>
      <c r="C146" s="400"/>
      <c r="D146" s="402"/>
      <c r="E146" s="402"/>
      <c r="F146" s="402"/>
    </row>
    <row r="147" spans="1:6" ht="13.5" customHeight="1" thickBot="1">
      <c r="A147" s="399"/>
      <c r="B147" s="400"/>
      <c r="C147" s="400"/>
      <c r="D147" s="400"/>
      <c r="E147" s="400"/>
      <c r="F147" s="400"/>
    </row>
    <row r="148" spans="1:6" ht="13.5" customHeight="1" thickBot="1">
      <c r="A148" s="399"/>
      <c r="B148" s="400"/>
      <c r="C148" s="400"/>
      <c r="D148" s="402"/>
      <c r="E148" s="402"/>
      <c r="F148" s="402"/>
    </row>
    <row r="149" spans="1:6" ht="14.25" customHeight="1" thickBot="1">
      <c r="A149" s="399"/>
      <c r="B149" s="400"/>
      <c r="C149" s="400"/>
      <c r="D149" s="400"/>
      <c r="E149" s="402"/>
      <c r="F149" s="402"/>
    </row>
    <row r="150" spans="1:6" ht="12.75" customHeight="1" thickBot="1">
      <c r="A150" s="399"/>
      <c r="B150" s="402"/>
      <c r="C150" s="402"/>
      <c r="D150" s="402"/>
      <c r="E150" s="402"/>
      <c r="F150" s="400"/>
    </row>
    <row r="151" spans="1:6" ht="12.75" thickBot="1">
      <c r="A151" s="399"/>
      <c r="B151" s="402"/>
      <c r="C151" s="400"/>
      <c r="D151" s="402"/>
      <c r="E151" s="402"/>
      <c r="F151" s="402"/>
    </row>
    <row r="152" spans="1:6" ht="12.75" thickBot="1">
      <c r="A152" s="399"/>
      <c r="B152" s="400"/>
      <c r="C152" s="400"/>
      <c r="D152" s="402"/>
      <c r="E152" s="402"/>
      <c r="F152" s="402"/>
    </row>
    <row r="153" spans="1:6" ht="12.75" thickBot="1">
      <c r="A153" s="399"/>
      <c r="B153" s="400"/>
      <c r="C153" s="400"/>
      <c r="D153" s="400"/>
      <c r="E153" s="400"/>
      <c r="F153" s="400"/>
    </row>
    <row r="154" spans="1:6" ht="12.75" thickBot="1">
      <c r="A154" s="399"/>
      <c r="B154" s="400"/>
      <c r="C154" s="400"/>
      <c r="D154" s="402"/>
      <c r="E154" s="402"/>
      <c r="F154" s="402"/>
    </row>
    <row r="155" spans="1:6" ht="12.75" thickBot="1">
      <c r="A155" s="399"/>
      <c r="B155" s="402"/>
      <c r="C155" s="400"/>
      <c r="D155" s="402"/>
      <c r="E155" s="402"/>
      <c r="F155" s="402"/>
    </row>
    <row r="156" spans="1:6" ht="12.75" thickBot="1">
      <c r="A156" s="397"/>
      <c r="B156" s="398"/>
      <c r="C156" s="398"/>
      <c r="D156" s="398"/>
      <c r="E156" s="398"/>
      <c r="F156" s="403"/>
    </row>
    <row r="157" spans="1:6" ht="12.75" thickBot="1">
      <c r="A157" s="399"/>
      <c r="B157" s="402"/>
      <c r="C157" s="402"/>
      <c r="D157" s="400"/>
      <c r="E157" s="402"/>
      <c r="F157" s="402"/>
    </row>
    <row r="158" spans="1:6" ht="12.75" thickBot="1">
      <c r="A158" s="399"/>
      <c r="B158" s="402"/>
      <c r="C158" s="402"/>
      <c r="D158" s="400"/>
      <c r="E158" s="400"/>
      <c r="F158" s="402"/>
    </row>
    <row r="159" spans="1:6" ht="12.75" thickBot="1">
      <c r="A159" s="399"/>
      <c r="B159" s="402"/>
      <c r="C159" s="402"/>
      <c r="D159" s="400"/>
      <c r="E159" s="400"/>
      <c r="F159" s="402"/>
    </row>
    <row r="160" spans="1:6" ht="12.75" thickBot="1">
      <c r="A160" s="399"/>
      <c r="B160" s="400"/>
      <c r="C160" s="400"/>
      <c r="D160" s="402"/>
      <c r="E160" s="400"/>
      <c r="F160" s="402"/>
    </row>
    <row r="161" spans="1:6" ht="12.75" thickBot="1">
      <c r="A161" s="399"/>
      <c r="B161" s="400"/>
      <c r="C161" s="402"/>
      <c r="D161" s="400"/>
      <c r="E161" s="402"/>
      <c r="F161" s="402"/>
    </row>
    <row r="162" spans="1:6" ht="12.75" thickBot="1">
      <c r="A162" s="399"/>
      <c r="B162" s="400"/>
      <c r="C162" s="400"/>
      <c r="D162" s="402"/>
      <c r="E162" s="402"/>
      <c r="F162" s="402"/>
    </row>
    <row r="163" spans="1:6" ht="12.75" thickBot="1">
      <c r="A163" s="397"/>
      <c r="B163" s="398"/>
      <c r="C163" s="398"/>
      <c r="D163" s="398"/>
      <c r="E163" s="398"/>
      <c r="F163" s="398"/>
    </row>
    <row r="164" spans="1:6" ht="12.75" thickBot="1">
      <c r="A164" s="399"/>
      <c r="B164" s="400"/>
      <c r="C164" s="400"/>
      <c r="D164" s="400"/>
      <c r="E164" s="400"/>
      <c r="F164" s="400"/>
    </row>
    <row r="165" spans="1:6" ht="12.75" thickBot="1">
      <c r="A165" s="399"/>
      <c r="B165" s="400"/>
      <c r="C165" s="400"/>
      <c r="D165" s="400"/>
      <c r="E165" s="400"/>
      <c r="F165" s="400"/>
    </row>
    <row r="166" spans="1:6" ht="12.75" thickBot="1">
      <c r="A166" s="399"/>
      <c r="B166" s="402"/>
      <c r="C166" s="402"/>
      <c r="D166" s="400"/>
      <c r="E166" s="400"/>
      <c r="F166" s="400"/>
    </row>
    <row r="167" spans="1:6" ht="12.75" thickBot="1">
      <c r="A167" s="399"/>
      <c r="B167" s="402"/>
      <c r="C167" s="402"/>
      <c r="D167" s="400"/>
      <c r="E167" s="400"/>
      <c r="F167" s="400"/>
    </row>
    <row r="168" spans="1:6" ht="12.75" thickBot="1">
      <c r="A168" s="399"/>
      <c r="B168" s="402"/>
      <c r="C168" s="402"/>
      <c r="D168" s="400"/>
      <c r="E168" s="400"/>
      <c r="F168" s="400"/>
    </row>
    <row r="169" spans="1:6" ht="12.75" thickBot="1">
      <c r="A169" s="399"/>
      <c r="B169" s="402"/>
      <c r="C169" s="402"/>
      <c r="D169" s="402"/>
      <c r="E169" s="400"/>
      <c r="F169" s="400"/>
    </row>
    <row r="170" spans="1:6" ht="12.75" thickBot="1">
      <c r="A170" s="399"/>
      <c r="B170" s="402"/>
      <c r="C170" s="400"/>
      <c r="D170" s="402"/>
      <c r="E170" s="402"/>
      <c r="F170" s="402"/>
    </row>
    <row r="171" spans="1:6" ht="12.75" thickBot="1">
      <c r="A171" s="399"/>
      <c r="B171" s="400"/>
      <c r="C171" s="402"/>
      <c r="D171" s="402"/>
      <c r="E171" s="402"/>
      <c r="F171" s="402"/>
    </row>
    <row r="172" spans="1:6" ht="12.75" thickBot="1">
      <c r="A172" s="399"/>
      <c r="B172" s="400"/>
      <c r="C172" s="400"/>
      <c r="D172" s="402"/>
      <c r="E172" s="402"/>
      <c r="F172" s="402"/>
    </row>
    <row r="173" spans="1:6" ht="12.75" thickBot="1">
      <c r="A173" s="399"/>
      <c r="B173" s="400"/>
      <c r="C173" s="400"/>
      <c r="D173" s="400"/>
      <c r="E173" s="400"/>
      <c r="F173" s="400"/>
    </row>
    <row r="174" spans="1:6" ht="12.75" thickBot="1">
      <c r="A174" s="399"/>
      <c r="B174" s="402"/>
      <c r="C174" s="402"/>
      <c r="D174" s="400"/>
      <c r="E174" s="400"/>
      <c r="F174" s="400"/>
    </row>
    <row r="175" spans="1:6" ht="12.75" thickBot="1">
      <c r="A175" s="399"/>
      <c r="B175" s="402"/>
      <c r="C175" s="402"/>
      <c r="D175" s="400"/>
      <c r="E175" s="400"/>
      <c r="F175" s="400"/>
    </row>
    <row r="176" spans="1:6" ht="12.75" thickBot="1">
      <c r="A176" s="399"/>
      <c r="B176" s="402"/>
      <c r="C176" s="402"/>
      <c r="D176" s="400"/>
      <c r="E176" s="400"/>
      <c r="F176" s="400"/>
    </row>
    <row r="177" spans="1:6" ht="12.75" thickBot="1">
      <c r="A177" s="399"/>
      <c r="B177" s="400"/>
      <c r="C177" s="400"/>
      <c r="D177" s="400"/>
      <c r="E177" s="400"/>
      <c r="F177" s="400"/>
    </row>
    <row r="178" spans="1:6" ht="12.75" thickBot="1">
      <c r="A178" s="399"/>
      <c r="B178" s="400"/>
      <c r="C178" s="400"/>
      <c r="D178" s="402"/>
      <c r="E178" s="400"/>
      <c r="F178" s="402"/>
    </row>
    <row r="179" spans="1:6" ht="12.75" thickBot="1">
      <c r="A179" s="399"/>
      <c r="B179" s="400"/>
      <c r="C179" s="400"/>
      <c r="D179" s="400"/>
      <c r="E179" s="402"/>
      <c r="F179" s="400"/>
    </row>
    <row r="180" spans="1:6" ht="12.75" thickBot="1">
      <c r="A180" s="399"/>
      <c r="B180" s="400"/>
      <c r="C180" s="400"/>
      <c r="D180" s="400"/>
      <c r="E180" s="400"/>
      <c r="F180" s="400"/>
    </row>
    <row r="181" spans="1:6" ht="12.75" thickBot="1">
      <c r="A181" s="399"/>
      <c r="B181" s="400"/>
      <c r="C181" s="400"/>
      <c r="D181" s="400"/>
      <c r="E181" s="400"/>
      <c r="F181" s="400"/>
    </row>
    <row r="182" spans="1:6" ht="12.75" thickBot="1">
      <c r="A182" s="399"/>
      <c r="B182" s="402"/>
      <c r="C182" s="400"/>
      <c r="D182" s="402"/>
      <c r="E182" s="402"/>
      <c r="F182" s="402"/>
    </row>
    <row r="183" spans="1:6" ht="12.75" thickBot="1">
      <c r="A183" s="395"/>
      <c r="B183" s="396"/>
      <c r="C183" s="396"/>
      <c r="D183" s="396"/>
      <c r="E183" s="396"/>
      <c r="F183" s="396"/>
    </row>
    <row r="184" spans="1:6" ht="12.75" thickBot="1">
      <c r="A184" s="397"/>
      <c r="B184" s="398"/>
      <c r="C184" s="398"/>
      <c r="D184" s="398"/>
      <c r="E184" s="398"/>
      <c r="F184" s="398"/>
    </row>
    <row r="185" spans="1:6" ht="12.75" thickBot="1">
      <c r="A185" s="399"/>
      <c r="B185" s="400"/>
      <c r="C185" s="400"/>
      <c r="D185" s="400"/>
      <c r="E185" s="400"/>
      <c r="F185" s="400"/>
    </row>
    <row r="186" spans="1:6" ht="12.75" thickBot="1">
      <c r="A186" s="401"/>
      <c r="B186" s="400"/>
      <c r="C186" s="400"/>
      <c r="D186" s="402"/>
      <c r="E186" s="402"/>
      <c r="F186" s="402"/>
    </row>
    <row r="187" spans="1:6" ht="12.75" thickBot="1">
      <c r="A187" s="401"/>
      <c r="B187" s="400"/>
      <c r="C187" s="400"/>
      <c r="D187" s="400"/>
      <c r="E187" s="400"/>
      <c r="F187" s="400"/>
    </row>
    <row r="188" spans="1:6" ht="12.75" thickBot="1">
      <c r="A188" s="401"/>
      <c r="B188" s="402"/>
      <c r="C188" s="402"/>
      <c r="D188" s="400"/>
      <c r="E188" s="400"/>
      <c r="F188" s="400"/>
    </row>
    <row r="189" spans="1:6" ht="12.75" thickBot="1">
      <c r="A189" s="399"/>
      <c r="B189" s="400"/>
      <c r="C189" s="400"/>
      <c r="D189" s="400"/>
      <c r="E189" s="400"/>
      <c r="F189" s="400"/>
    </row>
    <row r="190" spans="1:6" ht="12.75" thickBot="1">
      <c r="A190" s="401"/>
      <c r="B190" s="402"/>
      <c r="C190" s="402"/>
      <c r="D190" s="402"/>
      <c r="E190" s="400"/>
      <c r="F190" s="402"/>
    </row>
    <row r="191" spans="1:6" ht="12.75" thickBot="1">
      <c r="A191" s="401"/>
      <c r="B191" s="400"/>
      <c r="C191" s="400"/>
      <c r="D191" s="402"/>
      <c r="E191" s="402"/>
      <c r="F191" s="402"/>
    </row>
    <row r="192" spans="1:6" ht="12.75" thickBot="1">
      <c r="A192" s="401"/>
      <c r="B192" s="402"/>
      <c r="C192" s="402"/>
      <c r="D192" s="400"/>
      <c r="E192" s="402"/>
      <c r="F192" s="402"/>
    </row>
    <row r="193" spans="1:6" ht="12.75" thickBot="1">
      <c r="A193" s="401"/>
      <c r="B193" s="402"/>
      <c r="C193" s="402"/>
      <c r="D193" s="400"/>
      <c r="E193" s="402"/>
      <c r="F193" s="400"/>
    </row>
    <row r="194" spans="1:6" ht="12.75" thickBot="1">
      <c r="A194" s="401"/>
      <c r="B194" s="400"/>
      <c r="C194" s="402"/>
      <c r="D194" s="402"/>
      <c r="E194" s="402"/>
      <c r="F194" s="402"/>
    </row>
    <row r="195" spans="1:6" ht="12.75" thickBot="1">
      <c r="A195" s="399"/>
      <c r="B195" s="400"/>
      <c r="C195" s="400"/>
      <c r="D195" s="400"/>
      <c r="E195" s="402"/>
      <c r="F195" s="402"/>
    </row>
    <row r="196" spans="1:6" ht="12.75" thickBot="1">
      <c r="A196" s="401"/>
      <c r="B196" s="402"/>
      <c r="C196" s="402"/>
      <c r="D196" s="400"/>
      <c r="E196" s="402"/>
      <c r="F196" s="402"/>
    </row>
    <row r="197" spans="1:6" ht="12.75" thickBot="1">
      <c r="A197" s="401"/>
      <c r="B197" s="402"/>
      <c r="C197" s="402"/>
      <c r="D197" s="400"/>
      <c r="E197" s="402"/>
      <c r="F197" s="402"/>
    </row>
    <row r="198" spans="1:6" ht="12.75" thickBot="1">
      <c r="A198" s="401"/>
      <c r="B198" s="402"/>
      <c r="C198" s="400"/>
      <c r="D198" s="402"/>
      <c r="E198" s="402"/>
      <c r="F198" s="402"/>
    </row>
    <row r="199" spans="1:6" ht="12.75" thickBot="1">
      <c r="A199" s="404"/>
      <c r="B199" s="402"/>
      <c r="C199" s="400"/>
      <c r="D199" s="402"/>
      <c r="E199" s="402"/>
      <c r="F199" s="402"/>
    </row>
    <row r="200" spans="1:6" ht="12.75" thickBot="1">
      <c r="A200" s="401"/>
      <c r="B200" s="400"/>
      <c r="C200" s="402"/>
      <c r="D200" s="402"/>
      <c r="E200" s="402"/>
      <c r="F200" s="402"/>
    </row>
    <row r="201" spans="1:6" ht="12.75" thickBot="1">
      <c r="A201" s="399"/>
      <c r="B201" s="400"/>
      <c r="C201" s="400"/>
      <c r="D201" s="402"/>
      <c r="E201" s="402"/>
      <c r="F201" s="402"/>
    </row>
    <row r="202" spans="1:6" ht="12.75" thickBot="1">
      <c r="A202" s="397"/>
      <c r="B202" s="398"/>
      <c r="C202" s="398"/>
      <c r="D202" s="398"/>
      <c r="E202" s="398"/>
      <c r="F202" s="398"/>
    </row>
    <row r="203" spans="1:6" ht="12.75" thickBot="1">
      <c r="A203" s="399"/>
      <c r="B203" s="400"/>
      <c r="C203" s="400"/>
      <c r="D203" s="400"/>
      <c r="E203" s="400"/>
      <c r="F203" s="400"/>
    </row>
    <row r="204" spans="1:6" ht="12.75" thickBot="1">
      <c r="A204" s="401"/>
      <c r="B204" s="402"/>
      <c r="C204" s="400"/>
      <c r="D204" s="400"/>
      <c r="E204" s="402"/>
      <c r="F204" s="402"/>
    </row>
    <row r="205" spans="1:6" ht="12.75" thickBot="1">
      <c r="A205" s="401"/>
      <c r="B205" s="400"/>
      <c r="C205" s="400"/>
      <c r="D205" s="402"/>
      <c r="E205" s="402"/>
      <c r="F205" s="402"/>
    </row>
    <row r="206" spans="1:6" ht="12.75" thickBot="1">
      <c r="A206" s="401"/>
      <c r="B206" s="400"/>
      <c r="C206" s="402"/>
      <c r="D206" s="400"/>
      <c r="E206" s="400"/>
      <c r="F206" s="400"/>
    </row>
    <row r="207" spans="1:6" ht="12.75" thickBot="1">
      <c r="A207" s="401"/>
      <c r="B207" s="402"/>
      <c r="C207" s="402"/>
      <c r="D207" s="400"/>
      <c r="E207" s="400"/>
      <c r="F207" s="400"/>
    </row>
    <row r="208" spans="1:6" ht="12.75" thickBot="1">
      <c r="A208" s="399"/>
      <c r="B208" s="400"/>
      <c r="C208" s="400"/>
      <c r="D208" s="400"/>
      <c r="E208" s="400"/>
      <c r="F208" s="400"/>
    </row>
    <row r="209" spans="1:6" ht="12.75" thickBot="1">
      <c r="A209" s="401"/>
      <c r="B209" s="402"/>
      <c r="C209" s="402"/>
      <c r="D209" s="402"/>
      <c r="E209" s="400"/>
      <c r="F209" s="400"/>
    </row>
    <row r="210" spans="1:6" ht="12.75" thickBot="1">
      <c r="A210" s="401"/>
      <c r="B210" s="400"/>
      <c r="C210" s="400"/>
      <c r="D210" s="402"/>
      <c r="E210" s="402"/>
      <c r="F210" s="402"/>
    </row>
    <row r="211" spans="1:6" ht="12.75" thickBot="1">
      <c r="A211" s="401"/>
      <c r="B211" s="402"/>
      <c r="C211" s="402"/>
      <c r="D211" s="402"/>
      <c r="E211" s="402"/>
      <c r="F211" s="400"/>
    </row>
    <row r="212" spans="1:6" ht="12.75" thickBot="1">
      <c r="A212" s="401"/>
      <c r="B212" s="400"/>
      <c r="C212" s="402"/>
      <c r="D212" s="402"/>
      <c r="E212" s="400"/>
      <c r="F212" s="402"/>
    </row>
    <row r="213" spans="1:6" ht="12.75" thickBot="1">
      <c r="A213" s="401"/>
      <c r="B213" s="402"/>
      <c r="C213" s="402"/>
      <c r="D213" s="400"/>
      <c r="E213" s="400"/>
      <c r="F213" s="400"/>
    </row>
    <row r="214" spans="1:6" ht="12.75" thickBot="1">
      <c r="A214" s="401"/>
      <c r="B214" s="400"/>
      <c r="C214" s="400"/>
      <c r="D214" s="402"/>
      <c r="E214" s="402"/>
      <c r="F214" s="402"/>
    </row>
    <row r="215" spans="1:6" ht="12.75" thickBot="1">
      <c r="A215" s="401"/>
      <c r="B215" s="402"/>
      <c r="C215" s="402"/>
      <c r="D215" s="400"/>
      <c r="E215" s="400"/>
      <c r="F215" s="402"/>
    </row>
    <row r="216" spans="1:6" ht="12.75" thickBot="1">
      <c r="A216" s="399"/>
      <c r="B216" s="400"/>
      <c r="C216" s="400"/>
      <c r="D216" s="400"/>
      <c r="E216" s="400"/>
      <c r="F216" s="400"/>
    </row>
    <row r="217" spans="1:6" ht="12.75" thickBot="1">
      <c r="A217" s="401"/>
      <c r="B217" s="400"/>
      <c r="C217" s="402"/>
      <c r="D217" s="400"/>
      <c r="E217" s="400"/>
      <c r="F217" s="400"/>
    </row>
    <row r="218" spans="1:6" ht="12.75" thickBot="1">
      <c r="A218" s="401"/>
      <c r="B218" s="400"/>
      <c r="C218" s="402"/>
      <c r="D218" s="400"/>
      <c r="E218" s="400"/>
      <c r="F218" s="400"/>
    </row>
    <row r="219" spans="1:6" ht="12.75" thickBot="1">
      <c r="A219" s="401"/>
      <c r="B219" s="400"/>
      <c r="C219" s="402"/>
      <c r="D219" s="400"/>
      <c r="E219" s="400"/>
      <c r="F219" s="400"/>
    </row>
    <row r="220" spans="1:6" ht="12.75" thickBot="1">
      <c r="A220" s="401"/>
      <c r="B220" s="402"/>
      <c r="C220" s="402"/>
      <c r="D220" s="400"/>
      <c r="E220" s="400"/>
      <c r="F220" s="400"/>
    </row>
    <row r="221" spans="1:6" ht="12.75" thickBot="1">
      <c r="A221" s="401"/>
      <c r="B221" s="400"/>
      <c r="C221" s="402"/>
      <c r="D221" s="400"/>
      <c r="E221" s="400"/>
      <c r="F221" s="400"/>
    </row>
    <row r="222" spans="1:6" ht="12.75" thickBot="1">
      <c r="A222" s="401"/>
      <c r="B222" s="400"/>
      <c r="C222" s="400"/>
      <c r="D222" s="400"/>
      <c r="E222" s="400"/>
      <c r="F222" s="400"/>
    </row>
    <row r="223" spans="1:6" ht="12.75" thickBot="1">
      <c r="A223" s="401"/>
      <c r="B223" s="400"/>
      <c r="C223" s="400"/>
      <c r="D223" s="400"/>
      <c r="E223" s="400"/>
      <c r="F223" s="400"/>
    </row>
    <row r="224" spans="1:6" ht="12.75" thickBot="1">
      <c r="A224" s="401"/>
      <c r="B224" s="402"/>
      <c r="C224" s="400"/>
      <c r="D224" s="402"/>
      <c r="E224" s="402"/>
      <c r="F224" s="400"/>
    </row>
    <row r="225" spans="1:6" ht="12.75" thickBot="1">
      <c r="A225" s="395"/>
      <c r="B225" s="396"/>
      <c r="C225" s="396"/>
      <c r="D225" s="396"/>
      <c r="E225" s="396"/>
      <c r="F225" s="396"/>
    </row>
    <row r="226" spans="1:6" ht="12.75" thickBot="1">
      <c r="A226" s="397"/>
      <c r="B226" s="398"/>
      <c r="C226" s="398"/>
      <c r="D226" s="398"/>
      <c r="E226" s="398"/>
      <c r="F226" s="398"/>
    </row>
    <row r="227" spans="1:6" ht="12.75" thickBot="1">
      <c r="A227" s="399"/>
      <c r="B227" s="400"/>
      <c r="C227" s="400"/>
      <c r="D227" s="400"/>
      <c r="E227" s="400"/>
      <c r="F227" s="400"/>
    </row>
    <row r="228" spans="1:6" ht="12.75" thickBot="1">
      <c r="A228" s="401"/>
      <c r="B228" s="400"/>
      <c r="C228" s="400"/>
      <c r="D228" s="400"/>
      <c r="E228" s="400"/>
      <c r="F228" s="400"/>
    </row>
    <row r="229" spans="1:6" ht="12.75" thickBot="1">
      <c r="A229" s="399"/>
      <c r="B229" s="400"/>
      <c r="C229" s="400"/>
      <c r="D229" s="400"/>
      <c r="E229" s="400"/>
      <c r="F229" s="400"/>
    </row>
    <row r="230" spans="1:6" ht="12.75" thickBot="1">
      <c r="A230" s="401"/>
      <c r="B230" s="402"/>
      <c r="C230" s="402"/>
      <c r="D230" s="402"/>
      <c r="E230" s="402"/>
      <c r="F230" s="400"/>
    </row>
    <row r="231" spans="1:6" ht="12.75" thickBot="1">
      <c r="A231" s="401"/>
      <c r="B231" s="400"/>
      <c r="C231" s="400"/>
      <c r="D231" s="400"/>
      <c r="E231" s="400"/>
      <c r="F231" s="400"/>
    </row>
    <row r="232" spans="1:6" ht="12.75" thickBot="1">
      <c r="A232" s="399"/>
      <c r="B232" s="400"/>
      <c r="C232" s="402"/>
      <c r="D232" s="402"/>
      <c r="E232" s="400"/>
      <c r="F232" s="400"/>
    </row>
    <row r="233" spans="1:6" ht="12.75" thickBot="1">
      <c r="A233" s="401"/>
      <c r="B233" s="400"/>
      <c r="C233" s="402"/>
      <c r="D233" s="402"/>
      <c r="E233" s="400"/>
      <c r="F233" s="400"/>
    </row>
    <row r="234" spans="1:6" ht="12.75" thickBot="1">
      <c r="A234" s="397"/>
      <c r="B234" s="398"/>
      <c r="C234" s="398"/>
      <c r="D234" s="398"/>
      <c r="E234" s="398"/>
      <c r="F234" s="398"/>
    </row>
    <row r="235" spans="1:6" ht="12.75" thickBot="1">
      <c r="A235" s="399"/>
      <c r="B235" s="400"/>
      <c r="C235" s="400"/>
      <c r="D235" s="400"/>
      <c r="E235" s="400"/>
      <c r="F235" s="400"/>
    </row>
    <row r="236" spans="1:6" ht="12.75" thickBot="1">
      <c r="A236" s="401"/>
      <c r="B236" s="400"/>
      <c r="C236" s="400"/>
      <c r="D236" s="400"/>
      <c r="E236" s="400"/>
      <c r="F236" s="400"/>
    </row>
    <row r="237" spans="1:6" ht="12.75" thickBot="1">
      <c r="A237" s="401"/>
      <c r="B237" s="400"/>
      <c r="C237" s="400"/>
      <c r="D237" s="400"/>
      <c r="E237" s="400"/>
      <c r="F237" s="400"/>
    </row>
    <row r="238" spans="1:6" ht="12.75" thickBot="1">
      <c r="A238" s="399"/>
      <c r="B238" s="400"/>
      <c r="C238" s="400"/>
      <c r="D238" s="400"/>
      <c r="E238" s="400"/>
      <c r="F238" s="400"/>
    </row>
    <row r="239" spans="1:6" ht="12.75" thickBot="1">
      <c r="A239" s="401"/>
      <c r="B239" s="402"/>
      <c r="C239" s="402"/>
      <c r="D239" s="400"/>
      <c r="E239" s="402"/>
      <c r="F239" s="402"/>
    </row>
    <row r="240" spans="1:6" ht="12.75" thickBot="1">
      <c r="A240" s="401"/>
      <c r="B240" s="400"/>
      <c r="C240" s="400"/>
      <c r="D240" s="400"/>
      <c r="E240" s="400"/>
      <c r="F240" s="400"/>
    </row>
    <row r="241" spans="1:6" ht="12.75" thickBot="1">
      <c r="A241" s="399"/>
      <c r="B241" s="402"/>
      <c r="C241" s="400"/>
      <c r="D241" s="400"/>
      <c r="E241" s="402"/>
      <c r="F241" s="402"/>
    </row>
    <row r="242" spans="1:6" ht="12.75" thickBot="1">
      <c r="A242" s="399"/>
      <c r="B242" s="400"/>
      <c r="C242" s="400"/>
      <c r="D242" s="402"/>
      <c r="E242" s="402"/>
      <c r="F242" s="402"/>
    </row>
    <row r="243" spans="1:6" ht="12.75" thickBot="1">
      <c r="A243" s="395"/>
      <c r="B243" s="396"/>
      <c r="C243" s="396"/>
      <c r="D243" s="396"/>
      <c r="E243" s="396"/>
      <c r="F243" s="396"/>
    </row>
    <row r="244" spans="1:6" ht="12.75" thickBot="1">
      <c r="A244" s="395"/>
      <c r="B244" s="405"/>
      <c r="C244" s="405"/>
      <c r="D244" s="405"/>
      <c r="E244" s="405"/>
      <c r="F244" s="405"/>
    </row>
    <row r="245" spans="1:6" ht="12.75" thickBot="1">
      <c r="A245" s="395"/>
      <c r="B245" s="396"/>
      <c r="C245" s="396"/>
      <c r="D245" s="396"/>
      <c r="E245" s="396"/>
      <c r="F245" s="396"/>
    </row>
    <row r="246" spans="1:6" ht="12.75" thickBot="1">
      <c r="A246" s="395"/>
      <c r="B246" s="396"/>
      <c r="C246" s="396"/>
      <c r="D246" s="396"/>
      <c r="E246" s="396"/>
      <c r="F246" s="396"/>
    </row>
    <row r="247" spans="1:6" ht="12.75" thickBot="1">
      <c r="A247" s="395"/>
      <c r="B247" s="405"/>
      <c r="C247" s="405"/>
      <c r="D247" s="396"/>
      <c r="E247" s="396"/>
      <c r="F247" s="396"/>
    </row>
    <row r="248" spans="1:6" ht="12.75" thickBot="1">
      <c r="A248" s="397"/>
      <c r="B248" s="403"/>
      <c r="C248" s="403"/>
      <c r="D248" s="398"/>
      <c r="E248" s="398"/>
      <c r="F248" s="398"/>
    </row>
    <row r="249" spans="1:6" ht="12.75" thickBot="1">
      <c r="A249" s="397"/>
      <c r="B249" s="403"/>
      <c r="C249" s="403"/>
      <c r="D249" s="398"/>
      <c r="E249" s="398"/>
      <c r="F249" s="398"/>
    </row>
    <row r="250" spans="1:6" ht="12.75" thickBot="1">
      <c r="A250" s="397"/>
      <c r="B250" s="403"/>
      <c r="C250" s="403"/>
      <c r="D250" s="398"/>
      <c r="E250" s="398"/>
      <c r="F250" s="403"/>
    </row>
    <row r="251" spans="1:6" ht="12.75" thickBot="1">
      <c r="A251" s="410"/>
      <c r="B251" s="411"/>
      <c r="C251" s="411"/>
      <c r="D251" s="412"/>
      <c r="E251" s="412"/>
      <c r="F251" s="412"/>
    </row>
  </sheetData>
  <mergeCells count="4">
    <mergeCell ref="A133:A136"/>
    <mergeCell ref="A2:A5"/>
    <mergeCell ref="A1:F1"/>
    <mergeCell ref="A132:F132"/>
  </mergeCells>
  <phoneticPr fontId="2" type="noConversion"/>
  <conditionalFormatting sqref="A1:A3">
    <cfRule type="duplicateValues" dxfId="7" priority="2"/>
  </conditionalFormatting>
  <conditionalFormatting sqref="A1:A5">
    <cfRule type="duplicateValues" dxfId="6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R1117"/>
  <sheetViews>
    <sheetView showGridLines="0" showZero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21" sqref="J21"/>
    </sheetView>
  </sheetViews>
  <sheetFormatPr defaultRowHeight="16.5" outlineLevelCol="1"/>
  <cols>
    <col min="1" max="1" width="6.75" style="206" customWidth="1"/>
    <col min="2" max="2" width="28.125" style="193" customWidth="1"/>
    <col min="3" max="3" width="12.625" style="218" customWidth="1"/>
    <col min="4" max="7" width="12.625" style="219" customWidth="1"/>
    <col min="8" max="12" width="12.625" style="208" customWidth="1" outlineLevel="1"/>
    <col min="13" max="13" width="2.625" style="193" customWidth="1"/>
    <col min="14" max="18" width="12.625" style="193" customWidth="1"/>
    <col min="19" max="16384" width="9" style="193"/>
  </cols>
  <sheetData>
    <row r="1" spans="1:18" s="209" customFormat="1" ht="12">
      <c r="B1" s="210"/>
      <c r="C1" s="211">
        <v>3</v>
      </c>
      <c r="D1" s="211">
        <v>4</v>
      </c>
      <c r="E1" s="211">
        <v>5</v>
      </c>
      <c r="F1" s="211">
        <v>6</v>
      </c>
      <c r="G1" s="211">
        <v>7</v>
      </c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</row>
    <row r="2" spans="1:18" s="209" customFormat="1" ht="12">
      <c r="B2" s="210"/>
      <c r="C2" s="211">
        <v>2</v>
      </c>
      <c r="D2" s="211">
        <v>3</v>
      </c>
      <c r="E2" s="211">
        <v>4</v>
      </c>
      <c r="F2" s="211">
        <v>5</v>
      </c>
      <c r="G2" s="211">
        <v>6</v>
      </c>
      <c r="H2" s="211">
        <v>2</v>
      </c>
      <c r="I2" s="211">
        <v>3</v>
      </c>
      <c r="J2" s="211">
        <v>4</v>
      </c>
      <c r="K2" s="211">
        <v>5</v>
      </c>
      <c r="L2" s="211">
        <v>6</v>
      </c>
      <c r="N2" s="211">
        <v>2</v>
      </c>
      <c r="O2" s="211">
        <v>3</v>
      </c>
      <c r="P2" s="211">
        <v>4</v>
      </c>
      <c r="Q2" s="211">
        <v>5</v>
      </c>
      <c r="R2" s="211">
        <v>6</v>
      </c>
    </row>
    <row r="3" spans="1:18" s="216" customFormat="1" ht="12">
      <c r="A3" s="216">
        <v>110000</v>
      </c>
      <c r="B3" s="212" t="s">
        <v>1434</v>
      </c>
      <c r="C3" s="220" t="e">
        <f>VLOOKUP($B:$B,BS!$A:$D,2,0)</f>
        <v>#N/A</v>
      </c>
      <c r="D3" s="220" t="e">
        <f>VLOOKUP($B:$B,BS!$A:$D,$2:$2,0)</f>
        <v>#N/A</v>
      </c>
      <c r="E3" s="220" t="e">
        <f>VLOOKUP($B:$B,BS!$A:$D,$2:$2,0)</f>
        <v>#N/A</v>
      </c>
      <c r="F3" s="220" t="e">
        <f>VLOOKUP($B:$B,BS!$A:$D,$2:$2,0)</f>
        <v>#N/A</v>
      </c>
      <c r="G3" s="220" t="e">
        <f>VLOOKUP($B:$B,BS!$A:$D,$2:$2,0)</f>
        <v>#N/A</v>
      </c>
      <c r="H3" s="221" t="e">
        <f>VLOOKUP($B:$B,'BS(과거)'!$A:$F,$2:$2,0)</f>
        <v>#N/A</v>
      </c>
      <c r="I3" s="221" t="e">
        <f>VLOOKUP($B:$B,'BS(과거)'!$A:$F,$2:$2,0)</f>
        <v>#N/A</v>
      </c>
      <c r="J3" s="221" t="e">
        <f>VLOOKUP($B:$B,'BS(과거)'!$A:$F,$2:$2,0)</f>
        <v>#N/A</v>
      </c>
      <c r="K3" s="221" t="e">
        <f>VLOOKUP($B:$B,'BS(과거)'!$A:$F,$2:$2,0)</f>
        <v>#N/A</v>
      </c>
      <c r="L3" s="221" t="e">
        <f>VLOOKUP($B:$B,'BS(과거)'!$A:$F,$2:$2,0)</f>
        <v>#N/A</v>
      </c>
      <c r="N3" s="222" t="e">
        <f>VLOOKUP($B:$B,'BS(분기)'!$A:$F,$2:$2,0)</f>
        <v>#N/A</v>
      </c>
      <c r="O3" s="222" t="e">
        <f>VLOOKUP($B:$B,'BS(분기)'!$A:$F,$2:$2,0)</f>
        <v>#N/A</v>
      </c>
      <c r="P3" s="222" t="e">
        <f>VLOOKUP($B:$B,'BS(분기)'!$A:$F,$2:$2,0)</f>
        <v>#N/A</v>
      </c>
      <c r="Q3" s="222" t="e">
        <f>VLOOKUP($B:$B,'BS(분기)'!$A:$F,$2:$2,0)</f>
        <v>#N/A</v>
      </c>
      <c r="R3" s="222" t="e">
        <f>VLOOKUP($B:$B,'BS(분기)'!$A:$F,$2:$2,0)</f>
        <v>#N/A</v>
      </c>
    </row>
    <row r="4" spans="1:18" s="192" customFormat="1" ht="12">
      <c r="A4" s="200">
        <v>112000</v>
      </c>
      <c r="B4" s="193" t="s">
        <v>1</v>
      </c>
      <c r="C4" s="217">
        <f>IF(ISNUMBER(VLOOKUP($B:$B,BS!$A:$D,$2:$2,0)),VLOOKUP($B:$B,BS!$A:$D,$2:$2,0),0)</f>
        <v>0</v>
      </c>
      <c r="D4" s="217">
        <f>IF(ISNUMBER(VLOOKUP($B:$B,BS!$A:$D,$2:$2,0)),VLOOKUP($B:$B,BS!$A:$D,$2:$2,0),0)</f>
        <v>0</v>
      </c>
      <c r="E4" s="217">
        <f>IF(ISNUMBER(VLOOKUP($B:$B,BS!$A:$D,$2:$2,0)),VLOOKUP($B:$B,BS!$A:$D,$2:$2,0),0)</f>
        <v>0</v>
      </c>
      <c r="F4" s="217">
        <f>IF(ISNUMBER(VLOOKUP($B:$B,BS!$A:$D,$2:$2,0)),VLOOKUP($B:$B,BS!$A:$D,$2:$2,0),0)</f>
        <v>0</v>
      </c>
      <c r="G4" s="217">
        <f>IF(ISNUMBER(VLOOKUP($B:$B,BS!$A:$D,$2:$2,0)),VLOOKUP($B:$B,BS!$A:$D,$2:$2,0),0)</f>
        <v>0</v>
      </c>
      <c r="H4" s="207">
        <f>IF(ISNUMBER(VLOOKUP($B:$B,'BS(과거)'!$A:$F,$2:$2,0)),VLOOKUP($B:$B,'BS(과거)'!$A:$F,$2:$2,0),0)</f>
        <v>0</v>
      </c>
      <c r="I4" s="207">
        <f>IF(ISNUMBER(VLOOKUP($B:$B,'BS(과거)'!$A:$F,$2:$2,0)),VLOOKUP($B:$B,'BS(과거)'!$A:$F,$2:$2,0),0)</f>
        <v>0</v>
      </c>
      <c r="J4" s="207">
        <f>IF(ISNUMBER(VLOOKUP($B:$B,'BS(과거)'!$A:$F,$2:$2,0)),VLOOKUP($B:$B,'BS(과거)'!$A:$F,$2:$2,0),0)</f>
        <v>0</v>
      </c>
      <c r="K4" s="207">
        <f>IF(ISNUMBER(VLOOKUP($B:$B,'BS(과거)'!$A:$F,$2:$2,0)),VLOOKUP($B:$B,'BS(과거)'!$A:$F,$2:$2,0),0)</f>
        <v>0</v>
      </c>
      <c r="L4" s="207">
        <f>IF(ISNUMBER(VLOOKUP($B:$B,'BS(과거)'!$A:$F,$2:$2,0)),VLOOKUP($B:$B,'BS(과거)'!$A:$F,$2:$2,0),0)</f>
        <v>0</v>
      </c>
      <c r="N4" s="207" t="e">
        <f>VLOOKUP($B:$B,'BS(분기)'!$A:$F,$2:$2,0)</f>
        <v>#N/A</v>
      </c>
      <c r="O4" s="207" t="e">
        <f>VLOOKUP($B:$B,'BS(분기)'!$A:$F,$2:$2,0)</f>
        <v>#N/A</v>
      </c>
      <c r="P4" s="207" t="e">
        <f>VLOOKUP($B:$B,'BS(분기)'!$A:$F,$2:$2,0)</f>
        <v>#N/A</v>
      </c>
      <c r="Q4" s="207" t="e">
        <f>VLOOKUP($B:$B,'BS(분기)'!$A:$F,$2:$2,0)</f>
        <v>#N/A</v>
      </c>
      <c r="R4" s="207" t="e">
        <f>VLOOKUP($B:$B,'BS(분기)'!$A:$F,$2:$2,0)</f>
        <v>#N/A</v>
      </c>
    </row>
    <row r="5" spans="1:18" s="192" customFormat="1" ht="12">
      <c r="A5" s="201">
        <v>111300</v>
      </c>
      <c r="B5" s="194" t="s">
        <v>775</v>
      </c>
      <c r="C5" s="217">
        <f>IF(ISNUMBER(VLOOKUP($B:$B,BS!$A:$D,$2:$2,0)),VLOOKUP($B:$B,BS!$A:$D,$2:$2,0),0)</f>
        <v>0</v>
      </c>
      <c r="D5" s="217">
        <f>IF(ISNUMBER(VLOOKUP($B:$B,BS!$A:$D,$2:$2,0)),VLOOKUP($B:$B,BS!$A:$D,$2:$2,0),0)</f>
        <v>0</v>
      </c>
      <c r="E5" s="217">
        <f>IF(ISNUMBER(VLOOKUP($B:$B,BS!$A:$D,$2:$2,0)),VLOOKUP($B:$B,BS!$A:$D,$2:$2,0),0)</f>
        <v>0</v>
      </c>
      <c r="F5" s="217">
        <f>IF(ISNUMBER(VLOOKUP($B:$B,BS!$A:$D,$2:$2,0)),VLOOKUP($B:$B,BS!$A:$D,$2:$2,0),0)</f>
        <v>0</v>
      </c>
      <c r="G5" s="217">
        <f>IF(ISNUMBER(VLOOKUP($B:$B,BS!$A:$D,$2:$2,0)),VLOOKUP($B:$B,BS!$A:$D,$2:$2,0),0)</f>
        <v>0</v>
      </c>
      <c r="H5" s="207">
        <f>IF(ISNUMBER(VLOOKUP($B:$B,'BS(과거)'!$A:$F,$2:$2,0)),VLOOKUP($B:$B,'BS(과거)'!$A:$F,$2:$2,0),0)</f>
        <v>0</v>
      </c>
      <c r="I5" s="207">
        <f>IF(ISNUMBER(VLOOKUP($B:$B,'BS(과거)'!$A:$F,$2:$2,0)),VLOOKUP($B:$B,'BS(과거)'!$A:$F,$2:$2,0),0)</f>
        <v>0</v>
      </c>
      <c r="J5" s="207">
        <f>IF(ISNUMBER(VLOOKUP($B:$B,'BS(과거)'!$A:$F,$2:$2,0)),VLOOKUP($B:$B,'BS(과거)'!$A:$F,$2:$2,0),0)</f>
        <v>0</v>
      </c>
      <c r="K5" s="207">
        <f>IF(ISNUMBER(VLOOKUP($B:$B,'BS(과거)'!$A:$F,$2:$2,0)),VLOOKUP($B:$B,'BS(과거)'!$A:$F,$2:$2,0),0)</f>
        <v>0</v>
      </c>
      <c r="L5" s="207">
        <f>IF(ISNUMBER(VLOOKUP($B:$B,'BS(과거)'!$A:$F,$2:$2,0)),VLOOKUP($B:$B,'BS(과거)'!$A:$F,$2:$2,0),0)</f>
        <v>0</v>
      </c>
      <c r="N5" s="207">
        <f>IF(ISNUMBER(VLOOKUP($B:$B,'BS(분기)'!$A:$F,$2:$2,0)),VLOOKUP($B:$B,'BS(분기)'!$A:$F,$2:$2,0),0)</f>
        <v>0</v>
      </c>
      <c r="O5" s="207">
        <f>IF(ISNUMBER(VLOOKUP($B:$B,'BS(분기)'!$A:$F,$2:$2,0)),VLOOKUP($B:$B,'BS(분기)'!$A:$F,$2:$2,0),0)</f>
        <v>0</v>
      </c>
      <c r="P5" s="207">
        <f>IF(ISNUMBER(VLOOKUP($B:$B,'BS(분기)'!$A:$F,$2:$2,0)),VLOOKUP($B:$B,'BS(분기)'!$A:$F,$2:$2,0),0)</f>
        <v>0</v>
      </c>
      <c r="Q5" s="207">
        <f>IF(ISNUMBER(VLOOKUP($B:$B,'BS(분기)'!$A:$F,$2:$2,0)),VLOOKUP($B:$B,'BS(분기)'!$A:$F,$2:$2,0),0)</f>
        <v>0</v>
      </c>
      <c r="R5" s="207">
        <f>IF(ISNUMBER(VLOOKUP($B:$B,'BS(분기)'!$A:$F,$2:$2,0)),VLOOKUP($B:$B,'BS(분기)'!$A:$F,$2:$2,0),0)</f>
        <v>0</v>
      </c>
    </row>
    <row r="6" spans="1:18" s="192" customFormat="1" ht="12">
      <c r="A6" s="201">
        <v>111309</v>
      </c>
      <c r="B6" s="194" t="s">
        <v>776</v>
      </c>
      <c r="C6" s="217">
        <f>IF(ISNUMBER(VLOOKUP($B:$B,BS!$A:$D,$2:$2,0)),VLOOKUP($B:$B,BS!$A:$D,$2:$2,0),0)</f>
        <v>0</v>
      </c>
      <c r="D6" s="217">
        <f>IF(ISNUMBER(VLOOKUP($B:$B,BS!$A:$D,$2:$2,0)),VLOOKUP($B:$B,BS!$A:$D,$2:$2,0),0)</f>
        <v>0</v>
      </c>
      <c r="E6" s="217">
        <f>IF(ISNUMBER(VLOOKUP($B:$B,BS!$A:$D,$2:$2,0)),VLOOKUP($B:$B,BS!$A:$D,$2:$2,0),0)</f>
        <v>0</v>
      </c>
      <c r="F6" s="217">
        <f>IF(ISNUMBER(VLOOKUP($B:$B,BS!$A:$D,$2:$2,0)),VLOOKUP($B:$B,BS!$A:$D,$2:$2,0),0)</f>
        <v>0</v>
      </c>
      <c r="G6" s="217">
        <f>IF(ISNUMBER(VLOOKUP($B:$B,BS!$A:$D,$2:$2,0)),VLOOKUP($B:$B,BS!$A:$D,$2:$2,0),0)</f>
        <v>0</v>
      </c>
      <c r="H6" s="207">
        <f>IF(ISNUMBER(VLOOKUP($B:$B,'BS(과거)'!$A:$F,$2:$2,0)),VLOOKUP($B:$B,'BS(과거)'!$A:$F,$2:$2,0),0)</f>
        <v>0</v>
      </c>
      <c r="I6" s="207">
        <f>IF(ISNUMBER(VLOOKUP($B:$B,'BS(과거)'!$A:$F,$2:$2,0)),VLOOKUP($B:$B,'BS(과거)'!$A:$F,$2:$2,0),0)</f>
        <v>0</v>
      </c>
      <c r="J6" s="207">
        <f>IF(ISNUMBER(VLOOKUP($B:$B,'BS(과거)'!$A:$F,$2:$2,0)),VLOOKUP($B:$B,'BS(과거)'!$A:$F,$2:$2,0),0)</f>
        <v>0</v>
      </c>
      <c r="K6" s="207">
        <f>IF(ISNUMBER(VLOOKUP($B:$B,'BS(과거)'!$A:$F,$2:$2,0)),VLOOKUP($B:$B,'BS(과거)'!$A:$F,$2:$2,0),0)</f>
        <v>0</v>
      </c>
      <c r="L6" s="207">
        <f>IF(ISNUMBER(VLOOKUP($B:$B,'BS(과거)'!$A:$F,$2:$2,0)),VLOOKUP($B:$B,'BS(과거)'!$A:$F,$2:$2,0),0)</f>
        <v>0</v>
      </c>
      <c r="N6" s="207">
        <f>IF(ISNUMBER(VLOOKUP($B:$B,'BS(분기)'!$A:$F,$2:$2,0)),VLOOKUP($B:$B,'BS(분기)'!$A:$F,$2:$2,0),0)</f>
        <v>0</v>
      </c>
      <c r="O6" s="207">
        <f>IF(ISNUMBER(VLOOKUP($B:$B,'BS(분기)'!$A:$F,$2:$2,0)),VLOOKUP($B:$B,'BS(분기)'!$A:$F,$2:$2,0),0)</f>
        <v>0</v>
      </c>
      <c r="P6" s="207">
        <f>IF(ISNUMBER(VLOOKUP($B:$B,'BS(분기)'!$A:$F,$2:$2,0)),VLOOKUP($B:$B,'BS(분기)'!$A:$F,$2:$2,0),0)</f>
        <v>0</v>
      </c>
      <c r="Q6" s="207">
        <f>IF(ISNUMBER(VLOOKUP($B:$B,'BS(분기)'!$A:$F,$2:$2,0)),VLOOKUP($B:$B,'BS(분기)'!$A:$F,$2:$2,0),0)</f>
        <v>0</v>
      </c>
      <c r="R6" s="207">
        <f>IF(ISNUMBER(VLOOKUP($B:$B,'BS(분기)'!$A:$F,$2:$2,0)),VLOOKUP($B:$B,'BS(분기)'!$A:$F,$2:$2,0),0)</f>
        <v>0</v>
      </c>
    </row>
    <row r="7" spans="1:18" s="192" customFormat="1" ht="12">
      <c r="A7" s="202">
        <v>111100</v>
      </c>
      <c r="B7" s="195" t="s">
        <v>555</v>
      </c>
      <c r="C7" s="217">
        <f>IF(ISNUMBER(VLOOKUP($B:$B,BS!$A:$D,$2:$2,0)),VLOOKUP($B:$B,BS!$A:$D,$2:$2,0),0)</f>
        <v>0</v>
      </c>
      <c r="D7" s="217">
        <f>IF(ISNUMBER(VLOOKUP($B:$B,BS!$A:$D,$2:$2,0)),VLOOKUP($B:$B,BS!$A:$D,$2:$2,0),0)</f>
        <v>0</v>
      </c>
      <c r="E7" s="217">
        <f>IF(ISNUMBER(VLOOKUP($B:$B,BS!$A:$D,$2:$2,0)),VLOOKUP($B:$B,BS!$A:$D,$2:$2,0),0)</f>
        <v>0</v>
      </c>
      <c r="F7" s="217">
        <f>IF(ISNUMBER(VLOOKUP($B:$B,BS!$A:$D,$2:$2,0)),VLOOKUP($B:$B,BS!$A:$D,$2:$2,0),0)</f>
        <v>0</v>
      </c>
      <c r="G7" s="217">
        <f>IF(ISNUMBER(VLOOKUP($B:$B,BS!$A:$D,$2:$2,0)),VLOOKUP($B:$B,BS!$A:$D,$2:$2,0),0)</f>
        <v>0</v>
      </c>
      <c r="H7" s="207">
        <f>IF(ISNUMBER(VLOOKUP($B:$B,'BS(과거)'!$A:$F,$2:$2,0)),VLOOKUP($B:$B,'BS(과거)'!$A:$F,$2:$2,0),0)</f>
        <v>0</v>
      </c>
      <c r="I7" s="207">
        <f>IF(ISNUMBER(VLOOKUP($B:$B,'BS(과거)'!$A:$F,$2:$2,0)),VLOOKUP($B:$B,'BS(과거)'!$A:$F,$2:$2,0),0)</f>
        <v>0</v>
      </c>
      <c r="J7" s="207">
        <f>IF(ISNUMBER(VLOOKUP($B:$B,'BS(과거)'!$A:$F,$2:$2,0)),VLOOKUP($B:$B,'BS(과거)'!$A:$F,$2:$2,0),0)</f>
        <v>0</v>
      </c>
      <c r="K7" s="207">
        <f>IF(ISNUMBER(VLOOKUP($B:$B,'BS(과거)'!$A:$F,$2:$2,0)),VLOOKUP($B:$B,'BS(과거)'!$A:$F,$2:$2,0),0)</f>
        <v>0</v>
      </c>
      <c r="L7" s="207">
        <f>IF(ISNUMBER(VLOOKUP($B:$B,'BS(과거)'!$A:$F,$2:$2,0)),VLOOKUP($B:$B,'BS(과거)'!$A:$F,$2:$2,0),0)</f>
        <v>0</v>
      </c>
      <c r="N7" s="207">
        <f>IF(ISNUMBER(VLOOKUP($B:$B,'BS(분기)'!$A:$F,$2:$2,0)),VLOOKUP($B:$B,'BS(분기)'!$A:$F,$2:$2,0),0)</f>
        <v>0</v>
      </c>
      <c r="O7" s="207">
        <f>IF(ISNUMBER(VLOOKUP($B:$B,'BS(분기)'!$A:$F,$2:$2,0)),VLOOKUP($B:$B,'BS(분기)'!$A:$F,$2:$2,0),0)</f>
        <v>0</v>
      </c>
      <c r="P7" s="207">
        <f>IF(ISNUMBER(VLOOKUP($B:$B,'BS(분기)'!$A:$F,$2:$2,0)),VLOOKUP($B:$B,'BS(분기)'!$A:$F,$2:$2,0),0)</f>
        <v>0</v>
      </c>
      <c r="Q7" s="207">
        <f>IF(ISNUMBER(VLOOKUP($B:$B,'BS(분기)'!$A:$F,$2:$2,0)),VLOOKUP($B:$B,'BS(분기)'!$A:$F,$2:$2,0),0)</f>
        <v>0</v>
      </c>
      <c r="R7" s="207">
        <f>IF(ISNUMBER(VLOOKUP($B:$B,'BS(분기)'!$A:$F,$2:$2,0)),VLOOKUP($B:$B,'BS(분기)'!$A:$F,$2:$2,0),0)</f>
        <v>0</v>
      </c>
    </row>
    <row r="8" spans="1:18" s="192" customFormat="1" ht="12">
      <c r="A8" s="202">
        <v>111135</v>
      </c>
      <c r="B8" s="195" t="s">
        <v>871</v>
      </c>
      <c r="C8" s="217">
        <f>IF(ISNUMBER(VLOOKUP($B:$B,BS!$A:$D,$2:$2,0)),VLOOKUP($B:$B,BS!$A:$D,$2:$2,0),0)</f>
        <v>0</v>
      </c>
      <c r="D8" s="217">
        <f>IF(ISNUMBER(VLOOKUP($B:$B,BS!$A:$D,$2:$2,0)),VLOOKUP($B:$B,BS!$A:$D,$2:$2,0),0)</f>
        <v>0</v>
      </c>
      <c r="E8" s="217">
        <f>IF(ISNUMBER(VLOOKUP($B:$B,BS!$A:$D,$2:$2,0)),VLOOKUP($B:$B,BS!$A:$D,$2:$2,0),0)</f>
        <v>0</v>
      </c>
      <c r="F8" s="217">
        <f>IF(ISNUMBER(VLOOKUP($B:$B,BS!$A:$D,$2:$2,0)),VLOOKUP($B:$B,BS!$A:$D,$2:$2,0),0)</f>
        <v>0</v>
      </c>
      <c r="G8" s="217">
        <f>IF(ISNUMBER(VLOOKUP($B:$B,BS!$A:$D,$2:$2,0)),VLOOKUP($B:$B,BS!$A:$D,$2:$2,0),0)</f>
        <v>0</v>
      </c>
      <c r="H8" s="207">
        <f>IF(ISNUMBER(VLOOKUP($B:$B,'BS(과거)'!$A:$F,$2:$2,0)),VLOOKUP($B:$B,'BS(과거)'!$A:$F,$2:$2,0),0)</f>
        <v>0</v>
      </c>
      <c r="I8" s="207">
        <f>IF(ISNUMBER(VLOOKUP($B:$B,'BS(과거)'!$A:$F,$2:$2,0)),VLOOKUP($B:$B,'BS(과거)'!$A:$F,$2:$2,0),0)</f>
        <v>0</v>
      </c>
      <c r="J8" s="207">
        <f>IF(ISNUMBER(VLOOKUP($B:$B,'BS(과거)'!$A:$F,$2:$2,0)),VLOOKUP($B:$B,'BS(과거)'!$A:$F,$2:$2,0),0)</f>
        <v>0</v>
      </c>
      <c r="K8" s="207">
        <f>IF(ISNUMBER(VLOOKUP($B:$B,'BS(과거)'!$A:$F,$2:$2,0)),VLOOKUP($B:$B,'BS(과거)'!$A:$F,$2:$2,0),0)</f>
        <v>0</v>
      </c>
      <c r="L8" s="207">
        <f>IF(ISNUMBER(VLOOKUP($B:$B,'BS(과거)'!$A:$F,$2:$2,0)),VLOOKUP($B:$B,'BS(과거)'!$A:$F,$2:$2,0),0)</f>
        <v>0</v>
      </c>
      <c r="N8" s="207">
        <f>IF(ISNUMBER(VLOOKUP($B:$B,'BS(분기)'!$A:$F,$2:$2,0)),VLOOKUP($B:$B,'BS(분기)'!$A:$F,$2:$2,0),0)</f>
        <v>0</v>
      </c>
      <c r="O8" s="207">
        <f>IF(ISNUMBER(VLOOKUP($B:$B,'BS(분기)'!$A:$F,$2:$2,0)),VLOOKUP($B:$B,'BS(분기)'!$A:$F,$2:$2,0),0)</f>
        <v>0</v>
      </c>
      <c r="P8" s="207">
        <f>IF(ISNUMBER(VLOOKUP($B:$B,'BS(분기)'!$A:$F,$2:$2,0)),VLOOKUP($B:$B,'BS(분기)'!$A:$F,$2:$2,0),0)</f>
        <v>0</v>
      </c>
      <c r="Q8" s="207">
        <f>IF(ISNUMBER(VLOOKUP($B:$B,'BS(분기)'!$A:$F,$2:$2,0)),VLOOKUP($B:$B,'BS(분기)'!$A:$F,$2:$2,0),0)</f>
        <v>0</v>
      </c>
      <c r="R8" s="207">
        <f>IF(ISNUMBER(VLOOKUP($B:$B,'BS(분기)'!$A:$F,$2:$2,0)),VLOOKUP($B:$B,'BS(분기)'!$A:$F,$2:$2,0),0)</f>
        <v>0</v>
      </c>
    </row>
    <row r="9" spans="1:18" s="192" customFormat="1" ht="12">
      <c r="A9" s="202">
        <v>111136</v>
      </c>
      <c r="B9" s="195" t="s">
        <v>872</v>
      </c>
      <c r="C9" s="217">
        <f>IF(ISNUMBER(VLOOKUP($B:$B,BS!$A:$D,$2:$2,0)),VLOOKUP($B:$B,BS!$A:$D,$2:$2,0),0)</f>
        <v>0</v>
      </c>
      <c r="D9" s="217">
        <f>IF(ISNUMBER(VLOOKUP($B:$B,BS!$A:$D,$2:$2,0)),VLOOKUP($B:$B,BS!$A:$D,$2:$2,0),0)</f>
        <v>0</v>
      </c>
      <c r="E9" s="217">
        <f>IF(ISNUMBER(VLOOKUP($B:$B,BS!$A:$D,$2:$2,0)),VLOOKUP($B:$B,BS!$A:$D,$2:$2,0),0)</f>
        <v>0</v>
      </c>
      <c r="F9" s="217">
        <f>IF(ISNUMBER(VLOOKUP($B:$B,BS!$A:$D,$2:$2,0)),VLOOKUP($B:$B,BS!$A:$D,$2:$2,0),0)</f>
        <v>0</v>
      </c>
      <c r="G9" s="217">
        <f>IF(ISNUMBER(VLOOKUP($B:$B,BS!$A:$D,$2:$2,0)),VLOOKUP($B:$B,BS!$A:$D,$2:$2,0),0)</f>
        <v>0</v>
      </c>
      <c r="H9" s="207">
        <f>IF(ISNUMBER(VLOOKUP($B:$B,'BS(과거)'!$A:$F,$2:$2,0)),VLOOKUP($B:$B,'BS(과거)'!$A:$F,$2:$2,0),0)</f>
        <v>0</v>
      </c>
      <c r="I9" s="207">
        <f>IF(ISNUMBER(VLOOKUP($B:$B,'BS(과거)'!$A:$F,$2:$2,0)),VLOOKUP($B:$B,'BS(과거)'!$A:$F,$2:$2,0),0)</f>
        <v>0</v>
      </c>
      <c r="J9" s="207">
        <f>IF(ISNUMBER(VLOOKUP($B:$B,'BS(과거)'!$A:$F,$2:$2,0)),VLOOKUP($B:$B,'BS(과거)'!$A:$F,$2:$2,0),0)</f>
        <v>0</v>
      </c>
      <c r="K9" s="207">
        <f>IF(ISNUMBER(VLOOKUP($B:$B,'BS(과거)'!$A:$F,$2:$2,0)),VLOOKUP($B:$B,'BS(과거)'!$A:$F,$2:$2,0),0)</f>
        <v>0</v>
      </c>
      <c r="L9" s="207">
        <f>IF(ISNUMBER(VLOOKUP($B:$B,'BS(과거)'!$A:$F,$2:$2,0)),VLOOKUP($B:$B,'BS(과거)'!$A:$F,$2:$2,0),0)</f>
        <v>0</v>
      </c>
      <c r="N9" s="207">
        <f>IF(ISNUMBER(VLOOKUP($B:$B,'BS(분기)'!$A:$F,$2:$2,0)),VLOOKUP($B:$B,'BS(분기)'!$A:$F,$2:$2,0),0)</f>
        <v>0</v>
      </c>
      <c r="O9" s="207">
        <f>IF(ISNUMBER(VLOOKUP($B:$B,'BS(분기)'!$A:$F,$2:$2,0)),VLOOKUP($B:$B,'BS(분기)'!$A:$F,$2:$2,0),0)</f>
        <v>0</v>
      </c>
      <c r="P9" s="207">
        <f>IF(ISNUMBER(VLOOKUP($B:$B,'BS(분기)'!$A:$F,$2:$2,0)),VLOOKUP($B:$B,'BS(분기)'!$A:$F,$2:$2,0),0)</f>
        <v>0</v>
      </c>
      <c r="Q9" s="207">
        <f>IF(ISNUMBER(VLOOKUP($B:$B,'BS(분기)'!$A:$F,$2:$2,0)),VLOOKUP($B:$B,'BS(분기)'!$A:$F,$2:$2,0),0)</f>
        <v>0</v>
      </c>
      <c r="R9" s="207">
        <f>IF(ISNUMBER(VLOOKUP($B:$B,'BS(분기)'!$A:$F,$2:$2,0)),VLOOKUP($B:$B,'BS(분기)'!$A:$F,$2:$2,0),0)</f>
        <v>0</v>
      </c>
    </row>
    <row r="10" spans="1:18" s="192" customFormat="1" ht="12">
      <c r="A10" s="203">
        <v>111110</v>
      </c>
      <c r="B10" s="196" t="s">
        <v>777</v>
      </c>
      <c r="C10" s="217">
        <f>IF(ISNUMBER(VLOOKUP($B:$B,BS!$A:$D,$2:$2,0)),VLOOKUP($B:$B,BS!$A:$D,$2:$2,0),0)</f>
        <v>0</v>
      </c>
      <c r="D10" s="217">
        <f>IF(ISNUMBER(VLOOKUP($B:$B,BS!$A:$D,$2:$2,0)),VLOOKUP($B:$B,BS!$A:$D,$2:$2,0),0)</f>
        <v>0</v>
      </c>
      <c r="E10" s="217">
        <f>IF(ISNUMBER(VLOOKUP($B:$B,BS!$A:$D,$2:$2,0)),VLOOKUP($B:$B,BS!$A:$D,$2:$2,0),0)</f>
        <v>0</v>
      </c>
      <c r="F10" s="217">
        <f>IF(ISNUMBER(VLOOKUP($B:$B,BS!$A:$D,$2:$2,0)),VLOOKUP($B:$B,BS!$A:$D,$2:$2,0),0)</f>
        <v>0</v>
      </c>
      <c r="G10" s="217">
        <f>IF(ISNUMBER(VLOOKUP($B:$B,BS!$A:$D,$2:$2,0)),VLOOKUP($B:$B,BS!$A:$D,$2:$2,0),0)</f>
        <v>0</v>
      </c>
      <c r="H10" s="207">
        <f>IF(ISNUMBER(VLOOKUP($B:$B,'BS(과거)'!$A:$F,$2:$2,0)),VLOOKUP($B:$B,'BS(과거)'!$A:$F,$2:$2,0),0)</f>
        <v>0</v>
      </c>
      <c r="I10" s="207">
        <f>IF(ISNUMBER(VLOOKUP($B:$B,'BS(과거)'!$A:$F,$2:$2,0)),VLOOKUP($B:$B,'BS(과거)'!$A:$F,$2:$2,0),0)</f>
        <v>0</v>
      </c>
      <c r="J10" s="207">
        <f>IF(ISNUMBER(VLOOKUP($B:$B,'BS(과거)'!$A:$F,$2:$2,0)),VLOOKUP($B:$B,'BS(과거)'!$A:$F,$2:$2,0),0)</f>
        <v>0</v>
      </c>
      <c r="K10" s="207">
        <f>IF(ISNUMBER(VLOOKUP($B:$B,'BS(과거)'!$A:$F,$2:$2,0)),VLOOKUP($B:$B,'BS(과거)'!$A:$F,$2:$2,0),0)</f>
        <v>0</v>
      </c>
      <c r="L10" s="207">
        <f>IF(ISNUMBER(VLOOKUP($B:$B,'BS(과거)'!$A:$F,$2:$2,0)),VLOOKUP($B:$B,'BS(과거)'!$A:$F,$2:$2,0),0)</f>
        <v>0</v>
      </c>
      <c r="N10" s="207">
        <f>IF(ISNUMBER(VLOOKUP($B:$B,'BS(분기)'!$A:$F,$2:$2,0)),VLOOKUP($B:$B,'BS(분기)'!$A:$F,$2:$2,0),0)</f>
        <v>0</v>
      </c>
      <c r="O10" s="207">
        <f>IF(ISNUMBER(VLOOKUP($B:$B,'BS(분기)'!$A:$F,$2:$2,0)),VLOOKUP($B:$B,'BS(분기)'!$A:$F,$2:$2,0),0)</f>
        <v>0</v>
      </c>
      <c r="P10" s="207">
        <f>IF(ISNUMBER(VLOOKUP($B:$B,'BS(분기)'!$A:$F,$2:$2,0)),VLOOKUP($B:$B,'BS(분기)'!$A:$F,$2:$2,0),0)</f>
        <v>0</v>
      </c>
      <c r="Q10" s="207">
        <f>IF(ISNUMBER(VLOOKUP($B:$B,'BS(분기)'!$A:$F,$2:$2,0)),VLOOKUP($B:$B,'BS(분기)'!$A:$F,$2:$2,0),0)</f>
        <v>0</v>
      </c>
      <c r="R10" s="207">
        <f>IF(ISNUMBER(VLOOKUP($B:$B,'BS(분기)'!$A:$F,$2:$2,0)),VLOOKUP($B:$B,'BS(분기)'!$A:$F,$2:$2,0),0)</f>
        <v>0</v>
      </c>
    </row>
    <row r="11" spans="1:18" s="192" customFormat="1" ht="12">
      <c r="A11" s="203">
        <v>111120</v>
      </c>
      <c r="B11" s="196" t="s">
        <v>873</v>
      </c>
      <c r="C11" s="217">
        <f>IF(ISNUMBER(VLOOKUP($B:$B,BS!$A:$D,$2:$2,0)),VLOOKUP($B:$B,BS!$A:$D,$2:$2,0),0)</f>
        <v>0</v>
      </c>
      <c r="D11" s="217">
        <f>IF(ISNUMBER(VLOOKUP($B:$B,BS!$A:$D,$2:$2,0)),VLOOKUP($B:$B,BS!$A:$D,$2:$2,0),0)</f>
        <v>0</v>
      </c>
      <c r="E11" s="217">
        <f>IF(ISNUMBER(VLOOKUP($B:$B,BS!$A:$D,$2:$2,0)),VLOOKUP($B:$B,BS!$A:$D,$2:$2,0),0)</f>
        <v>0</v>
      </c>
      <c r="F11" s="217">
        <f>IF(ISNUMBER(VLOOKUP($B:$B,BS!$A:$D,$2:$2,0)),VLOOKUP($B:$B,BS!$A:$D,$2:$2,0),0)</f>
        <v>0</v>
      </c>
      <c r="G11" s="217">
        <f>IF(ISNUMBER(VLOOKUP($B:$B,BS!$A:$D,$2:$2,0)),VLOOKUP($B:$B,BS!$A:$D,$2:$2,0),0)</f>
        <v>0</v>
      </c>
      <c r="H11" s="207">
        <f>IF(ISNUMBER(VLOOKUP($B:$B,'BS(과거)'!$A:$F,$2:$2,0)),VLOOKUP($B:$B,'BS(과거)'!$A:$F,$2:$2,0),0)</f>
        <v>0</v>
      </c>
      <c r="I11" s="207">
        <f>IF(ISNUMBER(VLOOKUP($B:$B,'BS(과거)'!$A:$F,$2:$2,0)),VLOOKUP($B:$B,'BS(과거)'!$A:$F,$2:$2,0),0)</f>
        <v>0</v>
      </c>
      <c r="J11" s="207">
        <f>IF(ISNUMBER(VLOOKUP($B:$B,'BS(과거)'!$A:$F,$2:$2,0)),VLOOKUP($B:$B,'BS(과거)'!$A:$F,$2:$2,0),0)</f>
        <v>0</v>
      </c>
      <c r="K11" s="207">
        <f>IF(ISNUMBER(VLOOKUP($B:$B,'BS(과거)'!$A:$F,$2:$2,0)),VLOOKUP($B:$B,'BS(과거)'!$A:$F,$2:$2,0),0)</f>
        <v>0</v>
      </c>
      <c r="L11" s="207">
        <f>IF(ISNUMBER(VLOOKUP($B:$B,'BS(과거)'!$A:$F,$2:$2,0)),VLOOKUP($B:$B,'BS(과거)'!$A:$F,$2:$2,0),0)</f>
        <v>0</v>
      </c>
      <c r="N11" s="207">
        <f>IF(ISNUMBER(VLOOKUP($B:$B,'BS(분기)'!$A:$F,$2:$2,0)),VLOOKUP($B:$B,'BS(분기)'!$A:$F,$2:$2,0),0)</f>
        <v>0</v>
      </c>
      <c r="O11" s="207">
        <f>IF(ISNUMBER(VLOOKUP($B:$B,'BS(분기)'!$A:$F,$2:$2,0)),VLOOKUP($B:$B,'BS(분기)'!$A:$F,$2:$2,0),0)</f>
        <v>0</v>
      </c>
      <c r="P11" s="207">
        <f>IF(ISNUMBER(VLOOKUP($B:$B,'BS(분기)'!$A:$F,$2:$2,0)),VLOOKUP($B:$B,'BS(분기)'!$A:$F,$2:$2,0),0)</f>
        <v>0</v>
      </c>
      <c r="Q11" s="207">
        <f>IF(ISNUMBER(VLOOKUP($B:$B,'BS(분기)'!$A:$F,$2:$2,0)),VLOOKUP($B:$B,'BS(분기)'!$A:$F,$2:$2,0),0)</f>
        <v>0</v>
      </c>
      <c r="R11" s="207">
        <f>IF(ISNUMBER(VLOOKUP($B:$B,'BS(분기)'!$A:$F,$2:$2,0)),VLOOKUP($B:$B,'BS(분기)'!$A:$F,$2:$2,0),0)</f>
        <v>0</v>
      </c>
    </row>
    <row r="12" spans="1:18" s="192" customFormat="1" ht="12">
      <c r="A12" s="203">
        <v>111130</v>
      </c>
      <c r="B12" s="196" t="s">
        <v>778</v>
      </c>
      <c r="C12" s="217">
        <f>IF(ISNUMBER(VLOOKUP($B:$B,BS!$A:$D,$2:$2,0)),VLOOKUP($B:$B,BS!$A:$D,$2:$2,0),0)</f>
        <v>0</v>
      </c>
      <c r="D12" s="217">
        <f>IF(ISNUMBER(VLOOKUP($B:$B,BS!$A:$D,$2:$2,0)),VLOOKUP($B:$B,BS!$A:$D,$2:$2,0),0)</f>
        <v>0</v>
      </c>
      <c r="E12" s="217">
        <f>IF(ISNUMBER(VLOOKUP($B:$B,BS!$A:$D,$2:$2,0)),VLOOKUP($B:$B,BS!$A:$D,$2:$2,0),0)</f>
        <v>0</v>
      </c>
      <c r="F12" s="217">
        <f>IF(ISNUMBER(VLOOKUP($B:$B,BS!$A:$D,$2:$2,0)),VLOOKUP($B:$B,BS!$A:$D,$2:$2,0),0)</f>
        <v>0</v>
      </c>
      <c r="G12" s="217">
        <f>IF(ISNUMBER(VLOOKUP($B:$B,BS!$A:$D,$2:$2,0)),VLOOKUP($B:$B,BS!$A:$D,$2:$2,0),0)</f>
        <v>0</v>
      </c>
      <c r="H12" s="207">
        <f>IF(ISNUMBER(VLOOKUP($B:$B,'BS(과거)'!$A:$F,$2:$2,0)),VLOOKUP($B:$B,'BS(과거)'!$A:$F,$2:$2,0),0)</f>
        <v>0</v>
      </c>
      <c r="I12" s="207">
        <f>IF(ISNUMBER(VLOOKUP($B:$B,'BS(과거)'!$A:$F,$2:$2,0)),VLOOKUP($B:$B,'BS(과거)'!$A:$F,$2:$2,0),0)</f>
        <v>0</v>
      </c>
      <c r="J12" s="207">
        <f>IF(ISNUMBER(VLOOKUP($B:$B,'BS(과거)'!$A:$F,$2:$2,0)),VLOOKUP($B:$B,'BS(과거)'!$A:$F,$2:$2,0),0)</f>
        <v>0</v>
      </c>
      <c r="K12" s="207">
        <f>IF(ISNUMBER(VLOOKUP($B:$B,'BS(과거)'!$A:$F,$2:$2,0)),VLOOKUP($B:$B,'BS(과거)'!$A:$F,$2:$2,0),0)</f>
        <v>0</v>
      </c>
      <c r="L12" s="207">
        <f>IF(ISNUMBER(VLOOKUP($B:$B,'BS(과거)'!$A:$F,$2:$2,0)),VLOOKUP($B:$B,'BS(과거)'!$A:$F,$2:$2,0),0)</f>
        <v>0</v>
      </c>
      <c r="N12" s="207">
        <f>IF(ISNUMBER(VLOOKUP($B:$B,'BS(분기)'!$A:$F,$2:$2,0)),VLOOKUP($B:$B,'BS(분기)'!$A:$F,$2:$2,0),0)</f>
        <v>0</v>
      </c>
      <c r="O12" s="207">
        <f>IF(ISNUMBER(VLOOKUP($B:$B,'BS(분기)'!$A:$F,$2:$2,0)),VLOOKUP($B:$B,'BS(분기)'!$A:$F,$2:$2,0),0)</f>
        <v>0</v>
      </c>
      <c r="P12" s="207">
        <f>IF(ISNUMBER(VLOOKUP($B:$B,'BS(분기)'!$A:$F,$2:$2,0)),VLOOKUP($B:$B,'BS(분기)'!$A:$F,$2:$2,0),0)</f>
        <v>0</v>
      </c>
      <c r="Q12" s="207">
        <f>IF(ISNUMBER(VLOOKUP($B:$B,'BS(분기)'!$A:$F,$2:$2,0)),VLOOKUP($B:$B,'BS(분기)'!$A:$F,$2:$2,0),0)</f>
        <v>0</v>
      </c>
      <c r="R12" s="207">
        <f>IF(ISNUMBER(VLOOKUP($B:$B,'BS(분기)'!$A:$F,$2:$2,0)),VLOOKUP($B:$B,'BS(분기)'!$A:$F,$2:$2,0),0)</f>
        <v>0</v>
      </c>
    </row>
    <row r="13" spans="1:18" s="192" customFormat="1" ht="12">
      <c r="A13" s="203">
        <v>111132</v>
      </c>
      <c r="B13" s="196" t="s">
        <v>874</v>
      </c>
      <c r="C13" s="217">
        <f>IF(ISNUMBER(VLOOKUP($B:$B,BS!$A:$D,$2:$2,0)),VLOOKUP($B:$B,BS!$A:$D,$2:$2,0),0)</f>
        <v>0</v>
      </c>
      <c r="D13" s="217">
        <f>IF(ISNUMBER(VLOOKUP($B:$B,BS!$A:$D,$2:$2,0)),VLOOKUP($B:$B,BS!$A:$D,$2:$2,0),0)</f>
        <v>0</v>
      </c>
      <c r="E13" s="217">
        <f>IF(ISNUMBER(VLOOKUP($B:$B,BS!$A:$D,$2:$2,0)),VLOOKUP($B:$B,BS!$A:$D,$2:$2,0),0)</f>
        <v>0</v>
      </c>
      <c r="F13" s="217">
        <f>IF(ISNUMBER(VLOOKUP($B:$B,BS!$A:$D,$2:$2,0)),VLOOKUP($B:$B,BS!$A:$D,$2:$2,0),0)</f>
        <v>0</v>
      </c>
      <c r="G13" s="217">
        <f>IF(ISNUMBER(VLOOKUP($B:$B,BS!$A:$D,$2:$2,0)),VLOOKUP($B:$B,BS!$A:$D,$2:$2,0),0)</f>
        <v>0</v>
      </c>
      <c r="H13" s="207">
        <f>IF(ISNUMBER(VLOOKUP($B:$B,'BS(과거)'!$A:$F,$2:$2,0)),VLOOKUP($B:$B,'BS(과거)'!$A:$F,$2:$2,0),0)</f>
        <v>0</v>
      </c>
      <c r="I13" s="207">
        <f>IF(ISNUMBER(VLOOKUP($B:$B,'BS(과거)'!$A:$F,$2:$2,0)),VLOOKUP($B:$B,'BS(과거)'!$A:$F,$2:$2,0),0)</f>
        <v>0</v>
      </c>
      <c r="J13" s="207">
        <f>IF(ISNUMBER(VLOOKUP($B:$B,'BS(과거)'!$A:$F,$2:$2,0)),VLOOKUP($B:$B,'BS(과거)'!$A:$F,$2:$2,0),0)</f>
        <v>0</v>
      </c>
      <c r="K13" s="207">
        <f>IF(ISNUMBER(VLOOKUP($B:$B,'BS(과거)'!$A:$F,$2:$2,0)),VLOOKUP($B:$B,'BS(과거)'!$A:$F,$2:$2,0),0)</f>
        <v>0</v>
      </c>
      <c r="L13" s="207">
        <f>IF(ISNUMBER(VLOOKUP($B:$B,'BS(과거)'!$A:$F,$2:$2,0)),VLOOKUP($B:$B,'BS(과거)'!$A:$F,$2:$2,0),0)</f>
        <v>0</v>
      </c>
      <c r="N13" s="207">
        <f>IF(ISNUMBER(VLOOKUP($B:$B,'BS(분기)'!$A:$F,$2:$2,0)),VLOOKUP($B:$B,'BS(분기)'!$A:$F,$2:$2,0),0)</f>
        <v>0</v>
      </c>
      <c r="O13" s="207">
        <f>IF(ISNUMBER(VLOOKUP($B:$B,'BS(분기)'!$A:$F,$2:$2,0)),VLOOKUP($B:$B,'BS(분기)'!$A:$F,$2:$2,0),0)</f>
        <v>0</v>
      </c>
      <c r="P13" s="207">
        <f>IF(ISNUMBER(VLOOKUP($B:$B,'BS(분기)'!$A:$F,$2:$2,0)),VLOOKUP($B:$B,'BS(분기)'!$A:$F,$2:$2,0),0)</f>
        <v>0</v>
      </c>
      <c r="Q13" s="207">
        <f>IF(ISNUMBER(VLOOKUP($B:$B,'BS(분기)'!$A:$F,$2:$2,0)),VLOOKUP($B:$B,'BS(분기)'!$A:$F,$2:$2,0),0)</f>
        <v>0</v>
      </c>
      <c r="R13" s="207">
        <f>IF(ISNUMBER(VLOOKUP($B:$B,'BS(분기)'!$A:$F,$2:$2,0)),VLOOKUP($B:$B,'BS(분기)'!$A:$F,$2:$2,0),0)</f>
        <v>0</v>
      </c>
    </row>
    <row r="14" spans="1:18" s="192" customFormat="1" ht="12">
      <c r="A14" s="204">
        <v>111131</v>
      </c>
      <c r="B14" s="197" t="s">
        <v>875</v>
      </c>
      <c r="C14" s="217">
        <f>IF(ISNUMBER(VLOOKUP($B:$B,BS!$A:$D,$2:$2,0)),VLOOKUP($B:$B,BS!$A:$D,$2:$2,0),0)</f>
        <v>0</v>
      </c>
      <c r="D14" s="217">
        <f>IF(ISNUMBER(VLOOKUP($B:$B,BS!$A:$D,$2:$2,0)),VLOOKUP($B:$B,BS!$A:$D,$2:$2,0),0)</f>
        <v>0</v>
      </c>
      <c r="E14" s="217">
        <f>IF(ISNUMBER(VLOOKUP($B:$B,BS!$A:$D,$2:$2,0)),VLOOKUP($B:$B,BS!$A:$D,$2:$2,0),0)</f>
        <v>0</v>
      </c>
      <c r="F14" s="217">
        <f>IF(ISNUMBER(VLOOKUP($B:$B,BS!$A:$D,$2:$2,0)),VLOOKUP($B:$B,BS!$A:$D,$2:$2,0),0)</f>
        <v>0</v>
      </c>
      <c r="G14" s="217">
        <f>IF(ISNUMBER(VLOOKUP($B:$B,BS!$A:$D,$2:$2,0)),VLOOKUP($B:$B,BS!$A:$D,$2:$2,0),0)</f>
        <v>0</v>
      </c>
      <c r="H14" s="207">
        <f>IF(ISNUMBER(VLOOKUP($B:$B,'BS(과거)'!$A:$F,$2:$2,0)),VLOOKUP($B:$B,'BS(과거)'!$A:$F,$2:$2,0),0)</f>
        <v>0</v>
      </c>
      <c r="I14" s="207">
        <f>IF(ISNUMBER(VLOOKUP($B:$B,'BS(과거)'!$A:$F,$2:$2,0)),VLOOKUP($B:$B,'BS(과거)'!$A:$F,$2:$2,0),0)</f>
        <v>0</v>
      </c>
      <c r="J14" s="207">
        <f>IF(ISNUMBER(VLOOKUP($B:$B,'BS(과거)'!$A:$F,$2:$2,0)),VLOOKUP($B:$B,'BS(과거)'!$A:$F,$2:$2,0),0)</f>
        <v>0</v>
      </c>
      <c r="K14" s="207">
        <f>IF(ISNUMBER(VLOOKUP($B:$B,'BS(과거)'!$A:$F,$2:$2,0)),VLOOKUP($B:$B,'BS(과거)'!$A:$F,$2:$2,0),0)</f>
        <v>0</v>
      </c>
      <c r="L14" s="207">
        <f>IF(ISNUMBER(VLOOKUP($B:$B,'BS(과거)'!$A:$F,$2:$2,0)),VLOOKUP($B:$B,'BS(과거)'!$A:$F,$2:$2,0),0)</f>
        <v>0</v>
      </c>
      <c r="N14" s="207">
        <f>IF(ISNUMBER(VLOOKUP($B:$B,'BS(분기)'!$A:$F,$2:$2,0)),VLOOKUP($B:$B,'BS(분기)'!$A:$F,$2:$2,0),0)</f>
        <v>0</v>
      </c>
      <c r="O14" s="207">
        <f>IF(ISNUMBER(VLOOKUP($B:$B,'BS(분기)'!$A:$F,$2:$2,0)),VLOOKUP($B:$B,'BS(분기)'!$A:$F,$2:$2,0),0)</f>
        <v>0</v>
      </c>
      <c r="P14" s="207">
        <f>IF(ISNUMBER(VLOOKUP($B:$B,'BS(분기)'!$A:$F,$2:$2,0)),VLOOKUP($B:$B,'BS(분기)'!$A:$F,$2:$2,0),0)</f>
        <v>0</v>
      </c>
      <c r="Q14" s="207">
        <f>IF(ISNUMBER(VLOOKUP($B:$B,'BS(분기)'!$A:$F,$2:$2,0)),VLOOKUP($B:$B,'BS(분기)'!$A:$F,$2:$2,0),0)</f>
        <v>0</v>
      </c>
      <c r="R14" s="207">
        <f>IF(ISNUMBER(VLOOKUP($B:$B,'BS(분기)'!$A:$F,$2:$2,0)),VLOOKUP($B:$B,'BS(분기)'!$A:$F,$2:$2,0),0)</f>
        <v>0</v>
      </c>
    </row>
    <row r="15" spans="1:18" s="192" customFormat="1" ht="12">
      <c r="A15" s="204">
        <v>111133</v>
      </c>
      <c r="B15" s="197" t="s">
        <v>876</v>
      </c>
      <c r="C15" s="217">
        <f>IF(ISNUMBER(VLOOKUP($B:$B,BS!$A:$D,$2:$2,0)),VLOOKUP($B:$B,BS!$A:$D,$2:$2,0),0)</f>
        <v>0</v>
      </c>
      <c r="D15" s="217">
        <f>IF(ISNUMBER(VLOOKUP($B:$B,BS!$A:$D,$2:$2,0)),VLOOKUP($B:$B,BS!$A:$D,$2:$2,0),0)</f>
        <v>0</v>
      </c>
      <c r="E15" s="217">
        <f>IF(ISNUMBER(VLOOKUP($B:$B,BS!$A:$D,$2:$2,0)),VLOOKUP($B:$B,BS!$A:$D,$2:$2,0),0)</f>
        <v>0</v>
      </c>
      <c r="F15" s="217">
        <f>IF(ISNUMBER(VLOOKUP($B:$B,BS!$A:$D,$2:$2,0)),VLOOKUP($B:$B,BS!$A:$D,$2:$2,0),0)</f>
        <v>0</v>
      </c>
      <c r="G15" s="217">
        <f>IF(ISNUMBER(VLOOKUP($B:$B,BS!$A:$D,$2:$2,0)),VLOOKUP($B:$B,BS!$A:$D,$2:$2,0),0)</f>
        <v>0</v>
      </c>
      <c r="H15" s="207">
        <f>IF(ISNUMBER(VLOOKUP($B:$B,'BS(과거)'!$A:$F,$2:$2,0)),VLOOKUP($B:$B,'BS(과거)'!$A:$F,$2:$2,0),0)</f>
        <v>0</v>
      </c>
      <c r="I15" s="207">
        <f>IF(ISNUMBER(VLOOKUP($B:$B,'BS(과거)'!$A:$F,$2:$2,0)),VLOOKUP($B:$B,'BS(과거)'!$A:$F,$2:$2,0),0)</f>
        <v>0</v>
      </c>
      <c r="J15" s="207">
        <f>IF(ISNUMBER(VLOOKUP($B:$B,'BS(과거)'!$A:$F,$2:$2,0)),VLOOKUP($B:$B,'BS(과거)'!$A:$F,$2:$2,0),0)</f>
        <v>0</v>
      </c>
      <c r="K15" s="207">
        <f>IF(ISNUMBER(VLOOKUP($B:$B,'BS(과거)'!$A:$F,$2:$2,0)),VLOOKUP($B:$B,'BS(과거)'!$A:$F,$2:$2,0),0)</f>
        <v>0</v>
      </c>
      <c r="L15" s="207">
        <f>IF(ISNUMBER(VLOOKUP($B:$B,'BS(과거)'!$A:$F,$2:$2,0)),VLOOKUP($B:$B,'BS(과거)'!$A:$F,$2:$2,0),0)</f>
        <v>0</v>
      </c>
      <c r="N15" s="207">
        <f>IF(ISNUMBER(VLOOKUP($B:$B,'BS(분기)'!$A:$F,$2:$2,0)),VLOOKUP($B:$B,'BS(분기)'!$A:$F,$2:$2,0),0)</f>
        <v>0</v>
      </c>
      <c r="O15" s="207">
        <f>IF(ISNUMBER(VLOOKUP($B:$B,'BS(분기)'!$A:$F,$2:$2,0)),VLOOKUP($B:$B,'BS(분기)'!$A:$F,$2:$2,0),0)</f>
        <v>0</v>
      </c>
      <c r="P15" s="207">
        <f>IF(ISNUMBER(VLOOKUP($B:$B,'BS(분기)'!$A:$F,$2:$2,0)),VLOOKUP($B:$B,'BS(분기)'!$A:$F,$2:$2,0),0)</f>
        <v>0</v>
      </c>
      <c r="Q15" s="207">
        <f>IF(ISNUMBER(VLOOKUP($B:$B,'BS(분기)'!$A:$F,$2:$2,0)),VLOOKUP($B:$B,'BS(분기)'!$A:$F,$2:$2,0),0)</f>
        <v>0</v>
      </c>
      <c r="R15" s="207">
        <f>IF(ISNUMBER(VLOOKUP($B:$B,'BS(분기)'!$A:$F,$2:$2,0)),VLOOKUP($B:$B,'BS(분기)'!$A:$F,$2:$2,0),0)</f>
        <v>0</v>
      </c>
    </row>
    <row r="16" spans="1:18" s="192" customFormat="1" ht="12">
      <c r="A16" s="204">
        <v>111134</v>
      </c>
      <c r="B16" s="197" t="s">
        <v>779</v>
      </c>
      <c r="C16" s="217">
        <f>IF(ISNUMBER(VLOOKUP($B:$B,BS!$A:$D,$2:$2,0)),VLOOKUP($B:$B,BS!$A:$D,$2:$2,0),0)</f>
        <v>0</v>
      </c>
      <c r="D16" s="217">
        <f>IF(ISNUMBER(VLOOKUP($B:$B,BS!$A:$D,$2:$2,0)),VLOOKUP($B:$B,BS!$A:$D,$2:$2,0),0)</f>
        <v>0</v>
      </c>
      <c r="E16" s="217">
        <f>IF(ISNUMBER(VLOOKUP($B:$B,BS!$A:$D,$2:$2,0)),VLOOKUP($B:$B,BS!$A:$D,$2:$2,0),0)</f>
        <v>0</v>
      </c>
      <c r="F16" s="217">
        <f>IF(ISNUMBER(VLOOKUP($B:$B,BS!$A:$D,$2:$2,0)),VLOOKUP($B:$B,BS!$A:$D,$2:$2,0),0)</f>
        <v>0</v>
      </c>
      <c r="G16" s="217">
        <f>IF(ISNUMBER(VLOOKUP($B:$B,BS!$A:$D,$2:$2,0)),VLOOKUP($B:$B,BS!$A:$D,$2:$2,0),0)</f>
        <v>0</v>
      </c>
      <c r="H16" s="207">
        <f>IF(ISNUMBER(VLOOKUP($B:$B,'BS(과거)'!$A:$F,$2:$2,0)),VLOOKUP($B:$B,'BS(과거)'!$A:$F,$2:$2,0),0)</f>
        <v>0</v>
      </c>
      <c r="I16" s="207">
        <f>IF(ISNUMBER(VLOOKUP($B:$B,'BS(과거)'!$A:$F,$2:$2,0)),VLOOKUP($B:$B,'BS(과거)'!$A:$F,$2:$2,0),0)</f>
        <v>0</v>
      </c>
      <c r="J16" s="207">
        <f>IF(ISNUMBER(VLOOKUP($B:$B,'BS(과거)'!$A:$F,$2:$2,0)),VLOOKUP($B:$B,'BS(과거)'!$A:$F,$2:$2,0),0)</f>
        <v>0</v>
      </c>
      <c r="K16" s="207">
        <f>IF(ISNUMBER(VLOOKUP($B:$B,'BS(과거)'!$A:$F,$2:$2,0)),VLOOKUP($B:$B,'BS(과거)'!$A:$F,$2:$2,0),0)</f>
        <v>0</v>
      </c>
      <c r="L16" s="207">
        <f>IF(ISNUMBER(VLOOKUP($B:$B,'BS(과거)'!$A:$F,$2:$2,0)),VLOOKUP($B:$B,'BS(과거)'!$A:$F,$2:$2,0),0)</f>
        <v>0</v>
      </c>
      <c r="N16" s="207">
        <f>IF(ISNUMBER(VLOOKUP($B:$B,'BS(분기)'!$A:$F,$2:$2,0)),VLOOKUP($B:$B,'BS(분기)'!$A:$F,$2:$2,0),0)</f>
        <v>0</v>
      </c>
      <c r="O16" s="207">
        <f>IF(ISNUMBER(VLOOKUP($B:$B,'BS(분기)'!$A:$F,$2:$2,0)),VLOOKUP($B:$B,'BS(분기)'!$A:$F,$2:$2,0),0)</f>
        <v>0</v>
      </c>
      <c r="P16" s="207">
        <f>IF(ISNUMBER(VLOOKUP($B:$B,'BS(분기)'!$A:$F,$2:$2,0)),VLOOKUP($B:$B,'BS(분기)'!$A:$F,$2:$2,0),0)</f>
        <v>0</v>
      </c>
      <c r="Q16" s="207">
        <f>IF(ISNUMBER(VLOOKUP($B:$B,'BS(분기)'!$A:$F,$2:$2,0)),VLOOKUP($B:$B,'BS(분기)'!$A:$F,$2:$2,0),0)</f>
        <v>0</v>
      </c>
      <c r="R16" s="207">
        <f>IF(ISNUMBER(VLOOKUP($B:$B,'BS(분기)'!$A:$F,$2:$2,0)),VLOOKUP($B:$B,'BS(분기)'!$A:$F,$2:$2,0),0)</f>
        <v>0</v>
      </c>
    </row>
    <row r="17" spans="1:18" s="192" customFormat="1" ht="12">
      <c r="A17" s="203">
        <v>111137</v>
      </c>
      <c r="B17" s="196" t="s">
        <v>780</v>
      </c>
      <c r="C17" s="217">
        <f>IF(ISNUMBER(VLOOKUP($B:$B,BS!$A:$D,$2:$2,0)),VLOOKUP($B:$B,BS!$A:$D,$2:$2,0),0)</f>
        <v>0</v>
      </c>
      <c r="D17" s="217">
        <f>IF(ISNUMBER(VLOOKUP($B:$B,BS!$A:$D,$2:$2,0)),VLOOKUP($B:$B,BS!$A:$D,$2:$2,0),0)</f>
        <v>0</v>
      </c>
      <c r="E17" s="217">
        <f>IF(ISNUMBER(VLOOKUP($B:$B,BS!$A:$D,$2:$2,0)),VLOOKUP($B:$B,BS!$A:$D,$2:$2,0),0)</f>
        <v>0</v>
      </c>
      <c r="F17" s="217">
        <f>IF(ISNUMBER(VLOOKUP($B:$B,BS!$A:$D,$2:$2,0)),VLOOKUP($B:$B,BS!$A:$D,$2:$2,0),0)</f>
        <v>0</v>
      </c>
      <c r="G17" s="217">
        <f>IF(ISNUMBER(VLOOKUP($B:$B,BS!$A:$D,$2:$2,0)),VLOOKUP($B:$B,BS!$A:$D,$2:$2,0),0)</f>
        <v>0</v>
      </c>
      <c r="H17" s="207">
        <f>IF(ISNUMBER(VLOOKUP($B:$B,'BS(과거)'!$A:$F,$2:$2,0)),VLOOKUP($B:$B,'BS(과거)'!$A:$F,$2:$2,0),0)</f>
        <v>0</v>
      </c>
      <c r="I17" s="207">
        <f>IF(ISNUMBER(VLOOKUP($B:$B,'BS(과거)'!$A:$F,$2:$2,0)),VLOOKUP($B:$B,'BS(과거)'!$A:$F,$2:$2,0),0)</f>
        <v>0</v>
      </c>
      <c r="J17" s="207">
        <f>IF(ISNUMBER(VLOOKUP($B:$B,'BS(과거)'!$A:$F,$2:$2,0)),VLOOKUP($B:$B,'BS(과거)'!$A:$F,$2:$2,0),0)</f>
        <v>0</v>
      </c>
      <c r="K17" s="207">
        <f>IF(ISNUMBER(VLOOKUP($B:$B,'BS(과거)'!$A:$F,$2:$2,0)),VLOOKUP($B:$B,'BS(과거)'!$A:$F,$2:$2,0),0)</f>
        <v>0</v>
      </c>
      <c r="L17" s="207">
        <f>IF(ISNUMBER(VLOOKUP($B:$B,'BS(과거)'!$A:$F,$2:$2,0)),VLOOKUP($B:$B,'BS(과거)'!$A:$F,$2:$2,0),0)</f>
        <v>0</v>
      </c>
      <c r="N17" s="207">
        <f>IF(ISNUMBER(VLOOKUP($B:$B,'BS(분기)'!$A:$F,$2:$2,0)),VLOOKUP($B:$B,'BS(분기)'!$A:$F,$2:$2,0),0)</f>
        <v>0</v>
      </c>
      <c r="O17" s="207">
        <f>IF(ISNUMBER(VLOOKUP($B:$B,'BS(분기)'!$A:$F,$2:$2,0)),VLOOKUP($B:$B,'BS(분기)'!$A:$F,$2:$2,0),0)</f>
        <v>0</v>
      </c>
      <c r="P17" s="207">
        <f>IF(ISNUMBER(VLOOKUP($B:$B,'BS(분기)'!$A:$F,$2:$2,0)),VLOOKUP($B:$B,'BS(분기)'!$A:$F,$2:$2,0),0)</f>
        <v>0</v>
      </c>
      <c r="Q17" s="207">
        <f>IF(ISNUMBER(VLOOKUP($B:$B,'BS(분기)'!$A:$F,$2:$2,0)),VLOOKUP($B:$B,'BS(분기)'!$A:$F,$2:$2,0),0)</f>
        <v>0</v>
      </c>
      <c r="R17" s="207">
        <f>IF(ISNUMBER(VLOOKUP($B:$B,'BS(분기)'!$A:$F,$2:$2,0)),VLOOKUP($B:$B,'BS(분기)'!$A:$F,$2:$2,0),0)</f>
        <v>0</v>
      </c>
    </row>
    <row r="18" spans="1:18" s="192" customFormat="1" ht="12">
      <c r="A18" s="202">
        <v>111220</v>
      </c>
      <c r="B18" s="195" t="s">
        <v>556</v>
      </c>
      <c r="C18" s="217">
        <f>IF(ISNUMBER(VLOOKUP($B:$B,BS!$A:$D,$2:$2,0)),VLOOKUP($B:$B,BS!$A:$D,$2:$2,0),0)</f>
        <v>0</v>
      </c>
      <c r="D18" s="217">
        <f>IF(ISNUMBER(VLOOKUP($B:$B,BS!$A:$D,$2:$2,0)),VLOOKUP($B:$B,BS!$A:$D,$2:$2,0),0)</f>
        <v>0</v>
      </c>
      <c r="E18" s="217">
        <f>IF(ISNUMBER(VLOOKUP($B:$B,BS!$A:$D,$2:$2,0)),VLOOKUP($B:$B,BS!$A:$D,$2:$2,0),0)</f>
        <v>0</v>
      </c>
      <c r="F18" s="217">
        <f>IF(ISNUMBER(VLOOKUP($B:$B,BS!$A:$D,$2:$2,0)),VLOOKUP($B:$B,BS!$A:$D,$2:$2,0),0)</f>
        <v>0</v>
      </c>
      <c r="G18" s="217">
        <f>IF(ISNUMBER(VLOOKUP($B:$B,BS!$A:$D,$2:$2,0)),VLOOKUP($B:$B,BS!$A:$D,$2:$2,0),0)</f>
        <v>0</v>
      </c>
      <c r="H18" s="207">
        <f>IF(ISNUMBER(VLOOKUP($B:$B,'BS(과거)'!$A:$F,$2:$2,0)),VLOOKUP($B:$B,'BS(과거)'!$A:$F,$2:$2,0),0)</f>
        <v>0</v>
      </c>
      <c r="I18" s="207">
        <f>IF(ISNUMBER(VLOOKUP($B:$B,'BS(과거)'!$A:$F,$2:$2,0)),VLOOKUP($B:$B,'BS(과거)'!$A:$F,$2:$2,0),0)</f>
        <v>0</v>
      </c>
      <c r="J18" s="207">
        <f>IF(ISNUMBER(VLOOKUP($B:$B,'BS(과거)'!$A:$F,$2:$2,0)),VLOOKUP($B:$B,'BS(과거)'!$A:$F,$2:$2,0),0)</f>
        <v>0</v>
      </c>
      <c r="K18" s="207">
        <f>IF(ISNUMBER(VLOOKUP($B:$B,'BS(과거)'!$A:$F,$2:$2,0)),VLOOKUP($B:$B,'BS(과거)'!$A:$F,$2:$2,0),0)</f>
        <v>0</v>
      </c>
      <c r="L18" s="207">
        <f>IF(ISNUMBER(VLOOKUP($B:$B,'BS(과거)'!$A:$F,$2:$2,0)),VLOOKUP($B:$B,'BS(과거)'!$A:$F,$2:$2,0),0)</f>
        <v>0</v>
      </c>
      <c r="N18" s="207">
        <f>IF(ISNUMBER(VLOOKUP($B:$B,'BS(분기)'!$A:$F,$2:$2,0)),VLOOKUP($B:$B,'BS(분기)'!$A:$F,$2:$2,0),0)</f>
        <v>0</v>
      </c>
      <c r="O18" s="207">
        <f>IF(ISNUMBER(VLOOKUP($B:$B,'BS(분기)'!$A:$F,$2:$2,0)),VLOOKUP($B:$B,'BS(분기)'!$A:$F,$2:$2,0),0)</f>
        <v>0</v>
      </c>
      <c r="P18" s="207">
        <f>IF(ISNUMBER(VLOOKUP($B:$B,'BS(분기)'!$A:$F,$2:$2,0)),VLOOKUP($B:$B,'BS(분기)'!$A:$F,$2:$2,0),0)</f>
        <v>0</v>
      </c>
      <c r="Q18" s="207">
        <f>IF(ISNUMBER(VLOOKUP($B:$B,'BS(분기)'!$A:$F,$2:$2,0)),VLOOKUP($B:$B,'BS(분기)'!$A:$F,$2:$2,0),0)</f>
        <v>0</v>
      </c>
      <c r="R18" s="207">
        <f>IF(ISNUMBER(VLOOKUP($B:$B,'BS(분기)'!$A:$F,$2:$2,0)),VLOOKUP($B:$B,'BS(분기)'!$A:$F,$2:$2,0),0)</f>
        <v>0</v>
      </c>
    </row>
    <row r="19" spans="1:18" s="192" customFormat="1" ht="12">
      <c r="A19" s="202">
        <v>111226</v>
      </c>
      <c r="B19" s="195" t="s">
        <v>871</v>
      </c>
      <c r="C19" s="217">
        <f>IF(ISNUMBER(VLOOKUP($B:$B,BS!$A:$D,$2:$2,0)),VLOOKUP($B:$B,BS!$A:$D,$2:$2,0),0)</f>
        <v>0</v>
      </c>
      <c r="D19" s="217">
        <f>IF(ISNUMBER(VLOOKUP($B:$B,BS!$A:$D,$2:$2,0)),VLOOKUP($B:$B,BS!$A:$D,$2:$2,0),0)</f>
        <v>0</v>
      </c>
      <c r="E19" s="217">
        <f>IF(ISNUMBER(VLOOKUP($B:$B,BS!$A:$D,$2:$2,0)),VLOOKUP($B:$B,BS!$A:$D,$2:$2,0),0)</f>
        <v>0</v>
      </c>
      <c r="F19" s="217">
        <f>IF(ISNUMBER(VLOOKUP($B:$B,BS!$A:$D,$2:$2,0)),VLOOKUP($B:$B,BS!$A:$D,$2:$2,0),0)</f>
        <v>0</v>
      </c>
      <c r="G19" s="217">
        <f>IF(ISNUMBER(VLOOKUP($B:$B,BS!$A:$D,$2:$2,0)),VLOOKUP($B:$B,BS!$A:$D,$2:$2,0),0)</f>
        <v>0</v>
      </c>
      <c r="H19" s="207">
        <f>IF(ISNUMBER(VLOOKUP($B:$B,'BS(과거)'!$A:$F,$2:$2,0)),VLOOKUP($B:$B,'BS(과거)'!$A:$F,$2:$2,0),0)</f>
        <v>0</v>
      </c>
      <c r="I19" s="207">
        <f>IF(ISNUMBER(VLOOKUP($B:$B,'BS(과거)'!$A:$F,$2:$2,0)),VLOOKUP($B:$B,'BS(과거)'!$A:$F,$2:$2,0),0)</f>
        <v>0</v>
      </c>
      <c r="J19" s="207">
        <f>IF(ISNUMBER(VLOOKUP($B:$B,'BS(과거)'!$A:$F,$2:$2,0)),VLOOKUP($B:$B,'BS(과거)'!$A:$F,$2:$2,0),0)</f>
        <v>0</v>
      </c>
      <c r="K19" s="207">
        <f>IF(ISNUMBER(VLOOKUP($B:$B,'BS(과거)'!$A:$F,$2:$2,0)),VLOOKUP($B:$B,'BS(과거)'!$A:$F,$2:$2,0),0)</f>
        <v>0</v>
      </c>
      <c r="L19" s="207">
        <f>IF(ISNUMBER(VLOOKUP($B:$B,'BS(과거)'!$A:$F,$2:$2,0)),VLOOKUP($B:$B,'BS(과거)'!$A:$F,$2:$2,0),0)</f>
        <v>0</v>
      </c>
      <c r="N19" s="207">
        <f>IF(ISNUMBER(VLOOKUP($B:$B,'BS(분기)'!$A:$F,$2:$2,0)),VLOOKUP($B:$B,'BS(분기)'!$A:$F,$2:$2,0),0)</f>
        <v>0</v>
      </c>
      <c r="O19" s="207">
        <f>IF(ISNUMBER(VLOOKUP($B:$B,'BS(분기)'!$A:$F,$2:$2,0)),VLOOKUP($B:$B,'BS(분기)'!$A:$F,$2:$2,0),0)</f>
        <v>0</v>
      </c>
      <c r="P19" s="207">
        <f>IF(ISNUMBER(VLOOKUP($B:$B,'BS(분기)'!$A:$F,$2:$2,0)),VLOOKUP($B:$B,'BS(분기)'!$A:$F,$2:$2,0),0)</f>
        <v>0</v>
      </c>
      <c r="Q19" s="207">
        <f>IF(ISNUMBER(VLOOKUP($B:$B,'BS(분기)'!$A:$F,$2:$2,0)),VLOOKUP($B:$B,'BS(분기)'!$A:$F,$2:$2,0),0)</f>
        <v>0</v>
      </c>
      <c r="R19" s="207">
        <f>IF(ISNUMBER(VLOOKUP($B:$B,'BS(분기)'!$A:$F,$2:$2,0)),VLOOKUP($B:$B,'BS(분기)'!$A:$F,$2:$2,0),0)</f>
        <v>0</v>
      </c>
    </row>
    <row r="20" spans="1:18" s="192" customFormat="1" ht="12">
      <c r="A20" s="202">
        <v>111221</v>
      </c>
      <c r="B20" s="195" t="s">
        <v>781</v>
      </c>
      <c r="C20" s="217">
        <f>IF(ISNUMBER(VLOOKUP($B:$B,BS!$A:$D,$2:$2,0)),VLOOKUP($B:$B,BS!$A:$D,$2:$2,0),0)</f>
        <v>0</v>
      </c>
      <c r="D20" s="217">
        <f>IF(ISNUMBER(VLOOKUP($B:$B,BS!$A:$D,$2:$2,0)),VLOOKUP($B:$B,BS!$A:$D,$2:$2,0),0)</f>
        <v>0</v>
      </c>
      <c r="E20" s="217">
        <f>IF(ISNUMBER(VLOOKUP($B:$B,BS!$A:$D,$2:$2,0)),VLOOKUP($B:$B,BS!$A:$D,$2:$2,0),0)</f>
        <v>0</v>
      </c>
      <c r="F20" s="217">
        <f>IF(ISNUMBER(VLOOKUP($B:$B,BS!$A:$D,$2:$2,0)),VLOOKUP($B:$B,BS!$A:$D,$2:$2,0),0)</f>
        <v>0</v>
      </c>
      <c r="G20" s="217">
        <f>IF(ISNUMBER(VLOOKUP($B:$B,BS!$A:$D,$2:$2,0)),VLOOKUP($B:$B,BS!$A:$D,$2:$2,0),0)</f>
        <v>0</v>
      </c>
      <c r="H20" s="207">
        <f>IF(ISNUMBER(VLOOKUP($B:$B,'BS(과거)'!$A:$F,$2:$2,0)),VLOOKUP($B:$B,'BS(과거)'!$A:$F,$2:$2,0),0)</f>
        <v>0</v>
      </c>
      <c r="I20" s="207">
        <f>IF(ISNUMBER(VLOOKUP($B:$B,'BS(과거)'!$A:$F,$2:$2,0)),VLOOKUP($B:$B,'BS(과거)'!$A:$F,$2:$2,0),0)</f>
        <v>0</v>
      </c>
      <c r="J20" s="207">
        <f>IF(ISNUMBER(VLOOKUP($B:$B,'BS(과거)'!$A:$F,$2:$2,0)),VLOOKUP($B:$B,'BS(과거)'!$A:$F,$2:$2,0),0)</f>
        <v>0</v>
      </c>
      <c r="K20" s="207">
        <f>IF(ISNUMBER(VLOOKUP($B:$B,'BS(과거)'!$A:$F,$2:$2,0)),VLOOKUP($B:$B,'BS(과거)'!$A:$F,$2:$2,0),0)</f>
        <v>0</v>
      </c>
      <c r="L20" s="207">
        <f>IF(ISNUMBER(VLOOKUP($B:$B,'BS(과거)'!$A:$F,$2:$2,0)),VLOOKUP($B:$B,'BS(과거)'!$A:$F,$2:$2,0),0)</f>
        <v>0</v>
      </c>
      <c r="N20" s="207">
        <f>IF(ISNUMBER(VLOOKUP($B:$B,'BS(분기)'!$A:$F,$2:$2,0)),VLOOKUP($B:$B,'BS(분기)'!$A:$F,$2:$2,0),0)</f>
        <v>0</v>
      </c>
      <c r="O20" s="207">
        <f>IF(ISNUMBER(VLOOKUP($B:$B,'BS(분기)'!$A:$F,$2:$2,0)),VLOOKUP($B:$B,'BS(분기)'!$A:$F,$2:$2,0),0)</f>
        <v>0</v>
      </c>
      <c r="P20" s="207">
        <f>IF(ISNUMBER(VLOOKUP($B:$B,'BS(분기)'!$A:$F,$2:$2,0)),VLOOKUP($B:$B,'BS(분기)'!$A:$F,$2:$2,0),0)</f>
        <v>0</v>
      </c>
      <c r="Q20" s="207">
        <f>IF(ISNUMBER(VLOOKUP($B:$B,'BS(분기)'!$A:$F,$2:$2,0)),VLOOKUP($B:$B,'BS(분기)'!$A:$F,$2:$2,0),0)</f>
        <v>0</v>
      </c>
      <c r="R20" s="207">
        <f>IF(ISNUMBER(VLOOKUP($B:$B,'BS(분기)'!$A:$F,$2:$2,0)),VLOOKUP($B:$B,'BS(분기)'!$A:$F,$2:$2,0),0)</f>
        <v>0</v>
      </c>
    </row>
    <row r="21" spans="1:18" s="192" customFormat="1" ht="12">
      <c r="A21" s="202">
        <v>111227</v>
      </c>
      <c r="B21" s="195" t="s">
        <v>877</v>
      </c>
      <c r="C21" s="217">
        <f>IF(ISNUMBER(VLOOKUP($B:$B,BS!$A:$D,$2:$2,0)),VLOOKUP($B:$B,BS!$A:$D,$2:$2,0),0)</f>
        <v>0</v>
      </c>
      <c r="D21" s="217">
        <f>IF(ISNUMBER(VLOOKUP($B:$B,BS!$A:$D,$2:$2,0)),VLOOKUP($B:$B,BS!$A:$D,$2:$2,0),0)</f>
        <v>0</v>
      </c>
      <c r="E21" s="217">
        <f>IF(ISNUMBER(VLOOKUP($B:$B,BS!$A:$D,$2:$2,0)),VLOOKUP($B:$B,BS!$A:$D,$2:$2,0),0)</f>
        <v>0</v>
      </c>
      <c r="F21" s="217">
        <f>IF(ISNUMBER(VLOOKUP($B:$B,BS!$A:$D,$2:$2,0)),VLOOKUP($B:$B,BS!$A:$D,$2:$2,0),0)</f>
        <v>0</v>
      </c>
      <c r="G21" s="217">
        <f>IF(ISNUMBER(VLOOKUP($B:$B,BS!$A:$D,$2:$2,0)),VLOOKUP($B:$B,BS!$A:$D,$2:$2,0),0)</f>
        <v>0</v>
      </c>
      <c r="H21" s="207">
        <f>IF(ISNUMBER(VLOOKUP($B:$B,'BS(과거)'!$A:$F,$2:$2,0)),VLOOKUP($B:$B,'BS(과거)'!$A:$F,$2:$2,0),0)</f>
        <v>0</v>
      </c>
      <c r="I21" s="207">
        <f>IF(ISNUMBER(VLOOKUP($B:$B,'BS(과거)'!$A:$F,$2:$2,0)),VLOOKUP($B:$B,'BS(과거)'!$A:$F,$2:$2,0),0)</f>
        <v>0</v>
      </c>
      <c r="J21" s="207">
        <f>IF(ISNUMBER(VLOOKUP($B:$B,'BS(과거)'!$A:$F,$2:$2,0)),VLOOKUP($B:$B,'BS(과거)'!$A:$F,$2:$2,0),0)</f>
        <v>0</v>
      </c>
      <c r="K21" s="207">
        <f>IF(ISNUMBER(VLOOKUP($B:$B,'BS(과거)'!$A:$F,$2:$2,0)),VLOOKUP($B:$B,'BS(과거)'!$A:$F,$2:$2,0),0)</f>
        <v>0</v>
      </c>
      <c r="L21" s="207">
        <f>IF(ISNUMBER(VLOOKUP($B:$B,'BS(과거)'!$A:$F,$2:$2,0)),VLOOKUP($B:$B,'BS(과거)'!$A:$F,$2:$2,0),0)</f>
        <v>0</v>
      </c>
      <c r="N21" s="207">
        <f>IF(ISNUMBER(VLOOKUP($B:$B,'BS(분기)'!$A:$F,$2:$2,0)),VLOOKUP($B:$B,'BS(분기)'!$A:$F,$2:$2,0),0)</f>
        <v>0</v>
      </c>
      <c r="O21" s="207">
        <f>IF(ISNUMBER(VLOOKUP($B:$B,'BS(분기)'!$A:$F,$2:$2,0)),VLOOKUP($B:$B,'BS(분기)'!$A:$F,$2:$2,0),0)</f>
        <v>0</v>
      </c>
      <c r="P21" s="207">
        <f>IF(ISNUMBER(VLOOKUP($B:$B,'BS(분기)'!$A:$F,$2:$2,0)),VLOOKUP($B:$B,'BS(분기)'!$A:$F,$2:$2,0),0)</f>
        <v>0</v>
      </c>
      <c r="Q21" s="207">
        <f>IF(ISNUMBER(VLOOKUP($B:$B,'BS(분기)'!$A:$F,$2:$2,0)),VLOOKUP($B:$B,'BS(분기)'!$A:$F,$2:$2,0),0)</f>
        <v>0</v>
      </c>
      <c r="R21" s="207">
        <f>IF(ISNUMBER(VLOOKUP($B:$B,'BS(분기)'!$A:$F,$2:$2,0)),VLOOKUP($B:$B,'BS(분기)'!$A:$F,$2:$2,0),0)</f>
        <v>0</v>
      </c>
    </row>
    <row r="22" spans="1:18" s="192" customFormat="1" ht="12">
      <c r="A22" s="203">
        <v>111222</v>
      </c>
      <c r="B22" s="196" t="s">
        <v>878</v>
      </c>
      <c r="C22" s="217">
        <f>IF(ISNUMBER(VLOOKUP($B:$B,BS!$A:$D,$2:$2,0)),VLOOKUP($B:$B,BS!$A:$D,$2:$2,0),0)</f>
        <v>0</v>
      </c>
      <c r="D22" s="217">
        <f>IF(ISNUMBER(VLOOKUP($B:$B,BS!$A:$D,$2:$2,0)),VLOOKUP($B:$B,BS!$A:$D,$2:$2,0),0)</f>
        <v>0</v>
      </c>
      <c r="E22" s="217">
        <f>IF(ISNUMBER(VLOOKUP($B:$B,BS!$A:$D,$2:$2,0)),VLOOKUP($B:$B,BS!$A:$D,$2:$2,0),0)</f>
        <v>0</v>
      </c>
      <c r="F22" s="217">
        <f>IF(ISNUMBER(VLOOKUP($B:$B,BS!$A:$D,$2:$2,0)),VLOOKUP($B:$B,BS!$A:$D,$2:$2,0),0)</f>
        <v>0</v>
      </c>
      <c r="G22" s="217">
        <f>IF(ISNUMBER(VLOOKUP($B:$B,BS!$A:$D,$2:$2,0)),VLOOKUP($B:$B,BS!$A:$D,$2:$2,0),0)</f>
        <v>0</v>
      </c>
      <c r="H22" s="207">
        <f>IF(ISNUMBER(VLOOKUP($B:$B,'BS(과거)'!$A:$F,$2:$2,0)),VLOOKUP($B:$B,'BS(과거)'!$A:$F,$2:$2,0),0)</f>
        <v>0</v>
      </c>
      <c r="I22" s="207">
        <f>IF(ISNUMBER(VLOOKUP($B:$B,'BS(과거)'!$A:$F,$2:$2,0)),VLOOKUP($B:$B,'BS(과거)'!$A:$F,$2:$2,0),0)</f>
        <v>0</v>
      </c>
      <c r="J22" s="207">
        <f>IF(ISNUMBER(VLOOKUP($B:$B,'BS(과거)'!$A:$F,$2:$2,0)),VLOOKUP($B:$B,'BS(과거)'!$A:$F,$2:$2,0),0)</f>
        <v>0</v>
      </c>
      <c r="K22" s="207">
        <f>IF(ISNUMBER(VLOOKUP($B:$B,'BS(과거)'!$A:$F,$2:$2,0)),VLOOKUP($B:$B,'BS(과거)'!$A:$F,$2:$2,0),0)</f>
        <v>0</v>
      </c>
      <c r="L22" s="207">
        <f>IF(ISNUMBER(VLOOKUP($B:$B,'BS(과거)'!$A:$F,$2:$2,0)),VLOOKUP($B:$B,'BS(과거)'!$A:$F,$2:$2,0),0)</f>
        <v>0</v>
      </c>
      <c r="N22" s="207">
        <f>IF(ISNUMBER(VLOOKUP($B:$B,'BS(분기)'!$A:$F,$2:$2,0)),VLOOKUP($B:$B,'BS(분기)'!$A:$F,$2:$2,0),0)</f>
        <v>0</v>
      </c>
      <c r="O22" s="207">
        <f>IF(ISNUMBER(VLOOKUP($B:$B,'BS(분기)'!$A:$F,$2:$2,0)),VLOOKUP($B:$B,'BS(분기)'!$A:$F,$2:$2,0),0)</f>
        <v>0</v>
      </c>
      <c r="P22" s="207">
        <f>IF(ISNUMBER(VLOOKUP($B:$B,'BS(분기)'!$A:$F,$2:$2,0)),VLOOKUP($B:$B,'BS(분기)'!$A:$F,$2:$2,0),0)</f>
        <v>0</v>
      </c>
      <c r="Q22" s="207">
        <f>IF(ISNUMBER(VLOOKUP($B:$B,'BS(분기)'!$A:$F,$2:$2,0)),VLOOKUP($B:$B,'BS(분기)'!$A:$F,$2:$2,0),0)</f>
        <v>0</v>
      </c>
      <c r="R22" s="207">
        <f>IF(ISNUMBER(VLOOKUP($B:$B,'BS(분기)'!$A:$F,$2:$2,0)),VLOOKUP($B:$B,'BS(분기)'!$A:$F,$2:$2,0),0)</f>
        <v>0</v>
      </c>
    </row>
    <row r="23" spans="1:18" s="192" customFormat="1" ht="12">
      <c r="A23" s="203">
        <v>111223</v>
      </c>
      <c r="B23" s="196" t="s">
        <v>879</v>
      </c>
      <c r="C23" s="217">
        <f>IF(ISNUMBER(VLOOKUP($B:$B,BS!$A:$D,$2:$2,0)),VLOOKUP($B:$B,BS!$A:$D,$2:$2,0),0)</f>
        <v>0</v>
      </c>
      <c r="D23" s="217">
        <f>IF(ISNUMBER(VLOOKUP($B:$B,BS!$A:$D,$2:$2,0)),VLOOKUP($B:$B,BS!$A:$D,$2:$2,0),0)</f>
        <v>0</v>
      </c>
      <c r="E23" s="217">
        <f>IF(ISNUMBER(VLOOKUP($B:$B,BS!$A:$D,$2:$2,0)),VLOOKUP($B:$B,BS!$A:$D,$2:$2,0),0)</f>
        <v>0</v>
      </c>
      <c r="F23" s="217">
        <f>IF(ISNUMBER(VLOOKUP($B:$B,BS!$A:$D,$2:$2,0)),VLOOKUP($B:$B,BS!$A:$D,$2:$2,0),0)</f>
        <v>0</v>
      </c>
      <c r="G23" s="217">
        <f>IF(ISNUMBER(VLOOKUP($B:$B,BS!$A:$D,$2:$2,0)),VLOOKUP($B:$B,BS!$A:$D,$2:$2,0),0)</f>
        <v>0</v>
      </c>
      <c r="H23" s="207">
        <f>IF(ISNUMBER(VLOOKUP($B:$B,'BS(과거)'!$A:$F,$2:$2,0)),VLOOKUP($B:$B,'BS(과거)'!$A:$F,$2:$2,0),0)</f>
        <v>0</v>
      </c>
      <c r="I23" s="207">
        <f>IF(ISNUMBER(VLOOKUP($B:$B,'BS(과거)'!$A:$F,$2:$2,0)),VLOOKUP($B:$B,'BS(과거)'!$A:$F,$2:$2,0),0)</f>
        <v>0</v>
      </c>
      <c r="J23" s="207">
        <f>IF(ISNUMBER(VLOOKUP($B:$B,'BS(과거)'!$A:$F,$2:$2,0)),VLOOKUP($B:$B,'BS(과거)'!$A:$F,$2:$2,0),0)</f>
        <v>0</v>
      </c>
      <c r="K23" s="207">
        <f>IF(ISNUMBER(VLOOKUP($B:$B,'BS(과거)'!$A:$F,$2:$2,0)),VLOOKUP($B:$B,'BS(과거)'!$A:$F,$2:$2,0),0)</f>
        <v>0</v>
      </c>
      <c r="L23" s="207">
        <f>IF(ISNUMBER(VLOOKUP($B:$B,'BS(과거)'!$A:$F,$2:$2,0)),VLOOKUP($B:$B,'BS(과거)'!$A:$F,$2:$2,0),0)</f>
        <v>0</v>
      </c>
      <c r="N23" s="207">
        <f>IF(ISNUMBER(VLOOKUP($B:$B,'BS(분기)'!$A:$F,$2:$2,0)),VLOOKUP($B:$B,'BS(분기)'!$A:$F,$2:$2,0),0)</f>
        <v>0</v>
      </c>
      <c r="O23" s="207">
        <f>IF(ISNUMBER(VLOOKUP($B:$B,'BS(분기)'!$A:$F,$2:$2,0)),VLOOKUP($B:$B,'BS(분기)'!$A:$F,$2:$2,0),0)</f>
        <v>0</v>
      </c>
      <c r="P23" s="207">
        <f>IF(ISNUMBER(VLOOKUP($B:$B,'BS(분기)'!$A:$F,$2:$2,0)),VLOOKUP($B:$B,'BS(분기)'!$A:$F,$2:$2,0),0)</f>
        <v>0</v>
      </c>
      <c r="Q23" s="207">
        <f>IF(ISNUMBER(VLOOKUP($B:$B,'BS(분기)'!$A:$F,$2:$2,0)),VLOOKUP($B:$B,'BS(분기)'!$A:$F,$2:$2,0),0)</f>
        <v>0</v>
      </c>
      <c r="R23" s="207">
        <f>IF(ISNUMBER(VLOOKUP($B:$B,'BS(분기)'!$A:$F,$2:$2,0)),VLOOKUP($B:$B,'BS(분기)'!$A:$F,$2:$2,0),0)</f>
        <v>0</v>
      </c>
    </row>
    <row r="24" spans="1:18" s="192" customFormat="1" ht="12">
      <c r="A24" s="203">
        <v>111224</v>
      </c>
      <c r="B24" s="196" t="s">
        <v>880</v>
      </c>
      <c r="C24" s="217">
        <f>IF(ISNUMBER(VLOOKUP($B:$B,BS!$A:$D,$2:$2,0)),VLOOKUP($B:$B,BS!$A:$D,$2:$2,0),0)</f>
        <v>0</v>
      </c>
      <c r="D24" s="217">
        <f>IF(ISNUMBER(VLOOKUP($B:$B,BS!$A:$D,$2:$2,0)),VLOOKUP($B:$B,BS!$A:$D,$2:$2,0),0)</f>
        <v>0</v>
      </c>
      <c r="E24" s="217">
        <f>IF(ISNUMBER(VLOOKUP($B:$B,BS!$A:$D,$2:$2,0)),VLOOKUP($B:$B,BS!$A:$D,$2:$2,0),0)</f>
        <v>0</v>
      </c>
      <c r="F24" s="217">
        <f>IF(ISNUMBER(VLOOKUP($B:$B,BS!$A:$D,$2:$2,0)),VLOOKUP($B:$B,BS!$A:$D,$2:$2,0),0)</f>
        <v>0</v>
      </c>
      <c r="G24" s="217">
        <f>IF(ISNUMBER(VLOOKUP($B:$B,BS!$A:$D,$2:$2,0)),VLOOKUP($B:$B,BS!$A:$D,$2:$2,0),0)</f>
        <v>0</v>
      </c>
      <c r="H24" s="207">
        <f>IF(ISNUMBER(VLOOKUP($B:$B,'BS(과거)'!$A:$F,$2:$2,0)),VLOOKUP($B:$B,'BS(과거)'!$A:$F,$2:$2,0),0)</f>
        <v>0</v>
      </c>
      <c r="I24" s="207">
        <f>IF(ISNUMBER(VLOOKUP($B:$B,'BS(과거)'!$A:$F,$2:$2,0)),VLOOKUP($B:$B,'BS(과거)'!$A:$F,$2:$2,0),0)</f>
        <v>0</v>
      </c>
      <c r="J24" s="207">
        <f>IF(ISNUMBER(VLOOKUP($B:$B,'BS(과거)'!$A:$F,$2:$2,0)),VLOOKUP($B:$B,'BS(과거)'!$A:$F,$2:$2,0),0)</f>
        <v>0</v>
      </c>
      <c r="K24" s="207">
        <f>IF(ISNUMBER(VLOOKUP($B:$B,'BS(과거)'!$A:$F,$2:$2,0)),VLOOKUP($B:$B,'BS(과거)'!$A:$F,$2:$2,0),0)</f>
        <v>0</v>
      </c>
      <c r="L24" s="207">
        <f>IF(ISNUMBER(VLOOKUP($B:$B,'BS(과거)'!$A:$F,$2:$2,0)),VLOOKUP($B:$B,'BS(과거)'!$A:$F,$2:$2,0),0)</f>
        <v>0</v>
      </c>
      <c r="N24" s="207">
        <f>IF(ISNUMBER(VLOOKUP($B:$B,'BS(분기)'!$A:$F,$2:$2,0)),VLOOKUP($B:$B,'BS(분기)'!$A:$F,$2:$2,0),0)</f>
        <v>0</v>
      </c>
      <c r="O24" s="207">
        <f>IF(ISNUMBER(VLOOKUP($B:$B,'BS(분기)'!$A:$F,$2:$2,0)),VLOOKUP($B:$B,'BS(분기)'!$A:$F,$2:$2,0),0)</f>
        <v>0</v>
      </c>
      <c r="P24" s="207">
        <f>IF(ISNUMBER(VLOOKUP($B:$B,'BS(분기)'!$A:$F,$2:$2,0)),VLOOKUP($B:$B,'BS(분기)'!$A:$F,$2:$2,0),0)</f>
        <v>0</v>
      </c>
      <c r="Q24" s="207">
        <f>IF(ISNUMBER(VLOOKUP($B:$B,'BS(분기)'!$A:$F,$2:$2,0)),VLOOKUP($B:$B,'BS(분기)'!$A:$F,$2:$2,0),0)</f>
        <v>0</v>
      </c>
      <c r="R24" s="207">
        <f>IF(ISNUMBER(VLOOKUP($B:$B,'BS(분기)'!$A:$F,$2:$2,0)),VLOOKUP($B:$B,'BS(분기)'!$A:$F,$2:$2,0),0)</f>
        <v>0</v>
      </c>
    </row>
    <row r="25" spans="1:18" s="192" customFormat="1" ht="12">
      <c r="A25" s="203">
        <v>111225</v>
      </c>
      <c r="B25" s="196" t="s">
        <v>782</v>
      </c>
      <c r="C25" s="217">
        <f>IF(ISNUMBER(VLOOKUP($B:$B,BS!$A:$D,$2:$2,0)),VLOOKUP($B:$B,BS!$A:$D,$2:$2,0),0)</f>
        <v>0</v>
      </c>
      <c r="D25" s="217">
        <f>IF(ISNUMBER(VLOOKUP($B:$B,BS!$A:$D,$2:$2,0)),VLOOKUP($B:$B,BS!$A:$D,$2:$2,0),0)</f>
        <v>0</v>
      </c>
      <c r="E25" s="217">
        <f>IF(ISNUMBER(VLOOKUP($B:$B,BS!$A:$D,$2:$2,0)),VLOOKUP($B:$B,BS!$A:$D,$2:$2,0),0)</f>
        <v>0</v>
      </c>
      <c r="F25" s="217">
        <f>IF(ISNUMBER(VLOOKUP($B:$B,BS!$A:$D,$2:$2,0)),VLOOKUP($B:$B,BS!$A:$D,$2:$2,0),0)</f>
        <v>0</v>
      </c>
      <c r="G25" s="217">
        <f>IF(ISNUMBER(VLOOKUP($B:$B,BS!$A:$D,$2:$2,0)),VLOOKUP($B:$B,BS!$A:$D,$2:$2,0),0)</f>
        <v>0</v>
      </c>
      <c r="H25" s="207">
        <f>IF(ISNUMBER(VLOOKUP($B:$B,'BS(과거)'!$A:$F,$2:$2,0)),VLOOKUP($B:$B,'BS(과거)'!$A:$F,$2:$2,0),0)</f>
        <v>0</v>
      </c>
      <c r="I25" s="207">
        <f>IF(ISNUMBER(VLOOKUP($B:$B,'BS(과거)'!$A:$F,$2:$2,0)),VLOOKUP($B:$B,'BS(과거)'!$A:$F,$2:$2,0),0)</f>
        <v>0</v>
      </c>
      <c r="J25" s="207">
        <f>IF(ISNUMBER(VLOOKUP($B:$B,'BS(과거)'!$A:$F,$2:$2,0)),VLOOKUP($B:$B,'BS(과거)'!$A:$F,$2:$2,0),0)</f>
        <v>0</v>
      </c>
      <c r="K25" s="207">
        <f>IF(ISNUMBER(VLOOKUP($B:$B,'BS(과거)'!$A:$F,$2:$2,0)),VLOOKUP($B:$B,'BS(과거)'!$A:$F,$2:$2,0),0)</f>
        <v>0</v>
      </c>
      <c r="L25" s="207">
        <f>IF(ISNUMBER(VLOOKUP($B:$B,'BS(과거)'!$A:$F,$2:$2,0)),VLOOKUP($B:$B,'BS(과거)'!$A:$F,$2:$2,0),0)</f>
        <v>0</v>
      </c>
      <c r="N25" s="207">
        <f>IF(ISNUMBER(VLOOKUP($B:$B,'BS(분기)'!$A:$F,$2:$2,0)),VLOOKUP($B:$B,'BS(분기)'!$A:$F,$2:$2,0),0)</f>
        <v>0</v>
      </c>
      <c r="O25" s="207">
        <f>IF(ISNUMBER(VLOOKUP($B:$B,'BS(분기)'!$A:$F,$2:$2,0)),VLOOKUP($B:$B,'BS(분기)'!$A:$F,$2:$2,0),0)</f>
        <v>0</v>
      </c>
      <c r="P25" s="207">
        <f>IF(ISNUMBER(VLOOKUP($B:$B,'BS(분기)'!$A:$F,$2:$2,0)),VLOOKUP($B:$B,'BS(분기)'!$A:$F,$2:$2,0),0)</f>
        <v>0</v>
      </c>
      <c r="Q25" s="207">
        <f>IF(ISNUMBER(VLOOKUP($B:$B,'BS(분기)'!$A:$F,$2:$2,0)),VLOOKUP($B:$B,'BS(분기)'!$A:$F,$2:$2,0),0)</f>
        <v>0</v>
      </c>
      <c r="R25" s="207">
        <f>IF(ISNUMBER(VLOOKUP($B:$B,'BS(분기)'!$A:$F,$2:$2,0)),VLOOKUP($B:$B,'BS(분기)'!$A:$F,$2:$2,0),0)</f>
        <v>0</v>
      </c>
    </row>
    <row r="26" spans="1:18" s="192" customFormat="1" ht="12">
      <c r="A26" s="202">
        <v>111140</v>
      </c>
      <c r="B26" s="195" t="s">
        <v>557</v>
      </c>
      <c r="C26" s="217">
        <f>IF(ISNUMBER(VLOOKUP($B:$B,BS!$A:$D,$2:$2,0)),VLOOKUP($B:$B,BS!$A:$D,$2:$2,0),0)</f>
        <v>0</v>
      </c>
      <c r="D26" s="217">
        <f>IF(ISNUMBER(VLOOKUP($B:$B,BS!$A:$D,$2:$2,0)),VLOOKUP($B:$B,BS!$A:$D,$2:$2,0),0)</f>
        <v>0</v>
      </c>
      <c r="E26" s="217">
        <f>IF(ISNUMBER(VLOOKUP($B:$B,BS!$A:$D,$2:$2,0)),VLOOKUP($B:$B,BS!$A:$D,$2:$2,0),0)</f>
        <v>0</v>
      </c>
      <c r="F26" s="217">
        <f>IF(ISNUMBER(VLOOKUP($B:$B,BS!$A:$D,$2:$2,0)),VLOOKUP($B:$B,BS!$A:$D,$2:$2,0),0)</f>
        <v>0</v>
      </c>
      <c r="G26" s="217">
        <f>IF(ISNUMBER(VLOOKUP($B:$B,BS!$A:$D,$2:$2,0)),VLOOKUP($B:$B,BS!$A:$D,$2:$2,0),0)</f>
        <v>0</v>
      </c>
      <c r="H26" s="207">
        <f>IF(ISNUMBER(VLOOKUP($B:$B,'BS(과거)'!$A:$F,$2:$2,0)),VLOOKUP($B:$B,'BS(과거)'!$A:$F,$2:$2,0),0)</f>
        <v>0</v>
      </c>
      <c r="I26" s="207">
        <f>IF(ISNUMBER(VLOOKUP($B:$B,'BS(과거)'!$A:$F,$2:$2,0)),VLOOKUP($B:$B,'BS(과거)'!$A:$F,$2:$2,0),0)</f>
        <v>0</v>
      </c>
      <c r="J26" s="207">
        <f>IF(ISNUMBER(VLOOKUP($B:$B,'BS(과거)'!$A:$F,$2:$2,0)),VLOOKUP($B:$B,'BS(과거)'!$A:$F,$2:$2,0),0)</f>
        <v>0</v>
      </c>
      <c r="K26" s="207">
        <f>IF(ISNUMBER(VLOOKUP($B:$B,'BS(과거)'!$A:$F,$2:$2,0)),VLOOKUP($B:$B,'BS(과거)'!$A:$F,$2:$2,0),0)</f>
        <v>0</v>
      </c>
      <c r="L26" s="207">
        <f>IF(ISNUMBER(VLOOKUP($B:$B,'BS(과거)'!$A:$F,$2:$2,0)),VLOOKUP($B:$B,'BS(과거)'!$A:$F,$2:$2,0),0)</f>
        <v>0</v>
      </c>
      <c r="N26" s="207">
        <f>IF(ISNUMBER(VLOOKUP($B:$B,'BS(분기)'!$A:$F,$2:$2,0)),VLOOKUP($B:$B,'BS(분기)'!$A:$F,$2:$2,0),0)</f>
        <v>0</v>
      </c>
      <c r="O26" s="207">
        <f>IF(ISNUMBER(VLOOKUP($B:$B,'BS(분기)'!$A:$F,$2:$2,0)),VLOOKUP($B:$B,'BS(분기)'!$A:$F,$2:$2,0),0)</f>
        <v>0</v>
      </c>
      <c r="P26" s="207">
        <f>IF(ISNUMBER(VLOOKUP($B:$B,'BS(분기)'!$A:$F,$2:$2,0)),VLOOKUP($B:$B,'BS(분기)'!$A:$F,$2:$2,0),0)</f>
        <v>0</v>
      </c>
      <c r="Q26" s="207">
        <f>IF(ISNUMBER(VLOOKUP($B:$B,'BS(분기)'!$A:$F,$2:$2,0)),VLOOKUP($B:$B,'BS(분기)'!$A:$F,$2:$2,0),0)</f>
        <v>0</v>
      </c>
      <c r="R26" s="207">
        <f>IF(ISNUMBER(VLOOKUP($B:$B,'BS(분기)'!$A:$F,$2:$2,0)),VLOOKUP($B:$B,'BS(분기)'!$A:$F,$2:$2,0),0)</f>
        <v>0</v>
      </c>
    </row>
    <row r="27" spans="1:18" s="192" customFormat="1" ht="12">
      <c r="A27" s="202">
        <v>111149</v>
      </c>
      <c r="B27" s="195" t="s">
        <v>881</v>
      </c>
      <c r="C27" s="217">
        <f>IF(ISNUMBER(VLOOKUP($B:$B,BS!$A:$D,$2:$2,0)),VLOOKUP($B:$B,BS!$A:$D,$2:$2,0),0)</f>
        <v>0</v>
      </c>
      <c r="D27" s="217">
        <f>IF(ISNUMBER(VLOOKUP($B:$B,BS!$A:$D,$2:$2,0)),VLOOKUP($B:$B,BS!$A:$D,$2:$2,0),0)</f>
        <v>0</v>
      </c>
      <c r="E27" s="217">
        <f>IF(ISNUMBER(VLOOKUP($B:$B,BS!$A:$D,$2:$2,0)),VLOOKUP($B:$B,BS!$A:$D,$2:$2,0),0)</f>
        <v>0</v>
      </c>
      <c r="F27" s="217">
        <f>IF(ISNUMBER(VLOOKUP($B:$B,BS!$A:$D,$2:$2,0)),VLOOKUP($B:$B,BS!$A:$D,$2:$2,0),0)</f>
        <v>0</v>
      </c>
      <c r="G27" s="217">
        <f>IF(ISNUMBER(VLOOKUP($B:$B,BS!$A:$D,$2:$2,0)),VLOOKUP($B:$B,BS!$A:$D,$2:$2,0),0)</f>
        <v>0</v>
      </c>
      <c r="H27" s="207">
        <f>IF(ISNUMBER(VLOOKUP($B:$B,'BS(과거)'!$A:$F,$2:$2,0)),VLOOKUP($B:$B,'BS(과거)'!$A:$F,$2:$2,0),0)</f>
        <v>0</v>
      </c>
      <c r="I27" s="207">
        <f>IF(ISNUMBER(VLOOKUP($B:$B,'BS(과거)'!$A:$F,$2:$2,0)),VLOOKUP($B:$B,'BS(과거)'!$A:$F,$2:$2,0),0)</f>
        <v>0</v>
      </c>
      <c r="J27" s="207">
        <f>IF(ISNUMBER(VLOOKUP($B:$B,'BS(과거)'!$A:$F,$2:$2,0)),VLOOKUP($B:$B,'BS(과거)'!$A:$F,$2:$2,0),0)</f>
        <v>0</v>
      </c>
      <c r="K27" s="207">
        <f>IF(ISNUMBER(VLOOKUP($B:$B,'BS(과거)'!$A:$F,$2:$2,0)),VLOOKUP($B:$B,'BS(과거)'!$A:$F,$2:$2,0),0)</f>
        <v>0</v>
      </c>
      <c r="L27" s="207">
        <f>IF(ISNUMBER(VLOOKUP($B:$B,'BS(과거)'!$A:$F,$2:$2,0)),VLOOKUP($B:$B,'BS(과거)'!$A:$F,$2:$2,0),0)</f>
        <v>0</v>
      </c>
      <c r="N27" s="207">
        <f>IF(ISNUMBER(VLOOKUP($B:$B,'BS(분기)'!$A:$F,$2:$2,0)),VLOOKUP($B:$B,'BS(분기)'!$A:$F,$2:$2,0),0)</f>
        <v>0</v>
      </c>
      <c r="O27" s="207">
        <f>IF(ISNUMBER(VLOOKUP($B:$B,'BS(분기)'!$A:$F,$2:$2,0)),VLOOKUP($B:$B,'BS(분기)'!$A:$F,$2:$2,0),0)</f>
        <v>0</v>
      </c>
      <c r="P27" s="207">
        <f>IF(ISNUMBER(VLOOKUP($B:$B,'BS(분기)'!$A:$F,$2:$2,0)),VLOOKUP($B:$B,'BS(분기)'!$A:$F,$2:$2,0),0)</f>
        <v>0</v>
      </c>
      <c r="Q27" s="207">
        <f>IF(ISNUMBER(VLOOKUP($B:$B,'BS(분기)'!$A:$F,$2:$2,0)),VLOOKUP($B:$B,'BS(분기)'!$A:$F,$2:$2,0),0)</f>
        <v>0</v>
      </c>
      <c r="R27" s="207">
        <f>IF(ISNUMBER(VLOOKUP($B:$B,'BS(분기)'!$A:$F,$2:$2,0)),VLOOKUP($B:$B,'BS(분기)'!$A:$F,$2:$2,0),0)</f>
        <v>0</v>
      </c>
    </row>
    <row r="28" spans="1:18" s="192" customFormat="1" ht="12">
      <c r="A28" s="202">
        <v>111146</v>
      </c>
      <c r="B28" s="195" t="s">
        <v>882</v>
      </c>
      <c r="C28" s="217">
        <f>IF(ISNUMBER(VLOOKUP($B:$B,BS!$A:$D,$2:$2,0)),VLOOKUP($B:$B,BS!$A:$D,$2:$2,0),0)</f>
        <v>0</v>
      </c>
      <c r="D28" s="217">
        <f>IF(ISNUMBER(VLOOKUP($B:$B,BS!$A:$D,$2:$2,0)),VLOOKUP($B:$B,BS!$A:$D,$2:$2,0),0)</f>
        <v>0</v>
      </c>
      <c r="E28" s="217">
        <f>IF(ISNUMBER(VLOOKUP($B:$B,BS!$A:$D,$2:$2,0)),VLOOKUP($B:$B,BS!$A:$D,$2:$2,0),0)</f>
        <v>0</v>
      </c>
      <c r="F28" s="217">
        <f>IF(ISNUMBER(VLOOKUP($B:$B,BS!$A:$D,$2:$2,0)),VLOOKUP($B:$B,BS!$A:$D,$2:$2,0),0)</f>
        <v>0</v>
      </c>
      <c r="G28" s="217">
        <f>IF(ISNUMBER(VLOOKUP($B:$B,BS!$A:$D,$2:$2,0)),VLOOKUP($B:$B,BS!$A:$D,$2:$2,0),0)</f>
        <v>0</v>
      </c>
      <c r="H28" s="207">
        <f>IF(ISNUMBER(VLOOKUP($B:$B,'BS(과거)'!$A:$F,$2:$2,0)),VLOOKUP($B:$B,'BS(과거)'!$A:$F,$2:$2,0),0)</f>
        <v>0</v>
      </c>
      <c r="I28" s="207">
        <f>IF(ISNUMBER(VLOOKUP($B:$B,'BS(과거)'!$A:$F,$2:$2,0)),VLOOKUP($B:$B,'BS(과거)'!$A:$F,$2:$2,0),0)</f>
        <v>0</v>
      </c>
      <c r="J28" s="207">
        <f>IF(ISNUMBER(VLOOKUP($B:$B,'BS(과거)'!$A:$F,$2:$2,0)),VLOOKUP($B:$B,'BS(과거)'!$A:$F,$2:$2,0),0)</f>
        <v>0</v>
      </c>
      <c r="K28" s="207">
        <f>IF(ISNUMBER(VLOOKUP($B:$B,'BS(과거)'!$A:$F,$2:$2,0)),VLOOKUP($B:$B,'BS(과거)'!$A:$F,$2:$2,0),0)</f>
        <v>0</v>
      </c>
      <c r="L28" s="207">
        <f>IF(ISNUMBER(VLOOKUP($B:$B,'BS(과거)'!$A:$F,$2:$2,0)),VLOOKUP($B:$B,'BS(과거)'!$A:$F,$2:$2,0),0)</f>
        <v>0</v>
      </c>
      <c r="N28" s="207">
        <f>IF(ISNUMBER(VLOOKUP($B:$B,'BS(분기)'!$A:$F,$2:$2,0)),VLOOKUP($B:$B,'BS(분기)'!$A:$F,$2:$2,0),0)</f>
        <v>0</v>
      </c>
      <c r="O28" s="207">
        <f>IF(ISNUMBER(VLOOKUP($B:$B,'BS(분기)'!$A:$F,$2:$2,0)),VLOOKUP($B:$B,'BS(분기)'!$A:$F,$2:$2,0),0)</f>
        <v>0</v>
      </c>
      <c r="P28" s="207">
        <f>IF(ISNUMBER(VLOOKUP($B:$B,'BS(분기)'!$A:$F,$2:$2,0)),VLOOKUP($B:$B,'BS(분기)'!$A:$F,$2:$2,0),0)</f>
        <v>0</v>
      </c>
      <c r="Q28" s="207">
        <f>IF(ISNUMBER(VLOOKUP($B:$B,'BS(분기)'!$A:$F,$2:$2,0)),VLOOKUP($B:$B,'BS(분기)'!$A:$F,$2:$2,0),0)</f>
        <v>0</v>
      </c>
      <c r="R28" s="207">
        <f>IF(ISNUMBER(VLOOKUP($B:$B,'BS(분기)'!$A:$F,$2:$2,0)),VLOOKUP($B:$B,'BS(분기)'!$A:$F,$2:$2,0),0)</f>
        <v>0</v>
      </c>
    </row>
    <row r="29" spans="1:18" s="192" customFormat="1" ht="12">
      <c r="A29" s="203">
        <v>111141</v>
      </c>
      <c r="B29" s="196" t="s">
        <v>783</v>
      </c>
      <c r="C29" s="217">
        <f>IF(ISNUMBER(VLOOKUP($B:$B,BS!$A:$D,$2:$2,0)),VLOOKUP($B:$B,BS!$A:$D,$2:$2,0),0)</f>
        <v>0</v>
      </c>
      <c r="D29" s="217">
        <f>IF(ISNUMBER(VLOOKUP($B:$B,BS!$A:$D,$2:$2,0)),VLOOKUP($B:$B,BS!$A:$D,$2:$2,0),0)</f>
        <v>0</v>
      </c>
      <c r="E29" s="217">
        <f>IF(ISNUMBER(VLOOKUP($B:$B,BS!$A:$D,$2:$2,0)),VLOOKUP($B:$B,BS!$A:$D,$2:$2,0),0)</f>
        <v>0</v>
      </c>
      <c r="F29" s="217">
        <f>IF(ISNUMBER(VLOOKUP($B:$B,BS!$A:$D,$2:$2,0)),VLOOKUP($B:$B,BS!$A:$D,$2:$2,0),0)</f>
        <v>0</v>
      </c>
      <c r="G29" s="217">
        <f>IF(ISNUMBER(VLOOKUP($B:$B,BS!$A:$D,$2:$2,0)),VLOOKUP($B:$B,BS!$A:$D,$2:$2,0),0)</f>
        <v>0</v>
      </c>
      <c r="H29" s="207">
        <f>IF(ISNUMBER(VLOOKUP($B:$B,'BS(과거)'!$A:$F,$2:$2,0)),VLOOKUP($B:$B,'BS(과거)'!$A:$F,$2:$2,0),0)</f>
        <v>0</v>
      </c>
      <c r="I29" s="207">
        <f>IF(ISNUMBER(VLOOKUP($B:$B,'BS(과거)'!$A:$F,$2:$2,0)),VLOOKUP($B:$B,'BS(과거)'!$A:$F,$2:$2,0),0)</f>
        <v>0</v>
      </c>
      <c r="J29" s="207">
        <f>IF(ISNUMBER(VLOOKUP($B:$B,'BS(과거)'!$A:$F,$2:$2,0)),VLOOKUP($B:$B,'BS(과거)'!$A:$F,$2:$2,0),0)</f>
        <v>0</v>
      </c>
      <c r="K29" s="207">
        <f>IF(ISNUMBER(VLOOKUP($B:$B,'BS(과거)'!$A:$F,$2:$2,0)),VLOOKUP($B:$B,'BS(과거)'!$A:$F,$2:$2,0),0)</f>
        <v>0</v>
      </c>
      <c r="L29" s="207">
        <f>IF(ISNUMBER(VLOOKUP($B:$B,'BS(과거)'!$A:$F,$2:$2,0)),VLOOKUP($B:$B,'BS(과거)'!$A:$F,$2:$2,0),0)</f>
        <v>0</v>
      </c>
      <c r="N29" s="207">
        <f>IF(ISNUMBER(VLOOKUP($B:$B,'BS(분기)'!$A:$F,$2:$2,0)),VLOOKUP($B:$B,'BS(분기)'!$A:$F,$2:$2,0),0)</f>
        <v>0</v>
      </c>
      <c r="O29" s="207">
        <f>IF(ISNUMBER(VLOOKUP($B:$B,'BS(분기)'!$A:$F,$2:$2,0)),VLOOKUP($B:$B,'BS(분기)'!$A:$F,$2:$2,0),0)</f>
        <v>0</v>
      </c>
      <c r="P29" s="207">
        <f>IF(ISNUMBER(VLOOKUP($B:$B,'BS(분기)'!$A:$F,$2:$2,0)),VLOOKUP($B:$B,'BS(분기)'!$A:$F,$2:$2,0),0)</f>
        <v>0</v>
      </c>
      <c r="Q29" s="207">
        <f>IF(ISNUMBER(VLOOKUP($B:$B,'BS(분기)'!$A:$F,$2:$2,0)),VLOOKUP($B:$B,'BS(분기)'!$A:$F,$2:$2,0),0)</f>
        <v>0</v>
      </c>
      <c r="R29" s="207">
        <f>IF(ISNUMBER(VLOOKUP($B:$B,'BS(분기)'!$A:$F,$2:$2,0)),VLOOKUP($B:$B,'BS(분기)'!$A:$F,$2:$2,0),0)</f>
        <v>0</v>
      </c>
    </row>
    <row r="30" spans="1:18" s="192" customFormat="1" ht="12">
      <c r="A30" s="203">
        <v>111142</v>
      </c>
      <c r="B30" s="196" t="s">
        <v>883</v>
      </c>
      <c r="C30" s="217">
        <f>IF(ISNUMBER(VLOOKUP($B:$B,BS!$A:$D,$2:$2,0)),VLOOKUP($B:$B,BS!$A:$D,$2:$2,0),0)</f>
        <v>0</v>
      </c>
      <c r="D30" s="217">
        <f>IF(ISNUMBER(VLOOKUP($B:$B,BS!$A:$D,$2:$2,0)),VLOOKUP($B:$B,BS!$A:$D,$2:$2,0),0)</f>
        <v>0</v>
      </c>
      <c r="E30" s="217">
        <f>IF(ISNUMBER(VLOOKUP($B:$B,BS!$A:$D,$2:$2,0)),VLOOKUP($B:$B,BS!$A:$D,$2:$2,0),0)</f>
        <v>0</v>
      </c>
      <c r="F30" s="217">
        <f>IF(ISNUMBER(VLOOKUP($B:$B,BS!$A:$D,$2:$2,0)),VLOOKUP($B:$B,BS!$A:$D,$2:$2,0),0)</f>
        <v>0</v>
      </c>
      <c r="G30" s="217">
        <f>IF(ISNUMBER(VLOOKUP($B:$B,BS!$A:$D,$2:$2,0)),VLOOKUP($B:$B,BS!$A:$D,$2:$2,0),0)</f>
        <v>0</v>
      </c>
      <c r="H30" s="207">
        <f>IF(ISNUMBER(VLOOKUP($B:$B,'BS(과거)'!$A:$F,$2:$2,0)),VLOOKUP($B:$B,'BS(과거)'!$A:$F,$2:$2,0),0)</f>
        <v>0</v>
      </c>
      <c r="I30" s="207">
        <f>IF(ISNUMBER(VLOOKUP($B:$B,'BS(과거)'!$A:$F,$2:$2,0)),VLOOKUP($B:$B,'BS(과거)'!$A:$F,$2:$2,0),0)</f>
        <v>0</v>
      </c>
      <c r="J30" s="207">
        <f>IF(ISNUMBER(VLOOKUP($B:$B,'BS(과거)'!$A:$F,$2:$2,0)),VLOOKUP($B:$B,'BS(과거)'!$A:$F,$2:$2,0),0)</f>
        <v>0</v>
      </c>
      <c r="K30" s="207">
        <f>IF(ISNUMBER(VLOOKUP($B:$B,'BS(과거)'!$A:$F,$2:$2,0)),VLOOKUP($B:$B,'BS(과거)'!$A:$F,$2:$2,0),0)</f>
        <v>0</v>
      </c>
      <c r="L30" s="207">
        <f>IF(ISNUMBER(VLOOKUP($B:$B,'BS(과거)'!$A:$F,$2:$2,0)),VLOOKUP($B:$B,'BS(과거)'!$A:$F,$2:$2,0),0)</f>
        <v>0</v>
      </c>
      <c r="N30" s="207">
        <f>IF(ISNUMBER(VLOOKUP($B:$B,'BS(분기)'!$A:$F,$2:$2,0)),VLOOKUP($B:$B,'BS(분기)'!$A:$F,$2:$2,0),0)</f>
        <v>0</v>
      </c>
      <c r="O30" s="207">
        <f>IF(ISNUMBER(VLOOKUP($B:$B,'BS(분기)'!$A:$F,$2:$2,0)),VLOOKUP($B:$B,'BS(분기)'!$A:$F,$2:$2,0),0)</f>
        <v>0</v>
      </c>
      <c r="P30" s="207">
        <f>IF(ISNUMBER(VLOOKUP($B:$B,'BS(분기)'!$A:$F,$2:$2,0)),VLOOKUP($B:$B,'BS(분기)'!$A:$F,$2:$2,0),0)</f>
        <v>0</v>
      </c>
      <c r="Q30" s="207">
        <f>IF(ISNUMBER(VLOOKUP($B:$B,'BS(분기)'!$A:$F,$2:$2,0)),VLOOKUP($B:$B,'BS(분기)'!$A:$F,$2:$2,0),0)</f>
        <v>0</v>
      </c>
      <c r="R30" s="207">
        <f>IF(ISNUMBER(VLOOKUP($B:$B,'BS(분기)'!$A:$F,$2:$2,0)),VLOOKUP($B:$B,'BS(분기)'!$A:$F,$2:$2,0),0)</f>
        <v>0</v>
      </c>
    </row>
    <row r="31" spans="1:18" s="192" customFormat="1" ht="12">
      <c r="A31" s="203">
        <v>111143</v>
      </c>
      <c r="B31" s="196" t="s">
        <v>784</v>
      </c>
      <c r="C31" s="217">
        <f>IF(ISNUMBER(VLOOKUP($B:$B,BS!$A:$D,$2:$2,0)),VLOOKUP($B:$B,BS!$A:$D,$2:$2,0),0)</f>
        <v>0</v>
      </c>
      <c r="D31" s="217">
        <f>IF(ISNUMBER(VLOOKUP($B:$B,BS!$A:$D,$2:$2,0)),VLOOKUP($B:$B,BS!$A:$D,$2:$2,0),0)</f>
        <v>0</v>
      </c>
      <c r="E31" s="217">
        <f>IF(ISNUMBER(VLOOKUP($B:$B,BS!$A:$D,$2:$2,0)),VLOOKUP($B:$B,BS!$A:$D,$2:$2,0),0)</f>
        <v>0</v>
      </c>
      <c r="F31" s="217">
        <f>IF(ISNUMBER(VLOOKUP($B:$B,BS!$A:$D,$2:$2,0)),VLOOKUP($B:$B,BS!$A:$D,$2:$2,0),0)</f>
        <v>0</v>
      </c>
      <c r="G31" s="217">
        <f>IF(ISNUMBER(VLOOKUP($B:$B,BS!$A:$D,$2:$2,0)),VLOOKUP($B:$B,BS!$A:$D,$2:$2,0),0)</f>
        <v>0</v>
      </c>
      <c r="H31" s="207">
        <f>IF(ISNUMBER(VLOOKUP($B:$B,'BS(과거)'!$A:$F,$2:$2,0)),VLOOKUP($B:$B,'BS(과거)'!$A:$F,$2:$2,0),0)</f>
        <v>0</v>
      </c>
      <c r="I31" s="207">
        <f>IF(ISNUMBER(VLOOKUP($B:$B,'BS(과거)'!$A:$F,$2:$2,0)),VLOOKUP($B:$B,'BS(과거)'!$A:$F,$2:$2,0),0)</f>
        <v>0</v>
      </c>
      <c r="J31" s="207">
        <f>IF(ISNUMBER(VLOOKUP($B:$B,'BS(과거)'!$A:$F,$2:$2,0)),VLOOKUP($B:$B,'BS(과거)'!$A:$F,$2:$2,0),0)</f>
        <v>0</v>
      </c>
      <c r="K31" s="207">
        <f>IF(ISNUMBER(VLOOKUP($B:$B,'BS(과거)'!$A:$F,$2:$2,0)),VLOOKUP($B:$B,'BS(과거)'!$A:$F,$2:$2,0),0)</f>
        <v>0</v>
      </c>
      <c r="L31" s="207">
        <f>IF(ISNUMBER(VLOOKUP($B:$B,'BS(과거)'!$A:$F,$2:$2,0)),VLOOKUP($B:$B,'BS(과거)'!$A:$F,$2:$2,0),0)</f>
        <v>0</v>
      </c>
      <c r="N31" s="207">
        <f>IF(ISNUMBER(VLOOKUP($B:$B,'BS(분기)'!$A:$F,$2:$2,0)),VLOOKUP($B:$B,'BS(분기)'!$A:$F,$2:$2,0),0)</f>
        <v>0</v>
      </c>
      <c r="O31" s="207">
        <f>IF(ISNUMBER(VLOOKUP($B:$B,'BS(분기)'!$A:$F,$2:$2,0)),VLOOKUP($B:$B,'BS(분기)'!$A:$F,$2:$2,0),0)</f>
        <v>0</v>
      </c>
      <c r="P31" s="207">
        <f>IF(ISNUMBER(VLOOKUP($B:$B,'BS(분기)'!$A:$F,$2:$2,0)),VLOOKUP($B:$B,'BS(분기)'!$A:$F,$2:$2,0),0)</f>
        <v>0</v>
      </c>
      <c r="Q31" s="207">
        <f>IF(ISNUMBER(VLOOKUP($B:$B,'BS(분기)'!$A:$F,$2:$2,0)),VLOOKUP($B:$B,'BS(분기)'!$A:$F,$2:$2,0),0)</f>
        <v>0</v>
      </c>
      <c r="R31" s="207">
        <f>IF(ISNUMBER(VLOOKUP($B:$B,'BS(분기)'!$A:$F,$2:$2,0)),VLOOKUP($B:$B,'BS(분기)'!$A:$F,$2:$2,0),0)</f>
        <v>0</v>
      </c>
    </row>
    <row r="32" spans="1:18" s="192" customFormat="1" ht="12">
      <c r="A32" s="203">
        <v>111148</v>
      </c>
      <c r="B32" s="196" t="s">
        <v>785</v>
      </c>
      <c r="C32" s="217">
        <f>IF(ISNUMBER(VLOOKUP($B:$B,BS!$A:$D,$2:$2,0)),VLOOKUP($B:$B,BS!$A:$D,$2:$2,0),0)</f>
        <v>0</v>
      </c>
      <c r="D32" s="217">
        <f>IF(ISNUMBER(VLOOKUP($B:$B,BS!$A:$D,$2:$2,0)),VLOOKUP($B:$B,BS!$A:$D,$2:$2,0),0)</f>
        <v>0</v>
      </c>
      <c r="E32" s="217">
        <f>IF(ISNUMBER(VLOOKUP($B:$B,BS!$A:$D,$2:$2,0)),VLOOKUP($B:$B,BS!$A:$D,$2:$2,0),0)</f>
        <v>0</v>
      </c>
      <c r="F32" s="217">
        <f>IF(ISNUMBER(VLOOKUP($B:$B,BS!$A:$D,$2:$2,0)),VLOOKUP($B:$B,BS!$A:$D,$2:$2,0),0)</f>
        <v>0</v>
      </c>
      <c r="G32" s="217">
        <f>IF(ISNUMBER(VLOOKUP($B:$B,BS!$A:$D,$2:$2,0)),VLOOKUP($B:$B,BS!$A:$D,$2:$2,0),0)</f>
        <v>0</v>
      </c>
      <c r="H32" s="207">
        <f>IF(ISNUMBER(VLOOKUP($B:$B,'BS(과거)'!$A:$F,$2:$2,0)),VLOOKUP($B:$B,'BS(과거)'!$A:$F,$2:$2,0),0)</f>
        <v>0</v>
      </c>
      <c r="I32" s="207">
        <f>IF(ISNUMBER(VLOOKUP($B:$B,'BS(과거)'!$A:$F,$2:$2,0)),VLOOKUP($B:$B,'BS(과거)'!$A:$F,$2:$2,0),0)</f>
        <v>0</v>
      </c>
      <c r="J32" s="207">
        <f>IF(ISNUMBER(VLOOKUP($B:$B,'BS(과거)'!$A:$F,$2:$2,0)),VLOOKUP($B:$B,'BS(과거)'!$A:$F,$2:$2,0),0)</f>
        <v>0</v>
      </c>
      <c r="K32" s="207">
        <f>IF(ISNUMBER(VLOOKUP($B:$B,'BS(과거)'!$A:$F,$2:$2,0)),VLOOKUP($B:$B,'BS(과거)'!$A:$F,$2:$2,0),0)</f>
        <v>0</v>
      </c>
      <c r="L32" s="207">
        <f>IF(ISNUMBER(VLOOKUP($B:$B,'BS(과거)'!$A:$F,$2:$2,0)),VLOOKUP($B:$B,'BS(과거)'!$A:$F,$2:$2,0),0)</f>
        <v>0</v>
      </c>
      <c r="N32" s="207">
        <f>IF(ISNUMBER(VLOOKUP($B:$B,'BS(분기)'!$A:$F,$2:$2,0)),VLOOKUP($B:$B,'BS(분기)'!$A:$F,$2:$2,0),0)</f>
        <v>0</v>
      </c>
      <c r="O32" s="207">
        <f>IF(ISNUMBER(VLOOKUP($B:$B,'BS(분기)'!$A:$F,$2:$2,0)),VLOOKUP($B:$B,'BS(분기)'!$A:$F,$2:$2,0),0)</f>
        <v>0</v>
      </c>
      <c r="P32" s="207">
        <f>IF(ISNUMBER(VLOOKUP($B:$B,'BS(분기)'!$A:$F,$2:$2,0)),VLOOKUP($B:$B,'BS(분기)'!$A:$F,$2:$2,0),0)</f>
        <v>0</v>
      </c>
      <c r="Q32" s="207">
        <f>IF(ISNUMBER(VLOOKUP($B:$B,'BS(분기)'!$A:$F,$2:$2,0)),VLOOKUP($B:$B,'BS(분기)'!$A:$F,$2:$2,0),0)</f>
        <v>0</v>
      </c>
      <c r="R32" s="207">
        <f>IF(ISNUMBER(VLOOKUP($B:$B,'BS(분기)'!$A:$F,$2:$2,0)),VLOOKUP($B:$B,'BS(분기)'!$A:$F,$2:$2,0),0)</f>
        <v>0</v>
      </c>
    </row>
    <row r="33" spans="1:18" s="192" customFormat="1" ht="12">
      <c r="A33" s="203">
        <v>111161</v>
      </c>
      <c r="B33" s="196" t="s">
        <v>884</v>
      </c>
      <c r="C33" s="217">
        <f>IF(ISNUMBER(VLOOKUP($B:$B,BS!$A:$D,$2:$2,0)),VLOOKUP($B:$B,BS!$A:$D,$2:$2,0),0)</f>
        <v>0</v>
      </c>
      <c r="D33" s="217">
        <f>IF(ISNUMBER(VLOOKUP($B:$B,BS!$A:$D,$2:$2,0)),VLOOKUP($B:$B,BS!$A:$D,$2:$2,0),0)</f>
        <v>0</v>
      </c>
      <c r="E33" s="217">
        <f>IF(ISNUMBER(VLOOKUP($B:$B,BS!$A:$D,$2:$2,0)),VLOOKUP($B:$B,BS!$A:$D,$2:$2,0),0)</f>
        <v>0</v>
      </c>
      <c r="F33" s="217">
        <f>IF(ISNUMBER(VLOOKUP($B:$B,BS!$A:$D,$2:$2,0)),VLOOKUP($B:$B,BS!$A:$D,$2:$2,0),0)</f>
        <v>0</v>
      </c>
      <c r="G33" s="217">
        <f>IF(ISNUMBER(VLOOKUP($B:$B,BS!$A:$D,$2:$2,0)),VLOOKUP($B:$B,BS!$A:$D,$2:$2,0),0)</f>
        <v>0</v>
      </c>
      <c r="H33" s="207">
        <f>IF(ISNUMBER(VLOOKUP($B:$B,'BS(과거)'!$A:$F,$2:$2,0)),VLOOKUP($B:$B,'BS(과거)'!$A:$F,$2:$2,0),0)</f>
        <v>0</v>
      </c>
      <c r="I33" s="207">
        <f>IF(ISNUMBER(VLOOKUP($B:$B,'BS(과거)'!$A:$F,$2:$2,0)),VLOOKUP($B:$B,'BS(과거)'!$A:$F,$2:$2,0),0)</f>
        <v>0</v>
      </c>
      <c r="J33" s="207">
        <f>IF(ISNUMBER(VLOOKUP($B:$B,'BS(과거)'!$A:$F,$2:$2,0)),VLOOKUP($B:$B,'BS(과거)'!$A:$F,$2:$2,0),0)</f>
        <v>0</v>
      </c>
      <c r="K33" s="207">
        <f>IF(ISNUMBER(VLOOKUP($B:$B,'BS(과거)'!$A:$F,$2:$2,0)),VLOOKUP($B:$B,'BS(과거)'!$A:$F,$2:$2,0),0)</f>
        <v>0</v>
      </c>
      <c r="L33" s="207">
        <f>IF(ISNUMBER(VLOOKUP($B:$B,'BS(과거)'!$A:$F,$2:$2,0)),VLOOKUP($B:$B,'BS(과거)'!$A:$F,$2:$2,0),0)</f>
        <v>0</v>
      </c>
      <c r="N33" s="207">
        <f>IF(ISNUMBER(VLOOKUP($B:$B,'BS(분기)'!$A:$F,$2:$2,0)),VLOOKUP($B:$B,'BS(분기)'!$A:$F,$2:$2,0),0)</f>
        <v>0</v>
      </c>
      <c r="O33" s="207">
        <f>IF(ISNUMBER(VLOOKUP($B:$B,'BS(분기)'!$A:$F,$2:$2,0)),VLOOKUP($B:$B,'BS(분기)'!$A:$F,$2:$2,0),0)</f>
        <v>0</v>
      </c>
      <c r="P33" s="207">
        <f>IF(ISNUMBER(VLOOKUP($B:$B,'BS(분기)'!$A:$F,$2:$2,0)),VLOOKUP($B:$B,'BS(분기)'!$A:$F,$2:$2,0),0)</f>
        <v>0</v>
      </c>
      <c r="Q33" s="207">
        <f>IF(ISNUMBER(VLOOKUP($B:$B,'BS(분기)'!$A:$F,$2:$2,0)),VLOOKUP($B:$B,'BS(분기)'!$A:$F,$2:$2,0),0)</f>
        <v>0</v>
      </c>
      <c r="R33" s="207">
        <f>IF(ISNUMBER(VLOOKUP($B:$B,'BS(분기)'!$A:$F,$2:$2,0)),VLOOKUP($B:$B,'BS(분기)'!$A:$F,$2:$2,0),0)</f>
        <v>0</v>
      </c>
    </row>
    <row r="34" spans="1:18" s="192" customFormat="1" ht="12">
      <c r="A34" s="203">
        <v>111625</v>
      </c>
      <c r="B34" s="196" t="s">
        <v>885</v>
      </c>
      <c r="C34" s="217">
        <f>IF(ISNUMBER(VLOOKUP($B:$B,BS!$A:$D,$2:$2,0)),VLOOKUP($B:$B,BS!$A:$D,$2:$2,0),0)</f>
        <v>0</v>
      </c>
      <c r="D34" s="217">
        <f>IF(ISNUMBER(VLOOKUP($B:$B,BS!$A:$D,$2:$2,0)),VLOOKUP($B:$B,BS!$A:$D,$2:$2,0),0)</f>
        <v>0</v>
      </c>
      <c r="E34" s="217">
        <f>IF(ISNUMBER(VLOOKUP($B:$B,BS!$A:$D,$2:$2,0)),VLOOKUP($B:$B,BS!$A:$D,$2:$2,0),0)</f>
        <v>0</v>
      </c>
      <c r="F34" s="217">
        <f>IF(ISNUMBER(VLOOKUP($B:$B,BS!$A:$D,$2:$2,0)),VLOOKUP($B:$B,BS!$A:$D,$2:$2,0),0)</f>
        <v>0</v>
      </c>
      <c r="G34" s="217">
        <f>IF(ISNUMBER(VLOOKUP($B:$B,BS!$A:$D,$2:$2,0)),VLOOKUP($B:$B,BS!$A:$D,$2:$2,0),0)</f>
        <v>0</v>
      </c>
      <c r="H34" s="207">
        <f>IF(ISNUMBER(VLOOKUP($B:$B,'BS(과거)'!$A:$F,$2:$2,0)),VLOOKUP($B:$B,'BS(과거)'!$A:$F,$2:$2,0),0)</f>
        <v>0</v>
      </c>
      <c r="I34" s="207">
        <f>IF(ISNUMBER(VLOOKUP($B:$B,'BS(과거)'!$A:$F,$2:$2,0)),VLOOKUP($B:$B,'BS(과거)'!$A:$F,$2:$2,0),0)</f>
        <v>0</v>
      </c>
      <c r="J34" s="207">
        <f>IF(ISNUMBER(VLOOKUP($B:$B,'BS(과거)'!$A:$F,$2:$2,0)),VLOOKUP($B:$B,'BS(과거)'!$A:$F,$2:$2,0),0)</f>
        <v>0</v>
      </c>
      <c r="K34" s="207">
        <f>IF(ISNUMBER(VLOOKUP($B:$B,'BS(과거)'!$A:$F,$2:$2,0)),VLOOKUP($B:$B,'BS(과거)'!$A:$F,$2:$2,0),0)</f>
        <v>0</v>
      </c>
      <c r="L34" s="207">
        <f>IF(ISNUMBER(VLOOKUP($B:$B,'BS(과거)'!$A:$F,$2:$2,0)),VLOOKUP($B:$B,'BS(과거)'!$A:$F,$2:$2,0),0)</f>
        <v>0</v>
      </c>
      <c r="N34" s="207">
        <f>IF(ISNUMBER(VLOOKUP($B:$B,'BS(분기)'!$A:$F,$2:$2,0)),VLOOKUP($B:$B,'BS(분기)'!$A:$F,$2:$2,0),0)</f>
        <v>0</v>
      </c>
      <c r="O34" s="207">
        <f>IF(ISNUMBER(VLOOKUP($B:$B,'BS(분기)'!$A:$F,$2:$2,0)),VLOOKUP($B:$B,'BS(분기)'!$A:$F,$2:$2,0),0)</f>
        <v>0</v>
      </c>
      <c r="P34" s="207">
        <f>IF(ISNUMBER(VLOOKUP($B:$B,'BS(분기)'!$A:$F,$2:$2,0)),VLOOKUP($B:$B,'BS(분기)'!$A:$F,$2:$2,0),0)</f>
        <v>0</v>
      </c>
      <c r="Q34" s="207">
        <f>IF(ISNUMBER(VLOOKUP($B:$B,'BS(분기)'!$A:$F,$2:$2,0)),VLOOKUP($B:$B,'BS(분기)'!$A:$F,$2:$2,0),0)</f>
        <v>0</v>
      </c>
      <c r="R34" s="207">
        <f>IF(ISNUMBER(VLOOKUP($B:$B,'BS(분기)'!$A:$F,$2:$2,0)),VLOOKUP($B:$B,'BS(분기)'!$A:$F,$2:$2,0),0)</f>
        <v>0</v>
      </c>
    </row>
    <row r="35" spans="1:18" s="192" customFormat="1" ht="12">
      <c r="A35" s="203">
        <v>111162</v>
      </c>
      <c r="B35" s="196" t="s">
        <v>786</v>
      </c>
      <c r="C35" s="217">
        <f>IF(ISNUMBER(VLOOKUP($B:$B,BS!$A:$D,$2:$2,0)),VLOOKUP($B:$B,BS!$A:$D,$2:$2,0),0)</f>
        <v>0</v>
      </c>
      <c r="D35" s="217">
        <f>IF(ISNUMBER(VLOOKUP($B:$B,BS!$A:$D,$2:$2,0)),VLOOKUP($B:$B,BS!$A:$D,$2:$2,0),0)</f>
        <v>0</v>
      </c>
      <c r="E35" s="217">
        <f>IF(ISNUMBER(VLOOKUP($B:$B,BS!$A:$D,$2:$2,0)),VLOOKUP($B:$B,BS!$A:$D,$2:$2,0),0)</f>
        <v>0</v>
      </c>
      <c r="F35" s="217">
        <f>IF(ISNUMBER(VLOOKUP($B:$B,BS!$A:$D,$2:$2,0)),VLOOKUP($B:$B,BS!$A:$D,$2:$2,0),0)</f>
        <v>0</v>
      </c>
      <c r="G35" s="217">
        <f>IF(ISNUMBER(VLOOKUP($B:$B,BS!$A:$D,$2:$2,0)),VLOOKUP($B:$B,BS!$A:$D,$2:$2,0),0)</f>
        <v>0</v>
      </c>
      <c r="H35" s="207">
        <f>IF(ISNUMBER(VLOOKUP($B:$B,'BS(과거)'!$A:$F,$2:$2,0)),VLOOKUP($B:$B,'BS(과거)'!$A:$F,$2:$2,0),0)</f>
        <v>0</v>
      </c>
      <c r="I35" s="207">
        <f>IF(ISNUMBER(VLOOKUP($B:$B,'BS(과거)'!$A:$F,$2:$2,0)),VLOOKUP($B:$B,'BS(과거)'!$A:$F,$2:$2,0),0)</f>
        <v>0</v>
      </c>
      <c r="J35" s="207">
        <f>IF(ISNUMBER(VLOOKUP($B:$B,'BS(과거)'!$A:$F,$2:$2,0)),VLOOKUP($B:$B,'BS(과거)'!$A:$F,$2:$2,0),0)</f>
        <v>0</v>
      </c>
      <c r="K35" s="207">
        <f>IF(ISNUMBER(VLOOKUP($B:$B,'BS(과거)'!$A:$F,$2:$2,0)),VLOOKUP($B:$B,'BS(과거)'!$A:$F,$2:$2,0),0)</f>
        <v>0</v>
      </c>
      <c r="L35" s="207">
        <f>IF(ISNUMBER(VLOOKUP($B:$B,'BS(과거)'!$A:$F,$2:$2,0)),VLOOKUP($B:$B,'BS(과거)'!$A:$F,$2:$2,0),0)</f>
        <v>0</v>
      </c>
      <c r="N35" s="207">
        <f>IF(ISNUMBER(VLOOKUP($B:$B,'BS(분기)'!$A:$F,$2:$2,0)),VLOOKUP($B:$B,'BS(분기)'!$A:$F,$2:$2,0),0)</f>
        <v>0</v>
      </c>
      <c r="O35" s="207">
        <f>IF(ISNUMBER(VLOOKUP($B:$B,'BS(분기)'!$A:$F,$2:$2,0)),VLOOKUP($B:$B,'BS(분기)'!$A:$F,$2:$2,0),0)</f>
        <v>0</v>
      </c>
      <c r="P35" s="207">
        <f>IF(ISNUMBER(VLOOKUP($B:$B,'BS(분기)'!$A:$F,$2:$2,0)),VLOOKUP($B:$B,'BS(분기)'!$A:$F,$2:$2,0),0)</f>
        <v>0</v>
      </c>
      <c r="Q35" s="207">
        <f>IF(ISNUMBER(VLOOKUP($B:$B,'BS(분기)'!$A:$F,$2:$2,0)),VLOOKUP($B:$B,'BS(분기)'!$A:$F,$2:$2,0),0)</f>
        <v>0</v>
      </c>
      <c r="R35" s="207">
        <f>IF(ISNUMBER(VLOOKUP($B:$B,'BS(분기)'!$A:$F,$2:$2,0)),VLOOKUP($B:$B,'BS(분기)'!$A:$F,$2:$2,0),0)</f>
        <v>0</v>
      </c>
    </row>
    <row r="36" spans="1:18" s="192" customFormat="1" ht="12">
      <c r="A36" s="203">
        <v>111627</v>
      </c>
      <c r="B36" s="196" t="s">
        <v>886</v>
      </c>
      <c r="C36" s="217">
        <f>IF(ISNUMBER(VLOOKUP($B:$B,BS!$A:$D,$2:$2,0)),VLOOKUP($B:$B,BS!$A:$D,$2:$2,0),0)</f>
        <v>0</v>
      </c>
      <c r="D36" s="217">
        <f>IF(ISNUMBER(VLOOKUP($B:$B,BS!$A:$D,$2:$2,0)),VLOOKUP($B:$B,BS!$A:$D,$2:$2,0),0)</f>
        <v>0</v>
      </c>
      <c r="E36" s="217">
        <f>IF(ISNUMBER(VLOOKUP($B:$B,BS!$A:$D,$2:$2,0)),VLOOKUP($B:$B,BS!$A:$D,$2:$2,0),0)</f>
        <v>0</v>
      </c>
      <c r="F36" s="217">
        <f>IF(ISNUMBER(VLOOKUP($B:$B,BS!$A:$D,$2:$2,0)),VLOOKUP($B:$B,BS!$A:$D,$2:$2,0),0)</f>
        <v>0</v>
      </c>
      <c r="G36" s="217">
        <f>IF(ISNUMBER(VLOOKUP($B:$B,BS!$A:$D,$2:$2,0)),VLOOKUP($B:$B,BS!$A:$D,$2:$2,0),0)</f>
        <v>0</v>
      </c>
      <c r="H36" s="207">
        <f>IF(ISNUMBER(VLOOKUP($B:$B,'BS(과거)'!$A:$F,$2:$2,0)),VLOOKUP($B:$B,'BS(과거)'!$A:$F,$2:$2,0),0)</f>
        <v>0</v>
      </c>
      <c r="I36" s="207">
        <f>IF(ISNUMBER(VLOOKUP($B:$B,'BS(과거)'!$A:$F,$2:$2,0)),VLOOKUP($B:$B,'BS(과거)'!$A:$F,$2:$2,0),0)</f>
        <v>0</v>
      </c>
      <c r="J36" s="207">
        <f>IF(ISNUMBER(VLOOKUP($B:$B,'BS(과거)'!$A:$F,$2:$2,0)),VLOOKUP($B:$B,'BS(과거)'!$A:$F,$2:$2,0),0)</f>
        <v>0</v>
      </c>
      <c r="K36" s="207">
        <f>IF(ISNUMBER(VLOOKUP($B:$B,'BS(과거)'!$A:$F,$2:$2,0)),VLOOKUP($B:$B,'BS(과거)'!$A:$F,$2:$2,0),0)</f>
        <v>0</v>
      </c>
      <c r="L36" s="207">
        <f>IF(ISNUMBER(VLOOKUP($B:$B,'BS(과거)'!$A:$F,$2:$2,0)),VLOOKUP($B:$B,'BS(과거)'!$A:$F,$2:$2,0),0)</f>
        <v>0</v>
      </c>
      <c r="N36" s="207">
        <f>IF(ISNUMBER(VLOOKUP($B:$B,'BS(분기)'!$A:$F,$2:$2,0)),VLOOKUP($B:$B,'BS(분기)'!$A:$F,$2:$2,0),0)</f>
        <v>0</v>
      </c>
      <c r="O36" s="207">
        <f>IF(ISNUMBER(VLOOKUP($B:$B,'BS(분기)'!$A:$F,$2:$2,0)),VLOOKUP($B:$B,'BS(분기)'!$A:$F,$2:$2,0),0)</f>
        <v>0</v>
      </c>
      <c r="P36" s="207">
        <f>IF(ISNUMBER(VLOOKUP($B:$B,'BS(분기)'!$A:$F,$2:$2,0)),VLOOKUP($B:$B,'BS(분기)'!$A:$F,$2:$2,0),0)</f>
        <v>0</v>
      </c>
      <c r="Q36" s="207">
        <f>IF(ISNUMBER(VLOOKUP($B:$B,'BS(분기)'!$A:$F,$2:$2,0)),VLOOKUP($B:$B,'BS(분기)'!$A:$F,$2:$2,0),0)</f>
        <v>0</v>
      </c>
      <c r="R36" s="207">
        <f>IF(ISNUMBER(VLOOKUP($B:$B,'BS(분기)'!$A:$F,$2:$2,0)),VLOOKUP($B:$B,'BS(분기)'!$A:$F,$2:$2,0),0)</f>
        <v>0</v>
      </c>
    </row>
    <row r="37" spans="1:18" s="192" customFormat="1" ht="12">
      <c r="A37" s="203">
        <v>111167</v>
      </c>
      <c r="B37" s="196" t="s">
        <v>887</v>
      </c>
      <c r="C37" s="217">
        <f>IF(ISNUMBER(VLOOKUP($B:$B,BS!$A:$D,$2:$2,0)),VLOOKUP($B:$B,BS!$A:$D,$2:$2,0),0)</f>
        <v>0</v>
      </c>
      <c r="D37" s="217">
        <f>IF(ISNUMBER(VLOOKUP($B:$B,BS!$A:$D,$2:$2,0)),VLOOKUP($B:$B,BS!$A:$D,$2:$2,0),0)</f>
        <v>0</v>
      </c>
      <c r="E37" s="217">
        <f>IF(ISNUMBER(VLOOKUP($B:$B,BS!$A:$D,$2:$2,0)),VLOOKUP($B:$B,BS!$A:$D,$2:$2,0),0)</f>
        <v>0</v>
      </c>
      <c r="F37" s="217">
        <f>IF(ISNUMBER(VLOOKUP($B:$B,BS!$A:$D,$2:$2,0)),VLOOKUP($B:$B,BS!$A:$D,$2:$2,0),0)</f>
        <v>0</v>
      </c>
      <c r="G37" s="217">
        <f>IF(ISNUMBER(VLOOKUP($B:$B,BS!$A:$D,$2:$2,0)),VLOOKUP($B:$B,BS!$A:$D,$2:$2,0),0)</f>
        <v>0</v>
      </c>
      <c r="H37" s="207">
        <f>IF(ISNUMBER(VLOOKUP($B:$B,'BS(과거)'!$A:$F,$2:$2,0)),VLOOKUP($B:$B,'BS(과거)'!$A:$F,$2:$2,0),0)</f>
        <v>0</v>
      </c>
      <c r="I37" s="207">
        <f>IF(ISNUMBER(VLOOKUP($B:$B,'BS(과거)'!$A:$F,$2:$2,0)),VLOOKUP($B:$B,'BS(과거)'!$A:$F,$2:$2,0),0)</f>
        <v>0</v>
      </c>
      <c r="J37" s="207">
        <f>IF(ISNUMBER(VLOOKUP($B:$B,'BS(과거)'!$A:$F,$2:$2,0)),VLOOKUP($B:$B,'BS(과거)'!$A:$F,$2:$2,0),0)</f>
        <v>0</v>
      </c>
      <c r="K37" s="207">
        <f>IF(ISNUMBER(VLOOKUP($B:$B,'BS(과거)'!$A:$F,$2:$2,0)),VLOOKUP($B:$B,'BS(과거)'!$A:$F,$2:$2,0),0)</f>
        <v>0</v>
      </c>
      <c r="L37" s="207">
        <f>IF(ISNUMBER(VLOOKUP($B:$B,'BS(과거)'!$A:$F,$2:$2,0)),VLOOKUP($B:$B,'BS(과거)'!$A:$F,$2:$2,0),0)</f>
        <v>0</v>
      </c>
      <c r="N37" s="207">
        <f>IF(ISNUMBER(VLOOKUP($B:$B,'BS(분기)'!$A:$F,$2:$2,0)),VLOOKUP($B:$B,'BS(분기)'!$A:$F,$2:$2,0),0)</f>
        <v>0</v>
      </c>
      <c r="O37" s="207">
        <f>IF(ISNUMBER(VLOOKUP($B:$B,'BS(분기)'!$A:$F,$2:$2,0)),VLOOKUP($B:$B,'BS(분기)'!$A:$F,$2:$2,0),0)</f>
        <v>0</v>
      </c>
      <c r="P37" s="207">
        <f>IF(ISNUMBER(VLOOKUP($B:$B,'BS(분기)'!$A:$F,$2:$2,0)),VLOOKUP($B:$B,'BS(분기)'!$A:$F,$2:$2,0),0)</f>
        <v>0</v>
      </c>
      <c r="Q37" s="207">
        <f>IF(ISNUMBER(VLOOKUP($B:$B,'BS(분기)'!$A:$F,$2:$2,0)),VLOOKUP($B:$B,'BS(분기)'!$A:$F,$2:$2,0),0)</f>
        <v>0</v>
      </c>
      <c r="R37" s="207">
        <f>IF(ISNUMBER(VLOOKUP($B:$B,'BS(분기)'!$A:$F,$2:$2,0)),VLOOKUP($B:$B,'BS(분기)'!$A:$F,$2:$2,0),0)</f>
        <v>0</v>
      </c>
    </row>
    <row r="38" spans="1:18" s="192" customFormat="1" ht="12">
      <c r="A38" s="203">
        <v>111163</v>
      </c>
      <c r="B38" s="196" t="s">
        <v>888</v>
      </c>
      <c r="C38" s="217">
        <f>IF(ISNUMBER(VLOOKUP($B:$B,BS!$A:$D,$2:$2,0)),VLOOKUP($B:$B,BS!$A:$D,$2:$2,0),0)</f>
        <v>0</v>
      </c>
      <c r="D38" s="217">
        <f>IF(ISNUMBER(VLOOKUP($B:$B,BS!$A:$D,$2:$2,0)),VLOOKUP($B:$B,BS!$A:$D,$2:$2,0),0)</f>
        <v>0</v>
      </c>
      <c r="E38" s="217">
        <f>IF(ISNUMBER(VLOOKUP($B:$B,BS!$A:$D,$2:$2,0)),VLOOKUP($B:$B,BS!$A:$D,$2:$2,0),0)</f>
        <v>0</v>
      </c>
      <c r="F38" s="217">
        <f>IF(ISNUMBER(VLOOKUP($B:$B,BS!$A:$D,$2:$2,0)),VLOOKUP($B:$B,BS!$A:$D,$2:$2,0),0)</f>
        <v>0</v>
      </c>
      <c r="G38" s="217">
        <f>IF(ISNUMBER(VLOOKUP($B:$B,BS!$A:$D,$2:$2,0)),VLOOKUP($B:$B,BS!$A:$D,$2:$2,0),0)</f>
        <v>0</v>
      </c>
      <c r="H38" s="207">
        <f>IF(ISNUMBER(VLOOKUP($B:$B,'BS(과거)'!$A:$F,$2:$2,0)),VLOOKUP($B:$B,'BS(과거)'!$A:$F,$2:$2,0),0)</f>
        <v>0</v>
      </c>
      <c r="I38" s="207">
        <f>IF(ISNUMBER(VLOOKUP($B:$B,'BS(과거)'!$A:$F,$2:$2,0)),VLOOKUP($B:$B,'BS(과거)'!$A:$F,$2:$2,0),0)</f>
        <v>0</v>
      </c>
      <c r="J38" s="207">
        <f>IF(ISNUMBER(VLOOKUP($B:$B,'BS(과거)'!$A:$F,$2:$2,0)),VLOOKUP($B:$B,'BS(과거)'!$A:$F,$2:$2,0),0)</f>
        <v>0</v>
      </c>
      <c r="K38" s="207">
        <f>IF(ISNUMBER(VLOOKUP($B:$B,'BS(과거)'!$A:$F,$2:$2,0)),VLOOKUP($B:$B,'BS(과거)'!$A:$F,$2:$2,0),0)</f>
        <v>0</v>
      </c>
      <c r="L38" s="207">
        <f>IF(ISNUMBER(VLOOKUP($B:$B,'BS(과거)'!$A:$F,$2:$2,0)),VLOOKUP($B:$B,'BS(과거)'!$A:$F,$2:$2,0),0)</f>
        <v>0</v>
      </c>
      <c r="N38" s="207">
        <f>IF(ISNUMBER(VLOOKUP($B:$B,'BS(분기)'!$A:$F,$2:$2,0)),VLOOKUP($B:$B,'BS(분기)'!$A:$F,$2:$2,0),0)</f>
        <v>0</v>
      </c>
      <c r="O38" s="207">
        <f>IF(ISNUMBER(VLOOKUP($B:$B,'BS(분기)'!$A:$F,$2:$2,0)),VLOOKUP($B:$B,'BS(분기)'!$A:$F,$2:$2,0),0)</f>
        <v>0</v>
      </c>
      <c r="P38" s="207">
        <f>IF(ISNUMBER(VLOOKUP($B:$B,'BS(분기)'!$A:$F,$2:$2,0)),VLOOKUP($B:$B,'BS(분기)'!$A:$F,$2:$2,0),0)</f>
        <v>0</v>
      </c>
      <c r="Q38" s="207">
        <f>IF(ISNUMBER(VLOOKUP($B:$B,'BS(분기)'!$A:$F,$2:$2,0)),VLOOKUP($B:$B,'BS(분기)'!$A:$F,$2:$2,0),0)</f>
        <v>0</v>
      </c>
      <c r="R38" s="207">
        <f>IF(ISNUMBER(VLOOKUP($B:$B,'BS(분기)'!$A:$F,$2:$2,0)),VLOOKUP($B:$B,'BS(분기)'!$A:$F,$2:$2,0),0)</f>
        <v>0</v>
      </c>
    </row>
    <row r="39" spans="1:18" s="192" customFormat="1" ht="12">
      <c r="A39" s="203">
        <v>111629</v>
      </c>
      <c r="B39" s="196" t="s">
        <v>889</v>
      </c>
      <c r="C39" s="217">
        <f>IF(ISNUMBER(VLOOKUP($B:$B,BS!$A:$D,$2:$2,0)),VLOOKUP($B:$B,BS!$A:$D,$2:$2,0),0)</f>
        <v>0</v>
      </c>
      <c r="D39" s="217">
        <f>IF(ISNUMBER(VLOOKUP($B:$B,BS!$A:$D,$2:$2,0)),VLOOKUP($B:$B,BS!$A:$D,$2:$2,0),0)</f>
        <v>0</v>
      </c>
      <c r="E39" s="217">
        <f>IF(ISNUMBER(VLOOKUP($B:$B,BS!$A:$D,$2:$2,0)),VLOOKUP($B:$B,BS!$A:$D,$2:$2,0),0)</f>
        <v>0</v>
      </c>
      <c r="F39" s="217">
        <f>IF(ISNUMBER(VLOOKUP($B:$B,BS!$A:$D,$2:$2,0)),VLOOKUP($B:$B,BS!$A:$D,$2:$2,0),0)</f>
        <v>0</v>
      </c>
      <c r="G39" s="217">
        <f>IF(ISNUMBER(VLOOKUP($B:$B,BS!$A:$D,$2:$2,0)),VLOOKUP($B:$B,BS!$A:$D,$2:$2,0),0)</f>
        <v>0</v>
      </c>
      <c r="H39" s="207">
        <f>IF(ISNUMBER(VLOOKUP($B:$B,'BS(과거)'!$A:$F,$2:$2,0)),VLOOKUP($B:$B,'BS(과거)'!$A:$F,$2:$2,0),0)</f>
        <v>0</v>
      </c>
      <c r="I39" s="207">
        <f>IF(ISNUMBER(VLOOKUP($B:$B,'BS(과거)'!$A:$F,$2:$2,0)),VLOOKUP($B:$B,'BS(과거)'!$A:$F,$2:$2,0),0)</f>
        <v>0</v>
      </c>
      <c r="J39" s="207">
        <f>IF(ISNUMBER(VLOOKUP($B:$B,'BS(과거)'!$A:$F,$2:$2,0)),VLOOKUP($B:$B,'BS(과거)'!$A:$F,$2:$2,0),0)</f>
        <v>0</v>
      </c>
      <c r="K39" s="207">
        <f>IF(ISNUMBER(VLOOKUP($B:$B,'BS(과거)'!$A:$F,$2:$2,0)),VLOOKUP($B:$B,'BS(과거)'!$A:$F,$2:$2,0),0)</f>
        <v>0</v>
      </c>
      <c r="L39" s="207">
        <f>IF(ISNUMBER(VLOOKUP($B:$B,'BS(과거)'!$A:$F,$2:$2,0)),VLOOKUP($B:$B,'BS(과거)'!$A:$F,$2:$2,0),0)</f>
        <v>0</v>
      </c>
      <c r="N39" s="207">
        <f>IF(ISNUMBER(VLOOKUP($B:$B,'BS(분기)'!$A:$F,$2:$2,0)),VLOOKUP($B:$B,'BS(분기)'!$A:$F,$2:$2,0),0)</f>
        <v>0</v>
      </c>
      <c r="O39" s="207">
        <f>IF(ISNUMBER(VLOOKUP($B:$B,'BS(분기)'!$A:$F,$2:$2,0)),VLOOKUP($B:$B,'BS(분기)'!$A:$F,$2:$2,0),0)</f>
        <v>0</v>
      </c>
      <c r="P39" s="207">
        <f>IF(ISNUMBER(VLOOKUP($B:$B,'BS(분기)'!$A:$F,$2:$2,0)),VLOOKUP($B:$B,'BS(분기)'!$A:$F,$2:$2,0),0)</f>
        <v>0</v>
      </c>
      <c r="Q39" s="207">
        <f>IF(ISNUMBER(VLOOKUP($B:$B,'BS(분기)'!$A:$F,$2:$2,0)),VLOOKUP($B:$B,'BS(분기)'!$A:$F,$2:$2,0),0)</f>
        <v>0</v>
      </c>
      <c r="R39" s="207">
        <f>IF(ISNUMBER(VLOOKUP($B:$B,'BS(분기)'!$A:$F,$2:$2,0)),VLOOKUP($B:$B,'BS(분기)'!$A:$F,$2:$2,0),0)</f>
        <v>0</v>
      </c>
    </row>
    <row r="40" spans="1:18" s="192" customFormat="1" ht="12">
      <c r="A40" s="203">
        <v>111168</v>
      </c>
      <c r="B40" s="196" t="s">
        <v>890</v>
      </c>
      <c r="C40" s="217">
        <f>IF(ISNUMBER(VLOOKUP($B:$B,BS!$A:$D,$2:$2,0)),VLOOKUP($B:$B,BS!$A:$D,$2:$2,0),0)</f>
        <v>0</v>
      </c>
      <c r="D40" s="217">
        <f>IF(ISNUMBER(VLOOKUP($B:$B,BS!$A:$D,$2:$2,0)),VLOOKUP($B:$B,BS!$A:$D,$2:$2,0),0)</f>
        <v>0</v>
      </c>
      <c r="E40" s="217">
        <f>IF(ISNUMBER(VLOOKUP($B:$B,BS!$A:$D,$2:$2,0)),VLOOKUP($B:$B,BS!$A:$D,$2:$2,0),0)</f>
        <v>0</v>
      </c>
      <c r="F40" s="217">
        <f>IF(ISNUMBER(VLOOKUP($B:$B,BS!$A:$D,$2:$2,0)),VLOOKUP($B:$B,BS!$A:$D,$2:$2,0),0)</f>
        <v>0</v>
      </c>
      <c r="G40" s="217">
        <f>IF(ISNUMBER(VLOOKUP($B:$B,BS!$A:$D,$2:$2,0)),VLOOKUP($B:$B,BS!$A:$D,$2:$2,0),0)</f>
        <v>0</v>
      </c>
      <c r="H40" s="207">
        <f>IF(ISNUMBER(VLOOKUP($B:$B,'BS(과거)'!$A:$F,$2:$2,0)),VLOOKUP($B:$B,'BS(과거)'!$A:$F,$2:$2,0),0)</f>
        <v>0</v>
      </c>
      <c r="I40" s="207">
        <f>IF(ISNUMBER(VLOOKUP($B:$B,'BS(과거)'!$A:$F,$2:$2,0)),VLOOKUP($B:$B,'BS(과거)'!$A:$F,$2:$2,0),0)</f>
        <v>0</v>
      </c>
      <c r="J40" s="207">
        <f>IF(ISNUMBER(VLOOKUP($B:$B,'BS(과거)'!$A:$F,$2:$2,0)),VLOOKUP($B:$B,'BS(과거)'!$A:$F,$2:$2,0),0)</f>
        <v>0</v>
      </c>
      <c r="K40" s="207">
        <f>IF(ISNUMBER(VLOOKUP($B:$B,'BS(과거)'!$A:$F,$2:$2,0)),VLOOKUP($B:$B,'BS(과거)'!$A:$F,$2:$2,0),0)</f>
        <v>0</v>
      </c>
      <c r="L40" s="207">
        <f>IF(ISNUMBER(VLOOKUP($B:$B,'BS(과거)'!$A:$F,$2:$2,0)),VLOOKUP($B:$B,'BS(과거)'!$A:$F,$2:$2,0),0)</f>
        <v>0</v>
      </c>
      <c r="N40" s="207">
        <f>IF(ISNUMBER(VLOOKUP($B:$B,'BS(분기)'!$A:$F,$2:$2,0)),VLOOKUP($B:$B,'BS(분기)'!$A:$F,$2:$2,0),0)</f>
        <v>0</v>
      </c>
      <c r="O40" s="207">
        <f>IF(ISNUMBER(VLOOKUP($B:$B,'BS(분기)'!$A:$F,$2:$2,0)),VLOOKUP($B:$B,'BS(분기)'!$A:$F,$2:$2,0),0)</f>
        <v>0</v>
      </c>
      <c r="P40" s="207">
        <f>IF(ISNUMBER(VLOOKUP($B:$B,'BS(분기)'!$A:$F,$2:$2,0)),VLOOKUP($B:$B,'BS(분기)'!$A:$F,$2:$2,0),0)</f>
        <v>0</v>
      </c>
      <c r="Q40" s="207">
        <f>IF(ISNUMBER(VLOOKUP($B:$B,'BS(분기)'!$A:$F,$2:$2,0)),VLOOKUP($B:$B,'BS(분기)'!$A:$F,$2:$2,0),0)</f>
        <v>0</v>
      </c>
      <c r="R40" s="207">
        <f>IF(ISNUMBER(VLOOKUP($B:$B,'BS(분기)'!$A:$F,$2:$2,0)),VLOOKUP($B:$B,'BS(분기)'!$A:$F,$2:$2,0),0)</f>
        <v>0</v>
      </c>
    </row>
    <row r="41" spans="1:18" s="192" customFormat="1" ht="12">
      <c r="A41" s="203">
        <v>111164</v>
      </c>
      <c r="B41" s="196" t="s">
        <v>891</v>
      </c>
      <c r="C41" s="217">
        <f>IF(ISNUMBER(VLOOKUP($B:$B,BS!$A:$D,$2:$2,0)),VLOOKUP($B:$B,BS!$A:$D,$2:$2,0),0)</f>
        <v>0</v>
      </c>
      <c r="D41" s="217">
        <f>IF(ISNUMBER(VLOOKUP($B:$B,BS!$A:$D,$2:$2,0)),VLOOKUP($B:$B,BS!$A:$D,$2:$2,0),0)</f>
        <v>0</v>
      </c>
      <c r="E41" s="217">
        <f>IF(ISNUMBER(VLOOKUP($B:$B,BS!$A:$D,$2:$2,0)),VLOOKUP($B:$B,BS!$A:$D,$2:$2,0),0)</f>
        <v>0</v>
      </c>
      <c r="F41" s="217">
        <f>IF(ISNUMBER(VLOOKUP($B:$B,BS!$A:$D,$2:$2,0)),VLOOKUP($B:$B,BS!$A:$D,$2:$2,0),0)</f>
        <v>0</v>
      </c>
      <c r="G41" s="217">
        <f>IF(ISNUMBER(VLOOKUP($B:$B,BS!$A:$D,$2:$2,0)),VLOOKUP($B:$B,BS!$A:$D,$2:$2,0),0)</f>
        <v>0</v>
      </c>
      <c r="H41" s="207">
        <f>IF(ISNUMBER(VLOOKUP($B:$B,'BS(과거)'!$A:$F,$2:$2,0)),VLOOKUP($B:$B,'BS(과거)'!$A:$F,$2:$2,0),0)</f>
        <v>0</v>
      </c>
      <c r="I41" s="207">
        <f>IF(ISNUMBER(VLOOKUP($B:$B,'BS(과거)'!$A:$F,$2:$2,0)),VLOOKUP($B:$B,'BS(과거)'!$A:$F,$2:$2,0),0)</f>
        <v>0</v>
      </c>
      <c r="J41" s="207">
        <f>IF(ISNUMBER(VLOOKUP($B:$B,'BS(과거)'!$A:$F,$2:$2,0)),VLOOKUP($B:$B,'BS(과거)'!$A:$F,$2:$2,0),0)</f>
        <v>0</v>
      </c>
      <c r="K41" s="207">
        <f>IF(ISNUMBER(VLOOKUP($B:$B,'BS(과거)'!$A:$F,$2:$2,0)),VLOOKUP($B:$B,'BS(과거)'!$A:$F,$2:$2,0),0)</f>
        <v>0</v>
      </c>
      <c r="L41" s="207">
        <f>IF(ISNUMBER(VLOOKUP($B:$B,'BS(과거)'!$A:$F,$2:$2,0)),VLOOKUP($B:$B,'BS(과거)'!$A:$F,$2:$2,0),0)</f>
        <v>0</v>
      </c>
      <c r="N41" s="207">
        <f>IF(ISNUMBER(VLOOKUP($B:$B,'BS(분기)'!$A:$F,$2:$2,0)),VLOOKUP($B:$B,'BS(분기)'!$A:$F,$2:$2,0),0)</f>
        <v>0</v>
      </c>
      <c r="O41" s="207">
        <f>IF(ISNUMBER(VLOOKUP($B:$B,'BS(분기)'!$A:$F,$2:$2,0)),VLOOKUP($B:$B,'BS(분기)'!$A:$F,$2:$2,0),0)</f>
        <v>0</v>
      </c>
      <c r="P41" s="207">
        <f>IF(ISNUMBER(VLOOKUP($B:$B,'BS(분기)'!$A:$F,$2:$2,0)),VLOOKUP($B:$B,'BS(분기)'!$A:$F,$2:$2,0),0)</f>
        <v>0</v>
      </c>
      <c r="Q41" s="207">
        <f>IF(ISNUMBER(VLOOKUP($B:$B,'BS(분기)'!$A:$F,$2:$2,0)),VLOOKUP($B:$B,'BS(분기)'!$A:$F,$2:$2,0),0)</f>
        <v>0</v>
      </c>
      <c r="R41" s="207">
        <f>IF(ISNUMBER(VLOOKUP($B:$B,'BS(분기)'!$A:$F,$2:$2,0)),VLOOKUP($B:$B,'BS(분기)'!$A:$F,$2:$2,0),0)</f>
        <v>0</v>
      </c>
    </row>
    <row r="42" spans="1:18" s="192" customFormat="1" ht="12">
      <c r="A42" s="203">
        <v>111631</v>
      </c>
      <c r="B42" s="196" t="s">
        <v>892</v>
      </c>
      <c r="C42" s="217">
        <f>IF(ISNUMBER(VLOOKUP($B:$B,BS!$A:$D,$2:$2,0)),VLOOKUP($B:$B,BS!$A:$D,$2:$2,0),0)</f>
        <v>0</v>
      </c>
      <c r="D42" s="217">
        <f>IF(ISNUMBER(VLOOKUP($B:$B,BS!$A:$D,$2:$2,0)),VLOOKUP($B:$B,BS!$A:$D,$2:$2,0),0)</f>
        <v>0</v>
      </c>
      <c r="E42" s="217">
        <f>IF(ISNUMBER(VLOOKUP($B:$B,BS!$A:$D,$2:$2,0)),VLOOKUP($B:$B,BS!$A:$D,$2:$2,0),0)</f>
        <v>0</v>
      </c>
      <c r="F42" s="217">
        <f>IF(ISNUMBER(VLOOKUP($B:$B,BS!$A:$D,$2:$2,0)),VLOOKUP($B:$B,BS!$A:$D,$2:$2,0),0)</f>
        <v>0</v>
      </c>
      <c r="G42" s="217">
        <f>IF(ISNUMBER(VLOOKUP($B:$B,BS!$A:$D,$2:$2,0)),VLOOKUP($B:$B,BS!$A:$D,$2:$2,0),0)</f>
        <v>0</v>
      </c>
      <c r="H42" s="207">
        <f>IF(ISNUMBER(VLOOKUP($B:$B,'BS(과거)'!$A:$F,$2:$2,0)),VLOOKUP($B:$B,'BS(과거)'!$A:$F,$2:$2,0),0)</f>
        <v>0</v>
      </c>
      <c r="I42" s="207">
        <f>IF(ISNUMBER(VLOOKUP($B:$B,'BS(과거)'!$A:$F,$2:$2,0)),VLOOKUP($B:$B,'BS(과거)'!$A:$F,$2:$2,0),0)</f>
        <v>0</v>
      </c>
      <c r="J42" s="207">
        <f>IF(ISNUMBER(VLOOKUP($B:$B,'BS(과거)'!$A:$F,$2:$2,0)),VLOOKUP($B:$B,'BS(과거)'!$A:$F,$2:$2,0),0)</f>
        <v>0</v>
      </c>
      <c r="K42" s="207">
        <f>IF(ISNUMBER(VLOOKUP($B:$B,'BS(과거)'!$A:$F,$2:$2,0)),VLOOKUP($B:$B,'BS(과거)'!$A:$F,$2:$2,0),0)</f>
        <v>0</v>
      </c>
      <c r="L42" s="207">
        <f>IF(ISNUMBER(VLOOKUP($B:$B,'BS(과거)'!$A:$F,$2:$2,0)),VLOOKUP($B:$B,'BS(과거)'!$A:$F,$2:$2,0),0)</f>
        <v>0</v>
      </c>
      <c r="N42" s="207">
        <f>IF(ISNUMBER(VLOOKUP($B:$B,'BS(분기)'!$A:$F,$2:$2,0)),VLOOKUP($B:$B,'BS(분기)'!$A:$F,$2:$2,0),0)</f>
        <v>0</v>
      </c>
      <c r="O42" s="207">
        <f>IF(ISNUMBER(VLOOKUP($B:$B,'BS(분기)'!$A:$F,$2:$2,0)),VLOOKUP($B:$B,'BS(분기)'!$A:$F,$2:$2,0),0)</f>
        <v>0</v>
      </c>
      <c r="P42" s="207">
        <f>IF(ISNUMBER(VLOOKUP($B:$B,'BS(분기)'!$A:$F,$2:$2,0)),VLOOKUP($B:$B,'BS(분기)'!$A:$F,$2:$2,0),0)</f>
        <v>0</v>
      </c>
      <c r="Q42" s="207">
        <f>IF(ISNUMBER(VLOOKUP($B:$B,'BS(분기)'!$A:$F,$2:$2,0)),VLOOKUP($B:$B,'BS(분기)'!$A:$F,$2:$2,0),0)</f>
        <v>0</v>
      </c>
      <c r="R42" s="207">
        <f>IF(ISNUMBER(VLOOKUP($B:$B,'BS(분기)'!$A:$F,$2:$2,0)),VLOOKUP($B:$B,'BS(분기)'!$A:$F,$2:$2,0),0)</f>
        <v>0</v>
      </c>
    </row>
    <row r="43" spans="1:18" s="192" customFormat="1" ht="12">
      <c r="A43" s="203">
        <v>111175</v>
      </c>
      <c r="B43" s="196" t="s">
        <v>893</v>
      </c>
      <c r="C43" s="217">
        <f>IF(ISNUMBER(VLOOKUP($B:$B,BS!$A:$D,$2:$2,0)),VLOOKUP($B:$B,BS!$A:$D,$2:$2,0),0)</f>
        <v>0</v>
      </c>
      <c r="D43" s="217">
        <f>IF(ISNUMBER(VLOOKUP($B:$B,BS!$A:$D,$2:$2,0)),VLOOKUP($B:$B,BS!$A:$D,$2:$2,0),0)</f>
        <v>0</v>
      </c>
      <c r="E43" s="217">
        <f>IF(ISNUMBER(VLOOKUP($B:$B,BS!$A:$D,$2:$2,0)),VLOOKUP($B:$B,BS!$A:$D,$2:$2,0),0)</f>
        <v>0</v>
      </c>
      <c r="F43" s="217">
        <f>IF(ISNUMBER(VLOOKUP($B:$B,BS!$A:$D,$2:$2,0)),VLOOKUP($B:$B,BS!$A:$D,$2:$2,0),0)</f>
        <v>0</v>
      </c>
      <c r="G43" s="217">
        <f>IF(ISNUMBER(VLOOKUP($B:$B,BS!$A:$D,$2:$2,0)),VLOOKUP($B:$B,BS!$A:$D,$2:$2,0),0)</f>
        <v>0</v>
      </c>
      <c r="H43" s="207">
        <f>IF(ISNUMBER(VLOOKUP($B:$B,'BS(과거)'!$A:$F,$2:$2,0)),VLOOKUP($B:$B,'BS(과거)'!$A:$F,$2:$2,0),0)</f>
        <v>0</v>
      </c>
      <c r="I43" s="207">
        <f>IF(ISNUMBER(VLOOKUP($B:$B,'BS(과거)'!$A:$F,$2:$2,0)),VLOOKUP($B:$B,'BS(과거)'!$A:$F,$2:$2,0),0)</f>
        <v>0</v>
      </c>
      <c r="J43" s="207">
        <f>IF(ISNUMBER(VLOOKUP($B:$B,'BS(과거)'!$A:$F,$2:$2,0)),VLOOKUP($B:$B,'BS(과거)'!$A:$F,$2:$2,0),0)</f>
        <v>0</v>
      </c>
      <c r="K43" s="207">
        <f>IF(ISNUMBER(VLOOKUP($B:$B,'BS(과거)'!$A:$F,$2:$2,0)),VLOOKUP($B:$B,'BS(과거)'!$A:$F,$2:$2,0),0)</f>
        <v>0</v>
      </c>
      <c r="L43" s="207">
        <f>IF(ISNUMBER(VLOOKUP($B:$B,'BS(과거)'!$A:$F,$2:$2,0)),VLOOKUP($B:$B,'BS(과거)'!$A:$F,$2:$2,0),0)</f>
        <v>0</v>
      </c>
      <c r="N43" s="207">
        <f>IF(ISNUMBER(VLOOKUP($B:$B,'BS(분기)'!$A:$F,$2:$2,0)),VLOOKUP($B:$B,'BS(분기)'!$A:$F,$2:$2,0),0)</f>
        <v>0</v>
      </c>
      <c r="O43" s="207">
        <f>IF(ISNUMBER(VLOOKUP($B:$B,'BS(분기)'!$A:$F,$2:$2,0)),VLOOKUP($B:$B,'BS(분기)'!$A:$F,$2:$2,0),0)</f>
        <v>0</v>
      </c>
      <c r="P43" s="207">
        <f>IF(ISNUMBER(VLOOKUP($B:$B,'BS(분기)'!$A:$F,$2:$2,0)),VLOOKUP($B:$B,'BS(분기)'!$A:$F,$2:$2,0),0)</f>
        <v>0</v>
      </c>
      <c r="Q43" s="207">
        <f>IF(ISNUMBER(VLOOKUP($B:$B,'BS(분기)'!$A:$F,$2:$2,0)),VLOOKUP($B:$B,'BS(분기)'!$A:$F,$2:$2,0),0)</f>
        <v>0</v>
      </c>
      <c r="R43" s="207">
        <f>IF(ISNUMBER(VLOOKUP($B:$B,'BS(분기)'!$A:$F,$2:$2,0)),VLOOKUP($B:$B,'BS(분기)'!$A:$F,$2:$2,0),0)</f>
        <v>0</v>
      </c>
    </row>
    <row r="44" spans="1:18" s="192" customFormat="1" ht="12">
      <c r="A44" s="202">
        <v>111145</v>
      </c>
      <c r="B44" s="195" t="s">
        <v>894</v>
      </c>
      <c r="C44" s="217">
        <f>IF(ISNUMBER(VLOOKUP($B:$B,BS!$A:$D,$2:$2,0)),VLOOKUP($B:$B,BS!$A:$D,$2:$2,0),0)</f>
        <v>0</v>
      </c>
      <c r="D44" s="217">
        <f>IF(ISNUMBER(VLOOKUP($B:$B,BS!$A:$D,$2:$2,0)),VLOOKUP($B:$B,BS!$A:$D,$2:$2,0),0)</f>
        <v>0</v>
      </c>
      <c r="E44" s="217">
        <f>IF(ISNUMBER(VLOOKUP($B:$B,BS!$A:$D,$2:$2,0)),VLOOKUP($B:$B,BS!$A:$D,$2:$2,0),0)</f>
        <v>0</v>
      </c>
      <c r="F44" s="217">
        <f>IF(ISNUMBER(VLOOKUP($B:$B,BS!$A:$D,$2:$2,0)),VLOOKUP($B:$B,BS!$A:$D,$2:$2,0),0)</f>
        <v>0</v>
      </c>
      <c r="G44" s="217">
        <f>IF(ISNUMBER(VLOOKUP($B:$B,BS!$A:$D,$2:$2,0)),VLOOKUP($B:$B,BS!$A:$D,$2:$2,0),0)</f>
        <v>0</v>
      </c>
      <c r="H44" s="207">
        <f>IF(ISNUMBER(VLOOKUP($B:$B,'BS(과거)'!$A:$F,$2:$2,0)),VLOOKUP($B:$B,'BS(과거)'!$A:$F,$2:$2,0),0)</f>
        <v>0</v>
      </c>
      <c r="I44" s="207">
        <f>IF(ISNUMBER(VLOOKUP($B:$B,'BS(과거)'!$A:$F,$2:$2,0)),VLOOKUP($B:$B,'BS(과거)'!$A:$F,$2:$2,0),0)</f>
        <v>0</v>
      </c>
      <c r="J44" s="207">
        <f>IF(ISNUMBER(VLOOKUP($B:$B,'BS(과거)'!$A:$F,$2:$2,0)),VLOOKUP($B:$B,'BS(과거)'!$A:$F,$2:$2,0),0)</f>
        <v>0</v>
      </c>
      <c r="K44" s="207">
        <f>IF(ISNUMBER(VLOOKUP($B:$B,'BS(과거)'!$A:$F,$2:$2,0)),VLOOKUP($B:$B,'BS(과거)'!$A:$F,$2:$2,0),0)</f>
        <v>0</v>
      </c>
      <c r="L44" s="207">
        <f>IF(ISNUMBER(VLOOKUP($B:$B,'BS(과거)'!$A:$F,$2:$2,0)),VLOOKUP($B:$B,'BS(과거)'!$A:$F,$2:$2,0),0)</f>
        <v>0</v>
      </c>
      <c r="N44" s="207">
        <f>IF(ISNUMBER(VLOOKUP($B:$B,'BS(분기)'!$A:$F,$2:$2,0)),VLOOKUP($B:$B,'BS(분기)'!$A:$F,$2:$2,0),0)</f>
        <v>0</v>
      </c>
      <c r="O44" s="207">
        <f>IF(ISNUMBER(VLOOKUP($B:$B,'BS(분기)'!$A:$F,$2:$2,0)),VLOOKUP($B:$B,'BS(분기)'!$A:$F,$2:$2,0),0)</f>
        <v>0</v>
      </c>
      <c r="P44" s="207">
        <f>IF(ISNUMBER(VLOOKUP($B:$B,'BS(분기)'!$A:$F,$2:$2,0)),VLOOKUP($B:$B,'BS(분기)'!$A:$F,$2:$2,0),0)</f>
        <v>0</v>
      </c>
      <c r="Q44" s="207">
        <f>IF(ISNUMBER(VLOOKUP($B:$B,'BS(분기)'!$A:$F,$2:$2,0)),VLOOKUP($B:$B,'BS(분기)'!$A:$F,$2:$2,0),0)</f>
        <v>0</v>
      </c>
      <c r="R44" s="207">
        <f>IF(ISNUMBER(VLOOKUP($B:$B,'BS(분기)'!$A:$F,$2:$2,0)),VLOOKUP($B:$B,'BS(분기)'!$A:$F,$2:$2,0),0)</f>
        <v>0</v>
      </c>
    </row>
    <row r="45" spans="1:18" s="192" customFormat="1" ht="12">
      <c r="A45" s="202">
        <v>111150</v>
      </c>
      <c r="B45" s="195" t="s">
        <v>558</v>
      </c>
      <c r="C45" s="217">
        <f>IF(ISNUMBER(VLOOKUP($B:$B,BS!$A:$D,$2:$2,0)),VLOOKUP($B:$B,BS!$A:$D,$2:$2,0),0)</f>
        <v>0</v>
      </c>
      <c r="D45" s="217">
        <f>IF(ISNUMBER(VLOOKUP($B:$B,BS!$A:$D,$2:$2,0)),VLOOKUP($B:$B,BS!$A:$D,$2:$2,0),0)</f>
        <v>0</v>
      </c>
      <c r="E45" s="217">
        <f>IF(ISNUMBER(VLOOKUP($B:$B,BS!$A:$D,$2:$2,0)),VLOOKUP($B:$B,BS!$A:$D,$2:$2,0),0)</f>
        <v>0</v>
      </c>
      <c r="F45" s="217">
        <f>IF(ISNUMBER(VLOOKUP($B:$B,BS!$A:$D,$2:$2,0)),VLOOKUP($B:$B,BS!$A:$D,$2:$2,0),0)</f>
        <v>0</v>
      </c>
      <c r="G45" s="217">
        <f>IF(ISNUMBER(VLOOKUP($B:$B,BS!$A:$D,$2:$2,0)),VLOOKUP($B:$B,BS!$A:$D,$2:$2,0),0)</f>
        <v>0</v>
      </c>
      <c r="H45" s="207">
        <f>IF(ISNUMBER(VLOOKUP($B:$B,'BS(과거)'!$A:$F,$2:$2,0)),VLOOKUP($B:$B,'BS(과거)'!$A:$F,$2:$2,0),0)</f>
        <v>0</v>
      </c>
      <c r="I45" s="207">
        <f>IF(ISNUMBER(VLOOKUP($B:$B,'BS(과거)'!$A:$F,$2:$2,0)),VLOOKUP($B:$B,'BS(과거)'!$A:$F,$2:$2,0),0)</f>
        <v>0</v>
      </c>
      <c r="J45" s="207">
        <f>IF(ISNUMBER(VLOOKUP($B:$B,'BS(과거)'!$A:$F,$2:$2,0)),VLOOKUP($B:$B,'BS(과거)'!$A:$F,$2:$2,0),0)</f>
        <v>0</v>
      </c>
      <c r="K45" s="207">
        <f>IF(ISNUMBER(VLOOKUP($B:$B,'BS(과거)'!$A:$F,$2:$2,0)),VLOOKUP($B:$B,'BS(과거)'!$A:$F,$2:$2,0),0)</f>
        <v>0</v>
      </c>
      <c r="L45" s="207">
        <f>IF(ISNUMBER(VLOOKUP($B:$B,'BS(과거)'!$A:$F,$2:$2,0)),VLOOKUP($B:$B,'BS(과거)'!$A:$F,$2:$2,0),0)</f>
        <v>0</v>
      </c>
      <c r="N45" s="207">
        <f>IF(ISNUMBER(VLOOKUP($B:$B,'BS(분기)'!$A:$F,$2:$2,0)),VLOOKUP($B:$B,'BS(분기)'!$A:$F,$2:$2,0),0)</f>
        <v>0</v>
      </c>
      <c r="O45" s="207">
        <f>IF(ISNUMBER(VLOOKUP($B:$B,'BS(분기)'!$A:$F,$2:$2,0)),VLOOKUP($B:$B,'BS(분기)'!$A:$F,$2:$2,0),0)</f>
        <v>0</v>
      </c>
      <c r="P45" s="207">
        <f>IF(ISNUMBER(VLOOKUP($B:$B,'BS(분기)'!$A:$F,$2:$2,0)),VLOOKUP($B:$B,'BS(분기)'!$A:$F,$2:$2,0),0)</f>
        <v>0</v>
      </c>
      <c r="Q45" s="207">
        <f>IF(ISNUMBER(VLOOKUP($B:$B,'BS(분기)'!$A:$F,$2:$2,0)),VLOOKUP($B:$B,'BS(분기)'!$A:$F,$2:$2,0),0)</f>
        <v>0</v>
      </c>
      <c r="R45" s="207">
        <f>IF(ISNUMBER(VLOOKUP($B:$B,'BS(분기)'!$A:$F,$2:$2,0)),VLOOKUP($B:$B,'BS(분기)'!$A:$F,$2:$2,0),0)</f>
        <v>0</v>
      </c>
    </row>
    <row r="46" spans="1:18" s="192" customFormat="1" ht="12">
      <c r="A46" s="202">
        <v>111157</v>
      </c>
      <c r="B46" s="195" t="s">
        <v>895</v>
      </c>
      <c r="C46" s="217">
        <f>IF(ISNUMBER(VLOOKUP($B:$B,BS!$A:$D,$2:$2,0)),VLOOKUP($B:$B,BS!$A:$D,$2:$2,0),0)</f>
        <v>0</v>
      </c>
      <c r="D46" s="217">
        <f>IF(ISNUMBER(VLOOKUP($B:$B,BS!$A:$D,$2:$2,0)),VLOOKUP($B:$B,BS!$A:$D,$2:$2,0),0)</f>
        <v>0</v>
      </c>
      <c r="E46" s="217">
        <f>IF(ISNUMBER(VLOOKUP($B:$B,BS!$A:$D,$2:$2,0)),VLOOKUP($B:$B,BS!$A:$D,$2:$2,0),0)</f>
        <v>0</v>
      </c>
      <c r="F46" s="217">
        <f>IF(ISNUMBER(VLOOKUP($B:$B,BS!$A:$D,$2:$2,0)),VLOOKUP($B:$B,BS!$A:$D,$2:$2,0),0)</f>
        <v>0</v>
      </c>
      <c r="G46" s="217">
        <f>IF(ISNUMBER(VLOOKUP($B:$B,BS!$A:$D,$2:$2,0)),VLOOKUP($B:$B,BS!$A:$D,$2:$2,0),0)</f>
        <v>0</v>
      </c>
      <c r="H46" s="207">
        <f>IF(ISNUMBER(VLOOKUP($B:$B,'BS(과거)'!$A:$F,$2:$2,0)),VLOOKUP($B:$B,'BS(과거)'!$A:$F,$2:$2,0),0)</f>
        <v>0</v>
      </c>
      <c r="I46" s="207">
        <f>IF(ISNUMBER(VLOOKUP($B:$B,'BS(과거)'!$A:$F,$2:$2,0)),VLOOKUP($B:$B,'BS(과거)'!$A:$F,$2:$2,0),0)</f>
        <v>0</v>
      </c>
      <c r="J46" s="207">
        <f>IF(ISNUMBER(VLOOKUP($B:$B,'BS(과거)'!$A:$F,$2:$2,0)),VLOOKUP($B:$B,'BS(과거)'!$A:$F,$2:$2,0),0)</f>
        <v>0</v>
      </c>
      <c r="K46" s="207">
        <f>IF(ISNUMBER(VLOOKUP($B:$B,'BS(과거)'!$A:$F,$2:$2,0)),VLOOKUP($B:$B,'BS(과거)'!$A:$F,$2:$2,0),0)</f>
        <v>0</v>
      </c>
      <c r="L46" s="207">
        <f>IF(ISNUMBER(VLOOKUP($B:$B,'BS(과거)'!$A:$F,$2:$2,0)),VLOOKUP($B:$B,'BS(과거)'!$A:$F,$2:$2,0),0)</f>
        <v>0</v>
      </c>
      <c r="N46" s="207">
        <f>IF(ISNUMBER(VLOOKUP($B:$B,'BS(분기)'!$A:$F,$2:$2,0)),VLOOKUP($B:$B,'BS(분기)'!$A:$F,$2:$2,0),0)</f>
        <v>0</v>
      </c>
      <c r="O46" s="207">
        <f>IF(ISNUMBER(VLOOKUP($B:$B,'BS(분기)'!$A:$F,$2:$2,0)),VLOOKUP($B:$B,'BS(분기)'!$A:$F,$2:$2,0),0)</f>
        <v>0</v>
      </c>
      <c r="P46" s="207">
        <f>IF(ISNUMBER(VLOOKUP($B:$B,'BS(분기)'!$A:$F,$2:$2,0)),VLOOKUP($B:$B,'BS(분기)'!$A:$F,$2:$2,0),0)</f>
        <v>0</v>
      </c>
      <c r="Q46" s="207">
        <f>IF(ISNUMBER(VLOOKUP($B:$B,'BS(분기)'!$A:$F,$2:$2,0)),VLOOKUP($B:$B,'BS(분기)'!$A:$F,$2:$2,0),0)</f>
        <v>0</v>
      </c>
      <c r="R46" s="207">
        <f>IF(ISNUMBER(VLOOKUP($B:$B,'BS(분기)'!$A:$F,$2:$2,0)),VLOOKUP($B:$B,'BS(분기)'!$A:$F,$2:$2,0),0)</f>
        <v>0</v>
      </c>
    </row>
    <row r="47" spans="1:18" s="192" customFormat="1" ht="12">
      <c r="A47" s="202">
        <v>111159</v>
      </c>
      <c r="B47" s="195" t="s">
        <v>787</v>
      </c>
      <c r="C47" s="217">
        <f>IF(ISNUMBER(VLOOKUP($B:$B,BS!$A:$D,$2:$2,0)),VLOOKUP($B:$B,BS!$A:$D,$2:$2,0),0)</f>
        <v>0</v>
      </c>
      <c r="D47" s="217">
        <f>IF(ISNUMBER(VLOOKUP($B:$B,BS!$A:$D,$2:$2,0)),VLOOKUP($B:$B,BS!$A:$D,$2:$2,0),0)</f>
        <v>0</v>
      </c>
      <c r="E47" s="217">
        <f>IF(ISNUMBER(VLOOKUP($B:$B,BS!$A:$D,$2:$2,0)),VLOOKUP($B:$B,BS!$A:$D,$2:$2,0),0)</f>
        <v>0</v>
      </c>
      <c r="F47" s="217">
        <f>IF(ISNUMBER(VLOOKUP($B:$B,BS!$A:$D,$2:$2,0)),VLOOKUP($B:$B,BS!$A:$D,$2:$2,0),0)</f>
        <v>0</v>
      </c>
      <c r="G47" s="217">
        <f>IF(ISNUMBER(VLOOKUP($B:$B,BS!$A:$D,$2:$2,0)),VLOOKUP($B:$B,BS!$A:$D,$2:$2,0),0)</f>
        <v>0</v>
      </c>
      <c r="H47" s="207">
        <f>IF(ISNUMBER(VLOOKUP($B:$B,'BS(과거)'!$A:$F,$2:$2,0)),VLOOKUP($B:$B,'BS(과거)'!$A:$F,$2:$2,0),0)</f>
        <v>0</v>
      </c>
      <c r="I47" s="207">
        <f>IF(ISNUMBER(VLOOKUP($B:$B,'BS(과거)'!$A:$F,$2:$2,0)),VLOOKUP($B:$B,'BS(과거)'!$A:$F,$2:$2,0),0)</f>
        <v>0</v>
      </c>
      <c r="J47" s="207">
        <f>IF(ISNUMBER(VLOOKUP($B:$B,'BS(과거)'!$A:$F,$2:$2,0)),VLOOKUP($B:$B,'BS(과거)'!$A:$F,$2:$2,0),0)</f>
        <v>0</v>
      </c>
      <c r="K47" s="207">
        <f>IF(ISNUMBER(VLOOKUP($B:$B,'BS(과거)'!$A:$F,$2:$2,0)),VLOOKUP($B:$B,'BS(과거)'!$A:$F,$2:$2,0),0)</f>
        <v>0</v>
      </c>
      <c r="L47" s="207">
        <f>IF(ISNUMBER(VLOOKUP($B:$B,'BS(과거)'!$A:$F,$2:$2,0)),VLOOKUP($B:$B,'BS(과거)'!$A:$F,$2:$2,0),0)</f>
        <v>0</v>
      </c>
      <c r="N47" s="207">
        <f>IF(ISNUMBER(VLOOKUP($B:$B,'BS(분기)'!$A:$F,$2:$2,0)),VLOOKUP($B:$B,'BS(분기)'!$A:$F,$2:$2,0),0)</f>
        <v>0</v>
      </c>
      <c r="O47" s="207">
        <f>IF(ISNUMBER(VLOOKUP($B:$B,'BS(분기)'!$A:$F,$2:$2,0)),VLOOKUP($B:$B,'BS(분기)'!$A:$F,$2:$2,0),0)</f>
        <v>0</v>
      </c>
      <c r="P47" s="207">
        <f>IF(ISNUMBER(VLOOKUP($B:$B,'BS(분기)'!$A:$F,$2:$2,0)),VLOOKUP($B:$B,'BS(분기)'!$A:$F,$2:$2,0),0)</f>
        <v>0</v>
      </c>
      <c r="Q47" s="207">
        <f>IF(ISNUMBER(VLOOKUP($B:$B,'BS(분기)'!$A:$F,$2:$2,0)),VLOOKUP($B:$B,'BS(분기)'!$A:$F,$2:$2,0),0)</f>
        <v>0</v>
      </c>
      <c r="R47" s="207">
        <f>IF(ISNUMBER(VLOOKUP($B:$B,'BS(분기)'!$A:$F,$2:$2,0)),VLOOKUP($B:$B,'BS(분기)'!$A:$F,$2:$2,0),0)</f>
        <v>0</v>
      </c>
    </row>
    <row r="48" spans="1:18" s="192" customFormat="1" ht="12">
      <c r="A48" s="202">
        <v>111151</v>
      </c>
      <c r="B48" s="195" t="s">
        <v>788</v>
      </c>
      <c r="C48" s="217">
        <f>IF(ISNUMBER(VLOOKUP($B:$B,BS!$A:$D,$2:$2,0)),VLOOKUP($B:$B,BS!$A:$D,$2:$2,0),0)</f>
        <v>0</v>
      </c>
      <c r="D48" s="217">
        <f>IF(ISNUMBER(VLOOKUP($B:$B,BS!$A:$D,$2:$2,0)),VLOOKUP($B:$B,BS!$A:$D,$2:$2,0),0)</f>
        <v>0</v>
      </c>
      <c r="E48" s="217">
        <f>IF(ISNUMBER(VLOOKUP($B:$B,BS!$A:$D,$2:$2,0)),VLOOKUP($B:$B,BS!$A:$D,$2:$2,0),0)</f>
        <v>0</v>
      </c>
      <c r="F48" s="217">
        <f>IF(ISNUMBER(VLOOKUP($B:$B,BS!$A:$D,$2:$2,0)),VLOOKUP($B:$B,BS!$A:$D,$2:$2,0),0)</f>
        <v>0</v>
      </c>
      <c r="G48" s="217">
        <f>IF(ISNUMBER(VLOOKUP($B:$B,BS!$A:$D,$2:$2,0)),VLOOKUP($B:$B,BS!$A:$D,$2:$2,0),0)</f>
        <v>0</v>
      </c>
      <c r="H48" s="207">
        <f>IF(ISNUMBER(VLOOKUP($B:$B,'BS(과거)'!$A:$F,$2:$2,0)),VLOOKUP($B:$B,'BS(과거)'!$A:$F,$2:$2,0),0)</f>
        <v>0</v>
      </c>
      <c r="I48" s="207">
        <f>IF(ISNUMBER(VLOOKUP($B:$B,'BS(과거)'!$A:$F,$2:$2,0)),VLOOKUP($B:$B,'BS(과거)'!$A:$F,$2:$2,0),0)</f>
        <v>0</v>
      </c>
      <c r="J48" s="207">
        <f>IF(ISNUMBER(VLOOKUP($B:$B,'BS(과거)'!$A:$F,$2:$2,0)),VLOOKUP($B:$B,'BS(과거)'!$A:$F,$2:$2,0),0)</f>
        <v>0</v>
      </c>
      <c r="K48" s="207">
        <f>IF(ISNUMBER(VLOOKUP($B:$B,'BS(과거)'!$A:$F,$2:$2,0)),VLOOKUP($B:$B,'BS(과거)'!$A:$F,$2:$2,0),0)</f>
        <v>0</v>
      </c>
      <c r="L48" s="207">
        <f>IF(ISNUMBER(VLOOKUP($B:$B,'BS(과거)'!$A:$F,$2:$2,0)),VLOOKUP($B:$B,'BS(과거)'!$A:$F,$2:$2,0),0)</f>
        <v>0</v>
      </c>
      <c r="N48" s="207">
        <f>IF(ISNUMBER(VLOOKUP($B:$B,'BS(분기)'!$A:$F,$2:$2,0)),VLOOKUP($B:$B,'BS(분기)'!$A:$F,$2:$2,0),0)</f>
        <v>0</v>
      </c>
      <c r="O48" s="207">
        <f>IF(ISNUMBER(VLOOKUP($B:$B,'BS(분기)'!$A:$F,$2:$2,0)),VLOOKUP($B:$B,'BS(분기)'!$A:$F,$2:$2,0),0)</f>
        <v>0</v>
      </c>
      <c r="P48" s="207">
        <f>IF(ISNUMBER(VLOOKUP($B:$B,'BS(분기)'!$A:$F,$2:$2,0)),VLOOKUP($B:$B,'BS(분기)'!$A:$F,$2:$2,0),0)</f>
        <v>0</v>
      </c>
      <c r="Q48" s="207">
        <f>IF(ISNUMBER(VLOOKUP($B:$B,'BS(분기)'!$A:$F,$2:$2,0)),VLOOKUP($B:$B,'BS(분기)'!$A:$F,$2:$2,0),0)</f>
        <v>0</v>
      </c>
      <c r="R48" s="207">
        <f>IF(ISNUMBER(VLOOKUP($B:$B,'BS(분기)'!$A:$F,$2:$2,0)),VLOOKUP($B:$B,'BS(분기)'!$A:$F,$2:$2,0),0)</f>
        <v>0</v>
      </c>
    </row>
    <row r="49" spans="1:18" s="192" customFormat="1" ht="12">
      <c r="A49" s="202">
        <v>111158</v>
      </c>
      <c r="B49" s="195" t="s">
        <v>896</v>
      </c>
      <c r="C49" s="217">
        <f>IF(ISNUMBER(VLOOKUP($B:$B,BS!$A:$D,$2:$2,0)),VLOOKUP($B:$B,BS!$A:$D,$2:$2,0),0)</f>
        <v>0</v>
      </c>
      <c r="D49" s="217">
        <f>IF(ISNUMBER(VLOOKUP($B:$B,BS!$A:$D,$2:$2,0)),VLOOKUP($B:$B,BS!$A:$D,$2:$2,0),0)</f>
        <v>0</v>
      </c>
      <c r="E49" s="217">
        <f>IF(ISNUMBER(VLOOKUP($B:$B,BS!$A:$D,$2:$2,0)),VLOOKUP($B:$B,BS!$A:$D,$2:$2,0),0)</f>
        <v>0</v>
      </c>
      <c r="F49" s="217">
        <f>IF(ISNUMBER(VLOOKUP($B:$B,BS!$A:$D,$2:$2,0)),VLOOKUP($B:$B,BS!$A:$D,$2:$2,0),0)</f>
        <v>0</v>
      </c>
      <c r="G49" s="217">
        <f>IF(ISNUMBER(VLOOKUP($B:$B,BS!$A:$D,$2:$2,0)),VLOOKUP($B:$B,BS!$A:$D,$2:$2,0),0)</f>
        <v>0</v>
      </c>
      <c r="H49" s="207">
        <f>IF(ISNUMBER(VLOOKUP($B:$B,'BS(과거)'!$A:$F,$2:$2,0)),VLOOKUP($B:$B,'BS(과거)'!$A:$F,$2:$2,0),0)</f>
        <v>0</v>
      </c>
      <c r="I49" s="207">
        <f>IF(ISNUMBER(VLOOKUP($B:$B,'BS(과거)'!$A:$F,$2:$2,0)),VLOOKUP($B:$B,'BS(과거)'!$A:$F,$2:$2,0),0)</f>
        <v>0</v>
      </c>
      <c r="J49" s="207">
        <f>IF(ISNUMBER(VLOOKUP($B:$B,'BS(과거)'!$A:$F,$2:$2,0)),VLOOKUP($B:$B,'BS(과거)'!$A:$F,$2:$2,0),0)</f>
        <v>0</v>
      </c>
      <c r="K49" s="207">
        <f>IF(ISNUMBER(VLOOKUP($B:$B,'BS(과거)'!$A:$F,$2:$2,0)),VLOOKUP($B:$B,'BS(과거)'!$A:$F,$2:$2,0),0)</f>
        <v>0</v>
      </c>
      <c r="L49" s="207">
        <f>IF(ISNUMBER(VLOOKUP($B:$B,'BS(과거)'!$A:$F,$2:$2,0)),VLOOKUP($B:$B,'BS(과거)'!$A:$F,$2:$2,0),0)</f>
        <v>0</v>
      </c>
      <c r="N49" s="207">
        <f>IF(ISNUMBER(VLOOKUP($B:$B,'BS(분기)'!$A:$F,$2:$2,0)),VLOOKUP($B:$B,'BS(분기)'!$A:$F,$2:$2,0),0)</f>
        <v>0</v>
      </c>
      <c r="O49" s="207">
        <f>IF(ISNUMBER(VLOOKUP($B:$B,'BS(분기)'!$A:$F,$2:$2,0)),VLOOKUP($B:$B,'BS(분기)'!$A:$F,$2:$2,0),0)</f>
        <v>0</v>
      </c>
      <c r="P49" s="207">
        <f>IF(ISNUMBER(VLOOKUP($B:$B,'BS(분기)'!$A:$F,$2:$2,0)),VLOOKUP($B:$B,'BS(분기)'!$A:$F,$2:$2,0),0)</f>
        <v>0</v>
      </c>
      <c r="Q49" s="207">
        <f>IF(ISNUMBER(VLOOKUP($B:$B,'BS(분기)'!$A:$F,$2:$2,0)),VLOOKUP($B:$B,'BS(분기)'!$A:$F,$2:$2,0),0)</f>
        <v>0</v>
      </c>
      <c r="R49" s="207">
        <f>IF(ISNUMBER(VLOOKUP($B:$B,'BS(분기)'!$A:$F,$2:$2,0)),VLOOKUP($B:$B,'BS(분기)'!$A:$F,$2:$2,0),0)</f>
        <v>0</v>
      </c>
    </row>
    <row r="50" spans="1:18" s="192" customFormat="1" ht="12">
      <c r="A50" s="203">
        <v>111236</v>
      </c>
      <c r="B50" s="196" t="s">
        <v>897</v>
      </c>
      <c r="C50" s="217">
        <f>IF(ISNUMBER(VLOOKUP($B:$B,BS!$A:$D,$2:$2,0)),VLOOKUP($B:$B,BS!$A:$D,$2:$2,0),0)</f>
        <v>0</v>
      </c>
      <c r="D50" s="217">
        <f>IF(ISNUMBER(VLOOKUP($B:$B,BS!$A:$D,$2:$2,0)),VLOOKUP($B:$B,BS!$A:$D,$2:$2,0),0)</f>
        <v>0</v>
      </c>
      <c r="E50" s="217">
        <f>IF(ISNUMBER(VLOOKUP($B:$B,BS!$A:$D,$2:$2,0)),VLOOKUP($B:$B,BS!$A:$D,$2:$2,0),0)</f>
        <v>0</v>
      </c>
      <c r="F50" s="217">
        <f>IF(ISNUMBER(VLOOKUP($B:$B,BS!$A:$D,$2:$2,0)),VLOOKUP($B:$B,BS!$A:$D,$2:$2,0),0)</f>
        <v>0</v>
      </c>
      <c r="G50" s="217">
        <f>IF(ISNUMBER(VLOOKUP($B:$B,BS!$A:$D,$2:$2,0)),VLOOKUP($B:$B,BS!$A:$D,$2:$2,0),0)</f>
        <v>0</v>
      </c>
      <c r="H50" s="207">
        <f>IF(ISNUMBER(VLOOKUP($B:$B,'BS(과거)'!$A:$F,$2:$2,0)),VLOOKUP($B:$B,'BS(과거)'!$A:$F,$2:$2,0),0)</f>
        <v>0</v>
      </c>
      <c r="I50" s="207">
        <f>IF(ISNUMBER(VLOOKUP($B:$B,'BS(과거)'!$A:$F,$2:$2,0)),VLOOKUP($B:$B,'BS(과거)'!$A:$F,$2:$2,0),0)</f>
        <v>0</v>
      </c>
      <c r="J50" s="207">
        <f>IF(ISNUMBER(VLOOKUP($B:$B,'BS(과거)'!$A:$F,$2:$2,0)),VLOOKUP($B:$B,'BS(과거)'!$A:$F,$2:$2,0),0)</f>
        <v>0</v>
      </c>
      <c r="K50" s="207">
        <f>IF(ISNUMBER(VLOOKUP($B:$B,'BS(과거)'!$A:$F,$2:$2,0)),VLOOKUP($B:$B,'BS(과거)'!$A:$F,$2:$2,0),0)</f>
        <v>0</v>
      </c>
      <c r="L50" s="207">
        <f>IF(ISNUMBER(VLOOKUP($B:$B,'BS(과거)'!$A:$F,$2:$2,0)),VLOOKUP($B:$B,'BS(과거)'!$A:$F,$2:$2,0),0)</f>
        <v>0</v>
      </c>
      <c r="N50" s="207">
        <f>IF(ISNUMBER(VLOOKUP($B:$B,'BS(분기)'!$A:$F,$2:$2,0)),VLOOKUP($B:$B,'BS(분기)'!$A:$F,$2:$2,0),0)</f>
        <v>0</v>
      </c>
      <c r="O50" s="207">
        <f>IF(ISNUMBER(VLOOKUP($B:$B,'BS(분기)'!$A:$F,$2:$2,0)),VLOOKUP($B:$B,'BS(분기)'!$A:$F,$2:$2,0),0)</f>
        <v>0</v>
      </c>
      <c r="P50" s="207">
        <f>IF(ISNUMBER(VLOOKUP($B:$B,'BS(분기)'!$A:$F,$2:$2,0)),VLOOKUP($B:$B,'BS(분기)'!$A:$F,$2:$2,0),0)</f>
        <v>0</v>
      </c>
      <c r="Q50" s="207">
        <f>IF(ISNUMBER(VLOOKUP($B:$B,'BS(분기)'!$A:$F,$2:$2,0)),VLOOKUP($B:$B,'BS(분기)'!$A:$F,$2:$2,0),0)</f>
        <v>0</v>
      </c>
      <c r="R50" s="207">
        <f>IF(ISNUMBER(VLOOKUP($B:$B,'BS(분기)'!$A:$F,$2:$2,0)),VLOOKUP($B:$B,'BS(분기)'!$A:$F,$2:$2,0),0)</f>
        <v>0</v>
      </c>
    </row>
    <row r="51" spans="1:18" s="192" customFormat="1" ht="12">
      <c r="A51" s="203">
        <v>111237</v>
      </c>
      <c r="B51" s="196" t="s">
        <v>898</v>
      </c>
      <c r="C51" s="217">
        <f>IF(ISNUMBER(VLOOKUP($B:$B,BS!$A:$D,$2:$2,0)),VLOOKUP($B:$B,BS!$A:$D,$2:$2,0),0)</f>
        <v>0</v>
      </c>
      <c r="D51" s="217">
        <f>IF(ISNUMBER(VLOOKUP($B:$B,BS!$A:$D,$2:$2,0)),VLOOKUP($B:$B,BS!$A:$D,$2:$2,0),0)</f>
        <v>0</v>
      </c>
      <c r="E51" s="217">
        <f>IF(ISNUMBER(VLOOKUP($B:$B,BS!$A:$D,$2:$2,0)),VLOOKUP($B:$B,BS!$A:$D,$2:$2,0),0)</f>
        <v>0</v>
      </c>
      <c r="F51" s="217">
        <f>IF(ISNUMBER(VLOOKUP($B:$B,BS!$A:$D,$2:$2,0)),VLOOKUP($B:$B,BS!$A:$D,$2:$2,0),0)</f>
        <v>0</v>
      </c>
      <c r="G51" s="217">
        <f>IF(ISNUMBER(VLOOKUP($B:$B,BS!$A:$D,$2:$2,0)),VLOOKUP($B:$B,BS!$A:$D,$2:$2,0),0)</f>
        <v>0</v>
      </c>
      <c r="H51" s="207">
        <f>IF(ISNUMBER(VLOOKUP($B:$B,'BS(과거)'!$A:$F,$2:$2,0)),VLOOKUP($B:$B,'BS(과거)'!$A:$F,$2:$2,0),0)</f>
        <v>0</v>
      </c>
      <c r="I51" s="207">
        <f>IF(ISNUMBER(VLOOKUP($B:$B,'BS(과거)'!$A:$F,$2:$2,0)),VLOOKUP($B:$B,'BS(과거)'!$A:$F,$2:$2,0),0)</f>
        <v>0</v>
      </c>
      <c r="J51" s="207">
        <f>IF(ISNUMBER(VLOOKUP($B:$B,'BS(과거)'!$A:$F,$2:$2,0)),VLOOKUP($B:$B,'BS(과거)'!$A:$F,$2:$2,0),0)</f>
        <v>0</v>
      </c>
      <c r="K51" s="207">
        <f>IF(ISNUMBER(VLOOKUP($B:$B,'BS(과거)'!$A:$F,$2:$2,0)),VLOOKUP($B:$B,'BS(과거)'!$A:$F,$2:$2,0),0)</f>
        <v>0</v>
      </c>
      <c r="L51" s="207">
        <f>IF(ISNUMBER(VLOOKUP($B:$B,'BS(과거)'!$A:$F,$2:$2,0)),VLOOKUP($B:$B,'BS(과거)'!$A:$F,$2:$2,0),0)</f>
        <v>0</v>
      </c>
      <c r="N51" s="207">
        <f>IF(ISNUMBER(VLOOKUP($B:$B,'BS(분기)'!$A:$F,$2:$2,0)),VLOOKUP($B:$B,'BS(분기)'!$A:$F,$2:$2,0),0)</f>
        <v>0</v>
      </c>
      <c r="O51" s="207">
        <f>IF(ISNUMBER(VLOOKUP($B:$B,'BS(분기)'!$A:$F,$2:$2,0)),VLOOKUP($B:$B,'BS(분기)'!$A:$F,$2:$2,0),0)</f>
        <v>0</v>
      </c>
      <c r="P51" s="207">
        <f>IF(ISNUMBER(VLOOKUP($B:$B,'BS(분기)'!$A:$F,$2:$2,0)),VLOOKUP($B:$B,'BS(분기)'!$A:$F,$2:$2,0),0)</f>
        <v>0</v>
      </c>
      <c r="Q51" s="207">
        <f>IF(ISNUMBER(VLOOKUP($B:$B,'BS(분기)'!$A:$F,$2:$2,0)),VLOOKUP($B:$B,'BS(분기)'!$A:$F,$2:$2,0),0)</f>
        <v>0</v>
      </c>
      <c r="R51" s="207">
        <f>IF(ISNUMBER(VLOOKUP($B:$B,'BS(분기)'!$A:$F,$2:$2,0)),VLOOKUP($B:$B,'BS(분기)'!$A:$F,$2:$2,0),0)</f>
        <v>0</v>
      </c>
    </row>
    <row r="52" spans="1:18" s="192" customFormat="1" ht="12">
      <c r="A52" s="202">
        <v>111176</v>
      </c>
      <c r="B52" s="195" t="s">
        <v>899</v>
      </c>
      <c r="C52" s="217">
        <f>IF(ISNUMBER(VLOOKUP($B:$B,BS!$A:$D,$2:$2,0)),VLOOKUP($B:$B,BS!$A:$D,$2:$2,0),0)</f>
        <v>0</v>
      </c>
      <c r="D52" s="217">
        <f>IF(ISNUMBER(VLOOKUP($B:$B,BS!$A:$D,$2:$2,0)),VLOOKUP($B:$B,BS!$A:$D,$2:$2,0),0)</f>
        <v>0</v>
      </c>
      <c r="E52" s="217">
        <f>IF(ISNUMBER(VLOOKUP($B:$B,BS!$A:$D,$2:$2,0)),VLOOKUP($B:$B,BS!$A:$D,$2:$2,0),0)</f>
        <v>0</v>
      </c>
      <c r="F52" s="217">
        <f>IF(ISNUMBER(VLOOKUP($B:$B,BS!$A:$D,$2:$2,0)),VLOOKUP($B:$B,BS!$A:$D,$2:$2,0),0)</f>
        <v>0</v>
      </c>
      <c r="G52" s="217">
        <f>IF(ISNUMBER(VLOOKUP($B:$B,BS!$A:$D,$2:$2,0)),VLOOKUP($B:$B,BS!$A:$D,$2:$2,0),0)</f>
        <v>0</v>
      </c>
      <c r="H52" s="207">
        <f>IF(ISNUMBER(VLOOKUP($B:$B,'BS(과거)'!$A:$F,$2:$2,0)),VLOOKUP($B:$B,'BS(과거)'!$A:$F,$2:$2,0),0)</f>
        <v>0</v>
      </c>
      <c r="I52" s="207">
        <f>IF(ISNUMBER(VLOOKUP($B:$B,'BS(과거)'!$A:$F,$2:$2,0)),VLOOKUP($B:$B,'BS(과거)'!$A:$F,$2:$2,0),0)</f>
        <v>0</v>
      </c>
      <c r="J52" s="207">
        <f>IF(ISNUMBER(VLOOKUP($B:$B,'BS(과거)'!$A:$F,$2:$2,0)),VLOOKUP($B:$B,'BS(과거)'!$A:$F,$2:$2,0),0)</f>
        <v>0</v>
      </c>
      <c r="K52" s="207">
        <f>IF(ISNUMBER(VLOOKUP($B:$B,'BS(과거)'!$A:$F,$2:$2,0)),VLOOKUP($B:$B,'BS(과거)'!$A:$F,$2:$2,0),0)</f>
        <v>0</v>
      </c>
      <c r="L52" s="207">
        <f>IF(ISNUMBER(VLOOKUP($B:$B,'BS(과거)'!$A:$F,$2:$2,0)),VLOOKUP($B:$B,'BS(과거)'!$A:$F,$2:$2,0),0)</f>
        <v>0</v>
      </c>
      <c r="N52" s="207">
        <f>IF(ISNUMBER(VLOOKUP($B:$B,'BS(분기)'!$A:$F,$2:$2,0)),VLOOKUP($B:$B,'BS(분기)'!$A:$F,$2:$2,0),0)</f>
        <v>0</v>
      </c>
      <c r="O52" s="207">
        <f>IF(ISNUMBER(VLOOKUP($B:$B,'BS(분기)'!$A:$F,$2:$2,0)),VLOOKUP($B:$B,'BS(분기)'!$A:$F,$2:$2,0),0)</f>
        <v>0</v>
      </c>
      <c r="P52" s="207">
        <f>IF(ISNUMBER(VLOOKUP($B:$B,'BS(분기)'!$A:$F,$2:$2,0)),VLOOKUP($B:$B,'BS(분기)'!$A:$F,$2:$2,0),0)</f>
        <v>0</v>
      </c>
      <c r="Q52" s="207">
        <f>IF(ISNUMBER(VLOOKUP($B:$B,'BS(분기)'!$A:$F,$2:$2,0)),VLOOKUP($B:$B,'BS(분기)'!$A:$F,$2:$2,0),0)</f>
        <v>0</v>
      </c>
      <c r="R52" s="207">
        <f>IF(ISNUMBER(VLOOKUP($B:$B,'BS(분기)'!$A:$F,$2:$2,0)),VLOOKUP($B:$B,'BS(분기)'!$A:$F,$2:$2,0),0)</f>
        <v>0</v>
      </c>
    </row>
    <row r="53" spans="1:18" s="192" customFormat="1" ht="12">
      <c r="A53" s="203">
        <v>111152</v>
      </c>
      <c r="B53" s="196" t="s">
        <v>900</v>
      </c>
      <c r="C53" s="217">
        <f>IF(ISNUMBER(VLOOKUP($B:$B,BS!$A:$D,$2:$2,0)),VLOOKUP($B:$B,BS!$A:$D,$2:$2,0),0)</f>
        <v>0</v>
      </c>
      <c r="D53" s="217">
        <f>IF(ISNUMBER(VLOOKUP($B:$B,BS!$A:$D,$2:$2,0)),VLOOKUP($B:$B,BS!$A:$D,$2:$2,0),0)</f>
        <v>0</v>
      </c>
      <c r="E53" s="217">
        <f>IF(ISNUMBER(VLOOKUP($B:$B,BS!$A:$D,$2:$2,0)),VLOOKUP($B:$B,BS!$A:$D,$2:$2,0),0)</f>
        <v>0</v>
      </c>
      <c r="F53" s="217">
        <f>IF(ISNUMBER(VLOOKUP($B:$B,BS!$A:$D,$2:$2,0)),VLOOKUP($B:$B,BS!$A:$D,$2:$2,0),0)</f>
        <v>0</v>
      </c>
      <c r="G53" s="217">
        <f>IF(ISNUMBER(VLOOKUP($B:$B,BS!$A:$D,$2:$2,0)),VLOOKUP($B:$B,BS!$A:$D,$2:$2,0),0)</f>
        <v>0</v>
      </c>
      <c r="H53" s="207">
        <f>IF(ISNUMBER(VLOOKUP($B:$B,'BS(과거)'!$A:$F,$2:$2,0)),VLOOKUP($B:$B,'BS(과거)'!$A:$F,$2:$2,0),0)</f>
        <v>0</v>
      </c>
      <c r="I53" s="207">
        <f>IF(ISNUMBER(VLOOKUP($B:$B,'BS(과거)'!$A:$F,$2:$2,0)),VLOOKUP($B:$B,'BS(과거)'!$A:$F,$2:$2,0),0)</f>
        <v>0</v>
      </c>
      <c r="J53" s="207">
        <f>IF(ISNUMBER(VLOOKUP($B:$B,'BS(과거)'!$A:$F,$2:$2,0)),VLOOKUP($B:$B,'BS(과거)'!$A:$F,$2:$2,0),0)</f>
        <v>0</v>
      </c>
      <c r="K53" s="207">
        <f>IF(ISNUMBER(VLOOKUP($B:$B,'BS(과거)'!$A:$F,$2:$2,0)),VLOOKUP($B:$B,'BS(과거)'!$A:$F,$2:$2,0),0)</f>
        <v>0</v>
      </c>
      <c r="L53" s="207">
        <f>IF(ISNUMBER(VLOOKUP($B:$B,'BS(과거)'!$A:$F,$2:$2,0)),VLOOKUP($B:$B,'BS(과거)'!$A:$F,$2:$2,0),0)</f>
        <v>0</v>
      </c>
      <c r="N53" s="207">
        <f>IF(ISNUMBER(VLOOKUP($B:$B,'BS(분기)'!$A:$F,$2:$2,0)),VLOOKUP($B:$B,'BS(분기)'!$A:$F,$2:$2,0),0)</f>
        <v>0</v>
      </c>
      <c r="O53" s="207">
        <f>IF(ISNUMBER(VLOOKUP($B:$B,'BS(분기)'!$A:$F,$2:$2,0)),VLOOKUP($B:$B,'BS(분기)'!$A:$F,$2:$2,0),0)</f>
        <v>0</v>
      </c>
      <c r="P53" s="207">
        <f>IF(ISNUMBER(VLOOKUP($B:$B,'BS(분기)'!$A:$F,$2:$2,0)),VLOOKUP($B:$B,'BS(분기)'!$A:$F,$2:$2,0),0)</f>
        <v>0</v>
      </c>
      <c r="Q53" s="207">
        <f>IF(ISNUMBER(VLOOKUP($B:$B,'BS(분기)'!$A:$F,$2:$2,0)),VLOOKUP($B:$B,'BS(분기)'!$A:$F,$2:$2,0),0)</f>
        <v>0</v>
      </c>
      <c r="R53" s="207">
        <f>IF(ISNUMBER(VLOOKUP($B:$B,'BS(분기)'!$A:$F,$2:$2,0)),VLOOKUP($B:$B,'BS(분기)'!$A:$F,$2:$2,0),0)</f>
        <v>0</v>
      </c>
    </row>
    <row r="54" spans="1:18" s="192" customFormat="1" ht="12">
      <c r="A54" s="203">
        <v>111147</v>
      </c>
      <c r="B54" s="196" t="s">
        <v>789</v>
      </c>
      <c r="C54" s="217">
        <f>IF(ISNUMBER(VLOOKUP($B:$B,BS!$A:$D,$2:$2,0)),VLOOKUP($B:$B,BS!$A:$D,$2:$2,0),0)</f>
        <v>0</v>
      </c>
      <c r="D54" s="217">
        <f>IF(ISNUMBER(VLOOKUP($B:$B,BS!$A:$D,$2:$2,0)),VLOOKUP($B:$B,BS!$A:$D,$2:$2,0),0)</f>
        <v>0</v>
      </c>
      <c r="E54" s="217">
        <f>IF(ISNUMBER(VLOOKUP($B:$B,BS!$A:$D,$2:$2,0)),VLOOKUP($B:$B,BS!$A:$D,$2:$2,0),0)</f>
        <v>0</v>
      </c>
      <c r="F54" s="217">
        <f>IF(ISNUMBER(VLOOKUP($B:$B,BS!$A:$D,$2:$2,0)),VLOOKUP($B:$B,BS!$A:$D,$2:$2,0),0)</f>
        <v>0</v>
      </c>
      <c r="G54" s="217">
        <f>IF(ISNUMBER(VLOOKUP($B:$B,BS!$A:$D,$2:$2,0)),VLOOKUP($B:$B,BS!$A:$D,$2:$2,0),0)</f>
        <v>0</v>
      </c>
      <c r="H54" s="207">
        <f>IF(ISNUMBER(VLOOKUP($B:$B,'BS(과거)'!$A:$F,$2:$2,0)),VLOOKUP($B:$B,'BS(과거)'!$A:$F,$2:$2,0),0)</f>
        <v>0</v>
      </c>
      <c r="I54" s="207">
        <f>IF(ISNUMBER(VLOOKUP($B:$B,'BS(과거)'!$A:$F,$2:$2,0)),VLOOKUP($B:$B,'BS(과거)'!$A:$F,$2:$2,0),0)</f>
        <v>0</v>
      </c>
      <c r="J54" s="207">
        <f>IF(ISNUMBER(VLOOKUP($B:$B,'BS(과거)'!$A:$F,$2:$2,0)),VLOOKUP($B:$B,'BS(과거)'!$A:$F,$2:$2,0),0)</f>
        <v>0</v>
      </c>
      <c r="K54" s="207">
        <f>IF(ISNUMBER(VLOOKUP($B:$B,'BS(과거)'!$A:$F,$2:$2,0)),VLOOKUP($B:$B,'BS(과거)'!$A:$F,$2:$2,0),0)</f>
        <v>0</v>
      </c>
      <c r="L54" s="207">
        <f>IF(ISNUMBER(VLOOKUP($B:$B,'BS(과거)'!$A:$F,$2:$2,0)),VLOOKUP($B:$B,'BS(과거)'!$A:$F,$2:$2,0),0)</f>
        <v>0</v>
      </c>
      <c r="N54" s="207">
        <f>IF(ISNUMBER(VLOOKUP($B:$B,'BS(분기)'!$A:$F,$2:$2,0)),VLOOKUP($B:$B,'BS(분기)'!$A:$F,$2:$2,0),0)</f>
        <v>0</v>
      </c>
      <c r="O54" s="207">
        <f>IF(ISNUMBER(VLOOKUP($B:$B,'BS(분기)'!$A:$F,$2:$2,0)),VLOOKUP($B:$B,'BS(분기)'!$A:$F,$2:$2,0),0)</f>
        <v>0</v>
      </c>
      <c r="P54" s="207">
        <f>IF(ISNUMBER(VLOOKUP($B:$B,'BS(분기)'!$A:$F,$2:$2,0)),VLOOKUP($B:$B,'BS(분기)'!$A:$F,$2:$2,0),0)</f>
        <v>0</v>
      </c>
      <c r="Q54" s="207">
        <f>IF(ISNUMBER(VLOOKUP($B:$B,'BS(분기)'!$A:$F,$2:$2,0)),VLOOKUP($B:$B,'BS(분기)'!$A:$F,$2:$2,0),0)</f>
        <v>0</v>
      </c>
      <c r="R54" s="207">
        <f>IF(ISNUMBER(VLOOKUP($B:$B,'BS(분기)'!$A:$F,$2:$2,0)),VLOOKUP($B:$B,'BS(분기)'!$A:$F,$2:$2,0),0)</f>
        <v>0</v>
      </c>
    </row>
    <row r="55" spans="1:18" s="192" customFormat="1" ht="12">
      <c r="A55" s="203">
        <v>111153</v>
      </c>
      <c r="B55" s="196" t="s">
        <v>901</v>
      </c>
      <c r="C55" s="217">
        <f>IF(ISNUMBER(VLOOKUP($B:$B,BS!$A:$D,$2:$2,0)),VLOOKUP($B:$B,BS!$A:$D,$2:$2,0),0)</f>
        <v>0</v>
      </c>
      <c r="D55" s="217">
        <f>IF(ISNUMBER(VLOOKUP($B:$B,BS!$A:$D,$2:$2,0)),VLOOKUP($B:$B,BS!$A:$D,$2:$2,0),0)</f>
        <v>0</v>
      </c>
      <c r="E55" s="217">
        <f>IF(ISNUMBER(VLOOKUP($B:$B,BS!$A:$D,$2:$2,0)),VLOOKUP($B:$B,BS!$A:$D,$2:$2,0),0)</f>
        <v>0</v>
      </c>
      <c r="F55" s="217">
        <f>IF(ISNUMBER(VLOOKUP($B:$B,BS!$A:$D,$2:$2,0)),VLOOKUP($B:$B,BS!$A:$D,$2:$2,0),0)</f>
        <v>0</v>
      </c>
      <c r="G55" s="217">
        <f>IF(ISNUMBER(VLOOKUP($B:$B,BS!$A:$D,$2:$2,0)),VLOOKUP($B:$B,BS!$A:$D,$2:$2,0),0)</f>
        <v>0</v>
      </c>
      <c r="H55" s="207">
        <f>IF(ISNUMBER(VLOOKUP($B:$B,'BS(과거)'!$A:$F,$2:$2,0)),VLOOKUP($B:$B,'BS(과거)'!$A:$F,$2:$2,0),0)</f>
        <v>0</v>
      </c>
      <c r="I55" s="207">
        <f>IF(ISNUMBER(VLOOKUP($B:$B,'BS(과거)'!$A:$F,$2:$2,0)),VLOOKUP($B:$B,'BS(과거)'!$A:$F,$2:$2,0),0)</f>
        <v>0</v>
      </c>
      <c r="J55" s="207">
        <f>IF(ISNUMBER(VLOOKUP($B:$B,'BS(과거)'!$A:$F,$2:$2,0)),VLOOKUP($B:$B,'BS(과거)'!$A:$F,$2:$2,0),0)</f>
        <v>0</v>
      </c>
      <c r="K55" s="207">
        <f>IF(ISNUMBER(VLOOKUP($B:$B,'BS(과거)'!$A:$F,$2:$2,0)),VLOOKUP($B:$B,'BS(과거)'!$A:$F,$2:$2,0),0)</f>
        <v>0</v>
      </c>
      <c r="L55" s="207">
        <f>IF(ISNUMBER(VLOOKUP($B:$B,'BS(과거)'!$A:$F,$2:$2,0)),VLOOKUP($B:$B,'BS(과거)'!$A:$F,$2:$2,0),0)</f>
        <v>0</v>
      </c>
      <c r="N55" s="207">
        <f>IF(ISNUMBER(VLOOKUP($B:$B,'BS(분기)'!$A:$F,$2:$2,0)),VLOOKUP($B:$B,'BS(분기)'!$A:$F,$2:$2,0),0)</f>
        <v>0</v>
      </c>
      <c r="O55" s="207">
        <f>IF(ISNUMBER(VLOOKUP($B:$B,'BS(분기)'!$A:$F,$2:$2,0)),VLOOKUP($B:$B,'BS(분기)'!$A:$F,$2:$2,0),0)</f>
        <v>0</v>
      </c>
      <c r="P55" s="207">
        <f>IF(ISNUMBER(VLOOKUP($B:$B,'BS(분기)'!$A:$F,$2:$2,0)),VLOOKUP($B:$B,'BS(분기)'!$A:$F,$2:$2,0),0)</f>
        <v>0</v>
      </c>
      <c r="Q55" s="207">
        <f>IF(ISNUMBER(VLOOKUP($B:$B,'BS(분기)'!$A:$F,$2:$2,0)),VLOOKUP($B:$B,'BS(분기)'!$A:$F,$2:$2,0),0)</f>
        <v>0</v>
      </c>
      <c r="R55" s="207">
        <f>IF(ISNUMBER(VLOOKUP($B:$B,'BS(분기)'!$A:$F,$2:$2,0)),VLOOKUP($B:$B,'BS(분기)'!$A:$F,$2:$2,0),0)</f>
        <v>0</v>
      </c>
    </row>
    <row r="56" spans="1:18" s="192" customFormat="1" ht="12">
      <c r="A56" s="202">
        <v>111170</v>
      </c>
      <c r="B56" s="195" t="s">
        <v>559</v>
      </c>
      <c r="C56" s="217">
        <f>IF(ISNUMBER(VLOOKUP($B:$B,BS!$A:$D,$2:$2,0)),VLOOKUP($B:$B,BS!$A:$D,$2:$2,0),0)</f>
        <v>0</v>
      </c>
      <c r="D56" s="217">
        <f>IF(ISNUMBER(VLOOKUP($B:$B,BS!$A:$D,$2:$2,0)),VLOOKUP($B:$B,BS!$A:$D,$2:$2,0),0)</f>
        <v>0</v>
      </c>
      <c r="E56" s="217">
        <f>IF(ISNUMBER(VLOOKUP($B:$B,BS!$A:$D,$2:$2,0)),VLOOKUP($B:$B,BS!$A:$D,$2:$2,0),0)</f>
        <v>0</v>
      </c>
      <c r="F56" s="217">
        <f>IF(ISNUMBER(VLOOKUP($B:$B,BS!$A:$D,$2:$2,0)),VLOOKUP($B:$B,BS!$A:$D,$2:$2,0),0)</f>
        <v>0</v>
      </c>
      <c r="G56" s="217">
        <f>IF(ISNUMBER(VLOOKUP($B:$B,BS!$A:$D,$2:$2,0)),VLOOKUP($B:$B,BS!$A:$D,$2:$2,0),0)</f>
        <v>0</v>
      </c>
      <c r="H56" s="207">
        <f>IF(ISNUMBER(VLOOKUP($B:$B,'BS(과거)'!$A:$F,$2:$2,0)),VLOOKUP($B:$B,'BS(과거)'!$A:$F,$2:$2,0),0)</f>
        <v>0</v>
      </c>
      <c r="I56" s="207">
        <f>IF(ISNUMBER(VLOOKUP($B:$B,'BS(과거)'!$A:$F,$2:$2,0)),VLOOKUP($B:$B,'BS(과거)'!$A:$F,$2:$2,0),0)</f>
        <v>0</v>
      </c>
      <c r="J56" s="207">
        <f>IF(ISNUMBER(VLOOKUP($B:$B,'BS(과거)'!$A:$F,$2:$2,0)),VLOOKUP($B:$B,'BS(과거)'!$A:$F,$2:$2,0),0)</f>
        <v>0</v>
      </c>
      <c r="K56" s="207">
        <f>IF(ISNUMBER(VLOOKUP($B:$B,'BS(과거)'!$A:$F,$2:$2,0)),VLOOKUP($B:$B,'BS(과거)'!$A:$F,$2:$2,0),0)</f>
        <v>0</v>
      </c>
      <c r="L56" s="207">
        <f>IF(ISNUMBER(VLOOKUP($B:$B,'BS(과거)'!$A:$F,$2:$2,0)),VLOOKUP($B:$B,'BS(과거)'!$A:$F,$2:$2,0),0)</f>
        <v>0</v>
      </c>
      <c r="N56" s="207">
        <f>IF(ISNUMBER(VLOOKUP($B:$B,'BS(분기)'!$A:$F,$2:$2,0)),VLOOKUP($B:$B,'BS(분기)'!$A:$F,$2:$2,0),0)</f>
        <v>0</v>
      </c>
      <c r="O56" s="207">
        <f>IF(ISNUMBER(VLOOKUP($B:$B,'BS(분기)'!$A:$F,$2:$2,0)),VLOOKUP($B:$B,'BS(분기)'!$A:$F,$2:$2,0),0)</f>
        <v>0</v>
      </c>
      <c r="P56" s="207">
        <f>IF(ISNUMBER(VLOOKUP($B:$B,'BS(분기)'!$A:$F,$2:$2,0)),VLOOKUP($B:$B,'BS(분기)'!$A:$F,$2:$2,0),0)</f>
        <v>0</v>
      </c>
      <c r="Q56" s="207">
        <f>IF(ISNUMBER(VLOOKUP($B:$B,'BS(분기)'!$A:$F,$2:$2,0)),VLOOKUP($B:$B,'BS(분기)'!$A:$F,$2:$2,0),0)</f>
        <v>0</v>
      </c>
      <c r="R56" s="207">
        <f>IF(ISNUMBER(VLOOKUP($B:$B,'BS(분기)'!$A:$F,$2:$2,0)),VLOOKUP($B:$B,'BS(분기)'!$A:$F,$2:$2,0),0)</f>
        <v>0</v>
      </c>
    </row>
    <row r="57" spans="1:18" s="192" customFormat="1" ht="12">
      <c r="A57" s="202">
        <v>111178</v>
      </c>
      <c r="B57" s="195" t="s">
        <v>902</v>
      </c>
      <c r="C57" s="217">
        <f>IF(ISNUMBER(VLOOKUP($B:$B,BS!$A:$D,$2:$2,0)),VLOOKUP($B:$B,BS!$A:$D,$2:$2,0),0)</f>
        <v>0</v>
      </c>
      <c r="D57" s="217">
        <f>IF(ISNUMBER(VLOOKUP($B:$B,BS!$A:$D,$2:$2,0)),VLOOKUP($B:$B,BS!$A:$D,$2:$2,0),0)</f>
        <v>0</v>
      </c>
      <c r="E57" s="217">
        <f>IF(ISNUMBER(VLOOKUP($B:$B,BS!$A:$D,$2:$2,0)),VLOOKUP($B:$B,BS!$A:$D,$2:$2,0),0)</f>
        <v>0</v>
      </c>
      <c r="F57" s="217">
        <f>IF(ISNUMBER(VLOOKUP($B:$B,BS!$A:$D,$2:$2,0)),VLOOKUP($B:$B,BS!$A:$D,$2:$2,0),0)</f>
        <v>0</v>
      </c>
      <c r="G57" s="217">
        <f>IF(ISNUMBER(VLOOKUP($B:$B,BS!$A:$D,$2:$2,0)),VLOOKUP($B:$B,BS!$A:$D,$2:$2,0),0)</f>
        <v>0</v>
      </c>
      <c r="H57" s="207">
        <f>IF(ISNUMBER(VLOOKUP($B:$B,'BS(과거)'!$A:$F,$2:$2,0)),VLOOKUP($B:$B,'BS(과거)'!$A:$F,$2:$2,0),0)</f>
        <v>0</v>
      </c>
      <c r="I57" s="207">
        <f>IF(ISNUMBER(VLOOKUP($B:$B,'BS(과거)'!$A:$F,$2:$2,0)),VLOOKUP($B:$B,'BS(과거)'!$A:$F,$2:$2,0),0)</f>
        <v>0</v>
      </c>
      <c r="J57" s="207">
        <f>IF(ISNUMBER(VLOOKUP($B:$B,'BS(과거)'!$A:$F,$2:$2,0)),VLOOKUP($B:$B,'BS(과거)'!$A:$F,$2:$2,0),0)</f>
        <v>0</v>
      </c>
      <c r="K57" s="207">
        <f>IF(ISNUMBER(VLOOKUP($B:$B,'BS(과거)'!$A:$F,$2:$2,0)),VLOOKUP($B:$B,'BS(과거)'!$A:$F,$2:$2,0),0)</f>
        <v>0</v>
      </c>
      <c r="L57" s="207">
        <f>IF(ISNUMBER(VLOOKUP($B:$B,'BS(과거)'!$A:$F,$2:$2,0)),VLOOKUP($B:$B,'BS(과거)'!$A:$F,$2:$2,0),0)</f>
        <v>0</v>
      </c>
      <c r="N57" s="207">
        <f>IF(ISNUMBER(VLOOKUP($B:$B,'BS(분기)'!$A:$F,$2:$2,0)),VLOOKUP($B:$B,'BS(분기)'!$A:$F,$2:$2,0),0)</f>
        <v>0</v>
      </c>
      <c r="O57" s="207">
        <f>IF(ISNUMBER(VLOOKUP($B:$B,'BS(분기)'!$A:$F,$2:$2,0)),VLOOKUP($B:$B,'BS(분기)'!$A:$F,$2:$2,0),0)</f>
        <v>0</v>
      </c>
      <c r="P57" s="207">
        <f>IF(ISNUMBER(VLOOKUP($B:$B,'BS(분기)'!$A:$F,$2:$2,0)),VLOOKUP($B:$B,'BS(분기)'!$A:$F,$2:$2,0),0)</f>
        <v>0</v>
      </c>
      <c r="Q57" s="207">
        <f>IF(ISNUMBER(VLOOKUP($B:$B,'BS(분기)'!$A:$F,$2:$2,0)),VLOOKUP($B:$B,'BS(분기)'!$A:$F,$2:$2,0),0)</f>
        <v>0</v>
      </c>
      <c r="R57" s="207">
        <f>IF(ISNUMBER(VLOOKUP($B:$B,'BS(분기)'!$A:$F,$2:$2,0)),VLOOKUP($B:$B,'BS(분기)'!$A:$F,$2:$2,0),0)</f>
        <v>0</v>
      </c>
    </row>
    <row r="58" spans="1:18" s="192" customFormat="1" ht="12">
      <c r="A58" s="202">
        <v>111179</v>
      </c>
      <c r="B58" s="195" t="s">
        <v>903</v>
      </c>
      <c r="C58" s="217">
        <f>IF(ISNUMBER(VLOOKUP($B:$B,BS!$A:$D,$2:$2,0)),VLOOKUP($B:$B,BS!$A:$D,$2:$2,0),0)</f>
        <v>0</v>
      </c>
      <c r="D58" s="217">
        <f>IF(ISNUMBER(VLOOKUP($B:$B,BS!$A:$D,$2:$2,0)),VLOOKUP($B:$B,BS!$A:$D,$2:$2,0),0)</f>
        <v>0</v>
      </c>
      <c r="E58" s="217">
        <f>IF(ISNUMBER(VLOOKUP($B:$B,BS!$A:$D,$2:$2,0)),VLOOKUP($B:$B,BS!$A:$D,$2:$2,0),0)</f>
        <v>0</v>
      </c>
      <c r="F58" s="217">
        <f>IF(ISNUMBER(VLOOKUP($B:$B,BS!$A:$D,$2:$2,0)),VLOOKUP($B:$B,BS!$A:$D,$2:$2,0),0)</f>
        <v>0</v>
      </c>
      <c r="G58" s="217">
        <f>IF(ISNUMBER(VLOOKUP($B:$B,BS!$A:$D,$2:$2,0)),VLOOKUP($B:$B,BS!$A:$D,$2:$2,0),0)</f>
        <v>0</v>
      </c>
      <c r="H58" s="207">
        <f>IF(ISNUMBER(VLOOKUP($B:$B,'BS(과거)'!$A:$F,$2:$2,0)),VLOOKUP($B:$B,'BS(과거)'!$A:$F,$2:$2,0),0)</f>
        <v>0</v>
      </c>
      <c r="I58" s="207">
        <f>IF(ISNUMBER(VLOOKUP($B:$B,'BS(과거)'!$A:$F,$2:$2,0)),VLOOKUP($B:$B,'BS(과거)'!$A:$F,$2:$2,0),0)</f>
        <v>0</v>
      </c>
      <c r="J58" s="207">
        <f>IF(ISNUMBER(VLOOKUP($B:$B,'BS(과거)'!$A:$F,$2:$2,0)),VLOOKUP($B:$B,'BS(과거)'!$A:$F,$2:$2,0),0)</f>
        <v>0</v>
      </c>
      <c r="K58" s="207">
        <f>IF(ISNUMBER(VLOOKUP($B:$B,'BS(과거)'!$A:$F,$2:$2,0)),VLOOKUP($B:$B,'BS(과거)'!$A:$F,$2:$2,0),0)</f>
        <v>0</v>
      </c>
      <c r="L58" s="207">
        <f>IF(ISNUMBER(VLOOKUP($B:$B,'BS(과거)'!$A:$F,$2:$2,0)),VLOOKUP($B:$B,'BS(과거)'!$A:$F,$2:$2,0),0)</f>
        <v>0</v>
      </c>
      <c r="N58" s="207">
        <f>IF(ISNUMBER(VLOOKUP($B:$B,'BS(분기)'!$A:$F,$2:$2,0)),VLOOKUP($B:$B,'BS(분기)'!$A:$F,$2:$2,0),0)</f>
        <v>0</v>
      </c>
      <c r="O58" s="207">
        <f>IF(ISNUMBER(VLOOKUP($B:$B,'BS(분기)'!$A:$F,$2:$2,0)),VLOOKUP($B:$B,'BS(분기)'!$A:$F,$2:$2,0),0)</f>
        <v>0</v>
      </c>
      <c r="P58" s="207">
        <f>IF(ISNUMBER(VLOOKUP($B:$B,'BS(분기)'!$A:$F,$2:$2,0)),VLOOKUP($B:$B,'BS(분기)'!$A:$F,$2:$2,0),0)</f>
        <v>0</v>
      </c>
      <c r="Q58" s="207">
        <f>IF(ISNUMBER(VLOOKUP($B:$B,'BS(분기)'!$A:$F,$2:$2,0)),VLOOKUP($B:$B,'BS(분기)'!$A:$F,$2:$2,0),0)</f>
        <v>0</v>
      </c>
      <c r="R58" s="207">
        <f>IF(ISNUMBER(VLOOKUP($B:$B,'BS(분기)'!$A:$F,$2:$2,0)),VLOOKUP($B:$B,'BS(분기)'!$A:$F,$2:$2,0),0)</f>
        <v>0</v>
      </c>
    </row>
    <row r="59" spans="1:18" s="192" customFormat="1" ht="12">
      <c r="A59" s="203">
        <v>111171</v>
      </c>
      <c r="B59" s="196" t="s">
        <v>904</v>
      </c>
      <c r="C59" s="217">
        <f>IF(ISNUMBER(VLOOKUP($B:$B,BS!$A:$D,$2:$2,0)),VLOOKUP($B:$B,BS!$A:$D,$2:$2,0),0)</f>
        <v>0</v>
      </c>
      <c r="D59" s="217">
        <f>IF(ISNUMBER(VLOOKUP($B:$B,BS!$A:$D,$2:$2,0)),VLOOKUP($B:$B,BS!$A:$D,$2:$2,0),0)</f>
        <v>0</v>
      </c>
      <c r="E59" s="217">
        <f>IF(ISNUMBER(VLOOKUP($B:$B,BS!$A:$D,$2:$2,0)),VLOOKUP($B:$B,BS!$A:$D,$2:$2,0),0)</f>
        <v>0</v>
      </c>
      <c r="F59" s="217">
        <f>IF(ISNUMBER(VLOOKUP($B:$B,BS!$A:$D,$2:$2,0)),VLOOKUP($B:$B,BS!$A:$D,$2:$2,0),0)</f>
        <v>0</v>
      </c>
      <c r="G59" s="217">
        <f>IF(ISNUMBER(VLOOKUP($B:$B,BS!$A:$D,$2:$2,0)),VLOOKUP($B:$B,BS!$A:$D,$2:$2,0),0)</f>
        <v>0</v>
      </c>
      <c r="H59" s="207">
        <f>IF(ISNUMBER(VLOOKUP($B:$B,'BS(과거)'!$A:$F,$2:$2,0)),VLOOKUP($B:$B,'BS(과거)'!$A:$F,$2:$2,0),0)</f>
        <v>0</v>
      </c>
      <c r="I59" s="207">
        <f>IF(ISNUMBER(VLOOKUP($B:$B,'BS(과거)'!$A:$F,$2:$2,0)),VLOOKUP($B:$B,'BS(과거)'!$A:$F,$2:$2,0),0)</f>
        <v>0</v>
      </c>
      <c r="J59" s="207">
        <f>IF(ISNUMBER(VLOOKUP($B:$B,'BS(과거)'!$A:$F,$2:$2,0)),VLOOKUP($B:$B,'BS(과거)'!$A:$F,$2:$2,0),0)</f>
        <v>0</v>
      </c>
      <c r="K59" s="207">
        <f>IF(ISNUMBER(VLOOKUP($B:$B,'BS(과거)'!$A:$F,$2:$2,0)),VLOOKUP($B:$B,'BS(과거)'!$A:$F,$2:$2,0),0)</f>
        <v>0</v>
      </c>
      <c r="L59" s="207">
        <f>IF(ISNUMBER(VLOOKUP($B:$B,'BS(과거)'!$A:$F,$2:$2,0)),VLOOKUP($B:$B,'BS(과거)'!$A:$F,$2:$2,0),0)</f>
        <v>0</v>
      </c>
      <c r="N59" s="207">
        <f>IF(ISNUMBER(VLOOKUP($B:$B,'BS(분기)'!$A:$F,$2:$2,0)),VLOOKUP($B:$B,'BS(분기)'!$A:$F,$2:$2,0),0)</f>
        <v>0</v>
      </c>
      <c r="O59" s="207">
        <f>IF(ISNUMBER(VLOOKUP($B:$B,'BS(분기)'!$A:$F,$2:$2,0)),VLOOKUP($B:$B,'BS(분기)'!$A:$F,$2:$2,0),0)</f>
        <v>0</v>
      </c>
      <c r="P59" s="207">
        <f>IF(ISNUMBER(VLOOKUP($B:$B,'BS(분기)'!$A:$F,$2:$2,0)),VLOOKUP($B:$B,'BS(분기)'!$A:$F,$2:$2,0),0)</f>
        <v>0</v>
      </c>
      <c r="Q59" s="207">
        <f>IF(ISNUMBER(VLOOKUP($B:$B,'BS(분기)'!$A:$F,$2:$2,0)),VLOOKUP($B:$B,'BS(분기)'!$A:$F,$2:$2,0),0)</f>
        <v>0</v>
      </c>
      <c r="R59" s="207">
        <f>IF(ISNUMBER(VLOOKUP($B:$B,'BS(분기)'!$A:$F,$2:$2,0)),VLOOKUP($B:$B,'BS(분기)'!$A:$F,$2:$2,0),0)</f>
        <v>0</v>
      </c>
    </row>
    <row r="60" spans="1:18" s="192" customFormat="1" ht="12">
      <c r="A60" s="203">
        <v>111172</v>
      </c>
      <c r="B60" s="196" t="s">
        <v>905</v>
      </c>
      <c r="C60" s="217">
        <f>IF(ISNUMBER(VLOOKUP($B:$B,BS!$A:$D,$2:$2,0)),VLOOKUP($B:$B,BS!$A:$D,$2:$2,0),0)</f>
        <v>0</v>
      </c>
      <c r="D60" s="217">
        <f>IF(ISNUMBER(VLOOKUP($B:$B,BS!$A:$D,$2:$2,0)),VLOOKUP($B:$B,BS!$A:$D,$2:$2,0),0)</f>
        <v>0</v>
      </c>
      <c r="E60" s="217">
        <f>IF(ISNUMBER(VLOOKUP($B:$B,BS!$A:$D,$2:$2,0)),VLOOKUP($B:$B,BS!$A:$D,$2:$2,0),0)</f>
        <v>0</v>
      </c>
      <c r="F60" s="217">
        <f>IF(ISNUMBER(VLOOKUP($B:$B,BS!$A:$D,$2:$2,0)),VLOOKUP($B:$B,BS!$A:$D,$2:$2,0),0)</f>
        <v>0</v>
      </c>
      <c r="G60" s="217">
        <f>IF(ISNUMBER(VLOOKUP($B:$B,BS!$A:$D,$2:$2,0)),VLOOKUP($B:$B,BS!$A:$D,$2:$2,0),0)</f>
        <v>0</v>
      </c>
      <c r="H60" s="207">
        <f>IF(ISNUMBER(VLOOKUP($B:$B,'BS(과거)'!$A:$F,$2:$2,0)),VLOOKUP($B:$B,'BS(과거)'!$A:$F,$2:$2,0),0)</f>
        <v>0</v>
      </c>
      <c r="I60" s="207">
        <f>IF(ISNUMBER(VLOOKUP($B:$B,'BS(과거)'!$A:$F,$2:$2,0)),VLOOKUP($B:$B,'BS(과거)'!$A:$F,$2:$2,0),0)</f>
        <v>0</v>
      </c>
      <c r="J60" s="207">
        <f>IF(ISNUMBER(VLOOKUP($B:$B,'BS(과거)'!$A:$F,$2:$2,0)),VLOOKUP($B:$B,'BS(과거)'!$A:$F,$2:$2,0),0)</f>
        <v>0</v>
      </c>
      <c r="K60" s="207">
        <f>IF(ISNUMBER(VLOOKUP($B:$B,'BS(과거)'!$A:$F,$2:$2,0)),VLOOKUP($B:$B,'BS(과거)'!$A:$F,$2:$2,0),0)</f>
        <v>0</v>
      </c>
      <c r="L60" s="207">
        <f>IF(ISNUMBER(VLOOKUP($B:$B,'BS(과거)'!$A:$F,$2:$2,0)),VLOOKUP($B:$B,'BS(과거)'!$A:$F,$2:$2,0),0)</f>
        <v>0</v>
      </c>
      <c r="N60" s="207">
        <f>IF(ISNUMBER(VLOOKUP($B:$B,'BS(분기)'!$A:$F,$2:$2,0)),VLOOKUP($B:$B,'BS(분기)'!$A:$F,$2:$2,0),0)</f>
        <v>0</v>
      </c>
      <c r="O60" s="207">
        <f>IF(ISNUMBER(VLOOKUP($B:$B,'BS(분기)'!$A:$F,$2:$2,0)),VLOOKUP($B:$B,'BS(분기)'!$A:$F,$2:$2,0),0)</f>
        <v>0</v>
      </c>
      <c r="P60" s="207">
        <f>IF(ISNUMBER(VLOOKUP($B:$B,'BS(분기)'!$A:$F,$2:$2,0)),VLOOKUP($B:$B,'BS(분기)'!$A:$F,$2:$2,0),0)</f>
        <v>0</v>
      </c>
      <c r="Q60" s="207">
        <f>IF(ISNUMBER(VLOOKUP($B:$B,'BS(분기)'!$A:$F,$2:$2,0)),VLOOKUP($B:$B,'BS(분기)'!$A:$F,$2:$2,0),0)</f>
        <v>0</v>
      </c>
      <c r="R60" s="207">
        <f>IF(ISNUMBER(VLOOKUP($B:$B,'BS(분기)'!$A:$F,$2:$2,0)),VLOOKUP($B:$B,'BS(분기)'!$A:$F,$2:$2,0),0)</f>
        <v>0</v>
      </c>
    </row>
    <row r="61" spans="1:18" s="192" customFormat="1" ht="12">
      <c r="A61" s="203">
        <v>111173</v>
      </c>
      <c r="B61" s="196" t="s">
        <v>906</v>
      </c>
      <c r="C61" s="217">
        <f>IF(ISNUMBER(VLOOKUP($B:$B,BS!$A:$D,$2:$2,0)),VLOOKUP($B:$B,BS!$A:$D,$2:$2,0),0)</f>
        <v>0</v>
      </c>
      <c r="D61" s="217">
        <f>IF(ISNUMBER(VLOOKUP($B:$B,BS!$A:$D,$2:$2,0)),VLOOKUP($B:$B,BS!$A:$D,$2:$2,0),0)</f>
        <v>0</v>
      </c>
      <c r="E61" s="217">
        <f>IF(ISNUMBER(VLOOKUP($B:$B,BS!$A:$D,$2:$2,0)),VLOOKUP($B:$B,BS!$A:$D,$2:$2,0),0)</f>
        <v>0</v>
      </c>
      <c r="F61" s="217">
        <f>IF(ISNUMBER(VLOOKUP($B:$B,BS!$A:$D,$2:$2,0)),VLOOKUP($B:$B,BS!$A:$D,$2:$2,0),0)</f>
        <v>0</v>
      </c>
      <c r="G61" s="217">
        <f>IF(ISNUMBER(VLOOKUP($B:$B,BS!$A:$D,$2:$2,0)),VLOOKUP($B:$B,BS!$A:$D,$2:$2,0),0)</f>
        <v>0</v>
      </c>
      <c r="H61" s="207">
        <f>IF(ISNUMBER(VLOOKUP($B:$B,'BS(과거)'!$A:$F,$2:$2,0)),VLOOKUP($B:$B,'BS(과거)'!$A:$F,$2:$2,0),0)</f>
        <v>0</v>
      </c>
      <c r="I61" s="207">
        <f>IF(ISNUMBER(VLOOKUP($B:$B,'BS(과거)'!$A:$F,$2:$2,0)),VLOOKUP($B:$B,'BS(과거)'!$A:$F,$2:$2,0),0)</f>
        <v>0</v>
      </c>
      <c r="J61" s="207">
        <f>IF(ISNUMBER(VLOOKUP($B:$B,'BS(과거)'!$A:$F,$2:$2,0)),VLOOKUP($B:$B,'BS(과거)'!$A:$F,$2:$2,0),0)</f>
        <v>0</v>
      </c>
      <c r="K61" s="207">
        <f>IF(ISNUMBER(VLOOKUP($B:$B,'BS(과거)'!$A:$F,$2:$2,0)),VLOOKUP($B:$B,'BS(과거)'!$A:$F,$2:$2,0),0)</f>
        <v>0</v>
      </c>
      <c r="L61" s="207">
        <f>IF(ISNUMBER(VLOOKUP($B:$B,'BS(과거)'!$A:$F,$2:$2,0)),VLOOKUP($B:$B,'BS(과거)'!$A:$F,$2:$2,0),0)</f>
        <v>0</v>
      </c>
      <c r="N61" s="207">
        <f>IF(ISNUMBER(VLOOKUP($B:$B,'BS(분기)'!$A:$F,$2:$2,0)),VLOOKUP($B:$B,'BS(분기)'!$A:$F,$2:$2,0),0)</f>
        <v>0</v>
      </c>
      <c r="O61" s="207">
        <f>IF(ISNUMBER(VLOOKUP($B:$B,'BS(분기)'!$A:$F,$2:$2,0)),VLOOKUP($B:$B,'BS(분기)'!$A:$F,$2:$2,0),0)</f>
        <v>0</v>
      </c>
      <c r="P61" s="207">
        <f>IF(ISNUMBER(VLOOKUP($B:$B,'BS(분기)'!$A:$F,$2:$2,0)),VLOOKUP($B:$B,'BS(분기)'!$A:$F,$2:$2,0),0)</f>
        <v>0</v>
      </c>
      <c r="Q61" s="207">
        <f>IF(ISNUMBER(VLOOKUP($B:$B,'BS(분기)'!$A:$F,$2:$2,0)),VLOOKUP($B:$B,'BS(분기)'!$A:$F,$2:$2,0),0)</f>
        <v>0</v>
      </c>
      <c r="R61" s="207">
        <f>IF(ISNUMBER(VLOOKUP($B:$B,'BS(분기)'!$A:$F,$2:$2,0)),VLOOKUP($B:$B,'BS(분기)'!$A:$F,$2:$2,0),0)</f>
        <v>0</v>
      </c>
    </row>
    <row r="62" spans="1:18" s="192" customFormat="1" ht="12">
      <c r="A62" s="203">
        <v>111174</v>
      </c>
      <c r="B62" s="196" t="s">
        <v>907</v>
      </c>
      <c r="C62" s="217">
        <f>IF(ISNUMBER(VLOOKUP($B:$B,BS!$A:$D,$2:$2,0)),VLOOKUP($B:$B,BS!$A:$D,$2:$2,0),0)</f>
        <v>0</v>
      </c>
      <c r="D62" s="217">
        <f>IF(ISNUMBER(VLOOKUP($B:$B,BS!$A:$D,$2:$2,0)),VLOOKUP($B:$B,BS!$A:$D,$2:$2,0),0)</f>
        <v>0</v>
      </c>
      <c r="E62" s="217">
        <f>IF(ISNUMBER(VLOOKUP($B:$B,BS!$A:$D,$2:$2,0)),VLOOKUP($B:$B,BS!$A:$D,$2:$2,0),0)</f>
        <v>0</v>
      </c>
      <c r="F62" s="217">
        <f>IF(ISNUMBER(VLOOKUP($B:$B,BS!$A:$D,$2:$2,0)),VLOOKUP($B:$B,BS!$A:$D,$2:$2,0),0)</f>
        <v>0</v>
      </c>
      <c r="G62" s="217">
        <f>IF(ISNUMBER(VLOOKUP($B:$B,BS!$A:$D,$2:$2,0)),VLOOKUP($B:$B,BS!$A:$D,$2:$2,0),0)</f>
        <v>0</v>
      </c>
      <c r="H62" s="207">
        <f>IF(ISNUMBER(VLOOKUP($B:$B,'BS(과거)'!$A:$F,$2:$2,0)),VLOOKUP($B:$B,'BS(과거)'!$A:$F,$2:$2,0),0)</f>
        <v>0</v>
      </c>
      <c r="I62" s="207">
        <f>IF(ISNUMBER(VLOOKUP($B:$B,'BS(과거)'!$A:$F,$2:$2,0)),VLOOKUP($B:$B,'BS(과거)'!$A:$F,$2:$2,0),0)</f>
        <v>0</v>
      </c>
      <c r="J62" s="207">
        <f>IF(ISNUMBER(VLOOKUP($B:$B,'BS(과거)'!$A:$F,$2:$2,0)),VLOOKUP($B:$B,'BS(과거)'!$A:$F,$2:$2,0),0)</f>
        <v>0</v>
      </c>
      <c r="K62" s="207">
        <f>IF(ISNUMBER(VLOOKUP($B:$B,'BS(과거)'!$A:$F,$2:$2,0)),VLOOKUP($B:$B,'BS(과거)'!$A:$F,$2:$2,0),0)</f>
        <v>0</v>
      </c>
      <c r="L62" s="207">
        <f>IF(ISNUMBER(VLOOKUP($B:$B,'BS(과거)'!$A:$F,$2:$2,0)),VLOOKUP($B:$B,'BS(과거)'!$A:$F,$2:$2,0),0)</f>
        <v>0</v>
      </c>
      <c r="N62" s="207">
        <f>IF(ISNUMBER(VLOOKUP($B:$B,'BS(분기)'!$A:$F,$2:$2,0)),VLOOKUP($B:$B,'BS(분기)'!$A:$F,$2:$2,0),0)</f>
        <v>0</v>
      </c>
      <c r="O62" s="207">
        <f>IF(ISNUMBER(VLOOKUP($B:$B,'BS(분기)'!$A:$F,$2:$2,0)),VLOOKUP($B:$B,'BS(분기)'!$A:$F,$2:$2,0),0)</f>
        <v>0</v>
      </c>
      <c r="P62" s="207">
        <f>IF(ISNUMBER(VLOOKUP($B:$B,'BS(분기)'!$A:$F,$2:$2,0)),VLOOKUP($B:$B,'BS(분기)'!$A:$F,$2:$2,0),0)</f>
        <v>0</v>
      </c>
      <c r="Q62" s="207">
        <f>IF(ISNUMBER(VLOOKUP($B:$B,'BS(분기)'!$A:$F,$2:$2,0)),VLOOKUP($B:$B,'BS(분기)'!$A:$F,$2:$2,0),0)</f>
        <v>0</v>
      </c>
      <c r="R62" s="207">
        <f>IF(ISNUMBER(VLOOKUP($B:$B,'BS(분기)'!$A:$F,$2:$2,0)),VLOOKUP($B:$B,'BS(분기)'!$A:$F,$2:$2,0),0)</f>
        <v>0</v>
      </c>
    </row>
    <row r="63" spans="1:18" s="192" customFormat="1" ht="12">
      <c r="A63" s="202">
        <v>111180</v>
      </c>
      <c r="B63" s="195" t="s">
        <v>790</v>
      </c>
      <c r="C63" s="217">
        <f>IF(ISNUMBER(VLOOKUP($B:$B,BS!$A:$D,$2:$2,0)),VLOOKUP($B:$B,BS!$A:$D,$2:$2,0),0)</f>
        <v>0</v>
      </c>
      <c r="D63" s="217">
        <f>IF(ISNUMBER(VLOOKUP($B:$B,BS!$A:$D,$2:$2,0)),VLOOKUP($B:$B,BS!$A:$D,$2:$2,0),0)</f>
        <v>0</v>
      </c>
      <c r="E63" s="217">
        <f>IF(ISNUMBER(VLOOKUP($B:$B,BS!$A:$D,$2:$2,0)),VLOOKUP($B:$B,BS!$A:$D,$2:$2,0),0)</f>
        <v>0</v>
      </c>
      <c r="F63" s="217">
        <f>IF(ISNUMBER(VLOOKUP($B:$B,BS!$A:$D,$2:$2,0)),VLOOKUP($B:$B,BS!$A:$D,$2:$2,0),0)</f>
        <v>0</v>
      </c>
      <c r="G63" s="217">
        <f>IF(ISNUMBER(VLOOKUP($B:$B,BS!$A:$D,$2:$2,0)),VLOOKUP($B:$B,BS!$A:$D,$2:$2,0),0)</f>
        <v>0</v>
      </c>
      <c r="H63" s="207">
        <f>IF(ISNUMBER(VLOOKUP($B:$B,'BS(과거)'!$A:$F,$2:$2,0)),VLOOKUP($B:$B,'BS(과거)'!$A:$F,$2:$2,0),0)</f>
        <v>0</v>
      </c>
      <c r="I63" s="207">
        <f>IF(ISNUMBER(VLOOKUP($B:$B,'BS(과거)'!$A:$F,$2:$2,0)),VLOOKUP($B:$B,'BS(과거)'!$A:$F,$2:$2,0),0)</f>
        <v>0</v>
      </c>
      <c r="J63" s="207">
        <f>IF(ISNUMBER(VLOOKUP($B:$B,'BS(과거)'!$A:$F,$2:$2,0)),VLOOKUP($B:$B,'BS(과거)'!$A:$F,$2:$2,0),0)</f>
        <v>0</v>
      </c>
      <c r="K63" s="207">
        <f>IF(ISNUMBER(VLOOKUP($B:$B,'BS(과거)'!$A:$F,$2:$2,0)),VLOOKUP($B:$B,'BS(과거)'!$A:$F,$2:$2,0),0)</f>
        <v>0</v>
      </c>
      <c r="L63" s="207">
        <f>IF(ISNUMBER(VLOOKUP($B:$B,'BS(과거)'!$A:$F,$2:$2,0)),VLOOKUP($B:$B,'BS(과거)'!$A:$F,$2:$2,0),0)</f>
        <v>0</v>
      </c>
      <c r="N63" s="207">
        <f>IF(ISNUMBER(VLOOKUP($B:$B,'BS(분기)'!$A:$F,$2:$2,0)),VLOOKUP($B:$B,'BS(분기)'!$A:$F,$2:$2,0),0)</f>
        <v>0</v>
      </c>
      <c r="O63" s="207">
        <f>IF(ISNUMBER(VLOOKUP($B:$B,'BS(분기)'!$A:$F,$2:$2,0)),VLOOKUP($B:$B,'BS(분기)'!$A:$F,$2:$2,0),0)</f>
        <v>0</v>
      </c>
      <c r="P63" s="207">
        <f>IF(ISNUMBER(VLOOKUP($B:$B,'BS(분기)'!$A:$F,$2:$2,0)),VLOOKUP($B:$B,'BS(분기)'!$A:$F,$2:$2,0),0)</f>
        <v>0</v>
      </c>
      <c r="Q63" s="207">
        <f>IF(ISNUMBER(VLOOKUP($B:$B,'BS(분기)'!$A:$F,$2:$2,0)),VLOOKUP($B:$B,'BS(분기)'!$A:$F,$2:$2,0),0)</f>
        <v>0</v>
      </c>
      <c r="R63" s="207">
        <f>IF(ISNUMBER(VLOOKUP($B:$B,'BS(분기)'!$A:$F,$2:$2,0)),VLOOKUP($B:$B,'BS(분기)'!$A:$F,$2:$2,0),0)</f>
        <v>0</v>
      </c>
    </row>
    <row r="64" spans="1:18" s="192" customFormat="1" ht="12">
      <c r="A64" s="202">
        <v>111188</v>
      </c>
      <c r="B64" s="195" t="s">
        <v>908</v>
      </c>
      <c r="C64" s="217">
        <f>IF(ISNUMBER(VLOOKUP($B:$B,BS!$A:$D,$2:$2,0)),VLOOKUP($B:$B,BS!$A:$D,$2:$2,0),0)</f>
        <v>0</v>
      </c>
      <c r="D64" s="217">
        <f>IF(ISNUMBER(VLOOKUP($B:$B,BS!$A:$D,$2:$2,0)),VLOOKUP($B:$B,BS!$A:$D,$2:$2,0),0)</f>
        <v>0</v>
      </c>
      <c r="E64" s="217">
        <f>IF(ISNUMBER(VLOOKUP($B:$B,BS!$A:$D,$2:$2,0)),VLOOKUP($B:$B,BS!$A:$D,$2:$2,0),0)</f>
        <v>0</v>
      </c>
      <c r="F64" s="217">
        <f>IF(ISNUMBER(VLOOKUP($B:$B,BS!$A:$D,$2:$2,0)),VLOOKUP($B:$B,BS!$A:$D,$2:$2,0),0)</f>
        <v>0</v>
      </c>
      <c r="G64" s="217">
        <f>IF(ISNUMBER(VLOOKUP($B:$B,BS!$A:$D,$2:$2,0)),VLOOKUP($B:$B,BS!$A:$D,$2:$2,0),0)</f>
        <v>0</v>
      </c>
      <c r="H64" s="207">
        <f>IF(ISNUMBER(VLOOKUP($B:$B,'BS(과거)'!$A:$F,$2:$2,0)),VLOOKUP($B:$B,'BS(과거)'!$A:$F,$2:$2,0),0)</f>
        <v>0</v>
      </c>
      <c r="I64" s="207">
        <f>IF(ISNUMBER(VLOOKUP($B:$B,'BS(과거)'!$A:$F,$2:$2,0)),VLOOKUP($B:$B,'BS(과거)'!$A:$F,$2:$2,0),0)</f>
        <v>0</v>
      </c>
      <c r="J64" s="207">
        <f>IF(ISNUMBER(VLOOKUP($B:$B,'BS(과거)'!$A:$F,$2:$2,0)),VLOOKUP($B:$B,'BS(과거)'!$A:$F,$2:$2,0),0)</f>
        <v>0</v>
      </c>
      <c r="K64" s="207">
        <f>IF(ISNUMBER(VLOOKUP($B:$B,'BS(과거)'!$A:$F,$2:$2,0)),VLOOKUP($B:$B,'BS(과거)'!$A:$F,$2:$2,0),0)</f>
        <v>0</v>
      </c>
      <c r="L64" s="207">
        <f>IF(ISNUMBER(VLOOKUP($B:$B,'BS(과거)'!$A:$F,$2:$2,0)),VLOOKUP($B:$B,'BS(과거)'!$A:$F,$2:$2,0),0)</f>
        <v>0</v>
      </c>
      <c r="N64" s="207">
        <f>IF(ISNUMBER(VLOOKUP($B:$B,'BS(분기)'!$A:$F,$2:$2,0)),VLOOKUP($B:$B,'BS(분기)'!$A:$F,$2:$2,0),0)</f>
        <v>0</v>
      </c>
      <c r="O64" s="207">
        <f>IF(ISNUMBER(VLOOKUP($B:$B,'BS(분기)'!$A:$F,$2:$2,0)),VLOOKUP($B:$B,'BS(분기)'!$A:$F,$2:$2,0),0)</f>
        <v>0</v>
      </c>
      <c r="P64" s="207">
        <f>IF(ISNUMBER(VLOOKUP($B:$B,'BS(분기)'!$A:$F,$2:$2,0)),VLOOKUP($B:$B,'BS(분기)'!$A:$F,$2:$2,0),0)</f>
        <v>0</v>
      </c>
      <c r="Q64" s="207">
        <f>IF(ISNUMBER(VLOOKUP($B:$B,'BS(분기)'!$A:$F,$2:$2,0)),VLOOKUP($B:$B,'BS(분기)'!$A:$F,$2:$2,0),0)</f>
        <v>0</v>
      </c>
      <c r="R64" s="207">
        <f>IF(ISNUMBER(VLOOKUP($B:$B,'BS(분기)'!$A:$F,$2:$2,0)),VLOOKUP($B:$B,'BS(분기)'!$A:$F,$2:$2,0),0)</f>
        <v>0</v>
      </c>
    </row>
    <row r="65" spans="1:18" s="192" customFormat="1" ht="12">
      <c r="A65" s="202">
        <v>111189</v>
      </c>
      <c r="B65" s="195" t="s">
        <v>909</v>
      </c>
      <c r="C65" s="217">
        <f>IF(ISNUMBER(VLOOKUP($B:$B,BS!$A:$D,$2:$2,0)),VLOOKUP($B:$B,BS!$A:$D,$2:$2,0),0)</f>
        <v>0</v>
      </c>
      <c r="D65" s="217">
        <f>IF(ISNUMBER(VLOOKUP($B:$B,BS!$A:$D,$2:$2,0)),VLOOKUP($B:$B,BS!$A:$D,$2:$2,0),0)</f>
        <v>0</v>
      </c>
      <c r="E65" s="217">
        <f>IF(ISNUMBER(VLOOKUP($B:$B,BS!$A:$D,$2:$2,0)),VLOOKUP($B:$B,BS!$A:$D,$2:$2,0),0)</f>
        <v>0</v>
      </c>
      <c r="F65" s="217">
        <f>IF(ISNUMBER(VLOOKUP($B:$B,BS!$A:$D,$2:$2,0)),VLOOKUP($B:$B,BS!$A:$D,$2:$2,0),0)</f>
        <v>0</v>
      </c>
      <c r="G65" s="217">
        <f>IF(ISNUMBER(VLOOKUP($B:$B,BS!$A:$D,$2:$2,0)),VLOOKUP($B:$B,BS!$A:$D,$2:$2,0),0)</f>
        <v>0</v>
      </c>
      <c r="H65" s="207">
        <f>IF(ISNUMBER(VLOOKUP($B:$B,'BS(과거)'!$A:$F,$2:$2,0)),VLOOKUP($B:$B,'BS(과거)'!$A:$F,$2:$2,0),0)</f>
        <v>0</v>
      </c>
      <c r="I65" s="207">
        <f>IF(ISNUMBER(VLOOKUP($B:$B,'BS(과거)'!$A:$F,$2:$2,0)),VLOOKUP($B:$B,'BS(과거)'!$A:$F,$2:$2,0),0)</f>
        <v>0</v>
      </c>
      <c r="J65" s="207">
        <f>IF(ISNUMBER(VLOOKUP($B:$B,'BS(과거)'!$A:$F,$2:$2,0)),VLOOKUP($B:$B,'BS(과거)'!$A:$F,$2:$2,0),0)</f>
        <v>0</v>
      </c>
      <c r="K65" s="207">
        <f>IF(ISNUMBER(VLOOKUP($B:$B,'BS(과거)'!$A:$F,$2:$2,0)),VLOOKUP($B:$B,'BS(과거)'!$A:$F,$2:$2,0),0)</f>
        <v>0</v>
      </c>
      <c r="L65" s="207">
        <f>IF(ISNUMBER(VLOOKUP($B:$B,'BS(과거)'!$A:$F,$2:$2,0)),VLOOKUP($B:$B,'BS(과거)'!$A:$F,$2:$2,0),0)</f>
        <v>0</v>
      </c>
      <c r="N65" s="207">
        <f>IF(ISNUMBER(VLOOKUP($B:$B,'BS(분기)'!$A:$F,$2:$2,0)),VLOOKUP($B:$B,'BS(분기)'!$A:$F,$2:$2,0),0)</f>
        <v>0</v>
      </c>
      <c r="O65" s="207">
        <f>IF(ISNUMBER(VLOOKUP($B:$B,'BS(분기)'!$A:$F,$2:$2,0)),VLOOKUP($B:$B,'BS(분기)'!$A:$F,$2:$2,0),0)</f>
        <v>0</v>
      </c>
      <c r="P65" s="207">
        <f>IF(ISNUMBER(VLOOKUP($B:$B,'BS(분기)'!$A:$F,$2:$2,0)),VLOOKUP($B:$B,'BS(분기)'!$A:$F,$2:$2,0),0)</f>
        <v>0</v>
      </c>
      <c r="Q65" s="207">
        <f>IF(ISNUMBER(VLOOKUP($B:$B,'BS(분기)'!$A:$F,$2:$2,0)),VLOOKUP($B:$B,'BS(분기)'!$A:$F,$2:$2,0),0)</f>
        <v>0</v>
      </c>
      <c r="R65" s="207">
        <f>IF(ISNUMBER(VLOOKUP($B:$B,'BS(분기)'!$A:$F,$2:$2,0)),VLOOKUP($B:$B,'BS(분기)'!$A:$F,$2:$2,0),0)</f>
        <v>0</v>
      </c>
    </row>
    <row r="66" spans="1:18" s="192" customFormat="1" ht="12">
      <c r="A66" s="202">
        <v>111238</v>
      </c>
      <c r="B66" s="195" t="s">
        <v>910</v>
      </c>
      <c r="C66" s="217">
        <f>IF(ISNUMBER(VLOOKUP($B:$B,BS!$A:$D,$2:$2,0)),VLOOKUP($B:$B,BS!$A:$D,$2:$2,0),0)</f>
        <v>0</v>
      </c>
      <c r="D66" s="217">
        <f>IF(ISNUMBER(VLOOKUP($B:$B,BS!$A:$D,$2:$2,0)),VLOOKUP($B:$B,BS!$A:$D,$2:$2,0),0)</f>
        <v>0</v>
      </c>
      <c r="E66" s="217">
        <f>IF(ISNUMBER(VLOOKUP($B:$B,BS!$A:$D,$2:$2,0)),VLOOKUP($B:$B,BS!$A:$D,$2:$2,0),0)</f>
        <v>0</v>
      </c>
      <c r="F66" s="217">
        <f>IF(ISNUMBER(VLOOKUP($B:$B,BS!$A:$D,$2:$2,0)),VLOOKUP($B:$B,BS!$A:$D,$2:$2,0),0)</f>
        <v>0</v>
      </c>
      <c r="G66" s="217">
        <f>IF(ISNUMBER(VLOOKUP($B:$B,BS!$A:$D,$2:$2,0)),VLOOKUP($B:$B,BS!$A:$D,$2:$2,0),0)</f>
        <v>0</v>
      </c>
      <c r="H66" s="207">
        <f>IF(ISNUMBER(VLOOKUP($B:$B,'BS(과거)'!$A:$F,$2:$2,0)),VLOOKUP($B:$B,'BS(과거)'!$A:$F,$2:$2,0),0)</f>
        <v>0</v>
      </c>
      <c r="I66" s="207">
        <f>IF(ISNUMBER(VLOOKUP($B:$B,'BS(과거)'!$A:$F,$2:$2,0)),VLOOKUP($B:$B,'BS(과거)'!$A:$F,$2:$2,0),0)</f>
        <v>0</v>
      </c>
      <c r="J66" s="207">
        <f>IF(ISNUMBER(VLOOKUP($B:$B,'BS(과거)'!$A:$F,$2:$2,0)),VLOOKUP($B:$B,'BS(과거)'!$A:$F,$2:$2,0),0)</f>
        <v>0</v>
      </c>
      <c r="K66" s="207">
        <f>IF(ISNUMBER(VLOOKUP($B:$B,'BS(과거)'!$A:$F,$2:$2,0)),VLOOKUP($B:$B,'BS(과거)'!$A:$F,$2:$2,0),0)</f>
        <v>0</v>
      </c>
      <c r="L66" s="207">
        <f>IF(ISNUMBER(VLOOKUP($B:$B,'BS(과거)'!$A:$F,$2:$2,0)),VLOOKUP($B:$B,'BS(과거)'!$A:$F,$2:$2,0),0)</f>
        <v>0</v>
      </c>
      <c r="N66" s="207">
        <f>IF(ISNUMBER(VLOOKUP($B:$B,'BS(분기)'!$A:$F,$2:$2,0)),VLOOKUP($B:$B,'BS(분기)'!$A:$F,$2:$2,0),0)</f>
        <v>0</v>
      </c>
      <c r="O66" s="207">
        <f>IF(ISNUMBER(VLOOKUP($B:$B,'BS(분기)'!$A:$F,$2:$2,0)),VLOOKUP($B:$B,'BS(분기)'!$A:$F,$2:$2,0),0)</f>
        <v>0</v>
      </c>
      <c r="P66" s="207">
        <f>IF(ISNUMBER(VLOOKUP($B:$B,'BS(분기)'!$A:$F,$2:$2,0)),VLOOKUP($B:$B,'BS(분기)'!$A:$F,$2:$2,0),0)</f>
        <v>0</v>
      </c>
      <c r="Q66" s="207">
        <f>IF(ISNUMBER(VLOOKUP($B:$B,'BS(분기)'!$A:$F,$2:$2,0)),VLOOKUP($B:$B,'BS(분기)'!$A:$F,$2:$2,0),0)</f>
        <v>0</v>
      </c>
      <c r="R66" s="207">
        <f>IF(ISNUMBER(VLOOKUP($B:$B,'BS(분기)'!$A:$F,$2:$2,0)),VLOOKUP($B:$B,'BS(분기)'!$A:$F,$2:$2,0),0)</f>
        <v>0</v>
      </c>
    </row>
    <row r="67" spans="1:18" s="192" customFormat="1" ht="12">
      <c r="A67" s="203">
        <v>111154</v>
      </c>
      <c r="B67" s="196" t="s">
        <v>560</v>
      </c>
      <c r="C67" s="217">
        <f>IF(ISNUMBER(VLOOKUP($B:$B,BS!$A:$D,$2:$2,0)),VLOOKUP($B:$B,BS!$A:$D,$2:$2,0),0)</f>
        <v>0</v>
      </c>
      <c r="D67" s="217">
        <f>IF(ISNUMBER(VLOOKUP($B:$B,BS!$A:$D,$2:$2,0)),VLOOKUP($B:$B,BS!$A:$D,$2:$2,0),0)</f>
        <v>0</v>
      </c>
      <c r="E67" s="217">
        <f>IF(ISNUMBER(VLOOKUP($B:$B,BS!$A:$D,$2:$2,0)),VLOOKUP($B:$B,BS!$A:$D,$2:$2,0),0)</f>
        <v>0</v>
      </c>
      <c r="F67" s="217">
        <f>IF(ISNUMBER(VLOOKUP($B:$B,BS!$A:$D,$2:$2,0)),VLOOKUP($B:$B,BS!$A:$D,$2:$2,0),0)</f>
        <v>0</v>
      </c>
      <c r="G67" s="217">
        <f>IF(ISNUMBER(VLOOKUP($B:$B,BS!$A:$D,$2:$2,0)),VLOOKUP($B:$B,BS!$A:$D,$2:$2,0),0)</f>
        <v>0</v>
      </c>
      <c r="H67" s="207">
        <f>IF(ISNUMBER(VLOOKUP($B:$B,'BS(과거)'!$A:$F,$2:$2,0)),VLOOKUP($B:$B,'BS(과거)'!$A:$F,$2:$2,0),0)</f>
        <v>0</v>
      </c>
      <c r="I67" s="207">
        <f>IF(ISNUMBER(VLOOKUP($B:$B,'BS(과거)'!$A:$F,$2:$2,0)),VLOOKUP($B:$B,'BS(과거)'!$A:$F,$2:$2,0),0)</f>
        <v>0</v>
      </c>
      <c r="J67" s="207">
        <f>IF(ISNUMBER(VLOOKUP($B:$B,'BS(과거)'!$A:$F,$2:$2,0)),VLOOKUP($B:$B,'BS(과거)'!$A:$F,$2:$2,0),0)</f>
        <v>0</v>
      </c>
      <c r="K67" s="207">
        <f>IF(ISNUMBER(VLOOKUP($B:$B,'BS(과거)'!$A:$F,$2:$2,0)),VLOOKUP($B:$B,'BS(과거)'!$A:$F,$2:$2,0),0)</f>
        <v>0</v>
      </c>
      <c r="L67" s="207">
        <f>IF(ISNUMBER(VLOOKUP($B:$B,'BS(과거)'!$A:$F,$2:$2,0)),VLOOKUP($B:$B,'BS(과거)'!$A:$F,$2:$2,0),0)</f>
        <v>0</v>
      </c>
      <c r="N67" s="207">
        <f>IF(ISNUMBER(VLOOKUP($B:$B,'BS(분기)'!$A:$F,$2:$2,0)),VLOOKUP($B:$B,'BS(분기)'!$A:$F,$2:$2,0),0)</f>
        <v>0</v>
      </c>
      <c r="O67" s="207">
        <f>IF(ISNUMBER(VLOOKUP($B:$B,'BS(분기)'!$A:$F,$2:$2,0)),VLOOKUP($B:$B,'BS(분기)'!$A:$F,$2:$2,0),0)</f>
        <v>0</v>
      </c>
      <c r="P67" s="207">
        <f>IF(ISNUMBER(VLOOKUP($B:$B,'BS(분기)'!$A:$F,$2:$2,0)),VLOOKUP($B:$B,'BS(분기)'!$A:$F,$2:$2,0),0)</f>
        <v>0</v>
      </c>
      <c r="Q67" s="207">
        <f>IF(ISNUMBER(VLOOKUP($B:$B,'BS(분기)'!$A:$F,$2:$2,0)),VLOOKUP($B:$B,'BS(분기)'!$A:$F,$2:$2,0),0)</f>
        <v>0</v>
      </c>
      <c r="R67" s="207">
        <f>IF(ISNUMBER(VLOOKUP($B:$B,'BS(분기)'!$A:$F,$2:$2,0)),VLOOKUP($B:$B,'BS(분기)'!$A:$F,$2:$2,0),0)</f>
        <v>0</v>
      </c>
    </row>
    <row r="68" spans="1:18" s="192" customFormat="1" ht="12">
      <c r="A68" s="203">
        <v>111155</v>
      </c>
      <c r="B68" s="196" t="s">
        <v>561</v>
      </c>
      <c r="C68" s="217">
        <f>IF(ISNUMBER(VLOOKUP($B:$B,BS!$A:$D,$2:$2,0)),VLOOKUP($B:$B,BS!$A:$D,$2:$2,0),0)</f>
        <v>0</v>
      </c>
      <c r="D68" s="217">
        <f>IF(ISNUMBER(VLOOKUP($B:$B,BS!$A:$D,$2:$2,0)),VLOOKUP($B:$B,BS!$A:$D,$2:$2,0),0)</f>
        <v>0</v>
      </c>
      <c r="E68" s="217">
        <f>IF(ISNUMBER(VLOOKUP($B:$B,BS!$A:$D,$2:$2,0)),VLOOKUP($B:$B,BS!$A:$D,$2:$2,0),0)</f>
        <v>0</v>
      </c>
      <c r="F68" s="217">
        <f>IF(ISNUMBER(VLOOKUP($B:$B,BS!$A:$D,$2:$2,0)),VLOOKUP($B:$B,BS!$A:$D,$2:$2,0),0)</f>
        <v>0</v>
      </c>
      <c r="G68" s="217">
        <f>IF(ISNUMBER(VLOOKUP($B:$B,BS!$A:$D,$2:$2,0)),VLOOKUP($B:$B,BS!$A:$D,$2:$2,0),0)</f>
        <v>0</v>
      </c>
      <c r="H68" s="207">
        <f>IF(ISNUMBER(VLOOKUP($B:$B,'BS(과거)'!$A:$F,$2:$2,0)),VLOOKUP($B:$B,'BS(과거)'!$A:$F,$2:$2,0),0)</f>
        <v>0</v>
      </c>
      <c r="I68" s="207">
        <f>IF(ISNUMBER(VLOOKUP($B:$B,'BS(과거)'!$A:$F,$2:$2,0)),VLOOKUP($B:$B,'BS(과거)'!$A:$F,$2:$2,0),0)</f>
        <v>0</v>
      </c>
      <c r="J68" s="207">
        <f>IF(ISNUMBER(VLOOKUP($B:$B,'BS(과거)'!$A:$F,$2:$2,0)),VLOOKUP($B:$B,'BS(과거)'!$A:$F,$2:$2,0),0)</f>
        <v>0</v>
      </c>
      <c r="K68" s="207">
        <f>IF(ISNUMBER(VLOOKUP($B:$B,'BS(과거)'!$A:$F,$2:$2,0)),VLOOKUP($B:$B,'BS(과거)'!$A:$F,$2:$2,0),0)</f>
        <v>0</v>
      </c>
      <c r="L68" s="207">
        <f>IF(ISNUMBER(VLOOKUP($B:$B,'BS(과거)'!$A:$F,$2:$2,0)),VLOOKUP($B:$B,'BS(과거)'!$A:$F,$2:$2,0),0)</f>
        <v>0</v>
      </c>
      <c r="N68" s="207">
        <f>IF(ISNUMBER(VLOOKUP($B:$B,'BS(분기)'!$A:$F,$2:$2,0)),VLOOKUP($B:$B,'BS(분기)'!$A:$F,$2:$2,0),0)</f>
        <v>0</v>
      </c>
      <c r="O68" s="207">
        <f>IF(ISNUMBER(VLOOKUP($B:$B,'BS(분기)'!$A:$F,$2:$2,0)),VLOOKUP($B:$B,'BS(분기)'!$A:$F,$2:$2,0),0)</f>
        <v>0</v>
      </c>
      <c r="P68" s="207">
        <f>IF(ISNUMBER(VLOOKUP($B:$B,'BS(분기)'!$A:$F,$2:$2,0)),VLOOKUP($B:$B,'BS(분기)'!$A:$F,$2:$2,0),0)</f>
        <v>0</v>
      </c>
      <c r="Q68" s="207">
        <f>IF(ISNUMBER(VLOOKUP($B:$B,'BS(분기)'!$A:$F,$2:$2,0)),VLOOKUP($B:$B,'BS(분기)'!$A:$F,$2:$2,0),0)</f>
        <v>0</v>
      </c>
      <c r="R68" s="207">
        <f>IF(ISNUMBER(VLOOKUP($B:$B,'BS(분기)'!$A:$F,$2:$2,0)),VLOOKUP($B:$B,'BS(분기)'!$A:$F,$2:$2,0),0)</f>
        <v>0</v>
      </c>
    </row>
    <row r="69" spans="1:18" s="192" customFormat="1" ht="12">
      <c r="A69" s="203">
        <v>111181</v>
      </c>
      <c r="B69" s="196" t="s">
        <v>562</v>
      </c>
      <c r="C69" s="217">
        <f>IF(ISNUMBER(VLOOKUP($B:$B,BS!$A:$D,$2:$2,0)),VLOOKUP($B:$B,BS!$A:$D,$2:$2,0),0)</f>
        <v>0</v>
      </c>
      <c r="D69" s="217">
        <f>IF(ISNUMBER(VLOOKUP($B:$B,BS!$A:$D,$2:$2,0)),VLOOKUP($B:$B,BS!$A:$D,$2:$2,0),0)</f>
        <v>0</v>
      </c>
      <c r="E69" s="217">
        <f>IF(ISNUMBER(VLOOKUP($B:$B,BS!$A:$D,$2:$2,0)),VLOOKUP($B:$B,BS!$A:$D,$2:$2,0),0)</f>
        <v>0</v>
      </c>
      <c r="F69" s="217">
        <f>IF(ISNUMBER(VLOOKUP($B:$B,BS!$A:$D,$2:$2,0)),VLOOKUP($B:$B,BS!$A:$D,$2:$2,0),0)</f>
        <v>0</v>
      </c>
      <c r="G69" s="217">
        <f>IF(ISNUMBER(VLOOKUP($B:$B,BS!$A:$D,$2:$2,0)),VLOOKUP($B:$B,BS!$A:$D,$2:$2,0),0)</f>
        <v>0</v>
      </c>
      <c r="H69" s="207">
        <f>IF(ISNUMBER(VLOOKUP($B:$B,'BS(과거)'!$A:$F,$2:$2,0)),VLOOKUP($B:$B,'BS(과거)'!$A:$F,$2:$2,0),0)</f>
        <v>0</v>
      </c>
      <c r="I69" s="207">
        <f>IF(ISNUMBER(VLOOKUP($B:$B,'BS(과거)'!$A:$F,$2:$2,0)),VLOOKUP($B:$B,'BS(과거)'!$A:$F,$2:$2,0),0)</f>
        <v>0</v>
      </c>
      <c r="J69" s="207">
        <f>IF(ISNUMBER(VLOOKUP($B:$B,'BS(과거)'!$A:$F,$2:$2,0)),VLOOKUP($B:$B,'BS(과거)'!$A:$F,$2:$2,0),0)</f>
        <v>0</v>
      </c>
      <c r="K69" s="207">
        <f>IF(ISNUMBER(VLOOKUP($B:$B,'BS(과거)'!$A:$F,$2:$2,0)),VLOOKUP($B:$B,'BS(과거)'!$A:$F,$2:$2,0),0)</f>
        <v>0</v>
      </c>
      <c r="L69" s="207">
        <f>IF(ISNUMBER(VLOOKUP($B:$B,'BS(과거)'!$A:$F,$2:$2,0)),VLOOKUP($B:$B,'BS(과거)'!$A:$F,$2:$2,0),0)</f>
        <v>0</v>
      </c>
      <c r="N69" s="207">
        <f>IF(ISNUMBER(VLOOKUP($B:$B,'BS(분기)'!$A:$F,$2:$2,0)),VLOOKUP($B:$B,'BS(분기)'!$A:$F,$2:$2,0),0)</f>
        <v>0</v>
      </c>
      <c r="O69" s="207">
        <f>IF(ISNUMBER(VLOOKUP($B:$B,'BS(분기)'!$A:$F,$2:$2,0)),VLOOKUP($B:$B,'BS(분기)'!$A:$F,$2:$2,0),0)</f>
        <v>0</v>
      </c>
      <c r="P69" s="207">
        <f>IF(ISNUMBER(VLOOKUP($B:$B,'BS(분기)'!$A:$F,$2:$2,0)),VLOOKUP($B:$B,'BS(분기)'!$A:$F,$2:$2,0),0)</f>
        <v>0</v>
      </c>
      <c r="Q69" s="207">
        <f>IF(ISNUMBER(VLOOKUP($B:$B,'BS(분기)'!$A:$F,$2:$2,0)),VLOOKUP($B:$B,'BS(분기)'!$A:$F,$2:$2,0),0)</f>
        <v>0</v>
      </c>
      <c r="R69" s="207">
        <f>IF(ISNUMBER(VLOOKUP($B:$B,'BS(분기)'!$A:$F,$2:$2,0)),VLOOKUP($B:$B,'BS(분기)'!$A:$F,$2:$2,0),0)</f>
        <v>0</v>
      </c>
    </row>
    <row r="70" spans="1:18" s="192" customFormat="1" ht="12">
      <c r="A70" s="203">
        <v>111184</v>
      </c>
      <c r="B70" s="196" t="s">
        <v>563</v>
      </c>
      <c r="C70" s="217">
        <f>IF(ISNUMBER(VLOOKUP($B:$B,BS!$A:$D,$2:$2,0)),VLOOKUP($B:$B,BS!$A:$D,$2:$2,0),0)</f>
        <v>0</v>
      </c>
      <c r="D70" s="217">
        <f>IF(ISNUMBER(VLOOKUP($B:$B,BS!$A:$D,$2:$2,0)),VLOOKUP($B:$B,BS!$A:$D,$2:$2,0),0)</f>
        <v>0</v>
      </c>
      <c r="E70" s="217">
        <f>IF(ISNUMBER(VLOOKUP($B:$B,BS!$A:$D,$2:$2,0)),VLOOKUP($B:$B,BS!$A:$D,$2:$2,0),0)</f>
        <v>0</v>
      </c>
      <c r="F70" s="217">
        <f>IF(ISNUMBER(VLOOKUP($B:$B,BS!$A:$D,$2:$2,0)),VLOOKUP($B:$B,BS!$A:$D,$2:$2,0),0)</f>
        <v>0</v>
      </c>
      <c r="G70" s="217">
        <f>IF(ISNUMBER(VLOOKUP($B:$B,BS!$A:$D,$2:$2,0)),VLOOKUP($B:$B,BS!$A:$D,$2:$2,0),0)</f>
        <v>0</v>
      </c>
      <c r="H70" s="207">
        <f>IF(ISNUMBER(VLOOKUP($B:$B,'BS(과거)'!$A:$F,$2:$2,0)),VLOOKUP($B:$B,'BS(과거)'!$A:$F,$2:$2,0),0)</f>
        <v>0</v>
      </c>
      <c r="I70" s="207">
        <f>IF(ISNUMBER(VLOOKUP($B:$B,'BS(과거)'!$A:$F,$2:$2,0)),VLOOKUP($B:$B,'BS(과거)'!$A:$F,$2:$2,0),0)</f>
        <v>0</v>
      </c>
      <c r="J70" s="207">
        <f>IF(ISNUMBER(VLOOKUP($B:$B,'BS(과거)'!$A:$F,$2:$2,0)),VLOOKUP($B:$B,'BS(과거)'!$A:$F,$2:$2,0),0)</f>
        <v>0</v>
      </c>
      <c r="K70" s="207">
        <f>IF(ISNUMBER(VLOOKUP($B:$B,'BS(과거)'!$A:$F,$2:$2,0)),VLOOKUP($B:$B,'BS(과거)'!$A:$F,$2:$2,0),0)</f>
        <v>0</v>
      </c>
      <c r="L70" s="207">
        <f>IF(ISNUMBER(VLOOKUP($B:$B,'BS(과거)'!$A:$F,$2:$2,0)),VLOOKUP($B:$B,'BS(과거)'!$A:$F,$2:$2,0),0)</f>
        <v>0</v>
      </c>
      <c r="N70" s="207">
        <f>IF(ISNUMBER(VLOOKUP($B:$B,'BS(분기)'!$A:$F,$2:$2,0)),VLOOKUP($B:$B,'BS(분기)'!$A:$F,$2:$2,0),0)</f>
        <v>0</v>
      </c>
      <c r="O70" s="207">
        <f>IF(ISNUMBER(VLOOKUP($B:$B,'BS(분기)'!$A:$F,$2:$2,0)),VLOOKUP($B:$B,'BS(분기)'!$A:$F,$2:$2,0),0)</f>
        <v>0</v>
      </c>
      <c r="P70" s="207">
        <f>IF(ISNUMBER(VLOOKUP($B:$B,'BS(분기)'!$A:$F,$2:$2,0)),VLOOKUP($B:$B,'BS(분기)'!$A:$F,$2:$2,0),0)</f>
        <v>0</v>
      </c>
      <c r="Q70" s="207">
        <f>IF(ISNUMBER(VLOOKUP($B:$B,'BS(분기)'!$A:$F,$2:$2,0)),VLOOKUP($B:$B,'BS(분기)'!$A:$F,$2:$2,0),0)</f>
        <v>0</v>
      </c>
      <c r="R70" s="207">
        <f>IF(ISNUMBER(VLOOKUP($B:$B,'BS(분기)'!$A:$F,$2:$2,0)),VLOOKUP($B:$B,'BS(분기)'!$A:$F,$2:$2,0),0)</f>
        <v>0</v>
      </c>
    </row>
    <row r="71" spans="1:18" s="192" customFormat="1" ht="12">
      <c r="A71" s="203">
        <v>111185</v>
      </c>
      <c r="B71" s="196" t="s">
        <v>564</v>
      </c>
      <c r="C71" s="217">
        <f>IF(ISNUMBER(VLOOKUP($B:$B,BS!$A:$D,$2:$2,0)),VLOOKUP($B:$B,BS!$A:$D,$2:$2,0),0)</f>
        <v>0</v>
      </c>
      <c r="D71" s="217">
        <f>IF(ISNUMBER(VLOOKUP($B:$B,BS!$A:$D,$2:$2,0)),VLOOKUP($B:$B,BS!$A:$D,$2:$2,0),0)</f>
        <v>0</v>
      </c>
      <c r="E71" s="217">
        <f>IF(ISNUMBER(VLOOKUP($B:$B,BS!$A:$D,$2:$2,0)),VLOOKUP($B:$B,BS!$A:$D,$2:$2,0),0)</f>
        <v>0</v>
      </c>
      <c r="F71" s="217">
        <f>IF(ISNUMBER(VLOOKUP($B:$B,BS!$A:$D,$2:$2,0)),VLOOKUP($B:$B,BS!$A:$D,$2:$2,0),0)</f>
        <v>0</v>
      </c>
      <c r="G71" s="217">
        <f>IF(ISNUMBER(VLOOKUP($B:$B,BS!$A:$D,$2:$2,0)),VLOOKUP($B:$B,BS!$A:$D,$2:$2,0),0)</f>
        <v>0</v>
      </c>
      <c r="H71" s="207">
        <f>IF(ISNUMBER(VLOOKUP($B:$B,'BS(과거)'!$A:$F,$2:$2,0)),VLOOKUP($B:$B,'BS(과거)'!$A:$F,$2:$2,0),0)</f>
        <v>0</v>
      </c>
      <c r="I71" s="207">
        <f>IF(ISNUMBER(VLOOKUP($B:$B,'BS(과거)'!$A:$F,$2:$2,0)),VLOOKUP($B:$B,'BS(과거)'!$A:$F,$2:$2,0),0)</f>
        <v>0</v>
      </c>
      <c r="J71" s="207">
        <f>IF(ISNUMBER(VLOOKUP($B:$B,'BS(과거)'!$A:$F,$2:$2,0)),VLOOKUP($B:$B,'BS(과거)'!$A:$F,$2:$2,0),0)</f>
        <v>0</v>
      </c>
      <c r="K71" s="207">
        <f>IF(ISNUMBER(VLOOKUP($B:$B,'BS(과거)'!$A:$F,$2:$2,0)),VLOOKUP($B:$B,'BS(과거)'!$A:$F,$2:$2,0),0)</f>
        <v>0</v>
      </c>
      <c r="L71" s="207">
        <f>IF(ISNUMBER(VLOOKUP($B:$B,'BS(과거)'!$A:$F,$2:$2,0)),VLOOKUP($B:$B,'BS(과거)'!$A:$F,$2:$2,0),0)</f>
        <v>0</v>
      </c>
      <c r="N71" s="207">
        <f>IF(ISNUMBER(VLOOKUP($B:$B,'BS(분기)'!$A:$F,$2:$2,0)),VLOOKUP($B:$B,'BS(분기)'!$A:$F,$2:$2,0),0)</f>
        <v>0</v>
      </c>
      <c r="O71" s="207">
        <f>IF(ISNUMBER(VLOOKUP($B:$B,'BS(분기)'!$A:$F,$2:$2,0)),VLOOKUP($B:$B,'BS(분기)'!$A:$F,$2:$2,0),0)</f>
        <v>0</v>
      </c>
      <c r="P71" s="207">
        <f>IF(ISNUMBER(VLOOKUP($B:$B,'BS(분기)'!$A:$F,$2:$2,0)),VLOOKUP($B:$B,'BS(분기)'!$A:$F,$2:$2,0),0)</f>
        <v>0</v>
      </c>
      <c r="Q71" s="207">
        <f>IF(ISNUMBER(VLOOKUP($B:$B,'BS(분기)'!$A:$F,$2:$2,0)),VLOOKUP($B:$B,'BS(분기)'!$A:$F,$2:$2,0),0)</f>
        <v>0</v>
      </c>
      <c r="R71" s="207">
        <f>IF(ISNUMBER(VLOOKUP($B:$B,'BS(분기)'!$A:$F,$2:$2,0)),VLOOKUP($B:$B,'BS(분기)'!$A:$F,$2:$2,0),0)</f>
        <v>0</v>
      </c>
    </row>
    <row r="72" spans="1:18" s="192" customFormat="1" ht="12">
      <c r="A72" s="203">
        <v>111182</v>
      </c>
      <c r="B72" s="196" t="s">
        <v>911</v>
      </c>
      <c r="C72" s="217">
        <f>IF(ISNUMBER(VLOOKUP($B:$B,BS!$A:$D,$2:$2,0)),VLOOKUP($B:$B,BS!$A:$D,$2:$2,0),0)</f>
        <v>0</v>
      </c>
      <c r="D72" s="217">
        <f>IF(ISNUMBER(VLOOKUP($B:$B,BS!$A:$D,$2:$2,0)),VLOOKUP($B:$B,BS!$A:$D,$2:$2,0),0)</f>
        <v>0</v>
      </c>
      <c r="E72" s="217">
        <f>IF(ISNUMBER(VLOOKUP($B:$B,BS!$A:$D,$2:$2,0)),VLOOKUP($B:$B,BS!$A:$D,$2:$2,0),0)</f>
        <v>0</v>
      </c>
      <c r="F72" s="217">
        <f>IF(ISNUMBER(VLOOKUP($B:$B,BS!$A:$D,$2:$2,0)),VLOOKUP($B:$B,BS!$A:$D,$2:$2,0),0)</f>
        <v>0</v>
      </c>
      <c r="G72" s="217">
        <f>IF(ISNUMBER(VLOOKUP($B:$B,BS!$A:$D,$2:$2,0)),VLOOKUP($B:$B,BS!$A:$D,$2:$2,0),0)</f>
        <v>0</v>
      </c>
      <c r="H72" s="207">
        <f>IF(ISNUMBER(VLOOKUP($B:$B,'BS(과거)'!$A:$F,$2:$2,0)),VLOOKUP($B:$B,'BS(과거)'!$A:$F,$2:$2,0),0)</f>
        <v>0</v>
      </c>
      <c r="I72" s="207">
        <f>IF(ISNUMBER(VLOOKUP($B:$B,'BS(과거)'!$A:$F,$2:$2,0)),VLOOKUP($B:$B,'BS(과거)'!$A:$F,$2:$2,0),0)</f>
        <v>0</v>
      </c>
      <c r="J72" s="207">
        <f>IF(ISNUMBER(VLOOKUP($B:$B,'BS(과거)'!$A:$F,$2:$2,0)),VLOOKUP($B:$B,'BS(과거)'!$A:$F,$2:$2,0),0)</f>
        <v>0</v>
      </c>
      <c r="K72" s="207">
        <f>IF(ISNUMBER(VLOOKUP($B:$B,'BS(과거)'!$A:$F,$2:$2,0)),VLOOKUP($B:$B,'BS(과거)'!$A:$F,$2:$2,0),0)</f>
        <v>0</v>
      </c>
      <c r="L72" s="207">
        <f>IF(ISNUMBER(VLOOKUP($B:$B,'BS(과거)'!$A:$F,$2:$2,0)),VLOOKUP($B:$B,'BS(과거)'!$A:$F,$2:$2,0),0)</f>
        <v>0</v>
      </c>
      <c r="N72" s="207">
        <f>IF(ISNUMBER(VLOOKUP($B:$B,'BS(분기)'!$A:$F,$2:$2,0)),VLOOKUP($B:$B,'BS(분기)'!$A:$F,$2:$2,0),0)</f>
        <v>0</v>
      </c>
      <c r="O72" s="207">
        <f>IF(ISNUMBER(VLOOKUP($B:$B,'BS(분기)'!$A:$F,$2:$2,0)),VLOOKUP($B:$B,'BS(분기)'!$A:$F,$2:$2,0),0)</f>
        <v>0</v>
      </c>
      <c r="P72" s="207">
        <f>IF(ISNUMBER(VLOOKUP($B:$B,'BS(분기)'!$A:$F,$2:$2,0)),VLOOKUP($B:$B,'BS(분기)'!$A:$F,$2:$2,0),0)</f>
        <v>0</v>
      </c>
      <c r="Q72" s="207">
        <f>IF(ISNUMBER(VLOOKUP($B:$B,'BS(분기)'!$A:$F,$2:$2,0)),VLOOKUP($B:$B,'BS(분기)'!$A:$F,$2:$2,0),0)</f>
        <v>0</v>
      </c>
      <c r="R72" s="207">
        <f>IF(ISNUMBER(VLOOKUP($B:$B,'BS(분기)'!$A:$F,$2:$2,0)),VLOOKUP($B:$B,'BS(분기)'!$A:$F,$2:$2,0),0)</f>
        <v>0</v>
      </c>
    </row>
    <row r="73" spans="1:18" s="192" customFormat="1" ht="12">
      <c r="A73" s="203">
        <v>111183</v>
      </c>
      <c r="B73" s="196" t="s">
        <v>791</v>
      </c>
      <c r="C73" s="217">
        <f>IF(ISNUMBER(VLOOKUP($B:$B,BS!$A:$D,$2:$2,0)),VLOOKUP($B:$B,BS!$A:$D,$2:$2,0),0)</f>
        <v>0</v>
      </c>
      <c r="D73" s="217">
        <f>IF(ISNUMBER(VLOOKUP($B:$B,BS!$A:$D,$2:$2,0)),VLOOKUP($B:$B,BS!$A:$D,$2:$2,0),0)</f>
        <v>0</v>
      </c>
      <c r="E73" s="217">
        <f>IF(ISNUMBER(VLOOKUP($B:$B,BS!$A:$D,$2:$2,0)),VLOOKUP($B:$B,BS!$A:$D,$2:$2,0),0)</f>
        <v>0</v>
      </c>
      <c r="F73" s="217">
        <f>IF(ISNUMBER(VLOOKUP($B:$B,BS!$A:$D,$2:$2,0)),VLOOKUP($B:$B,BS!$A:$D,$2:$2,0),0)</f>
        <v>0</v>
      </c>
      <c r="G73" s="217">
        <f>IF(ISNUMBER(VLOOKUP($B:$B,BS!$A:$D,$2:$2,0)),VLOOKUP($B:$B,BS!$A:$D,$2:$2,0),0)</f>
        <v>0</v>
      </c>
      <c r="H73" s="207">
        <f>IF(ISNUMBER(VLOOKUP($B:$B,'BS(과거)'!$A:$F,$2:$2,0)),VLOOKUP($B:$B,'BS(과거)'!$A:$F,$2:$2,0),0)</f>
        <v>0</v>
      </c>
      <c r="I73" s="207">
        <f>IF(ISNUMBER(VLOOKUP($B:$B,'BS(과거)'!$A:$F,$2:$2,0)),VLOOKUP($B:$B,'BS(과거)'!$A:$F,$2:$2,0),0)</f>
        <v>0</v>
      </c>
      <c r="J73" s="207">
        <f>IF(ISNUMBER(VLOOKUP($B:$B,'BS(과거)'!$A:$F,$2:$2,0)),VLOOKUP($B:$B,'BS(과거)'!$A:$F,$2:$2,0),0)</f>
        <v>0</v>
      </c>
      <c r="K73" s="207">
        <f>IF(ISNUMBER(VLOOKUP($B:$B,'BS(과거)'!$A:$F,$2:$2,0)),VLOOKUP($B:$B,'BS(과거)'!$A:$F,$2:$2,0),0)</f>
        <v>0</v>
      </c>
      <c r="L73" s="207">
        <f>IF(ISNUMBER(VLOOKUP($B:$B,'BS(과거)'!$A:$F,$2:$2,0)),VLOOKUP($B:$B,'BS(과거)'!$A:$F,$2:$2,0),0)</f>
        <v>0</v>
      </c>
      <c r="N73" s="207">
        <f>IF(ISNUMBER(VLOOKUP($B:$B,'BS(분기)'!$A:$F,$2:$2,0)),VLOOKUP($B:$B,'BS(분기)'!$A:$F,$2:$2,0),0)</f>
        <v>0</v>
      </c>
      <c r="O73" s="207">
        <f>IF(ISNUMBER(VLOOKUP($B:$B,'BS(분기)'!$A:$F,$2:$2,0)),VLOOKUP($B:$B,'BS(분기)'!$A:$F,$2:$2,0),0)</f>
        <v>0</v>
      </c>
      <c r="P73" s="207">
        <f>IF(ISNUMBER(VLOOKUP($B:$B,'BS(분기)'!$A:$F,$2:$2,0)),VLOOKUP($B:$B,'BS(분기)'!$A:$F,$2:$2,0),0)</f>
        <v>0</v>
      </c>
      <c r="Q73" s="207">
        <f>IF(ISNUMBER(VLOOKUP($B:$B,'BS(분기)'!$A:$F,$2:$2,0)),VLOOKUP($B:$B,'BS(분기)'!$A:$F,$2:$2,0),0)</f>
        <v>0</v>
      </c>
      <c r="R73" s="207">
        <f>IF(ISNUMBER(VLOOKUP($B:$B,'BS(분기)'!$A:$F,$2:$2,0)),VLOOKUP($B:$B,'BS(분기)'!$A:$F,$2:$2,0),0)</f>
        <v>0</v>
      </c>
    </row>
    <row r="74" spans="1:18" s="192" customFormat="1" ht="12">
      <c r="A74" s="202">
        <v>111190</v>
      </c>
      <c r="B74" s="195" t="s">
        <v>912</v>
      </c>
      <c r="C74" s="217">
        <f>IF(ISNUMBER(VLOOKUP($B:$B,BS!$A:$D,$2:$2,0)),VLOOKUP($B:$B,BS!$A:$D,$2:$2,0),0)</f>
        <v>0</v>
      </c>
      <c r="D74" s="217">
        <f>IF(ISNUMBER(VLOOKUP($B:$B,BS!$A:$D,$2:$2,0)),VLOOKUP($B:$B,BS!$A:$D,$2:$2,0),0)</f>
        <v>0</v>
      </c>
      <c r="E74" s="217">
        <f>IF(ISNUMBER(VLOOKUP($B:$B,BS!$A:$D,$2:$2,0)),VLOOKUP($B:$B,BS!$A:$D,$2:$2,0),0)</f>
        <v>0</v>
      </c>
      <c r="F74" s="217">
        <f>IF(ISNUMBER(VLOOKUP($B:$B,BS!$A:$D,$2:$2,0)),VLOOKUP($B:$B,BS!$A:$D,$2:$2,0),0)</f>
        <v>0</v>
      </c>
      <c r="G74" s="217">
        <f>IF(ISNUMBER(VLOOKUP($B:$B,BS!$A:$D,$2:$2,0)),VLOOKUP($B:$B,BS!$A:$D,$2:$2,0),0)</f>
        <v>0</v>
      </c>
      <c r="H74" s="207">
        <f>IF(ISNUMBER(VLOOKUP($B:$B,'BS(과거)'!$A:$F,$2:$2,0)),VLOOKUP($B:$B,'BS(과거)'!$A:$F,$2:$2,0),0)</f>
        <v>0</v>
      </c>
      <c r="I74" s="207">
        <f>IF(ISNUMBER(VLOOKUP($B:$B,'BS(과거)'!$A:$F,$2:$2,0)),VLOOKUP($B:$B,'BS(과거)'!$A:$F,$2:$2,0),0)</f>
        <v>0</v>
      </c>
      <c r="J74" s="207">
        <f>IF(ISNUMBER(VLOOKUP($B:$B,'BS(과거)'!$A:$F,$2:$2,0)),VLOOKUP($B:$B,'BS(과거)'!$A:$F,$2:$2,0),0)</f>
        <v>0</v>
      </c>
      <c r="K74" s="207">
        <f>IF(ISNUMBER(VLOOKUP($B:$B,'BS(과거)'!$A:$F,$2:$2,0)),VLOOKUP($B:$B,'BS(과거)'!$A:$F,$2:$2,0),0)</f>
        <v>0</v>
      </c>
      <c r="L74" s="207">
        <f>IF(ISNUMBER(VLOOKUP($B:$B,'BS(과거)'!$A:$F,$2:$2,0)),VLOOKUP($B:$B,'BS(과거)'!$A:$F,$2:$2,0),0)</f>
        <v>0</v>
      </c>
      <c r="N74" s="207">
        <f>IF(ISNUMBER(VLOOKUP($B:$B,'BS(분기)'!$A:$F,$2:$2,0)),VLOOKUP($B:$B,'BS(분기)'!$A:$F,$2:$2,0),0)</f>
        <v>0</v>
      </c>
      <c r="O74" s="207">
        <f>IF(ISNUMBER(VLOOKUP($B:$B,'BS(분기)'!$A:$F,$2:$2,0)),VLOOKUP($B:$B,'BS(분기)'!$A:$F,$2:$2,0),0)</f>
        <v>0</v>
      </c>
      <c r="P74" s="207">
        <f>IF(ISNUMBER(VLOOKUP($B:$B,'BS(분기)'!$A:$F,$2:$2,0)),VLOOKUP($B:$B,'BS(분기)'!$A:$F,$2:$2,0),0)</f>
        <v>0</v>
      </c>
      <c r="Q74" s="207">
        <f>IF(ISNUMBER(VLOOKUP($B:$B,'BS(분기)'!$A:$F,$2:$2,0)),VLOOKUP($B:$B,'BS(분기)'!$A:$F,$2:$2,0),0)</f>
        <v>0</v>
      </c>
      <c r="R74" s="207">
        <f>IF(ISNUMBER(VLOOKUP($B:$B,'BS(분기)'!$A:$F,$2:$2,0)),VLOOKUP($B:$B,'BS(분기)'!$A:$F,$2:$2,0),0)</f>
        <v>0</v>
      </c>
    </row>
    <row r="75" spans="1:18" s="192" customFormat="1" ht="12">
      <c r="A75" s="202">
        <v>111199</v>
      </c>
      <c r="B75" s="195" t="s">
        <v>913</v>
      </c>
      <c r="C75" s="217">
        <f>IF(ISNUMBER(VLOOKUP($B:$B,BS!$A:$D,$2:$2,0)),VLOOKUP($B:$B,BS!$A:$D,$2:$2,0),0)</f>
        <v>0</v>
      </c>
      <c r="D75" s="217">
        <f>IF(ISNUMBER(VLOOKUP($B:$B,BS!$A:$D,$2:$2,0)),VLOOKUP($B:$B,BS!$A:$D,$2:$2,0),0)</f>
        <v>0</v>
      </c>
      <c r="E75" s="217">
        <f>IF(ISNUMBER(VLOOKUP($B:$B,BS!$A:$D,$2:$2,0)),VLOOKUP($B:$B,BS!$A:$D,$2:$2,0),0)</f>
        <v>0</v>
      </c>
      <c r="F75" s="217">
        <f>IF(ISNUMBER(VLOOKUP($B:$B,BS!$A:$D,$2:$2,0)),VLOOKUP($B:$B,BS!$A:$D,$2:$2,0),0)</f>
        <v>0</v>
      </c>
      <c r="G75" s="217">
        <f>IF(ISNUMBER(VLOOKUP($B:$B,BS!$A:$D,$2:$2,0)),VLOOKUP($B:$B,BS!$A:$D,$2:$2,0),0)</f>
        <v>0</v>
      </c>
      <c r="H75" s="207">
        <f>IF(ISNUMBER(VLOOKUP($B:$B,'BS(과거)'!$A:$F,$2:$2,0)),VLOOKUP($B:$B,'BS(과거)'!$A:$F,$2:$2,0),0)</f>
        <v>0</v>
      </c>
      <c r="I75" s="207">
        <f>IF(ISNUMBER(VLOOKUP($B:$B,'BS(과거)'!$A:$F,$2:$2,0)),VLOOKUP($B:$B,'BS(과거)'!$A:$F,$2:$2,0),0)</f>
        <v>0</v>
      </c>
      <c r="J75" s="207">
        <f>IF(ISNUMBER(VLOOKUP($B:$B,'BS(과거)'!$A:$F,$2:$2,0)),VLOOKUP($B:$B,'BS(과거)'!$A:$F,$2:$2,0),0)</f>
        <v>0</v>
      </c>
      <c r="K75" s="207">
        <f>IF(ISNUMBER(VLOOKUP($B:$B,'BS(과거)'!$A:$F,$2:$2,0)),VLOOKUP($B:$B,'BS(과거)'!$A:$F,$2:$2,0),0)</f>
        <v>0</v>
      </c>
      <c r="L75" s="207">
        <f>IF(ISNUMBER(VLOOKUP($B:$B,'BS(과거)'!$A:$F,$2:$2,0)),VLOOKUP($B:$B,'BS(과거)'!$A:$F,$2:$2,0),0)</f>
        <v>0</v>
      </c>
      <c r="N75" s="207">
        <f>IF(ISNUMBER(VLOOKUP($B:$B,'BS(분기)'!$A:$F,$2:$2,0)),VLOOKUP($B:$B,'BS(분기)'!$A:$F,$2:$2,0),0)</f>
        <v>0</v>
      </c>
      <c r="O75" s="207">
        <f>IF(ISNUMBER(VLOOKUP($B:$B,'BS(분기)'!$A:$F,$2:$2,0)),VLOOKUP($B:$B,'BS(분기)'!$A:$F,$2:$2,0),0)</f>
        <v>0</v>
      </c>
      <c r="P75" s="207">
        <f>IF(ISNUMBER(VLOOKUP($B:$B,'BS(분기)'!$A:$F,$2:$2,0)),VLOOKUP($B:$B,'BS(분기)'!$A:$F,$2:$2,0),0)</f>
        <v>0</v>
      </c>
      <c r="Q75" s="207">
        <f>IF(ISNUMBER(VLOOKUP($B:$B,'BS(분기)'!$A:$F,$2:$2,0)),VLOOKUP($B:$B,'BS(분기)'!$A:$F,$2:$2,0),0)</f>
        <v>0</v>
      </c>
      <c r="R75" s="207">
        <f>IF(ISNUMBER(VLOOKUP($B:$B,'BS(분기)'!$A:$F,$2:$2,0)),VLOOKUP($B:$B,'BS(분기)'!$A:$F,$2:$2,0),0)</f>
        <v>0</v>
      </c>
    </row>
    <row r="76" spans="1:18" s="192" customFormat="1" ht="12">
      <c r="A76" s="202">
        <v>111191</v>
      </c>
      <c r="B76" s="195" t="s">
        <v>914</v>
      </c>
      <c r="C76" s="217">
        <f>IF(ISNUMBER(VLOOKUP($B:$B,BS!$A:$D,$2:$2,0)),VLOOKUP($B:$B,BS!$A:$D,$2:$2,0),0)</f>
        <v>0</v>
      </c>
      <c r="D76" s="217">
        <f>IF(ISNUMBER(VLOOKUP($B:$B,BS!$A:$D,$2:$2,0)),VLOOKUP($B:$B,BS!$A:$D,$2:$2,0),0)</f>
        <v>0</v>
      </c>
      <c r="E76" s="217">
        <f>IF(ISNUMBER(VLOOKUP($B:$B,BS!$A:$D,$2:$2,0)),VLOOKUP($B:$B,BS!$A:$D,$2:$2,0),0)</f>
        <v>0</v>
      </c>
      <c r="F76" s="217">
        <f>IF(ISNUMBER(VLOOKUP($B:$B,BS!$A:$D,$2:$2,0)),VLOOKUP($B:$B,BS!$A:$D,$2:$2,0),0)</f>
        <v>0</v>
      </c>
      <c r="G76" s="217">
        <f>IF(ISNUMBER(VLOOKUP($B:$B,BS!$A:$D,$2:$2,0)),VLOOKUP($B:$B,BS!$A:$D,$2:$2,0),0)</f>
        <v>0</v>
      </c>
      <c r="H76" s="207">
        <f>IF(ISNUMBER(VLOOKUP($B:$B,'BS(과거)'!$A:$F,$2:$2,0)),VLOOKUP($B:$B,'BS(과거)'!$A:$F,$2:$2,0),0)</f>
        <v>0</v>
      </c>
      <c r="I76" s="207">
        <f>IF(ISNUMBER(VLOOKUP($B:$B,'BS(과거)'!$A:$F,$2:$2,0)),VLOOKUP($B:$B,'BS(과거)'!$A:$F,$2:$2,0),0)</f>
        <v>0</v>
      </c>
      <c r="J76" s="207">
        <f>IF(ISNUMBER(VLOOKUP($B:$B,'BS(과거)'!$A:$F,$2:$2,0)),VLOOKUP($B:$B,'BS(과거)'!$A:$F,$2:$2,0),0)</f>
        <v>0</v>
      </c>
      <c r="K76" s="207">
        <f>IF(ISNUMBER(VLOOKUP($B:$B,'BS(과거)'!$A:$F,$2:$2,0)),VLOOKUP($B:$B,'BS(과거)'!$A:$F,$2:$2,0),0)</f>
        <v>0</v>
      </c>
      <c r="L76" s="207">
        <f>IF(ISNUMBER(VLOOKUP($B:$B,'BS(과거)'!$A:$F,$2:$2,0)),VLOOKUP($B:$B,'BS(과거)'!$A:$F,$2:$2,0),0)</f>
        <v>0</v>
      </c>
      <c r="N76" s="207">
        <f>IF(ISNUMBER(VLOOKUP($B:$B,'BS(분기)'!$A:$F,$2:$2,0)),VLOOKUP($B:$B,'BS(분기)'!$A:$F,$2:$2,0),0)</f>
        <v>0</v>
      </c>
      <c r="O76" s="207">
        <f>IF(ISNUMBER(VLOOKUP($B:$B,'BS(분기)'!$A:$F,$2:$2,0)),VLOOKUP($B:$B,'BS(분기)'!$A:$F,$2:$2,0),0)</f>
        <v>0</v>
      </c>
      <c r="P76" s="207">
        <f>IF(ISNUMBER(VLOOKUP($B:$B,'BS(분기)'!$A:$F,$2:$2,0)),VLOOKUP($B:$B,'BS(분기)'!$A:$F,$2:$2,0),0)</f>
        <v>0</v>
      </c>
      <c r="Q76" s="207">
        <f>IF(ISNUMBER(VLOOKUP($B:$B,'BS(분기)'!$A:$F,$2:$2,0)),VLOOKUP($B:$B,'BS(분기)'!$A:$F,$2:$2,0),0)</f>
        <v>0</v>
      </c>
      <c r="R76" s="207">
        <f>IF(ISNUMBER(VLOOKUP($B:$B,'BS(분기)'!$A:$F,$2:$2,0)),VLOOKUP($B:$B,'BS(분기)'!$A:$F,$2:$2,0),0)</f>
        <v>0</v>
      </c>
    </row>
    <row r="77" spans="1:18" s="192" customFormat="1" ht="12">
      <c r="A77" s="203">
        <v>111192</v>
      </c>
      <c r="B77" s="196" t="s">
        <v>915</v>
      </c>
      <c r="C77" s="217">
        <f>IF(ISNUMBER(VLOOKUP($B:$B,BS!$A:$D,$2:$2,0)),VLOOKUP($B:$B,BS!$A:$D,$2:$2,0),0)</f>
        <v>0</v>
      </c>
      <c r="D77" s="217">
        <f>IF(ISNUMBER(VLOOKUP($B:$B,BS!$A:$D,$2:$2,0)),VLOOKUP($B:$B,BS!$A:$D,$2:$2,0),0)</f>
        <v>0</v>
      </c>
      <c r="E77" s="217">
        <f>IF(ISNUMBER(VLOOKUP($B:$B,BS!$A:$D,$2:$2,0)),VLOOKUP($B:$B,BS!$A:$D,$2:$2,0),0)</f>
        <v>0</v>
      </c>
      <c r="F77" s="217">
        <f>IF(ISNUMBER(VLOOKUP($B:$B,BS!$A:$D,$2:$2,0)),VLOOKUP($B:$B,BS!$A:$D,$2:$2,0),0)</f>
        <v>0</v>
      </c>
      <c r="G77" s="217">
        <f>IF(ISNUMBER(VLOOKUP($B:$B,BS!$A:$D,$2:$2,0)),VLOOKUP($B:$B,BS!$A:$D,$2:$2,0),0)</f>
        <v>0</v>
      </c>
      <c r="H77" s="207">
        <f>IF(ISNUMBER(VLOOKUP($B:$B,'BS(과거)'!$A:$F,$2:$2,0)),VLOOKUP($B:$B,'BS(과거)'!$A:$F,$2:$2,0),0)</f>
        <v>0</v>
      </c>
      <c r="I77" s="207">
        <f>IF(ISNUMBER(VLOOKUP($B:$B,'BS(과거)'!$A:$F,$2:$2,0)),VLOOKUP($B:$B,'BS(과거)'!$A:$F,$2:$2,0),0)</f>
        <v>0</v>
      </c>
      <c r="J77" s="207">
        <f>IF(ISNUMBER(VLOOKUP($B:$B,'BS(과거)'!$A:$F,$2:$2,0)),VLOOKUP($B:$B,'BS(과거)'!$A:$F,$2:$2,0),0)</f>
        <v>0</v>
      </c>
      <c r="K77" s="207">
        <f>IF(ISNUMBER(VLOOKUP($B:$B,'BS(과거)'!$A:$F,$2:$2,0)),VLOOKUP($B:$B,'BS(과거)'!$A:$F,$2:$2,0),0)</f>
        <v>0</v>
      </c>
      <c r="L77" s="207">
        <f>IF(ISNUMBER(VLOOKUP($B:$B,'BS(과거)'!$A:$F,$2:$2,0)),VLOOKUP($B:$B,'BS(과거)'!$A:$F,$2:$2,0),0)</f>
        <v>0</v>
      </c>
      <c r="N77" s="207">
        <f>IF(ISNUMBER(VLOOKUP($B:$B,'BS(분기)'!$A:$F,$2:$2,0)),VLOOKUP($B:$B,'BS(분기)'!$A:$F,$2:$2,0),0)</f>
        <v>0</v>
      </c>
      <c r="O77" s="207">
        <f>IF(ISNUMBER(VLOOKUP($B:$B,'BS(분기)'!$A:$F,$2:$2,0)),VLOOKUP($B:$B,'BS(분기)'!$A:$F,$2:$2,0),0)</f>
        <v>0</v>
      </c>
      <c r="P77" s="207">
        <f>IF(ISNUMBER(VLOOKUP($B:$B,'BS(분기)'!$A:$F,$2:$2,0)),VLOOKUP($B:$B,'BS(분기)'!$A:$F,$2:$2,0),0)</f>
        <v>0</v>
      </c>
      <c r="Q77" s="207">
        <f>IF(ISNUMBER(VLOOKUP($B:$B,'BS(분기)'!$A:$F,$2:$2,0)),VLOOKUP($B:$B,'BS(분기)'!$A:$F,$2:$2,0),0)</f>
        <v>0</v>
      </c>
      <c r="R77" s="207">
        <f>IF(ISNUMBER(VLOOKUP($B:$B,'BS(분기)'!$A:$F,$2:$2,0)),VLOOKUP($B:$B,'BS(분기)'!$A:$F,$2:$2,0),0)</f>
        <v>0</v>
      </c>
    </row>
    <row r="78" spans="1:18" s="192" customFormat="1" ht="12">
      <c r="A78" s="203">
        <v>111197</v>
      </c>
      <c r="B78" s="196" t="s">
        <v>916</v>
      </c>
      <c r="C78" s="217">
        <f>IF(ISNUMBER(VLOOKUP($B:$B,BS!$A:$D,$2:$2,0)),VLOOKUP($B:$B,BS!$A:$D,$2:$2,0),0)</f>
        <v>0</v>
      </c>
      <c r="D78" s="217">
        <f>IF(ISNUMBER(VLOOKUP($B:$B,BS!$A:$D,$2:$2,0)),VLOOKUP($B:$B,BS!$A:$D,$2:$2,0),0)</f>
        <v>0</v>
      </c>
      <c r="E78" s="217">
        <f>IF(ISNUMBER(VLOOKUP($B:$B,BS!$A:$D,$2:$2,0)),VLOOKUP($B:$B,BS!$A:$D,$2:$2,0),0)</f>
        <v>0</v>
      </c>
      <c r="F78" s="217">
        <f>IF(ISNUMBER(VLOOKUP($B:$B,BS!$A:$D,$2:$2,0)),VLOOKUP($B:$B,BS!$A:$D,$2:$2,0),0)</f>
        <v>0</v>
      </c>
      <c r="G78" s="217">
        <f>IF(ISNUMBER(VLOOKUP($B:$B,BS!$A:$D,$2:$2,0)),VLOOKUP($B:$B,BS!$A:$D,$2:$2,0),0)</f>
        <v>0</v>
      </c>
      <c r="H78" s="207">
        <f>IF(ISNUMBER(VLOOKUP($B:$B,'BS(과거)'!$A:$F,$2:$2,0)),VLOOKUP($B:$B,'BS(과거)'!$A:$F,$2:$2,0),0)</f>
        <v>0</v>
      </c>
      <c r="I78" s="207">
        <f>IF(ISNUMBER(VLOOKUP($B:$B,'BS(과거)'!$A:$F,$2:$2,0)),VLOOKUP($B:$B,'BS(과거)'!$A:$F,$2:$2,0),0)</f>
        <v>0</v>
      </c>
      <c r="J78" s="207">
        <f>IF(ISNUMBER(VLOOKUP($B:$B,'BS(과거)'!$A:$F,$2:$2,0)),VLOOKUP($B:$B,'BS(과거)'!$A:$F,$2:$2,0),0)</f>
        <v>0</v>
      </c>
      <c r="K78" s="207">
        <f>IF(ISNUMBER(VLOOKUP($B:$B,'BS(과거)'!$A:$F,$2:$2,0)),VLOOKUP($B:$B,'BS(과거)'!$A:$F,$2:$2,0),0)</f>
        <v>0</v>
      </c>
      <c r="L78" s="207">
        <f>IF(ISNUMBER(VLOOKUP($B:$B,'BS(과거)'!$A:$F,$2:$2,0)),VLOOKUP($B:$B,'BS(과거)'!$A:$F,$2:$2,0),0)</f>
        <v>0</v>
      </c>
      <c r="N78" s="207">
        <f>IF(ISNUMBER(VLOOKUP($B:$B,'BS(분기)'!$A:$F,$2:$2,0)),VLOOKUP($B:$B,'BS(분기)'!$A:$F,$2:$2,0),0)</f>
        <v>0</v>
      </c>
      <c r="O78" s="207">
        <f>IF(ISNUMBER(VLOOKUP($B:$B,'BS(분기)'!$A:$F,$2:$2,0)),VLOOKUP($B:$B,'BS(분기)'!$A:$F,$2:$2,0),0)</f>
        <v>0</v>
      </c>
      <c r="P78" s="207">
        <f>IF(ISNUMBER(VLOOKUP($B:$B,'BS(분기)'!$A:$F,$2:$2,0)),VLOOKUP($B:$B,'BS(분기)'!$A:$F,$2:$2,0),0)</f>
        <v>0</v>
      </c>
      <c r="Q78" s="207">
        <f>IF(ISNUMBER(VLOOKUP($B:$B,'BS(분기)'!$A:$F,$2:$2,0)),VLOOKUP($B:$B,'BS(분기)'!$A:$F,$2:$2,0),0)</f>
        <v>0</v>
      </c>
      <c r="R78" s="207">
        <f>IF(ISNUMBER(VLOOKUP($B:$B,'BS(분기)'!$A:$F,$2:$2,0)),VLOOKUP($B:$B,'BS(분기)'!$A:$F,$2:$2,0),0)</f>
        <v>0</v>
      </c>
    </row>
    <row r="79" spans="1:18" s="192" customFormat="1" ht="12">
      <c r="A79" s="203">
        <v>111193</v>
      </c>
      <c r="B79" s="196" t="s">
        <v>917</v>
      </c>
      <c r="C79" s="217">
        <f>IF(ISNUMBER(VLOOKUP($B:$B,BS!$A:$D,$2:$2,0)),VLOOKUP($B:$B,BS!$A:$D,$2:$2,0),0)</f>
        <v>0</v>
      </c>
      <c r="D79" s="217">
        <f>IF(ISNUMBER(VLOOKUP($B:$B,BS!$A:$D,$2:$2,0)),VLOOKUP($B:$B,BS!$A:$D,$2:$2,0),0)</f>
        <v>0</v>
      </c>
      <c r="E79" s="217">
        <f>IF(ISNUMBER(VLOOKUP($B:$B,BS!$A:$D,$2:$2,0)),VLOOKUP($B:$B,BS!$A:$D,$2:$2,0),0)</f>
        <v>0</v>
      </c>
      <c r="F79" s="217">
        <f>IF(ISNUMBER(VLOOKUP($B:$B,BS!$A:$D,$2:$2,0)),VLOOKUP($B:$B,BS!$A:$D,$2:$2,0),0)</f>
        <v>0</v>
      </c>
      <c r="G79" s="217">
        <f>IF(ISNUMBER(VLOOKUP($B:$B,BS!$A:$D,$2:$2,0)),VLOOKUP($B:$B,BS!$A:$D,$2:$2,0),0)</f>
        <v>0</v>
      </c>
      <c r="H79" s="207">
        <f>IF(ISNUMBER(VLOOKUP($B:$B,'BS(과거)'!$A:$F,$2:$2,0)),VLOOKUP($B:$B,'BS(과거)'!$A:$F,$2:$2,0),0)</f>
        <v>0</v>
      </c>
      <c r="I79" s="207">
        <f>IF(ISNUMBER(VLOOKUP($B:$B,'BS(과거)'!$A:$F,$2:$2,0)),VLOOKUP($B:$B,'BS(과거)'!$A:$F,$2:$2,0),0)</f>
        <v>0</v>
      </c>
      <c r="J79" s="207">
        <f>IF(ISNUMBER(VLOOKUP($B:$B,'BS(과거)'!$A:$F,$2:$2,0)),VLOOKUP($B:$B,'BS(과거)'!$A:$F,$2:$2,0),0)</f>
        <v>0</v>
      </c>
      <c r="K79" s="207">
        <f>IF(ISNUMBER(VLOOKUP($B:$B,'BS(과거)'!$A:$F,$2:$2,0)),VLOOKUP($B:$B,'BS(과거)'!$A:$F,$2:$2,0),0)</f>
        <v>0</v>
      </c>
      <c r="L79" s="207">
        <f>IF(ISNUMBER(VLOOKUP($B:$B,'BS(과거)'!$A:$F,$2:$2,0)),VLOOKUP($B:$B,'BS(과거)'!$A:$F,$2:$2,0),0)</f>
        <v>0</v>
      </c>
      <c r="N79" s="207">
        <f>IF(ISNUMBER(VLOOKUP($B:$B,'BS(분기)'!$A:$F,$2:$2,0)),VLOOKUP($B:$B,'BS(분기)'!$A:$F,$2:$2,0),0)</f>
        <v>0</v>
      </c>
      <c r="O79" s="207">
        <f>IF(ISNUMBER(VLOOKUP($B:$B,'BS(분기)'!$A:$F,$2:$2,0)),VLOOKUP($B:$B,'BS(분기)'!$A:$F,$2:$2,0),0)</f>
        <v>0</v>
      </c>
      <c r="P79" s="207">
        <f>IF(ISNUMBER(VLOOKUP($B:$B,'BS(분기)'!$A:$F,$2:$2,0)),VLOOKUP($B:$B,'BS(분기)'!$A:$F,$2:$2,0),0)</f>
        <v>0</v>
      </c>
      <c r="Q79" s="207">
        <f>IF(ISNUMBER(VLOOKUP($B:$B,'BS(분기)'!$A:$F,$2:$2,0)),VLOOKUP($B:$B,'BS(분기)'!$A:$F,$2:$2,0),0)</f>
        <v>0</v>
      </c>
      <c r="R79" s="207">
        <f>IF(ISNUMBER(VLOOKUP($B:$B,'BS(분기)'!$A:$F,$2:$2,0)),VLOOKUP($B:$B,'BS(분기)'!$A:$F,$2:$2,0),0)</f>
        <v>0</v>
      </c>
    </row>
    <row r="80" spans="1:18" s="192" customFormat="1" ht="12">
      <c r="A80" s="202">
        <v>111210</v>
      </c>
      <c r="B80" s="195" t="s">
        <v>822</v>
      </c>
      <c r="C80" s="217">
        <f>IF(ISNUMBER(VLOOKUP($B:$B,BS!$A:$D,$2:$2,0)),VLOOKUP($B:$B,BS!$A:$D,$2:$2,0),0)</f>
        <v>0</v>
      </c>
      <c r="D80" s="217">
        <f>IF(ISNUMBER(VLOOKUP($B:$B,BS!$A:$D,$2:$2,0)),VLOOKUP($B:$B,BS!$A:$D,$2:$2,0),0)</f>
        <v>0</v>
      </c>
      <c r="E80" s="217">
        <f>IF(ISNUMBER(VLOOKUP($B:$B,BS!$A:$D,$2:$2,0)),VLOOKUP($B:$B,BS!$A:$D,$2:$2,0),0)</f>
        <v>0</v>
      </c>
      <c r="F80" s="217">
        <f>IF(ISNUMBER(VLOOKUP($B:$B,BS!$A:$D,$2:$2,0)),VLOOKUP($B:$B,BS!$A:$D,$2:$2,0),0)</f>
        <v>0</v>
      </c>
      <c r="G80" s="217">
        <f>IF(ISNUMBER(VLOOKUP($B:$B,BS!$A:$D,$2:$2,0)),VLOOKUP($B:$B,BS!$A:$D,$2:$2,0),0)</f>
        <v>0</v>
      </c>
      <c r="H80" s="207">
        <f>IF(ISNUMBER(VLOOKUP($B:$B,'BS(과거)'!$A:$F,$2:$2,0)),VLOOKUP($B:$B,'BS(과거)'!$A:$F,$2:$2,0),0)</f>
        <v>0</v>
      </c>
      <c r="I80" s="207">
        <f>IF(ISNUMBER(VLOOKUP($B:$B,'BS(과거)'!$A:$F,$2:$2,0)),VLOOKUP($B:$B,'BS(과거)'!$A:$F,$2:$2,0),0)</f>
        <v>0</v>
      </c>
      <c r="J80" s="207">
        <f>IF(ISNUMBER(VLOOKUP($B:$B,'BS(과거)'!$A:$F,$2:$2,0)),VLOOKUP($B:$B,'BS(과거)'!$A:$F,$2:$2,0),0)</f>
        <v>0</v>
      </c>
      <c r="K80" s="207">
        <f>IF(ISNUMBER(VLOOKUP($B:$B,'BS(과거)'!$A:$F,$2:$2,0)),VLOOKUP($B:$B,'BS(과거)'!$A:$F,$2:$2,0),0)</f>
        <v>0</v>
      </c>
      <c r="L80" s="207">
        <f>IF(ISNUMBER(VLOOKUP($B:$B,'BS(과거)'!$A:$F,$2:$2,0)),VLOOKUP($B:$B,'BS(과거)'!$A:$F,$2:$2,0),0)</f>
        <v>0</v>
      </c>
      <c r="N80" s="207">
        <f>IF(ISNUMBER(VLOOKUP($B:$B,'BS(분기)'!$A:$F,$2:$2,0)),VLOOKUP($B:$B,'BS(분기)'!$A:$F,$2:$2,0),0)</f>
        <v>0</v>
      </c>
      <c r="O80" s="207">
        <f>IF(ISNUMBER(VLOOKUP($B:$B,'BS(분기)'!$A:$F,$2:$2,0)),VLOOKUP($B:$B,'BS(분기)'!$A:$F,$2:$2,0),0)</f>
        <v>0</v>
      </c>
      <c r="P80" s="207">
        <f>IF(ISNUMBER(VLOOKUP($B:$B,'BS(분기)'!$A:$F,$2:$2,0)),VLOOKUP($B:$B,'BS(분기)'!$A:$F,$2:$2,0),0)</f>
        <v>0</v>
      </c>
      <c r="Q80" s="207">
        <f>IF(ISNUMBER(VLOOKUP($B:$B,'BS(분기)'!$A:$F,$2:$2,0)),VLOOKUP($B:$B,'BS(분기)'!$A:$F,$2:$2,0),0)</f>
        <v>0</v>
      </c>
      <c r="R80" s="207">
        <f>IF(ISNUMBER(VLOOKUP($B:$B,'BS(분기)'!$A:$F,$2:$2,0)),VLOOKUP($B:$B,'BS(분기)'!$A:$F,$2:$2,0),0)</f>
        <v>0</v>
      </c>
    </row>
    <row r="81" spans="1:18" s="192" customFormat="1" ht="12">
      <c r="A81" s="202">
        <v>111410</v>
      </c>
      <c r="B81" s="195" t="s">
        <v>792</v>
      </c>
      <c r="C81" s="217">
        <f>IF(ISNUMBER(VLOOKUP($B:$B,BS!$A:$D,$2:$2,0)),VLOOKUP($B:$B,BS!$A:$D,$2:$2,0),0)</f>
        <v>0</v>
      </c>
      <c r="D81" s="217">
        <f>IF(ISNUMBER(VLOOKUP($B:$B,BS!$A:$D,$2:$2,0)),VLOOKUP($B:$B,BS!$A:$D,$2:$2,0),0)</f>
        <v>0</v>
      </c>
      <c r="E81" s="217">
        <f>IF(ISNUMBER(VLOOKUP($B:$B,BS!$A:$D,$2:$2,0)),VLOOKUP($B:$B,BS!$A:$D,$2:$2,0),0)</f>
        <v>0</v>
      </c>
      <c r="F81" s="217">
        <f>IF(ISNUMBER(VLOOKUP($B:$B,BS!$A:$D,$2:$2,0)),VLOOKUP($B:$B,BS!$A:$D,$2:$2,0),0)</f>
        <v>0</v>
      </c>
      <c r="G81" s="217">
        <f>IF(ISNUMBER(VLOOKUP($B:$B,BS!$A:$D,$2:$2,0)),VLOOKUP($B:$B,BS!$A:$D,$2:$2,0),0)</f>
        <v>0</v>
      </c>
      <c r="H81" s="207">
        <f>IF(ISNUMBER(VLOOKUP($B:$B,'BS(과거)'!$A:$F,$2:$2,0)),VLOOKUP($B:$B,'BS(과거)'!$A:$F,$2:$2,0),0)</f>
        <v>0</v>
      </c>
      <c r="I81" s="207">
        <f>IF(ISNUMBER(VLOOKUP($B:$B,'BS(과거)'!$A:$F,$2:$2,0)),VLOOKUP($B:$B,'BS(과거)'!$A:$F,$2:$2,0),0)</f>
        <v>0</v>
      </c>
      <c r="J81" s="207">
        <f>IF(ISNUMBER(VLOOKUP($B:$B,'BS(과거)'!$A:$F,$2:$2,0)),VLOOKUP($B:$B,'BS(과거)'!$A:$F,$2:$2,0),0)</f>
        <v>0</v>
      </c>
      <c r="K81" s="207">
        <f>IF(ISNUMBER(VLOOKUP($B:$B,'BS(과거)'!$A:$F,$2:$2,0)),VLOOKUP($B:$B,'BS(과거)'!$A:$F,$2:$2,0),0)</f>
        <v>0</v>
      </c>
      <c r="L81" s="207">
        <f>IF(ISNUMBER(VLOOKUP($B:$B,'BS(과거)'!$A:$F,$2:$2,0)),VLOOKUP($B:$B,'BS(과거)'!$A:$F,$2:$2,0),0)</f>
        <v>0</v>
      </c>
      <c r="N81" s="207">
        <f>IF(ISNUMBER(VLOOKUP($B:$B,'BS(분기)'!$A:$F,$2:$2,0)),VLOOKUP($B:$B,'BS(분기)'!$A:$F,$2:$2,0),0)</f>
        <v>0</v>
      </c>
      <c r="O81" s="207">
        <f>IF(ISNUMBER(VLOOKUP($B:$B,'BS(분기)'!$A:$F,$2:$2,0)),VLOOKUP($B:$B,'BS(분기)'!$A:$F,$2:$2,0),0)</f>
        <v>0</v>
      </c>
      <c r="P81" s="207">
        <f>IF(ISNUMBER(VLOOKUP($B:$B,'BS(분기)'!$A:$F,$2:$2,0)),VLOOKUP($B:$B,'BS(분기)'!$A:$F,$2:$2,0),0)</f>
        <v>0</v>
      </c>
      <c r="Q81" s="207">
        <f>IF(ISNUMBER(VLOOKUP($B:$B,'BS(분기)'!$A:$F,$2:$2,0)),VLOOKUP($B:$B,'BS(분기)'!$A:$F,$2:$2,0),0)</f>
        <v>0</v>
      </c>
      <c r="R81" s="207">
        <f>IF(ISNUMBER(VLOOKUP($B:$B,'BS(분기)'!$A:$F,$2:$2,0)),VLOOKUP($B:$B,'BS(분기)'!$A:$F,$2:$2,0),0)</f>
        <v>0</v>
      </c>
    </row>
    <row r="82" spans="1:18" s="192" customFormat="1" ht="12">
      <c r="A82" s="202">
        <v>111419</v>
      </c>
      <c r="B82" s="195" t="s">
        <v>918</v>
      </c>
      <c r="C82" s="217">
        <f>IF(ISNUMBER(VLOOKUP($B:$B,BS!$A:$D,$2:$2,0)),VLOOKUP($B:$B,BS!$A:$D,$2:$2,0),0)</f>
        <v>0</v>
      </c>
      <c r="D82" s="217">
        <f>IF(ISNUMBER(VLOOKUP($B:$B,BS!$A:$D,$2:$2,0)),VLOOKUP($B:$B,BS!$A:$D,$2:$2,0),0)</f>
        <v>0</v>
      </c>
      <c r="E82" s="217">
        <f>IF(ISNUMBER(VLOOKUP($B:$B,BS!$A:$D,$2:$2,0)),VLOOKUP($B:$B,BS!$A:$D,$2:$2,0),0)</f>
        <v>0</v>
      </c>
      <c r="F82" s="217">
        <f>IF(ISNUMBER(VLOOKUP($B:$B,BS!$A:$D,$2:$2,0)),VLOOKUP($B:$B,BS!$A:$D,$2:$2,0),0)</f>
        <v>0</v>
      </c>
      <c r="G82" s="217">
        <f>IF(ISNUMBER(VLOOKUP($B:$B,BS!$A:$D,$2:$2,0)),VLOOKUP($B:$B,BS!$A:$D,$2:$2,0),0)</f>
        <v>0</v>
      </c>
      <c r="H82" s="207">
        <f>IF(ISNUMBER(VLOOKUP($B:$B,'BS(과거)'!$A:$F,$2:$2,0)),VLOOKUP($B:$B,'BS(과거)'!$A:$F,$2:$2,0),0)</f>
        <v>0</v>
      </c>
      <c r="I82" s="207">
        <f>IF(ISNUMBER(VLOOKUP($B:$B,'BS(과거)'!$A:$F,$2:$2,0)),VLOOKUP($B:$B,'BS(과거)'!$A:$F,$2:$2,0),0)</f>
        <v>0</v>
      </c>
      <c r="J82" s="207">
        <f>IF(ISNUMBER(VLOOKUP($B:$B,'BS(과거)'!$A:$F,$2:$2,0)),VLOOKUP($B:$B,'BS(과거)'!$A:$F,$2:$2,0),0)</f>
        <v>0</v>
      </c>
      <c r="K82" s="207">
        <f>IF(ISNUMBER(VLOOKUP($B:$B,'BS(과거)'!$A:$F,$2:$2,0)),VLOOKUP($B:$B,'BS(과거)'!$A:$F,$2:$2,0),0)</f>
        <v>0</v>
      </c>
      <c r="L82" s="207">
        <f>IF(ISNUMBER(VLOOKUP($B:$B,'BS(과거)'!$A:$F,$2:$2,0)),VLOOKUP($B:$B,'BS(과거)'!$A:$F,$2:$2,0),0)</f>
        <v>0</v>
      </c>
      <c r="N82" s="207">
        <f>IF(ISNUMBER(VLOOKUP($B:$B,'BS(분기)'!$A:$F,$2:$2,0)),VLOOKUP($B:$B,'BS(분기)'!$A:$F,$2:$2,0),0)</f>
        <v>0</v>
      </c>
      <c r="O82" s="207">
        <f>IF(ISNUMBER(VLOOKUP($B:$B,'BS(분기)'!$A:$F,$2:$2,0)),VLOOKUP($B:$B,'BS(분기)'!$A:$F,$2:$2,0),0)</f>
        <v>0</v>
      </c>
      <c r="P82" s="207">
        <f>IF(ISNUMBER(VLOOKUP($B:$B,'BS(분기)'!$A:$F,$2:$2,0)),VLOOKUP($B:$B,'BS(분기)'!$A:$F,$2:$2,0),0)</f>
        <v>0</v>
      </c>
      <c r="Q82" s="207">
        <f>IF(ISNUMBER(VLOOKUP($B:$B,'BS(분기)'!$A:$F,$2:$2,0)),VLOOKUP($B:$B,'BS(분기)'!$A:$F,$2:$2,0),0)</f>
        <v>0</v>
      </c>
      <c r="R82" s="207">
        <f>IF(ISNUMBER(VLOOKUP($B:$B,'BS(분기)'!$A:$F,$2:$2,0)),VLOOKUP($B:$B,'BS(분기)'!$A:$F,$2:$2,0),0)</f>
        <v>0</v>
      </c>
    </row>
    <row r="83" spans="1:18" s="192" customFormat="1" ht="12">
      <c r="A83" s="203">
        <v>111411</v>
      </c>
      <c r="B83" s="196" t="s">
        <v>919</v>
      </c>
      <c r="C83" s="217">
        <f>IF(ISNUMBER(VLOOKUP($B:$B,BS!$A:$D,$2:$2,0)),VLOOKUP($B:$B,BS!$A:$D,$2:$2,0),0)</f>
        <v>0</v>
      </c>
      <c r="D83" s="217">
        <f>IF(ISNUMBER(VLOOKUP($B:$B,BS!$A:$D,$2:$2,0)),VLOOKUP($B:$B,BS!$A:$D,$2:$2,0),0)</f>
        <v>0</v>
      </c>
      <c r="E83" s="217">
        <f>IF(ISNUMBER(VLOOKUP($B:$B,BS!$A:$D,$2:$2,0)),VLOOKUP($B:$B,BS!$A:$D,$2:$2,0),0)</f>
        <v>0</v>
      </c>
      <c r="F83" s="217">
        <f>IF(ISNUMBER(VLOOKUP($B:$B,BS!$A:$D,$2:$2,0)),VLOOKUP($B:$B,BS!$A:$D,$2:$2,0),0)</f>
        <v>0</v>
      </c>
      <c r="G83" s="217">
        <f>IF(ISNUMBER(VLOOKUP($B:$B,BS!$A:$D,$2:$2,0)),VLOOKUP($B:$B,BS!$A:$D,$2:$2,0),0)</f>
        <v>0</v>
      </c>
      <c r="H83" s="207">
        <f>IF(ISNUMBER(VLOOKUP($B:$B,'BS(과거)'!$A:$F,$2:$2,0)),VLOOKUP($B:$B,'BS(과거)'!$A:$F,$2:$2,0),0)</f>
        <v>0</v>
      </c>
      <c r="I83" s="207">
        <f>IF(ISNUMBER(VLOOKUP($B:$B,'BS(과거)'!$A:$F,$2:$2,0)),VLOOKUP($B:$B,'BS(과거)'!$A:$F,$2:$2,0),0)</f>
        <v>0</v>
      </c>
      <c r="J83" s="207">
        <f>IF(ISNUMBER(VLOOKUP($B:$B,'BS(과거)'!$A:$F,$2:$2,0)),VLOOKUP($B:$B,'BS(과거)'!$A:$F,$2:$2,0),0)</f>
        <v>0</v>
      </c>
      <c r="K83" s="207">
        <f>IF(ISNUMBER(VLOOKUP($B:$B,'BS(과거)'!$A:$F,$2:$2,0)),VLOOKUP($B:$B,'BS(과거)'!$A:$F,$2:$2,0),0)</f>
        <v>0</v>
      </c>
      <c r="L83" s="207">
        <f>IF(ISNUMBER(VLOOKUP($B:$B,'BS(과거)'!$A:$F,$2:$2,0)),VLOOKUP($B:$B,'BS(과거)'!$A:$F,$2:$2,0),0)</f>
        <v>0</v>
      </c>
      <c r="N83" s="207">
        <f>IF(ISNUMBER(VLOOKUP($B:$B,'BS(분기)'!$A:$F,$2:$2,0)),VLOOKUP($B:$B,'BS(분기)'!$A:$F,$2:$2,0),0)</f>
        <v>0</v>
      </c>
      <c r="O83" s="207">
        <f>IF(ISNUMBER(VLOOKUP($B:$B,'BS(분기)'!$A:$F,$2:$2,0)),VLOOKUP($B:$B,'BS(분기)'!$A:$F,$2:$2,0),0)</f>
        <v>0</v>
      </c>
      <c r="P83" s="207">
        <f>IF(ISNUMBER(VLOOKUP($B:$B,'BS(분기)'!$A:$F,$2:$2,0)),VLOOKUP($B:$B,'BS(분기)'!$A:$F,$2:$2,0),0)</f>
        <v>0</v>
      </c>
      <c r="Q83" s="207">
        <f>IF(ISNUMBER(VLOOKUP($B:$B,'BS(분기)'!$A:$F,$2:$2,0)),VLOOKUP($B:$B,'BS(분기)'!$A:$F,$2:$2,0),0)</f>
        <v>0</v>
      </c>
      <c r="R83" s="207">
        <f>IF(ISNUMBER(VLOOKUP($B:$B,'BS(분기)'!$A:$F,$2:$2,0)),VLOOKUP($B:$B,'BS(분기)'!$A:$F,$2:$2,0),0)</f>
        <v>0</v>
      </c>
    </row>
    <row r="84" spans="1:18" s="192" customFormat="1" ht="12">
      <c r="A84" s="203">
        <v>111415</v>
      </c>
      <c r="B84" s="196" t="s">
        <v>793</v>
      </c>
      <c r="C84" s="217">
        <f>IF(ISNUMBER(VLOOKUP($B:$B,BS!$A:$D,$2:$2,0)),VLOOKUP($B:$B,BS!$A:$D,$2:$2,0),0)</f>
        <v>0</v>
      </c>
      <c r="D84" s="217">
        <f>IF(ISNUMBER(VLOOKUP($B:$B,BS!$A:$D,$2:$2,0)),VLOOKUP($B:$B,BS!$A:$D,$2:$2,0),0)</f>
        <v>0</v>
      </c>
      <c r="E84" s="217">
        <f>IF(ISNUMBER(VLOOKUP($B:$B,BS!$A:$D,$2:$2,0)),VLOOKUP($B:$B,BS!$A:$D,$2:$2,0),0)</f>
        <v>0</v>
      </c>
      <c r="F84" s="217">
        <f>IF(ISNUMBER(VLOOKUP($B:$B,BS!$A:$D,$2:$2,0)),VLOOKUP($B:$B,BS!$A:$D,$2:$2,0),0)</f>
        <v>0</v>
      </c>
      <c r="G84" s="217">
        <f>IF(ISNUMBER(VLOOKUP($B:$B,BS!$A:$D,$2:$2,0)),VLOOKUP($B:$B,BS!$A:$D,$2:$2,0),0)</f>
        <v>0</v>
      </c>
      <c r="H84" s="207">
        <f>IF(ISNUMBER(VLOOKUP($B:$B,'BS(과거)'!$A:$F,$2:$2,0)),VLOOKUP($B:$B,'BS(과거)'!$A:$F,$2:$2,0),0)</f>
        <v>0</v>
      </c>
      <c r="I84" s="207">
        <f>IF(ISNUMBER(VLOOKUP($B:$B,'BS(과거)'!$A:$F,$2:$2,0)),VLOOKUP($B:$B,'BS(과거)'!$A:$F,$2:$2,0),0)</f>
        <v>0</v>
      </c>
      <c r="J84" s="207">
        <f>IF(ISNUMBER(VLOOKUP($B:$B,'BS(과거)'!$A:$F,$2:$2,0)),VLOOKUP($B:$B,'BS(과거)'!$A:$F,$2:$2,0),0)</f>
        <v>0</v>
      </c>
      <c r="K84" s="207">
        <f>IF(ISNUMBER(VLOOKUP($B:$B,'BS(과거)'!$A:$F,$2:$2,0)),VLOOKUP($B:$B,'BS(과거)'!$A:$F,$2:$2,0),0)</f>
        <v>0</v>
      </c>
      <c r="L84" s="207">
        <f>IF(ISNUMBER(VLOOKUP($B:$B,'BS(과거)'!$A:$F,$2:$2,0)),VLOOKUP($B:$B,'BS(과거)'!$A:$F,$2:$2,0),0)</f>
        <v>0</v>
      </c>
      <c r="N84" s="207">
        <f>IF(ISNUMBER(VLOOKUP($B:$B,'BS(분기)'!$A:$F,$2:$2,0)),VLOOKUP($B:$B,'BS(분기)'!$A:$F,$2:$2,0),0)</f>
        <v>0</v>
      </c>
      <c r="O84" s="207">
        <f>IF(ISNUMBER(VLOOKUP($B:$B,'BS(분기)'!$A:$F,$2:$2,0)),VLOOKUP($B:$B,'BS(분기)'!$A:$F,$2:$2,0),0)</f>
        <v>0</v>
      </c>
      <c r="P84" s="207">
        <f>IF(ISNUMBER(VLOOKUP($B:$B,'BS(분기)'!$A:$F,$2:$2,0)),VLOOKUP($B:$B,'BS(분기)'!$A:$F,$2:$2,0),0)</f>
        <v>0</v>
      </c>
      <c r="Q84" s="207">
        <f>IF(ISNUMBER(VLOOKUP($B:$B,'BS(분기)'!$A:$F,$2:$2,0)),VLOOKUP($B:$B,'BS(분기)'!$A:$F,$2:$2,0),0)</f>
        <v>0</v>
      </c>
      <c r="R84" s="207">
        <f>IF(ISNUMBER(VLOOKUP($B:$B,'BS(분기)'!$A:$F,$2:$2,0)),VLOOKUP($B:$B,'BS(분기)'!$A:$F,$2:$2,0),0)</f>
        <v>0</v>
      </c>
    </row>
    <row r="85" spans="1:18" s="192" customFormat="1" ht="12">
      <c r="A85" s="202">
        <v>111420</v>
      </c>
      <c r="B85" s="195" t="s">
        <v>565</v>
      </c>
      <c r="C85" s="217">
        <f>IF(ISNUMBER(VLOOKUP($B:$B,BS!$A:$D,$2:$2,0)),VLOOKUP($B:$B,BS!$A:$D,$2:$2,0),0)</f>
        <v>0</v>
      </c>
      <c r="D85" s="217">
        <f>IF(ISNUMBER(VLOOKUP($B:$B,BS!$A:$D,$2:$2,0)),VLOOKUP($B:$B,BS!$A:$D,$2:$2,0),0)</f>
        <v>0</v>
      </c>
      <c r="E85" s="217">
        <f>IF(ISNUMBER(VLOOKUP($B:$B,BS!$A:$D,$2:$2,0)),VLOOKUP($B:$B,BS!$A:$D,$2:$2,0),0)</f>
        <v>0</v>
      </c>
      <c r="F85" s="217">
        <f>IF(ISNUMBER(VLOOKUP($B:$B,BS!$A:$D,$2:$2,0)),VLOOKUP($B:$B,BS!$A:$D,$2:$2,0),0)</f>
        <v>0</v>
      </c>
      <c r="G85" s="217">
        <f>IF(ISNUMBER(VLOOKUP($B:$B,BS!$A:$D,$2:$2,0)),VLOOKUP($B:$B,BS!$A:$D,$2:$2,0),0)</f>
        <v>0</v>
      </c>
      <c r="H85" s="207">
        <f>IF(ISNUMBER(VLOOKUP($B:$B,'BS(과거)'!$A:$F,$2:$2,0)),VLOOKUP($B:$B,'BS(과거)'!$A:$F,$2:$2,0),0)</f>
        <v>0</v>
      </c>
      <c r="I85" s="207">
        <f>IF(ISNUMBER(VLOOKUP($B:$B,'BS(과거)'!$A:$F,$2:$2,0)),VLOOKUP($B:$B,'BS(과거)'!$A:$F,$2:$2,0),0)</f>
        <v>0</v>
      </c>
      <c r="J85" s="207">
        <f>IF(ISNUMBER(VLOOKUP($B:$B,'BS(과거)'!$A:$F,$2:$2,0)),VLOOKUP($B:$B,'BS(과거)'!$A:$F,$2:$2,0),0)</f>
        <v>0</v>
      </c>
      <c r="K85" s="207">
        <f>IF(ISNUMBER(VLOOKUP($B:$B,'BS(과거)'!$A:$F,$2:$2,0)),VLOOKUP($B:$B,'BS(과거)'!$A:$F,$2:$2,0),0)</f>
        <v>0</v>
      </c>
      <c r="L85" s="207">
        <f>IF(ISNUMBER(VLOOKUP($B:$B,'BS(과거)'!$A:$F,$2:$2,0)),VLOOKUP($B:$B,'BS(과거)'!$A:$F,$2:$2,0),0)</f>
        <v>0</v>
      </c>
      <c r="N85" s="207">
        <f>IF(ISNUMBER(VLOOKUP($B:$B,'BS(분기)'!$A:$F,$2:$2,0)),VLOOKUP($B:$B,'BS(분기)'!$A:$F,$2:$2,0),0)</f>
        <v>0</v>
      </c>
      <c r="O85" s="207">
        <f>IF(ISNUMBER(VLOOKUP($B:$B,'BS(분기)'!$A:$F,$2:$2,0)),VLOOKUP($B:$B,'BS(분기)'!$A:$F,$2:$2,0),0)</f>
        <v>0</v>
      </c>
      <c r="P85" s="207">
        <f>IF(ISNUMBER(VLOOKUP($B:$B,'BS(분기)'!$A:$F,$2:$2,0)),VLOOKUP($B:$B,'BS(분기)'!$A:$F,$2:$2,0),0)</f>
        <v>0</v>
      </c>
      <c r="Q85" s="207">
        <f>IF(ISNUMBER(VLOOKUP($B:$B,'BS(분기)'!$A:$F,$2:$2,0)),VLOOKUP($B:$B,'BS(분기)'!$A:$F,$2:$2,0),0)</f>
        <v>0</v>
      </c>
      <c r="R85" s="207">
        <f>IF(ISNUMBER(VLOOKUP($B:$B,'BS(분기)'!$A:$F,$2:$2,0)),VLOOKUP($B:$B,'BS(분기)'!$A:$F,$2:$2,0),0)</f>
        <v>0</v>
      </c>
    </row>
    <row r="86" spans="1:18" s="192" customFormat="1" ht="12">
      <c r="A86" s="202">
        <v>111421</v>
      </c>
      <c r="B86" s="195" t="s">
        <v>920</v>
      </c>
      <c r="C86" s="217">
        <f>IF(ISNUMBER(VLOOKUP($B:$B,BS!$A:$D,$2:$2,0)),VLOOKUP($B:$B,BS!$A:$D,$2:$2,0),0)</f>
        <v>0</v>
      </c>
      <c r="D86" s="217">
        <f>IF(ISNUMBER(VLOOKUP($B:$B,BS!$A:$D,$2:$2,0)),VLOOKUP($B:$B,BS!$A:$D,$2:$2,0),0)</f>
        <v>0</v>
      </c>
      <c r="E86" s="217">
        <f>IF(ISNUMBER(VLOOKUP($B:$B,BS!$A:$D,$2:$2,0)),VLOOKUP($B:$B,BS!$A:$D,$2:$2,0),0)</f>
        <v>0</v>
      </c>
      <c r="F86" s="217">
        <f>IF(ISNUMBER(VLOOKUP($B:$B,BS!$A:$D,$2:$2,0)),VLOOKUP($B:$B,BS!$A:$D,$2:$2,0),0)</f>
        <v>0</v>
      </c>
      <c r="G86" s="217">
        <f>IF(ISNUMBER(VLOOKUP($B:$B,BS!$A:$D,$2:$2,0)),VLOOKUP($B:$B,BS!$A:$D,$2:$2,0),0)</f>
        <v>0</v>
      </c>
      <c r="H86" s="207">
        <f>IF(ISNUMBER(VLOOKUP($B:$B,'BS(과거)'!$A:$F,$2:$2,0)),VLOOKUP($B:$B,'BS(과거)'!$A:$F,$2:$2,0),0)</f>
        <v>0</v>
      </c>
      <c r="I86" s="207">
        <f>IF(ISNUMBER(VLOOKUP($B:$B,'BS(과거)'!$A:$F,$2:$2,0)),VLOOKUP($B:$B,'BS(과거)'!$A:$F,$2:$2,0),0)</f>
        <v>0</v>
      </c>
      <c r="J86" s="207">
        <f>IF(ISNUMBER(VLOOKUP($B:$B,'BS(과거)'!$A:$F,$2:$2,0)),VLOOKUP($B:$B,'BS(과거)'!$A:$F,$2:$2,0),0)</f>
        <v>0</v>
      </c>
      <c r="K86" s="207">
        <f>IF(ISNUMBER(VLOOKUP($B:$B,'BS(과거)'!$A:$F,$2:$2,0)),VLOOKUP($B:$B,'BS(과거)'!$A:$F,$2:$2,0),0)</f>
        <v>0</v>
      </c>
      <c r="L86" s="207">
        <f>IF(ISNUMBER(VLOOKUP($B:$B,'BS(과거)'!$A:$F,$2:$2,0)),VLOOKUP($B:$B,'BS(과거)'!$A:$F,$2:$2,0),0)</f>
        <v>0</v>
      </c>
      <c r="N86" s="207">
        <f>IF(ISNUMBER(VLOOKUP($B:$B,'BS(분기)'!$A:$F,$2:$2,0)),VLOOKUP($B:$B,'BS(분기)'!$A:$F,$2:$2,0),0)</f>
        <v>0</v>
      </c>
      <c r="O86" s="207">
        <f>IF(ISNUMBER(VLOOKUP($B:$B,'BS(분기)'!$A:$F,$2:$2,0)),VLOOKUP($B:$B,'BS(분기)'!$A:$F,$2:$2,0),0)</f>
        <v>0</v>
      </c>
      <c r="P86" s="207">
        <f>IF(ISNUMBER(VLOOKUP($B:$B,'BS(분기)'!$A:$F,$2:$2,0)),VLOOKUP($B:$B,'BS(분기)'!$A:$F,$2:$2,0),0)</f>
        <v>0</v>
      </c>
      <c r="Q86" s="207">
        <f>IF(ISNUMBER(VLOOKUP($B:$B,'BS(분기)'!$A:$F,$2:$2,0)),VLOOKUP($B:$B,'BS(분기)'!$A:$F,$2:$2,0),0)</f>
        <v>0</v>
      </c>
      <c r="R86" s="207">
        <f>IF(ISNUMBER(VLOOKUP($B:$B,'BS(분기)'!$A:$F,$2:$2,0)),VLOOKUP($B:$B,'BS(분기)'!$A:$F,$2:$2,0),0)</f>
        <v>0</v>
      </c>
    </row>
    <row r="87" spans="1:18" s="192" customFormat="1" ht="12">
      <c r="A87" s="202">
        <v>111422</v>
      </c>
      <c r="B87" s="195" t="s">
        <v>921</v>
      </c>
      <c r="C87" s="217">
        <f>IF(ISNUMBER(VLOOKUP($B:$B,BS!$A:$D,$2:$2,0)),VLOOKUP($B:$B,BS!$A:$D,$2:$2,0),0)</f>
        <v>0</v>
      </c>
      <c r="D87" s="217">
        <f>IF(ISNUMBER(VLOOKUP($B:$B,BS!$A:$D,$2:$2,0)),VLOOKUP($B:$B,BS!$A:$D,$2:$2,0),0)</f>
        <v>0</v>
      </c>
      <c r="E87" s="217">
        <f>IF(ISNUMBER(VLOOKUP($B:$B,BS!$A:$D,$2:$2,0)),VLOOKUP($B:$B,BS!$A:$D,$2:$2,0),0)</f>
        <v>0</v>
      </c>
      <c r="F87" s="217">
        <f>IF(ISNUMBER(VLOOKUP($B:$B,BS!$A:$D,$2:$2,0)),VLOOKUP($B:$B,BS!$A:$D,$2:$2,0),0)</f>
        <v>0</v>
      </c>
      <c r="G87" s="217">
        <f>IF(ISNUMBER(VLOOKUP($B:$B,BS!$A:$D,$2:$2,0)),VLOOKUP($B:$B,BS!$A:$D,$2:$2,0),0)</f>
        <v>0</v>
      </c>
      <c r="H87" s="207">
        <f>IF(ISNUMBER(VLOOKUP($B:$B,'BS(과거)'!$A:$F,$2:$2,0)),VLOOKUP($B:$B,'BS(과거)'!$A:$F,$2:$2,0),0)</f>
        <v>0</v>
      </c>
      <c r="I87" s="207">
        <f>IF(ISNUMBER(VLOOKUP($B:$B,'BS(과거)'!$A:$F,$2:$2,0)),VLOOKUP($B:$B,'BS(과거)'!$A:$F,$2:$2,0),0)</f>
        <v>0</v>
      </c>
      <c r="J87" s="207">
        <f>IF(ISNUMBER(VLOOKUP($B:$B,'BS(과거)'!$A:$F,$2:$2,0)),VLOOKUP($B:$B,'BS(과거)'!$A:$F,$2:$2,0),0)</f>
        <v>0</v>
      </c>
      <c r="K87" s="207">
        <f>IF(ISNUMBER(VLOOKUP($B:$B,'BS(과거)'!$A:$F,$2:$2,0)),VLOOKUP($B:$B,'BS(과거)'!$A:$F,$2:$2,0),0)</f>
        <v>0</v>
      </c>
      <c r="L87" s="207">
        <f>IF(ISNUMBER(VLOOKUP($B:$B,'BS(과거)'!$A:$F,$2:$2,0)),VLOOKUP($B:$B,'BS(과거)'!$A:$F,$2:$2,0),0)</f>
        <v>0</v>
      </c>
      <c r="N87" s="207">
        <f>IF(ISNUMBER(VLOOKUP($B:$B,'BS(분기)'!$A:$F,$2:$2,0)),VLOOKUP($B:$B,'BS(분기)'!$A:$F,$2:$2,0),0)</f>
        <v>0</v>
      </c>
      <c r="O87" s="207">
        <f>IF(ISNUMBER(VLOOKUP($B:$B,'BS(분기)'!$A:$F,$2:$2,0)),VLOOKUP($B:$B,'BS(분기)'!$A:$F,$2:$2,0),0)</f>
        <v>0</v>
      </c>
      <c r="P87" s="207">
        <f>IF(ISNUMBER(VLOOKUP($B:$B,'BS(분기)'!$A:$F,$2:$2,0)),VLOOKUP($B:$B,'BS(분기)'!$A:$F,$2:$2,0),0)</f>
        <v>0</v>
      </c>
      <c r="Q87" s="207">
        <f>IF(ISNUMBER(VLOOKUP($B:$B,'BS(분기)'!$A:$F,$2:$2,0)),VLOOKUP($B:$B,'BS(분기)'!$A:$F,$2:$2,0),0)</f>
        <v>0</v>
      </c>
      <c r="R87" s="207">
        <f>IF(ISNUMBER(VLOOKUP($B:$B,'BS(분기)'!$A:$F,$2:$2,0)),VLOOKUP($B:$B,'BS(분기)'!$A:$F,$2:$2,0),0)</f>
        <v>0</v>
      </c>
    </row>
    <row r="88" spans="1:18" s="192" customFormat="1" ht="12">
      <c r="A88" s="202">
        <v>111430</v>
      </c>
      <c r="B88" s="195" t="s">
        <v>821</v>
      </c>
      <c r="C88" s="217">
        <f>IF(ISNUMBER(VLOOKUP($B:$B,BS!$A:$D,$2:$2,0)),VLOOKUP($B:$B,BS!$A:$D,$2:$2,0),0)</f>
        <v>0</v>
      </c>
      <c r="D88" s="217">
        <f>IF(ISNUMBER(VLOOKUP($B:$B,BS!$A:$D,$2:$2,0)),VLOOKUP($B:$B,BS!$A:$D,$2:$2,0),0)</f>
        <v>0</v>
      </c>
      <c r="E88" s="217">
        <f>IF(ISNUMBER(VLOOKUP($B:$B,BS!$A:$D,$2:$2,0)),VLOOKUP($B:$B,BS!$A:$D,$2:$2,0),0)</f>
        <v>0</v>
      </c>
      <c r="F88" s="217">
        <f>IF(ISNUMBER(VLOOKUP($B:$B,BS!$A:$D,$2:$2,0)),VLOOKUP($B:$B,BS!$A:$D,$2:$2,0),0)</f>
        <v>0</v>
      </c>
      <c r="G88" s="217">
        <f>IF(ISNUMBER(VLOOKUP($B:$B,BS!$A:$D,$2:$2,0)),VLOOKUP($B:$B,BS!$A:$D,$2:$2,0),0)</f>
        <v>0</v>
      </c>
      <c r="H88" s="207">
        <f>IF(ISNUMBER(VLOOKUP($B:$B,'BS(과거)'!$A:$F,$2:$2,0)),VLOOKUP($B:$B,'BS(과거)'!$A:$F,$2:$2,0),0)</f>
        <v>0</v>
      </c>
      <c r="I88" s="207">
        <f>IF(ISNUMBER(VLOOKUP($B:$B,'BS(과거)'!$A:$F,$2:$2,0)),VLOOKUP($B:$B,'BS(과거)'!$A:$F,$2:$2,0),0)</f>
        <v>0</v>
      </c>
      <c r="J88" s="207">
        <f>IF(ISNUMBER(VLOOKUP($B:$B,'BS(과거)'!$A:$F,$2:$2,0)),VLOOKUP($B:$B,'BS(과거)'!$A:$F,$2:$2,0),0)</f>
        <v>0</v>
      </c>
      <c r="K88" s="207">
        <f>IF(ISNUMBER(VLOOKUP($B:$B,'BS(과거)'!$A:$F,$2:$2,0)),VLOOKUP($B:$B,'BS(과거)'!$A:$F,$2:$2,0),0)</f>
        <v>0</v>
      </c>
      <c r="L88" s="207">
        <f>IF(ISNUMBER(VLOOKUP($B:$B,'BS(과거)'!$A:$F,$2:$2,0)),VLOOKUP($B:$B,'BS(과거)'!$A:$F,$2:$2,0),0)</f>
        <v>0</v>
      </c>
      <c r="N88" s="207">
        <f>IF(ISNUMBER(VLOOKUP($B:$B,'BS(분기)'!$A:$F,$2:$2,0)),VLOOKUP($B:$B,'BS(분기)'!$A:$F,$2:$2,0),0)</f>
        <v>0</v>
      </c>
      <c r="O88" s="207">
        <f>IF(ISNUMBER(VLOOKUP($B:$B,'BS(분기)'!$A:$F,$2:$2,0)),VLOOKUP($B:$B,'BS(분기)'!$A:$F,$2:$2,0),0)</f>
        <v>0</v>
      </c>
      <c r="P88" s="207">
        <f>IF(ISNUMBER(VLOOKUP($B:$B,'BS(분기)'!$A:$F,$2:$2,0)),VLOOKUP($B:$B,'BS(분기)'!$A:$F,$2:$2,0),0)</f>
        <v>0</v>
      </c>
      <c r="Q88" s="207">
        <f>IF(ISNUMBER(VLOOKUP($B:$B,'BS(분기)'!$A:$F,$2:$2,0)),VLOOKUP($B:$B,'BS(분기)'!$A:$F,$2:$2,0),0)</f>
        <v>0</v>
      </c>
      <c r="R88" s="207">
        <f>IF(ISNUMBER(VLOOKUP($B:$B,'BS(분기)'!$A:$F,$2:$2,0)),VLOOKUP($B:$B,'BS(분기)'!$A:$F,$2:$2,0),0)</f>
        <v>0</v>
      </c>
    </row>
    <row r="89" spans="1:18" s="192" customFormat="1" ht="12">
      <c r="A89" s="202">
        <v>111440</v>
      </c>
      <c r="B89" s="195" t="s">
        <v>922</v>
      </c>
      <c r="C89" s="217">
        <f>IF(ISNUMBER(VLOOKUP($B:$B,BS!$A:$D,$2:$2,0)),VLOOKUP($B:$B,BS!$A:$D,$2:$2,0),0)</f>
        <v>0</v>
      </c>
      <c r="D89" s="217">
        <f>IF(ISNUMBER(VLOOKUP($B:$B,BS!$A:$D,$2:$2,0)),VLOOKUP($B:$B,BS!$A:$D,$2:$2,0),0)</f>
        <v>0</v>
      </c>
      <c r="E89" s="217">
        <f>IF(ISNUMBER(VLOOKUP($B:$B,BS!$A:$D,$2:$2,0)),VLOOKUP($B:$B,BS!$A:$D,$2:$2,0),0)</f>
        <v>0</v>
      </c>
      <c r="F89" s="217">
        <f>IF(ISNUMBER(VLOOKUP($B:$B,BS!$A:$D,$2:$2,0)),VLOOKUP($B:$B,BS!$A:$D,$2:$2,0),0)</f>
        <v>0</v>
      </c>
      <c r="G89" s="217">
        <f>IF(ISNUMBER(VLOOKUP($B:$B,BS!$A:$D,$2:$2,0)),VLOOKUP($B:$B,BS!$A:$D,$2:$2,0),0)</f>
        <v>0</v>
      </c>
      <c r="H89" s="207">
        <f>IF(ISNUMBER(VLOOKUP($B:$B,'BS(과거)'!$A:$F,$2:$2,0)),VLOOKUP($B:$B,'BS(과거)'!$A:$F,$2:$2,0),0)</f>
        <v>0</v>
      </c>
      <c r="I89" s="207">
        <f>IF(ISNUMBER(VLOOKUP($B:$B,'BS(과거)'!$A:$F,$2:$2,0)),VLOOKUP($B:$B,'BS(과거)'!$A:$F,$2:$2,0),0)</f>
        <v>0</v>
      </c>
      <c r="J89" s="207">
        <f>IF(ISNUMBER(VLOOKUP($B:$B,'BS(과거)'!$A:$F,$2:$2,0)),VLOOKUP($B:$B,'BS(과거)'!$A:$F,$2:$2,0),0)</f>
        <v>0</v>
      </c>
      <c r="K89" s="207">
        <f>IF(ISNUMBER(VLOOKUP($B:$B,'BS(과거)'!$A:$F,$2:$2,0)),VLOOKUP($B:$B,'BS(과거)'!$A:$F,$2:$2,0),0)</f>
        <v>0</v>
      </c>
      <c r="L89" s="207">
        <f>IF(ISNUMBER(VLOOKUP($B:$B,'BS(과거)'!$A:$F,$2:$2,0)),VLOOKUP($B:$B,'BS(과거)'!$A:$F,$2:$2,0),0)</f>
        <v>0</v>
      </c>
      <c r="N89" s="207">
        <f>IF(ISNUMBER(VLOOKUP($B:$B,'BS(분기)'!$A:$F,$2:$2,0)),VLOOKUP($B:$B,'BS(분기)'!$A:$F,$2:$2,0),0)</f>
        <v>0</v>
      </c>
      <c r="O89" s="207">
        <f>IF(ISNUMBER(VLOOKUP($B:$B,'BS(분기)'!$A:$F,$2:$2,0)),VLOOKUP($B:$B,'BS(분기)'!$A:$F,$2:$2,0),0)</f>
        <v>0</v>
      </c>
      <c r="P89" s="207">
        <f>IF(ISNUMBER(VLOOKUP($B:$B,'BS(분기)'!$A:$F,$2:$2,0)),VLOOKUP($B:$B,'BS(분기)'!$A:$F,$2:$2,0),0)</f>
        <v>0</v>
      </c>
      <c r="Q89" s="207">
        <f>IF(ISNUMBER(VLOOKUP($B:$B,'BS(분기)'!$A:$F,$2:$2,0)),VLOOKUP($B:$B,'BS(분기)'!$A:$F,$2:$2,0),0)</f>
        <v>0</v>
      </c>
      <c r="R89" s="207">
        <f>IF(ISNUMBER(VLOOKUP($B:$B,'BS(분기)'!$A:$F,$2:$2,0)),VLOOKUP($B:$B,'BS(분기)'!$A:$F,$2:$2,0),0)</f>
        <v>0</v>
      </c>
    </row>
    <row r="90" spans="1:18" s="192" customFormat="1" ht="12">
      <c r="A90" s="202">
        <v>111441</v>
      </c>
      <c r="B90" s="195" t="s">
        <v>923</v>
      </c>
      <c r="C90" s="217">
        <f>IF(ISNUMBER(VLOOKUP($B:$B,BS!$A:$D,$2:$2,0)),VLOOKUP($B:$B,BS!$A:$D,$2:$2,0),0)</f>
        <v>0</v>
      </c>
      <c r="D90" s="217">
        <f>IF(ISNUMBER(VLOOKUP($B:$B,BS!$A:$D,$2:$2,0)),VLOOKUP($B:$B,BS!$A:$D,$2:$2,0),0)</f>
        <v>0</v>
      </c>
      <c r="E90" s="217">
        <f>IF(ISNUMBER(VLOOKUP($B:$B,BS!$A:$D,$2:$2,0)),VLOOKUP($B:$B,BS!$A:$D,$2:$2,0),0)</f>
        <v>0</v>
      </c>
      <c r="F90" s="217">
        <f>IF(ISNUMBER(VLOOKUP($B:$B,BS!$A:$D,$2:$2,0)),VLOOKUP($B:$B,BS!$A:$D,$2:$2,0),0)</f>
        <v>0</v>
      </c>
      <c r="G90" s="217">
        <f>IF(ISNUMBER(VLOOKUP($B:$B,BS!$A:$D,$2:$2,0)),VLOOKUP($B:$B,BS!$A:$D,$2:$2,0),0)</f>
        <v>0</v>
      </c>
      <c r="H90" s="207">
        <f>IF(ISNUMBER(VLOOKUP($B:$B,'BS(과거)'!$A:$F,$2:$2,0)),VLOOKUP($B:$B,'BS(과거)'!$A:$F,$2:$2,0),0)</f>
        <v>0</v>
      </c>
      <c r="I90" s="207">
        <f>IF(ISNUMBER(VLOOKUP($B:$B,'BS(과거)'!$A:$F,$2:$2,0)),VLOOKUP($B:$B,'BS(과거)'!$A:$F,$2:$2,0),0)</f>
        <v>0</v>
      </c>
      <c r="J90" s="207">
        <f>IF(ISNUMBER(VLOOKUP($B:$B,'BS(과거)'!$A:$F,$2:$2,0)),VLOOKUP($B:$B,'BS(과거)'!$A:$F,$2:$2,0),0)</f>
        <v>0</v>
      </c>
      <c r="K90" s="207">
        <f>IF(ISNUMBER(VLOOKUP($B:$B,'BS(과거)'!$A:$F,$2:$2,0)),VLOOKUP($B:$B,'BS(과거)'!$A:$F,$2:$2,0),0)</f>
        <v>0</v>
      </c>
      <c r="L90" s="207">
        <f>IF(ISNUMBER(VLOOKUP($B:$B,'BS(과거)'!$A:$F,$2:$2,0)),VLOOKUP($B:$B,'BS(과거)'!$A:$F,$2:$2,0),0)</f>
        <v>0</v>
      </c>
      <c r="N90" s="207">
        <f>IF(ISNUMBER(VLOOKUP($B:$B,'BS(분기)'!$A:$F,$2:$2,0)),VLOOKUP($B:$B,'BS(분기)'!$A:$F,$2:$2,0),0)</f>
        <v>0</v>
      </c>
      <c r="O90" s="207">
        <f>IF(ISNUMBER(VLOOKUP($B:$B,'BS(분기)'!$A:$F,$2:$2,0)),VLOOKUP($B:$B,'BS(분기)'!$A:$F,$2:$2,0),0)</f>
        <v>0</v>
      </c>
      <c r="P90" s="207">
        <f>IF(ISNUMBER(VLOOKUP($B:$B,'BS(분기)'!$A:$F,$2:$2,0)),VLOOKUP($B:$B,'BS(분기)'!$A:$F,$2:$2,0),0)</f>
        <v>0</v>
      </c>
      <c r="Q90" s="207">
        <f>IF(ISNUMBER(VLOOKUP($B:$B,'BS(분기)'!$A:$F,$2:$2,0)),VLOOKUP($B:$B,'BS(분기)'!$A:$F,$2:$2,0),0)</f>
        <v>0</v>
      </c>
      <c r="R90" s="207">
        <f>IF(ISNUMBER(VLOOKUP($B:$B,'BS(분기)'!$A:$F,$2:$2,0)),VLOOKUP($B:$B,'BS(분기)'!$A:$F,$2:$2,0),0)</f>
        <v>0</v>
      </c>
    </row>
    <row r="91" spans="1:18" s="192" customFormat="1" ht="12">
      <c r="A91" s="202">
        <v>111450</v>
      </c>
      <c r="B91" s="195" t="s">
        <v>924</v>
      </c>
      <c r="C91" s="217">
        <f>IF(ISNUMBER(VLOOKUP($B:$B,BS!$A:$D,$2:$2,0)),VLOOKUP($B:$B,BS!$A:$D,$2:$2,0),0)</f>
        <v>0</v>
      </c>
      <c r="D91" s="217">
        <f>IF(ISNUMBER(VLOOKUP($B:$B,BS!$A:$D,$2:$2,0)),VLOOKUP($B:$B,BS!$A:$D,$2:$2,0),0)</f>
        <v>0</v>
      </c>
      <c r="E91" s="217">
        <f>IF(ISNUMBER(VLOOKUP($B:$B,BS!$A:$D,$2:$2,0)),VLOOKUP($B:$B,BS!$A:$D,$2:$2,0),0)</f>
        <v>0</v>
      </c>
      <c r="F91" s="217">
        <f>IF(ISNUMBER(VLOOKUP($B:$B,BS!$A:$D,$2:$2,0)),VLOOKUP($B:$B,BS!$A:$D,$2:$2,0),0)</f>
        <v>0</v>
      </c>
      <c r="G91" s="217">
        <f>IF(ISNUMBER(VLOOKUP($B:$B,BS!$A:$D,$2:$2,0)),VLOOKUP($B:$B,BS!$A:$D,$2:$2,0),0)</f>
        <v>0</v>
      </c>
      <c r="H91" s="207">
        <f>IF(ISNUMBER(VLOOKUP($B:$B,'BS(과거)'!$A:$F,$2:$2,0)),VLOOKUP($B:$B,'BS(과거)'!$A:$F,$2:$2,0),0)</f>
        <v>0</v>
      </c>
      <c r="I91" s="207">
        <f>IF(ISNUMBER(VLOOKUP($B:$B,'BS(과거)'!$A:$F,$2:$2,0)),VLOOKUP($B:$B,'BS(과거)'!$A:$F,$2:$2,0),0)</f>
        <v>0</v>
      </c>
      <c r="J91" s="207">
        <f>IF(ISNUMBER(VLOOKUP($B:$B,'BS(과거)'!$A:$F,$2:$2,0)),VLOOKUP($B:$B,'BS(과거)'!$A:$F,$2:$2,0),0)</f>
        <v>0</v>
      </c>
      <c r="K91" s="207">
        <f>IF(ISNUMBER(VLOOKUP($B:$B,'BS(과거)'!$A:$F,$2:$2,0)),VLOOKUP($B:$B,'BS(과거)'!$A:$F,$2:$2,0),0)</f>
        <v>0</v>
      </c>
      <c r="L91" s="207">
        <f>IF(ISNUMBER(VLOOKUP($B:$B,'BS(과거)'!$A:$F,$2:$2,0)),VLOOKUP($B:$B,'BS(과거)'!$A:$F,$2:$2,0),0)</f>
        <v>0</v>
      </c>
      <c r="N91" s="207">
        <f>IF(ISNUMBER(VLOOKUP($B:$B,'BS(분기)'!$A:$F,$2:$2,0)),VLOOKUP($B:$B,'BS(분기)'!$A:$F,$2:$2,0),0)</f>
        <v>0</v>
      </c>
      <c r="O91" s="207">
        <f>IF(ISNUMBER(VLOOKUP($B:$B,'BS(분기)'!$A:$F,$2:$2,0)),VLOOKUP($B:$B,'BS(분기)'!$A:$F,$2:$2,0),0)</f>
        <v>0</v>
      </c>
      <c r="P91" s="207">
        <f>IF(ISNUMBER(VLOOKUP($B:$B,'BS(분기)'!$A:$F,$2:$2,0)),VLOOKUP($B:$B,'BS(분기)'!$A:$F,$2:$2,0),0)</f>
        <v>0</v>
      </c>
      <c r="Q91" s="207">
        <f>IF(ISNUMBER(VLOOKUP($B:$B,'BS(분기)'!$A:$F,$2:$2,0)),VLOOKUP($B:$B,'BS(분기)'!$A:$F,$2:$2,0),0)</f>
        <v>0</v>
      </c>
      <c r="R91" s="207">
        <f>IF(ISNUMBER(VLOOKUP($B:$B,'BS(분기)'!$A:$F,$2:$2,0)),VLOOKUP($B:$B,'BS(분기)'!$A:$F,$2:$2,0),0)</f>
        <v>0</v>
      </c>
    </row>
    <row r="92" spans="1:18" s="192" customFormat="1" ht="12">
      <c r="A92" s="202">
        <v>111460</v>
      </c>
      <c r="B92" s="195" t="s">
        <v>925</v>
      </c>
      <c r="C92" s="217">
        <f>IF(ISNUMBER(VLOOKUP($B:$B,BS!$A:$D,$2:$2,0)),VLOOKUP($B:$B,BS!$A:$D,$2:$2,0),0)</f>
        <v>0</v>
      </c>
      <c r="D92" s="217">
        <f>IF(ISNUMBER(VLOOKUP($B:$B,BS!$A:$D,$2:$2,0)),VLOOKUP($B:$B,BS!$A:$D,$2:$2,0),0)</f>
        <v>0</v>
      </c>
      <c r="E92" s="217">
        <f>IF(ISNUMBER(VLOOKUP($B:$B,BS!$A:$D,$2:$2,0)),VLOOKUP($B:$B,BS!$A:$D,$2:$2,0),0)</f>
        <v>0</v>
      </c>
      <c r="F92" s="217">
        <f>IF(ISNUMBER(VLOOKUP($B:$B,BS!$A:$D,$2:$2,0)),VLOOKUP($B:$B,BS!$A:$D,$2:$2,0),0)</f>
        <v>0</v>
      </c>
      <c r="G92" s="217">
        <f>IF(ISNUMBER(VLOOKUP($B:$B,BS!$A:$D,$2:$2,0)),VLOOKUP($B:$B,BS!$A:$D,$2:$2,0),0)</f>
        <v>0</v>
      </c>
      <c r="H92" s="207">
        <f>IF(ISNUMBER(VLOOKUP($B:$B,'BS(과거)'!$A:$F,$2:$2,0)),VLOOKUP($B:$B,'BS(과거)'!$A:$F,$2:$2,0),0)</f>
        <v>0</v>
      </c>
      <c r="I92" s="207">
        <f>IF(ISNUMBER(VLOOKUP($B:$B,'BS(과거)'!$A:$F,$2:$2,0)),VLOOKUP($B:$B,'BS(과거)'!$A:$F,$2:$2,0),0)</f>
        <v>0</v>
      </c>
      <c r="J92" s="207">
        <f>IF(ISNUMBER(VLOOKUP($B:$B,'BS(과거)'!$A:$F,$2:$2,0)),VLOOKUP($B:$B,'BS(과거)'!$A:$F,$2:$2,0),0)</f>
        <v>0</v>
      </c>
      <c r="K92" s="207">
        <f>IF(ISNUMBER(VLOOKUP($B:$B,'BS(과거)'!$A:$F,$2:$2,0)),VLOOKUP($B:$B,'BS(과거)'!$A:$F,$2:$2,0),0)</f>
        <v>0</v>
      </c>
      <c r="L92" s="207">
        <f>IF(ISNUMBER(VLOOKUP($B:$B,'BS(과거)'!$A:$F,$2:$2,0)),VLOOKUP($B:$B,'BS(과거)'!$A:$F,$2:$2,0),0)</f>
        <v>0</v>
      </c>
      <c r="N92" s="207">
        <f>IF(ISNUMBER(VLOOKUP($B:$B,'BS(분기)'!$A:$F,$2:$2,0)),VLOOKUP($B:$B,'BS(분기)'!$A:$F,$2:$2,0),0)</f>
        <v>0</v>
      </c>
      <c r="O92" s="207">
        <f>IF(ISNUMBER(VLOOKUP($B:$B,'BS(분기)'!$A:$F,$2:$2,0)),VLOOKUP($B:$B,'BS(분기)'!$A:$F,$2:$2,0),0)</f>
        <v>0</v>
      </c>
      <c r="P92" s="207">
        <f>IF(ISNUMBER(VLOOKUP($B:$B,'BS(분기)'!$A:$F,$2:$2,0)),VLOOKUP($B:$B,'BS(분기)'!$A:$F,$2:$2,0),0)</f>
        <v>0</v>
      </c>
      <c r="Q92" s="207">
        <f>IF(ISNUMBER(VLOOKUP($B:$B,'BS(분기)'!$A:$F,$2:$2,0)),VLOOKUP($B:$B,'BS(분기)'!$A:$F,$2:$2,0),0)</f>
        <v>0</v>
      </c>
      <c r="R92" s="207">
        <f>IF(ISNUMBER(VLOOKUP($B:$B,'BS(분기)'!$A:$F,$2:$2,0)),VLOOKUP($B:$B,'BS(분기)'!$A:$F,$2:$2,0),0)</f>
        <v>0</v>
      </c>
    </row>
    <row r="93" spans="1:18" s="192" customFormat="1" ht="12">
      <c r="A93" s="202">
        <v>111480</v>
      </c>
      <c r="B93" s="195" t="s">
        <v>926</v>
      </c>
      <c r="C93" s="217">
        <f>IF(ISNUMBER(VLOOKUP($B:$B,BS!$A:$D,$2:$2,0)),VLOOKUP($B:$B,BS!$A:$D,$2:$2,0),0)</f>
        <v>0</v>
      </c>
      <c r="D93" s="217">
        <f>IF(ISNUMBER(VLOOKUP($B:$B,BS!$A:$D,$2:$2,0)),VLOOKUP($B:$B,BS!$A:$D,$2:$2,0),0)</f>
        <v>0</v>
      </c>
      <c r="E93" s="217">
        <f>IF(ISNUMBER(VLOOKUP($B:$B,BS!$A:$D,$2:$2,0)),VLOOKUP($B:$B,BS!$A:$D,$2:$2,0),0)</f>
        <v>0</v>
      </c>
      <c r="F93" s="217">
        <f>IF(ISNUMBER(VLOOKUP($B:$B,BS!$A:$D,$2:$2,0)),VLOOKUP($B:$B,BS!$A:$D,$2:$2,0),0)</f>
        <v>0</v>
      </c>
      <c r="G93" s="217">
        <f>IF(ISNUMBER(VLOOKUP($B:$B,BS!$A:$D,$2:$2,0)),VLOOKUP($B:$B,BS!$A:$D,$2:$2,0),0)</f>
        <v>0</v>
      </c>
      <c r="H93" s="207">
        <f>IF(ISNUMBER(VLOOKUP($B:$B,'BS(과거)'!$A:$F,$2:$2,0)),VLOOKUP($B:$B,'BS(과거)'!$A:$F,$2:$2,0),0)</f>
        <v>0</v>
      </c>
      <c r="I93" s="207">
        <f>IF(ISNUMBER(VLOOKUP($B:$B,'BS(과거)'!$A:$F,$2:$2,0)),VLOOKUP($B:$B,'BS(과거)'!$A:$F,$2:$2,0),0)</f>
        <v>0</v>
      </c>
      <c r="J93" s="207">
        <f>IF(ISNUMBER(VLOOKUP($B:$B,'BS(과거)'!$A:$F,$2:$2,0)),VLOOKUP($B:$B,'BS(과거)'!$A:$F,$2:$2,0),0)</f>
        <v>0</v>
      </c>
      <c r="K93" s="207">
        <f>IF(ISNUMBER(VLOOKUP($B:$B,'BS(과거)'!$A:$F,$2:$2,0)),VLOOKUP($B:$B,'BS(과거)'!$A:$F,$2:$2,0),0)</f>
        <v>0</v>
      </c>
      <c r="L93" s="207">
        <f>IF(ISNUMBER(VLOOKUP($B:$B,'BS(과거)'!$A:$F,$2:$2,0)),VLOOKUP($B:$B,'BS(과거)'!$A:$F,$2:$2,0),0)</f>
        <v>0</v>
      </c>
      <c r="N93" s="207">
        <f>IF(ISNUMBER(VLOOKUP($B:$B,'BS(분기)'!$A:$F,$2:$2,0)),VLOOKUP($B:$B,'BS(분기)'!$A:$F,$2:$2,0),0)</f>
        <v>0</v>
      </c>
      <c r="O93" s="207">
        <f>IF(ISNUMBER(VLOOKUP($B:$B,'BS(분기)'!$A:$F,$2:$2,0)),VLOOKUP($B:$B,'BS(분기)'!$A:$F,$2:$2,0),0)</f>
        <v>0</v>
      </c>
      <c r="P93" s="207">
        <f>IF(ISNUMBER(VLOOKUP($B:$B,'BS(분기)'!$A:$F,$2:$2,0)),VLOOKUP($B:$B,'BS(분기)'!$A:$F,$2:$2,0),0)</f>
        <v>0</v>
      </c>
      <c r="Q93" s="207">
        <f>IF(ISNUMBER(VLOOKUP($B:$B,'BS(분기)'!$A:$F,$2:$2,0)),VLOOKUP($B:$B,'BS(분기)'!$A:$F,$2:$2,0),0)</f>
        <v>0</v>
      </c>
      <c r="R93" s="207">
        <f>IF(ISNUMBER(VLOOKUP($B:$B,'BS(분기)'!$A:$F,$2:$2,0)),VLOOKUP($B:$B,'BS(분기)'!$A:$F,$2:$2,0),0)</f>
        <v>0</v>
      </c>
    </row>
    <row r="94" spans="1:18" s="192" customFormat="1" ht="12">
      <c r="A94" s="202">
        <v>111481</v>
      </c>
      <c r="B94" s="195" t="s">
        <v>927</v>
      </c>
      <c r="C94" s="217">
        <f>IF(ISNUMBER(VLOOKUP($B:$B,BS!$A:$D,$2:$2,0)),VLOOKUP($B:$B,BS!$A:$D,$2:$2,0),0)</f>
        <v>0</v>
      </c>
      <c r="D94" s="217">
        <f>IF(ISNUMBER(VLOOKUP($B:$B,BS!$A:$D,$2:$2,0)),VLOOKUP($B:$B,BS!$A:$D,$2:$2,0),0)</f>
        <v>0</v>
      </c>
      <c r="E94" s="217">
        <f>IF(ISNUMBER(VLOOKUP($B:$B,BS!$A:$D,$2:$2,0)),VLOOKUP($B:$B,BS!$A:$D,$2:$2,0),0)</f>
        <v>0</v>
      </c>
      <c r="F94" s="217">
        <f>IF(ISNUMBER(VLOOKUP($B:$B,BS!$A:$D,$2:$2,0)),VLOOKUP($B:$B,BS!$A:$D,$2:$2,0),0)</f>
        <v>0</v>
      </c>
      <c r="G94" s="217">
        <f>IF(ISNUMBER(VLOOKUP($B:$B,BS!$A:$D,$2:$2,0)),VLOOKUP($B:$B,BS!$A:$D,$2:$2,0),0)</f>
        <v>0</v>
      </c>
      <c r="H94" s="207">
        <f>IF(ISNUMBER(VLOOKUP($B:$B,'BS(과거)'!$A:$F,$2:$2,0)),VLOOKUP($B:$B,'BS(과거)'!$A:$F,$2:$2,0),0)</f>
        <v>0</v>
      </c>
      <c r="I94" s="207">
        <f>IF(ISNUMBER(VLOOKUP($B:$B,'BS(과거)'!$A:$F,$2:$2,0)),VLOOKUP($B:$B,'BS(과거)'!$A:$F,$2:$2,0),0)</f>
        <v>0</v>
      </c>
      <c r="J94" s="207">
        <f>IF(ISNUMBER(VLOOKUP($B:$B,'BS(과거)'!$A:$F,$2:$2,0)),VLOOKUP($B:$B,'BS(과거)'!$A:$F,$2:$2,0),0)</f>
        <v>0</v>
      </c>
      <c r="K94" s="207">
        <f>IF(ISNUMBER(VLOOKUP($B:$B,'BS(과거)'!$A:$F,$2:$2,0)),VLOOKUP($B:$B,'BS(과거)'!$A:$F,$2:$2,0),0)</f>
        <v>0</v>
      </c>
      <c r="L94" s="207">
        <f>IF(ISNUMBER(VLOOKUP($B:$B,'BS(과거)'!$A:$F,$2:$2,0)),VLOOKUP($B:$B,'BS(과거)'!$A:$F,$2:$2,0),0)</f>
        <v>0</v>
      </c>
      <c r="N94" s="207">
        <f>IF(ISNUMBER(VLOOKUP($B:$B,'BS(분기)'!$A:$F,$2:$2,0)),VLOOKUP($B:$B,'BS(분기)'!$A:$F,$2:$2,0),0)</f>
        <v>0</v>
      </c>
      <c r="O94" s="207">
        <f>IF(ISNUMBER(VLOOKUP($B:$B,'BS(분기)'!$A:$F,$2:$2,0)),VLOOKUP($B:$B,'BS(분기)'!$A:$F,$2:$2,0),0)</f>
        <v>0</v>
      </c>
      <c r="P94" s="207">
        <f>IF(ISNUMBER(VLOOKUP($B:$B,'BS(분기)'!$A:$F,$2:$2,0)),VLOOKUP($B:$B,'BS(분기)'!$A:$F,$2:$2,0),0)</f>
        <v>0</v>
      </c>
      <c r="Q94" s="207">
        <f>IF(ISNUMBER(VLOOKUP($B:$B,'BS(분기)'!$A:$F,$2:$2,0)),VLOOKUP($B:$B,'BS(분기)'!$A:$F,$2:$2,0),0)</f>
        <v>0</v>
      </c>
      <c r="R94" s="207">
        <f>IF(ISNUMBER(VLOOKUP($B:$B,'BS(분기)'!$A:$F,$2:$2,0)),VLOOKUP($B:$B,'BS(분기)'!$A:$F,$2:$2,0),0)</f>
        <v>0</v>
      </c>
    </row>
    <row r="95" spans="1:18" s="192" customFormat="1" ht="12">
      <c r="A95" s="202">
        <v>111482</v>
      </c>
      <c r="B95" s="195" t="s">
        <v>928</v>
      </c>
      <c r="C95" s="217">
        <f>IF(ISNUMBER(VLOOKUP($B:$B,BS!$A:$D,$2:$2,0)),VLOOKUP($B:$B,BS!$A:$D,$2:$2,0),0)</f>
        <v>0</v>
      </c>
      <c r="D95" s="217">
        <f>IF(ISNUMBER(VLOOKUP($B:$B,BS!$A:$D,$2:$2,0)),VLOOKUP($B:$B,BS!$A:$D,$2:$2,0),0)</f>
        <v>0</v>
      </c>
      <c r="E95" s="217">
        <f>IF(ISNUMBER(VLOOKUP($B:$B,BS!$A:$D,$2:$2,0)),VLOOKUP($B:$B,BS!$A:$D,$2:$2,0),0)</f>
        <v>0</v>
      </c>
      <c r="F95" s="217">
        <f>IF(ISNUMBER(VLOOKUP($B:$B,BS!$A:$D,$2:$2,0)),VLOOKUP($B:$B,BS!$A:$D,$2:$2,0),0)</f>
        <v>0</v>
      </c>
      <c r="G95" s="217">
        <f>IF(ISNUMBER(VLOOKUP($B:$B,BS!$A:$D,$2:$2,0)),VLOOKUP($B:$B,BS!$A:$D,$2:$2,0),0)</f>
        <v>0</v>
      </c>
      <c r="H95" s="207">
        <f>IF(ISNUMBER(VLOOKUP($B:$B,'BS(과거)'!$A:$F,$2:$2,0)),VLOOKUP($B:$B,'BS(과거)'!$A:$F,$2:$2,0),0)</f>
        <v>0</v>
      </c>
      <c r="I95" s="207">
        <f>IF(ISNUMBER(VLOOKUP($B:$B,'BS(과거)'!$A:$F,$2:$2,0)),VLOOKUP($B:$B,'BS(과거)'!$A:$F,$2:$2,0),0)</f>
        <v>0</v>
      </c>
      <c r="J95" s="207">
        <f>IF(ISNUMBER(VLOOKUP($B:$B,'BS(과거)'!$A:$F,$2:$2,0)),VLOOKUP($B:$B,'BS(과거)'!$A:$F,$2:$2,0),0)</f>
        <v>0</v>
      </c>
      <c r="K95" s="207">
        <f>IF(ISNUMBER(VLOOKUP($B:$B,'BS(과거)'!$A:$F,$2:$2,0)),VLOOKUP($B:$B,'BS(과거)'!$A:$F,$2:$2,0),0)</f>
        <v>0</v>
      </c>
      <c r="L95" s="207">
        <f>IF(ISNUMBER(VLOOKUP($B:$B,'BS(과거)'!$A:$F,$2:$2,0)),VLOOKUP($B:$B,'BS(과거)'!$A:$F,$2:$2,0),0)</f>
        <v>0</v>
      </c>
      <c r="N95" s="207">
        <f>IF(ISNUMBER(VLOOKUP($B:$B,'BS(분기)'!$A:$F,$2:$2,0)),VLOOKUP($B:$B,'BS(분기)'!$A:$F,$2:$2,0),0)</f>
        <v>0</v>
      </c>
      <c r="O95" s="207">
        <f>IF(ISNUMBER(VLOOKUP($B:$B,'BS(분기)'!$A:$F,$2:$2,0)),VLOOKUP($B:$B,'BS(분기)'!$A:$F,$2:$2,0),0)</f>
        <v>0</v>
      </c>
      <c r="P95" s="207">
        <f>IF(ISNUMBER(VLOOKUP($B:$B,'BS(분기)'!$A:$F,$2:$2,0)),VLOOKUP($B:$B,'BS(분기)'!$A:$F,$2:$2,0),0)</f>
        <v>0</v>
      </c>
      <c r="Q95" s="207">
        <f>IF(ISNUMBER(VLOOKUP($B:$B,'BS(분기)'!$A:$F,$2:$2,0)),VLOOKUP($B:$B,'BS(분기)'!$A:$F,$2:$2,0),0)</f>
        <v>0</v>
      </c>
      <c r="R95" s="207">
        <f>IF(ISNUMBER(VLOOKUP($B:$B,'BS(분기)'!$A:$F,$2:$2,0)),VLOOKUP($B:$B,'BS(분기)'!$A:$F,$2:$2,0),0)</f>
        <v>0</v>
      </c>
    </row>
    <row r="96" spans="1:18" s="192" customFormat="1" ht="12">
      <c r="A96" s="202">
        <v>111483</v>
      </c>
      <c r="B96" s="195" t="s">
        <v>929</v>
      </c>
      <c r="C96" s="217">
        <f>IF(ISNUMBER(VLOOKUP($B:$B,BS!$A:$D,$2:$2,0)),VLOOKUP($B:$B,BS!$A:$D,$2:$2,0),0)</f>
        <v>0</v>
      </c>
      <c r="D96" s="217">
        <f>IF(ISNUMBER(VLOOKUP($B:$B,BS!$A:$D,$2:$2,0)),VLOOKUP($B:$B,BS!$A:$D,$2:$2,0),0)</f>
        <v>0</v>
      </c>
      <c r="E96" s="217">
        <f>IF(ISNUMBER(VLOOKUP($B:$B,BS!$A:$D,$2:$2,0)),VLOOKUP($B:$B,BS!$A:$D,$2:$2,0),0)</f>
        <v>0</v>
      </c>
      <c r="F96" s="217">
        <f>IF(ISNUMBER(VLOOKUP($B:$B,BS!$A:$D,$2:$2,0)),VLOOKUP($B:$B,BS!$A:$D,$2:$2,0),0)</f>
        <v>0</v>
      </c>
      <c r="G96" s="217">
        <f>IF(ISNUMBER(VLOOKUP($B:$B,BS!$A:$D,$2:$2,0)),VLOOKUP($B:$B,BS!$A:$D,$2:$2,0),0)</f>
        <v>0</v>
      </c>
      <c r="H96" s="207">
        <f>IF(ISNUMBER(VLOOKUP($B:$B,'BS(과거)'!$A:$F,$2:$2,0)),VLOOKUP($B:$B,'BS(과거)'!$A:$F,$2:$2,0),0)</f>
        <v>0</v>
      </c>
      <c r="I96" s="207">
        <f>IF(ISNUMBER(VLOOKUP($B:$B,'BS(과거)'!$A:$F,$2:$2,0)),VLOOKUP($B:$B,'BS(과거)'!$A:$F,$2:$2,0),0)</f>
        <v>0</v>
      </c>
      <c r="J96" s="207">
        <f>IF(ISNUMBER(VLOOKUP($B:$B,'BS(과거)'!$A:$F,$2:$2,0)),VLOOKUP($B:$B,'BS(과거)'!$A:$F,$2:$2,0),0)</f>
        <v>0</v>
      </c>
      <c r="K96" s="207">
        <f>IF(ISNUMBER(VLOOKUP($B:$B,'BS(과거)'!$A:$F,$2:$2,0)),VLOOKUP($B:$B,'BS(과거)'!$A:$F,$2:$2,0),0)</f>
        <v>0</v>
      </c>
      <c r="L96" s="207">
        <f>IF(ISNUMBER(VLOOKUP($B:$B,'BS(과거)'!$A:$F,$2:$2,0)),VLOOKUP($B:$B,'BS(과거)'!$A:$F,$2:$2,0),0)</f>
        <v>0</v>
      </c>
      <c r="N96" s="207">
        <f>IF(ISNUMBER(VLOOKUP($B:$B,'BS(분기)'!$A:$F,$2:$2,0)),VLOOKUP($B:$B,'BS(분기)'!$A:$F,$2:$2,0),0)</f>
        <v>0</v>
      </c>
      <c r="O96" s="207">
        <f>IF(ISNUMBER(VLOOKUP($B:$B,'BS(분기)'!$A:$F,$2:$2,0)),VLOOKUP($B:$B,'BS(분기)'!$A:$F,$2:$2,0),0)</f>
        <v>0</v>
      </c>
      <c r="P96" s="207">
        <f>IF(ISNUMBER(VLOOKUP($B:$B,'BS(분기)'!$A:$F,$2:$2,0)),VLOOKUP($B:$B,'BS(분기)'!$A:$F,$2:$2,0),0)</f>
        <v>0</v>
      </c>
      <c r="Q96" s="207">
        <f>IF(ISNUMBER(VLOOKUP($B:$B,'BS(분기)'!$A:$F,$2:$2,0)),VLOOKUP($B:$B,'BS(분기)'!$A:$F,$2:$2,0),0)</f>
        <v>0</v>
      </c>
      <c r="R96" s="207">
        <f>IF(ISNUMBER(VLOOKUP($B:$B,'BS(분기)'!$A:$F,$2:$2,0)),VLOOKUP($B:$B,'BS(분기)'!$A:$F,$2:$2,0),0)</f>
        <v>0</v>
      </c>
    </row>
    <row r="97" spans="1:18" s="192" customFormat="1" ht="12">
      <c r="A97" s="202">
        <v>111500</v>
      </c>
      <c r="B97" s="195" t="s">
        <v>930</v>
      </c>
      <c r="C97" s="217">
        <f>IF(ISNUMBER(VLOOKUP($B:$B,BS!$A:$D,$2:$2,0)),VLOOKUP($B:$B,BS!$A:$D,$2:$2,0),0)</f>
        <v>0</v>
      </c>
      <c r="D97" s="217">
        <f>IF(ISNUMBER(VLOOKUP($B:$B,BS!$A:$D,$2:$2,0)),VLOOKUP($B:$B,BS!$A:$D,$2:$2,0),0)</f>
        <v>0</v>
      </c>
      <c r="E97" s="217">
        <f>IF(ISNUMBER(VLOOKUP($B:$B,BS!$A:$D,$2:$2,0)),VLOOKUP($B:$B,BS!$A:$D,$2:$2,0),0)</f>
        <v>0</v>
      </c>
      <c r="F97" s="217">
        <f>IF(ISNUMBER(VLOOKUP($B:$B,BS!$A:$D,$2:$2,0)),VLOOKUP($B:$B,BS!$A:$D,$2:$2,0),0)</f>
        <v>0</v>
      </c>
      <c r="G97" s="217">
        <f>IF(ISNUMBER(VLOOKUP($B:$B,BS!$A:$D,$2:$2,0)),VLOOKUP($B:$B,BS!$A:$D,$2:$2,0),0)</f>
        <v>0</v>
      </c>
      <c r="H97" s="207">
        <f>IF(ISNUMBER(VLOOKUP($B:$B,'BS(과거)'!$A:$F,$2:$2,0)),VLOOKUP($B:$B,'BS(과거)'!$A:$F,$2:$2,0),0)</f>
        <v>0</v>
      </c>
      <c r="I97" s="207">
        <f>IF(ISNUMBER(VLOOKUP($B:$B,'BS(과거)'!$A:$F,$2:$2,0)),VLOOKUP($B:$B,'BS(과거)'!$A:$F,$2:$2,0),0)</f>
        <v>0</v>
      </c>
      <c r="J97" s="207">
        <f>IF(ISNUMBER(VLOOKUP($B:$B,'BS(과거)'!$A:$F,$2:$2,0)),VLOOKUP($B:$B,'BS(과거)'!$A:$F,$2:$2,0),0)</f>
        <v>0</v>
      </c>
      <c r="K97" s="207">
        <f>IF(ISNUMBER(VLOOKUP($B:$B,'BS(과거)'!$A:$F,$2:$2,0)),VLOOKUP($B:$B,'BS(과거)'!$A:$F,$2:$2,0),0)</f>
        <v>0</v>
      </c>
      <c r="L97" s="207">
        <f>IF(ISNUMBER(VLOOKUP($B:$B,'BS(과거)'!$A:$F,$2:$2,0)),VLOOKUP($B:$B,'BS(과거)'!$A:$F,$2:$2,0),0)</f>
        <v>0</v>
      </c>
      <c r="N97" s="207">
        <f>IF(ISNUMBER(VLOOKUP($B:$B,'BS(분기)'!$A:$F,$2:$2,0)),VLOOKUP($B:$B,'BS(분기)'!$A:$F,$2:$2,0),0)</f>
        <v>0</v>
      </c>
      <c r="O97" s="207">
        <f>IF(ISNUMBER(VLOOKUP($B:$B,'BS(분기)'!$A:$F,$2:$2,0)),VLOOKUP($B:$B,'BS(분기)'!$A:$F,$2:$2,0),0)</f>
        <v>0</v>
      </c>
      <c r="P97" s="207">
        <f>IF(ISNUMBER(VLOOKUP($B:$B,'BS(분기)'!$A:$F,$2:$2,0)),VLOOKUP($B:$B,'BS(분기)'!$A:$F,$2:$2,0),0)</f>
        <v>0</v>
      </c>
      <c r="Q97" s="207">
        <f>IF(ISNUMBER(VLOOKUP($B:$B,'BS(분기)'!$A:$F,$2:$2,0)),VLOOKUP($B:$B,'BS(분기)'!$A:$F,$2:$2,0),0)</f>
        <v>0</v>
      </c>
      <c r="R97" s="207">
        <f>IF(ISNUMBER(VLOOKUP($B:$B,'BS(분기)'!$A:$F,$2:$2,0)),VLOOKUP($B:$B,'BS(분기)'!$A:$F,$2:$2,0),0)</f>
        <v>0</v>
      </c>
    </row>
    <row r="98" spans="1:18" s="192" customFormat="1" ht="12">
      <c r="A98" s="203">
        <v>111510</v>
      </c>
      <c r="B98" s="196" t="s">
        <v>931</v>
      </c>
      <c r="C98" s="217">
        <f>IF(ISNUMBER(VLOOKUP($B:$B,BS!$A:$D,$2:$2,0)),VLOOKUP($B:$B,BS!$A:$D,$2:$2,0),0)</f>
        <v>0</v>
      </c>
      <c r="D98" s="217">
        <f>IF(ISNUMBER(VLOOKUP($B:$B,BS!$A:$D,$2:$2,0)),VLOOKUP($B:$B,BS!$A:$D,$2:$2,0),0)</f>
        <v>0</v>
      </c>
      <c r="E98" s="217">
        <f>IF(ISNUMBER(VLOOKUP($B:$B,BS!$A:$D,$2:$2,0)),VLOOKUP($B:$B,BS!$A:$D,$2:$2,0),0)</f>
        <v>0</v>
      </c>
      <c r="F98" s="217">
        <f>IF(ISNUMBER(VLOOKUP($B:$B,BS!$A:$D,$2:$2,0)),VLOOKUP($B:$B,BS!$A:$D,$2:$2,0),0)</f>
        <v>0</v>
      </c>
      <c r="G98" s="217">
        <f>IF(ISNUMBER(VLOOKUP($B:$B,BS!$A:$D,$2:$2,0)),VLOOKUP($B:$B,BS!$A:$D,$2:$2,0),0)</f>
        <v>0</v>
      </c>
      <c r="H98" s="207">
        <f>IF(ISNUMBER(VLOOKUP($B:$B,'BS(과거)'!$A:$F,$2:$2,0)),VLOOKUP($B:$B,'BS(과거)'!$A:$F,$2:$2,0),0)</f>
        <v>0</v>
      </c>
      <c r="I98" s="207">
        <f>IF(ISNUMBER(VLOOKUP($B:$B,'BS(과거)'!$A:$F,$2:$2,0)),VLOOKUP($B:$B,'BS(과거)'!$A:$F,$2:$2,0),0)</f>
        <v>0</v>
      </c>
      <c r="J98" s="207">
        <f>IF(ISNUMBER(VLOOKUP($B:$B,'BS(과거)'!$A:$F,$2:$2,0)),VLOOKUP($B:$B,'BS(과거)'!$A:$F,$2:$2,0),0)</f>
        <v>0</v>
      </c>
      <c r="K98" s="207">
        <f>IF(ISNUMBER(VLOOKUP($B:$B,'BS(과거)'!$A:$F,$2:$2,0)),VLOOKUP($B:$B,'BS(과거)'!$A:$F,$2:$2,0),0)</f>
        <v>0</v>
      </c>
      <c r="L98" s="207">
        <f>IF(ISNUMBER(VLOOKUP($B:$B,'BS(과거)'!$A:$F,$2:$2,0)),VLOOKUP($B:$B,'BS(과거)'!$A:$F,$2:$2,0),0)</f>
        <v>0</v>
      </c>
      <c r="N98" s="207">
        <f>IF(ISNUMBER(VLOOKUP($B:$B,'BS(분기)'!$A:$F,$2:$2,0)),VLOOKUP($B:$B,'BS(분기)'!$A:$F,$2:$2,0),0)</f>
        <v>0</v>
      </c>
      <c r="O98" s="207">
        <f>IF(ISNUMBER(VLOOKUP($B:$B,'BS(분기)'!$A:$F,$2:$2,0)),VLOOKUP($B:$B,'BS(분기)'!$A:$F,$2:$2,0),0)</f>
        <v>0</v>
      </c>
      <c r="P98" s="207">
        <f>IF(ISNUMBER(VLOOKUP($B:$B,'BS(분기)'!$A:$F,$2:$2,0)),VLOOKUP($B:$B,'BS(분기)'!$A:$F,$2:$2,0),0)</f>
        <v>0</v>
      </c>
      <c r="Q98" s="207">
        <f>IF(ISNUMBER(VLOOKUP($B:$B,'BS(분기)'!$A:$F,$2:$2,0)),VLOOKUP($B:$B,'BS(분기)'!$A:$F,$2:$2,0),0)</f>
        <v>0</v>
      </c>
      <c r="R98" s="207">
        <f>IF(ISNUMBER(VLOOKUP($B:$B,'BS(분기)'!$A:$F,$2:$2,0)),VLOOKUP($B:$B,'BS(분기)'!$A:$F,$2:$2,0),0)</f>
        <v>0</v>
      </c>
    </row>
    <row r="99" spans="1:18" s="192" customFormat="1" ht="12">
      <c r="A99" s="204">
        <v>111511</v>
      </c>
      <c r="B99" s="197" t="s">
        <v>932</v>
      </c>
      <c r="C99" s="217">
        <f>IF(ISNUMBER(VLOOKUP($B:$B,BS!$A:$D,$2:$2,0)),VLOOKUP($B:$B,BS!$A:$D,$2:$2,0),0)</f>
        <v>0</v>
      </c>
      <c r="D99" s="217">
        <f>IF(ISNUMBER(VLOOKUP($B:$B,BS!$A:$D,$2:$2,0)),VLOOKUP($B:$B,BS!$A:$D,$2:$2,0),0)</f>
        <v>0</v>
      </c>
      <c r="E99" s="217">
        <f>IF(ISNUMBER(VLOOKUP($B:$B,BS!$A:$D,$2:$2,0)),VLOOKUP($B:$B,BS!$A:$D,$2:$2,0),0)</f>
        <v>0</v>
      </c>
      <c r="F99" s="217">
        <f>IF(ISNUMBER(VLOOKUP($B:$B,BS!$A:$D,$2:$2,0)),VLOOKUP($B:$B,BS!$A:$D,$2:$2,0),0)</f>
        <v>0</v>
      </c>
      <c r="G99" s="217">
        <f>IF(ISNUMBER(VLOOKUP($B:$B,BS!$A:$D,$2:$2,0)),VLOOKUP($B:$B,BS!$A:$D,$2:$2,0),0)</f>
        <v>0</v>
      </c>
      <c r="H99" s="207">
        <f>IF(ISNUMBER(VLOOKUP($B:$B,'BS(과거)'!$A:$F,$2:$2,0)),VLOOKUP($B:$B,'BS(과거)'!$A:$F,$2:$2,0),0)</f>
        <v>0</v>
      </c>
      <c r="I99" s="207">
        <f>IF(ISNUMBER(VLOOKUP($B:$B,'BS(과거)'!$A:$F,$2:$2,0)),VLOOKUP($B:$B,'BS(과거)'!$A:$F,$2:$2,0),0)</f>
        <v>0</v>
      </c>
      <c r="J99" s="207">
        <f>IF(ISNUMBER(VLOOKUP($B:$B,'BS(과거)'!$A:$F,$2:$2,0)),VLOOKUP($B:$B,'BS(과거)'!$A:$F,$2:$2,0),0)</f>
        <v>0</v>
      </c>
      <c r="K99" s="207">
        <f>IF(ISNUMBER(VLOOKUP($B:$B,'BS(과거)'!$A:$F,$2:$2,0)),VLOOKUP($B:$B,'BS(과거)'!$A:$F,$2:$2,0),0)</f>
        <v>0</v>
      </c>
      <c r="L99" s="207">
        <f>IF(ISNUMBER(VLOOKUP($B:$B,'BS(과거)'!$A:$F,$2:$2,0)),VLOOKUP($B:$B,'BS(과거)'!$A:$F,$2:$2,0),0)</f>
        <v>0</v>
      </c>
      <c r="N99" s="207">
        <f>IF(ISNUMBER(VLOOKUP($B:$B,'BS(분기)'!$A:$F,$2:$2,0)),VLOOKUP($B:$B,'BS(분기)'!$A:$F,$2:$2,0),0)</f>
        <v>0</v>
      </c>
      <c r="O99" s="207">
        <f>IF(ISNUMBER(VLOOKUP($B:$B,'BS(분기)'!$A:$F,$2:$2,0)),VLOOKUP($B:$B,'BS(분기)'!$A:$F,$2:$2,0),0)</f>
        <v>0</v>
      </c>
      <c r="P99" s="207">
        <f>IF(ISNUMBER(VLOOKUP($B:$B,'BS(분기)'!$A:$F,$2:$2,0)),VLOOKUP($B:$B,'BS(분기)'!$A:$F,$2:$2,0),0)</f>
        <v>0</v>
      </c>
      <c r="Q99" s="207">
        <f>IF(ISNUMBER(VLOOKUP($B:$B,'BS(분기)'!$A:$F,$2:$2,0)),VLOOKUP($B:$B,'BS(분기)'!$A:$F,$2:$2,0),0)</f>
        <v>0</v>
      </c>
      <c r="R99" s="207">
        <f>IF(ISNUMBER(VLOOKUP($B:$B,'BS(분기)'!$A:$F,$2:$2,0)),VLOOKUP($B:$B,'BS(분기)'!$A:$F,$2:$2,0),0)</f>
        <v>0</v>
      </c>
    </row>
    <row r="100" spans="1:18" s="192" customFormat="1" ht="12">
      <c r="A100" s="204">
        <v>111512</v>
      </c>
      <c r="B100" s="197" t="s">
        <v>933</v>
      </c>
      <c r="C100" s="217">
        <f>IF(ISNUMBER(VLOOKUP($B:$B,BS!$A:$D,$2:$2,0)),VLOOKUP($B:$B,BS!$A:$D,$2:$2,0),0)</f>
        <v>0</v>
      </c>
      <c r="D100" s="217">
        <f>IF(ISNUMBER(VLOOKUP($B:$B,BS!$A:$D,$2:$2,0)),VLOOKUP($B:$B,BS!$A:$D,$2:$2,0),0)</f>
        <v>0</v>
      </c>
      <c r="E100" s="217">
        <f>IF(ISNUMBER(VLOOKUP($B:$B,BS!$A:$D,$2:$2,0)),VLOOKUP($B:$B,BS!$A:$D,$2:$2,0),0)</f>
        <v>0</v>
      </c>
      <c r="F100" s="217">
        <f>IF(ISNUMBER(VLOOKUP($B:$B,BS!$A:$D,$2:$2,0)),VLOOKUP($B:$B,BS!$A:$D,$2:$2,0),0)</f>
        <v>0</v>
      </c>
      <c r="G100" s="217">
        <f>IF(ISNUMBER(VLOOKUP($B:$B,BS!$A:$D,$2:$2,0)),VLOOKUP($B:$B,BS!$A:$D,$2:$2,0),0)</f>
        <v>0</v>
      </c>
      <c r="H100" s="207">
        <f>IF(ISNUMBER(VLOOKUP($B:$B,'BS(과거)'!$A:$F,$2:$2,0)),VLOOKUP($B:$B,'BS(과거)'!$A:$F,$2:$2,0),0)</f>
        <v>0</v>
      </c>
      <c r="I100" s="207">
        <f>IF(ISNUMBER(VLOOKUP($B:$B,'BS(과거)'!$A:$F,$2:$2,0)),VLOOKUP($B:$B,'BS(과거)'!$A:$F,$2:$2,0),0)</f>
        <v>0</v>
      </c>
      <c r="J100" s="207">
        <f>IF(ISNUMBER(VLOOKUP($B:$B,'BS(과거)'!$A:$F,$2:$2,0)),VLOOKUP($B:$B,'BS(과거)'!$A:$F,$2:$2,0),0)</f>
        <v>0</v>
      </c>
      <c r="K100" s="207">
        <f>IF(ISNUMBER(VLOOKUP($B:$B,'BS(과거)'!$A:$F,$2:$2,0)),VLOOKUP($B:$B,'BS(과거)'!$A:$F,$2:$2,0),0)</f>
        <v>0</v>
      </c>
      <c r="L100" s="207">
        <f>IF(ISNUMBER(VLOOKUP($B:$B,'BS(과거)'!$A:$F,$2:$2,0)),VLOOKUP($B:$B,'BS(과거)'!$A:$F,$2:$2,0),0)</f>
        <v>0</v>
      </c>
      <c r="N100" s="207">
        <f>IF(ISNUMBER(VLOOKUP($B:$B,'BS(분기)'!$A:$F,$2:$2,0)),VLOOKUP($B:$B,'BS(분기)'!$A:$F,$2:$2,0),0)</f>
        <v>0</v>
      </c>
      <c r="O100" s="207">
        <f>IF(ISNUMBER(VLOOKUP($B:$B,'BS(분기)'!$A:$F,$2:$2,0)),VLOOKUP($B:$B,'BS(분기)'!$A:$F,$2:$2,0),0)</f>
        <v>0</v>
      </c>
      <c r="P100" s="207">
        <f>IF(ISNUMBER(VLOOKUP($B:$B,'BS(분기)'!$A:$F,$2:$2,0)),VLOOKUP($B:$B,'BS(분기)'!$A:$F,$2:$2,0),0)</f>
        <v>0</v>
      </c>
      <c r="Q100" s="207">
        <f>IF(ISNUMBER(VLOOKUP($B:$B,'BS(분기)'!$A:$F,$2:$2,0)),VLOOKUP($B:$B,'BS(분기)'!$A:$F,$2:$2,0),0)</f>
        <v>0</v>
      </c>
      <c r="R100" s="207">
        <f>IF(ISNUMBER(VLOOKUP($B:$B,'BS(분기)'!$A:$F,$2:$2,0)),VLOOKUP($B:$B,'BS(분기)'!$A:$F,$2:$2,0),0)</f>
        <v>0</v>
      </c>
    </row>
    <row r="101" spans="1:18" s="192" customFormat="1" ht="12">
      <c r="A101" s="204">
        <v>111513</v>
      </c>
      <c r="B101" s="197" t="s">
        <v>934</v>
      </c>
      <c r="C101" s="217">
        <f>IF(ISNUMBER(VLOOKUP($B:$B,BS!$A:$D,$2:$2,0)),VLOOKUP($B:$B,BS!$A:$D,$2:$2,0),0)</f>
        <v>0</v>
      </c>
      <c r="D101" s="217">
        <f>IF(ISNUMBER(VLOOKUP($B:$B,BS!$A:$D,$2:$2,0)),VLOOKUP($B:$B,BS!$A:$D,$2:$2,0),0)</f>
        <v>0</v>
      </c>
      <c r="E101" s="217">
        <f>IF(ISNUMBER(VLOOKUP($B:$B,BS!$A:$D,$2:$2,0)),VLOOKUP($B:$B,BS!$A:$D,$2:$2,0),0)</f>
        <v>0</v>
      </c>
      <c r="F101" s="217">
        <f>IF(ISNUMBER(VLOOKUP($B:$B,BS!$A:$D,$2:$2,0)),VLOOKUP($B:$B,BS!$A:$D,$2:$2,0),0)</f>
        <v>0</v>
      </c>
      <c r="G101" s="217">
        <f>IF(ISNUMBER(VLOOKUP($B:$B,BS!$A:$D,$2:$2,0)),VLOOKUP($B:$B,BS!$A:$D,$2:$2,0),0)</f>
        <v>0</v>
      </c>
      <c r="H101" s="207">
        <f>IF(ISNUMBER(VLOOKUP($B:$B,'BS(과거)'!$A:$F,$2:$2,0)),VLOOKUP($B:$B,'BS(과거)'!$A:$F,$2:$2,0),0)</f>
        <v>0</v>
      </c>
      <c r="I101" s="207">
        <f>IF(ISNUMBER(VLOOKUP($B:$B,'BS(과거)'!$A:$F,$2:$2,0)),VLOOKUP($B:$B,'BS(과거)'!$A:$F,$2:$2,0),0)</f>
        <v>0</v>
      </c>
      <c r="J101" s="207">
        <f>IF(ISNUMBER(VLOOKUP($B:$B,'BS(과거)'!$A:$F,$2:$2,0)),VLOOKUP($B:$B,'BS(과거)'!$A:$F,$2:$2,0),0)</f>
        <v>0</v>
      </c>
      <c r="K101" s="207">
        <f>IF(ISNUMBER(VLOOKUP($B:$B,'BS(과거)'!$A:$F,$2:$2,0)),VLOOKUP($B:$B,'BS(과거)'!$A:$F,$2:$2,0),0)</f>
        <v>0</v>
      </c>
      <c r="L101" s="207">
        <f>IF(ISNUMBER(VLOOKUP($B:$B,'BS(과거)'!$A:$F,$2:$2,0)),VLOOKUP($B:$B,'BS(과거)'!$A:$F,$2:$2,0),0)</f>
        <v>0</v>
      </c>
      <c r="N101" s="207">
        <f>IF(ISNUMBER(VLOOKUP($B:$B,'BS(분기)'!$A:$F,$2:$2,0)),VLOOKUP($B:$B,'BS(분기)'!$A:$F,$2:$2,0),0)</f>
        <v>0</v>
      </c>
      <c r="O101" s="207">
        <f>IF(ISNUMBER(VLOOKUP($B:$B,'BS(분기)'!$A:$F,$2:$2,0)),VLOOKUP($B:$B,'BS(분기)'!$A:$F,$2:$2,0),0)</f>
        <v>0</v>
      </c>
      <c r="P101" s="207">
        <f>IF(ISNUMBER(VLOOKUP($B:$B,'BS(분기)'!$A:$F,$2:$2,0)),VLOOKUP($B:$B,'BS(분기)'!$A:$F,$2:$2,0),0)</f>
        <v>0</v>
      </c>
      <c r="Q101" s="207">
        <f>IF(ISNUMBER(VLOOKUP($B:$B,'BS(분기)'!$A:$F,$2:$2,0)),VLOOKUP($B:$B,'BS(분기)'!$A:$F,$2:$2,0),0)</f>
        <v>0</v>
      </c>
      <c r="R101" s="207">
        <f>IF(ISNUMBER(VLOOKUP($B:$B,'BS(분기)'!$A:$F,$2:$2,0)),VLOOKUP($B:$B,'BS(분기)'!$A:$F,$2:$2,0),0)</f>
        <v>0</v>
      </c>
    </row>
    <row r="102" spans="1:18" s="192" customFormat="1" ht="12">
      <c r="A102" s="204">
        <v>111519</v>
      </c>
      <c r="B102" s="197" t="s">
        <v>935</v>
      </c>
      <c r="C102" s="217">
        <f>IF(ISNUMBER(VLOOKUP($B:$B,BS!$A:$D,$2:$2,0)),VLOOKUP($B:$B,BS!$A:$D,$2:$2,0),0)</f>
        <v>0</v>
      </c>
      <c r="D102" s="217">
        <f>IF(ISNUMBER(VLOOKUP($B:$B,BS!$A:$D,$2:$2,0)),VLOOKUP($B:$B,BS!$A:$D,$2:$2,0),0)</f>
        <v>0</v>
      </c>
      <c r="E102" s="217">
        <f>IF(ISNUMBER(VLOOKUP($B:$B,BS!$A:$D,$2:$2,0)),VLOOKUP($B:$B,BS!$A:$D,$2:$2,0),0)</f>
        <v>0</v>
      </c>
      <c r="F102" s="217">
        <f>IF(ISNUMBER(VLOOKUP($B:$B,BS!$A:$D,$2:$2,0)),VLOOKUP($B:$B,BS!$A:$D,$2:$2,0),0)</f>
        <v>0</v>
      </c>
      <c r="G102" s="217">
        <f>IF(ISNUMBER(VLOOKUP($B:$B,BS!$A:$D,$2:$2,0)),VLOOKUP($B:$B,BS!$A:$D,$2:$2,0),0)</f>
        <v>0</v>
      </c>
      <c r="H102" s="207">
        <f>IF(ISNUMBER(VLOOKUP($B:$B,'BS(과거)'!$A:$F,$2:$2,0)),VLOOKUP($B:$B,'BS(과거)'!$A:$F,$2:$2,0),0)</f>
        <v>0</v>
      </c>
      <c r="I102" s="207">
        <f>IF(ISNUMBER(VLOOKUP($B:$B,'BS(과거)'!$A:$F,$2:$2,0)),VLOOKUP($B:$B,'BS(과거)'!$A:$F,$2:$2,0),0)</f>
        <v>0</v>
      </c>
      <c r="J102" s="207">
        <f>IF(ISNUMBER(VLOOKUP($B:$B,'BS(과거)'!$A:$F,$2:$2,0)),VLOOKUP($B:$B,'BS(과거)'!$A:$F,$2:$2,0),0)</f>
        <v>0</v>
      </c>
      <c r="K102" s="207">
        <f>IF(ISNUMBER(VLOOKUP($B:$B,'BS(과거)'!$A:$F,$2:$2,0)),VLOOKUP($B:$B,'BS(과거)'!$A:$F,$2:$2,0),0)</f>
        <v>0</v>
      </c>
      <c r="L102" s="207">
        <f>IF(ISNUMBER(VLOOKUP($B:$B,'BS(과거)'!$A:$F,$2:$2,0)),VLOOKUP($B:$B,'BS(과거)'!$A:$F,$2:$2,0),0)</f>
        <v>0</v>
      </c>
      <c r="N102" s="207">
        <f>IF(ISNUMBER(VLOOKUP($B:$B,'BS(분기)'!$A:$F,$2:$2,0)),VLOOKUP($B:$B,'BS(분기)'!$A:$F,$2:$2,0),0)</f>
        <v>0</v>
      </c>
      <c r="O102" s="207">
        <f>IF(ISNUMBER(VLOOKUP($B:$B,'BS(분기)'!$A:$F,$2:$2,0)),VLOOKUP($B:$B,'BS(분기)'!$A:$F,$2:$2,0),0)</f>
        <v>0</v>
      </c>
      <c r="P102" s="207">
        <f>IF(ISNUMBER(VLOOKUP($B:$B,'BS(분기)'!$A:$F,$2:$2,0)),VLOOKUP($B:$B,'BS(분기)'!$A:$F,$2:$2,0),0)</f>
        <v>0</v>
      </c>
      <c r="Q102" s="207">
        <f>IF(ISNUMBER(VLOOKUP($B:$B,'BS(분기)'!$A:$F,$2:$2,0)),VLOOKUP($B:$B,'BS(분기)'!$A:$F,$2:$2,0),0)</f>
        <v>0</v>
      </c>
      <c r="R102" s="207">
        <f>IF(ISNUMBER(VLOOKUP($B:$B,'BS(분기)'!$A:$F,$2:$2,0)),VLOOKUP($B:$B,'BS(분기)'!$A:$F,$2:$2,0),0)</f>
        <v>0</v>
      </c>
    </row>
    <row r="103" spans="1:18" s="192" customFormat="1" ht="12">
      <c r="A103" s="203">
        <v>111520</v>
      </c>
      <c r="B103" s="196" t="s">
        <v>936</v>
      </c>
      <c r="C103" s="217">
        <f>IF(ISNUMBER(VLOOKUP($B:$B,BS!$A:$D,$2:$2,0)),VLOOKUP($B:$B,BS!$A:$D,$2:$2,0),0)</f>
        <v>0</v>
      </c>
      <c r="D103" s="217">
        <f>IF(ISNUMBER(VLOOKUP($B:$B,BS!$A:$D,$2:$2,0)),VLOOKUP($B:$B,BS!$A:$D,$2:$2,0),0)</f>
        <v>0</v>
      </c>
      <c r="E103" s="217">
        <f>IF(ISNUMBER(VLOOKUP($B:$B,BS!$A:$D,$2:$2,0)),VLOOKUP($B:$B,BS!$A:$D,$2:$2,0),0)</f>
        <v>0</v>
      </c>
      <c r="F103" s="217">
        <f>IF(ISNUMBER(VLOOKUP($B:$B,BS!$A:$D,$2:$2,0)),VLOOKUP($B:$B,BS!$A:$D,$2:$2,0),0)</f>
        <v>0</v>
      </c>
      <c r="G103" s="217">
        <f>IF(ISNUMBER(VLOOKUP($B:$B,BS!$A:$D,$2:$2,0)),VLOOKUP($B:$B,BS!$A:$D,$2:$2,0),0)</f>
        <v>0</v>
      </c>
      <c r="H103" s="207">
        <f>IF(ISNUMBER(VLOOKUP($B:$B,'BS(과거)'!$A:$F,$2:$2,0)),VLOOKUP($B:$B,'BS(과거)'!$A:$F,$2:$2,0),0)</f>
        <v>0</v>
      </c>
      <c r="I103" s="207">
        <f>IF(ISNUMBER(VLOOKUP($B:$B,'BS(과거)'!$A:$F,$2:$2,0)),VLOOKUP($B:$B,'BS(과거)'!$A:$F,$2:$2,0),0)</f>
        <v>0</v>
      </c>
      <c r="J103" s="207">
        <f>IF(ISNUMBER(VLOOKUP($B:$B,'BS(과거)'!$A:$F,$2:$2,0)),VLOOKUP($B:$B,'BS(과거)'!$A:$F,$2:$2,0),0)</f>
        <v>0</v>
      </c>
      <c r="K103" s="207">
        <f>IF(ISNUMBER(VLOOKUP($B:$B,'BS(과거)'!$A:$F,$2:$2,0)),VLOOKUP($B:$B,'BS(과거)'!$A:$F,$2:$2,0),0)</f>
        <v>0</v>
      </c>
      <c r="L103" s="207">
        <f>IF(ISNUMBER(VLOOKUP($B:$B,'BS(과거)'!$A:$F,$2:$2,0)),VLOOKUP($B:$B,'BS(과거)'!$A:$F,$2:$2,0),0)</f>
        <v>0</v>
      </c>
      <c r="N103" s="207">
        <f>IF(ISNUMBER(VLOOKUP($B:$B,'BS(분기)'!$A:$F,$2:$2,0)),VLOOKUP($B:$B,'BS(분기)'!$A:$F,$2:$2,0),0)</f>
        <v>0</v>
      </c>
      <c r="O103" s="207">
        <f>IF(ISNUMBER(VLOOKUP($B:$B,'BS(분기)'!$A:$F,$2:$2,0)),VLOOKUP($B:$B,'BS(분기)'!$A:$F,$2:$2,0),0)</f>
        <v>0</v>
      </c>
      <c r="P103" s="207">
        <f>IF(ISNUMBER(VLOOKUP($B:$B,'BS(분기)'!$A:$F,$2:$2,0)),VLOOKUP($B:$B,'BS(분기)'!$A:$F,$2:$2,0),0)</f>
        <v>0</v>
      </c>
      <c r="Q103" s="207">
        <f>IF(ISNUMBER(VLOOKUP($B:$B,'BS(분기)'!$A:$F,$2:$2,0)),VLOOKUP($B:$B,'BS(분기)'!$A:$F,$2:$2,0),0)</f>
        <v>0</v>
      </c>
      <c r="R103" s="207">
        <f>IF(ISNUMBER(VLOOKUP($B:$B,'BS(분기)'!$A:$F,$2:$2,0)),VLOOKUP($B:$B,'BS(분기)'!$A:$F,$2:$2,0),0)</f>
        <v>0</v>
      </c>
    </row>
    <row r="104" spans="1:18" s="192" customFormat="1" ht="12">
      <c r="A104" s="204">
        <v>111521</v>
      </c>
      <c r="B104" s="197" t="s">
        <v>937</v>
      </c>
      <c r="C104" s="217">
        <f>IF(ISNUMBER(VLOOKUP($B:$B,BS!$A:$D,$2:$2,0)),VLOOKUP($B:$B,BS!$A:$D,$2:$2,0),0)</f>
        <v>0</v>
      </c>
      <c r="D104" s="217">
        <f>IF(ISNUMBER(VLOOKUP($B:$B,BS!$A:$D,$2:$2,0)),VLOOKUP($B:$B,BS!$A:$D,$2:$2,0),0)</f>
        <v>0</v>
      </c>
      <c r="E104" s="217">
        <f>IF(ISNUMBER(VLOOKUP($B:$B,BS!$A:$D,$2:$2,0)),VLOOKUP($B:$B,BS!$A:$D,$2:$2,0),0)</f>
        <v>0</v>
      </c>
      <c r="F104" s="217">
        <f>IF(ISNUMBER(VLOOKUP($B:$B,BS!$A:$D,$2:$2,0)),VLOOKUP($B:$B,BS!$A:$D,$2:$2,0),0)</f>
        <v>0</v>
      </c>
      <c r="G104" s="217">
        <f>IF(ISNUMBER(VLOOKUP($B:$B,BS!$A:$D,$2:$2,0)),VLOOKUP($B:$B,BS!$A:$D,$2:$2,0),0)</f>
        <v>0</v>
      </c>
      <c r="H104" s="207">
        <f>IF(ISNUMBER(VLOOKUP($B:$B,'BS(과거)'!$A:$F,$2:$2,0)),VLOOKUP($B:$B,'BS(과거)'!$A:$F,$2:$2,0),0)</f>
        <v>0</v>
      </c>
      <c r="I104" s="207">
        <f>IF(ISNUMBER(VLOOKUP($B:$B,'BS(과거)'!$A:$F,$2:$2,0)),VLOOKUP($B:$B,'BS(과거)'!$A:$F,$2:$2,0),0)</f>
        <v>0</v>
      </c>
      <c r="J104" s="207">
        <f>IF(ISNUMBER(VLOOKUP($B:$B,'BS(과거)'!$A:$F,$2:$2,0)),VLOOKUP($B:$B,'BS(과거)'!$A:$F,$2:$2,0),0)</f>
        <v>0</v>
      </c>
      <c r="K104" s="207">
        <f>IF(ISNUMBER(VLOOKUP($B:$B,'BS(과거)'!$A:$F,$2:$2,0)),VLOOKUP($B:$B,'BS(과거)'!$A:$F,$2:$2,0),0)</f>
        <v>0</v>
      </c>
      <c r="L104" s="207">
        <f>IF(ISNUMBER(VLOOKUP($B:$B,'BS(과거)'!$A:$F,$2:$2,0)),VLOOKUP($B:$B,'BS(과거)'!$A:$F,$2:$2,0),0)</f>
        <v>0</v>
      </c>
      <c r="N104" s="207">
        <f>IF(ISNUMBER(VLOOKUP($B:$B,'BS(분기)'!$A:$F,$2:$2,0)),VLOOKUP($B:$B,'BS(분기)'!$A:$F,$2:$2,0),0)</f>
        <v>0</v>
      </c>
      <c r="O104" s="207">
        <f>IF(ISNUMBER(VLOOKUP($B:$B,'BS(분기)'!$A:$F,$2:$2,0)),VLOOKUP($B:$B,'BS(분기)'!$A:$F,$2:$2,0),0)</f>
        <v>0</v>
      </c>
      <c r="P104" s="207">
        <f>IF(ISNUMBER(VLOOKUP($B:$B,'BS(분기)'!$A:$F,$2:$2,0)),VLOOKUP($B:$B,'BS(분기)'!$A:$F,$2:$2,0),0)</f>
        <v>0</v>
      </c>
      <c r="Q104" s="207">
        <f>IF(ISNUMBER(VLOOKUP($B:$B,'BS(분기)'!$A:$F,$2:$2,0)),VLOOKUP($B:$B,'BS(분기)'!$A:$F,$2:$2,0),0)</f>
        <v>0</v>
      </c>
      <c r="R104" s="207">
        <f>IF(ISNUMBER(VLOOKUP($B:$B,'BS(분기)'!$A:$F,$2:$2,0)),VLOOKUP($B:$B,'BS(분기)'!$A:$F,$2:$2,0),0)</f>
        <v>0</v>
      </c>
    </row>
    <row r="105" spans="1:18" s="192" customFormat="1" ht="12">
      <c r="A105" s="204">
        <v>111522</v>
      </c>
      <c r="B105" s="197" t="s">
        <v>938</v>
      </c>
      <c r="C105" s="217">
        <f>IF(ISNUMBER(VLOOKUP($B:$B,BS!$A:$D,$2:$2,0)),VLOOKUP($B:$B,BS!$A:$D,$2:$2,0),0)</f>
        <v>0</v>
      </c>
      <c r="D105" s="217">
        <f>IF(ISNUMBER(VLOOKUP($B:$B,BS!$A:$D,$2:$2,0)),VLOOKUP($B:$B,BS!$A:$D,$2:$2,0),0)</f>
        <v>0</v>
      </c>
      <c r="E105" s="217">
        <f>IF(ISNUMBER(VLOOKUP($B:$B,BS!$A:$D,$2:$2,0)),VLOOKUP($B:$B,BS!$A:$D,$2:$2,0),0)</f>
        <v>0</v>
      </c>
      <c r="F105" s="217">
        <f>IF(ISNUMBER(VLOOKUP($B:$B,BS!$A:$D,$2:$2,0)),VLOOKUP($B:$B,BS!$A:$D,$2:$2,0),0)</f>
        <v>0</v>
      </c>
      <c r="G105" s="217">
        <f>IF(ISNUMBER(VLOOKUP($B:$B,BS!$A:$D,$2:$2,0)),VLOOKUP($B:$B,BS!$A:$D,$2:$2,0),0)</f>
        <v>0</v>
      </c>
      <c r="H105" s="207">
        <f>IF(ISNUMBER(VLOOKUP($B:$B,'BS(과거)'!$A:$F,$2:$2,0)),VLOOKUP($B:$B,'BS(과거)'!$A:$F,$2:$2,0),0)</f>
        <v>0</v>
      </c>
      <c r="I105" s="207">
        <f>IF(ISNUMBER(VLOOKUP($B:$B,'BS(과거)'!$A:$F,$2:$2,0)),VLOOKUP($B:$B,'BS(과거)'!$A:$F,$2:$2,0),0)</f>
        <v>0</v>
      </c>
      <c r="J105" s="207">
        <f>IF(ISNUMBER(VLOOKUP($B:$B,'BS(과거)'!$A:$F,$2:$2,0)),VLOOKUP($B:$B,'BS(과거)'!$A:$F,$2:$2,0),0)</f>
        <v>0</v>
      </c>
      <c r="K105" s="207">
        <f>IF(ISNUMBER(VLOOKUP($B:$B,'BS(과거)'!$A:$F,$2:$2,0)),VLOOKUP($B:$B,'BS(과거)'!$A:$F,$2:$2,0),0)</f>
        <v>0</v>
      </c>
      <c r="L105" s="207">
        <f>IF(ISNUMBER(VLOOKUP($B:$B,'BS(과거)'!$A:$F,$2:$2,0)),VLOOKUP($B:$B,'BS(과거)'!$A:$F,$2:$2,0),0)</f>
        <v>0</v>
      </c>
      <c r="N105" s="207">
        <f>IF(ISNUMBER(VLOOKUP($B:$B,'BS(분기)'!$A:$F,$2:$2,0)),VLOOKUP($B:$B,'BS(분기)'!$A:$F,$2:$2,0),0)</f>
        <v>0</v>
      </c>
      <c r="O105" s="207">
        <f>IF(ISNUMBER(VLOOKUP($B:$B,'BS(분기)'!$A:$F,$2:$2,0)),VLOOKUP($B:$B,'BS(분기)'!$A:$F,$2:$2,0),0)</f>
        <v>0</v>
      </c>
      <c r="P105" s="207">
        <f>IF(ISNUMBER(VLOOKUP($B:$B,'BS(분기)'!$A:$F,$2:$2,0)),VLOOKUP($B:$B,'BS(분기)'!$A:$F,$2:$2,0),0)</f>
        <v>0</v>
      </c>
      <c r="Q105" s="207">
        <f>IF(ISNUMBER(VLOOKUP($B:$B,'BS(분기)'!$A:$F,$2:$2,0)),VLOOKUP($B:$B,'BS(분기)'!$A:$F,$2:$2,0),0)</f>
        <v>0</v>
      </c>
      <c r="R105" s="207">
        <f>IF(ISNUMBER(VLOOKUP($B:$B,'BS(분기)'!$A:$F,$2:$2,0)),VLOOKUP($B:$B,'BS(분기)'!$A:$F,$2:$2,0),0)</f>
        <v>0</v>
      </c>
    </row>
    <row r="106" spans="1:18" s="192" customFormat="1" ht="12">
      <c r="A106" s="204">
        <v>111523</v>
      </c>
      <c r="B106" s="197" t="s">
        <v>939</v>
      </c>
      <c r="C106" s="217">
        <f>IF(ISNUMBER(VLOOKUP($B:$B,BS!$A:$D,$2:$2,0)),VLOOKUP($B:$B,BS!$A:$D,$2:$2,0),0)</f>
        <v>0</v>
      </c>
      <c r="D106" s="217">
        <f>IF(ISNUMBER(VLOOKUP($B:$B,BS!$A:$D,$2:$2,0)),VLOOKUP($B:$B,BS!$A:$D,$2:$2,0),0)</f>
        <v>0</v>
      </c>
      <c r="E106" s="217">
        <f>IF(ISNUMBER(VLOOKUP($B:$B,BS!$A:$D,$2:$2,0)),VLOOKUP($B:$B,BS!$A:$D,$2:$2,0),0)</f>
        <v>0</v>
      </c>
      <c r="F106" s="217">
        <f>IF(ISNUMBER(VLOOKUP($B:$B,BS!$A:$D,$2:$2,0)),VLOOKUP($B:$B,BS!$A:$D,$2:$2,0),0)</f>
        <v>0</v>
      </c>
      <c r="G106" s="217">
        <f>IF(ISNUMBER(VLOOKUP($B:$B,BS!$A:$D,$2:$2,0)),VLOOKUP($B:$B,BS!$A:$D,$2:$2,0),0)</f>
        <v>0</v>
      </c>
      <c r="H106" s="207">
        <f>IF(ISNUMBER(VLOOKUP($B:$B,'BS(과거)'!$A:$F,$2:$2,0)),VLOOKUP($B:$B,'BS(과거)'!$A:$F,$2:$2,0),0)</f>
        <v>0</v>
      </c>
      <c r="I106" s="207">
        <f>IF(ISNUMBER(VLOOKUP($B:$B,'BS(과거)'!$A:$F,$2:$2,0)),VLOOKUP($B:$B,'BS(과거)'!$A:$F,$2:$2,0),0)</f>
        <v>0</v>
      </c>
      <c r="J106" s="207">
        <f>IF(ISNUMBER(VLOOKUP($B:$B,'BS(과거)'!$A:$F,$2:$2,0)),VLOOKUP($B:$B,'BS(과거)'!$A:$F,$2:$2,0),0)</f>
        <v>0</v>
      </c>
      <c r="K106" s="207">
        <f>IF(ISNUMBER(VLOOKUP($B:$B,'BS(과거)'!$A:$F,$2:$2,0)),VLOOKUP($B:$B,'BS(과거)'!$A:$F,$2:$2,0),0)</f>
        <v>0</v>
      </c>
      <c r="L106" s="207">
        <f>IF(ISNUMBER(VLOOKUP($B:$B,'BS(과거)'!$A:$F,$2:$2,0)),VLOOKUP($B:$B,'BS(과거)'!$A:$F,$2:$2,0),0)</f>
        <v>0</v>
      </c>
      <c r="N106" s="207">
        <f>IF(ISNUMBER(VLOOKUP($B:$B,'BS(분기)'!$A:$F,$2:$2,0)),VLOOKUP($B:$B,'BS(분기)'!$A:$F,$2:$2,0),0)</f>
        <v>0</v>
      </c>
      <c r="O106" s="207">
        <f>IF(ISNUMBER(VLOOKUP($B:$B,'BS(분기)'!$A:$F,$2:$2,0)),VLOOKUP($B:$B,'BS(분기)'!$A:$F,$2:$2,0),0)</f>
        <v>0</v>
      </c>
      <c r="P106" s="207">
        <f>IF(ISNUMBER(VLOOKUP($B:$B,'BS(분기)'!$A:$F,$2:$2,0)),VLOOKUP($B:$B,'BS(분기)'!$A:$F,$2:$2,0),0)</f>
        <v>0</v>
      </c>
      <c r="Q106" s="207">
        <f>IF(ISNUMBER(VLOOKUP($B:$B,'BS(분기)'!$A:$F,$2:$2,0)),VLOOKUP($B:$B,'BS(분기)'!$A:$F,$2:$2,0),0)</f>
        <v>0</v>
      </c>
      <c r="R106" s="207">
        <f>IF(ISNUMBER(VLOOKUP($B:$B,'BS(분기)'!$A:$F,$2:$2,0)),VLOOKUP($B:$B,'BS(분기)'!$A:$F,$2:$2,0),0)</f>
        <v>0</v>
      </c>
    </row>
    <row r="107" spans="1:18" s="192" customFormat="1" ht="12">
      <c r="A107" s="204">
        <v>111524</v>
      </c>
      <c r="B107" s="197" t="s">
        <v>940</v>
      </c>
      <c r="C107" s="217">
        <f>IF(ISNUMBER(VLOOKUP($B:$B,BS!$A:$D,$2:$2,0)),VLOOKUP($B:$B,BS!$A:$D,$2:$2,0),0)</f>
        <v>0</v>
      </c>
      <c r="D107" s="217">
        <f>IF(ISNUMBER(VLOOKUP($B:$B,BS!$A:$D,$2:$2,0)),VLOOKUP($B:$B,BS!$A:$D,$2:$2,0),0)</f>
        <v>0</v>
      </c>
      <c r="E107" s="217">
        <f>IF(ISNUMBER(VLOOKUP($B:$B,BS!$A:$D,$2:$2,0)),VLOOKUP($B:$B,BS!$A:$D,$2:$2,0),0)</f>
        <v>0</v>
      </c>
      <c r="F107" s="217">
        <f>IF(ISNUMBER(VLOOKUP($B:$B,BS!$A:$D,$2:$2,0)),VLOOKUP($B:$B,BS!$A:$D,$2:$2,0),0)</f>
        <v>0</v>
      </c>
      <c r="G107" s="217">
        <f>IF(ISNUMBER(VLOOKUP($B:$B,BS!$A:$D,$2:$2,0)),VLOOKUP($B:$B,BS!$A:$D,$2:$2,0),0)</f>
        <v>0</v>
      </c>
      <c r="H107" s="207">
        <f>IF(ISNUMBER(VLOOKUP($B:$B,'BS(과거)'!$A:$F,$2:$2,0)),VLOOKUP($B:$B,'BS(과거)'!$A:$F,$2:$2,0),0)</f>
        <v>0</v>
      </c>
      <c r="I107" s="207">
        <f>IF(ISNUMBER(VLOOKUP($B:$B,'BS(과거)'!$A:$F,$2:$2,0)),VLOOKUP($B:$B,'BS(과거)'!$A:$F,$2:$2,0),0)</f>
        <v>0</v>
      </c>
      <c r="J107" s="207">
        <f>IF(ISNUMBER(VLOOKUP($B:$B,'BS(과거)'!$A:$F,$2:$2,0)),VLOOKUP($B:$B,'BS(과거)'!$A:$F,$2:$2,0),0)</f>
        <v>0</v>
      </c>
      <c r="K107" s="207">
        <f>IF(ISNUMBER(VLOOKUP($B:$B,'BS(과거)'!$A:$F,$2:$2,0)),VLOOKUP($B:$B,'BS(과거)'!$A:$F,$2:$2,0),0)</f>
        <v>0</v>
      </c>
      <c r="L107" s="207">
        <f>IF(ISNUMBER(VLOOKUP($B:$B,'BS(과거)'!$A:$F,$2:$2,0)),VLOOKUP($B:$B,'BS(과거)'!$A:$F,$2:$2,0),0)</f>
        <v>0</v>
      </c>
      <c r="N107" s="207">
        <f>IF(ISNUMBER(VLOOKUP($B:$B,'BS(분기)'!$A:$F,$2:$2,0)),VLOOKUP($B:$B,'BS(분기)'!$A:$F,$2:$2,0),0)</f>
        <v>0</v>
      </c>
      <c r="O107" s="207">
        <f>IF(ISNUMBER(VLOOKUP($B:$B,'BS(분기)'!$A:$F,$2:$2,0)),VLOOKUP($B:$B,'BS(분기)'!$A:$F,$2:$2,0),0)</f>
        <v>0</v>
      </c>
      <c r="P107" s="207">
        <f>IF(ISNUMBER(VLOOKUP($B:$B,'BS(분기)'!$A:$F,$2:$2,0)),VLOOKUP($B:$B,'BS(분기)'!$A:$F,$2:$2,0),0)</f>
        <v>0</v>
      </c>
      <c r="Q107" s="207">
        <f>IF(ISNUMBER(VLOOKUP($B:$B,'BS(분기)'!$A:$F,$2:$2,0)),VLOOKUP($B:$B,'BS(분기)'!$A:$F,$2:$2,0),0)</f>
        <v>0</v>
      </c>
      <c r="R107" s="207">
        <f>IF(ISNUMBER(VLOOKUP($B:$B,'BS(분기)'!$A:$F,$2:$2,0)),VLOOKUP($B:$B,'BS(분기)'!$A:$F,$2:$2,0),0)</f>
        <v>0</v>
      </c>
    </row>
    <row r="108" spans="1:18" s="192" customFormat="1" ht="12">
      <c r="A108" s="204">
        <v>111529</v>
      </c>
      <c r="B108" s="197" t="s">
        <v>941</v>
      </c>
      <c r="C108" s="217">
        <f>IF(ISNUMBER(VLOOKUP($B:$B,BS!$A:$D,$2:$2,0)),VLOOKUP($B:$B,BS!$A:$D,$2:$2,0),0)</f>
        <v>0</v>
      </c>
      <c r="D108" s="217">
        <f>IF(ISNUMBER(VLOOKUP($B:$B,BS!$A:$D,$2:$2,0)),VLOOKUP($B:$B,BS!$A:$D,$2:$2,0),0)</f>
        <v>0</v>
      </c>
      <c r="E108" s="217">
        <f>IF(ISNUMBER(VLOOKUP($B:$B,BS!$A:$D,$2:$2,0)),VLOOKUP($B:$B,BS!$A:$D,$2:$2,0),0)</f>
        <v>0</v>
      </c>
      <c r="F108" s="217">
        <f>IF(ISNUMBER(VLOOKUP($B:$B,BS!$A:$D,$2:$2,0)),VLOOKUP($B:$B,BS!$A:$D,$2:$2,0),0)</f>
        <v>0</v>
      </c>
      <c r="G108" s="217">
        <f>IF(ISNUMBER(VLOOKUP($B:$B,BS!$A:$D,$2:$2,0)),VLOOKUP($B:$B,BS!$A:$D,$2:$2,0),0)</f>
        <v>0</v>
      </c>
      <c r="H108" s="207">
        <f>IF(ISNUMBER(VLOOKUP($B:$B,'BS(과거)'!$A:$F,$2:$2,0)),VLOOKUP($B:$B,'BS(과거)'!$A:$F,$2:$2,0),0)</f>
        <v>0</v>
      </c>
      <c r="I108" s="207">
        <f>IF(ISNUMBER(VLOOKUP($B:$B,'BS(과거)'!$A:$F,$2:$2,0)),VLOOKUP($B:$B,'BS(과거)'!$A:$F,$2:$2,0),0)</f>
        <v>0</v>
      </c>
      <c r="J108" s="207">
        <f>IF(ISNUMBER(VLOOKUP($B:$B,'BS(과거)'!$A:$F,$2:$2,0)),VLOOKUP($B:$B,'BS(과거)'!$A:$F,$2:$2,0),0)</f>
        <v>0</v>
      </c>
      <c r="K108" s="207">
        <f>IF(ISNUMBER(VLOOKUP($B:$B,'BS(과거)'!$A:$F,$2:$2,0)),VLOOKUP($B:$B,'BS(과거)'!$A:$F,$2:$2,0),0)</f>
        <v>0</v>
      </c>
      <c r="L108" s="207">
        <f>IF(ISNUMBER(VLOOKUP($B:$B,'BS(과거)'!$A:$F,$2:$2,0)),VLOOKUP($B:$B,'BS(과거)'!$A:$F,$2:$2,0),0)</f>
        <v>0</v>
      </c>
      <c r="N108" s="207">
        <f>IF(ISNUMBER(VLOOKUP($B:$B,'BS(분기)'!$A:$F,$2:$2,0)),VLOOKUP($B:$B,'BS(분기)'!$A:$F,$2:$2,0),0)</f>
        <v>0</v>
      </c>
      <c r="O108" s="207">
        <f>IF(ISNUMBER(VLOOKUP($B:$B,'BS(분기)'!$A:$F,$2:$2,0)),VLOOKUP($B:$B,'BS(분기)'!$A:$F,$2:$2,0),0)</f>
        <v>0</v>
      </c>
      <c r="P108" s="207">
        <f>IF(ISNUMBER(VLOOKUP($B:$B,'BS(분기)'!$A:$F,$2:$2,0)),VLOOKUP($B:$B,'BS(분기)'!$A:$F,$2:$2,0),0)</f>
        <v>0</v>
      </c>
      <c r="Q108" s="207">
        <f>IF(ISNUMBER(VLOOKUP($B:$B,'BS(분기)'!$A:$F,$2:$2,0)),VLOOKUP($B:$B,'BS(분기)'!$A:$F,$2:$2,0),0)</f>
        <v>0</v>
      </c>
      <c r="R108" s="207">
        <f>IF(ISNUMBER(VLOOKUP($B:$B,'BS(분기)'!$A:$F,$2:$2,0)),VLOOKUP($B:$B,'BS(분기)'!$A:$F,$2:$2,0),0)</f>
        <v>0</v>
      </c>
    </row>
    <row r="109" spans="1:18" s="192" customFormat="1" ht="12">
      <c r="A109" s="203">
        <v>111530</v>
      </c>
      <c r="B109" s="196" t="s">
        <v>942</v>
      </c>
      <c r="C109" s="217">
        <f>IF(ISNUMBER(VLOOKUP($B:$B,BS!$A:$D,$2:$2,0)),VLOOKUP($B:$B,BS!$A:$D,$2:$2,0),0)</f>
        <v>0</v>
      </c>
      <c r="D109" s="217">
        <f>IF(ISNUMBER(VLOOKUP($B:$B,BS!$A:$D,$2:$2,0)),VLOOKUP($B:$B,BS!$A:$D,$2:$2,0),0)</f>
        <v>0</v>
      </c>
      <c r="E109" s="217">
        <f>IF(ISNUMBER(VLOOKUP($B:$B,BS!$A:$D,$2:$2,0)),VLOOKUP($B:$B,BS!$A:$D,$2:$2,0),0)</f>
        <v>0</v>
      </c>
      <c r="F109" s="217">
        <f>IF(ISNUMBER(VLOOKUP($B:$B,BS!$A:$D,$2:$2,0)),VLOOKUP($B:$B,BS!$A:$D,$2:$2,0),0)</f>
        <v>0</v>
      </c>
      <c r="G109" s="217">
        <f>IF(ISNUMBER(VLOOKUP($B:$B,BS!$A:$D,$2:$2,0)),VLOOKUP($B:$B,BS!$A:$D,$2:$2,0),0)</f>
        <v>0</v>
      </c>
      <c r="H109" s="207">
        <f>IF(ISNUMBER(VLOOKUP($B:$B,'BS(과거)'!$A:$F,$2:$2,0)),VLOOKUP($B:$B,'BS(과거)'!$A:$F,$2:$2,0),0)</f>
        <v>0</v>
      </c>
      <c r="I109" s="207">
        <f>IF(ISNUMBER(VLOOKUP($B:$B,'BS(과거)'!$A:$F,$2:$2,0)),VLOOKUP($B:$B,'BS(과거)'!$A:$F,$2:$2,0),0)</f>
        <v>0</v>
      </c>
      <c r="J109" s="207">
        <f>IF(ISNUMBER(VLOOKUP($B:$B,'BS(과거)'!$A:$F,$2:$2,0)),VLOOKUP($B:$B,'BS(과거)'!$A:$F,$2:$2,0),0)</f>
        <v>0</v>
      </c>
      <c r="K109" s="207">
        <f>IF(ISNUMBER(VLOOKUP($B:$B,'BS(과거)'!$A:$F,$2:$2,0)),VLOOKUP($B:$B,'BS(과거)'!$A:$F,$2:$2,0),0)</f>
        <v>0</v>
      </c>
      <c r="L109" s="207">
        <f>IF(ISNUMBER(VLOOKUP($B:$B,'BS(과거)'!$A:$F,$2:$2,0)),VLOOKUP($B:$B,'BS(과거)'!$A:$F,$2:$2,0),0)</f>
        <v>0</v>
      </c>
      <c r="N109" s="207">
        <f>IF(ISNUMBER(VLOOKUP($B:$B,'BS(분기)'!$A:$F,$2:$2,0)),VLOOKUP($B:$B,'BS(분기)'!$A:$F,$2:$2,0),0)</f>
        <v>0</v>
      </c>
      <c r="O109" s="207">
        <f>IF(ISNUMBER(VLOOKUP($B:$B,'BS(분기)'!$A:$F,$2:$2,0)),VLOOKUP($B:$B,'BS(분기)'!$A:$F,$2:$2,0),0)</f>
        <v>0</v>
      </c>
      <c r="P109" s="207">
        <f>IF(ISNUMBER(VLOOKUP($B:$B,'BS(분기)'!$A:$F,$2:$2,0)),VLOOKUP($B:$B,'BS(분기)'!$A:$F,$2:$2,0),0)</f>
        <v>0</v>
      </c>
      <c r="Q109" s="207">
        <f>IF(ISNUMBER(VLOOKUP($B:$B,'BS(분기)'!$A:$F,$2:$2,0)),VLOOKUP($B:$B,'BS(분기)'!$A:$F,$2:$2,0),0)</f>
        <v>0</v>
      </c>
      <c r="R109" s="207">
        <f>IF(ISNUMBER(VLOOKUP($B:$B,'BS(분기)'!$A:$F,$2:$2,0)),VLOOKUP($B:$B,'BS(분기)'!$A:$F,$2:$2,0),0)</f>
        <v>0</v>
      </c>
    </row>
    <row r="110" spans="1:18" s="192" customFormat="1" ht="12">
      <c r="A110" s="204">
        <v>111531</v>
      </c>
      <c r="B110" s="197" t="s">
        <v>943</v>
      </c>
      <c r="C110" s="217">
        <f>IF(ISNUMBER(VLOOKUP($B:$B,BS!$A:$D,$2:$2,0)),VLOOKUP($B:$B,BS!$A:$D,$2:$2,0),0)</f>
        <v>0</v>
      </c>
      <c r="D110" s="217">
        <f>IF(ISNUMBER(VLOOKUP($B:$B,BS!$A:$D,$2:$2,0)),VLOOKUP($B:$B,BS!$A:$D,$2:$2,0),0)</f>
        <v>0</v>
      </c>
      <c r="E110" s="217">
        <f>IF(ISNUMBER(VLOOKUP($B:$B,BS!$A:$D,$2:$2,0)),VLOOKUP($B:$B,BS!$A:$D,$2:$2,0),0)</f>
        <v>0</v>
      </c>
      <c r="F110" s="217">
        <f>IF(ISNUMBER(VLOOKUP($B:$B,BS!$A:$D,$2:$2,0)),VLOOKUP($B:$B,BS!$A:$D,$2:$2,0),0)</f>
        <v>0</v>
      </c>
      <c r="G110" s="217">
        <f>IF(ISNUMBER(VLOOKUP($B:$B,BS!$A:$D,$2:$2,0)),VLOOKUP($B:$B,BS!$A:$D,$2:$2,0),0)</f>
        <v>0</v>
      </c>
      <c r="H110" s="207">
        <f>IF(ISNUMBER(VLOOKUP($B:$B,'BS(과거)'!$A:$F,$2:$2,0)),VLOOKUP($B:$B,'BS(과거)'!$A:$F,$2:$2,0),0)</f>
        <v>0</v>
      </c>
      <c r="I110" s="207">
        <f>IF(ISNUMBER(VLOOKUP($B:$B,'BS(과거)'!$A:$F,$2:$2,0)),VLOOKUP($B:$B,'BS(과거)'!$A:$F,$2:$2,0),0)</f>
        <v>0</v>
      </c>
      <c r="J110" s="207">
        <f>IF(ISNUMBER(VLOOKUP($B:$B,'BS(과거)'!$A:$F,$2:$2,0)),VLOOKUP($B:$B,'BS(과거)'!$A:$F,$2:$2,0),0)</f>
        <v>0</v>
      </c>
      <c r="K110" s="207">
        <f>IF(ISNUMBER(VLOOKUP($B:$B,'BS(과거)'!$A:$F,$2:$2,0)),VLOOKUP($B:$B,'BS(과거)'!$A:$F,$2:$2,0),0)</f>
        <v>0</v>
      </c>
      <c r="L110" s="207">
        <f>IF(ISNUMBER(VLOOKUP($B:$B,'BS(과거)'!$A:$F,$2:$2,0)),VLOOKUP($B:$B,'BS(과거)'!$A:$F,$2:$2,0),0)</f>
        <v>0</v>
      </c>
      <c r="N110" s="207">
        <f>IF(ISNUMBER(VLOOKUP($B:$B,'BS(분기)'!$A:$F,$2:$2,0)),VLOOKUP($B:$B,'BS(분기)'!$A:$F,$2:$2,0),0)</f>
        <v>0</v>
      </c>
      <c r="O110" s="207">
        <f>IF(ISNUMBER(VLOOKUP($B:$B,'BS(분기)'!$A:$F,$2:$2,0)),VLOOKUP($B:$B,'BS(분기)'!$A:$F,$2:$2,0),0)</f>
        <v>0</v>
      </c>
      <c r="P110" s="207">
        <f>IF(ISNUMBER(VLOOKUP($B:$B,'BS(분기)'!$A:$F,$2:$2,0)),VLOOKUP($B:$B,'BS(분기)'!$A:$F,$2:$2,0),0)</f>
        <v>0</v>
      </c>
      <c r="Q110" s="207">
        <f>IF(ISNUMBER(VLOOKUP($B:$B,'BS(분기)'!$A:$F,$2:$2,0)),VLOOKUP($B:$B,'BS(분기)'!$A:$F,$2:$2,0),0)</f>
        <v>0</v>
      </c>
      <c r="R110" s="207">
        <f>IF(ISNUMBER(VLOOKUP($B:$B,'BS(분기)'!$A:$F,$2:$2,0)),VLOOKUP($B:$B,'BS(분기)'!$A:$F,$2:$2,0),0)</f>
        <v>0</v>
      </c>
    </row>
    <row r="111" spans="1:18" s="192" customFormat="1" ht="12">
      <c r="A111" s="204">
        <v>111532</v>
      </c>
      <c r="B111" s="197" t="s">
        <v>944</v>
      </c>
      <c r="C111" s="217">
        <f>IF(ISNUMBER(VLOOKUP($B:$B,BS!$A:$D,$2:$2,0)),VLOOKUP($B:$B,BS!$A:$D,$2:$2,0),0)</f>
        <v>0</v>
      </c>
      <c r="D111" s="217">
        <f>IF(ISNUMBER(VLOOKUP($B:$B,BS!$A:$D,$2:$2,0)),VLOOKUP($B:$B,BS!$A:$D,$2:$2,0),0)</f>
        <v>0</v>
      </c>
      <c r="E111" s="217">
        <f>IF(ISNUMBER(VLOOKUP($B:$B,BS!$A:$D,$2:$2,0)),VLOOKUP($B:$B,BS!$A:$D,$2:$2,0),0)</f>
        <v>0</v>
      </c>
      <c r="F111" s="217">
        <f>IF(ISNUMBER(VLOOKUP($B:$B,BS!$A:$D,$2:$2,0)),VLOOKUP($B:$B,BS!$A:$D,$2:$2,0),0)</f>
        <v>0</v>
      </c>
      <c r="G111" s="217">
        <f>IF(ISNUMBER(VLOOKUP($B:$B,BS!$A:$D,$2:$2,0)),VLOOKUP($B:$B,BS!$A:$D,$2:$2,0),0)</f>
        <v>0</v>
      </c>
      <c r="H111" s="207">
        <f>IF(ISNUMBER(VLOOKUP($B:$B,'BS(과거)'!$A:$F,$2:$2,0)),VLOOKUP($B:$B,'BS(과거)'!$A:$F,$2:$2,0),0)</f>
        <v>0</v>
      </c>
      <c r="I111" s="207">
        <f>IF(ISNUMBER(VLOOKUP($B:$B,'BS(과거)'!$A:$F,$2:$2,0)),VLOOKUP($B:$B,'BS(과거)'!$A:$F,$2:$2,0),0)</f>
        <v>0</v>
      </c>
      <c r="J111" s="207">
        <f>IF(ISNUMBER(VLOOKUP($B:$B,'BS(과거)'!$A:$F,$2:$2,0)),VLOOKUP($B:$B,'BS(과거)'!$A:$F,$2:$2,0),0)</f>
        <v>0</v>
      </c>
      <c r="K111" s="207">
        <f>IF(ISNUMBER(VLOOKUP($B:$B,'BS(과거)'!$A:$F,$2:$2,0)),VLOOKUP($B:$B,'BS(과거)'!$A:$F,$2:$2,0),0)</f>
        <v>0</v>
      </c>
      <c r="L111" s="207">
        <f>IF(ISNUMBER(VLOOKUP($B:$B,'BS(과거)'!$A:$F,$2:$2,0)),VLOOKUP($B:$B,'BS(과거)'!$A:$F,$2:$2,0),0)</f>
        <v>0</v>
      </c>
      <c r="N111" s="207">
        <f>IF(ISNUMBER(VLOOKUP($B:$B,'BS(분기)'!$A:$F,$2:$2,0)),VLOOKUP($B:$B,'BS(분기)'!$A:$F,$2:$2,0),0)</f>
        <v>0</v>
      </c>
      <c r="O111" s="207">
        <f>IF(ISNUMBER(VLOOKUP($B:$B,'BS(분기)'!$A:$F,$2:$2,0)),VLOOKUP($B:$B,'BS(분기)'!$A:$F,$2:$2,0),0)</f>
        <v>0</v>
      </c>
      <c r="P111" s="207">
        <f>IF(ISNUMBER(VLOOKUP($B:$B,'BS(분기)'!$A:$F,$2:$2,0)),VLOOKUP($B:$B,'BS(분기)'!$A:$F,$2:$2,0),0)</f>
        <v>0</v>
      </c>
      <c r="Q111" s="207">
        <f>IF(ISNUMBER(VLOOKUP($B:$B,'BS(분기)'!$A:$F,$2:$2,0)),VLOOKUP($B:$B,'BS(분기)'!$A:$F,$2:$2,0),0)</f>
        <v>0</v>
      </c>
      <c r="R111" s="207">
        <f>IF(ISNUMBER(VLOOKUP($B:$B,'BS(분기)'!$A:$F,$2:$2,0)),VLOOKUP($B:$B,'BS(분기)'!$A:$F,$2:$2,0),0)</f>
        <v>0</v>
      </c>
    </row>
    <row r="112" spans="1:18" s="192" customFormat="1" ht="12">
      <c r="A112" s="204">
        <v>111533</v>
      </c>
      <c r="B112" s="197" t="s">
        <v>945</v>
      </c>
      <c r="C112" s="217">
        <f>IF(ISNUMBER(VLOOKUP($B:$B,BS!$A:$D,$2:$2,0)),VLOOKUP($B:$B,BS!$A:$D,$2:$2,0),0)</f>
        <v>0</v>
      </c>
      <c r="D112" s="217">
        <f>IF(ISNUMBER(VLOOKUP($B:$B,BS!$A:$D,$2:$2,0)),VLOOKUP($B:$B,BS!$A:$D,$2:$2,0),0)</f>
        <v>0</v>
      </c>
      <c r="E112" s="217">
        <f>IF(ISNUMBER(VLOOKUP($B:$B,BS!$A:$D,$2:$2,0)),VLOOKUP($B:$B,BS!$A:$D,$2:$2,0),0)</f>
        <v>0</v>
      </c>
      <c r="F112" s="217">
        <f>IF(ISNUMBER(VLOOKUP($B:$B,BS!$A:$D,$2:$2,0)),VLOOKUP($B:$B,BS!$A:$D,$2:$2,0),0)</f>
        <v>0</v>
      </c>
      <c r="G112" s="217">
        <f>IF(ISNUMBER(VLOOKUP($B:$B,BS!$A:$D,$2:$2,0)),VLOOKUP($B:$B,BS!$A:$D,$2:$2,0),0)</f>
        <v>0</v>
      </c>
      <c r="H112" s="207">
        <f>IF(ISNUMBER(VLOOKUP($B:$B,'BS(과거)'!$A:$F,$2:$2,0)),VLOOKUP($B:$B,'BS(과거)'!$A:$F,$2:$2,0),0)</f>
        <v>0</v>
      </c>
      <c r="I112" s="207">
        <f>IF(ISNUMBER(VLOOKUP($B:$B,'BS(과거)'!$A:$F,$2:$2,0)),VLOOKUP($B:$B,'BS(과거)'!$A:$F,$2:$2,0),0)</f>
        <v>0</v>
      </c>
      <c r="J112" s="207">
        <f>IF(ISNUMBER(VLOOKUP($B:$B,'BS(과거)'!$A:$F,$2:$2,0)),VLOOKUP($B:$B,'BS(과거)'!$A:$F,$2:$2,0),0)</f>
        <v>0</v>
      </c>
      <c r="K112" s="207">
        <f>IF(ISNUMBER(VLOOKUP($B:$B,'BS(과거)'!$A:$F,$2:$2,0)),VLOOKUP($B:$B,'BS(과거)'!$A:$F,$2:$2,0),0)</f>
        <v>0</v>
      </c>
      <c r="L112" s="207">
        <f>IF(ISNUMBER(VLOOKUP($B:$B,'BS(과거)'!$A:$F,$2:$2,0)),VLOOKUP($B:$B,'BS(과거)'!$A:$F,$2:$2,0),0)</f>
        <v>0</v>
      </c>
      <c r="N112" s="207">
        <f>IF(ISNUMBER(VLOOKUP($B:$B,'BS(분기)'!$A:$F,$2:$2,0)),VLOOKUP($B:$B,'BS(분기)'!$A:$F,$2:$2,0),0)</f>
        <v>0</v>
      </c>
      <c r="O112" s="207">
        <f>IF(ISNUMBER(VLOOKUP($B:$B,'BS(분기)'!$A:$F,$2:$2,0)),VLOOKUP($B:$B,'BS(분기)'!$A:$F,$2:$2,0),0)</f>
        <v>0</v>
      </c>
      <c r="P112" s="207">
        <f>IF(ISNUMBER(VLOOKUP($B:$B,'BS(분기)'!$A:$F,$2:$2,0)),VLOOKUP($B:$B,'BS(분기)'!$A:$F,$2:$2,0),0)</f>
        <v>0</v>
      </c>
      <c r="Q112" s="207">
        <f>IF(ISNUMBER(VLOOKUP($B:$B,'BS(분기)'!$A:$F,$2:$2,0)),VLOOKUP($B:$B,'BS(분기)'!$A:$F,$2:$2,0),0)</f>
        <v>0</v>
      </c>
      <c r="R112" s="207">
        <f>IF(ISNUMBER(VLOOKUP($B:$B,'BS(분기)'!$A:$F,$2:$2,0)),VLOOKUP($B:$B,'BS(분기)'!$A:$F,$2:$2,0),0)</f>
        <v>0</v>
      </c>
    </row>
    <row r="113" spans="1:18" s="192" customFormat="1" ht="12">
      <c r="A113" s="204">
        <v>111534</v>
      </c>
      <c r="B113" s="197" t="s">
        <v>946</v>
      </c>
      <c r="C113" s="217">
        <f>IF(ISNUMBER(VLOOKUP($B:$B,BS!$A:$D,$2:$2,0)),VLOOKUP($B:$B,BS!$A:$D,$2:$2,0),0)</f>
        <v>0</v>
      </c>
      <c r="D113" s="217">
        <f>IF(ISNUMBER(VLOOKUP($B:$B,BS!$A:$D,$2:$2,0)),VLOOKUP($B:$B,BS!$A:$D,$2:$2,0),0)</f>
        <v>0</v>
      </c>
      <c r="E113" s="217">
        <f>IF(ISNUMBER(VLOOKUP($B:$B,BS!$A:$D,$2:$2,0)),VLOOKUP($B:$B,BS!$A:$D,$2:$2,0),0)</f>
        <v>0</v>
      </c>
      <c r="F113" s="217">
        <f>IF(ISNUMBER(VLOOKUP($B:$B,BS!$A:$D,$2:$2,0)),VLOOKUP($B:$B,BS!$A:$D,$2:$2,0),0)</f>
        <v>0</v>
      </c>
      <c r="G113" s="217">
        <f>IF(ISNUMBER(VLOOKUP($B:$B,BS!$A:$D,$2:$2,0)),VLOOKUP($B:$B,BS!$A:$D,$2:$2,0),0)</f>
        <v>0</v>
      </c>
      <c r="H113" s="207">
        <f>IF(ISNUMBER(VLOOKUP($B:$B,'BS(과거)'!$A:$F,$2:$2,0)),VLOOKUP($B:$B,'BS(과거)'!$A:$F,$2:$2,0),0)</f>
        <v>0</v>
      </c>
      <c r="I113" s="207">
        <f>IF(ISNUMBER(VLOOKUP($B:$B,'BS(과거)'!$A:$F,$2:$2,0)),VLOOKUP($B:$B,'BS(과거)'!$A:$F,$2:$2,0),0)</f>
        <v>0</v>
      </c>
      <c r="J113" s="207">
        <f>IF(ISNUMBER(VLOOKUP($B:$B,'BS(과거)'!$A:$F,$2:$2,0)),VLOOKUP($B:$B,'BS(과거)'!$A:$F,$2:$2,0),0)</f>
        <v>0</v>
      </c>
      <c r="K113" s="207">
        <f>IF(ISNUMBER(VLOOKUP($B:$B,'BS(과거)'!$A:$F,$2:$2,0)),VLOOKUP($B:$B,'BS(과거)'!$A:$F,$2:$2,0),0)</f>
        <v>0</v>
      </c>
      <c r="L113" s="207">
        <f>IF(ISNUMBER(VLOOKUP($B:$B,'BS(과거)'!$A:$F,$2:$2,0)),VLOOKUP($B:$B,'BS(과거)'!$A:$F,$2:$2,0),0)</f>
        <v>0</v>
      </c>
      <c r="N113" s="207">
        <f>IF(ISNUMBER(VLOOKUP($B:$B,'BS(분기)'!$A:$F,$2:$2,0)),VLOOKUP($B:$B,'BS(분기)'!$A:$F,$2:$2,0),0)</f>
        <v>0</v>
      </c>
      <c r="O113" s="207">
        <f>IF(ISNUMBER(VLOOKUP($B:$B,'BS(분기)'!$A:$F,$2:$2,0)),VLOOKUP($B:$B,'BS(분기)'!$A:$F,$2:$2,0),0)</f>
        <v>0</v>
      </c>
      <c r="P113" s="207">
        <f>IF(ISNUMBER(VLOOKUP($B:$B,'BS(분기)'!$A:$F,$2:$2,0)),VLOOKUP($B:$B,'BS(분기)'!$A:$F,$2:$2,0),0)</f>
        <v>0</v>
      </c>
      <c r="Q113" s="207">
        <f>IF(ISNUMBER(VLOOKUP($B:$B,'BS(분기)'!$A:$F,$2:$2,0)),VLOOKUP($B:$B,'BS(분기)'!$A:$F,$2:$2,0),0)</f>
        <v>0</v>
      </c>
      <c r="R113" s="207">
        <f>IF(ISNUMBER(VLOOKUP($B:$B,'BS(분기)'!$A:$F,$2:$2,0)),VLOOKUP($B:$B,'BS(분기)'!$A:$F,$2:$2,0),0)</f>
        <v>0</v>
      </c>
    </row>
    <row r="114" spans="1:18" s="192" customFormat="1" ht="12">
      <c r="A114" s="204">
        <v>111535</v>
      </c>
      <c r="B114" s="197" t="s">
        <v>947</v>
      </c>
      <c r="C114" s="217">
        <f>IF(ISNUMBER(VLOOKUP($B:$B,BS!$A:$D,$2:$2,0)),VLOOKUP($B:$B,BS!$A:$D,$2:$2,0),0)</f>
        <v>0</v>
      </c>
      <c r="D114" s="217">
        <f>IF(ISNUMBER(VLOOKUP($B:$B,BS!$A:$D,$2:$2,0)),VLOOKUP($B:$B,BS!$A:$D,$2:$2,0),0)</f>
        <v>0</v>
      </c>
      <c r="E114" s="217">
        <f>IF(ISNUMBER(VLOOKUP($B:$B,BS!$A:$D,$2:$2,0)),VLOOKUP($B:$B,BS!$A:$D,$2:$2,0),0)</f>
        <v>0</v>
      </c>
      <c r="F114" s="217">
        <f>IF(ISNUMBER(VLOOKUP($B:$B,BS!$A:$D,$2:$2,0)),VLOOKUP($B:$B,BS!$A:$D,$2:$2,0),0)</f>
        <v>0</v>
      </c>
      <c r="G114" s="217">
        <f>IF(ISNUMBER(VLOOKUP($B:$B,BS!$A:$D,$2:$2,0)),VLOOKUP($B:$B,BS!$A:$D,$2:$2,0),0)</f>
        <v>0</v>
      </c>
      <c r="H114" s="207">
        <f>IF(ISNUMBER(VLOOKUP($B:$B,'BS(과거)'!$A:$F,$2:$2,0)),VLOOKUP($B:$B,'BS(과거)'!$A:$F,$2:$2,0),0)</f>
        <v>0</v>
      </c>
      <c r="I114" s="207">
        <f>IF(ISNUMBER(VLOOKUP($B:$B,'BS(과거)'!$A:$F,$2:$2,0)),VLOOKUP($B:$B,'BS(과거)'!$A:$F,$2:$2,0),0)</f>
        <v>0</v>
      </c>
      <c r="J114" s="207">
        <f>IF(ISNUMBER(VLOOKUP($B:$B,'BS(과거)'!$A:$F,$2:$2,0)),VLOOKUP($B:$B,'BS(과거)'!$A:$F,$2:$2,0),0)</f>
        <v>0</v>
      </c>
      <c r="K114" s="207">
        <f>IF(ISNUMBER(VLOOKUP($B:$B,'BS(과거)'!$A:$F,$2:$2,0)),VLOOKUP($B:$B,'BS(과거)'!$A:$F,$2:$2,0),0)</f>
        <v>0</v>
      </c>
      <c r="L114" s="207">
        <f>IF(ISNUMBER(VLOOKUP($B:$B,'BS(과거)'!$A:$F,$2:$2,0)),VLOOKUP($B:$B,'BS(과거)'!$A:$F,$2:$2,0),0)</f>
        <v>0</v>
      </c>
      <c r="N114" s="207">
        <f>IF(ISNUMBER(VLOOKUP($B:$B,'BS(분기)'!$A:$F,$2:$2,0)),VLOOKUP($B:$B,'BS(분기)'!$A:$F,$2:$2,0),0)</f>
        <v>0</v>
      </c>
      <c r="O114" s="207">
        <f>IF(ISNUMBER(VLOOKUP($B:$B,'BS(분기)'!$A:$F,$2:$2,0)),VLOOKUP($B:$B,'BS(분기)'!$A:$F,$2:$2,0),0)</f>
        <v>0</v>
      </c>
      <c r="P114" s="207">
        <f>IF(ISNUMBER(VLOOKUP($B:$B,'BS(분기)'!$A:$F,$2:$2,0)),VLOOKUP($B:$B,'BS(분기)'!$A:$F,$2:$2,0),0)</f>
        <v>0</v>
      </c>
      <c r="Q114" s="207">
        <f>IF(ISNUMBER(VLOOKUP($B:$B,'BS(분기)'!$A:$F,$2:$2,0)),VLOOKUP($B:$B,'BS(분기)'!$A:$F,$2:$2,0),0)</f>
        <v>0</v>
      </c>
      <c r="R114" s="207">
        <f>IF(ISNUMBER(VLOOKUP($B:$B,'BS(분기)'!$A:$F,$2:$2,0)),VLOOKUP($B:$B,'BS(분기)'!$A:$F,$2:$2,0),0)</f>
        <v>0</v>
      </c>
    </row>
    <row r="115" spans="1:18" s="192" customFormat="1" ht="12">
      <c r="A115" s="204">
        <v>111539</v>
      </c>
      <c r="B115" s="197" t="s">
        <v>948</v>
      </c>
      <c r="C115" s="217">
        <f>IF(ISNUMBER(VLOOKUP($B:$B,BS!$A:$D,$2:$2,0)),VLOOKUP($B:$B,BS!$A:$D,$2:$2,0),0)</f>
        <v>0</v>
      </c>
      <c r="D115" s="217">
        <f>IF(ISNUMBER(VLOOKUP($B:$B,BS!$A:$D,$2:$2,0)),VLOOKUP($B:$B,BS!$A:$D,$2:$2,0),0)</f>
        <v>0</v>
      </c>
      <c r="E115" s="217">
        <f>IF(ISNUMBER(VLOOKUP($B:$B,BS!$A:$D,$2:$2,0)),VLOOKUP($B:$B,BS!$A:$D,$2:$2,0),0)</f>
        <v>0</v>
      </c>
      <c r="F115" s="217">
        <f>IF(ISNUMBER(VLOOKUP($B:$B,BS!$A:$D,$2:$2,0)),VLOOKUP($B:$B,BS!$A:$D,$2:$2,0),0)</f>
        <v>0</v>
      </c>
      <c r="G115" s="217">
        <f>IF(ISNUMBER(VLOOKUP($B:$B,BS!$A:$D,$2:$2,0)),VLOOKUP($B:$B,BS!$A:$D,$2:$2,0),0)</f>
        <v>0</v>
      </c>
      <c r="H115" s="207">
        <f>IF(ISNUMBER(VLOOKUP($B:$B,'BS(과거)'!$A:$F,$2:$2,0)),VLOOKUP($B:$B,'BS(과거)'!$A:$F,$2:$2,0),0)</f>
        <v>0</v>
      </c>
      <c r="I115" s="207">
        <f>IF(ISNUMBER(VLOOKUP($B:$B,'BS(과거)'!$A:$F,$2:$2,0)),VLOOKUP($B:$B,'BS(과거)'!$A:$F,$2:$2,0),0)</f>
        <v>0</v>
      </c>
      <c r="J115" s="207">
        <f>IF(ISNUMBER(VLOOKUP($B:$B,'BS(과거)'!$A:$F,$2:$2,0)),VLOOKUP($B:$B,'BS(과거)'!$A:$F,$2:$2,0),0)</f>
        <v>0</v>
      </c>
      <c r="K115" s="207">
        <f>IF(ISNUMBER(VLOOKUP($B:$B,'BS(과거)'!$A:$F,$2:$2,0)),VLOOKUP($B:$B,'BS(과거)'!$A:$F,$2:$2,0),0)</f>
        <v>0</v>
      </c>
      <c r="L115" s="207">
        <f>IF(ISNUMBER(VLOOKUP($B:$B,'BS(과거)'!$A:$F,$2:$2,0)),VLOOKUP($B:$B,'BS(과거)'!$A:$F,$2:$2,0),0)</f>
        <v>0</v>
      </c>
      <c r="N115" s="207">
        <f>IF(ISNUMBER(VLOOKUP($B:$B,'BS(분기)'!$A:$F,$2:$2,0)),VLOOKUP($B:$B,'BS(분기)'!$A:$F,$2:$2,0),0)</f>
        <v>0</v>
      </c>
      <c r="O115" s="207">
        <f>IF(ISNUMBER(VLOOKUP($B:$B,'BS(분기)'!$A:$F,$2:$2,0)),VLOOKUP($B:$B,'BS(분기)'!$A:$F,$2:$2,0),0)</f>
        <v>0</v>
      </c>
      <c r="P115" s="207">
        <f>IF(ISNUMBER(VLOOKUP($B:$B,'BS(분기)'!$A:$F,$2:$2,0)),VLOOKUP($B:$B,'BS(분기)'!$A:$F,$2:$2,0),0)</f>
        <v>0</v>
      </c>
      <c r="Q115" s="207">
        <f>IF(ISNUMBER(VLOOKUP($B:$B,'BS(분기)'!$A:$F,$2:$2,0)),VLOOKUP($B:$B,'BS(분기)'!$A:$F,$2:$2,0),0)</f>
        <v>0</v>
      </c>
      <c r="R115" s="207">
        <f>IF(ISNUMBER(VLOOKUP($B:$B,'BS(분기)'!$A:$F,$2:$2,0)),VLOOKUP($B:$B,'BS(분기)'!$A:$F,$2:$2,0),0)</f>
        <v>0</v>
      </c>
    </row>
    <row r="116" spans="1:18" s="192" customFormat="1" ht="12">
      <c r="A116" s="203">
        <v>111540</v>
      </c>
      <c r="B116" s="196" t="s">
        <v>949</v>
      </c>
      <c r="C116" s="217">
        <f>IF(ISNUMBER(VLOOKUP($B:$B,BS!$A:$D,$2:$2,0)),VLOOKUP($B:$B,BS!$A:$D,$2:$2,0),0)</f>
        <v>0</v>
      </c>
      <c r="D116" s="217">
        <f>IF(ISNUMBER(VLOOKUP($B:$B,BS!$A:$D,$2:$2,0)),VLOOKUP($B:$B,BS!$A:$D,$2:$2,0),0)</f>
        <v>0</v>
      </c>
      <c r="E116" s="217">
        <f>IF(ISNUMBER(VLOOKUP($B:$B,BS!$A:$D,$2:$2,0)),VLOOKUP($B:$B,BS!$A:$D,$2:$2,0),0)</f>
        <v>0</v>
      </c>
      <c r="F116" s="217">
        <f>IF(ISNUMBER(VLOOKUP($B:$B,BS!$A:$D,$2:$2,0)),VLOOKUP($B:$B,BS!$A:$D,$2:$2,0),0)</f>
        <v>0</v>
      </c>
      <c r="G116" s="217">
        <f>IF(ISNUMBER(VLOOKUP($B:$B,BS!$A:$D,$2:$2,0)),VLOOKUP($B:$B,BS!$A:$D,$2:$2,0),0)</f>
        <v>0</v>
      </c>
      <c r="H116" s="207">
        <f>IF(ISNUMBER(VLOOKUP($B:$B,'BS(과거)'!$A:$F,$2:$2,0)),VLOOKUP($B:$B,'BS(과거)'!$A:$F,$2:$2,0),0)</f>
        <v>0</v>
      </c>
      <c r="I116" s="207">
        <f>IF(ISNUMBER(VLOOKUP($B:$B,'BS(과거)'!$A:$F,$2:$2,0)),VLOOKUP($B:$B,'BS(과거)'!$A:$F,$2:$2,0),0)</f>
        <v>0</v>
      </c>
      <c r="J116" s="207">
        <f>IF(ISNUMBER(VLOOKUP($B:$B,'BS(과거)'!$A:$F,$2:$2,0)),VLOOKUP($B:$B,'BS(과거)'!$A:$F,$2:$2,0),0)</f>
        <v>0</v>
      </c>
      <c r="K116" s="207">
        <f>IF(ISNUMBER(VLOOKUP($B:$B,'BS(과거)'!$A:$F,$2:$2,0)),VLOOKUP($B:$B,'BS(과거)'!$A:$F,$2:$2,0),0)</f>
        <v>0</v>
      </c>
      <c r="L116" s="207">
        <f>IF(ISNUMBER(VLOOKUP($B:$B,'BS(과거)'!$A:$F,$2:$2,0)),VLOOKUP($B:$B,'BS(과거)'!$A:$F,$2:$2,0),0)</f>
        <v>0</v>
      </c>
      <c r="N116" s="207">
        <f>IF(ISNUMBER(VLOOKUP($B:$B,'BS(분기)'!$A:$F,$2:$2,0)),VLOOKUP($B:$B,'BS(분기)'!$A:$F,$2:$2,0),0)</f>
        <v>0</v>
      </c>
      <c r="O116" s="207">
        <f>IF(ISNUMBER(VLOOKUP($B:$B,'BS(분기)'!$A:$F,$2:$2,0)),VLOOKUP($B:$B,'BS(분기)'!$A:$F,$2:$2,0),0)</f>
        <v>0</v>
      </c>
      <c r="P116" s="207">
        <f>IF(ISNUMBER(VLOOKUP($B:$B,'BS(분기)'!$A:$F,$2:$2,0)),VLOOKUP($B:$B,'BS(분기)'!$A:$F,$2:$2,0),0)</f>
        <v>0</v>
      </c>
      <c r="Q116" s="207">
        <f>IF(ISNUMBER(VLOOKUP($B:$B,'BS(분기)'!$A:$F,$2:$2,0)),VLOOKUP($B:$B,'BS(분기)'!$A:$F,$2:$2,0),0)</f>
        <v>0</v>
      </c>
      <c r="R116" s="207">
        <f>IF(ISNUMBER(VLOOKUP($B:$B,'BS(분기)'!$A:$F,$2:$2,0)),VLOOKUP($B:$B,'BS(분기)'!$A:$F,$2:$2,0),0)</f>
        <v>0</v>
      </c>
    </row>
    <row r="117" spans="1:18" s="192" customFormat="1" ht="12">
      <c r="A117" s="204">
        <v>111541</v>
      </c>
      <c r="B117" s="197" t="s">
        <v>950</v>
      </c>
      <c r="C117" s="217">
        <f>IF(ISNUMBER(VLOOKUP($B:$B,BS!$A:$D,$2:$2,0)),VLOOKUP($B:$B,BS!$A:$D,$2:$2,0),0)</f>
        <v>0</v>
      </c>
      <c r="D117" s="217">
        <f>IF(ISNUMBER(VLOOKUP($B:$B,BS!$A:$D,$2:$2,0)),VLOOKUP($B:$B,BS!$A:$D,$2:$2,0),0)</f>
        <v>0</v>
      </c>
      <c r="E117" s="217">
        <f>IF(ISNUMBER(VLOOKUP($B:$B,BS!$A:$D,$2:$2,0)),VLOOKUP($B:$B,BS!$A:$D,$2:$2,0),0)</f>
        <v>0</v>
      </c>
      <c r="F117" s="217">
        <f>IF(ISNUMBER(VLOOKUP($B:$B,BS!$A:$D,$2:$2,0)),VLOOKUP($B:$B,BS!$A:$D,$2:$2,0),0)</f>
        <v>0</v>
      </c>
      <c r="G117" s="217">
        <f>IF(ISNUMBER(VLOOKUP($B:$B,BS!$A:$D,$2:$2,0)),VLOOKUP($B:$B,BS!$A:$D,$2:$2,0),0)</f>
        <v>0</v>
      </c>
      <c r="H117" s="207">
        <f>IF(ISNUMBER(VLOOKUP($B:$B,'BS(과거)'!$A:$F,$2:$2,0)),VLOOKUP($B:$B,'BS(과거)'!$A:$F,$2:$2,0),0)</f>
        <v>0</v>
      </c>
      <c r="I117" s="207">
        <f>IF(ISNUMBER(VLOOKUP($B:$B,'BS(과거)'!$A:$F,$2:$2,0)),VLOOKUP($B:$B,'BS(과거)'!$A:$F,$2:$2,0),0)</f>
        <v>0</v>
      </c>
      <c r="J117" s="207">
        <f>IF(ISNUMBER(VLOOKUP($B:$B,'BS(과거)'!$A:$F,$2:$2,0)),VLOOKUP($B:$B,'BS(과거)'!$A:$F,$2:$2,0),0)</f>
        <v>0</v>
      </c>
      <c r="K117" s="207">
        <f>IF(ISNUMBER(VLOOKUP($B:$B,'BS(과거)'!$A:$F,$2:$2,0)),VLOOKUP($B:$B,'BS(과거)'!$A:$F,$2:$2,0),0)</f>
        <v>0</v>
      </c>
      <c r="L117" s="207">
        <f>IF(ISNUMBER(VLOOKUP($B:$B,'BS(과거)'!$A:$F,$2:$2,0)),VLOOKUP($B:$B,'BS(과거)'!$A:$F,$2:$2,0),0)</f>
        <v>0</v>
      </c>
      <c r="N117" s="207">
        <f>IF(ISNUMBER(VLOOKUP($B:$B,'BS(분기)'!$A:$F,$2:$2,0)),VLOOKUP($B:$B,'BS(분기)'!$A:$F,$2:$2,0),0)</f>
        <v>0</v>
      </c>
      <c r="O117" s="207">
        <f>IF(ISNUMBER(VLOOKUP($B:$B,'BS(분기)'!$A:$F,$2:$2,0)),VLOOKUP($B:$B,'BS(분기)'!$A:$F,$2:$2,0),0)</f>
        <v>0</v>
      </c>
      <c r="P117" s="207">
        <f>IF(ISNUMBER(VLOOKUP($B:$B,'BS(분기)'!$A:$F,$2:$2,0)),VLOOKUP($B:$B,'BS(분기)'!$A:$F,$2:$2,0),0)</f>
        <v>0</v>
      </c>
      <c r="Q117" s="207">
        <f>IF(ISNUMBER(VLOOKUP($B:$B,'BS(분기)'!$A:$F,$2:$2,0)),VLOOKUP($B:$B,'BS(분기)'!$A:$F,$2:$2,0),0)</f>
        <v>0</v>
      </c>
      <c r="R117" s="207">
        <f>IF(ISNUMBER(VLOOKUP($B:$B,'BS(분기)'!$A:$F,$2:$2,0)),VLOOKUP($B:$B,'BS(분기)'!$A:$F,$2:$2,0),0)</f>
        <v>0</v>
      </c>
    </row>
    <row r="118" spans="1:18" s="192" customFormat="1" ht="12">
      <c r="A118" s="204">
        <v>111542</v>
      </c>
      <c r="B118" s="197" t="s">
        <v>951</v>
      </c>
      <c r="C118" s="217">
        <f>IF(ISNUMBER(VLOOKUP($B:$B,BS!$A:$D,$2:$2,0)),VLOOKUP($B:$B,BS!$A:$D,$2:$2,0),0)</f>
        <v>0</v>
      </c>
      <c r="D118" s="217">
        <f>IF(ISNUMBER(VLOOKUP($B:$B,BS!$A:$D,$2:$2,0)),VLOOKUP($B:$B,BS!$A:$D,$2:$2,0),0)</f>
        <v>0</v>
      </c>
      <c r="E118" s="217">
        <f>IF(ISNUMBER(VLOOKUP($B:$B,BS!$A:$D,$2:$2,0)),VLOOKUP($B:$B,BS!$A:$D,$2:$2,0),0)</f>
        <v>0</v>
      </c>
      <c r="F118" s="217">
        <f>IF(ISNUMBER(VLOOKUP($B:$B,BS!$A:$D,$2:$2,0)),VLOOKUP($B:$B,BS!$A:$D,$2:$2,0),0)</f>
        <v>0</v>
      </c>
      <c r="G118" s="217">
        <f>IF(ISNUMBER(VLOOKUP($B:$B,BS!$A:$D,$2:$2,0)),VLOOKUP($B:$B,BS!$A:$D,$2:$2,0),0)</f>
        <v>0</v>
      </c>
      <c r="H118" s="207">
        <f>IF(ISNUMBER(VLOOKUP($B:$B,'BS(과거)'!$A:$F,$2:$2,0)),VLOOKUP($B:$B,'BS(과거)'!$A:$F,$2:$2,0),0)</f>
        <v>0</v>
      </c>
      <c r="I118" s="207">
        <f>IF(ISNUMBER(VLOOKUP($B:$B,'BS(과거)'!$A:$F,$2:$2,0)),VLOOKUP($B:$B,'BS(과거)'!$A:$F,$2:$2,0),0)</f>
        <v>0</v>
      </c>
      <c r="J118" s="207">
        <f>IF(ISNUMBER(VLOOKUP($B:$B,'BS(과거)'!$A:$F,$2:$2,0)),VLOOKUP($B:$B,'BS(과거)'!$A:$F,$2:$2,0),0)</f>
        <v>0</v>
      </c>
      <c r="K118" s="207">
        <f>IF(ISNUMBER(VLOOKUP($B:$B,'BS(과거)'!$A:$F,$2:$2,0)),VLOOKUP($B:$B,'BS(과거)'!$A:$F,$2:$2,0),0)</f>
        <v>0</v>
      </c>
      <c r="L118" s="207">
        <f>IF(ISNUMBER(VLOOKUP($B:$B,'BS(과거)'!$A:$F,$2:$2,0)),VLOOKUP($B:$B,'BS(과거)'!$A:$F,$2:$2,0),0)</f>
        <v>0</v>
      </c>
      <c r="N118" s="207">
        <f>IF(ISNUMBER(VLOOKUP($B:$B,'BS(분기)'!$A:$F,$2:$2,0)),VLOOKUP($B:$B,'BS(분기)'!$A:$F,$2:$2,0),0)</f>
        <v>0</v>
      </c>
      <c r="O118" s="207">
        <f>IF(ISNUMBER(VLOOKUP($B:$B,'BS(분기)'!$A:$F,$2:$2,0)),VLOOKUP($B:$B,'BS(분기)'!$A:$F,$2:$2,0),0)</f>
        <v>0</v>
      </c>
      <c r="P118" s="207">
        <f>IF(ISNUMBER(VLOOKUP($B:$B,'BS(분기)'!$A:$F,$2:$2,0)),VLOOKUP($B:$B,'BS(분기)'!$A:$F,$2:$2,0),0)</f>
        <v>0</v>
      </c>
      <c r="Q118" s="207">
        <f>IF(ISNUMBER(VLOOKUP($B:$B,'BS(분기)'!$A:$F,$2:$2,0)),VLOOKUP($B:$B,'BS(분기)'!$A:$F,$2:$2,0),0)</f>
        <v>0</v>
      </c>
      <c r="R118" s="207">
        <f>IF(ISNUMBER(VLOOKUP($B:$B,'BS(분기)'!$A:$F,$2:$2,0)),VLOOKUP($B:$B,'BS(분기)'!$A:$F,$2:$2,0),0)</f>
        <v>0</v>
      </c>
    </row>
    <row r="119" spans="1:18" s="192" customFormat="1" ht="12">
      <c r="A119" s="204">
        <v>111549</v>
      </c>
      <c r="B119" s="197" t="s">
        <v>952</v>
      </c>
      <c r="C119" s="217">
        <f>IF(ISNUMBER(VLOOKUP($B:$B,BS!$A:$D,$2:$2,0)),VLOOKUP($B:$B,BS!$A:$D,$2:$2,0),0)</f>
        <v>0</v>
      </c>
      <c r="D119" s="217">
        <f>IF(ISNUMBER(VLOOKUP($B:$B,BS!$A:$D,$2:$2,0)),VLOOKUP($B:$B,BS!$A:$D,$2:$2,0),0)</f>
        <v>0</v>
      </c>
      <c r="E119" s="217">
        <f>IF(ISNUMBER(VLOOKUP($B:$B,BS!$A:$D,$2:$2,0)),VLOOKUP($B:$B,BS!$A:$D,$2:$2,0),0)</f>
        <v>0</v>
      </c>
      <c r="F119" s="217">
        <f>IF(ISNUMBER(VLOOKUP($B:$B,BS!$A:$D,$2:$2,0)),VLOOKUP($B:$B,BS!$A:$D,$2:$2,0),0)</f>
        <v>0</v>
      </c>
      <c r="G119" s="217">
        <f>IF(ISNUMBER(VLOOKUP($B:$B,BS!$A:$D,$2:$2,0)),VLOOKUP($B:$B,BS!$A:$D,$2:$2,0),0)</f>
        <v>0</v>
      </c>
      <c r="H119" s="207">
        <f>IF(ISNUMBER(VLOOKUP($B:$B,'BS(과거)'!$A:$F,$2:$2,0)),VLOOKUP($B:$B,'BS(과거)'!$A:$F,$2:$2,0),0)</f>
        <v>0</v>
      </c>
      <c r="I119" s="207">
        <f>IF(ISNUMBER(VLOOKUP($B:$B,'BS(과거)'!$A:$F,$2:$2,0)),VLOOKUP($B:$B,'BS(과거)'!$A:$F,$2:$2,0),0)</f>
        <v>0</v>
      </c>
      <c r="J119" s="207">
        <f>IF(ISNUMBER(VLOOKUP($B:$B,'BS(과거)'!$A:$F,$2:$2,0)),VLOOKUP($B:$B,'BS(과거)'!$A:$F,$2:$2,0),0)</f>
        <v>0</v>
      </c>
      <c r="K119" s="207">
        <f>IF(ISNUMBER(VLOOKUP($B:$B,'BS(과거)'!$A:$F,$2:$2,0)),VLOOKUP($B:$B,'BS(과거)'!$A:$F,$2:$2,0),0)</f>
        <v>0</v>
      </c>
      <c r="L119" s="207">
        <f>IF(ISNUMBER(VLOOKUP($B:$B,'BS(과거)'!$A:$F,$2:$2,0)),VLOOKUP($B:$B,'BS(과거)'!$A:$F,$2:$2,0),0)</f>
        <v>0</v>
      </c>
      <c r="N119" s="207">
        <f>IF(ISNUMBER(VLOOKUP($B:$B,'BS(분기)'!$A:$F,$2:$2,0)),VLOOKUP($B:$B,'BS(분기)'!$A:$F,$2:$2,0),0)</f>
        <v>0</v>
      </c>
      <c r="O119" s="207">
        <f>IF(ISNUMBER(VLOOKUP($B:$B,'BS(분기)'!$A:$F,$2:$2,0)),VLOOKUP($B:$B,'BS(분기)'!$A:$F,$2:$2,0),0)</f>
        <v>0</v>
      </c>
      <c r="P119" s="207">
        <f>IF(ISNUMBER(VLOOKUP($B:$B,'BS(분기)'!$A:$F,$2:$2,0)),VLOOKUP($B:$B,'BS(분기)'!$A:$F,$2:$2,0),0)</f>
        <v>0</v>
      </c>
      <c r="Q119" s="207">
        <f>IF(ISNUMBER(VLOOKUP($B:$B,'BS(분기)'!$A:$F,$2:$2,0)),VLOOKUP($B:$B,'BS(분기)'!$A:$F,$2:$2,0),0)</f>
        <v>0</v>
      </c>
      <c r="R119" s="207">
        <f>IF(ISNUMBER(VLOOKUP($B:$B,'BS(분기)'!$A:$F,$2:$2,0)),VLOOKUP($B:$B,'BS(분기)'!$A:$F,$2:$2,0),0)</f>
        <v>0</v>
      </c>
    </row>
    <row r="120" spans="1:18" s="192" customFormat="1" ht="12">
      <c r="A120" s="203">
        <v>111590</v>
      </c>
      <c r="B120" s="196" t="s">
        <v>953</v>
      </c>
      <c r="C120" s="217">
        <f>IF(ISNUMBER(VLOOKUP($B:$B,BS!$A:$D,$2:$2,0)),VLOOKUP($B:$B,BS!$A:$D,$2:$2,0),0)</f>
        <v>0</v>
      </c>
      <c r="D120" s="217">
        <f>IF(ISNUMBER(VLOOKUP($B:$B,BS!$A:$D,$2:$2,0)),VLOOKUP($B:$B,BS!$A:$D,$2:$2,0),0)</f>
        <v>0</v>
      </c>
      <c r="E120" s="217">
        <f>IF(ISNUMBER(VLOOKUP($B:$B,BS!$A:$D,$2:$2,0)),VLOOKUP($B:$B,BS!$A:$D,$2:$2,0),0)</f>
        <v>0</v>
      </c>
      <c r="F120" s="217">
        <f>IF(ISNUMBER(VLOOKUP($B:$B,BS!$A:$D,$2:$2,0)),VLOOKUP($B:$B,BS!$A:$D,$2:$2,0),0)</f>
        <v>0</v>
      </c>
      <c r="G120" s="217">
        <f>IF(ISNUMBER(VLOOKUP($B:$B,BS!$A:$D,$2:$2,0)),VLOOKUP($B:$B,BS!$A:$D,$2:$2,0),0)</f>
        <v>0</v>
      </c>
      <c r="H120" s="207">
        <f>IF(ISNUMBER(VLOOKUP($B:$B,'BS(과거)'!$A:$F,$2:$2,0)),VLOOKUP($B:$B,'BS(과거)'!$A:$F,$2:$2,0),0)</f>
        <v>0</v>
      </c>
      <c r="I120" s="207">
        <f>IF(ISNUMBER(VLOOKUP($B:$B,'BS(과거)'!$A:$F,$2:$2,0)),VLOOKUP($B:$B,'BS(과거)'!$A:$F,$2:$2,0),0)</f>
        <v>0</v>
      </c>
      <c r="J120" s="207">
        <f>IF(ISNUMBER(VLOOKUP($B:$B,'BS(과거)'!$A:$F,$2:$2,0)),VLOOKUP($B:$B,'BS(과거)'!$A:$F,$2:$2,0),0)</f>
        <v>0</v>
      </c>
      <c r="K120" s="207">
        <f>IF(ISNUMBER(VLOOKUP($B:$B,'BS(과거)'!$A:$F,$2:$2,0)),VLOOKUP($B:$B,'BS(과거)'!$A:$F,$2:$2,0),0)</f>
        <v>0</v>
      </c>
      <c r="L120" s="207">
        <f>IF(ISNUMBER(VLOOKUP($B:$B,'BS(과거)'!$A:$F,$2:$2,0)),VLOOKUP($B:$B,'BS(과거)'!$A:$F,$2:$2,0),0)</f>
        <v>0</v>
      </c>
      <c r="N120" s="207">
        <f>IF(ISNUMBER(VLOOKUP($B:$B,'BS(분기)'!$A:$F,$2:$2,0)),VLOOKUP($B:$B,'BS(분기)'!$A:$F,$2:$2,0),0)</f>
        <v>0</v>
      </c>
      <c r="O120" s="207">
        <f>IF(ISNUMBER(VLOOKUP($B:$B,'BS(분기)'!$A:$F,$2:$2,0)),VLOOKUP($B:$B,'BS(분기)'!$A:$F,$2:$2,0),0)</f>
        <v>0</v>
      </c>
      <c r="P120" s="207">
        <f>IF(ISNUMBER(VLOOKUP($B:$B,'BS(분기)'!$A:$F,$2:$2,0)),VLOOKUP($B:$B,'BS(분기)'!$A:$F,$2:$2,0),0)</f>
        <v>0</v>
      </c>
      <c r="Q120" s="207">
        <f>IF(ISNUMBER(VLOOKUP($B:$B,'BS(분기)'!$A:$F,$2:$2,0)),VLOOKUP($B:$B,'BS(분기)'!$A:$F,$2:$2,0),0)</f>
        <v>0</v>
      </c>
      <c r="R120" s="207">
        <f>IF(ISNUMBER(VLOOKUP($B:$B,'BS(분기)'!$A:$F,$2:$2,0)),VLOOKUP($B:$B,'BS(분기)'!$A:$F,$2:$2,0),0)</f>
        <v>0</v>
      </c>
    </row>
    <row r="121" spans="1:18" s="192" customFormat="1" ht="12">
      <c r="A121" s="202">
        <v>111591</v>
      </c>
      <c r="B121" s="195" t="s">
        <v>954</v>
      </c>
      <c r="C121" s="217">
        <f>IF(ISNUMBER(VLOOKUP($B:$B,BS!$A:$D,$2:$2,0)),VLOOKUP($B:$B,BS!$A:$D,$2:$2,0),0)</f>
        <v>0</v>
      </c>
      <c r="D121" s="217">
        <f>IF(ISNUMBER(VLOOKUP($B:$B,BS!$A:$D,$2:$2,0)),VLOOKUP($B:$B,BS!$A:$D,$2:$2,0),0)</f>
        <v>0</v>
      </c>
      <c r="E121" s="217">
        <f>IF(ISNUMBER(VLOOKUP($B:$B,BS!$A:$D,$2:$2,0)),VLOOKUP($B:$B,BS!$A:$D,$2:$2,0),0)</f>
        <v>0</v>
      </c>
      <c r="F121" s="217">
        <f>IF(ISNUMBER(VLOOKUP($B:$B,BS!$A:$D,$2:$2,0)),VLOOKUP($B:$B,BS!$A:$D,$2:$2,0),0)</f>
        <v>0</v>
      </c>
      <c r="G121" s="217">
        <f>IF(ISNUMBER(VLOOKUP($B:$B,BS!$A:$D,$2:$2,0)),VLOOKUP($B:$B,BS!$A:$D,$2:$2,0),0)</f>
        <v>0</v>
      </c>
      <c r="H121" s="207">
        <f>IF(ISNUMBER(VLOOKUP($B:$B,'BS(과거)'!$A:$F,$2:$2,0)),VLOOKUP($B:$B,'BS(과거)'!$A:$F,$2:$2,0),0)</f>
        <v>0</v>
      </c>
      <c r="I121" s="207">
        <f>IF(ISNUMBER(VLOOKUP($B:$B,'BS(과거)'!$A:$F,$2:$2,0)),VLOOKUP($B:$B,'BS(과거)'!$A:$F,$2:$2,0),0)</f>
        <v>0</v>
      </c>
      <c r="J121" s="207">
        <f>IF(ISNUMBER(VLOOKUP($B:$B,'BS(과거)'!$A:$F,$2:$2,0)),VLOOKUP($B:$B,'BS(과거)'!$A:$F,$2:$2,0),0)</f>
        <v>0</v>
      </c>
      <c r="K121" s="207">
        <f>IF(ISNUMBER(VLOOKUP($B:$B,'BS(과거)'!$A:$F,$2:$2,0)),VLOOKUP($B:$B,'BS(과거)'!$A:$F,$2:$2,0),0)</f>
        <v>0</v>
      </c>
      <c r="L121" s="207">
        <f>IF(ISNUMBER(VLOOKUP($B:$B,'BS(과거)'!$A:$F,$2:$2,0)),VLOOKUP($B:$B,'BS(과거)'!$A:$F,$2:$2,0),0)</f>
        <v>0</v>
      </c>
      <c r="N121" s="207">
        <f>IF(ISNUMBER(VLOOKUP($B:$B,'BS(분기)'!$A:$F,$2:$2,0)),VLOOKUP($B:$B,'BS(분기)'!$A:$F,$2:$2,0),0)</f>
        <v>0</v>
      </c>
      <c r="O121" s="207">
        <f>IF(ISNUMBER(VLOOKUP($B:$B,'BS(분기)'!$A:$F,$2:$2,0)),VLOOKUP($B:$B,'BS(분기)'!$A:$F,$2:$2,0),0)</f>
        <v>0</v>
      </c>
      <c r="P121" s="207">
        <f>IF(ISNUMBER(VLOOKUP($B:$B,'BS(분기)'!$A:$F,$2:$2,0)),VLOOKUP($B:$B,'BS(분기)'!$A:$F,$2:$2,0),0)</f>
        <v>0</v>
      </c>
      <c r="Q121" s="207">
        <f>IF(ISNUMBER(VLOOKUP($B:$B,'BS(분기)'!$A:$F,$2:$2,0)),VLOOKUP($B:$B,'BS(분기)'!$A:$F,$2:$2,0),0)</f>
        <v>0</v>
      </c>
      <c r="R121" s="207">
        <f>IF(ISNUMBER(VLOOKUP($B:$B,'BS(분기)'!$A:$F,$2:$2,0)),VLOOKUP($B:$B,'BS(분기)'!$A:$F,$2:$2,0),0)</f>
        <v>0</v>
      </c>
    </row>
    <row r="122" spans="1:18" s="192" customFormat="1" ht="12">
      <c r="A122" s="202">
        <v>111592</v>
      </c>
      <c r="B122" s="195" t="s">
        <v>955</v>
      </c>
      <c r="C122" s="217">
        <f>IF(ISNUMBER(VLOOKUP($B:$B,BS!$A:$D,$2:$2,0)),VLOOKUP($B:$B,BS!$A:$D,$2:$2,0),0)</f>
        <v>0</v>
      </c>
      <c r="D122" s="217">
        <f>IF(ISNUMBER(VLOOKUP($B:$B,BS!$A:$D,$2:$2,0)),VLOOKUP($B:$B,BS!$A:$D,$2:$2,0),0)</f>
        <v>0</v>
      </c>
      <c r="E122" s="217">
        <f>IF(ISNUMBER(VLOOKUP($B:$B,BS!$A:$D,$2:$2,0)),VLOOKUP($B:$B,BS!$A:$D,$2:$2,0),0)</f>
        <v>0</v>
      </c>
      <c r="F122" s="217">
        <f>IF(ISNUMBER(VLOOKUP($B:$B,BS!$A:$D,$2:$2,0)),VLOOKUP($B:$B,BS!$A:$D,$2:$2,0),0)</f>
        <v>0</v>
      </c>
      <c r="G122" s="217">
        <f>IF(ISNUMBER(VLOOKUP($B:$B,BS!$A:$D,$2:$2,0)),VLOOKUP($B:$B,BS!$A:$D,$2:$2,0),0)</f>
        <v>0</v>
      </c>
      <c r="H122" s="207">
        <f>IF(ISNUMBER(VLOOKUP($B:$B,'BS(과거)'!$A:$F,$2:$2,0)),VLOOKUP($B:$B,'BS(과거)'!$A:$F,$2:$2,0),0)</f>
        <v>0</v>
      </c>
      <c r="I122" s="207">
        <f>IF(ISNUMBER(VLOOKUP($B:$B,'BS(과거)'!$A:$F,$2:$2,0)),VLOOKUP($B:$B,'BS(과거)'!$A:$F,$2:$2,0),0)</f>
        <v>0</v>
      </c>
      <c r="J122" s="207">
        <f>IF(ISNUMBER(VLOOKUP($B:$B,'BS(과거)'!$A:$F,$2:$2,0)),VLOOKUP($B:$B,'BS(과거)'!$A:$F,$2:$2,0),0)</f>
        <v>0</v>
      </c>
      <c r="K122" s="207">
        <f>IF(ISNUMBER(VLOOKUP($B:$B,'BS(과거)'!$A:$F,$2:$2,0)),VLOOKUP($B:$B,'BS(과거)'!$A:$F,$2:$2,0),0)</f>
        <v>0</v>
      </c>
      <c r="L122" s="207">
        <f>IF(ISNUMBER(VLOOKUP($B:$B,'BS(과거)'!$A:$F,$2:$2,0)),VLOOKUP($B:$B,'BS(과거)'!$A:$F,$2:$2,0),0)</f>
        <v>0</v>
      </c>
      <c r="N122" s="207">
        <f>IF(ISNUMBER(VLOOKUP($B:$B,'BS(분기)'!$A:$F,$2:$2,0)),VLOOKUP($B:$B,'BS(분기)'!$A:$F,$2:$2,0),0)</f>
        <v>0</v>
      </c>
      <c r="O122" s="207">
        <f>IF(ISNUMBER(VLOOKUP($B:$B,'BS(분기)'!$A:$F,$2:$2,0)),VLOOKUP($B:$B,'BS(분기)'!$A:$F,$2:$2,0),0)</f>
        <v>0</v>
      </c>
      <c r="P122" s="207">
        <f>IF(ISNUMBER(VLOOKUP($B:$B,'BS(분기)'!$A:$F,$2:$2,0)),VLOOKUP($B:$B,'BS(분기)'!$A:$F,$2:$2,0),0)</f>
        <v>0</v>
      </c>
      <c r="Q122" s="207">
        <f>IF(ISNUMBER(VLOOKUP($B:$B,'BS(분기)'!$A:$F,$2:$2,0)),VLOOKUP($B:$B,'BS(분기)'!$A:$F,$2:$2,0),0)</f>
        <v>0</v>
      </c>
      <c r="R122" s="207">
        <f>IF(ISNUMBER(VLOOKUP($B:$B,'BS(분기)'!$A:$F,$2:$2,0)),VLOOKUP($B:$B,'BS(분기)'!$A:$F,$2:$2,0),0)</f>
        <v>0</v>
      </c>
    </row>
    <row r="123" spans="1:18" s="192" customFormat="1" ht="12">
      <c r="A123" s="202">
        <v>111593</v>
      </c>
      <c r="B123" s="195" t="s">
        <v>956</v>
      </c>
      <c r="C123" s="217">
        <f>IF(ISNUMBER(VLOOKUP($B:$B,BS!$A:$D,$2:$2,0)),VLOOKUP($B:$B,BS!$A:$D,$2:$2,0),0)</f>
        <v>0</v>
      </c>
      <c r="D123" s="217">
        <f>IF(ISNUMBER(VLOOKUP($B:$B,BS!$A:$D,$2:$2,0)),VLOOKUP($B:$B,BS!$A:$D,$2:$2,0),0)</f>
        <v>0</v>
      </c>
      <c r="E123" s="217">
        <f>IF(ISNUMBER(VLOOKUP($B:$B,BS!$A:$D,$2:$2,0)),VLOOKUP($B:$B,BS!$A:$D,$2:$2,0),0)</f>
        <v>0</v>
      </c>
      <c r="F123" s="217">
        <f>IF(ISNUMBER(VLOOKUP($B:$B,BS!$A:$D,$2:$2,0)),VLOOKUP($B:$B,BS!$A:$D,$2:$2,0),0)</f>
        <v>0</v>
      </c>
      <c r="G123" s="217">
        <f>IF(ISNUMBER(VLOOKUP($B:$B,BS!$A:$D,$2:$2,0)),VLOOKUP($B:$B,BS!$A:$D,$2:$2,0),0)</f>
        <v>0</v>
      </c>
      <c r="H123" s="207">
        <f>IF(ISNUMBER(VLOOKUP($B:$B,'BS(과거)'!$A:$F,$2:$2,0)),VLOOKUP($B:$B,'BS(과거)'!$A:$F,$2:$2,0),0)</f>
        <v>0</v>
      </c>
      <c r="I123" s="207">
        <f>IF(ISNUMBER(VLOOKUP($B:$B,'BS(과거)'!$A:$F,$2:$2,0)),VLOOKUP($B:$B,'BS(과거)'!$A:$F,$2:$2,0),0)</f>
        <v>0</v>
      </c>
      <c r="J123" s="207">
        <f>IF(ISNUMBER(VLOOKUP($B:$B,'BS(과거)'!$A:$F,$2:$2,0)),VLOOKUP($B:$B,'BS(과거)'!$A:$F,$2:$2,0),0)</f>
        <v>0</v>
      </c>
      <c r="K123" s="207">
        <f>IF(ISNUMBER(VLOOKUP($B:$B,'BS(과거)'!$A:$F,$2:$2,0)),VLOOKUP($B:$B,'BS(과거)'!$A:$F,$2:$2,0),0)</f>
        <v>0</v>
      </c>
      <c r="L123" s="207">
        <f>IF(ISNUMBER(VLOOKUP($B:$B,'BS(과거)'!$A:$F,$2:$2,0)),VLOOKUP($B:$B,'BS(과거)'!$A:$F,$2:$2,0),0)</f>
        <v>0</v>
      </c>
      <c r="N123" s="207">
        <f>IF(ISNUMBER(VLOOKUP($B:$B,'BS(분기)'!$A:$F,$2:$2,0)),VLOOKUP($B:$B,'BS(분기)'!$A:$F,$2:$2,0),0)</f>
        <v>0</v>
      </c>
      <c r="O123" s="207">
        <f>IF(ISNUMBER(VLOOKUP($B:$B,'BS(분기)'!$A:$F,$2:$2,0)),VLOOKUP($B:$B,'BS(분기)'!$A:$F,$2:$2,0),0)</f>
        <v>0</v>
      </c>
      <c r="P123" s="207">
        <f>IF(ISNUMBER(VLOOKUP($B:$B,'BS(분기)'!$A:$F,$2:$2,0)),VLOOKUP($B:$B,'BS(분기)'!$A:$F,$2:$2,0),0)</f>
        <v>0</v>
      </c>
      <c r="Q123" s="207">
        <f>IF(ISNUMBER(VLOOKUP($B:$B,'BS(분기)'!$A:$F,$2:$2,0)),VLOOKUP($B:$B,'BS(분기)'!$A:$F,$2:$2,0),0)</f>
        <v>0</v>
      </c>
      <c r="R123" s="207">
        <f>IF(ISNUMBER(VLOOKUP($B:$B,'BS(분기)'!$A:$F,$2:$2,0)),VLOOKUP($B:$B,'BS(분기)'!$A:$F,$2:$2,0),0)</f>
        <v>0</v>
      </c>
    </row>
    <row r="124" spans="1:18" s="192" customFormat="1" ht="12">
      <c r="A124" s="203">
        <v>111594</v>
      </c>
      <c r="B124" s="196" t="s">
        <v>957</v>
      </c>
      <c r="C124" s="217">
        <f>IF(ISNUMBER(VLOOKUP($B:$B,BS!$A:$D,$2:$2,0)),VLOOKUP($B:$B,BS!$A:$D,$2:$2,0),0)</f>
        <v>0</v>
      </c>
      <c r="D124" s="217">
        <f>IF(ISNUMBER(VLOOKUP($B:$B,BS!$A:$D,$2:$2,0)),VLOOKUP($B:$B,BS!$A:$D,$2:$2,0),0)</f>
        <v>0</v>
      </c>
      <c r="E124" s="217">
        <f>IF(ISNUMBER(VLOOKUP($B:$B,BS!$A:$D,$2:$2,0)),VLOOKUP($B:$B,BS!$A:$D,$2:$2,0),0)</f>
        <v>0</v>
      </c>
      <c r="F124" s="217">
        <f>IF(ISNUMBER(VLOOKUP($B:$B,BS!$A:$D,$2:$2,0)),VLOOKUP($B:$B,BS!$A:$D,$2:$2,0),0)</f>
        <v>0</v>
      </c>
      <c r="G124" s="217">
        <f>IF(ISNUMBER(VLOOKUP($B:$B,BS!$A:$D,$2:$2,0)),VLOOKUP($B:$B,BS!$A:$D,$2:$2,0),0)</f>
        <v>0</v>
      </c>
      <c r="H124" s="207">
        <f>IF(ISNUMBER(VLOOKUP($B:$B,'BS(과거)'!$A:$F,$2:$2,0)),VLOOKUP($B:$B,'BS(과거)'!$A:$F,$2:$2,0),0)</f>
        <v>0</v>
      </c>
      <c r="I124" s="207">
        <f>IF(ISNUMBER(VLOOKUP($B:$B,'BS(과거)'!$A:$F,$2:$2,0)),VLOOKUP($B:$B,'BS(과거)'!$A:$F,$2:$2,0),0)</f>
        <v>0</v>
      </c>
      <c r="J124" s="207">
        <f>IF(ISNUMBER(VLOOKUP($B:$B,'BS(과거)'!$A:$F,$2:$2,0)),VLOOKUP($B:$B,'BS(과거)'!$A:$F,$2:$2,0),0)</f>
        <v>0</v>
      </c>
      <c r="K124" s="207">
        <f>IF(ISNUMBER(VLOOKUP($B:$B,'BS(과거)'!$A:$F,$2:$2,0)),VLOOKUP($B:$B,'BS(과거)'!$A:$F,$2:$2,0),0)</f>
        <v>0</v>
      </c>
      <c r="L124" s="207">
        <f>IF(ISNUMBER(VLOOKUP($B:$B,'BS(과거)'!$A:$F,$2:$2,0)),VLOOKUP($B:$B,'BS(과거)'!$A:$F,$2:$2,0),0)</f>
        <v>0</v>
      </c>
      <c r="N124" s="207">
        <f>IF(ISNUMBER(VLOOKUP($B:$B,'BS(분기)'!$A:$F,$2:$2,0)),VLOOKUP($B:$B,'BS(분기)'!$A:$F,$2:$2,0),0)</f>
        <v>0</v>
      </c>
      <c r="O124" s="207">
        <f>IF(ISNUMBER(VLOOKUP($B:$B,'BS(분기)'!$A:$F,$2:$2,0)),VLOOKUP($B:$B,'BS(분기)'!$A:$F,$2:$2,0),0)</f>
        <v>0</v>
      </c>
      <c r="P124" s="207">
        <f>IF(ISNUMBER(VLOOKUP($B:$B,'BS(분기)'!$A:$F,$2:$2,0)),VLOOKUP($B:$B,'BS(분기)'!$A:$F,$2:$2,0),0)</f>
        <v>0</v>
      </c>
      <c r="Q124" s="207">
        <f>IF(ISNUMBER(VLOOKUP($B:$B,'BS(분기)'!$A:$F,$2:$2,0)),VLOOKUP($B:$B,'BS(분기)'!$A:$F,$2:$2,0),0)</f>
        <v>0</v>
      </c>
      <c r="R124" s="207">
        <f>IF(ISNUMBER(VLOOKUP($B:$B,'BS(분기)'!$A:$F,$2:$2,0)),VLOOKUP($B:$B,'BS(분기)'!$A:$F,$2:$2,0),0)</f>
        <v>0</v>
      </c>
    </row>
    <row r="125" spans="1:18" s="192" customFormat="1" ht="12">
      <c r="A125" s="203">
        <v>111595</v>
      </c>
      <c r="B125" s="196" t="s">
        <v>958</v>
      </c>
      <c r="C125" s="217">
        <f>IF(ISNUMBER(VLOOKUP($B:$B,BS!$A:$D,$2:$2,0)),VLOOKUP($B:$B,BS!$A:$D,$2:$2,0),0)</f>
        <v>0</v>
      </c>
      <c r="D125" s="217">
        <f>IF(ISNUMBER(VLOOKUP($B:$B,BS!$A:$D,$2:$2,0)),VLOOKUP($B:$B,BS!$A:$D,$2:$2,0),0)</f>
        <v>0</v>
      </c>
      <c r="E125" s="217">
        <f>IF(ISNUMBER(VLOOKUP($B:$B,BS!$A:$D,$2:$2,0)),VLOOKUP($B:$B,BS!$A:$D,$2:$2,0),0)</f>
        <v>0</v>
      </c>
      <c r="F125" s="217">
        <f>IF(ISNUMBER(VLOOKUP($B:$B,BS!$A:$D,$2:$2,0)),VLOOKUP($B:$B,BS!$A:$D,$2:$2,0),0)</f>
        <v>0</v>
      </c>
      <c r="G125" s="217">
        <f>IF(ISNUMBER(VLOOKUP($B:$B,BS!$A:$D,$2:$2,0)),VLOOKUP($B:$B,BS!$A:$D,$2:$2,0),0)</f>
        <v>0</v>
      </c>
      <c r="H125" s="207">
        <f>IF(ISNUMBER(VLOOKUP($B:$B,'BS(과거)'!$A:$F,$2:$2,0)),VLOOKUP($B:$B,'BS(과거)'!$A:$F,$2:$2,0),0)</f>
        <v>0</v>
      </c>
      <c r="I125" s="207">
        <f>IF(ISNUMBER(VLOOKUP($B:$B,'BS(과거)'!$A:$F,$2:$2,0)),VLOOKUP($B:$B,'BS(과거)'!$A:$F,$2:$2,0),0)</f>
        <v>0</v>
      </c>
      <c r="J125" s="207">
        <f>IF(ISNUMBER(VLOOKUP($B:$B,'BS(과거)'!$A:$F,$2:$2,0)),VLOOKUP($B:$B,'BS(과거)'!$A:$F,$2:$2,0),0)</f>
        <v>0</v>
      </c>
      <c r="K125" s="207">
        <f>IF(ISNUMBER(VLOOKUP($B:$B,'BS(과거)'!$A:$F,$2:$2,0)),VLOOKUP($B:$B,'BS(과거)'!$A:$F,$2:$2,0),0)</f>
        <v>0</v>
      </c>
      <c r="L125" s="207">
        <f>IF(ISNUMBER(VLOOKUP($B:$B,'BS(과거)'!$A:$F,$2:$2,0)),VLOOKUP($B:$B,'BS(과거)'!$A:$F,$2:$2,0),0)</f>
        <v>0</v>
      </c>
      <c r="N125" s="207">
        <f>IF(ISNUMBER(VLOOKUP($B:$B,'BS(분기)'!$A:$F,$2:$2,0)),VLOOKUP($B:$B,'BS(분기)'!$A:$F,$2:$2,0),0)</f>
        <v>0</v>
      </c>
      <c r="O125" s="207">
        <f>IF(ISNUMBER(VLOOKUP($B:$B,'BS(분기)'!$A:$F,$2:$2,0)),VLOOKUP($B:$B,'BS(분기)'!$A:$F,$2:$2,0),0)</f>
        <v>0</v>
      </c>
      <c r="P125" s="207">
        <f>IF(ISNUMBER(VLOOKUP($B:$B,'BS(분기)'!$A:$F,$2:$2,0)),VLOOKUP($B:$B,'BS(분기)'!$A:$F,$2:$2,0),0)</f>
        <v>0</v>
      </c>
      <c r="Q125" s="207">
        <f>IF(ISNUMBER(VLOOKUP($B:$B,'BS(분기)'!$A:$F,$2:$2,0)),VLOOKUP($B:$B,'BS(분기)'!$A:$F,$2:$2,0),0)</f>
        <v>0</v>
      </c>
      <c r="R125" s="207">
        <f>IF(ISNUMBER(VLOOKUP($B:$B,'BS(분기)'!$A:$F,$2:$2,0)),VLOOKUP($B:$B,'BS(분기)'!$A:$F,$2:$2,0),0)</f>
        <v>0</v>
      </c>
    </row>
    <row r="126" spans="1:18" s="192" customFormat="1" ht="12">
      <c r="A126" s="203">
        <v>111596</v>
      </c>
      <c r="B126" s="196" t="s">
        <v>959</v>
      </c>
      <c r="C126" s="217">
        <f>IF(ISNUMBER(VLOOKUP($B:$B,BS!$A:$D,$2:$2,0)),VLOOKUP($B:$B,BS!$A:$D,$2:$2,0),0)</f>
        <v>0</v>
      </c>
      <c r="D126" s="217">
        <f>IF(ISNUMBER(VLOOKUP($B:$B,BS!$A:$D,$2:$2,0)),VLOOKUP($B:$B,BS!$A:$D,$2:$2,0),0)</f>
        <v>0</v>
      </c>
      <c r="E126" s="217">
        <f>IF(ISNUMBER(VLOOKUP($B:$B,BS!$A:$D,$2:$2,0)),VLOOKUP($B:$B,BS!$A:$D,$2:$2,0),0)</f>
        <v>0</v>
      </c>
      <c r="F126" s="217">
        <f>IF(ISNUMBER(VLOOKUP($B:$B,BS!$A:$D,$2:$2,0)),VLOOKUP($B:$B,BS!$A:$D,$2:$2,0),0)</f>
        <v>0</v>
      </c>
      <c r="G126" s="217">
        <f>IF(ISNUMBER(VLOOKUP($B:$B,BS!$A:$D,$2:$2,0)),VLOOKUP($B:$B,BS!$A:$D,$2:$2,0),0)</f>
        <v>0</v>
      </c>
      <c r="H126" s="207">
        <f>IF(ISNUMBER(VLOOKUP($B:$B,'BS(과거)'!$A:$F,$2:$2,0)),VLOOKUP($B:$B,'BS(과거)'!$A:$F,$2:$2,0),0)</f>
        <v>0</v>
      </c>
      <c r="I126" s="207">
        <f>IF(ISNUMBER(VLOOKUP($B:$B,'BS(과거)'!$A:$F,$2:$2,0)),VLOOKUP($B:$B,'BS(과거)'!$A:$F,$2:$2,0),0)</f>
        <v>0</v>
      </c>
      <c r="J126" s="207">
        <f>IF(ISNUMBER(VLOOKUP($B:$B,'BS(과거)'!$A:$F,$2:$2,0)),VLOOKUP($B:$B,'BS(과거)'!$A:$F,$2:$2,0),0)</f>
        <v>0</v>
      </c>
      <c r="K126" s="207">
        <f>IF(ISNUMBER(VLOOKUP($B:$B,'BS(과거)'!$A:$F,$2:$2,0)),VLOOKUP($B:$B,'BS(과거)'!$A:$F,$2:$2,0),0)</f>
        <v>0</v>
      </c>
      <c r="L126" s="207">
        <f>IF(ISNUMBER(VLOOKUP($B:$B,'BS(과거)'!$A:$F,$2:$2,0)),VLOOKUP($B:$B,'BS(과거)'!$A:$F,$2:$2,0),0)</f>
        <v>0</v>
      </c>
      <c r="N126" s="207">
        <f>IF(ISNUMBER(VLOOKUP($B:$B,'BS(분기)'!$A:$F,$2:$2,0)),VLOOKUP($B:$B,'BS(분기)'!$A:$F,$2:$2,0),0)</f>
        <v>0</v>
      </c>
      <c r="O126" s="207">
        <f>IF(ISNUMBER(VLOOKUP($B:$B,'BS(분기)'!$A:$F,$2:$2,0)),VLOOKUP($B:$B,'BS(분기)'!$A:$F,$2:$2,0),0)</f>
        <v>0</v>
      </c>
      <c r="P126" s="207">
        <f>IF(ISNUMBER(VLOOKUP($B:$B,'BS(분기)'!$A:$F,$2:$2,0)),VLOOKUP($B:$B,'BS(분기)'!$A:$F,$2:$2,0),0)</f>
        <v>0</v>
      </c>
      <c r="Q126" s="207">
        <f>IF(ISNUMBER(VLOOKUP($B:$B,'BS(분기)'!$A:$F,$2:$2,0)),VLOOKUP($B:$B,'BS(분기)'!$A:$F,$2:$2,0),0)</f>
        <v>0</v>
      </c>
      <c r="R126" s="207">
        <f>IF(ISNUMBER(VLOOKUP($B:$B,'BS(분기)'!$A:$F,$2:$2,0)),VLOOKUP($B:$B,'BS(분기)'!$A:$F,$2:$2,0),0)</f>
        <v>0</v>
      </c>
    </row>
    <row r="127" spans="1:18" s="192" customFormat="1" ht="12">
      <c r="A127" s="203">
        <v>111597</v>
      </c>
      <c r="B127" s="196" t="s">
        <v>960</v>
      </c>
      <c r="C127" s="217">
        <f>IF(ISNUMBER(VLOOKUP($B:$B,BS!$A:$D,$2:$2,0)),VLOOKUP($B:$B,BS!$A:$D,$2:$2,0),0)</f>
        <v>0</v>
      </c>
      <c r="D127" s="217">
        <f>IF(ISNUMBER(VLOOKUP($B:$B,BS!$A:$D,$2:$2,0)),VLOOKUP($B:$B,BS!$A:$D,$2:$2,0),0)</f>
        <v>0</v>
      </c>
      <c r="E127" s="217">
        <f>IF(ISNUMBER(VLOOKUP($B:$B,BS!$A:$D,$2:$2,0)),VLOOKUP($B:$B,BS!$A:$D,$2:$2,0),0)</f>
        <v>0</v>
      </c>
      <c r="F127" s="217">
        <f>IF(ISNUMBER(VLOOKUP($B:$B,BS!$A:$D,$2:$2,0)),VLOOKUP($B:$B,BS!$A:$D,$2:$2,0),0)</f>
        <v>0</v>
      </c>
      <c r="G127" s="217">
        <f>IF(ISNUMBER(VLOOKUP($B:$B,BS!$A:$D,$2:$2,0)),VLOOKUP($B:$B,BS!$A:$D,$2:$2,0),0)</f>
        <v>0</v>
      </c>
      <c r="H127" s="207">
        <f>IF(ISNUMBER(VLOOKUP($B:$B,'BS(과거)'!$A:$F,$2:$2,0)),VLOOKUP($B:$B,'BS(과거)'!$A:$F,$2:$2,0),0)</f>
        <v>0</v>
      </c>
      <c r="I127" s="207">
        <f>IF(ISNUMBER(VLOOKUP($B:$B,'BS(과거)'!$A:$F,$2:$2,0)),VLOOKUP($B:$B,'BS(과거)'!$A:$F,$2:$2,0),0)</f>
        <v>0</v>
      </c>
      <c r="J127" s="207">
        <f>IF(ISNUMBER(VLOOKUP($B:$B,'BS(과거)'!$A:$F,$2:$2,0)),VLOOKUP($B:$B,'BS(과거)'!$A:$F,$2:$2,0),0)</f>
        <v>0</v>
      </c>
      <c r="K127" s="207">
        <f>IF(ISNUMBER(VLOOKUP($B:$B,'BS(과거)'!$A:$F,$2:$2,0)),VLOOKUP($B:$B,'BS(과거)'!$A:$F,$2:$2,0),0)</f>
        <v>0</v>
      </c>
      <c r="L127" s="207">
        <f>IF(ISNUMBER(VLOOKUP($B:$B,'BS(과거)'!$A:$F,$2:$2,0)),VLOOKUP($B:$B,'BS(과거)'!$A:$F,$2:$2,0),0)</f>
        <v>0</v>
      </c>
      <c r="N127" s="207">
        <f>IF(ISNUMBER(VLOOKUP($B:$B,'BS(분기)'!$A:$F,$2:$2,0)),VLOOKUP($B:$B,'BS(분기)'!$A:$F,$2:$2,0),0)</f>
        <v>0</v>
      </c>
      <c r="O127" s="207">
        <f>IF(ISNUMBER(VLOOKUP($B:$B,'BS(분기)'!$A:$F,$2:$2,0)),VLOOKUP($B:$B,'BS(분기)'!$A:$F,$2:$2,0),0)</f>
        <v>0</v>
      </c>
      <c r="P127" s="207">
        <f>IF(ISNUMBER(VLOOKUP($B:$B,'BS(분기)'!$A:$F,$2:$2,0)),VLOOKUP($B:$B,'BS(분기)'!$A:$F,$2:$2,0),0)</f>
        <v>0</v>
      </c>
      <c r="Q127" s="207">
        <f>IF(ISNUMBER(VLOOKUP($B:$B,'BS(분기)'!$A:$F,$2:$2,0)),VLOOKUP($B:$B,'BS(분기)'!$A:$F,$2:$2,0),0)</f>
        <v>0</v>
      </c>
      <c r="R127" s="207">
        <f>IF(ISNUMBER(VLOOKUP($B:$B,'BS(분기)'!$A:$F,$2:$2,0)),VLOOKUP($B:$B,'BS(분기)'!$A:$F,$2:$2,0),0)</f>
        <v>0</v>
      </c>
    </row>
    <row r="128" spans="1:18" s="192" customFormat="1" ht="12">
      <c r="A128" s="203">
        <v>111598</v>
      </c>
      <c r="B128" s="196" t="s">
        <v>961</v>
      </c>
      <c r="C128" s="217">
        <f>IF(ISNUMBER(VLOOKUP($B:$B,BS!$A:$D,$2:$2,0)),VLOOKUP($B:$B,BS!$A:$D,$2:$2,0),0)</f>
        <v>0</v>
      </c>
      <c r="D128" s="217">
        <f>IF(ISNUMBER(VLOOKUP($B:$B,BS!$A:$D,$2:$2,0)),VLOOKUP($B:$B,BS!$A:$D,$2:$2,0),0)</f>
        <v>0</v>
      </c>
      <c r="E128" s="217">
        <f>IF(ISNUMBER(VLOOKUP($B:$B,BS!$A:$D,$2:$2,0)),VLOOKUP($B:$B,BS!$A:$D,$2:$2,0),0)</f>
        <v>0</v>
      </c>
      <c r="F128" s="217">
        <f>IF(ISNUMBER(VLOOKUP($B:$B,BS!$A:$D,$2:$2,0)),VLOOKUP($B:$B,BS!$A:$D,$2:$2,0),0)</f>
        <v>0</v>
      </c>
      <c r="G128" s="217">
        <f>IF(ISNUMBER(VLOOKUP($B:$B,BS!$A:$D,$2:$2,0)),VLOOKUP($B:$B,BS!$A:$D,$2:$2,0),0)</f>
        <v>0</v>
      </c>
      <c r="H128" s="207">
        <f>IF(ISNUMBER(VLOOKUP($B:$B,'BS(과거)'!$A:$F,$2:$2,0)),VLOOKUP($B:$B,'BS(과거)'!$A:$F,$2:$2,0),0)</f>
        <v>0</v>
      </c>
      <c r="I128" s="207">
        <f>IF(ISNUMBER(VLOOKUP($B:$B,'BS(과거)'!$A:$F,$2:$2,0)),VLOOKUP($B:$B,'BS(과거)'!$A:$F,$2:$2,0),0)</f>
        <v>0</v>
      </c>
      <c r="J128" s="207">
        <f>IF(ISNUMBER(VLOOKUP($B:$B,'BS(과거)'!$A:$F,$2:$2,0)),VLOOKUP($B:$B,'BS(과거)'!$A:$F,$2:$2,0),0)</f>
        <v>0</v>
      </c>
      <c r="K128" s="207">
        <f>IF(ISNUMBER(VLOOKUP($B:$B,'BS(과거)'!$A:$F,$2:$2,0)),VLOOKUP($B:$B,'BS(과거)'!$A:$F,$2:$2,0),0)</f>
        <v>0</v>
      </c>
      <c r="L128" s="207">
        <f>IF(ISNUMBER(VLOOKUP($B:$B,'BS(과거)'!$A:$F,$2:$2,0)),VLOOKUP($B:$B,'BS(과거)'!$A:$F,$2:$2,0),0)</f>
        <v>0</v>
      </c>
      <c r="N128" s="207">
        <f>IF(ISNUMBER(VLOOKUP($B:$B,'BS(분기)'!$A:$F,$2:$2,0)),VLOOKUP($B:$B,'BS(분기)'!$A:$F,$2:$2,0),0)</f>
        <v>0</v>
      </c>
      <c r="O128" s="207">
        <f>IF(ISNUMBER(VLOOKUP($B:$B,'BS(분기)'!$A:$F,$2:$2,0)),VLOOKUP($B:$B,'BS(분기)'!$A:$F,$2:$2,0),0)</f>
        <v>0</v>
      </c>
      <c r="P128" s="207">
        <f>IF(ISNUMBER(VLOOKUP($B:$B,'BS(분기)'!$A:$F,$2:$2,0)),VLOOKUP($B:$B,'BS(분기)'!$A:$F,$2:$2,0),0)</f>
        <v>0</v>
      </c>
      <c r="Q128" s="207">
        <f>IF(ISNUMBER(VLOOKUP($B:$B,'BS(분기)'!$A:$F,$2:$2,0)),VLOOKUP($B:$B,'BS(분기)'!$A:$F,$2:$2,0),0)</f>
        <v>0</v>
      </c>
      <c r="R128" s="207">
        <f>IF(ISNUMBER(VLOOKUP($B:$B,'BS(분기)'!$A:$F,$2:$2,0)),VLOOKUP($B:$B,'BS(분기)'!$A:$F,$2:$2,0),0)</f>
        <v>0</v>
      </c>
    </row>
    <row r="129" spans="1:18" s="192" customFormat="1" ht="12">
      <c r="A129" s="203">
        <v>111599</v>
      </c>
      <c r="B129" s="196" t="s">
        <v>962</v>
      </c>
      <c r="C129" s="217">
        <f>IF(ISNUMBER(VLOOKUP($B:$B,BS!$A:$D,$2:$2,0)),VLOOKUP($B:$B,BS!$A:$D,$2:$2,0),0)</f>
        <v>0</v>
      </c>
      <c r="D129" s="217">
        <f>IF(ISNUMBER(VLOOKUP($B:$B,BS!$A:$D,$2:$2,0)),VLOOKUP($B:$B,BS!$A:$D,$2:$2,0),0)</f>
        <v>0</v>
      </c>
      <c r="E129" s="217">
        <f>IF(ISNUMBER(VLOOKUP($B:$B,BS!$A:$D,$2:$2,0)),VLOOKUP($B:$B,BS!$A:$D,$2:$2,0),0)</f>
        <v>0</v>
      </c>
      <c r="F129" s="217">
        <f>IF(ISNUMBER(VLOOKUP($B:$B,BS!$A:$D,$2:$2,0)),VLOOKUP($B:$B,BS!$A:$D,$2:$2,0),0)</f>
        <v>0</v>
      </c>
      <c r="G129" s="217">
        <f>IF(ISNUMBER(VLOOKUP($B:$B,BS!$A:$D,$2:$2,0)),VLOOKUP($B:$B,BS!$A:$D,$2:$2,0),0)</f>
        <v>0</v>
      </c>
      <c r="H129" s="207">
        <f>IF(ISNUMBER(VLOOKUP($B:$B,'BS(과거)'!$A:$F,$2:$2,0)),VLOOKUP($B:$B,'BS(과거)'!$A:$F,$2:$2,0),0)</f>
        <v>0</v>
      </c>
      <c r="I129" s="207">
        <f>IF(ISNUMBER(VLOOKUP($B:$B,'BS(과거)'!$A:$F,$2:$2,0)),VLOOKUP($B:$B,'BS(과거)'!$A:$F,$2:$2,0),0)</f>
        <v>0</v>
      </c>
      <c r="J129" s="207">
        <f>IF(ISNUMBER(VLOOKUP($B:$B,'BS(과거)'!$A:$F,$2:$2,0)),VLOOKUP($B:$B,'BS(과거)'!$A:$F,$2:$2,0),0)</f>
        <v>0</v>
      </c>
      <c r="K129" s="207">
        <f>IF(ISNUMBER(VLOOKUP($B:$B,'BS(과거)'!$A:$F,$2:$2,0)),VLOOKUP($B:$B,'BS(과거)'!$A:$F,$2:$2,0),0)</f>
        <v>0</v>
      </c>
      <c r="L129" s="207">
        <f>IF(ISNUMBER(VLOOKUP($B:$B,'BS(과거)'!$A:$F,$2:$2,0)),VLOOKUP($B:$B,'BS(과거)'!$A:$F,$2:$2,0),0)</f>
        <v>0</v>
      </c>
      <c r="N129" s="207">
        <f>IF(ISNUMBER(VLOOKUP($B:$B,'BS(분기)'!$A:$F,$2:$2,0)),VLOOKUP($B:$B,'BS(분기)'!$A:$F,$2:$2,0),0)</f>
        <v>0</v>
      </c>
      <c r="O129" s="207">
        <f>IF(ISNUMBER(VLOOKUP($B:$B,'BS(분기)'!$A:$F,$2:$2,0)),VLOOKUP($B:$B,'BS(분기)'!$A:$F,$2:$2,0),0)</f>
        <v>0</v>
      </c>
      <c r="P129" s="207">
        <f>IF(ISNUMBER(VLOOKUP($B:$B,'BS(분기)'!$A:$F,$2:$2,0)),VLOOKUP($B:$B,'BS(분기)'!$A:$F,$2:$2,0),0)</f>
        <v>0</v>
      </c>
      <c r="Q129" s="207">
        <f>IF(ISNUMBER(VLOOKUP($B:$B,'BS(분기)'!$A:$F,$2:$2,0)),VLOOKUP($B:$B,'BS(분기)'!$A:$F,$2:$2,0),0)</f>
        <v>0</v>
      </c>
      <c r="R129" s="207">
        <f>IF(ISNUMBER(VLOOKUP($B:$B,'BS(분기)'!$A:$F,$2:$2,0)),VLOOKUP($B:$B,'BS(분기)'!$A:$F,$2:$2,0),0)</f>
        <v>0</v>
      </c>
    </row>
    <row r="130" spans="1:18" s="192" customFormat="1" ht="12">
      <c r="A130" s="202">
        <v>111470</v>
      </c>
      <c r="B130" s="195" t="s">
        <v>963</v>
      </c>
      <c r="C130" s="217">
        <f>IF(ISNUMBER(VLOOKUP($B:$B,BS!$A:$D,$2:$2,0)),VLOOKUP($B:$B,BS!$A:$D,$2:$2,0),0)</f>
        <v>0</v>
      </c>
      <c r="D130" s="217">
        <f>IF(ISNUMBER(VLOOKUP($B:$B,BS!$A:$D,$2:$2,0)),VLOOKUP($B:$B,BS!$A:$D,$2:$2,0),0)</f>
        <v>0</v>
      </c>
      <c r="E130" s="217">
        <f>IF(ISNUMBER(VLOOKUP($B:$B,BS!$A:$D,$2:$2,0)),VLOOKUP($B:$B,BS!$A:$D,$2:$2,0),0)</f>
        <v>0</v>
      </c>
      <c r="F130" s="217">
        <f>IF(ISNUMBER(VLOOKUP($B:$B,BS!$A:$D,$2:$2,0)),VLOOKUP($B:$B,BS!$A:$D,$2:$2,0),0)</f>
        <v>0</v>
      </c>
      <c r="G130" s="217">
        <f>IF(ISNUMBER(VLOOKUP($B:$B,BS!$A:$D,$2:$2,0)),VLOOKUP($B:$B,BS!$A:$D,$2:$2,0),0)</f>
        <v>0</v>
      </c>
      <c r="H130" s="207">
        <f>IF(ISNUMBER(VLOOKUP($B:$B,'BS(과거)'!$A:$F,$2:$2,0)),VLOOKUP($B:$B,'BS(과거)'!$A:$F,$2:$2,0),0)</f>
        <v>0</v>
      </c>
      <c r="I130" s="207">
        <f>IF(ISNUMBER(VLOOKUP($B:$B,'BS(과거)'!$A:$F,$2:$2,0)),VLOOKUP($B:$B,'BS(과거)'!$A:$F,$2:$2,0),0)</f>
        <v>0</v>
      </c>
      <c r="J130" s="207">
        <f>IF(ISNUMBER(VLOOKUP($B:$B,'BS(과거)'!$A:$F,$2:$2,0)),VLOOKUP($B:$B,'BS(과거)'!$A:$F,$2:$2,0),0)</f>
        <v>0</v>
      </c>
      <c r="K130" s="207">
        <f>IF(ISNUMBER(VLOOKUP($B:$B,'BS(과거)'!$A:$F,$2:$2,0)),VLOOKUP($B:$B,'BS(과거)'!$A:$F,$2:$2,0),0)</f>
        <v>0</v>
      </c>
      <c r="L130" s="207">
        <f>IF(ISNUMBER(VLOOKUP($B:$B,'BS(과거)'!$A:$F,$2:$2,0)),VLOOKUP($B:$B,'BS(과거)'!$A:$F,$2:$2,0),0)</f>
        <v>0</v>
      </c>
      <c r="N130" s="207">
        <f>IF(ISNUMBER(VLOOKUP($B:$B,'BS(분기)'!$A:$F,$2:$2,0)),VLOOKUP($B:$B,'BS(분기)'!$A:$F,$2:$2,0),0)</f>
        <v>0</v>
      </c>
      <c r="O130" s="207">
        <f>IF(ISNUMBER(VLOOKUP($B:$B,'BS(분기)'!$A:$F,$2:$2,0)),VLOOKUP($B:$B,'BS(분기)'!$A:$F,$2:$2,0),0)</f>
        <v>0</v>
      </c>
      <c r="P130" s="207">
        <f>IF(ISNUMBER(VLOOKUP($B:$B,'BS(분기)'!$A:$F,$2:$2,0)),VLOOKUP($B:$B,'BS(분기)'!$A:$F,$2:$2,0),0)</f>
        <v>0</v>
      </c>
      <c r="Q130" s="207">
        <f>IF(ISNUMBER(VLOOKUP($B:$B,'BS(분기)'!$A:$F,$2:$2,0)),VLOOKUP($B:$B,'BS(분기)'!$A:$F,$2:$2,0),0)</f>
        <v>0</v>
      </c>
      <c r="R130" s="207">
        <f>IF(ISNUMBER(VLOOKUP($B:$B,'BS(분기)'!$A:$F,$2:$2,0)),VLOOKUP($B:$B,'BS(분기)'!$A:$F,$2:$2,0),0)</f>
        <v>0</v>
      </c>
    </row>
    <row r="131" spans="1:18" s="192" customFormat="1" ht="12">
      <c r="A131" s="202">
        <v>111200</v>
      </c>
      <c r="B131" s="195" t="s">
        <v>794</v>
      </c>
      <c r="C131" s="217">
        <f>IF(ISNUMBER(VLOOKUP($B:$B,BS!$A:$D,$2:$2,0)),VLOOKUP($B:$B,BS!$A:$D,$2:$2,0),0)</f>
        <v>0</v>
      </c>
      <c r="D131" s="217">
        <f>IF(ISNUMBER(VLOOKUP($B:$B,BS!$A:$D,$2:$2,0)),VLOOKUP($B:$B,BS!$A:$D,$2:$2,0),0)</f>
        <v>0</v>
      </c>
      <c r="E131" s="217">
        <f>IF(ISNUMBER(VLOOKUP($B:$B,BS!$A:$D,$2:$2,0)),VLOOKUP($B:$B,BS!$A:$D,$2:$2,0),0)</f>
        <v>0</v>
      </c>
      <c r="F131" s="217">
        <f>IF(ISNUMBER(VLOOKUP($B:$B,BS!$A:$D,$2:$2,0)),VLOOKUP($B:$B,BS!$A:$D,$2:$2,0),0)</f>
        <v>0</v>
      </c>
      <c r="G131" s="217">
        <f>IF(ISNUMBER(VLOOKUP($B:$B,BS!$A:$D,$2:$2,0)),VLOOKUP($B:$B,BS!$A:$D,$2:$2,0),0)</f>
        <v>0</v>
      </c>
      <c r="H131" s="207">
        <f>IF(ISNUMBER(VLOOKUP($B:$B,'BS(과거)'!$A:$F,$2:$2,0)),VLOOKUP($B:$B,'BS(과거)'!$A:$F,$2:$2,0),0)</f>
        <v>0</v>
      </c>
      <c r="I131" s="207">
        <f>IF(ISNUMBER(VLOOKUP($B:$B,'BS(과거)'!$A:$F,$2:$2,0)),VLOOKUP($B:$B,'BS(과거)'!$A:$F,$2:$2,0),0)</f>
        <v>0</v>
      </c>
      <c r="J131" s="207">
        <f>IF(ISNUMBER(VLOOKUP($B:$B,'BS(과거)'!$A:$F,$2:$2,0)),VLOOKUP($B:$B,'BS(과거)'!$A:$F,$2:$2,0),0)</f>
        <v>0</v>
      </c>
      <c r="K131" s="207">
        <f>IF(ISNUMBER(VLOOKUP($B:$B,'BS(과거)'!$A:$F,$2:$2,0)),VLOOKUP($B:$B,'BS(과거)'!$A:$F,$2:$2,0),0)</f>
        <v>0</v>
      </c>
      <c r="L131" s="207">
        <f>IF(ISNUMBER(VLOOKUP($B:$B,'BS(과거)'!$A:$F,$2:$2,0)),VLOOKUP($B:$B,'BS(과거)'!$A:$F,$2:$2,0),0)</f>
        <v>0</v>
      </c>
      <c r="N131" s="207">
        <f>IF(ISNUMBER(VLOOKUP($B:$B,'BS(분기)'!$A:$F,$2:$2,0)),VLOOKUP($B:$B,'BS(분기)'!$A:$F,$2:$2,0),0)</f>
        <v>0</v>
      </c>
      <c r="O131" s="207">
        <f>IF(ISNUMBER(VLOOKUP($B:$B,'BS(분기)'!$A:$F,$2:$2,0)),VLOOKUP($B:$B,'BS(분기)'!$A:$F,$2:$2,0),0)</f>
        <v>0</v>
      </c>
      <c r="P131" s="207">
        <f>IF(ISNUMBER(VLOOKUP($B:$B,'BS(분기)'!$A:$F,$2:$2,0)),VLOOKUP($B:$B,'BS(분기)'!$A:$F,$2:$2,0),0)</f>
        <v>0</v>
      </c>
      <c r="Q131" s="207">
        <f>IF(ISNUMBER(VLOOKUP($B:$B,'BS(분기)'!$A:$F,$2:$2,0)),VLOOKUP($B:$B,'BS(분기)'!$A:$F,$2:$2,0),0)</f>
        <v>0</v>
      </c>
      <c r="R131" s="207">
        <f>IF(ISNUMBER(VLOOKUP($B:$B,'BS(분기)'!$A:$F,$2:$2,0)),VLOOKUP($B:$B,'BS(분기)'!$A:$F,$2:$2,0),0)</f>
        <v>0</v>
      </c>
    </row>
    <row r="132" spans="1:18" s="192" customFormat="1" ht="12">
      <c r="A132" s="202">
        <v>111209</v>
      </c>
      <c r="B132" s="195" t="s">
        <v>964</v>
      </c>
      <c r="C132" s="217">
        <f>IF(ISNUMBER(VLOOKUP($B:$B,BS!$A:$D,$2:$2,0)),VLOOKUP($B:$B,BS!$A:$D,$2:$2,0),0)</f>
        <v>0</v>
      </c>
      <c r="D132" s="217">
        <f>IF(ISNUMBER(VLOOKUP($B:$B,BS!$A:$D,$2:$2,0)),VLOOKUP($B:$B,BS!$A:$D,$2:$2,0),0)</f>
        <v>0</v>
      </c>
      <c r="E132" s="217">
        <f>IF(ISNUMBER(VLOOKUP($B:$B,BS!$A:$D,$2:$2,0)),VLOOKUP($B:$B,BS!$A:$D,$2:$2,0),0)</f>
        <v>0</v>
      </c>
      <c r="F132" s="217">
        <f>IF(ISNUMBER(VLOOKUP($B:$B,BS!$A:$D,$2:$2,0)),VLOOKUP($B:$B,BS!$A:$D,$2:$2,0),0)</f>
        <v>0</v>
      </c>
      <c r="G132" s="217">
        <f>IF(ISNUMBER(VLOOKUP($B:$B,BS!$A:$D,$2:$2,0)),VLOOKUP($B:$B,BS!$A:$D,$2:$2,0),0)</f>
        <v>0</v>
      </c>
      <c r="H132" s="207">
        <f>IF(ISNUMBER(VLOOKUP($B:$B,'BS(과거)'!$A:$F,$2:$2,0)),VLOOKUP($B:$B,'BS(과거)'!$A:$F,$2:$2,0),0)</f>
        <v>0</v>
      </c>
      <c r="I132" s="207">
        <f>IF(ISNUMBER(VLOOKUP($B:$B,'BS(과거)'!$A:$F,$2:$2,0)),VLOOKUP($B:$B,'BS(과거)'!$A:$F,$2:$2,0),0)</f>
        <v>0</v>
      </c>
      <c r="J132" s="207">
        <f>IF(ISNUMBER(VLOOKUP($B:$B,'BS(과거)'!$A:$F,$2:$2,0)),VLOOKUP($B:$B,'BS(과거)'!$A:$F,$2:$2,0),0)</f>
        <v>0</v>
      </c>
      <c r="K132" s="207">
        <f>IF(ISNUMBER(VLOOKUP($B:$B,'BS(과거)'!$A:$F,$2:$2,0)),VLOOKUP($B:$B,'BS(과거)'!$A:$F,$2:$2,0),0)</f>
        <v>0</v>
      </c>
      <c r="L132" s="207">
        <f>IF(ISNUMBER(VLOOKUP($B:$B,'BS(과거)'!$A:$F,$2:$2,0)),VLOOKUP($B:$B,'BS(과거)'!$A:$F,$2:$2,0),0)</f>
        <v>0</v>
      </c>
      <c r="N132" s="207">
        <f>IF(ISNUMBER(VLOOKUP($B:$B,'BS(분기)'!$A:$F,$2:$2,0)),VLOOKUP($B:$B,'BS(분기)'!$A:$F,$2:$2,0),0)</f>
        <v>0</v>
      </c>
      <c r="O132" s="207">
        <f>IF(ISNUMBER(VLOOKUP($B:$B,'BS(분기)'!$A:$F,$2:$2,0)),VLOOKUP($B:$B,'BS(분기)'!$A:$F,$2:$2,0),0)</f>
        <v>0</v>
      </c>
      <c r="P132" s="207">
        <f>IF(ISNUMBER(VLOOKUP($B:$B,'BS(분기)'!$A:$F,$2:$2,0)),VLOOKUP($B:$B,'BS(분기)'!$A:$F,$2:$2,0),0)</f>
        <v>0</v>
      </c>
      <c r="Q132" s="207">
        <f>IF(ISNUMBER(VLOOKUP($B:$B,'BS(분기)'!$A:$F,$2:$2,0)),VLOOKUP($B:$B,'BS(분기)'!$A:$F,$2:$2,0),0)</f>
        <v>0</v>
      </c>
      <c r="R132" s="207">
        <f>IF(ISNUMBER(VLOOKUP($B:$B,'BS(분기)'!$A:$F,$2:$2,0)),VLOOKUP($B:$B,'BS(분기)'!$A:$F,$2:$2,0),0)</f>
        <v>0</v>
      </c>
    </row>
    <row r="133" spans="1:18" s="192" customFormat="1" ht="12">
      <c r="A133" s="201">
        <v>111400</v>
      </c>
      <c r="B133" s="194" t="s">
        <v>795</v>
      </c>
      <c r="C133" s="217">
        <f>IF(ISNUMBER(VLOOKUP($B:$B,BS!$A:$D,$2:$2,0)),VLOOKUP($B:$B,BS!$A:$D,$2:$2,0),0)</f>
        <v>0</v>
      </c>
      <c r="D133" s="217">
        <f>IF(ISNUMBER(VLOOKUP($B:$B,BS!$A:$D,$2:$2,0)),VLOOKUP($B:$B,BS!$A:$D,$2:$2,0),0)</f>
        <v>0</v>
      </c>
      <c r="E133" s="217">
        <f>IF(ISNUMBER(VLOOKUP($B:$B,BS!$A:$D,$2:$2,0)),VLOOKUP($B:$B,BS!$A:$D,$2:$2,0),0)</f>
        <v>0</v>
      </c>
      <c r="F133" s="217">
        <f>IF(ISNUMBER(VLOOKUP($B:$B,BS!$A:$D,$2:$2,0)),VLOOKUP($B:$B,BS!$A:$D,$2:$2,0),0)</f>
        <v>0</v>
      </c>
      <c r="G133" s="217">
        <f>IF(ISNUMBER(VLOOKUP($B:$B,BS!$A:$D,$2:$2,0)),VLOOKUP($B:$B,BS!$A:$D,$2:$2,0),0)</f>
        <v>0</v>
      </c>
      <c r="H133" s="207">
        <f>IF(ISNUMBER(VLOOKUP($B:$B,'BS(과거)'!$A:$F,$2:$2,0)),VLOOKUP($B:$B,'BS(과거)'!$A:$F,$2:$2,0),0)</f>
        <v>0</v>
      </c>
      <c r="I133" s="207">
        <f>IF(ISNUMBER(VLOOKUP($B:$B,'BS(과거)'!$A:$F,$2:$2,0)),VLOOKUP($B:$B,'BS(과거)'!$A:$F,$2:$2,0),0)</f>
        <v>0</v>
      </c>
      <c r="J133" s="207">
        <f>IF(ISNUMBER(VLOOKUP($B:$B,'BS(과거)'!$A:$F,$2:$2,0)),VLOOKUP($B:$B,'BS(과거)'!$A:$F,$2:$2,0),0)</f>
        <v>0</v>
      </c>
      <c r="K133" s="207">
        <f>IF(ISNUMBER(VLOOKUP($B:$B,'BS(과거)'!$A:$F,$2:$2,0)),VLOOKUP($B:$B,'BS(과거)'!$A:$F,$2:$2,0),0)</f>
        <v>0</v>
      </c>
      <c r="L133" s="207">
        <f>IF(ISNUMBER(VLOOKUP($B:$B,'BS(과거)'!$A:$F,$2:$2,0)),VLOOKUP($B:$B,'BS(과거)'!$A:$F,$2:$2,0),0)</f>
        <v>0</v>
      </c>
      <c r="N133" s="207">
        <f>IF(ISNUMBER(VLOOKUP($B:$B,'BS(분기)'!$A:$F,$2:$2,0)),VLOOKUP($B:$B,'BS(분기)'!$A:$F,$2:$2,0),0)</f>
        <v>0</v>
      </c>
      <c r="O133" s="207">
        <f>IF(ISNUMBER(VLOOKUP($B:$B,'BS(분기)'!$A:$F,$2:$2,0)),VLOOKUP($B:$B,'BS(분기)'!$A:$F,$2:$2,0),0)</f>
        <v>0</v>
      </c>
      <c r="P133" s="207">
        <f>IF(ISNUMBER(VLOOKUP($B:$B,'BS(분기)'!$A:$F,$2:$2,0)),VLOOKUP($B:$B,'BS(분기)'!$A:$F,$2:$2,0),0)</f>
        <v>0</v>
      </c>
      <c r="Q133" s="207">
        <f>IF(ISNUMBER(VLOOKUP($B:$B,'BS(분기)'!$A:$F,$2:$2,0)),VLOOKUP($B:$B,'BS(분기)'!$A:$F,$2:$2,0),0)</f>
        <v>0</v>
      </c>
      <c r="R133" s="207">
        <f>IF(ISNUMBER(VLOOKUP($B:$B,'BS(분기)'!$A:$F,$2:$2,0)),VLOOKUP($B:$B,'BS(분기)'!$A:$F,$2:$2,0),0)</f>
        <v>0</v>
      </c>
    </row>
    <row r="134" spans="1:18" s="192" customFormat="1" ht="12">
      <c r="A134" s="201">
        <v>111390</v>
      </c>
      <c r="B134" s="194" t="s">
        <v>796</v>
      </c>
      <c r="C134" s="217">
        <f>IF(ISNUMBER(VLOOKUP($B:$B,BS!$A:$D,$2:$2,0)),VLOOKUP($B:$B,BS!$A:$D,$2:$2,0),0)</f>
        <v>0</v>
      </c>
      <c r="D134" s="217">
        <f>IF(ISNUMBER(VLOOKUP($B:$B,BS!$A:$D,$2:$2,0)),VLOOKUP($B:$B,BS!$A:$D,$2:$2,0),0)</f>
        <v>0</v>
      </c>
      <c r="E134" s="217">
        <f>IF(ISNUMBER(VLOOKUP($B:$B,BS!$A:$D,$2:$2,0)),VLOOKUP($B:$B,BS!$A:$D,$2:$2,0),0)</f>
        <v>0</v>
      </c>
      <c r="F134" s="217">
        <f>IF(ISNUMBER(VLOOKUP($B:$B,BS!$A:$D,$2:$2,0)),VLOOKUP($B:$B,BS!$A:$D,$2:$2,0),0)</f>
        <v>0</v>
      </c>
      <c r="G134" s="217">
        <f>IF(ISNUMBER(VLOOKUP($B:$B,BS!$A:$D,$2:$2,0)),VLOOKUP($B:$B,BS!$A:$D,$2:$2,0),0)</f>
        <v>0</v>
      </c>
      <c r="H134" s="207">
        <f>IF(ISNUMBER(VLOOKUP($B:$B,'BS(과거)'!$A:$F,$2:$2,0)),VLOOKUP($B:$B,'BS(과거)'!$A:$F,$2:$2,0),0)</f>
        <v>0</v>
      </c>
      <c r="I134" s="207">
        <f>IF(ISNUMBER(VLOOKUP($B:$B,'BS(과거)'!$A:$F,$2:$2,0)),VLOOKUP($B:$B,'BS(과거)'!$A:$F,$2:$2,0),0)</f>
        <v>0</v>
      </c>
      <c r="J134" s="207">
        <f>IF(ISNUMBER(VLOOKUP($B:$B,'BS(과거)'!$A:$F,$2:$2,0)),VLOOKUP($B:$B,'BS(과거)'!$A:$F,$2:$2,0),0)</f>
        <v>0</v>
      </c>
      <c r="K134" s="207">
        <f>IF(ISNUMBER(VLOOKUP($B:$B,'BS(과거)'!$A:$F,$2:$2,0)),VLOOKUP($B:$B,'BS(과거)'!$A:$F,$2:$2,0),0)</f>
        <v>0</v>
      </c>
      <c r="L134" s="207">
        <f>IF(ISNUMBER(VLOOKUP($B:$B,'BS(과거)'!$A:$F,$2:$2,0)),VLOOKUP($B:$B,'BS(과거)'!$A:$F,$2:$2,0),0)</f>
        <v>0</v>
      </c>
      <c r="N134" s="207">
        <f>IF(ISNUMBER(VLOOKUP($B:$B,'BS(분기)'!$A:$F,$2:$2,0)),VLOOKUP($B:$B,'BS(분기)'!$A:$F,$2:$2,0),0)</f>
        <v>0</v>
      </c>
      <c r="O134" s="207">
        <f>IF(ISNUMBER(VLOOKUP($B:$B,'BS(분기)'!$A:$F,$2:$2,0)),VLOOKUP($B:$B,'BS(분기)'!$A:$F,$2:$2,0),0)</f>
        <v>0</v>
      </c>
      <c r="P134" s="207">
        <f>IF(ISNUMBER(VLOOKUP($B:$B,'BS(분기)'!$A:$F,$2:$2,0)),VLOOKUP($B:$B,'BS(분기)'!$A:$F,$2:$2,0),0)</f>
        <v>0</v>
      </c>
      <c r="Q134" s="207">
        <f>IF(ISNUMBER(VLOOKUP($B:$B,'BS(분기)'!$A:$F,$2:$2,0)),VLOOKUP($B:$B,'BS(분기)'!$A:$F,$2:$2,0),0)</f>
        <v>0</v>
      </c>
      <c r="R134" s="207">
        <f>IF(ISNUMBER(VLOOKUP($B:$B,'BS(분기)'!$A:$F,$2:$2,0)),VLOOKUP($B:$B,'BS(분기)'!$A:$F,$2:$2,0),0)</f>
        <v>0</v>
      </c>
    </row>
    <row r="135" spans="1:18" s="192" customFormat="1" ht="12">
      <c r="A135" s="201">
        <v>111399</v>
      </c>
      <c r="B135" s="194" t="s">
        <v>965</v>
      </c>
      <c r="C135" s="217">
        <f>IF(ISNUMBER(VLOOKUP($B:$B,BS!$A:$D,$2:$2,0)),VLOOKUP($B:$B,BS!$A:$D,$2:$2,0),0)</f>
        <v>0</v>
      </c>
      <c r="D135" s="217">
        <f>IF(ISNUMBER(VLOOKUP($B:$B,BS!$A:$D,$2:$2,0)),VLOOKUP($B:$B,BS!$A:$D,$2:$2,0),0)</f>
        <v>0</v>
      </c>
      <c r="E135" s="217">
        <f>IF(ISNUMBER(VLOOKUP($B:$B,BS!$A:$D,$2:$2,0)),VLOOKUP($B:$B,BS!$A:$D,$2:$2,0),0)</f>
        <v>0</v>
      </c>
      <c r="F135" s="217">
        <f>IF(ISNUMBER(VLOOKUP($B:$B,BS!$A:$D,$2:$2,0)),VLOOKUP($B:$B,BS!$A:$D,$2:$2,0),0)</f>
        <v>0</v>
      </c>
      <c r="G135" s="217">
        <f>IF(ISNUMBER(VLOOKUP($B:$B,BS!$A:$D,$2:$2,0)),VLOOKUP($B:$B,BS!$A:$D,$2:$2,0),0)</f>
        <v>0</v>
      </c>
      <c r="H135" s="207">
        <f>IF(ISNUMBER(VLOOKUP($B:$B,'BS(과거)'!$A:$F,$2:$2,0)),VLOOKUP($B:$B,'BS(과거)'!$A:$F,$2:$2,0),0)</f>
        <v>0</v>
      </c>
      <c r="I135" s="207">
        <f>IF(ISNUMBER(VLOOKUP($B:$B,'BS(과거)'!$A:$F,$2:$2,0)),VLOOKUP($B:$B,'BS(과거)'!$A:$F,$2:$2,0),0)</f>
        <v>0</v>
      </c>
      <c r="J135" s="207">
        <f>IF(ISNUMBER(VLOOKUP($B:$B,'BS(과거)'!$A:$F,$2:$2,0)),VLOOKUP($B:$B,'BS(과거)'!$A:$F,$2:$2,0),0)</f>
        <v>0</v>
      </c>
      <c r="K135" s="207">
        <f>IF(ISNUMBER(VLOOKUP($B:$B,'BS(과거)'!$A:$F,$2:$2,0)),VLOOKUP($B:$B,'BS(과거)'!$A:$F,$2:$2,0),0)</f>
        <v>0</v>
      </c>
      <c r="L135" s="207">
        <f>IF(ISNUMBER(VLOOKUP($B:$B,'BS(과거)'!$A:$F,$2:$2,0)),VLOOKUP($B:$B,'BS(과거)'!$A:$F,$2:$2,0),0)</f>
        <v>0</v>
      </c>
      <c r="N135" s="207">
        <f>IF(ISNUMBER(VLOOKUP($B:$B,'BS(분기)'!$A:$F,$2:$2,0)),VLOOKUP($B:$B,'BS(분기)'!$A:$F,$2:$2,0),0)</f>
        <v>0</v>
      </c>
      <c r="O135" s="207">
        <f>IF(ISNUMBER(VLOOKUP($B:$B,'BS(분기)'!$A:$F,$2:$2,0)),VLOOKUP($B:$B,'BS(분기)'!$A:$F,$2:$2,0),0)</f>
        <v>0</v>
      </c>
      <c r="P135" s="207">
        <f>IF(ISNUMBER(VLOOKUP($B:$B,'BS(분기)'!$A:$F,$2:$2,0)),VLOOKUP($B:$B,'BS(분기)'!$A:$F,$2:$2,0),0)</f>
        <v>0</v>
      </c>
      <c r="Q135" s="207">
        <f>IF(ISNUMBER(VLOOKUP($B:$B,'BS(분기)'!$A:$F,$2:$2,0)),VLOOKUP($B:$B,'BS(분기)'!$A:$F,$2:$2,0),0)</f>
        <v>0</v>
      </c>
      <c r="R135" s="207">
        <f>IF(ISNUMBER(VLOOKUP($B:$B,'BS(분기)'!$A:$F,$2:$2,0)),VLOOKUP($B:$B,'BS(분기)'!$A:$F,$2:$2,0),0)</f>
        <v>0</v>
      </c>
    </row>
    <row r="136" spans="1:18" s="192" customFormat="1" ht="12">
      <c r="A136" s="202">
        <v>111310</v>
      </c>
      <c r="B136" s="195" t="s">
        <v>966</v>
      </c>
      <c r="C136" s="217">
        <f>IF(ISNUMBER(VLOOKUP($B:$B,BS!$A:$D,$2:$2,0)),VLOOKUP($B:$B,BS!$A:$D,$2:$2,0),0)</f>
        <v>0</v>
      </c>
      <c r="D136" s="217">
        <f>IF(ISNUMBER(VLOOKUP($B:$B,BS!$A:$D,$2:$2,0)),VLOOKUP($B:$B,BS!$A:$D,$2:$2,0),0)</f>
        <v>0</v>
      </c>
      <c r="E136" s="217">
        <f>IF(ISNUMBER(VLOOKUP($B:$B,BS!$A:$D,$2:$2,0)),VLOOKUP($B:$B,BS!$A:$D,$2:$2,0),0)</f>
        <v>0</v>
      </c>
      <c r="F136" s="217">
        <f>IF(ISNUMBER(VLOOKUP($B:$B,BS!$A:$D,$2:$2,0)),VLOOKUP($B:$B,BS!$A:$D,$2:$2,0),0)</f>
        <v>0</v>
      </c>
      <c r="G136" s="217">
        <f>IF(ISNUMBER(VLOOKUP($B:$B,BS!$A:$D,$2:$2,0)),VLOOKUP($B:$B,BS!$A:$D,$2:$2,0),0)</f>
        <v>0</v>
      </c>
      <c r="H136" s="207">
        <f>IF(ISNUMBER(VLOOKUP($B:$B,'BS(과거)'!$A:$F,$2:$2,0)),VLOOKUP($B:$B,'BS(과거)'!$A:$F,$2:$2,0),0)</f>
        <v>0</v>
      </c>
      <c r="I136" s="207">
        <f>IF(ISNUMBER(VLOOKUP($B:$B,'BS(과거)'!$A:$F,$2:$2,0)),VLOOKUP($B:$B,'BS(과거)'!$A:$F,$2:$2,0),0)</f>
        <v>0</v>
      </c>
      <c r="J136" s="207">
        <f>IF(ISNUMBER(VLOOKUP($B:$B,'BS(과거)'!$A:$F,$2:$2,0)),VLOOKUP($B:$B,'BS(과거)'!$A:$F,$2:$2,0),0)</f>
        <v>0</v>
      </c>
      <c r="K136" s="207">
        <f>IF(ISNUMBER(VLOOKUP($B:$B,'BS(과거)'!$A:$F,$2:$2,0)),VLOOKUP($B:$B,'BS(과거)'!$A:$F,$2:$2,0),0)</f>
        <v>0</v>
      </c>
      <c r="L136" s="207">
        <f>IF(ISNUMBER(VLOOKUP($B:$B,'BS(과거)'!$A:$F,$2:$2,0)),VLOOKUP($B:$B,'BS(과거)'!$A:$F,$2:$2,0),0)</f>
        <v>0</v>
      </c>
      <c r="N136" s="207">
        <f>IF(ISNUMBER(VLOOKUP($B:$B,'BS(분기)'!$A:$F,$2:$2,0)),VLOOKUP($B:$B,'BS(분기)'!$A:$F,$2:$2,0),0)</f>
        <v>0</v>
      </c>
      <c r="O136" s="207">
        <f>IF(ISNUMBER(VLOOKUP($B:$B,'BS(분기)'!$A:$F,$2:$2,0)),VLOOKUP($B:$B,'BS(분기)'!$A:$F,$2:$2,0),0)</f>
        <v>0</v>
      </c>
      <c r="P136" s="207">
        <f>IF(ISNUMBER(VLOOKUP($B:$B,'BS(분기)'!$A:$F,$2:$2,0)),VLOOKUP($B:$B,'BS(분기)'!$A:$F,$2:$2,0),0)</f>
        <v>0</v>
      </c>
      <c r="Q136" s="207">
        <f>IF(ISNUMBER(VLOOKUP($B:$B,'BS(분기)'!$A:$F,$2:$2,0)),VLOOKUP($B:$B,'BS(분기)'!$A:$F,$2:$2,0),0)</f>
        <v>0</v>
      </c>
      <c r="R136" s="207">
        <f>IF(ISNUMBER(VLOOKUP($B:$B,'BS(분기)'!$A:$F,$2:$2,0)),VLOOKUP($B:$B,'BS(분기)'!$A:$F,$2:$2,0),0)</f>
        <v>0</v>
      </c>
    </row>
    <row r="137" spans="1:18" s="192" customFormat="1" ht="12">
      <c r="A137" s="203">
        <v>111311</v>
      </c>
      <c r="B137" s="196" t="s">
        <v>967</v>
      </c>
      <c r="C137" s="217">
        <f>IF(ISNUMBER(VLOOKUP($B:$B,BS!$A:$D,$2:$2,0)),VLOOKUP($B:$B,BS!$A:$D,$2:$2,0),0)</f>
        <v>0</v>
      </c>
      <c r="D137" s="217">
        <f>IF(ISNUMBER(VLOOKUP($B:$B,BS!$A:$D,$2:$2,0)),VLOOKUP($B:$B,BS!$A:$D,$2:$2,0),0)</f>
        <v>0</v>
      </c>
      <c r="E137" s="217">
        <f>IF(ISNUMBER(VLOOKUP($B:$B,BS!$A:$D,$2:$2,0)),VLOOKUP($B:$B,BS!$A:$D,$2:$2,0),0)</f>
        <v>0</v>
      </c>
      <c r="F137" s="217">
        <f>IF(ISNUMBER(VLOOKUP($B:$B,BS!$A:$D,$2:$2,0)),VLOOKUP($B:$B,BS!$A:$D,$2:$2,0),0)</f>
        <v>0</v>
      </c>
      <c r="G137" s="217">
        <f>IF(ISNUMBER(VLOOKUP($B:$B,BS!$A:$D,$2:$2,0)),VLOOKUP($B:$B,BS!$A:$D,$2:$2,0),0)</f>
        <v>0</v>
      </c>
      <c r="H137" s="207">
        <f>IF(ISNUMBER(VLOOKUP($B:$B,'BS(과거)'!$A:$F,$2:$2,0)),VLOOKUP($B:$B,'BS(과거)'!$A:$F,$2:$2,0),0)</f>
        <v>0</v>
      </c>
      <c r="I137" s="207">
        <f>IF(ISNUMBER(VLOOKUP($B:$B,'BS(과거)'!$A:$F,$2:$2,0)),VLOOKUP($B:$B,'BS(과거)'!$A:$F,$2:$2,0),0)</f>
        <v>0</v>
      </c>
      <c r="J137" s="207">
        <f>IF(ISNUMBER(VLOOKUP($B:$B,'BS(과거)'!$A:$F,$2:$2,0)),VLOOKUP($B:$B,'BS(과거)'!$A:$F,$2:$2,0),0)</f>
        <v>0</v>
      </c>
      <c r="K137" s="207">
        <f>IF(ISNUMBER(VLOOKUP($B:$B,'BS(과거)'!$A:$F,$2:$2,0)),VLOOKUP($B:$B,'BS(과거)'!$A:$F,$2:$2,0),0)</f>
        <v>0</v>
      </c>
      <c r="L137" s="207">
        <f>IF(ISNUMBER(VLOOKUP($B:$B,'BS(과거)'!$A:$F,$2:$2,0)),VLOOKUP($B:$B,'BS(과거)'!$A:$F,$2:$2,0),0)</f>
        <v>0</v>
      </c>
      <c r="N137" s="207">
        <f>IF(ISNUMBER(VLOOKUP($B:$B,'BS(분기)'!$A:$F,$2:$2,0)),VLOOKUP($B:$B,'BS(분기)'!$A:$F,$2:$2,0),0)</f>
        <v>0</v>
      </c>
      <c r="O137" s="207">
        <f>IF(ISNUMBER(VLOOKUP($B:$B,'BS(분기)'!$A:$F,$2:$2,0)),VLOOKUP($B:$B,'BS(분기)'!$A:$F,$2:$2,0),0)</f>
        <v>0</v>
      </c>
      <c r="P137" s="207">
        <f>IF(ISNUMBER(VLOOKUP($B:$B,'BS(분기)'!$A:$F,$2:$2,0)),VLOOKUP($B:$B,'BS(분기)'!$A:$F,$2:$2,0),0)</f>
        <v>0</v>
      </c>
      <c r="Q137" s="207">
        <f>IF(ISNUMBER(VLOOKUP($B:$B,'BS(분기)'!$A:$F,$2:$2,0)),VLOOKUP($B:$B,'BS(분기)'!$A:$F,$2:$2,0),0)</f>
        <v>0</v>
      </c>
      <c r="R137" s="207">
        <f>IF(ISNUMBER(VLOOKUP($B:$B,'BS(분기)'!$A:$F,$2:$2,0)),VLOOKUP($B:$B,'BS(분기)'!$A:$F,$2:$2,0),0)</f>
        <v>0</v>
      </c>
    </row>
    <row r="138" spans="1:18" s="192" customFormat="1" ht="12">
      <c r="A138" s="203">
        <v>111315</v>
      </c>
      <c r="B138" s="196" t="s">
        <v>968</v>
      </c>
      <c r="C138" s="217">
        <f>IF(ISNUMBER(VLOOKUP($B:$B,BS!$A:$D,$2:$2,0)),VLOOKUP($B:$B,BS!$A:$D,$2:$2,0),0)</f>
        <v>0</v>
      </c>
      <c r="D138" s="217">
        <f>IF(ISNUMBER(VLOOKUP($B:$B,BS!$A:$D,$2:$2,0)),VLOOKUP($B:$B,BS!$A:$D,$2:$2,0),0)</f>
        <v>0</v>
      </c>
      <c r="E138" s="217">
        <f>IF(ISNUMBER(VLOOKUP($B:$B,BS!$A:$D,$2:$2,0)),VLOOKUP($B:$B,BS!$A:$D,$2:$2,0),0)</f>
        <v>0</v>
      </c>
      <c r="F138" s="217">
        <f>IF(ISNUMBER(VLOOKUP($B:$B,BS!$A:$D,$2:$2,0)),VLOOKUP($B:$B,BS!$A:$D,$2:$2,0),0)</f>
        <v>0</v>
      </c>
      <c r="G138" s="217">
        <f>IF(ISNUMBER(VLOOKUP($B:$B,BS!$A:$D,$2:$2,0)),VLOOKUP($B:$B,BS!$A:$D,$2:$2,0),0)</f>
        <v>0</v>
      </c>
      <c r="H138" s="207">
        <f>IF(ISNUMBER(VLOOKUP($B:$B,'BS(과거)'!$A:$F,$2:$2,0)),VLOOKUP($B:$B,'BS(과거)'!$A:$F,$2:$2,0),0)</f>
        <v>0</v>
      </c>
      <c r="I138" s="207">
        <f>IF(ISNUMBER(VLOOKUP($B:$B,'BS(과거)'!$A:$F,$2:$2,0)),VLOOKUP($B:$B,'BS(과거)'!$A:$F,$2:$2,0),0)</f>
        <v>0</v>
      </c>
      <c r="J138" s="207">
        <f>IF(ISNUMBER(VLOOKUP($B:$B,'BS(과거)'!$A:$F,$2:$2,0)),VLOOKUP($B:$B,'BS(과거)'!$A:$F,$2:$2,0),0)</f>
        <v>0</v>
      </c>
      <c r="K138" s="207">
        <f>IF(ISNUMBER(VLOOKUP($B:$B,'BS(과거)'!$A:$F,$2:$2,0)),VLOOKUP($B:$B,'BS(과거)'!$A:$F,$2:$2,0),0)</f>
        <v>0</v>
      </c>
      <c r="L138" s="207">
        <f>IF(ISNUMBER(VLOOKUP($B:$B,'BS(과거)'!$A:$F,$2:$2,0)),VLOOKUP($B:$B,'BS(과거)'!$A:$F,$2:$2,0),0)</f>
        <v>0</v>
      </c>
      <c r="N138" s="207">
        <f>IF(ISNUMBER(VLOOKUP($B:$B,'BS(분기)'!$A:$F,$2:$2,0)),VLOOKUP($B:$B,'BS(분기)'!$A:$F,$2:$2,0),0)</f>
        <v>0</v>
      </c>
      <c r="O138" s="207">
        <f>IF(ISNUMBER(VLOOKUP($B:$B,'BS(분기)'!$A:$F,$2:$2,0)),VLOOKUP($B:$B,'BS(분기)'!$A:$F,$2:$2,0),0)</f>
        <v>0</v>
      </c>
      <c r="P138" s="207">
        <f>IF(ISNUMBER(VLOOKUP($B:$B,'BS(분기)'!$A:$F,$2:$2,0)),VLOOKUP($B:$B,'BS(분기)'!$A:$F,$2:$2,0),0)</f>
        <v>0</v>
      </c>
      <c r="Q138" s="207">
        <f>IF(ISNUMBER(VLOOKUP($B:$B,'BS(분기)'!$A:$F,$2:$2,0)),VLOOKUP($B:$B,'BS(분기)'!$A:$F,$2:$2,0),0)</f>
        <v>0</v>
      </c>
      <c r="R138" s="207">
        <f>IF(ISNUMBER(VLOOKUP($B:$B,'BS(분기)'!$A:$F,$2:$2,0)),VLOOKUP($B:$B,'BS(분기)'!$A:$F,$2:$2,0),0)</f>
        <v>0</v>
      </c>
    </row>
    <row r="139" spans="1:18" s="192" customFormat="1" ht="12">
      <c r="A139" s="203">
        <v>111319</v>
      </c>
      <c r="B139" s="196" t="s">
        <v>969</v>
      </c>
      <c r="C139" s="217">
        <f>IF(ISNUMBER(VLOOKUP($B:$B,BS!$A:$D,$2:$2,0)),VLOOKUP($B:$B,BS!$A:$D,$2:$2,0),0)</f>
        <v>0</v>
      </c>
      <c r="D139" s="217">
        <f>IF(ISNUMBER(VLOOKUP($B:$B,BS!$A:$D,$2:$2,0)),VLOOKUP($B:$B,BS!$A:$D,$2:$2,0),0)</f>
        <v>0</v>
      </c>
      <c r="E139" s="217">
        <f>IF(ISNUMBER(VLOOKUP($B:$B,BS!$A:$D,$2:$2,0)),VLOOKUP($B:$B,BS!$A:$D,$2:$2,0),0)</f>
        <v>0</v>
      </c>
      <c r="F139" s="217">
        <f>IF(ISNUMBER(VLOOKUP($B:$B,BS!$A:$D,$2:$2,0)),VLOOKUP($B:$B,BS!$A:$D,$2:$2,0),0)</f>
        <v>0</v>
      </c>
      <c r="G139" s="217">
        <f>IF(ISNUMBER(VLOOKUP($B:$B,BS!$A:$D,$2:$2,0)),VLOOKUP($B:$B,BS!$A:$D,$2:$2,0),0)</f>
        <v>0</v>
      </c>
      <c r="H139" s="207">
        <f>IF(ISNUMBER(VLOOKUP($B:$B,'BS(과거)'!$A:$F,$2:$2,0)),VLOOKUP($B:$B,'BS(과거)'!$A:$F,$2:$2,0),0)</f>
        <v>0</v>
      </c>
      <c r="I139" s="207">
        <f>IF(ISNUMBER(VLOOKUP($B:$B,'BS(과거)'!$A:$F,$2:$2,0)),VLOOKUP($B:$B,'BS(과거)'!$A:$F,$2:$2,0),0)</f>
        <v>0</v>
      </c>
      <c r="J139" s="207">
        <f>IF(ISNUMBER(VLOOKUP($B:$B,'BS(과거)'!$A:$F,$2:$2,0)),VLOOKUP($B:$B,'BS(과거)'!$A:$F,$2:$2,0),0)</f>
        <v>0</v>
      </c>
      <c r="K139" s="207">
        <f>IF(ISNUMBER(VLOOKUP($B:$B,'BS(과거)'!$A:$F,$2:$2,0)),VLOOKUP($B:$B,'BS(과거)'!$A:$F,$2:$2,0),0)</f>
        <v>0</v>
      </c>
      <c r="L139" s="207">
        <f>IF(ISNUMBER(VLOOKUP($B:$B,'BS(과거)'!$A:$F,$2:$2,0)),VLOOKUP($B:$B,'BS(과거)'!$A:$F,$2:$2,0),0)</f>
        <v>0</v>
      </c>
      <c r="N139" s="207">
        <f>IF(ISNUMBER(VLOOKUP($B:$B,'BS(분기)'!$A:$F,$2:$2,0)),VLOOKUP($B:$B,'BS(분기)'!$A:$F,$2:$2,0),0)</f>
        <v>0</v>
      </c>
      <c r="O139" s="207">
        <f>IF(ISNUMBER(VLOOKUP($B:$B,'BS(분기)'!$A:$F,$2:$2,0)),VLOOKUP($B:$B,'BS(분기)'!$A:$F,$2:$2,0),0)</f>
        <v>0</v>
      </c>
      <c r="P139" s="207">
        <f>IF(ISNUMBER(VLOOKUP($B:$B,'BS(분기)'!$A:$F,$2:$2,0)),VLOOKUP($B:$B,'BS(분기)'!$A:$F,$2:$2,0),0)</f>
        <v>0</v>
      </c>
      <c r="Q139" s="207">
        <f>IF(ISNUMBER(VLOOKUP($B:$B,'BS(분기)'!$A:$F,$2:$2,0)),VLOOKUP($B:$B,'BS(분기)'!$A:$F,$2:$2,0),0)</f>
        <v>0</v>
      </c>
      <c r="R139" s="207">
        <f>IF(ISNUMBER(VLOOKUP($B:$B,'BS(분기)'!$A:$F,$2:$2,0)),VLOOKUP($B:$B,'BS(분기)'!$A:$F,$2:$2,0),0)</f>
        <v>0</v>
      </c>
    </row>
    <row r="140" spans="1:18" s="192" customFormat="1" ht="12">
      <c r="A140" s="202">
        <v>111320</v>
      </c>
      <c r="B140" s="195" t="s">
        <v>797</v>
      </c>
      <c r="C140" s="217">
        <f>IF(ISNUMBER(VLOOKUP($B:$B,BS!$A:$D,$2:$2,0)),VLOOKUP($B:$B,BS!$A:$D,$2:$2,0),0)</f>
        <v>0</v>
      </c>
      <c r="D140" s="217">
        <f>IF(ISNUMBER(VLOOKUP($B:$B,BS!$A:$D,$2:$2,0)),VLOOKUP($B:$B,BS!$A:$D,$2:$2,0),0)</f>
        <v>0</v>
      </c>
      <c r="E140" s="217">
        <f>IF(ISNUMBER(VLOOKUP($B:$B,BS!$A:$D,$2:$2,0)),VLOOKUP($B:$B,BS!$A:$D,$2:$2,0),0)</f>
        <v>0</v>
      </c>
      <c r="F140" s="217">
        <f>IF(ISNUMBER(VLOOKUP($B:$B,BS!$A:$D,$2:$2,0)),VLOOKUP($B:$B,BS!$A:$D,$2:$2,0),0)</f>
        <v>0</v>
      </c>
      <c r="G140" s="217">
        <f>IF(ISNUMBER(VLOOKUP($B:$B,BS!$A:$D,$2:$2,0)),VLOOKUP($B:$B,BS!$A:$D,$2:$2,0),0)</f>
        <v>0</v>
      </c>
      <c r="H140" s="207">
        <f>IF(ISNUMBER(VLOOKUP($B:$B,'BS(과거)'!$A:$F,$2:$2,0)),VLOOKUP($B:$B,'BS(과거)'!$A:$F,$2:$2,0),0)</f>
        <v>0</v>
      </c>
      <c r="I140" s="207">
        <f>IF(ISNUMBER(VLOOKUP($B:$B,'BS(과거)'!$A:$F,$2:$2,0)),VLOOKUP($B:$B,'BS(과거)'!$A:$F,$2:$2,0),0)</f>
        <v>0</v>
      </c>
      <c r="J140" s="207">
        <f>IF(ISNUMBER(VLOOKUP($B:$B,'BS(과거)'!$A:$F,$2:$2,0)),VLOOKUP($B:$B,'BS(과거)'!$A:$F,$2:$2,0),0)</f>
        <v>0</v>
      </c>
      <c r="K140" s="207">
        <f>IF(ISNUMBER(VLOOKUP($B:$B,'BS(과거)'!$A:$F,$2:$2,0)),VLOOKUP($B:$B,'BS(과거)'!$A:$F,$2:$2,0),0)</f>
        <v>0</v>
      </c>
      <c r="L140" s="207">
        <f>IF(ISNUMBER(VLOOKUP($B:$B,'BS(과거)'!$A:$F,$2:$2,0)),VLOOKUP($B:$B,'BS(과거)'!$A:$F,$2:$2,0),0)</f>
        <v>0</v>
      </c>
      <c r="N140" s="207">
        <f>IF(ISNUMBER(VLOOKUP($B:$B,'BS(분기)'!$A:$F,$2:$2,0)),VLOOKUP($B:$B,'BS(분기)'!$A:$F,$2:$2,0),0)</f>
        <v>0</v>
      </c>
      <c r="O140" s="207">
        <f>IF(ISNUMBER(VLOOKUP($B:$B,'BS(분기)'!$A:$F,$2:$2,0)),VLOOKUP($B:$B,'BS(분기)'!$A:$F,$2:$2,0),0)</f>
        <v>0</v>
      </c>
      <c r="P140" s="207">
        <f>IF(ISNUMBER(VLOOKUP($B:$B,'BS(분기)'!$A:$F,$2:$2,0)),VLOOKUP($B:$B,'BS(분기)'!$A:$F,$2:$2,0),0)</f>
        <v>0</v>
      </c>
      <c r="Q140" s="207">
        <f>IF(ISNUMBER(VLOOKUP($B:$B,'BS(분기)'!$A:$F,$2:$2,0)),VLOOKUP($B:$B,'BS(분기)'!$A:$F,$2:$2,0),0)</f>
        <v>0</v>
      </c>
      <c r="R140" s="207">
        <f>IF(ISNUMBER(VLOOKUP($B:$B,'BS(분기)'!$A:$F,$2:$2,0)),VLOOKUP($B:$B,'BS(분기)'!$A:$F,$2:$2,0),0)</f>
        <v>0</v>
      </c>
    </row>
    <row r="141" spans="1:18" s="192" customFormat="1" ht="12">
      <c r="A141" s="203">
        <v>111321</v>
      </c>
      <c r="B141" s="196" t="s">
        <v>970</v>
      </c>
      <c r="C141" s="217">
        <f>IF(ISNUMBER(VLOOKUP($B:$B,BS!$A:$D,$2:$2,0)),VLOOKUP($B:$B,BS!$A:$D,$2:$2,0),0)</f>
        <v>0</v>
      </c>
      <c r="D141" s="217">
        <f>IF(ISNUMBER(VLOOKUP($B:$B,BS!$A:$D,$2:$2,0)),VLOOKUP($B:$B,BS!$A:$D,$2:$2,0),0)</f>
        <v>0</v>
      </c>
      <c r="E141" s="217">
        <f>IF(ISNUMBER(VLOOKUP($B:$B,BS!$A:$D,$2:$2,0)),VLOOKUP($B:$B,BS!$A:$D,$2:$2,0),0)</f>
        <v>0</v>
      </c>
      <c r="F141" s="217">
        <f>IF(ISNUMBER(VLOOKUP($B:$B,BS!$A:$D,$2:$2,0)),VLOOKUP($B:$B,BS!$A:$D,$2:$2,0),0)</f>
        <v>0</v>
      </c>
      <c r="G141" s="217">
        <f>IF(ISNUMBER(VLOOKUP($B:$B,BS!$A:$D,$2:$2,0)),VLOOKUP($B:$B,BS!$A:$D,$2:$2,0),0)</f>
        <v>0</v>
      </c>
      <c r="H141" s="207">
        <f>IF(ISNUMBER(VLOOKUP($B:$B,'BS(과거)'!$A:$F,$2:$2,0)),VLOOKUP($B:$B,'BS(과거)'!$A:$F,$2:$2,0),0)</f>
        <v>0</v>
      </c>
      <c r="I141" s="207">
        <f>IF(ISNUMBER(VLOOKUP($B:$B,'BS(과거)'!$A:$F,$2:$2,0)),VLOOKUP($B:$B,'BS(과거)'!$A:$F,$2:$2,0),0)</f>
        <v>0</v>
      </c>
      <c r="J141" s="207">
        <f>IF(ISNUMBER(VLOOKUP($B:$B,'BS(과거)'!$A:$F,$2:$2,0)),VLOOKUP($B:$B,'BS(과거)'!$A:$F,$2:$2,0),0)</f>
        <v>0</v>
      </c>
      <c r="K141" s="207">
        <f>IF(ISNUMBER(VLOOKUP($B:$B,'BS(과거)'!$A:$F,$2:$2,0)),VLOOKUP($B:$B,'BS(과거)'!$A:$F,$2:$2,0),0)</f>
        <v>0</v>
      </c>
      <c r="L141" s="207">
        <f>IF(ISNUMBER(VLOOKUP($B:$B,'BS(과거)'!$A:$F,$2:$2,0)),VLOOKUP($B:$B,'BS(과거)'!$A:$F,$2:$2,0),0)</f>
        <v>0</v>
      </c>
      <c r="N141" s="207">
        <f>IF(ISNUMBER(VLOOKUP($B:$B,'BS(분기)'!$A:$F,$2:$2,0)),VLOOKUP($B:$B,'BS(분기)'!$A:$F,$2:$2,0),0)</f>
        <v>0</v>
      </c>
      <c r="O141" s="207">
        <f>IF(ISNUMBER(VLOOKUP($B:$B,'BS(분기)'!$A:$F,$2:$2,0)),VLOOKUP($B:$B,'BS(분기)'!$A:$F,$2:$2,0),0)</f>
        <v>0</v>
      </c>
      <c r="P141" s="207">
        <f>IF(ISNUMBER(VLOOKUP($B:$B,'BS(분기)'!$A:$F,$2:$2,0)),VLOOKUP($B:$B,'BS(분기)'!$A:$F,$2:$2,0),0)</f>
        <v>0</v>
      </c>
      <c r="Q141" s="207">
        <f>IF(ISNUMBER(VLOOKUP($B:$B,'BS(분기)'!$A:$F,$2:$2,0)),VLOOKUP($B:$B,'BS(분기)'!$A:$F,$2:$2,0),0)</f>
        <v>0</v>
      </c>
      <c r="R141" s="207">
        <f>IF(ISNUMBER(VLOOKUP($B:$B,'BS(분기)'!$A:$F,$2:$2,0)),VLOOKUP($B:$B,'BS(분기)'!$A:$F,$2:$2,0),0)</f>
        <v>0</v>
      </c>
    </row>
    <row r="142" spans="1:18" s="192" customFormat="1" ht="12">
      <c r="A142" s="203">
        <v>111322</v>
      </c>
      <c r="B142" s="196" t="s">
        <v>971</v>
      </c>
      <c r="C142" s="217">
        <f>IF(ISNUMBER(VLOOKUP($B:$B,BS!$A:$D,$2:$2,0)),VLOOKUP($B:$B,BS!$A:$D,$2:$2,0),0)</f>
        <v>0</v>
      </c>
      <c r="D142" s="217">
        <f>IF(ISNUMBER(VLOOKUP($B:$B,BS!$A:$D,$2:$2,0)),VLOOKUP($B:$B,BS!$A:$D,$2:$2,0),0)</f>
        <v>0</v>
      </c>
      <c r="E142" s="217">
        <f>IF(ISNUMBER(VLOOKUP($B:$B,BS!$A:$D,$2:$2,0)),VLOOKUP($B:$B,BS!$A:$D,$2:$2,0),0)</f>
        <v>0</v>
      </c>
      <c r="F142" s="217">
        <f>IF(ISNUMBER(VLOOKUP($B:$B,BS!$A:$D,$2:$2,0)),VLOOKUP($B:$B,BS!$A:$D,$2:$2,0),0)</f>
        <v>0</v>
      </c>
      <c r="G142" s="217">
        <f>IF(ISNUMBER(VLOOKUP($B:$B,BS!$A:$D,$2:$2,0)),VLOOKUP($B:$B,BS!$A:$D,$2:$2,0),0)</f>
        <v>0</v>
      </c>
      <c r="H142" s="207">
        <f>IF(ISNUMBER(VLOOKUP($B:$B,'BS(과거)'!$A:$F,$2:$2,0)),VLOOKUP($B:$B,'BS(과거)'!$A:$F,$2:$2,0),0)</f>
        <v>0</v>
      </c>
      <c r="I142" s="207">
        <f>IF(ISNUMBER(VLOOKUP($B:$B,'BS(과거)'!$A:$F,$2:$2,0)),VLOOKUP($B:$B,'BS(과거)'!$A:$F,$2:$2,0),0)</f>
        <v>0</v>
      </c>
      <c r="J142" s="207">
        <f>IF(ISNUMBER(VLOOKUP($B:$B,'BS(과거)'!$A:$F,$2:$2,0)),VLOOKUP($B:$B,'BS(과거)'!$A:$F,$2:$2,0),0)</f>
        <v>0</v>
      </c>
      <c r="K142" s="207">
        <f>IF(ISNUMBER(VLOOKUP($B:$B,'BS(과거)'!$A:$F,$2:$2,0)),VLOOKUP($B:$B,'BS(과거)'!$A:$F,$2:$2,0),0)</f>
        <v>0</v>
      </c>
      <c r="L142" s="207">
        <f>IF(ISNUMBER(VLOOKUP($B:$B,'BS(과거)'!$A:$F,$2:$2,0)),VLOOKUP($B:$B,'BS(과거)'!$A:$F,$2:$2,0),0)</f>
        <v>0</v>
      </c>
      <c r="N142" s="207">
        <f>IF(ISNUMBER(VLOOKUP($B:$B,'BS(분기)'!$A:$F,$2:$2,0)),VLOOKUP($B:$B,'BS(분기)'!$A:$F,$2:$2,0),0)</f>
        <v>0</v>
      </c>
      <c r="O142" s="207">
        <f>IF(ISNUMBER(VLOOKUP($B:$B,'BS(분기)'!$A:$F,$2:$2,0)),VLOOKUP($B:$B,'BS(분기)'!$A:$F,$2:$2,0),0)</f>
        <v>0</v>
      </c>
      <c r="P142" s="207">
        <f>IF(ISNUMBER(VLOOKUP($B:$B,'BS(분기)'!$A:$F,$2:$2,0)),VLOOKUP($B:$B,'BS(분기)'!$A:$F,$2:$2,0),0)</f>
        <v>0</v>
      </c>
      <c r="Q142" s="207">
        <f>IF(ISNUMBER(VLOOKUP($B:$B,'BS(분기)'!$A:$F,$2:$2,0)),VLOOKUP($B:$B,'BS(분기)'!$A:$F,$2:$2,0),0)</f>
        <v>0</v>
      </c>
      <c r="R142" s="207">
        <f>IF(ISNUMBER(VLOOKUP($B:$B,'BS(분기)'!$A:$F,$2:$2,0)),VLOOKUP($B:$B,'BS(분기)'!$A:$F,$2:$2,0),0)</f>
        <v>0</v>
      </c>
    </row>
    <row r="143" spans="1:18" s="192" customFormat="1" ht="12">
      <c r="A143" s="203">
        <v>111329</v>
      </c>
      <c r="B143" s="196" t="s">
        <v>798</v>
      </c>
      <c r="C143" s="217">
        <f>IF(ISNUMBER(VLOOKUP($B:$B,BS!$A:$D,$2:$2,0)),VLOOKUP($B:$B,BS!$A:$D,$2:$2,0),0)</f>
        <v>0</v>
      </c>
      <c r="D143" s="217">
        <f>IF(ISNUMBER(VLOOKUP($B:$B,BS!$A:$D,$2:$2,0)),VLOOKUP($B:$B,BS!$A:$D,$2:$2,0),0)</f>
        <v>0</v>
      </c>
      <c r="E143" s="217">
        <f>IF(ISNUMBER(VLOOKUP($B:$B,BS!$A:$D,$2:$2,0)),VLOOKUP($B:$B,BS!$A:$D,$2:$2,0),0)</f>
        <v>0</v>
      </c>
      <c r="F143" s="217">
        <f>IF(ISNUMBER(VLOOKUP($B:$B,BS!$A:$D,$2:$2,0)),VLOOKUP($B:$B,BS!$A:$D,$2:$2,0),0)</f>
        <v>0</v>
      </c>
      <c r="G143" s="217">
        <f>IF(ISNUMBER(VLOOKUP($B:$B,BS!$A:$D,$2:$2,0)),VLOOKUP($B:$B,BS!$A:$D,$2:$2,0),0)</f>
        <v>0</v>
      </c>
      <c r="H143" s="207">
        <f>IF(ISNUMBER(VLOOKUP($B:$B,'BS(과거)'!$A:$F,$2:$2,0)),VLOOKUP($B:$B,'BS(과거)'!$A:$F,$2:$2,0),0)</f>
        <v>0</v>
      </c>
      <c r="I143" s="207">
        <f>IF(ISNUMBER(VLOOKUP($B:$B,'BS(과거)'!$A:$F,$2:$2,0)),VLOOKUP($B:$B,'BS(과거)'!$A:$F,$2:$2,0),0)</f>
        <v>0</v>
      </c>
      <c r="J143" s="207">
        <f>IF(ISNUMBER(VLOOKUP($B:$B,'BS(과거)'!$A:$F,$2:$2,0)),VLOOKUP($B:$B,'BS(과거)'!$A:$F,$2:$2,0),0)</f>
        <v>0</v>
      </c>
      <c r="K143" s="207">
        <f>IF(ISNUMBER(VLOOKUP($B:$B,'BS(과거)'!$A:$F,$2:$2,0)),VLOOKUP($B:$B,'BS(과거)'!$A:$F,$2:$2,0),0)</f>
        <v>0</v>
      </c>
      <c r="L143" s="207">
        <f>IF(ISNUMBER(VLOOKUP($B:$B,'BS(과거)'!$A:$F,$2:$2,0)),VLOOKUP($B:$B,'BS(과거)'!$A:$F,$2:$2,0),0)</f>
        <v>0</v>
      </c>
      <c r="N143" s="207">
        <f>IF(ISNUMBER(VLOOKUP($B:$B,'BS(분기)'!$A:$F,$2:$2,0)),VLOOKUP($B:$B,'BS(분기)'!$A:$F,$2:$2,0),0)</f>
        <v>0</v>
      </c>
      <c r="O143" s="207">
        <f>IF(ISNUMBER(VLOOKUP($B:$B,'BS(분기)'!$A:$F,$2:$2,0)),VLOOKUP($B:$B,'BS(분기)'!$A:$F,$2:$2,0),0)</f>
        <v>0</v>
      </c>
      <c r="P143" s="207">
        <f>IF(ISNUMBER(VLOOKUP($B:$B,'BS(분기)'!$A:$F,$2:$2,0)),VLOOKUP($B:$B,'BS(분기)'!$A:$F,$2:$2,0),0)</f>
        <v>0</v>
      </c>
      <c r="Q143" s="207">
        <f>IF(ISNUMBER(VLOOKUP($B:$B,'BS(분기)'!$A:$F,$2:$2,0)),VLOOKUP($B:$B,'BS(분기)'!$A:$F,$2:$2,0),0)</f>
        <v>0</v>
      </c>
      <c r="R143" s="207">
        <f>IF(ISNUMBER(VLOOKUP($B:$B,'BS(분기)'!$A:$F,$2:$2,0)),VLOOKUP($B:$B,'BS(분기)'!$A:$F,$2:$2,0),0)</f>
        <v>0</v>
      </c>
    </row>
    <row r="144" spans="1:18" s="192" customFormat="1" ht="12">
      <c r="A144" s="202">
        <v>111330</v>
      </c>
      <c r="B144" s="195" t="s">
        <v>972</v>
      </c>
      <c r="C144" s="217">
        <f>IF(ISNUMBER(VLOOKUP($B:$B,BS!$A:$D,$2:$2,0)),VLOOKUP($B:$B,BS!$A:$D,$2:$2,0),0)</f>
        <v>0</v>
      </c>
      <c r="D144" s="217">
        <f>IF(ISNUMBER(VLOOKUP($B:$B,BS!$A:$D,$2:$2,0)),VLOOKUP($B:$B,BS!$A:$D,$2:$2,0),0)</f>
        <v>0</v>
      </c>
      <c r="E144" s="217">
        <f>IF(ISNUMBER(VLOOKUP($B:$B,BS!$A:$D,$2:$2,0)),VLOOKUP($B:$B,BS!$A:$D,$2:$2,0),0)</f>
        <v>0</v>
      </c>
      <c r="F144" s="217">
        <f>IF(ISNUMBER(VLOOKUP($B:$B,BS!$A:$D,$2:$2,0)),VLOOKUP($B:$B,BS!$A:$D,$2:$2,0),0)</f>
        <v>0</v>
      </c>
      <c r="G144" s="217">
        <f>IF(ISNUMBER(VLOOKUP($B:$B,BS!$A:$D,$2:$2,0)),VLOOKUP($B:$B,BS!$A:$D,$2:$2,0),0)</f>
        <v>0</v>
      </c>
      <c r="H144" s="207">
        <f>IF(ISNUMBER(VLOOKUP($B:$B,'BS(과거)'!$A:$F,$2:$2,0)),VLOOKUP($B:$B,'BS(과거)'!$A:$F,$2:$2,0),0)</f>
        <v>0</v>
      </c>
      <c r="I144" s="207">
        <f>IF(ISNUMBER(VLOOKUP($B:$B,'BS(과거)'!$A:$F,$2:$2,0)),VLOOKUP($B:$B,'BS(과거)'!$A:$F,$2:$2,0),0)</f>
        <v>0</v>
      </c>
      <c r="J144" s="207">
        <f>IF(ISNUMBER(VLOOKUP($B:$B,'BS(과거)'!$A:$F,$2:$2,0)),VLOOKUP($B:$B,'BS(과거)'!$A:$F,$2:$2,0),0)</f>
        <v>0</v>
      </c>
      <c r="K144" s="207">
        <f>IF(ISNUMBER(VLOOKUP($B:$B,'BS(과거)'!$A:$F,$2:$2,0)),VLOOKUP($B:$B,'BS(과거)'!$A:$F,$2:$2,0),0)</f>
        <v>0</v>
      </c>
      <c r="L144" s="207">
        <f>IF(ISNUMBER(VLOOKUP($B:$B,'BS(과거)'!$A:$F,$2:$2,0)),VLOOKUP($B:$B,'BS(과거)'!$A:$F,$2:$2,0),0)</f>
        <v>0</v>
      </c>
      <c r="N144" s="207">
        <f>IF(ISNUMBER(VLOOKUP($B:$B,'BS(분기)'!$A:$F,$2:$2,0)),VLOOKUP($B:$B,'BS(분기)'!$A:$F,$2:$2,0),0)</f>
        <v>0</v>
      </c>
      <c r="O144" s="207">
        <f>IF(ISNUMBER(VLOOKUP($B:$B,'BS(분기)'!$A:$F,$2:$2,0)),VLOOKUP($B:$B,'BS(분기)'!$A:$F,$2:$2,0),0)</f>
        <v>0</v>
      </c>
      <c r="P144" s="207">
        <f>IF(ISNUMBER(VLOOKUP($B:$B,'BS(분기)'!$A:$F,$2:$2,0)),VLOOKUP($B:$B,'BS(분기)'!$A:$F,$2:$2,0),0)</f>
        <v>0</v>
      </c>
      <c r="Q144" s="207">
        <f>IF(ISNUMBER(VLOOKUP($B:$B,'BS(분기)'!$A:$F,$2:$2,0)),VLOOKUP($B:$B,'BS(분기)'!$A:$F,$2:$2,0),0)</f>
        <v>0</v>
      </c>
      <c r="R144" s="207">
        <f>IF(ISNUMBER(VLOOKUP($B:$B,'BS(분기)'!$A:$F,$2:$2,0)),VLOOKUP($B:$B,'BS(분기)'!$A:$F,$2:$2,0),0)</f>
        <v>0</v>
      </c>
    </row>
    <row r="145" spans="1:18" s="192" customFormat="1" ht="12">
      <c r="A145" s="202">
        <v>111340</v>
      </c>
      <c r="B145" s="195" t="s">
        <v>799</v>
      </c>
      <c r="C145" s="217">
        <f>IF(ISNUMBER(VLOOKUP($B:$B,BS!$A:$D,$2:$2,0)),VLOOKUP($B:$B,BS!$A:$D,$2:$2,0),0)</f>
        <v>0</v>
      </c>
      <c r="D145" s="217">
        <f>IF(ISNUMBER(VLOOKUP($B:$B,BS!$A:$D,$2:$2,0)),VLOOKUP($B:$B,BS!$A:$D,$2:$2,0),0)</f>
        <v>0</v>
      </c>
      <c r="E145" s="217">
        <f>IF(ISNUMBER(VLOOKUP($B:$B,BS!$A:$D,$2:$2,0)),VLOOKUP($B:$B,BS!$A:$D,$2:$2,0),0)</f>
        <v>0</v>
      </c>
      <c r="F145" s="217">
        <f>IF(ISNUMBER(VLOOKUP($B:$B,BS!$A:$D,$2:$2,0)),VLOOKUP($B:$B,BS!$A:$D,$2:$2,0),0)</f>
        <v>0</v>
      </c>
      <c r="G145" s="217">
        <f>IF(ISNUMBER(VLOOKUP($B:$B,BS!$A:$D,$2:$2,0)),VLOOKUP($B:$B,BS!$A:$D,$2:$2,0),0)</f>
        <v>0</v>
      </c>
      <c r="H145" s="207">
        <f>IF(ISNUMBER(VLOOKUP($B:$B,'BS(과거)'!$A:$F,$2:$2,0)),VLOOKUP($B:$B,'BS(과거)'!$A:$F,$2:$2,0),0)</f>
        <v>0</v>
      </c>
      <c r="I145" s="207">
        <f>IF(ISNUMBER(VLOOKUP($B:$B,'BS(과거)'!$A:$F,$2:$2,0)),VLOOKUP($B:$B,'BS(과거)'!$A:$F,$2:$2,0),0)</f>
        <v>0</v>
      </c>
      <c r="J145" s="207">
        <f>IF(ISNUMBER(VLOOKUP($B:$B,'BS(과거)'!$A:$F,$2:$2,0)),VLOOKUP($B:$B,'BS(과거)'!$A:$F,$2:$2,0),0)</f>
        <v>0</v>
      </c>
      <c r="K145" s="207">
        <f>IF(ISNUMBER(VLOOKUP($B:$B,'BS(과거)'!$A:$F,$2:$2,0)),VLOOKUP($B:$B,'BS(과거)'!$A:$F,$2:$2,0),0)</f>
        <v>0</v>
      </c>
      <c r="L145" s="207">
        <f>IF(ISNUMBER(VLOOKUP($B:$B,'BS(과거)'!$A:$F,$2:$2,0)),VLOOKUP($B:$B,'BS(과거)'!$A:$F,$2:$2,0),0)</f>
        <v>0</v>
      </c>
      <c r="N145" s="207">
        <f>IF(ISNUMBER(VLOOKUP($B:$B,'BS(분기)'!$A:$F,$2:$2,0)),VLOOKUP($B:$B,'BS(분기)'!$A:$F,$2:$2,0),0)</f>
        <v>0</v>
      </c>
      <c r="O145" s="207">
        <f>IF(ISNUMBER(VLOOKUP($B:$B,'BS(분기)'!$A:$F,$2:$2,0)),VLOOKUP($B:$B,'BS(분기)'!$A:$F,$2:$2,0),0)</f>
        <v>0</v>
      </c>
      <c r="P145" s="207">
        <f>IF(ISNUMBER(VLOOKUP($B:$B,'BS(분기)'!$A:$F,$2:$2,0)),VLOOKUP($B:$B,'BS(분기)'!$A:$F,$2:$2,0),0)</f>
        <v>0</v>
      </c>
      <c r="Q145" s="207">
        <f>IF(ISNUMBER(VLOOKUP($B:$B,'BS(분기)'!$A:$F,$2:$2,0)),VLOOKUP($B:$B,'BS(분기)'!$A:$F,$2:$2,0),0)</f>
        <v>0</v>
      </c>
      <c r="R145" s="207">
        <f>IF(ISNUMBER(VLOOKUP($B:$B,'BS(분기)'!$A:$F,$2:$2,0)),VLOOKUP($B:$B,'BS(분기)'!$A:$F,$2:$2,0),0)</f>
        <v>0</v>
      </c>
    </row>
    <row r="146" spans="1:18" s="192" customFormat="1" ht="12">
      <c r="A146" s="203">
        <v>111341</v>
      </c>
      <c r="B146" s="196" t="s">
        <v>973</v>
      </c>
      <c r="C146" s="217">
        <f>IF(ISNUMBER(VLOOKUP($B:$B,BS!$A:$D,$2:$2,0)),VLOOKUP($B:$B,BS!$A:$D,$2:$2,0),0)</f>
        <v>0</v>
      </c>
      <c r="D146" s="217">
        <f>IF(ISNUMBER(VLOOKUP($B:$B,BS!$A:$D,$2:$2,0)),VLOOKUP($B:$B,BS!$A:$D,$2:$2,0),0)</f>
        <v>0</v>
      </c>
      <c r="E146" s="217">
        <f>IF(ISNUMBER(VLOOKUP($B:$B,BS!$A:$D,$2:$2,0)),VLOOKUP($B:$B,BS!$A:$D,$2:$2,0),0)</f>
        <v>0</v>
      </c>
      <c r="F146" s="217">
        <f>IF(ISNUMBER(VLOOKUP($B:$B,BS!$A:$D,$2:$2,0)),VLOOKUP($B:$B,BS!$A:$D,$2:$2,0),0)</f>
        <v>0</v>
      </c>
      <c r="G146" s="217">
        <f>IF(ISNUMBER(VLOOKUP($B:$B,BS!$A:$D,$2:$2,0)),VLOOKUP($B:$B,BS!$A:$D,$2:$2,0),0)</f>
        <v>0</v>
      </c>
      <c r="H146" s="207">
        <f>IF(ISNUMBER(VLOOKUP($B:$B,'BS(과거)'!$A:$F,$2:$2,0)),VLOOKUP($B:$B,'BS(과거)'!$A:$F,$2:$2,0),0)</f>
        <v>0</v>
      </c>
      <c r="I146" s="207">
        <f>IF(ISNUMBER(VLOOKUP($B:$B,'BS(과거)'!$A:$F,$2:$2,0)),VLOOKUP($B:$B,'BS(과거)'!$A:$F,$2:$2,0),0)</f>
        <v>0</v>
      </c>
      <c r="J146" s="207">
        <f>IF(ISNUMBER(VLOOKUP($B:$B,'BS(과거)'!$A:$F,$2:$2,0)),VLOOKUP($B:$B,'BS(과거)'!$A:$F,$2:$2,0),0)</f>
        <v>0</v>
      </c>
      <c r="K146" s="207">
        <f>IF(ISNUMBER(VLOOKUP($B:$B,'BS(과거)'!$A:$F,$2:$2,0)),VLOOKUP($B:$B,'BS(과거)'!$A:$F,$2:$2,0),0)</f>
        <v>0</v>
      </c>
      <c r="L146" s="207">
        <f>IF(ISNUMBER(VLOOKUP($B:$B,'BS(과거)'!$A:$F,$2:$2,0)),VLOOKUP($B:$B,'BS(과거)'!$A:$F,$2:$2,0),0)</f>
        <v>0</v>
      </c>
      <c r="N146" s="207">
        <f>IF(ISNUMBER(VLOOKUP($B:$B,'BS(분기)'!$A:$F,$2:$2,0)),VLOOKUP($B:$B,'BS(분기)'!$A:$F,$2:$2,0),0)</f>
        <v>0</v>
      </c>
      <c r="O146" s="207">
        <f>IF(ISNUMBER(VLOOKUP($B:$B,'BS(분기)'!$A:$F,$2:$2,0)),VLOOKUP($B:$B,'BS(분기)'!$A:$F,$2:$2,0),0)</f>
        <v>0</v>
      </c>
      <c r="P146" s="207">
        <f>IF(ISNUMBER(VLOOKUP($B:$B,'BS(분기)'!$A:$F,$2:$2,0)),VLOOKUP($B:$B,'BS(분기)'!$A:$F,$2:$2,0),0)</f>
        <v>0</v>
      </c>
      <c r="Q146" s="207">
        <f>IF(ISNUMBER(VLOOKUP($B:$B,'BS(분기)'!$A:$F,$2:$2,0)),VLOOKUP($B:$B,'BS(분기)'!$A:$F,$2:$2,0),0)</f>
        <v>0</v>
      </c>
      <c r="R146" s="207">
        <f>IF(ISNUMBER(VLOOKUP($B:$B,'BS(분기)'!$A:$F,$2:$2,0)),VLOOKUP($B:$B,'BS(분기)'!$A:$F,$2:$2,0),0)</f>
        <v>0</v>
      </c>
    </row>
    <row r="147" spans="1:18" s="192" customFormat="1" ht="12">
      <c r="A147" s="203">
        <v>111343</v>
      </c>
      <c r="B147" s="196" t="s">
        <v>974</v>
      </c>
      <c r="C147" s="217">
        <f>IF(ISNUMBER(VLOOKUP($B:$B,BS!$A:$D,$2:$2,0)),VLOOKUP($B:$B,BS!$A:$D,$2:$2,0),0)</f>
        <v>0</v>
      </c>
      <c r="D147" s="217">
        <f>IF(ISNUMBER(VLOOKUP($B:$B,BS!$A:$D,$2:$2,0)),VLOOKUP($B:$B,BS!$A:$D,$2:$2,0),0)</f>
        <v>0</v>
      </c>
      <c r="E147" s="217">
        <f>IF(ISNUMBER(VLOOKUP($B:$B,BS!$A:$D,$2:$2,0)),VLOOKUP($B:$B,BS!$A:$D,$2:$2,0),0)</f>
        <v>0</v>
      </c>
      <c r="F147" s="217">
        <f>IF(ISNUMBER(VLOOKUP($B:$B,BS!$A:$D,$2:$2,0)),VLOOKUP($B:$B,BS!$A:$D,$2:$2,0),0)</f>
        <v>0</v>
      </c>
      <c r="G147" s="217">
        <f>IF(ISNUMBER(VLOOKUP($B:$B,BS!$A:$D,$2:$2,0)),VLOOKUP($B:$B,BS!$A:$D,$2:$2,0),0)</f>
        <v>0</v>
      </c>
      <c r="H147" s="207">
        <f>IF(ISNUMBER(VLOOKUP($B:$B,'BS(과거)'!$A:$F,$2:$2,0)),VLOOKUP($B:$B,'BS(과거)'!$A:$F,$2:$2,0),0)</f>
        <v>0</v>
      </c>
      <c r="I147" s="207">
        <f>IF(ISNUMBER(VLOOKUP($B:$B,'BS(과거)'!$A:$F,$2:$2,0)),VLOOKUP($B:$B,'BS(과거)'!$A:$F,$2:$2,0),0)</f>
        <v>0</v>
      </c>
      <c r="J147" s="207">
        <f>IF(ISNUMBER(VLOOKUP($B:$B,'BS(과거)'!$A:$F,$2:$2,0)),VLOOKUP($B:$B,'BS(과거)'!$A:$F,$2:$2,0),0)</f>
        <v>0</v>
      </c>
      <c r="K147" s="207">
        <f>IF(ISNUMBER(VLOOKUP($B:$B,'BS(과거)'!$A:$F,$2:$2,0)),VLOOKUP($B:$B,'BS(과거)'!$A:$F,$2:$2,0),0)</f>
        <v>0</v>
      </c>
      <c r="L147" s="207">
        <f>IF(ISNUMBER(VLOOKUP($B:$B,'BS(과거)'!$A:$F,$2:$2,0)),VLOOKUP($B:$B,'BS(과거)'!$A:$F,$2:$2,0),0)</f>
        <v>0</v>
      </c>
      <c r="N147" s="207">
        <f>IF(ISNUMBER(VLOOKUP($B:$B,'BS(분기)'!$A:$F,$2:$2,0)),VLOOKUP($B:$B,'BS(분기)'!$A:$F,$2:$2,0),0)</f>
        <v>0</v>
      </c>
      <c r="O147" s="207">
        <f>IF(ISNUMBER(VLOOKUP($B:$B,'BS(분기)'!$A:$F,$2:$2,0)),VLOOKUP($B:$B,'BS(분기)'!$A:$F,$2:$2,0),0)</f>
        <v>0</v>
      </c>
      <c r="P147" s="207">
        <f>IF(ISNUMBER(VLOOKUP($B:$B,'BS(분기)'!$A:$F,$2:$2,0)),VLOOKUP($B:$B,'BS(분기)'!$A:$F,$2:$2,0),0)</f>
        <v>0</v>
      </c>
      <c r="Q147" s="207">
        <f>IF(ISNUMBER(VLOOKUP($B:$B,'BS(분기)'!$A:$F,$2:$2,0)),VLOOKUP($B:$B,'BS(분기)'!$A:$F,$2:$2,0),0)</f>
        <v>0</v>
      </c>
      <c r="R147" s="207">
        <f>IF(ISNUMBER(VLOOKUP($B:$B,'BS(분기)'!$A:$F,$2:$2,0)),VLOOKUP($B:$B,'BS(분기)'!$A:$F,$2:$2,0),0)</f>
        <v>0</v>
      </c>
    </row>
    <row r="148" spans="1:18" s="192" customFormat="1" ht="12">
      <c r="A148" s="203">
        <v>111349</v>
      </c>
      <c r="B148" s="196" t="s">
        <v>800</v>
      </c>
      <c r="C148" s="217">
        <f>IF(ISNUMBER(VLOOKUP($B:$B,BS!$A:$D,$2:$2,0)),VLOOKUP($B:$B,BS!$A:$D,$2:$2,0),0)</f>
        <v>0</v>
      </c>
      <c r="D148" s="217">
        <f>IF(ISNUMBER(VLOOKUP($B:$B,BS!$A:$D,$2:$2,0)),VLOOKUP($B:$B,BS!$A:$D,$2:$2,0),0)</f>
        <v>0</v>
      </c>
      <c r="E148" s="217">
        <f>IF(ISNUMBER(VLOOKUP($B:$B,BS!$A:$D,$2:$2,0)),VLOOKUP($B:$B,BS!$A:$D,$2:$2,0),0)</f>
        <v>0</v>
      </c>
      <c r="F148" s="217">
        <f>IF(ISNUMBER(VLOOKUP($B:$B,BS!$A:$D,$2:$2,0)),VLOOKUP($B:$B,BS!$A:$D,$2:$2,0),0)</f>
        <v>0</v>
      </c>
      <c r="G148" s="217">
        <f>IF(ISNUMBER(VLOOKUP($B:$B,BS!$A:$D,$2:$2,0)),VLOOKUP($B:$B,BS!$A:$D,$2:$2,0),0)</f>
        <v>0</v>
      </c>
      <c r="H148" s="207">
        <f>IF(ISNUMBER(VLOOKUP($B:$B,'BS(과거)'!$A:$F,$2:$2,0)),VLOOKUP($B:$B,'BS(과거)'!$A:$F,$2:$2,0),0)</f>
        <v>0</v>
      </c>
      <c r="I148" s="207">
        <f>IF(ISNUMBER(VLOOKUP($B:$B,'BS(과거)'!$A:$F,$2:$2,0)),VLOOKUP($B:$B,'BS(과거)'!$A:$F,$2:$2,0),0)</f>
        <v>0</v>
      </c>
      <c r="J148" s="207">
        <f>IF(ISNUMBER(VLOOKUP($B:$B,'BS(과거)'!$A:$F,$2:$2,0)),VLOOKUP($B:$B,'BS(과거)'!$A:$F,$2:$2,0),0)</f>
        <v>0</v>
      </c>
      <c r="K148" s="207">
        <f>IF(ISNUMBER(VLOOKUP($B:$B,'BS(과거)'!$A:$F,$2:$2,0)),VLOOKUP($B:$B,'BS(과거)'!$A:$F,$2:$2,0),0)</f>
        <v>0</v>
      </c>
      <c r="L148" s="207">
        <f>IF(ISNUMBER(VLOOKUP($B:$B,'BS(과거)'!$A:$F,$2:$2,0)),VLOOKUP($B:$B,'BS(과거)'!$A:$F,$2:$2,0),0)</f>
        <v>0</v>
      </c>
      <c r="N148" s="207">
        <f>IF(ISNUMBER(VLOOKUP($B:$B,'BS(분기)'!$A:$F,$2:$2,0)),VLOOKUP($B:$B,'BS(분기)'!$A:$F,$2:$2,0),0)</f>
        <v>0</v>
      </c>
      <c r="O148" s="207">
        <f>IF(ISNUMBER(VLOOKUP($B:$B,'BS(분기)'!$A:$F,$2:$2,0)),VLOOKUP($B:$B,'BS(분기)'!$A:$F,$2:$2,0),0)</f>
        <v>0</v>
      </c>
      <c r="P148" s="207">
        <f>IF(ISNUMBER(VLOOKUP($B:$B,'BS(분기)'!$A:$F,$2:$2,0)),VLOOKUP($B:$B,'BS(분기)'!$A:$F,$2:$2,0),0)</f>
        <v>0</v>
      </c>
      <c r="Q148" s="207">
        <f>IF(ISNUMBER(VLOOKUP($B:$B,'BS(분기)'!$A:$F,$2:$2,0)),VLOOKUP($B:$B,'BS(분기)'!$A:$F,$2:$2,0),0)</f>
        <v>0</v>
      </c>
      <c r="R148" s="207">
        <f>IF(ISNUMBER(VLOOKUP($B:$B,'BS(분기)'!$A:$F,$2:$2,0)),VLOOKUP($B:$B,'BS(분기)'!$A:$F,$2:$2,0),0)</f>
        <v>0</v>
      </c>
    </row>
    <row r="149" spans="1:18" s="192" customFormat="1" ht="12">
      <c r="A149" s="202">
        <v>111350</v>
      </c>
      <c r="B149" s="195" t="s">
        <v>801</v>
      </c>
      <c r="C149" s="217">
        <f>IF(ISNUMBER(VLOOKUP($B:$B,BS!$A:$D,$2:$2,0)),VLOOKUP($B:$B,BS!$A:$D,$2:$2,0),0)</f>
        <v>0</v>
      </c>
      <c r="D149" s="217">
        <f>IF(ISNUMBER(VLOOKUP($B:$B,BS!$A:$D,$2:$2,0)),VLOOKUP($B:$B,BS!$A:$D,$2:$2,0),0)</f>
        <v>0</v>
      </c>
      <c r="E149" s="217">
        <f>IF(ISNUMBER(VLOOKUP($B:$B,BS!$A:$D,$2:$2,0)),VLOOKUP($B:$B,BS!$A:$D,$2:$2,0),0)</f>
        <v>0</v>
      </c>
      <c r="F149" s="217">
        <f>IF(ISNUMBER(VLOOKUP($B:$B,BS!$A:$D,$2:$2,0)),VLOOKUP($B:$B,BS!$A:$D,$2:$2,0),0)</f>
        <v>0</v>
      </c>
      <c r="G149" s="217">
        <f>IF(ISNUMBER(VLOOKUP($B:$B,BS!$A:$D,$2:$2,0)),VLOOKUP($B:$B,BS!$A:$D,$2:$2,0),0)</f>
        <v>0</v>
      </c>
      <c r="H149" s="207">
        <f>IF(ISNUMBER(VLOOKUP($B:$B,'BS(과거)'!$A:$F,$2:$2,0)),VLOOKUP($B:$B,'BS(과거)'!$A:$F,$2:$2,0),0)</f>
        <v>0</v>
      </c>
      <c r="I149" s="207">
        <f>IF(ISNUMBER(VLOOKUP($B:$B,'BS(과거)'!$A:$F,$2:$2,0)),VLOOKUP($B:$B,'BS(과거)'!$A:$F,$2:$2,0),0)</f>
        <v>0</v>
      </c>
      <c r="J149" s="207">
        <f>IF(ISNUMBER(VLOOKUP($B:$B,'BS(과거)'!$A:$F,$2:$2,0)),VLOOKUP($B:$B,'BS(과거)'!$A:$F,$2:$2,0),0)</f>
        <v>0</v>
      </c>
      <c r="K149" s="207">
        <f>IF(ISNUMBER(VLOOKUP($B:$B,'BS(과거)'!$A:$F,$2:$2,0)),VLOOKUP($B:$B,'BS(과거)'!$A:$F,$2:$2,0),0)</f>
        <v>0</v>
      </c>
      <c r="L149" s="207">
        <f>IF(ISNUMBER(VLOOKUP($B:$B,'BS(과거)'!$A:$F,$2:$2,0)),VLOOKUP($B:$B,'BS(과거)'!$A:$F,$2:$2,0),0)</f>
        <v>0</v>
      </c>
      <c r="N149" s="207">
        <f>IF(ISNUMBER(VLOOKUP($B:$B,'BS(분기)'!$A:$F,$2:$2,0)),VLOOKUP($B:$B,'BS(분기)'!$A:$F,$2:$2,0),0)</f>
        <v>0</v>
      </c>
      <c r="O149" s="207">
        <f>IF(ISNUMBER(VLOOKUP($B:$B,'BS(분기)'!$A:$F,$2:$2,0)),VLOOKUP($B:$B,'BS(분기)'!$A:$F,$2:$2,0),0)</f>
        <v>0</v>
      </c>
      <c r="P149" s="207">
        <f>IF(ISNUMBER(VLOOKUP($B:$B,'BS(분기)'!$A:$F,$2:$2,0)),VLOOKUP($B:$B,'BS(분기)'!$A:$F,$2:$2,0),0)</f>
        <v>0</v>
      </c>
      <c r="Q149" s="207">
        <f>IF(ISNUMBER(VLOOKUP($B:$B,'BS(분기)'!$A:$F,$2:$2,0)),VLOOKUP($B:$B,'BS(분기)'!$A:$F,$2:$2,0),0)</f>
        <v>0</v>
      </c>
      <c r="R149" s="207">
        <f>IF(ISNUMBER(VLOOKUP($B:$B,'BS(분기)'!$A:$F,$2:$2,0)),VLOOKUP($B:$B,'BS(분기)'!$A:$F,$2:$2,0),0)</f>
        <v>0</v>
      </c>
    </row>
    <row r="150" spans="1:18" s="192" customFormat="1" ht="12">
      <c r="A150" s="203">
        <v>111352</v>
      </c>
      <c r="B150" s="196" t="s">
        <v>975</v>
      </c>
      <c r="C150" s="217">
        <f>IF(ISNUMBER(VLOOKUP($B:$B,BS!$A:$D,$2:$2,0)),VLOOKUP($B:$B,BS!$A:$D,$2:$2,0),0)</f>
        <v>0</v>
      </c>
      <c r="D150" s="217">
        <f>IF(ISNUMBER(VLOOKUP($B:$B,BS!$A:$D,$2:$2,0)),VLOOKUP($B:$B,BS!$A:$D,$2:$2,0),0)</f>
        <v>0</v>
      </c>
      <c r="E150" s="217">
        <f>IF(ISNUMBER(VLOOKUP($B:$B,BS!$A:$D,$2:$2,0)),VLOOKUP($B:$B,BS!$A:$D,$2:$2,0),0)</f>
        <v>0</v>
      </c>
      <c r="F150" s="217">
        <f>IF(ISNUMBER(VLOOKUP($B:$B,BS!$A:$D,$2:$2,0)),VLOOKUP($B:$B,BS!$A:$D,$2:$2,0),0)</f>
        <v>0</v>
      </c>
      <c r="G150" s="217">
        <f>IF(ISNUMBER(VLOOKUP($B:$B,BS!$A:$D,$2:$2,0)),VLOOKUP($B:$B,BS!$A:$D,$2:$2,0),0)</f>
        <v>0</v>
      </c>
      <c r="H150" s="207">
        <f>IF(ISNUMBER(VLOOKUP($B:$B,'BS(과거)'!$A:$F,$2:$2,0)),VLOOKUP($B:$B,'BS(과거)'!$A:$F,$2:$2,0),0)</f>
        <v>0</v>
      </c>
      <c r="I150" s="207">
        <f>IF(ISNUMBER(VLOOKUP($B:$B,'BS(과거)'!$A:$F,$2:$2,0)),VLOOKUP($B:$B,'BS(과거)'!$A:$F,$2:$2,0),0)</f>
        <v>0</v>
      </c>
      <c r="J150" s="207">
        <f>IF(ISNUMBER(VLOOKUP($B:$B,'BS(과거)'!$A:$F,$2:$2,0)),VLOOKUP($B:$B,'BS(과거)'!$A:$F,$2:$2,0),0)</f>
        <v>0</v>
      </c>
      <c r="K150" s="207">
        <f>IF(ISNUMBER(VLOOKUP($B:$B,'BS(과거)'!$A:$F,$2:$2,0)),VLOOKUP($B:$B,'BS(과거)'!$A:$F,$2:$2,0),0)</f>
        <v>0</v>
      </c>
      <c r="L150" s="207">
        <f>IF(ISNUMBER(VLOOKUP($B:$B,'BS(과거)'!$A:$F,$2:$2,0)),VLOOKUP($B:$B,'BS(과거)'!$A:$F,$2:$2,0),0)</f>
        <v>0</v>
      </c>
      <c r="N150" s="207">
        <f>IF(ISNUMBER(VLOOKUP($B:$B,'BS(분기)'!$A:$F,$2:$2,0)),VLOOKUP($B:$B,'BS(분기)'!$A:$F,$2:$2,0),0)</f>
        <v>0</v>
      </c>
      <c r="O150" s="207">
        <f>IF(ISNUMBER(VLOOKUP($B:$B,'BS(분기)'!$A:$F,$2:$2,0)),VLOOKUP($B:$B,'BS(분기)'!$A:$F,$2:$2,0),0)</f>
        <v>0</v>
      </c>
      <c r="P150" s="207">
        <f>IF(ISNUMBER(VLOOKUP($B:$B,'BS(분기)'!$A:$F,$2:$2,0)),VLOOKUP($B:$B,'BS(분기)'!$A:$F,$2:$2,0),0)</f>
        <v>0</v>
      </c>
      <c r="Q150" s="207">
        <f>IF(ISNUMBER(VLOOKUP($B:$B,'BS(분기)'!$A:$F,$2:$2,0)),VLOOKUP($B:$B,'BS(분기)'!$A:$F,$2:$2,0),0)</f>
        <v>0</v>
      </c>
      <c r="R150" s="207">
        <f>IF(ISNUMBER(VLOOKUP($B:$B,'BS(분기)'!$A:$F,$2:$2,0)),VLOOKUP($B:$B,'BS(분기)'!$A:$F,$2:$2,0),0)</f>
        <v>0</v>
      </c>
    </row>
    <row r="151" spans="1:18" s="192" customFormat="1" ht="12">
      <c r="A151" s="203">
        <v>111354</v>
      </c>
      <c r="B151" s="196" t="s">
        <v>976</v>
      </c>
      <c r="C151" s="217">
        <f>IF(ISNUMBER(VLOOKUP($B:$B,BS!$A:$D,$2:$2,0)),VLOOKUP($B:$B,BS!$A:$D,$2:$2,0),0)</f>
        <v>0</v>
      </c>
      <c r="D151" s="217">
        <f>IF(ISNUMBER(VLOOKUP($B:$B,BS!$A:$D,$2:$2,0)),VLOOKUP($B:$B,BS!$A:$D,$2:$2,0),0)</f>
        <v>0</v>
      </c>
      <c r="E151" s="217">
        <f>IF(ISNUMBER(VLOOKUP($B:$B,BS!$A:$D,$2:$2,0)),VLOOKUP($B:$B,BS!$A:$D,$2:$2,0),0)</f>
        <v>0</v>
      </c>
      <c r="F151" s="217">
        <f>IF(ISNUMBER(VLOOKUP($B:$B,BS!$A:$D,$2:$2,0)),VLOOKUP($B:$B,BS!$A:$D,$2:$2,0),0)</f>
        <v>0</v>
      </c>
      <c r="G151" s="217">
        <f>IF(ISNUMBER(VLOOKUP($B:$B,BS!$A:$D,$2:$2,0)),VLOOKUP($B:$B,BS!$A:$D,$2:$2,0),0)</f>
        <v>0</v>
      </c>
      <c r="H151" s="207">
        <f>IF(ISNUMBER(VLOOKUP($B:$B,'BS(과거)'!$A:$F,$2:$2,0)),VLOOKUP($B:$B,'BS(과거)'!$A:$F,$2:$2,0),0)</f>
        <v>0</v>
      </c>
      <c r="I151" s="207">
        <f>IF(ISNUMBER(VLOOKUP($B:$B,'BS(과거)'!$A:$F,$2:$2,0)),VLOOKUP($B:$B,'BS(과거)'!$A:$F,$2:$2,0),0)</f>
        <v>0</v>
      </c>
      <c r="J151" s="207">
        <f>IF(ISNUMBER(VLOOKUP($B:$B,'BS(과거)'!$A:$F,$2:$2,0)),VLOOKUP($B:$B,'BS(과거)'!$A:$F,$2:$2,0),0)</f>
        <v>0</v>
      </c>
      <c r="K151" s="207">
        <f>IF(ISNUMBER(VLOOKUP($B:$B,'BS(과거)'!$A:$F,$2:$2,0)),VLOOKUP($B:$B,'BS(과거)'!$A:$F,$2:$2,0),0)</f>
        <v>0</v>
      </c>
      <c r="L151" s="207">
        <f>IF(ISNUMBER(VLOOKUP($B:$B,'BS(과거)'!$A:$F,$2:$2,0)),VLOOKUP($B:$B,'BS(과거)'!$A:$F,$2:$2,0),0)</f>
        <v>0</v>
      </c>
      <c r="N151" s="207">
        <f>IF(ISNUMBER(VLOOKUP($B:$B,'BS(분기)'!$A:$F,$2:$2,0)),VLOOKUP($B:$B,'BS(분기)'!$A:$F,$2:$2,0),0)</f>
        <v>0</v>
      </c>
      <c r="O151" s="207">
        <f>IF(ISNUMBER(VLOOKUP($B:$B,'BS(분기)'!$A:$F,$2:$2,0)),VLOOKUP($B:$B,'BS(분기)'!$A:$F,$2:$2,0),0)</f>
        <v>0</v>
      </c>
      <c r="P151" s="207">
        <f>IF(ISNUMBER(VLOOKUP($B:$B,'BS(분기)'!$A:$F,$2:$2,0)),VLOOKUP($B:$B,'BS(분기)'!$A:$F,$2:$2,0),0)</f>
        <v>0</v>
      </c>
      <c r="Q151" s="207">
        <f>IF(ISNUMBER(VLOOKUP($B:$B,'BS(분기)'!$A:$F,$2:$2,0)),VLOOKUP($B:$B,'BS(분기)'!$A:$F,$2:$2,0),0)</f>
        <v>0</v>
      </c>
      <c r="R151" s="207">
        <f>IF(ISNUMBER(VLOOKUP($B:$B,'BS(분기)'!$A:$F,$2:$2,0)),VLOOKUP($B:$B,'BS(분기)'!$A:$F,$2:$2,0),0)</f>
        <v>0</v>
      </c>
    </row>
    <row r="152" spans="1:18" s="192" customFormat="1" ht="12">
      <c r="A152" s="203">
        <v>111359</v>
      </c>
      <c r="B152" s="196" t="s">
        <v>802</v>
      </c>
      <c r="C152" s="217">
        <f>IF(ISNUMBER(VLOOKUP($B:$B,BS!$A:$D,$2:$2,0)),VLOOKUP($B:$B,BS!$A:$D,$2:$2,0),0)</f>
        <v>0</v>
      </c>
      <c r="D152" s="217">
        <f>IF(ISNUMBER(VLOOKUP($B:$B,BS!$A:$D,$2:$2,0)),VLOOKUP($B:$B,BS!$A:$D,$2:$2,0),0)</f>
        <v>0</v>
      </c>
      <c r="E152" s="217">
        <f>IF(ISNUMBER(VLOOKUP($B:$B,BS!$A:$D,$2:$2,0)),VLOOKUP($B:$B,BS!$A:$D,$2:$2,0),0)</f>
        <v>0</v>
      </c>
      <c r="F152" s="217">
        <f>IF(ISNUMBER(VLOOKUP($B:$B,BS!$A:$D,$2:$2,0)),VLOOKUP($B:$B,BS!$A:$D,$2:$2,0),0)</f>
        <v>0</v>
      </c>
      <c r="G152" s="217">
        <f>IF(ISNUMBER(VLOOKUP($B:$B,BS!$A:$D,$2:$2,0)),VLOOKUP($B:$B,BS!$A:$D,$2:$2,0),0)</f>
        <v>0</v>
      </c>
      <c r="H152" s="207">
        <f>IF(ISNUMBER(VLOOKUP($B:$B,'BS(과거)'!$A:$F,$2:$2,0)),VLOOKUP($B:$B,'BS(과거)'!$A:$F,$2:$2,0),0)</f>
        <v>0</v>
      </c>
      <c r="I152" s="207">
        <f>IF(ISNUMBER(VLOOKUP($B:$B,'BS(과거)'!$A:$F,$2:$2,0)),VLOOKUP($B:$B,'BS(과거)'!$A:$F,$2:$2,0),0)</f>
        <v>0</v>
      </c>
      <c r="J152" s="207">
        <f>IF(ISNUMBER(VLOOKUP($B:$B,'BS(과거)'!$A:$F,$2:$2,0)),VLOOKUP($B:$B,'BS(과거)'!$A:$F,$2:$2,0),0)</f>
        <v>0</v>
      </c>
      <c r="K152" s="207">
        <f>IF(ISNUMBER(VLOOKUP($B:$B,'BS(과거)'!$A:$F,$2:$2,0)),VLOOKUP($B:$B,'BS(과거)'!$A:$F,$2:$2,0),0)</f>
        <v>0</v>
      </c>
      <c r="L152" s="207">
        <f>IF(ISNUMBER(VLOOKUP($B:$B,'BS(과거)'!$A:$F,$2:$2,0)),VLOOKUP($B:$B,'BS(과거)'!$A:$F,$2:$2,0),0)</f>
        <v>0</v>
      </c>
      <c r="N152" s="207">
        <f>IF(ISNUMBER(VLOOKUP($B:$B,'BS(분기)'!$A:$F,$2:$2,0)),VLOOKUP($B:$B,'BS(분기)'!$A:$F,$2:$2,0),0)</f>
        <v>0</v>
      </c>
      <c r="O152" s="207">
        <f>IF(ISNUMBER(VLOOKUP($B:$B,'BS(분기)'!$A:$F,$2:$2,0)),VLOOKUP($B:$B,'BS(분기)'!$A:$F,$2:$2,0),0)</f>
        <v>0</v>
      </c>
      <c r="P152" s="207">
        <f>IF(ISNUMBER(VLOOKUP($B:$B,'BS(분기)'!$A:$F,$2:$2,0)),VLOOKUP($B:$B,'BS(분기)'!$A:$F,$2:$2,0),0)</f>
        <v>0</v>
      </c>
      <c r="Q152" s="207">
        <f>IF(ISNUMBER(VLOOKUP($B:$B,'BS(분기)'!$A:$F,$2:$2,0)),VLOOKUP($B:$B,'BS(분기)'!$A:$F,$2:$2,0),0)</f>
        <v>0</v>
      </c>
      <c r="R152" s="207">
        <f>IF(ISNUMBER(VLOOKUP($B:$B,'BS(분기)'!$A:$F,$2:$2,0)),VLOOKUP($B:$B,'BS(분기)'!$A:$F,$2:$2,0),0)</f>
        <v>0</v>
      </c>
    </row>
    <row r="153" spans="1:18" s="192" customFormat="1" ht="12">
      <c r="A153" s="202">
        <v>111351</v>
      </c>
      <c r="B153" s="195" t="s">
        <v>977</v>
      </c>
      <c r="C153" s="217">
        <f>IF(ISNUMBER(VLOOKUP($B:$B,BS!$A:$D,$2:$2,0)),VLOOKUP($B:$B,BS!$A:$D,$2:$2,0),0)</f>
        <v>0</v>
      </c>
      <c r="D153" s="217">
        <f>IF(ISNUMBER(VLOOKUP($B:$B,BS!$A:$D,$2:$2,0)),VLOOKUP($B:$B,BS!$A:$D,$2:$2,0),0)</f>
        <v>0</v>
      </c>
      <c r="E153" s="217">
        <f>IF(ISNUMBER(VLOOKUP($B:$B,BS!$A:$D,$2:$2,0)),VLOOKUP($B:$B,BS!$A:$D,$2:$2,0),0)</f>
        <v>0</v>
      </c>
      <c r="F153" s="217">
        <f>IF(ISNUMBER(VLOOKUP($B:$B,BS!$A:$D,$2:$2,0)),VLOOKUP($B:$B,BS!$A:$D,$2:$2,0),0)</f>
        <v>0</v>
      </c>
      <c r="G153" s="217">
        <f>IF(ISNUMBER(VLOOKUP($B:$B,BS!$A:$D,$2:$2,0)),VLOOKUP($B:$B,BS!$A:$D,$2:$2,0),0)</f>
        <v>0</v>
      </c>
      <c r="H153" s="207">
        <f>IF(ISNUMBER(VLOOKUP($B:$B,'BS(과거)'!$A:$F,$2:$2,0)),VLOOKUP($B:$B,'BS(과거)'!$A:$F,$2:$2,0),0)</f>
        <v>0</v>
      </c>
      <c r="I153" s="207">
        <f>IF(ISNUMBER(VLOOKUP($B:$B,'BS(과거)'!$A:$F,$2:$2,0)),VLOOKUP($B:$B,'BS(과거)'!$A:$F,$2:$2,0),0)</f>
        <v>0</v>
      </c>
      <c r="J153" s="207">
        <f>IF(ISNUMBER(VLOOKUP($B:$B,'BS(과거)'!$A:$F,$2:$2,0)),VLOOKUP($B:$B,'BS(과거)'!$A:$F,$2:$2,0),0)</f>
        <v>0</v>
      </c>
      <c r="K153" s="207">
        <f>IF(ISNUMBER(VLOOKUP($B:$B,'BS(과거)'!$A:$F,$2:$2,0)),VLOOKUP($B:$B,'BS(과거)'!$A:$F,$2:$2,0),0)</f>
        <v>0</v>
      </c>
      <c r="L153" s="207">
        <f>IF(ISNUMBER(VLOOKUP($B:$B,'BS(과거)'!$A:$F,$2:$2,0)),VLOOKUP($B:$B,'BS(과거)'!$A:$F,$2:$2,0),0)</f>
        <v>0</v>
      </c>
      <c r="N153" s="207">
        <f>IF(ISNUMBER(VLOOKUP($B:$B,'BS(분기)'!$A:$F,$2:$2,0)),VLOOKUP($B:$B,'BS(분기)'!$A:$F,$2:$2,0),0)</f>
        <v>0</v>
      </c>
      <c r="O153" s="207">
        <f>IF(ISNUMBER(VLOOKUP($B:$B,'BS(분기)'!$A:$F,$2:$2,0)),VLOOKUP($B:$B,'BS(분기)'!$A:$F,$2:$2,0),0)</f>
        <v>0</v>
      </c>
      <c r="P153" s="207">
        <f>IF(ISNUMBER(VLOOKUP($B:$B,'BS(분기)'!$A:$F,$2:$2,0)),VLOOKUP($B:$B,'BS(분기)'!$A:$F,$2:$2,0),0)</f>
        <v>0</v>
      </c>
      <c r="Q153" s="207">
        <f>IF(ISNUMBER(VLOOKUP($B:$B,'BS(분기)'!$A:$F,$2:$2,0)),VLOOKUP($B:$B,'BS(분기)'!$A:$F,$2:$2,0),0)</f>
        <v>0</v>
      </c>
      <c r="R153" s="207">
        <f>IF(ISNUMBER(VLOOKUP($B:$B,'BS(분기)'!$A:$F,$2:$2,0)),VLOOKUP($B:$B,'BS(분기)'!$A:$F,$2:$2,0),0)</f>
        <v>0</v>
      </c>
    </row>
    <row r="154" spans="1:18" s="192" customFormat="1" ht="12">
      <c r="A154" s="202">
        <v>111360</v>
      </c>
      <c r="B154" s="195" t="s">
        <v>978</v>
      </c>
      <c r="C154" s="217">
        <f>IF(ISNUMBER(VLOOKUP($B:$B,BS!$A:$D,$2:$2,0)),VLOOKUP($B:$B,BS!$A:$D,$2:$2,0),0)</f>
        <v>0</v>
      </c>
      <c r="D154" s="217">
        <f>IF(ISNUMBER(VLOOKUP($B:$B,BS!$A:$D,$2:$2,0)),VLOOKUP($B:$B,BS!$A:$D,$2:$2,0),0)</f>
        <v>0</v>
      </c>
      <c r="E154" s="217">
        <f>IF(ISNUMBER(VLOOKUP($B:$B,BS!$A:$D,$2:$2,0)),VLOOKUP($B:$B,BS!$A:$D,$2:$2,0),0)</f>
        <v>0</v>
      </c>
      <c r="F154" s="217">
        <f>IF(ISNUMBER(VLOOKUP($B:$B,BS!$A:$D,$2:$2,0)),VLOOKUP($B:$B,BS!$A:$D,$2:$2,0),0)</f>
        <v>0</v>
      </c>
      <c r="G154" s="217">
        <f>IF(ISNUMBER(VLOOKUP($B:$B,BS!$A:$D,$2:$2,0)),VLOOKUP($B:$B,BS!$A:$D,$2:$2,0),0)</f>
        <v>0</v>
      </c>
      <c r="H154" s="207">
        <f>IF(ISNUMBER(VLOOKUP($B:$B,'BS(과거)'!$A:$F,$2:$2,0)),VLOOKUP($B:$B,'BS(과거)'!$A:$F,$2:$2,0),0)</f>
        <v>0</v>
      </c>
      <c r="I154" s="207">
        <f>IF(ISNUMBER(VLOOKUP($B:$B,'BS(과거)'!$A:$F,$2:$2,0)),VLOOKUP($B:$B,'BS(과거)'!$A:$F,$2:$2,0),0)</f>
        <v>0</v>
      </c>
      <c r="J154" s="207">
        <f>IF(ISNUMBER(VLOOKUP($B:$B,'BS(과거)'!$A:$F,$2:$2,0)),VLOOKUP($B:$B,'BS(과거)'!$A:$F,$2:$2,0),0)</f>
        <v>0</v>
      </c>
      <c r="K154" s="207">
        <f>IF(ISNUMBER(VLOOKUP($B:$B,'BS(과거)'!$A:$F,$2:$2,0)),VLOOKUP($B:$B,'BS(과거)'!$A:$F,$2:$2,0),0)</f>
        <v>0</v>
      </c>
      <c r="L154" s="207">
        <f>IF(ISNUMBER(VLOOKUP($B:$B,'BS(과거)'!$A:$F,$2:$2,0)),VLOOKUP($B:$B,'BS(과거)'!$A:$F,$2:$2,0),0)</f>
        <v>0</v>
      </c>
      <c r="N154" s="207">
        <f>IF(ISNUMBER(VLOOKUP($B:$B,'BS(분기)'!$A:$F,$2:$2,0)),VLOOKUP($B:$B,'BS(분기)'!$A:$F,$2:$2,0),0)</f>
        <v>0</v>
      </c>
      <c r="O154" s="207">
        <f>IF(ISNUMBER(VLOOKUP($B:$B,'BS(분기)'!$A:$F,$2:$2,0)),VLOOKUP($B:$B,'BS(분기)'!$A:$F,$2:$2,0),0)</f>
        <v>0</v>
      </c>
      <c r="P154" s="207">
        <f>IF(ISNUMBER(VLOOKUP($B:$B,'BS(분기)'!$A:$F,$2:$2,0)),VLOOKUP($B:$B,'BS(분기)'!$A:$F,$2:$2,0),0)</f>
        <v>0</v>
      </c>
      <c r="Q154" s="207">
        <f>IF(ISNUMBER(VLOOKUP($B:$B,'BS(분기)'!$A:$F,$2:$2,0)),VLOOKUP($B:$B,'BS(분기)'!$A:$F,$2:$2,0),0)</f>
        <v>0</v>
      </c>
      <c r="R154" s="207">
        <f>IF(ISNUMBER(VLOOKUP($B:$B,'BS(분기)'!$A:$F,$2:$2,0)),VLOOKUP($B:$B,'BS(분기)'!$A:$F,$2:$2,0),0)</f>
        <v>0</v>
      </c>
    </row>
    <row r="155" spans="1:18" s="192" customFormat="1" ht="12">
      <c r="A155" s="202">
        <v>111370</v>
      </c>
      <c r="B155" s="195" t="s">
        <v>803</v>
      </c>
      <c r="C155" s="217">
        <f>IF(ISNUMBER(VLOOKUP($B:$B,BS!$A:$D,$2:$2,0)),VLOOKUP($B:$B,BS!$A:$D,$2:$2,0),0)</f>
        <v>0</v>
      </c>
      <c r="D155" s="217">
        <f>IF(ISNUMBER(VLOOKUP($B:$B,BS!$A:$D,$2:$2,0)),VLOOKUP($B:$B,BS!$A:$D,$2:$2,0),0)</f>
        <v>0</v>
      </c>
      <c r="E155" s="217">
        <f>IF(ISNUMBER(VLOOKUP($B:$B,BS!$A:$D,$2:$2,0)),VLOOKUP($B:$B,BS!$A:$D,$2:$2,0),0)</f>
        <v>0</v>
      </c>
      <c r="F155" s="217">
        <f>IF(ISNUMBER(VLOOKUP($B:$B,BS!$A:$D,$2:$2,0)),VLOOKUP($B:$B,BS!$A:$D,$2:$2,0),0)</f>
        <v>0</v>
      </c>
      <c r="G155" s="217">
        <f>IF(ISNUMBER(VLOOKUP($B:$B,BS!$A:$D,$2:$2,0)),VLOOKUP($B:$B,BS!$A:$D,$2:$2,0),0)</f>
        <v>0</v>
      </c>
      <c r="H155" s="207">
        <f>IF(ISNUMBER(VLOOKUP($B:$B,'BS(과거)'!$A:$F,$2:$2,0)),VLOOKUP($B:$B,'BS(과거)'!$A:$F,$2:$2,0),0)</f>
        <v>0</v>
      </c>
      <c r="I155" s="207">
        <f>IF(ISNUMBER(VLOOKUP($B:$B,'BS(과거)'!$A:$F,$2:$2,0)),VLOOKUP($B:$B,'BS(과거)'!$A:$F,$2:$2,0),0)</f>
        <v>0</v>
      </c>
      <c r="J155" s="207">
        <f>IF(ISNUMBER(VLOOKUP($B:$B,'BS(과거)'!$A:$F,$2:$2,0)),VLOOKUP($B:$B,'BS(과거)'!$A:$F,$2:$2,0),0)</f>
        <v>0</v>
      </c>
      <c r="K155" s="207">
        <f>IF(ISNUMBER(VLOOKUP($B:$B,'BS(과거)'!$A:$F,$2:$2,0)),VLOOKUP($B:$B,'BS(과거)'!$A:$F,$2:$2,0),0)</f>
        <v>0</v>
      </c>
      <c r="L155" s="207">
        <f>IF(ISNUMBER(VLOOKUP($B:$B,'BS(과거)'!$A:$F,$2:$2,0)),VLOOKUP($B:$B,'BS(과거)'!$A:$F,$2:$2,0),0)</f>
        <v>0</v>
      </c>
      <c r="N155" s="207">
        <f>IF(ISNUMBER(VLOOKUP($B:$B,'BS(분기)'!$A:$F,$2:$2,0)),VLOOKUP($B:$B,'BS(분기)'!$A:$F,$2:$2,0),0)</f>
        <v>0</v>
      </c>
      <c r="O155" s="207">
        <f>IF(ISNUMBER(VLOOKUP($B:$B,'BS(분기)'!$A:$F,$2:$2,0)),VLOOKUP($B:$B,'BS(분기)'!$A:$F,$2:$2,0),0)</f>
        <v>0</v>
      </c>
      <c r="P155" s="207">
        <f>IF(ISNUMBER(VLOOKUP($B:$B,'BS(분기)'!$A:$F,$2:$2,0)),VLOOKUP($B:$B,'BS(분기)'!$A:$F,$2:$2,0),0)</f>
        <v>0</v>
      </c>
      <c r="Q155" s="207">
        <f>IF(ISNUMBER(VLOOKUP($B:$B,'BS(분기)'!$A:$F,$2:$2,0)),VLOOKUP($B:$B,'BS(분기)'!$A:$F,$2:$2,0),0)</f>
        <v>0</v>
      </c>
      <c r="R155" s="207">
        <f>IF(ISNUMBER(VLOOKUP($B:$B,'BS(분기)'!$A:$F,$2:$2,0)),VLOOKUP($B:$B,'BS(분기)'!$A:$F,$2:$2,0),0)</f>
        <v>0</v>
      </c>
    </row>
    <row r="156" spans="1:18" s="192" customFormat="1" ht="12">
      <c r="A156" s="203">
        <v>111353</v>
      </c>
      <c r="B156" s="196" t="s">
        <v>979</v>
      </c>
      <c r="C156" s="217">
        <f>IF(ISNUMBER(VLOOKUP($B:$B,BS!$A:$D,$2:$2,0)),VLOOKUP($B:$B,BS!$A:$D,$2:$2,0),0)</f>
        <v>0</v>
      </c>
      <c r="D156" s="217">
        <f>IF(ISNUMBER(VLOOKUP($B:$B,BS!$A:$D,$2:$2,0)),VLOOKUP($B:$B,BS!$A:$D,$2:$2,0),0)</f>
        <v>0</v>
      </c>
      <c r="E156" s="217">
        <f>IF(ISNUMBER(VLOOKUP($B:$B,BS!$A:$D,$2:$2,0)),VLOOKUP($B:$B,BS!$A:$D,$2:$2,0),0)</f>
        <v>0</v>
      </c>
      <c r="F156" s="217">
        <f>IF(ISNUMBER(VLOOKUP($B:$B,BS!$A:$D,$2:$2,0)),VLOOKUP($B:$B,BS!$A:$D,$2:$2,0),0)</f>
        <v>0</v>
      </c>
      <c r="G156" s="217">
        <f>IF(ISNUMBER(VLOOKUP($B:$B,BS!$A:$D,$2:$2,0)),VLOOKUP($B:$B,BS!$A:$D,$2:$2,0),0)</f>
        <v>0</v>
      </c>
      <c r="H156" s="207">
        <f>IF(ISNUMBER(VLOOKUP($B:$B,'BS(과거)'!$A:$F,$2:$2,0)),VLOOKUP($B:$B,'BS(과거)'!$A:$F,$2:$2,0),0)</f>
        <v>0</v>
      </c>
      <c r="I156" s="207">
        <f>IF(ISNUMBER(VLOOKUP($B:$B,'BS(과거)'!$A:$F,$2:$2,0)),VLOOKUP($B:$B,'BS(과거)'!$A:$F,$2:$2,0),0)</f>
        <v>0</v>
      </c>
      <c r="J156" s="207">
        <f>IF(ISNUMBER(VLOOKUP($B:$B,'BS(과거)'!$A:$F,$2:$2,0)),VLOOKUP($B:$B,'BS(과거)'!$A:$F,$2:$2,0),0)</f>
        <v>0</v>
      </c>
      <c r="K156" s="207">
        <f>IF(ISNUMBER(VLOOKUP($B:$B,'BS(과거)'!$A:$F,$2:$2,0)),VLOOKUP($B:$B,'BS(과거)'!$A:$F,$2:$2,0),0)</f>
        <v>0</v>
      </c>
      <c r="L156" s="207">
        <f>IF(ISNUMBER(VLOOKUP($B:$B,'BS(과거)'!$A:$F,$2:$2,0)),VLOOKUP($B:$B,'BS(과거)'!$A:$F,$2:$2,0),0)</f>
        <v>0</v>
      </c>
      <c r="N156" s="207">
        <f>IF(ISNUMBER(VLOOKUP($B:$B,'BS(분기)'!$A:$F,$2:$2,0)),VLOOKUP($B:$B,'BS(분기)'!$A:$F,$2:$2,0),0)</f>
        <v>0</v>
      </c>
      <c r="O156" s="207">
        <f>IF(ISNUMBER(VLOOKUP($B:$B,'BS(분기)'!$A:$F,$2:$2,0)),VLOOKUP($B:$B,'BS(분기)'!$A:$F,$2:$2,0),0)</f>
        <v>0</v>
      </c>
      <c r="P156" s="207">
        <f>IF(ISNUMBER(VLOOKUP($B:$B,'BS(분기)'!$A:$F,$2:$2,0)),VLOOKUP($B:$B,'BS(분기)'!$A:$F,$2:$2,0),0)</f>
        <v>0</v>
      </c>
      <c r="Q156" s="207">
        <f>IF(ISNUMBER(VLOOKUP($B:$B,'BS(분기)'!$A:$F,$2:$2,0)),VLOOKUP($B:$B,'BS(분기)'!$A:$F,$2:$2,0),0)</f>
        <v>0</v>
      </c>
      <c r="R156" s="207">
        <f>IF(ISNUMBER(VLOOKUP($B:$B,'BS(분기)'!$A:$F,$2:$2,0)),VLOOKUP($B:$B,'BS(분기)'!$A:$F,$2:$2,0),0)</f>
        <v>0</v>
      </c>
    </row>
    <row r="157" spans="1:18" s="192" customFormat="1" ht="12">
      <c r="A157" s="203">
        <v>111371</v>
      </c>
      <c r="B157" s="196" t="s">
        <v>980</v>
      </c>
      <c r="C157" s="217">
        <f>IF(ISNUMBER(VLOOKUP($B:$B,BS!$A:$D,$2:$2,0)),VLOOKUP($B:$B,BS!$A:$D,$2:$2,0),0)</f>
        <v>0</v>
      </c>
      <c r="D157" s="217">
        <f>IF(ISNUMBER(VLOOKUP($B:$B,BS!$A:$D,$2:$2,0)),VLOOKUP($B:$B,BS!$A:$D,$2:$2,0),0)</f>
        <v>0</v>
      </c>
      <c r="E157" s="217">
        <f>IF(ISNUMBER(VLOOKUP($B:$B,BS!$A:$D,$2:$2,0)),VLOOKUP($B:$B,BS!$A:$D,$2:$2,0),0)</f>
        <v>0</v>
      </c>
      <c r="F157" s="217">
        <f>IF(ISNUMBER(VLOOKUP($B:$B,BS!$A:$D,$2:$2,0)),VLOOKUP($B:$B,BS!$A:$D,$2:$2,0),0)</f>
        <v>0</v>
      </c>
      <c r="G157" s="217">
        <f>IF(ISNUMBER(VLOOKUP($B:$B,BS!$A:$D,$2:$2,0)),VLOOKUP($B:$B,BS!$A:$D,$2:$2,0),0)</f>
        <v>0</v>
      </c>
      <c r="H157" s="207">
        <f>IF(ISNUMBER(VLOOKUP($B:$B,'BS(과거)'!$A:$F,$2:$2,0)),VLOOKUP($B:$B,'BS(과거)'!$A:$F,$2:$2,0),0)</f>
        <v>0</v>
      </c>
      <c r="I157" s="207">
        <f>IF(ISNUMBER(VLOOKUP($B:$B,'BS(과거)'!$A:$F,$2:$2,0)),VLOOKUP($B:$B,'BS(과거)'!$A:$F,$2:$2,0),0)</f>
        <v>0</v>
      </c>
      <c r="J157" s="207">
        <f>IF(ISNUMBER(VLOOKUP($B:$B,'BS(과거)'!$A:$F,$2:$2,0)),VLOOKUP($B:$B,'BS(과거)'!$A:$F,$2:$2,0),0)</f>
        <v>0</v>
      </c>
      <c r="K157" s="207">
        <f>IF(ISNUMBER(VLOOKUP($B:$B,'BS(과거)'!$A:$F,$2:$2,0)),VLOOKUP($B:$B,'BS(과거)'!$A:$F,$2:$2,0),0)</f>
        <v>0</v>
      </c>
      <c r="L157" s="207">
        <f>IF(ISNUMBER(VLOOKUP($B:$B,'BS(과거)'!$A:$F,$2:$2,0)),VLOOKUP($B:$B,'BS(과거)'!$A:$F,$2:$2,0),0)</f>
        <v>0</v>
      </c>
      <c r="N157" s="207">
        <f>IF(ISNUMBER(VLOOKUP($B:$B,'BS(분기)'!$A:$F,$2:$2,0)),VLOOKUP($B:$B,'BS(분기)'!$A:$F,$2:$2,0),0)</f>
        <v>0</v>
      </c>
      <c r="O157" s="207">
        <f>IF(ISNUMBER(VLOOKUP($B:$B,'BS(분기)'!$A:$F,$2:$2,0)),VLOOKUP($B:$B,'BS(분기)'!$A:$F,$2:$2,0),0)</f>
        <v>0</v>
      </c>
      <c r="P157" s="207">
        <f>IF(ISNUMBER(VLOOKUP($B:$B,'BS(분기)'!$A:$F,$2:$2,0)),VLOOKUP($B:$B,'BS(분기)'!$A:$F,$2:$2,0),0)</f>
        <v>0</v>
      </c>
      <c r="Q157" s="207">
        <f>IF(ISNUMBER(VLOOKUP($B:$B,'BS(분기)'!$A:$F,$2:$2,0)),VLOOKUP($B:$B,'BS(분기)'!$A:$F,$2:$2,0),0)</f>
        <v>0</v>
      </c>
      <c r="R157" s="207">
        <f>IF(ISNUMBER(VLOOKUP($B:$B,'BS(분기)'!$A:$F,$2:$2,0)),VLOOKUP($B:$B,'BS(분기)'!$A:$F,$2:$2,0),0)</f>
        <v>0</v>
      </c>
    </row>
    <row r="158" spans="1:18" s="192" customFormat="1" ht="12">
      <c r="A158" s="203">
        <v>111372</v>
      </c>
      <c r="B158" s="196" t="s">
        <v>804</v>
      </c>
      <c r="C158" s="217">
        <f>IF(ISNUMBER(VLOOKUP($B:$B,BS!$A:$D,$2:$2,0)),VLOOKUP($B:$B,BS!$A:$D,$2:$2,0),0)</f>
        <v>0</v>
      </c>
      <c r="D158" s="217">
        <f>IF(ISNUMBER(VLOOKUP($B:$B,BS!$A:$D,$2:$2,0)),VLOOKUP($B:$B,BS!$A:$D,$2:$2,0),0)</f>
        <v>0</v>
      </c>
      <c r="E158" s="217">
        <f>IF(ISNUMBER(VLOOKUP($B:$B,BS!$A:$D,$2:$2,0)),VLOOKUP($B:$B,BS!$A:$D,$2:$2,0),0)</f>
        <v>0</v>
      </c>
      <c r="F158" s="217">
        <f>IF(ISNUMBER(VLOOKUP($B:$B,BS!$A:$D,$2:$2,0)),VLOOKUP($B:$B,BS!$A:$D,$2:$2,0),0)</f>
        <v>0</v>
      </c>
      <c r="G158" s="217">
        <f>IF(ISNUMBER(VLOOKUP($B:$B,BS!$A:$D,$2:$2,0)),VLOOKUP($B:$B,BS!$A:$D,$2:$2,0),0)</f>
        <v>0</v>
      </c>
      <c r="H158" s="207">
        <f>IF(ISNUMBER(VLOOKUP($B:$B,'BS(과거)'!$A:$F,$2:$2,0)),VLOOKUP($B:$B,'BS(과거)'!$A:$F,$2:$2,0),0)</f>
        <v>0</v>
      </c>
      <c r="I158" s="207">
        <f>IF(ISNUMBER(VLOOKUP($B:$B,'BS(과거)'!$A:$F,$2:$2,0)),VLOOKUP($B:$B,'BS(과거)'!$A:$F,$2:$2,0),0)</f>
        <v>0</v>
      </c>
      <c r="J158" s="207">
        <f>IF(ISNUMBER(VLOOKUP($B:$B,'BS(과거)'!$A:$F,$2:$2,0)),VLOOKUP($B:$B,'BS(과거)'!$A:$F,$2:$2,0),0)</f>
        <v>0</v>
      </c>
      <c r="K158" s="207">
        <f>IF(ISNUMBER(VLOOKUP($B:$B,'BS(과거)'!$A:$F,$2:$2,0)),VLOOKUP($B:$B,'BS(과거)'!$A:$F,$2:$2,0),0)</f>
        <v>0</v>
      </c>
      <c r="L158" s="207">
        <f>IF(ISNUMBER(VLOOKUP($B:$B,'BS(과거)'!$A:$F,$2:$2,0)),VLOOKUP($B:$B,'BS(과거)'!$A:$F,$2:$2,0),0)</f>
        <v>0</v>
      </c>
      <c r="N158" s="207">
        <f>IF(ISNUMBER(VLOOKUP($B:$B,'BS(분기)'!$A:$F,$2:$2,0)),VLOOKUP($B:$B,'BS(분기)'!$A:$F,$2:$2,0),0)</f>
        <v>0</v>
      </c>
      <c r="O158" s="207">
        <f>IF(ISNUMBER(VLOOKUP($B:$B,'BS(분기)'!$A:$F,$2:$2,0)),VLOOKUP($B:$B,'BS(분기)'!$A:$F,$2:$2,0),0)</f>
        <v>0</v>
      </c>
      <c r="P158" s="207">
        <f>IF(ISNUMBER(VLOOKUP($B:$B,'BS(분기)'!$A:$F,$2:$2,0)),VLOOKUP($B:$B,'BS(분기)'!$A:$F,$2:$2,0),0)</f>
        <v>0</v>
      </c>
      <c r="Q158" s="207">
        <f>IF(ISNUMBER(VLOOKUP($B:$B,'BS(분기)'!$A:$F,$2:$2,0)),VLOOKUP($B:$B,'BS(분기)'!$A:$F,$2:$2,0),0)</f>
        <v>0</v>
      </c>
      <c r="R158" s="207">
        <f>IF(ISNUMBER(VLOOKUP($B:$B,'BS(분기)'!$A:$F,$2:$2,0)),VLOOKUP($B:$B,'BS(분기)'!$A:$F,$2:$2,0),0)</f>
        <v>0</v>
      </c>
    </row>
    <row r="159" spans="1:18" s="192" customFormat="1" ht="12">
      <c r="A159" s="202">
        <v>111375</v>
      </c>
      <c r="B159" s="195" t="s">
        <v>981</v>
      </c>
      <c r="C159" s="217">
        <f>IF(ISNUMBER(VLOOKUP($B:$B,BS!$A:$D,$2:$2,0)),VLOOKUP($B:$B,BS!$A:$D,$2:$2,0),0)</f>
        <v>0</v>
      </c>
      <c r="D159" s="217">
        <f>IF(ISNUMBER(VLOOKUP($B:$B,BS!$A:$D,$2:$2,0)),VLOOKUP($B:$B,BS!$A:$D,$2:$2,0),0)</f>
        <v>0</v>
      </c>
      <c r="E159" s="217">
        <f>IF(ISNUMBER(VLOOKUP($B:$B,BS!$A:$D,$2:$2,0)),VLOOKUP($B:$B,BS!$A:$D,$2:$2,0),0)</f>
        <v>0</v>
      </c>
      <c r="F159" s="217">
        <f>IF(ISNUMBER(VLOOKUP($B:$B,BS!$A:$D,$2:$2,0)),VLOOKUP($B:$B,BS!$A:$D,$2:$2,0),0)</f>
        <v>0</v>
      </c>
      <c r="G159" s="217">
        <f>IF(ISNUMBER(VLOOKUP($B:$B,BS!$A:$D,$2:$2,0)),VLOOKUP($B:$B,BS!$A:$D,$2:$2,0),0)</f>
        <v>0</v>
      </c>
      <c r="H159" s="207">
        <f>IF(ISNUMBER(VLOOKUP($B:$B,'BS(과거)'!$A:$F,$2:$2,0)),VLOOKUP($B:$B,'BS(과거)'!$A:$F,$2:$2,0),0)</f>
        <v>0</v>
      </c>
      <c r="I159" s="207">
        <f>IF(ISNUMBER(VLOOKUP($B:$B,'BS(과거)'!$A:$F,$2:$2,0)),VLOOKUP($B:$B,'BS(과거)'!$A:$F,$2:$2,0),0)</f>
        <v>0</v>
      </c>
      <c r="J159" s="207">
        <f>IF(ISNUMBER(VLOOKUP($B:$B,'BS(과거)'!$A:$F,$2:$2,0)),VLOOKUP($B:$B,'BS(과거)'!$A:$F,$2:$2,0),0)</f>
        <v>0</v>
      </c>
      <c r="K159" s="207">
        <f>IF(ISNUMBER(VLOOKUP($B:$B,'BS(과거)'!$A:$F,$2:$2,0)),VLOOKUP($B:$B,'BS(과거)'!$A:$F,$2:$2,0),0)</f>
        <v>0</v>
      </c>
      <c r="L159" s="207">
        <f>IF(ISNUMBER(VLOOKUP($B:$B,'BS(과거)'!$A:$F,$2:$2,0)),VLOOKUP($B:$B,'BS(과거)'!$A:$F,$2:$2,0),0)</f>
        <v>0</v>
      </c>
      <c r="N159" s="207">
        <f>IF(ISNUMBER(VLOOKUP($B:$B,'BS(분기)'!$A:$F,$2:$2,0)),VLOOKUP($B:$B,'BS(분기)'!$A:$F,$2:$2,0),0)</f>
        <v>0</v>
      </c>
      <c r="O159" s="207">
        <f>IF(ISNUMBER(VLOOKUP($B:$B,'BS(분기)'!$A:$F,$2:$2,0)),VLOOKUP($B:$B,'BS(분기)'!$A:$F,$2:$2,0),0)</f>
        <v>0</v>
      </c>
      <c r="P159" s="207">
        <f>IF(ISNUMBER(VLOOKUP($B:$B,'BS(분기)'!$A:$F,$2:$2,0)),VLOOKUP($B:$B,'BS(분기)'!$A:$F,$2:$2,0),0)</f>
        <v>0</v>
      </c>
      <c r="Q159" s="207">
        <f>IF(ISNUMBER(VLOOKUP($B:$B,'BS(분기)'!$A:$F,$2:$2,0)),VLOOKUP($B:$B,'BS(분기)'!$A:$F,$2:$2,0),0)</f>
        <v>0</v>
      </c>
      <c r="R159" s="207">
        <f>IF(ISNUMBER(VLOOKUP($B:$B,'BS(분기)'!$A:$F,$2:$2,0)),VLOOKUP($B:$B,'BS(분기)'!$A:$F,$2:$2,0),0)</f>
        <v>0</v>
      </c>
    </row>
    <row r="160" spans="1:18" s="192" customFormat="1" ht="12">
      <c r="A160" s="202">
        <v>111380</v>
      </c>
      <c r="B160" s="195" t="s">
        <v>982</v>
      </c>
      <c r="C160" s="217">
        <f>IF(ISNUMBER(VLOOKUP($B:$B,BS!$A:$D,$2:$2,0)),VLOOKUP($B:$B,BS!$A:$D,$2:$2,0),0)</f>
        <v>0</v>
      </c>
      <c r="D160" s="217">
        <f>IF(ISNUMBER(VLOOKUP($B:$B,BS!$A:$D,$2:$2,0)),VLOOKUP($B:$B,BS!$A:$D,$2:$2,0),0)</f>
        <v>0</v>
      </c>
      <c r="E160" s="217">
        <f>IF(ISNUMBER(VLOOKUP($B:$B,BS!$A:$D,$2:$2,0)),VLOOKUP($B:$B,BS!$A:$D,$2:$2,0),0)</f>
        <v>0</v>
      </c>
      <c r="F160" s="217">
        <f>IF(ISNUMBER(VLOOKUP($B:$B,BS!$A:$D,$2:$2,0)),VLOOKUP($B:$B,BS!$A:$D,$2:$2,0),0)</f>
        <v>0</v>
      </c>
      <c r="G160" s="217">
        <f>IF(ISNUMBER(VLOOKUP($B:$B,BS!$A:$D,$2:$2,0)),VLOOKUP($B:$B,BS!$A:$D,$2:$2,0),0)</f>
        <v>0</v>
      </c>
      <c r="H160" s="207">
        <f>IF(ISNUMBER(VLOOKUP($B:$B,'BS(과거)'!$A:$F,$2:$2,0)),VLOOKUP($B:$B,'BS(과거)'!$A:$F,$2:$2,0),0)</f>
        <v>0</v>
      </c>
      <c r="I160" s="207">
        <f>IF(ISNUMBER(VLOOKUP($B:$B,'BS(과거)'!$A:$F,$2:$2,0)),VLOOKUP($B:$B,'BS(과거)'!$A:$F,$2:$2,0),0)</f>
        <v>0</v>
      </c>
      <c r="J160" s="207">
        <f>IF(ISNUMBER(VLOOKUP($B:$B,'BS(과거)'!$A:$F,$2:$2,0)),VLOOKUP($B:$B,'BS(과거)'!$A:$F,$2:$2,0),0)</f>
        <v>0</v>
      </c>
      <c r="K160" s="207">
        <f>IF(ISNUMBER(VLOOKUP($B:$B,'BS(과거)'!$A:$F,$2:$2,0)),VLOOKUP($B:$B,'BS(과거)'!$A:$F,$2:$2,0),0)</f>
        <v>0</v>
      </c>
      <c r="L160" s="207">
        <f>IF(ISNUMBER(VLOOKUP($B:$B,'BS(과거)'!$A:$F,$2:$2,0)),VLOOKUP($B:$B,'BS(과거)'!$A:$F,$2:$2,0),0)</f>
        <v>0</v>
      </c>
      <c r="N160" s="207">
        <f>IF(ISNUMBER(VLOOKUP($B:$B,'BS(분기)'!$A:$F,$2:$2,0)),VLOOKUP($B:$B,'BS(분기)'!$A:$F,$2:$2,0),0)</f>
        <v>0</v>
      </c>
      <c r="O160" s="207">
        <f>IF(ISNUMBER(VLOOKUP($B:$B,'BS(분기)'!$A:$F,$2:$2,0)),VLOOKUP($B:$B,'BS(분기)'!$A:$F,$2:$2,0),0)</f>
        <v>0</v>
      </c>
      <c r="P160" s="207">
        <f>IF(ISNUMBER(VLOOKUP($B:$B,'BS(분기)'!$A:$F,$2:$2,0)),VLOOKUP($B:$B,'BS(분기)'!$A:$F,$2:$2,0),0)</f>
        <v>0</v>
      </c>
      <c r="Q160" s="207">
        <f>IF(ISNUMBER(VLOOKUP($B:$B,'BS(분기)'!$A:$F,$2:$2,0)),VLOOKUP($B:$B,'BS(분기)'!$A:$F,$2:$2,0),0)</f>
        <v>0</v>
      </c>
      <c r="R160" s="207">
        <f>IF(ISNUMBER(VLOOKUP($B:$B,'BS(분기)'!$A:$F,$2:$2,0)),VLOOKUP($B:$B,'BS(분기)'!$A:$F,$2:$2,0),0)</f>
        <v>0</v>
      </c>
    </row>
    <row r="161" spans="1:18" s="192" customFormat="1" ht="12">
      <c r="A161" s="205">
        <v>112100</v>
      </c>
      <c r="B161" s="198" t="s">
        <v>213</v>
      </c>
      <c r="C161" s="217">
        <f>IF(ISNUMBER(VLOOKUP($B:$B,BS!$A:$D,$2:$2,0)),VLOOKUP($B:$B,BS!$A:$D,$2:$2,0),0)</f>
        <v>0</v>
      </c>
      <c r="D161" s="217">
        <f>IF(ISNUMBER(VLOOKUP($B:$B,BS!$A:$D,$2:$2,0)),VLOOKUP($B:$B,BS!$A:$D,$2:$2,0),0)</f>
        <v>0</v>
      </c>
      <c r="E161" s="217">
        <f>IF(ISNUMBER(VLOOKUP($B:$B,BS!$A:$D,$2:$2,0)),VLOOKUP($B:$B,BS!$A:$D,$2:$2,0),0)</f>
        <v>0</v>
      </c>
      <c r="F161" s="217">
        <f>IF(ISNUMBER(VLOOKUP($B:$B,BS!$A:$D,$2:$2,0)),VLOOKUP($B:$B,BS!$A:$D,$2:$2,0),0)</f>
        <v>0</v>
      </c>
      <c r="G161" s="217">
        <f>IF(ISNUMBER(VLOOKUP($B:$B,BS!$A:$D,$2:$2,0)),VLOOKUP($B:$B,BS!$A:$D,$2:$2,0),0)</f>
        <v>0</v>
      </c>
      <c r="H161" s="207">
        <f>IF(ISNUMBER(VLOOKUP($B:$B,'BS(과거)'!$A:$F,$2:$2,0)),VLOOKUP($B:$B,'BS(과거)'!$A:$F,$2:$2,0),0)</f>
        <v>0</v>
      </c>
      <c r="I161" s="207">
        <f>IF(ISNUMBER(VLOOKUP($B:$B,'BS(과거)'!$A:$F,$2:$2,0)),VLOOKUP($B:$B,'BS(과거)'!$A:$F,$2:$2,0),0)</f>
        <v>0</v>
      </c>
      <c r="J161" s="207">
        <f>IF(ISNUMBER(VLOOKUP($B:$B,'BS(과거)'!$A:$F,$2:$2,0)),VLOOKUP($B:$B,'BS(과거)'!$A:$F,$2:$2,0),0)</f>
        <v>0</v>
      </c>
      <c r="K161" s="207">
        <f>IF(ISNUMBER(VLOOKUP($B:$B,'BS(과거)'!$A:$F,$2:$2,0)),VLOOKUP($B:$B,'BS(과거)'!$A:$F,$2:$2,0),0)</f>
        <v>0</v>
      </c>
      <c r="L161" s="207">
        <f>IF(ISNUMBER(VLOOKUP($B:$B,'BS(과거)'!$A:$F,$2:$2,0)),VLOOKUP($B:$B,'BS(과거)'!$A:$F,$2:$2,0),0)</f>
        <v>0</v>
      </c>
      <c r="N161" s="207">
        <f>IF(ISNUMBER(VLOOKUP($B:$B,'BS(분기)'!$A:$F,$2:$2,0)),VLOOKUP($B:$B,'BS(분기)'!$A:$F,$2:$2,0),0)</f>
        <v>0</v>
      </c>
      <c r="O161" s="207">
        <f>IF(ISNUMBER(VLOOKUP($B:$B,'BS(분기)'!$A:$F,$2:$2,0)),VLOOKUP($B:$B,'BS(분기)'!$A:$F,$2:$2,0),0)</f>
        <v>0</v>
      </c>
      <c r="P161" s="207">
        <f>IF(ISNUMBER(VLOOKUP($B:$B,'BS(분기)'!$A:$F,$2:$2,0)),VLOOKUP($B:$B,'BS(분기)'!$A:$F,$2:$2,0),0)</f>
        <v>0</v>
      </c>
      <c r="Q161" s="207">
        <f>IF(ISNUMBER(VLOOKUP($B:$B,'BS(분기)'!$A:$F,$2:$2,0)),VLOOKUP($B:$B,'BS(분기)'!$A:$F,$2:$2,0),0)</f>
        <v>0</v>
      </c>
      <c r="R161" s="207">
        <f>IF(ISNUMBER(VLOOKUP($B:$B,'BS(분기)'!$A:$F,$2:$2,0)),VLOOKUP($B:$B,'BS(분기)'!$A:$F,$2:$2,0),0)</f>
        <v>0</v>
      </c>
    </row>
    <row r="162" spans="1:18" s="192" customFormat="1" ht="12">
      <c r="A162" s="201">
        <v>112010</v>
      </c>
      <c r="B162" s="194" t="s">
        <v>983</v>
      </c>
      <c r="C162" s="217">
        <f>IF(ISNUMBER(VLOOKUP($B:$B,BS!$A:$D,$2:$2,0)),VLOOKUP($B:$B,BS!$A:$D,$2:$2,0),0)</f>
        <v>0</v>
      </c>
      <c r="D162" s="217">
        <f>IF(ISNUMBER(VLOOKUP($B:$B,BS!$A:$D,$2:$2,0)),VLOOKUP($B:$B,BS!$A:$D,$2:$2,0),0)</f>
        <v>0</v>
      </c>
      <c r="E162" s="217">
        <f>IF(ISNUMBER(VLOOKUP($B:$B,BS!$A:$D,$2:$2,0)),VLOOKUP($B:$B,BS!$A:$D,$2:$2,0),0)</f>
        <v>0</v>
      </c>
      <c r="F162" s="217">
        <f>IF(ISNUMBER(VLOOKUP($B:$B,BS!$A:$D,$2:$2,0)),VLOOKUP($B:$B,BS!$A:$D,$2:$2,0),0)</f>
        <v>0</v>
      </c>
      <c r="G162" s="217">
        <f>IF(ISNUMBER(VLOOKUP($B:$B,BS!$A:$D,$2:$2,0)),VLOOKUP($B:$B,BS!$A:$D,$2:$2,0),0)</f>
        <v>0</v>
      </c>
      <c r="H162" s="207">
        <f>IF(ISNUMBER(VLOOKUP($B:$B,'BS(과거)'!$A:$F,$2:$2,0)),VLOOKUP($B:$B,'BS(과거)'!$A:$F,$2:$2,0),0)</f>
        <v>0</v>
      </c>
      <c r="I162" s="207">
        <f>IF(ISNUMBER(VLOOKUP($B:$B,'BS(과거)'!$A:$F,$2:$2,0)),VLOOKUP($B:$B,'BS(과거)'!$A:$F,$2:$2,0),0)</f>
        <v>0</v>
      </c>
      <c r="J162" s="207">
        <f>IF(ISNUMBER(VLOOKUP($B:$B,'BS(과거)'!$A:$F,$2:$2,0)),VLOOKUP($B:$B,'BS(과거)'!$A:$F,$2:$2,0),0)</f>
        <v>0</v>
      </c>
      <c r="K162" s="207">
        <f>IF(ISNUMBER(VLOOKUP($B:$B,'BS(과거)'!$A:$F,$2:$2,0)),VLOOKUP($B:$B,'BS(과거)'!$A:$F,$2:$2,0),0)</f>
        <v>0</v>
      </c>
      <c r="L162" s="207">
        <f>IF(ISNUMBER(VLOOKUP($B:$B,'BS(과거)'!$A:$F,$2:$2,0)),VLOOKUP($B:$B,'BS(과거)'!$A:$F,$2:$2,0),0)</f>
        <v>0</v>
      </c>
      <c r="N162" s="207">
        <f>IF(ISNUMBER(VLOOKUP($B:$B,'BS(분기)'!$A:$F,$2:$2,0)),VLOOKUP($B:$B,'BS(분기)'!$A:$F,$2:$2,0),0)</f>
        <v>0</v>
      </c>
      <c r="O162" s="207">
        <f>IF(ISNUMBER(VLOOKUP($B:$B,'BS(분기)'!$A:$F,$2:$2,0)),VLOOKUP($B:$B,'BS(분기)'!$A:$F,$2:$2,0),0)</f>
        <v>0</v>
      </c>
      <c r="P162" s="207">
        <f>IF(ISNUMBER(VLOOKUP($B:$B,'BS(분기)'!$A:$F,$2:$2,0)),VLOOKUP($B:$B,'BS(분기)'!$A:$F,$2:$2,0),0)</f>
        <v>0</v>
      </c>
      <c r="Q162" s="207">
        <f>IF(ISNUMBER(VLOOKUP($B:$B,'BS(분기)'!$A:$F,$2:$2,0)),VLOOKUP($B:$B,'BS(분기)'!$A:$F,$2:$2,0),0)</f>
        <v>0</v>
      </c>
      <c r="R162" s="207">
        <f>IF(ISNUMBER(VLOOKUP($B:$B,'BS(분기)'!$A:$F,$2:$2,0)),VLOOKUP($B:$B,'BS(분기)'!$A:$F,$2:$2,0),0)</f>
        <v>0</v>
      </c>
    </row>
    <row r="163" spans="1:18" s="192" customFormat="1" ht="12">
      <c r="A163" s="201">
        <v>112020</v>
      </c>
      <c r="B163" s="194" t="s">
        <v>984</v>
      </c>
      <c r="C163" s="217">
        <f>IF(ISNUMBER(VLOOKUP($B:$B,BS!$A:$D,$2:$2,0)),VLOOKUP($B:$B,BS!$A:$D,$2:$2,0),0)</f>
        <v>0</v>
      </c>
      <c r="D163" s="217">
        <f>IF(ISNUMBER(VLOOKUP($B:$B,BS!$A:$D,$2:$2,0)),VLOOKUP($B:$B,BS!$A:$D,$2:$2,0),0)</f>
        <v>0</v>
      </c>
      <c r="E163" s="217">
        <f>IF(ISNUMBER(VLOOKUP($B:$B,BS!$A:$D,$2:$2,0)),VLOOKUP($B:$B,BS!$A:$D,$2:$2,0),0)</f>
        <v>0</v>
      </c>
      <c r="F163" s="217">
        <f>IF(ISNUMBER(VLOOKUP($B:$B,BS!$A:$D,$2:$2,0)),VLOOKUP($B:$B,BS!$A:$D,$2:$2,0),0)</f>
        <v>0</v>
      </c>
      <c r="G163" s="217">
        <f>IF(ISNUMBER(VLOOKUP($B:$B,BS!$A:$D,$2:$2,0)),VLOOKUP($B:$B,BS!$A:$D,$2:$2,0),0)</f>
        <v>0</v>
      </c>
      <c r="H163" s="207">
        <f>IF(ISNUMBER(VLOOKUP($B:$B,'BS(과거)'!$A:$F,$2:$2,0)),VLOOKUP($B:$B,'BS(과거)'!$A:$F,$2:$2,0),0)</f>
        <v>0</v>
      </c>
      <c r="I163" s="207">
        <f>IF(ISNUMBER(VLOOKUP($B:$B,'BS(과거)'!$A:$F,$2:$2,0)),VLOOKUP($B:$B,'BS(과거)'!$A:$F,$2:$2,0),0)</f>
        <v>0</v>
      </c>
      <c r="J163" s="207">
        <f>IF(ISNUMBER(VLOOKUP($B:$B,'BS(과거)'!$A:$F,$2:$2,0)),VLOOKUP($B:$B,'BS(과거)'!$A:$F,$2:$2,0),0)</f>
        <v>0</v>
      </c>
      <c r="K163" s="207">
        <f>IF(ISNUMBER(VLOOKUP($B:$B,'BS(과거)'!$A:$F,$2:$2,0)),VLOOKUP($B:$B,'BS(과거)'!$A:$F,$2:$2,0),0)</f>
        <v>0</v>
      </c>
      <c r="L163" s="207">
        <f>IF(ISNUMBER(VLOOKUP($B:$B,'BS(과거)'!$A:$F,$2:$2,0)),VLOOKUP($B:$B,'BS(과거)'!$A:$F,$2:$2,0),0)</f>
        <v>0</v>
      </c>
      <c r="N163" s="207">
        <f>IF(ISNUMBER(VLOOKUP($B:$B,'BS(분기)'!$A:$F,$2:$2,0)),VLOOKUP($B:$B,'BS(분기)'!$A:$F,$2:$2,0),0)</f>
        <v>0</v>
      </c>
      <c r="O163" s="207">
        <f>IF(ISNUMBER(VLOOKUP($B:$B,'BS(분기)'!$A:$F,$2:$2,0)),VLOOKUP($B:$B,'BS(분기)'!$A:$F,$2:$2,0),0)</f>
        <v>0</v>
      </c>
      <c r="P163" s="207">
        <f>IF(ISNUMBER(VLOOKUP($B:$B,'BS(분기)'!$A:$F,$2:$2,0)),VLOOKUP($B:$B,'BS(분기)'!$A:$F,$2:$2,0),0)</f>
        <v>0</v>
      </c>
      <c r="Q163" s="207">
        <f>IF(ISNUMBER(VLOOKUP($B:$B,'BS(분기)'!$A:$F,$2:$2,0)),VLOOKUP($B:$B,'BS(분기)'!$A:$F,$2:$2,0),0)</f>
        <v>0</v>
      </c>
      <c r="R163" s="207">
        <f>IF(ISNUMBER(VLOOKUP($B:$B,'BS(분기)'!$A:$F,$2:$2,0)),VLOOKUP($B:$B,'BS(분기)'!$A:$F,$2:$2,0),0)</f>
        <v>0</v>
      </c>
    </row>
    <row r="164" spans="1:18" s="192" customFormat="1" ht="12">
      <c r="A164" s="201">
        <v>112030</v>
      </c>
      <c r="B164" s="194" t="s">
        <v>985</v>
      </c>
      <c r="C164" s="217">
        <f>IF(ISNUMBER(VLOOKUP($B:$B,BS!$A:$D,$2:$2,0)),VLOOKUP($B:$B,BS!$A:$D,$2:$2,0),0)</f>
        <v>0</v>
      </c>
      <c r="D164" s="217">
        <f>IF(ISNUMBER(VLOOKUP($B:$B,BS!$A:$D,$2:$2,0)),VLOOKUP($B:$B,BS!$A:$D,$2:$2,0),0)</f>
        <v>0</v>
      </c>
      <c r="E164" s="217">
        <f>IF(ISNUMBER(VLOOKUP($B:$B,BS!$A:$D,$2:$2,0)),VLOOKUP($B:$B,BS!$A:$D,$2:$2,0),0)</f>
        <v>0</v>
      </c>
      <c r="F164" s="217">
        <f>IF(ISNUMBER(VLOOKUP($B:$B,BS!$A:$D,$2:$2,0)),VLOOKUP($B:$B,BS!$A:$D,$2:$2,0),0)</f>
        <v>0</v>
      </c>
      <c r="G164" s="217">
        <f>IF(ISNUMBER(VLOOKUP($B:$B,BS!$A:$D,$2:$2,0)),VLOOKUP($B:$B,BS!$A:$D,$2:$2,0),0)</f>
        <v>0</v>
      </c>
      <c r="H164" s="207">
        <f>IF(ISNUMBER(VLOOKUP($B:$B,'BS(과거)'!$A:$F,$2:$2,0)),VLOOKUP($B:$B,'BS(과거)'!$A:$F,$2:$2,0),0)</f>
        <v>0</v>
      </c>
      <c r="I164" s="207">
        <f>IF(ISNUMBER(VLOOKUP($B:$B,'BS(과거)'!$A:$F,$2:$2,0)),VLOOKUP($B:$B,'BS(과거)'!$A:$F,$2:$2,0),0)</f>
        <v>0</v>
      </c>
      <c r="J164" s="207">
        <f>IF(ISNUMBER(VLOOKUP($B:$B,'BS(과거)'!$A:$F,$2:$2,0)),VLOOKUP($B:$B,'BS(과거)'!$A:$F,$2:$2,0),0)</f>
        <v>0</v>
      </c>
      <c r="K164" s="207">
        <f>IF(ISNUMBER(VLOOKUP($B:$B,'BS(과거)'!$A:$F,$2:$2,0)),VLOOKUP($B:$B,'BS(과거)'!$A:$F,$2:$2,0),0)</f>
        <v>0</v>
      </c>
      <c r="L164" s="207">
        <f>IF(ISNUMBER(VLOOKUP($B:$B,'BS(과거)'!$A:$F,$2:$2,0)),VLOOKUP($B:$B,'BS(과거)'!$A:$F,$2:$2,0),0)</f>
        <v>0</v>
      </c>
      <c r="N164" s="207">
        <f>IF(ISNUMBER(VLOOKUP($B:$B,'BS(분기)'!$A:$F,$2:$2,0)),VLOOKUP($B:$B,'BS(분기)'!$A:$F,$2:$2,0),0)</f>
        <v>0</v>
      </c>
      <c r="O164" s="207">
        <f>IF(ISNUMBER(VLOOKUP($B:$B,'BS(분기)'!$A:$F,$2:$2,0)),VLOOKUP($B:$B,'BS(분기)'!$A:$F,$2:$2,0),0)</f>
        <v>0</v>
      </c>
      <c r="P164" s="207">
        <f>IF(ISNUMBER(VLOOKUP($B:$B,'BS(분기)'!$A:$F,$2:$2,0)),VLOOKUP($B:$B,'BS(분기)'!$A:$F,$2:$2,0),0)</f>
        <v>0</v>
      </c>
      <c r="Q164" s="207">
        <f>IF(ISNUMBER(VLOOKUP($B:$B,'BS(분기)'!$A:$F,$2:$2,0)),VLOOKUP($B:$B,'BS(분기)'!$A:$F,$2:$2,0),0)</f>
        <v>0</v>
      </c>
      <c r="R164" s="207">
        <f>IF(ISNUMBER(VLOOKUP($B:$B,'BS(분기)'!$A:$F,$2:$2,0)),VLOOKUP($B:$B,'BS(분기)'!$A:$F,$2:$2,0),0)</f>
        <v>0</v>
      </c>
    </row>
    <row r="165" spans="1:18" s="192" customFormat="1" ht="12">
      <c r="A165" s="201">
        <v>112040</v>
      </c>
      <c r="B165" s="194" t="s">
        <v>986</v>
      </c>
      <c r="C165" s="217">
        <f>IF(ISNUMBER(VLOOKUP($B:$B,BS!$A:$D,$2:$2,0)),VLOOKUP($B:$B,BS!$A:$D,$2:$2,0),0)</f>
        <v>0</v>
      </c>
      <c r="D165" s="217">
        <f>IF(ISNUMBER(VLOOKUP($B:$B,BS!$A:$D,$2:$2,0)),VLOOKUP($B:$B,BS!$A:$D,$2:$2,0),0)</f>
        <v>0</v>
      </c>
      <c r="E165" s="217">
        <f>IF(ISNUMBER(VLOOKUP($B:$B,BS!$A:$D,$2:$2,0)),VLOOKUP($B:$B,BS!$A:$D,$2:$2,0),0)</f>
        <v>0</v>
      </c>
      <c r="F165" s="217">
        <f>IF(ISNUMBER(VLOOKUP($B:$B,BS!$A:$D,$2:$2,0)),VLOOKUP($B:$B,BS!$A:$D,$2:$2,0),0)</f>
        <v>0</v>
      </c>
      <c r="G165" s="217">
        <f>IF(ISNUMBER(VLOOKUP($B:$B,BS!$A:$D,$2:$2,0)),VLOOKUP($B:$B,BS!$A:$D,$2:$2,0),0)</f>
        <v>0</v>
      </c>
      <c r="H165" s="207">
        <f>IF(ISNUMBER(VLOOKUP($B:$B,'BS(과거)'!$A:$F,$2:$2,0)),VLOOKUP($B:$B,'BS(과거)'!$A:$F,$2:$2,0),0)</f>
        <v>0</v>
      </c>
      <c r="I165" s="207">
        <f>IF(ISNUMBER(VLOOKUP($B:$B,'BS(과거)'!$A:$F,$2:$2,0)),VLOOKUP($B:$B,'BS(과거)'!$A:$F,$2:$2,0),0)</f>
        <v>0</v>
      </c>
      <c r="J165" s="207">
        <f>IF(ISNUMBER(VLOOKUP($B:$B,'BS(과거)'!$A:$F,$2:$2,0)),VLOOKUP($B:$B,'BS(과거)'!$A:$F,$2:$2,0),0)</f>
        <v>0</v>
      </c>
      <c r="K165" s="207">
        <f>IF(ISNUMBER(VLOOKUP($B:$B,'BS(과거)'!$A:$F,$2:$2,0)),VLOOKUP($B:$B,'BS(과거)'!$A:$F,$2:$2,0),0)</f>
        <v>0</v>
      </c>
      <c r="L165" s="207">
        <f>IF(ISNUMBER(VLOOKUP($B:$B,'BS(과거)'!$A:$F,$2:$2,0)),VLOOKUP($B:$B,'BS(과거)'!$A:$F,$2:$2,0),0)</f>
        <v>0</v>
      </c>
      <c r="N165" s="207">
        <f>IF(ISNUMBER(VLOOKUP($B:$B,'BS(분기)'!$A:$F,$2:$2,0)),VLOOKUP($B:$B,'BS(분기)'!$A:$F,$2:$2,0),0)</f>
        <v>0</v>
      </c>
      <c r="O165" s="207">
        <f>IF(ISNUMBER(VLOOKUP($B:$B,'BS(분기)'!$A:$F,$2:$2,0)),VLOOKUP($B:$B,'BS(분기)'!$A:$F,$2:$2,0),0)</f>
        <v>0</v>
      </c>
      <c r="P165" s="207">
        <f>IF(ISNUMBER(VLOOKUP($B:$B,'BS(분기)'!$A:$F,$2:$2,0)),VLOOKUP($B:$B,'BS(분기)'!$A:$F,$2:$2,0),0)</f>
        <v>0</v>
      </c>
      <c r="Q165" s="207">
        <f>IF(ISNUMBER(VLOOKUP($B:$B,'BS(분기)'!$A:$F,$2:$2,0)),VLOOKUP($B:$B,'BS(분기)'!$A:$F,$2:$2,0),0)</f>
        <v>0</v>
      </c>
      <c r="R165" s="207">
        <f>IF(ISNUMBER(VLOOKUP($B:$B,'BS(분기)'!$A:$F,$2:$2,0)),VLOOKUP($B:$B,'BS(분기)'!$A:$F,$2:$2,0),0)</f>
        <v>0</v>
      </c>
    </row>
    <row r="166" spans="1:18" s="192" customFormat="1" ht="12">
      <c r="A166" s="201">
        <v>112042</v>
      </c>
      <c r="B166" s="194" t="s">
        <v>987</v>
      </c>
      <c r="C166" s="217">
        <f>IF(ISNUMBER(VLOOKUP($B:$B,BS!$A:$D,$2:$2,0)),VLOOKUP($B:$B,BS!$A:$D,$2:$2,0),0)</f>
        <v>0</v>
      </c>
      <c r="D166" s="217">
        <f>IF(ISNUMBER(VLOOKUP($B:$B,BS!$A:$D,$2:$2,0)),VLOOKUP($B:$B,BS!$A:$D,$2:$2,0),0)</f>
        <v>0</v>
      </c>
      <c r="E166" s="217">
        <f>IF(ISNUMBER(VLOOKUP($B:$B,BS!$A:$D,$2:$2,0)),VLOOKUP($B:$B,BS!$A:$D,$2:$2,0),0)</f>
        <v>0</v>
      </c>
      <c r="F166" s="217">
        <f>IF(ISNUMBER(VLOOKUP($B:$B,BS!$A:$D,$2:$2,0)),VLOOKUP($B:$B,BS!$A:$D,$2:$2,0),0)</f>
        <v>0</v>
      </c>
      <c r="G166" s="217">
        <f>IF(ISNUMBER(VLOOKUP($B:$B,BS!$A:$D,$2:$2,0)),VLOOKUP($B:$B,BS!$A:$D,$2:$2,0),0)</f>
        <v>0</v>
      </c>
      <c r="H166" s="207">
        <f>IF(ISNUMBER(VLOOKUP($B:$B,'BS(과거)'!$A:$F,$2:$2,0)),VLOOKUP($B:$B,'BS(과거)'!$A:$F,$2:$2,0),0)</f>
        <v>0</v>
      </c>
      <c r="I166" s="207">
        <f>IF(ISNUMBER(VLOOKUP($B:$B,'BS(과거)'!$A:$F,$2:$2,0)),VLOOKUP($B:$B,'BS(과거)'!$A:$F,$2:$2,0),0)</f>
        <v>0</v>
      </c>
      <c r="J166" s="207">
        <f>IF(ISNUMBER(VLOOKUP($B:$B,'BS(과거)'!$A:$F,$2:$2,0)),VLOOKUP($B:$B,'BS(과거)'!$A:$F,$2:$2,0),0)</f>
        <v>0</v>
      </c>
      <c r="K166" s="207">
        <f>IF(ISNUMBER(VLOOKUP($B:$B,'BS(과거)'!$A:$F,$2:$2,0)),VLOOKUP($B:$B,'BS(과거)'!$A:$F,$2:$2,0),0)</f>
        <v>0</v>
      </c>
      <c r="L166" s="207">
        <f>IF(ISNUMBER(VLOOKUP($B:$B,'BS(과거)'!$A:$F,$2:$2,0)),VLOOKUP($B:$B,'BS(과거)'!$A:$F,$2:$2,0),0)</f>
        <v>0</v>
      </c>
      <c r="N166" s="207">
        <f>IF(ISNUMBER(VLOOKUP($B:$B,'BS(분기)'!$A:$F,$2:$2,0)),VLOOKUP($B:$B,'BS(분기)'!$A:$F,$2:$2,0),0)</f>
        <v>0</v>
      </c>
      <c r="O166" s="207">
        <f>IF(ISNUMBER(VLOOKUP($B:$B,'BS(분기)'!$A:$F,$2:$2,0)),VLOOKUP($B:$B,'BS(분기)'!$A:$F,$2:$2,0),0)</f>
        <v>0</v>
      </c>
      <c r="P166" s="207">
        <f>IF(ISNUMBER(VLOOKUP($B:$B,'BS(분기)'!$A:$F,$2:$2,0)),VLOOKUP($B:$B,'BS(분기)'!$A:$F,$2:$2,0),0)</f>
        <v>0</v>
      </c>
      <c r="Q166" s="207">
        <f>IF(ISNUMBER(VLOOKUP($B:$B,'BS(분기)'!$A:$F,$2:$2,0)),VLOOKUP($B:$B,'BS(분기)'!$A:$F,$2:$2,0),0)</f>
        <v>0</v>
      </c>
      <c r="R166" s="207">
        <f>IF(ISNUMBER(VLOOKUP($B:$B,'BS(분기)'!$A:$F,$2:$2,0)),VLOOKUP($B:$B,'BS(분기)'!$A:$F,$2:$2,0),0)</f>
        <v>0</v>
      </c>
    </row>
    <row r="167" spans="1:18" s="192" customFormat="1" ht="12">
      <c r="A167" s="201">
        <v>112050</v>
      </c>
      <c r="B167" s="194" t="s">
        <v>988</v>
      </c>
      <c r="C167" s="217">
        <f>IF(ISNUMBER(VLOOKUP($B:$B,BS!$A:$D,$2:$2,0)),VLOOKUP($B:$B,BS!$A:$D,$2:$2,0),0)</f>
        <v>0</v>
      </c>
      <c r="D167" s="217">
        <f>IF(ISNUMBER(VLOOKUP($B:$B,BS!$A:$D,$2:$2,0)),VLOOKUP($B:$B,BS!$A:$D,$2:$2,0),0)</f>
        <v>0</v>
      </c>
      <c r="E167" s="217">
        <f>IF(ISNUMBER(VLOOKUP($B:$B,BS!$A:$D,$2:$2,0)),VLOOKUP($B:$B,BS!$A:$D,$2:$2,0),0)</f>
        <v>0</v>
      </c>
      <c r="F167" s="217">
        <f>IF(ISNUMBER(VLOOKUP($B:$B,BS!$A:$D,$2:$2,0)),VLOOKUP($B:$B,BS!$A:$D,$2:$2,0),0)</f>
        <v>0</v>
      </c>
      <c r="G167" s="217">
        <f>IF(ISNUMBER(VLOOKUP($B:$B,BS!$A:$D,$2:$2,0)),VLOOKUP($B:$B,BS!$A:$D,$2:$2,0),0)</f>
        <v>0</v>
      </c>
      <c r="H167" s="207">
        <f>IF(ISNUMBER(VLOOKUP($B:$B,'BS(과거)'!$A:$F,$2:$2,0)),VLOOKUP($B:$B,'BS(과거)'!$A:$F,$2:$2,0),0)</f>
        <v>0</v>
      </c>
      <c r="I167" s="207">
        <f>IF(ISNUMBER(VLOOKUP($B:$B,'BS(과거)'!$A:$F,$2:$2,0)),VLOOKUP($B:$B,'BS(과거)'!$A:$F,$2:$2,0),0)</f>
        <v>0</v>
      </c>
      <c r="J167" s="207">
        <f>IF(ISNUMBER(VLOOKUP($B:$B,'BS(과거)'!$A:$F,$2:$2,0)),VLOOKUP($B:$B,'BS(과거)'!$A:$F,$2:$2,0),0)</f>
        <v>0</v>
      </c>
      <c r="K167" s="207">
        <f>IF(ISNUMBER(VLOOKUP($B:$B,'BS(과거)'!$A:$F,$2:$2,0)),VLOOKUP($B:$B,'BS(과거)'!$A:$F,$2:$2,0),0)</f>
        <v>0</v>
      </c>
      <c r="L167" s="207">
        <f>IF(ISNUMBER(VLOOKUP($B:$B,'BS(과거)'!$A:$F,$2:$2,0)),VLOOKUP($B:$B,'BS(과거)'!$A:$F,$2:$2,0),0)</f>
        <v>0</v>
      </c>
      <c r="N167" s="207">
        <f>IF(ISNUMBER(VLOOKUP($B:$B,'BS(분기)'!$A:$F,$2:$2,0)),VLOOKUP($B:$B,'BS(분기)'!$A:$F,$2:$2,0),0)</f>
        <v>0</v>
      </c>
      <c r="O167" s="207">
        <f>IF(ISNUMBER(VLOOKUP($B:$B,'BS(분기)'!$A:$F,$2:$2,0)),VLOOKUP($B:$B,'BS(분기)'!$A:$F,$2:$2,0),0)</f>
        <v>0</v>
      </c>
      <c r="P167" s="207">
        <f>IF(ISNUMBER(VLOOKUP($B:$B,'BS(분기)'!$A:$F,$2:$2,0)),VLOOKUP($B:$B,'BS(분기)'!$A:$F,$2:$2,0),0)</f>
        <v>0</v>
      </c>
      <c r="Q167" s="207">
        <f>IF(ISNUMBER(VLOOKUP($B:$B,'BS(분기)'!$A:$F,$2:$2,0)),VLOOKUP($B:$B,'BS(분기)'!$A:$F,$2:$2,0),0)</f>
        <v>0</v>
      </c>
      <c r="R167" s="207">
        <f>IF(ISNUMBER(VLOOKUP($B:$B,'BS(분기)'!$A:$F,$2:$2,0)),VLOOKUP($B:$B,'BS(분기)'!$A:$F,$2:$2,0),0)</f>
        <v>0</v>
      </c>
    </row>
    <row r="168" spans="1:18" s="192" customFormat="1" ht="12">
      <c r="A168" s="201">
        <v>112051</v>
      </c>
      <c r="B168" s="194" t="s">
        <v>989</v>
      </c>
      <c r="C168" s="217">
        <f>IF(ISNUMBER(VLOOKUP($B:$B,BS!$A:$D,$2:$2,0)),VLOOKUP($B:$B,BS!$A:$D,$2:$2,0),0)</f>
        <v>0</v>
      </c>
      <c r="D168" s="217">
        <f>IF(ISNUMBER(VLOOKUP($B:$B,BS!$A:$D,$2:$2,0)),VLOOKUP($B:$B,BS!$A:$D,$2:$2,0),0)</f>
        <v>0</v>
      </c>
      <c r="E168" s="217">
        <f>IF(ISNUMBER(VLOOKUP($B:$B,BS!$A:$D,$2:$2,0)),VLOOKUP($B:$B,BS!$A:$D,$2:$2,0),0)</f>
        <v>0</v>
      </c>
      <c r="F168" s="217">
        <f>IF(ISNUMBER(VLOOKUP($B:$B,BS!$A:$D,$2:$2,0)),VLOOKUP($B:$B,BS!$A:$D,$2:$2,0),0)</f>
        <v>0</v>
      </c>
      <c r="G168" s="217">
        <f>IF(ISNUMBER(VLOOKUP($B:$B,BS!$A:$D,$2:$2,0)),VLOOKUP($B:$B,BS!$A:$D,$2:$2,0),0)</f>
        <v>0</v>
      </c>
      <c r="H168" s="207">
        <f>IF(ISNUMBER(VLOOKUP($B:$B,'BS(과거)'!$A:$F,$2:$2,0)),VLOOKUP($B:$B,'BS(과거)'!$A:$F,$2:$2,0),0)</f>
        <v>0</v>
      </c>
      <c r="I168" s="207">
        <f>IF(ISNUMBER(VLOOKUP($B:$B,'BS(과거)'!$A:$F,$2:$2,0)),VLOOKUP($B:$B,'BS(과거)'!$A:$F,$2:$2,0),0)</f>
        <v>0</v>
      </c>
      <c r="J168" s="207">
        <f>IF(ISNUMBER(VLOOKUP($B:$B,'BS(과거)'!$A:$F,$2:$2,0)),VLOOKUP($B:$B,'BS(과거)'!$A:$F,$2:$2,0),0)</f>
        <v>0</v>
      </c>
      <c r="K168" s="207">
        <f>IF(ISNUMBER(VLOOKUP($B:$B,'BS(과거)'!$A:$F,$2:$2,0)),VLOOKUP($B:$B,'BS(과거)'!$A:$F,$2:$2,0),0)</f>
        <v>0</v>
      </c>
      <c r="L168" s="207">
        <f>IF(ISNUMBER(VLOOKUP($B:$B,'BS(과거)'!$A:$F,$2:$2,0)),VLOOKUP($B:$B,'BS(과거)'!$A:$F,$2:$2,0),0)</f>
        <v>0</v>
      </c>
      <c r="N168" s="207">
        <f>IF(ISNUMBER(VLOOKUP($B:$B,'BS(분기)'!$A:$F,$2:$2,0)),VLOOKUP($B:$B,'BS(분기)'!$A:$F,$2:$2,0),0)</f>
        <v>0</v>
      </c>
      <c r="O168" s="207">
        <f>IF(ISNUMBER(VLOOKUP($B:$B,'BS(분기)'!$A:$F,$2:$2,0)),VLOOKUP($B:$B,'BS(분기)'!$A:$F,$2:$2,0),0)</f>
        <v>0</v>
      </c>
      <c r="P168" s="207">
        <f>IF(ISNUMBER(VLOOKUP($B:$B,'BS(분기)'!$A:$F,$2:$2,0)),VLOOKUP($B:$B,'BS(분기)'!$A:$F,$2:$2,0),0)</f>
        <v>0</v>
      </c>
      <c r="Q168" s="207">
        <f>IF(ISNUMBER(VLOOKUP($B:$B,'BS(분기)'!$A:$F,$2:$2,0)),VLOOKUP($B:$B,'BS(분기)'!$A:$F,$2:$2,0),0)</f>
        <v>0</v>
      </c>
      <c r="R168" s="207">
        <f>IF(ISNUMBER(VLOOKUP($B:$B,'BS(분기)'!$A:$F,$2:$2,0)),VLOOKUP($B:$B,'BS(분기)'!$A:$F,$2:$2,0),0)</f>
        <v>0</v>
      </c>
    </row>
    <row r="169" spans="1:18" s="192" customFormat="1" ht="12">
      <c r="A169" s="201">
        <v>112052</v>
      </c>
      <c r="B169" s="194" t="s">
        <v>990</v>
      </c>
      <c r="C169" s="217">
        <f>IF(ISNUMBER(VLOOKUP($B:$B,BS!$A:$D,$2:$2,0)),VLOOKUP($B:$B,BS!$A:$D,$2:$2,0),0)</f>
        <v>0</v>
      </c>
      <c r="D169" s="217">
        <f>IF(ISNUMBER(VLOOKUP($B:$B,BS!$A:$D,$2:$2,0)),VLOOKUP($B:$B,BS!$A:$D,$2:$2,0),0)</f>
        <v>0</v>
      </c>
      <c r="E169" s="217">
        <f>IF(ISNUMBER(VLOOKUP($B:$B,BS!$A:$D,$2:$2,0)),VLOOKUP($B:$B,BS!$A:$D,$2:$2,0),0)</f>
        <v>0</v>
      </c>
      <c r="F169" s="217">
        <f>IF(ISNUMBER(VLOOKUP($B:$B,BS!$A:$D,$2:$2,0)),VLOOKUP($B:$B,BS!$A:$D,$2:$2,0),0)</f>
        <v>0</v>
      </c>
      <c r="G169" s="217">
        <f>IF(ISNUMBER(VLOOKUP($B:$B,BS!$A:$D,$2:$2,0)),VLOOKUP($B:$B,BS!$A:$D,$2:$2,0),0)</f>
        <v>0</v>
      </c>
      <c r="H169" s="207">
        <f>IF(ISNUMBER(VLOOKUP($B:$B,'BS(과거)'!$A:$F,$2:$2,0)),VLOOKUP($B:$B,'BS(과거)'!$A:$F,$2:$2,0),0)</f>
        <v>0</v>
      </c>
      <c r="I169" s="207">
        <f>IF(ISNUMBER(VLOOKUP($B:$B,'BS(과거)'!$A:$F,$2:$2,0)),VLOOKUP($B:$B,'BS(과거)'!$A:$F,$2:$2,0),0)</f>
        <v>0</v>
      </c>
      <c r="J169" s="207">
        <f>IF(ISNUMBER(VLOOKUP($B:$B,'BS(과거)'!$A:$F,$2:$2,0)),VLOOKUP($B:$B,'BS(과거)'!$A:$F,$2:$2,0),0)</f>
        <v>0</v>
      </c>
      <c r="K169" s="207">
        <f>IF(ISNUMBER(VLOOKUP($B:$B,'BS(과거)'!$A:$F,$2:$2,0)),VLOOKUP($B:$B,'BS(과거)'!$A:$F,$2:$2,0),0)</f>
        <v>0</v>
      </c>
      <c r="L169" s="207">
        <f>IF(ISNUMBER(VLOOKUP($B:$B,'BS(과거)'!$A:$F,$2:$2,0)),VLOOKUP($B:$B,'BS(과거)'!$A:$F,$2:$2,0),0)</f>
        <v>0</v>
      </c>
      <c r="N169" s="207">
        <f>IF(ISNUMBER(VLOOKUP($B:$B,'BS(분기)'!$A:$F,$2:$2,0)),VLOOKUP($B:$B,'BS(분기)'!$A:$F,$2:$2,0),0)</f>
        <v>0</v>
      </c>
      <c r="O169" s="207">
        <f>IF(ISNUMBER(VLOOKUP($B:$B,'BS(분기)'!$A:$F,$2:$2,0)),VLOOKUP($B:$B,'BS(분기)'!$A:$F,$2:$2,0),0)</f>
        <v>0</v>
      </c>
      <c r="P169" s="207">
        <f>IF(ISNUMBER(VLOOKUP($B:$B,'BS(분기)'!$A:$F,$2:$2,0)),VLOOKUP($B:$B,'BS(분기)'!$A:$F,$2:$2,0),0)</f>
        <v>0</v>
      </c>
      <c r="Q169" s="207">
        <f>IF(ISNUMBER(VLOOKUP($B:$B,'BS(분기)'!$A:$F,$2:$2,0)),VLOOKUP($B:$B,'BS(분기)'!$A:$F,$2:$2,0),0)</f>
        <v>0</v>
      </c>
      <c r="R169" s="207">
        <f>IF(ISNUMBER(VLOOKUP($B:$B,'BS(분기)'!$A:$F,$2:$2,0)),VLOOKUP($B:$B,'BS(분기)'!$A:$F,$2:$2,0),0)</f>
        <v>0</v>
      </c>
    </row>
    <row r="170" spans="1:18" s="192" customFormat="1" ht="12">
      <c r="A170" s="201">
        <v>112053</v>
      </c>
      <c r="B170" s="194" t="s">
        <v>991</v>
      </c>
      <c r="C170" s="217">
        <f>IF(ISNUMBER(VLOOKUP($B:$B,BS!$A:$D,$2:$2,0)),VLOOKUP($B:$B,BS!$A:$D,$2:$2,0),0)</f>
        <v>0</v>
      </c>
      <c r="D170" s="217">
        <f>IF(ISNUMBER(VLOOKUP($B:$B,BS!$A:$D,$2:$2,0)),VLOOKUP($B:$B,BS!$A:$D,$2:$2,0),0)</f>
        <v>0</v>
      </c>
      <c r="E170" s="217">
        <f>IF(ISNUMBER(VLOOKUP($B:$B,BS!$A:$D,$2:$2,0)),VLOOKUP($B:$B,BS!$A:$D,$2:$2,0),0)</f>
        <v>0</v>
      </c>
      <c r="F170" s="217">
        <f>IF(ISNUMBER(VLOOKUP($B:$B,BS!$A:$D,$2:$2,0)),VLOOKUP($B:$B,BS!$A:$D,$2:$2,0),0)</f>
        <v>0</v>
      </c>
      <c r="G170" s="217">
        <f>IF(ISNUMBER(VLOOKUP($B:$B,BS!$A:$D,$2:$2,0)),VLOOKUP($B:$B,BS!$A:$D,$2:$2,0),0)</f>
        <v>0</v>
      </c>
      <c r="H170" s="207">
        <f>IF(ISNUMBER(VLOOKUP($B:$B,'BS(과거)'!$A:$F,$2:$2,0)),VLOOKUP($B:$B,'BS(과거)'!$A:$F,$2:$2,0),0)</f>
        <v>0</v>
      </c>
      <c r="I170" s="207">
        <f>IF(ISNUMBER(VLOOKUP($B:$B,'BS(과거)'!$A:$F,$2:$2,0)),VLOOKUP($B:$B,'BS(과거)'!$A:$F,$2:$2,0),0)</f>
        <v>0</v>
      </c>
      <c r="J170" s="207">
        <f>IF(ISNUMBER(VLOOKUP($B:$B,'BS(과거)'!$A:$F,$2:$2,0)),VLOOKUP($B:$B,'BS(과거)'!$A:$F,$2:$2,0),0)</f>
        <v>0</v>
      </c>
      <c r="K170" s="207">
        <f>IF(ISNUMBER(VLOOKUP($B:$B,'BS(과거)'!$A:$F,$2:$2,0)),VLOOKUP($B:$B,'BS(과거)'!$A:$F,$2:$2,0),0)</f>
        <v>0</v>
      </c>
      <c r="L170" s="207">
        <f>IF(ISNUMBER(VLOOKUP($B:$B,'BS(과거)'!$A:$F,$2:$2,0)),VLOOKUP($B:$B,'BS(과거)'!$A:$F,$2:$2,0),0)</f>
        <v>0</v>
      </c>
      <c r="N170" s="207">
        <f>IF(ISNUMBER(VLOOKUP($B:$B,'BS(분기)'!$A:$F,$2:$2,0)),VLOOKUP($B:$B,'BS(분기)'!$A:$F,$2:$2,0),0)</f>
        <v>0</v>
      </c>
      <c r="O170" s="207">
        <f>IF(ISNUMBER(VLOOKUP($B:$B,'BS(분기)'!$A:$F,$2:$2,0)),VLOOKUP($B:$B,'BS(분기)'!$A:$F,$2:$2,0),0)</f>
        <v>0</v>
      </c>
      <c r="P170" s="207">
        <f>IF(ISNUMBER(VLOOKUP($B:$B,'BS(분기)'!$A:$F,$2:$2,0)),VLOOKUP($B:$B,'BS(분기)'!$A:$F,$2:$2,0),0)</f>
        <v>0</v>
      </c>
      <c r="Q170" s="207">
        <f>IF(ISNUMBER(VLOOKUP($B:$B,'BS(분기)'!$A:$F,$2:$2,0)),VLOOKUP($B:$B,'BS(분기)'!$A:$F,$2:$2,0),0)</f>
        <v>0</v>
      </c>
      <c r="R170" s="207">
        <f>IF(ISNUMBER(VLOOKUP($B:$B,'BS(분기)'!$A:$F,$2:$2,0)),VLOOKUP($B:$B,'BS(분기)'!$A:$F,$2:$2,0),0)</f>
        <v>0</v>
      </c>
    </row>
    <row r="171" spans="1:18" s="192" customFormat="1" ht="12">
      <c r="A171" s="201">
        <v>112060</v>
      </c>
      <c r="B171" s="194" t="s">
        <v>992</v>
      </c>
      <c r="C171" s="217">
        <f>IF(ISNUMBER(VLOOKUP($B:$B,BS!$A:$D,$2:$2,0)),VLOOKUP($B:$B,BS!$A:$D,$2:$2,0),0)</f>
        <v>0</v>
      </c>
      <c r="D171" s="217">
        <f>IF(ISNUMBER(VLOOKUP($B:$B,BS!$A:$D,$2:$2,0)),VLOOKUP($B:$B,BS!$A:$D,$2:$2,0),0)</f>
        <v>0</v>
      </c>
      <c r="E171" s="217">
        <f>IF(ISNUMBER(VLOOKUP($B:$B,BS!$A:$D,$2:$2,0)),VLOOKUP($B:$B,BS!$A:$D,$2:$2,0),0)</f>
        <v>0</v>
      </c>
      <c r="F171" s="217">
        <f>IF(ISNUMBER(VLOOKUP($B:$B,BS!$A:$D,$2:$2,0)),VLOOKUP($B:$B,BS!$A:$D,$2:$2,0),0)</f>
        <v>0</v>
      </c>
      <c r="G171" s="217">
        <f>IF(ISNUMBER(VLOOKUP($B:$B,BS!$A:$D,$2:$2,0)),VLOOKUP($B:$B,BS!$A:$D,$2:$2,0),0)</f>
        <v>0</v>
      </c>
      <c r="H171" s="207">
        <f>IF(ISNUMBER(VLOOKUP($B:$B,'BS(과거)'!$A:$F,$2:$2,0)),VLOOKUP($B:$B,'BS(과거)'!$A:$F,$2:$2,0),0)</f>
        <v>0</v>
      </c>
      <c r="I171" s="207">
        <f>IF(ISNUMBER(VLOOKUP($B:$B,'BS(과거)'!$A:$F,$2:$2,0)),VLOOKUP($B:$B,'BS(과거)'!$A:$F,$2:$2,0),0)</f>
        <v>0</v>
      </c>
      <c r="J171" s="207">
        <f>IF(ISNUMBER(VLOOKUP($B:$B,'BS(과거)'!$A:$F,$2:$2,0)),VLOOKUP($B:$B,'BS(과거)'!$A:$F,$2:$2,0),0)</f>
        <v>0</v>
      </c>
      <c r="K171" s="207">
        <f>IF(ISNUMBER(VLOOKUP($B:$B,'BS(과거)'!$A:$F,$2:$2,0)),VLOOKUP($B:$B,'BS(과거)'!$A:$F,$2:$2,0),0)</f>
        <v>0</v>
      </c>
      <c r="L171" s="207">
        <f>IF(ISNUMBER(VLOOKUP($B:$B,'BS(과거)'!$A:$F,$2:$2,0)),VLOOKUP($B:$B,'BS(과거)'!$A:$F,$2:$2,0),0)</f>
        <v>0</v>
      </c>
      <c r="N171" s="207">
        <f>IF(ISNUMBER(VLOOKUP($B:$B,'BS(분기)'!$A:$F,$2:$2,0)),VLOOKUP($B:$B,'BS(분기)'!$A:$F,$2:$2,0),0)</f>
        <v>0</v>
      </c>
      <c r="O171" s="207">
        <f>IF(ISNUMBER(VLOOKUP($B:$B,'BS(분기)'!$A:$F,$2:$2,0)),VLOOKUP($B:$B,'BS(분기)'!$A:$F,$2:$2,0),0)</f>
        <v>0</v>
      </c>
      <c r="P171" s="207">
        <f>IF(ISNUMBER(VLOOKUP($B:$B,'BS(분기)'!$A:$F,$2:$2,0)),VLOOKUP($B:$B,'BS(분기)'!$A:$F,$2:$2,0),0)</f>
        <v>0</v>
      </c>
      <c r="Q171" s="207">
        <f>IF(ISNUMBER(VLOOKUP($B:$B,'BS(분기)'!$A:$F,$2:$2,0)),VLOOKUP($B:$B,'BS(분기)'!$A:$F,$2:$2,0),0)</f>
        <v>0</v>
      </c>
      <c r="R171" s="207">
        <f>IF(ISNUMBER(VLOOKUP($B:$B,'BS(분기)'!$A:$F,$2:$2,0)),VLOOKUP($B:$B,'BS(분기)'!$A:$F,$2:$2,0),0)</f>
        <v>0</v>
      </c>
    </row>
    <row r="172" spans="1:18" s="192" customFormat="1" ht="12">
      <c r="A172" s="201">
        <v>112061</v>
      </c>
      <c r="B172" s="194" t="s">
        <v>993</v>
      </c>
      <c r="C172" s="217">
        <f>IF(ISNUMBER(VLOOKUP($B:$B,BS!$A:$D,$2:$2,0)),VLOOKUP($B:$B,BS!$A:$D,$2:$2,0),0)</f>
        <v>0</v>
      </c>
      <c r="D172" s="217">
        <f>IF(ISNUMBER(VLOOKUP($B:$B,BS!$A:$D,$2:$2,0)),VLOOKUP($B:$B,BS!$A:$D,$2:$2,0),0)</f>
        <v>0</v>
      </c>
      <c r="E172" s="217">
        <f>IF(ISNUMBER(VLOOKUP($B:$B,BS!$A:$D,$2:$2,0)),VLOOKUP($B:$B,BS!$A:$D,$2:$2,0),0)</f>
        <v>0</v>
      </c>
      <c r="F172" s="217">
        <f>IF(ISNUMBER(VLOOKUP($B:$B,BS!$A:$D,$2:$2,0)),VLOOKUP($B:$B,BS!$A:$D,$2:$2,0),0)</f>
        <v>0</v>
      </c>
      <c r="G172" s="217">
        <f>IF(ISNUMBER(VLOOKUP($B:$B,BS!$A:$D,$2:$2,0)),VLOOKUP($B:$B,BS!$A:$D,$2:$2,0),0)</f>
        <v>0</v>
      </c>
      <c r="H172" s="207">
        <f>IF(ISNUMBER(VLOOKUP($B:$B,'BS(과거)'!$A:$F,$2:$2,0)),VLOOKUP($B:$B,'BS(과거)'!$A:$F,$2:$2,0),0)</f>
        <v>0</v>
      </c>
      <c r="I172" s="207">
        <f>IF(ISNUMBER(VLOOKUP($B:$B,'BS(과거)'!$A:$F,$2:$2,0)),VLOOKUP($B:$B,'BS(과거)'!$A:$F,$2:$2,0),0)</f>
        <v>0</v>
      </c>
      <c r="J172" s="207">
        <f>IF(ISNUMBER(VLOOKUP($B:$B,'BS(과거)'!$A:$F,$2:$2,0)),VLOOKUP($B:$B,'BS(과거)'!$A:$F,$2:$2,0),0)</f>
        <v>0</v>
      </c>
      <c r="K172" s="207">
        <f>IF(ISNUMBER(VLOOKUP($B:$B,'BS(과거)'!$A:$F,$2:$2,0)),VLOOKUP($B:$B,'BS(과거)'!$A:$F,$2:$2,0),0)</f>
        <v>0</v>
      </c>
      <c r="L172" s="207">
        <f>IF(ISNUMBER(VLOOKUP($B:$B,'BS(과거)'!$A:$F,$2:$2,0)),VLOOKUP($B:$B,'BS(과거)'!$A:$F,$2:$2,0),0)</f>
        <v>0</v>
      </c>
      <c r="N172" s="207">
        <f>IF(ISNUMBER(VLOOKUP($B:$B,'BS(분기)'!$A:$F,$2:$2,0)),VLOOKUP($B:$B,'BS(분기)'!$A:$F,$2:$2,0),0)</f>
        <v>0</v>
      </c>
      <c r="O172" s="207">
        <f>IF(ISNUMBER(VLOOKUP($B:$B,'BS(분기)'!$A:$F,$2:$2,0)),VLOOKUP($B:$B,'BS(분기)'!$A:$F,$2:$2,0),0)</f>
        <v>0</v>
      </c>
      <c r="P172" s="207">
        <f>IF(ISNUMBER(VLOOKUP($B:$B,'BS(분기)'!$A:$F,$2:$2,0)),VLOOKUP($B:$B,'BS(분기)'!$A:$F,$2:$2,0),0)</f>
        <v>0</v>
      </c>
      <c r="Q172" s="207">
        <f>IF(ISNUMBER(VLOOKUP($B:$B,'BS(분기)'!$A:$F,$2:$2,0)),VLOOKUP($B:$B,'BS(분기)'!$A:$F,$2:$2,0),0)</f>
        <v>0</v>
      </c>
      <c r="R172" s="207">
        <f>IF(ISNUMBER(VLOOKUP($B:$B,'BS(분기)'!$A:$F,$2:$2,0)),VLOOKUP($B:$B,'BS(분기)'!$A:$F,$2:$2,0),0)</f>
        <v>0</v>
      </c>
    </row>
    <row r="173" spans="1:18" s="192" customFormat="1" ht="12">
      <c r="A173" s="201">
        <v>112062</v>
      </c>
      <c r="B173" s="194" t="s">
        <v>994</v>
      </c>
      <c r="C173" s="217">
        <f>IF(ISNUMBER(VLOOKUP($B:$B,BS!$A:$D,$2:$2,0)),VLOOKUP($B:$B,BS!$A:$D,$2:$2,0),0)</f>
        <v>0</v>
      </c>
      <c r="D173" s="217">
        <f>IF(ISNUMBER(VLOOKUP($B:$B,BS!$A:$D,$2:$2,0)),VLOOKUP($B:$B,BS!$A:$D,$2:$2,0),0)</f>
        <v>0</v>
      </c>
      <c r="E173" s="217">
        <f>IF(ISNUMBER(VLOOKUP($B:$B,BS!$A:$D,$2:$2,0)),VLOOKUP($B:$B,BS!$A:$D,$2:$2,0),0)</f>
        <v>0</v>
      </c>
      <c r="F173" s="217">
        <f>IF(ISNUMBER(VLOOKUP($B:$B,BS!$A:$D,$2:$2,0)),VLOOKUP($B:$B,BS!$A:$D,$2:$2,0),0)</f>
        <v>0</v>
      </c>
      <c r="G173" s="217">
        <f>IF(ISNUMBER(VLOOKUP($B:$B,BS!$A:$D,$2:$2,0)),VLOOKUP($B:$B,BS!$A:$D,$2:$2,0),0)</f>
        <v>0</v>
      </c>
      <c r="H173" s="207">
        <f>IF(ISNUMBER(VLOOKUP($B:$B,'BS(과거)'!$A:$F,$2:$2,0)),VLOOKUP($B:$B,'BS(과거)'!$A:$F,$2:$2,0),0)</f>
        <v>0</v>
      </c>
      <c r="I173" s="207">
        <f>IF(ISNUMBER(VLOOKUP($B:$B,'BS(과거)'!$A:$F,$2:$2,0)),VLOOKUP($B:$B,'BS(과거)'!$A:$F,$2:$2,0),0)</f>
        <v>0</v>
      </c>
      <c r="J173" s="207">
        <f>IF(ISNUMBER(VLOOKUP($B:$B,'BS(과거)'!$A:$F,$2:$2,0)),VLOOKUP($B:$B,'BS(과거)'!$A:$F,$2:$2,0),0)</f>
        <v>0</v>
      </c>
      <c r="K173" s="207">
        <f>IF(ISNUMBER(VLOOKUP($B:$B,'BS(과거)'!$A:$F,$2:$2,0)),VLOOKUP($B:$B,'BS(과거)'!$A:$F,$2:$2,0),0)</f>
        <v>0</v>
      </c>
      <c r="L173" s="207">
        <f>IF(ISNUMBER(VLOOKUP($B:$B,'BS(과거)'!$A:$F,$2:$2,0)),VLOOKUP($B:$B,'BS(과거)'!$A:$F,$2:$2,0),0)</f>
        <v>0</v>
      </c>
      <c r="N173" s="207">
        <f>IF(ISNUMBER(VLOOKUP($B:$B,'BS(분기)'!$A:$F,$2:$2,0)),VLOOKUP($B:$B,'BS(분기)'!$A:$F,$2:$2,0),0)</f>
        <v>0</v>
      </c>
      <c r="O173" s="207">
        <f>IF(ISNUMBER(VLOOKUP($B:$B,'BS(분기)'!$A:$F,$2:$2,0)),VLOOKUP($B:$B,'BS(분기)'!$A:$F,$2:$2,0),0)</f>
        <v>0</v>
      </c>
      <c r="P173" s="207">
        <f>IF(ISNUMBER(VLOOKUP($B:$B,'BS(분기)'!$A:$F,$2:$2,0)),VLOOKUP($B:$B,'BS(분기)'!$A:$F,$2:$2,0),0)</f>
        <v>0</v>
      </c>
      <c r="Q173" s="207">
        <f>IF(ISNUMBER(VLOOKUP($B:$B,'BS(분기)'!$A:$F,$2:$2,0)),VLOOKUP($B:$B,'BS(분기)'!$A:$F,$2:$2,0),0)</f>
        <v>0</v>
      </c>
      <c r="R173" s="207">
        <f>IF(ISNUMBER(VLOOKUP($B:$B,'BS(분기)'!$A:$F,$2:$2,0)),VLOOKUP($B:$B,'BS(분기)'!$A:$F,$2:$2,0),0)</f>
        <v>0</v>
      </c>
    </row>
    <row r="174" spans="1:18" s="192" customFormat="1" ht="12">
      <c r="A174" s="201">
        <v>112090</v>
      </c>
      <c r="B174" s="194" t="s">
        <v>995</v>
      </c>
      <c r="C174" s="217">
        <f>IF(ISNUMBER(VLOOKUP($B:$B,BS!$A:$D,$2:$2,0)),VLOOKUP($B:$B,BS!$A:$D,$2:$2,0),0)</f>
        <v>0</v>
      </c>
      <c r="D174" s="217">
        <f>IF(ISNUMBER(VLOOKUP($B:$B,BS!$A:$D,$2:$2,0)),VLOOKUP($B:$B,BS!$A:$D,$2:$2,0),0)</f>
        <v>0</v>
      </c>
      <c r="E174" s="217">
        <f>IF(ISNUMBER(VLOOKUP($B:$B,BS!$A:$D,$2:$2,0)),VLOOKUP($B:$B,BS!$A:$D,$2:$2,0),0)</f>
        <v>0</v>
      </c>
      <c r="F174" s="217">
        <f>IF(ISNUMBER(VLOOKUP($B:$B,BS!$A:$D,$2:$2,0)),VLOOKUP($B:$B,BS!$A:$D,$2:$2,0),0)</f>
        <v>0</v>
      </c>
      <c r="G174" s="217">
        <f>IF(ISNUMBER(VLOOKUP($B:$B,BS!$A:$D,$2:$2,0)),VLOOKUP($B:$B,BS!$A:$D,$2:$2,0),0)</f>
        <v>0</v>
      </c>
      <c r="H174" s="207">
        <f>IF(ISNUMBER(VLOOKUP($B:$B,'BS(과거)'!$A:$F,$2:$2,0)),VLOOKUP($B:$B,'BS(과거)'!$A:$F,$2:$2,0),0)</f>
        <v>0</v>
      </c>
      <c r="I174" s="207">
        <f>IF(ISNUMBER(VLOOKUP($B:$B,'BS(과거)'!$A:$F,$2:$2,0)),VLOOKUP($B:$B,'BS(과거)'!$A:$F,$2:$2,0),0)</f>
        <v>0</v>
      </c>
      <c r="J174" s="207">
        <f>IF(ISNUMBER(VLOOKUP($B:$B,'BS(과거)'!$A:$F,$2:$2,0)),VLOOKUP($B:$B,'BS(과거)'!$A:$F,$2:$2,0),0)</f>
        <v>0</v>
      </c>
      <c r="K174" s="207">
        <f>IF(ISNUMBER(VLOOKUP($B:$B,'BS(과거)'!$A:$F,$2:$2,0)),VLOOKUP($B:$B,'BS(과거)'!$A:$F,$2:$2,0),0)</f>
        <v>0</v>
      </c>
      <c r="L174" s="207">
        <f>IF(ISNUMBER(VLOOKUP($B:$B,'BS(과거)'!$A:$F,$2:$2,0)),VLOOKUP($B:$B,'BS(과거)'!$A:$F,$2:$2,0),0)</f>
        <v>0</v>
      </c>
      <c r="N174" s="207">
        <f>IF(ISNUMBER(VLOOKUP($B:$B,'BS(분기)'!$A:$F,$2:$2,0)),VLOOKUP($B:$B,'BS(분기)'!$A:$F,$2:$2,0),0)</f>
        <v>0</v>
      </c>
      <c r="O174" s="207">
        <f>IF(ISNUMBER(VLOOKUP($B:$B,'BS(분기)'!$A:$F,$2:$2,0)),VLOOKUP($B:$B,'BS(분기)'!$A:$F,$2:$2,0),0)</f>
        <v>0</v>
      </c>
      <c r="P174" s="207">
        <f>IF(ISNUMBER(VLOOKUP($B:$B,'BS(분기)'!$A:$F,$2:$2,0)),VLOOKUP($B:$B,'BS(분기)'!$A:$F,$2:$2,0),0)</f>
        <v>0</v>
      </c>
      <c r="Q174" s="207">
        <f>IF(ISNUMBER(VLOOKUP($B:$B,'BS(분기)'!$A:$F,$2:$2,0)),VLOOKUP($B:$B,'BS(분기)'!$A:$F,$2:$2,0),0)</f>
        <v>0</v>
      </c>
      <c r="R174" s="207">
        <f>IF(ISNUMBER(VLOOKUP($B:$B,'BS(분기)'!$A:$F,$2:$2,0)),VLOOKUP($B:$B,'BS(분기)'!$A:$F,$2:$2,0),0)</f>
        <v>0</v>
      </c>
    </row>
    <row r="175" spans="1:18" s="192" customFormat="1" ht="12">
      <c r="A175" s="205">
        <v>114000</v>
      </c>
      <c r="B175" s="198" t="s">
        <v>2</v>
      </c>
      <c r="C175" s="217">
        <f>IF(ISNUMBER(VLOOKUP($B:$B,BS!$A:$D,$2:$2,0)),VLOOKUP($B:$B,BS!$A:$D,$2:$2,0),0)</f>
        <v>0</v>
      </c>
      <c r="D175" s="217">
        <f>IF(ISNUMBER(VLOOKUP($B:$B,BS!$A:$D,$2:$2,0)),VLOOKUP($B:$B,BS!$A:$D,$2:$2,0),0)</f>
        <v>0</v>
      </c>
      <c r="E175" s="217">
        <f>IF(ISNUMBER(VLOOKUP($B:$B,BS!$A:$D,$2:$2,0)),VLOOKUP($B:$B,BS!$A:$D,$2:$2,0),0)</f>
        <v>0</v>
      </c>
      <c r="F175" s="217">
        <f>IF(ISNUMBER(VLOOKUP($B:$B,BS!$A:$D,$2:$2,0)),VLOOKUP($B:$B,BS!$A:$D,$2:$2,0),0)</f>
        <v>0</v>
      </c>
      <c r="G175" s="217">
        <f>IF(ISNUMBER(VLOOKUP($B:$B,BS!$A:$D,$2:$2,0)),VLOOKUP($B:$B,BS!$A:$D,$2:$2,0),0)</f>
        <v>0</v>
      </c>
      <c r="H175" s="207">
        <f>IF(ISNUMBER(VLOOKUP($B:$B,'BS(과거)'!$A:$F,$2:$2,0)),VLOOKUP($B:$B,'BS(과거)'!$A:$F,$2:$2,0),0)</f>
        <v>0</v>
      </c>
      <c r="I175" s="207">
        <f>IF(ISNUMBER(VLOOKUP($B:$B,'BS(과거)'!$A:$F,$2:$2,0)),VLOOKUP($B:$B,'BS(과거)'!$A:$F,$2:$2,0),0)</f>
        <v>0</v>
      </c>
      <c r="J175" s="207">
        <f>IF(ISNUMBER(VLOOKUP($B:$B,'BS(과거)'!$A:$F,$2:$2,0)),VLOOKUP($B:$B,'BS(과거)'!$A:$F,$2:$2,0),0)</f>
        <v>0</v>
      </c>
      <c r="K175" s="207">
        <f>IF(ISNUMBER(VLOOKUP($B:$B,'BS(과거)'!$A:$F,$2:$2,0)),VLOOKUP($B:$B,'BS(과거)'!$A:$F,$2:$2,0),0)</f>
        <v>0</v>
      </c>
      <c r="L175" s="207">
        <f>IF(ISNUMBER(VLOOKUP($B:$B,'BS(과거)'!$A:$F,$2:$2,0)),VLOOKUP($B:$B,'BS(과거)'!$A:$F,$2:$2,0),0)</f>
        <v>0</v>
      </c>
      <c r="N175" s="207">
        <f>IF(ISNUMBER(VLOOKUP($B:$B,'BS(분기)'!$A:$F,$2:$2,0)),VLOOKUP($B:$B,'BS(분기)'!$A:$F,$2:$2,0),0)</f>
        <v>0</v>
      </c>
      <c r="O175" s="207">
        <f>IF(ISNUMBER(VLOOKUP($B:$B,'BS(분기)'!$A:$F,$2:$2,0)),VLOOKUP($B:$B,'BS(분기)'!$A:$F,$2:$2,0),0)</f>
        <v>0</v>
      </c>
      <c r="P175" s="207">
        <f>IF(ISNUMBER(VLOOKUP($B:$B,'BS(분기)'!$A:$F,$2:$2,0)),VLOOKUP($B:$B,'BS(분기)'!$A:$F,$2:$2,0),0)</f>
        <v>0</v>
      </c>
      <c r="Q175" s="207">
        <f>IF(ISNUMBER(VLOOKUP($B:$B,'BS(분기)'!$A:$F,$2:$2,0)),VLOOKUP($B:$B,'BS(분기)'!$A:$F,$2:$2,0),0)</f>
        <v>0</v>
      </c>
      <c r="R175" s="207">
        <f>IF(ISNUMBER(VLOOKUP($B:$B,'BS(분기)'!$A:$F,$2:$2,0)),VLOOKUP($B:$B,'BS(분기)'!$A:$F,$2:$2,0),0)</f>
        <v>0</v>
      </c>
    </row>
    <row r="176" spans="1:18" s="192" customFormat="1" ht="12">
      <c r="A176" s="201">
        <v>113000</v>
      </c>
      <c r="B176" s="194" t="s">
        <v>805</v>
      </c>
      <c r="C176" s="217">
        <f>IF(ISNUMBER(VLOOKUP($B:$B,BS!$A:$D,$2:$2,0)),VLOOKUP($B:$B,BS!$A:$D,$2:$2,0),0)</f>
        <v>0</v>
      </c>
      <c r="D176" s="217">
        <f>IF(ISNUMBER(VLOOKUP($B:$B,BS!$A:$D,$2:$2,0)),VLOOKUP($B:$B,BS!$A:$D,$2:$2,0),0)</f>
        <v>0</v>
      </c>
      <c r="E176" s="217">
        <f>IF(ISNUMBER(VLOOKUP($B:$B,BS!$A:$D,$2:$2,0)),VLOOKUP($B:$B,BS!$A:$D,$2:$2,0),0)</f>
        <v>0</v>
      </c>
      <c r="F176" s="217">
        <f>IF(ISNUMBER(VLOOKUP($B:$B,BS!$A:$D,$2:$2,0)),VLOOKUP($B:$B,BS!$A:$D,$2:$2,0),0)</f>
        <v>0</v>
      </c>
      <c r="G176" s="217">
        <f>IF(ISNUMBER(VLOOKUP($B:$B,BS!$A:$D,$2:$2,0)),VLOOKUP($B:$B,BS!$A:$D,$2:$2,0),0)</f>
        <v>0</v>
      </c>
      <c r="H176" s="207">
        <f>IF(ISNUMBER(VLOOKUP($B:$B,'BS(과거)'!$A:$F,$2:$2,0)),VLOOKUP($B:$B,'BS(과거)'!$A:$F,$2:$2,0),0)</f>
        <v>0</v>
      </c>
      <c r="I176" s="207">
        <f>IF(ISNUMBER(VLOOKUP($B:$B,'BS(과거)'!$A:$F,$2:$2,0)),VLOOKUP($B:$B,'BS(과거)'!$A:$F,$2:$2,0),0)</f>
        <v>0</v>
      </c>
      <c r="J176" s="207">
        <f>IF(ISNUMBER(VLOOKUP($B:$B,'BS(과거)'!$A:$F,$2:$2,0)),VLOOKUP($B:$B,'BS(과거)'!$A:$F,$2:$2,0),0)</f>
        <v>0</v>
      </c>
      <c r="K176" s="207">
        <f>IF(ISNUMBER(VLOOKUP($B:$B,'BS(과거)'!$A:$F,$2:$2,0)),VLOOKUP($B:$B,'BS(과거)'!$A:$F,$2:$2,0),0)</f>
        <v>0</v>
      </c>
      <c r="L176" s="207">
        <f>IF(ISNUMBER(VLOOKUP($B:$B,'BS(과거)'!$A:$F,$2:$2,0)),VLOOKUP($B:$B,'BS(과거)'!$A:$F,$2:$2,0),0)</f>
        <v>0</v>
      </c>
      <c r="N176" s="207">
        <f>IF(ISNUMBER(VLOOKUP($B:$B,'BS(분기)'!$A:$F,$2:$2,0)),VLOOKUP($B:$B,'BS(분기)'!$A:$F,$2:$2,0),0)</f>
        <v>0</v>
      </c>
      <c r="O176" s="207">
        <f>IF(ISNUMBER(VLOOKUP($B:$B,'BS(분기)'!$A:$F,$2:$2,0)),VLOOKUP($B:$B,'BS(분기)'!$A:$F,$2:$2,0),0)</f>
        <v>0</v>
      </c>
      <c r="P176" s="207">
        <f>IF(ISNUMBER(VLOOKUP($B:$B,'BS(분기)'!$A:$F,$2:$2,0)),VLOOKUP($B:$B,'BS(분기)'!$A:$F,$2:$2,0),0)</f>
        <v>0</v>
      </c>
      <c r="Q176" s="207">
        <f>IF(ISNUMBER(VLOOKUP($B:$B,'BS(분기)'!$A:$F,$2:$2,0)),VLOOKUP($B:$B,'BS(분기)'!$A:$F,$2:$2,0),0)</f>
        <v>0</v>
      </c>
      <c r="R176" s="207">
        <f>IF(ISNUMBER(VLOOKUP($B:$B,'BS(분기)'!$A:$F,$2:$2,0)),VLOOKUP($B:$B,'BS(분기)'!$A:$F,$2:$2,0),0)</f>
        <v>0</v>
      </c>
    </row>
    <row r="177" spans="1:18" s="192" customFormat="1" ht="12">
      <c r="A177" s="201">
        <v>113005</v>
      </c>
      <c r="B177" s="194" t="s">
        <v>996</v>
      </c>
      <c r="C177" s="217">
        <f>IF(ISNUMBER(VLOOKUP($B:$B,BS!$A:$D,$2:$2,0)),VLOOKUP($B:$B,BS!$A:$D,$2:$2,0),0)</f>
        <v>0</v>
      </c>
      <c r="D177" s="217">
        <f>IF(ISNUMBER(VLOOKUP($B:$B,BS!$A:$D,$2:$2,0)),VLOOKUP($B:$B,BS!$A:$D,$2:$2,0),0)</f>
        <v>0</v>
      </c>
      <c r="E177" s="217">
        <f>IF(ISNUMBER(VLOOKUP($B:$B,BS!$A:$D,$2:$2,0)),VLOOKUP($B:$B,BS!$A:$D,$2:$2,0),0)</f>
        <v>0</v>
      </c>
      <c r="F177" s="217">
        <f>IF(ISNUMBER(VLOOKUP($B:$B,BS!$A:$D,$2:$2,0)),VLOOKUP($B:$B,BS!$A:$D,$2:$2,0),0)</f>
        <v>0</v>
      </c>
      <c r="G177" s="217">
        <f>IF(ISNUMBER(VLOOKUP($B:$B,BS!$A:$D,$2:$2,0)),VLOOKUP($B:$B,BS!$A:$D,$2:$2,0),0)</f>
        <v>0</v>
      </c>
      <c r="H177" s="207">
        <f>IF(ISNUMBER(VLOOKUP($B:$B,'BS(과거)'!$A:$F,$2:$2,0)),VLOOKUP($B:$B,'BS(과거)'!$A:$F,$2:$2,0),0)</f>
        <v>0</v>
      </c>
      <c r="I177" s="207">
        <f>IF(ISNUMBER(VLOOKUP($B:$B,'BS(과거)'!$A:$F,$2:$2,0)),VLOOKUP($B:$B,'BS(과거)'!$A:$F,$2:$2,0),0)</f>
        <v>0</v>
      </c>
      <c r="J177" s="207">
        <f>IF(ISNUMBER(VLOOKUP($B:$B,'BS(과거)'!$A:$F,$2:$2,0)),VLOOKUP($B:$B,'BS(과거)'!$A:$F,$2:$2,0),0)</f>
        <v>0</v>
      </c>
      <c r="K177" s="207">
        <f>IF(ISNUMBER(VLOOKUP($B:$B,'BS(과거)'!$A:$F,$2:$2,0)),VLOOKUP($B:$B,'BS(과거)'!$A:$F,$2:$2,0),0)</f>
        <v>0</v>
      </c>
      <c r="L177" s="207">
        <f>IF(ISNUMBER(VLOOKUP($B:$B,'BS(과거)'!$A:$F,$2:$2,0)),VLOOKUP($B:$B,'BS(과거)'!$A:$F,$2:$2,0),0)</f>
        <v>0</v>
      </c>
      <c r="N177" s="207">
        <f>IF(ISNUMBER(VLOOKUP($B:$B,'BS(분기)'!$A:$F,$2:$2,0)),VLOOKUP($B:$B,'BS(분기)'!$A:$F,$2:$2,0),0)</f>
        <v>0</v>
      </c>
      <c r="O177" s="207">
        <f>IF(ISNUMBER(VLOOKUP($B:$B,'BS(분기)'!$A:$F,$2:$2,0)),VLOOKUP($B:$B,'BS(분기)'!$A:$F,$2:$2,0),0)</f>
        <v>0</v>
      </c>
      <c r="P177" s="207">
        <f>IF(ISNUMBER(VLOOKUP($B:$B,'BS(분기)'!$A:$F,$2:$2,0)),VLOOKUP($B:$B,'BS(분기)'!$A:$F,$2:$2,0),0)</f>
        <v>0</v>
      </c>
      <c r="Q177" s="207">
        <f>IF(ISNUMBER(VLOOKUP($B:$B,'BS(분기)'!$A:$F,$2:$2,0)),VLOOKUP($B:$B,'BS(분기)'!$A:$F,$2:$2,0),0)</f>
        <v>0</v>
      </c>
      <c r="R177" s="207">
        <f>IF(ISNUMBER(VLOOKUP($B:$B,'BS(분기)'!$A:$F,$2:$2,0)),VLOOKUP($B:$B,'BS(분기)'!$A:$F,$2:$2,0),0)</f>
        <v>0</v>
      </c>
    </row>
    <row r="178" spans="1:18" s="192" customFormat="1" ht="12">
      <c r="A178" s="201">
        <v>113006</v>
      </c>
      <c r="B178" s="194" t="s">
        <v>997</v>
      </c>
      <c r="C178" s="217">
        <f>IF(ISNUMBER(VLOOKUP($B:$B,BS!$A:$D,$2:$2,0)),VLOOKUP($B:$B,BS!$A:$D,$2:$2,0),0)</f>
        <v>0</v>
      </c>
      <c r="D178" s="217">
        <f>IF(ISNUMBER(VLOOKUP($B:$B,BS!$A:$D,$2:$2,0)),VLOOKUP($B:$B,BS!$A:$D,$2:$2,0),0)</f>
        <v>0</v>
      </c>
      <c r="E178" s="217">
        <f>IF(ISNUMBER(VLOOKUP($B:$B,BS!$A:$D,$2:$2,0)),VLOOKUP($B:$B,BS!$A:$D,$2:$2,0),0)</f>
        <v>0</v>
      </c>
      <c r="F178" s="217">
        <f>IF(ISNUMBER(VLOOKUP($B:$B,BS!$A:$D,$2:$2,0)),VLOOKUP($B:$B,BS!$A:$D,$2:$2,0),0)</f>
        <v>0</v>
      </c>
      <c r="G178" s="217">
        <f>IF(ISNUMBER(VLOOKUP($B:$B,BS!$A:$D,$2:$2,0)),VLOOKUP($B:$B,BS!$A:$D,$2:$2,0),0)</f>
        <v>0</v>
      </c>
      <c r="H178" s="207">
        <f>IF(ISNUMBER(VLOOKUP($B:$B,'BS(과거)'!$A:$F,$2:$2,0)),VLOOKUP($B:$B,'BS(과거)'!$A:$F,$2:$2,0),0)</f>
        <v>0</v>
      </c>
      <c r="I178" s="207">
        <f>IF(ISNUMBER(VLOOKUP($B:$B,'BS(과거)'!$A:$F,$2:$2,0)),VLOOKUP($B:$B,'BS(과거)'!$A:$F,$2:$2,0),0)</f>
        <v>0</v>
      </c>
      <c r="J178" s="207">
        <f>IF(ISNUMBER(VLOOKUP($B:$B,'BS(과거)'!$A:$F,$2:$2,0)),VLOOKUP($B:$B,'BS(과거)'!$A:$F,$2:$2,0),0)</f>
        <v>0</v>
      </c>
      <c r="K178" s="207">
        <f>IF(ISNUMBER(VLOOKUP($B:$B,'BS(과거)'!$A:$F,$2:$2,0)),VLOOKUP($B:$B,'BS(과거)'!$A:$F,$2:$2,0),0)</f>
        <v>0</v>
      </c>
      <c r="L178" s="207">
        <f>IF(ISNUMBER(VLOOKUP($B:$B,'BS(과거)'!$A:$F,$2:$2,0)),VLOOKUP($B:$B,'BS(과거)'!$A:$F,$2:$2,0),0)</f>
        <v>0</v>
      </c>
      <c r="N178" s="207">
        <f>IF(ISNUMBER(VLOOKUP($B:$B,'BS(분기)'!$A:$F,$2:$2,0)),VLOOKUP($B:$B,'BS(분기)'!$A:$F,$2:$2,0),0)</f>
        <v>0</v>
      </c>
      <c r="O178" s="207">
        <f>IF(ISNUMBER(VLOOKUP($B:$B,'BS(분기)'!$A:$F,$2:$2,0)),VLOOKUP($B:$B,'BS(분기)'!$A:$F,$2:$2,0),0)</f>
        <v>0</v>
      </c>
      <c r="P178" s="207">
        <f>IF(ISNUMBER(VLOOKUP($B:$B,'BS(분기)'!$A:$F,$2:$2,0)),VLOOKUP($B:$B,'BS(분기)'!$A:$F,$2:$2,0),0)</f>
        <v>0</v>
      </c>
      <c r="Q178" s="207">
        <f>IF(ISNUMBER(VLOOKUP($B:$B,'BS(분기)'!$A:$F,$2:$2,0)),VLOOKUP($B:$B,'BS(분기)'!$A:$F,$2:$2,0),0)</f>
        <v>0</v>
      </c>
      <c r="R178" s="207">
        <f>IF(ISNUMBER(VLOOKUP($B:$B,'BS(분기)'!$A:$F,$2:$2,0)),VLOOKUP($B:$B,'BS(분기)'!$A:$F,$2:$2,0),0)</f>
        <v>0</v>
      </c>
    </row>
    <row r="179" spans="1:18" s="192" customFormat="1" ht="12">
      <c r="A179" s="202">
        <v>112111</v>
      </c>
      <c r="B179" s="195" t="s">
        <v>566</v>
      </c>
      <c r="C179" s="217">
        <f>IF(ISNUMBER(VLOOKUP($B:$B,BS!$A:$D,$2:$2,0)),VLOOKUP($B:$B,BS!$A:$D,$2:$2,0),0)</f>
        <v>0</v>
      </c>
      <c r="D179" s="217">
        <f>IF(ISNUMBER(VLOOKUP($B:$B,BS!$A:$D,$2:$2,0)),VLOOKUP($B:$B,BS!$A:$D,$2:$2,0),0)</f>
        <v>0</v>
      </c>
      <c r="E179" s="217">
        <f>IF(ISNUMBER(VLOOKUP($B:$B,BS!$A:$D,$2:$2,0)),VLOOKUP($B:$B,BS!$A:$D,$2:$2,0),0)</f>
        <v>0</v>
      </c>
      <c r="F179" s="217">
        <f>IF(ISNUMBER(VLOOKUP($B:$B,BS!$A:$D,$2:$2,0)),VLOOKUP($B:$B,BS!$A:$D,$2:$2,0),0)</f>
        <v>0</v>
      </c>
      <c r="G179" s="217">
        <f>IF(ISNUMBER(VLOOKUP($B:$B,BS!$A:$D,$2:$2,0)),VLOOKUP($B:$B,BS!$A:$D,$2:$2,0),0)</f>
        <v>0</v>
      </c>
      <c r="H179" s="207">
        <f>IF(ISNUMBER(VLOOKUP($B:$B,'BS(과거)'!$A:$F,$2:$2,0)),VLOOKUP($B:$B,'BS(과거)'!$A:$F,$2:$2,0),0)</f>
        <v>0</v>
      </c>
      <c r="I179" s="207">
        <f>IF(ISNUMBER(VLOOKUP($B:$B,'BS(과거)'!$A:$F,$2:$2,0)),VLOOKUP($B:$B,'BS(과거)'!$A:$F,$2:$2,0),0)</f>
        <v>0</v>
      </c>
      <c r="J179" s="207">
        <f>IF(ISNUMBER(VLOOKUP($B:$B,'BS(과거)'!$A:$F,$2:$2,0)),VLOOKUP($B:$B,'BS(과거)'!$A:$F,$2:$2,0),0)</f>
        <v>0</v>
      </c>
      <c r="K179" s="207">
        <f>IF(ISNUMBER(VLOOKUP($B:$B,'BS(과거)'!$A:$F,$2:$2,0)),VLOOKUP($B:$B,'BS(과거)'!$A:$F,$2:$2,0),0)</f>
        <v>0</v>
      </c>
      <c r="L179" s="207">
        <f>IF(ISNUMBER(VLOOKUP($B:$B,'BS(과거)'!$A:$F,$2:$2,0)),VLOOKUP($B:$B,'BS(과거)'!$A:$F,$2:$2,0),0)</f>
        <v>0</v>
      </c>
      <c r="N179" s="207">
        <f>IF(ISNUMBER(VLOOKUP($B:$B,'BS(분기)'!$A:$F,$2:$2,0)),VLOOKUP($B:$B,'BS(분기)'!$A:$F,$2:$2,0),0)</f>
        <v>0</v>
      </c>
      <c r="O179" s="207">
        <f>IF(ISNUMBER(VLOOKUP($B:$B,'BS(분기)'!$A:$F,$2:$2,0)),VLOOKUP($B:$B,'BS(분기)'!$A:$F,$2:$2,0),0)</f>
        <v>0</v>
      </c>
      <c r="P179" s="207">
        <f>IF(ISNUMBER(VLOOKUP($B:$B,'BS(분기)'!$A:$F,$2:$2,0)),VLOOKUP($B:$B,'BS(분기)'!$A:$F,$2:$2,0),0)</f>
        <v>0</v>
      </c>
      <c r="Q179" s="207">
        <f>IF(ISNUMBER(VLOOKUP($B:$B,'BS(분기)'!$A:$F,$2:$2,0)),VLOOKUP($B:$B,'BS(분기)'!$A:$F,$2:$2,0),0)</f>
        <v>0</v>
      </c>
      <c r="R179" s="207">
        <f>IF(ISNUMBER(VLOOKUP($B:$B,'BS(분기)'!$A:$F,$2:$2,0)),VLOOKUP($B:$B,'BS(분기)'!$A:$F,$2:$2,0),0)</f>
        <v>0</v>
      </c>
    </row>
    <row r="180" spans="1:18" s="192" customFormat="1" ht="12">
      <c r="A180" s="202">
        <v>112101</v>
      </c>
      <c r="B180" s="195" t="s">
        <v>871</v>
      </c>
      <c r="C180" s="217">
        <f>IF(ISNUMBER(VLOOKUP($B:$B,BS!$A:$D,$2:$2,0)),VLOOKUP($B:$B,BS!$A:$D,$2:$2,0),0)</f>
        <v>0</v>
      </c>
      <c r="D180" s="217">
        <f>IF(ISNUMBER(VLOOKUP($B:$B,BS!$A:$D,$2:$2,0)),VLOOKUP($B:$B,BS!$A:$D,$2:$2,0),0)</f>
        <v>0</v>
      </c>
      <c r="E180" s="217">
        <f>IF(ISNUMBER(VLOOKUP($B:$B,BS!$A:$D,$2:$2,0)),VLOOKUP($B:$B,BS!$A:$D,$2:$2,0),0)</f>
        <v>0</v>
      </c>
      <c r="F180" s="217">
        <f>IF(ISNUMBER(VLOOKUP($B:$B,BS!$A:$D,$2:$2,0)),VLOOKUP($B:$B,BS!$A:$D,$2:$2,0),0)</f>
        <v>0</v>
      </c>
      <c r="G180" s="217">
        <f>IF(ISNUMBER(VLOOKUP($B:$B,BS!$A:$D,$2:$2,0)),VLOOKUP($B:$B,BS!$A:$D,$2:$2,0),0)</f>
        <v>0</v>
      </c>
      <c r="H180" s="207">
        <f>IF(ISNUMBER(VLOOKUP($B:$B,'BS(과거)'!$A:$F,$2:$2,0)),VLOOKUP($B:$B,'BS(과거)'!$A:$F,$2:$2,0),0)</f>
        <v>0</v>
      </c>
      <c r="I180" s="207">
        <f>IF(ISNUMBER(VLOOKUP($B:$B,'BS(과거)'!$A:$F,$2:$2,0)),VLOOKUP($B:$B,'BS(과거)'!$A:$F,$2:$2,0),0)</f>
        <v>0</v>
      </c>
      <c r="J180" s="207">
        <f>IF(ISNUMBER(VLOOKUP($B:$B,'BS(과거)'!$A:$F,$2:$2,0)),VLOOKUP($B:$B,'BS(과거)'!$A:$F,$2:$2,0),0)</f>
        <v>0</v>
      </c>
      <c r="K180" s="207">
        <f>IF(ISNUMBER(VLOOKUP($B:$B,'BS(과거)'!$A:$F,$2:$2,0)),VLOOKUP($B:$B,'BS(과거)'!$A:$F,$2:$2,0),0)</f>
        <v>0</v>
      </c>
      <c r="L180" s="207">
        <f>IF(ISNUMBER(VLOOKUP($B:$B,'BS(과거)'!$A:$F,$2:$2,0)),VLOOKUP($B:$B,'BS(과거)'!$A:$F,$2:$2,0),0)</f>
        <v>0</v>
      </c>
      <c r="N180" s="207">
        <f>IF(ISNUMBER(VLOOKUP($B:$B,'BS(분기)'!$A:$F,$2:$2,0)),VLOOKUP($B:$B,'BS(분기)'!$A:$F,$2:$2,0),0)</f>
        <v>0</v>
      </c>
      <c r="O180" s="207">
        <f>IF(ISNUMBER(VLOOKUP($B:$B,'BS(분기)'!$A:$F,$2:$2,0)),VLOOKUP($B:$B,'BS(분기)'!$A:$F,$2:$2,0),0)</f>
        <v>0</v>
      </c>
      <c r="P180" s="207">
        <f>IF(ISNUMBER(VLOOKUP($B:$B,'BS(분기)'!$A:$F,$2:$2,0)),VLOOKUP($B:$B,'BS(분기)'!$A:$F,$2:$2,0),0)</f>
        <v>0</v>
      </c>
      <c r="Q180" s="207">
        <f>IF(ISNUMBER(VLOOKUP($B:$B,'BS(분기)'!$A:$F,$2:$2,0)),VLOOKUP($B:$B,'BS(분기)'!$A:$F,$2:$2,0),0)</f>
        <v>0</v>
      </c>
      <c r="R180" s="207">
        <f>IF(ISNUMBER(VLOOKUP($B:$B,'BS(분기)'!$A:$F,$2:$2,0)),VLOOKUP($B:$B,'BS(분기)'!$A:$F,$2:$2,0),0)</f>
        <v>0</v>
      </c>
    </row>
    <row r="181" spans="1:18" s="192" customFormat="1" ht="12">
      <c r="A181" s="202">
        <v>112112</v>
      </c>
      <c r="B181" s="195" t="s">
        <v>998</v>
      </c>
      <c r="C181" s="217">
        <f>IF(ISNUMBER(VLOOKUP($B:$B,BS!$A:$D,$2:$2,0)),VLOOKUP($B:$B,BS!$A:$D,$2:$2,0),0)</f>
        <v>0</v>
      </c>
      <c r="D181" s="217">
        <f>IF(ISNUMBER(VLOOKUP($B:$B,BS!$A:$D,$2:$2,0)),VLOOKUP($B:$B,BS!$A:$D,$2:$2,0),0)</f>
        <v>0</v>
      </c>
      <c r="E181" s="217">
        <f>IF(ISNUMBER(VLOOKUP($B:$B,BS!$A:$D,$2:$2,0)),VLOOKUP($B:$B,BS!$A:$D,$2:$2,0),0)</f>
        <v>0</v>
      </c>
      <c r="F181" s="217">
        <f>IF(ISNUMBER(VLOOKUP($B:$B,BS!$A:$D,$2:$2,0)),VLOOKUP($B:$B,BS!$A:$D,$2:$2,0),0)</f>
        <v>0</v>
      </c>
      <c r="G181" s="217">
        <f>IF(ISNUMBER(VLOOKUP($B:$B,BS!$A:$D,$2:$2,0)),VLOOKUP($B:$B,BS!$A:$D,$2:$2,0),0)</f>
        <v>0</v>
      </c>
      <c r="H181" s="207">
        <f>IF(ISNUMBER(VLOOKUP($B:$B,'BS(과거)'!$A:$F,$2:$2,0)),VLOOKUP($B:$B,'BS(과거)'!$A:$F,$2:$2,0),0)</f>
        <v>0</v>
      </c>
      <c r="I181" s="207">
        <f>IF(ISNUMBER(VLOOKUP($B:$B,'BS(과거)'!$A:$F,$2:$2,0)),VLOOKUP($B:$B,'BS(과거)'!$A:$F,$2:$2,0),0)</f>
        <v>0</v>
      </c>
      <c r="J181" s="207">
        <f>IF(ISNUMBER(VLOOKUP($B:$B,'BS(과거)'!$A:$F,$2:$2,0)),VLOOKUP($B:$B,'BS(과거)'!$A:$F,$2:$2,0),0)</f>
        <v>0</v>
      </c>
      <c r="K181" s="207">
        <f>IF(ISNUMBER(VLOOKUP($B:$B,'BS(과거)'!$A:$F,$2:$2,0)),VLOOKUP($B:$B,'BS(과거)'!$A:$F,$2:$2,0),0)</f>
        <v>0</v>
      </c>
      <c r="L181" s="207">
        <f>IF(ISNUMBER(VLOOKUP($B:$B,'BS(과거)'!$A:$F,$2:$2,0)),VLOOKUP($B:$B,'BS(과거)'!$A:$F,$2:$2,0),0)</f>
        <v>0</v>
      </c>
      <c r="N181" s="207">
        <f>IF(ISNUMBER(VLOOKUP($B:$B,'BS(분기)'!$A:$F,$2:$2,0)),VLOOKUP($B:$B,'BS(분기)'!$A:$F,$2:$2,0),0)</f>
        <v>0</v>
      </c>
      <c r="O181" s="207">
        <f>IF(ISNUMBER(VLOOKUP($B:$B,'BS(분기)'!$A:$F,$2:$2,0)),VLOOKUP($B:$B,'BS(분기)'!$A:$F,$2:$2,0),0)</f>
        <v>0</v>
      </c>
      <c r="P181" s="207">
        <f>IF(ISNUMBER(VLOOKUP($B:$B,'BS(분기)'!$A:$F,$2:$2,0)),VLOOKUP($B:$B,'BS(분기)'!$A:$F,$2:$2,0),0)</f>
        <v>0</v>
      </c>
      <c r="Q181" s="207">
        <f>IF(ISNUMBER(VLOOKUP($B:$B,'BS(분기)'!$A:$F,$2:$2,0)),VLOOKUP($B:$B,'BS(분기)'!$A:$F,$2:$2,0),0)</f>
        <v>0</v>
      </c>
      <c r="R181" s="207">
        <f>IF(ISNUMBER(VLOOKUP($B:$B,'BS(분기)'!$A:$F,$2:$2,0)),VLOOKUP($B:$B,'BS(분기)'!$A:$F,$2:$2,0),0)</f>
        <v>0</v>
      </c>
    </row>
    <row r="182" spans="1:18" s="192" customFormat="1" ht="12">
      <c r="A182" s="202">
        <v>112102</v>
      </c>
      <c r="B182" s="195" t="s">
        <v>999</v>
      </c>
      <c r="C182" s="217">
        <f>IF(ISNUMBER(VLOOKUP($B:$B,BS!$A:$D,$2:$2,0)),VLOOKUP($B:$B,BS!$A:$D,$2:$2,0),0)</f>
        <v>0</v>
      </c>
      <c r="D182" s="217">
        <f>IF(ISNUMBER(VLOOKUP($B:$B,BS!$A:$D,$2:$2,0)),VLOOKUP($B:$B,BS!$A:$D,$2:$2,0),0)</f>
        <v>0</v>
      </c>
      <c r="E182" s="217">
        <f>IF(ISNUMBER(VLOOKUP($B:$B,BS!$A:$D,$2:$2,0)),VLOOKUP($B:$B,BS!$A:$D,$2:$2,0),0)</f>
        <v>0</v>
      </c>
      <c r="F182" s="217">
        <f>IF(ISNUMBER(VLOOKUP($B:$B,BS!$A:$D,$2:$2,0)),VLOOKUP($B:$B,BS!$A:$D,$2:$2,0),0)</f>
        <v>0</v>
      </c>
      <c r="G182" s="217">
        <f>IF(ISNUMBER(VLOOKUP($B:$B,BS!$A:$D,$2:$2,0)),VLOOKUP($B:$B,BS!$A:$D,$2:$2,0),0)</f>
        <v>0</v>
      </c>
      <c r="H182" s="207">
        <f>IF(ISNUMBER(VLOOKUP($B:$B,'BS(과거)'!$A:$F,$2:$2,0)),VLOOKUP($B:$B,'BS(과거)'!$A:$F,$2:$2,0),0)</f>
        <v>0</v>
      </c>
      <c r="I182" s="207">
        <f>IF(ISNUMBER(VLOOKUP($B:$B,'BS(과거)'!$A:$F,$2:$2,0)),VLOOKUP($B:$B,'BS(과거)'!$A:$F,$2:$2,0),0)</f>
        <v>0</v>
      </c>
      <c r="J182" s="207">
        <f>IF(ISNUMBER(VLOOKUP($B:$B,'BS(과거)'!$A:$F,$2:$2,0)),VLOOKUP($B:$B,'BS(과거)'!$A:$F,$2:$2,0),0)</f>
        <v>0</v>
      </c>
      <c r="K182" s="207">
        <f>IF(ISNUMBER(VLOOKUP($B:$B,'BS(과거)'!$A:$F,$2:$2,0)),VLOOKUP($B:$B,'BS(과거)'!$A:$F,$2:$2,0),0)</f>
        <v>0</v>
      </c>
      <c r="L182" s="207">
        <f>IF(ISNUMBER(VLOOKUP($B:$B,'BS(과거)'!$A:$F,$2:$2,0)),VLOOKUP($B:$B,'BS(과거)'!$A:$F,$2:$2,0),0)</f>
        <v>0</v>
      </c>
      <c r="N182" s="207">
        <f>IF(ISNUMBER(VLOOKUP($B:$B,'BS(분기)'!$A:$F,$2:$2,0)),VLOOKUP($B:$B,'BS(분기)'!$A:$F,$2:$2,0),0)</f>
        <v>0</v>
      </c>
      <c r="O182" s="207">
        <f>IF(ISNUMBER(VLOOKUP($B:$B,'BS(분기)'!$A:$F,$2:$2,0)),VLOOKUP($B:$B,'BS(분기)'!$A:$F,$2:$2,0),0)</f>
        <v>0</v>
      </c>
      <c r="P182" s="207">
        <f>IF(ISNUMBER(VLOOKUP($B:$B,'BS(분기)'!$A:$F,$2:$2,0)),VLOOKUP($B:$B,'BS(분기)'!$A:$F,$2:$2,0),0)</f>
        <v>0</v>
      </c>
      <c r="Q182" s="207">
        <f>IF(ISNUMBER(VLOOKUP($B:$B,'BS(분기)'!$A:$F,$2:$2,0)),VLOOKUP($B:$B,'BS(분기)'!$A:$F,$2:$2,0),0)</f>
        <v>0</v>
      </c>
      <c r="R182" s="207">
        <f>IF(ISNUMBER(VLOOKUP($B:$B,'BS(분기)'!$A:$F,$2:$2,0)),VLOOKUP($B:$B,'BS(분기)'!$A:$F,$2:$2,0),0)</f>
        <v>0</v>
      </c>
    </row>
    <row r="183" spans="1:18" s="192" customFormat="1" ht="12">
      <c r="A183" s="203">
        <v>112103</v>
      </c>
      <c r="B183" s="196" t="s">
        <v>878</v>
      </c>
      <c r="C183" s="217">
        <f>IF(ISNUMBER(VLOOKUP($B:$B,BS!$A:$D,$2:$2,0)),VLOOKUP($B:$B,BS!$A:$D,$2:$2,0),0)</f>
        <v>0</v>
      </c>
      <c r="D183" s="217">
        <f>IF(ISNUMBER(VLOOKUP($B:$B,BS!$A:$D,$2:$2,0)),VLOOKUP($B:$B,BS!$A:$D,$2:$2,0),0)</f>
        <v>0</v>
      </c>
      <c r="E183" s="217">
        <f>IF(ISNUMBER(VLOOKUP($B:$B,BS!$A:$D,$2:$2,0)),VLOOKUP($B:$B,BS!$A:$D,$2:$2,0),0)</f>
        <v>0</v>
      </c>
      <c r="F183" s="217">
        <f>IF(ISNUMBER(VLOOKUP($B:$B,BS!$A:$D,$2:$2,0)),VLOOKUP($B:$B,BS!$A:$D,$2:$2,0),0)</f>
        <v>0</v>
      </c>
      <c r="G183" s="217">
        <f>IF(ISNUMBER(VLOOKUP($B:$B,BS!$A:$D,$2:$2,0)),VLOOKUP($B:$B,BS!$A:$D,$2:$2,0),0)</f>
        <v>0</v>
      </c>
      <c r="H183" s="207">
        <f>IF(ISNUMBER(VLOOKUP($B:$B,'BS(과거)'!$A:$F,$2:$2,0)),VLOOKUP($B:$B,'BS(과거)'!$A:$F,$2:$2,0),0)</f>
        <v>0</v>
      </c>
      <c r="I183" s="207">
        <f>IF(ISNUMBER(VLOOKUP($B:$B,'BS(과거)'!$A:$F,$2:$2,0)),VLOOKUP($B:$B,'BS(과거)'!$A:$F,$2:$2,0),0)</f>
        <v>0</v>
      </c>
      <c r="J183" s="207">
        <f>IF(ISNUMBER(VLOOKUP($B:$B,'BS(과거)'!$A:$F,$2:$2,0)),VLOOKUP($B:$B,'BS(과거)'!$A:$F,$2:$2,0),0)</f>
        <v>0</v>
      </c>
      <c r="K183" s="207">
        <f>IF(ISNUMBER(VLOOKUP($B:$B,'BS(과거)'!$A:$F,$2:$2,0)),VLOOKUP($B:$B,'BS(과거)'!$A:$F,$2:$2,0),0)</f>
        <v>0</v>
      </c>
      <c r="L183" s="207">
        <f>IF(ISNUMBER(VLOOKUP($B:$B,'BS(과거)'!$A:$F,$2:$2,0)),VLOOKUP($B:$B,'BS(과거)'!$A:$F,$2:$2,0),0)</f>
        <v>0</v>
      </c>
      <c r="N183" s="207">
        <f>IF(ISNUMBER(VLOOKUP($B:$B,'BS(분기)'!$A:$F,$2:$2,0)),VLOOKUP($B:$B,'BS(분기)'!$A:$F,$2:$2,0),0)</f>
        <v>0</v>
      </c>
      <c r="O183" s="207">
        <f>IF(ISNUMBER(VLOOKUP($B:$B,'BS(분기)'!$A:$F,$2:$2,0)),VLOOKUP($B:$B,'BS(분기)'!$A:$F,$2:$2,0),0)</f>
        <v>0</v>
      </c>
      <c r="P183" s="207">
        <f>IF(ISNUMBER(VLOOKUP($B:$B,'BS(분기)'!$A:$F,$2:$2,0)),VLOOKUP($B:$B,'BS(분기)'!$A:$F,$2:$2,0),0)</f>
        <v>0</v>
      </c>
      <c r="Q183" s="207">
        <f>IF(ISNUMBER(VLOOKUP($B:$B,'BS(분기)'!$A:$F,$2:$2,0)),VLOOKUP($B:$B,'BS(분기)'!$A:$F,$2:$2,0),0)</f>
        <v>0</v>
      </c>
      <c r="R183" s="207">
        <f>IF(ISNUMBER(VLOOKUP($B:$B,'BS(분기)'!$A:$F,$2:$2,0)),VLOOKUP($B:$B,'BS(분기)'!$A:$F,$2:$2,0),0)</f>
        <v>0</v>
      </c>
    </row>
    <row r="184" spans="1:18" s="192" customFormat="1" ht="12">
      <c r="A184" s="203">
        <v>112104</v>
      </c>
      <c r="B184" s="196" t="s">
        <v>879</v>
      </c>
      <c r="C184" s="217">
        <f>IF(ISNUMBER(VLOOKUP($B:$B,BS!$A:$D,$2:$2,0)),VLOOKUP($B:$B,BS!$A:$D,$2:$2,0),0)</f>
        <v>0</v>
      </c>
      <c r="D184" s="217">
        <f>IF(ISNUMBER(VLOOKUP($B:$B,BS!$A:$D,$2:$2,0)),VLOOKUP($B:$B,BS!$A:$D,$2:$2,0),0)</f>
        <v>0</v>
      </c>
      <c r="E184" s="217">
        <f>IF(ISNUMBER(VLOOKUP($B:$B,BS!$A:$D,$2:$2,0)),VLOOKUP($B:$B,BS!$A:$D,$2:$2,0),0)</f>
        <v>0</v>
      </c>
      <c r="F184" s="217">
        <f>IF(ISNUMBER(VLOOKUP($B:$B,BS!$A:$D,$2:$2,0)),VLOOKUP($B:$B,BS!$A:$D,$2:$2,0),0)</f>
        <v>0</v>
      </c>
      <c r="G184" s="217">
        <f>IF(ISNUMBER(VLOOKUP($B:$B,BS!$A:$D,$2:$2,0)),VLOOKUP($B:$B,BS!$A:$D,$2:$2,0),0)</f>
        <v>0</v>
      </c>
      <c r="H184" s="207">
        <f>IF(ISNUMBER(VLOOKUP($B:$B,'BS(과거)'!$A:$F,$2:$2,0)),VLOOKUP($B:$B,'BS(과거)'!$A:$F,$2:$2,0),0)</f>
        <v>0</v>
      </c>
      <c r="I184" s="207">
        <f>IF(ISNUMBER(VLOOKUP($B:$B,'BS(과거)'!$A:$F,$2:$2,0)),VLOOKUP($B:$B,'BS(과거)'!$A:$F,$2:$2,0),0)</f>
        <v>0</v>
      </c>
      <c r="J184" s="207">
        <f>IF(ISNUMBER(VLOOKUP($B:$B,'BS(과거)'!$A:$F,$2:$2,0)),VLOOKUP($B:$B,'BS(과거)'!$A:$F,$2:$2,0),0)</f>
        <v>0</v>
      </c>
      <c r="K184" s="207">
        <f>IF(ISNUMBER(VLOOKUP($B:$B,'BS(과거)'!$A:$F,$2:$2,0)),VLOOKUP($B:$B,'BS(과거)'!$A:$F,$2:$2,0),0)</f>
        <v>0</v>
      </c>
      <c r="L184" s="207">
        <f>IF(ISNUMBER(VLOOKUP($B:$B,'BS(과거)'!$A:$F,$2:$2,0)),VLOOKUP($B:$B,'BS(과거)'!$A:$F,$2:$2,0),0)</f>
        <v>0</v>
      </c>
      <c r="N184" s="207">
        <f>IF(ISNUMBER(VLOOKUP($B:$B,'BS(분기)'!$A:$F,$2:$2,0)),VLOOKUP($B:$B,'BS(분기)'!$A:$F,$2:$2,0),0)</f>
        <v>0</v>
      </c>
      <c r="O184" s="207">
        <f>IF(ISNUMBER(VLOOKUP($B:$B,'BS(분기)'!$A:$F,$2:$2,0)),VLOOKUP($B:$B,'BS(분기)'!$A:$F,$2:$2,0),0)</f>
        <v>0</v>
      </c>
      <c r="P184" s="207">
        <f>IF(ISNUMBER(VLOOKUP($B:$B,'BS(분기)'!$A:$F,$2:$2,0)),VLOOKUP($B:$B,'BS(분기)'!$A:$F,$2:$2,0),0)</f>
        <v>0</v>
      </c>
      <c r="Q184" s="207">
        <f>IF(ISNUMBER(VLOOKUP($B:$B,'BS(분기)'!$A:$F,$2:$2,0)),VLOOKUP($B:$B,'BS(분기)'!$A:$F,$2:$2,0),0)</f>
        <v>0</v>
      </c>
      <c r="R184" s="207">
        <f>IF(ISNUMBER(VLOOKUP($B:$B,'BS(분기)'!$A:$F,$2:$2,0)),VLOOKUP($B:$B,'BS(분기)'!$A:$F,$2:$2,0),0)</f>
        <v>0</v>
      </c>
    </row>
    <row r="185" spans="1:18" s="192" customFormat="1" ht="12">
      <c r="A185" s="203">
        <v>112105</v>
      </c>
      <c r="B185" s="196" t="s">
        <v>880</v>
      </c>
      <c r="C185" s="217">
        <f>IF(ISNUMBER(VLOOKUP($B:$B,BS!$A:$D,$2:$2,0)),VLOOKUP($B:$B,BS!$A:$D,$2:$2,0),0)</f>
        <v>0</v>
      </c>
      <c r="D185" s="217">
        <f>IF(ISNUMBER(VLOOKUP($B:$B,BS!$A:$D,$2:$2,0)),VLOOKUP($B:$B,BS!$A:$D,$2:$2,0),0)</f>
        <v>0</v>
      </c>
      <c r="E185" s="217">
        <f>IF(ISNUMBER(VLOOKUP($B:$B,BS!$A:$D,$2:$2,0)),VLOOKUP($B:$B,BS!$A:$D,$2:$2,0),0)</f>
        <v>0</v>
      </c>
      <c r="F185" s="217">
        <f>IF(ISNUMBER(VLOOKUP($B:$B,BS!$A:$D,$2:$2,0)),VLOOKUP($B:$B,BS!$A:$D,$2:$2,0),0)</f>
        <v>0</v>
      </c>
      <c r="G185" s="217">
        <f>IF(ISNUMBER(VLOOKUP($B:$B,BS!$A:$D,$2:$2,0)),VLOOKUP($B:$B,BS!$A:$D,$2:$2,0),0)</f>
        <v>0</v>
      </c>
      <c r="H185" s="207">
        <f>IF(ISNUMBER(VLOOKUP($B:$B,'BS(과거)'!$A:$F,$2:$2,0)),VLOOKUP($B:$B,'BS(과거)'!$A:$F,$2:$2,0),0)</f>
        <v>0</v>
      </c>
      <c r="I185" s="207">
        <f>IF(ISNUMBER(VLOOKUP($B:$B,'BS(과거)'!$A:$F,$2:$2,0)),VLOOKUP($B:$B,'BS(과거)'!$A:$F,$2:$2,0),0)</f>
        <v>0</v>
      </c>
      <c r="J185" s="207">
        <f>IF(ISNUMBER(VLOOKUP($B:$B,'BS(과거)'!$A:$F,$2:$2,0)),VLOOKUP($B:$B,'BS(과거)'!$A:$F,$2:$2,0),0)</f>
        <v>0</v>
      </c>
      <c r="K185" s="207">
        <f>IF(ISNUMBER(VLOOKUP($B:$B,'BS(과거)'!$A:$F,$2:$2,0)),VLOOKUP($B:$B,'BS(과거)'!$A:$F,$2:$2,0),0)</f>
        <v>0</v>
      </c>
      <c r="L185" s="207">
        <f>IF(ISNUMBER(VLOOKUP($B:$B,'BS(과거)'!$A:$F,$2:$2,0)),VLOOKUP($B:$B,'BS(과거)'!$A:$F,$2:$2,0),0)</f>
        <v>0</v>
      </c>
      <c r="N185" s="207">
        <f>IF(ISNUMBER(VLOOKUP($B:$B,'BS(분기)'!$A:$F,$2:$2,0)),VLOOKUP($B:$B,'BS(분기)'!$A:$F,$2:$2,0),0)</f>
        <v>0</v>
      </c>
      <c r="O185" s="207">
        <f>IF(ISNUMBER(VLOOKUP($B:$B,'BS(분기)'!$A:$F,$2:$2,0)),VLOOKUP($B:$B,'BS(분기)'!$A:$F,$2:$2,0),0)</f>
        <v>0</v>
      </c>
      <c r="P185" s="207">
        <f>IF(ISNUMBER(VLOOKUP($B:$B,'BS(분기)'!$A:$F,$2:$2,0)),VLOOKUP($B:$B,'BS(분기)'!$A:$F,$2:$2,0),0)</f>
        <v>0</v>
      </c>
      <c r="Q185" s="207">
        <f>IF(ISNUMBER(VLOOKUP($B:$B,'BS(분기)'!$A:$F,$2:$2,0)),VLOOKUP($B:$B,'BS(분기)'!$A:$F,$2:$2,0),0)</f>
        <v>0</v>
      </c>
      <c r="R185" s="207">
        <f>IF(ISNUMBER(VLOOKUP($B:$B,'BS(분기)'!$A:$F,$2:$2,0)),VLOOKUP($B:$B,'BS(분기)'!$A:$F,$2:$2,0),0)</f>
        <v>0</v>
      </c>
    </row>
    <row r="186" spans="1:18" s="192" customFormat="1" ht="12">
      <c r="A186" s="203">
        <v>112106</v>
      </c>
      <c r="B186" s="196" t="s">
        <v>1000</v>
      </c>
      <c r="C186" s="217">
        <f>IF(ISNUMBER(VLOOKUP($B:$B,BS!$A:$D,$2:$2,0)),VLOOKUP($B:$B,BS!$A:$D,$2:$2,0),0)</f>
        <v>0</v>
      </c>
      <c r="D186" s="217">
        <f>IF(ISNUMBER(VLOOKUP($B:$B,BS!$A:$D,$2:$2,0)),VLOOKUP($B:$B,BS!$A:$D,$2:$2,0),0)</f>
        <v>0</v>
      </c>
      <c r="E186" s="217">
        <f>IF(ISNUMBER(VLOOKUP($B:$B,BS!$A:$D,$2:$2,0)),VLOOKUP($B:$B,BS!$A:$D,$2:$2,0),0)</f>
        <v>0</v>
      </c>
      <c r="F186" s="217">
        <f>IF(ISNUMBER(VLOOKUP($B:$B,BS!$A:$D,$2:$2,0)),VLOOKUP($B:$B,BS!$A:$D,$2:$2,0),0)</f>
        <v>0</v>
      </c>
      <c r="G186" s="217">
        <f>IF(ISNUMBER(VLOOKUP($B:$B,BS!$A:$D,$2:$2,0)),VLOOKUP($B:$B,BS!$A:$D,$2:$2,0),0)</f>
        <v>0</v>
      </c>
      <c r="H186" s="207">
        <f>IF(ISNUMBER(VLOOKUP($B:$B,'BS(과거)'!$A:$F,$2:$2,0)),VLOOKUP($B:$B,'BS(과거)'!$A:$F,$2:$2,0),0)</f>
        <v>0</v>
      </c>
      <c r="I186" s="207">
        <f>IF(ISNUMBER(VLOOKUP($B:$B,'BS(과거)'!$A:$F,$2:$2,0)),VLOOKUP($B:$B,'BS(과거)'!$A:$F,$2:$2,0),0)</f>
        <v>0</v>
      </c>
      <c r="J186" s="207">
        <f>IF(ISNUMBER(VLOOKUP($B:$B,'BS(과거)'!$A:$F,$2:$2,0)),VLOOKUP($B:$B,'BS(과거)'!$A:$F,$2:$2,0),0)</f>
        <v>0</v>
      </c>
      <c r="K186" s="207">
        <f>IF(ISNUMBER(VLOOKUP($B:$B,'BS(과거)'!$A:$F,$2:$2,0)),VLOOKUP($B:$B,'BS(과거)'!$A:$F,$2:$2,0),0)</f>
        <v>0</v>
      </c>
      <c r="L186" s="207">
        <f>IF(ISNUMBER(VLOOKUP($B:$B,'BS(과거)'!$A:$F,$2:$2,0)),VLOOKUP($B:$B,'BS(과거)'!$A:$F,$2:$2,0),0)</f>
        <v>0</v>
      </c>
      <c r="N186" s="207">
        <f>IF(ISNUMBER(VLOOKUP($B:$B,'BS(분기)'!$A:$F,$2:$2,0)),VLOOKUP($B:$B,'BS(분기)'!$A:$F,$2:$2,0),0)</f>
        <v>0</v>
      </c>
      <c r="O186" s="207">
        <f>IF(ISNUMBER(VLOOKUP($B:$B,'BS(분기)'!$A:$F,$2:$2,0)),VLOOKUP($B:$B,'BS(분기)'!$A:$F,$2:$2,0),0)</f>
        <v>0</v>
      </c>
      <c r="P186" s="207">
        <f>IF(ISNUMBER(VLOOKUP($B:$B,'BS(분기)'!$A:$F,$2:$2,0)),VLOOKUP($B:$B,'BS(분기)'!$A:$F,$2:$2,0),0)</f>
        <v>0</v>
      </c>
      <c r="Q186" s="207">
        <f>IF(ISNUMBER(VLOOKUP($B:$B,'BS(분기)'!$A:$F,$2:$2,0)),VLOOKUP($B:$B,'BS(분기)'!$A:$F,$2:$2,0),0)</f>
        <v>0</v>
      </c>
      <c r="R186" s="207">
        <f>IF(ISNUMBER(VLOOKUP($B:$B,'BS(분기)'!$A:$F,$2:$2,0)),VLOOKUP($B:$B,'BS(분기)'!$A:$F,$2:$2,0),0)</f>
        <v>0</v>
      </c>
    </row>
    <row r="187" spans="1:18" s="192" customFormat="1" ht="12">
      <c r="A187" s="202">
        <v>112110</v>
      </c>
      <c r="B187" s="195" t="s">
        <v>1001</v>
      </c>
      <c r="C187" s="217">
        <f>IF(ISNUMBER(VLOOKUP($B:$B,BS!$A:$D,$2:$2,0)),VLOOKUP($B:$B,BS!$A:$D,$2:$2,0),0)</f>
        <v>0</v>
      </c>
      <c r="D187" s="217">
        <f>IF(ISNUMBER(VLOOKUP($B:$B,BS!$A:$D,$2:$2,0)),VLOOKUP($B:$B,BS!$A:$D,$2:$2,0),0)</f>
        <v>0</v>
      </c>
      <c r="E187" s="217">
        <f>IF(ISNUMBER(VLOOKUP($B:$B,BS!$A:$D,$2:$2,0)),VLOOKUP($B:$B,BS!$A:$D,$2:$2,0),0)</f>
        <v>0</v>
      </c>
      <c r="F187" s="217">
        <f>IF(ISNUMBER(VLOOKUP($B:$B,BS!$A:$D,$2:$2,0)),VLOOKUP($B:$B,BS!$A:$D,$2:$2,0),0)</f>
        <v>0</v>
      </c>
      <c r="G187" s="217">
        <f>IF(ISNUMBER(VLOOKUP($B:$B,BS!$A:$D,$2:$2,0)),VLOOKUP($B:$B,BS!$A:$D,$2:$2,0),0)</f>
        <v>0</v>
      </c>
      <c r="H187" s="207">
        <f>IF(ISNUMBER(VLOOKUP($B:$B,'BS(과거)'!$A:$F,$2:$2,0)),VLOOKUP($B:$B,'BS(과거)'!$A:$F,$2:$2,0),0)</f>
        <v>0</v>
      </c>
      <c r="I187" s="207">
        <f>IF(ISNUMBER(VLOOKUP($B:$B,'BS(과거)'!$A:$F,$2:$2,0)),VLOOKUP($B:$B,'BS(과거)'!$A:$F,$2:$2,0),0)</f>
        <v>0</v>
      </c>
      <c r="J187" s="207">
        <f>IF(ISNUMBER(VLOOKUP($B:$B,'BS(과거)'!$A:$F,$2:$2,0)),VLOOKUP($B:$B,'BS(과거)'!$A:$F,$2:$2,0),0)</f>
        <v>0</v>
      </c>
      <c r="K187" s="207">
        <f>IF(ISNUMBER(VLOOKUP($B:$B,'BS(과거)'!$A:$F,$2:$2,0)),VLOOKUP($B:$B,'BS(과거)'!$A:$F,$2:$2,0),0)</f>
        <v>0</v>
      </c>
      <c r="L187" s="207">
        <f>IF(ISNUMBER(VLOOKUP($B:$B,'BS(과거)'!$A:$F,$2:$2,0)),VLOOKUP($B:$B,'BS(과거)'!$A:$F,$2:$2,0),0)</f>
        <v>0</v>
      </c>
      <c r="N187" s="207">
        <f>IF(ISNUMBER(VLOOKUP($B:$B,'BS(분기)'!$A:$F,$2:$2,0)),VLOOKUP($B:$B,'BS(분기)'!$A:$F,$2:$2,0),0)</f>
        <v>0</v>
      </c>
      <c r="O187" s="207">
        <f>IF(ISNUMBER(VLOOKUP($B:$B,'BS(분기)'!$A:$F,$2:$2,0)),VLOOKUP($B:$B,'BS(분기)'!$A:$F,$2:$2,0),0)</f>
        <v>0</v>
      </c>
      <c r="P187" s="207">
        <f>IF(ISNUMBER(VLOOKUP($B:$B,'BS(분기)'!$A:$F,$2:$2,0)),VLOOKUP($B:$B,'BS(분기)'!$A:$F,$2:$2,0),0)</f>
        <v>0</v>
      </c>
      <c r="Q187" s="207">
        <f>IF(ISNUMBER(VLOOKUP($B:$B,'BS(분기)'!$A:$F,$2:$2,0)),VLOOKUP($B:$B,'BS(분기)'!$A:$F,$2:$2,0),0)</f>
        <v>0</v>
      </c>
      <c r="R187" s="207">
        <f>IF(ISNUMBER(VLOOKUP($B:$B,'BS(분기)'!$A:$F,$2:$2,0)),VLOOKUP($B:$B,'BS(분기)'!$A:$F,$2:$2,0),0)</f>
        <v>0</v>
      </c>
    </row>
    <row r="188" spans="1:18" s="192" customFormat="1" ht="12">
      <c r="A188" s="202">
        <v>112240</v>
      </c>
      <c r="B188" s="195" t="s">
        <v>1002</v>
      </c>
      <c r="C188" s="217">
        <f>IF(ISNUMBER(VLOOKUP($B:$B,BS!$A:$D,$2:$2,0)),VLOOKUP($B:$B,BS!$A:$D,$2:$2,0),0)</f>
        <v>0</v>
      </c>
      <c r="D188" s="217">
        <f>IF(ISNUMBER(VLOOKUP($B:$B,BS!$A:$D,$2:$2,0)),VLOOKUP($B:$B,BS!$A:$D,$2:$2,0),0)</f>
        <v>0</v>
      </c>
      <c r="E188" s="217">
        <f>IF(ISNUMBER(VLOOKUP($B:$B,BS!$A:$D,$2:$2,0)),VLOOKUP($B:$B,BS!$A:$D,$2:$2,0),0)</f>
        <v>0</v>
      </c>
      <c r="F188" s="217">
        <f>IF(ISNUMBER(VLOOKUP($B:$B,BS!$A:$D,$2:$2,0)),VLOOKUP($B:$B,BS!$A:$D,$2:$2,0),0)</f>
        <v>0</v>
      </c>
      <c r="G188" s="217">
        <f>IF(ISNUMBER(VLOOKUP($B:$B,BS!$A:$D,$2:$2,0)),VLOOKUP($B:$B,BS!$A:$D,$2:$2,0),0)</f>
        <v>0</v>
      </c>
      <c r="H188" s="207">
        <f>IF(ISNUMBER(VLOOKUP($B:$B,'BS(과거)'!$A:$F,$2:$2,0)),VLOOKUP($B:$B,'BS(과거)'!$A:$F,$2:$2,0),0)</f>
        <v>0</v>
      </c>
      <c r="I188" s="207">
        <f>IF(ISNUMBER(VLOOKUP($B:$B,'BS(과거)'!$A:$F,$2:$2,0)),VLOOKUP($B:$B,'BS(과거)'!$A:$F,$2:$2,0),0)</f>
        <v>0</v>
      </c>
      <c r="J188" s="207">
        <f>IF(ISNUMBER(VLOOKUP($B:$B,'BS(과거)'!$A:$F,$2:$2,0)),VLOOKUP($B:$B,'BS(과거)'!$A:$F,$2:$2,0),0)</f>
        <v>0</v>
      </c>
      <c r="K188" s="207">
        <f>IF(ISNUMBER(VLOOKUP($B:$B,'BS(과거)'!$A:$F,$2:$2,0)),VLOOKUP($B:$B,'BS(과거)'!$A:$F,$2:$2,0),0)</f>
        <v>0</v>
      </c>
      <c r="L188" s="207">
        <f>IF(ISNUMBER(VLOOKUP($B:$B,'BS(과거)'!$A:$F,$2:$2,0)),VLOOKUP($B:$B,'BS(과거)'!$A:$F,$2:$2,0),0)</f>
        <v>0</v>
      </c>
      <c r="N188" s="207">
        <f>IF(ISNUMBER(VLOOKUP($B:$B,'BS(분기)'!$A:$F,$2:$2,0)),VLOOKUP($B:$B,'BS(분기)'!$A:$F,$2:$2,0),0)</f>
        <v>0</v>
      </c>
      <c r="O188" s="207">
        <f>IF(ISNUMBER(VLOOKUP($B:$B,'BS(분기)'!$A:$F,$2:$2,0)),VLOOKUP($B:$B,'BS(분기)'!$A:$F,$2:$2,0),0)</f>
        <v>0</v>
      </c>
      <c r="P188" s="207">
        <f>IF(ISNUMBER(VLOOKUP($B:$B,'BS(분기)'!$A:$F,$2:$2,0)),VLOOKUP($B:$B,'BS(분기)'!$A:$F,$2:$2,0),0)</f>
        <v>0</v>
      </c>
      <c r="Q188" s="207">
        <f>IF(ISNUMBER(VLOOKUP($B:$B,'BS(분기)'!$A:$F,$2:$2,0)),VLOOKUP($B:$B,'BS(분기)'!$A:$F,$2:$2,0),0)</f>
        <v>0</v>
      </c>
      <c r="R188" s="207">
        <f>IF(ISNUMBER(VLOOKUP($B:$B,'BS(분기)'!$A:$F,$2:$2,0)),VLOOKUP($B:$B,'BS(분기)'!$A:$F,$2:$2,0),0)</f>
        <v>0</v>
      </c>
    </row>
    <row r="189" spans="1:18" s="192" customFormat="1" ht="12">
      <c r="A189" s="202">
        <v>112200</v>
      </c>
      <c r="B189" s="195" t="s">
        <v>1003</v>
      </c>
      <c r="C189" s="217">
        <f>IF(ISNUMBER(VLOOKUP($B:$B,BS!$A:$D,$2:$2,0)),VLOOKUP($B:$B,BS!$A:$D,$2:$2,0),0)</f>
        <v>0</v>
      </c>
      <c r="D189" s="217">
        <f>IF(ISNUMBER(VLOOKUP($B:$B,BS!$A:$D,$2:$2,0)),VLOOKUP($B:$B,BS!$A:$D,$2:$2,0),0)</f>
        <v>0</v>
      </c>
      <c r="E189" s="217">
        <f>IF(ISNUMBER(VLOOKUP($B:$B,BS!$A:$D,$2:$2,0)),VLOOKUP($B:$B,BS!$A:$D,$2:$2,0),0)</f>
        <v>0</v>
      </c>
      <c r="F189" s="217">
        <f>IF(ISNUMBER(VLOOKUP($B:$B,BS!$A:$D,$2:$2,0)),VLOOKUP($B:$B,BS!$A:$D,$2:$2,0),0)</f>
        <v>0</v>
      </c>
      <c r="G189" s="217">
        <f>IF(ISNUMBER(VLOOKUP($B:$B,BS!$A:$D,$2:$2,0)),VLOOKUP($B:$B,BS!$A:$D,$2:$2,0),0)</f>
        <v>0</v>
      </c>
      <c r="H189" s="207">
        <f>IF(ISNUMBER(VLOOKUP($B:$B,'BS(과거)'!$A:$F,$2:$2,0)),VLOOKUP($B:$B,'BS(과거)'!$A:$F,$2:$2,0),0)</f>
        <v>0</v>
      </c>
      <c r="I189" s="207">
        <f>IF(ISNUMBER(VLOOKUP($B:$B,'BS(과거)'!$A:$F,$2:$2,0)),VLOOKUP($B:$B,'BS(과거)'!$A:$F,$2:$2,0),0)</f>
        <v>0</v>
      </c>
      <c r="J189" s="207">
        <f>IF(ISNUMBER(VLOOKUP($B:$B,'BS(과거)'!$A:$F,$2:$2,0)),VLOOKUP($B:$B,'BS(과거)'!$A:$F,$2:$2,0),0)</f>
        <v>0</v>
      </c>
      <c r="K189" s="207">
        <f>IF(ISNUMBER(VLOOKUP($B:$B,'BS(과거)'!$A:$F,$2:$2,0)),VLOOKUP($B:$B,'BS(과거)'!$A:$F,$2:$2,0),0)</f>
        <v>0</v>
      </c>
      <c r="L189" s="207">
        <f>IF(ISNUMBER(VLOOKUP($B:$B,'BS(과거)'!$A:$F,$2:$2,0)),VLOOKUP($B:$B,'BS(과거)'!$A:$F,$2:$2,0),0)</f>
        <v>0</v>
      </c>
      <c r="N189" s="207">
        <f>IF(ISNUMBER(VLOOKUP($B:$B,'BS(분기)'!$A:$F,$2:$2,0)),VLOOKUP($B:$B,'BS(분기)'!$A:$F,$2:$2,0),0)</f>
        <v>0</v>
      </c>
      <c r="O189" s="207">
        <f>IF(ISNUMBER(VLOOKUP($B:$B,'BS(분기)'!$A:$F,$2:$2,0)),VLOOKUP($B:$B,'BS(분기)'!$A:$F,$2:$2,0),0)</f>
        <v>0</v>
      </c>
      <c r="P189" s="207">
        <f>IF(ISNUMBER(VLOOKUP($B:$B,'BS(분기)'!$A:$F,$2:$2,0)),VLOOKUP($B:$B,'BS(분기)'!$A:$F,$2:$2,0),0)</f>
        <v>0</v>
      </c>
      <c r="Q189" s="207">
        <f>IF(ISNUMBER(VLOOKUP($B:$B,'BS(분기)'!$A:$F,$2:$2,0)),VLOOKUP($B:$B,'BS(분기)'!$A:$F,$2:$2,0),0)</f>
        <v>0</v>
      </c>
      <c r="R189" s="207">
        <f>IF(ISNUMBER(VLOOKUP($B:$B,'BS(분기)'!$A:$F,$2:$2,0)),VLOOKUP($B:$B,'BS(분기)'!$A:$F,$2:$2,0),0)</f>
        <v>0</v>
      </c>
    </row>
    <row r="190" spans="1:18" s="192" customFormat="1" ht="12">
      <c r="A190" s="202">
        <v>112201</v>
      </c>
      <c r="B190" s="195" t="s">
        <v>1004</v>
      </c>
      <c r="C190" s="217">
        <f>IF(ISNUMBER(VLOOKUP($B:$B,BS!$A:$D,$2:$2,0)),VLOOKUP($B:$B,BS!$A:$D,$2:$2,0),0)</f>
        <v>0</v>
      </c>
      <c r="D190" s="217">
        <f>IF(ISNUMBER(VLOOKUP($B:$B,BS!$A:$D,$2:$2,0)),VLOOKUP($B:$B,BS!$A:$D,$2:$2,0),0)</f>
        <v>0</v>
      </c>
      <c r="E190" s="217">
        <f>IF(ISNUMBER(VLOOKUP($B:$B,BS!$A:$D,$2:$2,0)),VLOOKUP($B:$B,BS!$A:$D,$2:$2,0),0)</f>
        <v>0</v>
      </c>
      <c r="F190" s="217">
        <f>IF(ISNUMBER(VLOOKUP($B:$B,BS!$A:$D,$2:$2,0)),VLOOKUP($B:$B,BS!$A:$D,$2:$2,0),0)</f>
        <v>0</v>
      </c>
      <c r="G190" s="217">
        <f>IF(ISNUMBER(VLOOKUP($B:$B,BS!$A:$D,$2:$2,0)),VLOOKUP($B:$B,BS!$A:$D,$2:$2,0),0)</f>
        <v>0</v>
      </c>
      <c r="H190" s="207">
        <f>IF(ISNUMBER(VLOOKUP($B:$B,'BS(과거)'!$A:$F,$2:$2,0)),VLOOKUP($B:$B,'BS(과거)'!$A:$F,$2:$2,0),0)</f>
        <v>0</v>
      </c>
      <c r="I190" s="207">
        <f>IF(ISNUMBER(VLOOKUP($B:$B,'BS(과거)'!$A:$F,$2:$2,0)),VLOOKUP($B:$B,'BS(과거)'!$A:$F,$2:$2,0),0)</f>
        <v>0</v>
      </c>
      <c r="J190" s="207">
        <f>IF(ISNUMBER(VLOOKUP($B:$B,'BS(과거)'!$A:$F,$2:$2,0)),VLOOKUP($B:$B,'BS(과거)'!$A:$F,$2:$2,0),0)</f>
        <v>0</v>
      </c>
      <c r="K190" s="207">
        <f>IF(ISNUMBER(VLOOKUP($B:$B,'BS(과거)'!$A:$F,$2:$2,0)),VLOOKUP($B:$B,'BS(과거)'!$A:$F,$2:$2,0),0)</f>
        <v>0</v>
      </c>
      <c r="L190" s="207">
        <f>IF(ISNUMBER(VLOOKUP($B:$B,'BS(과거)'!$A:$F,$2:$2,0)),VLOOKUP($B:$B,'BS(과거)'!$A:$F,$2:$2,0),0)</f>
        <v>0</v>
      </c>
      <c r="N190" s="207">
        <f>IF(ISNUMBER(VLOOKUP($B:$B,'BS(분기)'!$A:$F,$2:$2,0)),VLOOKUP($B:$B,'BS(분기)'!$A:$F,$2:$2,0),0)</f>
        <v>0</v>
      </c>
      <c r="O190" s="207">
        <f>IF(ISNUMBER(VLOOKUP($B:$B,'BS(분기)'!$A:$F,$2:$2,0)),VLOOKUP($B:$B,'BS(분기)'!$A:$F,$2:$2,0),0)</f>
        <v>0</v>
      </c>
      <c r="P190" s="207">
        <f>IF(ISNUMBER(VLOOKUP($B:$B,'BS(분기)'!$A:$F,$2:$2,0)),VLOOKUP($B:$B,'BS(분기)'!$A:$F,$2:$2,0),0)</f>
        <v>0</v>
      </c>
      <c r="Q190" s="207">
        <f>IF(ISNUMBER(VLOOKUP($B:$B,'BS(분기)'!$A:$F,$2:$2,0)),VLOOKUP($B:$B,'BS(분기)'!$A:$F,$2:$2,0),0)</f>
        <v>0</v>
      </c>
      <c r="R190" s="207">
        <f>IF(ISNUMBER(VLOOKUP($B:$B,'BS(분기)'!$A:$F,$2:$2,0)),VLOOKUP($B:$B,'BS(분기)'!$A:$F,$2:$2,0),0)</f>
        <v>0</v>
      </c>
    </row>
    <row r="191" spans="1:18" s="192" customFormat="1" ht="12">
      <c r="A191" s="202">
        <v>112202</v>
      </c>
      <c r="B191" s="195" t="s">
        <v>1005</v>
      </c>
      <c r="C191" s="217">
        <f>IF(ISNUMBER(VLOOKUP($B:$B,BS!$A:$D,$2:$2,0)),VLOOKUP($B:$B,BS!$A:$D,$2:$2,0),0)</f>
        <v>0</v>
      </c>
      <c r="D191" s="217">
        <f>IF(ISNUMBER(VLOOKUP($B:$B,BS!$A:$D,$2:$2,0)),VLOOKUP($B:$B,BS!$A:$D,$2:$2,0),0)</f>
        <v>0</v>
      </c>
      <c r="E191" s="217">
        <f>IF(ISNUMBER(VLOOKUP($B:$B,BS!$A:$D,$2:$2,0)),VLOOKUP($B:$B,BS!$A:$D,$2:$2,0),0)</f>
        <v>0</v>
      </c>
      <c r="F191" s="217">
        <f>IF(ISNUMBER(VLOOKUP($B:$B,BS!$A:$D,$2:$2,0)),VLOOKUP($B:$B,BS!$A:$D,$2:$2,0),0)</f>
        <v>0</v>
      </c>
      <c r="G191" s="217">
        <f>IF(ISNUMBER(VLOOKUP($B:$B,BS!$A:$D,$2:$2,0)),VLOOKUP($B:$B,BS!$A:$D,$2:$2,0),0)</f>
        <v>0</v>
      </c>
      <c r="H191" s="207">
        <f>IF(ISNUMBER(VLOOKUP($B:$B,'BS(과거)'!$A:$F,$2:$2,0)),VLOOKUP($B:$B,'BS(과거)'!$A:$F,$2:$2,0),0)</f>
        <v>0</v>
      </c>
      <c r="I191" s="207">
        <f>IF(ISNUMBER(VLOOKUP($B:$B,'BS(과거)'!$A:$F,$2:$2,0)),VLOOKUP($B:$B,'BS(과거)'!$A:$F,$2:$2,0),0)</f>
        <v>0</v>
      </c>
      <c r="J191" s="207">
        <f>IF(ISNUMBER(VLOOKUP($B:$B,'BS(과거)'!$A:$F,$2:$2,0)),VLOOKUP($B:$B,'BS(과거)'!$A:$F,$2:$2,0),0)</f>
        <v>0</v>
      </c>
      <c r="K191" s="207">
        <f>IF(ISNUMBER(VLOOKUP($B:$B,'BS(과거)'!$A:$F,$2:$2,0)),VLOOKUP($B:$B,'BS(과거)'!$A:$F,$2:$2,0),0)</f>
        <v>0</v>
      </c>
      <c r="L191" s="207">
        <f>IF(ISNUMBER(VLOOKUP($B:$B,'BS(과거)'!$A:$F,$2:$2,0)),VLOOKUP($B:$B,'BS(과거)'!$A:$F,$2:$2,0),0)</f>
        <v>0</v>
      </c>
      <c r="N191" s="207">
        <f>IF(ISNUMBER(VLOOKUP($B:$B,'BS(분기)'!$A:$F,$2:$2,0)),VLOOKUP($B:$B,'BS(분기)'!$A:$F,$2:$2,0),0)</f>
        <v>0</v>
      </c>
      <c r="O191" s="207">
        <f>IF(ISNUMBER(VLOOKUP($B:$B,'BS(분기)'!$A:$F,$2:$2,0)),VLOOKUP($B:$B,'BS(분기)'!$A:$F,$2:$2,0),0)</f>
        <v>0</v>
      </c>
      <c r="P191" s="207">
        <f>IF(ISNUMBER(VLOOKUP($B:$B,'BS(분기)'!$A:$F,$2:$2,0)),VLOOKUP($B:$B,'BS(분기)'!$A:$F,$2:$2,0),0)</f>
        <v>0</v>
      </c>
      <c r="Q191" s="207">
        <f>IF(ISNUMBER(VLOOKUP($B:$B,'BS(분기)'!$A:$F,$2:$2,0)),VLOOKUP($B:$B,'BS(분기)'!$A:$F,$2:$2,0),0)</f>
        <v>0</v>
      </c>
      <c r="R191" s="207">
        <f>IF(ISNUMBER(VLOOKUP($B:$B,'BS(분기)'!$A:$F,$2:$2,0)),VLOOKUP($B:$B,'BS(분기)'!$A:$F,$2:$2,0),0)</f>
        <v>0</v>
      </c>
    </row>
    <row r="192" spans="1:18" s="192" customFormat="1" ht="12">
      <c r="A192" s="202">
        <v>112203</v>
      </c>
      <c r="B192" s="195" t="s">
        <v>1006</v>
      </c>
      <c r="C192" s="217">
        <f>IF(ISNUMBER(VLOOKUP($B:$B,BS!$A:$D,$2:$2,0)),VLOOKUP($B:$B,BS!$A:$D,$2:$2,0),0)</f>
        <v>0</v>
      </c>
      <c r="D192" s="217">
        <f>IF(ISNUMBER(VLOOKUP($B:$B,BS!$A:$D,$2:$2,0)),VLOOKUP($B:$B,BS!$A:$D,$2:$2,0),0)</f>
        <v>0</v>
      </c>
      <c r="E192" s="217">
        <f>IF(ISNUMBER(VLOOKUP($B:$B,BS!$A:$D,$2:$2,0)),VLOOKUP($B:$B,BS!$A:$D,$2:$2,0),0)</f>
        <v>0</v>
      </c>
      <c r="F192" s="217">
        <f>IF(ISNUMBER(VLOOKUP($B:$B,BS!$A:$D,$2:$2,0)),VLOOKUP($B:$B,BS!$A:$D,$2:$2,0),0)</f>
        <v>0</v>
      </c>
      <c r="G192" s="217">
        <f>IF(ISNUMBER(VLOOKUP($B:$B,BS!$A:$D,$2:$2,0)),VLOOKUP($B:$B,BS!$A:$D,$2:$2,0),0)</f>
        <v>0</v>
      </c>
      <c r="H192" s="207">
        <f>IF(ISNUMBER(VLOOKUP($B:$B,'BS(과거)'!$A:$F,$2:$2,0)),VLOOKUP($B:$B,'BS(과거)'!$A:$F,$2:$2,0),0)</f>
        <v>0</v>
      </c>
      <c r="I192" s="207">
        <f>IF(ISNUMBER(VLOOKUP($B:$B,'BS(과거)'!$A:$F,$2:$2,0)),VLOOKUP($B:$B,'BS(과거)'!$A:$F,$2:$2,0),0)</f>
        <v>0</v>
      </c>
      <c r="J192" s="207">
        <f>IF(ISNUMBER(VLOOKUP($B:$B,'BS(과거)'!$A:$F,$2:$2,0)),VLOOKUP($B:$B,'BS(과거)'!$A:$F,$2:$2,0),0)</f>
        <v>0</v>
      </c>
      <c r="K192" s="207">
        <f>IF(ISNUMBER(VLOOKUP($B:$B,'BS(과거)'!$A:$F,$2:$2,0)),VLOOKUP($B:$B,'BS(과거)'!$A:$F,$2:$2,0),0)</f>
        <v>0</v>
      </c>
      <c r="L192" s="207">
        <f>IF(ISNUMBER(VLOOKUP($B:$B,'BS(과거)'!$A:$F,$2:$2,0)),VLOOKUP($B:$B,'BS(과거)'!$A:$F,$2:$2,0),0)</f>
        <v>0</v>
      </c>
      <c r="N192" s="207">
        <f>IF(ISNUMBER(VLOOKUP($B:$B,'BS(분기)'!$A:$F,$2:$2,0)),VLOOKUP($B:$B,'BS(분기)'!$A:$F,$2:$2,0),0)</f>
        <v>0</v>
      </c>
      <c r="O192" s="207">
        <f>IF(ISNUMBER(VLOOKUP($B:$B,'BS(분기)'!$A:$F,$2:$2,0)),VLOOKUP($B:$B,'BS(분기)'!$A:$F,$2:$2,0),0)</f>
        <v>0</v>
      </c>
      <c r="P192" s="207">
        <f>IF(ISNUMBER(VLOOKUP($B:$B,'BS(분기)'!$A:$F,$2:$2,0)),VLOOKUP($B:$B,'BS(분기)'!$A:$F,$2:$2,0),0)</f>
        <v>0</v>
      </c>
      <c r="Q192" s="207">
        <f>IF(ISNUMBER(VLOOKUP($B:$B,'BS(분기)'!$A:$F,$2:$2,0)),VLOOKUP($B:$B,'BS(분기)'!$A:$F,$2:$2,0),0)</f>
        <v>0</v>
      </c>
      <c r="R192" s="207">
        <f>IF(ISNUMBER(VLOOKUP($B:$B,'BS(분기)'!$A:$F,$2:$2,0)),VLOOKUP($B:$B,'BS(분기)'!$A:$F,$2:$2,0),0)</f>
        <v>0</v>
      </c>
    </row>
    <row r="193" spans="1:18" s="192" customFormat="1" ht="12">
      <c r="A193" s="202">
        <v>112120</v>
      </c>
      <c r="B193" s="195" t="s">
        <v>567</v>
      </c>
      <c r="C193" s="217">
        <f>IF(ISNUMBER(VLOOKUP($B:$B,BS!$A:$D,$2:$2,0)),VLOOKUP($B:$B,BS!$A:$D,$2:$2,0),0)</f>
        <v>0</v>
      </c>
      <c r="D193" s="217">
        <f>IF(ISNUMBER(VLOOKUP($B:$B,BS!$A:$D,$2:$2,0)),VLOOKUP($B:$B,BS!$A:$D,$2:$2,0),0)</f>
        <v>0</v>
      </c>
      <c r="E193" s="217">
        <f>IF(ISNUMBER(VLOOKUP($B:$B,BS!$A:$D,$2:$2,0)),VLOOKUP($B:$B,BS!$A:$D,$2:$2,0),0)</f>
        <v>0</v>
      </c>
      <c r="F193" s="217">
        <f>IF(ISNUMBER(VLOOKUP($B:$B,BS!$A:$D,$2:$2,0)),VLOOKUP($B:$B,BS!$A:$D,$2:$2,0),0)</f>
        <v>0</v>
      </c>
      <c r="G193" s="217">
        <f>IF(ISNUMBER(VLOOKUP($B:$B,BS!$A:$D,$2:$2,0)),VLOOKUP($B:$B,BS!$A:$D,$2:$2,0),0)</f>
        <v>0</v>
      </c>
      <c r="H193" s="207">
        <f>IF(ISNUMBER(VLOOKUP($B:$B,'BS(과거)'!$A:$F,$2:$2,0)),VLOOKUP($B:$B,'BS(과거)'!$A:$F,$2:$2,0),0)</f>
        <v>0</v>
      </c>
      <c r="I193" s="207">
        <f>IF(ISNUMBER(VLOOKUP($B:$B,'BS(과거)'!$A:$F,$2:$2,0)),VLOOKUP($B:$B,'BS(과거)'!$A:$F,$2:$2,0),0)</f>
        <v>0</v>
      </c>
      <c r="J193" s="207">
        <f>IF(ISNUMBER(VLOOKUP($B:$B,'BS(과거)'!$A:$F,$2:$2,0)),VLOOKUP($B:$B,'BS(과거)'!$A:$F,$2:$2,0),0)</f>
        <v>0</v>
      </c>
      <c r="K193" s="207">
        <f>IF(ISNUMBER(VLOOKUP($B:$B,'BS(과거)'!$A:$F,$2:$2,0)),VLOOKUP($B:$B,'BS(과거)'!$A:$F,$2:$2,0),0)</f>
        <v>0</v>
      </c>
      <c r="L193" s="207">
        <f>IF(ISNUMBER(VLOOKUP($B:$B,'BS(과거)'!$A:$F,$2:$2,0)),VLOOKUP($B:$B,'BS(과거)'!$A:$F,$2:$2,0),0)</f>
        <v>0</v>
      </c>
      <c r="N193" s="207">
        <f>IF(ISNUMBER(VLOOKUP($B:$B,'BS(분기)'!$A:$F,$2:$2,0)),VLOOKUP($B:$B,'BS(분기)'!$A:$F,$2:$2,0),0)</f>
        <v>0</v>
      </c>
      <c r="O193" s="207">
        <f>IF(ISNUMBER(VLOOKUP($B:$B,'BS(분기)'!$A:$F,$2:$2,0)),VLOOKUP($B:$B,'BS(분기)'!$A:$F,$2:$2,0),0)</f>
        <v>0</v>
      </c>
      <c r="P193" s="207">
        <f>IF(ISNUMBER(VLOOKUP($B:$B,'BS(분기)'!$A:$F,$2:$2,0)),VLOOKUP($B:$B,'BS(분기)'!$A:$F,$2:$2,0),0)</f>
        <v>0</v>
      </c>
      <c r="Q193" s="207">
        <f>IF(ISNUMBER(VLOOKUP($B:$B,'BS(분기)'!$A:$F,$2:$2,0)),VLOOKUP($B:$B,'BS(분기)'!$A:$F,$2:$2,0),0)</f>
        <v>0</v>
      </c>
      <c r="R193" s="207">
        <f>IF(ISNUMBER(VLOOKUP($B:$B,'BS(분기)'!$A:$F,$2:$2,0)),VLOOKUP($B:$B,'BS(분기)'!$A:$F,$2:$2,0),0)</f>
        <v>0</v>
      </c>
    </row>
    <row r="194" spans="1:18" s="192" customFormat="1" ht="12">
      <c r="A194" s="202">
        <v>112126</v>
      </c>
      <c r="B194" s="195" t="s">
        <v>1007</v>
      </c>
      <c r="C194" s="217">
        <f>IF(ISNUMBER(VLOOKUP($B:$B,BS!$A:$D,$2:$2,0)),VLOOKUP($B:$B,BS!$A:$D,$2:$2,0),0)</f>
        <v>0</v>
      </c>
      <c r="D194" s="217">
        <f>IF(ISNUMBER(VLOOKUP($B:$B,BS!$A:$D,$2:$2,0)),VLOOKUP($B:$B,BS!$A:$D,$2:$2,0),0)</f>
        <v>0</v>
      </c>
      <c r="E194" s="217">
        <f>IF(ISNUMBER(VLOOKUP($B:$B,BS!$A:$D,$2:$2,0)),VLOOKUP($B:$B,BS!$A:$D,$2:$2,0),0)</f>
        <v>0</v>
      </c>
      <c r="F194" s="217">
        <f>IF(ISNUMBER(VLOOKUP($B:$B,BS!$A:$D,$2:$2,0)),VLOOKUP($B:$B,BS!$A:$D,$2:$2,0),0)</f>
        <v>0</v>
      </c>
      <c r="G194" s="217">
        <f>IF(ISNUMBER(VLOOKUP($B:$B,BS!$A:$D,$2:$2,0)),VLOOKUP($B:$B,BS!$A:$D,$2:$2,0),0)</f>
        <v>0</v>
      </c>
      <c r="H194" s="207">
        <f>IF(ISNUMBER(VLOOKUP($B:$B,'BS(과거)'!$A:$F,$2:$2,0)),VLOOKUP($B:$B,'BS(과거)'!$A:$F,$2:$2,0),0)</f>
        <v>0</v>
      </c>
      <c r="I194" s="207">
        <f>IF(ISNUMBER(VLOOKUP($B:$B,'BS(과거)'!$A:$F,$2:$2,0)),VLOOKUP($B:$B,'BS(과거)'!$A:$F,$2:$2,0),0)</f>
        <v>0</v>
      </c>
      <c r="J194" s="207">
        <f>IF(ISNUMBER(VLOOKUP($B:$B,'BS(과거)'!$A:$F,$2:$2,0)),VLOOKUP($B:$B,'BS(과거)'!$A:$F,$2:$2,0),0)</f>
        <v>0</v>
      </c>
      <c r="K194" s="207">
        <f>IF(ISNUMBER(VLOOKUP($B:$B,'BS(과거)'!$A:$F,$2:$2,0)),VLOOKUP($B:$B,'BS(과거)'!$A:$F,$2:$2,0),0)</f>
        <v>0</v>
      </c>
      <c r="L194" s="207">
        <f>IF(ISNUMBER(VLOOKUP($B:$B,'BS(과거)'!$A:$F,$2:$2,0)),VLOOKUP($B:$B,'BS(과거)'!$A:$F,$2:$2,0),0)</f>
        <v>0</v>
      </c>
      <c r="N194" s="207">
        <f>IF(ISNUMBER(VLOOKUP($B:$B,'BS(분기)'!$A:$F,$2:$2,0)),VLOOKUP($B:$B,'BS(분기)'!$A:$F,$2:$2,0),0)</f>
        <v>0</v>
      </c>
      <c r="O194" s="207">
        <f>IF(ISNUMBER(VLOOKUP($B:$B,'BS(분기)'!$A:$F,$2:$2,0)),VLOOKUP($B:$B,'BS(분기)'!$A:$F,$2:$2,0),0)</f>
        <v>0</v>
      </c>
      <c r="P194" s="207">
        <f>IF(ISNUMBER(VLOOKUP($B:$B,'BS(분기)'!$A:$F,$2:$2,0)),VLOOKUP($B:$B,'BS(분기)'!$A:$F,$2:$2,0),0)</f>
        <v>0</v>
      </c>
      <c r="Q194" s="207">
        <f>IF(ISNUMBER(VLOOKUP($B:$B,'BS(분기)'!$A:$F,$2:$2,0)),VLOOKUP($B:$B,'BS(분기)'!$A:$F,$2:$2,0),0)</f>
        <v>0</v>
      </c>
      <c r="R194" s="207">
        <f>IF(ISNUMBER(VLOOKUP($B:$B,'BS(분기)'!$A:$F,$2:$2,0)),VLOOKUP($B:$B,'BS(분기)'!$A:$F,$2:$2,0),0)</f>
        <v>0</v>
      </c>
    </row>
    <row r="195" spans="1:18" s="192" customFormat="1" ht="12">
      <c r="A195" s="202">
        <v>112129</v>
      </c>
      <c r="B195" s="195" t="s">
        <v>1008</v>
      </c>
      <c r="C195" s="217">
        <f>IF(ISNUMBER(VLOOKUP($B:$B,BS!$A:$D,$2:$2,0)),VLOOKUP($B:$B,BS!$A:$D,$2:$2,0),0)</f>
        <v>0</v>
      </c>
      <c r="D195" s="217">
        <f>IF(ISNUMBER(VLOOKUP($B:$B,BS!$A:$D,$2:$2,0)),VLOOKUP($B:$B,BS!$A:$D,$2:$2,0),0)</f>
        <v>0</v>
      </c>
      <c r="E195" s="217">
        <f>IF(ISNUMBER(VLOOKUP($B:$B,BS!$A:$D,$2:$2,0)),VLOOKUP($B:$B,BS!$A:$D,$2:$2,0),0)</f>
        <v>0</v>
      </c>
      <c r="F195" s="217">
        <f>IF(ISNUMBER(VLOOKUP($B:$B,BS!$A:$D,$2:$2,0)),VLOOKUP($B:$B,BS!$A:$D,$2:$2,0),0)</f>
        <v>0</v>
      </c>
      <c r="G195" s="217">
        <f>IF(ISNUMBER(VLOOKUP($B:$B,BS!$A:$D,$2:$2,0)),VLOOKUP($B:$B,BS!$A:$D,$2:$2,0),0)</f>
        <v>0</v>
      </c>
      <c r="H195" s="207">
        <f>IF(ISNUMBER(VLOOKUP($B:$B,'BS(과거)'!$A:$F,$2:$2,0)),VLOOKUP($B:$B,'BS(과거)'!$A:$F,$2:$2,0),0)</f>
        <v>0</v>
      </c>
      <c r="I195" s="207">
        <f>IF(ISNUMBER(VLOOKUP($B:$B,'BS(과거)'!$A:$F,$2:$2,0)),VLOOKUP($B:$B,'BS(과거)'!$A:$F,$2:$2,0),0)</f>
        <v>0</v>
      </c>
      <c r="J195" s="207">
        <f>IF(ISNUMBER(VLOOKUP($B:$B,'BS(과거)'!$A:$F,$2:$2,0)),VLOOKUP($B:$B,'BS(과거)'!$A:$F,$2:$2,0),0)</f>
        <v>0</v>
      </c>
      <c r="K195" s="207">
        <f>IF(ISNUMBER(VLOOKUP($B:$B,'BS(과거)'!$A:$F,$2:$2,0)),VLOOKUP($B:$B,'BS(과거)'!$A:$F,$2:$2,0),0)</f>
        <v>0</v>
      </c>
      <c r="L195" s="207">
        <f>IF(ISNUMBER(VLOOKUP($B:$B,'BS(과거)'!$A:$F,$2:$2,0)),VLOOKUP($B:$B,'BS(과거)'!$A:$F,$2:$2,0),0)</f>
        <v>0</v>
      </c>
      <c r="N195" s="207">
        <f>IF(ISNUMBER(VLOOKUP($B:$B,'BS(분기)'!$A:$F,$2:$2,0)),VLOOKUP($B:$B,'BS(분기)'!$A:$F,$2:$2,0),0)</f>
        <v>0</v>
      </c>
      <c r="O195" s="207">
        <f>IF(ISNUMBER(VLOOKUP($B:$B,'BS(분기)'!$A:$F,$2:$2,0)),VLOOKUP($B:$B,'BS(분기)'!$A:$F,$2:$2,0),0)</f>
        <v>0</v>
      </c>
      <c r="P195" s="207">
        <f>IF(ISNUMBER(VLOOKUP($B:$B,'BS(분기)'!$A:$F,$2:$2,0)),VLOOKUP($B:$B,'BS(분기)'!$A:$F,$2:$2,0),0)</f>
        <v>0</v>
      </c>
      <c r="Q195" s="207">
        <f>IF(ISNUMBER(VLOOKUP($B:$B,'BS(분기)'!$A:$F,$2:$2,0)),VLOOKUP($B:$B,'BS(분기)'!$A:$F,$2:$2,0),0)</f>
        <v>0</v>
      </c>
      <c r="R195" s="207">
        <f>IF(ISNUMBER(VLOOKUP($B:$B,'BS(분기)'!$A:$F,$2:$2,0)),VLOOKUP($B:$B,'BS(분기)'!$A:$F,$2:$2,0),0)</f>
        <v>0</v>
      </c>
    </row>
    <row r="196" spans="1:18" s="192" customFormat="1" ht="12">
      <c r="A196" s="203">
        <v>112121</v>
      </c>
      <c r="B196" s="196" t="s">
        <v>786</v>
      </c>
      <c r="C196" s="217">
        <f>IF(ISNUMBER(VLOOKUP($B:$B,BS!$A:$D,$2:$2,0)),VLOOKUP($B:$B,BS!$A:$D,$2:$2,0),0)</f>
        <v>0</v>
      </c>
      <c r="D196" s="217">
        <f>IF(ISNUMBER(VLOOKUP($B:$B,BS!$A:$D,$2:$2,0)),VLOOKUP($B:$B,BS!$A:$D,$2:$2,0),0)</f>
        <v>0</v>
      </c>
      <c r="E196" s="217">
        <f>IF(ISNUMBER(VLOOKUP($B:$B,BS!$A:$D,$2:$2,0)),VLOOKUP($B:$B,BS!$A:$D,$2:$2,0),0)</f>
        <v>0</v>
      </c>
      <c r="F196" s="217">
        <f>IF(ISNUMBER(VLOOKUP($B:$B,BS!$A:$D,$2:$2,0)),VLOOKUP($B:$B,BS!$A:$D,$2:$2,0),0)</f>
        <v>0</v>
      </c>
      <c r="G196" s="217">
        <f>IF(ISNUMBER(VLOOKUP($B:$B,BS!$A:$D,$2:$2,0)),VLOOKUP($B:$B,BS!$A:$D,$2:$2,0),0)</f>
        <v>0</v>
      </c>
      <c r="H196" s="207">
        <f>IF(ISNUMBER(VLOOKUP($B:$B,'BS(과거)'!$A:$F,$2:$2,0)),VLOOKUP($B:$B,'BS(과거)'!$A:$F,$2:$2,0),0)</f>
        <v>0</v>
      </c>
      <c r="I196" s="207">
        <f>IF(ISNUMBER(VLOOKUP($B:$B,'BS(과거)'!$A:$F,$2:$2,0)),VLOOKUP($B:$B,'BS(과거)'!$A:$F,$2:$2,0),0)</f>
        <v>0</v>
      </c>
      <c r="J196" s="207">
        <f>IF(ISNUMBER(VLOOKUP($B:$B,'BS(과거)'!$A:$F,$2:$2,0)),VLOOKUP($B:$B,'BS(과거)'!$A:$F,$2:$2,0),0)</f>
        <v>0</v>
      </c>
      <c r="K196" s="207">
        <f>IF(ISNUMBER(VLOOKUP($B:$B,'BS(과거)'!$A:$F,$2:$2,0)),VLOOKUP($B:$B,'BS(과거)'!$A:$F,$2:$2,0),0)</f>
        <v>0</v>
      </c>
      <c r="L196" s="207">
        <f>IF(ISNUMBER(VLOOKUP($B:$B,'BS(과거)'!$A:$F,$2:$2,0)),VLOOKUP($B:$B,'BS(과거)'!$A:$F,$2:$2,0),0)</f>
        <v>0</v>
      </c>
      <c r="N196" s="207">
        <f>IF(ISNUMBER(VLOOKUP($B:$B,'BS(분기)'!$A:$F,$2:$2,0)),VLOOKUP($B:$B,'BS(분기)'!$A:$F,$2:$2,0),0)</f>
        <v>0</v>
      </c>
      <c r="O196" s="207">
        <f>IF(ISNUMBER(VLOOKUP($B:$B,'BS(분기)'!$A:$F,$2:$2,0)),VLOOKUP($B:$B,'BS(분기)'!$A:$F,$2:$2,0),0)</f>
        <v>0</v>
      </c>
      <c r="P196" s="207">
        <f>IF(ISNUMBER(VLOOKUP($B:$B,'BS(분기)'!$A:$F,$2:$2,0)),VLOOKUP($B:$B,'BS(분기)'!$A:$F,$2:$2,0),0)</f>
        <v>0</v>
      </c>
      <c r="Q196" s="207">
        <f>IF(ISNUMBER(VLOOKUP($B:$B,'BS(분기)'!$A:$F,$2:$2,0)),VLOOKUP($B:$B,'BS(분기)'!$A:$F,$2:$2,0),0)</f>
        <v>0</v>
      </c>
      <c r="R196" s="207">
        <f>IF(ISNUMBER(VLOOKUP($B:$B,'BS(분기)'!$A:$F,$2:$2,0)),VLOOKUP($B:$B,'BS(분기)'!$A:$F,$2:$2,0),0)</f>
        <v>0</v>
      </c>
    </row>
    <row r="197" spans="1:18" s="192" customFormat="1" ht="12">
      <c r="A197" s="203">
        <v>112127</v>
      </c>
      <c r="B197" s="196" t="s">
        <v>887</v>
      </c>
      <c r="C197" s="217">
        <f>IF(ISNUMBER(VLOOKUP($B:$B,BS!$A:$D,$2:$2,0)),VLOOKUP($B:$B,BS!$A:$D,$2:$2,0),0)</f>
        <v>0</v>
      </c>
      <c r="D197" s="217">
        <f>IF(ISNUMBER(VLOOKUP($B:$B,BS!$A:$D,$2:$2,0)),VLOOKUP($B:$B,BS!$A:$D,$2:$2,0),0)</f>
        <v>0</v>
      </c>
      <c r="E197" s="217">
        <f>IF(ISNUMBER(VLOOKUP($B:$B,BS!$A:$D,$2:$2,0)),VLOOKUP($B:$B,BS!$A:$D,$2:$2,0),0)</f>
        <v>0</v>
      </c>
      <c r="F197" s="217">
        <f>IF(ISNUMBER(VLOOKUP($B:$B,BS!$A:$D,$2:$2,0)),VLOOKUP($B:$B,BS!$A:$D,$2:$2,0),0)</f>
        <v>0</v>
      </c>
      <c r="G197" s="217">
        <f>IF(ISNUMBER(VLOOKUP($B:$B,BS!$A:$D,$2:$2,0)),VLOOKUP($B:$B,BS!$A:$D,$2:$2,0),0)</f>
        <v>0</v>
      </c>
      <c r="H197" s="207">
        <f>IF(ISNUMBER(VLOOKUP($B:$B,'BS(과거)'!$A:$F,$2:$2,0)),VLOOKUP($B:$B,'BS(과거)'!$A:$F,$2:$2,0),0)</f>
        <v>0</v>
      </c>
      <c r="I197" s="207">
        <f>IF(ISNUMBER(VLOOKUP($B:$B,'BS(과거)'!$A:$F,$2:$2,0)),VLOOKUP($B:$B,'BS(과거)'!$A:$F,$2:$2,0),0)</f>
        <v>0</v>
      </c>
      <c r="J197" s="207">
        <f>IF(ISNUMBER(VLOOKUP($B:$B,'BS(과거)'!$A:$F,$2:$2,0)),VLOOKUP($B:$B,'BS(과거)'!$A:$F,$2:$2,0),0)</f>
        <v>0</v>
      </c>
      <c r="K197" s="207">
        <f>IF(ISNUMBER(VLOOKUP($B:$B,'BS(과거)'!$A:$F,$2:$2,0)),VLOOKUP($B:$B,'BS(과거)'!$A:$F,$2:$2,0),0)</f>
        <v>0</v>
      </c>
      <c r="L197" s="207">
        <f>IF(ISNUMBER(VLOOKUP($B:$B,'BS(과거)'!$A:$F,$2:$2,0)),VLOOKUP($B:$B,'BS(과거)'!$A:$F,$2:$2,0),0)</f>
        <v>0</v>
      </c>
      <c r="N197" s="207">
        <f>IF(ISNUMBER(VLOOKUP($B:$B,'BS(분기)'!$A:$F,$2:$2,0)),VLOOKUP($B:$B,'BS(분기)'!$A:$F,$2:$2,0),0)</f>
        <v>0</v>
      </c>
      <c r="O197" s="207">
        <f>IF(ISNUMBER(VLOOKUP($B:$B,'BS(분기)'!$A:$F,$2:$2,0)),VLOOKUP($B:$B,'BS(분기)'!$A:$F,$2:$2,0),0)</f>
        <v>0</v>
      </c>
      <c r="P197" s="207">
        <f>IF(ISNUMBER(VLOOKUP($B:$B,'BS(분기)'!$A:$F,$2:$2,0)),VLOOKUP($B:$B,'BS(분기)'!$A:$F,$2:$2,0),0)</f>
        <v>0</v>
      </c>
      <c r="Q197" s="207">
        <f>IF(ISNUMBER(VLOOKUP($B:$B,'BS(분기)'!$A:$F,$2:$2,0)),VLOOKUP($B:$B,'BS(분기)'!$A:$F,$2:$2,0),0)</f>
        <v>0</v>
      </c>
      <c r="R197" s="207">
        <f>IF(ISNUMBER(VLOOKUP($B:$B,'BS(분기)'!$A:$F,$2:$2,0)),VLOOKUP($B:$B,'BS(분기)'!$A:$F,$2:$2,0),0)</f>
        <v>0</v>
      </c>
    </row>
    <row r="198" spans="1:18" s="192" customFormat="1" ht="12">
      <c r="A198" s="203">
        <v>112413</v>
      </c>
      <c r="B198" s="196" t="s">
        <v>886</v>
      </c>
      <c r="C198" s="217">
        <f>IF(ISNUMBER(VLOOKUP($B:$B,BS!$A:$D,$2:$2,0)),VLOOKUP($B:$B,BS!$A:$D,$2:$2,0),0)</f>
        <v>0</v>
      </c>
      <c r="D198" s="217">
        <f>IF(ISNUMBER(VLOOKUP($B:$B,BS!$A:$D,$2:$2,0)),VLOOKUP($B:$B,BS!$A:$D,$2:$2,0),0)</f>
        <v>0</v>
      </c>
      <c r="E198" s="217">
        <f>IF(ISNUMBER(VLOOKUP($B:$B,BS!$A:$D,$2:$2,0)),VLOOKUP($B:$B,BS!$A:$D,$2:$2,0),0)</f>
        <v>0</v>
      </c>
      <c r="F198" s="217">
        <f>IF(ISNUMBER(VLOOKUP($B:$B,BS!$A:$D,$2:$2,0)),VLOOKUP($B:$B,BS!$A:$D,$2:$2,0),0)</f>
        <v>0</v>
      </c>
      <c r="G198" s="217">
        <f>IF(ISNUMBER(VLOOKUP($B:$B,BS!$A:$D,$2:$2,0)),VLOOKUP($B:$B,BS!$A:$D,$2:$2,0),0)</f>
        <v>0</v>
      </c>
      <c r="H198" s="207">
        <f>IF(ISNUMBER(VLOOKUP($B:$B,'BS(과거)'!$A:$F,$2:$2,0)),VLOOKUP($B:$B,'BS(과거)'!$A:$F,$2:$2,0),0)</f>
        <v>0</v>
      </c>
      <c r="I198" s="207">
        <f>IF(ISNUMBER(VLOOKUP($B:$B,'BS(과거)'!$A:$F,$2:$2,0)),VLOOKUP($B:$B,'BS(과거)'!$A:$F,$2:$2,0),0)</f>
        <v>0</v>
      </c>
      <c r="J198" s="207">
        <f>IF(ISNUMBER(VLOOKUP($B:$B,'BS(과거)'!$A:$F,$2:$2,0)),VLOOKUP($B:$B,'BS(과거)'!$A:$F,$2:$2,0),0)</f>
        <v>0</v>
      </c>
      <c r="K198" s="207">
        <f>IF(ISNUMBER(VLOOKUP($B:$B,'BS(과거)'!$A:$F,$2:$2,0)),VLOOKUP($B:$B,'BS(과거)'!$A:$F,$2:$2,0),0)</f>
        <v>0</v>
      </c>
      <c r="L198" s="207">
        <f>IF(ISNUMBER(VLOOKUP($B:$B,'BS(과거)'!$A:$F,$2:$2,0)),VLOOKUP($B:$B,'BS(과거)'!$A:$F,$2:$2,0),0)</f>
        <v>0</v>
      </c>
      <c r="N198" s="207">
        <f>IF(ISNUMBER(VLOOKUP($B:$B,'BS(분기)'!$A:$F,$2:$2,0)),VLOOKUP($B:$B,'BS(분기)'!$A:$F,$2:$2,0),0)</f>
        <v>0</v>
      </c>
      <c r="O198" s="207">
        <f>IF(ISNUMBER(VLOOKUP($B:$B,'BS(분기)'!$A:$F,$2:$2,0)),VLOOKUP($B:$B,'BS(분기)'!$A:$F,$2:$2,0),0)</f>
        <v>0</v>
      </c>
      <c r="P198" s="207">
        <f>IF(ISNUMBER(VLOOKUP($B:$B,'BS(분기)'!$A:$F,$2:$2,0)),VLOOKUP($B:$B,'BS(분기)'!$A:$F,$2:$2,0),0)</f>
        <v>0</v>
      </c>
      <c r="Q198" s="207">
        <f>IF(ISNUMBER(VLOOKUP($B:$B,'BS(분기)'!$A:$F,$2:$2,0)),VLOOKUP($B:$B,'BS(분기)'!$A:$F,$2:$2,0),0)</f>
        <v>0</v>
      </c>
      <c r="R198" s="207">
        <f>IF(ISNUMBER(VLOOKUP($B:$B,'BS(분기)'!$A:$F,$2:$2,0)),VLOOKUP($B:$B,'BS(분기)'!$A:$F,$2:$2,0),0)</f>
        <v>0</v>
      </c>
    </row>
    <row r="199" spans="1:18" s="192" customFormat="1" ht="12">
      <c r="A199" s="203">
        <v>112107</v>
      </c>
      <c r="B199" s="196" t="s">
        <v>806</v>
      </c>
      <c r="C199" s="217">
        <f>IF(ISNUMBER(VLOOKUP($B:$B,BS!$A:$D,$2:$2,0)),VLOOKUP($B:$B,BS!$A:$D,$2:$2,0),0)</f>
        <v>0</v>
      </c>
      <c r="D199" s="217">
        <f>IF(ISNUMBER(VLOOKUP($B:$B,BS!$A:$D,$2:$2,0)),VLOOKUP($B:$B,BS!$A:$D,$2:$2,0),0)</f>
        <v>0</v>
      </c>
      <c r="E199" s="217">
        <f>IF(ISNUMBER(VLOOKUP($B:$B,BS!$A:$D,$2:$2,0)),VLOOKUP($B:$B,BS!$A:$D,$2:$2,0),0)</f>
        <v>0</v>
      </c>
      <c r="F199" s="217">
        <f>IF(ISNUMBER(VLOOKUP($B:$B,BS!$A:$D,$2:$2,0)),VLOOKUP($B:$B,BS!$A:$D,$2:$2,0),0)</f>
        <v>0</v>
      </c>
      <c r="G199" s="217">
        <f>IF(ISNUMBER(VLOOKUP($B:$B,BS!$A:$D,$2:$2,0)),VLOOKUP($B:$B,BS!$A:$D,$2:$2,0),0)</f>
        <v>0</v>
      </c>
      <c r="H199" s="207">
        <f>IF(ISNUMBER(VLOOKUP($B:$B,'BS(과거)'!$A:$F,$2:$2,0)),VLOOKUP($B:$B,'BS(과거)'!$A:$F,$2:$2,0),0)</f>
        <v>0</v>
      </c>
      <c r="I199" s="207">
        <f>IF(ISNUMBER(VLOOKUP($B:$B,'BS(과거)'!$A:$F,$2:$2,0)),VLOOKUP($B:$B,'BS(과거)'!$A:$F,$2:$2,0),0)</f>
        <v>0</v>
      </c>
      <c r="J199" s="207">
        <f>IF(ISNUMBER(VLOOKUP($B:$B,'BS(과거)'!$A:$F,$2:$2,0)),VLOOKUP($B:$B,'BS(과거)'!$A:$F,$2:$2,0),0)</f>
        <v>0</v>
      </c>
      <c r="K199" s="207">
        <f>IF(ISNUMBER(VLOOKUP($B:$B,'BS(과거)'!$A:$F,$2:$2,0)),VLOOKUP($B:$B,'BS(과거)'!$A:$F,$2:$2,0),0)</f>
        <v>0</v>
      </c>
      <c r="L199" s="207">
        <f>IF(ISNUMBER(VLOOKUP($B:$B,'BS(과거)'!$A:$F,$2:$2,0)),VLOOKUP($B:$B,'BS(과거)'!$A:$F,$2:$2,0),0)</f>
        <v>0</v>
      </c>
      <c r="N199" s="207">
        <f>IF(ISNUMBER(VLOOKUP($B:$B,'BS(분기)'!$A:$F,$2:$2,0)),VLOOKUP($B:$B,'BS(분기)'!$A:$F,$2:$2,0),0)</f>
        <v>0</v>
      </c>
      <c r="O199" s="207">
        <f>IF(ISNUMBER(VLOOKUP($B:$B,'BS(분기)'!$A:$F,$2:$2,0)),VLOOKUP($B:$B,'BS(분기)'!$A:$F,$2:$2,0),0)</f>
        <v>0</v>
      </c>
      <c r="P199" s="207">
        <f>IF(ISNUMBER(VLOOKUP($B:$B,'BS(분기)'!$A:$F,$2:$2,0)),VLOOKUP($B:$B,'BS(분기)'!$A:$F,$2:$2,0),0)</f>
        <v>0</v>
      </c>
      <c r="Q199" s="207">
        <f>IF(ISNUMBER(VLOOKUP($B:$B,'BS(분기)'!$A:$F,$2:$2,0)),VLOOKUP($B:$B,'BS(분기)'!$A:$F,$2:$2,0),0)</f>
        <v>0</v>
      </c>
      <c r="R199" s="207">
        <f>IF(ISNUMBER(VLOOKUP($B:$B,'BS(분기)'!$A:$F,$2:$2,0)),VLOOKUP($B:$B,'BS(분기)'!$A:$F,$2:$2,0),0)</f>
        <v>0</v>
      </c>
    </row>
    <row r="200" spans="1:18" s="192" customFormat="1" ht="12">
      <c r="A200" s="203">
        <v>112122</v>
      </c>
      <c r="B200" s="196" t="s">
        <v>888</v>
      </c>
      <c r="C200" s="217">
        <f>IF(ISNUMBER(VLOOKUP($B:$B,BS!$A:$D,$2:$2,0)),VLOOKUP($B:$B,BS!$A:$D,$2:$2,0),0)</f>
        <v>0</v>
      </c>
      <c r="D200" s="217">
        <f>IF(ISNUMBER(VLOOKUP($B:$B,BS!$A:$D,$2:$2,0)),VLOOKUP($B:$B,BS!$A:$D,$2:$2,0),0)</f>
        <v>0</v>
      </c>
      <c r="E200" s="217">
        <f>IF(ISNUMBER(VLOOKUP($B:$B,BS!$A:$D,$2:$2,0)),VLOOKUP($B:$B,BS!$A:$D,$2:$2,0),0)</f>
        <v>0</v>
      </c>
      <c r="F200" s="217">
        <f>IF(ISNUMBER(VLOOKUP($B:$B,BS!$A:$D,$2:$2,0)),VLOOKUP($B:$B,BS!$A:$D,$2:$2,0),0)</f>
        <v>0</v>
      </c>
      <c r="G200" s="217">
        <f>IF(ISNUMBER(VLOOKUP($B:$B,BS!$A:$D,$2:$2,0)),VLOOKUP($B:$B,BS!$A:$D,$2:$2,0),0)</f>
        <v>0</v>
      </c>
      <c r="H200" s="207">
        <f>IF(ISNUMBER(VLOOKUP($B:$B,'BS(과거)'!$A:$F,$2:$2,0)),VLOOKUP($B:$B,'BS(과거)'!$A:$F,$2:$2,0),0)</f>
        <v>0</v>
      </c>
      <c r="I200" s="207">
        <f>IF(ISNUMBER(VLOOKUP($B:$B,'BS(과거)'!$A:$F,$2:$2,0)),VLOOKUP($B:$B,'BS(과거)'!$A:$F,$2:$2,0),0)</f>
        <v>0</v>
      </c>
      <c r="J200" s="207">
        <f>IF(ISNUMBER(VLOOKUP($B:$B,'BS(과거)'!$A:$F,$2:$2,0)),VLOOKUP($B:$B,'BS(과거)'!$A:$F,$2:$2,0),0)</f>
        <v>0</v>
      </c>
      <c r="K200" s="207">
        <f>IF(ISNUMBER(VLOOKUP($B:$B,'BS(과거)'!$A:$F,$2:$2,0)),VLOOKUP($B:$B,'BS(과거)'!$A:$F,$2:$2,0),0)</f>
        <v>0</v>
      </c>
      <c r="L200" s="207">
        <f>IF(ISNUMBER(VLOOKUP($B:$B,'BS(과거)'!$A:$F,$2:$2,0)),VLOOKUP($B:$B,'BS(과거)'!$A:$F,$2:$2,0),0)</f>
        <v>0</v>
      </c>
      <c r="N200" s="207">
        <f>IF(ISNUMBER(VLOOKUP($B:$B,'BS(분기)'!$A:$F,$2:$2,0)),VLOOKUP($B:$B,'BS(분기)'!$A:$F,$2:$2,0),0)</f>
        <v>0</v>
      </c>
      <c r="O200" s="207">
        <f>IF(ISNUMBER(VLOOKUP($B:$B,'BS(분기)'!$A:$F,$2:$2,0)),VLOOKUP($B:$B,'BS(분기)'!$A:$F,$2:$2,0),0)</f>
        <v>0</v>
      </c>
      <c r="P200" s="207">
        <f>IF(ISNUMBER(VLOOKUP($B:$B,'BS(분기)'!$A:$F,$2:$2,0)),VLOOKUP($B:$B,'BS(분기)'!$A:$F,$2:$2,0),0)</f>
        <v>0</v>
      </c>
      <c r="Q200" s="207">
        <f>IF(ISNUMBER(VLOOKUP($B:$B,'BS(분기)'!$A:$F,$2:$2,0)),VLOOKUP($B:$B,'BS(분기)'!$A:$F,$2:$2,0),0)</f>
        <v>0</v>
      </c>
      <c r="R200" s="207">
        <f>IF(ISNUMBER(VLOOKUP($B:$B,'BS(분기)'!$A:$F,$2:$2,0)),VLOOKUP($B:$B,'BS(분기)'!$A:$F,$2:$2,0),0)</f>
        <v>0</v>
      </c>
    </row>
    <row r="201" spans="1:18" s="192" customFormat="1" ht="12">
      <c r="A201" s="203">
        <v>112128</v>
      </c>
      <c r="B201" s="196" t="s">
        <v>890</v>
      </c>
      <c r="C201" s="217">
        <f>IF(ISNUMBER(VLOOKUP($B:$B,BS!$A:$D,$2:$2,0)),VLOOKUP($B:$B,BS!$A:$D,$2:$2,0),0)</f>
        <v>0</v>
      </c>
      <c r="D201" s="217">
        <f>IF(ISNUMBER(VLOOKUP($B:$B,BS!$A:$D,$2:$2,0)),VLOOKUP($B:$B,BS!$A:$D,$2:$2,0),0)</f>
        <v>0</v>
      </c>
      <c r="E201" s="217">
        <f>IF(ISNUMBER(VLOOKUP($B:$B,BS!$A:$D,$2:$2,0)),VLOOKUP($B:$B,BS!$A:$D,$2:$2,0),0)</f>
        <v>0</v>
      </c>
      <c r="F201" s="217">
        <f>IF(ISNUMBER(VLOOKUP($B:$B,BS!$A:$D,$2:$2,0)),VLOOKUP($B:$B,BS!$A:$D,$2:$2,0),0)</f>
        <v>0</v>
      </c>
      <c r="G201" s="217">
        <f>IF(ISNUMBER(VLOOKUP($B:$B,BS!$A:$D,$2:$2,0)),VLOOKUP($B:$B,BS!$A:$D,$2:$2,0),0)</f>
        <v>0</v>
      </c>
      <c r="H201" s="207">
        <f>IF(ISNUMBER(VLOOKUP($B:$B,'BS(과거)'!$A:$F,$2:$2,0)),VLOOKUP($B:$B,'BS(과거)'!$A:$F,$2:$2,0),0)</f>
        <v>0</v>
      </c>
      <c r="I201" s="207">
        <f>IF(ISNUMBER(VLOOKUP($B:$B,'BS(과거)'!$A:$F,$2:$2,0)),VLOOKUP($B:$B,'BS(과거)'!$A:$F,$2:$2,0),0)</f>
        <v>0</v>
      </c>
      <c r="J201" s="207">
        <f>IF(ISNUMBER(VLOOKUP($B:$B,'BS(과거)'!$A:$F,$2:$2,0)),VLOOKUP($B:$B,'BS(과거)'!$A:$F,$2:$2,0),0)</f>
        <v>0</v>
      </c>
      <c r="K201" s="207">
        <f>IF(ISNUMBER(VLOOKUP($B:$B,'BS(과거)'!$A:$F,$2:$2,0)),VLOOKUP($B:$B,'BS(과거)'!$A:$F,$2:$2,0),0)</f>
        <v>0</v>
      </c>
      <c r="L201" s="207">
        <f>IF(ISNUMBER(VLOOKUP($B:$B,'BS(과거)'!$A:$F,$2:$2,0)),VLOOKUP($B:$B,'BS(과거)'!$A:$F,$2:$2,0),0)</f>
        <v>0</v>
      </c>
      <c r="N201" s="207">
        <f>IF(ISNUMBER(VLOOKUP($B:$B,'BS(분기)'!$A:$F,$2:$2,0)),VLOOKUP($B:$B,'BS(분기)'!$A:$F,$2:$2,0),0)</f>
        <v>0</v>
      </c>
      <c r="O201" s="207">
        <f>IF(ISNUMBER(VLOOKUP($B:$B,'BS(분기)'!$A:$F,$2:$2,0)),VLOOKUP($B:$B,'BS(분기)'!$A:$F,$2:$2,0),0)</f>
        <v>0</v>
      </c>
      <c r="P201" s="207">
        <f>IF(ISNUMBER(VLOOKUP($B:$B,'BS(분기)'!$A:$F,$2:$2,0)),VLOOKUP($B:$B,'BS(분기)'!$A:$F,$2:$2,0),0)</f>
        <v>0</v>
      </c>
      <c r="Q201" s="207">
        <f>IF(ISNUMBER(VLOOKUP($B:$B,'BS(분기)'!$A:$F,$2:$2,0)),VLOOKUP($B:$B,'BS(분기)'!$A:$F,$2:$2,0),0)</f>
        <v>0</v>
      </c>
      <c r="R201" s="207">
        <f>IF(ISNUMBER(VLOOKUP($B:$B,'BS(분기)'!$A:$F,$2:$2,0)),VLOOKUP($B:$B,'BS(분기)'!$A:$F,$2:$2,0),0)</f>
        <v>0</v>
      </c>
    </row>
    <row r="202" spans="1:18" s="192" customFormat="1" ht="12">
      <c r="A202" s="203">
        <v>112416</v>
      </c>
      <c r="B202" s="196" t="s">
        <v>889</v>
      </c>
      <c r="C202" s="217">
        <f>IF(ISNUMBER(VLOOKUP($B:$B,BS!$A:$D,$2:$2,0)),VLOOKUP($B:$B,BS!$A:$D,$2:$2,0),0)</f>
        <v>0</v>
      </c>
      <c r="D202" s="217">
        <f>IF(ISNUMBER(VLOOKUP($B:$B,BS!$A:$D,$2:$2,0)),VLOOKUP($B:$B,BS!$A:$D,$2:$2,0),0)</f>
        <v>0</v>
      </c>
      <c r="E202" s="217">
        <f>IF(ISNUMBER(VLOOKUP($B:$B,BS!$A:$D,$2:$2,0)),VLOOKUP($B:$B,BS!$A:$D,$2:$2,0),0)</f>
        <v>0</v>
      </c>
      <c r="F202" s="217">
        <f>IF(ISNUMBER(VLOOKUP($B:$B,BS!$A:$D,$2:$2,0)),VLOOKUP($B:$B,BS!$A:$D,$2:$2,0),0)</f>
        <v>0</v>
      </c>
      <c r="G202" s="217">
        <f>IF(ISNUMBER(VLOOKUP($B:$B,BS!$A:$D,$2:$2,0)),VLOOKUP($B:$B,BS!$A:$D,$2:$2,0),0)</f>
        <v>0</v>
      </c>
      <c r="H202" s="207">
        <f>IF(ISNUMBER(VLOOKUP($B:$B,'BS(과거)'!$A:$F,$2:$2,0)),VLOOKUP($B:$B,'BS(과거)'!$A:$F,$2:$2,0),0)</f>
        <v>0</v>
      </c>
      <c r="I202" s="207">
        <f>IF(ISNUMBER(VLOOKUP($B:$B,'BS(과거)'!$A:$F,$2:$2,0)),VLOOKUP($B:$B,'BS(과거)'!$A:$F,$2:$2,0),0)</f>
        <v>0</v>
      </c>
      <c r="J202" s="207">
        <f>IF(ISNUMBER(VLOOKUP($B:$B,'BS(과거)'!$A:$F,$2:$2,0)),VLOOKUP($B:$B,'BS(과거)'!$A:$F,$2:$2,0),0)</f>
        <v>0</v>
      </c>
      <c r="K202" s="207">
        <f>IF(ISNUMBER(VLOOKUP($B:$B,'BS(과거)'!$A:$F,$2:$2,0)),VLOOKUP($B:$B,'BS(과거)'!$A:$F,$2:$2,0),0)</f>
        <v>0</v>
      </c>
      <c r="L202" s="207">
        <f>IF(ISNUMBER(VLOOKUP($B:$B,'BS(과거)'!$A:$F,$2:$2,0)),VLOOKUP($B:$B,'BS(과거)'!$A:$F,$2:$2,0),0)</f>
        <v>0</v>
      </c>
      <c r="N202" s="207">
        <f>IF(ISNUMBER(VLOOKUP($B:$B,'BS(분기)'!$A:$F,$2:$2,0)),VLOOKUP($B:$B,'BS(분기)'!$A:$F,$2:$2,0),0)</f>
        <v>0</v>
      </c>
      <c r="O202" s="207">
        <f>IF(ISNUMBER(VLOOKUP($B:$B,'BS(분기)'!$A:$F,$2:$2,0)),VLOOKUP($B:$B,'BS(분기)'!$A:$F,$2:$2,0),0)</f>
        <v>0</v>
      </c>
      <c r="P202" s="207">
        <f>IF(ISNUMBER(VLOOKUP($B:$B,'BS(분기)'!$A:$F,$2:$2,0)),VLOOKUP($B:$B,'BS(분기)'!$A:$F,$2:$2,0),0)</f>
        <v>0</v>
      </c>
      <c r="Q202" s="207">
        <f>IF(ISNUMBER(VLOOKUP($B:$B,'BS(분기)'!$A:$F,$2:$2,0)),VLOOKUP($B:$B,'BS(분기)'!$A:$F,$2:$2,0),0)</f>
        <v>0</v>
      </c>
      <c r="R202" s="207">
        <f>IF(ISNUMBER(VLOOKUP($B:$B,'BS(분기)'!$A:$F,$2:$2,0)),VLOOKUP($B:$B,'BS(분기)'!$A:$F,$2:$2,0),0)</f>
        <v>0</v>
      </c>
    </row>
    <row r="203" spans="1:18" s="192" customFormat="1" ht="12">
      <c r="A203" s="203">
        <v>112137</v>
      </c>
      <c r="B203" s="196" t="s">
        <v>1009</v>
      </c>
      <c r="C203" s="217">
        <f>IF(ISNUMBER(VLOOKUP($B:$B,BS!$A:$D,$2:$2,0)),VLOOKUP($B:$B,BS!$A:$D,$2:$2,0),0)</f>
        <v>0</v>
      </c>
      <c r="D203" s="217">
        <f>IF(ISNUMBER(VLOOKUP($B:$B,BS!$A:$D,$2:$2,0)),VLOOKUP($B:$B,BS!$A:$D,$2:$2,0),0)</f>
        <v>0</v>
      </c>
      <c r="E203" s="217">
        <f>IF(ISNUMBER(VLOOKUP($B:$B,BS!$A:$D,$2:$2,0)),VLOOKUP($B:$B,BS!$A:$D,$2:$2,0),0)</f>
        <v>0</v>
      </c>
      <c r="F203" s="217">
        <f>IF(ISNUMBER(VLOOKUP($B:$B,BS!$A:$D,$2:$2,0)),VLOOKUP($B:$B,BS!$A:$D,$2:$2,0),0)</f>
        <v>0</v>
      </c>
      <c r="G203" s="217">
        <f>IF(ISNUMBER(VLOOKUP($B:$B,BS!$A:$D,$2:$2,0)),VLOOKUP($B:$B,BS!$A:$D,$2:$2,0),0)</f>
        <v>0</v>
      </c>
      <c r="H203" s="207">
        <f>IF(ISNUMBER(VLOOKUP($B:$B,'BS(과거)'!$A:$F,$2:$2,0)),VLOOKUP($B:$B,'BS(과거)'!$A:$F,$2:$2,0),0)</f>
        <v>0</v>
      </c>
      <c r="I203" s="207">
        <f>IF(ISNUMBER(VLOOKUP($B:$B,'BS(과거)'!$A:$F,$2:$2,0)),VLOOKUP($B:$B,'BS(과거)'!$A:$F,$2:$2,0),0)</f>
        <v>0</v>
      </c>
      <c r="J203" s="207">
        <f>IF(ISNUMBER(VLOOKUP($B:$B,'BS(과거)'!$A:$F,$2:$2,0)),VLOOKUP($B:$B,'BS(과거)'!$A:$F,$2:$2,0),0)</f>
        <v>0</v>
      </c>
      <c r="K203" s="207">
        <f>IF(ISNUMBER(VLOOKUP($B:$B,'BS(과거)'!$A:$F,$2:$2,0)),VLOOKUP($B:$B,'BS(과거)'!$A:$F,$2:$2,0),0)</f>
        <v>0</v>
      </c>
      <c r="L203" s="207">
        <f>IF(ISNUMBER(VLOOKUP($B:$B,'BS(과거)'!$A:$F,$2:$2,0)),VLOOKUP($B:$B,'BS(과거)'!$A:$F,$2:$2,0),0)</f>
        <v>0</v>
      </c>
      <c r="N203" s="207">
        <f>IF(ISNUMBER(VLOOKUP($B:$B,'BS(분기)'!$A:$F,$2:$2,0)),VLOOKUP($B:$B,'BS(분기)'!$A:$F,$2:$2,0),0)</f>
        <v>0</v>
      </c>
      <c r="O203" s="207">
        <f>IF(ISNUMBER(VLOOKUP($B:$B,'BS(분기)'!$A:$F,$2:$2,0)),VLOOKUP($B:$B,'BS(분기)'!$A:$F,$2:$2,0),0)</f>
        <v>0</v>
      </c>
      <c r="P203" s="207">
        <f>IF(ISNUMBER(VLOOKUP($B:$B,'BS(분기)'!$A:$F,$2:$2,0)),VLOOKUP($B:$B,'BS(분기)'!$A:$F,$2:$2,0),0)</f>
        <v>0</v>
      </c>
      <c r="Q203" s="207">
        <f>IF(ISNUMBER(VLOOKUP($B:$B,'BS(분기)'!$A:$F,$2:$2,0)),VLOOKUP($B:$B,'BS(분기)'!$A:$F,$2:$2,0),0)</f>
        <v>0</v>
      </c>
      <c r="R203" s="207">
        <f>IF(ISNUMBER(VLOOKUP($B:$B,'BS(분기)'!$A:$F,$2:$2,0)),VLOOKUP($B:$B,'BS(분기)'!$A:$F,$2:$2,0),0)</f>
        <v>0</v>
      </c>
    </row>
    <row r="204" spans="1:18" s="192" customFormat="1" ht="12">
      <c r="A204" s="202">
        <v>112147</v>
      </c>
      <c r="B204" s="195" t="s">
        <v>568</v>
      </c>
      <c r="C204" s="217">
        <f>IF(ISNUMBER(VLOOKUP($B:$B,BS!$A:$D,$2:$2,0)),VLOOKUP($B:$B,BS!$A:$D,$2:$2,0),0)</f>
        <v>0</v>
      </c>
      <c r="D204" s="217">
        <f>IF(ISNUMBER(VLOOKUP($B:$B,BS!$A:$D,$2:$2,0)),VLOOKUP($B:$B,BS!$A:$D,$2:$2,0),0)</f>
        <v>0</v>
      </c>
      <c r="E204" s="217">
        <f>IF(ISNUMBER(VLOOKUP($B:$B,BS!$A:$D,$2:$2,0)),VLOOKUP($B:$B,BS!$A:$D,$2:$2,0),0)</f>
        <v>0</v>
      </c>
      <c r="F204" s="217">
        <f>IF(ISNUMBER(VLOOKUP($B:$B,BS!$A:$D,$2:$2,0)),VLOOKUP($B:$B,BS!$A:$D,$2:$2,0),0)</f>
        <v>0</v>
      </c>
      <c r="G204" s="217">
        <f>IF(ISNUMBER(VLOOKUP($B:$B,BS!$A:$D,$2:$2,0)),VLOOKUP($B:$B,BS!$A:$D,$2:$2,0),0)</f>
        <v>0</v>
      </c>
      <c r="H204" s="207">
        <f>IF(ISNUMBER(VLOOKUP($B:$B,'BS(과거)'!$A:$F,$2:$2,0)),VLOOKUP($B:$B,'BS(과거)'!$A:$F,$2:$2,0),0)</f>
        <v>0</v>
      </c>
      <c r="I204" s="207">
        <f>IF(ISNUMBER(VLOOKUP($B:$B,'BS(과거)'!$A:$F,$2:$2,0)),VLOOKUP($B:$B,'BS(과거)'!$A:$F,$2:$2,0),0)</f>
        <v>0</v>
      </c>
      <c r="J204" s="207">
        <f>IF(ISNUMBER(VLOOKUP($B:$B,'BS(과거)'!$A:$F,$2:$2,0)),VLOOKUP($B:$B,'BS(과거)'!$A:$F,$2:$2,0),0)</f>
        <v>0</v>
      </c>
      <c r="K204" s="207">
        <f>IF(ISNUMBER(VLOOKUP($B:$B,'BS(과거)'!$A:$F,$2:$2,0)),VLOOKUP($B:$B,'BS(과거)'!$A:$F,$2:$2,0),0)</f>
        <v>0</v>
      </c>
      <c r="L204" s="207">
        <f>IF(ISNUMBER(VLOOKUP($B:$B,'BS(과거)'!$A:$F,$2:$2,0)),VLOOKUP($B:$B,'BS(과거)'!$A:$F,$2:$2,0),0)</f>
        <v>0</v>
      </c>
      <c r="N204" s="207">
        <f>IF(ISNUMBER(VLOOKUP($B:$B,'BS(분기)'!$A:$F,$2:$2,0)),VLOOKUP($B:$B,'BS(분기)'!$A:$F,$2:$2,0),0)</f>
        <v>0</v>
      </c>
      <c r="O204" s="207">
        <f>IF(ISNUMBER(VLOOKUP($B:$B,'BS(분기)'!$A:$F,$2:$2,0)),VLOOKUP($B:$B,'BS(분기)'!$A:$F,$2:$2,0),0)</f>
        <v>0</v>
      </c>
      <c r="P204" s="207">
        <f>IF(ISNUMBER(VLOOKUP($B:$B,'BS(분기)'!$A:$F,$2:$2,0)),VLOOKUP($B:$B,'BS(분기)'!$A:$F,$2:$2,0),0)</f>
        <v>0</v>
      </c>
      <c r="Q204" s="207">
        <f>IF(ISNUMBER(VLOOKUP($B:$B,'BS(분기)'!$A:$F,$2:$2,0)),VLOOKUP($B:$B,'BS(분기)'!$A:$F,$2:$2,0),0)</f>
        <v>0</v>
      </c>
      <c r="R204" s="207">
        <f>IF(ISNUMBER(VLOOKUP($B:$B,'BS(분기)'!$A:$F,$2:$2,0)),VLOOKUP($B:$B,'BS(분기)'!$A:$F,$2:$2,0),0)</f>
        <v>0</v>
      </c>
    </row>
    <row r="205" spans="1:18" s="192" customFormat="1" ht="12">
      <c r="A205" s="202">
        <v>112140</v>
      </c>
      <c r="B205" s="195" t="s">
        <v>1010</v>
      </c>
      <c r="C205" s="217">
        <f>IF(ISNUMBER(VLOOKUP($B:$B,BS!$A:$D,$2:$2,0)),VLOOKUP($B:$B,BS!$A:$D,$2:$2,0),0)</f>
        <v>0</v>
      </c>
      <c r="D205" s="217">
        <f>IF(ISNUMBER(VLOOKUP($B:$B,BS!$A:$D,$2:$2,0)),VLOOKUP($B:$B,BS!$A:$D,$2:$2,0),0)</f>
        <v>0</v>
      </c>
      <c r="E205" s="217">
        <f>IF(ISNUMBER(VLOOKUP($B:$B,BS!$A:$D,$2:$2,0)),VLOOKUP($B:$B,BS!$A:$D,$2:$2,0),0)</f>
        <v>0</v>
      </c>
      <c r="F205" s="217">
        <f>IF(ISNUMBER(VLOOKUP($B:$B,BS!$A:$D,$2:$2,0)),VLOOKUP($B:$B,BS!$A:$D,$2:$2,0),0)</f>
        <v>0</v>
      </c>
      <c r="G205" s="217">
        <f>IF(ISNUMBER(VLOOKUP($B:$B,BS!$A:$D,$2:$2,0)),VLOOKUP($B:$B,BS!$A:$D,$2:$2,0),0)</f>
        <v>0</v>
      </c>
      <c r="H205" s="207">
        <f>IF(ISNUMBER(VLOOKUP($B:$B,'BS(과거)'!$A:$F,$2:$2,0)),VLOOKUP($B:$B,'BS(과거)'!$A:$F,$2:$2,0),0)</f>
        <v>0</v>
      </c>
      <c r="I205" s="207">
        <f>IF(ISNUMBER(VLOOKUP($B:$B,'BS(과거)'!$A:$F,$2:$2,0)),VLOOKUP($B:$B,'BS(과거)'!$A:$F,$2:$2,0),0)</f>
        <v>0</v>
      </c>
      <c r="J205" s="207">
        <f>IF(ISNUMBER(VLOOKUP($B:$B,'BS(과거)'!$A:$F,$2:$2,0)),VLOOKUP($B:$B,'BS(과거)'!$A:$F,$2:$2,0),0)</f>
        <v>0</v>
      </c>
      <c r="K205" s="207">
        <f>IF(ISNUMBER(VLOOKUP($B:$B,'BS(과거)'!$A:$F,$2:$2,0)),VLOOKUP($B:$B,'BS(과거)'!$A:$F,$2:$2,0),0)</f>
        <v>0</v>
      </c>
      <c r="L205" s="207">
        <f>IF(ISNUMBER(VLOOKUP($B:$B,'BS(과거)'!$A:$F,$2:$2,0)),VLOOKUP($B:$B,'BS(과거)'!$A:$F,$2:$2,0),0)</f>
        <v>0</v>
      </c>
      <c r="N205" s="207">
        <f>IF(ISNUMBER(VLOOKUP($B:$B,'BS(분기)'!$A:$F,$2:$2,0)),VLOOKUP($B:$B,'BS(분기)'!$A:$F,$2:$2,0),0)</f>
        <v>0</v>
      </c>
      <c r="O205" s="207">
        <f>IF(ISNUMBER(VLOOKUP($B:$B,'BS(분기)'!$A:$F,$2:$2,0)),VLOOKUP($B:$B,'BS(분기)'!$A:$F,$2:$2,0),0)</f>
        <v>0</v>
      </c>
      <c r="P205" s="207">
        <f>IF(ISNUMBER(VLOOKUP($B:$B,'BS(분기)'!$A:$F,$2:$2,0)),VLOOKUP($B:$B,'BS(분기)'!$A:$F,$2:$2,0),0)</f>
        <v>0</v>
      </c>
      <c r="Q205" s="207">
        <f>IF(ISNUMBER(VLOOKUP($B:$B,'BS(분기)'!$A:$F,$2:$2,0)),VLOOKUP($B:$B,'BS(분기)'!$A:$F,$2:$2,0),0)</f>
        <v>0</v>
      </c>
      <c r="R205" s="207">
        <f>IF(ISNUMBER(VLOOKUP($B:$B,'BS(분기)'!$A:$F,$2:$2,0)),VLOOKUP($B:$B,'BS(분기)'!$A:$F,$2:$2,0),0)</f>
        <v>0</v>
      </c>
    </row>
    <row r="206" spans="1:18" s="192" customFormat="1" ht="12">
      <c r="A206" s="202">
        <v>112149</v>
      </c>
      <c r="B206" s="195" t="s">
        <v>1011</v>
      </c>
      <c r="C206" s="217">
        <f>IF(ISNUMBER(VLOOKUP($B:$B,BS!$A:$D,$2:$2,0)),VLOOKUP($B:$B,BS!$A:$D,$2:$2,0),0)</f>
        <v>0</v>
      </c>
      <c r="D206" s="217">
        <f>IF(ISNUMBER(VLOOKUP($B:$B,BS!$A:$D,$2:$2,0)),VLOOKUP($B:$B,BS!$A:$D,$2:$2,0),0)</f>
        <v>0</v>
      </c>
      <c r="E206" s="217">
        <f>IF(ISNUMBER(VLOOKUP($B:$B,BS!$A:$D,$2:$2,0)),VLOOKUP($B:$B,BS!$A:$D,$2:$2,0),0)</f>
        <v>0</v>
      </c>
      <c r="F206" s="217">
        <f>IF(ISNUMBER(VLOOKUP($B:$B,BS!$A:$D,$2:$2,0)),VLOOKUP($B:$B,BS!$A:$D,$2:$2,0),0)</f>
        <v>0</v>
      </c>
      <c r="G206" s="217">
        <f>IF(ISNUMBER(VLOOKUP($B:$B,BS!$A:$D,$2:$2,0)),VLOOKUP($B:$B,BS!$A:$D,$2:$2,0),0)</f>
        <v>0</v>
      </c>
      <c r="H206" s="207">
        <f>IF(ISNUMBER(VLOOKUP($B:$B,'BS(과거)'!$A:$F,$2:$2,0)),VLOOKUP($B:$B,'BS(과거)'!$A:$F,$2:$2,0),0)</f>
        <v>0</v>
      </c>
      <c r="I206" s="207">
        <f>IF(ISNUMBER(VLOOKUP($B:$B,'BS(과거)'!$A:$F,$2:$2,0)),VLOOKUP($B:$B,'BS(과거)'!$A:$F,$2:$2,0),0)</f>
        <v>0</v>
      </c>
      <c r="J206" s="207">
        <f>IF(ISNUMBER(VLOOKUP($B:$B,'BS(과거)'!$A:$F,$2:$2,0)),VLOOKUP($B:$B,'BS(과거)'!$A:$F,$2:$2,0),0)</f>
        <v>0</v>
      </c>
      <c r="K206" s="207">
        <f>IF(ISNUMBER(VLOOKUP($B:$B,'BS(과거)'!$A:$F,$2:$2,0)),VLOOKUP($B:$B,'BS(과거)'!$A:$F,$2:$2,0),0)</f>
        <v>0</v>
      </c>
      <c r="L206" s="207">
        <f>IF(ISNUMBER(VLOOKUP($B:$B,'BS(과거)'!$A:$F,$2:$2,0)),VLOOKUP($B:$B,'BS(과거)'!$A:$F,$2:$2,0),0)</f>
        <v>0</v>
      </c>
      <c r="N206" s="207">
        <f>IF(ISNUMBER(VLOOKUP($B:$B,'BS(분기)'!$A:$F,$2:$2,0)),VLOOKUP($B:$B,'BS(분기)'!$A:$F,$2:$2,0),0)</f>
        <v>0</v>
      </c>
      <c r="O206" s="207">
        <f>IF(ISNUMBER(VLOOKUP($B:$B,'BS(분기)'!$A:$F,$2:$2,0)),VLOOKUP($B:$B,'BS(분기)'!$A:$F,$2:$2,0),0)</f>
        <v>0</v>
      </c>
      <c r="P206" s="207">
        <f>IF(ISNUMBER(VLOOKUP($B:$B,'BS(분기)'!$A:$F,$2:$2,0)),VLOOKUP($B:$B,'BS(분기)'!$A:$F,$2:$2,0),0)</f>
        <v>0</v>
      </c>
      <c r="Q206" s="207">
        <f>IF(ISNUMBER(VLOOKUP($B:$B,'BS(분기)'!$A:$F,$2:$2,0)),VLOOKUP($B:$B,'BS(분기)'!$A:$F,$2:$2,0),0)</f>
        <v>0</v>
      </c>
      <c r="R206" s="207">
        <f>IF(ISNUMBER(VLOOKUP($B:$B,'BS(분기)'!$A:$F,$2:$2,0)),VLOOKUP($B:$B,'BS(분기)'!$A:$F,$2:$2,0),0)</f>
        <v>0</v>
      </c>
    </row>
    <row r="207" spans="1:18" s="192" customFormat="1" ht="12">
      <c r="A207" s="202">
        <v>112170</v>
      </c>
      <c r="B207" s="195" t="s">
        <v>1012</v>
      </c>
      <c r="C207" s="217">
        <f>IF(ISNUMBER(VLOOKUP($B:$B,BS!$A:$D,$2:$2,0)),VLOOKUP($B:$B,BS!$A:$D,$2:$2,0),0)</f>
        <v>0</v>
      </c>
      <c r="D207" s="217">
        <f>IF(ISNUMBER(VLOOKUP($B:$B,BS!$A:$D,$2:$2,0)),VLOOKUP($B:$B,BS!$A:$D,$2:$2,0),0)</f>
        <v>0</v>
      </c>
      <c r="E207" s="217">
        <f>IF(ISNUMBER(VLOOKUP($B:$B,BS!$A:$D,$2:$2,0)),VLOOKUP($B:$B,BS!$A:$D,$2:$2,0),0)</f>
        <v>0</v>
      </c>
      <c r="F207" s="217">
        <f>IF(ISNUMBER(VLOOKUP($B:$B,BS!$A:$D,$2:$2,0)),VLOOKUP($B:$B,BS!$A:$D,$2:$2,0),0)</f>
        <v>0</v>
      </c>
      <c r="G207" s="217">
        <f>IF(ISNUMBER(VLOOKUP($B:$B,BS!$A:$D,$2:$2,0)),VLOOKUP($B:$B,BS!$A:$D,$2:$2,0),0)</f>
        <v>0</v>
      </c>
      <c r="H207" s="207">
        <f>IF(ISNUMBER(VLOOKUP($B:$B,'BS(과거)'!$A:$F,$2:$2,0)),VLOOKUP($B:$B,'BS(과거)'!$A:$F,$2:$2,0),0)</f>
        <v>0</v>
      </c>
      <c r="I207" s="207">
        <f>IF(ISNUMBER(VLOOKUP($B:$B,'BS(과거)'!$A:$F,$2:$2,0)),VLOOKUP($B:$B,'BS(과거)'!$A:$F,$2:$2,0),0)</f>
        <v>0</v>
      </c>
      <c r="J207" s="207">
        <f>IF(ISNUMBER(VLOOKUP($B:$B,'BS(과거)'!$A:$F,$2:$2,0)),VLOOKUP($B:$B,'BS(과거)'!$A:$F,$2:$2,0),0)</f>
        <v>0</v>
      </c>
      <c r="K207" s="207">
        <f>IF(ISNUMBER(VLOOKUP($B:$B,'BS(과거)'!$A:$F,$2:$2,0)),VLOOKUP($B:$B,'BS(과거)'!$A:$F,$2:$2,0),0)</f>
        <v>0</v>
      </c>
      <c r="L207" s="207">
        <f>IF(ISNUMBER(VLOOKUP($B:$B,'BS(과거)'!$A:$F,$2:$2,0)),VLOOKUP($B:$B,'BS(과거)'!$A:$F,$2:$2,0),0)</f>
        <v>0</v>
      </c>
      <c r="N207" s="207">
        <f>IF(ISNUMBER(VLOOKUP($B:$B,'BS(분기)'!$A:$F,$2:$2,0)),VLOOKUP($B:$B,'BS(분기)'!$A:$F,$2:$2,0),0)</f>
        <v>0</v>
      </c>
      <c r="O207" s="207">
        <f>IF(ISNUMBER(VLOOKUP($B:$B,'BS(분기)'!$A:$F,$2:$2,0)),VLOOKUP($B:$B,'BS(분기)'!$A:$F,$2:$2,0),0)</f>
        <v>0</v>
      </c>
      <c r="P207" s="207">
        <f>IF(ISNUMBER(VLOOKUP($B:$B,'BS(분기)'!$A:$F,$2:$2,0)),VLOOKUP($B:$B,'BS(분기)'!$A:$F,$2:$2,0),0)</f>
        <v>0</v>
      </c>
      <c r="Q207" s="207">
        <f>IF(ISNUMBER(VLOOKUP($B:$B,'BS(분기)'!$A:$F,$2:$2,0)),VLOOKUP($B:$B,'BS(분기)'!$A:$F,$2:$2,0),0)</f>
        <v>0</v>
      </c>
      <c r="R207" s="207">
        <f>IF(ISNUMBER(VLOOKUP($B:$B,'BS(분기)'!$A:$F,$2:$2,0)),VLOOKUP($B:$B,'BS(분기)'!$A:$F,$2:$2,0),0)</f>
        <v>0</v>
      </c>
    </row>
    <row r="208" spans="1:18" s="192" customFormat="1" ht="12">
      <c r="A208" s="202">
        <v>112210</v>
      </c>
      <c r="B208" s="195" t="s">
        <v>569</v>
      </c>
      <c r="C208" s="217">
        <f>IF(ISNUMBER(VLOOKUP($B:$B,BS!$A:$D,$2:$2,0)),VLOOKUP($B:$B,BS!$A:$D,$2:$2,0),0)</f>
        <v>0</v>
      </c>
      <c r="D208" s="217">
        <f>IF(ISNUMBER(VLOOKUP($B:$B,BS!$A:$D,$2:$2,0)),VLOOKUP($B:$B,BS!$A:$D,$2:$2,0),0)</f>
        <v>0</v>
      </c>
      <c r="E208" s="217">
        <f>IF(ISNUMBER(VLOOKUP($B:$B,BS!$A:$D,$2:$2,0)),VLOOKUP($B:$B,BS!$A:$D,$2:$2,0),0)</f>
        <v>0</v>
      </c>
      <c r="F208" s="217">
        <f>IF(ISNUMBER(VLOOKUP($B:$B,BS!$A:$D,$2:$2,0)),VLOOKUP($B:$B,BS!$A:$D,$2:$2,0),0)</f>
        <v>0</v>
      </c>
      <c r="G208" s="217">
        <f>IF(ISNUMBER(VLOOKUP($B:$B,BS!$A:$D,$2:$2,0)),VLOOKUP($B:$B,BS!$A:$D,$2:$2,0),0)</f>
        <v>0</v>
      </c>
      <c r="H208" s="207">
        <f>IF(ISNUMBER(VLOOKUP($B:$B,'BS(과거)'!$A:$F,$2:$2,0)),VLOOKUP($B:$B,'BS(과거)'!$A:$F,$2:$2,0),0)</f>
        <v>0</v>
      </c>
      <c r="I208" s="207">
        <f>IF(ISNUMBER(VLOOKUP($B:$B,'BS(과거)'!$A:$F,$2:$2,0)),VLOOKUP($B:$B,'BS(과거)'!$A:$F,$2:$2,0),0)</f>
        <v>0</v>
      </c>
      <c r="J208" s="207">
        <f>IF(ISNUMBER(VLOOKUP($B:$B,'BS(과거)'!$A:$F,$2:$2,0)),VLOOKUP($B:$B,'BS(과거)'!$A:$F,$2:$2,0),0)</f>
        <v>0</v>
      </c>
      <c r="K208" s="207">
        <f>IF(ISNUMBER(VLOOKUP($B:$B,'BS(과거)'!$A:$F,$2:$2,0)),VLOOKUP($B:$B,'BS(과거)'!$A:$F,$2:$2,0),0)</f>
        <v>0</v>
      </c>
      <c r="L208" s="207">
        <f>IF(ISNUMBER(VLOOKUP($B:$B,'BS(과거)'!$A:$F,$2:$2,0)),VLOOKUP($B:$B,'BS(과거)'!$A:$F,$2:$2,0),0)</f>
        <v>0</v>
      </c>
      <c r="N208" s="207">
        <f>IF(ISNUMBER(VLOOKUP($B:$B,'BS(분기)'!$A:$F,$2:$2,0)),VLOOKUP($B:$B,'BS(분기)'!$A:$F,$2:$2,0),0)</f>
        <v>0</v>
      </c>
      <c r="O208" s="207">
        <f>IF(ISNUMBER(VLOOKUP($B:$B,'BS(분기)'!$A:$F,$2:$2,0)),VLOOKUP($B:$B,'BS(분기)'!$A:$F,$2:$2,0),0)</f>
        <v>0</v>
      </c>
      <c r="P208" s="207">
        <f>IF(ISNUMBER(VLOOKUP($B:$B,'BS(분기)'!$A:$F,$2:$2,0)),VLOOKUP($B:$B,'BS(분기)'!$A:$F,$2:$2,0),0)</f>
        <v>0</v>
      </c>
      <c r="Q208" s="207">
        <f>IF(ISNUMBER(VLOOKUP($B:$B,'BS(분기)'!$A:$F,$2:$2,0)),VLOOKUP($B:$B,'BS(분기)'!$A:$F,$2:$2,0),0)</f>
        <v>0</v>
      </c>
      <c r="R208" s="207">
        <f>IF(ISNUMBER(VLOOKUP($B:$B,'BS(분기)'!$A:$F,$2:$2,0)),VLOOKUP($B:$B,'BS(분기)'!$A:$F,$2:$2,0),0)</f>
        <v>0</v>
      </c>
    </row>
    <row r="209" spans="1:18" s="192" customFormat="1" ht="12">
      <c r="A209" s="202">
        <v>112214</v>
      </c>
      <c r="B209" s="195" t="s">
        <v>1013</v>
      </c>
      <c r="C209" s="217">
        <f>IF(ISNUMBER(VLOOKUP($B:$B,BS!$A:$D,$2:$2,0)),VLOOKUP($B:$B,BS!$A:$D,$2:$2,0),0)</f>
        <v>0</v>
      </c>
      <c r="D209" s="217">
        <f>IF(ISNUMBER(VLOOKUP($B:$B,BS!$A:$D,$2:$2,0)),VLOOKUP($B:$B,BS!$A:$D,$2:$2,0),0)</f>
        <v>0</v>
      </c>
      <c r="E209" s="217">
        <f>IF(ISNUMBER(VLOOKUP($B:$B,BS!$A:$D,$2:$2,0)),VLOOKUP($B:$B,BS!$A:$D,$2:$2,0),0)</f>
        <v>0</v>
      </c>
      <c r="F209" s="217">
        <f>IF(ISNUMBER(VLOOKUP($B:$B,BS!$A:$D,$2:$2,0)),VLOOKUP($B:$B,BS!$A:$D,$2:$2,0),0)</f>
        <v>0</v>
      </c>
      <c r="G209" s="217">
        <f>IF(ISNUMBER(VLOOKUP($B:$B,BS!$A:$D,$2:$2,0)),VLOOKUP($B:$B,BS!$A:$D,$2:$2,0),0)</f>
        <v>0</v>
      </c>
      <c r="H209" s="207">
        <f>IF(ISNUMBER(VLOOKUP($B:$B,'BS(과거)'!$A:$F,$2:$2,0)),VLOOKUP($B:$B,'BS(과거)'!$A:$F,$2:$2,0),0)</f>
        <v>0</v>
      </c>
      <c r="I209" s="207">
        <f>IF(ISNUMBER(VLOOKUP($B:$B,'BS(과거)'!$A:$F,$2:$2,0)),VLOOKUP($B:$B,'BS(과거)'!$A:$F,$2:$2,0),0)</f>
        <v>0</v>
      </c>
      <c r="J209" s="207">
        <f>IF(ISNUMBER(VLOOKUP($B:$B,'BS(과거)'!$A:$F,$2:$2,0)),VLOOKUP($B:$B,'BS(과거)'!$A:$F,$2:$2,0),0)</f>
        <v>0</v>
      </c>
      <c r="K209" s="207">
        <f>IF(ISNUMBER(VLOOKUP($B:$B,'BS(과거)'!$A:$F,$2:$2,0)),VLOOKUP($B:$B,'BS(과거)'!$A:$F,$2:$2,0),0)</f>
        <v>0</v>
      </c>
      <c r="L209" s="207">
        <f>IF(ISNUMBER(VLOOKUP($B:$B,'BS(과거)'!$A:$F,$2:$2,0)),VLOOKUP($B:$B,'BS(과거)'!$A:$F,$2:$2,0),0)</f>
        <v>0</v>
      </c>
      <c r="N209" s="207">
        <f>IF(ISNUMBER(VLOOKUP($B:$B,'BS(분기)'!$A:$F,$2:$2,0)),VLOOKUP($B:$B,'BS(분기)'!$A:$F,$2:$2,0),0)</f>
        <v>0</v>
      </c>
      <c r="O209" s="207">
        <f>IF(ISNUMBER(VLOOKUP($B:$B,'BS(분기)'!$A:$F,$2:$2,0)),VLOOKUP($B:$B,'BS(분기)'!$A:$F,$2:$2,0),0)</f>
        <v>0</v>
      </c>
      <c r="P209" s="207">
        <f>IF(ISNUMBER(VLOOKUP($B:$B,'BS(분기)'!$A:$F,$2:$2,0)),VLOOKUP($B:$B,'BS(분기)'!$A:$F,$2:$2,0),0)</f>
        <v>0</v>
      </c>
      <c r="Q209" s="207">
        <f>IF(ISNUMBER(VLOOKUP($B:$B,'BS(분기)'!$A:$F,$2:$2,0)),VLOOKUP($B:$B,'BS(분기)'!$A:$F,$2:$2,0),0)</f>
        <v>0</v>
      </c>
      <c r="R209" s="207">
        <f>IF(ISNUMBER(VLOOKUP($B:$B,'BS(분기)'!$A:$F,$2:$2,0)),VLOOKUP($B:$B,'BS(분기)'!$A:$F,$2:$2,0),0)</f>
        <v>0</v>
      </c>
    </row>
    <row r="210" spans="1:18" s="192" customFormat="1" ht="12">
      <c r="A210" s="202">
        <v>112215</v>
      </c>
      <c r="B210" s="195" t="s">
        <v>1014</v>
      </c>
      <c r="C210" s="217">
        <f>IF(ISNUMBER(VLOOKUP($B:$B,BS!$A:$D,$2:$2,0)),VLOOKUP($B:$B,BS!$A:$D,$2:$2,0),0)</f>
        <v>0</v>
      </c>
      <c r="D210" s="217">
        <f>IF(ISNUMBER(VLOOKUP($B:$B,BS!$A:$D,$2:$2,0)),VLOOKUP($B:$B,BS!$A:$D,$2:$2,0),0)</f>
        <v>0</v>
      </c>
      <c r="E210" s="217">
        <f>IF(ISNUMBER(VLOOKUP($B:$B,BS!$A:$D,$2:$2,0)),VLOOKUP($B:$B,BS!$A:$D,$2:$2,0),0)</f>
        <v>0</v>
      </c>
      <c r="F210" s="217">
        <f>IF(ISNUMBER(VLOOKUP($B:$B,BS!$A:$D,$2:$2,0)),VLOOKUP($B:$B,BS!$A:$D,$2:$2,0),0)</f>
        <v>0</v>
      </c>
      <c r="G210" s="217">
        <f>IF(ISNUMBER(VLOOKUP($B:$B,BS!$A:$D,$2:$2,0)),VLOOKUP($B:$B,BS!$A:$D,$2:$2,0),0)</f>
        <v>0</v>
      </c>
      <c r="H210" s="207">
        <f>IF(ISNUMBER(VLOOKUP($B:$B,'BS(과거)'!$A:$F,$2:$2,0)),VLOOKUP($B:$B,'BS(과거)'!$A:$F,$2:$2,0),0)</f>
        <v>0</v>
      </c>
      <c r="I210" s="207">
        <f>IF(ISNUMBER(VLOOKUP($B:$B,'BS(과거)'!$A:$F,$2:$2,0)),VLOOKUP($B:$B,'BS(과거)'!$A:$F,$2:$2,0),0)</f>
        <v>0</v>
      </c>
      <c r="J210" s="207">
        <f>IF(ISNUMBER(VLOOKUP($B:$B,'BS(과거)'!$A:$F,$2:$2,0)),VLOOKUP($B:$B,'BS(과거)'!$A:$F,$2:$2,0),0)</f>
        <v>0</v>
      </c>
      <c r="K210" s="207">
        <f>IF(ISNUMBER(VLOOKUP($B:$B,'BS(과거)'!$A:$F,$2:$2,0)),VLOOKUP($B:$B,'BS(과거)'!$A:$F,$2:$2,0),0)</f>
        <v>0</v>
      </c>
      <c r="L210" s="207">
        <f>IF(ISNUMBER(VLOOKUP($B:$B,'BS(과거)'!$A:$F,$2:$2,0)),VLOOKUP($B:$B,'BS(과거)'!$A:$F,$2:$2,0),0)</f>
        <v>0</v>
      </c>
      <c r="N210" s="207">
        <f>IF(ISNUMBER(VLOOKUP($B:$B,'BS(분기)'!$A:$F,$2:$2,0)),VLOOKUP($B:$B,'BS(분기)'!$A:$F,$2:$2,0),0)</f>
        <v>0</v>
      </c>
      <c r="O210" s="207">
        <f>IF(ISNUMBER(VLOOKUP($B:$B,'BS(분기)'!$A:$F,$2:$2,0)),VLOOKUP($B:$B,'BS(분기)'!$A:$F,$2:$2,0),0)</f>
        <v>0</v>
      </c>
      <c r="P210" s="207">
        <f>IF(ISNUMBER(VLOOKUP($B:$B,'BS(분기)'!$A:$F,$2:$2,0)),VLOOKUP($B:$B,'BS(분기)'!$A:$F,$2:$2,0),0)</f>
        <v>0</v>
      </c>
      <c r="Q210" s="207">
        <f>IF(ISNUMBER(VLOOKUP($B:$B,'BS(분기)'!$A:$F,$2:$2,0)),VLOOKUP($B:$B,'BS(분기)'!$A:$F,$2:$2,0),0)</f>
        <v>0</v>
      </c>
      <c r="R210" s="207">
        <f>IF(ISNUMBER(VLOOKUP($B:$B,'BS(분기)'!$A:$F,$2:$2,0)),VLOOKUP($B:$B,'BS(분기)'!$A:$F,$2:$2,0),0)</f>
        <v>0</v>
      </c>
    </row>
    <row r="211" spans="1:18" s="192" customFormat="1" ht="12">
      <c r="A211" s="203">
        <v>112211</v>
      </c>
      <c r="B211" s="196" t="s">
        <v>1015</v>
      </c>
      <c r="C211" s="217">
        <f>IF(ISNUMBER(VLOOKUP($B:$B,BS!$A:$D,$2:$2,0)),VLOOKUP($B:$B,BS!$A:$D,$2:$2,0),0)</f>
        <v>0</v>
      </c>
      <c r="D211" s="217">
        <f>IF(ISNUMBER(VLOOKUP($B:$B,BS!$A:$D,$2:$2,0)),VLOOKUP($B:$B,BS!$A:$D,$2:$2,0),0)</f>
        <v>0</v>
      </c>
      <c r="E211" s="217">
        <f>IF(ISNUMBER(VLOOKUP($B:$B,BS!$A:$D,$2:$2,0)),VLOOKUP($B:$B,BS!$A:$D,$2:$2,0),0)</f>
        <v>0</v>
      </c>
      <c r="F211" s="217">
        <f>IF(ISNUMBER(VLOOKUP($B:$B,BS!$A:$D,$2:$2,0)),VLOOKUP($B:$B,BS!$A:$D,$2:$2,0),0)</f>
        <v>0</v>
      </c>
      <c r="G211" s="217">
        <f>IF(ISNUMBER(VLOOKUP($B:$B,BS!$A:$D,$2:$2,0)),VLOOKUP($B:$B,BS!$A:$D,$2:$2,0),0)</f>
        <v>0</v>
      </c>
      <c r="H211" s="207">
        <f>IF(ISNUMBER(VLOOKUP($B:$B,'BS(과거)'!$A:$F,$2:$2,0)),VLOOKUP($B:$B,'BS(과거)'!$A:$F,$2:$2,0),0)</f>
        <v>0</v>
      </c>
      <c r="I211" s="207">
        <f>IF(ISNUMBER(VLOOKUP($B:$B,'BS(과거)'!$A:$F,$2:$2,0)),VLOOKUP($B:$B,'BS(과거)'!$A:$F,$2:$2,0),0)</f>
        <v>0</v>
      </c>
      <c r="J211" s="207">
        <f>IF(ISNUMBER(VLOOKUP($B:$B,'BS(과거)'!$A:$F,$2:$2,0)),VLOOKUP($B:$B,'BS(과거)'!$A:$F,$2:$2,0),0)</f>
        <v>0</v>
      </c>
      <c r="K211" s="207">
        <f>IF(ISNUMBER(VLOOKUP($B:$B,'BS(과거)'!$A:$F,$2:$2,0)),VLOOKUP($B:$B,'BS(과거)'!$A:$F,$2:$2,0),0)</f>
        <v>0</v>
      </c>
      <c r="L211" s="207">
        <f>IF(ISNUMBER(VLOOKUP($B:$B,'BS(과거)'!$A:$F,$2:$2,0)),VLOOKUP($B:$B,'BS(과거)'!$A:$F,$2:$2,0),0)</f>
        <v>0</v>
      </c>
      <c r="N211" s="207">
        <f>IF(ISNUMBER(VLOOKUP($B:$B,'BS(분기)'!$A:$F,$2:$2,0)),VLOOKUP($B:$B,'BS(분기)'!$A:$F,$2:$2,0),0)</f>
        <v>0</v>
      </c>
      <c r="O211" s="207">
        <f>IF(ISNUMBER(VLOOKUP($B:$B,'BS(분기)'!$A:$F,$2:$2,0)),VLOOKUP($B:$B,'BS(분기)'!$A:$F,$2:$2,0),0)</f>
        <v>0</v>
      </c>
      <c r="P211" s="207">
        <f>IF(ISNUMBER(VLOOKUP($B:$B,'BS(분기)'!$A:$F,$2:$2,0)),VLOOKUP($B:$B,'BS(분기)'!$A:$F,$2:$2,0),0)</f>
        <v>0</v>
      </c>
      <c r="Q211" s="207">
        <f>IF(ISNUMBER(VLOOKUP($B:$B,'BS(분기)'!$A:$F,$2:$2,0)),VLOOKUP($B:$B,'BS(분기)'!$A:$F,$2:$2,0),0)</f>
        <v>0</v>
      </c>
      <c r="R211" s="207">
        <f>IF(ISNUMBER(VLOOKUP($B:$B,'BS(분기)'!$A:$F,$2:$2,0)),VLOOKUP($B:$B,'BS(분기)'!$A:$F,$2:$2,0),0)</f>
        <v>0</v>
      </c>
    </row>
    <row r="212" spans="1:18" s="192" customFormat="1" ht="12">
      <c r="A212" s="203">
        <v>112212</v>
      </c>
      <c r="B212" s="196" t="s">
        <v>1016</v>
      </c>
      <c r="C212" s="217">
        <f>IF(ISNUMBER(VLOOKUP($B:$B,BS!$A:$D,$2:$2,0)),VLOOKUP($B:$B,BS!$A:$D,$2:$2,0),0)</f>
        <v>0</v>
      </c>
      <c r="D212" s="217">
        <f>IF(ISNUMBER(VLOOKUP($B:$B,BS!$A:$D,$2:$2,0)),VLOOKUP($B:$B,BS!$A:$D,$2:$2,0),0)</f>
        <v>0</v>
      </c>
      <c r="E212" s="217">
        <f>IF(ISNUMBER(VLOOKUP($B:$B,BS!$A:$D,$2:$2,0)),VLOOKUP($B:$B,BS!$A:$D,$2:$2,0),0)</f>
        <v>0</v>
      </c>
      <c r="F212" s="217">
        <f>IF(ISNUMBER(VLOOKUP($B:$B,BS!$A:$D,$2:$2,0)),VLOOKUP($B:$B,BS!$A:$D,$2:$2,0),0)</f>
        <v>0</v>
      </c>
      <c r="G212" s="217">
        <f>IF(ISNUMBER(VLOOKUP($B:$B,BS!$A:$D,$2:$2,0)),VLOOKUP($B:$B,BS!$A:$D,$2:$2,0),0)</f>
        <v>0</v>
      </c>
      <c r="H212" s="207">
        <f>IF(ISNUMBER(VLOOKUP($B:$B,'BS(과거)'!$A:$F,$2:$2,0)),VLOOKUP($B:$B,'BS(과거)'!$A:$F,$2:$2,0),0)</f>
        <v>0</v>
      </c>
      <c r="I212" s="207">
        <f>IF(ISNUMBER(VLOOKUP($B:$B,'BS(과거)'!$A:$F,$2:$2,0)),VLOOKUP($B:$B,'BS(과거)'!$A:$F,$2:$2,0),0)</f>
        <v>0</v>
      </c>
      <c r="J212" s="207">
        <f>IF(ISNUMBER(VLOOKUP($B:$B,'BS(과거)'!$A:$F,$2:$2,0)),VLOOKUP($B:$B,'BS(과거)'!$A:$F,$2:$2,0),0)</f>
        <v>0</v>
      </c>
      <c r="K212" s="207">
        <f>IF(ISNUMBER(VLOOKUP($B:$B,'BS(과거)'!$A:$F,$2:$2,0)),VLOOKUP($B:$B,'BS(과거)'!$A:$F,$2:$2,0),0)</f>
        <v>0</v>
      </c>
      <c r="L212" s="207">
        <f>IF(ISNUMBER(VLOOKUP($B:$B,'BS(과거)'!$A:$F,$2:$2,0)),VLOOKUP($B:$B,'BS(과거)'!$A:$F,$2:$2,0),0)</f>
        <v>0</v>
      </c>
      <c r="N212" s="207">
        <f>IF(ISNUMBER(VLOOKUP($B:$B,'BS(분기)'!$A:$F,$2:$2,0)),VLOOKUP($B:$B,'BS(분기)'!$A:$F,$2:$2,0),0)</f>
        <v>0</v>
      </c>
      <c r="O212" s="207">
        <f>IF(ISNUMBER(VLOOKUP($B:$B,'BS(분기)'!$A:$F,$2:$2,0)),VLOOKUP($B:$B,'BS(분기)'!$A:$F,$2:$2,0),0)</f>
        <v>0</v>
      </c>
      <c r="P212" s="207">
        <f>IF(ISNUMBER(VLOOKUP($B:$B,'BS(분기)'!$A:$F,$2:$2,0)),VLOOKUP($B:$B,'BS(분기)'!$A:$F,$2:$2,0),0)</f>
        <v>0</v>
      </c>
      <c r="Q212" s="207">
        <f>IF(ISNUMBER(VLOOKUP($B:$B,'BS(분기)'!$A:$F,$2:$2,0)),VLOOKUP($B:$B,'BS(분기)'!$A:$F,$2:$2,0),0)</f>
        <v>0</v>
      </c>
      <c r="R212" s="207">
        <f>IF(ISNUMBER(VLOOKUP($B:$B,'BS(분기)'!$A:$F,$2:$2,0)),VLOOKUP($B:$B,'BS(분기)'!$A:$F,$2:$2,0),0)</f>
        <v>0</v>
      </c>
    </row>
    <row r="213" spans="1:18" s="192" customFormat="1" ht="12">
      <c r="A213" s="203">
        <v>112213</v>
      </c>
      <c r="B213" s="196" t="s">
        <v>1017</v>
      </c>
      <c r="C213" s="217">
        <f>IF(ISNUMBER(VLOOKUP($B:$B,BS!$A:$D,$2:$2,0)),VLOOKUP($B:$B,BS!$A:$D,$2:$2,0),0)</f>
        <v>0</v>
      </c>
      <c r="D213" s="217">
        <f>IF(ISNUMBER(VLOOKUP($B:$B,BS!$A:$D,$2:$2,0)),VLOOKUP($B:$B,BS!$A:$D,$2:$2,0),0)</f>
        <v>0</v>
      </c>
      <c r="E213" s="217">
        <f>IF(ISNUMBER(VLOOKUP($B:$B,BS!$A:$D,$2:$2,0)),VLOOKUP($B:$B,BS!$A:$D,$2:$2,0),0)</f>
        <v>0</v>
      </c>
      <c r="F213" s="217">
        <f>IF(ISNUMBER(VLOOKUP($B:$B,BS!$A:$D,$2:$2,0)),VLOOKUP($B:$B,BS!$A:$D,$2:$2,0),0)</f>
        <v>0</v>
      </c>
      <c r="G213" s="217">
        <f>IF(ISNUMBER(VLOOKUP($B:$B,BS!$A:$D,$2:$2,0)),VLOOKUP($B:$B,BS!$A:$D,$2:$2,0),0)</f>
        <v>0</v>
      </c>
      <c r="H213" s="207">
        <f>IF(ISNUMBER(VLOOKUP($B:$B,'BS(과거)'!$A:$F,$2:$2,0)),VLOOKUP($B:$B,'BS(과거)'!$A:$F,$2:$2,0),0)</f>
        <v>0</v>
      </c>
      <c r="I213" s="207">
        <f>IF(ISNUMBER(VLOOKUP($B:$B,'BS(과거)'!$A:$F,$2:$2,0)),VLOOKUP($B:$B,'BS(과거)'!$A:$F,$2:$2,0),0)</f>
        <v>0</v>
      </c>
      <c r="J213" s="207">
        <f>IF(ISNUMBER(VLOOKUP($B:$B,'BS(과거)'!$A:$F,$2:$2,0)),VLOOKUP($B:$B,'BS(과거)'!$A:$F,$2:$2,0),0)</f>
        <v>0</v>
      </c>
      <c r="K213" s="207">
        <f>IF(ISNUMBER(VLOOKUP($B:$B,'BS(과거)'!$A:$F,$2:$2,0)),VLOOKUP($B:$B,'BS(과거)'!$A:$F,$2:$2,0),0)</f>
        <v>0</v>
      </c>
      <c r="L213" s="207">
        <f>IF(ISNUMBER(VLOOKUP($B:$B,'BS(과거)'!$A:$F,$2:$2,0)),VLOOKUP($B:$B,'BS(과거)'!$A:$F,$2:$2,0),0)</f>
        <v>0</v>
      </c>
      <c r="N213" s="207">
        <f>IF(ISNUMBER(VLOOKUP($B:$B,'BS(분기)'!$A:$F,$2:$2,0)),VLOOKUP($B:$B,'BS(분기)'!$A:$F,$2:$2,0),0)</f>
        <v>0</v>
      </c>
      <c r="O213" s="207">
        <f>IF(ISNUMBER(VLOOKUP($B:$B,'BS(분기)'!$A:$F,$2:$2,0)),VLOOKUP($B:$B,'BS(분기)'!$A:$F,$2:$2,0),0)</f>
        <v>0</v>
      </c>
      <c r="P213" s="207">
        <f>IF(ISNUMBER(VLOOKUP($B:$B,'BS(분기)'!$A:$F,$2:$2,0)),VLOOKUP($B:$B,'BS(분기)'!$A:$F,$2:$2,0),0)</f>
        <v>0</v>
      </c>
      <c r="Q213" s="207">
        <f>IF(ISNUMBER(VLOOKUP($B:$B,'BS(분기)'!$A:$F,$2:$2,0)),VLOOKUP($B:$B,'BS(분기)'!$A:$F,$2:$2,0),0)</f>
        <v>0</v>
      </c>
      <c r="R213" s="207">
        <f>IF(ISNUMBER(VLOOKUP($B:$B,'BS(분기)'!$A:$F,$2:$2,0)),VLOOKUP($B:$B,'BS(분기)'!$A:$F,$2:$2,0),0)</f>
        <v>0</v>
      </c>
    </row>
    <row r="214" spans="1:18" s="192" customFormat="1" ht="12">
      <c r="A214" s="202">
        <v>112150</v>
      </c>
      <c r="B214" s="195" t="s">
        <v>570</v>
      </c>
      <c r="C214" s="217">
        <f>IF(ISNUMBER(VLOOKUP($B:$B,BS!$A:$D,$2:$2,0)),VLOOKUP($B:$B,BS!$A:$D,$2:$2,0),0)</f>
        <v>0</v>
      </c>
      <c r="D214" s="217">
        <f>IF(ISNUMBER(VLOOKUP($B:$B,BS!$A:$D,$2:$2,0)),VLOOKUP($B:$B,BS!$A:$D,$2:$2,0),0)</f>
        <v>0</v>
      </c>
      <c r="E214" s="217">
        <f>IF(ISNUMBER(VLOOKUP($B:$B,BS!$A:$D,$2:$2,0)),VLOOKUP($B:$B,BS!$A:$D,$2:$2,0),0)</f>
        <v>0</v>
      </c>
      <c r="F214" s="217">
        <f>IF(ISNUMBER(VLOOKUP($B:$B,BS!$A:$D,$2:$2,0)),VLOOKUP($B:$B,BS!$A:$D,$2:$2,0),0)</f>
        <v>0</v>
      </c>
      <c r="G214" s="217">
        <f>IF(ISNUMBER(VLOOKUP($B:$B,BS!$A:$D,$2:$2,0)),VLOOKUP($B:$B,BS!$A:$D,$2:$2,0),0)</f>
        <v>0</v>
      </c>
      <c r="H214" s="207">
        <f>IF(ISNUMBER(VLOOKUP($B:$B,'BS(과거)'!$A:$F,$2:$2,0)),VLOOKUP($B:$B,'BS(과거)'!$A:$F,$2:$2,0),0)</f>
        <v>0</v>
      </c>
      <c r="I214" s="207">
        <f>IF(ISNUMBER(VLOOKUP($B:$B,'BS(과거)'!$A:$F,$2:$2,0)),VLOOKUP($B:$B,'BS(과거)'!$A:$F,$2:$2,0),0)</f>
        <v>0</v>
      </c>
      <c r="J214" s="207">
        <f>IF(ISNUMBER(VLOOKUP($B:$B,'BS(과거)'!$A:$F,$2:$2,0)),VLOOKUP($B:$B,'BS(과거)'!$A:$F,$2:$2,0),0)</f>
        <v>0</v>
      </c>
      <c r="K214" s="207">
        <f>IF(ISNUMBER(VLOOKUP($B:$B,'BS(과거)'!$A:$F,$2:$2,0)),VLOOKUP($B:$B,'BS(과거)'!$A:$F,$2:$2,0),0)</f>
        <v>0</v>
      </c>
      <c r="L214" s="207">
        <f>IF(ISNUMBER(VLOOKUP($B:$B,'BS(과거)'!$A:$F,$2:$2,0)),VLOOKUP($B:$B,'BS(과거)'!$A:$F,$2:$2,0),0)</f>
        <v>0</v>
      </c>
      <c r="N214" s="207">
        <f>IF(ISNUMBER(VLOOKUP($B:$B,'BS(분기)'!$A:$F,$2:$2,0)),VLOOKUP($B:$B,'BS(분기)'!$A:$F,$2:$2,0),0)</f>
        <v>0</v>
      </c>
      <c r="O214" s="207">
        <f>IF(ISNUMBER(VLOOKUP($B:$B,'BS(분기)'!$A:$F,$2:$2,0)),VLOOKUP($B:$B,'BS(분기)'!$A:$F,$2:$2,0),0)</f>
        <v>0</v>
      </c>
      <c r="P214" s="207">
        <f>IF(ISNUMBER(VLOOKUP($B:$B,'BS(분기)'!$A:$F,$2:$2,0)),VLOOKUP($B:$B,'BS(분기)'!$A:$F,$2:$2,0),0)</f>
        <v>0</v>
      </c>
      <c r="Q214" s="207">
        <f>IF(ISNUMBER(VLOOKUP($B:$B,'BS(분기)'!$A:$F,$2:$2,0)),VLOOKUP($B:$B,'BS(분기)'!$A:$F,$2:$2,0),0)</f>
        <v>0</v>
      </c>
      <c r="R214" s="207">
        <f>IF(ISNUMBER(VLOOKUP($B:$B,'BS(분기)'!$A:$F,$2:$2,0)),VLOOKUP($B:$B,'BS(분기)'!$A:$F,$2:$2,0),0)</f>
        <v>0</v>
      </c>
    </row>
    <row r="215" spans="1:18" s="192" customFormat="1" ht="12">
      <c r="A215" s="203">
        <v>112143</v>
      </c>
      <c r="B215" s="196" t="s">
        <v>572</v>
      </c>
      <c r="C215" s="217">
        <f>IF(ISNUMBER(VLOOKUP($B:$B,BS!$A:$D,$2:$2,0)),VLOOKUP($B:$B,BS!$A:$D,$2:$2,0),0)</f>
        <v>0</v>
      </c>
      <c r="D215" s="217">
        <f>IF(ISNUMBER(VLOOKUP($B:$B,BS!$A:$D,$2:$2,0)),VLOOKUP($B:$B,BS!$A:$D,$2:$2,0),0)</f>
        <v>0</v>
      </c>
      <c r="E215" s="217">
        <f>IF(ISNUMBER(VLOOKUP($B:$B,BS!$A:$D,$2:$2,0)),VLOOKUP($B:$B,BS!$A:$D,$2:$2,0),0)</f>
        <v>0</v>
      </c>
      <c r="F215" s="217">
        <f>IF(ISNUMBER(VLOOKUP($B:$B,BS!$A:$D,$2:$2,0)),VLOOKUP($B:$B,BS!$A:$D,$2:$2,0),0)</f>
        <v>0</v>
      </c>
      <c r="G215" s="217">
        <f>IF(ISNUMBER(VLOOKUP($B:$B,BS!$A:$D,$2:$2,0)),VLOOKUP($B:$B,BS!$A:$D,$2:$2,0),0)</f>
        <v>0</v>
      </c>
      <c r="H215" s="207">
        <f>IF(ISNUMBER(VLOOKUP($B:$B,'BS(과거)'!$A:$F,$2:$2,0)),VLOOKUP($B:$B,'BS(과거)'!$A:$F,$2:$2,0),0)</f>
        <v>0</v>
      </c>
      <c r="I215" s="207">
        <f>IF(ISNUMBER(VLOOKUP($B:$B,'BS(과거)'!$A:$F,$2:$2,0)),VLOOKUP($B:$B,'BS(과거)'!$A:$F,$2:$2,0),0)</f>
        <v>0</v>
      </c>
      <c r="J215" s="207">
        <f>IF(ISNUMBER(VLOOKUP($B:$B,'BS(과거)'!$A:$F,$2:$2,0)),VLOOKUP($B:$B,'BS(과거)'!$A:$F,$2:$2,0),0)</f>
        <v>0</v>
      </c>
      <c r="K215" s="207">
        <f>IF(ISNUMBER(VLOOKUP($B:$B,'BS(과거)'!$A:$F,$2:$2,0)),VLOOKUP($B:$B,'BS(과거)'!$A:$F,$2:$2,0),0)</f>
        <v>0</v>
      </c>
      <c r="L215" s="207">
        <f>IF(ISNUMBER(VLOOKUP($B:$B,'BS(과거)'!$A:$F,$2:$2,0)),VLOOKUP($B:$B,'BS(과거)'!$A:$F,$2:$2,0),0)</f>
        <v>0</v>
      </c>
      <c r="N215" s="207">
        <f>IF(ISNUMBER(VLOOKUP($B:$B,'BS(분기)'!$A:$F,$2:$2,0)),VLOOKUP($B:$B,'BS(분기)'!$A:$F,$2:$2,0),0)</f>
        <v>0</v>
      </c>
      <c r="O215" s="207">
        <f>IF(ISNUMBER(VLOOKUP($B:$B,'BS(분기)'!$A:$F,$2:$2,0)),VLOOKUP($B:$B,'BS(분기)'!$A:$F,$2:$2,0),0)</f>
        <v>0</v>
      </c>
      <c r="P215" s="207">
        <f>IF(ISNUMBER(VLOOKUP($B:$B,'BS(분기)'!$A:$F,$2:$2,0)),VLOOKUP($B:$B,'BS(분기)'!$A:$F,$2:$2,0),0)</f>
        <v>0</v>
      </c>
      <c r="Q215" s="207">
        <f>IF(ISNUMBER(VLOOKUP($B:$B,'BS(분기)'!$A:$F,$2:$2,0)),VLOOKUP($B:$B,'BS(분기)'!$A:$F,$2:$2,0),0)</f>
        <v>0</v>
      </c>
      <c r="R215" s="207">
        <f>IF(ISNUMBER(VLOOKUP($B:$B,'BS(분기)'!$A:$F,$2:$2,0)),VLOOKUP($B:$B,'BS(분기)'!$A:$F,$2:$2,0),0)</f>
        <v>0</v>
      </c>
    </row>
    <row r="216" spans="1:18" s="192" customFormat="1" ht="12">
      <c r="A216" s="203">
        <v>112144</v>
      </c>
      <c r="B216" s="196" t="s">
        <v>808</v>
      </c>
      <c r="C216" s="217">
        <f>IF(ISNUMBER(VLOOKUP($B:$B,BS!$A:$D,$2:$2,0)),VLOOKUP($B:$B,BS!$A:$D,$2:$2,0),0)</f>
        <v>0</v>
      </c>
      <c r="D216" s="217">
        <f>IF(ISNUMBER(VLOOKUP($B:$B,BS!$A:$D,$2:$2,0)),VLOOKUP($B:$B,BS!$A:$D,$2:$2,0),0)</f>
        <v>0</v>
      </c>
      <c r="E216" s="217">
        <f>IF(ISNUMBER(VLOOKUP($B:$B,BS!$A:$D,$2:$2,0)),VLOOKUP($B:$B,BS!$A:$D,$2:$2,0),0)</f>
        <v>0</v>
      </c>
      <c r="F216" s="217">
        <f>IF(ISNUMBER(VLOOKUP($B:$B,BS!$A:$D,$2:$2,0)),VLOOKUP($B:$B,BS!$A:$D,$2:$2,0),0)</f>
        <v>0</v>
      </c>
      <c r="G216" s="217">
        <f>IF(ISNUMBER(VLOOKUP($B:$B,BS!$A:$D,$2:$2,0)),VLOOKUP($B:$B,BS!$A:$D,$2:$2,0),0)</f>
        <v>0</v>
      </c>
      <c r="H216" s="207">
        <f>IF(ISNUMBER(VLOOKUP($B:$B,'BS(과거)'!$A:$F,$2:$2,0)),VLOOKUP($B:$B,'BS(과거)'!$A:$F,$2:$2,0),0)</f>
        <v>0</v>
      </c>
      <c r="I216" s="207">
        <f>IF(ISNUMBER(VLOOKUP($B:$B,'BS(과거)'!$A:$F,$2:$2,0)),VLOOKUP($B:$B,'BS(과거)'!$A:$F,$2:$2,0),0)</f>
        <v>0</v>
      </c>
      <c r="J216" s="207">
        <f>IF(ISNUMBER(VLOOKUP($B:$B,'BS(과거)'!$A:$F,$2:$2,0)),VLOOKUP($B:$B,'BS(과거)'!$A:$F,$2:$2,0),0)</f>
        <v>0</v>
      </c>
      <c r="K216" s="207">
        <f>IF(ISNUMBER(VLOOKUP($B:$B,'BS(과거)'!$A:$F,$2:$2,0)),VLOOKUP($B:$B,'BS(과거)'!$A:$F,$2:$2,0),0)</f>
        <v>0</v>
      </c>
      <c r="L216" s="207">
        <f>IF(ISNUMBER(VLOOKUP($B:$B,'BS(과거)'!$A:$F,$2:$2,0)),VLOOKUP($B:$B,'BS(과거)'!$A:$F,$2:$2,0),0)</f>
        <v>0</v>
      </c>
      <c r="N216" s="207">
        <f>IF(ISNUMBER(VLOOKUP($B:$B,'BS(분기)'!$A:$F,$2:$2,0)),VLOOKUP($B:$B,'BS(분기)'!$A:$F,$2:$2,0),0)</f>
        <v>0</v>
      </c>
      <c r="O216" s="207">
        <f>IF(ISNUMBER(VLOOKUP($B:$B,'BS(분기)'!$A:$F,$2:$2,0)),VLOOKUP($B:$B,'BS(분기)'!$A:$F,$2:$2,0),0)</f>
        <v>0</v>
      </c>
      <c r="P216" s="207">
        <f>IF(ISNUMBER(VLOOKUP($B:$B,'BS(분기)'!$A:$F,$2:$2,0)),VLOOKUP($B:$B,'BS(분기)'!$A:$F,$2:$2,0),0)</f>
        <v>0</v>
      </c>
      <c r="Q216" s="207">
        <f>IF(ISNUMBER(VLOOKUP($B:$B,'BS(분기)'!$A:$F,$2:$2,0)),VLOOKUP($B:$B,'BS(분기)'!$A:$F,$2:$2,0),0)</f>
        <v>0</v>
      </c>
      <c r="R216" s="207">
        <f>IF(ISNUMBER(VLOOKUP($B:$B,'BS(분기)'!$A:$F,$2:$2,0)),VLOOKUP($B:$B,'BS(분기)'!$A:$F,$2:$2,0),0)</f>
        <v>0</v>
      </c>
    </row>
    <row r="217" spans="1:18" s="192" customFormat="1" ht="12">
      <c r="A217" s="203">
        <v>112145</v>
      </c>
      <c r="B217" s="196" t="s">
        <v>1018</v>
      </c>
      <c r="C217" s="217">
        <f>IF(ISNUMBER(VLOOKUP($B:$B,BS!$A:$D,$2:$2,0)),VLOOKUP($B:$B,BS!$A:$D,$2:$2,0),0)</f>
        <v>0</v>
      </c>
      <c r="D217" s="217">
        <f>IF(ISNUMBER(VLOOKUP($B:$B,BS!$A:$D,$2:$2,0)),VLOOKUP($B:$B,BS!$A:$D,$2:$2,0),0)</f>
        <v>0</v>
      </c>
      <c r="E217" s="217">
        <f>IF(ISNUMBER(VLOOKUP($B:$B,BS!$A:$D,$2:$2,0)),VLOOKUP($B:$B,BS!$A:$D,$2:$2,0),0)</f>
        <v>0</v>
      </c>
      <c r="F217" s="217">
        <f>IF(ISNUMBER(VLOOKUP($B:$B,BS!$A:$D,$2:$2,0)),VLOOKUP($B:$B,BS!$A:$D,$2:$2,0),0)</f>
        <v>0</v>
      </c>
      <c r="G217" s="217">
        <f>IF(ISNUMBER(VLOOKUP($B:$B,BS!$A:$D,$2:$2,0)),VLOOKUP($B:$B,BS!$A:$D,$2:$2,0),0)</f>
        <v>0</v>
      </c>
      <c r="H217" s="207">
        <f>IF(ISNUMBER(VLOOKUP($B:$B,'BS(과거)'!$A:$F,$2:$2,0)),VLOOKUP($B:$B,'BS(과거)'!$A:$F,$2:$2,0),0)</f>
        <v>0</v>
      </c>
      <c r="I217" s="207">
        <f>IF(ISNUMBER(VLOOKUP($B:$B,'BS(과거)'!$A:$F,$2:$2,0)),VLOOKUP($B:$B,'BS(과거)'!$A:$F,$2:$2,0),0)</f>
        <v>0</v>
      </c>
      <c r="J217" s="207">
        <f>IF(ISNUMBER(VLOOKUP($B:$B,'BS(과거)'!$A:$F,$2:$2,0)),VLOOKUP($B:$B,'BS(과거)'!$A:$F,$2:$2,0),0)</f>
        <v>0</v>
      </c>
      <c r="K217" s="207">
        <f>IF(ISNUMBER(VLOOKUP($B:$B,'BS(과거)'!$A:$F,$2:$2,0)),VLOOKUP($B:$B,'BS(과거)'!$A:$F,$2:$2,0),0)</f>
        <v>0</v>
      </c>
      <c r="L217" s="207">
        <f>IF(ISNUMBER(VLOOKUP($B:$B,'BS(과거)'!$A:$F,$2:$2,0)),VLOOKUP($B:$B,'BS(과거)'!$A:$F,$2:$2,0),0)</f>
        <v>0</v>
      </c>
      <c r="N217" s="207">
        <f>IF(ISNUMBER(VLOOKUP($B:$B,'BS(분기)'!$A:$F,$2:$2,0)),VLOOKUP($B:$B,'BS(분기)'!$A:$F,$2:$2,0),0)</f>
        <v>0</v>
      </c>
      <c r="O217" s="207">
        <f>IF(ISNUMBER(VLOOKUP($B:$B,'BS(분기)'!$A:$F,$2:$2,0)),VLOOKUP($B:$B,'BS(분기)'!$A:$F,$2:$2,0),0)</f>
        <v>0</v>
      </c>
      <c r="P217" s="207">
        <f>IF(ISNUMBER(VLOOKUP($B:$B,'BS(분기)'!$A:$F,$2:$2,0)),VLOOKUP($B:$B,'BS(분기)'!$A:$F,$2:$2,0),0)</f>
        <v>0</v>
      </c>
      <c r="Q217" s="207">
        <f>IF(ISNUMBER(VLOOKUP($B:$B,'BS(분기)'!$A:$F,$2:$2,0)),VLOOKUP($B:$B,'BS(분기)'!$A:$F,$2:$2,0),0)</f>
        <v>0</v>
      </c>
      <c r="R217" s="207">
        <f>IF(ISNUMBER(VLOOKUP($B:$B,'BS(분기)'!$A:$F,$2:$2,0)),VLOOKUP($B:$B,'BS(분기)'!$A:$F,$2:$2,0),0)</f>
        <v>0</v>
      </c>
    </row>
    <row r="218" spans="1:18" s="192" customFormat="1" ht="12">
      <c r="A218" s="202">
        <v>112151</v>
      </c>
      <c r="B218" s="195" t="s">
        <v>1019</v>
      </c>
      <c r="C218" s="217">
        <f>IF(ISNUMBER(VLOOKUP($B:$B,BS!$A:$D,$2:$2,0)),VLOOKUP($B:$B,BS!$A:$D,$2:$2,0),0)</f>
        <v>0</v>
      </c>
      <c r="D218" s="217">
        <f>IF(ISNUMBER(VLOOKUP($B:$B,BS!$A:$D,$2:$2,0)),VLOOKUP($B:$B,BS!$A:$D,$2:$2,0),0)</f>
        <v>0</v>
      </c>
      <c r="E218" s="217">
        <f>IF(ISNUMBER(VLOOKUP($B:$B,BS!$A:$D,$2:$2,0)),VLOOKUP($B:$B,BS!$A:$D,$2:$2,0),0)</f>
        <v>0</v>
      </c>
      <c r="F218" s="217">
        <f>IF(ISNUMBER(VLOOKUP($B:$B,BS!$A:$D,$2:$2,0)),VLOOKUP($B:$B,BS!$A:$D,$2:$2,0),0)</f>
        <v>0</v>
      </c>
      <c r="G218" s="217">
        <f>IF(ISNUMBER(VLOOKUP($B:$B,BS!$A:$D,$2:$2,0)),VLOOKUP($B:$B,BS!$A:$D,$2:$2,0),0)</f>
        <v>0</v>
      </c>
      <c r="H218" s="207">
        <f>IF(ISNUMBER(VLOOKUP($B:$B,'BS(과거)'!$A:$F,$2:$2,0)),VLOOKUP($B:$B,'BS(과거)'!$A:$F,$2:$2,0),0)</f>
        <v>0</v>
      </c>
      <c r="I218" s="207">
        <f>IF(ISNUMBER(VLOOKUP($B:$B,'BS(과거)'!$A:$F,$2:$2,0)),VLOOKUP($B:$B,'BS(과거)'!$A:$F,$2:$2,0),0)</f>
        <v>0</v>
      </c>
      <c r="J218" s="207">
        <f>IF(ISNUMBER(VLOOKUP($B:$B,'BS(과거)'!$A:$F,$2:$2,0)),VLOOKUP($B:$B,'BS(과거)'!$A:$F,$2:$2,0),0)</f>
        <v>0</v>
      </c>
      <c r="K218" s="207">
        <f>IF(ISNUMBER(VLOOKUP($B:$B,'BS(과거)'!$A:$F,$2:$2,0)),VLOOKUP($B:$B,'BS(과거)'!$A:$F,$2:$2,0),0)</f>
        <v>0</v>
      </c>
      <c r="L218" s="207">
        <f>IF(ISNUMBER(VLOOKUP($B:$B,'BS(과거)'!$A:$F,$2:$2,0)),VLOOKUP($B:$B,'BS(과거)'!$A:$F,$2:$2,0),0)</f>
        <v>0</v>
      </c>
      <c r="N218" s="207">
        <f>IF(ISNUMBER(VLOOKUP($B:$B,'BS(분기)'!$A:$F,$2:$2,0)),VLOOKUP($B:$B,'BS(분기)'!$A:$F,$2:$2,0),0)</f>
        <v>0</v>
      </c>
      <c r="O218" s="207">
        <f>IF(ISNUMBER(VLOOKUP($B:$B,'BS(분기)'!$A:$F,$2:$2,0)),VLOOKUP($B:$B,'BS(분기)'!$A:$F,$2:$2,0),0)</f>
        <v>0</v>
      </c>
      <c r="P218" s="207">
        <f>IF(ISNUMBER(VLOOKUP($B:$B,'BS(분기)'!$A:$F,$2:$2,0)),VLOOKUP($B:$B,'BS(분기)'!$A:$F,$2:$2,0),0)</f>
        <v>0</v>
      </c>
      <c r="Q218" s="207">
        <f>IF(ISNUMBER(VLOOKUP($B:$B,'BS(분기)'!$A:$F,$2:$2,0)),VLOOKUP($B:$B,'BS(분기)'!$A:$F,$2:$2,0),0)</f>
        <v>0</v>
      </c>
      <c r="R218" s="207">
        <f>IF(ISNUMBER(VLOOKUP($B:$B,'BS(분기)'!$A:$F,$2:$2,0)),VLOOKUP($B:$B,'BS(분기)'!$A:$F,$2:$2,0),0)</f>
        <v>0</v>
      </c>
    </row>
    <row r="219" spans="1:18" s="192" customFormat="1" ht="12">
      <c r="A219" s="202">
        <v>112290</v>
      </c>
      <c r="B219" s="195" t="s">
        <v>925</v>
      </c>
      <c r="C219" s="217">
        <f>IF(ISNUMBER(VLOOKUP($B:$B,BS!$A:$D,$2:$2,0)),VLOOKUP($B:$B,BS!$A:$D,$2:$2,0),0)</f>
        <v>0</v>
      </c>
      <c r="D219" s="217">
        <f>IF(ISNUMBER(VLOOKUP($B:$B,BS!$A:$D,$2:$2,0)),VLOOKUP($B:$B,BS!$A:$D,$2:$2,0),0)</f>
        <v>0</v>
      </c>
      <c r="E219" s="217">
        <f>IF(ISNUMBER(VLOOKUP($B:$B,BS!$A:$D,$2:$2,0)),VLOOKUP($B:$B,BS!$A:$D,$2:$2,0),0)</f>
        <v>0</v>
      </c>
      <c r="F219" s="217">
        <f>IF(ISNUMBER(VLOOKUP($B:$B,BS!$A:$D,$2:$2,0)),VLOOKUP($B:$B,BS!$A:$D,$2:$2,0),0)</f>
        <v>0</v>
      </c>
      <c r="G219" s="217">
        <f>IF(ISNUMBER(VLOOKUP($B:$B,BS!$A:$D,$2:$2,0)),VLOOKUP($B:$B,BS!$A:$D,$2:$2,0),0)</f>
        <v>0</v>
      </c>
      <c r="H219" s="207">
        <f>IF(ISNUMBER(VLOOKUP($B:$B,'BS(과거)'!$A:$F,$2:$2,0)),VLOOKUP($B:$B,'BS(과거)'!$A:$F,$2:$2,0),0)</f>
        <v>0</v>
      </c>
      <c r="I219" s="207">
        <f>IF(ISNUMBER(VLOOKUP($B:$B,'BS(과거)'!$A:$F,$2:$2,0)),VLOOKUP($B:$B,'BS(과거)'!$A:$F,$2:$2,0),0)</f>
        <v>0</v>
      </c>
      <c r="J219" s="207">
        <f>IF(ISNUMBER(VLOOKUP($B:$B,'BS(과거)'!$A:$F,$2:$2,0)),VLOOKUP($B:$B,'BS(과거)'!$A:$F,$2:$2,0),0)</f>
        <v>0</v>
      </c>
      <c r="K219" s="207">
        <f>IF(ISNUMBER(VLOOKUP($B:$B,'BS(과거)'!$A:$F,$2:$2,0)),VLOOKUP($B:$B,'BS(과거)'!$A:$F,$2:$2,0),0)</f>
        <v>0</v>
      </c>
      <c r="L219" s="207">
        <f>IF(ISNUMBER(VLOOKUP($B:$B,'BS(과거)'!$A:$F,$2:$2,0)),VLOOKUP($B:$B,'BS(과거)'!$A:$F,$2:$2,0),0)</f>
        <v>0</v>
      </c>
      <c r="N219" s="207">
        <f>IF(ISNUMBER(VLOOKUP($B:$B,'BS(분기)'!$A:$F,$2:$2,0)),VLOOKUP($B:$B,'BS(분기)'!$A:$F,$2:$2,0),0)</f>
        <v>0</v>
      </c>
      <c r="O219" s="207">
        <f>IF(ISNUMBER(VLOOKUP($B:$B,'BS(분기)'!$A:$F,$2:$2,0)),VLOOKUP($B:$B,'BS(분기)'!$A:$F,$2:$2,0),0)</f>
        <v>0</v>
      </c>
      <c r="P219" s="207">
        <f>IF(ISNUMBER(VLOOKUP($B:$B,'BS(분기)'!$A:$F,$2:$2,0)),VLOOKUP($B:$B,'BS(분기)'!$A:$F,$2:$2,0),0)</f>
        <v>0</v>
      </c>
      <c r="Q219" s="207">
        <f>IF(ISNUMBER(VLOOKUP($B:$B,'BS(분기)'!$A:$F,$2:$2,0)),VLOOKUP($B:$B,'BS(분기)'!$A:$F,$2:$2,0),0)</f>
        <v>0</v>
      </c>
      <c r="R219" s="207">
        <f>IF(ISNUMBER(VLOOKUP($B:$B,'BS(분기)'!$A:$F,$2:$2,0)),VLOOKUP($B:$B,'BS(분기)'!$A:$F,$2:$2,0),0)</f>
        <v>0</v>
      </c>
    </row>
    <row r="220" spans="1:18" s="192" customFormat="1" ht="12">
      <c r="A220" s="202">
        <v>112300</v>
      </c>
      <c r="B220" s="195" t="s">
        <v>930</v>
      </c>
      <c r="C220" s="217">
        <f>IF(ISNUMBER(VLOOKUP($B:$B,BS!$A:$D,$2:$2,0)),VLOOKUP($B:$B,BS!$A:$D,$2:$2,0),0)</f>
        <v>0</v>
      </c>
      <c r="D220" s="217">
        <f>IF(ISNUMBER(VLOOKUP($B:$B,BS!$A:$D,$2:$2,0)),VLOOKUP($B:$B,BS!$A:$D,$2:$2,0),0)</f>
        <v>0</v>
      </c>
      <c r="E220" s="217">
        <f>IF(ISNUMBER(VLOOKUP($B:$B,BS!$A:$D,$2:$2,0)),VLOOKUP($B:$B,BS!$A:$D,$2:$2,0),0)</f>
        <v>0</v>
      </c>
      <c r="F220" s="217">
        <f>IF(ISNUMBER(VLOOKUP($B:$B,BS!$A:$D,$2:$2,0)),VLOOKUP($B:$B,BS!$A:$D,$2:$2,0),0)</f>
        <v>0</v>
      </c>
      <c r="G220" s="217">
        <f>IF(ISNUMBER(VLOOKUP($B:$B,BS!$A:$D,$2:$2,0)),VLOOKUP($B:$B,BS!$A:$D,$2:$2,0),0)</f>
        <v>0</v>
      </c>
      <c r="H220" s="207">
        <f>IF(ISNUMBER(VLOOKUP($B:$B,'BS(과거)'!$A:$F,$2:$2,0)),VLOOKUP($B:$B,'BS(과거)'!$A:$F,$2:$2,0),0)</f>
        <v>0</v>
      </c>
      <c r="I220" s="207">
        <f>IF(ISNUMBER(VLOOKUP($B:$B,'BS(과거)'!$A:$F,$2:$2,0)),VLOOKUP($B:$B,'BS(과거)'!$A:$F,$2:$2,0),0)</f>
        <v>0</v>
      </c>
      <c r="J220" s="207">
        <f>IF(ISNUMBER(VLOOKUP($B:$B,'BS(과거)'!$A:$F,$2:$2,0)),VLOOKUP($B:$B,'BS(과거)'!$A:$F,$2:$2,0),0)</f>
        <v>0</v>
      </c>
      <c r="K220" s="207">
        <f>IF(ISNUMBER(VLOOKUP($B:$B,'BS(과거)'!$A:$F,$2:$2,0)),VLOOKUP($B:$B,'BS(과거)'!$A:$F,$2:$2,0),0)</f>
        <v>0</v>
      </c>
      <c r="L220" s="207">
        <f>IF(ISNUMBER(VLOOKUP($B:$B,'BS(과거)'!$A:$F,$2:$2,0)),VLOOKUP($B:$B,'BS(과거)'!$A:$F,$2:$2,0),0)</f>
        <v>0</v>
      </c>
      <c r="N220" s="207">
        <f>IF(ISNUMBER(VLOOKUP($B:$B,'BS(분기)'!$A:$F,$2:$2,0)),VLOOKUP($B:$B,'BS(분기)'!$A:$F,$2:$2,0),0)</f>
        <v>0</v>
      </c>
      <c r="O220" s="207">
        <f>IF(ISNUMBER(VLOOKUP($B:$B,'BS(분기)'!$A:$F,$2:$2,0)),VLOOKUP($B:$B,'BS(분기)'!$A:$F,$2:$2,0),0)</f>
        <v>0</v>
      </c>
      <c r="P220" s="207">
        <f>IF(ISNUMBER(VLOOKUP($B:$B,'BS(분기)'!$A:$F,$2:$2,0)),VLOOKUP($B:$B,'BS(분기)'!$A:$F,$2:$2,0),0)</f>
        <v>0</v>
      </c>
      <c r="Q220" s="207">
        <f>IF(ISNUMBER(VLOOKUP($B:$B,'BS(분기)'!$A:$F,$2:$2,0)),VLOOKUP($B:$B,'BS(분기)'!$A:$F,$2:$2,0),0)</f>
        <v>0</v>
      </c>
      <c r="R220" s="207">
        <f>IF(ISNUMBER(VLOOKUP($B:$B,'BS(분기)'!$A:$F,$2:$2,0)),VLOOKUP($B:$B,'BS(분기)'!$A:$F,$2:$2,0),0)</f>
        <v>0</v>
      </c>
    </row>
    <row r="221" spans="1:18" s="192" customFormat="1" ht="12">
      <c r="A221" s="203">
        <v>112310</v>
      </c>
      <c r="B221" s="196" t="s">
        <v>931</v>
      </c>
      <c r="C221" s="217">
        <f>IF(ISNUMBER(VLOOKUP($B:$B,BS!$A:$D,$2:$2,0)),VLOOKUP($B:$B,BS!$A:$D,$2:$2,0),0)</f>
        <v>0</v>
      </c>
      <c r="D221" s="217">
        <f>IF(ISNUMBER(VLOOKUP($B:$B,BS!$A:$D,$2:$2,0)),VLOOKUP($B:$B,BS!$A:$D,$2:$2,0),0)</f>
        <v>0</v>
      </c>
      <c r="E221" s="217">
        <f>IF(ISNUMBER(VLOOKUP($B:$B,BS!$A:$D,$2:$2,0)),VLOOKUP($B:$B,BS!$A:$D,$2:$2,0),0)</f>
        <v>0</v>
      </c>
      <c r="F221" s="217">
        <f>IF(ISNUMBER(VLOOKUP($B:$B,BS!$A:$D,$2:$2,0)),VLOOKUP($B:$B,BS!$A:$D,$2:$2,0),0)</f>
        <v>0</v>
      </c>
      <c r="G221" s="217">
        <f>IF(ISNUMBER(VLOOKUP($B:$B,BS!$A:$D,$2:$2,0)),VLOOKUP($B:$B,BS!$A:$D,$2:$2,0),0)</f>
        <v>0</v>
      </c>
      <c r="H221" s="207">
        <f>IF(ISNUMBER(VLOOKUP($B:$B,'BS(과거)'!$A:$F,$2:$2,0)),VLOOKUP($B:$B,'BS(과거)'!$A:$F,$2:$2,0),0)</f>
        <v>0</v>
      </c>
      <c r="I221" s="207">
        <f>IF(ISNUMBER(VLOOKUP($B:$B,'BS(과거)'!$A:$F,$2:$2,0)),VLOOKUP($B:$B,'BS(과거)'!$A:$F,$2:$2,0),0)</f>
        <v>0</v>
      </c>
      <c r="J221" s="207">
        <f>IF(ISNUMBER(VLOOKUP($B:$B,'BS(과거)'!$A:$F,$2:$2,0)),VLOOKUP($B:$B,'BS(과거)'!$A:$F,$2:$2,0),0)</f>
        <v>0</v>
      </c>
      <c r="K221" s="207">
        <f>IF(ISNUMBER(VLOOKUP($B:$B,'BS(과거)'!$A:$F,$2:$2,0)),VLOOKUP($B:$B,'BS(과거)'!$A:$F,$2:$2,0),0)</f>
        <v>0</v>
      </c>
      <c r="L221" s="207">
        <f>IF(ISNUMBER(VLOOKUP($B:$B,'BS(과거)'!$A:$F,$2:$2,0)),VLOOKUP($B:$B,'BS(과거)'!$A:$F,$2:$2,0),0)</f>
        <v>0</v>
      </c>
      <c r="N221" s="207">
        <f>IF(ISNUMBER(VLOOKUP($B:$B,'BS(분기)'!$A:$F,$2:$2,0)),VLOOKUP($B:$B,'BS(분기)'!$A:$F,$2:$2,0),0)</f>
        <v>0</v>
      </c>
      <c r="O221" s="207">
        <f>IF(ISNUMBER(VLOOKUP($B:$B,'BS(분기)'!$A:$F,$2:$2,0)),VLOOKUP($B:$B,'BS(분기)'!$A:$F,$2:$2,0),0)</f>
        <v>0</v>
      </c>
      <c r="P221" s="207">
        <f>IF(ISNUMBER(VLOOKUP($B:$B,'BS(분기)'!$A:$F,$2:$2,0)),VLOOKUP($B:$B,'BS(분기)'!$A:$F,$2:$2,0),0)</f>
        <v>0</v>
      </c>
      <c r="Q221" s="207">
        <f>IF(ISNUMBER(VLOOKUP($B:$B,'BS(분기)'!$A:$F,$2:$2,0)),VLOOKUP($B:$B,'BS(분기)'!$A:$F,$2:$2,0),0)</f>
        <v>0</v>
      </c>
      <c r="R221" s="207">
        <f>IF(ISNUMBER(VLOOKUP($B:$B,'BS(분기)'!$A:$F,$2:$2,0)),VLOOKUP($B:$B,'BS(분기)'!$A:$F,$2:$2,0),0)</f>
        <v>0</v>
      </c>
    </row>
    <row r="222" spans="1:18" s="192" customFormat="1" ht="12">
      <c r="A222" s="204">
        <v>112311</v>
      </c>
      <c r="B222" s="197" t="s">
        <v>932</v>
      </c>
      <c r="C222" s="217">
        <f>IF(ISNUMBER(VLOOKUP($B:$B,BS!$A:$D,$2:$2,0)),VLOOKUP($B:$B,BS!$A:$D,$2:$2,0),0)</f>
        <v>0</v>
      </c>
      <c r="D222" s="217">
        <f>IF(ISNUMBER(VLOOKUP($B:$B,BS!$A:$D,$2:$2,0)),VLOOKUP($B:$B,BS!$A:$D,$2:$2,0),0)</f>
        <v>0</v>
      </c>
      <c r="E222" s="217">
        <f>IF(ISNUMBER(VLOOKUP($B:$B,BS!$A:$D,$2:$2,0)),VLOOKUP($B:$B,BS!$A:$D,$2:$2,0),0)</f>
        <v>0</v>
      </c>
      <c r="F222" s="217">
        <f>IF(ISNUMBER(VLOOKUP($B:$B,BS!$A:$D,$2:$2,0)),VLOOKUP($B:$B,BS!$A:$D,$2:$2,0),0)</f>
        <v>0</v>
      </c>
      <c r="G222" s="217">
        <f>IF(ISNUMBER(VLOOKUP($B:$B,BS!$A:$D,$2:$2,0)),VLOOKUP($B:$B,BS!$A:$D,$2:$2,0),0)</f>
        <v>0</v>
      </c>
      <c r="H222" s="207">
        <f>IF(ISNUMBER(VLOOKUP($B:$B,'BS(과거)'!$A:$F,$2:$2,0)),VLOOKUP($B:$B,'BS(과거)'!$A:$F,$2:$2,0),0)</f>
        <v>0</v>
      </c>
      <c r="I222" s="207">
        <f>IF(ISNUMBER(VLOOKUP($B:$B,'BS(과거)'!$A:$F,$2:$2,0)),VLOOKUP($B:$B,'BS(과거)'!$A:$F,$2:$2,0),0)</f>
        <v>0</v>
      </c>
      <c r="J222" s="207">
        <f>IF(ISNUMBER(VLOOKUP($B:$B,'BS(과거)'!$A:$F,$2:$2,0)),VLOOKUP($B:$B,'BS(과거)'!$A:$F,$2:$2,0),0)</f>
        <v>0</v>
      </c>
      <c r="K222" s="207">
        <f>IF(ISNUMBER(VLOOKUP($B:$B,'BS(과거)'!$A:$F,$2:$2,0)),VLOOKUP($B:$B,'BS(과거)'!$A:$F,$2:$2,0),0)</f>
        <v>0</v>
      </c>
      <c r="L222" s="207">
        <f>IF(ISNUMBER(VLOOKUP($B:$B,'BS(과거)'!$A:$F,$2:$2,0)),VLOOKUP($B:$B,'BS(과거)'!$A:$F,$2:$2,0),0)</f>
        <v>0</v>
      </c>
      <c r="N222" s="207">
        <f>IF(ISNUMBER(VLOOKUP($B:$B,'BS(분기)'!$A:$F,$2:$2,0)),VLOOKUP($B:$B,'BS(분기)'!$A:$F,$2:$2,0),0)</f>
        <v>0</v>
      </c>
      <c r="O222" s="207">
        <f>IF(ISNUMBER(VLOOKUP($B:$B,'BS(분기)'!$A:$F,$2:$2,0)),VLOOKUP($B:$B,'BS(분기)'!$A:$F,$2:$2,0),0)</f>
        <v>0</v>
      </c>
      <c r="P222" s="207">
        <f>IF(ISNUMBER(VLOOKUP($B:$B,'BS(분기)'!$A:$F,$2:$2,0)),VLOOKUP($B:$B,'BS(분기)'!$A:$F,$2:$2,0),0)</f>
        <v>0</v>
      </c>
      <c r="Q222" s="207">
        <f>IF(ISNUMBER(VLOOKUP($B:$B,'BS(분기)'!$A:$F,$2:$2,0)),VLOOKUP($B:$B,'BS(분기)'!$A:$F,$2:$2,0),0)</f>
        <v>0</v>
      </c>
      <c r="R222" s="207">
        <f>IF(ISNUMBER(VLOOKUP($B:$B,'BS(분기)'!$A:$F,$2:$2,0)),VLOOKUP($B:$B,'BS(분기)'!$A:$F,$2:$2,0),0)</f>
        <v>0</v>
      </c>
    </row>
    <row r="223" spans="1:18" s="192" customFormat="1" ht="12">
      <c r="A223" s="204">
        <v>112312</v>
      </c>
      <c r="B223" s="197" t="s">
        <v>933</v>
      </c>
      <c r="C223" s="217">
        <f>IF(ISNUMBER(VLOOKUP($B:$B,BS!$A:$D,$2:$2,0)),VLOOKUP($B:$B,BS!$A:$D,$2:$2,0),0)</f>
        <v>0</v>
      </c>
      <c r="D223" s="217">
        <f>IF(ISNUMBER(VLOOKUP($B:$B,BS!$A:$D,$2:$2,0)),VLOOKUP($B:$B,BS!$A:$D,$2:$2,0),0)</f>
        <v>0</v>
      </c>
      <c r="E223" s="217">
        <f>IF(ISNUMBER(VLOOKUP($B:$B,BS!$A:$D,$2:$2,0)),VLOOKUP($B:$B,BS!$A:$D,$2:$2,0),0)</f>
        <v>0</v>
      </c>
      <c r="F223" s="217">
        <f>IF(ISNUMBER(VLOOKUP($B:$B,BS!$A:$D,$2:$2,0)),VLOOKUP($B:$B,BS!$A:$D,$2:$2,0),0)</f>
        <v>0</v>
      </c>
      <c r="G223" s="217">
        <f>IF(ISNUMBER(VLOOKUP($B:$B,BS!$A:$D,$2:$2,0)),VLOOKUP($B:$B,BS!$A:$D,$2:$2,0),0)</f>
        <v>0</v>
      </c>
      <c r="H223" s="207">
        <f>IF(ISNUMBER(VLOOKUP($B:$B,'BS(과거)'!$A:$F,$2:$2,0)),VLOOKUP($B:$B,'BS(과거)'!$A:$F,$2:$2,0),0)</f>
        <v>0</v>
      </c>
      <c r="I223" s="207">
        <f>IF(ISNUMBER(VLOOKUP($B:$B,'BS(과거)'!$A:$F,$2:$2,0)),VLOOKUP($B:$B,'BS(과거)'!$A:$F,$2:$2,0),0)</f>
        <v>0</v>
      </c>
      <c r="J223" s="207">
        <f>IF(ISNUMBER(VLOOKUP($B:$B,'BS(과거)'!$A:$F,$2:$2,0)),VLOOKUP($B:$B,'BS(과거)'!$A:$F,$2:$2,0),0)</f>
        <v>0</v>
      </c>
      <c r="K223" s="207">
        <f>IF(ISNUMBER(VLOOKUP($B:$B,'BS(과거)'!$A:$F,$2:$2,0)),VLOOKUP($B:$B,'BS(과거)'!$A:$F,$2:$2,0),0)</f>
        <v>0</v>
      </c>
      <c r="L223" s="207">
        <f>IF(ISNUMBER(VLOOKUP($B:$B,'BS(과거)'!$A:$F,$2:$2,0)),VLOOKUP($B:$B,'BS(과거)'!$A:$F,$2:$2,0),0)</f>
        <v>0</v>
      </c>
      <c r="N223" s="207">
        <f>IF(ISNUMBER(VLOOKUP($B:$B,'BS(분기)'!$A:$F,$2:$2,0)),VLOOKUP($B:$B,'BS(분기)'!$A:$F,$2:$2,0),0)</f>
        <v>0</v>
      </c>
      <c r="O223" s="207">
        <f>IF(ISNUMBER(VLOOKUP($B:$B,'BS(분기)'!$A:$F,$2:$2,0)),VLOOKUP($B:$B,'BS(분기)'!$A:$F,$2:$2,0),0)</f>
        <v>0</v>
      </c>
      <c r="P223" s="207">
        <f>IF(ISNUMBER(VLOOKUP($B:$B,'BS(분기)'!$A:$F,$2:$2,0)),VLOOKUP($B:$B,'BS(분기)'!$A:$F,$2:$2,0),0)</f>
        <v>0</v>
      </c>
      <c r="Q223" s="207">
        <f>IF(ISNUMBER(VLOOKUP($B:$B,'BS(분기)'!$A:$F,$2:$2,0)),VLOOKUP($B:$B,'BS(분기)'!$A:$F,$2:$2,0),0)</f>
        <v>0</v>
      </c>
      <c r="R223" s="207">
        <f>IF(ISNUMBER(VLOOKUP($B:$B,'BS(분기)'!$A:$F,$2:$2,0)),VLOOKUP($B:$B,'BS(분기)'!$A:$F,$2:$2,0),0)</f>
        <v>0</v>
      </c>
    </row>
    <row r="224" spans="1:18" s="192" customFormat="1" ht="12">
      <c r="A224" s="204">
        <v>112313</v>
      </c>
      <c r="B224" s="197" t="s">
        <v>934</v>
      </c>
      <c r="C224" s="217">
        <f>IF(ISNUMBER(VLOOKUP($B:$B,BS!$A:$D,$2:$2,0)),VLOOKUP($B:$B,BS!$A:$D,$2:$2,0),0)</f>
        <v>0</v>
      </c>
      <c r="D224" s="217">
        <f>IF(ISNUMBER(VLOOKUP($B:$B,BS!$A:$D,$2:$2,0)),VLOOKUP($B:$B,BS!$A:$D,$2:$2,0),0)</f>
        <v>0</v>
      </c>
      <c r="E224" s="217">
        <f>IF(ISNUMBER(VLOOKUP($B:$B,BS!$A:$D,$2:$2,0)),VLOOKUP($B:$B,BS!$A:$D,$2:$2,0),0)</f>
        <v>0</v>
      </c>
      <c r="F224" s="217">
        <f>IF(ISNUMBER(VLOOKUP($B:$B,BS!$A:$D,$2:$2,0)),VLOOKUP($B:$B,BS!$A:$D,$2:$2,0),0)</f>
        <v>0</v>
      </c>
      <c r="G224" s="217">
        <f>IF(ISNUMBER(VLOOKUP($B:$B,BS!$A:$D,$2:$2,0)),VLOOKUP($B:$B,BS!$A:$D,$2:$2,0),0)</f>
        <v>0</v>
      </c>
      <c r="H224" s="207">
        <f>IF(ISNUMBER(VLOOKUP($B:$B,'BS(과거)'!$A:$F,$2:$2,0)),VLOOKUP($B:$B,'BS(과거)'!$A:$F,$2:$2,0),0)</f>
        <v>0</v>
      </c>
      <c r="I224" s="207">
        <f>IF(ISNUMBER(VLOOKUP($B:$B,'BS(과거)'!$A:$F,$2:$2,0)),VLOOKUP($B:$B,'BS(과거)'!$A:$F,$2:$2,0),0)</f>
        <v>0</v>
      </c>
      <c r="J224" s="207">
        <f>IF(ISNUMBER(VLOOKUP($B:$B,'BS(과거)'!$A:$F,$2:$2,0)),VLOOKUP($B:$B,'BS(과거)'!$A:$F,$2:$2,0),0)</f>
        <v>0</v>
      </c>
      <c r="K224" s="207">
        <f>IF(ISNUMBER(VLOOKUP($B:$B,'BS(과거)'!$A:$F,$2:$2,0)),VLOOKUP($B:$B,'BS(과거)'!$A:$F,$2:$2,0),0)</f>
        <v>0</v>
      </c>
      <c r="L224" s="207">
        <f>IF(ISNUMBER(VLOOKUP($B:$B,'BS(과거)'!$A:$F,$2:$2,0)),VLOOKUP($B:$B,'BS(과거)'!$A:$F,$2:$2,0),0)</f>
        <v>0</v>
      </c>
      <c r="N224" s="207">
        <f>IF(ISNUMBER(VLOOKUP($B:$B,'BS(분기)'!$A:$F,$2:$2,0)),VLOOKUP($B:$B,'BS(분기)'!$A:$F,$2:$2,0),0)</f>
        <v>0</v>
      </c>
      <c r="O224" s="207">
        <f>IF(ISNUMBER(VLOOKUP($B:$B,'BS(분기)'!$A:$F,$2:$2,0)),VLOOKUP($B:$B,'BS(분기)'!$A:$F,$2:$2,0),0)</f>
        <v>0</v>
      </c>
      <c r="P224" s="207">
        <f>IF(ISNUMBER(VLOOKUP($B:$B,'BS(분기)'!$A:$F,$2:$2,0)),VLOOKUP($B:$B,'BS(분기)'!$A:$F,$2:$2,0),0)</f>
        <v>0</v>
      </c>
      <c r="Q224" s="207">
        <f>IF(ISNUMBER(VLOOKUP($B:$B,'BS(분기)'!$A:$F,$2:$2,0)),VLOOKUP($B:$B,'BS(분기)'!$A:$F,$2:$2,0),0)</f>
        <v>0</v>
      </c>
      <c r="R224" s="207">
        <f>IF(ISNUMBER(VLOOKUP($B:$B,'BS(분기)'!$A:$F,$2:$2,0)),VLOOKUP($B:$B,'BS(분기)'!$A:$F,$2:$2,0),0)</f>
        <v>0</v>
      </c>
    </row>
    <row r="225" spans="1:18" s="192" customFormat="1" ht="12">
      <c r="A225" s="204">
        <v>112319</v>
      </c>
      <c r="B225" s="197" t="s">
        <v>935</v>
      </c>
      <c r="C225" s="217">
        <f>IF(ISNUMBER(VLOOKUP($B:$B,BS!$A:$D,$2:$2,0)),VLOOKUP($B:$B,BS!$A:$D,$2:$2,0),0)</f>
        <v>0</v>
      </c>
      <c r="D225" s="217">
        <f>IF(ISNUMBER(VLOOKUP($B:$B,BS!$A:$D,$2:$2,0)),VLOOKUP($B:$B,BS!$A:$D,$2:$2,0),0)</f>
        <v>0</v>
      </c>
      <c r="E225" s="217">
        <f>IF(ISNUMBER(VLOOKUP($B:$B,BS!$A:$D,$2:$2,0)),VLOOKUP($B:$B,BS!$A:$D,$2:$2,0),0)</f>
        <v>0</v>
      </c>
      <c r="F225" s="217">
        <f>IF(ISNUMBER(VLOOKUP($B:$B,BS!$A:$D,$2:$2,0)),VLOOKUP($B:$B,BS!$A:$D,$2:$2,0),0)</f>
        <v>0</v>
      </c>
      <c r="G225" s="217">
        <f>IF(ISNUMBER(VLOOKUP($B:$B,BS!$A:$D,$2:$2,0)),VLOOKUP($B:$B,BS!$A:$D,$2:$2,0),0)</f>
        <v>0</v>
      </c>
      <c r="H225" s="207">
        <f>IF(ISNUMBER(VLOOKUP($B:$B,'BS(과거)'!$A:$F,$2:$2,0)),VLOOKUP($B:$B,'BS(과거)'!$A:$F,$2:$2,0),0)</f>
        <v>0</v>
      </c>
      <c r="I225" s="207">
        <f>IF(ISNUMBER(VLOOKUP($B:$B,'BS(과거)'!$A:$F,$2:$2,0)),VLOOKUP($B:$B,'BS(과거)'!$A:$F,$2:$2,0),0)</f>
        <v>0</v>
      </c>
      <c r="J225" s="207">
        <f>IF(ISNUMBER(VLOOKUP($B:$B,'BS(과거)'!$A:$F,$2:$2,0)),VLOOKUP($B:$B,'BS(과거)'!$A:$F,$2:$2,0),0)</f>
        <v>0</v>
      </c>
      <c r="K225" s="207">
        <f>IF(ISNUMBER(VLOOKUP($B:$B,'BS(과거)'!$A:$F,$2:$2,0)),VLOOKUP($B:$B,'BS(과거)'!$A:$F,$2:$2,0),0)</f>
        <v>0</v>
      </c>
      <c r="L225" s="207">
        <f>IF(ISNUMBER(VLOOKUP($B:$B,'BS(과거)'!$A:$F,$2:$2,0)),VLOOKUP($B:$B,'BS(과거)'!$A:$F,$2:$2,0),0)</f>
        <v>0</v>
      </c>
      <c r="N225" s="207">
        <f>IF(ISNUMBER(VLOOKUP($B:$B,'BS(분기)'!$A:$F,$2:$2,0)),VLOOKUP($B:$B,'BS(분기)'!$A:$F,$2:$2,0),0)</f>
        <v>0</v>
      </c>
      <c r="O225" s="207">
        <f>IF(ISNUMBER(VLOOKUP($B:$B,'BS(분기)'!$A:$F,$2:$2,0)),VLOOKUP($B:$B,'BS(분기)'!$A:$F,$2:$2,0),0)</f>
        <v>0</v>
      </c>
      <c r="P225" s="207">
        <f>IF(ISNUMBER(VLOOKUP($B:$B,'BS(분기)'!$A:$F,$2:$2,0)),VLOOKUP($B:$B,'BS(분기)'!$A:$F,$2:$2,0),0)</f>
        <v>0</v>
      </c>
      <c r="Q225" s="207">
        <f>IF(ISNUMBER(VLOOKUP($B:$B,'BS(분기)'!$A:$F,$2:$2,0)),VLOOKUP($B:$B,'BS(분기)'!$A:$F,$2:$2,0),0)</f>
        <v>0</v>
      </c>
      <c r="R225" s="207">
        <f>IF(ISNUMBER(VLOOKUP($B:$B,'BS(분기)'!$A:$F,$2:$2,0)),VLOOKUP($B:$B,'BS(분기)'!$A:$F,$2:$2,0),0)</f>
        <v>0</v>
      </c>
    </row>
    <row r="226" spans="1:18" s="192" customFormat="1" ht="12">
      <c r="A226" s="203">
        <v>112320</v>
      </c>
      <c r="B226" s="196" t="s">
        <v>936</v>
      </c>
      <c r="C226" s="217">
        <f>IF(ISNUMBER(VLOOKUP($B:$B,BS!$A:$D,$2:$2,0)),VLOOKUP($B:$B,BS!$A:$D,$2:$2,0),0)</f>
        <v>0</v>
      </c>
      <c r="D226" s="217">
        <f>IF(ISNUMBER(VLOOKUP($B:$B,BS!$A:$D,$2:$2,0)),VLOOKUP($B:$B,BS!$A:$D,$2:$2,0),0)</f>
        <v>0</v>
      </c>
      <c r="E226" s="217">
        <f>IF(ISNUMBER(VLOOKUP($B:$B,BS!$A:$D,$2:$2,0)),VLOOKUP($B:$B,BS!$A:$D,$2:$2,0),0)</f>
        <v>0</v>
      </c>
      <c r="F226" s="217">
        <f>IF(ISNUMBER(VLOOKUP($B:$B,BS!$A:$D,$2:$2,0)),VLOOKUP($B:$B,BS!$A:$D,$2:$2,0),0)</f>
        <v>0</v>
      </c>
      <c r="G226" s="217">
        <f>IF(ISNUMBER(VLOOKUP($B:$B,BS!$A:$D,$2:$2,0)),VLOOKUP($B:$B,BS!$A:$D,$2:$2,0),0)</f>
        <v>0</v>
      </c>
      <c r="H226" s="207">
        <f>IF(ISNUMBER(VLOOKUP($B:$B,'BS(과거)'!$A:$F,$2:$2,0)),VLOOKUP($B:$B,'BS(과거)'!$A:$F,$2:$2,0),0)</f>
        <v>0</v>
      </c>
      <c r="I226" s="207">
        <f>IF(ISNUMBER(VLOOKUP($B:$B,'BS(과거)'!$A:$F,$2:$2,0)),VLOOKUP($B:$B,'BS(과거)'!$A:$F,$2:$2,0),0)</f>
        <v>0</v>
      </c>
      <c r="J226" s="207">
        <f>IF(ISNUMBER(VLOOKUP($B:$B,'BS(과거)'!$A:$F,$2:$2,0)),VLOOKUP($B:$B,'BS(과거)'!$A:$F,$2:$2,0),0)</f>
        <v>0</v>
      </c>
      <c r="K226" s="207">
        <f>IF(ISNUMBER(VLOOKUP($B:$B,'BS(과거)'!$A:$F,$2:$2,0)),VLOOKUP($B:$B,'BS(과거)'!$A:$F,$2:$2,0),0)</f>
        <v>0</v>
      </c>
      <c r="L226" s="207">
        <f>IF(ISNUMBER(VLOOKUP($B:$B,'BS(과거)'!$A:$F,$2:$2,0)),VLOOKUP($B:$B,'BS(과거)'!$A:$F,$2:$2,0),0)</f>
        <v>0</v>
      </c>
      <c r="N226" s="207">
        <f>IF(ISNUMBER(VLOOKUP($B:$B,'BS(분기)'!$A:$F,$2:$2,0)),VLOOKUP($B:$B,'BS(분기)'!$A:$F,$2:$2,0),0)</f>
        <v>0</v>
      </c>
      <c r="O226" s="207">
        <f>IF(ISNUMBER(VLOOKUP($B:$B,'BS(분기)'!$A:$F,$2:$2,0)),VLOOKUP($B:$B,'BS(분기)'!$A:$F,$2:$2,0),0)</f>
        <v>0</v>
      </c>
      <c r="P226" s="207">
        <f>IF(ISNUMBER(VLOOKUP($B:$B,'BS(분기)'!$A:$F,$2:$2,0)),VLOOKUP($B:$B,'BS(분기)'!$A:$F,$2:$2,0),0)</f>
        <v>0</v>
      </c>
      <c r="Q226" s="207">
        <f>IF(ISNUMBER(VLOOKUP($B:$B,'BS(분기)'!$A:$F,$2:$2,0)),VLOOKUP($B:$B,'BS(분기)'!$A:$F,$2:$2,0),0)</f>
        <v>0</v>
      </c>
      <c r="R226" s="207">
        <f>IF(ISNUMBER(VLOOKUP($B:$B,'BS(분기)'!$A:$F,$2:$2,0)),VLOOKUP($B:$B,'BS(분기)'!$A:$F,$2:$2,0),0)</f>
        <v>0</v>
      </c>
    </row>
    <row r="227" spans="1:18" s="192" customFormat="1" ht="12">
      <c r="A227" s="204">
        <v>112321</v>
      </c>
      <c r="B227" s="197" t="s">
        <v>937</v>
      </c>
      <c r="C227" s="217">
        <f>IF(ISNUMBER(VLOOKUP($B:$B,BS!$A:$D,$2:$2,0)),VLOOKUP($B:$B,BS!$A:$D,$2:$2,0),0)</f>
        <v>0</v>
      </c>
      <c r="D227" s="217">
        <f>IF(ISNUMBER(VLOOKUP($B:$B,BS!$A:$D,$2:$2,0)),VLOOKUP($B:$B,BS!$A:$D,$2:$2,0),0)</f>
        <v>0</v>
      </c>
      <c r="E227" s="217">
        <f>IF(ISNUMBER(VLOOKUP($B:$B,BS!$A:$D,$2:$2,0)),VLOOKUP($B:$B,BS!$A:$D,$2:$2,0),0)</f>
        <v>0</v>
      </c>
      <c r="F227" s="217">
        <f>IF(ISNUMBER(VLOOKUP($B:$B,BS!$A:$D,$2:$2,0)),VLOOKUP($B:$B,BS!$A:$D,$2:$2,0),0)</f>
        <v>0</v>
      </c>
      <c r="G227" s="217">
        <f>IF(ISNUMBER(VLOOKUP($B:$B,BS!$A:$D,$2:$2,0)),VLOOKUP($B:$B,BS!$A:$D,$2:$2,0),0)</f>
        <v>0</v>
      </c>
      <c r="H227" s="207">
        <f>IF(ISNUMBER(VLOOKUP($B:$B,'BS(과거)'!$A:$F,$2:$2,0)),VLOOKUP($B:$B,'BS(과거)'!$A:$F,$2:$2,0),0)</f>
        <v>0</v>
      </c>
      <c r="I227" s="207">
        <f>IF(ISNUMBER(VLOOKUP($B:$B,'BS(과거)'!$A:$F,$2:$2,0)),VLOOKUP($B:$B,'BS(과거)'!$A:$F,$2:$2,0),0)</f>
        <v>0</v>
      </c>
      <c r="J227" s="207">
        <f>IF(ISNUMBER(VLOOKUP($B:$B,'BS(과거)'!$A:$F,$2:$2,0)),VLOOKUP($B:$B,'BS(과거)'!$A:$F,$2:$2,0),0)</f>
        <v>0</v>
      </c>
      <c r="K227" s="207">
        <f>IF(ISNUMBER(VLOOKUP($B:$B,'BS(과거)'!$A:$F,$2:$2,0)),VLOOKUP($B:$B,'BS(과거)'!$A:$F,$2:$2,0),0)</f>
        <v>0</v>
      </c>
      <c r="L227" s="207">
        <f>IF(ISNUMBER(VLOOKUP($B:$B,'BS(과거)'!$A:$F,$2:$2,0)),VLOOKUP($B:$B,'BS(과거)'!$A:$F,$2:$2,0),0)</f>
        <v>0</v>
      </c>
      <c r="N227" s="207">
        <f>IF(ISNUMBER(VLOOKUP($B:$B,'BS(분기)'!$A:$F,$2:$2,0)),VLOOKUP($B:$B,'BS(분기)'!$A:$F,$2:$2,0),0)</f>
        <v>0</v>
      </c>
      <c r="O227" s="207">
        <f>IF(ISNUMBER(VLOOKUP($B:$B,'BS(분기)'!$A:$F,$2:$2,0)),VLOOKUP($B:$B,'BS(분기)'!$A:$F,$2:$2,0),0)</f>
        <v>0</v>
      </c>
      <c r="P227" s="207">
        <f>IF(ISNUMBER(VLOOKUP($B:$B,'BS(분기)'!$A:$F,$2:$2,0)),VLOOKUP($B:$B,'BS(분기)'!$A:$F,$2:$2,0),0)</f>
        <v>0</v>
      </c>
      <c r="Q227" s="207">
        <f>IF(ISNUMBER(VLOOKUP($B:$B,'BS(분기)'!$A:$F,$2:$2,0)),VLOOKUP($B:$B,'BS(분기)'!$A:$F,$2:$2,0),0)</f>
        <v>0</v>
      </c>
      <c r="R227" s="207">
        <f>IF(ISNUMBER(VLOOKUP($B:$B,'BS(분기)'!$A:$F,$2:$2,0)),VLOOKUP($B:$B,'BS(분기)'!$A:$F,$2:$2,0),0)</f>
        <v>0</v>
      </c>
    </row>
    <row r="228" spans="1:18" s="192" customFormat="1" ht="12">
      <c r="A228" s="204">
        <v>112322</v>
      </c>
      <c r="B228" s="197" t="s">
        <v>938</v>
      </c>
      <c r="C228" s="217">
        <f>IF(ISNUMBER(VLOOKUP($B:$B,BS!$A:$D,$2:$2,0)),VLOOKUP($B:$B,BS!$A:$D,$2:$2,0),0)</f>
        <v>0</v>
      </c>
      <c r="D228" s="217">
        <f>IF(ISNUMBER(VLOOKUP($B:$B,BS!$A:$D,$2:$2,0)),VLOOKUP($B:$B,BS!$A:$D,$2:$2,0),0)</f>
        <v>0</v>
      </c>
      <c r="E228" s="217">
        <f>IF(ISNUMBER(VLOOKUP($B:$B,BS!$A:$D,$2:$2,0)),VLOOKUP($B:$B,BS!$A:$D,$2:$2,0),0)</f>
        <v>0</v>
      </c>
      <c r="F228" s="217">
        <f>IF(ISNUMBER(VLOOKUP($B:$B,BS!$A:$D,$2:$2,0)),VLOOKUP($B:$B,BS!$A:$D,$2:$2,0),0)</f>
        <v>0</v>
      </c>
      <c r="G228" s="217">
        <f>IF(ISNUMBER(VLOOKUP($B:$B,BS!$A:$D,$2:$2,0)),VLOOKUP($B:$B,BS!$A:$D,$2:$2,0),0)</f>
        <v>0</v>
      </c>
      <c r="H228" s="207">
        <f>IF(ISNUMBER(VLOOKUP($B:$B,'BS(과거)'!$A:$F,$2:$2,0)),VLOOKUP($B:$B,'BS(과거)'!$A:$F,$2:$2,0),0)</f>
        <v>0</v>
      </c>
      <c r="I228" s="207">
        <f>IF(ISNUMBER(VLOOKUP($B:$B,'BS(과거)'!$A:$F,$2:$2,0)),VLOOKUP($B:$B,'BS(과거)'!$A:$F,$2:$2,0),0)</f>
        <v>0</v>
      </c>
      <c r="J228" s="207">
        <f>IF(ISNUMBER(VLOOKUP($B:$B,'BS(과거)'!$A:$F,$2:$2,0)),VLOOKUP($B:$B,'BS(과거)'!$A:$F,$2:$2,0),0)</f>
        <v>0</v>
      </c>
      <c r="K228" s="207">
        <f>IF(ISNUMBER(VLOOKUP($B:$B,'BS(과거)'!$A:$F,$2:$2,0)),VLOOKUP($B:$B,'BS(과거)'!$A:$F,$2:$2,0),0)</f>
        <v>0</v>
      </c>
      <c r="L228" s="207">
        <f>IF(ISNUMBER(VLOOKUP($B:$B,'BS(과거)'!$A:$F,$2:$2,0)),VLOOKUP($B:$B,'BS(과거)'!$A:$F,$2:$2,0),0)</f>
        <v>0</v>
      </c>
      <c r="N228" s="207">
        <f>IF(ISNUMBER(VLOOKUP($B:$B,'BS(분기)'!$A:$F,$2:$2,0)),VLOOKUP($B:$B,'BS(분기)'!$A:$F,$2:$2,0),0)</f>
        <v>0</v>
      </c>
      <c r="O228" s="207">
        <f>IF(ISNUMBER(VLOOKUP($B:$B,'BS(분기)'!$A:$F,$2:$2,0)),VLOOKUP($B:$B,'BS(분기)'!$A:$F,$2:$2,0),0)</f>
        <v>0</v>
      </c>
      <c r="P228" s="207">
        <f>IF(ISNUMBER(VLOOKUP($B:$B,'BS(분기)'!$A:$F,$2:$2,0)),VLOOKUP($B:$B,'BS(분기)'!$A:$F,$2:$2,0),0)</f>
        <v>0</v>
      </c>
      <c r="Q228" s="207">
        <f>IF(ISNUMBER(VLOOKUP($B:$B,'BS(분기)'!$A:$F,$2:$2,0)),VLOOKUP($B:$B,'BS(분기)'!$A:$F,$2:$2,0),0)</f>
        <v>0</v>
      </c>
      <c r="R228" s="207">
        <f>IF(ISNUMBER(VLOOKUP($B:$B,'BS(분기)'!$A:$F,$2:$2,0)),VLOOKUP($B:$B,'BS(분기)'!$A:$F,$2:$2,0),0)</f>
        <v>0</v>
      </c>
    </row>
    <row r="229" spans="1:18" s="192" customFormat="1" ht="12">
      <c r="A229" s="204">
        <v>112323</v>
      </c>
      <c r="B229" s="197" t="s">
        <v>939</v>
      </c>
      <c r="C229" s="217">
        <f>IF(ISNUMBER(VLOOKUP($B:$B,BS!$A:$D,$2:$2,0)),VLOOKUP($B:$B,BS!$A:$D,$2:$2,0),0)</f>
        <v>0</v>
      </c>
      <c r="D229" s="217">
        <f>IF(ISNUMBER(VLOOKUP($B:$B,BS!$A:$D,$2:$2,0)),VLOOKUP($B:$B,BS!$A:$D,$2:$2,0),0)</f>
        <v>0</v>
      </c>
      <c r="E229" s="217">
        <f>IF(ISNUMBER(VLOOKUP($B:$B,BS!$A:$D,$2:$2,0)),VLOOKUP($B:$B,BS!$A:$D,$2:$2,0),0)</f>
        <v>0</v>
      </c>
      <c r="F229" s="217">
        <f>IF(ISNUMBER(VLOOKUP($B:$B,BS!$A:$D,$2:$2,0)),VLOOKUP($B:$B,BS!$A:$D,$2:$2,0),0)</f>
        <v>0</v>
      </c>
      <c r="G229" s="217">
        <f>IF(ISNUMBER(VLOOKUP($B:$B,BS!$A:$D,$2:$2,0)),VLOOKUP($B:$B,BS!$A:$D,$2:$2,0),0)</f>
        <v>0</v>
      </c>
      <c r="H229" s="207">
        <f>IF(ISNUMBER(VLOOKUP($B:$B,'BS(과거)'!$A:$F,$2:$2,0)),VLOOKUP($B:$B,'BS(과거)'!$A:$F,$2:$2,0),0)</f>
        <v>0</v>
      </c>
      <c r="I229" s="207">
        <f>IF(ISNUMBER(VLOOKUP($B:$B,'BS(과거)'!$A:$F,$2:$2,0)),VLOOKUP($B:$B,'BS(과거)'!$A:$F,$2:$2,0),0)</f>
        <v>0</v>
      </c>
      <c r="J229" s="207">
        <f>IF(ISNUMBER(VLOOKUP($B:$B,'BS(과거)'!$A:$F,$2:$2,0)),VLOOKUP($B:$B,'BS(과거)'!$A:$F,$2:$2,0),0)</f>
        <v>0</v>
      </c>
      <c r="K229" s="207">
        <f>IF(ISNUMBER(VLOOKUP($B:$B,'BS(과거)'!$A:$F,$2:$2,0)),VLOOKUP($B:$B,'BS(과거)'!$A:$F,$2:$2,0),0)</f>
        <v>0</v>
      </c>
      <c r="L229" s="207">
        <f>IF(ISNUMBER(VLOOKUP($B:$B,'BS(과거)'!$A:$F,$2:$2,0)),VLOOKUP($B:$B,'BS(과거)'!$A:$F,$2:$2,0),0)</f>
        <v>0</v>
      </c>
      <c r="N229" s="207">
        <f>IF(ISNUMBER(VLOOKUP($B:$B,'BS(분기)'!$A:$F,$2:$2,0)),VLOOKUP($B:$B,'BS(분기)'!$A:$F,$2:$2,0),0)</f>
        <v>0</v>
      </c>
      <c r="O229" s="207">
        <f>IF(ISNUMBER(VLOOKUP($B:$B,'BS(분기)'!$A:$F,$2:$2,0)),VLOOKUP($B:$B,'BS(분기)'!$A:$F,$2:$2,0),0)</f>
        <v>0</v>
      </c>
      <c r="P229" s="207">
        <f>IF(ISNUMBER(VLOOKUP($B:$B,'BS(분기)'!$A:$F,$2:$2,0)),VLOOKUP($B:$B,'BS(분기)'!$A:$F,$2:$2,0),0)</f>
        <v>0</v>
      </c>
      <c r="Q229" s="207">
        <f>IF(ISNUMBER(VLOOKUP($B:$B,'BS(분기)'!$A:$F,$2:$2,0)),VLOOKUP($B:$B,'BS(분기)'!$A:$F,$2:$2,0),0)</f>
        <v>0</v>
      </c>
      <c r="R229" s="207">
        <f>IF(ISNUMBER(VLOOKUP($B:$B,'BS(분기)'!$A:$F,$2:$2,0)),VLOOKUP($B:$B,'BS(분기)'!$A:$F,$2:$2,0),0)</f>
        <v>0</v>
      </c>
    </row>
    <row r="230" spans="1:18" s="192" customFormat="1" ht="12">
      <c r="A230" s="204">
        <v>112324</v>
      </c>
      <c r="B230" s="197" t="s">
        <v>940</v>
      </c>
      <c r="C230" s="217">
        <f>IF(ISNUMBER(VLOOKUP($B:$B,BS!$A:$D,$2:$2,0)),VLOOKUP($B:$B,BS!$A:$D,$2:$2,0),0)</f>
        <v>0</v>
      </c>
      <c r="D230" s="217">
        <f>IF(ISNUMBER(VLOOKUP($B:$B,BS!$A:$D,$2:$2,0)),VLOOKUP($B:$B,BS!$A:$D,$2:$2,0),0)</f>
        <v>0</v>
      </c>
      <c r="E230" s="217">
        <f>IF(ISNUMBER(VLOOKUP($B:$B,BS!$A:$D,$2:$2,0)),VLOOKUP($B:$B,BS!$A:$D,$2:$2,0),0)</f>
        <v>0</v>
      </c>
      <c r="F230" s="217">
        <f>IF(ISNUMBER(VLOOKUP($B:$B,BS!$A:$D,$2:$2,0)),VLOOKUP($B:$B,BS!$A:$D,$2:$2,0),0)</f>
        <v>0</v>
      </c>
      <c r="G230" s="217">
        <f>IF(ISNUMBER(VLOOKUP($B:$B,BS!$A:$D,$2:$2,0)),VLOOKUP($B:$B,BS!$A:$D,$2:$2,0),0)</f>
        <v>0</v>
      </c>
      <c r="H230" s="207">
        <f>IF(ISNUMBER(VLOOKUP($B:$B,'BS(과거)'!$A:$F,$2:$2,0)),VLOOKUP($B:$B,'BS(과거)'!$A:$F,$2:$2,0),0)</f>
        <v>0</v>
      </c>
      <c r="I230" s="207">
        <f>IF(ISNUMBER(VLOOKUP($B:$B,'BS(과거)'!$A:$F,$2:$2,0)),VLOOKUP($B:$B,'BS(과거)'!$A:$F,$2:$2,0),0)</f>
        <v>0</v>
      </c>
      <c r="J230" s="207">
        <f>IF(ISNUMBER(VLOOKUP($B:$B,'BS(과거)'!$A:$F,$2:$2,0)),VLOOKUP($B:$B,'BS(과거)'!$A:$F,$2:$2,0),0)</f>
        <v>0</v>
      </c>
      <c r="K230" s="207">
        <f>IF(ISNUMBER(VLOOKUP($B:$B,'BS(과거)'!$A:$F,$2:$2,0)),VLOOKUP($B:$B,'BS(과거)'!$A:$F,$2:$2,0),0)</f>
        <v>0</v>
      </c>
      <c r="L230" s="207">
        <f>IF(ISNUMBER(VLOOKUP($B:$B,'BS(과거)'!$A:$F,$2:$2,0)),VLOOKUP($B:$B,'BS(과거)'!$A:$F,$2:$2,0),0)</f>
        <v>0</v>
      </c>
      <c r="N230" s="207">
        <f>IF(ISNUMBER(VLOOKUP($B:$B,'BS(분기)'!$A:$F,$2:$2,0)),VLOOKUP($B:$B,'BS(분기)'!$A:$F,$2:$2,0),0)</f>
        <v>0</v>
      </c>
      <c r="O230" s="207">
        <f>IF(ISNUMBER(VLOOKUP($B:$B,'BS(분기)'!$A:$F,$2:$2,0)),VLOOKUP($B:$B,'BS(분기)'!$A:$F,$2:$2,0),0)</f>
        <v>0</v>
      </c>
      <c r="P230" s="207">
        <f>IF(ISNUMBER(VLOOKUP($B:$B,'BS(분기)'!$A:$F,$2:$2,0)),VLOOKUP($B:$B,'BS(분기)'!$A:$F,$2:$2,0),0)</f>
        <v>0</v>
      </c>
      <c r="Q230" s="207">
        <f>IF(ISNUMBER(VLOOKUP($B:$B,'BS(분기)'!$A:$F,$2:$2,0)),VLOOKUP($B:$B,'BS(분기)'!$A:$F,$2:$2,0),0)</f>
        <v>0</v>
      </c>
      <c r="R230" s="207">
        <f>IF(ISNUMBER(VLOOKUP($B:$B,'BS(분기)'!$A:$F,$2:$2,0)),VLOOKUP($B:$B,'BS(분기)'!$A:$F,$2:$2,0),0)</f>
        <v>0</v>
      </c>
    </row>
    <row r="231" spans="1:18" s="192" customFormat="1" ht="12">
      <c r="A231" s="204">
        <v>112329</v>
      </c>
      <c r="B231" s="197" t="s">
        <v>941</v>
      </c>
      <c r="C231" s="217">
        <f>IF(ISNUMBER(VLOOKUP($B:$B,BS!$A:$D,$2:$2,0)),VLOOKUP($B:$B,BS!$A:$D,$2:$2,0),0)</f>
        <v>0</v>
      </c>
      <c r="D231" s="217">
        <f>IF(ISNUMBER(VLOOKUP($B:$B,BS!$A:$D,$2:$2,0)),VLOOKUP($B:$B,BS!$A:$D,$2:$2,0),0)</f>
        <v>0</v>
      </c>
      <c r="E231" s="217">
        <f>IF(ISNUMBER(VLOOKUP($B:$B,BS!$A:$D,$2:$2,0)),VLOOKUP($B:$B,BS!$A:$D,$2:$2,0),0)</f>
        <v>0</v>
      </c>
      <c r="F231" s="217">
        <f>IF(ISNUMBER(VLOOKUP($B:$B,BS!$A:$D,$2:$2,0)),VLOOKUP($B:$B,BS!$A:$D,$2:$2,0),0)</f>
        <v>0</v>
      </c>
      <c r="G231" s="217">
        <f>IF(ISNUMBER(VLOOKUP($B:$B,BS!$A:$D,$2:$2,0)),VLOOKUP($B:$B,BS!$A:$D,$2:$2,0),0)</f>
        <v>0</v>
      </c>
      <c r="H231" s="207">
        <f>IF(ISNUMBER(VLOOKUP($B:$B,'BS(과거)'!$A:$F,$2:$2,0)),VLOOKUP($B:$B,'BS(과거)'!$A:$F,$2:$2,0),0)</f>
        <v>0</v>
      </c>
      <c r="I231" s="207">
        <f>IF(ISNUMBER(VLOOKUP($B:$B,'BS(과거)'!$A:$F,$2:$2,0)),VLOOKUP($B:$B,'BS(과거)'!$A:$F,$2:$2,0),0)</f>
        <v>0</v>
      </c>
      <c r="J231" s="207">
        <f>IF(ISNUMBER(VLOOKUP($B:$B,'BS(과거)'!$A:$F,$2:$2,0)),VLOOKUP($B:$B,'BS(과거)'!$A:$F,$2:$2,0),0)</f>
        <v>0</v>
      </c>
      <c r="K231" s="207">
        <f>IF(ISNUMBER(VLOOKUP($B:$B,'BS(과거)'!$A:$F,$2:$2,0)),VLOOKUP($B:$B,'BS(과거)'!$A:$F,$2:$2,0),0)</f>
        <v>0</v>
      </c>
      <c r="L231" s="207">
        <f>IF(ISNUMBER(VLOOKUP($B:$B,'BS(과거)'!$A:$F,$2:$2,0)),VLOOKUP($B:$B,'BS(과거)'!$A:$F,$2:$2,0),0)</f>
        <v>0</v>
      </c>
      <c r="N231" s="207">
        <f>IF(ISNUMBER(VLOOKUP($B:$B,'BS(분기)'!$A:$F,$2:$2,0)),VLOOKUP($B:$B,'BS(분기)'!$A:$F,$2:$2,0),0)</f>
        <v>0</v>
      </c>
      <c r="O231" s="207">
        <f>IF(ISNUMBER(VLOOKUP($B:$B,'BS(분기)'!$A:$F,$2:$2,0)),VLOOKUP($B:$B,'BS(분기)'!$A:$F,$2:$2,0),0)</f>
        <v>0</v>
      </c>
      <c r="P231" s="207">
        <f>IF(ISNUMBER(VLOOKUP($B:$B,'BS(분기)'!$A:$F,$2:$2,0)),VLOOKUP($B:$B,'BS(분기)'!$A:$F,$2:$2,0),0)</f>
        <v>0</v>
      </c>
      <c r="Q231" s="207">
        <f>IF(ISNUMBER(VLOOKUP($B:$B,'BS(분기)'!$A:$F,$2:$2,0)),VLOOKUP($B:$B,'BS(분기)'!$A:$F,$2:$2,0),0)</f>
        <v>0</v>
      </c>
      <c r="R231" s="207">
        <f>IF(ISNUMBER(VLOOKUP($B:$B,'BS(분기)'!$A:$F,$2:$2,0)),VLOOKUP($B:$B,'BS(분기)'!$A:$F,$2:$2,0),0)</f>
        <v>0</v>
      </c>
    </row>
    <row r="232" spans="1:18" s="192" customFormat="1" ht="12">
      <c r="A232" s="203">
        <v>112330</v>
      </c>
      <c r="B232" s="196" t="s">
        <v>942</v>
      </c>
      <c r="C232" s="217">
        <f>IF(ISNUMBER(VLOOKUP($B:$B,BS!$A:$D,$2:$2,0)),VLOOKUP($B:$B,BS!$A:$D,$2:$2,0),0)</f>
        <v>0</v>
      </c>
      <c r="D232" s="217">
        <f>IF(ISNUMBER(VLOOKUP($B:$B,BS!$A:$D,$2:$2,0)),VLOOKUP($B:$B,BS!$A:$D,$2:$2,0),0)</f>
        <v>0</v>
      </c>
      <c r="E232" s="217">
        <f>IF(ISNUMBER(VLOOKUP($B:$B,BS!$A:$D,$2:$2,0)),VLOOKUP($B:$B,BS!$A:$D,$2:$2,0),0)</f>
        <v>0</v>
      </c>
      <c r="F232" s="217">
        <f>IF(ISNUMBER(VLOOKUP($B:$B,BS!$A:$D,$2:$2,0)),VLOOKUP($B:$B,BS!$A:$D,$2:$2,0),0)</f>
        <v>0</v>
      </c>
      <c r="G232" s="217">
        <f>IF(ISNUMBER(VLOOKUP($B:$B,BS!$A:$D,$2:$2,0)),VLOOKUP($B:$B,BS!$A:$D,$2:$2,0),0)</f>
        <v>0</v>
      </c>
      <c r="H232" s="207">
        <f>IF(ISNUMBER(VLOOKUP($B:$B,'BS(과거)'!$A:$F,$2:$2,0)),VLOOKUP($B:$B,'BS(과거)'!$A:$F,$2:$2,0),0)</f>
        <v>0</v>
      </c>
      <c r="I232" s="207">
        <f>IF(ISNUMBER(VLOOKUP($B:$B,'BS(과거)'!$A:$F,$2:$2,0)),VLOOKUP($B:$B,'BS(과거)'!$A:$F,$2:$2,0),0)</f>
        <v>0</v>
      </c>
      <c r="J232" s="207">
        <f>IF(ISNUMBER(VLOOKUP($B:$B,'BS(과거)'!$A:$F,$2:$2,0)),VLOOKUP($B:$B,'BS(과거)'!$A:$F,$2:$2,0),0)</f>
        <v>0</v>
      </c>
      <c r="K232" s="207">
        <f>IF(ISNUMBER(VLOOKUP($B:$B,'BS(과거)'!$A:$F,$2:$2,0)),VLOOKUP($B:$B,'BS(과거)'!$A:$F,$2:$2,0),0)</f>
        <v>0</v>
      </c>
      <c r="L232" s="207">
        <f>IF(ISNUMBER(VLOOKUP($B:$B,'BS(과거)'!$A:$F,$2:$2,0)),VLOOKUP($B:$B,'BS(과거)'!$A:$F,$2:$2,0),0)</f>
        <v>0</v>
      </c>
      <c r="N232" s="207">
        <f>IF(ISNUMBER(VLOOKUP($B:$B,'BS(분기)'!$A:$F,$2:$2,0)),VLOOKUP($B:$B,'BS(분기)'!$A:$F,$2:$2,0),0)</f>
        <v>0</v>
      </c>
      <c r="O232" s="207">
        <f>IF(ISNUMBER(VLOOKUP($B:$B,'BS(분기)'!$A:$F,$2:$2,0)),VLOOKUP($B:$B,'BS(분기)'!$A:$F,$2:$2,0),0)</f>
        <v>0</v>
      </c>
      <c r="P232" s="207">
        <f>IF(ISNUMBER(VLOOKUP($B:$B,'BS(분기)'!$A:$F,$2:$2,0)),VLOOKUP($B:$B,'BS(분기)'!$A:$F,$2:$2,0),0)</f>
        <v>0</v>
      </c>
      <c r="Q232" s="207">
        <f>IF(ISNUMBER(VLOOKUP($B:$B,'BS(분기)'!$A:$F,$2:$2,0)),VLOOKUP($B:$B,'BS(분기)'!$A:$F,$2:$2,0),0)</f>
        <v>0</v>
      </c>
      <c r="R232" s="207">
        <f>IF(ISNUMBER(VLOOKUP($B:$B,'BS(분기)'!$A:$F,$2:$2,0)),VLOOKUP($B:$B,'BS(분기)'!$A:$F,$2:$2,0),0)</f>
        <v>0</v>
      </c>
    </row>
    <row r="233" spans="1:18" s="192" customFormat="1" ht="12">
      <c r="A233" s="204">
        <v>112331</v>
      </c>
      <c r="B233" s="197" t="s">
        <v>943</v>
      </c>
      <c r="C233" s="217">
        <f>IF(ISNUMBER(VLOOKUP($B:$B,BS!$A:$D,$2:$2,0)),VLOOKUP($B:$B,BS!$A:$D,$2:$2,0),0)</f>
        <v>0</v>
      </c>
      <c r="D233" s="217">
        <f>IF(ISNUMBER(VLOOKUP($B:$B,BS!$A:$D,$2:$2,0)),VLOOKUP($B:$B,BS!$A:$D,$2:$2,0),0)</f>
        <v>0</v>
      </c>
      <c r="E233" s="217">
        <f>IF(ISNUMBER(VLOOKUP($B:$B,BS!$A:$D,$2:$2,0)),VLOOKUP($B:$B,BS!$A:$D,$2:$2,0),0)</f>
        <v>0</v>
      </c>
      <c r="F233" s="217">
        <f>IF(ISNUMBER(VLOOKUP($B:$B,BS!$A:$D,$2:$2,0)),VLOOKUP($B:$B,BS!$A:$D,$2:$2,0),0)</f>
        <v>0</v>
      </c>
      <c r="G233" s="217">
        <f>IF(ISNUMBER(VLOOKUP($B:$B,BS!$A:$D,$2:$2,0)),VLOOKUP($B:$B,BS!$A:$D,$2:$2,0),0)</f>
        <v>0</v>
      </c>
      <c r="H233" s="207">
        <f>IF(ISNUMBER(VLOOKUP($B:$B,'BS(과거)'!$A:$F,$2:$2,0)),VLOOKUP($B:$B,'BS(과거)'!$A:$F,$2:$2,0),0)</f>
        <v>0</v>
      </c>
      <c r="I233" s="207">
        <f>IF(ISNUMBER(VLOOKUP($B:$B,'BS(과거)'!$A:$F,$2:$2,0)),VLOOKUP($B:$B,'BS(과거)'!$A:$F,$2:$2,0),0)</f>
        <v>0</v>
      </c>
      <c r="J233" s="207">
        <f>IF(ISNUMBER(VLOOKUP($B:$B,'BS(과거)'!$A:$F,$2:$2,0)),VLOOKUP($B:$B,'BS(과거)'!$A:$F,$2:$2,0),0)</f>
        <v>0</v>
      </c>
      <c r="K233" s="207">
        <f>IF(ISNUMBER(VLOOKUP($B:$B,'BS(과거)'!$A:$F,$2:$2,0)),VLOOKUP($B:$B,'BS(과거)'!$A:$F,$2:$2,0),0)</f>
        <v>0</v>
      </c>
      <c r="L233" s="207">
        <f>IF(ISNUMBER(VLOOKUP($B:$B,'BS(과거)'!$A:$F,$2:$2,0)),VLOOKUP($B:$B,'BS(과거)'!$A:$F,$2:$2,0),0)</f>
        <v>0</v>
      </c>
      <c r="N233" s="207">
        <f>IF(ISNUMBER(VLOOKUP($B:$B,'BS(분기)'!$A:$F,$2:$2,0)),VLOOKUP($B:$B,'BS(분기)'!$A:$F,$2:$2,0),0)</f>
        <v>0</v>
      </c>
      <c r="O233" s="207">
        <f>IF(ISNUMBER(VLOOKUP($B:$B,'BS(분기)'!$A:$F,$2:$2,0)),VLOOKUP($B:$B,'BS(분기)'!$A:$F,$2:$2,0),0)</f>
        <v>0</v>
      </c>
      <c r="P233" s="207">
        <f>IF(ISNUMBER(VLOOKUP($B:$B,'BS(분기)'!$A:$F,$2:$2,0)),VLOOKUP($B:$B,'BS(분기)'!$A:$F,$2:$2,0),0)</f>
        <v>0</v>
      </c>
      <c r="Q233" s="207">
        <f>IF(ISNUMBER(VLOOKUP($B:$B,'BS(분기)'!$A:$F,$2:$2,0)),VLOOKUP($B:$B,'BS(분기)'!$A:$F,$2:$2,0),0)</f>
        <v>0</v>
      </c>
      <c r="R233" s="207">
        <f>IF(ISNUMBER(VLOOKUP($B:$B,'BS(분기)'!$A:$F,$2:$2,0)),VLOOKUP($B:$B,'BS(분기)'!$A:$F,$2:$2,0),0)</f>
        <v>0</v>
      </c>
    </row>
    <row r="234" spans="1:18" s="192" customFormat="1" ht="12">
      <c r="A234" s="204">
        <v>112332</v>
      </c>
      <c r="B234" s="197" t="s">
        <v>944</v>
      </c>
      <c r="C234" s="217">
        <f>IF(ISNUMBER(VLOOKUP($B:$B,BS!$A:$D,$2:$2,0)),VLOOKUP($B:$B,BS!$A:$D,$2:$2,0),0)</f>
        <v>0</v>
      </c>
      <c r="D234" s="217">
        <f>IF(ISNUMBER(VLOOKUP($B:$B,BS!$A:$D,$2:$2,0)),VLOOKUP($B:$B,BS!$A:$D,$2:$2,0),0)</f>
        <v>0</v>
      </c>
      <c r="E234" s="217">
        <f>IF(ISNUMBER(VLOOKUP($B:$B,BS!$A:$D,$2:$2,0)),VLOOKUP($B:$B,BS!$A:$D,$2:$2,0),0)</f>
        <v>0</v>
      </c>
      <c r="F234" s="217">
        <f>IF(ISNUMBER(VLOOKUP($B:$B,BS!$A:$D,$2:$2,0)),VLOOKUP($B:$B,BS!$A:$D,$2:$2,0),0)</f>
        <v>0</v>
      </c>
      <c r="G234" s="217">
        <f>IF(ISNUMBER(VLOOKUP($B:$B,BS!$A:$D,$2:$2,0)),VLOOKUP($B:$B,BS!$A:$D,$2:$2,0),0)</f>
        <v>0</v>
      </c>
      <c r="H234" s="207">
        <f>IF(ISNUMBER(VLOOKUP($B:$B,'BS(과거)'!$A:$F,$2:$2,0)),VLOOKUP($B:$B,'BS(과거)'!$A:$F,$2:$2,0),0)</f>
        <v>0</v>
      </c>
      <c r="I234" s="207">
        <f>IF(ISNUMBER(VLOOKUP($B:$B,'BS(과거)'!$A:$F,$2:$2,0)),VLOOKUP($B:$B,'BS(과거)'!$A:$F,$2:$2,0),0)</f>
        <v>0</v>
      </c>
      <c r="J234" s="207">
        <f>IF(ISNUMBER(VLOOKUP($B:$B,'BS(과거)'!$A:$F,$2:$2,0)),VLOOKUP($B:$B,'BS(과거)'!$A:$F,$2:$2,0),0)</f>
        <v>0</v>
      </c>
      <c r="K234" s="207">
        <f>IF(ISNUMBER(VLOOKUP($B:$B,'BS(과거)'!$A:$F,$2:$2,0)),VLOOKUP($B:$B,'BS(과거)'!$A:$F,$2:$2,0),0)</f>
        <v>0</v>
      </c>
      <c r="L234" s="207">
        <f>IF(ISNUMBER(VLOOKUP($B:$B,'BS(과거)'!$A:$F,$2:$2,0)),VLOOKUP($B:$B,'BS(과거)'!$A:$F,$2:$2,0),0)</f>
        <v>0</v>
      </c>
      <c r="N234" s="207">
        <f>IF(ISNUMBER(VLOOKUP($B:$B,'BS(분기)'!$A:$F,$2:$2,0)),VLOOKUP($B:$B,'BS(분기)'!$A:$F,$2:$2,0),0)</f>
        <v>0</v>
      </c>
      <c r="O234" s="207">
        <f>IF(ISNUMBER(VLOOKUP($B:$B,'BS(분기)'!$A:$F,$2:$2,0)),VLOOKUP($B:$B,'BS(분기)'!$A:$F,$2:$2,0),0)</f>
        <v>0</v>
      </c>
      <c r="P234" s="207">
        <f>IF(ISNUMBER(VLOOKUP($B:$B,'BS(분기)'!$A:$F,$2:$2,0)),VLOOKUP($B:$B,'BS(분기)'!$A:$F,$2:$2,0),0)</f>
        <v>0</v>
      </c>
      <c r="Q234" s="207">
        <f>IF(ISNUMBER(VLOOKUP($B:$B,'BS(분기)'!$A:$F,$2:$2,0)),VLOOKUP($B:$B,'BS(분기)'!$A:$F,$2:$2,0),0)</f>
        <v>0</v>
      </c>
      <c r="R234" s="207">
        <f>IF(ISNUMBER(VLOOKUP($B:$B,'BS(분기)'!$A:$F,$2:$2,0)),VLOOKUP($B:$B,'BS(분기)'!$A:$F,$2:$2,0),0)</f>
        <v>0</v>
      </c>
    </row>
    <row r="235" spans="1:18" s="192" customFormat="1" ht="12">
      <c r="A235" s="204">
        <v>112333</v>
      </c>
      <c r="B235" s="197" t="s">
        <v>945</v>
      </c>
      <c r="C235" s="217">
        <f>IF(ISNUMBER(VLOOKUP($B:$B,BS!$A:$D,$2:$2,0)),VLOOKUP($B:$B,BS!$A:$D,$2:$2,0),0)</f>
        <v>0</v>
      </c>
      <c r="D235" s="217">
        <f>IF(ISNUMBER(VLOOKUP($B:$B,BS!$A:$D,$2:$2,0)),VLOOKUP($B:$B,BS!$A:$D,$2:$2,0),0)</f>
        <v>0</v>
      </c>
      <c r="E235" s="217">
        <f>IF(ISNUMBER(VLOOKUP($B:$B,BS!$A:$D,$2:$2,0)),VLOOKUP($B:$B,BS!$A:$D,$2:$2,0),0)</f>
        <v>0</v>
      </c>
      <c r="F235" s="217">
        <f>IF(ISNUMBER(VLOOKUP($B:$B,BS!$A:$D,$2:$2,0)),VLOOKUP($B:$B,BS!$A:$D,$2:$2,0),0)</f>
        <v>0</v>
      </c>
      <c r="G235" s="217">
        <f>IF(ISNUMBER(VLOOKUP($B:$B,BS!$A:$D,$2:$2,0)),VLOOKUP($B:$B,BS!$A:$D,$2:$2,0),0)</f>
        <v>0</v>
      </c>
      <c r="H235" s="207">
        <f>IF(ISNUMBER(VLOOKUP($B:$B,'BS(과거)'!$A:$F,$2:$2,0)),VLOOKUP($B:$B,'BS(과거)'!$A:$F,$2:$2,0),0)</f>
        <v>0</v>
      </c>
      <c r="I235" s="207">
        <f>IF(ISNUMBER(VLOOKUP($B:$B,'BS(과거)'!$A:$F,$2:$2,0)),VLOOKUP($B:$B,'BS(과거)'!$A:$F,$2:$2,0),0)</f>
        <v>0</v>
      </c>
      <c r="J235" s="207">
        <f>IF(ISNUMBER(VLOOKUP($B:$B,'BS(과거)'!$A:$F,$2:$2,0)),VLOOKUP($B:$B,'BS(과거)'!$A:$F,$2:$2,0),0)</f>
        <v>0</v>
      </c>
      <c r="K235" s="207">
        <f>IF(ISNUMBER(VLOOKUP($B:$B,'BS(과거)'!$A:$F,$2:$2,0)),VLOOKUP($B:$B,'BS(과거)'!$A:$F,$2:$2,0),0)</f>
        <v>0</v>
      </c>
      <c r="L235" s="207">
        <f>IF(ISNUMBER(VLOOKUP($B:$B,'BS(과거)'!$A:$F,$2:$2,0)),VLOOKUP($B:$B,'BS(과거)'!$A:$F,$2:$2,0),0)</f>
        <v>0</v>
      </c>
      <c r="N235" s="207">
        <f>IF(ISNUMBER(VLOOKUP($B:$B,'BS(분기)'!$A:$F,$2:$2,0)),VLOOKUP($B:$B,'BS(분기)'!$A:$F,$2:$2,0),0)</f>
        <v>0</v>
      </c>
      <c r="O235" s="207">
        <f>IF(ISNUMBER(VLOOKUP($B:$B,'BS(분기)'!$A:$F,$2:$2,0)),VLOOKUP($B:$B,'BS(분기)'!$A:$F,$2:$2,0),0)</f>
        <v>0</v>
      </c>
      <c r="P235" s="207">
        <f>IF(ISNUMBER(VLOOKUP($B:$B,'BS(분기)'!$A:$F,$2:$2,0)),VLOOKUP($B:$B,'BS(분기)'!$A:$F,$2:$2,0),0)</f>
        <v>0</v>
      </c>
      <c r="Q235" s="207">
        <f>IF(ISNUMBER(VLOOKUP($B:$B,'BS(분기)'!$A:$F,$2:$2,0)),VLOOKUP($B:$B,'BS(분기)'!$A:$F,$2:$2,0),0)</f>
        <v>0</v>
      </c>
      <c r="R235" s="207">
        <f>IF(ISNUMBER(VLOOKUP($B:$B,'BS(분기)'!$A:$F,$2:$2,0)),VLOOKUP($B:$B,'BS(분기)'!$A:$F,$2:$2,0),0)</f>
        <v>0</v>
      </c>
    </row>
    <row r="236" spans="1:18" s="192" customFormat="1" ht="12">
      <c r="A236" s="204">
        <v>112334</v>
      </c>
      <c r="B236" s="197" t="s">
        <v>946</v>
      </c>
      <c r="C236" s="217">
        <f>IF(ISNUMBER(VLOOKUP($B:$B,BS!$A:$D,$2:$2,0)),VLOOKUP($B:$B,BS!$A:$D,$2:$2,0),0)</f>
        <v>0</v>
      </c>
      <c r="D236" s="217">
        <f>IF(ISNUMBER(VLOOKUP($B:$B,BS!$A:$D,$2:$2,0)),VLOOKUP($B:$B,BS!$A:$D,$2:$2,0),0)</f>
        <v>0</v>
      </c>
      <c r="E236" s="217">
        <f>IF(ISNUMBER(VLOOKUP($B:$B,BS!$A:$D,$2:$2,0)),VLOOKUP($B:$B,BS!$A:$D,$2:$2,0),0)</f>
        <v>0</v>
      </c>
      <c r="F236" s="217">
        <f>IF(ISNUMBER(VLOOKUP($B:$B,BS!$A:$D,$2:$2,0)),VLOOKUP($B:$B,BS!$A:$D,$2:$2,0),0)</f>
        <v>0</v>
      </c>
      <c r="G236" s="217">
        <f>IF(ISNUMBER(VLOOKUP($B:$B,BS!$A:$D,$2:$2,0)),VLOOKUP($B:$B,BS!$A:$D,$2:$2,0),0)</f>
        <v>0</v>
      </c>
      <c r="H236" s="207">
        <f>IF(ISNUMBER(VLOOKUP($B:$B,'BS(과거)'!$A:$F,$2:$2,0)),VLOOKUP($B:$B,'BS(과거)'!$A:$F,$2:$2,0),0)</f>
        <v>0</v>
      </c>
      <c r="I236" s="207">
        <f>IF(ISNUMBER(VLOOKUP($B:$B,'BS(과거)'!$A:$F,$2:$2,0)),VLOOKUP($B:$B,'BS(과거)'!$A:$F,$2:$2,0),0)</f>
        <v>0</v>
      </c>
      <c r="J236" s="207">
        <f>IF(ISNUMBER(VLOOKUP($B:$B,'BS(과거)'!$A:$F,$2:$2,0)),VLOOKUP($B:$B,'BS(과거)'!$A:$F,$2:$2,0),0)</f>
        <v>0</v>
      </c>
      <c r="K236" s="207">
        <f>IF(ISNUMBER(VLOOKUP($B:$B,'BS(과거)'!$A:$F,$2:$2,0)),VLOOKUP($B:$B,'BS(과거)'!$A:$F,$2:$2,0),0)</f>
        <v>0</v>
      </c>
      <c r="L236" s="207">
        <f>IF(ISNUMBER(VLOOKUP($B:$B,'BS(과거)'!$A:$F,$2:$2,0)),VLOOKUP($B:$B,'BS(과거)'!$A:$F,$2:$2,0),0)</f>
        <v>0</v>
      </c>
      <c r="N236" s="207">
        <f>IF(ISNUMBER(VLOOKUP($B:$B,'BS(분기)'!$A:$F,$2:$2,0)),VLOOKUP($B:$B,'BS(분기)'!$A:$F,$2:$2,0),0)</f>
        <v>0</v>
      </c>
      <c r="O236" s="207">
        <f>IF(ISNUMBER(VLOOKUP($B:$B,'BS(분기)'!$A:$F,$2:$2,0)),VLOOKUP($B:$B,'BS(분기)'!$A:$F,$2:$2,0),0)</f>
        <v>0</v>
      </c>
      <c r="P236" s="207">
        <f>IF(ISNUMBER(VLOOKUP($B:$B,'BS(분기)'!$A:$F,$2:$2,0)),VLOOKUP($B:$B,'BS(분기)'!$A:$F,$2:$2,0),0)</f>
        <v>0</v>
      </c>
      <c r="Q236" s="207">
        <f>IF(ISNUMBER(VLOOKUP($B:$B,'BS(분기)'!$A:$F,$2:$2,0)),VLOOKUP($B:$B,'BS(분기)'!$A:$F,$2:$2,0),0)</f>
        <v>0</v>
      </c>
      <c r="R236" s="207">
        <f>IF(ISNUMBER(VLOOKUP($B:$B,'BS(분기)'!$A:$F,$2:$2,0)),VLOOKUP($B:$B,'BS(분기)'!$A:$F,$2:$2,0),0)</f>
        <v>0</v>
      </c>
    </row>
    <row r="237" spans="1:18" s="192" customFormat="1" ht="12">
      <c r="A237" s="204">
        <v>112335</v>
      </c>
      <c r="B237" s="197" t="s">
        <v>947</v>
      </c>
      <c r="C237" s="217">
        <f>IF(ISNUMBER(VLOOKUP($B:$B,BS!$A:$D,$2:$2,0)),VLOOKUP($B:$B,BS!$A:$D,$2:$2,0),0)</f>
        <v>0</v>
      </c>
      <c r="D237" s="217">
        <f>IF(ISNUMBER(VLOOKUP($B:$B,BS!$A:$D,$2:$2,0)),VLOOKUP($B:$B,BS!$A:$D,$2:$2,0),0)</f>
        <v>0</v>
      </c>
      <c r="E237" s="217">
        <f>IF(ISNUMBER(VLOOKUP($B:$B,BS!$A:$D,$2:$2,0)),VLOOKUP($B:$B,BS!$A:$D,$2:$2,0),0)</f>
        <v>0</v>
      </c>
      <c r="F237" s="217">
        <f>IF(ISNUMBER(VLOOKUP($B:$B,BS!$A:$D,$2:$2,0)),VLOOKUP($B:$B,BS!$A:$D,$2:$2,0),0)</f>
        <v>0</v>
      </c>
      <c r="G237" s="217">
        <f>IF(ISNUMBER(VLOOKUP($B:$B,BS!$A:$D,$2:$2,0)),VLOOKUP($B:$B,BS!$A:$D,$2:$2,0),0)</f>
        <v>0</v>
      </c>
      <c r="H237" s="207">
        <f>IF(ISNUMBER(VLOOKUP($B:$B,'BS(과거)'!$A:$F,$2:$2,0)),VLOOKUP($B:$B,'BS(과거)'!$A:$F,$2:$2,0),0)</f>
        <v>0</v>
      </c>
      <c r="I237" s="207">
        <f>IF(ISNUMBER(VLOOKUP($B:$B,'BS(과거)'!$A:$F,$2:$2,0)),VLOOKUP($B:$B,'BS(과거)'!$A:$F,$2:$2,0),0)</f>
        <v>0</v>
      </c>
      <c r="J237" s="207">
        <f>IF(ISNUMBER(VLOOKUP($B:$B,'BS(과거)'!$A:$F,$2:$2,0)),VLOOKUP($B:$B,'BS(과거)'!$A:$F,$2:$2,0),0)</f>
        <v>0</v>
      </c>
      <c r="K237" s="207">
        <f>IF(ISNUMBER(VLOOKUP($B:$B,'BS(과거)'!$A:$F,$2:$2,0)),VLOOKUP($B:$B,'BS(과거)'!$A:$F,$2:$2,0),0)</f>
        <v>0</v>
      </c>
      <c r="L237" s="207">
        <f>IF(ISNUMBER(VLOOKUP($B:$B,'BS(과거)'!$A:$F,$2:$2,0)),VLOOKUP($B:$B,'BS(과거)'!$A:$F,$2:$2,0),0)</f>
        <v>0</v>
      </c>
      <c r="N237" s="207">
        <f>IF(ISNUMBER(VLOOKUP($B:$B,'BS(분기)'!$A:$F,$2:$2,0)),VLOOKUP($B:$B,'BS(분기)'!$A:$F,$2:$2,0),0)</f>
        <v>0</v>
      </c>
      <c r="O237" s="207">
        <f>IF(ISNUMBER(VLOOKUP($B:$B,'BS(분기)'!$A:$F,$2:$2,0)),VLOOKUP($B:$B,'BS(분기)'!$A:$F,$2:$2,0),0)</f>
        <v>0</v>
      </c>
      <c r="P237" s="207">
        <f>IF(ISNUMBER(VLOOKUP($B:$B,'BS(분기)'!$A:$F,$2:$2,0)),VLOOKUP($B:$B,'BS(분기)'!$A:$F,$2:$2,0),0)</f>
        <v>0</v>
      </c>
      <c r="Q237" s="207">
        <f>IF(ISNUMBER(VLOOKUP($B:$B,'BS(분기)'!$A:$F,$2:$2,0)),VLOOKUP($B:$B,'BS(분기)'!$A:$F,$2:$2,0),0)</f>
        <v>0</v>
      </c>
      <c r="R237" s="207">
        <f>IF(ISNUMBER(VLOOKUP($B:$B,'BS(분기)'!$A:$F,$2:$2,0)),VLOOKUP($B:$B,'BS(분기)'!$A:$F,$2:$2,0),0)</f>
        <v>0</v>
      </c>
    </row>
    <row r="238" spans="1:18" s="192" customFormat="1" ht="12">
      <c r="A238" s="204">
        <v>112339</v>
      </c>
      <c r="B238" s="197" t="s">
        <v>948</v>
      </c>
      <c r="C238" s="217">
        <f>IF(ISNUMBER(VLOOKUP($B:$B,BS!$A:$D,$2:$2,0)),VLOOKUP($B:$B,BS!$A:$D,$2:$2,0),0)</f>
        <v>0</v>
      </c>
      <c r="D238" s="217">
        <f>IF(ISNUMBER(VLOOKUP($B:$B,BS!$A:$D,$2:$2,0)),VLOOKUP($B:$B,BS!$A:$D,$2:$2,0),0)</f>
        <v>0</v>
      </c>
      <c r="E238" s="217">
        <f>IF(ISNUMBER(VLOOKUP($B:$B,BS!$A:$D,$2:$2,0)),VLOOKUP($B:$B,BS!$A:$D,$2:$2,0),0)</f>
        <v>0</v>
      </c>
      <c r="F238" s="217">
        <f>IF(ISNUMBER(VLOOKUP($B:$B,BS!$A:$D,$2:$2,0)),VLOOKUP($B:$B,BS!$A:$D,$2:$2,0),0)</f>
        <v>0</v>
      </c>
      <c r="G238" s="217">
        <f>IF(ISNUMBER(VLOOKUP($B:$B,BS!$A:$D,$2:$2,0)),VLOOKUP($B:$B,BS!$A:$D,$2:$2,0),0)</f>
        <v>0</v>
      </c>
      <c r="H238" s="207">
        <f>IF(ISNUMBER(VLOOKUP($B:$B,'BS(과거)'!$A:$F,$2:$2,0)),VLOOKUP($B:$B,'BS(과거)'!$A:$F,$2:$2,0),0)</f>
        <v>0</v>
      </c>
      <c r="I238" s="207">
        <f>IF(ISNUMBER(VLOOKUP($B:$B,'BS(과거)'!$A:$F,$2:$2,0)),VLOOKUP($B:$B,'BS(과거)'!$A:$F,$2:$2,0),0)</f>
        <v>0</v>
      </c>
      <c r="J238" s="207">
        <f>IF(ISNUMBER(VLOOKUP($B:$B,'BS(과거)'!$A:$F,$2:$2,0)),VLOOKUP($B:$B,'BS(과거)'!$A:$F,$2:$2,0),0)</f>
        <v>0</v>
      </c>
      <c r="K238" s="207">
        <f>IF(ISNUMBER(VLOOKUP($B:$B,'BS(과거)'!$A:$F,$2:$2,0)),VLOOKUP($B:$B,'BS(과거)'!$A:$F,$2:$2,0),0)</f>
        <v>0</v>
      </c>
      <c r="L238" s="207">
        <f>IF(ISNUMBER(VLOOKUP($B:$B,'BS(과거)'!$A:$F,$2:$2,0)),VLOOKUP($B:$B,'BS(과거)'!$A:$F,$2:$2,0),0)</f>
        <v>0</v>
      </c>
      <c r="N238" s="207">
        <f>IF(ISNUMBER(VLOOKUP($B:$B,'BS(분기)'!$A:$F,$2:$2,0)),VLOOKUP($B:$B,'BS(분기)'!$A:$F,$2:$2,0),0)</f>
        <v>0</v>
      </c>
      <c r="O238" s="207">
        <f>IF(ISNUMBER(VLOOKUP($B:$B,'BS(분기)'!$A:$F,$2:$2,0)),VLOOKUP($B:$B,'BS(분기)'!$A:$F,$2:$2,0),0)</f>
        <v>0</v>
      </c>
      <c r="P238" s="207">
        <f>IF(ISNUMBER(VLOOKUP($B:$B,'BS(분기)'!$A:$F,$2:$2,0)),VLOOKUP($B:$B,'BS(분기)'!$A:$F,$2:$2,0),0)</f>
        <v>0</v>
      </c>
      <c r="Q238" s="207">
        <f>IF(ISNUMBER(VLOOKUP($B:$B,'BS(분기)'!$A:$F,$2:$2,0)),VLOOKUP($B:$B,'BS(분기)'!$A:$F,$2:$2,0),0)</f>
        <v>0</v>
      </c>
      <c r="R238" s="207">
        <f>IF(ISNUMBER(VLOOKUP($B:$B,'BS(분기)'!$A:$F,$2:$2,0)),VLOOKUP($B:$B,'BS(분기)'!$A:$F,$2:$2,0),0)</f>
        <v>0</v>
      </c>
    </row>
    <row r="239" spans="1:18" s="192" customFormat="1" ht="12">
      <c r="A239" s="203">
        <v>112340</v>
      </c>
      <c r="B239" s="196" t="s">
        <v>949</v>
      </c>
      <c r="C239" s="217">
        <f>IF(ISNUMBER(VLOOKUP($B:$B,BS!$A:$D,$2:$2,0)),VLOOKUP($B:$B,BS!$A:$D,$2:$2,0),0)</f>
        <v>0</v>
      </c>
      <c r="D239" s="217">
        <f>IF(ISNUMBER(VLOOKUP($B:$B,BS!$A:$D,$2:$2,0)),VLOOKUP($B:$B,BS!$A:$D,$2:$2,0),0)</f>
        <v>0</v>
      </c>
      <c r="E239" s="217">
        <f>IF(ISNUMBER(VLOOKUP($B:$B,BS!$A:$D,$2:$2,0)),VLOOKUP($B:$B,BS!$A:$D,$2:$2,0),0)</f>
        <v>0</v>
      </c>
      <c r="F239" s="217">
        <f>IF(ISNUMBER(VLOOKUP($B:$B,BS!$A:$D,$2:$2,0)),VLOOKUP($B:$B,BS!$A:$D,$2:$2,0),0)</f>
        <v>0</v>
      </c>
      <c r="G239" s="217">
        <f>IF(ISNUMBER(VLOOKUP($B:$B,BS!$A:$D,$2:$2,0)),VLOOKUP($B:$B,BS!$A:$D,$2:$2,0),0)</f>
        <v>0</v>
      </c>
      <c r="H239" s="207">
        <f>IF(ISNUMBER(VLOOKUP($B:$B,'BS(과거)'!$A:$F,$2:$2,0)),VLOOKUP($B:$B,'BS(과거)'!$A:$F,$2:$2,0),0)</f>
        <v>0</v>
      </c>
      <c r="I239" s="207">
        <f>IF(ISNUMBER(VLOOKUP($B:$B,'BS(과거)'!$A:$F,$2:$2,0)),VLOOKUP($B:$B,'BS(과거)'!$A:$F,$2:$2,0),0)</f>
        <v>0</v>
      </c>
      <c r="J239" s="207">
        <f>IF(ISNUMBER(VLOOKUP($B:$B,'BS(과거)'!$A:$F,$2:$2,0)),VLOOKUP($B:$B,'BS(과거)'!$A:$F,$2:$2,0),0)</f>
        <v>0</v>
      </c>
      <c r="K239" s="207">
        <f>IF(ISNUMBER(VLOOKUP($B:$B,'BS(과거)'!$A:$F,$2:$2,0)),VLOOKUP($B:$B,'BS(과거)'!$A:$F,$2:$2,0),0)</f>
        <v>0</v>
      </c>
      <c r="L239" s="207">
        <f>IF(ISNUMBER(VLOOKUP($B:$B,'BS(과거)'!$A:$F,$2:$2,0)),VLOOKUP($B:$B,'BS(과거)'!$A:$F,$2:$2,0),0)</f>
        <v>0</v>
      </c>
      <c r="N239" s="207">
        <f>IF(ISNUMBER(VLOOKUP($B:$B,'BS(분기)'!$A:$F,$2:$2,0)),VLOOKUP($B:$B,'BS(분기)'!$A:$F,$2:$2,0),0)</f>
        <v>0</v>
      </c>
      <c r="O239" s="207">
        <f>IF(ISNUMBER(VLOOKUP($B:$B,'BS(분기)'!$A:$F,$2:$2,0)),VLOOKUP($B:$B,'BS(분기)'!$A:$F,$2:$2,0),0)</f>
        <v>0</v>
      </c>
      <c r="P239" s="207">
        <f>IF(ISNUMBER(VLOOKUP($B:$B,'BS(분기)'!$A:$F,$2:$2,0)),VLOOKUP($B:$B,'BS(분기)'!$A:$F,$2:$2,0),0)</f>
        <v>0</v>
      </c>
      <c r="Q239" s="207">
        <f>IF(ISNUMBER(VLOOKUP($B:$B,'BS(분기)'!$A:$F,$2:$2,0)),VLOOKUP($B:$B,'BS(분기)'!$A:$F,$2:$2,0),0)</f>
        <v>0</v>
      </c>
      <c r="R239" s="207">
        <f>IF(ISNUMBER(VLOOKUP($B:$B,'BS(분기)'!$A:$F,$2:$2,0)),VLOOKUP($B:$B,'BS(분기)'!$A:$F,$2:$2,0),0)</f>
        <v>0</v>
      </c>
    </row>
    <row r="240" spans="1:18" s="192" customFormat="1" ht="12">
      <c r="A240" s="204">
        <v>112341</v>
      </c>
      <c r="B240" s="197" t="s">
        <v>950</v>
      </c>
      <c r="C240" s="217">
        <f>IF(ISNUMBER(VLOOKUP($B:$B,BS!$A:$D,$2:$2,0)),VLOOKUP($B:$B,BS!$A:$D,$2:$2,0),0)</f>
        <v>0</v>
      </c>
      <c r="D240" s="217">
        <f>IF(ISNUMBER(VLOOKUP($B:$B,BS!$A:$D,$2:$2,0)),VLOOKUP($B:$B,BS!$A:$D,$2:$2,0),0)</f>
        <v>0</v>
      </c>
      <c r="E240" s="217">
        <f>IF(ISNUMBER(VLOOKUP($B:$B,BS!$A:$D,$2:$2,0)),VLOOKUP($B:$B,BS!$A:$D,$2:$2,0),0)</f>
        <v>0</v>
      </c>
      <c r="F240" s="217">
        <f>IF(ISNUMBER(VLOOKUP($B:$B,BS!$A:$D,$2:$2,0)),VLOOKUP($B:$B,BS!$A:$D,$2:$2,0),0)</f>
        <v>0</v>
      </c>
      <c r="G240" s="217">
        <f>IF(ISNUMBER(VLOOKUP($B:$B,BS!$A:$D,$2:$2,0)),VLOOKUP($B:$B,BS!$A:$D,$2:$2,0),0)</f>
        <v>0</v>
      </c>
      <c r="H240" s="207">
        <f>IF(ISNUMBER(VLOOKUP($B:$B,'BS(과거)'!$A:$F,$2:$2,0)),VLOOKUP($B:$B,'BS(과거)'!$A:$F,$2:$2,0),0)</f>
        <v>0</v>
      </c>
      <c r="I240" s="207">
        <f>IF(ISNUMBER(VLOOKUP($B:$B,'BS(과거)'!$A:$F,$2:$2,0)),VLOOKUP($B:$B,'BS(과거)'!$A:$F,$2:$2,0),0)</f>
        <v>0</v>
      </c>
      <c r="J240" s="207">
        <f>IF(ISNUMBER(VLOOKUP($B:$B,'BS(과거)'!$A:$F,$2:$2,0)),VLOOKUP($B:$B,'BS(과거)'!$A:$F,$2:$2,0),0)</f>
        <v>0</v>
      </c>
      <c r="K240" s="207">
        <f>IF(ISNUMBER(VLOOKUP($B:$B,'BS(과거)'!$A:$F,$2:$2,0)),VLOOKUP($B:$B,'BS(과거)'!$A:$F,$2:$2,0),0)</f>
        <v>0</v>
      </c>
      <c r="L240" s="207">
        <f>IF(ISNUMBER(VLOOKUP($B:$B,'BS(과거)'!$A:$F,$2:$2,0)),VLOOKUP($B:$B,'BS(과거)'!$A:$F,$2:$2,0),0)</f>
        <v>0</v>
      </c>
      <c r="N240" s="207">
        <f>IF(ISNUMBER(VLOOKUP($B:$B,'BS(분기)'!$A:$F,$2:$2,0)),VLOOKUP($B:$B,'BS(분기)'!$A:$F,$2:$2,0),0)</f>
        <v>0</v>
      </c>
      <c r="O240" s="207">
        <f>IF(ISNUMBER(VLOOKUP($B:$B,'BS(분기)'!$A:$F,$2:$2,0)),VLOOKUP($B:$B,'BS(분기)'!$A:$F,$2:$2,0),0)</f>
        <v>0</v>
      </c>
      <c r="P240" s="207">
        <f>IF(ISNUMBER(VLOOKUP($B:$B,'BS(분기)'!$A:$F,$2:$2,0)),VLOOKUP($B:$B,'BS(분기)'!$A:$F,$2:$2,0),0)</f>
        <v>0</v>
      </c>
      <c r="Q240" s="207">
        <f>IF(ISNUMBER(VLOOKUP($B:$B,'BS(분기)'!$A:$F,$2:$2,0)),VLOOKUP($B:$B,'BS(분기)'!$A:$F,$2:$2,0),0)</f>
        <v>0</v>
      </c>
      <c r="R240" s="207">
        <f>IF(ISNUMBER(VLOOKUP($B:$B,'BS(분기)'!$A:$F,$2:$2,0)),VLOOKUP($B:$B,'BS(분기)'!$A:$F,$2:$2,0),0)</f>
        <v>0</v>
      </c>
    </row>
    <row r="241" spans="1:18" s="192" customFormat="1" ht="12">
      <c r="A241" s="204">
        <v>112342</v>
      </c>
      <c r="B241" s="197" t="s">
        <v>951</v>
      </c>
      <c r="C241" s="217">
        <f>IF(ISNUMBER(VLOOKUP($B:$B,BS!$A:$D,$2:$2,0)),VLOOKUP($B:$B,BS!$A:$D,$2:$2,0),0)</f>
        <v>0</v>
      </c>
      <c r="D241" s="217">
        <f>IF(ISNUMBER(VLOOKUP($B:$B,BS!$A:$D,$2:$2,0)),VLOOKUP($B:$B,BS!$A:$D,$2:$2,0),0)</f>
        <v>0</v>
      </c>
      <c r="E241" s="217">
        <f>IF(ISNUMBER(VLOOKUP($B:$B,BS!$A:$D,$2:$2,0)),VLOOKUP($B:$B,BS!$A:$D,$2:$2,0),0)</f>
        <v>0</v>
      </c>
      <c r="F241" s="217">
        <f>IF(ISNUMBER(VLOOKUP($B:$B,BS!$A:$D,$2:$2,0)),VLOOKUP($B:$B,BS!$A:$D,$2:$2,0),0)</f>
        <v>0</v>
      </c>
      <c r="G241" s="217">
        <f>IF(ISNUMBER(VLOOKUP($B:$B,BS!$A:$D,$2:$2,0)),VLOOKUP($B:$B,BS!$A:$D,$2:$2,0),0)</f>
        <v>0</v>
      </c>
      <c r="H241" s="207">
        <f>IF(ISNUMBER(VLOOKUP($B:$B,'BS(과거)'!$A:$F,$2:$2,0)),VLOOKUP($B:$B,'BS(과거)'!$A:$F,$2:$2,0),0)</f>
        <v>0</v>
      </c>
      <c r="I241" s="207">
        <f>IF(ISNUMBER(VLOOKUP($B:$B,'BS(과거)'!$A:$F,$2:$2,0)),VLOOKUP($B:$B,'BS(과거)'!$A:$F,$2:$2,0),0)</f>
        <v>0</v>
      </c>
      <c r="J241" s="207">
        <f>IF(ISNUMBER(VLOOKUP($B:$B,'BS(과거)'!$A:$F,$2:$2,0)),VLOOKUP($B:$B,'BS(과거)'!$A:$F,$2:$2,0),0)</f>
        <v>0</v>
      </c>
      <c r="K241" s="207">
        <f>IF(ISNUMBER(VLOOKUP($B:$B,'BS(과거)'!$A:$F,$2:$2,0)),VLOOKUP($B:$B,'BS(과거)'!$A:$F,$2:$2,0),0)</f>
        <v>0</v>
      </c>
      <c r="L241" s="207">
        <f>IF(ISNUMBER(VLOOKUP($B:$B,'BS(과거)'!$A:$F,$2:$2,0)),VLOOKUP($B:$B,'BS(과거)'!$A:$F,$2:$2,0),0)</f>
        <v>0</v>
      </c>
      <c r="N241" s="207">
        <f>IF(ISNUMBER(VLOOKUP($B:$B,'BS(분기)'!$A:$F,$2:$2,0)),VLOOKUP($B:$B,'BS(분기)'!$A:$F,$2:$2,0),0)</f>
        <v>0</v>
      </c>
      <c r="O241" s="207">
        <f>IF(ISNUMBER(VLOOKUP($B:$B,'BS(분기)'!$A:$F,$2:$2,0)),VLOOKUP($B:$B,'BS(분기)'!$A:$F,$2:$2,0),0)</f>
        <v>0</v>
      </c>
      <c r="P241" s="207">
        <f>IF(ISNUMBER(VLOOKUP($B:$B,'BS(분기)'!$A:$F,$2:$2,0)),VLOOKUP($B:$B,'BS(분기)'!$A:$F,$2:$2,0),0)</f>
        <v>0</v>
      </c>
      <c r="Q241" s="207">
        <f>IF(ISNUMBER(VLOOKUP($B:$B,'BS(분기)'!$A:$F,$2:$2,0)),VLOOKUP($B:$B,'BS(분기)'!$A:$F,$2:$2,0),0)</f>
        <v>0</v>
      </c>
      <c r="R241" s="207">
        <f>IF(ISNUMBER(VLOOKUP($B:$B,'BS(분기)'!$A:$F,$2:$2,0)),VLOOKUP($B:$B,'BS(분기)'!$A:$F,$2:$2,0),0)</f>
        <v>0</v>
      </c>
    </row>
    <row r="242" spans="1:18" s="192" customFormat="1" ht="12">
      <c r="A242" s="204">
        <v>112349</v>
      </c>
      <c r="B242" s="197" t="s">
        <v>952</v>
      </c>
      <c r="C242" s="217">
        <f>IF(ISNUMBER(VLOOKUP($B:$B,BS!$A:$D,$2:$2,0)),VLOOKUP($B:$B,BS!$A:$D,$2:$2,0),0)</f>
        <v>0</v>
      </c>
      <c r="D242" s="217">
        <f>IF(ISNUMBER(VLOOKUP($B:$B,BS!$A:$D,$2:$2,0)),VLOOKUP($B:$B,BS!$A:$D,$2:$2,0),0)</f>
        <v>0</v>
      </c>
      <c r="E242" s="217">
        <f>IF(ISNUMBER(VLOOKUP($B:$B,BS!$A:$D,$2:$2,0)),VLOOKUP($B:$B,BS!$A:$D,$2:$2,0),0)</f>
        <v>0</v>
      </c>
      <c r="F242" s="217">
        <f>IF(ISNUMBER(VLOOKUP($B:$B,BS!$A:$D,$2:$2,0)),VLOOKUP($B:$B,BS!$A:$D,$2:$2,0),0)</f>
        <v>0</v>
      </c>
      <c r="G242" s="217">
        <f>IF(ISNUMBER(VLOOKUP($B:$B,BS!$A:$D,$2:$2,0)),VLOOKUP($B:$B,BS!$A:$D,$2:$2,0),0)</f>
        <v>0</v>
      </c>
      <c r="H242" s="207">
        <f>IF(ISNUMBER(VLOOKUP($B:$B,'BS(과거)'!$A:$F,$2:$2,0)),VLOOKUP($B:$B,'BS(과거)'!$A:$F,$2:$2,0),0)</f>
        <v>0</v>
      </c>
      <c r="I242" s="207">
        <f>IF(ISNUMBER(VLOOKUP($B:$B,'BS(과거)'!$A:$F,$2:$2,0)),VLOOKUP($B:$B,'BS(과거)'!$A:$F,$2:$2,0),0)</f>
        <v>0</v>
      </c>
      <c r="J242" s="207">
        <f>IF(ISNUMBER(VLOOKUP($B:$B,'BS(과거)'!$A:$F,$2:$2,0)),VLOOKUP($B:$B,'BS(과거)'!$A:$F,$2:$2,0),0)</f>
        <v>0</v>
      </c>
      <c r="K242" s="207">
        <f>IF(ISNUMBER(VLOOKUP($B:$B,'BS(과거)'!$A:$F,$2:$2,0)),VLOOKUP($B:$B,'BS(과거)'!$A:$F,$2:$2,0),0)</f>
        <v>0</v>
      </c>
      <c r="L242" s="207">
        <f>IF(ISNUMBER(VLOOKUP($B:$B,'BS(과거)'!$A:$F,$2:$2,0)),VLOOKUP($B:$B,'BS(과거)'!$A:$F,$2:$2,0),0)</f>
        <v>0</v>
      </c>
      <c r="N242" s="207">
        <f>IF(ISNUMBER(VLOOKUP($B:$B,'BS(분기)'!$A:$F,$2:$2,0)),VLOOKUP($B:$B,'BS(분기)'!$A:$F,$2:$2,0),0)</f>
        <v>0</v>
      </c>
      <c r="O242" s="207">
        <f>IF(ISNUMBER(VLOOKUP($B:$B,'BS(분기)'!$A:$F,$2:$2,0)),VLOOKUP($B:$B,'BS(분기)'!$A:$F,$2:$2,0),0)</f>
        <v>0</v>
      </c>
      <c r="P242" s="207">
        <f>IF(ISNUMBER(VLOOKUP($B:$B,'BS(분기)'!$A:$F,$2:$2,0)),VLOOKUP($B:$B,'BS(분기)'!$A:$F,$2:$2,0),0)</f>
        <v>0</v>
      </c>
      <c r="Q242" s="207">
        <f>IF(ISNUMBER(VLOOKUP($B:$B,'BS(분기)'!$A:$F,$2:$2,0)),VLOOKUP($B:$B,'BS(분기)'!$A:$F,$2:$2,0),0)</f>
        <v>0</v>
      </c>
      <c r="R242" s="207">
        <f>IF(ISNUMBER(VLOOKUP($B:$B,'BS(분기)'!$A:$F,$2:$2,0)),VLOOKUP($B:$B,'BS(분기)'!$A:$F,$2:$2,0),0)</f>
        <v>0</v>
      </c>
    </row>
    <row r="243" spans="1:18" s="192" customFormat="1" ht="12">
      <c r="A243" s="203">
        <v>112390</v>
      </c>
      <c r="B243" s="196" t="s">
        <v>953</v>
      </c>
      <c r="C243" s="217">
        <f>IF(ISNUMBER(VLOOKUP($B:$B,BS!$A:$D,$2:$2,0)),VLOOKUP($B:$B,BS!$A:$D,$2:$2,0),0)</f>
        <v>0</v>
      </c>
      <c r="D243" s="217">
        <f>IF(ISNUMBER(VLOOKUP($B:$B,BS!$A:$D,$2:$2,0)),VLOOKUP($B:$B,BS!$A:$D,$2:$2,0),0)</f>
        <v>0</v>
      </c>
      <c r="E243" s="217">
        <f>IF(ISNUMBER(VLOOKUP($B:$B,BS!$A:$D,$2:$2,0)),VLOOKUP($B:$B,BS!$A:$D,$2:$2,0),0)</f>
        <v>0</v>
      </c>
      <c r="F243" s="217">
        <f>IF(ISNUMBER(VLOOKUP($B:$B,BS!$A:$D,$2:$2,0)),VLOOKUP($B:$B,BS!$A:$D,$2:$2,0),0)</f>
        <v>0</v>
      </c>
      <c r="G243" s="217">
        <f>IF(ISNUMBER(VLOOKUP($B:$B,BS!$A:$D,$2:$2,0)),VLOOKUP($B:$B,BS!$A:$D,$2:$2,0),0)</f>
        <v>0</v>
      </c>
      <c r="H243" s="207">
        <f>IF(ISNUMBER(VLOOKUP($B:$B,'BS(과거)'!$A:$F,$2:$2,0)),VLOOKUP($B:$B,'BS(과거)'!$A:$F,$2:$2,0),0)</f>
        <v>0</v>
      </c>
      <c r="I243" s="207">
        <f>IF(ISNUMBER(VLOOKUP($B:$B,'BS(과거)'!$A:$F,$2:$2,0)),VLOOKUP($B:$B,'BS(과거)'!$A:$F,$2:$2,0),0)</f>
        <v>0</v>
      </c>
      <c r="J243" s="207">
        <f>IF(ISNUMBER(VLOOKUP($B:$B,'BS(과거)'!$A:$F,$2:$2,0)),VLOOKUP($B:$B,'BS(과거)'!$A:$F,$2:$2,0),0)</f>
        <v>0</v>
      </c>
      <c r="K243" s="207">
        <f>IF(ISNUMBER(VLOOKUP($B:$B,'BS(과거)'!$A:$F,$2:$2,0)),VLOOKUP($B:$B,'BS(과거)'!$A:$F,$2:$2,0),0)</f>
        <v>0</v>
      </c>
      <c r="L243" s="207">
        <f>IF(ISNUMBER(VLOOKUP($B:$B,'BS(과거)'!$A:$F,$2:$2,0)),VLOOKUP($B:$B,'BS(과거)'!$A:$F,$2:$2,0),0)</f>
        <v>0</v>
      </c>
      <c r="N243" s="207">
        <f>IF(ISNUMBER(VLOOKUP($B:$B,'BS(분기)'!$A:$F,$2:$2,0)),VLOOKUP($B:$B,'BS(분기)'!$A:$F,$2:$2,0),0)</f>
        <v>0</v>
      </c>
      <c r="O243" s="207">
        <f>IF(ISNUMBER(VLOOKUP($B:$B,'BS(분기)'!$A:$F,$2:$2,0)),VLOOKUP($B:$B,'BS(분기)'!$A:$F,$2:$2,0),0)</f>
        <v>0</v>
      </c>
      <c r="P243" s="207">
        <f>IF(ISNUMBER(VLOOKUP($B:$B,'BS(분기)'!$A:$F,$2:$2,0)),VLOOKUP($B:$B,'BS(분기)'!$A:$F,$2:$2,0),0)</f>
        <v>0</v>
      </c>
      <c r="Q243" s="207">
        <f>IF(ISNUMBER(VLOOKUP($B:$B,'BS(분기)'!$A:$F,$2:$2,0)),VLOOKUP($B:$B,'BS(분기)'!$A:$F,$2:$2,0),0)</f>
        <v>0</v>
      </c>
      <c r="R243" s="207">
        <f>IF(ISNUMBER(VLOOKUP($B:$B,'BS(분기)'!$A:$F,$2:$2,0)),VLOOKUP($B:$B,'BS(분기)'!$A:$F,$2:$2,0),0)</f>
        <v>0</v>
      </c>
    </row>
    <row r="244" spans="1:18" s="192" customFormat="1" ht="12">
      <c r="A244" s="202">
        <v>112160</v>
      </c>
      <c r="B244" s="195" t="s">
        <v>1020</v>
      </c>
      <c r="C244" s="217">
        <f>IF(ISNUMBER(VLOOKUP($B:$B,BS!$A:$D,$2:$2,0)),VLOOKUP($B:$B,BS!$A:$D,$2:$2,0),0)</f>
        <v>0</v>
      </c>
      <c r="D244" s="217">
        <f>IF(ISNUMBER(VLOOKUP($B:$B,BS!$A:$D,$2:$2,0)),VLOOKUP($B:$B,BS!$A:$D,$2:$2,0),0)</f>
        <v>0</v>
      </c>
      <c r="E244" s="217">
        <f>IF(ISNUMBER(VLOOKUP($B:$B,BS!$A:$D,$2:$2,0)),VLOOKUP($B:$B,BS!$A:$D,$2:$2,0),0)</f>
        <v>0</v>
      </c>
      <c r="F244" s="217">
        <f>IF(ISNUMBER(VLOOKUP($B:$B,BS!$A:$D,$2:$2,0)),VLOOKUP($B:$B,BS!$A:$D,$2:$2,0),0)</f>
        <v>0</v>
      </c>
      <c r="G244" s="217">
        <f>IF(ISNUMBER(VLOOKUP($B:$B,BS!$A:$D,$2:$2,0)),VLOOKUP($B:$B,BS!$A:$D,$2:$2,0),0)</f>
        <v>0</v>
      </c>
      <c r="H244" s="207">
        <f>IF(ISNUMBER(VLOOKUP($B:$B,'BS(과거)'!$A:$F,$2:$2,0)),VLOOKUP($B:$B,'BS(과거)'!$A:$F,$2:$2,0),0)</f>
        <v>0</v>
      </c>
      <c r="I244" s="207">
        <f>IF(ISNUMBER(VLOOKUP($B:$B,'BS(과거)'!$A:$F,$2:$2,0)),VLOOKUP($B:$B,'BS(과거)'!$A:$F,$2:$2,0),0)</f>
        <v>0</v>
      </c>
      <c r="J244" s="207">
        <f>IF(ISNUMBER(VLOOKUP($B:$B,'BS(과거)'!$A:$F,$2:$2,0)),VLOOKUP($B:$B,'BS(과거)'!$A:$F,$2:$2,0),0)</f>
        <v>0</v>
      </c>
      <c r="K244" s="207">
        <f>IF(ISNUMBER(VLOOKUP($B:$B,'BS(과거)'!$A:$F,$2:$2,0)),VLOOKUP($B:$B,'BS(과거)'!$A:$F,$2:$2,0),0)</f>
        <v>0</v>
      </c>
      <c r="L244" s="207">
        <f>IF(ISNUMBER(VLOOKUP($B:$B,'BS(과거)'!$A:$F,$2:$2,0)),VLOOKUP($B:$B,'BS(과거)'!$A:$F,$2:$2,0),0)</f>
        <v>0</v>
      </c>
      <c r="N244" s="207">
        <f>IF(ISNUMBER(VLOOKUP($B:$B,'BS(분기)'!$A:$F,$2:$2,0)),VLOOKUP($B:$B,'BS(분기)'!$A:$F,$2:$2,0),0)</f>
        <v>0</v>
      </c>
      <c r="O244" s="207">
        <f>IF(ISNUMBER(VLOOKUP($B:$B,'BS(분기)'!$A:$F,$2:$2,0)),VLOOKUP($B:$B,'BS(분기)'!$A:$F,$2:$2,0),0)</f>
        <v>0</v>
      </c>
      <c r="P244" s="207">
        <f>IF(ISNUMBER(VLOOKUP($B:$B,'BS(분기)'!$A:$F,$2:$2,0)),VLOOKUP($B:$B,'BS(분기)'!$A:$F,$2:$2,0),0)</f>
        <v>0</v>
      </c>
      <c r="Q244" s="207">
        <f>IF(ISNUMBER(VLOOKUP($B:$B,'BS(분기)'!$A:$F,$2:$2,0)),VLOOKUP($B:$B,'BS(분기)'!$A:$F,$2:$2,0),0)</f>
        <v>0</v>
      </c>
      <c r="R244" s="207">
        <f>IF(ISNUMBER(VLOOKUP($B:$B,'BS(분기)'!$A:$F,$2:$2,0)),VLOOKUP($B:$B,'BS(분기)'!$A:$F,$2:$2,0),0)</f>
        <v>0</v>
      </c>
    </row>
    <row r="245" spans="1:18" s="192" customFormat="1" ht="12">
      <c r="A245" s="202">
        <v>112169</v>
      </c>
      <c r="B245" s="195" t="s">
        <v>1021</v>
      </c>
      <c r="C245" s="217">
        <f>IF(ISNUMBER(VLOOKUP($B:$B,BS!$A:$D,$2:$2,0)),VLOOKUP($B:$B,BS!$A:$D,$2:$2,0),0)</f>
        <v>0</v>
      </c>
      <c r="D245" s="217">
        <f>IF(ISNUMBER(VLOOKUP($B:$B,BS!$A:$D,$2:$2,0)),VLOOKUP($B:$B,BS!$A:$D,$2:$2,0),0)</f>
        <v>0</v>
      </c>
      <c r="E245" s="217">
        <f>IF(ISNUMBER(VLOOKUP($B:$B,BS!$A:$D,$2:$2,0)),VLOOKUP($B:$B,BS!$A:$D,$2:$2,0),0)</f>
        <v>0</v>
      </c>
      <c r="F245" s="217">
        <f>IF(ISNUMBER(VLOOKUP($B:$B,BS!$A:$D,$2:$2,0)),VLOOKUP($B:$B,BS!$A:$D,$2:$2,0),0)</f>
        <v>0</v>
      </c>
      <c r="G245" s="217">
        <f>IF(ISNUMBER(VLOOKUP($B:$B,BS!$A:$D,$2:$2,0)),VLOOKUP($B:$B,BS!$A:$D,$2:$2,0),0)</f>
        <v>0</v>
      </c>
      <c r="H245" s="207">
        <f>IF(ISNUMBER(VLOOKUP($B:$B,'BS(과거)'!$A:$F,$2:$2,0)),VLOOKUP($B:$B,'BS(과거)'!$A:$F,$2:$2,0),0)</f>
        <v>0</v>
      </c>
      <c r="I245" s="207">
        <f>IF(ISNUMBER(VLOOKUP($B:$B,'BS(과거)'!$A:$F,$2:$2,0)),VLOOKUP($B:$B,'BS(과거)'!$A:$F,$2:$2,0),0)</f>
        <v>0</v>
      </c>
      <c r="J245" s="207">
        <f>IF(ISNUMBER(VLOOKUP($B:$B,'BS(과거)'!$A:$F,$2:$2,0)),VLOOKUP($B:$B,'BS(과거)'!$A:$F,$2:$2,0),0)</f>
        <v>0</v>
      </c>
      <c r="K245" s="207">
        <f>IF(ISNUMBER(VLOOKUP($B:$B,'BS(과거)'!$A:$F,$2:$2,0)),VLOOKUP($B:$B,'BS(과거)'!$A:$F,$2:$2,0),0)</f>
        <v>0</v>
      </c>
      <c r="L245" s="207">
        <f>IF(ISNUMBER(VLOOKUP($B:$B,'BS(과거)'!$A:$F,$2:$2,0)),VLOOKUP($B:$B,'BS(과거)'!$A:$F,$2:$2,0),0)</f>
        <v>0</v>
      </c>
      <c r="N245" s="207">
        <f>IF(ISNUMBER(VLOOKUP($B:$B,'BS(분기)'!$A:$F,$2:$2,0)),VLOOKUP($B:$B,'BS(분기)'!$A:$F,$2:$2,0),0)</f>
        <v>0</v>
      </c>
      <c r="O245" s="207">
        <f>IF(ISNUMBER(VLOOKUP($B:$B,'BS(분기)'!$A:$F,$2:$2,0)),VLOOKUP($B:$B,'BS(분기)'!$A:$F,$2:$2,0),0)</f>
        <v>0</v>
      </c>
      <c r="P245" s="207">
        <f>IF(ISNUMBER(VLOOKUP($B:$B,'BS(분기)'!$A:$F,$2:$2,0)),VLOOKUP($B:$B,'BS(분기)'!$A:$F,$2:$2,0),0)</f>
        <v>0</v>
      </c>
      <c r="Q245" s="207">
        <f>IF(ISNUMBER(VLOOKUP($B:$B,'BS(분기)'!$A:$F,$2:$2,0)),VLOOKUP($B:$B,'BS(분기)'!$A:$F,$2:$2,0),0)</f>
        <v>0</v>
      </c>
      <c r="R245" s="207">
        <f>IF(ISNUMBER(VLOOKUP($B:$B,'BS(분기)'!$A:$F,$2:$2,0)),VLOOKUP($B:$B,'BS(분기)'!$A:$F,$2:$2,0),0)</f>
        <v>0</v>
      </c>
    </row>
    <row r="246" spans="1:18" s="192" customFormat="1" ht="12">
      <c r="A246" s="202">
        <v>112168</v>
      </c>
      <c r="B246" s="195" t="s">
        <v>1022</v>
      </c>
      <c r="C246" s="217">
        <f>IF(ISNUMBER(VLOOKUP($B:$B,BS!$A:$D,$2:$2,0)),VLOOKUP($B:$B,BS!$A:$D,$2:$2,0),0)</f>
        <v>0</v>
      </c>
      <c r="D246" s="217">
        <f>IF(ISNUMBER(VLOOKUP($B:$B,BS!$A:$D,$2:$2,0)),VLOOKUP($B:$B,BS!$A:$D,$2:$2,0),0)</f>
        <v>0</v>
      </c>
      <c r="E246" s="217">
        <f>IF(ISNUMBER(VLOOKUP($B:$B,BS!$A:$D,$2:$2,0)),VLOOKUP($B:$B,BS!$A:$D,$2:$2,0),0)</f>
        <v>0</v>
      </c>
      <c r="F246" s="217">
        <f>IF(ISNUMBER(VLOOKUP($B:$B,BS!$A:$D,$2:$2,0)),VLOOKUP($B:$B,BS!$A:$D,$2:$2,0),0)</f>
        <v>0</v>
      </c>
      <c r="G246" s="217">
        <f>IF(ISNUMBER(VLOOKUP($B:$B,BS!$A:$D,$2:$2,0)),VLOOKUP($B:$B,BS!$A:$D,$2:$2,0),0)</f>
        <v>0</v>
      </c>
      <c r="H246" s="207">
        <f>IF(ISNUMBER(VLOOKUP($B:$B,'BS(과거)'!$A:$F,$2:$2,0)),VLOOKUP($B:$B,'BS(과거)'!$A:$F,$2:$2,0),0)</f>
        <v>0</v>
      </c>
      <c r="I246" s="207">
        <f>IF(ISNUMBER(VLOOKUP($B:$B,'BS(과거)'!$A:$F,$2:$2,0)),VLOOKUP($B:$B,'BS(과거)'!$A:$F,$2:$2,0),0)</f>
        <v>0</v>
      </c>
      <c r="J246" s="207">
        <f>IF(ISNUMBER(VLOOKUP($B:$B,'BS(과거)'!$A:$F,$2:$2,0)),VLOOKUP($B:$B,'BS(과거)'!$A:$F,$2:$2,0),0)</f>
        <v>0</v>
      </c>
      <c r="K246" s="207">
        <f>IF(ISNUMBER(VLOOKUP($B:$B,'BS(과거)'!$A:$F,$2:$2,0)),VLOOKUP($B:$B,'BS(과거)'!$A:$F,$2:$2,0),0)</f>
        <v>0</v>
      </c>
      <c r="L246" s="207">
        <f>IF(ISNUMBER(VLOOKUP($B:$B,'BS(과거)'!$A:$F,$2:$2,0)),VLOOKUP($B:$B,'BS(과거)'!$A:$F,$2:$2,0),0)</f>
        <v>0</v>
      </c>
      <c r="N246" s="207">
        <f>IF(ISNUMBER(VLOOKUP($B:$B,'BS(분기)'!$A:$F,$2:$2,0)),VLOOKUP($B:$B,'BS(분기)'!$A:$F,$2:$2,0),0)</f>
        <v>0</v>
      </c>
      <c r="O246" s="207">
        <f>IF(ISNUMBER(VLOOKUP($B:$B,'BS(분기)'!$A:$F,$2:$2,0)),VLOOKUP($B:$B,'BS(분기)'!$A:$F,$2:$2,0),0)</f>
        <v>0</v>
      </c>
      <c r="P246" s="207">
        <f>IF(ISNUMBER(VLOOKUP($B:$B,'BS(분기)'!$A:$F,$2:$2,0)),VLOOKUP($B:$B,'BS(분기)'!$A:$F,$2:$2,0),0)</f>
        <v>0</v>
      </c>
      <c r="Q246" s="207">
        <f>IF(ISNUMBER(VLOOKUP($B:$B,'BS(분기)'!$A:$F,$2:$2,0)),VLOOKUP($B:$B,'BS(분기)'!$A:$F,$2:$2,0),0)</f>
        <v>0</v>
      </c>
      <c r="R246" s="207">
        <f>IF(ISNUMBER(VLOOKUP($B:$B,'BS(분기)'!$A:$F,$2:$2,0)),VLOOKUP($B:$B,'BS(분기)'!$A:$F,$2:$2,0),0)</f>
        <v>0</v>
      </c>
    </row>
    <row r="247" spans="1:18" s="192" customFormat="1" ht="12">
      <c r="A247" s="201">
        <v>113200</v>
      </c>
      <c r="B247" s="194" t="s">
        <v>807</v>
      </c>
      <c r="C247" s="217">
        <f>IF(ISNUMBER(VLOOKUP($B:$B,BS!$A:$D,$2:$2,0)),VLOOKUP($B:$B,BS!$A:$D,$2:$2,0),0)</f>
        <v>0</v>
      </c>
      <c r="D247" s="217">
        <f>IF(ISNUMBER(VLOOKUP($B:$B,BS!$A:$D,$2:$2,0)),VLOOKUP($B:$B,BS!$A:$D,$2:$2,0),0)</f>
        <v>0</v>
      </c>
      <c r="E247" s="217">
        <f>IF(ISNUMBER(VLOOKUP($B:$B,BS!$A:$D,$2:$2,0)),VLOOKUP($B:$B,BS!$A:$D,$2:$2,0),0)</f>
        <v>0</v>
      </c>
      <c r="F247" s="217">
        <f>IF(ISNUMBER(VLOOKUP($B:$B,BS!$A:$D,$2:$2,0)),VLOOKUP($B:$B,BS!$A:$D,$2:$2,0),0)</f>
        <v>0</v>
      </c>
      <c r="G247" s="217">
        <f>IF(ISNUMBER(VLOOKUP($B:$B,BS!$A:$D,$2:$2,0)),VLOOKUP($B:$B,BS!$A:$D,$2:$2,0),0)</f>
        <v>0</v>
      </c>
      <c r="H247" s="207">
        <f>IF(ISNUMBER(VLOOKUP($B:$B,'BS(과거)'!$A:$F,$2:$2,0)),VLOOKUP($B:$B,'BS(과거)'!$A:$F,$2:$2,0),0)</f>
        <v>0</v>
      </c>
      <c r="I247" s="207">
        <f>IF(ISNUMBER(VLOOKUP($B:$B,'BS(과거)'!$A:$F,$2:$2,0)),VLOOKUP($B:$B,'BS(과거)'!$A:$F,$2:$2,0),0)</f>
        <v>0</v>
      </c>
      <c r="J247" s="207">
        <f>IF(ISNUMBER(VLOOKUP($B:$B,'BS(과거)'!$A:$F,$2:$2,0)),VLOOKUP($B:$B,'BS(과거)'!$A:$F,$2:$2,0),0)</f>
        <v>0</v>
      </c>
      <c r="K247" s="207">
        <f>IF(ISNUMBER(VLOOKUP($B:$B,'BS(과거)'!$A:$F,$2:$2,0)),VLOOKUP($B:$B,'BS(과거)'!$A:$F,$2:$2,0),0)</f>
        <v>0</v>
      </c>
      <c r="L247" s="207">
        <f>IF(ISNUMBER(VLOOKUP($B:$B,'BS(과거)'!$A:$F,$2:$2,0)),VLOOKUP($B:$B,'BS(과거)'!$A:$F,$2:$2,0),0)</f>
        <v>0</v>
      </c>
      <c r="N247" s="207">
        <f>IF(ISNUMBER(VLOOKUP($B:$B,'BS(분기)'!$A:$F,$2:$2,0)),VLOOKUP($B:$B,'BS(분기)'!$A:$F,$2:$2,0),0)</f>
        <v>0</v>
      </c>
      <c r="O247" s="207">
        <f>IF(ISNUMBER(VLOOKUP($B:$B,'BS(분기)'!$A:$F,$2:$2,0)),VLOOKUP($B:$B,'BS(분기)'!$A:$F,$2:$2,0),0)</f>
        <v>0</v>
      </c>
      <c r="P247" s="207">
        <f>IF(ISNUMBER(VLOOKUP($B:$B,'BS(분기)'!$A:$F,$2:$2,0)),VLOOKUP($B:$B,'BS(분기)'!$A:$F,$2:$2,0),0)</f>
        <v>0</v>
      </c>
      <c r="Q247" s="207">
        <f>IF(ISNUMBER(VLOOKUP($B:$B,'BS(분기)'!$A:$F,$2:$2,0)),VLOOKUP($B:$B,'BS(분기)'!$A:$F,$2:$2,0),0)</f>
        <v>0</v>
      </c>
      <c r="R247" s="207">
        <f>IF(ISNUMBER(VLOOKUP($B:$B,'BS(분기)'!$A:$F,$2:$2,0)),VLOOKUP($B:$B,'BS(분기)'!$A:$F,$2:$2,0),0)</f>
        <v>0</v>
      </c>
    </row>
    <row r="248" spans="1:18" s="192" customFormat="1" ht="12">
      <c r="A248" s="201">
        <v>113202</v>
      </c>
      <c r="B248" s="194" t="s">
        <v>1023</v>
      </c>
      <c r="C248" s="217">
        <f>IF(ISNUMBER(VLOOKUP($B:$B,BS!$A:$D,$2:$2,0)),VLOOKUP($B:$B,BS!$A:$D,$2:$2,0),0)</f>
        <v>0</v>
      </c>
      <c r="D248" s="217">
        <f>IF(ISNUMBER(VLOOKUP($B:$B,BS!$A:$D,$2:$2,0)),VLOOKUP($B:$B,BS!$A:$D,$2:$2,0),0)</f>
        <v>0</v>
      </c>
      <c r="E248" s="217">
        <f>IF(ISNUMBER(VLOOKUP($B:$B,BS!$A:$D,$2:$2,0)),VLOOKUP($B:$B,BS!$A:$D,$2:$2,0),0)</f>
        <v>0</v>
      </c>
      <c r="F248" s="217">
        <f>IF(ISNUMBER(VLOOKUP($B:$B,BS!$A:$D,$2:$2,0)),VLOOKUP($B:$B,BS!$A:$D,$2:$2,0),0)</f>
        <v>0</v>
      </c>
      <c r="G248" s="217">
        <f>IF(ISNUMBER(VLOOKUP($B:$B,BS!$A:$D,$2:$2,0)),VLOOKUP($B:$B,BS!$A:$D,$2:$2,0),0)</f>
        <v>0</v>
      </c>
      <c r="H248" s="207">
        <f>IF(ISNUMBER(VLOOKUP($B:$B,'BS(과거)'!$A:$F,$2:$2,0)),VLOOKUP($B:$B,'BS(과거)'!$A:$F,$2:$2,0),0)</f>
        <v>0</v>
      </c>
      <c r="I248" s="207">
        <f>IF(ISNUMBER(VLOOKUP($B:$B,'BS(과거)'!$A:$F,$2:$2,0)),VLOOKUP($B:$B,'BS(과거)'!$A:$F,$2:$2,0),0)</f>
        <v>0</v>
      </c>
      <c r="J248" s="207">
        <f>IF(ISNUMBER(VLOOKUP($B:$B,'BS(과거)'!$A:$F,$2:$2,0)),VLOOKUP($B:$B,'BS(과거)'!$A:$F,$2:$2,0),0)</f>
        <v>0</v>
      </c>
      <c r="K248" s="207">
        <f>IF(ISNUMBER(VLOOKUP($B:$B,'BS(과거)'!$A:$F,$2:$2,0)),VLOOKUP($B:$B,'BS(과거)'!$A:$F,$2:$2,0),0)</f>
        <v>0</v>
      </c>
      <c r="L248" s="207">
        <f>IF(ISNUMBER(VLOOKUP($B:$B,'BS(과거)'!$A:$F,$2:$2,0)),VLOOKUP($B:$B,'BS(과거)'!$A:$F,$2:$2,0),0)</f>
        <v>0</v>
      </c>
      <c r="N248" s="207">
        <f>IF(ISNUMBER(VLOOKUP($B:$B,'BS(분기)'!$A:$F,$2:$2,0)),VLOOKUP($B:$B,'BS(분기)'!$A:$F,$2:$2,0),0)</f>
        <v>0</v>
      </c>
      <c r="O248" s="207">
        <f>IF(ISNUMBER(VLOOKUP($B:$B,'BS(분기)'!$A:$F,$2:$2,0)),VLOOKUP($B:$B,'BS(분기)'!$A:$F,$2:$2,0),0)</f>
        <v>0</v>
      </c>
      <c r="P248" s="207">
        <f>IF(ISNUMBER(VLOOKUP($B:$B,'BS(분기)'!$A:$F,$2:$2,0)),VLOOKUP($B:$B,'BS(분기)'!$A:$F,$2:$2,0),0)</f>
        <v>0</v>
      </c>
      <c r="Q248" s="207">
        <f>IF(ISNUMBER(VLOOKUP($B:$B,'BS(분기)'!$A:$F,$2:$2,0)),VLOOKUP($B:$B,'BS(분기)'!$A:$F,$2:$2,0),0)</f>
        <v>0</v>
      </c>
      <c r="R248" s="207">
        <f>IF(ISNUMBER(VLOOKUP($B:$B,'BS(분기)'!$A:$F,$2:$2,0)),VLOOKUP($B:$B,'BS(분기)'!$A:$F,$2:$2,0),0)</f>
        <v>0</v>
      </c>
    </row>
    <row r="249" spans="1:18" s="192" customFormat="1" ht="12">
      <c r="A249" s="201">
        <v>113203</v>
      </c>
      <c r="B249" s="194" t="s">
        <v>1024</v>
      </c>
      <c r="C249" s="217">
        <f>IF(ISNUMBER(VLOOKUP($B:$B,BS!$A:$D,$2:$2,0)),VLOOKUP($B:$B,BS!$A:$D,$2:$2,0),0)</f>
        <v>0</v>
      </c>
      <c r="D249" s="217">
        <f>IF(ISNUMBER(VLOOKUP($B:$B,BS!$A:$D,$2:$2,0)),VLOOKUP($B:$B,BS!$A:$D,$2:$2,0),0)</f>
        <v>0</v>
      </c>
      <c r="E249" s="217">
        <f>IF(ISNUMBER(VLOOKUP($B:$B,BS!$A:$D,$2:$2,0)),VLOOKUP($B:$B,BS!$A:$D,$2:$2,0),0)</f>
        <v>0</v>
      </c>
      <c r="F249" s="217">
        <f>IF(ISNUMBER(VLOOKUP($B:$B,BS!$A:$D,$2:$2,0)),VLOOKUP($B:$B,BS!$A:$D,$2:$2,0),0)</f>
        <v>0</v>
      </c>
      <c r="G249" s="217">
        <f>IF(ISNUMBER(VLOOKUP($B:$B,BS!$A:$D,$2:$2,0)),VLOOKUP($B:$B,BS!$A:$D,$2:$2,0),0)</f>
        <v>0</v>
      </c>
      <c r="H249" s="207">
        <f>IF(ISNUMBER(VLOOKUP($B:$B,'BS(과거)'!$A:$F,$2:$2,0)),VLOOKUP($B:$B,'BS(과거)'!$A:$F,$2:$2,0),0)</f>
        <v>0</v>
      </c>
      <c r="I249" s="207">
        <f>IF(ISNUMBER(VLOOKUP($B:$B,'BS(과거)'!$A:$F,$2:$2,0)),VLOOKUP($B:$B,'BS(과거)'!$A:$F,$2:$2,0),0)</f>
        <v>0</v>
      </c>
      <c r="J249" s="207">
        <f>IF(ISNUMBER(VLOOKUP($B:$B,'BS(과거)'!$A:$F,$2:$2,0)),VLOOKUP($B:$B,'BS(과거)'!$A:$F,$2:$2,0),0)</f>
        <v>0</v>
      </c>
      <c r="K249" s="207">
        <f>IF(ISNUMBER(VLOOKUP($B:$B,'BS(과거)'!$A:$F,$2:$2,0)),VLOOKUP($B:$B,'BS(과거)'!$A:$F,$2:$2,0),0)</f>
        <v>0</v>
      </c>
      <c r="L249" s="207">
        <f>IF(ISNUMBER(VLOOKUP($B:$B,'BS(과거)'!$A:$F,$2:$2,0)),VLOOKUP($B:$B,'BS(과거)'!$A:$F,$2:$2,0),0)</f>
        <v>0</v>
      </c>
      <c r="N249" s="207">
        <f>IF(ISNUMBER(VLOOKUP($B:$B,'BS(분기)'!$A:$F,$2:$2,0)),VLOOKUP($B:$B,'BS(분기)'!$A:$F,$2:$2,0),0)</f>
        <v>0</v>
      </c>
      <c r="O249" s="207">
        <f>IF(ISNUMBER(VLOOKUP($B:$B,'BS(분기)'!$A:$F,$2:$2,0)),VLOOKUP($B:$B,'BS(분기)'!$A:$F,$2:$2,0),0)</f>
        <v>0</v>
      </c>
      <c r="P249" s="207">
        <f>IF(ISNUMBER(VLOOKUP($B:$B,'BS(분기)'!$A:$F,$2:$2,0)),VLOOKUP($B:$B,'BS(분기)'!$A:$F,$2:$2,0),0)</f>
        <v>0</v>
      </c>
      <c r="Q249" s="207">
        <f>IF(ISNUMBER(VLOOKUP($B:$B,'BS(분기)'!$A:$F,$2:$2,0)),VLOOKUP($B:$B,'BS(분기)'!$A:$F,$2:$2,0),0)</f>
        <v>0</v>
      </c>
      <c r="R249" s="207">
        <f>IF(ISNUMBER(VLOOKUP($B:$B,'BS(분기)'!$A:$F,$2:$2,0)),VLOOKUP($B:$B,'BS(분기)'!$A:$F,$2:$2,0),0)</f>
        <v>0</v>
      </c>
    </row>
    <row r="250" spans="1:18" s="192" customFormat="1" ht="12">
      <c r="A250" s="201">
        <v>113201</v>
      </c>
      <c r="B250" s="194" t="s">
        <v>571</v>
      </c>
      <c r="C250" s="217">
        <f>IF(ISNUMBER(VLOOKUP($B:$B,BS!$A:$D,$2:$2,0)),VLOOKUP($B:$B,BS!$A:$D,$2:$2,0),0)</f>
        <v>0</v>
      </c>
      <c r="D250" s="217">
        <f>IF(ISNUMBER(VLOOKUP($B:$B,BS!$A:$D,$2:$2,0)),VLOOKUP($B:$B,BS!$A:$D,$2:$2,0),0)</f>
        <v>0</v>
      </c>
      <c r="E250" s="217">
        <f>IF(ISNUMBER(VLOOKUP($B:$B,BS!$A:$D,$2:$2,0)),VLOOKUP($B:$B,BS!$A:$D,$2:$2,0),0)</f>
        <v>0</v>
      </c>
      <c r="F250" s="217">
        <f>IF(ISNUMBER(VLOOKUP($B:$B,BS!$A:$D,$2:$2,0)),VLOOKUP($B:$B,BS!$A:$D,$2:$2,0),0)</f>
        <v>0</v>
      </c>
      <c r="G250" s="217">
        <f>IF(ISNUMBER(VLOOKUP($B:$B,BS!$A:$D,$2:$2,0)),VLOOKUP($B:$B,BS!$A:$D,$2:$2,0),0)</f>
        <v>0</v>
      </c>
      <c r="H250" s="207">
        <f>IF(ISNUMBER(VLOOKUP($B:$B,'BS(과거)'!$A:$F,$2:$2,0)),VLOOKUP($B:$B,'BS(과거)'!$A:$F,$2:$2,0),0)</f>
        <v>0</v>
      </c>
      <c r="I250" s="207">
        <f>IF(ISNUMBER(VLOOKUP($B:$B,'BS(과거)'!$A:$F,$2:$2,0)),VLOOKUP($B:$B,'BS(과거)'!$A:$F,$2:$2,0),0)</f>
        <v>0</v>
      </c>
      <c r="J250" s="207">
        <f>IF(ISNUMBER(VLOOKUP($B:$B,'BS(과거)'!$A:$F,$2:$2,0)),VLOOKUP($B:$B,'BS(과거)'!$A:$F,$2:$2,0),0)</f>
        <v>0</v>
      </c>
      <c r="K250" s="207">
        <f>IF(ISNUMBER(VLOOKUP($B:$B,'BS(과거)'!$A:$F,$2:$2,0)),VLOOKUP($B:$B,'BS(과거)'!$A:$F,$2:$2,0),0)</f>
        <v>0</v>
      </c>
      <c r="L250" s="207">
        <f>IF(ISNUMBER(VLOOKUP($B:$B,'BS(과거)'!$A:$F,$2:$2,0)),VLOOKUP($B:$B,'BS(과거)'!$A:$F,$2:$2,0),0)</f>
        <v>0</v>
      </c>
      <c r="N250" s="207">
        <f>IF(ISNUMBER(VLOOKUP($B:$B,'BS(분기)'!$A:$F,$2:$2,0)),VLOOKUP($B:$B,'BS(분기)'!$A:$F,$2:$2,0),0)</f>
        <v>0</v>
      </c>
      <c r="O250" s="207">
        <f>IF(ISNUMBER(VLOOKUP($B:$B,'BS(분기)'!$A:$F,$2:$2,0)),VLOOKUP($B:$B,'BS(분기)'!$A:$F,$2:$2,0),0)</f>
        <v>0</v>
      </c>
      <c r="P250" s="207">
        <f>IF(ISNUMBER(VLOOKUP($B:$B,'BS(분기)'!$A:$F,$2:$2,0)),VLOOKUP($B:$B,'BS(분기)'!$A:$F,$2:$2,0),0)</f>
        <v>0</v>
      </c>
      <c r="Q250" s="207">
        <f>IF(ISNUMBER(VLOOKUP($B:$B,'BS(분기)'!$A:$F,$2:$2,0)),VLOOKUP($B:$B,'BS(분기)'!$A:$F,$2:$2,0),0)</f>
        <v>0</v>
      </c>
      <c r="R250" s="207">
        <f>IF(ISNUMBER(VLOOKUP($B:$B,'BS(분기)'!$A:$F,$2:$2,0)),VLOOKUP($B:$B,'BS(분기)'!$A:$F,$2:$2,0),0)</f>
        <v>0</v>
      </c>
    </row>
    <row r="251" spans="1:18" s="192" customFormat="1" ht="12">
      <c r="A251" s="201">
        <v>113204</v>
      </c>
      <c r="B251" s="194" t="s">
        <v>1025</v>
      </c>
      <c r="C251" s="217">
        <f>IF(ISNUMBER(VLOOKUP($B:$B,BS!$A:$D,$2:$2,0)),VLOOKUP($B:$B,BS!$A:$D,$2:$2,0),0)</f>
        <v>0</v>
      </c>
      <c r="D251" s="217">
        <f>IF(ISNUMBER(VLOOKUP($B:$B,BS!$A:$D,$2:$2,0)),VLOOKUP($B:$B,BS!$A:$D,$2:$2,0),0)</f>
        <v>0</v>
      </c>
      <c r="E251" s="217">
        <f>IF(ISNUMBER(VLOOKUP($B:$B,BS!$A:$D,$2:$2,0)),VLOOKUP($B:$B,BS!$A:$D,$2:$2,0),0)</f>
        <v>0</v>
      </c>
      <c r="F251" s="217">
        <f>IF(ISNUMBER(VLOOKUP($B:$B,BS!$A:$D,$2:$2,0)),VLOOKUP($B:$B,BS!$A:$D,$2:$2,0),0)</f>
        <v>0</v>
      </c>
      <c r="G251" s="217">
        <f>IF(ISNUMBER(VLOOKUP($B:$B,BS!$A:$D,$2:$2,0)),VLOOKUP($B:$B,BS!$A:$D,$2:$2,0),0)</f>
        <v>0</v>
      </c>
      <c r="H251" s="207">
        <f>IF(ISNUMBER(VLOOKUP($B:$B,'BS(과거)'!$A:$F,$2:$2,0)),VLOOKUP($B:$B,'BS(과거)'!$A:$F,$2:$2,0),0)</f>
        <v>0</v>
      </c>
      <c r="I251" s="207">
        <f>IF(ISNUMBER(VLOOKUP($B:$B,'BS(과거)'!$A:$F,$2:$2,0)),VLOOKUP($B:$B,'BS(과거)'!$A:$F,$2:$2,0),0)</f>
        <v>0</v>
      </c>
      <c r="J251" s="207">
        <f>IF(ISNUMBER(VLOOKUP($B:$B,'BS(과거)'!$A:$F,$2:$2,0)),VLOOKUP($B:$B,'BS(과거)'!$A:$F,$2:$2,0),0)</f>
        <v>0</v>
      </c>
      <c r="K251" s="207">
        <f>IF(ISNUMBER(VLOOKUP($B:$B,'BS(과거)'!$A:$F,$2:$2,0)),VLOOKUP($B:$B,'BS(과거)'!$A:$F,$2:$2,0),0)</f>
        <v>0</v>
      </c>
      <c r="L251" s="207">
        <f>IF(ISNUMBER(VLOOKUP($B:$B,'BS(과거)'!$A:$F,$2:$2,0)),VLOOKUP($B:$B,'BS(과거)'!$A:$F,$2:$2,0),0)</f>
        <v>0</v>
      </c>
      <c r="N251" s="207">
        <f>IF(ISNUMBER(VLOOKUP($B:$B,'BS(분기)'!$A:$F,$2:$2,0)),VLOOKUP($B:$B,'BS(분기)'!$A:$F,$2:$2,0),0)</f>
        <v>0</v>
      </c>
      <c r="O251" s="207">
        <f>IF(ISNUMBER(VLOOKUP($B:$B,'BS(분기)'!$A:$F,$2:$2,0)),VLOOKUP($B:$B,'BS(분기)'!$A:$F,$2:$2,0),0)</f>
        <v>0</v>
      </c>
      <c r="P251" s="207">
        <f>IF(ISNUMBER(VLOOKUP($B:$B,'BS(분기)'!$A:$F,$2:$2,0)),VLOOKUP($B:$B,'BS(분기)'!$A:$F,$2:$2,0),0)</f>
        <v>0</v>
      </c>
      <c r="Q251" s="207">
        <f>IF(ISNUMBER(VLOOKUP($B:$B,'BS(분기)'!$A:$F,$2:$2,0)),VLOOKUP($B:$B,'BS(분기)'!$A:$F,$2:$2,0),0)</f>
        <v>0</v>
      </c>
      <c r="R251" s="207">
        <f>IF(ISNUMBER(VLOOKUP($B:$B,'BS(분기)'!$A:$F,$2:$2,0)),VLOOKUP($B:$B,'BS(분기)'!$A:$F,$2:$2,0),0)</f>
        <v>0</v>
      </c>
    </row>
    <row r="252" spans="1:18" s="192" customFormat="1" ht="12">
      <c r="A252" s="201">
        <v>113205</v>
      </c>
      <c r="B252" s="194" t="s">
        <v>1026</v>
      </c>
      <c r="C252" s="217">
        <f>IF(ISNUMBER(VLOOKUP($B:$B,BS!$A:$D,$2:$2,0)),VLOOKUP($B:$B,BS!$A:$D,$2:$2,0),0)</f>
        <v>0</v>
      </c>
      <c r="D252" s="217">
        <f>IF(ISNUMBER(VLOOKUP($B:$B,BS!$A:$D,$2:$2,0)),VLOOKUP($B:$B,BS!$A:$D,$2:$2,0),0)</f>
        <v>0</v>
      </c>
      <c r="E252" s="217">
        <f>IF(ISNUMBER(VLOOKUP($B:$B,BS!$A:$D,$2:$2,0)),VLOOKUP($B:$B,BS!$A:$D,$2:$2,0),0)</f>
        <v>0</v>
      </c>
      <c r="F252" s="217">
        <f>IF(ISNUMBER(VLOOKUP($B:$B,BS!$A:$D,$2:$2,0)),VLOOKUP($B:$B,BS!$A:$D,$2:$2,0),0)</f>
        <v>0</v>
      </c>
      <c r="G252" s="217">
        <f>IF(ISNUMBER(VLOOKUP($B:$B,BS!$A:$D,$2:$2,0)),VLOOKUP($B:$B,BS!$A:$D,$2:$2,0),0)</f>
        <v>0</v>
      </c>
      <c r="H252" s="207">
        <f>IF(ISNUMBER(VLOOKUP($B:$B,'BS(과거)'!$A:$F,$2:$2,0)),VLOOKUP($B:$B,'BS(과거)'!$A:$F,$2:$2,0),0)</f>
        <v>0</v>
      </c>
      <c r="I252" s="207">
        <f>IF(ISNUMBER(VLOOKUP($B:$B,'BS(과거)'!$A:$F,$2:$2,0)),VLOOKUP($B:$B,'BS(과거)'!$A:$F,$2:$2,0),0)</f>
        <v>0</v>
      </c>
      <c r="J252" s="207">
        <f>IF(ISNUMBER(VLOOKUP($B:$B,'BS(과거)'!$A:$F,$2:$2,0)),VLOOKUP($B:$B,'BS(과거)'!$A:$F,$2:$2,0),0)</f>
        <v>0</v>
      </c>
      <c r="K252" s="207">
        <f>IF(ISNUMBER(VLOOKUP($B:$B,'BS(과거)'!$A:$F,$2:$2,0)),VLOOKUP($B:$B,'BS(과거)'!$A:$F,$2:$2,0),0)</f>
        <v>0</v>
      </c>
      <c r="L252" s="207">
        <f>IF(ISNUMBER(VLOOKUP($B:$B,'BS(과거)'!$A:$F,$2:$2,0)),VLOOKUP($B:$B,'BS(과거)'!$A:$F,$2:$2,0),0)</f>
        <v>0</v>
      </c>
      <c r="N252" s="207">
        <f>IF(ISNUMBER(VLOOKUP($B:$B,'BS(분기)'!$A:$F,$2:$2,0)),VLOOKUP($B:$B,'BS(분기)'!$A:$F,$2:$2,0),0)</f>
        <v>0</v>
      </c>
      <c r="O252" s="207">
        <f>IF(ISNUMBER(VLOOKUP($B:$B,'BS(분기)'!$A:$F,$2:$2,0)),VLOOKUP($B:$B,'BS(분기)'!$A:$F,$2:$2,0),0)</f>
        <v>0</v>
      </c>
      <c r="P252" s="207">
        <f>IF(ISNUMBER(VLOOKUP($B:$B,'BS(분기)'!$A:$F,$2:$2,0)),VLOOKUP($B:$B,'BS(분기)'!$A:$F,$2:$2,0),0)</f>
        <v>0</v>
      </c>
      <c r="Q252" s="207">
        <f>IF(ISNUMBER(VLOOKUP($B:$B,'BS(분기)'!$A:$F,$2:$2,0)),VLOOKUP($B:$B,'BS(분기)'!$A:$F,$2:$2,0),0)</f>
        <v>0</v>
      </c>
      <c r="R252" s="207">
        <f>IF(ISNUMBER(VLOOKUP($B:$B,'BS(분기)'!$A:$F,$2:$2,0)),VLOOKUP($B:$B,'BS(분기)'!$A:$F,$2:$2,0),0)</f>
        <v>0</v>
      </c>
    </row>
    <row r="253" spans="1:18" s="192" customFormat="1" ht="12">
      <c r="A253" s="202">
        <v>113310</v>
      </c>
      <c r="B253" s="195" t="s">
        <v>1027</v>
      </c>
      <c r="C253" s="217">
        <f>IF(ISNUMBER(VLOOKUP($B:$B,BS!$A:$D,$2:$2,0)),VLOOKUP($B:$B,BS!$A:$D,$2:$2,0),0)</f>
        <v>0</v>
      </c>
      <c r="D253" s="217">
        <f>IF(ISNUMBER(VLOOKUP($B:$B,BS!$A:$D,$2:$2,0)),VLOOKUP($B:$B,BS!$A:$D,$2:$2,0),0)</f>
        <v>0</v>
      </c>
      <c r="E253" s="217">
        <f>IF(ISNUMBER(VLOOKUP($B:$B,BS!$A:$D,$2:$2,0)),VLOOKUP($B:$B,BS!$A:$D,$2:$2,0),0)</f>
        <v>0</v>
      </c>
      <c r="F253" s="217">
        <f>IF(ISNUMBER(VLOOKUP($B:$B,BS!$A:$D,$2:$2,0)),VLOOKUP($B:$B,BS!$A:$D,$2:$2,0),0)</f>
        <v>0</v>
      </c>
      <c r="G253" s="217">
        <f>IF(ISNUMBER(VLOOKUP($B:$B,BS!$A:$D,$2:$2,0)),VLOOKUP($B:$B,BS!$A:$D,$2:$2,0),0)</f>
        <v>0</v>
      </c>
      <c r="H253" s="207">
        <f>IF(ISNUMBER(VLOOKUP($B:$B,'BS(과거)'!$A:$F,$2:$2,0)),VLOOKUP($B:$B,'BS(과거)'!$A:$F,$2:$2,0),0)</f>
        <v>0</v>
      </c>
      <c r="I253" s="207">
        <f>IF(ISNUMBER(VLOOKUP($B:$B,'BS(과거)'!$A:$F,$2:$2,0)),VLOOKUP($B:$B,'BS(과거)'!$A:$F,$2:$2,0),0)</f>
        <v>0</v>
      </c>
      <c r="J253" s="207">
        <f>IF(ISNUMBER(VLOOKUP($B:$B,'BS(과거)'!$A:$F,$2:$2,0)),VLOOKUP($B:$B,'BS(과거)'!$A:$F,$2:$2,0),0)</f>
        <v>0</v>
      </c>
      <c r="K253" s="207">
        <f>IF(ISNUMBER(VLOOKUP($B:$B,'BS(과거)'!$A:$F,$2:$2,0)),VLOOKUP($B:$B,'BS(과거)'!$A:$F,$2:$2,0),0)</f>
        <v>0</v>
      </c>
      <c r="L253" s="207">
        <f>IF(ISNUMBER(VLOOKUP($B:$B,'BS(과거)'!$A:$F,$2:$2,0)),VLOOKUP($B:$B,'BS(과거)'!$A:$F,$2:$2,0),0)</f>
        <v>0</v>
      </c>
      <c r="N253" s="207">
        <f>IF(ISNUMBER(VLOOKUP($B:$B,'BS(분기)'!$A:$F,$2:$2,0)),VLOOKUP($B:$B,'BS(분기)'!$A:$F,$2:$2,0),0)</f>
        <v>0</v>
      </c>
      <c r="O253" s="207">
        <f>IF(ISNUMBER(VLOOKUP($B:$B,'BS(분기)'!$A:$F,$2:$2,0)),VLOOKUP($B:$B,'BS(분기)'!$A:$F,$2:$2,0),0)</f>
        <v>0</v>
      </c>
      <c r="P253" s="207">
        <f>IF(ISNUMBER(VLOOKUP($B:$B,'BS(분기)'!$A:$F,$2:$2,0)),VLOOKUP($B:$B,'BS(분기)'!$A:$F,$2:$2,0),0)</f>
        <v>0</v>
      </c>
      <c r="Q253" s="207">
        <f>IF(ISNUMBER(VLOOKUP($B:$B,'BS(분기)'!$A:$F,$2:$2,0)),VLOOKUP($B:$B,'BS(분기)'!$A:$F,$2:$2,0),0)</f>
        <v>0</v>
      </c>
      <c r="R253" s="207">
        <f>IF(ISNUMBER(VLOOKUP($B:$B,'BS(분기)'!$A:$F,$2:$2,0)),VLOOKUP($B:$B,'BS(분기)'!$A:$F,$2:$2,0),0)</f>
        <v>0</v>
      </c>
    </row>
    <row r="254" spans="1:18" s="192" customFormat="1" ht="12">
      <c r="A254" s="202">
        <v>113311</v>
      </c>
      <c r="B254" s="195" t="s">
        <v>1028</v>
      </c>
      <c r="C254" s="217">
        <f>IF(ISNUMBER(VLOOKUP($B:$B,BS!$A:$D,$2:$2,0)),VLOOKUP($B:$B,BS!$A:$D,$2:$2,0),0)</f>
        <v>0</v>
      </c>
      <c r="D254" s="217">
        <f>IF(ISNUMBER(VLOOKUP($B:$B,BS!$A:$D,$2:$2,0)),VLOOKUP($B:$B,BS!$A:$D,$2:$2,0),0)</f>
        <v>0</v>
      </c>
      <c r="E254" s="217">
        <f>IF(ISNUMBER(VLOOKUP($B:$B,BS!$A:$D,$2:$2,0)),VLOOKUP($B:$B,BS!$A:$D,$2:$2,0),0)</f>
        <v>0</v>
      </c>
      <c r="F254" s="217">
        <f>IF(ISNUMBER(VLOOKUP($B:$B,BS!$A:$D,$2:$2,0)),VLOOKUP($B:$B,BS!$A:$D,$2:$2,0),0)</f>
        <v>0</v>
      </c>
      <c r="G254" s="217">
        <f>IF(ISNUMBER(VLOOKUP($B:$B,BS!$A:$D,$2:$2,0)),VLOOKUP($B:$B,BS!$A:$D,$2:$2,0),0)</f>
        <v>0</v>
      </c>
      <c r="H254" s="207">
        <f>IF(ISNUMBER(VLOOKUP($B:$B,'BS(과거)'!$A:$F,$2:$2,0)),VLOOKUP($B:$B,'BS(과거)'!$A:$F,$2:$2,0),0)</f>
        <v>0</v>
      </c>
      <c r="I254" s="207">
        <f>IF(ISNUMBER(VLOOKUP($B:$B,'BS(과거)'!$A:$F,$2:$2,0)),VLOOKUP($B:$B,'BS(과거)'!$A:$F,$2:$2,0),0)</f>
        <v>0</v>
      </c>
      <c r="J254" s="207">
        <f>IF(ISNUMBER(VLOOKUP($B:$B,'BS(과거)'!$A:$F,$2:$2,0)),VLOOKUP($B:$B,'BS(과거)'!$A:$F,$2:$2,0),0)</f>
        <v>0</v>
      </c>
      <c r="K254" s="207">
        <f>IF(ISNUMBER(VLOOKUP($B:$B,'BS(과거)'!$A:$F,$2:$2,0)),VLOOKUP($B:$B,'BS(과거)'!$A:$F,$2:$2,0),0)</f>
        <v>0</v>
      </c>
      <c r="L254" s="207">
        <f>IF(ISNUMBER(VLOOKUP($B:$B,'BS(과거)'!$A:$F,$2:$2,0)),VLOOKUP($B:$B,'BS(과거)'!$A:$F,$2:$2,0),0)</f>
        <v>0</v>
      </c>
      <c r="N254" s="207">
        <f>IF(ISNUMBER(VLOOKUP($B:$B,'BS(분기)'!$A:$F,$2:$2,0)),VLOOKUP($B:$B,'BS(분기)'!$A:$F,$2:$2,0),0)</f>
        <v>0</v>
      </c>
      <c r="O254" s="207">
        <f>IF(ISNUMBER(VLOOKUP($B:$B,'BS(분기)'!$A:$F,$2:$2,0)),VLOOKUP($B:$B,'BS(분기)'!$A:$F,$2:$2,0),0)</f>
        <v>0</v>
      </c>
      <c r="P254" s="207">
        <f>IF(ISNUMBER(VLOOKUP($B:$B,'BS(분기)'!$A:$F,$2:$2,0)),VLOOKUP($B:$B,'BS(분기)'!$A:$F,$2:$2,0),0)</f>
        <v>0</v>
      </c>
      <c r="Q254" s="207">
        <f>IF(ISNUMBER(VLOOKUP($B:$B,'BS(분기)'!$A:$F,$2:$2,0)),VLOOKUP($B:$B,'BS(분기)'!$A:$F,$2:$2,0),0)</f>
        <v>0</v>
      </c>
      <c r="R254" s="207">
        <f>IF(ISNUMBER(VLOOKUP($B:$B,'BS(분기)'!$A:$F,$2:$2,0)),VLOOKUP($B:$B,'BS(분기)'!$A:$F,$2:$2,0),0)</f>
        <v>0</v>
      </c>
    </row>
    <row r="255" spans="1:18" s="192" customFormat="1" ht="12">
      <c r="A255" s="202">
        <v>112485</v>
      </c>
      <c r="B255" s="195" t="s">
        <v>1029</v>
      </c>
      <c r="C255" s="217">
        <f>IF(ISNUMBER(VLOOKUP($B:$B,BS!$A:$D,$2:$2,0)),VLOOKUP($B:$B,BS!$A:$D,$2:$2,0),0)</f>
        <v>0</v>
      </c>
      <c r="D255" s="217">
        <f>IF(ISNUMBER(VLOOKUP($B:$B,BS!$A:$D,$2:$2,0)),VLOOKUP($B:$B,BS!$A:$D,$2:$2,0),0)</f>
        <v>0</v>
      </c>
      <c r="E255" s="217">
        <f>IF(ISNUMBER(VLOOKUP($B:$B,BS!$A:$D,$2:$2,0)),VLOOKUP($B:$B,BS!$A:$D,$2:$2,0),0)</f>
        <v>0</v>
      </c>
      <c r="F255" s="217">
        <f>IF(ISNUMBER(VLOOKUP($B:$B,BS!$A:$D,$2:$2,0)),VLOOKUP($B:$B,BS!$A:$D,$2:$2,0),0)</f>
        <v>0</v>
      </c>
      <c r="G255" s="217">
        <f>IF(ISNUMBER(VLOOKUP($B:$B,BS!$A:$D,$2:$2,0)),VLOOKUP($B:$B,BS!$A:$D,$2:$2,0),0)</f>
        <v>0</v>
      </c>
      <c r="H255" s="207">
        <f>IF(ISNUMBER(VLOOKUP($B:$B,'BS(과거)'!$A:$F,$2:$2,0)),VLOOKUP($B:$B,'BS(과거)'!$A:$F,$2:$2,0),0)</f>
        <v>0</v>
      </c>
      <c r="I255" s="207">
        <f>IF(ISNUMBER(VLOOKUP($B:$B,'BS(과거)'!$A:$F,$2:$2,0)),VLOOKUP($B:$B,'BS(과거)'!$A:$F,$2:$2,0),0)</f>
        <v>0</v>
      </c>
      <c r="J255" s="207">
        <f>IF(ISNUMBER(VLOOKUP($B:$B,'BS(과거)'!$A:$F,$2:$2,0)),VLOOKUP($B:$B,'BS(과거)'!$A:$F,$2:$2,0),0)</f>
        <v>0</v>
      </c>
      <c r="K255" s="207">
        <f>IF(ISNUMBER(VLOOKUP($B:$B,'BS(과거)'!$A:$F,$2:$2,0)),VLOOKUP($B:$B,'BS(과거)'!$A:$F,$2:$2,0),0)</f>
        <v>0</v>
      </c>
      <c r="L255" s="207">
        <f>IF(ISNUMBER(VLOOKUP($B:$B,'BS(과거)'!$A:$F,$2:$2,0)),VLOOKUP($B:$B,'BS(과거)'!$A:$F,$2:$2,0),0)</f>
        <v>0</v>
      </c>
      <c r="N255" s="207">
        <f>IF(ISNUMBER(VLOOKUP($B:$B,'BS(분기)'!$A:$F,$2:$2,0)),VLOOKUP($B:$B,'BS(분기)'!$A:$F,$2:$2,0),0)</f>
        <v>0</v>
      </c>
      <c r="O255" s="207">
        <f>IF(ISNUMBER(VLOOKUP($B:$B,'BS(분기)'!$A:$F,$2:$2,0)),VLOOKUP($B:$B,'BS(분기)'!$A:$F,$2:$2,0),0)</f>
        <v>0</v>
      </c>
      <c r="P255" s="207">
        <f>IF(ISNUMBER(VLOOKUP($B:$B,'BS(분기)'!$A:$F,$2:$2,0)),VLOOKUP($B:$B,'BS(분기)'!$A:$F,$2:$2,0),0)</f>
        <v>0</v>
      </c>
      <c r="Q255" s="207">
        <f>IF(ISNUMBER(VLOOKUP($B:$B,'BS(분기)'!$A:$F,$2:$2,0)),VLOOKUP($B:$B,'BS(분기)'!$A:$F,$2:$2,0),0)</f>
        <v>0</v>
      </c>
      <c r="R255" s="207">
        <f>IF(ISNUMBER(VLOOKUP($B:$B,'BS(분기)'!$A:$F,$2:$2,0)),VLOOKUP($B:$B,'BS(분기)'!$A:$F,$2:$2,0),0)</f>
        <v>0</v>
      </c>
    </row>
    <row r="256" spans="1:18" s="192" customFormat="1" ht="12">
      <c r="A256" s="202">
        <v>112486</v>
      </c>
      <c r="B256" s="195" t="s">
        <v>1030</v>
      </c>
      <c r="C256" s="217">
        <f>IF(ISNUMBER(VLOOKUP($B:$B,BS!$A:$D,$2:$2,0)),VLOOKUP($B:$B,BS!$A:$D,$2:$2,0),0)</f>
        <v>0</v>
      </c>
      <c r="D256" s="217">
        <f>IF(ISNUMBER(VLOOKUP($B:$B,BS!$A:$D,$2:$2,0)),VLOOKUP($B:$B,BS!$A:$D,$2:$2,0),0)</f>
        <v>0</v>
      </c>
      <c r="E256" s="217">
        <f>IF(ISNUMBER(VLOOKUP($B:$B,BS!$A:$D,$2:$2,0)),VLOOKUP($B:$B,BS!$A:$D,$2:$2,0),0)</f>
        <v>0</v>
      </c>
      <c r="F256" s="217">
        <f>IF(ISNUMBER(VLOOKUP($B:$B,BS!$A:$D,$2:$2,0)),VLOOKUP($B:$B,BS!$A:$D,$2:$2,0),0)</f>
        <v>0</v>
      </c>
      <c r="G256" s="217">
        <f>IF(ISNUMBER(VLOOKUP($B:$B,BS!$A:$D,$2:$2,0)),VLOOKUP($B:$B,BS!$A:$D,$2:$2,0),0)</f>
        <v>0</v>
      </c>
      <c r="H256" s="207">
        <f>IF(ISNUMBER(VLOOKUP($B:$B,'BS(과거)'!$A:$F,$2:$2,0)),VLOOKUP($B:$B,'BS(과거)'!$A:$F,$2:$2,0),0)</f>
        <v>0</v>
      </c>
      <c r="I256" s="207">
        <f>IF(ISNUMBER(VLOOKUP($B:$B,'BS(과거)'!$A:$F,$2:$2,0)),VLOOKUP($B:$B,'BS(과거)'!$A:$F,$2:$2,0),0)</f>
        <v>0</v>
      </c>
      <c r="J256" s="207">
        <f>IF(ISNUMBER(VLOOKUP($B:$B,'BS(과거)'!$A:$F,$2:$2,0)),VLOOKUP($B:$B,'BS(과거)'!$A:$F,$2:$2,0),0)</f>
        <v>0</v>
      </c>
      <c r="K256" s="207">
        <f>IF(ISNUMBER(VLOOKUP($B:$B,'BS(과거)'!$A:$F,$2:$2,0)),VLOOKUP($B:$B,'BS(과거)'!$A:$F,$2:$2,0),0)</f>
        <v>0</v>
      </c>
      <c r="L256" s="207">
        <f>IF(ISNUMBER(VLOOKUP($B:$B,'BS(과거)'!$A:$F,$2:$2,0)),VLOOKUP($B:$B,'BS(과거)'!$A:$F,$2:$2,0),0)</f>
        <v>0</v>
      </c>
      <c r="N256" s="207">
        <f>IF(ISNUMBER(VLOOKUP($B:$B,'BS(분기)'!$A:$F,$2:$2,0)),VLOOKUP($B:$B,'BS(분기)'!$A:$F,$2:$2,0),0)</f>
        <v>0</v>
      </c>
      <c r="O256" s="207">
        <f>IF(ISNUMBER(VLOOKUP($B:$B,'BS(분기)'!$A:$F,$2:$2,0)),VLOOKUP($B:$B,'BS(분기)'!$A:$F,$2:$2,0),0)</f>
        <v>0</v>
      </c>
      <c r="P256" s="207">
        <f>IF(ISNUMBER(VLOOKUP($B:$B,'BS(분기)'!$A:$F,$2:$2,0)),VLOOKUP($B:$B,'BS(분기)'!$A:$F,$2:$2,0),0)</f>
        <v>0</v>
      </c>
      <c r="Q256" s="207">
        <f>IF(ISNUMBER(VLOOKUP($B:$B,'BS(분기)'!$A:$F,$2:$2,0)),VLOOKUP($B:$B,'BS(분기)'!$A:$F,$2:$2,0),0)</f>
        <v>0</v>
      </c>
      <c r="R256" s="207">
        <f>IF(ISNUMBER(VLOOKUP($B:$B,'BS(분기)'!$A:$F,$2:$2,0)),VLOOKUP($B:$B,'BS(분기)'!$A:$F,$2:$2,0),0)</f>
        <v>0</v>
      </c>
    </row>
    <row r="257" spans="1:18" s="192" customFormat="1" ht="12">
      <c r="A257" s="202">
        <v>112487</v>
      </c>
      <c r="B257" s="195" t="s">
        <v>1031</v>
      </c>
      <c r="C257" s="217">
        <f>IF(ISNUMBER(VLOOKUP($B:$B,BS!$A:$D,$2:$2,0)),VLOOKUP($B:$B,BS!$A:$D,$2:$2,0),0)</f>
        <v>0</v>
      </c>
      <c r="D257" s="217">
        <f>IF(ISNUMBER(VLOOKUP($B:$B,BS!$A:$D,$2:$2,0)),VLOOKUP($B:$B,BS!$A:$D,$2:$2,0),0)</f>
        <v>0</v>
      </c>
      <c r="E257" s="217">
        <f>IF(ISNUMBER(VLOOKUP($B:$B,BS!$A:$D,$2:$2,0)),VLOOKUP($B:$B,BS!$A:$D,$2:$2,0),0)</f>
        <v>0</v>
      </c>
      <c r="F257" s="217">
        <f>IF(ISNUMBER(VLOOKUP($B:$B,BS!$A:$D,$2:$2,0)),VLOOKUP($B:$B,BS!$A:$D,$2:$2,0),0)</f>
        <v>0</v>
      </c>
      <c r="G257" s="217">
        <f>IF(ISNUMBER(VLOOKUP($B:$B,BS!$A:$D,$2:$2,0)),VLOOKUP($B:$B,BS!$A:$D,$2:$2,0),0)</f>
        <v>0</v>
      </c>
      <c r="H257" s="207">
        <f>IF(ISNUMBER(VLOOKUP($B:$B,'BS(과거)'!$A:$F,$2:$2,0)),VLOOKUP($B:$B,'BS(과거)'!$A:$F,$2:$2,0),0)</f>
        <v>0</v>
      </c>
      <c r="I257" s="207">
        <f>IF(ISNUMBER(VLOOKUP($B:$B,'BS(과거)'!$A:$F,$2:$2,0)),VLOOKUP($B:$B,'BS(과거)'!$A:$F,$2:$2,0),0)</f>
        <v>0</v>
      </c>
      <c r="J257" s="207">
        <f>IF(ISNUMBER(VLOOKUP($B:$B,'BS(과거)'!$A:$F,$2:$2,0)),VLOOKUP($B:$B,'BS(과거)'!$A:$F,$2:$2,0),0)</f>
        <v>0</v>
      </c>
      <c r="K257" s="207">
        <f>IF(ISNUMBER(VLOOKUP($B:$B,'BS(과거)'!$A:$F,$2:$2,0)),VLOOKUP($B:$B,'BS(과거)'!$A:$F,$2:$2,0),0)</f>
        <v>0</v>
      </c>
      <c r="L257" s="207">
        <f>IF(ISNUMBER(VLOOKUP($B:$B,'BS(과거)'!$A:$F,$2:$2,0)),VLOOKUP($B:$B,'BS(과거)'!$A:$F,$2:$2,0),0)</f>
        <v>0</v>
      </c>
      <c r="N257" s="207">
        <f>IF(ISNUMBER(VLOOKUP($B:$B,'BS(분기)'!$A:$F,$2:$2,0)),VLOOKUP($B:$B,'BS(분기)'!$A:$F,$2:$2,0),0)</f>
        <v>0</v>
      </c>
      <c r="O257" s="207">
        <f>IF(ISNUMBER(VLOOKUP($B:$B,'BS(분기)'!$A:$F,$2:$2,0)),VLOOKUP($B:$B,'BS(분기)'!$A:$F,$2:$2,0),0)</f>
        <v>0</v>
      </c>
      <c r="P257" s="207">
        <f>IF(ISNUMBER(VLOOKUP($B:$B,'BS(분기)'!$A:$F,$2:$2,0)),VLOOKUP($B:$B,'BS(분기)'!$A:$F,$2:$2,0),0)</f>
        <v>0</v>
      </c>
      <c r="Q257" s="207">
        <f>IF(ISNUMBER(VLOOKUP($B:$B,'BS(분기)'!$A:$F,$2:$2,0)),VLOOKUP($B:$B,'BS(분기)'!$A:$F,$2:$2,0),0)</f>
        <v>0</v>
      </c>
      <c r="R257" s="207">
        <f>IF(ISNUMBER(VLOOKUP($B:$B,'BS(분기)'!$A:$F,$2:$2,0)),VLOOKUP($B:$B,'BS(분기)'!$A:$F,$2:$2,0),0)</f>
        <v>0</v>
      </c>
    </row>
    <row r="258" spans="1:18" s="192" customFormat="1" ht="12">
      <c r="A258" s="203">
        <v>113320</v>
      </c>
      <c r="B258" s="196" t="s">
        <v>1032</v>
      </c>
      <c r="C258" s="217">
        <f>IF(ISNUMBER(VLOOKUP($B:$B,BS!$A:$D,$2:$2,0)),VLOOKUP($B:$B,BS!$A:$D,$2:$2,0),0)</f>
        <v>0</v>
      </c>
      <c r="D258" s="217">
        <f>IF(ISNUMBER(VLOOKUP($B:$B,BS!$A:$D,$2:$2,0)),VLOOKUP($B:$B,BS!$A:$D,$2:$2,0),0)</f>
        <v>0</v>
      </c>
      <c r="E258" s="217">
        <f>IF(ISNUMBER(VLOOKUP($B:$B,BS!$A:$D,$2:$2,0)),VLOOKUP($B:$B,BS!$A:$D,$2:$2,0),0)</f>
        <v>0</v>
      </c>
      <c r="F258" s="217">
        <f>IF(ISNUMBER(VLOOKUP($B:$B,BS!$A:$D,$2:$2,0)),VLOOKUP($B:$B,BS!$A:$D,$2:$2,0),0)</f>
        <v>0</v>
      </c>
      <c r="G258" s="217">
        <f>IF(ISNUMBER(VLOOKUP($B:$B,BS!$A:$D,$2:$2,0)),VLOOKUP($B:$B,BS!$A:$D,$2:$2,0),0)</f>
        <v>0</v>
      </c>
      <c r="H258" s="207">
        <f>IF(ISNUMBER(VLOOKUP($B:$B,'BS(과거)'!$A:$F,$2:$2,0)),VLOOKUP($B:$B,'BS(과거)'!$A:$F,$2:$2,0),0)</f>
        <v>0</v>
      </c>
      <c r="I258" s="207">
        <f>IF(ISNUMBER(VLOOKUP($B:$B,'BS(과거)'!$A:$F,$2:$2,0)),VLOOKUP($B:$B,'BS(과거)'!$A:$F,$2:$2,0),0)</f>
        <v>0</v>
      </c>
      <c r="J258" s="207">
        <f>IF(ISNUMBER(VLOOKUP($B:$B,'BS(과거)'!$A:$F,$2:$2,0)),VLOOKUP($B:$B,'BS(과거)'!$A:$F,$2:$2,0),0)</f>
        <v>0</v>
      </c>
      <c r="K258" s="207">
        <f>IF(ISNUMBER(VLOOKUP($B:$B,'BS(과거)'!$A:$F,$2:$2,0)),VLOOKUP($B:$B,'BS(과거)'!$A:$F,$2:$2,0),0)</f>
        <v>0</v>
      </c>
      <c r="L258" s="207">
        <f>IF(ISNUMBER(VLOOKUP($B:$B,'BS(과거)'!$A:$F,$2:$2,0)),VLOOKUP($B:$B,'BS(과거)'!$A:$F,$2:$2,0),0)</f>
        <v>0</v>
      </c>
      <c r="N258" s="207">
        <f>IF(ISNUMBER(VLOOKUP($B:$B,'BS(분기)'!$A:$F,$2:$2,0)),VLOOKUP($B:$B,'BS(분기)'!$A:$F,$2:$2,0),0)</f>
        <v>0</v>
      </c>
      <c r="O258" s="207">
        <f>IF(ISNUMBER(VLOOKUP($B:$B,'BS(분기)'!$A:$F,$2:$2,0)),VLOOKUP($B:$B,'BS(분기)'!$A:$F,$2:$2,0),0)</f>
        <v>0</v>
      </c>
      <c r="P258" s="207">
        <f>IF(ISNUMBER(VLOOKUP($B:$B,'BS(분기)'!$A:$F,$2:$2,0)),VLOOKUP($B:$B,'BS(분기)'!$A:$F,$2:$2,0),0)</f>
        <v>0</v>
      </c>
      <c r="Q258" s="207">
        <f>IF(ISNUMBER(VLOOKUP($B:$B,'BS(분기)'!$A:$F,$2:$2,0)),VLOOKUP($B:$B,'BS(분기)'!$A:$F,$2:$2,0),0)</f>
        <v>0</v>
      </c>
      <c r="R258" s="207">
        <f>IF(ISNUMBER(VLOOKUP($B:$B,'BS(분기)'!$A:$F,$2:$2,0)),VLOOKUP($B:$B,'BS(분기)'!$A:$F,$2:$2,0),0)</f>
        <v>0</v>
      </c>
    </row>
    <row r="259" spans="1:18" s="192" customFormat="1" ht="12">
      <c r="A259" s="203">
        <v>113321</v>
      </c>
      <c r="B259" s="196" t="s">
        <v>1033</v>
      </c>
      <c r="C259" s="217">
        <f>IF(ISNUMBER(VLOOKUP($B:$B,BS!$A:$D,$2:$2,0)),VLOOKUP($B:$B,BS!$A:$D,$2:$2,0),0)</f>
        <v>0</v>
      </c>
      <c r="D259" s="217">
        <f>IF(ISNUMBER(VLOOKUP($B:$B,BS!$A:$D,$2:$2,0)),VLOOKUP($B:$B,BS!$A:$D,$2:$2,0),0)</f>
        <v>0</v>
      </c>
      <c r="E259" s="217">
        <f>IF(ISNUMBER(VLOOKUP($B:$B,BS!$A:$D,$2:$2,0)),VLOOKUP($B:$B,BS!$A:$D,$2:$2,0),0)</f>
        <v>0</v>
      </c>
      <c r="F259" s="217">
        <f>IF(ISNUMBER(VLOOKUP($B:$B,BS!$A:$D,$2:$2,0)),VLOOKUP($B:$B,BS!$A:$D,$2:$2,0),0)</f>
        <v>0</v>
      </c>
      <c r="G259" s="217">
        <f>IF(ISNUMBER(VLOOKUP($B:$B,BS!$A:$D,$2:$2,0)),VLOOKUP($B:$B,BS!$A:$D,$2:$2,0),0)</f>
        <v>0</v>
      </c>
      <c r="H259" s="207">
        <f>IF(ISNUMBER(VLOOKUP($B:$B,'BS(과거)'!$A:$F,$2:$2,0)),VLOOKUP($B:$B,'BS(과거)'!$A:$F,$2:$2,0),0)</f>
        <v>0</v>
      </c>
      <c r="I259" s="207">
        <f>IF(ISNUMBER(VLOOKUP($B:$B,'BS(과거)'!$A:$F,$2:$2,0)),VLOOKUP($B:$B,'BS(과거)'!$A:$F,$2:$2,0),0)</f>
        <v>0</v>
      </c>
      <c r="J259" s="207">
        <f>IF(ISNUMBER(VLOOKUP($B:$B,'BS(과거)'!$A:$F,$2:$2,0)),VLOOKUP($B:$B,'BS(과거)'!$A:$F,$2:$2,0),0)</f>
        <v>0</v>
      </c>
      <c r="K259" s="207">
        <f>IF(ISNUMBER(VLOOKUP($B:$B,'BS(과거)'!$A:$F,$2:$2,0)),VLOOKUP($B:$B,'BS(과거)'!$A:$F,$2:$2,0),0)</f>
        <v>0</v>
      </c>
      <c r="L259" s="207">
        <f>IF(ISNUMBER(VLOOKUP($B:$B,'BS(과거)'!$A:$F,$2:$2,0)),VLOOKUP($B:$B,'BS(과거)'!$A:$F,$2:$2,0),0)</f>
        <v>0</v>
      </c>
      <c r="N259" s="207">
        <f>IF(ISNUMBER(VLOOKUP($B:$B,'BS(분기)'!$A:$F,$2:$2,0)),VLOOKUP($B:$B,'BS(분기)'!$A:$F,$2:$2,0),0)</f>
        <v>0</v>
      </c>
      <c r="O259" s="207">
        <f>IF(ISNUMBER(VLOOKUP($B:$B,'BS(분기)'!$A:$F,$2:$2,0)),VLOOKUP($B:$B,'BS(분기)'!$A:$F,$2:$2,0),0)</f>
        <v>0</v>
      </c>
      <c r="P259" s="207">
        <f>IF(ISNUMBER(VLOOKUP($B:$B,'BS(분기)'!$A:$F,$2:$2,0)),VLOOKUP($B:$B,'BS(분기)'!$A:$F,$2:$2,0),0)</f>
        <v>0</v>
      </c>
      <c r="Q259" s="207">
        <f>IF(ISNUMBER(VLOOKUP($B:$B,'BS(분기)'!$A:$F,$2:$2,0)),VLOOKUP($B:$B,'BS(분기)'!$A:$F,$2:$2,0),0)</f>
        <v>0</v>
      </c>
      <c r="R259" s="207">
        <f>IF(ISNUMBER(VLOOKUP($B:$B,'BS(분기)'!$A:$F,$2:$2,0)),VLOOKUP($B:$B,'BS(분기)'!$A:$F,$2:$2,0),0)</f>
        <v>0</v>
      </c>
    </row>
    <row r="260" spans="1:18" s="192" customFormat="1" ht="12">
      <c r="A260" s="203">
        <v>113330</v>
      </c>
      <c r="B260" s="196" t="s">
        <v>1034</v>
      </c>
      <c r="C260" s="217">
        <f>IF(ISNUMBER(VLOOKUP($B:$B,BS!$A:$D,$2:$2,0)),VLOOKUP($B:$B,BS!$A:$D,$2:$2,0),0)</f>
        <v>0</v>
      </c>
      <c r="D260" s="217">
        <f>IF(ISNUMBER(VLOOKUP($B:$B,BS!$A:$D,$2:$2,0)),VLOOKUP($B:$B,BS!$A:$D,$2:$2,0),0)</f>
        <v>0</v>
      </c>
      <c r="E260" s="217">
        <f>IF(ISNUMBER(VLOOKUP($B:$B,BS!$A:$D,$2:$2,0)),VLOOKUP($B:$B,BS!$A:$D,$2:$2,0),0)</f>
        <v>0</v>
      </c>
      <c r="F260" s="217">
        <f>IF(ISNUMBER(VLOOKUP($B:$B,BS!$A:$D,$2:$2,0)),VLOOKUP($B:$B,BS!$A:$D,$2:$2,0),0)</f>
        <v>0</v>
      </c>
      <c r="G260" s="217">
        <f>IF(ISNUMBER(VLOOKUP($B:$B,BS!$A:$D,$2:$2,0)),VLOOKUP($B:$B,BS!$A:$D,$2:$2,0),0)</f>
        <v>0</v>
      </c>
      <c r="H260" s="207">
        <f>IF(ISNUMBER(VLOOKUP($B:$B,'BS(과거)'!$A:$F,$2:$2,0)),VLOOKUP($B:$B,'BS(과거)'!$A:$F,$2:$2,0),0)</f>
        <v>0</v>
      </c>
      <c r="I260" s="207">
        <f>IF(ISNUMBER(VLOOKUP($B:$B,'BS(과거)'!$A:$F,$2:$2,0)),VLOOKUP($B:$B,'BS(과거)'!$A:$F,$2:$2,0),0)</f>
        <v>0</v>
      </c>
      <c r="J260" s="207">
        <f>IF(ISNUMBER(VLOOKUP($B:$B,'BS(과거)'!$A:$F,$2:$2,0)),VLOOKUP($B:$B,'BS(과거)'!$A:$F,$2:$2,0),0)</f>
        <v>0</v>
      </c>
      <c r="K260" s="207">
        <f>IF(ISNUMBER(VLOOKUP($B:$B,'BS(과거)'!$A:$F,$2:$2,0)),VLOOKUP($B:$B,'BS(과거)'!$A:$F,$2:$2,0),0)</f>
        <v>0</v>
      </c>
      <c r="L260" s="207">
        <f>IF(ISNUMBER(VLOOKUP($B:$B,'BS(과거)'!$A:$F,$2:$2,0)),VLOOKUP($B:$B,'BS(과거)'!$A:$F,$2:$2,0),0)</f>
        <v>0</v>
      </c>
      <c r="N260" s="207">
        <f>IF(ISNUMBER(VLOOKUP($B:$B,'BS(분기)'!$A:$F,$2:$2,0)),VLOOKUP($B:$B,'BS(분기)'!$A:$F,$2:$2,0),0)</f>
        <v>0</v>
      </c>
      <c r="O260" s="207">
        <f>IF(ISNUMBER(VLOOKUP($B:$B,'BS(분기)'!$A:$F,$2:$2,0)),VLOOKUP($B:$B,'BS(분기)'!$A:$F,$2:$2,0),0)</f>
        <v>0</v>
      </c>
      <c r="P260" s="207">
        <f>IF(ISNUMBER(VLOOKUP($B:$B,'BS(분기)'!$A:$F,$2:$2,0)),VLOOKUP($B:$B,'BS(분기)'!$A:$F,$2:$2,0),0)</f>
        <v>0</v>
      </c>
      <c r="Q260" s="207">
        <f>IF(ISNUMBER(VLOOKUP($B:$B,'BS(분기)'!$A:$F,$2:$2,0)),VLOOKUP($B:$B,'BS(분기)'!$A:$F,$2:$2,0),0)</f>
        <v>0</v>
      </c>
      <c r="R260" s="207">
        <f>IF(ISNUMBER(VLOOKUP($B:$B,'BS(분기)'!$A:$F,$2:$2,0)),VLOOKUP($B:$B,'BS(분기)'!$A:$F,$2:$2,0),0)</f>
        <v>0</v>
      </c>
    </row>
    <row r="261" spans="1:18" s="192" customFormat="1" ht="12">
      <c r="A261" s="203">
        <v>113331</v>
      </c>
      <c r="B261" s="196" t="s">
        <v>1035</v>
      </c>
      <c r="C261" s="217">
        <f>IF(ISNUMBER(VLOOKUP($B:$B,BS!$A:$D,$2:$2,0)),VLOOKUP($B:$B,BS!$A:$D,$2:$2,0),0)</f>
        <v>0</v>
      </c>
      <c r="D261" s="217">
        <f>IF(ISNUMBER(VLOOKUP($B:$B,BS!$A:$D,$2:$2,0)),VLOOKUP($B:$B,BS!$A:$D,$2:$2,0),0)</f>
        <v>0</v>
      </c>
      <c r="E261" s="217">
        <f>IF(ISNUMBER(VLOOKUP($B:$B,BS!$A:$D,$2:$2,0)),VLOOKUP($B:$B,BS!$A:$D,$2:$2,0),0)</f>
        <v>0</v>
      </c>
      <c r="F261" s="217">
        <f>IF(ISNUMBER(VLOOKUP($B:$B,BS!$A:$D,$2:$2,0)),VLOOKUP($B:$B,BS!$A:$D,$2:$2,0),0)</f>
        <v>0</v>
      </c>
      <c r="G261" s="217">
        <f>IF(ISNUMBER(VLOOKUP($B:$B,BS!$A:$D,$2:$2,0)),VLOOKUP($B:$B,BS!$A:$D,$2:$2,0),0)</f>
        <v>0</v>
      </c>
      <c r="H261" s="207">
        <f>IF(ISNUMBER(VLOOKUP($B:$B,'BS(과거)'!$A:$F,$2:$2,0)),VLOOKUP($B:$B,'BS(과거)'!$A:$F,$2:$2,0),0)</f>
        <v>0</v>
      </c>
      <c r="I261" s="207">
        <f>IF(ISNUMBER(VLOOKUP($B:$B,'BS(과거)'!$A:$F,$2:$2,0)),VLOOKUP($B:$B,'BS(과거)'!$A:$F,$2:$2,0),0)</f>
        <v>0</v>
      </c>
      <c r="J261" s="207">
        <f>IF(ISNUMBER(VLOOKUP($B:$B,'BS(과거)'!$A:$F,$2:$2,0)),VLOOKUP($B:$B,'BS(과거)'!$A:$F,$2:$2,0),0)</f>
        <v>0</v>
      </c>
      <c r="K261" s="207">
        <f>IF(ISNUMBER(VLOOKUP($B:$B,'BS(과거)'!$A:$F,$2:$2,0)),VLOOKUP($B:$B,'BS(과거)'!$A:$F,$2:$2,0),0)</f>
        <v>0</v>
      </c>
      <c r="L261" s="207">
        <f>IF(ISNUMBER(VLOOKUP($B:$B,'BS(과거)'!$A:$F,$2:$2,0)),VLOOKUP($B:$B,'BS(과거)'!$A:$F,$2:$2,0),0)</f>
        <v>0</v>
      </c>
      <c r="N261" s="207">
        <f>IF(ISNUMBER(VLOOKUP($B:$B,'BS(분기)'!$A:$F,$2:$2,0)),VLOOKUP($B:$B,'BS(분기)'!$A:$F,$2:$2,0),0)</f>
        <v>0</v>
      </c>
      <c r="O261" s="207">
        <f>IF(ISNUMBER(VLOOKUP($B:$B,'BS(분기)'!$A:$F,$2:$2,0)),VLOOKUP($B:$B,'BS(분기)'!$A:$F,$2:$2,0),0)</f>
        <v>0</v>
      </c>
      <c r="P261" s="207">
        <f>IF(ISNUMBER(VLOOKUP($B:$B,'BS(분기)'!$A:$F,$2:$2,0)),VLOOKUP($B:$B,'BS(분기)'!$A:$F,$2:$2,0),0)</f>
        <v>0</v>
      </c>
      <c r="Q261" s="207">
        <f>IF(ISNUMBER(VLOOKUP($B:$B,'BS(분기)'!$A:$F,$2:$2,0)),VLOOKUP($B:$B,'BS(분기)'!$A:$F,$2:$2,0),0)</f>
        <v>0</v>
      </c>
      <c r="R261" s="207">
        <f>IF(ISNUMBER(VLOOKUP($B:$B,'BS(분기)'!$A:$F,$2:$2,0)),VLOOKUP($B:$B,'BS(분기)'!$A:$F,$2:$2,0),0)</f>
        <v>0</v>
      </c>
    </row>
    <row r="262" spans="1:18" s="192" customFormat="1" ht="12">
      <c r="A262" s="203">
        <v>112630</v>
      </c>
      <c r="B262" s="196" t="s">
        <v>1036</v>
      </c>
      <c r="C262" s="217">
        <f>IF(ISNUMBER(VLOOKUP($B:$B,BS!$A:$D,$2:$2,0)),VLOOKUP($B:$B,BS!$A:$D,$2:$2,0),0)</f>
        <v>0</v>
      </c>
      <c r="D262" s="217">
        <f>IF(ISNUMBER(VLOOKUP($B:$B,BS!$A:$D,$2:$2,0)),VLOOKUP($B:$B,BS!$A:$D,$2:$2,0),0)</f>
        <v>0</v>
      </c>
      <c r="E262" s="217">
        <f>IF(ISNUMBER(VLOOKUP($B:$B,BS!$A:$D,$2:$2,0)),VLOOKUP($B:$B,BS!$A:$D,$2:$2,0),0)</f>
        <v>0</v>
      </c>
      <c r="F262" s="217">
        <f>IF(ISNUMBER(VLOOKUP($B:$B,BS!$A:$D,$2:$2,0)),VLOOKUP($B:$B,BS!$A:$D,$2:$2,0),0)</f>
        <v>0</v>
      </c>
      <c r="G262" s="217">
        <f>IF(ISNUMBER(VLOOKUP($B:$B,BS!$A:$D,$2:$2,0)),VLOOKUP($B:$B,BS!$A:$D,$2:$2,0),0)</f>
        <v>0</v>
      </c>
      <c r="H262" s="207">
        <f>IF(ISNUMBER(VLOOKUP($B:$B,'BS(과거)'!$A:$F,$2:$2,0)),VLOOKUP($B:$B,'BS(과거)'!$A:$F,$2:$2,0),0)</f>
        <v>0</v>
      </c>
      <c r="I262" s="207">
        <f>IF(ISNUMBER(VLOOKUP($B:$B,'BS(과거)'!$A:$F,$2:$2,0)),VLOOKUP($B:$B,'BS(과거)'!$A:$F,$2:$2,0),0)</f>
        <v>0</v>
      </c>
      <c r="J262" s="207">
        <f>IF(ISNUMBER(VLOOKUP($B:$B,'BS(과거)'!$A:$F,$2:$2,0)),VLOOKUP($B:$B,'BS(과거)'!$A:$F,$2:$2,0),0)</f>
        <v>0</v>
      </c>
      <c r="K262" s="207">
        <f>IF(ISNUMBER(VLOOKUP($B:$B,'BS(과거)'!$A:$F,$2:$2,0)),VLOOKUP($B:$B,'BS(과거)'!$A:$F,$2:$2,0),0)</f>
        <v>0</v>
      </c>
      <c r="L262" s="207">
        <f>IF(ISNUMBER(VLOOKUP($B:$B,'BS(과거)'!$A:$F,$2:$2,0)),VLOOKUP($B:$B,'BS(과거)'!$A:$F,$2:$2,0),0)</f>
        <v>0</v>
      </c>
      <c r="N262" s="207">
        <f>IF(ISNUMBER(VLOOKUP($B:$B,'BS(분기)'!$A:$F,$2:$2,0)),VLOOKUP($B:$B,'BS(분기)'!$A:$F,$2:$2,0),0)</f>
        <v>0</v>
      </c>
      <c r="O262" s="207">
        <f>IF(ISNUMBER(VLOOKUP($B:$B,'BS(분기)'!$A:$F,$2:$2,0)),VLOOKUP($B:$B,'BS(분기)'!$A:$F,$2:$2,0),0)</f>
        <v>0</v>
      </c>
      <c r="P262" s="207">
        <f>IF(ISNUMBER(VLOOKUP($B:$B,'BS(분기)'!$A:$F,$2:$2,0)),VLOOKUP($B:$B,'BS(분기)'!$A:$F,$2:$2,0),0)</f>
        <v>0</v>
      </c>
      <c r="Q262" s="207">
        <f>IF(ISNUMBER(VLOOKUP($B:$B,'BS(분기)'!$A:$F,$2:$2,0)),VLOOKUP($B:$B,'BS(분기)'!$A:$F,$2:$2,0),0)</f>
        <v>0</v>
      </c>
      <c r="R262" s="207">
        <f>IF(ISNUMBER(VLOOKUP($B:$B,'BS(분기)'!$A:$F,$2:$2,0)),VLOOKUP($B:$B,'BS(분기)'!$A:$F,$2:$2,0),0)</f>
        <v>0</v>
      </c>
    </row>
    <row r="263" spans="1:18" s="192" customFormat="1" ht="12">
      <c r="A263" s="203">
        <v>112639</v>
      </c>
      <c r="B263" s="196" t="s">
        <v>1037</v>
      </c>
      <c r="C263" s="217">
        <f>IF(ISNUMBER(VLOOKUP($B:$B,BS!$A:$D,$2:$2,0)),VLOOKUP($B:$B,BS!$A:$D,$2:$2,0),0)</f>
        <v>0</v>
      </c>
      <c r="D263" s="217">
        <f>IF(ISNUMBER(VLOOKUP($B:$B,BS!$A:$D,$2:$2,0)),VLOOKUP($B:$B,BS!$A:$D,$2:$2,0),0)</f>
        <v>0</v>
      </c>
      <c r="E263" s="217">
        <f>IF(ISNUMBER(VLOOKUP($B:$B,BS!$A:$D,$2:$2,0)),VLOOKUP($B:$B,BS!$A:$D,$2:$2,0),0)</f>
        <v>0</v>
      </c>
      <c r="F263" s="217">
        <f>IF(ISNUMBER(VLOOKUP($B:$B,BS!$A:$D,$2:$2,0)),VLOOKUP($B:$B,BS!$A:$D,$2:$2,0),0)</f>
        <v>0</v>
      </c>
      <c r="G263" s="217">
        <f>IF(ISNUMBER(VLOOKUP($B:$B,BS!$A:$D,$2:$2,0)),VLOOKUP($B:$B,BS!$A:$D,$2:$2,0),0)</f>
        <v>0</v>
      </c>
      <c r="H263" s="207">
        <f>IF(ISNUMBER(VLOOKUP($B:$B,'BS(과거)'!$A:$F,$2:$2,0)),VLOOKUP($B:$B,'BS(과거)'!$A:$F,$2:$2,0),0)</f>
        <v>0</v>
      </c>
      <c r="I263" s="207">
        <f>IF(ISNUMBER(VLOOKUP($B:$B,'BS(과거)'!$A:$F,$2:$2,0)),VLOOKUP($B:$B,'BS(과거)'!$A:$F,$2:$2,0),0)</f>
        <v>0</v>
      </c>
      <c r="J263" s="207">
        <f>IF(ISNUMBER(VLOOKUP($B:$B,'BS(과거)'!$A:$F,$2:$2,0)),VLOOKUP($B:$B,'BS(과거)'!$A:$F,$2:$2,0),0)</f>
        <v>0</v>
      </c>
      <c r="K263" s="207">
        <f>IF(ISNUMBER(VLOOKUP($B:$B,'BS(과거)'!$A:$F,$2:$2,0)),VLOOKUP($B:$B,'BS(과거)'!$A:$F,$2:$2,0),0)</f>
        <v>0</v>
      </c>
      <c r="L263" s="207">
        <f>IF(ISNUMBER(VLOOKUP($B:$B,'BS(과거)'!$A:$F,$2:$2,0)),VLOOKUP($B:$B,'BS(과거)'!$A:$F,$2:$2,0),0)</f>
        <v>0</v>
      </c>
      <c r="N263" s="207">
        <f>IF(ISNUMBER(VLOOKUP($B:$B,'BS(분기)'!$A:$F,$2:$2,0)),VLOOKUP($B:$B,'BS(분기)'!$A:$F,$2:$2,0),0)</f>
        <v>0</v>
      </c>
      <c r="O263" s="207">
        <f>IF(ISNUMBER(VLOOKUP($B:$B,'BS(분기)'!$A:$F,$2:$2,0)),VLOOKUP($B:$B,'BS(분기)'!$A:$F,$2:$2,0),0)</f>
        <v>0</v>
      </c>
      <c r="P263" s="207">
        <f>IF(ISNUMBER(VLOOKUP($B:$B,'BS(분기)'!$A:$F,$2:$2,0)),VLOOKUP($B:$B,'BS(분기)'!$A:$F,$2:$2,0),0)</f>
        <v>0</v>
      </c>
      <c r="Q263" s="207">
        <f>IF(ISNUMBER(VLOOKUP($B:$B,'BS(분기)'!$A:$F,$2:$2,0)),VLOOKUP($B:$B,'BS(분기)'!$A:$F,$2:$2,0),0)</f>
        <v>0</v>
      </c>
      <c r="R263" s="207">
        <f>IF(ISNUMBER(VLOOKUP($B:$B,'BS(분기)'!$A:$F,$2:$2,0)),VLOOKUP($B:$B,'BS(분기)'!$A:$F,$2:$2,0),0)</f>
        <v>0</v>
      </c>
    </row>
    <row r="264" spans="1:18" s="192" customFormat="1" ht="12">
      <c r="A264" s="203">
        <v>112640</v>
      </c>
      <c r="B264" s="196" t="s">
        <v>1038</v>
      </c>
      <c r="C264" s="217">
        <f>IF(ISNUMBER(VLOOKUP($B:$B,BS!$A:$D,$2:$2,0)),VLOOKUP($B:$B,BS!$A:$D,$2:$2,0),0)</f>
        <v>0</v>
      </c>
      <c r="D264" s="217">
        <f>IF(ISNUMBER(VLOOKUP($B:$B,BS!$A:$D,$2:$2,0)),VLOOKUP($B:$B,BS!$A:$D,$2:$2,0),0)</f>
        <v>0</v>
      </c>
      <c r="E264" s="217">
        <f>IF(ISNUMBER(VLOOKUP($B:$B,BS!$A:$D,$2:$2,0)),VLOOKUP($B:$B,BS!$A:$D,$2:$2,0),0)</f>
        <v>0</v>
      </c>
      <c r="F264" s="217">
        <f>IF(ISNUMBER(VLOOKUP($B:$B,BS!$A:$D,$2:$2,0)),VLOOKUP($B:$B,BS!$A:$D,$2:$2,0),0)</f>
        <v>0</v>
      </c>
      <c r="G264" s="217">
        <f>IF(ISNUMBER(VLOOKUP($B:$B,BS!$A:$D,$2:$2,0)),VLOOKUP($B:$B,BS!$A:$D,$2:$2,0),0)</f>
        <v>0</v>
      </c>
      <c r="H264" s="207">
        <f>IF(ISNUMBER(VLOOKUP($B:$B,'BS(과거)'!$A:$F,$2:$2,0)),VLOOKUP($B:$B,'BS(과거)'!$A:$F,$2:$2,0),0)</f>
        <v>0</v>
      </c>
      <c r="I264" s="207">
        <f>IF(ISNUMBER(VLOOKUP($B:$B,'BS(과거)'!$A:$F,$2:$2,0)),VLOOKUP($B:$B,'BS(과거)'!$A:$F,$2:$2,0),0)</f>
        <v>0</v>
      </c>
      <c r="J264" s="207">
        <f>IF(ISNUMBER(VLOOKUP($B:$B,'BS(과거)'!$A:$F,$2:$2,0)),VLOOKUP($B:$B,'BS(과거)'!$A:$F,$2:$2,0),0)</f>
        <v>0</v>
      </c>
      <c r="K264" s="207">
        <f>IF(ISNUMBER(VLOOKUP($B:$B,'BS(과거)'!$A:$F,$2:$2,0)),VLOOKUP($B:$B,'BS(과거)'!$A:$F,$2:$2,0),0)</f>
        <v>0</v>
      </c>
      <c r="L264" s="207">
        <f>IF(ISNUMBER(VLOOKUP($B:$B,'BS(과거)'!$A:$F,$2:$2,0)),VLOOKUP($B:$B,'BS(과거)'!$A:$F,$2:$2,0),0)</f>
        <v>0</v>
      </c>
      <c r="N264" s="207">
        <f>IF(ISNUMBER(VLOOKUP($B:$B,'BS(분기)'!$A:$F,$2:$2,0)),VLOOKUP($B:$B,'BS(분기)'!$A:$F,$2:$2,0),0)</f>
        <v>0</v>
      </c>
      <c r="O264" s="207">
        <f>IF(ISNUMBER(VLOOKUP($B:$B,'BS(분기)'!$A:$F,$2:$2,0)),VLOOKUP($B:$B,'BS(분기)'!$A:$F,$2:$2,0),0)</f>
        <v>0</v>
      </c>
      <c r="P264" s="207">
        <f>IF(ISNUMBER(VLOOKUP($B:$B,'BS(분기)'!$A:$F,$2:$2,0)),VLOOKUP($B:$B,'BS(분기)'!$A:$F,$2:$2,0),0)</f>
        <v>0</v>
      </c>
      <c r="Q264" s="207">
        <f>IF(ISNUMBER(VLOOKUP($B:$B,'BS(분기)'!$A:$F,$2:$2,0)),VLOOKUP($B:$B,'BS(분기)'!$A:$F,$2:$2,0),0)</f>
        <v>0</v>
      </c>
      <c r="R264" s="207">
        <f>IF(ISNUMBER(VLOOKUP($B:$B,'BS(분기)'!$A:$F,$2:$2,0)),VLOOKUP($B:$B,'BS(분기)'!$A:$F,$2:$2,0),0)</f>
        <v>0</v>
      </c>
    </row>
    <row r="265" spans="1:18" s="192" customFormat="1" ht="12">
      <c r="A265" s="203">
        <v>112648</v>
      </c>
      <c r="B265" s="196" t="s">
        <v>1039</v>
      </c>
      <c r="C265" s="217">
        <f>IF(ISNUMBER(VLOOKUP($B:$B,BS!$A:$D,$2:$2,0)),VLOOKUP($B:$B,BS!$A:$D,$2:$2,0),0)</f>
        <v>0</v>
      </c>
      <c r="D265" s="217">
        <f>IF(ISNUMBER(VLOOKUP($B:$B,BS!$A:$D,$2:$2,0)),VLOOKUP($B:$B,BS!$A:$D,$2:$2,0),0)</f>
        <v>0</v>
      </c>
      <c r="E265" s="217">
        <f>IF(ISNUMBER(VLOOKUP($B:$B,BS!$A:$D,$2:$2,0)),VLOOKUP($B:$B,BS!$A:$D,$2:$2,0),0)</f>
        <v>0</v>
      </c>
      <c r="F265" s="217">
        <f>IF(ISNUMBER(VLOOKUP($B:$B,BS!$A:$D,$2:$2,0)),VLOOKUP($B:$B,BS!$A:$D,$2:$2,0),0)</f>
        <v>0</v>
      </c>
      <c r="G265" s="217">
        <f>IF(ISNUMBER(VLOOKUP($B:$B,BS!$A:$D,$2:$2,0)),VLOOKUP($B:$B,BS!$A:$D,$2:$2,0),0)</f>
        <v>0</v>
      </c>
      <c r="H265" s="207">
        <f>IF(ISNUMBER(VLOOKUP($B:$B,'BS(과거)'!$A:$F,$2:$2,0)),VLOOKUP($B:$B,'BS(과거)'!$A:$F,$2:$2,0),0)</f>
        <v>0</v>
      </c>
      <c r="I265" s="207">
        <f>IF(ISNUMBER(VLOOKUP($B:$B,'BS(과거)'!$A:$F,$2:$2,0)),VLOOKUP($B:$B,'BS(과거)'!$A:$F,$2:$2,0),0)</f>
        <v>0</v>
      </c>
      <c r="J265" s="207">
        <f>IF(ISNUMBER(VLOOKUP($B:$B,'BS(과거)'!$A:$F,$2:$2,0)),VLOOKUP($B:$B,'BS(과거)'!$A:$F,$2:$2,0),0)</f>
        <v>0</v>
      </c>
      <c r="K265" s="207">
        <f>IF(ISNUMBER(VLOOKUP($B:$B,'BS(과거)'!$A:$F,$2:$2,0)),VLOOKUP($B:$B,'BS(과거)'!$A:$F,$2:$2,0),0)</f>
        <v>0</v>
      </c>
      <c r="L265" s="207">
        <f>IF(ISNUMBER(VLOOKUP($B:$B,'BS(과거)'!$A:$F,$2:$2,0)),VLOOKUP($B:$B,'BS(과거)'!$A:$F,$2:$2,0),0)</f>
        <v>0</v>
      </c>
      <c r="N265" s="207">
        <f>IF(ISNUMBER(VLOOKUP($B:$B,'BS(분기)'!$A:$F,$2:$2,0)),VLOOKUP($B:$B,'BS(분기)'!$A:$F,$2:$2,0),0)</f>
        <v>0</v>
      </c>
      <c r="O265" s="207">
        <f>IF(ISNUMBER(VLOOKUP($B:$B,'BS(분기)'!$A:$F,$2:$2,0)),VLOOKUP($B:$B,'BS(분기)'!$A:$F,$2:$2,0),0)</f>
        <v>0</v>
      </c>
      <c r="P265" s="207">
        <f>IF(ISNUMBER(VLOOKUP($B:$B,'BS(분기)'!$A:$F,$2:$2,0)),VLOOKUP($B:$B,'BS(분기)'!$A:$F,$2:$2,0),0)</f>
        <v>0</v>
      </c>
      <c r="Q265" s="207">
        <f>IF(ISNUMBER(VLOOKUP($B:$B,'BS(분기)'!$A:$F,$2:$2,0)),VLOOKUP($B:$B,'BS(분기)'!$A:$F,$2:$2,0),0)</f>
        <v>0</v>
      </c>
      <c r="R265" s="207">
        <f>IF(ISNUMBER(VLOOKUP($B:$B,'BS(분기)'!$A:$F,$2:$2,0)),VLOOKUP($B:$B,'BS(분기)'!$A:$F,$2:$2,0),0)</f>
        <v>0</v>
      </c>
    </row>
    <row r="266" spans="1:18" s="192" customFormat="1" ht="12">
      <c r="A266" s="203">
        <v>112649</v>
      </c>
      <c r="B266" s="196" t="s">
        <v>1040</v>
      </c>
      <c r="C266" s="217">
        <f>IF(ISNUMBER(VLOOKUP($B:$B,BS!$A:$D,$2:$2,0)),VLOOKUP($B:$B,BS!$A:$D,$2:$2,0),0)</f>
        <v>0</v>
      </c>
      <c r="D266" s="217">
        <f>IF(ISNUMBER(VLOOKUP($B:$B,BS!$A:$D,$2:$2,0)),VLOOKUP($B:$B,BS!$A:$D,$2:$2,0),0)</f>
        <v>0</v>
      </c>
      <c r="E266" s="217">
        <f>IF(ISNUMBER(VLOOKUP($B:$B,BS!$A:$D,$2:$2,0)),VLOOKUP($B:$B,BS!$A:$D,$2:$2,0),0)</f>
        <v>0</v>
      </c>
      <c r="F266" s="217">
        <f>IF(ISNUMBER(VLOOKUP($B:$B,BS!$A:$D,$2:$2,0)),VLOOKUP($B:$B,BS!$A:$D,$2:$2,0),0)</f>
        <v>0</v>
      </c>
      <c r="G266" s="217">
        <f>IF(ISNUMBER(VLOOKUP($B:$B,BS!$A:$D,$2:$2,0)),VLOOKUP($B:$B,BS!$A:$D,$2:$2,0),0)</f>
        <v>0</v>
      </c>
      <c r="H266" s="207">
        <f>IF(ISNUMBER(VLOOKUP($B:$B,'BS(과거)'!$A:$F,$2:$2,0)),VLOOKUP($B:$B,'BS(과거)'!$A:$F,$2:$2,0),0)</f>
        <v>0</v>
      </c>
      <c r="I266" s="207">
        <f>IF(ISNUMBER(VLOOKUP($B:$B,'BS(과거)'!$A:$F,$2:$2,0)),VLOOKUP($B:$B,'BS(과거)'!$A:$F,$2:$2,0),0)</f>
        <v>0</v>
      </c>
      <c r="J266" s="207">
        <f>IF(ISNUMBER(VLOOKUP($B:$B,'BS(과거)'!$A:$F,$2:$2,0)),VLOOKUP($B:$B,'BS(과거)'!$A:$F,$2:$2,0),0)</f>
        <v>0</v>
      </c>
      <c r="K266" s="207">
        <f>IF(ISNUMBER(VLOOKUP($B:$B,'BS(과거)'!$A:$F,$2:$2,0)),VLOOKUP($B:$B,'BS(과거)'!$A:$F,$2:$2,0),0)</f>
        <v>0</v>
      </c>
      <c r="L266" s="207">
        <f>IF(ISNUMBER(VLOOKUP($B:$B,'BS(과거)'!$A:$F,$2:$2,0)),VLOOKUP($B:$B,'BS(과거)'!$A:$F,$2:$2,0),0)</f>
        <v>0</v>
      </c>
      <c r="N266" s="207">
        <f>IF(ISNUMBER(VLOOKUP($B:$B,'BS(분기)'!$A:$F,$2:$2,0)),VLOOKUP($B:$B,'BS(분기)'!$A:$F,$2:$2,0),0)</f>
        <v>0</v>
      </c>
      <c r="O266" s="207">
        <f>IF(ISNUMBER(VLOOKUP($B:$B,'BS(분기)'!$A:$F,$2:$2,0)),VLOOKUP($B:$B,'BS(분기)'!$A:$F,$2:$2,0),0)</f>
        <v>0</v>
      </c>
      <c r="P266" s="207">
        <f>IF(ISNUMBER(VLOOKUP($B:$B,'BS(분기)'!$A:$F,$2:$2,0)),VLOOKUP($B:$B,'BS(분기)'!$A:$F,$2:$2,0),0)</f>
        <v>0</v>
      </c>
      <c r="Q266" s="207">
        <f>IF(ISNUMBER(VLOOKUP($B:$B,'BS(분기)'!$A:$F,$2:$2,0)),VLOOKUP($B:$B,'BS(분기)'!$A:$F,$2:$2,0),0)</f>
        <v>0</v>
      </c>
      <c r="R266" s="207">
        <f>IF(ISNUMBER(VLOOKUP($B:$B,'BS(분기)'!$A:$F,$2:$2,0)),VLOOKUP($B:$B,'BS(분기)'!$A:$F,$2:$2,0),0)</f>
        <v>0</v>
      </c>
    </row>
    <row r="267" spans="1:18" s="192" customFormat="1" ht="12">
      <c r="A267" s="203">
        <v>112650</v>
      </c>
      <c r="B267" s="196" t="s">
        <v>1041</v>
      </c>
      <c r="C267" s="217">
        <f>IF(ISNUMBER(VLOOKUP($B:$B,BS!$A:$D,$2:$2,0)),VLOOKUP($B:$B,BS!$A:$D,$2:$2,0),0)</f>
        <v>0</v>
      </c>
      <c r="D267" s="217">
        <f>IF(ISNUMBER(VLOOKUP($B:$B,BS!$A:$D,$2:$2,0)),VLOOKUP($B:$B,BS!$A:$D,$2:$2,0),0)</f>
        <v>0</v>
      </c>
      <c r="E267" s="217">
        <f>IF(ISNUMBER(VLOOKUP($B:$B,BS!$A:$D,$2:$2,0)),VLOOKUP($B:$B,BS!$A:$D,$2:$2,0),0)</f>
        <v>0</v>
      </c>
      <c r="F267" s="217">
        <f>IF(ISNUMBER(VLOOKUP($B:$B,BS!$A:$D,$2:$2,0)),VLOOKUP($B:$B,BS!$A:$D,$2:$2,0),0)</f>
        <v>0</v>
      </c>
      <c r="G267" s="217">
        <f>IF(ISNUMBER(VLOOKUP($B:$B,BS!$A:$D,$2:$2,0)),VLOOKUP($B:$B,BS!$A:$D,$2:$2,0),0)</f>
        <v>0</v>
      </c>
      <c r="H267" s="207">
        <f>IF(ISNUMBER(VLOOKUP($B:$B,'BS(과거)'!$A:$F,$2:$2,0)),VLOOKUP($B:$B,'BS(과거)'!$A:$F,$2:$2,0),0)</f>
        <v>0</v>
      </c>
      <c r="I267" s="207">
        <f>IF(ISNUMBER(VLOOKUP($B:$B,'BS(과거)'!$A:$F,$2:$2,0)),VLOOKUP($B:$B,'BS(과거)'!$A:$F,$2:$2,0),0)</f>
        <v>0</v>
      </c>
      <c r="J267" s="207">
        <f>IF(ISNUMBER(VLOOKUP($B:$B,'BS(과거)'!$A:$F,$2:$2,0)),VLOOKUP($B:$B,'BS(과거)'!$A:$F,$2:$2,0),0)</f>
        <v>0</v>
      </c>
      <c r="K267" s="207">
        <f>IF(ISNUMBER(VLOOKUP($B:$B,'BS(과거)'!$A:$F,$2:$2,0)),VLOOKUP($B:$B,'BS(과거)'!$A:$F,$2:$2,0),0)</f>
        <v>0</v>
      </c>
      <c r="L267" s="207">
        <f>IF(ISNUMBER(VLOOKUP($B:$B,'BS(과거)'!$A:$F,$2:$2,0)),VLOOKUP($B:$B,'BS(과거)'!$A:$F,$2:$2,0),0)</f>
        <v>0</v>
      </c>
      <c r="N267" s="207">
        <f>IF(ISNUMBER(VLOOKUP($B:$B,'BS(분기)'!$A:$F,$2:$2,0)),VLOOKUP($B:$B,'BS(분기)'!$A:$F,$2:$2,0),0)</f>
        <v>0</v>
      </c>
      <c r="O267" s="207">
        <f>IF(ISNUMBER(VLOOKUP($B:$B,'BS(분기)'!$A:$F,$2:$2,0)),VLOOKUP($B:$B,'BS(분기)'!$A:$F,$2:$2,0),0)</f>
        <v>0</v>
      </c>
      <c r="P267" s="207">
        <f>IF(ISNUMBER(VLOOKUP($B:$B,'BS(분기)'!$A:$F,$2:$2,0)),VLOOKUP($B:$B,'BS(분기)'!$A:$F,$2:$2,0),0)</f>
        <v>0</v>
      </c>
      <c r="Q267" s="207">
        <f>IF(ISNUMBER(VLOOKUP($B:$B,'BS(분기)'!$A:$F,$2:$2,0)),VLOOKUP($B:$B,'BS(분기)'!$A:$F,$2:$2,0),0)</f>
        <v>0</v>
      </c>
      <c r="R267" s="207">
        <f>IF(ISNUMBER(VLOOKUP($B:$B,'BS(분기)'!$A:$F,$2:$2,0)),VLOOKUP($B:$B,'BS(분기)'!$A:$F,$2:$2,0),0)</f>
        <v>0</v>
      </c>
    </row>
    <row r="268" spans="1:18" s="192" customFormat="1" ht="12">
      <c r="A268" s="203">
        <v>112657</v>
      </c>
      <c r="B268" s="196" t="s">
        <v>1042</v>
      </c>
      <c r="C268" s="217">
        <f>IF(ISNUMBER(VLOOKUP($B:$B,BS!$A:$D,$2:$2,0)),VLOOKUP($B:$B,BS!$A:$D,$2:$2,0),0)</f>
        <v>0</v>
      </c>
      <c r="D268" s="217">
        <f>IF(ISNUMBER(VLOOKUP($B:$B,BS!$A:$D,$2:$2,0)),VLOOKUP($B:$B,BS!$A:$D,$2:$2,0),0)</f>
        <v>0</v>
      </c>
      <c r="E268" s="217">
        <f>IF(ISNUMBER(VLOOKUP($B:$B,BS!$A:$D,$2:$2,0)),VLOOKUP($B:$B,BS!$A:$D,$2:$2,0),0)</f>
        <v>0</v>
      </c>
      <c r="F268" s="217">
        <f>IF(ISNUMBER(VLOOKUP($B:$B,BS!$A:$D,$2:$2,0)),VLOOKUP($B:$B,BS!$A:$D,$2:$2,0),0)</f>
        <v>0</v>
      </c>
      <c r="G268" s="217">
        <f>IF(ISNUMBER(VLOOKUP($B:$B,BS!$A:$D,$2:$2,0)),VLOOKUP($B:$B,BS!$A:$D,$2:$2,0),0)</f>
        <v>0</v>
      </c>
      <c r="H268" s="207">
        <f>IF(ISNUMBER(VLOOKUP($B:$B,'BS(과거)'!$A:$F,$2:$2,0)),VLOOKUP($B:$B,'BS(과거)'!$A:$F,$2:$2,0),0)</f>
        <v>0</v>
      </c>
      <c r="I268" s="207">
        <f>IF(ISNUMBER(VLOOKUP($B:$B,'BS(과거)'!$A:$F,$2:$2,0)),VLOOKUP($B:$B,'BS(과거)'!$A:$F,$2:$2,0),0)</f>
        <v>0</v>
      </c>
      <c r="J268" s="207">
        <f>IF(ISNUMBER(VLOOKUP($B:$B,'BS(과거)'!$A:$F,$2:$2,0)),VLOOKUP($B:$B,'BS(과거)'!$A:$F,$2:$2,0),0)</f>
        <v>0</v>
      </c>
      <c r="K268" s="207">
        <f>IF(ISNUMBER(VLOOKUP($B:$B,'BS(과거)'!$A:$F,$2:$2,0)),VLOOKUP($B:$B,'BS(과거)'!$A:$F,$2:$2,0),0)</f>
        <v>0</v>
      </c>
      <c r="L268" s="207">
        <f>IF(ISNUMBER(VLOOKUP($B:$B,'BS(과거)'!$A:$F,$2:$2,0)),VLOOKUP($B:$B,'BS(과거)'!$A:$F,$2:$2,0),0)</f>
        <v>0</v>
      </c>
      <c r="N268" s="207">
        <f>IF(ISNUMBER(VLOOKUP($B:$B,'BS(분기)'!$A:$F,$2:$2,0)),VLOOKUP($B:$B,'BS(분기)'!$A:$F,$2:$2,0),0)</f>
        <v>0</v>
      </c>
      <c r="O268" s="207">
        <f>IF(ISNUMBER(VLOOKUP($B:$B,'BS(분기)'!$A:$F,$2:$2,0)),VLOOKUP($B:$B,'BS(분기)'!$A:$F,$2:$2,0),0)</f>
        <v>0</v>
      </c>
      <c r="P268" s="207">
        <f>IF(ISNUMBER(VLOOKUP($B:$B,'BS(분기)'!$A:$F,$2:$2,0)),VLOOKUP($B:$B,'BS(분기)'!$A:$F,$2:$2,0),0)</f>
        <v>0</v>
      </c>
      <c r="Q268" s="207">
        <f>IF(ISNUMBER(VLOOKUP($B:$B,'BS(분기)'!$A:$F,$2:$2,0)),VLOOKUP($B:$B,'BS(분기)'!$A:$F,$2:$2,0),0)</f>
        <v>0</v>
      </c>
      <c r="R268" s="207">
        <f>IF(ISNUMBER(VLOOKUP($B:$B,'BS(분기)'!$A:$F,$2:$2,0)),VLOOKUP($B:$B,'BS(분기)'!$A:$F,$2:$2,0),0)</f>
        <v>0</v>
      </c>
    </row>
    <row r="269" spans="1:18" s="192" customFormat="1" ht="12">
      <c r="A269" s="203">
        <v>112690</v>
      </c>
      <c r="B269" s="196" t="s">
        <v>1043</v>
      </c>
      <c r="C269" s="217">
        <f>IF(ISNUMBER(VLOOKUP($B:$B,BS!$A:$D,$2:$2,0)),VLOOKUP($B:$B,BS!$A:$D,$2:$2,0),0)</f>
        <v>0</v>
      </c>
      <c r="D269" s="217">
        <f>IF(ISNUMBER(VLOOKUP($B:$B,BS!$A:$D,$2:$2,0)),VLOOKUP($B:$B,BS!$A:$D,$2:$2,0),0)</f>
        <v>0</v>
      </c>
      <c r="E269" s="217">
        <f>IF(ISNUMBER(VLOOKUP($B:$B,BS!$A:$D,$2:$2,0)),VLOOKUP($B:$B,BS!$A:$D,$2:$2,0),0)</f>
        <v>0</v>
      </c>
      <c r="F269" s="217">
        <f>IF(ISNUMBER(VLOOKUP($B:$B,BS!$A:$D,$2:$2,0)),VLOOKUP($B:$B,BS!$A:$D,$2:$2,0),0)</f>
        <v>0</v>
      </c>
      <c r="G269" s="217">
        <f>IF(ISNUMBER(VLOOKUP($B:$B,BS!$A:$D,$2:$2,0)),VLOOKUP($B:$B,BS!$A:$D,$2:$2,0),0)</f>
        <v>0</v>
      </c>
      <c r="H269" s="207">
        <f>IF(ISNUMBER(VLOOKUP($B:$B,'BS(과거)'!$A:$F,$2:$2,0)),VLOOKUP($B:$B,'BS(과거)'!$A:$F,$2:$2,0),0)</f>
        <v>0</v>
      </c>
      <c r="I269" s="207">
        <f>IF(ISNUMBER(VLOOKUP($B:$B,'BS(과거)'!$A:$F,$2:$2,0)),VLOOKUP($B:$B,'BS(과거)'!$A:$F,$2:$2,0),0)</f>
        <v>0</v>
      </c>
      <c r="J269" s="207">
        <f>IF(ISNUMBER(VLOOKUP($B:$B,'BS(과거)'!$A:$F,$2:$2,0)),VLOOKUP($B:$B,'BS(과거)'!$A:$F,$2:$2,0),0)</f>
        <v>0</v>
      </c>
      <c r="K269" s="207">
        <f>IF(ISNUMBER(VLOOKUP($B:$B,'BS(과거)'!$A:$F,$2:$2,0)),VLOOKUP($B:$B,'BS(과거)'!$A:$F,$2:$2,0),0)</f>
        <v>0</v>
      </c>
      <c r="L269" s="207">
        <f>IF(ISNUMBER(VLOOKUP($B:$B,'BS(과거)'!$A:$F,$2:$2,0)),VLOOKUP($B:$B,'BS(과거)'!$A:$F,$2:$2,0),0)</f>
        <v>0</v>
      </c>
      <c r="N269" s="207">
        <f>IF(ISNUMBER(VLOOKUP($B:$B,'BS(분기)'!$A:$F,$2:$2,0)),VLOOKUP($B:$B,'BS(분기)'!$A:$F,$2:$2,0),0)</f>
        <v>0</v>
      </c>
      <c r="O269" s="207">
        <f>IF(ISNUMBER(VLOOKUP($B:$B,'BS(분기)'!$A:$F,$2:$2,0)),VLOOKUP($B:$B,'BS(분기)'!$A:$F,$2:$2,0),0)</f>
        <v>0</v>
      </c>
      <c r="P269" s="207">
        <f>IF(ISNUMBER(VLOOKUP($B:$B,'BS(분기)'!$A:$F,$2:$2,0)),VLOOKUP($B:$B,'BS(분기)'!$A:$F,$2:$2,0),0)</f>
        <v>0</v>
      </c>
      <c r="Q269" s="207">
        <f>IF(ISNUMBER(VLOOKUP($B:$B,'BS(분기)'!$A:$F,$2:$2,0)),VLOOKUP($B:$B,'BS(분기)'!$A:$F,$2:$2,0),0)</f>
        <v>0</v>
      </c>
      <c r="R269" s="207">
        <f>IF(ISNUMBER(VLOOKUP($B:$B,'BS(분기)'!$A:$F,$2:$2,0)),VLOOKUP($B:$B,'BS(분기)'!$A:$F,$2:$2,0),0)</f>
        <v>0</v>
      </c>
    </row>
    <row r="270" spans="1:18" s="192" customFormat="1" ht="12">
      <c r="A270" s="203">
        <v>112696</v>
      </c>
      <c r="B270" s="196" t="s">
        <v>1044</v>
      </c>
      <c r="C270" s="217">
        <f>IF(ISNUMBER(VLOOKUP($B:$B,BS!$A:$D,$2:$2,0)),VLOOKUP($B:$B,BS!$A:$D,$2:$2,0),0)</f>
        <v>0</v>
      </c>
      <c r="D270" s="217">
        <f>IF(ISNUMBER(VLOOKUP($B:$B,BS!$A:$D,$2:$2,0)),VLOOKUP($B:$B,BS!$A:$D,$2:$2,0),0)</f>
        <v>0</v>
      </c>
      <c r="E270" s="217">
        <f>IF(ISNUMBER(VLOOKUP($B:$B,BS!$A:$D,$2:$2,0)),VLOOKUP($B:$B,BS!$A:$D,$2:$2,0),0)</f>
        <v>0</v>
      </c>
      <c r="F270" s="217">
        <f>IF(ISNUMBER(VLOOKUP($B:$B,BS!$A:$D,$2:$2,0)),VLOOKUP($B:$B,BS!$A:$D,$2:$2,0),0)</f>
        <v>0</v>
      </c>
      <c r="G270" s="217">
        <f>IF(ISNUMBER(VLOOKUP($B:$B,BS!$A:$D,$2:$2,0)),VLOOKUP($B:$B,BS!$A:$D,$2:$2,0),0)</f>
        <v>0</v>
      </c>
      <c r="H270" s="207">
        <f>IF(ISNUMBER(VLOOKUP($B:$B,'BS(과거)'!$A:$F,$2:$2,0)),VLOOKUP($B:$B,'BS(과거)'!$A:$F,$2:$2,0),0)</f>
        <v>0</v>
      </c>
      <c r="I270" s="207">
        <f>IF(ISNUMBER(VLOOKUP($B:$B,'BS(과거)'!$A:$F,$2:$2,0)),VLOOKUP($B:$B,'BS(과거)'!$A:$F,$2:$2,0),0)</f>
        <v>0</v>
      </c>
      <c r="J270" s="207">
        <f>IF(ISNUMBER(VLOOKUP($B:$B,'BS(과거)'!$A:$F,$2:$2,0)),VLOOKUP($B:$B,'BS(과거)'!$A:$F,$2:$2,0),0)</f>
        <v>0</v>
      </c>
      <c r="K270" s="207">
        <f>IF(ISNUMBER(VLOOKUP($B:$B,'BS(과거)'!$A:$F,$2:$2,0)),VLOOKUP($B:$B,'BS(과거)'!$A:$F,$2:$2,0),0)</f>
        <v>0</v>
      </c>
      <c r="L270" s="207">
        <f>IF(ISNUMBER(VLOOKUP($B:$B,'BS(과거)'!$A:$F,$2:$2,0)),VLOOKUP($B:$B,'BS(과거)'!$A:$F,$2:$2,0),0)</f>
        <v>0</v>
      </c>
      <c r="N270" s="207">
        <f>IF(ISNUMBER(VLOOKUP($B:$B,'BS(분기)'!$A:$F,$2:$2,0)),VLOOKUP($B:$B,'BS(분기)'!$A:$F,$2:$2,0),0)</f>
        <v>0</v>
      </c>
      <c r="O270" s="207">
        <f>IF(ISNUMBER(VLOOKUP($B:$B,'BS(분기)'!$A:$F,$2:$2,0)),VLOOKUP($B:$B,'BS(분기)'!$A:$F,$2:$2,0),0)</f>
        <v>0</v>
      </c>
      <c r="P270" s="207">
        <f>IF(ISNUMBER(VLOOKUP($B:$B,'BS(분기)'!$A:$F,$2:$2,0)),VLOOKUP($B:$B,'BS(분기)'!$A:$F,$2:$2,0),0)</f>
        <v>0</v>
      </c>
      <c r="Q270" s="207">
        <f>IF(ISNUMBER(VLOOKUP($B:$B,'BS(분기)'!$A:$F,$2:$2,0)),VLOOKUP($B:$B,'BS(분기)'!$A:$F,$2:$2,0),0)</f>
        <v>0</v>
      </c>
      <c r="R270" s="207">
        <f>IF(ISNUMBER(VLOOKUP($B:$B,'BS(분기)'!$A:$F,$2:$2,0)),VLOOKUP($B:$B,'BS(분기)'!$A:$F,$2:$2,0),0)</f>
        <v>0</v>
      </c>
    </row>
    <row r="271" spans="1:18" s="192" customFormat="1" ht="12">
      <c r="A271" s="203">
        <v>112697</v>
      </c>
      <c r="B271" s="196" t="s">
        <v>1045</v>
      </c>
      <c r="C271" s="217">
        <f>IF(ISNUMBER(VLOOKUP($B:$B,BS!$A:$D,$2:$2,0)),VLOOKUP($B:$B,BS!$A:$D,$2:$2,0),0)</f>
        <v>0</v>
      </c>
      <c r="D271" s="217">
        <f>IF(ISNUMBER(VLOOKUP($B:$B,BS!$A:$D,$2:$2,0)),VLOOKUP($B:$B,BS!$A:$D,$2:$2,0),0)</f>
        <v>0</v>
      </c>
      <c r="E271" s="217">
        <f>IF(ISNUMBER(VLOOKUP($B:$B,BS!$A:$D,$2:$2,0)),VLOOKUP($B:$B,BS!$A:$D,$2:$2,0),0)</f>
        <v>0</v>
      </c>
      <c r="F271" s="217">
        <f>IF(ISNUMBER(VLOOKUP($B:$B,BS!$A:$D,$2:$2,0)),VLOOKUP($B:$B,BS!$A:$D,$2:$2,0),0)</f>
        <v>0</v>
      </c>
      <c r="G271" s="217">
        <f>IF(ISNUMBER(VLOOKUP($B:$B,BS!$A:$D,$2:$2,0)),VLOOKUP($B:$B,BS!$A:$D,$2:$2,0),0)</f>
        <v>0</v>
      </c>
      <c r="H271" s="207">
        <f>IF(ISNUMBER(VLOOKUP($B:$B,'BS(과거)'!$A:$F,$2:$2,0)),VLOOKUP($B:$B,'BS(과거)'!$A:$F,$2:$2,0),0)</f>
        <v>0</v>
      </c>
      <c r="I271" s="207">
        <f>IF(ISNUMBER(VLOOKUP($B:$B,'BS(과거)'!$A:$F,$2:$2,0)),VLOOKUP($B:$B,'BS(과거)'!$A:$F,$2:$2,0),0)</f>
        <v>0</v>
      </c>
      <c r="J271" s="207">
        <f>IF(ISNUMBER(VLOOKUP($B:$B,'BS(과거)'!$A:$F,$2:$2,0)),VLOOKUP($B:$B,'BS(과거)'!$A:$F,$2:$2,0),0)</f>
        <v>0</v>
      </c>
      <c r="K271" s="207">
        <f>IF(ISNUMBER(VLOOKUP($B:$B,'BS(과거)'!$A:$F,$2:$2,0)),VLOOKUP($B:$B,'BS(과거)'!$A:$F,$2:$2,0),0)</f>
        <v>0</v>
      </c>
      <c r="L271" s="207">
        <f>IF(ISNUMBER(VLOOKUP($B:$B,'BS(과거)'!$A:$F,$2:$2,0)),VLOOKUP($B:$B,'BS(과거)'!$A:$F,$2:$2,0),0)</f>
        <v>0</v>
      </c>
      <c r="N271" s="207">
        <f>IF(ISNUMBER(VLOOKUP($B:$B,'BS(분기)'!$A:$F,$2:$2,0)),VLOOKUP($B:$B,'BS(분기)'!$A:$F,$2:$2,0),0)</f>
        <v>0</v>
      </c>
      <c r="O271" s="207">
        <f>IF(ISNUMBER(VLOOKUP($B:$B,'BS(분기)'!$A:$F,$2:$2,0)),VLOOKUP($B:$B,'BS(분기)'!$A:$F,$2:$2,0),0)</f>
        <v>0</v>
      </c>
      <c r="P271" s="207">
        <f>IF(ISNUMBER(VLOOKUP($B:$B,'BS(분기)'!$A:$F,$2:$2,0)),VLOOKUP($B:$B,'BS(분기)'!$A:$F,$2:$2,0),0)</f>
        <v>0</v>
      </c>
      <c r="Q271" s="207">
        <f>IF(ISNUMBER(VLOOKUP($B:$B,'BS(분기)'!$A:$F,$2:$2,0)),VLOOKUP($B:$B,'BS(분기)'!$A:$F,$2:$2,0),0)</f>
        <v>0</v>
      </c>
      <c r="R271" s="207">
        <f>IF(ISNUMBER(VLOOKUP($B:$B,'BS(분기)'!$A:$F,$2:$2,0)),VLOOKUP($B:$B,'BS(분기)'!$A:$F,$2:$2,0),0)</f>
        <v>0</v>
      </c>
    </row>
    <row r="272" spans="1:18" s="192" customFormat="1" ht="12">
      <c r="A272" s="203">
        <v>112698</v>
      </c>
      <c r="B272" s="196" t="s">
        <v>1046</v>
      </c>
      <c r="C272" s="217">
        <f>IF(ISNUMBER(VLOOKUP($B:$B,BS!$A:$D,$2:$2,0)),VLOOKUP($B:$B,BS!$A:$D,$2:$2,0),0)</f>
        <v>0</v>
      </c>
      <c r="D272" s="217">
        <f>IF(ISNUMBER(VLOOKUP($B:$B,BS!$A:$D,$2:$2,0)),VLOOKUP($B:$B,BS!$A:$D,$2:$2,0),0)</f>
        <v>0</v>
      </c>
      <c r="E272" s="217">
        <f>IF(ISNUMBER(VLOOKUP($B:$B,BS!$A:$D,$2:$2,0)),VLOOKUP($B:$B,BS!$A:$D,$2:$2,0),0)</f>
        <v>0</v>
      </c>
      <c r="F272" s="217">
        <f>IF(ISNUMBER(VLOOKUP($B:$B,BS!$A:$D,$2:$2,0)),VLOOKUP($B:$B,BS!$A:$D,$2:$2,0),0)</f>
        <v>0</v>
      </c>
      <c r="G272" s="217">
        <f>IF(ISNUMBER(VLOOKUP($B:$B,BS!$A:$D,$2:$2,0)),VLOOKUP($B:$B,BS!$A:$D,$2:$2,0),0)</f>
        <v>0</v>
      </c>
      <c r="H272" s="207">
        <f>IF(ISNUMBER(VLOOKUP($B:$B,'BS(과거)'!$A:$F,$2:$2,0)),VLOOKUP($B:$B,'BS(과거)'!$A:$F,$2:$2,0),0)</f>
        <v>0</v>
      </c>
      <c r="I272" s="207">
        <f>IF(ISNUMBER(VLOOKUP($B:$B,'BS(과거)'!$A:$F,$2:$2,0)),VLOOKUP($B:$B,'BS(과거)'!$A:$F,$2:$2,0),0)</f>
        <v>0</v>
      </c>
      <c r="J272" s="207">
        <f>IF(ISNUMBER(VLOOKUP($B:$B,'BS(과거)'!$A:$F,$2:$2,0)),VLOOKUP($B:$B,'BS(과거)'!$A:$F,$2:$2,0),0)</f>
        <v>0</v>
      </c>
      <c r="K272" s="207">
        <f>IF(ISNUMBER(VLOOKUP($B:$B,'BS(과거)'!$A:$F,$2:$2,0)),VLOOKUP($B:$B,'BS(과거)'!$A:$F,$2:$2,0),0)</f>
        <v>0</v>
      </c>
      <c r="L272" s="207">
        <f>IF(ISNUMBER(VLOOKUP($B:$B,'BS(과거)'!$A:$F,$2:$2,0)),VLOOKUP($B:$B,'BS(과거)'!$A:$F,$2:$2,0),0)</f>
        <v>0</v>
      </c>
      <c r="N272" s="207">
        <f>IF(ISNUMBER(VLOOKUP($B:$B,'BS(분기)'!$A:$F,$2:$2,0)),VLOOKUP($B:$B,'BS(분기)'!$A:$F,$2:$2,0),0)</f>
        <v>0</v>
      </c>
      <c r="O272" s="207">
        <f>IF(ISNUMBER(VLOOKUP($B:$B,'BS(분기)'!$A:$F,$2:$2,0)),VLOOKUP($B:$B,'BS(분기)'!$A:$F,$2:$2,0),0)</f>
        <v>0</v>
      </c>
      <c r="P272" s="207">
        <f>IF(ISNUMBER(VLOOKUP($B:$B,'BS(분기)'!$A:$F,$2:$2,0)),VLOOKUP($B:$B,'BS(분기)'!$A:$F,$2:$2,0),0)</f>
        <v>0</v>
      </c>
      <c r="Q272" s="207">
        <f>IF(ISNUMBER(VLOOKUP($B:$B,'BS(분기)'!$A:$F,$2:$2,0)),VLOOKUP($B:$B,'BS(분기)'!$A:$F,$2:$2,0),0)</f>
        <v>0</v>
      </c>
      <c r="R272" s="207">
        <f>IF(ISNUMBER(VLOOKUP($B:$B,'BS(분기)'!$A:$F,$2:$2,0)),VLOOKUP($B:$B,'BS(분기)'!$A:$F,$2:$2,0),0)</f>
        <v>0</v>
      </c>
    </row>
    <row r="273" spans="1:18" s="192" customFormat="1" ht="12">
      <c r="A273" s="203">
        <v>112699</v>
      </c>
      <c r="B273" s="196" t="s">
        <v>1047</v>
      </c>
      <c r="C273" s="217">
        <f>IF(ISNUMBER(VLOOKUP($B:$B,BS!$A:$D,$2:$2,0)),VLOOKUP($B:$B,BS!$A:$D,$2:$2,0),0)</f>
        <v>0</v>
      </c>
      <c r="D273" s="217">
        <f>IF(ISNUMBER(VLOOKUP($B:$B,BS!$A:$D,$2:$2,0)),VLOOKUP($B:$B,BS!$A:$D,$2:$2,0),0)</f>
        <v>0</v>
      </c>
      <c r="E273" s="217">
        <f>IF(ISNUMBER(VLOOKUP($B:$B,BS!$A:$D,$2:$2,0)),VLOOKUP($B:$B,BS!$A:$D,$2:$2,0),0)</f>
        <v>0</v>
      </c>
      <c r="F273" s="217">
        <f>IF(ISNUMBER(VLOOKUP($B:$B,BS!$A:$D,$2:$2,0)),VLOOKUP($B:$B,BS!$A:$D,$2:$2,0),0)</f>
        <v>0</v>
      </c>
      <c r="G273" s="217">
        <f>IF(ISNUMBER(VLOOKUP($B:$B,BS!$A:$D,$2:$2,0)),VLOOKUP($B:$B,BS!$A:$D,$2:$2,0),0)</f>
        <v>0</v>
      </c>
      <c r="H273" s="207">
        <f>IF(ISNUMBER(VLOOKUP($B:$B,'BS(과거)'!$A:$F,$2:$2,0)),VLOOKUP($B:$B,'BS(과거)'!$A:$F,$2:$2,0),0)</f>
        <v>0</v>
      </c>
      <c r="I273" s="207">
        <f>IF(ISNUMBER(VLOOKUP($B:$B,'BS(과거)'!$A:$F,$2:$2,0)),VLOOKUP($B:$B,'BS(과거)'!$A:$F,$2:$2,0),0)</f>
        <v>0</v>
      </c>
      <c r="J273" s="207">
        <f>IF(ISNUMBER(VLOOKUP($B:$B,'BS(과거)'!$A:$F,$2:$2,0)),VLOOKUP($B:$B,'BS(과거)'!$A:$F,$2:$2,0),0)</f>
        <v>0</v>
      </c>
      <c r="K273" s="207">
        <f>IF(ISNUMBER(VLOOKUP($B:$B,'BS(과거)'!$A:$F,$2:$2,0)),VLOOKUP($B:$B,'BS(과거)'!$A:$F,$2:$2,0),0)</f>
        <v>0</v>
      </c>
      <c r="L273" s="207">
        <f>IF(ISNUMBER(VLOOKUP($B:$B,'BS(과거)'!$A:$F,$2:$2,0)),VLOOKUP($B:$B,'BS(과거)'!$A:$F,$2:$2,0),0)</f>
        <v>0</v>
      </c>
      <c r="N273" s="207">
        <f>IF(ISNUMBER(VLOOKUP($B:$B,'BS(분기)'!$A:$F,$2:$2,0)),VLOOKUP($B:$B,'BS(분기)'!$A:$F,$2:$2,0),0)</f>
        <v>0</v>
      </c>
      <c r="O273" s="207">
        <f>IF(ISNUMBER(VLOOKUP($B:$B,'BS(분기)'!$A:$F,$2:$2,0)),VLOOKUP($B:$B,'BS(분기)'!$A:$F,$2:$2,0),0)</f>
        <v>0</v>
      </c>
      <c r="P273" s="207">
        <f>IF(ISNUMBER(VLOOKUP($B:$B,'BS(분기)'!$A:$F,$2:$2,0)),VLOOKUP($B:$B,'BS(분기)'!$A:$F,$2:$2,0),0)</f>
        <v>0</v>
      </c>
      <c r="Q273" s="207">
        <f>IF(ISNUMBER(VLOOKUP($B:$B,'BS(분기)'!$A:$F,$2:$2,0)),VLOOKUP($B:$B,'BS(분기)'!$A:$F,$2:$2,0),0)</f>
        <v>0</v>
      </c>
      <c r="R273" s="207">
        <f>IF(ISNUMBER(VLOOKUP($B:$B,'BS(분기)'!$A:$F,$2:$2,0)),VLOOKUP($B:$B,'BS(분기)'!$A:$F,$2:$2,0),0)</f>
        <v>0</v>
      </c>
    </row>
    <row r="274" spans="1:18" s="192" customFormat="1" ht="12">
      <c r="A274" s="203">
        <v>113012</v>
      </c>
      <c r="B274" s="196" t="s">
        <v>1048</v>
      </c>
      <c r="C274" s="217">
        <f>IF(ISNUMBER(VLOOKUP($B:$B,BS!$A:$D,$2:$2,0)),VLOOKUP($B:$B,BS!$A:$D,$2:$2,0),0)</f>
        <v>0</v>
      </c>
      <c r="D274" s="217">
        <f>IF(ISNUMBER(VLOOKUP($B:$B,BS!$A:$D,$2:$2,0)),VLOOKUP($B:$B,BS!$A:$D,$2:$2,0),0)</f>
        <v>0</v>
      </c>
      <c r="E274" s="217">
        <f>IF(ISNUMBER(VLOOKUP($B:$B,BS!$A:$D,$2:$2,0)),VLOOKUP($B:$B,BS!$A:$D,$2:$2,0),0)</f>
        <v>0</v>
      </c>
      <c r="F274" s="217">
        <f>IF(ISNUMBER(VLOOKUP($B:$B,BS!$A:$D,$2:$2,0)),VLOOKUP($B:$B,BS!$A:$D,$2:$2,0),0)</f>
        <v>0</v>
      </c>
      <c r="G274" s="217">
        <f>IF(ISNUMBER(VLOOKUP($B:$B,BS!$A:$D,$2:$2,0)),VLOOKUP($B:$B,BS!$A:$D,$2:$2,0),0)</f>
        <v>0</v>
      </c>
      <c r="H274" s="207">
        <f>IF(ISNUMBER(VLOOKUP($B:$B,'BS(과거)'!$A:$F,$2:$2,0)),VLOOKUP($B:$B,'BS(과거)'!$A:$F,$2:$2,0),0)</f>
        <v>0</v>
      </c>
      <c r="I274" s="207">
        <f>IF(ISNUMBER(VLOOKUP($B:$B,'BS(과거)'!$A:$F,$2:$2,0)),VLOOKUP($B:$B,'BS(과거)'!$A:$F,$2:$2,0),0)</f>
        <v>0</v>
      </c>
      <c r="J274" s="207">
        <f>IF(ISNUMBER(VLOOKUP($B:$B,'BS(과거)'!$A:$F,$2:$2,0)),VLOOKUP($B:$B,'BS(과거)'!$A:$F,$2:$2,0),0)</f>
        <v>0</v>
      </c>
      <c r="K274" s="207">
        <f>IF(ISNUMBER(VLOOKUP($B:$B,'BS(과거)'!$A:$F,$2:$2,0)),VLOOKUP($B:$B,'BS(과거)'!$A:$F,$2:$2,0),0)</f>
        <v>0</v>
      </c>
      <c r="L274" s="207">
        <f>IF(ISNUMBER(VLOOKUP($B:$B,'BS(과거)'!$A:$F,$2:$2,0)),VLOOKUP($B:$B,'BS(과거)'!$A:$F,$2:$2,0),0)</f>
        <v>0</v>
      </c>
      <c r="N274" s="207">
        <f>IF(ISNUMBER(VLOOKUP($B:$B,'BS(분기)'!$A:$F,$2:$2,0)),VLOOKUP($B:$B,'BS(분기)'!$A:$F,$2:$2,0),0)</f>
        <v>0</v>
      </c>
      <c r="O274" s="207">
        <f>IF(ISNUMBER(VLOOKUP($B:$B,'BS(분기)'!$A:$F,$2:$2,0)),VLOOKUP($B:$B,'BS(분기)'!$A:$F,$2:$2,0),0)</f>
        <v>0</v>
      </c>
      <c r="P274" s="207">
        <f>IF(ISNUMBER(VLOOKUP($B:$B,'BS(분기)'!$A:$F,$2:$2,0)),VLOOKUP($B:$B,'BS(분기)'!$A:$F,$2:$2,0),0)</f>
        <v>0</v>
      </c>
      <c r="Q274" s="207">
        <f>IF(ISNUMBER(VLOOKUP($B:$B,'BS(분기)'!$A:$F,$2:$2,0)),VLOOKUP($B:$B,'BS(분기)'!$A:$F,$2:$2,0),0)</f>
        <v>0</v>
      </c>
      <c r="R274" s="207">
        <f>IF(ISNUMBER(VLOOKUP($B:$B,'BS(분기)'!$A:$F,$2:$2,0)),VLOOKUP($B:$B,'BS(분기)'!$A:$F,$2:$2,0),0)</f>
        <v>0</v>
      </c>
    </row>
    <row r="275" spans="1:18" s="192" customFormat="1" ht="12">
      <c r="A275" s="203">
        <v>113013</v>
      </c>
      <c r="B275" s="196" t="s">
        <v>1049</v>
      </c>
      <c r="C275" s="217">
        <f>IF(ISNUMBER(VLOOKUP($B:$B,BS!$A:$D,$2:$2,0)),VLOOKUP($B:$B,BS!$A:$D,$2:$2,0),0)</f>
        <v>0</v>
      </c>
      <c r="D275" s="217">
        <f>IF(ISNUMBER(VLOOKUP($B:$B,BS!$A:$D,$2:$2,0)),VLOOKUP($B:$B,BS!$A:$D,$2:$2,0),0)</f>
        <v>0</v>
      </c>
      <c r="E275" s="217">
        <f>IF(ISNUMBER(VLOOKUP($B:$B,BS!$A:$D,$2:$2,0)),VLOOKUP($B:$B,BS!$A:$D,$2:$2,0),0)</f>
        <v>0</v>
      </c>
      <c r="F275" s="217">
        <f>IF(ISNUMBER(VLOOKUP($B:$B,BS!$A:$D,$2:$2,0)),VLOOKUP($B:$B,BS!$A:$D,$2:$2,0),0)</f>
        <v>0</v>
      </c>
      <c r="G275" s="217">
        <f>IF(ISNUMBER(VLOOKUP($B:$B,BS!$A:$D,$2:$2,0)),VLOOKUP($B:$B,BS!$A:$D,$2:$2,0),0)</f>
        <v>0</v>
      </c>
      <c r="H275" s="207">
        <f>IF(ISNUMBER(VLOOKUP($B:$B,'BS(과거)'!$A:$F,$2:$2,0)),VLOOKUP($B:$B,'BS(과거)'!$A:$F,$2:$2,0),0)</f>
        <v>0</v>
      </c>
      <c r="I275" s="207">
        <f>IF(ISNUMBER(VLOOKUP($B:$B,'BS(과거)'!$A:$F,$2:$2,0)),VLOOKUP($B:$B,'BS(과거)'!$A:$F,$2:$2,0),0)</f>
        <v>0</v>
      </c>
      <c r="J275" s="207">
        <f>IF(ISNUMBER(VLOOKUP($B:$B,'BS(과거)'!$A:$F,$2:$2,0)),VLOOKUP($B:$B,'BS(과거)'!$A:$F,$2:$2,0),0)</f>
        <v>0</v>
      </c>
      <c r="K275" s="207">
        <f>IF(ISNUMBER(VLOOKUP($B:$B,'BS(과거)'!$A:$F,$2:$2,0)),VLOOKUP($B:$B,'BS(과거)'!$A:$F,$2:$2,0),0)</f>
        <v>0</v>
      </c>
      <c r="L275" s="207">
        <f>IF(ISNUMBER(VLOOKUP($B:$B,'BS(과거)'!$A:$F,$2:$2,0)),VLOOKUP($B:$B,'BS(과거)'!$A:$F,$2:$2,0),0)</f>
        <v>0</v>
      </c>
      <c r="N275" s="207">
        <f>IF(ISNUMBER(VLOOKUP($B:$B,'BS(분기)'!$A:$F,$2:$2,0)),VLOOKUP($B:$B,'BS(분기)'!$A:$F,$2:$2,0),0)</f>
        <v>0</v>
      </c>
      <c r="O275" s="207">
        <f>IF(ISNUMBER(VLOOKUP($B:$B,'BS(분기)'!$A:$F,$2:$2,0)),VLOOKUP($B:$B,'BS(분기)'!$A:$F,$2:$2,0),0)</f>
        <v>0</v>
      </c>
      <c r="P275" s="207">
        <f>IF(ISNUMBER(VLOOKUP($B:$B,'BS(분기)'!$A:$F,$2:$2,0)),VLOOKUP($B:$B,'BS(분기)'!$A:$F,$2:$2,0),0)</f>
        <v>0</v>
      </c>
      <c r="Q275" s="207">
        <f>IF(ISNUMBER(VLOOKUP($B:$B,'BS(분기)'!$A:$F,$2:$2,0)),VLOOKUP($B:$B,'BS(분기)'!$A:$F,$2:$2,0),0)</f>
        <v>0</v>
      </c>
      <c r="R275" s="207">
        <f>IF(ISNUMBER(VLOOKUP($B:$B,'BS(분기)'!$A:$F,$2:$2,0)),VLOOKUP($B:$B,'BS(분기)'!$A:$F,$2:$2,0),0)</f>
        <v>0</v>
      </c>
    </row>
    <row r="276" spans="1:18" s="192" customFormat="1" ht="12">
      <c r="A276" s="203">
        <v>113014</v>
      </c>
      <c r="B276" s="196" t="s">
        <v>1050</v>
      </c>
      <c r="C276" s="217">
        <f>IF(ISNUMBER(VLOOKUP($B:$B,BS!$A:$D,$2:$2,0)),VLOOKUP($B:$B,BS!$A:$D,$2:$2,0),0)</f>
        <v>0</v>
      </c>
      <c r="D276" s="217">
        <f>IF(ISNUMBER(VLOOKUP($B:$B,BS!$A:$D,$2:$2,0)),VLOOKUP($B:$B,BS!$A:$D,$2:$2,0),0)</f>
        <v>0</v>
      </c>
      <c r="E276" s="217">
        <f>IF(ISNUMBER(VLOOKUP($B:$B,BS!$A:$D,$2:$2,0)),VLOOKUP($B:$B,BS!$A:$D,$2:$2,0),0)</f>
        <v>0</v>
      </c>
      <c r="F276" s="217">
        <f>IF(ISNUMBER(VLOOKUP($B:$B,BS!$A:$D,$2:$2,0)),VLOOKUP($B:$B,BS!$A:$D,$2:$2,0),0)</f>
        <v>0</v>
      </c>
      <c r="G276" s="217">
        <f>IF(ISNUMBER(VLOOKUP($B:$B,BS!$A:$D,$2:$2,0)),VLOOKUP($B:$B,BS!$A:$D,$2:$2,0),0)</f>
        <v>0</v>
      </c>
      <c r="H276" s="207">
        <f>IF(ISNUMBER(VLOOKUP($B:$B,'BS(과거)'!$A:$F,$2:$2,0)),VLOOKUP($B:$B,'BS(과거)'!$A:$F,$2:$2,0),0)</f>
        <v>0</v>
      </c>
      <c r="I276" s="207">
        <f>IF(ISNUMBER(VLOOKUP($B:$B,'BS(과거)'!$A:$F,$2:$2,0)),VLOOKUP($B:$B,'BS(과거)'!$A:$F,$2:$2,0),0)</f>
        <v>0</v>
      </c>
      <c r="J276" s="207">
        <f>IF(ISNUMBER(VLOOKUP($B:$B,'BS(과거)'!$A:$F,$2:$2,0)),VLOOKUP($B:$B,'BS(과거)'!$A:$F,$2:$2,0),0)</f>
        <v>0</v>
      </c>
      <c r="K276" s="207">
        <f>IF(ISNUMBER(VLOOKUP($B:$B,'BS(과거)'!$A:$F,$2:$2,0)),VLOOKUP($B:$B,'BS(과거)'!$A:$F,$2:$2,0),0)</f>
        <v>0</v>
      </c>
      <c r="L276" s="207">
        <f>IF(ISNUMBER(VLOOKUP($B:$B,'BS(과거)'!$A:$F,$2:$2,0)),VLOOKUP($B:$B,'BS(과거)'!$A:$F,$2:$2,0),0)</f>
        <v>0</v>
      </c>
      <c r="N276" s="207">
        <f>IF(ISNUMBER(VLOOKUP($B:$B,'BS(분기)'!$A:$F,$2:$2,0)),VLOOKUP($B:$B,'BS(분기)'!$A:$F,$2:$2,0),0)</f>
        <v>0</v>
      </c>
      <c r="O276" s="207">
        <f>IF(ISNUMBER(VLOOKUP($B:$B,'BS(분기)'!$A:$F,$2:$2,0)),VLOOKUP($B:$B,'BS(분기)'!$A:$F,$2:$2,0),0)</f>
        <v>0</v>
      </c>
      <c r="P276" s="207">
        <f>IF(ISNUMBER(VLOOKUP($B:$B,'BS(분기)'!$A:$F,$2:$2,0)),VLOOKUP($B:$B,'BS(분기)'!$A:$F,$2:$2,0),0)</f>
        <v>0</v>
      </c>
      <c r="Q276" s="207">
        <f>IF(ISNUMBER(VLOOKUP($B:$B,'BS(분기)'!$A:$F,$2:$2,0)),VLOOKUP($B:$B,'BS(분기)'!$A:$F,$2:$2,0),0)</f>
        <v>0</v>
      </c>
      <c r="R276" s="207">
        <f>IF(ISNUMBER(VLOOKUP($B:$B,'BS(분기)'!$A:$F,$2:$2,0)),VLOOKUP($B:$B,'BS(분기)'!$A:$F,$2:$2,0),0)</f>
        <v>0</v>
      </c>
    </row>
    <row r="277" spans="1:18" s="192" customFormat="1" ht="12">
      <c r="A277" s="203">
        <v>113015</v>
      </c>
      <c r="B277" s="196" t="s">
        <v>1051</v>
      </c>
      <c r="C277" s="217">
        <f>IF(ISNUMBER(VLOOKUP($B:$B,BS!$A:$D,$2:$2,0)),VLOOKUP($B:$B,BS!$A:$D,$2:$2,0),0)</f>
        <v>0</v>
      </c>
      <c r="D277" s="217">
        <f>IF(ISNUMBER(VLOOKUP($B:$B,BS!$A:$D,$2:$2,0)),VLOOKUP($B:$B,BS!$A:$D,$2:$2,0),0)</f>
        <v>0</v>
      </c>
      <c r="E277" s="217">
        <f>IF(ISNUMBER(VLOOKUP($B:$B,BS!$A:$D,$2:$2,0)),VLOOKUP($B:$B,BS!$A:$D,$2:$2,0),0)</f>
        <v>0</v>
      </c>
      <c r="F277" s="217">
        <f>IF(ISNUMBER(VLOOKUP($B:$B,BS!$A:$D,$2:$2,0)),VLOOKUP($B:$B,BS!$A:$D,$2:$2,0),0)</f>
        <v>0</v>
      </c>
      <c r="G277" s="217">
        <f>IF(ISNUMBER(VLOOKUP($B:$B,BS!$A:$D,$2:$2,0)),VLOOKUP($B:$B,BS!$A:$D,$2:$2,0),0)</f>
        <v>0</v>
      </c>
      <c r="H277" s="207">
        <f>IF(ISNUMBER(VLOOKUP($B:$B,'BS(과거)'!$A:$F,$2:$2,0)),VLOOKUP($B:$B,'BS(과거)'!$A:$F,$2:$2,0),0)</f>
        <v>0</v>
      </c>
      <c r="I277" s="207">
        <f>IF(ISNUMBER(VLOOKUP($B:$B,'BS(과거)'!$A:$F,$2:$2,0)),VLOOKUP($B:$B,'BS(과거)'!$A:$F,$2:$2,0),0)</f>
        <v>0</v>
      </c>
      <c r="J277" s="207">
        <f>IF(ISNUMBER(VLOOKUP($B:$B,'BS(과거)'!$A:$F,$2:$2,0)),VLOOKUP($B:$B,'BS(과거)'!$A:$F,$2:$2,0),0)</f>
        <v>0</v>
      </c>
      <c r="K277" s="207">
        <f>IF(ISNUMBER(VLOOKUP($B:$B,'BS(과거)'!$A:$F,$2:$2,0)),VLOOKUP($B:$B,'BS(과거)'!$A:$F,$2:$2,0),0)</f>
        <v>0</v>
      </c>
      <c r="L277" s="207">
        <f>IF(ISNUMBER(VLOOKUP($B:$B,'BS(과거)'!$A:$F,$2:$2,0)),VLOOKUP($B:$B,'BS(과거)'!$A:$F,$2:$2,0),0)</f>
        <v>0</v>
      </c>
      <c r="N277" s="207">
        <f>IF(ISNUMBER(VLOOKUP($B:$B,'BS(분기)'!$A:$F,$2:$2,0)),VLOOKUP($B:$B,'BS(분기)'!$A:$F,$2:$2,0),0)</f>
        <v>0</v>
      </c>
      <c r="O277" s="207">
        <f>IF(ISNUMBER(VLOOKUP($B:$B,'BS(분기)'!$A:$F,$2:$2,0)),VLOOKUP($B:$B,'BS(분기)'!$A:$F,$2:$2,0),0)</f>
        <v>0</v>
      </c>
      <c r="P277" s="207">
        <f>IF(ISNUMBER(VLOOKUP($B:$B,'BS(분기)'!$A:$F,$2:$2,0)),VLOOKUP($B:$B,'BS(분기)'!$A:$F,$2:$2,0),0)</f>
        <v>0</v>
      </c>
      <c r="Q277" s="207">
        <f>IF(ISNUMBER(VLOOKUP($B:$B,'BS(분기)'!$A:$F,$2:$2,0)),VLOOKUP($B:$B,'BS(분기)'!$A:$F,$2:$2,0),0)</f>
        <v>0</v>
      </c>
      <c r="R277" s="207">
        <f>IF(ISNUMBER(VLOOKUP($B:$B,'BS(분기)'!$A:$F,$2:$2,0)),VLOOKUP($B:$B,'BS(분기)'!$A:$F,$2:$2,0),0)</f>
        <v>0</v>
      </c>
    </row>
    <row r="278" spans="1:18" s="192" customFormat="1" ht="12">
      <c r="A278" s="202">
        <v>113110</v>
      </c>
      <c r="B278" s="195" t="s">
        <v>572</v>
      </c>
      <c r="C278" s="217">
        <f>IF(ISNUMBER(VLOOKUP($B:$B,BS!$A:$D,$2:$2,0)),VLOOKUP($B:$B,BS!$A:$D,$2:$2,0),0)</f>
        <v>0</v>
      </c>
      <c r="D278" s="217">
        <f>IF(ISNUMBER(VLOOKUP($B:$B,BS!$A:$D,$2:$2,0)),VLOOKUP($B:$B,BS!$A:$D,$2:$2,0),0)</f>
        <v>0</v>
      </c>
      <c r="E278" s="217">
        <f>IF(ISNUMBER(VLOOKUP($B:$B,BS!$A:$D,$2:$2,0)),VLOOKUP($B:$B,BS!$A:$D,$2:$2,0),0)</f>
        <v>0</v>
      </c>
      <c r="F278" s="217">
        <f>IF(ISNUMBER(VLOOKUP($B:$B,BS!$A:$D,$2:$2,0)),VLOOKUP($B:$B,BS!$A:$D,$2:$2,0),0)</f>
        <v>0</v>
      </c>
      <c r="G278" s="217">
        <f>IF(ISNUMBER(VLOOKUP($B:$B,BS!$A:$D,$2:$2,0)),VLOOKUP($B:$B,BS!$A:$D,$2:$2,0),0)</f>
        <v>0</v>
      </c>
      <c r="H278" s="207">
        <f>IF(ISNUMBER(VLOOKUP($B:$B,'BS(과거)'!$A:$F,$2:$2,0)),VLOOKUP($B:$B,'BS(과거)'!$A:$F,$2:$2,0),0)</f>
        <v>0</v>
      </c>
      <c r="I278" s="207">
        <f>IF(ISNUMBER(VLOOKUP($B:$B,'BS(과거)'!$A:$F,$2:$2,0)),VLOOKUP($B:$B,'BS(과거)'!$A:$F,$2:$2,0),0)</f>
        <v>0</v>
      </c>
      <c r="J278" s="207">
        <f>IF(ISNUMBER(VLOOKUP($B:$B,'BS(과거)'!$A:$F,$2:$2,0)),VLOOKUP($B:$B,'BS(과거)'!$A:$F,$2:$2,0),0)</f>
        <v>0</v>
      </c>
      <c r="K278" s="207">
        <f>IF(ISNUMBER(VLOOKUP($B:$B,'BS(과거)'!$A:$F,$2:$2,0)),VLOOKUP($B:$B,'BS(과거)'!$A:$F,$2:$2,0),0)</f>
        <v>0</v>
      </c>
      <c r="L278" s="207">
        <f>IF(ISNUMBER(VLOOKUP($B:$B,'BS(과거)'!$A:$F,$2:$2,0)),VLOOKUP($B:$B,'BS(과거)'!$A:$F,$2:$2,0),0)</f>
        <v>0</v>
      </c>
      <c r="N278" s="207">
        <f>IF(ISNUMBER(VLOOKUP($B:$B,'BS(분기)'!$A:$F,$2:$2,0)),VLOOKUP($B:$B,'BS(분기)'!$A:$F,$2:$2,0),0)</f>
        <v>0</v>
      </c>
      <c r="O278" s="207">
        <f>IF(ISNUMBER(VLOOKUP($B:$B,'BS(분기)'!$A:$F,$2:$2,0)),VLOOKUP($B:$B,'BS(분기)'!$A:$F,$2:$2,0),0)</f>
        <v>0</v>
      </c>
      <c r="P278" s="207">
        <f>IF(ISNUMBER(VLOOKUP($B:$B,'BS(분기)'!$A:$F,$2:$2,0)),VLOOKUP($B:$B,'BS(분기)'!$A:$F,$2:$2,0),0)</f>
        <v>0</v>
      </c>
      <c r="Q278" s="207">
        <f>IF(ISNUMBER(VLOOKUP($B:$B,'BS(분기)'!$A:$F,$2:$2,0)),VLOOKUP($B:$B,'BS(분기)'!$A:$F,$2:$2,0),0)</f>
        <v>0</v>
      </c>
      <c r="R278" s="207">
        <f>IF(ISNUMBER(VLOOKUP($B:$B,'BS(분기)'!$A:$F,$2:$2,0)),VLOOKUP($B:$B,'BS(분기)'!$A:$F,$2:$2,0),0)</f>
        <v>0</v>
      </c>
    </row>
    <row r="279" spans="1:18" s="192" customFormat="1" ht="12">
      <c r="A279" s="202">
        <v>113111</v>
      </c>
      <c r="B279" s="195" t="s">
        <v>1052</v>
      </c>
      <c r="C279" s="217">
        <f>IF(ISNUMBER(VLOOKUP($B:$B,BS!$A:$D,$2:$2,0)),VLOOKUP($B:$B,BS!$A:$D,$2:$2,0),0)</f>
        <v>0</v>
      </c>
      <c r="D279" s="217">
        <f>IF(ISNUMBER(VLOOKUP($B:$B,BS!$A:$D,$2:$2,0)),VLOOKUP($B:$B,BS!$A:$D,$2:$2,0),0)</f>
        <v>0</v>
      </c>
      <c r="E279" s="217">
        <f>IF(ISNUMBER(VLOOKUP($B:$B,BS!$A:$D,$2:$2,0)),VLOOKUP($B:$B,BS!$A:$D,$2:$2,0),0)</f>
        <v>0</v>
      </c>
      <c r="F279" s="217">
        <f>IF(ISNUMBER(VLOOKUP($B:$B,BS!$A:$D,$2:$2,0)),VLOOKUP($B:$B,BS!$A:$D,$2:$2,0),0)</f>
        <v>0</v>
      </c>
      <c r="G279" s="217">
        <f>IF(ISNUMBER(VLOOKUP($B:$B,BS!$A:$D,$2:$2,0)),VLOOKUP($B:$B,BS!$A:$D,$2:$2,0),0)</f>
        <v>0</v>
      </c>
      <c r="H279" s="207">
        <f>IF(ISNUMBER(VLOOKUP($B:$B,'BS(과거)'!$A:$F,$2:$2,0)),VLOOKUP($B:$B,'BS(과거)'!$A:$F,$2:$2,0),0)</f>
        <v>0</v>
      </c>
      <c r="I279" s="207">
        <f>IF(ISNUMBER(VLOOKUP($B:$B,'BS(과거)'!$A:$F,$2:$2,0)),VLOOKUP($B:$B,'BS(과거)'!$A:$F,$2:$2,0),0)</f>
        <v>0</v>
      </c>
      <c r="J279" s="207">
        <f>IF(ISNUMBER(VLOOKUP($B:$B,'BS(과거)'!$A:$F,$2:$2,0)),VLOOKUP($B:$B,'BS(과거)'!$A:$F,$2:$2,0),0)</f>
        <v>0</v>
      </c>
      <c r="K279" s="207">
        <f>IF(ISNUMBER(VLOOKUP($B:$B,'BS(과거)'!$A:$F,$2:$2,0)),VLOOKUP($B:$B,'BS(과거)'!$A:$F,$2:$2,0),0)</f>
        <v>0</v>
      </c>
      <c r="L279" s="207">
        <f>IF(ISNUMBER(VLOOKUP($B:$B,'BS(과거)'!$A:$F,$2:$2,0)),VLOOKUP($B:$B,'BS(과거)'!$A:$F,$2:$2,0),0)</f>
        <v>0</v>
      </c>
      <c r="N279" s="207">
        <f>IF(ISNUMBER(VLOOKUP($B:$B,'BS(분기)'!$A:$F,$2:$2,0)),VLOOKUP($B:$B,'BS(분기)'!$A:$F,$2:$2,0),0)</f>
        <v>0</v>
      </c>
      <c r="O279" s="207">
        <f>IF(ISNUMBER(VLOOKUP($B:$B,'BS(분기)'!$A:$F,$2:$2,0)),VLOOKUP($B:$B,'BS(분기)'!$A:$F,$2:$2,0),0)</f>
        <v>0</v>
      </c>
      <c r="P279" s="207">
        <f>IF(ISNUMBER(VLOOKUP($B:$B,'BS(분기)'!$A:$F,$2:$2,0)),VLOOKUP($B:$B,'BS(분기)'!$A:$F,$2:$2,0),0)</f>
        <v>0</v>
      </c>
      <c r="Q279" s="207">
        <f>IF(ISNUMBER(VLOOKUP($B:$B,'BS(분기)'!$A:$F,$2:$2,0)),VLOOKUP($B:$B,'BS(분기)'!$A:$F,$2:$2,0),0)</f>
        <v>0</v>
      </c>
      <c r="R279" s="207">
        <f>IF(ISNUMBER(VLOOKUP($B:$B,'BS(분기)'!$A:$F,$2:$2,0)),VLOOKUP($B:$B,'BS(분기)'!$A:$F,$2:$2,0),0)</f>
        <v>0</v>
      </c>
    </row>
    <row r="280" spans="1:18" s="192" customFormat="1" ht="12">
      <c r="A280" s="202">
        <v>113112</v>
      </c>
      <c r="B280" s="195" t="s">
        <v>1053</v>
      </c>
      <c r="C280" s="217">
        <f>IF(ISNUMBER(VLOOKUP($B:$B,BS!$A:$D,$2:$2,0)),VLOOKUP($B:$B,BS!$A:$D,$2:$2,0),0)</f>
        <v>0</v>
      </c>
      <c r="D280" s="217">
        <f>IF(ISNUMBER(VLOOKUP($B:$B,BS!$A:$D,$2:$2,0)),VLOOKUP($B:$B,BS!$A:$D,$2:$2,0),0)</f>
        <v>0</v>
      </c>
      <c r="E280" s="217">
        <f>IF(ISNUMBER(VLOOKUP($B:$B,BS!$A:$D,$2:$2,0)),VLOOKUP($B:$B,BS!$A:$D,$2:$2,0),0)</f>
        <v>0</v>
      </c>
      <c r="F280" s="217">
        <f>IF(ISNUMBER(VLOOKUP($B:$B,BS!$A:$D,$2:$2,0)),VLOOKUP($B:$B,BS!$A:$D,$2:$2,0),0)</f>
        <v>0</v>
      </c>
      <c r="G280" s="217">
        <f>IF(ISNUMBER(VLOOKUP($B:$B,BS!$A:$D,$2:$2,0)),VLOOKUP($B:$B,BS!$A:$D,$2:$2,0),0)</f>
        <v>0</v>
      </c>
      <c r="H280" s="207">
        <f>IF(ISNUMBER(VLOOKUP($B:$B,'BS(과거)'!$A:$F,$2:$2,0)),VLOOKUP($B:$B,'BS(과거)'!$A:$F,$2:$2,0),0)</f>
        <v>0</v>
      </c>
      <c r="I280" s="207">
        <f>IF(ISNUMBER(VLOOKUP($B:$B,'BS(과거)'!$A:$F,$2:$2,0)),VLOOKUP($B:$B,'BS(과거)'!$A:$F,$2:$2,0),0)</f>
        <v>0</v>
      </c>
      <c r="J280" s="207">
        <f>IF(ISNUMBER(VLOOKUP($B:$B,'BS(과거)'!$A:$F,$2:$2,0)),VLOOKUP($B:$B,'BS(과거)'!$A:$F,$2:$2,0),0)</f>
        <v>0</v>
      </c>
      <c r="K280" s="207">
        <f>IF(ISNUMBER(VLOOKUP($B:$B,'BS(과거)'!$A:$F,$2:$2,0)),VLOOKUP($B:$B,'BS(과거)'!$A:$F,$2:$2,0),0)</f>
        <v>0</v>
      </c>
      <c r="L280" s="207">
        <f>IF(ISNUMBER(VLOOKUP($B:$B,'BS(과거)'!$A:$F,$2:$2,0)),VLOOKUP($B:$B,'BS(과거)'!$A:$F,$2:$2,0),0)</f>
        <v>0</v>
      </c>
      <c r="N280" s="207">
        <f>IF(ISNUMBER(VLOOKUP($B:$B,'BS(분기)'!$A:$F,$2:$2,0)),VLOOKUP($B:$B,'BS(분기)'!$A:$F,$2:$2,0),0)</f>
        <v>0</v>
      </c>
      <c r="O280" s="207">
        <f>IF(ISNUMBER(VLOOKUP($B:$B,'BS(분기)'!$A:$F,$2:$2,0)),VLOOKUP($B:$B,'BS(분기)'!$A:$F,$2:$2,0),0)</f>
        <v>0</v>
      </c>
      <c r="P280" s="207">
        <f>IF(ISNUMBER(VLOOKUP($B:$B,'BS(분기)'!$A:$F,$2:$2,0)),VLOOKUP($B:$B,'BS(분기)'!$A:$F,$2:$2,0),0)</f>
        <v>0</v>
      </c>
      <c r="Q280" s="207">
        <f>IF(ISNUMBER(VLOOKUP($B:$B,'BS(분기)'!$A:$F,$2:$2,0)),VLOOKUP($B:$B,'BS(분기)'!$A:$F,$2:$2,0),0)</f>
        <v>0</v>
      </c>
      <c r="R280" s="207">
        <f>IF(ISNUMBER(VLOOKUP($B:$B,'BS(분기)'!$A:$F,$2:$2,0)),VLOOKUP($B:$B,'BS(분기)'!$A:$F,$2:$2,0),0)</f>
        <v>0</v>
      </c>
    </row>
    <row r="281" spans="1:18" s="192" customFormat="1" ht="12">
      <c r="A281" s="202">
        <v>113113</v>
      </c>
      <c r="B281" s="195" t="s">
        <v>1054</v>
      </c>
      <c r="C281" s="217">
        <f>IF(ISNUMBER(VLOOKUP($B:$B,BS!$A:$D,$2:$2,0)),VLOOKUP($B:$B,BS!$A:$D,$2:$2,0),0)</f>
        <v>0</v>
      </c>
      <c r="D281" s="217">
        <f>IF(ISNUMBER(VLOOKUP($B:$B,BS!$A:$D,$2:$2,0)),VLOOKUP($B:$B,BS!$A:$D,$2:$2,0),0)</f>
        <v>0</v>
      </c>
      <c r="E281" s="217">
        <f>IF(ISNUMBER(VLOOKUP($B:$B,BS!$A:$D,$2:$2,0)),VLOOKUP($B:$B,BS!$A:$D,$2:$2,0),0)</f>
        <v>0</v>
      </c>
      <c r="F281" s="217">
        <f>IF(ISNUMBER(VLOOKUP($B:$B,BS!$A:$D,$2:$2,0)),VLOOKUP($B:$B,BS!$A:$D,$2:$2,0),0)</f>
        <v>0</v>
      </c>
      <c r="G281" s="217">
        <f>IF(ISNUMBER(VLOOKUP($B:$B,BS!$A:$D,$2:$2,0)),VLOOKUP($B:$B,BS!$A:$D,$2:$2,0),0)</f>
        <v>0</v>
      </c>
      <c r="H281" s="207">
        <f>IF(ISNUMBER(VLOOKUP($B:$B,'BS(과거)'!$A:$F,$2:$2,0)),VLOOKUP($B:$B,'BS(과거)'!$A:$F,$2:$2,0),0)</f>
        <v>0</v>
      </c>
      <c r="I281" s="207">
        <f>IF(ISNUMBER(VLOOKUP($B:$B,'BS(과거)'!$A:$F,$2:$2,0)),VLOOKUP($B:$B,'BS(과거)'!$A:$F,$2:$2,0),0)</f>
        <v>0</v>
      </c>
      <c r="J281" s="207">
        <f>IF(ISNUMBER(VLOOKUP($B:$B,'BS(과거)'!$A:$F,$2:$2,0)),VLOOKUP($B:$B,'BS(과거)'!$A:$F,$2:$2,0),0)</f>
        <v>0</v>
      </c>
      <c r="K281" s="207">
        <f>IF(ISNUMBER(VLOOKUP($B:$B,'BS(과거)'!$A:$F,$2:$2,0)),VLOOKUP($B:$B,'BS(과거)'!$A:$F,$2:$2,0),0)</f>
        <v>0</v>
      </c>
      <c r="L281" s="207">
        <f>IF(ISNUMBER(VLOOKUP($B:$B,'BS(과거)'!$A:$F,$2:$2,0)),VLOOKUP($B:$B,'BS(과거)'!$A:$F,$2:$2,0),0)</f>
        <v>0</v>
      </c>
      <c r="N281" s="207">
        <f>IF(ISNUMBER(VLOOKUP($B:$B,'BS(분기)'!$A:$F,$2:$2,0)),VLOOKUP($B:$B,'BS(분기)'!$A:$F,$2:$2,0),0)</f>
        <v>0</v>
      </c>
      <c r="O281" s="207">
        <f>IF(ISNUMBER(VLOOKUP($B:$B,'BS(분기)'!$A:$F,$2:$2,0)),VLOOKUP($B:$B,'BS(분기)'!$A:$F,$2:$2,0),0)</f>
        <v>0</v>
      </c>
      <c r="P281" s="207">
        <f>IF(ISNUMBER(VLOOKUP($B:$B,'BS(분기)'!$A:$F,$2:$2,0)),VLOOKUP($B:$B,'BS(분기)'!$A:$F,$2:$2,0),0)</f>
        <v>0</v>
      </c>
      <c r="Q281" s="207">
        <f>IF(ISNUMBER(VLOOKUP($B:$B,'BS(분기)'!$A:$F,$2:$2,0)),VLOOKUP($B:$B,'BS(분기)'!$A:$F,$2:$2,0),0)</f>
        <v>0</v>
      </c>
      <c r="R281" s="207">
        <f>IF(ISNUMBER(VLOOKUP($B:$B,'BS(분기)'!$A:$F,$2:$2,0)),VLOOKUP($B:$B,'BS(분기)'!$A:$F,$2:$2,0),0)</f>
        <v>0</v>
      </c>
    </row>
    <row r="282" spans="1:18" s="192" customFormat="1" ht="12">
      <c r="A282" s="202">
        <v>113114</v>
      </c>
      <c r="B282" s="195" t="s">
        <v>1055</v>
      </c>
      <c r="C282" s="217">
        <f>IF(ISNUMBER(VLOOKUP($B:$B,BS!$A:$D,$2:$2,0)),VLOOKUP($B:$B,BS!$A:$D,$2:$2,0),0)</f>
        <v>0</v>
      </c>
      <c r="D282" s="217">
        <f>IF(ISNUMBER(VLOOKUP($B:$B,BS!$A:$D,$2:$2,0)),VLOOKUP($B:$B,BS!$A:$D,$2:$2,0),0)</f>
        <v>0</v>
      </c>
      <c r="E282" s="217">
        <f>IF(ISNUMBER(VLOOKUP($B:$B,BS!$A:$D,$2:$2,0)),VLOOKUP($B:$B,BS!$A:$D,$2:$2,0),0)</f>
        <v>0</v>
      </c>
      <c r="F282" s="217">
        <f>IF(ISNUMBER(VLOOKUP($B:$B,BS!$A:$D,$2:$2,0)),VLOOKUP($B:$B,BS!$A:$D,$2:$2,0),0)</f>
        <v>0</v>
      </c>
      <c r="G282" s="217">
        <f>IF(ISNUMBER(VLOOKUP($B:$B,BS!$A:$D,$2:$2,0)),VLOOKUP($B:$B,BS!$A:$D,$2:$2,0),0)</f>
        <v>0</v>
      </c>
      <c r="H282" s="207">
        <f>IF(ISNUMBER(VLOOKUP($B:$B,'BS(과거)'!$A:$F,$2:$2,0)),VLOOKUP($B:$B,'BS(과거)'!$A:$F,$2:$2,0),0)</f>
        <v>0</v>
      </c>
      <c r="I282" s="207">
        <f>IF(ISNUMBER(VLOOKUP($B:$B,'BS(과거)'!$A:$F,$2:$2,0)),VLOOKUP($B:$B,'BS(과거)'!$A:$F,$2:$2,0),0)</f>
        <v>0</v>
      </c>
      <c r="J282" s="207">
        <f>IF(ISNUMBER(VLOOKUP($B:$B,'BS(과거)'!$A:$F,$2:$2,0)),VLOOKUP($B:$B,'BS(과거)'!$A:$F,$2:$2,0),0)</f>
        <v>0</v>
      </c>
      <c r="K282" s="207">
        <f>IF(ISNUMBER(VLOOKUP($B:$B,'BS(과거)'!$A:$F,$2:$2,0)),VLOOKUP($B:$B,'BS(과거)'!$A:$F,$2:$2,0),0)</f>
        <v>0</v>
      </c>
      <c r="L282" s="207">
        <f>IF(ISNUMBER(VLOOKUP($B:$B,'BS(과거)'!$A:$F,$2:$2,0)),VLOOKUP($B:$B,'BS(과거)'!$A:$F,$2:$2,0),0)</f>
        <v>0</v>
      </c>
      <c r="N282" s="207">
        <f>IF(ISNUMBER(VLOOKUP($B:$B,'BS(분기)'!$A:$F,$2:$2,0)),VLOOKUP($B:$B,'BS(분기)'!$A:$F,$2:$2,0),0)</f>
        <v>0</v>
      </c>
      <c r="O282" s="207">
        <f>IF(ISNUMBER(VLOOKUP($B:$B,'BS(분기)'!$A:$F,$2:$2,0)),VLOOKUP($B:$B,'BS(분기)'!$A:$F,$2:$2,0),0)</f>
        <v>0</v>
      </c>
      <c r="P282" s="207">
        <f>IF(ISNUMBER(VLOOKUP($B:$B,'BS(분기)'!$A:$F,$2:$2,0)),VLOOKUP($B:$B,'BS(분기)'!$A:$F,$2:$2,0),0)</f>
        <v>0</v>
      </c>
      <c r="Q282" s="207">
        <f>IF(ISNUMBER(VLOOKUP($B:$B,'BS(분기)'!$A:$F,$2:$2,0)),VLOOKUP($B:$B,'BS(분기)'!$A:$F,$2:$2,0),0)</f>
        <v>0</v>
      </c>
      <c r="R282" s="207">
        <f>IF(ISNUMBER(VLOOKUP($B:$B,'BS(분기)'!$A:$F,$2:$2,0)),VLOOKUP($B:$B,'BS(분기)'!$A:$F,$2:$2,0),0)</f>
        <v>0</v>
      </c>
    </row>
    <row r="283" spans="1:18" s="192" customFormat="1" ht="12">
      <c r="A283" s="202">
        <v>113120</v>
      </c>
      <c r="B283" s="195" t="s">
        <v>808</v>
      </c>
      <c r="C283" s="217">
        <f>IF(ISNUMBER(VLOOKUP($B:$B,BS!$A:$D,$2:$2,0)),VLOOKUP($B:$B,BS!$A:$D,$2:$2,0),0)</f>
        <v>0</v>
      </c>
      <c r="D283" s="217">
        <f>IF(ISNUMBER(VLOOKUP($B:$B,BS!$A:$D,$2:$2,0)),VLOOKUP($B:$B,BS!$A:$D,$2:$2,0),0)</f>
        <v>0</v>
      </c>
      <c r="E283" s="217">
        <f>IF(ISNUMBER(VLOOKUP($B:$B,BS!$A:$D,$2:$2,0)),VLOOKUP($B:$B,BS!$A:$D,$2:$2,0),0)</f>
        <v>0</v>
      </c>
      <c r="F283" s="217">
        <f>IF(ISNUMBER(VLOOKUP($B:$B,BS!$A:$D,$2:$2,0)),VLOOKUP($B:$B,BS!$A:$D,$2:$2,0),0)</f>
        <v>0</v>
      </c>
      <c r="G283" s="217">
        <f>IF(ISNUMBER(VLOOKUP($B:$B,BS!$A:$D,$2:$2,0)),VLOOKUP($B:$B,BS!$A:$D,$2:$2,0),0)</f>
        <v>0</v>
      </c>
      <c r="H283" s="207">
        <f>IF(ISNUMBER(VLOOKUP($B:$B,'BS(과거)'!$A:$F,$2:$2,0)),VLOOKUP($B:$B,'BS(과거)'!$A:$F,$2:$2,0),0)</f>
        <v>0</v>
      </c>
      <c r="I283" s="207">
        <f>IF(ISNUMBER(VLOOKUP($B:$B,'BS(과거)'!$A:$F,$2:$2,0)),VLOOKUP($B:$B,'BS(과거)'!$A:$F,$2:$2,0),0)</f>
        <v>0</v>
      </c>
      <c r="J283" s="207">
        <f>IF(ISNUMBER(VLOOKUP($B:$B,'BS(과거)'!$A:$F,$2:$2,0)),VLOOKUP($B:$B,'BS(과거)'!$A:$F,$2:$2,0),0)</f>
        <v>0</v>
      </c>
      <c r="K283" s="207">
        <f>IF(ISNUMBER(VLOOKUP($B:$B,'BS(과거)'!$A:$F,$2:$2,0)),VLOOKUP($B:$B,'BS(과거)'!$A:$F,$2:$2,0),0)</f>
        <v>0</v>
      </c>
      <c r="L283" s="207">
        <f>IF(ISNUMBER(VLOOKUP($B:$B,'BS(과거)'!$A:$F,$2:$2,0)),VLOOKUP($B:$B,'BS(과거)'!$A:$F,$2:$2,0),0)</f>
        <v>0</v>
      </c>
      <c r="N283" s="207">
        <f>IF(ISNUMBER(VLOOKUP($B:$B,'BS(분기)'!$A:$F,$2:$2,0)),VLOOKUP($B:$B,'BS(분기)'!$A:$F,$2:$2,0),0)</f>
        <v>0</v>
      </c>
      <c r="O283" s="207">
        <f>IF(ISNUMBER(VLOOKUP($B:$B,'BS(분기)'!$A:$F,$2:$2,0)),VLOOKUP($B:$B,'BS(분기)'!$A:$F,$2:$2,0),0)</f>
        <v>0</v>
      </c>
      <c r="P283" s="207">
        <f>IF(ISNUMBER(VLOOKUP($B:$B,'BS(분기)'!$A:$F,$2:$2,0)),VLOOKUP($B:$B,'BS(분기)'!$A:$F,$2:$2,0),0)</f>
        <v>0</v>
      </c>
      <c r="Q283" s="207">
        <f>IF(ISNUMBER(VLOOKUP($B:$B,'BS(분기)'!$A:$F,$2:$2,0)),VLOOKUP($B:$B,'BS(분기)'!$A:$F,$2:$2,0),0)</f>
        <v>0</v>
      </c>
      <c r="R283" s="207">
        <f>IF(ISNUMBER(VLOOKUP($B:$B,'BS(분기)'!$A:$F,$2:$2,0)),VLOOKUP($B:$B,'BS(분기)'!$A:$F,$2:$2,0),0)</f>
        <v>0</v>
      </c>
    </row>
    <row r="284" spans="1:18" s="192" customFormat="1" ht="12">
      <c r="A284" s="202">
        <v>113122</v>
      </c>
      <c r="B284" s="195" t="s">
        <v>1056</v>
      </c>
      <c r="C284" s="217">
        <f>IF(ISNUMBER(VLOOKUP($B:$B,BS!$A:$D,$2:$2,0)),VLOOKUP($B:$B,BS!$A:$D,$2:$2,0),0)</f>
        <v>0</v>
      </c>
      <c r="D284" s="217">
        <f>IF(ISNUMBER(VLOOKUP($B:$B,BS!$A:$D,$2:$2,0)),VLOOKUP($B:$B,BS!$A:$D,$2:$2,0),0)</f>
        <v>0</v>
      </c>
      <c r="E284" s="217">
        <f>IF(ISNUMBER(VLOOKUP($B:$B,BS!$A:$D,$2:$2,0)),VLOOKUP($B:$B,BS!$A:$D,$2:$2,0),0)</f>
        <v>0</v>
      </c>
      <c r="F284" s="217">
        <f>IF(ISNUMBER(VLOOKUP($B:$B,BS!$A:$D,$2:$2,0)),VLOOKUP($B:$B,BS!$A:$D,$2:$2,0),0)</f>
        <v>0</v>
      </c>
      <c r="G284" s="217">
        <f>IF(ISNUMBER(VLOOKUP($B:$B,BS!$A:$D,$2:$2,0)),VLOOKUP($B:$B,BS!$A:$D,$2:$2,0),0)</f>
        <v>0</v>
      </c>
      <c r="H284" s="207">
        <f>IF(ISNUMBER(VLOOKUP($B:$B,'BS(과거)'!$A:$F,$2:$2,0)),VLOOKUP($B:$B,'BS(과거)'!$A:$F,$2:$2,0),0)</f>
        <v>0</v>
      </c>
      <c r="I284" s="207">
        <f>IF(ISNUMBER(VLOOKUP($B:$B,'BS(과거)'!$A:$F,$2:$2,0)),VLOOKUP($B:$B,'BS(과거)'!$A:$F,$2:$2,0),0)</f>
        <v>0</v>
      </c>
      <c r="J284" s="207">
        <f>IF(ISNUMBER(VLOOKUP($B:$B,'BS(과거)'!$A:$F,$2:$2,0)),VLOOKUP($B:$B,'BS(과거)'!$A:$F,$2:$2,0),0)</f>
        <v>0</v>
      </c>
      <c r="K284" s="207">
        <f>IF(ISNUMBER(VLOOKUP($B:$B,'BS(과거)'!$A:$F,$2:$2,0)),VLOOKUP($B:$B,'BS(과거)'!$A:$F,$2:$2,0),0)</f>
        <v>0</v>
      </c>
      <c r="L284" s="207">
        <f>IF(ISNUMBER(VLOOKUP($B:$B,'BS(과거)'!$A:$F,$2:$2,0)),VLOOKUP($B:$B,'BS(과거)'!$A:$F,$2:$2,0),0)</f>
        <v>0</v>
      </c>
      <c r="N284" s="207">
        <f>IF(ISNUMBER(VLOOKUP($B:$B,'BS(분기)'!$A:$F,$2:$2,0)),VLOOKUP($B:$B,'BS(분기)'!$A:$F,$2:$2,0),0)</f>
        <v>0</v>
      </c>
      <c r="O284" s="207">
        <f>IF(ISNUMBER(VLOOKUP($B:$B,'BS(분기)'!$A:$F,$2:$2,0)),VLOOKUP($B:$B,'BS(분기)'!$A:$F,$2:$2,0),0)</f>
        <v>0</v>
      </c>
      <c r="P284" s="207">
        <f>IF(ISNUMBER(VLOOKUP($B:$B,'BS(분기)'!$A:$F,$2:$2,0)),VLOOKUP($B:$B,'BS(분기)'!$A:$F,$2:$2,0),0)</f>
        <v>0</v>
      </c>
      <c r="Q284" s="207">
        <f>IF(ISNUMBER(VLOOKUP($B:$B,'BS(분기)'!$A:$F,$2:$2,0)),VLOOKUP($B:$B,'BS(분기)'!$A:$F,$2:$2,0),0)</f>
        <v>0</v>
      </c>
      <c r="R284" s="207">
        <f>IF(ISNUMBER(VLOOKUP($B:$B,'BS(분기)'!$A:$F,$2:$2,0)),VLOOKUP($B:$B,'BS(분기)'!$A:$F,$2:$2,0),0)</f>
        <v>0</v>
      </c>
    </row>
    <row r="285" spans="1:18" s="192" customFormat="1" ht="12">
      <c r="A285" s="202">
        <v>113123</v>
      </c>
      <c r="B285" s="195" t="s">
        <v>1057</v>
      </c>
      <c r="C285" s="217">
        <f>IF(ISNUMBER(VLOOKUP($B:$B,BS!$A:$D,$2:$2,0)),VLOOKUP($B:$B,BS!$A:$D,$2:$2,0),0)</f>
        <v>0</v>
      </c>
      <c r="D285" s="217">
        <f>IF(ISNUMBER(VLOOKUP($B:$B,BS!$A:$D,$2:$2,0)),VLOOKUP($B:$B,BS!$A:$D,$2:$2,0),0)</f>
        <v>0</v>
      </c>
      <c r="E285" s="217">
        <f>IF(ISNUMBER(VLOOKUP($B:$B,BS!$A:$D,$2:$2,0)),VLOOKUP($B:$B,BS!$A:$D,$2:$2,0),0)</f>
        <v>0</v>
      </c>
      <c r="F285" s="217">
        <f>IF(ISNUMBER(VLOOKUP($B:$B,BS!$A:$D,$2:$2,0)),VLOOKUP($B:$B,BS!$A:$D,$2:$2,0),0)</f>
        <v>0</v>
      </c>
      <c r="G285" s="217">
        <f>IF(ISNUMBER(VLOOKUP($B:$B,BS!$A:$D,$2:$2,0)),VLOOKUP($B:$B,BS!$A:$D,$2:$2,0),0)</f>
        <v>0</v>
      </c>
      <c r="H285" s="207">
        <f>IF(ISNUMBER(VLOOKUP($B:$B,'BS(과거)'!$A:$F,$2:$2,0)),VLOOKUP($B:$B,'BS(과거)'!$A:$F,$2:$2,0),0)</f>
        <v>0</v>
      </c>
      <c r="I285" s="207">
        <f>IF(ISNUMBER(VLOOKUP($B:$B,'BS(과거)'!$A:$F,$2:$2,0)),VLOOKUP($B:$B,'BS(과거)'!$A:$F,$2:$2,0),0)</f>
        <v>0</v>
      </c>
      <c r="J285" s="207">
        <f>IF(ISNUMBER(VLOOKUP($B:$B,'BS(과거)'!$A:$F,$2:$2,0)),VLOOKUP($B:$B,'BS(과거)'!$A:$F,$2:$2,0),0)</f>
        <v>0</v>
      </c>
      <c r="K285" s="207">
        <f>IF(ISNUMBER(VLOOKUP($B:$B,'BS(과거)'!$A:$F,$2:$2,0)),VLOOKUP($B:$B,'BS(과거)'!$A:$F,$2:$2,0),0)</f>
        <v>0</v>
      </c>
      <c r="L285" s="207">
        <f>IF(ISNUMBER(VLOOKUP($B:$B,'BS(과거)'!$A:$F,$2:$2,0)),VLOOKUP($B:$B,'BS(과거)'!$A:$F,$2:$2,0),0)</f>
        <v>0</v>
      </c>
      <c r="N285" s="207">
        <f>IF(ISNUMBER(VLOOKUP($B:$B,'BS(분기)'!$A:$F,$2:$2,0)),VLOOKUP($B:$B,'BS(분기)'!$A:$F,$2:$2,0),0)</f>
        <v>0</v>
      </c>
      <c r="O285" s="207">
        <f>IF(ISNUMBER(VLOOKUP($B:$B,'BS(분기)'!$A:$F,$2:$2,0)),VLOOKUP($B:$B,'BS(분기)'!$A:$F,$2:$2,0),0)</f>
        <v>0</v>
      </c>
      <c r="P285" s="207">
        <f>IF(ISNUMBER(VLOOKUP($B:$B,'BS(분기)'!$A:$F,$2:$2,0)),VLOOKUP($B:$B,'BS(분기)'!$A:$F,$2:$2,0),0)</f>
        <v>0</v>
      </c>
      <c r="Q285" s="207">
        <f>IF(ISNUMBER(VLOOKUP($B:$B,'BS(분기)'!$A:$F,$2:$2,0)),VLOOKUP($B:$B,'BS(분기)'!$A:$F,$2:$2,0),0)</f>
        <v>0</v>
      </c>
      <c r="R285" s="207">
        <f>IF(ISNUMBER(VLOOKUP($B:$B,'BS(분기)'!$A:$F,$2:$2,0)),VLOOKUP($B:$B,'BS(분기)'!$A:$F,$2:$2,0),0)</f>
        <v>0</v>
      </c>
    </row>
    <row r="286" spans="1:18" s="192" customFormat="1" ht="12">
      <c r="A286" s="202">
        <v>113121</v>
      </c>
      <c r="B286" s="195" t="s">
        <v>809</v>
      </c>
      <c r="C286" s="217">
        <f>IF(ISNUMBER(VLOOKUP($B:$B,BS!$A:$D,$2:$2,0)),VLOOKUP($B:$B,BS!$A:$D,$2:$2,0),0)</f>
        <v>0</v>
      </c>
      <c r="D286" s="217">
        <f>IF(ISNUMBER(VLOOKUP($B:$B,BS!$A:$D,$2:$2,0)),VLOOKUP($B:$B,BS!$A:$D,$2:$2,0),0)</f>
        <v>0</v>
      </c>
      <c r="E286" s="217">
        <f>IF(ISNUMBER(VLOOKUP($B:$B,BS!$A:$D,$2:$2,0)),VLOOKUP($B:$B,BS!$A:$D,$2:$2,0),0)</f>
        <v>0</v>
      </c>
      <c r="F286" s="217">
        <f>IF(ISNUMBER(VLOOKUP($B:$B,BS!$A:$D,$2:$2,0)),VLOOKUP($B:$B,BS!$A:$D,$2:$2,0),0)</f>
        <v>0</v>
      </c>
      <c r="G286" s="217">
        <f>IF(ISNUMBER(VLOOKUP($B:$B,BS!$A:$D,$2:$2,0)),VLOOKUP($B:$B,BS!$A:$D,$2:$2,0),0)</f>
        <v>0</v>
      </c>
      <c r="H286" s="207">
        <f>IF(ISNUMBER(VLOOKUP($B:$B,'BS(과거)'!$A:$F,$2:$2,0)),VLOOKUP($B:$B,'BS(과거)'!$A:$F,$2:$2,0),0)</f>
        <v>0</v>
      </c>
      <c r="I286" s="207">
        <f>IF(ISNUMBER(VLOOKUP($B:$B,'BS(과거)'!$A:$F,$2:$2,0)),VLOOKUP($B:$B,'BS(과거)'!$A:$F,$2:$2,0),0)</f>
        <v>0</v>
      </c>
      <c r="J286" s="207">
        <f>IF(ISNUMBER(VLOOKUP($B:$B,'BS(과거)'!$A:$F,$2:$2,0)),VLOOKUP($B:$B,'BS(과거)'!$A:$F,$2:$2,0),0)</f>
        <v>0</v>
      </c>
      <c r="K286" s="207">
        <f>IF(ISNUMBER(VLOOKUP($B:$B,'BS(과거)'!$A:$F,$2:$2,0)),VLOOKUP($B:$B,'BS(과거)'!$A:$F,$2:$2,0),0)</f>
        <v>0</v>
      </c>
      <c r="L286" s="207">
        <f>IF(ISNUMBER(VLOOKUP($B:$B,'BS(과거)'!$A:$F,$2:$2,0)),VLOOKUP($B:$B,'BS(과거)'!$A:$F,$2:$2,0),0)</f>
        <v>0</v>
      </c>
      <c r="N286" s="207">
        <f>IF(ISNUMBER(VLOOKUP($B:$B,'BS(분기)'!$A:$F,$2:$2,0)),VLOOKUP($B:$B,'BS(분기)'!$A:$F,$2:$2,0),0)</f>
        <v>0</v>
      </c>
      <c r="O286" s="207">
        <f>IF(ISNUMBER(VLOOKUP($B:$B,'BS(분기)'!$A:$F,$2:$2,0)),VLOOKUP($B:$B,'BS(분기)'!$A:$F,$2:$2,0),0)</f>
        <v>0</v>
      </c>
      <c r="P286" s="207">
        <f>IF(ISNUMBER(VLOOKUP($B:$B,'BS(분기)'!$A:$F,$2:$2,0)),VLOOKUP($B:$B,'BS(분기)'!$A:$F,$2:$2,0),0)</f>
        <v>0</v>
      </c>
      <c r="Q286" s="207">
        <f>IF(ISNUMBER(VLOOKUP($B:$B,'BS(분기)'!$A:$F,$2:$2,0)),VLOOKUP($B:$B,'BS(분기)'!$A:$F,$2:$2,0),0)</f>
        <v>0</v>
      </c>
      <c r="R286" s="207">
        <f>IF(ISNUMBER(VLOOKUP($B:$B,'BS(분기)'!$A:$F,$2:$2,0)),VLOOKUP($B:$B,'BS(분기)'!$A:$F,$2:$2,0),0)</f>
        <v>0</v>
      </c>
    </row>
    <row r="287" spans="1:18" s="192" customFormat="1" ht="12">
      <c r="A287" s="202">
        <v>113124</v>
      </c>
      <c r="B287" s="195" t="s">
        <v>1058</v>
      </c>
      <c r="C287" s="217">
        <f>IF(ISNUMBER(VLOOKUP($B:$B,BS!$A:$D,$2:$2,0)),VLOOKUP($B:$B,BS!$A:$D,$2:$2,0),0)</f>
        <v>0</v>
      </c>
      <c r="D287" s="217">
        <f>IF(ISNUMBER(VLOOKUP($B:$B,BS!$A:$D,$2:$2,0)),VLOOKUP($B:$B,BS!$A:$D,$2:$2,0),0)</f>
        <v>0</v>
      </c>
      <c r="E287" s="217">
        <f>IF(ISNUMBER(VLOOKUP($B:$B,BS!$A:$D,$2:$2,0)),VLOOKUP($B:$B,BS!$A:$D,$2:$2,0),0)</f>
        <v>0</v>
      </c>
      <c r="F287" s="217">
        <f>IF(ISNUMBER(VLOOKUP($B:$B,BS!$A:$D,$2:$2,0)),VLOOKUP($B:$B,BS!$A:$D,$2:$2,0),0)</f>
        <v>0</v>
      </c>
      <c r="G287" s="217">
        <f>IF(ISNUMBER(VLOOKUP($B:$B,BS!$A:$D,$2:$2,0)),VLOOKUP($B:$B,BS!$A:$D,$2:$2,0),0)</f>
        <v>0</v>
      </c>
      <c r="H287" s="207">
        <f>IF(ISNUMBER(VLOOKUP($B:$B,'BS(과거)'!$A:$F,$2:$2,0)),VLOOKUP($B:$B,'BS(과거)'!$A:$F,$2:$2,0),0)</f>
        <v>0</v>
      </c>
      <c r="I287" s="207">
        <f>IF(ISNUMBER(VLOOKUP($B:$B,'BS(과거)'!$A:$F,$2:$2,0)),VLOOKUP($B:$B,'BS(과거)'!$A:$F,$2:$2,0),0)</f>
        <v>0</v>
      </c>
      <c r="J287" s="207">
        <f>IF(ISNUMBER(VLOOKUP($B:$B,'BS(과거)'!$A:$F,$2:$2,0)),VLOOKUP($B:$B,'BS(과거)'!$A:$F,$2:$2,0),0)</f>
        <v>0</v>
      </c>
      <c r="K287" s="207">
        <f>IF(ISNUMBER(VLOOKUP($B:$B,'BS(과거)'!$A:$F,$2:$2,0)),VLOOKUP($B:$B,'BS(과거)'!$A:$F,$2:$2,0),0)</f>
        <v>0</v>
      </c>
      <c r="L287" s="207">
        <f>IF(ISNUMBER(VLOOKUP($B:$B,'BS(과거)'!$A:$F,$2:$2,0)),VLOOKUP($B:$B,'BS(과거)'!$A:$F,$2:$2,0),0)</f>
        <v>0</v>
      </c>
      <c r="N287" s="207">
        <f>IF(ISNUMBER(VLOOKUP($B:$B,'BS(분기)'!$A:$F,$2:$2,0)),VLOOKUP($B:$B,'BS(분기)'!$A:$F,$2:$2,0),0)</f>
        <v>0</v>
      </c>
      <c r="O287" s="207">
        <f>IF(ISNUMBER(VLOOKUP($B:$B,'BS(분기)'!$A:$F,$2:$2,0)),VLOOKUP($B:$B,'BS(분기)'!$A:$F,$2:$2,0),0)</f>
        <v>0</v>
      </c>
      <c r="P287" s="207">
        <f>IF(ISNUMBER(VLOOKUP($B:$B,'BS(분기)'!$A:$F,$2:$2,0)),VLOOKUP($B:$B,'BS(분기)'!$A:$F,$2:$2,0),0)</f>
        <v>0</v>
      </c>
      <c r="Q287" s="207">
        <f>IF(ISNUMBER(VLOOKUP($B:$B,'BS(분기)'!$A:$F,$2:$2,0)),VLOOKUP($B:$B,'BS(분기)'!$A:$F,$2:$2,0),0)</f>
        <v>0</v>
      </c>
      <c r="R287" s="207">
        <f>IF(ISNUMBER(VLOOKUP($B:$B,'BS(분기)'!$A:$F,$2:$2,0)),VLOOKUP($B:$B,'BS(분기)'!$A:$F,$2:$2,0),0)</f>
        <v>0</v>
      </c>
    </row>
    <row r="288" spans="1:18" s="192" customFormat="1" ht="12">
      <c r="A288" s="202">
        <v>113125</v>
      </c>
      <c r="B288" s="195" t="s">
        <v>1059</v>
      </c>
      <c r="C288" s="217">
        <f>IF(ISNUMBER(VLOOKUP($B:$B,BS!$A:$D,$2:$2,0)),VLOOKUP($B:$B,BS!$A:$D,$2:$2,0),0)</f>
        <v>0</v>
      </c>
      <c r="D288" s="217">
        <f>IF(ISNUMBER(VLOOKUP($B:$B,BS!$A:$D,$2:$2,0)),VLOOKUP($B:$B,BS!$A:$D,$2:$2,0),0)</f>
        <v>0</v>
      </c>
      <c r="E288" s="217">
        <f>IF(ISNUMBER(VLOOKUP($B:$B,BS!$A:$D,$2:$2,0)),VLOOKUP($B:$B,BS!$A:$D,$2:$2,0),0)</f>
        <v>0</v>
      </c>
      <c r="F288" s="217">
        <f>IF(ISNUMBER(VLOOKUP($B:$B,BS!$A:$D,$2:$2,0)),VLOOKUP($B:$B,BS!$A:$D,$2:$2,0),0)</f>
        <v>0</v>
      </c>
      <c r="G288" s="217">
        <f>IF(ISNUMBER(VLOOKUP($B:$B,BS!$A:$D,$2:$2,0)),VLOOKUP($B:$B,BS!$A:$D,$2:$2,0),0)</f>
        <v>0</v>
      </c>
      <c r="H288" s="207">
        <f>IF(ISNUMBER(VLOOKUP($B:$B,'BS(과거)'!$A:$F,$2:$2,0)),VLOOKUP($B:$B,'BS(과거)'!$A:$F,$2:$2,0),0)</f>
        <v>0</v>
      </c>
      <c r="I288" s="207">
        <f>IF(ISNUMBER(VLOOKUP($B:$B,'BS(과거)'!$A:$F,$2:$2,0)),VLOOKUP($B:$B,'BS(과거)'!$A:$F,$2:$2,0),0)</f>
        <v>0</v>
      </c>
      <c r="J288" s="207">
        <f>IF(ISNUMBER(VLOOKUP($B:$B,'BS(과거)'!$A:$F,$2:$2,0)),VLOOKUP($B:$B,'BS(과거)'!$A:$F,$2:$2,0),0)</f>
        <v>0</v>
      </c>
      <c r="K288" s="207">
        <f>IF(ISNUMBER(VLOOKUP($B:$B,'BS(과거)'!$A:$F,$2:$2,0)),VLOOKUP($B:$B,'BS(과거)'!$A:$F,$2:$2,0),0)</f>
        <v>0</v>
      </c>
      <c r="L288" s="207">
        <f>IF(ISNUMBER(VLOOKUP($B:$B,'BS(과거)'!$A:$F,$2:$2,0)),VLOOKUP($B:$B,'BS(과거)'!$A:$F,$2:$2,0),0)</f>
        <v>0</v>
      </c>
      <c r="N288" s="207">
        <f>IF(ISNUMBER(VLOOKUP($B:$B,'BS(분기)'!$A:$F,$2:$2,0)),VLOOKUP($B:$B,'BS(분기)'!$A:$F,$2:$2,0),0)</f>
        <v>0</v>
      </c>
      <c r="O288" s="207">
        <f>IF(ISNUMBER(VLOOKUP($B:$B,'BS(분기)'!$A:$F,$2:$2,0)),VLOOKUP($B:$B,'BS(분기)'!$A:$F,$2:$2,0),0)</f>
        <v>0</v>
      </c>
      <c r="P288" s="207">
        <f>IF(ISNUMBER(VLOOKUP($B:$B,'BS(분기)'!$A:$F,$2:$2,0)),VLOOKUP($B:$B,'BS(분기)'!$A:$F,$2:$2,0),0)</f>
        <v>0</v>
      </c>
      <c r="Q288" s="207">
        <f>IF(ISNUMBER(VLOOKUP($B:$B,'BS(분기)'!$A:$F,$2:$2,0)),VLOOKUP($B:$B,'BS(분기)'!$A:$F,$2:$2,0),0)</f>
        <v>0</v>
      </c>
      <c r="R288" s="207">
        <f>IF(ISNUMBER(VLOOKUP($B:$B,'BS(분기)'!$A:$F,$2:$2,0)),VLOOKUP($B:$B,'BS(분기)'!$A:$F,$2:$2,0),0)</f>
        <v>0</v>
      </c>
    </row>
    <row r="289" spans="1:18" s="192" customFormat="1" ht="12">
      <c r="A289" s="202">
        <v>113130</v>
      </c>
      <c r="B289" s="195" t="s">
        <v>1060</v>
      </c>
      <c r="C289" s="217">
        <f>IF(ISNUMBER(VLOOKUP($B:$B,BS!$A:$D,$2:$2,0)),VLOOKUP($B:$B,BS!$A:$D,$2:$2,0),0)</f>
        <v>0</v>
      </c>
      <c r="D289" s="217">
        <f>IF(ISNUMBER(VLOOKUP($B:$B,BS!$A:$D,$2:$2,0)),VLOOKUP($B:$B,BS!$A:$D,$2:$2,0),0)</f>
        <v>0</v>
      </c>
      <c r="E289" s="217">
        <f>IF(ISNUMBER(VLOOKUP($B:$B,BS!$A:$D,$2:$2,0)),VLOOKUP($B:$B,BS!$A:$D,$2:$2,0),0)</f>
        <v>0</v>
      </c>
      <c r="F289" s="217">
        <f>IF(ISNUMBER(VLOOKUP($B:$B,BS!$A:$D,$2:$2,0)),VLOOKUP($B:$B,BS!$A:$D,$2:$2,0),0)</f>
        <v>0</v>
      </c>
      <c r="G289" s="217">
        <f>IF(ISNUMBER(VLOOKUP($B:$B,BS!$A:$D,$2:$2,0)),VLOOKUP($B:$B,BS!$A:$D,$2:$2,0),0)</f>
        <v>0</v>
      </c>
      <c r="H289" s="207">
        <f>IF(ISNUMBER(VLOOKUP($B:$B,'BS(과거)'!$A:$F,$2:$2,0)),VLOOKUP($B:$B,'BS(과거)'!$A:$F,$2:$2,0),0)</f>
        <v>0</v>
      </c>
      <c r="I289" s="207">
        <f>IF(ISNUMBER(VLOOKUP($B:$B,'BS(과거)'!$A:$F,$2:$2,0)),VLOOKUP($B:$B,'BS(과거)'!$A:$F,$2:$2,0),0)</f>
        <v>0</v>
      </c>
      <c r="J289" s="207">
        <f>IF(ISNUMBER(VLOOKUP($B:$B,'BS(과거)'!$A:$F,$2:$2,0)),VLOOKUP($B:$B,'BS(과거)'!$A:$F,$2:$2,0),0)</f>
        <v>0</v>
      </c>
      <c r="K289" s="207">
        <f>IF(ISNUMBER(VLOOKUP($B:$B,'BS(과거)'!$A:$F,$2:$2,0)),VLOOKUP($B:$B,'BS(과거)'!$A:$F,$2:$2,0),0)</f>
        <v>0</v>
      </c>
      <c r="L289" s="207">
        <f>IF(ISNUMBER(VLOOKUP($B:$B,'BS(과거)'!$A:$F,$2:$2,0)),VLOOKUP($B:$B,'BS(과거)'!$A:$F,$2:$2,0),0)</f>
        <v>0</v>
      </c>
      <c r="N289" s="207">
        <f>IF(ISNUMBER(VLOOKUP($B:$B,'BS(분기)'!$A:$F,$2:$2,0)),VLOOKUP($B:$B,'BS(분기)'!$A:$F,$2:$2,0),0)</f>
        <v>0</v>
      </c>
      <c r="O289" s="207">
        <f>IF(ISNUMBER(VLOOKUP($B:$B,'BS(분기)'!$A:$F,$2:$2,0)),VLOOKUP($B:$B,'BS(분기)'!$A:$F,$2:$2,0),0)</f>
        <v>0</v>
      </c>
      <c r="P289" s="207">
        <f>IF(ISNUMBER(VLOOKUP($B:$B,'BS(분기)'!$A:$F,$2:$2,0)),VLOOKUP($B:$B,'BS(분기)'!$A:$F,$2:$2,0),0)</f>
        <v>0</v>
      </c>
      <c r="Q289" s="207">
        <f>IF(ISNUMBER(VLOOKUP($B:$B,'BS(분기)'!$A:$F,$2:$2,0)),VLOOKUP($B:$B,'BS(분기)'!$A:$F,$2:$2,0),0)</f>
        <v>0</v>
      </c>
      <c r="R289" s="207">
        <f>IF(ISNUMBER(VLOOKUP($B:$B,'BS(분기)'!$A:$F,$2:$2,0)),VLOOKUP($B:$B,'BS(분기)'!$A:$F,$2:$2,0),0)</f>
        <v>0</v>
      </c>
    </row>
    <row r="290" spans="1:18" s="192" customFormat="1" ht="12">
      <c r="A290" s="202">
        <v>113132</v>
      </c>
      <c r="B290" s="195" t="s">
        <v>1061</v>
      </c>
      <c r="C290" s="217">
        <f>IF(ISNUMBER(VLOOKUP($B:$B,BS!$A:$D,$2:$2,0)),VLOOKUP($B:$B,BS!$A:$D,$2:$2,0),0)</f>
        <v>0</v>
      </c>
      <c r="D290" s="217">
        <f>IF(ISNUMBER(VLOOKUP($B:$B,BS!$A:$D,$2:$2,0)),VLOOKUP($B:$B,BS!$A:$D,$2:$2,0),0)</f>
        <v>0</v>
      </c>
      <c r="E290" s="217">
        <f>IF(ISNUMBER(VLOOKUP($B:$B,BS!$A:$D,$2:$2,0)),VLOOKUP($B:$B,BS!$A:$D,$2:$2,0),0)</f>
        <v>0</v>
      </c>
      <c r="F290" s="217">
        <f>IF(ISNUMBER(VLOOKUP($B:$B,BS!$A:$D,$2:$2,0)),VLOOKUP($B:$B,BS!$A:$D,$2:$2,0),0)</f>
        <v>0</v>
      </c>
      <c r="G290" s="217">
        <f>IF(ISNUMBER(VLOOKUP($B:$B,BS!$A:$D,$2:$2,0)),VLOOKUP($B:$B,BS!$A:$D,$2:$2,0),0)</f>
        <v>0</v>
      </c>
      <c r="H290" s="207">
        <f>IF(ISNUMBER(VLOOKUP($B:$B,'BS(과거)'!$A:$F,$2:$2,0)),VLOOKUP($B:$B,'BS(과거)'!$A:$F,$2:$2,0),0)</f>
        <v>0</v>
      </c>
      <c r="I290" s="207">
        <f>IF(ISNUMBER(VLOOKUP($B:$B,'BS(과거)'!$A:$F,$2:$2,0)),VLOOKUP($B:$B,'BS(과거)'!$A:$F,$2:$2,0),0)</f>
        <v>0</v>
      </c>
      <c r="J290" s="207">
        <f>IF(ISNUMBER(VLOOKUP($B:$B,'BS(과거)'!$A:$F,$2:$2,0)),VLOOKUP($B:$B,'BS(과거)'!$A:$F,$2:$2,0),0)</f>
        <v>0</v>
      </c>
      <c r="K290" s="207">
        <f>IF(ISNUMBER(VLOOKUP($B:$B,'BS(과거)'!$A:$F,$2:$2,0)),VLOOKUP($B:$B,'BS(과거)'!$A:$F,$2:$2,0),0)</f>
        <v>0</v>
      </c>
      <c r="L290" s="207">
        <f>IF(ISNUMBER(VLOOKUP($B:$B,'BS(과거)'!$A:$F,$2:$2,0)),VLOOKUP($B:$B,'BS(과거)'!$A:$F,$2:$2,0),0)</f>
        <v>0</v>
      </c>
      <c r="N290" s="207">
        <f>IF(ISNUMBER(VLOOKUP($B:$B,'BS(분기)'!$A:$F,$2:$2,0)),VLOOKUP($B:$B,'BS(분기)'!$A:$F,$2:$2,0),0)</f>
        <v>0</v>
      </c>
      <c r="O290" s="207">
        <f>IF(ISNUMBER(VLOOKUP($B:$B,'BS(분기)'!$A:$F,$2:$2,0)),VLOOKUP($B:$B,'BS(분기)'!$A:$F,$2:$2,0),0)</f>
        <v>0</v>
      </c>
      <c r="P290" s="207">
        <f>IF(ISNUMBER(VLOOKUP($B:$B,'BS(분기)'!$A:$F,$2:$2,0)),VLOOKUP($B:$B,'BS(분기)'!$A:$F,$2:$2,0),0)</f>
        <v>0</v>
      </c>
      <c r="Q290" s="207">
        <f>IF(ISNUMBER(VLOOKUP($B:$B,'BS(분기)'!$A:$F,$2:$2,0)),VLOOKUP($B:$B,'BS(분기)'!$A:$F,$2:$2,0),0)</f>
        <v>0</v>
      </c>
      <c r="R290" s="207">
        <f>IF(ISNUMBER(VLOOKUP($B:$B,'BS(분기)'!$A:$F,$2:$2,0)),VLOOKUP($B:$B,'BS(분기)'!$A:$F,$2:$2,0),0)</f>
        <v>0</v>
      </c>
    </row>
    <row r="291" spans="1:18" s="192" customFormat="1" ht="12">
      <c r="A291" s="202">
        <v>113133</v>
      </c>
      <c r="B291" s="195" t="s">
        <v>1062</v>
      </c>
      <c r="C291" s="217">
        <f>IF(ISNUMBER(VLOOKUP($B:$B,BS!$A:$D,$2:$2,0)),VLOOKUP($B:$B,BS!$A:$D,$2:$2,0),0)</f>
        <v>0</v>
      </c>
      <c r="D291" s="217">
        <f>IF(ISNUMBER(VLOOKUP($B:$B,BS!$A:$D,$2:$2,0)),VLOOKUP($B:$B,BS!$A:$D,$2:$2,0),0)</f>
        <v>0</v>
      </c>
      <c r="E291" s="217">
        <f>IF(ISNUMBER(VLOOKUP($B:$B,BS!$A:$D,$2:$2,0)),VLOOKUP($B:$B,BS!$A:$D,$2:$2,0),0)</f>
        <v>0</v>
      </c>
      <c r="F291" s="217">
        <f>IF(ISNUMBER(VLOOKUP($B:$B,BS!$A:$D,$2:$2,0)),VLOOKUP($B:$B,BS!$A:$D,$2:$2,0),0)</f>
        <v>0</v>
      </c>
      <c r="G291" s="217">
        <f>IF(ISNUMBER(VLOOKUP($B:$B,BS!$A:$D,$2:$2,0)),VLOOKUP($B:$B,BS!$A:$D,$2:$2,0),0)</f>
        <v>0</v>
      </c>
      <c r="H291" s="207">
        <f>IF(ISNUMBER(VLOOKUP($B:$B,'BS(과거)'!$A:$F,$2:$2,0)),VLOOKUP($B:$B,'BS(과거)'!$A:$F,$2:$2,0),0)</f>
        <v>0</v>
      </c>
      <c r="I291" s="207">
        <f>IF(ISNUMBER(VLOOKUP($B:$B,'BS(과거)'!$A:$F,$2:$2,0)),VLOOKUP($B:$B,'BS(과거)'!$A:$F,$2:$2,0),0)</f>
        <v>0</v>
      </c>
      <c r="J291" s="207">
        <f>IF(ISNUMBER(VLOOKUP($B:$B,'BS(과거)'!$A:$F,$2:$2,0)),VLOOKUP($B:$B,'BS(과거)'!$A:$F,$2:$2,0),0)</f>
        <v>0</v>
      </c>
      <c r="K291" s="207">
        <f>IF(ISNUMBER(VLOOKUP($B:$B,'BS(과거)'!$A:$F,$2:$2,0)),VLOOKUP($B:$B,'BS(과거)'!$A:$F,$2:$2,0),0)</f>
        <v>0</v>
      </c>
      <c r="L291" s="207">
        <f>IF(ISNUMBER(VLOOKUP($B:$B,'BS(과거)'!$A:$F,$2:$2,0)),VLOOKUP($B:$B,'BS(과거)'!$A:$F,$2:$2,0),0)</f>
        <v>0</v>
      </c>
      <c r="N291" s="207">
        <f>IF(ISNUMBER(VLOOKUP($B:$B,'BS(분기)'!$A:$F,$2:$2,0)),VLOOKUP($B:$B,'BS(분기)'!$A:$F,$2:$2,0),0)</f>
        <v>0</v>
      </c>
      <c r="O291" s="207">
        <f>IF(ISNUMBER(VLOOKUP($B:$B,'BS(분기)'!$A:$F,$2:$2,0)),VLOOKUP($B:$B,'BS(분기)'!$A:$F,$2:$2,0),0)</f>
        <v>0</v>
      </c>
      <c r="P291" s="207">
        <f>IF(ISNUMBER(VLOOKUP($B:$B,'BS(분기)'!$A:$F,$2:$2,0)),VLOOKUP($B:$B,'BS(분기)'!$A:$F,$2:$2,0),0)</f>
        <v>0</v>
      </c>
      <c r="Q291" s="207">
        <f>IF(ISNUMBER(VLOOKUP($B:$B,'BS(분기)'!$A:$F,$2:$2,0)),VLOOKUP($B:$B,'BS(분기)'!$A:$F,$2:$2,0),0)</f>
        <v>0</v>
      </c>
      <c r="R291" s="207">
        <f>IF(ISNUMBER(VLOOKUP($B:$B,'BS(분기)'!$A:$F,$2:$2,0)),VLOOKUP($B:$B,'BS(분기)'!$A:$F,$2:$2,0),0)</f>
        <v>0</v>
      </c>
    </row>
    <row r="292" spans="1:18" s="192" customFormat="1" ht="12">
      <c r="A292" s="202">
        <v>113131</v>
      </c>
      <c r="B292" s="195" t="s">
        <v>1063</v>
      </c>
      <c r="C292" s="217">
        <f>IF(ISNUMBER(VLOOKUP($B:$B,BS!$A:$D,$2:$2,0)),VLOOKUP($B:$B,BS!$A:$D,$2:$2,0),0)</f>
        <v>0</v>
      </c>
      <c r="D292" s="217">
        <f>IF(ISNUMBER(VLOOKUP($B:$B,BS!$A:$D,$2:$2,0)),VLOOKUP($B:$B,BS!$A:$D,$2:$2,0),0)</f>
        <v>0</v>
      </c>
      <c r="E292" s="217">
        <f>IF(ISNUMBER(VLOOKUP($B:$B,BS!$A:$D,$2:$2,0)),VLOOKUP($B:$B,BS!$A:$D,$2:$2,0),0)</f>
        <v>0</v>
      </c>
      <c r="F292" s="217">
        <f>IF(ISNUMBER(VLOOKUP($B:$B,BS!$A:$D,$2:$2,0)),VLOOKUP($B:$B,BS!$A:$D,$2:$2,0),0)</f>
        <v>0</v>
      </c>
      <c r="G292" s="217">
        <f>IF(ISNUMBER(VLOOKUP($B:$B,BS!$A:$D,$2:$2,0)),VLOOKUP($B:$B,BS!$A:$D,$2:$2,0),0)</f>
        <v>0</v>
      </c>
      <c r="H292" s="207">
        <f>IF(ISNUMBER(VLOOKUP($B:$B,'BS(과거)'!$A:$F,$2:$2,0)),VLOOKUP($B:$B,'BS(과거)'!$A:$F,$2:$2,0),0)</f>
        <v>0</v>
      </c>
      <c r="I292" s="207">
        <f>IF(ISNUMBER(VLOOKUP($B:$B,'BS(과거)'!$A:$F,$2:$2,0)),VLOOKUP($B:$B,'BS(과거)'!$A:$F,$2:$2,0),0)</f>
        <v>0</v>
      </c>
      <c r="J292" s="207">
        <f>IF(ISNUMBER(VLOOKUP($B:$B,'BS(과거)'!$A:$F,$2:$2,0)),VLOOKUP($B:$B,'BS(과거)'!$A:$F,$2:$2,0),0)</f>
        <v>0</v>
      </c>
      <c r="K292" s="207">
        <f>IF(ISNUMBER(VLOOKUP($B:$B,'BS(과거)'!$A:$F,$2:$2,0)),VLOOKUP($B:$B,'BS(과거)'!$A:$F,$2:$2,0),0)</f>
        <v>0</v>
      </c>
      <c r="L292" s="207">
        <f>IF(ISNUMBER(VLOOKUP($B:$B,'BS(과거)'!$A:$F,$2:$2,0)),VLOOKUP($B:$B,'BS(과거)'!$A:$F,$2:$2,0),0)</f>
        <v>0</v>
      </c>
      <c r="N292" s="207">
        <f>IF(ISNUMBER(VLOOKUP($B:$B,'BS(분기)'!$A:$F,$2:$2,0)),VLOOKUP($B:$B,'BS(분기)'!$A:$F,$2:$2,0),0)</f>
        <v>0</v>
      </c>
      <c r="O292" s="207">
        <f>IF(ISNUMBER(VLOOKUP($B:$B,'BS(분기)'!$A:$F,$2:$2,0)),VLOOKUP($B:$B,'BS(분기)'!$A:$F,$2:$2,0),0)</f>
        <v>0</v>
      </c>
      <c r="P292" s="207">
        <f>IF(ISNUMBER(VLOOKUP($B:$B,'BS(분기)'!$A:$F,$2:$2,0)),VLOOKUP($B:$B,'BS(분기)'!$A:$F,$2:$2,0),0)</f>
        <v>0</v>
      </c>
      <c r="Q292" s="207">
        <f>IF(ISNUMBER(VLOOKUP($B:$B,'BS(분기)'!$A:$F,$2:$2,0)),VLOOKUP($B:$B,'BS(분기)'!$A:$F,$2:$2,0),0)</f>
        <v>0</v>
      </c>
      <c r="R292" s="207">
        <f>IF(ISNUMBER(VLOOKUP($B:$B,'BS(분기)'!$A:$F,$2:$2,0)),VLOOKUP($B:$B,'BS(분기)'!$A:$F,$2:$2,0),0)</f>
        <v>0</v>
      </c>
    </row>
    <row r="293" spans="1:18" s="192" customFormat="1" ht="12">
      <c r="A293" s="202">
        <v>113134</v>
      </c>
      <c r="B293" s="195" t="s">
        <v>1064</v>
      </c>
      <c r="C293" s="217">
        <f>IF(ISNUMBER(VLOOKUP($B:$B,BS!$A:$D,$2:$2,0)),VLOOKUP($B:$B,BS!$A:$D,$2:$2,0),0)</f>
        <v>0</v>
      </c>
      <c r="D293" s="217">
        <f>IF(ISNUMBER(VLOOKUP($B:$B,BS!$A:$D,$2:$2,0)),VLOOKUP($B:$B,BS!$A:$D,$2:$2,0),0)</f>
        <v>0</v>
      </c>
      <c r="E293" s="217">
        <f>IF(ISNUMBER(VLOOKUP($B:$B,BS!$A:$D,$2:$2,0)),VLOOKUP($B:$B,BS!$A:$D,$2:$2,0),0)</f>
        <v>0</v>
      </c>
      <c r="F293" s="217">
        <f>IF(ISNUMBER(VLOOKUP($B:$B,BS!$A:$D,$2:$2,0)),VLOOKUP($B:$B,BS!$A:$D,$2:$2,0),0)</f>
        <v>0</v>
      </c>
      <c r="G293" s="217">
        <f>IF(ISNUMBER(VLOOKUP($B:$B,BS!$A:$D,$2:$2,0)),VLOOKUP($B:$B,BS!$A:$D,$2:$2,0),0)</f>
        <v>0</v>
      </c>
      <c r="H293" s="207">
        <f>IF(ISNUMBER(VLOOKUP($B:$B,'BS(과거)'!$A:$F,$2:$2,0)),VLOOKUP($B:$B,'BS(과거)'!$A:$F,$2:$2,0),0)</f>
        <v>0</v>
      </c>
      <c r="I293" s="207">
        <f>IF(ISNUMBER(VLOOKUP($B:$B,'BS(과거)'!$A:$F,$2:$2,0)),VLOOKUP($B:$B,'BS(과거)'!$A:$F,$2:$2,0),0)</f>
        <v>0</v>
      </c>
      <c r="J293" s="207">
        <f>IF(ISNUMBER(VLOOKUP($B:$B,'BS(과거)'!$A:$F,$2:$2,0)),VLOOKUP($B:$B,'BS(과거)'!$A:$F,$2:$2,0),0)</f>
        <v>0</v>
      </c>
      <c r="K293" s="207">
        <f>IF(ISNUMBER(VLOOKUP($B:$B,'BS(과거)'!$A:$F,$2:$2,0)),VLOOKUP($B:$B,'BS(과거)'!$A:$F,$2:$2,0),0)</f>
        <v>0</v>
      </c>
      <c r="L293" s="207">
        <f>IF(ISNUMBER(VLOOKUP($B:$B,'BS(과거)'!$A:$F,$2:$2,0)),VLOOKUP($B:$B,'BS(과거)'!$A:$F,$2:$2,0),0)</f>
        <v>0</v>
      </c>
      <c r="N293" s="207">
        <f>IF(ISNUMBER(VLOOKUP($B:$B,'BS(분기)'!$A:$F,$2:$2,0)),VLOOKUP($B:$B,'BS(분기)'!$A:$F,$2:$2,0),0)</f>
        <v>0</v>
      </c>
      <c r="O293" s="207">
        <f>IF(ISNUMBER(VLOOKUP($B:$B,'BS(분기)'!$A:$F,$2:$2,0)),VLOOKUP($B:$B,'BS(분기)'!$A:$F,$2:$2,0),0)</f>
        <v>0</v>
      </c>
      <c r="P293" s="207">
        <f>IF(ISNUMBER(VLOOKUP($B:$B,'BS(분기)'!$A:$F,$2:$2,0)),VLOOKUP($B:$B,'BS(분기)'!$A:$F,$2:$2,0),0)</f>
        <v>0</v>
      </c>
      <c r="Q293" s="207">
        <f>IF(ISNUMBER(VLOOKUP($B:$B,'BS(분기)'!$A:$F,$2:$2,0)),VLOOKUP($B:$B,'BS(분기)'!$A:$F,$2:$2,0),0)</f>
        <v>0</v>
      </c>
      <c r="R293" s="207">
        <f>IF(ISNUMBER(VLOOKUP($B:$B,'BS(분기)'!$A:$F,$2:$2,0)),VLOOKUP($B:$B,'BS(분기)'!$A:$F,$2:$2,0),0)</f>
        <v>0</v>
      </c>
    </row>
    <row r="294" spans="1:18" s="192" customFormat="1" ht="12">
      <c r="A294" s="202">
        <v>113135</v>
      </c>
      <c r="B294" s="195" t="s">
        <v>1065</v>
      </c>
      <c r="C294" s="217">
        <f>IF(ISNUMBER(VLOOKUP($B:$B,BS!$A:$D,$2:$2,0)),VLOOKUP($B:$B,BS!$A:$D,$2:$2,0),0)</f>
        <v>0</v>
      </c>
      <c r="D294" s="217">
        <f>IF(ISNUMBER(VLOOKUP($B:$B,BS!$A:$D,$2:$2,0)),VLOOKUP($B:$B,BS!$A:$D,$2:$2,0),0)</f>
        <v>0</v>
      </c>
      <c r="E294" s="217">
        <f>IF(ISNUMBER(VLOOKUP($B:$B,BS!$A:$D,$2:$2,0)),VLOOKUP($B:$B,BS!$A:$D,$2:$2,0),0)</f>
        <v>0</v>
      </c>
      <c r="F294" s="217">
        <f>IF(ISNUMBER(VLOOKUP($B:$B,BS!$A:$D,$2:$2,0)),VLOOKUP($B:$B,BS!$A:$D,$2:$2,0),0)</f>
        <v>0</v>
      </c>
      <c r="G294" s="217">
        <f>IF(ISNUMBER(VLOOKUP($B:$B,BS!$A:$D,$2:$2,0)),VLOOKUP($B:$B,BS!$A:$D,$2:$2,0),0)</f>
        <v>0</v>
      </c>
      <c r="H294" s="207">
        <f>IF(ISNUMBER(VLOOKUP($B:$B,'BS(과거)'!$A:$F,$2:$2,0)),VLOOKUP($B:$B,'BS(과거)'!$A:$F,$2:$2,0),0)</f>
        <v>0</v>
      </c>
      <c r="I294" s="207">
        <f>IF(ISNUMBER(VLOOKUP($B:$B,'BS(과거)'!$A:$F,$2:$2,0)),VLOOKUP($B:$B,'BS(과거)'!$A:$F,$2:$2,0),0)</f>
        <v>0</v>
      </c>
      <c r="J294" s="207">
        <f>IF(ISNUMBER(VLOOKUP($B:$B,'BS(과거)'!$A:$F,$2:$2,0)),VLOOKUP($B:$B,'BS(과거)'!$A:$F,$2:$2,0),0)</f>
        <v>0</v>
      </c>
      <c r="K294" s="207">
        <f>IF(ISNUMBER(VLOOKUP($B:$B,'BS(과거)'!$A:$F,$2:$2,0)),VLOOKUP($B:$B,'BS(과거)'!$A:$F,$2:$2,0),0)</f>
        <v>0</v>
      </c>
      <c r="L294" s="207">
        <f>IF(ISNUMBER(VLOOKUP($B:$B,'BS(과거)'!$A:$F,$2:$2,0)),VLOOKUP($B:$B,'BS(과거)'!$A:$F,$2:$2,0),0)</f>
        <v>0</v>
      </c>
      <c r="N294" s="207">
        <f>IF(ISNUMBER(VLOOKUP($B:$B,'BS(분기)'!$A:$F,$2:$2,0)),VLOOKUP($B:$B,'BS(분기)'!$A:$F,$2:$2,0),0)</f>
        <v>0</v>
      </c>
      <c r="O294" s="207">
        <f>IF(ISNUMBER(VLOOKUP($B:$B,'BS(분기)'!$A:$F,$2:$2,0)),VLOOKUP($B:$B,'BS(분기)'!$A:$F,$2:$2,0),0)</f>
        <v>0</v>
      </c>
      <c r="P294" s="207">
        <f>IF(ISNUMBER(VLOOKUP($B:$B,'BS(분기)'!$A:$F,$2:$2,0)),VLOOKUP($B:$B,'BS(분기)'!$A:$F,$2:$2,0),0)</f>
        <v>0</v>
      </c>
      <c r="Q294" s="207">
        <f>IF(ISNUMBER(VLOOKUP($B:$B,'BS(분기)'!$A:$F,$2:$2,0)),VLOOKUP($B:$B,'BS(분기)'!$A:$F,$2:$2,0),0)</f>
        <v>0</v>
      </c>
      <c r="R294" s="207">
        <f>IF(ISNUMBER(VLOOKUP($B:$B,'BS(분기)'!$A:$F,$2:$2,0)),VLOOKUP($B:$B,'BS(분기)'!$A:$F,$2:$2,0),0)</f>
        <v>0</v>
      </c>
    </row>
    <row r="295" spans="1:18" s="192" customFormat="1" ht="12">
      <c r="A295" s="202">
        <v>113140</v>
      </c>
      <c r="B295" s="195" t="s">
        <v>810</v>
      </c>
      <c r="C295" s="217">
        <f>IF(ISNUMBER(VLOOKUP($B:$B,BS!$A:$D,$2:$2,0)),VLOOKUP($B:$B,BS!$A:$D,$2:$2,0),0)</f>
        <v>0</v>
      </c>
      <c r="D295" s="217">
        <f>IF(ISNUMBER(VLOOKUP($B:$B,BS!$A:$D,$2:$2,0)),VLOOKUP($B:$B,BS!$A:$D,$2:$2,0),0)</f>
        <v>0</v>
      </c>
      <c r="E295" s="217">
        <f>IF(ISNUMBER(VLOOKUP($B:$B,BS!$A:$D,$2:$2,0)),VLOOKUP($B:$B,BS!$A:$D,$2:$2,0),0)</f>
        <v>0</v>
      </c>
      <c r="F295" s="217">
        <f>IF(ISNUMBER(VLOOKUP($B:$B,BS!$A:$D,$2:$2,0)),VLOOKUP($B:$B,BS!$A:$D,$2:$2,0),0)</f>
        <v>0</v>
      </c>
      <c r="G295" s="217">
        <f>IF(ISNUMBER(VLOOKUP($B:$B,BS!$A:$D,$2:$2,0)),VLOOKUP($B:$B,BS!$A:$D,$2:$2,0),0)</f>
        <v>0</v>
      </c>
      <c r="H295" s="207">
        <f>IF(ISNUMBER(VLOOKUP($B:$B,'BS(과거)'!$A:$F,$2:$2,0)),VLOOKUP($B:$B,'BS(과거)'!$A:$F,$2:$2,0),0)</f>
        <v>0</v>
      </c>
      <c r="I295" s="207">
        <f>IF(ISNUMBER(VLOOKUP($B:$B,'BS(과거)'!$A:$F,$2:$2,0)),VLOOKUP($B:$B,'BS(과거)'!$A:$F,$2:$2,0),0)</f>
        <v>0</v>
      </c>
      <c r="J295" s="207">
        <f>IF(ISNUMBER(VLOOKUP($B:$B,'BS(과거)'!$A:$F,$2:$2,0)),VLOOKUP($B:$B,'BS(과거)'!$A:$F,$2:$2,0),0)</f>
        <v>0</v>
      </c>
      <c r="K295" s="207">
        <f>IF(ISNUMBER(VLOOKUP($B:$B,'BS(과거)'!$A:$F,$2:$2,0)),VLOOKUP($B:$B,'BS(과거)'!$A:$F,$2:$2,0),0)</f>
        <v>0</v>
      </c>
      <c r="L295" s="207">
        <f>IF(ISNUMBER(VLOOKUP($B:$B,'BS(과거)'!$A:$F,$2:$2,0)),VLOOKUP($B:$B,'BS(과거)'!$A:$F,$2:$2,0),0)</f>
        <v>0</v>
      </c>
      <c r="N295" s="207">
        <f>IF(ISNUMBER(VLOOKUP($B:$B,'BS(분기)'!$A:$F,$2:$2,0)),VLOOKUP($B:$B,'BS(분기)'!$A:$F,$2:$2,0),0)</f>
        <v>0</v>
      </c>
      <c r="O295" s="207">
        <f>IF(ISNUMBER(VLOOKUP($B:$B,'BS(분기)'!$A:$F,$2:$2,0)),VLOOKUP($B:$B,'BS(분기)'!$A:$F,$2:$2,0),0)</f>
        <v>0</v>
      </c>
      <c r="P295" s="207">
        <f>IF(ISNUMBER(VLOOKUP($B:$B,'BS(분기)'!$A:$F,$2:$2,0)),VLOOKUP($B:$B,'BS(분기)'!$A:$F,$2:$2,0),0)</f>
        <v>0</v>
      </c>
      <c r="Q295" s="207">
        <f>IF(ISNUMBER(VLOOKUP($B:$B,'BS(분기)'!$A:$F,$2:$2,0)),VLOOKUP($B:$B,'BS(분기)'!$A:$F,$2:$2,0),0)</f>
        <v>0</v>
      </c>
      <c r="R295" s="207">
        <f>IF(ISNUMBER(VLOOKUP($B:$B,'BS(분기)'!$A:$F,$2:$2,0)),VLOOKUP($B:$B,'BS(분기)'!$A:$F,$2:$2,0),0)</f>
        <v>0</v>
      </c>
    </row>
    <row r="296" spans="1:18" s="192" customFormat="1" ht="12">
      <c r="A296" s="202">
        <v>113142</v>
      </c>
      <c r="B296" s="195" t="s">
        <v>1066</v>
      </c>
      <c r="C296" s="217">
        <f>IF(ISNUMBER(VLOOKUP($B:$B,BS!$A:$D,$2:$2,0)),VLOOKUP($B:$B,BS!$A:$D,$2:$2,0),0)</f>
        <v>0</v>
      </c>
      <c r="D296" s="217">
        <f>IF(ISNUMBER(VLOOKUP($B:$B,BS!$A:$D,$2:$2,0)),VLOOKUP($B:$B,BS!$A:$D,$2:$2,0),0)</f>
        <v>0</v>
      </c>
      <c r="E296" s="217">
        <f>IF(ISNUMBER(VLOOKUP($B:$B,BS!$A:$D,$2:$2,0)),VLOOKUP($B:$B,BS!$A:$D,$2:$2,0),0)</f>
        <v>0</v>
      </c>
      <c r="F296" s="217">
        <f>IF(ISNUMBER(VLOOKUP($B:$B,BS!$A:$D,$2:$2,0)),VLOOKUP($B:$B,BS!$A:$D,$2:$2,0),0)</f>
        <v>0</v>
      </c>
      <c r="G296" s="217">
        <f>IF(ISNUMBER(VLOOKUP($B:$B,BS!$A:$D,$2:$2,0)),VLOOKUP($B:$B,BS!$A:$D,$2:$2,0),0)</f>
        <v>0</v>
      </c>
      <c r="H296" s="207">
        <f>IF(ISNUMBER(VLOOKUP($B:$B,'BS(과거)'!$A:$F,$2:$2,0)),VLOOKUP($B:$B,'BS(과거)'!$A:$F,$2:$2,0),0)</f>
        <v>0</v>
      </c>
      <c r="I296" s="207">
        <f>IF(ISNUMBER(VLOOKUP($B:$B,'BS(과거)'!$A:$F,$2:$2,0)),VLOOKUP($B:$B,'BS(과거)'!$A:$F,$2:$2,0),0)</f>
        <v>0</v>
      </c>
      <c r="J296" s="207">
        <f>IF(ISNUMBER(VLOOKUP($B:$B,'BS(과거)'!$A:$F,$2:$2,0)),VLOOKUP($B:$B,'BS(과거)'!$A:$F,$2:$2,0),0)</f>
        <v>0</v>
      </c>
      <c r="K296" s="207">
        <f>IF(ISNUMBER(VLOOKUP($B:$B,'BS(과거)'!$A:$F,$2:$2,0)),VLOOKUP($B:$B,'BS(과거)'!$A:$F,$2:$2,0),0)</f>
        <v>0</v>
      </c>
      <c r="L296" s="207">
        <f>IF(ISNUMBER(VLOOKUP($B:$B,'BS(과거)'!$A:$F,$2:$2,0)),VLOOKUP($B:$B,'BS(과거)'!$A:$F,$2:$2,0),0)</f>
        <v>0</v>
      </c>
      <c r="N296" s="207">
        <f>IF(ISNUMBER(VLOOKUP($B:$B,'BS(분기)'!$A:$F,$2:$2,0)),VLOOKUP($B:$B,'BS(분기)'!$A:$F,$2:$2,0),0)</f>
        <v>0</v>
      </c>
      <c r="O296" s="207">
        <f>IF(ISNUMBER(VLOOKUP($B:$B,'BS(분기)'!$A:$F,$2:$2,0)),VLOOKUP($B:$B,'BS(분기)'!$A:$F,$2:$2,0),0)</f>
        <v>0</v>
      </c>
      <c r="P296" s="207">
        <f>IF(ISNUMBER(VLOOKUP($B:$B,'BS(분기)'!$A:$F,$2:$2,0)),VLOOKUP($B:$B,'BS(분기)'!$A:$F,$2:$2,0),0)</f>
        <v>0</v>
      </c>
      <c r="Q296" s="207">
        <f>IF(ISNUMBER(VLOOKUP($B:$B,'BS(분기)'!$A:$F,$2:$2,0)),VLOOKUP($B:$B,'BS(분기)'!$A:$F,$2:$2,0),0)</f>
        <v>0</v>
      </c>
      <c r="R296" s="207">
        <f>IF(ISNUMBER(VLOOKUP($B:$B,'BS(분기)'!$A:$F,$2:$2,0)),VLOOKUP($B:$B,'BS(분기)'!$A:$F,$2:$2,0),0)</f>
        <v>0</v>
      </c>
    </row>
    <row r="297" spans="1:18" s="192" customFormat="1" ht="12">
      <c r="A297" s="202">
        <v>113143</v>
      </c>
      <c r="B297" s="195" t="s">
        <v>1067</v>
      </c>
      <c r="C297" s="217">
        <f>IF(ISNUMBER(VLOOKUP($B:$B,BS!$A:$D,$2:$2,0)),VLOOKUP($B:$B,BS!$A:$D,$2:$2,0),0)</f>
        <v>0</v>
      </c>
      <c r="D297" s="217">
        <f>IF(ISNUMBER(VLOOKUP($B:$B,BS!$A:$D,$2:$2,0)),VLOOKUP($B:$B,BS!$A:$D,$2:$2,0),0)</f>
        <v>0</v>
      </c>
      <c r="E297" s="217">
        <f>IF(ISNUMBER(VLOOKUP($B:$B,BS!$A:$D,$2:$2,0)),VLOOKUP($B:$B,BS!$A:$D,$2:$2,0),0)</f>
        <v>0</v>
      </c>
      <c r="F297" s="217">
        <f>IF(ISNUMBER(VLOOKUP($B:$B,BS!$A:$D,$2:$2,0)),VLOOKUP($B:$B,BS!$A:$D,$2:$2,0),0)</f>
        <v>0</v>
      </c>
      <c r="G297" s="217">
        <f>IF(ISNUMBER(VLOOKUP($B:$B,BS!$A:$D,$2:$2,0)),VLOOKUP($B:$B,BS!$A:$D,$2:$2,0),0)</f>
        <v>0</v>
      </c>
      <c r="H297" s="207">
        <f>IF(ISNUMBER(VLOOKUP($B:$B,'BS(과거)'!$A:$F,$2:$2,0)),VLOOKUP($B:$B,'BS(과거)'!$A:$F,$2:$2,0),0)</f>
        <v>0</v>
      </c>
      <c r="I297" s="207">
        <f>IF(ISNUMBER(VLOOKUP($B:$B,'BS(과거)'!$A:$F,$2:$2,0)),VLOOKUP($B:$B,'BS(과거)'!$A:$F,$2:$2,0),0)</f>
        <v>0</v>
      </c>
      <c r="J297" s="207">
        <f>IF(ISNUMBER(VLOOKUP($B:$B,'BS(과거)'!$A:$F,$2:$2,0)),VLOOKUP($B:$B,'BS(과거)'!$A:$F,$2:$2,0),0)</f>
        <v>0</v>
      </c>
      <c r="K297" s="207">
        <f>IF(ISNUMBER(VLOOKUP($B:$B,'BS(과거)'!$A:$F,$2:$2,0)),VLOOKUP($B:$B,'BS(과거)'!$A:$F,$2:$2,0),0)</f>
        <v>0</v>
      </c>
      <c r="L297" s="207">
        <f>IF(ISNUMBER(VLOOKUP($B:$B,'BS(과거)'!$A:$F,$2:$2,0)),VLOOKUP($B:$B,'BS(과거)'!$A:$F,$2:$2,0),0)</f>
        <v>0</v>
      </c>
      <c r="N297" s="207">
        <f>IF(ISNUMBER(VLOOKUP($B:$B,'BS(분기)'!$A:$F,$2:$2,0)),VLOOKUP($B:$B,'BS(분기)'!$A:$F,$2:$2,0),0)</f>
        <v>0</v>
      </c>
      <c r="O297" s="207">
        <f>IF(ISNUMBER(VLOOKUP($B:$B,'BS(분기)'!$A:$F,$2:$2,0)),VLOOKUP($B:$B,'BS(분기)'!$A:$F,$2:$2,0),0)</f>
        <v>0</v>
      </c>
      <c r="P297" s="207">
        <f>IF(ISNUMBER(VLOOKUP($B:$B,'BS(분기)'!$A:$F,$2:$2,0)),VLOOKUP($B:$B,'BS(분기)'!$A:$F,$2:$2,0),0)</f>
        <v>0</v>
      </c>
      <c r="Q297" s="207">
        <f>IF(ISNUMBER(VLOOKUP($B:$B,'BS(분기)'!$A:$F,$2:$2,0)),VLOOKUP($B:$B,'BS(분기)'!$A:$F,$2:$2,0),0)</f>
        <v>0</v>
      </c>
      <c r="R297" s="207">
        <f>IF(ISNUMBER(VLOOKUP($B:$B,'BS(분기)'!$A:$F,$2:$2,0)),VLOOKUP($B:$B,'BS(분기)'!$A:$F,$2:$2,0),0)</f>
        <v>0</v>
      </c>
    </row>
    <row r="298" spans="1:18" s="192" customFormat="1" ht="12">
      <c r="A298" s="202">
        <v>113141</v>
      </c>
      <c r="B298" s="195" t="s">
        <v>811</v>
      </c>
      <c r="C298" s="217">
        <f>IF(ISNUMBER(VLOOKUP($B:$B,BS!$A:$D,$2:$2,0)),VLOOKUP($B:$B,BS!$A:$D,$2:$2,0),0)</f>
        <v>0</v>
      </c>
      <c r="D298" s="217">
        <f>IF(ISNUMBER(VLOOKUP($B:$B,BS!$A:$D,$2:$2,0)),VLOOKUP($B:$B,BS!$A:$D,$2:$2,0),0)</f>
        <v>0</v>
      </c>
      <c r="E298" s="217">
        <f>IF(ISNUMBER(VLOOKUP($B:$B,BS!$A:$D,$2:$2,0)),VLOOKUP($B:$B,BS!$A:$D,$2:$2,0),0)</f>
        <v>0</v>
      </c>
      <c r="F298" s="217">
        <f>IF(ISNUMBER(VLOOKUP($B:$B,BS!$A:$D,$2:$2,0)),VLOOKUP($B:$B,BS!$A:$D,$2:$2,0),0)</f>
        <v>0</v>
      </c>
      <c r="G298" s="217">
        <f>IF(ISNUMBER(VLOOKUP($B:$B,BS!$A:$D,$2:$2,0)),VLOOKUP($B:$B,BS!$A:$D,$2:$2,0),0)</f>
        <v>0</v>
      </c>
      <c r="H298" s="207">
        <f>IF(ISNUMBER(VLOOKUP($B:$B,'BS(과거)'!$A:$F,$2:$2,0)),VLOOKUP($B:$B,'BS(과거)'!$A:$F,$2:$2,0),0)</f>
        <v>0</v>
      </c>
      <c r="I298" s="207">
        <f>IF(ISNUMBER(VLOOKUP($B:$B,'BS(과거)'!$A:$F,$2:$2,0)),VLOOKUP($B:$B,'BS(과거)'!$A:$F,$2:$2,0),0)</f>
        <v>0</v>
      </c>
      <c r="J298" s="207">
        <f>IF(ISNUMBER(VLOOKUP($B:$B,'BS(과거)'!$A:$F,$2:$2,0)),VLOOKUP($B:$B,'BS(과거)'!$A:$F,$2:$2,0),0)</f>
        <v>0</v>
      </c>
      <c r="K298" s="207">
        <f>IF(ISNUMBER(VLOOKUP($B:$B,'BS(과거)'!$A:$F,$2:$2,0)),VLOOKUP($B:$B,'BS(과거)'!$A:$F,$2:$2,0),0)</f>
        <v>0</v>
      </c>
      <c r="L298" s="207">
        <f>IF(ISNUMBER(VLOOKUP($B:$B,'BS(과거)'!$A:$F,$2:$2,0)),VLOOKUP($B:$B,'BS(과거)'!$A:$F,$2:$2,0),0)</f>
        <v>0</v>
      </c>
      <c r="N298" s="207">
        <f>IF(ISNUMBER(VLOOKUP($B:$B,'BS(분기)'!$A:$F,$2:$2,0)),VLOOKUP($B:$B,'BS(분기)'!$A:$F,$2:$2,0),0)</f>
        <v>0</v>
      </c>
      <c r="O298" s="207">
        <f>IF(ISNUMBER(VLOOKUP($B:$B,'BS(분기)'!$A:$F,$2:$2,0)),VLOOKUP($B:$B,'BS(분기)'!$A:$F,$2:$2,0),0)</f>
        <v>0</v>
      </c>
      <c r="P298" s="207">
        <f>IF(ISNUMBER(VLOOKUP($B:$B,'BS(분기)'!$A:$F,$2:$2,0)),VLOOKUP($B:$B,'BS(분기)'!$A:$F,$2:$2,0),0)</f>
        <v>0</v>
      </c>
      <c r="Q298" s="207">
        <f>IF(ISNUMBER(VLOOKUP($B:$B,'BS(분기)'!$A:$F,$2:$2,0)),VLOOKUP($B:$B,'BS(분기)'!$A:$F,$2:$2,0),0)</f>
        <v>0</v>
      </c>
      <c r="R298" s="207">
        <f>IF(ISNUMBER(VLOOKUP($B:$B,'BS(분기)'!$A:$F,$2:$2,0)),VLOOKUP($B:$B,'BS(분기)'!$A:$F,$2:$2,0),0)</f>
        <v>0</v>
      </c>
    </row>
    <row r="299" spans="1:18" s="192" customFormat="1" ht="12">
      <c r="A299" s="202">
        <v>113144</v>
      </c>
      <c r="B299" s="195" t="s">
        <v>1068</v>
      </c>
      <c r="C299" s="217">
        <f>IF(ISNUMBER(VLOOKUP($B:$B,BS!$A:$D,$2:$2,0)),VLOOKUP($B:$B,BS!$A:$D,$2:$2,0),0)</f>
        <v>0</v>
      </c>
      <c r="D299" s="217">
        <f>IF(ISNUMBER(VLOOKUP($B:$B,BS!$A:$D,$2:$2,0)),VLOOKUP($B:$B,BS!$A:$D,$2:$2,0),0)</f>
        <v>0</v>
      </c>
      <c r="E299" s="217">
        <f>IF(ISNUMBER(VLOOKUP($B:$B,BS!$A:$D,$2:$2,0)),VLOOKUP($B:$B,BS!$A:$D,$2:$2,0),0)</f>
        <v>0</v>
      </c>
      <c r="F299" s="217">
        <f>IF(ISNUMBER(VLOOKUP($B:$B,BS!$A:$D,$2:$2,0)),VLOOKUP($B:$B,BS!$A:$D,$2:$2,0),0)</f>
        <v>0</v>
      </c>
      <c r="G299" s="217">
        <f>IF(ISNUMBER(VLOOKUP($B:$B,BS!$A:$D,$2:$2,0)),VLOOKUP($B:$B,BS!$A:$D,$2:$2,0),0)</f>
        <v>0</v>
      </c>
      <c r="H299" s="207">
        <f>IF(ISNUMBER(VLOOKUP($B:$B,'BS(과거)'!$A:$F,$2:$2,0)),VLOOKUP($B:$B,'BS(과거)'!$A:$F,$2:$2,0),0)</f>
        <v>0</v>
      </c>
      <c r="I299" s="207">
        <f>IF(ISNUMBER(VLOOKUP($B:$B,'BS(과거)'!$A:$F,$2:$2,0)),VLOOKUP($B:$B,'BS(과거)'!$A:$F,$2:$2,0),0)</f>
        <v>0</v>
      </c>
      <c r="J299" s="207">
        <f>IF(ISNUMBER(VLOOKUP($B:$B,'BS(과거)'!$A:$F,$2:$2,0)),VLOOKUP($B:$B,'BS(과거)'!$A:$F,$2:$2,0),0)</f>
        <v>0</v>
      </c>
      <c r="K299" s="207">
        <f>IF(ISNUMBER(VLOOKUP($B:$B,'BS(과거)'!$A:$F,$2:$2,0)),VLOOKUP($B:$B,'BS(과거)'!$A:$F,$2:$2,0),0)</f>
        <v>0</v>
      </c>
      <c r="L299" s="207">
        <f>IF(ISNUMBER(VLOOKUP($B:$B,'BS(과거)'!$A:$F,$2:$2,0)),VLOOKUP($B:$B,'BS(과거)'!$A:$F,$2:$2,0),0)</f>
        <v>0</v>
      </c>
      <c r="N299" s="207">
        <f>IF(ISNUMBER(VLOOKUP($B:$B,'BS(분기)'!$A:$F,$2:$2,0)),VLOOKUP($B:$B,'BS(분기)'!$A:$F,$2:$2,0),0)</f>
        <v>0</v>
      </c>
      <c r="O299" s="207">
        <f>IF(ISNUMBER(VLOOKUP($B:$B,'BS(분기)'!$A:$F,$2:$2,0)),VLOOKUP($B:$B,'BS(분기)'!$A:$F,$2:$2,0),0)</f>
        <v>0</v>
      </c>
      <c r="P299" s="207">
        <f>IF(ISNUMBER(VLOOKUP($B:$B,'BS(분기)'!$A:$F,$2:$2,0)),VLOOKUP($B:$B,'BS(분기)'!$A:$F,$2:$2,0),0)</f>
        <v>0</v>
      </c>
      <c r="Q299" s="207">
        <f>IF(ISNUMBER(VLOOKUP($B:$B,'BS(분기)'!$A:$F,$2:$2,0)),VLOOKUP($B:$B,'BS(분기)'!$A:$F,$2:$2,0),0)</f>
        <v>0</v>
      </c>
      <c r="R299" s="207">
        <f>IF(ISNUMBER(VLOOKUP($B:$B,'BS(분기)'!$A:$F,$2:$2,0)),VLOOKUP($B:$B,'BS(분기)'!$A:$F,$2:$2,0),0)</f>
        <v>0</v>
      </c>
    </row>
    <row r="300" spans="1:18" s="192" customFormat="1" ht="12">
      <c r="A300" s="202">
        <v>113145</v>
      </c>
      <c r="B300" s="195" t="s">
        <v>1069</v>
      </c>
      <c r="C300" s="217">
        <f>IF(ISNUMBER(VLOOKUP($B:$B,BS!$A:$D,$2:$2,0)),VLOOKUP($B:$B,BS!$A:$D,$2:$2,0),0)</f>
        <v>0</v>
      </c>
      <c r="D300" s="217">
        <f>IF(ISNUMBER(VLOOKUP($B:$B,BS!$A:$D,$2:$2,0)),VLOOKUP($B:$B,BS!$A:$D,$2:$2,0),0)</f>
        <v>0</v>
      </c>
      <c r="E300" s="217">
        <f>IF(ISNUMBER(VLOOKUP($B:$B,BS!$A:$D,$2:$2,0)),VLOOKUP($B:$B,BS!$A:$D,$2:$2,0),0)</f>
        <v>0</v>
      </c>
      <c r="F300" s="217">
        <f>IF(ISNUMBER(VLOOKUP($B:$B,BS!$A:$D,$2:$2,0)),VLOOKUP($B:$B,BS!$A:$D,$2:$2,0),0)</f>
        <v>0</v>
      </c>
      <c r="G300" s="217">
        <f>IF(ISNUMBER(VLOOKUP($B:$B,BS!$A:$D,$2:$2,0)),VLOOKUP($B:$B,BS!$A:$D,$2:$2,0),0)</f>
        <v>0</v>
      </c>
      <c r="H300" s="207">
        <f>IF(ISNUMBER(VLOOKUP($B:$B,'BS(과거)'!$A:$F,$2:$2,0)),VLOOKUP($B:$B,'BS(과거)'!$A:$F,$2:$2,0),0)</f>
        <v>0</v>
      </c>
      <c r="I300" s="207">
        <f>IF(ISNUMBER(VLOOKUP($B:$B,'BS(과거)'!$A:$F,$2:$2,0)),VLOOKUP($B:$B,'BS(과거)'!$A:$F,$2:$2,0),0)</f>
        <v>0</v>
      </c>
      <c r="J300" s="207">
        <f>IF(ISNUMBER(VLOOKUP($B:$B,'BS(과거)'!$A:$F,$2:$2,0)),VLOOKUP($B:$B,'BS(과거)'!$A:$F,$2:$2,0),0)</f>
        <v>0</v>
      </c>
      <c r="K300" s="207">
        <f>IF(ISNUMBER(VLOOKUP($B:$B,'BS(과거)'!$A:$F,$2:$2,0)),VLOOKUP($B:$B,'BS(과거)'!$A:$F,$2:$2,0),0)</f>
        <v>0</v>
      </c>
      <c r="L300" s="207">
        <f>IF(ISNUMBER(VLOOKUP($B:$B,'BS(과거)'!$A:$F,$2:$2,0)),VLOOKUP($B:$B,'BS(과거)'!$A:$F,$2:$2,0),0)</f>
        <v>0</v>
      </c>
      <c r="N300" s="207">
        <f>IF(ISNUMBER(VLOOKUP($B:$B,'BS(분기)'!$A:$F,$2:$2,0)),VLOOKUP($B:$B,'BS(분기)'!$A:$F,$2:$2,0),0)</f>
        <v>0</v>
      </c>
      <c r="O300" s="207">
        <f>IF(ISNUMBER(VLOOKUP($B:$B,'BS(분기)'!$A:$F,$2:$2,0)),VLOOKUP($B:$B,'BS(분기)'!$A:$F,$2:$2,0),0)</f>
        <v>0</v>
      </c>
      <c r="P300" s="207">
        <f>IF(ISNUMBER(VLOOKUP($B:$B,'BS(분기)'!$A:$F,$2:$2,0)),VLOOKUP($B:$B,'BS(분기)'!$A:$F,$2:$2,0),0)</f>
        <v>0</v>
      </c>
      <c r="Q300" s="207">
        <f>IF(ISNUMBER(VLOOKUP($B:$B,'BS(분기)'!$A:$F,$2:$2,0)),VLOOKUP($B:$B,'BS(분기)'!$A:$F,$2:$2,0),0)</f>
        <v>0</v>
      </c>
      <c r="R300" s="207">
        <f>IF(ISNUMBER(VLOOKUP($B:$B,'BS(분기)'!$A:$F,$2:$2,0)),VLOOKUP($B:$B,'BS(분기)'!$A:$F,$2:$2,0),0)</f>
        <v>0</v>
      </c>
    </row>
    <row r="301" spans="1:18" s="192" customFormat="1" ht="12">
      <c r="A301" s="202">
        <v>113146</v>
      </c>
      <c r="B301" s="195" t="s">
        <v>1070</v>
      </c>
      <c r="C301" s="217">
        <f>IF(ISNUMBER(VLOOKUP($B:$B,BS!$A:$D,$2:$2,0)),VLOOKUP($B:$B,BS!$A:$D,$2:$2,0),0)</f>
        <v>0</v>
      </c>
      <c r="D301" s="217">
        <f>IF(ISNUMBER(VLOOKUP($B:$B,BS!$A:$D,$2:$2,0)),VLOOKUP($B:$B,BS!$A:$D,$2:$2,0),0)</f>
        <v>0</v>
      </c>
      <c r="E301" s="217">
        <f>IF(ISNUMBER(VLOOKUP($B:$B,BS!$A:$D,$2:$2,0)),VLOOKUP($B:$B,BS!$A:$D,$2:$2,0),0)</f>
        <v>0</v>
      </c>
      <c r="F301" s="217">
        <f>IF(ISNUMBER(VLOOKUP($B:$B,BS!$A:$D,$2:$2,0)),VLOOKUP($B:$B,BS!$A:$D,$2:$2,0),0)</f>
        <v>0</v>
      </c>
      <c r="G301" s="217">
        <f>IF(ISNUMBER(VLOOKUP($B:$B,BS!$A:$D,$2:$2,0)),VLOOKUP($B:$B,BS!$A:$D,$2:$2,0),0)</f>
        <v>0</v>
      </c>
      <c r="H301" s="207">
        <f>IF(ISNUMBER(VLOOKUP($B:$B,'BS(과거)'!$A:$F,$2:$2,0)),VLOOKUP($B:$B,'BS(과거)'!$A:$F,$2:$2,0),0)</f>
        <v>0</v>
      </c>
      <c r="I301" s="207">
        <f>IF(ISNUMBER(VLOOKUP($B:$B,'BS(과거)'!$A:$F,$2:$2,0)),VLOOKUP($B:$B,'BS(과거)'!$A:$F,$2:$2,0),0)</f>
        <v>0</v>
      </c>
      <c r="J301" s="207">
        <f>IF(ISNUMBER(VLOOKUP($B:$B,'BS(과거)'!$A:$F,$2:$2,0)),VLOOKUP($B:$B,'BS(과거)'!$A:$F,$2:$2,0),0)</f>
        <v>0</v>
      </c>
      <c r="K301" s="207">
        <f>IF(ISNUMBER(VLOOKUP($B:$B,'BS(과거)'!$A:$F,$2:$2,0)),VLOOKUP($B:$B,'BS(과거)'!$A:$F,$2:$2,0),0)</f>
        <v>0</v>
      </c>
      <c r="L301" s="207">
        <f>IF(ISNUMBER(VLOOKUP($B:$B,'BS(과거)'!$A:$F,$2:$2,0)),VLOOKUP($B:$B,'BS(과거)'!$A:$F,$2:$2,0),0)</f>
        <v>0</v>
      </c>
      <c r="N301" s="207">
        <f>IF(ISNUMBER(VLOOKUP($B:$B,'BS(분기)'!$A:$F,$2:$2,0)),VLOOKUP($B:$B,'BS(분기)'!$A:$F,$2:$2,0),0)</f>
        <v>0</v>
      </c>
      <c r="O301" s="207">
        <f>IF(ISNUMBER(VLOOKUP($B:$B,'BS(분기)'!$A:$F,$2:$2,0)),VLOOKUP($B:$B,'BS(분기)'!$A:$F,$2:$2,0),0)</f>
        <v>0</v>
      </c>
      <c r="P301" s="207">
        <f>IF(ISNUMBER(VLOOKUP($B:$B,'BS(분기)'!$A:$F,$2:$2,0)),VLOOKUP($B:$B,'BS(분기)'!$A:$F,$2:$2,0),0)</f>
        <v>0</v>
      </c>
      <c r="Q301" s="207">
        <f>IF(ISNUMBER(VLOOKUP($B:$B,'BS(분기)'!$A:$F,$2:$2,0)),VLOOKUP($B:$B,'BS(분기)'!$A:$F,$2:$2,0),0)</f>
        <v>0</v>
      </c>
      <c r="R301" s="207">
        <f>IF(ISNUMBER(VLOOKUP($B:$B,'BS(분기)'!$A:$F,$2:$2,0)),VLOOKUP($B:$B,'BS(분기)'!$A:$F,$2:$2,0),0)</f>
        <v>0</v>
      </c>
    </row>
    <row r="302" spans="1:18" s="192" customFormat="1" ht="12">
      <c r="A302" s="202">
        <v>113147</v>
      </c>
      <c r="B302" s="195" t="s">
        <v>1071</v>
      </c>
      <c r="C302" s="217">
        <f>IF(ISNUMBER(VLOOKUP($B:$B,BS!$A:$D,$2:$2,0)),VLOOKUP($B:$B,BS!$A:$D,$2:$2,0),0)</f>
        <v>0</v>
      </c>
      <c r="D302" s="217">
        <f>IF(ISNUMBER(VLOOKUP($B:$B,BS!$A:$D,$2:$2,0)),VLOOKUP($B:$B,BS!$A:$D,$2:$2,0),0)</f>
        <v>0</v>
      </c>
      <c r="E302" s="217">
        <f>IF(ISNUMBER(VLOOKUP($B:$B,BS!$A:$D,$2:$2,0)),VLOOKUP($B:$B,BS!$A:$D,$2:$2,0),0)</f>
        <v>0</v>
      </c>
      <c r="F302" s="217">
        <f>IF(ISNUMBER(VLOOKUP($B:$B,BS!$A:$D,$2:$2,0)),VLOOKUP($B:$B,BS!$A:$D,$2:$2,0),0)</f>
        <v>0</v>
      </c>
      <c r="G302" s="217">
        <f>IF(ISNUMBER(VLOOKUP($B:$B,BS!$A:$D,$2:$2,0)),VLOOKUP($B:$B,BS!$A:$D,$2:$2,0),0)</f>
        <v>0</v>
      </c>
      <c r="H302" s="207">
        <f>IF(ISNUMBER(VLOOKUP($B:$B,'BS(과거)'!$A:$F,$2:$2,0)),VLOOKUP($B:$B,'BS(과거)'!$A:$F,$2:$2,0),0)</f>
        <v>0</v>
      </c>
      <c r="I302" s="207">
        <f>IF(ISNUMBER(VLOOKUP($B:$B,'BS(과거)'!$A:$F,$2:$2,0)),VLOOKUP($B:$B,'BS(과거)'!$A:$F,$2:$2,0),0)</f>
        <v>0</v>
      </c>
      <c r="J302" s="207">
        <f>IF(ISNUMBER(VLOOKUP($B:$B,'BS(과거)'!$A:$F,$2:$2,0)),VLOOKUP($B:$B,'BS(과거)'!$A:$F,$2:$2,0),0)</f>
        <v>0</v>
      </c>
      <c r="K302" s="207">
        <f>IF(ISNUMBER(VLOOKUP($B:$B,'BS(과거)'!$A:$F,$2:$2,0)),VLOOKUP($B:$B,'BS(과거)'!$A:$F,$2:$2,0),0)</f>
        <v>0</v>
      </c>
      <c r="L302" s="207">
        <f>IF(ISNUMBER(VLOOKUP($B:$B,'BS(과거)'!$A:$F,$2:$2,0)),VLOOKUP($B:$B,'BS(과거)'!$A:$F,$2:$2,0),0)</f>
        <v>0</v>
      </c>
      <c r="N302" s="207">
        <f>IF(ISNUMBER(VLOOKUP($B:$B,'BS(분기)'!$A:$F,$2:$2,0)),VLOOKUP($B:$B,'BS(분기)'!$A:$F,$2:$2,0),0)</f>
        <v>0</v>
      </c>
      <c r="O302" s="207">
        <f>IF(ISNUMBER(VLOOKUP($B:$B,'BS(분기)'!$A:$F,$2:$2,0)),VLOOKUP($B:$B,'BS(분기)'!$A:$F,$2:$2,0),0)</f>
        <v>0</v>
      </c>
      <c r="P302" s="207">
        <f>IF(ISNUMBER(VLOOKUP($B:$B,'BS(분기)'!$A:$F,$2:$2,0)),VLOOKUP($B:$B,'BS(분기)'!$A:$F,$2:$2,0),0)</f>
        <v>0</v>
      </c>
      <c r="Q302" s="207">
        <f>IF(ISNUMBER(VLOOKUP($B:$B,'BS(분기)'!$A:$F,$2:$2,0)),VLOOKUP($B:$B,'BS(분기)'!$A:$F,$2:$2,0),0)</f>
        <v>0</v>
      </c>
      <c r="R302" s="207">
        <f>IF(ISNUMBER(VLOOKUP($B:$B,'BS(분기)'!$A:$F,$2:$2,0)),VLOOKUP($B:$B,'BS(분기)'!$A:$F,$2:$2,0),0)</f>
        <v>0</v>
      </c>
    </row>
    <row r="303" spans="1:18" s="192" customFormat="1" ht="12">
      <c r="A303" s="202">
        <v>113148</v>
      </c>
      <c r="B303" s="195" t="s">
        <v>1072</v>
      </c>
      <c r="C303" s="217">
        <f>IF(ISNUMBER(VLOOKUP($B:$B,BS!$A:$D,$2:$2,0)),VLOOKUP($B:$B,BS!$A:$D,$2:$2,0),0)</f>
        <v>0</v>
      </c>
      <c r="D303" s="217">
        <f>IF(ISNUMBER(VLOOKUP($B:$B,BS!$A:$D,$2:$2,0)),VLOOKUP($B:$B,BS!$A:$D,$2:$2,0),0)</f>
        <v>0</v>
      </c>
      <c r="E303" s="217">
        <f>IF(ISNUMBER(VLOOKUP($B:$B,BS!$A:$D,$2:$2,0)),VLOOKUP($B:$B,BS!$A:$D,$2:$2,0),0)</f>
        <v>0</v>
      </c>
      <c r="F303" s="217">
        <f>IF(ISNUMBER(VLOOKUP($B:$B,BS!$A:$D,$2:$2,0)),VLOOKUP($B:$B,BS!$A:$D,$2:$2,0),0)</f>
        <v>0</v>
      </c>
      <c r="G303" s="217">
        <f>IF(ISNUMBER(VLOOKUP($B:$B,BS!$A:$D,$2:$2,0)),VLOOKUP($B:$B,BS!$A:$D,$2:$2,0),0)</f>
        <v>0</v>
      </c>
      <c r="H303" s="207">
        <f>IF(ISNUMBER(VLOOKUP($B:$B,'BS(과거)'!$A:$F,$2:$2,0)),VLOOKUP($B:$B,'BS(과거)'!$A:$F,$2:$2,0),0)</f>
        <v>0</v>
      </c>
      <c r="I303" s="207">
        <f>IF(ISNUMBER(VLOOKUP($B:$B,'BS(과거)'!$A:$F,$2:$2,0)),VLOOKUP($B:$B,'BS(과거)'!$A:$F,$2:$2,0),0)</f>
        <v>0</v>
      </c>
      <c r="J303" s="207">
        <f>IF(ISNUMBER(VLOOKUP($B:$B,'BS(과거)'!$A:$F,$2:$2,0)),VLOOKUP($B:$B,'BS(과거)'!$A:$F,$2:$2,0),0)</f>
        <v>0</v>
      </c>
      <c r="K303" s="207">
        <f>IF(ISNUMBER(VLOOKUP($B:$B,'BS(과거)'!$A:$F,$2:$2,0)),VLOOKUP($B:$B,'BS(과거)'!$A:$F,$2:$2,0),0)</f>
        <v>0</v>
      </c>
      <c r="L303" s="207">
        <f>IF(ISNUMBER(VLOOKUP($B:$B,'BS(과거)'!$A:$F,$2:$2,0)),VLOOKUP($B:$B,'BS(과거)'!$A:$F,$2:$2,0),0)</f>
        <v>0</v>
      </c>
      <c r="N303" s="207">
        <f>IF(ISNUMBER(VLOOKUP($B:$B,'BS(분기)'!$A:$F,$2:$2,0)),VLOOKUP($B:$B,'BS(분기)'!$A:$F,$2:$2,0),0)</f>
        <v>0</v>
      </c>
      <c r="O303" s="207">
        <f>IF(ISNUMBER(VLOOKUP($B:$B,'BS(분기)'!$A:$F,$2:$2,0)),VLOOKUP($B:$B,'BS(분기)'!$A:$F,$2:$2,0),0)</f>
        <v>0</v>
      </c>
      <c r="P303" s="207">
        <f>IF(ISNUMBER(VLOOKUP($B:$B,'BS(분기)'!$A:$F,$2:$2,0)),VLOOKUP($B:$B,'BS(분기)'!$A:$F,$2:$2,0),0)</f>
        <v>0</v>
      </c>
      <c r="Q303" s="207">
        <f>IF(ISNUMBER(VLOOKUP($B:$B,'BS(분기)'!$A:$F,$2:$2,0)),VLOOKUP($B:$B,'BS(분기)'!$A:$F,$2:$2,0),0)</f>
        <v>0</v>
      </c>
      <c r="R303" s="207">
        <f>IF(ISNUMBER(VLOOKUP($B:$B,'BS(분기)'!$A:$F,$2:$2,0)),VLOOKUP($B:$B,'BS(분기)'!$A:$F,$2:$2,0),0)</f>
        <v>0</v>
      </c>
    </row>
    <row r="304" spans="1:18" s="192" customFormat="1" ht="12">
      <c r="A304" s="202">
        <v>113149</v>
      </c>
      <c r="B304" s="195" t="s">
        <v>1073</v>
      </c>
      <c r="C304" s="217">
        <f>IF(ISNUMBER(VLOOKUP($B:$B,BS!$A:$D,$2:$2,0)),VLOOKUP($B:$B,BS!$A:$D,$2:$2,0),0)</f>
        <v>0</v>
      </c>
      <c r="D304" s="217">
        <f>IF(ISNUMBER(VLOOKUP($B:$B,BS!$A:$D,$2:$2,0)),VLOOKUP($B:$B,BS!$A:$D,$2:$2,0),0)</f>
        <v>0</v>
      </c>
      <c r="E304" s="217">
        <f>IF(ISNUMBER(VLOOKUP($B:$B,BS!$A:$D,$2:$2,0)),VLOOKUP($B:$B,BS!$A:$D,$2:$2,0),0)</f>
        <v>0</v>
      </c>
      <c r="F304" s="217">
        <f>IF(ISNUMBER(VLOOKUP($B:$B,BS!$A:$D,$2:$2,0)),VLOOKUP($B:$B,BS!$A:$D,$2:$2,0),0)</f>
        <v>0</v>
      </c>
      <c r="G304" s="217">
        <f>IF(ISNUMBER(VLOOKUP($B:$B,BS!$A:$D,$2:$2,0)),VLOOKUP($B:$B,BS!$A:$D,$2:$2,0),0)</f>
        <v>0</v>
      </c>
      <c r="H304" s="207">
        <f>IF(ISNUMBER(VLOOKUP($B:$B,'BS(과거)'!$A:$F,$2:$2,0)),VLOOKUP($B:$B,'BS(과거)'!$A:$F,$2:$2,0),0)</f>
        <v>0</v>
      </c>
      <c r="I304" s="207">
        <f>IF(ISNUMBER(VLOOKUP($B:$B,'BS(과거)'!$A:$F,$2:$2,0)),VLOOKUP($B:$B,'BS(과거)'!$A:$F,$2:$2,0),0)</f>
        <v>0</v>
      </c>
      <c r="J304" s="207">
        <f>IF(ISNUMBER(VLOOKUP($B:$B,'BS(과거)'!$A:$F,$2:$2,0)),VLOOKUP($B:$B,'BS(과거)'!$A:$F,$2:$2,0),0)</f>
        <v>0</v>
      </c>
      <c r="K304" s="207">
        <f>IF(ISNUMBER(VLOOKUP($B:$B,'BS(과거)'!$A:$F,$2:$2,0)),VLOOKUP($B:$B,'BS(과거)'!$A:$F,$2:$2,0),0)</f>
        <v>0</v>
      </c>
      <c r="L304" s="207">
        <f>IF(ISNUMBER(VLOOKUP($B:$B,'BS(과거)'!$A:$F,$2:$2,0)),VLOOKUP($B:$B,'BS(과거)'!$A:$F,$2:$2,0),0)</f>
        <v>0</v>
      </c>
      <c r="N304" s="207">
        <f>IF(ISNUMBER(VLOOKUP($B:$B,'BS(분기)'!$A:$F,$2:$2,0)),VLOOKUP($B:$B,'BS(분기)'!$A:$F,$2:$2,0),0)</f>
        <v>0</v>
      </c>
      <c r="O304" s="207">
        <f>IF(ISNUMBER(VLOOKUP($B:$B,'BS(분기)'!$A:$F,$2:$2,0)),VLOOKUP($B:$B,'BS(분기)'!$A:$F,$2:$2,0),0)</f>
        <v>0</v>
      </c>
      <c r="P304" s="207">
        <f>IF(ISNUMBER(VLOOKUP($B:$B,'BS(분기)'!$A:$F,$2:$2,0)),VLOOKUP($B:$B,'BS(분기)'!$A:$F,$2:$2,0),0)</f>
        <v>0</v>
      </c>
      <c r="Q304" s="207">
        <f>IF(ISNUMBER(VLOOKUP($B:$B,'BS(분기)'!$A:$F,$2:$2,0)),VLOOKUP($B:$B,'BS(분기)'!$A:$F,$2:$2,0),0)</f>
        <v>0</v>
      </c>
      <c r="R304" s="207">
        <f>IF(ISNUMBER(VLOOKUP($B:$B,'BS(분기)'!$A:$F,$2:$2,0)),VLOOKUP($B:$B,'BS(분기)'!$A:$F,$2:$2,0),0)</f>
        <v>0</v>
      </c>
    </row>
    <row r="305" spans="1:18" s="192" customFormat="1" ht="12">
      <c r="A305" s="202">
        <v>113156</v>
      </c>
      <c r="B305" s="195" t="s">
        <v>1074</v>
      </c>
      <c r="C305" s="217">
        <f>IF(ISNUMBER(VLOOKUP($B:$B,BS!$A:$D,$2:$2,0)),VLOOKUP($B:$B,BS!$A:$D,$2:$2,0),0)</f>
        <v>0</v>
      </c>
      <c r="D305" s="217">
        <f>IF(ISNUMBER(VLOOKUP($B:$B,BS!$A:$D,$2:$2,0)),VLOOKUP($B:$B,BS!$A:$D,$2:$2,0),0)</f>
        <v>0</v>
      </c>
      <c r="E305" s="217">
        <f>IF(ISNUMBER(VLOOKUP($B:$B,BS!$A:$D,$2:$2,0)),VLOOKUP($B:$B,BS!$A:$D,$2:$2,0),0)</f>
        <v>0</v>
      </c>
      <c r="F305" s="217">
        <f>IF(ISNUMBER(VLOOKUP($B:$B,BS!$A:$D,$2:$2,0)),VLOOKUP($B:$B,BS!$A:$D,$2:$2,0),0)</f>
        <v>0</v>
      </c>
      <c r="G305" s="217">
        <f>IF(ISNUMBER(VLOOKUP($B:$B,BS!$A:$D,$2:$2,0)),VLOOKUP($B:$B,BS!$A:$D,$2:$2,0),0)</f>
        <v>0</v>
      </c>
      <c r="H305" s="207">
        <f>IF(ISNUMBER(VLOOKUP($B:$B,'BS(과거)'!$A:$F,$2:$2,0)),VLOOKUP($B:$B,'BS(과거)'!$A:$F,$2:$2,0),0)</f>
        <v>0</v>
      </c>
      <c r="I305" s="207">
        <f>IF(ISNUMBER(VLOOKUP($B:$B,'BS(과거)'!$A:$F,$2:$2,0)),VLOOKUP($B:$B,'BS(과거)'!$A:$F,$2:$2,0),0)</f>
        <v>0</v>
      </c>
      <c r="J305" s="207">
        <f>IF(ISNUMBER(VLOOKUP($B:$B,'BS(과거)'!$A:$F,$2:$2,0)),VLOOKUP($B:$B,'BS(과거)'!$A:$F,$2:$2,0),0)</f>
        <v>0</v>
      </c>
      <c r="K305" s="207">
        <f>IF(ISNUMBER(VLOOKUP($B:$B,'BS(과거)'!$A:$F,$2:$2,0)),VLOOKUP($B:$B,'BS(과거)'!$A:$F,$2:$2,0),0)</f>
        <v>0</v>
      </c>
      <c r="L305" s="207">
        <f>IF(ISNUMBER(VLOOKUP($B:$B,'BS(과거)'!$A:$F,$2:$2,0)),VLOOKUP($B:$B,'BS(과거)'!$A:$F,$2:$2,0),0)</f>
        <v>0</v>
      </c>
      <c r="N305" s="207">
        <f>IF(ISNUMBER(VLOOKUP($B:$B,'BS(분기)'!$A:$F,$2:$2,0)),VLOOKUP($B:$B,'BS(분기)'!$A:$F,$2:$2,0),0)</f>
        <v>0</v>
      </c>
      <c r="O305" s="207">
        <f>IF(ISNUMBER(VLOOKUP($B:$B,'BS(분기)'!$A:$F,$2:$2,0)),VLOOKUP($B:$B,'BS(분기)'!$A:$F,$2:$2,0),0)</f>
        <v>0</v>
      </c>
      <c r="P305" s="207">
        <f>IF(ISNUMBER(VLOOKUP($B:$B,'BS(분기)'!$A:$F,$2:$2,0)),VLOOKUP($B:$B,'BS(분기)'!$A:$F,$2:$2,0),0)</f>
        <v>0</v>
      </c>
      <c r="Q305" s="207">
        <f>IF(ISNUMBER(VLOOKUP($B:$B,'BS(분기)'!$A:$F,$2:$2,0)),VLOOKUP($B:$B,'BS(분기)'!$A:$F,$2:$2,0),0)</f>
        <v>0</v>
      </c>
      <c r="R305" s="207">
        <f>IF(ISNUMBER(VLOOKUP($B:$B,'BS(분기)'!$A:$F,$2:$2,0)),VLOOKUP($B:$B,'BS(분기)'!$A:$F,$2:$2,0),0)</f>
        <v>0</v>
      </c>
    </row>
    <row r="306" spans="1:18" s="192" customFormat="1" ht="12">
      <c r="A306" s="202">
        <v>113157</v>
      </c>
      <c r="B306" s="195" t="s">
        <v>1075</v>
      </c>
      <c r="C306" s="217">
        <f>IF(ISNUMBER(VLOOKUP($B:$B,BS!$A:$D,$2:$2,0)),VLOOKUP($B:$B,BS!$A:$D,$2:$2,0),0)</f>
        <v>0</v>
      </c>
      <c r="D306" s="217">
        <f>IF(ISNUMBER(VLOOKUP($B:$B,BS!$A:$D,$2:$2,0)),VLOOKUP($B:$B,BS!$A:$D,$2:$2,0),0)</f>
        <v>0</v>
      </c>
      <c r="E306" s="217">
        <f>IF(ISNUMBER(VLOOKUP($B:$B,BS!$A:$D,$2:$2,0)),VLOOKUP($B:$B,BS!$A:$D,$2:$2,0),0)</f>
        <v>0</v>
      </c>
      <c r="F306" s="217">
        <f>IF(ISNUMBER(VLOOKUP($B:$B,BS!$A:$D,$2:$2,0)),VLOOKUP($B:$B,BS!$A:$D,$2:$2,0),0)</f>
        <v>0</v>
      </c>
      <c r="G306" s="217">
        <f>IF(ISNUMBER(VLOOKUP($B:$B,BS!$A:$D,$2:$2,0)),VLOOKUP($B:$B,BS!$A:$D,$2:$2,0),0)</f>
        <v>0</v>
      </c>
      <c r="H306" s="207">
        <f>IF(ISNUMBER(VLOOKUP($B:$B,'BS(과거)'!$A:$F,$2:$2,0)),VLOOKUP($B:$B,'BS(과거)'!$A:$F,$2:$2,0),0)</f>
        <v>0</v>
      </c>
      <c r="I306" s="207">
        <f>IF(ISNUMBER(VLOOKUP($B:$B,'BS(과거)'!$A:$F,$2:$2,0)),VLOOKUP($B:$B,'BS(과거)'!$A:$F,$2:$2,0),0)</f>
        <v>0</v>
      </c>
      <c r="J306" s="207">
        <f>IF(ISNUMBER(VLOOKUP($B:$B,'BS(과거)'!$A:$F,$2:$2,0)),VLOOKUP($B:$B,'BS(과거)'!$A:$F,$2:$2,0),0)</f>
        <v>0</v>
      </c>
      <c r="K306" s="207">
        <f>IF(ISNUMBER(VLOOKUP($B:$B,'BS(과거)'!$A:$F,$2:$2,0)),VLOOKUP($B:$B,'BS(과거)'!$A:$F,$2:$2,0),0)</f>
        <v>0</v>
      </c>
      <c r="L306" s="207">
        <f>IF(ISNUMBER(VLOOKUP($B:$B,'BS(과거)'!$A:$F,$2:$2,0)),VLOOKUP($B:$B,'BS(과거)'!$A:$F,$2:$2,0),0)</f>
        <v>0</v>
      </c>
      <c r="N306" s="207">
        <f>IF(ISNUMBER(VLOOKUP($B:$B,'BS(분기)'!$A:$F,$2:$2,0)),VLOOKUP($B:$B,'BS(분기)'!$A:$F,$2:$2,0),0)</f>
        <v>0</v>
      </c>
      <c r="O306" s="207">
        <f>IF(ISNUMBER(VLOOKUP($B:$B,'BS(분기)'!$A:$F,$2:$2,0)),VLOOKUP($B:$B,'BS(분기)'!$A:$F,$2:$2,0),0)</f>
        <v>0</v>
      </c>
      <c r="P306" s="207">
        <f>IF(ISNUMBER(VLOOKUP($B:$B,'BS(분기)'!$A:$F,$2:$2,0)),VLOOKUP($B:$B,'BS(분기)'!$A:$F,$2:$2,0),0)</f>
        <v>0</v>
      </c>
      <c r="Q306" s="207">
        <f>IF(ISNUMBER(VLOOKUP($B:$B,'BS(분기)'!$A:$F,$2:$2,0)),VLOOKUP($B:$B,'BS(분기)'!$A:$F,$2:$2,0),0)</f>
        <v>0</v>
      </c>
      <c r="R306" s="207">
        <f>IF(ISNUMBER(VLOOKUP($B:$B,'BS(분기)'!$A:$F,$2:$2,0)),VLOOKUP($B:$B,'BS(분기)'!$A:$F,$2:$2,0),0)</f>
        <v>0</v>
      </c>
    </row>
    <row r="307" spans="1:18" s="192" customFormat="1" ht="12">
      <c r="A307" s="202">
        <v>113150</v>
      </c>
      <c r="B307" s="195" t="s">
        <v>1076</v>
      </c>
      <c r="C307" s="217">
        <f>IF(ISNUMBER(VLOOKUP($B:$B,BS!$A:$D,$2:$2,0)),VLOOKUP($B:$B,BS!$A:$D,$2:$2,0),0)</f>
        <v>0</v>
      </c>
      <c r="D307" s="217">
        <f>IF(ISNUMBER(VLOOKUP($B:$B,BS!$A:$D,$2:$2,0)),VLOOKUP($B:$B,BS!$A:$D,$2:$2,0),0)</f>
        <v>0</v>
      </c>
      <c r="E307" s="217">
        <f>IF(ISNUMBER(VLOOKUP($B:$B,BS!$A:$D,$2:$2,0)),VLOOKUP($B:$B,BS!$A:$D,$2:$2,0),0)</f>
        <v>0</v>
      </c>
      <c r="F307" s="217">
        <f>IF(ISNUMBER(VLOOKUP($B:$B,BS!$A:$D,$2:$2,0)),VLOOKUP($B:$B,BS!$A:$D,$2:$2,0),0)</f>
        <v>0</v>
      </c>
      <c r="G307" s="217">
        <f>IF(ISNUMBER(VLOOKUP($B:$B,BS!$A:$D,$2:$2,0)),VLOOKUP($B:$B,BS!$A:$D,$2:$2,0),0)</f>
        <v>0</v>
      </c>
      <c r="H307" s="207">
        <f>IF(ISNUMBER(VLOOKUP($B:$B,'BS(과거)'!$A:$F,$2:$2,0)),VLOOKUP($B:$B,'BS(과거)'!$A:$F,$2:$2,0),0)</f>
        <v>0</v>
      </c>
      <c r="I307" s="207">
        <f>IF(ISNUMBER(VLOOKUP($B:$B,'BS(과거)'!$A:$F,$2:$2,0)),VLOOKUP($B:$B,'BS(과거)'!$A:$F,$2:$2,0),0)</f>
        <v>0</v>
      </c>
      <c r="J307" s="207">
        <f>IF(ISNUMBER(VLOOKUP($B:$B,'BS(과거)'!$A:$F,$2:$2,0)),VLOOKUP($B:$B,'BS(과거)'!$A:$F,$2:$2,0),0)</f>
        <v>0</v>
      </c>
      <c r="K307" s="207">
        <f>IF(ISNUMBER(VLOOKUP($B:$B,'BS(과거)'!$A:$F,$2:$2,0)),VLOOKUP($B:$B,'BS(과거)'!$A:$F,$2:$2,0),0)</f>
        <v>0</v>
      </c>
      <c r="L307" s="207">
        <f>IF(ISNUMBER(VLOOKUP($B:$B,'BS(과거)'!$A:$F,$2:$2,0)),VLOOKUP($B:$B,'BS(과거)'!$A:$F,$2:$2,0),0)</f>
        <v>0</v>
      </c>
      <c r="N307" s="207">
        <f>IF(ISNUMBER(VLOOKUP($B:$B,'BS(분기)'!$A:$F,$2:$2,0)),VLOOKUP($B:$B,'BS(분기)'!$A:$F,$2:$2,0),0)</f>
        <v>0</v>
      </c>
      <c r="O307" s="207">
        <f>IF(ISNUMBER(VLOOKUP($B:$B,'BS(분기)'!$A:$F,$2:$2,0)),VLOOKUP($B:$B,'BS(분기)'!$A:$F,$2:$2,0),0)</f>
        <v>0</v>
      </c>
      <c r="P307" s="207">
        <f>IF(ISNUMBER(VLOOKUP($B:$B,'BS(분기)'!$A:$F,$2:$2,0)),VLOOKUP($B:$B,'BS(분기)'!$A:$F,$2:$2,0),0)</f>
        <v>0</v>
      </c>
      <c r="Q307" s="207">
        <f>IF(ISNUMBER(VLOOKUP($B:$B,'BS(분기)'!$A:$F,$2:$2,0)),VLOOKUP($B:$B,'BS(분기)'!$A:$F,$2:$2,0),0)</f>
        <v>0</v>
      </c>
      <c r="R307" s="207">
        <f>IF(ISNUMBER(VLOOKUP($B:$B,'BS(분기)'!$A:$F,$2:$2,0)),VLOOKUP($B:$B,'BS(분기)'!$A:$F,$2:$2,0),0)</f>
        <v>0</v>
      </c>
    </row>
    <row r="308" spans="1:18" s="192" customFormat="1" ht="12">
      <c r="A308" s="202">
        <v>113152</v>
      </c>
      <c r="B308" s="195" t="s">
        <v>1077</v>
      </c>
      <c r="C308" s="217">
        <f>IF(ISNUMBER(VLOOKUP($B:$B,BS!$A:$D,$2:$2,0)),VLOOKUP($B:$B,BS!$A:$D,$2:$2,0),0)</f>
        <v>0</v>
      </c>
      <c r="D308" s="217">
        <f>IF(ISNUMBER(VLOOKUP($B:$B,BS!$A:$D,$2:$2,0)),VLOOKUP($B:$B,BS!$A:$D,$2:$2,0),0)</f>
        <v>0</v>
      </c>
      <c r="E308" s="217">
        <f>IF(ISNUMBER(VLOOKUP($B:$B,BS!$A:$D,$2:$2,0)),VLOOKUP($B:$B,BS!$A:$D,$2:$2,0),0)</f>
        <v>0</v>
      </c>
      <c r="F308" s="217">
        <f>IF(ISNUMBER(VLOOKUP($B:$B,BS!$A:$D,$2:$2,0)),VLOOKUP($B:$B,BS!$A:$D,$2:$2,0),0)</f>
        <v>0</v>
      </c>
      <c r="G308" s="217">
        <f>IF(ISNUMBER(VLOOKUP($B:$B,BS!$A:$D,$2:$2,0)),VLOOKUP($B:$B,BS!$A:$D,$2:$2,0),0)</f>
        <v>0</v>
      </c>
      <c r="H308" s="207">
        <f>IF(ISNUMBER(VLOOKUP($B:$B,'BS(과거)'!$A:$F,$2:$2,0)),VLOOKUP($B:$B,'BS(과거)'!$A:$F,$2:$2,0),0)</f>
        <v>0</v>
      </c>
      <c r="I308" s="207">
        <f>IF(ISNUMBER(VLOOKUP($B:$B,'BS(과거)'!$A:$F,$2:$2,0)),VLOOKUP($B:$B,'BS(과거)'!$A:$F,$2:$2,0),0)</f>
        <v>0</v>
      </c>
      <c r="J308" s="207">
        <f>IF(ISNUMBER(VLOOKUP($B:$B,'BS(과거)'!$A:$F,$2:$2,0)),VLOOKUP($B:$B,'BS(과거)'!$A:$F,$2:$2,0),0)</f>
        <v>0</v>
      </c>
      <c r="K308" s="207">
        <f>IF(ISNUMBER(VLOOKUP($B:$B,'BS(과거)'!$A:$F,$2:$2,0)),VLOOKUP($B:$B,'BS(과거)'!$A:$F,$2:$2,0),0)</f>
        <v>0</v>
      </c>
      <c r="L308" s="207">
        <f>IF(ISNUMBER(VLOOKUP($B:$B,'BS(과거)'!$A:$F,$2:$2,0)),VLOOKUP($B:$B,'BS(과거)'!$A:$F,$2:$2,0),0)</f>
        <v>0</v>
      </c>
      <c r="N308" s="207">
        <f>IF(ISNUMBER(VLOOKUP($B:$B,'BS(분기)'!$A:$F,$2:$2,0)),VLOOKUP($B:$B,'BS(분기)'!$A:$F,$2:$2,0),0)</f>
        <v>0</v>
      </c>
      <c r="O308" s="207">
        <f>IF(ISNUMBER(VLOOKUP($B:$B,'BS(분기)'!$A:$F,$2:$2,0)),VLOOKUP($B:$B,'BS(분기)'!$A:$F,$2:$2,0),0)</f>
        <v>0</v>
      </c>
      <c r="P308" s="207">
        <f>IF(ISNUMBER(VLOOKUP($B:$B,'BS(분기)'!$A:$F,$2:$2,0)),VLOOKUP($B:$B,'BS(분기)'!$A:$F,$2:$2,0),0)</f>
        <v>0</v>
      </c>
      <c r="Q308" s="207">
        <f>IF(ISNUMBER(VLOOKUP($B:$B,'BS(분기)'!$A:$F,$2:$2,0)),VLOOKUP($B:$B,'BS(분기)'!$A:$F,$2:$2,0),0)</f>
        <v>0</v>
      </c>
      <c r="R308" s="207">
        <f>IF(ISNUMBER(VLOOKUP($B:$B,'BS(분기)'!$A:$F,$2:$2,0)),VLOOKUP($B:$B,'BS(분기)'!$A:$F,$2:$2,0),0)</f>
        <v>0</v>
      </c>
    </row>
    <row r="309" spans="1:18" s="192" customFormat="1" ht="12">
      <c r="A309" s="202">
        <v>113153</v>
      </c>
      <c r="B309" s="195" t="s">
        <v>1078</v>
      </c>
      <c r="C309" s="217">
        <f>IF(ISNUMBER(VLOOKUP($B:$B,BS!$A:$D,$2:$2,0)),VLOOKUP($B:$B,BS!$A:$D,$2:$2,0),0)</f>
        <v>0</v>
      </c>
      <c r="D309" s="217">
        <f>IF(ISNUMBER(VLOOKUP($B:$B,BS!$A:$D,$2:$2,0)),VLOOKUP($B:$B,BS!$A:$D,$2:$2,0),0)</f>
        <v>0</v>
      </c>
      <c r="E309" s="217">
        <f>IF(ISNUMBER(VLOOKUP($B:$B,BS!$A:$D,$2:$2,0)),VLOOKUP($B:$B,BS!$A:$D,$2:$2,0),0)</f>
        <v>0</v>
      </c>
      <c r="F309" s="217">
        <f>IF(ISNUMBER(VLOOKUP($B:$B,BS!$A:$D,$2:$2,0)),VLOOKUP($B:$B,BS!$A:$D,$2:$2,0),0)</f>
        <v>0</v>
      </c>
      <c r="G309" s="217">
        <f>IF(ISNUMBER(VLOOKUP($B:$B,BS!$A:$D,$2:$2,0)),VLOOKUP($B:$B,BS!$A:$D,$2:$2,0),0)</f>
        <v>0</v>
      </c>
      <c r="H309" s="207">
        <f>IF(ISNUMBER(VLOOKUP($B:$B,'BS(과거)'!$A:$F,$2:$2,0)),VLOOKUP($B:$B,'BS(과거)'!$A:$F,$2:$2,0),0)</f>
        <v>0</v>
      </c>
      <c r="I309" s="207">
        <f>IF(ISNUMBER(VLOOKUP($B:$B,'BS(과거)'!$A:$F,$2:$2,0)),VLOOKUP($B:$B,'BS(과거)'!$A:$F,$2:$2,0),0)</f>
        <v>0</v>
      </c>
      <c r="J309" s="207">
        <f>IF(ISNUMBER(VLOOKUP($B:$B,'BS(과거)'!$A:$F,$2:$2,0)),VLOOKUP($B:$B,'BS(과거)'!$A:$F,$2:$2,0),0)</f>
        <v>0</v>
      </c>
      <c r="K309" s="207">
        <f>IF(ISNUMBER(VLOOKUP($B:$B,'BS(과거)'!$A:$F,$2:$2,0)),VLOOKUP($B:$B,'BS(과거)'!$A:$F,$2:$2,0),0)</f>
        <v>0</v>
      </c>
      <c r="L309" s="207">
        <f>IF(ISNUMBER(VLOOKUP($B:$B,'BS(과거)'!$A:$F,$2:$2,0)),VLOOKUP($B:$B,'BS(과거)'!$A:$F,$2:$2,0),0)</f>
        <v>0</v>
      </c>
      <c r="N309" s="207">
        <f>IF(ISNUMBER(VLOOKUP($B:$B,'BS(분기)'!$A:$F,$2:$2,0)),VLOOKUP($B:$B,'BS(분기)'!$A:$F,$2:$2,0),0)</f>
        <v>0</v>
      </c>
      <c r="O309" s="207">
        <f>IF(ISNUMBER(VLOOKUP($B:$B,'BS(분기)'!$A:$F,$2:$2,0)),VLOOKUP($B:$B,'BS(분기)'!$A:$F,$2:$2,0),0)</f>
        <v>0</v>
      </c>
      <c r="P309" s="207">
        <f>IF(ISNUMBER(VLOOKUP($B:$B,'BS(분기)'!$A:$F,$2:$2,0)),VLOOKUP($B:$B,'BS(분기)'!$A:$F,$2:$2,0),0)</f>
        <v>0</v>
      </c>
      <c r="Q309" s="207">
        <f>IF(ISNUMBER(VLOOKUP($B:$B,'BS(분기)'!$A:$F,$2:$2,0)),VLOOKUP($B:$B,'BS(분기)'!$A:$F,$2:$2,0),0)</f>
        <v>0</v>
      </c>
      <c r="R309" s="207">
        <f>IF(ISNUMBER(VLOOKUP($B:$B,'BS(분기)'!$A:$F,$2:$2,0)),VLOOKUP($B:$B,'BS(분기)'!$A:$F,$2:$2,0),0)</f>
        <v>0</v>
      </c>
    </row>
    <row r="310" spans="1:18" s="192" customFormat="1" ht="12">
      <c r="A310" s="202">
        <v>113151</v>
      </c>
      <c r="B310" s="195" t="s">
        <v>1079</v>
      </c>
      <c r="C310" s="217">
        <f>IF(ISNUMBER(VLOOKUP($B:$B,BS!$A:$D,$2:$2,0)),VLOOKUP($B:$B,BS!$A:$D,$2:$2,0),0)</f>
        <v>0</v>
      </c>
      <c r="D310" s="217">
        <f>IF(ISNUMBER(VLOOKUP($B:$B,BS!$A:$D,$2:$2,0)),VLOOKUP($B:$B,BS!$A:$D,$2:$2,0),0)</f>
        <v>0</v>
      </c>
      <c r="E310" s="217">
        <f>IF(ISNUMBER(VLOOKUP($B:$B,BS!$A:$D,$2:$2,0)),VLOOKUP($B:$B,BS!$A:$D,$2:$2,0),0)</f>
        <v>0</v>
      </c>
      <c r="F310" s="217">
        <f>IF(ISNUMBER(VLOOKUP($B:$B,BS!$A:$D,$2:$2,0)),VLOOKUP($B:$B,BS!$A:$D,$2:$2,0),0)</f>
        <v>0</v>
      </c>
      <c r="G310" s="217">
        <f>IF(ISNUMBER(VLOOKUP($B:$B,BS!$A:$D,$2:$2,0)),VLOOKUP($B:$B,BS!$A:$D,$2:$2,0),0)</f>
        <v>0</v>
      </c>
      <c r="H310" s="207">
        <f>IF(ISNUMBER(VLOOKUP($B:$B,'BS(과거)'!$A:$F,$2:$2,0)),VLOOKUP($B:$B,'BS(과거)'!$A:$F,$2:$2,0),0)</f>
        <v>0</v>
      </c>
      <c r="I310" s="207">
        <f>IF(ISNUMBER(VLOOKUP($B:$B,'BS(과거)'!$A:$F,$2:$2,0)),VLOOKUP($B:$B,'BS(과거)'!$A:$F,$2:$2,0),0)</f>
        <v>0</v>
      </c>
      <c r="J310" s="207">
        <f>IF(ISNUMBER(VLOOKUP($B:$B,'BS(과거)'!$A:$F,$2:$2,0)),VLOOKUP($B:$B,'BS(과거)'!$A:$F,$2:$2,0),0)</f>
        <v>0</v>
      </c>
      <c r="K310" s="207">
        <f>IF(ISNUMBER(VLOOKUP($B:$B,'BS(과거)'!$A:$F,$2:$2,0)),VLOOKUP($B:$B,'BS(과거)'!$A:$F,$2:$2,0),0)</f>
        <v>0</v>
      </c>
      <c r="L310" s="207">
        <f>IF(ISNUMBER(VLOOKUP($B:$B,'BS(과거)'!$A:$F,$2:$2,0)),VLOOKUP($B:$B,'BS(과거)'!$A:$F,$2:$2,0),0)</f>
        <v>0</v>
      </c>
      <c r="N310" s="207">
        <f>IF(ISNUMBER(VLOOKUP($B:$B,'BS(분기)'!$A:$F,$2:$2,0)),VLOOKUP($B:$B,'BS(분기)'!$A:$F,$2:$2,0),0)</f>
        <v>0</v>
      </c>
      <c r="O310" s="207">
        <f>IF(ISNUMBER(VLOOKUP($B:$B,'BS(분기)'!$A:$F,$2:$2,0)),VLOOKUP($B:$B,'BS(분기)'!$A:$F,$2:$2,0),0)</f>
        <v>0</v>
      </c>
      <c r="P310" s="207">
        <f>IF(ISNUMBER(VLOOKUP($B:$B,'BS(분기)'!$A:$F,$2:$2,0)),VLOOKUP($B:$B,'BS(분기)'!$A:$F,$2:$2,0),0)</f>
        <v>0</v>
      </c>
      <c r="Q310" s="207">
        <f>IF(ISNUMBER(VLOOKUP($B:$B,'BS(분기)'!$A:$F,$2:$2,0)),VLOOKUP($B:$B,'BS(분기)'!$A:$F,$2:$2,0),0)</f>
        <v>0</v>
      </c>
      <c r="R310" s="207">
        <f>IF(ISNUMBER(VLOOKUP($B:$B,'BS(분기)'!$A:$F,$2:$2,0)),VLOOKUP($B:$B,'BS(분기)'!$A:$F,$2:$2,0),0)</f>
        <v>0</v>
      </c>
    </row>
    <row r="311" spans="1:18" s="192" customFormat="1" ht="12">
      <c r="A311" s="202">
        <v>113154</v>
      </c>
      <c r="B311" s="195" t="s">
        <v>1080</v>
      </c>
      <c r="C311" s="217">
        <f>IF(ISNUMBER(VLOOKUP($B:$B,BS!$A:$D,$2:$2,0)),VLOOKUP($B:$B,BS!$A:$D,$2:$2,0),0)</f>
        <v>0</v>
      </c>
      <c r="D311" s="217">
        <f>IF(ISNUMBER(VLOOKUP($B:$B,BS!$A:$D,$2:$2,0)),VLOOKUP($B:$B,BS!$A:$D,$2:$2,0),0)</f>
        <v>0</v>
      </c>
      <c r="E311" s="217">
        <f>IF(ISNUMBER(VLOOKUP($B:$B,BS!$A:$D,$2:$2,0)),VLOOKUP($B:$B,BS!$A:$D,$2:$2,0),0)</f>
        <v>0</v>
      </c>
      <c r="F311" s="217">
        <f>IF(ISNUMBER(VLOOKUP($B:$B,BS!$A:$D,$2:$2,0)),VLOOKUP($B:$B,BS!$A:$D,$2:$2,0),0)</f>
        <v>0</v>
      </c>
      <c r="G311" s="217">
        <f>IF(ISNUMBER(VLOOKUP($B:$B,BS!$A:$D,$2:$2,0)),VLOOKUP($B:$B,BS!$A:$D,$2:$2,0),0)</f>
        <v>0</v>
      </c>
      <c r="H311" s="207">
        <f>IF(ISNUMBER(VLOOKUP($B:$B,'BS(과거)'!$A:$F,$2:$2,0)),VLOOKUP($B:$B,'BS(과거)'!$A:$F,$2:$2,0),0)</f>
        <v>0</v>
      </c>
      <c r="I311" s="207">
        <f>IF(ISNUMBER(VLOOKUP($B:$B,'BS(과거)'!$A:$F,$2:$2,0)),VLOOKUP($B:$B,'BS(과거)'!$A:$F,$2:$2,0),0)</f>
        <v>0</v>
      </c>
      <c r="J311" s="207">
        <f>IF(ISNUMBER(VLOOKUP($B:$B,'BS(과거)'!$A:$F,$2:$2,0)),VLOOKUP($B:$B,'BS(과거)'!$A:$F,$2:$2,0),0)</f>
        <v>0</v>
      </c>
      <c r="K311" s="207">
        <f>IF(ISNUMBER(VLOOKUP($B:$B,'BS(과거)'!$A:$F,$2:$2,0)),VLOOKUP($B:$B,'BS(과거)'!$A:$F,$2:$2,0),0)</f>
        <v>0</v>
      </c>
      <c r="L311" s="207">
        <f>IF(ISNUMBER(VLOOKUP($B:$B,'BS(과거)'!$A:$F,$2:$2,0)),VLOOKUP($B:$B,'BS(과거)'!$A:$F,$2:$2,0),0)</f>
        <v>0</v>
      </c>
      <c r="N311" s="207">
        <f>IF(ISNUMBER(VLOOKUP($B:$B,'BS(분기)'!$A:$F,$2:$2,0)),VLOOKUP($B:$B,'BS(분기)'!$A:$F,$2:$2,0),0)</f>
        <v>0</v>
      </c>
      <c r="O311" s="207">
        <f>IF(ISNUMBER(VLOOKUP($B:$B,'BS(분기)'!$A:$F,$2:$2,0)),VLOOKUP($B:$B,'BS(분기)'!$A:$F,$2:$2,0),0)</f>
        <v>0</v>
      </c>
      <c r="P311" s="207">
        <f>IF(ISNUMBER(VLOOKUP($B:$B,'BS(분기)'!$A:$F,$2:$2,0)),VLOOKUP($B:$B,'BS(분기)'!$A:$F,$2:$2,0),0)</f>
        <v>0</v>
      </c>
      <c r="Q311" s="207">
        <f>IF(ISNUMBER(VLOOKUP($B:$B,'BS(분기)'!$A:$F,$2:$2,0)),VLOOKUP($B:$B,'BS(분기)'!$A:$F,$2:$2,0),0)</f>
        <v>0</v>
      </c>
      <c r="R311" s="207">
        <f>IF(ISNUMBER(VLOOKUP($B:$B,'BS(분기)'!$A:$F,$2:$2,0)),VLOOKUP($B:$B,'BS(분기)'!$A:$F,$2:$2,0),0)</f>
        <v>0</v>
      </c>
    </row>
    <row r="312" spans="1:18" s="192" customFormat="1" ht="12">
      <c r="A312" s="202">
        <v>113155</v>
      </c>
      <c r="B312" s="195" t="s">
        <v>1081</v>
      </c>
      <c r="C312" s="217">
        <f>IF(ISNUMBER(VLOOKUP($B:$B,BS!$A:$D,$2:$2,0)),VLOOKUP($B:$B,BS!$A:$D,$2:$2,0),0)</f>
        <v>0</v>
      </c>
      <c r="D312" s="217">
        <f>IF(ISNUMBER(VLOOKUP($B:$B,BS!$A:$D,$2:$2,0)),VLOOKUP($B:$B,BS!$A:$D,$2:$2,0),0)</f>
        <v>0</v>
      </c>
      <c r="E312" s="217">
        <f>IF(ISNUMBER(VLOOKUP($B:$B,BS!$A:$D,$2:$2,0)),VLOOKUP($B:$B,BS!$A:$D,$2:$2,0),0)</f>
        <v>0</v>
      </c>
      <c r="F312" s="217">
        <f>IF(ISNUMBER(VLOOKUP($B:$B,BS!$A:$D,$2:$2,0)),VLOOKUP($B:$B,BS!$A:$D,$2:$2,0),0)</f>
        <v>0</v>
      </c>
      <c r="G312" s="217">
        <f>IF(ISNUMBER(VLOOKUP($B:$B,BS!$A:$D,$2:$2,0)),VLOOKUP($B:$B,BS!$A:$D,$2:$2,0),0)</f>
        <v>0</v>
      </c>
      <c r="H312" s="207">
        <f>IF(ISNUMBER(VLOOKUP($B:$B,'BS(과거)'!$A:$F,$2:$2,0)),VLOOKUP($B:$B,'BS(과거)'!$A:$F,$2:$2,0),0)</f>
        <v>0</v>
      </c>
      <c r="I312" s="207">
        <f>IF(ISNUMBER(VLOOKUP($B:$B,'BS(과거)'!$A:$F,$2:$2,0)),VLOOKUP($B:$B,'BS(과거)'!$A:$F,$2:$2,0),0)</f>
        <v>0</v>
      </c>
      <c r="J312" s="207">
        <f>IF(ISNUMBER(VLOOKUP($B:$B,'BS(과거)'!$A:$F,$2:$2,0)),VLOOKUP($B:$B,'BS(과거)'!$A:$F,$2:$2,0),0)</f>
        <v>0</v>
      </c>
      <c r="K312" s="207">
        <f>IF(ISNUMBER(VLOOKUP($B:$B,'BS(과거)'!$A:$F,$2:$2,0)),VLOOKUP($B:$B,'BS(과거)'!$A:$F,$2:$2,0),0)</f>
        <v>0</v>
      </c>
      <c r="L312" s="207">
        <f>IF(ISNUMBER(VLOOKUP($B:$B,'BS(과거)'!$A:$F,$2:$2,0)),VLOOKUP($B:$B,'BS(과거)'!$A:$F,$2:$2,0),0)</f>
        <v>0</v>
      </c>
      <c r="N312" s="207">
        <f>IF(ISNUMBER(VLOOKUP($B:$B,'BS(분기)'!$A:$F,$2:$2,0)),VLOOKUP($B:$B,'BS(분기)'!$A:$F,$2:$2,0),0)</f>
        <v>0</v>
      </c>
      <c r="O312" s="207">
        <f>IF(ISNUMBER(VLOOKUP($B:$B,'BS(분기)'!$A:$F,$2:$2,0)),VLOOKUP($B:$B,'BS(분기)'!$A:$F,$2:$2,0),0)</f>
        <v>0</v>
      </c>
      <c r="P312" s="207">
        <f>IF(ISNUMBER(VLOOKUP($B:$B,'BS(분기)'!$A:$F,$2:$2,0)),VLOOKUP($B:$B,'BS(분기)'!$A:$F,$2:$2,0),0)</f>
        <v>0</v>
      </c>
      <c r="Q312" s="207">
        <f>IF(ISNUMBER(VLOOKUP($B:$B,'BS(분기)'!$A:$F,$2:$2,0)),VLOOKUP($B:$B,'BS(분기)'!$A:$F,$2:$2,0),0)</f>
        <v>0</v>
      </c>
      <c r="R312" s="207">
        <f>IF(ISNUMBER(VLOOKUP($B:$B,'BS(분기)'!$A:$F,$2:$2,0)),VLOOKUP($B:$B,'BS(분기)'!$A:$F,$2:$2,0),0)</f>
        <v>0</v>
      </c>
    </row>
    <row r="313" spans="1:18" s="192" customFormat="1" ht="12">
      <c r="A313" s="202">
        <v>113160</v>
      </c>
      <c r="B313" s="195" t="s">
        <v>1082</v>
      </c>
      <c r="C313" s="217">
        <f>IF(ISNUMBER(VLOOKUP($B:$B,BS!$A:$D,$2:$2,0)),VLOOKUP($B:$B,BS!$A:$D,$2:$2,0),0)</f>
        <v>0</v>
      </c>
      <c r="D313" s="217">
        <f>IF(ISNUMBER(VLOOKUP($B:$B,BS!$A:$D,$2:$2,0)),VLOOKUP($B:$B,BS!$A:$D,$2:$2,0),0)</f>
        <v>0</v>
      </c>
      <c r="E313" s="217">
        <f>IF(ISNUMBER(VLOOKUP($B:$B,BS!$A:$D,$2:$2,0)),VLOOKUP($B:$B,BS!$A:$D,$2:$2,0),0)</f>
        <v>0</v>
      </c>
      <c r="F313" s="217">
        <f>IF(ISNUMBER(VLOOKUP($B:$B,BS!$A:$D,$2:$2,0)),VLOOKUP($B:$B,BS!$A:$D,$2:$2,0),0)</f>
        <v>0</v>
      </c>
      <c r="G313" s="217">
        <f>IF(ISNUMBER(VLOOKUP($B:$B,BS!$A:$D,$2:$2,0)),VLOOKUP($B:$B,BS!$A:$D,$2:$2,0),0)</f>
        <v>0</v>
      </c>
      <c r="H313" s="207">
        <f>IF(ISNUMBER(VLOOKUP($B:$B,'BS(과거)'!$A:$F,$2:$2,0)),VLOOKUP($B:$B,'BS(과거)'!$A:$F,$2:$2,0),0)</f>
        <v>0</v>
      </c>
      <c r="I313" s="207">
        <f>IF(ISNUMBER(VLOOKUP($B:$B,'BS(과거)'!$A:$F,$2:$2,0)),VLOOKUP($B:$B,'BS(과거)'!$A:$F,$2:$2,0),0)</f>
        <v>0</v>
      </c>
      <c r="J313" s="207">
        <f>IF(ISNUMBER(VLOOKUP($B:$B,'BS(과거)'!$A:$F,$2:$2,0)),VLOOKUP($B:$B,'BS(과거)'!$A:$F,$2:$2,0),0)</f>
        <v>0</v>
      </c>
      <c r="K313" s="207">
        <f>IF(ISNUMBER(VLOOKUP($B:$B,'BS(과거)'!$A:$F,$2:$2,0)),VLOOKUP($B:$B,'BS(과거)'!$A:$F,$2:$2,0),0)</f>
        <v>0</v>
      </c>
      <c r="L313" s="207">
        <f>IF(ISNUMBER(VLOOKUP($B:$B,'BS(과거)'!$A:$F,$2:$2,0)),VLOOKUP($B:$B,'BS(과거)'!$A:$F,$2:$2,0),0)</f>
        <v>0</v>
      </c>
      <c r="N313" s="207">
        <f>IF(ISNUMBER(VLOOKUP($B:$B,'BS(분기)'!$A:$F,$2:$2,0)),VLOOKUP($B:$B,'BS(분기)'!$A:$F,$2:$2,0),0)</f>
        <v>0</v>
      </c>
      <c r="O313" s="207">
        <f>IF(ISNUMBER(VLOOKUP($B:$B,'BS(분기)'!$A:$F,$2:$2,0)),VLOOKUP($B:$B,'BS(분기)'!$A:$F,$2:$2,0),0)</f>
        <v>0</v>
      </c>
      <c r="P313" s="207">
        <f>IF(ISNUMBER(VLOOKUP($B:$B,'BS(분기)'!$A:$F,$2:$2,0)),VLOOKUP($B:$B,'BS(분기)'!$A:$F,$2:$2,0),0)</f>
        <v>0</v>
      </c>
      <c r="Q313" s="207">
        <f>IF(ISNUMBER(VLOOKUP($B:$B,'BS(분기)'!$A:$F,$2:$2,0)),VLOOKUP($B:$B,'BS(분기)'!$A:$F,$2:$2,0),0)</f>
        <v>0</v>
      </c>
      <c r="R313" s="207">
        <f>IF(ISNUMBER(VLOOKUP($B:$B,'BS(분기)'!$A:$F,$2:$2,0)),VLOOKUP($B:$B,'BS(분기)'!$A:$F,$2:$2,0),0)</f>
        <v>0</v>
      </c>
    </row>
    <row r="314" spans="1:18" s="192" customFormat="1" ht="12">
      <c r="A314" s="202">
        <v>113162</v>
      </c>
      <c r="B314" s="195" t="s">
        <v>1083</v>
      </c>
      <c r="C314" s="217">
        <f>IF(ISNUMBER(VLOOKUP($B:$B,BS!$A:$D,$2:$2,0)),VLOOKUP($B:$B,BS!$A:$D,$2:$2,0),0)</f>
        <v>0</v>
      </c>
      <c r="D314" s="217">
        <f>IF(ISNUMBER(VLOOKUP($B:$B,BS!$A:$D,$2:$2,0)),VLOOKUP($B:$B,BS!$A:$D,$2:$2,0),0)</f>
        <v>0</v>
      </c>
      <c r="E314" s="217">
        <f>IF(ISNUMBER(VLOOKUP($B:$B,BS!$A:$D,$2:$2,0)),VLOOKUP($B:$B,BS!$A:$D,$2:$2,0),0)</f>
        <v>0</v>
      </c>
      <c r="F314" s="217">
        <f>IF(ISNUMBER(VLOOKUP($B:$B,BS!$A:$D,$2:$2,0)),VLOOKUP($B:$B,BS!$A:$D,$2:$2,0),0)</f>
        <v>0</v>
      </c>
      <c r="G314" s="217">
        <f>IF(ISNUMBER(VLOOKUP($B:$B,BS!$A:$D,$2:$2,0)),VLOOKUP($B:$B,BS!$A:$D,$2:$2,0),0)</f>
        <v>0</v>
      </c>
      <c r="H314" s="207">
        <f>IF(ISNUMBER(VLOOKUP($B:$B,'BS(과거)'!$A:$F,$2:$2,0)),VLOOKUP($B:$B,'BS(과거)'!$A:$F,$2:$2,0),0)</f>
        <v>0</v>
      </c>
      <c r="I314" s="207">
        <f>IF(ISNUMBER(VLOOKUP($B:$B,'BS(과거)'!$A:$F,$2:$2,0)),VLOOKUP($B:$B,'BS(과거)'!$A:$F,$2:$2,0),0)</f>
        <v>0</v>
      </c>
      <c r="J314" s="207">
        <f>IF(ISNUMBER(VLOOKUP($B:$B,'BS(과거)'!$A:$F,$2:$2,0)),VLOOKUP($B:$B,'BS(과거)'!$A:$F,$2:$2,0),0)</f>
        <v>0</v>
      </c>
      <c r="K314" s="207">
        <f>IF(ISNUMBER(VLOOKUP($B:$B,'BS(과거)'!$A:$F,$2:$2,0)),VLOOKUP($B:$B,'BS(과거)'!$A:$F,$2:$2,0),0)</f>
        <v>0</v>
      </c>
      <c r="L314" s="207">
        <f>IF(ISNUMBER(VLOOKUP($B:$B,'BS(과거)'!$A:$F,$2:$2,0)),VLOOKUP($B:$B,'BS(과거)'!$A:$F,$2:$2,0),0)</f>
        <v>0</v>
      </c>
      <c r="N314" s="207">
        <f>IF(ISNUMBER(VLOOKUP($B:$B,'BS(분기)'!$A:$F,$2:$2,0)),VLOOKUP($B:$B,'BS(분기)'!$A:$F,$2:$2,0),0)</f>
        <v>0</v>
      </c>
      <c r="O314" s="207">
        <f>IF(ISNUMBER(VLOOKUP($B:$B,'BS(분기)'!$A:$F,$2:$2,0)),VLOOKUP($B:$B,'BS(분기)'!$A:$F,$2:$2,0),0)</f>
        <v>0</v>
      </c>
      <c r="P314" s="207">
        <f>IF(ISNUMBER(VLOOKUP($B:$B,'BS(분기)'!$A:$F,$2:$2,0)),VLOOKUP($B:$B,'BS(분기)'!$A:$F,$2:$2,0),0)</f>
        <v>0</v>
      </c>
      <c r="Q314" s="207">
        <f>IF(ISNUMBER(VLOOKUP($B:$B,'BS(분기)'!$A:$F,$2:$2,0)),VLOOKUP($B:$B,'BS(분기)'!$A:$F,$2:$2,0),0)</f>
        <v>0</v>
      </c>
      <c r="R314" s="207">
        <f>IF(ISNUMBER(VLOOKUP($B:$B,'BS(분기)'!$A:$F,$2:$2,0)),VLOOKUP($B:$B,'BS(분기)'!$A:$F,$2:$2,0),0)</f>
        <v>0</v>
      </c>
    </row>
    <row r="315" spans="1:18" s="192" customFormat="1" ht="12">
      <c r="A315" s="202">
        <v>113163</v>
      </c>
      <c r="B315" s="195" t="s">
        <v>1084</v>
      </c>
      <c r="C315" s="217">
        <f>IF(ISNUMBER(VLOOKUP($B:$B,BS!$A:$D,$2:$2,0)),VLOOKUP($B:$B,BS!$A:$D,$2:$2,0),0)</f>
        <v>0</v>
      </c>
      <c r="D315" s="217">
        <f>IF(ISNUMBER(VLOOKUP($B:$B,BS!$A:$D,$2:$2,0)),VLOOKUP($B:$B,BS!$A:$D,$2:$2,0),0)</f>
        <v>0</v>
      </c>
      <c r="E315" s="217">
        <f>IF(ISNUMBER(VLOOKUP($B:$B,BS!$A:$D,$2:$2,0)),VLOOKUP($B:$B,BS!$A:$D,$2:$2,0),0)</f>
        <v>0</v>
      </c>
      <c r="F315" s="217">
        <f>IF(ISNUMBER(VLOOKUP($B:$B,BS!$A:$D,$2:$2,0)),VLOOKUP($B:$B,BS!$A:$D,$2:$2,0),0)</f>
        <v>0</v>
      </c>
      <c r="G315" s="217">
        <f>IF(ISNUMBER(VLOOKUP($B:$B,BS!$A:$D,$2:$2,0)),VLOOKUP($B:$B,BS!$A:$D,$2:$2,0),0)</f>
        <v>0</v>
      </c>
      <c r="H315" s="207">
        <f>IF(ISNUMBER(VLOOKUP($B:$B,'BS(과거)'!$A:$F,$2:$2,0)),VLOOKUP($B:$B,'BS(과거)'!$A:$F,$2:$2,0),0)</f>
        <v>0</v>
      </c>
      <c r="I315" s="207">
        <f>IF(ISNUMBER(VLOOKUP($B:$B,'BS(과거)'!$A:$F,$2:$2,0)),VLOOKUP($B:$B,'BS(과거)'!$A:$F,$2:$2,0),0)</f>
        <v>0</v>
      </c>
      <c r="J315" s="207">
        <f>IF(ISNUMBER(VLOOKUP($B:$B,'BS(과거)'!$A:$F,$2:$2,0)),VLOOKUP($B:$B,'BS(과거)'!$A:$F,$2:$2,0),0)</f>
        <v>0</v>
      </c>
      <c r="K315" s="207">
        <f>IF(ISNUMBER(VLOOKUP($B:$B,'BS(과거)'!$A:$F,$2:$2,0)),VLOOKUP($B:$B,'BS(과거)'!$A:$F,$2:$2,0),0)</f>
        <v>0</v>
      </c>
      <c r="L315" s="207">
        <f>IF(ISNUMBER(VLOOKUP($B:$B,'BS(과거)'!$A:$F,$2:$2,0)),VLOOKUP($B:$B,'BS(과거)'!$A:$F,$2:$2,0),0)</f>
        <v>0</v>
      </c>
      <c r="N315" s="207">
        <f>IF(ISNUMBER(VLOOKUP($B:$B,'BS(분기)'!$A:$F,$2:$2,0)),VLOOKUP($B:$B,'BS(분기)'!$A:$F,$2:$2,0),0)</f>
        <v>0</v>
      </c>
      <c r="O315" s="207">
        <f>IF(ISNUMBER(VLOOKUP($B:$B,'BS(분기)'!$A:$F,$2:$2,0)),VLOOKUP($B:$B,'BS(분기)'!$A:$F,$2:$2,0),0)</f>
        <v>0</v>
      </c>
      <c r="P315" s="207">
        <f>IF(ISNUMBER(VLOOKUP($B:$B,'BS(분기)'!$A:$F,$2:$2,0)),VLOOKUP($B:$B,'BS(분기)'!$A:$F,$2:$2,0),0)</f>
        <v>0</v>
      </c>
      <c r="Q315" s="207">
        <f>IF(ISNUMBER(VLOOKUP($B:$B,'BS(분기)'!$A:$F,$2:$2,0)),VLOOKUP($B:$B,'BS(분기)'!$A:$F,$2:$2,0),0)</f>
        <v>0</v>
      </c>
      <c r="R315" s="207">
        <f>IF(ISNUMBER(VLOOKUP($B:$B,'BS(분기)'!$A:$F,$2:$2,0)),VLOOKUP($B:$B,'BS(분기)'!$A:$F,$2:$2,0),0)</f>
        <v>0</v>
      </c>
    </row>
    <row r="316" spans="1:18" s="192" customFormat="1" ht="12">
      <c r="A316" s="202">
        <v>113161</v>
      </c>
      <c r="B316" s="195" t="s">
        <v>1085</v>
      </c>
      <c r="C316" s="217">
        <f>IF(ISNUMBER(VLOOKUP($B:$B,BS!$A:$D,$2:$2,0)),VLOOKUP($B:$B,BS!$A:$D,$2:$2,0),0)</f>
        <v>0</v>
      </c>
      <c r="D316" s="217">
        <f>IF(ISNUMBER(VLOOKUP($B:$B,BS!$A:$D,$2:$2,0)),VLOOKUP($B:$B,BS!$A:$D,$2:$2,0),0)</f>
        <v>0</v>
      </c>
      <c r="E316" s="217">
        <f>IF(ISNUMBER(VLOOKUP($B:$B,BS!$A:$D,$2:$2,0)),VLOOKUP($B:$B,BS!$A:$D,$2:$2,0),0)</f>
        <v>0</v>
      </c>
      <c r="F316" s="217">
        <f>IF(ISNUMBER(VLOOKUP($B:$B,BS!$A:$D,$2:$2,0)),VLOOKUP($B:$B,BS!$A:$D,$2:$2,0),0)</f>
        <v>0</v>
      </c>
      <c r="G316" s="217">
        <f>IF(ISNUMBER(VLOOKUP($B:$B,BS!$A:$D,$2:$2,0)),VLOOKUP($B:$B,BS!$A:$D,$2:$2,0),0)</f>
        <v>0</v>
      </c>
      <c r="H316" s="207">
        <f>IF(ISNUMBER(VLOOKUP($B:$B,'BS(과거)'!$A:$F,$2:$2,0)),VLOOKUP($B:$B,'BS(과거)'!$A:$F,$2:$2,0),0)</f>
        <v>0</v>
      </c>
      <c r="I316" s="207">
        <f>IF(ISNUMBER(VLOOKUP($B:$B,'BS(과거)'!$A:$F,$2:$2,0)),VLOOKUP($B:$B,'BS(과거)'!$A:$F,$2:$2,0),0)</f>
        <v>0</v>
      </c>
      <c r="J316" s="207">
        <f>IF(ISNUMBER(VLOOKUP($B:$B,'BS(과거)'!$A:$F,$2:$2,0)),VLOOKUP($B:$B,'BS(과거)'!$A:$F,$2:$2,0),0)</f>
        <v>0</v>
      </c>
      <c r="K316" s="207">
        <f>IF(ISNUMBER(VLOOKUP($B:$B,'BS(과거)'!$A:$F,$2:$2,0)),VLOOKUP($B:$B,'BS(과거)'!$A:$F,$2:$2,0),0)</f>
        <v>0</v>
      </c>
      <c r="L316" s="207">
        <f>IF(ISNUMBER(VLOOKUP($B:$B,'BS(과거)'!$A:$F,$2:$2,0)),VLOOKUP($B:$B,'BS(과거)'!$A:$F,$2:$2,0),0)</f>
        <v>0</v>
      </c>
      <c r="N316" s="207">
        <f>IF(ISNUMBER(VLOOKUP($B:$B,'BS(분기)'!$A:$F,$2:$2,0)),VLOOKUP($B:$B,'BS(분기)'!$A:$F,$2:$2,0),0)</f>
        <v>0</v>
      </c>
      <c r="O316" s="207">
        <f>IF(ISNUMBER(VLOOKUP($B:$B,'BS(분기)'!$A:$F,$2:$2,0)),VLOOKUP($B:$B,'BS(분기)'!$A:$F,$2:$2,0),0)</f>
        <v>0</v>
      </c>
      <c r="P316" s="207">
        <f>IF(ISNUMBER(VLOOKUP($B:$B,'BS(분기)'!$A:$F,$2:$2,0)),VLOOKUP($B:$B,'BS(분기)'!$A:$F,$2:$2,0),0)</f>
        <v>0</v>
      </c>
      <c r="Q316" s="207">
        <f>IF(ISNUMBER(VLOOKUP($B:$B,'BS(분기)'!$A:$F,$2:$2,0)),VLOOKUP($B:$B,'BS(분기)'!$A:$F,$2:$2,0),0)</f>
        <v>0</v>
      </c>
      <c r="R316" s="207">
        <f>IF(ISNUMBER(VLOOKUP($B:$B,'BS(분기)'!$A:$F,$2:$2,0)),VLOOKUP($B:$B,'BS(분기)'!$A:$F,$2:$2,0),0)</f>
        <v>0</v>
      </c>
    </row>
    <row r="317" spans="1:18" s="192" customFormat="1" ht="12">
      <c r="A317" s="202">
        <v>113164</v>
      </c>
      <c r="B317" s="195" t="s">
        <v>1086</v>
      </c>
      <c r="C317" s="217">
        <f>IF(ISNUMBER(VLOOKUP($B:$B,BS!$A:$D,$2:$2,0)),VLOOKUP($B:$B,BS!$A:$D,$2:$2,0),0)</f>
        <v>0</v>
      </c>
      <c r="D317" s="217">
        <f>IF(ISNUMBER(VLOOKUP($B:$B,BS!$A:$D,$2:$2,0)),VLOOKUP($B:$B,BS!$A:$D,$2:$2,0),0)</f>
        <v>0</v>
      </c>
      <c r="E317" s="217">
        <f>IF(ISNUMBER(VLOOKUP($B:$B,BS!$A:$D,$2:$2,0)),VLOOKUP($B:$B,BS!$A:$D,$2:$2,0),0)</f>
        <v>0</v>
      </c>
      <c r="F317" s="217">
        <f>IF(ISNUMBER(VLOOKUP($B:$B,BS!$A:$D,$2:$2,0)),VLOOKUP($B:$B,BS!$A:$D,$2:$2,0),0)</f>
        <v>0</v>
      </c>
      <c r="G317" s="217">
        <f>IF(ISNUMBER(VLOOKUP($B:$B,BS!$A:$D,$2:$2,0)),VLOOKUP($B:$B,BS!$A:$D,$2:$2,0),0)</f>
        <v>0</v>
      </c>
      <c r="H317" s="207">
        <f>IF(ISNUMBER(VLOOKUP($B:$B,'BS(과거)'!$A:$F,$2:$2,0)),VLOOKUP($B:$B,'BS(과거)'!$A:$F,$2:$2,0),0)</f>
        <v>0</v>
      </c>
      <c r="I317" s="207">
        <f>IF(ISNUMBER(VLOOKUP($B:$B,'BS(과거)'!$A:$F,$2:$2,0)),VLOOKUP($B:$B,'BS(과거)'!$A:$F,$2:$2,0),0)</f>
        <v>0</v>
      </c>
      <c r="J317" s="207">
        <f>IF(ISNUMBER(VLOOKUP($B:$B,'BS(과거)'!$A:$F,$2:$2,0)),VLOOKUP($B:$B,'BS(과거)'!$A:$F,$2:$2,0),0)</f>
        <v>0</v>
      </c>
      <c r="K317" s="207">
        <f>IF(ISNUMBER(VLOOKUP($B:$B,'BS(과거)'!$A:$F,$2:$2,0)),VLOOKUP($B:$B,'BS(과거)'!$A:$F,$2:$2,0),0)</f>
        <v>0</v>
      </c>
      <c r="L317" s="207">
        <f>IF(ISNUMBER(VLOOKUP($B:$B,'BS(과거)'!$A:$F,$2:$2,0)),VLOOKUP($B:$B,'BS(과거)'!$A:$F,$2:$2,0),0)</f>
        <v>0</v>
      </c>
      <c r="N317" s="207">
        <f>IF(ISNUMBER(VLOOKUP($B:$B,'BS(분기)'!$A:$F,$2:$2,0)),VLOOKUP($B:$B,'BS(분기)'!$A:$F,$2:$2,0),0)</f>
        <v>0</v>
      </c>
      <c r="O317" s="207">
        <f>IF(ISNUMBER(VLOOKUP($B:$B,'BS(분기)'!$A:$F,$2:$2,0)),VLOOKUP($B:$B,'BS(분기)'!$A:$F,$2:$2,0),0)</f>
        <v>0</v>
      </c>
      <c r="P317" s="207">
        <f>IF(ISNUMBER(VLOOKUP($B:$B,'BS(분기)'!$A:$F,$2:$2,0)),VLOOKUP($B:$B,'BS(분기)'!$A:$F,$2:$2,0),0)</f>
        <v>0</v>
      </c>
      <c r="Q317" s="207">
        <f>IF(ISNUMBER(VLOOKUP($B:$B,'BS(분기)'!$A:$F,$2:$2,0)),VLOOKUP($B:$B,'BS(분기)'!$A:$F,$2:$2,0),0)</f>
        <v>0</v>
      </c>
      <c r="R317" s="207">
        <f>IF(ISNUMBER(VLOOKUP($B:$B,'BS(분기)'!$A:$F,$2:$2,0)),VLOOKUP($B:$B,'BS(분기)'!$A:$F,$2:$2,0),0)</f>
        <v>0</v>
      </c>
    </row>
    <row r="318" spans="1:18" s="192" customFormat="1" ht="12">
      <c r="A318" s="202">
        <v>113165</v>
      </c>
      <c r="B318" s="195" t="s">
        <v>1087</v>
      </c>
      <c r="C318" s="217">
        <f>IF(ISNUMBER(VLOOKUP($B:$B,BS!$A:$D,$2:$2,0)),VLOOKUP($B:$B,BS!$A:$D,$2:$2,0),0)</f>
        <v>0</v>
      </c>
      <c r="D318" s="217">
        <f>IF(ISNUMBER(VLOOKUP($B:$B,BS!$A:$D,$2:$2,0)),VLOOKUP($B:$B,BS!$A:$D,$2:$2,0),0)</f>
        <v>0</v>
      </c>
      <c r="E318" s="217">
        <f>IF(ISNUMBER(VLOOKUP($B:$B,BS!$A:$D,$2:$2,0)),VLOOKUP($B:$B,BS!$A:$D,$2:$2,0),0)</f>
        <v>0</v>
      </c>
      <c r="F318" s="217">
        <f>IF(ISNUMBER(VLOOKUP($B:$B,BS!$A:$D,$2:$2,0)),VLOOKUP($B:$B,BS!$A:$D,$2:$2,0),0)</f>
        <v>0</v>
      </c>
      <c r="G318" s="217">
        <f>IF(ISNUMBER(VLOOKUP($B:$B,BS!$A:$D,$2:$2,0)),VLOOKUP($B:$B,BS!$A:$D,$2:$2,0),0)</f>
        <v>0</v>
      </c>
      <c r="H318" s="207">
        <f>IF(ISNUMBER(VLOOKUP($B:$B,'BS(과거)'!$A:$F,$2:$2,0)),VLOOKUP($B:$B,'BS(과거)'!$A:$F,$2:$2,0),0)</f>
        <v>0</v>
      </c>
      <c r="I318" s="207">
        <f>IF(ISNUMBER(VLOOKUP($B:$B,'BS(과거)'!$A:$F,$2:$2,0)),VLOOKUP($B:$B,'BS(과거)'!$A:$F,$2:$2,0),0)</f>
        <v>0</v>
      </c>
      <c r="J318" s="207">
        <f>IF(ISNUMBER(VLOOKUP($B:$B,'BS(과거)'!$A:$F,$2:$2,0)),VLOOKUP($B:$B,'BS(과거)'!$A:$F,$2:$2,0),0)</f>
        <v>0</v>
      </c>
      <c r="K318" s="207">
        <f>IF(ISNUMBER(VLOOKUP($B:$B,'BS(과거)'!$A:$F,$2:$2,0)),VLOOKUP($B:$B,'BS(과거)'!$A:$F,$2:$2,0),0)</f>
        <v>0</v>
      </c>
      <c r="L318" s="207">
        <f>IF(ISNUMBER(VLOOKUP($B:$B,'BS(과거)'!$A:$F,$2:$2,0)),VLOOKUP($B:$B,'BS(과거)'!$A:$F,$2:$2,0),0)</f>
        <v>0</v>
      </c>
      <c r="N318" s="207">
        <f>IF(ISNUMBER(VLOOKUP($B:$B,'BS(분기)'!$A:$F,$2:$2,0)),VLOOKUP($B:$B,'BS(분기)'!$A:$F,$2:$2,0),0)</f>
        <v>0</v>
      </c>
      <c r="O318" s="207">
        <f>IF(ISNUMBER(VLOOKUP($B:$B,'BS(분기)'!$A:$F,$2:$2,0)),VLOOKUP($B:$B,'BS(분기)'!$A:$F,$2:$2,0),0)</f>
        <v>0</v>
      </c>
      <c r="P318" s="207">
        <f>IF(ISNUMBER(VLOOKUP($B:$B,'BS(분기)'!$A:$F,$2:$2,0)),VLOOKUP($B:$B,'BS(분기)'!$A:$F,$2:$2,0),0)</f>
        <v>0</v>
      </c>
      <c r="Q318" s="207">
        <f>IF(ISNUMBER(VLOOKUP($B:$B,'BS(분기)'!$A:$F,$2:$2,0)),VLOOKUP($B:$B,'BS(분기)'!$A:$F,$2:$2,0),0)</f>
        <v>0</v>
      </c>
      <c r="R318" s="207">
        <f>IF(ISNUMBER(VLOOKUP($B:$B,'BS(분기)'!$A:$F,$2:$2,0)),VLOOKUP($B:$B,'BS(분기)'!$A:$F,$2:$2,0),0)</f>
        <v>0</v>
      </c>
    </row>
    <row r="319" spans="1:18" s="192" customFormat="1" ht="12">
      <c r="A319" s="202">
        <v>113170</v>
      </c>
      <c r="B319" s="195" t="s">
        <v>1088</v>
      </c>
      <c r="C319" s="217">
        <f>IF(ISNUMBER(VLOOKUP($B:$B,BS!$A:$D,$2:$2,0)),VLOOKUP($B:$B,BS!$A:$D,$2:$2,0),0)</f>
        <v>0</v>
      </c>
      <c r="D319" s="217">
        <f>IF(ISNUMBER(VLOOKUP($B:$B,BS!$A:$D,$2:$2,0)),VLOOKUP($B:$B,BS!$A:$D,$2:$2,0),0)</f>
        <v>0</v>
      </c>
      <c r="E319" s="217">
        <f>IF(ISNUMBER(VLOOKUP($B:$B,BS!$A:$D,$2:$2,0)),VLOOKUP($B:$B,BS!$A:$D,$2:$2,0),0)</f>
        <v>0</v>
      </c>
      <c r="F319" s="217">
        <f>IF(ISNUMBER(VLOOKUP($B:$B,BS!$A:$D,$2:$2,0)),VLOOKUP($B:$B,BS!$A:$D,$2:$2,0),0)</f>
        <v>0</v>
      </c>
      <c r="G319" s="217">
        <f>IF(ISNUMBER(VLOOKUP($B:$B,BS!$A:$D,$2:$2,0)),VLOOKUP($B:$B,BS!$A:$D,$2:$2,0),0)</f>
        <v>0</v>
      </c>
      <c r="H319" s="207">
        <f>IF(ISNUMBER(VLOOKUP($B:$B,'BS(과거)'!$A:$F,$2:$2,0)),VLOOKUP($B:$B,'BS(과거)'!$A:$F,$2:$2,0),0)</f>
        <v>0</v>
      </c>
      <c r="I319" s="207">
        <f>IF(ISNUMBER(VLOOKUP($B:$B,'BS(과거)'!$A:$F,$2:$2,0)),VLOOKUP($B:$B,'BS(과거)'!$A:$F,$2:$2,0),0)</f>
        <v>0</v>
      </c>
      <c r="J319" s="207">
        <f>IF(ISNUMBER(VLOOKUP($B:$B,'BS(과거)'!$A:$F,$2:$2,0)),VLOOKUP($B:$B,'BS(과거)'!$A:$F,$2:$2,0),0)</f>
        <v>0</v>
      </c>
      <c r="K319" s="207">
        <f>IF(ISNUMBER(VLOOKUP($B:$B,'BS(과거)'!$A:$F,$2:$2,0)),VLOOKUP($B:$B,'BS(과거)'!$A:$F,$2:$2,0),0)</f>
        <v>0</v>
      </c>
      <c r="L319" s="207">
        <f>IF(ISNUMBER(VLOOKUP($B:$B,'BS(과거)'!$A:$F,$2:$2,0)),VLOOKUP($B:$B,'BS(과거)'!$A:$F,$2:$2,0),0)</f>
        <v>0</v>
      </c>
      <c r="N319" s="207">
        <f>IF(ISNUMBER(VLOOKUP($B:$B,'BS(분기)'!$A:$F,$2:$2,0)),VLOOKUP($B:$B,'BS(분기)'!$A:$F,$2:$2,0),0)</f>
        <v>0</v>
      </c>
      <c r="O319" s="207">
        <f>IF(ISNUMBER(VLOOKUP($B:$B,'BS(분기)'!$A:$F,$2:$2,0)),VLOOKUP($B:$B,'BS(분기)'!$A:$F,$2:$2,0),0)</f>
        <v>0</v>
      </c>
      <c r="P319" s="207">
        <f>IF(ISNUMBER(VLOOKUP($B:$B,'BS(분기)'!$A:$F,$2:$2,0)),VLOOKUP($B:$B,'BS(분기)'!$A:$F,$2:$2,0),0)</f>
        <v>0</v>
      </c>
      <c r="Q319" s="207">
        <f>IF(ISNUMBER(VLOOKUP($B:$B,'BS(분기)'!$A:$F,$2:$2,0)),VLOOKUP($B:$B,'BS(분기)'!$A:$F,$2:$2,0),0)</f>
        <v>0</v>
      </c>
      <c r="R319" s="207">
        <f>IF(ISNUMBER(VLOOKUP($B:$B,'BS(분기)'!$A:$F,$2:$2,0)),VLOOKUP($B:$B,'BS(분기)'!$A:$F,$2:$2,0),0)</f>
        <v>0</v>
      </c>
    </row>
    <row r="320" spans="1:18" s="192" customFormat="1" ht="12">
      <c r="A320" s="202">
        <v>113172</v>
      </c>
      <c r="B320" s="195" t="s">
        <v>1089</v>
      </c>
      <c r="C320" s="217">
        <f>IF(ISNUMBER(VLOOKUP($B:$B,BS!$A:$D,$2:$2,0)),VLOOKUP($B:$B,BS!$A:$D,$2:$2,0),0)</f>
        <v>0</v>
      </c>
      <c r="D320" s="217">
        <f>IF(ISNUMBER(VLOOKUP($B:$B,BS!$A:$D,$2:$2,0)),VLOOKUP($B:$B,BS!$A:$D,$2:$2,0),0)</f>
        <v>0</v>
      </c>
      <c r="E320" s="217">
        <f>IF(ISNUMBER(VLOOKUP($B:$B,BS!$A:$D,$2:$2,0)),VLOOKUP($B:$B,BS!$A:$D,$2:$2,0),0)</f>
        <v>0</v>
      </c>
      <c r="F320" s="217">
        <f>IF(ISNUMBER(VLOOKUP($B:$B,BS!$A:$D,$2:$2,0)),VLOOKUP($B:$B,BS!$A:$D,$2:$2,0),0)</f>
        <v>0</v>
      </c>
      <c r="G320" s="217">
        <f>IF(ISNUMBER(VLOOKUP($B:$B,BS!$A:$D,$2:$2,0)),VLOOKUP($B:$B,BS!$A:$D,$2:$2,0),0)</f>
        <v>0</v>
      </c>
      <c r="H320" s="207">
        <f>IF(ISNUMBER(VLOOKUP($B:$B,'BS(과거)'!$A:$F,$2:$2,0)),VLOOKUP($B:$B,'BS(과거)'!$A:$F,$2:$2,0),0)</f>
        <v>0</v>
      </c>
      <c r="I320" s="207">
        <f>IF(ISNUMBER(VLOOKUP($B:$B,'BS(과거)'!$A:$F,$2:$2,0)),VLOOKUP($B:$B,'BS(과거)'!$A:$F,$2:$2,0),0)</f>
        <v>0</v>
      </c>
      <c r="J320" s="207">
        <f>IF(ISNUMBER(VLOOKUP($B:$B,'BS(과거)'!$A:$F,$2:$2,0)),VLOOKUP($B:$B,'BS(과거)'!$A:$F,$2:$2,0),0)</f>
        <v>0</v>
      </c>
      <c r="K320" s="207">
        <f>IF(ISNUMBER(VLOOKUP($B:$B,'BS(과거)'!$A:$F,$2:$2,0)),VLOOKUP($B:$B,'BS(과거)'!$A:$F,$2:$2,0),0)</f>
        <v>0</v>
      </c>
      <c r="L320" s="207">
        <f>IF(ISNUMBER(VLOOKUP($B:$B,'BS(과거)'!$A:$F,$2:$2,0)),VLOOKUP($B:$B,'BS(과거)'!$A:$F,$2:$2,0),0)</f>
        <v>0</v>
      </c>
      <c r="N320" s="207">
        <f>IF(ISNUMBER(VLOOKUP($B:$B,'BS(분기)'!$A:$F,$2:$2,0)),VLOOKUP($B:$B,'BS(분기)'!$A:$F,$2:$2,0),0)</f>
        <v>0</v>
      </c>
      <c r="O320" s="207">
        <f>IF(ISNUMBER(VLOOKUP($B:$B,'BS(분기)'!$A:$F,$2:$2,0)),VLOOKUP($B:$B,'BS(분기)'!$A:$F,$2:$2,0),0)</f>
        <v>0</v>
      </c>
      <c r="P320" s="207">
        <f>IF(ISNUMBER(VLOOKUP($B:$B,'BS(분기)'!$A:$F,$2:$2,0)),VLOOKUP($B:$B,'BS(분기)'!$A:$F,$2:$2,0),0)</f>
        <v>0</v>
      </c>
      <c r="Q320" s="207">
        <f>IF(ISNUMBER(VLOOKUP($B:$B,'BS(분기)'!$A:$F,$2:$2,0)),VLOOKUP($B:$B,'BS(분기)'!$A:$F,$2:$2,0),0)</f>
        <v>0</v>
      </c>
      <c r="R320" s="207">
        <f>IF(ISNUMBER(VLOOKUP($B:$B,'BS(분기)'!$A:$F,$2:$2,0)),VLOOKUP($B:$B,'BS(분기)'!$A:$F,$2:$2,0),0)</f>
        <v>0</v>
      </c>
    </row>
    <row r="321" spans="1:18" s="192" customFormat="1" ht="12">
      <c r="A321" s="202">
        <v>113173</v>
      </c>
      <c r="B321" s="195" t="s">
        <v>1090</v>
      </c>
      <c r="C321" s="217">
        <f>IF(ISNUMBER(VLOOKUP($B:$B,BS!$A:$D,$2:$2,0)),VLOOKUP($B:$B,BS!$A:$D,$2:$2,0),0)</f>
        <v>0</v>
      </c>
      <c r="D321" s="217">
        <f>IF(ISNUMBER(VLOOKUP($B:$B,BS!$A:$D,$2:$2,0)),VLOOKUP($B:$B,BS!$A:$D,$2:$2,0),0)</f>
        <v>0</v>
      </c>
      <c r="E321" s="217">
        <f>IF(ISNUMBER(VLOOKUP($B:$B,BS!$A:$D,$2:$2,0)),VLOOKUP($B:$B,BS!$A:$D,$2:$2,0),0)</f>
        <v>0</v>
      </c>
      <c r="F321" s="217">
        <f>IF(ISNUMBER(VLOOKUP($B:$B,BS!$A:$D,$2:$2,0)),VLOOKUP($B:$B,BS!$A:$D,$2:$2,0),0)</f>
        <v>0</v>
      </c>
      <c r="G321" s="217">
        <f>IF(ISNUMBER(VLOOKUP($B:$B,BS!$A:$D,$2:$2,0)),VLOOKUP($B:$B,BS!$A:$D,$2:$2,0),0)</f>
        <v>0</v>
      </c>
      <c r="H321" s="207">
        <f>IF(ISNUMBER(VLOOKUP($B:$B,'BS(과거)'!$A:$F,$2:$2,0)),VLOOKUP($B:$B,'BS(과거)'!$A:$F,$2:$2,0),0)</f>
        <v>0</v>
      </c>
      <c r="I321" s="207">
        <f>IF(ISNUMBER(VLOOKUP($B:$B,'BS(과거)'!$A:$F,$2:$2,0)),VLOOKUP($B:$B,'BS(과거)'!$A:$F,$2:$2,0),0)</f>
        <v>0</v>
      </c>
      <c r="J321" s="207">
        <f>IF(ISNUMBER(VLOOKUP($B:$B,'BS(과거)'!$A:$F,$2:$2,0)),VLOOKUP($B:$B,'BS(과거)'!$A:$F,$2:$2,0),0)</f>
        <v>0</v>
      </c>
      <c r="K321" s="207">
        <f>IF(ISNUMBER(VLOOKUP($B:$B,'BS(과거)'!$A:$F,$2:$2,0)),VLOOKUP($B:$B,'BS(과거)'!$A:$F,$2:$2,0),0)</f>
        <v>0</v>
      </c>
      <c r="L321" s="207">
        <f>IF(ISNUMBER(VLOOKUP($B:$B,'BS(과거)'!$A:$F,$2:$2,0)),VLOOKUP($B:$B,'BS(과거)'!$A:$F,$2:$2,0),0)</f>
        <v>0</v>
      </c>
      <c r="N321" s="207">
        <f>IF(ISNUMBER(VLOOKUP($B:$B,'BS(분기)'!$A:$F,$2:$2,0)),VLOOKUP($B:$B,'BS(분기)'!$A:$F,$2:$2,0),0)</f>
        <v>0</v>
      </c>
      <c r="O321" s="207">
        <f>IF(ISNUMBER(VLOOKUP($B:$B,'BS(분기)'!$A:$F,$2:$2,0)),VLOOKUP($B:$B,'BS(분기)'!$A:$F,$2:$2,0),0)</f>
        <v>0</v>
      </c>
      <c r="P321" s="207">
        <f>IF(ISNUMBER(VLOOKUP($B:$B,'BS(분기)'!$A:$F,$2:$2,0)),VLOOKUP($B:$B,'BS(분기)'!$A:$F,$2:$2,0),0)</f>
        <v>0</v>
      </c>
      <c r="Q321" s="207">
        <f>IF(ISNUMBER(VLOOKUP($B:$B,'BS(분기)'!$A:$F,$2:$2,0)),VLOOKUP($B:$B,'BS(분기)'!$A:$F,$2:$2,0),0)</f>
        <v>0</v>
      </c>
      <c r="R321" s="207">
        <f>IF(ISNUMBER(VLOOKUP($B:$B,'BS(분기)'!$A:$F,$2:$2,0)),VLOOKUP($B:$B,'BS(분기)'!$A:$F,$2:$2,0),0)</f>
        <v>0</v>
      </c>
    </row>
    <row r="322" spans="1:18" s="192" customFormat="1" ht="12">
      <c r="A322" s="202">
        <v>113171</v>
      </c>
      <c r="B322" s="195" t="s">
        <v>1091</v>
      </c>
      <c r="C322" s="217">
        <f>IF(ISNUMBER(VLOOKUP($B:$B,BS!$A:$D,$2:$2,0)),VLOOKUP($B:$B,BS!$A:$D,$2:$2,0),0)</f>
        <v>0</v>
      </c>
      <c r="D322" s="217">
        <f>IF(ISNUMBER(VLOOKUP($B:$B,BS!$A:$D,$2:$2,0)),VLOOKUP($B:$B,BS!$A:$D,$2:$2,0),0)</f>
        <v>0</v>
      </c>
      <c r="E322" s="217">
        <f>IF(ISNUMBER(VLOOKUP($B:$B,BS!$A:$D,$2:$2,0)),VLOOKUP($B:$B,BS!$A:$D,$2:$2,0),0)</f>
        <v>0</v>
      </c>
      <c r="F322" s="217">
        <f>IF(ISNUMBER(VLOOKUP($B:$B,BS!$A:$D,$2:$2,0)),VLOOKUP($B:$B,BS!$A:$D,$2:$2,0),0)</f>
        <v>0</v>
      </c>
      <c r="G322" s="217">
        <f>IF(ISNUMBER(VLOOKUP($B:$B,BS!$A:$D,$2:$2,0)),VLOOKUP($B:$B,BS!$A:$D,$2:$2,0),0)</f>
        <v>0</v>
      </c>
      <c r="H322" s="207">
        <f>IF(ISNUMBER(VLOOKUP($B:$B,'BS(과거)'!$A:$F,$2:$2,0)),VLOOKUP($B:$B,'BS(과거)'!$A:$F,$2:$2,0),0)</f>
        <v>0</v>
      </c>
      <c r="I322" s="207">
        <f>IF(ISNUMBER(VLOOKUP($B:$B,'BS(과거)'!$A:$F,$2:$2,0)),VLOOKUP($B:$B,'BS(과거)'!$A:$F,$2:$2,0),0)</f>
        <v>0</v>
      </c>
      <c r="J322" s="207">
        <f>IF(ISNUMBER(VLOOKUP($B:$B,'BS(과거)'!$A:$F,$2:$2,0)),VLOOKUP($B:$B,'BS(과거)'!$A:$F,$2:$2,0),0)</f>
        <v>0</v>
      </c>
      <c r="K322" s="207">
        <f>IF(ISNUMBER(VLOOKUP($B:$B,'BS(과거)'!$A:$F,$2:$2,0)),VLOOKUP($B:$B,'BS(과거)'!$A:$F,$2:$2,0),0)</f>
        <v>0</v>
      </c>
      <c r="L322" s="207">
        <f>IF(ISNUMBER(VLOOKUP($B:$B,'BS(과거)'!$A:$F,$2:$2,0)),VLOOKUP($B:$B,'BS(과거)'!$A:$F,$2:$2,0),0)</f>
        <v>0</v>
      </c>
      <c r="N322" s="207">
        <f>IF(ISNUMBER(VLOOKUP($B:$B,'BS(분기)'!$A:$F,$2:$2,0)),VLOOKUP($B:$B,'BS(분기)'!$A:$F,$2:$2,0),0)</f>
        <v>0</v>
      </c>
      <c r="O322" s="207">
        <f>IF(ISNUMBER(VLOOKUP($B:$B,'BS(분기)'!$A:$F,$2:$2,0)),VLOOKUP($B:$B,'BS(분기)'!$A:$F,$2:$2,0),0)</f>
        <v>0</v>
      </c>
      <c r="P322" s="207">
        <f>IF(ISNUMBER(VLOOKUP($B:$B,'BS(분기)'!$A:$F,$2:$2,0)),VLOOKUP($B:$B,'BS(분기)'!$A:$F,$2:$2,0),0)</f>
        <v>0</v>
      </c>
      <c r="Q322" s="207">
        <f>IF(ISNUMBER(VLOOKUP($B:$B,'BS(분기)'!$A:$F,$2:$2,0)),VLOOKUP($B:$B,'BS(분기)'!$A:$F,$2:$2,0),0)</f>
        <v>0</v>
      </c>
      <c r="R322" s="207">
        <f>IF(ISNUMBER(VLOOKUP($B:$B,'BS(분기)'!$A:$F,$2:$2,0)),VLOOKUP($B:$B,'BS(분기)'!$A:$F,$2:$2,0),0)</f>
        <v>0</v>
      </c>
    </row>
    <row r="323" spans="1:18" s="192" customFormat="1" ht="12">
      <c r="A323" s="202">
        <v>113174</v>
      </c>
      <c r="B323" s="195" t="s">
        <v>1092</v>
      </c>
      <c r="C323" s="217">
        <f>IF(ISNUMBER(VLOOKUP($B:$B,BS!$A:$D,$2:$2,0)),VLOOKUP($B:$B,BS!$A:$D,$2:$2,0),0)</f>
        <v>0</v>
      </c>
      <c r="D323" s="217">
        <f>IF(ISNUMBER(VLOOKUP($B:$B,BS!$A:$D,$2:$2,0)),VLOOKUP($B:$B,BS!$A:$D,$2:$2,0),0)</f>
        <v>0</v>
      </c>
      <c r="E323" s="217">
        <f>IF(ISNUMBER(VLOOKUP($B:$B,BS!$A:$D,$2:$2,0)),VLOOKUP($B:$B,BS!$A:$D,$2:$2,0),0)</f>
        <v>0</v>
      </c>
      <c r="F323" s="217">
        <f>IF(ISNUMBER(VLOOKUP($B:$B,BS!$A:$D,$2:$2,0)),VLOOKUP($B:$B,BS!$A:$D,$2:$2,0),0)</f>
        <v>0</v>
      </c>
      <c r="G323" s="217">
        <f>IF(ISNUMBER(VLOOKUP($B:$B,BS!$A:$D,$2:$2,0)),VLOOKUP($B:$B,BS!$A:$D,$2:$2,0),0)</f>
        <v>0</v>
      </c>
      <c r="H323" s="207">
        <f>IF(ISNUMBER(VLOOKUP($B:$B,'BS(과거)'!$A:$F,$2:$2,0)),VLOOKUP($B:$B,'BS(과거)'!$A:$F,$2:$2,0),0)</f>
        <v>0</v>
      </c>
      <c r="I323" s="207">
        <f>IF(ISNUMBER(VLOOKUP($B:$B,'BS(과거)'!$A:$F,$2:$2,0)),VLOOKUP($B:$B,'BS(과거)'!$A:$F,$2:$2,0),0)</f>
        <v>0</v>
      </c>
      <c r="J323" s="207">
        <f>IF(ISNUMBER(VLOOKUP($B:$B,'BS(과거)'!$A:$F,$2:$2,0)),VLOOKUP($B:$B,'BS(과거)'!$A:$F,$2:$2,0),0)</f>
        <v>0</v>
      </c>
      <c r="K323" s="207">
        <f>IF(ISNUMBER(VLOOKUP($B:$B,'BS(과거)'!$A:$F,$2:$2,0)),VLOOKUP($B:$B,'BS(과거)'!$A:$F,$2:$2,0),0)</f>
        <v>0</v>
      </c>
      <c r="L323" s="207">
        <f>IF(ISNUMBER(VLOOKUP($B:$B,'BS(과거)'!$A:$F,$2:$2,0)),VLOOKUP($B:$B,'BS(과거)'!$A:$F,$2:$2,0),0)</f>
        <v>0</v>
      </c>
      <c r="N323" s="207">
        <f>IF(ISNUMBER(VLOOKUP($B:$B,'BS(분기)'!$A:$F,$2:$2,0)),VLOOKUP($B:$B,'BS(분기)'!$A:$F,$2:$2,0),0)</f>
        <v>0</v>
      </c>
      <c r="O323" s="207">
        <f>IF(ISNUMBER(VLOOKUP($B:$B,'BS(분기)'!$A:$F,$2:$2,0)),VLOOKUP($B:$B,'BS(분기)'!$A:$F,$2:$2,0),0)</f>
        <v>0</v>
      </c>
      <c r="P323" s="207">
        <f>IF(ISNUMBER(VLOOKUP($B:$B,'BS(분기)'!$A:$F,$2:$2,0)),VLOOKUP($B:$B,'BS(분기)'!$A:$F,$2:$2,0),0)</f>
        <v>0</v>
      </c>
      <c r="Q323" s="207">
        <f>IF(ISNUMBER(VLOOKUP($B:$B,'BS(분기)'!$A:$F,$2:$2,0)),VLOOKUP($B:$B,'BS(분기)'!$A:$F,$2:$2,0),0)</f>
        <v>0</v>
      </c>
      <c r="R323" s="207">
        <f>IF(ISNUMBER(VLOOKUP($B:$B,'BS(분기)'!$A:$F,$2:$2,0)),VLOOKUP($B:$B,'BS(분기)'!$A:$F,$2:$2,0),0)</f>
        <v>0</v>
      </c>
    </row>
    <row r="324" spans="1:18" s="192" customFormat="1" ht="12">
      <c r="A324" s="202">
        <v>113175</v>
      </c>
      <c r="B324" s="195" t="s">
        <v>1093</v>
      </c>
      <c r="C324" s="217">
        <f>IF(ISNUMBER(VLOOKUP($B:$B,BS!$A:$D,$2:$2,0)),VLOOKUP($B:$B,BS!$A:$D,$2:$2,0),0)</f>
        <v>0</v>
      </c>
      <c r="D324" s="217">
        <f>IF(ISNUMBER(VLOOKUP($B:$B,BS!$A:$D,$2:$2,0)),VLOOKUP($B:$B,BS!$A:$D,$2:$2,0),0)</f>
        <v>0</v>
      </c>
      <c r="E324" s="217">
        <f>IF(ISNUMBER(VLOOKUP($B:$B,BS!$A:$D,$2:$2,0)),VLOOKUP($B:$B,BS!$A:$D,$2:$2,0),0)</f>
        <v>0</v>
      </c>
      <c r="F324" s="217">
        <f>IF(ISNUMBER(VLOOKUP($B:$B,BS!$A:$D,$2:$2,0)),VLOOKUP($B:$B,BS!$A:$D,$2:$2,0),0)</f>
        <v>0</v>
      </c>
      <c r="G324" s="217">
        <f>IF(ISNUMBER(VLOOKUP($B:$B,BS!$A:$D,$2:$2,0)),VLOOKUP($B:$B,BS!$A:$D,$2:$2,0),0)</f>
        <v>0</v>
      </c>
      <c r="H324" s="207">
        <f>IF(ISNUMBER(VLOOKUP($B:$B,'BS(과거)'!$A:$F,$2:$2,0)),VLOOKUP($B:$B,'BS(과거)'!$A:$F,$2:$2,0),0)</f>
        <v>0</v>
      </c>
      <c r="I324" s="207">
        <f>IF(ISNUMBER(VLOOKUP($B:$B,'BS(과거)'!$A:$F,$2:$2,0)),VLOOKUP($B:$B,'BS(과거)'!$A:$F,$2:$2,0),0)</f>
        <v>0</v>
      </c>
      <c r="J324" s="207">
        <f>IF(ISNUMBER(VLOOKUP($B:$B,'BS(과거)'!$A:$F,$2:$2,0)),VLOOKUP($B:$B,'BS(과거)'!$A:$F,$2:$2,0),0)</f>
        <v>0</v>
      </c>
      <c r="K324" s="207">
        <f>IF(ISNUMBER(VLOOKUP($B:$B,'BS(과거)'!$A:$F,$2:$2,0)),VLOOKUP($B:$B,'BS(과거)'!$A:$F,$2:$2,0),0)</f>
        <v>0</v>
      </c>
      <c r="L324" s="207">
        <f>IF(ISNUMBER(VLOOKUP($B:$B,'BS(과거)'!$A:$F,$2:$2,0)),VLOOKUP($B:$B,'BS(과거)'!$A:$F,$2:$2,0),0)</f>
        <v>0</v>
      </c>
      <c r="N324" s="207">
        <f>IF(ISNUMBER(VLOOKUP($B:$B,'BS(분기)'!$A:$F,$2:$2,0)),VLOOKUP($B:$B,'BS(분기)'!$A:$F,$2:$2,0),0)</f>
        <v>0</v>
      </c>
      <c r="O324" s="207">
        <f>IF(ISNUMBER(VLOOKUP($B:$B,'BS(분기)'!$A:$F,$2:$2,0)),VLOOKUP($B:$B,'BS(분기)'!$A:$F,$2:$2,0),0)</f>
        <v>0</v>
      </c>
      <c r="P324" s="207">
        <f>IF(ISNUMBER(VLOOKUP($B:$B,'BS(분기)'!$A:$F,$2:$2,0)),VLOOKUP($B:$B,'BS(분기)'!$A:$F,$2:$2,0),0)</f>
        <v>0</v>
      </c>
      <c r="Q324" s="207">
        <f>IF(ISNUMBER(VLOOKUP($B:$B,'BS(분기)'!$A:$F,$2:$2,0)),VLOOKUP($B:$B,'BS(분기)'!$A:$F,$2:$2,0),0)</f>
        <v>0</v>
      </c>
      <c r="R324" s="207">
        <f>IF(ISNUMBER(VLOOKUP($B:$B,'BS(분기)'!$A:$F,$2:$2,0)),VLOOKUP($B:$B,'BS(분기)'!$A:$F,$2:$2,0),0)</f>
        <v>0</v>
      </c>
    </row>
    <row r="325" spans="1:18" s="192" customFormat="1" ht="12">
      <c r="A325" s="202">
        <v>113180</v>
      </c>
      <c r="B325" s="195" t="s">
        <v>1094</v>
      </c>
      <c r="C325" s="217">
        <f>IF(ISNUMBER(VLOOKUP($B:$B,BS!$A:$D,$2:$2,0)),VLOOKUP($B:$B,BS!$A:$D,$2:$2,0),0)</f>
        <v>0</v>
      </c>
      <c r="D325" s="217">
        <f>IF(ISNUMBER(VLOOKUP($B:$B,BS!$A:$D,$2:$2,0)),VLOOKUP($B:$B,BS!$A:$D,$2:$2,0),0)</f>
        <v>0</v>
      </c>
      <c r="E325" s="217">
        <f>IF(ISNUMBER(VLOOKUP($B:$B,BS!$A:$D,$2:$2,0)),VLOOKUP($B:$B,BS!$A:$D,$2:$2,0),0)</f>
        <v>0</v>
      </c>
      <c r="F325" s="217">
        <f>IF(ISNUMBER(VLOOKUP($B:$B,BS!$A:$D,$2:$2,0)),VLOOKUP($B:$B,BS!$A:$D,$2:$2,0),0)</f>
        <v>0</v>
      </c>
      <c r="G325" s="217">
        <f>IF(ISNUMBER(VLOOKUP($B:$B,BS!$A:$D,$2:$2,0)),VLOOKUP($B:$B,BS!$A:$D,$2:$2,0),0)</f>
        <v>0</v>
      </c>
      <c r="H325" s="207">
        <f>IF(ISNUMBER(VLOOKUP($B:$B,'BS(과거)'!$A:$F,$2:$2,0)),VLOOKUP($B:$B,'BS(과거)'!$A:$F,$2:$2,0),0)</f>
        <v>0</v>
      </c>
      <c r="I325" s="207">
        <f>IF(ISNUMBER(VLOOKUP($B:$B,'BS(과거)'!$A:$F,$2:$2,0)),VLOOKUP($B:$B,'BS(과거)'!$A:$F,$2:$2,0),0)</f>
        <v>0</v>
      </c>
      <c r="J325" s="207">
        <f>IF(ISNUMBER(VLOOKUP($B:$B,'BS(과거)'!$A:$F,$2:$2,0)),VLOOKUP($B:$B,'BS(과거)'!$A:$F,$2:$2,0),0)</f>
        <v>0</v>
      </c>
      <c r="K325" s="207">
        <f>IF(ISNUMBER(VLOOKUP($B:$B,'BS(과거)'!$A:$F,$2:$2,0)),VLOOKUP($B:$B,'BS(과거)'!$A:$F,$2:$2,0),0)</f>
        <v>0</v>
      </c>
      <c r="L325" s="207">
        <f>IF(ISNUMBER(VLOOKUP($B:$B,'BS(과거)'!$A:$F,$2:$2,0)),VLOOKUP($B:$B,'BS(과거)'!$A:$F,$2:$2,0),0)</f>
        <v>0</v>
      </c>
      <c r="N325" s="207">
        <f>IF(ISNUMBER(VLOOKUP($B:$B,'BS(분기)'!$A:$F,$2:$2,0)),VLOOKUP($B:$B,'BS(분기)'!$A:$F,$2:$2,0),0)</f>
        <v>0</v>
      </c>
      <c r="O325" s="207">
        <f>IF(ISNUMBER(VLOOKUP($B:$B,'BS(분기)'!$A:$F,$2:$2,0)),VLOOKUP($B:$B,'BS(분기)'!$A:$F,$2:$2,0),0)</f>
        <v>0</v>
      </c>
      <c r="P325" s="207">
        <f>IF(ISNUMBER(VLOOKUP($B:$B,'BS(분기)'!$A:$F,$2:$2,0)),VLOOKUP($B:$B,'BS(분기)'!$A:$F,$2:$2,0),0)</f>
        <v>0</v>
      </c>
      <c r="Q325" s="207">
        <f>IF(ISNUMBER(VLOOKUP($B:$B,'BS(분기)'!$A:$F,$2:$2,0)),VLOOKUP($B:$B,'BS(분기)'!$A:$F,$2:$2,0),0)</f>
        <v>0</v>
      </c>
      <c r="R325" s="207">
        <f>IF(ISNUMBER(VLOOKUP($B:$B,'BS(분기)'!$A:$F,$2:$2,0)),VLOOKUP($B:$B,'BS(분기)'!$A:$F,$2:$2,0),0)</f>
        <v>0</v>
      </c>
    </row>
    <row r="326" spans="1:18" s="192" customFormat="1" ht="12">
      <c r="A326" s="202">
        <v>113184</v>
      </c>
      <c r="B326" s="195" t="s">
        <v>1095</v>
      </c>
      <c r="C326" s="217">
        <f>IF(ISNUMBER(VLOOKUP($B:$B,BS!$A:$D,$2:$2,0)),VLOOKUP($B:$B,BS!$A:$D,$2:$2,0),0)</f>
        <v>0</v>
      </c>
      <c r="D326" s="217">
        <f>IF(ISNUMBER(VLOOKUP($B:$B,BS!$A:$D,$2:$2,0)),VLOOKUP($B:$B,BS!$A:$D,$2:$2,0),0)</f>
        <v>0</v>
      </c>
      <c r="E326" s="217">
        <f>IF(ISNUMBER(VLOOKUP($B:$B,BS!$A:$D,$2:$2,0)),VLOOKUP($B:$B,BS!$A:$D,$2:$2,0),0)</f>
        <v>0</v>
      </c>
      <c r="F326" s="217">
        <f>IF(ISNUMBER(VLOOKUP($B:$B,BS!$A:$D,$2:$2,0)),VLOOKUP($B:$B,BS!$A:$D,$2:$2,0),0)</f>
        <v>0</v>
      </c>
      <c r="G326" s="217">
        <f>IF(ISNUMBER(VLOOKUP($B:$B,BS!$A:$D,$2:$2,0)),VLOOKUP($B:$B,BS!$A:$D,$2:$2,0),0)</f>
        <v>0</v>
      </c>
      <c r="H326" s="207">
        <f>IF(ISNUMBER(VLOOKUP($B:$B,'BS(과거)'!$A:$F,$2:$2,0)),VLOOKUP($B:$B,'BS(과거)'!$A:$F,$2:$2,0),0)</f>
        <v>0</v>
      </c>
      <c r="I326" s="207">
        <f>IF(ISNUMBER(VLOOKUP($B:$B,'BS(과거)'!$A:$F,$2:$2,0)),VLOOKUP($B:$B,'BS(과거)'!$A:$F,$2:$2,0),0)</f>
        <v>0</v>
      </c>
      <c r="J326" s="207">
        <f>IF(ISNUMBER(VLOOKUP($B:$B,'BS(과거)'!$A:$F,$2:$2,0)),VLOOKUP($B:$B,'BS(과거)'!$A:$F,$2:$2,0),0)</f>
        <v>0</v>
      </c>
      <c r="K326" s="207">
        <f>IF(ISNUMBER(VLOOKUP($B:$B,'BS(과거)'!$A:$F,$2:$2,0)),VLOOKUP($B:$B,'BS(과거)'!$A:$F,$2:$2,0),0)</f>
        <v>0</v>
      </c>
      <c r="L326" s="207">
        <f>IF(ISNUMBER(VLOOKUP($B:$B,'BS(과거)'!$A:$F,$2:$2,0)),VLOOKUP($B:$B,'BS(과거)'!$A:$F,$2:$2,0),0)</f>
        <v>0</v>
      </c>
      <c r="N326" s="207">
        <f>IF(ISNUMBER(VLOOKUP($B:$B,'BS(분기)'!$A:$F,$2:$2,0)),VLOOKUP($B:$B,'BS(분기)'!$A:$F,$2:$2,0),0)</f>
        <v>0</v>
      </c>
      <c r="O326" s="207">
        <f>IF(ISNUMBER(VLOOKUP($B:$B,'BS(분기)'!$A:$F,$2:$2,0)),VLOOKUP($B:$B,'BS(분기)'!$A:$F,$2:$2,0),0)</f>
        <v>0</v>
      </c>
      <c r="P326" s="207">
        <f>IF(ISNUMBER(VLOOKUP($B:$B,'BS(분기)'!$A:$F,$2:$2,0)),VLOOKUP($B:$B,'BS(분기)'!$A:$F,$2:$2,0),0)</f>
        <v>0</v>
      </c>
      <c r="Q326" s="207">
        <f>IF(ISNUMBER(VLOOKUP($B:$B,'BS(분기)'!$A:$F,$2:$2,0)),VLOOKUP($B:$B,'BS(분기)'!$A:$F,$2:$2,0),0)</f>
        <v>0</v>
      </c>
      <c r="R326" s="207">
        <f>IF(ISNUMBER(VLOOKUP($B:$B,'BS(분기)'!$A:$F,$2:$2,0)),VLOOKUP($B:$B,'BS(분기)'!$A:$F,$2:$2,0),0)</f>
        <v>0</v>
      </c>
    </row>
    <row r="327" spans="1:18" s="192" customFormat="1" ht="12">
      <c r="A327" s="202">
        <v>113185</v>
      </c>
      <c r="B327" s="195" t="s">
        <v>1096</v>
      </c>
      <c r="C327" s="217">
        <f>IF(ISNUMBER(VLOOKUP($B:$B,BS!$A:$D,$2:$2,0)),VLOOKUP($B:$B,BS!$A:$D,$2:$2,0),0)</f>
        <v>0</v>
      </c>
      <c r="D327" s="217">
        <f>IF(ISNUMBER(VLOOKUP($B:$B,BS!$A:$D,$2:$2,0)),VLOOKUP($B:$B,BS!$A:$D,$2:$2,0),0)</f>
        <v>0</v>
      </c>
      <c r="E327" s="217">
        <f>IF(ISNUMBER(VLOOKUP($B:$B,BS!$A:$D,$2:$2,0)),VLOOKUP($B:$B,BS!$A:$D,$2:$2,0),0)</f>
        <v>0</v>
      </c>
      <c r="F327" s="217">
        <f>IF(ISNUMBER(VLOOKUP($B:$B,BS!$A:$D,$2:$2,0)),VLOOKUP($B:$B,BS!$A:$D,$2:$2,0),0)</f>
        <v>0</v>
      </c>
      <c r="G327" s="217">
        <f>IF(ISNUMBER(VLOOKUP($B:$B,BS!$A:$D,$2:$2,0)),VLOOKUP($B:$B,BS!$A:$D,$2:$2,0),0)</f>
        <v>0</v>
      </c>
      <c r="H327" s="207">
        <f>IF(ISNUMBER(VLOOKUP($B:$B,'BS(과거)'!$A:$F,$2:$2,0)),VLOOKUP($B:$B,'BS(과거)'!$A:$F,$2:$2,0),0)</f>
        <v>0</v>
      </c>
      <c r="I327" s="207">
        <f>IF(ISNUMBER(VLOOKUP($B:$B,'BS(과거)'!$A:$F,$2:$2,0)),VLOOKUP($B:$B,'BS(과거)'!$A:$F,$2:$2,0),0)</f>
        <v>0</v>
      </c>
      <c r="J327" s="207">
        <f>IF(ISNUMBER(VLOOKUP($B:$B,'BS(과거)'!$A:$F,$2:$2,0)),VLOOKUP($B:$B,'BS(과거)'!$A:$F,$2:$2,0),0)</f>
        <v>0</v>
      </c>
      <c r="K327" s="207">
        <f>IF(ISNUMBER(VLOOKUP($B:$B,'BS(과거)'!$A:$F,$2:$2,0)),VLOOKUP($B:$B,'BS(과거)'!$A:$F,$2:$2,0),0)</f>
        <v>0</v>
      </c>
      <c r="L327" s="207">
        <f>IF(ISNUMBER(VLOOKUP($B:$B,'BS(과거)'!$A:$F,$2:$2,0)),VLOOKUP($B:$B,'BS(과거)'!$A:$F,$2:$2,0),0)</f>
        <v>0</v>
      </c>
      <c r="N327" s="207">
        <f>IF(ISNUMBER(VLOOKUP($B:$B,'BS(분기)'!$A:$F,$2:$2,0)),VLOOKUP($B:$B,'BS(분기)'!$A:$F,$2:$2,0),0)</f>
        <v>0</v>
      </c>
      <c r="O327" s="207">
        <f>IF(ISNUMBER(VLOOKUP($B:$B,'BS(분기)'!$A:$F,$2:$2,0)),VLOOKUP($B:$B,'BS(분기)'!$A:$F,$2:$2,0),0)</f>
        <v>0</v>
      </c>
      <c r="P327" s="207">
        <f>IF(ISNUMBER(VLOOKUP($B:$B,'BS(분기)'!$A:$F,$2:$2,0)),VLOOKUP($B:$B,'BS(분기)'!$A:$F,$2:$2,0),0)</f>
        <v>0</v>
      </c>
      <c r="Q327" s="207">
        <f>IF(ISNUMBER(VLOOKUP($B:$B,'BS(분기)'!$A:$F,$2:$2,0)),VLOOKUP($B:$B,'BS(분기)'!$A:$F,$2:$2,0),0)</f>
        <v>0</v>
      </c>
      <c r="R327" s="207">
        <f>IF(ISNUMBER(VLOOKUP($B:$B,'BS(분기)'!$A:$F,$2:$2,0)),VLOOKUP($B:$B,'BS(분기)'!$A:$F,$2:$2,0),0)</f>
        <v>0</v>
      </c>
    </row>
    <row r="328" spans="1:18" s="192" customFormat="1" ht="12">
      <c r="A328" s="202">
        <v>113181</v>
      </c>
      <c r="B328" s="195" t="s">
        <v>1097</v>
      </c>
      <c r="C328" s="217">
        <f>IF(ISNUMBER(VLOOKUP($B:$B,BS!$A:$D,$2:$2,0)),VLOOKUP($B:$B,BS!$A:$D,$2:$2,0),0)</f>
        <v>0</v>
      </c>
      <c r="D328" s="217">
        <f>IF(ISNUMBER(VLOOKUP($B:$B,BS!$A:$D,$2:$2,0)),VLOOKUP($B:$B,BS!$A:$D,$2:$2,0),0)</f>
        <v>0</v>
      </c>
      <c r="E328" s="217">
        <f>IF(ISNUMBER(VLOOKUP($B:$B,BS!$A:$D,$2:$2,0)),VLOOKUP($B:$B,BS!$A:$D,$2:$2,0),0)</f>
        <v>0</v>
      </c>
      <c r="F328" s="217">
        <f>IF(ISNUMBER(VLOOKUP($B:$B,BS!$A:$D,$2:$2,0)),VLOOKUP($B:$B,BS!$A:$D,$2:$2,0),0)</f>
        <v>0</v>
      </c>
      <c r="G328" s="217">
        <f>IF(ISNUMBER(VLOOKUP($B:$B,BS!$A:$D,$2:$2,0)),VLOOKUP($B:$B,BS!$A:$D,$2:$2,0),0)</f>
        <v>0</v>
      </c>
      <c r="H328" s="207">
        <f>IF(ISNUMBER(VLOOKUP($B:$B,'BS(과거)'!$A:$F,$2:$2,0)),VLOOKUP($B:$B,'BS(과거)'!$A:$F,$2:$2,0),0)</f>
        <v>0</v>
      </c>
      <c r="I328" s="207">
        <f>IF(ISNUMBER(VLOOKUP($B:$B,'BS(과거)'!$A:$F,$2:$2,0)),VLOOKUP($B:$B,'BS(과거)'!$A:$F,$2:$2,0),0)</f>
        <v>0</v>
      </c>
      <c r="J328" s="207">
        <f>IF(ISNUMBER(VLOOKUP($B:$B,'BS(과거)'!$A:$F,$2:$2,0)),VLOOKUP($B:$B,'BS(과거)'!$A:$F,$2:$2,0),0)</f>
        <v>0</v>
      </c>
      <c r="K328" s="207">
        <f>IF(ISNUMBER(VLOOKUP($B:$B,'BS(과거)'!$A:$F,$2:$2,0)),VLOOKUP($B:$B,'BS(과거)'!$A:$F,$2:$2,0),0)</f>
        <v>0</v>
      </c>
      <c r="L328" s="207">
        <f>IF(ISNUMBER(VLOOKUP($B:$B,'BS(과거)'!$A:$F,$2:$2,0)),VLOOKUP($B:$B,'BS(과거)'!$A:$F,$2:$2,0),0)</f>
        <v>0</v>
      </c>
      <c r="N328" s="207">
        <f>IF(ISNUMBER(VLOOKUP($B:$B,'BS(분기)'!$A:$F,$2:$2,0)),VLOOKUP($B:$B,'BS(분기)'!$A:$F,$2:$2,0),0)</f>
        <v>0</v>
      </c>
      <c r="O328" s="207">
        <f>IF(ISNUMBER(VLOOKUP($B:$B,'BS(분기)'!$A:$F,$2:$2,0)),VLOOKUP($B:$B,'BS(분기)'!$A:$F,$2:$2,0),0)</f>
        <v>0</v>
      </c>
      <c r="P328" s="207">
        <f>IF(ISNUMBER(VLOOKUP($B:$B,'BS(분기)'!$A:$F,$2:$2,0)),VLOOKUP($B:$B,'BS(분기)'!$A:$F,$2:$2,0),0)</f>
        <v>0</v>
      </c>
      <c r="Q328" s="207">
        <f>IF(ISNUMBER(VLOOKUP($B:$B,'BS(분기)'!$A:$F,$2:$2,0)),VLOOKUP($B:$B,'BS(분기)'!$A:$F,$2:$2,0),0)</f>
        <v>0</v>
      </c>
      <c r="R328" s="207">
        <f>IF(ISNUMBER(VLOOKUP($B:$B,'BS(분기)'!$A:$F,$2:$2,0)),VLOOKUP($B:$B,'BS(분기)'!$A:$F,$2:$2,0),0)</f>
        <v>0</v>
      </c>
    </row>
    <row r="329" spans="1:18" s="192" customFormat="1" ht="12">
      <c r="A329" s="202">
        <v>113188</v>
      </c>
      <c r="B329" s="195" t="s">
        <v>1098</v>
      </c>
      <c r="C329" s="217">
        <f>IF(ISNUMBER(VLOOKUP($B:$B,BS!$A:$D,$2:$2,0)),VLOOKUP($B:$B,BS!$A:$D,$2:$2,0),0)</f>
        <v>0</v>
      </c>
      <c r="D329" s="217">
        <f>IF(ISNUMBER(VLOOKUP($B:$B,BS!$A:$D,$2:$2,0)),VLOOKUP($B:$B,BS!$A:$D,$2:$2,0),0)</f>
        <v>0</v>
      </c>
      <c r="E329" s="217">
        <f>IF(ISNUMBER(VLOOKUP($B:$B,BS!$A:$D,$2:$2,0)),VLOOKUP($B:$B,BS!$A:$D,$2:$2,0),0)</f>
        <v>0</v>
      </c>
      <c r="F329" s="217">
        <f>IF(ISNUMBER(VLOOKUP($B:$B,BS!$A:$D,$2:$2,0)),VLOOKUP($B:$B,BS!$A:$D,$2:$2,0),0)</f>
        <v>0</v>
      </c>
      <c r="G329" s="217">
        <f>IF(ISNUMBER(VLOOKUP($B:$B,BS!$A:$D,$2:$2,0)),VLOOKUP($B:$B,BS!$A:$D,$2:$2,0),0)</f>
        <v>0</v>
      </c>
      <c r="H329" s="207">
        <f>IF(ISNUMBER(VLOOKUP($B:$B,'BS(과거)'!$A:$F,$2:$2,0)),VLOOKUP($B:$B,'BS(과거)'!$A:$F,$2:$2,0),0)</f>
        <v>0</v>
      </c>
      <c r="I329" s="207">
        <f>IF(ISNUMBER(VLOOKUP($B:$B,'BS(과거)'!$A:$F,$2:$2,0)),VLOOKUP($B:$B,'BS(과거)'!$A:$F,$2:$2,0),0)</f>
        <v>0</v>
      </c>
      <c r="J329" s="207">
        <f>IF(ISNUMBER(VLOOKUP($B:$B,'BS(과거)'!$A:$F,$2:$2,0)),VLOOKUP($B:$B,'BS(과거)'!$A:$F,$2:$2,0),0)</f>
        <v>0</v>
      </c>
      <c r="K329" s="207">
        <f>IF(ISNUMBER(VLOOKUP($B:$B,'BS(과거)'!$A:$F,$2:$2,0)),VLOOKUP($B:$B,'BS(과거)'!$A:$F,$2:$2,0),0)</f>
        <v>0</v>
      </c>
      <c r="L329" s="207">
        <f>IF(ISNUMBER(VLOOKUP($B:$B,'BS(과거)'!$A:$F,$2:$2,0)),VLOOKUP($B:$B,'BS(과거)'!$A:$F,$2:$2,0),0)</f>
        <v>0</v>
      </c>
      <c r="N329" s="207">
        <f>IF(ISNUMBER(VLOOKUP($B:$B,'BS(분기)'!$A:$F,$2:$2,0)),VLOOKUP($B:$B,'BS(분기)'!$A:$F,$2:$2,0),0)</f>
        <v>0</v>
      </c>
      <c r="O329" s="207">
        <f>IF(ISNUMBER(VLOOKUP($B:$B,'BS(분기)'!$A:$F,$2:$2,0)),VLOOKUP($B:$B,'BS(분기)'!$A:$F,$2:$2,0),0)</f>
        <v>0</v>
      </c>
      <c r="P329" s="207">
        <f>IF(ISNUMBER(VLOOKUP($B:$B,'BS(분기)'!$A:$F,$2:$2,0)),VLOOKUP($B:$B,'BS(분기)'!$A:$F,$2:$2,0),0)</f>
        <v>0</v>
      </c>
      <c r="Q329" s="207">
        <f>IF(ISNUMBER(VLOOKUP($B:$B,'BS(분기)'!$A:$F,$2:$2,0)),VLOOKUP($B:$B,'BS(분기)'!$A:$F,$2:$2,0),0)</f>
        <v>0</v>
      </c>
      <c r="R329" s="207">
        <f>IF(ISNUMBER(VLOOKUP($B:$B,'BS(분기)'!$A:$F,$2:$2,0)),VLOOKUP($B:$B,'BS(분기)'!$A:$F,$2:$2,0),0)</f>
        <v>0</v>
      </c>
    </row>
    <row r="330" spans="1:18" s="192" customFormat="1" ht="12">
      <c r="A330" s="202">
        <v>113177</v>
      </c>
      <c r="B330" s="195" t="s">
        <v>1099</v>
      </c>
      <c r="C330" s="217">
        <f>IF(ISNUMBER(VLOOKUP($B:$B,BS!$A:$D,$2:$2,0)),VLOOKUP($B:$B,BS!$A:$D,$2:$2,0),0)</f>
        <v>0</v>
      </c>
      <c r="D330" s="217">
        <f>IF(ISNUMBER(VLOOKUP($B:$B,BS!$A:$D,$2:$2,0)),VLOOKUP($B:$B,BS!$A:$D,$2:$2,0),0)</f>
        <v>0</v>
      </c>
      <c r="E330" s="217">
        <f>IF(ISNUMBER(VLOOKUP($B:$B,BS!$A:$D,$2:$2,0)),VLOOKUP($B:$B,BS!$A:$D,$2:$2,0),0)</f>
        <v>0</v>
      </c>
      <c r="F330" s="217">
        <f>IF(ISNUMBER(VLOOKUP($B:$B,BS!$A:$D,$2:$2,0)),VLOOKUP($B:$B,BS!$A:$D,$2:$2,0),0)</f>
        <v>0</v>
      </c>
      <c r="G330" s="217">
        <f>IF(ISNUMBER(VLOOKUP($B:$B,BS!$A:$D,$2:$2,0)),VLOOKUP($B:$B,BS!$A:$D,$2:$2,0),0)</f>
        <v>0</v>
      </c>
      <c r="H330" s="207">
        <f>IF(ISNUMBER(VLOOKUP($B:$B,'BS(과거)'!$A:$F,$2:$2,0)),VLOOKUP($B:$B,'BS(과거)'!$A:$F,$2:$2,0),0)</f>
        <v>0</v>
      </c>
      <c r="I330" s="207">
        <f>IF(ISNUMBER(VLOOKUP($B:$B,'BS(과거)'!$A:$F,$2:$2,0)),VLOOKUP($B:$B,'BS(과거)'!$A:$F,$2:$2,0),0)</f>
        <v>0</v>
      </c>
      <c r="J330" s="207">
        <f>IF(ISNUMBER(VLOOKUP($B:$B,'BS(과거)'!$A:$F,$2:$2,0)),VLOOKUP($B:$B,'BS(과거)'!$A:$F,$2:$2,0),0)</f>
        <v>0</v>
      </c>
      <c r="K330" s="207">
        <f>IF(ISNUMBER(VLOOKUP($B:$B,'BS(과거)'!$A:$F,$2:$2,0)),VLOOKUP($B:$B,'BS(과거)'!$A:$F,$2:$2,0),0)</f>
        <v>0</v>
      </c>
      <c r="L330" s="207">
        <f>IF(ISNUMBER(VLOOKUP($B:$B,'BS(과거)'!$A:$F,$2:$2,0)),VLOOKUP($B:$B,'BS(과거)'!$A:$F,$2:$2,0),0)</f>
        <v>0</v>
      </c>
      <c r="N330" s="207">
        <f>IF(ISNUMBER(VLOOKUP($B:$B,'BS(분기)'!$A:$F,$2:$2,0)),VLOOKUP($B:$B,'BS(분기)'!$A:$F,$2:$2,0),0)</f>
        <v>0</v>
      </c>
      <c r="O330" s="207">
        <f>IF(ISNUMBER(VLOOKUP($B:$B,'BS(분기)'!$A:$F,$2:$2,0)),VLOOKUP($B:$B,'BS(분기)'!$A:$F,$2:$2,0),0)</f>
        <v>0</v>
      </c>
      <c r="P330" s="207">
        <f>IF(ISNUMBER(VLOOKUP($B:$B,'BS(분기)'!$A:$F,$2:$2,0)),VLOOKUP($B:$B,'BS(분기)'!$A:$F,$2:$2,0),0)</f>
        <v>0</v>
      </c>
      <c r="Q330" s="207">
        <f>IF(ISNUMBER(VLOOKUP($B:$B,'BS(분기)'!$A:$F,$2:$2,0)),VLOOKUP($B:$B,'BS(분기)'!$A:$F,$2:$2,0),0)</f>
        <v>0</v>
      </c>
      <c r="R330" s="207">
        <f>IF(ISNUMBER(VLOOKUP($B:$B,'BS(분기)'!$A:$F,$2:$2,0)),VLOOKUP($B:$B,'BS(분기)'!$A:$F,$2:$2,0),0)</f>
        <v>0</v>
      </c>
    </row>
    <row r="331" spans="1:18" s="192" customFormat="1" ht="12">
      <c r="A331" s="202">
        <v>113182</v>
      </c>
      <c r="B331" s="195" t="s">
        <v>1100</v>
      </c>
      <c r="C331" s="217">
        <f>IF(ISNUMBER(VLOOKUP($B:$B,BS!$A:$D,$2:$2,0)),VLOOKUP($B:$B,BS!$A:$D,$2:$2,0),0)</f>
        <v>0</v>
      </c>
      <c r="D331" s="217">
        <f>IF(ISNUMBER(VLOOKUP($B:$B,BS!$A:$D,$2:$2,0)),VLOOKUP($B:$B,BS!$A:$D,$2:$2,0),0)</f>
        <v>0</v>
      </c>
      <c r="E331" s="217">
        <f>IF(ISNUMBER(VLOOKUP($B:$B,BS!$A:$D,$2:$2,0)),VLOOKUP($B:$B,BS!$A:$D,$2:$2,0),0)</f>
        <v>0</v>
      </c>
      <c r="F331" s="217">
        <f>IF(ISNUMBER(VLOOKUP($B:$B,BS!$A:$D,$2:$2,0)),VLOOKUP($B:$B,BS!$A:$D,$2:$2,0),0)</f>
        <v>0</v>
      </c>
      <c r="G331" s="217">
        <f>IF(ISNUMBER(VLOOKUP($B:$B,BS!$A:$D,$2:$2,0)),VLOOKUP($B:$B,BS!$A:$D,$2:$2,0),0)</f>
        <v>0</v>
      </c>
      <c r="H331" s="207">
        <f>IF(ISNUMBER(VLOOKUP($B:$B,'BS(과거)'!$A:$F,$2:$2,0)),VLOOKUP($B:$B,'BS(과거)'!$A:$F,$2:$2,0),0)</f>
        <v>0</v>
      </c>
      <c r="I331" s="207">
        <f>IF(ISNUMBER(VLOOKUP($B:$B,'BS(과거)'!$A:$F,$2:$2,0)),VLOOKUP($B:$B,'BS(과거)'!$A:$F,$2:$2,0),0)</f>
        <v>0</v>
      </c>
      <c r="J331" s="207">
        <f>IF(ISNUMBER(VLOOKUP($B:$B,'BS(과거)'!$A:$F,$2:$2,0)),VLOOKUP($B:$B,'BS(과거)'!$A:$F,$2:$2,0),0)</f>
        <v>0</v>
      </c>
      <c r="K331" s="207">
        <f>IF(ISNUMBER(VLOOKUP($B:$B,'BS(과거)'!$A:$F,$2:$2,0)),VLOOKUP($B:$B,'BS(과거)'!$A:$F,$2:$2,0),0)</f>
        <v>0</v>
      </c>
      <c r="L331" s="207">
        <f>IF(ISNUMBER(VLOOKUP($B:$B,'BS(과거)'!$A:$F,$2:$2,0)),VLOOKUP($B:$B,'BS(과거)'!$A:$F,$2:$2,0),0)</f>
        <v>0</v>
      </c>
      <c r="N331" s="207">
        <f>IF(ISNUMBER(VLOOKUP($B:$B,'BS(분기)'!$A:$F,$2:$2,0)),VLOOKUP($B:$B,'BS(분기)'!$A:$F,$2:$2,0),0)</f>
        <v>0</v>
      </c>
      <c r="O331" s="207">
        <f>IF(ISNUMBER(VLOOKUP($B:$B,'BS(분기)'!$A:$F,$2:$2,0)),VLOOKUP($B:$B,'BS(분기)'!$A:$F,$2:$2,0),0)</f>
        <v>0</v>
      </c>
      <c r="P331" s="207">
        <f>IF(ISNUMBER(VLOOKUP($B:$B,'BS(분기)'!$A:$F,$2:$2,0)),VLOOKUP($B:$B,'BS(분기)'!$A:$F,$2:$2,0),0)</f>
        <v>0</v>
      </c>
      <c r="Q331" s="207">
        <f>IF(ISNUMBER(VLOOKUP($B:$B,'BS(분기)'!$A:$F,$2:$2,0)),VLOOKUP($B:$B,'BS(분기)'!$A:$F,$2:$2,0),0)</f>
        <v>0</v>
      </c>
      <c r="R331" s="207">
        <f>IF(ISNUMBER(VLOOKUP($B:$B,'BS(분기)'!$A:$F,$2:$2,0)),VLOOKUP($B:$B,'BS(분기)'!$A:$F,$2:$2,0),0)</f>
        <v>0</v>
      </c>
    </row>
    <row r="332" spans="1:18" s="192" customFormat="1" ht="12">
      <c r="A332" s="202">
        <v>113186</v>
      </c>
      <c r="B332" s="195" t="s">
        <v>1101</v>
      </c>
      <c r="C332" s="217">
        <f>IF(ISNUMBER(VLOOKUP($B:$B,BS!$A:$D,$2:$2,0)),VLOOKUP($B:$B,BS!$A:$D,$2:$2,0),0)</f>
        <v>0</v>
      </c>
      <c r="D332" s="217">
        <f>IF(ISNUMBER(VLOOKUP($B:$B,BS!$A:$D,$2:$2,0)),VLOOKUP($B:$B,BS!$A:$D,$2:$2,0),0)</f>
        <v>0</v>
      </c>
      <c r="E332" s="217">
        <f>IF(ISNUMBER(VLOOKUP($B:$B,BS!$A:$D,$2:$2,0)),VLOOKUP($B:$B,BS!$A:$D,$2:$2,0),0)</f>
        <v>0</v>
      </c>
      <c r="F332" s="217">
        <f>IF(ISNUMBER(VLOOKUP($B:$B,BS!$A:$D,$2:$2,0)),VLOOKUP($B:$B,BS!$A:$D,$2:$2,0),0)</f>
        <v>0</v>
      </c>
      <c r="G332" s="217">
        <f>IF(ISNUMBER(VLOOKUP($B:$B,BS!$A:$D,$2:$2,0)),VLOOKUP($B:$B,BS!$A:$D,$2:$2,0),0)</f>
        <v>0</v>
      </c>
      <c r="H332" s="207">
        <f>IF(ISNUMBER(VLOOKUP($B:$B,'BS(과거)'!$A:$F,$2:$2,0)),VLOOKUP($B:$B,'BS(과거)'!$A:$F,$2:$2,0),0)</f>
        <v>0</v>
      </c>
      <c r="I332" s="207">
        <f>IF(ISNUMBER(VLOOKUP($B:$B,'BS(과거)'!$A:$F,$2:$2,0)),VLOOKUP($B:$B,'BS(과거)'!$A:$F,$2:$2,0),0)</f>
        <v>0</v>
      </c>
      <c r="J332" s="207">
        <f>IF(ISNUMBER(VLOOKUP($B:$B,'BS(과거)'!$A:$F,$2:$2,0)),VLOOKUP($B:$B,'BS(과거)'!$A:$F,$2:$2,0),0)</f>
        <v>0</v>
      </c>
      <c r="K332" s="207">
        <f>IF(ISNUMBER(VLOOKUP($B:$B,'BS(과거)'!$A:$F,$2:$2,0)),VLOOKUP($B:$B,'BS(과거)'!$A:$F,$2:$2,0),0)</f>
        <v>0</v>
      </c>
      <c r="L332" s="207">
        <f>IF(ISNUMBER(VLOOKUP($B:$B,'BS(과거)'!$A:$F,$2:$2,0)),VLOOKUP($B:$B,'BS(과거)'!$A:$F,$2:$2,0),0)</f>
        <v>0</v>
      </c>
      <c r="N332" s="207">
        <f>IF(ISNUMBER(VLOOKUP($B:$B,'BS(분기)'!$A:$F,$2:$2,0)),VLOOKUP($B:$B,'BS(분기)'!$A:$F,$2:$2,0),0)</f>
        <v>0</v>
      </c>
      <c r="O332" s="207">
        <f>IF(ISNUMBER(VLOOKUP($B:$B,'BS(분기)'!$A:$F,$2:$2,0)),VLOOKUP($B:$B,'BS(분기)'!$A:$F,$2:$2,0),0)</f>
        <v>0</v>
      </c>
      <c r="P332" s="207">
        <f>IF(ISNUMBER(VLOOKUP($B:$B,'BS(분기)'!$A:$F,$2:$2,0)),VLOOKUP($B:$B,'BS(분기)'!$A:$F,$2:$2,0),0)</f>
        <v>0</v>
      </c>
      <c r="Q332" s="207">
        <f>IF(ISNUMBER(VLOOKUP($B:$B,'BS(분기)'!$A:$F,$2:$2,0)),VLOOKUP($B:$B,'BS(분기)'!$A:$F,$2:$2,0),0)</f>
        <v>0</v>
      </c>
      <c r="R332" s="207">
        <f>IF(ISNUMBER(VLOOKUP($B:$B,'BS(분기)'!$A:$F,$2:$2,0)),VLOOKUP($B:$B,'BS(분기)'!$A:$F,$2:$2,0),0)</f>
        <v>0</v>
      </c>
    </row>
    <row r="333" spans="1:18" s="192" customFormat="1" ht="12">
      <c r="A333" s="202">
        <v>113187</v>
      </c>
      <c r="B333" s="195" t="s">
        <v>1102</v>
      </c>
      <c r="C333" s="217">
        <f>IF(ISNUMBER(VLOOKUP($B:$B,BS!$A:$D,$2:$2,0)),VLOOKUP($B:$B,BS!$A:$D,$2:$2,0),0)</f>
        <v>0</v>
      </c>
      <c r="D333" s="217">
        <f>IF(ISNUMBER(VLOOKUP($B:$B,BS!$A:$D,$2:$2,0)),VLOOKUP($B:$B,BS!$A:$D,$2:$2,0),0)</f>
        <v>0</v>
      </c>
      <c r="E333" s="217">
        <f>IF(ISNUMBER(VLOOKUP($B:$B,BS!$A:$D,$2:$2,0)),VLOOKUP($B:$B,BS!$A:$D,$2:$2,0),0)</f>
        <v>0</v>
      </c>
      <c r="F333" s="217">
        <f>IF(ISNUMBER(VLOOKUP($B:$B,BS!$A:$D,$2:$2,0)),VLOOKUP($B:$B,BS!$A:$D,$2:$2,0),0)</f>
        <v>0</v>
      </c>
      <c r="G333" s="217">
        <f>IF(ISNUMBER(VLOOKUP($B:$B,BS!$A:$D,$2:$2,0)),VLOOKUP($B:$B,BS!$A:$D,$2:$2,0),0)</f>
        <v>0</v>
      </c>
      <c r="H333" s="207">
        <f>IF(ISNUMBER(VLOOKUP($B:$B,'BS(과거)'!$A:$F,$2:$2,0)),VLOOKUP($B:$B,'BS(과거)'!$A:$F,$2:$2,0),0)</f>
        <v>0</v>
      </c>
      <c r="I333" s="207">
        <f>IF(ISNUMBER(VLOOKUP($B:$B,'BS(과거)'!$A:$F,$2:$2,0)),VLOOKUP($B:$B,'BS(과거)'!$A:$F,$2:$2,0),0)</f>
        <v>0</v>
      </c>
      <c r="J333" s="207">
        <f>IF(ISNUMBER(VLOOKUP($B:$B,'BS(과거)'!$A:$F,$2:$2,0)),VLOOKUP($B:$B,'BS(과거)'!$A:$F,$2:$2,0),0)</f>
        <v>0</v>
      </c>
      <c r="K333" s="207">
        <f>IF(ISNUMBER(VLOOKUP($B:$B,'BS(과거)'!$A:$F,$2:$2,0)),VLOOKUP($B:$B,'BS(과거)'!$A:$F,$2:$2,0),0)</f>
        <v>0</v>
      </c>
      <c r="L333" s="207">
        <f>IF(ISNUMBER(VLOOKUP($B:$B,'BS(과거)'!$A:$F,$2:$2,0)),VLOOKUP($B:$B,'BS(과거)'!$A:$F,$2:$2,0),0)</f>
        <v>0</v>
      </c>
      <c r="N333" s="207">
        <f>IF(ISNUMBER(VLOOKUP($B:$B,'BS(분기)'!$A:$F,$2:$2,0)),VLOOKUP($B:$B,'BS(분기)'!$A:$F,$2:$2,0),0)</f>
        <v>0</v>
      </c>
      <c r="O333" s="207">
        <f>IF(ISNUMBER(VLOOKUP($B:$B,'BS(분기)'!$A:$F,$2:$2,0)),VLOOKUP($B:$B,'BS(분기)'!$A:$F,$2:$2,0),0)</f>
        <v>0</v>
      </c>
      <c r="P333" s="207">
        <f>IF(ISNUMBER(VLOOKUP($B:$B,'BS(분기)'!$A:$F,$2:$2,0)),VLOOKUP($B:$B,'BS(분기)'!$A:$F,$2:$2,0),0)</f>
        <v>0</v>
      </c>
      <c r="Q333" s="207">
        <f>IF(ISNUMBER(VLOOKUP($B:$B,'BS(분기)'!$A:$F,$2:$2,0)),VLOOKUP($B:$B,'BS(분기)'!$A:$F,$2:$2,0),0)</f>
        <v>0</v>
      </c>
      <c r="R333" s="207">
        <f>IF(ISNUMBER(VLOOKUP($B:$B,'BS(분기)'!$A:$F,$2:$2,0)),VLOOKUP($B:$B,'BS(분기)'!$A:$F,$2:$2,0),0)</f>
        <v>0</v>
      </c>
    </row>
    <row r="334" spans="1:18" s="192" customFormat="1" ht="12">
      <c r="A334" s="202">
        <v>113183</v>
      </c>
      <c r="B334" s="195" t="s">
        <v>1103</v>
      </c>
      <c r="C334" s="217">
        <f>IF(ISNUMBER(VLOOKUP($B:$B,BS!$A:$D,$2:$2,0)),VLOOKUP($B:$B,BS!$A:$D,$2:$2,0),0)</f>
        <v>0</v>
      </c>
      <c r="D334" s="217">
        <f>IF(ISNUMBER(VLOOKUP($B:$B,BS!$A:$D,$2:$2,0)),VLOOKUP($B:$B,BS!$A:$D,$2:$2,0),0)</f>
        <v>0</v>
      </c>
      <c r="E334" s="217">
        <f>IF(ISNUMBER(VLOOKUP($B:$B,BS!$A:$D,$2:$2,0)),VLOOKUP($B:$B,BS!$A:$D,$2:$2,0),0)</f>
        <v>0</v>
      </c>
      <c r="F334" s="217">
        <f>IF(ISNUMBER(VLOOKUP($B:$B,BS!$A:$D,$2:$2,0)),VLOOKUP($B:$B,BS!$A:$D,$2:$2,0),0)</f>
        <v>0</v>
      </c>
      <c r="G334" s="217">
        <f>IF(ISNUMBER(VLOOKUP($B:$B,BS!$A:$D,$2:$2,0)),VLOOKUP($B:$B,BS!$A:$D,$2:$2,0),0)</f>
        <v>0</v>
      </c>
      <c r="H334" s="207">
        <f>IF(ISNUMBER(VLOOKUP($B:$B,'BS(과거)'!$A:$F,$2:$2,0)),VLOOKUP($B:$B,'BS(과거)'!$A:$F,$2:$2,0),0)</f>
        <v>0</v>
      </c>
      <c r="I334" s="207">
        <f>IF(ISNUMBER(VLOOKUP($B:$B,'BS(과거)'!$A:$F,$2:$2,0)),VLOOKUP($B:$B,'BS(과거)'!$A:$F,$2:$2,0),0)</f>
        <v>0</v>
      </c>
      <c r="J334" s="207">
        <f>IF(ISNUMBER(VLOOKUP($B:$B,'BS(과거)'!$A:$F,$2:$2,0)),VLOOKUP($B:$B,'BS(과거)'!$A:$F,$2:$2,0),0)</f>
        <v>0</v>
      </c>
      <c r="K334" s="207">
        <f>IF(ISNUMBER(VLOOKUP($B:$B,'BS(과거)'!$A:$F,$2:$2,0)),VLOOKUP($B:$B,'BS(과거)'!$A:$F,$2:$2,0),0)</f>
        <v>0</v>
      </c>
      <c r="L334" s="207">
        <f>IF(ISNUMBER(VLOOKUP($B:$B,'BS(과거)'!$A:$F,$2:$2,0)),VLOOKUP($B:$B,'BS(과거)'!$A:$F,$2:$2,0),0)</f>
        <v>0</v>
      </c>
      <c r="N334" s="207">
        <f>IF(ISNUMBER(VLOOKUP($B:$B,'BS(분기)'!$A:$F,$2:$2,0)),VLOOKUP($B:$B,'BS(분기)'!$A:$F,$2:$2,0),0)</f>
        <v>0</v>
      </c>
      <c r="O334" s="207">
        <f>IF(ISNUMBER(VLOOKUP($B:$B,'BS(분기)'!$A:$F,$2:$2,0)),VLOOKUP($B:$B,'BS(분기)'!$A:$F,$2:$2,0),0)</f>
        <v>0</v>
      </c>
      <c r="P334" s="207">
        <f>IF(ISNUMBER(VLOOKUP($B:$B,'BS(분기)'!$A:$F,$2:$2,0)),VLOOKUP($B:$B,'BS(분기)'!$A:$F,$2:$2,0),0)</f>
        <v>0</v>
      </c>
      <c r="Q334" s="207">
        <f>IF(ISNUMBER(VLOOKUP($B:$B,'BS(분기)'!$A:$F,$2:$2,0)),VLOOKUP($B:$B,'BS(분기)'!$A:$F,$2:$2,0),0)</f>
        <v>0</v>
      </c>
      <c r="R334" s="207">
        <f>IF(ISNUMBER(VLOOKUP($B:$B,'BS(분기)'!$A:$F,$2:$2,0)),VLOOKUP($B:$B,'BS(분기)'!$A:$F,$2:$2,0),0)</f>
        <v>0</v>
      </c>
    </row>
    <row r="335" spans="1:18" s="192" customFormat="1" ht="12">
      <c r="A335" s="202">
        <v>113189</v>
      </c>
      <c r="B335" s="195" t="s">
        <v>1104</v>
      </c>
      <c r="C335" s="217">
        <f>IF(ISNUMBER(VLOOKUP($B:$B,BS!$A:$D,$2:$2,0)),VLOOKUP($B:$B,BS!$A:$D,$2:$2,0),0)</f>
        <v>0</v>
      </c>
      <c r="D335" s="217">
        <f>IF(ISNUMBER(VLOOKUP($B:$B,BS!$A:$D,$2:$2,0)),VLOOKUP($B:$B,BS!$A:$D,$2:$2,0),0)</f>
        <v>0</v>
      </c>
      <c r="E335" s="217">
        <f>IF(ISNUMBER(VLOOKUP($B:$B,BS!$A:$D,$2:$2,0)),VLOOKUP($B:$B,BS!$A:$D,$2:$2,0),0)</f>
        <v>0</v>
      </c>
      <c r="F335" s="217">
        <f>IF(ISNUMBER(VLOOKUP($B:$B,BS!$A:$D,$2:$2,0)),VLOOKUP($B:$B,BS!$A:$D,$2:$2,0),0)</f>
        <v>0</v>
      </c>
      <c r="G335" s="217">
        <f>IF(ISNUMBER(VLOOKUP($B:$B,BS!$A:$D,$2:$2,0)),VLOOKUP($B:$B,BS!$A:$D,$2:$2,0),0)</f>
        <v>0</v>
      </c>
      <c r="H335" s="207">
        <f>IF(ISNUMBER(VLOOKUP($B:$B,'BS(과거)'!$A:$F,$2:$2,0)),VLOOKUP($B:$B,'BS(과거)'!$A:$F,$2:$2,0),0)</f>
        <v>0</v>
      </c>
      <c r="I335" s="207">
        <f>IF(ISNUMBER(VLOOKUP($B:$B,'BS(과거)'!$A:$F,$2:$2,0)),VLOOKUP($B:$B,'BS(과거)'!$A:$F,$2:$2,0),0)</f>
        <v>0</v>
      </c>
      <c r="J335" s="207">
        <f>IF(ISNUMBER(VLOOKUP($B:$B,'BS(과거)'!$A:$F,$2:$2,0)),VLOOKUP($B:$B,'BS(과거)'!$A:$F,$2:$2,0),0)</f>
        <v>0</v>
      </c>
      <c r="K335" s="207">
        <f>IF(ISNUMBER(VLOOKUP($B:$B,'BS(과거)'!$A:$F,$2:$2,0)),VLOOKUP($B:$B,'BS(과거)'!$A:$F,$2:$2,0),0)</f>
        <v>0</v>
      </c>
      <c r="L335" s="207">
        <f>IF(ISNUMBER(VLOOKUP($B:$B,'BS(과거)'!$A:$F,$2:$2,0)),VLOOKUP($B:$B,'BS(과거)'!$A:$F,$2:$2,0),0)</f>
        <v>0</v>
      </c>
      <c r="N335" s="207">
        <f>IF(ISNUMBER(VLOOKUP($B:$B,'BS(분기)'!$A:$F,$2:$2,0)),VLOOKUP($B:$B,'BS(분기)'!$A:$F,$2:$2,0),0)</f>
        <v>0</v>
      </c>
      <c r="O335" s="207">
        <f>IF(ISNUMBER(VLOOKUP($B:$B,'BS(분기)'!$A:$F,$2:$2,0)),VLOOKUP($B:$B,'BS(분기)'!$A:$F,$2:$2,0),0)</f>
        <v>0</v>
      </c>
      <c r="P335" s="207">
        <f>IF(ISNUMBER(VLOOKUP($B:$B,'BS(분기)'!$A:$F,$2:$2,0)),VLOOKUP($B:$B,'BS(분기)'!$A:$F,$2:$2,0),0)</f>
        <v>0</v>
      </c>
      <c r="Q335" s="207">
        <f>IF(ISNUMBER(VLOOKUP($B:$B,'BS(분기)'!$A:$F,$2:$2,0)),VLOOKUP($B:$B,'BS(분기)'!$A:$F,$2:$2,0),0)</f>
        <v>0</v>
      </c>
      <c r="R335" s="207">
        <f>IF(ISNUMBER(VLOOKUP($B:$B,'BS(분기)'!$A:$F,$2:$2,0)),VLOOKUP($B:$B,'BS(분기)'!$A:$F,$2:$2,0),0)</f>
        <v>0</v>
      </c>
    </row>
    <row r="336" spans="1:18" s="192" customFormat="1" ht="12">
      <c r="A336" s="202">
        <v>113178</v>
      </c>
      <c r="B336" s="195" t="s">
        <v>1105</v>
      </c>
      <c r="C336" s="217">
        <f>IF(ISNUMBER(VLOOKUP($B:$B,BS!$A:$D,$2:$2,0)),VLOOKUP($B:$B,BS!$A:$D,$2:$2,0),0)</f>
        <v>0</v>
      </c>
      <c r="D336" s="217">
        <f>IF(ISNUMBER(VLOOKUP($B:$B,BS!$A:$D,$2:$2,0)),VLOOKUP($B:$B,BS!$A:$D,$2:$2,0),0)</f>
        <v>0</v>
      </c>
      <c r="E336" s="217">
        <f>IF(ISNUMBER(VLOOKUP($B:$B,BS!$A:$D,$2:$2,0)),VLOOKUP($B:$B,BS!$A:$D,$2:$2,0),0)</f>
        <v>0</v>
      </c>
      <c r="F336" s="217">
        <f>IF(ISNUMBER(VLOOKUP($B:$B,BS!$A:$D,$2:$2,0)),VLOOKUP($B:$B,BS!$A:$D,$2:$2,0),0)</f>
        <v>0</v>
      </c>
      <c r="G336" s="217">
        <f>IF(ISNUMBER(VLOOKUP($B:$B,BS!$A:$D,$2:$2,0)),VLOOKUP($B:$B,BS!$A:$D,$2:$2,0),0)</f>
        <v>0</v>
      </c>
      <c r="H336" s="207">
        <f>IF(ISNUMBER(VLOOKUP($B:$B,'BS(과거)'!$A:$F,$2:$2,0)),VLOOKUP($B:$B,'BS(과거)'!$A:$F,$2:$2,0),0)</f>
        <v>0</v>
      </c>
      <c r="I336" s="207">
        <f>IF(ISNUMBER(VLOOKUP($B:$B,'BS(과거)'!$A:$F,$2:$2,0)),VLOOKUP($B:$B,'BS(과거)'!$A:$F,$2:$2,0),0)</f>
        <v>0</v>
      </c>
      <c r="J336" s="207">
        <f>IF(ISNUMBER(VLOOKUP($B:$B,'BS(과거)'!$A:$F,$2:$2,0)),VLOOKUP($B:$B,'BS(과거)'!$A:$F,$2:$2,0),0)</f>
        <v>0</v>
      </c>
      <c r="K336" s="207">
        <f>IF(ISNUMBER(VLOOKUP($B:$B,'BS(과거)'!$A:$F,$2:$2,0)),VLOOKUP($B:$B,'BS(과거)'!$A:$F,$2:$2,0),0)</f>
        <v>0</v>
      </c>
      <c r="L336" s="207">
        <f>IF(ISNUMBER(VLOOKUP($B:$B,'BS(과거)'!$A:$F,$2:$2,0)),VLOOKUP($B:$B,'BS(과거)'!$A:$F,$2:$2,0),0)</f>
        <v>0</v>
      </c>
      <c r="N336" s="207">
        <f>IF(ISNUMBER(VLOOKUP($B:$B,'BS(분기)'!$A:$F,$2:$2,0)),VLOOKUP($B:$B,'BS(분기)'!$A:$F,$2:$2,0),0)</f>
        <v>0</v>
      </c>
      <c r="O336" s="207">
        <f>IF(ISNUMBER(VLOOKUP($B:$B,'BS(분기)'!$A:$F,$2:$2,0)),VLOOKUP($B:$B,'BS(분기)'!$A:$F,$2:$2,0),0)</f>
        <v>0</v>
      </c>
      <c r="P336" s="207">
        <f>IF(ISNUMBER(VLOOKUP($B:$B,'BS(분기)'!$A:$F,$2:$2,0)),VLOOKUP($B:$B,'BS(분기)'!$A:$F,$2:$2,0),0)</f>
        <v>0</v>
      </c>
      <c r="Q336" s="207">
        <f>IF(ISNUMBER(VLOOKUP($B:$B,'BS(분기)'!$A:$F,$2:$2,0)),VLOOKUP($B:$B,'BS(분기)'!$A:$F,$2:$2,0),0)</f>
        <v>0</v>
      </c>
      <c r="R336" s="207">
        <f>IF(ISNUMBER(VLOOKUP($B:$B,'BS(분기)'!$A:$F,$2:$2,0)),VLOOKUP($B:$B,'BS(분기)'!$A:$F,$2:$2,0),0)</f>
        <v>0</v>
      </c>
    </row>
    <row r="337" spans="1:18" s="192" customFormat="1" ht="12">
      <c r="A337" s="202">
        <v>113190</v>
      </c>
      <c r="B337" s="195" t="s">
        <v>812</v>
      </c>
      <c r="C337" s="217">
        <f>IF(ISNUMBER(VLOOKUP($B:$B,BS!$A:$D,$2:$2,0)),VLOOKUP($B:$B,BS!$A:$D,$2:$2,0),0)</f>
        <v>0</v>
      </c>
      <c r="D337" s="217">
        <f>IF(ISNUMBER(VLOOKUP($B:$B,BS!$A:$D,$2:$2,0)),VLOOKUP($B:$B,BS!$A:$D,$2:$2,0),0)</f>
        <v>0</v>
      </c>
      <c r="E337" s="217">
        <f>IF(ISNUMBER(VLOOKUP($B:$B,BS!$A:$D,$2:$2,0)),VLOOKUP($B:$B,BS!$A:$D,$2:$2,0),0)</f>
        <v>0</v>
      </c>
      <c r="F337" s="217">
        <f>IF(ISNUMBER(VLOOKUP($B:$B,BS!$A:$D,$2:$2,0)),VLOOKUP($B:$B,BS!$A:$D,$2:$2,0),0)</f>
        <v>0</v>
      </c>
      <c r="G337" s="217">
        <f>IF(ISNUMBER(VLOOKUP($B:$B,BS!$A:$D,$2:$2,0)),VLOOKUP($B:$B,BS!$A:$D,$2:$2,0),0)</f>
        <v>0</v>
      </c>
      <c r="H337" s="207">
        <f>IF(ISNUMBER(VLOOKUP($B:$B,'BS(과거)'!$A:$F,$2:$2,0)),VLOOKUP($B:$B,'BS(과거)'!$A:$F,$2:$2,0),0)</f>
        <v>0</v>
      </c>
      <c r="I337" s="207">
        <f>IF(ISNUMBER(VLOOKUP($B:$B,'BS(과거)'!$A:$F,$2:$2,0)),VLOOKUP($B:$B,'BS(과거)'!$A:$F,$2:$2,0),0)</f>
        <v>0</v>
      </c>
      <c r="J337" s="207">
        <f>IF(ISNUMBER(VLOOKUP($B:$B,'BS(과거)'!$A:$F,$2:$2,0)),VLOOKUP($B:$B,'BS(과거)'!$A:$F,$2:$2,0),0)</f>
        <v>0</v>
      </c>
      <c r="K337" s="207">
        <f>IF(ISNUMBER(VLOOKUP($B:$B,'BS(과거)'!$A:$F,$2:$2,0)),VLOOKUP($B:$B,'BS(과거)'!$A:$F,$2:$2,0),0)</f>
        <v>0</v>
      </c>
      <c r="L337" s="207">
        <f>IF(ISNUMBER(VLOOKUP($B:$B,'BS(과거)'!$A:$F,$2:$2,0)),VLOOKUP($B:$B,'BS(과거)'!$A:$F,$2:$2,0),0)</f>
        <v>0</v>
      </c>
      <c r="N337" s="207">
        <f>IF(ISNUMBER(VLOOKUP($B:$B,'BS(분기)'!$A:$F,$2:$2,0)),VLOOKUP($B:$B,'BS(분기)'!$A:$F,$2:$2,0),0)</f>
        <v>0</v>
      </c>
      <c r="O337" s="207">
        <f>IF(ISNUMBER(VLOOKUP($B:$B,'BS(분기)'!$A:$F,$2:$2,0)),VLOOKUP($B:$B,'BS(분기)'!$A:$F,$2:$2,0),0)</f>
        <v>0</v>
      </c>
      <c r="P337" s="207">
        <f>IF(ISNUMBER(VLOOKUP($B:$B,'BS(분기)'!$A:$F,$2:$2,0)),VLOOKUP($B:$B,'BS(분기)'!$A:$F,$2:$2,0),0)</f>
        <v>0</v>
      </c>
      <c r="Q337" s="207">
        <f>IF(ISNUMBER(VLOOKUP($B:$B,'BS(분기)'!$A:$F,$2:$2,0)),VLOOKUP($B:$B,'BS(분기)'!$A:$F,$2:$2,0),0)</f>
        <v>0</v>
      </c>
      <c r="R337" s="207">
        <f>IF(ISNUMBER(VLOOKUP($B:$B,'BS(분기)'!$A:$F,$2:$2,0)),VLOOKUP($B:$B,'BS(분기)'!$A:$F,$2:$2,0),0)</f>
        <v>0</v>
      </c>
    </row>
    <row r="338" spans="1:18" s="192" customFormat="1" ht="12">
      <c r="A338" s="202">
        <v>113192</v>
      </c>
      <c r="B338" s="195" t="s">
        <v>1106</v>
      </c>
      <c r="C338" s="217">
        <f>IF(ISNUMBER(VLOOKUP($B:$B,BS!$A:$D,$2:$2,0)),VLOOKUP($B:$B,BS!$A:$D,$2:$2,0),0)</f>
        <v>0</v>
      </c>
      <c r="D338" s="217">
        <f>IF(ISNUMBER(VLOOKUP($B:$B,BS!$A:$D,$2:$2,0)),VLOOKUP($B:$B,BS!$A:$D,$2:$2,0),0)</f>
        <v>0</v>
      </c>
      <c r="E338" s="217">
        <f>IF(ISNUMBER(VLOOKUP($B:$B,BS!$A:$D,$2:$2,0)),VLOOKUP($B:$B,BS!$A:$D,$2:$2,0),0)</f>
        <v>0</v>
      </c>
      <c r="F338" s="217">
        <f>IF(ISNUMBER(VLOOKUP($B:$B,BS!$A:$D,$2:$2,0)),VLOOKUP($B:$B,BS!$A:$D,$2:$2,0),0)</f>
        <v>0</v>
      </c>
      <c r="G338" s="217">
        <f>IF(ISNUMBER(VLOOKUP($B:$B,BS!$A:$D,$2:$2,0)),VLOOKUP($B:$B,BS!$A:$D,$2:$2,0),0)</f>
        <v>0</v>
      </c>
      <c r="H338" s="207">
        <f>IF(ISNUMBER(VLOOKUP($B:$B,'BS(과거)'!$A:$F,$2:$2,0)),VLOOKUP($B:$B,'BS(과거)'!$A:$F,$2:$2,0),0)</f>
        <v>0</v>
      </c>
      <c r="I338" s="207">
        <f>IF(ISNUMBER(VLOOKUP($B:$B,'BS(과거)'!$A:$F,$2:$2,0)),VLOOKUP($B:$B,'BS(과거)'!$A:$F,$2:$2,0),0)</f>
        <v>0</v>
      </c>
      <c r="J338" s="207">
        <f>IF(ISNUMBER(VLOOKUP($B:$B,'BS(과거)'!$A:$F,$2:$2,0)),VLOOKUP($B:$B,'BS(과거)'!$A:$F,$2:$2,0),0)</f>
        <v>0</v>
      </c>
      <c r="K338" s="207">
        <f>IF(ISNUMBER(VLOOKUP($B:$B,'BS(과거)'!$A:$F,$2:$2,0)),VLOOKUP($B:$B,'BS(과거)'!$A:$F,$2:$2,0),0)</f>
        <v>0</v>
      </c>
      <c r="L338" s="207">
        <f>IF(ISNUMBER(VLOOKUP($B:$B,'BS(과거)'!$A:$F,$2:$2,0)),VLOOKUP($B:$B,'BS(과거)'!$A:$F,$2:$2,0),0)</f>
        <v>0</v>
      </c>
      <c r="N338" s="207">
        <f>IF(ISNUMBER(VLOOKUP($B:$B,'BS(분기)'!$A:$F,$2:$2,0)),VLOOKUP($B:$B,'BS(분기)'!$A:$F,$2:$2,0),0)</f>
        <v>0</v>
      </c>
      <c r="O338" s="207">
        <f>IF(ISNUMBER(VLOOKUP($B:$B,'BS(분기)'!$A:$F,$2:$2,0)),VLOOKUP($B:$B,'BS(분기)'!$A:$F,$2:$2,0),0)</f>
        <v>0</v>
      </c>
      <c r="P338" s="207">
        <f>IF(ISNUMBER(VLOOKUP($B:$B,'BS(분기)'!$A:$F,$2:$2,0)),VLOOKUP($B:$B,'BS(분기)'!$A:$F,$2:$2,0),0)</f>
        <v>0</v>
      </c>
      <c r="Q338" s="207">
        <f>IF(ISNUMBER(VLOOKUP($B:$B,'BS(분기)'!$A:$F,$2:$2,0)),VLOOKUP($B:$B,'BS(분기)'!$A:$F,$2:$2,0),0)</f>
        <v>0</v>
      </c>
      <c r="R338" s="207">
        <f>IF(ISNUMBER(VLOOKUP($B:$B,'BS(분기)'!$A:$F,$2:$2,0)),VLOOKUP($B:$B,'BS(분기)'!$A:$F,$2:$2,0),0)</f>
        <v>0</v>
      </c>
    </row>
    <row r="339" spans="1:18" s="192" customFormat="1" ht="12">
      <c r="A339" s="202">
        <v>113193</v>
      </c>
      <c r="B339" s="195" t="s">
        <v>1107</v>
      </c>
      <c r="C339" s="217">
        <f>IF(ISNUMBER(VLOOKUP($B:$B,BS!$A:$D,$2:$2,0)),VLOOKUP($B:$B,BS!$A:$D,$2:$2,0),0)</f>
        <v>0</v>
      </c>
      <c r="D339" s="217">
        <f>IF(ISNUMBER(VLOOKUP($B:$B,BS!$A:$D,$2:$2,0)),VLOOKUP($B:$B,BS!$A:$D,$2:$2,0),0)</f>
        <v>0</v>
      </c>
      <c r="E339" s="217">
        <f>IF(ISNUMBER(VLOOKUP($B:$B,BS!$A:$D,$2:$2,0)),VLOOKUP($B:$B,BS!$A:$D,$2:$2,0),0)</f>
        <v>0</v>
      </c>
      <c r="F339" s="217">
        <f>IF(ISNUMBER(VLOOKUP($B:$B,BS!$A:$D,$2:$2,0)),VLOOKUP($B:$B,BS!$A:$D,$2:$2,0),0)</f>
        <v>0</v>
      </c>
      <c r="G339" s="217">
        <f>IF(ISNUMBER(VLOOKUP($B:$B,BS!$A:$D,$2:$2,0)),VLOOKUP($B:$B,BS!$A:$D,$2:$2,0),0)</f>
        <v>0</v>
      </c>
      <c r="H339" s="207">
        <f>IF(ISNUMBER(VLOOKUP($B:$B,'BS(과거)'!$A:$F,$2:$2,0)),VLOOKUP($B:$B,'BS(과거)'!$A:$F,$2:$2,0),0)</f>
        <v>0</v>
      </c>
      <c r="I339" s="207">
        <f>IF(ISNUMBER(VLOOKUP($B:$B,'BS(과거)'!$A:$F,$2:$2,0)),VLOOKUP($B:$B,'BS(과거)'!$A:$F,$2:$2,0),0)</f>
        <v>0</v>
      </c>
      <c r="J339" s="207">
        <f>IF(ISNUMBER(VLOOKUP($B:$B,'BS(과거)'!$A:$F,$2:$2,0)),VLOOKUP($B:$B,'BS(과거)'!$A:$F,$2:$2,0),0)</f>
        <v>0</v>
      </c>
      <c r="K339" s="207">
        <f>IF(ISNUMBER(VLOOKUP($B:$B,'BS(과거)'!$A:$F,$2:$2,0)),VLOOKUP($B:$B,'BS(과거)'!$A:$F,$2:$2,0),0)</f>
        <v>0</v>
      </c>
      <c r="L339" s="207">
        <f>IF(ISNUMBER(VLOOKUP($B:$B,'BS(과거)'!$A:$F,$2:$2,0)),VLOOKUP($B:$B,'BS(과거)'!$A:$F,$2:$2,0),0)</f>
        <v>0</v>
      </c>
      <c r="N339" s="207">
        <f>IF(ISNUMBER(VLOOKUP($B:$B,'BS(분기)'!$A:$F,$2:$2,0)),VLOOKUP($B:$B,'BS(분기)'!$A:$F,$2:$2,0),0)</f>
        <v>0</v>
      </c>
      <c r="O339" s="207">
        <f>IF(ISNUMBER(VLOOKUP($B:$B,'BS(분기)'!$A:$F,$2:$2,0)),VLOOKUP($B:$B,'BS(분기)'!$A:$F,$2:$2,0),0)</f>
        <v>0</v>
      </c>
      <c r="P339" s="207">
        <f>IF(ISNUMBER(VLOOKUP($B:$B,'BS(분기)'!$A:$F,$2:$2,0)),VLOOKUP($B:$B,'BS(분기)'!$A:$F,$2:$2,0),0)</f>
        <v>0</v>
      </c>
      <c r="Q339" s="207">
        <f>IF(ISNUMBER(VLOOKUP($B:$B,'BS(분기)'!$A:$F,$2:$2,0)),VLOOKUP($B:$B,'BS(분기)'!$A:$F,$2:$2,0),0)</f>
        <v>0</v>
      </c>
      <c r="R339" s="207">
        <f>IF(ISNUMBER(VLOOKUP($B:$B,'BS(분기)'!$A:$F,$2:$2,0)),VLOOKUP($B:$B,'BS(분기)'!$A:$F,$2:$2,0),0)</f>
        <v>0</v>
      </c>
    </row>
    <row r="340" spans="1:18" s="192" customFormat="1" ht="12">
      <c r="A340" s="202">
        <v>113191</v>
      </c>
      <c r="B340" s="195" t="s">
        <v>813</v>
      </c>
      <c r="C340" s="217">
        <f>IF(ISNUMBER(VLOOKUP($B:$B,BS!$A:$D,$2:$2,0)),VLOOKUP($B:$B,BS!$A:$D,$2:$2,0),0)</f>
        <v>0</v>
      </c>
      <c r="D340" s="217">
        <f>IF(ISNUMBER(VLOOKUP($B:$B,BS!$A:$D,$2:$2,0)),VLOOKUP($B:$B,BS!$A:$D,$2:$2,0),0)</f>
        <v>0</v>
      </c>
      <c r="E340" s="217">
        <f>IF(ISNUMBER(VLOOKUP($B:$B,BS!$A:$D,$2:$2,0)),VLOOKUP($B:$B,BS!$A:$D,$2:$2,0),0)</f>
        <v>0</v>
      </c>
      <c r="F340" s="217">
        <f>IF(ISNUMBER(VLOOKUP($B:$B,BS!$A:$D,$2:$2,0)),VLOOKUP($B:$B,BS!$A:$D,$2:$2,0),0)</f>
        <v>0</v>
      </c>
      <c r="G340" s="217">
        <f>IF(ISNUMBER(VLOOKUP($B:$B,BS!$A:$D,$2:$2,0)),VLOOKUP($B:$B,BS!$A:$D,$2:$2,0),0)</f>
        <v>0</v>
      </c>
      <c r="H340" s="207">
        <f>IF(ISNUMBER(VLOOKUP($B:$B,'BS(과거)'!$A:$F,$2:$2,0)),VLOOKUP($B:$B,'BS(과거)'!$A:$F,$2:$2,0),0)</f>
        <v>0</v>
      </c>
      <c r="I340" s="207">
        <f>IF(ISNUMBER(VLOOKUP($B:$B,'BS(과거)'!$A:$F,$2:$2,0)),VLOOKUP($B:$B,'BS(과거)'!$A:$F,$2:$2,0),0)</f>
        <v>0</v>
      </c>
      <c r="J340" s="207">
        <f>IF(ISNUMBER(VLOOKUP($B:$B,'BS(과거)'!$A:$F,$2:$2,0)),VLOOKUP($B:$B,'BS(과거)'!$A:$F,$2:$2,0),0)</f>
        <v>0</v>
      </c>
      <c r="K340" s="207">
        <f>IF(ISNUMBER(VLOOKUP($B:$B,'BS(과거)'!$A:$F,$2:$2,0)),VLOOKUP($B:$B,'BS(과거)'!$A:$F,$2:$2,0),0)</f>
        <v>0</v>
      </c>
      <c r="L340" s="207">
        <f>IF(ISNUMBER(VLOOKUP($B:$B,'BS(과거)'!$A:$F,$2:$2,0)),VLOOKUP($B:$B,'BS(과거)'!$A:$F,$2:$2,0),0)</f>
        <v>0</v>
      </c>
      <c r="N340" s="207">
        <f>IF(ISNUMBER(VLOOKUP($B:$B,'BS(분기)'!$A:$F,$2:$2,0)),VLOOKUP($B:$B,'BS(분기)'!$A:$F,$2:$2,0),0)</f>
        <v>0</v>
      </c>
      <c r="O340" s="207">
        <f>IF(ISNUMBER(VLOOKUP($B:$B,'BS(분기)'!$A:$F,$2:$2,0)),VLOOKUP($B:$B,'BS(분기)'!$A:$F,$2:$2,0),0)</f>
        <v>0</v>
      </c>
      <c r="P340" s="207">
        <f>IF(ISNUMBER(VLOOKUP($B:$B,'BS(분기)'!$A:$F,$2:$2,0)),VLOOKUP($B:$B,'BS(분기)'!$A:$F,$2:$2,0),0)</f>
        <v>0</v>
      </c>
      <c r="Q340" s="207">
        <f>IF(ISNUMBER(VLOOKUP($B:$B,'BS(분기)'!$A:$F,$2:$2,0)),VLOOKUP($B:$B,'BS(분기)'!$A:$F,$2:$2,0),0)</f>
        <v>0</v>
      </c>
      <c r="R340" s="207">
        <f>IF(ISNUMBER(VLOOKUP($B:$B,'BS(분기)'!$A:$F,$2:$2,0)),VLOOKUP($B:$B,'BS(분기)'!$A:$F,$2:$2,0),0)</f>
        <v>0</v>
      </c>
    </row>
    <row r="341" spans="1:18" s="192" customFormat="1" ht="12">
      <c r="A341" s="202">
        <v>113194</v>
      </c>
      <c r="B341" s="195" t="s">
        <v>1108</v>
      </c>
      <c r="C341" s="217">
        <f>IF(ISNUMBER(VLOOKUP($B:$B,BS!$A:$D,$2:$2,0)),VLOOKUP($B:$B,BS!$A:$D,$2:$2,0),0)</f>
        <v>0</v>
      </c>
      <c r="D341" s="217">
        <f>IF(ISNUMBER(VLOOKUP($B:$B,BS!$A:$D,$2:$2,0)),VLOOKUP($B:$B,BS!$A:$D,$2:$2,0),0)</f>
        <v>0</v>
      </c>
      <c r="E341" s="217">
        <f>IF(ISNUMBER(VLOOKUP($B:$B,BS!$A:$D,$2:$2,0)),VLOOKUP($B:$B,BS!$A:$D,$2:$2,0),0)</f>
        <v>0</v>
      </c>
      <c r="F341" s="217">
        <f>IF(ISNUMBER(VLOOKUP($B:$B,BS!$A:$D,$2:$2,0)),VLOOKUP($B:$B,BS!$A:$D,$2:$2,0),0)</f>
        <v>0</v>
      </c>
      <c r="G341" s="217">
        <f>IF(ISNUMBER(VLOOKUP($B:$B,BS!$A:$D,$2:$2,0)),VLOOKUP($B:$B,BS!$A:$D,$2:$2,0),0)</f>
        <v>0</v>
      </c>
      <c r="H341" s="207">
        <f>IF(ISNUMBER(VLOOKUP($B:$B,'BS(과거)'!$A:$F,$2:$2,0)),VLOOKUP($B:$B,'BS(과거)'!$A:$F,$2:$2,0),0)</f>
        <v>0</v>
      </c>
      <c r="I341" s="207">
        <f>IF(ISNUMBER(VLOOKUP($B:$B,'BS(과거)'!$A:$F,$2:$2,0)),VLOOKUP($B:$B,'BS(과거)'!$A:$F,$2:$2,0),0)</f>
        <v>0</v>
      </c>
      <c r="J341" s="207">
        <f>IF(ISNUMBER(VLOOKUP($B:$B,'BS(과거)'!$A:$F,$2:$2,0)),VLOOKUP($B:$B,'BS(과거)'!$A:$F,$2:$2,0),0)</f>
        <v>0</v>
      </c>
      <c r="K341" s="207">
        <f>IF(ISNUMBER(VLOOKUP($B:$B,'BS(과거)'!$A:$F,$2:$2,0)),VLOOKUP($B:$B,'BS(과거)'!$A:$F,$2:$2,0),0)</f>
        <v>0</v>
      </c>
      <c r="L341" s="207">
        <f>IF(ISNUMBER(VLOOKUP($B:$B,'BS(과거)'!$A:$F,$2:$2,0)),VLOOKUP($B:$B,'BS(과거)'!$A:$F,$2:$2,0),0)</f>
        <v>0</v>
      </c>
      <c r="N341" s="207">
        <f>IF(ISNUMBER(VLOOKUP($B:$B,'BS(분기)'!$A:$F,$2:$2,0)),VLOOKUP($B:$B,'BS(분기)'!$A:$F,$2:$2,0),0)</f>
        <v>0</v>
      </c>
      <c r="O341" s="207">
        <f>IF(ISNUMBER(VLOOKUP($B:$B,'BS(분기)'!$A:$F,$2:$2,0)),VLOOKUP($B:$B,'BS(분기)'!$A:$F,$2:$2,0),0)</f>
        <v>0</v>
      </c>
      <c r="P341" s="207">
        <f>IF(ISNUMBER(VLOOKUP($B:$B,'BS(분기)'!$A:$F,$2:$2,0)),VLOOKUP($B:$B,'BS(분기)'!$A:$F,$2:$2,0),0)</f>
        <v>0</v>
      </c>
      <c r="Q341" s="207">
        <f>IF(ISNUMBER(VLOOKUP($B:$B,'BS(분기)'!$A:$F,$2:$2,0)),VLOOKUP($B:$B,'BS(분기)'!$A:$F,$2:$2,0),0)</f>
        <v>0</v>
      </c>
      <c r="R341" s="207">
        <f>IF(ISNUMBER(VLOOKUP($B:$B,'BS(분기)'!$A:$F,$2:$2,0)),VLOOKUP($B:$B,'BS(분기)'!$A:$F,$2:$2,0),0)</f>
        <v>0</v>
      </c>
    </row>
    <row r="342" spans="1:18" s="192" customFormat="1" ht="12">
      <c r="A342" s="202">
        <v>113179</v>
      </c>
      <c r="B342" s="195" t="s">
        <v>1109</v>
      </c>
      <c r="C342" s="217">
        <f>IF(ISNUMBER(VLOOKUP($B:$B,BS!$A:$D,$2:$2,0)),VLOOKUP($B:$B,BS!$A:$D,$2:$2,0),0)</f>
        <v>0</v>
      </c>
      <c r="D342" s="217">
        <f>IF(ISNUMBER(VLOOKUP($B:$B,BS!$A:$D,$2:$2,0)),VLOOKUP($B:$B,BS!$A:$D,$2:$2,0),0)</f>
        <v>0</v>
      </c>
      <c r="E342" s="217">
        <f>IF(ISNUMBER(VLOOKUP($B:$B,BS!$A:$D,$2:$2,0)),VLOOKUP($B:$B,BS!$A:$D,$2:$2,0),0)</f>
        <v>0</v>
      </c>
      <c r="F342" s="217">
        <f>IF(ISNUMBER(VLOOKUP($B:$B,BS!$A:$D,$2:$2,0)),VLOOKUP($B:$B,BS!$A:$D,$2:$2,0),0)</f>
        <v>0</v>
      </c>
      <c r="G342" s="217">
        <f>IF(ISNUMBER(VLOOKUP($B:$B,BS!$A:$D,$2:$2,0)),VLOOKUP($B:$B,BS!$A:$D,$2:$2,0),0)</f>
        <v>0</v>
      </c>
      <c r="H342" s="207">
        <f>IF(ISNUMBER(VLOOKUP($B:$B,'BS(과거)'!$A:$F,$2:$2,0)),VLOOKUP($B:$B,'BS(과거)'!$A:$F,$2:$2,0),0)</f>
        <v>0</v>
      </c>
      <c r="I342" s="207">
        <f>IF(ISNUMBER(VLOOKUP($B:$B,'BS(과거)'!$A:$F,$2:$2,0)),VLOOKUP($B:$B,'BS(과거)'!$A:$F,$2:$2,0),0)</f>
        <v>0</v>
      </c>
      <c r="J342" s="207">
        <f>IF(ISNUMBER(VLOOKUP($B:$B,'BS(과거)'!$A:$F,$2:$2,0)),VLOOKUP($B:$B,'BS(과거)'!$A:$F,$2:$2,0),0)</f>
        <v>0</v>
      </c>
      <c r="K342" s="207">
        <f>IF(ISNUMBER(VLOOKUP($B:$B,'BS(과거)'!$A:$F,$2:$2,0)),VLOOKUP($B:$B,'BS(과거)'!$A:$F,$2:$2,0),0)</f>
        <v>0</v>
      </c>
      <c r="L342" s="207">
        <f>IF(ISNUMBER(VLOOKUP($B:$B,'BS(과거)'!$A:$F,$2:$2,0)),VLOOKUP($B:$B,'BS(과거)'!$A:$F,$2:$2,0),0)</f>
        <v>0</v>
      </c>
      <c r="N342" s="207">
        <f>IF(ISNUMBER(VLOOKUP($B:$B,'BS(분기)'!$A:$F,$2:$2,0)),VLOOKUP($B:$B,'BS(분기)'!$A:$F,$2:$2,0),0)</f>
        <v>0</v>
      </c>
      <c r="O342" s="207">
        <f>IF(ISNUMBER(VLOOKUP($B:$B,'BS(분기)'!$A:$F,$2:$2,0)),VLOOKUP($B:$B,'BS(분기)'!$A:$F,$2:$2,0),0)</f>
        <v>0</v>
      </c>
      <c r="P342" s="207">
        <f>IF(ISNUMBER(VLOOKUP($B:$B,'BS(분기)'!$A:$F,$2:$2,0)),VLOOKUP($B:$B,'BS(분기)'!$A:$F,$2:$2,0),0)</f>
        <v>0</v>
      </c>
      <c r="Q342" s="207">
        <f>IF(ISNUMBER(VLOOKUP($B:$B,'BS(분기)'!$A:$F,$2:$2,0)),VLOOKUP($B:$B,'BS(분기)'!$A:$F,$2:$2,0),0)</f>
        <v>0</v>
      </c>
      <c r="R342" s="207">
        <f>IF(ISNUMBER(VLOOKUP($B:$B,'BS(분기)'!$A:$F,$2:$2,0)),VLOOKUP($B:$B,'BS(분기)'!$A:$F,$2:$2,0),0)</f>
        <v>0</v>
      </c>
    </row>
    <row r="343" spans="1:18" s="192" customFormat="1" ht="12">
      <c r="A343" s="202">
        <v>113199</v>
      </c>
      <c r="B343" s="195" t="s">
        <v>814</v>
      </c>
      <c r="C343" s="217">
        <f>IF(ISNUMBER(VLOOKUP($B:$B,BS!$A:$D,$2:$2,0)),VLOOKUP($B:$B,BS!$A:$D,$2:$2,0),0)</f>
        <v>0</v>
      </c>
      <c r="D343" s="217">
        <f>IF(ISNUMBER(VLOOKUP($B:$B,BS!$A:$D,$2:$2,0)),VLOOKUP($B:$B,BS!$A:$D,$2:$2,0),0)</f>
        <v>0</v>
      </c>
      <c r="E343" s="217">
        <f>IF(ISNUMBER(VLOOKUP($B:$B,BS!$A:$D,$2:$2,0)),VLOOKUP($B:$B,BS!$A:$D,$2:$2,0),0)</f>
        <v>0</v>
      </c>
      <c r="F343" s="217">
        <f>IF(ISNUMBER(VLOOKUP($B:$B,BS!$A:$D,$2:$2,0)),VLOOKUP($B:$B,BS!$A:$D,$2:$2,0),0)</f>
        <v>0</v>
      </c>
      <c r="G343" s="217">
        <f>IF(ISNUMBER(VLOOKUP($B:$B,BS!$A:$D,$2:$2,0)),VLOOKUP($B:$B,BS!$A:$D,$2:$2,0),0)</f>
        <v>0</v>
      </c>
      <c r="H343" s="207">
        <f>IF(ISNUMBER(VLOOKUP($B:$B,'BS(과거)'!$A:$F,$2:$2,0)),VLOOKUP($B:$B,'BS(과거)'!$A:$F,$2:$2,0),0)</f>
        <v>0</v>
      </c>
      <c r="I343" s="207">
        <f>IF(ISNUMBER(VLOOKUP($B:$B,'BS(과거)'!$A:$F,$2:$2,0)),VLOOKUP($B:$B,'BS(과거)'!$A:$F,$2:$2,0),0)</f>
        <v>0</v>
      </c>
      <c r="J343" s="207">
        <f>IF(ISNUMBER(VLOOKUP($B:$B,'BS(과거)'!$A:$F,$2:$2,0)),VLOOKUP($B:$B,'BS(과거)'!$A:$F,$2:$2,0),0)</f>
        <v>0</v>
      </c>
      <c r="K343" s="207">
        <f>IF(ISNUMBER(VLOOKUP($B:$B,'BS(과거)'!$A:$F,$2:$2,0)),VLOOKUP($B:$B,'BS(과거)'!$A:$F,$2:$2,0),0)</f>
        <v>0</v>
      </c>
      <c r="L343" s="207">
        <f>IF(ISNUMBER(VLOOKUP($B:$B,'BS(과거)'!$A:$F,$2:$2,0)),VLOOKUP($B:$B,'BS(과거)'!$A:$F,$2:$2,0),0)</f>
        <v>0</v>
      </c>
      <c r="N343" s="207">
        <f>IF(ISNUMBER(VLOOKUP($B:$B,'BS(분기)'!$A:$F,$2:$2,0)),VLOOKUP($B:$B,'BS(분기)'!$A:$F,$2:$2,0),0)</f>
        <v>0</v>
      </c>
      <c r="O343" s="207">
        <f>IF(ISNUMBER(VLOOKUP($B:$B,'BS(분기)'!$A:$F,$2:$2,0)),VLOOKUP($B:$B,'BS(분기)'!$A:$F,$2:$2,0),0)</f>
        <v>0</v>
      </c>
      <c r="P343" s="207">
        <f>IF(ISNUMBER(VLOOKUP($B:$B,'BS(분기)'!$A:$F,$2:$2,0)),VLOOKUP($B:$B,'BS(분기)'!$A:$F,$2:$2,0),0)</f>
        <v>0</v>
      </c>
      <c r="Q343" s="207">
        <f>IF(ISNUMBER(VLOOKUP($B:$B,'BS(분기)'!$A:$F,$2:$2,0)),VLOOKUP($B:$B,'BS(분기)'!$A:$F,$2:$2,0),0)</f>
        <v>0</v>
      </c>
      <c r="R343" s="207">
        <f>IF(ISNUMBER(VLOOKUP($B:$B,'BS(분기)'!$A:$F,$2:$2,0)),VLOOKUP($B:$B,'BS(분기)'!$A:$F,$2:$2,0),0)</f>
        <v>0</v>
      </c>
    </row>
    <row r="344" spans="1:18" s="192" customFormat="1" ht="12">
      <c r="A344" s="202">
        <v>113197</v>
      </c>
      <c r="B344" s="195" t="s">
        <v>1110</v>
      </c>
      <c r="C344" s="217">
        <f>IF(ISNUMBER(VLOOKUP($B:$B,BS!$A:$D,$2:$2,0)),VLOOKUP($B:$B,BS!$A:$D,$2:$2,0),0)</f>
        <v>0</v>
      </c>
      <c r="D344" s="217">
        <f>IF(ISNUMBER(VLOOKUP($B:$B,BS!$A:$D,$2:$2,0)),VLOOKUP($B:$B,BS!$A:$D,$2:$2,0),0)</f>
        <v>0</v>
      </c>
      <c r="E344" s="217">
        <f>IF(ISNUMBER(VLOOKUP($B:$B,BS!$A:$D,$2:$2,0)),VLOOKUP($B:$B,BS!$A:$D,$2:$2,0),0)</f>
        <v>0</v>
      </c>
      <c r="F344" s="217">
        <f>IF(ISNUMBER(VLOOKUP($B:$B,BS!$A:$D,$2:$2,0)),VLOOKUP($B:$B,BS!$A:$D,$2:$2,0),0)</f>
        <v>0</v>
      </c>
      <c r="G344" s="217">
        <f>IF(ISNUMBER(VLOOKUP($B:$B,BS!$A:$D,$2:$2,0)),VLOOKUP($B:$B,BS!$A:$D,$2:$2,0),0)</f>
        <v>0</v>
      </c>
      <c r="H344" s="207">
        <f>IF(ISNUMBER(VLOOKUP($B:$B,'BS(과거)'!$A:$F,$2:$2,0)),VLOOKUP($B:$B,'BS(과거)'!$A:$F,$2:$2,0),0)</f>
        <v>0</v>
      </c>
      <c r="I344" s="207">
        <f>IF(ISNUMBER(VLOOKUP($B:$B,'BS(과거)'!$A:$F,$2:$2,0)),VLOOKUP($B:$B,'BS(과거)'!$A:$F,$2:$2,0),0)</f>
        <v>0</v>
      </c>
      <c r="J344" s="207">
        <f>IF(ISNUMBER(VLOOKUP($B:$B,'BS(과거)'!$A:$F,$2:$2,0)),VLOOKUP($B:$B,'BS(과거)'!$A:$F,$2:$2,0),0)</f>
        <v>0</v>
      </c>
      <c r="K344" s="207">
        <f>IF(ISNUMBER(VLOOKUP($B:$B,'BS(과거)'!$A:$F,$2:$2,0)),VLOOKUP($B:$B,'BS(과거)'!$A:$F,$2:$2,0),0)</f>
        <v>0</v>
      </c>
      <c r="L344" s="207">
        <f>IF(ISNUMBER(VLOOKUP($B:$B,'BS(과거)'!$A:$F,$2:$2,0)),VLOOKUP($B:$B,'BS(과거)'!$A:$F,$2:$2,0),0)</f>
        <v>0</v>
      </c>
      <c r="N344" s="207">
        <f>IF(ISNUMBER(VLOOKUP($B:$B,'BS(분기)'!$A:$F,$2:$2,0)),VLOOKUP($B:$B,'BS(분기)'!$A:$F,$2:$2,0),0)</f>
        <v>0</v>
      </c>
      <c r="O344" s="207">
        <f>IF(ISNUMBER(VLOOKUP($B:$B,'BS(분기)'!$A:$F,$2:$2,0)),VLOOKUP($B:$B,'BS(분기)'!$A:$F,$2:$2,0),0)</f>
        <v>0</v>
      </c>
      <c r="P344" s="207">
        <f>IF(ISNUMBER(VLOOKUP($B:$B,'BS(분기)'!$A:$F,$2:$2,0)),VLOOKUP($B:$B,'BS(분기)'!$A:$F,$2:$2,0),0)</f>
        <v>0</v>
      </c>
      <c r="Q344" s="207">
        <f>IF(ISNUMBER(VLOOKUP($B:$B,'BS(분기)'!$A:$F,$2:$2,0)),VLOOKUP($B:$B,'BS(분기)'!$A:$F,$2:$2,0),0)</f>
        <v>0</v>
      </c>
      <c r="R344" s="207">
        <f>IF(ISNUMBER(VLOOKUP($B:$B,'BS(분기)'!$A:$F,$2:$2,0)),VLOOKUP($B:$B,'BS(분기)'!$A:$F,$2:$2,0),0)</f>
        <v>0</v>
      </c>
    </row>
    <row r="345" spans="1:18" s="192" customFormat="1" ht="12">
      <c r="A345" s="202">
        <v>113198</v>
      </c>
      <c r="B345" s="195" t="s">
        <v>1111</v>
      </c>
      <c r="C345" s="217">
        <f>IF(ISNUMBER(VLOOKUP($B:$B,BS!$A:$D,$2:$2,0)),VLOOKUP($B:$B,BS!$A:$D,$2:$2,0),0)</f>
        <v>0</v>
      </c>
      <c r="D345" s="217">
        <f>IF(ISNUMBER(VLOOKUP($B:$B,BS!$A:$D,$2:$2,0)),VLOOKUP($B:$B,BS!$A:$D,$2:$2,0),0)</f>
        <v>0</v>
      </c>
      <c r="E345" s="217">
        <f>IF(ISNUMBER(VLOOKUP($B:$B,BS!$A:$D,$2:$2,0)),VLOOKUP($B:$B,BS!$A:$D,$2:$2,0),0)</f>
        <v>0</v>
      </c>
      <c r="F345" s="217">
        <f>IF(ISNUMBER(VLOOKUP($B:$B,BS!$A:$D,$2:$2,0)),VLOOKUP($B:$B,BS!$A:$D,$2:$2,0),0)</f>
        <v>0</v>
      </c>
      <c r="G345" s="217">
        <f>IF(ISNUMBER(VLOOKUP($B:$B,BS!$A:$D,$2:$2,0)),VLOOKUP($B:$B,BS!$A:$D,$2:$2,0),0)</f>
        <v>0</v>
      </c>
      <c r="H345" s="207">
        <f>IF(ISNUMBER(VLOOKUP($B:$B,'BS(과거)'!$A:$F,$2:$2,0)),VLOOKUP($B:$B,'BS(과거)'!$A:$F,$2:$2,0),0)</f>
        <v>0</v>
      </c>
      <c r="I345" s="207">
        <f>IF(ISNUMBER(VLOOKUP($B:$B,'BS(과거)'!$A:$F,$2:$2,0)),VLOOKUP($B:$B,'BS(과거)'!$A:$F,$2:$2,0),0)</f>
        <v>0</v>
      </c>
      <c r="J345" s="207">
        <f>IF(ISNUMBER(VLOOKUP($B:$B,'BS(과거)'!$A:$F,$2:$2,0)),VLOOKUP($B:$B,'BS(과거)'!$A:$F,$2:$2,0),0)</f>
        <v>0</v>
      </c>
      <c r="K345" s="207">
        <f>IF(ISNUMBER(VLOOKUP($B:$B,'BS(과거)'!$A:$F,$2:$2,0)),VLOOKUP($B:$B,'BS(과거)'!$A:$F,$2:$2,0),0)</f>
        <v>0</v>
      </c>
      <c r="L345" s="207">
        <f>IF(ISNUMBER(VLOOKUP($B:$B,'BS(과거)'!$A:$F,$2:$2,0)),VLOOKUP($B:$B,'BS(과거)'!$A:$F,$2:$2,0),0)</f>
        <v>0</v>
      </c>
      <c r="N345" s="207">
        <f>IF(ISNUMBER(VLOOKUP($B:$B,'BS(분기)'!$A:$F,$2:$2,0)),VLOOKUP($B:$B,'BS(분기)'!$A:$F,$2:$2,0),0)</f>
        <v>0</v>
      </c>
      <c r="O345" s="207">
        <f>IF(ISNUMBER(VLOOKUP($B:$B,'BS(분기)'!$A:$F,$2:$2,0)),VLOOKUP($B:$B,'BS(분기)'!$A:$F,$2:$2,0),0)</f>
        <v>0</v>
      </c>
      <c r="P345" s="207">
        <f>IF(ISNUMBER(VLOOKUP($B:$B,'BS(분기)'!$A:$F,$2:$2,0)),VLOOKUP($B:$B,'BS(분기)'!$A:$F,$2:$2,0),0)</f>
        <v>0</v>
      </c>
      <c r="Q345" s="207">
        <f>IF(ISNUMBER(VLOOKUP($B:$B,'BS(분기)'!$A:$F,$2:$2,0)),VLOOKUP($B:$B,'BS(분기)'!$A:$F,$2:$2,0),0)</f>
        <v>0</v>
      </c>
      <c r="R345" s="207">
        <f>IF(ISNUMBER(VLOOKUP($B:$B,'BS(분기)'!$A:$F,$2:$2,0)),VLOOKUP($B:$B,'BS(분기)'!$A:$F,$2:$2,0),0)</f>
        <v>0</v>
      </c>
    </row>
    <row r="346" spans="1:18" s="192" customFormat="1" ht="12">
      <c r="A346" s="202">
        <v>113195</v>
      </c>
      <c r="B346" s="195" t="s">
        <v>1112</v>
      </c>
      <c r="C346" s="217">
        <f>IF(ISNUMBER(VLOOKUP($B:$B,BS!$A:$D,$2:$2,0)),VLOOKUP($B:$B,BS!$A:$D,$2:$2,0),0)</f>
        <v>0</v>
      </c>
      <c r="D346" s="217">
        <f>IF(ISNUMBER(VLOOKUP($B:$B,BS!$A:$D,$2:$2,0)),VLOOKUP($B:$B,BS!$A:$D,$2:$2,0),0)</f>
        <v>0</v>
      </c>
      <c r="E346" s="217">
        <f>IF(ISNUMBER(VLOOKUP($B:$B,BS!$A:$D,$2:$2,0)),VLOOKUP($B:$B,BS!$A:$D,$2:$2,0),0)</f>
        <v>0</v>
      </c>
      <c r="F346" s="217">
        <f>IF(ISNUMBER(VLOOKUP($B:$B,BS!$A:$D,$2:$2,0)),VLOOKUP($B:$B,BS!$A:$D,$2:$2,0),0)</f>
        <v>0</v>
      </c>
      <c r="G346" s="217">
        <f>IF(ISNUMBER(VLOOKUP($B:$B,BS!$A:$D,$2:$2,0)),VLOOKUP($B:$B,BS!$A:$D,$2:$2,0),0)</f>
        <v>0</v>
      </c>
      <c r="H346" s="207">
        <f>IF(ISNUMBER(VLOOKUP($B:$B,'BS(과거)'!$A:$F,$2:$2,0)),VLOOKUP($B:$B,'BS(과거)'!$A:$F,$2:$2,0),0)</f>
        <v>0</v>
      </c>
      <c r="I346" s="207">
        <f>IF(ISNUMBER(VLOOKUP($B:$B,'BS(과거)'!$A:$F,$2:$2,0)),VLOOKUP($B:$B,'BS(과거)'!$A:$F,$2:$2,0),0)</f>
        <v>0</v>
      </c>
      <c r="J346" s="207">
        <f>IF(ISNUMBER(VLOOKUP($B:$B,'BS(과거)'!$A:$F,$2:$2,0)),VLOOKUP($B:$B,'BS(과거)'!$A:$F,$2:$2,0),0)</f>
        <v>0</v>
      </c>
      <c r="K346" s="207">
        <f>IF(ISNUMBER(VLOOKUP($B:$B,'BS(과거)'!$A:$F,$2:$2,0)),VLOOKUP($B:$B,'BS(과거)'!$A:$F,$2:$2,0),0)</f>
        <v>0</v>
      </c>
      <c r="L346" s="207">
        <f>IF(ISNUMBER(VLOOKUP($B:$B,'BS(과거)'!$A:$F,$2:$2,0)),VLOOKUP($B:$B,'BS(과거)'!$A:$F,$2:$2,0),0)</f>
        <v>0</v>
      </c>
      <c r="N346" s="207">
        <f>IF(ISNUMBER(VLOOKUP($B:$B,'BS(분기)'!$A:$F,$2:$2,0)),VLOOKUP($B:$B,'BS(분기)'!$A:$F,$2:$2,0),0)</f>
        <v>0</v>
      </c>
      <c r="O346" s="207">
        <f>IF(ISNUMBER(VLOOKUP($B:$B,'BS(분기)'!$A:$F,$2:$2,0)),VLOOKUP($B:$B,'BS(분기)'!$A:$F,$2:$2,0),0)</f>
        <v>0</v>
      </c>
      <c r="P346" s="207">
        <f>IF(ISNUMBER(VLOOKUP($B:$B,'BS(분기)'!$A:$F,$2:$2,0)),VLOOKUP($B:$B,'BS(분기)'!$A:$F,$2:$2,0),0)</f>
        <v>0</v>
      </c>
      <c r="Q346" s="207">
        <f>IF(ISNUMBER(VLOOKUP($B:$B,'BS(분기)'!$A:$F,$2:$2,0)),VLOOKUP($B:$B,'BS(분기)'!$A:$F,$2:$2,0),0)</f>
        <v>0</v>
      </c>
      <c r="R346" s="207">
        <f>IF(ISNUMBER(VLOOKUP($B:$B,'BS(분기)'!$A:$F,$2:$2,0)),VLOOKUP($B:$B,'BS(분기)'!$A:$F,$2:$2,0),0)</f>
        <v>0</v>
      </c>
    </row>
    <row r="347" spans="1:18" s="192" customFormat="1" ht="12">
      <c r="A347" s="202">
        <v>113196</v>
      </c>
      <c r="B347" s="195" t="s">
        <v>1113</v>
      </c>
      <c r="C347" s="217">
        <f>IF(ISNUMBER(VLOOKUP($B:$B,BS!$A:$D,$2:$2,0)),VLOOKUP($B:$B,BS!$A:$D,$2:$2,0),0)</f>
        <v>0</v>
      </c>
      <c r="D347" s="217">
        <f>IF(ISNUMBER(VLOOKUP($B:$B,BS!$A:$D,$2:$2,0)),VLOOKUP($B:$B,BS!$A:$D,$2:$2,0),0)</f>
        <v>0</v>
      </c>
      <c r="E347" s="217">
        <f>IF(ISNUMBER(VLOOKUP($B:$B,BS!$A:$D,$2:$2,0)),VLOOKUP($B:$B,BS!$A:$D,$2:$2,0),0)</f>
        <v>0</v>
      </c>
      <c r="F347" s="217">
        <f>IF(ISNUMBER(VLOOKUP($B:$B,BS!$A:$D,$2:$2,0)),VLOOKUP($B:$B,BS!$A:$D,$2:$2,0),0)</f>
        <v>0</v>
      </c>
      <c r="G347" s="217">
        <f>IF(ISNUMBER(VLOOKUP($B:$B,BS!$A:$D,$2:$2,0)),VLOOKUP($B:$B,BS!$A:$D,$2:$2,0),0)</f>
        <v>0</v>
      </c>
      <c r="H347" s="207">
        <f>IF(ISNUMBER(VLOOKUP($B:$B,'BS(과거)'!$A:$F,$2:$2,0)),VLOOKUP($B:$B,'BS(과거)'!$A:$F,$2:$2,0),0)</f>
        <v>0</v>
      </c>
      <c r="I347" s="207">
        <f>IF(ISNUMBER(VLOOKUP($B:$B,'BS(과거)'!$A:$F,$2:$2,0)),VLOOKUP($B:$B,'BS(과거)'!$A:$F,$2:$2,0),0)</f>
        <v>0</v>
      </c>
      <c r="J347" s="207">
        <f>IF(ISNUMBER(VLOOKUP($B:$B,'BS(과거)'!$A:$F,$2:$2,0)),VLOOKUP($B:$B,'BS(과거)'!$A:$F,$2:$2,0),0)</f>
        <v>0</v>
      </c>
      <c r="K347" s="207">
        <f>IF(ISNUMBER(VLOOKUP($B:$B,'BS(과거)'!$A:$F,$2:$2,0)),VLOOKUP($B:$B,'BS(과거)'!$A:$F,$2:$2,0),0)</f>
        <v>0</v>
      </c>
      <c r="L347" s="207">
        <f>IF(ISNUMBER(VLOOKUP($B:$B,'BS(과거)'!$A:$F,$2:$2,0)),VLOOKUP($B:$B,'BS(과거)'!$A:$F,$2:$2,0),0)</f>
        <v>0</v>
      </c>
      <c r="N347" s="207">
        <f>IF(ISNUMBER(VLOOKUP($B:$B,'BS(분기)'!$A:$F,$2:$2,0)),VLOOKUP($B:$B,'BS(분기)'!$A:$F,$2:$2,0),0)</f>
        <v>0</v>
      </c>
      <c r="O347" s="207">
        <f>IF(ISNUMBER(VLOOKUP($B:$B,'BS(분기)'!$A:$F,$2:$2,0)),VLOOKUP($B:$B,'BS(분기)'!$A:$F,$2:$2,0),0)</f>
        <v>0</v>
      </c>
      <c r="P347" s="207">
        <f>IF(ISNUMBER(VLOOKUP($B:$B,'BS(분기)'!$A:$F,$2:$2,0)),VLOOKUP($B:$B,'BS(분기)'!$A:$F,$2:$2,0),0)</f>
        <v>0</v>
      </c>
      <c r="Q347" s="207">
        <f>IF(ISNUMBER(VLOOKUP($B:$B,'BS(분기)'!$A:$F,$2:$2,0)),VLOOKUP($B:$B,'BS(분기)'!$A:$F,$2:$2,0),0)</f>
        <v>0</v>
      </c>
      <c r="R347" s="207">
        <f>IF(ISNUMBER(VLOOKUP($B:$B,'BS(분기)'!$A:$F,$2:$2,0)),VLOOKUP($B:$B,'BS(분기)'!$A:$F,$2:$2,0),0)</f>
        <v>0</v>
      </c>
    </row>
    <row r="348" spans="1:18" s="192" customFormat="1" ht="12">
      <c r="A348" s="201">
        <v>113400</v>
      </c>
      <c r="B348" s="194" t="s">
        <v>815</v>
      </c>
      <c r="C348" s="217">
        <f>IF(ISNUMBER(VLOOKUP($B:$B,BS!$A:$D,$2:$2,0)),VLOOKUP($B:$B,BS!$A:$D,$2:$2,0),0)</f>
        <v>0</v>
      </c>
      <c r="D348" s="217">
        <f>IF(ISNUMBER(VLOOKUP($B:$B,BS!$A:$D,$2:$2,0)),VLOOKUP($B:$B,BS!$A:$D,$2:$2,0),0)</f>
        <v>0</v>
      </c>
      <c r="E348" s="217">
        <f>IF(ISNUMBER(VLOOKUP($B:$B,BS!$A:$D,$2:$2,0)),VLOOKUP($B:$B,BS!$A:$D,$2:$2,0),0)</f>
        <v>0</v>
      </c>
      <c r="F348" s="217">
        <f>IF(ISNUMBER(VLOOKUP($B:$B,BS!$A:$D,$2:$2,0)),VLOOKUP($B:$B,BS!$A:$D,$2:$2,0),0)</f>
        <v>0</v>
      </c>
      <c r="G348" s="217">
        <f>IF(ISNUMBER(VLOOKUP($B:$B,BS!$A:$D,$2:$2,0)),VLOOKUP($B:$B,BS!$A:$D,$2:$2,0),0)</f>
        <v>0</v>
      </c>
      <c r="H348" s="207">
        <f>IF(ISNUMBER(VLOOKUP($B:$B,'BS(과거)'!$A:$F,$2:$2,0)),VLOOKUP($B:$B,'BS(과거)'!$A:$F,$2:$2,0),0)</f>
        <v>0</v>
      </c>
      <c r="I348" s="207">
        <f>IF(ISNUMBER(VLOOKUP($B:$B,'BS(과거)'!$A:$F,$2:$2,0)),VLOOKUP($B:$B,'BS(과거)'!$A:$F,$2:$2,0),0)</f>
        <v>0</v>
      </c>
      <c r="J348" s="207">
        <f>IF(ISNUMBER(VLOOKUP($B:$B,'BS(과거)'!$A:$F,$2:$2,0)),VLOOKUP($B:$B,'BS(과거)'!$A:$F,$2:$2,0),0)</f>
        <v>0</v>
      </c>
      <c r="K348" s="207">
        <f>IF(ISNUMBER(VLOOKUP($B:$B,'BS(과거)'!$A:$F,$2:$2,0)),VLOOKUP($B:$B,'BS(과거)'!$A:$F,$2:$2,0),0)</f>
        <v>0</v>
      </c>
      <c r="L348" s="207">
        <f>IF(ISNUMBER(VLOOKUP($B:$B,'BS(과거)'!$A:$F,$2:$2,0)),VLOOKUP($B:$B,'BS(과거)'!$A:$F,$2:$2,0),0)</f>
        <v>0</v>
      </c>
      <c r="N348" s="207">
        <f>IF(ISNUMBER(VLOOKUP($B:$B,'BS(분기)'!$A:$F,$2:$2,0)),VLOOKUP($B:$B,'BS(분기)'!$A:$F,$2:$2,0),0)</f>
        <v>0</v>
      </c>
      <c r="O348" s="207">
        <f>IF(ISNUMBER(VLOOKUP($B:$B,'BS(분기)'!$A:$F,$2:$2,0)),VLOOKUP($B:$B,'BS(분기)'!$A:$F,$2:$2,0),0)</f>
        <v>0</v>
      </c>
      <c r="P348" s="207">
        <f>IF(ISNUMBER(VLOOKUP($B:$B,'BS(분기)'!$A:$F,$2:$2,0)),VLOOKUP($B:$B,'BS(분기)'!$A:$F,$2:$2,0),0)</f>
        <v>0</v>
      </c>
      <c r="Q348" s="207">
        <f>IF(ISNUMBER(VLOOKUP($B:$B,'BS(분기)'!$A:$F,$2:$2,0)),VLOOKUP($B:$B,'BS(분기)'!$A:$F,$2:$2,0),0)</f>
        <v>0</v>
      </c>
      <c r="R348" s="207">
        <f>IF(ISNUMBER(VLOOKUP($B:$B,'BS(분기)'!$A:$F,$2:$2,0)),VLOOKUP($B:$B,'BS(분기)'!$A:$F,$2:$2,0),0)</f>
        <v>0</v>
      </c>
    </row>
    <row r="349" spans="1:18" s="192" customFormat="1" ht="12">
      <c r="A349" s="201">
        <v>113355</v>
      </c>
      <c r="B349" s="194" t="s">
        <v>1114</v>
      </c>
      <c r="C349" s="217">
        <f>IF(ISNUMBER(VLOOKUP($B:$B,BS!$A:$D,$2:$2,0)),VLOOKUP($B:$B,BS!$A:$D,$2:$2,0),0)</f>
        <v>0</v>
      </c>
      <c r="D349" s="217">
        <f>IF(ISNUMBER(VLOOKUP($B:$B,BS!$A:$D,$2:$2,0)),VLOOKUP($B:$B,BS!$A:$D,$2:$2,0),0)</f>
        <v>0</v>
      </c>
      <c r="E349" s="217">
        <f>IF(ISNUMBER(VLOOKUP($B:$B,BS!$A:$D,$2:$2,0)),VLOOKUP($B:$B,BS!$A:$D,$2:$2,0),0)</f>
        <v>0</v>
      </c>
      <c r="F349" s="217">
        <f>IF(ISNUMBER(VLOOKUP($B:$B,BS!$A:$D,$2:$2,0)),VLOOKUP($B:$B,BS!$A:$D,$2:$2,0),0)</f>
        <v>0</v>
      </c>
      <c r="G349" s="217">
        <f>IF(ISNUMBER(VLOOKUP($B:$B,BS!$A:$D,$2:$2,0)),VLOOKUP($B:$B,BS!$A:$D,$2:$2,0),0)</f>
        <v>0</v>
      </c>
      <c r="H349" s="207">
        <f>IF(ISNUMBER(VLOOKUP($B:$B,'BS(과거)'!$A:$F,$2:$2,0)),VLOOKUP($B:$B,'BS(과거)'!$A:$F,$2:$2,0),0)</f>
        <v>0</v>
      </c>
      <c r="I349" s="207">
        <f>IF(ISNUMBER(VLOOKUP($B:$B,'BS(과거)'!$A:$F,$2:$2,0)),VLOOKUP($B:$B,'BS(과거)'!$A:$F,$2:$2,0),0)</f>
        <v>0</v>
      </c>
      <c r="J349" s="207">
        <f>IF(ISNUMBER(VLOOKUP($B:$B,'BS(과거)'!$A:$F,$2:$2,0)),VLOOKUP($B:$B,'BS(과거)'!$A:$F,$2:$2,0),0)</f>
        <v>0</v>
      </c>
      <c r="K349" s="207">
        <f>IF(ISNUMBER(VLOOKUP($B:$B,'BS(과거)'!$A:$F,$2:$2,0)),VLOOKUP($B:$B,'BS(과거)'!$A:$F,$2:$2,0),0)</f>
        <v>0</v>
      </c>
      <c r="L349" s="207">
        <f>IF(ISNUMBER(VLOOKUP($B:$B,'BS(과거)'!$A:$F,$2:$2,0)),VLOOKUP($B:$B,'BS(과거)'!$A:$F,$2:$2,0),0)</f>
        <v>0</v>
      </c>
      <c r="N349" s="207">
        <f>IF(ISNUMBER(VLOOKUP($B:$B,'BS(분기)'!$A:$F,$2:$2,0)),VLOOKUP($B:$B,'BS(분기)'!$A:$F,$2:$2,0),0)</f>
        <v>0</v>
      </c>
      <c r="O349" s="207">
        <f>IF(ISNUMBER(VLOOKUP($B:$B,'BS(분기)'!$A:$F,$2:$2,0)),VLOOKUP($B:$B,'BS(분기)'!$A:$F,$2:$2,0),0)</f>
        <v>0</v>
      </c>
      <c r="P349" s="207">
        <f>IF(ISNUMBER(VLOOKUP($B:$B,'BS(분기)'!$A:$F,$2:$2,0)),VLOOKUP($B:$B,'BS(분기)'!$A:$F,$2:$2,0),0)</f>
        <v>0</v>
      </c>
      <c r="Q349" s="207">
        <f>IF(ISNUMBER(VLOOKUP($B:$B,'BS(분기)'!$A:$F,$2:$2,0)),VLOOKUP($B:$B,'BS(분기)'!$A:$F,$2:$2,0),0)</f>
        <v>0</v>
      </c>
      <c r="R349" s="207">
        <f>IF(ISNUMBER(VLOOKUP($B:$B,'BS(분기)'!$A:$F,$2:$2,0)),VLOOKUP($B:$B,'BS(분기)'!$A:$F,$2:$2,0),0)</f>
        <v>0</v>
      </c>
    </row>
    <row r="350" spans="1:18" s="192" customFormat="1" ht="12">
      <c r="A350" s="201">
        <v>113356</v>
      </c>
      <c r="B350" s="194" t="s">
        <v>1115</v>
      </c>
      <c r="C350" s="217">
        <f>IF(ISNUMBER(VLOOKUP($B:$B,BS!$A:$D,$2:$2,0)),VLOOKUP($B:$B,BS!$A:$D,$2:$2,0),0)</f>
        <v>0</v>
      </c>
      <c r="D350" s="217">
        <f>IF(ISNUMBER(VLOOKUP($B:$B,BS!$A:$D,$2:$2,0)),VLOOKUP($B:$B,BS!$A:$D,$2:$2,0),0)</f>
        <v>0</v>
      </c>
      <c r="E350" s="217">
        <f>IF(ISNUMBER(VLOOKUP($B:$B,BS!$A:$D,$2:$2,0)),VLOOKUP($B:$B,BS!$A:$D,$2:$2,0),0)</f>
        <v>0</v>
      </c>
      <c r="F350" s="217">
        <f>IF(ISNUMBER(VLOOKUP($B:$B,BS!$A:$D,$2:$2,0)),VLOOKUP($B:$B,BS!$A:$D,$2:$2,0),0)</f>
        <v>0</v>
      </c>
      <c r="G350" s="217">
        <f>IF(ISNUMBER(VLOOKUP($B:$B,BS!$A:$D,$2:$2,0)),VLOOKUP($B:$B,BS!$A:$D,$2:$2,0),0)</f>
        <v>0</v>
      </c>
      <c r="H350" s="207">
        <f>IF(ISNUMBER(VLOOKUP($B:$B,'BS(과거)'!$A:$F,$2:$2,0)),VLOOKUP($B:$B,'BS(과거)'!$A:$F,$2:$2,0),0)</f>
        <v>0</v>
      </c>
      <c r="I350" s="207">
        <f>IF(ISNUMBER(VLOOKUP($B:$B,'BS(과거)'!$A:$F,$2:$2,0)),VLOOKUP($B:$B,'BS(과거)'!$A:$F,$2:$2,0),0)</f>
        <v>0</v>
      </c>
      <c r="J350" s="207">
        <f>IF(ISNUMBER(VLOOKUP($B:$B,'BS(과거)'!$A:$F,$2:$2,0)),VLOOKUP($B:$B,'BS(과거)'!$A:$F,$2:$2,0),0)</f>
        <v>0</v>
      </c>
      <c r="K350" s="207">
        <f>IF(ISNUMBER(VLOOKUP($B:$B,'BS(과거)'!$A:$F,$2:$2,0)),VLOOKUP($B:$B,'BS(과거)'!$A:$F,$2:$2,0),0)</f>
        <v>0</v>
      </c>
      <c r="L350" s="207">
        <f>IF(ISNUMBER(VLOOKUP($B:$B,'BS(과거)'!$A:$F,$2:$2,0)),VLOOKUP($B:$B,'BS(과거)'!$A:$F,$2:$2,0),0)</f>
        <v>0</v>
      </c>
      <c r="N350" s="207">
        <f>IF(ISNUMBER(VLOOKUP($B:$B,'BS(분기)'!$A:$F,$2:$2,0)),VLOOKUP($B:$B,'BS(분기)'!$A:$F,$2:$2,0),0)</f>
        <v>0</v>
      </c>
      <c r="O350" s="207">
        <f>IF(ISNUMBER(VLOOKUP($B:$B,'BS(분기)'!$A:$F,$2:$2,0)),VLOOKUP($B:$B,'BS(분기)'!$A:$F,$2:$2,0),0)</f>
        <v>0</v>
      </c>
      <c r="P350" s="207">
        <f>IF(ISNUMBER(VLOOKUP($B:$B,'BS(분기)'!$A:$F,$2:$2,0)),VLOOKUP($B:$B,'BS(분기)'!$A:$F,$2:$2,0),0)</f>
        <v>0</v>
      </c>
      <c r="Q350" s="207">
        <f>IF(ISNUMBER(VLOOKUP($B:$B,'BS(분기)'!$A:$F,$2:$2,0)),VLOOKUP($B:$B,'BS(분기)'!$A:$F,$2:$2,0),0)</f>
        <v>0</v>
      </c>
      <c r="R350" s="207">
        <f>IF(ISNUMBER(VLOOKUP($B:$B,'BS(분기)'!$A:$F,$2:$2,0)),VLOOKUP($B:$B,'BS(분기)'!$A:$F,$2:$2,0),0)</f>
        <v>0</v>
      </c>
    </row>
    <row r="351" spans="1:18" s="192" customFormat="1" ht="12">
      <c r="A351" s="201">
        <v>113299</v>
      </c>
      <c r="B351" s="194" t="s">
        <v>871</v>
      </c>
      <c r="C351" s="217">
        <f>IF(ISNUMBER(VLOOKUP($B:$B,BS!$A:$D,$2:$2,0)),VLOOKUP($B:$B,BS!$A:$D,$2:$2,0),0)</f>
        <v>0</v>
      </c>
      <c r="D351" s="217">
        <f>IF(ISNUMBER(VLOOKUP($B:$B,BS!$A:$D,$2:$2,0)),VLOOKUP($B:$B,BS!$A:$D,$2:$2,0),0)</f>
        <v>0</v>
      </c>
      <c r="E351" s="217">
        <f>IF(ISNUMBER(VLOOKUP($B:$B,BS!$A:$D,$2:$2,0)),VLOOKUP($B:$B,BS!$A:$D,$2:$2,0),0)</f>
        <v>0</v>
      </c>
      <c r="F351" s="217">
        <f>IF(ISNUMBER(VLOOKUP($B:$B,BS!$A:$D,$2:$2,0)),VLOOKUP($B:$B,BS!$A:$D,$2:$2,0),0)</f>
        <v>0</v>
      </c>
      <c r="G351" s="217">
        <f>IF(ISNUMBER(VLOOKUP($B:$B,BS!$A:$D,$2:$2,0)),VLOOKUP($B:$B,BS!$A:$D,$2:$2,0),0)</f>
        <v>0</v>
      </c>
      <c r="H351" s="207">
        <f>IF(ISNUMBER(VLOOKUP($B:$B,'BS(과거)'!$A:$F,$2:$2,0)),VLOOKUP($B:$B,'BS(과거)'!$A:$F,$2:$2,0),0)</f>
        <v>0</v>
      </c>
      <c r="I351" s="207">
        <f>IF(ISNUMBER(VLOOKUP($B:$B,'BS(과거)'!$A:$F,$2:$2,0)),VLOOKUP($B:$B,'BS(과거)'!$A:$F,$2:$2,0),0)</f>
        <v>0</v>
      </c>
      <c r="J351" s="207">
        <f>IF(ISNUMBER(VLOOKUP($B:$B,'BS(과거)'!$A:$F,$2:$2,0)),VLOOKUP($B:$B,'BS(과거)'!$A:$F,$2:$2,0),0)</f>
        <v>0</v>
      </c>
      <c r="K351" s="207">
        <f>IF(ISNUMBER(VLOOKUP($B:$B,'BS(과거)'!$A:$F,$2:$2,0)),VLOOKUP($B:$B,'BS(과거)'!$A:$F,$2:$2,0),0)</f>
        <v>0</v>
      </c>
      <c r="L351" s="207">
        <f>IF(ISNUMBER(VLOOKUP($B:$B,'BS(과거)'!$A:$F,$2:$2,0)),VLOOKUP($B:$B,'BS(과거)'!$A:$F,$2:$2,0),0)</f>
        <v>0</v>
      </c>
      <c r="N351" s="207">
        <f>IF(ISNUMBER(VLOOKUP($B:$B,'BS(분기)'!$A:$F,$2:$2,0)),VLOOKUP($B:$B,'BS(분기)'!$A:$F,$2:$2,0),0)</f>
        <v>0</v>
      </c>
      <c r="O351" s="207">
        <f>IF(ISNUMBER(VLOOKUP($B:$B,'BS(분기)'!$A:$F,$2:$2,0)),VLOOKUP($B:$B,'BS(분기)'!$A:$F,$2:$2,0),0)</f>
        <v>0</v>
      </c>
      <c r="P351" s="207">
        <f>IF(ISNUMBER(VLOOKUP($B:$B,'BS(분기)'!$A:$F,$2:$2,0)),VLOOKUP($B:$B,'BS(분기)'!$A:$F,$2:$2,0),0)</f>
        <v>0</v>
      </c>
      <c r="Q351" s="207">
        <f>IF(ISNUMBER(VLOOKUP($B:$B,'BS(분기)'!$A:$F,$2:$2,0)),VLOOKUP($B:$B,'BS(분기)'!$A:$F,$2:$2,0),0)</f>
        <v>0</v>
      </c>
      <c r="R351" s="207">
        <f>IF(ISNUMBER(VLOOKUP($B:$B,'BS(분기)'!$A:$F,$2:$2,0)),VLOOKUP($B:$B,'BS(분기)'!$A:$F,$2:$2,0),0)</f>
        <v>0</v>
      </c>
    </row>
    <row r="352" spans="1:18" s="192" customFormat="1" ht="12">
      <c r="A352" s="202">
        <v>113210</v>
      </c>
      <c r="B352" s="195" t="s">
        <v>816</v>
      </c>
      <c r="C352" s="217">
        <f>IF(ISNUMBER(VLOOKUP($B:$B,BS!$A:$D,$2:$2,0)),VLOOKUP($B:$B,BS!$A:$D,$2:$2,0),0)</f>
        <v>0</v>
      </c>
      <c r="D352" s="217">
        <f>IF(ISNUMBER(VLOOKUP($B:$B,BS!$A:$D,$2:$2,0)),VLOOKUP($B:$B,BS!$A:$D,$2:$2,0),0)</f>
        <v>0</v>
      </c>
      <c r="E352" s="217">
        <f>IF(ISNUMBER(VLOOKUP($B:$B,BS!$A:$D,$2:$2,0)),VLOOKUP($B:$B,BS!$A:$D,$2:$2,0),0)</f>
        <v>0</v>
      </c>
      <c r="F352" s="217">
        <f>IF(ISNUMBER(VLOOKUP($B:$B,BS!$A:$D,$2:$2,0)),VLOOKUP($B:$B,BS!$A:$D,$2:$2,0),0)</f>
        <v>0</v>
      </c>
      <c r="G352" s="217">
        <f>IF(ISNUMBER(VLOOKUP($B:$B,BS!$A:$D,$2:$2,0)),VLOOKUP($B:$B,BS!$A:$D,$2:$2,0),0)</f>
        <v>0</v>
      </c>
      <c r="H352" s="207">
        <f>IF(ISNUMBER(VLOOKUP($B:$B,'BS(과거)'!$A:$F,$2:$2,0)),VLOOKUP($B:$B,'BS(과거)'!$A:$F,$2:$2,0),0)</f>
        <v>0</v>
      </c>
      <c r="I352" s="207">
        <f>IF(ISNUMBER(VLOOKUP($B:$B,'BS(과거)'!$A:$F,$2:$2,0)),VLOOKUP($B:$B,'BS(과거)'!$A:$F,$2:$2,0),0)</f>
        <v>0</v>
      </c>
      <c r="J352" s="207">
        <f>IF(ISNUMBER(VLOOKUP($B:$B,'BS(과거)'!$A:$F,$2:$2,0)),VLOOKUP($B:$B,'BS(과거)'!$A:$F,$2:$2,0),0)</f>
        <v>0</v>
      </c>
      <c r="K352" s="207">
        <f>IF(ISNUMBER(VLOOKUP($B:$B,'BS(과거)'!$A:$F,$2:$2,0)),VLOOKUP($B:$B,'BS(과거)'!$A:$F,$2:$2,0),0)</f>
        <v>0</v>
      </c>
      <c r="L352" s="207">
        <f>IF(ISNUMBER(VLOOKUP($B:$B,'BS(과거)'!$A:$F,$2:$2,0)),VLOOKUP($B:$B,'BS(과거)'!$A:$F,$2:$2,0),0)</f>
        <v>0</v>
      </c>
      <c r="N352" s="207">
        <f>IF(ISNUMBER(VLOOKUP($B:$B,'BS(분기)'!$A:$F,$2:$2,0)),VLOOKUP($B:$B,'BS(분기)'!$A:$F,$2:$2,0),0)</f>
        <v>0</v>
      </c>
      <c r="O352" s="207">
        <f>IF(ISNUMBER(VLOOKUP($B:$B,'BS(분기)'!$A:$F,$2:$2,0)),VLOOKUP($B:$B,'BS(분기)'!$A:$F,$2:$2,0),0)</f>
        <v>0</v>
      </c>
      <c r="P352" s="207">
        <f>IF(ISNUMBER(VLOOKUP($B:$B,'BS(분기)'!$A:$F,$2:$2,0)),VLOOKUP($B:$B,'BS(분기)'!$A:$F,$2:$2,0),0)</f>
        <v>0</v>
      </c>
      <c r="Q352" s="207">
        <f>IF(ISNUMBER(VLOOKUP($B:$B,'BS(분기)'!$A:$F,$2:$2,0)),VLOOKUP($B:$B,'BS(분기)'!$A:$F,$2:$2,0),0)</f>
        <v>0</v>
      </c>
      <c r="R352" s="207">
        <f>IF(ISNUMBER(VLOOKUP($B:$B,'BS(분기)'!$A:$F,$2:$2,0)),VLOOKUP($B:$B,'BS(분기)'!$A:$F,$2:$2,0),0)</f>
        <v>0</v>
      </c>
    </row>
    <row r="353" spans="1:18" s="192" customFormat="1" ht="12">
      <c r="A353" s="202">
        <v>113211</v>
      </c>
      <c r="B353" s="195" t="s">
        <v>1116</v>
      </c>
      <c r="C353" s="217">
        <f>IF(ISNUMBER(VLOOKUP($B:$B,BS!$A:$D,$2:$2,0)),VLOOKUP($B:$B,BS!$A:$D,$2:$2,0),0)</f>
        <v>0</v>
      </c>
      <c r="D353" s="217">
        <f>IF(ISNUMBER(VLOOKUP($B:$B,BS!$A:$D,$2:$2,0)),VLOOKUP($B:$B,BS!$A:$D,$2:$2,0),0)</f>
        <v>0</v>
      </c>
      <c r="E353" s="217">
        <f>IF(ISNUMBER(VLOOKUP($B:$B,BS!$A:$D,$2:$2,0)),VLOOKUP($B:$B,BS!$A:$D,$2:$2,0),0)</f>
        <v>0</v>
      </c>
      <c r="F353" s="217">
        <f>IF(ISNUMBER(VLOOKUP($B:$B,BS!$A:$D,$2:$2,0)),VLOOKUP($B:$B,BS!$A:$D,$2:$2,0),0)</f>
        <v>0</v>
      </c>
      <c r="G353" s="217">
        <f>IF(ISNUMBER(VLOOKUP($B:$B,BS!$A:$D,$2:$2,0)),VLOOKUP($B:$B,BS!$A:$D,$2:$2,0),0)</f>
        <v>0</v>
      </c>
      <c r="H353" s="207">
        <f>IF(ISNUMBER(VLOOKUP($B:$B,'BS(과거)'!$A:$F,$2:$2,0)),VLOOKUP($B:$B,'BS(과거)'!$A:$F,$2:$2,0),0)</f>
        <v>0</v>
      </c>
      <c r="I353" s="207">
        <f>IF(ISNUMBER(VLOOKUP($B:$B,'BS(과거)'!$A:$F,$2:$2,0)),VLOOKUP($B:$B,'BS(과거)'!$A:$F,$2:$2,0),0)</f>
        <v>0</v>
      </c>
      <c r="J353" s="207">
        <f>IF(ISNUMBER(VLOOKUP($B:$B,'BS(과거)'!$A:$F,$2:$2,0)),VLOOKUP($B:$B,'BS(과거)'!$A:$F,$2:$2,0),0)</f>
        <v>0</v>
      </c>
      <c r="K353" s="207">
        <f>IF(ISNUMBER(VLOOKUP($B:$B,'BS(과거)'!$A:$F,$2:$2,0)),VLOOKUP($B:$B,'BS(과거)'!$A:$F,$2:$2,0),0)</f>
        <v>0</v>
      </c>
      <c r="L353" s="207">
        <f>IF(ISNUMBER(VLOOKUP($B:$B,'BS(과거)'!$A:$F,$2:$2,0)),VLOOKUP($B:$B,'BS(과거)'!$A:$F,$2:$2,0),0)</f>
        <v>0</v>
      </c>
      <c r="N353" s="207">
        <f>IF(ISNUMBER(VLOOKUP($B:$B,'BS(분기)'!$A:$F,$2:$2,0)),VLOOKUP($B:$B,'BS(분기)'!$A:$F,$2:$2,0),0)</f>
        <v>0</v>
      </c>
      <c r="O353" s="207">
        <f>IF(ISNUMBER(VLOOKUP($B:$B,'BS(분기)'!$A:$F,$2:$2,0)),VLOOKUP($B:$B,'BS(분기)'!$A:$F,$2:$2,0),0)</f>
        <v>0</v>
      </c>
      <c r="P353" s="207">
        <f>IF(ISNUMBER(VLOOKUP($B:$B,'BS(분기)'!$A:$F,$2:$2,0)),VLOOKUP($B:$B,'BS(분기)'!$A:$F,$2:$2,0),0)</f>
        <v>0</v>
      </c>
      <c r="Q353" s="207">
        <f>IF(ISNUMBER(VLOOKUP($B:$B,'BS(분기)'!$A:$F,$2:$2,0)),VLOOKUP($B:$B,'BS(분기)'!$A:$F,$2:$2,0),0)</f>
        <v>0</v>
      </c>
      <c r="R353" s="207">
        <f>IF(ISNUMBER(VLOOKUP($B:$B,'BS(분기)'!$A:$F,$2:$2,0)),VLOOKUP($B:$B,'BS(분기)'!$A:$F,$2:$2,0),0)</f>
        <v>0</v>
      </c>
    </row>
    <row r="354" spans="1:18" s="192" customFormat="1" ht="12">
      <c r="A354" s="202">
        <v>113212</v>
      </c>
      <c r="B354" s="195" t="s">
        <v>1117</v>
      </c>
      <c r="C354" s="217">
        <f>IF(ISNUMBER(VLOOKUP($B:$B,BS!$A:$D,$2:$2,0)),VLOOKUP($B:$B,BS!$A:$D,$2:$2,0),0)</f>
        <v>0</v>
      </c>
      <c r="D354" s="217">
        <f>IF(ISNUMBER(VLOOKUP($B:$B,BS!$A:$D,$2:$2,0)),VLOOKUP($B:$B,BS!$A:$D,$2:$2,0),0)</f>
        <v>0</v>
      </c>
      <c r="E354" s="217">
        <f>IF(ISNUMBER(VLOOKUP($B:$B,BS!$A:$D,$2:$2,0)),VLOOKUP($B:$B,BS!$A:$D,$2:$2,0),0)</f>
        <v>0</v>
      </c>
      <c r="F354" s="217">
        <f>IF(ISNUMBER(VLOOKUP($B:$B,BS!$A:$D,$2:$2,0)),VLOOKUP($B:$B,BS!$A:$D,$2:$2,0),0)</f>
        <v>0</v>
      </c>
      <c r="G354" s="217">
        <f>IF(ISNUMBER(VLOOKUP($B:$B,BS!$A:$D,$2:$2,0)),VLOOKUP($B:$B,BS!$A:$D,$2:$2,0),0)</f>
        <v>0</v>
      </c>
      <c r="H354" s="207">
        <f>IF(ISNUMBER(VLOOKUP($B:$B,'BS(과거)'!$A:$F,$2:$2,0)),VLOOKUP($B:$B,'BS(과거)'!$A:$F,$2:$2,0),0)</f>
        <v>0</v>
      </c>
      <c r="I354" s="207">
        <f>IF(ISNUMBER(VLOOKUP($B:$B,'BS(과거)'!$A:$F,$2:$2,0)),VLOOKUP($B:$B,'BS(과거)'!$A:$F,$2:$2,0),0)</f>
        <v>0</v>
      </c>
      <c r="J354" s="207">
        <f>IF(ISNUMBER(VLOOKUP($B:$B,'BS(과거)'!$A:$F,$2:$2,0)),VLOOKUP($B:$B,'BS(과거)'!$A:$F,$2:$2,0),0)</f>
        <v>0</v>
      </c>
      <c r="K354" s="207">
        <f>IF(ISNUMBER(VLOOKUP($B:$B,'BS(과거)'!$A:$F,$2:$2,0)),VLOOKUP($B:$B,'BS(과거)'!$A:$F,$2:$2,0),0)</f>
        <v>0</v>
      </c>
      <c r="L354" s="207">
        <f>IF(ISNUMBER(VLOOKUP($B:$B,'BS(과거)'!$A:$F,$2:$2,0)),VLOOKUP($B:$B,'BS(과거)'!$A:$F,$2:$2,0),0)</f>
        <v>0</v>
      </c>
      <c r="N354" s="207">
        <f>IF(ISNUMBER(VLOOKUP($B:$B,'BS(분기)'!$A:$F,$2:$2,0)),VLOOKUP($B:$B,'BS(분기)'!$A:$F,$2:$2,0),0)</f>
        <v>0</v>
      </c>
      <c r="O354" s="207">
        <f>IF(ISNUMBER(VLOOKUP($B:$B,'BS(분기)'!$A:$F,$2:$2,0)),VLOOKUP($B:$B,'BS(분기)'!$A:$F,$2:$2,0),0)</f>
        <v>0</v>
      </c>
      <c r="P354" s="207">
        <f>IF(ISNUMBER(VLOOKUP($B:$B,'BS(분기)'!$A:$F,$2:$2,0)),VLOOKUP($B:$B,'BS(분기)'!$A:$F,$2:$2,0),0)</f>
        <v>0</v>
      </c>
      <c r="Q354" s="207">
        <f>IF(ISNUMBER(VLOOKUP($B:$B,'BS(분기)'!$A:$F,$2:$2,0)),VLOOKUP($B:$B,'BS(분기)'!$A:$F,$2:$2,0),0)</f>
        <v>0</v>
      </c>
      <c r="R354" s="207">
        <f>IF(ISNUMBER(VLOOKUP($B:$B,'BS(분기)'!$A:$F,$2:$2,0)),VLOOKUP($B:$B,'BS(분기)'!$A:$F,$2:$2,0),0)</f>
        <v>0</v>
      </c>
    </row>
    <row r="355" spans="1:18" s="192" customFormat="1" ht="12">
      <c r="A355" s="202">
        <v>113213</v>
      </c>
      <c r="B355" s="195" t="s">
        <v>1118</v>
      </c>
      <c r="C355" s="217">
        <f>IF(ISNUMBER(VLOOKUP($B:$B,BS!$A:$D,$2:$2,0)),VLOOKUP($B:$B,BS!$A:$D,$2:$2,0),0)</f>
        <v>0</v>
      </c>
      <c r="D355" s="217">
        <f>IF(ISNUMBER(VLOOKUP($B:$B,BS!$A:$D,$2:$2,0)),VLOOKUP($B:$B,BS!$A:$D,$2:$2,0),0)</f>
        <v>0</v>
      </c>
      <c r="E355" s="217">
        <f>IF(ISNUMBER(VLOOKUP($B:$B,BS!$A:$D,$2:$2,0)),VLOOKUP($B:$B,BS!$A:$D,$2:$2,0),0)</f>
        <v>0</v>
      </c>
      <c r="F355" s="217">
        <f>IF(ISNUMBER(VLOOKUP($B:$B,BS!$A:$D,$2:$2,0)),VLOOKUP($B:$B,BS!$A:$D,$2:$2,0),0)</f>
        <v>0</v>
      </c>
      <c r="G355" s="217">
        <f>IF(ISNUMBER(VLOOKUP($B:$B,BS!$A:$D,$2:$2,0)),VLOOKUP($B:$B,BS!$A:$D,$2:$2,0),0)</f>
        <v>0</v>
      </c>
      <c r="H355" s="207">
        <f>IF(ISNUMBER(VLOOKUP($B:$B,'BS(과거)'!$A:$F,$2:$2,0)),VLOOKUP($B:$B,'BS(과거)'!$A:$F,$2:$2,0),0)</f>
        <v>0</v>
      </c>
      <c r="I355" s="207">
        <f>IF(ISNUMBER(VLOOKUP($B:$B,'BS(과거)'!$A:$F,$2:$2,0)),VLOOKUP($B:$B,'BS(과거)'!$A:$F,$2:$2,0),0)</f>
        <v>0</v>
      </c>
      <c r="J355" s="207">
        <f>IF(ISNUMBER(VLOOKUP($B:$B,'BS(과거)'!$A:$F,$2:$2,0)),VLOOKUP($B:$B,'BS(과거)'!$A:$F,$2:$2,0),0)</f>
        <v>0</v>
      </c>
      <c r="K355" s="207">
        <f>IF(ISNUMBER(VLOOKUP($B:$B,'BS(과거)'!$A:$F,$2:$2,0)),VLOOKUP($B:$B,'BS(과거)'!$A:$F,$2:$2,0),0)</f>
        <v>0</v>
      </c>
      <c r="L355" s="207">
        <f>IF(ISNUMBER(VLOOKUP($B:$B,'BS(과거)'!$A:$F,$2:$2,0)),VLOOKUP($B:$B,'BS(과거)'!$A:$F,$2:$2,0),0)</f>
        <v>0</v>
      </c>
      <c r="N355" s="207">
        <f>IF(ISNUMBER(VLOOKUP($B:$B,'BS(분기)'!$A:$F,$2:$2,0)),VLOOKUP($B:$B,'BS(분기)'!$A:$F,$2:$2,0),0)</f>
        <v>0</v>
      </c>
      <c r="O355" s="207">
        <f>IF(ISNUMBER(VLOOKUP($B:$B,'BS(분기)'!$A:$F,$2:$2,0)),VLOOKUP($B:$B,'BS(분기)'!$A:$F,$2:$2,0),0)</f>
        <v>0</v>
      </c>
      <c r="P355" s="207">
        <f>IF(ISNUMBER(VLOOKUP($B:$B,'BS(분기)'!$A:$F,$2:$2,0)),VLOOKUP($B:$B,'BS(분기)'!$A:$F,$2:$2,0),0)</f>
        <v>0</v>
      </c>
      <c r="Q355" s="207">
        <f>IF(ISNUMBER(VLOOKUP($B:$B,'BS(분기)'!$A:$F,$2:$2,0)),VLOOKUP($B:$B,'BS(분기)'!$A:$F,$2:$2,0),0)</f>
        <v>0</v>
      </c>
      <c r="R355" s="207">
        <f>IF(ISNUMBER(VLOOKUP($B:$B,'BS(분기)'!$A:$F,$2:$2,0)),VLOOKUP($B:$B,'BS(분기)'!$A:$F,$2:$2,0),0)</f>
        <v>0</v>
      </c>
    </row>
    <row r="356" spans="1:18" s="192" customFormat="1" ht="12">
      <c r="A356" s="202">
        <v>113215</v>
      </c>
      <c r="B356" s="195" t="s">
        <v>1119</v>
      </c>
      <c r="C356" s="217">
        <f>IF(ISNUMBER(VLOOKUP($B:$B,BS!$A:$D,$2:$2,0)),VLOOKUP($B:$B,BS!$A:$D,$2:$2,0),0)</f>
        <v>0</v>
      </c>
      <c r="D356" s="217">
        <f>IF(ISNUMBER(VLOOKUP($B:$B,BS!$A:$D,$2:$2,0)),VLOOKUP($B:$B,BS!$A:$D,$2:$2,0),0)</f>
        <v>0</v>
      </c>
      <c r="E356" s="217">
        <f>IF(ISNUMBER(VLOOKUP($B:$B,BS!$A:$D,$2:$2,0)),VLOOKUP($B:$B,BS!$A:$D,$2:$2,0),0)</f>
        <v>0</v>
      </c>
      <c r="F356" s="217">
        <f>IF(ISNUMBER(VLOOKUP($B:$B,BS!$A:$D,$2:$2,0)),VLOOKUP($B:$B,BS!$A:$D,$2:$2,0),0)</f>
        <v>0</v>
      </c>
      <c r="G356" s="217">
        <f>IF(ISNUMBER(VLOOKUP($B:$B,BS!$A:$D,$2:$2,0)),VLOOKUP($B:$B,BS!$A:$D,$2:$2,0),0)</f>
        <v>0</v>
      </c>
      <c r="H356" s="207">
        <f>IF(ISNUMBER(VLOOKUP($B:$B,'BS(과거)'!$A:$F,$2:$2,0)),VLOOKUP($B:$B,'BS(과거)'!$A:$F,$2:$2,0),0)</f>
        <v>0</v>
      </c>
      <c r="I356" s="207">
        <f>IF(ISNUMBER(VLOOKUP($B:$B,'BS(과거)'!$A:$F,$2:$2,0)),VLOOKUP($B:$B,'BS(과거)'!$A:$F,$2:$2,0),0)</f>
        <v>0</v>
      </c>
      <c r="J356" s="207">
        <f>IF(ISNUMBER(VLOOKUP($B:$B,'BS(과거)'!$A:$F,$2:$2,0)),VLOOKUP($B:$B,'BS(과거)'!$A:$F,$2:$2,0),0)</f>
        <v>0</v>
      </c>
      <c r="K356" s="207">
        <f>IF(ISNUMBER(VLOOKUP($B:$B,'BS(과거)'!$A:$F,$2:$2,0)),VLOOKUP($B:$B,'BS(과거)'!$A:$F,$2:$2,0),0)</f>
        <v>0</v>
      </c>
      <c r="L356" s="207">
        <f>IF(ISNUMBER(VLOOKUP($B:$B,'BS(과거)'!$A:$F,$2:$2,0)),VLOOKUP($B:$B,'BS(과거)'!$A:$F,$2:$2,0),0)</f>
        <v>0</v>
      </c>
      <c r="N356" s="207">
        <f>IF(ISNUMBER(VLOOKUP($B:$B,'BS(분기)'!$A:$F,$2:$2,0)),VLOOKUP($B:$B,'BS(분기)'!$A:$F,$2:$2,0),0)</f>
        <v>0</v>
      </c>
      <c r="O356" s="207">
        <f>IF(ISNUMBER(VLOOKUP($B:$B,'BS(분기)'!$A:$F,$2:$2,0)),VLOOKUP($B:$B,'BS(분기)'!$A:$F,$2:$2,0),0)</f>
        <v>0</v>
      </c>
      <c r="P356" s="207">
        <f>IF(ISNUMBER(VLOOKUP($B:$B,'BS(분기)'!$A:$F,$2:$2,0)),VLOOKUP($B:$B,'BS(분기)'!$A:$F,$2:$2,0),0)</f>
        <v>0</v>
      </c>
      <c r="Q356" s="207">
        <f>IF(ISNUMBER(VLOOKUP($B:$B,'BS(분기)'!$A:$F,$2:$2,0)),VLOOKUP($B:$B,'BS(분기)'!$A:$F,$2:$2,0),0)</f>
        <v>0</v>
      </c>
      <c r="R356" s="207">
        <f>IF(ISNUMBER(VLOOKUP($B:$B,'BS(분기)'!$A:$F,$2:$2,0)),VLOOKUP($B:$B,'BS(분기)'!$A:$F,$2:$2,0),0)</f>
        <v>0</v>
      </c>
    </row>
    <row r="357" spans="1:18" s="192" customFormat="1" ht="12">
      <c r="A357" s="202">
        <v>113230</v>
      </c>
      <c r="B357" s="195" t="s">
        <v>1120</v>
      </c>
      <c r="C357" s="217">
        <f>IF(ISNUMBER(VLOOKUP($B:$B,BS!$A:$D,$2:$2,0)),VLOOKUP($B:$B,BS!$A:$D,$2:$2,0),0)</f>
        <v>0</v>
      </c>
      <c r="D357" s="217">
        <f>IF(ISNUMBER(VLOOKUP($B:$B,BS!$A:$D,$2:$2,0)),VLOOKUP($B:$B,BS!$A:$D,$2:$2,0),0)</f>
        <v>0</v>
      </c>
      <c r="E357" s="217">
        <f>IF(ISNUMBER(VLOOKUP($B:$B,BS!$A:$D,$2:$2,0)),VLOOKUP($B:$B,BS!$A:$D,$2:$2,0),0)</f>
        <v>0</v>
      </c>
      <c r="F357" s="217">
        <f>IF(ISNUMBER(VLOOKUP($B:$B,BS!$A:$D,$2:$2,0)),VLOOKUP($B:$B,BS!$A:$D,$2:$2,0),0)</f>
        <v>0</v>
      </c>
      <c r="G357" s="217">
        <f>IF(ISNUMBER(VLOOKUP($B:$B,BS!$A:$D,$2:$2,0)),VLOOKUP($B:$B,BS!$A:$D,$2:$2,0),0)</f>
        <v>0</v>
      </c>
      <c r="H357" s="207">
        <f>IF(ISNUMBER(VLOOKUP($B:$B,'BS(과거)'!$A:$F,$2:$2,0)),VLOOKUP($B:$B,'BS(과거)'!$A:$F,$2:$2,0),0)</f>
        <v>0</v>
      </c>
      <c r="I357" s="207">
        <f>IF(ISNUMBER(VLOOKUP($B:$B,'BS(과거)'!$A:$F,$2:$2,0)),VLOOKUP($B:$B,'BS(과거)'!$A:$F,$2:$2,0),0)</f>
        <v>0</v>
      </c>
      <c r="J357" s="207">
        <f>IF(ISNUMBER(VLOOKUP($B:$B,'BS(과거)'!$A:$F,$2:$2,0)),VLOOKUP($B:$B,'BS(과거)'!$A:$F,$2:$2,0),0)</f>
        <v>0</v>
      </c>
      <c r="K357" s="207">
        <f>IF(ISNUMBER(VLOOKUP($B:$B,'BS(과거)'!$A:$F,$2:$2,0)),VLOOKUP($B:$B,'BS(과거)'!$A:$F,$2:$2,0),0)</f>
        <v>0</v>
      </c>
      <c r="L357" s="207">
        <f>IF(ISNUMBER(VLOOKUP($B:$B,'BS(과거)'!$A:$F,$2:$2,0)),VLOOKUP($B:$B,'BS(과거)'!$A:$F,$2:$2,0),0)</f>
        <v>0</v>
      </c>
      <c r="N357" s="207">
        <f>IF(ISNUMBER(VLOOKUP($B:$B,'BS(분기)'!$A:$F,$2:$2,0)),VLOOKUP($B:$B,'BS(분기)'!$A:$F,$2:$2,0),0)</f>
        <v>0</v>
      </c>
      <c r="O357" s="207">
        <f>IF(ISNUMBER(VLOOKUP($B:$B,'BS(분기)'!$A:$F,$2:$2,0)),VLOOKUP($B:$B,'BS(분기)'!$A:$F,$2:$2,0),0)</f>
        <v>0</v>
      </c>
      <c r="P357" s="207">
        <f>IF(ISNUMBER(VLOOKUP($B:$B,'BS(분기)'!$A:$F,$2:$2,0)),VLOOKUP($B:$B,'BS(분기)'!$A:$F,$2:$2,0),0)</f>
        <v>0</v>
      </c>
      <c r="Q357" s="207">
        <f>IF(ISNUMBER(VLOOKUP($B:$B,'BS(분기)'!$A:$F,$2:$2,0)),VLOOKUP($B:$B,'BS(분기)'!$A:$F,$2:$2,0),0)</f>
        <v>0</v>
      </c>
      <c r="R357" s="207">
        <f>IF(ISNUMBER(VLOOKUP($B:$B,'BS(분기)'!$A:$F,$2:$2,0)),VLOOKUP($B:$B,'BS(분기)'!$A:$F,$2:$2,0),0)</f>
        <v>0</v>
      </c>
    </row>
    <row r="358" spans="1:18" s="192" customFormat="1" ht="12">
      <c r="A358" s="202">
        <v>113231</v>
      </c>
      <c r="B358" s="195" t="s">
        <v>1121</v>
      </c>
      <c r="C358" s="217">
        <f>IF(ISNUMBER(VLOOKUP($B:$B,BS!$A:$D,$2:$2,0)),VLOOKUP($B:$B,BS!$A:$D,$2:$2,0),0)</f>
        <v>0</v>
      </c>
      <c r="D358" s="217">
        <f>IF(ISNUMBER(VLOOKUP($B:$B,BS!$A:$D,$2:$2,0)),VLOOKUP($B:$B,BS!$A:$D,$2:$2,0),0)</f>
        <v>0</v>
      </c>
      <c r="E358" s="217">
        <f>IF(ISNUMBER(VLOOKUP($B:$B,BS!$A:$D,$2:$2,0)),VLOOKUP($B:$B,BS!$A:$D,$2:$2,0),0)</f>
        <v>0</v>
      </c>
      <c r="F358" s="217">
        <f>IF(ISNUMBER(VLOOKUP($B:$B,BS!$A:$D,$2:$2,0)),VLOOKUP($B:$B,BS!$A:$D,$2:$2,0),0)</f>
        <v>0</v>
      </c>
      <c r="G358" s="217">
        <f>IF(ISNUMBER(VLOOKUP($B:$B,BS!$A:$D,$2:$2,0)),VLOOKUP($B:$B,BS!$A:$D,$2:$2,0),0)</f>
        <v>0</v>
      </c>
      <c r="H358" s="207">
        <f>IF(ISNUMBER(VLOOKUP($B:$B,'BS(과거)'!$A:$F,$2:$2,0)),VLOOKUP($B:$B,'BS(과거)'!$A:$F,$2:$2,0),0)</f>
        <v>0</v>
      </c>
      <c r="I358" s="207">
        <f>IF(ISNUMBER(VLOOKUP($B:$B,'BS(과거)'!$A:$F,$2:$2,0)),VLOOKUP($B:$B,'BS(과거)'!$A:$F,$2:$2,0),0)</f>
        <v>0</v>
      </c>
      <c r="J358" s="207">
        <f>IF(ISNUMBER(VLOOKUP($B:$B,'BS(과거)'!$A:$F,$2:$2,0)),VLOOKUP($B:$B,'BS(과거)'!$A:$F,$2:$2,0),0)</f>
        <v>0</v>
      </c>
      <c r="K358" s="207">
        <f>IF(ISNUMBER(VLOOKUP($B:$B,'BS(과거)'!$A:$F,$2:$2,0)),VLOOKUP($B:$B,'BS(과거)'!$A:$F,$2:$2,0),0)</f>
        <v>0</v>
      </c>
      <c r="L358" s="207">
        <f>IF(ISNUMBER(VLOOKUP($B:$B,'BS(과거)'!$A:$F,$2:$2,0)),VLOOKUP($B:$B,'BS(과거)'!$A:$F,$2:$2,0),0)</f>
        <v>0</v>
      </c>
      <c r="N358" s="207">
        <f>IF(ISNUMBER(VLOOKUP($B:$B,'BS(분기)'!$A:$F,$2:$2,0)),VLOOKUP($B:$B,'BS(분기)'!$A:$F,$2:$2,0),0)</f>
        <v>0</v>
      </c>
      <c r="O358" s="207">
        <f>IF(ISNUMBER(VLOOKUP($B:$B,'BS(분기)'!$A:$F,$2:$2,0)),VLOOKUP($B:$B,'BS(분기)'!$A:$F,$2:$2,0),0)</f>
        <v>0</v>
      </c>
      <c r="P358" s="207">
        <f>IF(ISNUMBER(VLOOKUP($B:$B,'BS(분기)'!$A:$F,$2:$2,0)),VLOOKUP($B:$B,'BS(분기)'!$A:$F,$2:$2,0),0)</f>
        <v>0</v>
      </c>
      <c r="Q358" s="207">
        <f>IF(ISNUMBER(VLOOKUP($B:$B,'BS(분기)'!$A:$F,$2:$2,0)),VLOOKUP($B:$B,'BS(분기)'!$A:$F,$2:$2,0),0)</f>
        <v>0</v>
      </c>
      <c r="R358" s="207">
        <f>IF(ISNUMBER(VLOOKUP($B:$B,'BS(분기)'!$A:$F,$2:$2,0)),VLOOKUP($B:$B,'BS(분기)'!$A:$F,$2:$2,0),0)</f>
        <v>0</v>
      </c>
    </row>
    <row r="359" spans="1:18" s="192" customFormat="1" ht="12">
      <c r="A359" s="202">
        <v>113232</v>
      </c>
      <c r="B359" s="195" t="s">
        <v>1122</v>
      </c>
      <c r="C359" s="217">
        <f>IF(ISNUMBER(VLOOKUP($B:$B,BS!$A:$D,$2:$2,0)),VLOOKUP($B:$B,BS!$A:$D,$2:$2,0),0)</f>
        <v>0</v>
      </c>
      <c r="D359" s="217">
        <f>IF(ISNUMBER(VLOOKUP($B:$B,BS!$A:$D,$2:$2,0)),VLOOKUP($B:$B,BS!$A:$D,$2:$2,0),0)</f>
        <v>0</v>
      </c>
      <c r="E359" s="217">
        <f>IF(ISNUMBER(VLOOKUP($B:$B,BS!$A:$D,$2:$2,0)),VLOOKUP($B:$B,BS!$A:$D,$2:$2,0),0)</f>
        <v>0</v>
      </c>
      <c r="F359" s="217">
        <f>IF(ISNUMBER(VLOOKUP($B:$B,BS!$A:$D,$2:$2,0)),VLOOKUP($B:$B,BS!$A:$D,$2:$2,0),0)</f>
        <v>0</v>
      </c>
      <c r="G359" s="217">
        <f>IF(ISNUMBER(VLOOKUP($B:$B,BS!$A:$D,$2:$2,0)),VLOOKUP($B:$B,BS!$A:$D,$2:$2,0),0)</f>
        <v>0</v>
      </c>
      <c r="H359" s="207">
        <f>IF(ISNUMBER(VLOOKUP($B:$B,'BS(과거)'!$A:$F,$2:$2,0)),VLOOKUP($B:$B,'BS(과거)'!$A:$F,$2:$2,0),0)</f>
        <v>0</v>
      </c>
      <c r="I359" s="207">
        <f>IF(ISNUMBER(VLOOKUP($B:$B,'BS(과거)'!$A:$F,$2:$2,0)),VLOOKUP($B:$B,'BS(과거)'!$A:$F,$2:$2,0),0)</f>
        <v>0</v>
      </c>
      <c r="J359" s="207">
        <f>IF(ISNUMBER(VLOOKUP($B:$B,'BS(과거)'!$A:$F,$2:$2,0)),VLOOKUP($B:$B,'BS(과거)'!$A:$F,$2:$2,0),0)</f>
        <v>0</v>
      </c>
      <c r="K359" s="207">
        <f>IF(ISNUMBER(VLOOKUP($B:$B,'BS(과거)'!$A:$F,$2:$2,0)),VLOOKUP($B:$B,'BS(과거)'!$A:$F,$2:$2,0),0)</f>
        <v>0</v>
      </c>
      <c r="L359" s="207">
        <f>IF(ISNUMBER(VLOOKUP($B:$B,'BS(과거)'!$A:$F,$2:$2,0)),VLOOKUP($B:$B,'BS(과거)'!$A:$F,$2:$2,0),0)</f>
        <v>0</v>
      </c>
      <c r="N359" s="207">
        <f>IF(ISNUMBER(VLOOKUP($B:$B,'BS(분기)'!$A:$F,$2:$2,0)),VLOOKUP($B:$B,'BS(분기)'!$A:$F,$2:$2,0),0)</f>
        <v>0</v>
      </c>
      <c r="O359" s="207">
        <f>IF(ISNUMBER(VLOOKUP($B:$B,'BS(분기)'!$A:$F,$2:$2,0)),VLOOKUP($B:$B,'BS(분기)'!$A:$F,$2:$2,0),0)</f>
        <v>0</v>
      </c>
      <c r="P359" s="207">
        <f>IF(ISNUMBER(VLOOKUP($B:$B,'BS(분기)'!$A:$F,$2:$2,0)),VLOOKUP($B:$B,'BS(분기)'!$A:$F,$2:$2,0),0)</f>
        <v>0</v>
      </c>
      <c r="Q359" s="207">
        <f>IF(ISNUMBER(VLOOKUP($B:$B,'BS(분기)'!$A:$F,$2:$2,0)),VLOOKUP($B:$B,'BS(분기)'!$A:$F,$2:$2,0),0)</f>
        <v>0</v>
      </c>
      <c r="R359" s="207">
        <f>IF(ISNUMBER(VLOOKUP($B:$B,'BS(분기)'!$A:$F,$2:$2,0)),VLOOKUP($B:$B,'BS(분기)'!$A:$F,$2:$2,0),0)</f>
        <v>0</v>
      </c>
    </row>
    <row r="360" spans="1:18" s="192" customFormat="1" ht="12">
      <c r="A360" s="202">
        <v>113233</v>
      </c>
      <c r="B360" s="195" t="s">
        <v>1123</v>
      </c>
      <c r="C360" s="217">
        <f>IF(ISNUMBER(VLOOKUP($B:$B,BS!$A:$D,$2:$2,0)),VLOOKUP($B:$B,BS!$A:$D,$2:$2,0),0)</f>
        <v>0</v>
      </c>
      <c r="D360" s="217">
        <f>IF(ISNUMBER(VLOOKUP($B:$B,BS!$A:$D,$2:$2,0)),VLOOKUP($B:$B,BS!$A:$D,$2:$2,0),0)</f>
        <v>0</v>
      </c>
      <c r="E360" s="217">
        <f>IF(ISNUMBER(VLOOKUP($B:$B,BS!$A:$D,$2:$2,0)),VLOOKUP($B:$B,BS!$A:$D,$2:$2,0),0)</f>
        <v>0</v>
      </c>
      <c r="F360" s="217">
        <f>IF(ISNUMBER(VLOOKUP($B:$B,BS!$A:$D,$2:$2,0)),VLOOKUP($B:$B,BS!$A:$D,$2:$2,0),0)</f>
        <v>0</v>
      </c>
      <c r="G360" s="217">
        <f>IF(ISNUMBER(VLOOKUP($B:$B,BS!$A:$D,$2:$2,0)),VLOOKUP($B:$B,BS!$A:$D,$2:$2,0),0)</f>
        <v>0</v>
      </c>
      <c r="H360" s="207">
        <f>IF(ISNUMBER(VLOOKUP($B:$B,'BS(과거)'!$A:$F,$2:$2,0)),VLOOKUP($B:$B,'BS(과거)'!$A:$F,$2:$2,0),0)</f>
        <v>0</v>
      </c>
      <c r="I360" s="207">
        <f>IF(ISNUMBER(VLOOKUP($B:$B,'BS(과거)'!$A:$F,$2:$2,0)),VLOOKUP($B:$B,'BS(과거)'!$A:$F,$2:$2,0),0)</f>
        <v>0</v>
      </c>
      <c r="J360" s="207">
        <f>IF(ISNUMBER(VLOOKUP($B:$B,'BS(과거)'!$A:$F,$2:$2,0)),VLOOKUP($B:$B,'BS(과거)'!$A:$F,$2:$2,0),0)</f>
        <v>0</v>
      </c>
      <c r="K360" s="207">
        <f>IF(ISNUMBER(VLOOKUP($B:$B,'BS(과거)'!$A:$F,$2:$2,0)),VLOOKUP($B:$B,'BS(과거)'!$A:$F,$2:$2,0),0)</f>
        <v>0</v>
      </c>
      <c r="L360" s="207">
        <f>IF(ISNUMBER(VLOOKUP($B:$B,'BS(과거)'!$A:$F,$2:$2,0)),VLOOKUP($B:$B,'BS(과거)'!$A:$F,$2:$2,0),0)</f>
        <v>0</v>
      </c>
      <c r="N360" s="207">
        <f>IF(ISNUMBER(VLOOKUP($B:$B,'BS(분기)'!$A:$F,$2:$2,0)),VLOOKUP($B:$B,'BS(분기)'!$A:$F,$2:$2,0),0)</f>
        <v>0</v>
      </c>
      <c r="O360" s="207">
        <f>IF(ISNUMBER(VLOOKUP($B:$B,'BS(분기)'!$A:$F,$2:$2,0)),VLOOKUP($B:$B,'BS(분기)'!$A:$F,$2:$2,0),0)</f>
        <v>0</v>
      </c>
      <c r="P360" s="207">
        <f>IF(ISNUMBER(VLOOKUP($B:$B,'BS(분기)'!$A:$F,$2:$2,0)),VLOOKUP($B:$B,'BS(분기)'!$A:$F,$2:$2,0),0)</f>
        <v>0</v>
      </c>
      <c r="Q360" s="207">
        <f>IF(ISNUMBER(VLOOKUP($B:$B,'BS(분기)'!$A:$F,$2:$2,0)),VLOOKUP($B:$B,'BS(분기)'!$A:$F,$2:$2,0),0)</f>
        <v>0</v>
      </c>
      <c r="R360" s="207">
        <f>IF(ISNUMBER(VLOOKUP($B:$B,'BS(분기)'!$A:$F,$2:$2,0)),VLOOKUP($B:$B,'BS(분기)'!$A:$F,$2:$2,0),0)</f>
        <v>0</v>
      </c>
    </row>
    <row r="361" spans="1:18" s="192" customFormat="1" ht="12">
      <c r="A361" s="202">
        <v>113220</v>
      </c>
      <c r="B361" s="195" t="s">
        <v>817</v>
      </c>
      <c r="C361" s="217">
        <f>IF(ISNUMBER(VLOOKUP($B:$B,BS!$A:$D,$2:$2,0)),VLOOKUP($B:$B,BS!$A:$D,$2:$2,0),0)</f>
        <v>0</v>
      </c>
      <c r="D361" s="217">
        <f>IF(ISNUMBER(VLOOKUP($B:$B,BS!$A:$D,$2:$2,0)),VLOOKUP($B:$B,BS!$A:$D,$2:$2,0),0)</f>
        <v>0</v>
      </c>
      <c r="E361" s="217">
        <f>IF(ISNUMBER(VLOOKUP($B:$B,BS!$A:$D,$2:$2,0)),VLOOKUP($B:$B,BS!$A:$D,$2:$2,0),0)</f>
        <v>0</v>
      </c>
      <c r="F361" s="217">
        <f>IF(ISNUMBER(VLOOKUP($B:$B,BS!$A:$D,$2:$2,0)),VLOOKUP($B:$B,BS!$A:$D,$2:$2,0),0)</f>
        <v>0</v>
      </c>
      <c r="G361" s="217">
        <f>IF(ISNUMBER(VLOOKUP($B:$B,BS!$A:$D,$2:$2,0)),VLOOKUP($B:$B,BS!$A:$D,$2:$2,0),0)</f>
        <v>0</v>
      </c>
      <c r="H361" s="207">
        <f>IF(ISNUMBER(VLOOKUP($B:$B,'BS(과거)'!$A:$F,$2:$2,0)),VLOOKUP($B:$B,'BS(과거)'!$A:$F,$2:$2,0),0)</f>
        <v>0</v>
      </c>
      <c r="I361" s="207">
        <f>IF(ISNUMBER(VLOOKUP($B:$B,'BS(과거)'!$A:$F,$2:$2,0)),VLOOKUP($B:$B,'BS(과거)'!$A:$F,$2:$2,0),0)</f>
        <v>0</v>
      </c>
      <c r="J361" s="207">
        <f>IF(ISNUMBER(VLOOKUP($B:$B,'BS(과거)'!$A:$F,$2:$2,0)),VLOOKUP($B:$B,'BS(과거)'!$A:$F,$2:$2,0),0)</f>
        <v>0</v>
      </c>
      <c r="K361" s="207">
        <f>IF(ISNUMBER(VLOOKUP($B:$B,'BS(과거)'!$A:$F,$2:$2,0)),VLOOKUP($B:$B,'BS(과거)'!$A:$F,$2:$2,0),0)</f>
        <v>0</v>
      </c>
      <c r="L361" s="207">
        <f>IF(ISNUMBER(VLOOKUP($B:$B,'BS(과거)'!$A:$F,$2:$2,0)),VLOOKUP($B:$B,'BS(과거)'!$A:$F,$2:$2,0),0)</f>
        <v>0</v>
      </c>
      <c r="N361" s="207">
        <f>IF(ISNUMBER(VLOOKUP($B:$B,'BS(분기)'!$A:$F,$2:$2,0)),VLOOKUP($B:$B,'BS(분기)'!$A:$F,$2:$2,0),0)</f>
        <v>0</v>
      </c>
      <c r="O361" s="207">
        <f>IF(ISNUMBER(VLOOKUP($B:$B,'BS(분기)'!$A:$F,$2:$2,0)),VLOOKUP($B:$B,'BS(분기)'!$A:$F,$2:$2,0),0)</f>
        <v>0</v>
      </c>
      <c r="P361" s="207">
        <f>IF(ISNUMBER(VLOOKUP($B:$B,'BS(분기)'!$A:$F,$2:$2,0)),VLOOKUP($B:$B,'BS(분기)'!$A:$F,$2:$2,0),0)</f>
        <v>0</v>
      </c>
      <c r="Q361" s="207">
        <f>IF(ISNUMBER(VLOOKUP($B:$B,'BS(분기)'!$A:$F,$2:$2,0)),VLOOKUP($B:$B,'BS(분기)'!$A:$F,$2:$2,0),0)</f>
        <v>0</v>
      </c>
      <c r="R361" s="207">
        <f>IF(ISNUMBER(VLOOKUP($B:$B,'BS(분기)'!$A:$F,$2:$2,0)),VLOOKUP($B:$B,'BS(분기)'!$A:$F,$2:$2,0),0)</f>
        <v>0</v>
      </c>
    </row>
    <row r="362" spans="1:18" s="192" customFormat="1" ht="12">
      <c r="A362" s="202">
        <v>113221</v>
      </c>
      <c r="B362" s="195" t="s">
        <v>1124</v>
      </c>
      <c r="C362" s="217">
        <f>IF(ISNUMBER(VLOOKUP($B:$B,BS!$A:$D,$2:$2,0)),VLOOKUP($B:$B,BS!$A:$D,$2:$2,0),0)</f>
        <v>0</v>
      </c>
      <c r="D362" s="217">
        <f>IF(ISNUMBER(VLOOKUP($B:$B,BS!$A:$D,$2:$2,0)),VLOOKUP($B:$B,BS!$A:$D,$2:$2,0),0)</f>
        <v>0</v>
      </c>
      <c r="E362" s="217">
        <f>IF(ISNUMBER(VLOOKUP($B:$B,BS!$A:$D,$2:$2,0)),VLOOKUP($B:$B,BS!$A:$D,$2:$2,0),0)</f>
        <v>0</v>
      </c>
      <c r="F362" s="217">
        <f>IF(ISNUMBER(VLOOKUP($B:$B,BS!$A:$D,$2:$2,0)),VLOOKUP($B:$B,BS!$A:$D,$2:$2,0),0)</f>
        <v>0</v>
      </c>
      <c r="G362" s="217">
        <f>IF(ISNUMBER(VLOOKUP($B:$B,BS!$A:$D,$2:$2,0)),VLOOKUP($B:$B,BS!$A:$D,$2:$2,0),0)</f>
        <v>0</v>
      </c>
      <c r="H362" s="207">
        <f>IF(ISNUMBER(VLOOKUP($B:$B,'BS(과거)'!$A:$F,$2:$2,0)),VLOOKUP($B:$B,'BS(과거)'!$A:$F,$2:$2,0),0)</f>
        <v>0</v>
      </c>
      <c r="I362" s="207">
        <f>IF(ISNUMBER(VLOOKUP($B:$B,'BS(과거)'!$A:$F,$2:$2,0)),VLOOKUP($B:$B,'BS(과거)'!$A:$F,$2:$2,0),0)</f>
        <v>0</v>
      </c>
      <c r="J362" s="207">
        <f>IF(ISNUMBER(VLOOKUP($B:$B,'BS(과거)'!$A:$F,$2:$2,0)),VLOOKUP($B:$B,'BS(과거)'!$A:$F,$2:$2,0),0)</f>
        <v>0</v>
      </c>
      <c r="K362" s="207">
        <f>IF(ISNUMBER(VLOOKUP($B:$B,'BS(과거)'!$A:$F,$2:$2,0)),VLOOKUP($B:$B,'BS(과거)'!$A:$F,$2:$2,0),0)</f>
        <v>0</v>
      </c>
      <c r="L362" s="207">
        <f>IF(ISNUMBER(VLOOKUP($B:$B,'BS(과거)'!$A:$F,$2:$2,0)),VLOOKUP($B:$B,'BS(과거)'!$A:$F,$2:$2,0),0)</f>
        <v>0</v>
      </c>
      <c r="N362" s="207">
        <f>IF(ISNUMBER(VLOOKUP($B:$B,'BS(분기)'!$A:$F,$2:$2,0)),VLOOKUP($B:$B,'BS(분기)'!$A:$F,$2:$2,0),0)</f>
        <v>0</v>
      </c>
      <c r="O362" s="207">
        <f>IF(ISNUMBER(VLOOKUP($B:$B,'BS(분기)'!$A:$F,$2:$2,0)),VLOOKUP($B:$B,'BS(분기)'!$A:$F,$2:$2,0),0)</f>
        <v>0</v>
      </c>
      <c r="P362" s="207">
        <f>IF(ISNUMBER(VLOOKUP($B:$B,'BS(분기)'!$A:$F,$2:$2,0)),VLOOKUP($B:$B,'BS(분기)'!$A:$F,$2:$2,0),0)</f>
        <v>0</v>
      </c>
      <c r="Q362" s="207">
        <f>IF(ISNUMBER(VLOOKUP($B:$B,'BS(분기)'!$A:$F,$2:$2,0)),VLOOKUP($B:$B,'BS(분기)'!$A:$F,$2:$2,0),0)</f>
        <v>0</v>
      </c>
      <c r="R362" s="207">
        <f>IF(ISNUMBER(VLOOKUP($B:$B,'BS(분기)'!$A:$F,$2:$2,0)),VLOOKUP($B:$B,'BS(분기)'!$A:$F,$2:$2,0),0)</f>
        <v>0</v>
      </c>
    </row>
    <row r="363" spans="1:18" s="192" customFormat="1" ht="12">
      <c r="A363" s="202">
        <v>113222</v>
      </c>
      <c r="B363" s="195" t="s">
        <v>1125</v>
      </c>
      <c r="C363" s="217">
        <f>IF(ISNUMBER(VLOOKUP($B:$B,BS!$A:$D,$2:$2,0)),VLOOKUP($B:$B,BS!$A:$D,$2:$2,0),0)</f>
        <v>0</v>
      </c>
      <c r="D363" s="217">
        <f>IF(ISNUMBER(VLOOKUP($B:$B,BS!$A:$D,$2:$2,0)),VLOOKUP($B:$B,BS!$A:$D,$2:$2,0),0)</f>
        <v>0</v>
      </c>
      <c r="E363" s="217">
        <f>IF(ISNUMBER(VLOOKUP($B:$B,BS!$A:$D,$2:$2,0)),VLOOKUP($B:$B,BS!$A:$D,$2:$2,0),0)</f>
        <v>0</v>
      </c>
      <c r="F363" s="217">
        <f>IF(ISNUMBER(VLOOKUP($B:$B,BS!$A:$D,$2:$2,0)),VLOOKUP($B:$B,BS!$A:$D,$2:$2,0),0)</f>
        <v>0</v>
      </c>
      <c r="G363" s="217">
        <f>IF(ISNUMBER(VLOOKUP($B:$B,BS!$A:$D,$2:$2,0)),VLOOKUP($B:$B,BS!$A:$D,$2:$2,0),0)</f>
        <v>0</v>
      </c>
      <c r="H363" s="207">
        <f>IF(ISNUMBER(VLOOKUP($B:$B,'BS(과거)'!$A:$F,$2:$2,0)),VLOOKUP($B:$B,'BS(과거)'!$A:$F,$2:$2,0),0)</f>
        <v>0</v>
      </c>
      <c r="I363" s="207">
        <f>IF(ISNUMBER(VLOOKUP($B:$B,'BS(과거)'!$A:$F,$2:$2,0)),VLOOKUP($B:$B,'BS(과거)'!$A:$F,$2:$2,0),0)</f>
        <v>0</v>
      </c>
      <c r="J363" s="207">
        <f>IF(ISNUMBER(VLOOKUP($B:$B,'BS(과거)'!$A:$F,$2:$2,0)),VLOOKUP($B:$B,'BS(과거)'!$A:$F,$2:$2,0),0)</f>
        <v>0</v>
      </c>
      <c r="K363" s="207">
        <f>IF(ISNUMBER(VLOOKUP($B:$B,'BS(과거)'!$A:$F,$2:$2,0)),VLOOKUP($B:$B,'BS(과거)'!$A:$F,$2:$2,0),0)</f>
        <v>0</v>
      </c>
      <c r="L363" s="207">
        <f>IF(ISNUMBER(VLOOKUP($B:$B,'BS(과거)'!$A:$F,$2:$2,0)),VLOOKUP($B:$B,'BS(과거)'!$A:$F,$2:$2,0),0)</f>
        <v>0</v>
      </c>
      <c r="N363" s="207">
        <f>IF(ISNUMBER(VLOOKUP($B:$B,'BS(분기)'!$A:$F,$2:$2,0)),VLOOKUP($B:$B,'BS(분기)'!$A:$F,$2:$2,0),0)</f>
        <v>0</v>
      </c>
      <c r="O363" s="207">
        <f>IF(ISNUMBER(VLOOKUP($B:$B,'BS(분기)'!$A:$F,$2:$2,0)),VLOOKUP($B:$B,'BS(분기)'!$A:$F,$2:$2,0),0)</f>
        <v>0</v>
      </c>
      <c r="P363" s="207">
        <f>IF(ISNUMBER(VLOOKUP($B:$B,'BS(분기)'!$A:$F,$2:$2,0)),VLOOKUP($B:$B,'BS(분기)'!$A:$F,$2:$2,0),0)</f>
        <v>0</v>
      </c>
      <c r="Q363" s="207">
        <f>IF(ISNUMBER(VLOOKUP($B:$B,'BS(분기)'!$A:$F,$2:$2,0)),VLOOKUP($B:$B,'BS(분기)'!$A:$F,$2:$2,0),0)</f>
        <v>0</v>
      </c>
      <c r="R363" s="207">
        <f>IF(ISNUMBER(VLOOKUP($B:$B,'BS(분기)'!$A:$F,$2:$2,0)),VLOOKUP($B:$B,'BS(분기)'!$A:$F,$2:$2,0),0)</f>
        <v>0</v>
      </c>
    </row>
    <row r="364" spans="1:18" s="192" customFormat="1" ht="12">
      <c r="A364" s="202">
        <v>113223</v>
      </c>
      <c r="B364" s="195" t="s">
        <v>1126</v>
      </c>
      <c r="C364" s="217">
        <f>IF(ISNUMBER(VLOOKUP($B:$B,BS!$A:$D,$2:$2,0)),VLOOKUP($B:$B,BS!$A:$D,$2:$2,0),0)</f>
        <v>0</v>
      </c>
      <c r="D364" s="217">
        <f>IF(ISNUMBER(VLOOKUP($B:$B,BS!$A:$D,$2:$2,0)),VLOOKUP($B:$B,BS!$A:$D,$2:$2,0),0)</f>
        <v>0</v>
      </c>
      <c r="E364" s="217">
        <f>IF(ISNUMBER(VLOOKUP($B:$B,BS!$A:$D,$2:$2,0)),VLOOKUP($B:$B,BS!$A:$D,$2:$2,0),0)</f>
        <v>0</v>
      </c>
      <c r="F364" s="217">
        <f>IF(ISNUMBER(VLOOKUP($B:$B,BS!$A:$D,$2:$2,0)),VLOOKUP($B:$B,BS!$A:$D,$2:$2,0),0)</f>
        <v>0</v>
      </c>
      <c r="G364" s="217">
        <f>IF(ISNUMBER(VLOOKUP($B:$B,BS!$A:$D,$2:$2,0)),VLOOKUP($B:$B,BS!$A:$D,$2:$2,0),0)</f>
        <v>0</v>
      </c>
      <c r="H364" s="207">
        <f>IF(ISNUMBER(VLOOKUP($B:$B,'BS(과거)'!$A:$F,$2:$2,0)),VLOOKUP($B:$B,'BS(과거)'!$A:$F,$2:$2,0),0)</f>
        <v>0</v>
      </c>
      <c r="I364" s="207">
        <f>IF(ISNUMBER(VLOOKUP($B:$B,'BS(과거)'!$A:$F,$2:$2,0)),VLOOKUP($B:$B,'BS(과거)'!$A:$F,$2:$2,0),0)</f>
        <v>0</v>
      </c>
      <c r="J364" s="207">
        <f>IF(ISNUMBER(VLOOKUP($B:$B,'BS(과거)'!$A:$F,$2:$2,0)),VLOOKUP($B:$B,'BS(과거)'!$A:$F,$2:$2,0),0)</f>
        <v>0</v>
      </c>
      <c r="K364" s="207">
        <f>IF(ISNUMBER(VLOOKUP($B:$B,'BS(과거)'!$A:$F,$2:$2,0)),VLOOKUP($B:$B,'BS(과거)'!$A:$F,$2:$2,0),0)</f>
        <v>0</v>
      </c>
      <c r="L364" s="207">
        <f>IF(ISNUMBER(VLOOKUP($B:$B,'BS(과거)'!$A:$F,$2:$2,0)),VLOOKUP($B:$B,'BS(과거)'!$A:$F,$2:$2,0),0)</f>
        <v>0</v>
      </c>
      <c r="N364" s="207">
        <f>IF(ISNUMBER(VLOOKUP($B:$B,'BS(분기)'!$A:$F,$2:$2,0)),VLOOKUP($B:$B,'BS(분기)'!$A:$F,$2:$2,0),0)</f>
        <v>0</v>
      </c>
      <c r="O364" s="207">
        <f>IF(ISNUMBER(VLOOKUP($B:$B,'BS(분기)'!$A:$F,$2:$2,0)),VLOOKUP($B:$B,'BS(분기)'!$A:$F,$2:$2,0),0)</f>
        <v>0</v>
      </c>
      <c r="P364" s="207">
        <f>IF(ISNUMBER(VLOOKUP($B:$B,'BS(분기)'!$A:$F,$2:$2,0)),VLOOKUP($B:$B,'BS(분기)'!$A:$F,$2:$2,0),0)</f>
        <v>0</v>
      </c>
      <c r="Q364" s="207">
        <f>IF(ISNUMBER(VLOOKUP($B:$B,'BS(분기)'!$A:$F,$2:$2,0)),VLOOKUP($B:$B,'BS(분기)'!$A:$F,$2:$2,0),0)</f>
        <v>0</v>
      </c>
      <c r="R364" s="207">
        <f>IF(ISNUMBER(VLOOKUP($B:$B,'BS(분기)'!$A:$F,$2:$2,0)),VLOOKUP($B:$B,'BS(분기)'!$A:$F,$2:$2,0),0)</f>
        <v>0</v>
      </c>
    </row>
    <row r="365" spans="1:18" s="192" customFormat="1" ht="12">
      <c r="A365" s="202">
        <v>113240</v>
      </c>
      <c r="B365" s="195" t="s">
        <v>1127</v>
      </c>
      <c r="C365" s="217">
        <f>IF(ISNUMBER(VLOOKUP($B:$B,BS!$A:$D,$2:$2,0)),VLOOKUP($B:$B,BS!$A:$D,$2:$2,0),0)</f>
        <v>0</v>
      </c>
      <c r="D365" s="217">
        <f>IF(ISNUMBER(VLOOKUP($B:$B,BS!$A:$D,$2:$2,0)),VLOOKUP($B:$B,BS!$A:$D,$2:$2,0),0)</f>
        <v>0</v>
      </c>
      <c r="E365" s="217">
        <f>IF(ISNUMBER(VLOOKUP($B:$B,BS!$A:$D,$2:$2,0)),VLOOKUP($B:$B,BS!$A:$D,$2:$2,0),0)</f>
        <v>0</v>
      </c>
      <c r="F365" s="217">
        <f>IF(ISNUMBER(VLOOKUP($B:$B,BS!$A:$D,$2:$2,0)),VLOOKUP($B:$B,BS!$A:$D,$2:$2,0),0)</f>
        <v>0</v>
      </c>
      <c r="G365" s="217">
        <f>IF(ISNUMBER(VLOOKUP($B:$B,BS!$A:$D,$2:$2,0)),VLOOKUP($B:$B,BS!$A:$D,$2:$2,0),0)</f>
        <v>0</v>
      </c>
      <c r="H365" s="207">
        <f>IF(ISNUMBER(VLOOKUP($B:$B,'BS(과거)'!$A:$F,$2:$2,0)),VLOOKUP($B:$B,'BS(과거)'!$A:$F,$2:$2,0),0)</f>
        <v>0</v>
      </c>
      <c r="I365" s="207">
        <f>IF(ISNUMBER(VLOOKUP($B:$B,'BS(과거)'!$A:$F,$2:$2,0)),VLOOKUP($B:$B,'BS(과거)'!$A:$F,$2:$2,0),0)</f>
        <v>0</v>
      </c>
      <c r="J365" s="207">
        <f>IF(ISNUMBER(VLOOKUP($B:$B,'BS(과거)'!$A:$F,$2:$2,0)),VLOOKUP($B:$B,'BS(과거)'!$A:$F,$2:$2,0),0)</f>
        <v>0</v>
      </c>
      <c r="K365" s="207">
        <f>IF(ISNUMBER(VLOOKUP($B:$B,'BS(과거)'!$A:$F,$2:$2,0)),VLOOKUP($B:$B,'BS(과거)'!$A:$F,$2:$2,0),0)</f>
        <v>0</v>
      </c>
      <c r="L365" s="207">
        <f>IF(ISNUMBER(VLOOKUP($B:$B,'BS(과거)'!$A:$F,$2:$2,0)),VLOOKUP($B:$B,'BS(과거)'!$A:$F,$2:$2,0),0)</f>
        <v>0</v>
      </c>
      <c r="N365" s="207">
        <f>IF(ISNUMBER(VLOOKUP($B:$B,'BS(분기)'!$A:$F,$2:$2,0)),VLOOKUP($B:$B,'BS(분기)'!$A:$F,$2:$2,0),0)</f>
        <v>0</v>
      </c>
      <c r="O365" s="207">
        <f>IF(ISNUMBER(VLOOKUP($B:$B,'BS(분기)'!$A:$F,$2:$2,0)),VLOOKUP($B:$B,'BS(분기)'!$A:$F,$2:$2,0),0)</f>
        <v>0</v>
      </c>
      <c r="P365" s="207">
        <f>IF(ISNUMBER(VLOOKUP($B:$B,'BS(분기)'!$A:$F,$2:$2,0)),VLOOKUP($B:$B,'BS(분기)'!$A:$F,$2:$2,0),0)</f>
        <v>0</v>
      </c>
      <c r="Q365" s="207">
        <f>IF(ISNUMBER(VLOOKUP($B:$B,'BS(분기)'!$A:$F,$2:$2,0)),VLOOKUP($B:$B,'BS(분기)'!$A:$F,$2:$2,0),0)</f>
        <v>0</v>
      </c>
      <c r="R365" s="207">
        <f>IF(ISNUMBER(VLOOKUP($B:$B,'BS(분기)'!$A:$F,$2:$2,0)),VLOOKUP($B:$B,'BS(분기)'!$A:$F,$2:$2,0),0)</f>
        <v>0</v>
      </c>
    </row>
    <row r="366" spans="1:18" s="192" customFormat="1" ht="12">
      <c r="A366" s="202">
        <v>113241</v>
      </c>
      <c r="B366" s="195" t="s">
        <v>1128</v>
      </c>
      <c r="C366" s="217">
        <f>IF(ISNUMBER(VLOOKUP($B:$B,BS!$A:$D,$2:$2,0)),VLOOKUP($B:$B,BS!$A:$D,$2:$2,0),0)</f>
        <v>0</v>
      </c>
      <c r="D366" s="217">
        <f>IF(ISNUMBER(VLOOKUP($B:$B,BS!$A:$D,$2:$2,0)),VLOOKUP($B:$B,BS!$A:$D,$2:$2,0),0)</f>
        <v>0</v>
      </c>
      <c r="E366" s="217">
        <f>IF(ISNUMBER(VLOOKUP($B:$B,BS!$A:$D,$2:$2,0)),VLOOKUP($B:$B,BS!$A:$D,$2:$2,0),0)</f>
        <v>0</v>
      </c>
      <c r="F366" s="217">
        <f>IF(ISNUMBER(VLOOKUP($B:$B,BS!$A:$D,$2:$2,0)),VLOOKUP($B:$B,BS!$A:$D,$2:$2,0),0)</f>
        <v>0</v>
      </c>
      <c r="G366" s="217">
        <f>IF(ISNUMBER(VLOOKUP($B:$B,BS!$A:$D,$2:$2,0)),VLOOKUP($B:$B,BS!$A:$D,$2:$2,0),0)</f>
        <v>0</v>
      </c>
      <c r="H366" s="207">
        <f>IF(ISNUMBER(VLOOKUP($B:$B,'BS(과거)'!$A:$F,$2:$2,0)),VLOOKUP($B:$B,'BS(과거)'!$A:$F,$2:$2,0),0)</f>
        <v>0</v>
      </c>
      <c r="I366" s="207">
        <f>IF(ISNUMBER(VLOOKUP($B:$B,'BS(과거)'!$A:$F,$2:$2,0)),VLOOKUP($B:$B,'BS(과거)'!$A:$F,$2:$2,0),0)</f>
        <v>0</v>
      </c>
      <c r="J366" s="207">
        <f>IF(ISNUMBER(VLOOKUP($B:$B,'BS(과거)'!$A:$F,$2:$2,0)),VLOOKUP($B:$B,'BS(과거)'!$A:$F,$2:$2,0),0)</f>
        <v>0</v>
      </c>
      <c r="K366" s="207">
        <f>IF(ISNUMBER(VLOOKUP($B:$B,'BS(과거)'!$A:$F,$2:$2,0)),VLOOKUP($B:$B,'BS(과거)'!$A:$F,$2:$2,0),0)</f>
        <v>0</v>
      </c>
      <c r="L366" s="207">
        <f>IF(ISNUMBER(VLOOKUP($B:$B,'BS(과거)'!$A:$F,$2:$2,0)),VLOOKUP($B:$B,'BS(과거)'!$A:$F,$2:$2,0),0)</f>
        <v>0</v>
      </c>
      <c r="N366" s="207">
        <f>IF(ISNUMBER(VLOOKUP($B:$B,'BS(분기)'!$A:$F,$2:$2,0)),VLOOKUP($B:$B,'BS(분기)'!$A:$F,$2:$2,0),0)</f>
        <v>0</v>
      </c>
      <c r="O366" s="207">
        <f>IF(ISNUMBER(VLOOKUP($B:$B,'BS(분기)'!$A:$F,$2:$2,0)),VLOOKUP($B:$B,'BS(분기)'!$A:$F,$2:$2,0),0)</f>
        <v>0</v>
      </c>
      <c r="P366" s="207">
        <f>IF(ISNUMBER(VLOOKUP($B:$B,'BS(분기)'!$A:$F,$2:$2,0)),VLOOKUP($B:$B,'BS(분기)'!$A:$F,$2:$2,0),0)</f>
        <v>0</v>
      </c>
      <c r="Q366" s="207">
        <f>IF(ISNUMBER(VLOOKUP($B:$B,'BS(분기)'!$A:$F,$2:$2,0)),VLOOKUP($B:$B,'BS(분기)'!$A:$F,$2:$2,0),0)</f>
        <v>0</v>
      </c>
      <c r="R366" s="207">
        <f>IF(ISNUMBER(VLOOKUP($B:$B,'BS(분기)'!$A:$F,$2:$2,0)),VLOOKUP($B:$B,'BS(분기)'!$A:$F,$2:$2,0),0)</f>
        <v>0</v>
      </c>
    </row>
    <row r="367" spans="1:18" s="192" customFormat="1" ht="12">
      <c r="A367" s="202">
        <v>113242</v>
      </c>
      <c r="B367" s="195" t="s">
        <v>1129</v>
      </c>
      <c r="C367" s="217">
        <f>IF(ISNUMBER(VLOOKUP($B:$B,BS!$A:$D,$2:$2,0)),VLOOKUP($B:$B,BS!$A:$D,$2:$2,0),0)</f>
        <v>0</v>
      </c>
      <c r="D367" s="217">
        <f>IF(ISNUMBER(VLOOKUP($B:$B,BS!$A:$D,$2:$2,0)),VLOOKUP($B:$B,BS!$A:$D,$2:$2,0),0)</f>
        <v>0</v>
      </c>
      <c r="E367" s="217">
        <f>IF(ISNUMBER(VLOOKUP($B:$B,BS!$A:$D,$2:$2,0)),VLOOKUP($B:$B,BS!$A:$D,$2:$2,0),0)</f>
        <v>0</v>
      </c>
      <c r="F367" s="217">
        <f>IF(ISNUMBER(VLOOKUP($B:$B,BS!$A:$D,$2:$2,0)),VLOOKUP($B:$B,BS!$A:$D,$2:$2,0),0)</f>
        <v>0</v>
      </c>
      <c r="G367" s="217">
        <f>IF(ISNUMBER(VLOOKUP($B:$B,BS!$A:$D,$2:$2,0)),VLOOKUP($B:$B,BS!$A:$D,$2:$2,0),0)</f>
        <v>0</v>
      </c>
      <c r="H367" s="207">
        <f>IF(ISNUMBER(VLOOKUP($B:$B,'BS(과거)'!$A:$F,$2:$2,0)),VLOOKUP($B:$B,'BS(과거)'!$A:$F,$2:$2,0),0)</f>
        <v>0</v>
      </c>
      <c r="I367" s="207">
        <f>IF(ISNUMBER(VLOOKUP($B:$B,'BS(과거)'!$A:$F,$2:$2,0)),VLOOKUP($B:$B,'BS(과거)'!$A:$F,$2:$2,0),0)</f>
        <v>0</v>
      </c>
      <c r="J367" s="207">
        <f>IF(ISNUMBER(VLOOKUP($B:$B,'BS(과거)'!$A:$F,$2:$2,0)),VLOOKUP($B:$B,'BS(과거)'!$A:$F,$2:$2,0),0)</f>
        <v>0</v>
      </c>
      <c r="K367" s="207">
        <f>IF(ISNUMBER(VLOOKUP($B:$B,'BS(과거)'!$A:$F,$2:$2,0)),VLOOKUP($B:$B,'BS(과거)'!$A:$F,$2:$2,0),0)</f>
        <v>0</v>
      </c>
      <c r="L367" s="207">
        <f>IF(ISNUMBER(VLOOKUP($B:$B,'BS(과거)'!$A:$F,$2:$2,0)),VLOOKUP($B:$B,'BS(과거)'!$A:$F,$2:$2,0),0)</f>
        <v>0</v>
      </c>
      <c r="N367" s="207">
        <f>IF(ISNUMBER(VLOOKUP($B:$B,'BS(분기)'!$A:$F,$2:$2,0)),VLOOKUP($B:$B,'BS(분기)'!$A:$F,$2:$2,0),0)</f>
        <v>0</v>
      </c>
      <c r="O367" s="207">
        <f>IF(ISNUMBER(VLOOKUP($B:$B,'BS(분기)'!$A:$F,$2:$2,0)),VLOOKUP($B:$B,'BS(분기)'!$A:$F,$2:$2,0),0)</f>
        <v>0</v>
      </c>
      <c r="P367" s="207">
        <f>IF(ISNUMBER(VLOOKUP($B:$B,'BS(분기)'!$A:$F,$2:$2,0)),VLOOKUP($B:$B,'BS(분기)'!$A:$F,$2:$2,0),0)</f>
        <v>0</v>
      </c>
      <c r="Q367" s="207">
        <f>IF(ISNUMBER(VLOOKUP($B:$B,'BS(분기)'!$A:$F,$2:$2,0)),VLOOKUP($B:$B,'BS(분기)'!$A:$F,$2:$2,0),0)</f>
        <v>0</v>
      </c>
      <c r="R367" s="207">
        <f>IF(ISNUMBER(VLOOKUP($B:$B,'BS(분기)'!$A:$F,$2:$2,0)),VLOOKUP($B:$B,'BS(분기)'!$A:$F,$2:$2,0),0)</f>
        <v>0</v>
      </c>
    </row>
    <row r="368" spans="1:18" s="192" customFormat="1" ht="12">
      <c r="A368" s="202">
        <v>113243</v>
      </c>
      <c r="B368" s="195" t="s">
        <v>1130</v>
      </c>
      <c r="C368" s="217">
        <f>IF(ISNUMBER(VLOOKUP($B:$B,BS!$A:$D,$2:$2,0)),VLOOKUP($B:$B,BS!$A:$D,$2:$2,0),0)</f>
        <v>0</v>
      </c>
      <c r="D368" s="217">
        <f>IF(ISNUMBER(VLOOKUP($B:$B,BS!$A:$D,$2:$2,0)),VLOOKUP($B:$B,BS!$A:$D,$2:$2,0),0)</f>
        <v>0</v>
      </c>
      <c r="E368" s="217">
        <f>IF(ISNUMBER(VLOOKUP($B:$B,BS!$A:$D,$2:$2,0)),VLOOKUP($B:$B,BS!$A:$D,$2:$2,0),0)</f>
        <v>0</v>
      </c>
      <c r="F368" s="217">
        <f>IF(ISNUMBER(VLOOKUP($B:$B,BS!$A:$D,$2:$2,0)),VLOOKUP($B:$B,BS!$A:$D,$2:$2,0),0)</f>
        <v>0</v>
      </c>
      <c r="G368" s="217">
        <f>IF(ISNUMBER(VLOOKUP($B:$B,BS!$A:$D,$2:$2,0)),VLOOKUP($B:$B,BS!$A:$D,$2:$2,0),0)</f>
        <v>0</v>
      </c>
      <c r="H368" s="207">
        <f>IF(ISNUMBER(VLOOKUP($B:$B,'BS(과거)'!$A:$F,$2:$2,0)),VLOOKUP($B:$B,'BS(과거)'!$A:$F,$2:$2,0),0)</f>
        <v>0</v>
      </c>
      <c r="I368" s="207">
        <f>IF(ISNUMBER(VLOOKUP($B:$B,'BS(과거)'!$A:$F,$2:$2,0)),VLOOKUP($B:$B,'BS(과거)'!$A:$F,$2:$2,0),0)</f>
        <v>0</v>
      </c>
      <c r="J368" s="207">
        <f>IF(ISNUMBER(VLOOKUP($B:$B,'BS(과거)'!$A:$F,$2:$2,0)),VLOOKUP($B:$B,'BS(과거)'!$A:$F,$2:$2,0),0)</f>
        <v>0</v>
      </c>
      <c r="K368" s="207">
        <f>IF(ISNUMBER(VLOOKUP($B:$B,'BS(과거)'!$A:$F,$2:$2,0)),VLOOKUP($B:$B,'BS(과거)'!$A:$F,$2:$2,0),0)</f>
        <v>0</v>
      </c>
      <c r="L368" s="207">
        <f>IF(ISNUMBER(VLOOKUP($B:$B,'BS(과거)'!$A:$F,$2:$2,0)),VLOOKUP($B:$B,'BS(과거)'!$A:$F,$2:$2,0),0)</f>
        <v>0</v>
      </c>
      <c r="N368" s="207">
        <f>IF(ISNUMBER(VLOOKUP($B:$B,'BS(분기)'!$A:$F,$2:$2,0)),VLOOKUP($B:$B,'BS(분기)'!$A:$F,$2:$2,0),0)</f>
        <v>0</v>
      </c>
      <c r="O368" s="207">
        <f>IF(ISNUMBER(VLOOKUP($B:$B,'BS(분기)'!$A:$F,$2:$2,0)),VLOOKUP($B:$B,'BS(분기)'!$A:$F,$2:$2,0),0)</f>
        <v>0</v>
      </c>
      <c r="P368" s="207">
        <f>IF(ISNUMBER(VLOOKUP($B:$B,'BS(분기)'!$A:$F,$2:$2,0)),VLOOKUP($B:$B,'BS(분기)'!$A:$F,$2:$2,0),0)</f>
        <v>0</v>
      </c>
      <c r="Q368" s="207">
        <f>IF(ISNUMBER(VLOOKUP($B:$B,'BS(분기)'!$A:$F,$2:$2,0)),VLOOKUP($B:$B,'BS(분기)'!$A:$F,$2:$2,0),0)</f>
        <v>0</v>
      </c>
      <c r="R368" s="207">
        <f>IF(ISNUMBER(VLOOKUP($B:$B,'BS(분기)'!$A:$F,$2:$2,0)),VLOOKUP($B:$B,'BS(분기)'!$A:$F,$2:$2,0),0)</f>
        <v>0</v>
      </c>
    </row>
    <row r="369" spans="1:18" s="192" customFormat="1" ht="12">
      <c r="A369" s="202">
        <v>113260</v>
      </c>
      <c r="B369" s="195" t="s">
        <v>1131</v>
      </c>
      <c r="C369" s="217">
        <f>IF(ISNUMBER(VLOOKUP($B:$B,BS!$A:$D,$2:$2,0)),VLOOKUP($B:$B,BS!$A:$D,$2:$2,0),0)</f>
        <v>0</v>
      </c>
      <c r="D369" s="217">
        <f>IF(ISNUMBER(VLOOKUP($B:$B,BS!$A:$D,$2:$2,0)),VLOOKUP($B:$B,BS!$A:$D,$2:$2,0),0)</f>
        <v>0</v>
      </c>
      <c r="E369" s="217">
        <f>IF(ISNUMBER(VLOOKUP($B:$B,BS!$A:$D,$2:$2,0)),VLOOKUP($B:$B,BS!$A:$D,$2:$2,0),0)</f>
        <v>0</v>
      </c>
      <c r="F369" s="217">
        <f>IF(ISNUMBER(VLOOKUP($B:$B,BS!$A:$D,$2:$2,0)),VLOOKUP($B:$B,BS!$A:$D,$2:$2,0),0)</f>
        <v>0</v>
      </c>
      <c r="G369" s="217">
        <f>IF(ISNUMBER(VLOOKUP($B:$B,BS!$A:$D,$2:$2,0)),VLOOKUP($B:$B,BS!$A:$D,$2:$2,0),0)</f>
        <v>0</v>
      </c>
      <c r="H369" s="207">
        <f>IF(ISNUMBER(VLOOKUP($B:$B,'BS(과거)'!$A:$F,$2:$2,0)),VLOOKUP($B:$B,'BS(과거)'!$A:$F,$2:$2,0),0)</f>
        <v>0</v>
      </c>
      <c r="I369" s="207">
        <f>IF(ISNUMBER(VLOOKUP($B:$B,'BS(과거)'!$A:$F,$2:$2,0)),VLOOKUP($B:$B,'BS(과거)'!$A:$F,$2:$2,0),0)</f>
        <v>0</v>
      </c>
      <c r="J369" s="207">
        <f>IF(ISNUMBER(VLOOKUP($B:$B,'BS(과거)'!$A:$F,$2:$2,0)),VLOOKUP($B:$B,'BS(과거)'!$A:$F,$2:$2,0),0)</f>
        <v>0</v>
      </c>
      <c r="K369" s="207">
        <f>IF(ISNUMBER(VLOOKUP($B:$B,'BS(과거)'!$A:$F,$2:$2,0)),VLOOKUP($B:$B,'BS(과거)'!$A:$F,$2:$2,0),0)</f>
        <v>0</v>
      </c>
      <c r="L369" s="207">
        <f>IF(ISNUMBER(VLOOKUP($B:$B,'BS(과거)'!$A:$F,$2:$2,0)),VLOOKUP($B:$B,'BS(과거)'!$A:$F,$2:$2,0),0)</f>
        <v>0</v>
      </c>
      <c r="N369" s="207">
        <f>IF(ISNUMBER(VLOOKUP($B:$B,'BS(분기)'!$A:$F,$2:$2,0)),VLOOKUP($B:$B,'BS(분기)'!$A:$F,$2:$2,0),0)</f>
        <v>0</v>
      </c>
      <c r="O369" s="207">
        <f>IF(ISNUMBER(VLOOKUP($B:$B,'BS(분기)'!$A:$F,$2:$2,0)),VLOOKUP($B:$B,'BS(분기)'!$A:$F,$2:$2,0),0)</f>
        <v>0</v>
      </c>
      <c r="P369" s="207">
        <f>IF(ISNUMBER(VLOOKUP($B:$B,'BS(분기)'!$A:$F,$2:$2,0)),VLOOKUP($B:$B,'BS(분기)'!$A:$F,$2:$2,0),0)</f>
        <v>0</v>
      </c>
      <c r="Q369" s="207">
        <f>IF(ISNUMBER(VLOOKUP($B:$B,'BS(분기)'!$A:$F,$2:$2,0)),VLOOKUP($B:$B,'BS(분기)'!$A:$F,$2:$2,0),0)</f>
        <v>0</v>
      </c>
      <c r="R369" s="207">
        <f>IF(ISNUMBER(VLOOKUP($B:$B,'BS(분기)'!$A:$F,$2:$2,0)),VLOOKUP($B:$B,'BS(분기)'!$A:$F,$2:$2,0),0)</f>
        <v>0</v>
      </c>
    </row>
    <row r="370" spans="1:18" s="192" customFormat="1" ht="12">
      <c r="A370" s="202">
        <v>113261</v>
      </c>
      <c r="B370" s="195" t="s">
        <v>1132</v>
      </c>
      <c r="C370" s="217">
        <f>IF(ISNUMBER(VLOOKUP($B:$B,BS!$A:$D,$2:$2,0)),VLOOKUP($B:$B,BS!$A:$D,$2:$2,0),0)</f>
        <v>0</v>
      </c>
      <c r="D370" s="217">
        <f>IF(ISNUMBER(VLOOKUP($B:$B,BS!$A:$D,$2:$2,0)),VLOOKUP($B:$B,BS!$A:$D,$2:$2,0),0)</f>
        <v>0</v>
      </c>
      <c r="E370" s="217">
        <f>IF(ISNUMBER(VLOOKUP($B:$B,BS!$A:$D,$2:$2,0)),VLOOKUP($B:$B,BS!$A:$D,$2:$2,0),0)</f>
        <v>0</v>
      </c>
      <c r="F370" s="217">
        <f>IF(ISNUMBER(VLOOKUP($B:$B,BS!$A:$D,$2:$2,0)),VLOOKUP($B:$B,BS!$A:$D,$2:$2,0),0)</f>
        <v>0</v>
      </c>
      <c r="G370" s="217">
        <f>IF(ISNUMBER(VLOOKUP($B:$B,BS!$A:$D,$2:$2,0)),VLOOKUP($B:$B,BS!$A:$D,$2:$2,0),0)</f>
        <v>0</v>
      </c>
      <c r="H370" s="207">
        <f>IF(ISNUMBER(VLOOKUP($B:$B,'BS(과거)'!$A:$F,$2:$2,0)),VLOOKUP($B:$B,'BS(과거)'!$A:$F,$2:$2,0),0)</f>
        <v>0</v>
      </c>
      <c r="I370" s="207">
        <f>IF(ISNUMBER(VLOOKUP($B:$B,'BS(과거)'!$A:$F,$2:$2,0)),VLOOKUP($B:$B,'BS(과거)'!$A:$F,$2:$2,0),0)</f>
        <v>0</v>
      </c>
      <c r="J370" s="207">
        <f>IF(ISNUMBER(VLOOKUP($B:$B,'BS(과거)'!$A:$F,$2:$2,0)),VLOOKUP($B:$B,'BS(과거)'!$A:$F,$2:$2,0),0)</f>
        <v>0</v>
      </c>
      <c r="K370" s="207">
        <f>IF(ISNUMBER(VLOOKUP($B:$B,'BS(과거)'!$A:$F,$2:$2,0)),VLOOKUP($B:$B,'BS(과거)'!$A:$F,$2:$2,0),0)</f>
        <v>0</v>
      </c>
      <c r="L370" s="207">
        <f>IF(ISNUMBER(VLOOKUP($B:$B,'BS(과거)'!$A:$F,$2:$2,0)),VLOOKUP($B:$B,'BS(과거)'!$A:$F,$2:$2,0),0)</f>
        <v>0</v>
      </c>
      <c r="N370" s="207">
        <f>IF(ISNUMBER(VLOOKUP($B:$B,'BS(분기)'!$A:$F,$2:$2,0)),VLOOKUP($B:$B,'BS(분기)'!$A:$F,$2:$2,0),0)</f>
        <v>0</v>
      </c>
      <c r="O370" s="207">
        <f>IF(ISNUMBER(VLOOKUP($B:$B,'BS(분기)'!$A:$F,$2:$2,0)),VLOOKUP($B:$B,'BS(분기)'!$A:$F,$2:$2,0),0)</f>
        <v>0</v>
      </c>
      <c r="P370" s="207">
        <f>IF(ISNUMBER(VLOOKUP($B:$B,'BS(분기)'!$A:$F,$2:$2,0)),VLOOKUP($B:$B,'BS(분기)'!$A:$F,$2:$2,0),0)</f>
        <v>0</v>
      </c>
      <c r="Q370" s="207">
        <f>IF(ISNUMBER(VLOOKUP($B:$B,'BS(분기)'!$A:$F,$2:$2,0)),VLOOKUP($B:$B,'BS(분기)'!$A:$F,$2:$2,0),0)</f>
        <v>0</v>
      </c>
      <c r="R370" s="207">
        <f>IF(ISNUMBER(VLOOKUP($B:$B,'BS(분기)'!$A:$F,$2:$2,0)),VLOOKUP($B:$B,'BS(분기)'!$A:$F,$2:$2,0),0)</f>
        <v>0</v>
      </c>
    </row>
    <row r="371" spans="1:18" s="192" customFormat="1" ht="12">
      <c r="A371" s="202">
        <v>113262</v>
      </c>
      <c r="B371" s="195" t="s">
        <v>1133</v>
      </c>
      <c r="C371" s="217">
        <f>IF(ISNUMBER(VLOOKUP($B:$B,BS!$A:$D,$2:$2,0)),VLOOKUP($B:$B,BS!$A:$D,$2:$2,0),0)</f>
        <v>0</v>
      </c>
      <c r="D371" s="217">
        <f>IF(ISNUMBER(VLOOKUP($B:$B,BS!$A:$D,$2:$2,0)),VLOOKUP($B:$B,BS!$A:$D,$2:$2,0),0)</f>
        <v>0</v>
      </c>
      <c r="E371" s="217">
        <f>IF(ISNUMBER(VLOOKUP($B:$B,BS!$A:$D,$2:$2,0)),VLOOKUP($B:$B,BS!$A:$D,$2:$2,0),0)</f>
        <v>0</v>
      </c>
      <c r="F371" s="217">
        <f>IF(ISNUMBER(VLOOKUP($B:$B,BS!$A:$D,$2:$2,0)),VLOOKUP($B:$B,BS!$A:$D,$2:$2,0),0)</f>
        <v>0</v>
      </c>
      <c r="G371" s="217">
        <f>IF(ISNUMBER(VLOOKUP($B:$B,BS!$A:$D,$2:$2,0)),VLOOKUP($B:$B,BS!$A:$D,$2:$2,0),0)</f>
        <v>0</v>
      </c>
      <c r="H371" s="207">
        <f>IF(ISNUMBER(VLOOKUP($B:$B,'BS(과거)'!$A:$F,$2:$2,0)),VLOOKUP($B:$B,'BS(과거)'!$A:$F,$2:$2,0),0)</f>
        <v>0</v>
      </c>
      <c r="I371" s="207">
        <f>IF(ISNUMBER(VLOOKUP($B:$B,'BS(과거)'!$A:$F,$2:$2,0)),VLOOKUP($B:$B,'BS(과거)'!$A:$F,$2:$2,0),0)</f>
        <v>0</v>
      </c>
      <c r="J371" s="207">
        <f>IF(ISNUMBER(VLOOKUP($B:$B,'BS(과거)'!$A:$F,$2:$2,0)),VLOOKUP($B:$B,'BS(과거)'!$A:$F,$2:$2,0),0)</f>
        <v>0</v>
      </c>
      <c r="K371" s="207">
        <f>IF(ISNUMBER(VLOOKUP($B:$B,'BS(과거)'!$A:$F,$2:$2,0)),VLOOKUP($B:$B,'BS(과거)'!$A:$F,$2:$2,0),0)</f>
        <v>0</v>
      </c>
      <c r="L371" s="207">
        <f>IF(ISNUMBER(VLOOKUP($B:$B,'BS(과거)'!$A:$F,$2:$2,0)),VLOOKUP($B:$B,'BS(과거)'!$A:$F,$2:$2,0),0)</f>
        <v>0</v>
      </c>
      <c r="N371" s="207">
        <f>IF(ISNUMBER(VLOOKUP($B:$B,'BS(분기)'!$A:$F,$2:$2,0)),VLOOKUP($B:$B,'BS(분기)'!$A:$F,$2:$2,0),0)</f>
        <v>0</v>
      </c>
      <c r="O371" s="207">
        <f>IF(ISNUMBER(VLOOKUP($B:$B,'BS(분기)'!$A:$F,$2:$2,0)),VLOOKUP($B:$B,'BS(분기)'!$A:$F,$2:$2,0),0)</f>
        <v>0</v>
      </c>
      <c r="P371" s="207">
        <f>IF(ISNUMBER(VLOOKUP($B:$B,'BS(분기)'!$A:$F,$2:$2,0)),VLOOKUP($B:$B,'BS(분기)'!$A:$F,$2:$2,0),0)</f>
        <v>0</v>
      </c>
      <c r="Q371" s="207">
        <f>IF(ISNUMBER(VLOOKUP($B:$B,'BS(분기)'!$A:$F,$2:$2,0)),VLOOKUP($B:$B,'BS(분기)'!$A:$F,$2:$2,0),0)</f>
        <v>0</v>
      </c>
      <c r="R371" s="207">
        <f>IF(ISNUMBER(VLOOKUP($B:$B,'BS(분기)'!$A:$F,$2:$2,0)),VLOOKUP($B:$B,'BS(분기)'!$A:$F,$2:$2,0),0)</f>
        <v>0</v>
      </c>
    </row>
    <row r="372" spans="1:18" s="192" customFormat="1" ht="12">
      <c r="A372" s="202">
        <v>113263</v>
      </c>
      <c r="B372" s="195" t="s">
        <v>1134</v>
      </c>
      <c r="C372" s="217">
        <f>IF(ISNUMBER(VLOOKUP($B:$B,BS!$A:$D,$2:$2,0)),VLOOKUP($B:$B,BS!$A:$D,$2:$2,0),0)</f>
        <v>0</v>
      </c>
      <c r="D372" s="217">
        <f>IF(ISNUMBER(VLOOKUP($B:$B,BS!$A:$D,$2:$2,0)),VLOOKUP($B:$B,BS!$A:$D,$2:$2,0),0)</f>
        <v>0</v>
      </c>
      <c r="E372" s="217">
        <f>IF(ISNUMBER(VLOOKUP($B:$B,BS!$A:$D,$2:$2,0)),VLOOKUP($B:$B,BS!$A:$D,$2:$2,0),0)</f>
        <v>0</v>
      </c>
      <c r="F372" s="217">
        <f>IF(ISNUMBER(VLOOKUP($B:$B,BS!$A:$D,$2:$2,0)),VLOOKUP($B:$B,BS!$A:$D,$2:$2,0),0)</f>
        <v>0</v>
      </c>
      <c r="G372" s="217">
        <f>IF(ISNUMBER(VLOOKUP($B:$B,BS!$A:$D,$2:$2,0)),VLOOKUP($B:$B,BS!$A:$D,$2:$2,0),0)</f>
        <v>0</v>
      </c>
      <c r="H372" s="207">
        <f>IF(ISNUMBER(VLOOKUP($B:$B,'BS(과거)'!$A:$F,$2:$2,0)),VLOOKUP($B:$B,'BS(과거)'!$A:$F,$2:$2,0),0)</f>
        <v>0</v>
      </c>
      <c r="I372" s="207">
        <f>IF(ISNUMBER(VLOOKUP($B:$B,'BS(과거)'!$A:$F,$2:$2,0)),VLOOKUP($B:$B,'BS(과거)'!$A:$F,$2:$2,0),0)</f>
        <v>0</v>
      </c>
      <c r="J372" s="207">
        <f>IF(ISNUMBER(VLOOKUP($B:$B,'BS(과거)'!$A:$F,$2:$2,0)),VLOOKUP($B:$B,'BS(과거)'!$A:$F,$2:$2,0),0)</f>
        <v>0</v>
      </c>
      <c r="K372" s="207">
        <f>IF(ISNUMBER(VLOOKUP($B:$B,'BS(과거)'!$A:$F,$2:$2,0)),VLOOKUP($B:$B,'BS(과거)'!$A:$F,$2:$2,0),0)</f>
        <v>0</v>
      </c>
      <c r="L372" s="207">
        <f>IF(ISNUMBER(VLOOKUP($B:$B,'BS(과거)'!$A:$F,$2:$2,0)),VLOOKUP($B:$B,'BS(과거)'!$A:$F,$2:$2,0),0)</f>
        <v>0</v>
      </c>
      <c r="N372" s="207">
        <f>IF(ISNUMBER(VLOOKUP($B:$B,'BS(분기)'!$A:$F,$2:$2,0)),VLOOKUP($B:$B,'BS(분기)'!$A:$F,$2:$2,0),0)</f>
        <v>0</v>
      </c>
      <c r="O372" s="207">
        <f>IF(ISNUMBER(VLOOKUP($B:$B,'BS(분기)'!$A:$F,$2:$2,0)),VLOOKUP($B:$B,'BS(분기)'!$A:$F,$2:$2,0),0)</f>
        <v>0</v>
      </c>
      <c r="P372" s="207">
        <f>IF(ISNUMBER(VLOOKUP($B:$B,'BS(분기)'!$A:$F,$2:$2,0)),VLOOKUP($B:$B,'BS(분기)'!$A:$F,$2:$2,0),0)</f>
        <v>0</v>
      </c>
      <c r="Q372" s="207">
        <f>IF(ISNUMBER(VLOOKUP($B:$B,'BS(분기)'!$A:$F,$2:$2,0)),VLOOKUP($B:$B,'BS(분기)'!$A:$F,$2:$2,0),0)</f>
        <v>0</v>
      </c>
      <c r="R372" s="207">
        <f>IF(ISNUMBER(VLOOKUP($B:$B,'BS(분기)'!$A:$F,$2:$2,0)),VLOOKUP($B:$B,'BS(분기)'!$A:$F,$2:$2,0),0)</f>
        <v>0</v>
      </c>
    </row>
    <row r="373" spans="1:18" s="192" customFormat="1" ht="12">
      <c r="A373" s="202">
        <v>113250</v>
      </c>
      <c r="B373" s="195" t="s">
        <v>1135</v>
      </c>
      <c r="C373" s="217">
        <f>IF(ISNUMBER(VLOOKUP($B:$B,BS!$A:$D,$2:$2,0)),VLOOKUP($B:$B,BS!$A:$D,$2:$2,0),0)</f>
        <v>0</v>
      </c>
      <c r="D373" s="217">
        <f>IF(ISNUMBER(VLOOKUP($B:$B,BS!$A:$D,$2:$2,0)),VLOOKUP($B:$B,BS!$A:$D,$2:$2,0),0)</f>
        <v>0</v>
      </c>
      <c r="E373" s="217">
        <f>IF(ISNUMBER(VLOOKUP($B:$B,BS!$A:$D,$2:$2,0)),VLOOKUP($B:$B,BS!$A:$D,$2:$2,0),0)</f>
        <v>0</v>
      </c>
      <c r="F373" s="217">
        <f>IF(ISNUMBER(VLOOKUP($B:$B,BS!$A:$D,$2:$2,0)),VLOOKUP($B:$B,BS!$A:$D,$2:$2,0),0)</f>
        <v>0</v>
      </c>
      <c r="G373" s="217">
        <f>IF(ISNUMBER(VLOOKUP($B:$B,BS!$A:$D,$2:$2,0)),VLOOKUP($B:$B,BS!$A:$D,$2:$2,0),0)</f>
        <v>0</v>
      </c>
      <c r="H373" s="207">
        <f>IF(ISNUMBER(VLOOKUP($B:$B,'BS(과거)'!$A:$F,$2:$2,0)),VLOOKUP($B:$B,'BS(과거)'!$A:$F,$2:$2,0),0)</f>
        <v>0</v>
      </c>
      <c r="I373" s="207">
        <f>IF(ISNUMBER(VLOOKUP($B:$B,'BS(과거)'!$A:$F,$2:$2,0)),VLOOKUP($B:$B,'BS(과거)'!$A:$F,$2:$2,0),0)</f>
        <v>0</v>
      </c>
      <c r="J373" s="207">
        <f>IF(ISNUMBER(VLOOKUP($B:$B,'BS(과거)'!$A:$F,$2:$2,0)),VLOOKUP($B:$B,'BS(과거)'!$A:$F,$2:$2,0),0)</f>
        <v>0</v>
      </c>
      <c r="K373" s="207">
        <f>IF(ISNUMBER(VLOOKUP($B:$B,'BS(과거)'!$A:$F,$2:$2,0)),VLOOKUP($B:$B,'BS(과거)'!$A:$F,$2:$2,0),0)</f>
        <v>0</v>
      </c>
      <c r="L373" s="207">
        <f>IF(ISNUMBER(VLOOKUP($B:$B,'BS(과거)'!$A:$F,$2:$2,0)),VLOOKUP($B:$B,'BS(과거)'!$A:$F,$2:$2,0),0)</f>
        <v>0</v>
      </c>
      <c r="N373" s="207">
        <f>IF(ISNUMBER(VLOOKUP($B:$B,'BS(분기)'!$A:$F,$2:$2,0)),VLOOKUP($B:$B,'BS(분기)'!$A:$F,$2:$2,0),0)</f>
        <v>0</v>
      </c>
      <c r="O373" s="207">
        <f>IF(ISNUMBER(VLOOKUP($B:$B,'BS(분기)'!$A:$F,$2:$2,0)),VLOOKUP($B:$B,'BS(분기)'!$A:$F,$2:$2,0),0)</f>
        <v>0</v>
      </c>
      <c r="P373" s="207">
        <f>IF(ISNUMBER(VLOOKUP($B:$B,'BS(분기)'!$A:$F,$2:$2,0)),VLOOKUP($B:$B,'BS(분기)'!$A:$F,$2:$2,0),0)</f>
        <v>0</v>
      </c>
      <c r="Q373" s="207">
        <f>IF(ISNUMBER(VLOOKUP($B:$B,'BS(분기)'!$A:$F,$2:$2,0)),VLOOKUP($B:$B,'BS(분기)'!$A:$F,$2:$2,0),0)</f>
        <v>0</v>
      </c>
      <c r="R373" s="207">
        <f>IF(ISNUMBER(VLOOKUP($B:$B,'BS(분기)'!$A:$F,$2:$2,0)),VLOOKUP($B:$B,'BS(분기)'!$A:$F,$2:$2,0),0)</f>
        <v>0</v>
      </c>
    </row>
    <row r="374" spans="1:18" s="192" customFormat="1" ht="12">
      <c r="A374" s="202">
        <v>113251</v>
      </c>
      <c r="B374" s="195" t="s">
        <v>1136</v>
      </c>
      <c r="C374" s="217">
        <f>IF(ISNUMBER(VLOOKUP($B:$B,BS!$A:$D,$2:$2,0)),VLOOKUP($B:$B,BS!$A:$D,$2:$2,0),0)</f>
        <v>0</v>
      </c>
      <c r="D374" s="217">
        <f>IF(ISNUMBER(VLOOKUP($B:$B,BS!$A:$D,$2:$2,0)),VLOOKUP($B:$B,BS!$A:$D,$2:$2,0),0)</f>
        <v>0</v>
      </c>
      <c r="E374" s="217">
        <f>IF(ISNUMBER(VLOOKUP($B:$B,BS!$A:$D,$2:$2,0)),VLOOKUP($B:$B,BS!$A:$D,$2:$2,0),0)</f>
        <v>0</v>
      </c>
      <c r="F374" s="217">
        <f>IF(ISNUMBER(VLOOKUP($B:$B,BS!$A:$D,$2:$2,0)),VLOOKUP($B:$B,BS!$A:$D,$2:$2,0),0)</f>
        <v>0</v>
      </c>
      <c r="G374" s="217">
        <f>IF(ISNUMBER(VLOOKUP($B:$B,BS!$A:$D,$2:$2,0)),VLOOKUP($B:$B,BS!$A:$D,$2:$2,0),0)</f>
        <v>0</v>
      </c>
      <c r="H374" s="207">
        <f>IF(ISNUMBER(VLOOKUP($B:$B,'BS(과거)'!$A:$F,$2:$2,0)),VLOOKUP($B:$B,'BS(과거)'!$A:$F,$2:$2,0),0)</f>
        <v>0</v>
      </c>
      <c r="I374" s="207">
        <f>IF(ISNUMBER(VLOOKUP($B:$B,'BS(과거)'!$A:$F,$2:$2,0)),VLOOKUP($B:$B,'BS(과거)'!$A:$F,$2:$2,0),0)</f>
        <v>0</v>
      </c>
      <c r="J374" s="207">
        <f>IF(ISNUMBER(VLOOKUP($B:$B,'BS(과거)'!$A:$F,$2:$2,0)),VLOOKUP($B:$B,'BS(과거)'!$A:$F,$2:$2,0),0)</f>
        <v>0</v>
      </c>
      <c r="K374" s="207">
        <f>IF(ISNUMBER(VLOOKUP($B:$B,'BS(과거)'!$A:$F,$2:$2,0)),VLOOKUP($B:$B,'BS(과거)'!$A:$F,$2:$2,0),0)</f>
        <v>0</v>
      </c>
      <c r="L374" s="207">
        <f>IF(ISNUMBER(VLOOKUP($B:$B,'BS(과거)'!$A:$F,$2:$2,0)),VLOOKUP($B:$B,'BS(과거)'!$A:$F,$2:$2,0),0)</f>
        <v>0</v>
      </c>
      <c r="N374" s="207">
        <f>IF(ISNUMBER(VLOOKUP($B:$B,'BS(분기)'!$A:$F,$2:$2,0)),VLOOKUP($B:$B,'BS(분기)'!$A:$F,$2:$2,0),0)</f>
        <v>0</v>
      </c>
      <c r="O374" s="207">
        <f>IF(ISNUMBER(VLOOKUP($B:$B,'BS(분기)'!$A:$F,$2:$2,0)),VLOOKUP($B:$B,'BS(분기)'!$A:$F,$2:$2,0),0)</f>
        <v>0</v>
      </c>
      <c r="P374" s="207">
        <f>IF(ISNUMBER(VLOOKUP($B:$B,'BS(분기)'!$A:$F,$2:$2,0)),VLOOKUP($B:$B,'BS(분기)'!$A:$F,$2:$2,0),0)</f>
        <v>0</v>
      </c>
      <c r="Q374" s="207">
        <f>IF(ISNUMBER(VLOOKUP($B:$B,'BS(분기)'!$A:$F,$2:$2,0)),VLOOKUP($B:$B,'BS(분기)'!$A:$F,$2:$2,0),0)</f>
        <v>0</v>
      </c>
      <c r="R374" s="207">
        <f>IF(ISNUMBER(VLOOKUP($B:$B,'BS(분기)'!$A:$F,$2:$2,0)),VLOOKUP($B:$B,'BS(분기)'!$A:$F,$2:$2,0),0)</f>
        <v>0</v>
      </c>
    </row>
    <row r="375" spans="1:18" s="192" customFormat="1" ht="12">
      <c r="A375" s="202">
        <v>113252</v>
      </c>
      <c r="B375" s="195" t="s">
        <v>1137</v>
      </c>
      <c r="C375" s="217">
        <f>IF(ISNUMBER(VLOOKUP($B:$B,BS!$A:$D,$2:$2,0)),VLOOKUP($B:$B,BS!$A:$D,$2:$2,0),0)</f>
        <v>0</v>
      </c>
      <c r="D375" s="217">
        <f>IF(ISNUMBER(VLOOKUP($B:$B,BS!$A:$D,$2:$2,0)),VLOOKUP($B:$B,BS!$A:$D,$2:$2,0),0)</f>
        <v>0</v>
      </c>
      <c r="E375" s="217">
        <f>IF(ISNUMBER(VLOOKUP($B:$B,BS!$A:$D,$2:$2,0)),VLOOKUP($B:$B,BS!$A:$D,$2:$2,0),0)</f>
        <v>0</v>
      </c>
      <c r="F375" s="217">
        <f>IF(ISNUMBER(VLOOKUP($B:$B,BS!$A:$D,$2:$2,0)),VLOOKUP($B:$B,BS!$A:$D,$2:$2,0),0)</f>
        <v>0</v>
      </c>
      <c r="G375" s="217">
        <f>IF(ISNUMBER(VLOOKUP($B:$B,BS!$A:$D,$2:$2,0)),VLOOKUP($B:$B,BS!$A:$D,$2:$2,0),0)</f>
        <v>0</v>
      </c>
      <c r="H375" s="207">
        <f>IF(ISNUMBER(VLOOKUP($B:$B,'BS(과거)'!$A:$F,$2:$2,0)),VLOOKUP($B:$B,'BS(과거)'!$A:$F,$2:$2,0),0)</f>
        <v>0</v>
      </c>
      <c r="I375" s="207">
        <f>IF(ISNUMBER(VLOOKUP($B:$B,'BS(과거)'!$A:$F,$2:$2,0)),VLOOKUP($B:$B,'BS(과거)'!$A:$F,$2:$2,0),0)</f>
        <v>0</v>
      </c>
      <c r="J375" s="207">
        <f>IF(ISNUMBER(VLOOKUP($B:$B,'BS(과거)'!$A:$F,$2:$2,0)),VLOOKUP($B:$B,'BS(과거)'!$A:$F,$2:$2,0),0)</f>
        <v>0</v>
      </c>
      <c r="K375" s="207">
        <f>IF(ISNUMBER(VLOOKUP($B:$B,'BS(과거)'!$A:$F,$2:$2,0)),VLOOKUP($B:$B,'BS(과거)'!$A:$F,$2:$2,0),0)</f>
        <v>0</v>
      </c>
      <c r="L375" s="207">
        <f>IF(ISNUMBER(VLOOKUP($B:$B,'BS(과거)'!$A:$F,$2:$2,0)),VLOOKUP($B:$B,'BS(과거)'!$A:$F,$2:$2,0),0)</f>
        <v>0</v>
      </c>
      <c r="N375" s="207">
        <f>IF(ISNUMBER(VLOOKUP($B:$B,'BS(분기)'!$A:$F,$2:$2,0)),VLOOKUP($B:$B,'BS(분기)'!$A:$F,$2:$2,0),0)</f>
        <v>0</v>
      </c>
      <c r="O375" s="207">
        <f>IF(ISNUMBER(VLOOKUP($B:$B,'BS(분기)'!$A:$F,$2:$2,0)),VLOOKUP($B:$B,'BS(분기)'!$A:$F,$2:$2,0),0)</f>
        <v>0</v>
      </c>
      <c r="P375" s="207">
        <f>IF(ISNUMBER(VLOOKUP($B:$B,'BS(분기)'!$A:$F,$2:$2,0)),VLOOKUP($B:$B,'BS(분기)'!$A:$F,$2:$2,0),0)</f>
        <v>0</v>
      </c>
      <c r="Q375" s="207">
        <f>IF(ISNUMBER(VLOOKUP($B:$B,'BS(분기)'!$A:$F,$2:$2,0)),VLOOKUP($B:$B,'BS(분기)'!$A:$F,$2:$2,0),0)</f>
        <v>0</v>
      </c>
      <c r="R375" s="207">
        <f>IF(ISNUMBER(VLOOKUP($B:$B,'BS(분기)'!$A:$F,$2:$2,0)),VLOOKUP($B:$B,'BS(분기)'!$A:$F,$2:$2,0),0)</f>
        <v>0</v>
      </c>
    </row>
    <row r="376" spans="1:18" s="192" customFormat="1" ht="12">
      <c r="A376" s="202">
        <v>113253</v>
      </c>
      <c r="B376" s="195" t="s">
        <v>1138</v>
      </c>
      <c r="C376" s="217">
        <f>IF(ISNUMBER(VLOOKUP($B:$B,BS!$A:$D,$2:$2,0)),VLOOKUP($B:$B,BS!$A:$D,$2:$2,0),0)</f>
        <v>0</v>
      </c>
      <c r="D376" s="217">
        <f>IF(ISNUMBER(VLOOKUP($B:$B,BS!$A:$D,$2:$2,0)),VLOOKUP($B:$B,BS!$A:$D,$2:$2,0),0)</f>
        <v>0</v>
      </c>
      <c r="E376" s="217">
        <f>IF(ISNUMBER(VLOOKUP($B:$B,BS!$A:$D,$2:$2,0)),VLOOKUP($B:$B,BS!$A:$D,$2:$2,0),0)</f>
        <v>0</v>
      </c>
      <c r="F376" s="217">
        <f>IF(ISNUMBER(VLOOKUP($B:$B,BS!$A:$D,$2:$2,0)),VLOOKUP($B:$B,BS!$A:$D,$2:$2,0),0)</f>
        <v>0</v>
      </c>
      <c r="G376" s="217">
        <f>IF(ISNUMBER(VLOOKUP($B:$B,BS!$A:$D,$2:$2,0)),VLOOKUP($B:$B,BS!$A:$D,$2:$2,0),0)</f>
        <v>0</v>
      </c>
      <c r="H376" s="207">
        <f>IF(ISNUMBER(VLOOKUP($B:$B,'BS(과거)'!$A:$F,$2:$2,0)),VLOOKUP($B:$B,'BS(과거)'!$A:$F,$2:$2,0),0)</f>
        <v>0</v>
      </c>
      <c r="I376" s="207">
        <f>IF(ISNUMBER(VLOOKUP($B:$B,'BS(과거)'!$A:$F,$2:$2,0)),VLOOKUP($B:$B,'BS(과거)'!$A:$F,$2:$2,0),0)</f>
        <v>0</v>
      </c>
      <c r="J376" s="207">
        <f>IF(ISNUMBER(VLOOKUP($B:$B,'BS(과거)'!$A:$F,$2:$2,0)),VLOOKUP($B:$B,'BS(과거)'!$A:$F,$2:$2,0),0)</f>
        <v>0</v>
      </c>
      <c r="K376" s="207">
        <f>IF(ISNUMBER(VLOOKUP($B:$B,'BS(과거)'!$A:$F,$2:$2,0)),VLOOKUP($B:$B,'BS(과거)'!$A:$F,$2:$2,0),0)</f>
        <v>0</v>
      </c>
      <c r="L376" s="207">
        <f>IF(ISNUMBER(VLOOKUP($B:$B,'BS(과거)'!$A:$F,$2:$2,0)),VLOOKUP($B:$B,'BS(과거)'!$A:$F,$2:$2,0),0)</f>
        <v>0</v>
      </c>
      <c r="N376" s="207">
        <f>IF(ISNUMBER(VLOOKUP($B:$B,'BS(분기)'!$A:$F,$2:$2,0)),VLOOKUP($B:$B,'BS(분기)'!$A:$F,$2:$2,0),0)</f>
        <v>0</v>
      </c>
      <c r="O376" s="207">
        <f>IF(ISNUMBER(VLOOKUP($B:$B,'BS(분기)'!$A:$F,$2:$2,0)),VLOOKUP($B:$B,'BS(분기)'!$A:$F,$2:$2,0),0)</f>
        <v>0</v>
      </c>
      <c r="P376" s="207">
        <f>IF(ISNUMBER(VLOOKUP($B:$B,'BS(분기)'!$A:$F,$2:$2,0)),VLOOKUP($B:$B,'BS(분기)'!$A:$F,$2:$2,0),0)</f>
        <v>0</v>
      </c>
      <c r="Q376" s="207">
        <f>IF(ISNUMBER(VLOOKUP($B:$B,'BS(분기)'!$A:$F,$2:$2,0)),VLOOKUP($B:$B,'BS(분기)'!$A:$F,$2:$2,0),0)</f>
        <v>0</v>
      </c>
      <c r="R376" s="207">
        <f>IF(ISNUMBER(VLOOKUP($B:$B,'BS(분기)'!$A:$F,$2:$2,0)),VLOOKUP($B:$B,'BS(분기)'!$A:$F,$2:$2,0),0)</f>
        <v>0</v>
      </c>
    </row>
    <row r="377" spans="1:18" s="192" customFormat="1" ht="12">
      <c r="A377" s="202">
        <v>113270</v>
      </c>
      <c r="B377" s="195" t="s">
        <v>1139</v>
      </c>
      <c r="C377" s="217">
        <f>IF(ISNUMBER(VLOOKUP($B:$B,BS!$A:$D,$2:$2,0)),VLOOKUP($B:$B,BS!$A:$D,$2:$2,0),0)</f>
        <v>0</v>
      </c>
      <c r="D377" s="217">
        <f>IF(ISNUMBER(VLOOKUP($B:$B,BS!$A:$D,$2:$2,0)),VLOOKUP($B:$B,BS!$A:$D,$2:$2,0),0)</f>
        <v>0</v>
      </c>
      <c r="E377" s="217">
        <f>IF(ISNUMBER(VLOOKUP($B:$B,BS!$A:$D,$2:$2,0)),VLOOKUP($B:$B,BS!$A:$D,$2:$2,0),0)</f>
        <v>0</v>
      </c>
      <c r="F377" s="217">
        <f>IF(ISNUMBER(VLOOKUP($B:$B,BS!$A:$D,$2:$2,0)),VLOOKUP($B:$B,BS!$A:$D,$2:$2,0),0)</f>
        <v>0</v>
      </c>
      <c r="G377" s="217">
        <f>IF(ISNUMBER(VLOOKUP($B:$B,BS!$A:$D,$2:$2,0)),VLOOKUP($B:$B,BS!$A:$D,$2:$2,0),0)</f>
        <v>0</v>
      </c>
      <c r="H377" s="207">
        <f>IF(ISNUMBER(VLOOKUP($B:$B,'BS(과거)'!$A:$F,$2:$2,0)),VLOOKUP($B:$B,'BS(과거)'!$A:$F,$2:$2,0),0)</f>
        <v>0</v>
      </c>
      <c r="I377" s="207">
        <f>IF(ISNUMBER(VLOOKUP($B:$B,'BS(과거)'!$A:$F,$2:$2,0)),VLOOKUP($B:$B,'BS(과거)'!$A:$F,$2:$2,0),0)</f>
        <v>0</v>
      </c>
      <c r="J377" s="207">
        <f>IF(ISNUMBER(VLOOKUP($B:$B,'BS(과거)'!$A:$F,$2:$2,0)),VLOOKUP($B:$B,'BS(과거)'!$A:$F,$2:$2,0),0)</f>
        <v>0</v>
      </c>
      <c r="K377" s="207">
        <f>IF(ISNUMBER(VLOOKUP($B:$B,'BS(과거)'!$A:$F,$2:$2,0)),VLOOKUP($B:$B,'BS(과거)'!$A:$F,$2:$2,0),0)</f>
        <v>0</v>
      </c>
      <c r="L377" s="207">
        <f>IF(ISNUMBER(VLOOKUP($B:$B,'BS(과거)'!$A:$F,$2:$2,0)),VLOOKUP($B:$B,'BS(과거)'!$A:$F,$2:$2,0),0)</f>
        <v>0</v>
      </c>
      <c r="N377" s="207">
        <f>IF(ISNUMBER(VLOOKUP($B:$B,'BS(분기)'!$A:$F,$2:$2,0)),VLOOKUP($B:$B,'BS(분기)'!$A:$F,$2:$2,0),0)</f>
        <v>0</v>
      </c>
      <c r="O377" s="207">
        <f>IF(ISNUMBER(VLOOKUP($B:$B,'BS(분기)'!$A:$F,$2:$2,0)),VLOOKUP($B:$B,'BS(분기)'!$A:$F,$2:$2,0),0)</f>
        <v>0</v>
      </c>
      <c r="P377" s="207">
        <f>IF(ISNUMBER(VLOOKUP($B:$B,'BS(분기)'!$A:$F,$2:$2,0)),VLOOKUP($B:$B,'BS(분기)'!$A:$F,$2:$2,0),0)</f>
        <v>0</v>
      </c>
      <c r="Q377" s="207">
        <f>IF(ISNUMBER(VLOOKUP($B:$B,'BS(분기)'!$A:$F,$2:$2,0)),VLOOKUP($B:$B,'BS(분기)'!$A:$F,$2:$2,0),0)</f>
        <v>0</v>
      </c>
      <c r="R377" s="207">
        <f>IF(ISNUMBER(VLOOKUP($B:$B,'BS(분기)'!$A:$F,$2:$2,0)),VLOOKUP($B:$B,'BS(분기)'!$A:$F,$2:$2,0),0)</f>
        <v>0</v>
      </c>
    </row>
    <row r="378" spans="1:18" s="192" customFormat="1" ht="12">
      <c r="A378" s="202">
        <v>113271</v>
      </c>
      <c r="B378" s="195" t="s">
        <v>1140</v>
      </c>
      <c r="C378" s="217">
        <f>IF(ISNUMBER(VLOOKUP($B:$B,BS!$A:$D,$2:$2,0)),VLOOKUP($B:$B,BS!$A:$D,$2:$2,0),0)</f>
        <v>0</v>
      </c>
      <c r="D378" s="217">
        <f>IF(ISNUMBER(VLOOKUP($B:$B,BS!$A:$D,$2:$2,0)),VLOOKUP($B:$B,BS!$A:$D,$2:$2,0),0)</f>
        <v>0</v>
      </c>
      <c r="E378" s="217">
        <f>IF(ISNUMBER(VLOOKUP($B:$B,BS!$A:$D,$2:$2,0)),VLOOKUP($B:$B,BS!$A:$D,$2:$2,0),0)</f>
        <v>0</v>
      </c>
      <c r="F378" s="217">
        <f>IF(ISNUMBER(VLOOKUP($B:$B,BS!$A:$D,$2:$2,0)),VLOOKUP($B:$B,BS!$A:$D,$2:$2,0),0)</f>
        <v>0</v>
      </c>
      <c r="G378" s="217">
        <f>IF(ISNUMBER(VLOOKUP($B:$B,BS!$A:$D,$2:$2,0)),VLOOKUP($B:$B,BS!$A:$D,$2:$2,0),0)</f>
        <v>0</v>
      </c>
      <c r="H378" s="207">
        <f>IF(ISNUMBER(VLOOKUP($B:$B,'BS(과거)'!$A:$F,$2:$2,0)),VLOOKUP($B:$B,'BS(과거)'!$A:$F,$2:$2,0),0)</f>
        <v>0</v>
      </c>
      <c r="I378" s="207">
        <f>IF(ISNUMBER(VLOOKUP($B:$B,'BS(과거)'!$A:$F,$2:$2,0)),VLOOKUP($B:$B,'BS(과거)'!$A:$F,$2:$2,0),0)</f>
        <v>0</v>
      </c>
      <c r="J378" s="207">
        <f>IF(ISNUMBER(VLOOKUP($B:$B,'BS(과거)'!$A:$F,$2:$2,0)),VLOOKUP($B:$B,'BS(과거)'!$A:$F,$2:$2,0),0)</f>
        <v>0</v>
      </c>
      <c r="K378" s="207">
        <f>IF(ISNUMBER(VLOOKUP($B:$B,'BS(과거)'!$A:$F,$2:$2,0)),VLOOKUP($B:$B,'BS(과거)'!$A:$F,$2:$2,0),0)</f>
        <v>0</v>
      </c>
      <c r="L378" s="207">
        <f>IF(ISNUMBER(VLOOKUP($B:$B,'BS(과거)'!$A:$F,$2:$2,0)),VLOOKUP($B:$B,'BS(과거)'!$A:$F,$2:$2,0),0)</f>
        <v>0</v>
      </c>
      <c r="N378" s="207">
        <f>IF(ISNUMBER(VLOOKUP($B:$B,'BS(분기)'!$A:$F,$2:$2,0)),VLOOKUP($B:$B,'BS(분기)'!$A:$F,$2:$2,0),0)</f>
        <v>0</v>
      </c>
      <c r="O378" s="207">
        <f>IF(ISNUMBER(VLOOKUP($B:$B,'BS(분기)'!$A:$F,$2:$2,0)),VLOOKUP($B:$B,'BS(분기)'!$A:$F,$2:$2,0),0)</f>
        <v>0</v>
      </c>
      <c r="P378" s="207">
        <f>IF(ISNUMBER(VLOOKUP($B:$B,'BS(분기)'!$A:$F,$2:$2,0)),VLOOKUP($B:$B,'BS(분기)'!$A:$F,$2:$2,0),0)</f>
        <v>0</v>
      </c>
      <c r="Q378" s="207">
        <f>IF(ISNUMBER(VLOOKUP($B:$B,'BS(분기)'!$A:$F,$2:$2,0)),VLOOKUP($B:$B,'BS(분기)'!$A:$F,$2:$2,0),0)</f>
        <v>0</v>
      </c>
      <c r="R378" s="207">
        <f>IF(ISNUMBER(VLOOKUP($B:$B,'BS(분기)'!$A:$F,$2:$2,0)),VLOOKUP($B:$B,'BS(분기)'!$A:$F,$2:$2,0),0)</f>
        <v>0</v>
      </c>
    </row>
    <row r="379" spans="1:18" s="192" customFormat="1" ht="12">
      <c r="A379" s="202">
        <v>113272</v>
      </c>
      <c r="B379" s="195" t="s">
        <v>1141</v>
      </c>
      <c r="C379" s="217">
        <f>IF(ISNUMBER(VLOOKUP($B:$B,BS!$A:$D,$2:$2,0)),VLOOKUP($B:$B,BS!$A:$D,$2:$2,0),0)</f>
        <v>0</v>
      </c>
      <c r="D379" s="217">
        <f>IF(ISNUMBER(VLOOKUP($B:$B,BS!$A:$D,$2:$2,0)),VLOOKUP($B:$B,BS!$A:$D,$2:$2,0),0)</f>
        <v>0</v>
      </c>
      <c r="E379" s="217">
        <f>IF(ISNUMBER(VLOOKUP($B:$B,BS!$A:$D,$2:$2,0)),VLOOKUP($B:$B,BS!$A:$D,$2:$2,0),0)</f>
        <v>0</v>
      </c>
      <c r="F379" s="217">
        <f>IF(ISNUMBER(VLOOKUP($B:$B,BS!$A:$D,$2:$2,0)),VLOOKUP($B:$B,BS!$A:$D,$2:$2,0),0)</f>
        <v>0</v>
      </c>
      <c r="G379" s="217">
        <f>IF(ISNUMBER(VLOOKUP($B:$B,BS!$A:$D,$2:$2,0)),VLOOKUP($B:$B,BS!$A:$D,$2:$2,0),0)</f>
        <v>0</v>
      </c>
      <c r="H379" s="207">
        <f>IF(ISNUMBER(VLOOKUP($B:$B,'BS(과거)'!$A:$F,$2:$2,0)),VLOOKUP($B:$B,'BS(과거)'!$A:$F,$2:$2,0),0)</f>
        <v>0</v>
      </c>
      <c r="I379" s="207">
        <f>IF(ISNUMBER(VLOOKUP($B:$B,'BS(과거)'!$A:$F,$2:$2,0)),VLOOKUP($B:$B,'BS(과거)'!$A:$F,$2:$2,0),0)</f>
        <v>0</v>
      </c>
      <c r="J379" s="207">
        <f>IF(ISNUMBER(VLOOKUP($B:$B,'BS(과거)'!$A:$F,$2:$2,0)),VLOOKUP($B:$B,'BS(과거)'!$A:$F,$2:$2,0),0)</f>
        <v>0</v>
      </c>
      <c r="K379" s="207">
        <f>IF(ISNUMBER(VLOOKUP($B:$B,'BS(과거)'!$A:$F,$2:$2,0)),VLOOKUP($B:$B,'BS(과거)'!$A:$F,$2:$2,0),0)</f>
        <v>0</v>
      </c>
      <c r="L379" s="207">
        <f>IF(ISNUMBER(VLOOKUP($B:$B,'BS(과거)'!$A:$F,$2:$2,0)),VLOOKUP($B:$B,'BS(과거)'!$A:$F,$2:$2,0),0)</f>
        <v>0</v>
      </c>
      <c r="N379" s="207">
        <f>IF(ISNUMBER(VLOOKUP($B:$B,'BS(분기)'!$A:$F,$2:$2,0)),VLOOKUP($B:$B,'BS(분기)'!$A:$F,$2:$2,0),0)</f>
        <v>0</v>
      </c>
      <c r="O379" s="207">
        <f>IF(ISNUMBER(VLOOKUP($B:$B,'BS(분기)'!$A:$F,$2:$2,0)),VLOOKUP($B:$B,'BS(분기)'!$A:$F,$2:$2,0),0)</f>
        <v>0</v>
      </c>
      <c r="P379" s="207">
        <f>IF(ISNUMBER(VLOOKUP($B:$B,'BS(분기)'!$A:$F,$2:$2,0)),VLOOKUP($B:$B,'BS(분기)'!$A:$F,$2:$2,0),0)</f>
        <v>0</v>
      </c>
      <c r="Q379" s="207">
        <f>IF(ISNUMBER(VLOOKUP($B:$B,'BS(분기)'!$A:$F,$2:$2,0)),VLOOKUP($B:$B,'BS(분기)'!$A:$F,$2:$2,0),0)</f>
        <v>0</v>
      </c>
      <c r="R379" s="207">
        <f>IF(ISNUMBER(VLOOKUP($B:$B,'BS(분기)'!$A:$F,$2:$2,0)),VLOOKUP($B:$B,'BS(분기)'!$A:$F,$2:$2,0),0)</f>
        <v>0</v>
      </c>
    </row>
    <row r="380" spans="1:18" s="192" customFormat="1" ht="12">
      <c r="A380" s="202">
        <v>113273</v>
      </c>
      <c r="B380" s="195" t="s">
        <v>1142</v>
      </c>
      <c r="C380" s="217">
        <f>IF(ISNUMBER(VLOOKUP($B:$B,BS!$A:$D,$2:$2,0)),VLOOKUP($B:$B,BS!$A:$D,$2:$2,0),0)</f>
        <v>0</v>
      </c>
      <c r="D380" s="217">
        <f>IF(ISNUMBER(VLOOKUP($B:$B,BS!$A:$D,$2:$2,0)),VLOOKUP($B:$B,BS!$A:$D,$2:$2,0),0)</f>
        <v>0</v>
      </c>
      <c r="E380" s="217">
        <f>IF(ISNUMBER(VLOOKUP($B:$B,BS!$A:$D,$2:$2,0)),VLOOKUP($B:$B,BS!$A:$D,$2:$2,0),0)</f>
        <v>0</v>
      </c>
      <c r="F380" s="217">
        <f>IF(ISNUMBER(VLOOKUP($B:$B,BS!$A:$D,$2:$2,0)),VLOOKUP($B:$B,BS!$A:$D,$2:$2,0),0)</f>
        <v>0</v>
      </c>
      <c r="G380" s="217">
        <f>IF(ISNUMBER(VLOOKUP($B:$B,BS!$A:$D,$2:$2,0)),VLOOKUP($B:$B,BS!$A:$D,$2:$2,0),0)</f>
        <v>0</v>
      </c>
      <c r="H380" s="207">
        <f>IF(ISNUMBER(VLOOKUP($B:$B,'BS(과거)'!$A:$F,$2:$2,0)),VLOOKUP($B:$B,'BS(과거)'!$A:$F,$2:$2,0),0)</f>
        <v>0</v>
      </c>
      <c r="I380" s="207">
        <f>IF(ISNUMBER(VLOOKUP($B:$B,'BS(과거)'!$A:$F,$2:$2,0)),VLOOKUP($B:$B,'BS(과거)'!$A:$F,$2:$2,0),0)</f>
        <v>0</v>
      </c>
      <c r="J380" s="207">
        <f>IF(ISNUMBER(VLOOKUP($B:$B,'BS(과거)'!$A:$F,$2:$2,0)),VLOOKUP($B:$B,'BS(과거)'!$A:$F,$2:$2,0),0)</f>
        <v>0</v>
      </c>
      <c r="K380" s="207">
        <f>IF(ISNUMBER(VLOOKUP($B:$B,'BS(과거)'!$A:$F,$2:$2,0)),VLOOKUP($B:$B,'BS(과거)'!$A:$F,$2:$2,0),0)</f>
        <v>0</v>
      </c>
      <c r="L380" s="207">
        <f>IF(ISNUMBER(VLOOKUP($B:$B,'BS(과거)'!$A:$F,$2:$2,0)),VLOOKUP($B:$B,'BS(과거)'!$A:$F,$2:$2,0),0)</f>
        <v>0</v>
      </c>
      <c r="N380" s="207">
        <f>IF(ISNUMBER(VLOOKUP($B:$B,'BS(분기)'!$A:$F,$2:$2,0)),VLOOKUP($B:$B,'BS(분기)'!$A:$F,$2:$2,0),0)</f>
        <v>0</v>
      </c>
      <c r="O380" s="207">
        <f>IF(ISNUMBER(VLOOKUP($B:$B,'BS(분기)'!$A:$F,$2:$2,0)),VLOOKUP($B:$B,'BS(분기)'!$A:$F,$2:$2,0),0)</f>
        <v>0</v>
      </c>
      <c r="P380" s="207">
        <f>IF(ISNUMBER(VLOOKUP($B:$B,'BS(분기)'!$A:$F,$2:$2,0)),VLOOKUP($B:$B,'BS(분기)'!$A:$F,$2:$2,0),0)</f>
        <v>0</v>
      </c>
      <c r="Q380" s="207">
        <f>IF(ISNUMBER(VLOOKUP($B:$B,'BS(분기)'!$A:$F,$2:$2,0)),VLOOKUP($B:$B,'BS(분기)'!$A:$F,$2:$2,0),0)</f>
        <v>0</v>
      </c>
      <c r="R380" s="207">
        <f>IF(ISNUMBER(VLOOKUP($B:$B,'BS(분기)'!$A:$F,$2:$2,0)),VLOOKUP($B:$B,'BS(분기)'!$A:$F,$2:$2,0),0)</f>
        <v>0</v>
      </c>
    </row>
    <row r="381" spans="1:18" s="192" customFormat="1" ht="12">
      <c r="A381" s="202">
        <v>113280</v>
      </c>
      <c r="B381" s="195" t="s">
        <v>1143</v>
      </c>
      <c r="C381" s="217">
        <f>IF(ISNUMBER(VLOOKUP($B:$B,BS!$A:$D,$2:$2,0)),VLOOKUP($B:$B,BS!$A:$D,$2:$2,0),0)</f>
        <v>0</v>
      </c>
      <c r="D381" s="217">
        <f>IF(ISNUMBER(VLOOKUP($B:$B,BS!$A:$D,$2:$2,0)),VLOOKUP($B:$B,BS!$A:$D,$2:$2,0),0)</f>
        <v>0</v>
      </c>
      <c r="E381" s="217">
        <f>IF(ISNUMBER(VLOOKUP($B:$B,BS!$A:$D,$2:$2,0)),VLOOKUP($B:$B,BS!$A:$D,$2:$2,0),0)</f>
        <v>0</v>
      </c>
      <c r="F381" s="217">
        <f>IF(ISNUMBER(VLOOKUP($B:$B,BS!$A:$D,$2:$2,0)),VLOOKUP($B:$B,BS!$A:$D,$2:$2,0),0)</f>
        <v>0</v>
      </c>
      <c r="G381" s="217">
        <f>IF(ISNUMBER(VLOOKUP($B:$B,BS!$A:$D,$2:$2,0)),VLOOKUP($B:$B,BS!$A:$D,$2:$2,0),0)</f>
        <v>0</v>
      </c>
      <c r="H381" s="207">
        <f>IF(ISNUMBER(VLOOKUP($B:$B,'BS(과거)'!$A:$F,$2:$2,0)),VLOOKUP($B:$B,'BS(과거)'!$A:$F,$2:$2,0),0)</f>
        <v>0</v>
      </c>
      <c r="I381" s="207">
        <f>IF(ISNUMBER(VLOOKUP($B:$B,'BS(과거)'!$A:$F,$2:$2,0)),VLOOKUP($B:$B,'BS(과거)'!$A:$F,$2:$2,0),0)</f>
        <v>0</v>
      </c>
      <c r="J381" s="207">
        <f>IF(ISNUMBER(VLOOKUP($B:$B,'BS(과거)'!$A:$F,$2:$2,0)),VLOOKUP($B:$B,'BS(과거)'!$A:$F,$2:$2,0),0)</f>
        <v>0</v>
      </c>
      <c r="K381" s="207">
        <f>IF(ISNUMBER(VLOOKUP($B:$B,'BS(과거)'!$A:$F,$2:$2,0)),VLOOKUP($B:$B,'BS(과거)'!$A:$F,$2:$2,0),0)</f>
        <v>0</v>
      </c>
      <c r="L381" s="207">
        <f>IF(ISNUMBER(VLOOKUP($B:$B,'BS(과거)'!$A:$F,$2:$2,0)),VLOOKUP($B:$B,'BS(과거)'!$A:$F,$2:$2,0),0)</f>
        <v>0</v>
      </c>
      <c r="N381" s="207">
        <f>IF(ISNUMBER(VLOOKUP($B:$B,'BS(분기)'!$A:$F,$2:$2,0)),VLOOKUP($B:$B,'BS(분기)'!$A:$F,$2:$2,0),0)</f>
        <v>0</v>
      </c>
      <c r="O381" s="207">
        <f>IF(ISNUMBER(VLOOKUP($B:$B,'BS(분기)'!$A:$F,$2:$2,0)),VLOOKUP($B:$B,'BS(분기)'!$A:$F,$2:$2,0),0)</f>
        <v>0</v>
      </c>
      <c r="P381" s="207">
        <f>IF(ISNUMBER(VLOOKUP($B:$B,'BS(분기)'!$A:$F,$2:$2,0)),VLOOKUP($B:$B,'BS(분기)'!$A:$F,$2:$2,0),0)</f>
        <v>0</v>
      </c>
      <c r="Q381" s="207">
        <f>IF(ISNUMBER(VLOOKUP($B:$B,'BS(분기)'!$A:$F,$2:$2,0)),VLOOKUP($B:$B,'BS(분기)'!$A:$F,$2:$2,0),0)</f>
        <v>0</v>
      </c>
      <c r="R381" s="207">
        <f>IF(ISNUMBER(VLOOKUP($B:$B,'BS(분기)'!$A:$F,$2:$2,0)),VLOOKUP($B:$B,'BS(분기)'!$A:$F,$2:$2,0),0)</f>
        <v>0</v>
      </c>
    </row>
    <row r="382" spans="1:18" s="192" customFormat="1" ht="12">
      <c r="A382" s="202">
        <v>113281</v>
      </c>
      <c r="B382" s="195" t="s">
        <v>1144</v>
      </c>
      <c r="C382" s="217">
        <f>IF(ISNUMBER(VLOOKUP($B:$B,BS!$A:$D,$2:$2,0)),VLOOKUP($B:$B,BS!$A:$D,$2:$2,0),0)</f>
        <v>0</v>
      </c>
      <c r="D382" s="217">
        <f>IF(ISNUMBER(VLOOKUP($B:$B,BS!$A:$D,$2:$2,0)),VLOOKUP($B:$B,BS!$A:$D,$2:$2,0),0)</f>
        <v>0</v>
      </c>
      <c r="E382" s="217">
        <f>IF(ISNUMBER(VLOOKUP($B:$B,BS!$A:$D,$2:$2,0)),VLOOKUP($B:$B,BS!$A:$D,$2:$2,0),0)</f>
        <v>0</v>
      </c>
      <c r="F382" s="217">
        <f>IF(ISNUMBER(VLOOKUP($B:$B,BS!$A:$D,$2:$2,0)),VLOOKUP($B:$B,BS!$A:$D,$2:$2,0),0)</f>
        <v>0</v>
      </c>
      <c r="G382" s="217">
        <f>IF(ISNUMBER(VLOOKUP($B:$B,BS!$A:$D,$2:$2,0)),VLOOKUP($B:$B,BS!$A:$D,$2:$2,0),0)</f>
        <v>0</v>
      </c>
      <c r="H382" s="207">
        <f>IF(ISNUMBER(VLOOKUP($B:$B,'BS(과거)'!$A:$F,$2:$2,0)),VLOOKUP($B:$B,'BS(과거)'!$A:$F,$2:$2,0),0)</f>
        <v>0</v>
      </c>
      <c r="I382" s="207">
        <f>IF(ISNUMBER(VLOOKUP($B:$B,'BS(과거)'!$A:$F,$2:$2,0)),VLOOKUP($B:$B,'BS(과거)'!$A:$F,$2:$2,0),0)</f>
        <v>0</v>
      </c>
      <c r="J382" s="207">
        <f>IF(ISNUMBER(VLOOKUP($B:$B,'BS(과거)'!$A:$F,$2:$2,0)),VLOOKUP($B:$B,'BS(과거)'!$A:$F,$2:$2,0),0)</f>
        <v>0</v>
      </c>
      <c r="K382" s="207">
        <f>IF(ISNUMBER(VLOOKUP($B:$B,'BS(과거)'!$A:$F,$2:$2,0)),VLOOKUP($B:$B,'BS(과거)'!$A:$F,$2:$2,0),0)</f>
        <v>0</v>
      </c>
      <c r="L382" s="207">
        <f>IF(ISNUMBER(VLOOKUP($B:$B,'BS(과거)'!$A:$F,$2:$2,0)),VLOOKUP($B:$B,'BS(과거)'!$A:$F,$2:$2,0),0)</f>
        <v>0</v>
      </c>
      <c r="N382" s="207">
        <f>IF(ISNUMBER(VLOOKUP($B:$B,'BS(분기)'!$A:$F,$2:$2,0)),VLOOKUP($B:$B,'BS(분기)'!$A:$F,$2:$2,0),0)</f>
        <v>0</v>
      </c>
      <c r="O382" s="207">
        <f>IF(ISNUMBER(VLOOKUP($B:$B,'BS(분기)'!$A:$F,$2:$2,0)),VLOOKUP($B:$B,'BS(분기)'!$A:$F,$2:$2,0),0)</f>
        <v>0</v>
      </c>
      <c r="P382" s="207">
        <f>IF(ISNUMBER(VLOOKUP($B:$B,'BS(분기)'!$A:$F,$2:$2,0)),VLOOKUP($B:$B,'BS(분기)'!$A:$F,$2:$2,0),0)</f>
        <v>0</v>
      </c>
      <c r="Q382" s="207">
        <f>IF(ISNUMBER(VLOOKUP($B:$B,'BS(분기)'!$A:$F,$2:$2,0)),VLOOKUP($B:$B,'BS(분기)'!$A:$F,$2:$2,0),0)</f>
        <v>0</v>
      </c>
      <c r="R382" s="207">
        <f>IF(ISNUMBER(VLOOKUP($B:$B,'BS(분기)'!$A:$F,$2:$2,0)),VLOOKUP($B:$B,'BS(분기)'!$A:$F,$2:$2,0),0)</f>
        <v>0</v>
      </c>
    </row>
    <row r="383" spans="1:18" s="192" customFormat="1" ht="12">
      <c r="A383" s="202">
        <v>113282</v>
      </c>
      <c r="B383" s="195" t="s">
        <v>1145</v>
      </c>
      <c r="C383" s="217">
        <f>IF(ISNUMBER(VLOOKUP($B:$B,BS!$A:$D,$2:$2,0)),VLOOKUP($B:$B,BS!$A:$D,$2:$2,0),0)</f>
        <v>0</v>
      </c>
      <c r="D383" s="217">
        <f>IF(ISNUMBER(VLOOKUP($B:$B,BS!$A:$D,$2:$2,0)),VLOOKUP($B:$B,BS!$A:$D,$2:$2,0),0)</f>
        <v>0</v>
      </c>
      <c r="E383" s="217">
        <f>IF(ISNUMBER(VLOOKUP($B:$B,BS!$A:$D,$2:$2,0)),VLOOKUP($B:$B,BS!$A:$D,$2:$2,0),0)</f>
        <v>0</v>
      </c>
      <c r="F383" s="217">
        <f>IF(ISNUMBER(VLOOKUP($B:$B,BS!$A:$D,$2:$2,0)),VLOOKUP($B:$B,BS!$A:$D,$2:$2,0),0)</f>
        <v>0</v>
      </c>
      <c r="G383" s="217">
        <f>IF(ISNUMBER(VLOOKUP($B:$B,BS!$A:$D,$2:$2,0)),VLOOKUP($B:$B,BS!$A:$D,$2:$2,0),0)</f>
        <v>0</v>
      </c>
      <c r="H383" s="207">
        <f>IF(ISNUMBER(VLOOKUP($B:$B,'BS(과거)'!$A:$F,$2:$2,0)),VLOOKUP($B:$B,'BS(과거)'!$A:$F,$2:$2,0),0)</f>
        <v>0</v>
      </c>
      <c r="I383" s="207">
        <f>IF(ISNUMBER(VLOOKUP($B:$B,'BS(과거)'!$A:$F,$2:$2,0)),VLOOKUP($B:$B,'BS(과거)'!$A:$F,$2:$2,0),0)</f>
        <v>0</v>
      </c>
      <c r="J383" s="207">
        <f>IF(ISNUMBER(VLOOKUP($B:$B,'BS(과거)'!$A:$F,$2:$2,0)),VLOOKUP($B:$B,'BS(과거)'!$A:$F,$2:$2,0),0)</f>
        <v>0</v>
      </c>
      <c r="K383" s="207">
        <f>IF(ISNUMBER(VLOOKUP($B:$B,'BS(과거)'!$A:$F,$2:$2,0)),VLOOKUP($B:$B,'BS(과거)'!$A:$F,$2:$2,0),0)</f>
        <v>0</v>
      </c>
      <c r="L383" s="207">
        <f>IF(ISNUMBER(VLOOKUP($B:$B,'BS(과거)'!$A:$F,$2:$2,0)),VLOOKUP($B:$B,'BS(과거)'!$A:$F,$2:$2,0),0)</f>
        <v>0</v>
      </c>
      <c r="N383" s="207">
        <f>IF(ISNUMBER(VLOOKUP($B:$B,'BS(분기)'!$A:$F,$2:$2,0)),VLOOKUP($B:$B,'BS(분기)'!$A:$F,$2:$2,0),0)</f>
        <v>0</v>
      </c>
      <c r="O383" s="207">
        <f>IF(ISNUMBER(VLOOKUP($B:$B,'BS(분기)'!$A:$F,$2:$2,0)),VLOOKUP($B:$B,'BS(분기)'!$A:$F,$2:$2,0),0)</f>
        <v>0</v>
      </c>
      <c r="P383" s="207">
        <f>IF(ISNUMBER(VLOOKUP($B:$B,'BS(분기)'!$A:$F,$2:$2,0)),VLOOKUP($B:$B,'BS(분기)'!$A:$F,$2:$2,0),0)</f>
        <v>0</v>
      </c>
      <c r="Q383" s="207">
        <f>IF(ISNUMBER(VLOOKUP($B:$B,'BS(분기)'!$A:$F,$2:$2,0)),VLOOKUP($B:$B,'BS(분기)'!$A:$F,$2:$2,0),0)</f>
        <v>0</v>
      </c>
      <c r="R383" s="207">
        <f>IF(ISNUMBER(VLOOKUP($B:$B,'BS(분기)'!$A:$F,$2:$2,0)),VLOOKUP($B:$B,'BS(분기)'!$A:$F,$2:$2,0),0)</f>
        <v>0</v>
      </c>
    </row>
    <row r="384" spans="1:18" s="192" customFormat="1" ht="12">
      <c r="A384" s="202">
        <v>113283</v>
      </c>
      <c r="B384" s="195" t="s">
        <v>1146</v>
      </c>
      <c r="C384" s="217">
        <f>IF(ISNUMBER(VLOOKUP($B:$B,BS!$A:$D,$2:$2,0)),VLOOKUP($B:$B,BS!$A:$D,$2:$2,0),0)</f>
        <v>0</v>
      </c>
      <c r="D384" s="217">
        <f>IF(ISNUMBER(VLOOKUP($B:$B,BS!$A:$D,$2:$2,0)),VLOOKUP($B:$B,BS!$A:$D,$2:$2,0),0)</f>
        <v>0</v>
      </c>
      <c r="E384" s="217">
        <f>IF(ISNUMBER(VLOOKUP($B:$B,BS!$A:$D,$2:$2,0)),VLOOKUP($B:$B,BS!$A:$D,$2:$2,0),0)</f>
        <v>0</v>
      </c>
      <c r="F384" s="217">
        <f>IF(ISNUMBER(VLOOKUP($B:$B,BS!$A:$D,$2:$2,0)),VLOOKUP($B:$B,BS!$A:$D,$2:$2,0),0)</f>
        <v>0</v>
      </c>
      <c r="G384" s="217">
        <f>IF(ISNUMBER(VLOOKUP($B:$B,BS!$A:$D,$2:$2,0)),VLOOKUP($B:$B,BS!$A:$D,$2:$2,0),0)</f>
        <v>0</v>
      </c>
      <c r="H384" s="207">
        <f>IF(ISNUMBER(VLOOKUP($B:$B,'BS(과거)'!$A:$F,$2:$2,0)),VLOOKUP($B:$B,'BS(과거)'!$A:$F,$2:$2,0),0)</f>
        <v>0</v>
      </c>
      <c r="I384" s="207">
        <f>IF(ISNUMBER(VLOOKUP($B:$B,'BS(과거)'!$A:$F,$2:$2,0)),VLOOKUP($B:$B,'BS(과거)'!$A:$F,$2:$2,0),0)</f>
        <v>0</v>
      </c>
      <c r="J384" s="207">
        <f>IF(ISNUMBER(VLOOKUP($B:$B,'BS(과거)'!$A:$F,$2:$2,0)),VLOOKUP($B:$B,'BS(과거)'!$A:$F,$2:$2,0),0)</f>
        <v>0</v>
      </c>
      <c r="K384" s="207">
        <f>IF(ISNUMBER(VLOOKUP($B:$B,'BS(과거)'!$A:$F,$2:$2,0)),VLOOKUP($B:$B,'BS(과거)'!$A:$F,$2:$2,0),0)</f>
        <v>0</v>
      </c>
      <c r="L384" s="207">
        <f>IF(ISNUMBER(VLOOKUP($B:$B,'BS(과거)'!$A:$F,$2:$2,0)),VLOOKUP($B:$B,'BS(과거)'!$A:$F,$2:$2,0),0)</f>
        <v>0</v>
      </c>
      <c r="N384" s="207">
        <f>IF(ISNUMBER(VLOOKUP($B:$B,'BS(분기)'!$A:$F,$2:$2,0)),VLOOKUP($B:$B,'BS(분기)'!$A:$F,$2:$2,0),0)</f>
        <v>0</v>
      </c>
      <c r="O384" s="207">
        <f>IF(ISNUMBER(VLOOKUP($B:$B,'BS(분기)'!$A:$F,$2:$2,0)),VLOOKUP($B:$B,'BS(분기)'!$A:$F,$2:$2,0),0)</f>
        <v>0</v>
      </c>
      <c r="P384" s="207">
        <f>IF(ISNUMBER(VLOOKUP($B:$B,'BS(분기)'!$A:$F,$2:$2,0)),VLOOKUP($B:$B,'BS(분기)'!$A:$F,$2:$2,0),0)</f>
        <v>0</v>
      </c>
      <c r="Q384" s="207">
        <f>IF(ISNUMBER(VLOOKUP($B:$B,'BS(분기)'!$A:$F,$2:$2,0)),VLOOKUP($B:$B,'BS(분기)'!$A:$F,$2:$2,0),0)</f>
        <v>0</v>
      </c>
      <c r="R384" s="207">
        <f>IF(ISNUMBER(VLOOKUP($B:$B,'BS(분기)'!$A:$F,$2:$2,0)),VLOOKUP($B:$B,'BS(분기)'!$A:$F,$2:$2,0),0)</f>
        <v>0</v>
      </c>
    </row>
    <row r="385" spans="1:18" s="192" customFormat="1" ht="12">
      <c r="A385" s="202">
        <v>113290</v>
      </c>
      <c r="B385" s="195" t="s">
        <v>818</v>
      </c>
      <c r="C385" s="217">
        <f>IF(ISNUMBER(VLOOKUP($B:$B,BS!$A:$D,$2:$2,0)),VLOOKUP($B:$B,BS!$A:$D,$2:$2,0),0)</f>
        <v>0</v>
      </c>
      <c r="D385" s="217">
        <f>IF(ISNUMBER(VLOOKUP($B:$B,BS!$A:$D,$2:$2,0)),VLOOKUP($B:$B,BS!$A:$D,$2:$2,0),0)</f>
        <v>0</v>
      </c>
      <c r="E385" s="217">
        <f>IF(ISNUMBER(VLOOKUP($B:$B,BS!$A:$D,$2:$2,0)),VLOOKUP($B:$B,BS!$A:$D,$2:$2,0),0)</f>
        <v>0</v>
      </c>
      <c r="F385" s="217">
        <f>IF(ISNUMBER(VLOOKUP($B:$B,BS!$A:$D,$2:$2,0)),VLOOKUP($B:$B,BS!$A:$D,$2:$2,0),0)</f>
        <v>0</v>
      </c>
      <c r="G385" s="217">
        <f>IF(ISNUMBER(VLOOKUP($B:$B,BS!$A:$D,$2:$2,0)),VLOOKUP($B:$B,BS!$A:$D,$2:$2,0),0)</f>
        <v>0</v>
      </c>
      <c r="H385" s="207">
        <f>IF(ISNUMBER(VLOOKUP($B:$B,'BS(과거)'!$A:$F,$2:$2,0)),VLOOKUP($B:$B,'BS(과거)'!$A:$F,$2:$2,0),0)</f>
        <v>0</v>
      </c>
      <c r="I385" s="207">
        <f>IF(ISNUMBER(VLOOKUP($B:$B,'BS(과거)'!$A:$F,$2:$2,0)),VLOOKUP($B:$B,'BS(과거)'!$A:$F,$2:$2,0),0)</f>
        <v>0</v>
      </c>
      <c r="J385" s="207">
        <f>IF(ISNUMBER(VLOOKUP($B:$B,'BS(과거)'!$A:$F,$2:$2,0)),VLOOKUP($B:$B,'BS(과거)'!$A:$F,$2:$2,0),0)</f>
        <v>0</v>
      </c>
      <c r="K385" s="207">
        <f>IF(ISNUMBER(VLOOKUP($B:$B,'BS(과거)'!$A:$F,$2:$2,0)),VLOOKUP($B:$B,'BS(과거)'!$A:$F,$2:$2,0),0)</f>
        <v>0</v>
      </c>
      <c r="L385" s="207">
        <f>IF(ISNUMBER(VLOOKUP($B:$B,'BS(과거)'!$A:$F,$2:$2,0)),VLOOKUP($B:$B,'BS(과거)'!$A:$F,$2:$2,0),0)</f>
        <v>0</v>
      </c>
      <c r="N385" s="207">
        <f>IF(ISNUMBER(VLOOKUP($B:$B,'BS(분기)'!$A:$F,$2:$2,0)),VLOOKUP($B:$B,'BS(분기)'!$A:$F,$2:$2,0),0)</f>
        <v>0</v>
      </c>
      <c r="O385" s="207">
        <f>IF(ISNUMBER(VLOOKUP($B:$B,'BS(분기)'!$A:$F,$2:$2,0)),VLOOKUP($B:$B,'BS(분기)'!$A:$F,$2:$2,0),0)</f>
        <v>0</v>
      </c>
      <c r="P385" s="207">
        <f>IF(ISNUMBER(VLOOKUP($B:$B,'BS(분기)'!$A:$F,$2:$2,0)),VLOOKUP($B:$B,'BS(분기)'!$A:$F,$2:$2,0),0)</f>
        <v>0</v>
      </c>
      <c r="Q385" s="207">
        <f>IF(ISNUMBER(VLOOKUP($B:$B,'BS(분기)'!$A:$F,$2:$2,0)),VLOOKUP($B:$B,'BS(분기)'!$A:$F,$2:$2,0),0)</f>
        <v>0</v>
      </c>
      <c r="R385" s="207">
        <f>IF(ISNUMBER(VLOOKUP($B:$B,'BS(분기)'!$A:$F,$2:$2,0)),VLOOKUP($B:$B,'BS(분기)'!$A:$F,$2:$2,0),0)</f>
        <v>0</v>
      </c>
    </row>
    <row r="386" spans="1:18" s="192" customFormat="1" ht="12">
      <c r="A386" s="202">
        <v>113291</v>
      </c>
      <c r="B386" s="195" t="s">
        <v>1147</v>
      </c>
      <c r="C386" s="217">
        <f>IF(ISNUMBER(VLOOKUP($B:$B,BS!$A:$D,$2:$2,0)),VLOOKUP($B:$B,BS!$A:$D,$2:$2,0),0)</f>
        <v>0</v>
      </c>
      <c r="D386" s="217">
        <f>IF(ISNUMBER(VLOOKUP($B:$B,BS!$A:$D,$2:$2,0)),VLOOKUP($B:$B,BS!$A:$D,$2:$2,0),0)</f>
        <v>0</v>
      </c>
      <c r="E386" s="217">
        <f>IF(ISNUMBER(VLOOKUP($B:$B,BS!$A:$D,$2:$2,0)),VLOOKUP($B:$B,BS!$A:$D,$2:$2,0),0)</f>
        <v>0</v>
      </c>
      <c r="F386" s="217">
        <f>IF(ISNUMBER(VLOOKUP($B:$B,BS!$A:$D,$2:$2,0)),VLOOKUP($B:$B,BS!$A:$D,$2:$2,0),0)</f>
        <v>0</v>
      </c>
      <c r="G386" s="217">
        <f>IF(ISNUMBER(VLOOKUP($B:$B,BS!$A:$D,$2:$2,0)),VLOOKUP($B:$B,BS!$A:$D,$2:$2,0),0)</f>
        <v>0</v>
      </c>
      <c r="H386" s="207">
        <f>IF(ISNUMBER(VLOOKUP($B:$B,'BS(과거)'!$A:$F,$2:$2,0)),VLOOKUP($B:$B,'BS(과거)'!$A:$F,$2:$2,0),0)</f>
        <v>0</v>
      </c>
      <c r="I386" s="207">
        <f>IF(ISNUMBER(VLOOKUP($B:$B,'BS(과거)'!$A:$F,$2:$2,0)),VLOOKUP($B:$B,'BS(과거)'!$A:$F,$2:$2,0),0)</f>
        <v>0</v>
      </c>
      <c r="J386" s="207">
        <f>IF(ISNUMBER(VLOOKUP($B:$B,'BS(과거)'!$A:$F,$2:$2,0)),VLOOKUP($B:$B,'BS(과거)'!$A:$F,$2:$2,0),0)</f>
        <v>0</v>
      </c>
      <c r="K386" s="207">
        <f>IF(ISNUMBER(VLOOKUP($B:$B,'BS(과거)'!$A:$F,$2:$2,0)),VLOOKUP($B:$B,'BS(과거)'!$A:$F,$2:$2,0),0)</f>
        <v>0</v>
      </c>
      <c r="L386" s="207">
        <f>IF(ISNUMBER(VLOOKUP($B:$B,'BS(과거)'!$A:$F,$2:$2,0)),VLOOKUP($B:$B,'BS(과거)'!$A:$F,$2:$2,0),0)</f>
        <v>0</v>
      </c>
      <c r="N386" s="207">
        <f>IF(ISNUMBER(VLOOKUP($B:$B,'BS(분기)'!$A:$F,$2:$2,0)),VLOOKUP($B:$B,'BS(분기)'!$A:$F,$2:$2,0),0)</f>
        <v>0</v>
      </c>
      <c r="O386" s="207">
        <f>IF(ISNUMBER(VLOOKUP($B:$B,'BS(분기)'!$A:$F,$2:$2,0)),VLOOKUP($B:$B,'BS(분기)'!$A:$F,$2:$2,0),0)</f>
        <v>0</v>
      </c>
      <c r="P386" s="207">
        <f>IF(ISNUMBER(VLOOKUP($B:$B,'BS(분기)'!$A:$F,$2:$2,0)),VLOOKUP($B:$B,'BS(분기)'!$A:$F,$2:$2,0),0)</f>
        <v>0</v>
      </c>
      <c r="Q386" s="207">
        <f>IF(ISNUMBER(VLOOKUP($B:$B,'BS(분기)'!$A:$F,$2:$2,0)),VLOOKUP($B:$B,'BS(분기)'!$A:$F,$2:$2,0),0)</f>
        <v>0</v>
      </c>
      <c r="R386" s="207">
        <f>IF(ISNUMBER(VLOOKUP($B:$B,'BS(분기)'!$A:$F,$2:$2,0)),VLOOKUP($B:$B,'BS(분기)'!$A:$F,$2:$2,0),0)</f>
        <v>0</v>
      </c>
    </row>
    <row r="387" spans="1:18" s="192" customFormat="1" ht="12">
      <c r="A387" s="202">
        <v>113292</v>
      </c>
      <c r="B387" s="195" t="s">
        <v>1148</v>
      </c>
      <c r="C387" s="217">
        <f>IF(ISNUMBER(VLOOKUP($B:$B,BS!$A:$D,$2:$2,0)),VLOOKUP($B:$B,BS!$A:$D,$2:$2,0),0)</f>
        <v>0</v>
      </c>
      <c r="D387" s="217">
        <f>IF(ISNUMBER(VLOOKUP($B:$B,BS!$A:$D,$2:$2,0)),VLOOKUP($B:$B,BS!$A:$D,$2:$2,0),0)</f>
        <v>0</v>
      </c>
      <c r="E387" s="217">
        <f>IF(ISNUMBER(VLOOKUP($B:$B,BS!$A:$D,$2:$2,0)),VLOOKUP($B:$B,BS!$A:$D,$2:$2,0),0)</f>
        <v>0</v>
      </c>
      <c r="F387" s="217">
        <f>IF(ISNUMBER(VLOOKUP($B:$B,BS!$A:$D,$2:$2,0)),VLOOKUP($B:$B,BS!$A:$D,$2:$2,0),0)</f>
        <v>0</v>
      </c>
      <c r="G387" s="217">
        <f>IF(ISNUMBER(VLOOKUP($B:$B,BS!$A:$D,$2:$2,0)),VLOOKUP($B:$B,BS!$A:$D,$2:$2,0),0)</f>
        <v>0</v>
      </c>
      <c r="H387" s="207">
        <f>IF(ISNUMBER(VLOOKUP($B:$B,'BS(과거)'!$A:$F,$2:$2,0)),VLOOKUP($B:$B,'BS(과거)'!$A:$F,$2:$2,0),0)</f>
        <v>0</v>
      </c>
      <c r="I387" s="207">
        <f>IF(ISNUMBER(VLOOKUP($B:$B,'BS(과거)'!$A:$F,$2:$2,0)),VLOOKUP($B:$B,'BS(과거)'!$A:$F,$2:$2,0),0)</f>
        <v>0</v>
      </c>
      <c r="J387" s="207">
        <f>IF(ISNUMBER(VLOOKUP($B:$B,'BS(과거)'!$A:$F,$2:$2,0)),VLOOKUP($B:$B,'BS(과거)'!$A:$F,$2:$2,0),0)</f>
        <v>0</v>
      </c>
      <c r="K387" s="207">
        <f>IF(ISNUMBER(VLOOKUP($B:$B,'BS(과거)'!$A:$F,$2:$2,0)),VLOOKUP($B:$B,'BS(과거)'!$A:$F,$2:$2,0),0)</f>
        <v>0</v>
      </c>
      <c r="L387" s="207">
        <f>IF(ISNUMBER(VLOOKUP($B:$B,'BS(과거)'!$A:$F,$2:$2,0)),VLOOKUP($B:$B,'BS(과거)'!$A:$F,$2:$2,0),0)</f>
        <v>0</v>
      </c>
      <c r="N387" s="207">
        <f>IF(ISNUMBER(VLOOKUP($B:$B,'BS(분기)'!$A:$F,$2:$2,0)),VLOOKUP($B:$B,'BS(분기)'!$A:$F,$2:$2,0),0)</f>
        <v>0</v>
      </c>
      <c r="O387" s="207">
        <f>IF(ISNUMBER(VLOOKUP($B:$B,'BS(분기)'!$A:$F,$2:$2,0)),VLOOKUP($B:$B,'BS(분기)'!$A:$F,$2:$2,0),0)</f>
        <v>0</v>
      </c>
      <c r="P387" s="207">
        <f>IF(ISNUMBER(VLOOKUP($B:$B,'BS(분기)'!$A:$F,$2:$2,0)),VLOOKUP($B:$B,'BS(분기)'!$A:$F,$2:$2,0),0)</f>
        <v>0</v>
      </c>
      <c r="Q387" s="207">
        <f>IF(ISNUMBER(VLOOKUP($B:$B,'BS(분기)'!$A:$F,$2:$2,0)),VLOOKUP($B:$B,'BS(분기)'!$A:$F,$2:$2,0),0)</f>
        <v>0</v>
      </c>
      <c r="R387" s="207">
        <f>IF(ISNUMBER(VLOOKUP($B:$B,'BS(분기)'!$A:$F,$2:$2,0)),VLOOKUP($B:$B,'BS(분기)'!$A:$F,$2:$2,0),0)</f>
        <v>0</v>
      </c>
    </row>
    <row r="388" spans="1:18" s="192" customFormat="1" ht="12">
      <c r="A388" s="202">
        <v>113293</v>
      </c>
      <c r="B388" s="195" t="s">
        <v>1149</v>
      </c>
      <c r="C388" s="217">
        <f>IF(ISNUMBER(VLOOKUP($B:$B,BS!$A:$D,$2:$2,0)),VLOOKUP($B:$B,BS!$A:$D,$2:$2,0),0)</f>
        <v>0</v>
      </c>
      <c r="D388" s="217">
        <f>IF(ISNUMBER(VLOOKUP($B:$B,BS!$A:$D,$2:$2,0)),VLOOKUP($B:$B,BS!$A:$D,$2:$2,0),0)</f>
        <v>0</v>
      </c>
      <c r="E388" s="217">
        <f>IF(ISNUMBER(VLOOKUP($B:$B,BS!$A:$D,$2:$2,0)),VLOOKUP($B:$B,BS!$A:$D,$2:$2,0),0)</f>
        <v>0</v>
      </c>
      <c r="F388" s="217">
        <f>IF(ISNUMBER(VLOOKUP($B:$B,BS!$A:$D,$2:$2,0)),VLOOKUP($B:$B,BS!$A:$D,$2:$2,0),0)</f>
        <v>0</v>
      </c>
      <c r="G388" s="217">
        <f>IF(ISNUMBER(VLOOKUP($B:$B,BS!$A:$D,$2:$2,0)),VLOOKUP($B:$B,BS!$A:$D,$2:$2,0),0)</f>
        <v>0</v>
      </c>
      <c r="H388" s="207">
        <f>IF(ISNUMBER(VLOOKUP($B:$B,'BS(과거)'!$A:$F,$2:$2,0)),VLOOKUP($B:$B,'BS(과거)'!$A:$F,$2:$2,0),0)</f>
        <v>0</v>
      </c>
      <c r="I388" s="207">
        <f>IF(ISNUMBER(VLOOKUP($B:$B,'BS(과거)'!$A:$F,$2:$2,0)),VLOOKUP($B:$B,'BS(과거)'!$A:$F,$2:$2,0),0)</f>
        <v>0</v>
      </c>
      <c r="J388" s="207">
        <f>IF(ISNUMBER(VLOOKUP($B:$B,'BS(과거)'!$A:$F,$2:$2,0)),VLOOKUP($B:$B,'BS(과거)'!$A:$F,$2:$2,0),0)</f>
        <v>0</v>
      </c>
      <c r="K388" s="207">
        <f>IF(ISNUMBER(VLOOKUP($B:$B,'BS(과거)'!$A:$F,$2:$2,0)),VLOOKUP($B:$B,'BS(과거)'!$A:$F,$2:$2,0),0)</f>
        <v>0</v>
      </c>
      <c r="L388" s="207">
        <f>IF(ISNUMBER(VLOOKUP($B:$B,'BS(과거)'!$A:$F,$2:$2,0)),VLOOKUP($B:$B,'BS(과거)'!$A:$F,$2:$2,0),0)</f>
        <v>0</v>
      </c>
      <c r="N388" s="207">
        <f>IF(ISNUMBER(VLOOKUP($B:$B,'BS(분기)'!$A:$F,$2:$2,0)),VLOOKUP($B:$B,'BS(분기)'!$A:$F,$2:$2,0),0)</f>
        <v>0</v>
      </c>
      <c r="O388" s="207">
        <f>IF(ISNUMBER(VLOOKUP($B:$B,'BS(분기)'!$A:$F,$2:$2,0)),VLOOKUP($B:$B,'BS(분기)'!$A:$F,$2:$2,0),0)</f>
        <v>0</v>
      </c>
      <c r="P388" s="207">
        <f>IF(ISNUMBER(VLOOKUP($B:$B,'BS(분기)'!$A:$F,$2:$2,0)),VLOOKUP($B:$B,'BS(분기)'!$A:$F,$2:$2,0),0)</f>
        <v>0</v>
      </c>
      <c r="Q388" s="207">
        <f>IF(ISNUMBER(VLOOKUP($B:$B,'BS(분기)'!$A:$F,$2:$2,0)),VLOOKUP($B:$B,'BS(분기)'!$A:$F,$2:$2,0),0)</f>
        <v>0</v>
      </c>
      <c r="R388" s="207">
        <f>IF(ISNUMBER(VLOOKUP($B:$B,'BS(분기)'!$A:$F,$2:$2,0)),VLOOKUP($B:$B,'BS(분기)'!$A:$F,$2:$2,0),0)</f>
        <v>0</v>
      </c>
    </row>
    <row r="389" spans="1:18" s="192" customFormat="1" ht="12">
      <c r="A389" s="202">
        <v>113295</v>
      </c>
      <c r="B389" s="195" t="s">
        <v>1150</v>
      </c>
      <c r="C389" s="217">
        <f>IF(ISNUMBER(VLOOKUP($B:$B,BS!$A:$D,$2:$2,0)),VLOOKUP($B:$B,BS!$A:$D,$2:$2,0),0)</f>
        <v>0</v>
      </c>
      <c r="D389" s="217">
        <f>IF(ISNUMBER(VLOOKUP($B:$B,BS!$A:$D,$2:$2,0)),VLOOKUP($B:$B,BS!$A:$D,$2:$2,0),0)</f>
        <v>0</v>
      </c>
      <c r="E389" s="217">
        <f>IF(ISNUMBER(VLOOKUP($B:$B,BS!$A:$D,$2:$2,0)),VLOOKUP($B:$B,BS!$A:$D,$2:$2,0),0)</f>
        <v>0</v>
      </c>
      <c r="F389" s="217">
        <f>IF(ISNUMBER(VLOOKUP($B:$B,BS!$A:$D,$2:$2,0)),VLOOKUP($B:$B,BS!$A:$D,$2:$2,0),0)</f>
        <v>0</v>
      </c>
      <c r="G389" s="217">
        <f>IF(ISNUMBER(VLOOKUP($B:$B,BS!$A:$D,$2:$2,0)),VLOOKUP($B:$B,BS!$A:$D,$2:$2,0),0)</f>
        <v>0</v>
      </c>
      <c r="H389" s="207">
        <f>IF(ISNUMBER(VLOOKUP($B:$B,'BS(과거)'!$A:$F,$2:$2,0)),VLOOKUP($B:$B,'BS(과거)'!$A:$F,$2:$2,0),0)</f>
        <v>0</v>
      </c>
      <c r="I389" s="207">
        <f>IF(ISNUMBER(VLOOKUP($B:$B,'BS(과거)'!$A:$F,$2:$2,0)),VLOOKUP($B:$B,'BS(과거)'!$A:$F,$2:$2,0),0)</f>
        <v>0</v>
      </c>
      <c r="J389" s="207">
        <f>IF(ISNUMBER(VLOOKUP($B:$B,'BS(과거)'!$A:$F,$2:$2,0)),VLOOKUP($B:$B,'BS(과거)'!$A:$F,$2:$2,0),0)</f>
        <v>0</v>
      </c>
      <c r="K389" s="207">
        <f>IF(ISNUMBER(VLOOKUP($B:$B,'BS(과거)'!$A:$F,$2:$2,0)),VLOOKUP($B:$B,'BS(과거)'!$A:$F,$2:$2,0),0)</f>
        <v>0</v>
      </c>
      <c r="L389" s="207">
        <f>IF(ISNUMBER(VLOOKUP($B:$B,'BS(과거)'!$A:$F,$2:$2,0)),VLOOKUP($B:$B,'BS(과거)'!$A:$F,$2:$2,0),0)</f>
        <v>0</v>
      </c>
      <c r="N389" s="207">
        <f>IF(ISNUMBER(VLOOKUP($B:$B,'BS(분기)'!$A:$F,$2:$2,0)),VLOOKUP($B:$B,'BS(분기)'!$A:$F,$2:$2,0),0)</f>
        <v>0</v>
      </c>
      <c r="O389" s="207">
        <f>IF(ISNUMBER(VLOOKUP($B:$B,'BS(분기)'!$A:$F,$2:$2,0)),VLOOKUP($B:$B,'BS(분기)'!$A:$F,$2:$2,0),0)</f>
        <v>0</v>
      </c>
      <c r="P389" s="207">
        <f>IF(ISNUMBER(VLOOKUP($B:$B,'BS(분기)'!$A:$F,$2:$2,0)),VLOOKUP($B:$B,'BS(분기)'!$A:$F,$2:$2,0),0)</f>
        <v>0</v>
      </c>
      <c r="Q389" s="207">
        <f>IF(ISNUMBER(VLOOKUP($B:$B,'BS(분기)'!$A:$F,$2:$2,0)),VLOOKUP($B:$B,'BS(분기)'!$A:$F,$2:$2,0),0)</f>
        <v>0</v>
      </c>
      <c r="R389" s="207">
        <f>IF(ISNUMBER(VLOOKUP($B:$B,'BS(분기)'!$A:$F,$2:$2,0)),VLOOKUP($B:$B,'BS(분기)'!$A:$F,$2:$2,0),0)</f>
        <v>0</v>
      </c>
    </row>
    <row r="390" spans="1:18" s="192" customFormat="1" ht="12">
      <c r="A390" s="202">
        <v>113340</v>
      </c>
      <c r="B390" s="195" t="s">
        <v>1151</v>
      </c>
      <c r="C390" s="217">
        <f>IF(ISNUMBER(VLOOKUP($B:$B,BS!$A:$D,$2:$2,0)),VLOOKUP($B:$B,BS!$A:$D,$2:$2,0),0)</f>
        <v>0</v>
      </c>
      <c r="D390" s="217">
        <f>IF(ISNUMBER(VLOOKUP($B:$B,BS!$A:$D,$2:$2,0)),VLOOKUP($B:$B,BS!$A:$D,$2:$2,0),0)</f>
        <v>0</v>
      </c>
      <c r="E390" s="217">
        <f>IF(ISNUMBER(VLOOKUP($B:$B,BS!$A:$D,$2:$2,0)),VLOOKUP($B:$B,BS!$A:$D,$2:$2,0),0)</f>
        <v>0</v>
      </c>
      <c r="F390" s="217">
        <f>IF(ISNUMBER(VLOOKUP($B:$B,BS!$A:$D,$2:$2,0)),VLOOKUP($B:$B,BS!$A:$D,$2:$2,0),0)</f>
        <v>0</v>
      </c>
      <c r="G390" s="217">
        <f>IF(ISNUMBER(VLOOKUP($B:$B,BS!$A:$D,$2:$2,0)),VLOOKUP($B:$B,BS!$A:$D,$2:$2,0),0)</f>
        <v>0</v>
      </c>
      <c r="H390" s="207">
        <f>IF(ISNUMBER(VLOOKUP($B:$B,'BS(과거)'!$A:$F,$2:$2,0)),VLOOKUP($B:$B,'BS(과거)'!$A:$F,$2:$2,0),0)</f>
        <v>0</v>
      </c>
      <c r="I390" s="207">
        <f>IF(ISNUMBER(VLOOKUP($B:$B,'BS(과거)'!$A:$F,$2:$2,0)),VLOOKUP($B:$B,'BS(과거)'!$A:$F,$2:$2,0),0)</f>
        <v>0</v>
      </c>
      <c r="J390" s="207">
        <f>IF(ISNUMBER(VLOOKUP($B:$B,'BS(과거)'!$A:$F,$2:$2,0)),VLOOKUP($B:$B,'BS(과거)'!$A:$F,$2:$2,0),0)</f>
        <v>0</v>
      </c>
      <c r="K390" s="207">
        <f>IF(ISNUMBER(VLOOKUP($B:$B,'BS(과거)'!$A:$F,$2:$2,0)),VLOOKUP($B:$B,'BS(과거)'!$A:$F,$2:$2,0),0)</f>
        <v>0</v>
      </c>
      <c r="L390" s="207">
        <f>IF(ISNUMBER(VLOOKUP($B:$B,'BS(과거)'!$A:$F,$2:$2,0)),VLOOKUP($B:$B,'BS(과거)'!$A:$F,$2:$2,0),0)</f>
        <v>0</v>
      </c>
      <c r="N390" s="207">
        <f>IF(ISNUMBER(VLOOKUP($B:$B,'BS(분기)'!$A:$F,$2:$2,0)),VLOOKUP($B:$B,'BS(분기)'!$A:$F,$2:$2,0),0)</f>
        <v>0</v>
      </c>
      <c r="O390" s="207">
        <f>IF(ISNUMBER(VLOOKUP($B:$B,'BS(분기)'!$A:$F,$2:$2,0)),VLOOKUP($B:$B,'BS(분기)'!$A:$F,$2:$2,0),0)</f>
        <v>0</v>
      </c>
      <c r="P390" s="207">
        <f>IF(ISNUMBER(VLOOKUP($B:$B,'BS(분기)'!$A:$F,$2:$2,0)),VLOOKUP($B:$B,'BS(분기)'!$A:$F,$2:$2,0),0)</f>
        <v>0</v>
      </c>
      <c r="Q390" s="207">
        <f>IF(ISNUMBER(VLOOKUP($B:$B,'BS(분기)'!$A:$F,$2:$2,0)),VLOOKUP($B:$B,'BS(분기)'!$A:$F,$2:$2,0),0)</f>
        <v>0</v>
      </c>
      <c r="R390" s="207">
        <f>IF(ISNUMBER(VLOOKUP($B:$B,'BS(분기)'!$A:$F,$2:$2,0)),VLOOKUP($B:$B,'BS(분기)'!$A:$F,$2:$2,0),0)</f>
        <v>0</v>
      </c>
    </row>
    <row r="391" spans="1:18" s="192" customFormat="1" ht="12">
      <c r="A391" s="202">
        <v>113341</v>
      </c>
      <c r="B391" s="195" t="s">
        <v>1152</v>
      </c>
      <c r="C391" s="217">
        <f>IF(ISNUMBER(VLOOKUP($B:$B,BS!$A:$D,$2:$2,0)),VLOOKUP($B:$B,BS!$A:$D,$2:$2,0),0)</f>
        <v>0</v>
      </c>
      <c r="D391" s="217">
        <f>IF(ISNUMBER(VLOOKUP($B:$B,BS!$A:$D,$2:$2,0)),VLOOKUP($B:$B,BS!$A:$D,$2:$2,0),0)</f>
        <v>0</v>
      </c>
      <c r="E391" s="217">
        <f>IF(ISNUMBER(VLOOKUP($B:$B,BS!$A:$D,$2:$2,0)),VLOOKUP($B:$B,BS!$A:$D,$2:$2,0),0)</f>
        <v>0</v>
      </c>
      <c r="F391" s="217">
        <f>IF(ISNUMBER(VLOOKUP($B:$B,BS!$A:$D,$2:$2,0)),VLOOKUP($B:$B,BS!$A:$D,$2:$2,0),0)</f>
        <v>0</v>
      </c>
      <c r="G391" s="217">
        <f>IF(ISNUMBER(VLOOKUP($B:$B,BS!$A:$D,$2:$2,0)),VLOOKUP($B:$B,BS!$A:$D,$2:$2,0),0)</f>
        <v>0</v>
      </c>
      <c r="H391" s="207">
        <f>IF(ISNUMBER(VLOOKUP($B:$B,'BS(과거)'!$A:$F,$2:$2,0)),VLOOKUP($B:$B,'BS(과거)'!$A:$F,$2:$2,0),0)</f>
        <v>0</v>
      </c>
      <c r="I391" s="207">
        <f>IF(ISNUMBER(VLOOKUP($B:$B,'BS(과거)'!$A:$F,$2:$2,0)),VLOOKUP($B:$B,'BS(과거)'!$A:$F,$2:$2,0),0)</f>
        <v>0</v>
      </c>
      <c r="J391" s="207">
        <f>IF(ISNUMBER(VLOOKUP($B:$B,'BS(과거)'!$A:$F,$2:$2,0)),VLOOKUP($B:$B,'BS(과거)'!$A:$F,$2:$2,0),0)</f>
        <v>0</v>
      </c>
      <c r="K391" s="207">
        <f>IF(ISNUMBER(VLOOKUP($B:$B,'BS(과거)'!$A:$F,$2:$2,0)),VLOOKUP($B:$B,'BS(과거)'!$A:$F,$2:$2,0),0)</f>
        <v>0</v>
      </c>
      <c r="L391" s="207">
        <f>IF(ISNUMBER(VLOOKUP($B:$B,'BS(과거)'!$A:$F,$2:$2,0)),VLOOKUP($B:$B,'BS(과거)'!$A:$F,$2:$2,0),0)</f>
        <v>0</v>
      </c>
      <c r="N391" s="207">
        <f>IF(ISNUMBER(VLOOKUP($B:$B,'BS(분기)'!$A:$F,$2:$2,0)),VLOOKUP($B:$B,'BS(분기)'!$A:$F,$2:$2,0),0)</f>
        <v>0</v>
      </c>
      <c r="O391" s="207">
        <f>IF(ISNUMBER(VLOOKUP($B:$B,'BS(분기)'!$A:$F,$2:$2,0)),VLOOKUP($B:$B,'BS(분기)'!$A:$F,$2:$2,0),0)</f>
        <v>0</v>
      </c>
      <c r="P391" s="207">
        <f>IF(ISNUMBER(VLOOKUP($B:$B,'BS(분기)'!$A:$F,$2:$2,0)),VLOOKUP($B:$B,'BS(분기)'!$A:$F,$2:$2,0),0)</f>
        <v>0</v>
      </c>
      <c r="Q391" s="207">
        <f>IF(ISNUMBER(VLOOKUP($B:$B,'BS(분기)'!$A:$F,$2:$2,0)),VLOOKUP($B:$B,'BS(분기)'!$A:$F,$2:$2,0),0)</f>
        <v>0</v>
      </c>
      <c r="R391" s="207">
        <f>IF(ISNUMBER(VLOOKUP($B:$B,'BS(분기)'!$A:$F,$2:$2,0)),VLOOKUP($B:$B,'BS(분기)'!$A:$F,$2:$2,0),0)</f>
        <v>0</v>
      </c>
    </row>
    <row r="392" spans="1:18" s="192" customFormat="1" ht="12">
      <c r="A392" s="202">
        <v>113342</v>
      </c>
      <c r="B392" s="195" t="s">
        <v>1153</v>
      </c>
      <c r="C392" s="217">
        <f>IF(ISNUMBER(VLOOKUP($B:$B,BS!$A:$D,$2:$2,0)),VLOOKUP($B:$B,BS!$A:$D,$2:$2,0),0)</f>
        <v>0</v>
      </c>
      <c r="D392" s="217">
        <f>IF(ISNUMBER(VLOOKUP($B:$B,BS!$A:$D,$2:$2,0)),VLOOKUP($B:$B,BS!$A:$D,$2:$2,0),0)</f>
        <v>0</v>
      </c>
      <c r="E392" s="217">
        <f>IF(ISNUMBER(VLOOKUP($B:$B,BS!$A:$D,$2:$2,0)),VLOOKUP($B:$B,BS!$A:$D,$2:$2,0),0)</f>
        <v>0</v>
      </c>
      <c r="F392" s="217">
        <f>IF(ISNUMBER(VLOOKUP($B:$B,BS!$A:$D,$2:$2,0)),VLOOKUP($B:$B,BS!$A:$D,$2:$2,0),0)</f>
        <v>0</v>
      </c>
      <c r="G392" s="217">
        <f>IF(ISNUMBER(VLOOKUP($B:$B,BS!$A:$D,$2:$2,0)),VLOOKUP($B:$B,BS!$A:$D,$2:$2,0),0)</f>
        <v>0</v>
      </c>
      <c r="H392" s="207">
        <f>IF(ISNUMBER(VLOOKUP($B:$B,'BS(과거)'!$A:$F,$2:$2,0)),VLOOKUP($B:$B,'BS(과거)'!$A:$F,$2:$2,0),0)</f>
        <v>0</v>
      </c>
      <c r="I392" s="207">
        <f>IF(ISNUMBER(VLOOKUP($B:$B,'BS(과거)'!$A:$F,$2:$2,0)),VLOOKUP($B:$B,'BS(과거)'!$A:$F,$2:$2,0),0)</f>
        <v>0</v>
      </c>
      <c r="J392" s="207">
        <f>IF(ISNUMBER(VLOOKUP($B:$B,'BS(과거)'!$A:$F,$2:$2,0)),VLOOKUP($B:$B,'BS(과거)'!$A:$F,$2:$2,0),0)</f>
        <v>0</v>
      </c>
      <c r="K392" s="207">
        <f>IF(ISNUMBER(VLOOKUP($B:$B,'BS(과거)'!$A:$F,$2:$2,0)),VLOOKUP($B:$B,'BS(과거)'!$A:$F,$2:$2,0),0)</f>
        <v>0</v>
      </c>
      <c r="L392" s="207">
        <f>IF(ISNUMBER(VLOOKUP($B:$B,'BS(과거)'!$A:$F,$2:$2,0)),VLOOKUP($B:$B,'BS(과거)'!$A:$F,$2:$2,0),0)</f>
        <v>0</v>
      </c>
      <c r="N392" s="207">
        <f>IF(ISNUMBER(VLOOKUP($B:$B,'BS(분기)'!$A:$F,$2:$2,0)),VLOOKUP($B:$B,'BS(분기)'!$A:$F,$2:$2,0),0)</f>
        <v>0</v>
      </c>
      <c r="O392" s="207">
        <f>IF(ISNUMBER(VLOOKUP($B:$B,'BS(분기)'!$A:$F,$2:$2,0)),VLOOKUP($B:$B,'BS(분기)'!$A:$F,$2:$2,0),0)</f>
        <v>0</v>
      </c>
      <c r="P392" s="207">
        <f>IF(ISNUMBER(VLOOKUP($B:$B,'BS(분기)'!$A:$F,$2:$2,0)),VLOOKUP($B:$B,'BS(분기)'!$A:$F,$2:$2,0),0)</f>
        <v>0</v>
      </c>
      <c r="Q392" s="207">
        <f>IF(ISNUMBER(VLOOKUP($B:$B,'BS(분기)'!$A:$F,$2:$2,0)),VLOOKUP($B:$B,'BS(분기)'!$A:$F,$2:$2,0),0)</f>
        <v>0</v>
      </c>
      <c r="R392" s="207">
        <f>IF(ISNUMBER(VLOOKUP($B:$B,'BS(분기)'!$A:$F,$2:$2,0)),VLOOKUP($B:$B,'BS(분기)'!$A:$F,$2:$2,0),0)</f>
        <v>0</v>
      </c>
    </row>
    <row r="393" spans="1:18" s="192" customFormat="1" ht="12">
      <c r="A393" s="202">
        <v>113296</v>
      </c>
      <c r="B393" s="195" t="s">
        <v>573</v>
      </c>
      <c r="C393" s="217">
        <f>IF(ISNUMBER(VLOOKUP($B:$B,BS!$A:$D,$2:$2,0)),VLOOKUP($B:$B,BS!$A:$D,$2:$2,0),0)</f>
        <v>0</v>
      </c>
      <c r="D393" s="217">
        <f>IF(ISNUMBER(VLOOKUP($B:$B,BS!$A:$D,$2:$2,0)),VLOOKUP($B:$B,BS!$A:$D,$2:$2,0),0)</f>
        <v>0</v>
      </c>
      <c r="E393" s="217">
        <f>IF(ISNUMBER(VLOOKUP($B:$B,BS!$A:$D,$2:$2,0)),VLOOKUP($B:$B,BS!$A:$D,$2:$2,0),0)</f>
        <v>0</v>
      </c>
      <c r="F393" s="217">
        <f>IF(ISNUMBER(VLOOKUP($B:$B,BS!$A:$D,$2:$2,0)),VLOOKUP($B:$B,BS!$A:$D,$2:$2,0),0)</f>
        <v>0</v>
      </c>
      <c r="G393" s="217">
        <f>IF(ISNUMBER(VLOOKUP($B:$B,BS!$A:$D,$2:$2,0)),VLOOKUP($B:$B,BS!$A:$D,$2:$2,0),0)</f>
        <v>0</v>
      </c>
      <c r="H393" s="207">
        <f>IF(ISNUMBER(VLOOKUP($B:$B,'BS(과거)'!$A:$F,$2:$2,0)),VLOOKUP($B:$B,'BS(과거)'!$A:$F,$2:$2,0),0)</f>
        <v>0</v>
      </c>
      <c r="I393" s="207">
        <f>IF(ISNUMBER(VLOOKUP($B:$B,'BS(과거)'!$A:$F,$2:$2,0)),VLOOKUP($B:$B,'BS(과거)'!$A:$F,$2:$2,0),0)</f>
        <v>0</v>
      </c>
      <c r="J393" s="207">
        <f>IF(ISNUMBER(VLOOKUP($B:$B,'BS(과거)'!$A:$F,$2:$2,0)),VLOOKUP($B:$B,'BS(과거)'!$A:$F,$2:$2,0),0)</f>
        <v>0</v>
      </c>
      <c r="K393" s="207">
        <f>IF(ISNUMBER(VLOOKUP($B:$B,'BS(과거)'!$A:$F,$2:$2,0)),VLOOKUP($B:$B,'BS(과거)'!$A:$F,$2:$2,0),0)</f>
        <v>0</v>
      </c>
      <c r="L393" s="207">
        <f>IF(ISNUMBER(VLOOKUP($B:$B,'BS(과거)'!$A:$F,$2:$2,0)),VLOOKUP($B:$B,'BS(과거)'!$A:$F,$2:$2,0),0)</f>
        <v>0</v>
      </c>
      <c r="N393" s="207">
        <f>IF(ISNUMBER(VLOOKUP($B:$B,'BS(분기)'!$A:$F,$2:$2,0)),VLOOKUP($B:$B,'BS(분기)'!$A:$F,$2:$2,0),0)</f>
        <v>0</v>
      </c>
      <c r="O393" s="207">
        <f>IF(ISNUMBER(VLOOKUP($B:$B,'BS(분기)'!$A:$F,$2:$2,0)),VLOOKUP($B:$B,'BS(분기)'!$A:$F,$2:$2,0),0)</f>
        <v>0</v>
      </c>
      <c r="P393" s="207">
        <f>IF(ISNUMBER(VLOOKUP($B:$B,'BS(분기)'!$A:$F,$2:$2,0)),VLOOKUP($B:$B,'BS(분기)'!$A:$F,$2:$2,0),0)</f>
        <v>0</v>
      </c>
      <c r="Q393" s="207">
        <f>IF(ISNUMBER(VLOOKUP($B:$B,'BS(분기)'!$A:$F,$2:$2,0)),VLOOKUP($B:$B,'BS(분기)'!$A:$F,$2:$2,0),0)</f>
        <v>0</v>
      </c>
      <c r="R393" s="207">
        <f>IF(ISNUMBER(VLOOKUP($B:$B,'BS(분기)'!$A:$F,$2:$2,0)),VLOOKUP($B:$B,'BS(분기)'!$A:$F,$2:$2,0),0)</f>
        <v>0</v>
      </c>
    </row>
    <row r="394" spans="1:18" s="192" customFormat="1" ht="12">
      <c r="A394" s="202">
        <v>113343</v>
      </c>
      <c r="B394" s="195" t="s">
        <v>1154</v>
      </c>
      <c r="C394" s="217">
        <f>IF(ISNUMBER(VLOOKUP($B:$B,BS!$A:$D,$2:$2,0)),VLOOKUP($B:$B,BS!$A:$D,$2:$2,0),0)</f>
        <v>0</v>
      </c>
      <c r="D394" s="217">
        <f>IF(ISNUMBER(VLOOKUP($B:$B,BS!$A:$D,$2:$2,0)),VLOOKUP($B:$B,BS!$A:$D,$2:$2,0),0)</f>
        <v>0</v>
      </c>
      <c r="E394" s="217">
        <f>IF(ISNUMBER(VLOOKUP($B:$B,BS!$A:$D,$2:$2,0)),VLOOKUP($B:$B,BS!$A:$D,$2:$2,0),0)</f>
        <v>0</v>
      </c>
      <c r="F394" s="217">
        <f>IF(ISNUMBER(VLOOKUP($B:$B,BS!$A:$D,$2:$2,0)),VLOOKUP($B:$B,BS!$A:$D,$2:$2,0),0)</f>
        <v>0</v>
      </c>
      <c r="G394" s="217">
        <f>IF(ISNUMBER(VLOOKUP($B:$B,BS!$A:$D,$2:$2,0)),VLOOKUP($B:$B,BS!$A:$D,$2:$2,0),0)</f>
        <v>0</v>
      </c>
      <c r="H394" s="207">
        <f>IF(ISNUMBER(VLOOKUP($B:$B,'BS(과거)'!$A:$F,$2:$2,0)),VLOOKUP($B:$B,'BS(과거)'!$A:$F,$2:$2,0),0)</f>
        <v>0</v>
      </c>
      <c r="I394" s="207">
        <f>IF(ISNUMBER(VLOOKUP($B:$B,'BS(과거)'!$A:$F,$2:$2,0)),VLOOKUP($B:$B,'BS(과거)'!$A:$F,$2:$2,0),0)</f>
        <v>0</v>
      </c>
      <c r="J394" s="207">
        <f>IF(ISNUMBER(VLOOKUP($B:$B,'BS(과거)'!$A:$F,$2:$2,0)),VLOOKUP($B:$B,'BS(과거)'!$A:$F,$2:$2,0),0)</f>
        <v>0</v>
      </c>
      <c r="K394" s="207">
        <f>IF(ISNUMBER(VLOOKUP($B:$B,'BS(과거)'!$A:$F,$2:$2,0)),VLOOKUP($B:$B,'BS(과거)'!$A:$F,$2:$2,0),0)</f>
        <v>0</v>
      </c>
      <c r="L394" s="207">
        <f>IF(ISNUMBER(VLOOKUP($B:$B,'BS(과거)'!$A:$F,$2:$2,0)),VLOOKUP($B:$B,'BS(과거)'!$A:$F,$2:$2,0),0)</f>
        <v>0</v>
      </c>
      <c r="N394" s="207">
        <f>IF(ISNUMBER(VLOOKUP($B:$B,'BS(분기)'!$A:$F,$2:$2,0)),VLOOKUP($B:$B,'BS(분기)'!$A:$F,$2:$2,0),0)</f>
        <v>0</v>
      </c>
      <c r="O394" s="207">
        <f>IF(ISNUMBER(VLOOKUP($B:$B,'BS(분기)'!$A:$F,$2:$2,0)),VLOOKUP($B:$B,'BS(분기)'!$A:$F,$2:$2,0),0)</f>
        <v>0</v>
      </c>
      <c r="P394" s="207">
        <f>IF(ISNUMBER(VLOOKUP($B:$B,'BS(분기)'!$A:$F,$2:$2,0)),VLOOKUP($B:$B,'BS(분기)'!$A:$F,$2:$2,0),0)</f>
        <v>0</v>
      </c>
      <c r="Q394" s="207">
        <f>IF(ISNUMBER(VLOOKUP($B:$B,'BS(분기)'!$A:$F,$2:$2,0)),VLOOKUP($B:$B,'BS(분기)'!$A:$F,$2:$2,0),0)</f>
        <v>0</v>
      </c>
      <c r="R394" s="207">
        <f>IF(ISNUMBER(VLOOKUP($B:$B,'BS(분기)'!$A:$F,$2:$2,0)),VLOOKUP($B:$B,'BS(분기)'!$A:$F,$2:$2,0),0)</f>
        <v>0</v>
      </c>
    </row>
    <row r="395" spans="1:18" s="192" customFormat="1" ht="12">
      <c r="A395" s="202">
        <v>113344</v>
      </c>
      <c r="B395" s="195" t="s">
        <v>1155</v>
      </c>
      <c r="C395" s="217">
        <f>IF(ISNUMBER(VLOOKUP($B:$B,BS!$A:$D,$2:$2,0)),VLOOKUP($B:$B,BS!$A:$D,$2:$2,0),0)</f>
        <v>0</v>
      </c>
      <c r="D395" s="217">
        <f>IF(ISNUMBER(VLOOKUP($B:$B,BS!$A:$D,$2:$2,0)),VLOOKUP($B:$B,BS!$A:$D,$2:$2,0),0)</f>
        <v>0</v>
      </c>
      <c r="E395" s="217">
        <f>IF(ISNUMBER(VLOOKUP($B:$B,BS!$A:$D,$2:$2,0)),VLOOKUP($B:$B,BS!$A:$D,$2:$2,0),0)</f>
        <v>0</v>
      </c>
      <c r="F395" s="217">
        <f>IF(ISNUMBER(VLOOKUP($B:$B,BS!$A:$D,$2:$2,0)),VLOOKUP($B:$B,BS!$A:$D,$2:$2,0),0)</f>
        <v>0</v>
      </c>
      <c r="G395" s="217">
        <f>IF(ISNUMBER(VLOOKUP($B:$B,BS!$A:$D,$2:$2,0)),VLOOKUP($B:$B,BS!$A:$D,$2:$2,0),0)</f>
        <v>0</v>
      </c>
      <c r="H395" s="207">
        <f>IF(ISNUMBER(VLOOKUP($B:$B,'BS(과거)'!$A:$F,$2:$2,0)),VLOOKUP($B:$B,'BS(과거)'!$A:$F,$2:$2,0),0)</f>
        <v>0</v>
      </c>
      <c r="I395" s="207">
        <f>IF(ISNUMBER(VLOOKUP($B:$B,'BS(과거)'!$A:$F,$2:$2,0)),VLOOKUP($B:$B,'BS(과거)'!$A:$F,$2:$2,0),0)</f>
        <v>0</v>
      </c>
      <c r="J395" s="207">
        <f>IF(ISNUMBER(VLOOKUP($B:$B,'BS(과거)'!$A:$F,$2:$2,0)),VLOOKUP($B:$B,'BS(과거)'!$A:$F,$2:$2,0),0)</f>
        <v>0</v>
      </c>
      <c r="K395" s="207">
        <f>IF(ISNUMBER(VLOOKUP($B:$B,'BS(과거)'!$A:$F,$2:$2,0)),VLOOKUP($B:$B,'BS(과거)'!$A:$F,$2:$2,0),0)</f>
        <v>0</v>
      </c>
      <c r="L395" s="207">
        <f>IF(ISNUMBER(VLOOKUP($B:$B,'BS(과거)'!$A:$F,$2:$2,0)),VLOOKUP($B:$B,'BS(과거)'!$A:$F,$2:$2,0),0)</f>
        <v>0</v>
      </c>
      <c r="N395" s="207">
        <f>IF(ISNUMBER(VLOOKUP($B:$B,'BS(분기)'!$A:$F,$2:$2,0)),VLOOKUP($B:$B,'BS(분기)'!$A:$F,$2:$2,0),0)</f>
        <v>0</v>
      </c>
      <c r="O395" s="207">
        <f>IF(ISNUMBER(VLOOKUP($B:$B,'BS(분기)'!$A:$F,$2:$2,0)),VLOOKUP($B:$B,'BS(분기)'!$A:$F,$2:$2,0),0)</f>
        <v>0</v>
      </c>
      <c r="P395" s="207">
        <f>IF(ISNUMBER(VLOOKUP($B:$B,'BS(분기)'!$A:$F,$2:$2,0)),VLOOKUP($B:$B,'BS(분기)'!$A:$F,$2:$2,0),0)</f>
        <v>0</v>
      </c>
      <c r="Q395" s="207">
        <f>IF(ISNUMBER(VLOOKUP($B:$B,'BS(분기)'!$A:$F,$2:$2,0)),VLOOKUP($B:$B,'BS(분기)'!$A:$F,$2:$2,0),0)</f>
        <v>0</v>
      </c>
      <c r="R395" s="207">
        <f>IF(ISNUMBER(VLOOKUP($B:$B,'BS(분기)'!$A:$F,$2:$2,0)),VLOOKUP($B:$B,'BS(분기)'!$A:$F,$2:$2,0),0)</f>
        <v>0</v>
      </c>
    </row>
    <row r="396" spans="1:18" s="192" customFormat="1" ht="12">
      <c r="A396" s="202">
        <v>113345</v>
      </c>
      <c r="B396" s="195" t="s">
        <v>1156</v>
      </c>
      <c r="C396" s="217">
        <f>IF(ISNUMBER(VLOOKUP($B:$B,BS!$A:$D,$2:$2,0)),VLOOKUP($B:$B,BS!$A:$D,$2:$2,0),0)</f>
        <v>0</v>
      </c>
      <c r="D396" s="217">
        <f>IF(ISNUMBER(VLOOKUP($B:$B,BS!$A:$D,$2:$2,0)),VLOOKUP($B:$B,BS!$A:$D,$2:$2,0),0)</f>
        <v>0</v>
      </c>
      <c r="E396" s="217">
        <f>IF(ISNUMBER(VLOOKUP($B:$B,BS!$A:$D,$2:$2,0)),VLOOKUP($B:$B,BS!$A:$D,$2:$2,0),0)</f>
        <v>0</v>
      </c>
      <c r="F396" s="217">
        <f>IF(ISNUMBER(VLOOKUP($B:$B,BS!$A:$D,$2:$2,0)),VLOOKUP($B:$B,BS!$A:$D,$2:$2,0),0)</f>
        <v>0</v>
      </c>
      <c r="G396" s="217">
        <f>IF(ISNUMBER(VLOOKUP($B:$B,BS!$A:$D,$2:$2,0)),VLOOKUP($B:$B,BS!$A:$D,$2:$2,0),0)</f>
        <v>0</v>
      </c>
      <c r="H396" s="207">
        <f>IF(ISNUMBER(VLOOKUP($B:$B,'BS(과거)'!$A:$F,$2:$2,0)),VLOOKUP($B:$B,'BS(과거)'!$A:$F,$2:$2,0),0)</f>
        <v>0</v>
      </c>
      <c r="I396" s="207">
        <f>IF(ISNUMBER(VLOOKUP($B:$B,'BS(과거)'!$A:$F,$2:$2,0)),VLOOKUP($B:$B,'BS(과거)'!$A:$F,$2:$2,0),0)</f>
        <v>0</v>
      </c>
      <c r="J396" s="207">
        <f>IF(ISNUMBER(VLOOKUP($B:$B,'BS(과거)'!$A:$F,$2:$2,0)),VLOOKUP($B:$B,'BS(과거)'!$A:$F,$2:$2,0),0)</f>
        <v>0</v>
      </c>
      <c r="K396" s="207">
        <f>IF(ISNUMBER(VLOOKUP($B:$B,'BS(과거)'!$A:$F,$2:$2,0)),VLOOKUP($B:$B,'BS(과거)'!$A:$F,$2:$2,0),0)</f>
        <v>0</v>
      </c>
      <c r="L396" s="207">
        <f>IF(ISNUMBER(VLOOKUP($B:$B,'BS(과거)'!$A:$F,$2:$2,0)),VLOOKUP($B:$B,'BS(과거)'!$A:$F,$2:$2,0),0)</f>
        <v>0</v>
      </c>
      <c r="N396" s="207">
        <f>IF(ISNUMBER(VLOOKUP($B:$B,'BS(분기)'!$A:$F,$2:$2,0)),VLOOKUP($B:$B,'BS(분기)'!$A:$F,$2:$2,0),0)</f>
        <v>0</v>
      </c>
      <c r="O396" s="207">
        <f>IF(ISNUMBER(VLOOKUP($B:$B,'BS(분기)'!$A:$F,$2:$2,0)),VLOOKUP($B:$B,'BS(분기)'!$A:$F,$2:$2,0),0)</f>
        <v>0</v>
      </c>
      <c r="P396" s="207">
        <f>IF(ISNUMBER(VLOOKUP($B:$B,'BS(분기)'!$A:$F,$2:$2,0)),VLOOKUP($B:$B,'BS(분기)'!$A:$F,$2:$2,0),0)</f>
        <v>0</v>
      </c>
      <c r="Q396" s="207">
        <f>IF(ISNUMBER(VLOOKUP($B:$B,'BS(분기)'!$A:$F,$2:$2,0)),VLOOKUP($B:$B,'BS(분기)'!$A:$F,$2:$2,0),0)</f>
        <v>0</v>
      </c>
      <c r="R396" s="207">
        <f>IF(ISNUMBER(VLOOKUP($B:$B,'BS(분기)'!$A:$F,$2:$2,0)),VLOOKUP($B:$B,'BS(분기)'!$A:$F,$2:$2,0),0)</f>
        <v>0</v>
      </c>
    </row>
    <row r="397" spans="1:18" s="192" customFormat="1" ht="12">
      <c r="A397" s="202">
        <v>113297</v>
      </c>
      <c r="B397" s="195" t="s">
        <v>1157</v>
      </c>
      <c r="C397" s="217">
        <f>IF(ISNUMBER(VLOOKUP($B:$B,BS!$A:$D,$2:$2,0)),VLOOKUP($B:$B,BS!$A:$D,$2:$2,0),0)</f>
        <v>0</v>
      </c>
      <c r="D397" s="217">
        <f>IF(ISNUMBER(VLOOKUP($B:$B,BS!$A:$D,$2:$2,0)),VLOOKUP($B:$B,BS!$A:$D,$2:$2,0),0)</f>
        <v>0</v>
      </c>
      <c r="E397" s="217">
        <f>IF(ISNUMBER(VLOOKUP($B:$B,BS!$A:$D,$2:$2,0)),VLOOKUP($B:$B,BS!$A:$D,$2:$2,0),0)</f>
        <v>0</v>
      </c>
      <c r="F397" s="217">
        <f>IF(ISNUMBER(VLOOKUP($B:$B,BS!$A:$D,$2:$2,0)),VLOOKUP($B:$B,BS!$A:$D,$2:$2,0),0)</f>
        <v>0</v>
      </c>
      <c r="G397" s="217">
        <f>IF(ISNUMBER(VLOOKUP($B:$B,BS!$A:$D,$2:$2,0)),VLOOKUP($B:$B,BS!$A:$D,$2:$2,0),0)</f>
        <v>0</v>
      </c>
      <c r="H397" s="207">
        <f>IF(ISNUMBER(VLOOKUP($B:$B,'BS(과거)'!$A:$F,$2:$2,0)),VLOOKUP($B:$B,'BS(과거)'!$A:$F,$2:$2,0),0)</f>
        <v>0</v>
      </c>
      <c r="I397" s="207">
        <f>IF(ISNUMBER(VLOOKUP($B:$B,'BS(과거)'!$A:$F,$2:$2,0)),VLOOKUP($B:$B,'BS(과거)'!$A:$F,$2:$2,0),0)</f>
        <v>0</v>
      </c>
      <c r="J397" s="207">
        <f>IF(ISNUMBER(VLOOKUP($B:$B,'BS(과거)'!$A:$F,$2:$2,0)),VLOOKUP($B:$B,'BS(과거)'!$A:$F,$2:$2,0),0)</f>
        <v>0</v>
      </c>
      <c r="K397" s="207">
        <f>IF(ISNUMBER(VLOOKUP($B:$B,'BS(과거)'!$A:$F,$2:$2,0)),VLOOKUP($B:$B,'BS(과거)'!$A:$F,$2:$2,0),0)</f>
        <v>0</v>
      </c>
      <c r="L397" s="207">
        <f>IF(ISNUMBER(VLOOKUP($B:$B,'BS(과거)'!$A:$F,$2:$2,0)),VLOOKUP($B:$B,'BS(과거)'!$A:$F,$2:$2,0),0)</f>
        <v>0</v>
      </c>
      <c r="N397" s="207">
        <f>IF(ISNUMBER(VLOOKUP($B:$B,'BS(분기)'!$A:$F,$2:$2,0)),VLOOKUP($B:$B,'BS(분기)'!$A:$F,$2:$2,0),0)</f>
        <v>0</v>
      </c>
      <c r="O397" s="207">
        <f>IF(ISNUMBER(VLOOKUP($B:$B,'BS(분기)'!$A:$F,$2:$2,0)),VLOOKUP($B:$B,'BS(분기)'!$A:$F,$2:$2,0),0)</f>
        <v>0</v>
      </c>
      <c r="P397" s="207">
        <f>IF(ISNUMBER(VLOOKUP($B:$B,'BS(분기)'!$A:$F,$2:$2,0)),VLOOKUP($B:$B,'BS(분기)'!$A:$F,$2:$2,0),0)</f>
        <v>0</v>
      </c>
      <c r="Q397" s="207">
        <f>IF(ISNUMBER(VLOOKUP($B:$B,'BS(분기)'!$A:$F,$2:$2,0)),VLOOKUP($B:$B,'BS(분기)'!$A:$F,$2:$2,0),0)</f>
        <v>0</v>
      </c>
      <c r="R397" s="207">
        <f>IF(ISNUMBER(VLOOKUP($B:$B,'BS(분기)'!$A:$F,$2:$2,0)),VLOOKUP($B:$B,'BS(분기)'!$A:$F,$2:$2,0),0)</f>
        <v>0</v>
      </c>
    </row>
    <row r="398" spans="1:18" s="192" customFormat="1" ht="12">
      <c r="A398" s="202">
        <v>113346</v>
      </c>
      <c r="B398" s="195" t="s">
        <v>1158</v>
      </c>
      <c r="C398" s="217">
        <f>IF(ISNUMBER(VLOOKUP($B:$B,BS!$A:$D,$2:$2,0)),VLOOKUP($B:$B,BS!$A:$D,$2:$2,0),0)</f>
        <v>0</v>
      </c>
      <c r="D398" s="217">
        <f>IF(ISNUMBER(VLOOKUP($B:$B,BS!$A:$D,$2:$2,0)),VLOOKUP($B:$B,BS!$A:$D,$2:$2,0),0)</f>
        <v>0</v>
      </c>
      <c r="E398" s="217">
        <f>IF(ISNUMBER(VLOOKUP($B:$B,BS!$A:$D,$2:$2,0)),VLOOKUP($B:$B,BS!$A:$D,$2:$2,0),0)</f>
        <v>0</v>
      </c>
      <c r="F398" s="217">
        <f>IF(ISNUMBER(VLOOKUP($B:$B,BS!$A:$D,$2:$2,0)),VLOOKUP($B:$B,BS!$A:$D,$2:$2,0),0)</f>
        <v>0</v>
      </c>
      <c r="G398" s="217">
        <f>IF(ISNUMBER(VLOOKUP($B:$B,BS!$A:$D,$2:$2,0)),VLOOKUP($B:$B,BS!$A:$D,$2:$2,0),0)</f>
        <v>0</v>
      </c>
      <c r="H398" s="207">
        <f>IF(ISNUMBER(VLOOKUP($B:$B,'BS(과거)'!$A:$F,$2:$2,0)),VLOOKUP($B:$B,'BS(과거)'!$A:$F,$2:$2,0),0)</f>
        <v>0</v>
      </c>
      <c r="I398" s="207">
        <f>IF(ISNUMBER(VLOOKUP($B:$B,'BS(과거)'!$A:$F,$2:$2,0)),VLOOKUP($B:$B,'BS(과거)'!$A:$F,$2:$2,0),0)</f>
        <v>0</v>
      </c>
      <c r="J398" s="207">
        <f>IF(ISNUMBER(VLOOKUP($B:$B,'BS(과거)'!$A:$F,$2:$2,0)),VLOOKUP($B:$B,'BS(과거)'!$A:$F,$2:$2,0),0)</f>
        <v>0</v>
      </c>
      <c r="K398" s="207">
        <f>IF(ISNUMBER(VLOOKUP($B:$B,'BS(과거)'!$A:$F,$2:$2,0)),VLOOKUP($B:$B,'BS(과거)'!$A:$F,$2:$2,0),0)</f>
        <v>0</v>
      </c>
      <c r="L398" s="207">
        <f>IF(ISNUMBER(VLOOKUP($B:$B,'BS(과거)'!$A:$F,$2:$2,0)),VLOOKUP($B:$B,'BS(과거)'!$A:$F,$2:$2,0),0)</f>
        <v>0</v>
      </c>
      <c r="N398" s="207">
        <f>IF(ISNUMBER(VLOOKUP($B:$B,'BS(분기)'!$A:$F,$2:$2,0)),VLOOKUP($B:$B,'BS(분기)'!$A:$F,$2:$2,0),0)</f>
        <v>0</v>
      </c>
      <c r="O398" s="207">
        <f>IF(ISNUMBER(VLOOKUP($B:$B,'BS(분기)'!$A:$F,$2:$2,0)),VLOOKUP($B:$B,'BS(분기)'!$A:$F,$2:$2,0),0)</f>
        <v>0</v>
      </c>
      <c r="P398" s="207">
        <f>IF(ISNUMBER(VLOOKUP($B:$B,'BS(분기)'!$A:$F,$2:$2,0)),VLOOKUP($B:$B,'BS(분기)'!$A:$F,$2:$2,0),0)</f>
        <v>0</v>
      </c>
      <c r="Q398" s="207">
        <f>IF(ISNUMBER(VLOOKUP($B:$B,'BS(분기)'!$A:$F,$2:$2,0)),VLOOKUP($B:$B,'BS(분기)'!$A:$F,$2:$2,0),0)</f>
        <v>0</v>
      </c>
      <c r="R398" s="207">
        <f>IF(ISNUMBER(VLOOKUP($B:$B,'BS(분기)'!$A:$F,$2:$2,0)),VLOOKUP($B:$B,'BS(분기)'!$A:$F,$2:$2,0),0)</f>
        <v>0</v>
      </c>
    </row>
    <row r="399" spans="1:18" s="192" customFormat="1" ht="12">
      <c r="A399" s="202">
        <v>113347</v>
      </c>
      <c r="B399" s="195" t="s">
        <v>1159</v>
      </c>
      <c r="C399" s="217">
        <f>IF(ISNUMBER(VLOOKUP($B:$B,BS!$A:$D,$2:$2,0)),VLOOKUP($B:$B,BS!$A:$D,$2:$2,0),0)</f>
        <v>0</v>
      </c>
      <c r="D399" s="217">
        <f>IF(ISNUMBER(VLOOKUP($B:$B,BS!$A:$D,$2:$2,0)),VLOOKUP($B:$B,BS!$A:$D,$2:$2,0),0)</f>
        <v>0</v>
      </c>
      <c r="E399" s="217">
        <f>IF(ISNUMBER(VLOOKUP($B:$B,BS!$A:$D,$2:$2,0)),VLOOKUP($B:$B,BS!$A:$D,$2:$2,0),0)</f>
        <v>0</v>
      </c>
      <c r="F399" s="217">
        <f>IF(ISNUMBER(VLOOKUP($B:$B,BS!$A:$D,$2:$2,0)),VLOOKUP($B:$B,BS!$A:$D,$2:$2,0),0)</f>
        <v>0</v>
      </c>
      <c r="G399" s="217">
        <f>IF(ISNUMBER(VLOOKUP($B:$B,BS!$A:$D,$2:$2,0)),VLOOKUP($B:$B,BS!$A:$D,$2:$2,0),0)</f>
        <v>0</v>
      </c>
      <c r="H399" s="207">
        <f>IF(ISNUMBER(VLOOKUP($B:$B,'BS(과거)'!$A:$F,$2:$2,0)),VLOOKUP($B:$B,'BS(과거)'!$A:$F,$2:$2,0),0)</f>
        <v>0</v>
      </c>
      <c r="I399" s="207">
        <f>IF(ISNUMBER(VLOOKUP($B:$B,'BS(과거)'!$A:$F,$2:$2,0)),VLOOKUP($B:$B,'BS(과거)'!$A:$F,$2:$2,0),0)</f>
        <v>0</v>
      </c>
      <c r="J399" s="207">
        <f>IF(ISNUMBER(VLOOKUP($B:$B,'BS(과거)'!$A:$F,$2:$2,0)),VLOOKUP($B:$B,'BS(과거)'!$A:$F,$2:$2,0),0)</f>
        <v>0</v>
      </c>
      <c r="K399" s="207">
        <f>IF(ISNUMBER(VLOOKUP($B:$B,'BS(과거)'!$A:$F,$2:$2,0)),VLOOKUP($B:$B,'BS(과거)'!$A:$F,$2:$2,0),0)</f>
        <v>0</v>
      </c>
      <c r="L399" s="207">
        <f>IF(ISNUMBER(VLOOKUP($B:$B,'BS(과거)'!$A:$F,$2:$2,0)),VLOOKUP($B:$B,'BS(과거)'!$A:$F,$2:$2,0),0)</f>
        <v>0</v>
      </c>
      <c r="N399" s="207">
        <f>IF(ISNUMBER(VLOOKUP($B:$B,'BS(분기)'!$A:$F,$2:$2,0)),VLOOKUP($B:$B,'BS(분기)'!$A:$F,$2:$2,0),0)</f>
        <v>0</v>
      </c>
      <c r="O399" s="207">
        <f>IF(ISNUMBER(VLOOKUP($B:$B,'BS(분기)'!$A:$F,$2:$2,0)),VLOOKUP($B:$B,'BS(분기)'!$A:$F,$2:$2,0),0)</f>
        <v>0</v>
      </c>
      <c r="P399" s="207">
        <f>IF(ISNUMBER(VLOOKUP($B:$B,'BS(분기)'!$A:$F,$2:$2,0)),VLOOKUP($B:$B,'BS(분기)'!$A:$F,$2:$2,0),0)</f>
        <v>0</v>
      </c>
      <c r="Q399" s="207">
        <f>IF(ISNUMBER(VLOOKUP($B:$B,'BS(분기)'!$A:$F,$2:$2,0)),VLOOKUP($B:$B,'BS(분기)'!$A:$F,$2:$2,0),0)</f>
        <v>0</v>
      </c>
      <c r="R399" s="207">
        <f>IF(ISNUMBER(VLOOKUP($B:$B,'BS(분기)'!$A:$F,$2:$2,0)),VLOOKUP($B:$B,'BS(분기)'!$A:$F,$2:$2,0),0)</f>
        <v>0</v>
      </c>
    </row>
    <row r="400" spans="1:18" s="192" customFormat="1" ht="12">
      <c r="A400" s="202">
        <v>113348</v>
      </c>
      <c r="B400" s="195" t="s">
        <v>1160</v>
      </c>
      <c r="C400" s="217">
        <f>IF(ISNUMBER(VLOOKUP($B:$B,BS!$A:$D,$2:$2,0)),VLOOKUP($B:$B,BS!$A:$D,$2:$2,0),0)</f>
        <v>0</v>
      </c>
      <c r="D400" s="217">
        <f>IF(ISNUMBER(VLOOKUP($B:$B,BS!$A:$D,$2:$2,0)),VLOOKUP($B:$B,BS!$A:$D,$2:$2,0),0)</f>
        <v>0</v>
      </c>
      <c r="E400" s="217">
        <f>IF(ISNUMBER(VLOOKUP($B:$B,BS!$A:$D,$2:$2,0)),VLOOKUP($B:$B,BS!$A:$D,$2:$2,0),0)</f>
        <v>0</v>
      </c>
      <c r="F400" s="217">
        <f>IF(ISNUMBER(VLOOKUP($B:$B,BS!$A:$D,$2:$2,0)),VLOOKUP($B:$B,BS!$A:$D,$2:$2,0),0)</f>
        <v>0</v>
      </c>
      <c r="G400" s="217">
        <f>IF(ISNUMBER(VLOOKUP($B:$B,BS!$A:$D,$2:$2,0)),VLOOKUP($B:$B,BS!$A:$D,$2:$2,0),0)</f>
        <v>0</v>
      </c>
      <c r="H400" s="207">
        <f>IF(ISNUMBER(VLOOKUP($B:$B,'BS(과거)'!$A:$F,$2:$2,0)),VLOOKUP($B:$B,'BS(과거)'!$A:$F,$2:$2,0),0)</f>
        <v>0</v>
      </c>
      <c r="I400" s="207">
        <f>IF(ISNUMBER(VLOOKUP($B:$B,'BS(과거)'!$A:$F,$2:$2,0)),VLOOKUP($B:$B,'BS(과거)'!$A:$F,$2:$2,0),0)</f>
        <v>0</v>
      </c>
      <c r="J400" s="207">
        <f>IF(ISNUMBER(VLOOKUP($B:$B,'BS(과거)'!$A:$F,$2:$2,0)),VLOOKUP($B:$B,'BS(과거)'!$A:$F,$2:$2,0),0)</f>
        <v>0</v>
      </c>
      <c r="K400" s="207">
        <f>IF(ISNUMBER(VLOOKUP($B:$B,'BS(과거)'!$A:$F,$2:$2,0)),VLOOKUP($B:$B,'BS(과거)'!$A:$F,$2:$2,0),0)</f>
        <v>0</v>
      </c>
      <c r="L400" s="207">
        <f>IF(ISNUMBER(VLOOKUP($B:$B,'BS(과거)'!$A:$F,$2:$2,0)),VLOOKUP($B:$B,'BS(과거)'!$A:$F,$2:$2,0),0)</f>
        <v>0</v>
      </c>
      <c r="N400" s="207">
        <f>IF(ISNUMBER(VLOOKUP($B:$B,'BS(분기)'!$A:$F,$2:$2,0)),VLOOKUP($B:$B,'BS(분기)'!$A:$F,$2:$2,0),0)</f>
        <v>0</v>
      </c>
      <c r="O400" s="207">
        <f>IF(ISNUMBER(VLOOKUP($B:$B,'BS(분기)'!$A:$F,$2:$2,0)),VLOOKUP($B:$B,'BS(분기)'!$A:$F,$2:$2,0),0)</f>
        <v>0</v>
      </c>
      <c r="P400" s="207">
        <f>IF(ISNUMBER(VLOOKUP($B:$B,'BS(분기)'!$A:$F,$2:$2,0)),VLOOKUP($B:$B,'BS(분기)'!$A:$F,$2:$2,0),0)</f>
        <v>0</v>
      </c>
      <c r="Q400" s="207">
        <f>IF(ISNUMBER(VLOOKUP($B:$B,'BS(분기)'!$A:$F,$2:$2,0)),VLOOKUP($B:$B,'BS(분기)'!$A:$F,$2:$2,0),0)</f>
        <v>0</v>
      </c>
      <c r="R400" s="207">
        <f>IF(ISNUMBER(VLOOKUP($B:$B,'BS(분기)'!$A:$F,$2:$2,0)),VLOOKUP($B:$B,'BS(분기)'!$A:$F,$2:$2,0),0)</f>
        <v>0</v>
      </c>
    </row>
    <row r="401" spans="1:18" s="192" customFormat="1" ht="12">
      <c r="A401" s="202">
        <v>113300</v>
      </c>
      <c r="B401" s="195" t="s">
        <v>819</v>
      </c>
      <c r="C401" s="217">
        <f>IF(ISNUMBER(VLOOKUP($B:$B,BS!$A:$D,$2:$2,0)),VLOOKUP($B:$B,BS!$A:$D,$2:$2,0),0)</f>
        <v>0</v>
      </c>
      <c r="D401" s="217">
        <f>IF(ISNUMBER(VLOOKUP($B:$B,BS!$A:$D,$2:$2,0)),VLOOKUP($B:$B,BS!$A:$D,$2:$2,0),0)</f>
        <v>0</v>
      </c>
      <c r="E401" s="217">
        <f>IF(ISNUMBER(VLOOKUP($B:$B,BS!$A:$D,$2:$2,0)),VLOOKUP($B:$B,BS!$A:$D,$2:$2,0),0)</f>
        <v>0</v>
      </c>
      <c r="F401" s="217">
        <f>IF(ISNUMBER(VLOOKUP($B:$B,BS!$A:$D,$2:$2,0)),VLOOKUP($B:$B,BS!$A:$D,$2:$2,0),0)</f>
        <v>0</v>
      </c>
      <c r="G401" s="217">
        <f>IF(ISNUMBER(VLOOKUP($B:$B,BS!$A:$D,$2:$2,0)),VLOOKUP($B:$B,BS!$A:$D,$2:$2,0),0)</f>
        <v>0</v>
      </c>
      <c r="H401" s="207">
        <f>IF(ISNUMBER(VLOOKUP($B:$B,'BS(과거)'!$A:$F,$2:$2,0)),VLOOKUP($B:$B,'BS(과거)'!$A:$F,$2:$2,0),0)</f>
        <v>0</v>
      </c>
      <c r="I401" s="207">
        <f>IF(ISNUMBER(VLOOKUP($B:$B,'BS(과거)'!$A:$F,$2:$2,0)),VLOOKUP($B:$B,'BS(과거)'!$A:$F,$2:$2,0),0)</f>
        <v>0</v>
      </c>
      <c r="J401" s="207">
        <f>IF(ISNUMBER(VLOOKUP($B:$B,'BS(과거)'!$A:$F,$2:$2,0)),VLOOKUP($B:$B,'BS(과거)'!$A:$F,$2:$2,0),0)</f>
        <v>0</v>
      </c>
      <c r="K401" s="207">
        <f>IF(ISNUMBER(VLOOKUP($B:$B,'BS(과거)'!$A:$F,$2:$2,0)),VLOOKUP($B:$B,'BS(과거)'!$A:$F,$2:$2,0),0)</f>
        <v>0</v>
      </c>
      <c r="L401" s="207">
        <f>IF(ISNUMBER(VLOOKUP($B:$B,'BS(과거)'!$A:$F,$2:$2,0)),VLOOKUP($B:$B,'BS(과거)'!$A:$F,$2:$2,0),0)</f>
        <v>0</v>
      </c>
      <c r="N401" s="207">
        <f>IF(ISNUMBER(VLOOKUP($B:$B,'BS(분기)'!$A:$F,$2:$2,0)),VLOOKUP($B:$B,'BS(분기)'!$A:$F,$2:$2,0),0)</f>
        <v>0</v>
      </c>
      <c r="O401" s="207">
        <f>IF(ISNUMBER(VLOOKUP($B:$B,'BS(분기)'!$A:$F,$2:$2,0)),VLOOKUP($B:$B,'BS(분기)'!$A:$F,$2:$2,0),0)</f>
        <v>0</v>
      </c>
      <c r="P401" s="207">
        <f>IF(ISNUMBER(VLOOKUP($B:$B,'BS(분기)'!$A:$F,$2:$2,0)),VLOOKUP($B:$B,'BS(분기)'!$A:$F,$2:$2,0),0)</f>
        <v>0</v>
      </c>
      <c r="Q401" s="207">
        <f>IF(ISNUMBER(VLOOKUP($B:$B,'BS(분기)'!$A:$F,$2:$2,0)),VLOOKUP($B:$B,'BS(분기)'!$A:$F,$2:$2,0),0)</f>
        <v>0</v>
      </c>
      <c r="R401" s="207">
        <f>IF(ISNUMBER(VLOOKUP($B:$B,'BS(분기)'!$A:$F,$2:$2,0)),VLOOKUP($B:$B,'BS(분기)'!$A:$F,$2:$2,0),0)</f>
        <v>0</v>
      </c>
    </row>
    <row r="402" spans="1:18" s="192" customFormat="1" ht="12">
      <c r="A402" s="202">
        <v>113349</v>
      </c>
      <c r="B402" s="195" t="s">
        <v>1161</v>
      </c>
      <c r="C402" s="217">
        <f>IF(ISNUMBER(VLOOKUP($B:$B,BS!$A:$D,$2:$2,0)),VLOOKUP($B:$B,BS!$A:$D,$2:$2,0),0)</f>
        <v>0</v>
      </c>
      <c r="D402" s="217">
        <f>IF(ISNUMBER(VLOOKUP($B:$B,BS!$A:$D,$2:$2,0)),VLOOKUP($B:$B,BS!$A:$D,$2:$2,0),0)</f>
        <v>0</v>
      </c>
      <c r="E402" s="217">
        <f>IF(ISNUMBER(VLOOKUP($B:$B,BS!$A:$D,$2:$2,0)),VLOOKUP($B:$B,BS!$A:$D,$2:$2,0),0)</f>
        <v>0</v>
      </c>
      <c r="F402" s="217">
        <f>IF(ISNUMBER(VLOOKUP($B:$B,BS!$A:$D,$2:$2,0)),VLOOKUP($B:$B,BS!$A:$D,$2:$2,0),0)</f>
        <v>0</v>
      </c>
      <c r="G402" s="217">
        <f>IF(ISNUMBER(VLOOKUP($B:$B,BS!$A:$D,$2:$2,0)),VLOOKUP($B:$B,BS!$A:$D,$2:$2,0),0)</f>
        <v>0</v>
      </c>
      <c r="H402" s="207">
        <f>IF(ISNUMBER(VLOOKUP($B:$B,'BS(과거)'!$A:$F,$2:$2,0)),VLOOKUP($B:$B,'BS(과거)'!$A:$F,$2:$2,0),0)</f>
        <v>0</v>
      </c>
      <c r="I402" s="207">
        <f>IF(ISNUMBER(VLOOKUP($B:$B,'BS(과거)'!$A:$F,$2:$2,0)),VLOOKUP($B:$B,'BS(과거)'!$A:$F,$2:$2,0),0)</f>
        <v>0</v>
      </c>
      <c r="J402" s="207">
        <f>IF(ISNUMBER(VLOOKUP($B:$B,'BS(과거)'!$A:$F,$2:$2,0)),VLOOKUP($B:$B,'BS(과거)'!$A:$F,$2:$2,0),0)</f>
        <v>0</v>
      </c>
      <c r="K402" s="207">
        <f>IF(ISNUMBER(VLOOKUP($B:$B,'BS(과거)'!$A:$F,$2:$2,0)),VLOOKUP($B:$B,'BS(과거)'!$A:$F,$2:$2,0),0)</f>
        <v>0</v>
      </c>
      <c r="L402" s="207">
        <f>IF(ISNUMBER(VLOOKUP($B:$B,'BS(과거)'!$A:$F,$2:$2,0)),VLOOKUP($B:$B,'BS(과거)'!$A:$F,$2:$2,0),0)</f>
        <v>0</v>
      </c>
      <c r="N402" s="207">
        <f>IF(ISNUMBER(VLOOKUP($B:$B,'BS(분기)'!$A:$F,$2:$2,0)),VLOOKUP($B:$B,'BS(분기)'!$A:$F,$2:$2,0),0)</f>
        <v>0</v>
      </c>
      <c r="O402" s="207">
        <f>IF(ISNUMBER(VLOOKUP($B:$B,'BS(분기)'!$A:$F,$2:$2,0)),VLOOKUP($B:$B,'BS(분기)'!$A:$F,$2:$2,0),0)</f>
        <v>0</v>
      </c>
      <c r="P402" s="207">
        <f>IF(ISNUMBER(VLOOKUP($B:$B,'BS(분기)'!$A:$F,$2:$2,0)),VLOOKUP($B:$B,'BS(분기)'!$A:$F,$2:$2,0),0)</f>
        <v>0</v>
      </c>
      <c r="Q402" s="207">
        <f>IF(ISNUMBER(VLOOKUP($B:$B,'BS(분기)'!$A:$F,$2:$2,0)),VLOOKUP($B:$B,'BS(분기)'!$A:$F,$2:$2,0),0)</f>
        <v>0</v>
      </c>
      <c r="R402" s="207">
        <f>IF(ISNUMBER(VLOOKUP($B:$B,'BS(분기)'!$A:$F,$2:$2,0)),VLOOKUP($B:$B,'BS(분기)'!$A:$F,$2:$2,0),0)</f>
        <v>0</v>
      </c>
    </row>
    <row r="403" spans="1:18" s="192" customFormat="1" ht="12">
      <c r="A403" s="202">
        <v>113350</v>
      </c>
      <c r="B403" s="195" t="s">
        <v>1162</v>
      </c>
      <c r="C403" s="217">
        <f>IF(ISNUMBER(VLOOKUP($B:$B,BS!$A:$D,$2:$2,0)),VLOOKUP($B:$B,BS!$A:$D,$2:$2,0),0)</f>
        <v>0</v>
      </c>
      <c r="D403" s="217">
        <f>IF(ISNUMBER(VLOOKUP($B:$B,BS!$A:$D,$2:$2,0)),VLOOKUP($B:$B,BS!$A:$D,$2:$2,0),0)</f>
        <v>0</v>
      </c>
      <c r="E403" s="217">
        <f>IF(ISNUMBER(VLOOKUP($B:$B,BS!$A:$D,$2:$2,0)),VLOOKUP($B:$B,BS!$A:$D,$2:$2,0),0)</f>
        <v>0</v>
      </c>
      <c r="F403" s="217">
        <f>IF(ISNUMBER(VLOOKUP($B:$B,BS!$A:$D,$2:$2,0)),VLOOKUP($B:$B,BS!$A:$D,$2:$2,0),0)</f>
        <v>0</v>
      </c>
      <c r="G403" s="217">
        <f>IF(ISNUMBER(VLOOKUP($B:$B,BS!$A:$D,$2:$2,0)),VLOOKUP($B:$B,BS!$A:$D,$2:$2,0),0)</f>
        <v>0</v>
      </c>
      <c r="H403" s="207">
        <f>IF(ISNUMBER(VLOOKUP($B:$B,'BS(과거)'!$A:$F,$2:$2,0)),VLOOKUP($B:$B,'BS(과거)'!$A:$F,$2:$2,0),0)</f>
        <v>0</v>
      </c>
      <c r="I403" s="207">
        <f>IF(ISNUMBER(VLOOKUP($B:$B,'BS(과거)'!$A:$F,$2:$2,0)),VLOOKUP($B:$B,'BS(과거)'!$A:$F,$2:$2,0),0)</f>
        <v>0</v>
      </c>
      <c r="J403" s="207">
        <f>IF(ISNUMBER(VLOOKUP($B:$B,'BS(과거)'!$A:$F,$2:$2,0)),VLOOKUP($B:$B,'BS(과거)'!$A:$F,$2:$2,0),0)</f>
        <v>0</v>
      </c>
      <c r="K403" s="207">
        <f>IF(ISNUMBER(VLOOKUP($B:$B,'BS(과거)'!$A:$F,$2:$2,0)),VLOOKUP($B:$B,'BS(과거)'!$A:$F,$2:$2,0),0)</f>
        <v>0</v>
      </c>
      <c r="L403" s="207">
        <f>IF(ISNUMBER(VLOOKUP($B:$B,'BS(과거)'!$A:$F,$2:$2,0)),VLOOKUP($B:$B,'BS(과거)'!$A:$F,$2:$2,0),0)</f>
        <v>0</v>
      </c>
      <c r="N403" s="207">
        <f>IF(ISNUMBER(VLOOKUP($B:$B,'BS(분기)'!$A:$F,$2:$2,0)),VLOOKUP($B:$B,'BS(분기)'!$A:$F,$2:$2,0),0)</f>
        <v>0</v>
      </c>
      <c r="O403" s="207">
        <f>IF(ISNUMBER(VLOOKUP($B:$B,'BS(분기)'!$A:$F,$2:$2,0)),VLOOKUP($B:$B,'BS(분기)'!$A:$F,$2:$2,0),0)</f>
        <v>0</v>
      </c>
      <c r="P403" s="207">
        <f>IF(ISNUMBER(VLOOKUP($B:$B,'BS(분기)'!$A:$F,$2:$2,0)),VLOOKUP($B:$B,'BS(분기)'!$A:$F,$2:$2,0),0)</f>
        <v>0</v>
      </c>
      <c r="Q403" s="207">
        <f>IF(ISNUMBER(VLOOKUP($B:$B,'BS(분기)'!$A:$F,$2:$2,0)),VLOOKUP($B:$B,'BS(분기)'!$A:$F,$2:$2,0),0)</f>
        <v>0</v>
      </c>
      <c r="R403" s="207">
        <f>IF(ISNUMBER(VLOOKUP($B:$B,'BS(분기)'!$A:$F,$2:$2,0)),VLOOKUP($B:$B,'BS(분기)'!$A:$F,$2:$2,0),0)</f>
        <v>0</v>
      </c>
    </row>
    <row r="404" spans="1:18" s="192" customFormat="1" ht="12">
      <c r="A404" s="202">
        <v>113351</v>
      </c>
      <c r="B404" s="195" t="s">
        <v>1163</v>
      </c>
      <c r="C404" s="217">
        <f>IF(ISNUMBER(VLOOKUP($B:$B,BS!$A:$D,$2:$2,0)),VLOOKUP($B:$B,BS!$A:$D,$2:$2,0),0)</f>
        <v>0</v>
      </c>
      <c r="D404" s="217">
        <f>IF(ISNUMBER(VLOOKUP($B:$B,BS!$A:$D,$2:$2,0)),VLOOKUP($B:$B,BS!$A:$D,$2:$2,0),0)</f>
        <v>0</v>
      </c>
      <c r="E404" s="217">
        <f>IF(ISNUMBER(VLOOKUP($B:$B,BS!$A:$D,$2:$2,0)),VLOOKUP($B:$B,BS!$A:$D,$2:$2,0),0)</f>
        <v>0</v>
      </c>
      <c r="F404" s="217">
        <f>IF(ISNUMBER(VLOOKUP($B:$B,BS!$A:$D,$2:$2,0)),VLOOKUP($B:$B,BS!$A:$D,$2:$2,0),0)</f>
        <v>0</v>
      </c>
      <c r="G404" s="217">
        <f>IF(ISNUMBER(VLOOKUP($B:$B,BS!$A:$D,$2:$2,0)),VLOOKUP($B:$B,BS!$A:$D,$2:$2,0),0)</f>
        <v>0</v>
      </c>
      <c r="H404" s="207">
        <f>IF(ISNUMBER(VLOOKUP($B:$B,'BS(과거)'!$A:$F,$2:$2,0)),VLOOKUP($B:$B,'BS(과거)'!$A:$F,$2:$2,0),0)</f>
        <v>0</v>
      </c>
      <c r="I404" s="207">
        <f>IF(ISNUMBER(VLOOKUP($B:$B,'BS(과거)'!$A:$F,$2:$2,0)),VLOOKUP($B:$B,'BS(과거)'!$A:$F,$2:$2,0),0)</f>
        <v>0</v>
      </c>
      <c r="J404" s="207">
        <f>IF(ISNUMBER(VLOOKUP($B:$B,'BS(과거)'!$A:$F,$2:$2,0)),VLOOKUP($B:$B,'BS(과거)'!$A:$F,$2:$2,0),0)</f>
        <v>0</v>
      </c>
      <c r="K404" s="207">
        <f>IF(ISNUMBER(VLOOKUP($B:$B,'BS(과거)'!$A:$F,$2:$2,0)),VLOOKUP($B:$B,'BS(과거)'!$A:$F,$2:$2,0),0)</f>
        <v>0</v>
      </c>
      <c r="L404" s="207">
        <f>IF(ISNUMBER(VLOOKUP($B:$B,'BS(과거)'!$A:$F,$2:$2,0)),VLOOKUP($B:$B,'BS(과거)'!$A:$F,$2:$2,0),0)</f>
        <v>0</v>
      </c>
      <c r="N404" s="207">
        <f>IF(ISNUMBER(VLOOKUP($B:$B,'BS(분기)'!$A:$F,$2:$2,0)),VLOOKUP($B:$B,'BS(분기)'!$A:$F,$2:$2,0),0)</f>
        <v>0</v>
      </c>
      <c r="O404" s="207">
        <f>IF(ISNUMBER(VLOOKUP($B:$B,'BS(분기)'!$A:$F,$2:$2,0)),VLOOKUP($B:$B,'BS(분기)'!$A:$F,$2:$2,0),0)</f>
        <v>0</v>
      </c>
      <c r="P404" s="207">
        <f>IF(ISNUMBER(VLOOKUP($B:$B,'BS(분기)'!$A:$F,$2:$2,0)),VLOOKUP($B:$B,'BS(분기)'!$A:$F,$2:$2,0),0)</f>
        <v>0</v>
      </c>
      <c r="Q404" s="207">
        <f>IF(ISNUMBER(VLOOKUP($B:$B,'BS(분기)'!$A:$F,$2:$2,0)),VLOOKUP($B:$B,'BS(분기)'!$A:$F,$2:$2,0),0)</f>
        <v>0</v>
      </c>
      <c r="R404" s="207">
        <f>IF(ISNUMBER(VLOOKUP($B:$B,'BS(분기)'!$A:$F,$2:$2,0)),VLOOKUP($B:$B,'BS(분기)'!$A:$F,$2:$2,0),0)</f>
        <v>0</v>
      </c>
    </row>
    <row r="405" spans="1:18" s="192" customFormat="1" ht="12">
      <c r="A405" s="202">
        <v>113360</v>
      </c>
      <c r="B405" s="195" t="s">
        <v>1027</v>
      </c>
      <c r="C405" s="217">
        <f>IF(ISNUMBER(VLOOKUP($B:$B,BS!$A:$D,$2:$2,0)),VLOOKUP($B:$B,BS!$A:$D,$2:$2,0),0)</f>
        <v>0</v>
      </c>
      <c r="D405" s="217">
        <f>IF(ISNUMBER(VLOOKUP($B:$B,BS!$A:$D,$2:$2,0)),VLOOKUP($B:$B,BS!$A:$D,$2:$2,0),0)</f>
        <v>0</v>
      </c>
      <c r="E405" s="217">
        <f>IF(ISNUMBER(VLOOKUP($B:$B,BS!$A:$D,$2:$2,0)),VLOOKUP($B:$B,BS!$A:$D,$2:$2,0),0)</f>
        <v>0</v>
      </c>
      <c r="F405" s="217">
        <f>IF(ISNUMBER(VLOOKUP($B:$B,BS!$A:$D,$2:$2,0)),VLOOKUP($B:$B,BS!$A:$D,$2:$2,0),0)</f>
        <v>0</v>
      </c>
      <c r="G405" s="217">
        <f>IF(ISNUMBER(VLOOKUP($B:$B,BS!$A:$D,$2:$2,0)),VLOOKUP($B:$B,BS!$A:$D,$2:$2,0),0)</f>
        <v>0</v>
      </c>
      <c r="H405" s="207">
        <f>IF(ISNUMBER(VLOOKUP($B:$B,'BS(과거)'!$A:$F,$2:$2,0)),VLOOKUP($B:$B,'BS(과거)'!$A:$F,$2:$2,0),0)</f>
        <v>0</v>
      </c>
      <c r="I405" s="207">
        <f>IF(ISNUMBER(VLOOKUP($B:$B,'BS(과거)'!$A:$F,$2:$2,0)),VLOOKUP($B:$B,'BS(과거)'!$A:$F,$2:$2,0),0)</f>
        <v>0</v>
      </c>
      <c r="J405" s="207">
        <f>IF(ISNUMBER(VLOOKUP($B:$B,'BS(과거)'!$A:$F,$2:$2,0)),VLOOKUP($B:$B,'BS(과거)'!$A:$F,$2:$2,0),0)</f>
        <v>0</v>
      </c>
      <c r="K405" s="207">
        <f>IF(ISNUMBER(VLOOKUP($B:$B,'BS(과거)'!$A:$F,$2:$2,0)),VLOOKUP($B:$B,'BS(과거)'!$A:$F,$2:$2,0),0)</f>
        <v>0</v>
      </c>
      <c r="L405" s="207">
        <f>IF(ISNUMBER(VLOOKUP($B:$B,'BS(과거)'!$A:$F,$2:$2,0)),VLOOKUP($B:$B,'BS(과거)'!$A:$F,$2:$2,0),0)</f>
        <v>0</v>
      </c>
      <c r="N405" s="207">
        <f>IF(ISNUMBER(VLOOKUP($B:$B,'BS(분기)'!$A:$F,$2:$2,0)),VLOOKUP($B:$B,'BS(분기)'!$A:$F,$2:$2,0),0)</f>
        <v>0</v>
      </c>
      <c r="O405" s="207">
        <f>IF(ISNUMBER(VLOOKUP($B:$B,'BS(분기)'!$A:$F,$2:$2,0)),VLOOKUP($B:$B,'BS(분기)'!$A:$F,$2:$2,0),0)</f>
        <v>0</v>
      </c>
      <c r="P405" s="207">
        <f>IF(ISNUMBER(VLOOKUP($B:$B,'BS(분기)'!$A:$F,$2:$2,0)),VLOOKUP($B:$B,'BS(분기)'!$A:$F,$2:$2,0),0)</f>
        <v>0</v>
      </c>
      <c r="Q405" s="207">
        <f>IF(ISNUMBER(VLOOKUP($B:$B,'BS(분기)'!$A:$F,$2:$2,0)),VLOOKUP($B:$B,'BS(분기)'!$A:$F,$2:$2,0),0)</f>
        <v>0</v>
      </c>
      <c r="R405" s="207">
        <f>IF(ISNUMBER(VLOOKUP($B:$B,'BS(분기)'!$A:$F,$2:$2,0)),VLOOKUP($B:$B,'BS(분기)'!$A:$F,$2:$2,0),0)</f>
        <v>0</v>
      </c>
    </row>
    <row r="406" spans="1:18" s="192" customFormat="1" ht="12">
      <c r="A406" s="202">
        <v>113361</v>
      </c>
      <c r="B406" s="195" t="s">
        <v>1028</v>
      </c>
      <c r="C406" s="217">
        <f>IF(ISNUMBER(VLOOKUP($B:$B,BS!$A:$D,$2:$2,0)),VLOOKUP($B:$B,BS!$A:$D,$2:$2,0),0)</f>
        <v>0</v>
      </c>
      <c r="D406" s="217">
        <f>IF(ISNUMBER(VLOOKUP($B:$B,BS!$A:$D,$2:$2,0)),VLOOKUP($B:$B,BS!$A:$D,$2:$2,0),0)</f>
        <v>0</v>
      </c>
      <c r="E406" s="217">
        <f>IF(ISNUMBER(VLOOKUP($B:$B,BS!$A:$D,$2:$2,0)),VLOOKUP($B:$B,BS!$A:$D,$2:$2,0),0)</f>
        <v>0</v>
      </c>
      <c r="F406" s="217">
        <f>IF(ISNUMBER(VLOOKUP($B:$B,BS!$A:$D,$2:$2,0)),VLOOKUP($B:$B,BS!$A:$D,$2:$2,0),0)</f>
        <v>0</v>
      </c>
      <c r="G406" s="217">
        <f>IF(ISNUMBER(VLOOKUP($B:$B,BS!$A:$D,$2:$2,0)),VLOOKUP($B:$B,BS!$A:$D,$2:$2,0),0)</f>
        <v>0</v>
      </c>
      <c r="H406" s="207">
        <f>IF(ISNUMBER(VLOOKUP($B:$B,'BS(과거)'!$A:$F,$2:$2,0)),VLOOKUP($B:$B,'BS(과거)'!$A:$F,$2:$2,0),0)</f>
        <v>0</v>
      </c>
      <c r="I406" s="207">
        <f>IF(ISNUMBER(VLOOKUP($B:$B,'BS(과거)'!$A:$F,$2:$2,0)),VLOOKUP($B:$B,'BS(과거)'!$A:$F,$2:$2,0),0)</f>
        <v>0</v>
      </c>
      <c r="J406" s="207">
        <f>IF(ISNUMBER(VLOOKUP($B:$B,'BS(과거)'!$A:$F,$2:$2,0)),VLOOKUP($B:$B,'BS(과거)'!$A:$F,$2:$2,0),0)</f>
        <v>0</v>
      </c>
      <c r="K406" s="207">
        <f>IF(ISNUMBER(VLOOKUP($B:$B,'BS(과거)'!$A:$F,$2:$2,0)),VLOOKUP($B:$B,'BS(과거)'!$A:$F,$2:$2,0),0)</f>
        <v>0</v>
      </c>
      <c r="L406" s="207">
        <f>IF(ISNUMBER(VLOOKUP($B:$B,'BS(과거)'!$A:$F,$2:$2,0)),VLOOKUP($B:$B,'BS(과거)'!$A:$F,$2:$2,0),0)</f>
        <v>0</v>
      </c>
      <c r="N406" s="207">
        <f>IF(ISNUMBER(VLOOKUP($B:$B,'BS(분기)'!$A:$F,$2:$2,0)),VLOOKUP($B:$B,'BS(분기)'!$A:$F,$2:$2,0),0)</f>
        <v>0</v>
      </c>
      <c r="O406" s="207">
        <f>IF(ISNUMBER(VLOOKUP($B:$B,'BS(분기)'!$A:$F,$2:$2,0)),VLOOKUP($B:$B,'BS(분기)'!$A:$F,$2:$2,0),0)</f>
        <v>0</v>
      </c>
      <c r="P406" s="207">
        <f>IF(ISNUMBER(VLOOKUP($B:$B,'BS(분기)'!$A:$F,$2:$2,0)),VLOOKUP($B:$B,'BS(분기)'!$A:$F,$2:$2,0),0)</f>
        <v>0</v>
      </c>
      <c r="Q406" s="207">
        <f>IF(ISNUMBER(VLOOKUP($B:$B,'BS(분기)'!$A:$F,$2:$2,0)),VLOOKUP($B:$B,'BS(분기)'!$A:$F,$2:$2,0),0)</f>
        <v>0</v>
      </c>
      <c r="R406" s="207">
        <f>IF(ISNUMBER(VLOOKUP($B:$B,'BS(분기)'!$A:$F,$2:$2,0)),VLOOKUP($B:$B,'BS(분기)'!$A:$F,$2:$2,0),0)</f>
        <v>0</v>
      </c>
    </row>
    <row r="407" spans="1:18" s="192" customFormat="1" ht="12">
      <c r="A407" s="202">
        <v>112483</v>
      </c>
      <c r="B407" s="195" t="s">
        <v>1030</v>
      </c>
      <c r="C407" s="217">
        <f>IF(ISNUMBER(VLOOKUP($B:$B,BS!$A:$D,$2:$2,0)),VLOOKUP($B:$B,BS!$A:$D,$2:$2,0),0)</f>
        <v>0</v>
      </c>
      <c r="D407" s="217">
        <f>IF(ISNUMBER(VLOOKUP($B:$B,BS!$A:$D,$2:$2,0)),VLOOKUP($B:$B,BS!$A:$D,$2:$2,0),0)</f>
        <v>0</v>
      </c>
      <c r="E407" s="217">
        <f>IF(ISNUMBER(VLOOKUP($B:$B,BS!$A:$D,$2:$2,0)),VLOOKUP($B:$B,BS!$A:$D,$2:$2,0),0)</f>
        <v>0</v>
      </c>
      <c r="F407" s="217">
        <f>IF(ISNUMBER(VLOOKUP($B:$B,BS!$A:$D,$2:$2,0)),VLOOKUP($B:$B,BS!$A:$D,$2:$2,0),0)</f>
        <v>0</v>
      </c>
      <c r="G407" s="217">
        <f>IF(ISNUMBER(VLOOKUP($B:$B,BS!$A:$D,$2:$2,0)),VLOOKUP($B:$B,BS!$A:$D,$2:$2,0),0)</f>
        <v>0</v>
      </c>
      <c r="H407" s="207">
        <f>IF(ISNUMBER(VLOOKUP($B:$B,'BS(과거)'!$A:$F,$2:$2,0)),VLOOKUP($B:$B,'BS(과거)'!$A:$F,$2:$2,0),0)</f>
        <v>0</v>
      </c>
      <c r="I407" s="207">
        <f>IF(ISNUMBER(VLOOKUP($B:$B,'BS(과거)'!$A:$F,$2:$2,0)),VLOOKUP($B:$B,'BS(과거)'!$A:$F,$2:$2,0),0)</f>
        <v>0</v>
      </c>
      <c r="J407" s="207">
        <f>IF(ISNUMBER(VLOOKUP($B:$B,'BS(과거)'!$A:$F,$2:$2,0)),VLOOKUP($B:$B,'BS(과거)'!$A:$F,$2:$2,0),0)</f>
        <v>0</v>
      </c>
      <c r="K407" s="207">
        <f>IF(ISNUMBER(VLOOKUP($B:$B,'BS(과거)'!$A:$F,$2:$2,0)),VLOOKUP($B:$B,'BS(과거)'!$A:$F,$2:$2,0),0)</f>
        <v>0</v>
      </c>
      <c r="L407" s="207">
        <f>IF(ISNUMBER(VLOOKUP($B:$B,'BS(과거)'!$A:$F,$2:$2,0)),VLOOKUP($B:$B,'BS(과거)'!$A:$F,$2:$2,0),0)</f>
        <v>0</v>
      </c>
      <c r="N407" s="207">
        <f>IF(ISNUMBER(VLOOKUP($B:$B,'BS(분기)'!$A:$F,$2:$2,0)),VLOOKUP($B:$B,'BS(분기)'!$A:$F,$2:$2,0),0)</f>
        <v>0</v>
      </c>
      <c r="O407" s="207">
        <f>IF(ISNUMBER(VLOOKUP($B:$B,'BS(분기)'!$A:$F,$2:$2,0)),VLOOKUP($B:$B,'BS(분기)'!$A:$F,$2:$2,0),0)</f>
        <v>0</v>
      </c>
      <c r="P407" s="207">
        <f>IF(ISNUMBER(VLOOKUP($B:$B,'BS(분기)'!$A:$F,$2:$2,0)),VLOOKUP($B:$B,'BS(분기)'!$A:$F,$2:$2,0),0)</f>
        <v>0</v>
      </c>
      <c r="Q407" s="207">
        <f>IF(ISNUMBER(VLOOKUP($B:$B,'BS(분기)'!$A:$F,$2:$2,0)),VLOOKUP($B:$B,'BS(분기)'!$A:$F,$2:$2,0),0)</f>
        <v>0</v>
      </c>
      <c r="R407" s="207">
        <f>IF(ISNUMBER(VLOOKUP($B:$B,'BS(분기)'!$A:$F,$2:$2,0)),VLOOKUP($B:$B,'BS(분기)'!$A:$F,$2:$2,0),0)</f>
        <v>0</v>
      </c>
    </row>
    <row r="408" spans="1:18" s="192" customFormat="1" ht="12">
      <c r="A408" s="202">
        <v>112482</v>
      </c>
      <c r="B408" s="195" t="s">
        <v>1029</v>
      </c>
      <c r="C408" s="217">
        <f>IF(ISNUMBER(VLOOKUP($B:$B,BS!$A:$D,$2:$2,0)),VLOOKUP($B:$B,BS!$A:$D,$2:$2,0),0)</f>
        <v>0</v>
      </c>
      <c r="D408" s="217">
        <f>IF(ISNUMBER(VLOOKUP($B:$B,BS!$A:$D,$2:$2,0)),VLOOKUP($B:$B,BS!$A:$D,$2:$2,0),0)</f>
        <v>0</v>
      </c>
      <c r="E408" s="217">
        <f>IF(ISNUMBER(VLOOKUP($B:$B,BS!$A:$D,$2:$2,0)),VLOOKUP($B:$B,BS!$A:$D,$2:$2,0),0)</f>
        <v>0</v>
      </c>
      <c r="F408" s="217">
        <f>IF(ISNUMBER(VLOOKUP($B:$B,BS!$A:$D,$2:$2,0)),VLOOKUP($B:$B,BS!$A:$D,$2:$2,0),0)</f>
        <v>0</v>
      </c>
      <c r="G408" s="217">
        <f>IF(ISNUMBER(VLOOKUP($B:$B,BS!$A:$D,$2:$2,0)),VLOOKUP($B:$B,BS!$A:$D,$2:$2,0),0)</f>
        <v>0</v>
      </c>
      <c r="H408" s="207">
        <f>IF(ISNUMBER(VLOOKUP($B:$B,'BS(과거)'!$A:$F,$2:$2,0)),VLOOKUP($B:$B,'BS(과거)'!$A:$F,$2:$2,0),0)</f>
        <v>0</v>
      </c>
      <c r="I408" s="207">
        <f>IF(ISNUMBER(VLOOKUP($B:$B,'BS(과거)'!$A:$F,$2:$2,0)),VLOOKUP($B:$B,'BS(과거)'!$A:$F,$2:$2,0),0)</f>
        <v>0</v>
      </c>
      <c r="J408" s="207">
        <f>IF(ISNUMBER(VLOOKUP($B:$B,'BS(과거)'!$A:$F,$2:$2,0)),VLOOKUP($B:$B,'BS(과거)'!$A:$F,$2:$2,0),0)</f>
        <v>0</v>
      </c>
      <c r="K408" s="207">
        <f>IF(ISNUMBER(VLOOKUP($B:$B,'BS(과거)'!$A:$F,$2:$2,0)),VLOOKUP($B:$B,'BS(과거)'!$A:$F,$2:$2,0),0)</f>
        <v>0</v>
      </c>
      <c r="L408" s="207">
        <f>IF(ISNUMBER(VLOOKUP($B:$B,'BS(과거)'!$A:$F,$2:$2,0)),VLOOKUP($B:$B,'BS(과거)'!$A:$F,$2:$2,0),0)</f>
        <v>0</v>
      </c>
      <c r="N408" s="207">
        <f>IF(ISNUMBER(VLOOKUP($B:$B,'BS(분기)'!$A:$F,$2:$2,0)),VLOOKUP($B:$B,'BS(분기)'!$A:$F,$2:$2,0),0)</f>
        <v>0</v>
      </c>
      <c r="O408" s="207">
        <f>IF(ISNUMBER(VLOOKUP($B:$B,'BS(분기)'!$A:$F,$2:$2,0)),VLOOKUP($B:$B,'BS(분기)'!$A:$F,$2:$2,0),0)</f>
        <v>0</v>
      </c>
      <c r="P408" s="207">
        <f>IF(ISNUMBER(VLOOKUP($B:$B,'BS(분기)'!$A:$F,$2:$2,0)),VLOOKUP($B:$B,'BS(분기)'!$A:$F,$2:$2,0),0)</f>
        <v>0</v>
      </c>
      <c r="Q408" s="207">
        <f>IF(ISNUMBER(VLOOKUP($B:$B,'BS(분기)'!$A:$F,$2:$2,0)),VLOOKUP($B:$B,'BS(분기)'!$A:$F,$2:$2,0),0)</f>
        <v>0</v>
      </c>
      <c r="R408" s="207">
        <f>IF(ISNUMBER(VLOOKUP($B:$B,'BS(분기)'!$A:$F,$2:$2,0)),VLOOKUP($B:$B,'BS(분기)'!$A:$F,$2:$2,0),0)</f>
        <v>0</v>
      </c>
    </row>
    <row r="409" spans="1:18" s="192" customFormat="1" ht="12">
      <c r="A409" s="202">
        <v>112484</v>
      </c>
      <c r="B409" s="195" t="s">
        <v>1031</v>
      </c>
      <c r="C409" s="217">
        <f>IF(ISNUMBER(VLOOKUP($B:$B,BS!$A:$D,$2:$2,0)),VLOOKUP($B:$B,BS!$A:$D,$2:$2,0),0)</f>
        <v>0</v>
      </c>
      <c r="D409" s="217">
        <f>IF(ISNUMBER(VLOOKUP($B:$B,BS!$A:$D,$2:$2,0)),VLOOKUP($B:$B,BS!$A:$D,$2:$2,0),0)</f>
        <v>0</v>
      </c>
      <c r="E409" s="217">
        <f>IF(ISNUMBER(VLOOKUP($B:$B,BS!$A:$D,$2:$2,0)),VLOOKUP($B:$B,BS!$A:$D,$2:$2,0),0)</f>
        <v>0</v>
      </c>
      <c r="F409" s="217">
        <f>IF(ISNUMBER(VLOOKUP($B:$B,BS!$A:$D,$2:$2,0)),VLOOKUP($B:$B,BS!$A:$D,$2:$2,0),0)</f>
        <v>0</v>
      </c>
      <c r="G409" s="217">
        <f>IF(ISNUMBER(VLOOKUP($B:$B,BS!$A:$D,$2:$2,0)),VLOOKUP($B:$B,BS!$A:$D,$2:$2,0),0)</f>
        <v>0</v>
      </c>
      <c r="H409" s="207">
        <f>IF(ISNUMBER(VLOOKUP($B:$B,'BS(과거)'!$A:$F,$2:$2,0)),VLOOKUP($B:$B,'BS(과거)'!$A:$F,$2:$2,0),0)</f>
        <v>0</v>
      </c>
      <c r="I409" s="207">
        <f>IF(ISNUMBER(VLOOKUP($B:$B,'BS(과거)'!$A:$F,$2:$2,0)),VLOOKUP($B:$B,'BS(과거)'!$A:$F,$2:$2,0),0)</f>
        <v>0</v>
      </c>
      <c r="J409" s="207">
        <f>IF(ISNUMBER(VLOOKUP($B:$B,'BS(과거)'!$A:$F,$2:$2,0)),VLOOKUP($B:$B,'BS(과거)'!$A:$F,$2:$2,0),0)</f>
        <v>0</v>
      </c>
      <c r="K409" s="207">
        <f>IF(ISNUMBER(VLOOKUP($B:$B,'BS(과거)'!$A:$F,$2:$2,0)),VLOOKUP($B:$B,'BS(과거)'!$A:$F,$2:$2,0),0)</f>
        <v>0</v>
      </c>
      <c r="L409" s="207">
        <f>IF(ISNUMBER(VLOOKUP($B:$B,'BS(과거)'!$A:$F,$2:$2,0)),VLOOKUP($B:$B,'BS(과거)'!$A:$F,$2:$2,0),0)</f>
        <v>0</v>
      </c>
      <c r="N409" s="207">
        <f>IF(ISNUMBER(VLOOKUP($B:$B,'BS(분기)'!$A:$F,$2:$2,0)),VLOOKUP($B:$B,'BS(분기)'!$A:$F,$2:$2,0),0)</f>
        <v>0</v>
      </c>
      <c r="O409" s="207">
        <f>IF(ISNUMBER(VLOOKUP($B:$B,'BS(분기)'!$A:$F,$2:$2,0)),VLOOKUP($B:$B,'BS(분기)'!$A:$F,$2:$2,0),0)</f>
        <v>0</v>
      </c>
      <c r="P409" s="207">
        <f>IF(ISNUMBER(VLOOKUP($B:$B,'BS(분기)'!$A:$F,$2:$2,0)),VLOOKUP($B:$B,'BS(분기)'!$A:$F,$2:$2,0),0)</f>
        <v>0</v>
      </c>
      <c r="Q409" s="207">
        <f>IF(ISNUMBER(VLOOKUP($B:$B,'BS(분기)'!$A:$F,$2:$2,0)),VLOOKUP($B:$B,'BS(분기)'!$A:$F,$2:$2,0),0)</f>
        <v>0</v>
      </c>
      <c r="R409" s="207">
        <f>IF(ISNUMBER(VLOOKUP($B:$B,'BS(분기)'!$A:$F,$2:$2,0)),VLOOKUP($B:$B,'BS(분기)'!$A:$F,$2:$2,0),0)</f>
        <v>0</v>
      </c>
    </row>
    <row r="410" spans="1:18" s="192" customFormat="1" ht="12">
      <c r="A410" s="203">
        <v>113362</v>
      </c>
      <c r="B410" s="196" t="s">
        <v>1032</v>
      </c>
      <c r="C410" s="217">
        <f>IF(ISNUMBER(VLOOKUP($B:$B,BS!$A:$D,$2:$2,0)),VLOOKUP($B:$B,BS!$A:$D,$2:$2,0),0)</f>
        <v>0</v>
      </c>
      <c r="D410" s="217">
        <f>IF(ISNUMBER(VLOOKUP($B:$B,BS!$A:$D,$2:$2,0)),VLOOKUP($B:$B,BS!$A:$D,$2:$2,0),0)</f>
        <v>0</v>
      </c>
      <c r="E410" s="217">
        <f>IF(ISNUMBER(VLOOKUP($B:$B,BS!$A:$D,$2:$2,0)),VLOOKUP($B:$B,BS!$A:$D,$2:$2,0),0)</f>
        <v>0</v>
      </c>
      <c r="F410" s="217">
        <f>IF(ISNUMBER(VLOOKUP($B:$B,BS!$A:$D,$2:$2,0)),VLOOKUP($B:$B,BS!$A:$D,$2:$2,0),0)</f>
        <v>0</v>
      </c>
      <c r="G410" s="217">
        <f>IF(ISNUMBER(VLOOKUP($B:$B,BS!$A:$D,$2:$2,0)),VLOOKUP($B:$B,BS!$A:$D,$2:$2,0),0)</f>
        <v>0</v>
      </c>
      <c r="H410" s="207">
        <f>IF(ISNUMBER(VLOOKUP($B:$B,'BS(과거)'!$A:$F,$2:$2,0)),VLOOKUP($B:$B,'BS(과거)'!$A:$F,$2:$2,0),0)</f>
        <v>0</v>
      </c>
      <c r="I410" s="207">
        <f>IF(ISNUMBER(VLOOKUP($B:$B,'BS(과거)'!$A:$F,$2:$2,0)),VLOOKUP($B:$B,'BS(과거)'!$A:$F,$2:$2,0),0)</f>
        <v>0</v>
      </c>
      <c r="J410" s="207">
        <f>IF(ISNUMBER(VLOOKUP($B:$B,'BS(과거)'!$A:$F,$2:$2,0)),VLOOKUP($B:$B,'BS(과거)'!$A:$F,$2:$2,0),0)</f>
        <v>0</v>
      </c>
      <c r="K410" s="207">
        <f>IF(ISNUMBER(VLOOKUP($B:$B,'BS(과거)'!$A:$F,$2:$2,0)),VLOOKUP($B:$B,'BS(과거)'!$A:$F,$2:$2,0),0)</f>
        <v>0</v>
      </c>
      <c r="L410" s="207">
        <f>IF(ISNUMBER(VLOOKUP($B:$B,'BS(과거)'!$A:$F,$2:$2,0)),VLOOKUP($B:$B,'BS(과거)'!$A:$F,$2:$2,0),0)</f>
        <v>0</v>
      </c>
      <c r="N410" s="207">
        <f>IF(ISNUMBER(VLOOKUP($B:$B,'BS(분기)'!$A:$F,$2:$2,0)),VLOOKUP($B:$B,'BS(분기)'!$A:$F,$2:$2,0),0)</f>
        <v>0</v>
      </c>
      <c r="O410" s="207">
        <f>IF(ISNUMBER(VLOOKUP($B:$B,'BS(분기)'!$A:$F,$2:$2,0)),VLOOKUP($B:$B,'BS(분기)'!$A:$F,$2:$2,0),0)</f>
        <v>0</v>
      </c>
      <c r="P410" s="207">
        <f>IF(ISNUMBER(VLOOKUP($B:$B,'BS(분기)'!$A:$F,$2:$2,0)),VLOOKUP($B:$B,'BS(분기)'!$A:$F,$2:$2,0),0)</f>
        <v>0</v>
      </c>
      <c r="Q410" s="207">
        <f>IF(ISNUMBER(VLOOKUP($B:$B,'BS(분기)'!$A:$F,$2:$2,0)),VLOOKUP($B:$B,'BS(분기)'!$A:$F,$2:$2,0),0)</f>
        <v>0</v>
      </c>
      <c r="R410" s="207">
        <f>IF(ISNUMBER(VLOOKUP($B:$B,'BS(분기)'!$A:$F,$2:$2,0)),VLOOKUP($B:$B,'BS(분기)'!$A:$F,$2:$2,0),0)</f>
        <v>0</v>
      </c>
    </row>
    <row r="411" spans="1:18" s="192" customFormat="1" ht="12">
      <c r="A411" s="203">
        <v>113363</v>
      </c>
      <c r="B411" s="196" t="s">
        <v>1033</v>
      </c>
      <c r="C411" s="217">
        <f>IF(ISNUMBER(VLOOKUP($B:$B,BS!$A:$D,$2:$2,0)),VLOOKUP($B:$B,BS!$A:$D,$2:$2,0),0)</f>
        <v>0</v>
      </c>
      <c r="D411" s="217">
        <f>IF(ISNUMBER(VLOOKUP($B:$B,BS!$A:$D,$2:$2,0)),VLOOKUP($B:$B,BS!$A:$D,$2:$2,0),0)</f>
        <v>0</v>
      </c>
      <c r="E411" s="217">
        <f>IF(ISNUMBER(VLOOKUP($B:$B,BS!$A:$D,$2:$2,0)),VLOOKUP($B:$B,BS!$A:$D,$2:$2,0),0)</f>
        <v>0</v>
      </c>
      <c r="F411" s="217">
        <f>IF(ISNUMBER(VLOOKUP($B:$B,BS!$A:$D,$2:$2,0)),VLOOKUP($B:$B,BS!$A:$D,$2:$2,0),0)</f>
        <v>0</v>
      </c>
      <c r="G411" s="217">
        <f>IF(ISNUMBER(VLOOKUP($B:$B,BS!$A:$D,$2:$2,0)),VLOOKUP($B:$B,BS!$A:$D,$2:$2,0),0)</f>
        <v>0</v>
      </c>
      <c r="H411" s="207">
        <f>IF(ISNUMBER(VLOOKUP($B:$B,'BS(과거)'!$A:$F,$2:$2,0)),VLOOKUP($B:$B,'BS(과거)'!$A:$F,$2:$2,0),0)</f>
        <v>0</v>
      </c>
      <c r="I411" s="207">
        <f>IF(ISNUMBER(VLOOKUP($B:$B,'BS(과거)'!$A:$F,$2:$2,0)),VLOOKUP($B:$B,'BS(과거)'!$A:$F,$2:$2,0),0)</f>
        <v>0</v>
      </c>
      <c r="J411" s="207">
        <f>IF(ISNUMBER(VLOOKUP($B:$B,'BS(과거)'!$A:$F,$2:$2,0)),VLOOKUP($B:$B,'BS(과거)'!$A:$F,$2:$2,0),0)</f>
        <v>0</v>
      </c>
      <c r="K411" s="207">
        <f>IF(ISNUMBER(VLOOKUP($B:$B,'BS(과거)'!$A:$F,$2:$2,0)),VLOOKUP($B:$B,'BS(과거)'!$A:$F,$2:$2,0),0)</f>
        <v>0</v>
      </c>
      <c r="L411" s="207">
        <f>IF(ISNUMBER(VLOOKUP($B:$B,'BS(과거)'!$A:$F,$2:$2,0)),VLOOKUP($B:$B,'BS(과거)'!$A:$F,$2:$2,0),0)</f>
        <v>0</v>
      </c>
      <c r="N411" s="207">
        <f>IF(ISNUMBER(VLOOKUP($B:$B,'BS(분기)'!$A:$F,$2:$2,0)),VLOOKUP($B:$B,'BS(분기)'!$A:$F,$2:$2,0),0)</f>
        <v>0</v>
      </c>
      <c r="O411" s="207">
        <f>IF(ISNUMBER(VLOOKUP($B:$B,'BS(분기)'!$A:$F,$2:$2,0)),VLOOKUP($B:$B,'BS(분기)'!$A:$F,$2:$2,0),0)</f>
        <v>0</v>
      </c>
      <c r="P411" s="207">
        <f>IF(ISNUMBER(VLOOKUP($B:$B,'BS(분기)'!$A:$F,$2:$2,0)),VLOOKUP($B:$B,'BS(분기)'!$A:$F,$2:$2,0),0)</f>
        <v>0</v>
      </c>
      <c r="Q411" s="207">
        <f>IF(ISNUMBER(VLOOKUP($B:$B,'BS(분기)'!$A:$F,$2:$2,0)),VLOOKUP($B:$B,'BS(분기)'!$A:$F,$2:$2,0),0)</f>
        <v>0</v>
      </c>
      <c r="R411" s="207">
        <f>IF(ISNUMBER(VLOOKUP($B:$B,'BS(분기)'!$A:$F,$2:$2,0)),VLOOKUP($B:$B,'BS(분기)'!$A:$F,$2:$2,0),0)</f>
        <v>0</v>
      </c>
    </row>
    <row r="412" spans="1:18" s="192" customFormat="1" ht="12">
      <c r="A412" s="203">
        <v>113364</v>
      </c>
      <c r="B412" s="196" t="s">
        <v>1034</v>
      </c>
      <c r="C412" s="217">
        <f>IF(ISNUMBER(VLOOKUP($B:$B,BS!$A:$D,$2:$2,0)),VLOOKUP($B:$B,BS!$A:$D,$2:$2,0),0)</f>
        <v>0</v>
      </c>
      <c r="D412" s="217">
        <f>IF(ISNUMBER(VLOOKUP($B:$B,BS!$A:$D,$2:$2,0)),VLOOKUP($B:$B,BS!$A:$D,$2:$2,0),0)</f>
        <v>0</v>
      </c>
      <c r="E412" s="217">
        <f>IF(ISNUMBER(VLOOKUP($B:$B,BS!$A:$D,$2:$2,0)),VLOOKUP($B:$B,BS!$A:$D,$2:$2,0),0)</f>
        <v>0</v>
      </c>
      <c r="F412" s="217">
        <f>IF(ISNUMBER(VLOOKUP($B:$B,BS!$A:$D,$2:$2,0)),VLOOKUP($B:$B,BS!$A:$D,$2:$2,0),0)</f>
        <v>0</v>
      </c>
      <c r="G412" s="217">
        <f>IF(ISNUMBER(VLOOKUP($B:$B,BS!$A:$D,$2:$2,0)),VLOOKUP($B:$B,BS!$A:$D,$2:$2,0),0)</f>
        <v>0</v>
      </c>
      <c r="H412" s="207">
        <f>IF(ISNUMBER(VLOOKUP($B:$B,'BS(과거)'!$A:$F,$2:$2,0)),VLOOKUP($B:$B,'BS(과거)'!$A:$F,$2:$2,0),0)</f>
        <v>0</v>
      </c>
      <c r="I412" s="207">
        <f>IF(ISNUMBER(VLOOKUP($B:$B,'BS(과거)'!$A:$F,$2:$2,0)),VLOOKUP($B:$B,'BS(과거)'!$A:$F,$2:$2,0),0)</f>
        <v>0</v>
      </c>
      <c r="J412" s="207">
        <f>IF(ISNUMBER(VLOOKUP($B:$B,'BS(과거)'!$A:$F,$2:$2,0)),VLOOKUP($B:$B,'BS(과거)'!$A:$F,$2:$2,0),0)</f>
        <v>0</v>
      </c>
      <c r="K412" s="207">
        <f>IF(ISNUMBER(VLOOKUP($B:$B,'BS(과거)'!$A:$F,$2:$2,0)),VLOOKUP($B:$B,'BS(과거)'!$A:$F,$2:$2,0),0)</f>
        <v>0</v>
      </c>
      <c r="L412" s="207">
        <f>IF(ISNUMBER(VLOOKUP($B:$B,'BS(과거)'!$A:$F,$2:$2,0)),VLOOKUP($B:$B,'BS(과거)'!$A:$F,$2:$2,0),0)</f>
        <v>0</v>
      </c>
      <c r="N412" s="207">
        <f>IF(ISNUMBER(VLOOKUP($B:$B,'BS(분기)'!$A:$F,$2:$2,0)),VLOOKUP($B:$B,'BS(분기)'!$A:$F,$2:$2,0),0)</f>
        <v>0</v>
      </c>
      <c r="O412" s="207">
        <f>IF(ISNUMBER(VLOOKUP($B:$B,'BS(분기)'!$A:$F,$2:$2,0)),VLOOKUP($B:$B,'BS(분기)'!$A:$F,$2:$2,0),0)</f>
        <v>0</v>
      </c>
      <c r="P412" s="207">
        <f>IF(ISNUMBER(VLOOKUP($B:$B,'BS(분기)'!$A:$F,$2:$2,0)),VLOOKUP($B:$B,'BS(분기)'!$A:$F,$2:$2,0),0)</f>
        <v>0</v>
      </c>
      <c r="Q412" s="207">
        <f>IF(ISNUMBER(VLOOKUP($B:$B,'BS(분기)'!$A:$F,$2:$2,0)),VLOOKUP($B:$B,'BS(분기)'!$A:$F,$2:$2,0),0)</f>
        <v>0</v>
      </c>
      <c r="R412" s="207">
        <f>IF(ISNUMBER(VLOOKUP($B:$B,'BS(분기)'!$A:$F,$2:$2,0)),VLOOKUP($B:$B,'BS(분기)'!$A:$F,$2:$2,0),0)</f>
        <v>0</v>
      </c>
    </row>
    <row r="413" spans="1:18" s="192" customFormat="1" ht="12">
      <c r="A413" s="203">
        <v>113365</v>
      </c>
      <c r="B413" s="196" t="s">
        <v>1035</v>
      </c>
      <c r="C413" s="217">
        <f>IF(ISNUMBER(VLOOKUP($B:$B,BS!$A:$D,$2:$2,0)),VLOOKUP($B:$B,BS!$A:$D,$2:$2,0),0)</f>
        <v>0</v>
      </c>
      <c r="D413" s="217">
        <f>IF(ISNUMBER(VLOOKUP($B:$B,BS!$A:$D,$2:$2,0)),VLOOKUP($B:$B,BS!$A:$D,$2:$2,0),0)</f>
        <v>0</v>
      </c>
      <c r="E413" s="217">
        <f>IF(ISNUMBER(VLOOKUP($B:$B,BS!$A:$D,$2:$2,0)),VLOOKUP($B:$B,BS!$A:$D,$2:$2,0),0)</f>
        <v>0</v>
      </c>
      <c r="F413" s="217">
        <f>IF(ISNUMBER(VLOOKUP($B:$B,BS!$A:$D,$2:$2,0)),VLOOKUP($B:$B,BS!$A:$D,$2:$2,0),0)</f>
        <v>0</v>
      </c>
      <c r="G413" s="217">
        <f>IF(ISNUMBER(VLOOKUP($B:$B,BS!$A:$D,$2:$2,0)),VLOOKUP($B:$B,BS!$A:$D,$2:$2,0),0)</f>
        <v>0</v>
      </c>
      <c r="H413" s="207">
        <f>IF(ISNUMBER(VLOOKUP($B:$B,'BS(과거)'!$A:$F,$2:$2,0)),VLOOKUP($B:$B,'BS(과거)'!$A:$F,$2:$2,0),0)</f>
        <v>0</v>
      </c>
      <c r="I413" s="207">
        <f>IF(ISNUMBER(VLOOKUP($B:$B,'BS(과거)'!$A:$F,$2:$2,0)),VLOOKUP($B:$B,'BS(과거)'!$A:$F,$2:$2,0),0)</f>
        <v>0</v>
      </c>
      <c r="J413" s="207">
        <f>IF(ISNUMBER(VLOOKUP($B:$B,'BS(과거)'!$A:$F,$2:$2,0)),VLOOKUP($B:$B,'BS(과거)'!$A:$F,$2:$2,0),0)</f>
        <v>0</v>
      </c>
      <c r="K413" s="207">
        <f>IF(ISNUMBER(VLOOKUP($B:$B,'BS(과거)'!$A:$F,$2:$2,0)),VLOOKUP($B:$B,'BS(과거)'!$A:$F,$2:$2,0),0)</f>
        <v>0</v>
      </c>
      <c r="L413" s="207">
        <f>IF(ISNUMBER(VLOOKUP($B:$B,'BS(과거)'!$A:$F,$2:$2,0)),VLOOKUP($B:$B,'BS(과거)'!$A:$F,$2:$2,0),0)</f>
        <v>0</v>
      </c>
      <c r="N413" s="207">
        <f>IF(ISNUMBER(VLOOKUP($B:$B,'BS(분기)'!$A:$F,$2:$2,0)),VLOOKUP($B:$B,'BS(분기)'!$A:$F,$2:$2,0),0)</f>
        <v>0</v>
      </c>
      <c r="O413" s="207">
        <f>IF(ISNUMBER(VLOOKUP($B:$B,'BS(분기)'!$A:$F,$2:$2,0)),VLOOKUP($B:$B,'BS(분기)'!$A:$F,$2:$2,0),0)</f>
        <v>0</v>
      </c>
      <c r="P413" s="207">
        <f>IF(ISNUMBER(VLOOKUP($B:$B,'BS(분기)'!$A:$F,$2:$2,0)),VLOOKUP($B:$B,'BS(분기)'!$A:$F,$2:$2,0),0)</f>
        <v>0</v>
      </c>
      <c r="Q413" s="207">
        <f>IF(ISNUMBER(VLOOKUP($B:$B,'BS(분기)'!$A:$F,$2:$2,0)),VLOOKUP($B:$B,'BS(분기)'!$A:$F,$2:$2,0),0)</f>
        <v>0</v>
      </c>
      <c r="R413" s="207">
        <f>IF(ISNUMBER(VLOOKUP($B:$B,'BS(분기)'!$A:$F,$2:$2,0)),VLOOKUP($B:$B,'BS(분기)'!$A:$F,$2:$2,0),0)</f>
        <v>0</v>
      </c>
    </row>
    <row r="414" spans="1:18" s="192" customFormat="1" ht="12">
      <c r="A414" s="203">
        <v>113366</v>
      </c>
      <c r="B414" s="196" t="s">
        <v>1036</v>
      </c>
      <c r="C414" s="217">
        <f>IF(ISNUMBER(VLOOKUP($B:$B,BS!$A:$D,$2:$2,0)),VLOOKUP($B:$B,BS!$A:$D,$2:$2,0),0)</f>
        <v>0</v>
      </c>
      <c r="D414" s="217">
        <f>IF(ISNUMBER(VLOOKUP($B:$B,BS!$A:$D,$2:$2,0)),VLOOKUP($B:$B,BS!$A:$D,$2:$2,0),0)</f>
        <v>0</v>
      </c>
      <c r="E414" s="217">
        <f>IF(ISNUMBER(VLOOKUP($B:$B,BS!$A:$D,$2:$2,0)),VLOOKUP($B:$B,BS!$A:$D,$2:$2,0),0)</f>
        <v>0</v>
      </c>
      <c r="F414" s="217">
        <f>IF(ISNUMBER(VLOOKUP($B:$B,BS!$A:$D,$2:$2,0)),VLOOKUP($B:$B,BS!$A:$D,$2:$2,0),0)</f>
        <v>0</v>
      </c>
      <c r="G414" s="217">
        <f>IF(ISNUMBER(VLOOKUP($B:$B,BS!$A:$D,$2:$2,0)),VLOOKUP($B:$B,BS!$A:$D,$2:$2,0),0)</f>
        <v>0</v>
      </c>
      <c r="H414" s="207">
        <f>IF(ISNUMBER(VLOOKUP($B:$B,'BS(과거)'!$A:$F,$2:$2,0)),VLOOKUP($B:$B,'BS(과거)'!$A:$F,$2:$2,0),0)</f>
        <v>0</v>
      </c>
      <c r="I414" s="207">
        <f>IF(ISNUMBER(VLOOKUP($B:$B,'BS(과거)'!$A:$F,$2:$2,0)),VLOOKUP($B:$B,'BS(과거)'!$A:$F,$2:$2,0),0)</f>
        <v>0</v>
      </c>
      <c r="J414" s="207">
        <f>IF(ISNUMBER(VLOOKUP($B:$B,'BS(과거)'!$A:$F,$2:$2,0)),VLOOKUP($B:$B,'BS(과거)'!$A:$F,$2:$2,0),0)</f>
        <v>0</v>
      </c>
      <c r="K414" s="207">
        <f>IF(ISNUMBER(VLOOKUP($B:$B,'BS(과거)'!$A:$F,$2:$2,0)),VLOOKUP($B:$B,'BS(과거)'!$A:$F,$2:$2,0),0)</f>
        <v>0</v>
      </c>
      <c r="L414" s="207">
        <f>IF(ISNUMBER(VLOOKUP($B:$B,'BS(과거)'!$A:$F,$2:$2,0)),VLOOKUP($B:$B,'BS(과거)'!$A:$F,$2:$2,0),0)</f>
        <v>0</v>
      </c>
      <c r="N414" s="207">
        <f>IF(ISNUMBER(VLOOKUP($B:$B,'BS(분기)'!$A:$F,$2:$2,0)),VLOOKUP($B:$B,'BS(분기)'!$A:$F,$2:$2,0),0)</f>
        <v>0</v>
      </c>
      <c r="O414" s="207">
        <f>IF(ISNUMBER(VLOOKUP($B:$B,'BS(분기)'!$A:$F,$2:$2,0)),VLOOKUP($B:$B,'BS(분기)'!$A:$F,$2:$2,0),0)</f>
        <v>0</v>
      </c>
      <c r="P414" s="207">
        <f>IF(ISNUMBER(VLOOKUP($B:$B,'BS(분기)'!$A:$F,$2:$2,0)),VLOOKUP($B:$B,'BS(분기)'!$A:$F,$2:$2,0),0)</f>
        <v>0</v>
      </c>
      <c r="Q414" s="207">
        <f>IF(ISNUMBER(VLOOKUP($B:$B,'BS(분기)'!$A:$F,$2:$2,0)),VLOOKUP($B:$B,'BS(분기)'!$A:$F,$2:$2,0),0)</f>
        <v>0</v>
      </c>
      <c r="R414" s="207">
        <f>IF(ISNUMBER(VLOOKUP($B:$B,'BS(분기)'!$A:$F,$2:$2,0)),VLOOKUP($B:$B,'BS(분기)'!$A:$F,$2:$2,0),0)</f>
        <v>0</v>
      </c>
    </row>
    <row r="415" spans="1:18" s="192" customFormat="1" ht="12">
      <c r="A415" s="203">
        <v>113367</v>
      </c>
      <c r="B415" s="196" t="s">
        <v>1037</v>
      </c>
      <c r="C415" s="217">
        <f>IF(ISNUMBER(VLOOKUP($B:$B,BS!$A:$D,$2:$2,0)),VLOOKUP($B:$B,BS!$A:$D,$2:$2,0),0)</f>
        <v>0</v>
      </c>
      <c r="D415" s="217">
        <f>IF(ISNUMBER(VLOOKUP($B:$B,BS!$A:$D,$2:$2,0)),VLOOKUP($B:$B,BS!$A:$D,$2:$2,0),0)</f>
        <v>0</v>
      </c>
      <c r="E415" s="217">
        <f>IF(ISNUMBER(VLOOKUP($B:$B,BS!$A:$D,$2:$2,0)),VLOOKUP($B:$B,BS!$A:$D,$2:$2,0),0)</f>
        <v>0</v>
      </c>
      <c r="F415" s="217">
        <f>IF(ISNUMBER(VLOOKUP($B:$B,BS!$A:$D,$2:$2,0)),VLOOKUP($B:$B,BS!$A:$D,$2:$2,0),0)</f>
        <v>0</v>
      </c>
      <c r="G415" s="217">
        <f>IF(ISNUMBER(VLOOKUP($B:$B,BS!$A:$D,$2:$2,0)),VLOOKUP($B:$B,BS!$A:$D,$2:$2,0),0)</f>
        <v>0</v>
      </c>
      <c r="H415" s="207">
        <f>IF(ISNUMBER(VLOOKUP($B:$B,'BS(과거)'!$A:$F,$2:$2,0)),VLOOKUP($B:$B,'BS(과거)'!$A:$F,$2:$2,0),0)</f>
        <v>0</v>
      </c>
      <c r="I415" s="207">
        <f>IF(ISNUMBER(VLOOKUP($B:$B,'BS(과거)'!$A:$F,$2:$2,0)),VLOOKUP($B:$B,'BS(과거)'!$A:$F,$2:$2,0),0)</f>
        <v>0</v>
      </c>
      <c r="J415" s="207">
        <f>IF(ISNUMBER(VLOOKUP($B:$B,'BS(과거)'!$A:$F,$2:$2,0)),VLOOKUP($B:$B,'BS(과거)'!$A:$F,$2:$2,0),0)</f>
        <v>0</v>
      </c>
      <c r="K415" s="207">
        <f>IF(ISNUMBER(VLOOKUP($B:$B,'BS(과거)'!$A:$F,$2:$2,0)),VLOOKUP($B:$B,'BS(과거)'!$A:$F,$2:$2,0),0)</f>
        <v>0</v>
      </c>
      <c r="L415" s="207">
        <f>IF(ISNUMBER(VLOOKUP($B:$B,'BS(과거)'!$A:$F,$2:$2,0)),VLOOKUP($B:$B,'BS(과거)'!$A:$F,$2:$2,0),0)</f>
        <v>0</v>
      </c>
      <c r="N415" s="207">
        <f>IF(ISNUMBER(VLOOKUP($B:$B,'BS(분기)'!$A:$F,$2:$2,0)),VLOOKUP($B:$B,'BS(분기)'!$A:$F,$2:$2,0),0)</f>
        <v>0</v>
      </c>
      <c r="O415" s="207">
        <f>IF(ISNUMBER(VLOOKUP($B:$B,'BS(분기)'!$A:$F,$2:$2,0)),VLOOKUP($B:$B,'BS(분기)'!$A:$F,$2:$2,0),0)</f>
        <v>0</v>
      </c>
      <c r="P415" s="207">
        <f>IF(ISNUMBER(VLOOKUP($B:$B,'BS(분기)'!$A:$F,$2:$2,0)),VLOOKUP($B:$B,'BS(분기)'!$A:$F,$2:$2,0),0)</f>
        <v>0</v>
      </c>
      <c r="Q415" s="207">
        <f>IF(ISNUMBER(VLOOKUP($B:$B,'BS(분기)'!$A:$F,$2:$2,0)),VLOOKUP($B:$B,'BS(분기)'!$A:$F,$2:$2,0),0)</f>
        <v>0</v>
      </c>
      <c r="R415" s="207">
        <f>IF(ISNUMBER(VLOOKUP($B:$B,'BS(분기)'!$A:$F,$2:$2,0)),VLOOKUP($B:$B,'BS(분기)'!$A:$F,$2:$2,0),0)</f>
        <v>0</v>
      </c>
    </row>
    <row r="416" spans="1:18" s="192" customFormat="1" ht="12">
      <c r="A416" s="203">
        <v>113368</v>
      </c>
      <c r="B416" s="196" t="s">
        <v>1038</v>
      </c>
      <c r="C416" s="217">
        <f>IF(ISNUMBER(VLOOKUP($B:$B,BS!$A:$D,$2:$2,0)),VLOOKUP($B:$B,BS!$A:$D,$2:$2,0),0)</f>
        <v>0</v>
      </c>
      <c r="D416" s="217">
        <f>IF(ISNUMBER(VLOOKUP($B:$B,BS!$A:$D,$2:$2,0)),VLOOKUP($B:$B,BS!$A:$D,$2:$2,0),0)</f>
        <v>0</v>
      </c>
      <c r="E416" s="217">
        <f>IF(ISNUMBER(VLOOKUP($B:$B,BS!$A:$D,$2:$2,0)),VLOOKUP($B:$B,BS!$A:$D,$2:$2,0),0)</f>
        <v>0</v>
      </c>
      <c r="F416" s="217">
        <f>IF(ISNUMBER(VLOOKUP($B:$B,BS!$A:$D,$2:$2,0)),VLOOKUP($B:$B,BS!$A:$D,$2:$2,0),0)</f>
        <v>0</v>
      </c>
      <c r="G416" s="217">
        <f>IF(ISNUMBER(VLOOKUP($B:$B,BS!$A:$D,$2:$2,0)),VLOOKUP($B:$B,BS!$A:$D,$2:$2,0),0)</f>
        <v>0</v>
      </c>
      <c r="H416" s="207">
        <f>IF(ISNUMBER(VLOOKUP($B:$B,'BS(과거)'!$A:$F,$2:$2,0)),VLOOKUP($B:$B,'BS(과거)'!$A:$F,$2:$2,0),0)</f>
        <v>0</v>
      </c>
      <c r="I416" s="207">
        <f>IF(ISNUMBER(VLOOKUP($B:$B,'BS(과거)'!$A:$F,$2:$2,0)),VLOOKUP($B:$B,'BS(과거)'!$A:$F,$2:$2,0),0)</f>
        <v>0</v>
      </c>
      <c r="J416" s="207">
        <f>IF(ISNUMBER(VLOOKUP($B:$B,'BS(과거)'!$A:$F,$2:$2,0)),VLOOKUP($B:$B,'BS(과거)'!$A:$F,$2:$2,0),0)</f>
        <v>0</v>
      </c>
      <c r="K416" s="207">
        <f>IF(ISNUMBER(VLOOKUP($B:$B,'BS(과거)'!$A:$F,$2:$2,0)),VLOOKUP($B:$B,'BS(과거)'!$A:$F,$2:$2,0),0)</f>
        <v>0</v>
      </c>
      <c r="L416" s="207">
        <f>IF(ISNUMBER(VLOOKUP($B:$B,'BS(과거)'!$A:$F,$2:$2,0)),VLOOKUP($B:$B,'BS(과거)'!$A:$F,$2:$2,0),0)</f>
        <v>0</v>
      </c>
      <c r="N416" s="207">
        <f>IF(ISNUMBER(VLOOKUP($B:$B,'BS(분기)'!$A:$F,$2:$2,0)),VLOOKUP($B:$B,'BS(분기)'!$A:$F,$2:$2,0),0)</f>
        <v>0</v>
      </c>
      <c r="O416" s="207">
        <f>IF(ISNUMBER(VLOOKUP($B:$B,'BS(분기)'!$A:$F,$2:$2,0)),VLOOKUP($B:$B,'BS(분기)'!$A:$F,$2:$2,0),0)</f>
        <v>0</v>
      </c>
      <c r="P416" s="207">
        <f>IF(ISNUMBER(VLOOKUP($B:$B,'BS(분기)'!$A:$F,$2:$2,0)),VLOOKUP($B:$B,'BS(분기)'!$A:$F,$2:$2,0),0)</f>
        <v>0</v>
      </c>
      <c r="Q416" s="207">
        <f>IF(ISNUMBER(VLOOKUP($B:$B,'BS(분기)'!$A:$F,$2:$2,0)),VLOOKUP($B:$B,'BS(분기)'!$A:$F,$2:$2,0),0)</f>
        <v>0</v>
      </c>
      <c r="R416" s="207">
        <f>IF(ISNUMBER(VLOOKUP($B:$B,'BS(분기)'!$A:$F,$2:$2,0)),VLOOKUP($B:$B,'BS(분기)'!$A:$F,$2:$2,0),0)</f>
        <v>0</v>
      </c>
    </row>
    <row r="417" spans="1:18" s="192" customFormat="1" ht="12">
      <c r="A417" s="203">
        <v>113369</v>
      </c>
      <c r="B417" s="196" t="s">
        <v>1039</v>
      </c>
      <c r="C417" s="217">
        <f>IF(ISNUMBER(VLOOKUP($B:$B,BS!$A:$D,$2:$2,0)),VLOOKUP($B:$B,BS!$A:$D,$2:$2,0),0)</f>
        <v>0</v>
      </c>
      <c r="D417" s="217">
        <f>IF(ISNUMBER(VLOOKUP($B:$B,BS!$A:$D,$2:$2,0)),VLOOKUP($B:$B,BS!$A:$D,$2:$2,0),0)</f>
        <v>0</v>
      </c>
      <c r="E417" s="217">
        <f>IF(ISNUMBER(VLOOKUP($B:$B,BS!$A:$D,$2:$2,0)),VLOOKUP($B:$B,BS!$A:$D,$2:$2,0),0)</f>
        <v>0</v>
      </c>
      <c r="F417" s="217">
        <f>IF(ISNUMBER(VLOOKUP($B:$B,BS!$A:$D,$2:$2,0)),VLOOKUP($B:$B,BS!$A:$D,$2:$2,0),0)</f>
        <v>0</v>
      </c>
      <c r="G417" s="217">
        <f>IF(ISNUMBER(VLOOKUP($B:$B,BS!$A:$D,$2:$2,0)),VLOOKUP($B:$B,BS!$A:$D,$2:$2,0),0)</f>
        <v>0</v>
      </c>
      <c r="H417" s="207">
        <f>IF(ISNUMBER(VLOOKUP($B:$B,'BS(과거)'!$A:$F,$2:$2,0)),VLOOKUP($B:$B,'BS(과거)'!$A:$F,$2:$2,0),0)</f>
        <v>0</v>
      </c>
      <c r="I417" s="207">
        <f>IF(ISNUMBER(VLOOKUP($B:$B,'BS(과거)'!$A:$F,$2:$2,0)),VLOOKUP($B:$B,'BS(과거)'!$A:$F,$2:$2,0),0)</f>
        <v>0</v>
      </c>
      <c r="J417" s="207">
        <f>IF(ISNUMBER(VLOOKUP($B:$B,'BS(과거)'!$A:$F,$2:$2,0)),VLOOKUP($B:$B,'BS(과거)'!$A:$F,$2:$2,0),0)</f>
        <v>0</v>
      </c>
      <c r="K417" s="207">
        <f>IF(ISNUMBER(VLOOKUP($B:$B,'BS(과거)'!$A:$F,$2:$2,0)),VLOOKUP($B:$B,'BS(과거)'!$A:$F,$2:$2,0),0)</f>
        <v>0</v>
      </c>
      <c r="L417" s="207">
        <f>IF(ISNUMBER(VLOOKUP($B:$B,'BS(과거)'!$A:$F,$2:$2,0)),VLOOKUP($B:$B,'BS(과거)'!$A:$F,$2:$2,0),0)</f>
        <v>0</v>
      </c>
      <c r="N417" s="207">
        <f>IF(ISNUMBER(VLOOKUP($B:$B,'BS(분기)'!$A:$F,$2:$2,0)),VLOOKUP($B:$B,'BS(분기)'!$A:$F,$2:$2,0),0)</f>
        <v>0</v>
      </c>
      <c r="O417" s="207">
        <f>IF(ISNUMBER(VLOOKUP($B:$B,'BS(분기)'!$A:$F,$2:$2,0)),VLOOKUP($B:$B,'BS(분기)'!$A:$F,$2:$2,0),0)</f>
        <v>0</v>
      </c>
      <c r="P417" s="207">
        <f>IF(ISNUMBER(VLOOKUP($B:$B,'BS(분기)'!$A:$F,$2:$2,0)),VLOOKUP($B:$B,'BS(분기)'!$A:$F,$2:$2,0),0)</f>
        <v>0</v>
      </c>
      <c r="Q417" s="207">
        <f>IF(ISNUMBER(VLOOKUP($B:$B,'BS(분기)'!$A:$F,$2:$2,0)),VLOOKUP($B:$B,'BS(분기)'!$A:$F,$2:$2,0),0)</f>
        <v>0</v>
      </c>
      <c r="R417" s="207">
        <f>IF(ISNUMBER(VLOOKUP($B:$B,'BS(분기)'!$A:$F,$2:$2,0)),VLOOKUP($B:$B,'BS(분기)'!$A:$F,$2:$2,0),0)</f>
        <v>0</v>
      </c>
    </row>
    <row r="418" spans="1:18" s="192" customFormat="1" ht="12">
      <c r="A418" s="203">
        <v>113370</v>
      </c>
      <c r="B418" s="196" t="s">
        <v>1040</v>
      </c>
      <c r="C418" s="217">
        <f>IF(ISNUMBER(VLOOKUP($B:$B,BS!$A:$D,$2:$2,0)),VLOOKUP($B:$B,BS!$A:$D,$2:$2,0),0)</f>
        <v>0</v>
      </c>
      <c r="D418" s="217">
        <f>IF(ISNUMBER(VLOOKUP($B:$B,BS!$A:$D,$2:$2,0)),VLOOKUP($B:$B,BS!$A:$D,$2:$2,0),0)</f>
        <v>0</v>
      </c>
      <c r="E418" s="217">
        <f>IF(ISNUMBER(VLOOKUP($B:$B,BS!$A:$D,$2:$2,0)),VLOOKUP($B:$B,BS!$A:$D,$2:$2,0),0)</f>
        <v>0</v>
      </c>
      <c r="F418" s="217">
        <f>IF(ISNUMBER(VLOOKUP($B:$B,BS!$A:$D,$2:$2,0)),VLOOKUP($B:$B,BS!$A:$D,$2:$2,0),0)</f>
        <v>0</v>
      </c>
      <c r="G418" s="217">
        <f>IF(ISNUMBER(VLOOKUP($B:$B,BS!$A:$D,$2:$2,0)),VLOOKUP($B:$B,BS!$A:$D,$2:$2,0),0)</f>
        <v>0</v>
      </c>
      <c r="H418" s="207">
        <f>IF(ISNUMBER(VLOOKUP($B:$B,'BS(과거)'!$A:$F,$2:$2,0)),VLOOKUP($B:$B,'BS(과거)'!$A:$F,$2:$2,0),0)</f>
        <v>0</v>
      </c>
      <c r="I418" s="207">
        <f>IF(ISNUMBER(VLOOKUP($B:$B,'BS(과거)'!$A:$F,$2:$2,0)),VLOOKUP($B:$B,'BS(과거)'!$A:$F,$2:$2,0),0)</f>
        <v>0</v>
      </c>
      <c r="J418" s="207">
        <f>IF(ISNUMBER(VLOOKUP($B:$B,'BS(과거)'!$A:$F,$2:$2,0)),VLOOKUP($B:$B,'BS(과거)'!$A:$F,$2:$2,0),0)</f>
        <v>0</v>
      </c>
      <c r="K418" s="207">
        <f>IF(ISNUMBER(VLOOKUP($B:$B,'BS(과거)'!$A:$F,$2:$2,0)),VLOOKUP($B:$B,'BS(과거)'!$A:$F,$2:$2,0),0)</f>
        <v>0</v>
      </c>
      <c r="L418" s="207">
        <f>IF(ISNUMBER(VLOOKUP($B:$B,'BS(과거)'!$A:$F,$2:$2,0)),VLOOKUP($B:$B,'BS(과거)'!$A:$F,$2:$2,0),0)</f>
        <v>0</v>
      </c>
      <c r="N418" s="207">
        <f>IF(ISNUMBER(VLOOKUP($B:$B,'BS(분기)'!$A:$F,$2:$2,0)),VLOOKUP($B:$B,'BS(분기)'!$A:$F,$2:$2,0),0)</f>
        <v>0</v>
      </c>
      <c r="O418" s="207">
        <f>IF(ISNUMBER(VLOOKUP($B:$B,'BS(분기)'!$A:$F,$2:$2,0)),VLOOKUP($B:$B,'BS(분기)'!$A:$F,$2:$2,0),0)</f>
        <v>0</v>
      </c>
      <c r="P418" s="207">
        <f>IF(ISNUMBER(VLOOKUP($B:$B,'BS(분기)'!$A:$F,$2:$2,0)),VLOOKUP($B:$B,'BS(분기)'!$A:$F,$2:$2,0),0)</f>
        <v>0</v>
      </c>
      <c r="Q418" s="207">
        <f>IF(ISNUMBER(VLOOKUP($B:$B,'BS(분기)'!$A:$F,$2:$2,0)),VLOOKUP($B:$B,'BS(분기)'!$A:$F,$2:$2,0),0)</f>
        <v>0</v>
      </c>
      <c r="R418" s="207">
        <f>IF(ISNUMBER(VLOOKUP($B:$B,'BS(분기)'!$A:$F,$2:$2,0)),VLOOKUP($B:$B,'BS(분기)'!$A:$F,$2:$2,0),0)</f>
        <v>0</v>
      </c>
    </row>
    <row r="419" spans="1:18" s="192" customFormat="1" ht="12">
      <c r="A419" s="203">
        <v>113371</v>
      </c>
      <c r="B419" s="196" t="s">
        <v>1041</v>
      </c>
      <c r="C419" s="217">
        <f>IF(ISNUMBER(VLOOKUP($B:$B,BS!$A:$D,$2:$2,0)),VLOOKUP($B:$B,BS!$A:$D,$2:$2,0),0)</f>
        <v>0</v>
      </c>
      <c r="D419" s="217">
        <f>IF(ISNUMBER(VLOOKUP($B:$B,BS!$A:$D,$2:$2,0)),VLOOKUP($B:$B,BS!$A:$D,$2:$2,0),0)</f>
        <v>0</v>
      </c>
      <c r="E419" s="217">
        <f>IF(ISNUMBER(VLOOKUP($B:$B,BS!$A:$D,$2:$2,0)),VLOOKUP($B:$B,BS!$A:$D,$2:$2,0),0)</f>
        <v>0</v>
      </c>
      <c r="F419" s="217">
        <f>IF(ISNUMBER(VLOOKUP($B:$B,BS!$A:$D,$2:$2,0)),VLOOKUP($B:$B,BS!$A:$D,$2:$2,0),0)</f>
        <v>0</v>
      </c>
      <c r="G419" s="217">
        <f>IF(ISNUMBER(VLOOKUP($B:$B,BS!$A:$D,$2:$2,0)),VLOOKUP($B:$B,BS!$A:$D,$2:$2,0),0)</f>
        <v>0</v>
      </c>
      <c r="H419" s="207">
        <f>IF(ISNUMBER(VLOOKUP($B:$B,'BS(과거)'!$A:$F,$2:$2,0)),VLOOKUP($B:$B,'BS(과거)'!$A:$F,$2:$2,0),0)</f>
        <v>0</v>
      </c>
      <c r="I419" s="207">
        <f>IF(ISNUMBER(VLOOKUP($B:$B,'BS(과거)'!$A:$F,$2:$2,0)),VLOOKUP($B:$B,'BS(과거)'!$A:$F,$2:$2,0),0)</f>
        <v>0</v>
      </c>
      <c r="J419" s="207">
        <f>IF(ISNUMBER(VLOOKUP($B:$B,'BS(과거)'!$A:$F,$2:$2,0)),VLOOKUP($B:$B,'BS(과거)'!$A:$F,$2:$2,0),0)</f>
        <v>0</v>
      </c>
      <c r="K419" s="207">
        <f>IF(ISNUMBER(VLOOKUP($B:$B,'BS(과거)'!$A:$F,$2:$2,0)),VLOOKUP($B:$B,'BS(과거)'!$A:$F,$2:$2,0),0)</f>
        <v>0</v>
      </c>
      <c r="L419" s="207">
        <f>IF(ISNUMBER(VLOOKUP($B:$B,'BS(과거)'!$A:$F,$2:$2,0)),VLOOKUP($B:$B,'BS(과거)'!$A:$F,$2:$2,0),0)</f>
        <v>0</v>
      </c>
      <c r="N419" s="207">
        <f>IF(ISNUMBER(VLOOKUP($B:$B,'BS(분기)'!$A:$F,$2:$2,0)),VLOOKUP($B:$B,'BS(분기)'!$A:$F,$2:$2,0),0)</f>
        <v>0</v>
      </c>
      <c r="O419" s="207">
        <f>IF(ISNUMBER(VLOOKUP($B:$B,'BS(분기)'!$A:$F,$2:$2,0)),VLOOKUP($B:$B,'BS(분기)'!$A:$F,$2:$2,0),0)</f>
        <v>0</v>
      </c>
      <c r="P419" s="207">
        <f>IF(ISNUMBER(VLOOKUP($B:$B,'BS(분기)'!$A:$F,$2:$2,0)),VLOOKUP($B:$B,'BS(분기)'!$A:$F,$2:$2,0),0)</f>
        <v>0</v>
      </c>
      <c r="Q419" s="207">
        <f>IF(ISNUMBER(VLOOKUP($B:$B,'BS(분기)'!$A:$F,$2:$2,0)),VLOOKUP($B:$B,'BS(분기)'!$A:$F,$2:$2,0),0)</f>
        <v>0</v>
      </c>
      <c r="R419" s="207">
        <f>IF(ISNUMBER(VLOOKUP($B:$B,'BS(분기)'!$A:$F,$2:$2,0)),VLOOKUP($B:$B,'BS(분기)'!$A:$F,$2:$2,0),0)</f>
        <v>0</v>
      </c>
    </row>
    <row r="420" spans="1:18" s="192" customFormat="1" ht="12">
      <c r="A420" s="203">
        <v>113372</v>
      </c>
      <c r="B420" s="196" t="s">
        <v>1042</v>
      </c>
      <c r="C420" s="217">
        <f>IF(ISNUMBER(VLOOKUP($B:$B,BS!$A:$D,$2:$2,0)),VLOOKUP($B:$B,BS!$A:$D,$2:$2,0),0)</f>
        <v>0</v>
      </c>
      <c r="D420" s="217">
        <f>IF(ISNUMBER(VLOOKUP($B:$B,BS!$A:$D,$2:$2,0)),VLOOKUP($B:$B,BS!$A:$D,$2:$2,0),0)</f>
        <v>0</v>
      </c>
      <c r="E420" s="217">
        <f>IF(ISNUMBER(VLOOKUP($B:$B,BS!$A:$D,$2:$2,0)),VLOOKUP($B:$B,BS!$A:$D,$2:$2,0),0)</f>
        <v>0</v>
      </c>
      <c r="F420" s="217">
        <f>IF(ISNUMBER(VLOOKUP($B:$B,BS!$A:$D,$2:$2,0)),VLOOKUP($B:$B,BS!$A:$D,$2:$2,0),0)</f>
        <v>0</v>
      </c>
      <c r="G420" s="217">
        <f>IF(ISNUMBER(VLOOKUP($B:$B,BS!$A:$D,$2:$2,0)),VLOOKUP($B:$B,BS!$A:$D,$2:$2,0),0)</f>
        <v>0</v>
      </c>
      <c r="H420" s="207">
        <f>IF(ISNUMBER(VLOOKUP($B:$B,'BS(과거)'!$A:$F,$2:$2,0)),VLOOKUP($B:$B,'BS(과거)'!$A:$F,$2:$2,0),0)</f>
        <v>0</v>
      </c>
      <c r="I420" s="207">
        <f>IF(ISNUMBER(VLOOKUP($B:$B,'BS(과거)'!$A:$F,$2:$2,0)),VLOOKUP($B:$B,'BS(과거)'!$A:$F,$2:$2,0),0)</f>
        <v>0</v>
      </c>
      <c r="J420" s="207">
        <f>IF(ISNUMBER(VLOOKUP($B:$B,'BS(과거)'!$A:$F,$2:$2,0)),VLOOKUP($B:$B,'BS(과거)'!$A:$F,$2:$2,0),0)</f>
        <v>0</v>
      </c>
      <c r="K420" s="207">
        <f>IF(ISNUMBER(VLOOKUP($B:$B,'BS(과거)'!$A:$F,$2:$2,0)),VLOOKUP($B:$B,'BS(과거)'!$A:$F,$2:$2,0),0)</f>
        <v>0</v>
      </c>
      <c r="L420" s="207">
        <f>IF(ISNUMBER(VLOOKUP($B:$B,'BS(과거)'!$A:$F,$2:$2,0)),VLOOKUP($B:$B,'BS(과거)'!$A:$F,$2:$2,0),0)</f>
        <v>0</v>
      </c>
      <c r="N420" s="207">
        <f>IF(ISNUMBER(VLOOKUP($B:$B,'BS(분기)'!$A:$F,$2:$2,0)),VLOOKUP($B:$B,'BS(분기)'!$A:$F,$2:$2,0),0)</f>
        <v>0</v>
      </c>
      <c r="O420" s="207">
        <f>IF(ISNUMBER(VLOOKUP($B:$B,'BS(분기)'!$A:$F,$2:$2,0)),VLOOKUP($B:$B,'BS(분기)'!$A:$F,$2:$2,0),0)</f>
        <v>0</v>
      </c>
      <c r="P420" s="207">
        <f>IF(ISNUMBER(VLOOKUP($B:$B,'BS(분기)'!$A:$F,$2:$2,0)),VLOOKUP($B:$B,'BS(분기)'!$A:$F,$2:$2,0),0)</f>
        <v>0</v>
      </c>
      <c r="Q420" s="207">
        <f>IF(ISNUMBER(VLOOKUP($B:$B,'BS(분기)'!$A:$F,$2:$2,0)),VLOOKUP($B:$B,'BS(분기)'!$A:$F,$2:$2,0),0)</f>
        <v>0</v>
      </c>
      <c r="R420" s="207">
        <f>IF(ISNUMBER(VLOOKUP($B:$B,'BS(분기)'!$A:$F,$2:$2,0)),VLOOKUP($B:$B,'BS(분기)'!$A:$F,$2:$2,0),0)</f>
        <v>0</v>
      </c>
    </row>
    <row r="421" spans="1:18" s="192" customFormat="1" ht="12">
      <c r="A421" s="203">
        <v>113373</v>
      </c>
      <c r="B421" s="196" t="s">
        <v>1043</v>
      </c>
      <c r="C421" s="217">
        <f>IF(ISNUMBER(VLOOKUP($B:$B,BS!$A:$D,$2:$2,0)),VLOOKUP($B:$B,BS!$A:$D,$2:$2,0),0)</f>
        <v>0</v>
      </c>
      <c r="D421" s="217">
        <f>IF(ISNUMBER(VLOOKUP($B:$B,BS!$A:$D,$2:$2,0)),VLOOKUP($B:$B,BS!$A:$D,$2:$2,0),0)</f>
        <v>0</v>
      </c>
      <c r="E421" s="217">
        <f>IF(ISNUMBER(VLOOKUP($B:$B,BS!$A:$D,$2:$2,0)),VLOOKUP($B:$B,BS!$A:$D,$2:$2,0),0)</f>
        <v>0</v>
      </c>
      <c r="F421" s="217">
        <f>IF(ISNUMBER(VLOOKUP($B:$B,BS!$A:$D,$2:$2,0)),VLOOKUP($B:$B,BS!$A:$D,$2:$2,0),0)</f>
        <v>0</v>
      </c>
      <c r="G421" s="217">
        <f>IF(ISNUMBER(VLOOKUP($B:$B,BS!$A:$D,$2:$2,0)),VLOOKUP($B:$B,BS!$A:$D,$2:$2,0),0)</f>
        <v>0</v>
      </c>
      <c r="H421" s="207">
        <f>IF(ISNUMBER(VLOOKUP($B:$B,'BS(과거)'!$A:$F,$2:$2,0)),VLOOKUP($B:$B,'BS(과거)'!$A:$F,$2:$2,0),0)</f>
        <v>0</v>
      </c>
      <c r="I421" s="207">
        <f>IF(ISNUMBER(VLOOKUP($B:$B,'BS(과거)'!$A:$F,$2:$2,0)),VLOOKUP($B:$B,'BS(과거)'!$A:$F,$2:$2,0),0)</f>
        <v>0</v>
      </c>
      <c r="J421" s="207">
        <f>IF(ISNUMBER(VLOOKUP($B:$B,'BS(과거)'!$A:$F,$2:$2,0)),VLOOKUP($B:$B,'BS(과거)'!$A:$F,$2:$2,0),0)</f>
        <v>0</v>
      </c>
      <c r="K421" s="207">
        <f>IF(ISNUMBER(VLOOKUP($B:$B,'BS(과거)'!$A:$F,$2:$2,0)),VLOOKUP($B:$B,'BS(과거)'!$A:$F,$2:$2,0),0)</f>
        <v>0</v>
      </c>
      <c r="L421" s="207">
        <f>IF(ISNUMBER(VLOOKUP($B:$B,'BS(과거)'!$A:$F,$2:$2,0)),VLOOKUP($B:$B,'BS(과거)'!$A:$F,$2:$2,0),0)</f>
        <v>0</v>
      </c>
      <c r="N421" s="207">
        <f>IF(ISNUMBER(VLOOKUP($B:$B,'BS(분기)'!$A:$F,$2:$2,0)),VLOOKUP($B:$B,'BS(분기)'!$A:$F,$2:$2,0),0)</f>
        <v>0</v>
      </c>
      <c r="O421" s="207">
        <f>IF(ISNUMBER(VLOOKUP($B:$B,'BS(분기)'!$A:$F,$2:$2,0)),VLOOKUP($B:$B,'BS(분기)'!$A:$F,$2:$2,0),0)</f>
        <v>0</v>
      </c>
      <c r="P421" s="207">
        <f>IF(ISNUMBER(VLOOKUP($B:$B,'BS(분기)'!$A:$F,$2:$2,0)),VLOOKUP($B:$B,'BS(분기)'!$A:$F,$2:$2,0),0)</f>
        <v>0</v>
      </c>
      <c r="Q421" s="207">
        <f>IF(ISNUMBER(VLOOKUP($B:$B,'BS(분기)'!$A:$F,$2:$2,0)),VLOOKUP($B:$B,'BS(분기)'!$A:$F,$2:$2,0),0)</f>
        <v>0</v>
      </c>
      <c r="R421" s="207">
        <f>IF(ISNUMBER(VLOOKUP($B:$B,'BS(분기)'!$A:$F,$2:$2,0)),VLOOKUP($B:$B,'BS(분기)'!$A:$F,$2:$2,0),0)</f>
        <v>0</v>
      </c>
    </row>
    <row r="422" spans="1:18" s="192" customFormat="1" ht="12">
      <c r="A422" s="203">
        <v>113374</v>
      </c>
      <c r="B422" s="196" t="s">
        <v>1044</v>
      </c>
      <c r="C422" s="217">
        <f>IF(ISNUMBER(VLOOKUP($B:$B,BS!$A:$D,$2:$2,0)),VLOOKUP($B:$B,BS!$A:$D,$2:$2,0),0)</f>
        <v>0</v>
      </c>
      <c r="D422" s="217">
        <f>IF(ISNUMBER(VLOOKUP($B:$B,BS!$A:$D,$2:$2,0)),VLOOKUP($B:$B,BS!$A:$D,$2:$2,0),0)</f>
        <v>0</v>
      </c>
      <c r="E422" s="217">
        <f>IF(ISNUMBER(VLOOKUP($B:$B,BS!$A:$D,$2:$2,0)),VLOOKUP($B:$B,BS!$A:$D,$2:$2,0),0)</f>
        <v>0</v>
      </c>
      <c r="F422" s="217">
        <f>IF(ISNUMBER(VLOOKUP($B:$B,BS!$A:$D,$2:$2,0)),VLOOKUP($B:$B,BS!$A:$D,$2:$2,0),0)</f>
        <v>0</v>
      </c>
      <c r="G422" s="217">
        <f>IF(ISNUMBER(VLOOKUP($B:$B,BS!$A:$D,$2:$2,0)),VLOOKUP($B:$B,BS!$A:$D,$2:$2,0),0)</f>
        <v>0</v>
      </c>
      <c r="H422" s="207">
        <f>IF(ISNUMBER(VLOOKUP($B:$B,'BS(과거)'!$A:$F,$2:$2,0)),VLOOKUP($B:$B,'BS(과거)'!$A:$F,$2:$2,0),0)</f>
        <v>0</v>
      </c>
      <c r="I422" s="207">
        <f>IF(ISNUMBER(VLOOKUP($B:$B,'BS(과거)'!$A:$F,$2:$2,0)),VLOOKUP($B:$B,'BS(과거)'!$A:$F,$2:$2,0),0)</f>
        <v>0</v>
      </c>
      <c r="J422" s="207">
        <f>IF(ISNUMBER(VLOOKUP($B:$B,'BS(과거)'!$A:$F,$2:$2,0)),VLOOKUP($B:$B,'BS(과거)'!$A:$F,$2:$2,0),0)</f>
        <v>0</v>
      </c>
      <c r="K422" s="207">
        <f>IF(ISNUMBER(VLOOKUP($B:$B,'BS(과거)'!$A:$F,$2:$2,0)),VLOOKUP($B:$B,'BS(과거)'!$A:$F,$2:$2,0),0)</f>
        <v>0</v>
      </c>
      <c r="L422" s="207">
        <f>IF(ISNUMBER(VLOOKUP($B:$B,'BS(과거)'!$A:$F,$2:$2,0)),VLOOKUP($B:$B,'BS(과거)'!$A:$F,$2:$2,0),0)</f>
        <v>0</v>
      </c>
      <c r="N422" s="207">
        <f>IF(ISNUMBER(VLOOKUP($B:$B,'BS(분기)'!$A:$F,$2:$2,0)),VLOOKUP($B:$B,'BS(분기)'!$A:$F,$2:$2,0),0)</f>
        <v>0</v>
      </c>
      <c r="O422" s="207">
        <f>IF(ISNUMBER(VLOOKUP($B:$B,'BS(분기)'!$A:$F,$2:$2,0)),VLOOKUP($B:$B,'BS(분기)'!$A:$F,$2:$2,0),0)</f>
        <v>0</v>
      </c>
      <c r="P422" s="207">
        <f>IF(ISNUMBER(VLOOKUP($B:$B,'BS(분기)'!$A:$F,$2:$2,0)),VLOOKUP($B:$B,'BS(분기)'!$A:$F,$2:$2,0),0)</f>
        <v>0</v>
      </c>
      <c r="Q422" s="207">
        <f>IF(ISNUMBER(VLOOKUP($B:$B,'BS(분기)'!$A:$F,$2:$2,0)),VLOOKUP($B:$B,'BS(분기)'!$A:$F,$2:$2,0),0)</f>
        <v>0</v>
      </c>
      <c r="R422" s="207">
        <f>IF(ISNUMBER(VLOOKUP($B:$B,'BS(분기)'!$A:$F,$2:$2,0)),VLOOKUP($B:$B,'BS(분기)'!$A:$F,$2:$2,0),0)</f>
        <v>0</v>
      </c>
    </row>
    <row r="423" spans="1:18" s="192" customFormat="1" ht="12">
      <c r="A423" s="203">
        <v>113375</v>
      </c>
      <c r="B423" s="196" t="s">
        <v>1045</v>
      </c>
      <c r="C423" s="217">
        <f>IF(ISNUMBER(VLOOKUP($B:$B,BS!$A:$D,$2:$2,0)),VLOOKUP($B:$B,BS!$A:$D,$2:$2,0),0)</f>
        <v>0</v>
      </c>
      <c r="D423" s="217">
        <f>IF(ISNUMBER(VLOOKUP($B:$B,BS!$A:$D,$2:$2,0)),VLOOKUP($B:$B,BS!$A:$D,$2:$2,0),0)</f>
        <v>0</v>
      </c>
      <c r="E423" s="217">
        <f>IF(ISNUMBER(VLOOKUP($B:$B,BS!$A:$D,$2:$2,0)),VLOOKUP($B:$B,BS!$A:$D,$2:$2,0),0)</f>
        <v>0</v>
      </c>
      <c r="F423" s="217">
        <f>IF(ISNUMBER(VLOOKUP($B:$B,BS!$A:$D,$2:$2,0)),VLOOKUP($B:$B,BS!$A:$D,$2:$2,0),0)</f>
        <v>0</v>
      </c>
      <c r="G423" s="217">
        <f>IF(ISNUMBER(VLOOKUP($B:$B,BS!$A:$D,$2:$2,0)),VLOOKUP($B:$B,BS!$A:$D,$2:$2,0),0)</f>
        <v>0</v>
      </c>
      <c r="H423" s="207">
        <f>IF(ISNUMBER(VLOOKUP($B:$B,'BS(과거)'!$A:$F,$2:$2,0)),VLOOKUP($B:$B,'BS(과거)'!$A:$F,$2:$2,0),0)</f>
        <v>0</v>
      </c>
      <c r="I423" s="207">
        <f>IF(ISNUMBER(VLOOKUP($B:$B,'BS(과거)'!$A:$F,$2:$2,0)),VLOOKUP($B:$B,'BS(과거)'!$A:$F,$2:$2,0),0)</f>
        <v>0</v>
      </c>
      <c r="J423" s="207">
        <f>IF(ISNUMBER(VLOOKUP($B:$B,'BS(과거)'!$A:$F,$2:$2,0)),VLOOKUP($B:$B,'BS(과거)'!$A:$F,$2:$2,0),0)</f>
        <v>0</v>
      </c>
      <c r="K423" s="207">
        <f>IF(ISNUMBER(VLOOKUP($B:$B,'BS(과거)'!$A:$F,$2:$2,0)),VLOOKUP($B:$B,'BS(과거)'!$A:$F,$2:$2,0),0)</f>
        <v>0</v>
      </c>
      <c r="L423" s="207">
        <f>IF(ISNUMBER(VLOOKUP($B:$B,'BS(과거)'!$A:$F,$2:$2,0)),VLOOKUP($B:$B,'BS(과거)'!$A:$F,$2:$2,0),0)</f>
        <v>0</v>
      </c>
      <c r="N423" s="207">
        <f>IF(ISNUMBER(VLOOKUP($B:$B,'BS(분기)'!$A:$F,$2:$2,0)),VLOOKUP($B:$B,'BS(분기)'!$A:$F,$2:$2,0),0)</f>
        <v>0</v>
      </c>
      <c r="O423" s="207">
        <f>IF(ISNUMBER(VLOOKUP($B:$B,'BS(분기)'!$A:$F,$2:$2,0)),VLOOKUP($B:$B,'BS(분기)'!$A:$F,$2:$2,0),0)</f>
        <v>0</v>
      </c>
      <c r="P423" s="207">
        <f>IF(ISNUMBER(VLOOKUP($B:$B,'BS(분기)'!$A:$F,$2:$2,0)),VLOOKUP($B:$B,'BS(분기)'!$A:$F,$2:$2,0),0)</f>
        <v>0</v>
      </c>
      <c r="Q423" s="207">
        <f>IF(ISNUMBER(VLOOKUP($B:$B,'BS(분기)'!$A:$F,$2:$2,0)),VLOOKUP($B:$B,'BS(분기)'!$A:$F,$2:$2,0),0)</f>
        <v>0</v>
      </c>
      <c r="R423" s="207">
        <f>IF(ISNUMBER(VLOOKUP($B:$B,'BS(분기)'!$A:$F,$2:$2,0)),VLOOKUP($B:$B,'BS(분기)'!$A:$F,$2:$2,0),0)</f>
        <v>0</v>
      </c>
    </row>
    <row r="424" spans="1:18" s="192" customFormat="1" ht="12">
      <c r="A424" s="203">
        <v>113376</v>
      </c>
      <c r="B424" s="196" t="s">
        <v>1046</v>
      </c>
      <c r="C424" s="217">
        <f>IF(ISNUMBER(VLOOKUP($B:$B,BS!$A:$D,$2:$2,0)),VLOOKUP($B:$B,BS!$A:$D,$2:$2,0),0)</f>
        <v>0</v>
      </c>
      <c r="D424" s="217">
        <f>IF(ISNUMBER(VLOOKUP($B:$B,BS!$A:$D,$2:$2,0)),VLOOKUP($B:$B,BS!$A:$D,$2:$2,0),0)</f>
        <v>0</v>
      </c>
      <c r="E424" s="217">
        <f>IF(ISNUMBER(VLOOKUP($B:$B,BS!$A:$D,$2:$2,0)),VLOOKUP($B:$B,BS!$A:$D,$2:$2,0),0)</f>
        <v>0</v>
      </c>
      <c r="F424" s="217">
        <f>IF(ISNUMBER(VLOOKUP($B:$B,BS!$A:$D,$2:$2,0)),VLOOKUP($B:$B,BS!$A:$D,$2:$2,0),0)</f>
        <v>0</v>
      </c>
      <c r="G424" s="217">
        <f>IF(ISNUMBER(VLOOKUP($B:$B,BS!$A:$D,$2:$2,0)),VLOOKUP($B:$B,BS!$A:$D,$2:$2,0),0)</f>
        <v>0</v>
      </c>
      <c r="H424" s="207">
        <f>IF(ISNUMBER(VLOOKUP($B:$B,'BS(과거)'!$A:$F,$2:$2,0)),VLOOKUP($B:$B,'BS(과거)'!$A:$F,$2:$2,0),0)</f>
        <v>0</v>
      </c>
      <c r="I424" s="207">
        <f>IF(ISNUMBER(VLOOKUP($B:$B,'BS(과거)'!$A:$F,$2:$2,0)),VLOOKUP($B:$B,'BS(과거)'!$A:$F,$2:$2,0),0)</f>
        <v>0</v>
      </c>
      <c r="J424" s="207">
        <f>IF(ISNUMBER(VLOOKUP($B:$B,'BS(과거)'!$A:$F,$2:$2,0)),VLOOKUP($B:$B,'BS(과거)'!$A:$F,$2:$2,0),0)</f>
        <v>0</v>
      </c>
      <c r="K424" s="207">
        <f>IF(ISNUMBER(VLOOKUP($B:$B,'BS(과거)'!$A:$F,$2:$2,0)),VLOOKUP($B:$B,'BS(과거)'!$A:$F,$2:$2,0),0)</f>
        <v>0</v>
      </c>
      <c r="L424" s="207">
        <f>IF(ISNUMBER(VLOOKUP($B:$B,'BS(과거)'!$A:$F,$2:$2,0)),VLOOKUP($B:$B,'BS(과거)'!$A:$F,$2:$2,0),0)</f>
        <v>0</v>
      </c>
      <c r="N424" s="207">
        <f>IF(ISNUMBER(VLOOKUP($B:$B,'BS(분기)'!$A:$F,$2:$2,0)),VLOOKUP($B:$B,'BS(분기)'!$A:$F,$2:$2,0),0)</f>
        <v>0</v>
      </c>
      <c r="O424" s="207">
        <f>IF(ISNUMBER(VLOOKUP($B:$B,'BS(분기)'!$A:$F,$2:$2,0)),VLOOKUP($B:$B,'BS(분기)'!$A:$F,$2:$2,0),0)</f>
        <v>0</v>
      </c>
      <c r="P424" s="207">
        <f>IF(ISNUMBER(VLOOKUP($B:$B,'BS(분기)'!$A:$F,$2:$2,0)),VLOOKUP($B:$B,'BS(분기)'!$A:$F,$2:$2,0),0)</f>
        <v>0</v>
      </c>
      <c r="Q424" s="207">
        <f>IF(ISNUMBER(VLOOKUP($B:$B,'BS(분기)'!$A:$F,$2:$2,0)),VLOOKUP($B:$B,'BS(분기)'!$A:$F,$2:$2,0),0)</f>
        <v>0</v>
      </c>
      <c r="R424" s="207">
        <f>IF(ISNUMBER(VLOOKUP($B:$B,'BS(분기)'!$A:$F,$2:$2,0)),VLOOKUP($B:$B,'BS(분기)'!$A:$F,$2:$2,0),0)</f>
        <v>0</v>
      </c>
    </row>
    <row r="425" spans="1:18" s="192" customFormat="1" ht="12">
      <c r="A425" s="203">
        <v>113377</v>
      </c>
      <c r="B425" s="196" t="s">
        <v>1047</v>
      </c>
      <c r="C425" s="217">
        <f>IF(ISNUMBER(VLOOKUP($B:$B,BS!$A:$D,$2:$2,0)),VLOOKUP($B:$B,BS!$A:$D,$2:$2,0),0)</f>
        <v>0</v>
      </c>
      <c r="D425" s="217">
        <f>IF(ISNUMBER(VLOOKUP($B:$B,BS!$A:$D,$2:$2,0)),VLOOKUP($B:$B,BS!$A:$D,$2:$2,0),0)</f>
        <v>0</v>
      </c>
      <c r="E425" s="217">
        <f>IF(ISNUMBER(VLOOKUP($B:$B,BS!$A:$D,$2:$2,0)),VLOOKUP($B:$B,BS!$A:$D,$2:$2,0),0)</f>
        <v>0</v>
      </c>
      <c r="F425" s="217">
        <f>IF(ISNUMBER(VLOOKUP($B:$B,BS!$A:$D,$2:$2,0)),VLOOKUP($B:$B,BS!$A:$D,$2:$2,0),0)</f>
        <v>0</v>
      </c>
      <c r="G425" s="217">
        <f>IF(ISNUMBER(VLOOKUP($B:$B,BS!$A:$D,$2:$2,0)),VLOOKUP($B:$B,BS!$A:$D,$2:$2,0),0)</f>
        <v>0</v>
      </c>
      <c r="H425" s="207">
        <f>IF(ISNUMBER(VLOOKUP($B:$B,'BS(과거)'!$A:$F,$2:$2,0)),VLOOKUP($B:$B,'BS(과거)'!$A:$F,$2:$2,0),0)</f>
        <v>0</v>
      </c>
      <c r="I425" s="207">
        <f>IF(ISNUMBER(VLOOKUP($B:$B,'BS(과거)'!$A:$F,$2:$2,0)),VLOOKUP($B:$B,'BS(과거)'!$A:$F,$2:$2,0),0)</f>
        <v>0</v>
      </c>
      <c r="J425" s="207">
        <f>IF(ISNUMBER(VLOOKUP($B:$B,'BS(과거)'!$A:$F,$2:$2,0)),VLOOKUP($B:$B,'BS(과거)'!$A:$F,$2:$2,0),0)</f>
        <v>0</v>
      </c>
      <c r="K425" s="207">
        <f>IF(ISNUMBER(VLOOKUP($B:$B,'BS(과거)'!$A:$F,$2:$2,0)),VLOOKUP($B:$B,'BS(과거)'!$A:$F,$2:$2,0),0)</f>
        <v>0</v>
      </c>
      <c r="L425" s="207">
        <f>IF(ISNUMBER(VLOOKUP($B:$B,'BS(과거)'!$A:$F,$2:$2,0)),VLOOKUP($B:$B,'BS(과거)'!$A:$F,$2:$2,0),0)</f>
        <v>0</v>
      </c>
      <c r="N425" s="207">
        <f>IF(ISNUMBER(VLOOKUP($B:$B,'BS(분기)'!$A:$F,$2:$2,0)),VLOOKUP($B:$B,'BS(분기)'!$A:$F,$2:$2,0),0)</f>
        <v>0</v>
      </c>
      <c r="O425" s="207">
        <f>IF(ISNUMBER(VLOOKUP($B:$B,'BS(분기)'!$A:$F,$2:$2,0)),VLOOKUP($B:$B,'BS(분기)'!$A:$F,$2:$2,0),0)</f>
        <v>0</v>
      </c>
      <c r="P425" s="207">
        <f>IF(ISNUMBER(VLOOKUP($B:$B,'BS(분기)'!$A:$F,$2:$2,0)),VLOOKUP($B:$B,'BS(분기)'!$A:$F,$2:$2,0),0)</f>
        <v>0</v>
      </c>
      <c r="Q425" s="207">
        <f>IF(ISNUMBER(VLOOKUP($B:$B,'BS(분기)'!$A:$F,$2:$2,0)),VLOOKUP($B:$B,'BS(분기)'!$A:$F,$2:$2,0),0)</f>
        <v>0</v>
      </c>
      <c r="R425" s="207">
        <f>IF(ISNUMBER(VLOOKUP($B:$B,'BS(분기)'!$A:$F,$2:$2,0)),VLOOKUP($B:$B,'BS(분기)'!$A:$F,$2:$2,0),0)</f>
        <v>0</v>
      </c>
    </row>
    <row r="426" spans="1:18" s="192" customFormat="1" ht="12">
      <c r="A426" s="203">
        <v>113378</v>
      </c>
      <c r="B426" s="196" t="s">
        <v>1048</v>
      </c>
      <c r="C426" s="217">
        <f>IF(ISNUMBER(VLOOKUP($B:$B,BS!$A:$D,$2:$2,0)),VLOOKUP($B:$B,BS!$A:$D,$2:$2,0),0)</f>
        <v>0</v>
      </c>
      <c r="D426" s="217">
        <f>IF(ISNUMBER(VLOOKUP($B:$B,BS!$A:$D,$2:$2,0)),VLOOKUP($B:$B,BS!$A:$D,$2:$2,0),0)</f>
        <v>0</v>
      </c>
      <c r="E426" s="217">
        <f>IF(ISNUMBER(VLOOKUP($B:$B,BS!$A:$D,$2:$2,0)),VLOOKUP($B:$B,BS!$A:$D,$2:$2,0),0)</f>
        <v>0</v>
      </c>
      <c r="F426" s="217">
        <f>IF(ISNUMBER(VLOOKUP($B:$B,BS!$A:$D,$2:$2,0)),VLOOKUP($B:$B,BS!$A:$D,$2:$2,0),0)</f>
        <v>0</v>
      </c>
      <c r="G426" s="217">
        <f>IF(ISNUMBER(VLOOKUP($B:$B,BS!$A:$D,$2:$2,0)),VLOOKUP($B:$B,BS!$A:$D,$2:$2,0),0)</f>
        <v>0</v>
      </c>
      <c r="H426" s="207">
        <f>IF(ISNUMBER(VLOOKUP($B:$B,'BS(과거)'!$A:$F,$2:$2,0)),VLOOKUP($B:$B,'BS(과거)'!$A:$F,$2:$2,0),0)</f>
        <v>0</v>
      </c>
      <c r="I426" s="207">
        <f>IF(ISNUMBER(VLOOKUP($B:$B,'BS(과거)'!$A:$F,$2:$2,0)),VLOOKUP($B:$B,'BS(과거)'!$A:$F,$2:$2,0),0)</f>
        <v>0</v>
      </c>
      <c r="J426" s="207">
        <f>IF(ISNUMBER(VLOOKUP($B:$B,'BS(과거)'!$A:$F,$2:$2,0)),VLOOKUP($B:$B,'BS(과거)'!$A:$F,$2:$2,0),0)</f>
        <v>0</v>
      </c>
      <c r="K426" s="207">
        <f>IF(ISNUMBER(VLOOKUP($B:$B,'BS(과거)'!$A:$F,$2:$2,0)),VLOOKUP($B:$B,'BS(과거)'!$A:$F,$2:$2,0),0)</f>
        <v>0</v>
      </c>
      <c r="L426" s="207">
        <f>IF(ISNUMBER(VLOOKUP($B:$B,'BS(과거)'!$A:$F,$2:$2,0)),VLOOKUP($B:$B,'BS(과거)'!$A:$F,$2:$2,0),0)</f>
        <v>0</v>
      </c>
      <c r="N426" s="207">
        <f>IF(ISNUMBER(VLOOKUP($B:$B,'BS(분기)'!$A:$F,$2:$2,0)),VLOOKUP($B:$B,'BS(분기)'!$A:$F,$2:$2,0),0)</f>
        <v>0</v>
      </c>
      <c r="O426" s="207">
        <f>IF(ISNUMBER(VLOOKUP($B:$B,'BS(분기)'!$A:$F,$2:$2,0)),VLOOKUP($B:$B,'BS(분기)'!$A:$F,$2:$2,0),0)</f>
        <v>0</v>
      </c>
      <c r="P426" s="207">
        <f>IF(ISNUMBER(VLOOKUP($B:$B,'BS(분기)'!$A:$F,$2:$2,0)),VLOOKUP($B:$B,'BS(분기)'!$A:$F,$2:$2,0),0)</f>
        <v>0</v>
      </c>
      <c r="Q426" s="207">
        <f>IF(ISNUMBER(VLOOKUP($B:$B,'BS(분기)'!$A:$F,$2:$2,0)),VLOOKUP($B:$B,'BS(분기)'!$A:$F,$2:$2,0),0)</f>
        <v>0</v>
      </c>
      <c r="R426" s="207">
        <f>IF(ISNUMBER(VLOOKUP($B:$B,'BS(분기)'!$A:$F,$2:$2,0)),VLOOKUP($B:$B,'BS(분기)'!$A:$F,$2:$2,0),0)</f>
        <v>0</v>
      </c>
    </row>
    <row r="427" spans="1:18" s="192" customFormat="1" ht="12">
      <c r="A427" s="203">
        <v>113379</v>
      </c>
      <c r="B427" s="196" t="s">
        <v>1049</v>
      </c>
      <c r="C427" s="217">
        <f>IF(ISNUMBER(VLOOKUP($B:$B,BS!$A:$D,$2:$2,0)),VLOOKUP($B:$B,BS!$A:$D,$2:$2,0),0)</f>
        <v>0</v>
      </c>
      <c r="D427" s="217">
        <f>IF(ISNUMBER(VLOOKUP($B:$B,BS!$A:$D,$2:$2,0)),VLOOKUP($B:$B,BS!$A:$D,$2:$2,0),0)</f>
        <v>0</v>
      </c>
      <c r="E427" s="217">
        <f>IF(ISNUMBER(VLOOKUP($B:$B,BS!$A:$D,$2:$2,0)),VLOOKUP($B:$B,BS!$A:$D,$2:$2,0),0)</f>
        <v>0</v>
      </c>
      <c r="F427" s="217">
        <f>IF(ISNUMBER(VLOOKUP($B:$B,BS!$A:$D,$2:$2,0)),VLOOKUP($B:$B,BS!$A:$D,$2:$2,0),0)</f>
        <v>0</v>
      </c>
      <c r="G427" s="217">
        <f>IF(ISNUMBER(VLOOKUP($B:$B,BS!$A:$D,$2:$2,0)),VLOOKUP($B:$B,BS!$A:$D,$2:$2,0),0)</f>
        <v>0</v>
      </c>
      <c r="H427" s="207">
        <f>IF(ISNUMBER(VLOOKUP($B:$B,'BS(과거)'!$A:$F,$2:$2,0)),VLOOKUP($B:$B,'BS(과거)'!$A:$F,$2:$2,0),0)</f>
        <v>0</v>
      </c>
      <c r="I427" s="207">
        <f>IF(ISNUMBER(VLOOKUP($B:$B,'BS(과거)'!$A:$F,$2:$2,0)),VLOOKUP($B:$B,'BS(과거)'!$A:$F,$2:$2,0),0)</f>
        <v>0</v>
      </c>
      <c r="J427" s="207">
        <f>IF(ISNUMBER(VLOOKUP($B:$B,'BS(과거)'!$A:$F,$2:$2,0)),VLOOKUP($B:$B,'BS(과거)'!$A:$F,$2:$2,0),0)</f>
        <v>0</v>
      </c>
      <c r="K427" s="207">
        <f>IF(ISNUMBER(VLOOKUP($B:$B,'BS(과거)'!$A:$F,$2:$2,0)),VLOOKUP($B:$B,'BS(과거)'!$A:$F,$2:$2,0),0)</f>
        <v>0</v>
      </c>
      <c r="L427" s="207">
        <f>IF(ISNUMBER(VLOOKUP($B:$B,'BS(과거)'!$A:$F,$2:$2,0)),VLOOKUP($B:$B,'BS(과거)'!$A:$F,$2:$2,0),0)</f>
        <v>0</v>
      </c>
      <c r="N427" s="207">
        <f>IF(ISNUMBER(VLOOKUP($B:$B,'BS(분기)'!$A:$F,$2:$2,0)),VLOOKUP($B:$B,'BS(분기)'!$A:$F,$2:$2,0),0)</f>
        <v>0</v>
      </c>
      <c r="O427" s="207">
        <f>IF(ISNUMBER(VLOOKUP($B:$B,'BS(분기)'!$A:$F,$2:$2,0)),VLOOKUP($B:$B,'BS(분기)'!$A:$F,$2:$2,0),0)</f>
        <v>0</v>
      </c>
      <c r="P427" s="207">
        <f>IF(ISNUMBER(VLOOKUP($B:$B,'BS(분기)'!$A:$F,$2:$2,0)),VLOOKUP($B:$B,'BS(분기)'!$A:$F,$2:$2,0),0)</f>
        <v>0</v>
      </c>
      <c r="Q427" s="207">
        <f>IF(ISNUMBER(VLOOKUP($B:$B,'BS(분기)'!$A:$F,$2:$2,0)),VLOOKUP($B:$B,'BS(분기)'!$A:$F,$2:$2,0),0)</f>
        <v>0</v>
      </c>
      <c r="R427" s="207">
        <f>IF(ISNUMBER(VLOOKUP($B:$B,'BS(분기)'!$A:$F,$2:$2,0)),VLOOKUP($B:$B,'BS(분기)'!$A:$F,$2:$2,0),0)</f>
        <v>0</v>
      </c>
    </row>
    <row r="428" spans="1:18" s="192" customFormat="1" ht="12">
      <c r="A428" s="203">
        <v>113380</v>
      </c>
      <c r="B428" s="196" t="s">
        <v>1050</v>
      </c>
      <c r="C428" s="217">
        <f>IF(ISNUMBER(VLOOKUP($B:$B,BS!$A:$D,$2:$2,0)),VLOOKUP($B:$B,BS!$A:$D,$2:$2,0),0)</f>
        <v>0</v>
      </c>
      <c r="D428" s="217">
        <f>IF(ISNUMBER(VLOOKUP($B:$B,BS!$A:$D,$2:$2,0)),VLOOKUP($B:$B,BS!$A:$D,$2:$2,0),0)</f>
        <v>0</v>
      </c>
      <c r="E428" s="217">
        <f>IF(ISNUMBER(VLOOKUP($B:$B,BS!$A:$D,$2:$2,0)),VLOOKUP($B:$B,BS!$A:$D,$2:$2,0),0)</f>
        <v>0</v>
      </c>
      <c r="F428" s="217">
        <f>IF(ISNUMBER(VLOOKUP($B:$B,BS!$A:$D,$2:$2,0)),VLOOKUP($B:$B,BS!$A:$D,$2:$2,0),0)</f>
        <v>0</v>
      </c>
      <c r="G428" s="217">
        <f>IF(ISNUMBER(VLOOKUP($B:$B,BS!$A:$D,$2:$2,0)),VLOOKUP($B:$B,BS!$A:$D,$2:$2,0),0)</f>
        <v>0</v>
      </c>
      <c r="H428" s="207">
        <f>IF(ISNUMBER(VLOOKUP($B:$B,'BS(과거)'!$A:$F,$2:$2,0)),VLOOKUP($B:$B,'BS(과거)'!$A:$F,$2:$2,0),0)</f>
        <v>0</v>
      </c>
      <c r="I428" s="207">
        <f>IF(ISNUMBER(VLOOKUP($B:$B,'BS(과거)'!$A:$F,$2:$2,0)),VLOOKUP($B:$B,'BS(과거)'!$A:$F,$2:$2,0),0)</f>
        <v>0</v>
      </c>
      <c r="J428" s="207">
        <f>IF(ISNUMBER(VLOOKUP($B:$B,'BS(과거)'!$A:$F,$2:$2,0)),VLOOKUP($B:$B,'BS(과거)'!$A:$F,$2:$2,0),0)</f>
        <v>0</v>
      </c>
      <c r="K428" s="207">
        <f>IF(ISNUMBER(VLOOKUP($B:$B,'BS(과거)'!$A:$F,$2:$2,0)),VLOOKUP($B:$B,'BS(과거)'!$A:$F,$2:$2,0),0)</f>
        <v>0</v>
      </c>
      <c r="L428" s="207">
        <f>IF(ISNUMBER(VLOOKUP($B:$B,'BS(과거)'!$A:$F,$2:$2,0)),VLOOKUP($B:$B,'BS(과거)'!$A:$F,$2:$2,0),0)</f>
        <v>0</v>
      </c>
      <c r="N428" s="207">
        <f>IF(ISNUMBER(VLOOKUP($B:$B,'BS(분기)'!$A:$F,$2:$2,0)),VLOOKUP($B:$B,'BS(분기)'!$A:$F,$2:$2,0),0)</f>
        <v>0</v>
      </c>
      <c r="O428" s="207">
        <f>IF(ISNUMBER(VLOOKUP($B:$B,'BS(분기)'!$A:$F,$2:$2,0)),VLOOKUP($B:$B,'BS(분기)'!$A:$F,$2:$2,0),0)</f>
        <v>0</v>
      </c>
      <c r="P428" s="207">
        <f>IF(ISNUMBER(VLOOKUP($B:$B,'BS(분기)'!$A:$F,$2:$2,0)),VLOOKUP($B:$B,'BS(분기)'!$A:$F,$2:$2,0),0)</f>
        <v>0</v>
      </c>
      <c r="Q428" s="207">
        <f>IF(ISNUMBER(VLOOKUP($B:$B,'BS(분기)'!$A:$F,$2:$2,0)),VLOOKUP($B:$B,'BS(분기)'!$A:$F,$2:$2,0),0)</f>
        <v>0</v>
      </c>
      <c r="R428" s="207">
        <f>IF(ISNUMBER(VLOOKUP($B:$B,'BS(분기)'!$A:$F,$2:$2,0)),VLOOKUP($B:$B,'BS(분기)'!$A:$F,$2:$2,0),0)</f>
        <v>0</v>
      </c>
    </row>
    <row r="429" spans="1:18" s="192" customFormat="1" ht="12">
      <c r="A429" s="203">
        <v>113381</v>
      </c>
      <c r="B429" s="196" t="s">
        <v>1051</v>
      </c>
      <c r="C429" s="217">
        <f>IF(ISNUMBER(VLOOKUP($B:$B,BS!$A:$D,$2:$2,0)),VLOOKUP($B:$B,BS!$A:$D,$2:$2,0),0)</f>
        <v>0</v>
      </c>
      <c r="D429" s="217">
        <f>IF(ISNUMBER(VLOOKUP($B:$B,BS!$A:$D,$2:$2,0)),VLOOKUP($B:$B,BS!$A:$D,$2:$2,0),0)</f>
        <v>0</v>
      </c>
      <c r="E429" s="217">
        <f>IF(ISNUMBER(VLOOKUP($B:$B,BS!$A:$D,$2:$2,0)),VLOOKUP($B:$B,BS!$A:$D,$2:$2,0),0)</f>
        <v>0</v>
      </c>
      <c r="F429" s="217">
        <f>IF(ISNUMBER(VLOOKUP($B:$B,BS!$A:$D,$2:$2,0)),VLOOKUP($B:$B,BS!$A:$D,$2:$2,0),0)</f>
        <v>0</v>
      </c>
      <c r="G429" s="217">
        <f>IF(ISNUMBER(VLOOKUP($B:$B,BS!$A:$D,$2:$2,0)),VLOOKUP($B:$B,BS!$A:$D,$2:$2,0),0)</f>
        <v>0</v>
      </c>
      <c r="H429" s="207">
        <f>IF(ISNUMBER(VLOOKUP($B:$B,'BS(과거)'!$A:$F,$2:$2,0)),VLOOKUP($B:$B,'BS(과거)'!$A:$F,$2:$2,0),0)</f>
        <v>0</v>
      </c>
      <c r="I429" s="207">
        <f>IF(ISNUMBER(VLOOKUP($B:$B,'BS(과거)'!$A:$F,$2:$2,0)),VLOOKUP($B:$B,'BS(과거)'!$A:$F,$2:$2,0),0)</f>
        <v>0</v>
      </c>
      <c r="J429" s="207">
        <f>IF(ISNUMBER(VLOOKUP($B:$B,'BS(과거)'!$A:$F,$2:$2,0)),VLOOKUP($B:$B,'BS(과거)'!$A:$F,$2:$2,0),0)</f>
        <v>0</v>
      </c>
      <c r="K429" s="207">
        <f>IF(ISNUMBER(VLOOKUP($B:$B,'BS(과거)'!$A:$F,$2:$2,0)),VLOOKUP($B:$B,'BS(과거)'!$A:$F,$2:$2,0),0)</f>
        <v>0</v>
      </c>
      <c r="L429" s="207">
        <f>IF(ISNUMBER(VLOOKUP($B:$B,'BS(과거)'!$A:$F,$2:$2,0)),VLOOKUP($B:$B,'BS(과거)'!$A:$F,$2:$2,0),0)</f>
        <v>0</v>
      </c>
      <c r="N429" s="207">
        <f>IF(ISNUMBER(VLOOKUP($B:$B,'BS(분기)'!$A:$F,$2:$2,0)),VLOOKUP($B:$B,'BS(분기)'!$A:$F,$2:$2,0),0)</f>
        <v>0</v>
      </c>
      <c r="O429" s="207">
        <f>IF(ISNUMBER(VLOOKUP($B:$B,'BS(분기)'!$A:$F,$2:$2,0)),VLOOKUP($B:$B,'BS(분기)'!$A:$F,$2:$2,0),0)</f>
        <v>0</v>
      </c>
      <c r="P429" s="207">
        <f>IF(ISNUMBER(VLOOKUP($B:$B,'BS(분기)'!$A:$F,$2:$2,0)),VLOOKUP($B:$B,'BS(분기)'!$A:$F,$2:$2,0),0)</f>
        <v>0</v>
      </c>
      <c r="Q429" s="207">
        <f>IF(ISNUMBER(VLOOKUP($B:$B,'BS(분기)'!$A:$F,$2:$2,0)),VLOOKUP($B:$B,'BS(분기)'!$A:$F,$2:$2,0),0)</f>
        <v>0</v>
      </c>
      <c r="R429" s="207">
        <f>IF(ISNUMBER(VLOOKUP($B:$B,'BS(분기)'!$A:$F,$2:$2,0)),VLOOKUP($B:$B,'BS(분기)'!$A:$F,$2:$2,0),0)</f>
        <v>0</v>
      </c>
    </row>
    <row r="430" spans="1:18" s="192" customFormat="1" ht="12">
      <c r="A430" s="201">
        <v>113600</v>
      </c>
      <c r="B430" s="194" t="s">
        <v>820</v>
      </c>
      <c r="C430" s="217">
        <f>IF(ISNUMBER(VLOOKUP($B:$B,BS!$A:$D,$2:$2,0)),VLOOKUP($B:$B,BS!$A:$D,$2:$2,0),0)</f>
        <v>0</v>
      </c>
      <c r="D430" s="217">
        <f>IF(ISNUMBER(VLOOKUP($B:$B,BS!$A:$D,$2:$2,0)),VLOOKUP($B:$B,BS!$A:$D,$2:$2,0),0)</f>
        <v>0</v>
      </c>
      <c r="E430" s="217">
        <f>IF(ISNUMBER(VLOOKUP($B:$B,BS!$A:$D,$2:$2,0)),VLOOKUP($B:$B,BS!$A:$D,$2:$2,0),0)</f>
        <v>0</v>
      </c>
      <c r="F430" s="217">
        <f>IF(ISNUMBER(VLOOKUP($B:$B,BS!$A:$D,$2:$2,0)),VLOOKUP($B:$B,BS!$A:$D,$2:$2,0),0)</f>
        <v>0</v>
      </c>
      <c r="G430" s="217">
        <f>IF(ISNUMBER(VLOOKUP($B:$B,BS!$A:$D,$2:$2,0)),VLOOKUP($B:$B,BS!$A:$D,$2:$2,0),0)</f>
        <v>0</v>
      </c>
      <c r="H430" s="207">
        <f>IF(ISNUMBER(VLOOKUP($B:$B,'BS(과거)'!$A:$F,$2:$2,0)),VLOOKUP($B:$B,'BS(과거)'!$A:$F,$2:$2,0),0)</f>
        <v>0</v>
      </c>
      <c r="I430" s="207">
        <f>IF(ISNUMBER(VLOOKUP($B:$B,'BS(과거)'!$A:$F,$2:$2,0)),VLOOKUP($B:$B,'BS(과거)'!$A:$F,$2:$2,0),0)</f>
        <v>0</v>
      </c>
      <c r="J430" s="207">
        <f>IF(ISNUMBER(VLOOKUP($B:$B,'BS(과거)'!$A:$F,$2:$2,0)),VLOOKUP($B:$B,'BS(과거)'!$A:$F,$2:$2,0),0)</f>
        <v>0</v>
      </c>
      <c r="K430" s="207">
        <f>IF(ISNUMBER(VLOOKUP($B:$B,'BS(과거)'!$A:$F,$2:$2,0)),VLOOKUP($B:$B,'BS(과거)'!$A:$F,$2:$2,0),0)</f>
        <v>0</v>
      </c>
      <c r="L430" s="207">
        <f>IF(ISNUMBER(VLOOKUP($B:$B,'BS(과거)'!$A:$F,$2:$2,0)),VLOOKUP($B:$B,'BS(과거)'!$A:$F,$2:$2,0),0)</f>
        <v>0</v>
      </c>
      <c r="N430" s="207">
        <f>IF(ISNUMBER(VLOOKUP($B:$B,'BS(분기)'!$A:$F,$2:$2,0)),VLOOKUP($B:$B,'BS(분기)'!$A:$F,$2:$2,0),0)</f>
        <v>0</v>
      </c>
      <c r="O430" s="207">
        <f>IF(ISNUMBER(VLOOKUP($B:$B,'BS(분기)'!$A:$F,$2:$2,0)),VLOOKUP($B:$B,'BS(분기)'!$A:$F,$2:$2,0),0)</f>
        <v>0</v>
      </c>
      <c r="P430" s="207">
        <f>IF(ISNUMBER(VLOOKUP($B:$B,'BS(분기)'!$A:$F,$2:$2,0)),VLOOKUP($B:$B,'BS(분기)'!$A:$F,$2:$2,0),0)</f>
        <v>0</v>
      </c>
      <c r="Q430" s="207">
        <f>IF(ISNUMBER(VLOOKUP($B:$B,'BS(분기)'!$A:$F,$2:$2,0)),VLOOKUP($B:$B,'BS(분기)'!$A:$F,$2:$2,0),0)</f>
        <v>0</v>
      </c>
      <c r="R430" s="207">
        <f>IF(ISNUMBER(VLOOKUP($B:$B,'BS(분기)'!$A:$F,$2:$2,0)),VLOOKUP($B:$B,'BS(분기)'!$A:$F,$2:$2,0),0)</f>
        <v>0</v>
      </c>
    </row>
    <row r="431" spans="1:18" s="192" customFormat="1" ht="12">
      <c r="A431" s="201">
        <v>113690</v>
      </c>
      <c r="B431" s="194" t="s">
        <v>1164</v>
      </c>
      <c r="C431" s="217">
        <f>IF(ISNUMBER(VLOOKUP($B:$B,BS!$A:$D,$2:$2,0)),VLOOKUP($B:$B,BS!$A:$D,$2:$2,0),0)</f>
        <v>0</v>
      </c>
      <c r="D431" s="217">
        <f>IF(ISNUMBER(VLOOKUP($B:$B,BS!$A:$D,$2:$2,0)),VLOOKUP($B:$B,BS!$A:$D,$2:$2,0),0)</f>
        <v>0</v>
      </c>
      <c r="E431" s="217">
        <f>IF(ISNUMBER(VLOOKUP($B:$B,BS!$A:$D,$2:$2,0)),VLOOKUP($B:$B,BS!$A:$D,$2:$2,0),0)</f>
        <v>0</v>
      </c>
      <c r="F431" s="217">
        <f>IF(ISNUMBER(VLOOKUP($B:$B,BS!$A:$D,$2:$2,0)),VLOOKUP($B:$B,BS!$A:$D,$2:$2,0),0)</f>
        <v>0</v>
      </c>
      <c r="G431" s="217">
        <f>IF(ISNUMBER(VLOOKUP($B:$B,BS!$A:$D,$2:$2,0)),VLOOKUP($B:$B,BS!$A:$D,$2:$2,0),0)</f>
        <v>0</v>
      </c>
      <c r="H431" s="207">
        <f>IF(ISNUMBER(VLOOKUP($B:$B,'BS(과거)'!$A:$F,$2:$2,0)),VLOOKUP($B:$B,'BS(과거)'!$A:$F,$2:$2,0),0)</f>
        <v>0</v>
      </c>
      <c r="I431" s="207">
        <f>IF(ISNUMBER(VLOOKUP($B:$B,'BS(과거)'!$A:$F,$2:$2,0)),VLOOKUP($B:$B,'BS(과거)'!$A:$F,$2:$2,0),0)</f>
        <v>0</v>
      </c>
      <c r="J431" s="207">
        <f>IF(ISNUMBER(VLOOKUP($B:$B,'BS(과거)'!$A:$F,$2:$2,0)),VLOOKUP($B:$B,'BS(과거)'!$A:$F,$2:$2,0),0)</f>
        <v>0</v>
      </c>
      <c r="K431" s="207">
        <f>IF(ISNUMBER(VLOOKUP($B:$B,'BS(과거)'!$A:$F,$2:$2,0)),VLOOKUP($B:$B,'BS(과거)'!$A:$F,$2:$2,0),0)</f>
        <v>0</v>
      </c>
      <c r="L431" s="207">
        <f>IF(ISNUMBER(VLOOKUP($B:$B,'BS(과거)'!$A:$F,$2:$2,0)),VLOOKUP($B:$B,'BS(과거)'!$A:$F,$2:$2,0),0)</f>
        <v>0</v>
      </c>
      <c r="N431" s="207">
        <f>IF(ISNUMBER(VLOOKUP($B:$B,'BS(분기)'!$A:$F,$2:$2,0)),VLOOKUP($B:$B,'BS(분기)'!$A:$F,$2:$2,0),0)</f>
        <v>0</v>
      </c>
      <c r="O431" s="207">
        <f>IF(ISNUMBER(VLOOKUP($B:$B,'BS(분기)'!$A:$F,$2:$2,0)),VLOOKUP($B:$B,'BS(분기)'!$A:$F,$2:$2,0),0)</f>
        <v>0</v>
      </c>
      <c r="P431" s="207">
        <f>IF(ISNUMBER(VLOOKUP($B:$B,'BS(분기)'!$A:$F,$2:$2,0)),VLOOKUP($B:$B,'BS(분기)'!$A:$F,$2:$2,0),0)</f>
        <v>0</v>
      </c>
      <c r="Q431" s="207">
        <f>IF(ISNUMBER(VLOOKUP($B:$B,'BS(분기)'!$A:$F,$2:$2,0)),VLOOKUP($B:$B,'BS(분기)'!$A:$F,$2:$2,0),0)</f>
        <v>0</v>
      </c>
      <c r="R431" s="207">
        <f>IF(ISNUMBER(VLOOKUP($B:$B,'BS(분기)'!$A:$F,$2:$2,0)),VLOOKUP($B:$B,'BS(분기)'!$A:$F,$2:$2,0),0)</f>
        <v>0</v>
      </c>
    </row>
    <row r="432" spans="1:18" s="192" customFormat="1" ht="12">
      <c r="A432" s="201">
        <v>113691</v>
      </c>
      <c r="B432" s="194" t="s">
        <v>1165</v>
      </c>
      <c r="C432" s="217">
        <f>IF(ISNUMBER(VLOOKUP($B:$B,BS!$A:$D,$2:$2,0)),VLOOKUP($B:$B,BS!$A:$D,$2:$2,0),0)</f>
        <v>0</v>
      </c>
      <c r="D432" s="217">
        <f>IF(ISNUMBER(VLOOKUP($B:$B,BS!$A:$D,$2:$2,0)),VLOOKUP($B:$B,BS!$A:$D,$2:$2,0),0)</f>
        <v>0</v>
      </c>
      <c r="E432" s="217">
        <f>IF(ISNUMBER(VLOOKUP($B:$B,BS!$A:$D,$2:$2,0)),VLOOKUP($B:$B,BS!$A:$D,$2:$2,0),0)</f>
        <v>0</v>
      </c>
      <c r="F432" s="217">
        <f>IF(ISNUMBER(VLOOKUP($B:$B,BS!$A:$D,$2:$2,0)),VLOOKUP($B:$B,BS!$A:$D,$2:$2,0),0)</f>
        <v>0</v>
      </c>
      <c r="G432" s="217">
        <f>IF(ISNUMBER(VLOOKUP($B:$B,BS!$A:$D,$2:$2,0)),VLOOKUP($B:$B,BS!$A:$D,$2:$2,0),0)</f>
        <v>0</v>
      </c>
      <c r="H432" s="207">
        <f>IF(ISNUMBER(VLOOKUP($B:$B,'BS(과거)'!$A:$F,$2:$2,0)),VLOOKUP($B:$B,'BS(과거)'!$A:$F,$2:$2,0),0)</f>
        <v>0</v>
      </c>
      <c r="I432" s="207">
        <f>IF(ISNUMBER(VLOOKUP($B:$B,'BS(과거)'!$A:$F,$2:$2,0)),VLOOKUP($B:$B,'BS(과거)'!$A:$F,$2:$2,0),0)</f>
        <v>0</v>
      </c>
      <c r="J432" s="207">
        <f>IF(ISNUMBER(VLOOKUP($B:$B,'BS(과거)'!$A:$F,$2:$2,0)),VLOOKUP($B:$B,'BS(과거)'!$A:$F,$2:$2,0),0)</f>
        <v>0</v>
      </c>
      <c r="K432" s="207">
        <f>IF(ISNUMBER(VLOOKUP($B:$B,'BS(과거)'!$A:$F,$2:$2,0)),VLOOKUP($B:$B,'BS(과거)'!$A:$F,$2:$2,0),0)</f>
        <v>0</v>
      </c>
      <c r="L432" s="207">
        <f>IF(ISNUMBER(VLOOKUP($B:$B,'BS(과거)'!$A:$F,$2:$2,0)),VLOOKUP($B:$B,'BS(과거)'!$A:$F,$2:$2,0),0)</f>
        <v>0</v>
      </c>
      <c r="N432" s="207">
        <f>IF(ISNUMBER(VLOOKUP($B:$B,'BS(분기)'!$A:$F,$2:$2,0)),VLOOKUP($B:$B,'BS(분기)'!$A:$F,$2:$2,0),0)</f>
        <v>0</v>
      </c>
      <c r="O432" s="207">
        <f>IF(ISNUMBER(VLOOKUP($B:$B,'BS(분기)'!$A:$F,$2:$2,0)),VLOOKUP($B:$B,'BS(분기)'!$A:$F,$2:$2,0),0)</f>
        <v>0</v>
      </c>
      <c r="P432" s="207">
        <f>IF(ISNUMBER(VLOOKUP($B:$B,'BS(분기)'!$A:$F,$2:$2,0)),VLOOKUP($B:$B,'BS(분기)'!$A:$F,$2:$2,0),0)</f>
        <v>0</v>
      </c>
      <c r="Q432" s="207">
        <f>IF(ISNUMBER(VLOOKUP($B:$B,'BS(분기)'!$A:$F,$2:$2,0)),VLOOKUP($B:$B,'BS(분기)'!$A:$F,$2:$2,0),0)</f>
        <v>0</v>
      </c>
      <c r="R432" s="207">
        <f>IF(ISNUMBER(VLOOKUP($B:$B,'BS(분기)'!$A:$F,$2:$2,0)),VLOOKUP($B:$B,'BS(분기)'!$A:$F,$2:$2,0),0)</f>
        <v>0</v>
      </c>
    </row>
    <row r="433" spans="1:18" s="192" customFormat="1" ht="12">
      <c r="A433" s="202">
        <v>112261</v>
      </c>
      <c r="B433" s="195" t="s">
        <v>821</v>
      </c>
      <c r="C433" s="217">
        <f>IF(ISNUMBER(VLOOKUP($B:$B,BS!$A:$D,$2:$2,0)),VLOOKUP($B:$B,BS!$A:$D,$2:$2,0),0)</f>
        <v>0</v>
      </c>
      <c r="D433" s="217">
        <f>IF(ISNUMBER(VLOOKUP($B:$B,BS!$A:$D,$2:$2,0)),VLOOKUP($B:$B,BS!$A:$D,$2:$2,0),0)</f>
        <v>0</v>
      </c>
      <c r="E433" s="217">
        <f>IF(ISNUMBER(VLOOKUP($B:$B,BS!$A:$D,$2:$2,0)),VLOOKUP($B:$B,BS!$A:$D,$2:$2,0),0)</f>
        <v>0</v>
      </c>
      <c r="F433" s="217">
        <f>IF(ISNUMBER(VLOOKUP($B:$B,BS!$A:$D,$2:$2,0)),VLOOKUP($B:$B,BS!$A:$D,$2:$2,0),0)</f>
        <v>0</v>
      </c>
      <c r="G433" s="217">
        <f>IF(ISNUMBER(VLOOKUP($B:$B,BS!$A:$D,$2:$2,0)),VLOOKUP($B:$B,BS!$A:$D,$2:$2,0),0)</f>
        <v>0</v>
      </c>
      <c r="H433" s="207">
        <f>IF(ISNUMBER(VLOOKUP($B:$B,'BS(과거)'!$A:$F,$2:$2,0)),VLOOKUP($B:$B,'BS(과거)'!$A:$F,$2:$2,0),0)</f>
        <v>0</v>
      </c>
      <c r="I433" s="207">
        <f>IF(ISNUMBER(VLOOKUP($B:$B,'BS(과거)'!$A:$F,$2:$2,0)),VLOOKUP($B:$B,'BS(과거)'!$A:$F,$2:$2,0),0)</f>
        <v>0</v>
      </c>
      <c r="J433" s="207">
        <f>IF(ISNUMBER(VLOOKUP($B:$B,'BS(과거)'!$A:$F,$2:$2,0)),VLOOKUP($B:$B,'BS(과거)'!$A:$F,$2:$2,0),0)</f>
        <v>0</v>
      </c>
      <c r="K433" s="207">
        <f>IF(ISNUMBER(VLOOKUP($B:$B,'BS(과거)'!$A:$F,$2:$2,0)),VLOOKUP($B:$B,'BS(과거)'!$A:$F,$2:$2,0),0)</f>
        <v>0</v>
      </c>
      <c r="L433" s="207">
        <f>IF(ISNUMBER(VLOOKUP($B:$B,'BS(과거)'!$A:$F,$2:$2,0)),VLOOKUP($B:$B,'BS(과거)'!$A:$F,$2:$2,0),0)</f>
        <v>0</v>
      </c>
      <c r="N433" s="207">
        <f>IF(ISNUMBER(VLOOKUP($B:$B,'BS(분기)'!$A:$F,$2:$2,0)),VLOOKUP($B:$B,'BS(분기)'!$A:$F,$2:$2,0),0)</f>
        <v>0</v>
      </c>
      <c r="O433" s="207">
        <f>IF(ISNUMBER(VLOOKUP($B:$B,'BS(분기)'!$A:$F,$2:$2,0)),VLOOKUP($B:$B,'BS(분기)'!$A:$F,$2:$2,0),0)</f>
        <v>0</v>
      </c>
      <c r="P433" s="207">
        <f>IF(ISNUMBER(VLOOKUP($B:$B,'BS(분기)'!$A:$F,$2:$2,0)),VLOOKUP($B:$B,'BS(분기)'!$A:$F,$2:$2,0),0)</f>
        <v>0</v>
      </c>
      <c r="Q433" s="207">
        <f>IF(ISNUMBER(VLOOKUP($B:$B,'BS(분기)'!$A:$F,$2:$2,0)),VLOOKUP($B:$B,'BS(분기)'!$A:$F,$2:$2,0),0)</f>
        <v>0</v>
      </c>
      <c r="R433" s="207">
        <f>IF(ISNUMBER(VLOOKUP($B:$B,'BS(분기)'!$A:$F,$2:$2,0)),VLOOKUP($B:$B,'BS(분기)'!$A:$F,$2:$2,0),0)</f>
        <v>0</v>
      </c>
    </row>
    <row r="434" spans="1:18" s="192" customFormat="1" ht="12">
      <c r="A434" s="202">
        <v>112262</v>
      </c>
      <c r="B434" s="195" t="s">
        <v>1166</v>
      </c>
      <c r="C434" s="217">
        <f>IF(ISNUMBER(VLOOKUP($B:$B,BS!$A:$D,$2:$2,0)),VLOOKUP($B:$B,BS!$A:$D,$2:$2,0),0)</f>
        <v>0</v>
      </c>
      <c r="D434" s="217">
        <f>IF(ISNUMBER(VLOOKUP($B:$B,BS!$A:$D,$2:$2,0)),VLOOKUP($B:$B,BS!$A:$D,$2:$2,0),0)</f>
        <v>0</v>
      </c>
      <c r="E434" s="217">
        <f>IF(ISNUMBER(VLOOKUP($B:$B,BS!$A:$D,$2:$2,0)),VLOOKUP($B:$B,BS!$A:$D,$2:$2,0),0)</f>
        <v>0</v>
      </c>
      <c r="F434" s="217">
        <f>IF(ISNUMBER(VLOOKUP($B:$B,BS!$A:$D,$2:$2,0)),VLOOKUP($B:$B,BS!$A:$D,$2:$2,0),0)</f>
        <v>0</v>
      </c>
      <c r="G434" s="217">
        <f>IF(ISNUMBER(VLOOKUP($B:$B,BS!$A:$D,$2:$2,0)),VLOOKUP($B:$B,BS!$A:$D,$2:$2,0),0)</f>
        <v>0</v>
      </c>
      <c r="H434" s="207">
        <f>IF(ISNUMBER(VLOOKUP($B:$B,'BS(과거)'!$A:$F,$2:$2,0)),VLOOKUP($B:$B,'BS(과거)'!$A:$F,$2:$2,0),0)</f>
        <v>0</v>
      </c>
      <c r="I434" s="207">
        <f>IF(ISNUMBER(VLOOKUP($B:$B,'BS(과거)'!$A:$F,$2:$2,0)),VLOOKUP($B:$B,'BS(과거)'!$A:$F,$2:$2,0),0)</f>
        <v>0</v>
      </c>
      <c r="J434" s="207">
        <f>IF(ISNUMBER(VLOOKUP($B:$B,'BS(과거)'!$A:$F,$2:$2,0)),VLOOKUP($B:$B,'BS(과거)'!$A:$F,$2:$2,0),0)</f>
        <v>0</v>
      </c>
      <c r="K434" s="207">
        <f>IF(ISNUMBER(VLOOKUP($B:$B,'BS(과거)'!$A:$F,$2:$2,0)),VLOOKUP($B:$B,'BS(과거)'!$A:$F,$2:$2,0),0)</f>
        <v>0</v>
      </c>
      <c r="L434" s="207">
        <f>IF(ISNUMBER(VLOOKUP($B:$B,'BS(과거)'!$A:$F,$2:$2,0)),VLOOKUP($B:$B,'BS(과거)'!$A:$F,$2:$2,0),0)</f>
        <v>0</v>
      </c>
      <c r="N434" s="207">
        <f>IF(ISNUMBER(VLOOKUP($B:$B,'BS(분기)'!$A:$F,$2:$2,0)),VLOOKUP($B:$B,'BS(분기)'!$A:$F,$2:$2,0),0)</f>
        <v>0</v>
      </c>
      <c r="O434" s="207">
        <f>IF(ISNUMBER(VLOOKUP($B:$B,'BS(분기)'!$A:$F,$2:$2,0)),VLOOKUP($B:$B,'BS(분기)'!$A:$F,$2:$2,0),0)</f>
        <v>0</v>
      </c>
      <c r="P434" s="207">
        <f>IF(ISNUMBER(VLOOKUP($B:$B,'BS(분기)'!$A:$F,$2:$2,0)),VLOOKUP($B:$B,'BS(분기)'!$A:$F,$2:$2,0),0)</f>
        <v>0</v>
      </c>
      <c r="Q434" s="207">
        <f>IF(ISNUMBER(VLOOKUP($B:$B,'BS(분기)'!$A:$F,$2:$2,0)),VLOOKUP($B:$B,'BS(분기)'!$A:$F,$2:$2,0),0)</f>
        <v>0</v>
      </c>
      <c r="R434" s="207">
        <f>IF(ISNUMBER(VLOOKUP($B:$B,'BS(분기)'!$A:$F,$2:$2,0)),VLOOKUP($B:$B,'BS(분기)'!$A:$F,$2:$2,0),0)</f>
        <v>0</v>
      </c>
    </row>
    <row r="435" spans="1:18" s="192" customFormat="1" ht="12">
      <c r="A435" s="202">
        <v>112270</v>
      </c>
      <c r="B435" s="195" t="s">
        <v>822</v>
      </c>
      <c r="C435" s="217">
        <f>IF(ISNUMBER(VLOOKUP($B:$B,BS!$A:$D,$2:$2,0)),VLOOKUP($B:$B,BS!$A:$D,$2:$2,0),0)</f>
        <v>0</v>
      </c>
      <c r="D435" s="217">
        <f>IF(ISNUMBER(VLOOKUP($B:$B,BS!$A:$D,$2:$2,0)),VLOOKUP($B:$B,BS!$A:$D,$2:$2,0),0)</f>
        <v>0</v>
      </c>
      <c r="E435" s="217">
        <f>IF(ISNUMBER(VLOOKUP($B:$B,BS!$A:$D,$2:$2,0)),VLOOKUP($B:$B,BS!$A:$D,$2:$2,0),0)</f>
        <v>0</v>
      </c>
      <c r="F435" s="217">
        <f>IF(ISNUMBER(VLOOKUP($B:$B,BS!$A:$D,$2:$2,0)),VLOOKUP($B:$B,BS!$A:$D,$2:$2,0),0)</f>
        <v>0</v>
      </c>
      <c r="G435" s="217">
        <f>IF(ISNUMBER(VLOOKUP($B:$B,BS!$A:$D,$2:$2,0)),VLOOKUP($B:$B,BS!$A:$D,$2:$2,0),0)</f>
        <v>0</v>
      </c>
      <c r="H435" s="207">
        <f>IF(ISNUMBER(VLOOKUP($B:$B,'BS(과거)'!$A:$F,$2:$2,0)),VLOOKUP($B:$B,'BS(과거)'!$A:$F,$2:$2,0),0)</f>
        <v>0</v>
      </c>
      <c r="I435" s="207">
        <f>IF(ISNUMBER(VLOOKUP($B:$B,'BS(과거)'!$A:$F,$2:$2,0)),VLOOKUP($B:$B,'BS(과거)'!$A:$F,$2:$2,0),0)</f>
        <v>0</v>
      </c>
      <c r="J435" s="207">
        <f>IF(ISNUMBER(VLOOKUP($B:$B,'BS(과거)'!$A:$F,$2:$2,0)),VLOOKUP($B:$B,'BS(과거)'!$A:$F,$2:$2,0),0)</f>
        <v>0</v>
      </c>
      <c r="K435" s="207">
        <f>IF(ISNUMBER(VLOOKUP($B:$B,'BS(과거)'!$A:$F,$2:$2,0)),VLOOKUP($B:$B,'BS(과거)'!$A:$F,$2:$2,0),0)</f>
        <v>0</v>
      </c>
      <c r="L435" s="207">
        <f>IF(ISNUMBER(VLOOKUP($B:$B,'BS(과거)'!$A:$F,$2:$2,0)),VLOOKUP($B:$B,'BS(과거)'!$A:$F,$2:$2,0),0)</f>
        <v>0</v>
      </c>
      <c r="N435" s="207">
        <f>IF(ISNUMBER(VLOOKUP($B:$B,'BS(분기)'!$A:$F,$2:$2,0)),VLOOKUP($B:$B,'BS(분기)'!$A:$F,$2:$2,0),0)</f>
        <v>0</v>
      </c>
      <c r="O435" s="207">
        <f>IF(ISNUMBER(VLOOKUP($B:$B,'BS(분기)'!$A:$F,$2:$2,0)),VLOOKUP($B:$B,'BS(분기)'!$A:$F,$2:$2,0),0)</f>
        <v>0</v>
      </c>
      <c r="P435" s="207">
        <f>IF(ISNUMBER(VLOOKUP($B:$B,'BS(분기)'!$A:$F,$2:$2,0)),VLOOKUP($B:$B,'BS(분기)'!$A:$F,$2:$2,0),0)</f>
        <v>0</v>
      </c>
      <c r="Q435" s="207">
        <f>IF(ISNUMBER(VLOOKUP($B:$B,'BS(분기)'!$A:$F,$2:$2,0)),VLOOKUP($B:$B,'BS(분기)'!$A:$F,$2:$2,0),0)</f>
        <v>0</v>
      </c>
      <c r="R435" s="207">
        <f>IF(ISNUMBER(VLOOKUP($B:$B,'BS(분기)'!$A:$F,$2:$2,0)),VLOOKUP($B:$B,'BS(분기)'!$A:$F,$2:$2,0),0)</f>
        <v>0</v>
      </c>
    </row>
    <row r="436" spans="1:18" s="192" customFormat="1" ht="12">
      <c r="A436" s="202">
        <v>113604</v>
      </c>
      <c r="B436" s="195" t="s">
        <v>954</v>
      </c>
      <c r="C436" s="217">
        <f>IF(ISNUMBER(VLOOKUP($B:$B,BS!$A:$D,$2:$2,0)),VLOOKUP($B:$B,BS!$A:$D,$2:$2,0),0)</f>
        <v>0</v>
      </c>
      <c r="D436" s="217">
        <f>IF(ISNUMBER(VLOOKUP($B:$B,BS!$A:$D,$2:$2,0)),VLOOKUP($B:$B,BS!$A:$D,$2:$2,0),0)</f>
        <v>0</v>
      </c>
      <c r="E436" s="217">
        <f>IF(ISNUMBER(VLOOKUP($B:$B,BS!$A:$D,$2:$2,0)),VLOOKUP($B:$B,BS!$A:$D,$2:$2,0),0)</f>
        <v>0</v>
      </c>
      <c r="F436" s="217">
        <f>IF(ISNUMBER(VLOOKUP($B:$B,BS!$A:$D,$2:$2,0)),VLOOKUP($B:$B,BS!$A:$D,$2:$2,0),0)</f>
        <v>0</v>
      </c>
      <c r="G436" s="217">
        <f>IF(ISNUMBER(VLOOKUP($B:$B,BS!$A:$D,$2:$2,0)),VLOOKUP($B:$B,BS!$A:$D,$2:$2,0),0)</f>
        <v>0</v>
      </c>
      <c r="H436" s="207">
        <f>IF(ISNUMBER(VLOOKUP($B:$B,'BS(과거)'!$A:$F,$2:$2,0)),VLOOKUP($B:$B,'BS(과거)'!$A:$F,$2:$2,0),0)</f>
        <v>0</v>
      </c>
      <c r="I436" s="207">
        <f>IF(ISNUMBER(VLOOKUP($B:$B,'BS(과거)'!$A:$F,$2:$2,0)),VLOOKUP($B:$B,'BS(과거)'!$A:$F,$2:$2,0),0)</f>
        <v>0</v>
      </c>
      <c r="J436" s="207">
        <f>IF(ISNUMBER(VLOOKUP($B:$B,'BS(과거)'!$A:$F,$2:$2,0)),VLOOKUP($B:$B,'BS(과거)'!$A:$F,$2:$2,0),0)</f>
        <v>0</v>
      </c>
      <c r="K436" s="207">
        <f>IF(ISNUMBER(VLOOKUP($B:$B,'BS(과거)'!$A:$F,$2:$2,0)),VLOOKUP($B:$B,'BS(과거)'!$A:$F,$2:$2,0),0)</f>
        <v>0</v>
      </c>
      <c r="L436" s="207">
        <f>IF(ISNUMBER(VLOOKUP($B:$B,'BS(과거)'!$A:$F,$2:$2,0)),VLOOKUP($B:$B,'BS(과거)'!$A:$F,$2:$2,0),0)</f>
        <v>0</v>
      </c>
      <c r="N436" s="207">
        <f>IF(ISNUMBER(VLOOKUP($B:$B,'BS(분기)'!$A:$F,$2:$2,0)),VLOOKUP($B:$B,'BS(분기)'!$A:$F,$2:$2,0),0)</f>
        <v>0</v>
      </c>
      <c r="O436" s="207">
        <f>IF(ISNUMBER(VLOOKUP($B:$B,'BS(분기)'!$A:$F,$2:$2,0)),VLOOKUP($B:$B,'BS(분기)'!$A:$F,$2:$2,0),0)</f>
        <v>0</v>
      </c>
      <c r="P436" s="207">
        <f>IF(ISNUMBER(VLOOKUP($B:$B,'BS(분기)'!$A:$F,$2:$2,0)),VLOOKUP($B:$B,'BS(분기)'!$A:$F,$2:$2,0),0)</f>
        <v>0</v>
      </c>
      <c r="Q436" s="207">
        <f>IF(ISNUMBER(VLOOKUP($B:$B,'BS(분기)'!$A:$F,$2:$2,0)),VLOOKUP($B:$B,'BS(분기)'!$A:$F,$2:$2,0),0)</f>
        <v>0</v>
      </c>
      <c r="R436" s="207">
        <f>IF(ISNUMBER(VLOOKUP($B:$B,'BS(분기)'!$A:$F,$2:$2,0)),VLOOKUP($B:$B,'BS(분기)'!$A:$F,$2:$2,0),0)</f>
        <v>0</v>
      </c>
    </row>
    <row r="437" spans="1:18" s="192" customFormat="1" ht="12">
      <c r="A437" s="202">
        <v>113606</v>
      </c>
      <c r="B437" s="195" t="s">
        <v>956</v>
      </c>
      <c r="C437" s="217">
        <f>IF(ISNUMBER(VLOOKUP($B:$B,BS!$A:$D,$2:$2,0)),VLOOKUP($B:$B,BS!$A:$D,$2:$2,0),0)</f>
        <v>0</v>
      </c>
      <c r="D437" s="217">
        <f>IF(ISNUMBER(VLOOKUP($B:$B,BS!$A:$D,$2:$2,0)),VLOOKUP($B:$B,BS!$A:$D,$2:$2,0),0)</f>
        <v>0</v>
      </c>
      <c r="E437" s="217">
        <f>IF(ISNUMBER(VLOOKUP($B:$B,BS!$A:$D,$2:$2,0)),VLOOKUP($B:$B,BS!$A:$D,$2:$2,0),0)</f>
        <v>0</v>
      </c>
      <c r="F437" s="217">
        <f>IF(ISNUMBER(VLOOKUP($B:$B,BS!$A:$D,$2:$2,0)),VLOOKUP($B:$B,BS!$A:$D,$2:$2,0),0)</f>
        <v>0</v>
      </c>
      <c r="G437" s="217">
        <f>IF(ISNUMBER(VLOOKUP($B:$B,BS!$A:$D,$2:$2,0)),VLOOKUP($B:$B,BS!$A:$D,$2:$2,0),0)</f>
        <v>0</v>
      </c>
      <c r="H437" s="207">
        <f>IF(ISNUMBER(VLOOKUP($B:$B,'BS(과거)'!$A:$F,$2:$2,0)),VLOOKUP($B:$B,'BS(과거)'!$A:$F,$2:$2,0),0)</f>
        <v>0</v>
      </c>
      <c r="I437" s="207">
        <f>IF(ISNUMBER(VLOOKUP($B:$B,'BS(과거)'!$A:$F,$2:$2,0)),VLOOKUP($B:$B,'BS(과거)'!$A:$F,$2:$2,0),0)</f>
        <v>0</v>
      </c>
      <c r="J437" s="207">
        <f>IF(ISNUMBER(VLOOKUP($B:$B,'BS(과거)'!$A:$F,$2:$2,0)),VLOOKUP($B:$B,'BS(과거)'!$A:$F,$2:$2,0),0)</f>
        <v>0</v>
      </c>
      <c r="K437" s="207">
        <f>IF(ISNUMBER(VLOOKUP($B:$B,'BS(과거)'!$A:$F,$2:$2,0)),VLOOKUP($B:$B,'BS(과거)'!$A:$F,$2:$2,0),0)</f>
        <v>0</v>
      </c>
      <c r="L437" s="207">
        <f>IF(ISNUMBER(VLOOKUP($B:$B,'BS(과거)'!$A:$F,$2:$2,0)),VLOOKUP($B:$B,'BS(과거)'!$A:$F,$2:$2,0),0)</f>
        <v>0</v>
      </c>
      <c r="N437" s="207">
        <f>IF(ISNUMBER(VLOOKUP($B:$B,'BS(분기)'!$A:$F,$2:$2,0)),VLOOKUP($B:$B,'BS(분기)'!$A:$F,$2:$2,0),0)</f>
        <v>0</v>
      </c>
      <c r="O437" s="207">
        <f>IF(ISNUMBER(VLOOKUP($B:$B,'BS(분기)'!$A:$F,$2:$2,0)),VLOOKUP($B:$B,'BS(분기)'!$A:$F,$2:$2,0),0)</f>
        <v>0</v>
      </c>
      <c r="P437" s="207">
        <f>IF(ISNUMBER(VLOOKUP($B:$B,'BS(분기)'!$A:$F,$2:$2,0)),VLOOKUP($B:$B,'BS(분기)'!$A:$F,$2:$2,0),0)</f>
        <v>0</v>
      </c>
      <c r="Q437" s="207">
        <f>IF(ISNUMBER(VLOOKUP($B:$B,'BS(분기)'!$A:$F,$2:$2,0)),VLOOKUP($B:$B,'BS(분기)'!$A:$F,$2:$2,0),0)</f>
        <v>0</v>
      </c>
      <c r="R437" s="207">
        <f>IF(ISNUMBER(VLOOKUP($B:$B,'BS(분기)'!$A:$F,$2:$2,0)),VLOOKUP($B:$B,'BS(분기)'!$A:$F,$2:$2,0),0)</f>
        <v>0</v>
      </c>
    </row>
    <row r="438" spans="1:18" s="192" customFormat="1" ht="12">
      <c r="A438" s="202">
        <v>113605</v>
      </c>
      <c r="B438" s="195" t="s">
        <v>955</v>
      </c>
      <c r="C438" s="217">
        <f>IF(ISNUMBER(VLOOKUP($B:$B,BS!$A:$D,$2:$2,0)),VLOOKUP($B:$B,BS!$A:$D,$2:$2,0),0)</f>
        <v>0</v>
      </c>
      <c r="D438" s="217">
        <f>IF(ISNUMBER(VLOOKUP($B:$B,BS!$A:$D,$2:$2,0)),VLOOKUP($B:$B,BS!$A:$D,$2:$2,0),0)</f>
        <v>0</v>
      </c>
      <c r="E438" s="217">
        <f>IF(ISNUMBER(VLOOKUP($B:$B,BS!$A:$D,$2:$2,0)),VLOOKUP($B:$B,BS!$A:$D,$2:$2,0),0)</f>
        <v>0</v>
      </c>
      <c r="F438" s="217">
        <f>IF(ISNUMBER(VLOOKUP($B:$B,BS!$A:$D,$2:$2,0)),VLOOKUP($B:$B,BS!$A:$D,$2:$2,0),0)</f>
        <v>0</v>
      </c>
      <c r="G438" s="217">
        <f>IF(ISNUMBER(VLOOKUP($B:$B,BS!$A:$D,$2:$2,0)),VLOOKUP($B:$B,BS!$A:$D,$2:$2,0),0)</f>
        <v>0</v>
      </c>
      <c r="H438" s="207">
        <f>IF(ISNUMBER(VLOOKUP($B:$B,'BS(과거)'!$A:$F,$2:$2,0)),VLOOKUP($B:$B,'BS(과거)'!$A:$F,$2:$2,0),0)</f>
        <v>0</v>
      </c>
      <c r="I438" s="207">
        <f>IF(ISNUMBER(VLOOKUP($B:$B,'BS(과거)'!$A:$F,$2:$2,0)),VLOOKUP($B:$B,'BS(과거)'!$A:$F,$2:$2,0),0)</f>
        <v>0</v>
      </c>
      <c r="J438" s="207">
        <f>IF(ISNUMBER(VLOOKUP($B:$B,'BS(과거)'!$A:$F,$2:$2,0)),VLOOKUP($B:$B,'BS(과거)'!$A:$F,$2:$2,0),0)</f>
        <v>0</v>
      </c>
      <c r="K438" s="207">
        <f>IF(ISNUMBER(VLOOKUP($B:$B,'BS(과거)'!$A:$F,$2:$2,0)),VLOOKUP($B:$B,'BS(과거)'!$A:$F,$2:$2,0),0)</f>
        <v>0</v>
      </c>
      <c r="L438" s="207">
        <f>IF(ISNUMBER(VLOOKUP($B:$B,'BS(과거)'!$A:$F,$2:$2,0)),VLOOKUP($B:$B,'BS(과거)'!$A:$F,$2:$2,0),0)</f>
        <v>0</v>
      </c>
      <c r="N438" s="207">
        <f>IF(ISNUMBER(VLOOKUP($B:$B,'BS(분기)'!$A:$F,$2:$2,0)),VLOOKUP($B:$B,'BS(분기)'!$A:$F,$2:$2,0),0)</f>
        <v>0</v>
      </c>
      <c r="O438" s="207">
        <f>IF(ISNUMBER(VLOOKUP($B:$B,'BS(분기)'!$A:$F,$2:$2,0)),VLOOKUP($B:$B,'BS(분기)'!$A:$F,$2:$2,0),0)</f>
        <v>0</v>
      </c>
      <c r="P438" s="207">
        <f>IF(ISNUMBER(VLOOKUP($B:$B,'BS(분기)'!$A:$F,$2:$2,0)),VLOOKUP($B:$B,'BS(분기)'!$A:$F,$2:$2,0),0)</f>
        <v>0</v>
      </c>
      <c r="Q438" s="207">
        <f>IF(ISNUMBER(VLOOKUP($B:$B,'BS(분기)'!$A:$F,$2:$2,0)),VLOOKUP($B:$B,'BS(분기)'!$A:$F,$2:$2,0),0)</f>
        <v>0</v>
      </c>
      <c r="R438" s="207">
        <f>IF(ISNUMBER(VLOOKUP($B:$B,'BS(분기)'!$A:$F,$2:$2,0)),VLOOKUP($B:$B,'BS(분기)'!$A:$F,$2:$2,0),0)</f>
        <v>0</v>
      </c>
    </row>
    <row r="439" spans="1:18" s="192" customFormat="1" ht="12">
      <c r="A439" s="203">
        <v>112610</v>
      </c>
      <c r="B439" s="196" t="s">
        <v>957</v>
      </c>
      <c r="C439" s="217">
        <f>IF(ISNUMBER(VLOOKUP($B:$B,BS!$A:$D,$2:$2,0)),VLOOKUP($B:$B,BS!$A:$D,$2:$2,0),0)</f>
        <v>0</v>
      </c>
      <c r="D439" s="217">
        <f>IF(ISNUMBER(VLOOKUP($B:$B,BS!$A:$D,$2:$2,0)),VLOOKUP($B:$B,BS!$A:$D,$2:$2,0),0)</f>
        <v>0</v>
      </c>
      <c r="E439" s="217">
        <f>IF(ISNUMBER(VLOOKUP($B:$B,BS!$A:$D,$2:$2,0)),VLOOKUP($B:$B,BS!$A:$D,$2:$2,0),0)</f>
        <v>0</v>
      </c>
      <c r="F439" s="217">
        <f>IF(ISNUMBER(VLOOKUP($B:$B,BS!$A:$D,$2:$2,0)),VLOOKUP($B:$B,BS!$A:$D,$2:$2,0),0)</f>
        <v>0</v>
      </c>
      <c r="G439" s="217">
        <f>IF(ISNUMBER(VLOOKUP($B:$B,BS!$A:$D,$2:$2,0)),VLOOKUP($B:$B,BS!$A:$D,$2:$2,0),0)</f>
        <v>0</v>
      </c>
      <c r="H439" s="207">
        <f>IF(ISNUMBER(VLOOKUP($B:$B,'BS(과거)'!$A:$F,$2:$2,0)),VLOOKUP($B:$B,'BS(과거)'!$A:$F,$2:$2,0),0)</f>
        <v>0</v>
      </c>
      <c r="I439" s="207">
        <f>IF(ISNUMBER(VLOOKUP($B:$B,'BS(과거)'!$A:$F,$2:$2,0)),VLOOKUP($B:$B,'BS(과거)'!$A:$F,$2:$2,0),0)</f>
        <v>0</v>
      </c>
      <c r="J439" s="207">
        <f>IF(ISNUMBER(VLOOKUP($B:$B,'BS(과거)'!$A:$F,$2:$2,0)),VLOOKUP($B:$B,'BS(과거)'!$A:$F,$2:$2,0),0)</f>
        <v>0</v>
      </c>
      <c r="K439" s="207">
        <f>IF(ISNUMBER(VLOOKUP($B:$B,'BS(과거)'!$A:$F,$2:$2,0)),VLOOKUP($B:$B,'BS(과거)'!$A:$F,$2:$2,0),0)</f>
        <v>0</v>
      </c>
      <c r="L439" s="207">
        <f>IF(ISNUMBER(VLOOKUP($B:$B,'BS(과거)'!$A:$F,$2:$2,0)),VLOOKUP($B:$B,'BS(과거)'!$A:$F,$2:$2,0),0)</f>
        <v>0</v>
      </c>
      <c r="N439" s="207">
        <f>IF(ISNUMBER(VLOOKUP($B:$B,'BS(분기)'!$A:$F,$2:$2,0)),VLOOKUP($B:$B,'BS(분기)'!$A:$F,$2:$2,0),0)</f>
        <v>0</v>
      </c>
      <c r="O439" s="207">
        <f>IF(ISNUMBER(VLOOKUP($B:$B,'BS(분기)'!$A:$F,$2:$2,0)),VLOOKUP($B:$B,'BS(분기)'!$A:$F,$2:$2,0),0)</f>
        <v>0</v>
      </c>
      <c r="P439" s="207">
        <f>IF(ISNUMBER(VLOOKUP($B:$B,'BS(분기)'!$A:$F,$2:$2,0)),VLOOKUP($B:$B,'BS(분기)'!$A:$F,$2:$2,0),0)</f>
        <v>0</v>
      </c>
      <c r="Q439" s="207">
        <f>IF(ISNUMBER(VLOOKUP($B:$B,'BS(분기)'!$A:$F,$2:$2,0)),VLOOKUP($B:$B,'BS(분기)'!$A:$F,$2:$2,0),0)</f>
        <v>0</v>
      </c>
      <c r="R439" s="207">
        <f>IF(ISNUMBER(VLOOKUP($B:$B,'BS(분기)'!$A:$F,$2:$2,0)),VLOOKUP($B:$B,'BS(분기)'!$A:$F,$2:$2,0),0)</f>
        <v>0</v>
      </c>
    </row>
    <row r="440" spans="1:18" s="192" customFormat="1" ht="12">
      <c r="A440" s="203">
        <v>112617</v>
      </c>
      <c r="B440" s="196" t="s">
        <v>959</v>
      </c>
      <c r="C440" s="217">
        <f>IF(ISNUMBER(VLOOKUP($B:$B,BS!$A:$D,$2:$2,0)),VLOOKUP($B:$B,BS!$A:$D,$2:$2,0),0)</f>
        <v>0</v>
      </c>
      <c r="D440" s="217">
        <f>IF(ISNUMBER(VLOOKUP($B:$B,BS!$A:$D,$2:$2,0)),VLOOKUP($B:$B,BS!$A:$D,$2:$2,0),0)</f>
        <v>0</v>
      </c>
      <c r="E440" s="217">
        <f>IF(ISNUMBER(VLOOKUP($B:$B,BS!$A:$D,$2:$2,0)),VLOOKUP($B:$B,BS!$A:$D,$2:$2,0),0)</f>
        <v>0</v>
      </c>
      <c r="F440" s="217">
        <f>IF(ISNUMBER(VLOOKUP($B:$B,BS!$A:$D,$2:$2,0)),VLOOKUP($B:$B,BS!$A:$D,$2:$2,0),0)</f>
        <v>0</v>
      </c>
      <c r="G440" s="217">
        <f>IF(ISNUMBER(VLOOKUP($B:$B,BS!$A:$D,$2:$2,0)),VLOOKUP($B:$B,BS!$A:$D,$2:$2,0),0)</f>
        <v>0</v>
      </c>
      <c r="H440" s="207">
        <f>IF(ISNUMBER(VLOOKUP($B:$B,'BS(과거)'!$A:$F,$2:$2,0)),VLOOKUP($B:$B,'BS(과거)'!$A:$F,$2:$2,0),0)</f>
        <v>0</v>
      </c>
      <c r="I440" s="207">
        <f>IF(ISNUMBER(VLOOKUP($B:$B,'BS(과거)'!$A:$F,$2:$2,0)),VLOOKUP($B:$B,'BS(과거)'!$A:$F,$2:$2,0),0)</f>
        <v>0</v>
      </c>
      <c r="J440" s="207">
        <f>IF(ISNUMBER(VLOOKUP($B:$B,'BS(과거)'!$A:$F,$2:$2,0)),VLOOKUP($B:$B,'BS(과거)'!$A:$F,$2:$2,0),0)</f>
        <v>0</v>
      </c>
      <c r="K440" s="207">
        <f>IF(ISNUMBER(VLOOKUP($B:$B,'BS(과거)'!$A:$F,$2:$2,0)),VLOOKUP($B:$B,'BS(과거)'!$A:$F,$2:$2,0),0)</f>
        <v>0</v>
      </c>
      <c r="L440" s="207">
        <f>IF(ISNUMBER(VLOOKUP($B:$B,'BS(과거)'!$A:$F,$2:$2,0)),VLOOKUP($B:$B,'BS(과거)'!$A:$F,$2:$2,0),0)</f>
        <v>0</v>
      </c>
      <c r="N440" s="207">
        <f>IF(ISNUMBER(VLOOKUP($B:$B,'BS(분기)'!$A:$F,$2:$2,0)),VLOOKUP($B:$B,'BS(분기)'!$A:$F,$2:$2,0),0)</f>
        <v>0</v>
      </c>
      <c r="O440" s="207">
        <f>IF(ISNUMBER(VLOOKUP($B:$B,'BS(분기)'!$A:$F,$2:$2,0)),VLOOKUP($B:$B,'BS(분기)'!$A:$F,$2:$2,0),0)</f>
        <v>0</v>
      </c>
      <c r="P440" s="207">
        <f>IF(ISNUMBER(VLOOKUP($B:$B,'BS(분기)'!$A:$F,$2:$2,0)),VLOOKUP($B:$B,'BS(분기)'!$A:$F,$2:$2,0),0)</f>
        <v>0</v>
      </c>
      <c r="Q440" s="207">
        <f>IF(ISNUMBER(VLOOKUP($B:$B,'BS(분기)'!$A:$F,$2:$2,0)),VLOOKUP($B:$B,'BS(분기)'!$A:$F,$2:$2,0),0)</f>
        <v>0</v>
      </c>
      <c r="R440" s="207">
        <f>IF(ISNUMBER(VLOOKUP($B:$B,'BS(분기)'!$A:$F,$2:$2,0)),VLOOKUP($B:$B,'BS(분기)'!$A:$F,$2:$2,0),0)</f>
        <v>0</v>
      </c>
    </row>
    <row r="441" spans="1:18" s="192" customFormat="1" ht="12">
      <c r="A441" s="203">
        <v>112616</v>
      </c>
      <c r="B441" s="196" t="s">
        <v>958</v>
      </c>
      <c r="C441" s="217">
        <f>IF(ISNUMBER(VLOOKUP($B:$B,BS!$A:$D,$2:$2,0)),VLOOKUP($B:$B,BS!$A:$D,$2:$2,0),0)</f>
        <v>0</v>
      </c>
      <c r="D441" s="217">
        <f>IF(ISNUMBER(VLOOKUP($B:$B,BS!$A:$D,$2:$2,0)),VLOOKUP($B:$B,BS!$A:$D,$2:$2,0),0)</f>
        <v>0</v>
      </c>
      <c r="E441" s="217">
        <f>IF(ISNUMBER(VLOOKUP($B:$B,BS!$A:$D,$2:$2,0)),VLOOKUP($B:$B,BS!$A:$D,$2:$2,0),0)</f>
        <v>0</v>
      </c>
      <c r="F441" s="217">
        <f>IF(ISNUMBER(VLOOKUP($B:$B,BS!$A:$D,$2:$2,0)),VLOOKUP($B:$B,BS!$A:$D,$2:$2,0),0)</f>
        <v>0</v>
      </c>
      <c r="G441" s="217">
        <f>IF(ISNUMBER(VLOOKUP($B:$B,BS!$A:$D,$2:$2,0)),VLOOKUP($B:$B,BS!$A:$D,$2:$2,0),0)</f>
        <v>0</v>
      </c>
      <c r="H441" s="207">
        <f>IF(ISNUMBER(VLOOKUP($B:$B,'BS(과거)'!$A:$F,$2:$2,0)),VLOOKUP($B:$B,'BS(과거)'!$A:$F,$2:$2,0),0)</f>
        <v>0</v>
      </c>
      <c r="I441" s="207">
        <f>IF(ISNUMBER(VLOOKUP($B:$B,'BS(과거)'!$A:$F,$2:$2,0)),VLOOKUP($B:$B,'BS(과거)'!$A:$F,$2:$2,0),0)</f>
        <v>0</v>
      </c>
      <c r="J441" s="207">
        <f>IF(ISNUMBER(VLOOKUP($B:$B,'BS(과거)'!$A:$F,$2:$2,0)),VLOOKUP($B:$B,'BS(과거)'!$A:$F,$2:$2,0),0)</f>
        <v>0</v>
      </c>
      <c r="K441" s="207">
        <f>IF(ISNUMBER(VLOOKUP($B:$B,'BS(과거)'!$A:$F,$2:$2,0)),VLOOKUP($B:$B,'BS(과거)'!$A:$F,$2:$2,0),0)</f>
        <v>0</v>
      </c>
      <c r="L441" s="207">
        <f>IF(ISNUMBER(VLOOKUP($B:$B,'BS(과거)'!$A:$F,$2:$2,0)),VLOOKUP($B:$B,'BS(과거)'!$A:$F,$2:$2,0),0)</f>
        <v>0</v>
      </c>
      <c r="N441" s="207">
        <f>IF(ISNUMBER(VLOOKUP($B:$B,'BS(분기)'!$A:$F,$2:$2,0)),VLOOKUP($B:$B,'BS(분기)'!$A:$F,$2:$2,0),0)</f>
        <v>0</v>
      </c>
      <c r="O441" s="207">
        <f>IF(ISNUMBER(VLOOKUP($B:$B,'BS(분기)'!$A:$F,$2:$2,0)),VLOOKUP($B:$B,'BS(분기)'!$A:$F,$2:$2,0),0)</f>
        <v>0</v>
      </c>
      <c r="P441" s="207">
        <f>IF(ISNUMBER(VLOOKUP($B:$B,'BS(분기)'!$A:$F,$2:$2,0)),VLOOKUP($B:$B,'BS(분기)'!$A:$F,$2:$2,0),0)</f>
        <v>0</v>
      </c>
      <c r="Q441" s="207">
        <f>IF(ISNUMBER(VLOOKUP($B:$B,'BS(분기)'!$A:$F,$2:$2,0)),VLOOKUP($B:$B,'BS(분기)'!$A:$F,$2:$2,0),0)</f>
        <v>0</v>
      </c>
      <c r="R441" s="207">
        <f>IF(ISNUMBER(VLOOKUP($B:$B,'BS(분기)'!$A:$F,$2:$2,0)),VLOOKUP($B:$B,'BS(분기)'!$A:$F,$2:$2,0),0)</f>
        <v>0</v>
      </c>
    </row>
    <row r="442" spans="1:18" s="192" customFormat="1" ht="12">
      <c r="A442" s="203">
        <v>112620</v>
      </c>
      <c r="B442" s="196" t="s">
        <v>960</v>
      </c>
      <c r="C442" s="217">
        <f>IF(ISNUMBER(VLOOKUP($B:$B,BS!$A:$D,$2:$2,0)),VLOOKUP($B:$B,BS!$A:$D,$2:$2,0),0)</f>
        <v>0</v>
      </c>
      <c r="D442" s="217">
        <f>IF(ISNUMBER(VLOOKUP($B:$B,BS!$A:$D,$2:$2,0)),VLOOKUP($B:$B,BS!$A:$D,$2:$2,0),0)</f>
        <v>0</v>
      </c>
      <c r="E442" s="217">
        <f>IF(ISNUMBER(VLOOKUP($B:$B,BS!$A:$D,$2:$2,0)),VLOOKUP($B:$B,BS!$A:$D,$2:$2,0),0)</f>
        <v>0</v>
      </c>
      <c r="F442" s="217">
        <f>IF(ISNUMBER(VLOOKUP($B:$B,BS!$A:$D,$2:$2,0)),VLOOKUP($B:$B,BS!$A:$D,$2:$2,0),0)</f>
        <v>0</v>
      </c>
      <c r="G442" s="217">
        <f>IF(ISNUMBER(VLOOKUP($B:$B,BS!$A:$D,$2:$2,0)),VLOOKUP($B:$B,BS!$A:$D,$2:$2,0),0)</f>
        <v>0</v>
      </c>
      <c r="H442" s="207">
        <f>IF(ISNUMBER(VLOOKUP($B:$B,'BS(과거)'!$A:$F,$2:$2,0)),VLOOKUP($B:$B,'BS(과거)'!$A:$F,$2:$2,0),0)</f>
        <v>0</v>
      </c>
      <c r="I442" s="207">
        <f>IF(ISNUMBER(VLOOKUP($B:$B,'BS(과거)'!$A:$F,$2:$2,0)),VLOOKUP($B:$B,'BS(과거)'!$A:$F,$2:$2,0),0)</f>
        <v>0</v>
      </c>
      <c r="J442" s="207">
        <f>IF(ISNUMBER(VLOOKUP($B:$B,'BS(과거)'!$A:$F,$2:$2,0)),VLOOKUP($B:$B,'BS(과거)'!$A:$F,$2:$2,0),0)</f>
        <v>0</v>
      </c>
      <c r="K442" s="207">
        <f>IF(ISNUMBER(VLOOKUP($B:$B,'BS(과거)'!$A:$F,$2:$2,0)),VLOOKUP($B:$B,'BS(과거)'!$A:$F,$2:$2,0),0)</f>
        <v>0</v>
      </c>
      <c r="L442" s="207">
        <f>IF(ISNUMBER(VLOOKUP($B:$B,'BS(과거)'!$A:$F,$2:$2,0)),VLOOKUP($B:$B,'BS(과거)'!$A:$F,$2:$2,0),0)</f>
        <v>0</v>
      </c>
      <c r="N442" s="207">
        <f>IF(ISNUMBER(VLOOKUP($B:$B,'BS(분기)'!$A:$F,$2:$2,0)),VLOOKUP($B:$B,'BS(분기)'!$A:$F,$2:$2,0),0)</f>
        <v>0</v>
      </c>
      <c r="O442" s="207">
        <f>IF(ISNUMBER(VLOOKUP($B:$B,'BS(분기)'!$A:$F,$2:$2,0)),VLOOKUP($B:$B,'BS(분기)'!$A:$F,$2:$2,0),0)</f>
        <v>0</v>
      </c>
      <c r="P442" s="207">
        <f>IF(ISNUMBER(VLOOKUP($B:$B,'BS(분기)'!$A:$F,$2:$2,0)),VLOOKUP($B:$B,'BS(분기)'!$A:$F,$2:$2,0),0)</f>
        <v>0</v>
      </c>
      <c r="Q442" s="207">
        <f>IF(ISNUMBER(VLOOKUP($B:$B,'BS(분기)'!$A:$F,$2:$2,0)),VLOOKUP($B:$B,'BS(분기)'!$A:$F,$2:$2,0),0)</f>
        <v>0</v>
      </c>
      <c r="R442" s="207">
        <f>IF(ISNUMBER(VLOOKUP($B:$B,'BS(분기)'!$A:$F,$2:$2,0)),VLOOKUP($B:$B,'BS(분기)'!$A:$F,$2:$2,0),0)</f>
        <v>0</v>
      </c>
    </row>
    <row r="443" spans="1:18" s="192" customFormat="1" ht="12">
      <c r="A443" s="203">
        <v>112627</v>
      </c>
      <c r="B443" s="196" t="s">
        <v>962</v>
      </c>
      <c r="C443" s="217">
        <f>IF(ISNUMBER(VLOOKUP($B:$B,BS!$A:$D,$2:$2,0)),VLOOKUP($B:$B,BS!$A:$D,$2:$2,0),0)</f>
        <v>0</v>
      </c>
      <c r="D443" s="217">
        <f>IF(ISNUMBER(VLOOKUP($B:$B,BS!$A:$D,$2:$2,0)),VLOOKUP($B:$B,BS!$A:$D,$2:$2,0),0)</f>
        <v>0</v>
      </c>
      <c r="E443" s="217">
        <f>IF(ISNUMBER(VLOOKUP($B:$B,BS!$A:$D,$2:$2,0)),VLOOKUP($B:$B,BS!$A:$D,$2:$2,0),0)</f>
        <v>0</v>
      </c>
      <c r="F443" s="217">
        <f>IF(ISNUMBER(VLOOKUP($B:$B,BS!$A:$D,$2:$2,0)),VLOOKUP($B:$B,BS!$A:$D,$2:$2,0),0)</f>
        <v>0</v>
      </c>
      <c r="G443" s="217">
        <f>IF(ISNUMBER(VLOOKUP($B:$B,BS!$A:$D,$2:$2,0)),VLOOKUP($B:$B,BS!$A:$D,$2:$2,0),0)</f>
        <v>0</v>
      </c>
      <c r="H443" s="207">
        <f>IF(ISNUMBER(VLOOKUP($B:$B,'BS(과거)'!$A:$F,$2:$2,0)),VLOOKUP($B:$B,'BS(과거)'!$A:$F,$2:$2,0),0)</f>
        <v>0</v>
      </c>
      <c r="I443" s="207">
        <f>IF(ISNUMBER(VLOOKUP($B:$B,'BS(과거)'!$A:$F,$2:$2,0)),VLOOKUP($B:$B,'BS(과거)'!$A:$F,$2:$2,0),0)</f>
        <v>0</v>
      </c>
      <c r="J443" s="207">
        <f>IF(ISNUMBER(VLOOKUP($B:$B,'BS(과거)'!$A:$F,$2:$2,0)),VLOOKUP($B:$B,'BS(과거)'!$A:$F,$2:$2,0),0)</f>
        <v>0</v>
      </c>
      <c r="K443" s="207">
        <f>IF(ISNUMBER(VLOOKUP($B:$B,'BS(과거)'!$A:$F,$2:$2,0)),VLOOKUP($B:$B,'BS(과거)'!$A:$F,$2:$2,0),0)</f>
        <v>0</v>
      </c>
      <c r="L443" s="207">
        <f>IF(ISNUMBER(VLOOKUP($B:$B,'BS(과거)'!$A:$F,$2:$2,0)),VLOOKUP($B:$B,'BS(과거)'!$A:$F,$2:$2,0),0)</f>
        <v>0</v>
      </c>
      <c r="N443" s="207">
        <f>IF(ISNUMBER(VLOOKUP($B:$B,'BS(분기)'!$A:$F,$2:$2,0)),VLOOKUP($B:$B,'BS(분기)'!$A:$F,$2:$2,0),0)</f>
        <v>0</v>
      </c>
      <c r="O443" s="207">
        <f>IF(ISNUMBER(VLOOKUP($B:$B,'BS(분기)'!$A:$F,$2:$2,0)),VLOOKUP($B:$B,'BS(분기)'!$A:$F,$2:$2,0),0)</f>
        <v>0</v>
      </c>
      <c r="P443" s="207">
        <f>IF(ISNUMBER(VLOOKUP($B:$B,'BS(분기)'!$A:$F,$2:$2,0)),VLOOKUP($B:$B,'BS(분기)'!$A:$F,$2:$2,0),0)</f>
        <v>0</v>
      </c>
      <c r="Q443" s="207">
        <f>IF(ISNUMBER(VLOOKUP($B:$B,'BS(분기)'!$A:$F,$2:$2,0)),VLOOKUP($B:$B,'BS(분기)'!$A:$F,$2:$2,0),0)</f>
        <v>0</v>
      </c>
      <c r="R443" s="207">
        <f>IF(ISNUMBER(VLOOKUP($B:$B,'BS(분기)'!$A:$F,$2:$2,0)),VLOOKUP($B:$B,'BS(분기)'!$A:$F,$2:$2,0),0)</f>
        <v>0</v>
      </c>
    </row>
    <row r="444" spans="1:18" s="192" customFormat="1" ht="12">
      <c r="A444" s="203">
        <v>112626</v>
      </c>
      <c r="B444" s="196" t="s">
        <v>961</v>
      </c>
      <c r="C444" s="217">
        <f>IF(ISNUMBER(VLOOKUP($B:$B,BS!$A:$D,$2:$2,0)),VLOOKUP($B:$B,BS!$A:$D,$2:$2,0),0)</f>
        <v>0</v>
      </c>
      <c r="D444" s="217">
        <f>IF(ISNUMBER(VLOOKUP($B:$B,BS!$A:$D,$2:$2,0)),VLOOKUP($B:$B,BS!$A:$D,$2:$2,0),0)</f>
        <v>0</v>
      </c>
      <c r="E444" s="217">
        <f>IF(ISNUMBER(VLOOKUP($B:$B,BS!$A:$D,$2:$2,0)),VLOOKUP($B:$B,BS!$A:$D,$2:$2,0),0)</f>
        <v>0</v>
      </c>
      <c r="F444" s="217">
        <f>IF(ISNUMBER(VLOOKUP($B:$B,BS!$A:$D,$2:$2,0)),VLOOKUP($B:$B,BS!$A:$D,$2:$2,0),0)</f>
        <v>0</v>
      </c>
      <c r="G444" s="217">
        <f>IF(ISNUMBER(VLOOKUP($B:$B,BS!$A:$D,$2:$2,0)),VLOOKUP($B:$B,BS!$A:$D,$2:$2,0),0)</f>
        <v>0</v>
      </c>
      <c r="H444" s="207">
        <f>IF(ISNUMBER(VLOOKUP($B:$B,'BS(과거)'!$A:$F,$2:$2,0)),VLOOKUP($B:$B,'BS(과거)'!$A:$F,$2:$2,0),0)</f>
        <v>0</v>
      </c>
      <c r="I444" s="207">
        <f>IF(ISNUMBER(VLOOKUP($B:$B,'BS(과거)'!$A:$F,$2:$2,0)),VLOOKUP($B:$B,'BS(과거)'!$A:$F,$2:$2,0),0)</f>
        <v>0</v>
      </c>
      <c r="J444" s="207">
        <f>IF(ISNUMBER(VLOOKUP($B:$B,'BS(과거)'!$A:$F,$2:$2,0)),VLOOKUP($B:$B,'BS(과거)'!$A:$F,$2:$2,0),0)</f>
        <v>0</v>
      </c>
      <c r="K444" s="207">
        <f>IF(ISNUMBER(VLOOKUP($B:$B,'BS(과거)'!$A:$F,$2:$2,0)),VLOOKUP($B:$B,'BS(과거)'!$A:$F,$2:$2,0),0)</f>
        <v>0</v>
      </c>
      <c r="L444" s="207">
        <f>IF(ISNUMBER(VLOOKUP($B:$B,'BS(과거)'!$A:$F,$2:$2,0)),VLOOKUP($B:$B,'BS(과거)'!$A:$F,$2:$2,0),0)</f>
        <v>0</v>
      </c>
      <c r="N444" s="207">
        <f>IF(ISNUMBER(VLOOKUP($B:$B,'BS(분기)'!$A:$F,$2:$2,0)),VLOOKUP($B:$B,'BS(분기)'!$A:$F,$2:$2,0),0)</f>
        <v>0</v>
      </c>
      <c r="O444" s="207">
        <f>IF(ISNUMBER(VLOOKUP($B:$B,'BS(분기)'!$A:$F,$2:$2,0)),VLOOKUP($B:$B,'BS(분기)'!$A:$F,$2:$2,0),0)</f>
        <v>0</v>
      </c>
      <c r="P444" s="207">
        <f>IF(ISNUMBER(VLOOKUP($B:$B,'BS(분기)'!$A:$F,$2:$2,0)),VLOOKUP($B:$B,'BS(분기)'!$A:$F,$2:$2,0),0)</f>
        <v>0</v>
      </c>
      <c r="Q444" s="207">
        <f>IF(ISNUMBER(VLOOKUP($B:$B,'BS(분기)'!$A:$F,$2:$2,0)),VLOOKUP($B:$B,'BS(분기)'!$A:$F,$2:$2,0),0)</f>
        <v>0</v>
      </c>
      <c r="R444" s="207">
        <f>IF(ISNUMBER(VLOOKUP($B:$B,'BS(분기)'!$A:$F,$2:$2,0)),VLOOKUP($B:$B,'BS(분기)'!$A:$F,$2:$2,0),0)</f>
        <v>0</v>
      </c>
    </row>
    <row r="445" spans="1:18" s="192" customFormat="1" ht="12">
      <c r="A445" s="203">
        <v>112621</v>
      </c>
      <c r="B445" s="196" t="s">
        <v>1167</v>
      </c>
      <c r="C445" s="217">
        <f>IF(ISNUMBER(VLOOKUP($B:$B,BS!$A:$D,$2:$2,0)),VLOOKUP($B:$B,BS!$A:$D,$2:$2,0),0)</f>
        <v>0</v>
      </c>
      <c r="D445" s="217">
        <f>IF(ISNUMBER(VLOOKUP($B:$B,BS!$A:$D,$2:$2,0)),VLOOKUP($B:$B,BS!$A:$D,$2:$2,0),0)</f>
        <v>0</v>
      </c>
      <c r="E445" s="217">
        <f>IF(ISNUMBER(VLOOKUP($B:$B,BS!$A:$D,$2:$2,0)),VLOOKUP($B:$B,BS!$A:$D,$2:$2,0),0)</f>
        <v>0</v>
      </c>
      <c r="F445" s="217">
        <f>IF(ISNUMBER(VLOOKUP($B:$B,BS!$A:$D,$2:$2,0)),VLOOKUP($B:$B,BS!$A:$D,$2:$2,0),0)</f>
        <v>0</v>
      </c>
      <c r="G445" s="217">
        <f>IF(ISNUMBER(VLOOKUP($B:$B,BS!$A:$D,$2:$2,0)),VLOOKUP($B:$B,BS!$A:$D,$2:$2,0),0)</f>
        <v>0</v>
      </c>
      <c r="H445" s="207">
        <f>IF(ISNUMBER(VLOOKUP($B:$B,'BS(과거)'!$A:$F,$2:$2,0)),VLOOKUP($B:$B,'BS(과거)'!$A:$F,$2:$2,0),0)</f>
        <v>0</v>
      </c>
      <c r="I445" s="207">
        <f>IF(ISNUMBER(VLOOKUP($B:$B,'BS(과거)'!$A:$F,$2:$2,0)),VLOOKUP($B:$B,'BS(과거)'!$A:$F,$2:$2,0),0)</f>
        <v>0</v>
      </c>
      <c r="J445" s="207">
        <f>IF(ISNUMBER(VLOOKUP($B:$B,'BS(과거)'!$A:$F,$2:$2,0)),VLOOKUP($B:$B,'BS(과거)'!$A:$F,$2:$2,0),0)</f>
        <v>0</v>
      </c>
      <c r="K445" s="207">
        <f>IF(ISNUMBER(VLOOKUP($B:$B,'BS(과거)'!$A:$F,$2:$2,0)),VLOOKUP($B:$B,'BS(과거)'!$A:$F,$2:$2,0),0)</f>
        <v>0</v>
      </c>
      <c r="L445" s="207">
        <f>IF(ISNUMBER(VLOOKUP($B:$B,'BS(과거)'!$A:$F,$2:$2,0)),VLOOKUP($B:$B,'BS(과거)'!$A:$F,$2:$2,0),0)</f>
        <v>0</v>
      </c>
      <c r="N445" s="207">
        <f>IF(ISNUMBER(VLOOKUP($B:$B,'BS(분기)'!$A:$F,$2:$2,0)),VLOOKUP($B:$B,'BS(분기)'!$A:$F,$2:$2,0),0)</f>
        <v>0</v>
      </c>
      <c r="O445" s="207">
        <f>IF(ISNUMBER(VLOOKUP($B:$B,'BS(분기)'!$A:$F,$2:$2,0)),VLOOKUP($B:$B,'BS(분기)'!$A:$F,$2:$2,0),0)</f>
        <v>0</v>
      </c>
      <c r="P445" s="207">
        <f>IF(ISNUMBER(VLOOKUP($B:$B,'BS(분기)'!$A:$F,$2:$2,0)),VLOOKUP($B:$B,'BS(분기)'!$A:$F,$2:$2,0),0)</f>
        <v>0</v>
      </c>
      <c r="Q445" s="207">
        <f>IF(ISNUMBER(VLOOKUP($B:$B,'BS(분기)'!$A:$F,$2:$2,0)),VLOOKUP($B:$B,'BS(분기)'!$A:$F,$2:$2,0),0)</f>
        <v>0</v>
      </c>
      <c r="R445" s="207">
        <f>IF(ISNUMBER(VLOOKUP($B:$B,'BS(분기)'!$A:$F,$2:$2,0)),VLOOKUP($B:$B,'BS(분기)'!$A:$F,$2:$2,0),0)</f>
        <v>0</v>
      </c>
    </row>
    <row r="446" spans="1:18" s="192" customFormat="1" ht="12">
      <c r="A446" s="203">
        <v>112622</v>
      </c>
      <c r="B446" s="196" t="s">
        <v>1168</v>
      </c>
      <c r="C446" s="217">
        <f>IF(ISNUMBER(VLOOKUP($B:$B,BS!$A:$D,$2:$2,0)),VLOOKUP($B:$B,BS!$A:$D,$2:$2,0),0)</f>
        <v>0</v>
      </c>
      <c r="D446" s="217">
        <f>IF(ISNUMBER(VLOOKUP($B:$B,BS!$A:$D,$2:$2,0)),VLOOKUP($B:$B,BS!$A:$D,$2:$2,0),0)</f>
        <v>0</v>
      </c>
      <c r="E446" s="217">
        <f>IF(ISNUMBER(VLOOKUP($B:$B,BS!$A:$D,$2:$2,0)),VLOOKUP($B:$B,BS!$A:$D,$2:$2,0),0)</f>
        <v>0</v>
      </c>
      <c r="F446" s="217">
        <f>IF(ISNUMBER(VLOOKUP($B:$B,BS!$A:$D,$2:$2,0)),VLOOKUP($B:$B,BS!$A:$D,$2:$2,0),0)</f>
        <v>0</v>
      </c>
      <c r="G446" s="217">
        <f>IF(ISNUMBER(VLOOKUP($B:$B,BS!$A:$D,$2:$2,0)),VLOOKUP($B:$B,BS!$A:$D,$2:$2,0),0)</f>
        <v>0</v>
      </c>
      <c r="H446" s="207">
        <f>IF(ISNUMBER(VLOOKUP($B:$B,'BS(과거)'!$A:$F,$2:$2,0)),VLOOKUP($B:$B,'BS(과거)'!$A:$F,$2:$2,0),0)</f>
        <v>0</v>
      </c>
      <c r="I446" s="207">
        <f>IF(ISNUMBER(VLOOKUP($B:$B,'BS(과거)'!$A:$F,$2:$2,0)),VLOOKUP($B:$B,'BS(과거)'!$A:$F,$2:$2,0),0)</f>
        <v>0</v>
      </c>
      <c r="J446" s="207">
        <f>IF(ISNUMBER(VLOOKUP($B:$B,'BS(과거)'!$A:$F,$2:$2,0)),VLOOKUP($B:$B,'BS(과거)'!$A:$F,$2:$2,0),0)</f>
        <v>0</v>
      </c>
      <c r="K446" s="207">
        <f>IF(ISNUMBER(VLOOKUP($B:$B,'BS(과거)'!$A:$F,$2:$2,0)),VLOOKUP($B:$B,'BS(과거)'!$A:$F,$2:$2,0),0)</f>
        <v>0</v>
      </c>
      <c r="L446" s="207">
        <f>IF(ISNUMBER(VLOOKUP($B:$B,'BS(과거)'!$A:$F,$2:$2,0)),VLOOKUP($B:$B,'BS(과거)'!$A:$F,$2:$2,0),0)</f>
        <v>0</v>
      </c>
      <c r="N446" s="207">
        <f>IF(ISNUMBER(VLOOKUP($B:$B,'BS(분기)'!$A:$F,$2:$2,0)),VLOOKUP($B:$B,'BS(분기)'!$A:$F,$2:$2,0),0)</f>
        <v>0</v>
      </c>
      <c r="O446" s="207">
        <f>IF(ISNUMBER(VLOOKUP($B:$B,'BS(분기)'!$A:$F,$2:$2,0)),VLOOKUP($B:$B,'BS(분기)'!$A:$F,$2:$2,0),0)</f>
        <v>0</v>
      </c>
      <c r="P446" s="207">
        <f>IF(ISNUMBER(VLOOKUP($B:$B,'BS(분기)'!$A:$F,$2:$2,0)),VLOOKUP($B:$B,'BS(분기)'!$A:$F,$2:$2,0),0)</f>
        <v>0</v>
      </c>
      <c r="Q446" s="207">
        <f>IF(ISNUMBER(VLOOKUP($B:$B,'BS(분기)'!$A:$F,$2:$2,0)),VLOOKUP($B:$B,'BS(분기)'!$A:$F,$2:$2,0),0)</f>
        <v>0</v>
      </c>
      <c r="R446" s="207">
        <f>IF(ISNUMBER(VLOOKUP($B:$B,'BS(분기)'!$A:$F,$2:$2,0)),VLOOKUP($B:$B,'BS(분기)'!$A:$F,$2:$2,0),0)</f>
        <v>0</v>
      </c>
    </row>
    <row r="447" spans="1:18" s="192" customFormat="1" ht="12">
      <c r="A447" s="203">
        <v>112623</v>
      </c>
      <c r="B447" s="196" t="s">
        <v>1169</v>
      </c>
      <c r="C447" s="217">
        <f>IF(ISNUMBER(VLOOKUP($B:$B,BS!$A:$D,$2:$2,0)),VLOOKUP($B:$B,BS!$A:$D,$2:$2,0),0)</f>
        <v>0</v>
      </c>
      <c r="D447" s="217">
        <f>IF(ISNUMBER(VLOOKUP($B:$B,BS!$A:$D,$2:$2,0)),VLOOKUP($B:$B,BS!$A:$D,$2:$2,0),0)</f>
        <v>0</v>
      </c>
      <c r="E447" s="217">
        <f>IF(ISNUMBER(VLOOKUP($B:$B,BS!$A:$D,$2:$2,0)),VLOOKUP($B:$B,BS!$A:$D,$2:$2,0),0)</f>
        <v>0</v>
      </c>
      <c r="F447" s="217">
        <f>IF(ISNUMBER(VLOOKUP($B:$B,BS!$A:$D,$2:$2,0)),VLOOKUP($B:$B,BS!$A:$D,$2:$2,0),0)</f>
        <v>0</v>
      </c>
      <c r="G447" s="217">
        <f>IF(ISNUMBER(VLOOKUP($B:$B,BS!$A:$D,$2:$2,0)),VLOOKUP($B:$B,BS!$A:$D,$2:$2,0),0)</f>
        <v>0</v>
      </c>
      <c r="H447" s="207">
        <f>IF(ISNUMBER(VLOOKUP($B:$B,'BS(과거)'!$A:$F,$2:$2,0)),VLOOKUP($B:$B,'BS(과거)'!$A:$F,$2:$2,0),0)</f>
        <v>0</v>
      </c>
      <c r="I447" s="207">
        <f>IF(ISNUMBER(VLOOKUP($B:$B,'BS(과거)'!$A:$F,$2:$2,0)),VLOOKUP($B:$B,'BS(과거)'!$A:$F,$2:$2,0),0)</f>
        <v>0</v>
      </c>
      <c r="J447" s="207">
        <f>IF(ISNUMBER(VLOOKUP($B:$B,'BS(과거)'!$A:$F,$2:$2,0)),VLOOKUP($B:$B,'BS(과거)'!$A:$F,$2:$2,0),0)</f>
        <v>0</v>
      </c>
      <c r="K447" s="207">
        <f>IF(ISNUMBER(VLOOKUP($B:$B,'BS(과거)'!$A:$F,$2:$2,0)),VLOOKUP($B:$B,'BS(과거)'!$A:$F,$2:$2,0),0)</f>
        <v>0</v>
      </c>
      <c r="L447" s="207">
        <f>IF(ISNUMBER(VLOOKUP($B:$B,'BS(과거)'!$A:$F,$2:$2,0)),VLOOKUP($B:$B,'BS(과거)'!$A:$F,$2:$2,0),0)</f>
        <v>0</v>
      </c>
      <c r="N447" s="207">
        <f>IF(ISNUMBER(VLOOKUP($B:$B,'BS(분기)'!$A:$F,$2:$2,0)),VLOOKUP($B:$B,'BS(분기)'!$A:$F,$2:$2,0),0)</f>
        <v>0</v>
      </c>
      <c r="O447" s="207">
        <f>IF(ISNUMBER(VLOOKUP($B:$B,'BS(분기)'!$A:$F,$2:$2,0)),VLOOKUP($B:$B,'BS(분기)'!$A:$F,$2:$2,0),0)</f>
        <v>0</v>
      </c>
      <c r="P447" s="207">
        <f>IF(ISNUMBER(VLOOKUP($B:$B,'BS(분기)'!$A:$F,$2:$2,0)),VLOOKUP($B:$B,'BS(분기)'!$A:$F,$2:$2,0),0)</f>
        <v>0</v>
      </c>
      <c r="Q447" s="207">
        <f>IF(ISNUMBER(VLOOKUP($B:$B,'BS(분기)'!$A:$F,$2:$2,0)),VLOOKUP($B:$B,'BS(분기)'!$A:$F,$2:$2,0),0)</f>
        <v>0</v>
      </c>
      <c r="R447" s="207">
        <f>IF(ISNUMBER(VLOOKUP($B:$B,'BS(분기)'!$A:$F,$2:$2,0)),VLOOKUP($B:$B,'BS(분기)'!$A:$F,$2:$2,0),0)</f>
        <v>0</v>
      </c>
    </row>
    <row r="448" spans="1:18" s="192" customFormat="1" ht="12">
      <c r="A448" s="202">
        <v>112216</v>
      </c>
      <c r="B448" s="195" t="s">
        <v>1170</v>
      </c>
      <c r="C448" s="217">
        <f>IF(ISNUMBER(VLOOKUP($B:$B,BS!$A:$D,$2:$2,0)),VLOOKUP($B:$B,BS!$A:$D,$2:$2,0),0)</f>
        <v>0</v>
      </c>
      <c r="D448" s="217">
        <f>IF(ISNUMBER(VLOOKUP($B:$B,BS!$A:$D,$2:$2,0)),VLOOKUP($B:$B,BS!$A:$D,$2:$2,0),0)</f>
        <v>0</v>
      </c>
      <c r="E448" s="217">
        <f>IF(ISNUMBER(VLOOKUP($B:$B,BS!$A:$D,$2:$2,0)),VLOOKUP($B:$B,BS!$A:$D,$2:$2,0),0)</f>
        <v>0</v>
      </c>
      <c r="F448" s="217">
        <f>IF(ISNUMBER(VLOOKUP($B:$B,BS!$A:$D,$2:$2,0)),VLOOKUP($B:$B,BS!$A:$D,$2:$2,0),0)</f>
        <v>0</v>
      </c>
      <c r="G448" s="217">
        <f>IF(ISNUMBER(VLOOKUP($B:$B,BS!$A:$D,$2:$2,0)),VLOOKUP($B:$B,BS!$A:$D,$2:$2,0),0)</f>
        <v>0</v>
      </c>
      <c r="H448" s="207">
        <f>IF(ISNUMBER(VLOOKUP($B:$B,'BS(과거)'!$A:$F,$2:$2,0)),VLOOKUP($B:$B,'BS(과거)'!$A:$F,$2:$2,0),0)</f>
        <v>0</v>
      </c>
      <c r="I448" s="207">
        <f>IF(ISNUMBER(VLOOKUP($B:$B,'BS(과거)'!$A:$F,$2:$2,0)),VLOOKUP($B:$B,'BS(과거)'!$A:$F,$2:$2,0),0)</f>
        <v>0</v>
      </c>
      <c r="J448" s="207">
        <f>IF(ISNUMBER(VLOOKUP($B:$B,'BS(과거)'!$A:$F,$2:$2,0)),VLOOKUP($B:$B,'BS(과거)'!$A:$F,$2:$2,0),0)</f>
        <v>0</v>
      </c>
      <c r="K448" s="207">
        <f>IF(ISNUMBER(VLOOKUP($B:$B,'BS(과거)'!$A:$F,$2:$2,0)),VLOOKUP($B:$B,'BS(과거)'!$A:$F,$2:$2,0),0)</f>
        <v>0</v>
      </c>
      <c r="L448" s="207">
        <f>IF(ISNUMBER(VLOOKUP($B:$B,'BS(과거)'!$A:$F,$2:$2,0)),VLOOKUP($B:$B,'BS(과거)'!$A:$F,$2:$2,0),0)</f>
        <v>0</v>
      </c>
      <c r="N448" s="207">
        <f>IF(ISNUMBER(VLOOKUP($B:$B,'BS(분기)'!$A:$F,$2:$2,0)),VLOOKUP($B:$B,'BS(분기)'!$A:$F,$2:$2,0),0)</f>
        <v>0</v>
      </c>
      <c r="O448" s="207">
        <f>IF(ISNUMBER(VLOOKUP($B:$B,'BS(분기)'!$A:$F,$2:$2,0)),VLOOKUP($B:$B,'BS(분기)'!$A:$F,$2:$2,0),0)</f>
        <v>0</v>
      </c>
      <c r="P448" s="207">
        <f>IF(ISNUMBER(VLOOKUP($B:$B,'BS(분기)'!$A:$F,$2:$2,0)),VLOOKUP($B:$B,'BS(분기)'!$A:$F,$2:$2,0),0)</f>
        <v>0</v>
      </c>
      <c r="Q448" s="207">
        <f>IF(ISNUMBER(VLOOKUP($B:$B,'BS(분기)'!$A:$F,$2:$2,0)),VLOOKUP($B:$B,'BS(분기)'!$A:$F,$2:$2,0),0)</f>
        <v>0</v>
      </c>
      <c r="R448" s="207">
        <f>IF(ISNUMBER(VLOOKUP($B:$B,'BS(분기)'!$A:$F,$2:$2,0)),VLOOKUP($B:$B,'BS(분기)'!$A:$F,$2:$2,0),0)</f>
        <v>0</v>
      </c>
    </row>
    <row r="449" spans="1:18" s="192" customFormat="1" ht="12">
      <c r="A449" s="202">
        <v>112219</v>
      </c>
      <c r="B449" s="195" t="s">
        <v>1171</v>
      </c>
      <c r="C449" s="217">
        <f>IF(ISNUMBER(VLOOKUP($B:$B,BS!$A:$D,$2:$2,0)),VLOOKUP($B:$B,BS!$A:$D,$2:$2,0),0)</f>
        <v>0</v>
      </c>
      <c r="D449" s="217">
        <f>IF(ISNUMBER(VLOOKUP($B:$B,BS!$A:$D,$2:$2,0)),VLOOKUP($B:$B,BS!$A:$D,$2:$2,0),0)</f>
        <v>0</v>
      </c>
      <c r="E449" s="217">
        <f>IF(ISNUMBER(VLOOKUP($B:$B,BS!$A:$D,$2:$2,0)),VLOOKUP($B:$B,BS!$A:$D,$2:$2,0),0)</f>
        <v>0</v>
      </c>
      <c r="F449" s="217">
        <f>IF(ISNUMBER(VLOOKUP($B:$B,BS!$A:$D,$2:$2,0)),VLOOKUP($B:$B,BS!$A:$D,$2:$2,0),0)</f>
        <v>0</v>
      </c>
      <c r="G449" s="217">
        <f>IF(ISNUMBER(VLOOKUP($B:$B,BS!$A:$D,$2:$2,0)),VLOOKUP($B:$B,BS!$A:$D,$2:$2,0),0)</f>
        <v>0</v>
      </c>
      <c r="H449" s="207">
        <f>IF(ISNUMBER(VLOOKUP($B:$B,'BS(과거)'!$A:$F,$2:$2,0)),VLOOKUP($B:$B,'BS(과거)'!$A:$F,$2:$2,0),0)</f>
        <v>0</v>
      </c>
      <c r="I449" s="207">
        <f>IF(ISNUMBER(VLOOKUP($B:$B,'BS(과거)'!$A:$F,$2:$2,0)),VLOOKUP($B:$B,'BS(과거)'!$A:$F,$2:$2,0),0)</f>
        <v>0</v>
      </c>
      <c r="J449" s="207">
        <f>IF(ISNUMBER(VLOOKUP($B:$B,'BS(과거)'!$A:$F,$2:$2,0)),VLOOKUP($B:$B,'BS(과거)'!$A:$F,$2:$2,0),0)</f>
        <v>0</v>
      </c>
      <c r="K449" s="207">
        <f>IF(ISNUMBER(VLOOKUP($B:$B,'BS(과거)'!$A:$F,$2:$2,0)),VLOOKUP($B:$B,'BS(과거)'!$A:$F,$2:$2,0),0)</f>
        <v>0</v>
      </c>
      <c r="L449" s="207">
        <f>IF(ISNUMBER(VLOOKUP($B:$B,'BS(과거)'!$A:$F,$2:$2,0)),VLOOKUP($B:$B,'BS(과거)'!$A:$F,$2:$2,0),0)</f>
        <v>0</v>
      </c>
      <c r="N449" s="207">
        <f>IF(ISNUMBER(VLOOKUP($B:$B,'BS(분기)'!$A:$F,$2:$2,0)),VLOOKUP($B:$B,'BS(분기)'!$A:$F,$2:$2,0),0)</f>
        <v>0</v>
      </c>
      <c r="O449" s="207">
        <f>IF(ISNUMBER(VLOOKUP($B:$B,'BS(분기)'!$A:$F,$2:$2,0)),VLOOKUP($B:$B,'BS(분기)'!$A:$F,$2:$2,0),0)</f>
        <v>0</v>
      </c>
      <c r="P449" s="207">
        <f>IF(ISNUMBER(VLOOKUP($B:$B,'BS(분기)'!$A:$F,$2:$2,0)),VLOOKUP($B:$B,'BS(분기)'!$A:$F,$2:$2,0),0)</f>
        <v>0</v>
      </c>
      <c r="Q449" s="207">
        <f>IF(ISNUMBER(VLOOKUP($B:$B,'BS(분기)'!$A:$F,$2:$2,0)),VLOOKUP($B:$B,'BS(분기)'!$A:$F,$2:$2,0),0)</f>
        <v>0</v>
      </c>
      <c r="R449" s="207">
        <f>IF(ISNUMBER(VLOOKUP($B:$B,'BS(분기)'!$A:$F,$2:$2,0)),VLOOKUP($B:$B,'BS(분기)'!$A:$F,$2:$2,0),0)</f>
        <v>0</v>
      </c>
    </row>
    <row r="450" spans="1:18" s="192" customFormat="1" ht="12">
      <c r="A450" s="202">
        <v>112217</v>
      </c>
      <c r="B450" s="195" t="s">
        <v>1172</v>
      </c>
      <c r="C450" s="217">
        <f>IF(ISNUMBER(VLOOKUP($B:$B,BS!$A:$D,$2:$2,0)),VLOOKUP($B:$B,BS!$A:$D,$2:$2,0),0)</f>
        <v>0</v>
      </c>
      <c r="D450" s="217">
        <f>IF(ISNUMBER(VLOOKUP($B:$B,BS!$A:$D,$2:$2,0)),VLOOKUP($B:$B,BS!$A:$D,$2:$2,0),0)</f>
        <v>0</v>
      </c>
      <c r="E450" s="217">
        <f>IF(ISNUMBER(VLOOKUP($B:$B,BS!$A:$D,$2:$2,0)),VLOOKUP($B:$B,BS!$A:$D,$2:$2,0),0)</f>
        <v>0</v>
      </c>
      <c r="F450" s="217">
        <f>IF(ISNUMBER(VLOOKUP($B:$B,BS!$A:$D,$2:$2,0)),VLOOKUP($B:$B,BS!$A:$D,$2:$2,0),0)</f>
        <v>0</v>
      </c>
      <c r="G450" s="217">
        <f>IF(ISNUMBER(VLOOKUP($B:$B,BS!$A:$D,$2:$2,0)),VLOOKUP($B:$B,BS!$A:$D,$2:$2,0),0)</f>
        <v>0</v>
      </c>
      <c r="H450" s="207">
        <f>IF(ISNUMBER(VLOOKUP($B:$B,'BS(과거)'!$A:$F,$2:$2,0)),VLOOKUP($B:$B,'BS(과거)'!$A:$F,$2:$2,0),0)</f>
        <v>0</v>
      </c>
      <c r="I450" s="207">
        <f>IF(ISNUMBER(VLOOKUP($B:$B,'BS(과거)'!$A:$F,$2:$2,0)),VLOOKUP($B:$B,'BS(과거)'!$A:$F,$2:$2,0),0)</f>
        <v>0</v>
      </c>
      <c r="J450" s="207">
        <f>IF(ISNUMBER(VLOOKUP($B:$B,'BS(과거)'!$A:$F,$2:$2,0)),VLOOKUP($B:$B,'BS(과거)'!$A:$F,$2:$2,0),0)</f>
        <v>0</v>
      </c>
      <c r="K450" s="207">
        <f>IF(ISNUMBER(VLOOKUP($B:$B,'BS(과거)'!$A:$F,$2:$2,0)),VLOOKUP($B:$B,'BS(과거)'!$A:$F,$2:$2,0),0)</f>
        <v>0</v>
      </c>
      <c r="L450" s="207">
        <f>IF(ISNUMBER(VLOOKUP($B:$B,'BS(과거)'!$A:$F,$2:$2,0)),VLOOKUP($B:$B,'BS(과거)'!$A:$F,$2:$2,0),0)</f>
        <v>0</v>
      </c>
      <c r="N450" s="207">
        <f>IF(ISNUMBER(VLOOKUP($B:$B,'BS(분기)'!$A:$F,$2:$2,0)),VLOOKUP($B:$B,'BS(분기)'!$A:$F,$2:$2,0),0)</f>
        <v>0</v>
      </c>
      <c r="O450" s="207">
        <f>IF(ISNUMBER(VLOOKUP($B:$B,'BS(분기)'!$A:$F,$2:$2,0)),VLOOKUP($B:$B,'BS(분기)'!$A:$F,$2:$2,0),0)</f>
        <v>0</v>
      </c>
      <c r="P450" s="207">
        <f>IF(ISNUMBER(VLOOKUP($B:$B,'BS(분기)'!$A:$F,$2:$2,0)),VLOOKUP($B:$B,'BS(분기)'!$A:$F,$2:$2,0),0)</f>
        <v>0</v>
      </c>
      <c r="Q450" s="207">
        <f>IF(ISNUMBER(VLOOKUP($B:$B,'BS(분기)'!$A:$F,$2:$2,0)),VLOOKUP($B:$B,'BS(분기)'!$A:$F,$2:$2,0),0)</f>
        <v>0</v>
      </c>
      <c r="R450" s="207">
        <f>IF(ISNUMBER(VLOOKUP($B:$B,'BS(분기)'!$A:$F,$2:$2,0)),VLOOKUP($B:$B,'BS(분기)'!$A:$F,$2:$2,0),0)</f>
        <v>0</v>
      </c>
    </row>
    <row r="451" spans="1:18" s="192" customFormat="1" ht="12">
      <c r="A451" s="202">
        <v>112218</v>
      </c>
      <c r="B451" s="195" t="s">
        <v>1173</v>
      </c>
      <c r="C451" s="217">
        <f>IF(ISNUMBER(VLOOKUP($B:$B,BS!$A:$D,$2:$2,0)),VLOOKUP($B:$B,BS!$A:$D,$2:$2,0),0)</f>
        <v>0</v>
      </c>
      <c r="D451" s="217">
        <f>IF(ISNUMBER(VLOOKUP($B:$B,BS!$A:$D,$2:$2,0)),VLOOKUP($B:$B,BS!$A:$D,$2:$2,0),0)</f>
        <v>0</v>
      </c>
      <c r="E451" s="217">
        <f>IF(ISNUMBER(VLOOKUP($B:$B,BS!$A:$D,$2:$2,0)),VLOOKUP($B:$B,BS!$A:$D,$2:$2,0),0)</f>
        <v>0</v>
      </c>
      <c r="F451" s="217">
        <f>IF(ISNUMBER(VLOOKUP($B:$B,BS!$A:$D,$2:$2,0)),VLOOKUP($B:$B,BS!$A:$D,$2:$2,0),0)</f>
        <v>0</v>
      </c>
      <c r="G451" s="217">
        <f>IF(ISNUMBER(VLOOKUP($B:$B,BS!$A:$D,$2:$2,0)),VLOOKUP($B:$B,BS!$A:$D,$2:$2,0),0)</f>
        <v>0</v>
      </c>
      <c r="H451" s="207">
        <f>IF(ISNUMBER(VLOOKUP($B:$B,'BS(과거)'!$A:$F,$2:$2,0)),VLOOKUP($B:$B,'BS(과거)'!$A:$F,$2:$2,0),0)</f>
        <v>0</v>
      </c>
      <c r="I451" s="207">
        <f>IF(ISNUMBER(VLOOKUP($B:$B,'BS(과거)'!$A:$F,$2:$2,0)),VLOOKUP($B:$B,'BS(과거)'!$A:$F,$2:$2,0),0)</f>
        <v>0</v>
      </c>
      <c r="J451" s="207">
        <f>IF(ISNUMBER(VLOOKUP($B:$B,'BS(과거)'!$A:$F,$2:$2,0)),VLOOKUP($B:$B,'BS(과거)'!$A:$F,$2:$2,0),0)</f>
        <v>0</v>
      </c>
      <c r="K451" s="207">
        <f>IF(ISNUMBER(VLOOKUP($B:$B,'BS(과거)'!$A:$F,$2:$2,0)),VLOOKUP($B:$B,'BS(과거)'!$A:$F,$2:$2,0),0)</f>
        <v>0</v>
      </c>
      <c r="L451" s="207">
        <f>IF(ISNUMBER(VLOOKUP($B:$B,'BS(과거)'!$A:$F,$2:$2,0)),VLOOKUP($B:$B,'BS(과거)'!$A:$F,$2:$2,0),0)</f>
        <v>0</v>
      </c>
      <c r="N451" s="207">
        <f>IF(ISNUMBER(VLOOKUP($B:$B,'BS(분기)'!$A:$F,$2:$2,0)),VLOOKUP($B:$B,'BS(분기)'!$A:$F,$2:$2,0),0)</f>
        <v>0</v>
      </c>
      <c r="O451" s="207">
        <f>IF(ISNUMBER(VLOOKUP($B:$B,'BS(분기)'!$A:$F,$2:$2,0)),VLOOKUP($B:$B,'BS(분기)'!$A:$F,$2:$2,0),0)</f>
        <v>0</v>
      </c>
      <c r="P451" s="207">
        <f>IF(ISNUMBER(VLOOKUP($B:$B,'BS(분기)'!$A:$F,$2:$2,0)),VLOOKUP($B:$B,'BS(분기)'!$A:$F,$2:$2,0),0)</f>
        <v>0</v>
      </c>
      <c r="Q451" s="207">
        <f>IF(ISNUMBER(VLOOKUP($B:$B,'BS(분기)'!$A:$F,$2:$2,0)),VLOOKUP($B:$B,'BS(분기)'!$A:$F,$2:$2,0),0)</f>
        <v>0</v>
      </c>
      <c r="R451" s="207">
        <f>IF(ISNUMBER(VLOOKUP($B:$B,'BS(분기)'!$A:$F,$2:$2,0)),VLOOKUP($B:$B,'BS(분기)'!$A:$F,$2:$2,0),0)</f>
        <v>0</v>
      </c>
    </row>
    <row r="452" spans="1:18" s="192" customFormat="1" ht="12">
      <c r="A452" s="202">
        <v>112280</v>
      </c>
      <c r="B452" s="195" t="s">
        <v>1174</v>
      </c>
      <c r="C452" s="217">
        <f>IF(ISNUMBER(VLOOKUP($B:$B,BS!$A:$D,$2:$2,0)),VLOOKUP($B:$B,BS!$A:$D,$2:$2,0),0)</f>
        <v>0</v>
      </c>
      <c r="D452" s="217">
        <f>IF(ISNUMBER(VLOOKUP($B:$B,BS!$A:$D,$2:$2,0)),VLOOKUP($B:$B,BS!$A:$D,$2:$2,0),0)</f>
        <v>0</v>
      </c>
      <c r="E452" s="217">
        <f>IF(ISNUMBER(VLOOKUP($B:$B,BS!$A:$D,$2:$2,0)),VLOOKUP($B:$B,BS!$A:$D,$2:$2,0),0)</f>
        <v>0</v>
      </c>
      <c r="F452" s="217">
        <f>IF(ISNUMBER(VLOOKUP($B:$B,BS!$A:$D,$2:$2,0)),VLOOKUP($B:$B,BS!$A:$D,$2:$2,0),0)</f>
        <v>0</v>
      </c>
      <c r="G452" s="217">
        <f>IF(ISNUMBER(VLOOKUP($B:$B,BS!$A:$D,$2:$2,0)),VLOOKUP($B:$B,BS!$A:$D,$2:$2,0),0)</f>
        <v>0</v>
      </c>
      <c r="H452" s="207">
        <f>IF(ISNUMBER(VLOOKUP($B:$B,'BS(과거)'!$A:$F,$2:$2,0)),VLOOKUP($B:$B,'BS(과거)'!$A:$F,$2:$2,0),0)</f>
        <v>0</v>
      </c>
      <c r="I452" s="207">
        <f>IF(ISNUMBER(VLOOKUP($B:$B,'BS(과거)'!$A:$F,$2:$2,0)),VLOOKUP($B:$B,'BS(과거)'!$A:$F,$2:$2,0),0)</f>
        <v>0</v>
      </c>
      <c r="J452" s="207">
        <f>IF(ISNUMBER(VLOOKUP($B:$B,'BS(과거)'!$A:$F,$2:$2,0)),VLOOKUP($B:$B,'BS(과거)'!$A:$F,$2:$2,0),0)</f>
        <v>0</v>
      </c>
      <c r="K452" s="207">
        <f>IF(ISNUMBER(VLOOKUP($B:$B,'BS(과거)'!$A:$F,$2:$2,0)),VLOOKUP($B:$B,'BS(과거)'!$A:$F,$2:$2,0),0)</f>
        <v>0</v>
      </c>
      <c r="L452" s="207">
        <f>IF(ISNUMBER(VLOOKUP($B:$B,'BS(과거)'!$A:$F,$2:$2,0)),VLOOKUP($B:$B,'BS(과거)'!$A:$F,$2:$2,0),0)</f>
        <v>0</v>
      </c>
      <c r="N452" s="207">
        <f>IF(ISNUMBER(VLOOKUP($B:$B,'BS(분기)'!$A:$F,$2:$2,0)),VLOOKUP($B:$B,'BS(분기)'!$A:$F,$2:$2,0),0)</f>
        <v>0</v>
      </c>
      <c r="O452" s="207">
        <f>IF(ISNUMBER(VLOOKUP($B:$B,'BS(분기)'!$A:$F,$2:$2,0)),VLOOKUP($B:$B,'BS(분기)'!$A:$F,$2:$2,0),0)</f>
        <v>0</v>
      </c>
      <c r="P452" s="207">
        <f>IF(ISNUMBER(VLOOKUP($B:$B,'BS(분기)'!$A:$F,$2:$2,0)),VLOOKUP($B:$B,'BS(분기)'!$A:$F,$2:$2,0),0)</f>
        <v>0</v>
      </c>
      <c r="Q452" s="207">
        <f>IF(ISNUMBER(VLOOKUP($B:$B,'BS(분기)'!$A:$F,$2:$2,0)),VLOOKUP($B:$B,'BS(분기)'!$A:$F,$2:$2,0),0)</f>
        <v>0</v>
      </c>
      <c r="R452" s="207">
        <f>IF(ISNUMBER(VLOOKUP($B:$B,'BS(분기)'!$A:$F,$2:$2,0)),VLOOKUP($B:$B,'BS(분기)'!$A:$F,$2:$2,0),0)</f>
        <v>0</v>
      </c>
    </row>
    <row r="453" spans="1:18" s="192" customFormat="1" ht="12">
      <c r="A453" s="202">
        <v>112281</v>
      </c>
      <c r="B453" s="195" t="s">
        <v>1175</v>
      </c>
      <c r="C453" s="217">
        <f>IF(ISNUMBER(VLOOKUP($B:$B,BS!$A:$D,$2:$2,0)),VLOOKUP($B:$B,BS!$A:$D,$2:$2,0),0)</f>
        <v>0</v>
      </c>
      <c r="D453" s="217">
        <f>IF(ISNUMBER(VLOOKUP($B:$B,BS!$A:$D,$2:$2,0)),VLOOKUP($B:$B,BS!$A:$D,$2:$2,0),0)</f>
        <v>0</v>
      </c>
      <c r="E453" s="217">
        <f>IF(ISNUMBER(VLOOKUP($B:$B,BS!$A:$D,$2:$2,0)),VLOOKUP($B:$B,BS!$A:$D,$2:$2,0),0)</f>
        <v>0</v>
      </c>
      <c r="F453" s="217">
        <f>IF(ISNUMBER(VLOOKUP($B:$B,BS!$A:$D,$2:$2,0)),VLOOKUP($B:$B,BS!$A:$D,$2:$2,0),0)</f>
        <v>0</v>
      </c>
      <c r="G453" s="217">
        <f>IF(ISNUMBER(VLOOKUP($B:$B,BS!$A:$D,$2:$2,0)),VLOOKUP($B:$B,BS!$A:$D,$2:$2,0),0)</f>
        <v>0</v>
      </c>
      <c r="H453" s="207">
        <f>IF(ISNUMBER(VLOOKUP($B:$B,'BS(과거)'!$A:$F,$2:$2,0)),VLOOKUP($B:$B,'BS(과거)'!$A:$F,$2:$2,0),0)</f>
        <v>0</v>
      </c>
      <c r="I453" s="207">
        <f>IF(ISNUMBER(VLOOKUP($B:$B,'BS(과거)'!$A:$F,$2:$2,0)),VLOOKUP($B:$B,'BS(과거)'!$A:$F,$2:$2,0),0)</f>
        <v>0</v>
      </c>
      <c r="J453" s="207">
        <f>IF(ISNUMBER(VLOOKUP($B:$B,'BS(과거)'!$A:$F,$2:$2,0)),VLOOKUP($B:$B,'BS(과거)'!$A:$F,$2:$2,0),0)</f>
        <v>0</v>
      </c>
      <c r="K453" s="207">
        <f>IF(ISNUMBER(VLOOKUP($B:$B,'BS(과거)'!$A:$F,$2:$2,0)),VLOOKUP($B:$B,'BS(과거)'!$A:$F,$2:$2,0),0)</f>
        <v>0</v>
      </c>
      <c r="L453" s="207">
        <f>IF(ISNUMBER(VLOOKUP($B:$B,'BS(과거)'!$A:$F,$2:$2,0)),VLOOKUP($B:$B,'BS(과거)'!$A:$F,$2:$2,0),0)</f>
        <v>0</v>
      </c>
      <c r="N453" s="207">
        <f>IF(ISNUMBER(VLOOKUP($B:$B,'BS(분기)'!$A:$F,$2:$2,0)),VLOOKUP($B:$B,'BS(분기)'!$A:$F,$2:$2,0),0)</f>
        <v>0</v>
      </c>
      <c r="O453" s="207">
        <f>IF(ISNUMBER(VLOOKUP($B:$B,'BS(분기)'!$A:$F,$2:$2,0)),VLOOKUP($B:$B,'BS(분기)'!$A:$F,$2:$2,0),0)</f>
        <v>0</v>
      </c>
      <c r="P453" s="207">
        <f>IF(ISNUMBER(VLOOKUP($B:$B,'BS(분기)'!$A:$F,$2:$2,0)),VLOOKUP($B:$B,'BS(분기)'!$A:$F,$2:$2,0),0)</f>
        <v>0</v>
      </c>
      <c r="Q453" s="207">
        <f>IF(ISNUMBER(VLOOKUP($B:$B,'BS(분기)'!$A:$F,$2:$2,0)),VLOOKUP($B:$B,'BS(분기)'!$A:$F,$2:$2,0),0)</f>
        <v>0</v>
      </c>
      <c r="R453" s="207">
        <f>IF(ISNUMBER(VLOOKUP($B:$B,'BS(분기)'!$A:$F,$2:$2,0)),VLOOKUP($B:$B,'BS(분기)'!$A:$F,$2:$2,0),0)</f>
        <v>0</v>
      </c>
    </row>
    <row r="454" spans="1:18" s="192" customFormat="1" ht="12">
      <c r="A454" s="202">
        <v>112230</v>
      </c>
      <c r="B454" s="195" t="s">
        <v>1176</v>
      </c>
      <c r="C454" s="217">
        <f>IF(ISNUMBER(VLOOKUP($B:$B,BS!$A:$D,$2:$2,0)),VLOOKUP($B:$B,BS!$A:$D,$2:$2,0),0)</f>
        <v>0</v>
      </c>
      <c r="D454" s="217">
        <f>IF(ISNUMBER(VLOOKUP($B:$B,BS!$A:$D,$2:$2,0)),VLOOKUP($B:$B,BS!$A:$D,$2:$2,0),0)</f>
        <v>0</v>
      </c>
      <c r="E454" s="217">
        <f>IF(ISNUMBER(VLOOKUP($B:$B,BS!$A:$D,$2:$2,0)),VLOOKUP($B:$B,BS!$A:$D,$2:$2,0),0)</f>
        <v>0</v>
      </c>
      <c r="F454" s="217">
        <f>IF(ISNUMBER(VLOOKUP($B:$B,BS!$A:$D,$2:$2,0)),VLOOKUP($B:$B,BS!$A:$D,$2:$2,0),0)</f>
        <v>0</v>
      </c>
      <c r="G454" s="217">
        <f>IF(ISNUMBER(VLOOKUP($B:$B,BS!$A:$D,$2:$2,0)),VLOOKUP($B:$B,BS!$A:$D,$2:$2,0),0)</f>
        <v>0</v>
      </c>
      <c r="H454" s="207">
        <f>IF(ISNUMBER(VLOOKUP($B:$B,'BS(과거)'!$A:$F,$2:$2,0)),VLOOKUP($B:$B,'BS(과거)'!$A:$F,$2:$2,0),0)</f>
        <v>0</v>
      </c>
      <c r="I454" s="207">
        <f>IF(ISNUMBER(VLOOKUP($B:$B,'BS(과거)'!$A:$F,$2:$2,0)),VLOOKUP($B:$B,'BS(과거)'!$A:$F,$2:$2,0),0)</f>
        <v>0</v>
      </c>
      <c r="J454" s="207">
        <f>IF(ISNUMBER(VLOOKUP($B:$B,'BS(과거)'!$A:$F,$2:$2,0)),VLOOKUP($B:$B,'BS(과거)'!$A:$F,$2:$2,0),0)</f>
        <v>0</v>
      </c>
      <c r="K454" s="207">
        <f>IF(ISNUMBER(VLOOKUP($B:$B,'BS(과거)'!$A:$F,$2:$2,0)),VLOOKUP($B:$B,'BS(과거)'!$A:$F,$2:$2,0),0)</f>
        <v>0</v>
      </c>
      <c r="L454" s="207">
        <f>IF(ISNUMBER(VLOOKUP($B:$B,'BS(과거)'!$A:$F,$2:$2,0)),VLOOKUP($B:$B,'BS(과거)'!$A:$F,$2:$2,0),0)</f>
        <v>0</v>
      </c>
      <c r="N454" s="207">
        <f>IF(ISNUMBER(VLOOKUP($B:$B,'BS(분기)'!$A:$F,$2:$2,0)),VLOOKUP($B:$B,'BS(분기)'!$A:$F,$2:$2,0),0)</f>
        <v>0</v>
      </c>
      <c r="O454" s="207">
        <f>IF(ISNUMBER(VLOOKUP($B:$B,'BS(분기)'!$A:$F,$2:$2,0)),VLOOKUP($B:$B,'BS(분기)'!$A:$F,$2:$2,0),0)</f>
        <v>0</v>
      </c>
      <c r="P454" s="207">
        <f>IF(ISNUMBER(VLOOKUP($B:$B,'BS(분기)'!$A:$F,$2:$2,0)),VLOOKUP($B:$B,'BS(분기)'!$A:$F,$2:$2,0),0)</f>
        <v>0</v>
      </c>
      <c r="Q454" s="207">
        <f>IF(ISNUMBER(VLOOKUP($B:$B,'BS(분기)'!$A:$F,$2:$2,0)),VLOOKUP($B:$B,'BS(분기)'!$A:$F,$2:$2,0),0)</f>
        <v>0</v>
      </c>
      <c r="R454" s="207">
        <f>IF(ISNUMBER(VLOOKUP($B:$B,'BS(분기)'!$A:$F,$2:$2,0)),VLOOKUP($B:$B,'BS(분기)'!$A:$F,$2:$2,0),0)</f>
        <v>0</v>
      </c>
    </row>
    <row r="455" spans="1:18" s="192" customFormat="1" ht="12">
      <c r="A455" s="202">
        <v>112239</v>
      </c>
      <c r="B455" s="195" t="s">
        <v>1177</v>
      </c>
      <c r="C455" s="217">
        <f>IF(ISNUMBER(VLOOKUP($B:$B,BS!$A:$D,$2:$2,0)),VLOOKUP($B:$B,BS!$A:$D,$2:$2,0),0)</f>
        <v>0</v>
      </c>
      <c r="D455" s="217">
        <f>IF(ISNUMBER(VLOOKUP($B:$B,BS!$A:$D,$2:$2,0)),VLOOKUP($B:$B,BS!$A:$D,$2:$2,0),0)</f>
        <v>0</v>
      </c>
      <c r="E455" s="217">
        <f>IF(ISNUMBER(VLOOKUP($B:$B,BS!$A:$D,$2:$2,0)),VLOOKUP($B:$B,BS!$A:$D,$2:$2,0),0)</f>
        <v>0</v>
      </c>
      <c r="F455" s="217">
        <f>IF(ISNUMBER(VLOOKUP($B:$B,BS!$A:$D,$2:$2,0)),VLOOKUP($B:$B,BS!$A:$D,$2:$2,0),0)</f>
        <v>0</v>
      </c>
      <c r="G455" s="217">
        <f>IF(ISNUMBER(VLOOKUP($B:$B,BS!$A:$D,$2:$2,0)),VLOOKUP($B:$B,BS!$A:$D,$2:$2,0),0)</f>
        <v>0</v>
      </c>
      <c r="H455" s="207">
        <f>IF(ISNUMBER(VLOOKUP($B:$B,'BS(과거)'!$A:$F,$2:$2,0)),VLOOKUP($B:$B,'BS(과거)'!$A:$F,$2:$2,0),0)</f>
        <v>0</v>
      </c>
      <c r="I455" s="207">
        <f>IF(ISNUMBER(VLOOKUP($B:$B,'BS(과거)'!$A:$F,$2:$2,0)),VLOOKUP($B:$B,'BS(과거)'!$A:$F,$2:$2,0),0)</f>
        <v>0</v>
      </c>
      <c r="J455" s="207">
        <f>IF(ISNUMBER(VLOOKUP($B:$B,'BS(과거)'!$A:$F,$2:$2,0)),VLOOKUP($B:$B,'BS(과거)'!$A:$F,$2:$2,0),0)</f>
        <v>0</v>
      </c>
      <c r="K455" s="207">
        <f>IF(ISNUMBER(VLOOKUP($B:$B,'BS(과거)'!$A:$F,$2:$2,0)),VLOOKUP($B:$B,'BS(과거)'!$A:$F,$2:$2,0),0)</f>
        <v>0</v>
      </c>
      <c r="L455" s="207">
        <f>IF(ISNUMBER(VLOOKUP($B:$B,'BS(과거)'!$A:$F,$2:$2,0)),VLOOKUP($B:$B,'BS(과거)'!$A:$F,$2:$2,0),0)</f>
        <v>0</v>
      </c>
      <c r="N455" s="207">
        <f>IF(ISNUMBER(VLOOKUP($B:$B,'BS(분기)'!$A:$F,$2:$2,0)),VLOOKUP($B:$B,'BS(분기)'!$A:$F,$2:$2,0),0)</f>
        <v>0</v>
      </c>
      <c r="O455" s="207">
        <f>IF(ISNUMBER(VLOOKUP($B:$B,'BS(분기)'!$A:$F,$2:$2,0)),VLOOKUP($B:$B,'BS(분기)'!$A:$F,$2:$2,0),0)</f>
        <v>0</v>
      </c>
      <c r="P455" s="207">
        <f>IF(ISNUMBER(VLOOKUP($B:$B,'BS(분기)'!$A:$F,$2:$2,0)),VLOOKUP($B:$B,'BS(분기)'!$A:$F,$2:$2,0),0)</f>
        <v>0</v>
      </c>
      <c r="Q455" s="207">
        <f>IF(ISNUMBER(VLOOKUP($B:$B,'BS(분기)'!$A:$F,$2:$2,0)),VLOOKUP($B:$B,'BS(분기)'!$A:$F,$2:$2,0),0)</f>
        <v>0</v>
      </c>
      <c r="R455" s="207">
        <f>IF(ISNUMBER(VLOOKUP($B:$B,'BS(분기)'!$A:$F,$2:$2,0)),VLOOKUP($B:$B,'BS(분기)'!$A:$F,$2:$2,0),0)</f>
        <v>0</v>
      </c>
    </row>
    <row r="456" spans="1:18" s="192" customFormat="1" ht="12">
      <c r="A456" s="202">
        <v>112237</v>
      </c>
      <c r="B456" s="195" t="s">
        <v>1178</v>
      </c>
      <c r="C456" s="217">
        <f>IF(ISNUMBER(VLOOKUP($B:$B,BS!$A:$D,$2:$2,0)),VLOOKUP($B:$B,BS!$A:$D,$2:$2,0),0)</f>
        <v>0</v>
      </c>
      <c r="D456" s="217">
        <f>IF(ISNUMBER(VLOOKUP($B:$B,BS!$A:$D,$2:$2,0)),VLOOKUP($B:$B,BS!$A:$D,$2:$2,0),0)</f>
        <v>0</v>
      </c>
      <c r="E456" s="217">
        <f>IF(ISNUMBER(VLOOKUP($B:$B,BS!$A:$D,$2:$2,0)),VLOOKUP($B:$B,BS!$A:$D,$2:$2,0),0)</f>
        <v>0</v>
      </c>
      <c r="F456" s="217">
        <f>IF(ISNUMBER(VLOOKUP($B:$B,BS!$A:$D,$2:$2,0)),VLOOKUP($B:$B,BS!$A:$D,$2:$2,0),0)</f>
        <v>0</v>
      </c>
      <c r="G456" s="217">
        <f>IF(ISNUMBER(VLOOKUP($B:$B,BS!$A:$D,$2:$2,0)),VLOOKUP($B:$B,BS!$A:$D,$2:$2,0),0)</f>
        <v>0</v>
      </c>
      <c r="H456" s="207">
        <f>IF(ISNUMBER(VLOOKUP($B:$B,'BS(과거)'!$A:$F,$2:$2,0)),VLOOKUP($B:$B,'BS(과거)'!$A:$F,$2:$2,0),0)</f>
        <v>0</v>
      </c>
      <c r="I456" s="207">
        <f>IF(ISNUMBER(VLOOKUP($B:$B,'BS(과거)'!$A:$F,$2:$2,0)),VLOOKUP($B:$B,'BS(과거)'!$A:$F,$2:$2,0),0)</f>
        <v>0</v>
      </c>
      <c r="J456" s="207">
        <f>IF(ISNUMBER(VLOOKUP($B:$B,'BS(과거)'!$A:$F,$2:$2,0)),VLOOKUP($B:$B,'BS(과거)'!$A:$F,$2:$2,0),0)</f>
        <v>0</v>
      </c>
      <c r="K456" s="207">
        <f>IF(ISNUMBER(VLOOKUP($B:$B,'BS(과거)'!$A:$F,$2:$2,0)),VLOOKUP($B:$B,'BS(과거)'!$A:$F,$2:$2,0),0)</f>
        <v>0</v>
      </c>
      <c r="L456" s="207">
        <f>IF(ISNUMBER(VLOOKUP($B:$B,'BS(과거)'!$A:$F,$2:$2,0)),VLOOKUP($B:$B,'BS(과거)'!$A:$F,$2:$2,0),0)</f>
        <v>0</v>
      </c>
      <c r="N456" s="207">
        <f>IF(ISNUMBER(VLOOKUP($B:$B,'BS(분기)'!$A:$F,$2:$2,0)),VLOOKUP($B:$B,'BS(분기)'!$A:$F,$2:$2,0),0)</f>
        <v>0</v>
      </c>
      <c r="O456" s="207">
        <f>IF(ISNUMBER(VLOOKUP($B:$B,'BS(분기)'!$A:$F,$2:$2,0)),VLOOKUP($B:$B,'BS(분기)'!$A:$F,$2:$2,0),0)</f>
        <v>0</v>
      </c>
      <c r="P456" s="207">
        <f>IF(ISNUMBER(VLOOKUP($B:$B,'BS(분기)'!$A:$F,$2:$2,0)),VLOOKUP($B:$B,'BS(분기)'!$A:$F,$2:$2,0),0)</f>
        <v>0</v>
      </c>
      <c r="Q456" s="207">
        <f>IF(ISNUMBER(VLOOKUP($B:$B,'BS(분기)'!$A:$F,$2:$2,0)),VLOOKUP($B:$B,'BS(분기)'!$A:$F,$2:$2,0),0)</f>
        <v>0</v>
      </c>
      <c r="R456" s="207">
        <f>IF(ISNUMBER(VLOOKUP($B:$B,'BS(분기)'!$A:$F,$2:$2,0)),VLOOKUP($B:$B,'BS(분기)'!$A:$F,$2:$2,0),0)</f>
        <v>0</v>
      </c>
    </row>
    <row r="457" spans="1:18" s="192" customFormat="1" ht="12">
      <c r="A457" s="202">
        <v>112238</v>
      </c>
      <c r="B457" s="195" t="s">
        <v>1179</v>
      </c>
      <c r="C457" s="217">
        <f>IF(ISNUMBER(VLOOKUP($B:$B,BS!$A:$D,$2:$2,0)),VLOOKUP($B:$B,BS!$A:$D,$2:$2,0),0)</f>
        <v>0</v>
      </c>
      <c r="D457" s="217">
        <f>IF(ISNUMBER(VLOOKUP($B:$B,BS!$A:$D,$2:$2,0)),VLOOKUP($B:$B,BS!$A:$D,$2:$2,0),0)</f>
        <v>0</v>
      </c>
      <c r="E457" s="217">
        <f>IF(ISNUMBER(VLOOKUP($B:$B,BS!$A:$D,$2:$2,0)),VLOOKUP($B:$B,BS!$A:$D,$2:$2,0),0)</f>
        <v>0</v>
      </c>
      <c r="F457" s="217">
        <f>IF(ISNUMBER(VLOOKUP($B:$B,BS!$A:$D,$2:$2,0)),VLOOKUP($B:$B,BS!$A:$D,$2:$2,0),0)</f>
        <v>0</v>
      </c>
      <c r="G457" s="217">
        <f>IF(ISNUMBER(VLOOKUP($B:$B,BS!$A:$D,$2:$2,0)),VLOOKUP($B:$B,BS!$A:$D,$2:$2,0),0)</f>
        <v>0</v>
      </c>
      <c r="H457" s="207">
        <f>IF(ISNUMBER(VLOOKUP($B:$B,'BS(과거)'!$A:$F,$2:$2,0)),VLOOKUP($B:$B,'BS(과거)'!$A:$F,$2:$2,0),0)</f>
        <v>0</v>
      </c>
      <c r="I457" s="207">
        <f>IF(ISNUMBER(VLOOKUP($B:$B,'BS(과거)'!$A:$F,$2:$2,0)),VLOOKUP($B:$B,'BS(과거)'!$A:$F,$2:$2,0),0)</f>
        <v>0</v>
      </c>
      <c r="J457" s="207">
        <f>IF(ISNUMBER(VLOOKUP($B:$B,'BS(과거)'!$A:$F,$2:$2,0)),VLOOKUP($B:$B,'BS(과거)'!$A:$F,$2:$2,0),0)</f>
        <v>0</v>
      </c>
      <c r="K457" s="207">
        <f>IF(ISNUMBER(VLOOKUP($B:$B,'BS(과거)'!$A:$F,$2:$2,0)),VLOOKUP($B:$B,'BS(과거)'!$A:$F,$2:$2,0),0)</f>
        <v>0</v>
      </c>
      <c r="L457" s="207">
        <f>IF(ISNUMBER(VLOOKUP($B:$B,'BS(과거)'!$A:$F,$2:$2,0)),VLOOKUP($B:$B,'BS(과거)'!$A:$F,$2:$2,0),0)</f>
        <v>0</v>
      </c>
      <c r="N457" s="207">
        <f>IF(ISNUMBER(VLOOKUP($B:$B,'BS(분기)'!$A:$F,$2:$2,0)),VLOOKUP($B:$B,'BS(분기)'!$A:$F,$2:$2,0),0)</f>
        <v>0</v>
      </c>
      <c r="O457" s="207">
        <f>IF(ISNUMBER(VLOOKUP($B:$B,'BS(분기)'!$A:$F,$2:$2,0)),VLOOKUP($B:$B,'BS(분기)'!$A:$F,$2:$2,0),0)</f>
        <v>0</v>
      </c>
      <c r="P457" s="207">
        <f>IF(ISNUMBER(VLOOKUP($B:$B,'BS(분기)'!$A:$F,$2:$2,0)),VLOOKUP($B:$B,'BS(분기)'!$A:$F,$2:$2,0),0)</f>
        <v>0</v>
      </c>
      <c r="Q457" s="207">
        <f>IF(ISNUMBER(VLOOKUP($B:$B,'BS(분기)'!$A:$F,$2:$2,0)),VLOOKUP($B:$B,'BS(분기)'!$A:$F,$2:$2,0),0)</f>
        <v>0</v>
      </c>
      <c r="R457" s="207">
        <f>IF(ISNUMBER(VLOOKUP($B:$B,'BS(분기)'!$A:$F,$2:$2,0)),VLOOKUP($B:$B,'BS(분기)'!$A:$F,$2:$2,0),0)</f>
        <v>0</v>
      </c>
    </row>
    <row r="458" spans="1:18" s="192" customFormat="1" ht="12">
      <c r="A458" s="202">
        <v>112251</v>
      </c>
      <c r="B458" s="195" t="s">
        <v>1180</v>
      </c>
      <c r="C458" s="217">
        <f>IF(ISNUMBER(VLOOKUP($B:$B,BS!$A:$D,$2:$2,0)),VLOOKUP($B:$B,BS!$A:$D,$2:$2,0),0)</f>
        <v>0</v>
      </c>
      <c r="D458" s="217">
        <f>IF(ISNUMBER(VLOOKUP($B:$B,BS!$A:$D,$2:$2,0)),VLOOKUP($B:$B,BS!$A:$D,$2:$2,0),0)</f>
        <v>0</v>
      </c>
      <c r="E458" s="217">
        <f>IF(ISNUMBER(VLOOKUP($B:$B,BS!$A:$D,$2:$2,0)),VLOOKUP($B:$B,BS!$A:$D,$2:$2,0),0)</f>
        <v>0</v>
      </c>
      <c r="F458" s="217">
        <f>IF(ISNUMBER(VLOOKUP($B:$B,BS!$A:$D,$2:$2,0)),VLOOKUP($B:$B,BS!$A:$D,$2:$2,0),0)</f>
        <v>0</v>
      </c>
      <c r="G458" s="217">
        <f>IF(ISNUMBER(VLOOKUP($B:$B,BS!$A:$D,$2:$2,0)),VLOOKUP($B:$B,BS!$A:$D,$2:$2,0),0)</f>
        <v>0</v>
      </c>
      <c r="H458" s="207">
        <f>IF(ISNUMBER(VLOOKUP($B:$B,'BS(과거)'!$A:$F,$2:$2,0)),VLOOKUP($B:$B,'BS(과거)'!$A:$F,$2:$2,0),0)</f>
        <v>0</v>
      </c>
      <c r="I458" s="207">
        <f>IF(ISNUMBER(VLOOKUP($B:$B,'BS(과거)'!$A:$F,$2:$2,0)),VLOOKUP($B:$B,'BS(과거)'!$A:$F,$2:$2,0),0)</f>
        <v>0</v>
      </c>
      <c r="J458" s="207">
        <f>IF(ISNUMBER(VLOOKUP($B:$B,'BS(과거)'!$A:$F,$2:$2,0)),VLOOKUP($B:$B,'BS(과거)'!$A:$F,$2:$2,0),0)</f>
        <v>0</v>
      </c>
      <c r="K458" s="207">
        <f>IF(ISNUMBER(VLOOKUP($B:$B,'BS(과거)'!$A:$F,$2:$2,0)),VLOOKUP($B:$B,'BS(과거)'!$A:$F,$2:$2,0),0)</f>
        <v>0</v>
      </c>
      <c r="L458" s="207">
        <f>IF(ISNUMBER(VLOOKUP($B:$B,'BS(과거)'!$A:$F,$2:$2,0)),VLOOKUP($B:$B,'BS(과거)'!$A:$F,$2:$2,0),0)</f>
        <v>0</v>
      </c>
      <c r="N458" s="207">
        <f>IF(ISNUMBER(VLOOKUP($B:$B,'BS(분기)'!$A:$F,$2:$2,0)),VLOOKUP($B:$B,'BS(분기)'!$A:$F,$2:$2,0),0)</f>
        <v>0</v>
      </c>
      <c r="O458" s="207">
        <f>IF(ISNUMBER(VLOOKUP($B:$B,'BS(분기)'!$A:$F,$2:$2,0)),VLOOKUP($B:$B,'BS(분기)'!$A:$F,$2:$2,0),0)</f>
        <v>0</v>
      </c>
      <c r="P458" s="207">
        <f>IF(ISNUMBER(VLOOKUP($B:$B,'BS(분기)'!$A:$F,$2:$2,0)),VLOOKUP($B:$B,'BS(분기)'!$A:$F,$2:$2,0),0)</f>
        <v>0</v>
      </c>
      <c r="Q458" s="207">
        <f>IF(ISNUMBER(VLOOKUP($B:$B,'BS(분기)'!$A:$F,$2:$2,0)),VLOOKUP($B:$B,'BS(분기)'!$A:$F,$2:$2,0),0)</f>
        <v>0</v>
      </c>
      <c r="R458" s="207">
        <f>IF(ISNUMBER(VLOOKUP($B:$B,'BS(분기)'!$A:$F,$2:$2,0)),VLOOKUP($B:$B,'BS(분기)'!$A:$F,$2:$2,0),0)</f>
        <v>0</v>
      </c>
    </row>
    <row r="459" spans="1:18" s="192" customFormat="1" ht="12">
      <c r="A459" s="202">
        <v>112254</v>
      </c>
      <c r="B459" s="195" t="s">
        <v>1181</v>
      </c>
      <c r="C459" s="217">
        <f>IF(ISNUMBER(VLOOKUP($B:$B,BS!$A:$D,$2:$2,0)),VLOOKUP($B:$B,BS!$A:$D,$2:$2,0),0)</f>
        <v>0</v>
      </c>
      <c r="D459" s="217">
        <f>IF(ISNUMBER(VLOOKUP($B:$B,BS!$A:$D,$2:$2,0)),VLOOKUP($B:$B,BS!$A:$D,$2:$2,0),0)</f>
        <v>0</v>
      </c>
      <c r="E459" s="217">
        <f>IF(ISNUMBER(VLOOKUP($B:$B,BS!$A:$D,$2:$2,0)),VLOOKUP($B:$B,BS!$A:$D,$2:$2,0),0)</f>
        <v>0</v>
      </c>
      <c r="F459" s="217">
        <f>IF(ISNUMBER(VLOOKUP($B:$B,BS!$A:$D,$2:$2,0)),VLOOKUP($B:$B,BS!$A:$D,$2:$2,0),0)</f>
        <v>0</v>
      </c>
      <c r="G459" s="217">
        <f>IF(ISNUMBER(VLOOKUP($B:$B,BS!$A:$D,$2:$2,0)),VLOOKUP($B:$B,BS!$A:$D,$2:$2,0),0)</f>
        <v>0</v>
      </c>
      <c r="H459" s="207">
        <f>IF(ISNUMBER(VLOOKUP($B:$B,'BS(과거)'!$A:$F,$2:$2,0)),VLOOKUP($B:$B,'BS(과거)'!$A:$F,$2:$2,0),0)</f>
        <v>0</v>
      </c>
      <c r="I459" s="207">
        <f>IF(ISNUMBER(VLOOKUP($B:$B,'BS(과거)'!$A:$F,$2:$2,0)),VLOOKUP($B:$B,'BS(과거)'!$A:$F,$2:$2,0),0)</f>
        <v>0</v>
      </c>
      <c r="J459" s="207">
        <f>IF(ISNUMBER(VLOOKUP($B:$B,'BS(과거)'!$A:$F,$2:$2,0)),VLOOKUP($B:$B,'BS(과거)'!$A:$F,$2:$2,0),0)</f>
        <v>0</v>
      </c>
      <c r="K459" s="207">
        <f>IF(ISNUMBER(VLOOKUP($B:$B,'BS(과거)'!$A:$F,$2:$2,0)),VLOOKUP($B:$B,'BS(과거)'!$A:$F,$2:$2,0),0)</f>
        <v>0</v>
      </c>
      <c r="L459" s="207">
        <f>IF(ISNUMBER(VLOOKUP($B:$B,'BS(과거)'!$A:$F,$2:$2,0)),VLOOKUP($B:$B,'BS(과거)'!$A:$F,$2:$2,0),0)</f>
        <v>0</v>
      </c>
      <c r="N459" s="207">
        <f>IF(ISNUMBER(VLOOKUP($B:$B,'BS(분기)'!$A:$F,$2:$2,0)),VLOOKUP($B:$B,'BS(분기)'!$A:$F,$2:$2,0),0)</f>
        <v>0</v>
      </c>
      <c r="O459" s="207">
        <f>IF(ISNUMBER(VLOOKUP($B:$B,'BS(분기)'!$A:$F,$2:$2,0)),VLOOKUP($B:$B,'BS(분기)'!$A:$F,$2:$2,0),0)</f>
        <v>0</v>
      </c>
      <c r="P459" s="207">
        <f>IF(ISNUMBER(VLOOKUP($B:$B,'BS(분기)'!$A:$F,$2:$2,0)),VLOOKUP($B:$B,'BS(분기)'!$A:$F,$2:$2,0),0)</f>
        <v>0</v>
      </c>
      <c r="Q459" s="207">
        <f>IF(ISNUMBER(VLOOKUP($B:$B,'BS(분기)'!$A:$F,$2:$2,0)),VLOOKUP($B:$B,'BS(분기)'!$A:$F,$2:$2,0),0)</f>
        <v>0</v>
      </c>
      <c r="R459" s="207">
        <f>IF(ISNUMBER(VLOOKUP($B:$B,'BS(분기)'!$A:$F,$2:$2,0)),VLOOKUP($B:$B,'BS(분기)'!$A:$F,$2:$2,0),0)</f>
        <v>0</v>
      </c>
    </row>
    <row r="460" spans="1:18" s="192" customFormat="1" ht="12">
      <c r="A460" s="202">
        <v>112253</v>
      </c>
      <c r="B460" s="195" t="s">
        <v>1182</v>
      </c>
      <c r="C460" s="217">
        <f>IF(ISNUMBER(VLOOKUP($B:$B,BS!$A:$D,$2:$2,0)),VLOOKUP($B:$B,BS!$A:$D,$2:$2,0),0)</f>
        <v>0</v>
      </c>
      <c r="D460" s="217">
        <f>IF(ISNUMBER(VLOOKUP($B:$B,BS!$A:$D,$2:$2,0)),VLOOKUP($B:$B,BS!$A:$D,$2:$2,0),0)</f>
        <v>0</v>
      </c>
      <c r="E460" s="217">
        <f>IF(ISNUMBER(VLOOKUP($B:$B,BS!$A:$D,$2:$2,0)),VLOOKUP($B:$B,BS!$A:$D,$2:$2,0),0)</f>
        <v>0</v>
      </c>
      <c r="F460" s="217">
        <f>IF(ISNUMBER(VLOOKUP($B:$B,BS!$A:$D,$2:$2,0)),VLOOKUP($B:$B,BS!$A:$D,$2:$2,0),0)</f>
        <v>0</v>
      </c>
      <c r="G460" s="217">
        <f>IF(ISNUMBER(VLOOKUP($B:$B,BS!$A:$D,$2:$2,0)),VLOOKUP($B:$B,BS!$A:$D,$2:$2,0),0)</f>
        <v>0</v>
      </c>
      <c r="H460" s="207">
        <f>IF(ISNUMBER(VLOOKUP($B:$B,'BS(과거)'!$A:$F,$2:$2,0)),VLOOKUP($B:$B,'BS(과거)'!$A:$F,$2:$2,0),0)</f>
        <v>0</v>
      </c>
      <c r="I460" s="207">
        <f>IF(ISNUMBER(VLOOKUP($B:$B,'BS(과거)'!$A:$F,$2:$2,0)),VLOOKUP($B:$B,'BS(과거)'!$A:$F,$2:$2,0),0)</f>
        <v>0</v>
      </c>
      <c r="J460" s="207">
        <f>IF(ISNUMBER(VLOOKUP($B:$B,'BS(과거)'!$A:$F,$2:$2,0)),VLOOKUP($B:$B,'BS(과거)'!$A:$F,$2:$2,0),0)</f>
        <v>0</v>
      </c>
      <c r="K460" s="207">
        <f>IF(ISNUMBER(VLOOKUP($B:$B,'BS(과거)'!$A:$F,$2:$2,0)),VLOOKUP($B:$B,'BS(과거)'!$A:$F,$2:$2,0),0)</f>
        <v>0</v>
      </c>
      <c r="L460" s="207">
        <f>IF(ISNUMBER(VLOOKUP($B:$B,'BS(과거)'!$A:$F,$2:$2,0)),VLOOKUP($B:$B,'BS(과거)'!$A:$F,$2:$2,0),0)</f>
        <v>0</v>
      </c>
      <c r="N460" s="207">
        <f>IF(ISNUMBER(VLOOKUP($B:$B,'BS(분기)'!$A:$F,$2:$2,0)),VLOOKUP($B:$B,'BS(분기)'!$A:$F,$2:$2,0),0)</f>
        <v>0</v>
      </c>
      <c r="O460" s="207">
        <f>IF(ISNUMBER(VLOOKUP($B:$B,'BS(분기)'!$A:$F,$2:$2,0)),VLOOKUP($B:$B,'BS(분기)'!$A:$F,$2:$2,0),0)</f>
        <v>0</v>
      </c>
      <c r="P460" s="207">
        <f>IF(ISNUMBER(VLOOKUP($B:$B,'BS(분기)'!$A:$F,$2:$2,0)),VLOOKUP($B:$B,'BS(분기)'!$A:$F,$2:$2,0),0)</f>
        <v>0</v>
      </c>
      <c r="Q460" s="207">
        <f>IF(ISNUMBER(VLOOKUP($B:$B,'BS(분기)'!$A:$F,$2:$2,0)),VLOOKUP($B:$B,'BS(분기)'!$A:$F,$2:$2,0),0)</f>
        <v>0</v>
      </c>
      <c r="R460" s="207">
        <f>IF(ISNUMBER(VLOOKUP($B:$B,'BS(분기)'!$A:$F,$2:$2,0)),VLOOKUP($B:$B,'BS(분기)'!$A:$F,$2:$2,0),0)</f>
        <v>0</v>
      </c>
    </row>
    <row r="461" spans="1:18" s="192" customFormat="1" ht="12">
      <c r="A461" s="202">
        <v>112252</v>
      </c>
      <c r="B461" s="195" t="s">
        <v>823</v>
      </c>
      <c r="C461" s="217">
        <f>IF(ISNUMBER(VLOOKUP($B:$B,BS!$A:$D,$2:$2,0)),VLOOKUP($B:$B,BS!$A:$D,$2:$2,0),0)</f>
        <v>0</v>
      </c>
      <c r="D461" s="217">
        <f>IF(ISNUMBER(VLOOKUP($B:$B,BS!$A:$D,$2:$2,0)),VLOOKUP($B:$B,BS!$A:$D,$2:$2,0),0)</f>
        <v>0</v>
      </c>
      <c r="E461" s="217">
        <f>IF(ISNUMBER(VLOOKUP($B:$B,BS!$A:$D,$2:$2,0)),VLOOKUP($B:$B,BS!$A:$D,$2:$2,0),0)</f>
        <v>0</v>
      </c>
      <c r="F461" s="217">
        <f>IF(ISNUMBER(VLOOKUP($B:$B,BS!$A:$D,$2:$2,0)),VLOOKUP($B:$B,BS!$A:$D,$2:$2,0),0)</f>
        <v>0</v>
      </c>
      <c r="G461" s="217">
        <f>IF(ISNUMBER(VLOOKUP($B:$B,BS!$A:$D,$2:$2,0)),VLOOKUP($B:$B,BS!$A:$D,$2:$2,0),0)</f>
        <v>0</v>
      </c>
      <c r="H461" s="207">
        <f>IF(ISNUMBER(VLOOKUP($B:$B,'BS(과거)'!$A:$F,$2:$2,0)),VLOOKUP($B:$B,'BS(과거)'!$A:$F,$2:$2,0),0)</f>
        <v>0</v>
      </c>
      <c r="I461" s="207">
        <f>IF(ISNUMBER(VLOOKUP($B:$B,'BS(과거)'!$A:$F,$2:$2,0)),VLOOKUP($B:$B,'BS(과거)'!$A:$F,$2:$2,0),0)</f>
        <v>0</v>
      </c>
      <c r="J461" s="207">
        <f>IF(ISNUMBER(VLOOKUP($B:$B,'BS(과거)'!$A:$F,$2:$2,0)),VLOOKUP($B:$B,'BS(과거)'!$A:$F,$2:$2,0),0)</f>
        <v>0</v>
      </c>
      <c r="K461" s="207">
        <f>IF(ISNUMBER(VLOOKUP($B:$B,'BS(과거)'!$A:$F,$2:$2,0)),VLOOKUP($B:$B,'BS(과거)'!$A:$F,$2:$2,0),0)</f>
        <v>0</v>
      </c>
      <c r="L461" s="207">
        <f>IF(ISNUMBER(VLOOKUP($B:$B,'BS(과거)'!$A:$F,$2:$2,0)),VLOOKUP($B:$B,'BS(과거)'!$A:$F,$2:$2,0),0)</f>
        <v>0</v>
      </c>
      <c r="N461" s="207">
        <f>IF(ISNUMBER(VLOOKUP($B:$B,'BS(분기)'!$A:$F,$2:$2,0)),VLOOKUP($B:$B,'BS(분기)'!$A:$F,$2:$2,0),0)</f>
        <v>0</v>
      </c>
      <c r="O461" s="207">
        <f>IF(ISNUMBER(VLOOKUP($B:$B,'BS(분기)'!$A:$F,$2:$2,0)),VLOOKUP($B:$B,'BS(분기)'!$A:$F,$2:$2,0),0)</f>
        <v>0</v>
      </c>
      <c r="P461" s="207">
        <f>IF(ISNUMBER(VLOOKUP($B:$B,'BS(분기)'!$A:$F,$2:$2,0)),VLOOKUP($B:$B,'BS(분기)'!$A:$F,$2:$2,0),0)</f>
        <v>0</v>
      </c>
      <c r="Q461" s="207">
        <f>IF(ISNUMBER(VLOOKUP($B:$B,'BS(분기)'!$A:$F,$2:$2,0)),VLOOKUP($B:$B,'BS(분기)'!$A:$F,$2:$2,0),0)</f>
        <v>0</v>
      </c>
      <c r="R461" s="207">
        <f>IF(ISNUMBER(VLOOKUP($B:$B,'BS(분기)'!$A:$F,$2:$2,0)),VLOOKUP($B:$B,'BS(분기)'!$A:$F,$2:$2,0),0)</f>
        <v>0</v>
      </c>
    </row>
    <row r="462" spans="1:18" s="192" customFormat="1" ht="12">
      <c r="A462" s="202">
        <v>112255</v>
      </c>
      <c r="B462" s="195" t="s">
        <v>1183</v>
      </c>
      <c r="C462" s="217">
        <f>IF(ISNUMBER(VLOOKUP($B:$B,BS!$A:$D,$2:$2,0)),VLOOKUP($B:$B,BS!$A:$D,$2:$2,0),0)</f>
        <v>0</v>
      </c>
      <c r="D462" s="217">
        <f>IF(ISNUMBER(VLOOKUP($B:$B,BS!$A:$D,$2:$2,0)),VLOOKUP($B:$B,BS!$A:$D,$2:$2,0),0)</f>
        <v>0</v>
      </c>
      <c r="E462" s="217">
        <f>IF(ISNUMBER(VLOOKUP($B:$B,BS!$A:$D,$2:$2,0)),VLOOKUP($B:$B,BS!$A:$D,$2:$2,0),0)</f>
        <v>0</v>
      </c>
      <c r="F462" s="217">
        <f>IF(ISNUMBER(VLOOKUP($B:$B,BS!$A:$D,$2:$2,0)),VLOOKUP($B:$B,BS!$A:$D,$2:$2,0),0)</f>
        <v>0</v>
      </c>
      <c r="G462" s="217">
        <f>IF(ISNUMBER(VLOOKUP($B:$B,BS!$A:$D,$2:$2,0)),VLOOKUP($B:$B,BS!$A:$D,$2:$2,0),0)</f>
        <v>0</v>
      </c>
      <c r="H462" s="207">
        <f>IF(ISNUMBER(VLOOKUP($B:$B,'BS(과거)'!$A:$F,$2:$2,0)),VLOOKUP($B:$B,'BS(과거)'!$A:$F,$2:$2,0),0)</f>
        <v>0</v>
      </c>
      <c r="I462" s="207">
        <f>IF(ISNUMBER(VLOOKUP($B:$B,'BS(과거)'!$A:$F,$2:$2,0)),VLOOKUP($B:$B,'BS(과거)'!$A:$F,$2:$2,0),0)</f>
        <v>0</v>
      </c>
      <c r="J462" s="207">
        <f>IF(ISNUMBER(VLOOKUP($B:$B,'BS(과거)'!$A:$F,$2:$2,0)),VLOOKUP($B:$B,'BS(과거)'!$A:$F,$2:$2,0),0)</f>
        <v>0</v>
      </c>
      <c r="K462" s="207">
        <f>IF(ISNUMBER(VLOOKUP($B:$B,'BS(과거)'!$A:$F,$2:$2,0)),VLOOKUP($B:$B,'BS(과거)'!$A:$F,$2:$2,0),0)</f>
        <v>0</v>
      </c>
      <c r="L462" s="207">
        <f>IF(ISNUMBER(VLOOKUP($B:$B,'BS(과거)'!$A:$F,$2:$2,0)),VLOOKUP($B:$B,'BS(과거)'!$A:$F,$2:$2,0),0)</f>
        <v>0</v>
      </c>
      <c r="N462" s="207">
        <f>IF(ISNUMBER(VLOOKUP($B:$B,'BS(분기)'!$A:$F,$2:$2,0)),VLOOKUP($B:$B,'BS(분기)'!$A:$F,$2:$2,0),0)</f>
        <v>0</v>
      </c>
      <c r="O462" s="207">
        <f>IF(ISNUMBER(VLOOKUP($B:$B,'BS(분기)'!$A:$F,$2:$2,0)),VLOOKUP($B:$B,'BS(분기)'!$A:$F,$2:$2,0),0)</f>
        <v>0</v>
      </c>
      <c r="P462" s="207">
        <f>IF(ISNUMBER(VLOOKUP($B:$B,'BS(분기)'!$A:$F,$2:$2,0)),VLOOKUP($B:$B,'BS(분기)'!$A:$F,$2:$2,0),0)</f>
        <v>0</v>
      </c>
      <c r="Q462" s="207">
        <f>IF(ISNUMBER(VLOOKUP($B:$B,'BS(분기)'!$A:$F,$2:$2,0)),VLOOKUP($B:$B,'BS(분기)'!$A:$F,$2:$2,0),0)</f>
        <v>0</v>
      </c>
      <c r="R462" s="207">
        <f>IF(ISNUMBER(VLOOKUP($B:$B,'BS(분기)'!$A:$F,$2:$2,0)),VLOOKUP($B:$B,'BS(분기)'!$A:$F,$2:$2,0),0)</f>
        <v>0</v>
      </c>
    </row>
    <row r="463" spans="1:18" s="192" customFormat="1" ht="12">
      <c r="A463" s="202">
        <v>112265</v>
      </c>
      <c r="B463" s="195" t="s">
        <v>1184</v>
      </c>
      <c r="C463" s="217">
        <f>IF(ISNUMBER(VLOOKUP($B:$B,BS!$A:$D,$2:$2,0)),VLOOKUP($B:$B,BS!$A:$D,$2:$2,0),0)</f>
        <v>0</v>
      </c>
      <c r="D463" s="217">
        <f>IF(ISNUMBER(VLOOKUP($B:$B,BS!$A:$D,$2:$2,0)),VLOOKUP($B:$B,BS!$A:$D,$2:$2,0),0)</f>
        <v>0</v>
      </c>
      <c r="E463" s="217">
        <f>IF(ISNUMBER(VLOOKUP($B:$B,BS!$A:$D,$2:$2,0)),VLOOKUP($B:$B,BS!$A:$D,$2:$2,0),0)</f>
        <v>0</v>
      </c>
      <c r="F463" s="217">
        <f>IF(ISNUMBER(VLOOKUP($B:$B,BS!$A:$D,$2:$2,0)),VLOOKUP($B:$B,BS!$A:$D,$2:$2,0),0)</f>
        <v>0</v>
      </c>
      <c r="G463" s="217">
        <f>IF(ISNUMBER(VLOOKUP($B:$B,BS!$A:$D,$2:$2,0)),VLOOKUP($B:$B,BS!$A:$D,$2:$2,0),0)</f>
        <v>0</v>
      </c>
      <c r="H463" s="207">
        <f>IF(ISNUMBER(VLOOKUP($B:$B,'BS(과거)'!$A:$F,$2:$2,0)),VLOOKUP($B:$B,'BS(과거)'!$A:$F,$2:$2,0),0)</f>
        <v>0</v>
      </c>
      <c r="I463" s="207">
        <f>IF(ISNUMBER(VLOOKUP($B:$B,'BS(과거)'!$A:$F,$2:$2,0)),VLOOKUP($B:$B,'BS(과거)'!$A:$F,$2:$2,0),0)</f>
        <v>0</v>
      </c>
      <c r="J463" s="207">
        <f>IF(ISNUMBER(VLOOKUP($B:$B,'BS(과거)'!$A:$F,$2:$2,0)),VLOOKUP($B:$B,'BS(과거)'!$A:$F,$2:$2,0),0)</f>
        <v>0</v>
      </c>
      <c r="K463" s="207">
        <f>IF(ISNUMBER(VLOOKUP($B:$B,'BS(과거)'!$A:$F,$2:$2,0)),VLOOKUP($B:$B,'BS(과거)'!$A:$F,$2:$2,0),0)</f>
        <v>0</v>
      </c>
      <c r="L463" s="207">
        <f>IF(ISNUMBER(VLOOKUP($B:$B,'BS(과거)'!$A:$F,$2:$2,0)),VLOOKUP($B:$B,'BS(과거)'!$A:$F,$2:$2,0),0)</f>
        <v>0</v>
      </c>
      <c r="N463" s="207">
        <f>IF(ISNUMBER(VLOOKUP($B:$B,'BS(분기)'!$A:$F,$2:$2,0)),VLOOKUP($B:$B,'BS(분기)'!$A:$F,$2:$2,0),0)</f>
        <v>0</v>
      </c>
      <c r="O463" s="207">
        <f>IF(ISNUMBER(VLOOKUP($B:$B,'BS(분기)'!$A:$F,$2:$2,0)),VLOOKUP($B:$B,'BS(분기)'!$A:$F,$2:$2,0),0)</f>
        <v>0</v>
      </c>
      <c r="P463" s="207">
        <f>IF(ISNUMBER(VLOOKUP($B:$B,'BS(분기)'!$A:$F,$2:$2,0)),VLOOKUP($B:$B,'BS(분기)'!$A:$F,$2:$2,0),0)</f>
        <v>0</v>
      </c>
      <c r="Q463" s="207">
        <f>IF(ISNUMBER(VLOOKUP($B:$B,'BS(분기)'!$A:$F,$2:$2,0)),VLOOKUP($B:$B,'BS(분기)'!$A:$F,$2:$2,0),0)</f>
        <v>0</v>
      </c>
      <c r="R463" s="207">
        <f>IF(ISNUMBER(VLOOKUP($B:$B,'BS(분기)'!$A:$F,$2:$2,0)),VLOOKUP($B:$B,'BS(분기)'!$A:$F,$2:$2,0),0)</f>
        <v>0</v>
      </c>
    </row>
    <row r="464" spans="1:18" s="192" customFormat="1" ht="12">
      <c r="A464" s="202">
        <v>112271</v>
      </c>
      <c r="B464" s="195" t="s">
        <v>1185</v>
      </c>
      <c r="C464" s="217">
        <f>IF(ISNUMBER(VLOOKUP($B:$B,BS!$A:$D,$2:$2,0)),VLOOKUP($B:$B,BS!$A:$D,$2:$2,0),0)</f>
        <v>0</v>
      </c>
      <c r="D464" s="217">
        <f>IF(ISNUMBER(VLOOKUP($B:$B,BS!$A:$D,$2:$2,0)),VLOOKUP($B:$B,BS!$A:$D,$2:$2,0),0)</f>
        <v>0</v>
      </c>
      <c r="E464" s="217">
        <f>IF(ISNUMBER(VLOOKUP($B:$B,BS!$A:$D,$2:$2,0)),VLOOKUP($B:$B,BS!$A:$D,$2:$2,0),0)</f>
        <v>0</v>
      </c>
      <c r="F464" s="217">
        <f>IF(ISNUMBER(VLOOKUP($B:$B,BS!$A:$D,$2:$2,0)),VLOOKUP($B:$B,BS!$A:$D,$2:$2,0),0)</f>
        <v>0</v>
      </c>
      <c r="G464" s="217">
        <f>IF(ISNUMBER(VLOOKUP($B:$B,BS!$A:$D,$2:$2,0)),VLOOKUP($B:$B,BS!$A:$D,$2:$2,0),0)</f>
        <v>0</v>
      </c>
      <c r="H464" s="207">
        <f>IF(ISNUMBER(VLOOKUP($B:$B,'BS(과거)'!$A:$F,$2:$2,0)),VLOOKUP($B:$B,'BS(과거)'!$A:$F,$2:$2,0),0)</f>
        <v>0</v>
      </c>
      <c r="I464" s="207">
        <f>IF(ISNUMBER(VLOOKUP($B:$B,'BS(과거)'!$A:$F,$2:$2,0)),VLOOKUP($B:$B,'BS(과거)'!$A:$F,$2:$2,0),0)</f>
        <v>0</v>
      </c>
      <c r="J464" s="207">
        <f>IF(ISNUMBER(VLOOKUP($B:$B,'BS(과거)'!$A:$F,$2:$2,0)),VLOOKUP($B:$B,'BS(과거)'!$A:$F,$2:$2,0),0)</f>
        <v>0</v>
      </c>
      <c r="K464" s="207">
        <f>IF(ISNUMBER(VLOOKUP($B:$B,'BS(과거)'!$A:$F,$2:$2,0)),VLOOKUP($B:$B,'BS(과거)'!$A:$F,$2:$2,0),0)</f>
        <v>0</v>
      </c>
      <c r="L464" s="207">
        <f>IF(ISNUMBER(VLOOKUP($B:$B,'BS(과거)'!$A:$F,$2:$2,0)),VLOOKUP($B:$B,'BS(과거)'!$A:$F,$2:$2,0),0)</f>
        <v>0</v>
      </c>
      <c r="N464" s="207">
        <f>IF(ISNUMBER(VLOOKUP($B:$B,'BS(분기)'!$A:$F,$2:$2,0)),VLOOKUP($B:$B,'BS(분기)'!$A:$F,$2:$2,0),0)</f>
        <v>0</v>
      </c>
      <c r="O464" s="207">
        <f>IF(ISNUMBER(VLOOKUP($B:$B,'BS(분기)'!$A:$F,$2:$2,0)),VLOOKUP($B:$B,'BS(분기)'!$A:$F,$2:$2,0),0)</f>
        <v>0</v>
      </c>
      <c r="P464" s="207">
        <f>IF(ISNUMBER(VLOOKUP($B:$B,'BS(분기)'!$A:$F,$2:$2,0)),VLOOKUP($B:$B,'BS(분기)'!$A:$F,$2:$2,0),0)</f>
        <v>0</v>
      </c>
      <c r="Q464" s="207">
        <f>IF(ISNUMBER(VLOOKUP($B:$B,'BS(분기)'!$A:$F,$2:$2,0)),VLOOKUP($B:$B,'BS(분기)'!$A:$F,$2:$2,0),0)</f>
        <v>0</v>
      </c>
      <c r="R464" s="207">
        <f>IF(ISNUMBER(VLOOKUP($B:$B,'BS(분기)'!$A:$F,$2:$2,0)),VLOOKUP($B:$B,'BS(분기)'!$A:$F,$2:$2,0),0)</f>
        <v>0</v>
      </c>
    </row>
    <row r="465" spans="1:18" s="192" customFormat="1" ht="12">
      <c r="A465" s="202">
        <v>112250</v>
      </c>
      <c r="B465" s="195" t="s">
        <v>824</v>
      </c>
      <c r="C465" s="217">
        <f>IF(ISNUMBER(VLOOKUP($B:$B,BS!$A:$D,$2:$2,0)),VLOOKUP($B:$B,BS!$A:$D,$2:$2,0),0)</f>
        <v>0</v>
      </c>
      <c r="D465" s="217">
        <f>IF(ISNUMBER(VLOOKUP($B:$B,BS!$A:$D,$2:$2,0)),VLOOKUP($B:$B,BS!$A:$D,$2:$2,0),0)</f>
        <v>0</v>
      </c>
      <c r="E465" s="217">
        <f>IF(ISNUMBER(VLOOKUP($B:$B,BS!$A:$D,$2:$2,0)),VLOOKUP($B:$B,BS!$A:$D,$2:$2,0),0)</f>
        <v>0</v>
      </c>
      <c r="F465" s="217">
        <f>IF(ISNUMBER(VLOOKUP($B:$B,BS!$A:$D,$2:$2,0)),VLOOKUP($B:$B,BS!$A:$D,$2:$2,0),0)</f>
        <v>0</v>
      </c>
      <c r="G465" s="217">
        <f>IF(ISNUMBER(VLOOKUP($B:$B,BS!$A:$D,$2:$2,0)),VLOOKUP($B:$B,BS!$A:$D,$2:$2,0),0)</f>
        <v>0</v>
      </c>
      <c r="H465" s="207">
        <f>IF(ISNUMBER(VLOOKUP($B:$B,'BS(과거)'!$A:$F,$2:$2,0)),VLOOKUP($B:$B,'BS(과거)'!$A:$F,$2:$2,0),0)</f>
        <v>0</v>
      </c>
      <c r="I465" s="207">
        <f>IF(ISNUMBER(VLOOKUP($B:$B,'BS(과거)'!$A:$F,$2:$2,0)),VLOOKUP($B:$B,'BS(과거)'!$A:$F,$2:$2,0),0)</f>
        <v>0</v>
      </c>
      <c r="J465" s="207">
        <f>IF(ISNUMBER(VLOOKUP($B:$B,'BS(과거)'!$A:$F,$2:$2,0)),VLOOKUP($B:$B,'BS(과거)'!$A:$F,$2:$2,0),0)</f>
        <v>0</v>
      </c>
      <c r="K465" s="207">
        <f>IF(ISNUMBER(VLOOKUP($B:$B,'BS(과거)'!$A:$F,$2:$2,0)),VLOOKUP($B:$B,'BS(과거)'!$A:$F,$2:$2,0),0)</f>
        <v>0</v>
      </c>
      <c r="L465" s="207">
        <f>IF(ISNUMBER(VLOOKUP($B:$B,'BS(과거)'!$A:$F,$2:$2,0)),VLOOKUP($B:$B,'BS(과거)'!$A:$F,$2:$2,0),0)</f>
        <v>0</v>
      </c>
      <c r="N465" s="207">
        <f>IF(ISNUMBER(VLOOKUP($B:$B,'BS(분기)'!$A:$F,$2:$2,0)),VLOOKUP($B:$B,'BS(분기)'!$A:$F,$2:$2,0),0)</f>
        <v>0</v>
      </c>
      <c r="O465" s="207">
        <f>IF(ISNUMBER(VLOOKUP($B:$B,'BS(분기)'!$A:$F,$2:$2,0)),VLOOKUP($B:$B,'BS(분기)'!$A:$F,$2:$2,0),0)</f>
        <v>0</v>
      </c>
      <c r="P465" s="207">
        <f>IF(ISNUMBER(VLOOKUP($B:$B,'BS(분기)'!$A:$F,$2:$2,0)),VLOOKUP($B:$B,'BS(분기)'!$A:$F,$2:$2,0),0)</f>
        <v>0</v>
      </c>
      <c r="Q465" s="207">
        <f>IF(ISNUMBER(VLOOKUP($B:$B,'BS(분기)'!$A:$F,$2:$2,0)),VLOOKUP($B:$B,'BS(분기)'!$A:$F,$2:$2,0),0)</f>
        <v>0</v>
      </c>
      <c r="R465" s="207">
        <f>IF(ISNUMBER(VLOOKUP($B:$B,'BS(분기)'!$A:$F,$2:$2,0)),VLOOKUP($B:$B,'BS(분기)'!$A:$F,$2:$2,0),0)</f>
        <v>0</v>
      </c>
    </row>
    <row r="466" spans="1:18" s="192" customFormat="1" ht="12">
      <c r="A466" s="202">
        <v>112220</v>
      </c>
      <c r="B466" s="195" t="s">
        <v>1186</v>
      </c>
      <c r="C466" s="217">
        <f>IF(ISNUMBER(VLOOKUP($B:$B,BS!$A:$D,$2:$2,0)),VLOOKUP($B:$B,BS!$A:$D,$2:$2,0),0)</f>
        <v>0</v>
      </c>
      <c r="D466" s="217">
        <f>IF(ISNUMBER(VLOOKUP($B:$B,BS!$A:$D,$2:$2,0)),VLOOKUP($B:$B,BS!$A:$D,$2:$2,0),0)</f>
        <v>0</v>
      </c>
      <c r="E466" s="217">
        <f>IF(ISNUMBER(VLOOKUP($B:$B,BS!$A:$D,$2:$2,0)),VLOOKUP($B:$B,BS!$A:$D,$2:$2,0),0)</f>
        <v>0</v>
      </c>
      <c r="F466" s="217">
        <f>IF(ISNUMBER(VLOOKUP($B:$B,BS!$A:$D,$2:$2,0)),VLOOKUP($B:$B,BS!$A:$D,$2:$2,0),0)</f>
        <v>0</v>
      </c>
      <c r="G466" s="217">
        <f>IF(ISNUMBER(VLOOKUP($B:$B,BS!$A:$D,$2:$2,0)),VLOOKUP($B:$B,BS!$A:$D,$2:$2,0),0)</f>
        <v>0</v>
      </c>
      <c r="H466" s="207">
        <f>IF(ISNUMBER(VLOOKUP($B:$B,'BS(과거)'!$A:$F,$2:$2,0)),VLOOKUP($B:$B,'BS(과거)'!$A:$F,$2:$2,0),0)</f>
        <v>0</v>
      </c>
      <c r="I466" s="207">
        <f>IF(ISNUMBER(VLOOKUP($B:$B,'BS(과거)'!$A:$F,$2:$2,0)),VLOOKUP($B:$B,'BS(과거)'!$A:$F,$2:$2,0),0)</f>
        <v>0</v>
      </c>
      <c r="J466" s="207">
        <f>IF(ISNUMBER(VLOOKUP($B:$B,'BS(과거)'!$A:$F,$2:$2,0)),VLOOKUP($B:$B,'BS(과거)'!$A:$F,$2:$2,0),0)</f>
        <v>0</v>
      </c>
      <c r="K466" s="207">
        <f>IF(ISNUMBER(VLOOKUP($B:$B,'BS(과거)'!$A:$F,$2:$2,0)),VLOOKUP($B:$B,'BS(과거)'!$A:$F,$2:$2,0),0)</f>
        <v>0</v>
      </c>
      <c r="L466" s="207">
        <f>IF(ISNUMBER(VLOOKUP($B:$B,'BS(과거)'!$A:$F,$2:$2,0)),VLOOKUP($B:$B,'BS(과거)'!$A:$F,$2:$2,0),0)</f>
        <v>0</v>
      </c>
      <c r="N466" s="207">
        <f>IF(ISNUMBER(VLOOKUP($B:$B,'BS(분기)'!$A:$F,$2:$2,0)),VLOOKUP($B:$B,'BS(분기)'!$A:$F,$2:$2,0),0)</f>
        <v>0</v>
      </c>
      <c r="O466" s="207">
        <f>IF(ISNUMBER(VLOOKUP($B:$B,'BS(분기)'!$A:$F,$2:$2,0)),VLOOKUP($B:$B,'BS(분기)'!$A:$F,$2:$2,0),0)</f>
        <v>0</v>
      </c>
      <c r="P466" s="207">
        <f>IF(ISNUMBER(VLOOKUP($B:$B,'BS(분기)'!$A:$F,$2:$2,0)),VLOOKUP($B:$B,'BS(분기)'!$A:$F,$2:$2,0),0)</f>
        <v>0</v>
      </c>
      <c r="Q466" s="207">
        <f>IF(ISNUMBER(VLOOKUP($B:$B,'BS(분기)'!$A:$F,$2:$2,0)),VLOOKUP($B:$B,'BS(분기)'!$A:$F,$2:$2,0),0)</f>
        <v>0</v>
      </c>
      <c r="R466" s="207">
        <f>IF(ISNUMBER(VLOOKUP($B:$B,'BS(분기)'!$A:$F,$2:$2,0)),VLOOKUP($B:$B,'BS(분기)'!$A:$F,$2:$2,0),0)</f>
        <v>0</v>
      </c>
    </row>
    <row r="467" spans="1:18" s="192" customFormat="1" ht="12">
      <c r="A467" s="202">
        <v>112222</v>
      </c>
      <c r="B467" s="195" t="s">
        <v>1187</v>
      </c>
      <c r="C467" s="217">
        <f>IF(ISNUMBER(VLOOKUP($B:$B,BS!$A:$D,$2:$2,0)),VLOOKUP($B:$B,BS!$A:$D,$2:$2,0),0)</f>
        <v>0</v>
      </c>
      <c r="D467" s="217">
        <f>IF(ISNUMBER(VLOOKUP($B:$B,BS!$A:$D,$2:$2,0)),VLOOKUP($B:$B,BS!$A:$D,$2:$2,0),0)</f>
        <v>0</v>
      </c>
      <c r="E467" s="217">
        <f>IF(ISNUMBER(VLOOKUP($B:$B,BS!$A:$D,$2:$2,0)),VLOOKUP($B:$B,BS!$A:$D,$2:$2,0),0)</f>
        <v>0</v>
      </c>
      <c r="F467" s="217">
        <f>IF(ISNUMBER(VLOOKUP($B:$B,BS!$A:$D,$2:$2,0)),VLOOKUP($B:$B,BS!$A:$D,$2:$2,0),0)</f>
        <v>0</v>
      </c>
      <c r="G467" s="217">
        <f>IF(ISNUMBER(VLOOKUP($B:$B,BS!$A:$D,$2:$2,0)),VLOOKUP($B:$B,BS!$A:$D,$2:$2,0),0)</f>
        <v>0</v>
      </c>
      <c r="H467" s="207">
        <f>IF(ISNUMBER(VLOOKUP($B:$B,'BS(과거)'!$A:$F,$2:$2,0)),VLOOKUP($B:$B,'BS(과거)'!$A:$F,$2:$2,0),0)</f>
        <v>0</v>
      </c>
      <c r="I467" s="207">
        <f>IF(ISNUMBER(VLOOKUP($B:$B,'BS(과거)'!$A:$F,$2:$2,0)),VLOOKUP($B:$B,'BS(과거)'!$A:$F,$2:$2,0),0)</f>
        <v>0</v>
      </c>
      <c r="J467" s="207">
        <f>IF(ISNUMBER(VLOOKUP($B:$B,'BS(과거)'!$A:$F,$2:$2,0)),VLOOKUP($B:$B,'BS(과거)'!$A:$F,$2:$2,0),0)</f>
        <v>0</v>
      </c>
      <c r="K467" s="207">
        <f>IF(ISNUMBER(VLOOKUP($B:$B,'BS(과거)'!$A:$F,$2:$2,0)),VLOOKUP($B:$B,'BS(과거)'!$A:$F,$2:$2,0),0)</f>
        <v>0</v>
      </c>
      <c r="L467" s="207">
        <f>IF(ISNUMBER(VLOOKUP($B:$B,'BS(과거)'!$A:$F,$2:$2,0)),VLOOKUP($B:$B,'BS(과거)'!$A:$F,$2:$2,0),0)</f>
        <v>0</v>
      </c>
      <c r="N467" s="207">
        <f>IF(ISNUMBER(VLOOKUP($B:$B,'BS(분기)'!$A:$F,$2:$2,0)),VLOOKUP($B:$B,'BS(분기)'!$A:$F,$2:$2,0),0)</f>
        <v>0</v>
      </c>
      <c r="O467" s="207">
        <f>IF(ISNUMBER(VLOOKUP($B:$B,'BS(분기)'!$A:$F,$2:$2,0)),VLOOKUP($B:$B,'BS(분기)'!$A:$F,$2:$2,0),0)</f>
        <v>0</v>
      </c>
      <c r="P467" s="207">
        <f>IF(ISNUMBER(VLOOKUP($B:$B,'BS(분기)'!$A:$F,$2:$2,0)),VLOOKUP($B:$B,'BS(분기)'!$A:$F,$2:$2,0),0)</f>
        <v>0</v>
      </c>
      <c r="Q467" s="207">
        <f>IF(ISNUMBER(VLOOKUP($B:$B,'BS(분기)'!$A:$F,$2:$2,0)),VLOOKUP($B:$B,'BS(분기)'!$A:$F,$2:$2,0),0)</f>
        <v>0</v>
      </c>
      <c r="R467" s="207">
        <f>IF(ISNUMBER(VLOOKUP($B:$B,'BS(분기)'!$A:$F,$2:$2,0)),VLOOKUP($B:$B,'BS(분기)'!$A:$F,$2:$2,0),0)</f>
        <v>0</v>
      </c>
    </row>
    <row r="468" spans="1:18" s="192" customFormat="1" ht="12">
      <c r="A468" s="202">
        <v>112223</v>
      </c>
      <c r="B468" s="195" t="s">
        <v>1188</v>
      </c>
      <c r="C468" s="217">
        <f>IF(ISNUMBER(VLOOKUP($B:$B,BS!$A:$D,$2:$2,0)),VLOOKUP($B:$B,BS!$A:$D,$2:$2,0),0)</f>
        <v>0</v>
      </c>
      <c r="D468" s="217">
        <f>IF(ISNUMBER(VLOOKUP($B:$B,BS!$A:$D,$2:$2,0)),VLOOKUP($B:$B,BS!$A:$D,$2:$2,0),0)</f>
        <v>0</v>
      </c>
      <c r="E468" s="217">
        <f>IF(ISNUMBER(VLOOKUP($B:$B,BS!$A:$D,$2:$2,0)),VLOOKUP($B:$B,BS!$A:$D,$2:$2,0),0)</f>
        <v>0</v>
      </c>
      <c r="F468" s="217">
        <f>IF(ISNUMBER(VLOOKUP($B:$B,BS!$A:$D,$2:$2,0)),VLOOKUP($B:$B,BS!$A:$D,$2:$2,0),0)</f>
        <v>0</v>
      </c>
      <c r="G468" s="217">
        <f>IF(ISNUMBER(VLOOKUP($B:$B,BS!$A:$D,$2:$2,0)),VLOOKUP($B:$B,BS!$A:$D,$2:$2,0),0)</f>
        <v>0</v>
      </c>
      <c r="H468" s="207">
        <f>IF(ISNUMBER(VLOOKUP($B:$B,'BS(과거)'!$A:$F,$2:$2,0)),VLOOKUP($B:$B,'BS(과거)'!$A:$F,$2:$2,0),0)</f>
        <v>0</v>
      </c>
      <c r="I468" s="207">
        <f>IF(ISNUMBER(VLOOKUP($B:$B,'BS(과거)'!$A:$F,$2:$2,0)),VLOOKUP($B:$B,'BS(과거)'!$A:$F,$2:$2,0),0)</f>
        <v>0</v>
      </c>
      <c r="J468" s="207">
        <f>IF(ISNUMBER(VLOOKUP($B:$B,'BS(과거)'!$A:$F,$2:$2,0)),VLOOKUP($B:$B,'BS(과거)'!$A:$F,$2:$2,0),0)</f>
        <v>0</v>
      </c>
      <c r="K468" s="207">
        <f>IF(ISNUMBER(VLOOKUP($B:$B,'BS(과거)'!$A:$F,$2:$2,0)),VLOOKUP($B:$B,'BS(과거)'!$A:$F,$2:$2,0),0)</f>
        <v>0</v>
      </c>
      <c r="L468" s="207">
        <f>IF(ISNUMBER(VLOOKUP($B:$B,'BS(과거)'!$A:$F,$2:$2,0)),VLOOKUP($B:$B,'BS(과거)'!$A:$F,$2:$2,0),0)</f>
        <v>0</v>
      </c>
      <c r="N468" s="207">
        <f>IF(ISNUMBER(VLOOKUP($B:$B,'BS(분기)'!$A:$F,$2:$2,0)),VLOOKUP($B:$B,'BS(분기)'!$A:$F,$2:$2,0),0)</f>
        <v>0</v>
      </c>
      <c r="O468" s="207">
        <f>IF(ISNUMBER(VLOOKUP($B:$B,'BS(분기)'!$A:$F,$2:$2,0)),VLOOKUP($B:$B,'BS(분기)'!$A:$F,$2:$2,0),0)</f>
        <v>0</v>
      </c>
      <c r="P468" s="207">
        <f>IF(ISNUMBER(VLOOKUP($B:$B,'BS(분기)'!$A:$F,$2:$2,0)),VLOOKUP($B:$B,'BS(분기)'!$A:$F,$2:$2,0),0)</f>
        <v>0</v>
      </c>
      <c r="Q468" s="207">
        <f>IF(ISNUMBER(VLOOKUP($B:$B,'BS(분기)'!$A:$F,$2:$2,0)),VLOOKUP($B:$B,'BS(분기)'!$A:$F,$2:$2,0),0)</f>
        <v>0</v>
      </c>
      <c r="R468" s="207">
        <f>IF(ISNUMBER(VLOOKUP($B:$B,'BS(분기)'!$A:$F,$2:$2,0)),VLOOKUP($B:$B,'BS(분기)'!$A:$F,$2:$2,0),0)</f>
        <v>0</v>
      </c>
    </row>
    <row r="469" spans="1:18" s="192" customFormat="1" ht="12">
      <c r="A469" s="202">
        <v>112221</v>
      </c>
      <c r="B469" s="195" t="s">
        <v>1189</v>
      </c>
      <c r="C469" s="217">
        <f>IF(ISNUMBER(VLOOKUP($B:$B,BS!$A:$D,$2:$2,0)),VLOOKUP($B:$B,BS!$A:$D,$2:$2,0),0)</f>
        <v>0</v>
      </c>
      <c r="D469" s="217">
        <f>IF(ISNUMBER(VLOOKUP($B:$B,BS!$A:$D,$2:$2,0)),VLOOKUP($B:$B,BS!$A:$D,$2:$2,0),0)</f>
        <v>0</v>
      </c>
      <c r="E469" s="217">
        <f>IF(ISNUMBER(VLOOKUP($B:$B,BS!$A:$D,$2:$2,0)),VLOOKUP($B:$B,BS!$A:$D,$2:$2,0),0)</f>
        <v>0</v>
      </c>
      <c r="F469" s="217">
        <f>IF(ISNUMBER(VLOOKUP($B:$B,BS!$A:$D,$2:$2,0)),VLOOKUP($B:$B,BS!$A:$D,$2:$2,0),0)</f>
        <v>0</v>
      </c>
      <c r="G469" s="217">
        <f>IF(ISNUMBER(VLOOKUP($B:$B,BS!$A:$D,$2:$2,0)),VLOOKUP($B:$B,BS!$A:$D,$2:$2,0),0)</f>
        <v>0</v>
      </c>
      <c r="H469" s="207">
        <f>IF(ISNUMBER(VLOOKUP($B:$B,'BS(과거)'!$A:$F,$2:$2,0)),VLOOKUP($B:$B,'BS(과거)'!$A:$F,$2:$2,0),0)</f>
        <v>0</v>
      </c>
      <c r="I469" s="207">
        <f>IF(ISNUMBER(VLOOKUP($B:$B,'BS(과거)'!$A:$F,$2:$2,0)),VLOOKUP($B:$B,'BS(과거)'!$A:$F,$2:$2,0),0)</f>
        <v>0</v>
      </c>
      <c r="J469" s="207">
        <f>IF(ISNUMBER(VLOOKUP($B:$B,'BS(과거)'!$A:$F,$2:$2,0)),VLOOKUP($B:$B,'BS(과거)'!$A:$F,$2:$2,0),0)</f>
        <v>0</v>
      </c>
      <c r="K469" s="207">
        <f>IF(ISNUMBER(VLOOKUP($B:$B,'BS(과거)'!$A:$F,$2:$2,0)),VLOOKUP($B:$B,'BS(과거)'!$A:$F,$2:$2,0),0)</f>
        <v>0</v>
      </c>
      <c r="L469" s="207">
        <f>IF(ISNUMBER(VLOOKUP($B:$B,'BS(과거)'!$A:$F,$2:$2,0)),VLOOKUP($B:$B,'BS(과거)'!$A:$F,$2:$2,0),0)</f>
        <v>0</v>
      </c>
      <c r="N469" s="207">
        <f>IF(ISNUMBER(VLOOKUP($B:$B,'BS(분기)'!$A:$F,$2:$2,0)),VLOOKUP($B:$B,'BS(분기)'!$A:$F,$2:$2,0),0)</f>
        <v>0</v>
      </c>
      <c r="O469" s="207">
        <f>IF(ISNUMBER(VLOOKUP($B:$B,'BS(분기)'!$A:$F,$2:$2,0)),VLOOKUP($B:$B,'BS(분기)'!$A:$F,$2:$2,0),0)</f>
        <v>0</v>
      </c>
      <c r="P469" s="207">
        <f>IF(ISNUMBER(VLOOKUP($B:$B,'BS(분기)'!$A:$F,$2:$2,0)),VLOOKUP($B:$B,'BS(분기)'!$A:$F,$2:$2,0),0)</f>
        <v>0</v>
      </c>
      <c r="Q469" s="207">
        <f>IF(ISNUMBER(VLOOKUP($B:$B,'BS(분기)'!$A:$F,$2:$2,0)),VLOOKUP($B:$B,'BS(분기)'!$A:$F,$2:$2,0),0)</f>
        <v>0</v>
      </c>
      <c r="R469" s="207">
        <f>IF(ISNUMBER(VLOOKUP($B:$B,'BS(분기)'!$A:$F,$2:$2,0)),VLOOKUP($B:$B,'BS(분기)'!$A:$F,$2:$2,0),0)</f>
        <v>0</v>
      </c>
    </row>
    <row r="470" spans="1:18" s="192" customFormat="1" ht="12">
      <c r="A470" s="202">
        <v>112224</v>
      </c>
      <c r="B470" s="195" t="s">
        <v>1190</v>
      </c>
      <c r="C470" s="217">
        <f>IF(ISNUMBER(VLOOKUP($B:$B,BS!$A:$D,$2:$2,0)),VLOOKUP($B:$B,BS!$A:$D,$2:$2,0),0)</f>
        <v>0</v>
      </c>
      <c r="D470" s="217">
        <f>IF(ISNUMBER(VLOOKUP($B:$B,BS!$A:$D,$2:$2,0)),VLOOKUP($B:$B,BS!$A:$D,$2:$2,0),0)</f>
        <v>0</v>
      </c>
      <c r="E470" s="217">
        <f>IF(ISNUMBER(VLOOKUP($B:$B,BS!$A:$D,$2:$2,0)),VLOOKUP($B:$B,BS!$A:$D,$2:$2,0),0)</f>
        <v>0</v>
      </c>
      <c r="F470" s="217">
        <f>IF(ISNUMBER(VLOOKUP($B:$B,BS!$A:$D,$2:$2,0)),VLOOKUP($B:$B,BS!$A:$D,$2:$2,0),0)</f>
        <v>0</v>
      </c>
      <c r="G470" s="217">
        <f>IF(ISNUMBER(VLOOKUP($B:$B,BS!$A:$D,$2:$2,0)),VLOOKUP($B:$B,BS!$A:$D,$2:$2,0),0)</f>
        <v>0</v>
      </c>
      <c r="H470" s="207">
        <f>IF(ISNUMBER(VLOOKUP($B:$B,'BS(과거)'!$A:$F,$2:$2,0)),VLOOKUP($B:$B,'BS(과거)'!$A:$F,$2:$2,0),0)</f>
        <v>0</v>
      </c>
      <c r="I470" s="207">
        <f>IF(ISNUMBER(VLOOKUP($B:$B,'BS(과거)'!$A:$F,$2:$2,0)),VLOOKUP($B:$B,'BS(과거)'!$A:$F,$2:$2,0),0)</f>
        <v>0</v>
      </c>
      <c r="J470" s="207">
        <f>IF(ISNUMBER(VLOOKUP($B:$B,'BS(과거)'!$A:$F,$2:$2,0)),VLOOKUP($B:$B,'BS(과거)'!$A:$F,$2:$2,0),0)</f>
        <v>0</v>
      </c>
      <c r="K470" s="207">
        <f>IF(ISNUMBER(VLOOKUP($B:$B,'BS(과거)'!$A:$F,$2:$2,0)),VLOOKUP($B:$B,'BS(과거)'!$A:$F,$2:$2,0),0)</f>
        <v>0</v>
      </c>
      <c r="L470" s="207">
        <f>IF(ISNUMBER(VLOOKUP($B:$B,'BS(과거)'!$A:$F,$2:$2,0)),VLOOKUP($B:$B,'BS(과거)'!$A:$F,$2:$2,0),0)</f>
        <v>0</v>
      </c>
      <c r="N470" s="207">
        <f>IF(ISNUMBER(VLOOKUP($B:$B,'BS(분기)'!$A:$F,$2:$2,0)),VLOOKUP($B:$B,'BS(분기)'!$A:$F,$2:$2,0),0)</f>
        <v>0</v>
      </c>
      <c r="O470" s="207">
        <f>IF(ISNUMBER(VLOOKUP($B:$B,'BS(분기)'!$A:$F,$2:$2,0)),VLOOKUP($B:$B,'BS(분기)'!$A:$F,$2:$2,0),0)</f>
        <v>0</v>
      </c>
      <c r="P470" s="207">
        <f>IF(ISNUMBER(VLOOKUP($B:$B,'BS(분기)'!$A:$F,$2:$2,0)),VLOOKUP($B:$B,'BS(분기)'!$A:$F,$2:$2,0),0)</f>
        <v>0</v>
      </c>
      <c r="Q470" s="207">
        <f>IF(ISNUMBER(VLOOKUP($B:$B,'BS(분기)'!$A:$F,$2:$2,0)),VLOOKUP($B:$B,'BS(분기)'!$A:$F,$2:$2,0),0)</f>
        <v>0</v>
      </c>
      <c r="R470" s="207">
        <f>IF(ISNUMBER(VLOOKUP($B:$B,'BS(분기)'!$A:$F,$2:$2,0)),VLOOKUP($B:$B,'BS(분기)'!$A:$F,$2:$2,0),0)</f>
        <v>0</v>
      </c>
    </row>
    <row r="471" spans="1:18" s="192" customFormat="1" ht="12">
      <c r="A471" s="202">
        <v>112225</v>
      </c>
      <c r="B471" s="195" t="s">
        <v>1191</v>
      </c>
      <c r="C471" s="217">
        <f>IF(ISNUMBER(VLOOKUP($B:$B,BS!$A:$D,$2:$2,0)),VLOOKUP($B:$B,BS!$A:$D,$2:$2,0),0)</f>
        <v>0</v>
      </c>
      <c r="D471" s="217">
        <f>IF(ISNUMBER(VLOOKUP($B:$B,BS!$A:$D,$2:$2,0)),VLOOKUP($B:$B,BS!$A:$D,$2:$2,0),0)</f>
        <v>0</v>
      </c>
      <c r="E471" s="217">
        <f>IF(ISNUMBER(VLOOKUP($B:$B,BS!$A:$D,$2:$2,0)),VLOOKUP($B:$B,BS!$A:$D,$2:$2,0),0)</f>
        <v>0</v>
      </c>
      <c r="F471" s="217">
        <f>IF(ISNUMBER(VLOOKUP($B:$B,BS!$A:$D,$2:$2,0)),VLOOKUP($B:$B,BS!$A:$D,$2:$2,0),0)</f>
        <v>0</v>
      </c>
      <c r="G471" s="217">
        <f>IF(ISNUMBER(VLOOKUP($B:$B,BS!$A:$D,$2:$2,0)),VLOOKUP($B:$B,BS!$A:$D,$2:$2,0),0)</f>
        <v>0</v>
      </c>
      <c r="H471" s="207">
        <f>IF(ISNUMBER(VLOOKUP($B:$B,'BS(과거)'!$A:$F,$2:$2,0)),VLOOKUP($B:$B,'BS(과거)'!$A:$F,$2:$2,0),0)</f>
        <v>0</v>
      </c>
      <c r="I471" s="207">
        <f>IF(ISNUMBER(VLOOKUP($B:$B,'BS(과거)'!$A:$F,$2:$2,0)),VLOOKUP($B:$B,'BS(과거)'!$A:$F,$2:$2,0),0)</f>
        <v>0</v>
      </c>
      <c r="J471" s="207">
        <f>IF(ISNUMBER(VLOOKUP($B:$B,'BS(과거)'!$A:$F,$2:$2,0)),VLOOKUP($B:$B,'BS(과거)'!$A:$F,$2:$2,0),0)</f>
        <v>0</v>
      </c>
      <c r="K471" s="207">
        <f>IF(ISNUMBER(VLOOKUP($B:$B,'BS(과거)'!$A:$F,$2:$2,0)),VLOOKUP($B:$B,'BS(과거)'!$A:$F,$2:$2,0),0)</f>
        <v>0</v>
      </c>
      <c r="L471" s="207">
        <f>IF(ISNUMBER(VLOOKUP($B:$B,'BS(과거)'!$A:$F,$2:$2,0)),VLOOKUP($B:$B,'BS(과거)'!$A:$F,$2:$2,0),0)</f>
        <v>0</v>
      </c>
      <c r="N471" s="207">
        <f>IF(ISNUMBER(VLOOKUP($B:$B,'BS(분기)'!$A:$F,$2:$2,0)),VLOOKUP($B:$B,'BS(분기)'!$A:$F,$2:$2,0),0)</f>
        <v>0</v>
      </c>
      <c r="O471" s="207">
        <f>IF(ISNUMBER(VLOOKUP($B:$B,'BS(분기)'!$A:$F,$2:$2,0)),VLOOKUP($B:$B,'BS(분기)'!$A:$F,$2:$2,0),0)</f>
        <v>0</v>
      </c>
      <c r="P471" s="207">
        <f>IF(ISNUMBER(VLOOKUP($B:$B,'BS(분기)'!$A:$F,$2:$2,0)),VLOOKUP($B:$B,'BS(분기)'!$A:$F,$2:$2,0),0)</f>
        <v>0</v>
      </c>
      <c r="Q471" s="207">
        <f>IF(ISNUMBER(VLOOKUP($B:$B,'BS(분기)'!$A:$F,$2:$2,0)),VLOOKUP($B:$B,'BS(분기)'!$A:$F,$2:$2,0),0)</f>
        <v>0</v>
      </c>
      <c r="R471" s="207">
        <f>IF(ISNUMBER(VLOOKUP($B:$B,'BS(분기)'!$A:$F,$2:$2,0)),VLOOKUP($B:$B,'BS(분기)'!$A:$F,$2:$2,0),0)</f>
        <v>0</v>
      </c>
    </row>
    <row r="472" spans="1:18" s="192" customFormat="1" ht="12">
      <c r="A472" s="202">
        <v>112269</v>
      </c>
      <c r="B472" s="195" t="s">
        <v>574</v>
      </c>
      <c r="C472" s="217">
        <f>IF(ISNUMBER(VLOOKUP($B:$B,BS!$A:$D,$2:$2,0)),VLOOKUP($B:$B,BS!$A:$D,$2:$2,0),0)</f>
        <v>0</v>
      </c>
      <c r="D472" s="217">
        <f>IF(ISNUMBER(VLOOKUP($B:$B,BS!$A:$D,$2:$2,0)),VLOOKUP($B:$B,BS!$A:$D,$2:$2,0),0)</f>
        <v>0</v>
      </c>
      <c r="E472" s="217">
        <f>IF(ISNUMBER(VLOOKUP($B:$B,BS!$A:$D,$2:$2,0)),VLOOKUP($B:$B,BS!$A:$D,$2:$2,0),0)</f>
        <v>0</v>
      </c>
      <c r="F472" s="217">
        <f>IF(ISNUMBER(VLOOKUP($B:$B,BS!$A:$D,$2:$2,0)),VLOOKUP($B:$B,BS!$A:$D,$2:$2,0),0)</f>
        <v>0</v>
      </c>
      <c r="G472" s="217">
        <f>IF(ISNUMBER(VLOOKUP($B:$B,BS!$A:$D,$2:$2,0)),VLOOKUP($B:$B,BS!$A:$D,$2:$2,0),0)</f>
        <v>0</v>
      </c>
      <c r="H472" s="207">
        <f>IF(ISNUMBER(VLOOKUP($B:$B,'BS(과거)'!$A:$F,$2:$2,0)),VLOOKUP($B:$B,'BS(과거)'!$A:$F,$2:$2,0),0)</f>
        <v>0</v>
      </c>
      <c r="I472" s="207">
        <f>IF(ISNUMBER(VLOOKUP($B:$B,'BS(과거)'!$A:$F,$2:$2,0)),VLOOKUP($B:$B,'BS(과거)'!$A:$F,$2:$2,0),0)</f>
        <v>0</v>
      </c>
      <c r="J472" s="207">
        <f>IF(ISNUMBER(VLOOKUP($B:$B,'BS(과거)'!$A:$F,$2:$2,0)),VLOOKUP($B:$B,'BS(과거)'!$A:$F,$2:$2,0),0)</f>
        <v>0</v>
      </c>
      <c r="K472" s="207">
        <f>IF(ISNUMBER(VLOOKUP($B:$B,'BS(과거)'!$A:$F,$2:$2,0)),VLOOKUP($B:$B,'BS(과거)'!$A:$F,$2:$2,0),0)</f>
        <v>0</v>
      </c>
      <c r="L472" s="207">
        <f>IF(ISNUMBER(VLOOKUP($B:$B,'BS(과거)'!$A:$F,$2:$2,0)),VLOOKUP($B:$B,'BS(과거)'!$A:$F,$2:$2,0),0)</f>
        <v>0</v>
      </c>
      <c r="N472" s="207">
        <f>IF(ISNUMBER(VLOOKUP($B:$B,'BS(분기)'!$A:$F,$2:$2,0)),VLOOKUP($B:$B,'BS(분기)'!$A:$F,$2:$2,0),0)</f>
        <v>0</v>
      </c>
      <c r="O472" s="207">
        <f>IF(ISNUMBER(VLOOKUP($B:$B,'BS(분기)'!$A:$F,$2:$2,0)),VLOOKUP($B:$B,'BS(분기)'!$A:$F,$2:$2,0),0)</f>
        <v>0</v>
      </c>
      <c r="P472" s="207">
        <f>IF(ISNUMBER(VLOOKUP($B:$B,'BS(분기)'!$A:$F,$2:$2,0)),VLOOKUP($B:$B,'BS(분기)'!$A:$F,$2:$2,0),0)</f>
        <v>0</v>
      </c>
      <c r="Q472" s="207">
        <f>IF(ISNUMBER(VLOOKUP($B:$B,'BS(분기)'!$A:$F,$2:$2,0)),VLOOKUP($B:$B,'BS(분기)'!$A:$F,$2:$2,0),0)</f>
        <v>0</v>
      </c>
      <c r="R472" s="207">
        <f>IF(ISNUMBER(VLOOKUP($B:$B,'BS(분기)'!$A:$F,$2:$2,0)),VLOOKUP($B:$B,'BS(분기)'!$A:$F,$2:$2,0),0)</f>
        <v>0</v>
      </c>
    </row>
    <row r="473" spans="1:18" s="192" customFormat="1" ht="12">
      <c r="A473" s="202">
        <v>113610</v>
      </c>
      <c r="B473" s="195" t="s">
        <v>764</v>
      </c>
      <c r="C473" s="217">
        <f>IF(ISNUMBER(VLOOKUP($B:$B,BS!$A:$D,$2:$2,0)),VLOOKUP($B:$B,BS!$A:$D,$2:$2,0),0)</f>
        <v>0</v>
      </c>
      <c r="D473" s="217">
        <f>IF(ISNUMBER(VLOOKUP($B:$B,BS!$A:$D,$2:$2,0)),VLOOKUP($B:$B,BS!$A:$D,$2:$2,0),0)</f>
        <v>0</v>
      </c>
      <c r="E473" s="217">
        <f>IF(ISNUMBER(VLOOKUP($B:$B,BS!$A:$D,$2:$2,0)),VLOOKUP($B:$B,BS!$A:$D,$2:$2,0),0)</f>
        <v>0</v>
      </c>
      <c r="F473" s="217">
        <f>IF(ISNUMBER(VLOOKUP($B:$B,BS!$A:$D,$2:$2,0)),VLOOKUP($B:$B,BS!$A:$D,$2:$2,0),0)</f>
        <v>0</v>
      </c>
      <c r="G473" s="217">
        <f>IF(ISNUMBER(VLOOKUP($B:$B,BS!$A:$D,$2:$2,0)),VLOOKUP($B:$B,BS!$A:$D,$2:$2,0),0)</f>
        <v>0</v>
      </c>
      <c r="H473" s="207">
        <f>IF(ISNUMBER(VLOOKUP($B:$B,'BS(과거)'!$A:$F,$2:$2,0)),VLOOKUP($B:$B,'BS(과거)'!$A:$F,$2:$2,0),0)</f>
        <v>0</v>
      </c>
      <c r="I473" s="207">
        <f>IF(ISNUMBER(VLOOKUP($B:$B,'BS(과거)'!$A:$F,$2:$2,0)),VLOOKUP($B:$B,'BS(과거)'!$A:$F,$2:$2,0),0)</f>
        <v>0</v>
      </c>
      <c r="J473" s="207">
        <f>IF(ISNUMBER(VLOOKUP($B:$B,'BS(과거)'!$A:$F,$2:$2,0)),VLOOKUP($B:$B,'BS(과거)'!$A:$F,$2:$2,0),0)</f>
        <v>0</v>
      </c>
      <c r="K473" s="207">
        <f>IF(ISNUMBER(VLOOKUP($B:$B,'BS(과거)'!$A:$F,$2:$2,0)),VLOOKUP($B:$B,'BS(과거)'!$A:$F,$2:$2,0),0)</f>
        <v>0</v>
      </c>
      <c r="L473" s="207">
        <f>IF(ISNUMBER(VLOOKUP($B:$B,'BS(과거)'!$A:$F,$2:$2,0)),VLOOKUP($B:$B,'BS(과거)'!$A:$F,$2:$2,0),0)</f>
        <v>0</v>
      </c>
      <c r="N473" s="207">
        <f>IF(ISNUMBER(VLOOKUP($B:$B,'BS(분기)'!$A:$F,$2:$2,0)),VLOOKUP($B:$B,'BS(분기)'!$A:$F,$2:$2,0),0)</f>
        <v>0</v>
      </c>
      <c r="O473" s="207">
        <f>IF(ISNUMBER(VLOOKUP($B:$B,'BS(분기)'!$A:$F,$2:$2,0)),VLOOKUP($B:$B,'BS(분기)'!$A:$F,$2:$2,0),0)</f>
        <v>0</v>
      </c>
      <c r="P473" s="207">
        <f>IF(ISNUMBER(VLOOKUP($B:$B,'BS(분기)'!$A:$F,$2:$2,0)),VLOOKUP($B:$B,'BS(분기)'!$A:$F,$2:$2,0),0)</f>
        <v>0</v>
      </c>
      <c r="Q473" s="207">
        <f>IF(ISNUMBER(VLOOKUP($B:$B,'BS(분기)'!$A:$F,$2:$2,0)),VLOOKUP($B:$B,'BS(분기)'!$A:$F,$2:$2,0),0)</f>
        <v>0</v>
      </c>
      <c r="R473" s="207">
        <f>IF(ISNUMBER(VLOOKUP($B:$B,'BS(분기)'!$A:$F,$2:$2,0)),VLOOKUP($B:$B,'BS(분기)'!$A:$F,$2:$2,0),0)</f>
        <v>0</v>
      </c>
    </row>
    <row r="474" spans="1:18" s="192" customFormat="1" ht="12">
      <c r="A474" s="202">
        <v>113619</v>
      </c>
      <c r="B474" s="195" t="s">
        <v>1192</v>
      </c>
      <c r="C474" s="217">
        <f>IF(ISNUMBER(VLOOKUP($B:$B,BS!$A:$D,$2:$2,0)),VLOOKUP($B:$B,BS!$A:$D,$2:$2,0),0)</f>
        <v>0</v>
      </c>
      <c r="D474" s="217">
        <f>IF(ISNUMBER(VLOOKUP($B:$B,BS!$A:$D,$2:$2,0)),VLOOKUP($B:$B,BS!$A:$D,$2:$2,0),0)</f>
        <v>0</v>
      </c>
      <c r="E474" s="217">
        <f>IF(ISNUMBER(VLOOKUP($B:$B,BS!$A:$D,$2:$2,0)),VLOOKUP($B:$B,BS!$A:$D,$2:$2,0),0)</f>
        <v>0</v>
      </c>
      <c r="F474" s="217">
        <f>IF(ISNUMBER(VLOOKUP($B:$B,BS!$A:$D,$2:$2,0)),VLOOKUP($B:$B,BS!$A:$D,$2:$2,0),0)</f>
        <v>0</v>
      </c>
      <c r="G474" s="217">
        <f>IF(ISNUMBER(VLOOKUP($B:$B,BS!$A:$D,$2:$2,0)),VLOOKUP($B:$B,BS!$A:$D,$2:$2,0),0)</f>
        <v>0</v>
      </c>
      <c r="H474" s="207">
        <f>IF(ISNUMBER(VLOOKUP($B:$B,'BS(과거)'!$A:$F,$2:$2,0)),VLOOKUP($B:$B,'BS(과거)'!$A:$F,$2:$2,0),0)</f>
        <v>0</v>
      </c>
      <c r="I474" s="207">
        <f>IF(ISNUMBER(VLOOKUP($B:$B,'BS(과거)'!$A:$F,$2:$2,0)),VLOOKUP($B:$B,'BS(과거)'!$A:$F,$2:$2,0),0)</f>
        <v>0</v>
      </c>
      <c r="J474" s="207">
        <f>IF(ISNUMBER(VLOOKUP($B:$B,'BS(과거)'!$A:$F,$2:$2,0)),VLOOKUP($B:$B,'BS(과거)'!$A:$F,$2:$2,0),0)</f>
        <v>0</v>
      </c>
      <c r="K474" s="207">
        <f>IF(ISNUMBER(VLOOKUP($B:$B,'BS(과거)'!$A:$F,$2:$2,0)),VLOOKUP($B:$B,'BS(과거)'!$A:$F,$2:$2,0),0)</f>
        <v>0</v>
      </c>
      <c r="L474" s="207">
        <f>IF(ISNUMBER(VLOOKUP($B:$B,'BS(과거)'!$A:$F,$2:$2,0)),VLOOKUP($B:$B,'BS(과거)'!$A:$F,$2:$2,0),0)</f>
        <v>0</v>
      </c>
      <c r="N474" s="207">
        <f>IF(ISNUMBER(VLOOKUP($B:$B,'BS(분기)'!$A:$F,$2:$2,0)),VLOOKUP($B:$B,'BS(분기)'!$A:$F,$2:$2,0),0)</f>
        <v>0</v>
      </c>
      <c r="O474" s="207">
        <f>IF(ISNUMBER(VLOOKUP($B:$B,'BS(분기)'!$A:$F,$2:$2,0)),VLOOKUP($B:$B,'BS(분기)'!$A:$F,$2:$2,0),0)</f>
        <v>0</v>
      </c>
      <c r="P474" s="207">
        <f>IF(ISNUMBER(VLOOKUP($B:$B,'BS(분기)'!$A:$F,$2:$2,0)),VLOOKUP($B:$B,'BS(분기)'!$A:$F,$2:$2,0),0)</f>
        <v>0</v>
      </c>
      <c r="Q474" s="207">
        <f>IF(ISNUMBER(VLOOKUP($B:$B,'BS(분기)'!$A:$F,$2:$2,0)),VLOOKUP($B:$B,'BS(분기)'!$A:$F,$2:$2,0),0)</f>
        <v>0</v>
      </c>
      <c r="R474" s="207">
        <f>IF(ISNUMBER(VLOOKUP($B:$B,'BS(분기)'!$A:$F,$2:$2,0)),VLOOKUP($B:$B,'BS(분기)'!$A:$F,$2:$2,0),0)</f>
        <v>0</v>
      </c>
    </row>
    <row r="475" spans="1:18" s="192" customFormat="1" ht="12">
      <c r="A475" s="202">
        <v>113618</v>
      </c>
      <c r="B475" s="195" t="s">
        <v>1193</v>
      </c>
      <c r="C475" s="217">
        <f>IF(ISNUMBER(VLOOKUP($B:$B,BS!$A:$D,$2:$2,0)),VLOOKUP($B:$B,BS!$A:$D,$2:$2,0),0)</f>
        <v>0</v>
      </c>
      <c r="D475" s="217">
        <f>IF(ISNUMBER(VLOOKUP($B:$B,BS!$A:$D,$2:$2,0)),VLOOKUP($B:$B,BS!$A:$D,$2:$2,0),0)</f>
        <v>0</v>
      </c>
      <c r="E475" s="217">
        <f>IF(ISNUMBER(VLOOKUP($B:$B,BS!$A:$D,$2:$2,0)),VLOOKUP($B:$B,BS!$A:$D,$2:$2,0),0)</f>
        <v>0</v>
      </c>
      <c r="F475" s="217">
        <f>IF(ISNUMBER(VLOOKUP($B:$B,BS!$A:$D,$2:$2,0)),VLOOKUP($B:$B,BS!$A:$D,$2:$2,0),0)</f>
        <v>0</v>
      </c>
      <c r="G475" s="217">
        <f>IF(ISNUMBER(VLOOKUP($B:$B,BS!$A:$D,$2:$2,0)),VLOOKUP($B:$B,BS!$A:$D,$2:$2,0),0)</f>
        <v>0</v>
      </c>
      <c r="H475" s="207">
        <f>IF(ISNUMBER(VLOOKUP($B:$B,'BS(과거)'!$A:$F,$2:$2,0)),VLOOKUP($B:$B,'BS(과거)'!$A:$F,$2:$2,0),0)</f>
        <v>0</v>
      </c>
      <c r="I475" s="207">
        <f>IF(ISNUMBER(VLOOKUP($B:$B,'BS(과거)'!$A:$F,$2:$2,0)),VLOOKUP($B:$B,'BS(과거)'!$A:$F,$2:$2,0),0)</f>
        <v>0</v>
      </c>
      <c r="J475" s="207">
        <f>IF(ISNUMBER(VLOOKUP($B:$B,'BS(과거)'!$A:$F,$2:$2,0)),VLOOKUP($B:$B,'BS(과거)'!$A:$F,$2:$2,0),0)</f>
        <v>0</v>
      </c>
      <c r="K475" s="207">
        <f>IF(ISNUMBER(VLOOKUP($B:$B,'BS(과거)'!$A:$F,$2:$2,0)),VLOOKUP($B:$B,'BS(과거)'!$A:$F,$2:$2,0),0)</f>
        <v>0</v>
      </c>
      <c r="L475" s="207">
        <f>IF(ISNUMBER(VLOOKUP($B:$B,'BS(과거)'!$A:$F,$2:$2,0)),VLOOKUP($B:$B,'BS(과거)'!$A:$F,$2:$2,0),0)</f>
        <v>0</v>
      </c>
      <c r="N475" s="207">
        <f>IF(ISNUMBER(VLOOKUP($B:$B,'BS(분기)'!$A:$F,$2:$2,0)),VLOOKUP($B:$B,'BS(분기)'!$A:$F,$2:$2,0),0)</f>
        <v>0</v>
      </c>
      <c r="O475" s="207">
        <f>IF(ISNUMBER(VLOOKUP($B:$B,'BS(분기)'!$A:$F,$2:$2,0)),VLOOKUP($B:$B,'BS(분기)'!$A:$F,$2:$2,0),0)</f>
        <v>0</v>
      </c>
      <c r="P475" s="207">
        <f>IF(ISNUMBER(VLOOKUP($B:$B,'BS(분기)'!$A:$F,$2:$2,0)),VLOOKUP($B:$B,'BS(분기)'!$A:$F,$2:$2,0),0)</f>
        <v>0</v>
      </c>
      <c r="Q475" s="207">
        <f>IF(ISNUMBER(VLOOKUP($B:$B,'BS(분기)'!$A:$F,$2:$2,0)),VLOOKUP($B:$B,'BS(분기)'!$A:$F,$2:$2,0),0)</f>
        <v>0</v>
      </c>
      <c r="R475" s="207">
        <f>IF(ISNUMBER(VLOOKUP($B:$B,'BS(분기)'!$A:$F,$2:$2,0)),VLOOKUP($B:$B,'BS(분기)'!$A:$F,$2:$2,0),0)</f>
        <v>0</v>
      </c>
    </row>
    <row r="476" spans="1:18" s="192" customFormat="1" ht="12">
      <c r="A476" s="201">
        <v>114900</v>
      </c>
      <c r="B476" s="194" t="s">
        <v>1194</v>
      </c>
      <c r="C476" s="217">
        <f>IF(ISNUMBER(VLOOKUP($B:$B,BS!$A:$D,$2:$2,0)),VLOOKUP($B:$B,BS!$A:$D,$2:$2,0),0)</f>
        <v>0</v>
      </c>
      <c r="D476" s="217">
        <f>IF(ISNUMBER(VLOOKUP($B:$B,BS!$A:$D,$2:$2,0)),VLOOKUP($B:$B,BS!$A:$D,$2:$2,0),0)</f>
        <v>0</v>
      </c>
      <c r="E476" s="217">
        <f>IF(ISNUMBER(VLOOKUP($B:$B,BS!$A:$D,$2:$2,0)),VLOOKUP($B:$B,BS!$A:$D,$2:$2,0),0)</f>
        <v>0</v>
      </c>
      <c r="F476" s="217">
        <f>IF(ISNUMBER(VLOOKUP($B:$B,BS!$A:$D,$2:$2,0)),VLOOKUP($B:$B,BS!$A:$D,$2:$2,0),0)</f>
        <v>0</v>
      </c>
      <c r="G476" s="217">
        <f>IF(ISNUMBER(VLOOKUP($B:$B,BS!$A:$D,$2:$2,0)),VLOOKUP($B:$B,BS!$A:$D,$2:$2,0),0)</f>
        <v>0</v>
      </c>
      <c r="H476" s="207">
        <f>IF(ISNUMBER(VLOOKUP($B:$B,'BS(과거)'!$A:$F,$2:$2,0)),VLOOKUP($B:$B,'BS(과거)'!$A:$F,$2:$2,0),0)</f>
        <v>0</v>
      </c>
      <c r="I476" s="207">
        <f>IF(ISNUMBER(VLOOKUP($B:$B,'BS(과거)'!$A:$F,$2:$2,0)),VLOOKUP($B:$B,'BS(과거)'!$A:$F,$2:$2,0),0)</f>
        <v>0</v>
      </c>
      <c r="J476" s="207">
        <f>IF(ISNUMBER(VLOOKUP($B:$B,'BS(과거)'!$A:$F,$2:$2,0)),VLOOKUP($B:$B,'BS(과거)'!$A:$F,$2:$2,0),0)</f>
        <v>0</v>
      </c>
      <c r="K476" s="207">
        <f>IF(ISNUMBER(VLOOKUP($B:$B,'BS(과거)'!$A:$F,$2:$2,0)),VLOOKUP($B:$B,'BS(과거)'!$A:$F,$2:$2,0),0)</f>
        <v>0</v>
      </c>
      <c r="L476" s="207">
        <f>IF(ISNUMBER(VLOOKUP($B:$B,'BS(과거)'!$A:$F,$2:$2,0)),VLOOKUP($B:$B,'BS(과거)'!$A:$F,$2:$2,0),0)</f>
        <v>0</v>
      </c>
      <c r="N476" s="207">
        <f>IF(ISNUMBER(VLOOKUP($B:$B,'BS(분기)'!$A:$F,$2:$2,0)),VLOOKUP($B:$B,'BS(분기)'!$A:$F,$2:$2,0),0)</f>
        <v>0</v>
      </c>
      <c r="O476" s="207">
        <f>IF(ISNUMBER(VLOOKUP($B:$B,'BS(분기)'!$A:$F,$2:$2,0)),VLOOKUP($B:$B,'BS(분기)'!$A:$F,$2:$2,0),0)</f>
        <v>0</v>
      </c>
      <c r="P476" s="207">
        <f>IF(ISNUMBER(VLOOKUP($B:$B,'BS(분기)'!$A:$F,$2:$2,0)),VLOOKUP($B:$B,'BS(분기)'!$A:$F,$2:$2,0),0)</f>
        <v>0</v>
      </c>
      <c r="Q476" s="207">
        <f>IF(ISNUMBER(VLOOKUP($B:$B,'BS(분기)'!$A:$F,$2:$2,0)),VLOOKUP($B:$B,'BS(분기)'!$A:$F,$2:$2,0),0)</f>
        <v>0</v>
      </c>
      <c r="R476" s="207">
        <f>IF(ISNUMBER(VLOOKUP($B:$B,'BS(분기)'!$A:$F,$2:$2,0)),VLOOKUP($B:$B,'BS(분기)'!$A:$F,$2:$2,0),0)</f>
        <v>0</v>
      </c>
    </row>
    <row r="477" spans="1:18" s="192" customFormat="1" ht="12">
      <c r="A477" s="202">
        <v>114110</v>
      </c>
      <c r="B477" s="195" t="s">
        <v>1150</v>
      </c>
      <c r="C477" s="217">
        <f>IF(ISNUMBER(VLOOKUP($B:$B,BS!$A:$D,$2:$2,0)),VLOOKUP($B:$B,BS!$A:$D,$2:$2,0),0)</f>
        <v>0</v>
      </c>
      <c r="D477" s="217">
        <f>IF(ISNUMBER(VLOOKUP($B:$B,BS!$A:$D,$2:$2,0)),VLOOKUP($B:$B,BS!$A:$D,$2:$2,0),0)</f>
        <v>0</v>
      </c>
      <c r="E477" s="217">
        <f>IF(ISNUMBER(VLOOKUP($B:$B,BS!$A:$D,$2:$2,0)),VLOOKUP($B:$B,BS!$A:$D,$2:$2,0),0)</f>
        <v>0</v>
      </c>
      <c r="F477" s="217">
        <f>IF(ISNUMBER(VLOOKUP($B:$B,BS!$A:$D,$2:$2,0)),VLOOKUP($B:$B,BS!$A:$D,$2:$2,0),0)</f>
        <v>0</v>
      </c>
      <c r="G477" s="217">
        <f>IF(ISNUMBER(VLOOKUP($B:$B,BS!$A:$D,$2:$2,0)),VLOOKUP($B:$B,BS!$A:$D,$2:$2,0),0)</f>
        <v>0</v>
      </c>
      <c r="H477" s="207">
        <f>IF(ISNUMBER(VLOOKUP($B:$B,'BS(과거)'!$A:$F,$2:$2,0)),VLOOKUP($B:$B,'BS(과거)'!$A:$F,$2:$2,0),0)</f>
        <v>0</v>
      </c>
      <c r="I477" s="207">
        <f>IF(ISNUMBER(VLOOKUP($B:$B,'BS(과거)'!$A:$F,$2:$2,0)),VLOOKUP($B:$B,'BS(과거)'!$A:$F,$2:$2,0),0)</f>
        <v>0</v>
      </c>
      <c r="J477" s="207">
        <f>IF(ISNUMBER(VLOOKUP($B:$B,'BS(과거)'!$A:$F,$2:$2,0)),VLOOKUP($B:$B,'BS(과거)'!$A:$F,$2:$2,0),0)</f>
        <v>0</v>
      </c>
      <c r="K477" s="207">
        <f>IF(ISNUMBER(VLOOKUP($B:$B,'BS(과거)'!$A:$F,$2:$2,0)),VLOOKUP($B:$B,'BS(과거)'!$A:$F,$2:$2,0),0)</f>
        <v>0</v>
      </c>
      <c r="L477" s="207">
        <f>IF(ISNUMBER(VLOOKUP($B:$B,'BS(과거)'!$A:$F,$2:$2,0)),VLOOKUP($B:$B,'BS(과거)'!$A:$F,$2:$2,0),0)</f>
        <v>0</v>
      </c>
      <c r="N477" s="207">
        <f>IF(ISNUMBER(VLOOKUP($B:$B,'BS(분기)'!$A:$F,$2:$2,0)),VLOOKUP($B:$B,'BS(분기)'!$A:$F,$2:$2,0),0)</f>
        <v>0</v>
      </c>
      <c r="O477" s="207">
        <f>IF(ISNUMBER(VLOOKUP($B:$B,'BS(분기)'!$A:$F,$2:$2,0)),VLOOKUP($B:$B,'BS(분기)'!$A:$F,$2:$2,0),0)</f>
        <v>0</v>
      </c>
      <c r="P477" s="207">
        <f>IF(ISNUMBER(VLOOKUP($B:$B,'BS(분기)'!$A:$F,$2:$2,0)),VLOOKUP($B:$B,'BS(분기)'!$A:$F,$2:$2,0),0)</f>
        <v>0</v>
      </c>
      <c r="Q477" s="207">
        <f>IF(ISNUMBER(VLOOKUP($B:$B,'BS(분기)'!$A:$F,$2:$2,0)),VLOOKUP($B:$B,'BS(분기)'!$A:$F,$2:$2,0),0)</f>
        <v>0</v>
      </c>
      <c r="R477" s="207">
        <f>IF(ISNUMBER(VLOOKUP($B:$B,'BS(분기)'!$A:$F,$2:$2,0)),VLOOKUP($B:$B,'BS(분기)'!$A:$F,$2:$2,0),0)</f>
        <v>0</v>
      </c>
    </row>
    <row r="478" spans="1:18" s="192" customFormat="1" ht="12">
      <c r="A478" s="202">
        <v>114120</v>
      </c>
      <c r="B478" s="195" t="s">
        <v>1195</v>
      </c>
      <c r="C478" s="217">
        <f>IF(ISNUMBER(VLOOKUP($B:$B,BS!$A:$D,$2:$2,0)),VLOOKUP($B:$B,BS!$A:$D,$2:$2,0),0)</f>
        <v>0</v>
      </c>
      <c r="D478" s="217">
        <f>IF(ISNUMBER(VLOOKUP($B:$B,BS!$A:$D,$2:$2,0)),VLOOKUP($B:$B,BS!$A:$D,$2:$2,0),0)</f>
        <v>0</v>
      </c>
      <c r="E478" s="217">
        <f>IF(ISNUMBER(VLOOKUP($B:$B,BS!$A:$D,$2:$2,0)),VLOOKUP($B:$B,BS!$A:$D,$2:$2,0),0)</f>
        <v>0</v>
      </c>
      <c r="F478" s="217">
        <f>IF(ISNUMBER(VLOOKUP($B:$B,BS!$A:$D,$2:$2,0)),VLOOKUP($B:$B,BS!$A:$D,$2:$2,0),0)</f>
        <v>0</v>
      </c>
      <c r="G478" s="217">
        <f>IF(ISNUMBER(VLOOKUP($B:$B,BS!$A:$D,$2:$2,0)),VLOOKUP($B:$B,BS!$A:$D,$2:$2,0),0)</f>
        <v>0</v>
      </c>
      <c r="H478" s="207">
        <f>IF(ISNUMBER(VLOOKUP($B:$B,'BS(과거)'!$A:$F,$2:$2,0)),VLOOKUP($B:$B,'BS(과거)'!$A:$F,$2:$2,0),0)</f>
        <v>0</v>
      </c>
      <c r="I478" s="207">
        <f>IF(ISNUMBER(VLOOKUP($B:$B,'BS(과거)'!$A:$F,$2:$2,0)),VLOOKUP($B:$B,'BS(과거)'!$A:$F,$2:$2,0),0)</f>
        <v>0</v>
      </c>
      <c r="J478" s="207">
        <f>IF(ISNUMBER(VLOOKUP($B:$B,'BS(과거)'!$A:$F,$2:$2,0)),VLOOKUP($B:$B,'BS(과거)'!$A:$F,$2:$2,0),0)</f>
        <v>0</v>
      </c>
      <c r="K478" s="207">
        <f>IF(ISNUMBER(VLOOKUP($B:$B,'BS(과거)'!$A:$F,$2:$2,0)),VLOOKUP($B:$B,'BS(과거)'!$A:$F,$2:$2,0),0)</f>
        <v>0</v>
      </c>
      <c r="L478" s="207">
        <f>IF(ISNUMBER(VLOOKUP($B:$B,'BS(과거)'!$A:$F,$2:$2,0)),VLOOKUP($B:$B,'BS(과거)'!$A:$F,$2:$2,0),0)</f>
        <v>0</v>
      </c>
      <c r="N478" s="207">
        <f>IF(ISNUMBER(VLOOKUP($B:$B,'BS(분기)'!$A:$F,$2:$2,0)),VLOOKUP($B:$B,'BS(분기)'!$A:$F,$2:$2,0),0)</f>
        <v>0</v>
      </c>
      <c r="O478" s="207">
        <f>IF(ISNUMBER(VLOOKUP($B:$B,'BS(분기)'!$A:$F,$2:$2,0)),VLOOKUP($B:$B,'BS(분기)'!$A:$F,$2:$2,0),0)</f>
        <v>0</v>
      </c>
      <c r="P478" s="207">
        <f>IF(ISNUMBER(VLOOKUP($B:$B,'BS(분기)'!$A:$F,$2:$2,0)),VLOOKUP($B:$B,'BS(분기)'!$A:$F,$2:$2,0),0)</f>
        <v>0</v>
      </c>
      <c r="Q478" s="207">
        <f>IF(ISNUMBER(VLOOKUP($B:$B,'BS(분기)'!$A:$F,$2:$2,0)),VLOOKUP($B:$B,'BS(분기)'!$A:$F,$2:$2,0),0)</f>
        <v>0</v>
      </c>
      <c r="R478" s="207">
        <f>IF(ISNUMBER(VLOOKUP($B:$B,'BS(분기)'!$A:$F,$2:$2,0)),VLOOKUP($B:$B,'BS(분기)'!$A:$F,$2:$2,0),0)</f>
        <v>0</v>
      </c>
    </row>
    <row r="479" spans="1:18" s="192" customFormat="1" ht="12">
      <c r="A479" s="202">
        <v>114130</v>
      </c>
      <c r="B479" s="195" t="s">
        <v>1196</v>
      </c>
      <c r="C479" s="217">
        <f>IF(ISNUMBER(VLOOKUP($B:$B,BS!$A:$D,$2:$2,0)),VLOOKUP($B:$B,BS!$A:$D,$2:$2,0),0)</f>
        <v>0</v>
      </c>
      <c r="D479" s="217">
        <f>IF(ISNUMBER(VLOOKUP($B:$B,BS!$A:$D,$2:$2,0)),VLOOKUP($B:$B,BS!$A:$D,$2:$2,0),0)</f>
        <v>0</v>
      </c>
      <c r="E479" s="217">
        <f>IF(ISNUMBER(VLOOKUP($B:$B,BS!$A:$D,$2:$2,0)),VLOOKUP($B:$B,BS!$A:$D,$2:$2,0),0)</f>
        <v>0</v>
      </c>
      <c r="F479" s="217">
        <f>IF(ISNUMBER(VLOOKUP($B:$B,BS!$A:$D,$2:$2,0)),VLOOKUP($B:$B,BS!$A:$D,$2:$2,0),0)</f>
        <v>0</v>
      </c>
      <c r="G479" s="217">
        <f>IF(ISNUMBER(VLOOKUP($B:$B,BS!$A:$D,$2:$2,0)),VLOOKUP($B:$B,BS!$A:$D,$2:$2,0),0)</f>
        <v>0</v>
      </c>
      <c r="H479" s="207">
        <f>IF(ISNUMBER(VLOOKUP($B:$B,'BS(과거)'!$A:$F,$2:$2,0)),VLOOKUP($B:$B,'BS(과거)'!$A:$F,$2:$2,0),0)</f>
        <v>0</v>
      </c>
      <c r="I479" s="207">
        <f>IF(ISNUMBER(VLOOKUP($B:$B,'BS(과거)'!$A:$F,$2:$2,0)),VLOOKUP($B:$B,'BS(과거)'!$A:$F,$2:$2,0),0)</f>
        <v>0</v>
      </c>
      <c r="J479" s="207">
        <f>IF(ISNUMBER(VLOOKUP($B:$B,'BS(과거)'!$A:$F,$2:$2,0)),VLOOKUP($B:$B,'BS(과거)'!$A:$F,$2:$2,0),0)</f>
        <v>0</v>
      </c>
      <c r="K479" s="207">
        <f>IF(ISNUMBER(VLOOKUP($B:$B,'BS(과거)'!$A:$F,$2:$2,0)),VLOOKUP($B:$B,'BS(과거)'!$A:$F,$2:$2,0),0)</f>
        <v>0</v>
      </c>
      <c r="L479" s="207">
        <f>IF(ISNUMBER(VLOOKUP($B:$B,'BS(과거)'!$A:$F,$2:$2,0)),VLOOKUP($B:$B,'BS(과거)'!$A:$F,$2:$2,0),0)</f>
        <v>0</v>
      </c>
      <c r="N479" s="207">
        <f>IF(ISNUMBER(VLOOKUP($B:$B,'BS(분기)'!$A:$F,$2:$2,0)),VLOOKUP($B:$B,'BS(분기)'!$A:$F,$2:$2,0),0)</f>
        <v>0</v>
      </c>
      <c r="O479" s="207">
        <f>IF(ISNUMBER(VLOOKUP($B:$B,'BS(분기)'!$A:$F,$2:$2,0)),VLOOKUP($B:$B,'BS(분기)'!$A:$F,$2:$2,0),0)</f>
        <v>0</v>
      </c>
      <c r="P479" s="207">
        <f>IF(ISNUMBER(VLOOKUP($B:$B,'BS(분기)'!$A:$F,$2:$2,0)),VLOOKUP($B:$B,'BS(분기)'!$A:$F,$2:$2,0),0)</f>
        <v>0</v>
      </c>
      <c r="Q479" s="207">
        <f>IF(ISNUMBER(VLOOKUP($B:$B,'BS(분기)'!$A:$F,$2:$2,0)),VLOOKUP($B:$B,'BS(분기)'!$A:$F,$2:$2,0),0)</f>
        <v>0</v>
      </c>
      <c r="R479" s="207">
        <f>IF(ISNUMBER(VLOOKUP($B:$B,'BS(분기)'!$A:$F,$2:$2,0)),VLOOKUP($B:$B,'BS(분기)'!$A:$F,$2:$2,0),0)</f>
        <v>0</v>
      </c>
    </row>
    <row r="480" spans="1:18" s="192" customFormat="1" ht="12">
      <c r="A480" s="202">
        <v>114140</v>
      </c>
      <c r="B480" s="195" t="s">
        <v>1197</v>
      </c>
      <c r="C480" s="217">
        <f>IF(ISNUMBER(VLOOKUP($B:$B,BS!$A:$D,$2:$2,0)),VLOOKUP($B:$B,BS!$A:$D,$2:$2,0),0)</f>
        <v>0</v>
      </c>
      <c r="D480" s="217">
        <f>IF(ISNUMBER(VLOOKUP($B:$B,BS!$A:$D,$2:$2,0)),VLOOKUP($B:$B,BS!$A:$D,$2:$2,0),0)</f>
        <v>0</v>
      </c>
      <c r="E480" s="217">
        <f>IF(ISNUMBER(VLOOKUP($B:$B,BS!$A:$D,$2:$2,0)),VLOOKUP($B:$B,BS!$A:$D,$2:$2,0),0)</f>
        <v>0</v>
      </c>
      <c r="F480" s="217">
        <f>IF(ISNUMBER(VLOOKUP($B:$B,BS!$A:$D,$2:$2,0)),VLOOKUP($B:$B,BS!$A:$D,$2:$2,0),0)</f>
        <v>0</v>
      </c>
      <c r="G480" s="217">
        <f>IF(ISNUMBER(VLOOKUP($B:$B,BS!$A:$D,$2:$2,0)),VLOOKUP($B:$B,BS!$A:$D,$2:$2,0),0)</f>
        <v>0</v>
      </c>
      <c r="H480" s="207">
        <f>IF(ISNUMBER(VLOOKUP($B:$B,'BS(과거)'!$A:$F,$2:$2,0)),VLOOKUP($B:$B,'BS(과거)'!$A:$F,$2:$2,0),0)</f>
        <v>0</v>
      </c>
      <c r="I480" s="207">
        <f>IF(ISNUMBER(VLOOKUP($B:$B,'BS(과거)'!$A:$F,$2:$2,0)),VLOOKUP($B:$B,'BS(과거)'!$A:$F,$2:$2,0),0)</f>
        <v>0</v>
      </c>
      <c r="J480" s="207">
        <f>IF(ISNUMBER(VLOOKUP($B:$B,'BS(과거)'!$A:$F,$2:$2,0)),VLOOKUP($B:$B,'BS(과거)'!$A:$F,$2:$2,0),0)</f>
        <v>0</v>
      </c>
      <c r="K480" s="207">
        <f>IF(ISNUMBER(VLOOKUP($B:$B,'BS(과거)'!$A:$F,$2:$2,0)),VLOOKUP($B:$B,'BS(과거)'!$A:$F,$2:$2,0),0)</f>
        <v>0</v>
      </c>
      <c r="L480" s="207">
        <f>IF(ISNUMBER(VLOOKUP($B:$B,'BS(과거)'!$A:$F,$2:$2,0)),VLOOKUP($B:$B,'BS(과거)'!$A:$F,$2:$2,0),0)</f>
        <v>0</v>
      </c>
      <c r="N480" s="207">
        <f>IF(ISNUMBER(VLOOKUP($B:$B,'BS(분기)'!$A:$F,$2:$2,0)),VLOOKUP($B:$B,'BS(분기)'!$A:$F,$2:$2,0),0)</f>
        <v>0</v>
      </c>
      <c r="O480" s="207">
        <f>IF(ISNUMBER(VLOOKUP($B:$B,'BS(분기)'!$A:$F,$2:$2,0)),VLOOKUP($B:$B,'BS(분기)'!$A:$F,$2:$2,0),0)</f>
        <v>0</v>
      </c>
      <c r="P480" s="207">
        <f>IF(ISNUMBER(VLOOKUP($B:$B,'BS(분기)'!$A:$F,$2:$2,0)),VLOOKUP($B:$B,'BS(분기)'!$A:$F,$2:$2,0),0)</f>
        <v>0</v>
      </c>
      <c r="Q480" s="207">
        <f>IF(ISNUMBER(VLOOKUP($B:$B,'BS(분기)'!$A:$F,$2:$2,0)),VLOOKUP($B:$B,'BS(분기)'!$A:$F,$2:$2,0),0)</f>
        <v>0</v>
      </c>
      <c r="R480" s="207">
        <f>IF(ISNUMBER(VLOOKUP($B:$B,'BS(분기)'!$A:$F,$2:$2,0)),VLOOKUP($B:$B,'BS(분기)'!$A:$F,$2:$2,0),0)</f>
        <v>0</v>
      </c>
    </row>
    <row r="481" spans="1:18" s="192" customFormat="1" ht="12">
      <c r="A481" s="202">
        <v>114150</v>
      </c>
      <c r="B481" s="195" t="s">
        <v>575</v>
      </c>
      <c r="C481" s="217">
        <f>IF(ISNUMBER(VLOOKUP($B:$B,BS!$A:$D,$2:$2,0)),VLOOKUP($B:$B,BS!$A:$D,$2:$2,0),0)</f>
        <v>0</v>
      </c>
      <c r="D481" s="217">
        <f>IF(ISNUMBER(VLOOKUP($B:$B,BS!$A:$D,$2:$2,0)),VLOOKUP($B:$B,BS!$A:$D,$2:$2,0),0)</f>
        <v>0</v>
      </c>
      <c r="E481" s="217">
        <f>IF(ISNUMBER(VLOOKUP($B:$B,BS!$A:$D,$2:$2,0)),VLOOKUP($B:$B,BS!$A:$D,$2:$2,0),0)</f>
        <v>0</v>
      </c>
      <c r="F481" s="217">
        <f>IF(ISNUMBER(VLOOKUP($B:$B,BS!$A:$D,$2:$2,0)),VLOOKUP($B:$B,BS!$A:$D,$2:$2,0),0)</f>
        <v>0</v>
      </c>
      <c r="G481" s="217">
        <f>IF(ISNUMBER(VLOOKUP($B:$B,BS!$A:$D,$2:$2,0)),VLOOKUP($B:$B,BS!$A:$D,$2:$2,0),0)</f>
        <v>0</v>
      </c>
      <c r="H481" s="207">
        <f>IF(ISNUMBER(VLOOKUP($B:$B,'BS(과거)'!$A:$F,$2:$2,0)),VLOOKUP($B:$B,'BS(과거)'!$A:$F,$2:$2,0),0)</f>
        <v>0</v>
      </c>
      <c r="I481" s="207">
        <f>IF(ISNUMBER(VLOOKUP($B:$B,'BS(과거)'!$A:$F,$2:$2,0)),VLOOKUP($B:$B,'BS(과거)'!$A:$F,$2:$2,0),0)</f>
        <v>0</v>
      </c>
      <c r="J481" s="207">
        <f>IF(ISNUMBER(VLOOKUP($B:$B,'BS(과거)'!$A:$F,$2:$2,0)),VLOOKUP($B:$B,'BS(과거)'!$A:$F,$2:$2,0),0)</f>
        <v>0</v>
      </c>
      <c r="K481" s="207">
        <f>IF(ISNUMBER(VLOOKUP($B:$B,'BS(과거)'!$A:$F,$2:$2,0)),VLOOKUP($B:$B,'BS(과거)'!$A:$F,$2:$2,0),0)</f>
        <v>0</v>
      </c>
      <c r="L481" s="207">
        <f>IF(ISNUMBER(VLOOKUP($B:$B,'BS(과거)'!$A:$F,$2:$2,0)),VLOOKUP($B:$B,'BS(과거)'!$A:$F,$2:$2,0),0)</f>
        <v>0</v>
      </c>
      <c r="N481" s="207">
        <f>IF(ISNUMBER(VLOOKUP($B:$B,'BS(분기)'!$A:$F,$2:$2,0)),VLOOKUP($B:$B,'BS(분기)'!$A:$F,$2:$2,0),0)</f>
        <v>0</v>
      </c>
      <c r="O481" s="207">
        <f>IF(ISNUMBER(VLOOKUP($B:$B,'BS(분기)'!$A:$F,$2:$2,0)),VLOOKUP($B:$B,'BS(분기)'!$A:$F,$2:$2,0),0)</f>
        <v>0</v>
      </c>
      <c r="P481" s="207">
        <f>IF(ISNUMBER(VLOOKUP($B:$B,'BS(분기)'!$A:$F,$2:$2,0)),VLOOKUP($B:$B,'BS(분기)'!$A:$F,$2:$2,0),0)</f>
        <v>0</v>
      </c>
      <c r="Q481" s="207">
        <f>IF(ISNUMBER(VLOOKUP($B:$B,'BS(분기)'!$A:$F,$2:$2,0)),VLOOKUP($B:$B,'BS(분기)'!$A:$F,$2:$2,0),0)</f>
        <v>0</v>
      </c>
      <c r="R481" s="207">
        <f>IF(ISNUMBER(VLOOKUP($B:$B,'BS(분기)'!$A:$F,$2:$2,0)),VLOOKUP($B:$B,'BS(분기)'!$A:$F,$2:$2,0),0)</f>
        <v>0</v>
      </c>
    </row>
    <row r="482" spans="1:18" s="192" customFormat="1" ht="12">
      <c r="A482" s="202">
        <v>114170</v>
      </c>
      <c r="B482" s="195" t="s">
        <v>1198</v>
      </c>
      <c r="C482" s="217">
        <f>IF(ISNUMBER(VLOOKUP($B:$B,BS!$A:$D,$2:$2,0)),VLOOKUP($B:$B,BS!$A:$D,$2:$2,0),0)</f>
        <v>0</v>
      </c>
      <c r="D482" s="217">
        <f>IF(ISNUMBER(VLOOKUP($B:$B,BS!$A:$D,$2:$2,0)),VLOOKUP($B:$B,BS!$A:$D,$2:$2,0),0)</f>
        <v>0</v>
      </c>
      <c r="E482" s="217">
        <f>IF(ISNUMBER(VLOOKUP($B:$B,BS!$A:$D,$2:$2,0)),VLOOKUP($B:$B,BS!$A:$D,$2:$2,0),0)</f>
        <v>0</v>
      </c>
      <c r="F482" s="217">
        <f>IF(ISNUMBER(VLOOKUP($B:$B,BS!$A:$D,$2:$2,0)),VLOOKUP($B:$B,BS!$A:$D,$2:$2,0),0)</f>
        <v>0</v>
      </c>
      <c r="G482" s="217">
        <f>IF(ISNUMBER(VLOOKUP($B:$B,BS!$A:$D,$2:$2,0)),VLOOKUP($B:$B,BS!$A:$D,$2:$2,0),0)</f>
        <v>0</v>
      </c>
      <c r="H482" s="207">
        <f>IF(ISNUMBER(VLOOKUP($B:$B,'BS(과거)'!$A:$F,$2:$2,0)),VLOOKUP($B:$B,'BS(과거)'!$A:$F,$2:$2,0),0)</f>
        <v>0</v>
      </c>
      <c r="I482" s="207">
        <f>IF(ISNUMBER(VLOOKUP($B:$B,'BS(과거)'!$A:$F,$2:$2,0)),VLOOKUP($B:$B,'BS(과거)'!$A:$F,$2:$2,0),0)</f>
        <v>0</v>
      </c>
      <c r="J482" s="207">
        <f>IF(ISNUMBER(VLOOKUP($B:$B,'BS(과거)'!$A:$F,$2:$2,0)),VLOOKUP($B:$B,'BS(과거)'!$A:$F,$2:$2,0),0)</f>
        <v>0</v>
      </c>
      <c r="K482" s="207">
        <f>IF(ISNUMBER(VLOOKUP($B:$B,'BS(과거)'!$A:$F,$2:$2,0)),VLOOKUP($B:$B,'BS(과거)'!$A:$F,$2:$2,0),0)</f>
        <v>0</v>
      </c>
      <c r="L482" s="207">
        <f>IF(ISNUMBER(VLOOKUP($B:$B,'BS(과거)'!$A:$F,$2:$2,0)),VLOOKUP($B:$B,'BS(과거)'!$A:$F,$2:$2,0),0)</f>
        <v>0</v>
      </c>
      <c r="N482" s="207">
        <f>IF(ISNUMBER(VLOOKUP($B:$B,'BS(분기)'!$A:$F,$2:$2,0)),VLOOKUP($B:$B,'BS(분기)'!$A:$F,$2:$2,0),0)</f>
        <v>0</v>
      </c>
      <c r="O482" s="207">
        <f>IF(ISNUMBER(VLOOKUP($B:$B,'BS(분기)'!$A:$F,$2:$2,0)),VLOOKUP($B:$B,'BS(분기)'!$A:$F,$2:$2,0),0)</f>
        <v>0</v>
      </c>
      <c r="P482" s="207">
        <f>IF(ISNUMBER(VLOOKUP($B:$B,'BS(분기)'!$A:$F,$2:$2,0)),VLOOKUP($B:$B,'BS(분기)'!$A:$F,$2:$2,0),0)</f>
        <v>0</v>
      </c>
      <c r="Q482" s="207">
        <f>IF(ISNUMBER(VLOOKUP($B:$B,'BS(분기)'!$A:$F,$2:$2,0)),VLOOKUP($B:$B,'BS(분기)'!$A:$F,$2:$2,0),0)</f>
        <v>0</v>
      </c>
      <c r="R482" s="207">
        <f>IF(ISNUMBER(VLOOKUP($B:$B,'BS(분기)'!$A:$F,$2:$2,0)),VLOOKUP($B:$B,'BS(분기)'!$A:$F,$2:$2,0),0)</f>
        <v>0</v>
      </c>
    </row>
    <row r="483" spans="1:18" s="192" customFormat="1" ht="12">
      <c r="A483" s="202">
        <v>114180</v>
      </c>
      <c r="B483" s="195" t="s">
        <v>1199</v>
      </c>
      <c r="C483" s="217">
        <f>IF(ISNUMBER(VLOOKUP($B:$B,BS!$A:$D,$2:$2,0)),VLOOKUP($B:$B,BS!$A:$D,$2:$2,0),0)</f>
        <v>0</v>
      </c>
      <c r="D483" s="217">
        <f>IF(ISNUMBER(VLOOKUP($B:$B,BS!$A:$D,$2:$2,0)),VLOOKUP($B:$B,BS!$A:$D,$2:$2,0),0)</f>
        <v>0</v>
      </c>
      <c r="E483" s="217">
        <f>IF(ISNUMBER(VLOOKUP($B:$B,BS!$A:$D,$2:$2,0)),VLOOKUP($B:$B,BS!$A:$D,$2:$2,0),0)</f>
        <v>0</v>
      </c>
      <c r="F483" s="217">
        <f>IF(ISNUMBER(VLOOKUP($B:$B,BS!$A:$D,$2:$2,0)),VLOOKUP($B:$B,BS!$A:$D,$2:$2,0),0)</f>
        <v>0</v>
      </c>
      <c r="G483" s="217">
        <f>IF(ISNUMBER(VLOOKUP($B:$B,BS!$A:$D,$2:$2,0)),VLOOKUP($B:$B,BS!$A:$D,$2:$2,0),0)</f>
        <v>0</v>
      </c>
      <c r="H483" s="207">
        <f>IF(ISNUMBER(VLOOKUP($B:$B,'BS(과거)'!$A:$F,$2:$2,0)),VLOOKUP($B:$B,'BS(과거)'!$A:$F,$2:$2,0),0)</f>
        <v>0</v>
      </c>
      <c r="I483" s="207">
        <f>IF(ISNUMBER(VLOOKUP($B:$B,'BS(과거)'!$A:$F,$2:$2,0)),VLOOKUP($B:$B,'BS(과거)'!$A:$F,$2:$2,0),0)</f>
        <v>0</v>
      </c>
      <c r="J483" s="207">
        <f>IF(ISNUMBER(VLOOKUP($B:$B,'BS(과거)'!$A:$F,$2:$2,0)),VLOOKUP($B:$B,'BS(과거)'!$A:$F,$2:$2,0),0)</f>
        <v>0</v>
      </c>
      <c r="K483" s="207">
        <f>IF(ISNUMBER(VLOOKUP($B:$B,'BS(과거)'!$A:$F,$2:$2,0)),VLOOKUP($B:$B,'BS(과거)'!$A:$F,$2:$2,0),0)</f>
        <v>0</v>
      </c>
      <c r="L483" s="207">
        <f>IF(ISNUMBER(VLOOKUP($B:$B,'BS(과거)'!$A:$F,$2:$2,0)),VLOOKUP($B:$B,'BS(과거)'!$A:$F,$2:$2,0),0)</f>
        <v>0</v>
      </c>
      <c r="N483" s="207">
        <f>IF(ISNUMBER(VLOOKUP($B:$B,'BS(분기)'!$A:$F,$2:$2,0)),VLOOKUP($B:$B,'BS(분기)'!$A:$F,$2:$2,0),0)</f>
        <v>0</v>
      </c>
      <c r="O483" s="207">
        <f>IF(ISNUMBER(VLOOKUP($B:$B,'BS(분기)'!$A:$F,$2:$2,0)),VLOOKUP($B:$B,'BS(분기)'!$A:$F,$2:$2,0),0)</f>
        <v>0</v>
      </c>
      <c r="P483" s="207">
        <f>IF(ISNUMBER(VLOOKUP($B:$B,'BS(분기)'!$A:$F,$2:$2,0)),VLOOKUP($B:$B,'BS(분기)'!$A:$F,$2:$2,0),0)</f>
        <v>0</v>
      </c>
      <c r="Q483" s="207">
        <f>IF(ISNUMBER(VLOOKUP($B:$B,'BS(분기)'!$A:$F,$2:$2,0)),VLOOKUP($B:$B,'BS(분기)'!$A:$F,$2:$2,0),0)</f>
        <v>0</v>
      </c>
      <c r="R483" s="207">
        <f>IF(ISNUMBER(VLOOKUP($B:$B,'BS(분기)'!$A:$F,$2:$2,0)),VLOOKUP($B:$B,'BS(분기)'!$A:$F,$2:$2,0),0)</f>
        <v>0</v>
      </c>
    </row>
    <row r="484" spans="1:18" s="192" customFormat="1" ht="12">
      <c r="A484" s="205">
        <v>115000</v>
      </c>
      <c r="B484" s="198" t="s">
        <v>3</v>
      </c>
      <c r="C484" s="217">
        <f>IF(ISNUMBER(VLOOKUP($B:$B,BS!$A:$D,$2:$2,0)),VLOOKUP($B:$B,BS!$A:$D,$2:$2,0),0)</f>
        <v>0</v>
      </c>
      <c r="D484" s="217">
        <f>IF(ISNUMBER(VLOOKUP($B:$B,BS!$A:$D,$2:$2,0)),VLOOKUP($B:$B,BS!$A:$D,$2:$2,0),0)</f>
        <v>0</v>
      </c>
      <c r="E484" s="217">
        <f>IF(ISNUMBER(VLOOKUP($B:$B,BS!$A:$D,$2:$2,0)),VLOOKUP($B:$B,BS!$A:$D,$2:$2,0),0)</f>
        <v>0</v>
      </c>
      <c r="F484" s="217">
        <f>IF(ISNUMBER(VLOOKUP($B:$B,BS!$A:$D,$2:$2,0)),VLOOKUP($B:$B,BS!$A:$D,$2:$2,0),0)</f>
        <v>0</v>
      </c>
      <c r="G484" s="217">
        <f>IF(ISNUMBER(VLOOKUP($B:$B,BS!$A:$D,$2:$2,0)),VLOOKUP($B:$B,BS!$A:$D,$2:$2,0),0)</f>
        <v>0</v>
      </c>
      <c r="H484" s="207">
        <f>IF(ISNUMBER(VLOOKUP($B:$B,'BS(과거)'!$A:$F,$2:$2,0)),VLOOKUP($B:$B,'BS(과거)'!$A:$F,$2:$2,0),0)</f>
        <v>0</v>
      </c>
      <c r="I484" s="207">
        <f>IF(ISNUMBER(VLOOKUP($B:$B,'BS(과거)'!$A:$F,$2:$2,0)),VLOOKUP($B:$B,'BS(과거)'!$A:$F,$2:$2,0),0)</f>
        <v>0</v>
      </c>
      <c r="J484" s="207">
        <f>IF(ISNUMBER(VLOOKUP($B:$B,'BS(과거)'!$A:$F,$2:$2,0)),VLOOKUP($B:$B,'BS(과거)'!$A:$F,$2:$2,0),0)</f>
        <v>0</v>
      </c>
      <c r="K484" s="207">
        <f>IF(ISNUMBER(VLOOKUP($B:$B,'BS(과거)'!$A:$F,$2:$2,0)),VLOOKUP($B:$B,'BS(과거)'!$A:$F,$2:$2,0),0)</f>
        <v>0</v>
      </c>
      <c r="L484" s="207">
        <f>IF(ISNUMBER(VLOOKUP($B:$B,'BS(과거)'!$A:$F,$2:$2,0)),VLOOKUP($B:$B,'BS(과거)'!$A:$F,$2:$2,0),0)</f>
        <v>0</v>
      </c>
      <c r="N484" s="207">
        <f>IF(ISNUMBER(VLOOKUP($B:$B,'BS(분기)'!$A:$F,$2:$2,0)),VLOOKUP($B:$B,'BS(분기)'!$A:$F,$2:$2,0),0)</f>
        <v>0</v>
      </c>
      <c r="O484" s="207">
        <f>IF(ISNUMBER(VLOOKUP($B:$B,'BS(분기)'!$A:$F,$2:$2,0)),VLOOKUP($B:$B,'BS(분기)'!$A:$F,$2:$2,0),0)</f>
        <v>0</v>
      </c>
      <c r="P484" s="207">
        <f>IF(ISNUMBER(VLOOKUP($B:$B,'BS(분기)'!$A:$F,$2:$2,0)),VLOOKUP($B:$B,'BS(분기)'!$A:$F,$2:$2,0),0)</f>
        <v>0</v>
      </c>
      <c r="Q484" s="207">
        <f>IF(ISNUMBER(VLOOKUP($B:$B,'BS(분기)'!$A:$F,$2:$2,0)),VLOOKUP($B:$B,'BS(분기)'!$A:$F,$2:$2,0),0)</f>
        <v>0</v>
      </c>
      <c r="R484" s="207">
        <f>IF(ISNUMBER(VLOOKUP($B:$B,'BS(분기)'!$A:$F,$2:$2,0)),VLOOKUP($B:$B,'BS(분기)'!$A:$F,$2:$2,0),0)</f>
        <v>0</v>
      </c>
    </row>
    <row r="485" spans="1:18" s="192" customFormat="1" ht="12">
      <c r="A485" s="201">
        <v>116000</v>
      </c>
      <c r="B485" s="194" t="s">
        <v>825</v>
      </c>
      <c r="C485" s="217">
        <f>IF(ISNUMBER(VLOOKUP($B:$B,BS!$A:$D,$2:$2,0)),VLOOKUP($B:$B,BS!$A:$D,$2:$2,0),0)</f>
        <v>0</v>
      </c>
      <c r="D485" s="217">
        <f>IF(ISNUMBER(VLOOKUP($B:$B,BS!$A:$D,$2:$2,0)),VLOOKUP($B:$B,BS!$A:$D,$2:$2,0),0)</f>
        <v>0</v>
      </c>
      <c r="E485" s="217">
        <f>IF(ISNUMBER(VLOOKUP($B:$B,BS!$A:$D,$2:$2,0)),VLOOKUP($B:$B,BS!$A:$D,$2:$2,0),0)</f>
        <v>0</v>
      </c>
      <c r="F485" s="217">
        <f>IF(ISNUMBER(VLOOKUP($B:$B,BS!$A:$D,$2:$2,0)),VLOOKUP($B:$B,BS!$A:$D,$2:$2,0),0)</f>
        <v>0</v>
      </c>
      <c r="G485" s="217">
        <f>IF(ISNUMBER(VLOOKUP($B:$B,BS!$A:$D,$2:$2,0)),VLOOKUP($B:$B,BS!$A:$D,$2:$2,0),0)</f>
        <v>0</v>
      </c>
      <c r="H485" s="207">
        <f>IF(ISNUMBER(VLOOKUP($B:$B,'BS(과거)'!$A:$F,$2:$2,0)),VLOOKUP($B:$B,'BS(과거)'!$A:$F,$2:$2,0),0)</f>
        <v>0</v>
      </c>
      <c r="I485" s="207">
        <f>IF(ISNUMBER(VLOOKUP($B:$B,'BS(과거)'!$A:$F,$2:$2,0)),VLOOKUP($B:$B,'BS(과거)'!$A:$F,$2:$2,0),0)</f>
        <v>0</v>
      </c>
      <c r="J485" s="207">
        <f>IF(ISNUMBER(VLOOKUP($B:$B,'BS(과거)'!$A:$F,$2:$2,0)),VLOOKUP($B:$B,'BS(과거)'!$A:$F,$2:$2,0),0)</f>
        <v>0</v>
      </c>
      <c r="K485" s="207">
        <f>IF(ISNUMBER(VLOOKUP($B:$B,'BS(과거)'!$A:$F,$2:$2,0)),VLOOKUP($B:$B,'BS(과거)'!$A:$F,$2:$2,0),0)</f>
        <v>0</v>
      </c>
      <c r="L485" s="207">
        <f>IF(ISNUMBER(VLOOKUP($B:$B,'BS(과거)'!$A:$F,$2:$2,0)),VLOOKUP($B:$B,'BS(과거)'!$A:$F,$2:$2,0),0)</f>
        <v>0</v>
      </c>
      <c r="N485" s="207">
        <f>IF(ISNUMBER(VLOOKUP($B:$B,'BS(분기)'!$A:$F,$2:$2,0)),VLOOKUP($B:$B,'BS(분기)'!$A:$F,$2:$2,0),0)</f>
        <v>0</v>
      </c>
      <c r="O485" s="207">
        <f>IF(ISNUMBER(VLOOKUP($B:$B,'BS(분기)'!$A:$F,$2:$2,0)),VLOOKUP($B:$B,'BS(분기)'!$A:$F,$2:$2,0),0)</f>
        <v>0</v>
      </c>
      <c r="P485" s="207">
        <f>IF(ISNUMBER(VLOOKUP($B:$B,'BS(분기)'!$A:$F,$2:$2,0)),VLOOKUP($B:$B,'BS(분기)'!$A:$F,$2:$2,0),0)</f>
        <v>0</v>
      </c>
      <c r="Q485" s="207">
        <f>IF(ISNUMBER(VLOOKUP($B:$B,'BS(분기)'!$A:$F,$2:$2,0)),VLOOKUP($B:$B,'BS(분기)'!$A:$F,$2:$2,0),0)</f>
        <v>0</v>
      </c>
      <c r="R485" s="207">
        <f>IF(ISNUMBER(VLOOKUP($B:$B,'BS(분기)'!$A:$F,$2:$2,0)),VLOOKUP($B:$B,'BS(분기)'!$A:$F,$2:$2,0),0)</f>
        <v>0</v>
      </c>
    </row>
    <row r="486" spans="1:18" s="192" customFormat="1" ht="12">
      <c r="A486" s="202">
        <v>115110</v>
      </c>
      <c r="B486" s="195" t="s">
        <v>576</v>
      </c>
      <c r="C486" s="217">
        <f>IF(ISNUMBER(VLOOKUP($B:$B,BS!$A:$D,$2:$2,0)),VLOOKUP($B:$B,BS!$A:$D,$2:$2,0),0)</f>
        <v>0</v>
      </c>
      <c r="D486" s="217">
        <f>IF(ISNUMBER(VLOOKUP($B:$B,BS!$A:$D,$2:$2,0)),VLOOKUP($B:$B,BS!$A:$D,$2:$2,0),0)</f>
        <v>0</v>
      </c>
      <c r="E486" s="217">
        <f>IF(ISNUMBER(VLOOKUP($B:$B,BS!$A:$D,$2:$2,0)),VLOOKUP($B:$B,BS!$A:$D,$2:$2,0),0)</f>
        <v>0</v>
      </c>
      <c r="F486" s="217">
        <f>IF(ISNUMBER(VLOOKUP($B:$B,BS!$A:$D,$2:$2,0)),VLOOKUP($B:$B,BS!$A:$D,$2:$2,0),0)</f>
        <v>0</v>
      </c>
      <c r="G486" s="217">
        <f>IF(ISNUMBER(VLOOKUP($B:$B,BS!$A:$D,$2:$2,0)),VLOOKUP($B:$B,BS!$A:$D,$2:$2,0),0)</f>
        <v>0</v>
      </c>
      <c r="H486" s="207">
        <f>IF(ISNUMBER(VLOOKUP($B:$B,'BS(과거)'!$A:$F,$2:$2,0)),VLOOKUP($B:$B,'BS(과거)'!$A:$F,$2:$2,0),0)</f>
        <v>0</v>
      </c>
      <c r="I486" s="207">
        <f>IF(ISNUMBER(VLOOKUP($B:$B,'BS(과거)'!$A:$F,$2:$2,0)),VLOOKUP($B:$B,'BS(과거)'!$A:$F,$2:$2,0),0)</f>
        <v>0</v>
      </c>
      <c r="J486" s="207">
        <f>IF(ISNUMBER(VLOOKUP($B:$B,'BS(과거)'!$A:$F,$2:$2,0)),VLOOKUP($B:$B,'BS(과거)'!$A:$F,$2:$2,0),0)</f>
        <v>0</v>
      </c>
      <c r="K486" s="207">
        <f>IF(ISNUMBER(VLOOKUP($B:$B,'BS(과거)'!$A:$F,$2:$2,0)),VLOOKUP($B:$B,'BS(과거)'!$A:$F,$2:$2,0),0)</f>
        <v>0</v>
      </c>
      <c r="L486" s="207">
        <f>IF(ISNUMBER(VLOOKUP($B:$B,'BS(과거)'!$A:$F,$2:$2,0)),VLOOKUP($B:$B,'BS(과거)'!$A:$F,$2:$2,0),0)</f>
        <v>0</v>
      </c>
      <c r="N486" s="207">
        <f>IF(ISNUMBER(VLOOKUP($B:$B,'BS(분기)'!$A:$F,$2:$2,0)),VLOOKUP($B:$B,'BS(분기)'!$A:$F,$2:$2,0),0)</f>
        <v>0</v>
      </c>
      <c r="O486" s="207">
        <f>IF(ISNUMBER(VLOOKUP($B:$B,'BS(분기)'!$A:$F,$2:$2,0)),VLOOKUP($B:$B,'BS(분기)'!$A:$F,$2:$2,0),0)</f>
        <v>0</v>
      </c>
      <c r="P486" s="207">
        <f>IF(ISNUMBER(VLOOKUP($B:$B,'BS(분기)'!$A:$F,$2:$2,0)),VLOOKUP($B:$B,'BS(분기)'!$A:$F,$2:$2,0),0)</f>
        <v>0</v>
      </c>
      <c r="Q486" s="207">
        <f>IF(ISNUMBER(VLOOKUP($B:$B,'BS(분기)'!$A:$F,$2:$2,0)),VLOOKUP($B:$B,'BS(분기)'!$A:$F,$2:$2,0),0)</f>
        <v>0</v>
      </c>
      <c r="R486" s="207">
        <f>IF(ISNUMBER(VLOOKUP($B:$B,'BS(분기)'!$A:$F,$2:$2,0)),VLOOKUP($B:$B,'BS(분기)'!$A:$F,$2:$2,0),0)</f>
        <v>0</v>
      </c>
    </row>
    <row r="487" spans="1:18" s="192" customFormat="1" ht="12">
      <c r="A487" s="202">
        <v>115119</v>
      </c>
      <c r="B487" s="195" t="s">
        <v>1200</v>
      </c>
      <c r="C487" s="217">
        <f>IF(ISNUMBER(VLOOKUP($B:$B,BS!$A:$D,$2:$2,0)),VLOOKUP($B:$B,BS!$A:$D,$2:$2,0),0)</f>
        <v>0</v>
      </c>
      <c r="D487" s="217">
        <f>IF(ISNUMBER(VLOOKUP($B:$B,BS!$A:$D,$2:$2,0)),VLOOKUP($B:$B,BS!$A:$D,$2:$2,0),0)</f>
        <v>0</v>
      </c>
      <c r="E487" s="217">
        <f>IF(ISNUMBER(VLOOKUP($B:$B,BS!$A:$D,$2:$2,0)),VLOOKUP($B:$B,BS!$A:$D,$2:$2,0),0)</f>
        <v>0</v>
      </c>
      <c r="F487" s="217">
        <f>IF(ISNUMBER(VLOOKUP($B:$B,BS!$A:$D,$2:$2,0)),VLOOKUP($B:$B,BS!$A:$D,$2:$2,0),0)</f>
        <v>0</v>
      </c>
      <c r="G487" s="217">
        <f>IF(ISNUMBER(VLOOKUP($B:$B,BS!$A:$D,$2:$2,0)),VLOOKUP($B:$B,BS!$A:$D,$2:$2,0),0)</f>
        <v>0</v>
      </c>
      <c r="H487" s="207">
        <f>IF(ISNUMBER(VLOOKUP($B:$B,'BS(과거)'!$A:$F,$2:$2,0)),VLOOKUP($B:$B,'BS(과거)'!$A:$F,$2:$2,0),0)</f>
        <v>0</v>
      </c>
      <c r="I487" s="207">
        <f>IF(ISNUMBER(VLOOKUP($B:$B,'BS(과거)'!$A:$F,$2:$2,0)),VLOOKUP($B:$B,'BS(과거)'!$A:$F,$2:$2,0),0)</f>
        <v>0</v>
      </c>
      <c r="J487" s="207">
        <f>IF(ISNUMBER(VLOOKUP($B:$B,'BS(과거)'!$A:$F,$2:$2,0)),VLOOKUP($B:$B,'BS(과거)'!$A:$F,$2:$2,0),0)</f>
        <v>0</v>
      </c>
      <c r="K487" s="207">
        <f>IF(ISNUMBER(VLOOKUP($B:$B,'BS(과거)'!$A:$F,$2:$2,0)),VLOOKUP($B:$B,'BS(과거)'!$A:$F,$2:$2,0),0)</f>
        <v>0</v>
      </c>
      <c r="L487" s="207">
        <f>IF(ISNUMBER(VLOOKUP($B:$B,'BS(과거)'!$A:$F,$2:$2,0)),VLOOKUP($B:$B,'BS(과거)'!$A:$F,$2:$2,0),0)</f>
        <v>0</v>
      </c>
      <c r="N487" s="207">
        <f>IF(ISNUMBER(VLOOKUP($B:$B,'BS(분기)'!$A:$F,$2:$2,0)),VLOOKUP($B:$B,'BS(분기)'!$A:$F,$2:$2,0),0)</f>
        <v>0</v>
      </c>
      <c r="O487" s="207">
        <f>IF(ISNUMBER(VLOOKUP($B:$B,'BS(분기)'!$A:$F,$2:$2,0)),VLOOKUP($B:$B,'BS(분기)'!$A:$F,$2:$2,0),0)</f>
        <v>0</v>
      </c>
      <c r="P487" s="207">
        <f>IF(ISNUMBER(VLOOKUP($B:$B,'BS(분기)'!$A:$F,$2:$2,0)),VLOOKUP($B:$B,'BS(분기)'!$A:$F,$2:$2,0),0)</f>
        <v>0</v>
      </c>
      <c r="Q487" s="207">
        <f>IF(ISNUMBER(VLOOKUP($B:$B,'BS(분기)'!$A:$F,$2:$2,0)),VLOOKUP($B:$B,'BS(분기)'!$A:$F,$2:$2,0),0)</f>
        <v>0</v>
      </c>
      <c r="R487" s="207">
        <f>IF(ISNUMBER(VLOOKUP($B:$B,'BS(분기)'!$A:$F,$2:$2,0)),VLOOKUP($B:$B,'BS(분기)'!$A:$F,$2:$2,0),0)</f>
        <v>0</v>
      </c>
    </row>
    <row r="488" spans="1:18" s="192" customFormat="1" ht="12">
      <c r="A488" s="202">
        <v>115118</v>
      </c>
      <c r="B488" s="195" t="s">
        <v>1201</v>
      </c>
      <c r="C488" s="217">
        <f>IF(ISNUMBER(VLOOKUP($B:$B,BS!$A:$D,$2:$2,0)),VLOOKUP($B:$B,BS!$A:$D,$2:$2,0),0)</f>
        <v>0</v>
      </c>
      <c r="D488" s="217">
        <f>IF(ISNUMBER(VLOOKUP($B:$B,BS!$A:$D,$2:$2,0)),VLOOKUP($B:$B,BS!$A:$D,$2:$2,0),0)</f>
        <v>0</v>
      </c>
      <c r="E488" s="217">
        <f>IF(ISNUMBER(VLOOKUP($B:$B,BS!$A:$D,$2:$2,0)),VLOOKUP($B:$B,BS!$A:$D,$2:$2,0),0)</f>
        <v>0</v>
      </c>
      <c r="F488" s="217">
        <f>IF(ISNUMBER(VLOOKUP($B:$B,BS!$A:$D,$2:$2,0)),VLOOKUP($B:$B,BS!$A:$D,$2:$2,0),0)</f>
        <v>0</v>
      </c>
      <c r="G488" s="217">
        <f>IF(ISNUMBER(VLOOKUP($B:$B,BS!$A:$D,$2:$2,0)),VLOOKUP($B:$B,BS!$A:$D,$2:$2,0),0)</f>
        <v>0</v>
      </c>
      <c r="H488" s="207">
        <f>IF(ISNUMBER(VLOOKUP($B:$B,'BS(과거)'!$A:$F,$2:$2,0)),VLOOKUP($B:$B,'BS(과거)'!$A:$F,$2:$2,0),0)</f>
        <v>0</v>
      </c>
      <c r="I488" s="207">
        <f>IF(ISNUMBER(VLOOKUP($B:$B,'BS(과거)'!$A:$F,$2:$2,0)),VLOOKUP($B:$B,'BS(과거)'!$A:$F,$2:$2,0),0)</f>
        <v>0</v>
      </c>
      <c r="J488" s="207">
        <f>IF(ISNUMBER(VLOOKUP($B:$B,'BS(과거)'!$A:$F,$2:$2,0)),VLOOKUP($B:$B,'BS(과거)'!$A:$F,$2:$2,0),0)</f>
        <v>0</v>
      </c>
      <c r="K488" s="207">
        <f>IF(ISNUMBER(VLOOKUP($B:$B,'BS(과거)'!$A:$F,$2:$2,0)),VLOOKUP($B:$B,'BS(과거)'!$A:$F,$2:$2,0),0)</f>
        <v>0</v>
      </c>
      <c r="L488" s="207">
        <f>IF(ISNUMBER(VLOOKUP($B:$B,'BS(과거)'!$A:$F,$2:$2,0)),VLOOKUP($B:$B,'BS(과거)'!$A:$F,$2:$2,0),0)</f>
        <v>0</v>
      </c>
      <c r="N488" s="207">
        <f>IF(ISNUMBER(VLOOKUP($B:$B,'BS(분기)'!$A:$F,$2:$2,0)),VLOOKUP($B:$B,'BS(분기)'!$A:$F,$2:$2,0),0)</f>
        <v>0</v>
      </c>
      <c r="O488" s="207">
        <f>IF(ISNUMBER(VLOOKUP($B:$B,'BS(분기)'!$A:$F,$2:$2,0)),VLOOKUP($B:$B,'BS(분기)'!$A:$F,$2:$2,0),0)</f>
        <v>0</v>
      </c>
      <c r="P488" s="207">
        <f>IF(ISNUMBER(VLOOKUP($B:$B,'BS(분기)'!$A:$F,$2:$2,0)),VLOOKUP($B:$B,'BS(분기)'!$A:$F,$2:$2,0),0)</f>
        <v>0</v>
      </c>
      <c r="Q488" s="207">
        <f>IF(ISNUMBER(VLOOKUP($B:$B,'BS(분기)'!$A:$F,$2:$2,0)),VLOOKUP($B:$B,'BS(분기)'!$A:$F,$2:$2,0),0)</f>
        <v>0</v>
      </c>
      <c r="R488" s="207">
        <f>IF(ISNUMBER(VLOOKUP($B:$B,'BS(분기)'!$A:$F,$2:$2,0)),VLOOKUP($B:$B,'BS(분기)'!$A:$F,$2:$2,0),0)</f>
        <v>0</v>
      </c>
    </row>
    <row r="489" spans="1:18" s="192" customFormat="1" ht="12">
      <c r="A489" s="203">
        <v>115112</v>
      </c>
      <c r="B489" s="196" t="s">
        <v>1202</v>
      </c>
      <c r="C489" s="217">
        <f>IF(ISNUMBER(VLOOKUP($B:$B,BS!$A:$D,$2:$2,0)),VLOOKUP($B:$B,BS!$A:$D,$2:$2,0),0)</f>
        <v>0</v>
      </c>
      <c r="D489" s="217">
        <f>IF(ISNUMBER(VLOOKUP($B:$B,BS!$A:$D,$2:$2,0)),VLOOKUP($B:$B,BS!$A:$D,$2:$2,0),0)</f>
        <v>0</v>
      </c>
      <c r="E489" s="217">
        <f>IF(ISNUMBER(VLOOKUP($B:$B,BS!$A:$D,$2:$2,0)),VLOOKUP($B:$B,BS!$A:$D,$2:$2,0),0)</f>
        <v>0</v>
      </c>
      <c r="F489" s="217">
        <f>IF(ISNUMBER(VLOOKUP($B:$B,BS!$A:$D,$2:$2,0)),VLOOKUP($B:$B,BS!$A:$D,$2:$2,0),0)</f>
        <v>0</v>
      </c>
      <c r="G489" s="217">
        <f>IF(ISNUMBER(VLOOKUP($B:$B,BS!$A:$D,$2:$2,0)),VLOOKUP($B:$B,BS!$A:$D,$2:$2,0),0)</f>
        <v>0</v>
      </c>
      <c r="H489" s="207">
        <f>IF(ISNUMBER(VLOOKUP($B:$B,'BS(과거)'!$A:$F,$2:$2,0)),VLOOKUP($B:$B,'BS(과거)'!$A:$F,$2:$2,0),0)</f>
        <v>0</v>
      </c>
      <c r="I489" s="207">
        <f>IF(ISNUMBER(VLOOKUP($B:$B,'BS(과거)'!$A:$F,$2:$2,0)),VLOOKUP($B:$B,'BS(과거)'!$A:$F,$2:$2,0),0)</f>
        <v>0</v>
      </c>
      <c r="J489" s="207">
        <f>IF(ISNUMBER(VLOOKUP($B:$B,'BS(과거)'!$A:$F,$2:$2,0)),VLOOKUP($B:$B,'BS(과거)'!$A:$F,$2:$2,0),0)</f>
        <v>0</v>
      </c>
      <c r="K489" s="207">
        <f>IF(ISNUMBER(VLOOKUP($B:$B,'BS(과거)'!$A:$F,$2:$2,0)),VLOOKUP($B:$B,'BS(과거)'!$A:$F,$2:$2,0),0)</f>
        <v>0</v>
      </c>
      <c r="L489" s="207">
        <f>IF(ISNUMBER(VLOOKUP($B:$B,'BS(과거)'!$A:$F,$2:$2,0)),VLOOKUP($B:$B,'BS(과거)'!$A:$F,$2:$2,0),0)</f>
        <v>0</v>
      </c>
      <c r="N489" s="207">
        <f>IF(ISNUMBER(VLOOKUP($B:$B,'BS(분기)'!$A:$F,$2:$2,0)),VLOOKUP($B:$B,'BS(분기)'!$A:$F,$2:$2,0),0)</f>
        <v>0</v>
      </c>
      <c r="O489" s="207">
        <f>IF(ISNUMBER(VLOOKUP($B:$B,'BS(분기)'!$A:$F,$2:$2,0)),VLOOKUP($B:$B,'BS(분기)'!$A:$F,$2:$2,0),0)</f>
        <v>0</v>
      </c>
      <c r="P489" s="207">
        <f>IF(ISNUMBER(VLOOKUP($B:$B,'BS(분기)'!$A:$F,$2:$2,0)),VLOOKUP($B:$B,'BS(분기)'!$A:$F,$2:$2,0),0)</f>
        <v>0</v>
      </c>
      <c r="Q489" s="207">
        <f>IF(ISNUMBER(VLOOKUP($B:$B,'BS(분기)'!$A:$F,$2:$2,0)),VLOOKUP($B:$B,'BS(분기)'!$A:$F,$2:$2,0),0)</f>
        <v>0</v>
      </c>
      <c r="R489" s="207">
        <f>IF(ISNUMBER(VLOOKUP($B:$B,'BS(분기)'!$A:$F,$2:$2,0)),VLOOKUP($B:$B,'BS(분기)'!$A:$F,$2:$2,0),0)</f>
        <v>0</v>
      </c>
    </row>
    <row r="490" spans="1:18" s="192" customFormat="1" ht="12">
      <c r="A490" s="203">
        <v>115114</v>
      </c>
      <c r="B490" s="196" t="s">
        <v>826</v>
      </c>
      <c r="C490" s="217">
        <f>IF(ISNUMBER(VLOOKUP($B:$B,BS!$A:$D,$2:$2,0)),VLOOKUP($B:$B,BS!$A:$D,$2:$2,0),0)</f>
        <v>0</v>
      </c>
      <c r="D490" s="217">
        <f>IF(ISNUMBER(VLOOKUP($B:$B,BS!$A:$D,$2:$2,0)),VLOOKUP($B:$B,BS!$A:$D,$2:$2,0),0)</f>
        <v>0</v>
      </c>
      <c r="E490" s="217">
        <f>IF(ISNUMBER(VLOOKUP($B:$B,BS!$A:$D,$2:$2,0)),VLOOKUP($B:$B,BS!$A:$D,$2:$2,0),0)</f>
        <v>0</v>
      </c>
      <c r="F490" s="217">
        <f>IF(ISNUMBER(VLOOKUP($B:$B,BS!$A:$D,$2:$2,0)),VLOOKUP($B:$B,BS!$A:$D,$2:$2,0),0)</f>
        <v>0</v>
      </c>
      <c r="G490" s="217">
        <f>IF(ISNUMBER(VLOOKUP($B:$B,BS!$A:$D,$2:$2,0)),VLOOKUP($B:$B,BS!$A:$D,$2:$2,0),0)</f>
        <v>0</v>
      </c>
      <c r="H490" s="207">
        <f>IF(ISNUMBER(VLOOKUP($B:$B,'BS(과거)'!$A:$F,$2:$2,0)),VLOOKUP($B:$B,'BS(과거)'!$A:$F,$2:$2,0),0)</f>
        <v>0</v>
      </c>
      <c r="I490" s="207">
        <f>IF(ISNUMBER(VLOOKUP($B:$B,'BS(과거)'!$A:$F,$2:$2,0)),VLOOKUP($B:$B,'BS(과거)'!$A:$F,$2:$2,0),0)</f>
        <v>0</v>
      </c>
      <c r="J490" s="207">
        <f>IF(ISNUMBER(VLOOKUP($B:$B,'BS(과거)'!$A:$F,$2:$2,0)),VLOOKUP($B:$B,'BS(과거)'!$A:$F,$2:$2,0),0)</f>
        <v>0</v>
      </c>
      <c r="K490" s="207">
        <f>IF(ISNUMBER(VLOOKUP($B:$B,'BS(과거)'!$A:$F,$2:$2,0)),VLOOKUP($B:$B,'BS(과거)'!$A:$F,$2:$2,0),0)</f>
        <v>0</v>
      </c>
      <c r="L490" s="207">
        <f>IF(ISNUMBER(VLOOKUP($B:$B,'BS(과거)'!$A:$F,$2:$2,0)),VLOOKUP($B:$B,'BS(과거)'!$A:$F,$2:$2,0),0)</f>
        <v>0</v>
      </c>
      <c r="N490" s="207">
        <f>IF(ISNUMBER(VLOOKUP($B:$B,'BS(분기)'!$A:$F,$2:$2,0)),VLOOKUP($B:$B,'BS(분기)'!$A:$F,$2:$2,0),0)</f>
        <v>0</v>
      </c>
      <c r="O490" s="207">
        <f>IF(ISNUMBER(VLOOKUP($B:$B,'BS(분기)'!$A:$F,$2:$2,0)),VLOOKUP($B:$B,'BS(분기)'!$A:$F,$2:$2,0),0)</f>
        <v>0</v>
      </c>
      <c r="P490" s="207">
        <f>IF(ISNUMBER(VLOOKUP($B:$B,'BS(분기)'!$A:$F,$2:$2,0)),VLOOKUP($B:$B,'BS(분기)'!$A:$F,$2:$2,0),0)</f>
        <v>0</v>
      </c>
      <c r="Q490" s="207">
        <f>IF(ISNUMBER(VLOOKUP($B:$B,'BS(분기)'!$A:$F,$2:$2,0)),VLOOKUP($B:$B,'BS(분기)'!$A:$F,$2:$2,0),0)</f>
        <v>0</v>
      </c>
      <c r="R490" s="207">
        <f>IF(ISNUMBER(VLOOKUP($B:$B,'BS(분기)'!$A:$F,$2:$2,0)),VLOOKUP($B:$B,'BS(분기)'!$A:$F,$2:$2,0),0)</f>
        <v>0</v>
      </c>
    </row>
    <row r="491" spans="1:18" s="192" customFormat="1" ht="12">
      <c r="A491" s="203">
        <v>115113</v>
      </c>
      <c r="B491" s="196" t="s">
        <v>1203</v>
      </c>
      <c r="C491" s="217">
        <f>IF(ISNUMBER(VLOOKUP($B:$B,BS!$A:$D,$2:$2,0)),VLOOKUP($B:$B,BS!$A:$D,$2:$2,0),0)</f>
        <v>0</v>
      </c>
      <c r="D491" s="217">
        <f>IF(ISNUMBER(VLOOKUP($B:$B,BS!$A:$D,$2:$2,0)),VLOOKUP($B:$B,BS!$A:$D,$2:$2,0),0)</f>
        <v>0</v>
      </c>
      <c r="E491" s="217">
        <f>IF(ISNUMBER(VLOOKUP($B:$B,BS!$A:$D,$2:$2,0)),VLOOKUP($B:$B,BS!$A:$D,$2:$2,0),0)</f>
        <v>0</v>
      </c>
      <c r="F491" s="217">
        <f>IF(ISNUMBER(VLOOKUP($B:$B,BS!$A:$D,$2:$2,0)),VLOOKUP($B:$B,BS!$A:$D,$2:$2,0),0)</f>
        <v>0</v>
      </c>
      <c r="G491" s="217">
        <f>IF(ISNUMBER(VLOOKUP($B:$B,BS!$A:$D,$2:$2,0)),VLOOKUP($B:$B,BS!$A:$D,$2:$2,0),0)</f>
        <v>0</v>
      </c>
      <c r="H491" s="207">
        <f>IF(ISNUMBER(VLOOKUP($B:$B,'BS(과거)'!$A:$F,$2:$2,0)),VLOOKUP($B:$B,'BS(과거)'!$A:$F,$2:$2,0),0)</f>
        <v>0</v>
      </c>
      <c r="I491" s="207">
        <f>IF(ISNUMBER(VLOOKUP($B:$B,'BS(과거)'!$A:$F,$2:$2,0)),VLOOKUP($B:$B,'BS(과거)'!$A:$F,$2:$2,0),0)</f>
        <v>0</v>
      </c>
      <c r="J491" s="207">
        <f>IF(ISNUMBER(VLOOKUP($B:$B,'BS(과거)'!$A:$F,$2:$2,0)),VLOOKUP($B:$B,'BS(과거)'!$A:$F,$2:$2,0),0)</f>
        <v>0</v>
      </c>
      <c r="K491" s="207">
        <f>IF(ISNUMBER(VLOOKUP($B:$B,'BS(과거)'!$A:$F,$2:$2,0)),VLOOKUP($B:$B,'BS(과거)'!$A:$F,$2:$2,0),0)</f>
        <v>0</v>
      </c>
      <c r="L491" s="207">
        <f>IF(ISNUMBER(VLOOKUP($B:$B,'BS(과거)'!$A:$F,$2:$2,0)),VLOOKUP($B:$B,'BS(과거)'!$A:$F,$2:$2,0),0)</f>
        <v>0</v>
      </c>
      <c r="N491" s="207">
        <f>IF(ISNUMBER(VLOOKUP($B:$B,'BS(분기)'!$A:$F,$2:$2,0)),VLOOKUP($B:$B,'BS(분기)'!$A:$F,$2:$2,0),0)</f>
        <v>0</v>
      </c>
      <c r="O491" s="207">
        <f>IF(ISNUMBER(VLOOKUP($B:$B,'BS(분기)'!$A:$F,$2:$2,0)),VLOOKUP($B:$B,'BS(분기)'!$A:$F,$2:$2,0),0)</f>
        <v>0</v>
      </c>
      <c r="P491" s="207">
        <f>IF(ISNUMBER(VLOOKUP($B:$B,'BS(분기)'!$A:$F,$2:$2,0)),VLOOKUP($B:$B,'BS(분기)'!$A:$F,$2:$2,0),0)</f>
        <v>0</v>
      </c>
      <c r="Q491" s="207">
        <f>IF(ISNUMBER(VLOOKUP($B:$B,'BS(분기)'!$A:$F,$2:$2,0)),VLOOKUP($B:$B,'BS(분기)'!$A:$F,$2:$2,0),0)</f>
        <v>0</v>
      </c>
      <c r="R491" s="207">
        <f>IF(ISNUMBER(VLOOKUP($B:$B,'BS(분기)'!$A:$F,$2:$2,0)),VLOOKUP($B:$B,'BS(분기)'!$A:$F,$2:$2,0),0)</f>
        <v>0</v>
      </c>
    </row>
    <row r="492" spans="1:18" s="192" customFormat="1" ht="12">
      <c r="A492" s="202">
        <v>115400</v>
      </c>
      <c r="B492" s="195" t="s">
        <v>1204</v>
      </c>
      <c r="C492" s="217">
        <f>IF(ISNUMBER(VLOOKUP($B:$B,BS!$A:$D,$2:$2,0)),VLOOKUP($B:$B,BS!$A:$D,$2:$2,0),0)</f>
        <v>0</v>
      </c>
      <c r="D492" s="217">
        <f>IF(ISNUMBER(VLOOKUP($B:$B,BS!$A:$D,$2:$2,0)),VLOOKUP($B:$B,BS!$A:$D,$2:$2,0),0)</f>
        <v>0</v>
      </c>
      <c r="E492" s="217">
        <f>IF(ISNUMBER(VLOOKUP($B:$B,BS!$A:$D,$2:$2,0)),VLOOKUP($B:$B,BS!$A:$D,$2:$2,0),0)</f>
        <v>0</v>
      </c>
      <c r="F492" s="217">
        <f>IF(ISNUMBER(VLOOKUP($B:$B,BS!$A:$D,$2:$2,0)),VLOOKUP($B:$B,BS!$A:$D,$2:$2,0),0)</f>
        <v>0</v>
      </c>
      <c r="G492" s="217">
        <f>IF(ISNUMBER(VLOOKUP($B:$B,BS!$A:$D,$2:$2,0)),VLOOKUP($B:$B,BS!$A:$D,$2:$2,0),0)</f>
        <v>0</v>
      </c>
      <c r="H492" s="207">
        <f>IF(ISNUMBER(VLOOKUP($B:$B,'BS(과거)'!$A:$F,$2:$2,0)),VLOOKUP($B:$B,'BS(과거)'!$A:$F,$2:$2,0),0)</f>
        <v>0</v>
      </c>
      <c r="I492" s="207">
        <f>IF(ISNUMBER(VLOOKUP($B:$B,'BS(과거)'!$A:$F,$2:$2,0)),VLOOKUP($B:$B,'BS(과거)'!$A:$F,$2:$2,0),0)</f>
        <v>0</v>
      </c>
      <c r="J492" s="207">
        <f>IF(ISNUMBER(VLOOKUP($B:$B,'BS(과거)'!$A:$F,$2:$2,0)),VLOOKUP($B:$B,'BS(과거)'!$A:$F,$2:$2,0),0)</f>
        <v>0</v>
      </c>
      <c r="K492" s="207">
        <f>IF(ISNUMBER(VLOOKUP($B:$B,'BS(과거)'!$A:$F,$2:$2,0)),VLOOKUP($B:$B,'BS(과거)'!$A:$F,$2:$2,0),0)</f>
        <v>0</v>
      </c>
      <c r="L492" s="207">
        <f>IF(ISNUMBER(VLOOKUP($B:$B,'BS(과거)'!$A:$F,$2:$2,0)),VLOOKUP($B:$B,'BS(과거)'!$A:$F,$2:$2,0),0)</f>
        <v>0</v>
      </c>
      <c r="N492" s="207">
        <f>IF(ISNUMBER(VLOOKUP($B:$B,'BS(분기)'!$A:$F,$2:$2,0)),VLOOKUP($B:$B,'BS(분기)'!$A:$F,$2:$2,0),0)</f>
        <v>0</v>
      </c>
      <c r="O492" s="207">
        <f>IF(ISNUMBER(VLOOKUP($B:$B,'BS(분기)'!$A:$F,$2:$2,0)),VLOOKUP($B:$B,'BS(분기)'!$A:$F,$2:$2,0),0)</f>
        <v>0</v>
      </c>
      <c r="P492" s="207">
        <f>IF(ISNUMBER(VLOOKUP($B:$B,'BS(분기)'!$A:$F,$2:$2,0)),VLOOKUP($B:$B,'BS(분기)'!$A:$F,$2:$2,0),0)</f>
        <v>0</v>
      </c>
      <c r="Q492" s="207">
        <f>IF(ISNUMBER(VLOOKUP($B:$B,'BS(분기)'!$A:$F,$2:$2,0)),VLOOKUP($B:$B,'BS(분기)'!$A:$F,$2:$2,0),0)</f>
        <v>0</v>
      </c>
      <c r="R492" s="207">
        <f>IF(ISNUMBER(VLOOKUP($B:$B,'BS(분기)'!$A:$F,$2:$2,0)),VLOOKUP($B:$B,'BS(분기)'!$A:$F,$2:$2,0),0)</f>
        <v>0</v>
      </c>
    </row>
    <row r="493" spans="1:18" s="192" customFormat="1" ht="12">
      <c r="A493" s="202">
        <v>115440</v>
      </c>
      <c r="B493" s="195" t="s">
        <v>1205</v>
      </c>
      <c r="C493" s="217">
        <f>IF(ISNUMBER(VLOOKUP($B:$B,BS!$A:$D,$2:$2,0)),VLOOKUP($B:$B,BS!$A:$D,$2:$2,0),0)</f>
        <v>0</v>
      </c>
      <c r="D493" s="217">
        <f>IF(ISNUMBER(VLOOKUP($B:$B,BS!$A:$D,$2:$2,0)),VLOOKUP($B:$B,BS!$A:$D,$2:$2,0),0)</f>
        <v>0</v>
      </c>
      <c r="E493" s="217">
        <f>IF(ISNUMBER(VLOOKUP($B:$B,BS!$A:$D,$2:$2,0)),VLOOKUP($B:$B,BS!$A:$D,$2:$2,0),0)</f>
        <v>0</v>
      </c>
      <c r="F493" s="217">
        <f>IF(ISNUMBER(VLOOKUP($B:$B,BS!$A:$D,$2:$2,0)),VLOOKUP($B:$B,BS!$A:$D,$2:$2,0),0)</f>
        <v>0</v>
      </c>
      <c r="G493" s="217">
        <f>IF(ISNUMBER(VLOOKUP($B:$B,BS!$A:$D,$2:$2,0)),VLOOKUP($B:$B,BS!$A:$D,$2:$2,0),0)</f>
        <v>0</v>
      </c>
      <c r="H493" s="207">
        <f>IF(ISNUMBER(VLOOKUP($B:$B,'BS(과거)'!$A:$F,$2:$2,0)),VLOOKUP($B:$B,'BS(과거)'!$A:$F,$2:$2,0),0)</f>
        <v>0</v>
      </c>
      <c r="I493" s="207">
        <f>IF(ISNUMBER(VLOOKUP($B:$B,'BS(과거)'!$A:$F,$2:$2,0)),VLOOKUP($B:$B,'BS(과거)'!$A:$F,$2:$2,0),0)</f>
        <v>0</v>
      </c>
      <c r="J493" s="207">
        <f>IF(ISNUMBER(VLOOKUP($B:$B,'BS(과거)'!$A:$F,$2:$2,0)),VLOOKUP($B:$B,'BS(과거)'!$A:$F,$2:$2,0),0)</f>
        <v>0</v>
      </c>
      <c r="K493" s="207">
        <f>IF(ISNUMBER(VLOOKUP($B:$B,'BS(과거)'!$A:$F,$2:$2,0)),VLOOKUP($B:$B,'BS(과거)'!$A:$F,$2:$2,0),0)</f>
        <v>0</v>
      </c>
      <c r="L493" s="207">
        <f>IF(ISNUMBER(VLOOKUP($B:$B,'BS(과거)'!$A:$F,$2:$2,0)),VLOOKUP($B:$B,'BS(과거)'!$A:$F,$2:$2,0),0)</f>
        <v>0</v>
      </c>
      <c r="N493" s="207">
        <f>IF(ISNUMBER(VLOOKUP($B:$B,'BS(분기)'!$A:$F,$2:$2,0)),VLOOKUP($B:$B,'BS(분기)'!$A:$F,$2:$2,0),0)</f>
        <v>0</v>
      </c>
      <c r="O493" s="207">
        <f>IF(ISNUMBER(VLOOKUP($B:$B,'BS(분기)'!$A:$F,$2:$2,0)),VLOOKUP($B:$B,'BS(분기)'!$A:$F,$2:$2,0),0)</f>
        <v>0</v>
      </c>
      <c r="P493" s="207">
        <f>IF(ISNUMBER(VLOOKUP($B:$B,'BS(분기)'!$A:$F,$2:$2,0)),VLOOKUP($B:$B,'BS(분기)'!$A:$F,$2:$2,0),0)</f>
        <v>0</v>
      </c>
      <c r="Q493" s="207">
        <f>IF(ISNUMBER(VLOOKUP($B:$B,'BS(분기)'!$A:$F,$2:$2,0)),VLOOKUP($B:$B,'BS(분기)'!$A:$F,$2:$2,0),0)</f>
        <v>0</v>
      </c>
      <c r="R493" s="207">
        <f>IF(ISNUMBER(VLOOKUP($B:$B,'BS(분기)'!$A:$F,$2:$2,0)),VLOOKUP($B:$B,'BS(분기)'!$A:$F,$2:$2,0),0)</f>
        <v>0</v>
      </c>
    </row>
    <row r="494" spans="1:18" s="192" customFormat="1" ht="12">
      <c r="A494" s="202">
        <v>115450</v>
      </c>
      <c r="B494" s="195" t="s">
        <v>841</v>
      </c>
      <c r="C494" s="217">
        <f>IF(ISNUMBER(VLOOKUP($B:$B,BS!$A:$D,$2:$2,0)),VLOOKUP($B:$B,BS!$A:$D,$2:$2,0),0)</f>
        <v>0</v>
      </c>
      <c r="D494" s="217">
        <f>IF(ISNUMBER(VLOOKUP($B:$B,BS!$A:$D,$2:$2,0)),VLOOKUP($B:$B,BS!$A:$D,$2:$2,0),0)</f>
        <v>0</v>
      </c>
      <c r="E494" s="217">
        <f>IF(ISNUMBER(VLOOKUP($B:$B,BS!$A:$D,$2:$2,0)),VLOOKUP($B:$B,BS!$A:$D,$2:$2,0),0)</f>
        <v>0</v>
      </c>
      <c r="F494" s="217">
        <f>IF(ISNUMBER(VLOOKUP($B:$B,BS!$A:$D,$2:$2,0)),VLOOKUP($B:$B,BS!$A:$D,$2:$2,0),0)</f>
        <v>0</v>
      </c>
      <c r="G494" s="217">
        <f>IF(ISNUMBER(VLOOKUP($B:$B,BS!$A:$D,$2:$2,0)),VLOOKUP($B:$B,BS!$A:$D,$2:$2,0),0)</f>
        <v>0</v>
      </c>
      <c r="H494" s="207">
        <f>IF(ISNUMBER(VLOOKUP($B:$B,'BS(과거)'!$A:$F,$2:$2,0)),VLOOKUP($B:$B,'BS(과거)'!$A:$F,$2:$2,0),0)</f>
        <v>0</v>
      </c>
      <c r="I494" s="207">
        <f>IF(ISNUMBER(VLOOKUP($B:$B,'BS(과거)'!$A:$F,$2:$2,0)),VLOOKUP($B:$B,'BS(과거)'!$A:$F,$2:$2,0),0)</f>
        <v>0</v>
      </c>
      <c r="J494" s="207">
        <f>IF(ISNUMBER(VLOOKUP($B:$B,'BS(과거)'!$A:$F,$2:$2,0)),VLOOKUP($B:$B,'BS(과거)'!$A:$F,$2:$2,0),0)</f>
        <v>0</v>
      </c>
      <c r="K494" s="207">
        <f>IF(ISNUMBER(VLOOKUP($B:$B,'BS(과거)'!$A:$F,$2:$2,0)),VLOOKUP($B:$B,'BS(과거)'!$A:$F,$2:$2,0),0)</f>
        <v>0</v>
      </c>
      <c r="L494" s="207">
        <f>IF(ISNUMBER(VLOOKUP($B:$B,'BS(과거)'!$A:$F,$2:$2,0)),VLOOKUP($B:$B,'BS(과거)'!$A:$F,$2:$2,0),0)</f>
        <v>0</v>
      </c>
      <c r="N494" s="207">
        <f>IF(ISNUMBER(VLOOKUP($B:$B,'BS(분기)'!$A:$F,$2:$2,0)),VLOOKUP($B:$B,'BS(분기)'!$A:$F,$2:$2,0),0)</f>
        <v>0</v>
      </c>
      <c r="O494" s="207">
        <f>IF(ISNUMBER(VLOOKUP($B:$B,'BS(분기)'!$A:$F,$2:$2,0)),VLOOKUP($B:$B,'BS(분기)'!$A:$F,$2:$2,0),0)</f>
        <v>0</v>
      </c>
      <c r="P494" s="207">
        <f>IF(ISNUMBER(VLOOKUP($B:$B,'BS(분기)'!$A:$F,$2:$2,0)),VLOOKUP($B:$B,'BS(분기)'!$A:$F,$2:$2,0),0)</f>
        <v>0</v>
      </c>
      <c r="Q494" s="207">
        <f>IF(ISNUMBER(VLOOKUP($B:$B,'BS(분기)'!$A:$F,$2:$2,0)),VLOOKUP($B:$B,'BS(분기)'!$A:$F,$2:$2,0),0)</f>
        <v>0</v>
      </c>
      <c r="R494" s="207">
        <f>IF(ISNUMBER(VLOOKUP($B:$B,'BS(분기)'!$A:$F,$2:$2,0)),VLOOKUP($B:$B,'BS(분기)'!$A:$F,$2:$2,0),0)</f>
        <v>0</v>
      </c>
    </row>
    <row r="495" spans="1:18" s="192" customFormat="1" ht="12">
      <c r="A495" s="202">
        <v>115130</v>
      </c>
      <c r="B495" s="195" t="s">
        <v>577</v>
      </c>
      <c r="C495" s="217">
        <f>IF(ISNUMBER(VLOOKUP($B:$B,BS!$A:$D,$2:$2,0)),VLOOKUP($B:$B,BS!$A:$D,$2:$2,0),0)</f>
        <v>0</v>
      </c>
      <c r="D495" s="217">
        <f>IF(ISNUMBER(VLOOKUP($B:$B,BS!$A:$D,$2:$2,0)),VLOOKUP($B:$B,BS!$A:$D,$2:$2,0),0)</f>
        <v>0</v>
      </c>
      <c r="E495" s="217">
        <f>IF(ISNUMBER(VLOOKUP($B:$B,BS!$A:$D,$2:$2,0)),VLOOKUP($B:$B,BS!$A:$D,$2:$2,0),0)</f>
        <v>0</v>
      </c>
      <c r="F495" s="217">
        <f>IF(ISNUMBER(VLOOKUP($B:$B,BS!$A:$D,$2:$2,0)),VLOOKUP($B:$B,BS!$A:$D,$2:$2,0),0)</f>
        <v>0</v>
      </c>
      <c r="G495" s="217">
        <f>IF(ISNUMBER(VLOOKUP($B:$B,BS!$A:$D,$2:$2,0)),VLOOKUP($B:$B,BS!$A:$D,$2:$2,0),0)</f>
        <v>0</v>
      </c>
      <c r="H495" s="207">
        <f>IF(ISNUMBER(VLOOKUP($B:$B,'BS(과거)'!$A:$F,$2:$2,0)),VLOOKUP($B:$B,'BS(과거)'!$A:$F,$2:$2,0),0)</f>
        <v>0</v>
      </c>
      <c r="I495" s="207">
        <f>IF(ISNUMBER(VLOOKUP($B:$B,'BS(과거)'!$A:$F,$2:$2,0)),VLOOKUP($B:$B,'BS(과거)'!$A:$F,$2:$2,0),0)</f>
        <v>0</v>
      </c>
      <c r="J495" s="207">
        <f>IF(ISNUMBER(VLOOKUP($B:$B,'BS(과거)'!$A:$F,$2:$2,0)),VLOOKUP($B:$B,'BS(과거)'!$A:$F,$2:$2,0),0)</f>
        <v>0</v>
      </c>
      <c r="K495" s="207">
        <f>IF(ISNUMBER(VLOOKUP($B:$B,'BS(과거)'!$A:$F,$2:$2,0)),VLOOKUP($B:$B,'BS(과거)'!$A:$F,$2:$2,0),0)</f>
        <v>0</v>
      </c>
      <c r="L495" s="207">
        <f>IF(ISNUMBER(VLOOKUP($B:$B,'BS(과거)'!$A:$F,$2:$2,0)),VLOOKUP($B:$B,'BS(과거)'!$A:$F,$2:$2,0),0)</f>
        <v>0</v>
      </c>
      <c r="N495" s="207">
        <f>IF(ISNUMBER(VLOOKUP($B:$B,'BS(분기)'!$A:$F,$2:$2,0)),VLOOKUP($B:$B,'BS(분기)'!$A:$F,$2:$2,0),0)</f>
        <v>0</v>
      </c>
      <c r="O495" s="207">
        <f>IF(ISNUMBER(VLOOKUP($B:$B,'BS(분기)'!$A:$F,$2:$2,0)),VLOOKUP($B:$B,'BS(분기)'!$A:$F,$2:$2,0),0)</f>
        <v>0</v>
      </c>
      <c r="P495" s="207">
        <f>IF(ISNUMBER(VLOOKUP($B:$B,'BS(분기)'!$A:$F,$2:$2,0)),VLOOKUP($B:$B,'BS(분기)'!$A:$F,$2:$2,0),0)</f>
        <v>0</v>
      </c>
      <c r="Q495" s="207">
        <f>IF(ISNUMBER(VLOOKUP($B:$B,'BS(분기)'!$A:$F,$2:$2,0)),VLOOKUP($B:$B,'BS(분기)'!$A:$F,$2:$2,0),0)</f>
        <v>0</v>
      </c>
      <c r="R495" s="207">
        <f>IF(ISNUMBER(VLOOKUP($B:$B,'BS(분기)'!$A:$F,$2:$2,0)),VLOOKUP($B:$B,'BS(분기)'!$A:$F,$2:$2,0),0)</f>
        <v>0</v>
      </c>
    </row>
    <row r="496" spans="1:18" s="192" customFormat="1" ht="12">
      <c r="A496" s="203">
        <v>115131</v>
      </c>
      <c r="B496" s="196" t="s">
        <v>376</v>
      </c>
      <c r="C496" s="217">
        <f>IF(ISNUMBER(VLOOKUP($B:$B,BS!$A:$D,$2:$2,0)),VLOOKUP($B:$B,BS!$A:$D,$2:$2,0),0)</f>
        <v>0</v>
      </c>
      <c r="D496" s="217">
        <f>IF(ISNUMBER(VLOOKUP($B:$B,BS!$A:$D,$2:$2,0)),VLOOKUP($B:$B,BS!$A:$D,$2:$2,0),0)</f>
        <v>0</v>
      </c>
      <c r="E496" s="217">
        <f>IF(ISNUMBER(VLOOKUP($B:$B,BS!$A:$D,$2:$2,0)),VLOOKUP($B:$B,BS!$A:$D,$2:$2,0),0)</f>
        <v>0</v>
      </c>
      <c r="F496" s="217">
        <f>IF(ISNUMBER(VLOOKUP($B:$B,BS!$A:$D,$2:$2,0)),VLOOKUP($B:$B,BS!$A:$D,$2:$2,0),0)</f>
        <v>0</v>
      </c>
      <c r="G496" s="217">
        <f>IF(ISNUMBER(VLOOKUP($B:$B,BS!$A:$D,$2:$2,0)),VLOOKUP($B:$B,BS!$A:$D,$2:$2,0),0)</f>
        <v>0</v>
      </c>
      <c r="H496" s="207">
        <f>IF(ISNUMBER(VLOOKUP($B:$B,'BS(과거)'!$A:$F,$2:$2,0)),VLOOKUP($B:$B,'BS(과거)'!$A:$F,$2:$2,0),0)</f>
        <v>0</v>
      </c>
      <c r="I496" s="207">
        <f>IF(ISNUMBER(VLOOKUP($B:$B,'BS(과거)'!$A:$F,$2:$2,0)),VLOOKUP($B:$B,'BS(과거)'!$A:$F,$2:$2,0),0)</f>
        <v>0</v>
      </c>
      <c r="J496" s="207">
        <f>IF(ISNUMBER(VLOOKUP($B:$B,'BS(과거)'!$A:$F,$2:$2,0)),VLOOKUP($B:$B,'BS(과거)'!$A:$F,$2:$2,0),0)</f>
        <v>0</v>
      </c>
      <c r="K496" s="207">
        <f>IF(ISNUMBER(VLOOKUP($B:$B,'BS(과거)'!$A:$F,$2:$2,0)),VLOOKUP($B:$B,'BS(과거)'!$A:$F,$2:$2,0),0)</f>
        <v>0</v>
      </c>
      <c r="L496" s="207">
        <f>IF(ISNUMBER(VLOOKUP($B:$B,'BS(과거)'!$A:$F,$2:$2,0)),VLOOKUP($B:$B,'BS(과거)'!$A:$F,$2:$2,0),0)</f>
        <v>0</v>
      </c>
      <c r="N496" s="207">
        <f>IF(ISNUMBER(VLOOKUP($B:$B,'BS(분기)'!$A:$F,$2:$2,0)),VLOOKUP($B:$B,'BS(분기)'!$A:$F,$2:$2,0),0)</f>
        <v>0</v>
      </c>
      <c r="O496" s="207">
        <f>IF(ISNUMBER(VLOOKUP($B:$B,'BS(분기)'!$A:$F,$2:$2,0)),VLOOKUP($B:$B,'BS(분기)'!$A:$F,$2:$2,0),0)</f>
        <v>0</v>
      </c>
      <c r="P496" s="207">
        <f>IF(ISNUMBER(VLOOKUP($B:$B,'BS(분기)'!$A:$F,$2:$2,0)),VLOOKUP($B:$B,'BS(분기)'!$A:$F,$2:$2,0),0)</f>
        <v>0</v>
      </c>
      <c r="Q496" s="207">
        <f>IF(ISNUMBER(VLOOKUP($B:$B,'BS(분기)'!$A:$F,$2:$2,0)),VLOOKUP($B:$B,'BS(분기)'!$A:$F,$2:$2,0),0)</f>
        <v>0</v>
      </c>
      <c r="R496" s="207">
        <f>IF(ISNUMBER(VLOOKUP($B:$B,'BS(분기)'!$A:$F,$2:$2,0)),VLOOKUP($B:$B,'BS(분기)'!$A:$F,$2:$2,0),0)</f>
        <v>0</v>
      </c>
    </row>
    <row r="497" spans="1:18" s="192" customFormat="1" ht="12">
      <c r="A497" s="203">
        <v>115133</v>
      </c>
      <c r="B497" s="196" t="s">
        <v>377</v>
      </c>
      <c r="C497" s="217">
        <f>IF(ISNUMBER(VLOOKUP($B:$B,BS!$A:$D,$2:$2,0)),VLOOKUP($B:$B,BS!$A:$D,$2:$2,0),0)</f>
        <v>0</v>
      </c>
      <c r="D497" s="217">
        <f>IF(ISNUMBER(VLOOKUP($B:$B,BS!$A:$D,$2:$2,0)),VLOOKUP($B:$B,BS!$A:$D,$2:$2,0),0)</f>
        <v>0</v>
      </c>
      <c r="E497" s="217">
        <f>IF(ISNUMBER(VLOOKUP($B:$B,BS!$A:$D,$2:$2,0)),VLOOKUP($B:$B,BS!$A:$D,$2:$2,0),0)</f>
        <v>0</v>
      </c>
      <c r="F497" s="217">
        <f>IF(ISNUMBER(VLOOKUP($B:$B,BS!$A:$D,$2:$2,0)),VLOOKUP($B:$B,BS!$A:$D,$2:$2,0),0)</f>
        <v>0</v>
      </c>
      <c r="G497" s="217">
        <f>IF(ISNUMBER(VLOOKUP($B:$B,BS!$A:$D,$2:$2,0)),VLOOKUP($B:$B,BS!$A:$D,$2:$2,0),0)</f>
        <v>0</v>
      </c>
      <c r="H497" s="207">
        <f>IF(ISNUMBER(VLOOKUP($B:$B,'BS(과거)'!$A:$F,$2:$2,0)),VLOOKUP($B:$B,'BS(과거)'!$A:$F,$2:$2,0),0)</f>
        <v>0</v>
      </c>
      <c r="I497" s="207">
        <f>IF(ISNUMBER(VLOOKUP($B:$B,'BS(과거)'!$A:$F,$2:$2,0)),VLOOKUP($B:$B,'BS(과거)'!$A:$F,$2:$2,0),0)</f>
        <v>0</v>
      </c>
      <c r="J497" s="207">
        <f>IF(ISNUMBER(VLOOKUP($B:$B,'BS(과거)'!$A:$F,$2:$2,0)),VLOOKUP($B:$B,'BS(과거)'!$A:$F,$2:$2,0),0)</f>
        <v>0</v>
      </c>
      <c r="K497" s="207">
        <f>IF(ISNUMBER(VLOOKUP($B:$B,'BS(과거)'!$A:$F,$2:$2,0)),VLOOKUP($B:$B,'BS(과거)'!$A:$F,$2:$2,0),0)</f>
        <v>0</v>
      </c>
      <c r="L497" s="207">
        <f>IF(ISNUMBER(VLOOKUP($B:$B,'BS(과거)'!$A:$F,$2:$2,0)),VLOOKUP($B:$B,'BS(과거)'!$A:$F,$2:$2,0),0)</f>
        <v>0</v>
      </c>
      <c r="N497" s="207">
        <f>IF(ISNUMBER(VLOOKUP($B:$B,'BS(분기)'!$A:$F,$2:$2,0)),VLOOKUP($B:$B,'BS(분기)'!$A:$F,$2:$2,0),0)</f>
        <v>0</v>
      </c>
      <c r="O497" s="207">
        <f>IF(ISNUMBER(VLOOKUP($B:$B,'BS(분기)'!$A:$F,$2:$2,0)),VLOOKUP($B:$B,'BS(분기)'!$A:$F,$2:$2,0),0)</f>
        <v>0</v>
      </c>
      <c r="P497" s="207">
        <f>IF(ISNUMBER(VLOOKUP($B:$B,'BS(분기)'!$A:$F,$2:$2,0)),VLOOKUP($B:$B,'BS(분기)'!$A:$F,$2:$2,0),0)</f>
        <v>0</v>
      </c>
      <c r="Q497" s="207">
        <f>IF(ISNUMBER(VLOOKUP($B:$B,'BS(분기)'!$A:$F,$2:$2,0)),VLOOKUP($B:$B,'BS(분기)'!$A:$F,$2:$2,0),0)</f>
        <v>0</v>
      </c>
      <c r="R497" s="207">
        <f>IF(ISNUMBER(VLOOKUP($B:$B,'BS(분기)'!$A:$F,$2:$2,0)),VLOOKUP($B:$B,'BS(분기)'!$A:$F,$2:$2,0),0)</f>
        <v>0</v>
      </c>
    </row>
    <row r="498" spans="1:18" s="192" customFormat="1" ht="12">
      <c r="A498" s="203">
        <v>115134</v>
      </c>
      <c r="B498" s="196" t="s">
        <v>379</v>
      </c>
      <c r="C498" s="217">
        <f>IF(ISNUMBER(VLOOKUP($B:$B,BS!$A:$D,$2:$2,0)),VLOOKUP($B:$B,BS!$A:$D,$2:$2,0),0)</f>
        <v>0</v>
      </c>
      <c r="D498" s="217">
        <f>IF(ISNUMBER(VLOOKUP($B:$B,BS!$A:$D,$2:$2,0)),VLOOKUP($B:$B,BS!$A:$D,$2:$2,0),0)</f>
        <v>0</v>
      </c>
      <c r="E498" s="217">
        <f>IF(ISNUMBER(VLOOKUP($B:$B,BS!$A:$D,$2:$2,0)),VLOOKUP($B:$B,BS!$A:$D,$2:$2,0),0)</f>
        <v>0</v>
      </c>
      <c r="F498" s="217">
        <f>IF(ISNUMBER(VLOOKUP($B:$B,BS!$A:$D,$2:$2,0)),VLOOKUP($B:$B,BS!$A:$D,$2:$2,0),0)</f>
        <v>0</v>
      </c>
      <c r="G498" s="217">
        <f>IF(ISNUMBER(VLOOKUP($B:$B,BS!$A:$D,$2:$2,0)),VLOOKUP($B:$B,BS!$A:$D,$2:$2,0),0)</f>
        <v>0</v>
      </c>
      <c r="H498" s="207">
        <f>IF(ISNUMBER(VLOOKUP($B:$B,'BS(과거)'!$A:$F,$2:$2,0)),VLOOKUP($B:$B,'BS(과거)'!$A:$F,$2:$2,0),0)</f>
        <v>0</v>
      </c>
      <c r="I498" s="207">
        <f>IF(ISNUMBER(VLOOKUP($B:$B,'BS(과거)'!$A:$F,$2:$2,0)),VLOOKUP($B:$B,'BS(과거)'!$A:$F,$2:$2,0),0)</f>
        <v>0</v>
      </c>
      <c r="J498" s="207">
        <f>IF(ISNUMBER(VLOOKUP($B:$B,'BS(과거)'!$A:$F,$2:$2,0)),VLOOKUP($B:$B,'BS(과거)'!$A:$F,$2:$2,0),0)</f>
        <v>0</v>
      </c>
      <c r="K498" s="207">
        <f>IF(ISNUMBER(VLOOKUP($B:$B,'BS(과거)'!$A:$F,$2:$2,0)),VLOOKUP($B:$B,'BS(과거)'!$A:$F,$2:$2,0),0)</f>
        <v>0</v>
      </c>
      <c r="L498" s="207">
        <f>IF(ISNUMBER(VLOOKUP($B:$B,'BS(과거)'!$A:$F,$2:$2,0)),VLOOKUP($B:$B,'BS(과거)'!$A:$F,$2:$2,0),0)</f>
        <v>0</v>
      </c>
      <c r="N498" s="207">
        <f>IF(ISNUMBER(VLOOKUP($B:$B,'BS(분기)'!$A:$F,$2:$2,0)),VLOOKUP($B:$B,'BS(분기)'!$A:$F,$2:$2,0),0)</f>
        <v>0</v>
      </c>
      <c r="O498" s="207">
        <f>IF(ISNUMBER(VLOOKUP($B:$B,'BS(분기)'!$A:$F,$2:$2,0)),VLOOKUP($B:$B,'BS(분기)'!$A:$F,$2:$2,0),0)</f>
        <v>0</v>
      </c>
      <c r="P498" s="207">
        <f>IF(ISNUMBER(VLOOKUP($B:$B,'BS(분기)'!$A:$F,$2:$2,0)),VLOOKUP($B:$B,'BS(분기)'!$A:$F,$2:$2,0),0)</f>
        <v>0</v>
      </c>
      <c r="Q498" s="207">
        <f>IF(ISNUMBER(VLOOKUP($B:$B,'BS(분기)'!$A:$F,$2:$2,0)),VLOOKUP($B:$B,'BS(분기)'!$A:$F,$2:$2,0),0)</f>
        <v>0</v>
      </c>
      <c r="R498" s="207">
        <f>IF(ISNUMBER(VLOOKUP($B:$B,'BS(분기)'!$A:$F,$2:$2,0)),VLOOKUP($B:$B,'BS(분기)'!$A:$F,$2:$2,0),0)</f>
        <v>0</v>
      </c>
    </row>
    <row r="499" spans="1:18" s="192" customFormat="1" ht="12">
      <c r="A499" s="203">
        <v>115135</v>
      </c>
      <c r="B499" s="196" t="s">
        <v>378</v>
      </c>
      <c r="C499" s="217">
        <f>IF(ISNUMBER(VLOOKUP($B:$B,BS!$A:$D,$2:$2,0)),VLOOKUP($B:$B,BS!$A:$D,$2:$2,0),0)</f>
        <v>0</v>
      </c>
      <c r="D499" s="217">
        <f>IF(ISNUMBER(VLOOKUP($B:$B,BS!$A:$D,$2:$2,0)),VLOOKUP($B:$B,BS!$A:$D,$2:$2,0),0)</f>
        <v>0</v>
      </c>
      <c r="E499" s="217">
        <f>IF(ISNUMBER(VLOOKUP($B:$B,BS!$A:$D,$2:$2,0)),VLOOKUP($B:$B,BS!$A:$D,$2:$2,0),0)</f>
        <v>0</v>
      </c>
      <c r="F499" s="217">
        <f>IF(ISNUMBER(VLOOKUP($B:$B,BS!$A:$D,$2:$2,0)),VLOOKUP($B:$B,BS!$A:$D,$2:$2,0),0)</f>
        <v>0</v>
      </c>
      <c r="G499" s="217">
        <f>IF(ISNUMBER(VLOOKUP($B:$B,BS!$A:$D,$2:$2,0)),VLOOKUP($B:$B,BS!$A:$D,$2:$2,0),0)</f>
        <v>0</v>
      </c>
      <c r="H499" s="207">
        <f>IF(ISNUMBER(VLOOKUP($B:$B,'BS(과거)'!$A:$F,$2:$2,0)),VLOOKUP($B:$B,'BS(과거)'!$A:$F,$2:$2,0),0)</f>
        <v>0</v>
      </c>
      <c r="I499" s="207">
        <f>IF(ISNUMBER(VLOOKUP($B:$B,'BS(과거)'!$A:$F,$2:$2,0)),VLOOKUP($B:$B,'BS(과거)'!$A:$F,$2:$2,0),0)</f>
        <v>0</v>
      </c>
      <c r="J499" s="207">
        <f>IF(ISNUMBER(VLOOKUP($B:$B,'BS(과거)'!$A:$F,$2:$2,0)),VLOOKUP($B:$B,'BS(과거)'!$A:$F,$2:$2,0),0)</f>
        <v>0</v>
      </c>
      <c r="K499" s="207">
        <f>IF(ISNUMBER(VLOOKUP($B:$B,'BS(과거)'!$A:$F,$2:$2,0)),VLOOKUP($B:$B,'BS(과거)'!$A:$F,$2:$2,0),0)</f>
        <v>0</v>
      </c>
      <c r="L499" s="207">
        <f>IF(ISNUMBER(VLOOKUP($B:$B,'BS(과거)'!$A:$F,$2:$2,0)),VLOOKUP($B:$B,'BS(과거)'!$A:$F,$2:$2,0),0)</f>
        <v>0</v>
      </c>
      <c r="N499" s="207">
        <f>IF(ISNUMBER(VLOOKUP($B:$B,'BS(분기)'!$A:$F,$2:$2,0)),VLOOKUP($B:$B,'BS(분기)'!$A:$F,$2:$2,0),0)</f>
        <v>0</v>
      </c>
      <c r="O499" s="207">
        <f>IF(ISNUMBER(VLOOKUP($B:$B,'BS(분기)'!$A:$F,$2:$2,0)),VLOOKUP($B:$B,'BS(분기)'!$A:$F,$2:$2,0),0)</f>
        <v>0</v>
      </c>
      <c r="P499" s="207">
        <f>IF(ISNUMBER(VLOOKUP($B:$B,'BS(분기)'!$A:$F,$2:$2,0)),VLOOKUP($B:$B,'BS(분기)'!$A:$F,$2:$2,0),0)</f>
        <v>0</v>
      </c>
      <c r="Q499" s="207">
        <f>IF(ISNUMBER(VLOOKUP($B:$B,'BS(분기)'!$A:$F,$2:$2,0)),VLOOKUP($B:$B,'BS(분기)'!$A:$F,$2:$2,0),0)</f>
        <v>0</v>
      </c>
      <c r="R499" s="207">
        <f>IF(ISNUMBER(VLOOKUP($B:$B,'BS(분기)'!$A:$F,$2:$2,0)),VLOOKUP($B:$B,'BS(분기)'!$A:$F,$2:$2,0),0)</f>
        <v>0</v>
      </c>
    </row>
    <row r="500" spans="1:18" s="192" customFormat="1" ht="12">
      <c r="A500" s="203">
        <v>115136</v>
      </c>
      <c r="B500" s="196" t="s">
        <v>578</v>
      </c>
      <c r="C500" s="217">
        <f>IF(ISNUMBER(VLOOKUP($B:$B,BS!$A:$D,$2:$2,0)),VLOOKUP($B:$B,BS!$A:$D,$2:$2,0),0)</f>
        <v>0</v>
      </c>
      <c r="D500" s="217">
        <f>IF(ISNUMBER(VLOOKUP($B:$B,BS!$A:$D,$2:$2,0)),VLOOKUP($B:$B,BS!$A:$D,$2:$2,0),0)</f>
        <v>0</v>
      </c>
      <c r="E500" s="217">
        <f>IF(ISNUMBER(VLOOKUP($B:$B,BS!$A:$D,$2:$2,0)),VLOOKUP($B:$B,BS!$A:$D,$2:$2,0),0)</f>
        <v>0</v>
      </c>
      <c r="F500" s="217">
        <f>IF(ISNUMBER(VLOOKUP($B:$B,BS!$A:$D,$2:$2,0)),VLOOKUP($B:$B,BS!$A:$D,$2:$2,0),0)</f>
        <v>0</v>
      </c>
      <c r="G500" s="217">
        <f>IF(ISNUMBER(VLOOKUP($B:$B,BS!$A:$D,$2:$2,0)),VLOOKUP($B:$B,BS!$A:$D,$2:$2,0),0)</f>
        <v>0</v>
      </c>
      <c r="H500" s="207">
        <f>IF(ISNUMBER(VLOOKUP($B:$B,'BS(과거)'!$A:$F,$2:$2,0)),VLOOKUP($B:$B,'BS(과거)'!$A:$F,$2:$2,0),0)</f>
        <v>0</v>
      </c>
      <c r="I500" s="207">
        <f>IF(ISNUMBER(VLOOKUP($B:$B,'BS(과거)'!$A:$F,$2:$2,0)),VLOOKUP($B:$B,'BS(과거)'!$A:$F,$2:$2,0),0)</f>
        <v>0</v>
      </c>
      <c r="J500" s="207">
        <f>IF(ISNUMBER(VLOOKUP($B:$B,'BS(과거)'!$A:$F,$2:$2,0)),VLOOKUP($B:$B,'BS(과거)'!$A:$F,$2:$2,0),0)</f>
        <v>0</v>
      </c>
      <c r="K500" s="207">
        <f>IF(ISNUMBER(VLOOKUP($B:$B,'BS(과거)'!$A:$F,$2:$2,0)),VLOOKUP($B:$B,'BS(과거)'!$A:$F,$2:$2,0),0)</f>
        <v>0</v>
      </c>
      <c r="L500" s="207">
        <f>IF(ISNUMBER(VLOOKUP($B:$B,'BS(과거)'!$A:$F,$2:$2,0)),VLOOKUP($B:$B,'BS(과거)'!$A:$F,$2:$2,0),0)</f>
        <v>0</v>
      </c>
      <c r="N500" s="207">
        <f>IF(ISNUMBER(VLOOKUP($B:$B,'BS(분기)'!$A:$F,$2:$2,0)),VLOOKUP($B:$B,'BS(분기)'!$A:$F,$2:$2,0),0)</f>
        <v>0</v>
      </c>
      <c r="O500" s="207">
        <f>IF(ISNUMBER(VLOOKUP($B:$B,'BS(분기)'!$A:$F,$2:$2,0)),VLOOKUP($B:$B,'BS(분기)'!$A:$F,$2:$2,0),0)</f>
        <v>0</v>
      </c>
      <c r="P500" s="207">
        <f>IF(ISNUMBER(VLOOKUP($B:$B,'BS(분기)'!$A:$F,$2:$2,0)),VLOOKUP($B:$B,'BS(분기)'!$A:$F,$2:$2,0),0)</f>
        <v>0</v>
      </c>
      <c r="Q500" s="207">
        <f>IF(ISNUMBER(VLOOKUP($B:$B,'BS(분기)'!$A:$F,$2:$2,0)),VLOOKUP($B:$B,'BS(분기)'!$A:$F,$2:$2,0),0)</f>
        <v>0</v>
      </c>
      <c r="R500" s="207">
        <f>IF(ISNUMBER(VLOOKUP($B:$B,'BS(분기)'!$A:$F,$2:$2,0)),VLOOKUP($B:$B,'BS(분기)'!$A:$F,$2:$2,0),0)</f>
        <v>0</v>
      </c>
    </row>
    <row r="501" spans="1:18" s="192" customFormat="1" ht="12">
      <c r="A501" s="203">
        <v>115132</v>
      </c>
      <c r="B501" s="196" t="s">
        <v>380</v>
      </c>
      <c r="C501" s="217">
        <f>IF(ISNUMBER(VLOOKUP($B:$B,BS!$A:$D,$2:$2,0)),VLOOKUP($B:$B,BS!$A:$D,$2:$2,0),0)</f>
        <v>0</v>
      </c>
      <c r="D501" s="217">
        <f>IF(ISNUMBER(VLOOKUP($B:$B,BS!$A:$D,$2:$2,0)),VLOOKUP($B:$B,BS!$A:$D,$2:$2,0),0)</f>
        <v>0</v>
      </c>
      <c r="E501" s="217">
        <f>IF(ISNUMBER(VLOOKUP($B:$B,BS!$A:$D,$2:$2,0)),VLOOKUP($B:$B,BS!$A:$D,$2:$2,0),0)</f>
        <v>0</v>
      </c>
      <c r="F501" s="217">
        <f>IF(ISNUMBER(VLOOKUP($B:$B,BS!$A:$D,$2:$2,0)),VLOOKUP($B:$B,BS!$A:$D,$2:$2,0),0)</f>
        <v>0</v>
      </c>
      <c r="G501" s="217">
        <f>IF(ISNUMBER(VLOOKUP($B:$B,BS!$A:$D,$2:$2,0)),VLOOKUP($B:$B,BS!$A:$D,$2:$2,0),0)</f>
        <v>0</v>
      </c>
      <c r="H501" s="207">
        <f>IF(ISNUMBER(VLOOKUP($B:$B,'BS(과거)'!$A:$F,$2:$2,0)),VLOOKUP($B:$B,'BS(과거)'!$A:$F,$2:$2,0),0)</f>
        <v>0</v>
      </c>
      <c r="I501" s="207">
        <f>IF(ISNUMBER(VLOOKUP($B:$B,'BS(과거)'!$A:$F,$2:$2,0)),VLOOKUP($B:$B,'BS(과거)'!$A:$F,$2:$2,0),0)</f>
        <v>0</v>
      </c>
      <c r="J501" s="207">
        <f>IF(ISNUMBER(VLOOKUP($B:$B,'BS(과거)'!$A:$F,$2:$2,0)),VLOOKUP($B:$B,'BS(과거)'!$A:$F,$2:$2,0),0)</f>
        <v>0</v>
      </c>
      <c r="K501" s="207">
        <f>IF(ISNUMBER(VLOOKUP($B:$B,'BS(과거)'!$A:$F,$2:$2,0)),VLOOKUP($B:$B,'BS(과거)'!$A:$F,$2:$2,0),0)</f>
        <v>0</v>
      </c>
      <c r="L501" s="207">
        <f>IF(ISNUMBER(VLOOKUP($B:$B,'BS(과거)'!$A:$F,$2:$2,0)),VLOOKUP($B:$B,'BS(과거)'!$A:$F,$2:$2,0),0)</f>
        <v>0</v>
      </c>
      <c r="N501" s="207">
        <f>IF(ISNUMBER(VLOOKUP($B:$B,'BS(분기)'!$A:$F,$2:$2,0)),VLOOKUP($B:$B,'BS(분기)'!$A:$F,$2:$2,0),0)</f>
        <v>0</v>
      </c>
      <c r="O501" s="207">
        <f>IF(ISNUMBER(VLOOKUP($B:$B,'BS(분기)'!$A:$F,$2:$2,0)),VLOOKUP($B:$B,'BS(분기)'!$A:$F,$2:$2,0),0)</f>
        <v>0</v>
      </c>
      <c r="P501" s="207">
        <f>IF(ISNUMBER(VLOOKUP($B:$B,'BS(분기)'!$A:$F,$2:$2,0)),VLOOKUP($B:$B,'BS(분기)'!$A:$F,$2:$2,0),0)</f>
        <v>0</v>
      </c>
      <c r="Q501" s="207">
        <f>IF(ISNUMBER(VLOOKUP($B:$B,'BS(분기)'!$A:$F,$2:$2,0)),VLOOKUP($B:$B,'BS(분기)'!$A:$F,$2:$2,0),0)</f>
        <v>0</v>
      </c>
      <c r="R501" s="207">
        <f>IF(ISNUMBER(VLOOKUP($B:$B,'BS(분기)'!$A:$F,$2:$2,0)),VLOOKUP($B:$B,'BS(분기)'!$A:$F,$2:$2,0),0)</f>
        <v>0</v>
      </c>
    </row>
    <row r="502" spans="1:18" s="192" customFormat="1" ht="12">
      <c r="A502" s="202">
        <v>115140</v>
      </c>
      <c r="B502" s="195" t="s">
        <v>827</v>
      </c>
      <c r="C502" s="217">
        <f>IF(ISNUMBER(VLOOKUP($B:$B,BS!$A:$D,$2:$2,0)),VLOOKUP($B:$B,BS!$A:$D,$2:$2,0),0)</f>
        <v>0</v>
      </c>
      <c r="D502" s="217">
        <f>IF(ISNUMBER(VLOOKUP($B:$B,BS!$A:$D,$2:$2,0)),VLOOKUP($B:$B,BS!$A:$D,$2:$2,0),0)</f>
        <v>0</v>
      </c>
      <c r="E502" s="217">
        <f>IF(ISNUMBER(VLOOKUP($B:$B,BS!$A:$D,$2:$2,0)),VLOOKUP($B:$B,BS!$A:$D,$2:$2,0),0)</f>
        <v>0</v>
      </c>
      <c r="F502" s="217">
        <f>IF(ISNUMBER(VLOOKUP($B:$B,BS!$A:$D,$2:$2,0)),VLOOKUP($B:$B,BS!$A:$D,$2:$2,0),0)</f>
        <v>0</v>
      </c>
      <c r="G502" s="217">
        <f>IF(ISNUMBER(VLOOKUP($B:$B,BS!$A:$D,$2:$2,0)),VLOOKUP($B:$B,BS!$A:$D,$2:$2,0),0)</f>
        <v>0</v>
      </c>
      <c r="H502" s="207">
        <f>IF(ISNUMBER(VLOOKUP($B:$B,'BS(과거)'!$A:$F,$2:$2,0)),VLOOKUP($B:$B,'BS(과거)'!$A:$F,$2:$2,0),0)</f>
        <v>0</v>
      </c>
      <c r="I502" s="207">
        <f>IF(ISNUMBER(VLOOKUP($B:$B,'BS(과거)'!$A:$F,$2:$2,0)),VLOOKUP($B:$B,'BS(과거)'!$A:$F,$2:$2,0),0)</f>
        <v>0</v>
      </c>
      <c r="J502" s="207">
        <f>IF(ISNUMBER(VLOOKUP($B:$B,'BS(과거)'!$A:$F,$2:$2,0)),VLOOKUP($B:$B,'BS(과거)'!$A:$F,$2:$2,0),0)</f>
        <v>0</v>
      </c>
      <c r="K502" s="207">
        <f>IF(ISNUMBER(VLOOKUP($B:$B,'BS(과거)'!$A:$F,$2:$2,0)),VLOOKUP($B:$B,'BS(과거)'!$A:$F,$2:$2,0),0)</f>
        <v>0</v>
      </c>
      <c r="L502" s="207">
        <f>IF(ISNUMBER(VLOOKUP($B:$B,'BS(과거)'!$A:$F,$2:$2,0)),VLOOKUP($B:$B,'BS(과거)'!$A:$F,$2:$2,0),0)</f>
        <v>0</v>
      </c>
      <c r="N502" s="207">
        <f>IF(ISNUMBER(VLOOKUP($B:$B,'BS(분기)'!$A:$F,$2:$2,0)),VLOOKUP($B:$B,'BS(분기)'!$A:$F,$2:$2,0),0)</f>
        <v>0</v>
      </c>
      <c r="O502" s="207">
        <f>IF(ISNUMBER(VLOOKUP($B:$B,'BS(분기)'!$A:$F,$2:$2,0)),VLOOKUP($B:$B,'BS(분기)'!$A:$F,$2:$2,0),0)</f>
        <v>0</v>
      </c>
      <c r="P502" s="207">
        <f>IF(ISNUMBER(VLOOKUP($B:$B,'BS(분기)'!$A:$F,$2:$2,0)),VLOOKUP($B:$B,'BS(분기)'!$A:$F,$2:$2,0),0)</f>
        <v>0</v>
      </c>
      <c r="Q502" s="207">
        <f>IF(ISNUMBER(VLOOKUP($B:$B,'BS(분기)'!$A:$F,$2:$2,0)),VLOOKUP($B:$B,'BS(분기)'!$A:$F,$2:$2,0),0)</f>
        <v>0</v>
      </c>
      <c r="R502" s="207">
        <f>IF(ISNUMBER(VLOOKUP($B:$B,'BS(분기)'!$A:$F,$2:$2,0)),VLOOKUP($B:$B,'BS(분기)'!$A:$F,$2:$2,0),0)</f>
        <v>0</v>
      </c>
    </row>
    <row r="503" spans="1:18" s="192" customFormat="1" ht="12">
      <c r="A503" s="202">
        <v>115149</v>
      </c>
      <c r="B503" s="195" t="s">
        <v>1206</v>
      </c>
      <c r="C503" s="217">
        <f>IF(ISNUMBER(VLOOKUP($B:$B,BS!$A:$D,$2:$2,0)),VLOOKUP($B:$B,BS!$A:$D,$2:$2,0),0)</f>
        <v>0</v>
      </c>
      <c r="D503" s="217">
        <f>IF(ISNUMBER(VLOOKUP($B:$B,BS!$A:$D,$2:$2,0)),VLOOKUP($B:$B,BS!$A:$D,$2:$2,0),0)</f>
        <v>0</v>
      </c>
      <c r="E503" s="217">
        <f>IF(ISNUMBER(VLOOKUP($B:$B,BS!$A:$D,$2:$2,0)),VLOOKUP($B:$B,BS!$A:$D,$2:$2,0),0)</f>
        <v>0</v>
      </c>
      <c r="F503" s="217">
        <f>IF(ISNUMBER(VLOOKUP($B:$B,BS!$A:$D,$2:$2,0)),VLOOKUP($B:$B,BS!$A:$D,$2:$2,0),0)</f>
        <v>0</v>
      </c>
      <c r="G503" s="217">
        <f>IF(ISNUMBER(VLOOKUP($B:$B,BS!$A:$D,$2:$2,0)),VLOOKUP($B:$B,BS!$A:$D,$2:$2,0),0)</f>
        <v>0</v>
      </c>
      <c r="H503" s="207">
        <f>IF(ISNUMBER(VLOOKUP($B:$B,'BS(과거)'!$A:$F,$2:$2,0)),VLOOKUP($B:$B,'BS(과거)'!$A:$F,$2:$2,0),0)</f>
        <v>0</v>
      </c>
      <c r="I503" s="207">
        <f>IF(ISNUMBER(VLOOKUP($B:$B,'BS(과거)'!$A:$F,$2:$2,0)),VLOOKUP($B:$B,'BS(과거)'!$A:$F,$2:$2,0),0)</f>
        <v>0</v>
      </c>
      <c r="J503" s="207">
        <f>IF(ISNUMBER(VLOOKUP($B:$B,'BS(과거)'!$A:$F,$2:$2,0)),VLOOKUP($B:$B,'BS(과거)'!$A:$F,$2:$2,0),0)</f>
        <v>0</v>
      </c>
      <c r="K503" s="207">
        <f>IF(ISNUMBER(VLOOKUP($B:$B,'BS(과거)'!$A:$F,$2:$2,0)),VLOOKUP($B:$B,'BS(과거)'!$A:$F,$2:$2,0),0)</f>
        <v>0</v>
      </c>
      <c r="L503" s="207">
        <f>IF(ISNUMBER(VLOOKUP($B:$B,'BS(과거)'!$A:$F,$2:$2,0)),VLOOKUP($B:$B,'BS(과거)'!$A:$F,$2:$2,0),0)</f>
        <v>0</v>
      </c>
      <c r="N503" s="207">
        <f>IF(ISNUMBER(VLOOKUP($B:$B,'BS(분기)'!$A:$F,$2:$2,0)),VLOOKUP($B:$B,'BS(분기)'!$A:$F,$2:$2,0),0)</f>
        <v>0</v>
      </c>
      <c r="O503" s="207">
        <f>IF(ISNUMBER(VLOOKUP($B:$B,'BS(분기)'!$A:$F,$2:$2,0)),VLOOKUP($B:$B,'BS(분기)'!$A:$F,$2:$2,0),0)</f>
        <v>0</v>
      </c>
      <c r="P503" s="207">
        <f>IF(ISNUMBER(VLOOKUP($B:$B,'BS(분기)'!$A:$F,$2:$2,0)),VLOOKUP($B:$B,'BS(분기)'!$A:$F,$2:$2,0),0)</f>
        <v>0</v>
      </c>
      <c r="Q503" s="207">
        <f>IF(ISNUMBER(VLOOKUP($B:$B,'BS(분기)'!$A:$F,$2:$2,0)),VLOOKUP($B:$B,'BS(분기)'!$A:$F,$2:$2,0),0)</f>
        <v>0</v>
      </c>
      <c r="R503" s="207">
        <f>IF(ISNUMBER(VLOOKUP($B:$B,'BS(분기)'!$A:$F,$2:$2,0)),VLOOKUP($B:$B,'BS(분기)'!$A:$F,$2:$2,0),0)</f>
        <v>0</v>
      </c>
    </row>
    <row r="504" spans="1:18" s="192" customFormat="1" ht="12">
      <c r="A504" s="203">
        <v>115141</v>
      </c>
      <c r="B504" s="196" t="s">
        <v>579</v>
      </c>
      <c r="C504" s="217">
        <f>IF(ISNUMBER(VLOOKUP($B:$B,BS!$A:$D,$2:$2,0)),VLOOKUP($B:$B,BS!$A:$D,$2:$2,0),0)</f>
        <v>0</v>
      </c>
      <c r="D504" s="217">
        <f>IF(ISNUMBER(VLOOKUP($B:$B,BS!$A:$D,$2:$2,0)),VLOOKUP($B:$B,BS!$A:$D,$2:$2,0),0)</f>
        <v>0</v>
      </c>
      <c r="E504" s="217">
        <f>IF(ISNUMBER(VLOOKUP($B:$B,BS!$A:$D,$2:$2,0)),VLOOKUP($B:$B,BS!$A:$D,$2:$2,0),0)</f>
        <v>0</v>
      </c>
      <c r="F504" s="217">
        <f>IF(ISNUMBER(VLOOKUP($B:$B,BS!$A:$D,$2:$2,0)),VLOOKUP($B:$B,BS!$A:$D,$2:$2,0),0)</f>
        <v>0</v>
      </c>
      <c r="G504" s="217">
        <f>IF(ISNUMBER(VLOOKUP($B:$B,BS!$A:$D,$2:$2,0)),VLOOKUP($B:$B,BS!$A:$D,$2:$2,0),0)</f>
        <v>0</v>
      </c>
      <c r="H504" s="207">
        <f>IF(ISNUMBER(VLOOKUP($B:$B,'BS(과거)'!$A:$F,$2:$2,0)),VLOOKUP($B:$B,'BS(과거)'!$A:$F,$2:$2,0),0)</f>
        <v>0</v>
      </c>
      <c r="I504" s="207">
        <f>IF(ISNUMBER(VLOOKUP($B:$B,'BS(과거)'!$A:$F,$2:$2,0)),VLOOKUP($B:$B,'BS(과거)'!$A:$F,$2:$2,0),0)</f>
        <v>0</v>
      </c>
      <c r="J504" s="207">
        <f>IF(ISNUMBER(VLOOKUP($B:$B,'BS(과거)'!$A:$F,$2:$2,0)),VLOOKUP($B:$B,'BS(과거)'!$A:$F,$2:$2,0),0)</f>
        <v>0</v>
      </c>
      <c r="K504" s="207">
        <f>IF(ISNUMBER(VLOOKUP($B:$B,'BS(과거)'!$A:$F,$2:$2,0)),VLOOKUP($B:$B,'BS(과거)'!$A:$F,$2:$2,0),0)</f>
        <v>0</v>
      </c>
      <c r="L504" s="207">
        <f>IF(ISNUMBER(VLOOKUP($B:$B,'BS(과거)'!$A:$F,$2:$2,0)),VLOOKUP($B:$B,'BS(과거)'!$A:$F,$2:$2,0),0)</f>
        <v>0</v>
      </c>
      <c r="N504" s="207">
        <f>IF(ISNUMBER(VLOOKUP($B:$B,'BS(분기)'!$A:$F,$2:$2,0)),VLOOKUP($B:$B,'BS(분기)'!$A:$F,$2:$2,0),0)</f>
        <v>0</v>
      </c>
      <c r="O504" s="207">
        <f>IF(ISNUMBER(VLOOKUP($B:$B,'BS(분기)'!$A:$F,$2:$2,0)),VLOOKUP($B:$B,'BS(분기)'!$A:$F,$2:$2,0),0)</f>
        <v>0</v>
      </c>
      <c r="P504" s="207">
        <f>IF(ISNUMBER(VLOOKUP($B:$B,'BS(분기)'!$A:$F,$2:$2,0)),VLOOKUP($B:$B,'BS(분기)'!$A:$F,$2:$2,0),0)</f>
        <v>0</v>
      </c>
      <c r="Q504" s="207">
        <f>IF(ISNUMBER(VLOOKUP($B:$B,'BS(분기)'!$A:$F,$2:$2,0)),VLOOKUP($B:$B,'BS(분기)'!$A:$F,$2:$2,0),0)</f>
        <v>0</v>
      </c>
      <c r="R504" s="207">
        <f>IF(ISNUMBER(VLOOKUP($B:$B,'BS(분기)'!$A:$F,$2:$2,0)),VLOOKUP($B:$B,'BS(분기)'!$A:$F,$2:$2,0),0)</f>
        <v>0</v>
      </c>
    </row>
    <row r="505" spans="1:18" s="192" customFormat="1" ht="12">
      <c r="A505" s="203">
        <v>115148</v>
      </c>
      <c r="B505" s="196" t="s">
        <v>1207</v>
      </c>
      <c r="C505" s="217">
        <f>IF(ISNUMBER(VLOOKUP($B:$B,BS!$A:$D,$2:$2,0)),VLOOKUP($B:$B,BS!$A:$D,$2:$2,0),0)</f>
        <v>0</v>
      </c>
      <c r="D505" s="217">
        <f>IF(ISNUMBER(VLOOKUP($B:$B,BS!$A:$D,$2:$2,0)),VLOOKUP($B:$B,BS!$A:$D,$2:$2,0),0)</f>
        <v>0</v>
      </c>
      <c r="E505" s="217">
        <f>IF(ISNUMBER(VLOOKUP($B:$B,BS!$A:$D,$2:$2,0)),VLOOKUP($B:$B,BS!$A:$D,$2:$2,0),0)</f>
        <v>0</v>
      </c>
      <c r="F505" s="217">
        <f>IF(ISNUMBER(VLOOKUP($B:$B,BS!$A:$D,$2:$2,0)),VLOOKUP($B:$B,BS!$A:$D,$2:$2,0),0)</f>
        <v>0</v>
      </c>
      <c r="G505" s="217">
        <f>IF(ISNUMBER(VLOOKUP($B:$B,BS!$A:$D,$2:$2,0)),VLOOKUP($B:$B,BS!$A:$D,$2:$2,0),0)</f>
        <v>0</v>
      </c>
      <c r="H505" s="207">
        <f>IF(ISNUMBER(VLOOKUP($B:$B,'BS(과거)'!$A:$F,$2:$2,0)),VLOOKUP($B:$B,'BS(과거)'!$A:$F,$2:$2,0),0)</f>
        <v>0</v>
      </c>
      <c r="I505" s="207">
        <f>IF(ISNUMBER(VLOOKUP($B:$B,'BS(과거)'!$A:$F,$2:$2,0)),VLOOKUP($B:$B,'BS(과거)'!$A:$F,$2:$2,0),0)</f>
        <v>0</v>
      </c>
      <c r="J505" s="207">
        <f>IF(ISNUMBER(VLOOKUP($B:$B,'BS(과거)'!$A:$F,$2:$2,0)),VLOOKUP($B:$B,'BS(과거)'!$A:$F,$2:$2,0),0)</f>
        <v>0</v>
      </c>
      <c r="K505" s="207">
        <f>IF(ISNUMBER(VLOOKUP($B:$B,'BS(과거)'!$A:$F,$2:$2,0)),VLOOKUP($B:$B,'BS(과거)'!$A:$F,$2:$2,0),0)</f>
        <v>0</v>
      </c>
      <c r="L505" s="207">
        <f>IF(ISNUMBER(VLOOKUP($B:$B,'BS(과거)'!$A:$F,$2:$2,0)),VLOOKUP($B:$B,'BS(과거)'!$A:$F,$2:$2,0),0)</f>
        <v>0</v>
      </c>
      <c r="N505" s="207">
        <f>IF(ISNUMBER(VLOOKUP($B:$B,'BS(분기)'!$A:$F,$2:$2,0)),VLOOKUP($B:$B,'BS(분기)'!$A:$F,$2:$2,0),0)</f>
        <v>0</v>
      </c>
      <c r="O505" s="207">
        <f>IF(ISNUMBER(VLOOKUP($B:$B,'BS(분기)'!$A:$F,$2:$2,0)),VLOOKUP($B:$B,'BS(분기)'!$A:$F,$2:$2,0),0)</f>
        <v>0</v>
      </c>
      <c r="P505" s="207">
        <f>IF(ISNUMBER(VLOOKUP($B:$B,'BS(분기)'!$A:$F,$2:$2,0)),VLOOKUP($B:$B,'BS(분기)'!$A:$F,$2:$2,0),0)</f>
        <v>0</v>
      </c>
      <c r="Q505" s="207">
        <f>IF(ISNUMBER(VLOOKUP($B:$B,'BS(분기)'!$A:$F,$2:$2,0)),VLOOKUP($B:$B,'BS(분기)'!$A:$F,$2:$2,0),0)</f>
        <v>0</v>
      </c>
      <c r="R505" s="207">
        <f>IF(ISNUMBER(VLOOKUP($B:$B,'BS(분기)'!$A:$F,$2:$2,0)),VLOOKUP($B:$B,'BS(분기)'!$A:$F,$2:$2,0),0)</f>
        <v>0</v>
      </c>
    </row>
    <row r="506" spans="1:18" s="192" customFormat="1" ht="12">
      <c r="A506" s="203">
        <v>115142</v>
      </c>
      <c r="B506" s="196" t="s">
        <v>1208</v>
      </c>
      <c r="C506" s="217">
        <f>IF(ISNUMBER(VLOOKUP($B:$B,BS!$A:$D,$2:$2,0)),VLOOKUP($B:$B,BS!$A:$D,$2:$2,0),0)</f>
        <v>0</v>
      </c>
      <c r="D506" s="217">
        <f>IF(ISNUMBER(VLOOKUP($B:$B,BS!$A:$D,$2:$2,0)),VLOOKUP($B:$B,BS!$A:$D,$2:$2,0),0)</f>
        <v>0</v>
      </c>
      <c r="E506" s="217">
        <f>IF(ISNUMBER(VLOOKUP($B:$B,BS!$A:$D,$2:$2,0)),VLOOKUP($B:$B,BS!$A:$D,$2:$2,0),0)</f>
        <v>0</v>
      </c>
      <c r="F506" s="217">
        <f>IF(ISNUMBER(VLOOKUP($B:$B,BS!$A:$D,$2:$2,0)),VLOOKUP($B:$B,BS!$A:$D,$2:$2,0),0)</f>
        <v>0</v>
      </c>
      <c r="G506" s="217">
        <f>IF(ISNUMBER(VLOOKUP($B:$B,BS!$A:$D,$2:$2,0)),VLOOKUP($B:$B,BS!$A:$D,$2:$2,0),0)</f>
        <v>0</v>
      </c>
      <c r="H506" s="207">
        <f>IF(ISNUMBER(VLOOKUP($B:$B,'BS(과거)'!$A:$F,$2:$2,0)),VLOOKUP($B:$B,'BS(과거)'!$A:$F,$2:$2,0),0)</f>
        <v>0</v>
      </c>
      <c r="I506" s="207">
        <f>IF(ISNUMBER(VLOOKUP($B:$B,'BS(과거)'!$A:$F,$2:$2,0)),VLOOKUP($B:$B,'BS(과거)'!$A:$F,$2:$2,0),0)</f>
        <v>0</v>
      </c>
      <c r="J506" s="207">
        <f>IF(ISNUMBER(VLOOKUP($B:$B,'BS(과거)'!$A:$F,$2:$2,0)),VLOOKUP($B:$B,'BS(과거)'!$A:$F,$2:$2,0),0)</f>
        <v>0</v>
      </c>
      <c r="K506" s="207">
        <f>IF(ISNUMBER(VLOOKUP($B:$B,'BS(과거)'!$A:$F,$2:$2,0)),VLOOKUP($B:$B,'BS(과거)'!$A:$F,$2:$2,0),0)</f>
        <v>0</v>
      </c>
      <c r="L506" s="207">
        <f>IF(ISNUMBER(VLOOKUP($B:$B,'BS(과거)'!$A:$F,$2:$2,0)),VLOOKUP($B:$B,'BS(과거)'!$A:$F,$2:$2,0),0)</f>
        <v>0</v>
      </c>
      <c r="N506" s="207">
        <f>IF(ISNUMBER(VLOOKUP($B:$B,'BS(분기)'!$A:$F,$2:$2,0)),VLOOKUP($B:$B,'BS(분기)'!$A:$F,$2:$2,0),0)</f>
        <v>0</v>
      </c>
      <c r="O506" s="207">
        <f>IF(ISNUMBER(VLOOKUP($B:$B,'BS(분기)'!$A:$F,$2:$2,0)),VLOOKUP($B:$B,'BS(분기)'!$A:$F,$2:$2,0),0)</f>
        <v>0</v>
      </c>
      <c r="P506" s="207">
        <f>IF(ISNUMBER(VLOOKUP($B:$B,'BS(분기)'!$A:$F,$2:$2,0)),VLOOKUP($B:$B,'BS(분기)'!$A:$F,$2:$2,0),0)</f>
        <v>0</v>
      </c>
      <c r="Q506" s="207">
        <f>IF(ISNUMBER(VLOOKUP($B:$B,'BS(분기)'!$A:$F,$2:$2,0)),VLOOKUP($B:$B,'BS(분기)'!$A:$F,$2:$2,0),0)</f>
        <v>0</v>
      </c>
      <c r="R506" s="207">
        <f>IF(ISNUMBER(VLOOKUP($B:$B,'BS(분기)'!$A:$F,$2:$2,0)),VLOOKUP($B:$B,'BS(분기)'!$A:$F,$2:$2,0),0)</f>
        <v>0</v>
      </c>
    </row>
    <row r="507" spans="1:18" s="192" customFormat="1" ht="12">
      <c r="A507" s="203">
        <v>115143</v>
      </c>
      <c r="B507" s="196" t="s">
        <v>1209</v>
      </c>
      <c r="C507" s="217">
        <f>IF(ISNUMBER(VLOOKUP($B:$B,BS!$A:$D,$2:$2,0)),VLOOKUP($B:$B,BS!$A:$D,$2:$2,0),0)</f>
        <v>0</v>
      </c>
      <c r="D507" s="217">
        <f>IF(ISNUMBER(VLOOKUP($B:$B,BS!$A:$D,$2:$2,0)),VLOOKUP($B:$B,BS!$A:$D,$2:$2,0),0)</f>
        <v>0</v>
      </c>
      <c r="E507" s="217">
        <f>IF(ISNUMBER(VLOOKUP($B:$B,BS!$A:$D,$2:$2,0)),VLOOKUP($B:$B,BS!$A:$D,$2:$2,0),0)</f>
        <v>0</v>
      </c>
      <c r="F507" s="217">
        <f>IF(ISNUMBER(VLOOKUP($B:$B,BS!$A:$D,$2:$2,0)),VLOOKUP($B:$B,BS!$A:$D,$2:$2,0),0)</f>
        <v>0</v>
      </c>
      <c r="G507" s="217">
        <f>IF(ISNUMBER(VLOOKUP($B:$B,BS!$A:$D,$2:$2,0)),VLOOKUP($B:$B,BS!$A:$D,$2:$2,0),0)</f>
        <v>0</v>
      </c>
      <c r="H507" s="207">
        <f>IF(ISNUMBER(VLOOKUP($B:$B,'BS(과거)'!$A:$F,$2:$2,0)),VLOOKUP($B:$B,'BS(과거)'!$A:$F,$2:$2,0),0)</f>
        <v>0</v>
      </c>
      <c r="I507" s="207">
        <f>IF(ISNUMBER(VLOOKUP($B:$B,'BS(과거)'!$A:$F,$2:$2,0)),VLOOKUP($B:$B,'BS(과거)'!$A:$F,$2:$2,0),0)</f>
        <v>0</v>
      </c>
      <c r="J507" s="207">
        <f>IF(ISNUMBER(VLOOKUP($B:$B,'BS(과거)'!$A:$F,$2:$2,0)),VLOOKUP($B:$B,'BS(과거)'!$A:$F,$2:$2,0),0)</f>
        <v>0</v>
      </c>
      <c r="K507" s="207">
        <f>IF(ISNUMBER(VLOOKUP($B:$B,'BS(과거)'!$A:$F,$2:$2,0)),VLOOKUP($B:$B,'BS(과거)'!$A:$F,$2:$2,0),0)</f>
        <v>0</v>
      </c>
      <c r="L507" s="207">
        <f>IF(ISNUMBER(VLOOKUP($B:$B,'BS(과거)'!$A:$F,$2:$2,0)),VLOOKUP($B:$B,'BS(과거)'!$A:$F,$2:$2,0),0)</f>
        <v>0</v>
      </c>
      <c r="N507" s="207">
        <f>IF(ISNUMBER(VLOOKUP($B:$B,'BS(분기)'!$A:$F,$2:$2,0)),VLOOKUP($B:$B,'BS(분기)'!$A:$F,$2:$2,0),0)</f>
        <v>0</v>
      </c>
      <c r="O507" s="207">
        <f>IF(ISNUMBER(VLOOKUP($B:$B,'BS(분기)'!$A:$F,$2:$2,0)),VLOOKUP($B:$B,'BS(분기)'!$A:$F,$2:$2,0),0)</f>
        <v>0</v>
      </c>
      <c r="P507" s="207">
        <f>IF(ISNUMBER(VLOOKUP($B:$B,'BS(분기)'!$A:$F,$2:$2,0)),VLOOKUP($B:$B,'BS(분기)'!$A:$F,$2:$2,0),0)</f>
        <v>0</v>
      </c>
      <c r="Q507" s="207">
        <f>IF(ISNUMBER(VLOOKUP($B:$B,'BS(분기)'!$A:$F,$2:$2,0)),VLOOKUP($B:$B,'BS(분기)'!$A:$F,$2:$2,0),0)</f>
        <v>0</v>
      </c>
      <c r="R507" s="207">
        <f>IF(ISNUMBER(VLOOKUP($B:$B,'BS(분기)'!$A:$F,$2:$2,0)),VLOOKUP($B:$B,'BS(분기)'!$A:$F,$2:$2,0),0)</f>
        <v>0</v>
      </c>
    </row>
    <row r="508" spans="1:18" s="192" customFormat="1" ht="12">
      <c r="A508" s="203">
        <v>115144</v>
      </c>
      <c r="B508" s="196" t="s">
        <v>828</v>
      </c>
      <c r="C508" s="217">
        <f>IF(ISNUMBER(VLOOKUP($B:$B,BS!$A:$D,$2:$2,0)),VLOOKUP($B:$B,BS!$A:$D,$2:$2,0),0)</f>
        <v>0</v>
      </c>
      <c r="D508" s="217">
        <f>IF(ISNUMBER(VLOOKUP($B:$B,BS!$A:$D,$2:$2,0)),VLOOKUP($B:$B,BS!$A:$D,$2:$2,0),0)</f>
        <v>0</v>
      </c>
      <c r="E508" s="217">
        <f>IF(ISNUMBER(VLOOKUP($B:$B,BS!$A:$D,$2:$2,0)),VLOOKUP($B:$B,BS!$A:$D,$2:$2,0),0)</f>
        <v>0</v>
      </c>
      <c r="F508" s="217">
        <f>IF(ISNUMBER(VLOOKUP($B:$B,BS!$A:$D,$2:$2,0)),VLOOKUP($B:$B,BS!$A:$D,$2:$2,0),0)</f>
        <v>0</v>
      </c>
      <c r="G508" s="217">
        <f>IF(ISNUMBER(VLOOKUP($B:$B,BS!$A:$D,$2:$2,0)),VLOOKUP($B:$B,BS!$A:$D,$2:$2,0),0)</f>
        <v>0</v>
      </c>
      <c r="H508" s="207">
        <f>IF(ISNUMBER(VLOOKUP($B:$B,'BS(과거)'!$A:$F,$2:$2,0)),VLOOKUP($B:$B,'BS(과거)'!$A:$F,$2:$2,0),0)</f>
        <v>0</v>
      </c>
      <c r="I508" s="207">
        <f>IF(ISNUMBER(VLOOKUP($B:$B,'BS(과거)'!$A:$F,$2:$2,0)),VLOOKUP($B:$B,'BS(과거)'!$A:$F,$2:$2,0),0)</f>
        <v>0</v>
      </c>
      <c r="J508" s="207">
        <f>IF(ISNUMBER(VLOOKUP($B:$B,'BS(과거)'!$A:$F,$2:$2,0)),VLOOKUP($B:$B,'BS(과거)'!$A:$F,$2:$2,0),0)</f>
        <v>0</v>
      </c>
      <c r="K508" s="207">
        <f>IF(ISNUMBER(VLOOKUP($B:$B,'BS(과거)'!$A:$F,$2:$2,0)),VLOOKUP($B:$B,'BS(과거)'!$A:$F,$2:$2,0),0)</f>
        <v>0</v>
      </c>
      <c r="L508" s="207">
        <f>IF(ISNUMBER(VLOOKUP($B:$B,'BS(과거)'!$A:$F,$2:$2,0)),VLOOKUP($B:$B,'BS(과거)'!$A:$F,$2:$2,0),0)</f>
        <v>0</v>
      </c>
      <c r="N508" s="207">
        <f>IF(ISNUMBER(VLOOKUP($B:$B,'BS(분기)'!$A:$F,$2:$2,0)),VLOOKUP($B:$B,'BS(분기)'!$A:$F,$2:$2,0),0)</f>
        <v>0</v>
      </c>
      <c r="O508" s="207">
        <f>IF(ISNUMBER(VLOOKUP($B:$B,'BS(분기)'!$A:$F,$2:$2,0)),VLOOKUP($B:$B,'BS(분기)'!$A:$F,$2:$2,0),0)</f>
        <v>0</v>
      </c>
      <c r="P508" s="207">
        <f>IF(ISNUMBER(VLOOKUP($B:$B,'BS(분기)'!$A:$F,$2:$2,0)),VLOOKUP($B:$B,'BS(분기)'!$A:$F,$2:$2,0),0)</f>
        <v>0</v>
      </c>
      <c r="Q508" s="207">
        <f>IF(ISNUMBER(VLOOKUP($B:$B,'BS(분기)'!$A:$F,$2:$2,0)),VLOOKUP($B:$B,'BS(분기)'!$A:$F,$2:$2,0),0)</f>
        <v>0</v>
      </c>
      <c r="R508" s="207">
        <f>IF(ISNUMBER(VLOOKUP($B:$B,'BS(분기)'!$A:$F,$2:$2,0)),VLOOKUP($B:$B,'BS(분기)'!$A:$F,$2:$2,0),0)</f>
        <v>0</v>
      </c>
    </row>
    <row r="509" spans="1:18" s="192" customFormat="1" ht="12">
      <c r="A509" s="203">
        <v>115145</v>
      </c>
      <c r="B509" s="196" t="s">
        <v>1210</v>
      </c>
      <c r="C509" s="217">
        <f>IF(ISNUMBER(VLOOKUP($B:$B,BS!$A:$D,$2:$2,0)),VLOOKUP($B:$B,BS!$A:$D,$2:$2,0),0)</f>
        <v>0</v>
      </c>
      <c r="D509" s="217">
        <f>IF(ISNUMBER(VLOOKUP($B:$B,BS!$A:$D,$2:$2,0)),VLOOKUP($B:$B,BS!$A:$D,$2:$2,0),0)</f>
        <v>0</v>
      </c>
      <c r="E509" s="217">
        <f>IF(ISNUMBER(VLOOKUP($B:$B,BS!$A:$D,$2:$2,0)),VLOOKUP($B:$B,BS!$A:$D,$2:$2,0),0)</f>
        <v>0</v>
      </c>
      <c r="F509" s="217">
        <f>IF(ISNUMBER(VLOOKUP($B:$B,BS!$A:$D,$2:$2,0)),VLOOKUP($B:$B,BS!$A:$D,$2:$2,0),0)</f>
        <v>0</v>
      </c>
      <c r="G509" s="217">
        <f>IF(ISNUMBER(VLOOKUP($B:$B,BS!$A:$D,$2:$2,0)),VLOOKUP($B:$B,BS!$A:$D,$2:$2,0),0)</f>
        <v>0</v>
      </c>
      <c r="H509" s="207">
        <f>IF(ISNUMBER(VLOOKUP($B:$B,'BS(과거)'!$A:$F,$2:$2,0)),VLOOKUP($B:$B,'BS(과거)'!$A:$F,$2:$2,0),0)</f>
        <v>0</v>
      </c>
      <c r="I509" s="207">
        <f>IF(ISNUMBER(VLOOKUP($B:$B,'BS(과거)'!$A:$F,$2:$2,0)),VLOOKUP($B:$B,'BS(과거)'!$A:$F,$2:$2,0),0)</f>
        <v>0</v>
      </c>
      <c r="J509" s="207">
        <f>IF(ISNUMBER(VLOOKUP($B:$B,'BS(과거)'!$A:$F,$2:$2,0)),VLOOKUP($B:$B,'BS(과거)'!$A:$F,$2:$2,0),0)</f>
        <v>0</v>
      </c>
      <c r="K509" s="207">
        <f>IF(ISNUMBER(VLOOKUP($B:$B,'BS(과거)'!$A:$F,$2:$2,0)),VLOOKUP($B:$B,'BS(과거)'!$A:$F,$2:$2,0),0)</f>
        <v>0</v>
      </c>
      <c r="L509" s="207">
        <f>IF(ISNUMBER(VLOOKUP($B:$B,'BS(과거)'!$A:$F,$2:$2,0)),VLOOKUP($B:$B,'BS(과거)'!$A:$F,$2:$2,0),0)</f>
        <v>0</v>
      </c>
      <c r="N509" s="207">
        <f>IF(ISNUMBER(VLOOKUP($B:$B,'BS(분기)'!$A:$F,$2:$2,0)),VLOOKUP($B:$B,'BS(분기)'!$A:$F,$2:$2,0),0)</f>
        <v>0</v>
      </c>
      <c r="O509" s="207">
        <f>IF(ISNUMBER(VLOOKUP($B:$B,'BS(분기)'!$A:$F,$2:$2,0)),VLOOKUP($B:$B,'BS(분기)'!$A:$F,$2:$2,0),0)</f>
        <v>0</v>
      </c>
      <c r="P509" s="207">
        <f>IF(ISNUMBER(VLOOKUP($B:$B,'BS(분기)'!$A:$F,$2:$2,0)),VLOOKUP($B:$B,'BS(분기)'!$A:$F,$2:$2,0),0)</f>
        <v>0</v>
      </c>
      <c r="Q509" s="207">
        <f>IF(ISNUMBER(VLOOKUP($B:$B,'BS(분기)'!$A:$F,$2:$2,0)),VLOOKUP($B:$B,'BS(분기)'!$A:$F,$2:$2,0),0)</f>
        <v>0</v>
      </c>
      <c r="R509" s="207">
        <f>IF(ISNUMBER(VLOOKUP($B:$B,'BS(분기)'!$A:$F,$2:$2,0)),VLOOKUP($B:$B,'BS(분기)'!$A:$F,$2:$2,0),0)</f>
        <v>0</v>
      </c>
    </row>
    <row r="510" spans="1:18" s="192" customFormat="1" ht="12">
      <c r="A510" s="203">
        <v>115146</v>
      </c>
      <c r="B510" s="196" t="s">
        <v>1211</v>
      </c>
      <c r="C510" s="217">
        <f>IF(ISNUMBER(VLOOKUP($B:$B,BS!$A:$D,$2:$2,0)),VLOOKUP($B:$B,BS!$A:$D,$2:$2,0),0)</f>
        <v>0</v>
      </c>
      <c r="D510" s="217">
        <f>IF(ISNUMBER(VLOOKUP($B:$B,BS!$A:$D,$2:$2,0)),VLOOKUP($B:$B,BS!$A:$D,$2:$2,0),0)</f>
        <v>0</v>
      </c>
      <c r="E510" s="217">
        <f>IF(ISNUMBER(VLOOKUP($B:$B,BS!$A:$D,$2:$2,0)),VLOOKUP($B:$B,BS!$A:$D,$2:$2,0),0)</f>
        <v>0</v>
      </c>
      <c r="F510" s="217">
        <f>IF(ISNUMBER(VLOOKUP($B:$B,BS!$A:$D,$2:$2,0)),VLOOKUP($B:$B,BS!$A:$D,$2:$2,0),0)</f>
        <v>0</v>
      </c>
      <c r="G510" s="217">
        <f>IF(ISNUMBER(VLOOKUP($B:$B,BS!$A:$D,$2:$2,0)),VLOOKUP($B:$B,BS!$A:$D,$2:$2,0),0)</f>
        <v>0</v>
      </c>
      <c r="H510" s="207">
        <f>IF(ISNUMBER(VLOOKUP($B:$B,'BS(과거)'!$A:$F,$2:$2,0)),VLOOKUP($B:$B,'BS(과거)'!$A:$F,$2:$2,0),0)</f>
        <v>0</v>
      </c>
      <c r="I510" s="207">
        <f>IF(ISNUMBER(VLOOKUP($B:$B,'BS(과거)'!$A:$F,$2:$2,0)),VLOOKUP($B:$B,'BS(과거)'!$A:$F,$2:$2,0),0)</f>
        <v>0</v>
      </c>
      <c r="J510" s="207">
        <f>IF(ISNUMBER(VLOOKUP($B:$B,'BS(과거)'!$A:$F,$2:$2,0)),VLOOKUP($B:$B,'BS(과거)'!$A:$F,$2:$2,0),0)</f>
        <v>0</v>
      </c>
      <c r="K510" s="207">
        <f>IF(ISNUMBER(VLOOKUP($B:$B,'BS(과거)'!$A:$F,$2:$2,0)),VLOOKUP($B:$B,'BS(과거)'!$A:$F,$2:$2,0),0)</f>
        <v>0</v>
      </c>
      <c r="L510" s="207">
        <f>IF(ISNUMBER(VLOOKUP($B:$B,'BS(과거)'!$A:$F,$2:$2,0)),VLOOKUP($B:$B,'BS(과거)'!$A:$F,$2:$2,0),0)</f>
        <v>0</v>
      </c>
      <c r="N510" s="207">
        <f>IF(ISNUMBER(VLOOKUP($B:$B,'BS(분기)'!$A:$F,$2:$2,0)),VLOOKUP($B:$B,'BS(분기)'!$A:$F,$2:$2,0),0)</f>
        <v>0</v>
      </c>
      <c r="O510" s="207">
        <f>IF(ISNUMBER(VLOOKUP($B:$B,'BS(분기)'!$A:$F,$2:$2,0)),VLOOKUP($B:$B,'BS(분기)'!$A:$F,$2:$2,0),0)</f>
        <v>0</v>
      </c>
      <c r="P510" s="207">
        <f>IF(ISNUMBER(VLOOKUP($B:$B,'BS(분기)'!$A:$F,$2:$2,0)),VLOOKUP($B:$B,'BS(분기)'!$A:$F,$2:$2,0),0)</f>
        <v>0</v>
      </c>
      <c r="Q510" s="207">
        <f>IF(ISNUMBER(VLOOKUP($B:$B,'BS(분기)'!$A:$F,$2:$2,0)),VLOOKUP($B:$B,'BS(분기)'!$A:$F,$2:$2,0),0)</f>
        <v>0</v>
      </c>
      <c r="R510" s="207">
        <f>IF(ISNUMBER(VLOOKUP($B:$B,'BS(분기)'!$A:$F,$2:$2,0)),VLOOKUP($B:$B,'BS(분기)'!$A:$F,$2:$2,0),0)</f>
        <v>0</v>
      </c>
    </row>
    <row r="511" spans="1:18" s="192" customFormat="1" ht="12">
      <c r="A511" s="203">
        <v>115147</v>
      </c>
      <c r="B511" s="196" t="s">
        <v>829</v>
      </c>
      <c r="C511" s="217">
        <f>IF(ISNUMBER(VLOOKUP($B:$B,BS!$A:$D,$2:$2,0)),VLOOKUP($B:$B,BS!$A:$D,$2:$2,0),0)</f>
        <v>0</v>
      </c>
      <c r="D511" s="217">
        <f>IF(ISNUMBER(VLOOKUP($B:$B,BS!$A:$D,$2:$2,0)),VLOOKUP($B:$B,BS!$A:$D,$2:$2,0),0)</f>
        <v>0</v>
      </c>
      <c r="E511" s="217">
        <f>IF(ISNUMBER(VLOOKUP($B:$B,BS!$A:$D,$2:$2,0)),VLOOKUP($B:$B,BS!$A:$D,$2:$2,0),0)</f>
        <v>0</v>
      </c>
      <c r="F511" s="217">
        <f>IF(ISNUMBER(VLOOKUP($B:$B,BS!$A:$D,$2:$2,0)),VLOOKUP($B:$B,BS!$A:$D,$2:$2,0),0)</f>
        <v>0</v>
      </c>
      <c r="G511" s="217">
        <f>IF(ISNUMBER(VLOOKUP($B:$B,BS!$A:$D,$2:$2,0)),VLOOKUP($B:$B,BS!$A:$D,$2:$2,0),0)</f>
        <v>0</v>
      </c>
      <c r="H511" s="207">
        <f>IF(ISNUMBER(VLOOKUP($B:$B,'BS(과거)'!$A:$F,$2:$2,0)),VLOOKUP($B:$B,'BS(과거)'!$A:$F,$2:$2,0),0)</f>
        <v>0</v>
      </c>
      <c r="I511" s="207">
        <f>IF(ISNUMBER(VLOOKUP($B:$B,'BS(과거)'!$A:$F,$2:$2,0)),VLOOKUP($B:$B,'BS(과거)'!$A:$F,$2:$2,0),0)</f>
        <v>0</v>
      </c>
      <c r="J511" s="207">
        <f>IF(ISNUMBER(VLOOKUP($B:$B,'BS(과거)'!$A:$F,$2:$2,0)),VLOOKUP($B:$B,'BS(과거)'!$A:$F,$2:$2,0),0)</f>
        <v>0</v>
      </c>
      <c r="K511" s="207">
        <f>IF(ISNUMBER(VLOOKUP($B:$B,'BS(과거)'!$A:$F,$2:$2,0)),VLOOKUP($B:$B,'BS(과거)'!$A:$F,$2:$2,0),0)</f>
        <v>0</v>
      </c>
      <c r="L511" s="207">
        <f>IF(ISNUMBER(VLOOKUP($B:$B,'BS(과거)'!$A:$F,$2:$2,0)),VLOOKUP($B:$B,'BS(과거)'!$A:$F,$2:$2,0),0)</f>
        <v>0</v>
      </c>
      <c r="N511" s="207">
        <f>IF(ISNUMBER(VLOOKUP($B:$B,'BS(분기)'!$A:$F,$2:$2,0)),VLOOKUP($B:$B,'BS(분기)'!$A:$F,$2:$2,0),0)</f>
        <v>0</v>
      </c>
      <c r="O511" s="207">
        <f>IF(ISNUMBER(VLOOKUP($B:$B,'BS(분기)'!$A:$F,$2:$2,0)),VLOOKUP($B:$B,'BS(분기)'!$A:$F,$2:$2,0),0)</f>
        <v>0</v>
      </c>
      <c r="P511" s="207">
        <f>IF(ISNUMBER(VLOOKUP($B:$B,'BS(분기)'!$A:$F,$2:$2,0)),VLOOKUP($B:$B,'BS(분기)'!$A:$F,$2:$2,0),0)</f>
        <v>0</v>
      </c>
      <c r="Q511" s="207">
        <f>IF(ISNUMBER(VLOOKUP($B:$B,'BS(분기)'!$A:$F,$2:$2,0)),VLOOKUP($B:$B,'BS(분기)'!$A:$F,$2:$2,0),0)</f>
        <v>0</v>
      </c>
      <c r="R511" s="207">
        <f>IF(ISNUMBER(VLOOKUP($B:$B,'BS(분기)'!$A:$F,$2:$2,0)),VLOOKUP($B:$B,'BS(분기)'!$A:$F,$2:$2,0),0)</f>
        <v>0</v>
      </c>
    </row>
    <row r="512" spans="1:18" s="192" customFormat="1" ht="12">
      <c r="A512" s="202">
        <v>115150</v>
      </c>
      <c r="B512" s="195" t="s">
        <v>830</v>
      </c>
      <c r="C512" s="217">
        <f>IF(ISNUMBER(VLOOKUP($B:$B,BS!$A:$D,$2:$2,0)),VLOOKUP($B:$B,BS!$A:$D,$2:$2,0),0)</f>
        <v>0</v>
      </c>
      <c r="D512" s="217">
        <f>IF(ISNUMBER(VLOOKUP($B:$B,BS!$A:$D,$2:$2,0)),VLOOKUP($B:$B,BS!$A:$D,$2:$2,0),0)</f>
        <v>0</v>
      </c>
      <c r="E512" s="217">
        <f>IF(ISNUMBER(VLOOKUP($B:$B,BS!$A:$D,$2:$2,0)),VLOOKUP($B:$B,BS!$A:$D,$2:$2,0),0)</f>
        <v>0</v>
      </c>
      <c r="F512" s="217">
        <f>IF(ISNUMBER(VLOOKUP($B:$B,BS!$A:$D,$2:$2,0)),VLOOKUP($B:$B,BS!$A:$D,$2:$2,0),0)</f>
        <v>0</v>
      </c>
      <c r="G512" s="217">
        <f>IF(ISNUMBER(VLOOKUP($B:$B,BS!$A:$D,$2:$2,0)),VLOOKUP($B:$B,BS!$A:$D,$2:$2,0),0)</f>
        <v>0</v>
      </c>
      <c r="H512" s="207">
        <f>IF(ISNUMBER(VLOOKUP($B:$B,'BS(과거)'!$A:$F,$2:$2,0)),VLOOKUP($B:$B,'BS(과거)'!$A:$F,$2:$2,0),0)</f>
        <v>0</v>
      </c>
      <c r="I512" s="207">
        <f>IF(ISNUMBER(VLOOKUP($B:$B,'BS(과거)'!$A:$F,$2:$2,0)),VLOOKUP($B:$B,'BS(과거)'!$A:$F,$2:$2,0),0)</f>
        <v>0</v>
      </c>
      <c r="J512" s="207">
        <f>IF(ISNUMBER(VLOOKUP($B:$B,'BS(과거)'!$A:$F,$2:$2,0)),VLOOKUP($B:$B,'BS(과거)'!$A:$F,$2:$2,0),0)</f>
        <v>0</v>
      </c>
      <c r="K512" s="207">
        <f>IF(ISNUMBER(VLOOKUP($B:$B,'BS(과거)'!$A:$F,$2:$2,0)),VLOOKUP($B:$B,'BS(과거)'!$A:$F,$2:$2,0),0)</f>
        <v>0</v>
      </c>
      <c r="L512" s="207">
        <f>IF(ISNUMBER(VLOOKUP($B:$B,'BS(과거)'!$A:$F,$2:$2,0)),VLOOKUP($B:$B,'BS(과거)'!$A:$F,$2:$2,0),0)</f>
        <v>0</v>
      </c>
      <c r="N512" s="207">
        <f>IF(ISNUMBER(VLOOKUP($B:$B,'BS(분기)'!$A:$F,$2:$2,0)),VLOOKUP($B:$B,'BS(분기)'!$A:$F,$2:$2,0),0)</f>
        <v>0</v>
      </c>
      <c r="O512" s="207">
        <f>IF(ISNUMBER(VLOOKUP($B:$B,'BS(분기)'!$A:$F,$2:$2,0)),VLOOKUP($B:$B,'BS(분기)'!$A:$F,$2:$2,0),0)</f>
        <v>0</v>
      </c>
      <c r="P512" s="207">
        <f>IF(ISNUMBER(VLOOKUP($B:$B,'BS(분기)'!$A:$F,$2:$2,0)),VLOOKUP($B:$B,'BS(분기)'!$A:$F,$2:$2,0),0)</f>
        <v>0</v>
      </c>
      <c r="Q512" s="207">
        <f>IF(ISNUMBER(VLOOKUP($B:$B,'BS(분기)'!$A:$F,$2:$2,0)),VLOOKUP($B:$B,'BS(분기)'!$A:$F,$2:$2,0),0)</f>
        <v>0</v>
      </c>
      <c r="R512" s="207">
        <f>IF(ISNUMBER(VLOOKUP($B:$B,'BS(분기)'!$A:$F,$2:$2,0)),VLOOKUP($B:$B,'BS(분기)'!$A:$F,$2:$2,0),0)</f>
        <v>0</v>
      </c>
    </row>
    <row r="513" spans="1:18" s="192" customFormat="1" ht="12">
      <c r="A513" s="202">
        <v>115156</v>
      </c>
      <c r="B513" s="195" t="s">
        <v>1212</v>
      </c>
      <c r="C513" s="217">
        <f>IF(ISNUMBER(VLOOKUP($B:$B,BS!$A:$D,$2:$2,0)),VLOOKUP($B:$B,BS!$A:$D,$2:$2,0),0)</f>
        <v>0</v>
      </c>
      <c r="D513" s="217">
        <f>IF(ISNUMBER(VLOOKUP($B:$B,BS!$A:$D,$2:$2,0)),VLOOKUP($B:$B,BS!$A:$D,$2:$2,0),0)</f>
        <v>0</v>
      </c>
      <c r="E513" s="217">
        <f>IF(ISNUMBER(VLOOKUP($B:$B,BS!$A:$D,$2:$2,0)),VLOOKUP($B:$B,BS!$A:$D,$2:$2,0),0)</f>
        <v>0</v>
      </c>
      <c r="F513" s="217">
        <f>IF(ISNUMBER(VLOOKUP($B:$B,BS!$A:$D,$2:$2,0)),VLOOKUP($B:$B,BS!$A:$D,$2:$2,0),0)</f>
        <v>0</v>
      </c>
      <c r="G513" s="217">
        <f>IF(ISNUMBER(VLOOKUP($B:$B,BS!$A:$D,$2:$2,0)),VLOOKUP($B:$B,BS!$A:$D,$2:$2,0),0)</f>
        <v>0</v>
      </c>
      <c r="H513" s="207">
        <f>IF(ISNUMBER(VLOOKUP($B:$B,'BS(과거)'!$A:$F,$2:$2,0)),VLOOKUP($B:$B,'BS(과거)'!$A:$F,$2:$2,0),0)</f>
        <v>0</v>
      </c>
      <c r="I513" s="207">
        <f>IF(ISNUMBER(VLOOKUP($B:$B,'BS(과거)'!$A:$F,$2:$2,0)),VLOOKUP($B:$B,'BS(과거)'!$A:$F,$2:$2,0),0)</f>
        <v>0</v>
      </c>
      <c r="J513" s="207">
        <f>IF(ISNUMBER(VLOOKUP($B:$B,'BS(과거)'!$A:$F,$2:$2,0)),VLOOKUP($B:$B,'BS(과거)'!$A:$F,$2:$2,0),0)</f>
        <v>0</v>
      </c>
      <c r="K513" s="207">
        <f>IF(ISNUMBER(VLOOKUP($B:$B,'BS(과거)'!$A:$F,$2:$2,0)),VLOOKUP($B:$B,'BS(과거)'!$A:$F,$2:$2,0),0)</f>
        <v>0</v>
      </c>
      <c r="L513" s="207">
        <f>IF(ISNUMBER(VLOOKUP($B:$B,'BS(과거)'!$A:$F,$2:$2,0)),VLOOKUP($B:$B,'BS(과거)'!$A:$F,$2:$2,0),0)</f>
        <v>0</v>
      </c>
      <c r="N513" s="207">
        <f>IF(ISNUMBER(VLOOKUP($B:$B,'BS(분기)'!$A:$F,$2:$2,0)),VLOOKUP($B:$B,'BS(분기)'!$A:$F,$2:$2,0),0)</f>
        <v>0</v>
      </c>
      <c r="O513" s="207">
        <f>IF(ISNUMBER(VLOOKUP($B:$B,'BS(분기)'!$A:$F,$2:$2,0)),VLOOKUP($B:$B,'BS(분기)'!$A:$F,$2:$2,0),0)</f>
        <v>0</v>
      </c>
      <c r="P513" s="207">
        <f>IF(ISNUMBER(VLOOKUP($B:$B,'BS(분기)'!$A:$F,$2:$2,0)),VLOOKUP($B:$B,'BS(분기)'!$A:$F,$2:$2,0),0)</f>
        <v>0</v>
      </c>
      <c r="Q513" s="207">
        <f>IF(ISNUMBER(VLOOKUP($B:$B,'BS(분기)'!$A:$F,$2:$2,0)),VLOOKUP($B:$B,'BS(분기)'!$A:$F,$2:$2,0),0)</f>
        <v>0</v>
      </c>
      <c r="R513" s="207">
        <f>IF(ISNUMBER(VLOOKUP($B:$B,'BS(분기)'!$A:$F,$2:$2,0)),VLOOKUP($B:$B,'BS(분기)'!$A:$F,$2:$2,0),0)</f>
        <v>0</v>
      </c>
    </row>
    <row r="514" spans="1:18" s="192" customFormat="1" ht="12">
      <c r="A514" s="203">
        <v>115151</v>
      </c>
      <c r="B514" s="196" t="s">
        <v>1213</v>
      </c>
      <c r="C514" s="217">
        <f>IF(ISNUMBER(VLOOKUP($B:$B,BS!$A:$D,$2:$2,0)),VLOOKUP($B:$B,BS!$A:$D,$2:$2,0),0)</f>
        <v>0</v>
      </c>
      <c r="D514" s="217">
        <f>IF(ISNUMBER(VLOOKUP($B:$B,BS!$A:$D,$2:$2,0)),VLOOKUP($B:$B,BS!$A:$D,$2:$2,0),0)</f>
        <v>0</v>
      </c>
      <c r="E514" s="217">
        <f>IF(ISNUMBER(VLOOKUP($B:$B,BS!$A:$D,$2:$2,0)),VLOOKUP($B:$B,BS!$A:$D,$2:$2,0),0)</f>
        <v>0</v>
      </c>
      <c r="F514" s="217">
        <f>IF(ISNUMBER(VLOOKUP($B:$B,BS!$A:$D,$2:$2,0)),VLOOKUP($B:$B,BS!$A:$D,$2:$2,0),0)</f>
        <v>0</v>
      </c>
      <c r="G514" s="217">
        <f>IF(ISNUMBER(VLOOKUP($B:$B,BS!$A:$D,$2:$2,0)),VLOOKUP($B:$B,BS!$A:$D,$2:$2,0),0)</f>
        <v>0</v>
      </c>
      <c r="H514" s="207">
        <f>IF(ISNUMBER(VLOOKUP($B:$B,'BS(과거)'!$A:$F,$2:$2,0)),VLOOKUP($B:$B,'BS(과거)'!$A:$F,$2:$2,0),0)</f>
        <v>0</v>
      </c>
      <c r="I514" s="207">
        <f>IF(ISNUMBER(VLOOKUP($B:$B,'BS(과거)'!$A:$F,$2:$2,0)),VLOOKUP($B:$B,'BS(과거)'!$A:$F,$2:$2,0),0)</f>
        <v>0</v>
      </c>
      <c r="J514" s="207">
        <f>IF(ISNUMBER(VLOOKUP($B:$B,'BS(과거)'!$A:$F,$2:$2,0)),VLOOKUP($B:$B,'BS(과거)'!$A:$F,$2:$2,0),0)</f>
        <v>0</v>
      </c>
      <c r="K514" s="207">
        <f>IF(ISNUMBER(VLOOKUP($B:$B,'BS(과거)'!$A:$F,$2:$2,0)),VLOOKUP($B:$B,'BS(과거)'!$A:$F,$2:$2,0),0)</f>
        <v>0</v>
      </c>
      <c r="L514" s="207">
        <f>IF(ISNUMBER(VLOOKUP($B:$B,'BS(과거)'!$A:$F,$2:$2,0)),VLOOKUP($B:$B,'BS(과거)'!$A:$F,$2:$2,0),0)</f>
        <v>0</v>
      </c>
      <c r="N514" s="207">
        <f>IF(ISNUMBER(VLOOKUP($B:$B,'BS(분기)'!$A:$F,$2:$2,0)),VLOOKUP($B:$B,'BS(분기)'!$A:$F,$2:$2,0),0)</f>
        <v>0</v>
      </c>
      <c r="O514" s="207">
        <f>IF(ISNUMBER(VLOOKUP($B:$B,'BS(분기)'!$A:$F,$2:$2,0)),VLOOKUP($B:$B,'BS(분기)'!$A:$F,$2:$2,0),0)</f>
        <v>0</v>
      </c>
      <c r="P514" s="207">
        <f>IF(ISNUMBER(VLOOKUP($B:$B,'BS(분기)'!$A:$F,$2:$2,0)),VLOOKUP($B:$B,'BS(분기)'!$A:$F,$2:$2,0),0)</f>
        <v>0</v>
      </c>
      <c r="Q514" s="207">
        <f>IF(ISNUMBER(VLOOKUP($B:$B,'BS(분기)'!$A:$F,$2:$2,0)),VLOOKUP($B:$B,'BS(분기)'!$A:$F,$2:$2,0),0)</f>
        <v>0</v>
      </c>
      <c r="R514" s="207">
        <f>IF(ISNUMBER(VLOOKUP($B:$B,'BS(분기)'!$A:$F,$2:$2,0)),VLOOKUP($B:$B,'BS(분기)'!$A:$F,$2:$2,0),0)</f>
        <v>0</v>
      </c>
    </row>
    <row r="515" spans="1:18" s="192" customFormat="1" ht="12">
      <c r="A515" s="203">
        <v>115152</v>
      </c>
      <c r="B515" s="196" t="s">
        <v>1214</v>
      </c>
      <c r="C515" s="217">
        <f>IF(ISNUMBER(VLOOKUP($B:$B,BS!$A:$D,$2:$2,0)),VLOOKUP($B:$B,BS!$A:$D,$2:$2,0),0)</f>
        <v>0</v>
      </c>
      <c r="D515" s="217">
        <f>IF(ISNUMBER(VLOOKUP($B:$B,BS!$A:$D,$2:$2,0)),VLOOKUP($B:$B,BS!$A:$D,$2:$2,0),0)</f>
        <v>0</v>
      </c>
      <c r="E515" s="217">
        <f>IF(ISNUMBER(VLOOKUP($B:$B,BS!$A:$D,$2:$2,0)),VLOOKUP($B:$B,BS!$A:$D,$2:$2,0),0)</f>
        <v>0</v>
      </c>
      <c r="F515" s="217">
        <f>IF(ISNUMBER(VLOOKUP($B:$B,BS!$A:$D,$2:$2,0)),VLOOKUP($B:$B,BS!$A:$D,$2:$2,0),0)</f>
        <v>0</v>
      </c>
      <c r="G515" s="217">
        <f>IF(ISNUMBER(VLOOKUP($B:$B,BS!$A:$D,$2:$2,0)),VLOOKUP($B:$B,BS!$A:$D,$2:$2,0),0)</f>
        <v>0</v>
      </c>
      <c r="H515" s="207">
        <f>IF(ISNUMBER(VLOOKUP($B:$B,'BS(과거)'!$A:$F,$2:$2,0)),VLOOKUP($B:$B,'BS(과거)'!$A:$F,$2:$2,0),0)</f>
        <v>0</v>
      </c>
      <c r="I515" s="207">
        <f>IF(ISNUMBER(VLOOKUP($B:$B,'BS(과거)'!$A:$F,$2:$2,0)),VLOOKUP($B:$B,'BS(과거)'!$A:$F,$2:$2,0),0)</f>
        <v>0</v>
      </c>
      <c r="J515" s="207">
        <f>IF(ISNUMBER(VLOOKUP($B:$B,'BS(과거)'!$A:$F,$2:$2,0)),VLOOKUP($B:$B,'BS(과거)'!$A:$F,$2:$2,0),0)</f>
        <v>0</v>
      </c>
      <c r="K515" s="207">
        <f>IF(ISNUMBER(VLOOKUP($B:$B,'BS(과거)'!$A:$F,$2:$2,0)),VLOOKUP($B:$B,'BS(과거)'!$A:$F,$2:$2,0),0)</f>
        <v>0</v>
      </c>
      <c r="L515" s="207">
        <f>IF(ISNUMBER(VLOOKUP($B:$B,'BS(과거)'!$A:$F,$2:$2,0)),VLOOKUP($B:$B,'BS(과거)'!$A:$F,$2:$2,0),0)</f>
        <v>0</v>
      </c>
      <c r="N515" s="207">
        <f>IF(ISNUMBER(VLOOKUP($B:$B,'BS(분기)'!$A:$F,$2:$2,0)),VLOOKUP($B:$B,'BS(분기)'!$A:$F,$2:$2,0),0)</f>
        <v>0</v>
      </c>
      <c r="O515" s="207">
        <f>IF(ISNUMBER(VLOOKUP($B:$B,'BS(분기)'!$A:$F,$2:$2,0)),VLOOKUP($B:$B,'BS(분기)'!$A:$F,$2:$2,0),0)</f>
        <v>0</v>
      </c>
      <c r="P515" s="207">
        <f>IF(ISNUMBER(VLOOKUP($B:$B,'BS(분기)'!$A:$F,$2:$2,0)),VLOOKUP($B:$B,'BS(분기)'!$A:$F,$2:$2,0),0)</f>
        <v>0</v>
      </c>
      <c r="Q515" s="207">
        <f>IF(ISNUMBER(VLOOKUP($B:$B,'BS(분기)'!$A:$F,$2:$2,0)),VLOOKUP($B:$B,'BS(분기)'!$A:$F,$2:$2,0),0)</f>
        <v>0</v>
      </c>
      <c r="R515" s="207">
        <f>IF(ISNUMBER(VLOOKUP($B:$B,'BS(분기)'!$A:$F,$2:$2,0)),VLOOKUP($B:$B,'BS(분기)'!$A:$F,$2:$2,0),0)</f>
        <v>0</v>
      </c>
    </row>
    <row r="516" spans="1:18" s="192" customFormat="1" ht="12">
      <c r="A516" s="203">
        <v>115154</v>
      </c>
      <c r="B516" s="196" t="s">
        <v>1215</v>
      </c>
      <c r="C516" s="217">
        <f>IF(ISNUMBER(VLOOKUP($B:$B,BS!$A:$D,$2:$2,0)),VLOOKUP($B:$B,BS!$A:$D,$2:$2,0),0)</f>
        <v>0</v>
      </c>
      <c r="D516" s="217">
        <f>IF(ISNUMBER(VLOOKUP($B:$B,BS!$A:$D,$2:$2,0)),VLOOKUP($B:$B,BS!$A:$D,$2:$2,0),0)</f>
        <v>0</v>
      </c>
      <c r="E516" s="217">
        <f>IF(ISNUMBER(VLOOKUP($B:$B,BS!$A:$D,$2:$2,0)),VLOOKUP($B:$B,BS!$A:$D,$2:$2,0),0)</f>
        <v>0</v>
      </c>
      <c r="F516" s="217">
        <f>IF(ISNUMBER(VLOOKUP($B:$B,BS!$A:$D,$2:$2,0)),VLOOKUP($B:$B,BS!$A:$D,$2:$2,0),0)</f>
        <v>0</v>
      </c>
      <c r="G516" s="217">
        <f>IF(ISNUMBER(VLOOKUP($B:$B,BS!$A:$D,$2:$2,0)),VLOOKUP($B:$B,BS!$A:$D,$2:$2,0),0)</f>
        <v>0</v>
      </c>
      <c r="H516" s="207">
        <f>IF(ISNUMBER(VLOOKUP($B:$B,'BS(과거)'!$A:$F,$2:$2,0)),VLOOKUP($B:$B,'BS(과거)'!$A:$F,$2:$2,0),0)</f>
        <v>0</v>
      </c>
      <c r="I516" s="207">
        <f>IF(ISNUMBER(VLOOKUP($B:$B,'BS(과거)'!$A:$F,$2:$2,0)),VLOOKUP($B:$B,'BS(과거)'!$A:$F,$2:$2,0),0)</f>
        <v>0</v>
      </c>
      <c r="J516" s="207">
        <f>IF(ISNUMBER(VLOOKUP($B:$B,'BS(과거)'!$A:$F,$2:$2,0)),VLOOKUP($B:$B,'BS(과거)'!$A:$F,$2:$2,0),0)</f>
        <v>0</v>
      </c>
      <c r="K516" s="207">
        <f>IF(ISNUMBER(VLOOKUP($B:$B,'BS(과거)'!$A:$F,$2:$2,0)),VLOOKUP($B:$B,'BS(과거)'!$A:$F,$2:$2,0),0)</f>
        <v>0</v>
      </c>
      <c r="L516" s="207">
        <f>IF(ISNUMBER(VLOOKUP($B:$B,'BS(과거)'!$A:$F,$2:$2,0)),VLOOKUP($B:$B,'BS(과거)'!$A:$F,$2:$2,0),0)</f>
        <v>0</v>
      </c>
      <c r="N516" s="207">
        <f>IF(ISNUMBER(VLOOKUP($B:$B,'BS(분기)'!$A:$F,$2:$2,0)),VLOOKUP($B:$B,'BS(분기)'!$A:$F,$2:$2,0),0)</f>
        <v>0</v>
      </c>
      <c r="O516" s="207">
        <f>IF(ISNUMBER(VLOOKUP($B:$B,'BS(분기)'!$A:$F,$2:$2,0)),VLOOKUP($B:$B,'BS(분기)'!$A:$F,$2:$2,0),0)</f>
        <v>0</v>
      </c>
      <c r="P516" s="207">
        <f>IF(ISNUMBER(VLOOKUP($B:$B,'BS(분기)'!$A:$F,$2:$2,0)),VLOOKUP($B:$B,'BS(분기)'!$A:$F,$2:$2,0),0)</f>
        <v>0</v>
      </c>
      <c r="Q516" s="207">
        <f>IF(ISNUMBER(VLOOKUP($B:$B,'BS(분기)'!$A:$F,$2:$2,0)),VLOOKUP($B:$B,'BS(분기)'!$A:$F,$2:$2,0),0)</f>
        <v>0</v>
      </c>
      <c r="R516" s="207">
        <f>IF(ISNUMBER(VLOOKUP($B:$B,'BS(분기)'!$A:$F,$2:$2,0)),VLOOKUP($B:$B,'BS(분기)'!$A:$F,$2:$2,0),0)</f>
        <v>0</v>
      </c>
    </row>
    <row r="517" spans="1:18" s="192" customFormat="1" ht="12">
      <c r="A517" s="203">
        <v>115155</v>
      </c>
      <c r="B517" s="196" t="s">
        <v>1216</v>
      </c>
      <c r="C517" s="217">
        <f>IF(ISNUMBER(VLOOKUP($B:$B,BS!$A:$D,$2:$2,0)),VLOOKUP($B:$B,BS!$A:$D,$2:$2,0),0)</f>
        <v>0</v>
      </c>
      <c r="D517" s="217">
        <f>IF(ISNUMBER(VLOOKUP($B:$B,BS!$A:$D,$2:$2,0)),VLOOKUP($B:$B,BS!$A:$D,$2:$2,0),0)</f>
        <v>0</v>
      </c>
      <c r="E517" s="217">
        <f>IF(ISNUMBER(VLOOKUP($B:$B,BS!$A:$D,$2:$2,0)),VLOOKUP($B:$B,BS!$A:$D,$2:$2,0),0)</f>
        <v>0</v>
      </c>
      <c r="F517" s="217">
        <f>IF(ISNUMBER(VLOOKUP($B:$B,BS!$A:$D,$2:$2,0)),VLOOKUP($B:$B,BS!$A:$D,$2:$2,0),0)</f>
        <v>0</v>
      </c>
      <c r="G517" s="217">
        <f>IF(ISNUMBER(VLOOKUP($B:$B,BS!$A:$D,$2:$2,0)),VLOOKUP($B:$B,BS!$A:$D,$2:$2,0),0)</f>
        <v>0</v>
      </c>
      <c r="H517" s="207">
        <f>IF(ISNUMBER(VLOOKUP($B:$B,'BS(과거)'!$A:$F,$2:$2,0)),VLOOKUP($B:$B,'BS(과거)'!$A:$F,$2:$2,0),0)</f>
        <v>0</v>
      </c>
      <c r="I517" s="207">
        <f>IF(ISNUMBER(VLOOKUP($B:$B,'BS(과거)'!$A:$F,$2:$2,0)),VLOOKUP($B:$B,'BS(과거)'!$A:$F,$2:$2,0),0)</f>
        <v>0</v>
      </c>
      <c r="J517" s="207">
        <f>IF(ISNUMBER(VLOOKUP($B:$B,'BS(과거)'!$A:$F,$2:$2,0)),VLOOKUP($B:$B,'BS(과거)'!$A:$F,$2:$2,0),0)</f>
        <v>0</v>
      </c>
      <c r="K517" s="207">
        <f>IF(ISNUMBER(VLOOKUP($B:$B,'BS(과거)'!$A:$F,$2:$2,0)),VLOOKUP($B:$B,'BS(과거)'!$A:$F,$2:$2,0),0)</f>
        <v>0</v>
      </c>
      <c r="L517" s="207">
        <f>IF(ISNUMBER(VLOOKUP($B:$B,'BS(과거)'!$A:$F,$2:$2,0)),VLOOKUP($B:$B,'BS(과거)'!$A:$F,$2:$2,0),0)</f>
        <v>0</v>
      </c>
      <c r="N517" s="207">
        <f>IF(ISNUMBER(VLOOKUP($B:$B,'BS(분기)'!$A:$F,$2:$2,0)),VLOOKUP($B:$B,'BS(분기)'!$A:$F,$2:$2,0),0)</f>
        <v>0</v>
      </c>
      <c r="O517" s="207">
        <f>IF(ISNUMBER(VLOOKUP($B:$B,'BS(분기)'!$A:$F,$2:$2,0)),VLOOKUP($B:$B,'BS(분기)'!$A:$F,$2:$2,0),0)</f>
        <v>0</v>
      </c>
      <c r="P517" s="207">
        <f>IF(ISNUMBER(VLOOKUP($B:$B,'BS(분기)'!$A:$F,$2:$2,0)),VLOOKUP($B:$B,'BS(분기)'!$A:$F,$2:$2,0),0)</f>
        <v>0</v>
      </c>
      <c r="Q517" s="207">
        <f>IF(ISNUMBER(VLOOKUP($B:$B,'BS(분기)'!$A:$F,$2:$2,0)),VLOOKUP($B:$B,'BS(분기)'!$A:$F,$2:$2,0),0)</f>
        <v>0</v>
      </c>
      <c r="R517" s="207">
        <f>IF(ISNUMBER(VLOOKUP($B:$B,'BS(분기)'!$A:$F,$2:$2,0)),VLOOKUP($B:$B,'BS(분기)'!$A:$F,$2:$2,0),0)</f>
        <v>0</v>
      </c>
    </row>
    <row r="518" spans="1:18" s="192" customFormat="1" ht="12">
      <c r="A518" s="203">
        <v>115153</v>
      </c>
      <c r="B518" s="196" t="s">
        <v>831</v>
      </c>
      <c r="C518" s="217">
        <f>IF(ISNUMBER(VLOOKUP($B:$B,BS!$A:$D,$2:$2,0)),VLOOKUP($B:$B,BS!$A:$D,$2:$2,0),0)</f>
        <v>0</v>
      </c>
      <c r="D518" s="217">
        <f>IF(ISNUMBER(VLOOKUP($B:$B,BS!$A:$D,$2:$2,0)),VLOOKUP($B:$B,BS!$A:$D,$2:$2,0),0)</f>
        <v>0</v>
      </c>
      <c r="E518" s="217">
        <f>IF(ISNUMBER(VLOOKUP($B:$B,BS!$A:$D,$2:$2,0)),VLOOKUP($B:$B,BS!$A:$D,$2:$2,0),0)</f>
        <v>0</v>
      </c>
      <c r="F518" s="217">
        <f>IF(ISNUMBER(VLOOKUP($B:$B,BS!$A:$D,$2:$2,0)),VLOOKUP($B:$B,BS!$A:$D,$2:$2,0),0)</f>
        <v>0</v>
      </c>
      <c r="G518" s="217">
        <f>IF(ISNUMBER(VLOOKUP($B:$B,BS!$A:$D,$2:$2,0)),VLOOKUP($B:$B,BS!$A:$D,$2:$2,0),0)</f>
        <v>0</v>
      </c>
      <c r="H518" s="207">
        <f>IF(ISNUMBER(VLOOKUP($B:$B,'BS(과거)'!$A:$F,$2:$2,0)),VLOOKUP($B:$B,'BS(과거)'!$A:$F,$2:$2,0),0)</f>
        <v>0</v>
      </c>
      <c r="I518" s="207">
        <f>IF(ISNUMBER(VLOOKUP($B:$B,'BS(과거)'!$A:$F,$2:$2,0)),VLOOKUP($B:$B,'BS(과거)'!$A:$F,$2:$2,0),0)</f>
        <v>0</v>
      </c>
      <c r="J518" s="207">
        <f>IF(ISNUMBER(VLOOKUP($B:$B,'BS(과거)'!$A:$F,$2:$2,0)),VLOOKUP($B:$B,'BS(과거)'!$A:$F,$2:$2,0),0)</f>
        <v>0</v>
      </c>
      <c r="K518" s="207">
        <f>IF(ISNUMBER(VLOOKUP($B:$B,'BS(과거)'!$A:$F,$2:$2,0)),VLOOKUP($B:$B,'BS(과거)'!$A:$F,$2:$2,0),0)</f>
        <v>0</v>
      </c>
      <c r="L518" s="207">
        <f>IF(ISNUMBER(VLOOKUP($B:$B,'BS(과거)'!$A:$F,$2:$2,0)),VLOOKUP($B:$B,'BS(과거)'!$A:$F,$2:$2,0),0)</f>
        <v>0</v>
      </c>
      <c r="N518" s="207">
        <f>IF(ISNUMBER(VLOOKUP($B:$B,'BS(분기)'!$A:$F,$2:$2,0)),VLOOKUP($B:$B,'BS(분기)'!$A:$F,$2:$2,0),0)</f>
        <v>0</v>
      </c>
      <c r="O518" s="207">
        <f>IF(ISNUMBER(VLOOKUP($B:$B,'BS(분기)'!$A:$F,$2:$2,0)),VLOOKUP($B:$B,'BS(분기)'!$A:$F,$2:$2,0),0)</f>
        <v>0</v>
      </c>
      <c r="P518" s="207">
        <f>IF(ISNUMBER(VLOOKUP($B:$B,'BS(분기)'!$A:$F,$2:$2,0)),VLOOKUP($B:$B,'BS(분기)'!$A:$F,$2:$2,0),0)</f>
        <v>0</v>
      </c>
      <c r="Q518" s="207">
        <f>IF(ISNUMBER(VLOOKUP($B:$B,'BS(분기)'!$A:$F,$2:$2,0)),VLOOKUP($B:$B,'BS(분기)'!$A:$F,$2:$2,0),0)</f>
        <v>0</v>
      </c>
      <c r="R518" s="207">
        <f>IF(ISNUMBER(VLOOKUP($B:$B,'BS(분기)'!$A:$F,$2:$2,0)),VLOOKUP($B:$B,'BS(분기)'!$A:$F,$2:$2,0),0)</f>
        <v>0</v>
      </c>
    </row>
    <row r="519" spans="1:18" s="192" customFormat="1" ht="12">
      <c r="A519" s="202">
        <v>115160</v>
      </c>
      <c r="B519" s="195" t="s">
        <v>832</v>
      </c>
      <c r="C519" s="217">
        <f>IF(ISNUMBER(VLOOKUP($B:$B,BS!$A:$D,$2:$2,0)),VLOOKUP($B:$B,BS!$A:$D,$2:$2,0),0)</f>
        <v>0</v>
      </c>
      <c r="D519" s="217">
        <f>IF(ISNUMBER(VLOOKUP($B:$B,BS!$A:$D,$2:$2,0)),VLOOKUP($B:$B,BS!$A:$D,$2:$2,0),0)</f>
        <v>0</v>
      </c>
      <c r="E519" s="217">
        <f>IF(ISNUMBER(VLOOKUP($B:$B,BS!$A:$D,$2:$2,0)),VLOOKUP($B:$B,BS!$A:$D,$2:$2,0),0)</f>
        <v>0</v>
      </c>
      <c r="F519" s="217">
        <f>IF(ISNUMBER(VLOOKUP($B:$B,BS!$A:$D,$2:$2,0)),VLOOKUP($B:$B,BS!$A:$D,$2:$2,0),0)</f>
        <v>0</v>
      </c>
      <c r="G519" s="217">
        <f>IF(ISNUMBER(VLOOKUP($B:$B,BS!$A:$D,$2:$2,0)),VLOOKUP($B:$B,BS!$A:$D,$2:$2,0),0)</f>
        <v>0</v>
      </c>
      <c r="H519" s="207">
        <f>IF(ISNUMBER(VLOOKUP($B:$B,'BS(과거)'!$A:$F,$2:$2,0)),VLOOKUP($B:$B,'BS(과거)'!$A:$F,$2:$2,0),0)</f>
        <v>0</v>
      </c>
      <c r="I519" s="207">
        <f>IF(ISNUMBER(VLOOKUP($B:$B,'BS(과거)'!$A:$F,$2:$2,0)),VLOOKUP($B:$B,'BS(과거)'!$A:$F,$2:$2,0),0)</f>
        <v>0</v>
      </c>
      <c r="J519" s="207">
        <f>IF(ISNUMBER(VLOOKUP($B:$B,'BS(과거)'!$A:$F,$2:$2,0)),VLOOKUP($B:$B,'BS(과거)'!$A:$F,$2:$2,0),0)</f>
        <v>0</v>
      </c>
      <c r="K519" s="207">
        <f>IF(ISNUMBER(VLOOKUP($B:$B,'BS(과거)'!$A:$F,$2:$2,0)),VLOOKUP($B:$B,'BS(과거)'!$A:$F,$2:$2,0),0)</f>
        <v>0</v>
      </c>
      <c r="L519" s="207">
        <f>IF(ISNUMBER(VLOOKUP($B:$B,'BS(과거)'!$A:$F,$2:$2,0)),VLOOKUP($B:$B,'BS(과거)'!$A:$F,$2:$2,0),0)</f>
        <v>0</v>
      </c>
      <c r="N519" s="207">
        <f>IF(ISNUMBER(VLOOKUP($B:$B,'BS(분기)'!$A:$F,$2:$2,0)),VLOOKUP($B:$B,'BS(분기)'!$A:$F,$2:$2,0),0)</f>
        <v>0</v>
      </c>
      <c r="O519" s="207">
        <f>IF(ISNUMBER(VLOOKUP($B:$B,'BS(분기)'!$A:$F,$2:$2,0)),VLOOKUP($B:$B,'BS(분기)'!$A:$F,$2:$2,0),0)</f>
        <v>0</v>
      </c>
      <c r="P519" s="207">
        <f>IF(ISNUMBER(VLOOKUP($B:$B,'BS(분기)'!$A:$F,$2:$2,0)),VLOOKUP($B:$B,'BS(분기)'!$A:$F,$2:$2,0),0)</f>
        <v>0</v>
      </c>
      <c r="Q519" s="207">
        <f>IF(ISNUMBER(VLOOKUP($B:$B,'BS(분기)'!$A:$F,$2:$2,0)),VLOOKUP($B:$B,'BS(분기)'!$A:$F,$2:$2,0),0)</f>
        <v>0</v>
      </c>
      <c r="R519" s="207">
        <f>IF(ISNUMBER(VLOOKUP($B:$B,'BS(분기)'!$A:$F,$2:$2,0)),VLOOKUP($B:$B,'BS(분기)'!$A:$F,$2:$2,0),0)</f>
        <v>0</v>
      </c>
    </row>
    <row r="520" spans="1:18" s="192" customFormat="1" ht="12">
      <c r="A520" s="203">
        <v>115161</v>
      </c>
      <c r="B520" s="196" t="s">
        <v>1217</v>
      </c>
      <c r="C520" s="217">
        <f>IF(ISNUMBER(VLOOKUP($B:$B,BS!$A:$D,$2:$2,0)),VLOOKUP($B:$B,BS!$A:$D,$2:$2,0),0)</f>
        <v>0</v>
      </c>
      <c r="D520" s="217">
        <f>IF(ISNUMBER(VLOOKUP($B:$B,BS!$A:$D,$2:$2,0)),VLOOKUP($B:$B,BS!$A:$D,$2:$2,0),0)</f>
        <v>0</v>
      </c>
      <c r="E520" s="217">
        <f>IF(ISNUMBER(VLOOKUP($B:$B,BS!$A:$D,$2:$2,0)),VLOOKUP($B:$B,BS!$A:$D,$2:$2,0),0)</f>
        <v>0</v>
      </c>
      <c r="F520" s="217">
        <f>IF(ISNUMBER(VLOOKUP($B:$B,BS!$A:$D,$2:$2,0)),VLOOKUP($B:$B,BS!$A:$D,$2:$2,0),0)</f>
        <v>0</v>
      </c>
      <c r="G520" s="217">
        <f>IF(ISNUMBER(VLOOKUP($B:$B,BS!$A:$D,$2:$2,0)),VLOOKUP($B:$B,BS!$A:$D,$2:$2,0),0)</f>
        <v>0</v>
      </c>
      <c r="H520" s="207">
        <f>IF(ISNUMBER(VLOOKUP($B:$B,'BS(과거)'!$A:$F,$2:$2,0)),VLOOKUP($B:$B,'BS(과거)'!$A:$F,$2:$2,0),0)</f>
        <v>0</v>
      </c>
      <c r="I520" s="207">
        <f>IF(ISNUMBER(VLOOKUP($B:$B,'BS(과거)'!$A:$F,$2:$2,0)),VLOOKUP($B:$B,'BS(과거)'!$A:$F,$2:$2,0),0)</f>
        <v>0</v>
      </c>
      <c r="J520" s="207">
        <f>IF(ISNUMBER(VLOOKUP($B:$B,'BS(과거)'!$A:$F,$2:$2,0)),VLOOKUP($B:$B,'BS(과거)'!$A:$F,$2:$2,0),0)</f>
        <v>0</v>
      </c>
      <c r="K520" s="207">
        <f>IF(ISNUMBER(VLOOKUP($B:$B,'BS(과거)'!$A:$F,$2:$2,0)),VLOOKUP($B:$B,'BS(과거)'!$A:$F,$2:$2,0),0)</f>
        <v>0</v>
      </c>
      <c r="L520" s="207">
        <f>IF(ISNUMBER(VLOOKUP($B:$B,'BS(과거)'!$A:$F,$2:$2,0)),VLOOKUP($B:$B,'BS(과거)'!$A:$F,$2:$2,0),0)</f>
        <v>0</v>
      </c>
      <c r="N520" s="207">
        <f>IF(ISNUMBER(VLOOKUP($B:$B,'BS(분기)'!$A:$F,$2:$2,0)),VLOOKUP($B:$B,'BS(분기)'!$A:$F,$2:$2,0),0)</f>
        <v>0</v>
      </c>
      <c r="O520" s="207">
        <f>IF(ISNUMBER(VLOOKUP($B:$B,'BS(분기)'!$A:$F,$2:$2,0)),VLOOKUP($B:$B,'BS(분기)'!$A:$F,$2:$2,0),0)</f>
        <v>0</v>
      </c>
      <c r="P520" s="207">
        <f>IF(ISNUMBER(VLOOKUP($B:$B,'BS(분기)'!$A:$F,$2:$2,0)),VLOOKUP($B:$B,'BS(분기)'!$A:$F,$2:$2,0),0)</f>
        <v>0</v>
      </c>
      <c r="Q520" s="207">
        <f>IF(ISNUMBER(VLOOKUP($B:$B,'BS(분기)'!$A:$F,$2:$2,0)),VLOOKUP($B:$B,'BS(분기)'!$A:$F,$2:$2,0),0)</f>
        <v>0</v>
      </c>
      <c r="R520" s="207">
        <f>IF(ISNUMBER(VLOOKUP($B:$B,'BS(분기)'!$A:$F,$2:$2,0)),VLOOKUP($B:$B,'BS(분기)'!$A:$F,$2:$2,0),0)</f>
        <v>0</v>
      </c>
    </row>
    <row r="521" spans="1:18" s="192" customFormat="1" ht="12">
      <c r="A521" s="203">
        <v>115166</v>
      </c>
      <c r="B521" s="196" t="s">
        <v>1218</v>
      </c>
      <c r="C521" s="217">
        <f>IF(ISNUMBER(VLOOKUP($B:$B,BS!$A:$D,$2:$2,0)),VLOOKUP($B:$B,BS!$A:$D,$2:$2,0),0)</f>
        <v>0</v>
      </c>
      <c r="D521" s="217">
        <f>IF(ISNUMBER(VLOOKUP($B:$B,BS!$A:$D,$2:$2,0)),VLOOKUP($B:$B,BS!$A:$D,$2:$2,0),0)</f>
        <v>0</v>
      </c>
      <c r="E521" s="217">
        <f>IF(ISNUMBER(VLOOKUP($B:$B,BS!$A:$D,$2:$2,0)),VLOOKUP($B:$B,BS!$A:$D,$2:$2,0),0)</f>
        <v>0</v>
      </c>
      <c r="F521" s="217">
        <f>IF(ISNUMBER(VLOOKUP($B:$B,BS!$A:$D,$2:$2,0)),VLOOKUP($B:$B,BS!$A:$D,$2:$2,0),0)</f>
        <v>0</v>
      </c>
      <c r="G521" s="217">
        <f>IF(ISNUMBER(VLOOKUP($B:$B,BS!$A:$D,$2:$2,0)),VLOOKUP($B:$B,BS!$A:$D,$2:$2,0),0)</f>
        <v>0</v>
      </c>
      <c r="H521" s="207">
        <f>IF(ISNUMBER(VLOOKUP($B:$B,'BS(과거)'!$A:$F,$2:$2,0)),VLOOKUP($B:$B,'BS(과거)'!$A:$F,$2:$2,0),0)</f>
        <v>0</v>
      </c>
      <c r="I521" s="207">
        <f>IF(ISNUMBER(VLOOKUP($B:$B,'BS(과거)'!$A:$F,$2:$2,0)),VLOOKUP($B:$B,'BS(과거)'!$A:$F,$2:$2,0),0)</f>
        <v>0</v>
      </c>
      <c r="J521" s="207">
        <f>IF(ISNUMBER(VLOOKUP($B:$B,'BS(과거)'!$A:$F,$2:$2,0)),VLOOKUP($B:$B,'BS(과거)'!$A:$F,$2:$2,0),0)</f>
        <v>0</v>
      </c>
      <c r="K521" s="207">
        <f>IF(ISNUMBER(VLOOKUP($B:$B,'BS(과거)'!$A:$F,$2:$2,0)),VLOOKUP($B:$B,'BS(과거)'!$A:$F,$2:$2,0),0)</f>
        <v>0</v>
      </c>
      <c r="L521" s="207">
        <f>IF(ISNUMBER(VLOOKUP($B:$B,'BS(과거)'!$A:$F,$2:$2,0)),VLOOKUP($B:$B,'BS(과거)'!$A:$F,$2:$2,0),0)</f>
        <v>0</v>
      </c>
      <c r="N521" s="207">
        <f>IF(ISNUMBER(VLOOKUP($B:$B,'BS(분기)'!$A:$F,$2:$2,0)),VLOOKUP($B:$B,'BS(분기)'!$A:$F,$2:$2,0),0)</f>
        <v>0</v>
      </c>
      <c r="O521" s="207">
        <f>IF(ISNUMBER(VLOOKUP($B:$B,'BS(분기)'!$A:$F,$2:$2,0)),VLOOKUP($B:$B,'BS(분기)'!$A:$F,$2:$2,0),0)</f>
        <v>0</v>
      </c>
      <c r="P521" s="207">
        <f>IF(ISNUMBER(VLOOKUP($B:$B,'BS(분기)'!$A:$F,$2:$2,0)),VLOOKUP($B:$B,'BS(분기)'!$A:$F,$2:$2,0),0)</f>
        <v>0</v>
      </c>
      <c r="Q521" s="207">
        <f>IF(ISNUMBER(VLOOKUP($B:$B,'BS(분기)'!$A:$F,$2:$2,0)),VLOOKUP($B:$B,'BS(분기)'!$A:$F,$2:$2,0),0)</f>
        <v>0</v>
      </c>
      <c r="R521" s="207">
        <f>IF(ISNUMBER(VLOOKUP($B:$B,'BS(분기)'!$A:$F,$2:$2,0)),VLOOKUP($B:$B,'BS(분기)'!$A:$F,$2:$2,0),0)</f>
        <v>0</v>
      </c>
    </row>
    <row r="522" spans="1:18" s="192" customFormat="1" ht="12">
      <c r="A522" s="203">
        <v>115162</v>
      </c>
      <c r="B522" s="196" t="s">
        <v>1219</v>
      </c>
      <c r="C522" s="217">
        <f>IF(ISNUMBER(VLOOKUP($B:$B,BS!$A:$D,$2:$2,0)),VLOOKUP($B:$B,BS!$A:$D,$2:$2,0),0)</f>
        <v>0</v>
      </c>
      <c r="D522" s="217">
        <f>IF(ISNUMBER(VLOOKUP($B:$B,BS!$A:$D,$2:$2,0)),VLOOKUP($B:$B,BS!$A:$D,$2:$2,0),0)</f>
        <v>0</v>
      </c>
      <c r="E522" s="217">
        <f>IF(ISNUMBER(VLOOKUP($B:$B,BS!$A:$D,$2:$2,0)),VLOOKUP($B:$B,BS!$A:$D,$2:$2,0),0)</f>
        <v>0</v>
      </c>
      <c r="F522" s="217">
        <f>IF(ISNUMBER(VLOOKUP($B:$B,BS!$A:$D,$2:$2,0)),VLOOKUP($B:$B,BS!$A:$D,$2:$2,0),0)</f>
        <v>0</v>
      </c>
      <c r="G522" s="217">
        <f>IF(ISNUMBER(VLOOKUP($B:$B,BS!$A:$D,$2:$2,0)),VLOOKUP($B:$B,BS!$A:$D,$2:$2,0),0)</f>
        <v>0</v>
      </c>
      <c r="H522" s="207">
        <f>IF(ISNUMBER(VLOOKUP($B:$B,'BS(과거)'!$A:$F,$2:$2,0)),VLOOKUP($B:$B,'BS(과거)'!$A:$F,$2:$2,0),0)</f>
        <v>0</v>
      </c>
      <c r="I522" s="207">
        <f>IF(ISNUMBER(VLOOKUP($B:$B,'BS(과거)'!$A:$F,$2:$2,0)),VLOOKUP($B:$B,'BS(과거)'!$A:$F,$2:$2,0),0)</f>
        <v>0</v>
      </c>
      <c r="J522" s="207">
        <f>IF(ISNUMBER(VLOOKUP($B:$B,'BS(과거)'!$A:$F,$2:$2,0)),VLOOKUP($B:$B,'BS(과거)'!$A:$F,$2:$2,0),0)</f>
        <v>0</v>
      </c>
      <c r="K522" s="207">
        <f>IF(ISNUMBER(VLOOKUP($B:$B,'BS(과거)'!$A:$F,$2:$2,0)),VLOOKUP($B:$B,'BS(과거)'!$A:$F,$2:$2,0),0)</f>
        <v>0</v>
      </c>
      <c r="L522" s="207">
        <f>IF(ISNUMBER(VLOOKUP($B:$B,'BS(과거)'!$A:$F,$2:$2,0)),VLOOKUP($B:$B,'BS(과거)'!$A:$F,$2:$2,0),0)</f>
        <v>0</v>
      </c>
      <c r="N522" s="207">
        <f>IF(ISNUMBER(VLOOKUP($B:$B,'BS(분기)'!$A:$F,$2:$2,0)),VLOOKUP($B:$B,'BS(분기)'!$A:$F,$2:$2,0),0)</f>
        <v>0</v>
      </c>
      <c r="O522" s="207">
        <f>IF(ISNUMBER(VLOOKUP($B:$B,'BS(분기)'!$A:$F,$2:$2,0)),VLOOKUP($B:$B,'BS(분기)'!$A:$F,$2:$2,0),0)</f>
        <v>0</v>
      </c>
      <c r="P522" s="207">
        <f>IF(ISNUMBER(VLOOKUP($B:$B,'BS(분기)'!$A:$F,$2:$2,0)),VLOOKUP($B:$B,'BS(분기)'!$A:$F,$2:$2,0),0)</f>
        <v>0</v>
      </c>
      <c r="Q522" s="207">
        <f>IF(ISNUMBER(VLOOKUP($B:$B,'BS(분기)'!$A:$F,$2:$2,0)),VLOOKUP($B:$B,'BS(분기)'!$A:$F,$2:$2,0),0)</f>
        <v>0</v>
      </c>
      <c r="R522" s="207">
        <f>IF(ISNUMBER(VLOOKUP($B:$B,'BS(분기)'!$A:$F,$2:$2,0)),VLOOKUP($B:$B,'BS(분기)'!$A:$F,$2:$2,0),0)</f>
        <v>0</v>
      </c>
    </row>
    <row r="523" spans="1:18" s="192" customFormat="1" ht="12">
      <c r="A523" s="203">
        <v>115163</v>
      </c>
      <c r="B523" s="196" t="s">
        <v>1220</v>
      </c>
      <c r="C523" s="217">
        <f>IF(ISNUMBER(VLOOKUP($B:$B,BS!$A:$D,$2:$2,0)),VLOOKUP($B:$B,BS!$A:$D,$2:$2,0),0)</f>
        <v>0</v>
      </c>
      <c r="D523" s="217">
        <f>IF(ISNUMBER(VLOOKUP($B:$B,BS!$A:$D,$2:$2,0)),VLOOKUP($B:$B,BS!$A:$D,$2:$2,0),0)</f>
        <v>0</v>
      </c>
      <c r="E523" s="217">
        <f>IF(ISNUMBER(VLOOKUP($B:$B,BS!$A:$D,$2:$2,0)),VLOOKUP($B:$B,BS!$A:$D,$2:$2,0),0)</f>
        <v>0</v>
      </c>
      <c r="F523" s="217">
        <f>IF(ISNUMBER(VLOOKUP($B:$B,BS!$A:$D,$2:$2,0)),VLOOKUP($B:$B,BS!$A:$D,$2:$2,0),0)</f>
        <v>0</v>
      </c>
      <c r="G523" s="217">
        <f>IF(ISNUMBER(VLOOKUP($B:$B,BS!$A:$D,$2:$2,0)),VLOOKUP($B:$B,BS!$A:$D,$2:$2,0),0)</f>
        <v>0</v>
      </c>
      <c r="H523" s="207">
        <f>IF(ISNUMBER(VLOOKUP($B:$B,'BS(과거)'!$A:$F,$2:$2,0)),VLOOKUP($B:$B,'BS(과거)'!$A:$F,$2:$2,0),0)</f>
        <v>0</v>
      </c>
      <c r="I523" s="207">
        <f>IF(ISNUMBER(VLOOKUP($B:$B,'BS(과거)'!$A:$F,$2:$2,0)),VLOOKUP($B:$B,'BS(과거)'!$A:$F,$2:$2,0),0)</f>
        <v>0</v>
      </c>
      <c r="J523" s="207">
        <f>IF(ISNUMBER(VLOOKUP($B:$B,'BS(과거)'!$A:$F,$2:$2,0)),VLOOKUP($B:$B,'BS(과거)'!$A:$F,$2:$2,0),0)</f>
        <v>0</v>
      </c>
      <c r="K523" s="207">
        <f>IF(ISNUMBER(VLOOKUP($B:$B,'BS(과거)'!$A:$F,$2:$2,0)),VLOOKUP($B:$B,'BS(과거)'!$A:$F,$2:$2,0),0)</f>
        <v>0</v>
      </c>
      <c r="L523" s="207">
        <f>IF(ISNUMBER(VLOOKUP($B:$B,'BS(과거)'!$A:$F,$2:$2,0)),VLOOKUP($B:$B,'BS(과거)'!$A:$F,$2:$2,0),0)</f>
        <v>0</v>
      </c>
      <c r="N523" s="207">
        <f>IF(ISNUMBER(VLOOKUP($B:$B,'BS(분기)'!$A:$F,$2:$2,0)),VLOOKUP($B:$B,'BS(분기)'!$A:$F,$2:$2,0),0)</f>
        <v>0</v>
      </c>
      <c r="O523" s="207">
        <f>IF(ISNUMBER(VLOOKUP($B:$B,'BS(분기)'!$A:$F,$2:$2,0)),VLOOKUP($B:$B,'BS(분기)'!$A:$F,$2:$2,0),0)</f>
        <v>0</v>
      </c>
      <c r="P523" s="207">
        <f>IF(ISNUMBER(VLOOKUP($B:$B,'BS(분기)'!$A:$F,$2:$2,0)),VLOOKUP($B:$B,'BS(분기)'!$A:$F,$2:$2,0),0)</f>
        <v>0</v>
      </c>
      <c r="Q523" s="207">
        <f>IF(ISNUMBER(VLOOKUP($B:$B,'BS(분기)'!$A:$F,$2:$2,0)),VLOOKUP($B:$B,'BS(분기)'!$A:$F,$2:$2,0),0)</f>
        <v>0</v>
      </c>
      <c r="R523" s="207">
        <f>IF(ISNUMBER(VLOOKUP($B:$B,'BS(분기)'!$A:$F,$2:$2,0)),VLOOKUP($B:$B,'BS(분기)'!$A:$F,$2:$2,0),0)</f>
        <v>0</v>
      </c>
    </row>
    <row r="524" spans="1:18" s="192" customFormat="1" ht="12">
      <c r="A524" s="203">
        <v>115164</v>
      </c>
      <c r="B524" s="196" t="s">
        <v>833</v>
      </c>
      <c r="C524" s="217">
        <f>IF(ISNUMBER(VLOOKUP($B:$B,BS!$A:$D,$2:$2,0)),VLOOKUP($B:$B,BS!$A:$D,$2:$2,0),0)</f>
        <v>0</v>
      </c>
      <c r="D524" s="217">
        <f>IF(ISNUMBER(VLOOKUP($B:$B,BS!$A:$D,$2:$2,0)),VLOOKUP($B:$B,BS!$A:$D,$2:$2,0),0)</f>
        <v>0</v>
      </c>
      <c r="E524" s="217">
        <f>IF(ISNUMBER(VLOOKUP($B:$B,BS!$A:$D,$2:$2,0)),VLOOKUP($B:$B,BS!$A:$D,$2:$2,0),0)</f>
        <v>0</v>
      </c>
      <c r="F524" s="217">
        <f>IF(ISNUMBER(VLOOKUP($B:$B,BS!$A:$D,$2:$2,0)),VLOOKUP($B:$B,BS!$A:$D,$2:$2,0),0)</f>
        <v>0</v>
      </c>
      <c r="G524" s="217">
        <f>IF(ISNUMBER(VLOOKUP($B:$B,BS!$A:$D,$2:$2,0)),VLOOKUP($B:$B,BS!$A:$D,$2:$2,0),0)</f>
        <v>0</v>
      </c>
      <c r="H524" s="207">
        <f>IF(ISNUMBER(VLOOKUP($B:$B,'BS(과거)'!$A:$F,$2:$2,0)),VLOOKUP($B:$B,'BS(과거)'!$A:$F,$2:$2,0),0)</f>
        <v>0</v>
      </c>
      <c r="I524" s="207">
        <f>IF(ISNUMBER(VLOOKUP($B:$B,'BS(과거)'!$A:$F,$2:$2,0)),VLOOKUP($B:$B,'BS(과거)'!$A:$F,$2:$2,0),0)</f>
        <v>0</v>
      </c>
      <c r="J524" s="207">
        <f>IF(ISNUMBER(VLOOKUP($B:$B,'BS(과거)'!$A:$F,$2:$2,0)),VLOOKUP($B:$B,'BS(과거)'!$A:$F,$2:$2,0),0)</f>
        <v>0</v>
      </c>
      <c r="K524" s="207">
        <f>IF(ISNUMBER(VLOOKUP($B:$B,'BS(과거)'!$A:$F,$2:$2,0)),VLOOKUP($B:$B,'BS(과거)'!$A:$F,$2:$2,0),0)</f>
        <v>0</v>
      </c>
      <c r="L524" s="207">
        <f>IF(ISNUMBER(VLOOKUP($B:$B,'BS(과거)'!$A:$F,$2:$2,0)),VLOOKUP($B:$B,'BS(과거)'!$A:$F,$2:$2,0),0)</f>
        <v>0</v>
      </c>
      <c r="N524" s="207">
        <f>IF(ISNUMBER(VLOOKUP($B:$B,'BS(분기)'!$A:$F,$2:$2,0)),VLOOKUP($B:$B,'BS(분기)'!$A:$F,$2:$2,0),0)</f>
        <v>0</v>
      </c>
      <c r="O524" s="207">
        <f>IF(ISNUMBER(VLOOKUP($B:$B,'BS(분기)'!$A:$F,$2:$2,0)),VLOOKUP($B:$B,'BS(분기)'!$A:$F,$2:$2,0),0)</f>
        <v>0</v>
      </c>
      <c r="P524" s="207">
        <f>IF(ISNUMBER(VLOOKUP($B:$B,'BS(분기)'!$A:$F,$2:$2,0)),VLOOKUP($B:$B,'BS(분기)'!$A:$F,$2:$2,0),0)</f>
        <v>0</v>
      </c>
      <c r="Q524" s="207">
        <f>IF(ISNUMBER(VLOOKUP($B:$B,'BS(분기)'!$A:$F,$2:$2,0)),VLOOKUP($B:$B,'BS(분기)'!$A:$F,$2:$2,0),0)</f>
        <v>0</v>
      </c>
      <c r="R524" s="207">
        <f>IF(ISNUMBER(VLOOKUP($B:$B,'BS(분기)'!$A:$F,$2:$2,0)),VLOOKUP($B:$B,'BS(분기)'!$A:$F,$2:$2,0),0)</f>
        <v>0</v>
      </c>
    </row>
    <row r="525" spans="1:18" s="192" customFormat="1" ht="12">
      <c r="A525" s="202">
        <v>115171</v>
      </c>
      <c r="B525" s="195" t="s">
        <v>821</v>
      </c>
      <c r="C525" s="217">
        <f>IF(ISNUMBER(VLOOKUP($B:$B,BS!$A:$D,$2:$2,0)),VLOOKUP($B:$B,BS!$A:$D,$2:$2,0),0)</f>
        <v>0</v>
      </c>
      <c r="D525" s="217">
        <f>IF(ISNUMBER(VLOOKUP($B:$B,BS!$A:$D,$2:$2,0)),VLOOKUP($B:$B,BS!$A:$D,$2:$2,0),0)</f>
        <v>0</v>
      </c>
      <c r="E525" s="217">
        <f>IF(ISNUMBER(VLOOKUP($B:$B,BS!$A:$D,$2:$2,0)),VLOOKUP($B:$B,BS!$A:$D,$2:$2,0),0)</f>
        <v>0</v>
      </c>
      <c r="F525" s="217">
        <f>IF(ISNUMBER(VLOOKUP($B:$B,BS!$A:$D,$2:$2,0)),VLOOKUP($B:$B,BS!$A:$D,$2:$2,0),0)</f>
        <v>0</v>
      </c>
      <c r="G525" s="217">
        <f>IF(ISNUMBER(VLOOKUP($B:$B,BS!$A:$D,$2:$2,0)),VLOOKUP($B:$B,BS!$A:$D,$2:$2,0),0)</f>
        <v>0</v>
      </c>
      <c r="H525" s="207">
        <f>IF(ISNUMBER(VLOOKUP($B:$B,'BS(과거)'!$A:$F,$2:$2,0)),VLOOKUP($B:$B,'BS(과거)'!$A:$F,$2:$2,0),0)</f>
        <v>0</v>
      </c>
      <c r="I525" s="207">
        <f>IF(ISNUMBER(VLOOKUP($B:$B,'BS(과거)'!$A:$F,$2:$2,0)),VLOOKUP($B:$B,'BS(과거)'!$A:$F,$2:$2,0),0)</f>
        <v>0</v>
      </c>
      <c r="J525" s="207">
        <f>IF(ISNUMBER(VLOOKUP($B:$B,'BS(과거)'!$A:$F,$2:$2,0)),VLOOKUP($B:$B,'BS(과거)'!$A:$F,$2:$2,0),0)</f>
        <v>0</v>
      </c>
      <c r="K525" s="207">
        <f>IF(ISNUMBER(VLOOKUP($B:$B,'BS(과거)'!$A:$F,$2:$2,0)),VLOOKUP($B:$B,'BS(과거)'!$A:$F,$2:$2,0),0)</f>
        <v>0</v>
      </c>
      <c r="L525" s="207">
        <f>IF(ISNUMBER(VLOOKUP($B:$B,'BS(과거)'!$A:$F,$2:$2,0)),VLOOKUP($B:$B,'BS(과거)'!$A:$F,$2:$2,0),0)</f>
        <v>0</v>
      </c>
      <c r="N525" s="207">
        <f>IF(ISNUMBER(VLOOKUP($B:$B,'BS(분기)'!$A:$F,$2:$2,0)),VLOOKUP($B:$B,'BS(분기)'!$A:$F,$2:$2,0),0)</f>
        <v>0</v>
      </c>
      <c r="O525" s="207">
        <f>IF(ISNUMBER(VLOOKUP($B:$B,'BS(분기)'!$A:$F,$2:$2,0)),VLOOKUP($B:$B,'BS(분기)'!$A:$F,$2:$2,0),0)</f>
        <v>0</v>
      </c>
      <c r="P525" s="207">
        <f>IF(ISNUMBER(VLOOKUP($B:$B,'BS(분기)'!$A:$F,$2:$2,0)),VLOOKUP($B:$B,'BS(분기)'!$A:$F,$2:$2,0),0)</f>
        <v>0</v>
      </c>
      <c r="Q525" s="207">
        <f>IF(ISNUMBER(VLOOKUP($B:$B,'BS(분기)'!$A:$F,$2:$2,0)),VLOOKUP($B:$B,'BS(분기)'!$A:$F,$2:$2,0),0)</f>
        <v>0</v>
      </c>
      <c r="R525" s="207">
        <f>IF(ISNUMBER(VLOOKUP($B:$B,'BS(분기)'!$A:$F,$2:$2,0)),VLOOKUP($B:$B,'BS(분기)'!$A:$F,$2:$2,0),0)</f>
        <v>0</v>
      </c>
    </row>
    <row r="526" spans="1:18" s="192" customFormat="1" ht="12">
      <c r="A526" s="203">
        <v>115170</v>
      </c>
      <c r="B526" s="196" t="s">
        <v>1221</v>
      </c>
      <c r="C526" s="217">
        <f>IF(ISNUMBER(VLOOKUP($B:$B,BS!$A:$D,$2:$2,0)),VLOOKUP($B:$B,BS!$A:$D,$2:$2,0),0)</f>
        <v>0</v>
      </c>
      <c r="D526" s="217">
        <f>IF(ISNUMBER(VLOOKUP($B:$B,BS!$A:$D,$2:$2,0)),VLOOKUP($B:$B,BS!$A:$D,$2:$2,0),0)</f>
        <v>0</v>
      </c>
      <c r="E526" s="217">
        <f>IF(ISNUMBER(VLOOKUP($B:$B,BS!$A:$D,$2:$2,0)),VLOOKUP($B:$B,BS!$A:$D,$2:$2,0),0)</f>
        <v>0</v>
      </c>
      <c r="F526" s="217">
        <f>IF(ISNUMBER(VLOOKUP($B:$B,BS!$A:$D,$2:$2,0)),VLOOKUP($B:$B,BS!$A:$D,$2:$2,0),0)</f>
        <v>0</v>
      </c>
      <c r="G526" s="217">
        <f>IF(ISNUMBER(VLOOKUP($B:$B,BS!$A:$D,$2:$2,0)),VLOOKUP($B:$B,BS!$A:$D,$2:$2,0),0)</f>
        <v>0</v>
      </c>
      <c r="H526" s="207">
        <f>IF(ISNUMBER(VLOOKUP($B:$B,'BS(과거)'!$A:$F,$2:$2,0)),VLOOKUP($B:$B,'BS(과거)'!$A:$F,$2:$2,0),0)</f>
        <v>0</v>
      </c>
      <c r="I526" s="207">
        <f>IF(ISNUMBER(VLOOKUP($B:$B,'BS(과거)'!$A:$F,$2:$2,0)),VLOOKUP($B:$B,'BS(과거)'!$A:$F,$2:$2,0),0)</f>
        <v>0</v>
      </c>
      <c r="J526" s="207">
        <f>IF(ISNUMBER(VLOOKUP($B:$B,'BS(과거)'!$A:$F,$2:$2,0)),VLOOKUP($B:$B,'BS(과거)'!$A:$F,$2:$2,0),0)</f>
        <v>0</v>
      </c>
      <c r="K526" s="207">
        <f>IF(ISNUMBER(VLOOKUP($B:$B,'BS(과거)'!$A:$F,$2:$2,0)),VLOOKUP($B:$B,'BS(과거)'!$A:$F,$2:$2,0),0)</f>
        <v>0</v>
      </c>
      <c r="L526" s="207">
        <f>IF(ISNUMBER(VLOOKUP($B:$B,'BS(과거)'!$A:$F,$2:$2,0)),VLOOKUP($B:$B,'BS(과거)'!$A:$F,$2:$2,0),0)</f>
        <v>0</v>
      </c>
      <c r="N526" s="207">
        <f>IF(ISNUMBER(VLOOKUP($B:$B,'BS(분기)'!$A:$F,$2:$2,0)),VLOOKUP($B:$B,'BS(분기)'!$A:$F,$2:$2,0),0)</f>
        <v>0</v>
      </c>
      <c r="O526" s="207">
        <f>IF(ISNUMBER(VLOOKUP($B:$B,'BS(분기)'!$A:$F,$2:$2,0)),VLOOKUP($B:$B,'BS(분기)'!$A:$F,$2:$2,0),0)</f>
        <v>0</v>
      </c>
      <c r="P526" s="207">
        <f>IF(ISNUMBER(VLOOKUP($B:$B,'BS(분기)'!$A:$F,$2:$2,0)),VLOOKUP($B:$B,'BS(분기)'!$A:$F,$2:$2,0),0)</f>
        <v>0</v>
      </c>
      <c r="Q526" s="207">
        <f>IF(ISNUMBER(VLOOKUP($B:$B,'BS(분기)'!$A:$F,$2:$2,0)),VLOOKUP($B:$B,'BS(분기)'!$A:$F,$2:$2,0),0)</f>
        <v>0</v>
      </c>
      <c r="R526" s="207">
        <f>IF(ISNUMBER(VLOOKUP($B:$B,'BS(분기)'!$A:$F,$2:$2,0)),VLOOKUP($B:$B,'BS(분기)'!$A:$F,$2:$2,0),0)</f>
        <v>0</v>
      </c>
    </row>
    <row r="527" spans="1:18" s="192" customFormat="1" ht="12">
      <c r="A527" s="203">
        <v>115175</v>
      </c>
      <c r="B527" s="196" t="s">
        <v>1222</v>
      </c>
      <c r="C527" s="217">
        <f>IF(ISNUMBER(VLOOKUP($B:$B,BS!$A:$D,$2:$2,0)),VLOOKUP($B:$B,BS!$A:$D,$2:$2,0),0)</f>
        <v>0</v>
      </c>
      <c r="D527" s="217">
        <f>IF(ISNUMBER(VLOOKUP($B:$B,BS!$A:$D,$2:$2,0)),VLOOKUP($B:$B,BS!$A:$D,$2:$2,0),0)</f>
        <v>0</v>
      </c>
      <c r="E527" s="217">
        <f>IF(ISNUMBER(VLOOKUP($B:$B,BS!$A:$D,$2:$2,0)),VLOOKUP($B:$B,BS!$A:$D,$2:$2,0),0)</f>
        <v>0</v>
      </c>
      <c r="F527" s="217">
        <f>IF(ISNUMBER(VLOOKUP($B:$B,BS!$A:$D,$2:$2,0)),VLOOKUP($B:$B,BS!$A:$D,$2:$2,0),0)</f>
        <v>0</v>
      </c>
      <c r="G527" s="217">
        <f>IF(ISNUMBER(VLOOKUP($B:$B,BS!$A:$D,$2:$2,0)),VLOOKUP($B:$B,BS!$A:$D,$2:$2,0),0)</f>
        <v>0</v>
      </c>
      <c r="H527" s="207">
        <f>IF(ISNUMBER(VLOOKUP($B:$B,'BS(과거)'!$A:$F,$2:$2,0)),VLOOKUP($B:$B,'BS(과거)'!$A:$F,$2:$2,0),0)</f>
        <v>0</v>
      </c>
      <c r="I527" s="207">
        <f>IF(ISNUMBER(VLOOKUP($B:$B,'BS(과거)'!$A:$F,$2:$2,0)),VLOOKUP($B:$B,'BS(과거)'!$A:$F,$2:$2,0),0)</f>
        <v>0</v>
      </c>
      <c r="J527" s="207">
        <f>IF(ISNUMBER(VLOOKUP($B:$B,'BS(과거)'!$A:$F,$2:$2,0)),VLOOKUP($B:$B,'BS(과거)'!$A:$F,$2:$2,0),0)</f>
        <v>0</v>
      </c>
      <c r="K527" s="207">
        <f>IF(ISNUMBER(VLOOKUP($B:$B,'BS(과거)'!$A:$F,$2:$2,0)),VLOOKUP($B:$B,'BS(과거)'!$A:$F,$2:$2,0),0)</f>
        <v>0</v>
      </c>
      <c r="L527" s="207">
        <f>IF(ISNUMBER(VLOOKUP($B:$B,'BS(과거)'!$A:$F,$2:$2,0)),VLOOKUP($B:$B,'BS(과거)'!$A:$F,$2:$2,0),0)</f>
        <v>0</v>
      </c>
      <c r="N527" s="207">
        <f>IF(ISNUMBER(VLOOKUP($B:$B,'BS(분기)'!$A:$F,$2:$2,0)),VLOOKUP($B:$B,'BS(분기)'!$A:$F,$2:$2,0),0)</f>
        <v>0</v>
      </c>
      <c r="O527" s="207">
        <f>IF(ISNUMBER(VLOOKUP($B:$B,'BS(분기)'!$A:$F,$2:$2,0)),VLOOKUP($B:$B,'BS(분기)'!$A:$F,$2:$2,0),0)</f>
        <v>0</v>
      </c>
      <c r="P527" s="207">
        <f>IF(ISNUMBER(VLOOKUP($B:$B,'BS(분기)'!$A:$F,$2:$2,0)),VLOOKUP($B:$B,'BS(분기)'!$A:$F,$2:$2,0),0)</f>
        <v>0</v>
      </c>
      <c r="Q527" s="207">
        <f>IF(ISNUMBER(VLOOKUP($B:$B,'BS(분기)'!$A:$F,$2:$2,0)),VLOOKUP($B:$B,'BS(분기)'!$A:$F,$2:$2,0),0)</f>
        <v>0</v>
      </c>
      <c r="R527" s="207">
        <f>IF(ISNUMBER(VLOOKUP($B:$B,'BS(분기)'!$A:$F,$2:$2,0)),VLOOKUP($B:$B,'BS(분기)'!$A:$F,$2:$2,0),0)</f>
        <v>0</v>
      </c>
    </row>
    <row r="528" spans="1:18" s="192" customFormat="1" ht="12">
      <c r="A528" s="203">
        <v>115176</v>
      </c>
      <c r="B528" s="196" t="s">
        <v>1223</v>
      </c>
      <c r="C528" s="217">
        <f>IF(ISNUMBER(VLOOKUP($B:$B,BS!$A:$D,$2:$2,0)),VLOOKUP($B:$B,BS!$A:$D,$2:$2,0),0)</f>
        <v>0</v>
      </c>
      <c r="D528" s="217">
        <f>IF(ISNUMBER(VLOOKUP($B:$B,BS!$A:$D,$2:$2,0)),VLOOKUP($B:$B,BS!$A:$D,$2:$2,0),0)</f>
        <v>0</v>
      </c>
      <c r="E528" s="217">
        <f>IF(ISNUMBER(VLOOKUP($B:$B,BS!$A:$D,$2:$2,0)),VLOOKUP($B:$B,BS!$A:$D,$2:$2,0),0)</f>
        <v>0</v>
      </c>
      <c r="F528" s="217">
        <f>IF(ISNUMBER(VLOOKUP($B:$B,BS!$A:$D,$2:$2,0)),VLOOKUP($B:$B,BS!$A:$D,$2:$2,0),0)</f>
        <v>0</v>
      </c>
      <c r="G528" s="217">
        <f>IF(ISNUMBER(VLOOKUP($B:$B,BS!$A:$D,$2:$2,0)),VLOOKUP($B:$B,BS!$A:$D,$2:$2,0),0)</f>
        <v>0</v>
      </c>
      <c r="H528" s="207">
        <f>IF(ISNUMBER(VLOOKUP($B:$B,'BS(과거)'!$A:$F,$2:$2,0)),VLOOKUP($B:$B,'BS(과거)'!$A:$F,$2:$2,0),0)</f>
        <v>0</v>
      </c>
      <c r="I528" s="207">
        <f>IF(ISNUMBER(VLOOKUP($B:$B,'BS(과거)'!$A:$F,$2:$2,0)),VLOOKUP($B:$B,'BS(과거)'!$A:$F,$2:$2,0),0)</f>
        <v>0</v>
      </c>
      <c r="J528" s="207">
        <f>IF(ISNUMBER(VLOOKUP($B:$B,'BS(과거)'!$A:$F,$2:$2,0)),VLOOKUP($B:$B,'BS(과거)'!$A:$F,$2:$2,0),0)</f>
        <v>0</v>
      </c>
      <c r="K528" s="207">
        <f>IF(ISNUMBER(VLOOKUP($B:$B,'BS(과거)'!$A:$F,$2:$2,0)),VLOOKUP($B:$B,'BS(과거)'!$A:$F,$2:$2,0),0)</f>
        <v>0</v>
      </c>
      <c r="L528" s="207">
        <f>IF(ISNUMBER(VLOOKUP($B:$B,'BS(과거)'!$A:$F,$2:$2,0)),VLOOKUP($B:$B,'BS(과거)'!$A:$F,$2:$2,0),0)</f>
        <v>0</v>
      </c>
      <c r="N528" s="207">
        <f>IF(ISNUMBER(VLOOKUP($B:$B,'BS(분기)'!$A:$F,$2:$2,0)),VLOOKUP($B:$B,'BS(분기)'!$A:$F,$2:$2,0),0)</f>
        <v>0</v>
      </c>
      <c r="O528" s="207">
        <f>IF(ISNUMBER(VLOOKUP($B:$B,'BS(분기)'!$A:$F,$2:$2,0)),VLOOKUP($B:$B,'BS(분기)'!$A:$F,$2:$2,0),0)</f>
        <v>0</v>
      </c>
      <c r="P528" s="207">
        <f>IF(ISNUMBER(VLOOKUP($B:$B,'BS(분기)'!$A:$F,$2:$2,0)),VLOOKUP($B:$B,'BS(분기)'!$A:$F,$2:$2,0),0)</f>
        <v>0</v>
      </c>
      <c r="Q528" s="207">
        <f>IF(ISNUMBER(VLOOKUP($B:$B,'BS(분기)'!$A:$F,$2:$2,0)),VLOOKUP($B:$B,'BS(분기)'!$A:$F,$2:$2,0),0)</f>
        <v>0</v>
      </c>
      <c r="R528" s="207">
        <f>IF(ISNUMBER(VLOOKUP($B:$B,'BS(분기)'!$A:$F,$2:$2,0)),VLOOKUP($B:$B,'BS(분기)'!$A:$F,$2:$2,0),0)</f>
        <v>0</v>
      </c>
    </row>
    <row r="529" spans="1:18" s="192" customFormat="1" ht="12">
      <c r="A529" s="202">
        <v>115180</v>
      </c>
      <c r="B529" s="195" t="s">
        <v>580</v>
      </c>
      <c r="C529" s="217">
        <f>IF(ISNUMBER(VLOOKUP($B:$B,BS!$A:$D,$2:$2,0)),VLOOKUP($B:$B,BS!$A:$D,$2:$2,0),0)</f>
        <v>0</v>
      </c>
      <c r="D529" s="217">
        <f>IF(ISNUMBER(VLOOKUP($B:$B,BS!$A:$D,$2:$2,0)),VLOOKUP($B:$B,BS!$A:$D,$2:$2,0),0)</f>
        <v>0</v>
      </c>
      <c r="E529" s="217">
        <f>IF(ISNUMBER(VLOOKUP($B:$B,BS!$A:$D,$2:$2,0)),VLOOKUP($B:$B,BS!$A:$D,$2:$2,0),0)</f>
        <v>0</v>
      </c>
      <c r="F529" s="217">
        <f>IF(ISNUMBER(VLOOKUP($B:$B,BS!$A:$D,$2:$2,0)),VLOOKUP($B:$B,BS!$A:$D,$2:$2,0),0)</f>
        <v>0</v>
      </c>
      <c r="G529" s="217">
        <f>IF(ISNUMBER(VLOOKUP($B:$B,BS!$A:$D,$2:$2,0)),VLOOKUP($B:$B,BS!$A:$D,$2:$2,0),0)</f>
        <v>0</v>
      </c>
      <c r="H529" s="207">
        <f>IF(ISNUMBER(VLOOKUP($B:$B,'BS(과거)'!$A:$F,$2:$2,0)),VLOOKUP($B:$B,'BS(과거)'!$A:$F,$2:$2,0),0)</f>
        <v>0</v>
      </c>
      <c r="I529" s="207">
        <f>IF(ISNUMBER(VLOOKUP($B:$B,'BS(과거)'!$A:$F,$2:$2,0)),VLOOKUP($B:$B,'BS(과거)'!$A:$F,$2:$2,0),0)</f>
        <v>0</v>
      </c>
      <c r="J529" s="207">
        <f>IF(ISNUMBER(VLOOKUP($B:$B,'BS(과거)'!$A:$F,$2:$2,0)),VLOOKUP($B:$B,'BS(과거)'!$A:$F,$2:$2,0),0)</f>
        <v>0</v>
      </c>
      <c r="K529" s="207">
        <f>IF(ISNUMBER(VLOOKUP($B:$B,'BS(과거)'!$A:$F,$2:$2,0)),VLOOKUP($B:$B,'BS(과거)'!$A:$F,$2:$2,0),0)</f>
        <v>0</v>
      </c>
      <c r="L529" s="207">
        <f>IF(ISNUMBER(VLOOKUP($B:$B,'BS(과거)'!$A:$F,$2:$2,0)),VLOOKUP($B:$B,'BS(과거)'!$A:$F,$2:$2,0),0)</f>
        <v>0</v>
      </c>
      <c r="N529" s="207">
        <f>IF(ISNUMBER(VLOOKUP($B:$B,'BS(분기)'!$A:$F,$2:$2,0)),VLOOKUP($B:$B,'BS(분기)'!$A:$F,$2:$2,0),0)</f>
        <v>0</v>
      </c>
      <c r="O529" s="207">
        <f>IF(ISNUMBER(VLOOKUP($B:$B,'BS(분기)'!$A:$F,$2:$2,0)),VLOOKUP($B:$B,'BS(분기)'!$A:$F,$2:$2,0),0)</f>
        <v>0</v>
      </c>
      <c r="P529" s="207">
        <f>IF(ISNUMBER(VLOOKUP($B:$B,'BS(분기)'!$A:$F,$2:$2,0)),VLOOKUP($B:$B,'BS(분기)'!$A:$F,$2:$2,0),0)</f>
        <v>0</v>
      </c>
      <c r="Q529" s="207">
        <f>IF(ISNUMBER(VLOOKUP($B:$B,'BS(분기)'!$A:$F,$2:$2,0)),VLOOKUP($B:$B,'BS(분기)'!$A:$F,$2:$2,0),0)</f>
        <v>0</v>
      </c>
      <c r="R529" s="207">
        <f>IF(ISNUMBER(VLOOKUP($B:$B,'BS(분기)'!$A:$F,$2:$2,0)),VLOOKUP($B:$B,'BS(분기)'!$A:$F,$2:$2,0),0)</f>
        <v>0</v>
      </c>
    </row>
    <row r="530" spans="1:18" s="192" customFormat="1" ht="12">
      <c r="A530" s="202">
        <v>115185</v>
      </c>
      <c r="B530" s="195" t="s">
        <v>1224</v>
      </c>
      <c r="C530" s="217">
        <f>IF(ISNUMBER(VLOOKUP($B:$B,BS!$A:$D,$2:$2,0)),VLOOKUP($B:$B,BS!$A:$D,$2:$2,0),0)</f>
        <v>0</v>
      </c>
      <c r="D530" s="217">
        <f>IF(ISNUMBER(VLOOKUP($B:$B,BS!$A:$D,$2:$2,0)),VLOOKUP($B:$B,BS!$A:$D,$2:$2,0),0)</f>
        <v>0</v>
      </c>
      <c r="E530" s="217">
        <f>IF(ISNUMBER(VLOOKUP($B:$B,BS!$A:$D,$2:$2,0)),VLOOKUP($B:$B,BS!$A:$D,$2:$2,0),0)</f>
        <v>0</v>
      </c>
      <c r="F530" s="217">
        <f>IF(ISNUMBER(VLOOKUP($B:$B,BS!$A:$D,$2:$2,0)),VLOOKUP($B:$B,BS!$A:$D,$2:$2,0),0)</f>
        <v>0</v>
      </c>
      <c r="G530" s="217">
        <f>IF(ISNUMBER(VLOOKUP($B:$B,BS!$A:$D,$2:$2,0)),VLOOKUP($B:$B,BS!$A:$D,$2:$2,0),0)</f>
        <v>0</v>
      </c>
      <c r="H530" s="207">
        <f>IF(ISNUMBER(VLOOKUP($B:$B,'BS(과거)'!$A:$F,$2:$2,0)),VLOOKUP($B:$B,'BS(과거)'!$A:$F,$2:$2,0),0)</f>
        <v>0</v>
      </c>
      <c r="I530" s="207">
        <f>IF(ISNUMBER(VLOOKUP($B:$B,'BS(과거)'!$A:$F,$2:$2,0)),VLOOKUP($B:$B,'BS(과거)'!$A:$F,$2:$2,0),0)</f>
        <v>0</v>
      </c>
      <c r="J530" s="207">
        <f>IF(ISNUMBER(VLOOKUP($B:$B,'BS(과거)'!$A:$F,$2:$2,0)),VLOOKUP($B:$B,'BS(과거)'!$A:$F,$2:$2,0),0)</f>
        <v>0</v>
      </c>
      <c r="K530" s="207">
        <f>IF(ISNUMBER(VLOOKUP($B:$B,'BS(과거)'!$A:$F,$2:$2,0)),VLOOKUP($B:$B,'BS(과거)'!$A:$F,$2:$2,0),0)</f>
        <v>0</v>
      </c>
      <c r="L530" s="207">
        <f>IF(ISNUMBER(VLOOKUP($B:$B,'BS(과거)'!$A:$F,$2:$2,0)),VLOOKUP($B:$B,'BS(과거)'!$A:$F,$2:$2,0),0)</f>
        <v>0</v>
      </c>
      <c r="N530" s="207">
        <f>IF(ISNUMBER(VLOOKUP($B:$B,'BS(분기)'!$A:$F,$2:$2,0)),VLOOKUP($B:$B,'BS(분기)'!$A:$F,$2:$2,0),0)</f>
        <v>0</v>
      </c>
      <c r="O530" s="207">
        <f>IF(ISNUMBER(VLOOKUP($B:$B,'BS(분기)'!$A:$F,$2:$2,0)),VLOOKUP($B:$B,'BS(분기)'!$A:$F,$2:$2,0),0)</f>
        <v>0</v>
      </c>
      <c r="P530" s="207">
        <f>IF(ISNUMBER(VLOOKUP($B:$B,'BS(분기)'!$A:$F,$2:$2,0)),VLOOKUP($B:$B,'BS(분기)'!$A:$F,$2:$2,0),0)</f>
        <v>0</v>
      </c>
      <c r="Q530" s="207">
        <f>IF(ISNUMBER(VLOOKUP($B:$B,'BS(분기)'!$A:$F,$2:$2,0)),VLOOKUP($B:$B,'BS(분기)'!$A:$F,$2:$2,0),0)</f>
        <v>0</v>
      </c>
      <c r="R530" s="207">
        <f>IF(ISNUMBER(VLOOKUP($B:$B,'BS(분기)'!$A:$F,$2:$2,0)),VLOOKUP($B:$B,'BS(분기)'!$A:$F,$2:$2,0),0)</f>
        <v>0</v>
      </c>
    </row>
    <row r="531" spans="1:18" s="192" customFormat="1" ht="12">
      <c r="A531" s="202">
        <v>115190</v>
      </c>
      <c r="B531" s="195" t="s">
        <v>581</v>
      </c>
      <c r="C531" s="217">
        <f>IF(ISNUMBER(VLOOKUP($B:$B,BS!$A:$D,$2:$2,0)),VLOOKUP($B:$B,BS!$A:$D,$2:$2,0),0)</f>
        <v>0</v>
      </c>
      <c r="D531" s="217">
        <f>IF(ISNUMBER(VLOOKUP($B:$B,BS!$A:$D,$2:$2,0)),VLOOKUP($B:$B,BS!$A:$D,$2:$2,0),0)</f>
        <v>0</v>
      </c>
      <c r="E531" s="217">
        <f>IF(ISNUMBER(VLOOKUP($B:$B,BS!$A:$D,$2:$2,0)),VLOOKUP($B:$B,BS!$A:$D,$2:$2,0),0)</f>
        <v>0</v>
      </c>
      <c r="F531" s="217">
        <f>IF(ISNUMBER(VLOOKUP($B:$B,BS!$A:$D,$2:$2,0)),VLOOKUP($B:$B,BS!$A:$D,$2:$2,0),0)</f>
        <v>0</v>
      </c>
      <c r="G531" s="217">
        <f>IF(ISNUMBER(VLOOKUP($B:$B,BS!$A:$D,$2:$2,0)),VLOOKUP($B:$B,BS!$A:$D,$2:$2,0),0)</f>
        <v>0</v>
      </c>
      <c r="H531" s="207">
        <f>IF(ISNUMBER(VLOOKUP($B:$B,'BS(과거)'!$A:$F,$2:$2,0)),VLOOKUP($B:$B,'BS(과거)'!$A:$F,$2:$2,0),0)</f>
        <v>0</v>
      </c>
      <c r="I531" s="207">
        <f>IF(ISNUMBER(VLOOKUP($B:$B,'BS(과거)'!$A:$F,$2:$2,0)),VLOOKUP($B:$B,'BS(과거)'!$A:$F,$2:$2,0),0)</f>
        <v>0</v>
      </c>
      <c r="J531" s="207">
        <f>IF(ISNUMBER(VLOOKUP($B:$B,'BS(과거)'!$A:$F,$2:$2,0)),VLOOKUP($B:$B,'BS(과거)'!$A:$F,$2:$2,0),0)</f>
        <v>0</v>
      </c>
      <c r="K531" s="207">
        <f>IF(ISNUMBER(VLOOKUP($B:$B,'BS(과거)'!$A:$F,$2:$2,0)),VLOOKUP($B:$B,'BS(과거)'!$A:$F,$2:$2,0),0)</f>
        <v>0</v>
      </c>
      <c r="L531" s="207">
        <f>IF(ISNUMBER(VLOOKUP($B:$B,'BS(과거)'!$A:$F,$2:$2,0)),VLOOKUP($B:$B,'BS(과거)'!$A:$F,$2:$2,0),0)</f>
        <v>0</v>
      </c>
      <c r="N531" s="207">
        <f>IF(ISNUMBER(VLOOKUP($B:$B,'BS(분기)'!$A:$F,$2:$2,0)),VLOOKUP($B:$B,'BS(분기)'!$A:$F,$2:$2,0),0)</f>
        <v>0</v>
      </c>
      <c r="O531" s="207">
        <f>IF(ISNUMBER(VLOOKUP($B:$B,'BS(분기)'!$A:$F,$2:$2,0)),VLOOKUP($B:$B,'BS(분기)'!$A:$F,$2:$2,0),0)</f>
        <v>0</v>
      </c>
      <c r="P531" s="207">
        <f>IF(ISNUMBER(VLOOKUP($B:$B,'BS(분기)'!$A:$F,$2:$2,0)),VLOOKUP($B:$B,'BS(분기)'!$A:$F,$2:$2,0),0)</f>
        <v>0</v>
      </c>
      <c r="Q531" s="207">
        <f>IF(ISNUMBER(VLOOKUP($B:$B,'BS(분기)'!$A:$F,$2:$2,0)),VLOOKUP($B:$B,'BS(분기)'!$A:$F,$2:$2,0),0)</f>
        <v>0</v>
      </c>
      <c r="R531" s="207">
        <f>IF(ISNUMBER(VLOOKUP($B:$B,'BS(분기)'!$A:$F,$2:$2,0)),VLOOKUP($B:$B,'BS(분기)'!$A:$F,$2:$2,0),0)</f>
        <v>0</v>
      </c>
    </row>
    <row r="532" spans="1:18" s="192" customFormat="1" ht="12">
      <c r="A532" s="202">
        <v>115531</v>
      </c>
      <c r="B532" s="195" t="s">
        <v>1225</v>
      </c>
      <c r="C532" s="217">
        <f>IF(ISNUMBER(VLOOKUP($B:$B,BS!$A:$D,$2:$2,0)),VLOOKUP($B:$B,BS!$A:$D,$2:$2,0),0)</f>
        <v>0</v>
      </c>
      <c r="D532" s="217">
        <f>IF(ISNUMBER(VLOOKUP($B:$B,BS!$A:$D,$2:$2,0)),VLOOKUP($B:$B,BS!$A:$D,$2:$2,0),0)</f>
        <v>0</v>
      </c>
      <c r="E532" s="217">
        <f>IF(ISNUMBER(VLOOKUP($B:$B,BS!$A:$D,$2:$2,0)),VLOOKUP($B:$B,BS!$A:$D,$2:$2,0),0)</f>
        <v>0</v>
      </c>
      <c r="F532" s="217">
        <f>IF(ISNUMBER(VLOOKUP($B:$B,BS!$A:$D,$2:$2,0)),VLOOKUP($B:$B,BS!$A:$D,$2:$2,0),0)</f>
        <v>0</v>
      </c>
      <c r="G532" s="217">
        <f>IF(ISNUMBER(VLOOKUP($B:$B,BS!$A:$D,$2:$2,0)),VLOOKUP($B:$B,BS!$A:$D,$2:$2,0),0)</f>
        <v>0</v>
      </c>
      <c r="H532" s="207">
        <f>IF(ISNUMBER(VLOOKUP($B:$B,'BS(과거)'!$A:$F,$2:$2,0)),VLOOKUP($B:$B,'BS(과거)'!$A:$F,$2:$2,0),0)</f>
        <v>0</v>
      </c>
      <c r="I532" s="207">
        <f>IF(ISNUMBER(VLOOKUP($B:$B,'BS(과거)'!$A:$F,$2:$2,0)),VLOOKUP($B:$B,'BS(과거)'!$A:$F,$2:$2,0),0)</f>
        <v>0</v>
      </c>
      <c r="J532" s="207">
        <f>IF(ISNUMBER(VLOOKUP($B:$B,'BS(과거)'!$A:$F,$2:$2,0)),VLOOKUP($B:$B,'BS(과거)'!$A:$F,$2:$2,0),0)</f>
        <v>0</v>
      </c>
      <c r="K532" s="207">
        <f>IF(ISNUMBER(VLOOKUP($B:$B,'BS(과거)'!$A:$F,$2:$2,0)),VLOOKUP($B:$B,'BS(과거)'!$A:$F,$2:$2,0),0)</f>
        <v>0</v>
      </c>
      <c r="L532" s="207">
        <f>IF(ISNUMBER(VLOOKUP($B:$B,'BS(과거)'!$A:$F,$2:$2,0)),VLOOKUP($B:$B,'BS(과거)'!$A:$F,$2:$2,0),0)</f>
        <v>0</v>
      </c>
      <c r="N532" s="207">
        <f>IF(ISNUMBER(VLOOKUP($B:$B,'BS(분기)'!$A:$F,$2:$2,0)),VLOOKUP($B:$B,'BS(분기)'!$A:$F,$2:$2,0),0)</f>
        <v>0</v>
      </c>
      <c r="O532" s="207">
        <f>IF(ISNUMBER(VLOOKUP($B:$B,'BS(분기)'!$A:$F,$2:$2,0)),VLOOKUP($B:$B,'BS(분기)'!$A:$F,$2:$2,0),0)</f>
        <v>0</v>
      </c>
      <c r="P532" s="207">
        <f>IF(ISNUMBER(VLOOKUP($B:$B,'BS(분기)'!$A:$F,$2:$2,0)),VLOOKUP($B:$B,'BS(분기)'!$A:$F,$2:$2,0),0)</f>
        <v>0</v>
      </c>
      <c r="Q532" s="207">
        <f>IF(ISNUMBER(VLOOKUP($B:$B,'BS(분기)'!$A:$F,$2:$2,0)),VLOOKUP($B:$B,'BS(분기)'!$A:$F,$2:$2,0),0)</f>
        <v>0</v>
      </c>
      <c r="R532" s="207">
        <f>IF(ISNUMBER(VLOOKUP($B:$B,'BS(분기)'!$A:$F,$2:$2,0)),VLOOKUP($B:$B,'BS(분기)'!$A:$F,$2:$2,0),0)</f>
        <v>0</v>
      </c>
    </row>
    <row r="533" spans="1:18" s="192" customFormat="1" ht="12">
      <c r="A533" s="202">
        <v>115532</v>
      </c>
      <c r="B533" s="195" t="s">
        <v>1226</v>
      </c>
      <c r="C533" s="217">
        <f>IF(ISNUMBER(VLOOKUP($B:$B,BS!$A:$D,$2:$2,0)),VLOOKUP($B:$B,BS!$A:$D,$2:$2,0),0)</f>
        <v>0</v>
      </c>
      <c r="D533" s="217">
        <f>IF(ISNUMBER(VLOOKUP($B:$B,BS!$A:$D,$2:$2,0)),VLOOKUP($B:$B,BS!$A:$D,$2:$2,0),0)</f>
        <v>0</v>
      </c>
      <c r="E533" s="217">
        <f>IF(ISNUMBER(VLOOKUP($B:$B,BS!$A:$D,$2:$2,0)),VLOOKUP($B:$B,BS!$A:$D,$2:$2,0),0)</f>
        <v>0</v>
      </c>
      <c r="F533" s="217">
        <f>IF(ISNUMBER(VLOOKUP($B:$B,BS!$A:$D,$2:$2,0)),VLOOKUP($B:$B,BS!$A:$D,$2:$2,0),0)</f>
        <v>0</v>
      </c>
      <c r="G533" s="217">
        <f>IF(ISNUMBER(VLOOKUP($B:$B,BS!$A:$D,$2:$2,0)),VLOOKUP($B:$B,BS!$A:$D,$2:$2,0),0)</f>
        <v>0</v>
      </c>
      <c r="H533" s="207">
        <f>IF(ISNUMBER(VLOOKUP($B:$B,'BS(과거)'!$A:$F,$2:$2,0)),VLOOKUP($B:$B,'BS(과거)'!$A:$F,$2:$2,0),0)</f>
        <v>0</v>
      </c>
      <c r="I533" s="207">
        <f>IF(ISNUMBER(VLOOKUP($B:$B,'BS(과거)'!$A:$F,$2:$2,0)),VLOOKUP($B:$B,'BS(과거)'!$A:$F,$2:$2,0),0)</f>
        <v>0</v>
      </c>
      <c r="J533" s="207">
        <f>IF(ISNUMBER(VLOOKUP($B:$B,'BS(과거)'!$A:$F,$2:$2,0)),VLOOKUP($B:$B,'BS(과거)'!$A:$F,$2:$2,0),0)</f>
        <v>0</v>
      </c>
      <c r="K533" s="207">
        <f>IF(ISNUMBER(VLOOKUP($B:$B,'BS(과거)'!$A:$F,$2:$2,0)),VLOOKUP($B:$B,'BS(과거)'!$A:$F,$2:$2,0),0)</f>
        <v>0</v>
      </c>
      <c r="L533" s="207">
        <f>IF(ISNUMBER(VLOOKUP($B:$B,'BS(과거)'!$A:$F,$2:$2,0)),VLOOKUP($B:$B,'BS(과거)'!$A:$F,$2:$2,0),0)</f>
        <v>0</v>
      </c>
      <c r="N533" s="207">
        <f>IF(ISNUMBER(VLOOKUP($B:$B,'BS(분기)'!$A:$F,$2:$2,0)),VLOOKUP($B:$B,'BS(분기)'!$A:$F,$2:$2,0),0)</f>
        <v>0</v>
      </c>
      <c r="O533" s="207">
        <f>IF(ISNUMBER(VLOOKUP($B:$B,'BS(분기)'!$A:$F,$2:$2,0)),VLOOKUP($B:$B,'BS(분기)'!$A:$F,$2:$2,0),0)</f>
        <v>0</v>
      </c>
      <c r="P533" s="207">
        <f>IF(ISNUMBER(VLOOKUP($B:$B,'BS(분기)'!$A:$F,$2:$2,0)),VLOOKUP($B:$B,'BS(분기)'!$A:$F,$2:$2,0),0)</f>
        <v>0</v>
      </c>
      <c r="Q533" s="207">
        <f>IF(ISNUMBER(VLOOKUP($B:$B,'BS(분기)'!$A:$F,$2:$2,0)),VLOOKUP($B:$B,'BS(분기)'!$A:$F,$2:$2,0),0)</f>
        <v>0</v>
      </c>
      <c r="R533" s="207">
        <f>IF(ISNUMBER(VLOOKUP($B:$B,'BS(분기)'!$A:$F,$2:$2,0)),VLOOKUP($B:$B,'BS(분기)'!$A:$F,$2:$2,0),0)</f>
        <v>0</v>
      </c>
    </row>
    <row r="534" spans="1:18" s="192" customFormat="1" ht="12">
      <c r="A534" s="202">
        <v>115533</v>
      </c>
      <c r="B534" s="195" t="s">
        <v>1227</v>
      </c>
      <c r="C534" s="217">
        <f>IF(ISNUMBER(VLOOKUP($B:$B,BS!$A:$D,$2:$2,0)),VLOOKUP($B:$B,BS!$A:$D,$2:$2,0),0)</f>
        <v>0</v>
      </c>
      <c r="D534" s="217">
        <f>IF(ISNUMBER(VLOOKUP($B:$B,BS!$A:$D,$2:$2,0)),VLOOKUP($B:$B,BS!$A:$D,$2:$2,0),0)</f>
        <v>0</v>
      </c>
      <c r="E534" s="217">
        <f>IF(ISNUMBER(VLOOKUP($B:$B,BS!$A:$D,$2:$2,0)),VLOOKUP($B:$B,BS!$A:$D,$2:$2,0),0)</f>
        <v>0</v>
      </c>
      <c r="F534" s="217">
        <f>IF(ISNUMBER(VLOOKUP($B:$B,BS!$A:$D,$2:$2,0)),VLOOKUP($B:$B,BS!$A:$D,$2:$2,0),0)</f>
        <v>0</v>
      </c>
      <c r="G534" s="217">
        <f>IF(ISNUMBER(VLOOKUP($B:$B,BS!$A:$D,$2:$2,0)),VLOOKUP($B:$B,BS!$A:$D,$2:$2,0),0)</f>
        <v>0</v>
      </c>
      <c r="H534" s="207">
        <f>IF(ISNUMBER(VLOOKUP($B:$B,'BS(과거)'!$A:$F,$2:$2,0)),VLOOKUP($B:$B,'BS(과거)'!$A:$F,$2:$2,0),0)</f>
        <v>0</v>
      </c>
      <c r="I534" s="207">
        <f>IF(ISNUMBER(VLOOKUP($B:$B,'BS(과거)'!$A:$F,$2:$2,0)),VLOOKUP($B:$B,'BS(과거)'!$A:$F,$2:$2,0),0)</f>
        <v>0</v>
      </c>
      <c r="J534" s="207">
        <f>IF(ISNUMBER(VLOOKUP($B:$B,'BS(과거)'!$A:$F,$2:$2,0)),VLOOKUP($B:$B,'BS(과거)'!$A:$F,$2:$2,0),0)</f>
        <v>0</v>
      </c>
      <c r="K534" s="207">
        <f>IF(ISNUMBER(VLOOKUP($B:$B,'BS(과거)'!$A:$F,$2:$2,0)),VLOOKUP($B:$B,'BS(과거)'!$A:$F,$2:$2,0),0)</f>
        <v>0</v>
      </c>
      <c r="L534" s="207">
        <f>IF(ISNUMBER(VLOOKUP($B:$B,'BS(과거)'!$A:$F,$2:$2,0)),VLOOKUP($B:$B,'BS(과거)'!$A:$F,$2:$2,0),0)</f>
        <v>0</v>
      </c>
      <c r="N534" s="207">
        <f>IF(ISNUMBER(VLOOKUP($B:$B,'BS(분기)'!$A:$F,$2:$2,0)),VLOOKUP($B:$B,'BS(분기)'!$A:$F,$2:$2,0),0)</f>
        <v>0</v>
      </c>
      <c r="O534" s="207">
        <f>IF(ISNUMBER(VLOOKUP($B:$B,'BS(분기)'!$A:$F,$2:$2,0)),VLOOKUP($B:$B,'BS(분기)'!$A:$F,$2:$2,0),0)</f>
        <v>0</v>
      </c>
      <c r="P534" s="207">
        <f>IF(ISNUMBER(VLOOKUP($B:$B,'BS(분기)'!$A:$F,$2:$2,0)),VLOOKUP($B:$B,'BS(분기)'!$A:$F,$2:$2,0),0)</f>
        <v>0</v>
      </c>
      <c r="Q534" s="207">
        <f>IF(ISNUMBER(VLOOKUP($B:$B,'BS(분기)'!$A:$F,$2:$2,0)),VLOOKUP($B:$B,'BS(분기)'!$A:$F,$2:$2,0),0)</f>
        <v>0</v>
      </c>
      <c r="R534" s="207">
        <f>IF(ISNUMBER(VLOOKUP($B:$B,'BS(분기)'!$A:$F,$2:$2,0)),VLOOKUP($B:$B,'BS(분기)'!$A:$F,$2:$2,0),0)</f>
        <v>0</v>
      </c>
    </row>
    <row r="535" spans="1:18" s="192" customFormat="1" ht="12">
      <c r="A535" s="202">
        <v>115534</v>
      </c>
      <c r="B535" s="195" t="s">
        <v>1228</v>
      </c>
      <c r="C535" s="217">
        <f>IF(ISNUMBER(VLOOKUP($B:$B,BS!$A:$D,$2:$2,0)),VLOOKUP($B:$B,BS!$A:$D,$2:$2,0),0)</f>
        <v>0</v>
      </c>
      <c r="D535" s="217">
        <f>IF(ISNUMBER(VLOOKUP($B:$B,BS!$A:$D,$2:$2,0)),VLOOKUP($B:$B,BS!$A:$D,$2:$2,0),0)</f>
        <v>0</v>
      </c>
      <c r="E535" s="217">
        <f>IF(ISNUMBER(VLOOKUP($B:$B,BS!$A:$D,$2:$2,0)),VLOOKUP($B:$B,BS!$A:$D,$2:$2,0),0)</f>
        <v>0</v>
      </c>
      <c r="F535" s="217">
        <f>IF(ISNUMBER(VLOOKUP($B:$B,BS!$A:$D,$2:$2,0)),VLOOKUP($B:$B,BS!$A:$D,$2:$2,0),0)</f>
        <v>0</v>
      </c>
      <c r="G535" s="217">
        <f>IF(ISNUMBER(VLOOKUP($B:$B,BS!$A:$D,$2:$2,0)),VLOOKUP($B:$B,BS!$A:$D,$2:$2,0),0)</f>
        <v>0</v>
      </c>
      <c r="H535" s="207">
        <f>IF(ISNUMBER(VLOOKUP($B:$B,'BS(과거)'!$A:$F,$2:$2,0)),VLOOKUP($B:$B,'BS(과거)'!$A:$F,$2:$2,0),0)</f>
        <v>0</v>
      </c>
      <c r="I535" s="207">
        <f>IF(ISNUMBER(VLOOKUP($B:$B,'BS(과거)'!$A:$F,$2:$2,0)),VLOOKUP($B:$B,'BS(과거)'!$A:$F,$2:$2,0),0)</f>
        <v>0</v>
      </c>
      <c r="J535" s="207">
        <f>IF(ISNUMBER(VLOOKUP($B:$B,'BS(과거)'!$A:$F,$2:$2,0)),VLOOKUP($B:$B,'BS(과거)'!$A:$F,$2:$2,0),0)</f>
        <v>0</v>
      </c>
      <c r="K535" s="207">
        <f>IF(ISNUMBER(VLOOKUP($B:$B,'BS(과거)'!$A:$F,$2:$2,0)),VLOOKUP($B:$B,'BS(과거)'!$A:$F,$2:$2,0),0)</f>
        <v>0</v>
      </c>
      <c r="L535" s="207">
        <f>IF(ISNUMBER(VLOOKUP($B:$B,'BS(과거)'!$A:$F,$2:$2,0)),VLOOKUP($B:$B,'BS(과거)'!$A:$F,$2:$2,0),0)</f>
        <v>0</v>
      </c>
      <c r="N535" s="207">
        <f>IF(ISNUMBER(VLOOKUP($B:$B,'BS(분기)'!$A:$F,$2:$2,0)),VLOOKUP($B:$B,'BS(분기)'!$A:$F,$2:$2,0),0)</f>
        <v>0</v>
      </c>
      <c r="O535" s="207">
        <f>IF(ISNUMBER(VLOOKUP($B:$B,'BS(분기)'!$A:$F,$2:$2,0)),VLOOKUP($B:$B,'BS(분기)'!$A:$F,$2:$2,0),0)</f>
        <v>0</v>
      </c>
      <c r="P535" s="207">
        <f>IF(ISNUMBER(VLOOKUP($B:$B,'BS(분기)'!$A:$F,$2:$2,0)),VLOOKUP($B:$B,'BS(분기)'!$A:$F,$2:$2,0),0)</f>
        <v>0</v>
      </c>
      <c r="Q535" s="207">
        <f>IF(ISNUMBER(VLOOKUP($B:$B,'BS(분기)'!$A:$F,$2:$2,0)),VLOOKUP($B:$B,'BS(분기)'!$A:$F,$2:$2,0),0)</f>
        <v>0</v>
      </c>
      <c r="R535" s="207">
        <f>IF(ISNUMBER(VLOOKUP($B:$B,'BS(분기)'!$A:$F,$2:$2,0)),VLOOKUP($B:$B,'BS(분기)'!$A:$F,$2:$2,0),0)</f>
        <v>0</v>
      </c>
    </row>
    <row r="536" spans="1:18" s="192" customFormat="1" ht="12">
      <c r="A536" s="202">
        <v>115535</v>
      </c>
      <c r="B536" s="195" t="s">
        <v>1229</v>
      </c>
      <c r="C536" s="217">
        <f>IF(ISNUMBER(VLOOKUP($B:$B,BS!$A:$D,$2:$2,0)),VLOOKUP($B:$B,BS!$A:$D,$2:$2,0),0)</f>
        <v>0</v>
      </c>
      <c r="D536" s="217">
        <f>IF(ISNUMBER(VLOOKUP($B:$B,BS!$A:$D,$2:$2,0)),VLOOKUP($B:$B,BS!$A:$D,$2:$2,0),0)</f>
        <v>0</v>
      </c>
      <c r="E536" s="217">
        <f>IF(ISNUMBER(VLOOKUP($B:$B,BS!$A:$D,$2:$2,0)),VLOOKUP($B:$B,BS!$A:$D,$2:$2,0),0)</f>
        <v>0</v>
      </c>
      <c r="F536" s="217">
        <f>IF(ISNUMBER(VLOOKUP($B:$B,BS!$A:$D,$2:$2,0)),VLOOKUP($B:$B,BS!$A:$D,$2:$2,0),0)</f>
        <v>0</v>
      </c>
      <c r="G536" s="217">
        <f>IF(ISNUMBER(VLOOKUP($B:$B,BS!$A:$D,$2:$2,0)),VLOOKUP($B:$B,BS!$A:$D,$2:$2,0),0)</f>
        <v>0</v>
      </c>
      <c r="H536" s="207">
        <f>IF(ISNUMBER(VLOOKUP($B:$B,'BS(과거)'!$A:$F,$2:$2,0)),VLOOKUP($B:$B,'BS(과거)'!$A:$F,$2:$2,0),0)</f>
        <v>0</v>
      </c>
      <c r="I536" s="207">
        <f>IF(ISNUMBER(VLOOKUP($B:$B,'BS(과거)'!$A:$F,$2:$2,0)),VLOOKUP($B:$B,'BS(과거)'!$A:$F,$2:$2,0),0)</f>
        <v>0</v>
      </c>
      <c r="J536" s="207">
        <f>IF(ISNUMBER(VLOOKUP($B:$B,'BS(과거)'!$A:$F,$2:$2,0)),VLOOKUP($B:$B,'BS(과거)'!$A:$F,$2:$2,0),0)</f>
        <v>0</v>
      </c>
      <c r="K536" s="207">
        <f>IF(ISNUMBER(VLOOKUP($B:$B,'BS(과거)'!$A:$F,$2:$2,0)),VLOOKUP($B:$B,'BS(과거)'!$A:$F,$2:$2,0),0)</f>
        <v>0</v>
      </c>
      <c r="L536" s="207">
        <f>IF(ISNUMBER(VLOOKUP($B:$B,'BS(과거)'!$A:$F,$2:$2,0)),VLOOKUP($B:$B,'BS(과거)'!$A:$F,$2:$2,0),0)</f>
        <v>0</v>
      </c>
      <c r="N536" s="207">
        <f>IF(ISNUMBER(VLOOKUP($B:$B,'BS(분기)'!$A:$F,$2:$2,0)),VLOOKUP($B:$B,'BS(분기)'!$A:$F,$2:$2,0),0)</f>
        <v>0</v>
      </c>
      <c r="O536" s="207">
        <f>IF(ISNUMBER(VLOOKUP($B:$B,'BS(분기)'!$A:$F,$2:$2,0)),VLOOKUP($B:$B,'BS(분기)'!$A:$F,$2:$2,0),0)</f>
        <v>0</v>
      </c>
      <c r="P536" s="207">
        <f>IF(ISNUMBER(VLOOKUP($B:$B,'BS(분기)'!$A:$F,$2:$2,0)),VLOOKUP($B:$B,'BS(분기)'!$A:$F,$2:$2,0),0)</f>
        <v>0</v>
      </c>
      <c r="Q536" s="207">
        <f>IF(ISNUMBER(VLOOKUP($B:$B,'BS(분기)'!$A:$F,$2:$2,0)),VLOOKUP($B:$B,'BS(분기)'!$A:$F,$2:$2,0),0)</f>
        <v>0</v>
      </c>
      <c r="R536" s="207">
        <f>IF(ISNUMBER(VLOOKUP($B:$B,'BS(분기)'!$A:$F,$2:$2,0)),VLOOKUP($B:$B,'BS(분기)'!$A:$F,$2:$2,0),0)</f>
        <v>0</v>
      </c>
    </row>
    <row r="537" spans="1:18" s="192" customFormat="1" ht="12">
      <c r="A537" s="202">
        <v>115536</v>
      </c>
      <c r="B537" s="195" t="s">
        <v>1230</v>
      </c>
      <c r="C537" s="217">
        <f>IF(ISNUMBER(VLOOKUP($B:$B,BS!$A:$D,$2:$2,0)),VLOOKUP($B:$B,BS!$A:$D,$2:$2,0),0)</f>
        <v>0</v>
      </c>
      <c r="D537" s="217">
        <f>IF(ISNUMBER(VLOOKUP($B:$B,BS!$A:$D,$2:$2,0)),VLOOKUP($B:$B,BS!$A:$D,$2:$2,0),0)</f>
        <v>0</v>
      </c>
      <c r="E537" s="217">
        <f>IF(ISNUMBER(VLOOKUP($B:$B,BS!$A:$D,$2:$2,0)),VLOOKUP($B:$B,BS!$A:$D,$2:$2,0),0)</f>
        <v>0</v>
      </c>
      <c r="F537" s="217">
        <f>IF(ISNUMBER(VLOOKUP($B:$B,BS!$A:$D,$2:$2,0)),VLOOKUP($B:$B,BS!$A:$D,$2:$2,0),0)</f>
        <v>0</v>
      </c>
      <c r="G537" s="217">
        <f>IF(ISNUMBER(VLOOKUP($B:$B,BS!$A:$D,$2:$2,0)),VLOOKUP($B:$B,BS!$A:$D,$2:$2,0),0)</f>
        <v>0</v>
      </c>
      <c r="H537" s="207">
        <f>IF(ISNUMBER(VLOOKUP($B:$B,'BS(과거)'!$A:$F,$2:$2,0)),VLOOKUP($B:$B,'BS(과거)'!$A:$F,$2:$2,0),0)</f>
        <v>0</v>
      </c>
      <c r="I537" s="207">
        <f>IF(ISNUMBER(VLOOKUP($B:$B,'BS(과거)'!$A:$F,$2:$2,0)),VLOOKUP($B:$B,'BS(과거)'!$A:$F,$2:$2,0),0)</f>
        <v>0</v>
      </c>
      <c r="J537" s="207">
        <f>IF(ISNUMBER(VLOOKUP($B:$B,'BS(과거)'!$A:$F,$2:$2,0)),VLOOKUP($B:$B,'BS(과거)'!$A:$F,$2:$2,0),0)</f>
        <v>0</v>
      </c>
      <c r="K537" s="207">
        <f>IF(ISNUMBER(VLOOKUP($B:$B,'BS(과거)'!$A:$F,$2:$2,0)),VLOOKUP($B:$B,'BS(과거)'!$A:$F,$2:$2,0),0)</f>
        <v>0</v>
      </c>
      <c r="L537" s="207">
        <f>IF(ISNUMBER(VLOOKUP($B:$B,'BS(과거)'!$A:$F,$2:$2,0)),VLOOKUP($B:$B,'BS(과거)'!$A:$F,$2:$2,0),0)</f>
        <v>0</v>
      </c>
      <c r="N537" s="207">
        <f>IF(ISNUMBER(VLOOKUP($B:$B,'BS(분기)'!$A:$F,$2:$2,0)),VLOOKUP($B:$B,'BS(분기)'!$A:$F,$2:$2,0),0)</f>
        <v>0</v>
      </c>
      <c r="O537" s="207">
        <f>IF(ISNUMBER(VLOOKUP($B:$B,'BS(분기)'!$A:$F,$2:$2,0)),VLOOKUP($B:$B,'BS(분기)'!$A:$F,$2:$2,0),0)</f>
        <v>0</v>
      </c>
      <c r="P537" s="207">
        <f>IF(ISNUMBER(VLOOKUP($B:$B,'BS(분기)'!$A:$F,$2:$2,0)),VLOOKUP($B:$B,'BS(분기)'!$A:$F,$2:$2,0),0)</f>
        <v>0</v>
      </c>
      <c r="Q537" s="207">
        <f>IF(ISNUMBER(VLOOKUP($B:$B,'BS(분기)'!$A:$F,$2:$2,0)),VLOOKUP($B:$B,'BS(분기)'!$A:$F,$2:$2,0),0)</f>
        <v>0</v>
      </c>
      <c r="R537" s="207">
        <f>IF(ISNUMBER(VLOOKUP($B:$B,'BS(분기)'!$A:$F,$2:$2,0)),VLOOKUP($B:$B,'BS(분기)'!$A:$F,$2:$2,0),0)</f>
        <v>0</v>
      </c>
    </row>
    <row r="538" spans="1:18" s="192" customFormat="1" ht="12">
      <c r="A538" s="202">
        <v>115188</v>
      </c>
      <c r="B538" s="195" t="s">
        <v>1231</v>
      </c>
      <c r="C538" s="217">
        <f>IF(ISNUMBER(VLOOKUP($B:$B,BS!$A:$D,$2:$2,0)),VLOOKUP($B:$B,BS!$A:$D,$2:$2,0),0)</f>
        <v>0</v>
      </c>
      <c r="D538" s="217">
        <f>IF(ISNUMBER(VLOOKUP($B:$B,BS!$A:$D,$2:$2,0)),VLOOKUP($B:$B,BS!$A:$D,$2:$2,0),0)</f>
        <v>0</v>
      </c>
      <c r="E538" s="217">
        <f>IF(ISNUMBER(VLOOKUP($B:$B,BS!$A:$D,$2:$2,0)),VLOOKUP($B:$B,BS!$A:$D,$2:$2,0),0)</f>
        <v>0</v>
      </c>
      <c r="F538" s="217">
        <f>IF(ISNUMBER(VLOOKUP($B:$B,BS!$A:$D,$2:$2,0)),VLOOKUP($B:$B,BS!$A:$D,$2:$2,0),0)</f>
        <v>0</v>
      </c>
      <c r="G538" s="217">
        <f>IF(ISNUMBER(VLOOKUP($B:$B,BS!$A:$D,$2:$2,0)),VLOOKUP($B:$B,BS!$A:$D,$2:$2,0),0)</f>
        <v>0</v>
      </c>
      <c r="H538" s="207">
        <f>IF(ISNUMBER(VLOOKUP($B:$B,'BS(과거)'!$A:$F,$2:$2,0)),VLOOKUP($B:$B,'BS(과거)'!$A:$F,$2:$2,0),0)</f>
        <v>0</v>
      </c>
      <c r="I538" s="207">
        <f>IF(ISNUMBER(VLOOKUP($B:$B,'BS(과거)'!$A:$F,$2:$2,0)),VLOOKUP($B:$B,'BS(과거)'!$A:$F,$2:$2,0),0)</f>
        <v>0</v>
      </c>
      <c r="J538" s="207">
        <f>IF(ISNUMBER(VLOOKUP($B:$B,'BS(과거)'!$A:$F,$2:$2,0)),VLOOKUP($B:$B,'BS(과거)'!$A:$F,$2:$2,0),0)</f>
        <v>0</v>
      </c>
      <c r="K538" s="207">
        <f>IF(ISNUMBER(VLOOKUP($B:$B,'BS(과거)'!$A:$F,$2:$2,0)),VLOOKUP($B:$B,'BS(과거)'!$A:$F,$2:$2,0),0)</f>
        <v>0</v>
      </c>
      <c r="L538" s="207">
        <f>IF(ISNUMBER(VLOOKUP($B:$B,'BS(과거)'!$A:$F,$2:$2,0)),VLOOKUP($B:$B,'BS(과거)'!$A:$F,$2:$2,0),0)</f>
        <v>0</v>
      </c>
      <c r="N538" s="207">
        <f>IF(ISNUMBER(VLOOKUP($B:$B,'BS(분기)'!$A:$F,$2:$2,0)),VLOOKUP($B:$B,'BS(분기)'!$A:$F,$2:$2,0),0)</f>
        <v>0</v>
      </c>
      <c r="O538" s="207">
        <f>IF(ISNUMBER(VLOOKUP($B:$B,'BS(분기)'!$A:$F,$2:$2,0)),VLOOKUP($B:$B,'BS(분기)'!$A:$F,$2:$2,0),0)</f>
        <v>0</v>
      </c>
      <c r="P538" s="207">
        <f>IF(ISNUMBER(VLOOKUP($B:$B,'BS(분기)'!$A:$F,$2:$2,0)),VLOOKUP($B:$B,'BS(분기)'!$A:$F,$2:$2,0),0)</f>
        <v>0</v>
      </c>
      <c r="Q538" s="207">
        <f>IF(ISNUMBER(VLOOKUP($B:$B,'BS(분기)'!$A:$F,$2:$2,0)),VLOOKUP($B:$B,'BS(분기)'!$A:$F,$2:$2,0),0)</f>
        <v>0</v>
      </c>
      <c r="R538" s="207">
        <f>IF(ISNUMBER(VLOOKUP($B:$B,'BS(분기)'!$A:$F,$2:$2,0)),VLOOKUP($B:$B,'BS(분기)'!$A:$F,$2:$2,0),0)</f>
        <v>0</v>
      </c>
    </row>
    <row r="539" spans="1:18" s="192" customFormat="1" ht="12">
      <c r="A539" s="203">
        <v>115191</v>
      </c>
      <c r="B539" s="196" t="s">
        <v>582</v>
      </c>
      <c r="C539" s="217">
        <f>IF(ISNUMBER(VLOOKUP($B:$B,BS!$A:$D,$2:$2,0)),VLOOKUP($B:$B,BS!$A:$D,$2:$2,0),0)</f>
        <v>0</v>
      </c>
      <c r="D539" s="217">
        <f>IF(ISNUMBER(VLOOKUP($B:$B,BS!$A:$D,$2:$2,0)),VLOOKUP($B:$B,BS!$A:$D,$2:$2,0),0)</f>
        <v>0</v>
      </c>
      <c r="E539" s="217">
        <f>IF(ISNUMBER(VLOOKUP($B:$B,BS!$A:$D,$2:$2,0)),VLOOKUP($B:$B,BS!$A:$D,$2:$2,0),0)</f>
        <v>0</v>
      </c>
      <c r="F539" s="217">
        <f>IF(ISNUMBER(VLOOKUP($B:$B,BS!$A:$D,$2:$2,0)),VLOOKUP($B:$B,BS!$A:$D,$2:$2,0),0)</f>
        <v>0</v>
      </c>
      <c r="G539" s="217">
        <f>IF(ISNUMBER(VLOOKUP($B:$B,BS!$A:$D,$2:$2,0)),VLOOKUP($B:$B,BS!$A:$D,$2:$2,0),0)</f>
        <v>0</v>
      </c>
      <c r="H539" s="207">
        <f>IF(ISNUMBER(VLOOKUP($B:$B,'BS(과거)'!$A:$F,$2:$2,0)),VLOOKUP($B:$B,'BS(과거)'!$A:$F,$2:$2,0),0)</f>
        <v>0</v>
      </c>
      <c r="I539" s="207">
        <f>IF(ISNUMBER(VLOOKUP($B:$B,'BS(과거)'!$A:$F,$2:$2,0)),VLOOKUP($B:$B,'BS(과거)'!$A:$F,$2:$2,0),0)</f>
        <v>0</v>
      </c>
      <c r="J539" s="207">
        <f>IF(ISNUMBER(VLOOKUP($B:$B,'BS(과거)'!$A:$F,$2:$2,0)),VLOOKUP($B:$B,'BS(과거)'!$A:$F,$2:$2,0),0)</f>
        <v>0</v>
      </c>
      <c r="K539" s="207">
        <f>IF(ISNUMBER(VLOOKUP($B:$B,'BS(과거)'!$A:$F,$2:$2,0)),VLOOKUP($B:$B,'BS(과거)'!$A:$F,$2:$2,0),0)</f>
        <v>0</v>
      </c>
      <c r="L539" s="207">
        <f>IF(ISNUMBER(VLOOKUP($B:$B,'BS(과거)'!$A:$F,$2:$2,0)),VLOOKUP($B:$B,'BS(과거)'!$A:$F,$2:$2,0),0)</f>
        <v>0</v>
      </c>
      <c r="N539" s="207">
        <f>IF(ISNUMBER(VLOOKUP($B:$B,'BS(분기)'!$A:$F,$2:$2,0)),VLOOKUP($B:$B,'BS(분기)'!$A:$F,$2:$2,0),0)</f>
        <v>0</v>
      </c>
      <c r="O539" s="207">
        <f>IF(ISNUMBER(VLOOKUP($B:$B,'BS(분기)'!$A:$F,$2:$2,0)),VLOOKUP($B:$B,'BS(분기)'!$A:$F,$2:$2,0),0)</f>
        <v>0</v>
      </c>
      <c r="P539" s="207">
        <f>IF(ISNUMBER(VLOOKUP($B:$B,'BS(분기)'!$A:$F,$2:$2,0)),VLOOKUP($B:$B,'BS(분기)'!$A:$F,$2:$2,0),0)</f>
        <v>0</v>
      </c>
      <c r="Q539" s="207">
        <f>IF(ISNUMBER(VLOOKUP($B:$B,'BS(분기)'!$A:$F,$2:$2,0)),VLOOKUP($B:$B,'BS(분기)'!$A:$F,$2:$2,0),0)</f>
        <v>0</v>
      </c>
      <c r="R539" s="207">
        <f>IF(ISNUMBER(VLOOKUP($B:$B,'BS(분기)'!$A:$F,$2:$2,0)),VLOOKUP($B:$B,'BS(분기)'!$A:$F,$2:$2,0),0)</f>
        <v>0</v>
      </c>
    </row>
    <row r="540" spans="1:18" s="192" customFormat="1" ht="12">
      <c r="A540" s="203">
        <v>115192</v>
      </c>
      <c r="B540" s="196" t="s">
        <v>1232</v>
      </c>
      <c r="C540" s="217">
        <f>IF(ISNUMBER(VLOOKUP($B:$B,BS!$A:$D,$2:$2,0)),VLOOKUP($B:$B,BS!$A:$D,$2:$2,0),0)</f>
        <v>0</v>
      </c>
      <c r="D540" s="217">
        <f>IF(ISNUMBER(VLOOKUP($B:$B,BS!$A:$D,$2:$2,0)),VLOOKUP($B:$B,BS!$A:$D,$2:$2,0),0)</f>
        <v>0</v>
      </c>
      <c r="E540" s="217">
        <f>IF(ISNUMBER(VLOOKUP($B:$B,BS!$A:$D,$2:$2,0)),VLOOKUP($B:$B,BS!$A:$D,$2:$2,0),0)</f>
        <v>0</v>
      </c>
      <c r="F540" s="217">
        <f>IF(ISNUMBER(VLOOKUP($B:$B,BS!$A:$D,$2:$2,0)),VLOOKUP($B:$B,BS!$A:$D,$2:$2,0),0)</f>
        <v>0</v>
      </c>
      <c r="G540" s="217">
        <f>IF(ISNUMBER(VLOOKUP($B:$B,BS!$A:$D,$2:$2,0)),VLOOKUP($B:$B,BS!$A:$D,$2:$2,0),0)</f>
        <v>0</v>
      </c>
      <c r="H540" s="207">
        <f>IF(ISNUMBER(VLOOKUP($B:$B,'BS(과거)'!$A:$F,$2:$2,0)),VLOOKUP($B:$B,'BS(과거)'!$A:$F,$2:$2,0),0)</f>
        <v>0</v>
      </c>
      <c r="I540" s="207">
        <f>IF(ISNUMBER(VLOOKUP($B:$B,'BS(과거)'!$A:$F,$2:$2,0)),VLOOKUP($B:$B,'BS(과거)'!$A:$F,$2:$2,0),0)</f>
        <v>0</v>
      </c>
      <c r="J540" s="207">
        <f>IF(ISNUMBER(VLOOKUP($B:$B,'BS(과거)'!$A:$F,$2:$2,0)),VLOOKUP($B:$B,'BS(과거)'!$A:$F,$2:$2,0),0)</f>
        <v>0</v>
      </c>
      <c r="K540" s="207">
        <f>IF(ISNUMBER(VLOOKUP($B:$B,'BS(과거)'!$A:$F,$2:$2,0)),VLOOKUP($B:$B,'BS(과거)'!$A:$F,$2:$2,0),0)</f>
        <v>0</v>
      </c>
      <c r="L540" s="207">
        <f>IF(ISNUMBER(VLOOKUP($B:$B,'BS(과거)'!$A:$F,$2:$2,0)),VLOOKUP($B:$B,'BS(과거)'!$A:$F,$2:$2,0),0)</f>
        <v>0</v>
      </c>
      <c r="N540" s="207">
        <f>IF(ISNUMBER(VLOOKUP($B:$B,'BS(분기)'!$A:$F,$2:$2,0)),VLOOKUP($B:$B,'BS(분기)'!$A:$F,$2:$2,0),0)</f>
        <v>0</v>
      </c>
      <c r="O540" s="207">
        <f>IF(ISNUMBER(VLOOKUP($B:$B,'BS(분기)'!$A:$F,$2:$2,0)),VLOOKUP($B:$B,'BS(분기)'!$A:$F,$2:$2,0),0)</f>
        <v>0</v>
      </c>
      <c r="P540" s="207">
        <f>IF(ISNUMBER(VLOOKUP($B:$B,'BS(분기)'!$A:$F,$2:$2,0)),VLOOKUP($B:$B,'BS(분기)'!$A:$F,$2:$2,0),0)</f>
        <v>0</v>
      </c>
      <c r="Q540" s="207">
        <f>IF(ISNUMBER(VLOOKUP($B:$B,'BS(분기)'!$A:$F,$2:$2,0)),VLOOKUP($B:$B,'BS(분기)'!$A:$F,$2:$2,0),0)</f>
        <v>0</v>
      </c>
      <c r="R540" s="207">
        <f>IF(ISNUMBER(VLOOKUP($B:$B,'BS(분기)'!$A:$F,$2:$2,0)),VLOOKUP($B:$B,'BS(분기)'!$A:$F,$2:$2,0),0)</f>
        <v>0</v>
      </c>
    </row>
    <row r="541" spans="1:18" s="192" customFormat="1" ht="12">
      <c r="A541" s="203">
        <v>115193</v>
      </c>
      <c r="B541" s="196" t="s">
        <v>583</v>
      </c>
      <c r="C541" s="217">
        <f>IF(ISNUMBER(VLOOKUP($B:$B,BS!$A:$D,$2:$2,0)),VLOOKUP($B:$B,BS!$A:$D,$2:$2,0),0)</f>
        <v>0</v>
      </c>
      <c r="D541" s="217">
        <f>IF(ISNUMBER(VLOOKUP($B:$B,BS!$A:$D,$2:$2,0)),VLOOKUP($B:$B,BS!$A:$D,$2:$2,0),0)</f>
        <v>0</v>
      </c>
      <c r="E541" s="217">
        <f>IF(ISNUMBER(VLOOKUP($B:$B,BS!$A:$D,$2:$2,0)),VLOOKUP($B:$B,BS!$A:$D,$2:$2,0),0)</f>
        <v>0</v>
      </c>
      <c r="F541" s="217">
        <f>IF(ISNUMBER(VLOOKUP($B:$B,BS!$A:$D,$2:$2,0)),VLOOKUP($B:$B,BS!$A:$D,$2:$2,0),0)</f>
        <v>0</v>
      </c>
      <c r="G541" s="217">
        <f>IF(ISNUMBER(VLOOKUP($B:$B,BS!$A:$D,$2:$2,0)),VLOOKUP($B:$B,BS!$A:$D,$2:$2,0),0)</f>
        <v>0</v>
      </c>
      <c r="H541" s="207">
        <f>IF(ISNUMBER(VLOOKUP($B:$B,'BS(과거)'!$A:$F,$2:$2,0)),VLOOKUP($B:$B,'BS(과거)'!$A:$F,$2:$2,0),0)</f>
        <v>0</v>
      </c>
      <c r="I541" s="207">
        <f>IF(ISNUMBER(VLOOKUP($B:$B,'BS(과거)'!$A:$F,$2:$2,0)),VLOOKUP($B:$B,'BS(과거)'!$A:$F,$2:$2,0),0)</f>
        <v>0</v>
      </c>
      <c r="J541" s="207">
        <f>IF(ISNUMBER(VLOOKUP($B:$B,'BS(과거)'!$A:$F,$2:$2,0)),VLOOKUP($B:$B,'BS(과거)'!$A:$F,$2:$2,0),0)</f>
        <v>0</v>
      </c>
      <c r="K541" s="207">
        <f>IF(ISNUMBER(VLOOKUP($B:$B,'BS(과거)'!$A:$F,$2:$2,0)),VLOOKUP($B:$B,'BS(과거)'!$A:$F,$2:$2,0),0)</f>
        <v>0</v>
      </c>
      <c r="L541" s="207">
        <f>IF(ISNUMBER(VLOOKUP($B:$B,'BS(과거)'!$A:$F,$2:$2,0)),VLOOKUP($B:$B,'BS(과거)'!$A:$F,$2:$2,0),0)</f>
        <v>0</v>
      </c>
      <c r="N541" s="207">
        <f>IF(ISNUMBER(VLOOKUP($B:$B,'BS(분기)'!$A:$F,$2:$2,0)),VLOOKUP($B:$B,'BS(분기)'!$A:$F,$2:$2,0),0)</f>
        <v>0</v>
      </c>
      <c r="O541" s="207">
        <f>IF(ISNUMBER(VLOOKUP($B:$B,'BS(분기)'!$A:$F,$2:$2,0)),VLOOKUP($B:$B,'BS(분기)'!$A:$F,$2:$2,0),0)</f>
        <v>0</v>
      </c>
      <c r="P541" s="207">
        <f>IF(ISNUMBER(VLOOKUP($B:$B,'BS(분기)'!$A:$F,$2:$2,0)),VLOOKUP($B:$B,'BS(분기)'!$A:$F,$2:$2,0),0)</f>
        <v>0</v>
      </c>
      <c r="Q541" s="207">
        <f>IF(ISNUMBER(VLOOKUP($B:$B,'BS(분기)'!$A:$F,$2:$2,0)),VLOOKUP($B:$B,'BS(분기)'!$A:$F,$2:$2,0),0)</f>
        <v>0</v>
      </c>
      <c r="R541" s="207">
        <f>IF(ISNUMBER(VLOOKUP($B:$B,'BS(분기)'!$A:$F,$2:$2,0)),VLOOKUP($B:$B,'BS(분기)'!$A:$F,$2:$2,0),0)</f>
        <v>0</v>
      </c>
    </row>
    <row r="542" spans="1:18" s="192" customFormat="1" ht="12">
      <c r="A542" s="203">
        <v>115189</v>
      </c>
      <c r="B542" s="196" t="s">
        <v>1233</v>
      </c>
      <c r="C542" s="217">
        <f>IF(ISNUMBER(VLOOKUP($B:$B,BS!$A:$D,$2:$2,0)),VLOOKUP($B:$B,BS!$A:$D,$2:$2,0),0)</f>
        <v>0</v>
      </c>
      <c r="D542" s="217">
        <f>IF(ISNUMBER(VLOOKUP($B:$B,BS!$A:$D,$2:$2,0)),VLOOKUP($B:$B,BS!$A:$D,$2:$2,0),0)</f>
        <v>0</v>
      </c>
      <c r="E542" s="217">
        <f>IF(ISNUMBER(VLOOKUP($B:$B,BS!$A:$D,$2:$2,0)),VLOOKUP($B:$B,BS!$A:$D,$2:$2,0),0)</f>
        <v>0</v>
      </c>
      <c r="F542" s="217">
        <f>IF(ISNUMBER(VLOOKUP($B:$B,BS!$A:$D,$2:$2,0)),VLOOKUP($B:$B,BS!$A:$D,$2:$2,0),0)</f>
        <v>0</v>
      </c>
      <c r="G542" s="217">
        <f>IF(ISNUMBER(VLOOKUP($B:$B,BS!$A:$D,$2:$2,0)),VLOOKUP($B:$B,BS!$A:$D,$2:$2,0),0)</f>
        <v>0</v>
      </c>
      <c r="H542" s="207">
        <f>IF(ISNUMBER(VLOOKUP($B:$B,'BS(과거)'!$A:$F,$2:$2,0)),VLOOKUP($B:$B,'BS(과거)'!$A:$F,$2:$2,0),0)</f>
        <v>0</v>
      </c>
      <c r="I542" s="207">
        <f>IF(ISNUMBER(VLOOKUP($B:$B,'BS(과거)'!$A:$F,$2:$2,0)),VLOOKUP($B:$B,'BS(과거)'!$A:$F,$2:$2,0),0)</f>
        <v>0</v>
      </c>
      <c r="J542" s="207">
        <f>IF(ISNUMBER(VLOOKUP($B:$B,'BS(과거)'!$A:$F,$2:$2,0)),VLOOKUP($B:$B,'BS(과거)'!$A:$F,$2:$2,0),0)</f>
        <v>0</v>
      </c>
      <c r="K542" s="207">
        <f>IF(ISNUMBER(VLOOKUP($B:$B,'BS(과거)'!$A:$F,$2:$2,0)),VLOOKUP($B:$B,'BS(과거)'!$A:$F,$2:$2,0),0)</f>
        <v>0</v>
      </c>
      <c r="L542" s="207">
        <f>IF(ISNUMBER(VLOOKUP($B:$B,'BS(과거)'!$A:$F,$2:$2,0)),VLOOKUP($B:$B,'BS(과거)'!$A:$F,$2:$2,0),0)</f>
        <v>0</v>
      </c>
      <c r="N542" s="207">
        <f>IF(ISNUMBER(VLOOKUP($B:$B,'BS(분기)'!$A:$F,$2:$2,0)),VLOOKUP($B:$B,'BS(분기)'!$A:$F,$2:$2,0),0)</f>
        <v>0</v>
      </c>
      <c r="O542" s="207">
        <f>IF(ISNUMBER(VLOOKUP($B:$B,'BS(분기)'!$A:$F,$2:$2,0)),VLOOKUP($B:$B,'BS(분기)'!$A:$F,$2:$2,0),0)</f>
        <v>0</v>
      </c>
      <c r="P542" s="207">
        <f>IF(ISNUMBER(VLOOKUP($B:$B,'BS(분기)'!$A:$F,$2:$2,0)),VLOOKUP($B:$B,'BS(분기)'!$A:$F,$2:$2,0),0)</f>
        <v>0</v>
      </c>
      <c r="Q542" s="207">
        <f>IF(ISNUMBER(VLOOKUP($B:$B,'BS(분기)'!$A:$F,$2:$2,0)),VLOOKUP($B:$B,'BS(분기)'!$A:$F,$2:$2,0),0)</f>
        <v>0</v>
      </c>
      <c r="R542" s="207">
        <f>IF(ISNUMBER(VLOOKUP($B:$B,'BS(분기)'!$A:$F,$2:$2,0)),VLOOKUP($B:$B,'BS(분기)'!$A:$F,$2:$2,0),0)</f>
        <v>0</v>
      </c>
    </row>
    <row r="543" spans="1:18" s="192" customFormat="1" ht="12">
      <c r="A543" s="203">
        <v>115196</v>
      </c>
      <c r="B543" s="196" t="s">
        <v>1234</v>
      </c>
      <c r="C543" s="217">
        <f>IF(ISNUMBER(VLOOKUP($B:$B,BS!$A:$D,$2:$2,0)),VLOOKUP($B:$B,BS!$A:$D,$2:$2,0),0)</f>
        <v>0</v>
      </c>
      <c r="D543" s="217">
        <f>IF(ISNUMBER(VLOOKUP($B:$B,BS!$A:$D,$2:$2,0)),VLOOKUP($B:$B,BS!$A:$D,$2:$2,0),0)</f>
        <v>0</v>
      </c>
      <c r="E543" s="217">
        <f>IF(ISNUMBER(VLOOKUP($B:$B,BS!$A:$D,$2:$2,0)),VLOOKUP($B:$B,BS!$A:$D,$2:$2,0),0)</f>
        <v>0</v>
      </c>
      <c r="F543" s="217">
        <f>IF(ISNUMBER(VLOOKUP($B:$B,BS!$A:$D,$2:$2,0)),VLOOKUP($B:$B,BS!$A:$D,$2:$2,0),0)</f>
        <v>0</v>
      </c>
      <c r="G543" s="217">
        <f>IF(ISNUMBER(VLOOKUP($B:$B,BS!$A:$D,$2:$2,0)),VLOOKUP($B:$B,BS!$A:$D,$2:$2,0),0)</f>
        <v>0</v>
      </c>
      <c r="H543" s="207">
        <f>IF(ISNUMBER(VLOOKUP($B:$B,'BS(과거)'!$A:$F,$2:$2,0)),VLOOKUP($B:$B,'BS(과거)'!$A:$F,$2:$2,0),0)</f>
        <v>0</v>
      </c>
      <c r="I543" s="207">
        <f>IF(ISNUMBER(VLOOKUP($B:$B,'BS(과거)'!$A:$F,$2:$2,0)),VLOOKUP($B:$B,'BS(과거)'!$A:$F,$2:$2,0),0)</f>
        <v>0</v>
      </c>
      <c r="J543" s="207">
        <f>IF(ISNUMBER(VLOOKUP($B:$B,'BS(과거)'!$A:$F,$2:$2,0)),VLOOKUP($B:$B,'BS(과거)'!$A:$F,$2:$2,0),0)</f>
        <v>0</v>
      </c>
      <c r="K543" s="207">
        <f>IF(ISNUMBER(VLOOKUP($B:$B,'BS(과거)'!$A:$F,$2:$2,0)),VLOOKUP($B:$B,'BS(과거)'!$A:$F,$2:$2,0),0)</f>
        <v>0</v>
      </c>
      <c r="L543" s="207">
        <f>IF(ISNUMBER(VLOOKUP($B:$B,'BS(과거)'!$A:$F,$2:$2,0)),VLOOKUP($B:$B,'BS(과거)'!$A:$F,$2:$2,0),0)</f>
        <v>0</v>
      </c>
      <c r="N543" s="207">
        <f>IF(ISNUMBER(VLOOKUP($B:$B,'BS(분기)'!$A:$F,$2:$2,0)),VLOOKUP($B:$B,'BS(분기)'!$A:$F,$2:$2,0),0)</f>
        <v>0</v>
      </c>
      <c r="O543" s="207">
        <f>IF(ISNUMBER(VLOOKUP($B:$B,'BS(분기)'!$A:$F,$2:$2,0)),VLOOKUP($B:$B,'BS(분기)'!$A:$F,$2:$2,0),0)</f>
        <v>0</v>
      </c>
      <c r="P543" s="207">
        <f>IF(ISNUMBER(VLOOKUP($B:$B,'BS(분기)'!$A:$F,$2:$2,0)),VLOOKUP($B:$B,'BS(분기)'!$A:$F,$2:$2,0),0)</f>
        <v>0</v>
      </c>
      <c r="Q543" s="207">
        <f>IF(ISNUMBER(VLOOKUP($B:$B,'BS(분기)'!$A:$F,$2:$2,0)),VLOOKUP($B:$B,'BS(분기)'!$A:$F,$2:$2,0),0)</f>
        <v>0</v>
      </c>
      <c r="R543" s="207">
        <f>IF(ISNUMBER(VLOOKUP($B:$B,'BS(분기)'!$A:$F,$2:$2,0)),VLOOKUP($B:$B,'BS(분기)'!$A:$F,$2:$2,0),0)</f>
        <v>0</v>
      </c>
    </row>
    <row r="544" spans="1:18" s="192" customFormat="1" ht="12">
      <c r="A544" s="203">
        <v>115197</v>
      </c>
      <c r="B544" s="196" t="s">
        <v>1235</v>
      </c>
      <c r="C544" s="217">
        <f>IF(ISNUMBER(VLOOKUP($B:$B,BS!$A:$D,$2:$2,0)),VLOOKUP($B:$B,BS!$A:$D,$2:$2,0),0)</f>
        <v>0</v>
      </c>
      <c r="D544" s="217">
        <f>IF(ISNUMBER(VLOOKUP($B:$B,BS!$A:$D,$2:$2,0)),VLOOKUP($B:$B,BS!$A:$D,$2:$2,0),0)</f>
        <v>0</v>
      </c>
      <c r="E544" s="217">
        <f>IF(ISNUMBER(VLOOKUP($B:$B,BS!$A:$D,$2:$2,0)),VLOOKUP($B:$B,BS!$A:$D,$2:$2,0),0)</f>
        <v>0</v>
      </c>
      <c r="F544" s="217">
        <f>IF(ISNUMBER(VLOOKUP($B:$B,BS!$A:$D,$2:$2,0)),VLOOKUP($B:$B,BS!$A:$D,$2:$2,0),0)</f>
        <v>0</v>
      </c>
      <c r="G544" s="217">
        <f>IF(ISNUMBER(VLOOKUP($B:$B,BS!$A:$D,$2:$2,0)),VLOOKUP($B:$B,BS!$A:$D,$2:$2,0),0)</f>
        <v>0</v>
      </c>
      <c r="H544" s="207">
        <f>IF(ISNUMBER(VLOOKUP($B:$B,'BS(과거)'!$A:$F,$2:$2,0)),VLOOKUP($B:$B,'BS(과거)'!$A:$F,$2:$2,0),0)</f>
        <v>0</v>
      </c>
      <c r="I544" s="207">
        <f>IF(ISNUMBER(VLOOKUP($B:$B,'BS(과거)'!$A:$F,$2:$2,0)),VLOOKUP($B:$B,'BS(과거)'!$A:$F,$2:$2,0),0)</f>
        <v>0</v>
      </c>
      <c r="J544" s="207">
        <f>IF(ISNUMBER(VLOOKUP($B:$B,'BS(과거)'!$A:$F,$2:$2,0)),VLOOKUP($B:$B,'BS(과거)'!$A:$F,$2:$2,0),0)</f>
        <v>0</v>
      </c>
      <c r="K544" s="207">
        <f>IF(ISNUMBER(VLOOKUP($B:$B,'BS(과거)'!$A:$F,$2:$2,0)),VLOOKUP($B:$B,'BS(과거)'!$A:$F,$2:$2,0),0)</f>
        <v>0</v>
      </c>
      <c r="L544" s="207">
        <f>IF(ISNUMBER(VLOOKUP($B:$B,'BS(과거)'!$A:$F,$2:$2,0)),VLOOKUP($B:$B,'BS(과거)'!$A:$F,$2:$2,0),0)</f>
        <v>0</v>
      </c>
      <c r="N544" s="207">
        <f>IF(ISNUMBER(VLOOKUP($B:$B,'BS(분기)'!$A:$F,$2:$2,0)),VLOOKUP($B:$B,'BS(분기)'!$A:$F,$2:$2,0),0)</f>
        <v>0</v>
      </c>
      <c r="O544" s="207">
        <f>IF(ISNUMBER(VLOOKUP($B:$B,'BS(분기)'!$A:$F,$2:$2,0)),VLOOKUP($B:$B,'BS(분기)'!$A:$F,$2:$2,0),0)</f>
        <v>0</v>
      </c>
      <c r="P544" s="207">
        <f>IF(ISNUMBER(VLOOKUP($B:$B,'BS(분기)'!$A:$F,$2:$2,0)),VLOOKUP($B:$B,'BS(분기)'!$A:$F,$2:$2,0),0)</f>
        <v>0</v>
      </c>
      <c r="Q544" s="207">
        <f>IF(ISNUMBER(VLOOKUP($B:$B,'BS(분기)'!$A:$F,$2:$2,0)),VLOOKUP($B:$B,'BS(분기)'!$A:$F,$2:$2,0),0)</f>
        <v>0</v>
      </c>
      <c r="R544" s="207">
        <f>IF(ISNUMBER(VLOOKUP($B:$B,'BS(분기)'!$A:$F,$2:$2,0)),VLOOKUP($B:$B,'BS(분기)'!$A:$F,$2:$2,0),0)</f>
        <v>0</v>
      </c>
    </row>
    <row r="545" spans="1:18" s="192" customFormat="1" ht="12">
      <c r="A545" s="203">
        <v>115198</v>
      </c>
      <c r="B545" s="196" t="s">
        <v>1236</v>
      </c>
      <c r="C545" s="217">
        <f>IF(ISNUMBER(VLOOKUP($B:$B,BS!$A:$D,$2:$2,0)),VLOOKUP($B:$B,BS!$A:$D,$2:$2,0),0)</f>
        <v>0</v>
      </c>
      <c r="D545" s="217">
        <f>IF(ISNUMBER(VLOOKUP($B:$B,BS!$A:$D,$2:$2,0)),VLOOKUP($B:$B,BS!$A:$D,$2:$2,0),0)</f>
        <v>0</v>
      </c>
      <c r="E545" s="217">
        <f>IF(ISNUMBER(VLOOKUP($B:$B,BS!$A:$D,$2:$2,0)),VLOOKUP($B:$B,BS!$A:$D,$2:$2,0),0)</f>
        <v>0</v>
      </c>
      <c r="F545" s="217">
        <f>IF(ISNUMBER(VLOOKUP($B:$B,BS!$A:$D,$2:$2,0)),VLOOKUP($B:$B,BS!$A:$D,$2:$2,0),0)</f>
        <v>0</v>
      </c>
      <c r="G545" s="217">
        <f>IF(ISNUMBER(VLOOKUP($B:$B,BS!$A:$D,$2:$2,0)),VLOOKUP($B:$B,BS!$A:$D,$2:$2,0),0)</f>
        <v>0</v>
      </c>
      <c r="H545" s="207">
        <f>IF(ISNUMBER(VLOOKUP($B:$B,'BS(과거)'!$A:$F,$2:$2,0)),VLOOKUP($B:$B,'BS(과거)'!$A:$F,$2:$2,0),0)</f>
        <v>0</v>
      </c>
      <c r="I545" s="207">
        <f>IF(ISNUMBER(VLOOKUP($B:$B,'BS(과거)'!$A:$F,$2:$2,0)),VLOOKUP($B:$B,'BS(과거)'!$A:$F,$2:$2,0),0)</f>
        <v>0</v>
      </c>
      <c r="J545" s="207">
        <f>IF(ISNUMBER(VLOOKUP($B:$B,'BS(과거)'!$A:$F,$2:$2,0)),VLOOKUP($B:$B,'BS(과거)'!$A:$F,$2:$2,0),0)</f>
        <v>0</v>
      </c>
      <c r="K545" s="207">
        <f>IF(ISNUMBER(VLOOKUP($B:$B,'BS(과거)'!$A:$F,$2:$2,0)),VLOOKUP($B:$B,'BS(과거)'!$A:$F,$2:$2,0),0)</f>
        <v>0</v>
      </c>
      <c r="L545" s="207">
        <f>IF(ISNUMBER(VLOOKUP($B:$B,'BS(과거)'!$A:$F,$2:$2,0)),VLOOKUP($B:$B,'BS(과거)'!$A:$F,$2:$2,0),0)</f>
        <v>0</v>
      </c>
      <c r="N545" s="207">
        <f>IF(ISNUMBER(VLOOKUP($B:$B,'BS(분기)'!$A:$F,$2:$2,0)),VLOOKUP($B:$B,'BS(분기)'!$A:$F,$2:$2,0),0)</f>
        <v>0</v>
      </c>
      <c r="O545" s="207">
        <f>IF(ISNUMBER(VLOOKUP($B:$B,'BS(분기)'!$A:$F,$2:$2,0)),VLOOKUP($B:$B,'BS(분기)'!$A:$F,$2:$2,0),0)</f>
        <v>0</v>
      </c>
      <c r="P545" s="207">
        <f>IF(ISNUMBER(VLOOKUP($B:$B,'BS(분기)'!$A:$F,$2:$2,0)),VLOOKUP($B:$B,'BS(분기)'!$A:$F,$2:$2,0),0)</f>
        <v>0</v>
      </c>
      <c r="Q545" s="207">
        <f>IF(ISNUMBER(VLOOKUP($B:$B,'BS(분기)'!$A:$F,$2:$2,0)),VLOOKUP($B:$B,'BS(분기)'!$A:$F,$2:$2,0),0)</f>
        <v>0</v>
      </c>
      <c r="R545" s="207">
        <f>IF(ISNUMBER(VLOOKUP($B:$B,'BS(분기)'!$A:$F,$2:$2,0)),VLOOKUP($B:$B,'BS(분기)'!$A:$F,$2:$2,0),0)</f>
        <v>0</v>
      </c>
    </row>
    <row r="546" spans="1:18" s="192" customFormat="1" ht="12">
      <c r="A546" s="203">
        <v>115199</v>
      </c>
      <c r="B546" s="196" t="s">
        <v>1237</v>
      </c>
      <c r="C546" s="217">
        <f>IF(ISNUMBER(VLOOKUP($B:$B,BS!$A:$D,$2:$2,0)),VLOOKUP($B:$B,BS!$A:$D,$2:$2,0),0)</f>
        <v>0</v>
      </c>
      <c r="D546" s="217">
        <f>IF(ISNUMBER(VLOOKUP($B:$B,BS!$A:$D,$2:$2,0)),VLOOKUP($B:$B,BS!$A:$D,$2:$2,0),0)</f>
        <v>0</v>
      </c>
      <c r="E546" s="217">
        <f>IF(ISNUMBER(VLOOKUP($B:$B,BS!$A:$D,$2:$2,0)),VLOOKUP($B:$B,BS!$A:$D,$2:$2,0),0)</f>
        <v>0</v>
      </c>
      <c r="F546" s="217">
        <f>IF(ISNUMBER(VLOOKUP($B:$B,BS!$A:$D,$2:$2,0)),VLOOKUP($B:$B,BS!$A:$D,$2:$2,0),0)</f>
        <v>0</v>
      </c>
      <c r="G546" s="217">
        <f>IF(ISNUMBER(VLOOKUP($B:$B,BS!$A:$D,$2:$2,0)),VLOOKUP($B:$B,BS!$A:$D,$2:$2,0),0)</f>
        <v>0</v>
      </c>
      <c r="H546" s="207">
        <f>IF(ISNUMBER(VLOOKUP($B:$B,'BS(과거)'!$A:$F,$2:$2,0)),VLOOKUP($B:$B,'BS(과거)'!$A:$F,$2:$2,0),0)</f>
        <v>0</v>
      </c>
      <c r="I546" s="207">
        <f>IF(ISNUMBER(VLOOKUP($B:$B,'BS(과거)'!$A:$F,$2:$2,0)),VLOOKUP($B:$B,'BS(과거)'!$A:$F,$2:$2,0),0)</f>
        <v>0</v>
      </c>
      <c r="J546" s="207">
        <f>IF(ISNUMBER(VLOOKUP($B:$B,'BS(과거)'!$A:$F,$2:$2,0)),VLOOKUP($B:$B,'BS(과거)'!$A:$F,$2:$2,0),0)</f>
        <v>0</v>
      </c>
      <c r="K546" s="207">
        <f>IF(ISNUMBER(VLOOKUP($B:$B,'BS(과거)'!$A:$F,$2:$2,0)),VLOOKUP($B:$B,'BS(과거)'!$A:$F,$2:$2,0),0)</f>
        <v>0</v>
      </c>
      <c r="L546" s="207">
        <f>IF(ISNUMBER(VLOOKUP($B:$B,'BS(과거)'!$A:$F,$2:$2,0)),VLOOKUP($B:$B,'BS(과거)'!$A:$F,$2:$2,0),0)</f>
        <v>0</v>
      </c>
      <c r="N546" s="207">
        <f>IF(ISNUMBER(VLOOKUP($B:$B,'BS(분기)'!$A:$F,$2:$2,0)),VLOOKUP($B:$B,'BS(분기)'!$A:$F,$2:$2,0),0)</f>
        <v>0</v>
      </c>
      <c r="O546" s="207">
        <f>IF(ISNUMBER(VLOOKUP($B:$B,'BS(분기)'!$A:$F,$2:$2,0)),VLOOKUP($B:$B,'BS(분기)'!$A:$F,$2:$2,0),0)</f>
        <v>0</v>
      </c>
      <c r="P546" s="207">
        <f>IF(ISNUMBER(VLOOKUP($B:$B,'BS(분기)'!$A:$F,$2:$2,0)),VLOOKUP($B:$B,'BS(분기)'!$A:$F,$2:$2,0),0)</f>
        <v>0</v>
      </c>
      <c r="Q546" s="207">
        <f>IF(ISNUMBER(VLOOKUP($B:$B,'BS(분기)'!$A:$F,$2:$2,0)),VLOOKUP($B:$B,'BS(분기)'!$A:$F,$2:$2,0),0)</f>
        <v>0</v>
      </c>
      <c r="R546" s="207">
        <f>IF(ISNUMBER(VLOOKUP($B:$B,'BS(분기)'!$A:$F,$2:$2,0)),VLOOKUP($B:$B,'BS(분기)'!$A:$F,$2:$2,0),0)</f>
        <v>0</v>
      </c>
    </row>
    <row r="547" spans="1:18" s="192" customFormat="1" ht="12">
      <c r="A547" s="203">
        <v>115201</v>
      </c>
      <c r="B547" s="196" t="s">
        <v>1238</v>
      </c>
      <c r="C547" s="217">
        <f>IF(ISNUMBER(VLOOKUP($B:$B,BS!$A:$D,$2:$2,0)),VLOOKUP($B:$B,BS!$A:$D,$2:$2,0),0)</f>
        <v>0</v>
      </c>
      <c r="D547" s="217">
        <f>IF(ISNUMBER(VLOOKUP($B:$B,BS!$A:$D,$2:$2,0)),VLOOKUP($B:$B,BS!$A:$D,$2:$2,0),0)</f>
        <v>0</v>
      </c>
      <c r="E547" s="217">
        <f>IF(ISNUMBER(VLOOKUP($B:$B,BS!$A:$D,$2:$2,0)),VLOOKUP($B:$B,BS!$A:$D,$2:$2,0),0)</f>
        <v>0</v>
      </c>
      <c r="F547" s="217">
        <f>IF(ISNUMBER(VLOOKUP($B:$B,BS!$A:$D,$2:$2,0)),VLOOKUP($B:$B,BS!$A:$D,$2:$2,0),0)</f>
        <v>0</v>
      </c>
      <c r="G547" s="217">
        <f>IF(ISNUMBER(VLOOKUP($B:$B,BS!$A:$D,$2:$2,0)),VLOOKUP($B:$B,BS!$A:$D,$2:$2,0),0)</f>
        <v>0</v>
      </c>
      <c r="H547" s="207">
        <f>IF(ISNUMBER(VLOOKUP($B:$B,'BS(과거)'!$A:$F,$2:$2,0)),VLOOKUP($B:$B,'BS(과거)'!$A:$F,$2:$2,0),0)</f>
        <v>0</v>
      </c>
      <c r="I547" s="207">
        <f>IF(ISNUMBER(VLOOKUP($B:$B,'BS(과거)'!$A:$F,$2:$2,0)),VLOOKUP($B:$B,'BS(과거)'!$A:$F,$2:$2,0),0)</f>
        <v>0</v>
      </c>
      <c r="J547" s="207">
        <f>IF(ISNUMBER(VLOOKUP($B:$B,'BS(과거)'!$A:$F,$2:$2,0)),VLOOKUP($B:$B,'BS(과거)'!$A:$F,$2:$2,0),0)</f>
        <v>0</v>
      </c>
      <c r="K547" s="207">
        <f>IF(ISNUMBER(VLOOKUP($B:$B,'BS(과거)'!$A:$F,$2:$2,0)),VLOOKUP($B:$B,'BS(과거)'!$A:$F,$2:$2,0),0)</f>
        <v>0</v>
      </c>
      <c r="L547" s="207">
        <f>IF(ISNUMBER(VLOOKUP($B:$B,'BS(과거)'!$A:$F,$2:$2,0)),VLOOKUP($B:$B,'BS(과거)'!$A:$F,$2:$2,0),0)</f>
        <v>0</v>
      </c>
      <c r="N547" s="207">
        <f>IF(ISNUMBER(VLOOKUP($B:$B,'BS(분기)'!$A:$F,$2:$2,0)),VLOOKUP($B:$B,'BS(분기)'!$A:$F,$2:$2,0),0)</f>
        <v>0</v>
      </c>
      <c r="O547" s="207">
        <f>IF(ISNUMBER(VLOOKUP($B:$B,'BS(분기)'!$A:$F,$2:$2,0)),VLOOKUP($B:$B,'BS(분기)'!$A:$F,$2:$2,0),0)</f>
        <v>0</v>
      </c>
      <c r="P547" s="207">
        <f>IF(ISNUMBER(VLOOKUP($B:$B,'BS(분기)'!$A:$F,$2:$2,0)),VLOOKUP($B:$B,'BS(분기)'!$A:$F,$2:$2,0),0)</f>
        <v>0</v>
      </c>
      <c r="Q547" s="207">
        <f>IF(ISNUMBER(VLOOKUP($B:$B,'BS(분기)'!$A:$F,$2:$2,0)),VLOOKUP($B:$B,'BS(분기)'!$A:$F,$2:$2,0),0)</f>
        <v>0</v>
      </c>
      <c r="R547" s="207">
        <f>IF(ISNUMBER(VLOOKUP($B:$B,'BS(분기)'!$A:$F,$2:$2,0)),VLOOKUP($B:$B,'BS(분기)'!$A:$F,$2:$2,0),0)</f>
        <v>0</v>
      </c>
    </row>
    <row r="548" spans="1:18" s="192" customFormat="1" ht="12">
      <c r="A548" s="203">
        <v>115537</v>
      </c>
      <c r="B548" s="196" t="s">
        <v>1239</v>
      </c>
      <c r="C548" s="217">
        <f>IF(ISNUMBER(VLOOKUP($B:$B,BS!$A:$D,$2:$2,0)),VLOOKUP($B:$B,BS!$A:$D,$2:$2,0),0)</f>
        <v>0</v>
      </c>
      <c r="D548" s="217">
        <f>IF(ISNUMBER(VLOOKUP($B:$B,BS!$A:$D,$2:$2,0)),VLOOKUP($B:$B,BS!$A:$D,$2:$2,0),0)</f>
        <v>0</v>
      </c>
      <c r="E548" s="217">
        <f>IF(ISNUMBER(VLOOKUP($B:$B,BS!$A:$D,$2:$2,0)),VLOOKUP($B:$B,BS!$A:$D,$2:$2,0),0)</f>
        <v>0</v>
      </c>
      <c r="F548" s="217">
        <f>IF(ISNUMBER(VLOOKUP($B:$B,BS!$A:$D,$2:$2,0)),VLOOKUP($B:$B,BS!$A:$D,$2:$2,0),0)</f>
        <v>0</v>
      </c>
      <c r="G548" s="217">
        <f>IF(ISNUMBER(VLOOKUP($B:$B,BS!$A:$D,$2:$2,0)),VLOOKUP($B:$B,BS!$A:$D,$2:$2,0),0)</f>
        <v>0</v>
      </c>
      <c r="H548" s="207">
        <f>IF(ISNUMBER(VLOOKUP($B:$B,'BS(과거)'!$A:$F,$2:$2,0)),VLOOKUP($B:$B,'BS(과거)'!$A:$F,$2:$2,0),0)</f>
        <v>0</v>
      </c>
      <c r="I548" s="207">
        <f>IF(ISNUMBER(VLOOKUP($B:$B,'BS(과거)'!$A:$F,$2:$2,0)),VLOOKUP($B:$B,'BS(과거)'!$A:$F,$2:$2,0),0)</f>
        <v>0</v>
      </c>
      <c r="J548" s="207">
        <f>IF(ISNUMBER(VLOOKUP($B:$B,'BS(과거)'!$A:$F,$2:$2,0)),VLOOKUP($B:$B,'BS(과거)'!$A:$F,$2:$2,0),0)</f>
        <v>0</v>
      </c>
      <c r="K548" s="207">
        <f>IF(ISNUMBER(VLOOKUP($B:$B,'BS(과거)'!$A:$F,$2:$2,0)),VLOOKUP($B:$B,'BS(과거)'!$A:$F,$2:$2,0),0)</f>
        <v>0</v>
      </c>
      <c r="L548" s="207">
        <f>IF(ISNUMBER(VLOOKUP($B:$B,'BS(과거)'!$A:$F,$2:$2,0)),VLOOKUP($B:$B,'BS(과거)'!$A:$F,$2:$2,0),0)</f>
        <v>0</v>
      </c>
      <c r="N548" s="207">
        <f>IF(ISNUMBER(VLOOKUP($B:$B,'BS(분기)'!$A:$F,$2:$2,0)),VLOOKUP($B:$B,'BS(분기)'!$A:$F,$2:$2,0),0)</f>
        <v>0</v>
      </c>
      <c r="O548" s="207">
        <f>IF(ISNUMBER(VLOOKUP($B:$B,'BS(분기)'!$A:$F,$2:$2,0)),VLOOKUP($B:$B,'BS(분기)'!$A:$F,$2:$2,0),0)</f>
        <v>0</v>
      </c>
      <c r="P548" s="207">
        <f>IF(ISNUMBER(VLOOKUP($B:$B,'BS(분기)'!$A:$F,$2:$2,0)),VLOOKUP($B:$B,'BS(분기)'!$A:$F,$2:$2,0),0)</f>
        <v>0</v>
      </c>
      <c r="Q548" s="207">
        <f>IF(ISNUMBER(VLOOKUP($B:$B,'BS(분기)'!$A:$F,$2:$2,0)),VLOOKUP($B:$B,'BS(분기)'!$A:$F,$2:$2,0),0)</f>
        <v>0</v>
      </c>
      <c r="R548" s="207">
        <f>IF(ISNUMBER(VLOOKUP($B:$B,'BS(분기)'!$A:$F,$2:$2,0)),VLOOKUP($B:$B,'BS(분기)'!$A:$F,$2:$2,0),0)</f>
        <v>0</v>
      </c>
    </row>
    <row r="549" spans="1:18" s="192" customFormat="1" ht="12">
      <c r="A549" s="203">
        <v>115195</v>
      </c>
      <c r="B549" s="196" t="s">
        <v>584</v>
      </c>
      <c r="C549" s="217">
        <f>IF(ISNUMBER(VLOOKUP($B:$B,BS!$A:$D,$2:$2,0)),VLOOKUP($B:$B,BS!$A:$D,$2:$2,0),0)</f>
        <v>0</v>
      </c>
      <c r="D549" s="217">
        <f>IF(ISNUMBER(VLOOKUP($B:$B,BS!$A:$D,$2:$2,0)),VLOOKUP($B:$B,BS!$A:$D,$2:$2,0),0)</f>
        <v>0</v>
      </c>
      <c r="E549" s="217">
        <f>IF(ISNUMBER(VLOOKUP($B:$B,BS!$A:$D,$2:$2,0)),VLOOKUP($B:$B,BS!$A:$D,$2:$2,0),0)</f>
        <v>0</v>
      </c>
      <c r="F549" s="217">
        <f>IF(ISNUMBER(VLOOKUP($B:$B,BS!$A:$D,$2:$2,0)),VLOOKUP($B:$B,BS!$A:$D,$2:$2,0),0)</f>
        <v>0</v>
      </c>
      <c r="G549" s="217">
        <f>IF(ISNUMBER(VLOOKUP($B:$B,BS!$A:$D,$2:$2,0)),VLOOKUP($B:$B,BS!$A:$D,$2:$2,0),0)</f>
        <v>0</v>
      </c>
      <c r="H549" s="207">
        <f>IF(ISNUMBER(VLOOKUP($B:$B,'BS(과거)'!$A:$F,$2:$2,0)),VLOOKUP($B:$B,'BS(과거)'!$A:$F,$2:$2,0),0)</f>
        <v>0</v>
      </c>
      <c r="I549" s="207">
        <f>IF(ISNUMBER(VLOOKUP($B:$B,'BS(과거)'!$A:$F,$2:$2,0)),VLOOKUP($B:$B,'BS(과거)'!$A:$F,$2:$2,0),0)</f>
        <v>0</v>
      </c>
      <c r="J549" s="207">
        <f>IF(ISNUMBER(VLOOKUP($B:$B,'BS(과거)'!$A:$F,$2:$2,0)),VLOOKUP($B:$B,'BS(과거)'!$A:$F,$2:$2,0),0)</f>
        <v>0</v>
      </c>
      <c r="K549" s="207">
        <f>IF(ISNUMBER(VLOOKUP($B:$B,'BS(과거)'!$A:$F,$2:$2,0)),VLOOKUP($B:$B,'BS(과거)'!$A:$F,$2:$2,0),0)</f>
        <v>0</v>
      </c>
      <c r="L549" s="207">
        <f>IF(ISNUMBER(VLOOKUP($B:$B,'BS(과거)'!$A:$F,$2:$2,0)),VLOOKUP($B:$B,'BS(과거)'!$A:$F,$2:$2,0),0)</f>
        <v>0</v>
      </c>
      <c r="N549" s="207">
        <f>IF(ISNUMBER(VLOOKUP($B:$B,'BS(분기)'!$A:$F,$2:$2,0)),VLOOKUP($B:$B,'BS(분기)'!$A:$F,$2:$2,0),0)</f>
        <v>0</v>
      </c>
      <c r="O549" s="207">
        <f>IF(ISNUMBER(VLOOKUP($B:$B,'BS(분기)'!$A:$F,$2:$2,0)),VLOOKUP($B:$B,'BS(분기)'!$A:$F,$2:$2,0),0)</f>
        <v>0</v>
      </c>
      <c r="P549" s="207">
        <f>IF(ISNUMBER(VLOOKUP($B:$B,'BS(분기)'!$A:$F,$2:$2,0)),VLOOKUP($B:$B,'BS(분기)'!$A:$F,$2:$2,0),0)</f>
        <v>0</v>
      </c>
      <c r="Q549" s="207">
        <f>IF(ISNUMBER(VLOOKUP($B:$B,'BS(분기)'!$A:$F,$2:$2,0)),VLOOKUP($B:$B,'BS(분기)'!$A:$F,$2:$2,0),0)</f>
        <v>0</v>
      </c>
      <c r="R549" s="207">
        <f>IF(ISNUMBER(VLOOKUP($B:$B,'BS(분기)'!$A:$F,$2:$2,0)),VLOOKUP($B:$B,'BS(분기)'!$A:$F,$2:$2,0),0)</f>
        <v>0</v>
      </c>
    </row>
    <row r="550" spans="1:18" s="192" customFormat="1" ht="12">
      <c r="A550" s="203">
        <v>115214</v>
      </c>
      <c r="B550" s="196" t="s">
        <v>1240</v>
      </c>
      <c r="C550" s="217">
        <f>IF(ISNUMBER(VLOOKUP($B:$B,BS!$A:$D,$2:$2,0)),VLOOKUP($B:$B,BS!$A:$D,$2:$2,0),0)</f>
        <v>0</v>
      </c>
      <c r="D550" s="217">
        <f>IF(ISNUMBER(VLOOKUP($B:$B,BS!$A:$D,$2:$2,0)),VLOOKUP($B:$B,BS!$A:$D,$2:$2,0),0)</f>
        <v>0</v>
      </c>
      <c r="E550" s="217">
        <f>IF(ISNUMBER(VLOOKUP($B:$B,BS!$A:$D,$2:$2,0)),VLOOKUP($B:$B,BS!$A:$D,$2:$2,0),0)</f>
        <v>0</v>
      </c>
      <c r="F550" s="217">
        <f>IF(ISNUMBER(VLOOKUP($B:$B,BS!$A:$D,$2:$2,0)),VLOOKUP($B:$B,BS!$A:$D,$2:$2,0),0)</f>
        <v>0</v>
      </c>
      <c r="G550" s="217">
        <f>IF(ISNUMBER(VLOOKUP($B:$B,BS!$A:$D,$2:$2,0)),VLOOKUP($B:$B,BS!$A:$D,$2:$2,0),0)</f>
        <v>0</v>
      </c>
      <c r="H550" s="207">
        <f>IF(ISNUMBER(VLOOKUP($B:$B,'BS(과거)'!$A:$F,$2:$2,0)),VLOOKUP($B:$B,'BS(과거)'!$A:$F,$2:$2,0),0)</f>
        <v>0</v>
      </c>
      <c r="I550" s="207">
        <f>IF(ISNUMBER(VLOOKUP($B:$B,'BS(과거)'!$A:$F,$2:$2,0)),VLOOKUP($B:$B,'BS(과거)'!$A:$F,$2:$2,0),0)</f>
        <v>0</v>
      </c>
      <c r="J550" s="207">
        <f>IF(ISNUMBER(VLOOKUP($B:$B,'BS(과거)'!$A:$F,$2:$2,0)),VLOOKUP($B:$B,'BS(과거)'!$A:$F,$2:$2,0),0)</f>
        <v>0</v>
      </c>
      <c r="K550" s="207">
        <f>IF(ISNUMBER(VLOOKUP($B:$B,'BS(과거)'!$A:$F,$2:$2,0)),VLOOKUP($B:$B,'BS(과거)'!$A:$F,$2:$2,0),0)</f>
        <v>0</v>
      </c>
      <c r="L550" s="207">
        <f>IF(ISNUMBER(VLOOKUP($B:$B,'BS(과거)'!$A:$F,$2:$2,0)),VLOOKUP($B:$B,'BS(과거)'!$A:$F,$2:$2,0),0)</f>
        <v>0</v>
      </c>
      <c r="N550" s="207">
        <f>IF(ISNUMBER(VLOOKUP($B:$B,'BS(분기)'!$A:$F,$2:$2,0)),VLOOKUP($B:$B,'BS(분기)'!$A:$F,$2:$2,0),0)</f>
        <v>0</v>
      </c>
      <c r="O550" s="207">
        <f>IF(ISNUMBER(VLOOKUP($B:$B,'BS(분기)'!$A:$F,$2:$2,0)),VLOOKUP($B:$B,'BS(분기)'!$A:$F,$2:$2,0),0)</f>
        <v>0</v>
      </c>
      <c r="P550" s="207">
        <f>IF(ISNUMBER(VLOOKUP($B:$B,'BS(분기)'!$A:$F,$2:$2,0)),VLOOKUP($B:$B,'BS(분기)'!$A:$F,$2:$2,0),0)</f>
        <v>0</v>
      </c>
      <c r="Q550" s="207">
        <f>IF(ISNUMBER(VLOOKUP($B:$B,'BS(분기)'!$A:$F,$2:$2,0)),VLOOKUP($B:$B,'BS(분기)'!$A:$F,$2:$2,0),0)</f>
        <v>0</v>
      </c>
      <c r="R550" s="207">
        <f>IF(ISNUMBER(VLOOKUP($B:$B,'BS(분기)'!$A:$F,$2:$2,0)),VLOOKUP($B:$B,'BS(분기)'!$A:$F,$2:$2,0),0)</f>
        <v>0</v>
      </c>
    </row>
    <row r="551" spans="1:18" s="192" customFormat="1" ht="12">
      <c r="A551" s="203">
        <v>115194</v>
      </c>
      <c r="B551" s="196" t="s">
        <v>1241</v>
      </c>
      <c r="C551" s="217">
        <f>IF(ISNUMBER(VLOOKUP($B:$B,BS!$A:$D,$2:$2,0)),VLOOKUP($B:$B,BS!$A:$D,$2:$2,0),0)</f>
        <v>0</v>
      </c>
      <c r="D551" s="217">
        <f>IF(ISNUMBER(VLOOKUP($B:$B,BS!$A:$D,$2:$2,0)),VLOOKUP($B:$B,BS!$A:$D,$2:$2,0),0)</f>
        <v>0</v>
      </c>
      <c r="E551" s="217">
        <f>IF(ISNUMBER(VLOOKUP($B:$B,BS!$A:$D,$2:$2,0)),VLOOKUP($B:$B,BS!$A:$D,$2:$2,0),0)</f>
        <v>0</v>
      </c>
      <c r="F551" s="217">
        <f>IF(ISNUMBER(VLOOKUP($B:$B,BS!$A:$D,$2:$2,0)),VLOOKUP($B:$B,BS!$A:$D,$2:$2,0),0)</f>
        <v>0</v>
      </c>
      <c r="G551" s="217">
        <f>IF(ISNUMBER(VLOOKUP($B:$B,BS!$A:$D,$2:$2,0)),VLOOKUP($B:$B,BS!$A:$D,$2:$2,0),0)</f>
        <v>0</v>
      </c>
      <c r="H551" s="207">
        <f>IF(ISNUMBER(VLOOKUP($B:$B,'BS(과거)'!$A:$F,$2:$2,0)),VLOOKUP($B:$B,'BS(과거)'!$A:$F,$2:$2,0),0)</f>
        <v>0</v>
      </c>
      <c r="I551" s="207">
        <f>IF(ISNUMBER(VLOOKUP($B:$B,'BS(과거)'!$A:$F,$2:$2,0)),VLOOKUP($B:$B,'BS(과거)'!$A:$F,$2:$2,0),0)</f>
        <v>0</v>
      </c>
      <c r="J551" s="207">
        <f>IF(ISNUMBER(VLOOKUP($B:$B,'BS(과거)'!$A:$F,$2:$2,0)),VLOOKUP($B:$B,'BS(과거)'!$A:$F,$2:$2,0),0)</f>
        <v>0</v>
      </c>
      <c r="K551" s="207">
        <f>IF(ISNUMBER(VLOOKUP($B:$B,'BS(과거)'!$A:$F,$2:$2,0)),VLOOKUP($B:$B,'BS(과거)'!$A:$F,$2:$2,0),0)</f>
        <v>0</v>
      </c>
      <c r="L551" s="207">
        <f>IF(ISNUMBER(VLOOKUP($B:$B,'BS(과거)'!$A:$F,$2:$2,0)),VLOOKUP($B:$B,'BS(과거)'!$A:$F,$2:$2,0),0)</f>
        <v>0</v>
      </c>
      <c r="N551" s="207">
        <f>IF(ISNUMBER(VLOOKUP($B:$B,'BS(분기)'!$A:$F,$2:$2,0)),VLOOKUP($B:$B,'BS(분기)'!$A:$F,$2:$2,0),0)</f>
        <v>0</v>
      </c>
      <c r="O551" s="207">
        <f>IF(ISNUMBER(VLOOKUP($B:$B,'BS(분기)'!$A:$F,$2:$2,0)),VLOOKUP($B:$B,'BS(분기)'!$A:$F,$2:$2,0),0)</f>
        <v>0</v>
      </c>
      <c r="P551" s="207">
        <f>IF(ISNUMBER(VLOOKUP($B:$B,'BS(분기)'!$A:$F,$2:$2,0)),VLOOKUP($B:$B,'BS(분기)'!$A:$F,$2:$2,0),0)</f>
        <v>0</v>
      </c>
      <c r="Q551" s="207">
        <f>IF(ISNUMBER(VLOOKUP($B:$B,'BS(분기)'!$A:$F,$2:$2,0)),VLOOKUP($B:$B,'BS(분기)'!$A:$F,$2:$2,0),0)</f>
        <v>0</v>
      </c>
      <c r="R551" s="207">
        <f>IF(ISNUMBER(VLOOKUP($B:$B,'BS(분기)'!$A:$F,$2:$2,0)),VLOOKUP($B:$B,'BS(분기)'!$A:$F,$2:$2,0),0)</f>
        <v>0</v>
      </c>
    </row>
    <row r="552" spans="1:18" s="192" customFormat="1" ht="12">
      <c r="A552" s="202">
        <v>115210</v>
      </c>
      <c r="B552" s="195" t="s">
        <v>1242</v>
      </c>
      <c r="C552" s="217">
        <f>IF(ISNUMBER(VLOOKUP($B:$B,BS!$A:$D,$2:$2,0)),VLOOKUP($B:$B,BS!$A:$D,$2:$2,0),0)</f>
        <v>0</v>
      </c>
      <c r="D552" s="217">
        <f>IF(ISNUMBER(VLOOKUP($B:$B,BS!$A:$D,$2:$2,0)),VLOOKUP($B:$B,BS!$A:$D,$2:$2,0),0)</f>
        <v>0</v>
      </c>
      <c r="E552" s="217">
        <f>IF(ISNUMBER(VLOOKUP($B:$B,BS!$A:$D,$2:$2,0)),VLOOKUP($B:$B,BS!$A:$D,$2:$2,0),0)</f>
        <v>0</v>
      </c>
      <c r="F552" s="217">
        <f>IF(ISNUMBER(VLOOKUP($B:$B,BS!$A:$D,$2:$2,0)),VLOOKUP($B:$B,BS!$A:$D,$2:$2,0),0)</f>
        <v>0</v>
      </c>
      <c r="G552" s="217">
        <f>IF(ISNUMBER(VLOOKUP($B:$B,BS!$A:$D,$2:$2,0)),VLOOKUP($B:$B,BS!$A:$D,$2:$2,0),0)</f>
        <v>0</v>
      </c>
      <c r="H552" s="207">
        <f>IF(ISNUMBER(VLOOKUP($B:$B,'BS(과거)'!$A:$F,$2:$2,0)),VLOOKUP($B:$B,'BS(과거)'!$A:$F,$2:$2,0),0)</f>
        <v>0</v>
      </c>
      <c r="I552" s="207">
        <f>IF(ISNUMBER(VLOOKUP($B:$B,'BS(과거)'!$A:$F,$2:$2,0)),VLOOKUP($B:$B,'BS(과거)'!$A:$F,$2:$2,0),0)</f>
        <v>0</v>
      </c>
      <c r="J552" s="207">
        <f>IF(ISNUMBER(VLOOKUP($B:$B,'BS(과거)'!$A:$F,$2:$2,0)),VLOOKUP($B:$B,'BS(과거)'!$A:$F,$2:$2,0),0)</f>
        <v>0</v>
      </c>
      <c r="K552" s="207">
        <f>IF(ISNUMBER(VLOOKUP($B:$B,'BS(과거)'!$A:$F,$2:$2,0)),VLOOKUP($B:$B,'BS(과거)'!$A:$F,$2:$2,0),0)</f>
        <v>0</v>
      </c>
      <c r="L552" s="207">
        <f>IF(ISNUMBER(VLOOKUP($B:$B,'BS(과거)'!$A:$F,$2:$2,0)),VLOOKUP($B:$B,'BS(과거)'!$A:$F,$2:$2,0),0)</f>
        <v>0</v>
      </c>
      <c r="N552" s="207">
        <f>IF(ISNUMBER(VLOOKUP($B:$B,'BS(분기)'!$A:$F,$2:$2,0)),VLOOKUP($B:$B,'BS(분기)'!$A:$F,$2:$2,0),0)</f>
        <v>0</v>
      </c>
      <c r="O552" s="207">
        <f>IF(ISNUMBER(VLOOKUP($B:$B,'BS(분기)'!$A:$F,$2:$2,0)),VLOOKUP($B:$B,'BS(분기)'!$A:$F,$2:$2,0),0)</f>
        <v>0</v>
      </c>
      <c r="P552" s="207">
        <f>IF(ISNUMBER(VLOOKUP($B:$B,'BS(분기)'!$A:$F,$2:$2,0)),VLOOKUP($B:$B,'BS(분기)'!$A:$F,$2:$2,0),0)</f>
        <v>0</v>
      </c>
      <c r="Q552" s="207">
        <f>IF(ISNUMBER(VLOOKUP($B:$B,'BS(분기)'!$A:$F,$2:$2,0)),VLOOKUP($B:$B,'BS(분기)'!$A:$F,$2:$2,0),0)</f>
        <v>0</v>
      </c>
      <c r="R552" s="207">
        <f>IF(ISNUMBER(VLOOKUP($B:$B,'BS(분기)'!$A:$F,$2:$2,0)),VLOOKUP($B:$B,'BS(분기)'!$A:$F,$2:$2,0),0)</f>
        <v>0</v>
      </c>
    </row>
    <row r="553" spans="1:18" s="192" customFormat="1" ht="12">
      <c r="A553" s="202">
        <v>115211</v>
      </c>
      <c r="B553" s="195" t="s">
        <v>834</v>
      </c>
      <c r="C553" s="217">
        <f>IF(ISNUMBER(VLOOKUP($B:$B,BS!$A:$D,$2:$2,0)),VLOOKUP($B:$B,BS!$A:$D,$2:$2,0),0)</f>
        <v>0</v>
      </c>
      <c r="D553" s="217">
        <f>IF(ISNUMBER(VLOOKUP($B:$B,BS!$A:$D,$2:$2,0)),VLOOKUP($B:$B,BS!$A:$D,$2:$2,0),0)</f>
        <v>0</v>
      </c>
      <c r="E553" s="217">
        <f>IF(ISNUMBER(VLOOKUP($B:$B,BS!$A:$D,$2:$2,0)),VLOOKUP($B:$B,BS!$A:$D,$2:$2,0),0)</f>
        <v>0</v>
      </c>
      <c r="F553" s="217">
        <f>IF(ISNUMBER(VLOOKUP($B:$B,BS!$A:$D,$2:$2,0)),VLOOKUP($B:$B,BS!$A:$D,$2:$2,0),0)</f>
        <v>0</v>
      </c>
      <c r="G553" s="217">
        <f>IF(ISNUMBER(VLOOKUP($B:$B,BS!$A:$D,$2:$2,0)),VLOOKUP($B:$B,BS!$A:$D,$2:$2,0),0)</f>
        <v>0</v>
      </c>
      <c r="H553" s="207">
        <f>IF(ISNUMBER(VLOOKUP($B:$B,'BS(과거)'!$A:$F,$2:$2,0)),VLOOKUP($B:$B,'BS(과거)'!$A:$F,$2:$2,0),0)</f>
        <v>0</v>
      </c>
      <c r="I553" s="207">
        <f>IF(ISNUMBER(VLOOKUP($B:$B,'BS(과거)'!$A:$F,$2:$2,0)),VLOOKUP($B:$B,'BS(과거)'!$A:$F,$2:$2,0),0)</f>
        <v>0</v>
      </c>
      <c r="J553" s="207">
        <f>IF(ISNUMBER(VLOOKUP($B:$B,'BS(과거)'!$A:$F,$2:$2,0)),VLOOKUP($B:$B,'BS(과거)'!$A:$F,$2:$2,0),0)</f>
        <v>0</v>
      </c>
      <c r="K553" s="207">
        <f>IF(ISNUMBER(VLOOKUP($B:$B,'BS(과거)'!$A:$F,$2:$2,0)),VLOOKUP($B:$B,'BS(과거)'!$A:$F,$2:$2,0),0)</f>
        <v>0</v>
      </c>
      <c r="L553" s="207">
        <f>IF(ISNUMBER(VLOOKUP($B:$B,'BS(과거)'!$A:$F,$2:$2,0)),VLOOKUP($B:$B,'BS(과거)'!$A:$F,$2:$2,0),0)</f>
        <v>0</v>
      </c>
      <c r="N553" s="207">
        <f>IF(ISNUMBER(VLOOKUP($B:$B,'BS(분기)'!$A:$F,$2:$2,0)),VLOOKUP($B:$B,'BS(분기)'!$A:$F,$2:$2,0),0)</f>
        <v>0</v>
      </c>
      <c r="O553" s="207">
        <f>IF(ISNUMBER(VLOOKUP($B:$B,'BS(분기)'!$A:$F,$2:$2,0)),VLOOKUP($B:$B,'BS(분기)'!$A:$F,$2:$2,0),0)</f>
        <v>0</v>
      </c>
      <c r="P553" s="207">
        <f>IF(ISNUMBER(VLOOKUP($B:$B,'BS(분기)'!$A:$F,$2:$2,0)),VLOOKUP($B:$B,'BS(분기)'!$A:$F,$2:$2,0),0)</f>
        <v>0</v>
      </c>
      <c r="Q553" s="207">
        <f>IF(ISNUMBER(VLOOKUP($B:$B,'BS(분기)'!$A:$F,$2:$2,0)),VLOOKUP($B:$B,'BS(분기)'!$A:$F,$2:$2,0),0)</f>
        <v>0</v>
      </c>
      <c r="R553" s="207">
        <f>IF(ISNUMBER(VLOOKUP($B:$B,'BS(분기)'!$A:$F,$2:$2,0)),VLOOKUP($B:$B,'BS(분기)'!$A:$F,$2:$2,0),0)</f>
        <v>0</v>
      </c>
    </row>
    <row r="554" spans="1:18" s="192" customFormat="1" ht="12">
      <c r="A554" s="203">
        <v>115215</v>
      </c>
      <c r="B554" s="196" t="s">
        <v>1243</v>
      </c>
      <c r="C554" s="217">
        <f>IF(ISNUMBER(VLOOKUP($B:$B,BS!$A:$D,$2:$2,0)),VLOOKUP($B:$B,BS!$A:$D,$2:$2,0),0)</f>
        <v>0</v>
      </c>
      <c r="D554" s="217">
        <f>IF(ISNUMBER(VLOOKUP($B:$B,BS!$A:$D,$2:$2,0)),VLOOKUP($B:$B,BS!$A:$D,$2:$2,0),0)</f>
        <v>0</v>
      </c>
      <c r="E554" s="217">
        <f>IF(ISNUMBER(VLOOKUP($B:$B,BS!$A:$D,$2:$2,0)),VLOOKUP($B:$B,BS!$A:$D,$2:$2,0),0)</f>
        <v>0</v>
      </c>
      <c r="F554" s="217">
        <f>IF(ISNUMBER(VLOOKUP($B:$B,BS!$A:$D,$2:$2,0)),VLOOKUP($B:$B,BS!$A:$D,$2:$2,0),0)</f>
        <v>0</v>
      </c>
      <c r="G554" s="217">
        <f>IF(ISNUMBER(VLOOKUP($B:$B,BS!$A:$D,$2:$2,0)),VLOOKUP($B:$B,BS!$A:$D,$2:$2,0),0)</f>
        <v>0</v>
      </c>
      <c r="H554" s="207">
        <f>IF(ISNUMBER(VLOOKUP($B:$B,'BS(과거)'!$A:$F,$2:$2,0)),VLOOKUP($B:$B,'BS(과거)'!$A:$F,$2:$2,0),0)</f>
        <v>0</v>
      </c>
      <c r="I554" s="207">
        <f>IF(ISNUMBER(VLOOKUP($B:$B,'BS(과거)'!$A:$F,$2:$2,0)),VLOOKUP($B:$B,'BS(과거)'!$A:$F,$2:$2,0),0)</f>
        <v>0</v>
      </c>
      <c r="J554" s="207">
        <f>IF(ISNUMBER(VLOOKUP($B:$B,'BS(과거)'!$A:$F,$2:$2,0)),VLOOKUP($B:$B,'BS(과거)'!$A:$F,$2:$2,0),0)</f>
        <v>0</v>
      </c>
      <c r="K554" s="207">
        <f>IF(ISNUMBER(VLOOKUP($B:$B,'BS(과거)'!$A:$F,$2:$2,0)),VLOOKUP($B:$B,'BS(과거)'!$A:$F,$2:$2,0),0)</f>
        <v>0</v>
      </c>
      <c r="L554" s="207">
        <f>IF(ISNUMBER(VLOOKUP($B:$B,'BS(과거)'!$A:$F,$2:$2,0)),VLOOKUP($B:$B,'BS(과거)'!$A:$F,$2:$2,0),0)</f>
        <v>0</v>
      </c>
      <c r="N554" s="207">
        <f>IF(ISNUMBER(VLOOKUP($B:$B,'BS(분기)'!$A:$F,$2:$2,0)),VLOOKUP($B:$B,'BS(분기)'!$A:$F,$2:$2,0),0)</f>
        <v>0</v>
      </c>
      <c r="O554" s="207">
        <f>IF(ISNUMBER(VLOOKUP($B:$B,'BS(분기)'!$A:$F,$2:$2,0)),VLOOKUP($B:$B,'BS(분기)'!$A:$F,$2:$2,0),0)</f>
        <v>0</v>
      </c>
      <c r="P554" s="207">
        <f>IF(ISNUMBER(VLOOKUP($B:$B,'BS(분기)'!$A:$F,$2:$2,0)),VLOOKUP($B:$B,'BS(분기)'!$A:$F,$2:$2,0),0)</f>
        <v>0</v>
      </c>
      <c r="Q554" s="207">
        <f>IF(ISNUMBER(VLOOKUP($B:$B,'BS(분기)'!$A:$F,$2:$2,0)),VLOOKUP($B:$B,'BS(분기)'!$A:$F,$2:$2,0),0)</f>
        <v>0</v>
      </c>
      <c r="R554" s="207">
        <f>IF(ISNUMBER(VLOOKUP($B:$B,'BS(분기)'!$A:$F,$2:$2,0)),VLOOKUP($B:$B,'BS(분기)'!$A:$F,$2:$2,0),0)</f>
        <v>0</v>
      </c>
    </row>
    <row r="555" spans="1:18" s="192" customFormat="1" ht="12">
      <c r="A555" s="203">
        <v>115217</v>
      </c>
      <c r="B555" s="196" t="s">
        <v>1244</v>
      </c>
      <c r="C555" s="217">
        <f>IF(ISNUMBER(VLOOKUP($B:$B,BS!$A:$D,$2:$2,0)),VLOOKUP($B:$B,BS!$A:$D,$2:$2,0),0)</f>
        <v>0</v>
      </c>
      <c r="D555" s="217">
        <f>IF(ISNUMBER(VLOOKUP($B:$B,BS!$A:$D,$2:$2,0)),VLOOKUP($B:$B,BS!$A:$D,$2:$2,0),0)</f>
        <v>0</v>
      </c>
      <c r="E555" s="217">
        <f>IF(ISNUMBER(VLOOKUP($B:$B,BS!$A:$D,$2:$2,0)),VLOOKUP($B:$B,BS!$A:$D,$2:$2,0),0)</f>
        <v>0</v>
      </c>
      <c r="F555" s="217">
        <f>IF(ISNUMBER(VLOOKUP($B:$B,BS!$A:$D,$2:$2,0)),VLOOKUP($B:$B,BS!$A:$D,$2:$2,0),0)</f>
        <v>0</v>
      </c>
      <c r="G555" s="217">
        <f>IF(ISNUMBER(VLOOKUP($B:$B,BS!$A:$D,$2:$2,0)),VLOOKUP($B:$B,BS!$A:$D,$2:$2,0),0)</f>
        <v>0</v>
      </c>
      <c r="H555" s="207">
        <f>IF(ISNUMBER(VLOOKUP($B:$B,'BS(과거)'!$A:$F,$2:$2,0)),VLOOKUP($B:$B,'BS(과거)'!$A:$F,$2:$2,0),0)</f>
        <v>0</v>
      </c>
      <c r="I555" s="207">
        <f>IF(ISNUMBER(VLOOKUP($B:$B,'BS(과거)'!$A:$F,$2:$2,0)),VLOOKUP($B:$B,'BS(과거)'!$A:$F,$2:$2,0),0)</f>
        <v>0</v>
      </c>
      <c r="J555" s="207">
        <f>IF(ISNUMBER(VLOOKUP($B:$B,'BS(과거)'!$A:$F,$2:$2,0)),VLOOKUP($B:$B,'BS(과거)'!$A:$F,$2:$2,0),0)</f>
        <v>0</v>
      </c>
      <c r="K555" s="207">
        <f>IF(ISNUMBER(VLOOKUP($B:$B,'BS(과거)'!$A:$F,$2:$2,0)),VLOOKUP($B:$B,'BS(과거)'!$A:$F,$2:$2,0),0)</f>
        <v>0</v>
      </c>
      <c r="L555" s="207">
        <f>IF(ISNUMBER(VLOOKUP($B:$B,'BS(과거)'!$A:$F,$2:$2,0)),VLOOKUP($B:$B,'BS(과거)'!$A:$F,$2:$2,0),0)</f>
        <v>0</v>
      </c>
      <c r="N555" s="207">
        <f>IF(ISNUMBER(VLOOKUP($B:$B,'BS(분기)'!$A:$F,$2:$2,0)),VLOOKUP($B:$B,'BS(분기)'!$A:$F,$2:$2,0),0)</f>
        <v>0</v>
      </c>
      <c r="O555" s="207">
        <f>IF(ISNUMBER(VLOOKUP($B:$B,'BS(분기)'!$A:$F,$2:$2,0)),VLOOKUP($B:$B,'BS(분기)'!$A:$F,$2:$2,0),0)</f>
        <v>0</v>
      </c>
      <c r="P555" s="207">
        <f>IF(ISNUMBER(VLOOKUP($B:$B,'BS(분기)'!$A:$F,$2:$2,0)),VLOOKUP($B:$B,'BS(분기)'!$A:$F,$2:$2,0),0)</f>
        <v>0</v>
      </c>
      <c r="Q555" s="207">
        <f>IF(ISNUMBER(VLOOKUP($B:$B,'BS(분기)'!$A:$F,$2:$2,0)),VLOOKUP($B:$B,'BS(분기)'!$A:$F,$2:$2,0),0)</f>
        <v>0</v>
      </c>
      <c r="R555" s="207">
        <f>IF(ISNUMBER(VLOOKUP($B:$B,'BS(분기)'!$A:$F,$2:$2,0)),VLOOKUP($B:$B,'BS(분기)'!$A:$F,$2:$2,0),0)</f>
        <v>0</v>
      </c>
    </row>
    <row r="556" spans="1:18" s="192" customFormat="1" ht="12">
      <c r="A556" s="203">
        <v>115216</v>
      </c>
      <c r="B556" s="196" t="s">
        <v>1245</v>
      </c>
      <c r="C556" s="217">
        <f>IF(ISNUMBER(VLOOKUP($B:$B,BS!$A:$D,$2:$2,0)),VLOOKUP($B:$B,BS!$A:$D,$2:$2,0),0)</f>
        <v>0</v>
      </c>
      <c r="D556" s="217">
        <f>IF(ISNUMBER(VLOOKUP($B:$B,BS!$A:$D,$2:$2,0)),VLOOKUP($B:$B,BS!$A:$D,$2:$2,0),0)</f>
        <v>0</v>
      </c>
      <c r="E556" s="217">
        <f>IF(ISNUMBER(VLOOKUP($B:$B,BS!$A:$D,$2:$2,0)),VLOOKUP($B:$B,BS!$A:$D,$2:$2,0),0)</f>
        <v>0</v>
      </c>
      <c r="F556" s="217">
        <f>IF(ISNUMBER(VLOOKUP($B:$B,BS!$A:$D,$2:$2,0)),VLOOKUP($B:$B,BS!$A:$D,$2:$2,0),0)</f>
        <v>0</v>
      </c>
      <c r="G556" s="217">
        <f>IF(ISNUMBER(VLOOKUP($B:$B,BS!$A:$D,$2:$2,0)),VLOOKUP($B:$B,BS!$A:$D,$2:$2,0),0)</f>
        <v>0</v>
      </c>
      <c r="H556" s="207">
        <f>IF(ISNUMBER(VLOOKUP($B:$B,'BS(과거)'!$A:$F,$2:$2,0)),VLOOKUP($B:$B,'BS(과거)'!$A:$F,$2:$2,0),0)</f>
        <v>0</v>
      </c>
      <c r="I556" s="207">
        <f>IF(ISNUMBER(VLOOKUP($B:$B,'BS(과거)'!$A:$F,$2:$2,0)),VLOOKUP($B:$B,'BS(과거)'!$A:$F,$2:$2,0),0)</f>
        <v>0</v>
      </c>
      <c r="J556" s="207">
        <f>IF(ISNUMBER(VLOOKUP($B:$B,'BS(과거)'!$A:$F,$2:$2,0)),VLOOKUP($B:$B,'BS(과거)'!$A:$F,$2:$2,0),0)</f>
        <v>0</v>
      </c>
      <c r="K556" s="207">
        <f>IF(ISNUMBER(VLOOKUP($B:$B,'BS(과거)'!$A:$F,$2:$2,0)),VLOOKUP($B:$B,'BS(과거)'!$A:$F,$2:$2,0),0)</f>
        <v>0</v>
      </c>
      <c r="L556" s="207">
        <f>IF(ISNUMBER(VLOOKUP($B:$B,'BS(과거)'!$A:$F,$2:$2,0)),VLOOKUP($B:$B,'BS(과거)'!$A:$F,$2:$2,0),0)</f>
        <v>0</v>
      </c>
      <c r="N556" s="207">
        <f>IF(ISNUMBER(VLOOKUP($B:$B,'BS(분기)'!$A:$F,$2:$2,0)),VLOOKUP($B:$B,'BS(분기)'!$A:$F,$2:$2,0),0)</f>
        <v>0</v>
      </c>
      <c r="O556" s="207">
        <f>IF(ISNUMBER(VLOOKUP($B:$B,'BS(분기)'!$A:$F,$2:$2,0)),VLOOKUP($B:$B,'BS(분기)'!$A:$F,$2:$2,0),0)</f>
        <v>0</v>
      </c>
      <c r="P556" s="207">
        <f>IF(ISNUMBER(VLOOKUP($B:$B,'BS(분기)'!$A:$F,$2:$2,0)),VLOOKUP($B:$B,'BS(분기)'!$A:$F,$2:$2,0),0)</f>
        <v>0</v>
      </c>
      <c r="Q556" s="207">
        <f>IF(ISNUMBER(VLOOKUP($B:$B,'BS(분기)'!$A:$F,$2:$2,0)),VLOOKUP($B:$B,'BS(분기)'!$A:$F,$2:$2,0),0)</f>
        <v>0</v>
      </c>
      <c r="R556" s="207">
        <f>IF(ISNUMBER(VLOOKUP($B:$B,'BS(분기)'!$A:$F,$2:$2,0)),VLOOKUP($B:$B,'BS(분기)'!$A:$F,$2:$2,0),0)</f>
        <v>0</v>
      </c>
    </row>
    <row r="557" spans="1:18" s="192" customFormat="1" ht="12">
      <c r="A557" s="203">
        <v>115221</v>
      </c>
      <c r="B557" s="196" t="s">
        <v>1246</v>
      </c>
      <c r="C557" s="217">
        <f>IF(ISNUMBER(VLOOKUP($B:$B,BS!$A:$D,$2:$2,0)),VLOOKUP($B:$B,BS!$A:$D,$2:$2,0),0)</f>
        <v>0</v>
      </c>
      <c r="D557" s="217">
        <f>IF(ISNUMBER(VLOOKUP($B:$B,BS!$A:$D,$2:$2,0)),VLOOKUP($B:$B,BS!$A:$D,$2:$2,0),0)</f>
        <v>0</v>
      </c>
      <c r="E557" s="217">
        <f>IF(ISNUMBER(VLOOKUP($B:$B,BS!$A:$D,$2:$2,0)),VLOOKUP($B:$B,BS!$A:$D,$2:$2,0),0)</f>
        <v>0</v>
      </c>
      <c r="F557" s="217">
        <f>IF(ISNUMBER(VLOOKUP($B:$B,BS!$A:$D,$2:$2,0)),VLOOKUP($B:$B,BS!$A:$D,$2:$2,0),0)</f>
        <v>0</v>
      </c>
      <c r="G557" s="217">
        <f>IF(ISNUMBER(VLOOKUP($B:$B,BS!$A:$D,$2:$2,0)),VLOOKUP($B:$B,BS!$A:$D,$2:$2,0),0)</f>
        <v>0</v>
      </c>
      <c r="H557" s="207">
        <f>IF(ISNUMBER(VLOOKUP($B:$B,'BS(과거)'!$A:$F,$2:$2,0)),VLOOKUP($B:$B,'BS(과거)'!$A:$F,$2:$2,0),0)</f>
        <v>0</v>
      </c>
      <c r="I557" s="207">
        <f>IF(ISNUMBER(VLOOKUP($B:$B,'BS(과거)'!$A:$F,$2:$2,0)),VLOOKUP($B:$B,'BS(과거)'!$A:$F,$2:$2,0),0)</f>
        <v>0</v>
      </c>
      <c r="J557" s="207">
        <f>IF(ISNUMBER(VLOOKUP($B:$B,'BS(과거)'!$A:$F,$2:$2,0)),VLOOKUP($B:$B,'BS(과거)'!$A:$F,$2:$2,0),0)</f>
        <v>0</v>
      </c>
      <c r="K557" s="207">
        <f>IF(ISNUMBER(VLOOKUP($B:$B,'BS(과거)'!$A:$F,$2:$2,0)),VLOOKUP($B:$B,'BS(과거)'!$A:$F,$2:$2,0),0)</f>
        <v>0</v>
      </c>
      <c r="L557" s="207">
        <f>IF(ISNUMBER(VLOOKUP($B:$B,'BS(과거)'!$A:$F,$2:$2,0)),VLOOKUP($B:$B,'BS(과거)'!$A:$F,$2:$2,0),0)</f>
        <v>0</v>
      </c>
      <c r="N557" s="207">
        <f>IF(ISNUMBER(VLOOKUP($B:$B,'BS(분기)'!$A:$F,$2:$2,0)),VLOOKUP($B:$B,'BS(분기)'!$A:$F,$2:$2,0),0)</f>
        <v>0</v>
      </c>
      <c r="O557" s="207">
        <f>IF(ISNUMBER(VLOOKUP($B:$B,'BS(분기)'!$A:$F,$2:$2,0)),VLOOKUP($B:$B,'BS(분기)'!$A:$F,$2:$2,0),0)</f>
        <v>0</v>
      </c>
      <c r="P557" s="207">
        <f>IF(ISNUMBER(VLOOKUP($B:$B,'BS(분기)'!$A:$F,$2:$2,0)),VLOOKUP($B:$B,'BS(분기)'!$A:$F,$2:$2,0),0)</f>
        <v>0</v>
      </c>
      <c r="Q557" s="207">
        <f>IF(ISNUMBER(VLOOKUP($B:$B,'BS(분기)'!$A:$F,$2:$2,0)),VLOOKUP($B:$B,'BS(분기)'!$A:$F,$2:$2,0),0)</f>
        <v>0</v>
      </c>
      <c r="R557" s="207">
        <f>IF(ISNUMBER(VLOOKUP($B:$B,'BS(분기)'!$A:$F,$2:$2,0)),VLOOKUP($B:$B,'BS(분기)'!$A:$F,$2:$2,0),0)</f>
        <v>0</v>
      </c>
    </row>
    <row r="558" spans="1:18" s="192" customFormat="1" ht="12">
      <c r="A558" s="203">
        <v>115222</v>
      </c>
      <c r="B558" s="196" t="s">
        <v>1247</v>
      </c>
      <c r="C558" s="217">
        <f>IF(ISNUMBER(VLOOKUP($B:$B,BS!$A:$D,$2:$2,0)),VLOOKUP($B:$B,BS!$A:$D,$2:$2,0),0)</f>
        <v>0</v>
      </c>
      <c r="D558" s="217">
        <f>IF(ISNUMBER(VLOOKUP($B:$B,BS!$A:$D,$2:$2,0)),VLOOKUP($B:$B,BS!$A:$D,$2:$2,0),0)</f>
        <v>0</v>
      </c>
      <c r="E558" s="217">
        <f>IF(ISNUMBER(VLOOKUP($B:$B,BS!$A:$D,$2:$2,0)),VLOOKUP($B:$B,BS!$A:$D,$2:$2,0),0)</f>
        <v>0</v>
      </c>
      <c r="F558" s="217">
        <f>IF(ISNUMBER(VLOOKUP($B:$B,BS!$A:$D,$2:$2,0)),VLOOKUP($B:$B,BS!$A:$D,$2:$2,0),0)</f>
        <v>0</v>
      </c>
      <c r="G558" s="217">
        <f>IF(ISNUMBER(VLOOKUP($B:$B,BS!$A:$D,$2:$2,0)),VLOOKUP($B:$B,BS!$A:$D,$2:$2,0),0)</f>
        <v>0</v>
      </c>
      <c r="H558" s="207">
        <f>IF(ISNUMBER(VLOOKUP($B:$B,'BS(과거)'!$A:$F,$2:$2,0)),VLOOKUP($B:$B,'BS(과거)'!$A:$F,$2:$2,0),0)</f>
        <v>0</v>
      </c>
      <c r="I558" s="207">
        <f>IF(ISNUMBER(VLOOKUP($B:$B,'BS(과거)'!$A:$F,$2:$2,0)),VLOOKUP($B:$B,'BS(과거)'!$A:$F,$2:$2,0),0)</f>
        <v>0</v>
      </c>
      <c r="J558" s="207">
        <f>IF(ISNUMBER(VLOOKUP($B:$B,'BS(과거)'!$A:$F,$2:$2,0)),VLOOKUP($B:$B,'BS(과거)'!$A:$F,$2:$2,0),0)</f>
        <v>0</v>
      </c>
      <c r="K558" s="207">
        <f>IF(ISNUMBER(VLOOKUP($B:$B,'BS(과거)'!$A:$F,$2:$2,0)),VLOOKUP($B:$B,'BS(과거)'!$A:$F,$2:$2,0),0)</f>
        <v>0</v>
      </c>
      <c r="L558" s="207">
        <f>IF(ISNUMBER(VLOOKUP($B:$B,'BS(과거)'!$A:$F,$2:$2,0)),VLOOKUP($B:$B,'BS(과거)'!$A:$F,$2:$2,0),0)</f>
        <v>0</v>
      </c>
      <c r="N558" s="207">
        <f>IF(ISNUMBER(VLOOKUP($B:$B,'BS(분기)'!$A:$F,$2:$2,0)),VLOOKUP($B:$B,'BS(분기)'!$A:$F,$2:$2,0),0)</f>
        <v>0</v>
      </c>
      <c r="O558" s="207">
        <f>IF(ISNUMBER(VLOOKUP($B:$B,'BS(분기)'!$A:$F,$2:$2,0)),VLOOKUP($B:$B,'BS(분기)'!$A:$F,$2:$2,0),0)</f>
        <v>0</v>
      </c>
      <c r="P558" s="207">
        <f>IF(ISNUMBER(VLOOKUP($B:$B,'BS(분기)'!$A:$F,$2:$2,0)),VLOOKUP($B:$B,'BS(분기)'!$A:$F,$2:$2,0),0)</f>
        <v>0</v>
      </c>
      <c r="Q558" s="207">
        <f>IF(ISNUMBER(VLOOKUP($B:$B,'BS(분기)'!$A:$F,$2:$2,0)),VLOOKUP($B:$B,'BS(분기)'!$A:$F,$2:$2,0),0)</f>
        <v>0</v>
      </c>
      <c r="R558" s="207">
        <f>IF(ISNUMBER(VLOOKUP($B:$B,'BS(분기)'!$A:$F,$2:$2,0)),VLOOKUP($B:$B,'BS(분기)'!$A:$F,$2:$2,0),0)</f>
        <v>0</v>
      </c>
    </row>
    <row r="559" spans="1:18" s="192" customFormat="1" ht="12">
      <c r="A559" s="203">
        <v>115218</v>
      </c>
      <c r="B559" s="196" t="s">
        <v>1248</v>
      </c>
      <c r="C559" s="217">
        <f>IF(ISNUMBER(VLOOKUP($B:$B,BS!$A:$D,$2:$2,0)),VLOOKUP($B:$B,BS!$A:$D,$2:$2,0),0)</f>
        <v>0</v>
      </c>
      <c r="D559" s="217">
        <f>IF(ISNUMBER(VLOOKUP($B:$B,BS!$A:$D,$2:$2,0)),VLOOKUP($B:$B,BS!$A:$D,$2:$2,0),0)</f>
        <v>0</v>
      </c>
      <c r="E559" s="217">
        <f>IF(ISNUMBER(VLOOKUP($B:$B,BS!$A:$D,$2:$2,0)),VLOOKUP($B:$B,BS!$A:$D,$2:$2,0),0)</f>
        <v>0</v>
      </c>
      <c r="F559" s="217">
        <f>IF(ISNUMBER(VLOOKUP($B:$B,BS!$A:$D,$2:$2,0)),VLOOKUP($B:$B,BS!$A:$D,$2:$2,0),0)</f>
        <v>0</v>
      </c>
      <c r="G559" s="217">
        <f>IF(ISNUMBER(VLOOKUP($B:$B,BS!$A:$D,$2:$2,0)),VLOOKUP($B:$B,BS!$A:$D,$2:$2,0),0)</f>
        <v>0</v>
      </c>
      <c r="H559" s="207">
        <f>IF(ISNUMBER(VLOOKUP($B:$B,'BS(과거)'!$A:$F,$2:$2,0)),VLOOKUP($B:$B,'BS(과거)'!$A:$F,$2:$2,0),0)</f>
        <v>0</v>
      </c>
      <c r="I559" s="207">
        <f>IF(ISNUMBER(VLOOKUP($B:$B,'BS(과거)'!$A:$F,$2:$2,0)),VLOOKUP($B:$B,'BS(과거)'!$A:$F,$2:$2,0),0)</f>
        <v>0</v>
      </c>
      <c r="J559" s="207">
        <f>IF(ISNUMBER(VLOOKUP($B:$B,'BS(과거)'!$A:$F,$2:$2,0)),VLOOKUP($B:$B,'BS(과거)'!$A:$F,$2:$2,0),0)</f>
        <v>0</v>
      </c>
      <c r="K559" s="207">
        <f>IF(ISNUMBER(VLOOKUP($B:$B,'BS(과거)'!$A:$F,$2:$2,0)),VLOOKUP($B:$B,'BS(과거)'!$A:$F,$2:$2,0),0)</f>
        <v>0</v>
      </c>
      <c r="L559" s="207">
        <f>IF(ISNUMBER(VLOOKUP($B:$B,'BS(과거)'!$A:$F,$2:$2,0)),VLOOKUP($B:$B,'BS(과거)'!$A:$F,$2:$2,0),0)</f>
        <v>0</v>
      </c>
      <c r="N559" s="207">
        <f>IF(ISNUMBER(VLOOKUP($B:$B,'BS(분기)'!$A:$F,$2:$2,0)),VLOOKUP($B:$B,'BS(분기)'!$A:$F,$2:$2,0),0)</f>
        <v>0</v>
      </c>
      <c r="O559" s="207">
        <f>IF(ISNUMBER(VLOOKUP($B:$B,'BS(분기)'!$A:$F,$2:$2,0)),VLOOKUP($B:$B,'BS(분기)'!$A:$F,$2:$2,0),0)</f>
        <v>0</v>
      </c>
      <c r="P559" s="207">
        <f>IF(ISNUMBER(VLOOKUP($B:$B,'BS(분기)'!$A:$F,$2:$2,0)),VLOOKUP($B:$B,'BS(분기)'!$A:$F,$2:$2,0),0)</f>
        <v>0</v>
      </c>
      <c r="Q559" s="207">
        <f>IF(ISNUMBER(VLOOKUP($B:$B,'BS(분기)'!$A:$F,$2:$2,0)),VLOOKUP($B:$B,'BS(분기)'!$A:$F,$2:$2,0),0)</f>
        <v>0</v>
      </c>
      <c r="R559" s="207">
        <f>IF(ISNUMBER(VLOOKUP($B:$B,'BS(분기)'!$A:$F,$2:$2,0)),VLOOKUP($B:$B,'BS(분기)'!$A:$F,$2:$2,0),0)</f>
        <v>0</v>
      </c>
    </row>
    <row r="560" spans="1:18" s="192" customFormat="1" ht="12">
      <c r="A560" s="203">
        <v>115219</v>
      </c>
      <c r="B560" s="196" t="s">
        <v>835</v>
      </c>
      <c r="C560" s="217">
        <f>IF(ISNUMBER(VLOOKUP($B:$B,BS!$A:$D,$2:$2,0)),VLOOKUP($B:$B,BS!$A:$D,$2:$2,0),0)</f>
        <v>0</v>
      </c>
      <c r="D560" s="217">
        <f>IF(ISNUMBER(VLOOKUP($B:$B,BS!$A:$D,$2:$2,0)),VLOOKUP($B:$B,BS!$A:$D,$2:$2,0),0)</f>
        <v>0</v>
      </c>
      <c r="E560" s="217">
        <f>IF(ISNUMBER(VLOOKUP($B:$B,BS!$A:$D,$2:$2,0)),VLOOKUP($B:$B,BS!$A:$D,$2:$2,0),0)</f>
        <v>0</v>
      </c>
      <c r="F560" s="217">
        <f>IF(ISNUMBER(VLOOKUP($B:$B,BS!$A:$D,$2:$2,0)),VLOOKUP($B:$B,BS!$A:$D,$2:$2,0),0)</f>
        <v>0</v>
      </c>
      <c r="G560" s="217">
        <f>IF(ISNUMBER(VLOOKUP($B:$B,BS!$A:$D,$2:$2,0)),VLOOKUP($B:$B,BS!$A:$D,$2:$2,0),0)</f>
        <v>0</v>
      </c>
      <c r="H560" s="207">
        <f>IF(ISNUMBER(VLOOKUP($B:$B,'BS(과거)'!$A:$F,$2:$2,0)),VLOOKUP($B:$B,'BS(과거)'!$A:$F,$2:$2,0),0)</f>
        <v>0</v>
      </c>
      <c r="I560" s="207">
        <f>IF(ISNUMBER(VLOOKUP($B:$B,'BS(과거)'!$A:$F,$2:$2,0)),VLOOKUP($B:$B,'BS(과거)'!$A:$F,$2:$2,0),0)</f>
        <v>0</v>
      </c>
      <c r="J560" s="207">
        <f>IF(ISNUMBER(VLOOKUP($B:$B,'BS(과거)'!$A:$F,$2:$2,0)),VLOOKUP($B:$B,'BS(과거)'!$A:$F,$2:$2,0),0)</f>
        <v>0</v>
      </c>
      <c r="K560" s="207">
        <f>IF(ISNUMBER(VLOOKUP($B:$B,'BS(과거)'!$A:$F,$2:$2,0)),VLOOKUP($B:$B,'BS(과거)'!$A:$F,$2:$2,0),0)</f>
        <v>0</v>
      </c>
      <c r="L560" s="207">
        <f>IF(ISNUMBER(VLOOKUP($B:$B,'BS(과거)'!$A:$F,$2:$2,0)),VLOOKUP($B:$B,'BS(과거)'!$A:$F,$2:$2,0),0)</f>
        <v>0</v>
      </c>
      <c r="N560" s="207">
        <f>IF(ISNUMBER(VLOOKUP($B:$B,'BS(분기)'!$A:$F,$2:$2,0)),VLOOKUP($B:$B,'BS(분기)'!$A:$F,$2:$2,0),0)</f>
        <v>0</v>
      </c>
      <c r="O560" s="207">
        <f>IF(ISNUMBER(VLOOKUP($B:$B,'BS(분기)'!$A:$F,$2:$2,0)),VLOOKUP($B:$B,'BS(분기)'!$A:$F,$2:$2,0),0)</f>
        <v>0</v>
      </c>
      <c r="P560" s="207">
        <f>IF(ISNUMBER(VLOOKUP($B:$B,'BS(분기)'!$A:$F,$2:$2,0)),VLOOKUP($B:$B,'BS(분기)'!$A:$F,$2:$2,0),0)</f>
        <v>0</v>
      </c>
      <c r="Q560" s="207">
        <f>IF(ISNUMBER(VLOOKUP($B:$B,'BS(분기)'!$A:$F,$2:$2,0)),VLOOKUP($B:$B,'BS(분기)'!$A:$F,$2:$2,0),0)</f>
        <v>0</v>
      </c>
      <c r="R560" s="207">
        <f>IF(ISNUMBER(VLOOKUP($B:$B,'BS(분기)'!$A:$F,$2:$2,0)),VLOOKUP($B:$B,'BS(분기)'!$A:$F,$2:$2,0),0)</f>
        <v>0</v>
      </c>
    </row>
    <row r="561" spans="1:18" s="192" customFormat="1" ht="12">
      <c r="A561" s="202">
        <v>115212</v>
      </c>
      <c r="B561" s="195" t="s">
        <v>847</v>
      </c>
      <c r="C561" s="217">
        <f>IF(ISNUMBER(VLOOKUP($B:$B,BS!$A:$D,$2:$2,0)),VLOOKUP($B:$B,BS!$A:$D,$2:$2,0),0)</f>
        <v>0</v>
      </c>
      <c r="D561" s="217">
        <f>IF(ISNUMBER(VLOOKUP($B:$B,BS!$A:$D,$2:$2,0)),VLOOKUP($B:$B,BS!$A:$D,$2:$2,0),0)</f>
        <v>0</v>
      </c>
      <c r="E561" s="217">
        <f>IF(ISNUMBER(VLOOKUP($B:$B,BS!$A:$D,$2:$2,0)),VLOOKUP($B:$B,BS!$A:$D,$2:$2,0),0)</f>
        <v>0</v>
      </c>
      <c r="F561" s="217">
        <f>IF(ISNUMBER(VLOOKUP($B:$B,BS!$A:$D,$2:$2,0)),VLOOKUP($B:$B,BS!$A:$D,$2:$2,0),0)</f>
        <v>0</v>
      </c>
      <c r="G561" s="217">
        <f>IF(ISNUMBER(VLOOKUP($B:$B,BS!$A:$D,$2:$2,0)),VLOOKUP($B:$B,BS!$A:$D,$2:$2,0),0)</f>
        <v>0</v>
      </c>
      <c r="H561" s="207">
        <f>IF(ISNUMBER(VLOOKUP($B:$B,'BS(과거)'!$A:$F,$2:$2,0)),VLOOKUP($B:$B,'BS(과거)'!$A:$F,$2:$2,0),0)</f>
        <v>0</v>
      </c>
      <c r="I561" s="207">
        <f>IF(ISNUMBER(VLOOKUP($B:$B,'BS(과거)'!$A:$F,$2:$2,0)),VLOOKUP($B:$B,'BS(과거)'!$A:$F,$2:$2,0),0)</f>
        <v>0</v>
      </c>
      <c r="J561" s="207">
        <f>IF(ISNUMBER(VLOOKUP($B:$B,'BS(과거)'!$A:$F,$2:$2,0)),VLOOKUP($B:$B,'BS(과거)'!$A:$F,$2:$2,0),0)</f>
        <v>0</v>
      </c>
      <c r="K561" s="207">
        <f>IF(ISNUMBER(VLOOKUP($B:$B,'BS(과거)'!$A:$F,$2:$2,0)),VLOOKUP($B:$B,'BS(과거)'!$A:$F,$2:$2,0),0)</f>
        <v>0</v>
      </c>
      <c r="L561" s="207">
        <f>IF(ISNUMBER(VLOOKUP($B:$B,'BS(과거)'!$A:$F,$2:$2,0)),VLOOKUP($B:$B,'BS(과거)'!$A:$F,$2:$2,0),0)</f>
        <v>0</v>
      </c>
      <c r="N561" s="207">
        <f>IF(ISNUMBER(VLOOKUP($B:$B,'BS(분기)'!$A:$F,$2:$2,0)),VLOOKUP($B:$B,'BS(분기)'!$A:$F,$2:$2,0),0)</f>
        <v>0</v>
      </c>
      <c r="O561" s="207">
        <f>IF(ISNUMBER(VLOOKUP($B:$B,'BS(분기)'!$A:$F,$2:$2,0)),VLOOKUP($B:$B,'BS(분기)'!$A:$F,$2:$2,0),0)</f>
        <v>0</v>
      </c>
      <c r="P561" s="207">
        <f>IF(ISNUMBER(VLOOKUP($B:$B,'BS(분기)'!$A:$F,$2:$2,0)),VLOOKUP($B:$B,'BS(분기)'!$A:$F,$2:$2,0),0)</f>
        <v>0</v>
      </c>
      <c r="Q561" s="207">
        <f>IF(ISNUMBER(VLOOKUP($B:$B,'BS(분기)'!$A:$F,$2:$2,0)),VLOOKUP($B:$B,'BS(분기)'!$A:$F,$2:$2,0),0)</f>
        <v>0</v>
      </c>
      <c r="R561" s="207">
        <f>IF(ISNUMBER(VLOOKUP($B:$B,'BS(분기)'!$A:$F,$2:$2,0)),VLOOKUP($B:$B,'BS(분기)'!$A:$F,$2:$2,0),0)</f>
        <v>0</v>
      </c>
    </row>
    <row r="562" spans="1:18" s="192" customFormat="1" ht="12">
      <c r="A562" s="202">
        <v>115213</v>
      </c>
      <c r="B562" s="195" t="s">
        <v>1249</v>
      </c>
      <c r="C562" s="217">
        <f>IF(ISNUMBER(VLOOKUP($B:$B,BS!$A:$D,$2:$2,0)),VLOOKUP($B:$B,BS!$A:$D,$2:$2,0),0)</f>
        <v>0</v>
      </c>
      <c r="D562" s="217">
        <f>IF(ISNUMBER(VLOOKUP($B:$B,BS!$A:$D,$2:$2,0)),VLOOKUP($B:$B,BS!$A:$D,$2:$2,0),0)</f>
        <v>0</v>
      </c>
      <c r="E562" s="217">
        <f>IF(ISNUMBER(VLOOKUP($B:$B,BS!$A:$D,$2:$2,0)),VLOOKUP($B:$B,BS!$A:$D,$2:$2,0),0)</f>
        <v>0</v>
      </c>
      <c r="F562" s="217">
        <f>IF(ISNUMBER(VLOOKUP($B:$B,BS!$A:$D,$2:$2,0)),VLOOKUP($B:$B,BS!$A:$D,$2:$2,0),0)</f>
        <v>0</v>
      </c>
      <c r="G562" s="217">
        <f>IF(ISNUMBER(VLOOKUP($B:$B,BS!$A:$D,$2:$2,0)),VLOOKUP($B:$B,BS!$A:$D,$2:$2,0),0)</f>
        <v>0</v>
      </c>
      <c r="H562" s="207">
        <f>IF(ISNUMBER(VLOOKUP($B:$B,'BS(과거)'!$A:$F,$2:$2,0)),VLOOKUP($B:$B,'BS(과거)'!$A:$F,$2:$2,0),0)</f>
        <v>0</v>
      </c>
      <c r="I562" s="207">
        <f>IF(ISNUMBER(VLOOKUP($B:$B,'BS(과거)'!$A:$F,$2:$2,0)),VLOOKUP($B:$B,'BS(과거)'!$A:$F,$2:$2,0),0)</f>
        <v>0</v>
      </c>
      <c r="J562" s="207">
        <f>IF(ISNUMBER(VLOOKUP($B:$B,'BS(과거)'!$A:$F,$2:$2,0)),VLOOKUP($B:$B,'BS(과거)'!$A:$F,$2:$2,0),0)</f>
        <v>0</v>
      </c>
      <c r="K562" s="207">
        <f>IF(ISNUMBER(VLOOKUP($B:$B,'BS(과거)'!$A:$F,$2:$2,0)),VLOOKUP($B:$B,'BS(과거)'!$A:$F,$2:$2,0),0)</f>
        <v>0</v>
      </c>
      <c r="L562" s="207">
        <f>IF(ISNUMBER(VLOOKUP($B:$B,'BS(과거)'!$A:$F,$2:$2,0)),VLOOKUP($B:$B,'BS(과거)'!$A:$F,$2:$2,0),0)</f>
        <v>0</v>
      </c>
      <c r="N562" s="207">
        <f>IF(ISNUMBER(VLOOKUP($B:$B,'BS(분기)'!$A:$F,$2:$2,0)),VLOOKUP($B:$B,'BS(분기)'!$A:$F,$2:$2,0),0)</f>
        <v>0</v>
      </c>
      <c r="O562" s="207">
        <f>IF(ISNUMBER(VLOOKUP($B:$B,'BS(분기)'!$A:$F,$2:$2,0)),VLOOKUP($B:$B,'BS(분기)'!$A:$F,$2:$2,0),0)</f>
        <v>0</v>
      </c>
      <c r="P562" s="207">
        <f>IF(ISNUMBER(VLOOKUP($B:$B,'BS(분기)'!$A:$F,$2:$2,0)),VLOOKUP($B:$B,'BS(분기)'!$A:$F,$2:$2,0),0)</f>
        <v>0</v>
      </c>
      <c r="Q562" s="207">
        <f>IF(ISNUMBER(VLOOKUP($B:$B,'BS(분기)'!$A:$F,$2:$2,0)),VLOOKUP($B:$B,'BS(분기)'!$A:$F,$2:$2,0),0)</f>
        <v>0</v>
      </c>
      <c r="R562" s="207">
        <f>IF(ISNUMBER(VLOOKUP($B:$B,'BS(분기)'!$A:$F,$2:$2,0)),VLOOKUP($B:$B,'BS(분기)'!$A:$F,$2:$2,0),0)</f>
        <v>0</v>
      </c>
    </row>
    <row r="563" spans="1:18" s="192" customFormat="1" ht="12">
      <c r="A563" s="202">
        <v>115300</v>
      </c>
      <c r="B563" s="195" t="s">
        <v>930</v>
      </c>
      <c r="C563" s="217">
        <f>IF(ISNUMBER(VLOOKUP($B:$B,BS!$A:$D,$2:$2,0)),VLOOKUP($B:$B,BS!$A:$D,$2:$2,0),0)</f>
        <v>0</v>
      </c>
      <c r="D563" s="217">
        <f>IF(ISNUMBER(VLOOKUP($B:$B,BS!$A:$D,$2:$2,0)),VLOOKUP($B:$B,BS!$A:$D,$2:$2,0),0)</f>
        <v>0</v>
      </c>
      <c r="E563" s="217">
        <f>IF(ISNUMBER(VLOOKUP($B:$B,BS!$A:$D,$2:$2,0)),VLOOKUP($B:$B,BS!$A:$D,$2:$2,0),0)</f>
        <v>0</v>
      </c>
      <c r="F563" s="217">
        <f>IF(ISNUMBER(VLOOKUP($B:$B,BS!$A:$D,$2:$2,0)),VLOOKUP($B:$B,BS!$A:$D,$2:$2,0),0)</f>
        <v>0</v>
      </c>
      <c r="G563" s="217">
        <f>IF(ISNUMBER(VLOOKUP($B:$B,BS!$A:$D,$2:$2,0)),VLOOKUP($B:$B,BS!$A:$D,$2:$2,0),0)</f>
        <v>0</v>
      </c>
      <c r="H563" s="207">
        <f>IF(ISNUMBER(VLOOKUP($B:$B,'BS(과거)'!$A:$F,$2:$2,0)),VLOOKUP($B:$B,'BS(과거)'!$A:$F,$2:$2,0),0)</f>
        <v>0</v>
      </c>
      <c r="I563" s="207">
        <f>IF(ISNUMBER(VLOOKUP($B:$B,'BS(과거)'!$A:$F,$2:$2,0)),VLOOKUP($B:$B,'BS(과거)'!$A:$F,$2:$2,0),0)</f>
        <v>0</v>
      </c>
      <c r="J563" s="207">
        <f>IF(ISNUMBER(VLOOKUP($B:$B,'BS(과거)'!$A:$F,$2:$2,0)),VLOOKUP($B:$B,'BS(과거)'!$A:$F,$2:$2,0),0)</f>
        <v>0</v>
      </c>
      <c r="K563" s="207">
        <f>IF(ISNUMBER(VLOOKUP($B:$B,'BS(과거)'!$A:$F,$2:$2,0)),VLOOKUP($B:$B,'BS(과거)'!$A:$F,$2:$2,0),0)</f>
        <v>0</v>
      </c>
      <c r="L563" s="207">
        <f>IF(ISNUMBER(VLOOKUP($B:$B,'BS(과거)'!$A:$F,$2:$2,0)),VLOOKUP($B:$B,'BS(과거)'!$A:$F,$2:$2,0),0)</f>
        <v>0</v>
      </c>
      <c r="N563" s="207">
        <f>IF(ISNUMBER(VLOOKUP($B:$B,'BS(분기)'!$A:$F,$2:$2,0)),VLOOKUP($B:$B,'BS(분기)'!$A:$F,$2:$2,0),0)</f>
        <v>0</v>
      </c>
      <c r="O563" s="207">
        <f>IF(ISNUMBER(VLOOKUP($B:$B,'BS(분기)'!$A:$F,$2:$2,0)),VLOOKUP($B:$B,'BS(분기)'!$A:$F,$2:$2,0),0)</f>
        <v>0</v>
      </c>
      <c r="P563" s="207">
        <f>IF(ISNUMBER(VLOOKUP($B:$B,'BS(분기)'!$A:$F,$2:$2,0)),VLOOKUP($B:$B,'BS(분기)'!$A:$F,$2:$2,0),0)</f>
        <v>0</v>
      </c>
      <c r="Q563" s="207">
        <f>IF(ISNUMBER(VLOOKUP($B:$B,'BS(분기)'!$A:$F,$2:$2,0)),VLOOKUP($B:$B,'BS(분기)'!$A:$F,$2:$2,0),0)</f>
        <v>0</v>
      </c>
      <c r="R563" s="207">
        <f>IF(ISNUMBER(VLOOKUP($B:$B,'BS(분기)'!$A:$F,$2:$2,0)),VLOOKUP($B:$B,'BS(분기)'!$A:$F,$2:$2,0),0)</f>
        <v>0</v>
      </c>
    </row>
    <row r="564" spans="1:18" s="192" customFormat="1" ht="12">
      <c r="A564" s="203">
        <v>115310</v>
      </c>
      <c r="B564" s="196" t="s">
        <v>931</v>
      </c>
      <c r="C564" s="217">
        <f>IF(ISNUMBER(VLOOKUP($B:$B,BS!$A:$D,$2:$2,0)),VLOOKUP($B:$B,BS!$A:$D,$2:$2,0),0)</f>
        <v>0</v>
      </c>
      <c r="D564" s="217">
        <f>IF(ISNUMBER(VLOOKUP($B:$B,BS!$A:$D,$2:$2,0)),VLOOKUP($B:$B,BS!$A:$D,$2:$2,0),0)</f>
        <v>0</v>
      </c>
      <c r="E564" s="217">
        <f>IF(ISNUMBER(VLOOKUP($B:$B,BS!$A:$D,$2:$2,0)),VLOOKUP($B:$B,BS!$A:$D,$2:$2,0),0)</f>
        <v>0</v>
      </c>
      <c r="F564" s="217">
        <f>IF(ISNUMBER(VLOOKUP($B:$B,BS!$A:$D,$2:$2,0)),VLOOKUP($B:$B,BS!$A:$D,$2:$2,0),0)</f>
        <v>0</v>
      </c>
      <c r="G564" s="217">
        <f>IF(ISNUMBER(VLOOKUP($B:$B,BS!$A:$D,$2:$2,0)),VLOOKUP($B:$B,BS!$A:$D,$2:$2,0),0)</f>
        <v>0</v>
      </c>
      <c r="H564" s="207">
        <f>IF(ISNUMBER(VLOOKUP($B:$B,'BS(과거)'!$A:$F,$2:$2,0)),VLOOKUP($B:$B,'BS(과거)'!$A:$F,$2:$2,0),0)</f>
        <v>0</v>
      </c>
      <c r="I564" s="207">
        <f>IF(ISNUMBER(VLOOKUP($B:$B,'BS(과거)'!$A:$F,$2:$2,0)),VLOOKUP($B:$B,'BS(과거)'!$A:$F,$2:$2,0),0)</f>
        <v>0</v>
      </c>
      <c r="J564" s="207">
        <f>IF(ISNUMBER(VLOOKUP($B:$B,'BS(과거)'!$A:$F,$2:$2,0)),VLOOKUP($B:$B,'BS(과거)'!$A:$F,$2:$2,0),0)</f>
        <v>0</v>
      </c>
      <c r="K564" s="207">
        <f>IF(ISNUMBER(VLOOKUP($B:$B,'BS(과거)'!$A:$F,$2:$2,0)),VLOOKUP($B:$B,'BS(과거)'!$A:$F,$2:$2,0),0)</f>
        <v>0</v>
      </c>
      <c r="L564" s="207">
        <f>IF(ISNUMBER(VLOOKUP($B:$B,'BS(과거)'!$A:$F,$2:$2,0)),VLOOKUP($B:$B,'BS(과거)'!$A:$F,$2:$2,0),0)</f>
        <v>0</v>
      </c>
      <c r="N564" s="207">
        <f>IF(ISNUMBER(VLOOKUP($B:$B,'BS(분기)'!$A:$F,$2:$2,0)),VLOOKUP($B:$B,'BS(분기)'!$A:$F,$2:$2,0),0)</f>
        <v>0</v>
      </c>
      <c r="O564" s="207">
        <f>IF(ISNUMBER(VLOOKUP($B:$B,'BS(분기)'!$A:$F,$2:$2,0)),VLOOKUP($B:$B,'BS(분기)'!$A:$F,$2:$2,0),0)</f>
        <v>0</v>
      </c>
      <c r="P564" s="207">
        <f>IF(ISNUMBER(VLOOKUP($B:$B,'BS(분기)'!$A:$F,$2:$2,0)),VLOOKUP($B:$B,'BS(분기)'!$A:$F,$2:$2,0),0)</f>
        <v>0</v>
      </c>
      <c r="Q564" s="207">
        <f>IF(ISNUMBER(VLOOKUP($B:$B,'BS(분기)'!$A:$F,$2:$2,0)),VLOOKUP($B:$B,'BS(분기)'!$A:$F,$2:$2,0),0)</f>
        <v>0</v>
      </c>
      <c r="R564" s="207">
        <f>IF(ISNUMBER(VLOOKUP($B:$B,'BS(분기)'!$A:$F,$2:$2,0)),VLOOKUP($B:$B,'BS(분기)'!$A:$F,$2:$2,0),0)</f>
        <v>0</v>
      </c>
    </row>
    <row r="565" spans="1:18" s="192" customFormat="1" ht="12">
      <c r="A565" s="204">
        <v>115311</v>
      </c>
      <c r="B565" s="197" t="s">
        <v>932</v>
      </c>
      <c r="C565" s="217">
        <f>IF(ISNUMBER(VLOOKUP($B:$B,BS!$A:$D,$2:$2,0)),VLOOKUP($B:$B,BS!$A:$D,$2:$2,0),0)</f>
        <v>0</v>
      </c>
      <c r="D565" s="217">
        <f>IF(ISNUMBER(VLOOKUP($B:$B,BS!$A:$D,$2:$2,0)),VLOOKUP($B:$B,BS!$A:$D,$2:$2,0),0)</f>
        <v>0</v>
      </c>
      <c r="E565" s="217">
        <f>IF(ISNUMBER(VLOOKUP($B:$B,BS!$A:$D,$2:$2,0)),VLOOKUP($B:$B,BS!$A:$D,$2:$2,0),0)</f>
        <v>0</v>
      </c>
      <c r="F565" s="217">
        <f>IF(ISNUMBER(VLOOKUP($B:$B,BS!$A:$D,$2:$2,0)),VLOOKUP($B:$B,BS!$A:$D,$2:$2,0),0)</f>
        <v>0</v>
      </c>
      <c r="G565" s="217">
        <f>IF(ISNUMBER(VLOOKUP($B:$B,BS!$A:$D,$2:$2,0)),VLOOKUP($B:$B,BS!$A:$D,$2:$2,0),0)</f>
        <v>0</v>
      </c>
      <c r="H565" s="207">
        <f>IF(ISNUMBER(VLOOKUP($B:$B,'BS(과거)'!$A:$F,$2:$2,0)),VLOOKUP($B:$B,'BS(과거)'!$A:$F,$2:$2,0),0)</f>
        <v>0</v>
      </c>
      <c r="I565" s="207">
        <f>IF(ISNUMBER(VLOOKUP($B:$B,'BS(과거)'!$A:$F,$2:$2,0)),VLOOKUP($B:$B,'BS(과거)'!$A:$F,$2:$2,0),0)</f>
        <v>0</v>
      </c>
      <c r="J565" s="207">
        <f>IF(ISNUMBER(VLOOKUP($B:$B,'BS(과거)'!$A:$F,$2:$2,0)),VLOOKUP($B:$B,'BS(과거)'!$A:$F,$2:$2,0),0)</f>
        <v>0</v>
      </c>
      <c r="K565" s="207">
        <f>IF(ISNUMBER(VLOOKUP($B:$B,'BS(과거)'!$A:$F,$2:$2,0)),VLOOKUP($B:$B,'BS(과거)'!$A:$F,$2:$2,0),0)</f>
        <v>0</v>
      </c>
      <c r="L565" s="207">
        <f>IF(ISNUMBER(VLOOKUP($B:$B,'BS(과거)'!$A:$F,$2:$2,0)),VLOOKUP($B:$B,'BS(과거)'!$A:$F,$2:$2,0),0)</f>
        <v>0</v>
      </c>
      <c r="N565" s="207">
        <f>IF(ISNUMBER(VLOOKUP($B:$B,'BS(분기)'!$A:$F,$2:$2,0)),VLOOKUP($B:$B,'BS(분기)'!$A:$F,$2:$2,0),0)</f>
        <v>0</v>
      </c>
      <c r="O565" s="207">
        <f>IF(ISNUMBER(VLOOKUP($B:$B,'BS(분기)'!$A:$F,$2:$2,0)),VLOOKUP($B:$B,'BS(분기)'!$A:$F,$2:$2,0),0)</f>
        <v>0</v>
      </c>
      <c r="P565" s="207">
        <f>IF(ISNUMBER(VLOOKUP($B:$B,'BS(분기)'!$A:$F,$2:$2,0)),VLOOKUP($B:$B,'BS(분기)'!$A:$F,$2:$2,0),0)</f>
        <v>0</v>
      </c>
      <c r="Q565" s="207">
        <f>IF(ISNUMBER(VLOOKUP($B:$B,'BS(분기)'!$A:$F,$2:$2,0)),VLOOKUP($B:$B,'BS(분기)'!$A:$F,$2:$2,0),0)</f>
        <v>0</v>
      </c>
      <c r="R565" s="207">
        <f>IF(ISNUMBER(VLOOKUP($B:$B,'BS(분기)'!$A:$F,$2:$2,0)),VLOOKUP($B:$B,'BS(분기)'!$A:$F,$2:$2,0),0)</f>
        <v>0</v>
      </c>
    </row>
    <row r="566" spans="1:18" s="192" customFormat="1" ht="12">
      <c r="A566" s="204">
        <v>115312</v>
      </c>
      <c r="B566" s="197" t="s">
        <v>933</v>
      </c>
      <c r="C566" s="217">
        <f>IF(ISNUMBER(VLOOKUP($B:$B,BS!$A:$D,$2:$2,0)),VLOOKUP($B:$B,BS!$A:$D,$2:$2,0),0)</f>
        <v>0</v>
      </c>
      <c r="D566" s="217">
        <f>IF(ISNUMBER(VLOOKUP($B:$B,BS!$A:$D,$2:$2,0)),VLOOKUP($B:$B,BS!$A:$D,$2:$2,0),0)</f>
        <v>0</v>
      </c>
      <c r="E566" s="217">
        <f>IF(ISNUMBER(VLOOKUP($B:$B,BS!$A:$D,$2:$2,0)),VLOOKUP($B:$B,BS!$A:$D,$2:$2,0),0)</f>
        <v>0</v>
      </c>
      <c r="F566" s="217">
        <f>IF(ISNUMBER(VLOOKUP($B:$B,BS!$A:$D,$2:$2,0)),VLOOKUP($B:$B,BS!$A:$D,$2:$2,0),0)</f>
        <v>0</v>
      </c>
      <c r="G566" s="217">
        <f>IF(ISNUMBER(VLOOKUP($B:$B,BS!$A:$D,$2:$2,0)),VLOOKUP($B:$B,BS!$A:$D,$2:$2,0),0)</f>
        <v>0</v>
      </c>
      <c r="H566" s="207">
        <f>IF(ISNUMBER(VLOOKUP($B:$B,'BS(과거)'!$A:$F,$2:$2,0)),VLOOKUP($B:$B,'BS(과거)'!$A:$F,$2:$2,0),0)</f>
        <v>0</v>
      </c>
      <c r="I566" s="207">
        <f>IF(ISNUMBER(VLOOKUP($B:$B,'BS(과거)'!$A:$F,$2:$2,0)),VLOOKUP($B:$B,'BS(과거)'!$A:$F,$2:$2,0),0)</f>
        <v>0</v>
      </c>
      <c r="J566" s="207">
        <f>IF(ISNUMBER(VLOOKUP($B:$B,'BS(과거)'!$A:$F,$2:$2,0)),VLOOKUP($B:$B,'BS(과거)'!$A:$F,$2:$2,0),0)</f>
        <v>0</v>
      </c>
      <c r="K566" s="207">
        <f>IF(ISNUMBER(VLOOKUP($B:$B,'BS(과거)'!$A:$F,$2:$2,0)),VLOOKUP($B:$B,'BS(과거)'!$A:$F,$2:$2,0),0)</f>
        <v>0</v>
      </c>
      <c r="L566" s="207">
        <f>IF(ISNUMBER(VLOOKUP($B:$B,'BS(과거)'!$A:$F,$2:$2,0)),VLOOKUP($B:$B,'BS(과거)'!$A:$F,$2:$2,0),0)</f>
        <v>0</v>
      </c>
      <c r="N566" s="207">
        <f>IF(ISNUMBER(VLOOKUP($B:$B,'BS(분기)'!$A:$F,$2:$2,0)),VLOOKUP($B:$B,'BS(분기)'!$A:$F,$2:$2,0),0)</f>
        <v>0</v>
      </c>
      <c r="O566" s="207">
        <f>IF(ISNUMBER(VLOOKUP($B:$B,'BS(분기)'!$A:$F,$2:$2,0)),VLOOKUP($B:$B,'BS(분기)'!$A:$F,$2:$2,0),0)</f>
        <v>0</v>
      </c>
      <c r="P566" s="207">
        <f>IF(ISNUMBER(VLOOKUP($B:$B,'BS(분기)'!$A:$F,$2:$2,0)),VLOOKUP($B:$B,'BS(분기)'!$A:$F,$2:$2,0),0)</f>
        <v>0</v>
      </c>
      <c r="Q566" s="207">
        <f>IF(ISNUMBER(VLOOKUP($B:$B,'BS(분기)'!$A:$F,$2:$2,0)),VLOOKUP($B:$B,'BS(분기)'!$A:$F,$2:$2,0),0)</f>
        <v>0</v>
      </c>
      <c r="R566" s="207">
        <f>IF(ISNUMBER(VLOOKUP($B:$B,'BS(분기)'!$A:$F,$2:$2,0)),VLOOKUP($B:$B,'BS(분기)'!$A:$F,$2:$2,0),0)</f>
        <v>0</v>
      </c>
    </row>
    <row r="567" spans="1:18" s="192" customFormat="1" ht="12">
      <c r="A567" s="204">
        <v>115313</v>
      </c>
      <c r="B567" s="197" t="s">
        <v>934</v>
      </c>
      <c r="C567" s="217">
        <f>IF(ISNUMBER(VLOOKUP($B:$B,BS!$A:$D,$2:$2,0)),VLOOKUP($B:$B,BS!$A:$D,$2:$2,0),0)</f>
        <v>0</v>
      </c>
      <c r="D567" s="217">
        <f>IF(ISNUMBER(VLOOKUP($B:$B,BS!$A:$D,$2:$2,0)),VLOOKUP($B:$B,BS!$A:$D,$2:$2,0),0)</f>
        <v>0</v>
      </c>
      <c r="E567" s="217">
        <f>IF(ISNUMBER(VLOOKUP($B:$B,BS!$A:$D,$2:$2,0)),VLOOKUP($B:$B,BS!$A:$D,$2:$2,0),0)</f>
        <v>0</v>
      </c>
      <c r="F567" s="217">
        <f>IF(ISNUMBER(VLOOKUP($B:$B,BS!$A:$D,$2:$2,0)),VLOOKUP($B:$B,BS!$A:$D,$2:$2,0),0)</f>
        <v>0</v>
      </c>
      <c r="G567" s="217">
        <f>IF(ISNUMBER(VLOOKUP($B:$B,BS!$A:$D,$2:$2,0)),VLOOKUP($B:$B,BS!$A:$D,$2:$2,0),0)</f>
        <v>0</v>
      </c>
      <c r="H567" s="207">
        <f>IF(ISNUMBER(VLOOKUP($B:$B,'BS(과거)'!$A:$F,$2:$2,0)),VLOOKUP($B:$B,'BS(과거)'!$A:$F,$2:$2,0),0)</f>
        <v>0</v>
      </c>
      <c r="I567" s="207">
        <f>IF(ISNUMBER(VLOOKUP($B:$B,'BS(과거)'!$A:$F,$2:$2,0)),VLOOKUP($B:$B,'BS(과거)'!$A:$F,$2:$2,0),0)</f>
        <v>0</v>
      </c>
      <c r="J567" s="207">
        <f>IF(ISNUMBER(VLOOKUP($B:$B,'BS(과거)'!$A:$F,$2:$2,0)),VLOOKUP($B:$B,'BS(과거)'!$A:$F,$2:$2,0),0)</f>
        <v>0</v>
      </c>
      <c r="K567" s="207">
        <f>IF(ISNUMBER(VLOOKUP($B:$B,'BS(과거)'!$A:$F,$2:$2,0)),VLOOKUP($B:$B,'BS(과거)'!$A:$F,$2:$2,0),0)</f>
        <v>0</v>
      </c>
      <c r="L567" s="207">
        <f>IF(ISNUMBER(VLOOKUP($B:$B,'BS(과거)'!$A:$F,$2:$2,0)),VLOOKUP($B:$B,'BS(과거)'!$A:$F,$2:$2,0),0)</f>
        <v>0</v>
      </c>
      <c r="N567" s="207">
        <f>IF(ISNUMBER(VLOOKUP($B:$B,'BS(분기)'!$A:$F,$2:$2,0)),VLOOKUP($B:$B,'BS(분기)'!$A:$F,$2:$2,0),0)</f>
        <v>0</v>
      </c>
      <c r="O567" s="207">
        <f>IF(ISNUMBER(VLOOKUP($B:$B,'BS(분기)'!$A:$F,$2:$2,0)),VLOOKUP($B:$B,'BS(분기)'!$A:$F,$2:$2,0),0)</f>
        <v>0</v>
      </c>
      <c r="P567" s="207">
        <f>IF(ISNUMBER(VLOOKUP($B:$B,'BS(분기)'!$A:$F,$2:$2,0)),VLOOKUP($B:$B,'BS(분기)'!$A:$F,$2:$2,0),0)</f>
        <v>0</v>
      </c>
      <c r="Q567" s="207">
        <f>IF(ISNUMBER(VLOOKUP($B:$B,'BS(분기)'!$A:$F,$2:$2,0)),VLOOKUP($B:$B,'BS(분기)'!$A:$F,$2:$2,0),0)</f>
        <v>0</v>
      </c>
      <c r="R567" s="207">
        <f>IF(ISNUMBER(VLOOKUP($B:$B,'BS(분기)'!$A:$F,$2:$2,0)),VLOOKUP($B:$B,'BS(분기)'!$A:$F,$2:$2,0),0)</f>
        <v>0</v>
      </c>
    </row>
    <row r="568" spans="1:18" s="192" customFormat="1" ht="12">
      <c r="A568" s="204">
        <v>115319</v>
      </c>
      <c r="B568" s="197" t="s">
        <v>935</v>
      </c>
      <c r="C568" s="217">
        <f>IF(ISNUMBER(VLOOKUP($B:$B,BS!$A:$D,$2:$2,0)),VLOOKUP($B:$B,BS!$A:$D,$2:$2,0),0)</f>
        <v>0</v>
      </c>
      <c r="D568" s="217">
        <f>IF(ISNUMBER(VLOOKUP($B:$B,BS!$A:$D,$2:$2,0)),VLOOKUP($B:$B,BS!$A:$D,$2:$2,0),0)</f>
        <v>0</v>
      </c>
      <c r="E568" s="217">
        <f>IF(ISNUMBER(VLOOKUP($B:$B,BS!$A:$D,$2:$2,0)),VLOOKUP($B:$B,BS!$A:$D,$2:$2,0),0)</f>
        <v>0</v>
      </c>
      <c r="F568" s="217">
        <f>IF(ISNUMBER(VLOOKUP($B:$B,BS!$A:$D,$2:$2,0)),VLOOKUP($B:$B,BS!$A:$D,$2:$2,0),0)</f>
        <v>0</v>
      </c>
      <c r="G568" s="217">
        <f>IF(ISNUMBER(VLOOKUP($B:$B,BS!$A:$D,$2:$2,0)),VLOOKUP($B:$B,BS!$A:$D,$2:$2,0),0)</f>
        <v>0</v>
      </c>
      <c r="H568" s="207">
        <f>IF(ISNUMBER(VLOOKUP($B:$B,'BS(과거)'!$A:$F,$2:$2,0)),VLOOKUP($B:$B,'BS(과거)'!$A:$F,$2:$2,0),0)</f>
        <v>0</v>
      </c>
      <c r="I568" s="207">
        <f>IF(ISNUMBER(VLOOKUP($B:$B,'BS(과거)'!$A:$F,$2:$2,0)),VLOOKUP($B:$B,'BS(과거)'!$A:$F,$2:$2,0),0)</f>
        <v>0</v>
      </c>
      <c r="J568" s="207">
        <f>IF(ISNUMBER(VLOOKUP($B:$B,'BS(과거)'!$A:$F,$2:$2,0)),VLOOKUP($B:$B,'BS(과거)'!$A:$F,$2:$2,0),0)</f>
        <v>0</v>
      </c>
      <c r="K568" s="207">
        <f>IF(ISNUMBER(VLOOKUP($B:$B,'BS(과거)'!$A:$F,$2:$2,0)),VLOOKUP($B:$B,'BS(과거)'!$A:$F,$2:$2,0),0)</f>
        <v>0</v>
      </c>
      <c r="L568" s="207">
        <f>IF(ISNUMBER(VLOOKUP($B:$B,'BS(과거)'!$A:$F,$2:$2,0)),VLOOKUP($B:$B,'BS(과거)'!$A:$F,$2:$2,0),0)</f>
        <v>0</v>
      </c>
      <c r="N568" s="207">
        <f>IF(ISNUMBER(VLOOKUP($B:$B,'BS(분기)'!$A:$F,$2:$2,0)),VLOOKUP($B:$B,'BS(분기)'!$A:$F,$2:$2,0),0)</f>
        <v>0</v>
      </c>
      <c r="O568" s="207">
        <f>IF(ISNUMBER(VLOOKUP($B:$B,'BS(분기)'!$A:$F,$2:$2,0)),VLOOKUP($B:$B,'BS(분기)'!$A:$F,$2:$2,0),0)</f>
        <v>0</v>
      </c>
      <c r="P568" s="207">
        <f>IF(ISNUMBER(VLOOKUP($B:$B,'BS(분기)'!$A:$F,$2:$2,0)),VLOOKUP($B:$B,'BS(분기)'!$A:$F,$2:$2,0),0)</f>
        <v>0</v>
      </c>
      <c r="Q568" s="207">
        <f>IF(ISNUMBER(VLOOKUP($B:$B,'BS(분기)'!$A:$F,$2:$2,0)),VLOOKUP($B:$B,'BS(분기)'!$A:$F,$2:$2,0),0)</f>
        <v>0</v>
      </c>
      <c r="R568" s="207">
        <f>IF(ISNUMBER(VLOOKUP($B:$B,'BS(분기)'!$A:$F,$2:$2,0)),VLOOKUP($B:$B,'BS(분기)'!$A:$F,$2:$2,0),0)</f>
        <v>0</v>
      </c>
    </row>
    <row r="569" spans="1:18" s="192" customFormat="1" ht="12">
      <c r="A569" s="203">
        <v>115320</v>
      </c>
      <c r="B569" s="196" t="s">
        <v>936</v>
      </c>
      <c r="C569" s="217">
        <f>IF(ISNUMBER(VLOOKUP($B:$B,BS!$A:$D,$2:$2,0)),VLOOKUP($B:$B,BS!$A:$D,$2:$2,0),0)</f>
        <v>0</v>
      </c>
      <c r="D569" s="217">
        <f>IF(ISNUMBER(VLOOKUP($B:$B,BS!$A:$D,$2:$2,0)),VLOOKUP($B:$B,BS!$A:$D,$2:$2,0),0)</f>
        <v>0</v>
      </c>
      <c r="E569" s="217">
        <f>IF(ISNUMBER(VLOOKUP($B:$B,BS!$A:$D,$2:$2,0)),VLOOKUP($B:$B,BS!$A:$D,$2:$2,0),0)</f>
        <v>0</v>
      </c>
      <c r="F569" s="217">
        <f>IF(ISNUMBER(VLOOKUP($B:$B,BS!$A:$D,$2:$2,0)),VLOOKUP($B:$B,BS!$A:$D,$2:$2,0),0)</f>
        <v>0</v>
      </c>
      <c r="G569" s="217">
        <f>IF(ISNUMBER(VLOOKUP($B:$B,BS!$A:$D,$2:$2,0)),VLOOKUP($B:$B,BS!$A:$D,$2:$2,0),0)</f>
        <v>0</v>
      </c>
      <c r="H569" s="207">
        <f>IF(ISNUMBER(VLOOKUP($B:$B,'BS(과거)'!$A:$F,$2:$2,0)),VLOOKUP($B:$B,'BS(과거)'!$A:$F,$2:$2,0),0)</f>
        <v>0</v>
      </c>
      <c r="I569" s="207">
        <f>IF(ISNUMBER(VLOOKUP($B:$B,'BS(과거)'!$A:$F,$2:$2,0)),VLOOKUP($B:$B,'BS(과거)'!$A:$F,$2:$2,0),0)</f>
        <v>0</v>
      </c>
      <c r="J569" s="207">
        <f>IF(ISNUMBER(VLOOKUP($B:$B,'BS(과거)'!$A:$F,$2:$2,0)),VLOOKUP($B:$B,'BS(과거)'!$A:$F,$2:$2,0),0)</f>
        <v>0</v>
      </c>
      <c r="K569" s="207">
        <f>IF(ISNUMBER(VLOOKUP($B:$B,'BS(과거)'!$A:$F,$2:$2,0)),VLOOKUP($B:$B,'BS(과거)'!$A:$F,$2:$2,0),0)</f>
        <v>0</v>
      </c>
      <c r="L569" s="207">
        <f>IF(ISNUMBER(VLOOKUP($B:$B,'BS(과거)'!$A:$F,$2:$2,0)),VLOOKUP($B:$B,'BS(과거)'!$A:$F,$2:$2,0),0)</f>
        <v>0</v>
      </c>
      <c r="N569" s="207">
        <f>IF(ISNUMBER(VLOOKUP($B:$B,'BS(분기)'!$A:$F,$2:$2,0)),VLOOKUP($B:$B,'BS(분기)'!$A:$F,$2:$2,0),0)</f>
        <v>0</v>
      </c>
      <c r="O569" s="207">
        <f>IF(ISNUMBER(VLOOKUP($B:$B,'BS(분기)'!$A:$F,$2:$2,0)),VLOOKUP($B:$B,'BS(분기)'!$A:$F,$2:$2,0),0)</f>
        <v>0</v>
      </c>
      <c r="P569" s="207">
        <f>IF(ISNUMBER(VLOOKUP($B:$B,'BS(분기)'!$A:$F,$2:$2,0)),VLOOKUP($B:$B,'BS(분기)'!$A:$F,$2:$2,0),0)</f>
        <v>0</v>
      </c>
      <c r="Q569" s="207">
        <f>IF(ISNUMBER(VLOOKUP($B:$B,'BS(분기)'!$A:$F,$2:$2,0)),VLOOKUP($B:$B,'BS(분기)'!$A:$F,$2:$2,0),0)</f>
        <v>0</v>
      </c>
      <c r="R569" s="207">
        <f>IF(ISNUMBER(VLOOKUP($B:$B,'BS(분기)'!$A:$F,$2:$2,0)),VLOOKUP($B:$B,'BS(분기)'!$A:$F,$2:$2,0),0)</f>
        <v>0</v>
      </c>
    </row>
    <row r="570" spans="1:18" s="192" customFormat="1" ht="12">
      <c r="A570" s="204">
        <v>115321</v>
      </c>
      <c r="B570" s="197" t="s">
        <v>937</v>
      </c>
      <c r="C570" s="217">
        <f>IF(ISNUMBER(VLOOKUP($B:$B,BS!$A:$D,$2:$2,0)),VLOOKUP($B:$B,BS!$A:$D,$2:$2,0),0)</f>
        <v>0</v>
      </c>
      <c r="D570" s="217">
        <f>IF(ISNUMBER(VLOOKUP($B:$B,BS!$A:$D,$2:$2,0)),VLOOKUP($B:$B,BS!$A:$D,$2:$2,0),0)</f>
        <v>0</v>
      </c>
      <c r="E570" s="217">
        <f>IF(ISNUMBER(VLOOKUP($B:$B,BS!$A:$D,$2:$2,0)),VLOOKUP($B:$B,BS!$A:$D,$2:$2,0),0)</f>
        <v>0</v>
      </c>
      <c r="F570" s="217">
        <f>IF(ISNUMBER(VLOOKUP($B:$B,BS!$A:$D,$2:$2,0)),VLOOKUP($B:$B,BS!$A:$D,$2:$2,0),0)</f>
        <v>0</v>
      </c>
      <c r="G570" s="217">
        <f>IF(ISNUMBER(VLOOKUP($B:$B,BS!$A:$D,$2:$2,0)),VLOOKUP($B:$B,BS!$A:$D,$2:$2,0),0)</f>
        <v>0</v>
      </c>
      <c r="H570" s="207">
        <f>IF(ISNUMBER(VLOOKUP($B:$B,'BS(과거)'!$A:$F,$2:$2,0)),VLOOKUP($B:$B,'BS(과거)'!$A:$F,$2:$2,0),0)</f>
        <v>0</v>
      </c>
      <c r="I570" s="207">
        <f>IF(ISNUMBER(VLOOKUP($B:$B,'BS(과거)'!$A:$F,$2:$2,0)),VLOOKUP($B:$B,'BS(과거)'!$A:$F,$2:$2,0),0)</f>
        <v>0</v>
      </c>
      <c r="J570" s="207">
        <f>IF(ISNUMBER(VLOOKUP($B:$B,'BS(과거)'!$A:$F,$2:$2,0)),VLOOKUP($B:$B,'BS(과거)'!$A:$F,$2:$2,0),0)</f>
        <v>0</v>
      </c>
      <c r="K570" s="207">
        <f>IF(ISNUMBER(VLOOKUP($B:$B,'BS(과거)'!$A:$F,$2:$2,0)),VLOOKUP($B:$B,'BS(과거)'!$A:$F,$2:$2,0),0)</f>
        <v>0</v>
      </c>
      <c r="L570" s="207">
        <f>IF(ISNUMBER(VLOOKUP($B:$B,'BS(과거)'!$A:$F,$2:$2,0)),VLOOKUP($B:$B,'BS(과거)'!$A:$F,$2:$2,0),0)</f>
        <v>0</v>
      </c>
      <c r="N570" s="207">
        <f>IF(ISNUMBER(VLOOKUP($B:$B,'BS(분기)'!$A:$F,$2:$2,0)),VLOOKUP($B:$B,'BS(분기)'!$A:$F,$2:$2,0),0)</f>
        <v>0</v>
      </c>
      <c r="O570" s="207">
        <f>IF(ISNUMBER(VLOOKUP($B:$B,'BS(분기)'!$A:$F,$2:$2,0)),VLOOKUP($B:$B,'BS(분기)'!$A:$F,$2:$2,0),0)</f>
        <v>0</v>
      </c>
      <c r="P570" s="207">
        <f>IF(ISNUMBER(VLOOKUP($B:$B,'BS(분기)'!$A:$F,$2:$2,0)),VLOOKUP($B:$B,'BS(분기)'!$A:$F,$2:$2,0),0)</f>
        <v>0</v>
      </c>
      <c r="Q570" s="207">
        <f>IF(ISNUMBER(VLOOKUP($B:$B,'BS(분기)'!$A:$F,$2:$2,0)),VLOOKUP($B:$B,'BS(분기)'!$A:$F,$2:$2,0),0)</f>
        <v>0</v>
      </c>
      <c r="R570" s="207">
        <f>IF(ISNUMBER(VLOOKUP($B:$B,'BS(분기)'!$A:$F,$2:$2,0)),VLOOKUP($B:$B,'BS(분기)'!$A:$F,$2:$2,0),0)</f>
        <v>0</v>
      </c>
    </row>
    <row r="571" spans="1:18" s="192" customFormat="1" ht="12">
      <c r="A571" s="204">
        <v>115322</v>
      </c>
      <c r="B571" s="197" t="s">
        <v>938</v>
      </c>
      <c r="C571" s="217">
        <f>IF(ISNUMBER(VLOOKUP($B:$B,BS!$A:$D,$2:$2,0)),VLOOKUP($B:$B,BS!$A:$D,$2:$2,0),0)</f>
        <v>0</v>
      </c>
      <c r="D571" s="217">
        <f>IF(ISNUMBER(VLOOKUP($B:$B,BS!$A:$D,$2:$2,0)),VLOOKUP($B:$B,BS!$A:$D,$2:$2,0),0)</f>
        <v>0</v>
      </c>
      <c r="E571" s="217">
        <f>IF(ISNUMBER(VLOOKUP($B:$B,BS!$A:$D,$2:$2,0)),VLOOKUP($B:$B,BS!$A:$D,$2:$2,0),0)</f>
        <v>0</v>
      </c>
      <c r="F571" s="217">
        <f>IF(ISNUMBER(VLOOKUP($B:$B,BS!$A:$D,$2:$2,0)),VLOOKUP($B:$B,BS!$A:$D,$2:$2,0),0)</f>
        <v>0</v>
      </c>
      <c r="G571" s="217">
        <f>IF(ISNUMBER(VLOOKUP($B:$B,BS!$A:$D,$2:$2,0)),VLOOKUP($B:$B,BS!$A:$D,$2:$2,0),0)</f>
        <v>0</v>
      </c>
      <c r="H571" s="207">
        <f>IF(ISNUMBER(VLOOKUP($B:$B,'BS(과거)'!$A:$F,$2:$2,0)),VLOOKUP($B:$B,'BS(과거)'!$A:$F,$2:$2,0),0)</f>
        <v>0</v>
      </c>
      <c r="I571" s="207">
        <f>IF(ISNUMBER(VLOOKUP($B:$B,'BS(과거)'!$A:$F,$2:$2,0)),VLOOKUP($B:$B,'BS(과거)'!$A:$F,$2:$2,0),0)</f>
        <v>0</v>
      </c>
      <c r="J571" s="207">
        <f>IF(ISNUMBER(VLOOKUP($B:$B,'BS(과거)'!$A:$F,$2:$2,0)),VLOOKUP($B:$B,'BS(과거)'!$A:$F,$2:$2,0),0)</f>
        <v>0</v>
      </c>
      <c r="K571" s="207">
        <f>IF(ISNUMBER(VLOOKUP($B:$B,'BS(과거)'!$A:$F,$2:$2,0)),VLOOKUP($B:$B,'BS(과거)'!$A:$F,$2:$2,0),0)</f>
        <v>0</v>
      </c>
      <c r="L571" s="207">
        <f>IF(ISNUMBER(VLOOKUP($B:$B,'BS(과거)'!$A:$F,$2:$2,0)),VLOOKUP($B:$B,'BS(과거)'!$A:$F,$2:$2,0),0)</f>
        <v>0</v>
      </c>
      <c r="N571" s="207">
        <f>IF(ISNUMBER(VLOOKUP($B:$B,'BS(분기)'!$A:$F,$2:$2,0)),VLOOKUP($B:$B,'BS(분기)'!$A:$F,$2:$2,0),0)</f>
        <v>0</v>
      </c>
      <c r="O571" s="207">
        <f>IF(ISNUMBER(VLOOKUP($B:$B,'BS(분기)'!$A:$F,$2:$2,0)),VLOOKUP($B:$B,'BS(분기)'!$A:$F,$2:$2,0),0)</f>
        <v>0</v>
      </c>
      <c r="P571" s="207">
        <f>IF(ISNUMBER(VLOOKUP($B:$B,'BS(분기)'!$A:$F,$2:$2,0)),VLOOKUP($B:$B,'BS(분기)'!$A:$F,$2:$2,0),0)</f>
        <v>0</v>
      </c>
      <c r="Q571" s="207">
        <f>IF(ISNUMBER(VLOOKUP($B:$B,'BS(분기)'!$A:$F,$2:$2,0)),VLOOKUP($B:$B,'BS(분기)'!$A:$F,$2:$2,0),0)</f>
        <v>0</v>
      </c>
      <c r="R571" s="207">
        <f>IF(ISNUMBER(VLOOKUP($B:$B,'BS(분기)'!$A:$F,$2:$2,0)),VLOOKUP($B:$B,'BS(분기)'!$A:$F,$2:$2,0),0)</f>
        <v>0</v>
      </c>
    </row>
    <row r="572" spans="1:18" s="192" customFormat="1" ht="12">
      <c r="A572" s="204">
        <v>115323</v>
      </c>
      <c r="B572" s="197" t="s">
        <v>939</v>
      </c>
      <c r="C572" s="217">
        <f>IF(ISNUMBER(VLOOKUP($B:$B,BS!$A:$D,$2:$2,0)),VLOOKUP($B:$B,BS!$A:$D,$2:$2,0),0)</f>
        <v>0</v>
      </c>
      <c r="D572" s="217">
        <f>IF(ISNUMBER(VLOOKUP($B:$B,BS!$A:$D,$2:$2,0)),VLOOKUP($B:$B,BS!$A:$D,$2:$2,0),0)</f>
        <v>0</v>
      </c>
      <c r="E572" s="217">
        <f>IF(ISNUMBER(VLOOKUP($B:$B,BS!$A:$D,$2:$2,0)),VLOOKUP($B:$B,BS!$A:$D,$2:$2,0),0)</f>
        <v>0</v>
      </c>
      <c r="F572" s="217">
        <f>IF(ISNUMBER(VLOOKUP($B:$B,BS!$A:$D,$2:$2,0)),VLOOKUP($B:$B,BS!$A:$D,$2:$2,0),0)</f>
        <v>0</v>
      </c>
      <c r="G572" s="217">
        <f>IF(ISNUMBER(VLOOKUP($B:$B,BS!$A:$D,$2:$2,0)),VLOOKUP($B:$B,BS!$A:$D,$2:$2,0),0)</f>
        <v>0</v>
      </c>
      <c r="H572" s="207">
        <f>IF(ISNUMBER(VLOOKUP($B:$B,'BS(과거)'!$A:$F,$2:$2,0)),VLOOKUP($B:$B,'BS(과거)'!$A:$F,$2:$2,0),0)</f>
        <v>0</v>
      </c>
      <c r="I572" s="207">
        <f>IF(ISNUMBER(VLOOKUP($B:$B,'BS(과거)'!$A:$F,$2:$2,0)),VLOOKUP($B:$B,'BS(과거)'!$A:$F,$2:$2,0),0)</f>
        <v>0</v>
      </c>
      <c r="J572" s="207">
        <f>IF(ISNUMBER(VLOOKUP($B:$B,'BS(과거)'!$A:$F,$2:$2,0)),VLOOKUP($B:$B,'BS(과거)'!$A:$F,$2:$2,0),0)</f>
        <v>0</v>
      </c>
      <c r="K572" s="207">
        <f>IF(ISNUMBER(VLOOKUP($B:$B,'BS(과거)'!$A:$F,$2:$2,0)),VLOOKUP($B:$B,'BS(과거)'!$A:$F,$2:$2,0),0)</f>
        <v>0</v>
      </c>
      <c r="L572" s="207">
        <f>IF(ISNUMBER(VLOOKUP($B:$B,'BS(과거)'!$A:$F,$2:$2,0)),VLOOKUP($B:$B,'BS(과거)'!$A:$F,$2:$2,0),0)</f>
        <v>0</v>
      </c>
      <c r="N572" s="207">
        <f>IF(ISNUMBER(VLOOKUP($B:$B,'BS(분기)'!$A:$F,$2:$2,0)),VLOOKUP($B:$B,'BS(분기)'!$A:$F,$2:$2,0),0)</f>
        <v>0</v>
      </c>
      <c r="O572" s="207">
        <f>IF(ISNUMBER(VLOOKUP($B:$B,'BS(분기)'!$A:$F,$2:$2,0)),VLOOKUP($B:$B,'BS(분기)'!$A:$F,$2:$2,0),0)</f>
        <v>0</v>
      </c>
      <c r="P572" s="207">
        <f>IF(ISNUMBER(VLOOKUP($B:$B,'BS(분기)'!$A:$F,$2:$2,0)),VLOOKUP($B:$B,'BS(분기)'!$A:$F,$2:$2,0),0)</f>
        <v>0</v>
      </c>
      <c r="Q572" s="207">
        <f>IF(ISNUMBER(VLOOKUP($B:$B,'BS(분기)'!$A:$F,$2:$2,0)),VLOOKUP($B:$B,'BS(분기)'!$A:$F,$2:$2,0),0)</f>
        <v>0</v>
      </c>
      <c r="R572" s="207">
        <f>IF(ISNUMBER(VLOOKUP($B:$B,'BS(분기)'!$A:$F,$2:$2,0)),VLOOKUP($B:$B,'BS(분기)'!$A:$F,$2:$2,0),0)</f>
        <v>0</v>
      </c>
    </row>
    <row r="573" spans="1:18" s="192" customFormat="1" ht="12">
      <c r="A573" s="204">
        <v>115324</v>
      </c>
      <c r="B573" s="197" t="s">
        <v>940</v>
      </c>
      <c r="C573" s="217">
        <f>IF(ISNUMBER(VLOOKUP($B:$B,BS!$A:$D,$2:$2,0)),VLOOKUP($B:$B,BS!$A:$D,$2:$2,0),0)</f>
        <v>0</v>
      </c>
      <c r="D573" s="217">
        <f>IF(ISNUMBER(VLOOKUP($B:$B,BS!$A:$D,$2:$2,0)),VLOOKUP($B:$B,BS!$A:$D,$2:$2,0),0)</f>
        <v>0</v>
      </c>
      <c r="E573" s="217">
        <f>IF(ISNUMBER(VLOOKUP($B:$B,BS!$A:$D,$2:$2,0)),VLOOKUP($B:$B,BS!$A:$D,$2:$2,0),0)</f>
        <v>0</v>
      </c>
      <c r="F573" s="217">
        <f>IF(ISNUMBER(VLOOKUP($B:$B,BS!$A:$D,$2:$2,0)),VLOOKUP($B:$B,BS!$A:$D,$2:$2,0),0)</f>
        <v>0</v>
      </c>
      <c r="G573" s="217">
        <f>IF(ISNUMBER(VLOOKUP($B:$B,BS!$A:$D,$2:$2,0)),VLOOKUP($B:$B,BS!$A:$D,$2:$2,0),0)</f>
        <v>0</v>
      </c>
      <c r="H573" s="207">
        <f>IF(ISNUMBER(VLOOKUP($B:$B,'BS(과거)'!$A:$F,$2:$2,0)),VLOOKUP($B:$B,'BS(과거)'!$A:$F,$2:$2,0),0)</f>
        <v>0</v>
      </c>
      <c r="I573" s="207">
        <f>IF(ISNUMBER(VLOOKUP($B:$B,'BS(과거)'!$A:$F,$2:$2,0)),VLOOKUP($B:$B,'BS(과거)'!$A:$F,$2:$2,0),0)</f>
        <v>0</v>
      </c>
      <c r="J573" s="207">
        <f>IF(ISNUMBER(VLOOKUP($B:$B,'BS(과거)'!$A:$F,$2:$2,0)),VLOOKUP($B:$B,'BS(과거)'!$A:$F,$2:$2,0),0)</f>
        <v>0</v>
      </c>
      <c r="K573" s="207">
        <f>IF(ISNUMBER(VLOOKUP($B:$B,'BS(과거)'!$A:$F,$2:$2,0)),VLOOKUP($B:$B,'BS(과거)'!$A:$F,$2:$2,0),0)</f>
        <v>0</v>
      </c>
      <c r="L573" s="207">
        <f>IF(ISNUMBER(VLOOKUP($B:$B,'BS(과거)'!$A:$F,$2:$2,0)),VLOOKUP($B:$B,'BS(과거)'!$A:$F,$2:$2,0),0)</f>
        <v>0</v>
      </c>
      <c r="N573" s="207">
        <f>IF(ISNUMBER(VLOOKUP($B:$B,'BS(분기)'!$A:$F,$2:$2,0)),VLOOKUP($B:$B,'BS(분기)'!$A:$F,$2:$2,0),0)</f>
        <v>0</v>
      </c>
      <c r="O573" s="207">
        <f>IF(ISNUMBER(VLOOKUP($B:$B,'BS(분기)'!$A:$F,$2:$2,0)),VLOOKUP($B:$B,'BS(분기)'!$A:$F,$2:$2,0),0)</f>
        <v>0</v>
      </c>
      <c r="P573" s="207">
        <f>IF(ISNUMBER(VLOOKUP($B:$B,'BS(분기)'!$A:$F,$2:$2,0)),VLOOKUP($B:$B,'BS(분기)'!$A:$F,$2:$2,0),0)</f>
        <v>0</v>
      </c>
      <c r="Q573" s="207">
        <f>IF(ISNUMBER(VLOOKUP($B:$B,'BS(분기)'!$A:$F,$2:$2,0)),VLOOKUP($B:$B,'BS(분기)'!$A:$F,$2:$2,0),0)</f>
        <v>0</v>
      </c>
      <c r="R573" s="207">
        <f>IF(ISNUMBER(VLOOKUP($B:$B,'BS(분기)'!$A:$F,$2:$2,0)),VLOOKUP($B:$B,'BS(분기)'!$A:$F,$2:$2,0),0)</f>
        <v>0</v>
      </c>
    </row>
    <row r="574" spans="1:18" s="192" customFormat="1" ht="12">
      <c r="A574" s="204">
        <v>115329</v>
      </c>
      <c r="B574" s="197" t="s">
        <v>941</v>
      </c>
      <c r="C574" s="217">
        <f>IF(ISNUMBER(VLOOKUP($B:$B,BS!$A:$D,$2:$2,0)),VLOOKUP($B:$B,BS!$A:$D,$2:$2,0),0)</f>
        <v>0</v>
      </c>
      <c r="D574" s="217">
        <f>IF(ISNUMBER(VLOOKUP($B:$B,BS!$A:$D,$2:$2,0)),VLOOKUP($B:$B,BS!$A:$D,$2:$2,0),0)</f>
        <v>0</v>
      </c>
      <c r="E574" s="217">
        <f>IF(ISNUMBER(VLOOKUP($B:$B,BS!$A:$D,$2:$2,0)),VLOOKUP($B:$B,BS!$A:$D,$2:$2,0),0)</f>
        <v>0</v>
      </c>
      <c r="F574" s="217">
        <f>IF(ISNUMBER(VLOOKUP($B:$B,BS!$A:$D,$2:$2,0)),VLOOKUP($B:$B,BS!$A:$D,$2:$2,0),0)</f>
        <v>0</v>
      </c>
      <c r="G574" s="217">
        <f>IF(ISNUMBER(VLOOKUP($B:$B,BS!$A:$D,$2:$2,0)),VLOOKUP($B:$B,BS!$A:$D,$2:$2,0),0)</f>
        <v>0</v>
      </c>
      <c r="H574" s="207">
        <f>IF(ISNUMBER(VLOOKUP($B:$B,'BS(과거)'!$A:$F,$2:$2,0)),VLOOKUP($B:$B,'BS(과거)'!$A:$F,$2:$2,0),0)</f>
        <v>0</v>
      </c>
      <c r="I574" s="207">
        <f>IF(ISNUMBER(VLOOKUP($B:$B,'BS(과거)'!$A:$F,$2:$2,0)),VLOOKUP($B:$B,'BS(과거)'!$A:$F,$2:$2,0),0)</f>
        <v>0</v>
      </c>
      <c r="J574" s="207">
        <f>IF(ISNUMBER(VLOOKUP($B:$B,'BS(과거)'!$A:$F,$2:$2,0)),VLOOKUP($B:$B,'BS(과거)'!$A:$F,$2:$2,0),0)</f>
        <v>0</v>
      </c>
      <c r="K574" s="207">
        <f>IF(ISNUMBER(VLOOKUP($B:$B,'BS(과거)'!$A:$F,$2:$2,0)),VLOOKUP($B:$B,'BS(과거)'!$A:$F,$2:$2,0),0)</f>
        <v>0</v>
      </c>
      <c r="L574" s="207">
        <f>IF(ISNUMBER(VLOOKUP($B:$B,'BS(과거)'!$A:$F,$2:$2,0)),VLOOKUP($B:$B,'BS(과거)'!$A:$F,$2:$2,0),0)</f>
        <v>0</v>
      </c>
      <c r="N574" s="207">
        <f>IF(ISNUMBER(VLOOKUP($B:$B,'BS(분기)'!$A:$F,$2:$2,0)),VLOOKUP($B:$B,'BS(분기)'!$A:$F,$2:$2,0),0)</f>
        <v>0</v>
      </c>
      <c r="O574" s="207">
        <f>IF(ISNUMBER(VLOOKUP($B:$B,'BS(분기)'!$A:$F,$2:$2,0)),VLOOKUP($B:$B,'BS(분기)'!$A:$F,$2:$2,0),0)</f>
        <v>0</v>
      </c>
      <c r="P574" s="207">
        <f>IF(ISNUMBER(VLOOKUP($B:$B,'BS(분기)'!$A:$F,$2:$2,0)),VLOOKUP($B:$B,'BS(분기)'!$A:$F,$2:$2,0),0)</f>
        <v>0</v>
      </c>
      <c r="Q574" s="207">
        <f>IF(ISNUMBER(VLOOKUP($B:$B,'BS(분기)'!$A:$F,$2:$2,0)),VLOOKUP($B:$B,'BS(분기)'!$A:$F,$2:$2,0),0)</f>
        <v>0</v>
      </c>
      <c r="R574" s="207">
        <f>IF(ISNUMBER(VLOOKUP($B:$B,'BS(분기)'!$A:$F,$2:$2,0)),VLOOKUP($B:$B,'BS(분기)'!$A:$F,$2:$2,0),0)</f>
        <v>0</v>
      </c>
    </row>
    <row r="575" spans="1:18" s="192" customFormat="1" ht="12">
      <c r="A575" s="203">
        <v>115330</v>
      </c>
      <c r="B575" s="196" t="s">
        <v>942</v>
      </c>
      <c r="C575" s="217">
        <f>IF(ISNUMBER(VLOOKUP($B:$B,BS!$A:$D,$2:$2,0)),VLOOKUP($B:$B,BS!$A:$D,$2:$2,0),0)</f>
        <v>0</v>
      </c>
      <c r="D575" s="217">
        <f>IF(ISNUMBER(VLOOKUP($B:$B,BS!$A:$D,$2:$2,0)),VLOOKUP($B:$B,BS!$A:$D,$2:$2,0),0)</f>
        <v>0</v>
      </c>
      <c r="E575" s="217">
        <f>IF(ISNUMBER(VLOOKUP($B:$B,BS!$A:$D,$2:$2,0)),VLOOKUP($B:$B,BS!$A:$D,$2:$2,0),0)</f>
        <v>0</v>
      </c>
      <c r="F575" s="217">
        <f>IF(ISNUMBER(VLOOKUP($B:$B,BS!$A:$D,$2:$2,0)),VLOOKUP($B:$B,BS!$A:$D,$2:$2,0),0)</f>
        <v>0</v>
      </c>
      <c r="G575" s="217">
        <f>IF(ISNUMBER(VLOOKUP($B:$B,BS!$A:$D,$2:$2,0)),VLOOKUP($B:$B,BS!$A:$D,$2:$2,0),0)</f>
        <v>0</v>
      </c>
      <c r="H575" s="207">
        <f>IF(ISNUMBER(VLOOKUP($B:$B,'BS(과거)'!$A:$F,$2:$2,0)),VLOOKUP($B:$B,'BS(과거)'!$A:$F,$2:$2,0),0)</f>
        <v>0</v>
      </c>
      <c r="I575" s="207">
        <f>IF(ISNUMBER(VLOOKUP($B:$B,'BS(과거)'!$A:$F,$2:$2,0)),VLOOKUP($B:$B,'BS(과거)'!$A:$F,$2:$2,0),0)</f>
        <v>0</v>
      </c>
      <c r="J575" s="207">
        <f>IF(ISNUMBER(VLOOKUP($B:$B,'BS(과거)'!$A:$F,$2:$2,0)),VLOOKUP($B:$B,'BS(과거)'!$A:$F,$2:$2,0),0)</f>
        <v>0</v>
      </c>
      <c r="K575" s="207">
        <f>IF(ISNUMBER(VLOOKUP($B:$B,'BS(과거)'!$A:$F,$2:$2,0)),VLOOKUP($B:$B,'BS(과거)'!$A:$F,$2:$2,0),0)</f>
        <v>0</v>
      </c>
      <c r="L575" s="207">
        <f>IF(ISNUMBER(VLOOKUP($B:$B,'BS(과거)'!$A:$F,$2:$2,0)),VLOOKUP($B:$B,'BS(과거)'!$A:$F,$2:$2,0),0)</f>
        <v>0</v>
      </c>
      <c r="N575" s="207">
        <f>IF(ISNUMBER(VLOOKUP($B:$B,'BS(분기)'!$A:$F,$2:$2,0)),VLOOKUP($B:$B,'BS(분기)'!$A:$F,$2:$2,0),0)</f>
        <v>0</v>
      </c>
      <c r="O575" s="207">
        <f>IF(ISNUMBER(VLOOKUP($B:$B,'BS(분기)'!$A:$F,$2:$2,0)),VLOOKUP($B:$B,'BS(분기)'!$A:$F,$2:$2,0),0)</f>
        <v>0</v>
      </c>
      <c r="P575" s="207">
        <f>IF(ISNUMBER(VLOOKUP($B:$B,'BS(분기)'!$A:$F,$2:$2,0)),VLOOKUP($B:$B,'BS(분기)'!$A:$F,$2:$2,0),0)</f>
        <v>0</v>
      </c>
      <c r="Q575" s="207">
        <f>IF(ISNUMBER(VLOOKUP($B:$B,'BS(분기)'!$A:$F,$2:$2,0)),VLOOKUP($B:$B,'BS(분기)'!$A:$F,$2:$2,0),0)</f>
        <v>0</v>
      </c>
      <c r="R575" s="207">
        <f>IF(ISNUMBER(VLOOKUP($B:$B,'BS(분기)'!$A:$F,$2:$2,0)),VLOOKUP($B:$B,'BS(분기)'!$A:$F,$2:$2,0),0)</f>
        <v>0</v>
      </c>
    </row>
    <row r="576" spans="1:18" s="192" customFormat="1" ht="12">
      <c r="A576" s="204">
        <v>115331</v>
      </c>
      <c r="B576" s="197" t="s">
        <v>1250</v>
      </c>
      <c r="C576" s="217">
        <f>IF(ISNUMBER(VLOOKUP($B:$B,BS!$A:$D,$2:$2,0)),VLOOKUP($B:$B,BS!$A:$D,$2:$2,0),0)</f>
        <v>0</v>
      </c>
      <c r="D576" s="217">
        <f>IF(ISNUMBER(VLOOKUP($B:$B,BS!$A:$D,$2:$2,0)),VLOOKUP($B:$B,BS!$A:$D,$2:$2,0),0)</f>
        <v>0</v>
      </c>
      <c r="E576" s="217">
        <f>IF(ISNUMBER(VLOOKUP($B:$B,BS!$A:$D,$2:$2,0)),VLOOKUP($B:$B,BS!$A:$D,$2:$2,0),0)</f>
        <v>0</v>
      </c>
      <c r="F576" s="217">
        <f>IF(ISNUMBER(VLOOKUP($B:$B,BS!$A:$D,$2:$2,0)),VLOOKUP($B:$B,BS!$A:$D,$2:$2,0),0)</f>
        <v>0</v>
      </c>
      <c r="G576" s="217">
        <f>IF(ISNUMBER(VLOOKUP($B:$B,BS!$A:$D,$2:$2,0)),VLOOKUP($B:$B,BS!$A:$D,$2:$2,0),0)</f>
        <v>0</v>
      </c>
      <c r="H576" s="207">
        <f>IF(ISNUMBER(VLOOKUP($B:$B,'BS(과거)'!$A:$F,$2:$2,0)),VLOOKUP($B:$B,'BS(과거)'!$A:$F,$2:$2,0),0)</f>
        <v>0</v>
      </c>
      <c r="I576" s="207">
        <f>IF(ISNUMBER(VLOOKUP($B:$B,'BS(과거)'!$A:$F,$2:$2,0)),VLOOKUP($B:$B,'BS(과거)'!$A:$F,$2:$2,0),0)</f>
        <v>0</v>
      </c>
      <c r="J576" s="207">
        <f>IF(ISNUMBER(VLOOKUP($B:$B,'BS(과거)'!$A:$F,$2:$2,0)),VLOOKUP($B:$B,'BS(과거)'!$A:$F,$2:$2,0),0)</f>
        <v>0</v>
      </c>
      <c r="K576" s="207">
        <f>IF(ISNUMBER(VLOOKUP($B:$B,'BS(과거)'!$A:$F,$2:$2,0)),VLOOKUP($B:$B,'BS(과거)'!$A:$F,$2:$2,0),0)</f>
        <v>0</v>
      </c>
      <c r="L576" s="207">
        <f>IF(ISNUMBER(VLOOKUP($B:$B,'BS(과거)'!$A:$F,$2:$2,0)),VLOOKUP($B:$B,'BS(과거)'!$A:$F,$2:$2,0),0)</f>
        <v>0</v>
      </c>
      <c r="N576" s="207">
        <f>IF(ISNUMBER(VLOOKUP($B:$B,'BS(분기)'!$A:$F,$2:$2,0)),VLOOKUP($B:$B,'BS(분기)'!$A:$F,$2:$2,0),0)</f>
        <v>0</v>
      </c>
      <c r="O576" s="207">
        <f>IF(ISNUMBER(VLOOKUP($B:$B,'BS(분기)'!$A:$F,$2:$2,0)),VLOOKUP($B:$B,'BS(분기)'!$A:$F,$2:$2,0),0)</f>
        <v>0</v>
      </c>
      <c r="P576" s="207">
        <f>IF(ISNUMBER(VLOOKUP($B:$B,'BS(분기)'!$A:$F,$2:$2,0)),VLOOKUP($B:$B,'BS(분기)'!$A:$F,$2:$2,0),0)</f>
        <v>0</v>
      </c>
      <c r="Q576" s="207">
        <f>IF(ISNUMBER(VLOOKUP($B:$B,'BS(분기)'!$A:$F,$2:$2,0)),VLOOKUP($B:$B,'BS(분기)'!$A:$F,$2:$2,0),0)</f>
        <v>0</v>
      </c>
      <c r="R576" s="207">
        <f>IF(ISNUMBER(VLOOKUP($B:$B,'BS(분기)'!$A:$F,$2:$2,0)),VLOOKUP($B:$B,'BS(분기)'!$A:$F,$2:$2,0),0)</f>
        <v>0</v>
      </c>
    </row>
    <row r="577" spans="1:18" s="192" customFormat="1" ht="12">
      <c r="A577" s="204">
        <v>115332</v>
      </c>
      <c r="B577" s="197" t="s">
        <v>1251</v>
      </c>
      <c r="C577" s="217">
        <f>IF(ISNUMBER(VLOOKUP($B:$B,BS!$A:$D,$2:$2,0)),VLOOKUP($B:$B,BS!$A:$D,$2:$2,0),0)</f>
        <v>0</v>
      </c>
      <c r="D577" s="217">
        <f>IF(ISNUMBER(VLOOKUP($B:$B,BS!$A:$D,$2:$2,0)),VLOOKUP($B:$B,BS!$A:$D,$2:$2,0),0)</f>
        <v>0</v>
      </c>
      <c r="E577" s="217">
        <f>IF(ISNUMBER(VLOOKUP($B:$B,BS!$A:$D,$2:$2,0)),VLOOKUP($B:$B,BS!$A:$D,$2:$2,0),0)</f>
        <v>0</v>
      </c>
      <c r="F577" s="217">
        <f>IF(ISNUMBER(VLOOKUP($B:$B,BS!$A:$D,$2:$2,0)),VLOOKUP($B:$B,BS!$A:$D,$2:$2,0),0)</f>
        <v>0</v>
      </c>
      <c r="G577" s="217">
        <f>IF(ISNUMBER(VLOOKUP($B:$B,BS!$A:$D,$2:$2,0)),VLOOKUP($B:$B,BS!$A:$D,$2:$2,0),0)</f>
        <v>0</v>
      </c>
      <c r="H577" s="207">
        <f>IF(ISNUMBER(VLOOKUP($B:$B,'BS(과거)'!$A:$F,$2:$2,0)),VLOOKUP($B:$B,'BS(과거)'!$A:$F,$2:$2,0),0)</f>
        <v>0</v>
      </c>
      <c r="I577" s="207">
        <f>IF(ISNUMBER(VLOOKUP($B:$B,'BS(과거)'!$A:$F,$2:$2,0)),VLOOKUP($B:$B,'BS(과거)'!$A:$F,$2:$2,0),0)</f>
        <v>0</v>
      </c>
      <c r="J577" s="207">
        <f>IF(ISNUMBER(VLOOKUP($B:$B,'BS(과거)'!$A:$F,$2:$2,0)),VLOOKUP($B:$B,'BS(과거)'!$A:$F,$2:$2,0),0)</f>
        <v>0</v>
      </c>
      <c r="K577" s="207">
        <f>IF(ISNUMBER(VLOOKUP($B:$B,'BS(과거)'!$A:$F,$2:$2,0)),VLOOKUP($B:$B,'BS(과거)'!$A:$F,$2:$2,0),0)</f>
        <v>0</v>
      </c>
      <c r="L577" s="207">
        <f>IF(ISNUMBER(VLOOKUP($B:$B,'BS(과거)'!$A:$F,$2:$2,0)),VLOOKUP($B:$B,'BS(과거)'!$A:$F,$2:$2,0),0)</f>
        <v>0</v>
      </c>
      <c r="N577" s="207">
        <f>IF(ISNUMBER(VLOOKUP($B:$B,'BS(분기)'!$A:$F,$2:$2,0)),VLOOKUP($B:$B,'BS(분기)'!$A:$F,$2:$2,0),0)</f>
        <v>0</v>
      </c>
      <c r="O577" s="207">
        <f>IF(ISNUMBER(VLOOKUP($B:$B,'BS(분기)'!$A:$F,$2:$2,0)),VLOOKUP($B:$B,'BS(분기)'!$A:$F,$2:$2,0),0)</f>
        <v>0</v>
      </c>
      <c r="P577" s="207">
        <f>IF(ISNUMBER(VLOOKUP($B:$B,'BS(분기)'!$A:$F,$2:$2,0)),VLOOKUP($B:$B,'BS(분기)'!$A:$F,$2:$2,0),0)</f>
        <v>0</v>
      </c>
      <c r="Q577" s="207">
        <f>IF(ISNUMBER(VLOOKUP($B:$B,'BS(분기)'!$A:$F,$2:$2,0)),VLOOKUP($B:$B,'BS(분기)'!$A:$F,$2:$2,0),0)</f>
        <v>0</v>
      </c>
      <c r="R577" s="207">
        <f>IF(ISNUMBER(VLOOKUP($B:$B,'BS(분기)'!$A:$F,$2:$2,0)),VLOOKUP($B:$B,'BS(분기)'!$A:$F,$2:$2,0),0)</f>
        <v>0</v>
      </c>
    </row>
    <row r="578" spans="1:18" s="192" customFormat="1" ht="12">
      <c r="A578" s="204">
        <v>115333</v>
      </c>
      <c r="B578" s="197" t="s">
        <v>1252</v>
      </c>
      <c r="C578" s="217">
        <f>IF(ISNUMBER(VLOOKUP($B:$B,BS!$A:$D,$2:$2,0)),VLOOKUP($B:$B,BS!$A:$D,$2:$2,0),0)</f>
        <v>0</v>
      </c>
      <c r="D578" s="217">
        <f>IF(ISNUMBER(VLOOKUP($B:$B,BS!$A:$D,$2:$2,0)),VLOOKUP($B:$B,BS!$A:$D,$2:$2,0),0)</f>
        <v>0</v>
      </c>
      <c r="E578" s="217">
        <f>IF(ISNUMBER(VLOOKUP($B:$B,BS!$A:$D,$2:$2,0)),VLOOKUP($B:$B,BS!$A:$D,$2:$2,0),0)</f>
        <v>0</v>
      </c>
      <c r="F578" s="217">
        <f>IF(ISNUMBER(VLOOKUP($B:$B,BS!$A:$D,$2:$2,0)),VLOOKUP($B:$B,BS!$A:$D,$2:$2,0),0)</f>
        <v>0</v>
      </c>
      <c r="G578" s="217">
        <f>IF(ISNUMBER(VLOOKUP($B:$B,BS!$A:$D,$2:$2,0)),VLOOKUP($B:$B,BS!$A:$D,$2:$2,0),0)</f>
        <v>0</v>
      </c>
      <c r="H578" s="207">
        <f>IF(ISNUMBER(VLOOKUP($B:$B,'BS(과거)'!$A:$F,$2:$2,0)),VLOOKUP($B:$B,'BS(과거)'!$A:$F,$2:$2,0),0)</f>
        <v>0</v>
      </c>
      <c r="I578" s="207">
        <f>IF(ISNUMBER(VLOOKUP($B:$B,'BS(과거)'!$A:$F,$2:$2,0)),VLOOKUP($B:$B,'BS(과거)'!$A:$F,$2:$2,0),0)</f>
        <v>0</v>
      </c>
      <c r="J578" s="207">
        <f>IF(ISNUMBER(VLOOKUP($B:$B,'BS(과거)'!$A:$F,$2:$2,0)),VLOOKUP($B:$B,'BS(과거)'!$A:$F,$2:$2,0),0)</f>
        <v>0</v>
      </c>
      <c r="K578" s="207">
        <f>IF(ISNUMBER(VLOOKUP($B:$B,'BS(과거)'!$A:$F,$2:$2,0)),VLOOKUP($B:$B,'BS(과거)'!$A:$F,$2:$2,0),0)</f>
        <v>0</v>
      </c>
      <c r="L578" s="207">
        <f>IF(ISNUMBER(VLOOKUP($B:$B,'BS(과거)'!$A:$F,$2:$2,0)),VLOOKUP($B:$B,'BS(과거)'!$A:$F,$2:$2,0),0)</f>
        <v>0</v>
      </c>
      <c r="N578" s="207">
        <f>IF(ISNUMBER(VLOOKUP($B:$B,'BS(분기)'!$A:$F,$2:$2,0)),VLOOKUP($B:$B,'BS(분기)'!$A:$F,$2:$2,0),0)</f>
        <v>0</v>
      </c>
      <c r="O578" s="207">
        <f>IF(ISNUMBER(VLOOKUP($B:$B,'BS(분기)'!$A:$F,$2:$2,0)),VLOOKUP($B:$B,'BS(분기)'!$A:$F,$2:$2,0),0)</f>
        <v>0</v>
      </c>
      <c r="P578" s="207">
        <f>IF(ISNUMBER(VLOOKUP($B:$B,'BS(분기)'!$A:$F,$2:$2,0)),VLOOKUP($B:$B,'BS(분기)'!$A:$F,$2:$2,0),0)</f>
        <v>0</v>
      </c>
      <c r="Q578" s="207">
        <f>IF(ISNUMBER(VLOOKUP($B:$B,'BS(분기)'!$A:$F,$2:$2,0)),VLOOKUP($B:$B,'BS(분기)'!$A:$F,$2:$2,0),0)</f>
        <v>0</v>
      </c>
      <c r="R578" s="207">
        <f>IF(ISNUMBER(VLOOKUP($B:$B,'BS(분기)'!$A:$F,$2:$2,0)),VLOOKUP($B:$B,'BS(분기)'!$A:$F,$2:$2,0),0)</f>
        <v>0</v>
      </c>
    </row>
    <row r="579" spans="1:18" s="192" customFormat="1" ht="12">
      <c r="A579" s="204">
        <v>115334</v>
      </c>
      <c r="B579" s="197" t="s">
        <v>1253</v>
      </c>
      <c r="C579" s="217">
        <f>IF(ISNUMBER(VLOOKUP($B:$B,BS!$A:$D,$2:$2,0)),VLOOKUP($B:$B,BS!$A:$D,$2:$2,0),0)</f>
        <v>0</v>
      </c>
      <c r="D579" s="217">
        <f>IF(ISNUMBER(VLOOKUP($B:$B,BS!$A:$D,$2:$2,0)),VLOOKUP($B:$B,BS!$A:$D,$2:$2,0),0)</f>
        <v>0</v>
      </c>
      <c r="E579" s="217">
        <f>IF(ISNUMBER(VLOOKUP($B:$B,BS!$A:$D,$2:$2,0)),VLOOKUP($B:$B,BS!$A:$D,$2:$2,0),0)</f>
        <v>0</v>
      </c>
      <c r="F579" s="217">
        <f>IF(ISNUMBER(VLOOKUP($B:$B,BS!$A:$D,$2:$2,0)),VLOOKUP($B:$B,BS!$A:$D,$2:$2,0),0)</f>
        <v>0</v>
      </c>
      <c r="G579" s="217">
        <f>IF(ISNUMBER(VLOOKUP($B:$B,BS!$A:$D,$2:$2,0)),VLOOKUP($B:$B,BS!$A:$D,$2:$2,0),0)</f>
        <v>0</v>
      </c>
      <c r="H579" s="207">
        <f>IF(ISNUMBER(VLOOKUP($B:$B,'BS(과거)'!$A:$F,$2:$2,0)),VLOOKUP($B:$B,'BS(과거)'!$A:$F,$2:$2,0),0)</f>
        <v>0</v>
      </c>
      <c r="I579" s="207">
        <f>IF(ISNUMBER(VLOOKUP($B:$B,'BS(과거)'!$A:$F,$2:$2,0)),VLOOKUP($B:$B,'BS(과거)'!$A:$F,$2:$2,0),0)</f>
        <v>0</v>
      </c>
      <c r="J579" s="207">
        <f>IF(ISNUMBER(VLOOKUP($B:$B,'BS(과거)'!$A:$F,$2:$2,0)),VLOOKUP($B:$B,'BS(과거)'!$A:$F,$2:$2,0),0)</f>
        <v>0</v>
      </c>
      <c r="K579" s="207">
        <f>IF(ISNUMBER(VLOOKUP($B:$B,'BS(과거)'!$A:$F,$2:$2,0)),VLOOKUP($B:$B,'BS(과거)'!$A:$F,$2:$2,0),0)</f>
        <v>0</v>
      </c>
      <c r="L579" s="207">
        <f>IF(ISNUMBER(VLOOKUP($B:$B,'BS(과거)'!$A:$F,$2:$2,0)),VLOOKUP($B:$B,'BS(과거)'!$A:$F,$2:$2,0),0)</f>
        <v>0</v>
      </c>
      <c r="N579" s="207">
        <f>IF(ISNUMBER(VLOOKUP($B:$B,'BS(분기)'!$A:$F,$2:$2,0)),VLOOKUP($B:$B,'BS(분기)'!$A:$F,$2:$2,0),0)</f>
        <v>0</v>
      </c>
      <c r="O579" s="207">
        <f>IF(ISNUMBER(VLOOKUP($B:$B,'BS(분기)'!$A:$F,$2:$2,0)),VLOOKUP($B:$B,'BS(분기)'!$A:$F,$2:$2,0),0)</f>
        <v>0</v>
      </c>
      <c r="P579" s="207">
        <f>IF(ISNUMBER(VLOOKUP($B:$B,'BS(분기)'!$A:$F,$2:$2,0)),VLOOKUP($B:$B,'BS(분기)'!$A:$F,$2:$2,0),0)</f>
        <v>0</v>
      </c>
      <c r="Q579" s="207">
        <f>IF(ISNUMBER(VLOOKUP($B:$B,'BS(분기)'!$A:$F,$2:$2,0)),VLOOKUP($B:$B,'BS(분기)'!$A:$F,$2:$2,0),0)</f>
        <v>0</v>
      </c>
      <c r="R579" s="207">
        <f>IF(ISNUMBER(VLOOKUP($B:$B,'BS(분기)'!$A:$F,$2:$2,0)),VLOOKUP($B:$B,'BS(분기)'!$A:$F,$2:$2,0),0)</f>
        <v>0</v>
      </c>
    </row>
    <row r="580" spans="1:18" s="192" customFormat="1" ht="12">
      <c r="A580" s="204">
        <v>115335</v>
      </c>
      <c r="B580" s="197" t="s">
        <v>1254</v>
      </c>
      <c r="C580" s="217">
        <f>IF(ISNUMBER(VLOOKUP($B:$B,BS!$A:$D,$2:$2,0)),VLOOKUP($B:$B,BS!$A:$D,$2:$2,0),0)</f>
        <v>0</v>
      </c>
      <c r="D580" s="217">
        <f>IF(ISNUMBER(VLOOKUP($B:$B,BS!$A:$D,$2:$2,0)),VLOOKUP($B:$B,BS!$A:$D,$2:$2,0),0)</f>
        <v>0</v>
      </c>
      <c r="E580" s="217">
        <f>IF(ISNUMBER(VLOOKUP($B:$B,BS!$A:$D,$2:$2,0)),VLOOKUP($B:$B,BS!$A:$D,$2:$2,0),0)</f>
        <v>0</v>
      </c>
      <c r="F580" s="217">
        <f>IF(ISNUMBER(VLOOKUP($B:$B,BS!$A:$D,$2:$2,0)),VLOOKUP($B:$B,BS!$A:$D,$2:$2,0),0)</f>
        <v>0</v>
      </c>
      <c r="G580" s="217">
        <f>IF(ISNUMBER(VLOOKUP($B:$B,BS!$A:$D,$2:$2,0)),VLOOKUP($B:$B,BS!$A:$D,$2:$2,0),0)</f>
        <v>0</v>
      </c>
      <c r="H580" s="207">
        <f>IF(ISNUMBER(VLOOKUP($B:$B,'BS(과거)'!$A:$F,$2:$2,0)),VLOOKUP($B:$B,'BS(과거)'!$A:$F,$2:$2,0),0)</f>
        <v>0</v>
      </c>
      <c r="I580" s="207">
        <f>IF(ISNUMBER(VLOOKUP($B:$B,'BS(과거)'!$A:$F,$2:$2,0)),VLOOKUP($B:$B,'BS(과거)'!$A:$F,$2:$2,0),0)</f>
        <v>0</v>
      </c>
      <c r="J580" s="207">
        <f>IF(ISNUMBER(VLOOKUP($B:$B,'BS(과거)'!$A:$F,$2:$2,0)),VLOOKUP($B:$B,'BS(과거)'!$A:$F,$2:$2,0),0)</f>
        <v>0</v>
      </c>
      <c r="K580" s="207">
        <f>IF(ISNUMBER(VLOOKUP($B:$B,'BS(과거)'!$A:$F,$2:$2,0)),VLOOKUP($B:$B,'BS(과거)'!$A:$F,$2:$2,0),0)</f>
        <v>0</v>
      </c>
      <c r="L580" s="207">
        <f>IF(ISNUMBER(VLOOKUP($B:$B,'BS(과거)'!$A:$F,$2:$2,0)),VLOOKUP($B:$B,'BS(과거)'!$A:$F,$2:$2,0),0)</f>
        <v>0</v>
      </c>
      <c r="N580" s="207">
        <f>IF(ISNUMBER(VLOOKUP($B:$B,'BS(분기)'!$A:$F,$2:$2,0)),VLOOKUP($B:$B,'BS(분기)'!$A:$F,$2:$2,0),0)</f>
        <v>0</v>
      </c>
      <c r="O580" s="207">
        <f>IF(ISNUMBER(VLOOKUP($B:$B,'BS(분기)'!$A:$F,$2:$2,0)),VLOOKUP($B:$B,'BS(분기)'!$A:$F,$2:$2,0),0)</f>
        <v>0</v>
      </c>
      <c r="P580" s="207">
        <f>IF(ISNUMBER(VLOOKUP($B:$B,'BS(분기)'!$A:$F,$2:$2,0)),VLOOKUP($B:$B,'BS(분기)'!$A:$F,$2:$2,0),0)</f>
        <v>0</v>
      </c>
      <c r="Q580" s="207">
        <f>IF(ISNUMBER(VLOOKUP($B:$B,'BS(분기)'!$A:$F,$2:$2,0)),VLOOKUP($B:$B,'BS(분기)'!$A:$F,$2:$2,0),0)</f>
        <v>0</v>
      </c>
      <c r="R580" s="207">
        <f>IF(ISNUMBER(VLOOKUP($B:$B,'BS(분기)'!$A:$F,$2:$2,0)),VLOOKUP($B:$B,'BS(분기)'!$A:$F,$2:$2,0),0)</f>
        <v>0</v>
      </c>
    </row>
    <row r="581" spans="1:18" s="192" customFormat="1" ht="12">
      <c r="A581" s="204">
        <v>115339</v>
      </c>
      <c r="B581" s="197" t="s">
        <v>1255</v>
      </c>
      <c r="C581" s="217">
        <f>IF(ISNUMBER(VLOOKUP($B:$B,BS!$A:$D,$2:$2,0)),VLOOKUP($B:$B,BS!$A:$D,$2:$2,0),0)</f>
        <v>0</v>
      </c>
      <c r="D581" s="217">
        <f>IF(ISNUMBER(VLOOKUP($B:$B,BS!$A:$D,$2:$2,0)),VLOOKUP($B:$B,BS!$A:$D,$2:$2,0),0)</f>
        <v>0</v>
      </c>
      <c r="E581" s="217">
        <f>IF(ISNUMBER(VLOOKUP($B:$B,BS!$A:$D,$2:$2,0)),VLOOKUP($B:$B,BS!$A:$D,$2:$2,0),0)</f>
        <v>0</v>
      </c>
      <c r="F581" s="217">
        <f>IF(ISNUMBER(VLOOKUP($B:$B,BS!$A:$D,$2:$2,0)),VLOOKUP($B:$B,BS!$A:$D,$2:$2,0),0)</f>
        <v>0</v>
      </c>
      <c r="G581" s="217">
        <f>IF(ISNUMBER(VLOOKUP($B:$B,BS!$A:$D,$2:$2,0)),VLOOKUP($B:$B,BS!$A:$D,$2:$2,0),0)</f>
        <v>0</v>
      </c>
      <c r="H581" s="207">
        <f>IF(ISNUMBER(VLOOKUP($B:$B,'BS(과거)'!$A:$F,$2:$2,0)),VLOOKUP($B:$B,'BS(과거)'!$A:$F,$2:$2,0),0)</f>
        <v>0</v>
      </c>
      <c r="I581" s="207">
        <f>IF(ISNUMBER(VLOOKUP($B:$B,'BS(과거)'!$A:$F,$2:$2,0)),VLOOKUP($B:$B,'BS(과거)'!$A:$F,$2:$2,0),0)</f>
        <v>0</v>
      </c>
      <c r="J581" s="207">
        <f>IF(ISNUMBER(VLOOKUP($B:$B,'BS(과거)'!$A:$F,$2:$2,0)),VLOOKUP($B:$B,'BS(과거)'!$A:$F,$2:$2,0),0)</f>
        <v>0</v>
      </c>
      <c r="K581" s="207">
        <f>IF(ISNUMBER(VLOOKUP($B:$B,'BS(과거)'!$A:$F,$2:$2,0)),VLOOKUP($B:$B,'BS(과거)'!$A:$F,$2:$2,0),0)</f>
        <v>0</v>
      </c>
      <c r="L581" s="207">
        <f>IF(ISNUMBER(VLOOKUP($B:$B,'BS(과거)'!$A:$F,$2:$2,0)),VLOOKUP($B:$B,'BS(과거)'!$A:$F,$2:$2,0),0)</f>
        <v>0</v>
      </c>
      <c r="N581" s="207">
        <f>IF(ISNUMBER(VLOOKUP($B:$B,'BS(분기)'!$A:$F,$2:$2,0)),VLOOKUP($B:$B,'BS(분기)'!$A:$F,$2:$2,0),0)</f>
        <v>0</v>
      </c>
      <c r="O581" s="207">
        <f>IF(ISNUMBER(VLOOKUP($B:$B,'BS(분기)'!$A:$F,$2:$2,0)),VLOOKUP($B:$B,'BS(분기)'!$A:$F,$2:$2,0),0)</f>
        <v>0</v>
      </c>
      <c r="P581" s="207">
        <f>IF(ISNUMBER(VLOOKUP($B:$B,'BS(분기)'!$A:$F,$2:$2,0)),VLOOKUP($B:$B,'BS(분기)'!$A:$F,$2:$2,0),0)</f>
        <v>0</v>
      </c>
      <c r="Q581" s="207">
        <f>IF(ISNUMBER(VLOOKUP($B:$B,'BS(분기)'!$A:$F,$2:$2,0)),VLOOKUP($B:$B,'BS(분기)'!$A:$F,$2:$2,0),0)</f>
        <v>0</v>
      </c>
      <c r="R581" s="207">
        <f>IF(ISNUMBER(VLOOKUP($B:$B,'BS(분기)'!$A:$F,$2:$2,0)),VLOOKUP($B:$B,'BS(분기)'!$A:$F,$2:$2,0),0)</f>
        <v>0</v>
      </c>
    </row>
    <row r="582" spans="1:18" s="192" customFormat="1" ht="12">
      <c r="A582" s="203">
        <v>115340</v>
      </c>
      <c r="B582" s="196" t="s">
        <v>949</v>
      </c>
      <c r="C582" s="217">
        <f>IF(ISNUMBER(VLOOKUP($B:$B,BS!$A:$D,$2:$2,0)),VLOOKUP($B:$B,BS!$A:$D,$2:$2,0),0)</f>
        <v>0</v>
      </c>
      <c r="D582" s="217">
        <f>IF(ISNUMBER(VLOOKUP($B:$B,BS!$A:$D,$2:$2,0)),VLOOKUP($B:$B,BS!$A:$D,$2:$2,0),0)</f>
        <v>0</v>
      </c>
      <c r="E582" s="217">
        <f>IF(ISNUMBER(VLOOKUP($B:$B,BS!$A:$D,$2:$2,0)),VLOOKUP($B:$B,BS!$A:$D,$2:$2,0),0)</f>
        <v>0</v>
      </c>
      <c r="F582" s="217">
        <f>IF(ISNUMBER(VLOOKUP($B:$B,BS!$A:$D,$2:$2,0)),VLOOKUP($B:$B,BS!$A:$D,$2:$2,0),0)</f>
        <v>0</v>
      </c>
      <c r="G582" s="217">
        <f>IF(ISNUMBER(VLOOKUP($B:$B,BS!$A:$D,$2:$2,0)),VLOOKUP($B:$B,BS!$A:$D,$2:$2,0),0)</f>
        <v>0</v>
      </c>
      <c r="H582" s="207">
        <f>IF(ISNUMBER(VLOOKUP($B:$B,'BS(과거)'!$A:$F,$2:$2,0)),VLOOKUP($B:$B,'BS(과거)'!$A:$F,$2:$2,0),0)</f>
        <v>0</v>
      </c>
      <c r="I582" s="207">
        <f>IF(ISNUMBER(VLOOKUP($B:$B,'BS(과거)'!$A:$F,$2:$2,0)),VLOOKUP($B:$B,'BS(과거)'!$A:$F,$2:$2,0),0)</f>
        <v>0</v>
      </c>
      <c r="J582" s="207">
        <f>IF(ISNUMBER(VLOOKUP($B:$B,'BS(과거)'!$A:$F,$2:$2,0)),VLOOKUP($B:$B,'BS(과거)'!$A:$F,$2:$2,0),0)</f>
        <v>0</v>
      </c>
      <c r="K582" s="207">
        <f>IF(ISNUMBER(VLOOKUP($B:$B,'BS(과거)'!$A:$F,$2:$2,0)),VLOOKUP($B:$B,'BS(과거)'!$A:$F,$2:$2,0),0)</f>
        <v>0</v>
      </c>
      <c r="L582" s="207">
        <f>IF(ISNUMBER(VLOOKUP($B:$B,'BS(과거)'!$A:$F,$2:$2,0)),VLOOKUP($B:$B,'BS(과거)'!$A:$F,$2:$2,0),0)</f>
        <v>0</v>
      </c>
      <c r="N582" s="207">
        <f>IF(ISNUMBER(VLOOKUP($B:$B,'BS(분기)'!$A:$F,$2:$2,0)),VLOOKUP($B:$B,'BS(분기)'!$A:$F,$2:$2,0),0)</f>
        <v>0</v>
      </c>
      <c r="O582" s="207">
        <f>IF(ISNUMBER(VLOOKUP($B:$B,'BS(분기)'!$A:$F,$2:$2,0)),VLOOKUP($B:$B,'BS(분기)'!$A:$F,$2:$2,0),0)</f>
        <v>0</v>
      </c>
      <c r="P582" s="207">
        <f>IF(ISNUMBER(VLOOKUP($B:$B,'BS(분기)'!$A:$F,$2:$2,0)),VLOOKUP($B:$B,'BS(분기)'!$A:$F,$2:$2,0),0)</f>
        <v>0</v>
      </c>
      <c r="Q582" s="207">
        <f>IF(ISNUMBER(VLOOKUP($B:$B,'BS(분기)'!$A:$F,$2:$2,0)),VLOOKUP($B:$B,'BS(분기)'!$A:$F,$2:$2,0),0)</f>
        <v>0</v>
      </c>
      <c r="R582" s="207">
        <f>IF(ISNUMBER(VLOOKUP($B:$B,'BS(분기)'!$A:$F,$2:$2,0)),VLOOKUP($B:$B,'BS(분기)'!$A:$F,$2:$2,0),0)</f>
        <v>0</v>
      </c>
    </row>
    <row r="583" spans="1:18" s="192" customFormat="1" ht="12">
      <c r="A583" s="204">
        <v>115341</v>
      </c>
      <c r="B583" s="197" t="s">
        <v>950</v>
      </c>
      <c r="C583" s="217">
        <f>IF(ISNUMBER(VLOOKUP($B:$B,BS!$A:$D,$2:$2,0)),VLOOKUP($B:$B,BS!$A:$D,$2:$2,0),0)</f>
        <v>0</v>
      </c>
      <c r="D583" s="217">
        <f>IF(ISNUMBER(VLOOKUP($B:$B,BS!$A:$D,$2:$2,0)),VLOOKUP($B:$B,BS!$A:$D,$2:$2,0),0)</f>
        <v>0</v>
      </c>
      <c r="E583" s="217">
        <f>IF(ISNUMBER(VLOOKUP($B:$B,BS!$A:$D,$2:$2,0)),VLOOKUP($B:$B,BS!$A:$D,$2:$2,0),0)</f>
        <v>0</v>
      </c>
      <c r="F583" s="217">
        <f>IF(ISNUMBER(VLOOKUP($B:$B,BS!$A:$D,$2:$2,0)),VLOOKUP($B:$B,BS!$A:$D,$2:$2,0),0)</f>
        <v>0</v>
      </c>
      <c r="G583" s="217">
        <f>IF(ISNUMBER(VLOOKUP($B:$B,BS!$A:$D,$2:$2,0)),VLOOKUP($B:$B,BS!$A:$D,$2:$2,0),0)</f>
        <v>0</v>
      </c>
      <c r="H583" s="207">
        <f>IF(ISNUMBER(VLOOKUP($B:$B,'BS(과거)'!$A:$F,$2:$2,0)),VLOOKUP($B:$B,'BS(과거)'!$A:$F,$2:$2,0),0)</f>
        <v>0</v>
      </c>
      <c r="I583" s="207">
        <f>IF(ISNUMBER(VLOOKUP($B:$B,'BS(과거)'!$A:$F,$2:$2,0)),VLOOKUP($B:$B,'BS(과거)'!$A:$F,$2:$2,0),0)</f>
        <v>0</v>
      </c>
      <c r="J583" s="207">
        <f>IF(ISNUMBER(VLOOKUP($B:$B,'BS(과거)'!$A:$F,$2:$2,0)),VLOOKUP($B:$B,'BS(과거)'!$A:$F,$2:$2,0),0)</f>
        <v>0</v>
      </c>
      <c r="K583" s="207">
        <f>IF(ISNUMBER(VLOOKUP($B:$B,'BS(과거)'!$A:$F,$2:$2,0)),VLOOKUP($B:$B,'BS(과거)'!$A:$F,$2:$2,0),0)</f>
        <v>0</v>
      </c>
      <c r="L583" s="207">
        <f>IF(ISNUMBER(VLOOKUP($B:$B,'BS(과거)'!$A:$F,$2:$2,0)),VLOOKUP($B:$B,'BS(과거)'!$A:$F,$2:$2,0),0)</f>
        <v>0</v>
      </c>
      <c r="N583" s="207">
        <f>IF(ISNUMBER(VLOOKUP($B:$B,'BS(분기)'!$A:$F,$2:$2,0)),VLOOKUP($B:$B,'BS(분기)'!$A:$F,$2:$2,0),0)</f>
        <v>0</v>
      </c>
      <c r="O583" s="207">
        <f>IF(ISNUMBER(VLOOKUP($B:$B,'BS(분기)'!$A:$F,$2:$2,0)),VLOOKUP($B:$B,'BS(분기)'!$A:$F,$2:$2,0),0)</f>
        <v>0</v>
      </c>
      <c r="P583" s="207">
        <f>IF(ISNUMBER(VLOOKUP($B:$B,'BS(분기)'!$A:$F,$2:$2,0)),VLOOKUP($B:$B,'BS(분기)'!$A:$F,$2:$2,0),0)</f>
        <v>0</v>
      </c>
      <c r="Q583" s="207">
        <f>IF(ISNUMBER(VLOOKUP($B:$B,'BS(분기)'!$A:$F,$2:$2,0)),VLOOKUP($B:$B,'BS(분기)'!$A:$F,$2:$2,0),0)</f>
        <v>0</v>
      </c>
      <c r="R583" s="207">
        <f>IF(ISNUMBER(VLOOKUP($B:$B,'BS(분기)'!$A:$F,$2:$2,0)),VLOOKUP($B:$B,'BS(분기)'!$A:$F,$2:$2,0),0)</f>
        <v>0</v>
      </c>
    </row>
    <row r="584" spans="1:18" s="192" customFormat="1" ht="12">
      <c r="A584" s="204">
        <v>115342</v>
      </c>
      <c r="B584" s="197" t="s">
        <v>951</v>
      </c>
      <c r="C584" s="217">
        <f>IF(ISNUMBER(VLOOKUP($B:$B,BS!$A:$D,$2:$2,0)),VLOOKUP($B:$B,BS!$A:$D,$2:$2,0),0)</f>
        <v>0</v>
      </c>
      <c r="D584" s="217">
        <f>IF(ISNUMBER(VLOOKUP($B:$B,BS!$A:$D,$2:$2,0)),VLOOKUP($B:$B,BS!$A:$D,$2:$2,0),0)</f>
        <v>0</v>
      </c>
      <c r="E584" s="217">
        <f>IF(ISNUMBER(VLOOKUP($B:$B,BS!$A:$D,$2:$2,0)),VLOOKUP($B:$B,BS!$A:$D,$2:$2,0),0)</f>
        <v>0</v>
      </c>
      <c r="F584" s="217">
        <f>IF(ISNUMBER(VLOOKUP($B:$B,BS!$A:$D,$2:$2,0)),VLOOKUP($B:$B,BS!$A:$D,$2:$2,0),0)</f>
        <v>0</v>
      </c>
      <c r="G584" s="217">
        <f>IF(ISNUMBER(VLOOKUP($B:$B,BS!$A:$D,$2:$2,0)),VLOOKUP($B:$B,BS!$A:$D,$2:$2,0),0)</f>
        <v>0</v>
      </c>
      <c r="H584" s="207">
        <f>IF(ISNUMBER(VLOOKUP($B:$B,'BS(과거)'!$A:$F,$2:$2,0)),VLOOKUP($B:$B,'BS(과거)'!$A:$F,$2:$2,0),0)</f>
        <v>0</v>
      </c>
      <c r="I584" s="207">
        <f>IF(ISNUMBER(VLOOKUP($B:$B,'BS(과거)'!$A:$F,$2:$2,0)),VLOOKUP($B:$B,'BS(과거)'!$A:$F,$2:$2,0),0)</f>
        <v>0</v>
      </c>
      <c r="J584" s="207">
        <f>IF(ISNUMBER(VLOOKUP($B:$B,'BS(과거)'!$A:$F,$2:$2,0)),VLOOKUP($B:$B,'BS(과거)'!$A:$F,$2:$2,0),0)</f>
        <v>0</v>
      </c>
      <c r="K584" s="207">
        <f>IF(ISNUMBER(VLOOKUP($B:$B,'BS(과거)'!$A:$F,$2:$2,0)),VLOOKUP($B:$B,'BS(과거)'!$A:$F,$2:$2,0),0)</f>
        <v>0</v>
      </c>
      <c r="L584" s="207">
        <f>IF(ISNUMBER(VLOOKUP($B:$B,'BS(과거)'!$A:$F,$2:$2,0)),VLOOKUP($B:$B,'BS(과거)'!$A:$F,$2:$2,0),0)</f>
        <v>0</v>
      </c>
      <c r="N584" s="207">
        <f>IF(ISNUMBER(VLOOKUP($B:$B,'BS(분기)'!$A:$F,$2:$2,0)),VLOOKUP($B:$B,'BS(분기)'!$A:$F,$2:$2,0),0)</f>
        <v>0</v>
      </c>
      <c r="O584" s="207">
        <f>IF(ISNUMBER(VLOOKUP($B:$B,'BS(분기)'!$A:$F,$2:$2,0)),VLOOKUP($B:$B,'BS(분기)'!$A:$F,$2:$2,0),0)</f>
        <v>0</v>
      </c>
      <c r="P584" s="207">
        <f>IF(ISNUMBER(VLOOKUP($B:$B,'BS(분기)'!$A:$F,$2:$2,0)),VLOOKUP($B:$B,'BS(분기)'!$A:$F,$2:$2,0),0)</f>
        <v>0</v>
      </c>
      <c r="Q584" s="207">
        <f>IF(ISNUMBER(VLOOKUP($B:$B,'BS(분기)'!$A:$F,$2:$2,0)),VLOOKUP($B:$B,'BS(분기)'!$A:$F,$2:$2,0),0)</f>
        <v>0</v>
      </c>
      <c r="R584" s="207">
        <f>IF(ISNUMBER(VLOOKUP($B:$B,'BS(분기)'!$A:$F,$2:$2,0)),VLOOKUP($B:$B,'BS(분기)'!$A:$F,$2:$2,0),0)</f>
        <v>0</v>
      </c>
    </row>
    <row r="585" spans="1:18" s="192" customFormat="1" ht="12">
      <c r="A585" s="204">
        <v>115349</v>
      </c>
      <c r="B585" s="197" t="s">
        <v>952</v>
      </c>
      <c r="C585" s="217">
        <f>IF(ISNUMBER(VLOOKUP($B:$B,BS!$A:$D,$2:$2,0)),VLOOKUP($B:$B,BS!$A:$D,$2:$2,0),0)</f>
        <v>0</v>
      </c>
      <c r="D585" s="217">
        <f>IF(ISNUMBER(VLOOKUP($B:$B,BS!$A:$D,$2:$2,0)),VLOOKUP($B:$B,BS!$A:$D,$2:$2,0),0)</f>
        <v>0</v>
      </c>
      <c r="E585" s="217">
        <f>IF(ISNUMBER(VLOOKUP($B:$B,BS!$A:$D,$2:$2,0)),VLOOKUP($B:$B,BS!$A:$D,$2:$2,0),0)</f>
        <v>0</v>
      </c>
      <c r="F585" s="217">
        <f>IF(ISNUMBER(VLOOKUP($B:$B,BS!$A:$D,$2:$2,0)),VLOOKUP($B:$B,BS!$A:$D,$2:$2,0),0)</f>
        <v>0</v>
      </c>
      <c r="G585" s="217">
        <f>IF(ISNUMBER(VLOOKUP($B:$B,BS!$A:$D,$2:$2,0)),VLOOKUP($B:$B,BS!$A:$D,$2:$2,0),0)</f>
        <v>0</v>
      </c>
      <c r="H585" s="207">
        <f>IF(ISNUMBER(VLOOKUP($B:$B,'BS(과거)'!$A:$F,$2:$2,0)),VLOOKUP($B:$B,'BS(과거)'!$A:$F,$2:$2,0),0)</f>
        <v>0</v>
      </c>
      <c r="I585" s="207">
        <f>IF(ISNUMBER(VLOOKUP($B:$B,'BS(과거)'!$A:$F,$2:$2,0)),VLOOKUP($B:$B,'BS(과거)'!$A:$F,$2:$2,0),0)</f>
        <v>0</v>
      </c>
      <c r="J585" s="207">
        <f>IF(ISNUMBER(VLOOKUP($B:$B,'BS(과거)'!$A:$F,$2:$2,0)),VLOOKUP($B:$B,'BS(과거)'!$A:$F,$2:$2,0),0)</f>
        <v>0</v>
      </c>
      <c r="K585" s="207">
        <f>IF(ISNUMBER(VLOOKUP($B:$B,'BS(과거)'!$A:$F,$2:$2,0)),VLOOKUP($B:$B,'BS(과거)'!$A:$F,$2:$2,0),0)</f>
        <v>0</v>
      </c>
      <c r="L585" s="207">
        <f>IF(ISNUMBER(VLOOKUP($B:$B,'BS(과거)'!$A:$F,$2:$2,0)),VLOOKUP($B:$B,'BS(과거)'!$A:$F,$2:$2,0),0)</f>
        <v>0</v>
      </c>
      <c r="N585" s="207">
        <f>IF(ISNUMBER(VLOOKUP($B:$B,'BS(분기)'!$A:$F,$2:$2,0)),VLOOKUP($B:$B,'BS(분기)'!$A:$F,$2:$2,0),0)</f>
        <v>0</v>
      </c>
      <c r="O585" s="207">
        <f>IF(ISNUMBER(VLOOKUP($B:$B,'BS(분기)'!$A:$F,$2:$2,0)),VLOOKUP($B:$B,'BS(분기)'!$A:$F,$2:$2,0),0)</f>
        <v>0</v>
      </c>
      <c r="P585" s="207">
        <f>IF(ISNUMBER(VLOOKUP($B:$B,'BS(분기)'!$A:$F,$2:$2,0)),VLOOKUP($B:$B,'BS(분기)'!$A:$F,$2:$2,0),0)</f>
        <v>0</v>
      </c>
      <c r="Q585" s="207">
        <f>IF(ISNUMBER(VLOOKUP($B:$B,'BS(분기)'!$A:$F,$2:$2,0)),VLOOKUP($B:$B,'BS(분기)'!$A:$F,$2:$2,0),0)</f>
        <v>0</v>
      </c>
      <c r="R585" s="207">
        <f>IF(ISNUMBER(VLOOKUP($B:$B,'BS(분기)'!$A:$F,$2:$2,0)),VLOOKUP($B:$B,'BS(분기)'!$A:$F,$2:$2,0),0)</f>
        <v>0</v>
      </c>
    </row>
    <row r="586" spans="1:18" s="192" customFormat="1" ht="12">
      <c r="A586" s="203">
        <v>115390</v>
      </c>
      <c r="B586" s="196" t="s">
        <v>953</v>
      </c>
      <c r="C586" s="217">
        <f>IF(ISNUMBER(VLOOKUP($B:$B,BS!$A:$D,$2:$2,0)),VLOOKUP($B:$B,BS!$A:$D,$2:$2,0),0)</f>
        <v>0</v>
      </c>
      <c r="D586" s="217">
        <f>IF(ISNUMBER(VLOOKUP($B:$B,BS!$A:$D,$2:$2,0)),VLOOKUP($B:$B,BS!$A:$D,$2:$2,0),0)</f>
        <v>0</v>
      </c>
      <c r="E586" s="217">
        <f>IF(ISNUMBER(VLOOKUP($B:$B,BS!$A:$D,$2:$2,0)),VLOOKUP($B:$B,BS!$A:$D,$2:$2,0),0)</f>
        <v>0</v>
      </c>
      <c r="F586" s="217">
        <f>IF(ISNUMBER(VLOOKUP($B:$B,BS!$A:$D,$2:$2,0)),VLOOKUP($B:$B,BS!$A:$D,$2:$2,0),0)</f>
        <v>0</v>
      </c>
      <c r="G586" s="217">
        <f>IF(ISNUMBER(VLOOKUP($B:$B,BS!$A:$D,$2:$2,0)),VLOOKUP($B:$B,BS!$A:$D,$2:$2,0),0)</f>
        <v>0</v>
      </c>
      <c r="H586" s="207">
        <f>IF(ISNUMBER(VLOOKUP($B:$B,'BS(과거)'!$A:$F,$2:$2,0)),VLOOKUP($B:$B,'BS(과거)'!$A:$F,$2:$2,0),0)</f>
        <v>0</v>
      </c>
      <c r="I586" s="207">
        <f>IF(ISNUMBER(VLOOKUP($B:$B,'BS(과거)'!$A:$F,$2:$2,0)),VLOOKUP($B:$B,'BS(과거)'!$A:$F,$2:$2,0),0)</f>
        <v>0</v>
      </c>
      <c r="J586" s="207">
        <f>IF(ISNUMBER(VLOOKUP($B:$B,'BS(과거)'!$A:$F,$2:$2,0)),VLOOKUP($B:$B,'BS(과거)'!$A:$F,$2:$2,0),0)</f>
        <v>0</v>
      </c>
      <c r="K586" s="207">
        <f>IF(ISNUMBER(VLOOKUP($B:$B,'BS(과거)'!$A:$F,$2:$2,0)),VLOOKUP($B:$B,'BS(과거)'!$A:$F,$2:$2,0),0)</f>
        <v>0</v>
      </c>
      <c r="L586" s="207">
        <f>IF(ISNUMBER(VLOOKUP($B:$B,'BS(과거)'!$A:$F,$2:$2,0)),VLOOKUP($B:$B,'BS(과거)'!$A:$F,$2:$2,0),0)</f>
        <v>0</v>
      </c>
      <c r="N586" s="207">
        <f>IF(ISNUMBER(VLOOKUP($B:$B,'BS(분기)'!$A:$F,$2:$2,0)),VLOOKUP($B:$B,'BS(분기)'!$A:$F,$2:$2,0),0)</f>
        <v>0</v>
      </c>
      <c r="O586" s="207">
        <f>IF(ISNUMBER(VLOOKUP($B:$B,'BS(분기)'!$A:$F,$2:$2,0)),VLOOKUP($B:$B,'BS(분기)'!$A:$F,$2:$2,0),0)</f>
        <v>0</v>
      </c>
      <c r="P586" s="207">
        <f>IF(ISNUMBER(VLOOKUP($B:$B,'BS(분기)'!$A:$F,$2:$2,0)),VLOOKUP($B:$B,'BS(분기)'!$A:$F,$2:$2,0),0)</f>
        <v>0</v>
      </c>
      <c r="Q586" s="207">
        <f>IF(ISNUMBER(VLOOKUP($B:$B,'BS(분기)'!$A:$F,$2:$2,0)),VLOOKUP($B:$B,'BS(분기)'!$A:$F,$2:$2,0),0)</f>
        <v>0</v>
      </c>
      <c r="R586" s="207">
        <f>IF(ISNUMBER(VLOOKUP($B:$B,'BS(분기)'!$A:$F,$2:$2,0)),VLOOKUP($B:$B,'BS(분기)'!$A:$F,$2:$2,0),0)</f>
        <v>0</v>
      </c>
    </row>
    <row r="587" spans="1:18" s="192" customFormat="1" ht="12">
      <c r="A587" s="202">
        <v>115220</v>
      </c>
      <c r="B587" s="195" t="s">
        <v>836</v>
      </c>
      <c r="C587" s="217">
        <f>IF(ISNUMBER(VLOOKUP($B:$B,BS!$A:$D,$2:$2,0)),VLOOKUP($B:$B,BS!$A:$D,$2:$2,0),0)</f>
        <v>0</v>
      </c>
      <c r="D587" s="217">
        <f>IF(ISNUMBER(VLOOKUP($B:$B,BS!$A:$D,$2:$2,0)),VLOOKUP($B:$B,BS!$A:$D,$2:$2,0),0)</f>
        <v>0</v>
      </c>
      <c r="E587" s="217">
        <f>IF(ISNUMBER(VLOOKUP($B:$B,BS!$A:$D,$2:$2,0)),VLOOKUP($B:$B,BS!$A:$D,$2:$2,0),0)</f>
        <v>0</v>
      </c>
      <c r="F587" s="217">
        <f>IF(ISNUMBER(VLOOKUP($B:$B,BS!$A:$D,$2:$2,0)),VLOOKUP($B:$B,BS!$A:$D,$2:$2,0),0)</f>
        <v>0</v>
      </c>
      <c r="G587" s="217">
        <f>IF(ISNUMBER(VLOOKUP($B:$B,BS!$A:$D,$2:$2,0)),VLOOKUP($B:$B,BS!$A:$D,$2:$2,0),0)</f>
        <v>0</v>
      </c>
      <c r="H587" s="207">
        <f>IF(ISNUMBER(VLOOKUP($B:$B,'BS(과거)'!$A:$F,$2:$2,0)),VLOOKUP($B:$B,'BS(과거)'!$A:$F,$2:$2,0),0)</f>
        <v>0</v>
      </c>
      <c r="I587" s="207">
        <f>IF(ISNUMBER(VLOOKUP($B:$B,'BS(과거)'!$A:$F,$2:$2,0)),VLOOKUP($B:$B,'BS(과거)'!$A:$F,$2:$2,0),0)</f>
        <v>0</v>
      </c>
      <c r="J587" s="207">
        <f>IF(ISNUMBER(VLOOKUP($B:$B,'BS(과거)'!$A:$F,$2:$2,0)),VLOOKUP($B:$B,'BS(과거)'!$A:$F,$2:$2,0),0)</f>
        <v>0</v>
      </c>
      <c r="K587" s="207">
        <f>IF(ISNUMBER(VLOOKUP($B:$B,'BS(과거)'!$A:$F,$2:$2,0)),VLOOKUP($B:$B,'BS(과거)'!$A:$F,$2:$2,0),0)</f>
        <v>0</v>
      </c>
      <c r="L587" s="207">
        <f>IF(ISNUMBER(VLOOKUP($B:$B,'BS(과거)'!$A:$F,$2:$2,0)),VLOOKUP($B:$B,'BS(과거)'!$A:$F,$2:$2,0),0)</f>
        <v>0</v>
      </c>
      <c r="N587" s="207">
        <f>IF(ISNUMBER(VLOOKUP($B:$B,'BS(분기)'!$A:$F,$2:$2,0)),VLOOKUP($B:$B,'BS(분기)'!$A:$F,$2:$2,0),0)</f>
        <v>0</v>
      </c>
      <c r="O587" s="207">
        <f>IF(ISNUMBER(VLOOKUP($B:$B,'BS(분기)'!$A:$F,$2:$2,0)),VLOOKUP($B:$B,'BS(분기)'!$A:$F,$2:$2,0),0)</f>
        <v>0</v>
      </c>
      <c r="P587" s="207">
        <f>IF(ISNUMBER(VLOOKUP($B:$B,'BS(분기)'!$A:$F,$2:$2,0)),VLOOKUP($B:$B,'BS(분기)'!$A:$F,$2:$2,0),0)</f>
        <v>0</v>
      </c>
      <c r="Q587" s="207">
        <f>IF(ISNUMBER(VLOOKUP($B:$B,'BS(분기)'!$A:$F,$2:$2,0)),VLOOKUP($B:$B,'BS(분기)'!$A:$F,$2:$2,0),0)</f>
        <v>0</v>
      </c>
      <c r="R587" s="207">
        <f>IF(ISNUMBER(VLOOKUP($B:$B,'BS(분기)'!$A:$F,$2:$2,0)),VLOOKUP($B:$B,'BS(분기)'!$A:$F,$2:$2,0),0)</f>
        <v>0</v>
      </c>
    </row>
    <row r="588" spans="1:18" s="192" customFormat="1" ht="12">
      <c r="A588" s="201">
        <v>117000</v>
      </c>
      <c r="B588" s="194" t="s">
        <v>837</v>
      </c>
      <c r="C588" s="217">
        <f>IF(ISNUMBER(VLOOKUP($B:$B,BS!$A:$D,$2:$2,0)),VLOOKUP($B:$B,BS!$A:$D,$2:$2,0),0)</f>
        <v>0</v>
      </c>
      <c r="D588" s="217">
        <f>IF(ISNUMBER(VLOOKUP($B:$B,BS!$A:$D,$2:$2,0)),VLOOKUP($B:$B,BS!$A:$D,$2:$2,0),0)</f>
        <v>0</v>
      </c>
      <c r="E588" s="217">
        <f>IF(ISNUMBER(VLOOKUP($B:$B,BS!$A:$D,$2:$2,0)),VLOOKUP($B:$B,BS!$A:$D,$2:$2,0),0)</f>
        <v>0</v>
      </c>
      <c r="F588" s="217">
        <f>IF(ISNUMBER(VLOOKUP($B:$B,BS!$A:$D,$2:$2,0)),VLOOKUP($B:$B,BS!$A:$D,$2:$2,0),0)</f>
        <v>0</v>
      </c>
      <c r="G588" s="217">
        <f>IF(ISNUMBER(VLOOKUP($B:$B,BS!$A:$D,$2:$2,0)),VLOOKUP($B:$B,BS!$A:$D,$2:$2,0),0)</f>
        <v>0</v>
      </c>
      <c r="H588" s="207">
        <f>IF(ISNUMBER(VLOOKUP($B:$B,'BS(과거)'!$A:$F,$2:$2,0)),VLOOKUP($B:$B,'BS(과거)'!$A:$F,$2:$2,0),0)</f>
        <v>0</v>
      </c>
      <c r="I588" s="207">
        <f>IF(ISNUMBER(VLOOKUP($B:$B,'BS(과거)'!$A:$F,$2:$2,0)),VLOOKUP($B:$B,'BS(과거)'!$A:$F,$2:$2,0),0)</f>
        <v>0</v>
      </c>
      <c r="J588" s="207">
        <f>IF(ISNUMBER(VLOOKUP($B:$B,'BS(과거)'!$A:$F,$2:$2,0)),VLOOKUP($B:$B,'BS(과거)'!$A:$F,$2:$2,0),0)</f>
        <v>0</v>
      </c>
      <c r="K588" s="207">
        <f>IF(ISNUMBER(VLOOKUP($B:$B,'BS(과거)'!$A:$F,$2:$2,0)),VLOOKUP($B:$B,'BS(과거)'!$A:$F,$2:$2,0),0)</f>
        <v>0</v>
      </c>
      <c r="L588" s="207">
        <f>IF(ISNUMBER(VLOOKUP($B:$B,'BS(과거)'!$A:$F,$2:$2,0)),VLOOKUP($B:$B,'BS(과거)'!$A:$F,$2:$2,0),0)</f>
        <v>0</v>
      </c>
      <c r="N588" s="207">
        <f>IF(ISNUMBER(VLOOKUP($B:$B,'BS(분기)'!$A:$F,$2:$2,0)),VLOOKUP($B:$B,'BS(분기)'!$A:$F,$2:$2,0),0)</f>
        <v>0</v>
      </c>
      <c r="O588" s="207">
        <f>IF(ISNUMBER(VLOOKUP($B:$B,'BS(분기)'!$A:$F,$2:$2,0)),VLOOKUP($B:$B,'BS(분기)'!$A:$F,$2:$2,0),0)</f>
        <v>0</v>
      </c>
      <c r="P588" s="207">
        <f>IF(ISNUMBER(VLOOKUP($B:$B,'BS(분기)'!$A:$F,$2:$2,0)),VLOOKUP($B:$B,'BS(분기)'!$A:$F,$2:$2,0),0)</f>
        <v>0</v>
      </c>
      <c r="Q588" s="207">
        <f>IF(ISNUMBER(VLOOKUP($B:$B,'BS(분기)'!$A:$F,$2:$2,0)),VLOOKUP($B:$B,'BS(분기)'!$A:$F,$2:$2,0),0)</f>
        <v>0</v>
      </c>
      <c r="R588" s="207">
        <f>IF(ISNUMBER(VLOOKUP($B:$B,'BS(분기)'!$A:$F,$2:$2,0)),VLOOKUP($B:$B,'BS(분기)'!$A:$F,$2:$2,0),0)</f>
        <v>0</v>
      </c>
    </row>
    <row r="589" spans="1:18" s="192" customFormat="1" ht="12">
      <c r="A589" s="202">
        <v>116050</v>
      </c>
      <c r="B589" s="195" t="s">
        <v>838</v>
      </c>
      <c r="C589" s="217">
        <f>IF(ISNUMBER(VLOOKUP($B:$B,BS!$A:$D,$2:$2,0)),VLOOKUP($B:$B,BS!$A:$D,$2:$2,0),0)</f>
        <v>0</v>
      </c>
      <c r="D589" s="217">
        <f>IF(ISNUMBER(VLOOKUP($B:$B,BS!$A:$D,$2:$2,0)),VLOOKUP($B:$B,BS!$A:$D,$2:$2,0),0)</f>
        <v>0</v>
      </c>
      <c r="E589" s="217">
        <f>IF(ISNUMBER(VLOOKUP($B:$B,BS!$A:$D,$2:$2,0)),VLOOKUP($B:$B,BS!$A:$D,$2:$2,0),0)</f>
        <v>0</v>
      </c>
      <c r="F589" s="217">
        <f>IF(ISNUMBER(VLOOKUP($B:$B,BS!$A:$D,$2:$2,0)),VLOOKUP($B:$B,BS!$A:$D,$2:$2,0),0)</f>
        <v>0</v>
      </c>
      <c r="G589" s="217">
        <f>IF(ISNUMBER(VLOOKUP($B:$B,BS!$A:$D,$2:$2,0)),VLOOKUP($B:$B,BS!$A:$D,$2:$2,0),0)</f>
        <v>0</v>
      </c>
      <c r="H589" s="207">
        <f>IF(ISNUMBER(VLOOKUP($B:$B,'BS(과거)'!$A:$F,$2:$2,0)),VLOOKUP($B:$B,'BS(과거)'!$A:$F,$2:$2,0),0)</f>
        <v>0</v>
      </c>
      <c r="I589" s="207">
        <f>IF(ISNUMBER(VLOOKUP($B:$B,'BS(과거)'!$A:$F,$2:$2,0)),VLOOKUP($B:$B,'BS(과거)'!$A:$F,$2:$2,0),0)</f>
        <v>0</v>
      </c>
      <c r="J589" s="207">
        <f>IF(ISNUMBER(VLOOKUP($B:$B,'BS(과거)'!$A:$F,$2:$2,0)),VLOOKUP($B:$B,'BS(과거)'!$A:$F,$2:$2,0),0)</f>
        <v>0</v>
      </c>
      <c r="K589" s="207">
        <f>IF(ISNUMBER(VLOOKUP($B:$B,'BS(과거)'!$A:$F,$2:$2,0)),VLOOKUP($B:$B,'BS(과거)'!$A:$F,$2:$2,0),0)</f>
        <v>0</v>
      </c>
      <c r="L589" s="207">
        <f>IF(ISNUMBER(VLOOKUP($B:$B,'BS(과거)'!$A:$F,$2:$2,0)),VLOOKUP($B:$B,'BS(과거)'!$A:$F,$2:$2,0),0)</f>
        <v>0</v>
      </c>
      <c r="N589" s="207">
        <f>IF(ISNUMBER(VLOOKUP($B:$B,'BS(분기)'!$A:$F,$2:$2,0)),VLOOKUP($B:$B,'BS(분기)'!$A:$F,$2:$2,0),0)</f>
        <v>0</v>
      </c>
      <c r="O589" s="207">
        <f>IF(ISNUMBER(VLOOKUP($B:$B,'BS(분기)'!$A:$F,$2:$2,0)),VLOOKUP($B:$B,'BS(분기)'!$A:$F,$2:$2,0),0)</f>
        <v>0</v>
      </c>
      <c r="P589" s="207">
        <f>IF(ISNUMBER(VLOOKUP($B:$B,'BS(분기)'!$A:$F,$2:$2,0)),VLOOKUP($B:$B,'BS(분기)'!$A:$F,$2:$2,0),0)</f>
        <v>0</v>
      </c>
      <c r="Q589" s="207">
        <f>IF(ISNUMBER(VLOOKUP($B:$B,'BS(분기)'!$A:$F,$2:$2,0)),VLOOKUP($B:$B,'BS(분기)'!$A:$F,$2:$2,0),0)</f>
        <v>0</v>
      </c>
      <c r="R589" s="207">
        <f>IF(ISNUMBER(VLOOKUP($B:$B,'BS(분기)'!$A:$F,$2:$2,0)),VLOOKUP($B:$B,'BS(분기)'!$A:$F,$2:$2,0),0)</f>
        <v>0</v>
      </c>
    </row>
    <row r="590" spans="1:18" s="192" customFormat="1" ht="12">
      <c r="A590" s="202">
        <v>116051</v>
      </c>
      <c r="B590" s="195" t="s">
        <v>1256</v>
      </c>
      <c r="C590" s="217">
        <f>IF(ISNUMBER(VLOOKUP($B:$B,BS!$A:$D,$2:$2,0)),VLOOKUP($B:$B,BS!$A:$D,$2:$2,0),0)</f>
        <v>0</v>
      </c>
      <c r="D590" s="217">
        <f>IF(ISNUMBER(VLOOKUP($B:$B,BS!$A:$D,$2:$2,0)),VLOOKUP($B:$B,BS!$A:$D,$2:$2,0),0)</f>
        <v>0</v>
      </c>
      <c r="E590" s="217">
        <f>IF(ISNUMBER(VLOOKUP($B:$B,BS!$A:$D,$2:$2,0)),VLOOKUP($B:$B,BS!$A:$D,$2:$2,0),0)</f>
        <v>0</v>
      </c>
      <c r="F590" s="217">
        <f>IF(ISNUMBER(VLOOKUP($B:$B,BS!$A:$D,$2:$2,0)),VLOOKUP($B:$B,BS!$A:$D,$2:$2,0),0)</f>
        <v>0</v>
      </c>
      <c r="G590" s="217">
        <f>IF(ISNUMBER(VLOOKUP($B:$B,BS!$A:$D,$2:$2,0)),VLOOKUP($B:$B,BS!$A:$D,$2:$2,0),0)</f>
        <v>0</v>
      </c>
      <c r="H590" s="207">
        <f>IF(ISNUMBER(VLOOKUP($B:$B,'BS(과거)'!$A:$F,$2:$2,0)),VLOOKUP($B:$B,'BS(과거)'!$A:$F,$2:$2,0),0)</f>
        <v>0</v>
      </c>
      <c r="I590" s="207">
        <f>IF(ISNUMBER(VLOOKUP($B:$B,'BS(과거)'!$A:$F,$2:$2,0)),VLOOKUP($B:$B,'BS(과거)'!$A:$F,$2:$2,0),0)</f>
        <v>0</v>
      </c>
      <c r="J590" s="207">
        <f>IF(ISNUMBER(VLOOKUP($B:$B,'BS(과거)'!$A:$F,$2:$2,0)),VLOOKUP($B:$B,'BS(과거)'!$A:$F,$2:$2,0),0)</f>
        <v>0</v>
      </c>
      <c r="K590" s="207">
        <f>IF(ISNUMBER(VLOOKUP($B:$B,'BS(과거)'!$A:$F,$2:$2,0)),VLOOKUP($B:$B,'BS(과거)'!$A:$F,$2:$2,0),0)</f>
        <v>0</v>
      </c>
      <c r="L590" s="207">
        <f>IF(ISNUMBER(VLOOKUP($B:$B,'BS(과거)'!$A:$F,$2:$2,0)),VLOOKUP($B:$B,'BS(과거)'!$A:$F,$2:$2,0),0)</f>
        <v>0</v>
      </c>
      <c r="N590" s="207">
        <f>IF(ISNUMBER(VLOOKUP($B:$B,'BS(분기)'!$A:$F,$2:$2,0)),VLOOKUP($B:$B,'BS(분기)'!$A:$F,$2:$2,0),0)</f>
        <v>0</v>
      </c>
      <c r="O590" s="207">
        <f>IF(ISNUMBER(VLOOKUP($B:$B,'BS(분기)'!$A:$F,$2:$2,0)),VLOOKUP($B:$B,'BS(분기)'!$A:$F,$2:$2,0),0)</f>
        <v>0</v>
      </c>
      <c r="P590" s="207">
        <f>IF(ISNUMBER(VLOOKUP($B:$B,'BS(분기)'!$A:$F,$2:$2,0)),VLOOKUP($B:$B,'BS(분기)'!$A:$F,$2:$2,0),0)</f>
        <v>0</v>
      </c>
      <c r="Q590" s="207">
        <f>IF(ISNUMBER(VLOOKUP($B:$B,'BS(분기)'!$A:$F,$2:$2,0)),VLOOKUP($B:$B,'BS(분기)'!$A:$F,$2:$2,0),0)</f>
        <v>0</v>
      </c>
      <c r="R590" s="207">
        <f>IF(ISNUMBER(VLOOKUP($B:$B,'BS(분기)'!$A:$F,$2:$2,0)),VLOOKUP($B:$B,'BS(분기)'!$A:$F,$2:$2,0),0)</f>
        <v>0</v>
      </c>
    </row>
    <row r="591" spans="1:18" s="192" customFormat="1" ht="12">
      <c r="A591" s="202">
        <v>116052</v>
      </c>
      <c r="B591" s="195" t="s">
        <v>1257</v>
      </c>
      <c r="C591" s="217">
        <f>IF(ISNUMBER(VLOOKUP($B:$B,BS!$A:$D,$2:$2,0)),VLOOKUP($B:$B,BS!$A:$D,$2:$2,0),0)</f>
        <v>0</v>
      </c>
      <c r="D591" s="217">
        <f>IF(ISNUMBER(VLOOKUP($B:$B,BS!$A:$D,$2:$2,0)),VLOOKUP($B:$B,BS!$A:$D,$2:$2,0),0)</f>
        <v>0</v>
      </c>
      <c r="E591" s="217">
        <f>IF(ISNUMBER(VLOOKUP($B:$B,BS!$A:$D,$2:$2,0)),VLOOKUP($B:$B,BS!$A:$D,$2:$2,0),0)</f>
        <v>0</v>
      </c>
      <c r="F591" s="217">
        <f>IF(ISNUMBER(VLOOKUP($B:$B,BS!$A:$D,$2:$2,0)),VLOOKUP($B:$B,BS!$A:$D,$2:$2,0),0)</f>
        <v>0</v>
      </c>
      <c r="G591" s="217">
        <f>IF(ISNUMBER(VLOOKUP($B:$B,BS!$A:$D,$2:$2,0)),VLOOKUP($B:$B,BS!$A:$D,$2:$2,0),0)</f>
        <v>0</v>
      </c>
      <c r="H591" s="207">
        <f>IF(ISNUMBER(VLOOKUP($B:$B,'BS(과거)'!$A:$F,$2:$2,0)),VLOOKUP($B:$B,'BS(과거)'!$A:$F,$2:$2,0),0)</f>
        <v>0</v>
      </c>
      <c r="I591" s="207">
        <f>IF(ISNUMBER(VLOOKUP($B:$B,'BS(과거)'!$A:$F,$2:$2,0)),VLOOKUP($B:$B,'BS(과거)'!$A:$F,$2:$2,0),0)</f>
        <v>0</v>
      </c>
      <c r="J591" s="207">
        <f>IF(ISNUMBER(VLOOKUP($B:$B,'BS(과거)'!$A:$F,$2:$2,0)),VLOOKUP($B:$B,'BS(과거)'!$A:$F,$2:$2,0),0)</f>
        <v>0</v>
      </c>
      <c r="K591" s="207">
        <f>IF(ISNUMBER(VLOOKUP($B:$B,'BS(과거)'!$A:$F,$2:$2,0)),VLOOKUP($B:$B,'BS(과거)'!$A:$F,$2:$2,0),0)</f>
        <v>0</v>
      </c>
      <c r="L591" s="207">
        <f>IF(ISNUMBER(VLOOKUP($B:$B,'BS(과거)'!$A:$F,$2:$2,0)),VLOOKUP($B:$B,'BS(과거)'!$A:$F,$2:$2,0),0)</f>
        <v>0</v>
      </c>
      <c r="N591" s="207">
        <f>IF(ISNUMBER(VLOOKUP($B:$B,'BS(분기)'!$A:$F,$2:$2,0)),VLOOKUP($B:$B,'BS(분기)'!$A:$F,$2:$2,0),0)</f>
        <v>0</v>
      </c>
      <c r="O591" s="207">
        <f>IF(ISNUMBER(VLOOKUP($B:$B,'BS(분기)'!$A:$F,$2:$2,0)),VLOOKUP($B:$B,'BS(분기)'!$A:$F,$2:$2,0),0)</f>
        <v>0</v>
      </c>
      <c r="P591" s="207">
        <f>IF(ISNUMBER(VLOOKUP($B:$B,'BS(분기)'!$A:$F,$2:$2,0)),VLOOKUP($B:$B,'BS(분기)'!$A:$F,$2:$2,0),0)</f>
        <v>0</v>
      </c>
      <c r="Q591" s="207">
        <f>IF(ISNUMBER(VLOOKUP($B:$B,'BS(분기)'!$A:$F,$2:$2,0)),VLOOKUP($B:$B,'BS(분기)'!$A:$F,$2:$2,0),0)</f>
        <v>0</v>
      </c>
      <c r="R591" s="207">
        <f>IF(ISNUMBER(VLOOKUP($B:$B,'BS(분기)'!$A:$F,$2:$2,0)),VLOOKUP($B:$B,'BS(분기)'!$A:$F,$2:$2,0),0)</f>
        <v>0</v>
      </c>
    </row>
    <row r="592" spans="1:18" s="192" customFormat="1" ht="12">
      <c r="A592" s="202">
        <v>116106</v>
      </c>
      <c r="B592" s="195" t="s">
        <v>1258</v>
      </c>
      <c r="C592" s="217">
        <f>IF(ISNUMBER(VLOOKUP($B:$B,BS!$A:$D,$2:$2,0)),VLOOKUP($B:$B,BS!$A:$D,$2:$2,0),0)</f>
        <v>0</v>
      </c>
      <c r="D592" s="217">
        <f>IF(ISNUMBER(VLOOKUP($B:$B,BS!$A:$D,$2:$2,0)),VLOOKUP($B:$B,BS!$A:$D,$2:$2,0),0)</f>
        <v>0</v>
      </c>
      <c r="E592" s="217">
        <f>IF(ISNUMBER(VLOOKUP($B:$B,BS!$A:$D,$2:$2,0)),VLOOKUP($B:$B,BS!$A:$D,$2:$2,0),0)</f>
        <v>0</v>
      </c>
      <c r="F592" s="217">
        <f>IF(ISNUMBER(VLOOKUP($B:$B,BS!$A:$D,$2:$2,0)),VLOOKUP($B:$B,BS!$A:$D,$2:$2,0),0)</f>
        <v>0</v>
      </c>
      <c r="G592" s="217">
        <f>IF(ISNUMBER(VLOOKUP($B:$B,BS!$A:$D,$2:$2,0)),VLOOKUP($B:$B,BS!$A:$D,$2:$2,0),0)</f>
        <v>0</v>
      </c>
      <c r="H592" s="207">
        <f>IF(ISNUMBER(VLOOKUP($B:$B,'BS(과거)'!$A:$F,$2:$2,0)),VLOOKUP($B:$B,'BS(과거)'!$A:$F,$2:$2,0),0)</f>
        <v>0</v>
      </c>
      <c r="I592" s="207">
        <f>IF(ISNUMBER(VLOOKUP($B:$B,'BS(과거)'!$A:$F,$2:$2,0)),VLOOKUP($B:$B,'BS(과거)'!$A:$F,$2:$2,0),0)</f>
        <v>0</v>
      </c>
      <c r="J592" s="207">
        <f>IF(ISNUMBER(VLOOKUP($B:$B,'BS(과거)'!$A:$F,$2:$2,0)),VLOOKUP($B:$B,'BS(과거)'!$A:$F,$2:$2,0),0)</f>
        <v>0</v>
      </c>
      <c r="K592" s="207">
        <f>IF(ISNUMBER(VLOOKUP($B:$B,'BS(과거)'!$A:$F,$2:$2,0)),VLOOKUP($B:$B,'BS(과거)'!$A:$F,$2:$2,0),0)</f>
        <v>0</v>
      </c>
      <c r="L592" s="207">
        <f>IF(ISNUMBER(VLOOKUP($B:$B,'BS(과거)'!$A:$F,$2:$2,0)),VLOOKUP($B:$B,'BS(과거)'!$A:$F,$2:$2,0),0)</f>
        <v>0</v>
      </c>
      <c r="N592" s="207">
        <f>IF(ISNUMBER(VLOOKUP($B:$B,'BS(분기)'!$A:$F,$2:$2,0)),VLOOKUP($B:$B,'BS(분기)'!$A:$F,$2:$2,0),0)</f>
        <v>0</v>
      </c>
      <c r="O592" s="207">
        <f>IF(ISNUMBER(VLOOKUP($B:$B,'BS(분기)'!$A:$F,$2:$2,0)),VLOOKUP($B:$B,'BS(분기)'!$A:$F,$2:$2,0),0)</f>
        <v>0</v>
      </c>
      <c r="P592" s="207">
        <f>IF(ISNUMBER(VLOOKUP($B:$B,'BS(분기)'!$A:$F,$2:$2,0)),VLOOKUP($B:$B,'BS(분기)'!$A:$F,$2:$2,0),0)</f>
        <v>0</v>
      </c>
      <c r="Q592" s="207">
        <f>IF(ISNUMBER(VLOOKUP($B:$B,'BS(분기)'!$A:$F,$2:$2,0)),VLOOKUP($B:$B,'BS(분기)'!$A:$F,$2:$2,0),0)</f>
        <v>0</v>
      </c>
      <c r="R592" s="207">
        <f>IF(ISNUMBER(VLOOKUP($B:$B,'BS(분기)'!$A:$F,$2:$2,0)),VLOOKUP($B:$B,'BS(분기)'!$A:$F,$2:$2,0),0)</f>
        <v>0</v>
      </c>
    </row>
    <row r="593" spans="1:18" s="192" customFormat="1" ht="12">
      <c r="A593" s="202">
        <v>116108</v>
      </c>
      <c r="B593" s="195" t="s">
        <v>1259</v>
      </c>
      <c r="C593" s="217">
        <f>IF(ISNUMBER(VLOOKUP($B:$B,BS!$A:$D,$2:$2,0)),VLOOKUP($B:$B,BS!$A:$D,$2:$2,0),0)</f>
        <v>0</v>
      </c>
      <c r="D593" s="217">
        <f>IF(ISNUMBER(VLOOKUP($B:$B,BS!$A:$D,$2:$2,0)),VLOOKUP($B:$B,BS!$A:$D,$2:$2,0),0)</f>
        <v>0</v>
      </c>
      <c r="E593" s="217">
        <f>IF(ISNUMBER(VLOOKUP($B:$B,BS!$A:$D,$2:$2,0)),VLOOKUP($B:$B,BS!$A:$D,$2:$2,0),0)</f>
        <v>0</v>
      </c>
      <c r="F593" s="217">
        <f>IF(ISNUMBER(VLOOKUP($B:$B,BS!$A:$D,$2:$2,0)),VLOOKUP($B:$B,BS!$A:$D,$2:$2,0),0)</f>
        <v>0</v>
      </c>
      <c r="G593" s="217">
        <f>IF(ISNUMBER(VLOOKUP($B:$B,BS!$A:$D,$2:$2,0)),VLOOKUP($B:$B,BS!$A:$D,$2:$2,0),0)</f>
        <v>0</v>
      </c>
      <c r="H593" s="207">
        <f>IF(ISNUMBER(VLOOKUP($B:$B,'BS(과거)'!$A:$F,$2:$2,0)),VLOOKUP($B:$B,'BS(과거)'!$A:$F,$2:$2,0),0)</f>
        <v>0</v>
      </c>
      <c r="I593" s="207">
        <f>IF(ISNUMBER(VLOOKUP($B:$B,'BS(과거)'!$A:$F,$2:$2,0)),VLOOKUP($B:$B,'BS(과거)'!$A:$F,$2:$2,0),0)</f>
        <v>0</v>
      </c>
      <c r="J593" s="207">
        <f>IF(ISNUMBER(VLOOKUP($B:$B,'BS(과거)'!$A:$F,$2:$2,0)),VLOOKUP($B:$B,'BS(과거)'!$A:$F,$2:$2,0),0)</f>
        <v>0</v>
      </c>
      <c r="K593" s="207">
        <f>IF(ISNUMBER(VLOOKUP($B:$B,'BS(과거)'!$A:$F,$2:$2,0)),VLOOKUP($B:$B,'BS(과거)'!$A:$F,$2:$2,0),0)</f>
        <v>0</v>
      </c>
      <c r="L593" s="207">
        <f>IF(ISNUMBER(VLOOKUP($B:$B,'BS(과거)'!$A:$F,$2:$2,0)),VLOOKUP($B:$B,'BS(과거)'!$A:$F,$2:$2,0),0)</f>
        <v>0</v>
      </c>
      <c r="N593" s="207">
        <f>IF(ISNUMBER(VLOOKUP($B:$B,'BS(분기)'!$A:$F,$2:$2,0)),VLOOKUP($B:$B,'BS(분기)'!$A:$F,$2:$2,0),0)</f>
        <v>0</v>
      </c>
      <c r="O593" s="207">
        <f>IF(ISNUMBER(VLOOKUP($B:$B,'BS(분기)'!$A:$F,$2:$2,0)),VLOOKUP($B:$B,'BS(분기)'!$A:$F,$2:$2,0),0)</f>
        <v>0</v>
      </c>
      <c r="P593" s="207">
        <f>IF(ISNUMBER(VLOOKUP($B:$B,'BS(분기)'!$A:$F,$2:$2,0)),VLOOKUP($B:$B,'BS(분기)'!$A:$F,$2:$2,0),0)</f>
        <v>0</v>
      </c>
      <c r="Q593" s="207">
        <f>IF(ISNUMBER(VLOOKUP($B:$B,'BS(분기)'!$A:$F,$2:$2,0)),VLOOKUP($B:$B,'BS(분기)'!$A:$F,$2:$2,0),0)</f>
        <v>0</v>
      </c>
      <c r="R593" s="207">
        <f>IF(ISNUMBER(VLOOKUP($B:$B,'BS(분기)'!$A:$F,$2:$2,0)),VLOOKUP($B:$B,'BS(분기)'!$A:$F,$2:$2,0),0)</f>
        <v>0</v>
      </c>
    </row>
    <row r="594" spans="1:18" s="192" customFormat="1" ht="12">
      <c r="A594" s="202">
        <v>116109</v>
      </c>
      <c r="B594" s="195" t="s">
        <v>839</v>
      </c>
      <c r="C594" s="217">
        <f>IF(ISNUMBER(VLOOKUP($B:$B,BS!$A:$D,$2:$2,0)),VLOOKUP($B:$B,BS!$A:$D,$2:$2,0),0)</f>
        <v>0</v>
      </c>
      <c r="D594" s="217">
        <f>IF(ISNUMBER(VLOOKUP($B:$B,BS!$A:$D,$2:$2,0)),VLOOKUP($B:$B,BS!$A:$D,$2:$2,0),0)</f>
        <v>0</v>
      </c>
      <c r="E594" s="217">
        <f>IF(ISNUMBER(VLOOKUP($B:$B,BS!$A:$D,$2:$2,0)),VLOOKUP($B:$B,BS!$A:$D,$2:$2,0),0)</f>
        <v>0</v>
      </c>
      <c r="F594" s="217">
        <f>IF(ISNUMBER(VLOOKUP($B:$B,BS!$A:$D,$2:$2,0)),VLOOKUP($B:$B,BS!$A:$D,$2:$2,0),0)</f>
        <v>0</v>
      </c>
      <c r="G594" s="217">
        <f>IF(ISNUMBER(VLOOKUP($B:$B,BS!$A:$D,$2:$2,0)),VLOOKUP($B:$B,BS!$A:$D,$2:$2,0),0)</f>
        <v>0</v>
      </c>
      <c r="H594" s="207">
        <f>IF(ISNUMBER(VLOOKUP($B:$B,'BS(과거)'!$A:$F,$2:$2,0)),VLOOKUP($B:$B,'BS(과거)'!$A:$F,$2:$2,0),0)</f>
        <v>0</v>
      </c>
      <c r="I594" s="207">
        <f>IF(ISNUMBER(VLOOKUP($B:$B,'BS(과거)'!$A:$F,$2:$2,0)),VLOOKUP($B:$B,'BS(과거)'!$A:$F,$2:$2,0),0)</f>
        <v>0</v>
      </c>
      <c r="J594" s="207">
        <f>IF(ISNUMBER(VLOOKUP($B:$B,'BS(과거)'!$A:$F,$2:$2,0)),VLOOKUP($B:$B,'BS(과거)'!$A:$F,$2:$2,0),0)</f>
        <v>0</v>
      </c>
      <c r="K594" s="207">
        <f>IF(ISNUMBER(VLOOKUP($B:$B,'BS(과거)'!$A:$F,$2:$2,0)),VLOOKUP($B:$B,'BS(과거)'!$A:$F,$2:$2,0),0)</f>
        <v>0</v>
      </c>
      <c r="L594" s="207">
        <f>IF(ISNUMBER(VLOOKUP($B:$B,'BS(과거)'!$A:$F,$2:$2,0)),VLOOKUP($B:$B,'BS(과거)'!$A:$F,$2:$2,0),0)</f>
        <v>0</v>
      </c>
      <c r="N594" s="207">
        <f>IF(ISNUMBER(VLOOKUP($B:$B,'BS(분기)'!$A:$F,$2:$2,0)),VLOOKUP($B:$B,'BS(분기)'!$A:$F,$2:$2,0),0)</f>
        <v>0</v>
      </c>
      <c r="O594" s="207">
        <f>IF(ISNUMBER(VLOOKUP($B:$B,'BS(분기)'!$A:$F,$2:$2,0)),VLOOKUP($B:$B,'BS(분기)'!$A:$F,$2:$2,0),0)</f>
        <v>0</v>
      </c>
      <c r="P594" s="207">
        <f>IF(ISNUMBER(VLOOKUP($B:$B,'BS(분기)'!$A:$F,$2:$2,0)),VLOOKUP($B:$B,'BS(분기)'!$A:$F,$2:$2,0),0)</f>
        <v>0</v>
      </c>
      <c r="Q594" s="207">
        <f>IF(ISNUMBER(VLOOKUP($B:$B,'BS(분기)'!$A:$F,$2:$2,0)),VLOOKUP($B:$B,'BS(분기)'!$A:$F,$2:$2,0),0)</f>
        <v>0</v>
      </c>
      <c r="R594" s="207">
        <f>IF(ISNUMBER(VLOOKUP($B:$B,'BS(분기)'!$A:$F,$2:$2,0)),VLOOKUP($B:$B,'BS(분기)'!$A:$F,$2:$2,0),0)</f>
        <v>0</v>
      </c>
    </row>
    <row r="595" spans="1:18" s="192" customFormat="1" ht="12">
      <c r="A595" s="202">
        <v>116107</v>
      </c>
      <c r="B595" s="195" t="s">
        <v>1260</v>
      </c>
      <c r="C595" s="217">
        <f>IF(ISNUMBER(VLOOKUP($B:$B,BS!$A:$D,$2:$2,0)),VLOOKUP($B:$B,BS!$A:$D,$2:$2,0),0)</f>
        <v>0</v>
      </c>
      <c r="D595" s="217">
        <f>IF(ISNUMBER(VLOOKUP($B:$B,BS!$A:$D,$2:$2,0)),VLOOKUP($B:$B,BS!$A:$D,$2:$2,0),0)</f>
        <v>0</v>
      </c>
      <c r="E595" s="217">
        <f>IF(ISNUMBER(VLOOKUP($B:$B,BS!$A:$D,$2:$2,0)),VLOOKUP($B:$B,BS!$A:$D,$2:$2,0),0)</f>
        <v>0</v>
      </c>
      <c r="F595" s="217">
        <f>IF(ISNUMBER(VLOOKUP($B:$B,BS!$A:$D,$2:$2,0)),VLOOKUP($B:$B,BS!$A:$D,$2:$2,0),0)</f>
        <v>0</v>
      </c>
      <c r="G595" s="217">
        <f>IF(ISNUMBER(VLOOKUP($B:$B,BS!$A:$D,$2:$2,0)),VLOOKUP($B:$B,BS!$A:$D,$2:$2,0),0)</f>
        <v>0</v>
      </c>
      <c r="H595" s="207">
        <f>IF(ISNUMBER(VLOOKUP($B:$B,'BS(과거)'!$A:$F,$2:$2,0)),VLOOKUP($B:$B,'BS(과거)'!$A:$F,$2:$2,0),0)</f>
        <v>0</v>
      </c>
      <c r="I595" s="207">
        <f>IF(ISNUMBER(VLOOKUP($B:$B,'BS(과거)'!$A:$F,$2:$2,0)),VLOOKUP($B:$B,'BS(과거)'!$A:$F,$2:$2,0),0)</f>
        <v>0</v>
      </c>
      <c r="J595" s="207">
        <f>IF(ISNUMBER(VLOOKUP($B:$B,'BS(과거)'!$A:$F,$2:$2,0)),VLOOKUP($B:$B,'BS(과거)'!$A:$F,$2:$2,0),0)</f>
        <v>0</v>
      </c>
      <c r="K595" s="207">
        <f>IF(ISNUMBER(VLOOKUP($B:$B,'BS(과거)'!$A:$F,$2:$2,0)),VLOOKUP($B:$B,'BS(과거)'!$A:$F,$2:$2,0),0)</f>
        <v>0</v>
      </c>
      <c r="L595" s="207">
        <f>IF(ISNUMBER(VLOOKUP($B:$B,'BS(과거)'!$A:$F,$2:$2,0)),VLOOKUP($B:$B,'BS(과거)'!$A:$F,$2:$2,0),0)</f>
        <v>0</v>
      </c>
      <c r="N595" s="207">
        <f>IF(ISNUMBER(VLOOKUP($B:$B,'BS(분기)'!$A:$F,$2:$2,0)),VLOOKUP($B:$B,'BS(분기)'!$A:$F,$2:$2,0),0)</f>
        <v>0</v>
      </c>
      <c r="O595" s="207">
        <f>IF(ISNUMBER(VLOOKUP($B:$B,'BS(분기)'!$A:$F,$2:$2,0)),VLOOKUP($B:$B,'BS(분기)'!$A:$F,$2:$2,0),0)</f>
        <v>0</v>
      </c>
      <c r="P595" s="207">
        <f>IF(ISNUMBER(VLOOKUP($B:$B,'BS(분기)'!$A:$F,$2:$2,0)),VLOOKUP($B:$B,'BS(분기)'!$A:$F,$2:$2,0),0)</f>
        <v>0</v>
      </c>
      <c r="Q595" s="207">
        <f>IF(ISNUMBER(VLOOKUP($B:$B,'BS(분기)'!$A:$F,$2:$2,0)),VLOOKUP($B:$B,'BS(분기)'!$A:$F,$2:$2,0),0)</f>
        <v>0</v>
      </c>
      <c r="R595" s="207">
        <f>IF(ISNUMBER(VLOOKUP($B:$B,'BS(분기)'!$A:$F,$2:$2,0)),VLOOKUP($B:$B,'BS(분기)'!$A:$F,$2:$2,0),0)</f>
        <v>0</v>
      </c>
    </row>
    <row r="596" spans="1:18" s="192" customFormat="1" ht="12">
      <c r="A596" s="203">
        <v>116100</v>
      </c>
      <c r="B596" s="196" t="s">
        <v>840</v>
      </c>
      <c r="C596" s="217">
        <f>IF(ISNUMBER(VLOOKUP($B:$B,BS!$A:$D,$2:$2,0)),VLOOKUP($B:$B,BS!$A:$D,$2:$2,0),0)</f>
        <v>0</v>
      </c>
      <c r="D596" s="217">
        <f>IF(ISNUMBER(VLOOKUP($B:$B,BS!$A:$D,$2:$2,0)),VLOOKUP($B:$B,BS!$A:$D,$2:$2,0),0)</f>
        <v>0</v>
      </c>
      <c r="E596" s="217">
        <f>IF(ISNUMBER(VLOOKUP($B:$B,BS!$A:$D,$2:$2,0)),VLOOKUP($B:$B,BS!$A:$D,$2:$2,0),0)</f>
        <v>0</v>
      </c>
      <c r="F596" s="217">
        <f>IF(ISNUMBER(VLOOKUP($B:$B,BS!$A:$D,$2:$2,0)),VLOOKUP($B:$B,BS!$A:$D,$2:$2,0),0)</f>
        <v>0</v>
      </c>
      <c r="G596" s="217">
        <f>IF(ISNUMBER(VLOOKUP($B:$B,BS!$A:$D,$2:$2,0)),VLOOKUP($B:$B,BS!$A:$D,$2:$2,0),0)</f>
        <v>0</v>
      </c>
      <c r="H596" s="207">
        <f>IF(ISNUMBER(VLOOKUP($B:$B,'BS(과거)'!$A:$F,$2:$2,0)),VLOOKUP($B:$B,'BS(과거)'!$A:$F,$2:$2,0),0)</f>
        <v>0</v>
      </c>
      <c r="I596" s="207">
        <f>IF(ISNUMBER(VLOOKUP($B:$B,'BS(과거)'!$A:$F,$2:$2,0)),VLOOKUP($B:$B,'BS(과거)'!$A:$F,$2:$2,0),0)</f>
        <v>0</v>
      </c>
      <c r="J596" s="207">
        <f>IF(ISNUMBER(VLOOKUP($B:$B,'BS(과거)'!$A:$F,$2:$2,0)),VLOOKUP($B:$B,'BS(과거)'!$A:$F,$2:$2,0),0)</f>
        <v>0</v>
      </c>
      <c r="K596" s="207">
        <f>IF(ISNUMBER(VLOOKUP($B:$B,'BS(과거)'!$A:$F,$2:$2,0)),VLOOKUP($B:$B,'BS(과거)'!$A:$F,$2:$2,0),0)</f>
        <v>0</v>
      </c>
      <c r="L596" s="207">
        <f>IF(ISNUMBER(VLOOKUP($B:$B,'BS(과거)'!$A:$F,$2:$2,0)),VLOOKUP($B:$B,'BS(과거)'!$A:$F,$2:$2,0),0)</f>
        <v>0</v>
      </c>
      <c r="N596" s="207">
        <f>IF(ISNUMBER(VLOOKUP($B:$B,'BS(분기)'!$A:$F,$2:$2,0)),VLOOKUP($B:$B,'BS(분기)'!$A:$F,$2:$2,0),0)</f>
        <v>0</v>
      </c>
      <c r="O596" s="207">
        <f>IF(ISNUMBER(VLOOKUP($B:$B,'BS(분기)'!$A:$F,$2:$2,0)),VLOOKUP($B:$B,'BS(분기)'!$A:$F,$2:$2,0),0)</f>
        <v>0</v>
      </c>
      <c r="P596" s="207">
        <f>IF(ISNUMBER(VLOOKUP($B:$B,'BS(분기)'!$A:$F,$2:$2,0)),VLOOKUP($B:$B,'BS(분기)'!$A:$F,$2:$2,0),0)</f>
        <v>0</v>
      </c>
      <c r="Q596" s="207">
        <f>IF(ISNUMBER(VLOOKUP($B:$B,'BS(분기)'!$A:$F,$2:$2,0)),VLOOKUP($B:$B,'BS(분기)'!$A:$F,$2:$2,0),0)</f>
        <v>0</v>
      </c>
      <c r="R596" s="207">
        <f>IF(ISNUMBER(VLOOKUP($B:$B,'BS(분기)'!$A:$F,$2:$2,0)),VLOOKUP($B:$B,'BS(분기)'!$A:$F,$2:$2,0),0)</f>
        <v>0</v>
      </c>
    </row>
    <row r="597" spans="1:18" s="192" customFormat="1" ht="12">
      <c r="A597" s="203">
        <v>116118</v>
      </c>
      <c r="B597" s="196" t="s">
        <v>1205</v>
      </c>
      <c r="C597" s="217">
        <f>IF(ISNUMBER(VLOOKUP($B:$B,BS!$A:$D,$2:$2,0)),VLOOKUP($B:$B,BS!$A:$D,$2:$2,0),0)</f>
        <v>0</v>
      </c>
      <c r="D597" s="217">
        <f>IF(ISNUMBER(VLOOKUP($B:$B,BS!$A:$D,$2:$2,0)),VLOOKUP($B:$B,BS!$A:$D,$2:$2,0),0)</f>
        <v>0</v>
      </c>
      <c r="E597" s="217">
        <f>IF(ISNUMBER(VLOOKUP($B:$B,BS!$A:$D,$2:$2,0)),VLOOKUP($B:$B,BS!$A:$D,$2:$2,0),0)</f>
        <v>0</v>
      </c>
      <c r="F597" s="217">
        <f>IF(ISNUMBER(VLOOKUP($B:$B,BS!$A:$D,$2:$2,0)),VLOOKUP($B:$B,BS!$A:$D,$2:$2,0),0)</f>
        <v>0</v>
      </c>
      <c r="G597" s="217">
        <f>IF(ISNUMBER(VLOOKUP($B:$B,BS!$A:$D,$2:$2,0)),VLOOKUP($B:$B,BS!$A:$D,$2:$2,0),0)</f>
        <v>0</v>
      </c>
      <c r="H597" s="207">
        <f>IF(ISNUMBER(VLOOKUP($B:$B,'BS(과거)'!$A:$F,$2:$2,0)),VLOOKUP($B:$B,'BS(과거)'!$A:$F,$2:$2,0),0)</f>
        <v>0</v>
      </c>
      <c r="I597" s="207">
        <f>IF(ISNUMBER(VLOOKUP($B:$B,'BS(과거)'!$A:$F,$2:$2,0)),VLOOKUP($B:$B,'BS(과거)'!$A:$F,$2:$2,0),0)</f>
        <v>0</v>
      </c>
      <c r="J597" s="207">
        <f>IF(ISNUMBER(VLOOKUP($B:$B,'BS(과거)'!$A:$F,$2:$2,0)),VLOOKUP($B:$B,'BS(과거)'!$A:$F,$2:$2,0),0)</f>
        <v>0</v>
      </c>
      <c r="K597" s="207">
        <f>IF(ISNUMBER(VLOOKUP($B:$B,'BS(과거)'!$A:$F,$2:$2,0)),VLOOKUP($B:$B,'BS(과거)'!$A:$F,$2:$2,0),0)</f>
        <v>0</v>
      </c>
      <c r="L597" s="207">
        <f>IF(ISNUMBER(VLOOKUP($B:$B,'BS(과거)'!$A:$F,$2:$2,0)),VLOOKUP($B:$B,'BS(과거)'!$A:$F,$2:$2,0),0)</f>
        <v>0</v>
      </c>
      <c r="N597" s="207">
        <f>IF(ISNUMBER(VLOOKUP($B:$B,'BS(분기)'!$A:$F,$2:$2,0)),VLOOKUP($B:$B,'BS(분기)'!$A:$F,$2:$2,0),0)</f>
        <v>0</v>
      </c>
      <c r="O597" s="207">
        <f>IF(ISNUMBER(VLOOKUP($B:$B,'BS(분기)'!$A:$F,$2:$2,0)),VLOOKUP($B:$B,'BS(분기)'!$A:$F,$2:$2,0),0)</f>
        <v>0</v>
      </c>
      <c r="P597" s="207">
        <f>IF(ISNUMBER(VLOOKUP($B:$B,'BS(분기)'!$A:$F,$2:$2,0)),VLOOKUP($B:$B,'BS(분기)'!$A:$F,$2:$2,0),0)</f>
        <v>0</v>
      </c>
      <c r="Q597" s="207">
        <f>IF(ISNUMBER(VLOOKUP($B:$B,'BS(분기)'!$A:$F,$2:$2,0)),VLOOKUP($B:$B,'BS(분기)'!$A:$F,$2:$2,0),0)</f>
        <v>0</v>
      </c>
      <c r="R597" s="207">
        <f>IF(ISNUMBER(VLOOKUP($B:$B,'BS(분기)'!$A:$F,$2:$2,0)),VLOOKUP($B:$B,'BS(분기)'!$A:$F,$2:$2,0),0)</f>
        <v>0</v>
      </c>
    </row>
    <row r="598" spans="1:18" s="192" customFormat="1" ht="12">
      <c r="A598" s="203">
        <v>116119</v>
      </c>
      <c r="B598" s="196" t="s">
        <v>841</v>
      </c>
      <c r="C598" s="217">
        <f>IF(ISNUMBER(VLOOKUP($B:$B,BS!$A:$D,$2:$2,0)),VLOOKUP($B:$B,BS!$A:$D,$2:$2,0),0)</f>
        <v>0</v>
      </c>
      <c r="D598" s="217">
        <f>IF(ISNUMBER(VLOOKUP($B:$B,BS!$A:$D,$2:$2,0)),VLOOKUP($B:$B,BS!$A:$D,$2:$2,0),0)</f>
        <v>0</v>
      </c>
      <c r="E598" s="217">
        <f>IF(ISNUMBER(VLOOKUP($B:$B,BS!$A:$D,$2:$2,0)),VLOOKUP($B:$B,BS!$A:$D,$2:$2,0),0)</f>
        <v>0</v>
      </c>
      <c r="F598" s="217">
        <f>IF(ISNUMBER(VLOOKUP($B:$B,BS!$A:$D,$2:$2,0)),VLOOKUP($B:$B,BS!$A:$D,$2:$2,0),0)</f>
        <v>0</v>
      </c>
      <c r="G598" s="217">
        <f>IF(ISNUMBER(VLOOKUP($B:$B,BS!$A:$D,$2:$2,0)),VLOOKUP($B:$B,BS!$A:$D,$2:$2,0),0)</f>
        <v>0</v>
      </c>
      <c r="H598" s="207">
        <f>IF(ISNUMBER(VLOOKUP($B:$B,'BS(과거)'!$A:$F,$2:$2,0)),VLOOKUP($B:$B,'BS(과거)'!$A:$F,$2:$2,0),0)</f>
        <v>0</v>
      </c>
      <c r="I598" s="207">
        <f>IF(ISNUMBER(VLOOKUP($B:$B,'BS(과거)'!$A:$F,$2:$2,0)),VLOOKUP($B:$B,'BS(과거)'!$A:$F,$2:$2,0),0)</f>
        <v>0</v>
      </c>
      <c r="J598" s="207">
        <f>IF(ISNUMBER(VLOOKUP($B:$B,'BS(과거)'!$A:$F,$2:$2,0)),VLOOKUP($B:$B,'BS(과거)'!$A:$F,$2:$2,0),0)</f>
        <v>0</v>
      </c>
      <c r="K598" s="207">
        <f>IF(ISNUMBER(VLOOKUP($B:$B,'BS(과거)'!$A:$F,$2:$2,0)),VLOOKUP($B:$B,'BS(과거)'!$A:$F,$2:$2,0),0)</f>
        <v>0</v>
      </c>
      <c r="L598" s="207">
        <f>IF(ISNUMBER(VLOOKUP($B:$B,'BS(과거)'!$A:$F,$2:$2,0)),VLOOKUP($B:$B,'BS(과거)'!$A:$F,$2:$2,0),0)</f>
        <v>0</v>
      </c>
      <c r="N598" s="207">
        <f>IF(ISNUMBER(VLOOKUP($B:$B,'BS(분기)'!$A:$F,$2:$2,0)),VLOOKUP($B:$B,'BS(분기)'!$A:$F,$2:$2,0),0)</f>
        <v>0</v>
      </c>
      <c r="O598" s="207">
        <f>IF(ISNUMBER(VLOOKUP($B:$B,'BS(분기)'!$A:$F,$2:$2,0)),VLOOKUP($B:$B,'BS(분기)'!$A:$F,$2:$2,0),0)</f>
        <v>0</v>
      </c>
      <c r="P598" s="207">
        <f>IF(ISNUMBER(VLOOKUP($B:$B,'BS(분기)'!$A:$F,$2:$2,0)),VLOOKUP($B:$B,'BS(분기)'!$A:$F,$2:$2,0),0)</f>
        <v>0</v>
      </c>
      <c r="Q598" s="207">
        <f>IF(ISNUMBER(VLOOKUP($B:$B,'BS(분기)'!$A:$F,$2:$2,0)),VLOOKUP($B:$B,'BS(분기)'!$A:$F,$2:$2,0),0)</f>
        <v>0</v>
      </c>
      <c r="R598" s="207">
        <f>IF(ISNUMBER(VLOOKUP($B:$B,'BS(분기)'!$A:$F,$2:$2,0)),VLOOKUP($B:$B,'BS(분기)'!$A:$F,$2:$2,0),0)</f>
        <v>0</v>
      </c>
    </row>
    <row r="599" spans="1:18" s="192" customFormat="1" ht="12">
      <c r="A599" s="203">
        <v>116117</v>
      </c>
      <c r="B599" s="196" t="s">
        <v>1261</v>
      </c>
      <c r="C599" s="217">
        <f>IF(ISNUMBER(VLOOKUP($B:$B,BS!$A:$D,$2:$2,0)),VLOOKUP($B:$B,BS!$A:$D,$2:$2,0),0)</f>
        <v>0</v>
      </c>
      <c r="D599" s="217">
        <f>IF(ISNUMBER(VLOOKUP($B:$B,BS!$A:$D,$2:$2,0)),VLOOKUP($B:$B,BS!$A:$D,$2:$2,0),0)</f>
        <v>0</v>
      </c>
      <c r="E599" s="217">
        <f>IF(ISNUMBER(VLOOKUP($B:$B,BS!$A:$D,$2:$2,0)),VLOOKUP($B:$B,BS!$A:$D,$2:$2,0),0)</f>
        <v>0</v>
      </c>
      <c r="F599" s="217">
        <f>IF(ISNUMBER(VLOOKUP($B:$B,BS!$A:$D,$2:$2,0)),VLOOKUP($B:$B,BS!$A:$D,$2:$2,0),0)</f>
        <v>0</v>
      </c>
      <c r="G599" s="217">
        <f>IF(ISNUMBER(VLOOKUP($B:$B,BS!$A:$D,$2:$2,0)),VLOOKUP($B:$B,BS!$A:$D,$2:$2,0),0)</f>
        <v>0</v>
      </c>
      <c r="H599" s="207">
        <f>IF(ISNUMBER(VLOOKUP($B:$B,'BS(과거)'!$A:$F,$2:$2,0)),VLOOKUP($B:$B,'BS(과거)'!$A:$F,$2:$2,0),0)</f>
        <v>0</v>
      </c>
      <c r="I599" s="207">
        <f>IF(ISNUMBER(VLOOKUP($B:$B,'BS(과거)'!$A:$F,$2:$2,0)),VLOOKUP($B:$B,'BS(과거)'!$A:$F,$2:$2,0),0)</f>
        <v>0</v>
      </c>
      <c r="J599" s="207">
        <f>IF(ISNUMBER(VLOOKUP($B:$B,'BS(과거)'!$A:$F,$2:$2,0)),VLOOKUP($B:$B,'BS(과거)'!$A:$F,$2:$2,0),0)</f>
        <v>0</v>
      </c>
      <c r="K599" s="207">
        <f>IF(ISNUMBER(VLOOKUP($B:$B,'BS(과거)'!$A:$F,$2:$2,0)),VLOOKUP($B:$B,'BS(과거)'!$A:$F,$2:$2,0),0)</f>
        <v>0</v>
      </c>
      <c r="L599" s="207">
        <f>IF(ISNUMBER(VLOOKUP($B:$B,'BS(과거)'!$A:$F,$2:$2,0)),VLOOKUP($B:$B,'BS(과거)'!$A:$F,$2:$2,0),0)</f>
        <v>0</v>
      </c>
      <c r="N599" s="207">
        <f>IF(ISNUMBER(VLOOKUP($B:$B,'BS(분기)'!$A:$F,$2:$2,0)),VLOOKUP($B:$B,'BS(분기)'!$A:$F,$2:$2,0),0)</f>
        <v>0</v>
      </c>
      <c r="O599" s="207">
        <f>IF(ISNUMBER(VLOOKUP($B:$B,'BS(분기)'!$A:$F,$2:$2,0)),VLOOKUP($B:$B,'BS(분기)'!$A:$F,$2:$2,0),0)</f>
        <v>0</v>
      </c>
      <c r="P599" s="207">
        <f>IF(ISNUMBER(VLOOKUP($B:$B,'BS(분기)'!$A:$F,$2:$2,0)),VLOOKUP($B:$B,'BS(분기)'!$A:$F,$2:$2,0),0)</f>
        <v>0</v>
      </c>
      <c r="Q599" s="207">
        <f>IF(ISNUMBER(VLOOKUP($B:$B,'BS(분기)'!$A:$F,$2:$2,0)),VLOOKUP($B:$B,'BS(분기)'!$A:$F,$2:$2,0),0)</f>
        <v>0</v>
      </c>
      <c r="R599" s="207">
        <f>IF(ISNUMBER(VLOOKUP($B:$B,'BS(분기)'!$A:$F,$2:$2,0)),VLOOKUP($B:$B,'BS(분기)'!$A:$F,$2:$2,0),0)</f>
        <v>0</v>
      </c>
    </row>
    <row r="600" spans="1:18" s="192" customFormat="1" ht="12">
      <c r="A600" s="203">
        <v>116101</v>
      </c>
      <c r="B600" s="196" t="s">
        <v>1262</v>
      </c>
      <c r="C600" s="217">
        <f>IF(ISNUMBER(VLOOKUP($B:$B,BS!$A:$D,$2:$2,0)),VLOOKUP($B:$B,BS!$A:$D,$2:$2,0),0)</f>
        <v>0</v>
      </c>
      <c r="D600" s="217">
        <f>IF(ISNUMBER(VLOOKUP($B:$B,BS!$A:$D,$2:$2,0)),VLOOKUP($B:$B,BS!$A:$D,$2:$2,0),0)</f>
        <v>0</v>
      </c>
      <c r="E600" s="217">
        <f>IF(ISNUMBER(VLOOKUP($B:$B,BS!$A:$D,$2:$2,0)),VLOOKUP($B:$B,BS!$A:$D,$2:$2,0),0)</f>
        <v>0</v>
      </c>
      <c r="F600" s="217">
        <f>IF(ISNUMBER(VLOOKUP($B:$B,BS!$A:$D,$2:$2,0)),VLOOKUP($B:$B,BS!$A:$D,$2:$2,0),0)</f>
        <v>0</v>
      </c>
      <c r="G600" s="217">
        <f>IF(ISNUMBER(VLOOKUP($B:$B,BS!$A:$D,$2:$2,0)),VLOOKUP($B:$B,BS!$A:$D,$2:$2,0),0)</f>
        <v>0</v>
      </c>
      <c r="H600" s="207">
        <f>IF(ISNUMBER(VLOOKUP($B:$B,'BS(과거)'!$A:$F,$2:$2,0)),VLOOKUP($B:$B,'BS(과거)'!$A:$F,$2:$2,0),0)</f>
        <v>0</v>
      </c>
      <c r="I600" s="207">
        <f>IF(ISNUMBER(VLOOKUP($B:$B,'BS(과거)'!$A:$F,$2:$2,0)),VLOOKUP($B:$B,'BS(과거)'!$A:$F,$2:$2,0),0)</f>
        <v>0</v>
      </c>
      <c r="J600" s="207">
        <f>IF(ISNUMBER(VLOOKUP($B:$B,'BS(과거)'!$A:$F,$2:$2,0)),VLOOKUP($B:$B,'BS(과거)'!$A:$F,$2:$2,0),0)</f>
        <v>0</v>
      </c>
      <c r="K600" s="207">
        <f>IF(ISNUMBER(VLOOKUP($B:$B,'BS(과거)'!$A:$F,$2:$2,0)),VLOOKUP($B:$B,'BS(과거)'!$A:$F,$2:$2,0),0)</f>
        <v>0</v>
      </c>
      <c r="L600" s="207">
        <f>IF(ISNUMBER(VLOOKUP($B:$B,'BS(과거)'!$A:$F,$2:$2,0)),VLOOKUP($B:$B,'BS(과거)'!$A:$F,$2:$2,0),0)</f>
        <v>0</v>
      </c>
      <c r="N600" s="207">
        <f>IF(ISNUMBER(VLOOKUP($B:$B,'BS(분기)'!$A:$F,$2:$2,0)),VLOOKUP($B:$B,'BS(분기)'!$A:$F,$2:$2,0),0)</f>
        <v>0</v>
      </c>
      <c r="O600" s="207">
        <f>IF(ISNUMBER(VLOOKUP($B:$B,'BS(분기)'!$A:$F,$2:$2,0)),VLOOKUP($B:$B,'BS(분기)'!$A:$F,$2:$2,0),0)</f>
        <v>0</v>
      </c>
      <c r="P600" s="207">
        <f>IF(ISNUMBER(VLOOKUP($B:$B,'BS(분기)'!$A:$F,$2:$2,0)),VLOOKUP($B:$B,'BS(분기)'!$A:$F,$2:$2,0),0)</f>
        <v>0</v>
      </c>
      <c r="Q600" s="207">
        <f>IF(ISNUMBER(VLOOKUP($B:$B,'BS(분기)'!$A:$F,$2:$2,0)),VLOOKUP($B:$B,'BS(분기)'!$A:$F,$2:$2,0),0)</f>
        <v>0</v>
      </c>
      <c r="R600" s="207">
        <f>IF(ISNUMBER(VLOOKUP($B:$B,'BS(분기)'!$A:$F,$2:$2,0)),VLOOKUP($B:$B,'BS(분기)'!$A:$F,$2:$2,0),0)</f>
        <v>0</v>
      </c>
    </row>
    <row r="601" spans="1:18" s="192" customFormat="1" ht="12">
      <c r="A601" s="203">
        <v>116102</v>
      </c>
      <c r="B601" s="196" t="s">
        <v>1233</v>
      </c>
      <c r="C601" s="217">
        <f>IF(ISNUMBER(VLOOKUP($B:$B,BS!$A:$D,$2:$2,0)),VLOOKUP($B:$B,BS!$A:$D,$2:$2,0),0)</f>
        <v>0</v>
      </c>
      <c r="D601" s="217">
        <f>IF(ISNUMBER(VLOOKUP($B:$B,BS!$A:$D,$2:$2,0)),VLOOKUP($B:$B,BS!$A:$D,$2:$2,0),0)</f>
        <v>0</v>
      </c>
      <c r="E601" s="217">
        <f>IF(ISNUMBER(VLOOKUP($B:$B,BS!$A:$D,$2:$2,0)),VLOOKUP($B:$B,BS!$A:$D,$2:$2,0),0)</f>
        <v>0</v>
      </c>
      <c r="F601" s="217">
        <f>IF(ISNUMBER(VLOOKUP($B:$B,BS!$A:$D,$2:$2,0)),VLOOKUP($B:$B,BS!$A:$D,$2:$2,0),0)</f>
        <v>0</v>
      </c>
      <c r="G601" s="217">
        <f>IF(ISNUMBER(VLOOKUP($B:$B,BS!$A:$D,$2:$2,0)),VLOOKUP($B:$B,BS!$A:$D,$2:$2,0),0)</f>
        <v>0</v>
      </c>
      <c r="H601" s="207">
        <f>IF(ISNUMBER(VLOOKUP($B:$B,'BS(과거)'!$A:$F,$2:$2,0)),VLOOKUP($B:$B,'BS(과거)'!$A:$F,$2:$2,0),0)</f>
        <v>0</v>
      </c>
      <c r="I601" s="207">
        <f>IF(ISNUMBER(VLOOKUP($B:$B,'BS(과거)'!$A:$F,$2:$2,0)),VLOOKUP($B:$B,'BS(과거)'!$A:$F,$2:$2,0),0)</f>
        <v>0</v>
      </c>
      <c r="J601" s="207">
        <f>IF(ISNUMBER(VLOOKUP($B:$B,'BS(과거)'!$A:$F,$2:$2,0)),VLOOKUP($B:$B,'BS(과거)'!$A:$F,$2:$2,0),0)</f>
        <v>0</v>
      </c>
      <c r="K601" s="207">
        <f>IF(ISNUMBER(VLOOKUP($B:$B,'BS(과거)'!$A:$F,$2:$2,0)),VLOOKUP($B:$B,'BS(과거)'!$A:$F,$2:$2,0),0)</f>
        <v>0</v>
      </c>
      <c r="L601" s="207">
        <f>IF(ISNUMBER(VLOOKUP($B:$B,'BS(과거)'!$A:$F,$2:$2,0)),VLOOKUP($B:$B,'BS(과거)'!$A:$F,$2:$2,0),0)</f>
        <v>0</v>
      </c>
      <c r="N601" s="207">
        <f>IF(ISNUMBER(VLOOKUP($B:$B,'BS(분기)'!$A:$F,$2:$2,0)),VLOOKUP($B:$B,'BS(분기)'!$A:$F,$2:$2,0),0)</f>
        <v>0</v>
      </c>
      <c r="O601" s="207">
        <f>IF(ISNUMBER(VLOOKUP($B:$B,'BS(분기)'!$A:$F,$2:$2,0)),VLOOKUP($B:$B,'BS(분기)'!$A:$F,$2:$2,0),0)</f>
        <v>0</v>
      </c>
      <c r="P601" s="207">
        <f>IF(ISNUMBER(VLOOKUP($B:$B,'BS(분기)'!$A:$F,$2:$2,0)),VLOOKUP($B:$B,'BS(분기)'!$A:$F,$2:$2,0),0)</f>
        <v>0</v>
      </c>
      <c r="Q601" s="207">
        <f>IF(ISNUMBER(VLOOKUP($B:$B,'BS(분기)'!$A:$F,$2:$2,0)),VLOOKUP($B:$B,'BS(분기)'!$A:$F,$2:$2,0),0)</f>
        <v>0</v>
      </c>
      <c r="R601" s="207">
        <f>IF(ISNUMBER(VLOOKUP($B:$B,'BS(분기)'!$A:$F,$2:$2,0)),VLOOKUP($B:$B,'BS(분기)'!$A:$F,$2:$2,0),0)</f>
        <v>0</v>
      </c>
    </row>
    <row r="602" spans="1:18" s="192" customFormat="1" ht="12">
      <c r="A602" s="203">
        <v>116126</v>
      </c>
      <c r="B602" s="196" t="s">
        <v>1263</v>
      </c>
      <c r="C602" s="217">
        <f>IF(ISNUMBER(VLOOKUP($B:$B,BS!$A:$D,$2:$2,0)),VLOOKUP($B:$B,BS!$A:$D,$2:$2,0),0)</f>
        <v>0</v>
      </c>
      <c r="D602" s="217">
        <f>IF(ISNUMBER(VLOOKUP($B:$B,BS!$A:$D,$2:$2,0)),VLOOKUP($B:$B,BS!$A:$D,$2:$2,0),0)</f>
        <v>0</v>
      </c>
      <c r="E602" s="217">
        <f>IF(ISNUMBER(VLOOKUP($B:$B,BS!$A:$D,$2:$2,0)),VLOOKUP($B:$B,BS!$A:$D,$2:$2,0),0)</f>
        <v>0</v>
      </c>
      <c r="F602" s="217">
        <f>IF(ISNUMBER(VLOOKUP($B:$B,BS!$A:$D,$2:$2,0)),VLOOKUP($B:$B,BS!$A:$D,$2:$2,0),0)</f>
        <v>0</v>
      </c>
      <c r="G602" s="217">
        <f>IF(ISNUMBER(VLOOKUP($B:$B,BS!$A:$D,$2:$2,0)),VLOOKUP($B:$B,BS!$A:$D,$2:$2,0),0)</f>
        <v>0</v>
      </c>
      <c r="H602" s="207">
        <f>IF(ISNUMBER(VLOOKUP($B:$B,'BS(과거)'!$A:$F,$2:$2,0)),VLOOKUP($B:$B,'BS(과거)'!$A:$F,$2:$2,0),0)</f>
        <v>0</v>
      </c>
      <c r="I602" s="207">
        <f>IF(ISNUMBER(VLOOKUP($B:$B,'BS(과거)'!$A:$F,$2:$2,0)),VLOOKUP($B:$B,'BS(과거)'!$A:$F,$2:$2,0),0)</f>
        <v>0</v>
      </c>
      <c r="J602" s="207">
        <f>IF(ISNUMBER(VLOOKUP($B:$B,'BS(과거)'!$A:$F,$2:$2,0)),VLOOKUP($B:$B,'BS(과거)'!$A:$F,$2:$2,0),0)</f>
        <v>0</v>
      </c>
      <c r="K602" s="207">
        <f>IF(ISNUMBER(VLOOKUP($B:$B,'BS(과거)'!$A:$F,$2:$2,0)),VLOOKUP($B:$B,'BS(과거)'!$A:$F,$2:$2,0),0)</f>
        <v>0</v>
      </c>
      <c r="L602" s="207">
        <f>IF(ISNUMBER(VLOOKUP($B:$B,'BS(과거)'!$A:$F,$2:$2,0)),VLOOKUP($B:$B,'BS(과거)'!$A:$F,$2:$2,0),0)</f>
        <v>0</v>
      </c>
      <c r="N602" s="207">
        <f>IF(ISNUMBER(VLOOKUP($B:$B,'BS(분기)'!$A:$F,$2:$2,0)),VLOOKUP($B:$B,'BS(분기)'!$A:$F,$2:$2,0),0)</f>
        <v>0</v>
      </c>
      <c r="O602" s="207">
        <f>IF(ISNUMBER(VLOOKUP($B:$B,'BS(분기)'!$A:$F,$2:$2,0)),VLOOKUP($B:$B,'BS(분기)'!$A:$F,$2:$2,0),0)</f>
        <v>0</v>
      </c>
      <c r="P602" s="207">
        <f>IF(ISNUMBER(VLOOKUP($B:$B,'BS(분기)'!$A:$F,$2:$2,0)),VLOOKUP($B:$B,'BS(분기)'!$A:$F,$2:$2,0),0)</f>
        <v>0</v>
      </c>
      <c r="Q602" s="207">
        <f>IF(ISNUMBER(VLOOKUP($B:$B,'BS(분기)'!$A:$F,$2:$2,0)),VLOOKUP($B:$B,'BS(분기)'!$A:$F,$2:$2,0),0)</f>
        <v>0</v>
      </c>
      <c r="R602" s="207">
        <f>IF(ISNUMBER(VLOOKUP($B:$B,'BS(분기)'!$A:$F,$2:$2,0)),VLOOKUP($B:$B,'BS(분기)'!$A:$F,$2:$2,0),0)</f>
        <v>0</v>
      </c>
    </row>
    <row r="603" spans="1:18" s="192" customFormat="1" ht="12">
      <c r="A603" s="203">
        <v>116128</v>
      </c>
      <c r="B603" s="196" t="s">
        <v>1264</v>
      </c>
      <c r="C603" s="217">
        <f>IF(ISNUMBER(VLOOKUP($B:$B,BS!$A:$D,$2:$2,0)),VLOOKUP($B:$B,BS!$A:$D,$2:$2,0),0)</f>
        <v>0</v>
      </c>
      <c r="D603" s="217">
        <f>IF(ISNUMBER(VLOOKUP($B:$B,BS!$A:$D,$2:$2,0)),VLOOKUP($B:$B,BS!$A:$D,$2:$2,0),0)</f>
        <v>0</v>
      </c>
      <c r="E603" s="217">
        <f>IF(ISNUMBER(VLOOKUP($B:$B,BS!$A:$D,$2:$2,0)),VLOOKUP($B:$B,BS!$A:$D,$2:$2,0),0)</f>
        <v>0</v>
      </c>
      <c r="F603" s="217">
        <f>IF(ISNUMBER(VLOOKUP($B:$B,BS!$A:$D,$2:$2,0)),VLOOKUP($B:$B,BS!$A:$D,$2:$2,0),0)</f>
        <v>0</v>
      </c>
      <c r="G603" s="217">
        <f>IF(ISNUMBER(VLOOKUP($B:$B,BS!$A:$D,$2:$2,0)),VLOOKUP($B:$B,BS!$A:$D,$2:$2,0),0)</f>
        <v>0</v>
      </c>
      <c r="H603" s="207">
        <f>IF(ISNUMBER(VLOOKUP($B:$B,'BS(과거)'!$A:$F,$2:$2,0)),VLOOKUP($B:$B,'BS(과거)'!$A:$F,$2:$2,0),0)</f>
        <v>0</v>
      </c>
      <c r="I603" s="207">
        <f>IF(ISNUMBER(VLOOKUP($B:$B,'BS(과거)'!$A:$F,$2:$2,0)),VLOOKUP($B:$B,'BS(과거)'!$A:$F,$2:$2,0),0)</f>
        <v>0</v>
      </c>
      <c r="J603" s="207">
        <f>IF(ISNUMBER(VLOOKUP($B:$B,'BS(과거)'!$A:$F,$2:$2,0)),VLOOKUP($B:$B,'BS(과거)'!$A:$F,$2:$2,0),0)</f>
        <v>0</v>
      </c>
      <c r="K603" s="207">
        <f>IF(ISNUMBER(VLOOKUP($B:$B,'BS(과거)'!$A:$F,$2:$2,0)),VLOOKUP($B:$B,'BS(과거)'!$A:$F,$2:$2,0),0)</f>
        <v>0</v>
      </c>
      <c r="L603" s="207">
        <f>IF(ISNUMBER(VLOOKUP($B:$B,'BS(과거)'!$A:$F,$2:$2,0)),VLOOKUP($B:$B,'BS(과거)'!$A:$F,$2:$2,0),0)</f>
        <v>0</v>
      </c>
      <c r="N603" s="207">
        <f>IF(ISNUMBER(VLOOKUP($B:$B,'BS(분기)'!$A:$F,$2:$2,0)),VLOOKUP($B:$B,'BS(분기)'!$A:$F,$2:$2,0),0)</f>
        <v>0</v>
      </c>
      <c r="O603" s="207">
        <f>IF(ISNUMBER(VLOOKUP($B:$B,'BS(분기)'!$A:$F,$2:$2,0)),VLOOKUP($B:$B,'BS(분기)'!$A:$F,$2:$2,0),0)</f>
        <v>0</v>
      </c>
      <c r="P603" s="207">
        <f>IF(ISNUMBER(VLOOKUP($B:$B,'BS(분기)'!$A:$F,$2:$2,0)),VLOOKUP($B:$B,'BS(분기)'!$A:$F,$2:$2,0),0)</f>
        <v>0</v>
      </c>
      <c r="Q603" s="207">
        <f>IF(ISNUMBER(VLOOKUP($B:$B,'BS(분기)'!$A:$F,$2:$2,0)),VLOOKUP($B:$B,'BS(분기)'!$A:$F,$2:$2,0),0)</f>
        <v>0</v>
      </c>
      <c r="R603" s="207">
        <f>IF(ISNUMBER(VLOOKUP($B:$B,'BS(분기)'!$A:$F,$2:$2,0)),VLOOKUP($B:$B,'BS(분기)'!$A:$F,$2:$2,0),0)</f>
        <v>0</v>
      </c>
    </row>
    <row r="604" spans="1:18" s="192" customFormat="1" ht="12">
      <c r="A604" s="203">
        <v>116129</v>
      </c>
      <c r="B604" s="196" t="s">
        <v>1265</v>
      </c>
      <c r="C604" s="217">
        <f>IF(ISNUMBER(VLOOKUP($B:$B,BS!$A:$D,$2:$2,0)),VLOOKUP($B:$B,BS!$A:$D,$2:$2,0),0)</f>
        <v>0</v>
      </c>
      <c r="D604" s="217">
        <f>IF(ISNUMBER(VLOOKUP($B:$B,BS!$A:$D,$2:$2,0)),VLOOKUP($B:$B,BS!$A:$D,$2:$2,0),0)</f>
        <v>0</v>
      </c>
      <c r="E604" s="217">
        <f>IF(ISNUMBER(VLOOKUP($B:$B,BS!$A:$D,$2:$2,0)),VLOOKUP($B:$B,BS!$A:$D,$2:$2,0),0)</f>
        <v>0</v>
      </c>
      <c r="F604" s="217">
        <f>IF(ISNUMBER(VLOOKUP($B:$B,BS!$A:$D,$2:$2,0)),VLOOKUP($B:$B,BS!$A:$D,$2:$2,0),0)</f>
        <v>0</v>
      </c>
      <c r="G604" s="217">
        <f>IF(ISNUMBER(VLOOKUP($B:$B,BS!$A:$D,$2:$2,0)),VLOOKUP($B:$B,BS!$A:$D,$2:$2,0),0)</f>
        <v>0</v>
      </c>
      <c r="H604" s="207">
        <f>IF(ISNUMBER(VLOOKUP($B:$B,'BS(과거)'!$A:$F,$2:$2,0)),VLOOKUP($B:$B,'BS(과거)'!$A:$F,$2:$2,0),0)</f>
        <v>0</v>
      </c>
      <c r="I604" s="207">
        <f>IF(ISNUMBER(VLOOKUP($B:$B,'BS(과거)'!$A:$F,$2:$2,0)),VLOOKUP($B:$B,'BS(과거)'!$A:$F,$2:$2,0),0)</f>
        <v>0</v>
      </c>
      <c r="J604" s="207">
        <f>IF(ISNUMBER(VLOOKUP($B:$B,'BS(과거)'!$A:$F,$2:$2,0)),VLOOKUP($B:$B,'BS(과거)'!$A:$F,$2:$2,0),0)</f>
        <v>0</v>
      </c>
      <c r="K604" s="207">
        <f>IF(ISNUMBER(VLOOKUP($B:$B,'BS(과거)'!$A:$F,$2:$2,0)),VLOOKUP($B:$B,'BS(과거)'!$A:$F,$2:$2,0),0)</f>
        <v>0</v>
      </c>
      <c r="L604" s="207">
        <f>IF(ISNUMBER(VLOOKUP($B:$B,'BS(과거)'!$A:$F,$2:$2,0)),VLOOKUP($B:$B,'BS(과거)'!$A:$F,$2:$2,0),0)</f>
        <v>0</v>
      </c>
      <c r="N604" s="207">
        <f>IF(ISNUMBER(VLOOKUP($B:$B,'BS(분기)'!$A:$F,$2:$2,0)),VLOOKUP($B:$B,'BS(분기)'!$A:$F,$2:$2,0),0)</f>
        <v>0</v>
      </c>
      <c r="O604" s="207">
        <f>IF(ISNUMBER(VLOOKUP($B:$B,'BS(분기)'!$A:$F,$2:$2,0)),VLOOKUP($B:$B,'BS(분기)'!$A:$F,$2:$2,0),0)</f>
        <v>0</v>
      </c>
      <c r="P604" s="207">
        <f>IF(ISNUMBER(VLOOKUP($B:$B,'BS(분기)'!$A:$F,$2:$2,0)),VLOOKUP($B:$B,'BS(분기)'!$A:$F,$2:$2,0),0)</f>
        <v>0</v>
      </c>
      <c r="Q604" s="207">
        <f>IF(ISNUMBER(VLOOKUP($B:$B,'BS(분기)'!$A:$F,$2:$2,0)),VLOOKUP($B:$B,'BS(분기)'!$A:$F,$2:$2,0),0)</f>
        <v>0</v>
      </c>
      <c r="R604" s="207">
        <f>IF(ISNUMBER(VLOOKUP($B:$B,'BS(분기)'!$A:$F,$2:$2,0)),VLOOKUP($B:$B,'BS(분기)'!$A:$F,$2:$2,0),0)</f>
        <v>0</v>
      </c>
    </row>
    <row r="605" spans="1:18" s="192" customFormat="1" ht="12">
      <c r="A605" s="203">
        <v>116127</v>
      </c>
      <c r="B605" s="196" t="s">
        <v>1266</v>
      </c>
      <c r="C605" s="217">
        <f>IF(ISNUMBER(VLOOKUP($B:$B,BS!$A:$D,$2:$2,0)),VLOOKUP($B:$B,BS!$A:$D,$2:$2,0),0)</f>
        <v>0</v>
      </c>
      <c r="D605" s="217">
        <f>IF(ISNUMBER(VLOOKUP($B:$B,BS!$A:$D,$2:$2,0)),VLOOKUP($B:$B,BS!$A:$D,$2:$2,0),0)</f>
        <v>0</v>
      </c>
      <c r="E605" s="217">
        <f>IF(ISNUMBER(VLOOKUP($B:$B,BS!$A:$D,$2:$2,0)),VLOOKUP($B:$B,BS!$A:$D,$2:$2,0),0)</f>
        <v>0</v>
      </c>
      <c r="F605" s="217">
        <f>IF(ISNUMBER(VLOOKUP($B:$B,BS!$A:$D,$2:$2,0)),VLOOKUP($B:$B,BS!$A:$D,$2:$2,0),0)</f>
        <v>0</v>
      </c>
      <c r="G605" s="217">
        <f>IF(ISNUMBER(VLOOKUP($B:$B,BS!$A:$D,$2:$2,0)),VLOOKUP($B:$B,BS!$A:$D,$2:$2,0),0)</f>
        <v>0</v>
      </c>
      <c r="H605" s="207">
        <f>IF(ISNUMBER(VLOOKUP($B:$B,'BS(과거)'!$A:$F,$2:$2,0)),VLOOKUP($B:$B,'BS(과거)'!$A:$F,$2:$2,0),0)</f>
        <v>0</v>
      </c>
      <c r="I605" s="207">
        <f>IF(ISNUMBER(VLOOKUP($B:$B,'BS(과거)'!$A:$F,$2:$2,0)),VLOOKUP($B:$B,'BS(과거)'!$A:$F,$2:$2,0),0)</f>
        <v>0</v>
      </c>
      <c r="J605" s="207">
        <f>IF(ISNUMBER(VLOOKUP($B:$B,'BS(과거)'!$A:$F,$2:$2,0)),VLOOKUP($B:$B,'BS(과거)'!$A:$F,$2:$2,0),0)</f>
        <v>0</v>
      </c>
      <c r="K605" s="207">
        <f>IF(ISNUMBER(VLOOKUP($B:$B,'BS(과거)'!$A:$F,$2:$2,0)),VLOOKUP($B:$B,'BS(과거)'!$A:$F,$2:$2,0),0)</f>
        <v>0</v>
      </c>
      <c r="L605" s="207">
        <f>IF(ISNUMBER(VLOOKUP($B:$B,'BS(과거)'!$A:$F,$2:$2,0)),VLOOKUP($B:$B,'BS(과거)'!$A:$F,$2:$2,0),0)</f>
        <v>0</v>
      </c>
      <c r="N605" s="207">
        <f>IF(ISNUMBER(VLOOKUP($B:$B,'BS(분기)'!$A:$F,$2:$2,0)),VLOOKUP($B:$B,'BS(분기)'!$A:$F,$2:$2,0),0)</f>
        <v>0</v>
      </c>
      <c r="O605" s="207">
        <f>IF(ISNUMBER(VLOOKUP($B:$B,'BS(분기)'!$A:$F,$2:$2,0)),VLOOKUP($B:$B,'BS(분기)'!$A:$F,$2:$2,0),0)</f>
        <v>0</v>
      </c>
      <c r="P605" s="207">
        <f>IF(ISNUMBER(VLOOKUP($B:$B,'BS(분기)'!$A:$F,$2:$2,0)),VLOOKUP($B:$B,'BS(분기)'!$A:$F,$2:$2,0),0)</f>
        <v>0</v>
      </c>
      <c r="Q605" s="207">
        <f>IF(ISNUMBER(VLOOKUP($B:$B,'BS(분기)'!$A:$F,$2:$2,0)),VLOOKUP($B:$B,'BS(분기)'!$A:$F,$2:$2,0),0)</f>
        <v>0</v>
      </c>
      <c r="R605" s="207">
        <f>IF(ISNUMBER(VLOOKUP($B:$B,'BS(분기)'!$A:$F,$2:$2,0)),VLOOKUP($B:$B,'BS(분기)'!$A:$F,$2:$2,0),0)</f>
        <v>0</v>
      </c>
    </row>
    <row r="606" spans="1:18" s="192" customFormat="1" ht="12">
      <c r="A606" s="203">
        <v>116103</v>
      </c>
      <c r="B606" s="196" t="s">
        <v>1267</v>
      </c>
      <c r="C606" s="217">
        <f>IF(ISNUMBER(VLOOKUP($B:$B,BS!$A:$D,$2:$2,0)),VLOOKUP($B:$B,BS!$A:$D,$2:$2,0),0)</f>
        <v>0</v>
      </c>
      <c r="D606" s="217">
        <f>IF(ISNUMBER(VLOOKUP($B:$B,BS!$A:$D,$2:$2,0)),VLOOKUP($B:$B,BS!$A:$D,$2:$2,0),0)</f>
        <v>0</v>
      </c>
      <c r="E606" s="217">
        <f>IF(ISNUMBER(VLOOKUP($B:$B,BS!$A:$D,$2:$2,0)),VLOOKUP($B:$B,BS!$A:$D,$2:$2,0),0)</f>
        <v>0</v>
      </c>
      <c r="F606" s="217">
        <f>IF(ISNUMBER(VLOOKUP($B:$B,BS!$A:$D,$2:$2,0)),VLOOKUP($B:$B,BS!$A:$D,$2:$2,0),0)</f>
        <v>0</v>
      </c>
      <c r="G606" s="217">
        <f>IF(ISNUMBER(VLOOKUP($B:$B,BS!$A:$D,$2:$2,0)),VLOOKUP($B:$B,BS!$A:$D,$2:$2,0),0)</f>
        <v>0</v>
      </c>
      <c r="H606" s="207">
        <f>IF(ISNUMBER(VLOOKUP($B:$B,'BS(과거)'!$A:$F,$2:$2,0)),VLOOKUP($B:$B,'BS(과거)'!$A:$F,$2:$2,0),0)</f>
        <v>0</v>
      </c>
      <c r="I606" s="207">
        <f>IF(ISNUMBER(VLOOKUP($B:$B,'BS(과거)'!$A:$F,$2:$2,0)),VLOOKUP($B:$B,'BS(과거)'!$A:$F,$2:$2,0),0)</f>
        <v>0</v>
      </c>
      <c r="J606" s="207">
        <f>IF(ISNUMBER(VLOOKUP($B:$B,'BS(과거)'!$A:$F,$2:$2,0)),VLOOKUP($B:$B,'BS(과거)'!$A:$F,$2:$2,0),0)</f>
        <v>0</v>
      </c>
      <c r="K606" s="207">
        <f>IF(ISNUMBER(VLOOKUP($B:$B,'BS(과거)'!$A:$F,$2:$2,0)),VLOOKUP($B:$B,'BS(과거)'!$A:$F,$2:$2,0),0)</f>
        <v>0</v>
      </c>
      <c r="L606" s="207">
        <f>IF(ISNUMBER(VLOOKUP($B:$B,'BS(과거)'!$A:$F,$2:$2,0)),VLOOKUP($B:$B,'BS(과거)'!$A:$F,$2:$2,0),0)</f>
        <v>0</v>
      </c>
      <c r="N606" s="207">
        <f>IF(ISNUMBER(VLOOKUP($B:$B,'BS(분기)'!$A:$F,$2:$2,0)),VLOOKUP($B:$B,'BS(분기)'!$A:$F,$2:$2,0),0)</f>
        <v>0</v>
      </c>
      <c r="O606" s="207">
        <f>IF(ISNUMBER(VLOOKUP($B:$B,'BS(분기)'!$A:$F,$2:$2,0)),VLOOKUP($B:$B,'BS(분기)'!$A:$F,$2:$2,0),0)</f>
        <v>0</v>
      </c>
      <c r="P606" s="207">
        <f>IF(ISNUMBER(VLOOKUP($B:$B,'BS(분기)'!$A:$F,$2:$2,0)),VLOOKUP($B:$B,'BS(분기)'!$A:$F,$2:$2,0),0)</f>
        <v>0</v>
      </c>
      <c r="Q606" s="207">
        <f>IF(ISNUMBER(VLOOKUP($B:$B,'BS(분기)'!$A:$F,$2:$2,0)),VLOOKUP($B:$B,'BS(분기)'!$A:$F,$2:$2,0),0)</f>
        <v>0</v>
      </c>
      <c r="R606" s="207">
        <f>IF(ISNUMBER(VLOOKUP($B:$B,'BS(분기)'!$A:$F,$2:$2,0)),VLOOKUP($B:$B,'BS(분기)'!$A:$F,$2:$2,0),0)</f>
        <v>0</v>
      </c>
    </row>
    <row r="607" spans="1:18" s="192" customFormat="1" ht="12">
      <c r="A607" s="203">
        <v>116104</v>
      </c>
      <c r="B607" s="196" t="s">
        <v>1234</v>
      </c>
      <c r="C607" s="217">
        <f>IF(ISNUMBER(VLOOKUP($B:$B,BS!$A:$D,$2:$2,0)),VLOOKUP($B:$B,BS!$A:$D,$2:$2,0),0)</f>
        <v>0</v>
      </c>
      <c r="D607" s="217">
        <f>IF(ISNUMBER(VLOOKUP($B:$B,BS!$A:$D,$2:$2,0)),VLOOKUP($B:$B,BS!$A:$D,$2:$2,0),0)</f>
        <v>0</v>
      </c>
      <c r="E607" s="217">
        <f>IF(ISNUMBER(VLOOKUP($B:$B,BS!$A:$D,$2:$2,0)),VLOOKUP($B:$B,BS!$A:$D,$2:$2,0),0)</f>
        <v>0</v>
      </c>
      <c r="F607" s="217">
        <f>IF(ISNUMBER(VLOOKUP($B:$B,BS!$A:$D,$2:$2,0)),VLOOKUP($B:$B,BS!$A:$D,$2:$2,0),0)</f>
        <v>0</v>
      </c>
      <c r="G607" s="217">
        <f>IF(ISNUMBER(VLOOKUP($B:$B,BS!$A:$D,$2:$2,0)),VLOOKUP($B:$B,BS!$A:$D,$2:$2,0),0)</f>
        <v>0</v>
      </c>
      <c r="H607" s="207">
        <f>IF(ISNUMBER(VLOOKUP($B:$B,'BS(과거)'!$A:$F,$2:$2,0)),VLOOKUP($B:$B,'BS(과거)'!$A:$F,$2:$2,0),0)</f>
        <v>0</v>
      </c>
      <c r="I607" s="207">
        <f>IF(ISNUMBER(VLOOKUP($B:$B,'BS(과거)'!$A:$F,$2:$2,0)),VLOOKUP($B:$B,'BS(과거)'!$A:$F,$2:$2,0),0)</f>
        <v>0</v>
      </c>
      <c r="J607" s="207">
        <f>IF(ISNUMBER(VLOOKUP($B:$B,'BS(과거)'!$A:$F,$2:$2,0)),VLOOKUP($B:$B,'BS(과거)'!$A:$F,$2:$2,0),0)</f>
        <v>0</v>
      </c>
      <c r="K607" s="207">
        <f>IF(ISNUMBER(VLOOKUP($B:$B,'BS(과거)'!$A:$F,$2:$2,0)),VLOOKUP($B:$B,'BS(과거)'!$A:$F,$2:$2,0),0)</f>
        <v>0</v>
      </c>
      <c r="L607" s="207">
        <f>IF(ISNUMBER(VLOOKUP($B:$B,'BS(과거)'!$A:$F,$2:$2,0)),VLOOKUP($B:$B,'BS(과거)'!$A:$F,$2:$2,0),0)</f>
        <v>0</v>
      </c>
      <c r="N607" s="207">
        <f>IF(ISNUMBER(VLOOKUP($B:$B,'BS(분기)'!$A:$F,$2:$2,0)),VLOOKUP($B:$B,'BS(분기)'!$A:$F,$2:$2,0),0)</f>
        <v>0</v>
      </c>
      <c r="O607" s="207">
        <f>IF(ISNUMBER(VLOOKUP($B:$B,'BS(분기)'!$A:$F,$2:$2,0)),VLOOKUP($B:$B,'BS(분기)'!$A:$F,$2:$2,0),0)</f>
        <v>0</v>
      </c>
      <c r="P607" s="207">
        <f>IF(ISNUMBER(VLOOKUP($B:$B,'BS(분기)'!$A:$F,$2:$2,0)),VLOOKUP($B:$B,'BS(분기)'!$A:$F,$2:$2,0),0)</f>
        <v>0</v>
      </c>
      <c r="Q607" s="207">
        <f>IF(ISNUMBER(VLOOKUP($B:$B,'BS(분기)'!$A:$F,$2:$2,0)),VLOOKUP($B:$B,'BS(분기)'!$A:$F,$2:$2,0),0)</f>
        <v>0</v>
      </c>
      <c r="R607" s="207">
        <f>IF(ISNUMBER(VLOOKUP($B:$B,'BS(분기)'!$A:$F,$2:$2,0)),VLOOKUP($B:$B,'BS(분기)'!$A:$F,$2:$2,0),0)</f>
        <v>0</v>
      </c>
    </row>
    <row r="608" spans="1:18" s="192" customFormat="1" ht="12">
      <c r="A608" s="203">
        <v>116136</v>
      </c>
      <c r="B608" s="196" t="s">
        <v>1268</v>
      </c>
      <c r="C608" s="217">
        <f>IF(ISNUMBER(VLOOKUP($B:$B,BS!$A:$D,$2:$2,0)),VLOOKUP($B:$B,BS!$A:$D,$2:$2,0),0)</f>
        <v>0</v>
      </c>
      <c r="D608" s="217">
        <f>IF(ISNUMBER(VLOOKUP($B:$B,BS!$A:$D,$2:$2,0)),VLOOKUP($B:$B,BS!$A:$D,$2:$2,0),0)</f>
        <v>0</v>
      </c>
      <c r="E608" s="217">
        <f>IF(ISNUMBER(VLOOKUP($B:$B,BS!$A:$D,$2:$2,0)),VLOOKUP($B:$B,BS!$A:$D,$2:$2,0),0)</f>
        <v>0</v>
      </c>
      <c r="F608" s="217">
        <f>IF(ISNUMBER(VLOOKUP($B:$B,BS!$A:$D,$2:$2,0)),VLOOKUP($B:$B,BS!$A:$D,$2:$2,0),0)</f>
        <v>0</v>
      </c>
      <c r="G608" s="217">
        <f>IF(ISNUMBER(VLOOKUP($B:$B,BS!$A:$D,$2:$2,0)),VLOOKUP($B:$B,BS!$A:$D,$2:$2,0),0)</f>
        <v>0</v>
      </c>
      <c r="H608" s="207">
        <f>IF(ISNUMBER(VLOOKUP($B:$B,'BS(과거)'!$A:$F,$2:$2,0)),VLOOKUP($B:$B,'BS(과거)'!$A:$F,$2:$2,0),0)</f>
        <v>0</v>
      </c>
      <c r="I608" s="207">
        <f>IF(ISNUMBER(VLOOKUP($B:$B,'BS(과거)'!$A:$F,$2:$2,0)),VLOOKUP($B:$B,'BS(과거)'!$A:$F,$2:$2,0),0)</f>
        <v>0</v>
      </c>
      <c r="J608" s="207">
        <f>IF(ISNUMBER(VLOOKUP($B:$B,'BS(과거)'!$A:$F,$2:$2,0)),VLOOKUP($B:$B,'BS(과거)'!$A:$F,$2:$2,0),0)</f>
        <v>0</v>
      </c>
      <c r="K608" s="207">
        <f>IF(ISNUMBER(VLOOKUP($B:$B,'BS(과거)'!$A:$F,$2:$2,0)),VLOOKUP($B:$B,'BS(과거)'!$A:$F,$2:$2,0),0)</f>
        <v>0</v>
      </c>
      <c r="L608" s="207">
        <f>IF(ISNUMBER(VLOOKUP($B:$B,'BS(과거)'!$A:$F,$2:$2,0)),VLOOKUP($B:$B,'BS(과거)'!$A:$F,$2:$2,0),0)</f>
        <v>0</v>
      </c>
      <c r="N608" s="207">
        <f>IF(ISNUMBER(VLOOKUP($B:$B,'BS(분기)'!$A:$F,$2:$2,0)),VLOOKUP($B:$B,'BS(분기)'!$A:$F,$2:$2,0),0)</f>
        <v>0</v>
      </c>
      <c r="O608" s="207">
        <f>IF(ISNUMBER(VLOOKUP($B:$B,'BS(분기)'!$A:$F,$2:$2,0)),VLOOKUP($B:$B,'BS(분기)'!$A:$F,$2:$2,0),0)</f>
        <v>0</v>
      </c>
      <c r="P608" s="207">
        <f>IF(ISNUMBER(VLOOKUP($B:$B,'BS(분기)'!$A:$F,$2:$2,0)),VLOOKUP($B:$B,'BS(분기)'!$A:$F,$2:$2,0),0)</f>
        <v>0</v>
      </c>
      <c r="Q608" s="207">
        <f>IF(ISNUMBER(VLOOKUP($B:$B,'BS(분기)'!$A:$F,$2:$2,0)),VLOOKUP($B:$B,'BS(분기)'!$A:$F,$2:$2,0),0)</f>
        <v>0</v>
      </c>
      <c r="R608" s="207">
        <f>IF(ISNUMBER(VLOOKUP($B:$B,'BS(분기)'!$A:$F,$2:$2,0)),VLOOKUP($B:$B,'BS(분기)'!$A:$F,$2:$2,0),0)</f>
        <v>0</v>
      </c>
    </row>
    <row r="609" spans="1:18" s="192" customFormat="1" ht="12">
      <c r="A609" s="203">
        <v>116138</v>
      </c>
      <c r="B609" s="196" t="s">
        <v>1269</v>
      </c>
      <c r="C609" s="217">
        <f>IF(ISNUMBER(VLOOKUP($B:$B,BS!$A:$D,$2:$2,0)),VLOOKUP($B:$B,BS!$A:$D,$2:$2,0),0)</f>
        <v>0</v>
      </c>
      <c r="D609" s="217">
        <f>IF(ISNUMBER(VLOOKUP($B:$B,BS!$A:$D,$2:$2,0)),VLOOKUP($B:$B,BS!$A:$D,$2:$2,0),0)</f>
        <v>0</v>
      </c>
      <c r="E609" s="217">
        <f>IF(ISNUMBER(VLOOKUP($B:$B,BS!$A:$D,$2:$2,0)),VLOOKUP($B:$B,BS!$A:$D,$2:$2,0),0)</f>
        <v>0</v>
      </c>
      <c r="F609" s="217">
        <f>IF(ISNUMBER(VLOOKUP($B:$B,BS!$A:$D,$2:$2,0)),VLOOKUP($B:$B,BS!$A:$D,$2:$2,0),0)</f>
        <v>0</v>
      </c>
      <c r="G609" s="217">
        <f>IF(ISNUMBER(VLOOKUP($B:$B,BS!$A:$D,$2:$2,0)),VLOOKUP($B:$B,BS!$A:$D,$2:$2,0),0)</f>
        <v>0</v>
      </c>
      <c r="H609" s="207">
        <f>IF(ISNUMBER(VLOOKUP($B:$B,'BS(과거)'!$A:$F,$2:$2,0)),VLOOKUP($B:$B,'BS(과거)'!$A:$F,$2:$2,0),0)</f>
        <v>0</v>
      </c>
      <c r="I609" s="207">
        <f>IF(ISNUMBER(VLOOKUP($B:$B,'BS(과거)'!$A:$F,$2:$2,0)),VLOOKUP($B:$B,'BS(과거)'!$A:$F,$2:$2,0),0)</f>
        <v>0</v>
      </c>
      <c r="J609" s="207">
        <f>IF(ISNUMBER(VLOOKUP($B:$B,'BS(과거)'!$A:$F,$2:$2,0)),VLOOKUP($B:$B,'BS(과거)'!$A:$F,$2:$2,0),0)</f>
        <v>0</v>
      </c>
      <c r="K609" s="207">
        <f>IF(ISNUMBER(VLOOKUP($B:$B,'BS(과거)'!$A:$F,$2:$2,0)),VLOOKUP($B:$B,'BS(과거)'!$A:$F,$2:$2,0),0)</f>
        <v>0</v>
      </c>
      <c r="L609" s="207">
        <f>IF(ISNUMBER(VLOOKUP($B:$B,'BS(과거)'!$A:$F,$2:$2,0)),VLOOKUP($B:$B,'BS(과거)'!$A:$F,$2:$2,0),0)</f>
        <v>0</v>
      </c>
      <c r="N609" s="207">
        <f>IF(ISNUMBER(VLOOKUP($B:$B,'BS(분기)'!$A:$F,$2:$2,0)),VLOOKUP($B:$B,'BS(분기)'!$A:$F,$2:$2,0),0)</f>
        <v>0</v>
      </c>
      <c r="O609" s="207">
        <f>IF(ISNUMBER(VLOOKUP($B:$B,'BS(분기)'!$A:$F,$2:$2,0)),VLOOKUP($B:$B,'BS(분기)'!$A:$F,$2:$2,0),0)</f>
        <v>0</v>
      </c>
      <c r="P609" s="207">
        <f>IF(ISNUMBER(VLOOKUP($B:$B,'BS(분기)'!$A:$F,$2:$2,0)),VLOOKUP($B:$B,'BS(분기)'!$A:$F,$2:$2,0),0)</f>
        <v>0</v>
      </c>
      <c r="Q609" s="207">
        <f>IF(ISNUMBER(VLOOKUP($B:$B,'BS(분기)'!$A:$F,$2:$2,0)),VLOOKUP($B:$B,'BS(분기)'!$A:$F,$2:$2,0),0)</f>
        <v>0</v>
      </c>
      <c r="R609" s="207">
        <f>IF(ISNUMBER(VLOOKUP($B:$B,'BS(분기)'!$A:$F,$2:$2,0)),VLOOKUP($B:$B,'BS(분기)'!$A:$F,$2:$2,0),0)</f>
        <v>0</v>
      </c>
    </row>
    <row r="610" spans="1:18" s="192" customFormat="1" ht="12">
      <c r="A610" s="203">
        <v>116139</v>
      </c>
      <c r="B610" s="196" t="s">
        <v>1270</v>
      </c>
      <c r="C610" s="217">
        <f>IF(ISNUMBER(VLOOKUP($B:$B,BS!$A:$D,$2:$2,0)),VLOOKUP($B:$B,BS!$A:$D,$2:$2,0),0)</f>
        <v>0</v>
      </c>
      <c r="D610" s="217">
        <f>IF(ISNUMBER(VLOOKUP($B:$B,BS!$A:$D,$2:$2,0)),VLOOKUP($B:$B,BS!$A:$D,$2:$2,0),0)</f>
        <v>0</v>
      </c>
      <c r="E610" s="217">
        <f>IF(ISNUMBER(VLOOKUP($B:$B,BS!$A:$D,$2:$2,0)),VLOOKUP($B:$B,BS!$A:$D,$2:$2,0),0)</f>
        <v>0</v>
      </c>
      <c r="F610" s="217">
        <f>IF(ISNUMBER(VLOOKUP($B:$B,BS!$A:$D,$2:$2,0)),VLOOKUP($B:$B,BS!$A:$D,$2:$2,0),0)</f>
        <v>0</v>
      </c>
      <c r="G610" s="217">
        <f>IF(ISNUMBER(VLOOKUP($B:$B,BS!$A:$D,$2:$2,0)),VLOOKUP($B:$B,BS!$A:$D,$2:$2,0),0)</f>
        <v>0</v>
      </c>
      <c r="H610" s="207">
        <f>IF(ISNUMBER(VLOOKUP($B:$B,'BS(과거)'!$A:$F,$2:$2,0)),VLOOKUP($B:$B,'BS(과거)'!$A:$F,$2:$2,0),0)</f>
        <v>0</v>
      </c>
      <c r="I610" s="207">
        <f>IF(ISNUMBER(VLOOKUP($B:$B,'BS(과거)'!$A:$F,$2:$2,0)),VLOOKUP($B:$B,'BS(과거)'!$A:$F,$2:$2,0),0)</f>
        <v>0</v>
      </c>
      <c r="J610" s="207">
        <f>IF(ISNUMBER(VLOOKUP($B:$B,'BS(과거)'!$A:$F,$2:$2,0)),VLOOKUP($B:$B,'BS(과거)'!$A:$F,$2:$2,0),0)</f>
        <v>0</v>
      </c>
      <c r="K610" s="207">
        <f>IF(ISNUMBER(VLOOKUP($B:$B,'BS(과거)'!$A:$F,$2:$2,0)),VLOOKUP($B:$B,'BS(과거)'!$A:$F,$2:$2,0),0)</f>
        <v>0</v>
      </c>
      <c r="L610" s="207">
        <f>IF(ISNUMBER(VLOOKUP($B:$B,'BS(과거)'!$A:$F,$2:$2,0)),VLOOKUP($B:$B,'BS(과거)'!$A:$F,$2:$2,0),0)</f>
        <v>0</v>
      </c>
      <c r="N610" s="207">
        <f>IF(ISNUMBER(VLOOKUP($B:$B,'BS(분기)'!$A:$F,$2:$2,0)),VLOOKUP($B:$B,'BS(분기)'!$A:$F,$2:$2,0),0)</f>
        <v>0</v>
      </c>
      <c r="O610" s="207">
        <f>IF(ISNUMBER(VLOOKUP($B:$B,'BS(분기)'!$A:$F,$2:$2,0)),VLOOKUP($B:$B,'BS(분기)'!$A:$F,$2:$2,0),0)</f>
        <v>0</v>
      </c>
      <c r="P610" s="207">
        <f>IF(ISNUMBER(VLOOKUP($B:$B,'BS(분기)'!$A:$F,$2:$2,0)),VLOOKUP($B:$B,'BS(분기)'!$A:$F,$2:$2,0),0)</f>
        <v>0</v>
      </c>
      <c r="Q610" s="207">
        <f>IF(ISNUMBER(VLOOKUP($B:$B,'BS(분기)'!$A:$F,$2:$2,0)),VLOOKUP($B:$B,'BS(분기)'!$A:$F,$2:$2,0),0)</f>
        <v>0</v>
      </c>
      <c r="R610" s="207">
        <f>IF(ISNUMBER(VLOOKUP($B:$B,'BS(분기)'!$A:$F,$2:$2,0)),VLOOKUP($B:$B,'BS(분기)'!$A:$F,$2:$2,0),0)</f>
        <v>0</v>
      </c>
    </row>
    <row r="611" spans="1:18" s="192" customFormat="1" ht="12">
      <c r="A611" s="203">
        <v>116137</v>
      </c>
      <c r="B611" s="196" t="s">
        <v>1271</v>
      </c>
      <c r="C611" s="217">
        <f>IF(ISNUMBER(VLOOKUP($B:$B,BS!$A:$D,$2:$2,0)),VLOOKUP($B:$B,BS!$A:$D,$2:$2,0),0)</f>
        <v>0</v>
      </c>
      <c r="D611" s="217">
        <f>IF(ISNUMBER(VLOOKUP($B:$B,BS!$A:$D,$2:$2,0)),VLOOKUP($B:$B,BS!$A:$D,$2:$2,0),0)</f>
        <v>0</v>
      </c>
      <c r="E611" s="217">
        <f>IF(ISNUMBER(VLOOKUP($B:$B,BS!$A:$D,$2:$2,0)),VLOOKUP($B:$B,BS!$A:$D,$2:$2,0),0)</f>
        <v>0</v>
      </c>
      <c r="F611" s="217">
        <f>IF(ISNUMBER(VLOOKUP($B:$B,BS!$A:$D,$2:$2,0)),VLOOKUP($B:$B,BS!$A:$D,$2:$2,0),0)</f>
        <v>0</v>
      </c>
      <c r="G611" s="217">
        <f>IF(ISNUMBER(VLOOKUP($B:$B,BS!$A:$D,$2:$2,0)),VLOOKUP($B:$B,BS!$A:$D,$2:$2,0),0)</f>
        <v>0</v>
      </c>
      <c r="H611" s="207">
        <f>IF(ISNUMBER(VLOOKUP($B:$B,'BS(과거)'!$A:$F,$2:$2,0)),VLOOKUP($B:$B,'BS(과거)'!$A:$F,$2:$2,0),0)</f>
        <v>0</v>
      </c>
      <c r="I611" s="207">
        <f>IF(ISNUMBER(VLOOKUP($B:$B,'BS(과거)'!$A:$F,$2:$2,0)),VLOOKUP($B:$B,'BS(과거)'!$A:$F,$2:$2,0),0)</f>
        <v>0</v>
      </c>
      <c r="J611" s="207">
        <f>IF(ISNUMBER(VLOOKUP($B:$B,'BS(과거)'!$A:$F,$2:$2,0)),VLOOKUP($B:$B,'BS(과거)'!$A:$F,$2:$2,0),0)</f>
        <v>0</v>
      </c>
      <c r="K611" s="207">
        <f>IF(ISNUMBER(VLOOKUP($B:$B,'BS(과거)'!$A:$F,$2:$2,0)),VLOOKUP($B:$B,'BS(과거)'!$A:$F,$2:$2,0),0)</f>
        <v>0</v>
      </c>
      <c r="L611" s="207">
        <f>IF(ISNUMBER(VLOOKUP($B:$B,'BS(과거)'!$A:$F,$2:$2,0)),VLOOKUP($B:$B,'BS(과거)'!$A:$F,$2:$2,0),0)</f>
        <v>0</v>
      </c>
      <c r="N611" s="207">
        <f>IF(ISNUMBER(VLOOKUP($B:$B,'BS(분기)'!$A:$F,$2:$2,0)),VLOOKUP($B:$B,'BS(분기)'!$A:$F,$2:$2,0),0)</f>
        <v>0</v>
      </c>
      <c r="O611" s="207">
        <f>IF(ISNUMBER(VLOOKUP($B:$B,'BS(분기)'!$A:$F,$2:$2,0)),VLOOKUP($B:$B,'BS(분기)'!$A:$F,$2:$2,0),0)</f>
        <v>0</v>
      </c>
      <c r="P611" s="207">
        <f>IF(ISNUMBER(VLOOKUP($B:$B,'BS(분기)'!$A:$F,$2:$2,0)),VLOOKUP($B:$B,'BS(분기)'!$A:$F,$2:$2,0),0)</f>
        <v>0</v>
      </c>
      <c r="Q611" s="207">
        <f>IF(ISNUMBER(VLOOKUP($B:$B,'BS(분기)'!$A:$F,$2:$2,0)),VLOOKUP($B:$B,'BS(분기)'!$A:$F,$2:$2,0),0)</f>
        <v>0</v>
      </c>
      <c r="R611" s="207">
        <f>IF(ISNUMBER(VLOOKUP($B:$B,'BS(분기)'!$A:$F,$2:$2,0)),VLOOKUP($B:$B,'BS(분기)'!$A:$F,$2:$2,0),0)</f>
        <v>0</v>
      </c>
    </row>
    <row r="612" spans="1:18" s="192" customFormat="1" ht="12">
      <c r="A612" s="203">
        <v>116105</v>
      </c>
      <c r="B612" s="196" t="s">
        <v>1272</v>
      </c>
      <c r="C612" s="217">
        <f>IF(ISNUMBER(VLOOKUP($B:$B,BS!$A:$D,$2:$2,0)),VLOOKUP($B:$B,BS!$A:$D,$2:$2,0),0)</f>
        <v>0</v>
      </c>
      <c r="D612" s="217">
        <f>IF(ISNUMBER(VLOOKUP($B:$B,BS!$A:$D,$2:$2,0)),VLOOKUP($B:$B,BS!$A:$D,$2:$2,0),0)</f>
        <v>0</v>
      </c>
      <c r="E612" s="217">
        <f>IF(ISNUMBER(VLOOKUP($B:$B,BS!$A:$D,$2:$2,0)),VLOOKUP($B:$B,BS!$A:$D,$2:$2,0),0)</f>
        <v>0</v>
      </c>
      <c r="F612" s="217">
        <f>IF(ISNUMBER(VLOOKUP($B:$B,BS!$A:$D,$2:$2,0)),VLOOKUP($B:$B,BS!$A:$D,$2:$2,0),0)</f>
        <v>0</v>
      </c>
      <c r="G612" s="217">
        <f>IF(ISNUMBER(VLOOKUP($B:$B,BS!$A:$D,$2:$2,0)),VLOOKUP($B:$B,BS!$A:$D,$2:$2,0),0)</f>
        <v>0</v>
      </c>
      <c r="H612" s="207">
        <f>IF(ISNUMBER(VLOOKUP($B:$B,'BS(과거)'!$A:$F,$2:$2,0)),VLOOKUP($B:$B,'BS(과거)'!$A:$F,$2:$2,0),0)</f>
        <v>0</v>
      </c>
      <c r="I612" s="207">
        <f>IF(ISNUMBER(VLOOKUP($B:$B,'BS(과거)'!$A:$F,$2:$2,0)),VLOOKUP($B:$B,'BS(과거)'!$A:$F,$2:$2,0),0)</f>
        <v>0</v>
      </c>
      <c r="J612" s="207">
        <f>IF(ISNUMBER(VLOOKUP($B:$B,'BS(과거)'!$A:$F,$2:$2,0)),VLOOKUP($B:$B,'BS(과거)'!$A:$F,$2:$2,0),0)</f>
        <v>0</v>
      </c>
      <c r="K612" s="207">
        <f>IF(ISNUMBER(VLOOKUP($B:$B,'BS(과거)'!$A:$F,$2:$2,0)),VLOOKUP($B:$B,'BS(과거)'!$A:$F,$2:$2,0),0)</f>
        <v>0</v>
      </c>
      <c r="L612" s="207">
        <f>IF(ISNUMBER(VLOOKUP($B:$B,'BS(과거)'!$A:$F,$2:$2,0)),VLOOKUP($B:$B,'BS(과거)'!$A:$F,$2:$2,0),0)</f>
        <v>0</v>
      </c>
      <c r="N612" s="207">
        <f>IF(ISNUMBER(VLOOKUP($B:$B,'BS(분기)'!$A:$F,$2:$2,0)),VLOOKUP($B:$B,'BS(분기)'!$A:$F,$2:$2,0),0)</f>
        <v>0</v>
      </c>
      <c r="O612" s="207">
        <f>IF(ISNUMBER(VLOOKUP($B:$B,'BS(분기)'!$A:$F,$2:$2,0)),VLOOKUP($B:$B,'BS(분기)'!$A:$F,$2:$2,0),0)</f>
        <v>0</v>
      </c>
      <c r="P612" s="207">
        <f>IF(ISNUMBER(VLOOKUP($B:$B,'BS(분기)'!$A:$F,$2:$2,0)),VLOOKUP($B:$B,'BS(분기)'!$A:$F,$2:$2,0),0)</f>
        <v>0</v>
      </c>
      <c r="Q612" s="207">
        <f>IF(ISNUMBER(VLOOKUP($B:$B,'BS(분기)'!$A:$F,$2:$2,0)),VLOOKUP($B:$B,'BS(분기)'!$A:$F,$2:$2,0),0)</f>
        <v>0</v>
      </c>
      <c r="R612" s="207">
        <f>IF(ISNUMBER(VLOOKUP($B:$B,'BS(분기)'!$A:$F,$2:$2,0)),VLOOKUP($B:$B,'BS(분기)'!$A:$F,$2:$2,0),0)</f>
        <v>0</v>
      </c>
    </row>
    <row r="613" spans="1:18" s="192" customFormat="1" ht="12">
      <c r="A613" s="203">
        <v>116146</v>
      </c>
      <c r="B613" s="196" t="s">
        <v>1273</v>
      </c>
      <c r="C613" s="217">
        <f>IF(ISNUMBER(VLOOKUP($B:$B,BS!$A:$D,$2:$2,0)),VLOOKUP($B:$B,BS!$A:$D,$2:$2,0),0)</f>
        <v>0</v>
      </c>
      <c r="D613" s="217">
        <f>IF(ISNUMBER(VLOOKUP($B:$B,BS!$A:$D,$2:$2,0)),VLOOKUP($B:$B,BS!$A:$D,$2:$2,0),0)</f>
        <v>0</v>
      </c>
      <c r="E613" s="217">
        <f>IF(ISNUMBER(VLOOKUP($B:$B,BS!$A:$D,$2:$2,0)),VLOOKUP($B:$B,BS!$A:$D,$2:$2,0),0)</f>
        <v>0</v>
      </c>
      <c r="F613" s="217">
        <f>IF(ISNUMBER(VLOOKUP($B:$B,BS!$A:$D,$2:$2,0)),VLOOKUP($B:$B,BS!$A:$D,$2:$2,0),0)</f>
        <v>0</v>
      </c>
      <c r="G613" s="217">
        <f>IF(ISNUMBER(VLOOKUP($B:$B,BS!$A:$D,$2:$2,0)),VLOOKUP($B:$B,BS!$A:$D,$2:$2,0),0)</f>
        <v>0</v>
      </c>
      <c r="H613" s="207">
        <f>IF(ISNUMBER(VLOOKUP($B:$B,'BS(과거)'!$A:$F,$2:$2,0)),VLOOKUP($B:$B,'BS(과거)'!$A:$F,$2:$2,0),0)</f>
        <v>0</v>
      </c>
      <c r="I613" s="207">
        <f>IF(ISNUMBER(VLOOKUP($B:$B,'BS(과거)'!$A:$F,$2:$2,0)),VLOOKUP($B:$B,'BS(과거)'!$A:$F,$2:$2,0),0)</f>
        <v>0</v>
      </c>
      <c r="J613" s="207">
        <f>IF(ISNUMBER(VLOOKUP($B:$B,'BS(과거)'!$A:$F,$2:$2,0)),VLOOKUP($B:$B,'BS(과거)'!$A:$F,$2:$2,0),0)</f>
        <v>0</v>
      </c>
      <c r="K613" s="207">
        <f>IF(ISNUMBER(VLOOKUP($B:$B,'BS(과거)'!$A:$F,$2:$2,0)),VLOOKUP($B:$B,'BS(과거)'!$A:$F,$2:$2,0),0)</f>
        <v>0</v>
      </c>
      <c r="L613" s="207">
        <f>IF(ISNUMBER(VLOOKUP($B:$B,'BS(과거)'!$A:$F,$2:$2,0)),VLOOKUP($B:$B,'BS(과거)'!$A:$F,$2:$2,0),0)</f>
        <v>0</v>
      </c>
      <c r="N613" s="207">
        <f>IF(ISNUMBER(VLOOKUP($B:$B,'BS(분기)'!$A:$F,$2:$2,0)),VLOOKUP($B:$B,'BS(분기)'!$A:$F,$2:$2,0),0)</f>
        <v>0</v>
      </c>
      <c r="O613" s="207">
        <f>IF(ISNUMBER(VLOOKUP($B:$B,'BS(분기)'!$A:$F,$2:$2,0)),VLOOKUP($B:$B,'BS(분기)'!$A:$F,$2:$2,0),0)</f>
        <v>0</v>
      </c>
      <c r="P613" s="207">
        <f>IF(ISNUMBER(VLOOKUP($B:$B,'BS(분기)'!$A:$F,$2:$2,0)),VLOOKUP($B:$B,'BS(분기)'!$A:$F,$2:$2,0),0)</f>
        <v>0</v>
      </c>
      <c r="Q613" s="207">
        <f>IF(ISNUMBER(VLOOKUP($B:$B,'BS(분기)'!$A:$F,$2:$2,0)),VLOOKUP($B:$B,'BS(분기)'!$A:$F,$2:$2,0),0)</f>
        <v>0</v>
      </c>
      <c r="R613" s="207">
        <f>IF(ISNUMBER(VLOOKUP($B:$B,'BS(분기)'!$A:$F,$2:$2,0)),VLOOKUP($B:$B,'BS(분기)'!$A:$F,$2:$2,0),0)</f>
        <v>0</v>
      </c>
    </row>
    <row r="614" spans="1:18" s="192" customFormat="1" ht="12">
      <c r="A614" s="203">
        <v>116148</v>
      </c>
      <c r="B614" s="196" t="s">
        <v>1274</v>
      </c>
      <c r="C614" s="217">
        <f>IF(ISNUMBER(VLOOKUP($B:$B,BS!$A:$D,$2:$2,0)),VLOOKUP($B:$B,BS!$A:$D,$2:$2,0),0)</f>
        <v>0</v>
      </c>
      <c r="D614" s="217">
        <f>IF(ISNUMBER(VLOOKUP($B:$B,BS!$A:$D,$2:$2,0)),VLOOKUP($B:$B,BS!$A:$D,$2:$2,0),0)</f>
        <v>0</v>
      </c>
      <c r="E614" s="217">
        <f>IF(ISNUMBER(VLOOKUP($B:$B,BS!$A:$D,$2:$2,0)),VLOOKUP($B:$B,BS!$A:$D,$2:$2,0),0)</f>
        <v>0</v>
      </c>
      <c r="F614" s="217">
        <f>IF(ISNUMBER(VLOOKUP($B:$B,BS!$A:$D,$2:$2,0)),VLOOKUP($B:$B,BS!$A:$D,$2:$2,0),0)</f>
        <v>0</v>
      </c>
      <c r="G614" s="217">
        <f>IF(ISNUMBER(VLOOKUP($B:$B,BS!$A:$D,$2:$2,0)),VLOOKUP($B:$B,BS!$A:$D,$2:$2,0),0)</f>
        <v>0</v>
      </c>
      <c r="H614" s="207">
        <f>IF(ISNUMBER(VLOOKUP($B:$B,'BS(과거)'!$A:$F,$2:$2,0)),VLOOKUP($B:$B,'BS(과거)'!$A:$F,$2:$2,0),0)</f>
        <v>0</v>
      </c>
      <c r="I614" s="207">
        <f>IF(ISNUMBER(VLOOKUP($B:$B,'BS(과거)'!$A:$F,$2:$2,0)),VLOOKUP($B:$B,'BS(과거)'!$A:$F,$2:$2,0),0)</f>
        <v>0</v>
      </c>
      <c r="J614" s="207">
        <f>IF(ISNUMBER(VLOOKUP($B:$B,'BS(과거)'!$A:$F,$2:$2,0)),VLOOKUP($B:$B,'BS(과거)'!$A:$F,$2:$2,0),0)</f>
        <v>0</v>
      </c>
      <c r="K614" s="207">
        <f>IF(ISNUMBER(VLOOKUP($B:$B,'BS(과거)'!$A:$F,$2:$2,0)),VLOOKUP($B:$B,'BS(과거)'!$A:$F,$2:$2,0),0)</f>
        <v>0</v>
      </c>
      <c r="L614" s="207">
        <f>IF(ISNUMBER(VLOOKUP($B:$B,'BS(과거)'!$A:$F,$2:$2,0)),VLOOKUP($B:$B,'BS(과거)'!$A:$F,$2:$2,0),0)</f>
        <v>0</v>
      </c>
      <c r="N614" s="207">
        <f>IF(ISNUMBER(VLOOKUP($B:$B,'BS(분기)'!$A:$F,$2:$2,0)),VLOOKUP($B:$B,'BS(분기)'!$A:$F,$2:$2,0),0)</f>
        <v>0</v>
      </c>
      <c r="O614" s="207">
        <f>IF(ISNUMBER(VLOOKUP($B:$B,'BS(분기)'!$A:$F,$2:$2,0)),VLOOKUP($B:$B,'BS(분기)'!$A:$F,$2:$2,0),0)</f>
        <v>0</v>
      </c>
      <c r="P614" s="207">
        <f>IF(ISNUMBER(VLOOKUP($B:$B,'BS(분기)'!$A:$F,$2:$2,0)),VLOOKUP($B:$B,'BS(분기)'!$A:$F,$2:$2,0),0)</f>
        <v>0</v>
      </c>
      <c r="Q614" s="207">
        <f>IF(ISNUMBER(VLOOKUP($B:$B,'BS(분기)'!$A:$F,$2:$2,0)),VLOOKUP($B:$B,'BS(분기)'!$A:$F,$2:$2,0),0)</f>
        <v>0</v>
      </c>
      <c r="R614" s="207">
        <f>IF(ISNUMBER(VLOOKUP($B:$B,'BS(분기)'!$A:$F,$2:$2,0)),VLOOKUP($B:$B,'BS(분기)'!$A:$F,$2:$2,0),0)</f>
        <v>0</v>
      </c>
    </row>
    <row r="615" spans="1:18" s="192" customFormat="1" ht="12">
      <c r="A615" s="203">
        <v>116147</v>
      </c>
      <c r="B615" s="196" t="s">
        <v>1275</v>
      </c>
      <c r="C615" s="217">
        <f>IF(ISNUMBER(VLOOKUP($B:$B,BS!$A:$D,$2:$2,0)),VLOOKUP($B:$B,BS!$A:$D,$2:$2,0),0)</f>
        <v>0</v>
      </c>
      <c r="D615" s="217">
        <f>IF(ISNUMBER(VLOOKUP($B:$B,BS!$A:$D,$2:$2,0)),VLOOKUP($B:$B,BS!$A:$D,$2:$2,0),0)</f>
        <v>0</v>
      </c>
      <c r="E615" s="217">
        <f>IF(ISNUMBER(VLOOKUP($B:$B,BS!$A:$D,$2:$2,0)),VLOOKUP($B:$B,BS!$A:$D,$2:$2,0),0)</f>
        <v>0</v>
      </c>
      <c r="F615" s="217">
        <f>IF(ISNUMBER(VLOOKUP($B:$B,BS!$A:$D,$2:$2,0)),VLOOKUP($B:$B,BS!$A:$D,$2:$2,0),0)</f>
        <v>0</v>
      </c>
      <c r="G615" s="217">
        <f>IF(ISNUMBER(VLOOKUP($B:$B,BS!$A:$D,$2:$2,0)),VLOOKUP($B:$B,BS!$A:$D,$2:$2,0),0)</f>
        <v>0</v>
      </c>
      <c r="H615" s="207">
        <f>IF(ISNUMBER(VLOOKUP($B:$B,'BS(과거)'!$A:$F,$2:$2,0)),VLOOKUP($B:$B,'BS(과거)'!$A:$F,$2:$2,0),0)</f>
        <v>0</v>
      </c>
      <c r="I615" s="207">
        <f>IF(ISNUMBER(VLOOKUP($B:$B,'BS(과거)'!$A:$F,$2:$2,0)),VLOOKUP($B:$B,'BS(과거)'!$A:$F,$2:$2,0),0)</f>
        <v>0</v>
      </c>
      <c r="J615" s="207">
        <f>IF(ISNUMBER(VLOOKUP($B:$B,'BS(과거)'!$A:$F,$2:$2,0)),VLOOKUP($B:$B,'BS(과거)'!$A:$F,$2:$2,0),0)</f>
        <v>0</v>
      </c>
      <c r="K615" s="207">
        <f>IF(ISNUMBER(VLOOKUP($B:$B,'BS(과거)'!$A:$F,$2:$2,0)),VLOOKUP($B:$B,'BS(과거)'!$A:$F,$2:$2,0),0)</f>
        <v>0</v>
      </c>
      <c r="L615" s="207">
        <f>IF(ISNUMBER(VLOOKUP($B:$B,'BS(과거)'!$A:$F,$2:$2,0)),VLOOKUP($B:$B,'BS(과거)'!$A:$F,$2:$2,0),0)</f>
        <v>0</v>
      </c>
      <c r="N615" s="207">
        <f>IF(ISNUMBER(VLOOKUP($B:$B,'BS(분기)'!$A:$F,$2:$2,0)),VLOOKUP($B:$B,'BS(분기)'!$A:$F,$2:$2,0),0)</f>
        <v>0</v>
      </c>
      <c r="O615" s="207">
        <f>IF(ISNUMBER(VLOOKUP($B:$B,'BS(분기)'!$A:$F,$2:$2,0)),VLOOKUP($B:$B,'BS(분기)'!$A:$F,$2:$2,0),0)</f>
        <v>0</v>
      </c>
      <c r="P615" s="207">
        <f>IF(ISNUMBER(VLOOKUP($B:$B,'BS(분기)'!$A:$F,$2:$2,0)),VLOOKUP($B:$B,'BS(분기)'!$A:$F,$2:$2,0),0)</f>
        <v>0</v>
      </c>
      <c r="Q615" s="207">
        <f>IF(ISNUMBER(VLOOKUP($B:$B,'BS(분기)'!$A:$F,$2:$2,0)),VLOOKUP($B:$B,'BS(분기)'!$A:$F,$2:$2,0),0)</f>
        <v>0</v>
      </c>
      <c r="R615" s="207">
        <f>IF(ISNUMBER(VLOOKUP($B:$B,'BS(분기)'!$A:$F,$2:$2,0)),VLOOKUP($B:$B,'BS(분기)'!$A:$F,$2:$2,0),0)</f>
        <v>0</v>
      </c>
    </row>
    <row r="616" spans="1:18" s="192" customFormat="1" ht="12">
      <c r="A616" s="203">
        <v>116149</v>
      </c>
      <c r="B616" s="196" t="s">
        <v>1276</v>
      </c>
      <c r="C616" s="217">
        <f>IF(ISNUMBER(VLOOKUP($B:$B,BS!$A:$D,$2:$2,0)),VLOOKUP($B:$B,BS!$A:$D,$2:$2,0),0)</f>
        <v>0</v>
      </c>
      <c r="D616" s="217">
        <f>IF(ISNUMBER(VLOOKUP($B:$B,BS!$A:$D,$2:$2,0)),VLOOKUP($B:$B,BS!$A:$D,$2:$2,0),0)</f>
        <v>0</v>
      </c>
      <c r="E616" s="217">
        <f>IF(ISNUMBER(VLOOKUP($B:$B,BS!$A:$D,$2:$2,0)),VLOOKUP($B:$B,BS!$A:$D,$2:$2,0),0)</f>
        <v>0</v>
      </c>
      <c r="F616" s="217">
        <f>IF(ISNUMBER(VLOOKUP($B:$B,BS!$A:$D,$2:$2,0)),VLOOKUP($B:$B,BS!$A:$D,$2:$2,0),0)</f>
        <v>0</v>
      </c>
      <c r="G616" s="217">
        <f>IF(ISNUMBER(VLOOKUP($B:$B,BS!$A:$D,$2:$2,0)),VLOOKUP($B:$B,BS!$A:$D,$2:$2,0),0)</f>
        <v>0</v>
      </c>
      <c r="H616" s="207">
        <f>IF(ISNUMBER(VLOOKUP($B:$B,'BS(과거)'!$A:$F,$2:$2,0)),VLOOKUP($B:$B,'BS(과거)'!$A:$F,$2:$2,0),0)</f>
        <v>0</v>
      </c>
      <c r="I616" s="207">
        <f>IF(ISNUMBER(VLOOKUP($B:$B,'BS(과거)'!$A:$F,$2:$2,0)),VLOOKUP($B:$B,'BS(과거)'!$A:$F,$2:$2,0),0)</f>
        <v>0</v>
      </c>
      <c r="J616" s="207">
        <f>IF(ISNUMBER(VLOOKUP($B:$B,'BS(과거)'!$A:$F,$2:$2,0)),VLOOKUP($B:$B,'BS(과거)'!$A:$F,$2:$2,0),0)</f>
        <v>0</v>
      </c>
      <c r="K616" s="207">
        <f>IF(ISNUMBER(VLOOKUP($B:$B,'BS(과거)'!$A:$F,$2:$2,0)),VLOOKUP($B:$B,'BS(과거)'!$A:$F,$2:$2,0),0)</f>
        <v>0</v>
      </c>
      <c r="L616" s="207">
        <f>IF(ISNUMBER(VLOOKUP($B:$B,'BS(과거)'!$A:$F,$2:$2,0)),VLOOKUP($B:$B,'BS(과거)'!$A:$F,$2:$2,0),0)</f>
        <v>0</v>
      </c>
      <c r="N616" s="207">
        <f>IF(ISNUMBER(VLOOKUP($B:$B,'BS(분기)'!$A:$F,$2:$2,0)),VLOOKUP($B:$B,'BS(분기)'!$A:$F,$2:$2,0),0)</f>
        <v>0</v>
      </c>
      <c r="O616" s="207">
        <f>IF(ISNUMBER(VLOOKUP($B:$B,'BS(분기)'!$A:$F,$2:$2,0)),VLOOKUP($B:$B,'BS(분기)'!$A:$F,$2:$2,0),0)</f>
        <v>0</v>
      </c>
      <c r="P616" s="207">
        <f>IF(ISNUMBER(VLOOKUP($B:$B,'BS(분기)'!$A:$F,$2:$2,0)),VLOOKUP($B:$B,'BS(분기)'!$A:$F,$2:$2,0),0)</f>
        <v>0</v>
      </c>
      <c r="Q616" s="207">
        <f>IF(ISNUMBER(VLOOKUP($B:$B,'BS(분기)'!$A:$F,$2:$2,0)),VLOOKUP($B:$B,'BS(분기)'!$A:$F,$2:$2,0),0)</f>
        <v>0</v>
      </c>
      <c r="R616" s="207">
        <f>IF(ISNUMBER(VLOOKUP($B:$B,'BS(분기)'!$A:$F,$2:$2,0)),VLOOKUP($B:$B,'BS(분기)'!$A:$F,$2:$2,0),0)</f>
        <v>0</v>
      </c>
    </row>
    <row r="617" spans="1:18" s="192" customFormat="1" ht="12">
      <c r="A617" s="202">
        <v>116200</v>
      </c>
      <c r="B617" s="195" t="s">
        <v>1277</v>
      </c>
      <c r="C617" s="217">
        <f>IF(ISNUMBER(VLOOKUP($B:$B,BS!$A:$D,$2:$2,0)),VLOOKUP($B:$B,BS!$A:$D,$2:$2,0),0)</f>
        <v>0</v>
      </c>
      <c r="D617" s="217">
        <f>IF(ISNUMBER(VLOOKUP($B:$B,BS!$A:$D,$2:$2,0)),VLOOKUP($B:$B,BS!$A:$D,$2:$2,0),0)</f>
        <v>0</v>
      </c>
      <c r="E617" s="217">
        <f>IF(ISNUMBER(VLOOKUP($B:$B,BS!$A:$D,$2:$2,0)),VLOOKUP($B:$B,BS!$A:$D,$2:$2,0),0)</f>
        <v>0</v>
      </c>
      <c r="F617" s="217">
        <f>IF(ISNUMBER(VLOOKUP($B:$B,BS!$A:$D,$2:$2,0)),VLOOKUP($B:$B,BS!$A:$D,$2:$2,0),0)</f>
        <v>0</v>
      </c>
      <c r="G617" s="217">
        <f>IF(ISNUMBER(VLOOKUP($B:$B,BS!$A:$D,$2:$2,0)),VLOOKUP($B:$B,BS!$A:$D,$2:$2,0),0)</f>
        <v>0</v>
      </c>
      <c r="H617" s="207">
        <f>IF(ISNUMBER(VLOOKUP($B:$B,'BS(과거)'!$A:$F,$2:$2,0)),VLOOKUP($B:$B,'BS(과거)'!$A:$F,$2:$2,0),0)</f>
        <v>0</v>
      </c>
      <c r="I617" s="207">
        <f>IF(ISNUMBER(VLOOKUP($B:$B,'BS(과거)'!$A:$F,$2:$2,0)),VLOOKUP($B:$B,'BS(과거)'!$A:$F,$2:$2,0),0)</f>
        <v>0</v>
      </c>
      <c r="J617" s="207">
        <f>IF(ISNUMBER(VLOOKUP($B:$B,'BS(과거)'!$A:$F,$2:$2,0)),VLOOKUP($B:$B,'BS(과거)'!$A:$F,$2:$2,0),0)</f>
        <v>0</v>
      </c>
      <c r="K617" s="207">
        <f>IF(ISNUMBER(VLOOKUP($B:$B,'BS(과거)'!$A:$F,$2:$2,0)),VLOOKUP($B:$B,'BS(과거)'!$A:$F,$2:$2,0),0)</f>
        <v>0</v>
      </c>
      <c r="L617" s="207">
        <f>IF(ISNUMBER(VLOOKUP($B:$B,'BS(과거)'!$A:$F,$2:$2,0)),VLOOKUP($B:$B,'BS(과거)'!$A:$F,$2:$2,0),0)</f>
        <v>0</v>
      </c>
      <c r="N617" s="207">
        <f>IF(ISNUMBER(VLOOKUP($B:$B,'BS(분기)'!$A:$F,$2:$2,0)),VLOOKUP($B:$B,'BS(분기)'!$A:$F,$2:$2,0),0)</f>
        <v>0</v>
      </c>
      <c r="O617" s="207">
        <f>IF(ISNUMBER(VLOOKUP($B:$B,'BS(분기)'!$A:$F,$2:$2,0)),VLOOKUP($B:$B,'BS(분기)'!$A:$F,$2:$2,0),0)</f>
        <v>0</v>
      </c>
      <c r="P617" s="207">
        <f>IF(ISNUMBER(VLOOKUP($B:$B,'BS(분기)'!$A:$F,$2:$2,0)),VLOOKUP($B:$B,'BS(분기)'!$A:$F,$2:$2,0),0)</f>
        <v>0</v>
      </c>
      <c r="Q617" s="207">
        <f>IF(ISNUMBER(VLOOKUP($B:$B,'BS(분기)'!$A:$F,$2:$2,0)),VLOOKUP($B:$B,'BS(분기)'!$A:$F,$2:$2,0),0)</f>
        <v>0</v>
      </c>
      <c r="R617" s="207">
        <f>IF(ISNUMBER(VLOOKUP($B:$B,'BS(분기)'!$A:$F,$2:$2,0)),VLOOKUP($B:$B,'BS(분기)'!$A:$F,$2:$2,0),0)</f>
        <v>0</v>
      </c>
    </row>
    <row r="618" spans="1:18" s="192" customFormat="1" ht="12">
      <c r="A618" s="202">
        <v>116258</v>
      </c>
      <c r="B618" s="195" t="s">
        <v>1278</v>
      </c>
      <c r="C618" s="217">
        <f>IF(ISNUMBER(VLOOKUP($B:$B,BS!$A:$D,$2:$2,0)),VLOOKUP($B:$B,BS!$A:$D,$2:$2,0),0)</f>
        <v>0</v>
      </c>
      <c r="D618" s="217">
        <f>IF(ISNUMBER(VLOOKUP($B:$B,BS!$A:$D,$2:$2,0)),VLOOKUP($B:$B,BS!$A:$D,$2:$2,0),0)</f>
        <v>0</v>
      </c>
      <c r="E618" s="217">
        <f>IF(ISNUMBER(VLOOKUP($B:$B,BS!$A:$D,$2:$2,0)),VLOOKUP($B:$B,BS!$A:$D,$2:$2,0),0)</f>
        <v>0</v>
      </c>
      <c r="F618" s="217">
        <f>IF(ISNUMBER(VLOOKUP($B:$B,BS!$A:$D,$2:$2,0)),VLOOKUP($B:$B,BS!$A:$D,$2:$2,0),0)</f>
        <v>0</v>
      </c>
      <c r="G618" s="217">
        <f>IF(ISNUMBER(VLOOKUP($B:$B,BS!$A:$D,$2:$2,0)),VLOOKUP($B:$B,BS!$A:$D,$2:$2,0),0)</f>
        <v>0</v>
      </c>
      <c r="H618" s="207">
        <f>IF(ISNUMBER(VLOOKUP($B:$B,'BS(과거)'!$A:$F,$2:$2,0)),VLOOKUP($B:$B,'BS(과거)'!$A:$F,$2:$2,0),0)</f>
        <v>0</v>
      </c>
      <c r="I618" s="207">
        <f>IF(ISNUMBER(VLOOKUP($B:$B,'BS(과거)'!$A:$F,$2:$2,0)),VLOOKUP($B:$B,'BS(과거)'!$A:$F,$2:$2,0),0)</f>
        <v>0</v>
      </c>
      <c r="J618" s="207">
        <f>IF(ISNUMBER(VLOOKUP($B:$B,'BS(과거)'!$A:$F,$2:$2,0)),VLOOKUP($B:$B,'BS(과거)'!$A:$F,$2:$2,0),0)</f>
        <v>0</v>
      </c>
      <c r="K618" s="207">
        <f>IF(ISNUMBER(VLOOKUP($B:$B,'BS(과거)'!$A:$F,$2:$2,0)),VLOOKUP($B:$B,'BS(과거)'!$A:$F,$2:$2,0),0)</f>
        <v>0</v>
      </c>
      <c r="L618" s="207">
        <f>IF(ISNUMBER(VLOOKUP($B:$B,'BS(과거)'!$A:$F,$2:$2,0)),VLOOKUP($B:$B,'BS(과거)'!$A:$F,$2:$2,0),0)</f>
        <v>0</v>
      </c>
      <c r="N618" s="207">
        <f>IF(ISNUMBER(VLOOKUP($B:$B,'BS(분기)'!$A:$F,$2:$2,0)),VLOOKUP($B:$B,'BS(분기)'!$A:$F,$2:$2,0),0)</f>
        <v>0</v>
      </c>
      <c r="O618" s="207">
        <f>IF(ISNUMBER(VLOOKUP($B:$B,'BS(분기)'!$A:$F,$2:$2,0)),VLOOKUP($B:$B,'BS(분기)'!$A:$F,$2:$2,0),0)</f>
        <v>0</v>
      </c>
      <c r="P618" s="207">
        <f>IF(ISNUMBER(VLOOKUP($B:$B,'BS(분기)'!$A:$F,$2:$2,0)),VLOOKUP($B:$B,'BS(분기)'!$A:$F,$2:$2,0),0)</f>
        <v>0</v>
      </c>
      <c r="Q618" s="207">
        <f>IF(ISNUMBER(VLOOKUP($B:$B,'BS(분기)'!$A:$F,$2:$2,0)),VLOOKUP($B:$B,'BS(분기)'!$A:$F,$2:$2,0),0)</f>
        <v>0</v>
      </c>
      <c r="R618" s="207">
        <f>IF(ISNUMBER(VLOOKUP($B:$B,'BS(분기)'!$A:$F,$2:$2,0)),VLOOKUP($B:$B,'BS(분기)'!$A:$F,$2:$2,0),0)</f>
        <v>0</v>
      </c>
    </row>
    <row r="619" spans="1:18" s="192" customFormat="1" ht="12">
      <c r="A619" s="202">
        <v>116259</v>
      </c>
      <c r="B619" s="195" t="s">
        <v>1279</v>
      </c>
      <c r="C619" s="217">
        <f>IF(ISNUMBER(VLOOKUP($B:$B,BS!$A:$D,$2:$2,0)),VLOOKUP($B:$B,BS!$A:$D,$2:$2,0),0)</f>
        <v>0</v>
      </c>
      <c r="D619" s="217">
        <f>IF(ISNUMBER(VLOOKUP($B:$B,BS!$A:$D,$2:$2,0)),VLOOKUP($B:$B,BS!$A:$D,$2:$2,0),0)</f>
        <v>0</v>
      </c>
      <c r="E619" s="217">
        <f>IF(ISNUMBER(VLOOKUP($B:$B,BS!$A:$D,$2:$2,0)),VLOOKUP($B:$B,BS!$A:$D,$2:$2,0),0)</f>
        <v>0</v>
      </c>
      <c r="F619" s="217">
        <f>IF(ISNUMBER(VLOOKUP($B:$B,BS!$A:$D,$2:$2,0)),VLOOKUP($B:$B,BS!$A:$D,$2:$2,0),0)</f>
        <v>0</v>
      </c>
      <c r="G619" s="217">
        <f>IF(ISNUMBER(VLOOKUP($B:$B,BS!$A:$D,$2:$2,0)),VLOOKUP($B:$B,BS!$A:$D,$2:$2,0),0)</f>
        <v>0</v>
      </c>
      <c r="H619" s="207">
        <f>IF(ISNUMBER(VLOOKUP($B:$B,'BS(과거)'!$A:$F,$2:$2,0)),VLOOKUP($B:$B,'BS(과거)'!$A:$F,$2:$2,0),0)</f>
        <v>0</v>
      </c>
      <c r="I619" s="207">
        <f>IF(ISNUMBER(VLOOKUP($B:$B,'BS(과거)'!$A:$F,$2:$2,0)),VLOOKUP($B:$B,'BS(과거)'!$A:$F,$2:$2,0),0)</f>
        <v>0</v>
      </c>
      <c r="J619" s="207">
        <f>IF(ISNUMBER(VLOOKUP($B:$B,'BS(과거)'!$A:$F,$2:$2,0)),VLOOKUP($B:$B,'BS(과거)'!$A:$F,$2:$2,0),0)</f>
        <v>0</v>
      </c>
      <c r="K619" s="207">
        <f>IF(ISNUMBER(VLOOKUP($B:$B,'BS(과거)'!$A:$F,$2:$2,0)),VLOOKUP($B:$B,'BS(과거)'!$A:$F,$2:$2,0),0)</f>
        <v>0</v>
      </c>
      <c r="L619" s="207">
        <f>IF(ISNUMBER(VLOOKUP($B:$B,'BS(과거)'!$A:$F,$2:$2,0)),VLOOKUP($B:$B,'BS(과거)'!$A:$F,$2:$2,0),0)</f>
        <v>0</v>
      </c>
      <c r="N619" s="207">
        <f>IF(ISNUMBER(VLOOKUP($B:$B,'BS(분기)'!$A:$F,$2:$2,0)),VLOOKUP($B:$B,'BS(분기)'!$A:$F,$2:$2,0),0)</f>
        <v>0</v>
      </c>
      <c r="O619" s="207">
        <f>IF(ISNUMBER(VLOOKUP($B:$B,'BS(분기)'!$A:$F,$2:$2,0)),VLOOKUP($B:$B,'BS(분기)'!$A:$F,$2:$2,0),0)</f>
        <v>0</v>
      </c>
      <c r="P619" s="207">
        <f>IF(ISNUMBER(VLOOKUP($B:$B,'BS(분기)'!$A:$F,$2:$2,0)),VLOOKUP($B:$B,'BS(분기)'!$A:$F,$2:$2,0),0)</f>
        <v>0</v>
      </c>
      <c r="Q619" s="207">
        <f>IF(ISNUMBER(VLOOKUP($B:$B,'BS(분기)'!$A:$F,$2:$2,0)),VLOOKUP($B:$B,'BS(분기)'!$A:$F,$2:$2,0),0)</f>
        <v>0</v>
      </c>
      <c r="R619" s="207">
        <f>IF(ISNUMBER(VLOOKUP($B:$B,'BS(분기)'!$A:$F,$2:$2,0)),VLOOKUP($B:$B,'BS(분기)'!$A:$F,$2:$2,0),0)</f>
        <v>0</v>
      </c>
    </row>
    <row r="620" spans="1:18" s="192" customFormat="1" ht="12">
      <c r="A620" s="203">
        <v>116210</v>
      </c>
      <c r="B620" s="196" t="s">
        <v>381</v>
      </c>
      <c r="C620" s="217">
        <f>IF(ISNUMBER(VLOOKUP($B:$B,BS!$A:$D,$2:$2,0)),VLOOKUP($B:$B,BS!$A:$D,$2:$2,0),0)</f>
        <v>0</v>
      </c>
      <c r="D620" s="217">
        <f>IF(ISNUMBER(VLOOKUP($B:$B,BS!$A:$D,$2:$2,0)),VLOOKUP($B:$B,BS!$A:$D,$2:$2,0),0)</f>
        <v>0</v>
      </c>
      <c r="E620" s="217">
        <f>IF(ISNUMBER(VLOOKUP($B:$B,BS!$A:$D,$2:$2,0)),VLOOKUP($B:$B,BS!$A:$D,$2:$2,0),0)</f>
        <v>0</v>
      </c>
      <c r="F620" s="217">
        <f>IF(ISNUMBER(VLOOKUP($B:$B,BS!$A:$D,$2:$2,0)),VLOOKUP($B:$B,BS!$A:$D,$2:$2,0),0)</f>
        <v>0</v>
      </c>
      <c r="G620" s="217">
        <f>IF(ISNUMBER(VLOOKUP($B:$B,BS!$A:$D,$2:$2,0)),VLOOKUP($B:$B,BS!$A:$D,$2:$2,0),0)</f>
        <v>0</v>
      </c>
      <c r="H620" s="207">
        <f>IF(ISNUMBER(VLOOKUP($B:$B,'BS(과거)'!$A:$F,$2:$2,0)),VLOOKUP($B:$B,'BS(과거)'!$A:$F,$2:$2,0),0)</f>
        <v>0</v>
      </c>
      <c r="I620" s="207">
        <f>IF(ISNUMBER(VLOOKUP($B:$B,'BS(과거)'!$A:$F,$2:$2,0)),VLOOKUP($B:$B,'BS(과거)'!$A:$F,$2:$2,0),0)</f>
        <v>0</v>
      </c>
      <c r="J620" s="207">
        <f>IF(ISNUMBER(VLOOKUP($B:$B,'BS(과거)'!$A:$F,$2:$2,0)),VLOOKUP($B:$B,'BS(과거)'!$A:$F,$2:$2,0),0)</f>
        <v>0</v>
      </c>
      <c r="K620" s="207">
        <f>IF(ISNUMBER(VLOOKUP($B:$B,'BS(과거)'!$A:$F,$2:$2,0)),VLOOKUP($B:$B,'BS(과거)'!$A:$F,$2:$2,0),0)</f>
        <v>0</v>
      </c>
      <c r="L620" s="207">
        <f>IF(ISNUMBER(VLOOKUP($B:$B,'BS(과거)'!$A:$F,$2:$2,0)),VLOOKUP($B:$B,'BS(과거)'!$A:$F,$2:$2,0),0)</f>
        <v>0</v>
      </c>
      <c r="N620" s="207">
        <f>IF(ISNUMBER(VLOOKUP($B:$B,'BS(분기)'!$A:$F,$2:$2,0)),VLOOKUP($B:$B,'BS(분기)'!$A:$F,$2:$2,0),0)</f>
        <v>0</v>
      </c>
      <c r="O620" s="207">
        <f>IF(ISNUMBER(VLOOKUP($B:$B,'BS(분기)'!$A:$F,$2:$2,0)),VLOOKUP($B:$B,'BS(분기)'!$A:$F,$2:$2,0),0)</f>
        <v>0</v>
      </c>
      <c r="P620" s="207">
        <f>IF(ISNUMBER(VLOOKUP($B:$B,'BS(분기)'!$A:$F,$2:$2,0)),VLOOKUP($B:$B,'BS(분기)'!$A:$F,$2:$2,0),0)</f>
        <v>0</v>
      </c>
      <c r="Q620" s="207">
        <f>IF(ISNUMBER(VLOOKUP($B:$B,'BS(분기)'!$A:$F,$2:$2,0)),VLOOKUP($B:$B,'BS(분기)'!$A:$F,$2:$2,0),0)</f>
        <v>0</v>
      </c>
      <c r="R620" s="207">
        <f>IF(ISNUMBER(VLOOKUP($B:$B,'BS(분기)'!$A:$F,$2:$2,0)),VLOOKUP($B:$B,'BS(분기)'!$A:$F,$2:$2,0),0)</f>
        <v>0</v>
      </c>
    </row>
    <row r="621" spans="1:18" s="192" customFormat="1" ht="12">
      <c r="A621" s="203">
        <v>116220</v>
      </c>
      <c r="B621" s="196" t="s">
        <v>382</v>
      </c>
      <c r="C621" s="217">
        <f>IF(ISNUMBER(VLOOKUP($B:$B,BS!$A:$D,$2:$2,0)),VLOOKUP($B:$B,BS!$A:$D,$2:$2,0),0)</f>
        <v>0</v>
      </c>
      <c r="D621" s="217">
        <f>IF(ISNUMBER(VLOOKUP($B:$B,BS!$A:$D,$2:$2,0)),VLOOKUP($B:$B,BS!$A:$D,$2:$2,0),0)</f>
        <v>0</v>
      </c>
      <c r="E621" s="217">
        <f>IF(ISNUMBER(VLOOKUP($B:$B,BS!$A:$D,$2:$2,0)),VLOOKUP($B:$B,BS!$A:$D,$2:$2,0),0)</f>
        <v>0</v>
      </c>
      <c r="F621" s="217">
        <f>IF(ISNUMBER(VLOOKUP($B:$B,BS!$A:$D,$2:$2,0)),VLOOKUP($B:$B,BS!$A:$D,$2:$2,0),0)</f>
        <v>0</v>
      </c>
      <c r="G621" s="217">
        <f>IF(ISNUMBER(VLOOKUP($B:$B,BS!$A:$D,$2:$2,0)),VLOOKUP($B:$B,BS!$A:$D,$2:$2,0),0)</f>
        <v>0</v>
      </c>
      <c r="H621" s="207">
        <f>IF(ISNUMBER(VLOOKUP($B:$B,'BS(과거)'!$A:$F,$2:$2,0)),VLOOKUP($B:$B,'BS(과거)'!$A:$F,$2:$2,0),0)</f>
        <v>0</v>
      </c>
      <c r="I621" s="207">
        <f>IF(ISNUMBER(VLOOKUP($B:$B,'BS(과거)'!$A:$F,$2:$2,0)),VLOOKUP($B:$B,'BS(과거)'!$A:$F,$2:$2,0),0)</f>
        <v>0</v>
      </c>
      <c r="J621" s="207">
        <f>IF(ISNUMBER(VLOOKUP($B:$B,'BS(과거)'!$A:$F,$2:$2,0)),VLOOKUP($B:$B,'BS(과거)'!$A:$F,$2:$2,0),0)</f>
        <v>0</v>
      </c>
      <c r="K621" s="207">
        <f>IF(ISNUMBER(VLOOKUP($B:$B,'BS(과거)'!$A:$F,$2:$2,0)),VLOOKUP($B:$B,'BS(과거)'!$A:$F,$2:$2,0),0)</f>
        <v>0</v>
      </c>
      <c r="L621" s="207">
        <f>IF(ISNUMBER(VLOOKUP($B:$B,'BS(과거)'!$A:$F,$2:$2,0)),VLOOKUP($B:$B,'BS(과거)'!$A:$F,$2:$2,0),0)</f>
        <v>0</v>
      </c>
      <c r="N621" s="207">
        <f>IF(ISNUMBER(VLOOKUP($B:$B,'BS(분기)'!$A:$F,$2:$2,0)),VLOOKUP($B:$B,'BS(분기)'!$A:$F,$2:$2,0),0)</f>
        <v>0</v>
      </c>
      <c r="O621" s="207">
        <f>IF(ISNUMBER(VLOOKUP($B:$B,'BS(분기)'!$A:$F,$2:$2,0)),VLOOKUP($B:$B,'BS(분기)'!$A:$F,$2:$2,0),0)</f>
        <v>0</v>
      </c>
      <c r="P621" s="207">
        <f>IF(ISNUMBER(VLOOKUP($B:$B,'BS(분기)'!$A:$F,$2:$2,0)),VLOOKUP($B:$B,'BS(분기)'!$A:$F,$2:$2,0),0)</f>
        <v>0</v>
      </c>
      <c r="Q621" s="207">
        <f>IF(ISNUMBER(VLOOKUP($B:$B,'BS(분기)'!$A:$F,$2:$2,0)),VLOOKUP($B:$B,'BS(분기)'!$A:$F,$2:$2,0),0)</f>
        <v>0</v>
      </c>
      <c r="R621" s="207">
        <f>IF(ISNUMBER(VLOOKUP($B:$B,'BS(분기)'!$A:$F,$2:$2,0)),VLOOKUP($B:$B,'BS(분기)'!$A:$F,$2:$2,0),0)</f>
        <v>0</v>
      </c>
    </row>
    <row r="622" spans="1:18" s="192" customFormat="1" ht="12">
      <c r="A622" s="203">
        <v>116230</v>
      </c>
      <c r="B622" s="196" t="s">
        <v>585</v>
      </c>
      <c r="C622" s="217">
        <f>IF(ISNUMBER(VLOOKUP($B:$B,BS!$A:$D,$2:$2,0)),VLOOKUP($B:$B,BS!$A:$D,$2:$2,0),0)</f>
        <v>0</v>
      </c>
      <c r="D622" s="217">
        <f>IF(ISNUMBER(VLOOKUP($B:$B,BS!$A:$D,$2:$2,0)),VLOOKUP($B:$B,BS!$A:$D,$2:$2,0),0)</f>
        <v>0</v>
      </c>
      <c r="E622" s="217">
        <f>IF(ISNUMBER(VLOOKUP($B:$B,BS!$A:$D,$2:$2,0)),VLOOKUP($B:$B,BS!$A:$D,$2:$2,0),0)</f>
        <v>0</v>
      </c>
      <c r="F622" s="217">
        <f>IF(ISNUMBER(VLOOKUP($B:$B,BS!$A:$D,$2:$2,0)),VLOOKUP($B:$B,BS!$A:$D,$2:$2,0),0)</f>
        <v>0</v>
      </c>
      <c r="G622" s="217">
        <f>IF(ISNUMBER(VLOOKUP($B:$B,BS!$A:$D,$2:$2,0)),VLOOKUP($B:$B,BS!$A:$D,$2:$2,0),0)</f>
        <v>0</v>
      </c>
      <c r="H622" s="207">
        <f>IF(ISNUMBER(VLOOKUP($B:$B,'BS(과거)'!$A:$F,$2:$2,0)),VLOOKUP($B:$B,'BS(과거)'!$A:$F,$2:$2,0),0)</f>
        <v>0</v>
      </c>
      <c r="I622" s="207">
        <f>IF(ISNUMBER(VLOOKUP($B:$B,'BS(과거)'!$A:$F,$2:$2,0)),VLOOKUP($B:$B,'BS(과거)'!$A:$F,$2:$2,0),0)</f>
        <v>0</v>
      </c>
      <c r="J622" s="207">
        <f>IF(ISNUMBER(VLOOKUP($B:$B,'BS(과거)'!$A:$F,$2:$2,0)),VLOOKUP($B:$B,'BS(과거)'!$A:$F,$2:$2,0),0)</f>
        <v>0</v>
      </c>
      <c r="K622" s="207">
        <f>IF(ISNUMBER(VLOOKUP($B:$B,'BS(과거)'!$A:$F,$2:$2,0)),VLOOKUP($B:$B,'BS(과거)'!$A:$F,$2:$2,0),0)</f>
        <v>0</v>
      </c>
      <c r="L622" s="207">
        <f>IF(ISNUMBER(VLOOKUP($B:$B,'BS(과거)'!$A:$F,$2:$2,0)),VLOOKUP($B:$B,'BS(과거)'!$A:$F,$2:$2,0),0)</f>
        <v>0</v>
      </c>
      <c r="N622" s="207">
        <f>IF(ISNUMBER(VLOOKUP($B:$B,'BS(분기)'!$A:$F,$2:$2,0)),VLOOKUP($B:$B,'BS(분기)'!$A:$F,$2:$2,0),0)</f>
        <v>0</v>
      </c>
      <c r="O622" s="207">
        <f>IF(ISNUMBER(VLOOKUP($B:$B,'BS(분기)'!$A:$F,$2:$2,0)),VLOOKUP($B:$B,'BS(분기)'!$A:$F,$2:$2,0),0)</f>
        <v>0</v>
      </c>
      <c r="P622" s="207">
        <f>IF(ISNUMBER(VLOOKUP($B:$B,'BS(분기)'!$A:$F,$2:$2,0)),VLOOKUP($B:$B,'BS(분기)'!$A:$F,$2:$2,0),0)</f>
        <v>0</v>
      </c>
      <c r="Q622" s="207">
        <f>IF(ISNUMBER(VLOOKUP($B:$B,'BS(분기)'!$A:$F,$2:$2,0)),VLOOKUP($B:$B,'BS(분기)'!$A:$F,$2:$2,0),0)</f>
        <v>0</v>
      </c>
      <c r="R622" s="207">
        <f>IF(ISNUMBER(VLOOKUP($B:$B,'BS(분기)'!$A:$F,$2:$2,0)),VLOOKUP($B:$B,'BS(분기)'!$A:$F,$2:$2,0),0)</f>
        <v>0</v>
      </c>
    </row>
    <row r="623" spans="1:18" s="192" customFormat="1" ht="12">
      <c r="A623" s="203">
        <v>116240</v>
      </c>
      <c r="B623" s="196" t="s">
        <v>586</v>
      </c>
      <c r="C623" s="217">
        <f>IF(ISNUMBER(VLOOKUP($B:$B,BS!$A:$D,$2:$2,0)),VLOOKUP($B:$B,BS!$A:$D,$2:$2,0),0)</f>
        <v>0</v>
      </c>
      <c r="D623" s="217">
        <f>IF(ISNUMBER(VLOOKUP($B:$B,BS!$A:$D,$2:$2,0)),VLOOKUP($B:$B,BS!$A:$D,$2:$2,0),0)</f>
        <v>0</v>
      </c>
      <c r="E623" s="217">
        <f>IF(ISNUMBER(VLOOKUP($B:$B,BS!$A:$D,$2:$2,0)),VLOOKUP($B:$B,BS!$A:$D,$2:$2,0),0)</f>
        <v>0</v>
      </c>
      <c r="F623" s="217">
        <f>IF(ISNUMBER(VLOOKUP($B:$B,BS!$A:$D,$2:$2,0)),VLOOKUP($B:$B,BS!$A:$D,$2:$2,0),0)</f>
        <v>0</v>
      </c>
      <c r="G623" s="217">
        <f>IF(ISNUMBER(VLOOKUP($B:$B,BS!$A:$D,$2:$2,0)),VLOOKUP($B:$B,BS!$A:$D,$2:$2,0),0)</f>
        <v>0</v>
      </c>
      <c r="H623" s="207">
        <f>IF(ISNUMBER(VLOOKUP($B:$B,'BS(과거)'!$A:$F,$2:$2,0)),VLOOKUP($B:$B,'BS(과거)'!$A:$F,$2:$2,0),0)</f>
        <v>0</v>
      </c>
      <c r="I623" s="207">
        <f>IF(ISNUMBER(VLOOKUP($B:$B,'BS(과거)'!$A:$F,$2:$2,0)),VLOOKUP($B:$B,'BS(과거)'!$A:$F,$2:$2,0),0)</f>
        <v>0</v>
      </c>
      <c r="J623" s="207">
        <f>IF(ISNUMBER(VLOOKUP($B:$B,'BS(과거)'!$A:$F,$2:$2,0)),VLOOKUP($B:$B,'BS(과거)'!$A:$F,$2:$2,0),0)</f>
        <v>0</v>
      </c>
      <c r="K623" s="207">
        <f>IF(ISNUMBER(VLOOKUP($B:$B,'BS(과거)'!$A:$F,$2:$2,0)),VLOOKUP($B:$B,'BS(과거)'!$A:$F,$2:$2,0),0)</f>
        <v>0</v>
      </c>
      <c r="L623" s="207">
        <f>IF(ISNUMBER(VLOOKUP($B:$B,'BS(과거)'!$A:$F,$2:$2,0)),VLOOKUP($B:$B,'BS(과거)'!$A:$F,$2:$2,0),0)</f>
        <v>0</v>
      </c>
      <c r="N623" s="207">
        <f>IF(ISNUMBER(VLOOKUP($B:$B,'BS(분기)'!$A:$F,$2:$2,0)),VLOOKUP($B:$B,'BS(분기)'!$A:$F,$2:$2,0),0)</f>
        <v>0</v>
      </c>
      <c r="O623" s="207">
        <f>IF(ISNUMBER(VLOOKUP($B:$B,'BS(분기)'!$A:$F,$2:$2,0)),VLOOKUP($B:$B,'BS(분기)'!$A:$F,$2:$2,0),0)</f>
        <v>0</v>
      </c>
      <c r="P623" s="207">
        <f>IF(ISNUMBER(VLOOKUP($B:$B,'BS(분기)'!$A:$F,$2:$2,0)),VLOOKUP($B:$B,'BS(분기)'!$A:$F,$2:$2,0),0)</f>
        <v>0</v>
      </c>
      <c r="Q623" s="207">
        <f>IF(ISNUMBER(VLOOKUP($B:$B,'BS(분기)'!$A:$F,$2:$2,0)),VLOOKUP($B:$B,'BS(분기)'!$A:$F,$2:$2,0),0)</f>
        <v>0</v>
      </c>
      <c r="R623" s="207">
        <f>IF(ISNUMBER(VLOOKUP($B:$B,'BS(분기)'!$A:$F,$2:$2,0)),VLOOKUP($B:$B,'BS(분기)'!$A:$F,$2:$2,0),0)</f>
        <v>0</v>
      </c>
    </row>
    <row r="624" spans="1:18" s="192" customFormat="1" ht="12">
      <c r="A624" s="203">
        <v>116250</v>
      </c>
      <c r="B624" s="196" t="s">
        <v>587</v>
      </c>
      <c r="C624" s="217">
        <f>IF(ISNUMBER(VLOOKUP($B:$B,BS!$A:$D,$2:$2,0)),VLOOKUP($B:$B,BS!$A:$D,$2:$2,0),0)</f>
        <v>0</v>
      </c>
      <c r="D624" s="217">
        <f>IF(ISNUMBER(VLOOKUP($B:$B,BS!$A:$D,$2:$2,0)),VLOOKUP($B:$B,BS!$A:$D,$2:$2,0),0)</f>
        <v>0</v>
      </c>
      <c r="E624" s="217">
        <f>IF(ISNUMBER(VLOOKUP($B:$B,BS!$A:$D,$2:$2,0)),VLOOKUP($B:$B,BS!$A:$D,$2:$2,0),0)</f>
        <v>0</v>
      </c>
      <c r="F624" s="217">
        <f>IF(ISNUMBER(VLOOKUP($B:$B,BS!$A:$D,$2:$2,0)),VLOOKUP($B:$B,BS!$A:$D,$2:$2,0),0)</f>
        <v>0</v>
      </c>
      <c r="G624" s="217">
        <f>IF(ISNUMBER(VLOOKUP($B:$B,BS!$A:$D,$2:$2,0)),VLOOKUP($B:$B,BS!$A:$D,$2:$2,0),0)</f>
        <v>0</v>
      </c>
      <c r="H624" s="207">
        <f>IF(ISNUMBER(VLOOKUP($B:$B,'BS(과거)'!$A:$F,$2:$2,0)),VLOOKUP($B:$B,'BS(과거)'!$A:$F,$2:$2,0),0)</f>
        <v>0</v>
      </c>
      <c r="I624" s="207">
        <f>IF(ISNUMBER(VLOOKUP($B:$B,'BS(과거)'!$A:$F,$2:$2,0)),VLOOKUP($B:$B,'BS(과거)'!$A:$F,$2:$2,0),0)</f>
        <v>0</v>
      </c>
      <c r="J624" s="207">
        <f>IF(ISNUMBER(VLOOKUP($B:$B,'BS(과거)'!$A:$F,$2:$2,0)),VLOOKUP($B:$B,'BS(과거)'!$A:$F,$2:$2,0),0)</f>
        <v>0</v>
      </c>
      <c r="K624" s="207">
        <f>IF(ISNUMBER(VLOOKUP($B:$B,'BS(과거)'!$A:$F,$2:$2,0)),VLOOKUP($B:$B,'BS(과거)'!$A:$F,$2:$2,0),0)</f>
        <v>0</v>
      </c>
      <c r="L624" s="207">
        <f>IF(ISNUMBER(VLOOKUP($B:$B,'BS(과거)'!$A:$F,$2:$2,0)),VLOOKUP($B:$B,'BS(과거)'!$A:$F,$2:$2,0),0)</f>
        <v>0</v>
      </c>
      <c r="N624" s="207">
        <f>IF(ISNUMBER(VLOOKUP($B:$B,'BS(분기)'!$A:$F,$2:$2,0)),VLOOKUP($B:$B,'BS(분기)'!$A:$F,$2:$2,0),0)</f>
        <v>0</v>
      </c>
      <c r="O624" s="207">
        <f>IF(ISNUMBER(VLOOKUP($B:$B,'BS(분기)'!$A:$F,$2:$2,0)),VLOOKUP($B:$B,'BS(분기)'!$A:$F,$2:$2,0),0)</f>
        <v>0</v>
      </c>
      <c r="P624" s="207">
        <f>IF(ISNUMBER(VLOOKUP($B:$B,'BS(분기)'!$A:$F,$2:$2,0)),VLOOKUP($B:$B,'BS(분기)'!$A:$F,$2:$2,0),0)</f>
        <v>0</v>
      </c>
      <c r="Q624" s="207">
        <f>IF(ISNUMBER(VLOOKUP($B:$B,'BS(분기)'!$A:$F,$2:$2,0)),VLOOKUP($B:$B,'BS(분기)'!$A:$F,$2:$2,0),0)</f>
        <v>0</v>
      </c>
      <c r="R624" s="207">
        <f>IF(ISNUMBER(VLOOKUP($B:$B,'BS(분기)'!$A:$F,$2:$2,0)),VLOOKUP($B:$B,'BS(분기)'!$A:$F,$2:$2,0),0)</f>
        <v>0</v>
      </c>
    </row>
    <row r="625" spans="1:18" s="192" customFormat="1" ht="12">
      <c r="A625" s="203">
        <v>116255</v>
      </c>
      <c r="B625" s="196" t="s">
        <v>383</v>
      </c>
      <c r="C625" s="217">
        <f>IF(ISNUMBER(VLOOKUP($B:$B,BS!$A:$D,$2:$2,0)),VLOOKUP($B:$B,BS!$A:$D,$2:$2,0),0)</f>
        <v>0</v>
      </c>
      <c r="D625" s="217">
        <f>IF(ISNUMBER(VLOOKUP($B:$B,BS!$A:$D,$2:$2,0)),VLOOKUP($B:$B,BS!$A:$D,$2:$2,0),0)</f>
        <v>0</v>
      </c>
      <c r="E625" s="217">
        <f>IF(ISNUMBER(VLOOKUP($B:$B,BS!$A:$D,$2:$2,0)),VLOOKUP($B:$B,BS!$A:$D,$2:$2,0),0)</f>
        <v>0</v>
      </c>
      <c r="F625" s="217">
        <f>IF(ISNUMBER(VLOOKUP($B:$B,BS!$A:$D,$2:$2,0)),VLOOKUP($B:$B,BS!$A:$D,$2:$2,0),0)</f>
        <v>0</v>
      </c>
      <c r="G625" s="217">
        <f>IF(ISNUMBER(VLOOKUP($B:$B,BS!$A:$D,$2:$2,0)),VLOOKUP($B:$B,BS!$A:$D,$2:$2,0),0)</f>
        <v>0</v>
      </c>
      <c r="H625" s="207">
        <f>IF(ISNUMBER(VLOOKUP($B:$B,'BS(과거)'!$A:$F,$2:$2,0)),VLOOKUP($B:$B,'BS(과거)'!$A:$F,$2:$2,0),0)</f>
        <v>0</v>
      </c>
      <c r="I625" s="207">
        <f>IF(ISNUMBER(VLOOKUP($B:$B,'BS(과거)'!$A:$F,$2:$2,0)),VLOOKUP($B:$B,'BS(과거)'!$A:$F,$2:$2,0),0)</f>
        <v>0</v>
      </c>
      <c r="J625" s="207">
        <f>IF(ISNUMBER(VLOOKUP($B:$B,'BS(과거)'!$A:$F,$2:$2,0)),VLOOKUP($B:$B,'BS(과거)'!$A:$F,$2:$2,0),0)</f>
        <v>0</v>
      </c>
      <c r="K625" s="207">
        <f>IF(ISNUMBER(VLOOKUP($B:$B,'BS(과거)'!$A:$F,$2:$2,0)),VLOOKUP($B:$B,'BS(과거)'!$A:$F,$2:$2,0),0)</f>
        <v>0</v>
      </c>
      <c r="L625" s="207">
        <f>IF(ISNUMBER(VLOOKUP($B:$B,'BS(과거)'!$A:$F,$2:$2,0)),VLOOKUP($B:$B,'BS(과거)'!$A:$F,$2:$2,0),0)</f>
        <v>0</v>
      </c>
      <c r="N625" s="207">
        <f>IF(ISNUMBER(VLOOKUP($B:$B,'BS(분기)'!$A:$F,$2:$2,0)),VLOOKUP($B:$B,'BS(분기)'!$A:$F,$2:$2,0),0)</f>
        <v>0</v>
      </c>
      <c r="O625" s="207">
        <f>IF(ISNUMBER(VLOOKUP($B:$B,'BS(분기)'!$A:$F,$2:$2,0)),VLOOKUP($B:$B,'BS(분기)'!$A:$F,$2:$2,0),0)</f>
        <v>0</v>
      </c>
      <c r="P625" s="207">
        <f>IF(ISNUMBER(VLOOKUP($B:$B,'BS(분기)'!$A:$F,$2:$2,0)),VLOOKUP($B:$B,'BS(분기)'!$A:$F,$2:$2,0),0)</f>
        <v>0</v>
      </c>
      <c r="Q625" s="207">
        <f>IF(ISNUMBER(VLOOKUP($B:$B,'BS(분기)'!$A:$F,$2:$2,0)),VLOOKUP($B:$B,'BS(분기)'!$A:$F,$2:$2,0),0)</f>
        <v>0</v>
      </c>
      <c r="R625" s="207">
        <f>IF(ISNUMBER(VLOOKUP($B:$B,'BS(분기)'!$A:$F,$2:$2,0)),VLOOKUP($B:$B,'BS(분기)'!$A:$F,$2:$2,0),0)</f>
        <v>0</v>
      </c>
    </row>
    <row r="626" spans="1:18" s="192" customFormat="1" ht="12">
      <c r="A626" s="203">
        <v>116910</v>
      </c>
      <c r="B626" s="196" t="s">
        <v>588</v>
      </c>
      <c r="C626" s="217">
        <f>IF(ISNUMBER(VLOOKUP($B:$B,BS!$A:$D,$2:$2,0)),VLOOKUP($B:$B,BS!$A:$D,$2:$2,0),0)</f>
        <v>0</v>
      </c>
      <c r="D626" s="217">
        <f>IF(ISNUMBER(VLOOKUP($B:$B,BS!$A:$D,$2:$2,0)),VLOOKUP($B:$B,BS!$A:$D,$2:$2,0),0)</f>
        <v>0</v>
      </c>
      <c r="E626" s="217">
        <f>IF(ISNUMBER(VLOOKUP($B:$B,BS!$A:$D,$2:$2,0)),VLOOKUP($B:$B,BS!$A:$D,$2:$2,0),0)</f>
        <v>0</v>
      </c>
      <c r="F626" s="217">
        <f>IF(ISNUMBER(VLOOKUP($B:$B,BS!$A:$D,$2:$2,0)),VLOOKUP($B:$B,BS!$A:$D,$2:$2,0),0)</f>
        <v>0</v>
      </c>
      <c r="G626" s="217">
        <f>IF(ISNUMBER(VLOOKUP($B:$B,BS!$A:$D,$2:$2,0)),VLOOKUP($B:$B,BS!$A:$D,$2:$2,0),0)</f>
        <v>0</v>
      </c>
      <c r="H626" s="207">
        <f>IF(ISNUMBER(VLOOKUP($B:$B,'BS(과거)'!$A:$F,$2:$2,0)),VLOOKUP($B:$B,'BS(과거)'!$A:$F,$2:$2,0),0)</f>
        <v>0</v>
      </c>
      <c r="I626" s="207">
        <f>IF(ISNUMBER(VLOOKUP($B:$B,'BS(과거)'!$A:$F,$2:$2,0)),VLOOKUP($B:$B,'BS(과거)'!$A:$F,$2:$2,0),0)</f>
        <v>0</v>
      </c>
      <c r="J626" s="207">
        <f>IF(ISNUMBER(VLOOKUP($B:$B,'BS(과거)'!$A:$F,$2:$2,0)),VLOOKUP($B:$B,'BS(과거)'!$A:$F,$2:$2,0),0)</f>
        <v>0</v>
      </c>
      <c r="K626" s="207">
        <f>IF(ISNUMBER(VLOOKUP($B:$B,'BS(과거)'!$A:$F,$2:$2,0)),VLOOKUP($B:$B,'BS(과거)'!$A:$F,$2:$2,0),0)</f>
        <v>0</v>
      </c>
      <c r="L626" s="207">
        <f>IF(ISNUMBER(VLOOKUP($B:$B,'BS(과거)'!$A:$F,$2:$2,0)),VLOOKUP($B:$B,'BS(과거)'!$A:$F,$2:$2,0),0)</f>
        <v>0</v>
      </c>
      <c r="N626" s="207">
        <f>IF(ISNUMBER(VLOOKUP($B:$B,'BS(분기)'!$A:$F,$2:$2,0)),VLOOKUP($B:$B,'BS(분기)'!$A:$F,$2:$2,0),0)</f>
        <v>0</v>
      </c>
      <c r="O626" s="207">
        <f>IF(ISNUMBER(VLOOKUP($B:$B,'BS(분기)'!$A:$F,$2:$2,0)),VLOOKUP($B:$B,'BS(분기)'!$A:$F,$2:$2,0),0)</f>
        <v>0</v>
      </c>
      <c r="P626" s="207">
        <f>IF(ISNUMBER(VLOOKUP($B:$B,'BS(분기)'!$A:$F,$2:$2,0)),VLOOKUP($B:$B,'BS(분기)'!$A:$F,$2:$2,0),0)</f>
        <v>0</v>
      </c>
      <c r="Q626" s="207">
        <f>IF(ISNUMBER(VLOOKUP($B:$B,'BS(분기)'!$A:$F,$2:$2,0)),VLOOKUP($B:$B,'BS(분기)'!$A:$F,$2:$2,0),0)</f>
        <v>0</v>
      </c>
      <c r="R626" s="207">
        <f>IF(ISNUMBER(VLOOKUP($B:$B,'BS(분기)'!$A:$F,$2:$2,0)),VLOOKUP($B:$B,'BS(분기)'!$A:$F,$2:$2,0),0)</f>
        <v>0</v>
      </c>
    </row>
    <row r="627" spans="1:18" s="192" customFormat="1" ht="12">
      <c r="A627" s="202">
        <v>116260</v>
      </c>
      <c r="B627" s="195" t="s">
        <v>383</v>
      </c>
      <c r="C627" s="217">
        <f>IF(ISNUMBER(VLOOKUP($B:$B,BS!$A:$D,$2:$2,0)),VLOOKUP($B:$B,BS!$A:$D,$2:$2,0),0)</f>
        <v>0</v>
      </c>
      <c r="D627" s="217">
        <f>IF(ISNUMBER(VLOOKUP($B:$B,BS!$A:$D,$2:$2,0)),VLOOKUP($B:$B,BS!$A:$D,$2:$2,0),0)</f>
        <v>0</v>
      </c>
      <c r="E627" s="217">
        <f>IF(ISNUMBER(VLOOKUP($B:$B,BS!$A:$D,$2:$2,0)),VLOOKUP($B:$B,BS!$A:$D,$2:$2,0),0)</f>
        <v>0</v>
      </c>
      <c r="F627" s="217">
        <f>IF(ISNUMBER(VLOOKUP($B:$B,BS!$A:$D,$2:$2,0)),VLOOKUP($B:$B,BS!$A:$D,$2:$2,0),0)</f>
        <v>0</v>
      </c>
      <c r="G627" s="217">
        <f>IF(ISNUMBER(VLOOKUP($B:$B,BS!$A:$D,$2:$2,0)),VLOOKUP($B:$B,BS!$A:$D,$2:$2,0),0)</f>
        <v>0</v>
      </c>
      <c r="H627" s="207">
        <f>IF(ISNUMBER(VLOOKUP($B:$B,'BS(과거)'!$A:$F,$2:$2,0)),VLOOKUP($B:$B,'BS(과거)'!$A:$F,$2:$2,0),0)</f>
        <v>0</v>
      </c>
      <c r="I627" s="207">
        <f>IF(ISNUMBER(VLOOKUP($B:$B,'BS(과거)'!$A:$F,$2:$2,0)),VLOOKUP($B:$B,'BS(과거)'!$A:$F,$2:$2,0),0)</f>
        <v>0</v>
      </c>
      <c r="J627" s="207">
        <f>IF(ISNUMBER(VLOOKUP($B:$B,'BS(과거)'!$A:$F,$2:$2,0)),VLOOKUP($B:$B,'BS(과거)'!$A:$F,$2:$2,0),0)</f>
        <v>0</v>
      </c>
      <c r="K627" s="207">
        <f>IF(ISNUMBER(VLOOKUP($B:$B,'BS(과거)'!$A:$F,$2:$2,0)),VLOOKUP($B:$B,'BS(과거)'!$A:$F,$2:$2,0),0)</f>
        <v>0</v>
      </c>
      <c r="L627" s="207">
        <f>IF(ISNUMBER(VLOOKUP($B:$B,'BS(과거)'!$A:$F,$2:$2,0)),VLOOKUP($B:$B,'BS(과거)'!$A:$F,$2:$2,0),0)</f>
        <v>0</v>
      </c>
      <c r="N627" s="207">
        <f>IF(ISNUMBER(VLOOKUP($B:$B,'BS(분기)'!$A:$F,$2:$2,0)),VLOOKUP($B:$B,'BS(분기)'!$A:$F,$2:$2,0),0)</f>
        <v>0</v>
      </c>
      <c r="O627" s="207">
        <f>IF(ISNUMBER(VLOOKUP($B:$B,'BS(분기)'!$A:$F,$2:$2,0)),VLOOKUP($B:$B,'BS(분기)'!$A:$F,$2:$2,0),0)</f>
        <v>0</v>
      </c>
      <c r="P627" s="207">
        <f>IF(ISNUMBER(VLOOKUP($B:$B,'BS(분기)'!$A:$F,$2:$2,0)),VLOOKUP($B:$B,'BS(분기)'!$A:$F,$2:$2,0),0)</f>
        <v>0</v>
      </c>
      <c r="Q627" s="207">
        <f>IF(ISNUMBER(VLOOKUP($B:$B,'BS(분기)'!$A:$F,$2:$2,0)),VLOOKUP($B:$B,'BS(분기)'!$A:$F,$2:$2,0),0)</f>
        <v>0</v>
      </c>
      <c r="R627" s="207">
        <f>IF(ISNUMBER(VLOOKUP($B:$B,'BS(분기)'!$A:$F,$2:$2,0)),VLOOKUP($B:$B,'BS(분기)'!$A:$F,$2:$2,0),0)</f>
        <v>0</v>
      </c>
    </row>
    <row r="628" spans="1:18" s="192" customFormat="1" ht="12">
      <c r="A628" s="202">
        <v>116270</v>
      </c>
      <c r="B628" s="195" t="s">
        <v>1280</v>
      </c>
      <c r="C628" s="217">
        <f>IF(ISNUMBER(VLOOKUP($B:$B,BS!$A:$D,$2:$2,0)),VLOOKUP($B:$B,BS!$A:$D,$2:$2,0),0)</f>
        <v>0</v>
      </c>
      <c r="D628" s="217">
        <f>IF(ISNUMBER(VLOOKUP($B:$B,BS!$A:$D,$2:$2,0)),VLOOKUP($B:$B,BS!$A:$D,$2:$2,0),0)</f>
        <v>0</v>
      </c>
      <c r="E628" s="217">
        <f>IF(ISNUMBER(VLOOKUP($B:$B,BS!$A:$D,$2:$2,0)),VLOOKUP($B:$B,BS!$A:$D,$2:$2,0),0)</f>
        <v>0</v>
      </c>
      <c r="F628" s="217">
        <f>IF(ISNUMBER(VLOOKUP($B:$B,BS!$A:$D,$2:$2,0)),VLOOKUP($B:$B,BS!$A:$D,$2:$2,0),0)</f>
        <v>0</v>
      </c>
      <c r="G628" s="217">
        <f>IF(ISNUMBER(VLOOKUP($B:$B,BS!$A:$D,$2:$2,0)),VLOOKUP($B:$B,BS!$A:$D,$2:$2,0),0)</f>
        <v>0</v>
      </c>
      <c r="H628" s="207">
        <f>IF(ISNUMBER(VLOOKUP($B:$B,'BS(과거)'!$A:$F,$2:$2,0)),VLOOKUP($B:$B,'BS(과거)'!$A:$F,$2:$2,0),0)</f>
        <v>0</v>
      </c>
      <c r="I628" s="207">
        <f>IF(ISNUMBER(VLOOKUP($B:$B,'BS(과거)'!$A:$F,$2:$2,0)),VLOOKUP($B:$B,'BS(과거)'!$A:$F,$2:$2,0),0)</f>
        <v>0</v>
      </c>
      <c r="J628" s="207">
        <f>IF(ISNUMBER(VLOOKUP($B:$B,'BS(과거)'!$A:$F,$2:$2,0)),VLOOKUP($B:$B,'BS(과거)'!$A:$F,$2:$2,0),0)</f>
        <v>0</v>
      </c>
      <c r="K628" s="207">
        <f>IF(ISNUMBER(VLOOKUP($B:$B,'BS(과거)'!$A:$F,$2:$2,0)),VLOOKUP($B:$B,'BS(과거)'!$A:$F,$2:$2,0),0)</f>
        <v>0</v>
      </c>
      <c r="L628" s="207">
        <f>IF(ISNUMBER(VLOOKUP($B:$B,'BS(과거)'!$A:$F,$2:$2,0)),VLOOKUP($B:$B,'BS(과거)'!$A:$F,$2:$2,0),0)</f>
        <v>0</v>
      </c>
      <c r="N628" s="207">
        <f>IF(ISNUMBER(VLOOKUP($B:$B,'BS(분기)'!$A:$F,$2:$2,0)),VLOOKUP($B:$B,'BS(분기)'!$A:$F,$2:$2,0),0)</f>
        <v>0</v>
      </c>
      <c r="O628" s="207">
        <f>IF(ISNUMBER(VLOOKUP($B:$B,'BS(분기)'!$A:$F,$2:$2,0)),VLOOKUP($B:$B,'BS(분기)'!$A:$F,$2:$2,0),0)</f>
        <v>0</v>
      </c>
      <c r="P628" s="207">
        <f>IF(ISNUMBER(VLOOKUP($B:$B,'BS(분기)'!$A:$F,$2:$2,0)),VLOOKUP($B:$B,'BS(분기)'!$A:$F,$2:$2,0),0)</f>
        <v>0</v>
      </c>
      <c r="Q628" s="207">
        <f>IF(ISNUMBER(VLOOKUP($B:$B,'BS(분기)'!$A:$F,$2:$2,0)),VLOOKUP($B:$B,'BS(분기)'!$A:$F,$2:$2,0),0)</f>
        <v>0</v>
      </c>
      <c r="R628" s="207">
        <f>IF(ISNUMBER(VLOOKUP($B:$B,'BS(분기)'!$A:$F,$2:$2,0)),VLOOKUP($B:$B,'BS(분기)'!$A:$F,$2:$2,0),0)</f>
        <v>0</v>
      </c>
    </row>
    <row r="629" spans="1:18" s="192" customFormat="1" ht="12">
      <c r="A629" s="202">
        <v>116278</v>
      </c>
      <c r="B629" s="195" t="s">
        <v>1281</v>
      </c>
      <c r="C629" s="217">
        <f>IF(ISNUMBER(VLOOKUP($B:$B,BS!$A:$D,$2:$2,0)),VLOOKUP($B:$B,BS!$A:$D,$2:$2,0),0)</f>
        <v>0</v>
      </c>
      <c r="D629" s="217">
        <f>IF(ISNUMBER(VLOOKUP($B:$B,BS!$A:$D,$2:$2,0)),VLOOKUP($B:$B,BS!$A:$D,$2:$2,0),0)</f>
        <v>0</v>
      </c>
      <c r="E629" s="217">
        <f>IF(ISNUMBER(VLOOKUP($B:$B,BS!$A:$D,$2:$2,0)),VLOOKUP($B:$B,BS!$A:$D,$2:$2,0),0)</f>
        <v>0</v>
      </c>
      <c r="F629" s="217">
        <f>IF(ISNUMBER(VLOOKUP($B:$B,BS!$A:$D,$2:$2,0)),VLOOKUP($B:$B,BS!$A:$D,$2:$2,0),0)</f>
        <v>0</v>
      </c>
      <c r="G629" s="217">
        <f>IF(ISNUMBER(VLOOKUP($B:$B,BS!$A:$D,$2:$2,0)),VLOOKUP($B:$B,BS!$A:$D,$2:$2,0),0)</f>
        <v>0</v>
      </c>
      <c r="H629" s="207">
        <f>IF(ISNUMBER(VLOOKUP($B:$B,'BS(과거)'!$A:$F,$2:$2,0)),VLOOKUP($B:$B,'BS(과거)'!$A:$F,$2:$2,0),0)</f>
        <v>0</v>
      </c>
      <c r="I629" s="207">
        <f>IF(ISNUMBER(VLOOKUP($B:$B,'BS(과거)'!$A:$F,$2:$2,0)),VLOOKUP($B:$B,'BS(과거)'!$A:$F,$2:$2,0),0)</f>
        <v>0</v>
      </c>
      <c r="J629" s="207">
        <f>IF(ISNUMBER(VLOOKUP($B:$B,'BS(과거)'!$A:$F,$2:$2,0)),VLOOKUP($B:$B,'BS(과거)'!$A:$F,$2:$2,0),0)</f>
        <v>0</v>
      </c>
      <c r="K629" s="207">
        <f>IF(ISNUMBER(VLOOKUP($B:$B,'BS(과거)'!$A:$F,$2:$2,0)),VLOOKUP($B:$B,'BS(과거)'!$A:$F,$2:$2,0),0)</f>
        <v>0</v>
      </c>
      <c r="L629" s="207">
        <f>IF(ISNUMBER(VLOOKUP($B:$B,'BS(과거)'!$A:$F,$2:$2,0)),VLOOKUP($B:$B,'BS(과거)'!$A:$F,$2:$2,0),0)</f>
        <v>0</v>
      </c>
      <c r="N629" s="207">
        <f>IF(ISNUMBER(VLOOKUP($B:$B,'BS(분기)'!$A:$F,$2:$2,0)),VLOOKUP($B:$B,'BS(분기)'!$A:$F,$2:$2,0),0)</f>
        <v>0</v>
      </c>
      <c r="O629" s="207">
        <f>IF(ISNUMBER(VLOOKUP($B:$B,'BS(분기)'!$A:$F,$2:$2,0)),VLOOKUP($B:$B,'BS(분기)'!$A:$F,$2:$2,0),0)</f>
        <v>0</v>
      </c>
      <c r="P629" s="207">
        <f>IF(ISNUMBER(VLOOKUP($B:$B,'BS(분기)'!$A:$F,$2:$2,0)),VLOOKUP($B:$B,'BS(분기)'!$A:$F,$2:$2,0),0)</f>
        <v>0</v>
      </c>
      <c r="Q629" s="207">
        <f>IF(ISNUMBER(VLOOKUP($B:$B,'BS(분기)'!$A:$F,$2:$2,0)),VLOOKUP($B:$B,'BS(분기)'!$A:$F,$2:$2,0),0)</f>
        <v>0</v>
      </c>
      <c r="R629" s="207">
        <f>IF(ISNUMBER(VLOOKUP($B:$B,'BS(분기)'!$A:$F,$2:$2,0)),VLOOKUP($B:$B,'BS(분기)'!$A:$F,$2:$2,0),0)</f>
        <v>0</v>
      </c>
    </row>
    <row r="630" spans="1:18" s="192" customFormat="1" ht="12">
      <c r="A630" s="202">
        <v>116279</v>
      </c>
      <c r="B630" s="195" t="s">
        <v>1282</v>
      </c>
      <c r="C630" s="217">
        <f>IF(ISNUMBER(VLOOKUP($B:$B,BS!$A:$D,$2:$2,0)),VLOOKUP($B:$B,BS!$A:$D,$2:$2,0),0)</f>
        <v>0</v>
      </c>
      <c r="D630" s="217">
        <f>IF(ISNUMBER(VLOOKUP($B:$B,BS!$A:$D,$2:$2,0)),VLOOKUP($B:$B,BS!$A:$D,$2:$2,0),0)</f>
        <v>0</v>
      </c>
      <c r="E630" s="217">
        <f>IF(ISNUMBER(VLOOKUP($B:$B,BS!$A:$D,$2:$2,0)),VLOOKUP($B:$B,BS!$A:$D,$2:$2,0),0)</f>
        <v>0</v>
      </c>
      <c r="F630" s="217">
        <f>IF(ISNUMBER(VLOOKUP($B:$B,BS!$A:$D,$2:$2,0)),VLOOKUP($B:$B,BS!$A:$D,$2:$2,0),0)</f>
        <v>0</v>
      </c>
      <c r="G630" s="217">
        <f>IF(ISNUMBER(VLOOKUP($B:$B,BS!$A:$D,$2:$2,0)),VLOOKUP($B:$B,BS!$A:$D,$2:$2,0),0)</f>
        <v>0</v>
      </c>
      <c r="H630" s="207">
        <f>IF(ISNUMBER(VLOOKUP($B:$B,'BS(과거)'!$A:$F,$2:$2,0)),VLOOKUP($B:$B,'BS(과거)'!$A:$F,$2:$2,0),0)</f>
        <v>0</v>
      </c>
      <c r="I630" s="207">
        <f>IF(ISNUMBER(VLOOKUP($B:$B,'BS(과거)'!$A:$F,$2:$2,0)),VLOOKUP($B:$B,'BS(과거)'!$A:$F,$2:$2,0),0)</f>
        <v>0</v>
      </c>
      <c r="J630" s="207">
        <f>IF(ISNUMBER(VLOOKUP($B:$B,'BS(과거)'!$A:$F,$2:$2,0)),VLOOKUP($B:$B,'BS(과거)'!$A:$F,$2:$2,0),0)</f>
        <v>0</v>
      </c>
      <c r="K630" s="207">
        <f>IF(ISNUMBER(VLOOKUP($B:$B,'BS(과거)'!$A:$F,$2:$2,0)),VLOOKUP($B:$B,'BS(과거)'!$A:$F,$2:$2,0),0)</f>
        <v>0</v>
      </c>
      <c r="L630" s="207">
        <f>IF(ISNUMBER(VLOOKUP($B:$B,'BS(과거)'!$A:$F,$2:$2,0)),VLOOKUP($B:$B,'BS(과거)'!$A:$F,$2:$2,0),0)</f>
        <v>0</v>
      </c>
      <c r="N630" s="207">
        <f>IF(ISNUMBER(VLOOKUP($B:$B,'BS(분기)'!$A:$F,$2:$2,0)),VLOOKUP($B:$B,'BS(분기)'!$A:$F,$2:$2,0),0)</f>
        <v>0</v>
      </c>
      <c r="O630" s="207">
        <f>IF(ISNUMBER(VLOOKUP($B:$B,'BS(분기)'!$A:$F,$2:$2,0)),VLOOKUP($B:$B,'BS(분기)'!$A:$F,$2:$2,0),0)</f>
        <v>0</v>
      </c>
      <c r="P630" s="207">
        <f>IF(ISNUMBER(VLOOKUP($B:$B,'BS(분기)'!$A:$F,$2:$2,0)),VLOOKUP($B:$B,'BS(분기)'!$A:$F,$2:$2,0),0)</f>
        <v>0</v>
      </c>
      <c r="Q630" s="207">
        <f>IF(ISNUMBER(VLOOKUP($B:$B,'BS(분기)'!$A:$F,$2:$2,0)),VLOOKUP($B:$B,'BS(분기)'!$A:$F,$2:$2,0),0)</f>
        <v>0</v>
      </c>
      <c r="R630" s="207">
        <f>IF(ISNUMBER(VLOOKUP($B:$B,'BS(분기)'!$A:$F,$2:$2,0)),VLOOKUP($B:$B,'BS(분기)'!$A:$F,$2:$2,0),0)</f>
        <v>0</v>
      </c>
    </row>
    <row r="631" spans="1:18" s="192" customFormat="1" ht="12">
      <c r="A631" s="202">
        <v>116280</v>
      </c>
      <c r="B631" s="195" t="s">
        <v>1283</v>
      </c>
      <c r="C631" s="217">
        <f>IF(ISNUMBER(VLOOKUP($B:$B,BS!$A:$D,$2:$2,0)),VLOOKUP($B:$B,BS!$A:$D,$2:$2,0),0)</f>
        <v>0</v>
      </c>
      <c r="D631" s="217">
        <f>IF(ISNUMBER(VLOOKUP($B:$B,BS!$A:$D,$2:$2,0)),VLOOKUP($B:$B,BS!$A:$D,$2:$2,0),0)</f>
        <v>0</v>
      </c>
      <c r="E631" s="217">
        <f>IF(ISNUMBER(VLOOKUP($B:$B,BS!$A:$D,$2:$2,0)),VLOOKUP($B:$B,BS!$A:$D,$2:$2,0),0)</f>
        <v>0</v>
      </c>
      <c r="F631" s="217">
        <f>IF(ISNUMBER(VLOOKUP($B:$B,BS!$A:$D,$2:$2,0)),VLOOKUP($B:$B,BS!$A:$D,$2:$2,0),0)</f>
        <v>0</v>
      </c>
      <c r="G631" s="217">
        <f>IF(ISNUMBER(VLOOKUP($B:$B,BS!$A:$D,$2:$2,0)),VLOOKUP($B:$B,BS!$A:$D,$2:$2,0),0)</f>
        <v>0</v>
      </c>
      <c r="H631" s="207">
        <f>IF(ISNUMBER(VLOOKUP($B:$B,'BS(과거)'!$A:$F,$2:$2,0)),VLOOKUP($B:$B,'BS(과거)'!$A:$F,$2:$2,0),0)</f>
        <v>0</v>
      </c>
      <c r="I631" s="207">
        <f>IF(ISNUMBER(VLOOKUP($B:$B,'BS(과거)'!$A:$F,$2:$2,0)),VLOOKUP($B:$B,'BS(과거)'!$A:$F,$2:$2,0),0)</f>
        <v>0</v>
      </c>
      <c r="J631" s="207">
        <f>IF(ISNUMBER(VLOOKUP($B:$B,'BS(과거)'!$A:$F,$2:$2,0)),VLOOKUP($B:$B,'BS(과거)'!$A:$F,$2:$2,0),0)</f>
        <v>0</v>
      </c>
      <c r="K631" s="207">
        <f>IF(ISNUMBER(VLOOKUP($B:$B,'BS(과거)'!$A:$F,$2:$2,0)),VLOOKUP($B:$B,'BS(과거)'!$A:$F,$2:$2,0),0)</f>
        <v>0</v>
      </c>
      <c r="L631" s="207">
        <f>IF(ISNUMBER(VLOOKUP($B:$B,'BS(과거)'!$A:$F,$2:$2,0)),VLOOKUP($B:$B,'BS(과거)'!$A:$F,$2:$2,0),0)</f>
        <v>0</v>
      </c>
      <c r="N631" s="207">
        <f>IF(ISNUMBER(VLOOKUP($B:$B,'BS(분기)'!$A:$F,$2:$2,0)),VLOOKUP($B:$B,'BS(분기)'!$A:$F,$2:$2,0),0)</f>
        <v>0</v>
      </c>
      <c r="O631" s="207">
        <f>IF(ISNUMBER(VLOOKUP($B:$B,'BS(분기)'!$A:$F,$2:$2,0)),VLOOKUP($B:$B,'BS(분기)'!$A:$F,$2:$2,0),0)</f>
        <v>0</v>
      </c>
      <c r="P631" s="207">
        <f>IF(ISNUMBER(VLOOKUP($B:$B,'BS(분기)'!$A:$F,$2:$2,0)),VLOOKUP($B:$B,'BS(분기)'!$A:$F,$2:$2,0),0)</f>
        <v>0</v>
      </c>
      <c r="Q631" s="207">
        <f>IF(ISNUMBER(VLOOKUP($B:$B,'BS(분기)'!$A:$F,$2:$2,0)),VLOOKUP($B:$B,'BS(분기)'!$A:$F,$2:$2,0),0)</f>
        <v>0</v>
      </c>
      <c r="R631" s="207">
        <f>IF(ISNUMBER(VLOOKUP($B:$B,'BS(분기)'!$A:$F,$2:$2,0)),VLOOKUP($B:$B,'BS(분기)'!$A:$F,$2:$2,0),0)</f>
        <v>0</v>
      </c>
    </row>
    <row r="632" spans="1:18" s="192" customFormat="1" ht="12">
      <c r="A632" s="202">
        <v>116285</v>
      </c>
      <c r="B632" s="195" t="s">
        <v>1284</v>
      </c>
      <c r="C632" s="217">
        <f>IF(ISNUMBER(VLOOKUP($B:$B,BS!$A:$D,$2:$2,0)),VLOOKUP($B:$B,BS!$A:$D,$2:$2,0),0)</f>
        <v>0</v>
      </c>
      <c r="D632" s="217">
        <f>IF(ISNUMBER(VLOOKUP($B:$B,BS!$A:$D,$2:$2,0)),VLOOKUP($B:$B,BS!$A:$D,$2:$2,0),0)</f>
        <v>0</v>
      </c>
      <c r="E632" s="217">
        <f>IF(ISNUMBER(VLOOKUP($B:$B,BS!$A:$D,$2:$2,0)),VLOOKUP($B:$B,BS!$A:$D,$2:$2,0),0)</f>
        <v>0</v>
      </c>
      <c r="F632" s="217">
        <f>IF(ISNUMBER(VLOOKUP($B:$B,BS!$A:$D,$2:$2,0)),VLOOKUP($B:$B,BS!$A:$D,$2:$2,0),0)</f>
        <v>0</v>
      </c>
      <c r="G632" s="217">
        <f>IF(ISNUMBER(VLOOKUP($B:$B,BS!$A:$D,$2:$2,0)),VLOOKUP($B:$B,BS!$A:$D,$2:$2,0),0)</f>
        <v>0</v>
      </c>
      <c r="H632" s="207">
        <f>IF(ISNUMBER(VLOOKUP($B:$B,'BS(과거)'!$A:$F,$2:$2,0)),VLOOKUP($B:$B,'BS(과거)'!$A:$F,$2:$2,0),0)</f>
        <v>0</v>
      </c>
      <c r="I632" s="207">
        <f>IF(ISNUMBER(VLOOKUP($B:$B,'BS(과거)'!$A:$F,$2:$2,0)),VLOOKUP($B:$B,'BS(과거)'!$A:$F,$2:$2,0),0)</f>
        <v>0</v>
      </c>
      <c r="J632" s="207">
        <f>IF(ISNUMBER(VLOOKUP($B:$B,'BS(과거)'!$A:$F,$2:$2,0)),VLOOKUP($B:$B,'BS(과거)'!$A:$F,$2:$2,0),0)</f>
        <v>0</v>
      </c>
      <c r="K632" s="207">
        <f>IF(ISNUMBER(VLOOKUP($B:$B,'BS(과거)'!$A:$F,$2:$2,0)),VLOOKUP($B:$B,'BS(과거)'!$A:$F,$2:$2,0),0)</f>
        <v>0</v>
      </c>
      <c r="L632" s="207">
        <f>IF(ISNUMBER(VLOOKUP($B:$B,'BS(과거)'!$A:$F,$2:$2,0)),VLOOKUP($B:$B,'BS(과거)'!$A:$F,$2:$2,0),0)</f>
        <v>0</v>
      </c>
      <c r="N632" s="207">
        <f>IF(ISNUMBER(VLOOKUP($B:$B,'BS(분기)'!$A:$F,$2:$2,0)),VLOOKUP($B:$B,'BS(분기)'!$A:$F,$2:$2,0),0)</f>
        <v>0</v>
      </c>
      <c r="O632" s="207">
        <f>IF(ISNUMBER(VLOOKUP($B:$B,'BS(분기)'!$A:$F,$2:$2,0)),VLOOKUP($B:$B,'BS(분기)'!$A:$F,$2:$2,0),0)</f>
        <v>0</v>
      </c>
      <c r="P632" s="207">
        <f>IF(ISNUMBER(VLOOKUP($B:$B,'BS(분기)'!$A:$F,$2:$2,0)),VLOOKUP($B:$B,'BS(분기)'!$A:$F,$2:$2,0),0)</f>
        <v>0</v>
      </c>
      <c r="Q632" s="207">
        <f>IF(ISNUMBER(VLOOKUP($B:$B,'BS(분기)'!$A:$F,$2:$2,0)),VLOOKUP($B:$B,'BS(분기)'!$A:$F,$2:$2,0),0)</f>
        <v>0</v>
      </c>
      <c r="R632" s="207">
        <f>IF(ISNUMBER(VLOOKUP($B:$B,'BS(분기)'!$A:$F,$2:$2,0)),VLOOKUP($B:$B,'BS(분기)'!$A:$F,$2:$2,0),0)</f>
        <v>0</v>
      </c>
    </row>
    <row r="633" spans="1:18" s="192" customFormat="1" ht="12">
      <c r="A633" s="202">
        <v>116400</v>
      </c>
      <c r="B633" s="195" t="s">
        <v>842</v>
      </c>
      <c r="C633" s="217">
        <f>IF(ISNUMBER(VLOOKUP($B:$B,BS!$A:$D,$2:$2,0)),VLOOKUP($B:$B,BS!$A:$D,$2:$2,0),0)</f>
        <v>0</v>
      </c>
      <c r="D633" s="217">
        <f>IF(ISNUMBER(VLOOKUP($B:$B,BS!$A:$D,$2:$2,0)),VLOOKUP($B:$B,BS!$A:$D,$2:$2,0),0)</f>
        <v>0</v>
      </c>
      <c r="E633" s="217">
        <f>IF(ISNUMBER(VLOOKUP($B:$B,BS!$A:$D,$2:$2,0)),VLOOKUP($B:$B,BS!$A:$D,$2:$2,0),0)</f>
        <v>0</v>
      </c>
      <c r="F633" s="217">
        <f>IF(ISNUMBER(VLOOKUP($B:$B,BS!$A:$D,$2:$2,0)),VLOOKUP($B:$B,BS!$A:$D,$2:$2,0),0)</f>
        <v>0</v>
      </c>
      <c r="G633" s="217">
        <f>IF(ISNUMBER(VLOOKUP($B:$B,BS!$A:$D,$2:$2,0)),VLOOKUP($B:$B,BS!$A:$D,$2:$2,0),0)</f>
        <v>0</v>
      </c>
      <c r="H633" s="207">
        <f>IF(ISNUMBER(VLOOKUP($B:$B,'BS(과거)'!$A:$F,$2:$2,0)),VLOOKUP($B:$B,'BS(과거)'!$A:$F,$2:$2,0),0)</f>
        <v>0</v>
      </c>
      <c r="I633" s="207">
        <f>IF(ISNUMBER(VLOOKUP($B:$B,'BS(과거)'!$A:$F,$2:$2,0)),VLOOKUP($B:$B,'BS(과거)'!$A:$F,$2:$2,0),0)</f>
        <v>0</v>
      </c>
      <c r="J633" s="207">
        <f>IF(ISNUMBER(VLOOKUP($B:$B,'BS(과거)'!$A:$F,$2:$2,0)),VLOOKUP($B:$B,'BS(과거)'!$A:$F,$2:$2,0),0)</f>
        <v>0</v>
      </c>
      <c r="K633" s="207">
        <f>IF(ISNUMBER(VLOOKUP($B:$B,'BS(과거)'!$A:$F,$2:$2,0)),VLOOKUP($B:$B,'BS(과거)'!$A:$F,$2:$2,0),0)</f>
        <v>0</v>
      </c>
      <c r="L633" s="207">
        <f>IF(ISNUMBER(VLOOKUP($B:$B,'BS(과거)'!$A:$F,$2:$2,0)),VLOOKUP($B:$B,'BS(과거)'!$A:$F,$2:$2,0),0)</f>
        <v>0</v>
      </c>
      <c r="N633" s="207">
        <f>IF(ISNUMBER(VLOOKUP($B:$B,'BS(분기)'!$A:$F,$2:$2,0)),VLOOKUP($B:$B,'BS(분기)'!$A:$F,$2:$2,0),0)</f>
        <v>0</v>
      </c>
      <c r="O633" s="207">
        <f>IF(ISNUMBER(VLOOKUP($B:$B,'BS(분기)'!$A:$F,$2:$2,0)),VLOOKUP($B:$B,'BS(분기)'!$A:$F,$2:$2,0),0)</f>
        <v>0</v>
      </c>
      <c r="P633" s="207">
        <f>IF(ISNUMBER(VLOOKUP($B:$B,'BS(분기)'!$A:$F,$2:$2,0)),VLOOKUP($B:$B,'BS(분기)'!$A:$F,$2:$2,0),0)</f>
        <v>0</v>
      </c>
      <c r="Q633" s="207">
        <f>IF(ISNUMBER(VLOOKUP($B:$B,'BS(분기)'!$A:$F,$2:$2,0)),VLOOKUP($B:$B,'BS(분기)'!$A:$F,$2:$2,0),0)</f>
        <v>0</v>
      </c>
      <c r="R633" s="207">
        <f>IF(ISNUMBER(VLOOKUP($B:$B,'BS(분기)'!$A:$F,$2:$2,0)),VLOOKUP($B:$B,'BS(분기)'!$A:$F,$2:$2,0),0)</f>
        <v>0</v>
      </c>
    </row>
    <row r="634" spans="1:18" s="192" customFormat="1" ht="12">
      <c r="A634" s="202">
        <v>116410</v>
      </c>
      <c r="B634" s="195" t="s">
        <v>1285</v>
      </c>
      <c r="C634" s="217">
        <f>IF(ISNUMBER(VLOOKUP($B:$B,BS!$A:$D,$2:$2,0)),VLOOKUP($B:$B,BS!$A:$D,$2:$2,0),0)</f>
        <v>0</v>
      </c>
      <c r="D634" s="217">
        <f>IF(ISNUMBER(VLOOKUP($B:$B,BS!$A:$D,$2:$2,0)),VLOOKUP($B:$B,BS!$A:$D,$2:$2,0),0)</f>
        <v>0</v>
      </c>
      <c r="E634" s="217">
        <f>IF(ISNUMBER(VLOOKUP($B:$B,BS!$A:$D,$2:$2,0)),VLOOKUP($B:$B,BS!$A:$D,$2:$2,0),0)</f>
        <v>0</v>
      </c>
      <c r="F634" s="217">
        <f>IF(ISNUMBER(VLOOKUP($B:$B,BS!$A:$D,$2:$2,0)),VLOOKUP($B:$B,BS!$A:$D,$2:$2,0),0)</f>
        <v>0</v>
      </c>
      <c r="G634" s="217">
        <f>IF(ISNUMBER(VLOOKUP($B:$B,BS!$A:$D,$2:$2,0)),VLOOKUP($B:$B,BS!$A:$D,$2:$2,0),0)</f>
        <v>0</v>
      </c>
      <c r="H634" s="207">
        <f>IF(ISNUMBER(VLOOKUP($B:$B,'BS(과거)'!$A:$F,$2:$2,0)),VLOOKUP($B:$B,'BS(과거)'!$A:$F,$2:$2,0),0)</f>
        <v>0</v>
      </c>
      <c r="I634" s="207">
        <f>IF(ISNUMBER(VLOOKUP($B:$B,'BS(과거)'!$A:$F,$2:$2,0)),VLOOKUP($B:$B,'BS(과거)'!$A:$F,$2:$2,0),0)</f>
        <v>0</v>
      </c>
      <c r="J634" s="207">
        <f>IF(ISNUMBER(VLOOKUP($B:$B,'BS(과거)'!$A:$F,$2:$2,0)),VLOOKUP($B:$B,'BS(과거)'!$A:$F,$2:$2,0),0)</f>
        <v>0</v>
      </c>
      <c r="K634" s="207">
        <f>IF(ISNUMBER(VLOOKUP($B:$B,'BS(과거)'!$A:$F,$2:$2,0)),VLOOKUP($B:$B,'BS(과거)'!$A:$F,$2:$2,0),0)</f>
        <v>0</v>
      </c>
      <c r="L634" s="207">
        <f>IF(ISNUMBER(VLOOKUP($B:$B,'BS(과거)'!$A:$F,$2:$2,0)),VLOOKUP($B:$B,'BS(과거)'!$A:$F,$2:$2,0),0)</f>
        <v>0</v>
      </c>
      <c r="N634" s="207">
        <f>IF(ISNUMBER(VLOOKUP($B:$B,'BS(분기)'!$A:$F,$2:$2,0)),VLOOKUP($B:$B,'BS(분기)'!$A:$F,$2:$2,0),0)</f>
        <v>0</v>
      </c>
      <c r="O634" s="207">
        <f>IF(ISNUMBER(VLOOKUP($B:$B,'BS(분기)'!$A:$F,$2:$2,0)),VLOOKUP($B:$B,'BS(분기)'!$A:$F,$2:$2,0),0)</f>
        <v>0</v>
      </c>
      <c r="P634" s="207">
        <f>IF(ISNUMBER(VLOOKUP($B:$B,'BS(분기)'!$A:$F,$2:$2,0)),VLOOKUP($B:$B,'BS(분기)'!$A:$F,$2:$2,0),0)</f>
        <v>0</v>
      </c>
      <c r="Q634" s="207">
        <f>IF(ISNUMBER(VLOOKUP($B:$B,'BS(분기)'!$A:$F,$2:$2,0)),VLOOKUP($B:$B,'BS(분기)'!$A:$F,$2:$2,0),0)</f>
        <v>0</v>
      </c>
      <c r="R634" s="207">
        <f>IF(ISNUMBER(VLOOKUP($B:$B,'BS(분기)'!$A:$F,$2:$2,0)),VLOOKUP($B:$B,'BS(분기)'!$A:$F,$2:$2,0),0)</f>
        <v>0</v>
      </c>
    </row>
    <row r="635" spans="1:18" s="192" customFormat="1" ht="12">
      <c r="A635" s="203">
        <v>116401</v>
      </c>
      <c r="B635" s="196" t="s">
        <v>383</v>
      </c>
      <c r="C635" s="217">
        <f>IF(ISNUMBER(VLOOKUP($B:$B,BS!$A:$D,$2:$2,0)),VLOOKUP($B:$B,BS!$A:$D,$2:$2,0),0)</f>
        <v>0</v>
      </c>
      <c r="D635" s="217">
        <f>IF(ISNUMBER(VLOOKUP($B:$B,BS!$A:$D,$2:$2,0)),VLOOKUP($B:$B,BS!$A:$D,$2:$2,0),0)</f>
        <v>0</v>
      </c>
      <c r="E635" s="217">
        <f>IF(ISNUMBER(VLOOKUP($B:$B,BS!$A:$D,$2:$2,0)),VLOOKUP($B:$B,BS!$A:$D,$2:$2,0),0)</f>
        <v>0</v>
      </c>
      <c r="F635" s="217">
        <f>IF(ISNUMBER(VLOOKUP($B:$B,BS!$A:$D,$2:$2,0)),VLOOKUP($B:$B,BS!$A:$D,$2:$2,0),0)</f>
        <v>0</v>
      </c>
      <c r="G635" s="217">
        <f>IF(ISNUMBER(VLOOKUP($B:$B,BS!$A:$D,$2:$2,0)),VLOOKUP($B:$B,BS!$A:$D,$2:$2,0),0)</f>
        <v>0</v>
      </c>
      <c r="H635" s="207">
        <f>IF(ISNUMBER(VLOOKUP($B:$B,'BS(과거)'!$A:$F,$2:$2,0)),VLOOKUP($B:$B,'BS(과거)'!$A:$F,$2:$2,0),0)</f>
        <v>0</v>
      </c>
      <c r="I635" s="207">
        <f>IF(ISNUMBER(VLOOKUP($B:$B,'BS(과거)'!$A:$F,$2:$2,0)),VLOOKUP($B:$B,'BS(과거)'!$A:$F,$2:$2,0),0)</f>
        <v>0</v>
      </c>
      <c r="J635" s="207">
        <f>IF(ISNUMBER(VLOOKUP($B:$B,'BS(과거)'!$A:$F,$2:$2,0)),VLOOKUP($B:$B,'BS(과거)'!$A:$F,$2:$2,0),0)</f>
        <v>0</v>
      </c>
      <c r="K635" s="207">
        <f>IF(ISNUMBER(VLOOKUP($B:$B,'BS(과거)'!$A:$F,$2:$2,0)),VLOOKUP($B:$B,'BS(과거)'!$A:$F,$2:$2,0),0)</f>
        <v>0</v>
      </c>
      <c r="L635" s="207">
        <f>IF(ISNUMBER(VLOOKUP($B:$B,'BS(과거)'!$A:$F,$2:$2,0)),VLOOKUP($B:$B,'BS(과거)'!$A:$F,$2:$2,0),0)</f>
        <v>0</v>
      </c>
      <c r="N635" s="207">
        <f>IF(ISNUMBER(VLOOKUP($B:$B,'BS(분기)'!$A:$F,$2:$2,0)),VLOOKUP($B:$B,'BS(분기)'!$A:$F,$2:$2,0),0)</f>
        <v>0</v>
      </c>
      <c r="O635" s="207">
        <f>IF(ISNUMBER(VLOOKUP($B:$B,'BS(분기)'!$A:$F,$2:$2,0)),VLOOKUP($B:$B,'BS(분기)'!$A:$F,$2:$2,0),0)</f>
        <v>0</v>
      </c>
      <c r="P635" s="207">
        <f>IF(ISNUMBER(VLOOKUP($B:$B,'BS(분기)'!$A:$F,$2:$2,0)),VLOOKUP($B:$B,'BS(분기)'!$A:$F,$2:$2,0),0)</f>
        <v>0</v>
      </c>
      <c r="Q635" s="207">
        <f>IF(ISNUMBER(VLOOKUP($B:$B,'BS(분기)'!$A:$F,$2:$2,0)),VLOOKUP($B:$B,'BS(분기)'!$A:$F,$2:$2,0),0)</f>
        <v>0</v>
      </c>
      <c r="R635" s="207">
        <f>IF(ISNUMBER(VLOOKUP($B:$B,'BS(분기)'!$A:$F,$2:$2,0)),VLOOKUP($B:$B,'BS(분기)'!$A:$F,$2:$2,0),0)</f>
        <v>0</v>
      </c>
    </row>
    <row r="636" spans="1:18" s="192" customFormat="1" ht="12">
      <c r="A636" s="203">
        <v>117232</v>
      </c>
      <c r="B636" s="196" t="s">
        <v>1286</v>
      </c>
      <c r="C636" s="217">
        <f>IF(ISNUMBER(VLOOKUP($B:$B,BS!$A:$D,$2:$2,0)),VLOOKUP($B:$B,BS!$A:$D,$2:$2,0),0)</f>
        <v>0</v>
      </c>
      <c r="D636" s="217">
        <f>IF(ISNUMBER(VLOOKUP($B:$B,BS!$A:$D,$2:$2,0)),VLOOKUP($B:$B,BS!$A:$D,$2:$2,0),0)</f>
        <v>0</v>
      </c>
      <c r="E636" s="217">
        <f>IF(ISNUMBER(VLOOKUP($B:$B,BS!$A:$D,$2:$2,0)),VLOOKUP($B:$B,BS!$A:$D,$2:$2,0),0)</f>
        <v>0</v>
      </c>
      <c r="F636" s="217">
        <f>IF(ISNUMBER(VLOOKUP($B:$B,BS!$A:$D,$2:$2,0)),VLOOKUP($B:$B,BS!$A:$D,$2:$2,0),0)</f>
        <v>0</v>
      </c>
      <c r="G636" s="217">
        <f>IF(ISNUMBER(VLOOKUP($B:$B,BS!$A:$D,$2:$2,0)),VLOOKUP($B:$B,BS!$A:$D,$2:$2,0),0)</f>
        <v>0</v>
      </c>
      <c r="H636" s="207">
        <f>IF(ISNUMBER(VLOOKUP($B:$B,'BS(과거)'!$A:$F,$2:$2,0)),VLOOKUP($B:$B,'BS(과거)'!$A:$F,$2:$2,0),0)</f>
        <v>0</v>
      </c>
      <c r="I636" s="207">
        <f>IF(ISNUMBER(VLOOKUP($B:$B,'BS(과거)'!$A:$F,$2:$2,0)),VLOOKUP($B:$B,'BS(과거)'!$A:$F,$2:$2,0),0)</f>
        <v>0</v>
      </c>
      <c r="J636" s="207">
        <f>IF(ISNUMBER(VLOOKUP($B:$B,'BS(과거)'!$A:$F,$2:$2,0)),VLOOKUP($B:$B,'BS(과거)'!$A:$F,$2:$2,0),0)</f>
        <v>0</v>
      </c>
      <c r="K636" s="207">
        <f>IF(ISNUMBER(VLOOKUP($B:$B,'BS(과거)'!$A:$F,$2:$2,0)),VLOOKUP($B:$B,'BS(과거)'!$A:$F,$2:$2,0),0)</f>
        <v>0</v>
      </c>
      <c r="L636" s="207">
        <f>IF(ISNUMBER(VLOOKUP($B:$B,'BS(과거)'!$A:$F,$2:$2,0)),VLOOKUP($B:$B,'BS(과거)'!$A:$F,$2:$2,0),0)</f>
        <v>0</v>
      </c>
      <c r="N636" s="207">
        <f>IF(ISNUMBER(VLOOKUP($B:$B,'BS(분기)'!$A:$F,$2:$2,0)),VLOOKUP($B:$B,'BS(분기)'!$A:$F,$2:$2,0),0)</f>
        <v>0</v>
      </c>
      <c r="O636" s="207">
        <f>IF(ISNUMBER(VLOOKUP($B:$B,'BS(분기)'!$A:$F,$2:$2,0)),VLOOKUP($B:$B,'BS(분기)'!$A:$F,$2:$2,0),0)</f>
        <v>0</v>
      </c>
      <c r="P636" s="207">
        <f>IF(ISNUMBER(VLOOKUP($B:$B,'BS(분기)'!$A:$F,$2:$2,0)),VLOOKUP($B:$B,'BS(분기)'!$A:$F,$2:$2,0),0)</f>
        <v>0</v>
      </c>
      <c r="Q636" s="207">
        <f>IF(ISNUMBER(VLOOKUP($B:$B,'BS(분기)'!$A:$F,$2:$2,0)),VLOOKUP($B:$B,'BS(분기)'!$A:$F,$2:$2,0),0)</f>
        <v>0</v>
      </c>
      <c r="R636" s="207">
        <f>IF(ISNUMBER(VLOOKUP($B:$B,'BS(분기)'!$A:$F,$2:$2,0)),VLOOKUP($B:$B,'BS(분기)'!$A:$F,$2:$2,0),0)</f>
        <v>0</v>
      </c>
    </row>
    <row r="637" spans="1:18" s="192" customFormat="1" ht="12">
      <c r="A637" s="203">
        <v>116409</v>
      </c>
      <c r="B637" s="196" t="s">
        <v>843</v>
      </c>
      <c r="C637" s="217">
        <f>IF(ISNUMBER(VLOOKUP($B:$B,BS!$A:$D,$2:$2,0)),VLOOKUP($B:$B,BS!$A:$D,$2:$2,0),0)</f>
        <v>0</v>
      </c>
      <c r="D637" s="217">
        <f>IF(ISNUMBER(VLOOKUP($B:$B,BS!$A:$D,$2:$2,0)),VLOOKUP($B:$B,BS!$A:$D,$2:$2,0),0)</f>
        <v>0</v>
      </c>
      <c r="E637" s="217">
        <f>IF(ISNUMBER(VLOOKUP($B:$B,BS!$A:$D,$2:$2,0)),VLOOKUP($B:$B,BS!$A:$D,$2:$2,0),0)</f>
        <v>0</v>
      </c>
      <c r="F637" s="217">
        <f>IF(ISNUMBER(VLOOKUP($B:$B,BS!$A:$D,$2:$2,0)),VLOOKUP($B:$B,BS!$A:$D,$2:$2,0),0)</f>
        <v>0</v>
      </c>
      <c r="G637" s="217">
        <f>IF(ISNUMBER(VLOOKUP($B:$B,BS!$A:$D,$2:$2,0)),VLOOKUP($B:$B,BS!$A:$D,$2:$2,0),0)</f>
        <v>0</v>
      </c>
      <c r="H637" s="207">
        <f>IF(ISNUMBER(VLOOKUP($B:$B,'BS(과거)'!$A:$F,$2:$2,0)),VLOOKUP($B:$B,'BS(과거)'!$A:$F,$2:$2,0),0)</f>
        <v>0</v>
      </c>
      <c r="I637" s="207">
        <f>IF(ISNUMBER(VLOOKUP($B:$B,'BS(과거)'!$A:$F,$2:$2,0)),VLOOKUP($B:$B,'BS(과거)'!$A:$F,$2:$2,0),0)</f>
        <v>0</v>
      </c>
      <c r="J637" s="207">
        <f>IF(ISNUMBER(VLOOKUP($B:$B,'BS(과거)'!$A:$F,$2:$2,0)),VLOOKUP($B:$B,'BS(과거)'!$A:$F,$2:$2,0),0)</f>
        <v>0</v>
      </c>
      <c r="K637" s="207">
        <f>IF(ISNUMBER(VLOOKUP($B:$B,'BS(과거)'!$A:$F,$2:$2,0)),VLOOKUP($B:$B,'BS(과거)'!$A:$F,$2:$2,0),0)</f>
        <v>0</v>
      </c>
      <c r="L637" s="207">
        <f>IF(ISNUMBER(VLOOKUP($B:$B,'BS(과거)'!$A:$F,$2:$2,0)),VLOOKUP($B:$B,'BS(과거)'!$A:$F,$2:$2,0),0)</f>
        <v>0</v>
      </c>
      <c r="N637" s="207">
        <f>IF(ISNUMBER(VLOOKUP($B:$B,'BS(분기)'!$A:$F,$2:$2,0)),VLOOKUP($B:$B,'BS(분기)'!$A:$F,$2:$2,0),0)</f>
        <v>0</v>
      </c>
      <c r="O637" s="207">
        <f>IF(ISNUMBER(VLOOKUP($B:$B,'BS(분기)'!$A:$F,$2:$2,0)),VLOOKUP($B:$B,'BS(분기)'!$A:$F,$2:$2,0),0)</f>
        <v>0</v>
      </c>
      <c r="P637" s="207">
        <f>IF(ISNUMBER(VLOOKUP($B:$B,'BS(분기)'!$A:$F,$2:$2,0)),VLOOKUP($B:$B,'BS(분기)'!$A:$F,$2:$2,0),0)</f>
        <v>0</v>
      </c>
      <c r="Q637" s="207">
        <f>IF(ISNUMBER(VLOOKUP($B:$B,'BS(분기)'!$A:$F,$2:$2,0)),VLOOKUP($B:$B,'BS(분기)'!$A:$F,$2:$2,0),0)</f>
        <v>0</v>
      </c>
      <c r="R637" s="207">
        <f>IF(ISNUMBER(VLOOKUP($B:$B,'BS(분기)'!$A:$F,$2:$2,0)),VLOOKUP($B:$B,'BS(분기)'!$A:$F,$2:$2,0),0)</f>
        <v>0</v>
      </c>
    </row>
    <row r="638" spans="1:18" s="192" customFormat="1" ht="12">
      <c r="A638" s="203">
        <v>117234</v>
      </c>
      <c r="B638" s="196" t="s">
        <v>1287</v>
      </c>
      <c r="C638" s="217">
        <f>IF(ISNUMBER(VLOOKUP($B:$B,BS!$A:$D,$2:$2,0)),VLOOKUP($B:$B,BS!$A:$D,$2:$2,0),0)</f>
        <v>0</v>
      </c>
      <c r="D638" s="217">
        <f>IF(ISNUMBER(VLOOKUP($B:$B,BS!$A:$D,$2:$2,0)),VLOOKUP($B:$B,BS!$A:$D,$2:$2,0),0)</f>
        <v>0</v>
      </c>
      <c r="E638" s="217">
        <f>IF(ISNUMBER(VLOOKUP($B:$B,BS!$A:$D,$2:$2,0)),VLOOKUP($B:$B,BS!$A:$D,$2:$2,0),0)</f>
        <v>0</v>
      </c>
      <c r="F638" s="217">
        <f>IF(ISNUMBER(VLOOKUP($B:$B,BS!$A:$D,$2:$2,0)),VLOOKUP($B:$B,BS!$A:$D,$2:$2,0),0)</f>
        <v>0</v>
      </c>
      <c r="G638" s="217">
        <f>IF(ISNUMBER(VLOOKUP($B:$B,BS!$A:$D,$2:$2,0)),VLOOKUP($B:$B,BS!$A:$D,$2:$2,0),0)</f>
        <v>0</v>
      </c>
      <c r="H638" s="207">
        <f>IF(ISNUMBER(VLOOKUP($B:$B,'BS(과거)'!$A:$F,$2:$2,0)),VLOOKUP($B:$B,'BS(과거)'!$A:$F,$2:$2,0),0)</f>
        <v>0</v>
      </c>
      <c r="I638" s="207">
        <f>IF(ISNUMBER(VLOOKUP($B:$B,'BS(과거)'!$A:$F,$2:$2,0)),VLOOKUP($B:$B,'BS(과거)'!$A:$F,$2:$2,0),0)</f>
        <v>0</v>
      </c>
      <c r="J638" s="207">
        <f>IF(ISNUMBER(VLOOKUP($B:$B,'BS(과거)'!$A:$F,$2:$2,0)),VLOOKUP($B:$B,'BS(과거)'!$A:$F,$2:$2,0),0)</f>
        <v>0</v>
      </c>
      <c r="K638" s="207">
        <f>IF(ISNUMBER(VLOOKUP($B:$B,'BS(과거)'!$A:$F,$2:$2,0)),VLOOKUP($B:$B,'BS(과거)'!$A:$F,$2:$2,0),0)</f>
        <v>0</v>
      </c>
      <c r="L638" s="207">
        <f>IF(ISNUMBER(VLOOKUP($B:$B,'BS(과거)'!$A:$F,$2:$2,0)),VLOOKUP($B:$B,'BS(과거)'!$A:$F,$2:$2,0),0)</f>
        <v>0</v>
      </c>
      <c r="N638" s="207">
        <f>IF(ISNUMBER(VLOOKUP($B:$B,'BS(분기)'!$A:$F,$2:$2,0)),VLOOKUP($B:$B,'BS(분기)'!$A:$F,$2:$2,0),0)</f>
        <v>0</v>
      </c>
      <c r="O638" s="207">
        <f>IF(ISNUMBER(VLOOKUP($B:$B,'BS(분기)'!$A:$F,$2:$2,0)),VLOOKUP($B:$B,'BS(분기)'!$A:$F,$2:$2,0),0)</f>
        <v>0</v>
      </c>
      <c r="P638" s="207">
        <f>IF(ISNUMBER(VLOOKUP($B:$B,'BS(분기)'!$A:$F,$2:$2,0)),VLOOKUP($B:$B,'BS(분기)'!$A:$F,$2:$2,0),0)</f>
        <v>0</v>
      </c>
      <c r="Q638" s="207">
        <f>IF(ISNUMBER(VLOOKUP($B:$B,'BS(분기)'!$A:$F,$2:$2,0)),VLOOKUP($B:$B,'BS(분기)'!$A:$F,$2:$2,0),0)</f>
        <v>0</v>
      </c>
      <c r="R638" s="207">
        <f>IF(ISNUMBER(VLOOKUP($B:$B,'BS(분기)'!$A:$F,$2:$2,0)),VLOOKUP($B:$B,'BS(분기)'!$A:$F,$2:$2,0),0)</f>
        <v>0</v>
      </c>
    </row>
    <row r="639" spans="1:18" s="192" customFormat="1" ht="12">
      <c r="A639" s="202">
        <v>116500</v>
      </c>
      <c r="B639" s="195" t="s">
        <v>1288</v>
      </c>
      <c r="C639" s="217">
        <f>IF(ISNUMBER(VLOOKUP($B:$B,BS!$A:$D,$2:$2,0)),VLOOKUP($B:$B,BS!$A:$D,$2:$2,0),0)</f>
        <v>0</v>
      </c>
      <c r="D639" s="217">
        <f>IF(ISNUMBER(VLOOKUP($B:$B,BS!$A:$D,$2:$2,0)),VLOOKUP($B:$B,BS!$A:$D,$2:$2,0),0)</f>
        <v>0</v>
      </c>
      <c r="E639" s="217">
        <f>IF(ISNUMBER(VLOOKUP($B:$B,BS!$A:$D,$2:$2,0)),VLOOKUP($B:$B,BS!$A:$D,$2:$2,0),0)</f>
        <v>0</v>
      </c>
      <c r="F639" s="217">
        <f>IF(ISNUMBER(VLOOKUP($B:$B,BS!$A:$D,$2:$2,0)),VLOOKUP($B:$B,BS!$A:$D,$2:$2,0),0)</f>
        <v>0</v>
      </c>
      <c r="G639" s="217">
        <f>IF(ISNUMBER(VLOOKUP($B:$B,BS!$A:$D,$2:$2,0)),VLOOKUP($B:$B,BS!$A:$D,$2:$2,0),0)</f>
        <v>0</v>
      </c>
      <c r="H639" s="207">
        <f>IF(ISNUMBER(VLOOKUP($B:$B,'BS(과거)'!$A:$F,$2:$2,0)),VLOOKUP($B:$B,'BS(과거)'!$A:$F,$2:$2,0),0)</f>
        <v>0</v>
      </c>
      <c r="I639" s="207">
        <f>IF(ISNUMBER(VLOOKUP($B:$B,'BS(과거)'!$A:$F,$2:$2,0)),VLOOKUP($B:$B,'BS(과거)'!$A:$F,$2:$2,0),0)</f>
        <v>0</v>
      </c>
      <c r="J639" s="207">
        <f>IF(ISNUMBER(VLOOKUP($B:$B,'BS(과거)'!$A:$F,$2:$2,0)),VLOOKUP($B:$B,'BS(과거)'!$A:$F,$2:$2,0),0)</f>
        <v>0</v>
      </c>
      <c r="K639" s="207">
        <f>IF(ISNUMBER(VLOOKUP($B:$B,'BS(과거)'!$A:$F,$2:$2,0)),VLOOKUP($B:$B,'BS(과거)'!$A:$F,$2:$2,0),0)</f>
        <v>0</v>
      </c>
      <c r="L639" s="207">
        <f>IF(ISNUMBER(VLOOKUP($B:$B,'BS(과거)'!$A:$F,$2:$2,0)),VLOOKUP($B:$B,'BS(과거)'!$A:$F,$2:$2,0),0)</f>
        <v>0</v>
      </c>
      <c r="N639" s="207">
        <f>IF(ISNUMBER(VLOOKUP($B:$B,'BS(분기)'!$A:$F,$2:$2,0)),VLOOKUP($B:$B,'BS(분기)'!$A:$F,$2:$2,0),0)</f>
        <v>0</v>
      </c>
      <c r="O639" s="207">
        <f>IF(ISNUMBER(VLOOKUP($B:$B,'BS(분기)'!$A:$F,$2:$2,0)),VLOOKUP($B:$B,'BS(분기)'!$A:$F,$2:$2,0),0)</f>
        <v>0</v>
      </c>
      <c r="P639" s="207">
        <f>IF(ISNUMBER(VLOOKUP($B:$B,'BS(분기)'!$A:$F,$2:$2,0)),VLOOKUP($B:$B,'BS(분기)'!$A:$F,$2:$2,0),0)</f>
        <v>0</v>
      </c>
      <c r="Q639" s="207">
        <f>IF(ISNUMBER(VLOOKUP($B:$B,'BS(분기)'!$A:$F,$2:$2,0)),VLOOKUP($B:$B,'BS(분기)'!$A:$F,$2:$2,0),0)</f>
        <v>0</v>
      </c>
      <c r="R639" s="207">
        <f>IF(ISNUMBER(VLOOKUP($B:$B,'BS(분기)'!$A:$F,$2:$2,0)),VLOOKUP($B:$B,'BS(분기)'!$A:$F,$2:$2,0),0)</f>
        <v>0</v>
      </c>
    </row>
    <row r="640" spans="1:18" s="192" customFormat="1" ht="12">
      <c r="A640" s="202">
        <v>116510</v>
      </c>
      <c r="B640" s="195" t="s">
        <v>1289</v>
      </c>
      <c r="C640" s="217">
        <f>IF(ISNUMBER(VLOOKUP($B:$B,BS!$A:$D,$2:$2,0)),VLOOKUP($B:$B,BS!$A:$D,$2:$2,0),0)</f>
        <v>0</v>
      </c>
      <c r="D640" s="217">
        <f>IF(ISNUMBER(VLOOKUP($B:$B,BS!$A:$D,$2:$2,0)),VLOOKUP($B:$B,BS!$A:$D,$2:$2,0),0)</f>
        <v>0</v>
      </c>
      <c r="E640" s="217">
        <f>IF(ISNUMBER(VLOOKUP($B:$B,BS!$A:$D,$2:$2,0)),VLOOKUP($B:$B,BS!$A:$D,$2:$2,0),0)</f>
        <v>0</v>
      </c>
      <c r="F640" s="217">
        <f>IF(ISNUMBER(VLOOKUP($B:$B,BS!$A:$D,$2:$2,0)),VLOOKUP($B:$B,BS!$A:$D,$2:$2,0),0)</f>
        <v>0</v>
      </c>
      <c r="G640" s="217">
        <f>IF(ISNUMBER(VLOOKUP($B:$B,BS!$A:$D,$2:$2,0)),VLOOKUP($B:$B,BS!$A:$D,$2:$2,0),0)</f>
        <v>0</v>
      </c>
      <c r="H640" s="207">
        <f>IF(ISNUMBER(VLOOKUP($B:$B,'BS(과거)'!$A:$F,$2:$2,0)),VLOOKUP($B:$B,'BS(과거)'!$A:$F,$2:$2,0),0)</f>
        <v>0</v>
      </c>
      <c r="I640" s="207">
        <f>IF(ISNUMBER(VLOOKUP($B:$B,'BS(과거)'!$A:$F,$2:$2,0)),VLOOKUP($B:$B,'BS(과거)'!$A:$F,$2:$2,0),0)</f>
        <v>0</v>
      </c>
      <c r="J640" s="207">
        <f>IF(ISNUMBER(VLOOKUP($B:$B,'BS(과거)'!$A:$F,$2:$2,0)),VLOOKUP($B:$B,'BS(과거)'!$A:$F,$2:$2,0),0)</f>
        <v>0</v>
      </c>
      <c r="K640" s="207">
        <f>IF(ISNUMBER(VLOOKUP($B:$B,'BS(과거)'!$A:$F,$2:$2,0)),VLOOKUP($B:$B,'BS(과거)'!$A:$F,$2:$2,0),0)</f>
        <v>0</v>
      </c>
      <c r="L640" s="207">
        <f>IF(ISNUMBER(VLOOKUP($B:$B,'BS(과거)'!$A:$F,$2:$2,0)),VLOOKUP($B:$B,'BS(과거)'!$A:$F,$2:$2,0),0)</f>
        <v>0</v>
      </c>
      <c r="N640" s="207">
        <f>IF(ISNUMBER(VLOOKUP($B:$B,'BS(분기)'!$A:$F,$2:$2,0)),VLOOKUP($B:$B,'BS(분기)'!$A:$F,$2:$2,0),0)</f>
        <v>0</v>
      </c>
      <c r="O640" s="207">
        <f>IF(ISNUMBER(VLOOKUP($B:$B,'BS(분기)'!$A:$F,$2:$2,0)),VLOOKUP($B:$B,'BS(분기)'!$A:$F,$2:$2,0),0)</f>
        <v>0</v>
      </c>
      <c r="P640" s="207">
        <f>IF(ISNUMBER(VLOOKUP($B:$B,'BS(분기)'!$A:$F,$2:$2,0)),VLOOKUP($B:$B,'BS(분기)'!$A:$F,$2:$2,0),0)</f>
        <v>0</v>
      </c>
      <c r="Q640" s="207">
        <f>IF(ISNUMBER(VLOOKUP($B:$B,'BS(분기)'!$A:$F,$2:$2,0)),VLOOKUP($B:$B,'BS(분기)'!$A:$F,$2:$2,0),0)</f>
        <v>0</v>
      </c>
      <c r="R640" s="207">
        <f>IF(ISNUMBER(VLOOKUP($B:$B,'BS(분기)'!$A:$F,$2:$2,0)),VLOOKUP($B:$B,'BS(분기)'!$A:$F,$2:$2,0),0)</f>
        <v>0</v>
      </c>
    </row>
    <row r="641" spans="1:18" s="192" customFormat="1" ht="12">
      <c r="A641" s="202">
        <v>116515</v>
      </c>
      <c r="B641" s="195" t="s">
        <v>1224</v>
      </c>
      <c r="C641" s="217">
        <f>IF(ISNUMBER(VLOOKUP($B:$B,BS!$A:$D,$2:$2,0)),VLOOKUP($B:$B,BS!$A:$D,$2:$2,0),0)</f>
        <v>0</v>
      </c>
      <c r="D641" s="217">
        <f>IF(ISNUMBER(VLOOKUP($B:$B,BS!$A:$D,$2:$2,0)),VLOOKUP($B:$B,BS!$A:$D,$2:$2,0),0)</f>
        <v>0</v>
      </c>
      <c r="E641" s="217">
        <f>IF(ISNUMBER(VLOOKUP($B:$B,BS!$A:$D,$2:$2,0)),VLOOKUP($B:$B,BS!$A:$D,$2:$2,0),0)</f>
        <v>0</v>
      </c>
      <c r="F641" s="217">
        <f>IF(ISNUMBER(VLOOKUP($B:$B,BS!$A:$D,$2:$2,0)),VLOOKUP($B:$B,BS!$A:$D,$2:$2,0),0)</f>
        <v>0</v>
      </c>
      <c r="G641" s="217">
        <f>IF(ISNUMBER(VLOOKUP($B:$B,BS!$A:$D,$2:$2,0)),VLOOKUP($B:$B,BS!$A:$D,$2:$2,0),0)</f>
        <v>0</v>
      </c>
      <c r="H641" s="207">
        <f>IF(ISNUMBER(VLOOKUP($B:$B,'BS(과거)'!$A:$F,$2:$2,0)),VLOOKUP($B:$B,'BS(과거)'!$A:$F,$2:$2,0),0)</f>
        <v>0</v>
      </c>
      <c r="I641" s="207">
        <f>IF(ISNUMBER(VLOOKUP($B:$B,'BS(과거)'!$A:$F,$2:$2,0)),VLOOKUP($B:$B,'BS(과거)'!$A:$F,$2:$2,0),0)</f>
        <v>0</v>
      </c>
      <c r="J641" s="207">
        <f>IF(ISNUMBER(VLOOKUP($B:$B,'BS(과거)'!$A:$F,$2:$2,0)),VLOOKUP($B:$B,'BS(과거)'!$A:$F,$2:$2,0),0)</f>
        <v>0</v>
      </c>
      <c r="K641" s="207">
        <f>IF(ISNUMBER(VLOOKUP($B:$B,'BS(과거)'!$A:$F,$2:$2,0)),VLOOKUP($B:$B,'BS(과거)'!$A:$F,$2:$2,0),0)</f>
        <v>0</v>
      </c>
      <c r="L641" s="207">
        <f>IF(ISNUMBER(VLOOKUP($B:$B,'BS(과거)'!$A:$F,$2:$2,0)),VLOOKUP($B:$B,'BS(과거)'!$A:$F,$2:$2,0),0)</f>
        <v>0</v>
      </c>
      <c r="N641" s="207">
        <f>IF(ISNUMBER(VLOOKUP($B:$B,'BS(분기)'!$A:$F,$2:$2,0)),VLOOKUP($B:$B,'BS(분기)'!$A:$F,$2:$2,0),0)</f>
        <v>0</v>
      </c>
      <c r="O641" s="207">
        <f>IF(ISNUMBER(VLOOKUP($B:$B,'BS(분기)'!$A:$F,$2:$2,0)),VLOOKUP($B:$B,'BS(분기)'!$A:$F,$2:$2,0),0)</f>
        <v>0</v>
      </c>
      <c r="P641" s="207">
        <f>IF(ISNUMBER(VLOOKUP($B:$B,'BS(분기)'!$A:$F,$2:$2,0)),VLOOKUP($B:$B,'BS(분기)'!$A:$F,$2:$2,0),0)</f>
        <v>0</v>
      </c>
      <c r="Q641" s="207">
        <f>IF(ISNUMBER(VLOOKUP($B:$B,'BS(분기)'!$A:$F,$2:$2,0)),VLOOKUP($B:$B,'BS(분기)'!$A:$F,$2:$2,0),0)</f>
        <v>0</v>
      </c>
      <c r="R641" s="207">
        <f>IF(ISNUMBER(VLOOKUP($B:$B,'BS(분기)'!$A:$F,$2:$2,0)),VLOOKUP($B:$B,'BS(분기)'!$A:$F,$2:$2,0),0)</f>
        <v>0</v>
      </c>
    </row>
    <row r="642" spans="1:18" s="192" customFormat="1" ht="12">
      <c r="A642" s="202">
        <v>116600</v>
      </c>
      <c r="B642" s="195" t="s">
        <v>844</v>
      </c>
      <c r="C642" s="217">
        <f>IF(ISNUMBER(VLOOKUP($B:$B,BS!$A:$D,$2:$2,0)),VLOOKUP($B:$B,BS!$A:$D,$2:$2,0),0)</f>
        <v>0</v>
      </c>
      <c r="D642" s="217">
        <f>IF(ISNUMBER(VLOOKUP($B:$B,BS!$A:$D,$2:$2,0)),VLOOKUP($B:$B,BS!$A:$D,$2:$2,0),0)</f>
        <v>0</v>
      </c>
      <c r="E642" s="217">
        <f>IF(ISNUMBER(VLOOKUP($B:$B,BS!$A:$D,$2:$2,0)),VLOOKUP($B:$B,BS!$A:$D,$2:$2,0),0)</f>
        <v>0</v>
      </c>
      <c r="F642" s="217">
        <f>IF(ISNUMBER(VLOOKUP($B:$B,BS!$A:$D,$2:$2,0)),VLOOKUP($B:$B,BS!$A:$D,$2:$2,0),0)</f>
        <v>0</v>
      </c>
      <c r="G642" s="217">
        <f>IF(ISNUMBER(VLOOKUP($B:$B,BS!$A:$D,$2:$2,0)),VLOOKUP($B:$B,BS!$A:$D,$2:$2,0),0)</f>
        <v>0</v>
      </c>
      <c r="H642" s="207">
        <f>IF(ISNUMBER(VLOOKUP($B:$B,'BS(과거)'!$A:$F,$2:$2,0)),VLOOKUP($B:$B,'BS(과거)'!$A:$F,$2:$2,0),0)</f>
        <v>0</v>
      </c>
      <c r="I642" s="207">
        <f>IF(ISNUMBER(VLOOKUP($B:$B,'BS(과거)'!$A:$F,$2:$2,0)),VLOOKUP($B:$B,'BS(과거)'!$A:$F,$2:$2,0),0)</f>
        <v>0</v>
      </c>
      <c r="J642" s="207">
        <f>IF(ISNUMBER(VLOOKUP($B:$B,'BS(과거)'!$A:$F,$2:$2,0)),VLOOKUP($B:$B,'BS(과거)'!$A:$F,$2:$2,0),0)</f>
        <v>0</v>
      </c>
      <c r="K642" s="207">
        <f>IF(ISNUMBER(VLOOKUP($B:$B,'BS(과거)'!$A:$F,$2:$2,0)),VLOOKUP($B:$B,'BS(과거)'!$A:$F,$2:$2,0),0)</f>
        <v>0</v>
      </c>
      <c r="L642" s="207">
        <f>IF(ISNUMBER(VLOOKUP($B:$B,'BS(과거)'!$A:$F,$2:$2,0)),VLOOKUP($B:$B,'BS(과거)'!$A:$F,$2:$2,0),0)</f>
        <v>0</v>
      </c>
      <c r="N642" s="207">
        <f>IF(ISNUMBER(VLOOKUP($B:$B,'BS(분기)'!$A:$F,$2:$2,0)),VLOOKUP($B:$B,'BS(분기)'!$A:$F,$2:$2,0),0)</f>
        <v>0</v>
      </c>
      <c r="O642" s="207">
        <f>IF(ISNUMBER(VLOOKUP($B:$B,'BS(분기)'!$A:$F,$2:$2,0)),VLOOKUP($B:$B,'BS(분기)'!$A:$F,$2:$2,0),0)</f>
        <v>0</v>
      </c>
      <c r="P642" s="207">
        <f>IF(ISNUMBER(VLOOKUP($B:$B,'BS(분기)'!$A:$F,$2:$2,0)),VLOOKUP($B:$B,'BS(분기)'!$A:$F,$2:$2,0),0)</f>
        <v>0</v>
      </c>
      <c r="Q642" s="207">
        <f>IF(ISNUMBER(VLOOKUP($B:$B,'BS(분기)'!$A:$F,$2:$2,0)),VLOOKUP($B:$B,'BS(분기)'!$A:$F,$2:$2,0),0)</f>
        <v>0</v>
      </c>
      <c r="R642" s="207">
        <f>IF(ISNUMBER(VLOOKUP($B:$B,'BS(분기)'!$A:$F,$2:$2,0)),VLOOKUP($B:$B,'BS(분기)'!$A:$F,$2:$2,0),0)</f>
        <v>0</v>
      </c>
    </row>
    <row r="643" spans="1:18" s="192" customFormat="1" ht="12">
      <c r="A643" s="203">
        <v>116610</v>
      </c>
      <c r="B643" s="196" t="s">
        <v>845</v>
      </c>
      <c r="C643" s="217">
        <f>IF(ISNUMBER(VLOOKUP($B:$B,BS!$A:$D,$2:$2,0)),VLOOKUP($B:$B,BS!$A:$D,$2:$2,0),0)</f>
        <v>0</v>
      </c>
      <c r="D643" s="217">
        <f>IF(ISNUMBER(VLOOKUP($B:$B,BS!$A:$D,$2:$2,0)),VLOOKUP($B:$B,BS!$A:$D,$2:$2,0),0)</f>
        <v>0</v>
      </c>
      <c r="E643" s="217">
        <f>IF(ISNUMBER(VLOOKUP($B:$B,BS!$A:$D,$2:$2,0)),VLOOKUP($B:$B,BS!$A:$D,$2:$2,0),0)</f>
        <v>0</v>
      </c>
      <c r="F643" s="217">
        <f>IF(ISNUMBER(VLOOKUP($B:$B,BS!$A:$D,$2:$2,0)),VLOOKUP($B:$B,BS!$A:$D,$2:$2,0),0)</f>
        <v>0</v>
      </c>
      <c r="G643" s="217">
        <f>IF(ISNUMBER(VLOOKUP($B:$B,BS!$A:$D,$2:$2,0)),VLOOKUP($B:$B,BS!$A:$D,$2:$2,0),0)</f>
        <v>0</v>
      </c>
      <c r="H643" s="207">
        <f>IF(ISNUMBER(VLOOKUP($B:$B,'BS(과거)'!$A:$F,$2:$2,0)),VLOOKUP($B:$B,'BS(과거)'!$A:$F,$2:$2,0),0)</f>
        <v>0</v>
      </c>
      <c r="I643" s="207">
        <f>IF(ISNUMBER(VLOOKUP($B:$B,'BS(과거)'!$A:$F,$2:$2,0)),VLOOKUP($B:$B,'BS(과거)'!$A:$F,$2:$2,0),0)</f>
        <v>0</v>
      </c>
      <c r="J643" s="207">
        <f>IF(ISNUMBER(VLOOKUP($B:$B,'BS(과거)'!$A:$F,$2:$2,0)),VLOOKUP($B:$B,'BS(과거)'!$A:$F,$2:$2,0),0)</f>
        <v>0</v>
      </c>
      <c r="K643" s="207">
        <f>IF(ISNUMBER(VLOOKUP($B:$B,'BS(과거)'!$A:$F,$2:$2,0)),VLOOKUP($B:$B,'BS(과거)'!$A:$F,$2:$2,0),0)</f>
        <v>0</v>
      </c>
      <c r="L643" s="207">
        <f>IF(ISNUMBER(VLOOKUP($B:$B,'BS(과거)'!$A:$F,$2:$2,0)),VLOOKUP($B:$B,'BS(과거)'!$A:$F,$2:$2,0),0)</f>
        <v>0</v>
      </c>
      <c r="N643" s="207">
        <f>IF(ISNUMBER(VLOOKUP($B:$B,'BS(분기)'!$A:$F,$2:$2,0)),VLOOKUP($B:$B,'BS(분기)'!$A:$F,$2:$2,0),0)</f>
        <v>0</v>
      </c>
      <c r="O643" s="207">
        <f>IF(ISNUMBER(VLOOKUP($B:$B,'BS(분기)'!$A:$F,$2:$2,0)),VLOOKUP($B:$B,'BS(분기)'!$A:$F,$2:$2,0),0)</f>
        <v>0</v>
      </c>
      <c r="P643" s="207">
        <f>IF(ISNUMBER(VLOOKUP($B:$B,'BS(분기)'!$A:$F,$2:$2,0)),VLOOKUP($B:$B,'BS(분기)'!$A:$F,$2:$2,0),0)</f>
        <v>0</v>
      </c>
      <c r="Q643" s="207">
        <f>IF(ISNUMBER(VLOOKUP($B:$B,'BS(분기)'!$A:$F,$2:$2,0)),VLOOKUP($B:$B,'BS(분기)'!$A:$F,$2:$2,0),0)</f>
        <v>0</v>
      </c>
      <c r="R643" s="207">
        <f>IF(ISNUMBER(VLOOKUP($B:$B,'BS(분기)'!$A:$F,$2:$2,0)),VLOOKUP($B:$B,'BS(분기)'!$A:$F,$2:$2,0),0)</f>
        <v>0</v>
      </c>
    </row>
    <row r="644" spans="1:18" s="192" customFormat="1" ht="12">
      <c r="A644" s="203">
        <v>116611</v>
      </c>
      <c r="B644" s="196" t="s">
        <v>1290</v>
      </c>
      <c r="C644" s="217">
        <f>IF(ISNUMBER(VLOOKUP($B:$B,BS!$A:$D,$2:$2,0)),VLOOKUP($B:$B,BS!$A:$D,$2:$2,0),0)</f>
        <v>0</v>
      </c>
      <c r="D644" s="217">
        <f>IF(ISNUMBER(VLOOKUP($B:$B,BS!$A:$D,$2:$2,0)),VLOOKUP($B:$B,BS!$A:$D,$2:$2,0),0)</f>
        <v>0</v>
      </c>
      <c r="E644" s="217">
        <f>IF(ISNUMBER(VLOOKUP($B:$B,BS!$A:$D,$2:$2,0)),VLOOKUP($B:$B,BS!$A:$D,$2:$2,0),0)</f>
        <v>0</v>
      </c>
      <c r="F644" s="217">
        <f>IF(ISNUMBER(VLOOKUP($B:$B,BS!$A:$D,$2:$2,0)),VLOOKUP($B:$B,BS!$A:$D,$2:$2,0),0)</f>
        <v>0</v>
      </c>
      <c r="G644" s="217">
        <f>IF(ISNUMBER(VLOOKUP($B:$B,BS!$A:$D,$2:$2,0)),VLOOKUP($B:$B,BS!$A:$D,$2:$2,0),0)</f>
        <v>0</v>
      </c>
      <c r="H644" s="207">
        <f>IF(ISNUMBER(VLOOKUP($B:$B,'BS(과거)'!$A:$F,$2:$2,0)),VLOOKUP($B:$B,'BS(과거)'!$A:$F,$2:$2,0),0)</f>
        <v>0</v>
      </c>
      <c r="I644" s="207">
        <f>IF(ISNUMBER(VLOOKUP($B:$B,'BS(과거)'!$A:$F,$2:$2,0)),VLOOKUP($B:$B,'BS(과거)'!$A:$F,$2:$2,0),0)</f>
        <v>0</v>
      </c>
      <c r="J644" s="207">
        <f>IF(ISNUMBER(VLOOKUP($B:$B,'BS(과거)'!$A:$F,$2:$2,0)),VLOOKUP($B:$B,'BS(과거)'!$A:$F,$2:$2,0),0)</f>
        <v>0</v>
      </c>
      <c r="K644" s="207">
        <f>IF(ISNUMBER(VLOOKUP($B:$B,'BS(과거)'!$A:$F,$2:$2,0)),VLOOKUP($B:$B,'BS(과거)'!$A:$F,$2:$2,0),0)</f>
        <v>0</v>
      </c>
      <c r="L644" s="207">
        <f>IF(ISNUMBER(VLOOKUP($B:$B,'BS(과거)'!$A:$F,$2:$2,0)),VLOOKUP($B:$B,'BS(과거)'!$A:$F,$2:$2,0),0)</f>
        <v>0</v>
      </c>
      <c r="N644" s="207">
        <f>IF(ISNUMBER(VLOOKUP($B:$B,'BS(분기)'!$A:$F,$2:$2,0)),VLOOKUP($B:$B,'BS(분기)'!$A:$F,$2:$2,0),0)</f>
        <v>0</v>
      </c>
      <c r="O644" s="207">
        <f>IF(ISNUMBER(VLOOKUP($B:$B,'BS(분기)'!$A:$F,$2:$2,0)),VLOOKUP($B:$B,'BS(분기)'!$A:$F,$2:$2,0),0)</f>
        <v>0</v>
      </c>
      <c r="P644" s="207">
        <f>IF(ISNUMBER(VLOOKUP($B:$B,'BS(분기)'!$A:$F,$2:$2,0)),VLOOKUP($B:$B,'BS(분기)'!$A:$F,$2:$2,0),0)</f>
        <v>0</v>
      </c>
      <c r="Q644" s="207">
        <f>IF(ISNUMBER(VLOOKUP($B:$B,'BS(분기)'!$A:$F,$2:$2,0)),VLOOKUP($B:$B,'BS(분기)'!$A:$F,$2:$2,0),0)</f>
        <v>0</v>
      </c>
      <c r="R644" s="207">
        <f>IF(ISNUMBER(VLOOKUP($B:$B,'BS(분기)'!$A:$F,$2:$2,0)),VLOOKUP($B:$B,'BS(분기)'!$A:$F,$2:$2,0),0)</f>
        <v>0</v>
      </c>
    </row>
    <row r="645" spans="1:18" s="192" customFormat="1" ht="12">
      <c r="A645" s="203">
        <v>116612</v>
      </c>
      <c r="B645" s="196" t="s">
        <v>1291</v>
      </c>
      <c r="C645" s="217">
        <f>IF(ISNUMBER(VLOOKUP($B:$B,BS!$A:$D,$2:$2,0)),VLOOKUP($B:$B,BS!$A:$D,$2:$2,0),0)</f>
        <v>0</v>
      </c>
      <c r="D645" s="217">
        <f>IF(ISNUMBER(VLOOKUP($B:$B,BS!$A:$D,$2:$2,0)),VLOOKUP($B:$B,BS!$A:$D,$2:$2,0),0)</f>
        <v>0</v>
      </c>
      <c r="E645" s="217">
        <f>IF(ISNUMBER(VLOOKUP($B:$B,BS!$A:$D,$2:$2,0)),VLOOKUP($B:$B,BS!$A:$D,$2:$2,0),0)</f>
        <v>0</v>
      </c>
      <c r="F645" s="217">
        <f>IF(ISNUMBER(VLOOKUP($B:$B,BS!$A:$D,$2:$2,0)),VLOOKUP($B:$B,BS!$A:$D,$2:$2,0),0)</f>
        <v>0</v>
      </c>
      <c r="G645" s="217">
        <f>IF(ISNUMBER(VLOOKUP($B:$B,BS!$A:$D,$2:$2,0)),VLOOKUP($B:$B,BS!$A:$D,$2:$2,0),0)</f>
        <v>0</v>
      </c>
      <c r="H645" s="207">
        <f>IF(ISNUMBER(VLOOKUP($B:$B,'BS(과거)'!$A:$F,$2:$2,0)),VLOOKUP($B:$B,'BS(과거)'!$A:$F,$2:$2,0),0)</f>
        <v>0</v>
      </c>
      <c r="I645" s="207">
        <f>IF(ISNUMBER(VLOOKUP($B:$B,'BS(과거)'!$A:$F,$2:$2,0)),VLOOKUP($B:$B,'BS(과거)'!$A:$F,$2:$2,0),0)</f>
        <v>0</v>
      </c>
      <c r="J645" s="207">
        <f>IF(ISNUMBER(VLOOKUP($B:$B,'BS(과거)'!$A:$F,$2:$2,0)),VLOOKUP($B:$B,'BS(과거)'!$A:$F,$2:$2,0),0)</f>
        <v>0</v>
      </c>
      <c r="K645" s="207">
        <f>IF(ISNUMBER(VLOOKUP($B:$B,'BS(과거)'!$A:$F,$2:$2,0)),VLOOKUP($B:$B,'BS(과거)'!$A:$F,$2:$2,0),0)</f>
        <v>0</v>
      </c>
      <c r="L645" s="207">
        <f>IF(ISNUMBER(VLOOKUP($B:$B,'BS(과거)'!$A:$F,$2:$2,0)),VLOOKUP($B:$B,'BS(과거)'!$A:$F,$2:$2,0),0)</f>
        <v>0</v>
      </c>
      <c r="N645" s="207">
        <f>IF(ISNUMBER(VLOOKUP($B:$B,'BS(분기)'!$A:$F,$2:$2,0)),VLOOKUP($B:$B,'BS(분기)'!$A:$F,$2:$2,0),0)</f>
        <v>0</v>
      </c>
      <c r="O645" s="207">
        <f>IF(ISNUMBER(VLOOKUP($B:$B,'BS(분기)'!$A:$F,$2:$2,0)),VLOOKUP($B:$B,'BS(분기)'!$A:$F,$2:$2,0),0)</f>
        <v>0</v>
      </c>
      <c r="P645" s="207">
        <f>IF(ISNUMBER(VLOOKUP($B:$B,'BS(분기)'!$A:$F,$2:$2,0)),VLOOKUP($B:$B,'BS(분기)'!$A:$F,$2:$2,0),0)</f>
        <v>0</v>
      </c>
      <c r="Q645" s="207">
        <f>IF(ISNUMBER(VLOOKUP($B:$B,'BS(분기)'!$A:$F,$2:$2,0)),VLOOKUP($B:$B,'BS(분기)'!$A:$F,$2:$2,0),0)</f>
        <v>0</v>
      </c>
      <c r="R645" s="207">
        <f>IF(ISNUMBER(VLOOKUP($B:$B,'BS(분기)'!$A:$F,$2:$2,0)),VLOOKUP($B:$B,'BS(분기)'!$A:$F,$2:$2,0),0)</f>
        <v>0</v>
      </c>
    </row>
    <row r="646" spans="1:18" s="192" customFormat="1" ht="12">
      <c r="A646" s="203">
        <v>116618</v>
      </c>
      <c r="B646" s="196" t="s">
        <v>1292</v>
      </c>
      <c r="C646" s="217">
        <f>IF(ISNUMBER(VLOOKUP($B:$B,BS!$A:$D,$2:$2,0)),VLOOKUP($B:$B,BS!$A:$D,$2:$2,0),0)</f>
        <v>0</v>
      </c>
      <c r="D646" s="217">
        <f>IF(ISNUMBER(VLOOKUP($B:$B,BS!$A:$D,$2:$2,0)),VLOOKUP($B:$B,BS!$A:$D,$2:$2,0),0)</f>
        <v>0</v>
      </c>
      <c r="E646" s="217">
        <f>IF(ISNUMBER(VLOOKUP($B:$B,BS!$A:$D,$2:$2,0)),VLOOKUP($B:$B,BS!$A:$D,$2:$2,0),0)</f>
        <v>0</v>
      </c>
      <c r="F646" s="217">
        <f>IF(ISNUMBER(VLOOKUP($B:$B,BS!$A:$D,$2:$2,0)),VLOOKUP($B:$B,BS!$A:$D,$2:$2,0),0)</f>
        <v>0</v>
      </c>
      <c r="G646" s="217">
        <f>IF(ISNUMBER(VLOOKUP($B:$B,BS!$A:$D,$2:$2,0)),VLOOKUP($B:$B,BS!$A:$D,$2:$2,0),0)</f>
        <v>0</v>
      </c>
      <c r="H646" s="207">
        <f>IF(ISNUMBER(VLOOKUP($B:$B,'BS(과거)'!$A:$F,$2:$2,0)),VLOOKUP($B:$B,'BS(과거)'!$A:$F,$2:$2,0),0)</f>
        <v>0</v>
      </c>
      <c r="I646" s="207">
        <f>IF(ISNUMBER(VLOOKUP($B:$B,'BS(과거)'!$A:$F,$2:$2,0)),VLOOKUP($B:$B,'BS(과거)'!$A:$F,$2:$2,0),0)</f>
        <v>0</v>
      </c>
      <c r="J646" s="207">
        <f>IF(ISNUMBER(VLOOKUP($B:$B,'BS(과거)'!$A:$F,$2:$2,0)),VLOOKUP($B:$B,'BS(과거)'!$A:$F,$2:$2,0),0)</f>
        <v>0</v>
      </c>
      <c r="K646" s="207">
        <f>IF(ISNUMBER(VLOOKUP($B:$B,'BS(과거)'!$A:$F,$2:$2,0)),VLOOKUP($B:$B,'BS(과거)'!$A:$F,$2:$2,0),0)</f>
        <v>0</v>
      </c>
      <c r="L646" s="207">
        <f>IF(ISNUMBER(VLOOKUP($B:$B,'BS(과거)'!$A:$F,$2:$2,0)),VLOOKUP($B:$B,'BS(과거)'!$A:$F,$2:$2,0),0)</f>
        <v>0</v>
      </c>
      <c r="N646" s="207">
        <f>IF(ISNUMBER(VLOOKUP($B:$B,'BS(분기)'!$A:$F,$2:$2,0)),VLOOKUP($B:$B,'BS(분기)'!$A:$F,$2:$2,0),0)</f>
        <v>0</v>
      </c>
      <c r="O646" s="207">
        <f>IF(ISNUMBER(VLOOKUP($B:$B,'BS(분기)'!$A:$F,$2:$2,0)),VLOOKUP($B:$B,'BS(분기)'!$A:$F,$2:$2,0),0)</f>
        <v>0</v>
      </c>
      <c r="P646" s="207">
        <f>IF(ISNUMBER(VLOOKUP($B:$B,'BS(분기)'!$A:$F,$2:$2,0)),VLOOKUP($B:$B,'BS(분기)'!$A:$F,$2:$2,0),0)</f>
        <v>0</v>
      </c>
      <c r="Q646" s="207">
        <f>IF(ISNUMBER(VLOOKUP($B:$B,'BS(분기)'!$A:$F,$2:$2,0)),VLOOKUP($B:$B,'BS(분기)'!$A:$F,$2:$2,0),0)</f>
        <v>0</v>
      </c>
      <c r="R646" s="207">
        <f>IF(ISNUMBER(VLOOKUP($B:$B,'BS(분기)'!$A:$F,$2:$2,0)),VLOOKUP($B:$B,'BS(분기)'!$A:$F,$2:$2,0),0)</f>
        <v>0</v>
      </c>
    </row>
    <row r="647" spans="1:18" s="192" customFormat="1" ht="12">
      <c r="A647" s="203">
        <v>116619</v>
      </c>
      <c r="B647" s="196" t="s">
        <v>1293</v>
      </c>
      <c r="C647" s="217">
        <f>IF(ISNUMBER(VLOOKUP($B:$B,BS!$A:$D,$2:$2,0)),VLOOKUP($B:$B,BS!$A:$D,$2:$2,0),0)</f>
        <v>0</v>
      </c>
      <c r="D647" s="217">
        <f>IF(ISNUMBER(VLOOKUP($B:$B,BS!$A:$D,$2:$2,0)),VLOOKUP($B:$B,BS!$A:$D,$2:$2,0),0)</f>
        <v>0</v>
      </c>
      <c r="E647" s="217">
        <f>IF(ISNUMBER(VLOOKUP($B:$B,BS!$A:$D,$2:$2,0)),VLOOKUP($B:$B,BS!$A:$D,$2:$2,0),0)</f>
        <v>0</v>
      </c>
      <c r="F647" s="217">
        <f>IF(ISNUMBER(VLOOKUP($B:$B,BS!$A:$D,$2:$2,0)),VLOOKUP($B:$B,BS!$A:$D,$2:$2,0),0)</f>
        <v>0</v>
      </c>
      <c r="G647" s="217">
        <f>IF(ISNUMBER(VLOOKUP($B:$B,BS!$A:$D,$2:$2,0)),VLOOKUP($B:$B,BS!$A:$D,$2:$2,0),0)</f>
        <v>0</v>
      </c>
      <c r="H647" s="207">
        <f>IF(ISNUMBER(VLOOKUP($B:$B,'BS(과거)'!$A:$F,$2:$2,0)),VLOOKUP($B:$B,'BS(과거)'!$A:$F,$2:$2,0),0)</f>
        <v>0</v>
      </c>
      <c r="I647" s="207">
        <f>IF(ISNUMBER(VLOOKUP($B:$B,'BS(과거)'!$A:$F,$2:$2,0)),VLOOKUP($B:$B,'BS(과거)'!$A:$F,$2:$2,0),0)</f>
        <v>0</v>
      </c>
      <c r="J647" s="207">
        <f>IF(ISNUMBER(VLOOKUP($B:$B,'BS(과거)'!$A:$F,$2:$2,0)),VLOOKUP($B:$B,'BS(과거)'!$A:$F,$2:$2,0),0)</f>
        <v>0</v>
      </c>
      <c r="K647" s="207">
        <f>IF(ISNUMBER(VLOOKUP($B:$B,'BS(과거)'!$A:$F,$2:$2,0)),VLOOKUP($B:$B,'BS(과거)'!$A:$F,$2:$2,0),0)</f>
        <v>0</v>
      </c>
      <c r="L647" s="207">
        <f>IF(ISNUMBER(VLOOKUP($B:$B,'BS(과거)'!$A:$F,$2:$2,0)),VLOOKUP($B:$B,'BS(과거)'!$A:$F,$2:$2,0),0)</f>
        <v>0</v>
      </c>
      <c r="N647" s="207">
        <f>IF(ISNUMBER(VLOOKUP($B:$B,'BS(분기)'!$A:$F,$2:$2,0)),VLOOKUP($B:$B,'BS(분기)'!$A:$F,$2:$2,0),0)</f>
        <v>0</v>
      </c>
      <c r="O647" s="207">
        <f>IF(ISNUMBER(VLOOKUP($B:$B,'BS(분기)'!$A:$F,$2:$2,0)),VLOOKUP($B:$B,'BS(분기)'!$A:$F,$2:$2,0),0)</f>
        <v>0</v>
      </c>
      <c r="P647" s="207">
        <f>IF(ISNUMBER(VLOOKUP($B:$B,'BS(분기)'!$A:$F,$2:$2,0)),VLOOKUP($B:$B,'BS(분기)'!$A:$F,$2:$2,0),0)</f>
        <v>0</v>
      </c>
      <c r="Q647" s="207">
        <f>IF(ISNUMBER(VLOOKUP($B:$B,'BS(분기)'!$A:$F,$2:$2,0)),VLOOKUP($B:$B,'BS(분기)'!$A:$F,$2:$2,0),0)</f>
        <v>0</v>
      </c>
      <c r="R647" s="207">
        <f>IF(ISNUMBER(VLOOKUP($B:$B,'BS(분기)'!$A:$F,$2:$2,0)),VLOOKUP($B:$B,'BS(분기)'!$A:$F,$2:$2,0),0)</f>
        <v>0</v>
      </c>
    </row>
    <row r="648" spans="1:18" s="192" customFormat="1" ht="12">
      <c r="A648" s="203">
        <v>116620</v>
      </c>
      <c r="B648" s="196" t="s">
        <v>1294</v>
      </c>
      <c r="C648" s="217">
        <f>IF(ISNUMBER(VLOOKUP($B:$B,BS!$A:$D,$2:$2,0)),VLOOKUP($B:$B,BS!$A:$D,$2:$2,0),0)</f>
        <v>0</v>
      </c>
      <c r="D648" s="217">
        <f>IF(ISNUMBER(VLOOKUP($B:$B,BS!$A:$D,$2:$2,0)),VLOOKUP($B:$B,BS!$A:$D,$2:$2,0),0)</f>
        <v>0</v>
      </c>
      <c r="E648" s="217">
        <f>IF(ISNUMBER(VLOOKUP($B:$B,BS!$A:$D,$2:$2,0)),VLOOKUP($B:$B,BS!$A:$D,$2:$2,0),0)</f>
        <v>0</v>
      </c>
      <c r="F648" s="217">
        <f>IF(ISNUMBER(VLOOKUP($B:$B,BS!$A:$D,$2:$2,0)),VLOOKUP($B:$B,BS!$A:$D,$2:$2,0),0)</f>
        <v>0</v>
      </c>
      <c r="G648" s="217">
        <f>IF(ISNUMBER(VLOOKUP($B:$B,BS!$A:$D,$2:$2,0)),VLOOKUP($B:$B,BS!$A:$D,$2:$2,0),0)</f>
        <v>0</v>
      </c>
      <c r="H648" s="207">
        <f>IF(ISNUMBER(VLOOKUP($B:$B,'BS(과거)'!$A:$F,$2:$2,0)),VLOOKUP($B:$B,'BS(과거)'!$A:$F,$2:$2,0),0)</f>
        <v>0</v>
      </c>
      <c r="I648" s="207">
        <f>IF(ISNUMBER(VLOOKUP($B:$B,'BS(과거)'!$A:$F,$2:$2,0)),VLOOKUP($B:$B,'BS(과거)'!$A:$F,$2:$2,0),0)</f>
        <v>0</v>
      </c>
      <c r="J648" s="207">
        <f>IF(ISNUMBER(VLOOKUP($B:$B,'BS(과거)'!$A:$F,$2:$2,0)),VLOOKUP($B:$B,'BS(과거)'!$A:$F,$2:$2,0),0)</f>
        <v>0</v>
      </c>
      <c r="K648" s="207">
        <f>IF(ISNUMBER(VLOOKUP($B:$B,'BS(과거)'!$A:$F,$2:$2,0)),VLOOKUP($B:$B,'BS(과거)'!$A:$F,$2:$2,0),0)</f>
        <v>0</v>
      </c>
      <c r="L648" s="207">
        <f>IF(ISNUMBER(VLOOKUP($B:$B,'BS(과거)'!$A:$F,$2:$2,0)),VLOOKUP($B:$B,'BS(과거)'!$A:$F,$2:$2,0),0)</f>
        <v>0</v>
      </c>
      <c r="N648" s="207">
        <f>IF(ISNUMBER(VLOOKUP($B:$B,'BS(분기)'!$A:$F,$2:$2,0)),VLOOKUP($B:$B,'BS(분기)'!$A:$F,$2:$2,0),0)</f>
        <v>0</v>
      </c>
      <c r="O648" s="207">
        <f>IF(ISNUMBER(VLOOKUP($B:$B,'BS(분기)'!$A:$F,$2:$2,0)),VLOOKUP($B:$B,'BS(분기)'!$A:$F,$2:$2,0),0)</f>
        <v>0</v>
      </c>
      <c r="P648" s="207">
        <f>IF(ISNUMBER(VLOOKUP($B:$B,'BS(분기)'!$A:$F,$2:$2,0)),VLOOKUP($B:$B,'BS(분기)'!$A:$F,$2:$2,0),0)</f>
        <v>0</v>
      </c>
      <c r="Q648" s="207">
        <f>IF(ISNUMBER(VLOOKUP($B:$B,'BS(분기)'!$A:$F,$2:$2,0)),VLOOKUP($B:$B,'BS(분기)'!$A:$F,$2:$2,0),0)</f>
        <v>0</v>
      </c>
      <c r="R648" s="207">
        <f>IF(ISNUMBER(VLOOKUP($B:$B,'BS(분기)'!$A:$F,$2:$2,0)),VLOOKUP($B:$B,'BS(분기)'!$A:$F,$2:$2,0),0)</f>
        <v>0</v>
      </c>
    </row>
    <row r="649" spans="1:18" s="192" customFormat="1" ht="12">
      <c r="A649" s="203">
        <v>116630</v>
      </c>
      <c r="B649" s="196" t="s">
        <v>1295</v>
      </c>
      <c r="C649" s="217">
        <f>IF(ISNUMBER(VLOOKUP($B:$B,BS!$A:$D,$2:$2,0)),VLOOKUP($B:$B,BS!$A:$D,$2:$2,0),0)</f>
        <v>0</v>
      </c>
      <c r="D649" s="217">
        <f>IF(ISNUMBER(VLOOKUP($B:$B,BS!$A:$D,$2:$2,0)),VLOOKUP($B:$B,BS!$A:$D,$2:$2,0),0)</f>
        <v>0</v>
      </c>
      <c r="E649" s="217">
        <f>IF(ISNUMBER(VLOOKUP($B:$B,BS!$A:$D,$2:$2,0)),VLOOKUP($B:$B,BS!$A:$D,$2:$2,0),0)</f>
        <v>0</v>
      </c>
      <c r="F649" s="217">
        <f>IF(ISNUMBER(VLOOKUP($B:$B,BS!$A:$D,$2:$2,0)),VLOOKUP($B:$B,BS!$A:$D,$2:$2,0),0)</f>
        <v>0</v>
      </c>
      <c r="G649" s="217">
        <f>IF(ISNUMBER(VLOOKUP($B:$B,BS!$A:$D,$2:$2,0)),VLOOKUP($B:$B,BS!$A:$D,$2:$2,0),0)</f>
        <v>0</v>
      </c>
      <c r="H649" s="207">
        <f>IF(ISNUMBER(VLOOKUP($B:$B,'BS(과거)'!$A:$F,$2:$2,0)),VLOOKUP($B:$B,'BS(과거)'!$A:$F,$2:$2,0),0)</f>
        <v>0</v>
      </c>
      <c r="I649" s="207">
        <f>IF(ISNUMBER(VLOOKUP($B:$B,'BS(과거)'!$A:$F,$2:$2,0)),VLOOKUP($B:$B,'BS(과거)'!$A:$F,$2:$2,0),0)</f>
        <v>0</v>
      </c>
      <c r="J649" s="207">
        <f>IF(ISNUMBER(VLOOKUP($B:$B,'BS(과거)'!$A:$F,$2:$2,0)),VLOOKUP($B:$B,'BS(과거)'!$A:$F,$2:$2,0),0)</f>
        <v>0</v>
      </c>
      <c r="K649" s="207">
        <f>IF(ISNUMBER(VLOOKUP($B:$B,'BS(과거)'!$A:$F,$2:$2,0)),VLOOKUP($B:$B,'BS(과거)'!$A:$F,$2:$2,0),0)</f>
        <v>0</v>
      </c>
      <c r="L649" s="207">
        <f>IF(ISNUMBER(VLOOKUP($B:$B,'BS(과거)'!$A:$F,$2:$2,0)),VLOOKUP($B:$B,'BS(과거)'!$A:$F,$2:$2,0),0)</f>
        <v>0</v>
      </c>
      <c r="N649" s="207">
        <f>IF(ISNUMBER(VLOOKUP($B:$B,'BS(분기)'!$A:$F,$2:$2,0)),VLOOKUP($B:$B,'BS(분기)'!$A:$F,$2:$2,0),0)</f>
        <v>0</v>
      </c>
      <c r="O649" s="207">
        <f>IF(ISNUMBER(VLOOKUP($B:$B,'BS(분기)'!$A:$F,$2:$2,0)),VLOOKUP($B:$B,'BS(분기)'!$A:$F,$2:$2,0),0)</f>
        <v>0</v>
      </c>
      <c r="P649" s="207">
        <f>IF(ISNUMBER(VLOOKUP($B:$B,'BS(분기)'!$A:$F,$2:$2,0)),VLOOKUP($B:$B,'BS(분기)'!$A:$F,$2:$2,0),0)</f>
        <v>0</v>
      </c>
      <c r="Q649" s="207">
        <f>IF(ISNUMBER(VLOOKUP($B:$B,'BS(분기)'!$A:$F,$2:$2,0)),VLOOKUP($B:$B,'BS(분기)'!$A:$F,$2:$2,0),0)</f>
        <v>0</v>
      </c>
      <c r="R649" s="207">
        <f>IF(ISNUMBER(VLOOKUP($B:$B,'BS(분기)'!$A:$F,$2:$2,0)),VLOOKUP($B:$B,'BS(분기)'!$A:$F,$2:$2,0),0)</f>
        <v>0</v>
      </c>
    </row>
    <row r="650" spans="1:18" s="192" customFormat="1" ht="12">
      <c r="A650" s="203">
        <v>116650</v>
      </c>
      <c r="B650" s="196" t="s">
        <v>1243</v>
      </c>
      <c r="C650" s="217">
        <f>IF(ISNUMBER(VLOOKUP($B:$B,BS!$A:$D,$2:$2,0)),VLOOKUP($B:$B,BS!$A:$D,$2:$2,0),0)</f>
        <v>0</v>
      </c>
      <c r="D650" s="217">
        <f>IF(ISNUMBER(VLOOKUP($B:$B,BS!$A:$D,$2:$2,0)),VLOOKUP($B:$B,BS!$A:$D,$2:$2,0),0)</f>
        <v>0</v>
      </c>
      <c r="E650" s="217">
        <f>IF(ISNUMBER(VLOOKUP($B:$B,BS!$A:$D,$2:$2,0)),VLOOKUP($B:$B,BS!$A:$D,$2:$2,0),0)</f>
        <v>0</v>
      </c>
      <c r="F650" s="217">
        <f>IF(ISNUMBER(VLOOKUP($B:$B,BS!$A:$D,$2:$2,0)),VLOOKUP($B:$B,BS!$A:$D,$2:$2,0),0)</f>
        <v>0</v>
      </c>
      <c r="G650" s="217">
        <f>IF(ISNUMBER(VLOOKUP($B:$B,BS!$A:$D,$2:$2,0)),VLOOKUP($B:$B,BS!$A:$D,$2:$2,0),0)</f>
        <v>0</v>
      </c>
      <c r="H650" s="207">
        <f>IF(ISNUMBER(VLOOKUP($B:$B,'BS(과거)'!$A:$F,$2:$2,0)),VLOOKUP($B:$B,'BS(과거)'!$A:$F,$2:$2,0),0)</f>
        <v>0</v>
      </c>
      <c r="I650" s="207">
        <f>IF(ISNUMBER(VLOOKUP($B:$B,'BS(과거)'!$A:$F,$2:$2,0)),VLOOKUP($B:$B,'BS(과거)'!$A:$F,$2:$2,0),0)</f>
        <v>0</v>
      </c>
      <c r="J650" s="207">
        <f>IF(ISNUMBER(VLOOKUP($B:$B,'BS(과거)'!$A:$F,$2:$2,0)),VLOOKUP($B:$B,'BS(과거)'!$A:$F,$2:$2,0),0)</f>
        <v>0</v>
      </c>
      <c r="K650" s="207">
        <f>IF(ISNUMBER(VLOOKUP($B:$B,'BS(과거)'!$A:$F,$2:$2,0)),VLOOKUP($B:$B,'BS(과거)'!$A:$F,$2:$2,0),0)</f>
        <v>0</v>
      </c>
      <c r="L650" s="207">
        <f>IF(ISNUMBER(VLOOKUP($B:$B,'BS(과거)'!$A:$F,$2:$2,0)),VLOOKUP($B:$B,'BS(과거)'!$A:$F,$2:$2,0),0)</f>
        <v>0</v>
      </c>
      <c r="N650" s="207">
        <f>IF(ISNUMBER(VLOOKUP($B:$B,'BS(분기)'!$A:$F,$2:$2,0)),VLOOKUP($B:$B,'BS(분기)'!$A:$F,$2:$2,0),0)</f>
        <v>0</v>
      </c>
      <c r="O650" s="207">
        <f>IF(ISNUMBER(VLOOKUP($B:$B,'BS(분기)'!$A:$F,$2:$2,0)),VLOOKUP($B:$B,'BS(분기)'!$A:$F,$2:$2,0),0)</f>
        <v>0</v>
      </c>
      <c r="P650" s="207">
        <f>IF(ISNUMBER(VLOOKUP($B:$B,'BS(분기)'!$A:$F,$2:$2,0)),VLOOKUP($B:$B,'BS(분기)'!$A:$F,$2:$2,0),0)</f>
        <v>0</v>
      </c>
      <c r="Q650" s="207">
        <f>IF(ISNUMBER(VLOOKUP($B:$B,'BS(분기)'!$A:$F,$2:$2,0)),VLOOKUP($B:$B,'BS(분기)'!$A:$F,$2:$2,0),0)</f>
        <v>0</v>
      </c>
      <c r="R650" s="207">
        <f>IF(ISNUMBER(VLOOKUP($B:$B,'BS(분기)'!$A:$F,$2:$2,0)),VLOOKUP($B:$B,'BS(분기)'!$A:$F,$2:$2,0),0)</f>
        <v>0</v>
      </c>
    </row>
    <row r="651" spans="1:18" s="192" customFormat="1" ht="12">
      <c r="A651" s="203">
        <v>116660</v>
      </c>
      <c r="B651" s="196" t="s">
        <v>1245</v>
      </c>
      <c r="C651" s="217">
        <f>IF(ISNUMBER(VLOOKUP($B:$B,BS!$A:$D,$2:$2,0)),VLOOKUP($B:$B,BS!$A:$D,$2:$2,0),0)</f>
        <v>0</v>
      </c>
      <c r="D651" s="217">
        <f>IF(ISNUMBER(VLOOKUP($B:$B,BS!$A:$D,$2:$2,0)),VLOOKUP($B:$B,BS!$A:$D,$2:$2,0),0)</f>
        <v>0</v>
      </c>
      <c r="E651" s="217">
        <f>IF(ISNUMBER(VLOOKUP($B:$B,BS!$A:$D,$2:$2,0)),VLOOKUP($B:$B,BS!$A:$D,$2:$2,0),0)</f>
        <v>0</v>
      </c>
      <c r="F651" s="217">
        <f>IF(ISNUMBER(VLOOKUP($B:$B,BS!$A:$D,$2:$2,0)),VLOOKUP($B:$B,BS!$A:$D,$2:$2,0),0)</f>
        <v>0</v>
      </c>
      <c r="G651" s="217">
        <f>IF(ISNUMBER(VLOOKUP($B:$B,BS!$A:$D,$2:$2,0)),VLOOKUP($B:$B,BS!$A:$D,$2:$2,0),0)</f>
        <v>0</v>
      </c>
      <c r="H651" s="207">
        <f>IF(ISNUMBER(VLOOKUP($B:$B,'BS(과거)'!$A:$F,$2:$2,0)),VLOOKUP($B:$B,'BS(과거)'!$A:$F,$2:$2,0),0)</f>
        <v>0</v>
      </c>
      <c r="I651" s="207">
        <f>IF(ISNUMBER(VLOOKUP($B:$B,'BS(과거)'!$A:$F,$2:$2,0)),VLOOKUP($B:$B,'BS(과거)'!$A:$F,$2:$2,0),0)</f>
        <v>0</v>
      </c>
      <c r="J651" s="207">
        <f>IF(ISNUMBER(VLOOKUP($B:$B,'BS(과거)'!$A:$F,$2:$2,0)),VLOOKUP($B:$B,'BS(과거)'!$A:$F,$2:$2,0),0)</f>
        <v>0</v>
      </c>
      <c r="K651" s="207">
        <f>IF(ISNUMBER(VLOOKUP($B:$B,'BS(과거)'!$A:$F,$2:$2,0)),VLOOKUP($B:$B,'BS(과거)'!$A:$F,$2:$2,0),0)</f>
        <v>0</v>
      </c>
      <c r="L651" s="207">
        <f>IF(ISNUMBER(VLOOKUP($B:$B,'BS(과거)'!$A:$F,$2:$2,0)),VLOOKUP($B:$B,'BS(과거)'!$A:$F,$2:$2,0),0)</f>
        <v>0</v>
      </c>
      <c r="N651" s="207">
        <f>IF(ISNUMBER(VLOOKUP($B:$B,'BS(분기)'!$A:$F,$2:$2,0)),VLOOKUP($B:$B,'BS(분기)'!$A:$F,$2:$2,0),0)</f>
        <v>0</v>
      </c>
      <c r="O651" s="207">
        <f>IF(ISNUMBER(VLOOKUP($B:$B,'BS(분기)'!$A:$F,$2:$2,0)),VLOOKUP($B:$B,'BS(분기)'!$A:$F,$2:$2,0),0)</f>
        <v>0</v>
      </c>
      <c r="P651" s="207">
        <f>IF(ISNUMBER(VLOOKUP($B:$B,'BS(분기)'!$A:$F,$2:$2,0)),VLOOKUP($B:$B,'BS(분기)'!$A:$F,$2:$2,0),0)</f>
        <v>0</v>
      </c>
      <c r="Q651" s="207">
        <f>IF(ISNUMBER(VLOOKUP($B:$B,'BS(분기)'!$A:$F,$2:$2,0)),VLOOKUP($B:$B,'BS(분기)'!$A:$F,$2:$2,0),0)</f>
        <v>0</v>
      </c>
      <c r="R651" s="207">
        <f>IF(ISNUMBER(VLOOKUP($B:$B,'BS(분기)'!$A:$F,$2:$2,0)),VLOOKUP($B:$B,'BS(분기)'!$A:$F,$2:$2,0),0)</f>
        <v>0</v>
      </c>
    </row>
    <row r="652" spans="1:18" s="192" customFormat="1" ht="12">
      <c r="A652" s="203">
        <v>116641</v>
      </c>
      <c r="B652" s="196" t="s">
        <v>1244</v>
      </c>
      <c r="C652" s="217">
        <f>IF(ISNUMBER(VLOOKUP($B:$B,BS!$A:$D,$2:$2,0)),VLOOKUP($B:$B,BS!$A:$D,$2:$2,0),0)</f>
        <v>0</v>
      </c>
      <c r="D652" s="217">
        <f>IF(ISNUMBER(VLOOKUP($B:$B,BS!$A:$D,$2:$2,0)),VLOOKUP($B:$B,BS!$A:$D,$2:$2,0),0)</f>
        <v>0</v>
      </c>
      <c r="E652" s="217">
        <f>IF(ISNUMBER(VLOOKUP($B:$B,BS!$A:$D,$2:$2,0)),VLOOKUP($B:$B,BS!$A:$D,$2:$2,0),0)</f>
        <v>0</v>
      </c>
      <c r="F652" s="217">
        <f>IF(ISNUMBER(VLOOKUP($B:$B,BS!$A:$D,$2:$2,0)),VLOOKUP($B:$B,BS!$A:$D,$2:$2,0),0)</f>
        <v>0</v>
      </c>
      <c r="G652" s="217">
        <f>IF(ISNUMBER(VLOOKUP($B:$B,BS!$A:$D,$2:$2,0)),VLOOKUP($B:$B,BS!$A:$D,$2:$2,0),0)</f>
        <v>0</v>
      </c>
      <c r="H652" s="207">
        <f>IF(ISNUMBER(VLOOKUP($B:$B,'BS(과거)'!$A:$F,$2:$2,0)),VLOOKUP($B:$B,'BS(과거)'!$A:$F,$2:$2,0),0)</f>
        <v>0</v>
      </c>
      <c r="I652" s="207">
        <f>IF(ISNUMBER(VLOOKUP($B:$B,'BS(과거)'!$A:$F,$2:$2,0)),VLOOKUP($B:$B,'BS(과거)'!$A:$F,$2:$2,0),0)</f>
        <v>0</v>
      </c>
      <c r="J652" s="207">
        <f>IF(ISNUMBER(VLOOKUP($B:$B,'BS(과거)'!$A:$F,$2:$2,0)),VLOOKUP($B:$B,'BS(과거)'!$A:$F,$2:$2,0),0)</f>
        <v>0</v>
      </c>
      <c r="K652" s="207">
        <f>IF(ISNUMBER(VLOOKUP($B:$B,'BS(과거)'!$A:$F,$2:$2,0)),VLOOKUP($B:$B,'BS(과거)'!$A:$F,$2:$2,0),0)</f>
        <v>0</v>
      </c>
      <c r="L652" s="207">
        <f>IF(ISNUMBER(VLOOKUP($B:$B,'BS(과거)'!$A:$F,$2:$2,0)),VLOOKUP($B:$B,'BS(과거)'!$A:$F,$2:$2,0),0)</f>
        <v>0</v>
      </c>
      <c r="N652" s="207">
        <f>IF(ISNUMBER(VLOOKUP($B:$B,'BS(분기)'!$A:$F,$2:$2,0)),VLOOKUP($B:$B,'BS(분기)'!$A:$F,$2:$2,0),0)</f>
        <v>0</v>
      </c>
      <c r="O652" s="207">
        <f>IF(ISNUMBER(VLOOKUP($B:$B,'BS(분기)'!$A:$F,$2:$2,0)),VLOOKUP($B:$B,'BS(분기)'!$A:$F,$2:$2,0),0)</f>
        <v>0</v>
      </c>
      <c r="P652" s="207">
        <f>IF(ISNUMBER(VLOOKUP($B:$B,'BS(분기)'!$A:$F,$2:$2,0)),VLOOKUP($B:$B,'BS(분기)'!$A:$F,$2:$2,0),0)</f>
        <v>0</v>
      </c>
      <c r="Q652" s="207">
        <f>IF(ISNUMBER(VLOOKUP($B:$B,'BS(분기)'!$A:$F,$2:$2,0)),VLOOKUP($B:$B,'BS(분기)'!$A:$F,$2:$2,0),0)</f>
        <v>0</v>
      </c>
      <c r="R652" s="207">
        <f>IF(ISNUMBER(VLOOKUP($B:$B,'BS(분기)'!$A:$F,$2:$2,0)),VLOOKUP($B:$B,'BS(분기)'!$A:$F,$2:$2,0),0)</f>
        <v>0</v>
      </c>
    </row>
    <row r="653" spans="1:18" s="192" customFormat="1" ht="12">
      <c r="A653" s="203">
        <v>116645</v>
      </c>
      <c r="B653" s="196" t="s">
        <v>1246</v>
      </c>
      <c r="C653" s="217">
        <f>IF(ISNUMBER(VLOOKUP($B:$B,BS!$A:$D,$2:$2,0)),VLOOKUP($B:$B,BS!$A:$D,$2:$2,0),0)</f>
        <v>0</v>
      </c>
      <c r="D653" s="217">
        <f>IF(ISNUMBER(VLOOKUP($B:$B,BS!$A:$D,$2:$2,0)),VLOOKUP($B:$B,BS!$A:$D,$2:$2,0),0)</f>
        <v>0</v>
      </c>
      <c r="E653" s="217">
        <f>IF(ISNUMBER(VLOOKUP($B:$B,BS!$A:$D,$2:$2,0)),VLOOKUP($B:$B,BS!$A:$D,$2:$2,0),0)</f>
        <v>0</v>
      </c>
      <c r="F653" s="217">
        <f>IF(ISNUMBER(VLOOKUP($B:$B,BS!$A:$D,$2:$2,0)),VLOOKUP($B:$B,BS!$A:$D,$2:$2,0),0)</f>
        <v>0</v>
      </c>
      <c r="G653" s="217">
        <f>IF(ISNUMBER(VLOOKUP($B:$B,BS!$A:$D,$2:$2,0)),VLOOKUP($B:$B,BS!$A:$D,$2:$2,0),0)</f>
        <v>0</v>
      </c>
      <c r="H653" s="207">
        <f>IF(ISNUMBER(VLOOKUP($B:$B,'BS(과거)'!$A:$F,$2:$2,0)),VLOOKUP($B:$B,'BS(과거)'!$A:$F,$2:$2,0),0)</f>
        <v>0</v>
      </c>
      <c r="I653" s="207">
        <f>IF(ISNUMBER(VLOOKUP($B:$B,'BS(과거)'!$A:$F,$2:$2,0)),VLOOKUP($B:$B,'BS(과거)'!$A:$F,$2:$2,0),0)</f>
        <v>0</v>
      </c>
      <c r="J653" s="207">
        <f>IF(ISNUMBER(VLOOKUP($B:$B,'BS(과거)'!$A:$F,$2:$2,0)),VLOOKUP($B:$B,'BS(과거)'!$A:$F,$2:$2,0),0)</f>
        <v>0</v>
      </c>
      <c r="K653" s="207">
        <f>IF(ISNUMBER(VLOOKUP($B:$B,'BS(과거)'!$A:$F,$2:$2,0)),VLOOKUP($B:$B,'BS(과거)'!$A:$F,$2:$2,0),0)</f>
        <v>0</v>
      </c>
      <c r="L653" s="207">
        <f>IF(ISNUMBER(VLOOKUP($B:$B,'BS(과거)'!$A:$F,$2:$2,0)),VLOOKUP($B:$B,'BS(과거)'!$A:$F,$2:$2,0),0)</f>
        <v>0</v>
      </c>
      <c r="N653" s="207">
        <f>IF(ISNUMBER(VLOOKUP($B:$B,'BS(분기)'!$A:$F,$2:$2,0)),VLOOKUP($B:$B,'BS(분기)'!$A:$F,$2:$2,0),0)</f>
        <v>0</v>
      </c>
      <c r="O653" s="207">
        <f>IF(ISNUMBER(VLOOKUP($B:$B,'BS(분기)'!$A:$F,$2:$2,0)),VLOOKUP($B:$B,'BS(분기)'!$A:$F,$2:$2,0),0)</f>
        <v>0</v>
      </c>
      <c r="P653" s="207">
        <f>IF(ISNUMBER(VLOOKUP($B:$B,'BS(분기)'!$A:$F,$2:$2,0)),VLOOKUP($B:$B,'BS(분기)'!$A:$F,$2:$2,0),0)</f>
        <v>0</v>
      </c>
      <c r="Q653" s="207">
        <f>IF(ISNUMBER(VLOOKUP($B:$B,'BS(분기)'!$A:$F,$2:$2,0)),VLOOKUP($B:$B,'BS(분기)'!$A:$F,$2:$2,0),0)</f>
        <v>0</v>
      </c>
      <c r="R653" s="207">
        <f>IF(ISNUMBER(VLOOKUP($B:$B,'BS(분기)'!$A:$F,$2:$2,0)),VLOOKUP($B:$B,'BS(분기)'!$A:$F,$2:$2,0),0)</f>
        <v>0</v>
      </c>
    </row>
    <row r="654" spans="1:18" s="192" customFormat="1" ht="12">
      <c r="A654" s="203">
        <v>116646</v>
      </c>
      <c r="B654" s="196" t="s">
        <v>1247</v>
      </c>
      <c r="C654" s="217">
        <f>IF(ISNUMBER(VLOOKUP($B:$B,BS!$A:$D,$2:$2,0)),VLOOKUP($B:$B,BS!$A:$D,$2:$2,0),0)</f>
        <v>0</v>
      </c>
      <c r="D654" s="217">
        <f>IF(ISNUMBER(VLOOKUP($B:$B,BS!$A:$D,$2:$2,0)),VLOOKUP($B:$B,BS!$A:$D,$2:$2,0),0)</f>
        <v>0</v>
      </c>
      <c r="E654" s="217">
        <f>IF(ISNUMBER(VLOOKUP($B:$B,BS!$A:$D,$2:$2,0)),VLOOKUP($B:$B,BS!$A:$D,$2:$2,0),0)</f>
        <v>0</v>
      </c>
      <c r="F654" s="217">
        <f>IF(ISNUMBER(VLOOKUP($B:$B,BS!$A:$D,$2:$2,0)),VLOOKUP($B:$B,BS!$A:$D,$2:$2,0),0)</f>
        <v>0</v>
      </c>
      <c r="G654" s="217">
        <f>IF(ISNUMBER(VLOOKUP($B:$B,BS!$A:$D,$2:$2,0)),VLOOKUP($B:$B,BS!$A:$D,$2:$2,0),0)</f>
        <v>0</v>
      </c>
      <c r="H654" s="207">
        <f>IF(ISNUMBER(VLOOKUP($B:$B,'BS(과거)'!$A:$F,$2:$2,0)),VLOOKUP($B:$B,'BS(과거)'!$A:$F,$2:$2,0),0)</f>
        <v>0</v>
      </c>
      <c r="I654" s="207">
        <f>IF(ISNUMBER(VLOOKUP($B:$B,'BS(과거)'!$A:$F,$2:$2,0)),VLOOKUP($B:$B,'BS(과거)'!$A:$F,$2:$2,0),0)</f>
        <v>0</v>
      </c>
      <c r="J654" s="207">
        <f>IF(ISNUMBER(VLOOKUP($B:$B,'BS(과거)'!$A:$F,$2:$2,0)),VLOOKUP($B:$B,'BS(과거)'!$A:$F,$2:$2,0),0)</f>
        <v>0</v>
      </c>
      <c r="K654" s="207">
        <f>IF(ISNUMBER(VLOOKUP($B:$B,'BS(과거)'!$A:$F,$2:$2,0)),VLOOKUP($B:$B,'BS(과거)'!$A:$F,$2:$2,0),0)</f>
        <v>0</v>
      </c>
      <c r="L654" s="207">
        <f>IF(ISNUMBER(VLOOKUP($B:$B,'BS(과거)'!$A:$F,$2:$2,0)),VLOOKUP($B:$B,'BS(과거)'!$A:$F,$2:$2,0),0)</f>
        <v>0</v>
      </c>
      <c r="N654" s="207">
        <f>IF(ISNUMBER(VLOOKUP($B:$B,'BS(분기)'!$A:$F,$2:$2,0)),VLOOKUP($B:$B,'BS(분기)'!$A:$F,$2:$2,0),0)</f>
        <v>0</v>
      </c>
      <c r="O654" s="207">
        <f>IF(ISNUMBER(VLOOKUP($B:$B,'BS(분기)'!$A:$F,$2:$2,0)),VLOOKUP($B:$B,'BS(분기)'!$A:$F,$2:$2,0),0)</f>
        <v>0</v>
      </c>
      <c r="P654" s="207">
        <f>IF(ISNUMBER(VLOOKUP($B:$B,'BS(분기)'!$A:$F,$2:$2,0)),VLOOKUP($B:$B,'BS(분기)'!$A:$F,$2:$2,0),0)</f>
        <v>0</v>
      </c>
      <c r="Q654" s="207">
        <f>IF(ISNUMBER(VLOOKUP($B:$B,'BS(분기)'!$A:$F,$2:$2,0)),VLOOKUP($B:$B,'BS(분기)'!$A:$F,$2:$2,0),0)</f>
        <v>0</v>
      </c>
      <c r="R654" s="207">
        <f>IF(ISNUMBER(VLOOKUP($B:$B,'BS(분기)'!$A:$F,$2:$2,0)),VLOOKUP($B:$B,'BS(분기)'!$A:$F,$2:$2,0),0)</f>
        <v>0</v>
      </c>
    </row>
    <row r="655" spans="1:18" s="192" customFormat="1" ht="12">
      <c r="A655" s="203">
        <v>116647</v>
      </c>
      <c r="B655" s="196" t="s">
        <v>1248</v>
      </c>
      <c r="C655" s="217">
        <f>IF(ISNUMBER(VLOOKUP($B:$B,BS!$A:$D,$2:$2,0)),VLOOKUP($B:$B,BS!$A:$D,$2:$2,0),0)</f>
        <v>0</v>
      </c>
      <c r="D655" s="217">
        <f>IF(ISNUMBER(VLOOKUP($B:$B,BS!$A:$D,$2:$2,0)),VLOOKUP($B:$B,BS!$A:$D,$2:$2,0),0)</f>
        <v>0</v>
      </c>
      <c r="E655" s="217">
        <f>IF(ISNUMBER(VLOOKUP($B:$B,BS!$A:$D,$2:$2,0)),VLOOKUP($B:$B,BS!$A:$D,$2:$2,0),0)</f>
        <v>0</v>
      </c>
      <c r="F655" s="217">
        <f>IF(ISNUMBER(VLOOKUP($B:$B,BS!$A:$D,$2:$2,0)),VLOOKUP($B:$B,BS!$A:$D,$2:$2,0),0)</f>
        <v>0</v>
      </c>
      <c r="G655" s="217">
        <f>IF(ISNUMBER(VLOOKUP($B:$B,BS!$A:$D,$2:$2,0)),VLOOKUP($B:$B,BS!$A:$D,$2:$2,0),0)</f>
        <v>0</v>
      </c>
      <c r="H655" s="207">
        <f>IF(ISNUMBER(VLOOKUP($B:$B,'BS(과거)'!$A:$F,$2:$2,0)),VLOOKUP($B:$B,'BS(과거)'!$A:$F,$2:$2,0),0)</f>
        <v>0</v>
      </c>
      <c r="I655" s="207">
        <f>IF(ISNUMBER(VLOOKUP($B:$B,'BS(과거)'!$A:$F,$2:$2,0)),VLOOKUP($B:$B,'BS(과거)'!$A:$F,$2:$2,0),0)</f>
        <v>0</v>
      </c>
      <c r="J655" s="207">
        <f>IF(ISNUMBER(VLOOKUP($B:$B,'BS(과거)'!$A:$F,$2:$2,0)),VLOOKUP($B:$B,'BS(과거)'!$A:$F,$2:$2,0),0)</f>
        <v>0</v>
      </c>
      <c r="K655" s="207">
        <f>IF(ISNUMBER(VLOOKUP($B:$B,'BS(과거)'!$A:$F,$2:$2,0)),VLOOKUP($B:$B,'BS(과거)'!$A:$F,$2:$2,0),0)</f>
        <v>0</v>
      </c>
      <c r="L655" s="207">
        <f>IF(ISNUMBER(VLOOKUP($B:$B,'BS(과거)'!$A:$F,$2:$2,0)),VLOOKUP($B:$B,'BS(과거)'!$A:$F,$2:$2,0),0)</f>
        <v>0</v>
      </c>
      <c r="N655" s="207">
        <f>IF(ISNUMBER(VLOOKUP($B:$B,'BS(분기)'!$A:$F,$2:$2,0)),VLOOKUP($B:$B,'BS(분기)'!$A:$F,$2:$2,0),0)</f>
        <v>0</v>
      </c>
      <c r="O655" s="207">
        <f>IF(ISNUMBER(VLOOKUP($B:$B,'BS(분기)'!$A:$F,$2:$2,0)),VLOOKUP($B:$B,'BS(분기)'!$A:$F,$2:$2,0),0)</f>
        <v>0</v>
      </c>
      <c r="P655" s="207">
        <f>IF(ISNUMBER(VLOOKUP($B:$B,'BS(분기)'!$A:$F,$2:$2,0)),VLOOKUP($B:$B,'BS(분기)'!$A:$F,$2:$2,0),0)</f>
        <v>0</v>
      </c>
      <c r="Q655" s="207">
        <f>IF(ISNUMBER(VLOOKUP($B:$B,'BS(분기)'!$A:$F,$2:$2,0)),VLOOKUP($B:$B,'BS(분기)'!$A:$F,$2:$2,0),0)</f>
        <v>0</v>
      </c>
      <c r="R655" s="207">
        <f>IF(ISNUMBER(VLOOKUP($B:$B,'BS(분기)'!$A:$F,$2:$2,0)),VLOOKUP($B:$B,'BS(분기)'!$A:$F,$2:$2,0),0)</f>
        <v>0</v>
      </c>
    </row>
    <row r="656" spans="1:18" s="192" customFormat="1" ht="12">
      <c r="A656" s="203">
        <v>116640</v>
      </c>
      <c r="B656" s="196" t="s">
        <v>846</v>
      </c>
      <c r="C656" s="217">
        <f>IF(ISNUMBER(VLOOKUP($B:$B,BS!$A:$D,$2:$2,0)),VLOOKUP($B:$B,BS!$A:$D,$2:$2,0),0)</f>
        <v>0</v>
      </c>
      <c r="D656" s="217">
        <f>IF(ISNUMBER(VLOOKUP($B:$B,BS!$A:$D,$2:$2,0)),VLOOKUP($B:$B,BS!$A:$D,$2:$2,0),0)</f>
        <v>0</v>
      </c>
      <c r="E656" s="217">
        <f>IF(ISNUMBER(VLOOKUP($B:$B,BS!$A:$D,$2:$2,0)),VLOOKUP($B:$B,BS!$A:$D,$2:$2,0),0)</f>
        <v>0</v>
      </c>
      <c r="F656" s="217">
        <f>IF(ISNUMBER(VLOOKUP($B:$B,BS!$A:$D,$2:$2,0)),VLOOKUP($B:$B,BS!$A:$D,$2:$2,0),0)</f>
        <v>0</v>
      </c>
      <c r="G656" s="217">
        <f>IF(ISNUMBER(VLOOKUP($B:$B,BS!$A:$D,$2:$2,0)),VLOOKUP($B:$B,BS!$A:$D,$2:$2,0),0)</f>
        <v>0</v>
      </c>
      <c r="H656" s="207">
        <f>IF(ISNUMBER(VLOOKUP($B:$B,'BS(과거)'!$A:$F,$2:$2,0)),VLOOKUP($B:$B,'BS(과거)'!$A:$F,$2:$2,0),0)</f>
        <v>0</v>
      </c>
      <c r="I656" s="207">
        <f>IF(ISNUMBER(VLOOKUP($B:$B,'BS(과거)'!$A:$F,$2:$2,0)),VLOOKUP($B:$B,'BS(과거)'!$A:$F,$2:$2,0),0)</f>
        <v>0</v>
      </c>
      <c r="J656" s="207">
        <f>IF(ISNUMBER(VLOOKUP($B:$B,'BS(과거)'!$A:$F,$2:$2,0)),VLOOKUP($B:$B,'BS(과거)'!$A:$F,$2:$2,0),0)</f>
        <v>0</v>
      </c>
      <c r="K656" s="207">
        <f>IF(ISNUMBER(VLOOKUP($B:$B,'BS(과거)'!$A:$F,$2:$2,0)),VLOOKUP($B:$B,'BS(과거)'!$A:$F,$2:$2,0),0)</f>
        <v>0</v>
      </c>
      <c r="L656" s="207">
        <f>IF(ISNUMBER(VLOOKUP($B:$B,'BS(과거)'!$A:$F,$2:$2,0)),VLOOKUP($B:$B,'BS(과거)'!$A:$F,$2:$2,0),0)</f>
        <v>0</v>
      </c>
      <c r="N656" s="207">
        <f>IF(ISNUMBER(VLOOKUP($B:$B,'BS(분기)'!$A:$F,$2:$2,0)),VLOOKUP($B:$B,'BS(분기)'!$A:$F,$2:$2,0),0)</f>
        <v>0</v>
      </c>
      <c r="O656" s="207">
        <f>IF(ISNUMBER(VLOOKUP($B:$B,'BS(분기)'!$A:$F,$2:$2,0)),VLOOKUP($B:$B,'BS(분기)'!$A:$F,$2:$2,0),0)</f>
        <v>0</v>
      </c>
      <c r="P656" s="207">
        <f>IF(ISNUMBER(VLOOKUP($B:$B,'BS(분기)'!$A:$F,$2:$2,0)),VLOOKUP($B:$B,'BS(분기)'!$A:$F,$2:$2,0),0)</f>
        <v>0</v>
      </c>
      <c r="Q656" s="207">
        <f>IF(ISNUMBER(VLOOKUP($B:$B,'BS(분기)'!$A:$F,$2:$2,0)),VLOOKUP($B:$B,'BS(분기)'!$A:$F,$2:$2,0),0)</f>
        <v>0</v>
      </c>
      <c r="R656" s="207">
        <f>IF(ISNUMBER(VLOOKUP($B:$B,'BS(분기)'!$A:$F,$2:$2,0)),VLOOKUP($B:$B,'BS(분기)'!$A:$F,$2:$2,0),0)</f>
        <v>0</v>
      </c>
    </row>
    <row r="657" spans="1:18" s="192" customFormat="1" ht="12">
      <c r="A657" s="202">
        <v>116805</v>
      </c>
      <c r="B657" s="195" t="s">
        <v>821</v>
      </c>
      <c r="C657" s="217">
        <f>IF(ISNUMBER(VLOOKUP($B:$B,BS!$A:$D,$2:$2,0)),VLOOKUP($B:$B,BS!$A:$D,$2:$2,0),0)</f>
        <v>0</v>
      </c>
      <c r="D657" s="217">
        <f>IF(ISNUMBER(VLOOKUP($B:$B,BS!$A:$D,$2:$2,0)),VLOOKUP($B:$B,BS!$A:$D,$2:$2,0),0)</f>
        <v>0</v>
      </c>
      <c r="E657" s="217">
        <f>IF(ISNUMBER(VLOOKUP($B:$B,BS!$A:$D,$2:$2,0)),VLOOKUP($B:$B,BS!$A:$D,$2:$2,0),0)</f>
        <v>0</v>
      </c>
      <c r="F657" s="217">
        <f>IF(ISNUMBER(VLOOKUP($B:$B,BS!$A:$D,$2:$2,0)),VLOOKUP($B:$B,BS!$A:$D,$2:$2,0),0)</f>
        <v>0</v>
      </c>
      <c r="G657" s="217">
        <f>IF(ISNUMBER(VLOOKUP($B:$B,BS!$A:$D,$2:$2,0)),VLOOKUP($B:$B,BS!$A:$D,$2:$2,0),0)</f>
        <v>0</v>
      </c>
      <c r="H657" s="207">
        <f>IF(ISNUMBER(VLOOKUP($B:$B,'BS(과거)'!$A:$F,$2:$2,0)),VLOOKUP($B:$B,'BS(과거)'!$A:$F,$2:$2,0),0)</f>
        <v>0</v>
      </c>
      <c r="I657" s="207">
        <f>IF(ISNUMBER(VLOOKUP($B:$B,'BS(과거)'!$A:$F,$2:$2,0)),VLOOKUP($B:$B,'BS(과거)'!$A:$F,$2:$2,0),0)</f>
        <v>0</v>
      </c>
      <c r="J657" s="207">
        <f>IF(ISNUMBER(VLOOKUP($B:$B,'BS(과거)'!$A:$F,$2:$2,0)),VLOOKUP($B:$B,'BS(과거)'!$A:$F,$2:$2,0),0)</f>
        <v>0</v>
      </c>
      <c r="K657" s="207">
        <f>IF(ISNUMBER(VLOOKUP($B:$B,'BS(과거)'!$A:$F,$2:$2,0)),VLOOKUP($B:$B,'BS(과거)'!$A:$F,$2:$2,0),0)</f>
        <v>0</v>
      </c>
      <c r="L657" s="207">
        <f>IF(ISNUMBER(VLOOKUP($B:$B,'BS(과거)'!$A:$F,$2:$2,0)),VLOOKUP($B:$B,'BS(과거)'!$A:$F,$2:$2,0),0)</f>
        <v>0</v>
      </c>
      <c r="N657" s="207">
        <f>IF(ISNUMBER(VLOOKUP($B:$B,'BS(분기)'!$A:$F,$2:$2,0)),VLOOKUP($B:$B,'BS(분기)'!$A:$F,$2:$2,0),0)</f>
        <v>0</v>
      </c>
      <c r="O657" s="207">
        <f>IF(ISNUMBER(VLOOKUP($B:$B,'BS(분기)'!$A:$F,$2:$2,0)),VLOOKUP($B:$B,'BS(분기)'!$A:$F,$2:$2,0),0)</f>
        <v>0</v>
      </c>
      <c r="P657" s="207">
        <f>IF(ISNUMBER(VLOOKUP($B:$B,'BS(분기)'!$A:$F,$2:$2,0)),VLOOKUP($B:$B,'BS(분기)'!$A:$F,$2:$2,0),0)</f>
        <v>0</v>
      </c>
      <c r="Q657" s="207">
        <f>IF(ISNUMBER(VLOOKUP($B:$B,'BS(분기)'!$A:$F,$2:$2,0)),VLOOKUP($B:$B,'BS(분기)'!$A:$F,$2:$2,0),0)</f>
        <v>0</v>
      </c>
      <c r="R657" s="207">
        <f>IF(ISNUMBER(VLOOKUP($B:$B,'BS(분기)'!$A:$F,$2:$2,0)),VLOOKUP($B:$B,'BS(분기)'!$A:$F,$2:$2,0),0)</f>
        <v>0</v>
      </c>
    </row>
    <row r="658" spans="1:18" s="192" customFormat="1" ht="12">
      <c r="A658" s="203">
        <v>116806</v>
      </c>
      <c r="B658" s="196" t="s">
        <v>1221</v>
      </c>
      <c r="C658" s="217">
        <f>IF(ISNUMBER(VLOOKUP($B:$B,BS!$A:$D,$2:$2,0)),VLOOKUP($B:$B,BS!$A:$D,$2:$2,0),0)</f>
        <v>0</v>
      </c>
      <c r="D658" s="217">
        <f>IF(ISNUMBER(VLOOKUP($B:$B,BS!$A:$D,$2:$2,0)),VLOOKUP($B:$B,BS!$A:$D,$2:$2,0),0)</f>
        <v>0</v>
      </c>
      <c r="E658" s="217">
        <f>IF(ISNUMBER(VLOOKUP($B:$B,BS!$A:$D,$2:$2,0)),VLOOKUP($B:$B,BS!$A:$D,$2:$2,0),0)</f>
        <v>0</v>
      </c>
      <c r="F658" s="217">
        <f>IF(ISNUMBER(VLOOKUP($B:$B,BS!$A:$D,$2:$2,0)),VLOOKUP($B:$B,BS!$A:$D,$2:$2,0),0)</f>
        <v>0</v>
      </c>
      <c r="G658" s="217">
        <f>IF(ISNUMBER(VLOOKUP($B:$B,BS!$A:$D,$2:$2,0)),VLOOKUP($B:$B,BS!$A:$D,$2:$2,0),0)</f>
        <v>0</v>
      </c>
      <c r="H658" s="207">
        <f>IF(ISNUMBER(VLOOKUP($B:$B,'BS(과거)'!$A:$F,$2:$2,0)),VLOOKUP($B:$B,'BS(과거)'!$A:$F,$2:$2,0),0)</f>
        <v>0</v>
      </c>
      <c r="I658" s="207">
        <f>IF(ISNUMBER(VLOOKUP($B:$B,'BS(과거)'!$A:$F,$2:$2,0)),VLOOKUP($B:$B,'BS(과거)'!$A:$F,$2:$2,0),0)</f>
        <v>0</v>
      </c>
      <c r="J658" s="207">
        <f>IF(ISNUMBER(VLOOKUP($B:$B,'BS(과거)'!$A:$F,$2:$2,0)),VLOOKUP($B:$B,'BS(과거)'!$A:$F,$2:$2,0),0)</f>
        <v>0</v>
      </c>
      <c r="K658" s="207">
        <f>IF(ISNUMBER(VLOOKUP($B:$B,'BS(과거)'!$A:$F,$2:$2,0)),VLOOKUP($B:$B,'BS(과거)'!$A:$F,$2:$2,0),0)</f>
        <v>0</v>
      </c>
      <c r="L658" s="207">
        <f>IF(ISNUMBER(VLOOKUP($B:$B,'BS(과거)'!$A:$F,$2:$2,0)),VLOOKUP($B:$B,'BS(과거)'!$A:$F,$2:$2,0),0)</f>
        <v>0</v>
      </c>
      <c r="N658" s="207">
        <f>IF(ISNUMBER(VLOOKUP($B:$B,'BS(분기)'!$A:$F,$2:$2,0)),VLOOKUP($B:$B,'BS(분기)'!$A:$F,$2:$2,0),0)</f>
        <v>0</v>
      </c>
      <c r="O658" s="207">
        <f>IF(ISNUMBER(VLOOKUP($B:$B,'BS(분기)'!$A:$F,$2:$2,0)),VLOOKUP($B:$B,'BS(분기)'!$A:$F,$2:$2,0),0)</f>
        <v>0</v>
      </c>
      <c r="P658" s="207">
        <f>IF(ISNUMBER(VLOOKUP($B:$B,'BS(분기)'!$A:$F,$2:$2,0)),VLOOKUP($B:$B,'BS(분기)'!$A:$F,$2:$2,0),0)</f>
        <v>0</v>
      </c>
      <c r="Q658" s="207">
        <f>IF(ISNUMBER(VLOOKUP($B:$B,'BS(분기)'!$A:$F,$2:$2,0)),VLOOKUP($B:$B,'BS(분기)'!$A:$F,$2:$2,0),0)</f>
        <v>0</v>
      </c>
      <c r="R658" s="207">
        <f>IF(ISNUMBER(VLOOKUP($B:$B,'BS(분기)'!$A:$F,$2:$2,0)),VLOOKUP($B:$B,'BS(분기)'!$A:$F,$2:$2,0),0)</f>
        <v>0</v>
      </c>
    </row>
    <row r="659" spans="1:18" s="192" customFormat="1" ht="12">
      <c r="A659" s="203">
        <v>116800</v>
      </c>
      <c r="B659" s="196" t="s">
        <v>1222</v>
      </c>
      <c r="C659" s="217">
        <f>IF(ISNUMBER(VLOOKUP($B:$B,BS!$A:$D,$2:$2,0)),VLOOKUP($B:$B,BS!$A:$D,$2:$2,0),0)</f>
        <v>0</v>
      </c>
      <c r="D659" s="217">
        <f>IF(ISNUMBER(VLOOKUP($B:$B,BS!$A:$D,$2:$2,0)),VLOOKUP($B:$B,BS!$A:$D,$2:$2,0),0)</f>
        <v>0</v>
      </c>
      <c r="E659" s="217">
        <f>IF(ISNUMBER(VLOOKUP($B:$B,BS!$A:$D,$2:$2,0)),VLOOKUP($B:$B,BS!$A:$D,$2:$2,0),0)</f>
        <v>0</v>
      </c>
      <c r="F659" s="217">
        <f>IF(ISNUMBER(VLOOKUP($B:$B,BS!$A:$D,$2:$2,0)),VLOOKUP($B:$B,BS!$A:$D,$2:$2,0),0)</f>
        <v>0</v>
      </c>
      <c r="G659" s="217">
        <f>IF(ISNUMBER(VLOOKUP($B:$B,BS!$A:$D,$2:$2,0)),VLOOKUP($B:$B,BS!$A:$D,$2:$2,0),0)</f>
        <v>0</v>
      </c>
      <c r="H659" s="207">
        <f>IF(ISNUMBER(VLOOKUP($B:$B,'BS(과거)'!$A:$F,$2:$2,0)),VLOOKUP($B:$B,'BS(과거)'!$A:$F,$2:$2,0),0)</f>
        <v>0</v>
      </c>
      <c r="I659" s="207">
        <f>IF(ISNUMBER(VLOOKUP($B:$B,'BS(과거)'!$A:$F,$2:$2,0)),VLOOKUP($B:$B,'BS(과거)'!$A:$F,$2:$2,0),0)</f>
        <v>0</v>
      </c>
      <c r="J659" s="207">
        <f>IF(ISNUMBER(VLOOKUP($B:$B,'BS(과거)'!$A:$F,$2:$2,0)),VLOOKUP($B:$B,'BS(과거)'!$A:$F,$2:$2,0),0)</f>
        <v>0</v>
      </c>
      <c r="K659" s="207">
        <f>IF(ISNUMBER(VLOOKUP($B:$B,'BS(과거)'!$A:$F,$2:$2,0)),VLOOKUP($B:$B,'BS(과거)'!$A:$F,$2:$2,0),0)</f>
        <v>0</v>
      </c>
      <c r="L659" s="207">
        <f>IF(ISNUMBER(VLOOKUP($B:$B,'BS(과거)'!$A:$F,$2:$2,0)),VLOOKUP($B:$B,'BS(과거)'!$A:$F,$2:$2,0),0)</f>
        <v>0</v>
      </c>
      <c r="N659" s="207">
        <f>IF(ISNUMBER(VLOOKUP($B:$B,'BS(분기)'!$A:$F,$2:$2,0)),VLOOKUP($B:$B,'BS(분기)'!$A:$F,$2:$2,0),0)</f>
        <v>0</v>
      </c>
      <c r="O659" s="207">
        <f>IF(ISNUMBER(VLOOKUP($B:$B,'BS(분기)'!$A:$F,$2:$2,0)),VLOOKUP($B:$B,'BS(분기)'!$A:$F,$2:$2,0),0)</f>
        <v>0</v>
      </c>
      <c r="P659" s="207">
        <f>IF(ISNUMBER(VLOOKUP($B:$B,'BS(분기)'!$A:$F,$2:$2,0)),VLOOKUP($B:$B,'BS(분기)'!$A:$F,$2:$2,0),0)</f>
        <v>0</v>
      </c>
      <c r="Q659" s="207">
        <f>IF(ISNUMBER(VLOOKUP($B:$B,'BS(분기)'!$A:$F,$2:$2,0)),VLOOKUP($B:$B,'BS(분기)'!$A:$F,$2:$2,0),0)</f>
        <v>0</v>
      </c>
      <c r="R659" s="207">
        <f>IF(ISNUMBER(VLOOKUP($B:$B,'BS(분기)'!$A:$F,$2:$2,0)),VLOOKUP($B:$B,'BS(분기)'!$A:$F,$2:$2,0),0)</f>
        <v>0</v>
      </c>
    </row>
    <row r="660" spans="1:18" s="192" customFormat="1" ht="12">
      <c r="A660" s="203">
        <v>116920</v>
      </c>
      <c r="B660" s="196" t="s">
        <v>1296</v>
      </c>
      <c r="C660" s="217">
        <f>IF(ISNUMBER(VLOOKUP($B:$B,BS!$A:$D,$2:$2,0)),VLOOKUP($B:$B,BS!$A:$D,$2:$2,0),0)</f>
        <v>0</v>
      </c>
      <c r="D660" s="217">
        <f>IF(ISNUMBER(VLOOKUP($B:$B,BS!$A:$D,$2:$2,0)),VLOOKUP($B:$B,BS!$A:$D,$2:$2,0),0)</f>
        <v>0</v>
      </c>
      <c r="E660" s="217">
        <f>IF(ISNUMBER(VLOOKUP($B:$B,BS!$A:$D,$2:$2,0)),VLOOKUP($B:$B,BS!$A:$D,$2:$2,0),0)</f>
        <v>0</v>
      </c>
      <c r="F660" s="217">
        <f>IF(ISNUMBER(VLOOKUP($B:$B,BS!$A:$D,$2:$2,0)),VLOOKUP($B:$B,BS!$A:$D,$2:$2,0),0)</f>
        <v>0</v>
      </c>
      <c r="G660" s="217">
        <f>IF(ISNUMBER(VLOOKUP($B:$B,BS!$A:$D,$2:$2,0)),VLOOKUP($B:$B,BS!$A:$D,$2:$2,0),0)</f>
        <v>0</v>
      </c>
      <c r="H660" s="207">
        <f>IF(ISNUMBER(VLOOKUP($B:$B,'BS(과거)'!$A:$F,$2:$2,0)),VLOOKUP($B:$B,'BS(과거)'!$A:$F,$2:$2,0),0)</f>
        <v>0</v>
      </c>
      <c r="I660" s="207">
        <f>IF(ISNUMBER(VLOOKUP($B:$B,'BS(과거)'!$A:$F,$2:$2,0)),VLOOKUP($B:$B,'BS(과거)'!$A:$F,$2:$2,0),0)</f>
        <v>0</v>
      </c>
      <c r="J660" s="207">
        <f>IF(ISNUMBER(VLOOKUP($B:$B,'BS(과거)'!$A:$F,$2:$2,0)),VLOOKUP($B:$B,'BS(과거)'!$A:$F,$2:$2,0),0)</f>
        <v>0</v>
      </c>
      <c r="K660" s="207">
        <f>IF(ISNUMBER(VLOOKUP($B:$B,'BS(과거)'!$A:$F,$2:$2,0)),VLOOKUP($B:$B,'BS(과거)'!$A:$F,$2:$2,0),0)</f>
        <v>0</v>
      </c>
      <c r="L660" s="207">
        <f>IF(ISNUMBER(VLOOKUP($B:$B,'BS(과거)'!$A:$F,$2:$2,0)),VLOOKUP($B:$B,'BS(과거)'!$A:$F,$2:$2,0),0)</f>
        <v>0</v>
      </c>
      <c r="N660" s="207">
        <f>IF(ISNUMBER(VLOOKUP($B:$B,'BS(분기)'!$A:$F,$2:$2,0)),VLOOKUP($B:$B,'BS(분기)'!$A:$F,$2:$2,0),0)</f>
        <v>0</v>
      </c>
      <c r="O660" s="207">
        <f>IF(ISNUMBER(VLOOKUP($B:$B,'BS(분기)'!$A:$F,$2:$2,0)),VLOOKUP($B:$B,'BS(분기)'!$A:$F,$2:$2,0),0)</f>
        <v>0</v>
      </c>
      <c r="P660" s="207">
        <f>IF(ISNUMBER(VLOOKUP($B:$B,'BS(분기)'!$A:$F,$2:$2,0)),VLOOKUP($B:$B,'BS(분기)'!$A:$F,$2:$2,0),0)</f>
        <v>0</v>
      </c>
      <c r="Q660" s="207">
        <f>IF(ISNUMBER(VLOOKUP($B:$B,'BS(분기)'!$A:$F,$2:$2,0)),VLOOKUP($B:$B,'BS(분기)'!$A:$F,$2:$2,0),0)</f>
        <v>0</v>
      </c>
      <c r="R660" s="207">
        <f>IF(ISNUMBER(VLOOKUP($B:$B,'BS(분기)'!$A:$F,$2:$2,0)),VLOOKUP($B:$B,'BS(분기)'!$A:$F,$2:$2,0),0)</f>
        <v>0</v>
      </c>
    </row>
    <row r="661" spans="1:18" s="192" customFormat="1" ht="12">
      <c r="A661" s="203">
        <v>116921</v>
      </c>
      <c r="B661" s="196" t="s">
        <v>1297</v>
      </c>
      <c r="C661" s="217">
        <f>IF(ISNUMBER(VLOOKUP($B:$B,BS!$A:$D,$2:$2,0)),VLOOKUP($B:$B,BS!$A:$D,$2:$2,0),0)</f>
        <v>0</v>
      </c>
      <c r="D661" s="217">
        <f>IF(ISNUMBER(VLOOKUP($B:$B,BS!$A:$D,$2:$2,0)),VLOOKUP($B:$B,BS!$A:$D,$2:$2,0),0)</f>
        <v>0</v>
      </c>
      <c r="E661" s="217">
        <f>IF(ISNUMBER(VLOOKUP($B:$B,BS!$A:$D,$2:$2,0)),VLOOKUP($B:$B,BS!$A:$D,$2:$2,0),0)</f>
        <v>0</v>
      </c>
      <c r="F661" s="217">
        <f>IF(ISNUMBER(VLOOKUP($B:$B,BS!$A:$D,$2:$2,0)),VLOOKUP($B:$B,BS!$A:$D,$2:$2,0),0)</f>
        <v>0</v>
      </c>
      <c r="G661" s="217">
        <f>IF(ISNUMBER(VLOOKUP($B:$B,BS!$A:$D,$2:$2,0)),VLOOKUP($B:$B,BS!$A:$D,$2:$2,0),0)</f>
        <v>0</v>
      </c>
      <c r="H661" s="207">
        <f>IF(ISNUMBER(VLOOKUP($B:$B,'BS(과거)'!$A:$F,$2:$2,0)),VLOOKUP($B:$B,'BS(과거)'!$A:$F,$2:$2,0),0)</f>
        <v>0</v>
      </c>
      <c r="I661" s="207">
        <f>IF(ISNUMBER(VLOOKUP($B:$B,'BS(과거)'!$A:$F,$2:$2,0)),VLOOKUP($B:$B,'BS(과거)'!$A:$F,$2:$2,0),0)</f>
        <v>0</v>
      </c>
      <c r="J661" s="207">
        <f>IF(ISNUMBER(VLOOKUP($B:$B,'BS(과거)'!$A:$F,$2:$2,0)),VLOOKUP($B:$B,'BS(과거)'!$A:$F,$2:$2,0),0)</f>
        <v>0</v>
      </c>
      <c r="K661" s="207">
        <f>IF(ISNUMBER(VLOOKUP($B:$B,'BS(과거)'!$A:$F,$2:$2,0)),VLOOKUP($B:$B,'BS(과거)'!$A:$F,$2:$2,0),0)</f>
        <v>0</v>
      </c>
      <c r="L661" s="207">
        <f>IF(ISNUMBER(VLOOKUP($B:$B,'BS(과거)'!$A:$F,$2:$2,0)),VLOOKUP($B:$B,'BS(과거)'!$A:$F,$2:$2,0),0)</f>
        <v>0</v>
      </c>
      <c r="N661" s="207">
        <f>IF(ISNUMBER(VLOOKUP($B:$B,'BS(분기)'!$A:$F,$2:$2,0)),VLOOKUP($B:$B,'BS(분기)'!$A:$F,$2:$2,0),0)</f>
        <v>0</v>
      </c>
      <c r="O661" s="207">
        <f>IF(ISNUMBER(VLOOKUP($B:$B,'BS(분기)'!$A:$F,$2:$2,0)),VLOOKUP($B:$B,'BS(분기)'!$A:$F,$2:$2,0),0)</f>
        <v>0</v>
      </c>
      <c r="P661" s="207">
        <f>IF(ISNUMBER(VLOOKUP($B:$B,'BS(분기)'!$A:$F,$2:$2,0)),VLOOKUP($B:$B,'BS(분기)'!$A:$F,$2:$2,0),0)</f>
        <v>0</v>
      </c>
      <c r="Q661" s="207">
        <f>IF(ISNUMBER(VLOOKUP($B:$B,'BS(분기)'!$A:$F,$2:$2,0)),VLOOKUP($B:$B,'BS(분기)'!$A:$F,$2:$2,0),0)</f>
        <v>0</v>
      </c>
      <c r="R661" s="207">
        <f>IF(ISNUMBER(VLOOKUP($B:$B,'BS(분기)'!$A:$F,$2:$2,0)),VLOOKUP($B:$B,'BS(분기)'!$A:$F,$2:$2,0),0)</f>
        <v>0</v>
      </c>
    </row>
    <row r="662" spans="1:18" s="192" customFormat="1" ht="12">
      <c r="A662" s="203">
        <v>116930</v>
      </c>
      <c r="B662" s="196" t="s">
        <v>1298</v>
      </c>
      <c r="C662" s="217">
        <f>IF(ISNUMBER(VLOOKUP($B:$B,BS!$A:$D,$2:$2,0)),VLOOKUP($B:$B,BS!$A:$D,$2:$2,0),0)</f>
        <v>0</v>
      </c>
      <c r="D662" s="217">
        <f>IF(ISNUMBER(VLOOKUP($B:$B,BS!$A:$D,$2:$2,0)),VLOOKUP($B:$B,BS!$A:$D,$2:$2,0),0)</f>
        <v>0</v>
      </c>
      <c r="E662" s="217">
        <f>IF(ISNUMBER(VLOOKUP($B:$B,BS!$A:$D,$2:$2,0)),VLOOKUP($B:$B,BS!$A:$D,$2:$2,0),0)</f>
        <v>0</v>
      </c>
      <c r="F662" s="217">
        <f>IF(ISNUMBER(VLOOKUP($B:$B,BS!$A:$D,$2:$2,0)),VLOOKUP($B:$B,BS!$A:$D,$2:$2,0),0)</f>
        <v>0</v>
      </c>
      <c r="G662" s="217">
        <f>IF(ISNUMBER(VLOOKUP($B:$B,BS!$A:$D,$2:$2,0)),VLOOKUP($B:$B,BS!$A:$D,$2:$2,0),0)</f>
        <v>0</v>
      </c>
      <c r="H662" s="207">
        <f>IF(ISNUMBER(VLOOKUP($B:$B,'BS(과거)'!$A:$F,$2:$2,0)),VLOOKUP($B:$B,'BS(과거)'!$A:$F,$2:$2,0),0)</f>
        <v>0</v>
      </c>
      <c r="I662" s="207">
        <f>IF(ISNUMBER(VLOOKUP($B:$B,'BS(과거)'!$A:$F,$2:$2,0)),VLOOKUP($B:$B,'BS(과거)'!$A:$F,$2:$2,0),0)</f>
        <v>0</v>
      </c>
      <c r="J662" s="207">
        <f>IF(ISNUMBER(VLOOKUP($B:$B,'BS(과거)'!$A:$F,$2:$2,0)),VLOOKUP($B:$B,'BS(과거)'!$A:$F,$2:$2,0),0)</f>
        <v>0</v>
      </c>
      <c r="K662" s="207">
        <f>IF(ISNUMBER(VLOOKUP($B:$B,'BS(과거)'!$A:$F,$2:$2,0)),VLOOKUP($B:$B,'BS(과거)'!$A:$F,$2:$2,0),0)</f>
        <v>0</v>
      </c>
      <c r="L662" s="207">
        <f>IF(ISNUMBER(VLOOKUP($B:$B,'BS(과거)'!$A:$F,$2:$2,0)),VLOOKUP($B:$B,'BS(과거)'!$A:$F,$2:$2,0),0)</f>
        <v>0</v>
      </c>
      <c r="N662" s="207">
        <f>IF(ISNUMBER(VLOOKUP($B:$B,'BS(분기)'!$A:$F,$2:$2,0)),VLOOKUP($B:$B,'BS(분기)'!$A:$F,$2:$2,0),0)</f>
        <v>0</v>
      </c>
      <c r="O662" s="207">
        <f>IF(ISNUMBER(VLOOKUP($B:$B,'BS(분기)'!$A:$F,$2:$2,0)),VLOOKUP($B:$B,'BS(분기)'!$A:$F,$2:$2,0),0)</f>
        <v>0</v>
      </c>
      <c r="P662" s="207">
        <f>IF(ISNUMBER(VLOOKUP($B:$B,'BS(분기)'!$A:$F,$2:$2,0)),VLOOKUP($B:$B,'BS(분기)'!$A:$F,$2:$2,0),0)</f>
        <v>0</v>
      </c>
      <c r="Q662" s="207">
        <f>IF(ISNUMBER(VLOOKUP($B:$B,'BS(분기)'!$A:$F,$2:$2,0)),VLOOKUP($B:$B,'BS(분기)'!$A:$F,$2:$2,0),0)</f>
        <v>0</v>
      </c>
      <c r="R662" s="207">
        <f>IF(ISNUMBER(VLOOKUP($B:$B,'BS(분기)'!$A:$F,$2:$2,0)),VLOOKUP($B:$B,'BS(분기)'!$A:$F,$2:$2,0),0)</f>
        <v>0</v>
      </c>
    </row>
    <row r="663" spans="1:18" s="192" customFormat="1" ht="12">
      <c r="A663" s="203">
        <v>116931</v>
      </c>
      <c r="B663" s="196" t="s">
        <v>1299</v>
      </c>
      <c r="C663" s="217">
        <f>IF(ISNUMBER(VLOOKUP($B:$B,BS!$A:$D,$2:$2,0)),VLOOKUP($B:$B,BS!$A:$D,$2:$2,0),0)</f>
        <v>0</v>
      </c>
      <c r="D663" s="217">
        <f>IF(ISNUMBER(VLOOKUP($B:$B,BS!$A:$D,$2:$2,0)),VLOOKUP($B:$B,BS!$A:$D,$2:$2,0),0)</f>
        <v>0</v>
      </c>
      <c r="E663" s="217">
        <f>IF(ISNUMBER(VLOOKUP($B:$B,BS!$A:$D,$2:$2,0)),VLOOKUP($B:$B,BS!$A:$D,$2:$2,0),0)</f>
        <v>0</v>
      </c>
      <c r="F663" s="217">
        <f>IF(ISNUMBER(VLOOKUP($B:$B,BS!$A:$D,$2:$2,0)),VLOOKUP($B:$B,BS!$A:$D,$2:$2,0),0)</f>
        <v>0</v>
      </c>
      <c r="G663" s="217">
        <f>IF(ISNUMBER(VLOOKUP($B:$B,BS!$A:$D,$2:$2,0)),VLOOKUP($B:$B,BS!$A:$D,$2:$2,0),0)</f>
        <v>0</v>
      </c>
      <c r="H663" s="207">
        <f>IF(ISNUMBER(VLOOKUP($B:$B,'BS(과거)'!$A:$F,$2:$2,0)),VLOOKUP($B:$B,'BS(과거)'!$A:$F,$2:$2,0),0)</f>
        <v>0</v>
      </c>
      <c r="I663" s="207">
        <f>IF(ISNUMBER(VLOOKUP($B:$B,'BS(과거)'!$A:$F,$2:$2,0)),VLOOKUP($B:$B,'BS(과거)'!$A:$F,$2:$2,0),0)</f>
        <v>0</v>
      </c>
      <c r="J663" s="207">
        <f>IF(ISNUMBER(VLOOKUP($B:$B,'BS(과거)'!$A:$F,$2:$2,0)),VLOOKUP($B:$B,'BS(과거)'!$A:$F,$2:$2,0),0)</f>
        <v>0</v>
      </c>
      <c r="K663" s="207">
        <f>IF(ISNUMBER(VLOOKUP($B:$B,'BS(과거)'!$A:$F,$2:$2,0)),VLOOKUP($B:$B,'BS(과거)'!$A:$F,$2:$2,0),0)</f>
        <v>0</v>
      </c>
      <c r="L663" s="207">
        <f>IF(ISNUMBER(VLOOKUP($B:$B,'BS(과거)'!$A:$F,$2:$2,0)),VLOOKUP($B:$B,'BS(과거)'!$A:$F,$2:$2,0),0)</f>
        <v>0</v>
      </c>
      <c r="N663" s="207">
        <f>IF(ISNUMBER(VLOOKUP($B:$B,'BS(분기)'!$A:$F,$2:$2,0)),VLOOKUP($B:$B,'BS(분기)'!$A:$F,$2:$2,0),0)</f>
        <v>0</v>
      </c>
      <c r="O663" s="207">
        <f>IF(ISNUMBER(VLOOKUP($B:$B,'BS(분기)'!$A:$F,$2:$2,0)),VLOOKUP($B:$B,'BS(분기)'!$A:$F,$2:$2,0),0)</f>
        <v>0</v>
      </c>
      <c r="P663" s="207">
        <f>IF(ISNUMBER(VLOOKUP($B:$B,'BS(분기)'!$A:$F,$2:$2,0)),VLOOKUP($B:$B,'BS(분기)'!$A:$F,$2:$2,0),0)</f>
        <v>0</v>
      </c>
      <c r="Q663" s="207">
        <f>IF(ISNUMBER(VLOOKUP($B:$B,'BS(분기)'!$A:$F,$2:$2,0)),VLOOKUP($B:$B,'BS(분기)'!$A:$F,$2:$2,0),0)</f>
        <v>0</v>
      </c>
      <c r="R663" s="207">
        <f>IF(ISNUMBER(VLOOKUP($B:$B,'BS(분기)'!$A:$F,$2:$2,0)),VLOOKUP($B:$B,'BS(분기)'!$A:$F,$2:$2,0),0)</f>
        <v>0</v>
      </c>
    </row>
    <row r="664" spans="1:18" s="192" customFormat="1" ht="12">
      <c r="A664" s="203">
        <v>116807</v>
      </c>
      <c r="B664" s="196" t="s">
        <v>1223</v>
      </c>
      <c r="C664" s="217">
        <f>IF(ISNUMBER(VLOOKUP($B:$B,BS!$A:$D,$2:$2,0)),VLOOKUP($B:$B,BS!$A:$D,$2:$2,0),0)</f>
        <v>0</v>
      </c>
      <c r="D664" s="217">
        <f>IF(ISNUMBER(VLOOKUP($B:$B,BS!$A:$D,$2:$2,0)),VLOOKUP($B:$B,BS!$A:$D,$2:$2,0),0)</f>
        <v>0</v>
      </c>
      <c r="E664" s="217">
        <f>IF(ISNUMBER(VLOOKUP($B:$B,BS!$A:$D,$2:$2,0)),VLOOKUP($B:$B,BS!$A:$D,$2:$2,0),0)</f>
        <v>0</v>
      </c>
      <c r="F664" s="217">
        <f>IF(ISNUMBER(VLOOKUP($B:$B,BS!$A:$D,$2:$2,0)),VLOOKUP($B:$B,BS!$A:$D,$2:$2,0),0)</f>
        <v>0</v>
      </c>
      <c r="G664" s="217">
        <f>IF(ISNUMBER(VLOOKUP($B:$B,BS!$A:$D,$2:$2,0)),VLOOKUP($B:$B,BS!$A:$D,$2:$2,0),0)</f>
        <v>0</v>
      </c>
      <c r="H664" s="207">
        <f>IF(ISNUMBER(VLOOKUP($B:$B,'BS(과거)'!$A:$F,$2:$2,0)),VLOOKUP($B:$B,'BS(과거)'!$A:$F,$2:$2,0),0)</f>
        <v>0</v>
      </c>
      <c r="I664" s="207">
        <f>IF(ISNUMBER(VLOOKUP($B:$B,'BS(과거)'!$A:$F,$2:$2,0)),VLOOKUP($B:$B,'BS(과거)'!$A:$F,$2:$2,0),0)</f>
        <v>0</v>
      </c>
      <c r="J664" s="207">
        <f>IF(ISNUMBER(VLOOKUP($B:$B,'BS(과거)'!$A:$F,$2:$2,0)),VLOOKUP($B:$B,'BS(과거)'!$A:$F,$2:$2,0),0)</f>
        <v>0</v>
      </c>
      <c r="K664" s="207">
        <f>IF(ISNUMBER(VLOOKUP($B:$B,'BS(과거)'!$A:$F,$2:$2,0)),VLOOKUP($B:$B,'BS(과거)'!$A:$F,$2:$2,0),0)</f>
        <v>0</v>
      </c>
      <c r="L664" s="207">
        <f>IF(ISNUMBER(VLOOKUP($B:$B,'BS(과거)'!$A:$F,$2:$2,0)),VLOOKUP($B:$B,'BS(과거)'!$A:$F,$2:$2,0),0)</f>
        <v>0</v>
      </c>
      <c r="N664" s="207">
        <f>IF(ISNUMBER(VLOOKUP($B:$B,'BS(분기)'!$A:$F,$2:$2,0)),VLOOKUP($B:$B,'BS(분기)'!$A:$F,$2:$2,0),0)</f>
        <v>0</v>
      </c>
      <c r="O664" s="207">
        <f>IF(ISNUMBER(VLOOKUP($B:$B,'BS(분기)'!$A:$F,$2:$2,0)),VLOOKUP($B:$B,'BS(분기)'!$A:$F,$2:$2,0),0)</f>
        <v>0</v>
      </c>
      <c r="P664" s="207">
        <f>IF(ISNUMBER(VLOOKUP($B:$B,'BS(분기)'!$A:$F,$2:$2,0)),VLOOKUP($B:$B,'BS(분기)'!$A:$F,$2:$2,0),0)</f>
        <v>0</v>
      </c>
      <c r="Q664" s="207">
        <f>IF(ISNUMBER(VLOOKUP($B:$B,'BS(분기)'!$A:$F,$2:$2,0)),VLOOKUP($B:$B,'BS(분기)'!$A:$F,$2:$2,0),0)</f>
        <v>0</v>
      </c>
      <c r="R664" s="207">
        <f>IF(ISNUMBER(VLOOKUP($B:$B,'BS(분기)'!$A:$F,$2:$2,0)),VLOOKUP($B:$B,'BS(분기)'!$A:$F,$2:$2,0),0)</f>
        <v>0</v>
      </c>
    </row>
    <row r="665" spans="1:18" s="192" customFormat="1" ht="12">
      <c r="A665" s="202">
        <v>116900</v>
      </c>
      <c r="B665" s="195" t="s">
        <v>847</v>
      </c>
      <c r="C665" s="217">
        <f>IF(ISNUMBER(VLOOKUP($B:$B,BS!$A:$D,$2:$2,0)),VLOOKUP($B:$B,BS!$A:$D,$2:$2,0),0)</f>
        <v>0</v>
      </c>
      <c r="D665" s="217">
        <f>IF(ISNUMBER(VLOOKUP($B:$B,BS!$A:$D,$2:$2,0)),VLOOKUP($B:$B,BS!$A:$D,$2:$2,0),0)</f>
        <v>0</v>
      </c>
      <c r="E665" s="217">
        <f>IF(ISNUMBER(VLOOKUP($B:$B,BS!$A:$D,$2:$2,0)),VLOOKUP($B:$B,BS!$A:$D,$2:$2,0),0)</f>
        <v>0</v>
      </c>
      <c r="F665" s="217">
        <f>IF(ISNUMBER(VLOOKUP($B:$B,BS!$A:$D,$2:$2,0)),VLOOKUP($B:$B,BS!$A:$D,$2:$2,0),0)</f>
        <v>0</v>
      </c>
      <c r="G665" s="217">
        <f>IF(ISNUMBER(VLOOKUP($B:$B,BS!$A:$D,$2:$2,0)),VLOOKUP($B:$B,BS!$A:$D,$2:$2,0),0)</f>
        <v>0</v>
      </c>
      <c r="H665" s="207">
        <f>IF(ISNUMBER(VLOOKUP($B:$B,'BS(과거)'!$A:$F,$2:$2,0)),VLOOKUP($B:$B,'BS(과거)'!$A:$F,$2:$2,0),0)</f>
        <v>0</v>
      </c>
      <c r="I665" s="207">
        <f>IF(ISNUMBER(VLOOKUP($B:$B,'BS(과거)'!$A:$F,$2:$2,0)),VLOOKUP($B:$B,'BS(과거)'!$A:$F,$2:$2,0),0)</f>
        <v>0</v>
      </c>
      <c r="J665" s="207">
        <f>IF(ISNUMBER(VLOOKUP($B:$B,'BS(과거)'!$A:$F,$2:$2,0)),VLOOKUP($B:$B,'BS(과거)'!$A:$F,$2:$2,0),0)</f>
        <v>0</v>
      </c>
      <c r="K665" s="207">
        <f>IF(ISNUMBER(VLOOKUP($B:$B,'BS(과거)'!$A:$F,$2:$2,0)),VLOOKUP($B:$B,'BS(과거)'!$A:$F,$2:$2,0),0)</f>
        <v>0</v>
      </c>
      <c r="L665" s="207">
        <f>IF(ISNUMBER(VLOOKUP($B:$B,'BS(과거)'!$A:$F,$2:$2,0)),VLOOKUP($B:$B,'BS(과거)'!$A:$F,$2:$2,0),0)</f>
        <v>0</v>
      </c>
      <c r="N665" s="207">
        <f>IF(ISNUMBER(VLOOKUP($B:$B,'BS(분기)'!$A:$F,$2:$2,0)),VLOOKUP($B:$B,'BS(분기)'!$A:$F,$2:$2,0),0)</f>
        <v>0</v>
      </c>
      <c r="O665" s="207">
        <f>IF(ISNUMBER(VLOOKUP($B:$B,'BS(분기)'!$A:$F,$2:$2,0)),VLOOKUP($B:$B,'BS(분기)'!$A:$F,$2:$2,0),0)</f>
        <v>0</v>
      </c>
      <c r="P665" s="207">
        <f>IF(ISNUMBER(VLOOKUP($B:$B,'BS(분기)'!$A:$F,$2:$2,0)),VLOOKUP($B:$B,'BS(분기)'!$A:$F,$2:$2,0),0)</f>
        <v>0</v>
      </c>
      <c r="Q665" s="207">
        <f>IF(ISNUMBER(VLOOKUP($B:$B,'BS(분기)'!$A:$F,$2:$2,0)),VLOOKUP($B:$B,'BS(분기)'!$A:$F,$2:$2,0),0)</f>
        <v>0</v>
      </c>
      <c r="R665" s="207">
        <f>IF(ISNUMBER(VLOOKUP($B:$B,'BS(분기)'!$A:$F,$2:$2,0)),VLOOKUP($B:$B,'BS(분기)'!$A:$F,$2:$2,0),0)</f>
        <v>0</v>
      </c>
    </row>
    <row r="666" spans="1:18" s="192" customFormat="1" ht="12">
      <c r="A666" s="202">
        <v>116940</v>
      </c>
      <c r="B666" s="195" t="s">
        <v>1300</v>
      </c>
      <c r="C666" s="217">
        <f>IF(ISNUMBER(VLOOKUP($B:$B,BS!$A:$D,$2:$2,0)),VLOOKUP($B:$B,BS!$A:$D,$2:$2,0),0)</f>
        <v>0</v>
      </c>
      <c r="D666" s="217">
        <f>IF(ISNUMBER(VLOOKUP($B:$B,BS!$A:$D,$2:$2,0)),VLOOKUP($B:$B,BS!$A:$D,$2:$2,0),0)</f>
        <v>0</v>
      </c>
      <c r="E666" s="217">
        <f>IF(ISNUMBER(VLOOKUP($B:$B,BS!$A:$D,$2:$2,0)),VLOOKUP($B:$B,BS!$A:$D,$2:$2,0),0)</f>
        <v>0</v>
      </c>
      <c r="F666" s="217">
        <f>IF(ISNUMBER(VLOOKUP($B:$B,BS!$A:$D,$2:$2,0)),VLOOKUP($B:$B,BS!$A:$D,$2:$2,0),0)</f>
        <v>0</v>
      </c>
      <c r="G666" s="217">
        <f>IF(ISNUMBER(VLOOKUP($B:$B,BS!$A:$D,$2:$2,0)),VLOOKUP($B:$B,BS!$A:$D,$2:$2,0),0)</f>
        <v>0</v>
      </c>
      <c r="H666" s="207">
        <f>IF(ISNUMBER(VLOOKUP($B:$B,'BS(과거)'!$A:$F,$2:$2,0)),VLOOKUP($B:$B,'BS(과거)'!$A:$F,$2:$2,0),0)</f>
        <v>0</v>
      </c>
      <c r="I666" s="207">
        <f>IF(ISNUMBER(VLOOKUP($B:$B,'BS(과거)'!$A:$F,$2:$2,0)),VLOOKUP($B:$B,'BS(과거)'!$A:$F,$2:$2,0),0)</f>
        <v>0</v>
      </c>
      <c r="J666" s="207">
        <f>IF(ISNUMBER(VLOOKUP($B:$B,'BS(과거)'!$A:$F,$2:$2,0)),VLOOKUP($B:$B,'BS(과거)'!$A:$F,$2:$2,0),0)</f>
        <v>0</v>
      </c>
      <c r="K666" s="207">
        <f>IF(ISNUMBER(VLOOKUP($B:$B,'BS(과거)'!$A:$F,$2:$2,0)),VLOOKUP($B:$B,'BS(과거)'!$A:$F,$2:$2,0),0)</f>
        <v>0</v>
      </c>
      <c r="L666" s="207">
        <f>IF(ISNUMBER(VLOOKUP($B:$B,'BS(과거)'!$A:$F,$2:$2,0)),VLOOKUP($B:$B,'BS(과거)'!$A:$F,$2:$2,0),0)</f>
        <v>0</v>
      </c>
      <c r="N666" s="207">
        <f>IF(ISNUMBER(VLOOKUP($B:$B,'BS(분기)'!$A:$F,$2:$2,0)),VLOOKUP($B:$B,'BS(분기)'!$A:$F,$2:$2,0),0)</f>
        <v>0</v>
      </c>
      <c r="O666" s="207">
        <f>IF(ISNUMBER(VLOOKUP($B:$B,'BS(분기)'!$A:$F,$2:$2,0)),VLOOKUP($B:$B,'BS(분기)'!$A:$F,$2:$2,0),0)</f>
        <v>0</v>
      </c>
      <c r="P666" s="207">
        <f>IF(ISNUMBER(VLOOKUP($B:$B,'BS(분기)'!$A:$F,$2:$2,0)),VLOOKUP($B:$B,'BS(분기)'!$A:$F,$2:$2,0),0)</f>
        <v>0</v>
      </c>
      <c r="Q666" s="207">
        <f>IF(ISNUMBER(VLOOKUP($B:$B,'BS(분기)'!$A:$F,$2:$2,0)),VLOOKUP($B:$B,'BS(분기)'!$A:$F,$2:$2,0),0)</f>
        <v>0</v>
      </c>
      <c r="R666" s="207">
        <f>IF(ISNUMBER(VLOOKUP($B:$B,'BS(분기)'!$A:$F,$2:$2,0)),VLOOKUP($B:$B,'BS(분기)'!$A:$F,$2:$2,0),0)</f>
        <v>0</v>
      </c>
    </row>
    <row r="667" spans="1:18" s="192" customFormat="1" ht="12">
      <c r="A667" s="202">
        <v>116941</v>
      </c>
      <c r="B667" s="195" t="s">
        <v>1301</v>
      </c>
      <c r="C667" s="217">
        <f>IF(ISNUMBER(VLOOKUP($B:$B,BS!$A:$D,$2:$2,0)),VLOOKUP($B:$B,BS!$A:$D,$2:$2,0),0)</f>
        <v>0</v>
      </c>
      <c r="D667" s="217">
        <f>IF(ISNUMBER(VLOOKUP($B:$B,BS!$A:$D,$2:$2,0)),VLOOKUP($B:$B,BS!$A:$D,$2:$2,0),0)</f>
        <v>0</v>
      </c>
      <c r="E667" s="217">
        <f>IF(ISNUMBER(VLOOKUP($B:$B,BS!$A:$D,$2:$2,0)),VLOOKUP($B:$B,BS!$A:$D,$2:$2,0),0)</f>
        <v>0</v>
      </c>
      <c r="F667" s="217">
        <f>IF(ISNUMBER(VLOOKUP($B:$B,BS!$A:$D,$2:$2,0)),VLOOKUP($B:$B,BS!$A:$D,$2:$2,0),0)</f>
        <v>0</v>
      </c>
      <c r="G667" s="217">
        <f>IF(ISNUMBER(VLOOKUP($B:$B,BS!$A:$D,$2:$2,0)),VLOOKUP($B:$B,BS!$A:$D,$2:$2,0),0)</f>
        <v>0</v>
      </c>
      <c r="H667" s="207">
        <f>IF(ISNUMBER(VLOOKUP($B:$B,'BS(과거)'!$A:$F,$2:$2,0)),VLOOKUP($B:$B,'BS(과거)'!$A:$F,$2:$2,0),0)</f>
        <v>0</v>
      </c>
      <c r="I667" s="207">
        <f>IF(ISNUMBER(VLOOKUP($B:$B,'BS(과거)'!$A:$F,$2:$2,0)),VLOOKUP($B:$B,'BS(과거)'!$A:$F,$2:$2,0),0)</f>
        <v>0</v>
      </c>
      <c r="J667" s="207">
        <f>IF(ISNUMBER(VLOOKUP($B:$B,'BS(과거)'!$A:$F,$2:$2,0)),VLOOKUP($B:$B,'BS(과거)'!$A:$F,$2:$2,0),0)</f>
        <v>0</v>
      </c>
      <c r="K667" s="207">
        <f>IF(ISNUMBER(VLOOKUP($B:$B,'BS(과거)'!$A:$F,$2:$2,0)),VLOOKUP($B:$B,'BS(과거)'!$A:$F,$2:$2,0),0)</f>
        <v>0</v>
      </c>
      <c r="L667" s="207">
        <f>IF(ISNUMBER(VLOOKUP($B:$B,'BS(과거)'!$A:$F,$2:$2,0)),VLOOKUP($B:$B,'BS(과거)'!$A:$F,$2:$2,0),0)</f>
        <v>0</v>
      </c>
      <c r="N667" s="207">
        <f>IF(ISNUMBER(VLOOKUP($B:$B,'BS(분기)'!$A:$F,$2:$2,0)),VLOOKUP($B:$B,'BS(분기)'!$A:$F,$2:$2,0),0)</f>
        <v>0</v>
      </c>
      <c r="O667" s="207">
        <f>IF(ISNUMBER(VLOOKUP($B:$B,'BS(분기)'!$A:$F,$2:$2,0)),VLOOKUP($B:$B,'BS(분기)'!$A:$F,$2:$2,0),0)</f>
        <v>0</v>
      </c>
      <c r="P667" s="207">
        <f>IF(ISNUMBER(VLOOKUP($B:$B,'BS(분기)'!$A:$F,$2:$2,0)),VLOOKUP($B:$B,'BS(분기)'!$A:$F,$2:$2,0),0)</f>
        <v>0</v>
      </c>
      <c r="Q667" s="207">
        <f>IF(ISNUMBER(VLOOKUP($B:$B,'BS(분기)'!$A:$F,$2:$2,0)),VLOOKUP($B:$B,'BS(분기)'!$A:$F,$2:$2,0),0)</f>
        <v>0</v>
      </c>
      <c r="R667" s="207">
        <f>IF(ISNUMBER(VLOOKUP($B:$B,'BS(분기)'!$A:$F,$2:$2,0)),VLOOKUP($B:$B,'BS(분기)'!$A:$F,$2:$2,0),0)</f>
        <v>0</v>
      </c>
    </row>
    <row r="668" spans="1:18" s="192" customFormat="1" ht="12">
      <c r="A668" s="203">
        <v>116950</v>
      </c>
      <c r="B668" s="196" t="s">
        <v>1302</v>
      </c>
      <c r="C668" s="217">
        <f>IF(ISNUMBER(VLOOKUP($B:$B,BS!$A:$D,$2:$2,0)),VLOOKUP($B:$B,BS!$A:$D,$2:$2,0),0)</f>
        <v>0</v>
      </c>
      <c r="D668" s="217">
        <f>IF(ISNUMBER(VLOOKUP($B:$B,BS!$A:$D,$2:$2,0)),VLOOKUP($B:$B,BS!$A:$D,$2:$2,0),0)</f>
        <v>0</v>
      </c>
      <c r="E668" s="217">
        <f>IF(ISNUMBER(VLOOKUP($B:$B,BS!$A:$D,$2:$2,0)),VLOOKUP($B:$B,BS!$A:$D,$2:$2,0),0)</f>
        <v>0</v>
      </c>
      <c r="F668" s="217">
        <f>IF(ISNUMBER(VLOOKUP($B:$B,BS!$A:$D,$2:$2,0)),VLOOKUP($B:$B,BS!$A:$D,$2:$2,0),0)</f>
        <v>0</v>
      </c>
      <c r="G668" s="217">
        <f>IF(ISNUMBER(VLOOKUP($B:$B,BS!$A:$D,$2:$2,0)),VLOOKUP($B:$B,BS!$A:$D,$2:$2,0),0)</f>
        <v>0</v>
      </c>
      <c r="H668" s="207">
        <f>IF(ISNUMBER(VLOOKUP($B:$B,'BS(과거)'!$A:$F,$2:$2,0)),VLOOKUP($B:$B,'BS(과거)'!$A:$F,$2:$2,0),0)</f>
        <v>0</v>
      </c>
      <c r="I668" s="207">
        <f>IF(ISNUMBER(VLOOKUP($B:$B,'BS(과거)'!$A:$F,$2:$2,0)),VLOOKUP($B:$B,'BS(과거)'!$A:$F,$2:$2,0),0)</f>
        <v>0</v>
      </c>
      <c r="J668" s="207">
        <f>IF(ISNUMBER(VLOOKUP($B:$B,'BS(과거)'!$A:$F,$2:$2,0)),VLOOKUP($B:$B,'BS(과거)'!$A:$F,$2:$2,0),0)</f>
        <v>0</v>
      </c>
      <c r="K668" s="207">
        <f>IF(ISNUMBER(VLOOKUP($B:$B,'BS(과거)'!$A:$F,$2:$2,0)),VLOOKUP($B:$B,'BS(과거)'!$A:$F,$2:$2,0),0)</f>
        <v>0</v>
      </c>
      <c r="L668" s="207">
        <f>IF(ISNUMBER(VLOOKUP($B:$B,'BS(과거)'!$A:$F,$2:$2,0)),VLOOKUP($B:$B,'BS(과거)'!$A:$F,$2:$2,0),0)</f>
        <v>0</v>
      </c>
      <c r="N668" s="207">
        <f>IF(ISNUMBER(VLOOKUP($B:$B,'BS(분기)'!$A:$F,$2:$2,0)),VLOOKUP($B:$B,'BS(분기)'!$A:$F,$2:$2,0),0)</f>
        <v>0</v>
      </c>
      <c r="O668" s="207">
        <f>IF(ISNUMBER(VLOOKUP($B:$B,'BS(분기)'!$A:$F,$2:$2,0)),VLOOKUP($B:$B,'BS(분기)'!$A:$F,$2:$2,0),0)</f>
        <v>0</v>
      </c>
      <c r="P668" s="207">
        <f>IF(ISNUMBER(VLOOKUP($B:$B,'BS(분기)'!$A:$F,$2:$2,0)),VLOOKUP($B:$B,'BS(분기)'!$A:$F,$2:$2,0),0)</f>
        <v>0</v>
      </c>
      <c r="Q668" s="207">
        <f>IF(ISNUMBER(VLOOKUP($B:$B,'BS(분기)'!$A:$F,$2:$2,0)),VLOOKUP($B:$B,'BS(분기)'!$A:$F,$2:$2,0),0)</f>
        <v>0</v>
      </c>
      <c r="R668" s="207">
        <f>IF(ISNUMBER(VLOOKUP($B:$B,'BS(분기)'!$A:$F,$2:$2,0)),VLOOKUP($B:$B,'BS(분기)'!$A:$F,$2:$2,0),0)</f>
        <v>0</v>
      </c>
    </row>
    <row r="669" spans="1:18" s="192" customFormat="1" ht="12">
      <c r="A669" s="203">
        <v>116951</v>
      </c>
      <c r="B669" s="196" t="s">
        <v>1303</v>
      </c>
      <c r="C669" s="217">
        <f>IF(ISNUMBER(VLOOKUP($B:$B,BS!$A:$D,$2:$2,0)),VLOOKUP($B:$B,BS!$A:$D,$2:$2,0),0)</f>
        <v>0</v>
      </c>
      <c r="D669" s="217">
        <f>IF(ISNUMBER(VLOOKUP($B:$B,BS!$A:$D,$2:$2,0)),VLOOKUP($B:$B,BS!$A:$D,$2:$2,0),0)</f>
        <v>0</v>
      </c>
      <c r="E669" s="217">
        <f>IF(ISNUMBER(VLOOKUP($B:$B,BS!$A:$D,$2:$2,0)),VLOOKUP($B:$B,BS!$A:$D,$2:$2,0),0)</f>
        <v>0</v>
      </c>
      <c r="F669" s="217">
        <f>IF(ISNUMBER(VLOOKUP($B:$B,BS!$A:$D,$2:$2,0)),VLOOKUP($B:$B,BS!$A:$D,$2:$2,0),0)</f>
        <v>0</v>
      </c>
      <c r="G669" s="217">
        <f>IF(ISNUMBER(VLOOKUP($B:$B,BS!$A:$D,$2:$2,0)),VLOOKUP($B:$B,BS!$A:$D,$2:$2,0),0)</f>
        <v>0</v>
      </c>
      <c r="H669" s="207">
        <f>IF(ISNUMBER(VLOOKUP($B:$B,'BS(과거)'!$A:$F,$2:$2,0)),VLOOKUP($B:$B,'BS(과거)'!$A:$F,$2:$2,0),0)</f>
        <v>0</v>
      </c>
      <c r="I669" s="207">
        <f>IF(ISNUMBER(VLOOKUP($B:$B,'BS(과거)'!$A:$F,$2:$2,0)),VLOOKUP($B:$B,'BS(과거)'!$A:$F,$2:$2,0),0)</f>
        <v>0</v>
      </c>
      <c r="J669" s="207">
        <f>IF(ISNUMBER(VLOOKUP($B:$B,'BS(과거)'!$A:$F,$2:$2,0)),VLOOKUP($B:$B,'BS(과거)'!$A:$F,$2:$2,0),0)</f>
        <v>0</v>
      </c>
      <c r="K669" s="207">
        <f>IF(ISNUMBER(VLOOKUP($B:$B,'BS(과거)'!$A:$F,$2:$2,0)),VLOOKUP($B:$B,'BS(과거)'!$A:$F,$2:$2,0),0)</f>
        <v>0</v>
      </c>
      <c r="L669" s="207">
        <f>IF(ISNUMBER(VLOOKUP($B:$B,'BS(과거)'!$A:$F,$2:$2,0)),VLOOKUP($B:$B,'BS(과거)'!$A:$F,$2:$2,0),0)</f>
        <v>0</v>
      </c>
      <c r="N669" s="207">
        <f>IF(ISNUMBER(VLOOKUP($B:$B,'BS(분기)'!$A:$F,$2:$2,0)),VLOOKUP($B:$B,'BS(분기)'!$A:$F,$2:$2,0),0)</f>
        <v>0</v>
      </c>
      <c r="O669" s="207">
        <f>IF(ISNUMBER(VLOOKUP($B:$B,'BS(분기)'!$A:$F,$2:$2,0)),VLOOKUP($B:$B,'BS(분기)'!$A:$F,$2:$2,0),0)</f>
        <v>0</v>
      </c>
      <c r="P669" s="207">
        <f>IF(ISNUMBER(VLOOKUP($B:$B,'BS(분기)'!$A:$F,$2:$2,0)),VLOOKUP($B:$B,'BS(분기)'!$A:$F,$2:$2,0),0)</f>
        <v>0</v>
      </c>
      <c r="Q669" s="207">
        <f>IF(ISNUMBER(VLOOKUP($B:$B,'BS(분기)'!$A:$F,$2:$2,0)),VLOOKUP($B:$B,'BS(분기)'!$A:$F,$2:$2,0),0)</f>
        <v>0</v>
      </c>
      <c r="R669" s="207">
        <f>IF(ISNUMBER(VLOOKUP($B:$B,'BS(분기)'!$A:$F,$2:$2,0)),VLOOKUP($B:$B,'BS(분기)'!$A:$F,$2:$2,0),0)</f>
        <v>0</v>
      </c>
    </row>
    <row r="670" spans="1:18" s="192" customFormat="1" ht="12">
      <c r="A670" s="203">
        <v>116960</v>
      </c>
      <c r="B670" s="196" t="s">
        <v>1304</v>
      </c>
      <c r="C670" s="217">
        <f>IF(ISNUMBER(VLOOKUP($B:$B,BS!$A:$D,$2:$2,0)),VLOOKUP($B:$B,BS!$A:$D,$2:$2,0),0)</f>
        <v>0</v>
      </c>
      <c r="D670" s="217">
        <f>IF(ISNUMBER(VLOOKUP($B:$B,BS!$A:$D,$2:$2,0)),VLOOKUP($B:$B,BS!$A:$D,$2:$2,0),0)</f>
        <v>0</v>
      </c>
      <c r="E670" s="217">
        <f>IF(ISNUMBER(VLOOKUP($B:$B,BS!$A:$D,$2:$2,0)),VLOOKUP($B:$B,BS!$A:$D,$2:$2,0),0)</f>
        <v>0</v>
      </c>
      <c r="F670" s="217">
        <f>IF(ISNUMBER(VLOOKUP($B:$B,BS!$A:$D,$2:$2,0)),VLOOKUP($B:$B,BS!$A:$D,$2:$2,0),0)</f>
        <v>0</v>
      </c>
      <c r="G670" s="217">
        <f>IF(ISNUMBER(VLOOKUP($B:$B,BS!$A:$D,$2:$2,0)),VLOOKUP($B:$B,BS!$A:$D,$2:$2,0),0)</f>
        <v>0</v>
      </c>
      <c r="H670" s="207">
        <f>IF(ISNUMBER(VLOOKUP($B:$B,'BS(과거)'!$A:$F,$2:$2,0)),VLOOKUP($B:$B,'BS(과거)'!$A:$F,$2:$2,0),0)</f>
        <v>0</v>
      </c>
      <c r="I670" s="207">
        <f>IF(ISNUMBER(VLOOKUP($B:$B,'BS(과거)'!$A:$F,$2:$2,0)),VLOOKUP($B:$B,'BS(과거)'!$A:$F,$2:$2,0),0)</f>
        <v>0</v>
      </c>
      <c r="J670" s="207">
        <f>IF(ISNUMBER(VLOOKUP($B:$B,'BS(과거)'!$A:$F,$2:$2,0)),VLOOKUP($B:$B,'BS(과거)'!$A:$F,$2:$2,0),0)</f>
        <v>0</v>
      </c>
      <c r="K670" s="207">
        <f>IF(ISNUMBER(VLOOKUP($B:$B,'BS(과거)'!$A:$F,$2:$2,0)),VLOOKUP($B:$B,'BS(과거)'!$A:$F,$2:$2,0),0)</f>
        <v>0</v>
      </c>
      <c r="L670" s="207">
        <f>IF(ISNUMBER(VLOOKUP($B:$B,'BS(과거)'!$A:$F,$2:$2,0)),VLOOKUP($B:$B,'BS(과거)'!$A:$F,$2:$2,0),0)</f>
        <v>0</v>
      </c>
      <c r="N670" s="207">
        <f>IF(ISNUMBER(VLOOKUP($B:$B,'BS(분기)'!$A:$F,$2:$2,0)),VLOOKUP($B:$B,'BS(분기)'!$A:$F,$2:$2,0),0)</f>
        <v>0</v>
      </c>
      <c r="O670" s="207">
        <f>IF(ISNUMBER(VLOOKUP($B:$B,'BS(분기)'!$A:$F,$2:$2,0)),VLOOKUP($B:$B,'BS(분기)'!$A:$F,$2:$2,0),0)</f>
        <v>0</v>
      </c>
      <c r="P670" s="207">
        <f>IF(ISNUMBER(VLOOKUP($B:$B,'BS(분기)'!$A:$F,$2:$2,0)),VLOOKUP($B:$B,'BS(분기)'!$A:$F,$2:$2,0),0)</f>
        <v>0</v>
      </c>
      <c r="Q670" s="207">
        <f>IF(ISNUMBER(VLOOKUP($B:$B,'BS(분기)'!$A:$F,$2:$2,0)),VLOOKUP($B:$B,'BS(분기)'!$A:$F,$2:$2,0),0)</f>
        <v>0</v>
      </c>
      <c r="R670" s="207">
        <f>IF(ISNUMBER(VLOOKUP($B:$B,'BS(분기)'!$A:$F,$2:$2,0)),VLOOKUP($B:$B,'BS(분기)'!$A:$F,$2:$2,0),0)</f>
        <v>0</v>
      </c>
    </row>
    <row r="671" spans="1:18" s="192" customFormat="1" ht="12">
      <c r="A671" s="203">
        <v>116961</v>
      </c>
      <c r="B671" s="196" t="s">
        <v>1305</v>
      </c>
      <c r="C671" s="217">
        <f>IF(ISNUMBER(VLOOKUP($B:$B,BS!$A:$D,$2:$2,0)),VLOOKUP($B:$B,BS!$A:$D,$2:$2,0),0)</f>
        <v>0</v>
      </c>
      <c r="D671" s="217">
        <f>IF(ISNUMBER(VLOOKUP($B:$B,BS!$A:$D,$2:$2,0)),VLOOKUP($B:$B,BS!$A:$D,$2:$2,0),0)</f>
        <v>0</v>
      </c>
      <c r="E671" s="217">
        <f>IF(ISNUMBER(VLOOKUP($B:$B,BS!$A:$D,$2:$2,0)),VLOOKUP($B:$B,BS!$A:$D,$2:$2,0),0)</f>
        <v>0</v>
      </c>
      <c r="F671" s="217">
        <f>IF(ISNUMBER(VLOOKUP($B:$B,BS!$A:$D,$2:$2,0)),VLOOKUP($B:$B,BS!$A:$D,$2:$2,0),0)</f>
        <v>0</v>
      </c>
      <c r="G671" s="217">
        <f>IF(ISNUMBER(VLOOKUP($B:$B,BS!$A:$D,$2:$2,0)),VLOOKUP($B:$B,BS!$A:$D,$2:$2,0),0)</f>
        <v>0</v>
      </c>
      <c r="H671" s="207">
        <f>IF(ISNUMBER(VLOOKUP($B:$B,'BS(과거)'!$A:$F,$2:$2,0)),VLOOKUP($B:$B,'BS(과거)'!$A:$F,$2:$2,0),0)</f>
        <v>0</v>
      </c>
      <c r="I671" s="207">
        <f>IF(ISNUMBER(VLOOKUP($B:$B,'BS(과거)'!$A:$F,$2:$2,0)),VLOOKUP($B:$B,'BS(과거)'!$A:$F,$2:$2,0),0)</f>
        <v>0</v>
      </c>
      <c r="J671" s="207">
        <f>IF(ISNUMBER(VLOOKUP($B:$B,'BS(과거)'!$A:$F,$2:$2,0)),VLOOKUP($B:$B,'BS(과거)'!$A:$F,$2:$2,0),0)</f>
        <v>0</v>
      </c>
      <c r="K671" s="207">
        <f>IF(ISNUMBER(VLOOKUP($B:$B,'BS(과거)'!$A:$F,$2:$2,0)),VLOOKUP($B:$B,'BS(과거)'!$A:$F,$2:$2,0),0)</f>
        <v>0</v>
      </c>
      <c r="L671" s="207">
        <f>IF(ISNUMBER(VLOOKUP($B:$B,'BS(과거)'!$A:$F,$2:$2,0)),VLOOKUP($B:$B,'BS(과거)'!$A:$F,$2:$2,0),0)</f>
        <v>0</v>
      </c>
      <c r="N671" s="207">
        <f>IF(ISNUMBER(VLOOKUP($B:$B,'BS(분기)'!$A:$F,$2:$2,0)),VLOOKUP($B:$B,'BS(분기)'!$A:$F,$2:$2,0),0)</f>
        <v>0</v>
      </c>
      <c r="O671" s="207">
        <f>IF(ISNUMBER(VLOOKUP($B:$B,'BS(분기)'!$A:$F,$2:$2,0)),VLOOKUP($B:$B,'BS(분기)'!$A:$F,$2:$2,0),0)</f>
        <v>0</v>
      </c>
      <c r="P671" s="207">
        <f>IF(ISNUMBER(VLOOKUP($B:$B,'BS(분기)'!$A:$F,$2:$2,0)),VLOOKUP($B:$B,'BS(분기)'!$A:$F,$2:$2,0),0)</f>
        <v>0</v>
      </c>
      <c r="Q671" s="207">
        <f>IF(ISNUMBER(VLOOKUP($B:$B,'BS(분기)'!$A:$F,$2:$2,0)),VLOOKUP($B:$B,'BS(분기)'!$A:$F,$2:$2,0),0)</f>
        <v>0</v>
      </c>
      <c r="R671" s="207">
        <f>IF(ISNUMBER(VLOOKUP($B:$B,'BS(분기)'!$A:$F,$2:$2,0)),VLOOKUP($B:$B,'BS(분기)'!$A:$F,$2:$2,0),0)</f>
        <v>0</v>
      </c>
    </row>
    <row r="672" spans="1:18" s="192" customFormat="1" ht="12">
      <c r="A672" s="202">
        <v>116810</v>
      </c>
      <c r="B672" s="195" t="s">
        <v>930</v>
      </c>
      <c r="C672" s="217">
        <f>IF(ISNUMBER(VLOOKUP($B:$B,BS!$A:$D,$2:$2,0)),VLOOKUP($B:$B,BS!$A:$D,$2:$2,0),0)</f>
        <v>0</v>
      </c>
      <c r="D672" s="217">
        <f>IF(ISNUMBER(VLOOKUP($B:$B,BS!$A:$D,$2:$2,0)),VLOOKUP($B:$B,BS!$A:$D,$2:$2,0),0)</f>
        <v>0</v>
      </c>
      <c r="E672" s="217">
        <f>IF(ISNUMBER(VLOOKUP($B:$B,BS!$A:$D,$2:$2,0)),VLOOKUP($B:$B,BS!$A:$D,$2:$2,0),0)</f>
        <v>0</v>
      </c>
      <c r="F672" s="217">
        <f>IF(ISNUMBER(VLOOKUP($B:$B,BS!$A:$D,$2:$2,0)),VLOOKUP($B:$B,BS!$A:$D,$2:$2,0),0)</f>
        <v>0</v>
      </c>
      <c r="G672" s="217">
        <f>IF(ISNUMBER(VLOOKUP($B:$B,BS!$A:$D,$2:$2,0)),VLOOKUP($B:$B,BS!$A:$D,$2:$2,0),0)</f>
        <v>0</v>
      </c>
      <c r="H672" s="207">
        <f>IF(ISNUMBER(VLOOKUP($B:$B,'BS(과거)'!$A:$F,$2:$2,0)),VLOOKUP($B:$B,'BS(과거)'!$A:$F,$2:$2,0),0)</f>
        <v>0</v>
      </c>
      <c r="I672" s="207">
        <f>IF(ISNUMBER(VLOOKUP($B:$B,'BS(과거)'!$A:$F,$2:$2,0)),VLOOKUP($B:$B,'BS(과거)'!$A:$F,$2:$2,0),0)</f>
        <v>0</v>
      </c>
      <c r="J672" s="207">
        <f>IF(ISNUMBER(VLOOKUP($B:$B,'BS(과거)'!$A:$F,$2:$2,0)),VLOOKUP($B:$B,'BS(과거)'!$A:$F,$2:$2,0),0)</f>
        <v>0</v>
      </c>
      <c r="K672" s="207">
        <f>IF(ISNUMBER(VLOOKUP($B:$B,'BS(과거)'!$A:$F,$2:$2,0)),VLOOKUP($B:$B,'BS(과거)'!$A:$F,$2:$2,0),0)</f>
        <v>0</v>
      </c>
      <c r="L672" s="207">
        <f>IF(ISNUMBER(VLOOKUP($B:$B,'BS(과거)'!$A:$F,$2:$2,0)),VLOOKUP($B:$B,'BS(과거)'!$A:$F,$2:$2,0),0)</f>
        <v>0</v>
      </c>
      <c r="N672" s="207">
        <f>IF(ISNUMBER(VLOOKUP($B:$B,'BS(분기)'!$A:$F,$2:$2,0)),VLOOKUP($B:$B,'BS(분기)'!$A:$F,$2:$2,0),0)</f>
        <v>0</v>
      </c>
      <c r="O672" s="207">
        <f>IF(ISNUMBER(VLOOKUP($B:$B,'BS(분기)'!$A:$F,$2:$2,0)),VLOOKUP($B:$B,'BS(분기)'!$A:$F,$2:$2,0),0)</f>
        <v>0</v>
      </c>
      <c r="P672" s="207">
        <f>IF(ISNUMBER(VLOOKUP($B:$B,'BS(분기)'!$A:$F,$2:$2,0)),VLOOKUP($B:$B,'BS(분기)'!$A:$F,$2:$2,0),0)</f>
        <v>0</v>
      </c>
      <c r="Q672" s="207">
        <f>IF(ISNUMBER(VLOOKUP($B:$B,'BS(분기)'!$A:$F,$2:$2,0)),VLOOKUP($B:$B,'BS(분기)'!$A:$F,$2:$2,0),0)</f>
        <v>0</v>
      </c>
      <c r="R672" s="207">
        <f>IF(ISNUMBER(VLOOKUP($B:$B,'BS(분기)'!$A:$F,$2:$2,0)),VLOOKUP($B:$B,'BS(분기)'!$A:$F,$2:$2,0),0)</f>
        <v>0</v>
      </c>
    </row>
    <row r="673" spans="1:18" s="192" customFormat="1" ht="12">
      <c r="A673" s="203">
        <v>116820</v>
      </c>
      <c r="B673" s="196" t="s">
        <v>931</v>
      </c>
      <c r="C673" s="217">
        <f>IF(ISNUMBER(VLOOKUP($B:$B,BS!$A:$D,$2:$2,0)),VLOOKUP($B:$B,BS!$A:$D,$2:$2,0),0)</f>
        <v>0</v>
      </c>
      <c r="D673" s="217">
        <f>IF(ISNUMBER(VLOOKUP($B:$B,BS!$A:$D,$2:$2,0)),VLOOKUP($B:$B,BS!$A:$D,$2:$2,0),0)</f>
        <v>0</v>
      </c>
      <c r="E673" s="217">
        <f>IF(ISNUMBER(VLOOKUP($B:$B,BS!$A:$D,$2:$2,0)),VLOOKUP($B:$B,BS!$A:$D,$2:$2,0),0)</f>
        <v>0</v>
      </c>
      <c r="F673" s="217">
        <f>IF(ISNUMBER(VLOOKUP($B:$B,BS!$A:$D,$2:$2,0)),VLOOKUP($B:$B,BS!$A:$D,$2:$2,0),0)</f>
        <v>0</v>
      </c>
      <c r="G673" s="217">
        <f>IF(ISNUMBER(VLOOKUP($B:$B,BS!$A:$D,$2:$2,0)),VLOOKUP($B:$B,BS!$A:$D,$2:$2,0),0)</f>
        <v>0</v>
      </c>
      <c r="H673" s="207">
        <f>IF(ISNUMBER(VLOOKUP($B:$B,'BS(과거)'!$A:$F,$2:$2,0)),VLOOKUP($B:$B,'BS(과거)'!$A:$F,$2:$2,0),0)</f>
        <v>0</v>
      </c>
      <c r="I673" s="207">
        <f>IF(ISNUMBER(VLOOKUP($B:$B,'BS(과거)'!$A:$F,$2:$2,0)),VLOOKUP($B:$B,'BS(과거)'!$A:$F,$2:$2,0),0)</f>
        <v>0</v>
      </c>
      <c r="J673" s="207">
        <f>IF(ISNUMBER(VLOOKUP($B:$B,'BS(과거)'!$A:$F,$2:$2,0)),VLOOKUP($B:$B,'BS(과거)'!$A:$F,$2:$2,0),0)</f>
        <v>0</v>
      </c>
      <c r="K673" s="207">
        <f>IF(ISNUMBER(VLOOKUP($B:$B,'BS(과거)'!$A:$F,$2:$2,0)),VLOOKUP($B:$B,'BS(과거)'!$A:$F,$2:$2,0),0)</f>
        <v>0</v>
      </c>
      <c r="L673" s="207">
        <f>IF(ISNUMBER(VLOOKUP($B:$B,'BS(과거)'!$A:$F,$2:$2,0)),VLOOKUP($B:$B,'BS(과거)'!$A:$F,$2:$2,0),0)</f>
        <v>0</v>
      </c>
      <c r="N673" s="207">
        <f>IF(ISNUMBER(VLOOKUP($B:$B,'BS(분기)'!$A:$F,$2:$2,0)),VLOOKUP($B:$B,'BS(분기)'!$A:$F,$2:$2,0),0)</f>
        <v>0</v>
      </c>
      <c r="O673" s="207">
        <f>IF(ISNUMBER(VLOOKUP($B:$B,'BS(분기)'!$A:$F,$2:$2,0)),VLOOKUP($B:$B,'BS(분기)'!$A:$F,$2:$2,0),0)</f>
        <v>0</v>
      </c>
      <c r="P673" s="207">
        <f>IF(ISNUMBER(VLOOKUP($B:$B,'BS(분기)'!$A:$F,$2:$2,0)),VLOOKUP($B:$B,'BS(분기)'!$A:$F,$2:$2,0),0)</f>
        <v>0</v>
      </c>
      <c r="Q673" s="207">
        <f>IF(ISNUMBER(VLOOKUP($B:$B,'BS(분기)'!$A:$F,$2:$2,0)),VLOOKUP($B:$B,'BS(분기)'!$A:$F,$2:$2,0),0)</f>
        <v>0</v>
      </c>
      <c r="R673" s="207">
        <f>IF(ISNUMBER(VLOOKUP($B:$B,'BS(분기)'!$A:$F,$2:$2,0)),VLOOKUP($B:$B,'BS(분기)'!$A:$F,$2:$2,0),0)</f>
        <v>0</v>
      </c>
    </row>
    <row r="674" spans="1:18" s="192" customFormat="1" ht="12">
      <c r="A674" s="204">
        <v>116821</v>
      </c>
      <c r="B674" s="197" t="s">
        <v>932</v>
      </c>
      <c r="C674" s="217">
        <f>IF(ISNUMBER(VLOOKUP($B:$B,BS!$A:$D,$2:$2,0)),VLOOKUP($B:$B,BS!$A:$D,$2:$2,0),0)</f>
        <v>0</v>
      </c>
      <c r="D674" s="217">
        <f>IF(ISNUMBER(VLOOKUP($B:$B,BS!$A:$D,$2:$2,0)),VLOOKUP($B:$B,BS!$A:$D,$2:$2,0),0)</f>
        <v>0</v>
      </c>
      <c r="E674" s="217">
        <f>IF(ISNUMBER(VLOOKUP($B:$B,BS!$A:$D,$2:$2,0)),VLOOKUP($B:$B,BS!$A:$D,$2:$2,0),0)</f>
        <v>0</v>
      </c>
      <c r="F674" s="217">
        <f>IF(ISNUMBER(VLOOKUP($B:$B,BS!$A:$D,$2:$2,0)),VLOOKUP($B:$B,BS!$A:$D,$2:$2,0),0)</f>
        <v>0</v>
      </c>
      <c r="G674" s="217">
        <f>IF(ISNUMBER(VLOOKUP($B:$B,BS!$A:$D,$2:$2,0)),VLOOKUP($B:$B,BS!$A:$D,$2:$2,0),0)</f>
        <v>0</v>
      </c>
      <c r="H674" s="207">
        <f>IF(ISNUMBER(VLOOKUP($B:$B,'BS(과거)'!$A:$F,$2:$2,0)),VLOOKUP($B:$B,'BS(과거)'!$A:$F,$2:$2,0),0)</f>
        <v>0</v>
      </c>
      <c r="I674" s="207">
        <f>IF(ISNUMBER(VLOOKUP($B:$B,'BS(과거)'!$A:$F,$2:$2,0)),VLOOKUP($B:$B,'BS(과거)'!$A:$F,$2:$2,0),0)</f>
        <v>0</v>
      </c>
      <c r="J674" s="207">
        <f>IF(ISNUMBER(VLOOKUP($B:$B,'BS(과거)'!$A:$F,$2:$2,0)),VLOOKUP($B:$B,'BS(과거)'!$A:$F,$2:$2,0),0)</f>
        <v>0</v>
      </c>
      <c r="K674" s="207">
        <f>IF(ISNUMBER(VLOOKUP($B:$B,'BS(과거)'!$A:$F,$2:$2,0)),VLOOKUP($B:$B,'BS(과거)'!$A:$F,$2:$2,0),0)</f>
        <v>0</v>
      </c>
      <c r="L674" s="207">
        <f>IF(ISNUMBER(VLOOKUP($B:$B,'BS(과거)'!$A:$F,$2:$2,0)),VLOOKUP($B:$B,'BS(과거)'!$A:$F,$2:$2,0),0)</f>
        <v>0</v>
      </c>
      <c r="N674" s="207">
        <f>IF(ISNUMBER(VLOOKUP($B:$B,'BS(분기)'!$A:$F,$2:$2,0)),VLOOKUP($B:$B,'BS(분기)'!$A:$F,$2:$2,0),0)</f>
        <v>0</v>
      </c>
      <c r="O674" s="207">
        <f>IF(ISNUMBER(VLOOKUP($B:$B,'BS(분기)'!$A:$F,$2:$2,0)),VLOOKUP($B:$B,'BS(분기)'!$A:$F,$2:$2,0),0)</f>
        <v>0</v>
      </c>
      <c r="P674" s="207">
        <f>IF(ISNUMBER(VLOOKUP($B:$B,'BS(분기)'!$A:$F,$2:$2,0)),VLOOKUP($B:$B,'BS(분기)'!$A:$F,$2:$2,0),0)</f>
        <v>0</v>
      </c>
      <c r="Q674" s="207">
        <f>IF(ISNUMBER(VLOOKUP($B:$B,'BS(분기)'!$A:$F,$2:$2,0)),VLOOKUP($B:$B,'BS(분기)'!$A:$F,$2:$2,0),0)</f>
        <v>0</v>
      </c>
      <c r="R674" s="207">
        <f>IF(ISNUMBER(VLOOKUP($B:$B,'BS(분기)'!$A:$F,$2:$2,0)),VLOOKUP($B:$B,'BS(분기)'!$A:$F,$2:$2,0),0)</f>
        <v>0</v>
      </c>
    </row>
    <row r="675" spans="1:18" s="192" customFormat="1" ht="12">
      <c r="A675" s="204">
        <v>116822</v>
      </c>
      <c r="B675" s="197" t="s">
        <v>933</v>
      </c>
      <c r="C675" s="217">
        <f>IF(ISNUMBER(VLOOKUP($B:$B,BS!$A:$D,$2:$2,0)),VLOOKUP($B:$B,BS!$A:$D,$2:$2,0),0)</f>
        <v>0</v>
      </c>
      <c r="D675" s="217">
        <f>IF(ISNUMBER(VLOOKUP($B:$B,BS!$A:$D,$2:$2,0)),VLOOKUP($B:$B,BS!$A:$D,$2:$2,0),0)</f>
        <v>0</v>
      </c>
      <c r="E675" s="217">
        <f>IF(ISNUMBER(VLOOKUP($B:$B,BS!$A:$D,$2:$2,0)),VLOOKUP($B:$B,BS!$A:$D,$2:$2,0),0)</f>
        <v>0</v>
      </c>
      <c r="F675" s="217">
        <f>IF(ISNUMBER(VLOOKUP($B:$B,BS!$A:$D,$2:$2,0)),VLOOKUP($B:$B,BS!$A:$D,$2:$2,0),0)</f>
        <v>0</v>
      </c>
      <c r="G675" s="217">
        <f>IF(ISNUMBER(VLOOKUP($B:$B,BS!$A:$D,$2:$2,0)),VLOOKUP($B:$B,BS!$A:$D,$2:$2,0),0)</f>
        <v>0</v>
      </c>
      <c r="H675" s="207">
        <f>IF(ISNUMBER(VLOOKUP($B:$B,'BS(과거)'!$A:$F,$2:$2,0)),VLOOKUP($B:$B,'BS(과거)'!$A:$F,$2:$2,0),0)</f>
        <v>0</v>
      </c>
      <c r="I675" s="207">
        <f>IF(ISNUMBER(VLOOKUP($B:$B,'BS(과거)'!$A:$F,$2:$2,0)),VLOOKUP($B:$B,'BS(과거)'!$A:$F,$2:$2,0),0)</f>
        <v>0</v>
      </c>
      <c r="J675" s="207">
        <f>IF(ISNUMBER(VLOOKUP($B:$B,'BS(과거)'!$A:$F,$2:$2,0)),VLOOKUP($B:$B,'BS(과거)'!$A:$F,$2:$2,0),0)</f>
        <v>0</v>
      </c>
      <c r="K675" s="207">
        <f>IF(ISNUMBER(VLOOKUP($B:$B,'BS(과거)'!$A:$F,$2:$2,0)),VLOOKUP($B:$B,'BS(과거)'!$A:$F,$2:$2,0),0)</f>
        <v>0</v>
      </c>
      <c r="L675" s="207">
        <f>IF(ISNUMBER(VLOOKUP($B:$B,'BS(과거)'!$A:$F,$2:$2,0)),VLOOKUP($B:$B,'BS(과거)'!$A:$F,$2:$2,0),0)</f>
        <v>0</v>
      </c>
      <c r="N675" s="207">
        <f>IF(ISNUMBER(VLOOKUP($B:$B,'BS(분기)'!$A:$F,$2:$2,0)),VLOOKUP($B:$B,'BS(분기)'!$A:$F,$2:$2,0),0)</f>
        <v>0</v>
      </c>
      <c r="O675" s="207">
        <f>IF(ISNUMBER(VLOOKUP($B:$B,'BS(분기)'!$A:$F,$2:$2,0)),VLOOKUP($B:$B,'BS(분기)'!$A:$F,$2:$2,0),0)</f>
        <v>0</v>
      </c>
      <c r="P675" s="207">
        <f>IF(ISNUMBER(VLOOKUP($B:$B,'BS(분기)'!$A:$F,$2:$2,0)),VLOOKUP($B:$B,'BS(분기)'!$A:$F,$2:$2,0),0)</f>
        <v>0</v>
      </c>
      <c r="Q675" s="207">
        <f>IF(ISNUMBER(VLOOKUP($B:$B,'BS(분기)'!$A:$F,$2:$2,0)),VLOOKUP($B:$B,'BS(분기)'!$A:$F,$2:$2,0),0)</f>
        <v>0</v>
      </c>
      <c r="R675" s="207">
        <f>IF(ISNUMBER(VLOOKUP($B:$B,'BS(분기)'!$A:$F,$2:$2,0)),VLOOKUP($B:$B,'BS(분기)'!$A:$F,$2:$2,0),0)</f>
        <v>0</v>
      </c>
    </row>
    <row r="676" spans="1:18" s="192" customFormat="1" ht="12">
      <c r="A676" s="204">
        <v>116823</v>
      </c>
      <c r="B676" s="197" t="s">
        <v>934</v>
      </c>
      <c r="C676" s="217">
        <f>IF(ISNUMBER(VLOOKUP($B:$B,BS!$A:$D,$2:$2,0)),VLOOKUP($B:$B,BS!$A:$D,$2:$2,0),0)</f>
        <v>0</v>
      </c>
      <c r="D676" s="217">
        <f>IF(ISNUMBER(VLOOKUP($B:$B,BS!$A:$D,$2:$2,0)),VLOOKUP($B:$B,BS!$A:$D,$2:$2,0),0)</f>
        <v>0</v>
      </c>
      <c r="E676" s="217">
        <f>IF(ISNUMBER(VLOOKUP($B:$B,BS!$A:$D,$2:$2,0)),VLOOKUP($B:$B,BS!$A:$D,$2:$2,0),0)</f>
        <v>0</v>
      </c>
      <c r="F676" s="217">
        <f>IF(ISNUMBER(VLOOKUP($B:$B,BS!$A:$D,$2:$2,0)),VLOOKUP($B:$B,BS!$A:$D,$2:$2,0),0)</f>
        <v>0</v>
      </c>
      <c r="G676" s="217">
        <f>IF(ISNUMBER(VLOOKUP($B:$B,BS!$A:$D,$2:$2,0)),VLOOKUP($B:$B,BS!$A:$D,$2:$2,0),0)</f>
        <v>0</v>
      </c>
      <c r="H676" s="207">
        <f>IF(ISNUMBER(VLOOKUP($B:$B,'BS(과거)'!$A:$F,$2:$2,0)),VLOOKUP($B:$B,'BS(과거)'!$A:$F,$2:$2,0),0)</f>
        <v>0</v>
      </c>
      <c r="I676" s="207">
        <f>IF(ISNUMBER(VLOOKUP($B:$B,'BS(과거)'!$A:$F,$2:$2,0)),VLOOKUP($B:$B,'BS(과거)'!$A:$F,$2:$2,0),0)</f>
        <v>0</v>
      </c>
      <c r="J676" s="207">
        <f>IF(ISNUMBER(VLOOKUP($B:$B,'BS(과거)'!$A:$F,$2:$2,0)),VLOOKUP($B:$B,'BS(과거)'!$A:$F,$2:$2,0),0)</f>
        <v>0</v>
      </c>
      <c r="K676" s="207">
        <f>IF(ISNUMBER(VLOOKUP($B:$B,'BS(과거)'!$A:$F,$2:$2,0)),VLOOKUP($B:$B,'BS(과거)'!$A:$F,$2:$2,0),0)</f>
        <v>0</v>
      </c>
      <c r="L676" s="207">
        <f>IF(ISNUMBER(VLOOKUP($B:$B,'BS(과거)'!$A:$F,$2:$2,0)),VLOOKUP($B:$B,'BS(과거)'!$A:$F,$2:$2,0),0)</f>
        <v>0</v>
      </c>
      <c r="N676" s="207">
        <f>IF(ISNUMBER(VLOOKUP($B:$B,'BS(분기)'!$A:$F,$2:$2,0)),VLOOKUP($B:$B,'BS(분기)'!$A:$F,$2:$2,0),0)</f>
        <v>0</v>
      </c>
      <c r="O676" s="207">
        <f>IF(ISNUMBER(VLOOKUP($B:$B,'BS(분기)'!$A:$F,$2:$2,0)),VLOOKUP($B:$B,'BS(분기)'!$A:$F,$2:$2,0),0)</f>
        <v>0</v>
      </c>
      <c r="P676" s="207">
        <f>IF(ISNUMBER(VLOOKUP($B:$B,'BS(분기)'!$A:$F,$2:$2,0)),VLOOKUP($B:$B,'BS(분기)'!$A:$F,$2:$2,0),0)</f>
        <v>0</v>
      </c>
      <c r="Q676" s="207">
        <f>IF(ISNUMBER(VLOOKUP($B:$B,'BS(분기)'!$A:$F,$2:$2,0)),VLOOKUP($B:$B,'BS(분기)'!$A:$F,$2:$2,0),0)</f>
        <v>0</v>
      </c>
      <c r="R676" s="207">
        <f>IF(ISNUMBER(VLOOKUP($B:$B,'BS(분기)'!$A:$F,$2:$2,0)),VLOOKUP($B:$B,'BS(분기)'!$A:$F,$2:$2,0),0)</f>
        <v>0</v>
      </c>
    </row>
    <row r="677" spans="1:18" s="192" customFormat="1" ht="12">
      <c r="A677" s="204">
        <v>116829</v>
      </c>
      <c r="B677" s="197" t="s">
        <v>935</v>
      </c>
      <c r="C677" s="217">
        <f>IF(ISNUMBER(VLOOKUP($B:$B,BS!$A:$D,$2:$2,0)),VLOOKUP($B:$B,BS!$A:$D,$2:$2,0),0)</f>
        <v>0</v>
      </c>
      <c r="D677" s="217">
        <f>IF(ISNUMBER(VLOOKUP($B:$B,BS!$A:$D,$2:$2,0)),VLOOKUP($B:$B,BS!$A:$D,$2:$2,0),0)</f>
        <v>0</v>
      </c>
      <c r="E677" s="217">
        <f>IF(ISNUMBER(VLOOKUP($B:$B,BS!$A:$D,$2:$2,0)),VLOOKUP($B:$B,BS!$A:$D,$2:$2,0),0)</f>
        <v>0</v>
      </c>
      <c r="F677" s="217">
        <f>IF(ISNUMBER(VLOOKUP($B:$B,BS!$A:$D,$2:$2,0)),VLOOKUP($B:$B,BS!$A:$D,$2:$2,0),0)</f>
        <v>0</v>
      </c>
      <c r="G677" s="217">
        <f>IF(ISNUMBER(VLOOKUP($B:$B,BS!$A:$D,$2:$2,0)),VLOOKUP($B:$B,BS!$A:$D,$2:$2,0),0)</f>
        <v>0</v>
      </c>
      <c r="H677" s="207">
        <f>IF(ISNUMBER(VLOOKUP($B:$B,'BS(과거)'!$A:$F,$2:$2,0)),VLOOKUP($B:$B,'BS(과거)'!$A:$F,$2:$2,0),0)</f>
        <v>0</v>
      </c>
      <c r="I677" s="207">
        <f>IF(ISNUMBER(VLOOKUP($B:$B,'BS(과거)'!$A:$F,$2:$2,0)),VLOOKUP($B:$B,'BS(과거)'!$A:$F,$2:$2,0),0)</f>
        <v>0</v>
      </c>
      <c r="J677" s="207">
        <f>IF(ISNUMBER(VLOOKUP($B:$B,'BS(과거)'!$A:$F,$2:$2,0)),VLOOKUP($B:$B,'BS(과거)'!$A:$F,$2:$2,0),0)</f>
        <v>0</v>
      </c>
      <c r="K677" s="207">
        <f>IF(ISNUMBER(VLOOKUP($B:$B,'BS(과거)'!$A:$F,$2:$2,0)),VLOOKUP($B:$B,'BS(과거)'!$A:$F,$2:$2,0),0)</f>
        <v>0</v>
      </c>
      <c r="L677" s="207">
        <f>IF(ISNUMBER(VLOOKUP($B:$B,'BS(과거)'!$A:$F,$2:$2,0)),VLOOKUP($B:$B,'BS(과거)'!$A:$F,$2:$2,0),0)</f>
        <v>0</v>
      </c>
      <c r="N677" s="207">
        <f>IF(ISNUMBER(VLOOKUP($B:$B,'BS(분기)'!$A:$F,$2:$2,0)),VLOOKUP($B:$B,'BS(분기)'!$A:$F,$2:$2,0),0)</f>
        <v>0</v>
      </c>
      <c r="O677" s="207">
        <f>IF(ISNUMBER(VLOOKUP($B:$B,'BS(분기)'!$A:$F,$2:$2,0)),VLOOKUP($B:$B,'BS(분기)'!$A:$F,$2:$2,0),0)</f>
        <v>0</v>
      </c>
      <c r="P677" s="207">
        <f>IF(ISNUMBER(VLOOKUP($B:$B,'BS(분기)'!$A:$F,$2:$2,0)),VLOOKUP($B:$B,'BS(분기)'!$A:$F,$2:$2,0),0)</f>
        <v>0</v>
      </c>
      <c r="Q677" s="207">
        <f>IF(ISNUMBER(VLOOKUP($B:$B,'BS(분기)'!$A:$F,$2:$2,0)),VLOOKUP($B:$B,'BS(분기)'!$A:$F,$2:$2,0),0)</f>
        <v>0</v>
      </c>
      <c r="R677" s="207">
        <f>IF(ISNUMBER(VLOOKUP($B:$B,'BS(분기)'!$A:$F,$2:$2,0)),VLOOKUP($B:$B,'BS(분기)'!$A:$F,$2:$2,0),0)</f>
        <v>0</v>
      </c>
    </row>
    <row r="678" spans="1:18" s="192" customFormat="1" ht="12">
      <c r="A678" s="203">
        <v>116830</v>
      </c>
      <c r="B678" s="196" t="s">
        <v>936</v>
      </c>
      <c r="C678" s="217">
        <f>IF(ISNUMBER(VLOOKUP($B:$B,BS!$A:$D,$2:$2,0)),VLOOKUP($B:$B,BS!$A:$D,$2:$2,0),0)</f>
        <v>0</v>
      </c>
      <c r="D678" s="217">
        <f>IF(ISNUMBER(VLOOKUP($B:$B,BS!$A:$D,$2:$2,0)),VLOOKUP($B:$B,BS!$A:$D,$2:$2,0),0)</f>
        <v>0</v>
      </c>
      <c r="E678" s="217">
        <f>IF(ISNUMBER(VLOOKUP($B:$B,BS!$A:$D,$2:$2,0)),VLOOKUP($B:$B,BS!$A:$D,$2:$2,0),0)</f>
        <v>0</v>
      </c>
      <c r="F678" s="217">
        <f>IF(ISNUMBER(VLOOKUP($B:$B,BS!$A:$D,$2:$2,0)),VLOOKUP($B:$B,BS!$A:$D,$2:$2,0),0)</f>
        <v>0</v>
      </c>
      <c r="G678" s="217">
        <f>IF(ISNUMBER(VLOOKUP($B:$B,BS!$A:$D,$2:$2,0)),VLOOKUP($B:$B,BS!$A:$D,$2:$2,0),0)</f>
        <v>0</v>
      </c>
      <c r="H678" s="207">
        <f>IF(ISNUMBER(VLOOKUP($B:$B,'BS(과거)'!$A:$F,$2:$2,0)),VLOOKUP($B:$B,'BS(과거)'!$A:$F,$2:$2,0),0)</f>
        <v>0</v>
      </c>
      <c r="I678" s="207">
        <f>IF(ISNUMBER(VLOOKUP($B:$B,'BS(과거)'!$A:$F,$2:$2,0)),VLOOKUP($B:$B,'BS(과거)'!$A:$F,$2:$2,0),0)</f>
        <v>0</v>
      </c>
      <c r="J678" s="207">
        <f>IF(ISNUMBER(VLOOKUP($B:$B,'BS(과거)'!$A:$F,$2:$2,0)),VLOOKUP($B:$B,'BS(과거)'!$A:$F,$2:$2,0),0)</f>
        <v>0</v>
      </c>
      <c r="K678" s="207">
        <f>IF(ISNUMBER(VLOOKUP($B:$B,'BS(과거)'!$A:$F,$2:$2,0)),VLOOKUP($B:$B,'BS(과거)'!$A:$F,$2:$2,0),0)</f>
        <v>0</v>
      </c>
      <c r="L678" s="207">
        <f>IF(ISNUMBER(VLOOKUP($B:$B,'BS(과거)'!$A:$F,$2:$2,0)),VLOOKUP($B:$B,'BS(과거)'!$A:$F,$2:$2,0),0)</f>
        <v>0</v>
      </c>
      <c r="N678" s="207">
        <f>IF(ISNUMBER(VLOOKUP($B:$B,'BS(분기)'!$A:$F,$2:$2,0)),VLOOKUP($B:$B,'BS(분기)'!$A:$F,$2:$2,0),0)</f>
        <v>0</v>
      </c>
      <c r="O678" s="207">
        <f>IF(ISNUMBER(VLOOKUP($B:$B,'BS(분기)'!$A:$F,$2:$2,0)),VLOOKUP($B:$B,'BS(분기)'!$A:$F,$2:$2,0),0)</f>
        <v>0</v>
      </c>
      <c r="P678" s="207">
        <f>IF(ISNUMBER(VLOOKUP($B:$B,'BS(분기)'!$A:$F,$2:$2,0)),VLOOKUP($B:$B,'BS(분기)'!$A:$F,$2:$2,0),0)</f>
        <v>0</v>
      </c>
      <c r="Q678" s="207">
        <f>IF(ISNUMBER(VLOOKUP($B:$B,'BS(분기)'!$A:$F,$2:$2,0)),VLOOKUP($B:$B,'BS(분기)'!$A:$F,$2:$2,0),0)</f>
        <v>0</v>
      </c>
      <c r="R678" s="207">
        <f>IF(ISNUMBER(VLOOKUP($B:$B,'BS(분기)'!$A:$F,$2:$2,0)),VLOOKUP($B:$B,'BS(분기)'!$A:$F,$2:$2,0),0)</f>
        <v>0</v>
      </c>
    </row>
    <row r="679" spans="1:18" s="192" customFormat="1" ht="12">
      <c r="A679" s="204">
        <v>116831</v>
      </c>
      <c r="B679" s="197" t="s">
        <v>937</v>
      </c>
      <c r="C679" s="217">
        <f>IF(ISNUMBER(VLOOKUP($B:$B,BS!$A:$D,$2:$2,0)),VLOOKUP($B:$B,BS!$A:$D,$2:$2,0),0)</f>
        <v>0</v>
      </c>
      <c r="D679" s="217">
        <f>IF(ISNUMBER(VLOOKUP($B:$B,BS!$A:$D,$2:$2,0)),VLOOKUP($B:$B,BS!$A:$D,$2:$2,0),0)</f>
        <v>0</v>
      </c>
      <c r="E679" s="217">
        <f>IF(ISNUMBER(VLOOKUP($B:$B,BS!$A:$D,$2:$2,0)),VLOOKUP($B:$B,BS!$A:$D,$2:$2,0),0)</f>
        <v>0</v>
      </c>
      <c r="F679" s="217">
        <f>IF(ISNUMBER(VLOOKUP($B:$B,BS!$A:$D,$2:$2,0)),VLOOKUP($B:$B,BS!$A:$D,$2:$2,0),0)</f>
        <v>0</v>
      </c>
      <c r="G679" s="217">
        <f>IF(ISNUMBER(VLOOKUP($B:$B,BS!$A:$D,$2:$2,0)),VLOOKUP($B:$B,BS!$A:$D,$2:$2,0),0)</f>
        <v>0</v>
      </c>
      <c r="H679" s="207">
        <f>IF(ISNUMBER(VLOOKUP($B:$B,'BS(과거)'!$A:$F,$2:$2,0)),VLOOKUP($B:$B,'BS(과거)'!$A:$F,$2:$2,0),0)</f>
        <v>0</v>
      </c>
      <c r="I679" s="207">
        <f>IF(ISNUMBER(VLOOKUP($B:$B,'BS(과거)'!$A:$F,$2:$2,0)),VLOOKUP($B:$B,'BS(과거)'!$A:$F,$2:$2,0),0)</f>
        <v>0</v>
      </c>
      <c r="J679" s="207">
        <f>IF(ISNUMBER(VLOOKUP($B:$B,'BS(과거)'!$A:$F,$2:$2,0)),VLOOKUP($B:$B,'BS(과거)'!$A:$F,$2:$2,0),0)</f>
        <v>0</v>
      </c>
      <c r="K679" s="207">
        <f>IF(ISNUMBER(VLOOKUP($B:$B,'BS(과거)'!$A:$F,$2:$2,0)),VLOOKUP($B:$B,'BS(과거)'!$A:$F,$2:$2,0),0)</f>
        <v>0</v>
      </c>
      <c r="L679" s="207">
        <f>IF(ISNUMBER(VLOOKUP($B:$B,'BS(과거)'!$A:$F,$2:$2,0)),VLOOKUP($B:$B,'BS(과거)'!$A:$F,$2:$2,0),0)</f>
        <v>0</v>
      </c>
      <c r="N679" s="207">
        <f>IF(ISNUMBER(VLOOKUP($B:$B,'BS(분기)'!$A:$F,$2:$2,0)),VLOOKUP($B:$B,'BS(분기)'!$A:$F,$2:$2,0),0)</f>
        <v>0</v>
      </c>
      <c r="O679" s="207">
        <f>IF(ISNUMBER(VLOOKUP($B:$B,'BS(분기)'!$A:$F,$2:$2,0)),VLOOKUP($B:$B,'BS(분기)'!$A:$F,$2:$2,0),0)</f>
        <v>0</v>
      </c>
      <c r="P679" s="207">
        <f>IF(ISNUMBER(VLOOKUP($B:$B,'BS(분기)'!$A:$F,$2:$2,0)),VLOOKUP($B:$B,'BS(분기)'!$A:$F,$2:$2,0),0)</f>
        <v>0</v>
      </c>
      <c r="Q679" s="207">
        <f>IF(ISNUMBER(VLOOKUP($B:$B,'BS(분기)'!$A:$F,$2:$2,0)),VLOOKUP($B:$B,'BS(분기)'!$A:$F,$2:$2,0),0)</f>
        <v>0</v>
      </c>
      <c r="R679" s="207">
        <f>IF(ISNUMBER(VLOOKUP($B:$B,'BS(분기)'!$A:$F,$2:$2,0)),VLOOKUP($B:$B,'BS(분기)'!$A:$F,$2:$2,0),0)</f>
        <v>0</v>
      </c>
    </row>
    <row r="680" spans="1:18" s="192" customFormat="1" ht="12">
      <c r="A680" s="204">
        <v>116832</v>
      </c>
      <c r="B680" s="197" t="s">
        <v>938</v>
      </c>
      <c r="C680" s="217">
        <f>IF(ISNUMBER(VLOOKUP($B:$B,BS!$A:$D,$2:$2,0)),VLOOKUP($B:$B,BS!$A:$D,$2:$2,0),0)</f>
        <v>0</v>
      </c>
      <c r="D680" s="217">
        <f>IF(ISNUMBER(VLOOKUP($B:$B,BS!$A:$D,$2:$2,0)),VLOOKUP($B:$B,BS!$A:$D,$2:$2,0),0)</f>
        <v>0</v>
      </c>
      <c r="E680" s="217">
        <f>IF(ISNUMBER(VLOOKUP($B:$B,BS!$A:$D,$2:$2,0)),VLOOKUP($B:$B,BS!$A:$D,$2:$2,0),0)</f>
        <v>0</v>
      </c>
      <c r="F680" s="217">
        <f>IF(ISNUMBER(VLOOKUP($B:$B,BS!$A:$D,$2:$2,0)),VLOOKUP($B:$B,BS!$A:$D,$2:$2,0),0)</f>
        <v>0</v>
      </c>
      <c r="G680" s="217">
        <f>IF(ISNUMBER(VLOOKUP($B:$B,BS!$A:$D,$2:$2,0)),VLOOKUP($B:$B,BS!$A:$D,$2:$2,0),0)</f>
        <v>0</v>
      </c>
      <c r="H680" s="207">
        <f>IF(ISNUMBER(VLOOKUP($B:$B,'BS(과거)'!$A:$F,$2:$2,0)),VLOOKUP($B:$B,'BS(과거)'!$A:$F,$2:$2,0),0)</f>
        <v>0</v>
      </c>
      <c r="I680" s="207">
        <f>IF(ISNUMBER(VLOOKUP($B:$B,'BS(과거)'!$A:$F,$2:$2,0)),VLOOKUP($B:$B,'BS(과거)'!$A:$F,$2:$2,0),0)</f>
        <v>0</v>
      </c>
      <c r="J680" s="207">
        <f>IF(ISNUMBER(VLOOKUP($B:$B,'BS(과거)'!$A:$F,$2:$2,0)),VLOOKUP($B:$B,'BS(과거)'!$A:$F,$2:$2,0),0)</f>
        <v>0</v>
      </c>
      <c r="K680" s="207">
        <f>IF(ISNUMBER(VLOOKUP($B:$B,'BS(과거)'!$A:$F,$2:$2,0)),VLOOKUP($B:$B,'BS(과거)'!$A:$F,$2:$2,0),0)</f>
        <v>0</v>
      </c>
      <c r="L680" s="207">
        <f>IF(ISNUMBER(VLOOKUP($B:$B,'BS(과거)'!$A:$F,$2:$2,0)),VLOOKUP($B:$B,'BS(과거)'!$A:$F,$2:$2,0),0)</f>
        <v>0</v>
      </c>
      <c r="N680" s="207">
        <f>IF(ISNUMBER(VLOOKUP($B:$B,'BS(분기)'!$A:$F,$2:$2,0)),VLOOKUP($B:$B,'BS(분기)'!$A:$F,$2:$2,0),0)</f>
        <v>0</v>
      </c>
      <c r="O680" s="207">
        <f>IF(ISNUMBER(VLOOKUP($B:$B,'BS(분기)'!$A:$F,$2:$2,0)),VLOOKUP($B:$B,'BS(분기)'!$A:$F,$2:$2,0),0)</f>
        <v>0</v>
      </c>
      <c r="P680" s="207">
        <f>IF(ISNUMBER(VLOOKUP($B:$B,'BS(분기)'!$A:$F,$2:$2,0)),VLOOKUP($B:$B,'BS(분기)'!$A:$F,$2:$2,0),0)</f>
        <v>0</v>
      </c>
      <c r="Q680" s="207">
        <f>IF(ISNUMBER(VLOOKUP($B:$B,'BS(분기)'!$A:$F,$2:$2,0)),VLOOKUP($B:$B,'BS(분기)'!$A:$F,$2:$2,0),0)</f>
        <v>0</v>
      </c>
      <c r="R680" s="207">
        <f>IF(ISNUMBER(VLOOKUP($B:$B,'BS(분기)'!$A:$F,$2:$2,0)),VLOOKUP($B:$B,'BS(분기)'!$A:$F,$2:$2,0),0)</f>
        <v>0</v>
      </c>
    </row>
    <row r="681" spans="1:18" s="192" customFormat="1" ht="12">
      <c r="A681" s="204">
        <v>116833</v>
      </c>
      <c r="B681" s="197" t="s">
        <v>939</v>
      </c>
      <c r="C681" s="217">
        <f>IF(ISNUMBER(VLOOKUP($B:$B,BS!$A:$D,$2:$2,0)),VLOOKUP($B:$B,BS!$A:$D,$2:$2,0),0)</f>
        <v>0</v>
      </c>
      <c r="D681" s="217">
        <f>IF(ISNUMBER(VLOOKUP($B:$B,BS!$A:$D,$2:$2,0)),VLOOKUP($B:$B,BS!$A:$D,$2:$2,0),0)</f>
        <v>0</v>
      </c>
      <c r="E681" s="217">
        <f>IF(ISNUMBER(VLOOKUP($B:$B,BS!$A:$D,$2:$2,0)),VLOOKUP($B:$B,BS!$A:$D,$2:$2,0),0)</f>
        <v>0</v>
      </c>
      <c r="F681" s="217">
        <f>IF(ISNUMBER(VLOOKUP($B:$B,BS!$A:$D,$2:$2,0)),VLOOKUP($B:$B,BS!$A:$D,$2:$2,0),0)</f>
        <v>0</v>
      </c>
      <c r="G681" s="217">
        <f>IF(ISNUMBER(VLOOKUP($B:$B,BS!$A:$D,$2:$2,0)),VLOOKUP($B:$B,BS!$A:$D,$2:$2,0),0)</f>
        <v>0</v>
      </c>
      <c r="H681" s="207">
        <f>IF(ISNUMBER(VLOOKUP($B:$B,'BS(과거)'!$A:$F,$2:$2,0)),VLOOKUP($B:$B,'BS(과거)'!$A:$F,$2:$2,0),0)</f>
        <v>0</v>
      </c>
      <c r="I681" s="207">
        <f>IF(ISNUMBER(VLOOKUP($B:$B,'BS(과거)'!$A:$F,$2:$2,0)),VLOOKUP($B:$B,'BS(과거)'!$A:$F,$2:$2,0),0)</f>
        <v>0</v>
      </c>
      <c r="J681" s="207">
        <f>IF(ISNUMBER(VLOOKUP($B:$B,'BS(과거)'!$A:$F,$2:$2,0)),VLOOKUP($B:$B,'BS(과거)'!$A:$F,$2:$2,0),0)</f>
        <v>0</v>
      </c>
      <c r="K681" s="207">
        <f>IF(ISNUMBER(VLOOKUP($B:$B,'BS(과거)'!$A:$F,$2:$2,0)),VLOOKUP($B:$B,'BS(과거)'!$A:$F,$2:$2,0),0)</f>
        <v>0</v>
      </c>
      <c r="L681" s="207">
        <f>IF(ISNUMBER(VLOOKUP($B:$B,'BS(과거)'!$A:$F,$2:$2,0)),VLOOKUP($B:$B,'BS(과거)'!$A:$F,$2:$2,0),0)</f>
        <v>0</v>
      </c>
      <c r="N681" s="207">
        <f>IF(ISNUMBER(VLOOKUP($B:$B,'BS(분기)'!$A:$F,$2:$2,0)),VLOOKUP($B:$B,'BS(분기)'!$A:$F,$2:$2,0),0)</f>
        <v>0</v>
      </c>
      <c r="O681" s="207">
        <f>IF(ISNUMBER(VLOOKUP($B:$B,'BS(분기)'!$A:$F,$2:$2,0)),VLOOKUP($B:$B,'BS(분기)'!$A:$F,$2:$2,0),0)</f>
        <v>0</v>
      </c>
      <c r="P681" s="207">
        <f>IF(ISNUMBER(VLOOKUP($B:$B,'BS(분기)'!$A:$F,$2:$2,0)),VLOOKUP($B:$B,'BS(분기)'!$A:$F,$2:$2,0),0)</f>
        <v>0</v>
      </c>
      <c r="Q681" s="207">
        <f>IF(ISNUMBER(VLOOKUP($B:$B,'BS(분기)'!$A:$F,$2:$2,0)),VLOOKUP($B:$B,'BS(분기)'!$A:$F,$2:$2,0),0)</f>
        <v>0</v>
      </c>
      <c r="R681" s="207">
        <f>IF(ISNUMBER(VLOOKUP($B:$B,'BS(분기)'!$A:$F,$2:$2,0)),VLOOKUP($B:$B,'BS(분기)'!$A:$F,$2:$2,0),0)</f>
        <v>0</v>
      </c>
    </row>
    <row r="682" spans="1:18" s="192" customFormat="1" ht="12">
      <c r="A682" s="204">
        <v>116834</v>
      </c>
      <c r="B682" s="197" t="s">
        <v>940</v>
      </c>
      <c r="C682" s="217">
        <f>IF(ISNUMBER(VLOOKUP($B:$B,BS!$A:$D,$2:$2,0)),VLOOKUP($B:$B,BS!$A:$D,$2:$2,0),0)</f>
        <v>0</v>
      </c>
      <c r="D682" s="217">
        <f>IF(ISNUMBER(VLOOKUP($B:$B,BS!$A:$D,$2:$2,0)),VLOOKUP($B:$B,BS!$A:$D,$2:$2,0),0)</f>
        <v>0</v>
      </c>
      <c r="E682" s="217">
        <f>IF(ISNUMBER(VLOOKUP($B:$B,BS!$A:$D,$2:$2,0)),VLOOKUP($B:$B,BS!$A:$D,$2:$2,0),0)</f>
        <v>0</v>
      </c>
      <c r="F682" s="217">
        <f>IF(ISNUMBER(VLOOKUP($B:$B,BS!$A:$D,$2:$2,0)),VLOOKUP($B:$B,BS!$A:$D,$2:$2,0),0)</f>
        <v>0</v>
      </c>
      <c r="G682" s="217">
        <f>IF(ISNUMBER(VLOOKUP($B:$B,BS!$A:$D,$2:$2,0)),VLOOKUP($B:$B,BS!$A:$D,$2:$2,0),0)</f>
        <v>0</v>
      </c>
      <c r="H682" s="207">
        <f>IF(ISNUMBER(VLOOKUP($B:$B,'BS(과거)'!$A:$F,$2:$2,0)),VLOOKUP($B:$B,'BS(과거)'!$A:$F,$2:$2,0),0)</f>
        <v>0</v>
      </c>
      <c r="I682" s="207">
        <f>IF(ISNUMBER(VLOOKUP($B:$B,'BS(과거)'!$A:$F,$2:$2,0)),VLOOKUP($B:$B,'BS(과거)'!$A:$F,$2:$2,0),0)</f>
        <v>0</v>
      </c>
      <c r="J682" s="207">
        <f>IF(ISNUMBER(VLOOKUP($B:$B,'BS(과거)'!$A:$F,$2:$2,0)),VLOOKUP($B:$B,'BS(과거)'!$A:$F,$2:$2,0),0)</f>
        <v>0</v>
      </c>
      <c r="K682" s="207">
        <f>IF(ISNUMBER(VLOOKUP($B:$B,'BS(과거)'!$A:$F,$2:$2,0)),VLOOKUP($B:$B,'BS(과거)'!$A:$F,$2:$2,0),0)</f>
        <v>0</v>
      </c>
      <c r="L682" s="207">
        <f>IF(ISNUMBER(VLOOKUP($B:$B,'BS(과거)'!$A:$F,$2:$2,0)),VLOOKUP($B:$B,'BS(과거)'!$A:$F,$2:$2,0),0)</f>
        <v>0</v>
      </c>
      <c r="N682" s="207">
        <f>IF(ISNUMBER(VLOOKUP($B:$B,'BS(분기)'!$A:$F,$2:$2,0)),VLOOKUP($B:$B,'BS(분기)'!$A:$F,$2:$2,0),0)</f>
        <v>0</v>
      </c>
      <c r="O682" s="207">
        <f>IF(ISNUMBER(VLOOKUP($B:$B,'BS(분기)'!$A:$F,$2:$2,0)),VLOOKUP($B:$B,'BS(분기)'!$A:$F,$2:$2,0),0)</f>
        <v>0</v>
      </c>
      <c r="P682" s="207">
        <f>IF(ISNUMBER(VLOOKUP($B:$B,'BS(분기)'!$A:$F,$2:$2,0)),VLOOKUP($B:$B,'BS(분기)'!$A:$F,$2:$2,0),0)</f>
        <v>0</v>
      </c>
      <c r="Q682" s="207">
        <f>IF(ISNUMBER(VLOOKUP($B:$B,'BS(분기)'!$A:$F,$2:$2,0)),VLOOKUP($B:$B,'BS(분기)'!$A:$F,$2:$2,0),0)</f>
        <v>0</v>
      </c>
      <c r="R682" s="207">
        <f>IF(ISNUMBER(VLOOKUP($B:$B,'BS(분기)'!$A:$F,$2:$2,0)),VLOOKUP($B:$B,'BS(분기)'!$A:$F,$2:$2,0),0)</f>
        <v>0</v>
      </c>
    </row>
    <row r="683" spans="1:18" s="192" customFormat="1" ht="12">
      <c r="A683" s="204">
        <v>116839</v>
      </c>
      <c r="B683" s="197" t="s">
        <v>941</v>
      </c>
      <c r="C683" s="217">
        <f>IF(ISNUMBER(VLOOKUP($B:$B,BS!$A:$D,$2:$2,0)),VLOOKUP($B:$B,BS!$A:$D,$2:$2,0),0)</f>
        <v>0</v>
      </c>
      <c r="D683" s="217">
        <f>IF(ISNUMBER(VLOOKUP($B:$B,BS!$A:$D,$2:$2,0)),VLOOKUP($B:$B,BS!$A:$D,$2:$2,0),0)</f>
        <v>0</v>
      </c>
      <c r="E683" s="217">
        <f>IF(ISNUMBER(VLOOKUP($B:$B,BS!$A:$D,$2:$2,0)),VLOOKUP($B:$B,BS!$A:$D,$2:$2,0),0)</f>
        <v>0</v>
      </c>
      <c r="F683" s="217">
        <f>IF(ISNUMBER(VLOOKUP($B:$B,BS!$A:$D,$2:$2,0)),VLOOKUP($B:$B,BS!$A:$D,$2:$2,0),0)</f>
        <v>0</v>
      </c>
      <c r="G683" s="217">
        <f>IF(ISNUMBER(VLOOKUP($B:$B,BS!$A:$D,$2:$2,0)),VLOOKUP($B:$B,BS!$A:$D,$2:$2,0),0)</f>
        <v>0</v>
      </c>
      <c r="H683" s="207">
        <f>IF(ISNUMBER(VLOOKUP($B:$B,'BS(과거)'!$A:$F,$2:$2,0)),VLOOKUP($B:$B,'BS(과거)'!$A:$F,$2:$2,0),0)</f>
        <v>0</v>
      </c>
      <c r="I683" s="207">
        <f>IF(ISNUMBER(VLOOKUP($B:$B,'BS(과거)'!$A:$F,$2:$2,0)),VLOOKUP($B:$B,'BS(과거)'!$A:$F,$2:$2,0),0)</f>
        <v>0</v>
      </c>
      <c r="J683" s="207">
        <f>IF(ISNUMBER(VLOOKUP($B:$B,'BS(과거)'!$A:$F,$2:$2,0)),VLOOKUP($B:$B,'BS(과거)'!$A:$F,$2:$2,0),0)</f>
        <v>0</v>
      </c>
      <c r="K683" s="207">
        <f>IF(ISNUMBER(VLOOKUP($B:$B,'BS(과거)'!$A:$F,$2:$2,0)),VLOOKUP($B:$B,'BS(과거)'!$A:$F,$2:$2,0),0)</f>
        <v>0</v>
      </c>
      <c r="L683" s="207">
        <f>IF(ISNUMBER(VLOOKUP($B:$B,'BS(과거)'!$A:$F,$2:$2,0)),VLOOKUP($B:$B,'BS(과거)'!$A:$F,$2:$2,0),0)</f>
        <v>0</v>
      </c>
      <c r="N683" s="207">
        <f>IF(ISNUMBER(VLOOKUP($B:$B,'BS(분기)'!$A:$F,$2:$2,0)),VLOOKUP($B:$B,'BS(분기)'!$A:$F,$2:$2,0),0)</f>
        <v>0</v>
      </c>
      <c r="O683" s="207">
        <f>IF(ISNUMBER(VLOOKUP($B:$B,'BS(분기)'!$A:$F,$2:$2,0)),VLOOKUP($B:$B,'BS(분기)'!$A:$F,$2:$2,0),0)</f>
        <v>0</v>
      </c>
      <c r="P683" s="207">
        <f>IF(ISNUMBER(VLOOKUP($B:$B,'BS(분기)'!$A:$F,$2:$2,0)),VLOOKUP($B:$B,'BS(분기)'!$A:$F,$2:$2,0),0)</f>
        <v>0</v>
      </c>
      <c r="Q683" s="207">
        <f>IF(ISNUMBER(VLOOKUP($B:$B,'BS(분기)'!$A:$F,$2:$2,0)),VLOOKUP($B:$B,'BS(분기)'!$A:$F,$2:$2,0),0)</f>
        <v>0</v>
      </c>
      <c r="R683" s="207">
        <f>IF(ISNUMBER(VLOOKUP($B:$B,'BS(분기)'!$A:$F,$2:$2,0)),VLOOKUP($B:$B,'BS(분기)'!$A:$F,$2:$2,0),0)</f>
        <v>0</v>
      </c>
    </row>
    <row r="684" spans="1:18" s="192" customFormat="1" ht="12">
      <c r="A684" s="203">
        <v>116840</v>
      </c>
      <c r="B684" s="196" t="s">
        <v>942</v>
      </c>
      <c r="C684" s="217">
        <f>IF(ISNUMBER(VLOOKUP($B:$B,BS!$A:$D,$2:$2,0)),VLOOKUP($B:$B,BS!$A:$D,$2:$2,0),0)</f>
        <v>0</v>
      </c>
      <c r="D684" s="217">
        <f>IF(ISNUMBER(VLOOKUP($B:$B,BS!$A:$D,$2:$2,0)),VLOOKUP($B:$B,BS!$A:$D,$2:$2,0),0)</f>
        <v>0</v>
      </c>
      <c r="E684" s="217">
        <f>IF(ISNUMBER(VLOOKUP($B:$B,BS!$A:$D,$2:$2,0)),VLOOKUP($B:$B,BS!$A:$D,$2:$2,0),0)</f>
        <v>0</v>
      </c>
      <c r="F684" s="217">
        <f>IF(ISNUMBER(VLOOKUP($B:$B,BS!$A:$D,$2:$2,0)),VLOOKUP($B:$B,BS!$A:$D,$2:$2,0),0)</f>
        <v>0</v>
      </c>
      <c r="G684" s="217">
        <f>IF(ISNUMBER(VLOOKUP($B:$B,BS!$A:$D,$2:$2,0)),VLOOKUP($B:$B,BS!$A:$D,$2:$2,0),0)</f>
        <v>0</v>
      </c>
      <c r="H684" s="207">
        <f>IF(ISNUMBER(VLOOKUP($B:$B,'BS(과거)'!$A:$F,$2:$2,0)),VLOOKUP($B:$B,'BS(과거)'!$A:$F,$2:$2,0),0)</f>
        <v>0</v>
      </c>
      <c r="I684" s="207">
        <f>IF(ISNUMBER(VLOOKUP($B:$B,'BS(과거)'!$A:$F,$2:$2,0)),VLOOKUP($B:$B,'BS(과거)'!$A:$F,$2:$2,0),0)</f>
        <v>0</v>
      </c>
      <c r="J684" s="207">
        <f>IF(ISNUMBER(VLOOKUP($B:$B,'BS(과거)'!$A:$F,$2:$2,0)),VLOOKUP($B:$B,'BS(과거)'!$A:$F,$2:$2,0),0)</f>
        <v>0</v>
      </c>
      <c r="K684" s="207">
        <f>IF(ISNUMBER(VLOOKUP($B:$B,'BS(과거)'!$A:$F,$2:$2,0)),VLOOKUP($B:$B,'BS(과거)'!$A:$F,$2:$2,0),0)</f>
        <v>0</v>
      </c>
      <c r="L684" s="207">
        <f>IF(ISNUMBER(VLOOKUP($B:$B,'BS(과거)'!$A:$F,$2:$2,0)),VLOOKUP($B:$B,'BS(과거)'!$A:$F,$2:$2,0),0)</f>
        <v>0</v>
      </c>
      <c r="N684" s="207">
        <f>IF(ISNUMBER(VLOOKUP($B:$B,'BS(분기)'!$A:$F,$2:$2,0)),VLOOKUP($B:$B,'BS(분기)'!$A:$F,$2:$2,0),0)</f>
        <v>0</v>
      </c>
      <c r="O684" s="207">
        <f>IF(ISNUMBER(VLOOKUP($B:$B,'BS(분기)'!$A:$F,$2:$2,0)),VLOOKUP($B:$B,'BS(분기)'!$A:$F,$2:$2,0),0)</f>
        <v>0</v>
      </c>
      <c r="P684" s="207">
        <f>IF(ISNUMBER(VLOOKUP($B:$B,'BS(분기)'!$A:$F,$2:$2,0)),VLOOKUP($B:$B,'BS(분기)'!$A:$F,$2:$2,0),0)</f>
        <v>0</v>
      </c>
      <c r="Q684" s="207">
        <f>IF(ISNUMBER(VLOOKUP($B:$B,'BS(분기)'!$A:$F,$2:$2,0)),VLOOKUP($B:$B,'BS(분기)'!$A:$F,$2:$2,0),0)</f>
        <v>0</v>
      </c>
      <c r="R684" s="207">
        <f>IF(ISNUMBER(VLOOKUP($B:$B,'BS(분기)'!$A:$F,$2:$2,0)),VLOOKUP($B:$B,'BS(분기)'!$A:$F,$2:$2,0),0)</f>
        <v>0</v>
      </c>
    </row>
    <row r="685" spans="1:18" s="192" customFormat="1" ht="12">
      <c r="A685" s="204">
        <v>116841</v>
      </c>
      <c r="B685" s="197" t="s">
        <v>1250</v>
      </c>
      <c r="C685" s="217">
        <f>IF(ISNUMBER(VLOOKUP($B:$B,BS!$A:$D,$2:$2,0)),VLOOKUP($B:$B,BS!$A:$D,$2:$2,0),0)</f>
        <v>0</v>
      </c>
      <c r="D685" s="217">
        <f>IF(ISNUMBER(VLOOKUP($B:$B,BS!$A:$D,$2:$2,0)),VLOOKUP($B:$B,BS!$A:$D,$2:$2,0),0)</f>
        <v>0</v>
      </c>
      <c r="E685" s="217">
        <f>IF(ISNUMBER(VLOOKUP($B:$B,BS!$A:$D,$2:$2,0)),VLOOKUP($B:$B,BS!$A:$D,$2:$2,0),0)</f>
        <v>0</v>
      </c>
      <c r="F685" s="217">
        <f>IF(ISNUMBER(VLOOKUP($B:$B,BS!$A:$D,$2:$2,0)),VLOOKUP($B:$B,BS!$A:$D,$2:$2,0),0)</f>
        <v>0</v>
      </c>
      <c r="G685" s="217">
        <f>IF(ISNUMBER(VLOOKUP($B:$B,BS!$A:$D,$2:$2,0)),VLOOKUP($B:$B,BS!$A:$D,$2:$2,0),0)</f>
        <v>0</v>
      </c>
      <c r="H685" s="207">
        <f>IF(ISNUMBER(VLOOKUP($B:$B,'BS(과거)'!$A:$F,$2:$2,0)),VLOOKUP($B:$B,'BS(과거)'!$A:$F,$2:$2,0),0)</f>
        <v>0</v>
      </c>
      <c r="I685" s="207">
        <f>IF(ISNUMBER(VLOOKUP($B:$B,'BS(과거)'!$A:$F,$2:$2,0)),VLOOKUP($B:$B,'BS(과거)'!$A:$F,$2:$2,0),0)</f>
        <v>0</v>
      </c>
      <c r="J685" s="207">
        <f>IF(ISNUMBER(VLOOKUP($B:$B,'BS(과거)'!$A:$F,$2:$2,0)),VLOOKUP($B:$B,'BS(과거)'!$A:$F,$2:$2,0),0)</f>
        <v>0</v>
      </c>
      <c r="K685" s="207">
        <f>IF(ISNUMBER(VLOOKUP($B:$B,'BS(과거)'!$A:$F,$2:$2,0)),VLOOKUP($B:$B,'BS(과거)'!$A:$F,$2:$2,0),0)</f>
        <v>0</v>
      </c>
      <c r="L685" s="207">
        <f>IF(ISNUMBER(VLOOKUP($B:$B,'BS(과거)'!$A:$F,$2:$2,0)),VLOOKUP($B:$B,'BS(과거)'!$A:$F,$2:$2,0),0)</f>
        <v>0</v>
      </c>
      <c r="N685" s="207">
        <f>IF(ISNUMBER(VLOOKUP($B:$B,'BS(분기)'!$A:$F,$2:$2,0)),VLOOKUP($B:$B,'BS(분기)'!$A:$F,$2:$2,0),0)</f>
        <v>0</v>
      </c>
      <c r="O685" s="207">
        <f>IF(ISNUMBER(VLOOKUP($B:$B,'BS(분기)'!$A:$F,$2:$2,0)),VLOOKUP($B:$B,'BS(분기)'!$A:$F,$2:$2,0),0)</f>
        <v>0</v>
      </c>
      <c r="P685" s="207">
        <f>IF(ISNUMBER(VLOOKUP($B:$B,'BS(분기)'!$A:$F,$2:$2,0)),VLOOKUP($B:$B,'BS(분기)'!$A:$F,$2:$2,0),0)</f>
        <v>0</v>
      </c>
      <c r="Q685" s="207">
        <f>IF(ISNUMBER(VLOOKUP($B:$B,'BS(분기)'!$A:$F,$2:$2,0)),VLOOKUP($B:$B,'BS(분기)'!$A:$F,$2:$2,0),0)</f>
        <v>0</v>
      </c>
      <c r="R685" s="207">
        <f>IF(ISNUMBER(VLOOKUP($B:$B,'BS(분기)'!$A:$F,$2:$2,0)),VLOOKUP($B:$B,'BS(분기)'!$A:$F,$2:$2,0),0)</f>
        <v>0</v>
      </c>
    </row>
    <row r="686" spans="1:18" s="192" customFormat="1" ht="12">
      <c r="A686" s="204">
        <v>116842</v>
      </c>
      <c r="B686" s="197" t="s">
        <v>1251</v>
      </c>
      <c r="C686" s="217">
        <f>IF(ISNUMBER(VLOOKUP($B:$B,BS!$A:$D,$2:$2,0)),VLOOKUP($B:$B,BS!$A:$D,$2:$2,0),0)</f>
        <v>0</v>
      </c>
      <c r="D686" s="217">
        <f>IF(ISNUMBER(VLOOKUP($B:$B,BS!$A:$D,$2:$2,0)),VLOOKUP($B:$B,BS!$A:$D,$2:$2,0),0)</f>
        <v>0</v>
      </c>
      <c r="E686" s="217">
        <f>IF(ISNUMBER(VLOOKUP($B:$B,BS!$A:$D,$2:$2,0)),VLOOKUP($B:$B,BS!$A:$D,$2:$2,0),0)</f>
        <v>0</v>
      </c>
      <c r="F686" s="217">
        <f>IF(ISNUMBER(VLOOKUP($B:$B,BS!$A:$D,$2:$2,0)),VLOOKUP($B:$B,BS!$A:$D,$2:$2,0),0)</f>
        <v>0</v>
      </c>
      <c r="G686" s="217">
        <f>IF(ISNUMBER(VLOOKUP($B:$B,BS!$A:$D,$2:$2,0)),VLOOKUP($B:$B,BS!$A:$D,$2:$2,0),0)</f>
        <v>0</v>
      </c>
      <c r="H686" s="207">
        <f>IF(ISNUMBER(VLOOKUP($B:$B,'BS(과거)'!$A:$F,$2:$2,0)),VLOOKUP($B:$B,'BS(과거)'!$A:$F,$2:$2,0),0)</f>
        <v>0</v>
      </c>
      <c r="I686" s="207">
        <f>IF(ISNUMBER(VLOOKUP($B:$B,'BS(과거)'!$A:$F,$2:$2,0)),VLOOKUP($B:$B,'BS(과거)'!$A:$F,$2:$2,0),0)</f>
        <v>0</v>
      </c>
      <c r="J686" s="207">
        <f>IF(ISNUMBER(VLOOKUP($B:$B,'BS(과거)'!$A:$F,$2:$2,0)),VLOOKUP($B:$B,'BS(과거)'!$A:$F,$2:$2,0),0)</f>
        <v>0</v>
      </c>
      <c r="K686" s="207">
        <f>IF(ISNUMBER(VLOOKUP($B:$B,'BS(과거)'!$A:$F,$2:$2,0)),VLOOKUP($B:$B,'BS(과거)'!$A:$F,$2:$2,0),0)</f>
        <v>0</v>
      </c>
      <c r="L686" s="207">
        <f>IF(ISNUMBER(VLOOKUP($B:$B,'BS(과거)'!$A:$F,$2:$2,0)),VLOOKUP($B:$B,'BS(과거)'!$A:$F,$2:$2,0),0)</f>
        <v>0</v>
      </c>
      <c r="N686" s="207">
        <f>IF(ISNUMBER(VLOOKUP($B:$B,'BS(분기)'!$A:$F,$2:$2,0)),VLOOKUP($B:$B,'BS(분기)'!$A:$F,$2:$2,0),0)</f>
        <v>0</v>
      </c>
      <c r="O686" s="207">
        <f>IF(ISNUMBER(VLOOKUP($B:$B,'BS(분기)'!$A:$F,$2:$2,0)),VLOOKUP($B:$B,'BS(분기)'!$A:$F,$2:$2,0),0)</f>
        <v>0</v>
      </c>
      <c r="P686" s="207">
        <f>IF(ISNUMBER(VLOOKUP($B:$B,'BS(분기)'!$A:$F,$2:$2,0)),VLOOKUP($B:$B,'BS(분기)'!$A:$F,$2:$2,0),0)</f>
        <v>0</v>
      </c>
      <c r="Q686" s="207">
        <f>IF(ISNUMBER(VLOOKUP($B:$B,'BS(분기)'!$A:$F,$2:$2,0)),VLOOKUP($B:$B,'BS(분기)'!$A:$F,$2:$2,0),0)</f>
        <v>0</v>
      </c>
      <c r="R686" s="207">
        <f>IF(ISNUMBER(VLOOKUP($B:$B,'BS(분기)'!$A:$F,$2:$2,0)),VLOOKUP($B:$B,'BS(분기)'!$A:$F,$2:$2,0),0)</f>
        <v>0</v>
      </c>
    </row>
    <row r="687" spans="1:18" s="192" customFormat="1" ht="12">
      <c r="A687" s="204">
        <v>116843</v>
      </c>
      <c r="B687" s="197" t="s">
        <v>1252</v>
      </c>
      <c r="C687" s="217">
        <f>IF(ISNUMBER(VLOOKUP($B:$B,BS!$A:$D,$2:$2,0)),VLOOKUP($B:$B,BS!$A:$D,$2:$2,0),0)</f>
        <v>0</v>
      </c>
      <c r="D687" s="217">
        <f>IF(ISNUMBER(VLOOKUP($B:$B,BS!$A:$D,$2:$2,0)),VLOOKUP($B:$B,BS!$A:$D,$2:$2,0),0)</f>
        <v>0</v>
      </c>
      <c r="E687" s="217">
        <f>IF(ISNUMBER(VLOOKUP($B:$B,BS!$A:$D,$2:$2,0)),VLOOKUP($B:$B,BS!$A:$D,$2:$2,0),0)</f>
        <v>0</v>
      </c>
      <c r="F687" s="217">
        <f>IF(ISNUMBER(VLOOKUP($B:$B,BS!$A:$D,$2:$2,0)),VLOOKUP($B:$B,BS!$A:$D,$2:$2,0),0)</f>
        <v>0</v>
      </c>
      <c r="G687" s="217">
        <f>IF(ISNUMBER(VLOOKUP($B:$B,BS!$A:$D,$2:$2,0)),VLOOKUP($B:$B,BS!$A:$D,$2:$2,0),0)</f>
        <v>0</v>
      </c>
      <c r="H687" s="207">
        <f>IF(ISNUMBER(VLOOKUP($B:$B,'BS(과거)'!$A:$F,$2:$2,0)),VLOOKUP($B:$B,'BS(과거)'!$A:$F,$2:$2,0),0)</f>
        <v>0</v>
      </c>
      <c r="I687" s="207">
        <f>IF(ISNUMBER(VLOOKUP($B:$B,'BS(과거)'!$A:$F,$2:$2,0)),VLOOKUP($B:$B,'BS(과거)'!$A:$F,$2:$2,0),0)</f>
        <v>0</v>
      </c>
      <c r="J687" s="207">
        <f>IF(ISNUMBER(VLOOKUP($B:$B,'BS(과거)'!$A:$F,$2:$2,0)),VLOOKUP($B:$B,'BS(과거)'!$A:$F,$2:$2,0),0)</f>
        <v>0</v>
      </c>
      <c r="K687" s="207">
        <f>IF(ISNUMBER(VLOOKUP($B:$B,'BS(과거)'!$A:$F,$2:$2,0)),VLOOKUP($B:$B,'BS(과거)'!$A:$F,$2:$2,0),0)</f>
        <v>0</v>
      </c>
      <c r="L687" s="207">
        <f>IF(ISNUMBER(VLOOKUP($B:$B,'BS(과거)'!$A:$F,$2:$2,0)),VLOOKUP($B:$B,'BS(과거)'!$A:$F,$2:$2,0),0)</f>
        <v>0</v>
      </c>
      <c r="N687" s="207">
        <f>IF(ISNUMBER(VLOOKUP($B:$B,'BS(분기)'!$A:$F,$2:$2,0)),VLOOKUP($B:$B,'BS(분기)'!$A:$F,$2:$2,0),0)</f>
        <v>0</v>
      </c>
      <c r="O687" s="207">
        <f>IF(ISNUMBER(VLOOKUP($B:$B,'BS(분기)'!$A:$F,$2:$2,0)),VLOOKUP($B:$B,'BS(분기)'!$A:$F,$2:$2,0),0)</f>
        <v>0</v>
      </c>
      <c r="P687" s="207">
        <f>IF(ISNUMBER(VLOOKUP($B:$B,'BS(분기)'!$A:$F,$2:$2,0)),VLOOKUP($B:$B,'BS(분기)'!$A:$F,$2:$2,0),0)</f>
        <v>0</v>
      </c>
      <c r="Q687" s="207">
        <f>IF(ISNUMBER(VLOOKUP($B:$B,'BS(분기)'!$A:$F,$2:$2,0)),VLOOKUP($B:$B,'BS(분기)'!$A:$F,$2:$2,0),0)</f>
        <v>0</v>
      </c>
      <c r="R687" s="207">
        <f>IF(ISNUMBER(VLOOKUP($B:$B,'BS(분기)'!$A:$F,$2:$2,0)),VLOOKUP($B:$B,'BS(분기)'!$A:$F,$2:$2,0),0)</f>
        <v>0</v>
      </c>
    </row>
    <row r="688" spans="1:18" s="192" customFormat="1" ht="12">
      <c r="A688" s="204">
        <v>116844</v>
      </c>
      <c r="B688" s="197" t="s">
        <v>1253</v>
      </c>
      <c r="C688" s="217">
        <f>IF(ISNUMBER(VLOOKUP($B:$B,BS!$A:$D,$2:$2,0)),VLOOKUP($B:$B,BS!$A:$D,$2:$2,0),0)</f>
        <v>0</v>
      </c>
      <c r="D688" s="217">
        <f>IF(ISNUMBER(VLOOKUP($B:$B,BS!$A:$D,$2:$2,0)),VLOOKUP($B:$B,BS!$A:$D,$2:$2,0),0)</f>
        <v>0</v>
      </c>
      <c r="E688" s="217">
        <f>IF(ISNUMBER(VLOOKUP($B:$B,BS!$A:$D,$2:$2,0)),VLOOKUP($B:$B,BS!$A:$D,$2:$2,0),0)</f>
        <v>0</v>
      </c>
      <c r="F688" s="217">
        <f>IF(ISNUMBER(VLOOKUP($B:$B,BS!$A:$D,$2:$2,0)),VLOOKUP($B:$B,BS!$A:$D,$2:$2,0),0)</f>
        <v>0</v>
      </c>
      <c r="G688" s="217">
        <f>IF(ISNUMBER(VLOOKUP($B:$B,BS!$A:$D,$2:$2,0)),VLOOKUP($B:$B,BS!$A:$D,$2:$2,0),0)</f>
        <v>0</v>
      </c>
      <c r="H688" s="207">
        <f>IF(ISNUMBER(VLOOKUP($B:$B,'BS(과거)'!$A:$F,$2:$2,0)),VLOOKUP($B:$B,'BS(과거)'!$A:$F,$2:$2,0),0)</f>
        <v>0</v>
      </c>
      <c r="I688" s="207">
        <f>IF(ISNUMBER(VLOOKUP($B:$B,'BS(과거)'!$A:$F,$2:$2,0)),VLOOKUP($B:$B,'BS(과거)'!$A:$F,$2:$2,0),0)</f>
        <v>0</v>
      </c>
      <c r="J688" s="207">
        <f>IF(ISNUMBER(VLOOKUP($B:$B,'BS(과거)'!$A:$F,$2:$2,0)),VLOOKUP($B:$B,'BS(과거)'!$A:$F,$2:$2,0),0)</f>
        <v>0</v>
      </c>
      <c r="K688" s="207">
        <f>IF(ISNUMBER(VLOOKUP($B:$B,'BS(과거)'!$A:$F,$2:$2,0)),VLOOKUP($B:$B,'BS(과거)'!$A:$F,$2:$2,0),0)</f>
        <v>0</v>
      </c>
      <c r="L688" s="207">
        <f>IF(ISNUMBER(VLOOKUP($B:$B,'BS(과거)'!$A:$F,$2:$2,0)),VLOOKUP($B:$B,'BS(과거)'!$A:$F,$2:$2,0),0)</f>
        <v>0</v>
      </c>
      <c r="N688" s="207">
        <f>IF(ISNUMBER(VLOOKUP($B:$B,'BS(분기)'!$A:$F,$2:$2,0)),VLOOKUP($B:$B,'BS(분기)'!$A:$F,$2:$2,0),0)</f>
        <v>0</v>
      </c>
      <c r="O688" s="207">
        <f>IF(ISNUMBER(VLOOKUP($B:$B,'BS(분기)'!$A:$F,$2:$2,0)),VLOOKUP($B:$B,'BS(분기)'!$A:$F,$2:$2,0),0)</f>
        <v>0</v>
      </c>
      <c r="P688" s="207">
        <f>IF(ISNUMBER(VLOOKUP($B:$B,'BS(분기)'!$A:$F,$2:$2,0)),VLOOKUP($B:$B,'BS(분기)'!$A:$F,$2:$2,0),0)</f>
        <v>0</v>
      </c>
      <c r="Q688" s="207">
        <f>IF(ISNUMBER(VLOOKUP($B:$B,'BS(분기)'!$A:$F,$2:$2,0)),VLOOKUP($B:$B,'BS(분기)'!$A:$F,$2:$2,0),0)</f>
        <v>0</v>
      </c>
      <c r="R688" s="207">
        <f>IF(ISNUMBER(VLOOKUP($B:$B,'BS(분기)'!$A:$F,$2:$2,0)),VLOOKUP($B:$B,'BS(분기)'!$A:$F,$2:$2,0),0)</f>
        <v>0</v>
      </c>
    </row>
    <row r="689" spans="1:18" s="192" customFormat="1" ht="12">
      <c r="A689" s="204">
        <v>116845</v>
      </c>
      <c r="B689" s="197" t="s">
        <v>1254</v>
      </c>
      <c r="C689" s="217">
        <f>IF(ISNUMBER(VLOOKUP($B:$B,BS!$A:$D,$2:$2,0)),VLOOKUP($B:$B,BS!$A:$D,$2:$2,0),0)</f>
        <v>0</v>
      </c>
      <c r="D689" s="217">
        <f>IF(ISNUMBER(VLOOKUP($B:$B,BS!$A:$D,$2:$2,0)),VLOOKUP($B:$B,BS!$A:$D,$2:$2,0),0)</f>
        <v>0</v>
      </c>
      <c r="E689" s="217">
        <f>IF(ISNUMBER(VLOOKUP($B:$B,BS!$A:$D,$2:$2,0)),VLOOKUP($B:$B,BS!$A:$D,$2:$2,0),0)</f>
        <v>0</v>
      </c>
      <c r="F689" s="217">
        <f>IF(ISNUMBER(VLOOKUP($B:$B,BS!$A:$D,$2:$2,0)),VLOOKUP($B:$B,BS!$A:$D,$2:$2,0),0)</f>
        <v>0</v>
      </c>
      <c r="G689" s="217">
        <f>IF(ISNUMBER(VLOOKUP($B:$B,BS!$A:$D,$2:$2,0)),VLOOKUP($B:$B,BS!$A:$D,$2:$2,0),0)</f>
        <v>0</v>
      </c>
      <c r="H689" s="207">
        <f>IF(ISNUMBER(VLOOKUP($B:$B,'BS(과거)'!$A:$F,$2:$2,0)),VLOOKUP($B:$B,'BS(과거)'!$A:$F,$2:$2,0),0)</f>
        <v>0</v>
      </c>
      <c r="I689" s="207">
        <f>IF(ISNUMBER(VLOOKUP($B:$B,'BS(과거)'!$A:$F,$2:$2,0)),VLOOKUP($B:$B,'BS(과거)'!$A:$F,$2:$2,0),0)</f>
        <v>0</v>
      </c>
      <c r="J689" s="207">
        <f>IF(ISNUMBER(VLOOKUP($B:$B,'BS(과거)'!$A:$F,$2:$2,0)),VLOOKUP($B:$B,'BS(과거)'!$A:$F,$2:$2,0),0)</f>
        <v>0</v>
      </c>
      <c r="K689" s="207">
        <f>IF(ISNUMBER(VLOOKUP($B:$B,'BS(과거)'!$A:$F,$2:$2,0)),VLOOKUP($B:$B,'BS(과거)'!$A:$F,$2:$2,0),0)</f>
        <v>0</v>
      </c>
      <c r="L689" s="207">
        <f>IF(ISNUMBER(VLOOKUP($B:$B,'BS(과거)'!$A:$F,$2:$2,0)),VLOOKUP($B:$B,'BS(과거)'!$A:$F,$2:$2,0),0)</f>
        <v>0</v>
      </c>
      <c r="N689" s="207">
        <f>IF(ISNUMBER(VLOOKUP($B:$B,'BS(분기)'!$A:$F,$2:$2,0)),VLOOKUP($B:$B,'BS(분기)'!$A:$F,$2:$2,0),0)</f>
        <v>0</v>
      </c>
      <c r="O689" s="207">
        <f>IF(ISNUMBER(VLOOKUP($B:$B,'BS(분기)'!$A:$F,$2:$2,0)),VLOOKUP($B:$B,'BS(분기)'!$A:$F,$2:$2,0),0)</f>
        <v>0</v>
      </c>
      <c r="P689" s="207">
        <f>IF(ISNUMBER(VLOOKUP($B:$B,'BS(분기)'!$A:$F,$2:$2,0)),VLOOKUP($B:$B,'BS(분기)'!$A:$F,$2:$2,0),0)</f>
        <v>0</v>
      </c>
      <c r="Q689" s="207">
        <f>IF(ISNUMBER(VLOOKUP($B:$B,'BS(분기)'!$A:$F,$2:$2,0)),VLOOKUP($B:$B,'BS(분기)'!$A:$F,$2:$2,0),0)</f>
        <v>0</v>
      </c>
      <c r="R689" s="207">
        <f>IF(ISNUMBER(VLOOKUP($B:$B,'BS(분기)'!$A:$F,$2:$2,0)),VLOOKUP($B:$B,'BS(분기)'!$A:$F,$2:$2,0),0)</f>
        <v>0</v>
      </c>
    </row>
    <row r="690" spans="1:18" s="192" customFormat="1" ht="12">
      <c r="A690" s="204">
        <v>116849</v>
      </c>
      <c r="B690" s="197" t="s">
        <v>1255</v>
      </c>
      <c r="C690" s="217">
        <f>IF(ISNUMBER(VLOOKUP($B:$B,BS!$A:$D,$2:$2,0)),VLOOKUP($B:$B,BS!$A:$D,$2:$2,0),0)</f>
        <v>0</v>
      </c>
      <c r="D690" s="217">
        <f>IF(ISNUMBER(VLOOKUP($B:$B,BS!$A:$D,$2:$2,0)),VLOOKUP($B:$B,BS!$A:$D,$2:$2,0),0)</f>
        <v>0</v>
      </c>
      <c r="E690" s="217">
        <f>IF(ISNUMBER(VLOOKUP($B:$B,BS!$A:$D,$2:$2,0)),VLOOKUP($B:$B,BS!$A:$D,$2:$2,0),0)</f>
        <v>0</v>
      </c>
      <c r="F690" s="217">
        <f>IF(ISNUMBER(VLOOKUP($B:$B,BS!$A:$D,$2:$2,0)),VLOOKUP($B:$B,BS!$A:$D,$2:$2,0),0)</f>
        <v>0</v>
      </c>
      <c r="G690" s="217">
        <f>IF(ISNUMBER(VLOOKUP($B:$B,BS!$A:$D,$2:$2,0)),VLOOKUP($B:$B,BS!$A:$D,$2:$2,0),0)</f>
        <v>0</v>
      </c>
      <c r="H690" s="207">
        <f>IF(ISNUMBER(VLOOKUP($B:$B,'BS(과거)'!$A:$F,$2:$2,0)),VLOOKUP($B:$B,'BS(과거)'!$A:$F,$2:$2,0),0)</f>
        <v>0</v>
      </c>
      <c r="I690" s="207">
        <f>IF(ISNUMBER(VLOOKUP($B:$B,'BS(과거)'!$A:$F,$2:$2,0)),VLOOKUP($B:$B,'BS(과거)'!$A:$F,$2:$2,0),0)</f>
        <v>0</v>
      </c>
      <c r="J690" s="207">
        <f>IF(ISNUMBER(VLOOKUP($B:$B,'BS(과거)'!$A:$F,$2:$2,0)),VLOOKUP($B:$B,'BS(과거)'!$A:$F,$2:$2,0),0)</f>
        <v>0</v>
      </c>
      <c r="K690" s="207">
        <f>IF(ISNUMBER(VLOOKUP($B:$B,'BS(과거)'!$A:$F,$2:$2,0)),VLOOKUP($B:$B,'BS(과거)'!$A:$F,$2:$2,0),0)</f>
        <v>0</v>
      </c>
      <c r="L690" s="207">
        <f>IF(ISNUMBER(VLOOKUP($B:$B,'BS(과거)'!$A:$F,$2:$2,0)),VLOOKUP($B:$B,'BS(과거)'!$A:$F,$2:$2,0),0)</f>
        <v>0</v>
      </c>
      <c r="N690" s="207">
        <f>IF(ISNUMBER(VLOOKUP($B:$B,'BS(분기)'!$A:$F,$2:$2,0)),VLOOKUP($B:$B,'BS(분기)'!$A:$F,$2:$2,0),0)</f>
        <v>0</v>
      </c>
      <c r="O690" s="207">
        <f>IF(ISNUMBER(VLOOKUP($B:$B,'BS(분기)'!$A:$F,$2:$2,0)),VLOOKUP($B:$B,'BS(분기)'!$A:$F,$2:$2,0),0)</f>
        <v>0</v>
      </c>
      <c r="P690" s="207">
        <f>IF(ISNUMBER(VLOOKUP($B:$B,'BS(분기)'!$A:$F,$2:$2,0)),VLOOKUP($B:$B,'BS(분기)'!$A:$F,$2:$2,0),0)</f>
        <v>0</v>
      </c>
      <c r="Q690" s="207">
        <f>IF(ISNUMBER(VLOOKUP($B:$B,'BS(분기)'!$A:$F,$2:$2,0)),VLOOKUP($B:$B,'BS(분기)'!$A:$F,$2:$2,0),0)</f>
        <v>0</v>
      </c>
      <c r="R690" s="207">
        <f>IF(ISNUMBER(VLOOKUP($B:$B,'BS(분기)'!$A:$F,$2:$2,0)),VLOOKUP($B:$B,'BS(분기)'!$A:$F,$2:$2,0),0)</f>
        <v>0</v>
      </c>
    </row>
    <row r="691" spans="1:18" s="192" customFormat="1" ht="12">
      <c r="A691" s="203">
        <v>116850</v>
      </c>
      <c r="B691" s="196" t="s">
        <v>949</v>
      </c>
      <c r="C691" s="217">
        <f>IF(ISNUMBER(VLOOKUP($B:$B,BS!$A:$D,$2:$2,0)),VLOOKUP($B:$B,BS!$A:$D,$2:$2,0),0)</f>
        <v>0</v>
      </c>
      <c r="D691" s="217">
        <f>IF(ISNUMBER(VLOOKUP($B:$B,BS!$A:$D,$2:$2,0)),VLOOKUP($B:$B,BS!$A:$D,$2:$2,0),0)</f>
        <v>0</v>
      </c>
      <c r="E691" s="217">
        <f>IF(ISNUMBER(VLOOKUP($B:$B,BS!$A:$D,$2:$2,0)),VLOOKUP($B:$B,BS!$A:$D,$2:$2,0),0)</f>
        <v>0</v>
      </c>
      <c r="F691" s="217">
        <f>IF(ISNUMBER(VLOOKUP($B:$B,BS!$A:$D,$2:$2,0)),VLOOKUP($B:$B,BS!$A:$D,$2:$2,0),0)</f>
        <v>0</v>
      </c>
      <c r="G691" s="217">
        <f>IF(ISNUMBER(VLOOKUP($B:$B,BS!$A:$D,$2:$2,0)),VLOOKUP($B:$B,BS!$A:$D,$2:$2,0),0)</f>
        <v>0</v>
      </c>
      <c r="H691" s="207">
        <f>IF(ISNUMBER(VLOOKUP($B:$B,'BS(과거)'!$A:$F,$2:$2,0)),VLOOKUP($B:$B,'BS(과거)'!$A:$F,$2:$2,0),0)</f>
        <v>0</v>
      </c>
      <c r="I691" s="207">
        <f>IF(ISNUMBER(VLOOKUP($B:$B,'BS(과거)'!$A:$F,$2:$2,0)),VLOOKUP($B:$B,'BS(과거)'!$A:$F,$2:$2,0),0)</f>
        <v>0</v>
      </c>
      <c r="J691" s="207">
        <f>IF(ISNUMBER(VLOOKUP($B:$B,'BS(과거)'!$A:$F,$2:$2,0)),VLOOKUP($B:$B,'BS(과거)'!$A:$F,$2:$2,0),0)</f>
        <v>0</v>
      </c>
      <c r="K691" s="207">
        <f>IF(ISNUMBER(VLOOKUP($B:$B,'BS(과거)'!$A:$F,$2:$2,0)),VLOOKUP($B:$B,'BS(과거)'!$A:$F,$2:$2,0),0)</f>
        <v>0</v>
      </c>
      <c r="L691" s="207">
        <f>IF(ISNUMBER(VLOOKUP($B:$B,'BS(과거)'!$A:$F,$2:$2,0)),VLOOKUP($B:$B,'BS(과거)'!$A:$F,$2:$2,0),0)</f>
        <v>0</v>
      </c>
      <c r="N691" s="207">
        <f>IF(ISNUMBER(VLOOKUP($B:$B,'BS(분기)'!$A:$F,$2:$2,0)),VLOOKUP($B:$B,'BS(분기)'!$A:$F,$2:$2,0),0)</f>
        <v>0</v>
      </c>
      <c r="O691" s="207">
        <f>IF(ISNUMBER(VLOOKUP($B:$B,'BS(분기)'!$A:$F,$2:$2,0)),VLOOKUP($B:$B,'BS(분기)'!$A:$F,$2:$2,0),0)</f>
        <v>0</v>
      </c>
      <c r="P691" s="207">
        <f>IF(ISNUMBER(VLOOKUP($B:$B,'BS(분기)'!$A:$F,$2:$2,0)),VLOOKUP($B:$B,'BS(분기)'!$A:$F,$2:$2,0),0)</f>
        <v>0</v>
      </c>
      <c r="Q691" s="207">
        <f>IF(ISNUMBER(VLOOKUP($B:$B,'BS(분기)'!$A:$F,$2:$2,0)),VLOOKUP($B:$B,'BS(분기)'!$A:$F,$2:$2,0),0)</f>
        <v>0</v>
      </c>
      <c r="R691" s="207">
        <f>IF(ISNUMBER(VLOOKUP($B:$B,'BS(분기)'!$A:$F,$2:$2,0)),VLOOKUP($B:$B,'BS(분기)'!$A:$F,$2:$2,0),0)</f>
        <v>0</v>
      </c>
    </row>
    <row r="692" spans="1:18" s="192" customFormat="1" ht="12">
      <c r="A692" s="204">
        <v>116851</v>
      </c>
      <c r="B692" s="197" t="s">
        <v>950</v>
      </c>
      <c r="C692" s="217">
        <f>IF(ISNUMBER(VLOOKUP($B:$B,BS!$A:$D,$2:$2,0)),VLOOKUP($B:$B,BS!$A:$D,$2:$2,0),0)</f>
        <v>0</v>
      </c>
      <c r="D692" s="217">
        <f>IF(ISNUMBER(VLOOKUP($B:$B,BS!$A:$D,$2:$2,0)),VLOOKUP($B:$B,BS!$A:$D,$2:$2,0),0)</f>
        <v>0</v>
      </c>
      <c r="E692" s="217">
        <f>IF(ISNUMBER(VLOOKUP($B:$B,BS!$A:$D,$2:$2,0)),VLOOKUP($B:$B,BS!$A:$D,$2:$2,0),0)</f>
        <v>0</v>
      </c>
      <c r="F692" s="217">
        <f>IF(ISNUMBER(VLOOKUP($B:$B,BS!$A:$D,$2:$2,0)),VLOOKUP($B:$B,BS!$A:$D,$2:$2,0),0)</f>
        <v>0</v>
      </c>
      <c r="G692" s="217">
        <f>IF(ISNUMBER(VLOOKUP($B:$B,BS!$A:$D,$2:$2,0)),VLOOKUP($B:$B,BS!$A:$D,$2:$2,0),0)</f>
        <v>0</v>
      </c>
      <c r="H692" s="207">
        <f>IF(ISNUMBER(VLOOKUP($B:$B,'BS(과거)'!$A:$F,$2:$2,0)),VLOOKUP($B:$B,'BS(과거)'!$A:$F,$2:$2,0),0)</f>
        <v>0</v>
      </c>
      <c r="I692" s="207">
        <f>IF(ISNUMBER(VLOOKUP($B:$B,'BS(과거)'!$A:$F,$2:$2,0)),VLOOKUP($B:$B,'BS(과거)'!$A:$F,$2:$2,0),0)</f>
        <v>0</v>
      </c>
      <c r="J692" s="207">
        <f>IF(ISNUMBER(VLOOKUP($B:$B,'BS(과거)'!$A:$F,$2:$2,0)),VLOOKUP($B:$B,'BS(과거)'!$A:$F,$2:$2,0),0)</f>
        <v>0</v>
      </c>
      <c r="K692" s="207">
        <f>IF(ISNUMBER(VLOOKUP($B:$B,'BS(과거)'!$A:$F,$2:$2,0)),VLOOKUP($B:$B,'BS(과거)'!$A:$F,$2:$2,0),0)</f>
        <v>0</v>
      </c>
      <c r="L692" s="207">
        <f>IF(ISNUMBER(VLOOKUP($B:$B,'BS(과거)'!$A:$F,$2:$2,0)),VLOOKUP($B:$B,'BS(과거)'!$A:$F,$2:$2,0),0)</f>
        <v>0</v>
      </c>
      <c r="N692" s="207">
        <f>IF(ISNUMBER(VLOOKUP($B:$B,'BS(분기)'!$A:$F,$2:$2,0)),VLOOKUP($B:$B,'BS(분기)'!$A:$F,$2:$2,0),0)</f>
        <v>0</v>
      </c>
      <c r="O692" s="207">
        <f>IF(ISNUMBER(VLOOKUP($B:$B,'BS(분기)'!$A:$F,$2:$2,0)),VLOOKUP($B:$B,'BS(분기)'!$A:$F,$2:$2,0),0)</f>
        <v>0</v>
      </c>
      <c r="P692" s="207">
        <f>IF(ISNUMBER(VLOOKUP($B:$B,'BS(분기)'!$A:$F,$2:$2,0)),VLOOKUP($B:$B,'BS(분기)'!$A:$F,$2:$2,0),0)</f>
        <v>0</v>
      </c>
      <c r="Q692" s="207">
        <f>IF(ISNUMBER(VLOOKUP($B:$B,'BS(분기)'!$A:$F,$2:$2,0)),VLOOKUP($B:$B,'BS(분기)'!$A:$F,$2:$2,0),0)</f>
        <v>0</v>
      </c>
      <c r="R692" s="207">
        <f>IF(ISNUMBER(VLOOKUP($B:$B,'BS(분기)'!$A:$F,$2:$2,0)),VLOOKUP($B:$B,'BS(분기)'!$A:$F,$2:$2,0),0)</f>
        <v>0</v>
      </c>
    </row>
    <row r="693" spans="1:18" s="192" customFormat="1" ht="12">
      <c r="A693" s="204">
        <v>116852</v>
      </c>
      <c r="B693" s="197" t="s">
        <v>951</v>
      </c>
      <c r="C693" s="217">
        <f>IF(ISNUMBER(VLOOKUP($B:$B,BS!$A:$D,$2:$2,0)),VLOOKUP($B:$B,BS!$A:$D,$2:$2,0),0)</f>
        <v>0</v>
      </c>
      <c r="D693" s="217">
        <f>IF(ISNUMBER(VLOOKUP($B:$B,BS!$A:$D,$2:$2,0)),VLOOKUP($B:$B,BS!$A:$D,$2:$2,0),0)</f>
        <v>0</v>
      </c>
      <c r="E693" s="217">
        <f>IF(ISNUMBER(VLOOKUP($B:$B,BS!$A:$D,$2:$2,0)),VLOOKUP($B:$B,BS!$A:$D,$2:$2,0),0)</f>
        <v>0</v>
      </c>
      <c r="F693" s="217">
        <f>IF(ISNUMBER(VLOOKUP($B:$B,BS!$A:$D,$2:$2,0)),VLOOKUP($B:$B,BS!$A:$D,$2:$2,0),0)</f>
        <v>0</v>
      </c>
      <c r="G693" s="217">
        <f>IF(ISNUMBER(VLOOKUP($B:$B,BS!$A:$D,$2:$2,0)),VLOOKUP($B:$B,BS!$A:$D,$2:$2,0),0)</f>
        <v>0</v>
      </c>
      <c r="H693" s="207">
        <f>IF(ISNUMBER(VLOOKUP($B:$B,'BS(과거)'!$A:$F,$2:$2,0)),VLOOKUP($B:$B,'BS(과거)'!$A:$F,$2:$2,0),0)</f>
        <v>0</v>
      </c>
      <c r="I693" s="207">
        <f>IF(ISNUMBER(VLOOKUP($B:$B,'BS(과거)'!$A:$F,$2:$2,0)),VLOOKUP($B:$B,'BS(과거)'!$A:$F,$2:$2,0),0)</f>
        <v>0</v>
      </c>
      <c r="J693" s="207">
        <f>IF(ISNUMBER(VLOOKUP($B:$B,'BS(과거)'!$A:$F,$2:$2,0)),VLOOKUP($B:$B,'BS(과거)'!$A:$F,$2:$2,0),0)</f>
        <v>0</v>
      </c>
      <c r="K693" s="207">
        <f>IF(ISNUMBER(VLOOKUP($B:$B,'BS(과거)'!$A:$F,$2:$2,0)),VLOOKUP($B:$B,'BS(과거)'!$A:$F,$2:$2,0),0)</f>
        <v>0</v>
      </c>
      <c r="L693" s="207">
        <f>IF(ISNUMBER(VLOOKUP($B:$B,'BS(과거)'!$A:$F,$2:$2,0)),VLOOKUP($B:$B,'BS(과거)'!$A:$F,$2:$2,0),0)</f>
        <v>0</v>
      </c>
      <c r="N693" s="207">
        <f>IF(ISNUMBER(VLOOKUP($B:$B,'BS(분기)'!$A:$F,$2:$2,0)),VLOOKUP($B:$B,'BS(분기)'!$A:$F,$2:$2,0),0)</f>
        <v>0</v>
      </c>
      <c r="O693" s="207">
        <f>IF(ISNUMBER(VLOOKUP($B:$B,'BS(분기)'!$A:$F,$2:$2,0)),VLOOKUP($B:$B,'BS(분기)'!$A:$F,$2:$2,0),0)</f>
        <v>0</v>
      </c>
      <c r="P693" s="207">
        <f>IF(ISNUMBER(VLOOKUP($B:$B,'BS(분기)'!$A:$F,$2:$2,0)),VLOOKUP($B:$B,'BS(분기)'!$A:$F,$2:$2,0),0)</f>
        <v>0</v>
      </c>
      <c r="Q693" s="207">
        <f>IF(ISNUMBER(VLOOKUP($B:$B,'BS(분기)'!$A:$F,$2:$2,0)),VLOOKUP($B:$B,'BS(분기)'!$A:$F,$2:$2,0),0)</f>
        <v>0</v>
      </c>
      <c r="R693" s="207">
        <f>IF(ISNUMBER(VLOOKUP($B:$B,'BS(분기)'!$A:$F,$2:$2,0)),VLOOKUP($B:$B,'BS(분기)'!$A:$F,$2:$2,0),0)</f>
        <v>0</v>
      </c>
    </row>
    <row r="694" spans="1:18" s="192" customFormat="1" ht="12">
      <c r="A694" s="204">
        <v>116859</v>
      </c>
      <c r="B694" s="197" t="s">
        <v>952</v>
      </c>
      <c r="C694" s="217">
        <f>IF(ISNUMBER(VLOOKUP($B:$B,BS!$A:$D,$2:$2,0)),VLOOKUP($B:$B,BS!$A:$D,$2:$2,0),0)</f>
        <v>0</v>
      </c>
      <c r="D694" s="217">
        <f>IF(ISNUMBER(VLOOKUP($B:$B,BS!$A:$D,$2:$2,0)),VLOOKUP($B:$B,BS!$A:$D,$2:$2,0),0)</f>
        <v>0</v>
      </c>
      <c r="E694" s="217">
        <f>IF(ISNUMBER(VLOOKUP($B:$B,BS!$A:$D,$2:$2,0)),VLOOKUP($B:$B,BS!$A:$D,$2:$2,0),0)</f>
        <v>0</v>
      </c>
      <c r="F694" s="217">
        <f>IF(ISNUMBER(VLOOKUP($B:$B,BS!$A:$D,$2:$2,0)),VLOOKUP($B:$B,BS!$A:$D,$2:$2,0),0)</f>
        <v>0</v>
      </c>
      <c r="G694" s="217">
        <f>IF(ISNUMBER(VLOOKUP($B:$B,BS!$A:$D,$2:$2,0)),VLOOKUP($B:$B,BS!$A:$D,$2:$2,0),0)</f>
        <v>0</v>
      </c>
      <c r="H694" s="207">
        <f>IF(ISNUMBER(VLOOKUP($B:$B,'BS(과거)'!$A:$F,$2:$2,0)),VLOOKUP($B:$B,'BS(과거)'!$A:$F,$2:$2,0),0)</f>
        <v>0</v>
      </c>
      <c r="I694" s="207">
        <f>IF(ISNUMBER(VLOOKUP($B:$B,'BS(과거)'!$A:$F,$2:$2,0)),VLOOKUP($B:$B,'BS(과거)'!$A:$F,$2:$2,0),0)</f>
        <v>0</v>
      </c>
      <c r="J694" s="207">
        <f>IF(ISNUMBER(VLOOKUP($B:$B,'BS(과거)'!$A:$F,$2:$2,0)),VLOOKUP($B:$B,'BS(과거)'!$A:$F,$2:$2,0),0)</f>
        <v>0</v>
      </c>
      <c r="K694" s="207">
        <f>IF(ISNUMBER(VLOOKUP($B:$B,'BS(과거)'!$A:$F,$2:$2,0)),VLOOKUP($B:$B,'BS(과거)'!$A:$F,$2:$2,0),0)</f>
        <v>0</v>
      </c>
      <c r="L694" s="207">
        <f>IF(ISNUMBER(VLOOKUP($B:$B,'BS(과거)'!$A:$F,$2:$2,0)),VLOOKUP($B:$B,'BS(과거)'!$A:$F,$2:$2,0),0)</f>
        <v>0</v>
      </c>
      <c r="N694" s="207">
        <f>IF(ISNUMBER(VLOOKUP($B:$B,'BS(분기)'!$A:$F,$2:$2,0)),VLOOKUP($B:$B,'BS(분기)'!$A:$F,$2:$2,0),0)</f>
        <v>0</v>
      </c>
      <c r="O694" s="207">
        <f>IF(ISNUMBER(VLOOKUP($B:$B,'BS(분기)'!$A:$F,$2:$2,0)),VLOOKUP($B:$B,'BS(분기)'!$A:$F,$2:$2,0),0)</f>
        <v>0</v>
      </c>
      <c r="P694" s="207">
        <f>IF(ISNUMBER(VLOOKUP($B:$B,'BS(분기)'!$A:$F,$2:$2,0)),VLOOKUP($B:$B,'BS(분기)'!$A:$F,$2:$2,0),0)</f>
        <v>0</v>
      </c>
      <c r="Q694" s="207">
        <f>IF(ISNUMBER(VLOOKUP($B:$B,'BS(분기)'!$A:$F,$2:$2,0)),VLOOKUP($B:$B,'BS(분기)'!$A:$F,$2:$2,0),0)</f>
        <v>0</v>
      </c>
      <c r="R694" s="207">
        <f>IF(ISNUMBER(VLOOKUP($B:$B,'BS(분기)'!$A:$F,$2:$2,0)),VLOOKUP($B:$B,'BS(분기)'!$A:$F,$2:$2,0),0)</f>
        <v>0</v>
      </c>
    </row>
    <row r="695" spans="1:18" s="192" customFormat="1" ht="12">
      <c r="A695" s="203">
        <v>116890</v>
      </c>
      <c r="B695" s="196" t="s">
        <v>953</v>
      </c>
      <c r="C695" s="217">
        <f>IF(ISNUMBER(VLOOKUP($B:$B,BS!$A:$D,$2:$2,0)),VLOOKUP($B:$B,BS!$A:$D,$2:$2,0),0)</f>
        <v>0</v>
      </c>
      <c r="D695" s="217">
        <f>IF(ISNUMBER(VLOOKUP($B:$B,BS!$A:$D,$2:$2,0)),VLOOKUP($B:$B,BS!$A:$D,$2:$2,0),0)</f>
        <v>0</v>
      </c>
      <c r="E695" s="217">
        <f>IF(ISNUMBER(VLOOKUP($B:$B,BS!$A:$D,$2:$2,0)),VLOOKUP($B:$B,BS!$A:$D,$2:$2,0),0)</f>
        <v>0</v>
      </c>
      <c r="F695" s="217">
        <f>IF(ISNUMBER(VLOOKUP($B:$B,BS!$A:$D,$2:$2,0)),VLOOKUP($B:$B,BS!$A:$D,$2:$2,0),0)</f>
        <v>0</v>
      </c>
      <c r="G695" s="217">
        <f>IF(ISNUMBER(VLOOKUP($B:$B,BS!$A:$D,$2:$2,0)),VLOOKUP($B:$B,BS!$A:$D,$2:$2,0),0)</f>
        <v>0</v>
      </c>
      <c r="H695" s="207">
        <f>IF(ISNUMBER(VLOOKUP($B:$B,'BS(과거)'!$A:$F,$2:$2,0)),VLOOKUP($B:$B,'BS(과거)'!$A:$F,$2:$2,0),0)</f>
        <v>0</v>
      </c>
      <c r="I695" s="207">
        <f>IF(ISNUMBER(VLOOKUP($B:$B,'BS(과거)'!$A:$F,$2:$2,0)),VLOOKUP($B:$B,'BS(과거)'!$A:$F,$2:$2,0),0)</f>
        <v>0</v>
      </c>
      <c r="J695" s="207">
        <f>IF(ISNUMBER(VLOOKUP($B:$B,'BS(과거)'!$A:$F,$2:$2,0)),VLOOKUP($B:$B,'BS(과거)'!$A:$F,$2:$2,0),0)</f>
        <v>0</v>
      </c>
      <c r="K695" s="207">
        <f>IF(ISNUMBER(VLOOKUP($B:$B,'BS(과거)'!$A:$F,$2:$2,0)),VLOOKUP($B:$B,'BS(과거)'!$A:$F,$2:$2,0),0)</f>
        <v>0</v>
      </c>
      <c r="L695" s="207">
        <f>IF(ISNUMBER(VLOOKUP($B:$B,'BS(과거)'!$A:$F,$2:$2,0)),VLOOKUP($B:$B,'BS(과거)'!$A:$F,$2:$2,0),0)</f>
        <v>0</v>
      </c>
      <c r="N695" s="207">
        <f>IF(ISNUMBER(VLOOKUP($B:$B,'BS(분기)'!$A:$F,$2:$2,0)),VLOOKUP($B:$B,'BS(분기)'!$A:$F,$2:$2,0),0)</f>
        <v>0</v>
      </c>
      <c r="O695" s="207">
        <f>IF(ISNUMBER(VLOOKUP($B:$B,'BS(분기)'!$A:$F,$2:$2,0)),VLOOKUP($B:$B,'BS(분기)'!$A:$F,$2:$2,0),0)</f>
        <v>0</v>
      </c>
      <c r="P695" s="207">
        <f>IF(ISNUMBER(VLOOKUP($B:$B,'BS(분기)'!$A:$F,$2:$2,0)),VLOOKUP($B:$B,'BS(분기)'!$A:$F,$2:$2,0),0)</f>
        <v>0</v>
      </c>
      <c r="Q695" s="207">
        <f>IF(ISNUMBER(VLOOKUP($B:$B,'BS(분기)'!$A:$F,$2:$2,0)),VLOOKUP($B:$B,'BS(분기)'!$A:$F,$2:$2,0),0)</f>
        <v>0</v>
      </c>
      <c r="R695" s="207">
        <f>IF(ISNUMBER(VLOOKUP($B:$B,'BS(분기)'!$A:$F,$2:$2,0)),VLOOKUP($B:$B,'BS(분기)'!$A:$F,$2:$2,0),0)</f>
        <v>0</v>
      </c>
    </row>
    <row r="696" spans="1:18" s="192" customFormat="1" ht="12">
      <c r="A696" s="202">
        <v>116700</v>
      </c>
      <c r="B696" s="195" t="s">
        <v>848</v>
      </c>
      <c r="C696" s="217">
        <f>IF(ISNUMBER(VLOOKUP($B:$B,BS!$A:$D,$2:$2,0)),VLOOKUP($B:$B,BS!$A:$D,$2:$2,0),0)</f>
        <v>0</v>
      </c>
      <c r="D696" s="217">
        <f>IF(ISNUMBER(VLOOKUP($B:$B,BS!$A:$D,$2:$2,0)),VLOOKUP($B:$B,BS!$A:$D,$2:$2,0),0)</f>
        <v>0</v>
      </c>
      <c r="E696" s="217">
        <f>IF(ISNUMBER(VLOOKUP($B:$B,BS!$A:$D,$2:$2,0)),VLOOKUP($B:$B,BS!$A:$D,$2:$2,0),0)</f>
        <v>0</v>
      </c>
      <c r="F696" s="217">
        <f>IF(ISNUMBER(VLOOKUP($B:$B,BS!$A:$D,$2:$2,0)),VLOOKUP($B:$B,BS!$A:$D,$2:$2,0),0)</f>
        <v>0</v>
      </c>
      <c r="G696" s="217">
        <f>IF(ISNUMBER(VLOOKUP($B:$B,BS!$A:$D,$2:$2,0)),VLOOKUP($B:$B,BS!$A:$D,$2:$2,0),0)</f>
        <v>0</v>
      </c>
      <c r="H696" s="207">
        <f>IF(ISNUMBER(VLOOKUP($B:$B,'BS(과거)'!$A:$F,$2:$2,0)),VLOOKUP($B:$B,'BS(과거)'!$A:$F,$2:$2,0),0)</f>
        <v>0</v>
      </c>
      <c r="I696" s="207">
        <f>IF(ISNUMBER(VLOOKUP($B:$B,'BS(과거)'!$A:$F,$2:$2,0)),VLOOKUP($B:$B,'BS(과거)'!$A:$F,$2:$2,0),0)</f>
        <v>0</v>
      </c>
      <c r="J696" s="207">
        <f>IF(ISNUMBER(VLOOKUP($B:$B,'BS(과거)'!$A:$F,$2:$2,0)),VLOOKUP($B:$B,'BS(과거)'!$A:$F,$2:$2,0),0)</f>
        <v>0</v>
      </c>
      <c r="K696" s="207">
        <f>IF(ISNUMBER(VLOOKUP($B:$B,'BS(과거)'!$A:$F,$2:$2,0)),VLOOKUP($B:$B,'BS(과거)'!$A:$F,$2:$2,0),0)</f>
        <v>0</v>
      </c>
      <c r="L696" s="207">
        <f>IF(ISNUMBER(VLOOKUP($B:$B,'BS(과거)'!$A:$F,$2:$2,0)),VLOOKUP($B:$B,'BS(과거)'!$A:$F,$2:$2,0),0)</f>
        <v>0</v>
      </c>
      <c r="N696" s="207">
        <f>IF(ISNUMBER(VLOOKUP($B:$B,'BS(분기)'!$A:$F,$2:$2,0)),VLOOKUP($B:$B,'BS(분기)'!$A:$F,$2:$2,0),0)</f>
        <v>0</v>
      </c>
      <c r="O696" s="207">
        <f>IF(ISNUMBER(VLOOKUP($B:$B,'BS(분기)'!$A:$F,$2:$2,0)),VLOOKUP($B:$B,'BS(분기)'!$A:$F,$2:$2,0),0)</f>
        <v>0</v>
      </c>
      <c r="P696" s="207">
        <f>IF(ISNUMBER(VLOOKUP($B:$B,'BS(분기)'!$A:$F,$2:$2,0)),VLOOKUP($B:$B,'BS(분기)'!$A:$F,$2:$2,0),0)</f>
        <v>0</v>
      </c>
      <c r="Q696" s="207">
        <f>IF(ISNUMBER(VLOOKUP($B:$B,'BS(분기)'!$A:$F,$2:$2,0)),VLOOKUP($B:$B,'BS(분기)'!$A:$F,$2:$2,0),0)</f>
        <v>0</v>
      </c>
      <c r="R696" s="207">
        <f>IF(ISNUMBER(VLOOKUP($B:$B,'BS(분기)'!$A:$F,$2:$2,0)),VLOOKUP($B:$B,'BS(분기)'!$A:$F,$2:$2,0),0)</f>
        <v>0</v>
      </c>
    </row>
    <row r="697" spans="1:18" s="192" customFormat="1" ht="12">
      <c r="A697" s="201">
        <v>117900</v>
      </c>
      <c r="B697" s="194" t="s">
        <v>1306</v>
      </c>
      <c r="C697" s="217">
        <f>IF(ISNUMBER(VLOOKUP($B:$B,BS!$A:$D,$2:$2,0)),VLOOKUP($B:$B,BS!$A:$D,$2:$2,0),0)</f>
        <v>0</v>
      </c>
      <c r="D697" s="217">
        <f>IF(ISNUMBER(VLOOKUP($B:$B,BS!$A:$D,$2:$2,0)),VLOOKUP($B:$B,BS!$A:$D,$2:$2,0),0)</f>
        <v>0</v>
      </c>
      <c r="E697" s="217">
        <f>IF(ISNUMBER(VLOOKUP($B:$B,BS!$A:$D,$2:$2,0)),VLOOKUP($B:$B,BS!$A:$D,$2:$2,0),0)</f>
        <v>0</v>
      </c>
      <c r="F697" s="217">
        <f>IF(ISNUMBER(VLOOKUP($B:$B,BS!$A:$D,$2:$2,0)),VLOOKUP($B:$B,BS!$A:$D,$2:$2,0),0)</f>
        <v>0</v>
      </c>
      <c r="G697" s="217">
        <f>IF(ISNUMBER(VLOOKUP($B:$B,BS!$A:$D,$2:$2,0)),VLOOKUP($B:$B,BS!$A:$D,$2:$2,0),0)</f>
        <v>0</v>
      </c>
      <c r="H697" s="207">
        <f>IF(ISNUMBER(VLOOKUP($B:$B,'BS(과거)'!$A:$F,$2:$2,0)),VLOOKUP($B:$B,'BS(과거)'!$A:$F,$2:$2,0),0)</f>
        <v>0</v>
      </c>
      <c r="I697" s="207">
        <f>IF(ISNUMBER(VLOOKUP($B:$B,'BS(과거)'!$A:$F,$2:$2,0)),VLOOKUP($B:$B,'BS(과거)'!$A:$F,$2:$2,0),0)</f>
        <v>0</v>
      </c>
      <c r="J697" s="207">
        <f>IF(ISNUMBER(VLOOKUP($B:$B,'BS(과거)'!$A:$F,$2:$2,0)),VLOOKUP($B:$B,'BS(과거)'!$A:$F,$2:$2,0),0)</f>
        <v>0</v>
      </c>
      <c r="K697" s="207">
        <f>IF(ISNUMBER(VLOOKUP($B:$B,'BS(과거)'!$A:$F,$2:$2,0)),VLOOKUP($B:$B,'BS(과거)'!$A:$F,$2:$2,0),0)</f>
        <v>0</v>
      </c>
      <c r="L697" s="207">
        <f>IF(ISNUMBER(VLOOKUP($B:$B,'BS(과거)'!$A:$F,$2:$2,0)),VLOOKUP($B:$B,'BS(과거)'!$A:$F,$2:$2,0),0)</f>
        <v>0</v>
      </c>
      <c r="N697" s="207">
        <f>IF(ISNUMBER(VLOOKUP($B:$B,'BS(분기)'!$A:$F,$2:$2,0)),VLOOKUP($B:$B,'BS(분기)'!$A:$F,$2:$2,0),0)</f>
        <v>0</v>
      </c>
      <c r="O697" s="207">
        <f>IF(ISNUMBER(VLOOKUP($B:$B,'BS(분기)'!$A:$F,$2:$2,0)),VLOOKUP($B:$B,'BS(분기)'!$A:$F,$2:$2,0),0)</f>
        <v>0</v>
      </c>
      <c r="P697" s="207">
        <f>IF(ISNUMBER(VLOOKUP($B:$B,'BS(분기)'!$A:$F,$2:$2,0)),VLOOKUP($B:$B,'BS(분기)'!$A:$F,$2:$2,0),0)</f>
        <v>0</v>
      </c>
      <c r="Q697" s="207">
        <f>IF(ISNUMBER(VLOOKUP($B:$B,'BS(분기)'!$A:$F,$2:$2,0)),VLOOKUP($B:$B,'BS(분기)'!$A:$F,$2:$2,0),0)</f>
        <v>0</v>
      </c>
      <c r="R697" s="207">
        <f>IF(ISNUMBER(VLOOKUP($B:$B,'BS(분기)'!$A:$F,$2:$2,0)),VLOOKUP($B:$B,'BS(분기)'!$A:$F,$2:$2,0),0)</f>
        <v>0</v>
      </c>
    </row>
    <row r="698" spans="1:18" s="192" customFormat="1" ht="12">
      <c r="A698" s="202">
        <v>117110</v>
      </c>
      <c r="B698" s="195" t="s">
        <v>1307</v>
      </c>
      <c r="C698" s="217">
        <f>IF(ISNUMBER(VLOOKUP($B:$B,BS!$A:$D,$2:$2,0)),VLOOKUP($B:$B,BS!$A:$D,$2:$2,0),0)</f>
        <v>0</v>
      </c>
      <c r="D698" s="217">
        <f>IF(ISNUMBER(VLOOKUP($B:$B,BS!$A:$D,$2:$2,0)),VLOOKUP($B:$B,BS!$A:$D,$2:$2,0),0)</f>
        <v>0</v>
      </c>
      <c r="E698" s="217">
        <f>IF(ISNUMBER(VLOOKUP($B:$B,BS!$A:$D,$2:$2,0)),VLOOKUP($B:$B,BS!$A:$D,$2:$2,0),0)</f>
        <v>0</v>
      </c>
      <c r="F698" s="217">
        <f>IF(ISNUMBER(VLOOKUP($B:$B,BS!$A:$D,$2:$2,0)),VLOOKUP($B:$B,BS!$A:$D,$2:$2,0),0)</f>
        <v>0</v>
      </c>
      <c r="G698" s="217">
        <f>IF(ISNUMBER(VLOOKUP($B:$B,BS!$A:$D,$2:$2,0)),VLOOKUP($B:$B,BS!$A:$D,$2:$2,0),0)</f>
        <v>0</v>
      </c>
      <c r="H698" s="207">
        <f>IF(ISNUMBER(VLOOKUP($B:$B,'BS(과거)'!$A:$F,$2:$2,0)),VLOOKUP($B:$B,'BS(과거)'!$A:$F,$2:$2,0),0)</f>
        <v>0</v>
      </c>
      <c r="I698" s="207">
        <f>IF(ISNUMBER(VLOOKUP($B:$B,'BS(과거)'!$A:$F,$2:$2,0)),VLOOKUP($B:$B,'BS(과거)'!$A:$F,$2:$2,0),0)</f>
        <v>0</v>
      </c>
      <c r="J698" s="207">
        <f>IF(ISNUMBER(VLOOKUP($B:$B,'BS(과거)'!$A:$F,$2:$2,0)),VLOOKUP($B:$B,'BS(과거)'!$A:$F,$2:$2,0),0)</f>
        <v>0</v>
      </c>
      <c r="K698" s="207">
        <f>IF(ISNUMBER(VLOOKUP($B:$B,'BS(과거)'!$A:$F,$2:$2,0)),VLOOKUP($B:$B,'BS(과거)'!$A:$F,$2:$2,0),0)</f>
        <v>0</v>
      </c>
      <c r="L698" s="207">
        <f>IF(ISNUMBER(VLOOKUP($B:$B,'BS(과거)'!$A:$F,$2:$2,0)),VLOOKUP($B:$B,'BS(과거)'!$A:$F,$2:$2,0),0)</f>
        <v>0</v>
      </c>
      <c r="N698" s="207">
        <f>IF(ISNUMBER(VLOOKUP($B:$B,'BS(분기)'!$A:$F,$2:$2,0)),VLOOKUP($B:$B,'BS(분기)'!$A:$F,$2:$2,0),0)</f>
        <v>0</v>
      </c>
      <c r="O698" s="207">
        <f>IF(ISNUMBER(VLOOKUP($B:$B,'BS(분기)'!$A:$F,$2:$2,0)),VLOOKUP($B:$B,'BS(분기)'!$A:$F,$2:$2,0),0)</f>
        <v>0</v>
      </c>
      <c r="P698" s="207">
        <f>IF(ISNUMBER(VLOOKUP($B:$B,'BS(분기)'!$A:$F,$2:$2,0)),VLOOKUP($B:$B,'BS(분기)'!$A:$F,$2:$2,0),0)</f>
        <v>0</v>
      </c>
      <c r="Q698" s="207">
        <f>IF(ISNUMBER(VLOOKUP($B:$B,'BS(분기)'!$A:$F,$2:$2,0)),VLOOKUP($B:$B,'BS(분기)'!$A:$F,$2:$2,0),0)</f>
        <v>0</v>
      </c>
      <c r="R698" s="207">
        <f>IF(ISNUMBER(VLOOKUP($B:$B,'BS(분기)'!$A:$F,$2:$2,0)),VLOOKUP($B:$B,'BS(분기)'!$A:$F,$2:$2,0),0)</f>
        <v>0</v>
      </c>
    </row>
    <row r="699" spans="1:18" s="192" customFormat="1" ht="12">
      <c r="A699" s="202">
        <v>117120</v>
      </c>
      <c r="B699" s="195" t="s">
        <v>1308</v>
      </c>
      <c r="C699" s="217">
        <f>IF(ISNUMBER(VLOOKUP($B:$B,BS!$A:$D,$2:$2,0)),VLOOKUP($B:$B,BS!$A:$D,$2:$2,0),0)</f>
        <v>0</v>
      </c>
      <c r="D699" s="217">
        <f>IF(ISNUMBER(VLOOKUP($B:$B,BS!$A:$D,$2:$2,0)),VLOOKUP($B:$B,BS!$A:$D,$2:$2,0),0)</f>
        <v>0</v>
      </c>
      <c r="E699" s="217">
        <f>IF(ISNUMBER(VLOOKUP($B:$B,BS!$A:$D,$2:$2,0)),VLOOKUP($B:$B,BS!$A:$D,$2:$2,0),0)</f>
        <v>0</v>
      </c>
      <c r="F699" s="217">
        <f>IF(ISNUMBER(VLOOKUP($B:$B,BS!$A:$D,$2:$2,0)),VLOOKUP($B:$B,BS!$A:$D,$2:$2,0),0)</f>
        <v>0</v>
      </c>
      <c r="G699" s="217">
        <f>IF(ISNUMBER(VLOOKUP($B:$B,BS!$A:$D,$2:$2,0)),VLOOKUP($B:$B,BS!$A:$D,$2:$2,0),0)</f>
        <v>0</v>
      </c>
      <c r="H699" s="207">
        <f>IF(ISNUMBER(VLOOKUP($B:$B,'BS(과거)'!$A:$F,$2:$2,0)),VLOOKUP($B:$B,'BS(과거)'!$A:$F,$2:$2,0),0)</f>
        <v>0</v>
      </c>
      <c r="I699" s="207">
        <f>IF(ISNUMBER(VLOOKUP($B:$B,'BS(과거)'!$A:$F,$2:$2,0)),VLOOKUP($B:$B,'BS(과거)'!$A:$F,$2:$2,0),0)</f>
        <v>0</v>
      </c>
      <c r="J699" s="207">
        <f>IF(ISNUMBER(VLOOKUP($B:$B,'BS(과거)'!$A:$F,$2:$2,0)),VLOOKUP($B:$B,'BS(과거)'!$A:$F,$2:$2,0),0)</f>
        <v>0</v>
      </c>
      <c r="K699" s="207">
        <f>IF(ISNUMBER(VLOOKUP($B:$B,'BS(과거)'!$A:$F,$2:$2,0)),VLOOKUP($B:$B,'BS(과거)'!$A:$F,$2:$2,0),0)</f>
        <v>0</v>
      </c>
      <c r="L699" s="207">
        <f>IF(ISNUMBER(VLOOKUP($B:$B,'BS(과거)'!$A:$F,$2:$2,0)),VLOOKUP($B:$B,'BS(과거)'!$A:$F,$2:$2,0),0)</f>
        <v>0</v>
      </c>
      <c r="N699" s="207">
        <f>IF(ISNUMBER(VLOOKUP($B:$B,'BS(분기)'!$A:$F,$2:$2,0)),VLOOKUP($B:$B,'BS(분기)'!$A:$F,$2:$2,0),0)</f>
        <v>0</v>
      </c>
      <c r="O699" s="207">
        <f>IF(ISNUMBER(VLOOKUP($B:$B,'BS(분기)'!$A:$F,$2:$2,0)),VLOOKUP($B:$B,'BS(분기)'!$A:$F,$2:$2,0),0)</f>
        <v>0</v>
      </c>
      <c r="P699" s="207">
        <f>IF(ISNUMBER(VLOOKUP($B:$B,'BS(분기)'!$A:$F,$2:$2,0)),VLOOKUP($B:$B,'BS(분기)'!$A:$F,$2:$2,0),0)</f>
        <v>0</v>
      </c>
      <c r="Q699" s="207">
        <f>IF(ISNUMBER(VLOOKUP($B:$B,'BS(분기)'!$A:$F,$2:$2,0)),VLOOKUP($B:$B,'BS(분기)'!$A:$F,$2:$2,0),0)</f>
        <v>0</v>
      </c>
      <c r="R699" s="207">
        <f>IF(ISNUMBER(VLOOKUP($B:$B,'BS(분기)'!$A:$F,$2:$2,0)),VLOOKUP($B:$B,'BS(분기)'!$A:$F,$2:$2,0),0)</f>
        <v>0</v>
      </c>
    </row>
    <row r="700" spans="1:18" s="192" customFormat="1" ht="12">
      <c r="A700" s="202">
        <v>117130</v>
      </c>
      <c r="B700" s="195" t="s">
        <v>1309</v>
      </c>
      <c r="C700" s="217">
        <f>IF(ISNUMBER(VLOOKUP($B:$B,BS!$A:$D,$2:$2,0)),VLOOKUP($B:$B,BS!$A:$D,$2:$2,0),0)</f>
        <v>0</v>
      </c>
      <c r="D700" s="217">
        <f>IF(ISNUMBER(VLOOKUP($B:$B,BS!$A:$D,$2:$2,0)),VLOOKUP($B:$B,BS!$A:$D,$2:$2,0),0)</f>
        <v>0</v>
      </c>
      <c r="E700" s="217">
        <f>IF(ISNUMBER(VLOOKUP($B:$B,BS!$A:$D,$2:$2,0)),VLOOKUP($B:$B,BS!$A:$D,$2:$2,0),0)</f>
        <v>0</v>
      </c>
      <c r="F700" s="217">
        <f>IF(ISNUMBER(VLOOKUP($B:$B,BS!$A:$D,$2:$2,0)),VLOOKUP($B:$B,BS!$A:$D,$2:$2,0),0)</f>
        <v>0</v>
      </c>
      <c r="G700" s="217">
        <f>IF(ISNUMBER(VLOOKUP($B:$B,BS!$A:$D,$2:$2,0)),VLOOKUP($B:$B,BS!$A:$D,$2:$2,0),0)</f>
        <v>0</v>
      </c>
      <c r="H700" s="207">
        <f>IF(ISNUMBER(VLOOKUP($B:$B,'BS(과거)'!$A:$F,$2:$2,0)),VLOOKUP($B:$B,'BS(과거)'!$A:$F,$2:$2,0),0)</f>
        <v>0</v>
      </c>
      <c r="I700" s="207">
        <f>IF(ISNUMBER(VLOOKUP($B:$B,'BS(과거)'!$A:$F,$2:$2,0)),VLOOKUP($B:$B,'BS(과거)'!$A:$F,$2:$2,0),0)</f>
        <v>0</v>
      </c>
      <c r="J700" s="207">
        <f>IF(ISNUMBER(VLOOKUP($B:$B,'BS(과거)'!$A:$F,$2:$2,0)),VLOOKUP($B:$B,'BS(과거)'!$A:$F,$2:$2,0),0)</f>
        <v>0</v>
      </c>
      <c r="K700" s="207">
        <f>IF(ISNUMBER(VLOOKUP($B:$B,'BS(과거)'!$A:$F,$2:$2,0)),VLOOKUP($B:$B,'BS(과거)'!$A:$F,$2:$2,0),0)</f>
        <v>0</v>
      </c>
      <c r="L700" s="207">
        <f>IF(ISNUMBER(VLOOKUP($B:$B,'BS(과거)'!$A:$F,$2:$2,0)),VLOOKUP($B:$B,'BS(과거)'!$A:$F,$2:$2,0),0)</f>
        <v>0</v>
      </c>
      <c r="N700" s="207">
        <f>IF(ISNUMBER(VLOOKUP($B:$B,'BS(분기)'!$A:$F,$2:$2,0)),VLOOKUP($B:$B,'BS(분기)'!$A:$F,$2:$2,0),0)</f>
        <v>0</v>
      </c>
      <c r="O700" s="207">
        <f>IF(ISNUMBER(VLOOKUP($B:$B,'BS(분기)'!$A:$F,$2:$2,0)),VLOOKUP($B:$B,'BS(분기)'!$A:$F,$2:$2,0),0)</f>
        <v>0</v>
      </c>
      <c r="P700" s="207">
        <f>IF(ISNUMBER(VLOOKUP($B:$B,'BS(분기)'!$A:$F,$2:$2,0)),VLOOKUP($B:$B,'BS(분기)'!$A:$F,$2:$2,0),0)</f>
        <v>0</v>
      </c>
      <c r="Q700" s="207">
        <f>IF(ISNUMBER(VLOOKUP($B:$B,'BS(분기)'!$A:$F,$2:$2,0)),VLOOKUP($B:$B,'BS(분기)'!$A:$F,$2:$2,0),0)</f>
        <v>0</v>
      </c>
      <c r="R700" s="207">
        <f>IF(ISNUMBER(VLOOKUP($B:$B,'BS(분기)'!$A:$F,$2:$2,0)),VLOOKUP($B:$B,'BS(분기)'!$A:$F,$2:$2,0),0)</f>
        <v>0</v>
      </c>
    </row>
    <row r="701" spans="1:18" s="192" customFormat="1" ht="12">
      <c r="A701" s="205">
        <v>118000</v>
      </c>
      <c r="B701" s="198" t="s">
        <v>4</v>
      </c>
      <c r="C701" s="217">
        <f>IF(ISNUMBER(VLOOKUP($B:$B,BS!$A:$D,$2:$2,0)),VLOOKUP($B:$B,BS!$A:$D,$2:$2,0),0)</f>
        <v>0</v>
      </c>
      <c r="D701" s="217">
        <f>IF(ISNUMBER(VLOOKUP($B:$B,BS!$A:$D,$2:$2,0)),VLOOKUP($B:$B,BS!$A:$D,$2:$2,0),0)</f>
        <v>0</v>
      </c>
      <c r="E701" s="217">
        <f>IF(ISNUMBER(VLOOKUP($B:$B,BS!$A:$D,$2:$2,0)),VLOOKUP($B:$B,BS!$A:$D,$2:$2,0),0)</f>
        <v>0</v>
      </c>
      <c r="F701" s="217">
        <f>IF(ISNUMBER(VLOOKUP($B:$B,BS!$A:$D,$2:$2,0)),VLOOKUP($B:$B,BS!$A:$D,$2:$2,0),0)</f>
        <v>0</v>
      </c>
      <c r="G701" s="217">
        <f>IF(ISNUMBER(VLOOKUP($B:$B,BS!$A:$D,$2:$2,0)),VLOOKUP($B:$B,BS!$A:$D,$2:$2,0),0)</f>
        <v>0</v>
      </c>
      <c r="H701" s="207">
        <f>IF(ISNUMBER(VLOOKUP($B:$B,'BS(과거)'!$A:$F,$2:$2,0)),VLOOKUP($B:$B,'BS(과거)'!$A:$F,$2:$2,0),0)</f>
        <v>0</v>
      </c>
      <c r="I701" s="207">
        <f>IF(ISNUMBER(VLOOKUP($B:$B,'BS(과거)'!$A:$F,$2:$2,0)),VLOOKUP($B:$B,'BS(과거)'!$A:$F,$2:$2,0),0)</f>
        <v>0</v>
      </c>
      <c r="J701" s="207">
        <f>IF(ISNUMBER(VLOOKUP($B:$B,'BS(과거)'!$A:$F,$2:$2,0)),VLOOKUP($B:$B,'BS(과거)'!$A:$F,$2:$2,0),0)</f>
        <v>0</v>
      </c>
      <c r="K701" s="207">
        <f>IF(ISNUMBER(VLOOKUP($B:$B,'BS(과거)'!$A:$F,$2:$2,0)),VLOOKUP($B:$B,'BS(과거)'!$A:$F,$2:$2,0),0)</f>
        <v>0</v>
      </c>
      <c r="L701" s="207">
        <f>IF(ISNUMBER(VLOOKUP($B:$B,'BS(과거)'!$A:$F,$2:$2,0)),VLOOKUP($B:$B,'BS(과거)'!$A:$F,$2:$2,0),0)</f>
        <v>0</v>
      </c>
      <c r="N701" s="207">
        <f>IF(ISNUMBER(VLOOKUP($B:$B,'BS(분기)'!$A:$F,$2:$2,0)),VLOOKUP($B:$B,'BS(분기)'!$A:$F,$2:$2,0),0)</f>
        <v>0</v>
      </c>
      <c r="O701" s="207">
        <f>IF(ISNUMBER(VLOOKUP($B:$B,'BS(분기)'!$A:$F,$2:$2,0)),VLOOKUP($B:$B,'BS(분기)'!$A:$F,$2:$2,0),0)</f>
        <v>0</v>
      </c>
      <c r="P701" s="207">
        <f>IF(ISNUMBER(VLOOKUP($B:$B,'BS(분기)'!$A:$F,$2:$2,0)),VLOOKUP($B:$B,'BS(분기)'!$A:$F,$2:$2,0),0)</f>
        <v>0</v>
      </c>
      <c r="Q701" s="207">
        <f>IF(ISNUMBER(VLOOKUP($B:$B,'BS(분기)'!$A:$F,$2:$2,0)),VLOOKUP($B:$B,'BS(분기)'!$A:$F,$2:$2,0),0)</f>
        <v>0</v>
      </c>
      <c r="R701" s="207">
        <f>IF(ISNUMBER(VLOOKUP($B:$B,'BS(분기)'!$A:$F,$2:$2,0)),VLOOKUP($B:$B,'BS(분기)'!$A:$F,$2:$2,0),0)</f>
        <v>0</v>
      </c>
    </row>
    <row r="702" spans="1:18" s="192" customFormat="1" ht="12">
      <c r="A702" s="201">
        <v>118100</v>
      </c>
      <c r="B702" s="194" t="s">
        <v>589</v>
      </c>
      <c r="C702" s="217">
        <f>IF(ISNUMBER(VLOOKUP($B:$B,BS!$A:$D,$2:$2,0)),VLOOKUP($B:$B,BS!$A:$D,$2:$2,0),0)</f>
        <v>0</v>
      </c>
      <c r="D702" s="217">
        <f>IF(ISNUMBER(VLOOKUP($B:$B,BS!$A:$D,$2:$2,0)),VLOOKUP($B:$B,BS!$A:$D,$2:$2,0),0)</f>
        <v>0</v>
      </c>
      <c r="E702" s="217">
        <f>IF(ISNUMBER(VLOOKUP($B:$B,BS!$A:$D,$2:$2,0)),VLOOKUP($B:$B,BS!$A:$D,$2:$2,0),0)</f>
        <v>0</v>
      </c>
      <c r="F702" s="217">
        <f>IF(ISNUMBER(VLOOKUP($B:$B,BS!$A:$D,$2:$2,0)),VLOOKUP($B:$B,BS!$A:$D,$2:$2,0),0)</f>
        <v>0</v>
      </c>
      <c r="G702" s="217">
        <f>IF(ISNUMBER(VLOOKUP($B:$B,BS!$A:$D,$2:$2,0)),VLOOKUP($B:$B,BS!$A:$D,$2:$2,0),0)</f>
        <v>0</v>
      </c>
      <c r="H702" s="207">
        <f>IF(ISNUMBER(VLOOKUP($B:$B,'BS(과거)'!$A:$F,$2:$2,0)),VLOOKUP($B:$B,'BS(과거)'!$A:$F,$2:$2,0),0)</f>
        <v>0</v>
      </c>
      <c r="I702" s="207">
        <f>IF(ISNUMBER(VLOOKUP($B:$B,'BS(과거)'!$A:$F,$2:$2,0)),VLOOKUP($B:$B,'BS(과거)'!$A:$F,$2:$2,0),0)</f>
        <v>0</v>
      </c>
      <c r="J702" s="207">
        <f>IF(ISNUMBER(VLOOKUP($B:$B,'BS(과거)'!$A:$F,$2:$2,0)),VLOOKUP($B:$B,'BS(과거)'!$A:$F,$2:$2,0),0)</f>
        <v>0</v>
      </c>
      <c r="K702" s="207">
        <f>IF(ISNUMBER(VLOOKUP($B:$B,'BS(과거)'!$A:$F,$2:$2,0)),VLOOKUP($B:$B,'BS(과거)'!$A:$F,$2:$2,0),0)</f>
        <v>0</v>
      </c>
      <c r="L702" s="207">
        <f>IF(ISNUMBER(VLOOKUP($B:$B,'BS(과거)'!$A:$F,$2:$2,0)),VLOOKUP($B:$B,'BS(과거)'!$A:$F,$2:$2,0),0)</f>
        <v>0</v>
      </c>
      <c r="N702" s="207">
        <f>IF(ISNUMBER(VLOOKUP($B:$B,'BS(분기)'!$A:$F,$2:$2,0)),VLOOKUP($B:$B,'BS(분기)'!$A:$F,$2:$2,0),0)</f>
        <v>0</v>
      </c>
      <c r="O702" s="207">
        <f>IF(ISNUMBER(VLOOKUP($B:$B,'BS(분기)'!$A:$F,$2:$2,0)),VLOOKUP($B:$B,'BS(분기)'!$A:$F,$2:$2,0),0)</f>
        <v>0</v>
      </c>
      <c r="P702" s="207">
        <f>IF(ISNUMBER(VLOOKUP($B:$B,'BS(분기)'!$A:$F,$2:$2,0)),VLOOKUP($B:$B,'BS(분기)'!$A:$F,$2:$2,0),0)</f>
        <v>0</v>
      </c>
      <c r="Q702" s="207">
        <f>IF(ISNUMBER(VLOOKUP($B:$B,'BS(분기)'!$A:$F,$2:$2,0)),VLOOKUP($B:$B,'BS(분기)'!$A:$F,$2:$2,0),0)</f>
        <v>0</v>
      </c>
      <c r="R702" s="207">
        <f>IF(ISNUMBER(VLOOKUP($B:$B,'BS(분기)'!$A:$F,$2:$2,0)),VLOOKUP($B:$B,'BS(분기)'!$A:$F,$2:$2,0),0)</f>
        <v>0</v>
      </c>
    </row>
    <row r="703" spans="1:18" s="192" customFormat="1" ht="12">
      <c r="A703" s="201">
        <v>118101</v>
      </c>
      <c r="B703" s="194" t="s">
        <v>849</v>
      </c>
      <c r="C703" s="217">
        <f>IF(ISNUMBER(VLOOKUP($B:$B,BS!$A:$D,$2:$2,0)),VLOOKUP($B:$B,BS!$A:$D,$2:$2,0),0)</f>
        <v>0</v>
      </c>
      <c r="D703" s="217">
        <f>IF(ISNUMBER(VLOOKUP($B:$B,BS!$A:$D,$2:$2,0)),VLOOKUP($B:$B,BS!$A:$D,$2:$2,0),0)</f>
        <v>0</v>
      </c>
      <c r="E703" s="217">
        <f>IF(ISNUMBER(VLOOKUP($B:$B,BS!$A:$D,$2:$2,0)),VLOOKUP($B:$B,BS!$A:$D,$2:$2,0),0)</f>
        <v>0</v>
      </c>
      <c r="F703" s="217">
        <f>IF(ISNUMBER(VLOOKUP($B:$B,BS!$A:$D,$2:$2,0)),VLOOKUP($B:$B,BS!$A:$D,$2:$2,0),0)</f>
        <v>0</v>
      </c>
      <c r="G703" s="217">
        <f>IF(ISNUMBER(VLOOKUP($B:$B,BS!$A:$D,$2:$2,0)),VLOOKUP($B:$B,BS!$A:$D,$2:$2,0),0)</f>
        <v>0</v>
      </c>
      <c r="H703" s="207">
        <f>IF(ISNUMBER(VLOOKUP($B:$B,'BS(과거)'!$A:$F,$2:$2,0)),VLOOKUP($B:$B,'BS(과거)'!$A:$F,$2:$2,0),0)</f>
        <v>0</v>
      </c>
      <c r="I703" s="207">
        <f>IF(ISNUMBER(VLOOKUP($B:$B,'BS(과거)'!$A:$F,$2:$2,0)),VLOOKUP($B:$B,'BS(과거)'!$A:$F,$2:$2,0),0)</f>
        <v>0</v>
      </c>
      <c r="J703" s="207">
        <f>IF(ISNUMBER(VLOOKUP($B:$B,'BS(과거)'!$A:$F,$2:$2,0)),VLOOKUP($B:$B,'BS(과거)'!$A:$F,$2:$2,0),0)</f>
        <v>0</v>
      </c>
      <c r="K703" s="207">
        <f>IF(ISNUMBER(VLOOKUP($B:$B,'BS(과거)'!$A:$F,$2:$2,0)),VLOOKUP($B:$B,'BS(과거)'!$A:$F,$2:$2,0),0)</f>
        <v>0</v>
      </c>
      <c r="L703" s="207">
        <f>IF(ISNUMBER(VLOOKUP($B:$B,'BS(과거)'!$A:$F,$2:$2,0)),VLOOKUP($B:$B,'BS(과거)'!$A:$F,$2:$2,0),0)</f>
        <v>0</v>
      </c>
      <c r="N703" s="207">
        <f>IF(ISNUMBER(VLOOKUP($B:$B,'BS(분기)'!$A:$F,$2:$2,0)),VLOOKUP($B:$B,'BS(분기)'!$A:$F,$2:$2,0),0)</f>
        <v>0</v>
      </c>
      <c r="O703" s="207">
        <f>IF(ISNUMBER(VLOOKUP($B:$B,'BS(분기)'!$A:$F,$2:$2,0)),VLOOKUP($B:$B,'BS(분기)'!$A:$F,$2:$2,0),0)</f>
        <v>0</v>
      </c>
      <c r="P703" s="207">
        <f>IF(ISNUMBER(VLOOKUP($B:$B,'BS(분기)'!$A:$F,$2:$2,0)),VLOOKUP($B:$B,'BS(분기)'!$A:$F,$2:$2,0),0)</f>
        <v>0</v>
      </c>
      <c r="Q703" s="207">
        <f>IF(ISNUMBER(VLOOKUP($B:$B,'BS(분기)'!$A:$F,$2:$2,0)),VLOOKUP($B:$B,'BS(분기)'!$A:$F,$2:$2,0),0)</f>
        <v>0</v>
      </c>
      <c r="R703" s="207">
        <f>IF(ISNUMBER(VLOOKUP($B:$B,'BS(분기)'!$A:$F,$2:$2,0)),VLOOKUP($B:$B,'BS(분기)'!$A:$F,$2:$2,0),0)</f>
        <v>0</v>
      </c>
    </row>
    <row r="704" spans="1:18" s="192" customFormat="1" ht="12">
      <c r="A704" s="201">
        <v>118102</v>
      </c>
      <c r="B704" s="194" t="s">
        <v>1445</v>
      </c>
      <c r="C704" s="217">
        <f>IF(ISNUMBER(VLOOKUP($B:$B,BS!$A:$D,$2:$2,0)),VLOOKUP($B:$B,BS!$A:$D,$2:$2,0),0)</f>
        <v>0</v>
      </c>
      <c r="D704" s="217">
        <f>IF(ISNUMBER(VLOOKUP($B:$B,BS!$A:$D,$2:$2,0)),VLOOKUP($B:$B,BS!$A:$D,$2:$2,0),0)</f>
        <v>0</v>
      </c>
      <c r="E704" s="217">
        <f>IF(ISNUMBER(VLOOKUP($B:$B,BS!$A:$D,$2:$2,0)),VLOOKUP($B:$B,BS!$A:$D,$2:$2,0),0)</f>
        <v>0</v>
      </c>
      <c r="F704" s="217">
        <f>IF(ISNUMBER(VLOOKUP($B:$B,BS!$A:$D,$2:$2,0)),VLOOKUP($B:$B,BS!$A:$D,$2:$2,0),0)</f>
        <v>0</v>
      </c>
      <c r="G704" s="217">
        <f>IF(ISNUMBER(VLOOKUP($B:$B,BS!$A:$D,$2:$2,0)),VLOOKUP($B:$B,BS!$A:$D,$2:$2,0),0)</f>
        <v>0</v>
      </c>
      <c r="H704" s="207">
        <f>IF(ISNUMBER(VLOOKUP($B:$B,'BS(과거)'!$A:$F,$2:$2,0)),VLOOKUP($B:$B,'BS(과거)'!$A:$F,$2:$2,0),0)</f>
        <v>0</v>
      </c>
      <c r="I704" s="207">
        <f>IF(ISNUMBER(VLOOKUP($B:$B,'BS(과거)'!$A:$F,$2:$2,0)),VLOOKUP($B:$B,'BS(과거)'!$A:$F,$2:$2,0),0)</f>
        <v>0</v>
      </c>
      <c r="J704" s="207">
        <f>IF(ISNUMBER(VLOOKUP($B:$B,'BS(과거)'!$A:$F,$2:$2,0)),VLOOKUP($B:$B,'BS(과거)'!$A:$F,$2:$2,0),0)</f>
        <v>0</v>
      </c>
      <c r="K704" s="207">
        <f>IF(ISNUMBER(VLOOKUP($B:$B,'BS(과거)'!$A:$F,$2:$2,0)),VLOOKUP($B:$B,'BS(과거)'!$A:$F,$2:$2,0),0)</f>
        <v>0</v>
      </c>
      <c r="L704" s="207">
        <f>IF(ISNUMBER(VLOOKUP($B:$B,'BS(과거)'!$A:$F,$2:$2,0)),VLOOKUP($B:$B,'BS(과거)'!$A:$F,$2:$2,0),0)</f>
        <v>0</v>
      </c>
      <c r="N704" s="207">
        <f>IF(ISNUMBER(VLOOKUP($B:$B,'BS(분기)'!$A:$F,$2:$2,0)),VLOOKUP($B:$B,'BS(분기)'!$A:$F,$2:$2,0),0)</f>
        <v>0</v>
      </c>
      <c r="O704" s="207">
        <f>IF(ISNUMBER(VLOOKUP($B:$B,'BS(분기)'!$A:$F,$2:$2,0)),VLOOKUP($B:$B,'BS(분기)'!$A:$F,$2:$2,0),0)</f>
        <v>0</v>
      </c>
      <c r="P704" s="207">
        <f>IF(ISNUMBER(VLOOKUP($B:$B,'BS(분기)'!$A:$F,$2:$2,0)),VLOOKUP($B:$B,'BS(분기)'!$A:$F,$2:$2,0),0)</f>
        <v>0</v>
      </c>
      <c r="Q704" s="207">
        <f>IF(ISNUMBER(VLOOKUP($B:$B,'BS(분기)'!$A:$F,$2:$2,0)),VLOOKUP($B:$B,'BS(분기)'!$A:$F,$2:$2,0),0)</f>
        <v>0</v>
      </c>
      <c r="R704" s="207">
        <f>IF(ISNUMBER(VLOOKUP($B:$B,'BS(분기)'!$A:$F,$2:$2,0)),VLOOKUP($B:$B,'BS(분기)'!$A:$F,$2:$2,0),0)</f>
        <v>0</v>
      </c>
    </row>
    <row r="705" spans="1:18" s="192" customFormat="1" ht="12">
      <c r="A705" s="202">
        <v>118110</v>
      </c>
      <c r="B705" s="195" t="s">
        <v>850</v>
      </c>
      <c r="C705" s="217">
        <f>IF(ISNUMBER(VLOOKUP($B:$B,BS!$A:$D,$2:$2,0)),VLOOKUP($B:$B,BS!$A:$D,$2:$2,0),0)</f>
        <v>0</v>
      </c>
      <c r="D705" s="217">
        <f>IF(ISNUMBER(VLOOKUP($B:$B,BS!$A:$D,$2:$2,0)),VLOOKUP($B:$B,BS!$A:$D,$2:$2,0),0)</f>
        <v>0</v>
      </c>
      <c r="E705" s="217">
        <f>IF(ISNUMBER(VLOOKUP($B:$B,BS!$A:$D,$2:$2,0)),VLOOKUP($B:$B,BS!$A:$D,$2:$2,0),0)</f>
        <v>0</v>
      </c>
      <c r="F705" s="217">
        <f>IF(ISNUMBER(VLOOKUP($B:$B,BS!$A:$D,$2:$2,0)),VLOOKUP($B:$B,BS!$A:$D,$2:$2,0),0)</f>
        <v>0</v>
      </c>
      <c r="G705" s="217">
        <f>IF(ISNUMBER(VLOOKUP($B:$B,BS!$A:$D,$2:$2,0)),VLOOKUP($B:$B,BS!$A:$D,$2:$2,0),0)</f>
        <v>0</v>
      </c>
      <c r="H705" s="207">
        <f>IF(ISNUMBER(VLOOKUP($B:$B,'BS(과거)'!$A:$F,$2:$2,0)),VLOOKUP($B:$B,'BS(과거)'!$A:$F,$2:$2,0),0)</f>
        <v>0</v>
      </c>
      <c r="I705" s="207">
        <f>IF(ISNUMBER(VLOOKUP($B:$B,'BS(과거)'!$A:$F,$2:$2,0)),VLOOKUP($B:$B,'BS(과거)'!$A:$F,$2:$2,0),0)</f>
        <v>0</v>
      </c>
      <c r="J705" s="207">
        <f>IF(ISNUMBER(VLOOKUP($B:$B,'BS(과거)'!$A:$F,$2:$2,0)),VLOOKUP($B:$B,'BS(과거)'!$A:$F,$2:$2,0),0)</f>
        <v>0</v>
      </c>
      <c r="K705" s="207">
        <f>IF(ISNUMBER(VLOOKUP($B:$B,'BS(과거)'!$A:$F,$2:$2,0)),VLOOKUP($B:$B,'BS(과거)'!$A:$F,$2:$2,0),0)</f>
        <v>0</v>
      </c>
      <c r="L705" s="207">
        <f>IF(ISNUMBER(VLOOKUP($B:$B,'BS(과거)'!$A:$F,$2:$2,0)),VLOOKUP($B:$B,'BS(과거)'!$A:$F,$2:$2,0),0)</f>
        <v>0</v>
      </c>
      <c r="N705" s="207">
        <f>IF(ISNUMBER(VLOOKUP($B:$B,'BS(분기)'!$A:$F,$2:$2,0)),VLOOKUP($B:$B,'BS(분기)'!$A:$F,$2:$2,0),0)</f>
        <v>0</v>
      </c>
      <c r="O705" s="207">
        <f>IF(ISNUMBER(VLOOKUP($B:$B,'BS(분기)'!$A:$F,$2:$2,0)),VLOOKUP($B:$B,'BS(분기)'!$A:$F,$2:$2,0),0)</f>
        <v>0</v>
      </c>
      <c r="P705" s="207">
        <f>IF(ISNUMBER(VLOOKUP($B:$B,'BS(분기)'!$A:$F,$2:$2,0)),VLOOKUP($B:$B,'BS(분기)'!$A:$F,$2:$2,0),0)</f>
        <v>0</v>
      </c>
      <c r="Q705" s="207">
        <f>IF(ISNUMBER(VLOOKUP($B:$B,'BS(분기)'!$A:$F,$2:$2,0)),VLOOKUP($B:$B,'BS(분기)'!$A:$F,$2:$2,0),0)</f>
        <v>0</v>
      </c>
      <c r="R705" s="207">
        <f>IF(ISNUMBER(VLOOKUP($B:$B,'BS(분기)'!$A:$F,$2:$2,0)),VLOOKUP($B:$B,'BS(분기)'!$A:$F,$2:$2,0),0)</f>
        <v>0</v>
      </c>
    </row>
    <row r="706" spans="1:18" s="192" customFormat="1" ht="12">
      <c r="A706" s="202">
        <v>118111</v>
      </c>
      <c r="B706" s="195" t="s">
        <v>591</v>
      </c>
      <c r="C706" s="217">
        <f>IF(ISNUMBER(VLOOKUP($B:$B,BS!$A:$D,$2:$2,0)),VLOOKUP($B:$B,BS!$A:$D,$2:$2,0),0)</f>
        <v>0</v>
      </c>
      <c r="D706" s="217">
        <f>IF(ISNUMBER(VLOOKUP($B:$B,BS!$A:$D,$2:$2,0)),VLOOKUP($B:$B,BS!$A:$D,$2:$2,0),0)</f>
        <v>0</v>
      </c>
      <c r="E706" s="217">
        <f>IF(ISNUMBER(VLOOKUP($B:$B,BS!$A:$D,$2:$2,0)),VLOOKUP($B:$B,BS!$A:$D,$2:$2,0),0)</f>
        <v>0</v>
      </c>
      <c r="F706" s="217">
        <f>IF(ISNUMBER(VLOOKUP($B:$B,BS!$A:$D,$2:$2,0)),VLOOKUP($B:$B,BS!$A:$D,$2:$2,0),0)</f>
        <v>0</v>
      </c>
      <c r="G706" s="217">
        <f>IF(ISNUMBER(VLOOKUP($B:$B,BS!$A:$D,$2:$2,0)),VLOOKUP($B:$B,BS!$A:$D,$2:$2,0),0)</f>
        <v>0</v>
      </c>
      <c r="H706" s="207">
        <f>IF(ISNUMBER(VLOOKUP($B:$B,'BS(과거)'!$A:$F,$2:$2,0)),VLOOKUP($B:$B,'BS(과거)'!$A:$F,$2:$2,0),0)</f>
        <v>0</v>
      </c>
      <c r="I706" s="207">
        <f>IF(ISNUMBER(VLOOKUP($B:$B,'BS(과거)'!$A:$F,$2:$2,0)),VLOOKUP($B:$B,'BS(과거)'!$A:$F,$2:$2,0),0)</f>
        <v>0</v>
      </c>
      <c r="J706" s="207">
        <f>IF(ISNUMBER(VLOOKUP($B:$B,'BS(과거)'!$A:$F,$2:$2,0)),VLOOKUP($B:$B,'BS(과거)'!$A:$F,$2:$2,0),0)</f>
        <v>0</v>
      </c>
      <c r="K706" s="207">
        <f>IF(ISNUMBER(VLOOKUP($B:$B,'BS(과거)'!$A:$F,$2:$2,0)),VLOOKUP($B:$B,'BS(과거)'!$A:$F,$2:$2,0),0)</f>
        <v>0</v>
      </c>
      <c r="L706" s="207">
        <f>IF(ISNUMBER(VLOOKUP($B:$B,'BS(과거)'!$A:$F,$2:$2,0)),VLOOKUP($B:$B,'BS(과거)'!$A:$F,$2:$2,0),0)</f>
        <v>0</v>
      </c>
      <c r="N706" s="207">
        <f>IF(ISNUMBER(VLOOKUP($B:$B,'BS(분기)'!$A:$F,$2:$2,0)),VLOOKUP($B:$B,'BS(분기)'!$A:$F,$2:$2,0),0)</f>
        <v>0</v>
      </c>
      <c r="O706" s="207">
        <f>IF(ISNUMBER(VLOOKUP($B:$B,'BS(분기)'!$A:$F,$2:$2,0)),VLOOKUP($B:$B,'BS(분기)'!$A:$F,$2:$2,0),0)</f>
        <v>0</v>
      </c>
      <c r="P706" s="207">
        <f>IF(ISNUMBER(VLOOKUP($B:$B,'BS(분기)'!$A:$F,$2:$2,0)),VLOOKUP($B:$B,'BS(분기)'!$A:$F,$2:$2,0),0)</f>
        <v>0</v>
      </c>
      <c r="Q706" s="207">
        <f>IF(ISNUMBER(VLOOKUP($B:$B,'BS(분기)'!$A:$F,$2:$2,0)),VLOOKUP($B:$B,'BS(분기)'!$A:$F,$2:$2,0),0)</f>
        <v>0</v>
      </c>
      <c r="R706" s="207">
        <f>IF(ISNUMBER(VLOOKUP($B:$B,'BS(분기)'!$A:$F,$2:$2,0)),VLOOKUP($B:$B,'BS(분기)'!$A:$F,$2:$2,0),0)</f>
        <v>0</v>
      </c>
    </row>
    <row r="707" spans="1:18" s="192" customFormat="1" ht="12">
      <c r="A707" s="202">
        <v>118120</v>
      </c>
      <c r="B707" s="195" t="s">
        <v>592</v>
      </c>
      <c r="C707" s="217">
        <f>IF(ISNUMBER(VLOOKUP($B:$B,BS!$A:$D,$2:$2,0)),VLOOKUP($B:$B,BS!$A:$D,$2:$2,0),0)</f>
        <v>0</v>
      </c>
      <c r="D707" s="217">
        <f>IF(ISNUMBER(VLOOKUP($B:$B,BS!$A:$D,$2:$2,0)),VLOOKUP($B:$B,BS!$A:$D,$2:$2,0),0)</f>
        <v>0</v>
      </c>
      <c r="E707" s="217">
        <f>IF(ISNUMBER(VLOOKUP($B:$B,BS!$A:$D,$2:$2,0)),VLOOKUP($B:$B,BS!$A:$D,$2:$2,0),0)</f>
        <v>0</v>
      </c>
      <c r="F707" s="217">
        <f>IF(ISNUMBER(VLOOKUP($B:$B,BS!$A:$D,$2:$2,0)),VLOOKUP($B:$B,BS!$A:$D,$2:$2,0),0)</f>
        <v>0</v>
      </c>
      <c r="G707" s="217">
        <f>IF(ISNUMBER(VLOOKUP($B:$B,BS!$A:$D,$2:$2,0)),VLOOKUP($B:$B,BS!$A:$D,$2:$2,0),0)</f>
        <v>0</v>
      </c>
      <c r="H707" s="207">
        <f>IF(ISNUMBER(VLOOKUP($B:$B,'BS(과거)'!$A:$F,$2:$2,0)),VLOOKUP($B:$B,'BS(과거)'!$A:$F,$2:$2,0),0)</f>
        <v>0</v>
      </c>
      <c r="I707" s="207">
        <f>IF(ISNUMBER(VLOOKUP($B:$B,'BS(과거)'!$A:$F,$2:$2,0)),VLOOKUP($B:$B,'BS(과거)'!$A:$F,$2:$2,0),0)</f>
        <v>0</v>
      </c>
      <c r="J707" s="207">
        <f>IF(ISNUMBER(VLOOKUP($B:$B,'BS(과거)'!$A:$F,$2:$2,0)),VLOOKUP($B:$B,'BS(과거)'!$A:$F,$2:$2,0),0)</f>
        <v>0</v>
      </c>
      <c r="K707" s="207">
        <f>IF(ISNUMBER(VLOOKUP($B:$B,'BS(과거)'!$A:$F,$2:$2,0)),VLOOKUP($B:$B,'BS(과거)'!$A:$F,$2:$2,0),0)</f>
        <v>0</v>
      </c>
      <c r="L707" s="207">
        <f>IF(ISNUMBER(VLOOKUP($B:$B,'BS(과거)'!$A:$F,$2:$2,0)),VLOOKUP($B:$B,'BS(과거)'!$A:$F,$2:$2,0),0)</f>
        <v>0</v>
      </c>
      <c r="N707" s="207">
        <f>IF(ISNUMBER(VLOOKUP($B:$B,'BS(분기)'!$A:$F,$2:$2,0)),VLOOKUP($B:$B,'BS(분기)'!$A:$F,$2:$2,0),0)</f>
        <v>0</v>
      </c>
      <c r="O707" s="207">
        <f>IF(ISNUMBER(VLOOKUP($B:$B,'BS(분기)'!$A:$F,$2:$2,0)),VLOOKUP($B:$B,'BS(분기)'!$A:$F,$2:$2,0),0)</f>
        <v>0</v>
      </c>
      <c r="P707" s="207">
        <f>IF(ISNUMBER(VLOOKUP($B:$B,'BS(분기)'!$A:$F,$2:$2,0)),VLOOKUP($B:$B,'BS(분기)'!$A:$F,$2:$2,0),0)</f>
        <v>0</v>
      </c>
      <c r="Q707" s="207">
        <f>IF(ISNUMBER(VLOOKUP($B:$B,'BS(분기)'!$A:$F,$2:$2,0)),VLOOKUP($B:$B,'BS(분기)'!$A:$F,$2:$2,0),0)</f>
        <v>0</v>
      </c>
      <c r="R707" s="207">
        <f>IF(ISNUMBER(VLOOKUP($B:$B,'BS(분기)'!$A:$F,$2:$2,0)),VLOOKUP($B:$B,'BS(분기)'!$A:$F,$2:$2,0),0)</f>
        <v>0</v>
      </c>
    </row>
    <row r="708" spans="1:18" s="192" customFormat="1" ht="12">
      <c r="A708" s="202">
        <v>118121</v>
      </c>
      <c r="B708" s="195" t="s">
        <v>851</v>
      </c>
      <c r="C708" s="217">
        <f>IF(ISNUMBER(VLOOKUP($B:$B,BS!$A:$D,$2:$2,0)),VLOOKUP($B:$B,BS!$A:$D,$2:$2,0),0)</f>
        <v>0</v>
      </c>
      <c r="D708" s="217">
        <f>IF(ISNUMBER(VLOOKUP($B:$B,BS!$A:$D,$2:$2,0)),VLOOKUP($B:$B,BS!$A:$D,$2:$2,0),0)</f>
        <v>0</v>
      </c>
      <c r="E708" s="217">
        <f>IF(ISNUMBER(VLOOKUP($B:$B,BS!$A:$D,$2:$2,0)),VLOOKUP($B:$B,BS!$A:$D,$2:$2,0),0)</f>
        <v>0</v>
      </c>
      <c r="F708" s="217">
        <f>IF(ISNUMBER(VLOOKUP($B:$B,BS!$A:$D,$2:$2,0)),VLOOKUP($B:$B,BS!$A:$D,$2:$2,0),0)</f>
        <v>0</v>
      </c>
      <c r="G708" s="217">
        <f>IF(ISNUMBER(VLOOKUP($B:$B,BS!$A:$D,$2:$2,0)),VLOOKUP($B:$B,BS!$A:$D,$2:$2,0),0)</f>
        <v>0</v>
      </c>
      <c r="H708" s="207">
        <f>IF(ISNUMBER(VLOOKUP($B:$B,'BS(과거)'!$A:$F,$2:$2,0)),VLOOKUP($B:$B,'BS(과거)'!$A:$F,$2:$2,0),0)</f>
        <v>0</v>
      </c>
      <c r="I708" s="207">
        <f>IF(ISNUMBER(VLOOKUP($B:$B,'BS(과거)'!$A:$F,$2:$2,0)),VLOOKUP($B:$B,'BS(과거)'!$A:$F,$2:$2,0),0)</f>
        <v>0</v>
      </c>
      <c r="J708" s="207">
        <f>IF(ISNUMBER(VLOOKUP($B:$B,'BS(과거)'!$A:$F,$2:$2,0)),VLOOKUP($B:$B,'BS(과거)'!$A:$F,$2:$2,0),0)</f>
        <v>0</v>
      </c>
      <c r="K708" s="207">
        <f>IF(ISNUMBER(VLOOKUP($B:$B,'BS(과거)'!$A:$F,$2:$2,0)),VLOOKUP($B:$B,'BS(과거)'!$A:$F,$2:$2,0),0)</f>
        <v>0</v>
      </c>
      <c r="L708" s="207">
        <f>IF(ISNUMBER(VLOOKUP($B:$B,'BS(과거)'!$A:$F,$2:$2,0)),VLOOKUP($B:$B,'BS(과거)'!$A:$F,$2:$2,0),0)</f>
        <v>0</v>
      </c>
      <c r="N708" s="207">
        <f>IF(ISNUMBER(VLOOKUP($B:$B,'BS(분기)'!$A:$F,$2:$2,0)),VLOOKUP($B:$B,'BS(분기)'!$A:$F,$2:$2,0),0)</f>
        <v>0</v>
      </c>
      <c r="O708" s="207">
        <f>IF(ISNUMBER(VLOOKUP($B:$B,'BS(분기)'!$A:$F,$2:$2,0)),VLOOKUP($B:$B,'BS(분기)'!$A:$F,$2:$2,0),0)</f>
        <v>0</v>
      </c>
      <c r="P708" s="207">
        <f>IF(ISNUMBER(VLOOKUP($B:$B,'BS(분기)'!$A:$F,$2:$2,0)),VLOOKUP($B:$B,'BS(분기)'!$A:$F,$2:$2,0),0)</f>
        <v>0</v>
      </c>
      <c r="Q708" s="207">
        <f>IF(ISNUMBER(VLOOKUP($B:$B,'BS(분기)'!$A:$F,$2:$2,0)),VLOOKUP($B:$B,'BS(분기)'!$A:$F,$2:$2,0),0)</f>
        <v>0</v>
      </c>
      <c r="R708" s="207">
        <f>IF(ISNUMBER(VLOOKUP($B:$B,'BS(분기)'!$A:$F,$2:$2,0)),VLOOKUP($B:$B,'BS(분기)'!$A:$F,$2:$2,0),0)</f>
        <v>0</v>
      </c>
    </row>
    <row r="709" spans="1:18" s="192" customFormat="1" ht="12">
      <c r="A709" s="201">
        <v>118200</v>
      </c>
      <c r="B709" s="194" t="s">
        <v>593</v>
      </c>
      <c r="C709" s="217">
        <f>IF(ISNUMBER(VLOOKUP($B:$B,BS!$A:$D,$2:$2,0)),VLOOKUP($B:$B,BS!$A:$D,$2:$2,0),0)</f>
        <v>0</v>
      </c>
      <c r="D709" s="217">
        <f>IF(ISNUMBER(VLOOKUP($B:$B,BS!$A:$D,$2:$2,0)),VLOOKUP($B:$B,BS!$A:$D,$2:$2,0),0)</f>
        <v>0</v>
      </c>
      <c r="E709" s="217">
        <f>IF(ISNUMBER(VLOOKUP($B:$B,BS!$A:$D,$2:$2,0)),VLOOKUP($B:$B,BS!$A:$D,$2:$2,0),0)</f>
        <v>0</v>
      </c>
      <c r="F709" s="217">
        <f>IF(ISNUMBER(VLOOKUP($B:$B,BS!$A:$D,$2:$2,0)),VLOOKUP($B:$B,BS!$A:$D,$2:$2,0),0)</f>
        <v>0</v>
      </c>
      <c r="G709" s="217">
        <f>IF(ISNUMBER(VLOOKUP($B:$B,BS!$A:$D,$2:$2,0)),VLOOKUP($B:$B,BS!$A:$D,$2:$2,0),0)</f>
        <v>0</v>
      </c>
      <c r="H709" s="207">
        <f>IF(ISNUMBER(VLOOKUP($B:$B,'BS(과거)'!$A:$F,$2:$2,0)),VLOOKUP($B:$B,'BS(과거)'!$A:$F,$2:$2,0),0)</f>
        <v>0</v>
      </c>
      <c r="I709" s="207">
        <f>IF(ISNUMBER(VLOOKUP($B:$B,'BS(과거)'!$A:$F,$2:$2,0)),VLOOKUP($B:$B,'BS(과거)'!$A:$F,$2:$2,0),0)</f>
        <v>0</v>
      </c>
      <c r="J709" s="207">
        <f>IF(ISNUMBER(VLOOKUP($B:$B,'BS(과거)'!$A:$F,$2:$2,0)),VLOOKUP($B:$B,'BS(과거)'!$A:$F,$2:$2,0),0)</f>
        <v>0</v>
      </c>
      <c r="K709" s="207">
        <f>IF(ISNUMBER(VLOOKUP($B:$B,'BS(과거)'!$A:$F,$2:$2,0)),VLOOKUP($B:$B,'BS(과거)'!$A:$F,$2:$2,0),0)</f>
        <v>0</v>
      </c>
      <c r="L709" s="207">
        <f>IF(ISNUMBER(VLOOKUP($B:$B,'BS(과거)'!$A:$F,$2:$2,0)),VLOOKUP($B:$B,'BS(과거)'!$A:$F,$2:$2,0),0)</f>
        <v>0</v>
      </c>
      <c r="N709" s="207">
        <f>IF(ISNUMBER(VLOOKUP($B:$B,'BS(분기)'!$A:$F,$2:$2,0)),VLOOKUP($B:$B,'BS(분기)'!$A:$F,$2:$2,0),0)</f>
        <v>0</v>
      </c>
      <c r="O709" s="207">
        <f>IF(ISNUMBER(VLOOKUP($B:$B,'BS(분기)'!$A:$F,$2:$2,0)),VLOOKUP($B:$B,'BS(분기)'!$A:$F,$2:$2,0),0)</f>
        <v>0</v>
      </c>
      <c r="P709" s="207">
        <f>IF(ISNUMBER(VLOOKUP($B:$B,'BS(분기)'!$A:$F,$2:$2,0)),VLOOKUP($B:$B,'BS(분기)'!$A:$F,$2:$2,0),0)</f>
        <v>0</v>
      </c>
      <c r="Q709" s="207">
        <f>IF(ISNUMBER(VLOOKUP($B:$B,'BS(분기)'!$A:$F,$2:$2,0)),VLOOKUP($B:$B,'BS(분기)'!$A:$F,$2:$2,0),0)</f>
        <v>0</v>
      </c>
      <c r="R709" s="207">
        <f>IF(ISNUMBER(VLOOKUP($B:$B,'BS(분기)'!$A:$F,$2:$2,0)),VLOOKUP($B:$B,'BS(분기)'!$A:$F,$2:$2,0),0)</f>
        <v>0</v>
      </c>
    </row>
    <row r="710" spans="1:18" s="192" customFormat="1" ht="12">
      <c r="A710" s="202">
        <v>118210</v>
      </c>
      <c r="B710" s="195" t="s">
        <v>852</v>
      </c>
      <c r="C710" s="217">
        <f>IF(ISNUMBER(VLOOKUP($B:$B,BS!$A:$D,$2:$2,0)),VLOOKUP($B:$B,BS!$A:$D,$2:$2,0),0)</f>
        <v>0</v>
      </c>
      <c r="D710" s="217">
        <f>IF(ISNUMBER(VLOOKUP($B:$B,BS!$A:$D,$2:$2,0)),VLOOKUP($B:$B,BS!$A:$D,$2:$2,0),0)</f>
        <v>0</v>
      </c>
      <c r="E710" s="217">
        <f>IF(ISNUMBER(VLOOKUP($B:$B,BS!$A:$D,$2:$2,0)),VLOOKUP($B:$B,BS!$A:$D,$2:$2,0),0)</f>
        <v>0</v>
      </c>
      <c r="F710" s="217">
        <f>IF(ISNUMBER(VLOOKUP($B:$B,BS!$A:$D,$2:$2,0)),VLOOKUP($B:$B,BS!$A:$D,$2:$2,0),0)</f>
        <v>0</v>
      </c>
      <c r="G710" s="217">
        <f>IF(ISNUMBER(VLOOKUP($B:$B,BS!$A:$D,$2:$2,0)),VLOOKUP($B:$B,BS!$A:$D,$2:$2,0),0)</f>
        <v>0</v>
      </c>
      <c r="H710" s="207">
        <f>IF(ISNUMBER(VLOOKUP($B:$B,'BS(과거)'!$A:$F,$2:$2,0)),VLOOKUP($B:$B,'BS(과거)'!$A:$F,$2:$2,0),0)</f>
        <v>0</v>
      </c>
      <c r="I710" s="207">
        <f>IF(ISNUMBER(VLOOKUP($B:$B,'BS(과거)'!$A:$F,$2:$2,0)),VLOOKUP($B:$B,'BS(과거)'!$A:$F,$2:$2,0),0)</f>
        <v>0</v>
      </c>
      <c r="J710" s="207">
        <f>IF(ISNUMBER(VLOOKUP($B:$B,'BS(과거)'!$A:$F,$2:$2,0)),VLOOKUP($B:$B,'BS(과거)'!$A:$F,$2:$2,0),0)</f>
        <v>0</v>
      </c>
      <c r="K710" s="207">
        <f>IF(ISNUMBER(VLOOKUP($B:$B,'BS(과거)'!$A:$F,$2:$2,0)),VLOOKUP($B:$B,'BS(과거)'!$A:$F,$2:$2,0),0)</f>
        <v>0</v>
      </c>
      <c r="L710" s="207">
        <f>IF(ISNUMBER(VLOOKUP($B:$B,'BS(과거)'!$A:$F,$2:$2,0)),VLOOKUP($B:$B,'BS(과거)'!$A:$F,$2:$2,0),0)</f>
        <v>0</v>
      </c>
      <c r="N710" s="207">
        <f>IF(ISNUMBER(VLOOKUP($B:$B,'BS(분기)'!$A:$F,$2:$2,0)),VLOOKUP($B:$B,'BS(분기)'!$A:$F,$2:$2,0),0)</f>
        <v>0</v>
      </c>
      <c r="O710" s="207">
        <f>IF(ISNUMBER(VLOOKUP($B:$B,'BS(분기)'!$A:$F,$2:$2,0)),VLOOKUP($B:$B,'BS(분기)'!$A:$F,$2:$2,0),0)</f>
        <v>0</v>
      </c>
      <c r="P710" s="207">
        <f>IF(ISNUMBER(VLOOKUP($B:$B,'BS(분기)'!$A:$F,$2:$2,0)),VLOOKUP($B:$B,'BS(분기)'!$A:$F,$2:$2,0),0)</f>
        <v>0</v>
      </c>
      <c r="Q710" s="207">
        <f>IF(ISNUMBER(VLOOKUP($B:$B,'BS(분기)'!$A:$F,$2:$2,0)),VLOOKUP($B:$B,'BS(분기)'!$A:$F,$2:$2,0),0)</f>
        <v>0</v>
      </c>
      <c r="R710" s="207">
        <f>IF(ISNUMBER(VLOOKUP($B:$B,'BS(분기)'!$A:$F,$2:$2,0)),VLOOKUP($B:$B,'BS(분기)'!$A:$F,$2:$2,0),0)</f>
        <v>0</v>
      </c>
    </row>
    <row r="711" spans="1:18" s="192" customFormat="1" ht="12">
      <c r="A711" s="203">
        <v>118211</v>
      </c>
      <c r="B711" s="196" t="s">
        <v>853</v>
      </c>
      <c r="C711" s="217">
        <f>IF(ISNUMBER(VLOOKUP($B:$B,BS!$A:$D,$2:$2,0)),VLOOKUP($B:$B,BS!$A:$D,$2:$2,0),0)</f>
        <v>0</v>
      </c>
      <c r="D711" s="217">
        <f>IF(ISNUMBER(VLOOKUP($B:$B,BS!$A:$D,$2:$2,0)),VLOOKUP($B:$B,BS!$A:$D,$2:$2,0),0)</f>
        <v>0</v>
      </c>
      <c r="E711" s="217">
        <f>IF(ISNUMBER(VLOOKUP($B:$B,BS!$A:$D,$2:$2,0)),VLOOKUP($B:$B,BS!$A:$D,$2:$2,0),0)</f>
        <v>0</v>
      </c>
      <c r="F711" s="217">
        <f>IF(ISNUMBER(VLOOKUP($B:$B,BS!$A:$D,$2:$2,0)),VLOOKUP($B:$B,BS!$A:$D,$2:$2,0),0)</f>
        <v>0</v>
      </c>
      <c r="G711" s="217">
        <f>IF(ISNUMBER(VLOOKUP($B:$B,BS!$A:$D,$2:$2,0)),VLOOKUP($B:$B,BS!$A:$D,$2:$2,0),0)</f>
        <v>0</v>
      </c>
      <c r="H711" s="207">
        <f>IF(ISNUMBER(VLOOKUP($B:$B,'BS(과거)'!$A:$F,$2:$2,0)),VLOOKUP($B:$B,'BS(과거)'!$A:$F,$2:$2,0),0)</f>
        <v>0</v>
      </c>
      <c r="I711" s="207">
        <f>IF(ISNUMBER(VLOOKUP($B:$B,'BS(과거)'!$A:$F,$2:$2,0)),VLOOKUP($B:$B,'BS(과거)'!$A:$F,$2:$2,0),0)</f>
        <v>0</v>
      </c>
      <c r="J711" s="207">
        <f>IF(ISNUMBER(VLOOKUP($B:$B,'BS(과거)'!$A:$F,$2:$2,0)),VLOOKUP($B:$B,'BS(과거)'!$A:$F,$2:$2,0),0)</f>
        <v>0</v>
      </c>
      <c r="K711" s="207">
        <f>IF(ISNUMBER(VLOOKUP($B:$B,'BS(과거)'!$A:$F,$2:$2,0)),VLOOKUP($B:$B,'BS(과거)'!$A:$F,$2:$2,0),0)</f>
        <v>0</v>
      </c>
      <c r="L711" s="207">
        <f>IF(ISNUMBER(VLOOKUP($B:$B,'BS(과거)'!$A:$F,$2:$2,0)),VLOOKUP($B:$B,'BS(과거)'!$A:$F,$2:$2,0),0)</f>
        <v>0</v>
      </c>
      <c r="N711" s="207">
        <f>IF(ISNUMBER(VLOOKUP($B:$B,'BS(분기)'!$A:$F,$2:$2,0)),VLOOKUP($B:$B,'BS(분기)'!$A:$F,$2:$2,0),0)</f>
        <v>0</v>
      </c>
      <c r="O711" s="207">
        <f>IF(ISNUMBER(VLOOKUP($B:$B,'BS(분기)'!$A:$F,$2:$2,0)),VLOOKUP($B:$B,'BS(분기)'!$A:$F,$2:$2,0),0)</f>
        <v>0</v>
      </c>
      <c r="P711" s="207">
        <f>IF(ISNUMBER(VLOOKUP($B:$B,'BS(분기)'!$A:$F,$2:$2,0)),VLOOKUP($B:$B,'BS(분기)'!$A:$F,$2:$2,0),0)</f>
        <v>0</v>
      </c>
      <c r="Q711" s="207">
        <f>IF(ISNUMBER(VLOOKUP($B:$B,'BS(분기)'!$A:$F,$2:$2,0)),VLOOKUP($B:$B,'BS(분기)'!$A:$F,$2:$2,0),0)</f>
        <v>0</v>
      </c>
      <c r="R711" s="207">
        <f>IF(ISNUMBER(VLOOKUP($B:$B,'BS(분기)'!$A:$F,$2:$2,0)),VLOOKUP($B:$B,'BS(분기)'!$A:$F,$2:$2,0),0)</f>
        <v>0</v>
      </c>
    </row>
    <row r="712" spans="1:18" s="192" customFormat="1" ht="12">
      <c r="A712" s="203">
        <v>118217</v>
      </c>
      <c r="B712" s="196" t="s">
        <v>1310</v>
      </c>
      <c r="C712" s="217">
        <f>IF(ISNUMBER(VLOOKUP($B:$B,BS!$A:$D,$2:$2,0)),VLOOKUP($B:$B,BS!$A:$D,$2:$2,0),0)</f>
        <v>0</v>
      </c>
      <c r="D712" s="217">
        <f>IF(ISNUMBER(VLOOKUP($B:$B,BS!$A:$D,$2:$2,0)),VLOOKUP($B:$B,BS!$A:$D,$2:$2,0),0)</f>
        <v>0</v>
      </c>
      <c r="E712" s="217">
        <f>IF(ISNUMBER(VLOOKUP($B:$B,BS!$A:$D,$2:$2,0)),VLOOKUP($B:$B,BS!$A:$D,$2:$2,0),0)</f>
        <v>0</v>
      </c>
      <c r="F712" s="217">
        <f>IF(ISNUMBER(VLOOKUP($B:$B,BS!$A:$D,$2:$2,0)),VLOOKUP($B:$B,BS!$A:$D,$2:$2,0),0)</f>
        <v>0</v>
      </c>
      <c r="G712" s="217">
        <f>IF(ISNUMBER(VLOOKUP($B:$B,BS!$A:$D,$2:$2,0)),VLOOKUP($B:$B,BS!$A:$D,$2:$2,0),0)</f>
        <v>0</v>
      </c>
      <c r="H712" s="207">
        <f>IF(ISNUMBER(VLOOKUP($B:$B,'BS(과거)'!$A:$F,$2:$2,0)),VLOOKUP($B:$B,'BS(과거)'!$A:$F,$2:$2,0),0)</f>
        <v>0</v>
      </c>
      <c r="I712" s="207">
        <f>IF(ISNUMBER(VLOOKUP($B:$B,'BS(과거)'!$A:$F,$2:$2,0)),VLOOKUP($B:$B,'BS(과거)'!$A:$F,$2:$2,0),0)</f>
        <v>0</v>
      </c>
      <c r="J712" s="207">
        <f>IF(ISNUMBER(VLOOKUP($B:$B,'BS(과거)'!$A:$F,$2:$2,0)),VLOOKUP($B:$B,'BS(과거)'!$A:$F,$2:$2,0),0)</f>
        <v>0</v>
      </c>
      <c r="K712" s="207">
        <f>IF(ISNUMBER(VLOOKUP($B:$B,'BS(과거)'!$A:$F,$2:$2,0)),VLOOKUP($B:$B,'BS(과거)'!$A:$F,$2:$2,0),0)</f>
        <v>0</v>
      </c>
      <c r="L712" s="207">
        <f>IF(ISNUMBER(VLOOKUP($B:$B,'BS(과거)'!$A:$F,$2:$2,0)),VLOOKUP($B:$B,'BS(과거)'!$A:$F,$2:$2,0),0)</f>
        <v>0</v>
      </c>
      <c r="N712" s="207">
        <f>IF(ISNUMBER(VLOOKUP($B:$B,'BS(분기)'!$A:$F,$2:$2,0)),VLOOKUP($B:$B,'BS(분기)'!$A:$F,$2:$2,0),0)</f>
        <v>0</v>
      </c>
      <c r="O712" s="207">
        <f>IF(ISNUMBER(VLOOKUP($B:$B,'BS(분기)'!$A:$F,$2:$2,0)),VLOOKUP($B:$B,'BS(분기)'!$A:$F,$2:$2,0),0)</f>
        <v>0</v>
      </c>
      <c r="P712" s="207">
        <f>IF(ISNUMBER(VLOOKUP($B:$B,'BS(분기)'!$A:$F,$2:$2,0)),VLOOKUP($B:$B,'BS(분기)'!$A:$F,$2:$2,0),0)</f>
        <v>0</v>
      </c>
      <c r="Q712" s="207">
        <f>IF(ISNUMBER(VLOOKUP($B:$B,'BS(분기)'!$A:$F,$2:$2,0)),VLOOKUP($B:$B,'BS(분기)'!$A:$F,$2:$2,0),0)</f>
        <v>0</v>
      </c>
      <c r="R712" s="207">
        <f>IF(ISNUMBER(VLOOKUP($B:$B,'BS(분기)'!$A:$F,$2:$2,0)),VLOOKUP($B:$B,'BS(분기)'!$A:$F,$2:$2,0),0)</f>
        <v>0</v>
      </c>
    </row>
    <row r="713" spans="1:18" s="192" customFormat="1" ht="12">
      <c r="A713" s="203">
        <v>118212</v>
      </c>
      <c r="B713" s="196" t="s">
        <v>1311</v>
      </c>
      <c r="C713" s="217">
        <f>IF(ISNUMBER(VLOOKUP($B:$B,BS!$A:$D,$2:$2,0)),VLOOKUP($B:$B,BS!$A:$D,$2:$2,0),0)</f>
        <v>0</v>
      </c>
      <c r="D713" s="217">
        <f>IF(ISNUMBER(VLOOKUP($B:$B,BS!$A:$D,$2:$2,0)),VLOOKUP($B:$B,BS!$A:$D,$2:$2,0),0)</f>
        <v>0</v>
      </c>
      <c r="E713" s="217">
        <f>IF(ISNUMBER(VLOOKUP($B:$B,BS!$A:$D,$2:$2,0)),VLOOKUP($B:$B,BS!$A:$D,$2:$2,0),0)</f>
        <v>0</v>
      </c>
      <c r="F713" s="217">
        <f>IF(ISNUMBER(VLOOKUP($B:$B,BS!$A:$D,$2:$2,0)),VLOOKUP($B:$B,BS!$A:$D,$2:$2,0),0)</f>
        <v>0</v>
      </c>
      <c r="G713" s="217">
        <f>IF(ISNUMBER(VLOOKUP($B:$B,BS!$A:$D,$2:$2,0)),VLOOKUP($B:$B,BS!$A:$D,$2:$2,0),0)</f>
        <v>0</v>
      </c>
      <c r="H713" s="207">
        <f>IF(ISNUMBER(VLOOKUP($B:$B,'BS(과거)'!$A:$F,$2:$2,0)),VLOOKUP($B:$B,'BS(과거)'!$A:$F,$2:$2,0),0)</f>
        <v>0</v>
      </c>
      <c r="I713" s="207">
        <f>IF(ISNUMBER(VLOOKUP($B:$B,'BS(과거)'!$A:$F,$2:$2,0)),VLOOKUP($B:$B,'BS(과거)'!$A:$F,$2:$2,0),0)</f>
        <v>0</v>
      </c>
      <c r="J713" s="207">
        <f>IF(ISNUMBER(VLOOKUP($B:$B,'BS(과거)'!$A:$F,$2:$2,0)),VLOOKUP($B:$B,'BS(과거)'!$A:$F,$2:$2,0),0)</f>
        <v>0</v>
      </c>
      <c r="K713" s="207">
        <f>IF(ISNUMBER(VLOOKUP($B:$B,'BS(과거)'!$A:$F,$2:$2,0)),VLOOKUP($B:$B,'BS(과거)'!$A:$F,$2:$2,0),0)</f>
        <v>0</v>
      </c>
      <c r="L713" s="207">
        <f>IF(ISNUMBER(VLOOKUP($B:$B,'BS(과거)'!$A:$F,$2:$2,0)),VLOOKUP($B:$B,'BS(과거)'!$A:$F,$2:$2,0),0)</f>
        <v>0</v>
      </c>
      <c r="N713" s="207">
        <f>IF(ISNUMBER(VLOOKUP($B:$B,'BS(분기)'!$A:$F,$2:$2,0)),VLOOKUP($B:$B,'BS(분기)'!$A:$F,$2:$2,0),0)</f>
        <v>0</v>
      </c>
      <c r="O713" s="207">
        <f>IF(ISNUMBER(VLOOKUP($B:$B,'BS(분기)'!$A:$F,$2:$2,0)),VLOOKUP($B:$B,'BS(분기)'!$A:$F,$2:$2,0),0)</f>
        <v>0</v>
      </c>
      <c r="P713" s="207">
        <f>IF(ISNUMBER(VLOOKUP($B:$B,'BS(분기)'!$A:$F,$2:$2,0)),VLOOKUP($B:$B,'BS(분기)'!$A:$F,$2:$2,0),0)</f>
        <v>0</v>
      </c>
      <c r="Q713" s="207">
        <f>IF(ISNUMBER(VLOOKUP($B:$B,'BS(분기)'!$A:$F,$2:$2,0)),VLOOKUP($B:$B,'BS(분기)'!$A:$F,$2:$2,0),0)</f>
        <v>0</v>
      </c>
      <c r="R713" s="207">
        <f>IF(ISNUMBER(VLOOKUP($B:$B,'BS(분기)'!$A:$F,$2:$2,0)),VLOOKUP($B:$B,'BS(분기)'!$A:$F,$2:$2,0),0)</f>
        <v>0</v>
      </c>
    </row>
    <row r="714" spans="1:18" s="192" customFormat="1" ht="12">
      <c r="A714" s="203">
        <v>118213</v>
      </c>
      <c r="B714" s="196" t="s">
        <v>1312</v>
      </c>
      <c r="C714" s="217">
        <f>IF(ISNUMBER(VLOOKUP($B:$B,BS!$A:$D,$2:$2,0)),VLOOKUP($B:$B,BS!$A:$D,$2:$2,0),0)</f>
        <v>0</v>
      </c>
      <c r="D714" s="217">
        <f>IF(ISNUMBER(VLOOKUP($B:$B,BS!$A:$D,$2:$2,0)),VLOOKUP($B:$B,BS!$A:$D,$2:$2,0),0)</f>
        <v>0</v>
      </c>
      <c r="E714" s="217">
        <f>IF(ISNUMBER(VLOOKUP($B:$B,BS!$A:$D,$2:$2,0)),VLOOKUP($B:$B,BS!$A:$D,$2:$2,0),0)</f>
        <v>0</v>
      </c>
      <c r="F714" s="217">
        <f>IF(ISNUMBER(VLOOKUP($B:$B,BS!$A:$D,$2:$2,0)),VLOOKUP($B:$B,BS!$A:$D,$2:$2,0),0)</f>
        <v>0</v>
      </c>
      <c r="G714" s="217">
        <f>IF(ISNUMBER(VLOOKUP($B:$B,BS!$A:$D,$2:$2,0)),VLOOKUP($B:$B,BS!$A:$D,$2:$2,0),0)</f>
        <v>0</v>
      </c>
      <c r="H714" s="207">
        <f>IF(ISNUMBER(VLOOKUP($B:$B,'BS(과거)'!$A:$F,$2:$2,0)),VLOOKUP($B:$B,'BS(과거)'!$A:$F,$2:$2,0),0)</f>
        <v>0</v>
      </c>
      <c r="I714" s="207">
        <f>IF(ISNUMBER(VLOOKUP($B:$B,'BS(과거)'!$A:$F,$2:$2,0)),VLOOKUP($B:$B,'BS(과거)'!$A:$F,$2:$2,0),0)</f>
        <v>0</v>
      </c>
      <c r="J714" s="207">
        <f>IF(ISNUMBER(VLOOKUP($B:$B,'BS(과거)'!$A:$F,$2:$2,0)),VLOOKUP($B:$B,'BS(과거)'!$A:$F,$2:$2,0),0)</f>
        <v>0</v>
      </c>
      <c r="K714" s="207">
        <f>IF(ISNUMBER(VLOOKUP($B:$B,'BS(과거)'!$A:$F,$2:$2,0)),VLOOKUP($B:$B,'BS(과거)'!$A:$F,$2:$2,0),0)</f>
        <v>0</v>
      </c>
      <c r="L714" s="207">
        <f>IF(ISNUMBER(VLOOKUP($B:$B,'BS(과거)'!$A:$F,$2:$2,0)),VLOOKUP($B:$B,'BS(과거)'!$A:$F,$2:$2,0),0)</f>
        <v>0</v>
      </c>
      <c r="N714" s="207">
        <f>IF(ISNUMBER(VLOOKUP($B:$B,'BS(분기)'!$A:$F,$2:$2,0)),VLOOKUP($B:$B,'BS(분기)'!$A:$F,$2:$2,0),0)</f>
        <v>0</v>
      </c>
      <c r="O714" s="207">
        <f>IF(ISNUMBER(VLOOKUP($B:$B,'BS(분기)'!$A:$F,$2:$2,0)),VLOOKUP($B:$B,'BS(분기)'!$A:$F,$2:$2,0),0)</f>
        <v>0</v>
      </c>
      <c r="P714" s="207">
        <f>IF(ISNUMBER(VLOOKUP($B:$B,'BS(분기)'!$A:$F,$2:$2,0)),VLOOKUP($B:$B,'BS(분기)'!$A:$F,$2:$2,0),0)</f>
        <v>0</v>
      </c>
      <c r="Q714" s="207">
        <f>IF(ISNUMBER(VLOOKUP($B:$B,'BS(분기)'!$A:$F,$2:$2,0)),VLOOKUP($B:$B,'BS(분기)'!$A:$F,$2:$2,0),0)</f>
        <v>0</v>
      </c>
      <c r="R714" s="207">
        <f>IF(ISNUMBER(VLOOKUP($B:$B,'BS(분기)'!$A:$F,$2:$2,0)),VLOOKUP($B:$B,'BS(분기)'!$A:$F,$2:$2,0),0)</f>
        <v>0</v>
      </c>
    </row>
    <row r="715" spans="1:18" s="192" customFormat="1" ht="12">
      <c r="A715" s="203">
        <v>118230</v>
      </c>
      <c r="B715" s="196" t="s">
        <v>1313</v>
      </c>
      <c r="C715" s="217">
        <f>IF(ISNUMBER(VLOOKUP($B:$B,BS!$A:$D,$2:$2,0)),VLOOKUP($B:$B,BS!$A:$D,$2:$2,0),0)</f>
        <v>0</v>
      </c>
      <c r="D715" s="217">
        <f>IF(ISNUMBER(VLOOKUP($B:$B,BS!$A:$D,$2:$2,0)),VLOOKUP($B:$B,BS!$A:$D,$2:$2,0),0)</f>
        <v>0</v>
      </c>
      <c r="E715" s="217">
        <f>IF(ISNUMBER(VLOOKUP($B:$B,BS!$A:$D,$2:$2,0)),VLOOKUP($B:$B,BS!$A:$D,$2:$2,0),0)</f>
        <v>0</v>
      </c>
      <c r="F715" s="217">
        <f>IF(ISNUMBER(VLOOKUP($B:$B,BS!$A:$D,$2:$2,0)),VLOOKUP($B:$B,BS!$A:$D,$2:$2,0),0)</f>
        <v>0</v>
      </c>
      <c r="G715" s="217">
        <f>IF(ISNUMBER(VLOOKUP($B:$B,BS!$A:$D,$2:$2,0)),VLOOKUP($B:$B,BS!$A:$D,$2:$2,0),0)</f>
        <v>0</v>
      </c>
      <c r="H715" s="207">
        <f>IF(ISNUMBER(VLOOKUP($B:$B,'BS(과거)'!$A:$F,$2:$2,0)),VLOOKUP($B:$B,'BS(과거)'!$A:$F,$2:$2,0),0)</f>
        <v>0</v>
      </c>
      <c r="I715" s="207">
        <f>IF(ISNUMBER(VLOOKUP($B:$B,'BS(과거)'!$A:$F,$2:$2,0)),VLOOKUP($B:$B,'BS(과거)'!$A:$F,$2:$2,0),0)</f>
        <v>0</v>
      </c>
      <c r="J715" s="207">
        <f>IF(ISNUMBER(VLOOKUP($B:$B,'BS(과거)'!$A:$F,$2:$2,0)),VLOOKUP($B:$B,'BS(과거)'!$A:$F,$2:$2,0),0)</f>
        <v>0</v>
      </c>
      <c r="K715" s="207">
        <f>IF(ISNUMBER(VLOOKUP($B:$B,'BS(과거)'!$A:$F,$2:$2,0)),VLOOKUP($B:$B,'BS(과거)'!$A:$F,$2:$2,0),0)</f>
        <v>0</v>
      </c>
      <c r="L715" s="207">
        <f>IF(ISNUMBER(VLOOKUP($B:$B,'BS(과거)'!$A:$F,$2:$2,0)),VLOOKUP($B:$B,'BS(과거)'!$A:$F,$2:$2,0),0)</f>
        <v>0</v>
      </c>
      <c r="N715" s="207">
        <f>IF(ISNUMBER(VLOOKUP($B:$B,'BS(분기)'!$A:$F,$2:$2,0)),VLOOKUP($B:$B,'BS(분기)'!$A:$F,$2:$2,0),0)</f>
        <v>0</v>
      </c>
      <c r="O715" s="207">
        <f>IF(ISNUMBER(VLOOKUP($B:$B,'BS(분기)'!$A:$F,$2:$2,0)),VLOOKUP($B:$B,'BS(분기)'!$A:$F,$2:$2,0),0)</f>
        <v>0</v>
      </c>
      <c r="P715" s="207">
        <f>IF(ISNUMBER(VLOOKUP($B:$B,'BS(분기)'!$A:$F,$2:$2,0)),VLOOKUP($B:$B,'BS(분기)'!$A:$F,$2:$2,0),0)</f>
        <v>0</v>
      </c>
      <c r="Q715" s="207">
        <f>IF(ISNUMBER(VLOOKUP($B:$B,'BS(분기)'!$A:$F,$2:$2,0)),VLOOKUP($B:$B,'BS(분기)'!$A:$F,$2:$2,0),0)</f>
        <v>0</v>
      </c>
      <c r="R715" s="207">
        <f>IF(ISNUMBER(VLOOKUP($B:$B,'BS(분기)'!$A:$F,$2:$2,0)),VLOOKUP($B:$B,'BS(분기)'!$A:$F,$2:$2,0),0)</f>
        <v>0</v>
      </c>
    </row>
    <row r="716" spans="1:18" s="192" customFormat="1" ht="12">
      <c r="A716" s="204">
        <v>118231</v>
      </c>
      <c r="B716" s="197" t="s">
        <v>1314</v>
      </c>
      <c r="C716" s="217">
        <f>IF(ISNUMBER(VLOOKUP($B:$B,BS!$A:$D,$2:$2,0)),VLOOKUP($B:$B,BS!$A:$D,$2:$2,0),0)</f>
        <v>0</v>
      </c>
      <c r="D716" s="217">
        <f>IF(ISNUMBER(VLOOKUP($B:$B,BS!$A:$D,$2:$2,0)),VLOOKUP($B:$B,BS!$A:$D,$2:$2,0),0)</f>
        <v>0</v>
      </c>
      <c r="E716" s="217">
        <f>IF(ISNUMBER(VLOOKUP($B:$B,BS!$A:$D,$2:$2,0)),VLOOKUP($B:$B,BS!$A:$D,$2:$2,0),0)</f>
        <v>0</v>
      </c>
      <c r="F716" s="217">
        <f>IF(ISNUMBER(VLOOKUP($B:$B,BS!$A:$D,$2:$2,0)),VLOOKUP($B:$B,BS!$A:$D,$2:$2,0),0)</f>
        <v>0</v>
      </c>
      <c r="G716" s="217">
        <f>IF(ISNUMBER(VLOOKUP($B:$B,BS!$A:$D,$2:$2,0)),VLOOKUP($B:$B,BS!$A:$D,$2:$2,0),0)</f>
        <v>0</v>
      </c>
      <c r="H716" s="207">
        <f>IF(ISNUMBER(VLOOKUP($B:$B,'BS(과거)'!$A:$F,$2:$2,0)),VLOOKUP($B:$B,'BS(과거)'!$A:$F,$2:$2,0),0)</f>
        <v>0</v>
      </c>
      <c r="I716" s="207">
        <f>IF(ISNUMBER(VLOOKUP($B:$B,'BS(과거)'!$A:$F,$2:$2,0)),VLOOKUP($B:$B,'BS(과거)'!$A:$F,$2:$2,0),0)</f>
        <v>0</v>
      </c>
      <c r="J716" s="207">
        <f>IF(ISNUMBER(VLOOKUP($B:$B,'BS(과거)'!$A:$F,$2:$2,0)),VLOOKUP($B:$B,'BS(과거)'!$A:$F,$2:$2,0),0)</f>
        <v>0</v>
      </c>
      <c r="K716" s="207">
        <f>IF(ISNUMBER(VLOOKUP($B:$B,'BS(과거)'!$A:$F,$2:$2,0)),VLOOKUP($B:$B,'BS(과거)'!$A:$F,$2:$2,0),0)</f>
        <v>0</v>
      </c>
      <c r="L716" s="207">
        <f>IF(ISNUMBER(VLOOKUP($B:$B,'BS(과거)'!$A:$F,$2:$2,0)),VLOOKUP($B:$B,'BS(과거)'!$A:$F,$2:$2,0),0)</f>
        <v>0</v>
      </c>
      <c r="N716" s="207">
        <f>IF(ISNUMBER(VLOOKUP($B:$B,'BS(분기)'!$A:$F,$2:$2,0)),VLOOKUP($B:$B,'BS(분기)'!$A:$F,$2:$2,0),0)</f>
        <v>0</v>
      </c>
      <c r="O716" s="207">
        <f>IF(ISNUMBER(VLOOKUP($B:$B,'BS(분기)'!$A:$F,$2:$2,0)),VLOOKUP($B:$B,'BS(분기)'!$A:$F,$2:$2,0),0)</f>
        <v>0</v>
      </c>
      <c r="P716" s="207">
        <f>IF(ISNUMBER(VLOOKUP($B:$B,'BS(분기)'!$A:$F,$2:$2,0)),VLOOKUP($B:$B,'BS(분기)'!$A:$F,$2:$2,0),0)</f>
        <v>0</v>
      </c>
      <c r="Q716" s="207">
        <f>IF(ISNUMBER(VLOOKUP($B:$B,'BS(분기)'!$A:$F,$2:$2,0)),VLOOKUP($B:$B,'BS(분기)'!$A:$F,$2:$2,0),0)</f>
        <v>0</v>
      </c>
      <c r="R716" s="207">
        <f>IF(ISNUMBER(VLOOKUP($B:$B,'BS(분기)'!$A:$F,$2:$2,0)),VLOOKUP($B:$B,'BS(분기)'!$A:$F,$2:$2,0),0)</f>
        <v>0</v>
      </c>
    </row>
    <row r="717" spans="1:18" s="192" customFormat="1" ht="12">
      <c r="A717" s="204">
        <v>118232</v>
      </c>
      <c r="B717" s="197" t="s">
        <v>1315</v>
      </c>
      <c r="C717" s="217">
        <f>IF(ISNUMBER(VLOOKUP($B:$B,BS!$A:$D,$2:$2,0)),VLOOKUP($B:$B,BS!$A:$D,$2:$2,0),0)</f>
        <v>0</v>
      </c>
      <c r="D717" s="217">
        <f>IF(ISNUMBER(VLOOKUP($B:$B,BS!$A:$D,$2:$2,0)),VLOOKUP($B:$B,BS!$A:$D,$2:$2,0),0)</f>
        <v>0</v>
      </c>
      <c r="E717" s="217">
        <f>IF(ISNUMBER(VLOOKUP($B:$B,BS!$A:$D,$2:$2,0)),VLOOKUP($B:$B,BS!$A:$D,$2:$2,0),0)</f>
        <v>0</v>
      </c>
      <c r="F717" s="217">
        <f>IF(ISNUMBER(VLOOKUP($B:$B,BS!$A:$D,$2:$2,0)),VLOOKUP($B:$B,BS!$A:$D,$2:$2,0),0)</f>
        <v>0</v>
      </c>
      <c r="G717" s="217">
        <f>IF(ISNUMBER(VLOOKUP($B:$B,BS!$A:$D,$2:$2,0)),VLOOKUP($B:$B,BS!$A:$D,$2:$2,0),0)</f>
        <v>0</v>
      </c>
      <c r="H717" s="207">
        <f>IF(ISNUMBER(VLOOKUP($B:$B,'BS(과거)'!$A:$F,$2:$2,0)),VLOOKUP($B:$B,'BS(과거)'!$A:$F,$2:$2,0),0)</f>
        <v>0</v>
      </c>
      <c r="I717" s="207">
        <f>IF(ISNUMBER(VLOOKUP($B:$B,'BS(과거)'!$A:$F,$2:$2,0)),VLOOKUP($B:$B,'BS(과거)'!$A:$F,$2:$2,0),0)</f>
        <v>0</v>
      </c>
      <c r="J717" s="207">
        <f>IF(ISNUMBER(VLOOKUP($B:$B,'BS(과거)'!$A:$F,$2:$2,0)),VLOOKUP($B:$B,'BS(과거)'!$A:$F,$2:$2,0),0)</f>
        <v>0</v>
      </c>
      <c r="K717" s="207">
        <f>IF(ISNUMBER(VLOOKUP($B:$B,'BS(과거)'!$A:$F,$2:$2,0)),VLOOKUP($B:$B,'BS(과거)'!$A:$F,$2:$2,0),0)</f>
        <v>0</v>
      </c>
      <c r="L717" s="207">
        <f>IF(ISNUMBER(VLOOKUP($B:$B,'BS(과거)'!$A:$F,$2:$2,0)),VLOOKUP($B:$B,'BS(과거)'!$A:$F,$2:$2,0),0)</f>
        <v>0</v>
      </c>
      <c r="N717" s="207">
        <f>IF(ISNUMBER(VLOOKUP($B:$B,'BS(분기)'!$A:$F,$2:$2,0)),VLOOKUP($B:$B,'BS(분기)'!$A:$F,$2:$2,0),0)</f>
        <v>0</v>
      </c>
      <c r="O717" s="207">
        <f>IF(ISNUMBER(VLOOKUP($B:$B,'BS(분기)'!$A:$F,$2:$2,0)),VLOOKUP($B:$B,'BS(분기)'!$A:$F,$2:$2,0),0)</f>
        <v>0</v>
      </c>
      <c r="P717" s="207">
        <f>IF(ISNUMBER(VLOOKUP($B:$B,'BS(분기)'!$A:$F,$2:$2,0)),VLOOKUP($B:$B,'BS(분기)'!$A:$F,$2:$2,0),0)</f>
        <v>0</v>
      </c>
      <c r="Q717" s="207">
        <f>IF(ISNUMBER(VLOOKUP($B:$B,'BS(분기)'!$A:$F,$2:$2,0)),VLOOKUP($B:$B,'BS(분기)'!$A:$F,$2:$2,0),0)</f>
        <v>0</v>
      </c>
      <c r="R717" s="207">
        <f>IF(ISNUMBER(VLOOKUP($B:$B,'BS(분기)'!$A:$F,$2:$2,0)),VLOOKUP($B:$B,'BS(분기)'!$A:$F,$2:$2,0),0)</f>
        <v>0</v>
      </c>
    </row>
    <row r="718" spans="1:18" s="192" customFormat="1" ht="12">
      <c r="A718" s="204">
        <v>118233</v>
      </c>
      <c r="B718" s="197" t="s">
        <v>663</v>
      </c>
      <c r="C718" s="217">
        <f>IF(ISNUMBER(VLOOKUP($B:$B,BS!$A:$D,$2:$2,0)),VLOOKUP($B:$B,BS!$A:$D,$2:$2,0),0)</f>
        <v>0</v>
      </c>
      <c r="D718" s="217">
        <f>IF(ISNUMBER(VLOOKUP($B:$B,BS!$A:$D,$2:$2,0)),VLOOKUP($B:$B,BS!$A:$D,$2:$2,0),0)</f>
        <v>0</v>
      </c>
      <c r="E718" s="217">
        <f>IF(ISNUMBER(VLOOKUP($B:$B,BS!$A:$D,$2:$2,0)),VLOOKUP($B:$B,BS!$A:$D,$2:$2,0),0)</f>
        <v>0</v>
      </c>
      <c r="F718" s="217">
        <f>IF(ISNUMBER(VLOOKUP($B:$B,BS!$A:$D,$2:$2,0)),VLOOKUP($B:$B,BS!$A:$D,$2:$2,0),0)</f>
        <v>0</v>
      </c>
      <c r="G718" s="217">
        <f>IF(ISNUMBER(VLOOKUP($B:$B,BS!$A:$D,$2:$2,0)),VLOOKUP($B:$B,BS!$A:$D,$2:$2,0),0)</f>
        <v>0</v>
      </c>
      <c r="H718" s="207">
        <f>IF(ISNUMBER(VLOOKUP($B:$B,'BS(과거)'!$A:$F,$2:$2,0)),VLOOKUP($B:$B,'BS(과거)'!$A:$F,$2:$2,0),0)</f>
        <v>0</v>
      </c>
      <c r="I718" s="207">
        <f>IF(ISNUMBER(VLOOKUP($B:$B,'BS(과거)'!$A:$F,$2:$2,0)),VLOOKUP($B:$B,'BS(과거)'!$A:$F,$2:$2,0),0)</f>
        <v>0</v>
      </c>
      <c r="J718" s="207">
        <f>IF(ISNUMBER(VLOOKUP($B:$B,'BS(과거)'!$A:$F,$2:$2,0)),VLOOKUP($B:$B,'BS(과거)'!$A:$F,$2:$2,0),0)</f>
        <v>0</v>
      </c>
      <c r="K718" s="207">
        <f>IF(ISNUMBER(VLOOKUP($B:$B,'BS(과거)'!$A:$F,$2:$2,0)),VLOOKUP($B:$B,'BS(과거)'!$A:$F,$2:$2,0),0)</f>
        <v>0</v>
      </c>
      <c r="L718" s="207">
        <f>IF(ISNUMBER(VLOOKUP($B:$B,'BS(과거)'!$A:$F,$2:$2,0)),VLOOKUP($B:$B,'BS(과거)'!$A:$F,$2:$2,0),0)</f>
        <v>0</v>
      </c>
      <c r="N718" s="207">
        <f>IF(ISNUMBER(VLOOKUP($B:$B,'BS(분기)'!$A:$F,$2:$2,0)),VLOOKUP($B:$B,'BS(분기)'!$A:$F,$2:$2,0),0)</f>
        <v>0</v>
      </c>
      <c r="O718" s="207">
        <f>IF(ISNUMBER(VLOOKUP($B:$B,'BS(분기)'!$A:$F,$2:$2,0)),VLOOKUP($B:$B,'BS(분기)'!$A:$F,$2:$2,0),0)</f>
        <v>0</v>
      </c>
      <c r="P718" s="207">
        <f>IF(ISNUMBER(VLOOKUP($B:$B,'BS(분기)'!$A:$F,$2:$2,0)),VLOOKUP($B:$B,'BS(분기)'!$A:$F,$2:$2,0),0)</f>
        <v>0</v>
      </c>
      <c r="Q718" s="207">
        <f>IF(ISNUMBER(VLOOKUP($B:$B,'BS(분기)'!$A:$F,$2:$2,0)),VLOOKUP($B:$B,'BS(분기)'!$A:$F,$2:$2,0),0)</f>
        <v>0</v>
      </c>
      <c r="R718" s="207">
        <f>IF(ISNUMBER(VLOOKUP($B:$B,'BS(분기)'!$A:$F,$2:$2,0)),VLOOKUP($B:$B,'BS(분기)'!$A:$F,$2:$2,0),0)</f>
        <v>0</v>
      </c>
    </row>
    <row r="719" spans="1:18" s="192" customFormat="1" ht="12">
      <c r="A719" s="204">
        <v>118234</v>
      </c>
      <c r="B719" s="197" t="s">
        <v>704</v>
      </c>
      <c r="C719" s="217">
        <f>IF(ISNUMBER(VLOOKUP($B:$B,BS!$A:$D,$2:$2,0)),VLOOKUP($B:$B,BS!$A:$D,$2:$2,0),0)</f>
        <v>0</v>
      </c>
      <c r="D719" s="217">
        <f>IF(ISNUMBER(VLOOKUP($B:$B,BS!$A:$D,$2:$2,0)),VLOOKUP($B:$B,BS!$A:$D,$2:$2,0),0)</f>
        <v>0</v>
      </c>
      <c r="E719" s="217">
        <f>IF(ISNUMBER(VLOOKUP($B:$B,BS!$A:$D,$2:$2,0)),VLOOKUP($B:$B,BS!$A:$D,$2:$2,0),0)</f>
        <v>0</v>
      </c>
      <c r="F719" s="217">
        <f>IF(ISNUMBER(VLOOKUP($B:$B,BS!$A:$D,$2:$2,0)),VLOOKUP($B:$B,BS!$A:$D,$2:$2,0),0)</f>
        <v>0</v>
      </c>
      <c r="G719" s="217">
        <f>IF(ISNUMBER(VLOOKUP($B:$B,BS!$A:$D,$2:$2,0)),VLOOKUP($B:$B,BS!$A:$D,$2:$2,0),0)</f>
        <v>0</v>
      </c>
      <c r="H719" s="207">
        <f>IF(ISNUMBER(VLOOKUP($B:$B,'BS(과거)'!$A:$F,$2:$2,0)),VLOOKUP($B:$B,'BS(과거)'!$A:$F,$2:$2,0),0)</f>
        <v>0</v>
      </c>
      <c r="I719" s="207">
        <f>IF(ISNUMBER(VLOOKUP($B:$B,'BS(과거)'!$A:$F,$2:$2,0)),VLOOKUP($B:$B,'BS(과거)'!$A:$F,$2:$2,0),0)</f>
        <v>0</v>
      </c>
      <c r="J719" s="207">
        <f>IF(ISNUMBER(VLOOKUP($B:$B,'BS(과거)'!$A:$F,$2:$2,0)),VLOOKUP($B:$B,'BS(과거)'!$A:$F,$2:$2,0),0)</f>
        <v>0</v>
      </c>
      <c r="K719" s="207">
        <f>IF(ISNUMBER(VLOOKUP($B:$B,'BS(과거)'!$A:$F,$2:$2,0)),VLOOKUP($B:$B,'BS(과거)'!$A:$F,$2:$2,0),0)</f>
        <v>0</v>
      </c>
      <c r="L719" s="207">
        <f>IF(ISNUMBER(VLOOKUP($B:$B,'BS(과거)'!$A:$F,$2:$2,0)),VLOOKUP($B:$B,'BS(과거)'!$A:$F,$2:$2,0),0)</f>
        <v>0</v>
      </c>
      <c r="N719" s="207">
        <f>IF(ISNUMBER(VLOOKUP($B:$B,'BS(분기)'!$A:$F,$2:$2,0)),VLOOKUP($B:$B,'BS(분기)'!$A:$F,$2:$2,0),0)</f>
        <v>0</v>
      </c>
      <c r="O719" s="207">
        <f>IF(ISNUMBER(VLOOKUP($B:$B,'BS(분기)'!$A:$F,$2:$2,0)),VLOOKUP($B:$B,'BS(분기)'!$A:$F,$2:$2,0),0)</f>
        <v>0</v>
      </c>
      <c r="P719" s="207">
        <f>IF(ISNUMBER(VLOOKUP($B:$B,'BS(분기)'!$A:$F,$2:$2,0)),VLOOKUP($B:$B,'BS(분기)'!$A:$F,$2:$2,0),0)</f>
        <v>0</v>
      </c>
      <c r="Q719" s="207">
        <f>IF(ISNUMBER(VLOOKUP($B:$B,'BS(분기)'!$A:$F,$2:$2,0)),VLOOKUP($B:$B,'BS(분기)'!$A:$F,$2:$2,0),0)</f>
        <v>0</v>
      </c>
      <c r="R719" s="207">
        <f>IF(ISNUMBER(VLOOKUP($B:$B,'BS(분기)'!$A:$F,$2:$2,0)),VLOOKUP($B:$B,'BS(분기)'!$A:$F,$2:$2,0),0)</f>
        <v>0</v>
      </c>
    </row>
    <row r="720" spans="1:18" s="192" customFormat="1" ht="12">
      <c r="A720" s="204">
        <v>118235</v>
      </c>
      <c r="B720" s="197" t="s">
        <v>705</v>
      </c>
      <c r="C720" s="217">
        <f>IF(ISNUMBER(VLOOKUP($B:$B,BS!$A:$D,$2:$2,0)),VLOOKUP($B:$B,BS!$A:$D,$2:$2,0),0)</f>
        <v>0</v>
      </c>
      <c r="D720" s="217">
        <f>IF(ISNUMBER(VLOOKUP($B:$B,BS!$A:$D,$2:$2,0)),VLOOKUP($B:$B,BS!$A:$D,$2:$2,0),0)</f>
        <v>0</v>
      </c>
      <c r="E720" s="217">
        <f>IF(ISNUMBER(VLOOKUP($B:$B,BS!$A:$D,$2:$2,0)),VLOOKUP($B:$B,BS!$A:$D,$2:$2,0),0)</f>
        <v>0</v>
      </c>
      <c r="F720" s="217">
        <f>IF(ISNUMBER(VLOOKUP($B:$B,BS!$A:$D,$2:$2,0)),VLOOKUP($B:$B,BS!$A:$D,$2:$2,0),0)</f>
        <v>0</v>
      </c>
      <c r="G720" s="217">
        <f>IF(ISNUMBER(VLOOKUP($B:$B,BS!$A:$D,$2:$2,0)),VLOOKUP($B:$B,BS!$A:$D,$2:$2,0),0)</f>
        <v>0</v>
      </c>
      <c r="H720" s="207">
        <f>IF(ISNUMBER(VLOOKUP($B:$B,'BS(과거)'!$A:$F,$2:$2,0)),VLOOKUP($B:$B,'BS(과거)'!$A:$F,$2:$2,0),0)</f>
        <v>0</v>
      </c>
      <c r="I720" s="207">
        <f>IF(ISNUMBER(VLOOKUP($B:$B,'BS(과거)'!$A:$F,$2:$2,0)),VLOOKUP($B:$B,'BS(과거)'!$A:$F,$2:$2,0),0)</f>
        <v>0</v>
      </c>
      <c r="J720" s="207">
        <f>IF(ISNUMBER(VLOOKUP($B:$B,'BS(과거)'!$A:$F,$2:$2,0)),VLOOKUP($B:$B,'BS(과거)'!$A:$F,$2:$2,0),0)</f>
        <v>0</v>
      </c>
      <c r="K720" s="207">
        <f>IF(ISNUMBER(VLOOKUP($B:$B,'BS(과거)'!$A:$F,$2:$2,0)),VLOOKUP($B:$B,'BS(과거)'!$A:$F,$2:$2,0),0)</f>
        <v>0</v>
      </c>
      <c r="L720" s="207">
        <f>IF(ISNUMBER(VLOOKUP($B:$B,'BS(과거)'!$A:$F,$2:$2,0)),VLOOKUP($B:$B,'BS(과거)'!$A:$F,$2:$2,0),0)</f>
        <v>0</v>
      </c>
      <c r="N720" s="207">
        <f>IF(ISNUMBER(VLOOKUP($B:$B,'BS(분기)'!$A:$F,$2:$2,0)),VLOOKUP($B:$B,'BS(분기)'!$A:$F,$2:$2,0),0)</f>
        <v>0</v>
      </c>
      <c r="O720" s="207">
        <f>IF(ISNUMBER(VLOOKUP($B:$B,'BS(분기)'!$A:$F,$2:$2,0)),VLOOKUP($B:$B,'BS(분기)'!$A:$F,$2:$2,0),0)</f>
        <v>0</v>
      </c>
      <c r="P720" s="207">
        <f>IF(ISNUMBER(VLOOKUP($B:$B,'BS(분기)'!$A:$F,$2:$2,0)),VLOOKUP($B:$B,'BS(분기)'!$A:$F,$2:$2,0),0)</f>
        <v>0</v>
      </c>
      <c r="Q720" s="207">
        <f>IF(ISNUMBER(VLOOKUP($B:$B,'BS(분기)'!$A:$F,$2:$2,0)),VLOOKUP($B:$B,'BS(분기)'!$A:$F,$2:$2,0),0)</f>
        <v>0</v>
      </c>
      <c r="R720" s="207">
        <f>IF(ISNUMBER(VLOOKUP($B:$B,'BS(분기)'!$A:$F,$2:$2,0)),VLOOKUP($B:$B,'BS(분기)'!$A:$F,$2:$2,0),0)</f>
        <v>0</v>
      </c>
    </row>
    <row r="721" spans="1:18" s="192" customFormat="1" ht="12">
      <c r="A721" s="204">
        <v>118236</v>
      </c>
      <c r="B721" s="197" t="s">
        <v>1316</v>
      </c>
      <c r="C721" s="217">
        <f>IF(ISNUMBER(VLOOKUP($B:$B,BS!$A:$D,$2:$2,0)),VLOOKUP($B:$B,BS!$A:$D,$2:$2,0),0)</f>
        <v>0</v>
      </c>
      <c r="D721" s="217">
        <f>IF(ISNUMBER(VLOOKUP($B:$B,BS!$A:$D,$2:$2,0)),VLOOKUP($B:$B,BS!$A:$D,$2:$2,0),0)</f>
        <v>0</v>
      </c>
      <c r="E721" s="217">
        <f>IF(ISNUMBER(VLOOKUP($B:$B,BS!$A:$D,$2:$2,0)),VLOOKUP($B:$B,BS!$A:$D,$2:$2,0),0)</f>
        <v>0</v>
      </c>
      <c r="F721" s="217">
        <f>IF(ISNUMBER(VLOOKUP($B:$B,BS!$A:$D,$2:$2,0)),VLOOKUP($B:$B,BS!$A:$D,$2:$2,0),0)</f>
        <v>0</v>
      </c>
      <c r="G721" s="217">
        <f>IF(ISNUMBER(VLOOKUP($B:$B,BS!$A:$D,$2:$2,0)),VLOOKUP($B:$B,BS!$A:$D,$2:$2,0),0)</f>
        <v>0</v>
      </c>
      <c r="H721" s="207">
        <f>IF(ISNUMBER(VLOOKUP($B:$B,'BS(과거)'!$A:$F,$2:$2,0)),VLOOKUP($B:$B,'BS(과거)'!$A:$F,$2:$2,0),0)</f>
        <v>0</v>
      </c>
      <c r="I721" s="207">
        <f>IF(ISNUMBER(VLOOKUP($B:$B,'BS(과거)'!$A:$F,$2:$2,0)),VLOOKUP($B:$B,'BS(과거)'!$A:$F,$2:$2,0),0)</f>
        <v>0</v>
      </c>
      <c r="J721" s="207">
        <f>IF(ISNUMBER(VLOOKUP($B:$B,'BS(과거)'!$A:$F,$2:$2,0)),VLOOKUP($B:$B,'BS(과거)'!$A:$F,$2:$2,0),0)</f>
        <v>0</v>
      </c>
      <c r="K721" s="207">
        <f>IF(ISNUMBER(VLOOKUP($B:$B,'BS(과거)'!$A:$F,$2:$2,0)),VLOOKUP($B:$B,'BS(과거)'!$A:$F,$2:$2,0),0)</f>
        <v>0</v>
      </c>
      <c r="L721" s="207">
        <f>IF(ISNUMBER(VLOOKUP($B:$B,'BS(과거)'!$A:$F,$2:$2,0)),VLOOKUP($B:$B,'BS(과거)'!$A:$F,$2:$2,0),0)</f>
        <v>0</v>
      </c>
      <c r="N721" s="207">
        <f>IF(ISNUMBER(VLOOKUP($B:$B,'BS(분기)'!$A:$F,$2:$2,0)),VLOOKUP($B:$B,'BS(분기)'!$A:$F,$2:$2,0),0)</f>
        <v>0</v>
      </c>
      <c r="O721" s="207">
        <f>IF(ISNUMBER(VLOOKUP($B:$B,'BS(분기)'!$A:$F,$2:$2,0)),VLOOKUP($B:$B,'BS(분기)'!$A:$F,$2:$2,0),0)</f>
        <v>0</v>
      </c>
      <c r="P721" s="207">
        <f>IF(ISNUMBER(VLOOKUP($B:$B,'BS(분기)'!$A:$F,$2:$2,0)),VLOOKUP($B:$B,'BS(분기)'!$A:$F,$2:$2,0),0)</f>
        <v>0</v>
      </c>
      <c r="Q721" s="207">
        <f>IF(ISNUMBER(VLOOKUP($B:$B,'BS(분기)'!$A:$F,$2:$2,0)),VLOOKUP($B:$B,'BS(분기)'!$A:$F,$2:$2,0),0)</f>
        <v>0</v>
      </c>
      <c r="R721" s="207">
        <f>IF(ISNUMBER(VLOOKUP($B:$B,'BS(분기)'!$A:$F,$2:$2,0)),VLOOKUP($B:$B,'BS(분기)'!$A:$F,$2:$2,0),0)</f>
        <v>0</v>
      </c>
    </row>
    <row r="722" spans="1:18" s="192" customFormat="1" ht="12">
      <c r="A722" s="204">
        <v>118238</v>
      </c>
      <c r="B722" s="197" t="s">
        <v>1317</v>
      </c>
      <c r="C722" s="217">
        <f>IF(ISNUMBER(VLOOKUP($B:$B,BS!$A:$D,$2:$2,0)),VLOOKUP($B:$B,BS!$A:$D,$2:$2,0),0)</f>
        <v>0</v>
      </c>
      <c r="D722" s="217">
        <f>IF(ISNUMBER(VLOOKUP($B:$B,BS!$A:$D,$2:$2,0)),VLOOKUP($B:$B,BS!$A:$D,$2:$2,0),0)</f>
        <v>0</v>
      </c>
      <c r="E722" s="217">
        <f>IF(ISNUMBER(VLOOKUP($B:$B,BS!$A:$D,$2:$2,0)),VLOOKUP($B:$B,BS!$A:$D,$2:$2,0),0)</f>
        <v>0</v>
      </c>
      <c r="F722" s="217">
        <f>IF(ISNUMBER(VLOOKUP($B:$B,BS!$A:$D,$2:$2,0)),VLOOKUP($B:$B,BS!$A:$D,$2:$2,0),0)</f>
        <v>0</v>
      </c>
      <c r="G722" s="217">
        <f>IF(ISNUMBER(VLOOKUP($B:$B,BS!$A:$D,$2:$2,0)),VLOOKUP($B:$B,BS!$A:$D,$2:$2,0),0)</f>
        <v>0</v>
      </c>
      <c r="H722" s="207">
        <f>IF(ISNUMBER(VLOOKUP($B:$B,'BS(과거)'!$A:$F,$2:$2,0)),VLOOKUP($B:$B,'BS(과거)'!$A:$F,$2:$2,0),0)</f>
        <v>0</v>
      </c>
      <c r="I722" s="207">
        <f>IF(ISNUMBER(VLOOKUP($B:$B,'BS(과거)'!$A:$F,$2:$2,0)),VLOOKUP($B:$B,'BS(과거)'!$A:$F,$2:$2,0),0)</f>
        <v>0</v>
      </c>
      <c r="J722" s="207">
        <f>IF(ISNUMBER(VLOOKUP($B:$B,'BS(과거)'!$A:$F,$2:$2,0)),VLOOKUP($B:$B,'BS(과거)'!$A:$F,$2:$2,0),0)</f>
        <v>0</v>
      </c>
      <c r="K722" s="207">
        <f>IF(ISNUMBER(VLOOKUP($B:$B,'BS(과거)'!$A:$F,$2:$2,0)),VLOOKUP($B:$B,'BS(과거)'!$A:$F,$2:$2,0),0)</f>
        <v>0</v>
      </c>
      <c r="L722" s="207">
        <f>IF(ISNUMBER(VLOOKUP($B:$B,'BS(과거)'!$A:$F,$2:$2,0)),VLOOKUP($B:$B,'BS(과거)'!$A:$F,$2:$2,0),0)</f>
        <v>0</v>
      </c>
      <c r="N722" s="207">
        <f>IF(ISNUMBER(VLOOKUP($B:$B,'BS(분기)'!$A:$F,$2:$2,0)),VLOOKUP($B:$B,'BS(분기)'!$A:$F,$2:$2,0),0)</f>
        <v>0</v>
      </c>
      <c r="O722" s="207">
        <f>IF(ISNUMBER(VLOOKUP($B:$B,'BS(분기)'!$A:$F,$2:$2,0)),VLOOKUP($B:$B,'BS(분기)'!$A:$F,$2:$2,0),0)</f>
        <v>0</v>
      </c>
      <c r="P722" s="207">
        <f>IF(ISNUMBER(VLOOKUP($B:$B,'BS(분기)'!$A:$F,$2:$2,0)),VLOOKUP($B:$B,'BS(분기)'!$A:$F,$2:$2,0),0)</f>
        <v>0</v>
      </c>
      <c r="Q722" s="207">
        <f>IF(ISNUMBER(VLOOKUP($B:$B,'BS(분기)'!$A:$F,$2:$2,0)),VLOOKUP($B:$B,'BS(분기)'!$A:$F,$2:$2,0),0)</f>
        <v>0</v>
      </c>
      <c r="R722" s="207">
        <f>IF(ISNUMBER(VLOOKUP($B:$B,'BS(분기)'!$A:$F,$2:$2,0)),VLOOKUP($B:$B,'BS(분기)'!$A:$F,$2:$2,0),0)</f>
        <v>0</v>
      </c>
    </row>
    <row r="723" spans="1:18" s="192" customFormat="1" ht="12">
      <c r="A723" s="204">
        <v>118239</v>
      </c>
      <c r="B723" s="197" t="s">
        <v>1318</v>
      </c>
      <c r="C723" s="217">
        <f>IF(ISNUMBER(VLOOKUP($B:$B,BS!$A:$D,$2:$2,0)),VLOOKUP($B:$B,BS!$A:$D,$2:$2,0),0)</f>
        <v>0</v>
      </c>
      <c r="D723" s="217">
        <f>IF(ISNUMBER(VLOOKUP($B:$B,BS!$A:$D,$2:$2,0)),VLOOKUP($B:$B,BS!$A:$D,$2:$2,0),0)</f>
        <v>0</v>
      </c>
      <c r="E723" s="217">
        <f>IF(ISNUMBER(VLOOKUP($B:$B,BS!$A:$D,$2:$2,0)),VLOOKUP($B:$B,BS!$A:$D,$2:$2,0),0)</f>
        <v>0</v>
      </c>
      <c r="F723" s="217">
        <f>IF(ISNUMBER(VLOOKUP($B:$B,BS!$A:$D,$2:$2,0)),VLOOKUP($B:$B,BS!$A:$D,$2:$2,0),0)</f>
        <v>0</v>
      </c>
      <c r="G723" s="217">
        <f>IF(ISNUMBER(VLOOKUP($B:$B,BS!$A:$D,$2:$2,0)),VLOOKUP($B:$B,BS!$A:$D,$2:$2,0),0)</f>
        <v>0</v>
      </c>
      <c r="H723" s="207">
        <f>IF(ISNUMBER(VLOOKUP($B:$B,'BS(과거)'!$A:$F,$2:$2,0)),VLOOKUP($B:$B,'BS(과거)'!$A:$F,$2:$2,0),0)</f>
        <v>0</v>
      </c>
      <c r="I723" s="207">
        <f>IF(ISNUMBER(VLOOKUP($B:$B,'BS(과거)'!$A:$F,$2:$2,0)),VLOOKUP($B:$B,'BS(과거)'!$A:$F,$2:$2,0),0)</f>
        <v>0</v>
      </c>
      <c r="J723" s="207">
        <f>IF(ISNUMBER(VLOOKUP($B:$B,'BS(과거)'!$A:$F,$2:$2,0)),VLOOKUP($B:$B,'BS(과거)'!$A:$F,$2:$2,0),0)</f>
        <v>0</v>
      </c>
      <c r="K723" s="207">
        <f>IF(ISNUMBER(VLOOKUP($B:$B,'BS(과거)'!$A:$F,$2:$2,0)),VLOOKUP($B:$B,'BS(과거)'!$A:$F,$2:$2,0),0)</f>
        <v>0</v>
      </c>
      <c r="L723" s="207">
        <f>IF(ISNUMBER(VLOOKUP($B:$B,'BS(과거)'!$A:$F,$2:$2,0)),VLOOKUP($B:$B,'BS(과거)'!$A:$F,$2:$2,0),0)</f>
        <v>0</v>
      </c>
      <c r="N723" s="207">
        <f>IF(ISNUMBER(VLOOKUP($B:$B,'BS(분기)'!$A:$F,$2:$2,0)),VLOOKUP($B:$B,'BS(분기)'!$A:$F,$2:$2,0),0)</f>
        <v>0</v>
      </c>
      <c r="O723" s="207">
        <f>IF(ISNUMBER(VLOOKUP($B:$B,'BS(분기)'!$A:$F,$2:$2,0)),VLOOKUP($B:$B,'BS(분기)'!$A:$F,$2:$2,0),0)</f>
        <v>0</v>
      </c>
      <c r="P723" s="207">
        <f>IF(ISNUMBER(VLOOKUP($B:$B,'BS(분기)'!$A:$F,$2:$2,0)),VLOOKUP($B:$B,'BS(분기)'!$A:$F,$2:$2,0),0)</f>
        <v>0</v>
      </c>
      <c r="Q723" s="207">
        <f>IF(ISNUMBER(VLOOKUP($B:$B,'BS(분기)'!$A:$F,$2:$2,0)),VLOOKUP($B:$B,'BS(분기)'!$A:$F,$2:$2,0),0)</f>
        <v>0</v>
      </c>
      <c r="R723" s="207">
        <f>IF(ISNUMBER(VLOOKUP($B:$B,'BS(분기)'!$A:$F,$2:$2,0)),VLOOKUP($B:$B,'BS(분기)'!$A:$F,$2:$2,0),0)</f>
        <v>0</v>
      </c>
    </row>
    <row r="724" spans="1:18" s="192" customFormat="1" ht="12">
      <c r="A724" s="204">
        <v>118237</v>
      </c>
      <c r="B724" s="197" t="s">
        <v>644</v>
      </c>
      <c r="C724" s="217">
        <f>IF(ISNUMBER(VLOOKUP($B:$B,BS!$A:$D,$2:$2,0)),VLOOKUP($B:$B,BS!$A:$D,$2:$2,0),0)</f>
        <v>0</v>
      </c>
      <c r="D724" s="217">
        <f>IF(ISNUMBER(VLOOKUP($B:$B,BS!$A:$D,$2:$2,0)),VLOOKUP($B:$B,BS!$A:$D,$2:$2,0),0)</f>
        <v>0</v>
      </c>
      <c r="E724" s="217">
        <f>IF(ISNUMBER(VLOOKUP($B:$B,BS!$A:$D,$2:$2,0)),VLOOKUP($B:$B,BS!$A:$D,$2:$2,0),0)</f>
        <v>0</v>
      </c>
      <c r="F724" s="217">
        <f>IF(ISNUMBER(VLOOKUP($B:$B,BS!$A:$D,$2:$2,0)),VLOOKUP($B:$B,BS!$A:$D,$2:$2,0),0)</f>
        <v>0</v>
      </c>
      <c r="G724" s="217">
        <f>IF(ISNUMBER(VLOOKUP($B:$B,BS!$A:$D,$2:$2,0)),VLOOKUP($B:$B,BS!$A:$D,$2:$2,0),0)</f>
        <v>0</v>
      </c>
      <c r="H724" s="207">
        <f>IF(ISNUMBER(VLOOKUP($B:$B,'BS(과거)'!$A:$F,$2:$2,0)),VLOOKUP($B:$B,'BS(과거)'!$A:$F,$2:$2,0),0)</f>
        <v>0</v>
      </c>
      <c r="I724" s="207">
        <f>IF(ISNUMBER(VLOOKUP($B:$B,'BS(과거)'!$A:$F,$2:$2,0)),VLOOKUP($B:$B,'BS(과거)'!$A:$F,$2:$2,0),0)</f>
        <v>0</v>
      </c>
      <c r="J724" s="207">
        <f>IF(ISNUMBER(VLOOKUP($B:$B,'BS(과거)'!$A:$F,$2:$2,0)),VLOOKUP($B:$B,'BS(과거)'!$A:$F,$2:$2,0),0)</f>
        <v>0</v>
      </c>
      <c r="K724" s="207">
        <f>IF(ISNUMBER(VLOOKUP($B:$B,'BS(과거)'!$A:$F,$2:$2,0)),VLOOKUP($B:$B,'BS(과거)'!$A:$F,$2:$2,0),0)</f>
        <v>0</v>
      </c>
      <c r="L724" s="207">
        <f>IF(ISNUMBER(VLOOKUP($B:$B,'BS(과거)'!$A:$F,$2:$2,0)),VLOOKUP($B:$B,'BS(과거)'!$A:$F,$2:$2,0),0)</f>
        <v>0</v>
      </c>
      <c r="N724" s="207">
        <f>IF(ISNUMBER(VLOOKUP($B:$B,'BS(분기)'!$A:$F,$2:$2,0)),VLOOKUP($B:$B,'BS(분기)'!$A:$F,$2:$2,0),0)</f>
        <v>0</v>
      </c>
      <c r="O724" s="207">
        <f>IF(ISNUMBER(VLOOKUP($B:$B,'BS(분기)'!$A:$F,$2:$2,0)),VLOOKUP($B:$B,'BS(분기)'!$A:$F,$2:$2,0),0)</f>
        <v>0</v>
      </c>
      <c r="P724" s="207">
        <f>IF(ISNUMBER(VLOOKUP($B:$B,'BS(분기)'!$A:$F,$2:$2,0)),VLOOKUP($B:$B,'BS(분기)'!$A:$F,$2:$2,0),0)</f>
        <v>0</v>
      </c>
      <c r="Q724" s="207">
        <f>IF(ISNUMBER(VLOOKUP($B:$B,'BS(분기)'!$A:$F,$2:$2,0)),VLOOKUP($B:$B,'BS(분기)'!$A:$F,$2:$2,0),0)</f>
        <v>0</v>
      </c>
      <c r="R724" s="207">
        <f>IF(ISNUMBER(VLOOKUP($B:$B,'BS(분기)'!$A:$F,$2:$2,0)),VLOOKUP($B:$B,'BS(분기)'!$A:$F,$2:$2,0),0)</f>
        <v>0</v>
      </c>
    </row>
    <row r="725" spans="1:18" s="192" customFormat="1" ht="12">
      <c r="A725" s="202">
        <v>118220</v>
      </c>
      <c r="B725" s="195" t="s">
        <v>1319</v>
      </c>
      <c r="C725" s="217">
        <f>IF(ISNUMBER(VLOOKUP($B:$B,BS!$A:$D,$2:$2,0)),VLOOKUP($B:$B,BS!$A:$D,$2:$2,0),0)</f>
        <v>0</v>
      </c>
      <c r="D725" s="217">
        <f>IF(ISNUMBER(VLOOKUP($B:$B,BS!$A:$D,$2:$2,0)),VLOOKUP($B:$B,BS!$A:$D,$2:$2,0),0)</f>
        <v>0</v>
      </c>
      <c r="E725" s="217">
        <f>IF(ISNUMBER(VLOOKUP($B:$B,BS!$A:$D,$2:$2,0)),VLOOKUP($B:$B,BS!$A:$D,$2:$2,0),0)</f>
        <v>0</v>
      </c>
      <c r="F725" s="217">
        <f>IF(ISNUMBER(VLOOKUP($B:$B,BS!$A:$D,$2:$2,0)),VLOOKUP($B:$B,BS!$A:$D,$2:$2,0),0)</f>
        <v>0</v>
      </c>
      <c r="G725" s="217">
        <f>IF(ISNUMBER(VLOOKUP($B:$B,BS!$A:$D,$2:$2,0)),VLOOKUP($B:$B,BS!$A:$D,$2:$2,0),0)</f>
        <v>0</v>
      </c>
      <c r="H725" s="207">
        <f>IF(ISNUMBER(VLOOKUP($B:$B,'BS(과거)'!$A:$F,$2:$2,0)),VLOOKUP($B:$B,'BS(과거)'!$A:$F,$2:$2,0),0)</f>
        <v>0</v>
      </c>
      <c r="I725" s="207">
        <f>IF(ISNUMBER(VLOOKUP($B:$B,'BS(과거)'!$A:$F,$2:$2,0)),VLOOKUP($B:$B,'BS(과거)'!$A:$F,$2:$2,0),0)</f>
        <v>0</v>
      </c>
      <c r="J725" s="207">
        <f>IF(ISNUMBER(VLOOKUP($B:$B,'BS(과거)'!$A:$F,$2:$2,0)),VLOOKUP($B:$B,'BS(과거)'!$A:$F,$2:$2,0),0)</f>
        <v>0</v>
      </c>
      <c r="K725" s="207">
        <f>IF(ISNUMBER(VLOOKUP($B:$B,'BS(과거)'!$A:$F,$2:$2,0)),VLOOKUP($B:$B,'BS(과거)'!$A:$F,$2:$2,0),0)</f>
        <v>0</v>
      </c>
      <c r="L725" s="207">
        <f>IF(ISNUMBER(VLOOKUP($B:$B,'BS(과거)'!$A:$F,$2:$2,0)),VLOOKUP($B:$B,'BS(과거)'!$A:$F,$2:$2,0),0)</f>
        <v>0</v>
      </c>
      <c r="N725" s="207">
        <f>IF(ISNUMBER(VLOOKUP($B:$B,'BS(분기)'!$A:$F,$2:$2,0)),VLOOKUP($B:$B,'BS(분기)'!$A:$F,$2:$2,0),0)</f>
        <v>0</v>
      </c>
      <c r="O725" s="207">
        <f>IF(ISNUMBER(VLOOKUP($B:$B,'BS(분기)'!$A:$F,$2:$2,0)),VLOOKUP($B:$B,'BS(분기)'!$A:$F,$2:$2,0),0)</f>
        <v>0</v>
      </c>
      <c r="P725" s="207">
        <f>IF(ISNUMBER(VLOOKUP($B:$B,'BS(분기)'!$A:$F,$2:$2,0)),VLOOKUP($B:$B,'BS(분기)'!$A:$F,$2:$2,0),0)</f>
        <v>0</v>
      </c>
      <c r="Q725" s="207">
        <f>IF(ISNUMBER(VLOOKUP($B:$B,'BS(분기)'!$A:$F,$2:$2,0)),VLOOKUP($B:$B,'BS(분기)'!$A:$F,$2:$2,0),0)</f>
        <v>0</v>
      </c>
      <c r="R725" s="207">
        <f>IF(ISNUMBER(VLOOKUP($B:$B,'BS(분기)'!$A:$F,$2:$2,0)),VLOOKUP($B:$B,'BS(분기)'!$A:$F,$2:$2,0),0)</f>
        <v>0</v>
      </c>
    </row>
    <row r="726" spans="1:18" s="192" customFormat="1" ht="12">
      <c r="A726" s="202">
        <v>118249</v>
      </c>
      <c r="B726" s="195" t="s">
        <v>644</v>
      </c>
      <c r="C726" s="217">
        <f>IF(ISNUMBER(VLOOKUP($B:$B,BS!$A:$D,$2:$2,0)),VLOOKUP($B:$B,BS!$A:$D,$2:$2,0),0)</f>
        <v>0</v>
      </c>
      <c r="D726" s="217">
        <f>IF(ISNUMBER(VLOOKUP($B:$B,BS!$A:$D,$2:$2,0)),VLOOKUP($B:$B,BS!$A:$D,$2:$2,0),0)</f>
        <v>0</v>
      </c>
      <c r="E726" s="217">
        <f>IF(ISNUMBER(VLOOKUP($B:$B,BS!$A:$D,$2:$2,0)),VLOOKUP($B:$B,BS!$A:$D,$2:$2,0),0)</f>
        <v>0</v>
      </c>
      <c r="F726" s="217">
        <f>IF(ISNUMBER(VLOOKUP($B:$B,BS!$A:$D,$2:$2,0)),VLOOKUP($B:$B,BS!$A:$D,$2:$2,0),0)</f>
        <v>0</v>
      </c>
      <c r="G726" s="217">
        <f>IF(ISNUMBER(VLOOKUP($B:$B,BS!$A:$D,$2:$2,0)),VLOOKUP($B:$B,BS!$A:$D,$2:$2,0),0)</f>
        <v>0</v>
      </c>
      <c r="H726" s="207">
        <f>IF(ISNUMBER(VLOOKUP($B:$B,'BS(과거)'!$A:$F,$2:$2,0)),VLOOKUP($B:$B,'BS(과거)'!$A:$F,$2:$2,0),0)</f>
        <v>0</v>
      </c>
      <c r="I726" s="207">
        <f>IF(ISNUMBER(VLOOKUP($B:$B,'BS(과거)'!$A:$F,$2:$2,0)),VLOOKUP($B:$B,'BS(과거)'!$A:$F,$2:$2,0),0)</f>
        <v>0</v>
      </c>
      <c r="J726" s="207">
        <f>IF(ISNUMBER(VLOOKUP($B:$B,'BS(과거)'!$A:$F,$2:$2,0)),VLOOKUP($B:$B,'BS(과거)'!$A:$F,$2:$2,0),0)</f>
        <v>0</v>
      </c>
      <c r="K726" s="207">
        <f>IF(ISNUMBER(VLOOKUP($B:$B,'BS(과거)'!$A:$F,$2:$2,0)),VLOOKUP($B:$B,'BS(과거)'!$A:$F,$2:$2,0),0)</f>
        <v>0</v>
      </c>
      <c r="L726" s="207">
        <f>IF(ISNUMBER(VLOOKUP($B:$B,'BS(과거)'!$A:$F,$2:$2,0)),VLOOKUP($B:$B,'BS(과거)'!$A:$F,$2:$2,0),0)</f>
        <v>0</v>
      </c>
      <c r="N726" s="207">
        <f>IF(ISNUMBER(VLOOKUP($B:$B,'BS(분기)'!$A:$F,$2:$2,0)),VLOOKUP($B:$B,'BS(분기)'!$A:$F,$2:$2,0),0)</f>
        <v>0</v>
      </c>
      <c r="O726" s="207">
        <f>IF(ISNUMBER(VLOOKUP($B:$B,'BS(분기)'!$A:$F,$2:$2,0)),VLOOKUP($B:$B,'BS(분기)'!$A:$F,$2:$2,0),0)</f>
        <v>0</v>
      </c>
      <c r="P726" s="207">
        <f>IF(ISNUMBER(VLOOKUP($B:$B,'BS(분기)'!$A:$F,$2:$2,0)),VLOOKUP($B:$B,'BS(분기)'!$A:$F,$2:$2,0),0)</f>
        <v>0</v>
      </c>
      <c r="Q726" s="207">
        <f>IF(ISNUMBER(VLOOKUP($B:$B,'BS(분기)'!$A:$F,$2:$2,0)),VLOOKUP($B:$B,'BS(분기)'!$A:$F,$2:$2,0),0)</f>
        <v>0</v>
      </c>
      <c r="R726" s="207">
        <f>IF(ISNUMBER(VLOOKUP($B:$B,'BS(분기)'!$A:$F,$2:$2,0)),VLOOKUP($B:$B,'BS(분기)'!$A:$F,$2:$2,0),0)</f>
        <v>0</v>
      </c>
    </row>
    <row r="727" spans="1:18" s="192" customFormat="1" ht="12">
      <c r="A727" s="201">
        <v>118400</v>
      </c>
      <c r="B727" s="194" t="s">
        <v>594</v>
      </c>
      <c r="C727" s="217">
        <f>IF(ISNUMBER(VLOOKUP($B:$B,BS!$A:$D,$2:$2,0)),VLOOKUP($B:$B,BS!$A:$D,$2:$2,0),0)</f>
        <v>0</v>
      </c>
      <c r="D727" s="217">
        <f>IF(ISNUMBER(VLOOKUP($B:$B,BS!$A:$D,$2:$2,0)),VLOOKUP($B:$B,BS!$A:$D,$2:$2,0),0)</f>
        <v>0</v>
      </c>
      <c r="E727" s="217">
        <f>IF(ISNUMBER(VLOOKUP($B:$B,BS!$A:$D,$2:$2,0)),VLOOKUP($B:$B,BS!$A:$D,$2:$2,0),0)</f>
        <v>0</v>
      </c>
      <c r="F727" s="217">
        <f>IF(ISNUMBER(VLOOKUP($B:$B,BS!$A:$D,$2:$2,0)),VLOOKUP($B:$B,BS!$A:$D,$2:$2,0),0)</f>
        <v>0</v>
      </c>
      <c r="G727" s="217">
        <f>IF(ISNUMBER(VLOOKUP($B:$B,BS!$A:$D,$2:$2,0)),VLOOKUP($B:$B,BS!$A:$D,$2:$2,0),0)</f>
        <v>0</v>
      </c>
      <c r="H727" s="207">
        <f>IF(ISNUMBER(VLOOKUP($B:$B,'BS(과거)'!$A:$F,$2:$2,0)),VLOOKUP($B:$B,'BS(과거)'!$A:$F,$2:$2,0),0)</f>
        <v>0</v>
      </c>
      <c r="I727" s="207">
        <f>IF(ISNUMBER(VLOOKUP($B:$B,'BS(과거)'!$A:$F,$2:$2,0)),VLOOKUP($B:$B,'BS(과거)'!$A:$F,$2:$2,0),0)</f>
        <v>0</v>
      </c>
      <c r="J727" s="207">
        <f>IF(ISNUMBER(VLOOKUP($B:$B,'BS(과거)'!$A:$F,$2:$2,0)),VLOOKUP($B:$B,'BS(과거)'!$A:$F,$2:$2,0),0)</f>
        <v>0</v>
      </c>
      <c r="K727" s="207">
        <f>IF(ISNUMBER(VLOOKUP($B:$B,'BS(과거)'!$A:$F,$2:$2,0)),VLOOKUP($B:$B,'BS(과거)'!$A:$F,$2:$2,0),0)</f>
        <v>0</v>
      </c>
      <c r="L727" s="207">
        <f>IF(ISNUMBER(VLOOKUP($B:$B,'BS(과거)'!$A:$F,$2:$2,0)),VLOOKUP($B:$B,'BS(과거)'!$A:$F,$2:$2,0),0)</f>
        <v>0</v>
      </c>
      <c r="N727" s="207">
        <f>IF(ISNUMBER(VLOOKUP($B:$B,'BS(분기)'!$A:$F,$2:$2,0)),VLOOKUP($B:$B,'BS(분기)'!$A:$F,$2:$2,0),0)</f>
        <v>0</v>
      </c>
      <c r="O727" s="207">
        <f>IF(ISNUMBER(VLOOKUP($B:$B,'BS(분기)'!$A:$F,$2:$2,0)),VLOOKUP($B:$B,'BS(분기)'!$A:$F,$2:$2,0),0)</f>
        <v>0</v>
      </c>
      <c r="P727" s="207">
        <f>IF(ISNUMBER(VLOOKUP($B:$B,'BS(분기)'!$A:$F,$2:$2,0)),VLOOKUP($B:$B,'BS(분기)'!$A:$F,$2:$2,0),0)</f>
        <v>0</v>
      </c>
      <c r="Q727" s="207">
        <f>IF(ISNUMBER(VLOOKUP($B:$B,'BS(분기)'!$A:$F,$2:$2,0)),VLOOKUP($B:$B,'BS(분기)'!$A:$F,$2:$2,0),0)</f>
        <v>0</v>
      </c>
      <c r="R727" s="207">
        <f>IF(ISNUMBER(VLOOKUP($B:$B,'BS(분기)'!$A:$F,$2:$2,0)),VLOOKUP($B:$B,'BS(분기)'!$A:$F,$2:$2,0),0)</f>
        <v>0</v>
      </c>
    </row>
    <row r="728" spans="1:18" s="192" customFormat="1" ht="12">
      <c r="A728" s="202">
        <v>118410</v>
      </c>
      <c r="B728" s="195" t="s">
        <v>1320</v>
      </c>
      <c r="C728" s="217">
        <f>IF(ISNUMBER(VLOOKUP($B:$B,BS!$A:$D,$2:$2,0)),VLOOKUP($B:$B,BS!$A:$D,$2:$2,0),0)</f>
        <v>0</v>
      </c>
      <c r="D728" s="217">
        <f>IF(ISNUMBER(VLOOKUP($B:$B,BS!$A:$D,$2:$2,0)),VLOOKUP($B:$B,BS!$A:$D,$2:$2,0),0)</f>
        <v>0</v>
      </c>
      <c r="E728" s="217">
        <f>IF(ISNUMBER(VLOOKUP($B:$B,BS!$A:$D,$2:$2,0)),VLOOKUP($B:$B,BS!$A:$D,$2:$2,0),0)</f>
        <v>0</v>
      </c>
      <c r="F728" s="217">
        <f>IF(ISNUMBER(VLOOKUP($B:$B,BS!$A:$D,$2:$2,0)),VLOOKUP($B:$B,BS!$A:$D,$2:$2,0),0)</f>
        <v>0</v>
      </c>
      <c r="G728" s="217">
        <f>IF(ISNUMBER(VLOOKUP($B:$B,BS!$A:$D,$2:$2,0)),VLOOKUP($B:$B,BS!$A:$D,$2:$2,0),0)</f>
        <v>0</v>
      </c>
      <c r="H728" s="207">
        <f>IF(ISNUMBER(VLOOKUP($B:$B,'BS(과거)'!$A:$F,$2:$2,0)),VLOOKUP($B:$B,'BS(과거)'!$A:$F,$2:$2,0),0)</f>
        <v>0</v>
      </c>
      <c r="I728" s="207">
        <f>IF(ISNUMBER(VLOOKUP($B:$B,'BS(과거)'!$A:$F,$2:$2,0)),VLOOKUP($B:$B,'BS(과거)'!$A:$F,$2:$2,0),0)</f>
        <v>0</v>
      </c>
      <c r="J728" s="207">
        <f>IF(ISNUMBER(VLOOKUP($B:$B,'BS(과거)'!$A:$F,$2:$2,0)),VLOOKUP($B:$B,'BS(과거)'!$A:$F,$2:$2,0),0)</f>
        <v>0</v>
      </c>
      <c r="K728" s="207">
        <f>IF(ISNUMBER(VLOOKUP($B:$B,'BS(과거)'!$A:$F,$2:$2,0)),VLOOKUP($B:$B,'BS(과거)'!$A:$F,$2:$2,0),0)</f>
        <v>0</v>
      </c>
      <c r="L728" s="207">
        <f>IF(ISNUMBER(VLOOKUP($B:$B,'BS(과거)'!$A:$F,$2:$2,0)),VLOOKUP($B:$B,'BS(과거)'!$A:$F,$2:$2,0),0)</f>
        <v>0</v>
      </c>
      <c r="N728" s="207">
        <f>IF(ISNUMBER(VLOOKUP($B:$B,'BS(분기)'!$A:$F,$2:$2,0)),VLOOKUP($B:$B,'BS(분기)'!$A:$F,$2:$2,0),0)</f>
        <v>0</v>
      </c>
      <c r="O728" s="207">
        <f>IF(ISNUMBER(VLOOKUP($B:$B,'BS(분기)'!$A:$F,$2:$2,0)),VLOOKUP($B:$B,'BS(분기)'!$A:$F,$2:$2,0),0)</f>
        <v>0</v>
      </c>
      <c r="P728" s="207">
        <f>IF(ISNUMBER(VLOOKUP($B:$B,'BS(분기)'!$A:$F,$2:$2,0)),VLOOKUP($B:$B,'BS(분기)'!$A:$F,$2:$2,0),0)</f>
        <v>0</v>
      </c>
      <c r="Q728" s="207">
        <f>IF(ISNUMBER(VLOOKUP($B:$B,'BS(분기)'!$A:$F,$2:$2,0)),VLOOKUP($B:$B,'BS(분기)'!$A:$F,$2:$2,0),0)</f>
        <v>0</v>
      </c>
      <c r="R728" s="207">
        <f>IF(ISNUMBER(VLOOKUP($B:$B,'BS(분기)'!$A:$F,$2:$2,0)),VLOOKUP($B:$B,'BS(분기)'!$A:$F,$2:$2,0),0)</f>
        <v>0</v>
      </c>
    </row>
    <row r="729" spans="1:18" s="192" customFormat="1" ht="12">
      <c r="A729" s="202">
        <v>118411</v>
      </c>
      <c r="B729" s="195" t="s">
        <v>1321</v>
      </c>
      <c r="C729" s="217">
        <f>IF(ISNUMBER(VLOOKUP($B:$B,BS!$A:$D,$2:$2,0)),VLOOKUP($B:$B,BS!$A:$D,$2:$2,0),0)</f>
        <v>0</v>
      </c>
      <c r="D729" s="217">
        <f>IF(ISNUMBER(VLOOKUP($B:$B,BS!$A:$D,$2:$2,0)),VLOOKUP($B:$B,BS!$A:$D,$2:$2,0),0)</f>
        <v>0</v>
      </c>
      <c r="E729" s="217">
        <f>IF(ISNUMBER(VLOOKUP($B:$B,BS!$A:$D,$2:$2,0)),VLOOKUP($B:$B,BS!$A:$D,$2:$2,0),0)</f>
        <v>0</v>
      </c>
      <c r="F729" s="217">
        <f>IF(ISNUMBER(VLOOKUP($B:$B,BS!$A:$D,$2:$2,0)),VLOOKUP($B:$B,BS!$A:$D,$2:$2,0),0)</f>
        <v>0</v>
      </c>
      <c r="G729" s="217">
        <f>IF(ISNUMBER(VLOOKUP($B:$B,BS!$A:$D,$2:$2,0)),VLOOKUP($B:$B,BS!$A:$D,$2:$2,0),0)</f>
        <v>0</v>
      </c>
      <c r="H729" s="207">
        <f>IF(ISNUMBER(VLOOKUP($B:$B,'BS(과거)'!$A:$F,$2:$2,0)),VLOOKUP($B:$B,'BS(과거)'!$A:$F,$2:$2,0),0)</f>
        <v>0</v>
      </c>
      <c r="I729" s="207">
        <f>IF(ISNUMBER(VLOOKUP($B:$B,'BS(과거)'!$A:$F,$2:$2,0)),VLOOKUP($B:$B,'BS(과거)'!$A:$F,$2:$2,0),0)</f>
        <v>0</v>
      </c>
      <c r="J729" s="207">
        <f>IF(ISNUMBER(VLOOKUP($B:$B,'BS(과거)'!$A:$F,$2:$2,0)),VLOOKUP($B:$B,'BS(과거)'!$A:$F,$2:$2,0),0)</f>
        <v>0</v>
      </c>
      <c r="K729" s="207">
        <f>IF(ISNUMBER(VLOOKUP($B:$B,'BS(과거)'!$A:$F,$2:$2,0)),VLOOKUP($B:$B,'BS(과거)'!$A:$F,$2:$2,0),0)</f>
        <v>0</v>
      </c>
      <c r="L729" s="207">
        <f>IF(ISNUMBER(VLOOKUP($B:$B,'BS(과거)'!$A:$F,$2:$2,0)),VLOOKUP($B:$B,'BS(과거)'!$A:$F,$2:$2,0),0)</f>
        <v>0</v>
      </c>
      <c r="N729" s="207">
        <f>IF(ISNUMBER(VLOOKUP($B:$B,'BS(분기)'!$A:$F,$2:$2,0)),VLOOKUP($B:$B,'BS(분기)'!$A:$F,$2:$2,0),0)</f>
        <v>0</v>
      </c>
      <c r="O729" s="207">
        <f>IF(ISNUMBER(VLOOKUP($B:$B,'BS(분기)'!$A:$F,$2:$2,0)),VLOOKUP($B:$B,'BS(분기)'!$A:$F,$2:$2,0),0)</f>
        <v>0</v>
      </c>
      <c r="P729" s="207">
        <f>IF(ISNUMBER(VLOOKUP($B:$B,'BS(분기)'!$A:$F,$2:$2,0)),VLOOKUP($B:$B,'BS(분기)'!$A:$F,$2:$2,0),0)</f>
        <v>0</v>
      </c>
      <c r="Q729" s="207">
        <f>IF(ISNUMBER(VLOOKUP($B:$B,'BS(분기)'!$A:$F,$2:$2,0)),VLOOKUP($B:$B,'BS(분기)'!$A:$F,$2:$2,0),0)</f>
        <v>0</v>
      </c>
      <c r="R729" s="207">
        <f>IF(ISNUMBER(VLOOKUP($B:$B,'BS(분기)'!$A:$F,$2:$2,0)),VLOOKUP($B:$B,'BS(분기)'!$A:$F,$2:$2,0),0)</f>
        <v>0</v>
      </c>
    </row>
    <row r="730" spans="1:18" s="192" customFormat="1" ht="12">
      <c r="A730" s="202">
        <v>118420</v>
      </c>
      <c r="B730" s="195" t="s">
        <v>1322</v>
      </c>
      <c r="C730" s="217">
        <f>IF(ISNUMBER(VLOOKUP($B:$B,BS!$A:$D,$2:$2,0)),VLOOKUP($B:$B,BS!$A:$D,$2:$2,0),0)</f>
        <v>0</v>
      </c>
      <c r="D730" s="217">
        <f>IF(ISNUMBER(VLOOKUP($B:$B,BS!$A:$D,$2:$2,0)),VLOOKUP($B:$B,BS!$A:$D,$2:$2,0),0)</f>
        <v>0</v>
      </c>
      <c r="E730" s="217">
        <f>IF(ISNUMBER(VLOOKUP($B:$B,BS!$A:$D,$2:$2,0)),VLOOKUP($B:$B,BS!$A:$D,$2:$2,0),0)</f>
        <v>0</v>
      </c>
      <c r="F730" s="217">
        <f>IF(ISNUMBER(VLOOKUP($B:$B,BS!$A:$D,$2:$2,0)),VLOOKUP($B:$B,BS!$A:$D,$2:$2,0),0)</f>
        <v>0</v>
      </c>
      <c r="G730" s="217">
        <f>IF(ISNUMBER(VLOOKUP($B:$B,BS!$A:$D,$2:$2,0)),VLOOKUP($B:$B,BS!$A:$D,$2:$2,0),0)</f>
        <v>0</v>
      </c>
      <c r="H730" s="207">
        <f>IF(ISNUMBER(VLOOKUP($B:$B,'BS(과거)'!$A:$F,$2:$2,0)),VLOOKUP($B:$B,'BS(과거)'!$A:$F,$2:$2,0),0)</f>
        <v>0</v>
      </c>
      <c r="I730" s="207">
        <f>IF(ISNUMBER(VLOOKUP($B:$B,'BS(과거)'!$A:$F,$2:$2,0)),VLOOKUP($B:$B,'BS(과거)'!$A:$F,$2:$2,0),0)</f>
        <v>0</v>
      </c>
      <c r="J730" s="207">
        <f>IF(ISNUMBER(VLOOKUP($B:$B,'BS(과거)'!$A:$F,$2:$2,0)),VLOOKUP($B:$B,'BS(과거)'!$A:$F,$2:$2,0),0)</f>
        <v>0</v>
      </c>
      <c r="K730" s="207">
        <f>IF(ISNUMBER(VLOOKUP($B:$B,'BS(과거)'!$A:$F,$2:$2,0)),VLOOKUP($B:$B,'BS(과거)'!$A:$F,$2:$2,0),0)</f>
        <v>0</v>
      </c>
      <c r="L730" s="207">
        <f>IF(ISNUMBER(VLOOKUP($B:$B,'BS(과거)'!$A:$F,$2:$2,0)),VLOOKUP($B:$B,'BS(과거)'!$A:$F,$2:$2,0),0)</f>
        <v>0</v>
      </c>
      <c r="N730" s="207">
        <f>IF(ISNUMBER(VLOOKUP($B:$B,'BS(분기)'!$A:$F,$2:$2,0)),VLOOKUP($B:$B,'BS(분기)'!$A:$F,$2:$2,0),0)</f>
        <v>0</v>
      </c>
      <c r="O730" s="207">
        <f>IF(ISNUMBER(VLOOKUP($B:$B,'BS(분기)'!$A:$F,$2:$2,0)),VLOOKUP($B:$B,'BS(분기)'!$A:$F,$2:$2,0),0)</f>
        <v>0</v>
      </c>
      <c r="P730" s="207">
        <f>IF(ISNUMBER(VLOOKUP($B:$B,'BS(분기)'!$A:$F,$2:$2,0)),VLOOKUP($B:$B,'BS(분기)'!$A:$F,$2:$2,0),0)</f>
        <v>0</v>
      </c>
      <c r="Q730" s="207">
        <f>IF(ISNUMBER(VLOOKUP($B:$B,'BS(분기)'!$A:$F,$2:$2,0)),VLOOKUP($B:$B,'BS(분기)'!$A:$F,$2:$2,0),0)</f>
        <v>0</v>
      </c>
      <c r="R730" s="207">
        <f>IF(ISNUMBER(VLOOKUP($B:$B,'BS(분기)'!$A:$F,$2:$2,0)),VLOOKUP($B:$B,'BS(분기)'!$A:$F,$2:$2,0),0)</f>
        <v>0</v>
      </c>
    </row>
    <row r="731" spans="1:18" s="192" customFormat="1" ht="12">
      <c r="A731" s="202">
        <v>118430</v>
      </c>
      <c r="B731" s="195" t="s">
        <v>854</v>
      </c>
      <c r="C731" s="217">
        <f>IF(ISNUMBER(VLOOKUP($B:$B,BS!$A:$D,$2:$2,0)),VLOOKUP($B:$B,BS!$A:$D,$2:$2,0),0)</f>
        <v>0</v>
      </c>
      <c r="D731" s="217">
        <f>IF(ISNUMBER(VLOOKUP($B:$B,BS!$A:$D,$2:$2,0)),VLOOKUP($B:$B,BS!$A:$D,$2:$2,0),0)</f>
        <v>0</v>
      </c>
      <c r="E731" s="217">
        <f>IF(ISNUMBER(VLOOKUP($B:$B,BS!$A:$D,$2:$2,0)),VLOOKUP($B:$B,BS!$A:$D,$2:$2,0),0)</f>
        <v>0</v>
      </c>
      <c r="F731" s="217">
        <f>IF(ISNUMBER(VLOOKUP($B:$B,BS!$A:$D,$2:$2,0)),VLOOKUP($B:$B,BS!$A:$D,$2:$2,0),0)</f>
        <v>0</v>
      </c>
      <c r="G731" s="217">
        <f>IF(ISNUMBER(VLOOKUP($B:$B,BS!$A:$D,$2:$2,0)),VLOOKUP($B:$B,BS!$A:$D,$2:$2,0),0)</f>
        <v>0</v>
      </c>
      <c r="H731" s="207">
        <f>IF(ISNUMBER(VLOOKUP($B:$B,'BS(과거)'!$A:$F,$2:$2,0)),VLOOKUP($B:$B,'BS(과거)'!$A:$F,$2:$2,0),0)</f>
        <v>0</v>
      </c>
      <c r="I731" s="207">
        <f>IF(ISNUMBER(VLOOKUP($B:$B,'BS(과거)'!$A:$F,$2:$2,0)),VLOOKUP($B:$B,'BS(과거)'!$A:$F,$2:$2,0),0)</f>
        <v>0</v>
      </c>
      <c r="J731" s="207">
        <f>IF(ISNUMBER(VLOOKUP($B:$B,'BS(과거)'!$A:$F,$2:$2,0)),VLOOKUP($B:$B,'BS(과거)'!$A:$F,$2:$2,0),0)</f>
        <v>0</v>
      </c>
      <c r="K731" s="207">
        <f>IF(ISNUMBER(VLOOKUP($B:$B,'BS(과거)'!$A:$F,$2:$2,0)),VLOOKUP($B:$B,'BS(과거)'!$A:$F,$2:$2,0),0)</f>
        <v>0</v>
      </c>
      <c r="L731" s="207">
        <f>IF(ISNUMBER(VLOOKUP($B:$B,'BS(과거)'!$A:$F,$2:$2,0)),VLOOKUP($B:$B,'BS(과거)'!$A:$F,$2:$2,0),0)</f>
        <v>0</v>
      </c>
      <c r="N731" s="207">
        <f>IF(ISNUMBER(VLOOKUP($B:$B,'BS(분기)'!$A:$F,$2:$2,0)),VLOOKUP($B:$B,'BS(분기)'!$A:$F,$2:$2,0),0)</f>
        <v>0</v>
      </c>
      <c r="O731" s="207">
        <f>IF(ISNUMBER(VLOOKUP($B:$B,'BS(분기)'!$A:$F,$2:$2,0)),VLOOKUP($B:$B,'BS(분기)'!$A:$F,$2:$2,0),0)</f>
        <v>0</v>
      </c>
      <c r="P731" s="207">
        <f>IF(ISNUMBER(VLOOKUP($B:$B,'BS(분기)'!$A:$F,$2:$2,0)),VLOOKUP($B:$B,'BS(분기)'!$A:$F,$2:$2,0),0)</f>
        <v>0</v>
      </c>
      <c r="Q731" s="207">
        <f>IF(ISNUMBER(VLOOKUP($B:$B,'BS(분기)'!$A:$F,$2:$2,0)),VLOOKUP($B:$B,'BS(분기)'!$A:$F,$2:$2,0),0)</f>
        <v>0</v>
      </c>
      <c r="R731" s="207">
        <f>IF(ISNUMBER(VLOOKUP($B:$B,'BS(분기)'!$A:$F,$2:$2,0)),VLOOKUP($B:$B,'BS(분기)'!$A:$F,$2:$2,0),0)</f>
        <v>0</v>
      </c>
    </row>
    <row r="732" spans="1:18" s="192" customFormat="1" ht="12">
      <c r="A732" s="202">
        <v>118431</v>
      </c>
      <c r="B732" s="195" t="s">
        <v>595</v>
      </c>
      <c r="C732" s="217">
        <f>IF(ISNUMBER(VLOOKUP($B:$B,BS!$A:$D,$2:$2,0)),VLOOKUP($B:$B,BS!$A:$D,$2:$2,0),0)</f>
        <v>0</v>
      </c>
      <c r="D732" s="217">
        <f>IF(ISNUMBER(VLOOKUP($B:$B,BS!$A:$D,$2:$2,0)),VLOOKUP($B:$B,BS!$A:$D,$2:$2,0),0)</f>
        <v>0</v>
      </c>
      <c r="E732" s="217">
        <f>IF(ISNUMBER(VLOOKUP($B:$B,BS!$A:$D,$2:$2,0)),VLOOKUP($B:$B,BS!$A:$D,$2:$2,0),0)</f>
        <v>0</v>
      </c>
      <c r="F732" s="217">
        <f>IF(ISNUMBER(VLOOKUP($B:$B,BS!$A:$D,$2:$2,0)),VLOOKUP($B:$B,BS!$A:$D,$2:$2,0),0)</f>
        <v>0</v>
      </c>
      <c r="G732" s="217">
        <f>IF(ISNUMBER(VLOOKUP($B:$B,BS!$A:$D,$2:$2,0)),VLOOKUP($B:$B,BS!$A:$D,$2:$2,0),0)</f>
        <v>0</v>
      </c>
      <c r="H732" s="207">
        <f>IF(ISNUMBER(VLOOKUP($B:$B,'BS(과거)'!$A:$F,$2:$2,0)),VLOOKUP($B:$B,'BS(과거)'!$A:$F,$2:$2,0),0)</f>
        <v>0</v>
      </c>
      <c r="I732" s="207">
        <f>IF(ISNUMBER(VLOOKUP($B:$B,'BS(과거)'!$A:$F,$2:$2,0)),VLOOKUP($B:$B,'BS(과거)'!$A:$F,$2:$2,0),0)</f>
        <v>0</v>
      </c>
      <c r="J732" s="207">
        <f>IF(ISNUMBER(VLOOKUP($B:$B,'BS(과거)'!$A:$F,$2:$2,0)),VLOOKUP($B:$B,'BS(과거)'!$A:$F,$2:$2,0),0)</f>
        <v>0</v>
      </c>
      <c r="K732" s="207">
        <f>IF(ISNUMBER(VLOOKUP($B:$B,'BS(과거)'!$A:$F,$2:$2,0)),VLOOKUP($B:$B,'BS(과거)'!$A:$F,$2:$2,0),0)</f>
        <v>0</v>
      </c>
      <c r="L732" s="207">
        <f>IF(ISNUMBER(VLOOKUP($B:$B,'BS(과거)'!$A:$F,$2:$2,0)),VLOOKUP($B:$B,'BS(과거)'!$A:$F,$2:$2,0),0)</f>
        <v>0</v>
      </c>
      <c r="N732" s="207">
        <f>IF(ISNUMBER(VLOOKUP($B:$B,'BS(분기)'!$A:$F,$2:$2,0)),VLOOKUP($B:$B,'BS(분기)'!$A:$F,$2:$2,0),0)</f>
        <v>0</v>
      </c>
      <c r="O732" s="207">
        <f>IF(ISNUMBER(VLOOKUP($B:$B,'BS(분기)'!$A:$F,$2:$2,0)),VLOOKUP($B:$B,'BS(분기)'!$A:$F,$2:$2,0),0)</f>
        <v>0</v>
      </c>
      <c r="P732" s="207">
        <f>IF(ISNUMBER(VLOOKUP($B:$B,'BS(분기)'!$A:$F,$2:$2,0)),VLOOKUP($B:$B,'BS(분기)'!$A:$F,$2:$2,0),0)</f>
        <v>0</v>
      </c>
      <c r="Q732" s="207">
        <f>IF(ISNUMBER(VLOOKUP($B:$B,'BS(분기)'!$A:$F,$2:$2,0)),VLOOKUP($B:$B,'BS(분기)'!$A:$F,$2:$2,0),0)</f>
        <v>0</v>
      </c>
      <c r="R732" s="207">
        <f>IF(ISNUMBER(VLOOKUP($B:$B,'BS(분기)'!$A:$F,$2:$2,0)),VLOOKUP($B:$B,'BS(분기)'!$A:$F,$2:$2,0),0)</f>
        <v>0</v>
      </c>
    </row>
    <row r="733" spans="1:18" s="192" customFormat="1" ht="12">
      <c r="A733" s="202">
        <v>118432</v>
      </c>
      <c r="B733" s="195" t="s">
        <v>855</v>
      </c>
      <c r="C733" s="217">
        <f>IF(ISNUMBER(VLOOKUP($B:$B,BS!$A:$D,$2:$2,0)),VLOOKUP($B:$B,BS!$A:$D,$2:$2,0),0)</f>
        <v>0</v>
      </c>
      <c r="D733" s="217">
        <f>IF(ISNUMBER(VLOOKUP($B:$B,BS!$A:$D,$2:$2,0)),VLOOKUP($B:$B,BS!$A:$D,$2:$2,0),0)</f>
        <v>0</v>
      </c>
      <c r="E733" s="217">
        <f>IF(ISNUMBER(VLOOKUP($B:$B,BS!$A:$D,$2:$2,0)),VLOOKUP($B:$B,BS!$A:$D,$2:$2,0),0)</f>
        <v>0</v>
      </c>
      <c r="F733" s="217">
        <f>IF(ISNUMBER(VLOOKUP($B:$B,BS!$A:$D,$2:$2,0)),VLOOKUP($B:$B,BS!$A:$D,$2:$2,0),0)</f>
        <v>0</v>
      </c>
      <c r="G733" s="217">
        <f>IF(ISNUMBER(VLOOKUP($B:$B,BS!$A:$D,$2:$2,0)),VLOOKUP($B:$B,BS!$A:$D,$2:$2,0),0)</f>
        <v>0</v>
      </c>
      <c r="H733" s="207">
        <f>IF(ISNUMBER(VLOOKUP($B:$B,'BS(과거)'!$A:$F,$2:$2,0)),VLOOKUP($B:$B,'BS(과거)'!$A:$F,$2:$2,0),0)</f>
        <v>0</v>
      </c>
      <c r="I733" s="207">
        <f>IF(ISNUMBER(VLOOKUP($B:$B,'BS(과거)'!$A:$F,$2:$2,0)),VLOOKUP($B:$B,'BS(과거)'!$A:$F,$2:$2,0),0)</f>
        <v>0</v>
      </c>
      <c r="J733" s="207">
        <f>IF(ISNUMBER(VLOOKUP($B:$B,'BS(과거)'!$A:$F,$2:$2,0)),VLOOKUP($B:$B,'BS(과거)'!$A:$F,$2:$2,0),0)</f>
        <v>0</v>
      </c>
      <c r="K733" s="207">
        <f>IF(ISNUMBER(VLOOKUP($B:$B,'BS(과거)'!$A:$F,$2:$2,0)),VLOOKUP($B:$B,'BS(과거)'!$A:$F,$2:$2,0),0)</f>
        <v>0</v>
      </c>
      <c r="L733" s="207">
        <f>IF(ISNUMBER(VLOOKUP($B:$B,'BS(과거)'!$A:$F,$2:$2,0)),VLOOKUP($B:$B,'BS(과거)'!$A:$F,$2:$2,0),0)</f>
        <v>0</v>
      </c>
      <c r="N733" s="207">
        <f>IF(ISNUMBER(VLOOKUP($B:$B,'BS(분기)'!$A:$F,$2:$2,0)),VLOOKUP($B:$B,'BS(분기)'!$A:$F,$2:$2,0),0)</f>
        <v>0</v>
      </c>
      <c r="O733" s="207">
        <f>IF(ISNUMBER(VLOOKUP($B:$B,'BS(분기)'!$A:$F,$2:$2,0)),VLOOKUP($B:$B,'BS(분기)'!$A:$F,$2:$2,0),0)</f>
        <v>0</v>
      </c>
      <c r="P733" s="207">
        <f>IF(ISNUMBER(VLOOKUP($B:$B,'BS(분기)'!$A:$F,$2:$2,0)),VLOOKUP($B:$B,'BS(분기)'!$A:$F,$2:$2,0),0)</f>
        <v>0</v>
      </c>
      <c r="Q733" s="207">
        <f>IF(ISNUMBER(VLOOKUP($B:$B,'BS(분기)'!$A:$F,$2:$2,0)),VLOOKUP($B:$B,'BS(분기)'!$A:$F,$2:$2,0),0)</f>
        <v>0</v>
      </c>
      <c r="R733" s="207">
        <f>IF(ISNUMBER(VLOOKUP($B:$B,'BS(분기)'!$A:$F,$2:$2,0)),VLOOKUP($B:$B,'BS(분기)'!$A:$F,$2:$2,0),0)</f>
        <v>0</v>
      </c>
    </row>
    <row r="734" spans="1:18" s="192" customFormat="1" ht="12">
      <c r="A734" s="202">
        <v>118440</v>
      </c>
      <c r="B734" s="195" t="s">
        <v>1323</v>
      </c>
      <c r="C734" s="217">
        <f>IF(ISNUMBER(VLOOKUP($B:$B,BS!$A:$D,$2:$2,0)),VLOOKUP($B:$B,BS!$A:$D,$2:$2,0),0)</f>
        <v>0</v>
      </c>
      <c r="D734" s="217">
        <f>IF(ISNUMBER(VLOOKUP($B:$B,BS!$A:$D,$2:$2,0)),VLOOKUP($B:$B,BS!$A:$D,$2:$2,0),0)</f>
        <v>0</v>
      </c>
      <c r="E734" s="217">
        <f>IF(ISNUMBER(VLOOKUP($B:$B,BS!$A:$D,$2:$2,0)),VLOOKUP($B:$B,BS!$A:$D,$2:$2,0),0)</f>
        <v>0</v>
      </c>
      <c r="F734" s="217">
        <f>IF(ISNUMBER(VLOOKUP($B:$B,BS!$A:$D,$2:$2,0)),VLOOKUP($B:$B,BS!$A:$D,$2:$2,0),0)</f>
        <v>0</v>
      </c>
      <c r="G734" s="217">
        <f>IF(ISNUMBER(VLOOKUP($B:$B,BS!$A:$D,$2:$2,0)),VLOOKUP($B:$B,BS!$A:$D,$2:$2,0),0)</f>
        <v>0</v>
      </c>
      <c r="H734" s="207">
        <f>IF(ISNUMBER(VLOOKUP($B:$B,'BS(과거)'!$A:$F,$2:$2,0)),VLOOKUP($B:$B,'BS(과거)'!$A:$F,$2:$2,0),0)</f>
        <v>0</v>
      </c>
      <c r="I734" s="207">
        <f>IF(ISNUMBER(VLOOKUP($B:$B,'BS(과거)'!$A:$F,$2:$2,0)),VLOOKUP($B:$B,'BS(과거)'!$A:$F,$2:$2,0),0)</f>
        <v>0</v>
      </c>
      <c r="J734" s="207">
        <f>IF(ISNUMBER(VLOOKUP($B:$B,'BS(과거)'!$A:$F,$2:$2,0)),VLOOKUP($B:$B,'BS(과거)'!$A:$F,$2:$2,0),0)</f>
        <v>0</v>
      </c>
      <c r="K734" s="207">
        <f>IF(ISNUMBER(VLOOKUP($B:$B,'BS(과거)'!$A:$F,$2:$2,0)),VLOOKUP($B:$B,'BS(과거)'!$A:$F,$2:$2,0),0)</f>
        <v>0</v>
      </c>
      <c r="L734" s="207">
        <f>IF(ISNUMBER(VLOOKUP($B:$B,'BS(과거)'!$A:$F,$2:$2,0)),VLOOKUP($B:$B,'BS(과거)'!$A:$F,$2:$2,0),0)</f>
        <v>0</v>
      </c>
      <c r="N734" s="207">
        <f>IF(ISNUMBER(VLOOKUP($B:$B,'BS(분기)'!$A:$F,$2:$2,0)),VLOOKUP($B:$B,'BS(분기)'!$A:$F,$2:$2,0),0)</f>
        <v>0</v>
      </c>
      <c r="O734" s="207">
        <f>IF(ISNUMBER(VLOOKUP($B:$B,'BS(분기)'!$A:$F,$2:$2,0)),VLOOKUP($B:$B,'BS(분기)'!$A:$F,$2:$2,0),0)</f>
        <v>0</v>
      </c>
      <c r="P734" s="207">
        <f>IF(ISNUMBER(VLOOKUP($B:$B,'BS(분기)'!$A:$F,$2:$2,0)),VLOOKUP($B:$B,'BS(분기)'!$A:$F,$2:$2,0),0)</f>
        <v>0</v>
      </c>
      <c r="Q734" s="207">
        <f>IF(ISNUMBER(VLOOKUP($B:$B,'BS(분기)'!$A:$F,$2:$2,0)),VLOOKUP($B:$B,'BS(분기)'!$A:$F,$2:$2,0),0)</f>
        <v>0</v>
      </c>
      <c r="R734" s="207">
        <f>IF(ISNUMBER(VLOOKUP($B:$B,'BS(분기)'!$A:$F,$2:$2,0)),VLOOKUP($B:$B,'BS(분기)'!$A:$F,$2:$2,0),0)</f>
        <v>0</v>
      </c>
    </row>
    <row r="735" spans="1:18" s="192" customFormat="1" ht="12">
      <c r="A735" s="202">
        <v>118445</v>
      </c>
      <c r="B735" s="195" t="s">
        <v>1324</v>
      </c>
      <c r="C735" s="217">
        <f>IF(ISNUMBER(VLOOKUP($B:$B,BS!$A:$D,$2:$2,0)),VLOOKUP($B:$B,BS!$A:$D,$2:$2,0),0)</f>
        <v>0</v>
      </c>
      <c r="D735" s="217">
        <f>IF(ISNUMBER(VLOOKUP($B:$B,BS!$A:$D,$2:$2,0)),VLOOKUP($B:$B,BS!$A:$D,$2:$2,0),0)</f>
        <v>0</v>
      </c>
      <c r="E735" s="217">
        <f>IF(ISNUMBER(VLOOKUP($B:$B,BS!$A:$D,$2:$2,0)),VLOOKUP($B:$B,BS!$A:$D,$2:$2,0),0)</f>
        <v>0</v>
      </c>
      <c r="F735" s="217">
        <f>IF(ISNUMBER(VLOOKUP($B:$B,BS!$A:$D,$2:$2,0)),VLOOKUP($B:$B,BS!$A:$D,$2:$2,0),0)</f>
        <v>0</v>
      </c>
      <c r="G735" s="217">
        <f>IF(ISNUMBER(VLOOKUP($B:$B,BS!$A:$D,$2:$2,0)),VLOOKUP($B:$B,BS!$A:$D,$2:$2,0),0)</f>
        <v>0</v>
      </c>
      <c r="H735" s="207">
        <f>IF(ISNUMBER(VLOOKUP($B:$B,'BS(과거)'!$A:$F,$2:$2,0)),VLOOKUP($B:$B,'BS(과거)'!$A:$F,$2:$2,0),0)</f>
        <v>0</v>
      </c>
      <c r="I735" s="207">
        <f>IF(ISNUMBER(VLOOKUP($B:$B,'BS(과거)'!$A:$F,$2:$2,0)),VLOOKUP($B:$B,'BS(과거)'!$A:$F,$2:$2,0),0)</f>
        <v>0</v>
      </c>
      <c r="J735" s="207">
        <f>IF(ISNUMBER(VLOOKUP($B:$B,'BS(과거)'!$A:$F,$2:$2,0)),VLOOKUP($B:$B,'BS(과거)'!$A:$F,$2:$2,0),0)</f>
        <v>0</v>
      </c>
      <c r="K735" s="207">
        <f>IF(ISNUMBER(VLOOKUP($B:$B,'BS(과거)'!$A:$F,$2:$2,0)),VLOOKUP($B:$B,'BS(과거)'!$A:$F,$2:$2,0),0)</f>
        <v>0</v>
      </c>
      <c r="L735" s="207">
        <f>IF(ISNUMBER(VLOOKUP($B:$B,'BS(과거)'!$A:$F,$2:$2,0)),VLOOKUP($B:$B,'BS(과거)'!$A:$F,$2:$2,0),0)</f>
        <v>0</v>
      </c>
      <c r="N735" s="207">
        <f>IF(ISNUMBER(VLOOKUP($B:$B,'BS(분기)'!$A:$F,$2:$2,0)),VLOOKUP($B:$B,'BS(분기)'!$A:$F,$2:$2,0),0)</f>
        <v>0</v>
      </c>
      <c r="O735" s="207">
        <f>IF(ISNUMBER(VLOOKUP($B:$B,'BS(분기)'!$A:$F,$2:$2,0)),VLOOKUP($B:$B,'BS(분기)'!$A:$F,$2:$2,0),0)</f>
        <v>0</v>
      </c>
      <c r="P735" s="207">
        <f>IF(ISNUMBER(VLOOKUP($B:$B,'BS(분기)'!$A:$F,$2:$2,0)),VLOOKUP($B:$B,'BS(분기)'!$A:$F,$2:$2,0),0)</f>
        <v>0</v>
      </c>
      <c r="Q735" s="207">
        <f>IF(ISNUMBER(VLOOKUP($B:$B,'BS(분기)'!$A:$F,$2:$2,0)),VLOOKUP($B:$B,'BS(분기)'!$A:$F,$2:$2,0),0)</f>
        <v>0</v>
      </c>
      <c r="R735" s="207">
        <f>IF(ISNUMBER(VLOOKUP($B:$B,'BS(분기)'!$A:$F,$2:$2,0)),VLOOKUP($B:$B,'BS(분기)'!$A:$F,$2:$2,0),0)</f>
        <v>0</v>
      </c>
    </row>
    <row r="736" spans="1:18" s="192" customFormat="1" ht="12">
      <c r="A736" s="202">
        <v>118450</v>
      </c>
      <c r="B736" s="195" t="s">
        <v>1317</v>
      </c>
      <c r="C736" s="217">
        <f>IF(ISNUMBER(VLOOKUP($B:$B,BS!$A:$D,$2:$2,0)),VLOOKUP($B:$B,BS!$A:$D,$2:$2,0),0)</f>
        <v>0</v>
      </c>
      <c r="D736" s="217">
        <f>IF(ISNUMBER(VLOOKUP($B:$B,BS!$A:$D,$2:$2,0)),VLOOKUP($B:$B,BS!$A:$D,$2:$2,0),0)</f>
        <v>0</v>
      </c>
      <c r="E736" s="217">
        <f>IF(ISNUMBER(VLOOKUP($B:$B,BS!$A:$D,$2:$2,0)),VLOOKUP($B:$B,BS!$A:$D,$2:$2,0),0)</f>
        <v>0</v>
      </c>
      <c r="F736" s="217">
        <f>IF(ISNUMBER(VLOOKUP($B:$B,BS!$A:$D,$2:$2,0)),VLOOKUP($B:$B,BS!$A:$D,$2:$2,0),0)</f>
        <v>0</v>
      </c>
      <c r="G736" s="217">
        <f>IF(ISNUMBER(VLOOKUP($B:$B,BS!$A:$D,$2:$2,0)),VLOOKUP($B:$B,BS!$A:$D,$2:$2,0),0)</f>
        <v>0</v>
      </c>
      <c r="H736" s="207">
        <f>IF(ISNUMBER(VLOOKUP($B:$B,'BS(과거)'!$A:$F,$2:$2,0)),VLOOKUP($B:$B,'BS(과거)'!$A:$F,$2:$2,0),0)</f>
        <v>0</v>
      </c>
      <c r="I736" s="207">
        <f>IF(ISNUMBER(VLOOKUP($B:$B,'BS(과거)'!$A:$F,$2:$2,0)),VLOOKUP($B:$B,'BS(과거)'!$A:$F,$2:$2,0),0)</f>
        <v>0</v>
      </c>
      <c r="J736" s="207">
        <f>IF(ISNUMBER(VLOOKUP($B:$B,'BS(과거)'!$A:$F,$2:$2,0)),VLOOKUP($B:$B,'BS(과거)'!$A:$F,$2:$2,0),0)</f>
        <v>0</v>
      </c>
      <c r="K736" s="207">
        <f>IF(ISNUMBER(VLOOKUP($B:$B,'BS(과거)'!$A:$F,$2:$2,0)),VLOOKUP($B:$B,'BS(과거)'!$A:$F,$2:$2,0),0)</f>
        <v>0</v>
      </c>
      <c r="L736" s="207">
        <f>IF(ISNUMBER(VLOOKUP($B:$B,'BS(과거)'!$A:$F,$2:$2,0)),VLOOKUP($B:$B,'BS(과거)'!$A:$F,$2:$2,0),0)</f>
        <v>0</v>
      </c>
      <c r="N736" s="207">
        <f>IF(ISNUMBER(VLOOKUP($B:$B,'BS(분기)'!$A:$F,$2:$2,0)),VLOOKUP($B:$B,'BS(분기)'!$A:$F,$2:$2,0),0)</f>
        <v>0</v>
      </c>
      <c r="O736" s="207">
        <f>IF(ISNUMBER(VLOOKUP($B:$B,'BS(분기)'!$A:$F,$2:$2,0)),VLOOKUP($B:$B,'BS(분기)'!$A:$F,$2:$2,0),0)</f>
        <v>0</v>
      </c>
      <c r="P736" s="207">
        <f>IF(ISNUMBER(VLOOKUP($B:$B,'BS(분기)'!$A:$F,$2:$2,0)),VLOOKUP($B:$B,'BS(분기)'!$A:$F,$2:$2,0),0)</f>
        <v>0</v>
      </c>
      <c r="Q736" s="207">
        <f>IF(ISNUMBER(VLOOKUP($B:$B,'BS(분기)'!$A:$F,$2:$2,0)),VLOOKUP($B:$B,'BS(분기)'!$A:$F,$2:$2,0),0)</f>
        <v>0</v>
      </c>
      <c r="R736" s="207">
        <f>IF(ISNUMBER(VLOOKUP($B:$B,'BS(분기)'!$A:$F,$2:$2,0)),VLOOKUP($B:$B,'BS(분기)'!$A:$F,$2:$2,0),0)</f>
        <v>0</v>
      </c>
    </row>
    <row r="737" spans="1:18" s="192" customFormat="1" ht="12">
      <c r="A737" s="202">
        <v>118460</v>
      </c>
      <c r="B737" s="195" t="s">
        <v>1318</v>
      </c>
      <c r="C737" s="217">
        <f>IF(ISNUMBER(VLOOKUP($B:$B,BS!$A:$D,$2:$2,0)),VLOOKUP($B:$B,BS!$A:$D,$2:$2,0),0)</f>
        <v>0</v>
      </c>
      <c r="D737" s="217">
        <f>IF(ISNUMBER(VLOOKUP($B:$B,BS!$A:$D,$2:$2,0)),VLOOKUP($B:$B,BS!$A:$D,$2:$2,0),0)</f>
        <v>0</v>
      </c>
      <c r="E737" s="217">
        <f>IF(ISNUMBER(VLOOKUP($B:$B,BS!$A:$D,$2:$2,0)),VLOOKUP($B:$B,BS!$A:$D,$2:$2,0),0)</f>
        <v>0</v>
      </c>
      <c r="F737" s="217">
        <f>IF(ISNUMBER(VLOOKUP($B:$B,BS!$A:$D,$2:$2,0)),VLOOKUP($B:$B,BS!$A:$D,$2:$2,0),0)</f>
        <v>0</v>
      </c>
      <c r="G737" s="217">
        <f>IF(ISNUMBER(VLOOKUP($B:$B,BS!$A:$D,$2:$2,0)),VLOOKUP($B:$B,BS!$A:$D,$2:$2,0),0)</f>
        <v>0</v>
      </c>
      <c r="H737" s="207">
        <f>IF(ISNUMBER(VLOOKUP($B:$B,'BS(과거)'!$A:$F,$2:$2,0)),VLOOKUP($B:$B,'BS(과거)'!$A:$F,$2:$2,0),0)</f>
        <v>0</v>
      </c>
      <c r="I737" s="207">
        <f>IF(ISNUMBER(VLOOKUP($B:$B,'BS(과거)'!$A:$F,$2:$2,0)),VLOOKUP($B:$B,'BS(과거)'!$A:$F,$2:$2,0),0)</f>
        <v>0</v>
      </c>
      <c r="J737" s="207">
        <f>IF(ISNUMBER(VLOOKUP($B:$B,'BS(과거)'!$A:$F,$2:$2,0)),VLOOKUP($B:$B,'BS(과거)'!$A:$F,$2:$2,0),0)</f>
        <v>0</v>
      </c>
      <c r="K737" s="207">
        <f>IF(ISNUMBER(VLOOKUP($B:$B,'BS(과거)'!$A:$F,$2:$2,0)),VLOOKUP($B:$B,'BS(과거)'!$A:$F,$2:$2,0),0)</f>
        <v>0</v>
      </c>
      <c r="L737" s="207">
        <f>IF(ISNUMBER(VLOOKUP($B:$B,'BS(과거)'!$A:$F,$2:$2,0)),VLOOKUP($B:$B,'BS(과거)'!$A:$F,$2:$2,0),0)</f>
        <v>0</v>
      </c>
      <c r="N737" s="207">
        <f>IF(ISNUMBER(VLOOKUP($B:$B,'BS(분기)'!$A:$F,$2:$2,0)),VLOOKUP($B:$B,'BS(분기)'!$A:$F,$2:$2,0),0)</f>
        <v>0</v>
      </c>
      <c r="O737" s="207">
        <f>IF(ISNUMBER(VLOOKUP($B:$B,'BS(분기)'!$A:$F,$2:$2,0)),VLOOKUP($B:$B,'BS(분기)'!$A:$F,$2:$2,0),0)</f>
        <v>0</v>
      </c>
      <c r="P737" s="207">
        <f>IF(ISNUMBER(VLOOKUP($B:$B,'BS(분기)'!$A:$F,$2:$2,0)),VLOOKUP($B:$B,'BS(분기)'!$A:$F,$2:$2,0),0)</f>
        <v>0</v>
      </c>
      <c r="Q737" s="207">
        <f>IF(ISNUMBER(VLOOKUP($B:$B,'BS(분기)'!$A:$F,$2:$2,0)),VLOOKUP($B:$B,'BS(분기)'!$A:$F,$2:$2,0),0)</f>
        <v>0</v>
      </c>
      <c r="R737" s="207">
        <f>IF(ISNUMBER(VLOOKUP($B:$B,'BS(분기)'!$A:$F,$2:$2,0)),VLOOKUP($B:$B,'BS(분기)'!$A:$F,$2:$2,0),0)</f>
        <v>0</v>
      </c>
    </row>
    <row r="738" spans="1:18" s="192" customFormat="1" ht="12">
      <c r="A738" s="202">
        <v>118490</v>
      </c>
      <c r="B738" s="195" t="s">
        <v>1325</v>
      </c>
      <c r="C738" s="217">
        <f>IF(ISNUMBER(VLOOKUP($B:$B,BS!$A:$D,$2:$2,0)),VLOOKUP($B:$B,BS!$A:$D,$2:$2,0),0)</f>
        <v>0</v>
      </c>
      <c r="D738" s="217">
        <f>IF(ISNUMBER(VLOOKUP($B:$B,BS!$A:$D,$2:$2,0)),VLOOKUP($B:$B,BS!$A:$D,$2:$2,0),0)</f>
        <v>0</v>
      </c>
      <c r="E738" s="217">
        <f>IF(ISNUMBER(VLOOKUP($B:$B,BS!$A:$D,$2:$2,0)),VLOOKUP($B:$B,BS!$A:$D,$2:$2,0),0)</f>
        <v>0</v>
      </c>
      <c r="F738" s="217">
        <f>IF(ISNUMBER(VLOOKUP($B:$B,BS!$A:$D,$2:$2,0)),VLOOKUP($B:$B,BS!$A:$D,$2:$2,0),0)</f>
        <v>0</v>
      </c>
      <c r="G738" s="217">
        <f>IF(ISNUMBER(VLOOKUP($B:$B,BS!$A:$D,$2:$2,0)),VLOOKUP($B:$B,BS!$A:$D,$2:$2,0),0)</f>
        <v>0</v>
      </c>
      <c r="H738" s="207">
        <f>IF(ISNUMBER(VLOOKUP($B:$B,'BS(과거)'!$A:$F,$2:$2,0)),VLOOKUP($B:$B,'BS(과거)'!$A:$F,$2:$2,0),0)</f>
        <v>0</v>
      </c>
      <c r="I738" s="207">
        <f>IF(ISNUMBER(VLOOKUP($B:$B,'BS(과거)'!$A:$F,$2:$2,0)),VLOOKUP($B:$B,'BS(과거)'!$A:$F,$2:$2,0),0)</f>
        <v>0</v>
      </c>
      <c r="J738" s="207">
        <f>IF(ISNUMBER(VLOOKUP($B:$B,'BS(과거)'!$A:$F,$2:$2,0)),VLOOKUP($B:$B,'BS(과거)'!$A:$F,$2:$2,0),0)</f>
        <v>0</v>
      </c>
      <c r="K738" s="207">
        <f>IF(ISNUMBER(VLOOKUP($B:$B,'BS(과거)'!$A:$F,$2:$2,0)),VLOOKUP($B:$B,'BS(과거)'!$A:$F,$2:$2,0),0)</f>
        <v>0</v>
      </c>
      <c r="L738" s="207">
        <f>IF(ISNUMBER(VLOOKUP($B:$B,'BS(과거)'!$A:$F,$2:$2,0)),VLOOKUP($B:$B,'BS(과거)'!$A:$F,$2:$2,0),0)</f>
        <v>0</v>
      </c>
      <c r="N738" s="207">
        <f>IF(ISNUMBER(VLOOKUP($B:$B,'BS(분기)'!$A:$F,$2:$2,0)),VLOOKUP($B:$B,'BS(분기)'!$A:$F,$2:$2,0),0)</f>
        <v>0</v>
      </c>
      <c r="O738" s="207">
        <f>IF(ISNUMBER(VLOOKUP($B:$B,'BS(분기)'!$A:$F,$2:$2,0)),VLOOKUP($B:$B,'BS(분기)'!$A:$F,$2:$2,0),0)</f>
        <v>0</v>
      </c>
      <c r="P738" s="207">
        <f>IF(ISNUMBER(VLOOKUP($B:$B,'BS(분기)'!$A:$F,$2:$2,0)),VLOOKUP($B:$B,'BS(분기)'!$A:$F,$2:$2,0),0)</f>
        <v>0</v>
      </c>
      <c r="Q738" s="207">
        <f>IF(ISNUMBER(VLOOKUP($B:$B,'BS(분기)'!$A:$F,$2:$2,0)),VLOOKUP($B:$B,'BS(분기)'!$A:$F,$2:$2,0),0)</f>
        <v>0</v>
      </c>
      <c r="R738" s="207">
        <f>IF(ISNUMBER(VLOOKUP($B:$B,'BS(분기)'!$A:$F,$2:$2,0)),VLOOKUP($B:$B,'BS(분기)'!$A:$F,$2:$2,0),0)</f>
        <v>0</v>
      </c>
    </row>
    <row r="739" spans="1:18" s="192" customFormat="1" ht="12">
      <c r="A739" s="202">
        <v>118570</v>
      </c>
      <c r="B739" s="195" t="s">
        <v>856</v>
      </c>
      <c r="C739" s="217">
        <f>IF(ISNUMBER(VLOOKUP($B:$B,BS!$A:$D,$2:$2,0)),VLOOKUP($B:$B,BS!$A:$D,$2:$2,0),0)</f>
        <v>0</v>
      </c>
      <c r="D739" s="217">
        <f>IF(ISNUMBER(VLOOKUP($B:$B,BS!$A:$D,$2:$2,0)),VLOOKUP($B:$B,BS!$A:$D,$2:$2,0),0)</f>
        <v>0</v>
      </c>
      <c r="E739" s="217">
        <f>IF(ISNUMBER(VLOOKUP($B:$B,BS!$A:$D,$2:$2,0)),VLOOKUP($B:$B,BS!$A:$D,$2:$2,0),0)</f>
        <v>0</v>
      </c>
      <c r="F739" s="217">
        <f>IF(ISNUMBER(VLOOKUP($B:$B,BS!$A:$D,$2:$2,0)),VLOOKUP($B:$B,BS!$A:$D,$2:$2,0),0)</f>
        <v>0</v>
      </c>
      <c r="G739" s="217">
        <f>IF(ISNUMBER(VLOOKUP($B:$B,BS!$A:$D,$2:$2,0)),VLOOKUP($B:$B,BS!$A:$D,$2:$2,0),0)</f>
        <v>0</v>
      </c>
      <c r="H739" s="207">
        <f>IF(ISNUMBER(VLOOKUP($B:$B,'BS(과거)'!$A:$F,$2:$2,0)),VLOOKUP($B:$B,'BS(과거)'!$A:$F,$2:$2,0),0)</f>
        <v>0</v>
      </c>
      <c r="I739" s="207">
        <f>IF(ISNUMBER(VLOOKUP($B:$B,'BS(과거)'!$A:$F,$2:$2,0)),VLOOKUP($B:$B,'BS(과거)'!$A:$F,$2:$2,0),0)</f>
        <v>0</v>
      </c>
      <c r="J739" s="207">
        <f>IF(ISNUMBER(VLOOKUP($B:$B,'BS(과거)'!$A:$F,$2:$2,0)),VLOOKUP($B:$B,'BS(과거)'!$A:$F,$2:$2,0),0)</f>
        <v>0</v>
      </c>
      <c r="K739" s="207">
        <f>IF(ISNUMBER(VLOOKUP($B:$B,'BS(과거)'!$A:$F,$2:$2,0)),VLOOKUP($B:$B,'BS(과거)'!$A:$F,$2:$2,0),0)</f>
        <v>0</v>
      </c>
      <c r="L739" s="207">
        <f>IF(ISNUMBER(VLOOKUP($B:$B,'BS(과거)'!$A:$F,$2:$2,0)),VLOOKUP($B:$B,'BS(과거)'!$A:$F,$2:$2,0),0)</f>
        <v>0</v>
      </c>
      <c r="N739" s="207">
        <f>IF(ISNUMBER(VLOOKUP($B:$B,'BS(분기)'!$A:$F,$2:$2,0)),VLOOKUP($B:$B,'BS(분기)'!$A:$F,$2:$2,0),0)</f>
        <v>0</v>
      </c>
      <c r="O739" s="207">
        <f>IF(ISNUMBER(VLOOKUP($B:$B,'BS(분기)'!$A:$F,$2:$2,0)),VLOOKUP($B:$B,'BS(분기)'!$A:$F,$2:$2,0),0)</f>
        <v>0</v>
      </c>
      <c r="P739" s="207">
        <f>IF(ISNUMBER(VLOOKUP($B:$B,'BS(분기)'!$A:$F,$2:$2,0)),VLOOKUP($B:$B,'BS(분기)'!$A:$F,$2:$2,0),0)</f>
        <v>0</v>
      </c>
      <c r="Q739" s="207">
        <f>IF(ISNUMBER(VLOOKUP($B:$B,'BS(분기)'!$A:$F,$2:$2,0)),VLOOKUP($B:$B,'BS(분기)'!$A:$F,$2:$2,0),0)</f>
        <v>0</v>
      </c>
      <c r="R739" s="207">
        <f>IF(ISNUMBER(VLOOKUP($B:$B,'BS(분기)'!$A:$F,$2:$2,0)),VLOOKUP($B:$B,'BS(분기)'!$A:$F,$2:$2,0),0)</f>
        <v>0</v>
      </c>
    </row>
    <row r="740" spans="1:18" s="192" customFormat="1" ht="12">
      <c r="A740" s="202">
        <v>118578</v>
      </c>
      <c r="B740" s="195" t="s">
        <v>1326</v>
      </c>
      <c r="C740" s="217">
        <f>IF(ISNUMBER(VLOOKUP($B:$B,BS!$A:$D,$2:$2,0)),VLOOKUP($B:$B,BS!$A:$D,$2:$2,0),0)</f>
        <v>0</v>
      </c>
      <c r="D740" s="217">
        <f>IF(ISNUMBER(VLOOKUP($B:$B,BS!$A:$D,$2:$2,0)),VLOOKUP($B:$B,BS!$A:$D,$2:$2,0),0)</f>
        <v>0</v>
      </c>
      <c r="E740" s="217">
        <f>IF(ISNUMBER(VLOOKUP($B:$B,BS!$A:$D,$2:$2,0)),VLOOKUP($B:$B,BS!$A:$D,$2:$2,0),0)</f>
        <v>0</v>
      </c>
      <c r="F740" s="217">
        <f>IF(ISNUMBER(VLOOKUP($B:$B,BS!$A:$D,$2:$2,0)),VLOOKUP($B:$B,BS!$A:$D,$2:$2,0),0)</f>
        <v>0</v>
      </c>
      <c r="G740" s="217">
        <f>IF(ISNUMBER(VLOOKUP($B:$B,BS!$A:$D,$2:$2,0)),VLOOKUP($B:$B,BS!$A:$D,$2:$2,0),0)</f>
        <v>0</v>
      </c>
      <c r="H740" s="207">
        <f>IF(ISNUMBER(VLOOKUP($B:$B,'BS(과거)'!$A:$F,$2:$2,0)),VLOOKUP($B:$B,'BS(과거)'!$A:$F,$2:$2,0),0)</f>
        <v>0</v>
      </c>
      <c r="I740" s="207">
        <f>IF(ISNUMBER(VLOOKUP($B:$B,'BS(과거)'!$A:$F,$2:$2,0)),VLOOKUP($B:$B,'BS(과거)'!$A:$F,$2:$2,0),0)</f>
        <v>0</v>
      </c>
      <c r="J740" s="207">
        <f>IF(ISNUMBER(VLOOKUP($B:$B,'BS(과거)'!$A:$F,$2:$2,0)),VLOOKUP($B:$B,'BS(과거)'!$A:$F,$2:$2,0),0)</f>
        <v>0</v>
      </c>
      <c r="K740" s="207">
        <f>IF(ISNUMBER(VLOOKUP($B:$B,'BS(과거)'!$A:$F,$2:$2,0)),VLOOKUP($B:$B,'BS(과거)'!$A:$F,$2:$2,0),0)</f>
        <v>0</v>
      </c>
      <c r="L740" s="207">
        <f>IF(ISNUMBER(VLOOKUP($B:$B,'BS(과거)'!$A:$F,$2:$2,0)),VLOOKUP($B:$B,'BS(과거)'!$A:$F,$2:$2,0),0)</f>
        <v>0</v>
      </c>
      <c r="N740" s="207">
        <f>IF(ISNUMBER(VLOOKUP($B:$B,'BS(분기)'!$A:$F,$2:$2,0)),VLOOKUP($B:$B,'BS(분기)'!$A:$F,$2:$2,0),0)</f>
        <v>0</v>
      </c>
      <c r="O740" s="207">
        <f>IF(ISNUMBER(VLOOKUP($B:$B,'BS(분기)'!$A:$F,$2:$2,0)),VLOOKUP($B:$B,'BS(분기)'!$A:$F,$2:$2,0),0)</f>
        <v>0</v>
      </c>
      <c r="P740" s="207">
        <f>IF(ISNUMBER(VLOOKUP($B:$B,'BS(분기)'!$A:$F,$2:$2,0)),VLOOKUP($B:$B,'BS(분기)'!$A:$F,$2:$2,0),0)</f>
        <v>0</v>
      </c>
      <c r="Q740" s="207">
        <f>IF(ISNUMBER(VLOOKUP($B:$B,'BS(분기)'!$A:$F,$2:$2,0)),VLOOKUP($B:$B,'BS(분기)'!$A:$F,$2:$2,0),0)</f>
        <v>0</v>
      </c>
      <c r="R740" s="207">
        <f>IF(ISNUMBER(VLOOKUP($B:$B,'BS(분기)'!$A:$F,$2:$2,0)),VLOOKUP($B:$B,'BS(분기)'!$A:$F,$2:$2,0),0)</f>
        <v>0</v>
      </c>
    </row>
    <row r="741" spans="1:18" s="192" customFormat="1" ht="12">
      <c r="A741" s="202">
        <v>118580</v>
      </c>
      <c r="B741" s="195" t="s">
        <v>1327</v>
      </c>
      <c r="C741" s="217">
        <f>IF(ISNUMBER(VLOOKUP($B:$B,BS!$A:$D,$2:$2,0)),VLOOKUP($B:$B,BS!$A:$D,$2:$2,0),0)</f>
        <v>0</v>
      </c>
      <c r="D741" s="217">
        <f>IF(ISNUMBER(VLOOKUP($B:$B,BS!$A:$D,$2:$2,0)),VLOOKUP($B:$B,BS!$A:$D,$2:$2,0),0)</f>
        <v>0</v>
      </c>
      <c r="E741" s="217">
        <f>IF(ISNUMBER(VLOOKUP($B:$B,BS!$A:$D,$2:$2,0)),VLOOKUP($B:$B,BS!$A:$D,$2:$2,0),0)</f>
        <v>0</v>
      </c>
      <c r="F741" s="217">
        <f>IF(ISNUMBER(VLOOKUP($B:$B,BS!$A:$D,$2:$2,0)),VLOOKUP($B:$B,BS!$A:$D,$2:$2,0),0)</f>
        <v>0</v>
      </c>
      <c r="G741" s="217">
        <f>IF(ISNUMBER(VLOOKUP($B:$B,BS!$A:$D,$2:$2,0)),VLOOKUP($B:$B,BS!$A:$D,$2:$2,0),0)</f>
        <v>0</v>
      </c>
      <c r="H741" s="207">
        <f>IF(ISNUMBER(VLOOKUP($B:$B,'BS(과거)'!$A:$F,$2:$2,0)),VLOOKUP($B:$B,'BS(과거)'!$A:$F,$2:$2,0),0)</f>
        <v>0</v>
      </c>
      <c r="I741" s="207">
        <f>IF(ISNUMBER(VLOOKUP($B:$B,'BS(과거)'!$A:$F,$2:$2,0)),VLOOKUP($B:$B,'BS(과거)'!$A:$F,$2:$2,0),0)</f>
        <v>0</v>
      </c>
      <c r="J741" s="207">
        <f>IF(ISNUMBER(VLOOKUP($B:$B,'BS(과거)'!$A:$F,$2:$2,0)),VLOOKUP($B:$B,'BS(과거)'!$A:$F,$2:$2,0),0)</f>
        <v>0</v>
      </c>
      <c r="K741" s="207">
        <f>IF(ISNUMBER(VLOOKUP($B:$B,'BS(과거)'!$A:$F,$2:$2,0)),VLOOKUP($B:$B,'BS(과거)'!$A:$F,$2:$2,0),0)</f>
        <v>0</v>
      </c>
      <c r="L741" s="207">
        <f>IF(ISNUMBER(VLOOKUP($B:$B,'BS(과거)'!$A:$F,$2:$2,0)),VLOOKUP($B:$B,'BS(과거)'!$A:$F,$2:$2,0),0)</f>
        <v>0</v>
      </c>
      <c r="N741" s="207">
        <f>IF(ISNUMBER(VLOOKUP($B:$B,'BS(분기)'!$A:$F,$2:$2,0)),VLOOKUP($B:$B,'BS(분기)'!$A:$F,$2:$2,0),0)</f>
        <v>0</v>
      </c>
      <c r="O741" s="207">
        <f>IF(ISNUMBER(VLOOKUP($B:$B,'BS(분기)'!$A:$F,$2:$2,0)),VLOOKUP($B:$B,'BS(분기)'!$A:$F,$2:$2,0),0)</f>
        <v>0</v>
      </c>
      <c r="P741" s="207">
        <f>IF(ISNUMBER(VLOOKUP($B:$B,'BS(분기)'!$A:$F,$2:$2,0)),VLOOKUP($B:$B,'BS(분기)'!$A:$F,$2:$2,0),0)</f>
        <v>0</v>
      </c>
      <c r="Q741" s="207">
        <f>IF(ISNUMBER(VLOOKUP($B:$B,'BS(분기)'!$A:$F,$2:$2,0)),VLOOKUP($B:$B,'BS(분기)'!$A:$F,$2:$2,0),0)</f>
        <v>0</v>
      </c>
      <c r="R741" s="207">
        <f>IF(ISNUMBER(VLOOKUP($B:$B,'BS(분기)'!$A:$F,$2:$2,0)),VLOOKUP($B:$B,'BS(분기)'!$A:$F,$2:$2,0),0)</f>
        <v>0</v>
      </c>
    </row>
    <row r="742" spans="1:18" s="192" customFormat="1" ht="12">
      <c r="A742" s="202">
        <v>118581</v>
      </c>
      <c r="B742" s="195" t="s">
        <v>668</v>
      </c>
      <c r="C742" s="217">
        <f>IF(ISNUMBER(VLOOKUP($B:$B,BS!$A:$D,$2:$2,0)),VLOOKUP($B:$B,BS!$A:$D,$2:$2,0),0)</f>
        <v>0</v>
      </c>
      <c r="D742" s="217">
        <f>IF(ISNUMBER(VLOOKUP($B:$B,BS!$A:$D,$2:$2,0)),VLOOKUP($B:$B,BS!$A:$D,$2:$2,0),0)</f>
        <v>0</v>
      </c>
      <c r="E742" s="217">
        <f>IF(ISNUMBER(VLOOKUP($B:$B,BS!$A:$D,$2:$2,0)),VLOOKUP($B:$B,BS!$A:$D,$2:$2,0),0)</f>
        <v>0</v>
      </c>
      <c r="F742" s="217">
        <f>IF(ISNUMBER(VLOOKUP($B:$B,BS!$A:$D,$2:$2,0)),VLOOKUP($B:$B,BS!$A:$D,$2:$2,0),0)</f>
        <v>0</v>
      </c>
      <c r="G742" s="217">
        <f>IF(ISNUMBER(VLOOKUP($B:$B,BS!$A:$D,$2:$2,0)),VLOOKUP($B:$B,BS!$A:$D,$2:$2,0),0)</f>
        <v>0</v>
      </c>
      <c r="H742" s="207">
        <f>IF(ISNUMBER(VLOOKUP($B:$B,'BS(과거)'!$A:$F,$2:$2,0)),VLOOKUP($B:$B,'BS(과거)'!$A:$F,$2:$2,0),0)</f>
        <v>0</v>
      </c>
      <c r="I742" s="207">
        <f>IF(ISNUMBER(VLOOKUP($B:$B,'BS(과거)'!$A:$F,$2:$2,0)),VLOOKUP($B:$B,'BS(과거)'!$A:$F,$2:$2,0),0)</f>
        <v>0</v>
      </c>
      <c r="J742" s="207">
        <f>IF(ISNUMBER(VLOOKUP($B:$B,'BS(과거)'!$A:$F,$2:$2,0)),VLOOKUP($B:$B,'BS(과거)'!$A:$F,$2:$2,0),0)</f>
        <v>0</v>
      </c>
      <c r="K742" s="207">
        <f>IF(ISNUMBER(VLOOKUP($B:$B,'BS(과거)'!$A:$F,$2:$2,0)),VLOOKUP($B:$B,'BS(과거)'!$A:$F,$2:$2,0),0)</f>
        <v>0</v>
      </c>
      <c r="L742" s="207">
        <f>IF(ISNUMBER(VLOOKUP($B:$B,'BS(과거)'!$A:$F,$2:$2,0)),VLOOKUP($B:$B,'BS(과거)'!$A:$F,$2:$2,0),0)</f>
        <v>0</v>
      </c>
      <c r="N742" s="207">
        <f>IF(ISNUMBER(VLOOKUP($B:$B,'BS(분기)'!$A:$F,$2:$2,0)),VLOOKUP($B:$B,'BS(분기)'!$A:$F,$2:$2,0),0)</f>
        <v>0</v>
      </c>
      <c r="O742" s="207">
        <f>IF(ISNUMBER(VLOOKUP($B:$B,'BS(분기)'!$A:$F,$2:$2,0)),VLOOKUP($B:$B,'BS(분기)'!$A:$F,$2:$2,0),0)</f>
        <v>0</v>
      </c>
      <c r="P742" s="207">
        <f>IF(ISNUMBER(VLOOKUP($B:$B,'BS(분기)'!$A:$F,$2:$2,0)),VLOOKUP($B:$B,'BS(분기)'!$A:$F,$2:$2,0),0)</f>
        <v>0</v>
      </c>
      <c r="Q742" s="207">
        <f>IF(ISNUMBER(VLOOKUP($B:$B,'BS(분기)'!$A:$F,$2:$2,0)),VLOOKUP($B:$B,'BS(분기)'!$A:$F,$2:$2,0),0)</f>
        <v>0</v>
      </c>
      <c r="R742" s="207">
        <f>IF(ISNUMBER(VLOOKUP($B:$B,'BS(분기)'!$A:$F,$2:$2,0)),VLOOKUP($B:$B,'BS(분기)'!$A:$F,$2:$2,0),0)</f>
        <v>0</v>
      </c>
    </row>
    <row r="743" spans="1:18" s="192" customFormat="1" ht="12">
      <c r="A743" s="202">
        <v>118582</v>
      </c>
      <c r="B743" s="195" t="s">
        <v>1328</v>
      </c>
      <c r="C743" s="217">
        <f>IF(ISNUMBER(VLOOKUP($B:$B,BS!$A:$D,$2:$2,0)),VLOOKUP($B:$B,BS!$A:$D,$2:$2,0),0)</f>
        <v>0</v>
      </c>
      <c r="D743" s="217">
        <f>IF(ISNUMBER(VLOOKUP($B:$B,BS!$A:$D,$2:$2,0)),VLOOKUP($B:$B,BS!$A:$D,$2:$2,0),0)</f>
        <v>0</v>
      </c>
      <c r="E743" s="217">
        <f>IF(ISNUMBER(VLOOKUP($B:$B,BS!$A:$D,$2:$2,0)),VLOOKUP($B:$B,BS!$A:$D,$2:$2,0),0)</f>
        <v>0</v>
      </c>
      <c r="F743" s="217">
        <f>IF(ISNUMBER(VLOOKUP($B:$B,BS!$A:$D,$2:$2,0)),VLOOKUP($B:$B,BS!$A:$D,$2:$2,0),0)</f>
        <v>0</v>
      </c>
      <c r="G743" s="217">
        <f>IF(ISNUMBER(VLOOKUP($B:$B,BS!$A:$D,$2:$2,0)),VLOOKUP($B:$B,BS!$A:$D,$2:$2,0),0)</f>
        <v>0</v>
      </c>
      <c r="H743" s="207">
        <f>IF(ISNUMBER(VLOOKUP($B:$B,'BS(과거)'!$A:$F,$2:$2,0)),VLOOKUP($B:$B,'BS(과거)'!$A:$F,$2:$2,0),0)</f>
        <v>0</v>
      </c>
      <c r="I743" s="207">
        <f>IF(ISNUMBER(VLOOKUP($B:$B,'BS(과거)'!$A:$F,$2:$2,0)),VLOOKUP($B:$B,'BS(과거)'!$A:$F,$2:$2,0),0)</f>
        <v>0</v>
      </c>
      <c r="J743" s="207">
        <f>IF(ISNUMBER(VLOOKUP($B:$B,'BS(과거)'!$A:$F,$2:$2,0)),VLOOKUP($B:$B,'BS(과거)'!$A:$F,$2:$2,0),0)</f>
        <v>0</v>
      </c>
      <c r="K743" s="207">
        <f>IF(ISNUMBER(VLOOKUP($B:$B,'BS(과거)'!$A:$F,$2:$2,0)),VLOOKUP($B:$B,'BS(과거)'!$A:$F,$2:$2,0),0)</f>
        <v>0</v>
      </c>
      <c r="L743" s="207">
        <f>IF(ISNUMBER(VLOOKUP($B:$B,'BS(과거)'!$A:$F,$2:$2,0)),VLOOKUP($B:$B,'BS(과거)'!$A:$F,$2:$2,0),0)</f>
        <v>0</v>
      </c>
      <c r="N743" s="207">
        <f>IF(ISNUMBER(VLOOKUP($B:$B,'BS(분기)'!$A:$F,$2:$2,0)),VLOOKUP($B:$B,'BS(분기)'!$A:$F,$2:$2,0),0)</f>
        <v>0</v>
      </c>
      <c r="O743" s="207">
        <f>IF(ISNUMBER(VLOOKUP($B:$B,'BS(분기)'!$A:$F,$2:$2,0)),VLOOKUP($B:$B,'BS(분기)'!$A:$F,$2:$2,0),0)</f>
        <v>0</v>
      </c>
      <c r="P743" s="207">
        <f>IF(ISNUMBER(VLOOKUP($B:$B,'BS(분기)'!$A:$F,$2:$2,0)),VLOOKUP($B:$B,'BS(분기)'!$A:$F,$2:$2,0),0)</f>
        <v>0</v>
      </c>
      <c r="Q743" s="207">
        <f>IF(ISNUMBER(VLOOKUP($B:$B,'BS(분기)'!$A:$F,$2:$2,0)),VLOOKUP($B:$B,'BS(분기)'!$A:$F,$2:$2,0),0)</f>
        <v>0</v>
      </c>
      <c r="R743" s="207">
        <f>IF(ISNUMBER(VLOOKUP($B:$B,'BS(분기)'!$A:$F,$2:$2,0)),VLOOKUP($B:$B,'BS(분기)'!$A:$F,$2:$2,0),0)</f>
        <v>0</v>
      </c>
    </row>
    <row r="744" spans="1:18" s="192" customFormat="1" ht="12">
      <c r="A744" s="202">
        <v>118130</v>
      </c>
      <c r="B744" s="195" t="s">
        <v>1329</v>
      </c>
      <c r="C744" s="217">
        <f>IF(ISNUMBER(VLOOKUP($B:$B,BS!$A:$D,$2:$2,0)),VLOOKUP($B:$B,BS!$A:$D,$2:$2,0),0)</f>
        <v>0</v>
      </c>
      <c r="D744" s="217">
        <f>IF(ISNUMBER(VLOOKUP($B:$B,BS!$A:$D,$2:$2,0)),VLOOKUP($B:$B,BS!$A:$D,$2:$2,0),0)</f>
        <v>0</v>
      </c>
      <c r="E744" s="217">
        <f>IF(ISNUMBER(VLOOKUP($B:$B,BS!$A:$D,$2:$2,0)),VLOOKUP($B:$B,BS!$A:$D,$2:$2,0),0)</f>
        <v>0</v>
      </c>
      <c r="F744" s="217">
        <f>IF(ISNUMBER(VLOOKUP($B:$B,BS!$A:$D,$2:$2,0)),VLOOKUP($B:$B,BS!$A:$D,$2:$2,0),0)</f>
        <v>0</v>
      </c>
      <c r="G744" s="217">
        <f>IF(ISNUMBER(VLOOKUP($B:$B,BS!$A:$D,$2:$2,0)),VLOOKUP($B:$B,BS!$A:$D,$2:$2,0),0)</f>
        <v>0</v>
      </c>
      <c r="H744" s="207">
        <f>IF(ISNUMBER(VLOOKUP($B:$B,'BS(과거)'!$A:$F,$2:$2,0)),VLOOKUP($B:$B,'BS(과거)'!$A:$F,$2:$2,0),0)</f>
        <v>0</v>
      </c>
      <c r="I744" s="207">
        <f>IF(ISNUMBER(VLOOKUP($B:$B,'BS(과거)'!$A:$F,$2:$2,0)),VLOOKUP($B:$B,'BS(과거)'!$A:$F,$2:$2,0),0)</f>
        <v>0</v>
      </c>
      <c r="J744" s="207">
        <f>IF(ISNUMBER(VLOOKUP($B:$B,'BS(과거)'!$A:$F,$2:$2,0)),VLOOKUP($B:$B,'BS(과거)'!$A:$F,$2:$2,0),0)</f>
        <v>0</v>
      </c>
      <c r="K744" s="207">
        <f>IF(ISNUMBER(VLOOKUP($B:$B,'BS(과거)'!$A:$F,$2:$2,0)),VLOOKUP($B:$B,'BS(과거)'!$A:$F,$2:$2,0),0)</f>
        <v>0</v>
      </c>
      <c r="L744" s="207">
        <f>IF(ISNUMBER(VLOOKUP($B:$B,'BS(과거)'!$A:$F,$2:$2,0)),VLOOKUP($B:$B,'BS(과거)'!$A:$F,$2:$2,0),0)</f>
        <v>0</v>
      </c>
      <c r="N744" s="207">
        <f>IF(ISNUMBER(VLOOKUP($B:$B,'BS(분기)'!$A:$F,$2:$2,0)),VLOOKUP($B:$B,'BS(분기)'!$A:$F,$2:$2,0),0)</f>
        <v>0</v>
      </c>
      <c r="O744" s="207">
        <f>IF(ISNUMBER(VLOOKUP($B:$B,'BS(분기)'!$A:$F,$2:$2,0)),VLOOKUP($B:$B,'BS(분기)'!$A:$F,$2:$2,0),0)</f>
        <v>0</v>
      </c>
      <c r="P744" s="207">
        <f>IF(ISNUMBER(VLOOKUP($B:$B,'BS(분기)'!$A:$F,$2:$2,0)),VLOOKUP($B:$B,'BS(분기)'!$A:$F,$2:$2,0),0)</f>
        <v>0</v>
      </c>
      <c r="Q744" s="207">
        <f>IF(ISNUMBER(VLOOKUP($B:$B,'BS(분기)'!$A:$F,$2:$2,0)),VLOOKUP($B:$B,'BS(분기)'!$A:$F,$2:$2,0),0)</f>
        <v>0</v>
      </c>
      <c r="R744" s="207">
        <f>IF(ISNUMBER(VLOOKUP($B:$B,'BS(분기)'!$A:$F,$2:$2,0)),VLOOKUP($B:$B,'BS(분기)'!$A:$F,$2:$2,0),0)</f>
        <v>0</v>
      </c>
    </row>
    <row r="745" spans="1:18" s="192" customFormat="1" ht="12">
      <c r="A745" s="202">
        <v>118589</v>
      </c>
      <c r="B745" s="195" t="s">
        <v>1330</v>
      </c>
      <c r="C745" s="217">
        <f>IF(ISNUMBER(VLOOKUP($B:$B,BS!$A:$D,$2:$2,0)),VLOOKUP($B:$B,BS!$A:$D,$2:$2,0),0)</f>
        <v>0</v>
      </c>
      <c r="D745" s="217">
        <f>IF(ISNUMBER(VLOOKUP($B:$B,BS!$A:$D,$2:$2,0)),VLOOKUP($B:$B,BS!$A:$D,$2:$2,0),0)</f>
        <v>0</v>
      </c>
      <c r="E745" s="217">
        <f>IF(ISNUMBER(VLOOKUP($B:$B,BS!$A:$D,$2:$2,0)),VLOOKUP($B:$B,BS!$A:$D,$2:$2,0),0)</f>
        <v>0</v>
      </c>
      <c r="F745" s="217">
        <f>IF(ISNUMBER(VLOOKUP($B:$B,BS!$A:$D,$2:$2,0)),VLOOKUP($B:$B,BS!$A:$D,$2:$2,0),0)</f>
        <v>0</v>
      </c>
      <c r="G745" s="217">
        <f>IF(ISNUMBER(VLOOKUP($B:$B,BS!$A:$D,$2:$2,0)),VLOOKUP($B:$B,BS!$A:$D,$2:$2,0),0)</f>
        <v>0</v>
      </c>
      <c r="H745" s="207">
        <f>IF(ISNUMBER(VLOOKUP($B:$B,'BS(과거)'!$A:$F,$2:$2,0)),VLOOKUP($B:$B,'BS(과거)'!$A:$F,$2:$2,0),0)</f>
        <v>0</v>
      </c>
      <c r="I745" s="207">
        <f>IF(ISNUMBER(VLOOKUP($B:$B,'BS(과거)'!$A:$F,$2:$2,0)),VLOOKUP($B:$B,'BS(과거)'!$A:$F,$2:$2,0),0)</f>
        <v>0</v>
      </c>
      <c r="J745" s="207">
        <f>IF(ISNUMBER(VLOOKUP($B:$B,'BS(과거)'!$A:$F,$2:$2,0)),VLOOKUP($B:$B,'BS(과거)'!$A:$F,$2:$2,0),0)</f>
        <v>0</v>
      </c>
      <c r="K745" s="207">
        <f>IF(ISNUMBER(VLOOKUP($B:$B,'BS(과거)'!$A:$F,$2:$2,0)),VLOOKUP($B:$B,'BS(과거)'!$A:$F,$2:$2,0),0)</f>
        <v>0</v>
      </c>
      <c r="L745" s="207">
        <f>IF(ISNUMBER(VLOOKUP($B:$B,'BS(과거)'!$A:$F,$2:$2,0)),VLOOKUP($B:$B,'BS(과거)'!$A:$F,$2:$2,0),0)</f>
        <v>0</v>
      </c>
      <c r="N745" s="207">
        <f>IF(ISNUMBER(VLOOKUP($B:$B,'BS(분기)'!$A:$F,$2:$2,0)),VLOOKUP($B:$B,'BS(분기)'!$A:$F,$2:$2,0),0)</f>
        <v>0</v>
      </c>
      <c r="O745" s="207">
        <f>IF(ISNUMBER(VLOOKUP($B:$B,'BS(분기)'!$A:$F,$2:$2,0)),VLOOKUP($B:$B,'BS(분기)'!$A:$F,$2:$2,0),0)</f>
        <v>0</v>
      </c>
      <c r="P745" s="207">
        <f>IF(ISNUMBER(VLOOKUP($B:$B,'BS(분기)'!$A:$F,$2:$2,0)),VLOOKUP($B:$B,'BS(분기)'!$A:$F,$2:$2,0),0)</f>
        <v>0</v>
      </c>
      <c r="Q745" s="207">
        <f>IF(ISNUMBER(VLOOKUP($B:$B,'BS(분기)'!$A:$F,$2:$2,0)),VLOOKUP($B:$B,'BS(분기)'!$A:$F,$2:$2,0),0)</f>
        <v>0</v>
      </c>
      <c r="R745" s="207">
        <f>IF(ISNUMBER(VLOOKUP($B:$B,'BS(분기)'!$A:$F,$2:$2,0)),VLOOKUP($B:$B,'BS(분기)'!$A:$F,$2:$2,0),0)</f>
        <v>0</v>
      </c>
    </row>
    <row r="746" spans="1:18" s="192" customFormat="1" ht="12">
      <c r="A746" s="202">
        <v>118590</v>
      </c>
      <c r="B746" s="195" t="s">
        <v>644</v>
      </c>
      <c r="C746" s="217">
        <f>IF(ISNUMBER(VLOOKUP($B:$B,BS!$A:$D,$2:$2,0)),VLOOKUP($B:$B,BS!$A:$D,$2:$2,0),0)</f>
        <v>0</v>
      </c>
      <c r="D746" s="217">
        <f>IF(ISNUMBER(VLOOKUP($B:$B,BS!$A:$D,$2:$2,0)),VLOOKUP($B:$B,BS!$A:$D,$2:$2,0),0)</f>
        <v>0</v>
      </c>
      <c r="E746" s="217">
        <f>IF(ISNUMBER(VLOOKUP($B:$B,BS!$A:$D,$2:$2,0)),VLOOKUP($B:$B,BS!$A:$D,$2:$2,0),0)</f>
        <v>0</v>
      </c>
      <c r="F746" s="217">
        <f>IF(ISNUMBER(VLOOKUP($B:$B,BS!$A:$D,$2:$2,0)),VLOOKUP($B:$B,BS!$A:$D,$2:$2,0),0)</f>
        <v>0</v>
      </c>
      <c r="G746" s="217">
        <f>IF(ISNUMBER(VLOOKUP($B:$B,BS!$A:$D,$2:$2,0)),VLOOKUP($B:$B,BS!$A:$D,$2:$2,0),0)</f>
        <v>0</v>
      </c>
      <c r="H746" s="207">
        <f>IF(ISNUMBER(VLOOKUP($B:$B,'BS(과거)'!$A:$F,$2:$2,0)),VLOOKUP($B:$B,'BS(과거)'!$A:$F,$2:$2,0),0)</f>
        <v>0</v>
      </c>
      <c r="I746" s="207">
        <f>IF(ISNUMBER(VLOOKUP($B:$B,'BS(과거)'!$A:$F,$2:$2,0)),VLOOKUP($B:$B,'BS(과거)'!$A:$F,$2:$2,0),0)</f>
        <v>0</v>
      </c>
      <c r="J746" s="207">
        <f>IF(ISNUMBER(VLOOKUP($B:$B,'BS(과거)'!$A:$F,$2:$2,0)),VLOOKUP($B:$B,'BS(과거)'!$A:$F,$2:$2,0),0)</f>
        <v>0</v>
      </c>
      <c r="K746" s="207">
        <f>IF(ISNUMBER(VLOOKUP($B:$B,'BS(과거)'!$A:$F,$2:$2,0)),VLOOKUP($B:$B,'BS(과거)'!$A:$F,$2:$2,0),0)</f>
        <v>0</v>
      </c>
      <c r="L746" s="207">
        <f>IF(ISNUMBER(VLOOKUP($B:$B,'BS(과거)'!$A:$F,$2:$2,0)),VLOOKUP($B:$B,'BS(과거)'!$A:$F,$2:$2,0),0)</f>
        <v>0</v>
      </c>
      <c r="N746" s="207">
        <f>IF(ISNUMBER(VLOOKUP($B:$B,'BS(분기)'!$A:$F,$2:$2,0)),VLOOKUP($B:$B,'BS(분기)'!$A:$F,$2:$2,0),0)</f>
        <v>0</v>
      </c>
      <c r="O746" s="207">
        <f>IF(ISNUMBER(VLOOKUP($B:$B,'BS(분기)'!$A:$F,$2:$2,0)),VLOOKUP($B:$B,'BS(분기)'!$A:$F,$2:$2,0),0)</f>
        <v>0</v>
      </c>
      <c r="P746" s="207">
        <f>IF(ISNUMBER(VLOOKUP($B:$B,'BS(분기)'!$A:$F,$2:$2,0)),VLOOKUP($B:$B,'BS(분기)'!$A:$F,$2:$2,0),0)</f>
        <v>0</v>
      </c>
      <c r="Q746" s="207">
        <f>IF(ISNUMBER(VLOOKUP($B:$B,'BS(분기)'!$A:$F,$2:$2,0)),VLOOKUP($B:$B,'BS(분기)'!$A:$F,$2:$2,0),0)</f>
        <v>0</v>
      </c>
      <c r="R746" s="207">
        <f>IF(ISNUMBER(VLOOKUP($B:$B,'BS(분기)'!$A:$F,$2:$2,0)),VLOOKUP($B:$B,'BS(분기)'!$A:$F,$2:$2,0),0)</f>
        <v>0</v>
      </c>
    </row>
    <row r="747" spans="1:18" s="192" customFormat="1" ht="12">
      <c r="A747" s="201">
        <v>118600</v>
      </c>
      <c r="B747" s="194" t="s">
        <v>596</v>
      </c>
      <c r="C747" s="217">
        <f>IF(ISNUMBER(VLOOKUP($B:$B,BS!$A:$D,$2:$2,0)),VLOOKUP($B:$B,BS!$A:$D,$2:$2,0),0)</f>
        <v>0</v>
      </c>
      <c r="D747" s="217">
        <f>IF(ISNUMBER(VLOOKUP($B:$B,BS!$A:$D,$2:$2,0)),VLOOKUP($B:$B,BS!$A:$D,$2:$2,0),0)</f>
        <v>0</v>
      </c>
      <c r="E747" s="217">
        <f>IF(ISNUMBER(VLOOKUP($B:$B,BS!$A:$D,$2:$2,0)),VLOOKUP($B:$B,BS!$A:$D,$2:$2,0),0)</f>
        <v>0</v>
      </c>
      <c r="F747" s="217">
        <f>IF(ISNUMBER(VLOOKUP($B:$B,BS!$A:$D,$2:$2,0)),VLOOKUP($B:$B,BS!$A:$D,$2:$2,0),0)</f>
        <v>0</v>
      </c>
      <c r="G747" s="217">
        <f>IF(ISNUMBER(VLOOKUP($B:$B,BS!$A:$D,$2:$2,0)),VLOOKUP($B:$B,BS!$A:$D,$2:$2,0),0)</f>
        <v>0</v>
      </c>
      <c r="H747" s="207">
        <f>IF(ISNUMBER(VLOOKUP($B:$B,'BS(과거)'!$A:$F,$2:$2,0)),VLOOKUP($B:$B,'BS(과거)'!$A:$F,$2:$2,0),0)</f>
        <v>0</v>
      </c>
      <c r="I747" s="207">
        <f>IF(ISNUMBER(VLOOKUP($B:$B,'BS(과거)'!$A:$F,$2:$2,0)),VLOOKUP($B:$B,'BS(과거)'!$A:$F,$2:$2,0),0)</f>
        <v>0</v>
      </c>
      <c r="J747" s="207">
        <f>IF(ISNUMBER(VLOOKUP($B:$B,'BS(과거)'!$A:$F,$2:$2,0)),VLOOKUP($B:$B,'BS(과거)'!$A:$F,$2:$2,0),0)</f>
        <v>0</v>
      </c>
      <c r="K747" s="207">
        <f>IF(ISNUMBER(VLOOKUP($B:$B,'BS(과거)'!$A:$F,$2:$2,0)),VLOOKUP($B:$B,'BS(과거)'!$A:$F,$2:$2,0),0)</f>
        <v>0</v>
      </c>
      <c r="L747" s="207">
        <f>IF(ISNUMBER(VLOOKUP($B:$B,'BS(과거)'!$A:$F,$2:$2,0)),VLOOKUP($B:$B,'BS(과거)'!$A:$F,$2:$2,0),0)</f>
        <v>0</v>
      </c>
      <c r="N747" s="207">
        <f>IF(ISNUMBER(VLOOKUP($B:$B,'BS(분기)'!$A:$F,$2:$2,0)),VLOOKUP($B:$B,'BS(분기)'!$A:$F,$2:$2,0),0)</f>
        <v>0</v>
      </c>
      <c r="O747" s="207">
        <f>IF(ISNUMBER(VLOOKUP($B:$B,'BS(분기)'!$A:$F,$2:$2,0)),VLOOKUP($B:$B,'BS(분기)'!$A:$F,$2:$2,0),0)</f>
        <v>0</v>
      </c>
      <c r="P747" s="207">
        <f>IF(ISNUMBER(VLOOKUP($B:$B,'BS(분기)'!$A:$F,$2:$2,0)),VLOOKUP($B:$B,'BS(분기)'!$A:$F,$2:$2,0),0)</f>
        <v>0</v>
      </c>
      <c r="Q747" s="207">
        <f>IF(ISNUMBER(VLOOKUP($B:$B,'BS(분기)'!$A:$F,$2:$2,0)),VLOOKUP($B:$B,'BS(분기)'!$A:$F,$2:$2,0),0)</f>
        <v>0</v>
      </c>
      <c r="R747" s="207">
        <f>IF(ISNUMBER(VLOOKUP($B:$B,'BS(분기)'!$A:$F,$2:$2,0)),VLOOKUP($B:$B,'BS(분기)'!$A:$F,$2:$2,0),0)</f>
        <v>0</v>
      </c>
    </row>
    <row r="748" spans="1:18" s="192" customFormat="1" ht="12">
      <c r="A748" s="202">
        <v>118470</v>
      </c>
      <c r="B748" s="195" t="s">
        <v>1331</v>
      </c>
      <c r="C748" s="217">
        <f>IF(ISNUMBER(VLOOKUP($B:$B,BS!$A:$D,$2:$2,0)),VLOOKUP($B:$B,BS!$A:$D,$2:$2,0),0)</f>
        <v>0</v>
      </c>
      <c r="D748" s="217">
        <f>IF(ISNUMBER(VLOOKUP($B:$B,BS!$A:$D,$2:$2,0)),VLOOKUP($B:$B,BS!$A:$D,$2:$2,0),0)</f>
        <v>0</v>
      </c>
      <c r="E748" s="217">
        <f>IF(ISNUMBER(VLOOKUP($B:$B,BS!$A:$D,$2:$2,0)),VLOOKUP($B:$B,BS!$A:$D,$2:$2,0),0)</f>
        <v>0</v>
      </c>
      <c r="F748" s="217">
        <f>IF(ISNUMBER(VLOOKUP($B:$B,BS!$A:$D,$2:$2,0)),VLOOKUP($B:$B,BS!$A:$D,$2:$2,0),0)</f>
        <v>0</v>
      </c>
      <c r="G748" s="217">
        <f>IF(ISNUMBER(VLOOKUP($B:$B,BS!$A:$D,$2:$2,0)),VLOOKUP($B:$B,BS!$A:$D,$2:$2,0),0)</f>
        <v>0</v>
      </c>
      <c r="H748" s="207">
        <f>IF(ISNUMBER(VLOOKUP($B:$B,'BS(과거)'!$A:$F,$2:$2,0)),VLOOKUP($B:$B,'BS(과거)'!$A:$F,$2:$2,0),0)</f>
        <v>0</v>
      </c>
      <c r="I748" s="207">
        <f>IF(ISNUMBER(VLOOKUP($B:$B,'BS(과거)'!$A:$F,$2:$2,0)),VLOOKUP($B:$B,'BS(과거)'!$A:$F,$2:$2,0),0)</f>
        <v>0</v>
      </c>
      <c r="J748" s="207">
        <f>IF(ISNUMBER(VLOOKUP($B:$B,'BS(과거)'!$A:$F,$2:$2,0)),VLOOKUP($B:$B,'BS(과거)'!$A:$F,$2:$2,0),0)</f>
        <v>0</v>
      </c>
      <c r="K748" s="207">
        <f>IF(ISNUMBER(VLOOKUP($B:$B,'BS(과거)'!$A:$F,$2:$2,0)),VLOOKUP($B:$B,'BS(과거)'!$A:$F,$2:$2,0),0)</f>
        <v>0</v>
      </c>
      <c r="L748" s="207">
        <f>IF(ISNUMBER(VLOOKUP($B:$B,'BS(과거)'!$A:$F,$2:$2,0)),VLOOKUP($B:$B,'BS(과거)'!$A:$F,$2:$2,0),0)</f>
        <v>0</v>
      </c>
      <c r="N748" s="207">
        <f>IF(ISNUMBER(VLOOKUP($B:$B,'BS(분기)'!$A:$F,$2:$2,0)),VLOOKUP($B:$B,'BS(분기)'!$A:$F,$2:$2,0),0)</f>
        <v>0</v>
      </c>
      <c r="O748" s="207">
        <f>IF(ISNUMBER(VLOOKUP($B:$B,'BS(분기)'!$A:$F,$2:$2,0)),VLOOKUP($B:$B,'BS(분기)'!$A:$F,$2:$2,0),0)</f>
        <v>0</v>
      </c>
      <c r="P748" s="207">
        <f>IF(ISNUMBER(VLOOKUP($B:$B,'BS(분기)'!$A:$F,$2:$2,0)),VLOOKUP($B:$B,'BS(분기)'!$A:$F,$2:$2,0),0)</f>
        <v>0</v>
      </c>
      <c r="Q748" s="207">
        <f>IF(ISNUMBER(VLOOKUP($B:$B,'BS(분기)'!$A:$F,$2:$2,0)),VLOOKUP($B:$B,'BS(분기)'!$A:$F,$2:$2,0),0)</f>
        <v>0</v>
      </c>
      <c r="R748" s="207">
        <f>IF(ISNUMBER(VLOOKUP($B:$B,'BS(분기)'!$A:$F,$2:$2,0)),VLOOKUP($B:$B,'BS(분기)'!$A:$F,$2:$2,0),0)</f>
        <v>0</v>
      </c>
    </row>
    <row r="749" spans="1:18" s="192" customFormat="1" ht="12">
      <c r="A749" s="202">
        <v>118480</v>
      </c>
      <c r="B749" s="195" t="s">
        <v>1308</v>
      </c>
      <c r="C749" s="217">
        <f>IF(ISNUMBER(VLOOKUP($B:$B,BS!$A:$D,$2:$2,0)),VLOOKUP($B:$B,BS!$A:$D,$2:$2,0),0)</f>
        <v>0</v>
      </c>
      <c r="D749" s="217">
        <f>IF(ISNUMBER(VLOOKUP($B:$B,BS!$A:$D,$2:$2,0)),VLOOKUP($B:$B,BS!$A:$D,$2:$2,0),0)</f>
        <v>0</v>
      </c>
      <c r="E749" s="217">
        <f>IF(ISNUMBER(VLOOKUP($B:$B,BS!$A:$D,$2:$2,0)),VLOOKUP($B:$B,BS!$A:$D,$2:$2,0),0)</f>
        <v>0</v>
      </c>
      <c r="F749" s="217">
        <f>IF(ISNUMBER(VLOOKUP($B:$B,BS!$A:$D,$2:$2,0)),VLOOKUP($B:$B,BS!$A:$D,$2:$2,0),0)</f>
        <v>0</v>
      </c>
      <c r="G749" s="217">
        <f>IF(ISNUMBER(VLOOKUP($B:$B,BS!$A:$D,$2:$2,0)),VLOOKUP($B:$B,BS!$A:$D,$2:$2,0),0)</f>
        <v>0</v>
      </c>
      <c r="H749" s="207">
        <f>IF(ISNUMBER(VLOOKUP($B:$B,'BS(과거)'!$A:$F,$2:$2,0)),VLOOKUP($B:$B,'BS(과거)'!$A:$F,$2:$2,0),0)</f>
        <v>0</v>
      </c>
      <c r="I749" s="207">
        <f>IF(ISNUMBER(VLOOKUP($B:$B,'BS(과거)'!$A:$F,$2:$2,0)),VLOOKUP($B:$B,'BS(과거)'!$A:$F,$2:$2,0),0)</f>
        <v>0</v>
      </c>
      <c r="J749" s="207">
        <f>IF(ISNUMBER(VLOOKUP($B:$B,'BS(과거)'!$A:$F,$2:$2,0)),VLOOKUP($B:$B,'BS(과거)'!$A:$F,$2:$2,0),0)</f>
        <v>0</v>
      </c>
      <c r="K749" s="207">
        <f>IF(ISNUMBER(VLOOKUP($B:$B,'BS(과거)'!$A:$F,$2:$2,0)),VLOOKUP($B:$B,'BS(과거)'!$A:$F,$2:$2,0),0)</f>
        <v>0</v>
      </c>
      <c r="L749" s="207">
        <f>IF(ISNUMBER(VLOOKUP($B:$B,'BS(과거)'!$A:$F,$2:$2,0)),VLOOKUP($B:$B,'BS(과거)'!$A:$F,$2:$2,0),0)</f>
        <v>0</v>
      </c>
      <c r="N749" s="207">
        <f>IF(ISNUMBER(VLOOKUP($B:$B,'BS(분기)'!$A:$F,$2:$2,0)),VLOOKUP($B:$B,'BS(분기)'!$A:$F,$2:$2,0),0)</f>
        <v>0</v>
      </c>
      <c r="O749" s="207">
        <f>IF(ISNUMBER(VLOOKUP($B:$B,'BS(분기)'!$A:$F,$2:$2,0)),VLOOKUP($B:$B,'BS(분기)'!$A:$F,$2:$2,0),0)</f>
        <v>0</v>
      </c>
      <c r="P749" s="207">
        <f>IF(ISNUMBER(VLOOKUP($B:$B,'BS(분기)'!$A:$F,$2:$2,0)),VLOOKUP($B:$B,'BS(분기)'!$A:$F,$2:$2,0),0)</f>
        <v>0</v>
      </c>
      <c r="Q749" s="207">
        <f>IF(ISNUMBER(VLOOKUP($B:$B,'BS(분기)'!$A:$F,$2:$2,0)),VLOOKUP($B:$B,'BS(분기)'!$A:$F,$2:$2,0),0)</f>
        <v>0</v>
      </c>
      <c r="R749" s="207">
        <f>IF(ISNUMBER(VLOOKUP($B:$B,'BS(분기)'!$A:$F,$2:$2,0)),VLOOKUP($B:$B,'BS(분기)'!$A:$F,$2:$2,0),0)</f>
        <v>0</v>
      </c>
    </row>
    <row r="750" spans="1:18" s="192" customFormat="1" ht="12">
      <c r="A750" s="202">
        <v>118530</v>
      </c>
      <c r="B750" s="195" t="s">
        <v>1332</v>
      </c>
      <c r="C750" s="217">
        <f>IF(ISNUMBER(VLOOKUP($B:$B,BS!$A:$D,$2:$2,0)),VLOOKUP($B:$B,BS!$A:$D,$2:$2,0),0)</f>
        <v>0</v>
      </c>
      <c r="D750" s="217">
        <f>IF(ISNUMBER(VLOOKUP($B:$B,BS!$A:$D,$2:$2,0)),VLOOKUP($B:$B,BS!$A:$D,$2:$2,0),0)</f>
        <v>0</v>
      </c>
      <c r="E750" s="217">
        <f>IF(ISNUMBER(VLOOKUP($B:$B,BS!$A:$D,$2:$2,0)),VLOOKUP($B:$B,BS!$A:$D,$2:$2,0),0)</f>
        <v>0</v>
      </c>
      <c r="F750" s="217">
        <f>IF(ISNUMBER(VLOOKUP($B:$B,BS!$A:$D,$2:$2,0)),VLOOKUP($B:$B,BS!$A:$D,$2:$2,0),0)</f>
        <v>0</v>
      </c>
      <c r="G750" s="217">
        <f>IF(ISNUMBER(VLOOKUP($B:$B,BS!$A:$D,$2:$2,0)),VLOOKUP($B:$B,BS!$A:$D,$2:$2,0),0)</f>
        <v>0</v>
      </c>
      <c r="H750" s="207">
        <f>IF(ISNUMBER(VLOOKUP($B:$B,'BS(과거)'!$A:$F,$2:$2,0)),VLOOKUP($B:$B,'BS(과거)'!$A:$F,$2:$2,0),0)</f>
        <v>0</v>
      </c>
      <c r="I750" s="207">
        <f>IF(ISNUMBER(VLOOKUP($B:$B,'BS(과거)'!$A:$F,$2:$2,0)),VLOOKUP($B:$B,'BS(과거)'!$A:$F,$2:$2,0),0)</f>
        <v>0</v>
      </c>
      <c r="J750" s="207">
        <f>IF(ISNUMBER(VLOOKUP($B:$B,'BS(과거)'!$A:$F,$2:$2,0)),VLOOKUP($B:$B,'BS(과거)'!$A:$F,$2:$2,0),0)</f>
        <v>0</v>
      </c>
      <c r="K750" s="207">
        <f>IF(ISNUMBER(VLOOKUP($B:$B,'BS(과거)'!$A:$F,$2:$2,0)),VLOOKUP($B:$B,'BS(과거)'!$A:$F,$2:$2,0),0)</f>
        <v>0</v>
      </c>
      <c r="L750" s="207">
        <f>IF(ISNUMBER(VLOOKUP($B:$B,'BS(과거)'!$A:$F,$2:$2,0)),VLOOKUP($B:$B,'BS(과거)'!$A:$F,$2:$2,0),0)</f>
        <v>0</v>
      </c>
      <c r="N750" s="207">
        <f>IF(ISNUMBER(VLOOKUP($B:$B,'BS(분기)'!$A:$F,$2:$2,0)),VLOOKUP($B:$B,'BS(분기)'!$A:$F,$2:$2,0),0)</f>
        <v>0</v>
      </c>
      <c r="O750" s="207">
        <f>IF(ISNUMBER(VLOOKUP($B:$B,'BS(분기)'!$A:$F,$2:$2,0)),VLOOKUP($B:$B,'BS(분기)'!$A:$F,$2:$2,0),0)</f>
        <v>0</v>
      </c>
      <c r="P750" s="207">
        <f>IF(ISNUMBER(VLOOKUP($B:$B,'BS(분기)'!$A:$F,$2:$2,0)),VLOOKUP($B:$B,'BS(분기)'!$A:$F,$2:$2,0),0)</f>
        <v>0</v>
      </c>
      <c r="Q750" s="207">
        <f>IF(ISNUMBER(VLOOKUP($B:$B,'BS(분기)'!$A:$F,$2:$2,0)),VLOOKUP($B:$B,'BS(분기)'!$A:$F,$2:$2,0),0)</f>
        <v>0</v>
      </c>
      <c r="R750" s="207">
        <f>IF(ISNUMBER(VLOOKUP($B:$B,'BS(분기)'!$A:$F,$2:$2,0)),VLOOKUP($B:$B,'BS(분기)'!$A:$F,$2:$2,0),0)</f>
        <v>0</v>
      </c>
    </row>
    <row r="751" spans="1:18" s="192" customFormat="1" ht="12">
      <c r="A751" s="203">
        <v>118531</v>
      </c>
      <c r="B751" s="196" t="s">
        <v>1333</v>
      </c>
      <c r="C751" s="217">
        <f>IF(ISNUMBER(VLOOKUP($B:$B,BS!$A:$D,$2:$2,0)),VLOOKUP($B:$B,BS!$A:$D,$2:$2,0),0)</f>
        <v>0</v>
      </c>
      <c r="D751" s="217">
        <f>IF(ISNUMBER(VLOOKUP($B:$B,BS!$A:$D,$2:$2,0)),VLOOKUP($B:$B,BS!$A:$D,$2:$2,0),0)</f>
        <v>0</v>
      </c>
      <c r="E751" s="217">
        <f>IF(ISNUMBER(VLOOKUP($B:$B,BS!$A:$D,$2:$2,0)),VLOOKUP($B:$B,BS!$A:$D,$2:$2,0),0)</f>
        <v>0</v>
      </c>
      <c r="F751" s="217">
        <f>IF(ISNUMBER(VLOOKUP($B:$B,BS!$A:$D,$2:$2,0)),VLOOKUP($B:$B,BS!$A:$D,$2:$2,0),0)</f>
        <v>0</v>
      </c>
      <c r="G751" s="217">
        <f>IF(ISNUMBER(VLOOKUP($B:$B,BS!$A:$D,$2:$2,0)),VLOOKUP($B:$B,BS!$A:$D,$2:$2,0),0)</f>
        <v>0</v>
      </c>
      <c r="H751" s="207">
        <f>IF(ISNUMBER(VLOOKUP($B:$B,'BS(과거)'!$A:$F,$2:$2,0)),VLOOKUP($B:$B,'BS(과거)'!$A:$F,$2:$2,0),0)</f>
        <v>0</v>
      </c>
      <c r="I751" s="207">
        <f>IF(ISNUMBER(VLOOKUP($B:$B,'BS(과거)'!$A:$F,$2:$2,0)),VLOOKUP($B:$B,'BS(과거)'!$A:$F,$2:$2,0),0)</f>
        <v>0</v>
      </c>
      <c r="J751" s="207">
        <f>IF(ISNUMBER(VLOOKUP($B:$B,'BS(과거)'!$A:$F,$2:$2,0)),VLOOKUP($B:$B,'BS(과거)'!$A:$F,$2:$2,0),0)</f>
        <v>0</v>
      </c>
      <c r="K751" s="207">
        <f>IF(ISNUMBER(VLOOKUP($B:$B,'BS(과거)'!$A:$F,$2:$2,0)),VLOOKUP($B:$B,'BS(과거)'!$A:$F,$2:$2,0),0)</f>
        <v>0</v>
      </c>
      <c r="L751" s="207">
        <f>IF(ISNUMBER(VLOOKUP($B:$B,'BS(과거)'!$A:$F,$2:$2,0)),VLOOKUP($B:$B,'BS(과거)'!$A:$F,$2:$2,0),0)</f>
        <v>0</v>
      </c>
      <c r="N751" s="207">
        <f>IF(ISNUMBER(VLOOKUP($B:$B,'BS(분기)'!$A:$F,$2:$2,0)),VLOOKUP($B:$B,'BS(분기)'!$A:$F,$2:$2,0),0)</f>
        <v>0</v>
      </c>
      <c r="O751" s="207">
        <f>IF(ISNUMBER(VLOOKUP($B:$B,'BS(분기)'!$A:$F,$2:$2,0)),VLOOKUP($B:$B,'BS(분기)'!$A:$F,$2:$2,0),0)</f>
        <v>0</v>
      </c>
      <c r="P751" s="207">
        <f>IF(ISNUMBER(VLOOKUP($B:$B,'BS(분기)'!$A:$F,$2:$2,0)),VLOOKUP($B:$B,'BS(분기)'!$A:$F,$2:$2,0),0)</f>
        <v>0</v>
      </c>
      <c r="Q751" s="207">
        <f>IF(ISNUMBER(VLOOKUP($B:$B,'BS(분기)'!$A:$F,$2:$2,0)),VLOOKUP($B:$B,'BS(분기)'!$A:$F,$2:$2,0),0)</f>
        <v>0</v>
      </c>
      <c r="R751" s="207">
        <f>IF(ISNUMBER(VLOOKUP($B:$B,'BS(분기)'!$A:$F,$2:$2,0)),VLOOKUP($B:$B,'BS(분기)'!$A:$F,$2:$2,0),0)</f>
        <v>0</v>
      </c>
    </row>
    <row r="752" spans="1:18" s="192" customFormat="1" ht="12">
      <c r="A752" s="203">
        <v>118532</v>
      </c>
      <c r="B752" s="196" t="s">
        <v>1334</v>
      </c>
      <c r="C752" s="217">
        <f>IF(ISNUMBER(VLOOKUP($B:$B,BS!$A:$D,$2:$2,0)),VLOOKUP($B:$B,BS!$A:$D,$2:$2,0),0)</f>
        <v>0</v>
      </c>
      <c r="D752" s="217">
        <f>IF(ISNUMBER(VLOOKUP($B:$B,BS!$A:$D,$2:$2,0)),VLOOKUP($B:$B,BS!$A:$D,$2:$2,0),0)</f>
        <v>0</v>
      </c>
      <c r="E752" s="217">
        <f>IF(ISNUMBER(VLOOKUP($B:$B,BS!$A:$D,$2:$2,0)),VLOOKUP($B:$B,BS!$A:$D,$2:$2,0),0)</f>
        <v>0</v>
      </c>
      <c r="F752" s="217">
        <f>IF(ISNUMBER(VLOOKUP($B:$B,BS!$A:$D,$2:$2,0)),VLOOKUP($B:$B,BS!$A:$D,$2:$2,0),0)</f>
        <v>0</v>
      </c>
      <c r="G752" s="217">
        <f>IF(ISNUMBER(VLOOKUP($B:$B,BS!$A:$D,$2:$2,0)),VLOOKUP($B:$B,BS!$A:$D,$2:$2,0),0)</f>
        <v>0</v>
      </c>
      <c r="H752" s="207">
        <f>IF(ISNUMBER(VLOOKUP($B:$B,'BS(과거)'!$A:$F,$2:$2,0)),VLOOKUP($B:$B,'BS(과거)'!$A:$F,$2:$2,0),0)</f>
        <v>0</v>
      </c>
      <c r="I752" s="207">
        <f>IF(ISNUMBER(VLOOKUP($B:$B,'BS(과거)'!$A:$F,$2:$2,0)),VLOOKUP($B:$B,'BS(과거)'!$A:$F,$2:$2,0),0)</f>
        <v>0</v>
      </c>
      <c r="J752" s="207">
        <f>IF(ISNUMBER(VLOOKUP($B:$B,'BS(과거)'!$A:$F,$2:$2,0)),VLOOKUP($B:$B,'BS(과거)'!$A:$F,$2:$2,0),0)</f>
        <v>0</v>
      </c>
      <c r="K752" s="207">
        <f>IF(ISNUMBER(VLOOKUP($B:$B,'BS(과거)'!$A:$F,$2:$2,0)),VLOOKUP($B:$B,'BS(과거)'!$A:$F,$2:$2,0),0)</f>
        <v>0</v>
      </c>
      <c r="L752" s="207">
        <f>IF(ISNUMBER(VLOOKUP($B:$B,'BS(과거)'!$A:$F,$2:$2,0)),VLOOKUP($B:$B,'BS(과거)'!$A:$F,$2:$2,0),0)</f>
        <v>0</v>
      </c>
      <c r="N752" s="207">
        <f>IF(ISNUMBER(VLOOKUP($B:$B,'BS(분기)'!$A:$F,$2:$2,0)),VLOOKUP($B:$B,'BS(분기)'!$A:$F,$2:$2,0),0)</f>
        <v>0</v>
      </c>
      <c r="O752" s="207">
        <f>IF(ISNUMBER(VLOOKUP($B:$B,'BS(분기)'!$A:$F,$2:$2,0)),VLOOKUP($B:$B,'BS(분기)'!$A:$F,$2:$2,0),0)</f>
        <v>0</v>
      </c>
      <c r="P752" s="207">
        <f>IF(ISNUMBER(VLOOKUP($B:$B,'BS(분기)'!$A:$F,$2:$2,0)),VLOOKUP($B:$B,'BS(분기)'!$A:$F,$2:$2,0),0)</f>
        <v>0</v>
      </c>
      <c r="Q752" s="207">
        <f>IF(ISNUMBER(VLOOKUP($B:$B,'BS(분기)'!$A:$F,$2:$2,0)),VLOOKUP($B:$B,'BS(분기)'!$A:$F,$2:$2,0),0)</f>
        <v>0</v>
      </c>
      <c r="R752" s="207">
        <f>IF(ISNUMBER(VLOOKUP($B:$B,'BS(분기)'!$A:$F,$2:$2,0)),VLOOKUP($B:$B,'BS(분기)'!$A:$F,$2:$2,0),0)</f>
        <v>0</v>
      </c>
    </row>
    <row r="753" spans="1:18" s="192" customFormat="1" ht="12">
      <c r="A753" s="203">
        <v>118533</v>
      </c>
      <c r="B753" s="196" t="s">
        <v>1335</v>
      </c>
      <c r="C753" s="217">
        <f>IF(ISNUMBER(VLOOKUP($B:$B,BS!$A:$D,$2:$2,0)),VLOOKUP($B:$B,BS!$A:$D,$2:$2,0),0)</f>
        <v>0</v>
      </c>
      <c r="D753" s="217">
        <f>IF(ISNUMBER(VLOOKUP($B:$B,BS!$A:$D,$2:$2,0)),VLOOKUP($B:$B,BS!$A:$D,$2:$2,0),0)</f>
        <v>0</v>
      </c>
      <c r="E753" s="217">
        <f>IF(ISNUMBER(VLOOKUP($B:$B,BS!$A:$D,$2:$2,0)),VLOOKUP($B:$B,BS!$A:$D,$2:$2,0),0)</f>
        <v>0</v>
      </c>
      <c r="F753" s="217">
        <f>IF(ISNUMBER(VLOOKUP($B:$B,BS!$A:$D,$2:$2,0)),VLOOKUP($B:$B,BS!$A:$D,$2:$2,0),0)</f>
        <v>0</v>
      </c>
      <c r="G753" s="217">
        <f>IF(ISNUMBER(VLOOKUP($B:$B,BS!$A:$D,$2:$2,0)),VLOOKUP($B:$B,BS!$A:$D,$2:$2,0),0)</f>
        <v>0</v>
      </c>
      <c r="H753" s="207">
        <f>IF(ISNUMBER(VLOOKUP($B:$B,'BS(과거)'!$A:$F,$2:$2,0)),VLOOKUP($B:$B,'BS(과거)'!$A:$F,$2:$2,0),0)</f>
        <v>0</v>
      </c>
      <c r="I753" s="207">
        <f>IF(ISNUMBER(VLOOKUP($B:$B,'BS(과거)'!$A:$F,$2:$2,0)),VLOOKUP($B:$B,'BS(과거)'!$A:$F,$2:$2,0),0)</f>
        <v>0</v>
      </c>
      <c r="J753" s="207">
        <f>IF(ISNUMBER(VLOOKUP($B:$B,'BS(과거)'!$A:$F,$2:$2,0)),VLOOKUP($B:$B,'BS(과거)'!$A:$F,$2:$2,0),0)</f>
        <v>0</v>
      </c>
      <c r="K753" s="207">
        <f>IF(ISNUMBER(VLOOKUP($B:$B,'BS(과거)'!$A:$F,$2:$2,0)),VLOOKUP($B:$B,'BS(과거)'!$A:$F,$2:$2,0),0)</f>
        <v>0</v>
      </c>
      <c r="L753" s="207">
        <f>IF(ISNUMBER(VLOOKUP($B:$B,'BS(과거)'!$A:$F,$2:$2,0)),VLOOKUP($B:$B,'BS(과거)'!$A:$F,$2:$2,0),0)</f>
        <v>0</v>
      </c>
      <c r="N753" s="207">
        <f>IF(ISNUMBER(VLOOKUP($B:$B,'BS(분기)'!$A:$F,$2:$2,0)),VLOOKUP($B:$B,'BS(분기)'!$A:$F,$2:$2,0),0)</f>
        <v>0</v>
      </c>
      <c r="O753" s="207">
        <f>IF(ISNUMBER(VLOOKUP($B:$B,'BS(분기)'!$A:$F,$2:$2,0)),VLOOKUP($B:$B,'BS(분기)'!$A:$F,$2:$2,0),0)</f>
        <v>0</v>
      </c>
      <c r="P753" s="207">
        <f>IF(ISNUMBER(VLOOKUP($B:$B,'BS(분기)'!$A:$F,$2:$2,0)),VLOOKUP($B:$B,'BS(분기)'!$A:$F,$2:$2,0),0)</f>
        <v>0</v>
      </c>
      <c r="Q753" s="207">
        <f>IF(ISNUMBER(VLOOKUP($B:$B,'BS(분기)'!$A:$F,$2:$2,0)),VLOOKUP($B:$B,'BS(분기)'!$A:$F,$2:$2,0),0)</f>
        <v>0</v>
      </c>
      <c r="R753" s="207">
        <f>IF(ISNUMBER(VLOOKUP($B:$B,'BS(분기)'!$A:$F,$2:$2,0)),VLOOKUP($B:$B,'BS(분기)'!$A:$F,$2:$2,0),0)</f>
        <v>0</v>
      </c>
    </row>
    <row r="754" spans="1:18" s="192" customFormat="1" ht="12">
      <c r="A754" s="203">
        <v>118534</v>
      </c>
      <c r="B754" s="196" t="s">
        <v>1336</v>
      </c>
      <c r="C754" s="217">
        <f>IF(ISNUMBER(VLOOKUP($B:$B,BS!$A:$D,$2:$2,0)),VLOOKUP($B:$B,BS!$A:$D,$2:$2,0),0)</f>
        <v>0</v>
      </c>
      <c r="D754" s="217">
        <f>IF(ISNUMBER(VLOOKUP($B:$B,BS!$A:$D,$2:$2,0)),VLOOKUP($B:$B,BS!$A:$D,$2:$2,0),0)</f>
        <v>0</v>
      </c>
      <c r="E754" s="217">
        <f>IF(ISNUMBER(VLOOKUP($B:$B,BS!$A:$D,$2:$2,0)),VLOOKUP($B:$B,BS!$A:$D,$2:$2,0),0)</f>
        <v>0</v>
      </c>
      <c r="F754" s="217">
        <f>IF(ISNUMBER(VLOOKUP($B:$B,BS!$A:$D,$2:$2,0)),VLOOKUP($B:$B,BS!$A:$D,$2:$2,0),0)</f>
        <v>0</v>
      </c>
      <c r="G754" s="217">
        <f>IF(ISNUMBER(VLOOKUP($B:$B,BS!$A:$D,$2:$2,0)),VLOOKUP($B:$B,BS!$A:$D,$2:$2,0),0)</f>
        <v>0</v>
      </c>
      <c r="H754" s="207">
        <f>IF(ISNUMBER(VLOOKUP($B:$B,'BS(과거)'!$A:$F,$2:$2,0)),VLOOKUP($B:$B,'BS(과거)'!$A:$F,$2:$2,0),0)</f>
        <v>0</v>
      </c>
      <c r="I754" s="207">
        <f>IF(ISNUMBER(VLOOKUP($B:$B,'BS(과거)'!$A:$F,$2:$2,0)),VLOOKUP($B:$B,'BS(과거)'!$A:$F,$2:$2,0),0)</f>
        <v>0</v>
      </c>
      <c r="J754" s="207">
        <f>IF(ISNUMBER(VLOOKUP($B:$B,'BS(과거)'!$A:$F,$2:$2,0)),VLOOKUP($B:$B,'BS(과거)'!$A:$F,$2:$2,0),0)</f>
        <v>0</v>
      </c>
      <c r="K754" s="207">
        <f>IF(ISNUMBER(VLOOKUP($B:$B,'BS(과거)'!$A:$F,$2:$2,0)),VLOOKUP($B:$B,'BS(과거)'!$A:$F,$2:$2,0),0)</f>
        <v>0</v>
      </c>
      <c r="L754" s="207">
        <f>IF(ISNUMBER(VLOOKUP($B:$B,'BS(과거)'!$A:$F,$2:$2,0)),VLOOKUP($B:$B,'BS(과거)'!$A:$F,$2:$2,0),0)</f>
        <v>0</v>
      </c>
      <c r="N754" s="207">
        <f>IF(ISNUMBER(VLOOKUP($B:$B,'BS(분기)'!$A:$F,$2:$2,0)),VLOOKUP($B:$B,'BS(분기)'!$A:$F,$2:$2,0),0)</f>
        <v>0</v>
      </c>
      <c r="O754" s="207">
        <f>IF(ISNUMBER(VLOOKUP($B:$B,'BS(분기)'!$A:$F,$2:$2,0)),VLOOKUP($B:$B,'BS(분기)'!$A:$F,$2:$2,0),0)</f>
        <v>0</v>
      </c>
      <c r="P754" s="207">
        <f>IF(ISNUMBER(VLOOKUP($B:$B,'BS(분기)'!$A:$F,$2:$2,0)),VLOOKUP($B:$B,'BS(분기)'!$A:$F,$2:$2,0),0)</f>
        <v>0</v>
      </c>
      <c r="Q754" s="207">
        <f>IF(ISNUMBER(VLOOKUP($B:$B,'BS(분기)'!$A:$F,$2:$2,0)),VLOOKUP($B:$B,'BS(분기)'!$A:$F,$2:$2,0),0)</f>
        <v>0</v>
      </c>
      <c r="R754" s="207">
        <f>IF(ISNUMBER(VLOOKUP($B:$B,'BS(분기)'!$A:$F,$2:$2,0)),VLOOKUP($B:$B,'BS(분기)'!$A:$F,$2:$2,0),0)</f>
        <v>0</v>
      </c>
    </row>
    <row r="755" spans="1:18" s="192" customFormat="1" ht="12">
      <c r="A755" s="202">
        <v>118540</v>
      </c>
      <c r="B755" s="195" t="s">
        <v>857</v>
      </c>
      <c r="C755" s="217">
        <f>IF(ISNUMBER(VLOOKUP($B:$B,BS!$A:$D,$2:$2,0)),VLOOKUP($B:$B,BS!$A:$D,$2:$2,0),0)</f>
        <v>0</v>
      </c>
      <c r="D755" s="217">
        <f>IF(ISNUMBER(VLOOKUP($B:$B,BS!$A:$D,$2:$2,0)),VLOOKUP($B:$B,BS!$A:$D,$2:$2,0),0)</f>
        <v>0</v>
      </c>
      <c r="E755" s="217">
        <f>IF(ISNUMBER(VLOOKUP($B:$B,BS!$A:$D,$2:$2,0)),VLOOKUP($B:$B,BS!$A:$D,$2:$2,0),0)</f>
        <v>0</v>
      </c>
      <c r="F755" s="217">
        <f>IF(ISNUMBER(VLOOKUP($B:$B,BS!$A:$D,$2:$2,0)),VLOOKUP($B:$B,BS!$A:$D,$2:$2,0),0)</f>
        <v>0</v>
      </c>
      <c r="G755" s="217">
        <f>IF(ISNUMBER(VLOOKUP($B:$B,BS!$A:$D,$2:$2,0)),VLOOKUP($B:$B,BS!$A:$D,$2:$2,0),0)</f>
        <v>0</v>
      </c>
      <c r="H755" s="207">
        <f>IF(ISNUMBER(VLOOKUP($B:$B,'BS(과거)'!$A:$F,$2:$2,0)),VLOOKUP($B:$B,'BS(과거)'!$A:$F,$2:$2,0),0)</f>
        <v>0</v>
      </c>
      <c r="I755" s="207">
        <f>IF(ISNUMBER(VLOOKUP($B:$B,'BS(과거)'!$A:$F,$2:$2,0)),VLOOKUP($B:$B,'BS(과거)'!$A:$F,$2:$2,0),0)</f>
        <v>0</v>
      </c>
      <c r="J755" s="207">
        <f>IF(ISNUMBER(VLOOKUP($B:$B,'BS(과거)'!$A:$F,$2:$2,0)),VLOOKUP($B:$B,'BS(과거)'!$A:$F,$2:$2,0),0)</f>
        <v>0</v>
      </c>
      <c r="K755" s="207">
        <f>IF(ISNUMBER(VLOOKUP($B:$B,'BS(과거)'!$A:$F,$2:$2,0)),VLOOKUP($B:$B,'BS(과거)'!$A:$F,$2:$2,0),0)</f>
        <v>0</v>
      </c>
      <c r="L755" s="207">
        <f>IF(ISNUMBER(VLOOKUP($B:$B,'BS(과거)'!$A:$F,$2:$2,0)),VLOOKUP($B:$B,'BS(과거)'!$A:$F,$2:$2,0),0)</f>
        <v>0</v>
      </c>
      <c r="N755" s="207">
        <f>IF(ISNUMBER(VLOOKUP($B:$B,'BS(분기)'!$A:$F,$2:$2,0)),VLOOKUP($B:$B,'BS(분기)'!$A:$F,$2:$2,0),0)</f>
        <v>0</v>
      </c>
      <c r="O755" s="207">
        <f>IF(ISNUMBER(VLOOKUP($B:$B,'BS(분기)'!$A:$F,$2:$2,0)),VLOOKUP($B:$B,'BS(분기)'!$A:$F,$2:$2,0),0)</f>
        <v>0</v>
      </c>
      <c r="P755" s="207">
        <f>IF(ISNUMBER(VLOOKUP($B:$B,'BS(분기)'!$A:$F,$2:$2,0)),VLOOKUP($B:$B,'BS(분기)'!$A:$F,$2:$2,0),0)</f>
        <v>0</v>
      </c>
      <c r="Q755" s="207">
        <f>IF(ISNUMBER(VLOOKUP($B:$B,'BS(분기)'!$A:$F,$2:$2,0)),VLOOKUP($B:$B,'BS(분기)'!$A:$F,$2:$2,0),0)</f>
        <v>0</v>
      </c>
      <c r="R755" s="207">
        <f>IF(ISNUMBER(VLOOKUP($B:$B,'BS(분기)'!$A:$F,$2:$2,0)),VLOOKUP($B:$B,'BS(분기)'!$A:$F,$2:$2,0),0)</f>
        <v>0</v>
      </c>
    </row>
    <row r="756" spans="1:18" s="192" customFormat="1" ht="12">
      <c r="A756" s="203">
        <v>118541</v>
      </c>
      <c r="B756" s="196" t="s">
        <v>673</v>
      </c>
      <c r="C756" s="217">
        <f>IF(ISNUMBER(VLOOKUP($B:$B,BS!$A:$D,$2:$2,0)),VLOOKUP($B:$B,BS!$A:$D,$2:$2,0),0)</f>
        <v>0</v>
      </c>
      <c r="D756" s="217">
        <f>IF(ISNUMBER(VLOOKUP($B:$B,BS!$A:$D,$2:$2,0)),VLOOKUP($B:$B,BS!$A:$D,$2:$2,0),0)</f>
        <v>0</v>
      </c>
      <c r="E756" s="217">
        <f>IF(ISNUMBER(VLOOKUP($B:$B,BS!$A:$D,$2:$2,0)),VLOOKUP($B:$B,BS!$A:$D,$2:$2,0),0)</f>
        <v>0</v>
      </c>
      <c r="F756" s="217">
        <f>IF(ISNUMBER(VLOOKUP($B:$B,BS!$A:$D,$2:$2,0)),VLOOKUP($B:$B,BS!$A:$D,$2:$2,0),0)</f>
        <v>0</v>
      </c>
      <c r="G756" s="217">
        <f>IF(ISNUMBER(VLOOKUP($B:$B,BS!$A:$D,$2:$2,0)),VLOOKUP($B:$B,BS!$A:$D,$2:$2,0),0)</f>
        <v>0</v>
      </c>
      <c r="H756" s="207">
        <f>IF(ISNUMBER(VLOOKUP($B:$B,'BS(과거)'!$A:$F,$2:$2,0)),VLOOKUP($B:$B,'BS(과거)'!$A:$F,$2:$2,0),0)</f>
        <v>0</v>
      </c>
      <c r="I756" s="207">
        <f>IF(ISNUMBER(VLOOKUP($B:$B,'BS(과거)'!$A:$F,$2:$2,0)),VLOOKUP($B:$B,'BS(과거)'!$A:$F,$2:$2,0),0)</f>
        <v>0</v>
      </c>
      <c r="J756" s="207">
        <f>IF(ISNUMBER(VLOOKUP($B:$B,'BS(과거)'!$A:$F,$2:$2,0)),VLOOKUP($B:$B,'BS(과거)'!$A:$F,$2:$2,0),0)</f>
        <v>0</v>
      </c>
      <c r="K756" s="207">
        <f>IF(ISNUMBER(VLOOKUP($B:$B,'BS(과거)'!$A:$F,$2:$2,0)),VLOOKUP($B:$B,'BS(과거)'!$A:$F,$2:$2,0),0)</f>
        <v>0</v>
      </c>
      <c r="L756" s="207">
        <f>IF(ISNUMBER(VLOOKUP($B:$B,'BS(과거)'!$A:$F,$2:$2,0)),VLOOKUP($B:$B,'BS(과거)'!$A:$F,$2:$2,0),0)</f>
        <v>0</v>
      </c>
      <c r="N756" s="207">
        <f>IF(ISNUMBER(VLOOKUP($B:$B,'BS(분기)'!$A:$F,$2:$2,0)),VLOOKUP($B:$B,'BS(분기)'!$A:$F,$2:$2,0),0)</f>
        <v>0</v>
      </c>
      <c r="O756" s="207">
        <f>IF(ISNUMBER(VLOOKUP($B:$B,'BS(분기)'!$A:$F,$2:$2,0)),VLOOKUP($B:$B,'BS(분기)'!$A:$F,$2:$2,0),0)</f>
        <v>0</v>
      </c>
      <c r="P756" s="207">
        <f>IF(ISNUMBER(VLOOKUP($B:$B,'BS(분기)'!$A:$F,$2:$2,0)),VLOOKUP($B:$B,'BS(분기)'!$A:$F,$2:$2,0),0)</f>
        <v>0</v>
      </c>
      <c r="Q756" s="207">
        <f>IF(ISNUMBER(VLOOKUP($B:$B,'BS(분기)'!$A:$F,$2:$2,0)),VLOOKUP($B:$B,'BS(분기)'!$A:$F,$2:$2,0),0)</f>
        <v>0</v>
      </c>
      <c r="R756" s="207">
        <f>IF(ISNUMBER(VLOOKUP($B:$B,'BS(분기)'!$A:$F,$2:$2,0)),VLOOKUP($B:$B,'BS(분기)'!$A:$F,$2:$2,0),0)</f>
        <v>0</v>
      </c>
    </row>
    <row r="757" spans="1:18" s="192" customFormat="1" ht="12">
      <c r="A757" s="203">
        <v>118542</v>
      </c>
      <c r="B757" s="196" t="s">
        <v>1337</v>
      </c>
      <c r="C757" s="217">
        <f>IF(ISNUMBER(VLOOKUP($B:$B,BS!$A:$D,$2:$2,0)),VLOOKUP($B:$B,BS!$A:$D,$2:$2,0),0)</f>
        <v>0</v>
      </c>
      <c r="D757" s="217">
        <f>IF(ISNUMBER(VLOOKUP($B:$B,BS!$A:$D,$2:$2,0)),VLOOKUP($B:$B,BS!$A:$D,$2:$2,0),0)</f>
        <v>0</v>
      </c>
      <c r="E757" s="217">
        <f>IF(ISNUMBER(VLOOKUP($B:$B,BS!$A:$D,$2:$2,0)),VLOOKUP($B:$B,BS!$A:$D,$2:$2,0),0)</f>
        <v>0</v>
      </c>
      <c r="F757" s="217">
        <f>IF(ISNUMBER(VLOOKUP($B:$B,BS!$A:$D,$2:$2,0)),VLOOKUP($B:$B,BS!$A:$D,$2:$2,0),0)</f>
        <v>0</v>
      </c>
      <c r="G757" s="217">
        <f>IF(ISNUMBER(VLOOKUP($B:$B,BS!$A:$D,$2:$2,0)),VLOOKUP($B:$B,BS!$A:$D,$2:$2,0),0)</f>
        <v>0</v>
      </c>
      <c r="H757" s="207">
        <f>IF(ISNUMBER(VLOOKUP($B:$B,'BS(과거)'!$A:$F,$2:$2,0)),VLOOKUP($B:$B,'BS(과거)'!$A:$F,$2:$2,0),0)</f>
        <v>0</v>
      </c>
      <c r="I757" s="207">
        <f>IF(ISNUMBER(VLOOKUP($B:$B,'BS(과거)'!$A:$F,$2:$2,0)),VLOOKUP($B:$B,'BS(과거)'!$A:$F,$2:$2,0),0)</f>
        <v>0</v>
      </c>
      <c r="J757" s="207">
        <f>IF(ISNUMBER(VLOOKUP($B:$B,'BS(과거)'!$A:$F,$2:$2,0)),VLOOKUP($B:$B,'BS(과거)'!$A:$F,$2:$2,0),0)</f>
        <v>0</v>
      </c>
      <c r="K757" s="207">
        <f>IF(ISNUMBER(VLOOKUP($B:$B,'BS(과거)'!$A:$F,$2:$2,0)),VLOOKUP($B:$B,'BS(과거)'!$A:$F,$2:$2,0),0)</f>
        <v>0</v>
      </c>
      <c r="L757" s="207">
        <f>IF(ISNUMBER(VLOOKUP($B:$B,'BS(과거)'!$A:$F,$2:$2,0)),VLOOKUP($B:$B,'BS(과거)'!$A:$F,$2:$2,0),0)</f>
        <v>0</v>
      </c>
      <c r="N757" s="207">
        <f>IF(ISNUMBER(VLOOKUP($B:$B,'BS(분기)'!$A:$F,$2:$2,0)),VLOOKUP($B:$B,'BS(분기)'!$A:$F,$2:$2,0),0)</f>
        <v>0</v>
      </c>
      <c r="O757" s="207">
        <f>IF(ISNUMBER(VLOOKUP($B:$B,'BS(분기)'!$A:$F,$2:$2,0)),VLOOKUP($B:$B,'BS(분기)'!$A:$F,$2:$2,0),0)</f>
        <v>0</v>
      </c>
      <c r="P757" s="207">
        <f>IF(ISNUMBER(VLOOKUP($B:$B,'BS(분기)'!$A:$F,$2:$2,0)),VLOOKUP($B:$B,'BS(분기)'!$A:$F,$2:$2,0),0)</f>
        <v>0</v>
      </c>
      <c r="Q757" s="207">
        <f>IF(ISNUMBER(VLOOKUP($B:$B,'BS(분기)'!$A:$F,$2:$2,0)),VLOOKUP($B:$B,'BS(분기)'!$A:$F,$2:$2,0),0)</f>
        <v>0</v>
      </c>
      <c r="R757" s="207">
        <f>IF(ISNUMBER(VLOOKUP($B:$B,'BS(분기)'!$A:$F,$2:$2,0)),VLOOKUP($B:$B,'BS(분기)'!$A:$F,$2:$2,0),0)</f>
        <v>0</v>
      </c>
    </row>
    <row r="758" spans="1:18" s="192" customFormat="1" ht="12">
      <c r="A758" s="203">
        <v>118543</v>
      </c>
      <c r="B758" s="196" t="s">
        <v>1338</v>
      </c>
      <c r="C758" s="217">
        <f>IF(ISNUMBER(VLOOKUP($B:$B,BS!$A:$D,$2:$2,0)),VLOOKUP($B:$B,BS!$A:$D,$2:$2,0),0)</f>
        <v>0</v>
      </c>
      <c r="D758" s="217">
        <f>IF(ISNUMBER(VLOOKUP($B:$B,BS!$A:$D,$2:$2,0)),VLOOKUP($B:$B,BS!$A:$D,$2:$2,0),0)</f>
        <v>0</v>
      </c>
      <c r="E758" s="217">
        <f>IF(ISNUMBER(VLOOKUP($B:$B,BS!$A:$D,$2:$2,0)),VLOOKUP($B:$B,BS!$A:$D,$2:$2,0),0)</f>
        <v>0</v>
      </c>
      <c r="F758" s="217">
        <f>IF(ISNUMBER(VLOOKUP($B:$B,BS!$A:$D,$2:$2,0)),VLOOKUP($B:$B,BS!$A:$D,$2:$2,0),0)</f>
        <v>0</v>
      </c>
      <c r="G758" s="217">
        <f>IF(ISNUMBER(VLOOKUP($B:$B,BS!$A:$D,$2:$2,0)),VLOOKUP($B:$B,BS!$A:$D,$2:$2,0),0)</f>
        <v>0</v>
      </c>
      <c r="H758" s="207">
        <f>IF(ISNUMBER(VLOOKUP($B:$B,'BS(과거)'!$A:$F,$2:$2,0)),VLOOKUP($B:$B,'BS(과거)'!$A:$F,$2:$2,0),0)</f>
        <v>0</v>
      </c>
      <c r="I758" s="207">
        <f>IF(ISNUMBER(VLOOKUP($B:$B,'BS(과거)'!$A:$F,$2:$2,0)),VLOOKUP($B:$B,'BS(과거)'!$A:$F,$2:$2,0),0)</f>
        <v>0</v>
      </c>
      <c r="J758" s="207">
        <f>IF(ISNUMBER(VLOOKUP($B:$B,'BS(과거)'!$A:$F,$2:$2,0)),VLOOKUP($B:$B,'BS(과거)'!$A:$F,$2:$2,0),0)</f>
        <v>0</v>
      </c>
      <c r="K758" s="207">
        <f>IF(ISNUMBER(VLOOKUP($B:$B,'BS(과거)'!$A:$F,$2:$2,0)),VLOOKUP($B:$B,'BS(과거)'!$A:$F,$2:$2,0),0)</f>
        <v>0</v>
      </c>
      <c r="L758" s="207">
        <f>IF(ISNUMBER(VLOOKUP($B:$B,'BS(과거)'!$A:$F,$2:$2,0)),VLOOKUP($B:$B,'BS(과거)'!$A:$F,$2:$2,0),0)</f>
        <v>0</v>
      </c>
      <c r="N758" s="207">
        <f>IF(ISNUMBER(VLOOKUP($B:$B,'BS(분기)'!$A:$F,$2:$2,0)),VLOOKUP($B:$B,'BS(분기)'!$A:$F,$2:$2,0),0)</f>
        <v>0</v>
      </c>
      <c r="O758" s="207">
        <f>IF(ISNUMBER(VLOOKUP($B:$B,'BS(분기)'!$A:$F,$2:$2,0)),VLOOKUP($B:$B,'BS(분기)'!$A:$F,$2:$2,0),0)</f>
        <v>0</v>
      </c>
      <c r="P758" s="207">
        <f>IF(ISNUMBER(VLOOKUP($B:$B,'BS(분기)'!$A:$F,$2:$2,0)),VLOOKUP($B:$B,'BS(분기)'!$A:$F,$2:$2,0),0)</f>
        <v>0</v>
      </c>
      <c r="Q758" s="207">
        <f>IF(ISNUMBER(VLOOKUP($B:$B,'BS(분기)'!$A:$F,$2:$2,0)),VLOOKUP($B:$B,'BS(분기)'!$A:$F,$2:$2,0),0)</f>
        <v>0</v>
      </c>
      <c r="R758" s="207">
        <f>IF(ISNUMBER(VLOOKUP($B:$B,'BS(분기)'!$A:$F,$2:$2,0)),VLOOKUP($B:$B,'BS(분기)'!$A:$F,$2:$2,0),0)</f>
        <v>0</v>
      </c>
    </row>
    <row r="759" spans="1:18" s="192" customFormat="1" ht="12">
      <c r="A759" s="203">
        <v>118544</v>
      </c>
      <c r="B759" s="196" t="s">
        <v>1339</v>
      </c>
      <c r="C759" s="217">
        <f>IF(ISNUMBER(VLOOKUP($B:$B,BS!$A:$D,$2:$2,0)),VLOOKUP($B:$B,BS!$A:$D,$2:$2,0),0)</f>
        <v>0</v>
      </c>
      <c r="D759" s="217">
        <f>IF(ISNUMBER(VLOOKUP($B:$B,BS!$A:$D,$2:$2,0)),VLOOKUP($B:$B,BS!$A:$D,$2:$2,0),0)</f>
        <v>0</v>
      </c>
      <c r="E759" s="217">
        <f>IF(ISNUMBER(VLOOKUP($B:$B,BS!$A:$D,$2:$2,0)),VLOOKUP($B:$B,BS!$A:$D,$2:$2,0),0)</f>
        <v>0</v>
      </c>
      <c r="F759" s="217">
        <f>IF(ISNUMBER(VLOOKUP($B:$B,BS!$A:$D,$2:$2,0)),VLOOKUP($B:$B,BS!$A:$D,$2:$2,0),0)</f>
        <v>0</v>
      </c>
      <c r="G759" s="217">
        <f>IF(ISNUMBER(VLOOKUP($B:$B,BS!$A:$D,$2:$2,0)),VLOOKUP($B:$B,BS!$A:$D,$2:$2,0),0)</f>
        <v>0</v>
      </c>
      <c r="H759" s="207">
        <f>IF(ISNUMBER(VLOOKUP($B:$B,'BS(과거)'!$A:$F,$2:$2,0)),VLOOKUP($B:$B,'BS(과거)'!$A:$F,$2:$2,0),0)</f>
        <v>0</v>
      </c>
      <c r="I759" s="207">
        <f>IF(ISNUMBER(VLOOKUP($B:$B,'BS(과거)'!$A:$F,$2:$2,0)),VLOOKUP($B:$B,'BS(과거)'!$A:$F,$2:$2,0),0)</f>
        <v>0</v>
      </c>
      <c r="J759" s="207">
        <f>IF(ISNUMBER(VLOOKUP($B:$B,'BS(과거)'!$A:$F,$2:$2,0)),VLOOKUP($B:$B,'BS(과거)'!$A:$F,$2:$2,0),0)</f>
        <v>0</v>
      </c>
      <c r="K759" s="207">
        <f>IF(ISNUMBER(VLOOKUP($B:$B,'BS(과거)'!$A:$F,$2:$2,0)),VLOOKUP($B:$B,'BS(과거)'!$A:$F,$2:$2,0),0)</f>
        <v>0</v>
      </c>
      <c r="L759" s="207">
        <f>IF(ISNUMBER(VLOOKUP($B:$B,'BS(과거)'!$A:$F,$2:$2,0)),VLOOKUP($B:$B,'BS(과거)'!$A:$F,$2:$2,0),0)</f>
        <v>0</v>
      </c>
      <c r="N759" s="207">
        <f>IF(ISNUMBER(VLOOKUP($B:$B,'BS(분기)'!$A:$F,$2:$2,0)),VLOOKUP($B:$B,'BS(분기)'!$A:$F,$2:$2,0),0)</f>
        <v>0</v>
      </c>
      <c r="O759" s="207">
        <f>IF(ISNUMBER(VLOOKUP($B:$B,'BS(분기)'!$A:$F,$2:$2,0)),VLOOKUP($B:$B,'BS(분기)'!$A:$F,$2:$2,0),0)</f>
        <v>0</v>
      </c>
      <c r="P759" s="207">
        <f>IF(ISNUMBER(VLOOKUP($B:$B,'BS(분기)'!$A:$F,$2:$2,0)),VLOOKUP($B:$B,'BS(분기)'!$A:$F,$2:$2,0),0)</f>
        <v>0</v>
      </c>
      <c r="Q759" s="207">
        <f>IF(ISNUMBER(VLOOKUP($B:$B,'BS(분기)'!$A:$F,$2:$2,0)),VLOOKUP($B:$B,'BS(분기)'!$A:$F,$2:$2,0),0)</f>
        <v>0</v>
      </c>
      <c r="R759" s="207">
        <f>IF(ISNUMBER(VLOOKUP($B:$B,'BS(분기)'!$A:$F,$2:$2,0)),VLOOKUP($B:$B,'BS(분기)'!$A:$F,$2:$2,0),0)</f>
        <v>0</v>
      </c>
    </row>
    <row r="760" spans="1:18" s="192" customFormat="1" ht="12">
      <c r="A760" s="202">
        <v>118536</v>
      </c>
      <c r="B760" s="195" t="s">
        <v>1340</v>
      </c>
      <c r="C760" s="217">
        <f>IF(ISNUMBER(VLOOKUP($B:$B,BS!$A:$D,$2:$2,0)),VLOOKUP($B:$B,BS!$A:$D,$2:$2,0),0)</f>
        <v>0</v>
      </c>
      <c r="D760" s="217">
        <f>IF(ISNUMBER(VLOOKUP($B:$B,BS!$A:$D,$2:$2,0)),VLOOKUP($B:$B,BS!$A:$D,$2:$2,0),0)</f>
        <v>0</v>
      </c>
      <c r="E760" s="217">
        <f>IF(ISNUMBER(VLOOKUP($B:$B,BS!$A:$D,$2:$2,0)),VLOOKUP($B:$B,BS!$A:$D,$2:$2,0),0)</f>
        <v>0</v>
      </c>
      <c r="F760" s="217">
        <f>IF(ISNUMBER(VLOOKUP($B:$B,BS!$A:$D,$2:$2,0)),VLOOKUP($B:$B,BS!$A:$D,$2:$2,0),0)</f>
        <v>0</v>
      </c>
      <c r="G760" s="217">
        <f>IF(ISNUMBER(VLOOKUP($B:$B,BS!$A:$D,$2:$2,0)),VLOOKUP($B:$B,BS!$A:$D,$2:$2,0),0)</f>
        <v>0</v>
      </c>
      <c r="H760" s="207">
        <f>IF(ISNUMBER(VLOOKUP($B:$B,'BS(과거)'!$A:$F,$2:$2,0)),VLOOKUP($B:$B,'BS(과거)'!$A:$F,$2:$2,0),0)</f>
        <v>0</v>
      </c>
      <c r="I760" s="207">
        <f>IF(ISNUMBER(VLOOKUP($B:$B,'BS(과거)'!$A:$F,$2:$2,0)),VLOOKUP($B:$B,'BS(과거)'!$A:$F,$2:$2,0),0)</f>
        <v>0</v>
      </c>
      <c r="J760" s="207">
        <f>IF(ISNUMBER(VLOOKUP($B:$B,'BS(과거)'!$A:$F,$2:$2,0)),VLOOKUP($B:$B,'BS(과거)'!$A:$F,$2:$2,0),0)</f>
        <v>0</v>
      </c>
      <c r="K760" s="207">
        <f>IF(ISNUMBER(VLOOKUP($B:$B,'BS(과거)'!$A:$F,$2:$2,0)),VLOOKUP($B:$B,'BS(과거)'!$A:$F,$2:$2,0),0)</f>
        <v>0</v>
      </c>
      <c r="L760" s="207">
        <f>IF(ISNUMBER(VLOOKUP($B:$B,'BS(과거)'!$A:$F,$2:$2,0)),VLOOKUP($B:$B,'BS(과거)'!$A:$F,$2:$2,0),0)</f>
        <v>0</v>
      </c>
      <c r="N760" s="207">
        <f>IF(ISNUMBER(VLOOKUP($B:$B,'BS(분기)'!$A:$F,$2:$2,0)),VLOOKUP($B:$B,'BS(분기)'!$A:$F,$2:$2,0),0)</f>
        <v>0</v>
      </c>
      <c r="O760" s="207">
        <f>IF(ISNUMBER(VLOOKUP($B:$B,'BS(분기)'!$A:$F,$2:$2,0)),VLOOKUP($B:$B,'BS(분기)'!$A:$F,$2:$2,0),0)</f>
        <v>0</v>
      </c>
      <c r="P760" s="207">
        <f>IF(ISNUMBER(VLOOKUP($B:$B,'BS(분기)'!$A:$F,$2:$2,0)),VLOOKUP($B:$B,'BS(분기)'!$A:$F,$2:$2,0),0)</f>
        <v>0</v>
      </c>
      <c r="Q760" s="207">
        <f>IF(ISNUMBER(VLOOKUP($B:$B,'BS(분기)'!$A:$F,$2:$2,0)),VLOOKUP($B:$B,'BS(분기)'!$A:$F,$2:$2,0),0)</f>
        <v>0</v>
      </c>
      <c r="R760" s="207">
        <f>IF(ISNUMBER(VLOOKUP($B:$B,'BS(분기)'!$A:$F,$2:$2,0)),VLOOKUP($B:$B,'BS(분기)'!$A:$F,$2:$2,0),0)</f>
        <v>0</v>
      </c>
    </row>
    <row r="761" spans="1:18" s="192" customFormat="1" ht="12">
      <c r="A761" s="202">
        <v>118546</v>
      </c>
      <c r="B761" s="195" t="s">
        <v>1341</v>
      </c>
      <c r="C761" s="217">
        <f>IF(ISNUMBER(VLOOKUP($B:$B,BS!$A:$D,$2:$2,0)),VLOOKUP($B:$B,BS!$A:$D,$2:$2,0),0)</f>
        <v>0</v>
      </c>
      <c r="D761" s="217">
        <f>IF(ISNUMBER(VLOOKUP($B:$B,BS!$A:$D,$2:$2,0)),VLOOKUP($B:$B,BS!$A:$D,$2:$2,0),0)</f>
        <v>0</v>
      </c>
      <c r="E761" s="217">
        <f>IF(ISNUMBER(VLOOKUP($B:$B,BS!$A:$D,$2:$2,0)),VLOOKUP($B:$B,BS!$A:$D,$2:$2,0),0)</f>
        <v>0</v>
      </c>
      <c r="F761" s="217">
        <f>IF(ISNUMBER(VLOOKUP($B:$B,BS!$A:$D,$2:$2,0)),VLOOKUP($B:$B,BS!$A:$D,$2:$2,0),0)</f>
        <v>0</v>
      </c>
      <c r="G761" s="217">
        <f>IF(ISNUMBER(VLOOKUP($B:$B,BS!$A:$D,$2:$2,0)),VLOOKUP($B:$B,BS!$A:$D,$2:$2,0),0)</f>
        <v>0</v>
      </c>
      <c r="H761" s="207">
        <f>IF(ISNUMBER(VLOOKUP($B:$B,'BS(과거)'!$A:$F,$2:$2,0)),VLOOKUP($B:$B,'BS(과거)'!$A:$F,$2:$2,0),0)</f>
        <v>0</v>
      </c>
      <c r="I761" s="207">
        <f>IF(ISNUMBER(VLOOKUP($B:$B,'BS(과거)'!$A:$F,$2:$2,0)),VLOOKUP($B:$B,'BS(과거)'!$A:$F,$2:$2,0),0)</f>
        <v>0</v>
      </c>
      <c r="J761" s="207">
        <f>IF(ISNUMBER(VLOOKUP($B:$B,'BS(과거)'!$A:$F,$2:$2,0)),VLOOKUP($B:$B,'BS(과거)'!$A:$F,$2:$2,0),0)</f>
        <v>0</v>
      </c>
      <c r="K761" s="207">
        <f>IF(ISNUMBER(VLOOKUP($B:$B,'BS(과거)'!$A:$F,$2:$2,0)),VLOOKUP($B:$B,'BS(과거)'!$A:$F,$2:$2,0),0)</f>
        <v>0</v>
      </c>
      <c r="L761" s="207">
        <f>IF(ISNUMBER(VLOOKUP($B:$B,'BS(과거)'!$A:$F,$2:$2,0)),VLOOKUP($B:$B,'BS(과거)'!$A:$F,$2:$2,0),0)</f>
        <v>0</v>
      </c>
      <c r="N761" s="207">
        <f>IF(ISNUMBER(VLOOKUP($B:$B,'BS(분기)'!$A:$F,$2:$2,0)),VLOOKUP($B:$B,'BS(분기)'!$A:$F,$2:$2,0),0)</f>
        <v>0</v>
      </c>
      <c r="O761" s="207">
        <f>IF(ISNUMBER(VLOOKUP($B:$B,'BS(분기)'!$A:$F,$2:$2,0)),VLOOKUP($B:$B,'BS(분기)'!$A:$F,$2:$2,0),0)</f>
        <v>0</v>
      </c>
      <c r="P761" s="207">
        <f>IF(ISNUMBER(VLOOKUP($B:$B,'BS(분기)'!$A:$F,$2:$2,0)),VLOOKUP($B:$B,'BS(분기)'!$A:$F,$2:$2,0),0)</f>
        <v>0</v>
      </c>
      <c r="Q761" s="207">
        <f>IF(ISNUMBER(VLOOKUP($B:$B,'BS(분기)'!$A:$F,$2:$2,0)),VLOOKUP($B:$B,'BS(분기)'!$A:$F,$2:$2,0),0)</f>
        <v>0</v>
      </c>
      <c r="R761" s="207">
        <f>IF(ISNUMBER(VLOOKUP($B:$B,'BS(분기)'!$A:$F,$2:$2,0)),VLOOKUP($B:$B,'BS(분기)'!$A:$F,$2:$2,0),0)</f>
        <v>0</v>
      </c>
    </row>
    <row r="762" spans="1:18" s="192" customFormat="1" ht="12">
      <c r="A762" s="202">
        <v>118550</v>
      </c>
      <c r="B762" s="195" t="s">
        <v>725</v>
      </c>
      <c r="C762" s="217">
        <f>IF(ISNUMBER(VLOOKUP($B:$B,BS!$A:$D,$2:$2,0)),VLOOKUP($B:$B,BS!$A:$D,$2:$2,0),0)</f>
        <v>0</v>
      </c>
      <c r="D762" s="217">
        <f>IF(ISNUMBER(VLOOKUP($B:$B,BS!$A:$D,$2:$2,0)),VLOOKUP($B:$B,BS!$A:$D,$2:$2,0),0)</f>
        <v>0</v>
      </c>
      <c r="E762" s="217">
        <f>IF(ISNUMBER(VLOOKUP($B:$B,BS!$A:$D,$2:$2,0)),VLOOKUP($B:$B,BS!$A:$D,$2:$2,0),0)</f>
        <v>0</v>
      </c>
      <c r="F762" s="217">
        <f>IF(ISNUMBER(VLOOKUP($B:$B,BS!$A:$D,$2:$2,0)),VLOOKUP($B:$B,BS!$A:$D,$2:$2,0),0)</f>
        <v>0</v>
      </c>
      <c r="G762" s="217">
        <f>IF(ISNUMBER(VLOOKUP($B:$B,BS!$A:$D,$2:$2,0)),VLOOKUP($B:$B,BS!$A:$D,$2:$2,0),0)</f>
        <v>0</v>
      </c>
      <c r="H762" s="207">
        <f>IF(ISNUMBER(VLOOKUP($B:$B,'BS(과거)'!$A:$F,$2:$2,0)),VLOOKUP($B:$B,'BS(과거)'!$A:$F,$2:$2,0),0)</f>
        <v>0</v>
      </c>
      <c r="I762" s="207">
        <f>IF(ISNUMBER(VLOOKUP($B:$B,'BS(과거)'!$A:$F,$2:$2,0)),VLOOKUP($B:$B,'BS(과거)'!$A:$F,$2:$2,0),0)</f>
        <v>0</v>
      </c>
      <c r="J762" s="207">
        <f>IF(ISNUMBER(VLOOKUP($B:$B,'BS(과거)'!$A:$F,$2:$2,0)),VLOOKUP($B:$B,'BS(과거)'!$A:$F,$2:$2,0),0)</f>
        <v>0</v>
      </c>
      <c r="K762" s="207">
        <f>IF(ISNUMBER(VLOOKUP($B:$B,'BS(과거)'!$A:$F,$2:$2,0)),VLOOKUP($B:$B,'BS(과거)'!$A:$F,$2:$2,0),0)</f>
        <v>0</v>
      </c>
      <c r="L762" s="207">
        <f>IF(ISNUMBER(VLOOKUP($B:$B,'BS(과거)'!$A:$F,$2:$2,0)),VLOOKUP($B:$B,'BS(과거)'!$A:$F,$2:$2,0),0)</f>
        <v>0</v>
      </c>
      <c r="N762" s="207">
        <f>IF(ISNUMBER(VLOOKUP($B:$B,'BS(분기)'!$A:$F,$2:$2,0)),VLOOKUP($B:$B,'BS(분기)'!$A:$F,$2:$2,0),0)</f>
        <v>0</v>
      </c>
      <c r="O762" s="207">
        <f>IF(ISNUMBER(VLOOKUP($B:$B,'BS(분기)'!$A:$F,$2:$2,0)),VLOOKUP($B:$B,'BS(분기)'!$A:$F,$2:$2,0),0)</f>
        <v>0</v>
      </c>
      <c r="P762" s="207">
        <f>IF(ISNUMBER(VLOOKUP($B:$B,'BS(분기)'!$A:$F,$2:$2,0)),VLOOKUP($B:$B,'BS(분기)'!$A:$F,$2:$2,0),0)</f>
        <v>0</v>
      </c>
      <c r="Q762" s="207">
        <f>IF(ISNUMBER(VLOOKUP($B:$B,'BS(분기)'!$A:$F,$2:$2,0)),VLOOKUP($B:$B,'BS(분기)'!$A:$F,$2:$2,0),0)</f>
        <v>0</v>
      </c>
      <c r="R762" s="207">
        <f>IF(ISNUMBER(VLOOKUP($B:$B,'BS(분기)'!$A:$F,$2:$2,0)),VLOOKUP($B:$B,'BS(분기)'!$A:$F,$2:$2,0),0)</f>
        <v>0</v>
      </c>
    </row>
    <row r="763" spans="1:18" s="192" customFormat="1" ht="12">
      <c r="A763" s="202">
        <v>118560</v>
      </c>
      <c r="B763" s="195" t="s">
        <v>665</v>
      </c>
      <c r="C763" s="217">
        <f>IF(ISNUMBER(VLOOKUP($B:$B,BS!$A:$D,$2:$2,0)),VLOOKUP($B:$B,BS!$A:$D,$2:$2,0),0)</f>
        <v>0</v>
      </c>
      <c r="D763" s="217">
        <f>IF(ISNUMBER(VLOOKUP($B:$B,BS!$A:$D,$2:$2,0)),VLOOKUP($B:$B,BS!$A:$D,$2:$2,0),0)</f>
        <v>0</v>
      </c>
      <c r="E763" s="217">
        <f>IF(ISNUMBER(VLOOKUP($B:$B,BS!$A:$D,$2:$2,0)),VLOOKUP($B:$B,BS!$A:$D,$2:$2,0),0)</f>
        <v>0</v>
      </c>
      <c r="F763" s="217">
        <f>IF(ISNUMBER(VLOOKUP($B:$B,BS!$A:$D,$2:$2,0)),VLOOKUP($B:$B,BS!$A:$D,$2:$2,0),0)</f>
        <v>0</v>
      </c>
      <c r="G763" s="217">
        <f>IF(ISNUMBER(VLOOKUP($B:$B,BS!$A:$D,$2:$2,0)),VLOOKUP($B:$B,BS!$A:$D,$2:$2,0),0)</f>
        <v>0</v>
      </c>
      <c r="H763" s="207">
        <f>IF(ISNUMBER(VLOOKUP($B:$B,'BS(과거)'!$A:$F,$2:$2,0)),VLOOKUP($B:$B,'BS(과거)'!$A:$F,$2:$2,0),0)</f>
        <v>0</v>
      </c>
      <c r="I763" s="207">
        <f>IF(ISNUMBER(VLOOKUP($B:$B,'BS(과거)'!$A:$F,$2:$2,0)),VLOOKUP($B:$B,'BS(과거)'!$A:$F,$2:$2,0),0)</f>
        <v>0</v>
      </c>
      <c r="J763" s="207">
        <f>IF(ISNUMBER(VLOOKUP($B:$B,'BS(과거)'!$A:$F,$2:$2,0)),VLOOKUP($B:$B,'BS(과거)'!$A:$F,$2:$2,0),0)</f>
        <v>0</v>
      </c>
      <c r="K763" s="207">
        <f>IF(ISNUMBER(VLOOKUP($B:$B,'BS(과거)'!$A:$F,$2:$2,0)),VLOOKUP($B:$B,'BS(과거)'!$A:$F,$2:$2,0),0)</f>
        <v>0</v>
      </c>
      <c r="L763" s="207">
        <f>IF(ISNUMBER(VLOOKUP($B:$B,'BS(과거)'!$A:$F,$2:$2,0)),VLOOKUP($B:$B,'BS(과거)'!$A:$F,$2:$2,0),0)</f>
        <v>0</v>
      </c>
      <c r="N763" s="207">
        <f>IF(ISNUMBER(VLOOKUP($B:$B,'BS(분기)'!$A:$F,$2:$2,0)),VLOOKUP($B:$B,'BS(분기)'!$A:$F,$2:$2,0),0)</f>
        <v>0</v>
      </c>
      <c r="O763" s="207">
        <f>IF(ISNUMBER(VLOOKUP($B:$B,'BS(분기)'!$A:$F,$2:$2,0)),VLOOKUP($B:$B,'BS(분기)'!$A:$F,$2:$2,0),0)</f>
        <v>0</v>
      </c>
      <c r="P763" s="207">
        <f>IF(ISNUMBER(VLOOKUP($B:$B,'BS(분기)'!$A:$F,$2:$2,0)),VLOOKUP($B:$B,'BS(분기)'!$A:$F,$2:$2,0),0)</f>
        <v>0</v>
      </c>
      <c r="Q763" s="207">
        <f>IF(ISNUMBER(VLOOKUP($B:$B,'BS(분기)'!$A:$F,$2:$2,0)),VLOOKUP($B:$B,'BS(분기)'!$A:$F,$2:$2,0),0)</f>
        <v>0</v>
      </c>
      <c r="R763" s="207">
        <f>IF(ISNUMBER(VLOOKUP($B:$B,'BS(분기)'!$A:$F,$2:$2,0)),VLOOKUP($B:$B,'BS(분기)'!$A:$F,$2:$2,0),0)</f>
        <v>0</v>
      </c>
    </row>
    <row r="764" spans="1:18" s="192" customFormat="1" ht="12">
      <c r="A764" s="202">
        <v>118617</v>
      </c>
      <c r="B764" s="195" t="s">
        <v>1342</v>
      </c>
      <c r="C764" s="217">
        <f>IF(ISNUMBER(VLOOKUP($B:$B,BS!$A:$D,$2:$2,0)),VLOOKUP($B:$B,BS!$A:$D,$2:$2,0),0)</f>
        <v>0</v>
      </c>
      <c r="D764" s="217">
        <f>IF(ISNUMBER(VLOOKUP($B:$B,BS!$A:$D,$2:$2,0)),VLOOKUP($B:$B,BS!$A:$D,$2:$2,0),0)</f>
        <v>0</v>
      </c>
      <c r="E764" s="217">
        <f>IF(ISNUMBER(VLOOKUP($B:$B,BS!$A:$D,$2:$2,0)),VLOOKUP($B:$B,BS!$A:$D,$2:$2,0),0)</f>
        <v>0</v>
      </c>
      <c r="F764" s="217">
        <f>IF(ISNUMBER(VLOOKUP($B:$B,BS!$A:$D,$2:$2,0)),VLOOKUP($B:$B,BS!$A:$D,$2:$2,0),0)</f>
        <v>0</v>
      </c>
      <c r="G764" s="217">
        <f>IF(ISNUMBER(VLOOKUP($B:$B,BS!$A:$D,$2:$2,0)),VLOOKUP($B:$B,BS!$A:$D,$2:$2,0),0)</f>
        <v>0</v>
      </c>
      <c r="H764" s="207">
        <f>IF(ISNUMBER(VLOOKUP($B:$B,'BS(과거)'!$A:$F,$2:$2,0)),VLOOKUP($B:$B,'BS(과거)'!$A:$F,$2:$2,0),0)</f>
        <v>0</v>
      </c>
      <c r="I764" s="207">
        <f>IF(ISNUMBER(VLOOKUP($B:$B,'BS(과거)'!$A:$F,$2:$2,0)),VLOOKUP($B:$B,'BS(과거)'!$A:$F,$2:$2,0),0)</f>
        <v>0</v>
      </c>
      <c r="J764" s="207">
        <f>IF(ISNUMBER(VLOOKUP($B:$B,'BS(과거)'!$A:$F,$2:$2,0)),VLOOKUP($B:$B,'BS(과거)'!$A:$F,$2:$2,0),0)</f>
        <v>0</v>
      </c>
      <c r="K764" s="207">
        <f>IF(ISNUMBER(VLOOKUP($B:$B,'BS(과거)'!$A:$F,$2:$2,0)),VLOOKUP($B:$B,'BS(과거)'!$A:$F,$2:$2,0),0)</f>
        <v>0</v>
      </c>
      <c r="L764" s="207">
        <f>IF(ISNUMBER(VLOOKUP($B:$B,'BS(과거)'!$A:$F,$2:$2,0)),VLOOKUP($B:$B,'BS(과거)'!$A:$F,$2:$2,0),0)</f>
        <v>0</v>
      </c>
      <c r="N764" s="207">
        <f>IF(ISNUMBER(VLOOKUP($B:$B,'BS(분기)'!$A:$F,$2:$2,0)),VLOOKUP($B:$B,'BS(분기)'!$A:$F,$2:$2,0),0)</f>
        <v>0</v>
      </c>
      <c r="O764" s="207">
        <f>IF(ISNUMBER(VLOOKUP($B:$B,'BS(분기)'!$A:$F,$2:$2,0)),VLOOKUP($B:$B,'BS(분기)'!$A:$F,$2:$2,0),0)</f>
        <v>0</v>
      </c>
      <c r="P764" s="207">
        <f>IF(ISNUMBER(VLOOKUP($B:$B,'BS(분기)'!$A:$F,$2:$2,0)),VLOOKUP($B:$B,'BS(분기)'!$A:$F,$2:$2,0),0)</f>
        <v>0</v>
      </c>
      <c r="Q764" s="207">
        <f>IF(ISNUMBER(VLOOKUP($B:$B,'BS(분기)'!$A:$F,$2:$2,0)),VLOOKUP($B:$B,'BS(분기)'!$A:$F,$2:$2,0),0)</f>
        <v>0</v>
      </c>
      <c r="R764" s="207">
        <f>IF(ISNUMBER(VLOOKUP($B:$B,'BS(분기)'!$A:$F,$2:$2,0)),VLOOKUP($B:$B,'BS(분기)'!$A:$F,$2:$2,0),0)</f>
        <v>0</v>
      </c>
    </row>
    <row r="765" spans="1:18" s="192" customFormat="1" ht="12">
      <c r="A765" s="202">
        <v>118618</v>
      </c>
      <c r="B765" s="195" t="s">
        <v>1343</v>
      </c>
      <c r="C765" s="217">
        <f>IF(ISNUMBER(VLOOKUP($B:$B,BS!$A:$D,$2:$2,0)),VLOOKUP($B:$B,BS!$A:$D,$2:$2,0),0)</f>
        <v>0</v>
      </c>
      <c r="D765" s="217">
        <f>IF(ISNUMBER(VLOOKUP($B:$B,BS!$A:$D,$2:$2,0)),VLOOKUP($B:$B,BS!$A:$D,$2:$2,0),0)</f>
        <v>0</v>
      </c>
      <c r="E765" s="217">
        <f>IF(ISNUMBER(VLOOKUP($B:$B,BS!$A:$D,$2:$2,0)),VLOOKUP($B:$B,BS!$A:$D,$2:$2,0),0)</f>
        <v>0</v>
      </c>
      <c r="F765" s="217">
        <f>IF(ISNUMBER(VLOOKUP($B:$B,BS!$A:$D,$2:$2,0)),VLOOKUP($B:$B,BS!$A:$D,$2:$2,0),0)</f>
        <v>0</v>
      </c>
      <c r="G765" s="217">
        <f>IF(ISNUMBER(VLOOKUP($B:$B,BS!$A:$D,$2:$2,0)),VLOOKUP($B:$B,BS!$A:$D,$2:$2,0),0)</f>
        <v>0</v>
      </c>
      <c r="H765" s="207">
        <f>IF(ISNUMBER(VLOOKUP($B:$B,'BS(과거)'!$A:$F,$2:$2,0)),VLOOKUP($B:$B,'BS(과거)'!$A:$F,$2:$2,0),0)</f>
        <v>0</v>
      </c>
      <c r="I765" s="207">
        <f>IF(ISNUMBER(VLOOKUP($B:$B,'BS(과거)'!$A:$F,$2:$2,0)),VLOOKUP($B:$B,'BS(과거)'!$A:$F,$2:$2,0),0)</f>
        <v>0</v>
      </c>
      <c r="J765" s="207">
        <f>IF(ISNUMBER(VLOOKUP($B:$B,'BS(과거)'!$A:$F,$2:$2,0)),VLOOKUP($B:$B,'BS(과거)'!$A:$F,$2:$2,0),0)</f>
        <v>0</v>
      </c>
      <c r="K765" s="207">
        <f>IF(ISNUMBER(VLOOKUP($B:$B,'BS(과거)'!$A:$F,$2:$2,0)),VLOOKUP($B:$B,'BS(과거)'!$A:$F,$2:$2,0),0)</f>
        <v>0</v>
      </c>
      <c r="L765" s="207">
        <f>IF(ISNUMBER(VLOOKUP($B:$B,'BS(과거)'!$A:$F,$2:$2,0)),VLOOKUP($B:$B,'BS(과거)'!$A:$F,$2:$2,0),0)</f>
        <v>0</v>
      </c>
      <c r="N765" s="207">
        <f>IF(ISNUMBER(VLOOKUP($B:$B,'BS(분기)'!$A:$F,$2:$2,0)),VLOOKUP($B:$B,'BS(분기)'!$A:$F,$2:$2,0),0)</f>
        <v>0</v>
      </c>
      <c r="O765" s="207">
        <f>IF(ISNUMBER(VLOOKUP($B:$B,'BS(분기)'!$A:$F,$2:$2,0)),VLOOKUP($B:$B,'BS(분기)'!$A:$F,$2:$2,0),0)</f>
        <v>0</v>
      </c>
      <c r="P765" s="207">
        <f>IF(ISNUMBER(VLOOKUP($B:$B,'BS(분기)'!$A:$F,$2:$2,0)),VLOOKUP($B:$B,'BS(분기)'!$A:$F,$2:$2,0),0)</f>
        <v>0</v>
      </c>
      <c r="Q765" s="207">
        <f>IF(ISNUMBER(VLOOKUP($B:$B,'BS(분기)'!$A:$F,$2:$2,0)),VLOOKUP($B:$B,'BS(분기)'!$A:$F,$2:$2,0),0)</f>
        <v>0</v>
      </c>
      <c r="R765" s="207">
        <f>IF(ISNUMBER(VLOOKUP($B:$B,'BS(분기)'!$A:$F,$2:$2,0)),VLOOKUP($B:$B,'BS(분기)'!$A:$F,$2:$2,0),0)</f>
        <v>0</v>
      </c>
    </row>
    <row r="766" spans="1:18" s="192" customFormat="1" ht="12">
      <c r="A766" s="202">
        <v>118620</v>
      </c>
      <c r="B766" s="195" t="s">
        <v>1319</v>
      </c>
      <c r="C766" s="217">
        <f>IF(ISNUMBER(VLOOKUP($B:$B,BS!$A:$D,$2:$2,0)),VLOOKUP($B:$B,BS!$A:$D,$2:$2,0),0)</f>
        <v>0</v>
      </c>
      <c r="D766" s="217">
        <f>IF(ISNUMBER(VLOOKUP($B:$B,BS!$A:$D,$2:$2,0)),VLOOKUP($B:$B,BS!$A:$D,$2:$2,0),0)</f>
        <v>0</v>
      </c>
      <c r="E766" s="217">
        <f>IF(ISNUMBER(VLOOKUP($B:$B,BS!$A:$D,$2:$2,0)),VLOOKUP($B:$B,BS!$A:$D,$2:$2,0),0)</f>
        <v>0</v>
      </c>
      <c r="F766" s="217">
        <f>IF(ISNUMBER(VLOOKUP($B:$B,BS!$A:$D,$2:$2,0)),VLOOKUP($B:$B,BS!$A:$D,$2:$2,0),0)</f>
        <v>0</v>
      </c>
      <c r="G766" s="217">
        <f>IF(ISNUMBER(VLOOKUP($B:$B,BS!$A:$D,$2:$2,0)),VLOOKUP($B:$B,BS!$A:$D,$2:$2,0),0)</f>
        <v>0</v>
      </c>
      <c r="H766" s="207">
        <f>IF(ISNUMBER(VLOOKUP($B:$B,'BS(과거)'!$A:$F,$2:$2,0)),VLOOKUP($B:$B,'BS(과거)'!$A:$F,$2:$2,0),0)</f>
        <v>0</v>
      </c>
      <c r="I766" s="207">
        <f>IF(ISNUMBER(VLOOKUP($B:$B,'BS(과거)'!$A:$F,$2:$2,0)),VLOOKUP($B:$B,'BS(과거)'!$A:$F,$2:$2,0),0)</f>
        <v>0</v>
      </c>
      <c r="J766" s="207">
        <f>IF(ISNUMBER(VLOOKUP($B:$B,'BS(과거)'!$A:$F,$2:$2,0)),VLOOKUP($B:$B,'BS(과거)'!$A:$F,$2:$2,0),0)</f>
        <v>0</v>
      </c>
      <c r="K766" s="207">
        <f>IF(ISNUMBER(VLOOKUP($B:$B,'BS(과거)'!$A:$F,$2:$2,0)),VLOOKUP($B:$B,'BS(과거)'!$A:$F,$2:$2,0),0)</f>
        <v>0</v>
      </c>
      <c r="L766" s="207">
        <f>IF(ISNUMBER(VLOOKUP($B:$B,'BS(과거)'!$A:$F,$2:$2,0)),VLOOKUP($B:$B,'BS(과거)'!$A:$F,$2:$2,0),0)</f>
        <v>0</v>
      </c>
      <c r="N766" s="207">
        <f>IF(ISNUMBER(VLOOKUP($B:$B,'BS(분기)'!$A:$F,$2:$2,0)),VLOOKUP($B:$B,'BS(분기)'!$A:$F,$2:$2,0),0)</f>
        <v>0</v>
      </c>
      <c r="O766" s="207">
        <f>IF(ISNUMBER(VLOOKUP($B:$B,'BS(분기)'!$A:$F,$2:$2,0)),VLOOKUP($B:$B,'BS(분기)'!$A:$F,$2:$2,0),0)</f>
        <v>0</v>
      </c>
      <c r="P766" s="207">
        <f>IF(ISNUMBER(VLOOKUP($B:$B,'BS(분기)'!$A:$F,$2:$2,0)),VLOOKUP($B:$B,'BS(분기)'!$A:$F,$2:$2,0),0)</f>
        <v>0</v>
      </c>
      <c r="Q766" s="207">
        <f>IF(ISNUMBER(VLOOKUP($B:$B,'BS(분기)'!$A:$F,$2:$2,0)),VLOOKUP($B:$B,'BS(분기)'!$A:$F,$2:$2,0),0)</f>
        <v>0</v>
      </c>
      <c r="R766" s="207">
        <f>IF(ISNUMBER(VLOOKUP($B:$B,'BS(분기)'!$A:$F,$2:$2,0)),VLOOKUP($B:$B,'BS(분기)'!$A:$F,$2:$2,0),0)</f>
        <v>0</v>
      </c>
    </row>
    <row r="767" spans="1:18" s="192" customFormat="1" ht="12">
      <c r="A767" s="202">
        <v>118619</v>
      </c>
      <c r="B767" s="195" t="s">
        <v>644</v>
      </c>
      <c r="C767" s="217">
        <f>IF(ISNUMBER(VLOOKUP($B:$B,BS!$A:$D,$2:$2,0)),VLOOKUP($B:$B,BS!$A:$D,$2:$2,0),0)</f>
        <v>0</v>
      </c>
      <c r="D767" s="217">
        <f>IF(ISNUMBER(VLOOKUP($B:$B,BS!$A:$D,$2:$2,0)),VLOOKUP($B:$B,BS!$A:$D,$2:$2,0),0)</f>
        <v>0</v>
      </c>
      <c r="E767" s="217">
        <f>IF(ISNUMBER(VLOOKUP($B:$B,BS!$A:$D,$2:$2,0)),VLOOKUP($B:$B,BS!$A:$D,$2:$2,0),0)</f>
        <v>0</v>
      </c>
      <c r="F767" s="217">
        <f>IF(ISNUMBER(VLOOKUP($B:$B,BS!$A:$D,$2:$2,0)),VLOOKUP($B:$B,BS!$A:$D,$2:$2,0),0)</f>
        <v>0</v>
      </c>
      <c r="G767" s="217">
        <f>IF(ISNUMBER(VLOOKUP($B:$B,BS!$A:$D,$2:$2,0)),VLOOKUP($B:$B,BS!$A:$D,$2:$2,0),0)</f>
        <v>0</v>
      </c>
      <c r="H767" s="207">
        <f>IF(ISNUMBER(VLOOKUP($B:$B,'BS(과거)'!$A:$F,$2:$2,0)),VLOOKUP($B:$B,'BS(과거)'!$A:$F,$2:$2,0),0)</f>
        <v>0</v>
      </c>
      <c r="I767" s="207">
        <f>IF(ISNUMBER(VLOOKUP($B:$B,'BS(과거)'!$A:$F,$2:$2,0)),VLOOKUP($B:$B,'BS(과거)'!$A:$F,$2:$2,0),0)</f>
        <v>0</v>
      </c>
      <c r="J767" s="207">
        <f>IF(ISNUMBER(VLOOKUP($B:$B,'BS(과거)'!$A:$F,$2:$2,0)),VLOOKUP($B:$B,'BS(과거)'!$A:$F,$2:$2,0),0)</f>
        <v>0</v>
      </c>
      <c r="K767" s="207">
        <f>IF(ISNUMBER(VLOOKUP($B:$B,'BS(과거)'!$A:$F,$2:$2,0)),VLOOKUP($B:$B,'BS(과거)'!$A:$F,$2:$2,0),0)</f>
        <v>0</v>
      </c>
      <c r="L767" s="207">
        <f>IF(ISNUMBER(VLOOKUP($B:$B,'BS(과거)'!$A:$F,$2:$2,0)),VLOOKUP($B:$B,'BS(과거)'!$A:$F,$2:$2,0),0)</f>
        <v>0</v>
      </c>
      <c r="N767" s="207">
        <f>IF(ISNUMBER(VLOOKUP($B:$B,'BS(분기)'!$A:$F,$2:$2,0)),VLOOKUP($B:$B,'BS(분기)'!$A:$F,$2:$2,0),0)</f>
        <v>0</v>
      </c>
      <c r="O767" s="207">
        <f>IF(ISNUMBER(VLOOKUP($B:$B,'BS(분기)'!$A:$F,$2:$2,0)),VLOOKUP($B:$B,'BS(분기)'!$A:$F,$2:$2,0),0)</f>
        <v>0</v>
      </c>
      <c r="P767" s="207">
        <f>IF(ISNUMBER(VLOOKUP($B:$B,'BS(분기)'!$A:$F,$2:$2,0)),VLOOKUP($B:$B,'BS(분기)'!$A:$F,$2:$2,0),0)</f>
        <v>0</v>
      </c>
      <c r="Q767" s="207">
        <f>IF(ISNUMBER(VLOOKUP($B:$B,'BS(분기)'!$A:$F,$2:$2,0)),VLOOKUP($B:$B,'BS(분기)'!$A:$F,$2:$2,0),0)</f>
        <v>0</v>
      </c>
      <c r="R767" s="207">
        <f>IF(ISNUMBER(VLOOKUP($B:$B,'BS(분기)'!$A:$F,$2:$2,0)),VLOOKUP($B:$B,'BS(분기)'!$A:$F,$2:$2,0),0)</f>
        <v>0</v>
      </c>
    </row>
    <row r="768" spans="1:18" s="192" customFormat="1" ht="12">
      <c r="A768" s="201">
        <v>118300</v>
      </c>
      <c r="B768" s="194" t="s">
        <v>597</v>
      </c>
      <c r="C768" s="217">
        <f>IF(ISNUMBER(VLOOKUP($B:$B,BS!$A:$D,$2:$2,0)),VLOOKUP($B:$B,BS!$A:$D,$2:$2,0),0)</f>
        <v>0</v>
      </c>
      <c r="D768" s="217">
        <f>IF(ISNUMBER(VLOOKUP($B:$B,BS!$A:$D,$2:$2,0)),VLOOKUP($B:$B,BS!$A:$D,$2:$2,0),0)</f>
        <v>0</v>
      </c>
      <c r="E768" s="217">
        <f>IF(ISNUMBER(VLOOKUP($B:$B,BS!$A:$D,$2:$2,0)),VLOOKUP($B:$B,BS!$A:$D,$2:$2,0),0)</f>
        <v>0</v>
      </c>
      <c r="F768" s="217">
        <f>IF(ISNUMBER(VLOOKUP($B:$B,BS!$A:$D,$2:$2,0)),VLOOKUP($B:$B,BS!$A:$D,$2:$2,0),0)</f>
        <v>0</v>
      </c>
      <c r="G768" s="217">
        <f>IF(ISNUMBER(VLOOKUP($B:$B,BS!$A:$D,$2:$2,0)),VLOOKUP($B:$B,BS!$A:$D,$2:$2,0),0)</f>
        <v>0</v>
      </c>
      <c r="H768" s="207">
        <f>IF(ISNUMBER(VLOOKUP($B:$B,'BS(과거)'!$A:$F,$2:$2,0)),VLOOKUP($B:$B,'BS(과거)'!$A:$F,$2:$2,0),0)</f>
        <v>0</v>
      </c>
      <c r="I768" s="207">
        <f>IF(ISNUMBER(VLOOKUP($B:$B,'BS(과거)'!$A:$F,$2:$2,0)),VLOOKUP($B:$B,'BS(과거)'!$A:$F,$2:$2,0),0)</f>
        <v>0</v>
      </c>
      <c r="J768" s="207">
        <f>IF(ISNUMBER(VLOOKUP($B:$B,'BS(과거)'!$A:$F,$2:$2,0)),VLOOKUP($B:$B,'BS(과거)'!$A:$F,$2:$2,0),0)</f>
        <v>0</v>
      </c>
      <c r="K768" s="207">
        <f>IF(ISNUMBER(VLOOKUP($B:$B,'BS(과거)'!$A:$F,$2:$2,0)),VLOOKUP($B:$B,'BS(과거)'!$A:$F,$2:$2,0),0)</f>
        <v>0</v>
      </c>
      <c r="L768" s="207">
        <f>IF(ISNUMBER(VLOOKUP($B:$B,'BS(과거)'!$A:$F,$2:$2,0)),VLOOKUP($B:$B,'BS(과거)'!$A:$F,$2:$2,0),0)</f>
        <v>0</v>
      </c>
      <c r="N768" s="207">
        <f>IF(ISNUMBER(VLOOKUP($B:$B,'BS(분기)'!$A:$F,$2:$2,0)),VLOOKUP($B:$B,'BS(분기)'!$A:$F,$2:$2,0),0)</f>
        <v>0</v>
      </c>
      <c r="O768" s="207">
        <f>IF(ISNUMBER(VLOOKUP($B:$B,'BS(분기)'!$A:$F,$2:$2,0)),VLOOKUP($B:$B,'BS(분기)'!$A:$F,$2:$2,0),0)</f>
        <v>0</v>
      </c>
      <c r="P768" s="207">
        <f>IF(ISNUMBER(VLOOKUP($B:$B,'BS(분기)'!$A:$F,$2:$2,0)),VLOOKUP($B:$B,'BS(분기)'!$A:$F,$2:$2,0),0)</f>
        <v>0</v>
      </c>
      <c r="Q768" s="207">
        <f>IF(ISNUMBER(VLOOKUP($B:$B,'BS(분기)'!$A:$F,$2:$2,0)),VLOOKUP($B:$B,'BS(분기)'!$A:$F,$2:$2,0),0)</f>
        <v>0</v>
      </c>
      <c r="R768" s="207">
        <f>IF(ISNUMBER(VLOOKUP($B:$B,'BS(분기)'!$A:$F,$2:$2,0)),VLOOKUP($B:$B,'BS(분기)'!$A:$F,$2:$2,0),0)</f>
        <v>0</v>
      </c>
    </row>
    <row r="769" spans="1:18" s="192" customFormat="1" ht="12">
      <c r="A769" s="202">
        <v>118310</v>
      </c>
      <c r="B769" s="195" t="s">
        <v>858</v>
      </c>
      <c r="C769" s="217">
        <f>IF(ISNUMBER(VLOOKUP($B:$B,BS!$A:$D,$2:$2,0)),VLOOKUP($B:$B,BS!$A:$D,$2:$2,0),0)</f>
        <v>0</v>
      </c>
      <c r="D769" s="217">
        <f>IF(ISNUMBER(VLOOKUP($B:$B,BS!$A:$D,$2:$2,0)),VLOOKUP($B:$B,BS!$A:$D,$2:$2,0),0)</f>
        <v>0</v>
      </c>
      <c r="E769" s="217">
        <f>IF(ISNUMBER(VLOOKUP($B:$B,BS!$A:$D,$2:$2,0)),VLOOKUP($B:$B,BS!$A:$D,$2:$2,0),0)</f>
        <v>0</v>
      </c>
      <c r="F769" s="217">
        <f>IF(ISNUMBER(VLOOKUP($B:$B,BS!$A:$D,$2:$2,0)),VLOOKUP($B:$B,BS!$A:$D,$2:$2,0),0)</f>
        <v>0</v>
      </c>
      <c r="G769" s="217">
        <f>IF(ISNUMBER(VLOOKUP($B:$B,BS!$A:$D,$2:$2,0)),VLOOKUP($B:$B,BS!$A:$D,$2:$2,0),0)</f>
        <v>0</v>
      </c>
      <c r="H769" s="207">
        <f>IF(ISNUMBER(VLOOKUP($B:$B,'BS(과거)'!$A:$F,$2:$2,0)),VLOOKUP($B:$B,'BS(과거)'!$A:$F,$2:$2,0),0)</f>
        <v>0</v>
      </c>
      <c r="I769" s="207">
        <f>IF(ISNUMBER(VLOOKUP($B:$B,'BS(과거)'!$A:$F,$2:$2,0)),VLOOKUP($B:$B,'BS(과거)'!$A:$F,$2:$2,0),0)</f>
        <v>0</v>
      </c>
      <c r="J769" s="207">
        <f>IF(ISNUMBER(VLOOKUP($B:$B,'BS(과거)'!$A:$F,$2:$2,0)),VLOOKUP($B:$B,'BS(과거)'!$A:$F,$2:$2,0),0)</f>
        <v>0</v>
      </c>
      <c r="K769" s="207">
        <f>IF(ISNUMBER(VLOOKUP($B:$B,'BS(과거)'!$A:$F,$2:$2,0)),VLOOKUP($B:$B,'BS(과거)'!$A:$F,$2:$2,0),0)</f>
        <v>0</v>
      </c>
      <c r="L769" s="207">
        <f>IF(ISNUMBER(VLOOKUP($B:$B,'BS(과거)'!$A:$F,$2:$2,0)),VLOOKUP($B:$B,'BS(과거)'!$A:$F,$2:$2,0),0)</f>
        <v>0</v>
      </c>
      <c r="N769" s="207">
        <f>IF(ISNUMBER(VLOOKUP($B:$B,'BS(분기)'!$A:$F,$2:$2,0)),VLOOKUP($B:$B,'BS(분기)'!$A:$F,$2:$2,0),0)</f>
        <v>0</v>
      </c>
      <c r="O769" s="207">
        <f>IF(ISNUMBER(VLOOKUP($B:$B,'BS(분기)'!$A:$F,$2:$2,0)),VLOOKUP($B:$B,'BS(분기)'!$A:$F,$2:$2,0),0)</f>
        <v>0</v>
      </c>
      <c r="P769" s="207">
        <f>IF(ISNUMBER(VLOOKUP($B:$B,'BS(분기)'!$A:$F,$2:$2,0)),VLOOKUP($B:$B,'BS(분기)'!$A:$F,$2:$2,0),0)</f>
        <v>0</v>
      </c>
      <c r="Q769" s="207">
        <f>IF(ISNUMBER(VLOOKUP($B:$B,'BS(분기)'!$A:$F,$2:$2,0)),VLOOKUP($B:$B,'BS(분기)'!$A:$F,$2:$2,0),0)</f>
        <v>0</v>
      </c>
      <c r="R769" s="207">
        <f>IF(ISNUMBER(VLOOKUP($B:$B,'BS(분기)'!$A:$F,$2:$2,0)),VLOOKUP($B:$B,'BS(분기)'!$A:$F,$2:$2,0),0)</f>
        <v>0</v>
      </c>
    </row>
    <row r="770" spans="1:18" s="192" customFormat="1" ht="12">
      <c r="A770" s="203">
        <v>118311</v>
      </c>
      <c r="B770" s="196" t="s">
        <v>859</v>
      </c>
      <c r="C770" s="217">
        <f>IF(ISNUMBER(VLOOKUP($B:$B,BS!$A:$D,$2:$2,0)),VLOOKUP($B:$B,BS!$A:$D,$2:$2,0),0)</f>
        <v>0</v>
      </c>
      <c r="D770" s="217">
        <f>IF(ISNUMBER(VLOOKUP($B:$B,BS!$A:$D,$2:$2,0)),VLOOKUP($B:$B,BS!$A:$D,$2:$2,0),0)</f>
        <v>0</v>
      </c>
      <c r="E770" s="217">
        <f>IF(ISNUMBER(VLOOKUP($B:$B,BS!$A:$D,$2:$2,0)),VLOOKUP($B:$B,BS!$A:$D,$2:$2,0),0)</f>
        <v>0</v>
      </c>
      <c r="F770" s="217">
        <f>IF(ISNUMBER(VLOOKUP($B:$B,BS!$A:$D,$2:$2,0)),VLOOKUP($B:$B,BS!$A:$D,$2:$2,0),0)</f>
        <v>0</v>
      </c>
      <c r="G770" s="217">
        <f>IF(ISNUMBER(VLOOKUP($B:$B,BS!$A:$D,$2:$2,0)),VLOOKUP($B:$B,BS!$A:$D,$2:$2,0),0)</f>
        <v>0</v>
      </c>
      <c r="H770" s="207">
        <f>IF(ISNUMBER(VLOOKUP($B:$B,'BS(과거)'!$A:$F,$2:$2,0)),VLOOKUP($B:$B,'BS(과거)'!$A:$F,$2:$2,0),0)</f>
        <v>0</v>
      </c>
      <c r="I770" s="207">
        <f>IF(ISNUMBER(VLOOKUP($B:$B,'BS(과거)'!$A:$F,$2:$2,0)),VLOOKUP($B:$B,'BS(과거)'!$A:$F,$2:$2,0),0)</f>
        <v>0</v>
      </c>
      <c r="J770" s="207">
        <f>IF(ISNUMBER(VLOOKUP($B:$B,'BS(과거)'!$A:$F,$2:$2,0)),VLOOKUP($B:$B,'BS(과거)'!$A:$F,$2:$2,0),0)</f>
        <v>0</v>
      </c>
      <c r="K770" s="207">
        <f>IF(ISNUMBER(VLOOKUP($B:$B,'BS(과거)'!$A:$F,$2:$2,0)),VLOOKUP($B:$B,'BS(과거)'!$A:$F,$2:$2,0),0)</f>
        <v>0</v>
      </c>
      <c r="L770" s="207">
        <f>IF(ISNUMBER(VLOOKUP($B:$B,'BS(과거)'!$A:$F,$2:$2,0)),VLOOKUP($B:$B,'BS(과거)'!$A:$F,$2:$2,0),0)</f>
        <v>0</v>
      </c>
      <c r="N770" s="207">
        <f>IF(ISNUMBER(VLOOKUP($B:$B,'BS(분기)'!$A:$F,$2:$2,0)),VLOOKUP($B:$B,'BS(분기)'!$A:$F,$2:$2,0),0)</f>
        <v>0</v>
      </c>
      <c r="O770" s="207">
        <f>IF(ISNUMBER(VLOOKUP($B:$B,'BS(분기)'!$A:$F,$2:$2,0)),VLOOKUP($B:$B,'BS(분기)'!$A:$F,$2:$2,0),0)</f>
        <v>0</v>
      </c>
      <c r="P770" s="207">
        <f>IF(ISNUMBER(VLOOKUP($B:$B,'BS(분기)'!$A:$F,$2:$2,0)),VLOOKUP($B:$B,'BS(분기)'!$A:$F,$2:$2,0),0)</f>
        <v>0</v>
      </c>
      <c r="Q770" s="207">
        <f>IF(ISNUMBER(VLOOKUP($B:$B,'BS(분기)'!$A:$F,$2:$2,0)),VLOOKUP($B:$B,'BS(분기)'!$A:$F,$2:$2,0),0)</f>
        <v>0</v>
      </c>
      <c r="R770" s="207">
        <f>IF(ISNUMBER(VLOOKUP($B:$B,'BS(분기)'!$A:$F,$2:$2,0)),VLOOKUP($B:$B,'BS(분기)'!$A:$F,$2:$2,0),0)</f>
        <v>0</v>
      </c>
    </row>
    <row r="771" spans="1:18" s="192" customFormat="1" ht="12">
      <c r="A771" s="203">
        <v>118312</v>
      </c>
      <c r="B771" s="196" t="s">
        <v>860</v>
      </c>
      <c r="C771" s="217">
        <f>IF(ISNUMBER(VLOOKUP($B:$B,BS!$A:$D,$2:$2,0)),VLOOKUP($B:$B,BS!$A:$D,$2:$2,0),0)</f>
        <v>0</v>
      </c>
      <c r="D771" s="217">
        <f>IF(ISNUMBER(VLOOKUP($B:$B,BS!$A:$D,$2:$2,0)),VLOOKUP($B:$B,BS!$A:$D,$2:$2,0),0)</f>
        <v>0</v>
      </c>
      <c r="E771" s="217">
        <f>IF(ISNUMBER(VLOOKUP($B:$B,BS!$A:$D,$2:$2,0)),VLOOKUP($B:$B,BS!$A:$D,$2:$2,0),0)</f>
        <v>0</v>
      </c>
      <c r="F771" s="217">
        <f>IF(ISNUMBER(VLOOKUP($B:$B,BS!$A:$D,$2:$2,0)),VLOOKUP($B:$B,BS!$A:$D,$2:$2,0),0)</f>
        <v>0</v>
      </c>
      <c r="G771" s="217">
        <f>IF(ISNUMBER(VLOOKUP($B:$B,BS!$A:$D,$2:$2,0)),VLOOKUP($B:$B,BS!$A:$D,$2:$2,0),0)</f>
        <v>0</v>
      </c>
      <c r="H771" s="207">
        <f>IF(ISNUMBER(VLOOKUP($B:$B,'BS(과거)'!$A:$F,$2:$2,0)),VLOOKUP($B:$B,'BS(과거)'!$A:$F,$2:$2,0),0)</f>
        <v>0</v>
      </c>
      <c r="I771" s="207">
        <f>IF(ISNUMBER(VLOOKUP($B:$B,'BS(과거)'!$A:$F,$2:$2,0)),VLOOKUP($B:$B,'BS(과거)'!$A:$F,$2:$2,0),0)</f>
        <v>0</v>
      </c>
      <c r="J771" s="207">
        <f>IF(ISNUMBER(VLOOKUP($B:$B,'BS(과거)'!$A:$F,$2:$2,0)),VLOOKUP($B:$B,'BS(과거)'!$A:$F,$2:$2,0),0)</f>
        <v>0</v>
      </c>
      <c r="K771" s="207">
        <f>IF(ISNUMBER(VLOOKUP($B:$B,'BS(과거)'!$A:$F,$2:$2,0)),VLOOKUP($B:$B,'BS(과거)'!$A:$F,$2:$2,0),0)</f>
        <v>0</v>
      </c>
      <c r="L771" s="207">
        <f>IF(ISNUMBER(VLOOKUP($B:$B,'BS(과거)'!$A:$F,$2:$2,0)),VLOOKUP($B:$B,'BS(과거)'!$A:$F,$2:$2,0),0)</f>
        <v>0</v>
      </c>
      <c r="N771" s="207">
        <f>IF(ISNUMBER(VLOOKUP($B:$B,'BS(분기)'!$A:$F,$2:$2,0)),VLOOKUP($B:$B,'BS(분기)'!$A:$F,$2:$2,0),0)</f>
        <v>0</v>
      </c>
      <c r="O771" s="207">
        <f>IF(ISNUMBER(VLOOKUP($B:$B,'BS(분기)'!$A:$F,$2:$2,0)),VLOOKUP($B:$B,'BS(분기)'!$A:$F,$2:$2,0),0)</f>
        <v>0</v>
      </c>
      <c r="P771" s="207">
        <f>IF(ISNUMBER(VLOOKUP($B:$B,'BS(분기)'!$A:$F,$2:$2,0)),VLOOKUP($B:$B,'BS(분기)'!$A:$F,$2:$2,0),0)</f>
        <v>0</v>
      </c>
      <c r="Q771" s="207">
        <f>IF(ISNUMBER(VLOOKUP($B:$B,'BS(분기)'!$A:$F,$2:$2,0)),VLOOKUP($B:$B,'BS(분기)'!$A:$F,$2:$2,0),0)</f>
        <v>0</v>
      </c>
      <c r="R771" s="207">
        <f>IF(ISNUMBER(VLOOKUP($B:$B,'BS(분기)'!$A:$F,$2:$2,0)),VLOOKUP($B:$B,'BS(분기)'!$A:$F,$2:$2,0),0)</f>
        <v>0</v>
      </c>
    </row>
    <row r="772" spans="1:18" s="192" customFormat="1" ht="12">
      <c r="A772" s="203">
        <v>118313</v>
      </c>
      <c r="B772" s="196" t="s">
        <v>861</v>
      </c>
      <c r="C772" s="217">
        <f>IF(ISNUMBER(VLOOKUP($B:$B,BS!$A:$D,$2:$2,0)),VLOOKUP($B:$B,BS!$A:$D,$2:$2,0),0)</f>
        <v>0</v>
      </c>
      <c r="D772" s="217">
        <f>IF(ISNUMBER(VLOOKUP($B:$B,BS!$A:$D,$2:$2,0)),VLOOKUP($B:$B,BS!$A:$D,$2:$2,0),0)</f>
        <v>0</v>
      </c>
      <c r="E772" s="217">
        <f>IF(ISNUMBER(VLOOKUP($B:$B,BS!$A:$D,$2:$2,0)),VLOOKUP($B:$B,BS!$A:$D,$2:$2,0),0)</f>
        <v>0</v>
      </c>
      <c r="F772" s="217">
        <f>IF(ISNUMBER(VLOOKUP($B:$B,BS!$A:$D,$2:$2,0)),VLOOKUP($B:$B,BS!$A:$D,$2:$2,0),0)</f>
        <v>0</v>
      </c>
      <c r="G772" s="217">
        <f>IF(ISNUMBER(VLOOKUP($B:$B,BS!$A:$D,$2:$2,0)),VLOOKUP($B:$B,BS!$A:$D,$2:$2,0),0)</f>
        <v>0</v>
      </c>
      <c r="H772" s="207">
        <f>IF(ISNUMBER(VLOOKUP($B:$B,'BS(과거)'!$A:$F,$2:$2,0)),VLOOKUP($B:$B,'BS(과거)'!$A:$F,$2:$2,0),0)</f>
        <v>0</v>
      </c>
      <c r="I772" s="207">
        <f>IF(ISNUMBER(VLOOKUP($B:$B,'BS(과거)'!$A:$F,$2:$2,0)),VLOOKUP($B:$B,'BS(과거)'!$A:$F,$2:$2,0),0)</f>
        <v>0</v>
      </c>
      <c r="J772" s="207">
        <f>IF(ISNUMBER(VLOOKUP($B:$B,'BS(과거)'!$A:$F,$2:$2,0)),VLOOKUP($B:$B,'BS(과거)'!$A:$F,$2:$2,0),0)</f>
        <v>0</v>
      </c>
      <c r="K772" s="207">
        <f>IF(ISNUMBER(VLOOKUP($B:$B,'BS(과거)'!$A:$F,$2:$2,0)),VLOOKUP($B:$B,'BS(과거)'!$A:$F,$2:$2,0),0)</f>
        <v>0</v>
      </c>
      <c r="L772" s="207">
        <f>IF(ISNUMBER(VLOOKUP($B:$B,'BS(과거)'!$A:$F,$2:$2,0)),VLOOKUP($B:$B,'BS(과거)'!$A:$F,$2:$2,0),0)</f>
        <v>0</v>
      </c>
      <c r="N772" s="207">
        <f>IF(ISNUMBER(VLOOKUP($B:$B,'BS(분기)'!$A:$F,$2:$2,0)),VLOOKUP($B:$B,'BS(분기)'!$A:$F,$2:$2,0),0)</f>
        <v>0</v>
      </c>
      <c r="O772" s="207">
        <f>IF(ISNUMBER(VLOOKUP($B:$B,'BS(분기)'!$A:$F,$2:$2,0)),VLOOKUP($B:$B,'BS(분기)'!$A:$F,$2:$2,0),0)</f>
        <v>0</v>
      </c>
      <c r="P772" s="207">
        <f>IF(ISNUMBER(VLOOKUP($B:$B,'BS(분기)'!$A:$F,$2:$2,0)),VLOOKUP($B:$B,'BS(분기)'!$A:$F,$2:$2,0),0)</f>
        <v>0</v>
      </c>
      <c r="Q772" s="207">
        <f>IF(ISNUMBER(VLOOKUP($B:$B,'BS(분기)'!$A:$F,$2:$2,0)),VLOOKUP($B:$B,'BS(분기)'!$A:$F,$2:$2,0),0)</f>
        <v>0</v>
      </c>
      <c r="R772" s="207">
        <f>IF(ISNUMBER(VLOOKUP($B:$B,'BS(분기)'!$A:$F,$2:$2,0)),VLOOKUP($B:$B,'BS(분기)'!$A:$F,$2:$2,0),0)</f>
        <v>0</v>
      </c>
    </row>
    <row r="773" spans="1:18" s="192" customFormat="1" ht="12">
      <c r="A773" s="203">
        <v>118315</v>
      </c>
      <c r="B773" s="196" t="s">
        <v>1344</v>
      </c>
      <c r="C773" s="217">
        <f>IF(ISNUMBER(VLOOKUP($B:$B,BS!$A:$D,$2:$2,0)),VLOOKUP($B:$B,BS!$A:$D,$2:$2,0),0)</f>
        <v>0</v>
      </c>
      <c r="D773" s="217">
        <f>IF(ISNUMBER(VLOOKUP($B:$B,BS!$A:$D,$2:$2,0)),VLOOKUP($B:$B,BS!$A:$D,$2:$2,0),0)</f>
        <v>0</v>
      </c>
      <c r="E773" s="217">
        <f>IF(ISNUMBER(VLOOKUP($B:$B,BS!$A:$D,$2:$2,0)),VLOOKUP($B:$B,BS!$A:$D,$2:$2,0),0)</f>
        <v>0</v>
      </c>
      <c r="F773" s="217">
        <f>IF(ISNUMBER(VLOOKUP($B:$B,BS!$A:$D,$2:$2,0)),VLOOKUP($B:$B,BS!$A:$D,$2:$2,0),0)</f>
        <v>0</v>
      </c>
      <c r="G773" s="217">
        <f>IF(ISNUMBER(VLOOKUP($B:$B,BS!$A:$D,$2:$2,0)),VLOOKUP($B:$B,BS!$A:$D,$2:$2,0),0)</f>
        <v>0</v>
      </c>
      <c r="H773" s="207">
        <f>IF(ISNUMBER(VLOOKUP($B:$B,'BS(과거)'!$A:$F,$2:$2,0)),VLOOKUP($B:$B,'BS(과거)'!$A:$F,$2:$2,0),0)</f>
        <v>0</v>
      </c>
      <c r="I773" s="207">
        <f>IF(ISNUMBER(VLOOKUP($B:$B,'BS(과거)'!$A:$F,$2:$2,0)),VLOOKUP($B:$B,'BS(과거)'!$A:$F,$2:$2,0),0)</f>
        <v>0</v>
      </c>
      <c r="J773" s="207">
        <f>IF(ISNUMBER(VLOOKUP($B:$B,'BS(과거)'!$A:$F,$2:$2,0)),VLOOKUP($B:$B,'BS(과거)'!$A:$F,$2:$2,0),0)</f>
        <v>0</v>
      </c>
      <c r="K773" s="207">
        <f>IF(ISNUMBER(VLOOKUP($B:$B,'BS(과거)'!$A:$F,$2:$2,0)),VLOOKUP($B:$B,'BS(과거)'!$A:$F,$2:$2,0),0)</f>
        <v>0</v>
      </c>
      <c r="L773" s="207">
        <f>IF(ISNUMBER(VLOOKUP($B:$B,'BS(과거)'!$A:$F,$2:$2,0)),VLOOKUP($B:$B,'BS(과거)'!$A:$F,$2:$2,0),0)</f>
        <v>0</v>
      </c>
      <c r="N773" s="207">
        <f>IF(ISNUMBER(VLOOKUP($B:$B,'BS(분기)'!$A:$F,$2:$2,0)),VLOOKUP($B:$B,'BS(분기)'!$A:$F,$2:$2,0),0)</f>
        <v>0</v>
      </c>
      <c r="O773" s="207">
        <f>IF(ISNUMBER(VLOOKUP($B:$B,'BS(분기)'!$A:$F,$2:$2,0)),VLOOKUP($B:$B,'BS(분기)'!$A:$F,$2:$2,0),0)</f>
        <v>0</v>
      </c>
      <c r="P773" s="207">
        <f>IF(ISNUMBER(VLOOKUP($B:$B,'BS(분기)'!$A:$F,$2:$2,0)),VLOOKUP($B:$B,'BS(분기)'!$A:$F,$2:$2,0),0)</f>
        <v>0</v>
      </c>
      <c r="Q773" s="207">
        <f>IF(ISNUMBER(VLOOKUP($B:$B,'BS(분기)'!$A:$F,$2:$2,0)),VLOOKUP($B:$B,'BS(분기)'!$A:$F,$2:$2,0),0)</f>
        <v>0</v>
      </c>
      <c r="R773" s="207">
        <f>IF(ISNUMBER(VLOOKUP($B:$B,'BS(분기)'!$A:$F,$2:$2,0)),VLOOKUP($B:$B,'BS(분기)'!$A:$F,$2:$2,0),0)</f>
        <v>0</v>
      </c>
    </row>
    <row r="774" spans="1:18" s="192" customFormat="1" ht="12">
      <c r="A774" s="203">
        <v>118314</v>
      </c>
      <c r="B774" s="196" t="s">
        <v>1345</v>
      </c>
      <c r="C774" s="217">
        <f>IF(ISNUMBER(VLOOKUP($B:$B,BS!$A:$D,$2:$2,0)),VLOOKUP($B:$B,BS!$A:$D,$2:$2,0),0)</f>
        <v>0</v>
      </c>
      <c r="D774" s="217">
        <f>IF(ISNUMBER(VLOOKUP($B:$B,BS!$A:$D,$2:$2,0)),VLOOKUP($B:$B,BS!$A:$D,$2:$2,0),0)</f>
        <v>0</v>
      </c>
      <c r="E774" s="217">
        <f>IF(ISNUMBER(VLOOKUP($B:$B,BS!$A:$D,$2:$2,0)),VLOOKUP($B:$B,BS!$A:$D,$2:$2,0),0)</f>
        <v>0</v>
      </c>
      <c r="F774" s="217">
        <f>IF(ISNUMBER(VLOOKUP($B:$B,BS!$A:$D,$2:$2,0)),VLOOKUP($B:$B,BS!$A:$D,$2:$2,0),0)</f>
        <v>0</v>
      </c>
      <c r="G774" s="217">
        <f>IF(ISNUMBER(VLOOKUP($B:$B,BS!$A:$D,$2:$2,0)),VLOOKUP($B:$B,BS!$A:$D,$2:$2,0),0)</f>
        <v>0</v>
      </c>
      <c r="H774" s="207">
        <f>IF(ISNUMBER(VLOOKUP($B:$B,'BS(과거)'!$A:$F,$2:$2,0)),VLOOKUP($B:$B,'BS(과거)'!$A:$F,$2:$2,0),0)</f>
        <v>0</v>
      </c>
      <c r="I774" s="207">
        <f>IF(ISNUMBER(VLOOKUP($B:$B,'BS(과거)'!$A:$F,$2:$2,0)),VLOOKUP($B:$B,'BS(과거)'!$A:$F,$2:$2,0),0)</f>
        <v>0</v>
      </c>
      <c r="J774" s="207">
        <f>IF(ISNUMBER(VLOOKUP($B:$B,'BS(과거)'!$A:$F,$2:$2,0)),VLOOKUP($B:$B,'BS(과거)'!$A:$F,$2:$2,0),0)</f>
        <v>0</v>
      </c>
      <c r="K774" s="207">
        <f>IF(ISNUMBER(VLOOKUP($B:$B,'BS(과거)'!$A:$F,$2:$2,0)),VLOOKUP($B:$B,'BS(과거)'!$A:$F,$2:$2,0),0)</f>
        <v>0</v>
      </c>
      <c r="L774" s="207">
        <f>IF(ISNUMBER(VLOOKUP($B:$B,'BS(과거)'!$A:$F,$2:$2,0)),VLOOKUP($B:$B,'BS(과거)'!$A:$F,$2:$2,0),0)</f>
        <v>0</v>
      </c>
      <c r="N774" s="207">
        <f>IF(ISNUMBER(VLOOKUP($B:$B,'BS(분기)'!$A:$F,$2:$2,0)),VLOOKUP($B:$B,'BS(분기)'!$A:$F,$2:$2,0),0)</f>
        <v>0</v>
      </c>
      <c r="O774" s="207">
        <f>IF(ISNUMBER(VLOOKUP($B:$B,'BS(분기)'!$A:$F,$2:$2,0)),VLOOKUP($B:$B,'BS(분기)'!$A:$F,$2:$2,0),0)</f>
        <v>0</v>
      </c>
      <c r="P774" s="207">
        <f>IF(ISNUMBER(VLOOKUP($B:$B,'BS(분기)'!$A:$F,$2:$2,0)),VLOOKUP($B:$B,'BS(분기)'!$A:$F,$2:$2,0),0)</f>
        <v>0</v>
      </c>
      <c r="Q774" s="207">
        <f>IF(ISNUMBER(VLOOKUP($B:$B,'BS(분기)'!$A:$F,$2:$2,0)),VLOOKUP($B:$B,'BS(분기)'!$A:$F,$2:$2,0),0)</f>
        <v>0</v>
      </c>
      <c r="R774" s="207">
        <f>IF(ISNUMBER(VLOOKUP($B:$B,'BS(분기)'!$A:$F,$2:$2,0)),VLOOKUP($B:$B,'BS(분기)'!$A:$F,$2:$2,0),0)</f>
        <v>0</v>
      </c>
    </row>
    <row r="775" spans="1:18" s="192" customFormat="1" ht="12">
      <c r="A775" s="202">
        <v>118320</v>
      </c>
      <c r="B775" s="195" t="s">
        <v>862</v>
      </c>
      <c r="C775" s="217">
        <f>IF(ISNUMBER(VLOOKUP($B:$B,BS!$A:$D,$2:$2,0)),VLOOKUP($B:$B,BS!$A:$D,$2:$2,0),0)</f>
        <v>0</v>
      </c>
      <c r="D775" s="217">
        <f>IF(ISNUMBER(VLOOKUP($B:$B,BS!$A:$D,$2:$2,0)),VLOOKUP($B:$B,BS!$A:$D,$2:$2,0),0)</f>
        <v>0</v>
      </c>
      <c r="E775" s="217">
        <f>IF(ISNUMBER(VLOOKUP($B:$B,BS!$A:$D,$2:$2,0)),VLOOKUP($B:$B,BS!$A:$D,$2:$2,0),0)</f>
        <v>0</v>
      </c>
      <c r="F775" s="217">
        <f>IF(ISNUMBER(VLOOKUP($B:$B,BS!$A:$D,$2:$2,0)),VLOOKUP($B:$B,BS!$A:$D,$2:$2,0),0)</f>
        <v>0</v>
      </c>
      <c r="G775" s="217">
        <f>IF(ISNUMBER(VLOOKUP($B:$B,BS!$A:$D,$2:$2,0)),VLOOKUP($B:$B,BS!$A:$D,$2:$2,0),0)</f>
        <v>0</v>
      </c>
      <c r="H775" s="207">
        <f>IF(ISNUMBER(VLOOKUP($B:$B,'BS(과거)'!$A:$F,$2:$2,0)),VLOOKUP($B:$B,'BS(과거)'!$A:$F,$2:$2,0),0)</f>
        <v>0</v>
      </c>
      <c r="I775" s="207">
        <f>IF(ISNUMBER(VLOOKUP($B:$B,'BS(과거)'!$A:$F,$2:$2,0)),VLOOKUP($B:$B,'BS(과거)'!$A:$F,$2:$2,0),0)</f>
        <v>0</v>
      </c>
      <c r="J775" s="207">
        <f>IF(ISNUMBER(VLOOKUP($B:$B,'BS(과거)'!$A:$F,$2:$2,0)),VLOOKUP($B:$B,'BS(과거)'!$A:$F,$2:$2,0),0)</f>
        <v>0</v>
      </c>
      <c r="K775" s="207">
        <f>IF(ISNUMBER(VLOOKUP($B:$B,'BS(과거)'!$A:$F,$2:$2,0)),VLOOKUP($B:$B,'BS(과거)'!$A:$F,$2:$2,0),0)</f>
        <v>0</v>
      </c>
      <c r="L775" s="207">
        <f>IF(ISNUMBER(VLOOKUP($B:$B,'BS(과거)'!$A:$F,$2:$2,0)),VLOOKUP($B:$B,'BS(과거)'!$A:$F,$2:$2,0),0)</f>
        <v>0</v>
      </c>
      <c r="N775" s="207">
        <f>IF(ISNUMBER(VLOOKUP($B:$B,'BS(분기)'!$A:$F,$2:$2,0)),VLOOKUP($B:$B,'BS(분기)'!$A:$F,$2:$2,0),0)</f>
        <v>0</v>
      </c>
      <c r="O775" s="207">
        <f>IF(ISNUMBER(VLOOKUP($B:$B,'BS(분기)'!$A:$F,$2:$2,0)),VLOOKUP($B:$B,'BS(분기)'!$A:$F,$2:$2,0),0)</f>
        <v>0</v>
      </c>
      <c r="P775" s="207">
        <f>IF(ISNUMBER(VLOOKUP($B:$B,'BS(분기)'!$A:$F,$2:$2,0)),VLOOKUP($B:$B,'BS(분기)'!$A:$F,$2:$2,0),0)</f>
        <v>0</v>
      </c>
      <c r="Q775" s="207">
        <f>IF(ISNUMBER(VLOOKUP($B:$B,'BS(분기)'!$A:$F,$2:$2,0)),VLOOKUP($B:$B,'BS(분기)'!$A:$F,$2:$2,0),0)</f>
        <v>0</v>
      </c>
      <c r="R775" s="207">
        <f>IF(ISNUMBER(VLOOKUP($B:$B,'BS(분기)'!$A:$F,$2:$2,0)),VLOOKUP($B:$B,'BS(분기)'!$A:$F,$2:$2,0),0)</f>
        <v>0</v>
      </c>
    </row>
    <row r="776" spans="1:18" s="192" customFormat="1" ht="12">
      <c r="A776" s="203">
        <v>118321</v>
      </c>
      <c r="B776" s="196" t="s">
        <v>863</v>
      </c>
      <c r="C776" s="217">
        <f>IF(ISNUMBER(VLOOKUP($B:$B,BS!$A:$D,$2:$2,0)),VLOOKUP($B:$B,BS!$A:$D,$2:$2,0),0)</f>
        <v>0</v>
      </c>
      <c r="D776" s="217">
        <f>IF(ISNUMBER(VLOOKUP($B:$B,BS!$A:$D,$2:$2,0)),VLOOKUP($B:$B,BS!$A:$D,$2:$2,0),0)</f>
        <v>0</v>
      </c>
      <c r="E776" s="217">
        <f>IF(ISNUMBER(VLOOKUP($B:$B,BS!$A:$D,$2:$2,0)),VLOOKUP($B:$B,BS!$A:$D,$2:$2,0),0)</f>
        <v>0</v>
      </c>
      <c r="F776" s="217">
        <f>IF(ISNUMBER(VLOOKUP($B:$B,BS!$A:$D,$2:$2,0)),VLOOKUP($B:$B,BS!$A:$D,$2:$2,0),0)</f>
        <v>0</v>
      </c>
      <c r="G776" s="217">
        <f>IF(ISNUMBER(VLOOKUP($B:$B,BS!$A:$D,$2:$2,0)),VLOOKUP($B:$B,BS!$A:$D,$2:$2,0),0)</f>
        <v>0</v>
      </c>
      <c r="H776" s="207">
        <f>IF(ISNUMBER(VLOOKUP($B:$B,'BS(과거)'!$A:$F,$2:$2,0)),VLOOKUP($B:$B,'BS(과거)'!$A:$F,$2:$2,0),0)</f>
        <v>0</v>
      </c>
      <c r="I776" s="207">
        <f>IF(ISNUMBER(VLOOKUP($B:$B,'BS(과거)'!$A:$F,$2:$2,0)),VLOOKUP($B:$B,'BS(과거)'!$A:$F,$2:$2,0),0)</f>
        <v>0</v>
      </c>
      <c r="J776" s="207">
        <f>IF(ISNUMBER(VLOOKUP($B:$B,'BS(과거)'!$A:$F,$2:$2,0)),VLOOKUP($B:$B,'BS(과거)'!$A:$F,$2:$2,0),0)</f>
        <v>0</v>
      </c>
      <c r="K776" s="207">
        <f>IF(ISNUMBER(VLOOKUP($B:$B,'BS(과거)'!$A:$F,$2:$2,0)),VLOOKUP($B:$B,'BS(과거)'!$A:$F,$2:$2,0),0)</f>
        <v>0</v>
      </c>
      <c r="L776" s="207">
        <f>IF(ISNUMBER(VLOOKUP($B:$B,'BS(과거)'!$A:$F,$2:$2,0)),VLOOKUP($B:$B,'BS(과거)'!$A:$F,$2:$2,0),0)</f>
        <v>0</v>
      </c>
      <c r="N776" s="207">
        <f>IF(ISNUMBER(VLOOKUP($B:$B,'BS(분기)'!$A:$F,$2:$2,0)),VLOOKUP($B:$B,'BS(분기)'!$A:$F,$2:$2,0),0)</f>
        <v>0</v>
      </c>
      <c r="O776" s="207">
        <f>IF(ISNUMBER(VLOOKUP($B:$B,'BS(분기)'!$A:$F,$2:$2,0)),VLOOKUP($B:$B,'BS(분기)'!$A:$F,$2:$2,0),0)</f>
        <v>0</v>
      </c>
      <c r="P776" s="207">
        <f>IF(ISNUMBER(VLOOKUP($B:$B,'BS(분기)'!$A:$F,$2:$2,0)),VLOOKUP($B:$B,'BS(분기)'!$A:$F,$2:$2,0),0)</f>
        <v>0</v>
      </c>
      <c r="Q776" s="207">
        <f>IF(ISNUMBER(VLOOKUP($B:$B,'BS(분기)'!$A:$F,$2:$2,0)),VLOOKUP($B:$B,'BS(분기)'!$A:$F,$2:$2,0),0)</f>
        <v>0</v>
      </c>
      <c r="R776" s="207">
        <f>IF(ISNUMBER(VLOOKUP($B:$B,'BS(분기)'!$A:$F,$2:$2,0)),VLOOKUP($B:$B,'BS(분기)'!$A:$F,$2:$2,0),0)</f>
        <v>0</v>
      </c>
    </row>
    <row r="777" spans="1:18" s="192" customFormat="1" ht="12">
      <c r="A777" s="203">
        <v>118322</v>
      </c>
      <c r="B777" s="196" t="s">
        <v>864</v>
      </c>
      <c r="C777" s="217">
        <f>IF(ISNUMBER(VLOOKUP($B:$B,BS!$A:$D,$2:$2,0)),VLOOKUP($B:$B,BS!$A:$D,$2:$2,0),0)</f>
        <v>0</v>
      </c>
      <c r="D777" s="217">
        <f>IF(ISNUMBER(VLOOKUP($B:$B,BS!$A:$D,$2:$2,0)),VLOOKUP($B:$B,BS!$A:$D,$2:$2,0),0)</f>
        <v>0</v>
      </c>
      <c r="E777" s="217">
        <f>IF(ISNUMBER(VLOOKUP($B:$B,BS!$A:$D,$2:$2,0)),VLOOKUP($B:$B,BS!$A:$D,$2:$2,0),0)</f>
        <v>0</v>
      </c>
      <c r="F777" s="217">
        <f>IF(ISNUMBER(VLOOKUP($B:$B,BS!$A:$D,$2:$2,0)),VLOOKUP($B:$B,BS!$A:$D,$2:$2,0),0)</f>
        <v>0</v>
      </c>
      <c r="G777" s="217">
        <f>IF(ISNUMBER(VLOOKUP($B:$B,BS!$A:$D,$2:$2,0)),VLOOKUP($B:$B,BS!$A:$D,$2:$2,0),0)</f>
        <v>0</v>
      </c>
      <c r="H777" s="207">
        <f>IF(ISNUMBER(VLOOKUP($B:$B,'BS(과거)'!$A:$F,$2:$2,0)),VLOOKUP($B:$B,'BS(과거)'!$A:$F,$2:$2,0),0)</f>
        <v>0</v>
      </c>
      <c r="I777" s="207">
        <f>IF(ISNUMBER(VLOOKUP($B:$B,'BS(과거)'!$A:$F,$2:$2,0)),VLOOKUP($B:$B,'BS(과거)'!$A:$F,$2:$2,0),0)</f>
        <v>0</v>
      </c>
      <c r="J777" s="207">
        <f>IF(ISNUMBER(VLOOKUP($B:$B,'BS(과거)'!$A:$F,$2:$2,0)),VLOOKUP($B:$B,'BS(과거)'!$A:$F,$2:$2,0),0)</f>
        <v>0</v>
      </c>
      <c r="K777" s="207">
        <f>IF(ISNUMBER(VLOOKUP($B:$B,'BS(과거)'!$A:$F,$2:$2,0)),VLOOKUP($B:$B,'BS(과거)'!$A:$F,$2:$2,0),0)</f>
        <v>0</v>
      </c>
      <c r="L777" s="207">
        <f>IF(ISNUMBER(VLOOKUP($B:$B,'BS(과거)'!$A:$F,$2:$2,0)),VLOOKUP($B:$B,'BS(과거)'!$A:$F,$2:$2,0),0)</f>
        <v>0</v>
      </c>
      <c r="N777" s="207">
        <f>IF(ISNUMBER(VLOOKUP($B:$B,'BS(분기)'!$A:$F,$2:$2,0)),VLOOKUP($B:$B,'BS(분기)'!$A:$F,$2:$2,0),0)</f>
        <v>0</v>
      </c>
      <c r="O777" s="207">
        <f>IF(ISNUMBER(VLOOKUP($B:$B,'BS(분기)'!$A:$F,$2:$2,0)),VLOOKUP($B:$B,'BS(분기)'!$A:$F,$2:$2,0),0)</f>
        <v>0</v>
      </c>
      <c r="P777" s="207">
        <f>IF(ISNUMBER(VLOOKUP($B:$B,'BS(분기)'!$A:$F,$2:$2,0)),VLOOKUP($B:$B,'BS(분기)'!$A:$F,$2:$2,0),0)</f>
        <v>0</v>
      </c>
      <c r="Q777" s="207">
        <f>IF(ISNUMBER(VLOOKUP($B:$B,'BS(분기)'!$A:$F,$2:$2,0)),VLOOKUP($B:$B,'BS(분기)'!$A:$F,$2:$2,0),0)</f>
        <v>0</v>
      </c>
      <c r="R777" s="207">
        <f>IF(ISNUMBER(VLOOKUP($B:$B,'BS(분기)'!$A:$F,$2:$2,0)),VLOOKUP($B:$B,'BS(분기)'!$A:$F,$2:$2,0),0)</f>
        <v>0</v>
      </c>
    </row>
    <row r="778" spans="1:18" s="192" customFormat="1" ht="12">
      <c r="A778" s="203">
        <v>118323</v>
      </c>
      <c r="B778" s="196" t="s">
        <v>1346</v>
      </c>
      <c r="C778" s="217">
        <f>IF(ISNUMBER(VLOOKUP($B:$B,BS!$A:$D,$2:$2,0)),VLOOKUP($B:$B,BS!$A:$D,$2:$2,0),0)</f>
        <v>0</v>
      </c>
      <c r="D778" s="217">
        <f>IF(ISNUMBER(VLOOKUP($B:$B,BS!$A:$D,$2:$2,0)),VLOOKUP($B:$B,BS!$A:$D,$2:$2,0),0)</f>
        <v>0</v>
      </c>
      <c r="E778" s="217">
        <f>IF(ISNUMBER(VLOOKUP($B:$B,BS!$A:$D,$2:$2,0)),VLOOKUP($B:$B,BS!$A:$D,$2:$2,0),0)</f>
        <v>0</v>
      </c>
      <c r="F778" s="217">
        <f>IF(ISNUMBER(VLOOKUP($B:$B,BS!$A:$D,$2:$2,0)),VLOOKUP($B:$B,BS!$A:$D,$2:$2,0),0)</f>
        <v>0</v>
      </c>
      <c r="G778" s="217">
        <f>IF(ISNUMBER(VLOOKUP($B:$B,BS!$A:$D,$2:$2,0)),VLOOKUP($B:$B,BS!$A:$D,$2:$2,0),0)</f>
        <v>0</v>
      </c>
      <c r="H778" s="207">
        <f>IF(ISNUMBER(VLOOKUP($B:$B,'BS(과거)'!$A:$F,$2:$2,0)),VLOOKUP($B:$B,'BS(과거)'!$A:$F,$2:$2,0),0)</f>
        <v>0</v>
      </c>
      <c r="I778" s="207">
        <f>IF(ISNUMBER(VLOOKUP($B:$B,'BS(과거)'!$A:$F,$2:$2,0)),VLOOKUP($B:$B,'BS(과거)'!$A:$F,$2:$2,0),0)</f>
        <v>0</v>
      </c>
      <c r="J778" s="207">
        <f>IF(ISNUMBER(VLOOKUP($B:$B,'BS(과거)'!$A:$F,$2:$2,0)),VLOOKUP($B:$B,'BS(과거)'!$A:$F,$2:$2,0),0)</f>
        <v>0</v>
      </c>
      <c r="K778" s="207">
        <f>IF(ISNUMBER(VLOOKUP($B:$B,'BS(과거)'!$A:$F,$2:$2,0)),VLOOKUP($B:$B,'BS(과거)'!$A:$F,$2:$2,0),0)</f>
        <v>0</v>
      </c>
      <c r="L778" s="207">
        <f>IF(ISNUMBER(VLOOKUP($B:$B,'BS(과거)'!$A:$F,$2:$2,0)),VLOOKUP($B:$B,'BS(과거)'!$A:$F,$2:$2,0),0)</f>
        <v>0</v>
      </c>
      <c r="N778" s="207">
        <f>IF(ISNUMBER(VLOOKUP($B:$B,'BS(분기)'!$A:$F,$2:$2,0)),VLOOKUP($B:$B,'BS(분기)'!$A:$F,$2:$2,0),0)</f>
        <v>0</v>
      </c>
      <c r="O778" s="207">
        <f>IF(ISNUMBER(VLOOKUP($B:$B,'BS(분기)'!$A:$F,$2:$2,0)),VLOOKUP($B:$B,'BS(분기)'!$A:$F,$2:$2,0),0)</f>
        <v>0</v>
      </c>
      <c r="P778" s="207">
        <f>IF(ISNUMBER(VLOOKUP($B:$B,'BS(분기)'!$A:$F,$2:$2,0)),VLOOKUP($B:$B,'BS(분기)'!$A:$F,$2:$2,0),0)</f>
        <v>0</v>
      </c>
      <c r="Q778" s="207">
        <f>IF(ISNUMBER(VLOOKUP($B:$B,'BS(분기)'!$A:$F,$2:$2,0)),VLOOKUP($B:$B,'BS(분기)'!$A:$F,$2:$2,0),0)</f>
        <v>0</v>
      </c>
      <c r="R778" s="207">
        <f>IF(ISNUMBER(VLOOKUP($B:$B,'BS(분기)'!$A:$F,$2:$2,0)),VLOOKUP($B:$B,'BS(분기)'!$A:$F,$2:$2,0),0)</f>
        <v>0</v>
      </c>
    </row>
    <row r="779" spans="1:18" s="192" customFormat="1" ht="12">
      <c r="A779" s="203">
        <v>118325</v>
      </c>
      <c r="B779" s="196" t="s">
        <v>865</v>
      </c>
      <c r="C779" s="217">
        <f>IF(ISNUMBER(VLOOKUP($B:$B,BS!$A:$D,$2:$2,0)),VLOOKUP($B:$B,BS!$A:$D,$2:$2,0),0)</f>
        <v>0</v>
      </c>
      <c r="D779" s="217">
        <f>IF(ISNUMBER(VLOOKUP($B:$B,BS!$A:$D,$2:$2,0)),VLOOKUP($B:$B,BS!$A:$D,$2:$2,0),0)</f>
        <v>0</v>
      </c>
      <c r="E779" s="217">
        <f>IF(ISNUMBER(VLOOKUP($B:$B,BS!$A:$D,$2:$2,0)),VLOOKUP($B:$B,BS!$A:$D,$2:$2,0),0)</f>
        <v>0</v>
      </c>
      <c r="F779" s="217">
        <f>IF(ISNUMBER(VLOOKUP($B:$B,BS!$A:$D,$2:$2,0)),VLOOKUP($B:$B,BS!$A:$D,$2:$2,0),0)</f>
        <v>0</v>
      </c>
      <c r="G779" s="217">
        <f>IF(ISNUMBER(VLOOKUP($B:$B,BS!$A:$D,$2:$2,0)),VLOOKUP($B:$B,BS!$A:$D,$2:$2,0),0)</f>
        <v>0</v>
      </c>
      <c r="H779" s="207">
        <f>IF(ISNUMBER(VLOOKUP($B:$B,'BS(과거)'!$A:$F,$2:$2,0)),VLOOKUP($B:$B,'BS(과거)'!$A:$F,$2:$2,0),0)</f>
        <v>0</v>
      </c>
      <c r="I779" s="207">
        <f>IF(ISNUMBER(VLOOKUP($B:$B,'BS(과거)'!$A:$F,$2:$2,0)),VLOOKUP($B:$B,'BS(과거)'!$A:$F,$2:$2,0),0)</f>
        <v>0</v>
      </c>
      <c r="J779" s="207">
        <f>IF(ISNUMBER(VLOOKUP($B:$B,'BS(과거)'!$A:$F,$2:$2,0)),VLOOKUP($B:$B,'BS(과거)'!$A:$F,$2:$2,0),0)</f>
        <v>0</v>
      </c>
      <c r="K779" s="207">
        <f>IF(ISNUMBER(VLOOKUP($B:$B,'BS(과거)'!$A:$F,$2:$2,0)),VLOOKUP($B:$B,'BS(과거)'!$A:$F,$2:$2,0),0)</f>
        <v>0</v>
      </c>
      <c r="L779" s="207">
        <f>IF(ISNUMBER(VLOOKUP($B:$B,'BS(과거)'!$A:$F,$2:$2,0)),VLOOKUP($B:$B,'BS(과거)'!$A:$F,$2:$2,0),0)</f>
        <v>0</v>
      </c>
      <c r="N779" s="207">
        <f>IF(ISNUMBER(VLOOKUP($B:$B,'BS(분기)'!$A:$F,$2:$2,0)),VLOOKUP($B:$B,'BS(분기)'!$A:$F,$2:$2,0),0)</f>
        <v>0</v>
      </c>
      <c r="O779" s="207">
        <f>IF(ISNUMBER(VLOOKUP($B:$B,'BS(분기)'!$A:$F,$2:$2,0)),VLOOKUP($B:$B,'BS(분기)'!$A:$F,$2:$2,0),0)</f>
        <v>0</v>
      </c>
      <c r="P779" s="207">
        <f>IF(ISNUMBER(VLOOKUP($B:$B,'BS(분기)'!$A:$F,$2:$2,0)),VLOOKUP($B:$B,'BS(분기)'!$A:$F,$2:$2,0),0)</f>
        <v>0</v>
      </c>
      <c r="Q779" s="207">
        <f>IF(ISNUMBER(VLOOKUP($B:$B,'BS(분기)'!$A:$F,$2:$2,0)),VLOOKUP($B:$B,'BS(분기)'!$A:$F,$2:$2,0),0)</f>
        <v>0</v>
      </c>
      <c r="R779" s="207">
        <f>IF(ISNUMBER(VLOOKUP($B:$B,'BS(분기)'!$A:$F,$2:$2,0)),VLOOKUP($B:$B,'BS(분기)'!$A:$F,$2:$2,0),0)</f>
        <v>0</v>
      </c>
    </row>
    <row r="780" spans="1:18" s="192" customFormat="1" ht="12">
      <c r="A780" s="203">
        <v>118326</v>
      </c>
      <c r="B780" s="196" t="s">
        <v>866</v>
      </c>
      <c r="C780" s="217">
        <f>IF(ISNUMBER(VLOOKUP($B:$B,BS!$A:$D,$2:$2,0)),VLOOKUP($B:$B,BS!$A:$D,$2:$2,0),0)</f>
        <v>0</v>
      </c>
      <c r="D780" s="217">
        <f>IF(ISNUMBER(VLOOKUP($B:$B,BS!$A:$D,$2:$2,0)),VLOOKUP($B:$B,BS!$A:$D,$2:$2,0),0)</f>
        <v>0</v>
      </c>
      <c r="E780" s="217">
        <f>IF(ISNUMBER(VLOOKUP($B:$B,BS!$A:$D,$2:$2,0)),VLOOKUP($B:$B,BS!$A:$D,$2:$2,0),0)</f>
        <v>0</v>
      </c>
      <c r="F780" s="217">
        <f>IF(ISNUMBER(VLOOKUP($B:$B,BS!$A:$D,$2:$2,0)),VLOOKUP($B:$B,BS!$A:$D,$2:$2,0),0)</f>
        <v>0</v>
      </c>
      <c r="G780" s="217">
        <f>IF(ISNUMBER(VLOOKUP($B:$B,BS!$A:$D,$2:$2,0)),VLOOKUP($B:$B,BS!$A:$D,$2:$2,0),0)</f>
        <v>0</v>
      </c>
      <c r="H780" s="207">
        <f>IF(ISNUMBER(VLOOKUP($B:$B,'BS(과거)'!$A:$F,$2:$2,0)),VLOOKUP($B:$B,'BS(과거)'!$A:$F,$2:$2,0),0)</f>
        <v>0</v>
      </c>
      <c r="I780" s="207">
        <f>IF(ISNUMBER(VLOOKUP($B:$B,'BS(과거)'!$A:$F,$2:$2,0)),VLOOKUP($B:$B,'BS(과거)'!$A:$F,$2:$2,0),0)</f>
        <v>0</v>
      </c>
      <c r="J780" s="207">
        <f>IF(ISNUMBER(VLOOKUP($B:$B,'BS(과거)'!$A:$F,$2:$2,0)),VLOOKUP($B:$B,'BS(과거)'!$A:$F,$2:$2,0),0)</f>
        <v>0</v>
      </c>
      <c r="K780" s="207">
        <f>IF(ISNUMBER(VLOOKUP($B:$B,'BS(과거)'!$A:$F,$2:$2,0)),VLOOKUP($B:$B,'BS(과거)'!$A:$F,$2:$2,0),0)</f>
        <v>0</v>
      </c>
      <c r="L780" s="207">
        <f>IF(ISNUMBER(VLOOKUP($B:$B,'BS(과거)'!$A:$F,$2:$2,0)),VLOOKUP($B:$B,'BS(과거)'!$A:$F,$2:$2,0),0)</f>
        <v>0</v>
      </c>
      <c r="N780" s="207">
        <f>IF(ISNUMBER(VLOOKUP($B:$B,'BS(분기)'!$A:$F,$2:$2,0)),VLOOKUP($B:$B,'BS(분기)'!$A:$F,$2:$2,0),0)</f>
        <v>0</v>
      </c>
      <c r="O780" s="207">
        <f>IF(ISNUMBER(VLOOKUP($B:$B,'BS(분기)'!$A:$F,$2:$2,0)),VLOOKUP($B:$B,'BS(분기)'!$A:$F,$2:$2,0),0)</f>
        <v>0</v>
      </c>
      <c r="P780" s="207">
        <f>IF(ISNUMBER(VLOOKUP($B:$B,'BS(분기)'!$A:$F,$2:$2,0)),VLOOKUP($B:$B,'BS(분기)'!$A:$F,$2:$2,0),0)</f>
        <v>0</v>
      </c>
      <c r="Q780" s="207">
        <f>IF(ISNUMBER(VLOOKUP($B:$B,'BS(분기)'!$A:$F,$2:$2,0)),VLOOKUP($B:$B,'BS(분기)'!$A:$F,$2:$2,0),0)</f>
        <v>0</v>
      </c>
      <c r="R780" s="207">
        <f>IF(ISNUMBER(VLOOKUP($B:$B,'BS(분기)'!$A:$F,$2:$2,0)),VLOOKUP($B:$B,'BS(분기)'!$A:$F,$2:$2,0),0)</f>
        <v>0</v>
      </c>
    </row>
    <row r="781" spans="1:18" s="192" customFormat="1" ht="12">
      <c r="A781" s="203">
        <v>118327</v>
      </c>
      <c r="B781" s="196" t="s">
        <v>867</v>
      </c>
      <c r="C781" s="217">
        <f>IF(ISNUMBER(VLOOKUP($B:$B,BS!$A:$D,$2:$2,0)),VLOOKUP($B:$B,BS!$A:$D,$2:$2,0),0)</f>
        <v>0</v>
      </c>
      <c r="D781" s="217">
        <f>IF(ISNUMBER(VLOOKUP($B:$B,BS!$A:$D,$2:$2,0)),VLOOKUP($B:$B,BS!$A:$D,$2:$2,0),0)</f>
        <v>0</v>
      </c>
      <c r="E781" s="217">
        <f>IF(ISNUMBER(VLOOKUP($B:$B,BS!$A:$D,$2:$2,0)),VLOOKUP($B:$B,BS!$A:$D,$2:$2,0),0)</f>
        <v>0</v>
      </c>
      <c r="F781" s="217">
        <f>IF(ISNUMBER(VLOOKUP($B:$B,BS!$A:$D,$2:$2,0)),VLOOKUP($B:$B,BS!$A:$D,$2:$2,0),0)</f>
        <v>0</v>
      </c>
      <c r="G781" s="217">
        <f>IF(ISNUMBER(VLOOKUP($B:$B,BS!$A:$D,$2:$2,0)),VLOOKUP($B:$B,BS!$A:$D,$2:$2,0),0)</f>
        <v>0</v>
      </c>
      <c r="H781" s="207">
        <f>IF(ISNUMBER(VLOOKUP($B:$B,'BS(과거)'!$A:$F,$2:$2,0)),VLOOKUP($B:$B,'BS(과거)'!$A:$F,$2:$2,0),0)</f>
        <v>0</v>
      </c>
      <c r="I781" s="207">
        <f>IF(ISNUMBER(VLOOKUP($B:$B,'BS(과거)'!$A:$F,$2:$2,0)),VLOOKUP($B:$B,'BS(과거)'!$A:$F,$2:$2,0),0)</f>
        <v>0</v>
      </c>
      <c r="J781" s="207">
        <f>IF(ISNUMBER(VLOOKUP($B:$B,'BS(과거)'!$A:$F,$2:$2,0)),VLOOKUP($B:$B,'BS(과거)'!$A:$F,$2:$2,0),0)</f>
        <v>0</v>
      </c>
      <c r="K781" s="207">
        <f>IF(ISNUMBER(VLOOKUP($B:$B,'BS(과거)'!$A:$F,$2:$2,0)),VLOOKUP($B:$B,'BS(과거)'!$A:$F,$2:$2,0),0)</f>
        <v>0</v>
      </c>
      <c r="L781" s="207">
        <f>IF(ISNUMBER(VLOOKUP($B:$B,'BS(과거)'!$A:$F,$2:$2,0)),VLOOKUP($B:$B,'BS(과거)'!$A:$F,$2:$2,0),0)</f>
        <v>0</v>
      </c>
      <c r="N781" s="207">
        <f>IF(ISNUMBER(VLOOKUP($B:$B,'BS(분기)'!$A:$F,$2:$2,0)),VLOOKUP($B:$B,'BS(분기)'!$A:$F,$2:$2,0),0)</f>
        <v>0</v>
      </c>
      <c r="O781" s="207">
        <f>IF(ISNUMBER(VLOOKUP($B:$B,'BS(분기)'!$A:$F,$2:$2,0)),VLOOKUP($B:$B,'BS(분기)'!$A:$F,$2:$2,0),0)</f>
        <v>0</v>
      </c>
      <c r="P781" s="207">
        <f>IF(ISNUMBER(VLOOKUP($B:$B,'BS(분기)'!$A:$F,$2:$2,0)),VLOOKUP($B:$B,'BS(분기)'!$A:$F,$2:$2,0),0)</f>
        <v>0</v>
      </c>
      <c r="Q781" s="207">
        <f>IF(ISNUMBER(VLOOKUP($B:$B,'BS(분기)'!$A:$F,$2:$2,0)),VLOOKUP($B:$B,'BS(분기)'!$A:$F,$2:$2,0),0)</f>
        <v>0</v>
      </c>
      <c r="R781" s="207">
        <f>IF(ISNUMBER(VLOOKUP($B:$B,'BS(분기)'!$A:$F,$2:$2,0)),VLOOKUP($B:$B,'BS(분기)'!$A:$F,$2:$2,0),0)</f>
        <v>0</v>
      </c>
    </row>
    <row r="782" spans="1:18" s="192" customFormat="1" ht="12">
      <c r="A782" s="203">
        <v>118328</v>
      </c>
      <c r="B782" s="196" t="s">
        <v>1347</v>
      </c>
      <c r="C782" s="217">
        <f>IF(ISNUMBER(VLOOKUP($B:$B,BS!$A:$D,$2:$2,0)),VLOOKUP($B:$B,BS!$A:$D,$2:$2,0),0)</f>
        <v>0</v>
      </c>
      <c r="D782" s="217">
        <f>IF(ISNUMBER(VLOOKUP($B:$B,BS!$A:$D,$2:$2,0)),VLOOKUP($B:$B,BS!$A:$D,$2:$2,0),0)</f>
        <v>0</v>
      </c>
      <c r="E782" s="217">
        <f>IF(ISNUMBER(VLOOKUP($B:$B,BS!$A:$D,$2:$2,0)),VLOOKUP($B:$B,BS!$A:$D,$2:$2,0),0)</f>
        <v>0</v>
      </c>
      <c r="F782" s="217">
        <f>IF(ISNUMBER(VLOOKUP($B:$B,BS!$A:$D,$2:$2,0)),VLOOKUP($B:$B,BS!$A:$D,$2:$2,0),0)</f>
        <v>0</v>
      </c>
      <c r="G782" s="217">
        <f>IF(ISNUMBER(VLOOKUP($B:$B,BS!$A:$D,$2:$2,0)),VLOOKUP($B:$B,BS!$A:$D,$2:$2,0),0)</f>
        <v>0</v>
      </c>
      <c r="H782" s="207">
        <f>IF(ISNUMBER(VLOOKUP($B:$B,'BS(과거)'!$A:$F,$2:$2,0)),VLOOKUP($B:$B,'BS(과거)'!$A:$F,$2:$2,0),0)</f>
        <v>0</v>
      </c>
      <c r="I782" s="207">
        <f>IF(ISNUMBER(VLOOKUP($B:$B,'BS(과거)'!$A:$F,$2:$2,0)),VLOOKUP($B:$B,'BS(과거)'!$A:$F,$2:$2,0),0)</f>
        <v>0</v>
      </c>
      <c r="J782" s="207">
        <f>IF(ISNUMBER(VLOOKUP($B:$B,'BS(과거)'!$A:$F,$2:$2,0)),VLOOKUP($B:$B,'BS(과거)'!$A:$F,$2:$2,0),0)</f>
        <v>0</v>
      </c>
      <c r="K782" s="207">
        <f>IF(ISNUMBER(VLOOKUP($B:$B,'BS(과거)'!$A:$F,$2:$2,0)),VLOOKUP($B:$B,'BS(과거)'!$A:$F,$2:$2,0),0)</f>
        <v>0</v>
      </c>
      <c r="L782" s="207">
        <f>IF(ISNUMBER(VLOOKUP($B:$B,'BS(과거)'!$A:$F,$2:$2,0)),VLOOKUP($B:$B,'BS(과거)'!$A:$F,$2:$2,0),0)</f>
        <v>0</v>
      </c>
      <c r="N782" s="207">
        <f>IF(ISNUMBER(VLOOKUP($B:$B,'BS(분기)'!$A:$F,$2:$2,0)),VLOOKUP($B:$B,'BS(분기)'!$A:$F,$2:$2,0),0)</f>
        <v>0</v>
      </c>
      <c r="O782" s="207">
        <f>IF(ISNUMBER(VLOOKUP($B:$B,'BS(분기)'!$A:$F,$2:$2,0)),VLOOKUP($B:$B,'BS(분기)'!$A:$F,$2:$2,0),0)</f>
        <v>0</v>
      </c>
      <c r="P782" s="207">
        <f>IF(ISNUMBER(VLOOKUP($B:$B,'BS(분기)'!$A:$F,$2:$2,0)),VLOOKUP($B:$B,'BS(분기)'!$A:$F,$2:$2,0),0)</f>
        <v>0</v>
      </c>
      <c r="Q782" s="207">
        <f>IF(ISNUMBER(VLOOKUP($B:$B,'BS(분기)'!$A:$F,$2:$2,0)),VLOOKUP($B:$B,'BS(분기)'!$A:$F,$2:$2,0),0)</f>
        <v>0</v>
      </c>
      <c r="R782" s="207">
        <f>IF(ISNUMBER(VLOOKUP($B:$B,'BS(분기)'!$A:$F,$2:$2,0)),VLOOKUP($B:$B,'BS(분기)'!$A:$F,$2:$2,0),0)</f>
        <v>0</v>
      </c>
    </row>
    <row r="783" spans="1:18" s="192" customFormat="1" ht="12">
      <c r="A783" s="203">
        <v>118324</v>
      </c>
      <c r="B783" s="196" t="s">
        <v>868</v>
      </c>
      <c r="C783" s="217">
        <f>IF(ISNUMBER(VLOOKUP($B:$B,BS!$A:$D,$2:$2,0)),VLOOKUP($B:$B,BS!$A:$D,$2:$2,0),0)</f>
        <v>0</v>
      </c>
      <c r="D783" s="217">
        <f>IF(ISNUMBER(VLOOKUP($B:$B,BS!$A:$D,$2:$2,0)),VLOOKUP($B:$B,BS!$A:$D,$2:$2,0),0)</f>
        <v>0</v>
      </c>
      <c r="E783" s="217">
        <f>IF(ISNUMBER(VLOOKUP($B:$B,BS!$A:$D,$2:$2,0)),VLOOKUP($B:$B,BS!$A:$D,$2:$2,0),0)</f>
        <v>0</v>
      </c>
      <c r="F783" s="217">
        <f>IF(ISNUMBER(VLOOKUP($B:$B,BS!$A:$D,$2:$2,0)),VLOOKUP($B:$B,BS!$A:$D,$2:$2,0),0)</f>
        <v>0</v>
      </c>
      <c r="G783" s="217">
        <f>IF(ISNUMBER(VLOOKUP($B:$B,BS!$A:$D,$2:$2,0)),VLOOKUP($B:$B,BS!$A:$D,$2:$2,0),0)</f>
        <v>0</v>
      </c>
      <c r="H783" s="207">
        <f>IF(ISNUMBER(VLOOKUP($B:$B,'BS(과거)'!$A:$F,$2:$2,0)),VLOOKUP($B:$B,'BS(과거)'!$A:$F,$2:$2,0),0)</f>
        <v>0</v>
      </c>
      <c r="I783" s="207">
        <f>IF(ISNUMBER(VLOOKUP($B:$B,'BS(과거)'!$A:$F,$2:$2,0)),VLOOKUP($B:$B,'BS(과거)'!$A:$F,$2:$2,0),0)</f>
        <v>0</v>
      </c>
      <c r="J783" s="207">
        <f>IF(ISNUMBER(VLOOKUP($B:$B,'BS(과거)'!$A:$F,$2:$2,0)),VLOOKUP($B:$B,'BS(과거)'!$A:$F,$2:$2,0),0)</f>
        <v>0</v>
      </c>
      <c r="K783" s="207">
        <f>IF(ISNUMBER(VLOOKUP($B:$B,'BS(과거)'!$A:$F,$2:$2,0)),VLOOKUP($B:$B,'BS(과거)'!$A:$F,$2:$2,0),0)</f>
        <v>0</v>
      </c>
      <c r="L783" s="207">
        <f>IF(ISNUMBER(VLOOKUP($B:$B,'BS(과거)'!$A:$F,$2:$2,0)),VLOOKUP($B:$B,'BS(과거)'!$A:$F,$2:$2,0),0)</f>
        <v>0</v>
      </c>
      <c r="N783" s="207">
        <f>IF(ISNUMBER(VLOOKUP($B:$B,'BS(분기)'!$A:$F,$2:$2,0)),VLOOKUP($B:$B,'BS(분기)'!$A:$F,$2:$2,0),0)</f>
        <v>0</v>
      </c>
      <c r="O783" s="207">
        <f>IF(ISNUMBER(VLOOKUP($B:$B,'BS(분기)'!$A:$F,$2:$2,0)),VLOOKUP($B:$B,'BS(분기)'!$A:$F,$2:$2,0),0)</f>
        <v>0</v>
      </c>
      <c r="P783" s="207">
        <f>IF(ISNUMBER(VLOOKUP($B:$B,'BS(분기)'!$A:$F,$2:$2,0)),VLOOKUP($B:$B,'BS(분기)'!$A:$F,$2:$2,0),0)</f>
        <v>0</v>
      </c>
      <c r="Q783" s="207">
        <f>IF(ISNUMBER(VLOOKUP($B:$B,'BS(분기)'!$A:$F,$2:$2,0)),VLOOKUP($B:$B,'BS(분기)'!$A:$F,$2:$2,0),0)</f>
        <v>0</v>
      </c>
      <c r="R783" s="207">
        <f>IF(ISNUMBER(VLOOKUP($B:$B,'BS(분기)'!$A:$F,$2:$2,0)),VLOOKUP($B:$B,'BS(분기)'!$A:$F,$2:$2,0),0)</f>
        <v>0</v>
      </c>
    </row>
    <row r="784" spans="1:18" s="192" customFormat="1" ht="12">
      <c r="A784" s="202">
        <v>118330</v>
      </c>
      <c r="B784" s="195" t="s">
        <v>869</v>
      </c>
      <c r="C784" s="217">
        <f>IF(ISNUMBER(VLOOKUP($B:$B,BS!$A:$D,$2:$2,0)),VLOOKUP($B:$B,BS!$A:$D,$2:$2,0),0)</f>
        <v>0</v>
      </c>
      <c r="D784" s="217">
        <f>IF(ISNUMBER(VLOOKUP($B:$B,BS!$A:$D,$2:$2,0)),VLOOKUP($B:$B,BS!$A:$D,$2:$2,0),0)</f>
        <v>0</v>
      </c>
      <c r="E784" s="217">
        <f>IF(ISNUMBER(VLOOKUP($B:$B,BS!$A:$D,$2:$2,0)),VLOOKUP($B:$B,BS!$A:$D,$2:$2,0),0)</f>
        <v>0</v>
      </c>
      <c r="F784" s="217">
        <f>IF(ISNUMBER(VLOOKUP($B:$B,BS!$A:$D,$2:$2,0)),VLOOKUP($B:$B,BS!$A:$D,$2:$2,0),0)</f>
        <v>0</v>
      </c>
      <c r="G784" s="217">
        <f>IF(ISNUMBER(VLOOKUP($B:$B,BS!$A:$D,$2:$2,0)),VLOOKUP($B:$B,BS!$A:$D,$2:$2,0),0)</f>
        <v>0</v>
      </c>
      <c r="H784" s="207">
        <f>IF(ISNUMBER(VLOOKUP($B:$B,'BS(과거)'!$A:$F,$2:$2,0)),VLOOKUP($B:$B,'BS(과거)'!$A:$F,$2:$2,0),0)</f>
        <v>0</v>
      </c>
      <c r="I784" s="207">
        <f>IF(ISNUMBER(VLOOKUP($B:$B,'BS(과거)'!$A:$F,$2:$2,0)),VLOOKUP($B:$B,'BS(과거)'!$A:$F,$2:$2,0),0)</f>
        <v>0</v>
      </c>
      <c r="J784" s="207">
        <f>IF(ISNUMBER(VLOOKUP($B:$B,'BS(과거)'!$A:$F,$2:$2,0)),VLOOKUP($B:$B,'BS(과거)'!$A:$F,$2:$2,0),0)</f>
        <v>0</v>
      </c>
      <c r="K784" s="207">
        <f>IF(ISNUMBER(VLOOKUP($B:$B,'BS(과거)'!$A:$F,$2:$2,0)),VLOOKUP($B:$B,'BS(과거)'!$A:$F,$2:$2,0),0)</f>
        <v>0</v>
      </c>
      <c r="L784" s="207">
        <f>IF(ISNUMBER(VLOOKUP($B:$B,'BS(과거)'!$A:$F,$2:$2,0)),VLOOKUP($B:$B,'BS(과거)'!$A:$F,$2:$2,0),0)</f>
        <v>0</v>
      </c>
      <c r="N784" s="207">
        <f>IF(ISNUMBER(VLOOKUP($B:$B,'BS(분기)'!$A:$F,$2:$2,0)),VLOOKUP($B:$B,'BS(분기)'!$A:$F,$2:$2,0),0)</f>
        <v>0</v>
      </c>
      <c r="O784" s="207">
        <f>IF(ISNUMBER(VLOOKUP($B:$B,'BS(분기)'!$A:$F,$2:$2,0)),VLOOKUP($B:$B,'BS(분기)'!$A:$F,$2:$2,0),0)</f>
        <v>0</v>
      </c>
      <c r="P784" s="207">
        <f>IF(ISNUMBER(VLOOKUP($B:$B,'BS(분기)'!$A:$F,$2:$2,0)),VLOOKUP($B:$B,'BS(분기)'!$A:$F,$2:$2,0),0)</f>
        <v>0</v>
      </c>
      <c r="Q784" s="207">
        <f>IF(ISNUMBER(VLOOKUP($B:$B,'BS(분기)'!$A:$F,$2:$2,0)),VLOOKUP($B:$B,'BS(분기)'!$A:$F,$2:$2,0),0)</f>
        <v>0</v>
      </c>
      <c r="R784" s="207">
        <f>IF(ISNUMBER(VLOOKUP($B:$B,'BS(분기)'!$A:$F,$2:$2,0)),VLOOKUP($B:$B,'BS(분기)'!$A:$F,$2:$2,0),0)</f>
        <v>0</v>
      </c>
    </row>
    <row r="785" spans="1:18" s="192" customFormat="1" ht="12">
      <c r="A785" s="202">
        <v>118332</v>
      </c>
      <c r="B785" s="195" t="s">
        <v>870</v>
      </c>
      <c r="C785" s="217">
        <f>IF(ISNUMBER(VLOOKUP($B:$B,BS!$A:$D,$2:$2,0)),VLOOKUP($B:$B,BS!$A:$D,$2:$2,0),0)</f>
        <v>0</v>
      </c>
      <c r="D785" s="217">
        <f>IF(ISNUMBER(VLOOKUP($B:$B,BS!$A:$D,$2:$2,0)),VLOOKUP($B:$B,BS!$A:$D,$2:$2,0),0)</f>
        <v>0</v>
      </c>
      <c r="E785" s="217">
        <f>IF(ISNUMBER(VLOOKUP($B:$B,BS!$A:$D,$2:$2,0)),VLOOKUP($B:$B,BS!$A:$D,$2:$2,0),0)</f>
        <v>0</v>
      </c>
      <c r="F785" s="217">
        <f>IF(ISNUMBER(VLOOKUP($B:$B,BS!$A:$D,$2:$2,0)),VLOOKUP($B:$B,BS!$A:$D,$2:$2,0),0)</f>
        <v>0</v>
      </c>
      <c r="G785" s="217">
        <f>IF(ISNUMBER(VLOOKUP($B:$B,BS!$A:$D,$2:$2,0)),VLOOKUP($B:$B,BS!$A:$D,$2:$2,0),0)</f>
        <v>0</v>
      </c>
      <c r="H785" s="207">
        <f>IF(ISNUMBER(VLOOKUP($B:$B,'BS(과거)'!$A:$F,$2:$2,0)),VLOOKUP($B:$B,'BS(과거)'!$A:$F,$2:$2,0),0)</f>
        <v>0</v>
      </c>
      <c r="I785" s="207">
        <f>IF(ISNUMBER(VLOOKUP($B:$B,'BS(과거)'!$A:$F,$2:$2,0)),VLOOKUP($B:$B,'BS(과거)'!$A:$F,$2:$2,0),0)</f>
        <v>0</v>
      </c>
      <c r="J785" s="207">
        <f>IF(ISNUMBER(VLOOKUP($B:$B,'BS(과거)'!$A:$F,$2:$2,0)),VLOOKUP($B:$B,'BS(과거)'!$A:$F,$2:$2,0),0)</f>
        <v>0</v>
      </c>
      <c r="K785" s="207">
        <f>IF(ISNUMBER(VLOOKUP($B:$B,'BS(과거)'!$A:$F,$2:$2,0)),VLOOKUP($B:$B,'BS(과거)'!$A:$F,$2:$2,0),0)</f>
        <v>0</v>
      </c>
      <c r="L785" s="207">
        <f>IF(ISNUMBER(VLOOKUP($B:$B,'BS(과거)'!$A:$F,$2:$2,0)),VLOOKUP($B:$B,'BS(과거)'!$A:$F,$2:$2,0),0)</f>
        <v>0</v>
      </c>
      <c r="N785" s="207">
        <f>IF(ISNUMBER(VLOOKUP($B:$B,'BS(분기)'!$A:$F,$2:$2,0)),VLOOKUP($B:$B,'BS(분기)'!$A:$F,$2:$2,0),0)</f>
        <v>0</v>
      </c>
      <c r="O785" s="207">
        <f>IF(ISNUMBER(VLOOKUP($B:$B,'BS(분기)'!$A:$F,$2:$2,0)),VLOOKUP($B:$B,'BS(분기)'!$A:$F,$2:$2,0),0)</f>
        <v>0</v>
      </c>
      <c r="P785" s="207">
        <f>IF(ISNUMBER(VLOOKUP($B:$B,'BS(분기)'!$A:$F,$2:$2,0)),VLOOKUP($B:$B,'BS(분기)'!$A:$F,$2:$2,0),0)</f>
        <v>0</v>
      </c>
      <c r="Q785" s="207">
        <f>IF(ISNUMBER(VLOOKUP($B:$B,'BS(분기)'!$A:$F,$2:$2,0)),VLOOKUP($B:$B,'BS(분기)'!$A:$F,$2:$2,0),0)</f>
        <v>0</v>
      </c>
      <c r="R785" s="207">
        <f>IF(ISNUMBER(VLOOKUP($B:$B,'BS(분기)'!$A:$F,$2:$2,0)),VLOOKUP($B:$B,'BS(분기)'!$A:$F,$2:$2,0),0)</f>
        <v>0</v>
      </c>
    </row>
    <row r="786" spans="1:18" s="192" customFormat="1" ht="12">
      <c r="A786" s="202">
        <v>118349</v>
      </c>
      <c r="B786" s="195" t="s">
        <v>644</v>
      </c>
      <c r="C786" s="217">
        <f>IF(ISNUMBER(VLOOKUP($B:$B,BS!$A:$D,$2:$2,0)),VLOOKUP($B:$B,BS!$A:$D,$2:$2,0),0)</f>
        <v>0</v>
      </c>
      <c r="D786" s="217">
        <f>IF(ISNUMBER(VLOOKUP($B:$B,BS!$A:$D,$2:$2,0)),VLOOKUP($B:$B,BS!$A:$D,$2:$2,0),0)</f>
        <v>0</v>
      </c>
      <c r="E786" s="217">
        <f>IF(ISNUMBER(VLOOKUP($B:$B,BS!$A:$D,$2:$2,0)),VLOOKUP($B:$B,BS!$A:$D,$2:$2,0),0)</f>
        <v>0</v>
      </c>
      <c r="F786" s="217">
        <f>IF(ISNUMBER(VLOOKUP($B:$B,BS!$A:$D,$2:$2,0)),VLOOKUP($B:$B,BS!$A:$D,$2:$2,0),0)</f>
        <v>0</v>
      </c>
      <c r="G786" s="217">
        <f>IF(ISNUMBER(VLOOKUP($B:$B,BS!$A:$D,$2:$2,0)),VLOOKUP($B:$B,BS!$A:$D,$2:$2,0),0)</f>
        <v>0</v>
      </c>
      <c r="H786" s="207">
        <f>IF(ISNUMBER(VLOOKUP($B:$B,'BS(과거)'!$A:$F,$2:$2,0)),VLOOKUP($B:$B,'BS(과거)'!$A:$F,$2:$2,0),0)</f>
        <v>0</v>
      </c>
      <c r="I786" s="207">
        <f>IF(ISNUMBER(VLOOKUP($B:$B,'BS(과거)'!$A:$F,$2:$2,0)),VLOOKUP($B:$B,'BS(과거)'!$A:$F,$2:$2,0),0)</f>
        <v>0</v>
      </c>
      <c r="J786" s="207">
        <f>IF(ISNUMBER(VLOOKUP($B:$B,'BS(과거)'!$A:$F,$2:$2,0)),VLOOKUP($B:$B,'BS(과거)'!$A:$F,$2:$2,0),0)</f>
        <v>0</v>
      </c>
      <c r="K786" s="207">
        <f>IF(ISNUMBER(VLOOKUP($B:$B,'BS(과거)'!$A:$F,$2:$2,0)),VLOOKUP($B:$B,'BS(과거)'!$A:$F,$2:$2,0),0)</f>
        <v>0</v>
      </c>
      <c r="L786" s="207">
        <f>IF(ISNUMBER(VLOOKUP($B:$B,'BS(과거)'!$A:$F,$2:$2,0)),VLOOKUP($B:$B,'BS(과거)'!$A:$F,$2:$2,0),0)</f>
        <v>0</v>
      </c>
      <c r="N786" s="207">
        <f>IF(ISNUMBER(VLOOKUP($B:$B,'BS(분기)'!$A:$F,$2:$2,0)),VLOOKUP($B:$B,'BS(분기)'!$A:$F,$2:$2,0),0)</f>
        <v>0</v>
      </c>
      <c r="O786" s="207">
        <f>IF(ISNUMBER(VLOOKUP($B:$B,'BS(분기)'!$A:$F,$2:$2,0)),VLOOKUP($B:$B,'BS(분기)'!$A:$F,$2:$2,0),0)</f>
        <v>0</v>
      </c>
      <c r="P786" s="207">
        <f>IF(ISNUMBER(VLOOKUP($B:$B,'BS(분기)'!$A:$F,$2:$2,0)),VLOOKUP($B:$B,'BS(분기)'!$A:$F,$2:$2,0),0)</f>
        <v>0</v>
      </c>
      <c r="Q786" s="207">
        <f>IF(ISNUMBER(VLOOKUP($B:$B,'BS(분기)'!$A:$F,$2:$2,0)),VLOOKUP($B:$B,'BS(분기)'!$A:$F,$2:$2,0),0)</f>
        <v>0</v>
      </c>
      <c r="R786" s="207">
        <f>IF(ISNUMBER(VLOOKUP($B:$B,'BS(분기)'!$A:$F,$2:$2,0)),VLOOKUP($B:$B,'BS(분기)'!$A:$F,$2:$2,0),0)</f>
        <v>0</v>
      </c>
    </row>
    <row r="787" spans="1:18" s="192" customFormat="1" ht="12">
      <c r="A787" s="205">
        <v>118900</v>
      </c>
      <c r="B787" s="198" t="s">
        <v>5</v>
      </c>
      <c r="C787" s="217">
        <f>IF(ISNUMBER(VLOOKUP($B:$B,BS!$A:$D,$2:$2,0)),VLOOKUP($B:$B,BS!$A:$D,$2:$2,0),0)</f>
        <v>0</v>
      </c>
      <c r="D787" s="217">
        <f>IF(ISNUMBER(VLOOKUP($B:$B,BS!$A:$D,$2:$2,0)),VLOOKUP($B:$B,BS!$A:$D,$2:$2,0),0)</f>
        <v>0</v>
      </c>
      <c r="E787" s="217">
        <f>IF(ISNUMBER(VLOOKUP($B:$B,BS!$A:$D,$2:$2,0)),VLOOKUP($B:$B,BS!$A:$D,$2:$2,0),0)</f>
        <v>0</v>
      </c>
      <c r="F787" s="217">
        <f>IF(ISNUMBER(VLOOKUP($B:$B,BS!$A:$D,$2:$2,0)),VLOOKUP($B:$B,BS!$A:$D,$2:$2,0),0)</f>
        <v>0</v>
      </c>
      <c r="G787" s="217">
        <f>IF(ISNUMBER(VLOOKUP($B:$B,BS!$A:$D,$2:$2,0)),VLOOKUP($B:$B,BS!$A:$D,$2:$2,0),0)</f>
        <v>0</v>
      </c>
      <c r="H787" s="207">
        <f>IF(ISNUMBER(VLOOKUP($B:$B,'BS(과거)'!$A:$F,$2:$2,0)),VLOOKUP($B:$B,'BS(과거)'!$A:$F,$2:$2,0),0)</f>
        <v>0</v>
      </c>
      <c r="I787" s="207">
        <f>IF(ISNUMBER(VLOOKUP($B:$B,'BS(과거)'!$A:$F,$2:$2,0)),VLOOKUP($B:$B,'BS(과거)'!$A:$F,$2:$2,0),0)</f>
        <v>0</v>
      </c>
      <c r="J787" s="207">
        <f>IF(ISNUMBER(VLOOKUP($B:$B,'BS(과거)'!$A:$F,$2:$2,0)),VLOOKUP($B:$B,'BS(과거)'!$A:$F,$2:$2,0),0)</f>
        <v>0</v>
      </c>
      <c r="K787" s="207">
        <f>IF(ISNUMBER(VLOOKUP($B:$B,'BS(과거)'!$A:$F,$2:$2,0)),VLOOKUP($B:$B,'BS(과거)'!$A:$F,$2:$2,0),0)</f>
        <v>0</v>
      </c>
      <c r="L787" s="207">
        <f>IF(ISNUMBER(VLOOKUP($B:$B,'BS(과거)'!$A:$F,$2:$2,0)),VLOOKUP($B:$B,'BS(과거)'!$A:$F,$2:$2,0),0)</f>
        <v>0</v>
      </c>
      <c r="N787" s="207">
        <f>IF(ISNUMBER(VLOOKUP($B:$B,'BS(분기)'!$A:$F,$2:$2,0)),VLOOKUP($B:$B,'BS(분기)'!$A:$F,$2:$2,0),0)</f>
        <v>0</v>
      </c>
      <c r="O787" s="207">
        <f>IF(ISNUMBER(VLOOKUP($B:$B,'BS(분기)'!$A:$F,$2:$2,0)),VLOOKUP($B:$B,'BS(분기)'!$A:$F,$2:$2,0),0)</f>
        <v>0</v>
      </c>
      <c r="P787" s="207">
        <f>IF(ISNUMBER(VLOOKUP($B:$B,'BS(분기)'!$A:$F,$2:$2,0)),VLOOKUP($B:$B,'BS(분기)'!$A:$F,$2:$2,0),0)</f>
        <v>0</v>
      </c>
      <c r="Q787" s="207">
        <f>IF(ISNUMBER(VLOOKUP($B:$B,'BS(분기)'!$A:$F,$2:$2,0)),VLOOKUP($B:$B,'BS(분기)'!$A:$F,$2:$2,0),0)</f>
        <v>0</v>
      </c>
      <c r="R787" s="207">
        <f>IF(ISNUMBER(VLOOKUP($B:$B,'BS(분기)'!$A:$F,$2:$2,0)),VLOOKUP($B:$B,'BS(분기)'!$A:$F,$2:$2,0),0)</f>
        <v>0</v>
      </c>
    </row>
    <row r="788" spans="1:18" s="192" customFormat="1" ht="12">
      <c r="A788" s="205">
        <v>119000</v>
      </c>
      <c r="B788" s="198" t="s">
        <v>6</v>
      </c>
      <c r="C788" s="217">
        <f>IF(ISNUMBER(VLOOKUP($B:$B,BS!$A:$D,$2:$2,0)),VLOOKUP($B:$B,BS!$A:$D,$2:$2,0),0)</f>
        <v>0</v>
      </c>
      <c r="D788" s="217">
        <f>IF(ISNUMBER(VLOOKUP($B:$B,BS!$A:$D,$2:$2,0)),VLOOKUP($B:$B,BS!$A:$D,$2:$2,0),0)</f>
        <v>0</v>
      </c>
      <c r="E788" s="217">
        <f>IF(ISNUMBER(VLOOKUP($B:$B,BS!$A:$D,$2:$2,0)),VLOOKUP($B:$B,BS!$A:$D,$2:$2,0),0)</f>
        <v>0</v>
      </c>
      <c r="F788" s="217">
        <f>IF(ISNUMBER(VLOOKUP($B:$B,BS!$A:$D,$2:$2,0)),VLOOKUP($B:$B,BS!$A:$D,$2:$2,0),0)</f>
        <v>0</v>
      </c>
      <c r="G788" s="217">
        <f>IF(ISNUMBER(VLOOKUP($B:$B,BS!$A:$D,$2:$2,0)),VLOOKUP($B:$B,BS!$A:$D,$2:$2,0),0)</f>
        <v>0</v>
      </c>
      <c r="H788" s="207">
        <f>IF(ISNUMBER(VLOOKUP($B:$B,'BS(과거)'!$A:$F,$2:$2,0)),VLOOKUP($B:$B,'BS(과거)'!$A:$F,$2:$2,0),0)</f>
        <v>0</v>
      </c>
      <c r="I788" s="207">
        <f>IF(ISNUMBER(VLOOKUP($B:$B,'BS(과거)'!$A:$F,$2:$2,0)),VLOOKUP($B:$B,'BS(과거)'!$A:$F,$2:$2,0),0)</f>
        <v>0</v>
      </c>
      <c r="J788" s="207">
        <f>IF(ISNUMBER(VLOOKUP($B:$B,'BS(과거)'!$A:$F,$2:$2,0)),VLOOKUP($B:$B,'BS(과거)'!$A:$F,$2:$2,0),0)</f>
        <v>0</v>
      </c>
      <c r="K788" s="207">
        <f>IF(ISNUMBER(VLOOKUP($B:$B,'BS(과거)'!$A:$F,$2:$2,0)),VLOOKUP($B:$B,'BS(과거)'!$A:$F,$2:$2,0),0)</f>
        <v>0</v>
      </c>
      <c r="L788" s="207">
        <f>IF(ISNUMBER(VLOOKUP($B:$B,'BS(과거)'!$A:$F,$2:$2,0)),VLOOKUP($B:$B,'BS(과거)'!$A:$F,$2:$2,0),0)</f>
        <v>0</v>
      </c>
      <c r="N788" s="207">
        <f>IF(ISNUMBER(VLOOKUP($B:$B,'BS(분기)'!$A:$F,$2:$2,0)),VLOOKUP($B:$B,'BS(분기)'!$A:$F,$2:$2,0),0)</f>
        <v>0</v>
      </c>
      <c r="O788" s="207">
        <f>IF(ISNUMBER(VLOOKUP($B:$B,'BS(분기)'!$A:$F,$2:$2,0)),VLOOKUP($B:$B,'BS(분기)'!$A:$F,$2:$2,0),0)</f>
        <v>0</v>
      </c>
      <c r="P788" s="207">
        <f>IF(ISNUMBER(VLOOKUP($B:$B,'BS(분기)'!$A:$F,$2:$2,0)),VLOOKUP($B:$B,'BS(분기)'!$A:$F,$2:$2,0),0)</f>
        <v>0</v>
      </c>
      <c r="Q788" s="207">
        <f>IF(ISNUMBER(VLOOKUP($B:$B,'BS(분기)'!$A:$F,$2:$2,0)),VLOOKUP($B:$B,'BS(분기)'!$A:$F,$2:$2,0),0)</f>
        <v>0</v>
      </c>
      <c r="R788" s="207">
        <f>IF(ISNUMBER(VLOOKUP($B:$B,'BS(분기)'!$A:$F,$2:$2,0)),VLOOKUP($B:$B,'BS(분기)'!$A:$F,$2:$2,0),0)</f>
        <v>0</v>
      </c>
    </row>
    <row r="789" spans="1:18" s="192" customFormat="1" ht="12">
      <c r="A789" s="205">
        <v>119009</v>
      </c>
      <c r="B789" s="198" t="s">
        <v>51</v>
      </c>
      <c r="C789" s="217">
        <f>IF(ISNUMBER(VLOOKUP($B:$B,BS!$A:$D,$2:$2,0)),VLOOKUP($B:$B,BS!$A:$D,$2:$2,0),0)</f>
        <v>0</v>
      </c>
      <c r="D789" s="217">
        <f>IF(ISNUMBER(VLOOKUP($B:$B,BS!$A:$D,$2:$2,0)),VLOOKUP($B:$B,BS!$A:$D,$2:$2,0),0)</f>
        <v>0</v>
      </c>
      <c r="E789" s="217">
        <f>IF(ISNUMBER(VLOOKUP($B:$B,BS!$A:$D,$2:$2,0)),VLOOKUP($B:$B,BS!$A:$D,$2:$2,0),0)</f>
        <v>0</v>
      </c>
      <c r="F789" s="217">
        <f>IF(ISNUMBER(VLOOKUP($B:$B,BS!$A:$D,$2:$2,0)),VLOOKUP($B:$B,BS!$A:$D,$2:$2,0),0)</f>
        <v>0</v>
      </c>
      <c r="G789" s="217">
        <f>IF(ISNUMBER(VLOOKUP($B:$B,BS!$A:$D,$2:$2,0)),VLOOKUP($B:$B,BS!$A:$D,$2:$2,0),0)</f>
        <v>0</v>
      </c>
      <c r="H789" s="207">
        <f>IF(ISNUMBER(VLOOKUP($B:$B,'BS(과거)'!$A:$F,$2:$2,0)),VLOOKUP($B:$B,'BS(과거)'!$A:$F,$2:$2,0),0)</f>
        <v>0</v>
      </c>
      <c r="I789" s="207">
        <f>IF(ISNUMBER(VLOOKUP($B:$B,'BS(과거)'!$A:$F,$2:$2,0)),VLOOKUP($B:$B,'BS(과거)'!$A:$F,$2:$2,0),0)</f>
        <v>0</v>
      </c>
      <c r="J789" s="207">
        <f>IF(ISNUMBER(VLOOKUP($B:$B,'BS(과거)'!$A:$F,$2:$2,0)),VLOOKUP($B:$B,'BS(과거)'!$A:$F,$2:$2,0),0)</f>
        <v>0</v>
      </c>
      <c r="K789" s="207">
        <f>IF(ISNUMBER(VLOOKUP($B:$B,'BS(과거)'!$A:$F,$2:$2,0)),VLOOKUP($B:$B,'BS(과거)'!$A:$F,$2:$2,0),0)</f>
        <v>0</v>
      </c>
      <c r="L789" s="207">
        <f>IF(ISNUMBER(VLOOKUP($B:$B,'BS(과거)'!$A:$F,$2:$2,0)),VLOOKUP($B:$B,'BS(과거)'!$A:$F,$2:$2,0),0)</f>
        <v>0</v>
      </c>
      <c r="N789" s="207">
        <f>IF(ISNUMBER(VLOOKUP($B:$B,'BS(분기)'!$A:$F,$2:$2,0)),VLOOKUP($B:$B,'BS(분기)'!$A:$F,$2:$2,0),0)</f>
        <v>0</v>
      </c>
      <c r="O789" s="207">
        <f>IF(ISNUMBER(VLOOKUP($B:$B,'BS(분기)'!$A:$F,$2:$2,0)),VLOOKUP($B:$B,'BS(분기)'!$A:$F,$2:$2,0),0)</f>
        <v>0</v>
      </c>
      <c r="P789" s="207">
        <f>IF(ISNUMBER(VLOOKUP($B:$B,'BS(분기)'!$A:$F,$2:$2,0)),VLOOKUP($B:$B,'BS(분기)'!$A:$F,$2:$2,0),0)</f>
        <v>0</v>
      </c>
      <c r="Q789" s="207">
        <f>IF(ISNUMBER(VLOOKUP($B:$B,'BS(분기)'!$A:$F,$2:$2,0)),VLOOKUP($B:$B,'BS(분기)'!$A:$F,$2:$2,0),0)</f>
        <v>0</v>
      </c>
      <c r="R789" s="207">
        <f>IF(ISNUMBER(VLOOKUP($B:$B,'BS(분기)'!$A:$F,$2:$2,0)),VLOOKUP($B:$B,'BS(분기)'!$A:$F,$2:$2,0),0)</f>
        <v>0</v>
      </c>
    </row>
    <row r="790" spans="1:18" s="192" customFormat="1" ht="12">
      <c r="A790" s="205">
        <v>119010</v>
      </c>
      <c r="B790" s="198" t="s">
        <v>233</v>
      </c>
      <c r="C790" s="217">
        <f>IF(ISNUMBER(VLOOKUP($B:$B,BS!$A:$D,$2:$2,0)),VLOOKUP($B:$B,BS!$A:$D,$2:$2,0),0)</f>
        <v>0</v>
      </c>
      <c r="D790" s="217">
        <f>IF(ISNUMBER(VLOOKUP($B:$B,BS!$A:$D,$2:$2,0)),VLOOKUP($B:$B,BS!$A:$D,$2:$2,0),0)</f>
        <v>0</v>
      </c>
      <c r="E790" s="217">
        <f>IF(ISNUMBER(VLOOKUP($B:$B,BS!$A:$D,$2:$2,0)),VLOOKUP($B:$B,BS!$A:$D,$2:$2,0),0)</f>
        <v>0</v>
      </c>
      <c r="F790" s="217">
        <f>IF(ISNUMBER(VLOOKUP($B:$B,BS!$A:$D,$2:$2,0)),VLOOKUP($B:$B,BS!$A:$D,$2:$2,0),0)</f>
        <v>0</v>
      </c>
      <c r="G790" s="217">
        <f>IF(ISNUMBER(VLOOKUP($B:$B,BS!$A:$D,$2:$2,0)),VLOOKUP($B:$B,BS!$A:$D,$2:$2,0),0)</f>
        <v>0</v>
      </c>
      <c r="H790" s="207">
        <f>IF(ISNUMBER(VLOOKUP($B:$B,'BS(과거)'!$A:$F,$2:$2,0)),VLOOKUP($B:$B,'BS(과거)'!$A:$F,$2:$2,0),0)</f>
        <v>0</v>
      </c>
      <c r="I790" s="207">
        <f>IF(ISNUMBER(VLOOKUP($B:$B,'BS(과거)'!$A:$F,$2:$2,0)),VLOOKUP($B:$B,'BS(과거)'!$A:$F,$2:$2,0),0)</f>
        <v>0</v>
      </c>
      <c r="J790" s="207">
        <f>IF(ISNUMBER(VLOOKUP($B:$B,'BS(과거)'!$A:$F,$2:$2,0)),VLOOKUP($B:$B,'BS(과거)'!$A:$F,$2:$2,0),0)</f>
        <v>0</v>
      </c>
      <c r="K790" s="207">
        <f>IF(ISNUMBER(VLOOKUP($B:$B,'BS(과거)'!$A:$F,$2:$2,0)),VLOOKUP($B:$B,'BS(과거)'!$A:$F,$2:$2,0),0)</f>
        <v>0</v>
      </c>
      <c r="L790" s="207">
        <f>IF(ISNUMBER(VLOOKUP($B:$B,'BS(과거)'!$A:$F,$2:$2,0)),VLOOKUP($B:$B,'BS(과거)'!$A:$F,$2:$2,0),0)</f>
        <v>0</v>
      </c>
      <c r="N790" s="207">
        <f>IF(ISNUMBER(VLOOKUP($B:$B,'BS(분기)'!$A:$F,$2:$2,0)),VLOOKUP($B:$B,'BS(분기)'!$A:$F,$2:$2,0),0)</f>
        <v>0</v>
      </c>
      <c r="O790" s="207">
        <f>IF(ISNUMBER(VLOOKUP($B:$B,'BS(분기)'!$A:$F,$2:$2,0)),VLOOKUP($B:$B,'BS(분기)'!$A:$F,$2:$2,0),0)</f>
        <v>0</v>
      </c>
      <c r="P790" s="207">
        <f>IF(ISNUMBER(VLOOKUP($B:$B,'BS(분기)'!$A:$F,$2:$2,0)),VLOOKUP($B:$B,'BS(분기)'!$A:$F,$2:$2,0),0)</f>
        <v>0</v>
      </c>
      <c r="Q790" s="207">
        <f>IF(ISNUMBER(VLOOKUP($B:$B,'BS(분기)'!$A:$F,$2:$2,0)),VLOOKUP($B:$B,'BS(분기)'!$A:$F,$2:$2,0),0)</f>
        <v>0</v>
      </c>
      <c r="R790" s="207">
        <f>IF(ISNUMBER(VLOOKUP($B:$B,'BS(분기)'!$A:$F,$2:$2,0)),VLOOKUP($B:$B,'BS(분기)'!$A:$F,$2:$2,0),0)</f>
        <v>0</v>
      </c>
    </row>
    <row r="791" spans="1:18" s="192" customFormat="1" ht="12">
      <c r="A791" s="199"/>
      <c r="B791" s="193"/>
      <c r="C791" s="217"/>
      <c r="D791" s="217"/>
      <c r="E791" s="217"/>
      <c r="F791" s="217"/>
      <c r="G791" s="217"/>
      <c r="H791" s="207"/>
      <c r="I791" s="207"/>
      <c r="J791" s="207"/>
      <c r="K791" s="207"/>
      <c r="L791" s="207"/>
    </row>
    <row r="792" spans="1:18" s="192" customFormat="1" ht="12">
      <c r="A792" s="200">
        <v>121000</v>
      </c>
      <c r="B792" s="193" t="s">
        <v>7</v>
      </c>
      <c r="C792" s="217">
        <f>IF(ISNUMBER(VLOOKUP($B:$B,IS!$A:$F,$2:$2,0)),VLOOKUP($B:$B,IS!$A:$F,$2:$2,0),0)</f>
        <v>14965246</v>
      </c>
      <c r="D792" s="217">
        <f>IF(ISNUMBER(VLOOKUP($B:$B,IS!$A:$F,$2:$2,0)),VLOOKUP($B:$B,IS!$A:$F,$2:$2,0),0)</f>
        <v>0</v>
      </c>
      <c r="E792" s="217">
        <f>IF(ISNUMBER(VLOOKUP($B:$B,IS!$A:$F,$2:$2,0)),VLOOKUP($B:$B,IS!$A:$F,$2:$2,0),0)</f>
        <v>0</v>
      </c>
      <c r="F792" s="217">
        <f>IF(ISNUMBER(VLOOKUP($B:$B,IS!$A:$F,$2:$2,0)),VLOOKUP($B:$B,IS!$A:$F,$2:$2,0),0)</f>
        <v>0</v>
      </c>
      <c r="G792" s="217">
        <f>IF(ISNUMBER(VLOOKUP($B:$B,IS!$A:$F,$2:$2,0)),VLOOKUP($B:$B,IS!$A:$F,$2:$2,0),0)</f>
        <v>0</v>
      </c>
      <c r="H792" s="207">
        <f>IF(ISNUMBER(VLOOKUP($B:$B,'IS(과거)'!$A:$F,$2:$2,0)),VLOOKUP($B:$B,'IS(과거)'!$A:$F,$2:$2,0),0)</f>
        <v>0</v>
      </c>
      <c r="I792" s="207">
        <f>IF(ISNUMBER(VLOOKUP($B:$B,'IS(과거)'!$A:$F,$2:$2,0)),VLOOKUP($B:$B,'IS(과거)'!$A:$F,$2:$2,0),0)</f>
        <v>0</v>
      </c>
      <c r="J792" s="207">
        <f>IF(ISNUMBER(VLOOKUP($B:$B,'IS(과거)'!$A:$F,$2:$2,0)),VLOOKUP($B:$B,'IS(과거)'!$A:$F,$2:$2,0),0)</f>
        <v>0</v>
      </c>
      <c r="K792" s="207">
        <f>IF(ISNUMBER(VLOOKUP($B:$B,'IS(과거)'!$A:$F,$2:$2,0)),VLOOKUP($B:$B,'IS(과거)'!$A:$F,$2:$2,0),0)</f>
        <v>0</v>
      </c>
      <c r="L792" s="207">
        <f>IF(ISNUMBER(VLOOKUP($B:$B,'IS(과거)'!$A:$F,$2:$2,0)),VLOOKUP($B:$B,'IS(과거)'!$A:$F,$2:$2,0),0)</f>
        <v>0</v>
      </c>
      <c r="N792" s="207">
        <f>IF(ISNUMBER(VLOOKUP($B:$B,'IS(분기)'!$A:$F,$2:$2,0)),VLOOKUP($B:$B,'IS(분기)'!$A:$F,$2:$2,0),0)</f>
        <v>0</v>
      </c>
      <c r="O792" s="207">
        <f>IF(ISNUMBER(VLOOKUP($B:$B,'IS(분기)'!$A:$F,$2:$2,0)),VLOOKUP($B:$B,'IS(분기)'!$A:$F,$2:$2,0),0)</f>
        <v>0</v>
      </c>
      <c r="P792" s="207">
        <f>IF(ISNUMBER(VLOOKUP($B:$B,'IS(분기)'!$A:$F,$2:$2,0)),VLOOKUP($B:$B,'IS(분기)'!$A:$F,$2:$2,0),0)</f>
        <v>0</v>
      </c>
      <c r="Q792" s="207">
        <f>IF(ISNUMBER(VLOOKUP($B:$B,'IS(분기)'!$A:$F,$2:$2,0)),VLOOKUP($B:$B,'IS(분기)'!$A:$F,$2:$2,0),0)</f>
        <v>0</v>
      </c>
      <c r="R792" s="207">
        <f>IF(ISNUMBER(VLOOKUP($B:$B,'IS(분기)'!$A:$F,$2:$2,0)),VLOOKUP($B:$B,'IS(분기)'!$A:$F,$2:$2,0),0)</f>
        <v>0</v>
      </c>
    </row>
    <row r="793" spans="1:18" s="192" customFormat="1" ht="12">
      <c r="A793" s="201">
        <v>121100</v>
      </c>
      <c r="B793" s="194" t="s">
        <v>1348</v>
      </c>
      <c r="C793" s="217">
        <f>IF(ISNUMBER(VLOOKUP($B:$B,IS!$A:$F,$2:$2,0)),VLOOKUP($B:$B,IS!$A:$F,$2:$2,0),0)</f>
        <v>14965246</v>
      </c>
      <c r="D793" s="217">
        <f>IF(ISNUMBER(VLOOKUP($B:$B,IS!$A:$F,$2:$2,0)),VLOOKUP($B:$B,IS!$A:$F,$2:$2,0),0)</f>
        <v>0</v>
      </c>
      <c r="E793" s="217">
        <f>IF(ISNUMBER(VLOOKUP($B:$B,IS!$A:$F,$2:$2,0)),VLOOKUP($B:$B,IS!$A:$F,$2:$2,0),0)</f>
        <v>0</v>
      </c>
      <c r="F793" s="217">
        <f>IF(ISNUMBER(VLOOKUP($B:$B,IS!$A:$F,$2:$2,0)),VLOOKUP($B:$B,IS!$A:$F,$2:$2,0),0)</f>
        <v>0</v>
      </c>
      <c r="G793" s="217">
        <f>IF(ISNUMBER(VLOOKUP($B:$B,IS!$A:$F,$2:$2,0)),VLOOKUP($B:$B,IS!$A:$F,$2:$2,0),0)</f>
        <v>0</v>
      </c>
      <c r="H793" s="207">
        <f>IF(ISNUMBER(VLOOKUP($B:$B,'IS(과거)'!$A:$F,$2:$2,0)),VLOOKUP($B:$B,'IS(과거)'!$A:$F,$2:$2,0),0)</f>
        <v>0</v>
      </c>
      <c r="I793" s="207">
        <f>IF(ISNUMBER(VLOOKUP($B:$B,'IS(과거)'!$A:$F,$2:$2,0)),VLOOKUP($B:$B,'IS(과거)'!$A:$F,$2:$2,0),0)</f>
        <v>0</v>
      </c>
      <c r="J793" s="207">
        <f>IF(ISNUMBER(VLOOKUP($B:$B,'IS(과거)'!$A:$F,$2:$2,0)),VLOOKUP($B:$B,'IS(과거)'!$A:$F,$2:$2,0),0)</f>
        <v>0</v>
      </c>
      <c r="K793" s="207">
        <f>IF(ISNUMBER(VLOOKUP($B:$B,'IS(과거)'!$A:$F,$2:$2,0)),VLOOKUP($B:$B,'IS(과거)'!$A:$F,$2:$2,0),0)</f>
        <v>0</v>
      </c>
      <c r="L793" s="207">
        <f>IF(ISNUMBER(VLOOKUP($B:$B,'IS(과거)'!$A:$F,$2:$2,0)),VLOOKUP($B:$B,'IS(과거)'!$A:$F,$2:$2,0),0)</f>
        <v>0</v>
      </c>
      <c r="N793" s="207">
        <f>IF(ISNUMBER(VLOOKUP($B:$B,'IS(분기)'!$A:$F,$2:$2,0)),VLOOKUP($B:$B,'IS(분기)'!$A:$F,$2:$2,0),0)</f>
        <v>0</v>
      </c>
      <c r="O793" s="207">
        <f>IF(ISNUMBER(VLOOKUP($B:$B,'IS(분기)'!$A:$F,$2:$2,0)),VLOOKUP($B:$B,'IS(분기)'!$A:$F,$2:$2,0),0)</f>
        <v>0</v>
      </c>
      <c r="P793" s="207">
        <f>IF(ISNUMBER(VLOOKUP($B:$B,'IS(분기)'!$A:$F,$2:$2,0)),VLOOKUP($B:$B,'IS(분기)'!$A:$F,$2:$2,0),0)</f>
        <v>0</v>
      </c>
      <c r="Q793" s="207">
        <f>IF(ISNUMBER(VLOOKUP($B:$B,'IS(분기)'!$A:$F,$2:$2,0)),VLOOKUP($B:$B,'IS(분기)'!$A:$F,$2:$2,0),0)</f>
        <v>0</v>
      </c>
      <c r="R793" s="207">
        <f>IF(ISNUMBER(VLOOKUP($B:$B,'IS(분기)'!$A:$F,$2:$2,0)),VLOOKUP($B:$B,'IS(분기)'!$A:$F,$2:$2,0),0)</f>
        <v>0</v>
      </c>
    </row>
    <row r="794" spans="1:18" s="192" customFormat="1" ht="12">
      <c r="A794" s="202">
        <v>121190</v>
      </c>
      <c r="B794" s="195" t="s">
        <v>1349</v>
      </c>
      <c r="C794" s="217">
        <f>IF(ISNUMBER(VLOOKUP($B:$B,IS!$A:$F,$2:$2,0)),VLOOKUP($B:$B,IS!$A:$F,$2:$2,0),0)</f>
        <v>0</v>
      </c>
      <c r="D794" s="217">
        <f>IF(ISNUMBER(VLOOKUP($B:$B,IS!$A:$F,$2:$2,0)),VLOOKUP($B:$B,IS!$A:$F,$2:$2,0),0)</f>
        <v>0</v>
      </c>
      <c r="E794" s="217">
        <f>IF(ISNUMBER(VLOOKUP($B:$B,IS!$A:$F,$2:$2,0)),VLOOKUP($B:$B,IS!$A:$F,$2:$2,0),0)</f>
        <v>0</v>
      </c>
      <c r="F794" s="217">
        <f>IF(ISNUMBER(VLOOKUP($B:$B,IS!$A:$F,$2:$2,0)),VLOOKUP($B:$B,IS!$A:$F,$2:$2,0),0)</f>
        <v>0</v>
      </c>
      <c r="G794" s="217">
        <f>IF(ISNUMBER(VLOOKUP($B:$B,IS!$A:$F,$2:$2,0)),VLOOKUP($B:$B,IS!$A:$F,$2:$2,0),0)</f>
        <v>0</v>
      </c>
      <c r="H794" s="207">
        <f>IF(ISNUMBER(VLOOKUP($B:$B,'IS(과거)'!$A:$F,$2:$2,0)),VLOOKUP($B:$B,'IS(과거)'!$A:$F,$2:$2,0),0)</f>
        <v>0</v>
      </c>
      <c r="I794" s="207">
        <f>IF(ISNUMBER(VLOOKUP($B:$B,'IS(과거)'!$A:$F,$2:$2,0)),VLOOKUP($B:$B,'IS(과거)'!$A:$F,$2:$2,0),0)</f>
        <v>0</v>
      </c>
      <c r="J794" s="207">
        <f>IF(ISNUMBER(VLOOKUP($B:$B,'IS(과거)'!$A:$F,$2:$2,0)),VLOOKUP($B:$B,'IS(과거)'!$A:$F,$2:$2,0),0)</f>
        <v>0</v>
      </c>
      <c r="K794" s="207">
        <f>IF(ISNUMBER(VLOOKUP($B:$B,'IS(과거)'!$A:$F,$2:$2,0)),VLOOKUP($B:$B,'IS(과거)'!$A:$F,$2:$2,0),0)</f>
        <v>0</v>
      </c>
      <c r="L794" s="207">
        <f>IF(ISNUMBER(VLOOKUP($B:$B,'IS(과거)'!$A:$F,$2:$2,0)),VLOOKUP($B:$B,'IS(과거)'!$A:$F,$2:$2,0),0)</f>
        <v>0</v>
      </c>
      <c r="N794" s="207">
        <f>IF(ISNUMBER(VLOOKUP($B:$B,'IS(분기)'!$A:$F,$2:$2,0)),VLOOKUP($B:$B,'IS(분기)'!$A:$F,$2:$2,0),0)</f>
        <v>0</v>
      </c>
      <c r="O794" s="207">
        <f>IF(ISNUMBER(VLOOKUP($B:$B,'IS(분기)'!$A:$F,$2:$2,0)),VLOOKUP($B:$B,'IS(분기)'!$A:$F,$2:$2,0),0)</f>
        <v>0</v>
      </c>
      <c r="P794" s="207">
        <f>IF(ISNUMBER(VLOOKUP($B:$B,'IS(분기)'!$A:$F,$2:$2,0)),VLOOKUP($B:$B,'IS(분기)'!$A:$F,$2:$2,0),0)</f>
        <v>0</v>
      </c>
      <c r="Q794" s="207">
        <f>IF(ISNUMBER(VLOOKUP($B:$B,'IS(분기)'!$A:$F,$2:$2,0)),VLOOKUP($B:$B,'IS(분기)'!$A:$F,$2:$2,0),0)</f>
        <v>0</v>
      </c>
      <c r="R794" s="207">
        <f>IF(ISNUMBER(VLOOKUP($B:$B,'IS(분기)'!$A:$F,$2:$2,0)),VLOOKUP($B:$B,'IS(분기)'!$A:$F,$2:$2,0),0)</f>
        <v>0</v>
      </c>
    </row>
    <row r="795" spans="1:18" s="192" customFormat="1" ht="12">
      <c r="A795" s="202">
        <v>121195</v>
      </c>
      <c r="B795" s="195" t="s">
        <v>1350</v>
      </c>
      <c r="C795" s="217">
        <f>IF(ISNUMBER(VLOOKUP($B:$B,IS!$A:$F,$2:$2,0)),VLOOKUP($B:$B,IS!$A:$F,$2:$2,0),0)</f>
        <v>0</v>
      </c>
      <c r="D795" s="217">
        <f>IF(ISNUMBER(VLOOKUP($B:$B,IS!$A:$F,$2:$2,0)),VLOOKUP($B:$B,IS!$A:$F,$2:$2,0),0)</f>
        <v>0</v>
      </c>
      <c r="E795" s="217">
        <f>IF(ISNUMBER(VLOOKUP($B:$B,IS!$A:$F,$2:$2,0)),VLOOKUP($B:$B,IS!$A:$F,$2:$2,0),0)</f>
        <v>0</v>
      </c>
      <c r="F795" s="217">
        <f>IF(ISNUMBER(VLOOKUP($B:$B,IS!$A:$F,$2:$2,0)),VLOOKUP($B:$B,IS!$A:$F,$2:$2,0),0)</f>
        <v>0</v>
      </c>
      <c r="G795" s="217">
        <f>IF(ISNUMBER(VLOOKUP($B:$B,IS!$A:$F,$2:$2,0)),VLOOKUP($B:$B,IS!$A:$F,$2:$2,0),0)</f>
        <v>0</v>
      </c>
      <c r="H795" s="207">
        <f>IF(ISNUMBER(VLOOKUP($B:$B,'IS(과거)'!$A:$F,$2:$2,0)),VLOOKUP($B:$B,'IS(과거)'!$A:$F,$2:$2,0),0)</f>
        <v>0</v>
      </c>
      <c r="I795" s="207">
        <f>IF(ISNUMBER(VLOOKUP($B:$B,'IS(과거)'!$A:$F,$2:$2,0)),VLOOKUP($B:$B,'IS(과거)'!$A:$F,$2:$2,0),0)</f>
        <v>0</v>
      </c>
      <c r="J795" s="207">
        <f>IF(ISNUMBER(VLOOKUP($B:$B,'IS(과거)'!$A:$F,$2:$2,0)),VLOOKUP($B:$B,'IS(과거)'!$A:$F,$2:$2,0),0)</f>
        <v>0</v>
      </c>
      <c r="K795" s="207">
        <f>IF(ISNUMBER(VLOOKUP($B:$B,'IS(과거)'!$A:$F,$2:$2,0)),VLOOKUP($B:$B,'IS(과거)'!$A:$F,$2:$2,0),0)</f>
        <v>0</v>
      </c>
      <c r="L795" s="207">
        <f>IF(ISNUMBER(VLOOKUP($B:$B,'IS(과거)'!$A:$F,$2:$2,0)),VLOOKUP($B:$B,'IS(과거)'!$A:$F,$2:$2,0),0)</f>
        <v>0</v>
      </c>
      <c r="N795" s="207">
        <f>IF(ISNUMBER(VLOOKUP($B:$B,'IS(분기)'!$A:$F,$2:$2,0)),VLOOKUP($B:$B,'IS(분기)'!$A:$F,$2:$2,0),0)</f>
        <v>0</v>
      </c>
      <c r="O795" s="207">
        <f>IF(ISNUMBER(VLOOKUP($B:$B,'IS(분기)'!$A:$F,$2:$2,0)),VLOOKUP($B:$B,'IS(분기)'!$A:$F,$2:$2,0),0)</f>
        <v>0</v>
      </c>
      <c r="P795" s="207">
        <f>IF(ISNUMBER(VLOOKUP($B:$B,'IS(분기)'!$A:$F,$2:$2,0)),VLOOKUP($B:$B,'IS(분기)'!$A:$F,$2:$2,0),0)</f>
        <v>0</v>
      </c>
      <c r="Q795" s="207">
        <f>IF(ISNUMBER(VLOOKUP($B:$B,'IS(분기)'!$A:$F,$2:$2,0)),VLOOKUP($B:$B,'IS(분기)'!$A:$F,$2:$2,0),0)</f>
        <v>0</v>
      </c>
      <c r="R795" s="207">
        <f>IF(ISNUMBER(VLOOKUP($B:$B,'IS(분기)'!$A:$F,$2:$2,0)),VLOOKUP($B:$B,'IS(분기)'!$A:$F,$2:$2,0),0)</f>
        <v>0</v>
      </c>
    </row>
    <row r="796" spans="1:18" s="192" customFormat="1" ht="12">
      <c r="A796" s="202">
        <v>121198</v>
      </c>
      <c r="B796" s="195" t="s">
        <v>1351</v>
      </c>
      <c r="C796" s="217">
        <f>IF(ISNUMBER(VLOOKUP($B:$B,IS!$A:$F,$2:$2,0)),VLOOKUP($B:$B,IS!$A:$F,$2:$2,0),0)</f>
        <v>0</v>
      </c>
      <c r="D796" s="217">
        <f>IF(ISNUMBER(VLOOKUP($B:$B,IS!$A:$F,$2:$2,0)),VLOOKUP($B:$B,IS!$A:$F,$2:$2,0),0)</f>
        <v>0</v>
      </c>
      <c r="E796" s="217">
        <f>IF(ISNUMBER(VLOOKUP($B:$B,IS!$A:$F,$2:$2,0)),VLOOKUP($B:$B,IS!$A:$F,$2:$2,0),0)</f>
        <v>0</v>
      </c>
      <c r="F796" s="217">
        <f>IF(ISNUMBER(VLOOKUP($B:$B,IS!$A:$F,$2:$2,0)),VLOOKUP($B:$B,IS!$A:$F,$2:$2,0),0)</f>
        <v>0</v>
      </c>
      <c r="G796" s="217">
        <f>IF(ISNUMBER(VLOOKUP($B:$B,IS!$A:$F,$2:$2,0)),VLOOKUP($B:$B,IS!$A:$F,$2:$2,0),0)</f>
        <v>0</v>
      </c>
      <c r="H796" s="207">
        <f>IF(ISNUMBER(VLOOKUP($B:$B,'IS(과거)'!$A:$F,$2:$2,0)),VLOOKUP($B:$B,'IS(과거)'!$A:$F,$2:$2,0),0)</f>
        <v>0</v>
      </c>
      <c r="I796" s="207">
        <f>IF(ISNUMBER(VLOOKUP($B:$B,'IS(과거)'!$A:$F,$2:$2,0)),VLOOKUP($B:$B,'IS(과거)'!$A:$F,$2:$2,0),0)</f>
        <v>0</v>
      </c>
      <c r="J796" s="207">
        <f>IF(ISNUMBER(VLOOKUP($B:$B,'IS(과거)'!$A:$F,$2:$2,0)),VLOOKUP($B:$B,'IS(과거)'!$A:$F,$2:$2,0),0)</f>
        <v>0</v>
      </c>
      <c r="K796" s="207">
        <f>IF(ISNUMBER(VLOOKUP($B:$B,'IS(과거)'!$A:$F,$2:$2,0)),VLOOKUP($B:$B,'IS(과거)'!$A:$F,$2:$2,0),0)</f>
        <v>0</v>
      </c>
      <c r="L796" s="207">
        <f>IF(ISNUMBER(VLOOKUP($B:$B,'IS(과거)'!$A:$F,$2:$2,0)),VLOOKUP($B:$B,'IS(과거)'!$A:$F,$2:$2,0),0)</f>
        <v>0</v>
      </c>
      <c r="N796" s="207">
        <f>IF(ISNUMBER(VLOOKUP($B:$B,'IS(분기)'!$A:$F,$2:$2,0)),VLOOKUP($B:$B,'IS(분기)'!$A:$F,$2:$2,0),0)</f>
        <v>0</v>
      </c>
      <c r="O796" s="207">
        <f>IF(ISNUMBER(VLOOKUP($B:$B,'IS(분기)'!$A:$F,$2:$2,0)),VLOOKUP($B:$B,'IS(분기)'!$A:$F,$2:$2,0),0)</f>
        <v>0</v>
      </c>
      <c r="P796" s="207">
        <f>IF(ISNUMBER(VLOOKUP($B:$B,'IS(분기)'!$A:$F,$2:$2,0)),VLOOKUP($B:$B,'IS(분기)'!$A:$F,$2:$2,0),0)</f>
        <v>0</v>
      </c>
      <c r="Q796" s="207">
        <f>IF(ISNUMBER(VLOOKUP($B:$B,'IS(분기)'!$A:$F,$2:$2,0)),VLOOKUP($B:$B,'IS(분기)'!$A:$F,$2:$2,0),0)</f>
        <v>0</v>
      </c>
      <c r="R796" s="207">
        <f>IF(ISNUMBER(VLOOKUP($B:$B,'IS(분기)'!$A:$F,$2:$2,0)),VLOOKUP($B:$B,'IS(분기)'!$A:$F,$2:$2,0),0)</f>
        <v>0</v>
      </c>
    </row>
    <row r="797" spans="1:18" s="192" customFormat="1" ht="12">
      <c r="A797" s="202">
        <v>121110</v>
      </c>
      <c r="B797" s="195" t="s">
        <v>1352</v>
      </c>
      <c r="C797" s="217">
        <f>IF(ISNUMBER(VLOOKUP($B:$B,IS!$A:$F,$2:$2,0)),VLOOKUP($B:$B,IS!$A:$F,$2:$2,0),0)</f>
        <v>378117</v>
      </c>
      <c r="D797" s="217">
        <f>IF(ISNUMBER(VLOOKUP($B:$B,IS!$A:$F,$2:$2,0)),VLOOKUP($B:$B,IS!$A:$F,$2:$2,0),0)</f>
        <v>0</v>
      </c>
      <c r="E797" s="217">
        <f>IF(ISNUMBER(VLOOKUP($B:$B,IS!$A:$F,$2:$2,0)),VLOOKUP($B:$B,IS!$A:$F,$2:$2,0),0)</f>
        <v>0</v>
      </c>
      <c r="F797" s="217">
        <f>IF(ISNUMBER(VLOOKUP($B:$B,IS!$A:$F,$2:$2,0)),VLOOKUP($B:$B,IS!$A:$F,$2:$2,0),0)</f>
        <v>0</v>
      </c>
      <c r="G797" s="217">
        <f>IF(ISNUMBER(VLOOKUP($B:$B,IS!$A:$F,$2:$2,0)),VLOOKUP($B:$B,IS!$A:$F,$2:$2,0),0)</f>
        <v>0</v>
      </c>
      <c r="H797" s="207">
        <f>IF(ISNUMBER(VLOOKUP($B:$B,'IS(과거)'!$A:$F,$2:$2,0)),VLOOKUP($B:$B,'IS(과거)'!$A:$F,$2:$2,0),0)</f>
        <v>0</v>
      </c>
      <c r="I797" s="207">
        <f>IF(ISNUMBER(VLOOKUP($B:$B,'IS(과거)'!$A:$F,$2:$2,0)),VLOOKUP($B:$B,'IS(과거)'!$A:$F,$2:$2,0),0)</f>
        <v>0</v>
      </c>
      <c r="J797" s="207">
        <f>IF(ISNUMBER(VLOOKUP($B:$B,'IS(과거)'!$A:$F,$2:$2,0)),VLOOKUP($B:$B,'IS(과거)'!$A:$F,$2:$2,0),0)</f>
        <v>0</v>
      </c>
      <c r="K797" s="207">
        <f>IF(ISNUMBER(VLOOKUP($B:$B,'IS(과거)'!$A:$F,$2:$2,0)),VLOOKUP($B:$B,'IS(과거)'!$A:$F,$2:$2,0),0)</f>
        <v>0</v>
      </c>
      <c r="L797" s="207">
        <f>IF(ISNUMBER(VLOOKUP($B:$B,'IS(과거)'!$A:$F,$2:$2,0)),VLOOKUP($B:$B,'IS(과거)'!$A:$F,$2:$2,0),0)</f>
        <v>0</v>
      </c>
      <c r="N797" s="207">
        <f>IF(ISNUMBER(VLOOKUP($B:$B,'IS(분기)'!$A:$F,$2:$2,0)),VLOOKUP($B:$B,'IS(분기)'!$A:$F,$2:$2,0),0)</f>
        <v>0</v>
      </c>
      <c r="O797" s="207">
        <f>IF(ISNUMBER(VLOOKUP($B:$B,'IS(분기)'!$A:$F,$2:$2,0)),VLOOKUP($B:$B,'IS(분기)'!$A:$F,$2:$2,0),0)</f>
        <v>0</v>
      </c>
      <c r="P797" s="207">
        <f>IF(ISNUMBER(VLOOKUP($B:$B,'IS(분기)'!$A:$F,$2:$2,0)),VLOOKUP($B:$B,'IS(분기)'!$A:$F,$2:$2,0),0)</f>
        <v>0</v>
      </c>
      <c r="Q797" s="207">
        <f>IF(ISNUMBER(VLOOKUP($B:$B,'IS(분기)'!$A:$F,$2:$2,0)),VLOOKUP($B:$B,'IS(분기)'!$A:$F,$2:$2,0),0)</f>
        <v>0</v>
      </c>
      <c r="R797" s="207">
        <f>IF(ISNUMBER(VLOOKUP($B:$B,'IS(분기)'!$A:$F,$2:$2,0)),VLOOKUP($B:$B,'IS(분기)'!$A:$F,$2:$2,0),0)</f>
        <v>0</v>
      </c>
    </row>
    <row r="798" spans="1:18" s="192" customFormat="1" ht="12">
      <c r="A798" s="203">
        <v>121111</v>
      </c>
      <c r="B798" s="196" t="s">
        <v>1353</v>
      </c>
      <c r="C798" s="217">
        <f>IF(ISNUMBER(VLOOKUP($B:$B,IS!$A:$F,$2:$2,0)),VLOOKUP($B:$B,IS!$A:$F,$2:$2,0),0)</f>
        <v>0</v>
      </c>
      <c r="D798" s="217">
        <f>IF(ISNUMBER(VLOOKUP($B:$B,IS!$A:$F,$2:$2,0)),VLOOKUP($B:$B,IS!$A:$F,$2:$2,0),0)</f>
        <v>0</v>
      </c>
      <c r="E798" s="217">
        <f>IF(ISNUMBER(VLOOKUP($B:$B,IS!$A:$F,$2:$2,0)),VLOOKUP($B:$B,IS!$A:$F,$2:$2,0),0)</f>
        <v>0</v>
      </c>
      <c r="F798" s="217">
        <f>IF(ISNUMBER(VLOOKUP($B:$B,IS!$A:$F,$2:$2,0)),VLOOKUP($B:$B,IS!$A:$F,$2:$2,0),0)</f>
        <v>0</v>
      </c>
      <c r="G798" s="217">
        <f>IF(ISNUMBER(VLOOKUP($B:$B,IS!$A:$F,$2:$2,0)),VLOOKUP($B:$B,IS!$A:$F,$2:$2,0),0)</f>
        <v>0</v>
      </c>
      <c r="H798" s="207">
        <f>IF(ISNUMBER(VLOOKUP($B:$B,'IS(과거)'!$A:$F,$2:$2,0)),VLOOKUP($B:$B,'IS(과거)'!$A:$F,$2:$2,0),0)</f>
        <v>0</v>
      </c>
      <c r="I798" s="207">
        <f>IF(ISNUMBER(VLOOKUP($B:$B,'IS(과거)'!$A:$F,$2:$2,0)),VLOOKUP($B:$B,'IS(과거)'!$A:$F,$2:$2,0),0)</f>
        <v>0</v>
      </c>
      <c r="J798" s="207">
        <f>IF(ISNUMBER(VLOOKUP($B:$B,'IS(과거)'!$A:$F,$2:$2,0)),VLOOKUP($B:$B,'IS(과거)'!$A:$F,$2:$2,0),0)</f>
        <v>0</v>
      </c>
      <c r="K798" s="207">
        <f>IF(ISNUMBER(VLOOKUP($B:$B,'IS(과거)'!$A:$F,$2:$2,0)),VLOOKUP($B:$B,'IS(과거)'!$A:$F,$2:$2,0),0)</f>
        <v>0</v>
      </c>
      <c r="L798" s="207">
        <f>IF(ISNUMBER(VLOOKUP($B:$B,'IS(과거)'!$A:$F,$2:$2,0)),VLOOKUP($B:$B,'IS(과거)'!$A:$F,$2:$2,0),0)</f>
        <v>0</v>
      </c>
      <c r="N798" s="207">
        <f>IF(ISNUMBER(VLOOKUP($B:$B,'IS(분기)'!$A:$F,$2:$2,0)),VLOOKUP($B:$B,'IS(분기)'!$A:$F,$2:$2,0),0)</f>
        <v>0</v>
      </c>
      <c r="O798" s="207">
        <f>IF(ISNUMBER(VLOOKUP($B:$B,'IS(분기)'!$A:$F,$2:$2,0)),VLOOKUP($B:$B,'IS(분기)'!$A:$F,$2:$2,0),0)</f>
        <v>0</v>
      </c>
      <c r="P798" s="207">
        <f>IF(ISNUMBER(VLOOKUP($B:$B,'IS(분기)'!$A:$F,$2:$2,0)),VLOOKUP($B:$B,'IS(분기)'!$A:$F,$2:$2,0),0)</f>
        <v>0</v>
      </c>
      <c r="Q798" s="207">
        <f>IF(ISNUMBER(VLOOKUP($B:$B,'IS(분기)'!$A:$F,$2:$2,0)),VLOOKUP($B:$B,'IS(분기)'!$A:$F,$2:$2,0),0)</f>
        <v>0</v>
      </c>
      <c r="R798" s="207">
        <f>IF(ISNUMBER(VLOOKUP($B:$B,'IS(분기)'!$A:$F,$2:$2,0)),VLOOKUP($B:$B,'IS(분기)'!$A:$F,$2:$2,0),0)</f>
        <v>0</v>
      </c>
    </row>
    <row r="799" spans="1:18" s="192" customFormat="1" ht="12">
      <c r="A799" s="203">
        <v>121112</v>
      </c>
      <c r="B799" s="196" t="s">
        <v>1354</v>
      </c>
      <c r="C799" s="217">
        <f>IF(ISNUMBER(VLOOKUP($B:$B,IS!$A:$F,$2:$2,0)),VLOOKUP($B:$B,IS!$A:$F,$2:$2,0),0)</f>
        <v>0</v>
      </c>
      <c r="D799" s="217">
        <f>IF(ISNUMBER(VLOOKUP($B:$B,IS!$A:$F,$2:$2,0)),VLOOKUP($B:$B,IS!$A:$F,$2:$2,0),0)</f>
        <v>0</v>
      </c>
      <c r="E799" s="217">
        <f>IF(ISNUMBER(VLOOKUP($B:$B,IS!$A:$F,$2:$2,0)),VLOOKUP($B:$B,IS!$A:$F,$2:$2,0),0)</f>
        <v>0</v>
      </c>
      <c r="F799" s="217">
        <f>IF(ISNUMBER(VLOOKUP($B:$B,IS!$A:$F,$2:$2,0)),VLOOKUP($B:$B,IS!$A:$F,$2:$2,0),0)</f>
        <v>0</v>
      </c>
      <c r="G799" s="217">
        <f>IF(ISNUMBER(VLOOKUP($B:$B,IS!$A:$F,$2:$2,0)),VLOOKUP($B:$B,IS!$A:$F,$2:$2,0),0)</f>
        <v>0</v>
      </c>
      <c r="H799" s="207">
        <f>IF(ISNUMBER(VLOOKUP($B:$B,'IS(과거)'!$A:$F,$2:$2,0)),VLOOKUP($B:$B,'IS(과거)'!$A:$F,$2:$2,0),0)</f>
        <v>0</v>
      </c>
      <c r="I799" s="207">
        <f>IF(ISNUMBER(VLOOKUP($B:$B,'IS(과거)'!$A:$F,$2:$2,0)),VLOOKUP($B:$B,'IS(과거)'!$A:$F,$2:$2,0),0)</f>
        <v>0</v>
      </c>
      <c r="J799" s="207">
        <f>IF(ISNUMBER(VLOOKUP($B:$B,'IS(과거)'!$A:$F,$2:$2,0)),VLOOKUP($B:$B,'IS(과거)'!$A:$F,$2:$2,0),0)</f>
        <v>0</v>
      </c>
      <c r="K799" s="207">
        <f>IF(ISNUMBER(VLOOKUP($B:$B,'IS(과거)'!$A:$F,$2:$2,0)),VLOOKUP($B:$B,'IS(과거)'!$A:$F,$2:$2,0),0)</f>
        <v>0</v>
      </c>
      <c r="L799" s="207">
        <f>IF(ISNUMBER(VLOOKUP($B:$B,'IS(과거)'!$A:$F,$2:$2,0)),VLOOKUP($B:$B,'IS(과거)'!$A:$F,$2:$2,0),0)</f>
        <v>0</v>
      </c>
      <c r="N799" s="207">
        <f>IF(ISNUMBER(VLOOKUP($B:$B,'IS(분기)'!$A:$F,$2:$2,0)),VLOOKUP($B:$B,'IS(분기)'!$A:$F,$2:$2,0),0)</f>
        <v>0</v>
      </c>
      <c r="O799" s="207">
        <f>IF(ISNUMBER(VLOOKUP($B:$B,'IS(분기)'!$A:$F,$2:$2,0)),VLOOKUP($B:$B,'IS(분기)'!$A:$F,$2:$2,0),0)</f>
        <v>0</v>
      </c>
      <c r="P799" s="207">
        <f>IF(ISNUMBER(VLOOKUP($B:$B,'IS(분기)'!$A:$F,$2:$2,0)),VLOOKUP($B:$B,'IS(분기)'!$A:$F,$2:$2,0),0)</f>
        <v>0</v>
      </c>
      <c r="Q799" s="207">
        <f>IF(ISNUMBER(VLOOKUP($B:$B,'IS(분기)'!$A:$F,$2:$2,0)),VLOOKUP($B:$B,'IS(분기)'!$A:$F,$2:$2,0),0)</f>
        <v>0</v>
      </c>
      <c r="R799" s="207">
        <f>IF(ISNUMBER(VLOOKUP($B:$B,'IS(분기)'!$A:$F,$2:$2,0)),VLOOKUP($B:$B,'IS(분기)'!$A:$F,$2:$2,0),0)</f>
        <v>0</v>
      </c>
    </row>
    <row r="800" spans="1:18" s="192" customFormat="1" ht="12">
      <c r="A800" s="203">
        <v>121118</v>
      </c>
      <c r="B800" s="196" t="s">
        <v>1355</v>
      </c>
      <c r="C800" s="217">
        <f>IF(ISNUMBER(VLOOKUP($B:$B,IS!$A:$F,$2:$2,0)),VLOOKUP($B:$B,IS!$A:$F,$2:$2,0),0)</f>
        <v>0</v>
      </c>
      <c r="D800" s="217">
        <f>IF(ISNUMBER(VLOOKUP($B:$B,IS!$A:$F,$2:$2,0)),VLOOKUP($B:$B,IS!$A:$F,$2:$2,0),0)</f>
        <v>0</v>
      </c>
      <c r="E800" s="217">
        <f>IF(ISNUMBER(VLOOKUP($B:$B,IS!$A:$F,$2:$2,0)),VLOOKUP($B:$B,IS!$A:$F,$2:$2,0),0)</f>
        <v>0</v>
      </c>
      <c r="F800" s="217">
        <f>IF(ISNUMBER(VLOOKUP($B:$B,IS!$A:$F,$2:$2,0)),VLOOKUP($B:$B,IS!$A:$F,$2:$2,0),0)</f>
        <v>0</v>
      </c>
      <c r="G800" s="217">
        <f>IF(ISNUMBER(VLOOKUP($B:$B,IS!$A:$F,$2:$2,0)),VLOOKUP($B:$B,IS!$A:$F,$2:$2,0),0)</f>
        <v>0</v>
      </c>
      <c r="H800" s="207">
        <f>IF(ISNUMBER(VLOOKUP($B:$B,'IS(과거)'!$A:$F,$2:$2,0)),VLOOKUP($B:$B,'IS(과거)'!$A:$F,$2:$2,0),0)</f>
        <v>0</v>
      </c>
      <c r="I800" s="207">
        <f>IF(ISNUMBER(VLOOKUP($B:$B,'IS(과거)'!$A:$F,$2:$2,0)),VLOOKUP($B:$B,'IS(과거)'!$A:$F,$2:$2,0),0)</f>
        <v>0</v>
      </c>
      <c r="J800" s="207">
        <f>IF(ISNUMBER(VLOOKUP($B:$B,'IS(과거)'!$A:$F,$2:$2,0)),VLOOKUP($B:$B,'IS(과거)'!$A:$F,$2:$2,0),0)</f>
        <v>0</v>
      </c>
      <c r="K800" s="207">
        <f>IF(ISNUMBER(VLOOKUP($B:$B,'IS(과거)'!$A:$F,$2:$2,0)),VLOOKUP($B:$B,'IS(과거)'!$A:$F,$2:$2,0),0)</f>
        <v>0</v>
      </c>
      <c r="L800" s="207">
        <f>IF(ISNUMBER(VLOOKUP($B:$B,'IS(과거)'!$A:$F,$2:$2,0)),VLOOKUP($B:$B,'IS(과거)'!$A:$F,$2:$2,0),0)</f>
        <v>0</v>
      </c>
      <c r="N800" s="207">
        <f>IF(ISNUMBER(VLOOKUP($B:$B,'IS(분기)'!$A:$F,$2:$2,0)),VLOOKUP($B:$B,'IS(분기)'!$A:$F,$2:$2,0),0)</f>
        <v>0</v>
      </c>
      <c r="O800" s="207">
        <f>IF(ISNUMBER(VLOOKUP($B:$B,'IS(분기)'!$A:$F,$2:$2,0)),VLOOKUP($B:$B,'IS(분기)'!$A:$F,$2:$2,0),0)</f>
        <v>0</v>
      </c>
      <c r="P800" s="207">
        <f>IF(ISNUMBER(VLOOKUP($B:$B,'IS(분기)'!$A:$F,$2:$2,0)),VLOOKUP($B:$B,'IS(분기)'!$A:$F,$2:$2,0),0)</f>
        <v>0</v>
      </c>
      <c r="Q800" s="207">
        <f>IF(ISNUMBER(VLOOKUP($B:$B,'IS(분기)'!$A:$F,$2:$2,0)),VLOOKUP($B:$B,'IS(분기)'!$A:$F,$2:$2,0),0)</f>
        <v>0</v>
      </c>
      <c r="R800" s="207">
        <f>IF(ISNUMBER(VLOOKUP($B:$B,'IS(분기)'!$A:$F,$2:$2,0)),VLOOKUP($B:$B,'IS(분기)'!$A:$F,$2:$2,0),0)</f>
        <v>0</v>
      </c>
    </row>
    <row r="801" spans="1:18" s="192" customFormat="1" ht="12">
      <c r="A801" s="202">
        <v>121120</v>
      </c>
      <c r="B801" s="195" t="s">
        <v>1356</v>
      </c>
      <c r="C801" s="217">
        <f>IF(ISNUMBER(VLOOKUP($B:$B,IS!$A:$F,$2:$2,0)),VLOOKUP($B:$B,IS!$A:$F,$2:$2,0),0)</f>
        <v>14587129</v>
      </c>
      <c r="D801" s="217">
        <f>IF(ISNUMBER(VLOOKUP($B:$B,IS!$A:$F,$2:$2,0)),VLOOKUP($B:$B,IS!$A:$F,$2:$2,0),0)</f>
        <v>0</v>
      </c>
      <c r="E801" s="217">
        <f>IF(ISNUMBER(VLOOKUP($B:$B,IS!$A:$F,$2:$2,0)),VLOOKUP($B:$B,IS!$A:$F,$2:$2,0),0)</f>
        <v>0</v>
      </c>
      <c r="F801" s="217">
        <f>IF(ISNUMBER(VLOOKUP($B:$B,IS!$A:$F,$2:$2,0)),VLOOKUP($B:$B,IS!$A:$F,$2:$2,0),0)</f>
        <v>0</v>
      </c>
      <c r="G801" s="217">
        <f>IF(ISNUMBER(VLOOKUP($B:$B,IS!$A:$F,$2:$2,0)),VLOOKUP($B:$B,IS!$A:$F,$2:$2,0),0)</f>
        <v>0</v>
      </c>
      <c r="H801" s="207">
        <f>IF(ISNUMBER(VLOOKUP($B:$B,'IS(과거)'!$A:$F,$2:$2,0)),VLOOKUP($B:$B,'IS(과거)'!$A:$F,$2:$2,0),0)</f>
        <v>0</v>
      </c>
      <c r="I801" s="207">
        <f>IF(ISNUMBER(VLOOKUP($B:$B,'IS(과거)'!$A:$F,$2:$2,0)),VLOOKUP($B:$B,'IS(과거)'!$A:$F,$2:$2,0),0)</f>
        <v>0</v>
      </c>
      <c r="J801" s="207">
        <f>IF(ISNUMBER(VLOOKUP($B:$B,'IS(과거)'!$A:$F,$2:$2,0)),VLOOKUP($B:$B,'IS(과거)'!$A:$F,$2:$2,0),0)</f>
        <v>0</v>
      </c>
      <c r="K801" s="207">
        <f>IF(ISNUMBER(VLOOKUP($B:$B,'IS(과거)'!$A:$F,$2:$2,0)),VLOOKUP($B:$B,'IS(과거)'!$A:$F,$2:$2,0),0)</f>
        <v>0</v>
      </c>
      <c r="L801" s="207">
        <f>IF(ISNUMBER(VLOOKUP($B:$B,'IS(과거)'!$A:$F,$2:$2,0)),VLOOKUP($B:$B,'IS(과거)'!$A:$F,$2:$2,0),0)</f>
        <v>0</v>
      </c>
      <c r="N801" s="207">
        <f>IF(ISNUMBER(VLOOKUP($B:$B,'IS(분기)'!$A:$F,$2:$2,0)),VLOOKUP($B:$B,'IS(분기)'!$A:$F,$2:$2,0),0)</f>
        <v>0</v>
      </c>
      <c r="O801" s="207">
        <f>IF(ISNUMBER(VLOOKUP($B:$B,'IS(분기)'!$A:$F,$2:$2,0)),VLOOKUP($B:$B,'IS(분기)'!$A:$F,$2:$2,0),0)</f>
        <v>0</v>
      </c>
      <c r="P801" s="207">
        <f>IF(ISNUMBER(VLOOKUP($B:$B,'IS(분기)'!$A:$F,$2:$2,0)),VLOOKUP($B:$B,'IS(분기)'!$A:$F,$2:$2,0),0)</f>
        <v>0</v>
      </c>
      <c r="Q801" s="207">
        <f>IF(ISNUMBER(VLOOKUP($B:$B,'IS(분기)'!$A:$F,$2:$2,0)),VLOOKUP($B:$B,'IS(분기)'!$A:$F,$2:$2,0),0)</f>
        <v>0</v>
      </c>
      <c r="R801" s="207">
        <f>IF(ISNUMBER(VLOOKUP($B:$B,'IS(분기)'!$A:$F,$2:$2,0)),VLOOKUP($B:$B,'IS(분기)'!$A:$F,$2:$2,0),0)</f>
        <v>0</v>
      </c>
    </row>
    <row r="802" spans="1:18" s="192" customFormat="1" ht="12">
      <c r="A802" s="203">
        <v>121121</v>
      </c>
      <c r="B802" s="196" t="s">
        <v>1353</v>
      </c>
      <c r="C802" s="217">
        <f>IF(ISNUMBER(VLOOKUP($B:$B,IS!$A:$F,$2:$2,0)),VLOOKUP($B:$B,IS!$A:$F,$2:$2,0),0)</f>
        <v>0</v>
      </c>
      <c r="D802" s="217">
        <f>IF(ISNUMBER(VLOOKUP($B:$B,IS!$A:$F,$2:$2,0)),VLOOKUP($B:$B,IS!$A:$F,$2:$2,0),0)</f>
        <v>0</v>
      </c>
      <c r="E802" s="217">
        <f>IF(ISNUMBER(VLOOKUP($B:$B,IS!$A:$F,$2:$2,0)),VLOOKUP($B:$B,IS!$A:$F,$2:$2,0),0)</f>
        <v>0</v>
      </c>
      <c r="F802" s="217">
        <f>IF(ISNUMBER(VLOOKUP($B:$B,IS!$A:$F,$2:$2,0)),VLOOKUP($B:$B,IS!$A:$F,$2:$2,0),0)</f>
        <v>0</v>
      </c>
      <c r="G802" s="217">
        <f>IF(ISNUMBER(VLOOKUP($B:$B,IS!$A:$F,$2:$2,0)),VLOOKUP($B:$B,IS!$A:$F,$2:$2,0),0)</f>
        <v>0</v>
      </c>
      <c r="H802" s="207">
        <f>IF(ISNUMBER(VLOOKUP($B:$B,'IS(과거)'!$A:$F,$2:$2,0)),VLOOKUP($B:$B,'IS(과거)'!$A:$F,$2:$2,0),0)</f>
        <v>0</v>
      </c>
      <c r="I802" s="207">
        <f>IF(ISNUMBER(VLOOKUP($B:$B,'IS(과거)'!$A:$F,$2:$2,0)),VLOOKUP($B:$B,'IS(과거)'!$A:$F,$2:$2,0),0)</f>
        <v>0</v>
      </c>
      <c r="J802" s="207">
        <f>IF(ISNUMBER(VLOOKUP($B:$B,'IS(과거)'!$A:$F,$2:$2,0)),VLOOKUP($B:$B,'IS(과거)'!$A:$F,$2:$2,0),0)</f>
        <v>0</v>
      </c>
      <c r="K802" s="207">
        <f>IF(ISNUMBER(VLOOKUP($B:$B,'IS(과거)'!$A:$F,$2:$2,0)),VLOOKUP($B:$B,'IS(과거)'!$A:$F,$2:$2,0),0)</f>
        <v>0</v>
      </c>
      <c r="L802" s="207">
        <f>IF(ISNUMBER(VLOOKUP($B:$B,'IS(과거)'!$A:$F,$2:$2,0)),VLOOKUP($B:$B,'IS(과거)'!$A:$F,$2:$2,0),0)</f>
        <v>0</v>
      </c>
      <c r="N802" s="207">
        <f>IF(ISNUMBER(VLOOKUP($B:$B,'IS(분기)'!$A:$F,$2:$2,0)),VLOOKUP($B:$B,'IS(분기)'!$A:$F,$2:$2,0),0)</f>
        <v>0</v>
      </c>
      <c r="O802" s="207">
        <f>IF(ISNUMBER(VLOOKUP($B:$B,'IS(분기)'!$A:$F,$2:$2,0)),VLOOKUP($B:$B,'IS(분기)'!$A:$F,$2:$2,0),0)</f>
        <v>0</v>
      </c>
      <c r="P802" s="207">
        <f>IF(ISNUMBER(VLOOKUP($B:$B,'IS(분기)'!$A:$F,$2:$2,0)),VLOOKUP($B:$B,'IS(분기)'!$A:$F,$2:$2,0),0)</f>
        <v>0</v>
      </c>
      <c r="Q802" s="207">
        <f>IF(ISNUMBER(VLOOKUP($B:$B,'IS(분기)'!$A:$F,$2:$2,0)),VLOOKUP($B:$B,'IS(분기)'!$A:$F,$2:$2,0),0)</f>
        <v>0</v>
      </c>
      <c r="R802" s="207">
        <f>IF(ISNUMBER(VLOOKUP($B:$B,'IS(분기)'!$A:$F,$2:$2,0)),VLOOKUP($B:$B,'IS(분기)'!$A:$F,$2:$2,0),0)</f>
        <v>0</v>
      </c>
    </row>
    <row r="803" spans="1:18" s="192" customFormat="1" ht="12">
      <c r="A803" s="203">
        <v>121122</v>
      </c>
      <c r="B803" s="196" t="s">
        <v>1354</v>
      </c>
      <c r="C803" s="217">
        <f>IF(ISNUMBER(VLOOKUP($B:$B,IS!$A:$F,$2:$2,0)),VLOOKUP($B:$B,IS!$A:$F,$2:$2,0),0)</f>
        <v>0</v>
      </c>
      <c r="D803" s="217">
        <f>IF(ISNUMBER(VLOOKUP($B:$B,IS!$A:$F,$2:$2,0)),VLOOKUP($B:$B,IS!$A:$F,$2:$2,0),0)</f>
        <v>0</v>
      </c>
      <c r="E803" s="217">
        <f>IF(ISNUMBER(VLOOKUP($B:$B,IS!$A:$F,$2:$2,0)),VLOOKUP($B:$B,IS!$A:$F,$2:$2,0),0)</f>
        <v>0</v>
      </c>
      <c r="F803" s="217">
        <f>IF(ISNUMBER(VLOOKUP($B:$B,IS!$A:$F,$2:$2,0)),VLOOKUP($B:$B,IS!$A:$F,$2:$2,0),0)</f>
        <v>0</v>
      </c>
      <c r="G803" s="217">
        <f>IF(ISNUMBER(VLOOKUP($B:$B,IS!$A:$F,$2:$2,0)),VLOOKUP($B:$B,IS!$A:$F,$2:$2,0),0)</f>
        <v>0</v>
      </c>
      <c r="H803" s="207">
        <f>IF(ISNUMBER(VLOOKUP($B:$B,'IS(과거)'!$A:$F,$2:$2,0)),VLOOKUP($B:$B,'IS(과거)'!$A:$F,$2:$2,0),0)</f>
        <v>0</v>
      </c>
      <c r="I803" s="207">
        <f>IF(ISNUMBER(VLOOKUP($B:$B,'IS(과거)'!$A:$F,$2:$2,0)),VLOOKUP($B:$B,'IS(과거)'!$A:$F,$2:$2,0),0)</f>
        <v>0</v>
      </c>
      <c r="J803" s="207">
        <f>IF(ISNUMBER(VLOOKUP($B:$B,'IS(과거)'!$A:$F,$2:$2,0)),VLOOKUP($B:$B,'IS(과거)'!$A:$F,$2:$2,0),0)</f>
        <v>0</v>
      </c>
      <c r="K803" s="207">
        <f>IF(ISNUMBER(VLOOKUP($B:$B,'IS(과거)'!$A:$F,$2:$2,0)),VLOOKUP($B:$B,'IS(과거)'!$A:$F,$2:$2,0),0)</f>
        <v>0</v>
      </c>
      <c r="L803" s="207">
        <f>IF(ISNUMBER(VLOOKUP($B:$B,'IS(과거)'!$A:$F,$2:$2,0)),VLOOKUP($B:$B,'IS(과거)'!$A:$F,$2:$2,0),0)</f>
        <v>0</v>
      </c>
      <c r="N803" s="207">
        <f>IF(ISNUMBER(VLOOKUP($B:$B,'IS(분기)'!$A:$F,$2:$2,0)),VLOOKUP($B:$B,'IS(분기)'!$A:$F,$2:$2,0),0)</f>
        <v>0</v>
      </c>
      <c r="O803" s="207">
        <f>IF(ISNUMBER(VLOOKUP($B:$B,'IS(분기)'!$A:$F,$2:$2,0)),VLOOKUP($B:$B,'IS(분기)'!$A:$F,$2:$2,0),0)</f>
        <v>0</v>
      </c>
      <c r="P803" s="207">
        <f>IF(ISNUMBER(VLOOKUP($B:$B,'IS(분기)'!$A:$F,$2:$2,0)),VLOOKUP($B:$B,'IS(분기)'!$A:$F,$2:$2,0),0)</f>
        <v>0</v>
      </c>
      <c r="Q803" s="207">
        <f>IF(ISNUMBER(VLOOKUP($B:$B,'IS(분기)'!$A:$F,$2:$2,0)),VLOOKUP($B:$B,'IS(분기)'!$A:$F,$2:$2,0),0)</f>
        <v>0</v>
      </c>
      <c r="R803" s="207">
        <f>IF(ISNUMBER(VLOOKUP($B:$B,'IS(분기)'!$A:$F,$2:$2,0)),VLOOKUP($B:$B,'IS(분기)'!$A:$F,$2:$2,0),0)</f>
        <v>0</v>
      </c>
    </row>
    <row r="804" spans="1:18" s="192" customFormat="1" ht="12">
      <c r="A804" s="203">
        <v>121128</v>
      </c>
      <c r="B804" s="196" t="s">
        <v>1355</v>
      </c>
      <c r="C804" s="217">
        <f>IF(ISNUMBER(VLOOKUP($B:$B,IS!$A:$F,$2:$2,0)),VLOOKUP($B:$B,IS!$A:$F,$2:$2,0),0)</f>
        <v>0</v>
      </c>
      <c r="D804" s="217">
        <f>IF(ISNUMBER(VLOOKUP($B:$B,IS!$A:$F,$2:$2,0)),VLOOKUP($B:$B,IS!$A:$F,$2:$2,0),0)</f>
        <v>0</v>
      </c>
      <c r="E804" s="217">
        <f>IF(ISNUMBER(VLOOKUP($B:$B,IS!$A:$F,$2:$2,0)),VLOOKUP($B:$B,IS!$A:$F,$2:$2,0),0)</f>
        <v>0</v>
      </c>
      <c r="F804" s="217">
        <f>IF(ISNUMBER(VLOOKUP($B:$B,IS!$A:$F,$2:$2,0)),VLOOKUP($B:$B,IS!$A:$F,$2:$2,0),0)</f>
        <v>0</v>
      </c>
      <c r="G804" s="217">
        <f>IF(ISNUMBER(VLOOKUP($B:$B,IS!$A:$F,$2:$2,0)),VLOOKUP($B:$B,IS!$A:$F,$2:$2,0),0)</f>
        <v>0</v>
      </c>
      <c r="H804" s="207">
        <f>IF(ISNUMBER(VLOOKUP($B:$B,'IS(과거)'!$A:$F,$2:$2,0)),VLOOKUP($B:$B,'IS(과거)'!$A:$F,$2:$2,0),0)</f>
        <v>0</v>
      </c>
      <c r="I804" s="207">
        <f>IF(ISNUMBER(VLOOKUP($B:$B,'IS(과거)'!$A:$F,$2:$2,0)),VLOOKUP($B:$B,'IS(과거)'!$A:$F,$2:$2,0),0)</f>
        <v>0</v>
      </c>
      <c r="J804" s="207">
        <f>IF(ISNUMBER(VLOOKUP($B:$B,'IS(과거)'!$A:$F,$2:$2,0)),VLOOKUP($B:$B,'IS(과거)'!$A:$F,$2:$2,0),0)</f>
        <v>0</v>
      </c>
      <c r="K804" s="207">
        <f>IF(ISNUMBER(VLOOKUP($B:$B,'IS(과거)'!$A:$F,$2:$2,0)),VLOOKUP($B:$B,'IS(과거)'!$A:$F,$2:$2,0),0)</f>
        <v>0</v>
      </c>
      <c r="L804" s="207">
        <f>IF(ISNUMBER(VLOOKUP($B:$B,'IS(과거)'!$A:$F,$2:$2,0)),VLOOKUP($B:$B,'IS(과거)'!$A:$F,$2:$2,0),0)</f>
        <v>0</v>
      </c>
      <c r="N804" s="207">
        <f>IF(ISNUMBER(VLOOKUP($B:$B,'IS(분기)'!$A:$F,$2:$2,0)),VLOOKUP($B:$B,'IS(분기)'!$A:$F,$2:$2,0),0)</f>
        <v>0</v>
      </c>
      <c r="O804" s="207">
        <f>IF(ISNUMBER(VLOOKUP($B:$B,'IS(분기)'!$A:$F,$2:$2,0)),VLOOKUP($B:$B,'IS(분기)'!$A:$F,$2:$2,0),0)</f>
        <v>0</v>
      </c>
      <c r="P804" s="207">
        <f>IF(ISNUMBER(VLOOKUP($B:$B,'IS(분기)'!$A:$F,$2:$2,0)),VLOOKUP($B:$B,'IS(분기)'!$A:$F,$2:$2,0),0)</f>
        <v>0</v>
      </c>
      <c r="Q804" s="207">
        <f>IF(ISNUMBER(VLOOKUP($B:$B,'IS(분기)'!$A:$F,$2:$2,0)),VLOOKUP($B:$B,'IS(분기)'!$A:$F,$2:$2,0),0)</f>
        <v>0</v>
      </c>
      <c r="R804" s="207">
        <f>IF(ISNUMBER(VLOOKUP($B:$B,'IS(분기)'!$A:$F,$2:$2,0)),VLOOKUP($B:$B,'IS(분기)'!$A:$F,$2:$2,0),0)</f>
        <v>0</v>
      </c>
    </row>
    <row r="805" spans="1:18" s="192" customFormat="1" ht="12">
      <c r="A805" s="202">
        <v>121140</v>
      </c>
      <c r="B805" s="195" t="s">
        <v>1357</v>
      </c>
      <c r="C805" s="217">
        <f>IF(ISNUMBER(VLOOKUP($B:$B,IS!$A:$F,$2:$2,0)),VLOOKUP($B:$B,IS!$A:$F,$2:$2,0),0)</f>
        <v>0</v>
      </c>
      <c r="D805" s="217">
        <f>IF(ISNUMBER(VLOOKUP($B:$B,IS!$A:$F,$2:$2,0)),VLOOKUP($B:$B,IS!$A:$F,$2:$2,0),0)</f>
        <v>0</v>
      </c>
      <c r="E805" s="217">
        <f>IF(ISNUMBER(VLOOKUP($B:$B,IS!$A:$F,$2:$2,0)),VLOOKUP($B:$B,IS!$A:$F,$2:$2,0),0)</f>
        <v>0</v>
      </c>
      <c r="F805" s="217">
        <f>IF(ISNUMBER(VLOOKUP($B:$B,IS!$A:$F,$2:$2,0)),VLOOKUP($B:$B,IS!$A:$F,$2:$2,0),0)</f>
        <v>0</v>
      </c>
      <c r="G805" s="217">
        <f>IF(ISNUMBER(VLOOKUP($B:$B,IS!$A:$F,$2:$2,0)),VLOOKUP($B:$B,IS!$A:$F,$2:$2,0),0)</f>
        <v>0</v>
      </c>
      <c r="H805" s="207">
        <f>IF(ISNUMBER(VLOOKUP($B:$B,'IS(과거)'!$A:$F,$2:$2,0)),VLOOKUP($B:$B,'IS(과거)'!$A:$F,$2:$2,0),0)</f>
        <v>0</v>
      </c>
      <c r="I805" s="207">
        <f>IF(ISNUMBER(VLOOKUP($B:$B,'IS(과거)'!$A:$F,$2:$2,0)),VLOOKUP($B:$B,'IS(과거)'!$A:$F,$2:$2,0),0)</f>
        <v>0</v>
      </c>
      <c r="J805" s="207">
        <f>IF(ISNUMBER(VLOOKUP($B:$B,'IS(과거)'!$A:$F,$2:$2,0)),VLOOKUP($B:$B,'IS(과거)'!$A:$F,$2:$2,0),0)</f>
        <v>0</v>
      </c>
      <c r="K805" s="207">
        <f>IF(ISNUMBER(VLOOKUP($B:$B,'IS(과거)'!$A:$F,$2:$2,0)),VLOOKUP($B:$B,'IS(과거)'!$A:$F,$2:$2,0),0)</f>
        <v>0</v>
      </c>
      <c r="L805" s="207">
        <f>IF(ISNUMBER(VLOOKUP($B:$B,'IS(과거)'!$A:$F,$2:$2,0)),VLOOKUP($B:$B,'IS(과거)'!$A:$F,$2:$2,0),0)</f>
        <v>0</v>
      </c>
      <c r="N805" s="207">
        <f>IF(ISNUMBER(VLOOKUP($B:$B,'IS(분기)'!$A:$F,$2:$2,0)),VLOOKUP($B:$B,'IS(분기)'!$A:$F,$2:$2,0),0)</f>
        <v>0</v>
      </c>
      <c r="O805" s="207">
        <f>IF(ISNUMBER(VLOOKUP($B:$B,'IS(분기)'!$A:$F,$2:$2,0)),VLOOKUP($B:$B,'IS(분기)'!$A:$F,$2:$2,0),0)</f>
        <v>0</v>
      </c>
      <c r="P805" s="207">
        <f>IF(ISNUMBER(VLOOKUP($B:$B,'IS(분기)'!$A:$F,$2:$2,0)),VLOOKUP($B:$B,'IS(분기)'!$A:$F,$2:$2,0),0)</f>
        <v>0</v>
      </c>
      <c r="Q805" s="207">
        <f>IF(ISNUMBER(VLOOKUP($B:$B,'IS(분기)'!$A:$F,$2:$2,0)),VLOOKUP($B:$B,'IS(분기)'!$A:$F,$2:$2,0),0)</f>
        <v>0</v>
      </c>
      <c r="R805" s="207">
        <f>IF(ISNUMBER(VLOOKUP($B:$B,'IS(분기)'!$A:$F,$2:$2,0)),VLOOKUP($B:$B,'IS(분기)'!$A:$F,$2:$2,0),0)</f>
        <v>0</v>
      </c>
    </row>
    <row r="806" spans="1:18" s="192" customFormat="1" ht="12">
      <c r="A806" s="202">
        <v>121150</v>
      </c>
      <c r="B806" s="195" t="s">
        <v>1358</v>
      </c>
      <c r="C806" s="217">
        <f>IF(ISNUMBER(VLOOKUP($B:$B,IS!$A:$F,$2:$2,0)),VLOOKUP($B:$B,IS!$A:$F,$2:$2,0),0)</f>
        <v>0</v>
      </c>
      <c r="D806" s="217">
        <f>IF(ISNUMBER(VLOOKUP($B:$B,IS!$A:$F,$2:$2,0)),VLOOKUP($B:$B,IS!$A:$F,$2:$2,0),0)</f>
        <v>0</v>
      </c>
      <c r="E806" s="217">
        <f>IF(ISNUMBER(VLOOKUP($B:$B,IS!$A:$F,$2:$2,0)),VLOOKUP($B:$B,IS!$A:$F,$2:$2,0),0)</f>
        <v>0</v>
      </c>
      <c r="F806" s="217">
        <f>IF(ISNUMBER(VLOOKUP($B:$B,IS!$A:$F,$2:$2,0)),VLOOKUP($B:$B,IS!$A:$F,$2:$2,0),0)</f>
        <v>0</v>
      </c>
      <c r="G806" s="217">
        <f>IF(ISNUMBER(VLOOKUP($B:$B,IS!$A:$F,$2:$2,0)),VLOOKUP($B:$B,IS!$A:$F,$2:$2,0),0)</f>
        <v>0</v>
      </c>
      <c r="H806" s="207">
        <f>IF(ISNUMBER(VLOOKUP($B:$B,'IS(과거)'!$A:$F,$2:$2,0)),VLOOKUP($B:$B,'IS(과거)'!$A:$F,$2:$2,0),0)</f>
        <v>0</v>
      </c>
      <c r="I806" s="207">
        <f>IF(ISNUMBER(VLOOKUP($B:$B,'IS(과거)'!$A:$F,$2:$2,0)),VLOOKUP($B:$B,'IS(과거)'!$A:$F,$2:$2,0),0)</f>
        <v>0</v>
      </c>
      <c r="J806" s="207">
        <f>IF(ISNUMBER(VLOOKUP($B:$B,'IS(과거)'!$A:$F,$2:$2,0)),VLOOKUP($B:$B,'IS(과거)'!$A:$F,$2:$2,0),0)</f>
        <v>0</v>
      </c>
      <c r="K806" s="207">
        <f>IF(ISNUMBER(VLOOKUP($B:$B,'IS(과거)'!$A:$F,$2:$2,0)),VLOOKUP($B:$B,'IS(과거)'!$A:$F,$2:$2,0),0)</f>
        <v>0</v>
      </c>
      <c r="L806" s="207">
        <f>IF(ISNUMBER(VLOOKUP($B:$B,'IS(과거)'!$A:$F,$2:$2,0)),VLOOKUP($B:$B,'IS(과거)'!$A:$F,$2:$2,0),0)</f>
        <v>0</v>
      </c>
      <c r="N806" s="207">
        <f>IF(ISNUMBER(VLOOKUP($B:$B,'IS(분기)'!$A:$F,$2:$2,0)),VLOOKUP($B:$B,'IS(분기)'!$A:$F,$2:$2,0),0)</f>
        <v>0</v>
      </c>
      <c r="O806" s="207">
        <f>IF(ISNUMBER(VLOOKUP($B:$B,'IS(분기)'!$A:$F,$2:$2,0)),VLOOKUP($B:$B,'IS(분기)'!$A:$F,$2:$2,0),0)</f>
        <v>0</v>
      </c>
      <c r="P806" s="207">
        <f>IF(ISNUMBER(VLOOKUP($B:$B,'IS(분기)'!$A:$F,$2:$2,0)),VLOOKUP($B:$B,'IS(분기)'!$A:$F,$2:$2,0),0)</f>
        <v>0</v>
      </c>
      <c r="Q806" s="207">
        <f>IF(ISNUMBER(VLOOKUP($B:$B,'IS(분기)'!$A:$F,$2:$2,0)),VLOOKUP($B:$B,'IS(분기)'!$A:$F,$2:$2,0),0)</f>
        <v>0</v>
      </c>
      <c r="R806" s="207">
        <f>IF(ISNUMBER(VLOOKUP($B:$B,'IS(분기)'!$A:$F,$2:$2,0)),VLOOKUP($B:$B,'IS(분기)'!$A:$F,$2:$2,0),0)</f>
        <v>0</v>
      </c>
    </row>
    <row r="807" spans="1:18" s="192" customFormat="1" ht="12">
      <c r="A807" s="202">
        <v>121160</v>
      </c>
      <c r="B807" s="195" t="s">
        <v>1359</v>
      </c>
      <c r="C807" s="217">
        <f>IF(ISNUMBER(VLOOKUP($B:$B,IS!$A:$F,$2:$2,0)),VLOOKUP($B:$B,IS!$A:$F,$2:$2,0),0)</f>
        <v>0</v>
      </c>
      <c r="D807" s="217">
        <f>IF(ISNUMBER(VLOOKUP($B:$B,IS!$A:$F,$2:$2,0)),VLOOKUP($B:$B,IS!$A:$F,$2:$2,0),0)</f>
        <v>0</v>
      </c>
      <c r="E807" s="217">
        <f>IF(ISNUMBER(VLOOKUP($B:$B,IS!$A:$F,$2:$2,0)),VLOOKUP($B:$B,IS!$A:$F,$2:$2,0),0)</f>
        <v>0</v>
      </c>
      <c r="F807" s="217">
        <f>IF(ISNUMBER(VLOOKUP($B:$B,IS!$A:$F,$2:$2,0)),VLOOKUP($B:$B,IS!$A:$F,$2:$2,0),0)</f>
        <v>0</v>
      </c>
      <c r="G807" s="217">
        <f>IF(ISNUMBER(VLOOKUP($B:$B,IS!$A:$F,$2:$2,0)),VLOOKUP($B:$B,IS!$A:$F,$2:$2,0),0)</f>
        <v>0</v>
      </c>
      <c r="H807" s="207">
        <f>IF(ISNUMBER(VLOOKUP($B:$B,'IS(과거)'!$A:$F,$2:$2,0)),VLOOKUP($B:$B,'IS(과거)'!$A:$F,$2:$2,0),0)</f>
        <v>0</v>
      </c>
      <c r="I807" s="207">
        <f>IF(ISNUMBER(VLOOKUP($B:$B,'IS(과거)'!$A:$F,$2:$2,0)),VLOOKUP($B:$B,'IS(과거)'!$A:$F,$2:$2,0),0)</f>
        <v>0</v>
      </c>
      <c r="J807" s="207">
        <f>IF(ISNUMBER(VLOOKUP($B:$B,'IS(과거)'!$A:$F,$2:$2,0)),VLOOKUP($B:$B,'IS(과거)'!$A:$F,$2:$2,0),0)</f>
        <v>0</v>
      </c>
      <c r="K807" s="207">
        <f>IF(ISNUMBER(VLOOKUP($B:$B,'IS(과거)'!$A:$F,$2:$2,0)),VLOOKUP($B:$B,'IS(과거)'!$A:$F,$2:$2,0),0)</f>
        <v>0</v>
      </c>
      <c r="L807" s="207">
        <f>IF(ISNUMBER(VLOOKUP($B:$B,'IS(과거)'!$A:$F,$2:$2,0)),VLOOKUP($B:$B,'IS(과거)'!$A:$F,$2:$2,0),0)</f>
        <v>0</v>
      </c>
      <c r="N807" s="207">
        <f>IF(ISNUMBER(VLOOKUP($B:$B,'IS(분기)'!$A:$F,$2:$2,0)),VLOOKUP($B:$B,'IS(분기)'!$A:$F,$2:$2,0),0)</f>
        <v>0</v>
      </c>
      <c r="O807" s="207">
        <f>IF(ISNUMBER(VLOOKUP($B:$B,'IS(분기)'!$A:$F,$2:$2,0)),VLOOKUP($B:$B,'IS(분기)'!$A:$F,$2:$2,0),0)</f>
        <v>0</v>
      </c>
      <c r="P807" s="207">
        <f>IF(ISNUMBER(VLOOKUP($B:$B,'IS(분기)'!$A:$F,$2:$2,0)),VLOOKUP($B:$B,'IS(분기)'!$A:$F,$2:$2,0),0)</f>
        <v>0</v>
      </c>
      <c r="Q807" s="207">
        <f>IF(ISNUMBER(VLOOKUP($B:$B,'IS(분기)'!$A:$F,$2:$2,0)),VLOOKUP($B:$B,'IS(분기)'!$A:$F,$2:$2,0),0)</f>
        <v>0</v>
      </c>
      <c r="R807" s="207">
        <f>IF(ISNUMBER(VLOOKUP($B:$B,'IS(분기)'!$A:$F,$2:$2,0)),VLOOKUP($B:$B,'IS(분기)'!$A:$F,$2:$2,0),0)</f>
        <v>0</v>
      </c>
    </row>
    <row r="808" spans="1:18" s="192" customFormat="1" ht="12">
      <c r="A808" s="202">
        <v>121170</v>
      </c>
      <c r="B808" s="195" t="s">
        <v>1360</v>
      </c>
      <c r="C808" s="217">
        <f>IF(ISNUMBER(VLOOKUP($B:$B,IS!$A:$F,$2:$2,0)),VLOOKUP($B:$B,IS!$A:$F,$2:$2,0),0)</f>
        <v>0</v>
      </c>
      <c r="D808" s="217">
        <f>IF(ISNUMBER(VLOOKUP($B:$B,IS!$A:$F,$2:$2,0)),VLOOKUP($B:$B,IS!$A:$F,$2:$2,0),0)</f>
        <v>0</v>
      </c>
      <c r="E808" s="217">
        <f>IF(ISNUMBER(VLOOKUP($B:$B,IS!$A:$F,$2:$2,0)),VLOOKUP($B:$B,IS!$A:$F,$2:$2,0),0)</f>
        <v>0</v>
      </c>
      <c r="F808" s="217">
        <f>IF(ISNUMBER(VLOOKUP($B:$B,IS!$A:$F,$2:$2,0)),VLOOKUP($B:$B,IS!$A:$F,$2:$2,0),0)</f>
        <v>0</v>
      </c>
      <c r="G808" s="217">
        <f>IF(ISNUMBER(VLOOKUP($B:$B,IS!$A:$F,$2:$2,0)),VLOOKUP($B:$B,IS!$A:$F,$2:$2,0),0)</f>
        <v>0</v>
      </c>
      <c r="H808" s="207">
        <f>IF(ISNUMBER(VLOOKUP($B:$B,'IS(과거)'!$A:$F,$2:$2,0)),VLOOKUP($B:$B,'IS(과거)'!$A:$F,$2:$2,0),0)</f>
        <v>0</v>
      </c>
      <c r="I808" s="207">
        <f>IF(ISNUMBER(VLOOKUP($B:$B,'IS(과거)'!$A:$F,$2:$2,0)),VLOOKUP($B:$B,'IS(과거)'!$A:$F,$2:$2,0),0)</f>
        <v>0</v>
      </c>
      <c r="J808" s="207">
        <f>IF(ISNUMBER(VLOOKUP($B:$B,'IS(과거)'!$A:$F,$2:$2,0)),VLOOKUP($B:$B,'IS(과거)'!$A:$F,$2:$2,0),0)</f>
        <v>0</v>
      </c>
      <c r="K808" s="207">
        <f>IF(ISNUMBER(VLOOKUP($B:$B,'IS(과거)'!$A:$F,$2:$2,0)),VLOOKUP($B:$B,'IS(과거)'!$A:$F,$2:$2,0),0)</f>
        <v>0</v>
      </c>
      <c r="L808" s="207">
        <f>IF(ISNUMBER(VLOOKUP($B:$B,'IS(과거)'!$A:$F,$2:$2,0)),VLOOKUP($B:$B,'IS(과거)'!$A:$F,$2:$2,0),0)</f>
        <v>0</v>
      </c>
      <c r="N808" s="207">
        <f>IF(ISNUMBER(VLOOKUP($B:$B,'IS(분기)'!$A:$F,$2:$2,0)),VLOOKUP($B:$B,'IS(분기)'!$A:$F,$2:$2,0),0)</f>
        <v>0</v>
      </c>
      <c r="O808" s="207">
        <f>IF(ISNUMBER(VLOOKUP($B:$B,'IS(분기)'!$A:$F,$2:$2,0)),VLOOKUP($B:$B,'IS(분기)'!$A:$F,$2:$2,0),0)</f>
        <v>0</v>
      </c>
      <c r="P808" s="207">
        <f>IF(ISNUMBER(VLOOKUP($B:$B,'IS(분기)'!$A:$F,$2:$2,0)),VLOOKUP($B:$B,'IS(분기)'!$A:$F,$2:$2,0),0)</f>
        <v>0</v>
      </c>
      <c r="Q808" s="207">
        <f>IF(ISNUMBER(VLOOKUP($B:$B,'IS(분기)'!$A:$F,$2:$2,0)),VLOOKUP($B:$B,'IS(분기)'!$A:$F,$2:$2,0),0)</f>
        <v>0</v>
      </c>
      <c r="R808" s="207">
        <f>IF(ISNUMBER(VLOOKUP($B:$B,'IS(분기)'!$A:$F,$2:$2,0)),VLOOKUP($B:$B,'IS(분기)'!$A:$F,$2:$2,0),0)</f>
        <v>0</v>
      </c>
    </row>
    <row r="809" spans="1:18" s="192" customFormat="1" ht="12">
      <c r="A809" s="202">
        <v>121171</v>
      </c>
      <c r="B809" s="195" t="s">
        <v>1361</v>
      </c>
      <c r="C809" s="217">
        <f>IF(ISNUMBER(VLOOKUP($B:$B,IS!$A:$F,$2:$2,0)),VLOOKUP($B:$B,IS!$A:$F,$2:$2,0),0)</f>
        <v>0</v>
      </c>
      <c r="D809" s="217">
        <f>IF(ISNUMBER(VLOOKUP($B:$B,IS!$A:$F,$2:$2,0)),VLOOKUP($B:$B,IS!$A:$F,$2:$2,0),0)</f>
        <v>0</v>
      </c>
      <c r="E809" s="217">
        <f>IF(ISNUMBER(VLOOKUP($B:$B,IS!$A:$F,$2:$2,0)),VLOOKUP($B:$B,IS!$A:$F,$2:$2,0),0)</f>
        <v>0</v>
      </c>
      <c r="F809" s="217">
        <f>IF(ISNUMBER(VLOOKUP($B:$B,IS!$A:$F,$2:$2,0)),VLOOKUP($B:$B,IS!$A:$F,$2:$2,0),0)</f>
        <v>0</v>
      </c>
      <c r="G809" s="217">
        <f>IF(ISNUMBER(VLOOKUP($B:$B,IS!$A:$F,$2:$2,0)),VLOOKUP($B:$B,IS!$A:$F,$2:$2,0),0)</f>
        <v>0</v>
      </c>
      <c r="H809" s="207">
        <f>IF(ISNUMBER(VLOOKUP($B:$B,'IS(과거)'!$A:$F,$2:$2,0)),VLOOKUP($B:$B,'IS(과거)'!$A:$F,$2:$2,0),0)</f>
        <v>0</v>
      </c>
      <c r="I809" s="207">
        <f>IF(ISNUMBER(VLOOKUP($B:$B,'IS(과거)'!$A:$F,$2:$2,0)),VLOOKUP($B:$B,'IS(과거)'!$A:$F,$2:$2,0),0)</f>
        <v>0</v>
      </c>
      <c r="J809" s="207">
        <f>IF(ISNUMBER(VLOOKUP($B:$B,'IS(과거)'!$A:$F,$2:$2,0)),VLOOKUP($B:$B,'IS(과거)'!$A:$F,$2:$2,0),0)</f>
        <v>0</v>
      </c>
      <c r="K809" s="207">
        <f>IF(ISNUMBER(VLOOKUP($B:$B,'IS(과거)'!$A:$F,$2:$2,0)),VLOOKUP($B:$B,'IS(과거)'!$A:$F,$2:$2,0),0)</f>
        <v>0</v>
      </c>
      <c r="L809" s="207">
        <f>IF(ISNUMBER(VLOOKUP($B:$B,'IS(과거)'!$A:$F,$2:$2,0)),VLOOKUP($B:$B,'IS(과거)'!$A:$F,$2:$2,0),0)</f>
        <v>0</v>
      </c>
      <c r="N809" s="207">
        <f>IF(ISNUMBER(VLOOKUP($B:$B,'IS(분기)'!$A:$F,$2:$2,0)),VLOOKUP($B:$B,'IS(분기)'!$A:$F,$2:$2,0),0)</f>
        <v>0</v>
      </c>
      <c r="O809" s="207">
        <f>IF(ISNUMBER(VLOOKUP($B:$B,'IS(분기)'!$A:$F,$2:$2,0)),VLOOKUP($B:$B,'IS(분기)'!$A:$F,$2:$2,0),0)</f>
        <v>0</v>
      </c>
      <c r="P809" s="207">
        <f>IF(ISNUMBER(VLOOKUP($B:$B,'IS(분기)'!$A:$F,$2:$2,0)),VLOOKUP($B:$B,'IS(분기)'!$A:$F,$2:$2,0),0)</f>
        <v>0</v>
      </c>
      <c r="Q809" s="207">
        <f>IF(ISNUMBER(VLOOKUP($B:$B,'IS(분기)'!$A:$F,$2:$2,0)),VLOOKUP($B:$B,'IS(분기)'!$A:$F,$2:$2,0),0)</f>
        <v>0</v>
      </c>
      <c r="R809" s="207">
        <f>IF(ISNUMBER(VLOOKUP($B:$B,'IS(분기)'!$A:$F,$2:$2,0)),VLOOKUP($B:$B,'IS(분기)'!$A:$F,$2:$2,0),0)</f>
        <v>0</v>
      </c>
    </row>
    <row r="810" spans="1:18" s="192" customFormat="1" ht="12">
      <c r="A810" s="202">
        <v>121172</v>
      </c>
      <c r="B810" s="195" t="s">
        <v>1362</v>
      </c>
      <c r="C810" s="217">
        <f>IF(ISNUMBER(VLOOKUP($B:$B,IS!$A:$F,$2:$2,0)),VLOOKUP($B:$B,IS!$A:$F,$2:$2,0),0)</f>
        <v>0</v>
      </c>
      <c r="D810" s="217">
        <f>IF(ISNUMBER(VLOOKUP($B:$B,IS!$A:$F,$2:$2,0)),VLOOKUP($B:$B,IS!$A:$F,$2:$2,0),0)</f>
        <v>0</v>
      </c>
      <c r="E810" s="217">
        <f>IF(ISNUMBER(VLOOKUP($B:$B,IS!$A:$F,$2:$2,0)),VLOOKUP($B:$B,IS!$A:$F,$2:$2,0),0)</f>
        <v>0</v>
      </c>
      <c r="F810" s="217">
        <f>IF(ISNUMBER(VLOOKUP($B:$B,IS!$A:$F,$2:$2,0)),VLOOKUP($B:$B,IS!$A:$F,$2:$2,0),0)</f>
        <v>0</v>
      </c>
      <c r="G810" s="217">
        <f>IF(ISNUMBER(VLOOKUP($B:$B,IS!$A:$F,$2:$2,0)),VLOOKUP($B:$B,IS!$A:$F,$2:$2,0),0)</f>
        <v>0</v>
      </c>
      <c r="H810" s="207">
        <f>IF(ISNUMBER(VLOOKUP($B:$B,'IS(과거)'!$A:$F,$2:$2,0)),VLOOKUP($B:$B,'IS(과거)'!$A:$F,$2:$2,0),0)</f>
        <v>0</v>
      </c>
      <c r="I810" s="207">
        <f>IF(ISNUMBER(VLOOKUP($B:$B,'IS(과거)'!$A:$F,$2:$2,0)),VLOOKUP($B:$B,'IS(과거)'!$A:$F,$2:$2,0),0)</f>
        <v>0</v>
      </c>
      <c r="J810" s="207">
        <f>IF(ISNUMBER(VLOOKUP($B:$B,'IS(과거)'!$A:$F,$2:$2,0)),VLOOKUP($B:$B,'IS(과거)'!$A:$F,$2:$2,0),0)</f>
        <v>0</v>
      </c>
      <c r="K810" s="207">
        <f>IF(ISNUMBER(VLOOKUP($B:$B,'IS(과거)'!$A:$F,$2:$2,0)),VLOOKUP($B:$B,'IS(과거)'!$A:$F,$2:$2,0),0)</f>
        <v>0</v>
      </c>
      <c r="L810" s="207">
        <f>IF(ISNUMBER(VLOOKUP($B:$B,'IS(과거)'!$A:$F,$2:$2,0)),VLOOKUP($B:$B,'IS(과거)'!$A:$F,$2:$2,0),0)</f>
        <v>0</v>
      </c>
      <c r="N810" s="207">
        <f>IF(ISNUMBER(VLOOKUP($B:$B,'IS(분기)'!$A:$F,$2:$2,0)),VLOOKUP($B:$B,'IS(분기)'!$A:$F,$2:$2,0),0)</f>
        <v>0</v>
      </c>
      <c r="O810" s="207">
        <f>IF(ISNUMBER(VLOOKUP($B:$B,'IS(분기)'!$A:$F,$2:$2,0)),VLOOKUP($B:$B,'IS(분기)'!$A:$F,$2:$2,0),0)</f>
        <v>0</v>
      </c>
      <c r="P810" s="207">
        <f>IF(ISNUMBER(VLOOKUP($B:$B,'IS(분기)'!$A:$F,$2:$2,0)),VLOOKUP($B:$B,'IS(분기)'!$A:$F,$2:$2,0),0)</f>
        <v>0</v>
      </c>
      <c r="Q810" s="207">
        <f>IF(ISNUMBER(VLOOKUP($B:$B,'IS(분기)'!$A:$F,$2:$2,0)),VLOOKUP($B:$B,'IS(분기)'!$A:$F,$2:$2,0),0)</f>
        <v>0</v>
      </c>
      <c r="R810" s="207">
        <f>IF(ISNUMBER(VLOOKUP($B:$B,'IS(분기)'!$A:$F,$2:$2,0)),VLOOKUP($B:$B,'IS(분기)'!$A:$F,$2:$2,0),0)</f>
        <v>0</v>
      </c>
    </row>
    <row r="811" spans="1:18" s="192" customFormat="1" ht="12">
      <c r="A811" s="202">
        <v>121173</v>
      </c>
      <c r="B811" s="195" t="s">
        <v>1363</v>
      </c>
      <c r="C811" s="217">
        <f>IF(ISNUMBER(VLOOKUP($B:$B,IS!$A:$F,$2:$2,0)),VLOOKUP($B:$B,IS!$A:$F,$2:$2,0),0)</f>
        <v>0</v>
      </c>
      <c r="D811" s="217">
        <f>IF(ISNUMBER(VLOOKUP($B:$B,IS!$A:$F,$2:$2,0)),VLOOKUP($B:$B,IS!$A:$F,$2:$2,0),0)</f>
        <v>0</v>
      </c>
      <c r="E811" s="217">
        <f>IF(ISNUMBER(VLOOKUP($B:$B,IS!$A:$F,$2:$2,0)),VLOOKUP($B:$B,IS!$A:$F,$2:$2,0),0)</f>
        <v>0</v>
      </c>
      <c r="F811" s="217">
        <f>IF(ISNUMBER(VLOOKUP($B:$B,IS!$A:$F,$2:$2,0)),VLOOKUP($B:$B,IS!$A:$F,$2:$2,0),0)</f>
        <v>0</v>
      </c>
      <c r="G811" s="217">
        <f>IF(ISNUMBER(VLOOKUP($B:$B,IS!$A:$F,$2:$2,0)),VLOOKUP($B:$B,IS!$A:$F,$2:$2,0),0)</f>
        <v>0</v>
      </c>
      <c r="H811" s="207">
        <f>IF(ISNUMBER(VLOOKUP($B:$B,'IS(과거)'!$A:$F,$2:$2,0)),VLOOKUP($B:$B,'IS(과거)'!$A:$F,$2:$2,0),0)</f>
        <v>0</v>
      </c>
      <c r="I811" s="207">
        <f>IF(ISNUMBER(VLOOKUP($B:$B,'IS(과거)'!$A:$F,$2:$2,0)),VLOOKUP($B:$B,'IS(과거)'!$A:$F,$2:$2,0),0)</f>
        <v>0</v>
      </c>
      <c r="J811" s="207">
        <f>IF(ISNUMBER(VLOOKUP($B:$B,'IS(과거)'!$A:$F,$2:$2,0)),VLOOKUP($B:$B,'IS(과거)'!$A:$F,$2:$2,0),0)</f>
        <v>0</v>
      </c>
      <c r="K811" s="207">
        <f>IF(ISNUMBER(VLOOKUP($B:$B,'IS(과거)'!$A:$F,$2:$2,0)),VLOOKUP($B:$B,'IS(과거)'!$A:$F,$2:$2,0),0)</f>
        <v>0</v>
      </c>
      <c r="L811" s="207">
        <f>IF(ISNUMBER(VLOOKUP($B:$B,'IS(과거)'!$A:$F,$2:$2,0)),VLOOKUP($B:$B,'IS(과거)'!$A:$F,$2:$2,0),0)</f>
        <v>0</v>
      </c>
      <c r="N811" s="207">
        <f>IF(ISNUMBER(VLOOKUP($B:$B,'IS(분기)'!$A:$F,$2:$2,0)),VLOOKUP($B:$B,'IS(분기)'!$A:$F,$2:$2,0),0)</f>
        <v>0</v>
      </c>
      <c r="O811" s="207">
        <f>IF(ISNUMBER(VLOOKUP($B:$B,'IS(분기)'!$A:$F,$2:$2,0)),VLOOKUP($B:$B,'IS(분기)'!$A:$F,$2:$2,0),0)</f>
        <v>0</v>
      </c>
      <c r="P811" s="207">
        <f>IF(ISNUMBER(VLOOKUP($B:$B,'IS(분기)'!$A:$F,$2:$2,0)),VLOOKUP($B:$B,'IS(분기)'!$A:$F,$2:$2,0),0)</f>
        <v>0</v>
      </c>
      <c r="Q811" s="207">
        <f>IF(ISNUMBER(VLOOKUP($B:$B,'IS(분기)'!$A:$F,$2:$2,0)),VLOOKUP($B:$B,'IS(분기)'!$A:$F,$2:$2,0),0)</f>
        <v>0</v>
      </c>
      <c r="R811" s="207">
        <f>IF(ISNUMBER(VLOOKUP($B:$B,'IS(분기)'!$A:$F,$2:$2,0)),VLOOKUP($B:$B,'IS(분기)'!$A:$F,$2:$2,0),0)</f>
        <v>0</v>
      </c>
    </row>
    <row r="812" spans="1:18" s="192" customFormat="1" ht="12">
      <c r="A812" s="202">
        <v>121174</v>
      </c>
      <c r="B812" s="195" t="s">
        <v>1364</v>
      </c>
      <c r="C812" s="217">
        <f>IF(ISNUMBER(VLOOKUP($B:$B,IS!$A:$F,$2:$2,0)),VLOOKUP($B:$B,IS!$A:$F,$2:$2,0),0)</f>
        <v>0</v>
      </c>
      <c r="D812" s="217">
        <f>IF(ISNUMBER(VLOOKUP($B:$B,IS!$A:$F,$2:$2,0)),VLOOKUP($B:$B,IS!$A:$F,$2:$2,0),0)</f>
        <v>0</v>
      </c>
      <c r="E812" s="217">
        <f>IF(ISNUMBER(VLOOKUP($B:$B,IS!$A:$F,$2:$2,0)),VLOOKUP($B:$B,IS!$A:$F,$2:$2,0),0)</f>
        <v>0</v>
      </c>
      <c r="F812" s="217">
        <f>IF(ISNUMBER(VLOOKUP($B:$B,IS!$A:$F,$2:$2,0)),VLOOKUP($B:$B,IS!$A:$F,$2:$2,0),0)</f>
        <v>0</v>
      </c>
      <c r="G812" s="217">
        <f>IF(ISNUMBER(VLOOKUP($B:$B,IS!$A:$F,$2:$2,0)),VLOOKUP($B:$B,IS!$A:$F,$2:$2,0),0)</f>
        <v>0</v>
      </c>
      <c r="H812" s="207">
        <f>IF(ISNUMBER(VLOOKUP($B:$B,'IS(과거)'!$A:$F,$2:$2,0)),VLOOKUP($B:$B,'IS(과거)'!$A:$F,$2:$2,0),0)</f>
        <v>0</v>
      </c>
      <c r="I812" s="207">
        <f>IF(ISNUMBER(VLOOKUP($B:$B,'IS(과거)'!$A:$F,$2:$2,0)),VLOOKUP($B:$B,'IS(과거)'!$A:$F,$2:$2,0),0)</f>
        <v>0</v>
      </c>
      <c r="J812" s="207">
        <f>IF(ISNUMBER(VLOOKUP($B:$B,'IS(과거)'!$A:$F,$2:$2,0)),VLOOKUP($B:$B,'IS(과거)'!$A:$F,$2:$2,0),0)</f>
        <v>0</v>
      </c>
      <c r="K812" s="207">
        <f>IF(ISNUMBER(VLOOKUP($B:$B,'IS(과거)'!$A:$F,$2:$2,0)),VLOOKUP($B:$B,'IS(과거)'!$A:$F,$2:$2,0),0)</f>
        <v>0</v>
      </c>
      <c r="L812" s="207">
        <f>IF(ISNUMBER(VLOOKUP($B:$B,'IS(과거)'!$A:$F,$2:$2,0)),VLOOKUP($B:$B,'IS(과거)'!$A:$F,$2:$2,0),0)</f>
        <v>0</v>
      </c>
      <c r="N812" s="207">
        <f>IF(ISNUMBER(VLOOKUP($B:$B,'IS(분기)'!$A:$F,$2:$2,0)),VLOOKUP($B:$B,'IS(분기)'!$A:$F,$2:$2,0),0)</f>
        <v>0</v>
      </c>
      <c r="O812" s="207">
        <f>IF(ISNUMBER(VLOOKUP($B:$B,'IS(분기)'!$A:$F,$2:$2,0)),VLOOKUP($B:$B,'IS(분기)'!$A:$F,$2:$2,0),0)</f>
        <v>0</v>
      </c>
      <c r="P812" s="207">
        <f>IF(ISNUMBER(VLOOKUP($B:$B,'IS(분기)'!$A:$F,$2:$2,0)),VLOOKUP($B:$B,'IS(분기)'!$A:$F,$2:$2,0),0)</f>
        <v>0</v>
      </c>
      <c r="Q812" s="207">
        <f>IF(ISNUMBER(VLOOKUP($B:$B,'IS(분기)'!$A:$F,$2:$2,0)),VLOOKUP($B:$B,'IS(분기)'!$A:$F,$2:$2,0),0)</f>
        <v>0</v>
      </c>
      <c r="R812" s="207">
        <f>IF(ISNUMBER(VLOOKUP($B:$B,'IS(분기)'!$A:$F,$2:$2,0)),VLOOKUP($B:$B,'IS(분기)'!$A:$F,$2:$2,0),0)</f>
        <v>0</v>
      </c>
    </row>
    <row r="813" spans="1:18" s="192" customFormat="1" ht="12">
      <c r="A813" s="202">
        <v>121175</v>
      </c>
      <c r="B813" s="195" t="s">
        <v>1365</v>
      </c>
      <c r="C813" s="217">
        <f>IF(ISNUMBER(VLOOKUP($B:$B,IS!$A:$F,$2:$2,0)),VLOOKUP($B:$B,IS!$A:$F,$2:$2,0),0)</f>
        <v>0</v>
      </c>
      <c r="D813" s="217">
        <f>IF(ISNUMBER(VLOOKUP($B:$B,IS!$A:$F,$2:$2,0)),VLOOKUP($B:$B,IS!$A:$F,$2:$2,0),0)</f>
        <v>0</v>
      </c>
      <c r="E813" s="217">
        <f>IF(ISNUMBER(VLOOKUP($B:$B,IS!$A:$F,$2:$2,0)),VLOOKUP($B:$B,IS!$A:$F,$2:$2,0),0)</f>
        <v>0</v>
      </c>
      <c r="F813" s="217">
        <f>IF(ISNUMBER(VLOOKUP($B:$B,IS!$A:$F,$2:$2,0)),VLOOKUP($B:$B,IS!$A:$F,$2:$2,0),0)</f>
        <v>0</v>
      </c>
      <c r="G813" s="217">
        <f>IF(ISNUMBER(VLOOKUP($B:$B,IS!$A:$F,$2:$2,0)),VLOOKUP($B:$B,IS!$A:$F,$2:$2,0),0)</f>
        <v>0</v>
      </c>
      <c r="H813" s="207">
        <f>IF(ISNUMBER(VLOOKUP($B:$B,'IS(과거)'!$A:$F,$2:$2,0)),VLOOKUP($B:$B,'IS(과거)'!$A:$F,$2:$2,0),0)</f>
        <v>0</v>
      </c>
      <c r="I813" s="207">
        <f>IF(ISNUMBER(VLOOKUP($B:$B,'IS(과거)'!$A:$F,$2:$2,0)),VLOOKUP($B:$B,'IS(과거)'!$A:$F,$2:$2,0),0)</f>
        <v>0</v>
      </c>
      <c r="J813" s="207">
        <f>IF(ISNUMBER(VLOOKUP($B:$B,'IS(과거)'!$A:$F,$2:$2,0)),VLOOKUP($B:$B,'IS(과거)'!$A:$F,$2:$2,0),0)</f>
        <v>0</v>
      </c>
      <c r="K813" s="207">
        <f>IF(ISNUMBER(VLOOKUP($B:$B,'IS(과거)'!$A:$F,$2:$2,0)),VLOOKUP($B:$B,'IS(과거)'!$A:$F,$2:$2,0),0)</f>
        <v>0</v>
      </c>
      <c r="L813" s="207">
        <f>IF(ISNUMBER(VLOOKUP($B:$B,'IS(과거)'!$A:$F,$2:$2,0)),VLOOKUP($B:$B,'IS(과거)'!$A:$F,$2:$2,0),0)</f>
        <v>0</v>
      </c>
      <c r="N813" s="207">
        <f>IF(ISNUMBER(VLOOKUP($B:$B,'IS(분기)'!$A:$F,$2:$2,0)),VLOOKUP($B:$B,'IS(분기)'!$A:$F,$2:$2,0),0)</f>
        <v>0</v>
      </c>
      <c r="O813" s="207">
        <f>IF(ISNUMBER(VLOOKUP($B:$B,'IS(분기)'!$A:$F,$2:$2,0)),VLOOKUP($B:$B,'IS(분기)'!$A:$F,$2:$2,0),0)</f>
        <v>0</v>
      </c>
      <c r="P813" s="207">
        <f>IF(ISNUMBER(VLOOKUP($B:$B,'IS(분기)'!$A:$F,$2:$2,0)),VLOOKUP($B:$B,'IS(분기)'!$A:$F,$2:$2,0),0)</f>
        <v>0</v>
      </c>
      <c r="Q813" s="207">
        <f>IF(ISNUMBER(VLOOKUP($B:$B,'IS(분기)'!$A:$F,$2:$2,0)),VLOOKUP($B:$B,'IS(분기)'!$A:$F,$2:$2,0),0)</f>
        <v>0</v>
      </c>
      <c r="R813" s="207">
        <f>IF(ISNUMBER(VLOOKUP($B:$B,'IS(분기)'!$A:$F,$2:$2,0)),VLOOKUP($B:$B,'IS(분기)'!$A:$F,$2:$2,0),0)</f>
        <v>0</v>
      </c>
    </row>
    <row r="814" spans="1:18" s="192" customFormat="1" ht="12">
      <c r="A814" s="202">
        <v>121176</v>
      </c>
      <c r="B814" s="195" t="s">
        <v>1366</v>
      </c>
      <c r="C814" s="217">
        <f>IF(ISNUMBER(VLOOKUP($B:$B,IS!$A:$F,$2:$2,0)),VLOOKUP($B:$B,IS!$A:$F,$2:$2,0),0)</f>
        <v>14526927</v>
      </c>
      <c r="D814" s="217">
        <f>IF(ISNUMBER(VLOOKUP($B:$B,IS!$A:$F,$2:$2,0)),VLOOKUP($B:$B,IS!$A:$F,$2:$2,0),0)</f>
        <v>0</v>
      </c>
      <c r="E814" s="217">
        <f>IF(ISNUMBER(VLOOKUP($B:$B,IS!$A:$F,$2:$2,0)),VLOOKUP($B:$B,IS!$A:$F,$2:$2,0),0)</f>
        <v>0</v>
      </c>
      <c r="F814" s="217">
        <f>IF(ISNUMBER(VLOOKUP($B:$B,IS!$A:$F,$2:$2,0)),VLOOKUP($B:$B,IS!$A:$F,$2:$2,0),0)</f>
        <v>0</v>
      </c>
      <c r="G814" s="217">
        <f>IF(ISNUMBER(VLOOKUP($B:$B,IS!$A:$F,$2:$2,0)),VLOOKUP($B:$B,IS!$A:$F,$2:$2,0),0)</f>
        <v>0</v>
      </c>
      <c r="H814" s="207">
        <f>IF(ISNUMBER(VLOOKUP($B:$B,'IS(과거)'!$A:$F,$2:$2,0)),VLOOKUP($B:$B,'IS(과거)'!$A:$F,$2:$2,0),0)</f>
        <v>0</v>
      </c>
      <c r="I814" s="207">
        <f>IF(ISNUMBER(VLOOKUP($B:$B,'IS(과거)'!$A:$F,$2:$2,0)),VLOOKUP($B:$B,'IS(과거)'!$A:$F,$2:$2,0),0)</f>
        <v>0</v>
      </c>
      <c r="J814" s="207">
        <f>IF(ISNUMBER(VLOOKUP($B:$B,'IS(과거)'!$A:$F,$2:$2,0)),VLOOKUP($B:$B,'IS(과거)'!$A:$F,$2:$2,0),0)</f>
        <v>0</v>
      </c>
      <c r="K814" s="207">
        <f>IF(ISNUMBER(VLOOKUP($B:$B,'IS(과거)'!$A:$F,$2:$2,0)),VLOOKUP($B:$B,'IS(과거)'!$A:$F,$2:$2,0),0)</f>
        <v>0</v>
      </c>
      <c r="L814" s="207">
        <f>IF(ISNUMBER(VLOOKUP($B:$B,'IS(과거)'!$A:$F,$2:$2,0)),VLOOKUP($B:$B,'IS(과거)'!$A:$F,$2:$2,0),0)</f>
        <v>0</v>
      </c>
      <c r="N814" s="207">
        <f>IF(ISNUMBER(VLOOKUP($B:$B,'IS(분기)'!$A:$F,$2:$2,0)),VLOOKUP($B:$B,'IS(분기)'!$A:$F,$2:$2,0),0)</f>
        <v>0</v>
      </c>
      <c r="O814" s="207">
        <f>IF(ISNUMBER(VLOOKUP($B:$B,'IS(분기)'!$A:$F,$2:$2,0)),VLOOKUP($B:$B,'IS(분기)'!$A:$F,$2:$2,0),0)</f>
        <v>0</v>
      </c>
      <c r="P814" s="207">
        <f>IF(ISNUMBER(VLOOKUP($B:$B,'IS(분기)'!$A:$F,$2:$2,0)),VLOOKUP($B:$B,'IS(분기)'!$A:$F,$2:$2,0),0)</f>
        <v>0</v>
      </c>
      <c r="Q814" s="207">
        <f>IF(ISNUMBER(VLOOKUP($B:$B,'IS(분기)'!$A:$F,$2:$2,0)),VLOOKUP($B:$B,'IS(분기)'!$A:$F,$2:$2,0),0)</f>
        <v>0</v>
      </c>
      <c r="R814" s="207">
        <f>IF(ISNUMBER(VLOOKUP($B:$B,'IS(분기)'!$A:$F,$2:$2,0)),VLOOKUP($B:$B,'IS(분기)'!$A:$F,$2:$2,0),0)</f>
        <v>0</v>
      </c>
    </row>
    <row r="815" spans="1:18" s="192" customFormat="1" ht="12">
      <c r="A815" s="202">
        <v>121180</v>
      </c>
      <c r="B815" s="195" t="s">
        <v>1367</v>
      </c>
      <c r="C815" s="217">
        <f>IF(ISNUMBER(VLOOKUP($B:$B,IS!$A:$F,$2:$2,0)),VLOOKUP($B:$B,IS!$A:$F,$2:$2,0),0)</f>
        <v>60202</v>
      </c>
      <c r="D815" s="217">
        <f>IF(ISNUMBER(VLOOKUP($B:$B,IS!$A:$F,$2:$2,0)),VLOOKUP($B:$B,IS!$A:$F,$2:$2,0),0)</f>
        <v>0</v>
      </c>
      <c r="E815" s="217">
        <f>IF(ISNUMBER(VLOOKUP($B:$B,IS!$A:$F,$2:$2,0)),VLOOKUP($B:$B,IS!$A:$F,$2:$2,0),0)</f>
        <v>0</v>
      </c>
      <c r="F815" s="217">
        <f>IF(ISNUMBER(VLOOKUP($B:$B,IS!$A:$F,$2:$2,0)),VLOOKUP($B:$B,IS!$A:$F,$2:$2,0),0)</f>
        <v>0</v>
      </c>
      <c r="G815" s="217">
        <f>IF(ISNUMBER(VLOOKUP($B:$B,IS!$A:$F,$2:$2,0)),VLOOKUP($B:$B,IS!$A:$F,$2:$2,0),0)</f>
        <v>0</v>
      </c>
      <c r="H815" s="207">
        <f>IF(ISNUMBER(VLOOKUP($B:$B,'IS(과거)'!$A:$F,$2:$2,0)),VLOOKUP($B:$B,'IS(과거)'!$A:$F,$2:$2,0),0)</f>
        <v>0</v>
      </c>
      <c r="I815" s="207">
        <f>IF(ISNUMBER(VLOOKUP($B:$B,'IS(과거)'!$A:$F,$2:$2,0)),VLOOKUP($B:$B,'IS(과거)'!$A:$F,$2:$2,0),0)</f>
        <v>0</v>
      </c>
      <c r="J815" s="207">
        <f>IF(ISNUMBER(VLOOKUP($B:$B,'IS(과거)'!$A:$F,$2:$2,0)),VLOOKUP($B:$B,'IS(과거)'!$A:$F,$2:$2,0),0)</f>
        <v>0</v>
      </c>
      <c r="K815" s="207">
        <f>IF(ISNUMBER(VLOOKUP($B:$B,'IS(과거)'!$A:$F,$2:$2,0)),VLOOKUP($B:$B,'IS(과거)'!$A:$F,$2:$2,0),0)</f>
        <v>0</v>
      </c>
      <c r="L815" s="207">
        <f>IF(ISNUMBER(VLOOKUP($B:$B,'IS(과거)'!$A:$F,$2:$2,0)),VLOOKUP($B:$B,'IS(과거)'!$A:$F,$2:$2,0),0)</f>
        <v>0</v>
      </c>
      <c r="N815" s="207">
        <f>IF(ISNUMBER(VLOOKUP($B:$B,'IS(분기)'!$A:$F,$2:$2,0)),VLOOKUP($B:$B,'IS(분기)'!$A:$F,$2:$2,0),0)</f>
        <v>0</v>
      </c>
      <c r="O815" s="207">
        <f>IF(ISNUMBER(VLOOKUP($B:$B,'IS(분기)'!$A:$F,$2:$2,0)),VLOOKUP($B:$B,'IS(분기)'!$A:$F,$2:$2,0),0)</f>
        <v>0</v>
      </c>
      <c r="P815" s="207">
        <f>IF(ISNUMBER(VLOOKUP($B:$B,'IS(분기)'!$A:$F,$2:$2,0)),VLOOKUP($B:$B,'IS(분기)'!$A:$F,$2:$2,0),0)</f>
        <v>0</v>
      </c>
      <c r="Q815" s="207">
        <f>IF(ISNUMBER(VLOOKUP($B:$B,'IS(분기)'!$A:$F,$2:$2,0)),VLOOKUP($B:$B,'IS(분기)'!$A:$F,$2:$2,0),0)</f>
        <v>0</v>
      </c>
      <c r="R815" s="207">
        <f>IF(ISNUMBER(VLOOKUP($B:$B,'IS(분기)'!$A:$F,$2:$2,0)),VLOOKUP($B:$B,'IS(분기)'!$A:$F,$2:$2,0),0)</f>
        <v>0</v>
      </c>
    </row>
    <row r="816" spans="1:18" s="192" customFormat="1" ht="12">
      <c r="A816" s="202">
        <v>121500</v>
      </c>
      <c r="B816" s="195" t="s">
        <v>1368</v>
      </c>
      <c r="C816" s="217">
        <f>IF(ISNUMBER(VLOOKUP($B:$B,IS!$A:$F,$2:$2,0)),VLOOKUP($B:$B,IS!$A:$F,$2:$2,0),0)</f>
        <v>0</v>
      </c>
      <c r="D816" s="217">
        <f>IF(ISNUMBER(VLOOKUP($B:$B,IS!$A:$F,$2:$2,0)),VLOOKUP($B:$B,IS!$A:$F,$2:$2,0),0)</f>
        <v>0</v>
      </c>
      <c r="E816" s="217">
        <f>IF(ISNUMBER(VLOOKUP($B:$B,IS!$A:$F,$2:$2,0)),VLOOKUP($B:$B,IS!$A:$F,$2:$2,0),0)</f>
        <v>0</v>
      </c>
      <c r="F816" s="217">
        <f>IF(ISNUMBER(VLOOKUP($B:$B,IS!$A:$F,$2:$2,0)),VLOOKUP($B:$B,IS!$A:$F,$2:$2,0),0)</f>
        <v>0</v>
      </c>
      <c r="G816" s="217">
        <f>IF(ISNUMBER(VLOOKUP($B:$B,IS!$A:$F,$2:$2,0)),VLOOKUP($B:$B,IS!$A:$F,$2:$2,0),0)</f>
        <v>0</v>
      </c>
      <c r="H816" s="207">
        <f>IF(ISNUMBER(VLOOKUP($B:$B,'IS(과거)'!$A:$F,$2:$2,0)),VLOOKUP($B:$B,'IS(과거)'!$A:$F,$2:$2,0),0)</f>
        <v>0</v>
      </c>
      <c r="I816" s="207">
        <f>IF(ISNUMBER(VLOOKUP($B:$B,'IS(과거)'!$A:$F,$2:$2,0)),VLOOKUP($B:$B,'IS(과거)'!$A:$F,$2:$2,0),0)</f>
        <v>0</v>
      </c>
      <c r="J816" s="207">
        <f>IF(ISNUMBER(VLOOKUP($B:$B,'IS(과거)'!$A:$F,$2:$2,0)),VLOOKUP($B:$B,'IS(과거)'!$A:$F,$2:$2,0),0)</f>
        <v>0</v>
      </c>
      <c r="K816" s="207">
        <f>IF(ISNUMBER(VLOOKUP($B:$B,'IS(과거)'!$A:$F,$2:$2,0)),VLOOKUP($B:$B,'IS(과거)'!$A:$F,$2:$2,0),0)</f>
        <v>0</v>
      </c>
      <c r="L816" s="207">
        <f>IF(ISNUMBER(VLOOKUP($B:$B,'IS(과거)'!$A:$F,$2:$2,0)),VLOOKUP($B:$B,'IS(과거)'!$A:$F,$2:$2,0),0)</f>
        <v>0</v>
      </c>
      <c r="N816" s="207">
        <f>IF(ISNUMBER(VLOOKUP($B:$B,'IS(분기)'!$A:$F,$2:$2,0)),VLOOKUP($B:$B,'IS(분기)'!$A:$F,$2:$2,0),0)</f>
        <v>0</v>
      </c>
      <c r="O816" s="207">
        <f>IF(ISNUMBER(VLOOKUP($B:$B,'IS(분기)'!$A:$F,$2:$2,0)),VLOOKUP($B:$B,'IS(분기)'!$A:$F,$2:$2,0),0)</f>
        <v>0</v>
      </c>
      <c r="P816" s="207">
        <f>IF(ISNUMBER(VLOOKUP($B:$B,'IS(분기)'!$A:$F,$2:$2,0)),VLOOKUP($B:$B,'IS(분기)'!$A:$F,$2:$2,0),0)</f>
        <v>0</v>
      </c>
      <c r="Q816" s="207">
        <f>IF(ISNUMBER(VLOOKUP($B:$B,'IS(분기)'!$A:$F,$2:$2,0)),VLOOKUP($B:$B,'IS(분기)'!$A:$F,$2:$2,0),0)</f>
        <v>0</v>
      </c>
      <c r="R816" s="207">
        <f>IF(ISNUMBER(VLOOKUP($B:$B,'IS(분기)'!$A:$F,$2:$2,0)),VLOOKUP($B:$B,'IS(분기)'!$A:$F,$2:$2,0),0)</f>
        <v>0</v>
      </c>
    </row>
    <row r="817" spans="1:18" s="192" customFormat="1" ht="12">
      <c r="A817" s="203">
        <v>121501</v>
      </c>
      <c r="B817" s="196" t="s">
        <v>1353</v>
      </c>
      <c r="C817" s="217">
        <f>IF(ISNUMBER(VLOOKUP($B:$B,IS!$A:$F,$2:$2,0)),VLOOKUP($B:$B,IS!$A:$F,$2:$2,0),0)</f>
        <v>0</v>
      </c>
      <c r="D817" s="217">
        <f>IF(ISNUMBER(VLOOKUP($B:$B,IS!$A:$F,$2:$2,0)),VLOOKUP($B:$B,IS!$A:$F,$2:$2,0),0)</f>
        <v>0</v>
      </c>
      <c r="E817" s="217">
        <f>IF(ISNUMBER(VLOOKUP($B:$B,IS!$A:$F,$2:$2,0)),VLOOKUP($B:$B,IS!$A:$F,$2:$2,0),0)</f>
        <v>0</v>
      </c>
      <c r="F817" s="217">
        <f>IF(ISNUMBER(VLOOKUP($B:$B,IS!$A:$F,$2:$2,0)),VLOOKUP($B:$B,IS!$A:$F,$2:$2,0),0)</f>
        <v>0</v>
      </c>
      <c r="G817" s="217">
        <f>IF(ISNUMBER(VLOOKUP($B:$B,IS!$A:$F,$2:$2,0)),VLOOKUP($B:$B,IS!$A:$F,$2:$2,0),0)</f>
        <v>0</v>
      </c>
      <c r="H817" s="207">
        <f>IF(ISNUMBER(VLOOKUP($B:$B,'IS(과거)'!$A:$F,$2:$2,0)),VLOOKUP($B:$B,'IS(과거)'!$A:$F,$2:$2,0),0)</f>
        <v>0</v>
      </c>
      <c r="I817" s="207">
        <f>IF(ISNUMBER(VLOOKUP($B:$B,'IS(과거)'!$A:$F,$2:$2,0)),VLOOKUP($B:$B,'IS(과거)'!$A:$F,$2:$2,0),0)</f>
        <v>0</v>
      </c>
      <c r="J817" s="207">
        <f>IF(ISNUMBER(VLOOKUP($B:$B,'IS(과거)'!$A:$F,$2:$2,0)),VLOOKUP($B:$B,'IS(과거)'!$A:$F,$2:$2,0),0)</f>
        <v>0</v>
      </c>
      <c r="K817" s="207">
        <f>IF(ISNUMBER(VLOOKUP($B:$B,'IS(과거)'!$A:$F,$2:$2,0)),VLOOKUP($B:$B,'IS(과거)'!$A:$F,$2:$2,0),0)</f>
        <v>0</v>
      </c>
      <c r="L817" s="207">
        <f>IF(ISNUMBER(VLOOKUP($B:$B,'IS(과거)'!$A:$F,$2:$2,0)),VLOOKUP($B:$B,'IS(과거)'!$A:$F,$2:$2,0),0)</f>
        <v>0</v>
      </c>
      <c r="N817" s="207">
        <f>IF(ISNUMBER(VLOOKUP($B:$B,'IS(분기)'!$A:$F,$2:$2,0)),VLOOKUP($B:$B,'IS(분기)'!$A:$F,$2:$2,0),0)</f>
        <v>0</v>
      </c>
      <c r="O817" s="207">
        <f>IF(ISNUMBER(VLOOKUP($B:$B,'IS(분기)'!$A:$F,$2:$2,0)),VLOOKUP($B:$B,'IS(분기)'!$A:$F,$2:$2,0),0)</f>
        <v>0</v>
      </c>
      <c r="P817" s="207">
        <f>IF(ISNUMBER(VLOOKUP($B:$B,'IS(분기)'!$A:$F,$2:$2,0)),VLOOKUP($B:$B,'IS(분기)'!$A:$F,$2:$2,0),0)</f>
        <v>0</v>
      </c>
      <c r="Q817" s="207">
        <f>IF(ISNUMBER(VLOOKUP($B:$B,'IS(분기)'!$A:$F,$2:$2,0)),VLOOKUP($B:$B,'IS(분기)'!$A:$F,$2:$2,0),0)</f>
        <v>0</v>
      </c>
      <c r="R817" s="207">
        <f>IF(ISNUMBER(VLOOKUP($B:$B,'IS(분기)'!$A:$F,$2:$2,0)),VLOOKUP($B:$B,'IS(분기)'!$A:$F,$2:$2,0),0)</f>
        <v>0</v>
      </c>
    </row>
    <row r="818" spans="1:18" s="192" customFormat="1" ht="12">
      <c r="A818" s="203">
        <v>121502</v>
      </c>
      <c r="B818" s="196" t="s">
        <v>1354</v>
      </c>
      <c r="C818" s="217">
        <f>IF(ISNUMBER(VLOOKUP($B:$B,IS!$A:$F,$2:$2,0)),VLOOKUP($B:$B,IS!$A:$F,$2:$2,0),0)</f>
        <v>0</v>
      </c>
      <c r="D818" s="217">
        <f>IF(ISNUMBER(VLOOKUP($B:$B,IS!$A:$F,$2:$2,0)),VLOOKUP($B:$B,IS!$A:$F,$2:$2,0),0)</f>
        <v>0</v>
      </c>
      <c r="E818" s="217">
        <f>IF(ISNUMBER(VLOOKUP($B:$B,IS!$A:$F,$2:$2,0)),VLOOKUP($B:$B,IS!$A:$F,$2:$2,0),0)</f>
        <v>0</v>
      </c>
      <c r="F818" s="217">
        <f>IF(ISNUMBER(VLOOKUP($B:$B,IS!$A:$F,$2:$2,0)),VLOOKUP($B:$B,IS!$A:$F,$2:$2,0),0)</f>
        <v>0</v>
      </c>
      <c r="G818" s="217">
        <f>IF(ISNUMBER(VLOOKUP($B:$B,IS!$A:$F,$2:$2,0)),VLOOKUP($B:$B,IS!$A:$F,$2:$2,0),0)</f>
        <v>0</v>
      </c>
      <c r="H818" s="207">
        <f>IF(ISNUMBER(VLOOKUP($B:$B,'IS(과거)'!$A:$F,$2:$2,0)),VLOOKUP($B:$B,'IS(과거)'!$A:$F,$2:$2,0),0)</f>
        <v>0</v>
      </c>
      <c r="I818" s="207">
        <f>IF(ISNUMBER(VLOOKUP($B:$B,'IS(과거)'!$A:$F,$2:$2,0)),VLOOKUP($B:$B,'IS(과거)'!$A:$F,$2:$2,0),0)</f>
        <v>0</v>
      </c>
      <c r="J818" s="207">
        <f>IF(ISNUMBER(VLOOKUP($B:$B,'IS(과거)'!$A:$F,$2:$2,0)),VLOOKUP($B:$B,'IS(과거)'!$A:$F,$2:$2,0),0)</f>
        <v>0</v>
      </c>
      <c r="K818" s="207">
        <f>IF(ISNUMBER(VLOOKUP($B:$B,'IS(과거)'!$A:$F,$2:$2,0)),VLOOKUP($B:$B,'IS(과거)'!$A:$F,$2:$2,0),0)</f>
        <v>0</v>
      </c>
      <c r="L818" s="207">
        <f>IF(ISNUMBER(VLOOKUP($B:$B,'IS(과거)'!$A:$F,$2:$2,0)),VLOOKUP($B:$B,'IS(과거)'!$A:$F,$2:$2,0),0)</f>
        <v>0</v>
      </c>
      <c r="N818" s="207">
        <f>IF(ISNUMBER(VLOOKUP($B:$B,'IS(분기)'!$A:$F,$2:$2,0)),VLOOKUP($B:$B,'IS(분기)'!$A:$F,$2:$2,0),0)</f>
        <v>0</v>
      </c>
      <c r="O818" s="207">
        <f>IF(ISNUMBER(VLOOKUP($B:$B,'IS(분기)'!$A:$F,$2:$2,0)),VLOOKUP($B:$B,'IS(분기)'!$A:$F,$2:$2,0),0)</f>
        <v>0</v>
      </c>
      <c r="P818" s="207">
        <f>IF(ISNUMBER(VLOOKUP($B:$B,'IS(분기)'!$A:$F,$2:$2,0)),VLOOKUP($B:$B,'IS(분기)'!$A:$F,$2:$2,0),0)</f>
        <v>0</v>
      </c>
      <c r="Q818" s="207">
        <f>IF(ISNUMBER(VLOOKUP($B:$B,'IS(분기)'!$A:$F,$2:$2,0)),VLOOKUP($B:$B,'IS(분기)'!$A:$F,$2:$2,0),0)</f>
        <v>0</v>
      </c>
      <c r="R818" s="207">
        <f>IF(ISNUMBER(VLOOKUP($B:$B,'IS(분기)'!$A:$F,$2:$2,0)),VLOOKUP($B:$B,'IS(분기)'!$A:$F,$2:$2,0),0)</f>
        <v>0</v>
      </c>
    </row>
    <row r="819" spans="1:18" s="192" customFormat="1" ht="12">
      <c r="A819" s="203">
        <v>121503</v>
      </c>
      <c r="B819" s="196" t="s">
        <v>1355</v>
      </c>
      <c r="C819" s="217">
        <f>IF(ISNUMBER(VLOOKUP($B:$B,IS!$A:$F,$2:$2,0)),VLOOKUP($B:$B,IS!$A:$F,$2:$2,0),0)</f>
        <v>0</v>
      </c>
      <c r="D819" s="217">
        <f>IF(ISNUMBER(VLOOKUP($B:$B,IS!$A:$F,$2:$2,0)),VLOOKUP($B:$B,IS!$A:$F,$2:$2,0),0)</f>
        <v>0</v>
      </c>
      <c r="E819" s="217">
        <f>IF(ISNUMBER(VLOOKUP($B:$B,IS!$A:$F,$2:$2,0)),VLOOKUP($B:$B,IS!$A:$F,$2:$2,0),0)</f>
        <v>0</v>
      </c>
      <c r="F819" s="217">
        <f>IF(ISNUMBER(VLOOKUP($B:$B,IS!$A:$F,$2:$2,0)),VLOOKUP($B:$B,IS!$A:$F,$2:$2,0),0)</f>
        <v>0</v>
      </c>
      <c r="G819" s="217">
        <f>IF(ISNUMBER(VLOOKUP($B:$B,IS!$A:$F,$2:$2,0)),VLOOKUP($B:$B,IS!$A:$F,$2:$2,0),0)</f>
        <v>0</v>
      </c>
      <c r="H819" s="207">
        <f>IF(ISNUMBER(VLOOKUP($B:$B,'IS(과거)'!$A:$F,$2:$2,0)),VLOOKUP($B:$B,'IS(과거)'!$A:$F,$2:$2,0),0)</f>
        <v>0</v>
      </c>
      <c r="I819" s="207">
        <f>IF(ISNUMBER(VLOOKUP($B:$B,'IS(과거)'!$A:$F,$2:$2,0)),VLOOKUP($B:$B,'IS(과거)'!$A:$F,$2:$2,0),0)</f>
        <v>0</v>
      </c>
      <c r="J819" s="207">
        <f>IF(ISNUMBER(VLOOKUP($B:$B,'IS(과거)'!$A:$F,$2:$2,0)),VLOOKUP($B:$B,'IS(과거)'!$A:$F,$2:$2,0),0)</f>
        <v>0</v>
      </c>
      <c r="K819" s="207">
        <f>IF(ISNUMBER(VLOOKUP($B:$B,'IS(과거)'!$A:$F,$2:$2,0)),VLOOKUP($B:$B,'IS(과거)'!$A:$F,$2:$2,0),0)</f>
        <v>0</v>
      </c>
      <c r="L819" s="207">
        <f>IF(ISNUMBER(VLOOKUP($B:$B,'IS(과거)'!$A:$F,$2:$2,0)),VLOOKUP($B:$B,'IS(과거)'!$A:$F,$2:$2,0),0)</f>
        <v>0</v>
      </c>
      <c r="N819" s="207">
        <f>IF(ISNUMBER(VLOOKUP($B:$B,'IS(분기)'!$A:$F,$2:$2,0)),VLOOKUP($B:$B,'IS(분기)'!$A:$F,$2:$2,0),0)</f>
        <v>0</v>
      </c>
      <c r="O819" s="207">
        <f>IF(ISNUMBER(VLOOKUP($B:$B,'IS(분기)'!$A:$F,$2:$2,0)),VLOOKUP($B:$B,'IS(분기)'!$A:$F,$2:$2,0),0)</f>
        <v>0</v>
      </c>
      <c r="P819" s="207">
        <f>IF(ISNUMBER(VLOOKUP($B:$B,'IS(분기)'!$A:$F,$2:$2,0)),VLOOKUP($B:$B,'IS(분기)'!$A:$F,$2:$2,0),0)</f>
        <v>0</v>
      </c>
      <c r="Q819" s="207">
        <f>IF(ISNUMBER(VLOOKUP($B:$B,'IS(분기)'!$A:$F,$2:$2,0)),VLOOKUP($B:$B,'IS(분기)'!$A:$F,$2:$2,0),0)</f>
        <v>0</v>
      </c>
      <c r="R819" s="207">
        <f>IF(ISNUMBER(VLOOKUP($B:$B,'IS(분기)'!$A:$F,$2:$2,0)),VLOOKUP($B:$B,'IS(분기)'!$A:$F,$2:$2,0),0)</f>
        <v>0</v>
      </c>
    </row>
    <row r="820" spans="1:18" s="192" customFormat="1" ht="12">
      <c r="A820" s="202">
        <v>121130</v>
      </c>
      <c r="B820" s="195" t="s">
        <v>1369</v>
      </c>
      <c r="C820" s="217">
        <f>IF(ISNUMBER(VLOOKUP($B:$B,IS!$A:$F,$2:$2,0)),VLOOKUP($B:$B,IS!$A:$F,$2:$2,0),0)</f>
        <v>0</v>
      </c>
      <c r="D820" s="217">
        <f>IF(ISNUMBER(VLOOKUP($B:$B,IS!$A:$F,$2:$2,0)),VLOOKUP($B:$B,IS!$A:$F,$2:$2,0),0)</f>
        <v>0</v>
      </c>
      <c r="E820" s="217">
        <f>IF(ISNUMBER(VLOOKUP($B:$B,IS!$A:$F,$2:$2,0)),VLOOKUP($B:$B,IS!$A:$F,$2:$2,0),0)</f>
        <v>0</v>
      </c>
      <c r="F820" s="217">
        <f>IF(ISNUMBER(VLOOKUP($B:$B,IS!$A:$F,$2:$2,0)),VLOOKUP($B:$B,IS!$A:$F,$2:$2,0),0)</f>
        <v>0</v>
      </c>
      <c r="G820" s="217">
        <f>IF(ISNUMBER(VLOOKUP($B:$B,IS!$A:$F,$2:$2,0)),VLOOKUP($B:$B,IS!$A:$F,$2:$2,0),0)</f>
        <v>0</v>
      </c>
      <c r="H820" s="207">
        <f>IF(ISNUMBER(VLOOKUP($B:$B,'IS(과거)'!$A:$F,$2:$2,0)),VLOOKUP($B:$B,'IS(과거)'!$A:$F,$2:$2,0),0)</f>
        <v>0</v>
      </c>
      <c r="I820" s="207">
        <f>IF(ISNUMBER(VLOOKUP($B:$B,'IS(과거)'!$A:$F,$2:$2,0)),VLOOKUP($B:$B,'IS(과거)'!$A:$F,$2:$2,0),0)</f>
        <v>0</v>
      </c>
      <c r="J820" s="207">
        <f>IF(ISNUMBER(VLOOKUP($B:$B,'IS(과거)'!$A:$F,$2:$2,0)),VLOOKUP($B:$B,'IS(과거)'!$A:$F,$2:$2,0),0)</f>
        <v>0</v>
      </c>
      <c r="K820" s="207">
        <f>IF(ISNUMBER(VLOOKUP($B:$B,'IS(과거)'!$A:$F,$2:$2,0)),VLOOKUP($B:$B,'IS(과거)'!$A:$F,$2:$2,0),0)</f>
        <v>0</v>
      </c>
      <c r="L820" s="207">
        <f>IF(ISNUMBER(VLOOKUP($B:$B,'IS(과거)'!$A:$F,$2:$2,0)),VLOOKUP($B:$B,'IS(과거)'!$A:$F,$2:$2,0),0)</f>
        <v>0</v>
      </c>
      <c r="N820" s="207">
        <f>IF(ISNUMBER(VLOOKUP($B:$B,'IS(분기)'!$A:$F,$2:$2,0)),VLOOKUP($B:$B,'IS(분기)'!$A:$F,$2:$2,0),0)</f>
        <v>0</v>
      </c>
      <c r="O820" s="207">
        <f>IF(ISNUMBER(VLOOKUP($B:$B,'IS(분기)'!$A:$F,$2:$2,0)),VLOOKUP($B:$B,'IS(분기)'!$A:$F,$2:$2,0),0)</f>
        <v>0</v>
      </c>
      <c r="P820" s="207">
        <f>IF(ISNUMBER(VLOOKUP($B:$B,'IS(분기)'!$A:$F,$2:$2,0)),VLOOKUP($B:$B,'IS(분기)'!$A:$F,$2:$2,0),0)</f>
        <v>0</v>
      </c>
      <c r="Q820" s="207">
        <f>IF(ISNUMBER(VLOOKUP($B:$B,'IS(분기)'!$A:$F,$2:$2,0)),VLOOKUP($B:$B,'IS(분기)'!$A:$F,$2:$2,0),0)</f>
        <v>0</v>
      </c>
      <c r="R820" s="207">
        <f>IF(ISNUMBER(VLOOKUP($B:$B,'IS(분기)'!$A:$F,$2:$2,0)),VLOOKUP($B:$B,'IS(분기)'!$A:$F,$2:$2,0),0)</f>
        <v>0</v>
      </c>
    </row>
    <row r="821" spans="1:18" s="192" customFormat="1" ht="12">
      <c r="A821" s="203">
        <v>121131</v>
      </c>
      <c r="B821" s="196" t="s">
        <v>1353</v>
      </c>
      <c r="C821" s="217">
        <f>IF(ISNUMBER(VLOOKUP($B:$B,IS!$A:$F,$2:$2,0)),VLOOKUP($B:$B,IS!$A:$F,$2:$2,0),0)</f>
        <v>0</v>
      </c>
      <c r="D821" s="217">
        <f>IF(ISNUMBER(VLOOKUP($B:$B,IS!$A:$F,$2:$2,0)),VLOOKUP($B:$B,IS!$A:$F,$2:$2,0),0)</f>
        <v>0</v>
      </c>
      <c r="E821" s="217">
        <f>IF(ISNUMBER(VLOOKUP($B:$B,IS!$A:$F,$2:$2,0)),VLOOKUP($B:$B,IS!$A:$F,$2:$2,0),0)</f>
        <v>0</v>
      </c>
      <c r="F821" s="217">
        <f>IF(ISNUMBER(VLOOKUP($B:$B,IS!$A:$F,$2:$2,0)),VLOOKUP($B:$B,IS!$A:$F,$2:$2,0),0)</f>
        <v>0</v>
      </c>
      <c r="G821" s="217">
        <f>IF(ISNUMBER(VLOOKUP($B:$B,IS!$A:$F,$2:$2,0)),VLOOKUP($B:$B,IS!$A:$F,$2:$2,0),0)</f>
        <v>0</v>
      </c>
      <c r="H821" s="207">
        <f>IF(ISNUMBER(VLOOKUP($B:$B,'IS(과거)'!$A:$F,$2:$2,0)),VLOOKUP($B:$B,'IS(과거)'!$A:$F,$2:$2,0),0)</f>
        <v>0</v>
      </c>
      <c r="I821" s="207">
        <f>IF(ISNUMBER(VLOOKUP($B:$B,'IS(과거)'!$A:$F,$2:$2,0)),VLOOKUP($B:$B,'IS(과거)'!$A:$F,$2:$2,0),0)</f>
        <v>0</v>
      </c>
      <c r="J821" s="207">
        <f>IF(ISNUMBER(VLOOKUP($B:$B,'IS(과거)'!$A:$F,$2:$2,0)),VLOOKUP($B:$B,'IS(과거)'!$A:$F,$2:$2,0),0)</f>
        <v>0</v>
      </c>
      <c r="K821" s="207">
        <f>IF(ISNUMBER(VLOOKUP($B:$B,'IS(과거)'!$A:$F,$2:$2,0)),VLOOKUP($B:$B,'IS(과거)'!$A:$F,$2:$2,0),0)</f>
        <v>0</v>
      </c>
      <c r="L821" s="207">
        <f>IF(ISNUMBER(VLOOKUP($B:$B,'IS(과거)'!$A:$F,$2:$2,0)),VLOOKUP($B:$B,'IS(과거)'!$A:$F,$2:$2,0),0)</f>
        <v>0</v>
      </c>
      <c r="N821" s="207">
        <f>IF(ISNUMBER(VLOOKUP($B:$B,'IS(분기)'!$A:$F,$2:$2,0)),VLOOKUP($B:$B,'IS(분기)'!$A:$F,$2:$2,0),0)</f>
        <v>0</v>
      </c>
      <c r="O821" s="207">
        <f>IF(ISNUMBER(VLOOKUP($B:$B,'IS(분기)'!$A:$F,$2:$2,0)),VLOOKUP($B:$B,'IS(분기)'!$A:$F,$2:$2,0),0)</f>
        <v>0</v>
      </c>
      <c r="P821" s="207">
        <f>IF(ISNUMBER(VLOOKUP($B:$B,'IS(분기)'!$A:$F,$2:$2,0)),VLOOKUP($B:$B,'IS(분기)'!$A:$F,$2:$2,0),0)</f>
        <v>0</v>
      </c>
      <c r="Q821" s="207">
        <f>IF(ISNUMBER(VLOOKUP($B:$B,'IS(분기)'!$A:$F,$2:$2,0)),VLOOKUP($B:$B,'IS(분기)'!$A:$F,$2:$2,0),0)</f>
        <v>0</v>
      </c>
      <c r="R821" s="207">
        <f>IF(ISNUMBER(VLOOKUP($B:$B,'IS(분기)'!$A:$F,$2:$2,0)),VLOOKUP($B:$B,'IS(분기)'!$A:$F,$2:$2,0),0)</f>
        <v>0</v>
      </c>
    </row>
    <row r="822" spans="1:18" s="192" customFormat="1" ht="12">
      <c r="A822" s="203">
        <v>121132</v>
      </c>
      <c r="B822" s="196" t="s">
        <v>1354</v>
      </c>
      <c r="C822" s="217">
        <f>IF(ISNUMBER(VLOOKUP($B:$B,IS!$A:$F,$2:$2,0)),VLOOKUP($B:$B,IS!$A:$F,$2:$2,0),0)</f>
        <v>0</v>
      </c>
      <c r="D822" s="217">
        <f>IF(ISNUMBER(VLOOKUP($B:$B,IS!$A:$F,$2:$2,0)),VLOOKUP($B:$B,IS!$A:$F,$2:$2,0),0)</f>
        <v>0</v>
      </c>
      <c r="E822" s="217">
        <f>IF(ISNUMBER(VLOOKUP($B:$B,IS!$A:$F,$2:$2,0)),VLOOKUP($B:$B,IS!$A:$F,$2:$2,0),0)</f>
        <v>0</v>
      </c>
      <c r="F822" s="217">
        <f>IF(ISNUMBER(VLOOKUP($B:$B,IS!$A:$F,$2:$2,0)),VLOOKUP($B:$B,IS!$A:$F,$2:$2,0),0)</f>
        <v>0</v>
      </c>
      <c r="G822" s="217">
        <f>IF(ISNUMBER(VLOOKUP($B:$B,IS!$A:$F,$2:$2,0)),VLOOKUP($B:$B,IS!$A:$F,$2:$2,0),0)</f>
        <v>0</v>
      </c>
      <c r="H822" s="207">
        <f>IF(ISNUMBER(VLOOKUP($B:$B,'IS(과거)'!$A:$F,$2:$2,0)),VLOOKUP($B:$B,'IS(과거)'!$A:$F,$2:$2,0),0)</f>
        <v>0</v>
      </c>
      <c r="I822" s="207">
        <f>IF(ISNUMBER(VLOOKUP($B:$B,'IS(과거)'!$A:$F,$2:$2,0)),VLOOKUP($B:$B,'IS(과거)'!$A:$F,$2:$2,0),0)</f>
        <v>0</v>
      </c>
      <c r="J822" s="207">
        <f>IF(ISNUMBER(VLOOKUP($B:$B,'IS(과거)'!$A:$F,$2:$2,0)),VLOOKUP($B:$B,'IS(과거)'!$A:$F,$2:$2,0),0)</f>
        <v>0</v>
      </c>
      <c r="K822" s="207">
        <f>IF(ISNUMBER(VLOOKUP($B:$B,'IS(과거)'!$A:$F,$2:$2,0)),VLOOKUP($B:$B,'IS(과거)'!$A:$F,$2:$2,0),0)</f>
        <v>0</v>
      </c>
      <c r="L822" s="207">
        <f>IF(ISNUMBER(VLOOKUP($B:$B,'IS(과거)'!$A:$F,$2:$2,0)),VLOOKUP($B:$B,'IS(과거)'!$A:$F,$2:$2,0),0)</f>
        <v>0</v>
      </c>
      <c r="N822" s="207">
        <f>IF(ISNUMBER(VLOOKUP($B:$B,'IS(분기)'!$A:$F,$2:$2,0)),VLOOKUP($B:$B,'IS(분기)'!$A:$F,$2:$2,0),0)</f>
        <v>0</v>
      </c>
      <c r="O822" s="207">
        <f>IF(ISNUMBER(VLOOKUP($B:$B,'IS(분기)'!$A:$F,$2:$2,0)),VLOOKUP($B:$B,'IS(분기)'!$A:$F,$2:$2,0),0)</f>
        <v>0</v>
      </c>
      <c r="P822" s="207">
        <f>IF(ISNUMBER(VLOOKUP($B:$B,'IS(분기)'!$A:$F,$2:$2,0)),VLOOKUP($B:$B,'IS(분기)'!$A:$F,$2:$2,0),0)</f>
        <v>0</v>
      </c>
      <c r="Q822" s="207">
        <f>IF(ISNUMBER(VLOOKUP($B:$B,'IS(분기)'!$A:$F,$2:$2,0)),VLOOKUP($B:$B,'IS(분기)'!$A:$F,$2:$2,0),0)</f>
        <v>0</v>
      </c>
      <c r="R822" s="207">
        <f>IF(ISNUMBER(VLOOKUP($B:$B,'IS(분기)'!$A:$F,$2:$2,0)),VLOOKUP($B:$B,'IS(분기)'!$A:$F,$2:$2,0),0)</f>
        <v>0</v>
      </c>
    </row>
    <row r="823" spans="1:18" s="192" customFormat="1" ht="12">
      <c r="A823" s="203">
        <v>121138</v>
      </c>
      <c r="B823" s="196" t="s">
        <v>1355</v>
      </c>
      <c r="C823" s="217">
        <f>IF(ISNUMBER(VLOOKUP($B:$B,IS!$A:$F,$2:$2,0)),VLOOKUP($B:$B,IS!$A:$F,$2:$2,0),0)</f>
        <v>0</v>
      </c>
      <c r="D823" s="217">
        <f>IF(ISNUMBER(VLOOKUP($B:$B,IS!$A:$F,$2:$2,0)),VLOOKUP($B:$B,IS!$A:$F,$2:$2,0),0)</f>
        <v>0</v>
      </c>
      <c r="E823" s="217">
        <f>IF(ISNUMBER(VLOOKUP($B:$B,IS!$A:$F,$2:$2,0)),VLOOKUP($B:$B,IS!$A:$F,$2:$2,0),0)</f>
        <v>0</v>
      </c>
      <c r="F823" s="217">
        <f>IF(ISNUMBER(VLOOKUP($B:$B,IS!$A:$F,$2:$2,0)),VLOOKUP($B:$B,IS!$A:$F,$2:$2,0),0)</f>
        <v>0</v>
      </c>
      <c r="G823" s="217">
        <f>IF(ISNUMBER(VLOOKUP($B:$B,IS!$A:$F,$2:$2,0)),VLOOKUP($B:$B,IS!$A:$F,$2:$2,0),0)</f>
        <v>0</v>
      </c>
      <c r="H823" s="207">
        <f>IF(ISNUMBER(VLOOKUP($B:$B,'IS(과거)'!$A:$F,$2:$2,0)),VLOOKUP($B:$B,'IS(과거)'!$A:$F,$2:$2,0),0)</f>
        <v>0</v>
      </c>
      <c r="I823" s="207">
        <f>IF(ISNUMBER(VLOOKUP($B:$B,'IS(과거)'!$A:$F,$2:$2,0)),VLOOKUP($B:$B,'IS(과거)'!$A:$F,$2:$2,0),0)</f>
        <v>0</v>
      </c>
      <c r="J823" s="207">
        <f>IF(ISNUMBER(VLOOKUP($B:$B,'IS(과거)'!$A:$F,$2:$2,0)),VLOOKUP($B:$B,'IS(과거)'!$A:$F,$2:$2,0),0)</f>
        <v>0</v>
      </c>
      <c r="K823" s="207">
        <f>IF(ISNUMBER(VLOOKUP($B:$B,'IS(과거)'!$A:$F,$2:$2,0)),VLOOKUP($B:$B,'IS(과거)'!$A:$F,$2:$2,0),0)</f>
        <v>0</v>
      </c>
      <c r="L823" s="207">
        <f>IF(ISNUMBER(VLOOKUP($B:$B,'IS(과거)'!$A:$F,$2:$2,0)),VLOOKUP($B:$B,'IS(과거)'!$A:$F,$2:$2,0),0)</f>
        <v>0</v>
      </c>
      <c r="N823" s="207">
        <f>IF(ISNUMBER(VLOOKUP($B:$B,'IS(분기)'!$A:$F,$2:$2,0)),VLOOKUP($B:$B,'IS(분기)'!$A:$F,$2:$2,0),0)</f>
        <v>0</v>
      </c>
      <c r="O823" s="207">
        <f>IF(ISNUMBER(VLOOKUP($B:$B,'IS(분기)'!$A:$F,$2:$2,0)),VLOOKUP($B:$B,'IS(분기)'!$A:$F,$2:$2,0),0)</f>
        <v>0</v>
      </c>
      <c r="P823" s="207">
        <f>IF(ISNUMBER(VLOOKUP($B:$B,'IS(분기)'!$A:$F,$2:$2,0)),VLOOKUP($B:$B,'IS(분기)'!$A:$F,$2:$2,0),0)</f>
        <v>0</v>
      </c>
      <c r="Q823" s="207">
        <f>IF(ISNUMBER(VLOOKUP($B:$B,'IS(분기)'!$A:$F,$2:$2,0)),VLOOKUP($B:$B,'IS(분기)'!$A:$F,$2:$2,0),0)</f>
        <v>0</v>
      </c>
      <c r="R823" s="207">
        <f>IF(ISNUMBER(VLOOKUP($B:$B,'IS(분기)'!$A:$F,$2:$2,0)),VLOOKUP($B:$B,'IS(분기)'!$A:$F,$2:$2,0),0)</f>
        <v>0</v>
      </c>
    </row>
    <row r="824" spans="1:18" s="192" customFormat="1" ht="12">
      <c r="A824" s="201">
        <v>121200</v>
      </c>
      <c r="B824" s="194" t="s">
        <v>1370</v>
      </c>
      <c r="C824" s="217">
        <f>IF(ISNUMBER(VLOOKUP($B:$B,IS!$A:$F,$2:$2,0)),VLOOKUP($B:$B,IS!$A:$F,$2:$2,0),0)</f>
        <v>0</v>
      </c>
      <c r="D824" s="217">
        <f>IF(ISNUMBER(VLOOKUP($B:$B,IS!$A:$F,$2:$2,0)),VLOOKUP($B:$B,IS!$A:$F,$2:$2,0),0)</f>
        <v>0</v>
      </c>
      <c r="E824" s="217">
        <f>IF(ISNUMBER(VLOOKUP($B:$B,IS!$A:$F,$2:$2,0)),VLOOKUP($B:$B,IS!$A:$F,$2:$2,0),0)</f>
        <v>0</v>
      </c>
      <c r="F824" s="217">
        <f>IF(ISNUMBER(VLOOKUP($B:$B,IS!$A:$F,$2:$2,0)),VLOOKUP($B:$B,IS!$A:$F,$2:$2,0),0)</f>
        <v>0</v>
      </c>
      <c r="G824" s="217">
        <f>IF(ISNUMBER(VLOOKUP($B:$B,IS!$A:$F,$2:$2,0)),VLOOKUP($B:$B,IS!$A:$F,$2:$2,0),0)</f>
        <v>0</v>
      </c>
      <c r="H824" s="207">
        <f>IF(ISNUMBER(VLOOKUP($B:$B,'IS(과거)'!$A:$F,$2:$2,0)),VLOOKUP($B:$B,'IS(과거)'!$A:$F,$2:$2,0),0)</f>
        <v>0</v>
      </c>
      <c r="I824" s="207">
        <f>IF(ISNUMBER(VLOOKUP($B:$B,'IS(과거)'!$A:$F,$2:$2,0)),VLOOKUP($B:$B,'IS(과거)'!$A:$F,$2:$2,0),0)</f>
        <v>0</v>
      </c>
      <c r="J824" s="207">
        <f>IF(ISNUMBER(VLOOKUP($B:$B,'IS(과거)'!$A:$F,$2:$2,0)),VLOOKUP($B:$B,'IS(과거)'!$A:$F,$2:$2,0),0)</f>
        <v>0</v>
      </c>
      <c r="K824" s="207">
        <f>IF(ISNUMBER(VLOOKUP($B:$B,'IS(과거)'!$A:$F,$2:$2,0)),VLOOKUP($B:$B,'IS(과거)'!$A:$F,$2:$2,0),0)</f>
        <v>0</v>
      </c>
      <c r="L824" s="207">
        <f>IF(ISNUMBER(VLOOKUP($B:$B,'IS(과거)'!$A:$F,$2:$2,0)),VLOOKUP($B:$B,'IS(과거)'!$A:$F,$2:$2,0),0)</f>
        <v>0</v>
      </c>
      <c r="N824" s="207">
        <f>IF(ISNUMBER(VLOOKUP($B:$B,'IS(분기)'!$A:$F,$2:$2,0)),VLOOKUP($B:$B,'IS(분기)'!$A:$F,$2:$2,0),0)</f>
        <v>0</v>
      </c>
      <c r="O824" s="207">
        <f>IF(ISNUMBER(VLOOKUP($B:$B,'IS(분기)'!$A:$F,$2:$2,0)),VLOOKUP($B:$B,'IS(분기)'!$A:$F,$2:$2,0),0)</f>
        <v>0</v>
      </c>
      <c r="P824" s="207">
        <f>IF(ISNUMBER(VLOOKUP($B:$B,'IS(분기)'!$A:$F,$2:$2,0)),VLOOKUP($B:$B,'IS(분기)'!$A:$F,$2:$2,0),0)</f>
        <v>0</v>
      </c>
      <c r="Q824" s="207">
        <f>IF(ISNUMBER(VLOOKUP($B:$B,'IS(분기)'!$A:$F,$2:$2,0)),VLOOKUP($B:$B,'IS(분기)'!$A:$F,$2:$2,0),0)</f>
        <v>0</v>
      </c>
      <c r="R824" s="207">
        <f>IF(ISNUMBER(VLOOKUP($B:$B,'IS(분기)'!$A:$F,$2:$2,0)),VLOOKUP($B:$B,'IS(분기)'!$A:$F,$2:$2,0),0)</f>
        <v>0</v>
      </c>
    </row>
    <row r="825" spans="1:18" s="192" customFormat="1" ht="12">
      <c r="A825" s="201">
        <v>121300</v>
      </c>
      <c r="B825" s="194" t="s">
        <v>1371</v>
      </c>
      <c r="C825" s="217">
        <f>IF(ISNUMBER(VLOOKUP($B:$B,IS!$A:$F,$2:$2,0)),VLOOKUP($B:$B,IS!$A:$F,$2:$2,0),0)</f>
        <v>0</v>
      </c>
      <c r="D825" s="217">
        <f>IF(ISNUMBER(VLOOKUP($B:$B,IS!$A:$F,$2:$2,0)),VLOOKUP($B:$B,IS!$A:$F,$2:$2,0),0)</f>
        <v>0</v>
      </c>
      <c r="E825" s="217">
        <f>IF(ISNUMBER(VLOOKUP($B:$B,IS!$A:$F,$2:$2,0)),VLOOKUP($B:$B,IS!$A:$F,$2:$2,0),0)</f>
        <v>0</v>
      </c>
      <c r="F825" s="217">
        <f>IF(ISNUMBER(VLOOKUP($B:$B,IS!$A:$F,$2:$2,0)),VLOOKUP($B:$B,IS!$A:$F,$2:$2,0),0)</f>
        <v>0</v>
      </c>
      <c r="G825" s="217">
        <f>IF(ISNUMBER(VLOOKUP($B:$B,IS!$A:$F,$2:$2,0)),VLOOKUP($B:$B,IS!$A:$F,$2:$2,0),0)</f>
        <v>0</v>
      </c>
      <c r="H825" s="207">
        <f>IF(ISNUMBER(VLOOKUP($B:$B,'IS(과거)'!$A:$F,$2:$2,0)),VLOOKUP($B:$B,'IS(과거)'!$A:$F,$2:$2,0),0)</f>
        <v>0</v>
      </c>
      <c r="I825" s="207">
        <f>IF(ISNUMBER(VLOOKUP($B:$B,'IS(과거)'!$A:$F,$2:$2,0)),VLOOKUP($B:$B,'IS(과거)'!$A:$F,$2:$2,0),0)</f>
        <v>0</v>
      </c>
      <c r="J825" s="207">
        <f>IF(ISNUMBER(VLOOKUP($B:$B,'IS(과거)'!$A:$F,$2:$2,0)),VLOOKUP($B:$B,'IS(과거)'!$A:$F,$2:$2,0),0)</f>
        <v>0</v>
      </c>
      <c r="K825" s="207">
        <f>IF(ISNUMBER(VLOOKUP($B:$B,'IS(과거)'!$A:$F,$2:$2,0)),VLOOKUP($B:$B,'IS(과거)'!$A:$F,$2:$2,0),0)</f>
        <v>0</v>
      </c>
      <c r="L825" s="207">
        <f>IF(ISNUMBER(VLOOKUP($B:$B,'IS(과거)'!$A:$F,$2:$2,0)),VLOOKUP($B:$B,'IS(과거)'!$A:$F,$2:$2,0),0)</f>
        <v>0</v>
      </c>
      <c r="N825" s="207">
        <f>IF(ISNUMBER(VLOOKUP($B:$B,'IS(분기)'!$A:$F,$2:$2,0)),VLOOKUP($B:$B,'IS(분기)'!$A:$F,$2:$2,0),0)</f>
        <v>0</v>
      </c>
      <c r="O825" s="207">
        <f>IF(ISNUMBER(VLOOKUP($B:$B,'IS(분기)'!$A:$F,$2:$2,0)),VLOOKUP($B:$B,'IS(분기)'!$A:$F,$2:$2,0),0)</f>
        <v>0</v>
      </c>
      <c r="P825" s="207">
        <f>IF(ISNUMBER(VLOOKUP($B:$B,'IS(분기)'!$A:$F,$2:$2,0)),VLOOKUP($B:$B,'IS(분기)'!$A:$F,$2:$2,0),0)</f>
        <v>0</v>
      </c>
      <c r="Q825" s="207">
        <f>IF(ISNUMBER(VLOOKUP($B:$B,'IS(분기)'!$A:$F,$2:$2,0)),VLOOKUP($B:$B,'IS(분기)'!$A:$F,$2:$2,0),0)</f>
        <v>0</v>
      </c>
      <c r="R825" s="207">
        <f>IF(ISNUMBER(VLOOKUP($B:$B,'IS(분기)'!$A:$F,$2:$2,0)),VLOOKUP($B:$B,'IS(분기)'!$A:$F,$2:$2,0),0)</f>
        <v>0</v>
      </c>
    </row>
    <row r="826" spans="1:18" s="192" customFormat="1" ht="12">
      <c r="A826" s="201">
        <v>121400</v>
      </c>
      <c r="B826" s="194" t="s">
        <v>726</v>
      </c>
      <c r="C826" s="217">
        <f>IF(ISNUMBER(VLOOKUP($B:$B,IS!$A:$F,$2:$2,0)),VLOOKUP($B:$B,IS!$A:$F,$2:$2,0),0)</f>
        <v>0</v>
      </c>
      <c r="D826" s="217">
        <f>IF(ISNUMBER(VLOOKUP($B:$B,IS!$A:$F,$2:$2,0)),VLOOKUP($B:$B,IS!$A:$F,$2:$2,0),0)</f>
        <v>0</v>
      </c>
      <c r="E826" s="217">
        <f>IF(ISNUMBER(VLOOKUP($B:$B,IS!$A:$F,$2:$2,0)),VLOOKUP($B:$B,IS!$A:$F,$2:$2,0),0)</f>
        <v>0</v>
      </c>
      <c r="F826" s="217">
        <f>IF(ISNUMBER(VLOOKUP($B:$B,IS!$A:$F,$2:$2,0)),VLOOKUP($B:$B,IS!$A:$F,$2:$2,0),0)</f>
        <v>0</v>
      </c>
      <c r="G826" s="217">
        <f>IF(ISNUMBER(VLOOKUP($B:$B,IS!$A:$F,$2:$2,0)),VLOOKUP($B:$B,IS!$A:$F,$2:$2,0),0)</f>
        <v>0</v>
      </c>
      <c r="H826" s="207">
        <f>IF(ISNUMBER(VLOOKUP($B:$B,'IS(과거)'!$A:$F,$2:$2,0)),VLOOKUP($B:$B,'IS(과거)'!$A:$F,$2:$2,0),0)</f>
        <v>0</v>
      </c>
      <c r="I826" s="207">
        <f>IF(ISNUMBER(VLOOKUP($B:$B,'IS(과거)'!$A:$F,$2:$2,0)),VLOOKUP($B:$B,'IS(과거)'!$A:$F,$2:$2,0),0)</f>
        <v>0</v>
      </c>
      <c r="J826" s="207">
        <f>IF(ISNUMBER(VLOOKUP($B:$B,'IS(과거)'!$A:$F,$2:$2,0)),VLOOKUP($B:$B,'IS(과거)'!$A:$F,$2:$2,0),0)</f>
        <v>0</v>
      </c>
      <c r="K826" s="207">
        <f>IF(ISNUMBER(VLOOKUP($B:$B,'IS(과거)'!$A:$F,$2:$2,0)),VLOOKUP($B:$B,'IS(과거)'!$A:$F,$2:$2,0),0)</f>
        <v>0</v>
      </c>
      <c r="L826" s="207">
        <f>IF(ISNUMBER(VLOOKUP($B:$B,'IS(과거)'!$A:$F,$2:$2,0)),VLOOKUP($B:$B,'IS(과거)'!$A:$F,$2:$2,0),0)</f>
        <v>0</v>
      </c>
      <c r="N826" s="207">
        <f>IF(ISNUMBER(VLOOKUP($B:$B,'IS(분기)'!$A:$F,$2:$2,0)),VLOOKUP($B:$B,'IS(분기)'!$A:$F,$2:$2,0),0)</f>
        <v>0</v>
      </c>
      <c r="O826" s="207">
        <f>IF(ISNUMBER(VLOOKUP($B:$B,'IS(분기)'!$A:$F,$2:$2,0)),VLOOKUP($B:$B,'IS(분기)'!$A:$F,$2:$2,0),0)</f>
        <v>0</v>
      </c>
      <c r="P826" s="207">
        <f>IF(ISNUMBER(VLOOKUP($B:$B,'IS(분기)'!$A:$F,$2:$2,0)),VLOOKUP($B:$B,'IS(분기)'!$A:$F,$2:$2,0),0)</f>
        <v>0</v>
      </c>
      <c r="Q826" s="207">
        <f>IF(ISNUMBER(VLOOKUP($B:$B,'IS(분기)'!$A:$F,$2:$2,0)),VLOOKUP($B:$B,'IS(분기)'!$A:$F,$2:$2,0),0)</f>
        <v>0</v>
      </c>
      <c r="R826" s="207">
        <f>IF(ISNUMBER(VLOOKUP($B:$B,'IS(분기)'!$A:$F,$2:$2,0)),VLOOKUP($B:$B,'IS(분기)'!$A:$F,$2:$2,0),0)</f>
        <v>0</v>
      </c>
    </row>
    <row r="827" spans="1:18" s="192" customFormat="1" ht="12">
      <c r="A827" s="201">
        <v>121450</v>
      </c>
      <c r="B827" s="194" t="s">
        <v>1372</v>
      </c>
      <c r="C827" s="217">
        <f>IF(ISNUMBER(VLOOKUP($B:$B,IS!$A:$F,$2:$2,0)),VLOOKUP($B:$B,IS!$A:$F,$2:$2,0),0)</f>
        <v>0</v>
      </c>
      <c r="D827" s="217">
        <f>IF(ISNUMBER(VLOOKUP($B:$B,IS!$A:$F,$2:$2,0)),VLOOKUP($B:$B,IS!$A:$F,$2:$2,0),0)</f>
        <v>0</v>
      </c>
      <c r="E827" s="217">
        <f>IF(ISNUMBER(VLOOKUP($B:$B,IS!$A:$F,$2:$2,0)),VLOOKUP($B:$B,IS!$A:$F,$2:$2,0),0)</f>
        <v>0</v>
      </c>
      <c r="F827" s="217">
        <f>IF(ISNUMBER(VLOOKUP($B:$B,IS!$A:$F,$2:$2,0)),VLOOKUP($B:$B,IS!$A:$F,$2:$2,0),0)</f>
        <v>0</v>
      </c>
      <c r="G827" s="217">
        <f>IF(ISNUMBER(VLOOKUP($B:$B,IS!$A:$F,$2:$2,0)),VLOOKUP($B:$B,IS!$A:$F,$2:$2,0),0)</f>
        <v>0</v>
      </c>
      <c r="H827" s="207">
        <f>IF(ISNUMBER(VLOOKUP($B:$B,'IS(과거)'!$A:$F,$2:$2,0)),VLOOKUP($B:$B,'IS(과거)'!$A:$F,$2:$2,0),0)</f>
        <v>0</v>
      </c>
      <c r="I827" s="207">
        <f>IF(ISNUMBER(VLOOKUP($B:$B,'IS(과거)'!$A:$F,$2:$2,0)),VLOOKUP($B:$B,'IS(과거)'!$A:$F,$2:$2,0),0)</f>
        <v>0</v>
      </c>
      <c r="J827" s="207">
        <f>IF(ISNUMBER(VLOOKUP($B:$B,'IS(과거)'!$A:$F,$2:$2,0)),VLOOKUP($B:$B,'IS(과거)'!$A:$F,$2:$2,0),0)</f>
        <v>0</v>
      </c>
      <c r="K827" s="207">
        <f>IF(ISNUMBER(VLOOKUP($B:$B,'IS(과거)'!$A:$F,$2:$2,0)),VLOOKUP($B:$B,'IS(과거)'!$A:$F,$2:$2,0),0)</f>
        <v>0</v>
      </c>
      <c r="L827" s="207">
        <f>IF(ISNUMBER(VLOOKUP($B:$B,'IS(과거)'!$A:$F,$2:$2,0)),VLOOKUP($B:$B,'IS(과거)'!$A:$F,$2:$2,0),0)</f>
        <v>0</v>
      </c>
      <c r="N827" s="207">
        <f>IF(ISNUMBER(VLOOKUP($B:$B,'IS(분기)'!$A:$F,$2:$2,0)),VLOOKUP($B:$B,'IS(분기)'!$A:$F,$2:$2,0),0)</f>
        <v>0</v>
      </c>
      <c r="O827" s="207">
        <f>IF(ISNUMBER(VLOOKUP($B:$B,'IS(분기)'!$A:$F,$2:$2,0)),VLOOKUP($B:$B,'IS(분기)'!$A:$F,$2:$2,0),0)</f>
        <v>0</v>
      </c>
      <c r="P827" s="207">
        <f>IF(ISNUMBER(VLOOKUP($B:$B,'IS(분기)'!$A:$F,$2:$2,0)),VLOOKUP($B:$B,'IS(분기)'!$A:$F,$2:$2,0),0)</f>
        <v>0</v>
      </c>
      <c r="Q827" s="207">
        <f>IF(ISNUMBER(VLOOKUP($B:$B,'IS(분기)'!$A:$F,$2:$2,0)),VLOOKUP($B:$B,'IS(분기)'!$A:$F,$2:$2,0),0)</f>
        <v>0</v>
      </c>
      <c r="R827" s="207">
        <f>IF(ISNUMBER(VLOOKUP($B:$B,'IS(분기)'!$A:$F,$2:$2,0)),VLOOKUP($B:$B,'IS(분기)'!$A:$F,$2:$2,0),0)</f>
        <v>0</v>
      </c>
    </row>
    <row r="828" spans="1:18" s="192" customFormat="1" ht="12">
      <c r="A828" s="201">
        <v>121451</v>
      </c>
      <c r="B828" s="194" t="s">
        <v>1373</v>
      </c>
      <c r="C828" s="217">
        <f>IF(ISNUMBER(VLOOKUP($B:$B,IS!$A:$F,$2:$2,0)),VLOOKUP($B:$B,IS!$A:$F,$2:$2,0),0)</f>
        <v>0</v>
      </c>
      <c r="D828" s="217">
        <f>IF(ISNUMBER(VLOOKUP($B:$B,IS!$A:$F,$2:$2,0)),VLOOKUP($B:$B,IS!$A:$F,$2:$2,0),0)</f>
        <v>0</v>
      </c>
      <c r="E828" s="217">
        <f>IF(ISNUMBER(VLOOKUP($B:$B,IS!$A:$F,$2:$2,0)),VLOOKUP($B:$B,IS!$A:$F,$2:$2,0),0)</f>
        <v>0</v>
      </c>
      <c r="F828" s="217">
        <f>IF(ISNUMBER(VLOOKUP($B:$B,IS!$A:$F,$2:$2,0)),VLOOKUP($B:$B,IS!$A:$F,$2:$2,0),0)</f>
        <v>0</v>
      </c>
      <c r="G828" s="217">
        <f>IF(ISNUMBER(VLOOKUP($B:$B,IS!$A:$F,$2:$2,0)),VLOOKUP($B:$B,IS!$A:$F,$2:$2,0),0)</f>
        <v>0</v>
      </c>
      <c r="H828" s="207">
        <f>IF(ISNUMBER(VLOOKUP($B:$B,'IS(과거)'!$A:$F,$2:$2,0)),VLOOKUP($B:$B,'IS(과거)'!$A:$F,$2:$2,0),0)</f>
        <v>0</v>
      </c>
      <c r="I828" s="207">
        <f>IF(ISNUMBER(VLOOKUP($B:$B,'IS(과거)'!$A:$F,$2:$2,0)),VLOOKUP($B:$B,'IS(과거)'!$A:$F,$2:$2,0),0)</f>
        <v>0</v>
      </c>
      <c r="J828" s="207">
        <f>IF(ISNUMBER(VLOOKUP($B:$B,'IS(과거)'!$A:$F,$2:$2,0)),VLOOKUP($B:$B,'IS(과거)'!$A:$F,$2:$2,0),0)</f>
        <v>0</v>
      </c>
      <c r="K828" s="207">
        <f>IF(ISNUMBER(VLOOKUP($B:$B,'IS(과거)'!$A:$F,$2:$2,0)),VLOOKUP($B:$B,'IS(과거)'!$A:$F,$2:$2,0),0)</f>
        <v>0</v>
      </c>
      <c r="L828" s="207">
        <f>IF(ISNUMBER(VLOOKUP($B:$B,'IS(과거)'!$A:$F,$2:$2,0)),VLOOKUP($B:$B,'IS(과거)'!$A:$F,$2:$2,0),0)</f>
        <v>0</v>
      </c>
      <c r="N828" s="207">
        <f>IF(ISNUMBER(VLOOKUP($B:$B,'IS(분기)'!$A:$F,$2:$2,0)),VLOOKUP($B:$B,'IS(분기)'!$A:$F,$2:$2,0),0)</f>
        <v>0</v>
      </c>
      <c r="O828" s="207">
        <f>IF(ISNUMBER(VLOOKUP($B:$B,'IS(분기)'!$A:$F,$2:$2,0)),VLOOKUP($B:$B,'IS(분기)'!$A:$F,$2:$2,0),0)</f>
        <v>0</v>
      </c>
      <c r="P828" s="207">
        <f>IF(ISNUMBER(VLOOKUP($B:$B,'IS(분기)'!$A:$F,$2:$2,0)),VLOOKUP($B:$B,'IS(분기)'!$A:$F,$2:$2,0),0)</f>
        <v>0</v>
      </c>
      <c r="Q828" s="207">
        <f>IF(ISNUMBER(VLOOKUP($B:$B,'IS(분기)'!$A:$F,$2:$2,0)),VLOOKUP($B:$B,'IS(분기)'!$A:$F,$2:$2,0),0)</f>
        <v>0</v>
      </c>
      <c r="R828" s="207">
        <f>IF(ISNUMBER(VLOOKUP($B:$B,'IS(분기)'!$A:$F,$2:$2,0)),VLOOKUP($B:$B,'IS(분기)'!$A:$F,$2:$2,0),0)</f>
        <v>0</v>
      </c>
    </row>
    <row r="829" spans="1:18" s="192" customFormat="1" ht="12">
      <c r="A829" s="201">
        <v>121452</v>
      </c>
      <c r="B829" s="194" t="s">
        <v>1374</v>
      </c>
      <c r="C829" s="217">
        <f>IF(ISNUMBER(VLOOKUP($B:$B,IS!$A:$F,$2:$2,0)),VLOOKUP($B:$B,IS!$A:$F,$2:$2,0),0)</f>
        <v>0</v>
      </c>
      <c r="D829" s="217">
        <f>IF(ISNUMBER(VLOOKUP($B:$B,IS!$A:$F,$2:$2,0)),VLOOKUP($B:$B,IS!$A:$F,$2:$2,0),0)</f>
        <v>0</v>
      </c>
      <c r="E829" s="217">
        <f>IF(ISNUMBER(VLOOKUP($B:$B,IS!$A:$F,$2:$2,0)),VLOOKUP($B:$B,IS!$A:$F,$2:$2,0),0)</f>
        <v>0</v>
      </c>
      <c r="F829" s="217">
        <f>IF(ISNUMBER(VLOOKUP($B:$B,IS!$A:$F,$2:$2,0)),VLOOKUP($B:$B,IS!$A:$F,$2:$2,0),0)</f>
        <v>0</v>
      </c>
      <c r="G829" s="217">
        <f>IF(ISNUMBER(VLOOKUP($B:$B,IS!$A:$F,$2:$2,0)),VLOOKUP($B:$B,IS!$A:$F,$2:$2,0),0)</f>
        <v>0</v>
      </c>
      <c r="H829" s="207">
        <f>IF(ISNUMBER(VLOOKUP($B:$B,'IS(과거)'!$A:$F,$2:$2,0)),VLOOKUP($B:$B,'IS(과거)'!$A:$F,$2:$2,0),0)</f>
        <v>0</v>
      </c>
      <c r="I829" s="207">
        <f>IF(ISNUMBER(VLOOKUP($B:$B,'IS(과거)'!$A:$F,$2:$2,0)),VLOOKUP($B:$B,'IS(과거)'!$A:$F,$2:$2,0),0)</f>
        <v>0</v>
      </c>
      <c r="J829" s="207">
        <f>IF(ISNUMBER(VLOOKUP($B:$B,'IS(과거)'!$A:$F,$2:$2,0)),VLOOKUP($B:$B,'IS(과거)'!$A:$F,$2:$2,0),0)</f>
        <v>0</v>
      </c>
      <c r="K829" s="207">
        <f>IF(ISNUMBER(VLOOKUP($B:$B,'IS(과거)'!$A:$F,$2:$2,0)),VLOOKUP($B:$B,'IS(과거)'!$A:$F,$2:$2,0),0)</f>
        <v>0</v>
      </c>
      <c r="L829" s="207">
        <f>IF(ISNUMBER(VLOOKUP($B:$B,'IS(과거)'!$A:$F,$2:$2,0)),VLOOKUP($B:$B,'IS(과거)'!$A:$F,$2:$2,0),0)</f>
        <v>0</v>
      </c>
      <c r="N829" s="207">
        <f>IF(ISNUMBER(VLOOKUP($B:$B,'IS(분기)'!$A:$F,$2:$2,0)),VLOOKUP($B:$B,'IS(분기)'!$A:$F,$2:$2,0),0)</f>
        <v>0</v>
      </c>
      <c r="O829" s="207">
        <f>IF(ISNUMBER(VLOOKUP($B:$B,'IS(분기)'!$A:$F,$2:$2,0)),VLOOKUP($B:$B,'IS(분기)'!$A:$F,$2:$2,0),0)</f>
        <v>0</v>
      </c>
      <c r="P829" s="207">
        <f>IF(ISNUMBER(VLOOKUP($B:$B,'IS(분기)'!$A:$F,$2:$2,0)),VLOOKUP($B:$B,'IS(분기)'!$A:$F,$2:$2,0),0)</f>
        <v>0</v>
      </c>
      <c r="Q829" s="207">
        <f>IF(ISNUMBER(VLOOKUP($B:$B,'IS(분기)'!$A:$F,$2:$2,0)),VLOOKUP($B:$B,'IS(분기)'!$A:$F,$2:$2,0),0)</f>
        <v>0</v>
      </c>
      <c r="R829" s="207">
        <f>IF(ISNUMBER(VLOOKUP($B:$B,'IS(분기)'!$A:$F,$2:$2,0)),VLOOKUP($B:$B,'IS(분기)'!$A:$F,$2:$2,0),0)</f>
        <v>0</v>
      </c>
    </row>
    <row r="830" spans="1:18" s="192" customFormat="1" ht="12">
      <c r="A830" s="205">
        <v>122000</v>
      </c>
      <c r="B830" s="198" t="s">
        <v>8</v>
      </c>
      <c r="C830" s="217">
        <f>IF(ISNUMBER(VLOOKUP($B:$B,IS!$A:$F,$2:$2,0)),VLOOKUP($B:$B,IS!$A:$F,$2:$2,0),0)</f>
        <v>10593806</v>
      </c>
      <c r="D830" s="217">
        <f>IF(ISNUMBER(VLOOKUP($B:$B,IS!$A:$F,$2:$2,0)),VLOOKUP($B:$B,IS!$A:$F,$2:$2,0),0)</f>
        <v>0</v>
      </c>
      <c r="E830" s="217">
        <f>IF(ISNUMBER(VLOOKUP($B:$B,IS!$A:$F,$2:$2,0)),VLOOKUP($B:$B,IS!$A:$F,$2:$2,0),0)</f>
        <v>0</v>
      </c>
      <c r="F830" s="217">
        <f>IF(ISNUMBER(VLOOKUP($B:$B,IS!$A:$F,$2:$2,0)),VLOOKUP($B:$B,IS!$A:$F,$2:$2,0),0)</f>
        <v>0</v>
      </c>
      <c r="G830" s="217">
        <f>IF(ISNUMBER(VLOOKUP($B:$B,IS!$A:$F,$2:$2,0)),VLOOKUP($B:$B,IS!$A:$F,$2:$2,0),0)</f>
        <v>0</v>
      </c>
      <c r="H830" s="207">
        <f>IF(ISNUMBER(VLOOKUP($B:$B,'IS(과거)'!$A:$F,$2:$2,0)),VLOOKUP($B:$B,'IS(과거)'!$A:$F,$2:$2,0),0)</f>
        <v>0</v>
      </c>
      <c r="I830" s="207">
        <f>IF(ISNUMBER(VLOOKUP($B:$B,'IS(과거)'!$A:$F,$2:$2,0)),VLOOKUP($B:$B,'IS(과거)'!$A:$F,$2:$2,0),0)</f>
        <v>0</v>
      </c>
      <c r="J830" s="207">
        <f>IF(ISNUMBER(VLOOKUP($B:$B,'IS(과거)'!$A:$F,$2:$2,0)),VLOOKUP($B:$B,'IS(과거)'!$A:$F,$2:$2,0),0)</f>
        <v>0</v>
      </c>
      <c r="K830" s="207">
        <f>IF(ISNUMBER(VLOOKUP($B:$B,'IS(과거)'!$A:$F,$2:$2,0)),VLOOKUP($B:$B,'IS(과거)'!$A:$F,$2:$2,0),0)</f>
        <v>0</v>
      </c>
      <c r="L830" s="207">
        <f>IF(ISNUMBER(VLOOKUP($B:$B,'IS(과거)'!$A:$F,$2:$2,0)),VLOOKUP($B:$B,'IS(과거)'!$A:$F,$2:$2,0),0)</f>
        <v>0</v>
      </c>
      <c r="N830" s="207">
        <f>IF(ISNUMBER(VLOOKUP($B:$B,'IS(분기)'!$A:$F,$2:$2,0)),VLOOKUP($B:$B,'IS(분기)'!$A:$F,$2:$2,0),0)</f>
        <v>0</v>
      </c>
      <c r="O830" s="207">
        <f>IF(ISNUMBER(VLOOKUP($B:$B,'IS(분기)'!$A:$F,$2:$2,0)),VLOOKUP($B:$B,'IS(분기)'!$A:$F,$2:$2,0),0)</f>
        <v>0</v>
      </c>
      <c r="P830" s="207">
        <f>IF(ISNUMBER(VLOOKUP($B:$B,'IS(분기)'!$A:$F,$2:$2,0)),VLOOKUP($B:$B,'IS(분기)'!$A:$F,$2:$2,0),0)</f>
        <v>0</v>
      </c>
      <c r="Q830" s="207">
        <f>IF(ISNUMBER(VLOOKUP($B:$B,'IS(분기)'!$A:$F,$2:$2,0)),VLOOKUP($B:$B,'IS(분기)'!$A:$F,$2:$2,0),0)</f>
        <v>0</v>
      </c>
      <c r="R830" s="207">
        <f>IF(ISNUMBER(VLOOKUP($B:$B,'IS(분기)'!$A:$F,$2:$2,0)),VLOOKUP($B:$B,'IS(분기)'!$A:$F,$2:$2,0),0)</f>
        <v>0</v>
      </c>
    </row>
    <row r="831" spans="1:18" s="192" customFormat="1" ht="12">
      <c r="A831" s="201">
        <v>122100</v>
      </c>
      <c r="B831" s="194" t="s">
        <v>1375</v>
      </c>
      <c r="C831" s="217">
        <f>IF(ISNUMBER(VLOOKUP($B:$B,IS!$A:$F,$2:$2,0)),VLOOKUP($B:$B,IS!$A:$F,$2:$2,0),0)</f>
        <v>324330</v>
      </c>
      <c r="D831" s="217">
        <f>IF(ISNUMBER(VLOOKUP($B:$B,IS!$A:$F,$2:$2,0)),VLOOKUP($B:$B,IS!$A:$F,$2:$2,0),0)</f>
        <v>0</v>
      </c>
      <c r="E831" s="217">
        <f>IF(ISNUMBER(VLOOKUP($B:$B,IS!$A:$F,$2:$2,0)),VLOOKUP($B:$B,IS!$A:$F,$2:$2,0),0)</f>
        <v>0</v>
      </c>
      <c r="F831" s="217">
        <f>IF(ISNUMBER(VLOOKUP($B:$B,IS!$A:$F,$2:$2,0)),VLOOKUP($B:$B,IS!$A:$F,$2:$2,0),0)</f>
        <v>0</v>
      </c>
      <c r="G831" s="217">
        <f>IF(ISNUMBER(VLOOKUP($B:$B,IS!$A:$F,$2:$2,0)),VLOOKUP($B:$B,IS!$A:$F,$2:$2,0),0)</f>
        <v>0</v>
      </c>
      <c r="H831" s="207">
        <f>IF(ISNUMBER(VLOOKUP($B:$B,'IS(과거)'!$A:$F,$2:$2,0)),VLOOKUP($B:$B,'IS(과거)'!$A:$F,$2:$2,0),0)</f>
        <v>0</v>
      </c>
      <c r="I831" s="207">
        <f>IF(ISNUMBER(VLOOKUP($B:$B,'IS(과거)'!$A:$F,$2:$2,0)),VLOOKUP($B:$B,'IS(과거)'!$A:$F,$2:$2,0),0)</f>
        <v>0</v>
      </c>
      <c r="J831" s="207">
        <f>IF(ISNUMBER(VLOOKUP($B:$B,'IS(과거)'!$A:$F,$2:$2,0)),VLOOKUP($B:$B,'IS(과거)'!$A:$F,$2:$2,0),0)</f>
        <v>0</v>
      </c>
      <c r="K831" s="207">
        <f>IF(ISNUMBER(VLOOKUP($B:$B,'IS(과거)'!$A:$F,$2:$2,0)),VLOOKUP($B:$B,'IS(과거)'!$A:$F,$2:$2,0),0)</f>
        <v>0</v>
      </c>
      <c r="L831" s="207">
        <f>IF(ISNUMBER(VLOOKUP($B:$B,'IS(과거)'!$A:$F,$2:$2,0)),VLOOKUP($B:$B,'IS(과거)'!$A:$F,$2:$2,0),0)</f>
        <v>0</v>
      </c>
      <c r="N831" s="207">
        <f>IF(ISNUMBER(VLOOKUP($B:$B,'IS(분기)'!$A:$F,$2:$2,0)),VLOOKUP($B:$B,'IS(분기)'!$A:$F,$2:$2,0),0)</f>
        <v>0</v>
      </c>
      <c r="O831" s="207">
        <f>IF(ISNUMBER(VLOOKUP($B:$B,'IS(분기)'!$A:$F,$2:$2,0)),VLOOKUP($B:$B,'IS(분기)'!$A:$F,$2:$2,0),0)</f>
        <v>0</v>
      </c>
      <c r="P831" s="207">
        <f>IF(ISNUMBER(VLOOKUP($B:$B,'IS(분기)'!$A:$F,$2:$2,0)),VLOOKUP($B:$B,'IS(분기)'!$A:$F,$2:$2,0),0)</f>
        <v>0</v>
      </c>
      <c r="Q831" s="207">
        <f>IF(ISNUMBER(VLOOKUP($B:$B,'IS(분기)'!$A:$F,$2:$2,0)),VLOOKUP($B:$B,'IS(분기)'!$A:$F,$2:$2,0),0)</f>
        <v>0</v>
      </c>
      <c r="R831" s="207">
        <f>IF(ISNUMBER(VLOOKUP($B:$B,'IS(분기)'!$A:$F,$2:$2,0)),VLOOKUP($B:$B,'IS(분기)'!$A:$F,$2:$2,0),0)</f>
        <v>0</v>
      </c>
    </row>
    <row r="832" spans="1:18" s="192" customFormat="1" ht="12">
      <c r="A832" s="202">
        <v>122110</v>
      </c>
      <c r="B832" s="195" t="s">
        <v>1376</v>
      </c>
      <c r="C832" s="217">
        <f>IF(ISNUMBER(VLOOKUP($B:$B,IS!$A:$F,$2:$2,0)),VLOOKUP($B:$B,IS!$A:$F,$2:$2,0),0)</f>
        <v>510545</v>
      </c>
      <c r="D832" s="217">
        <f>IF(ISNUMBER(VLOOKUP($B:$B,IS!$A:$F,$2:$2,0)),VLOOKUP($B:$B,IS!$A:$F,$2:$2,0),0)</f>
        <v>0</v>
      </c>
      <c r="E832" s="217">
        <f>IF(ISNUMBER(VLOOKUP($B:$B,IS!$A:$F,$2:$2,0)),VLOOKUP($B:$B,IS!$A:$F,$2:$2,0),0)</f>
        <v>0</v>
      </c>
      <c r="F832" s="217">
        <f>IF(ISNUMBER(VLOOKUP($B:$B,IS!$A:$F,$2:$2,0)),VLOOKUP($B:$B,IS!$A:$F,$2:$2,0),0)</f>
        <v>0</v>
      </c>
      <c r="G832" s="217">
        <f>IF(ISNUMBER(VLOOKUP($B:$B,IS!$A:$F,$2:$2,0)),VLOOKUP($B:$B,IS!$A:$F,$2:$2,0),0)</f>
        <v>0</v>
      </c>
      <c r="H832" s="207">
        <f>IF(ISNUMBER(VLOOKUP($B:$B,'IS(과거)'!$A:$F,$2:$2,0)),VLOOKUP($B:$B,'IS(과거)'!$A:$F,$2:$2,0),0)</f>
        <v>0</v>
      </c>
      <c r="I832" s="207">
        <f>IF(ISNUMBER(VLOOKUP($B:$B,'IS(과거)'!$A:$F,$2:$2,0)),VLOOKUP($B:$B,'IS(과거)'!$A:$F,$2:$2,0),0)</f>
        <v>0</v>
      </c>
      <c r="J832" s="207">
        <f>IF(ISNUMBER(VLOOKUP($B:$B,'IS(과거)'!$A:$F,$2:$2,0)),VLOOKUP($B:$B,'IS(과거)'!$A:$F,$2:$2,0),0)</f>
        <v>0</v>
      </c>
      <c r="K832" s="207">
        <f>IF(ISNUMBER(VLOOKUP($B:$B,'IS(과거)'!$A:$F,$2:$2,0)),VLOOKUP($B:$B,'IS(과거)'!$A:$F,$2:$2,0),0)</f>
        <v>0</v>
      </c>
      <c r="L832" s="207">
        <f>IF(ISNUMBER(VLOOKUP($B:$B,'IS(과거)'!$A:$F,$2:$2,0)),VLOOKUP($B:$B,'IS(과거)'!$A:$F,$2:$2,0),0)</f>
        <v>0</v>
      </c>
      <c r="N832" s="207">
        <f>IF(ISNUMBER(VLOOKUP($B:$B,'IS(분기)'!$A:$F,$2:$2,0)),VLOOKUP($B:$B,'IS(분기)'!$A:$F,$2:$2,0),0)</f>
        <v>0</v>
      </c>
      <c r="O832" s="207">
        <f>IF(ISNUMBER(VLOOKUP($B:$B,'IS(분기)'!$A:$F,$2:$2,0)),VLOOKUP($B:$B,'IS(분기)'!$A:$F,$2:$2,0),0)</f>
        <v>0</v>
      </c>
      <c r="P832" s="207">
        <f>IF(ISNUMBER(VLOOKUP($B:$B,'IS(분기)'!$A:$F,$2:$2,0)),VLOOKUP($B:$B,'IS(분기)'!$A:$F,$2:$2,0),0)</f>
        <v>0</v>
      </c>
      <c r="Q832" s="207">
        <f>IF(ISNUMBER(VLOOKUP($B:$B,'IS(분기)'!$A:$F,$2:$2,0)),VLOOKUP($B:$B,'IS(분기)'!$A:$F,$2:$2,0),0)</f>
        <v>0</v>
      </c>
      <c r="R832" s="207">
        <f>IF(ISNUMBER(VLOOKUP($B:$B,'IS(분기)'!$A:$F,$2:$2,0)),VLOOKUP($B:$B,'IS(분기)'!$A:$F,$2:$2,0),0)</f>
        <v>0</v>
      </c>
    </row>
    <row r="833" spans="1:18" s="192" customFormat="1" ht="12">
      <c r="A833" s="202">
        <v>122120</v>
      </c>
      <c r="B833" s="195" t="s">
        <v>1377</v>
      </c>
      <c r="C833" s="217">
        <f>IF(ISNUMBER(VLOOKUP($B:$B,IS!$A:$F,$2:$2,0)),VLOOKUP($B:$B,IS!$A:$F,$2:$2,0),0)</f>
        <v>1315112</v>
      </c>
      <c r="D833" s="217">
        <f>IF(ISNUMBER(VLOOKUP($B:$B,IS!$A:$F,$2:$2,0)),VLOOKUP($B:$B,IS!$A:$F,$2:$2,0),0)</f>
        <v>0</v>
      </c>
      <c r="E833" s="217">
        <f>IF(ISNUMBER(VLOOKUP($B:$B,IS!$A:$F,$2:$2,0)),VLOOKUP($B:$B,IS!$A:$F,$2:$2,0),0)</f>
        <v>0</v>
      </c>
      <c r="F833" s="217">
        <f>IF(ISNUMBER(VLOOKUP($B:$B,IS!$A:$F,$2:$2,0)),VLOOKUP($B:$B,IS!$A:$F,$2:$2,0),0)</f>
        <v>0</v>
      </c>
      <c r="G833" s="217">
        <f>IF(ISNUMBER(VLOOKUP($B:$B,IS!$A:$F,$2:$2,0)),VLOOKUP($B:$B,IS!$A:$F,$2:$2,0),0)</f>
        <v>0</v>
      </c>
      <c r="H833" s="207">
        <f>IF(ISNUMBER(VLOOKUP($B:$B,'IS(과거)'!$A:$F,$2:$2,0)),VLOOKUP($B:$B,'IS(과거)'!$A:$F,$2:$2,0),0)</f>
        <v>0</v>
      </c>
      <c r="I833" s="207">
        <f>IF(ISNUMBER(VLOOKUP($B:$B,'IS(과거)'!$A:$F,$2:$2,0)),VLOOKUP($B:$B,'IS(과거)'!$A:$F,$2:$2,0),0)</f>
        <v>0</v>
      </c>
      <c r="J833" s="207">
        <f>IF(ISNUMBER(VLOOKUP($B:$B,'IS(과거)'!$A:$F,$2:$2,0)),VLOOKUP($B:$B,'IS(과거)'!$A:$F,$2:$2,0),0)</f>
        <v>0</v>
      </c>
      <c r="K833" s="207">
        <f>IF(ISNUMBER(VLOOKUP($B:$B,'IS(과거)'!$A:$F,$2:$2,0)),VLOOKUP($B:$B,'IS(과거)'!$A:$F,$2:$2,0),0)</f>
        <v>0</v>
      </c>
      <c r="L833" s="207">
        <f>IF(ISNUMBER(VLOOKUP($B:$B,'IS(과거)'!$A:$F,$2:$2,0)),VLOOKUP($B:$B,'IS(과거)'!$A:$F,$2:$2,0),0)</f>
        <v>0</v>
      </c>
      <c r="N833" s="207">
        <f>IF(ISNUMBER(VLOOKUP($B:$B,'IS(분기)'!$A:$F,$2:$2,0)),VLOOKUP($B:$B,'IS(분기)'!$A:$F,$2:$2,0),0)</f>
        <v>0</v>
      </c>
      <c r="O833" s="207">
        <f>IF(ISNUMBER(VLOOKUP($B:$B,'IS(분기)'!$A:$F,$2:$2,0)),VLOOKUP($B:$B,'IS(분기)'!$A:$F,$2:$2,0),0)</f>
        <v>0</v>
      </c>
      <c r="P833" s="207">
        <f>IF(ISNUMBER(VLOOKUP($B:$B,'IS(분기)'!$A:$F,$2:$2,0)),VLOOKUP($B:$B,'IS(분기)'!$A:$F,$2:$2,0),0)</f>
        <v>0</v>
      </c>
      <c r="Q833" s="207">
        <f>IF(ISNUMBER(VLOOKUP($B:$B,'IS(분기)'!$A:$F,$2:$2,0)),VLOOKUP($B:$B,'IS(분기)'!$A:$F,$2:$2,0),0)</f>
        <v>0</v>
      </c>
      <c r="R833" s="207">
        <f>IF(ISNUMBER(VLOOKUP($B:$B,'IS(분기)'!$A:$F,$2:$2,0)),VLOOKUP($B:$B,'IS(분기)'!$A:$F,$2:$2,0),0)</f>
        <v>0</v>
      </c>
    </row>
    <row r="834" spans="1:18" s="192" customFormat="1" ht="12">
      <c r="A834" s="202">
        <v>122125</v>
      </c>
      <c r="B834" s="195" t="s">
        <v>1378</v>
      </c>
      <c r="C834" s="217">
        <f>IF(ISNUMBER(VLOOKUP($B:$B,IS!$A:$F,$2:$2,0)),VLOOKUP($B:$B,IS!$A:$F,$2:$2,0),0)</f>
        <v>0</v>
      </c>
      <c r="D834" s="217">
        <f>IF(ISNUMBER(VLOOKUP($B:$B,IS!$A:$F,$2:$2,0)),VLOOKUP($B:$B,IS!$A:$F,$2:$2,0),0)</f>
        <v>0</v>
      </c>
      <c r="E834" s="217">
        <f>IF(ISNUMBER(VLOOKUP($B:$B,IS!$A:$F,$2:$2,0)),VLOOKUP($B:$B,IS!$A:$F,$2:$2,0),0)</f>
        <v>0</v>
      </c>
      <c r="F834" s="217">
        <f>IF(ISNUMBER(VLOOKUP($B:$B,IS!$A:$F,$2:$2,0)),VLOOKUP($B:$B,IS!$A:$F,$2:$2,0),0)</f>
        <v>0</v>
      </c>
      <c r="G834" s="217">
        <f>IF(ISNUMBER(VLOOKUP($B:$B,IS!$A:$F,$2:$2,0)),VLOOKUP($B:$B,IS!$A:$F,$2:$2,0),0)</f>
        <v>0</v>
      </c>
      <c r="H834" s="207">
        <f>IF(ISNUMBER(VLOOKUP($B:$B,'IS(과거)'!$A:$F,$2:$2,0)),VLOOKUP($B:$B,'IS(과거)'!$A:$F,$2:$2,0),0)</f>
        <v>0</v>
      </c>
      <c r="I834" s="207">
        <f>IF(ISNUMBER(VLOOKUP($B:$B,'IS(과거)'!$A:$F,$2:$2,0)),VLOOKUP($B:$B,'IS(과거)'!$A:$F,$2:$2,0),0)</f>
        <v>0</v>
      </c>
      <c r="J834" s="207">
        <f>IF(ISNUMBER(VLOOKUP($B:$B,'IS(과거)'!$A:$F,$2:$2,0)),VLOOKUP($B:$B,'IS(과거)'!$A:$F,$2:$2,0),0)</f>
        <v>0</v>
      </c>
      <c r="K834" s="207">
        <f>IF(ISNUMBER(VLOOKUP($B:$B,'IS(과거)'!$A:$F,$2:$2,0)),VLOOKUP($B:$B,'IS(과거)'!$A:$F,$2:$2,0),0)</f>
        <v>0</v>
      </c>
      <c r="L834" s="207">
        <f>IF(ISNUMBER(VLOOKUP($B:$B,'IS(과거)'!$A:$F,$2:$2,0)),VLOOKUP($B:$B,'IS(과거)'!$A:$F,$2:$2,0),0)</f>
        <v>0</v>
      </c>
      <c r="N834" s="207">
        <f>IF(ISNUMBER(VLOOKUP($B:$B,'IS(분기)'!$A:$F,$2:$2,0)),VLOOKUP($B:$B,'IS(분기)'!$A:$F,$2:$2,0),0)</f>
        <v>0</v>
      </c>
      <c r="O834" s="207">
        <f>IF(ISNUMBER(VLOOKUP($B:$B,'IS(분기)'!$A:$F,$2:$2,0)),VLOOKUP($B:$B,'IS(분기)'!$A:$F,$2:$2,0),0)</f>
        <v>0</v>
      </c>
      <c r="P834" s="207">
        <f>IF(ISNUMBER(VLOOKUP($B:$B,'IS(분기)'!$A:$F,$2:$2,0)),VLOOKUP($B:$B,'IS(분기)'!$A:$F,$2:$2,0),0)</f>
        <v>0</v>
      </c>
      <c r="Q834" s="207">
        <f>IF(ISNUMBER(VLOOKUP($B:$B,'IS(분기)'!$A:$F,$2:$2,0)),VLOOKUP($B:$B,'IS(분기)'!$A:$F,$2:$2,0),0)</f>
        <v>0</v>
      </c>
      <c r="R834" s="207">
        <f>IF(ISNUMBER(VLOOKUP($B:$B,'IS(분기)'!$A:$F,$2:$2,0)),VLOOKUP($B:$B,'IS(분기)'!$A:$F,$2:$2,0),0)</f>
        <v>0</v>
      </c>
    </row>
    <row r="835" spans="1:18" s="192" customFormat="1" ht="12">
      <c r="A835" s="202">
        <v>122126</v>
      </c>
      <c r="B835" s="195" t="s">
        <v>1379</v>
      </c>
      <c r="C835" s="217">
        <f>IF(ISNUMBER(VLOOKUP($B:$B,IS!$A:$F,$2:$2,0)),VLOOKUP($B:$B,IS!$A:$F,$2:$2,0),0)</f>
        <v>0</v>
      </c>
      <c r="D835" s="217">
        <f>IF(ISNUMBER(VLOOKUP($B:$B,IS!$A:$F,$2:$2,0)),VLOOKUP($B:$B,IS!$A:$F,$2:$2,0),0)</f>
        <v>0</v>
      </c>
      <c r="E835" s="217">
        <f>IF(ISNUMBER(VLOOKUP($B:$B,IS!$A:$F,$2:$2,0)),VLOOKUP($B:$B,IS!$A:$F,$2:$2,0),0)</f>
        <v>0</v>
      </c>
      <c r="F835" s="217">
        <f>IF(ISNUMBER(VLOOKUP($B:$B,IS!$A:$F,$2:$2,0)),VLOOKUP($B:$B,IS!$A:$F,$2:$2,0),0)</f>
        <v>0</v>
      </c>
      <c r="G835" s="217">
        <f>IF(ISNUMBER(VLOOKUP($B:$B,IS!$A:$F,$2:$2,0)),VLOOKUP($B:$B,IS!$A:$F,$2:$2,0),0)</f>
        <v>0</v>
      </c>
      <c r="H835" s="207">
        <f>IF(ISNUMBER(VLOOKUP($B:$B,'IS(과거)'!$A:$F,$2:$2,0)),VLOOKUP($B:$B,'IS(과거)'!$A:$F,$2:$2,0),0)</f>
        <v>0</v>
      </c>
      <c r="I835" s="207">
        <f>IF(ISNUMBER(VLOOKUP($B:$B,'IS(과거)'!$A:$F,$2:$2,0)),VLOOKUP($B:$B,'IS(과거)'!$A:$F,$2:$2,0),0)</f>
        <v>0</v>
      </c>
      <c r="J835" s="207">
        <f>IF(ISNUMBER(VLOOKUP($B:$B,'IS(과거)'!$A:$F,$2:$2,0)),VLOOKUP($B:$B,'IS(과거)'!$A:$F,$2:$2,0),0)</f>
        <v>0</v>
      </c>
      <c r="K835" s="207">
        <f>IF(ISNUMBER(VLOOKUP($B:$B,'IS(과거)'!$A:$F,$2:$2,0)),VLOOKUP($B:$B,'IS(과거)'!$A:$F,$2:$2,0),0)</f>
        <v>0</v>
      </c>
      <c r="L835" s="207">
        <f>IF(ISNUMBER(VLOOKUP($B:$B,'IS(과거)'!$A:$F,$2:$2,0)),VLOOKUP($B:$B,'IS(과거)'!$A:$F,$2:$2,0),0)</f>
        <v>0</v>
      </c>
      <c r="N835" s="207">
        <f>IF(ISNUMBER(VLOOKUP($B:$B,'IS(분기)'!$A:$F,$2:$2,0)),VLOOKUP($B:$B,'IS(분기)'!$A:$F,$2:$2,0),0)</f>
        <v>0</v>
      </c>
      <c r="O835" s="207">
        <f>IF(ISNUMBER(VLOOKUP($B:$B,'IS(분기)'!$A:$F,$2:$2,0)),VLOOKUP($B:$B,'IS(분기)'!$A:$F,$2:$2,0),0)</f>
        <v>0</v>
      </c>
      <c r="P835" s="207">
        <f>IF(ISNUMBER(VLOOKUP($B:$B,'IS(분기)'!$A:$F,$2:$2,0)),VLOOKUP($B:$B,'IS(분기)'!$A:$F,$2:$2,0),0)</f>
        <v>0</v>
      </c>
      <c r="Q835" s="207">
        <f>IF(ISNUMBER(VLOOKUP($B:$B,'IS(분기)'!$A:$F,$2:$2,0)),VLOOKUP($B:$B,'IS(분기)'!$A:$F,$2:$2,0),0)</f>
        <v>0</v>
      </c>
      <c r="R835" s="207">
        <f>IF(ISNUMBER(VLOOKUP($B:$B,'IS(분기)'!$A:$F,$2:$2,0)),VLOOKUP($B:$B,'IS(분기)'!$A:$F,$2:$2,0),0)</f>
        <v>0</v>
      </c>
    </row>
    <row r="836" spans="1:18" s="192" customFormat="1" ht="12">
      <c r="A836" s="202">
        <v>122130</v>
      </c>
      <c r="B836" s="195" t="s">
        <v>1380</v>
      </c>
      <c r="C836" s="217">
        <f>IF(ISNUMBER(VLOOKUP($B:$B,IS!$A:$F,$2:$2,0)),VLOOKUP($B:$B,IS!$A:$F,$2:$2,0),0)</f>
        <v>0</v>
      </c>
      <c r="D836" s="217">
        <f>IF(ISNUMBER(VLOOKUP($B:$B,IS!$A:$F,$2:$2,0)),VLOOKUP($B:$B,IS!$A:$F,$2:$2,0),0)</f>
        <v>0</v>
      </c>
      <c r="E836" s="217">
        <f>IF(ISNUMBER(VLOOKUP($B:$B,IS!$A:$F,$2:$2,0)),VLOOKUP($B:$B,IS!$A:$F,$2:$2,0),0)</f>
        <v>0</v>
      </c>
      <c r="F836" s="217">
        <f>IF(ISNUMBER(VLOOKUP($B:$B,IS!$A:$F,$2:$2,0)),VLOOKUP($B:$B,IS!$A:$F,$2:$2,0),0)</f>
        <v>0</v>
      </c>
      <c r="G836" s="217">
        <f>IF(ISNUMBER(VLOOKUP($B:$B,IS!$A:$F,$2:$2,0)),VLOOKUP($B:$B,IS!$A:$F,$2:$2,0),0)</f>
        <v>0</v>
      </c>
      <c r="H836" s="207">
        <f>IF(ISNUMBER(VLOOKUP($B:$B,'IS(과거)'!$A:$F,$2:$2,0)),VLOOKUP($B:$B,'IS(과거)'!$A:$F,$2:$2,0),0)</f>
        <v>0</v>
      </c>
      <c r="I836" s="207">
        <f>IF(ISNUMBER(VLOOKUP($B:$B,'IS(과거)'!$A:$F,$2:$2,0)),VLOOKUP($B:$B,'IS(과거)'!$A:$F,$2:$2,0),0)</f>
        <v>0</v>
      </c>
      <c r="J836" s="207">
        <f>IF(ISNUMBER(VLOOKUP($B:$B,'IS(과거)'!$A:$F,$2:$2,0)),VLOOKUP($B:$B,'IS(과거)'!$A:$F,$2:$2,0),0)</f>
        <v>0</v>
      </c>
      <c r="K836" s="207">
        <f>IF(ISNUMBER(VLOOKUP($B:$B,'IS(과거)'!$A:$F,$2:$2,0)),VLOOKUP($B:$B,'IS(과거)'!$A:$F,$2:$2,0),0)</f>
        <v>0</v>
      </c>
      <c r="L836" s="207">
        <f>IF(ISNUMBER(VLOOKUP($B:$B,'IS(과거)'!$A:$F,$2:$2,0)),VLOOKUP($B:$B,'IS(과거)'!$A:$F,$2:$2,0),0)</f>
        <v>0</v>
      </c>
      <c r="N836" s="207">
        <f>IF(ISNUMBER(VLOOKUP($B:$B,'IS(분기)'!$A:$F,$2:$2,0)),VLOOKUP($B:$B,'IS(분기)'!$A:$F,$2:$2,0),0)</f>
        <v>0</v>
      </c>
      <c r="O836" s="207">
        <f>IF(ISNUMBER(VLOOKUP($B:$B,'IS(분기)'!$A:$F,$2:$2,0)),VLOOKUP($B:$B,'IS(분기)'!$A:$F,$2:$2,0),0)</f>
        <v>0</v>
      </c>
      <c r="P836" s="207">
        <f>IF(ISNUMBER(VLOOKUP($B:$B,'IS(분기)'!$A:$F,$2:$2,0)),VLOOKUP($B:$B,'IS(분기)'!$A:$F,$2:$2,0),0)</f>
        <v>0</v>
      </c>
      <c r="Q836" s="207">
        <f>IF(ISNUMBER(VLOOKUP($B:$B,'IS(분기)'!$A:$F,$2:$2,0)),VLOOKUP($B:$B,'IS(분기)'!$A:$F,$2:$2,0),0)</f>
        <v>0</v>
      </c>
      <c r="R836" s="207">
        <f>IF(ISNUMBER(VLOOKUP($B:$B,'IS(분기)'!$A:$F,$2:$2,0)),VLOOKUP($B:$B,'IS(분기)'!$A:$F,$2:$2,0),0)</f>
        <v>0</v>
      </c>
    </row>
    <row r="837" spans="1:18" s="192" customFormat="1" ht="12">
      <c r="A837" s="202">
        <v>122140</v>
      </c>
      <c r="B837" s="195" t="s">
        <v>1381</v>
      </c>
      <c r="C837" s="217">
        <f>IF(ISNUMBER(VLOOKUP($B:$B,IS!$A:$F,$2:$2,0)),VLOOKUP($B:$B,IS!$A:$F,$2:$2,0),0)</f>
        <v>1501327</v>
      </c>
      <c r="D837" s="217">
        <f>IF(ISNUMBER(VLOOKUP($B:$B,IS!$A:$F,$2:$2,0)),VLOOKUP($B:$B,IS!$A:$F,$2:$2,0),0)</f>
        <v>0</v>
      </c>
      <c r="E837" s="217">
        <f>IF(ISNUMBER(VLOOKUP($B:$B,IS!$A:$F,$2:$2,0)),VLOOKUP($B:$B,IS!$A:$F,$2:$2,0),0)</f>
        <v>0</v>
      </c>
      <c r="F837" s="217">
        <f>IF(ISNUMBER(VLOOKUP($B:$B,IS!$A:$F,$2:$2,0)),VLOOKUP($B:$B,IS!$A:$F,$2:$2,0),0)</f>
        <v>0</v>
      </c>
      <c r="G837" s="217">
        <f>IF(ISNUMBER(VLOOKUP($B:$B,IS!$A:$F,$2:$2,0)),VLOOKUP($B:$B,IS!$A:$F,$2:$2,0),0)</f>
        <v>0</v>
      </c>
      <c r="H837" s="207">
        <f>IF(ISNUMBER(VLOOKUP($B:$B,'IS(과거)'!$A:$F,$2:$2,0)),VLOOKUP($B:$B,'IS(과거)'!$A:$F,$2:$2,0),0)</f>
        <v>0</v>
      </c>
      <c r="I837" s="207">
        <f>IF(ISNUMBER(VLOOKUP($B:$B,'IS(과거)'!$A:$F,$2:$2,0)),VLOOKUP($B:$B,'IS(과거)'!$A:$F,$2:$2,0),0)</f>
        <v>0</v>
      </c>
      <c r="J837" s="207">
        <f>IF(ISNUMBER(VLOOKUP($B:$B,'IS(과거)'!$A:$F,$2:$2,0)),VLOOKUP($B:$B,'IS(과거)'!$A:$F,$2:$2,0),0)</f>
        <v>0</v>
      </c>
      <c r="K837" s="207">
        <f>IF(ISNUMBER(VLOOKUP($B:$B,'IS(과거)'!$A:$F,$2:$2,0)),VLOOKUP($B:$B,'IS(과거)'!$A:$F,$2:$2,0),0)</f>
        <v>0</v>
      </c>
      <c r="L837" s="207">
        <f>IF(ISNUMBER(VLOOKUP($B:$B,'IS(과거)'!$A:$F,$2:$2,0)),VLOOKUP($B:$B,'IS(과거)'!$A:$F,$2:$2,0),0)</f>
        <v>0</v>
      </c>
      <c r="N837" s="207">
        <f>IF(ISNUMBER(VLOOKUP($B:$B,'IS(분기)'!$A:$F,$2:$2,0)),VLOOKUP($B:$B,'IS(분기)'!$A:$F,$2:$2,0),0)</f>
        <v>0</v>
      </c>
      <c r="O837" s="207">
        <f>IF(ISNUMBER(VLOOKUP($B:$B,'IS(분기)'!$A:$F,$2:$2,0)),VLOOKUP($B:$B,'IS(분기)'!$A:$F,$2:$2,0),0)</f>
        <v>0</v>
      </c>
      <c r="P837" s="207">
        <f>IF(ISNUMBER(VLOOKUP($B:$B,'IS(분기)'!$A:$F,$2:$2,0)),VLOOKUP($B:$B,'IS(분기)'!$A:$F,$2:$2,0),0)</f>
        <v>0</v>
      </c>
      <c r="Q837" s="207">
        <f>IF(ISNUMBER(VLOOKUP($B:$B,'IS(분기)'!$A:$F,$2:$2,0)),VLOOKUP($B:$B,'IS(분기)'!$A:$F,$2:$2,0),0)</f>
        <v>0</v>
      </c>
      <c r="R837" s="207">
        <f>IF(ISNUMBER(VLOOKUP($B:$B,'IS(분기)'!$A:$F,$2:$2,0)),VLOOKUP($B:$B,'IS(분기)'!$A:$F,$2:$2,0),0)</f>
        <v>0</v>
      </c>
    </row>
    <row r="838" spans="1:18" s="192" customFormat="1" ht="12">
      <c r="A838" s="201">
        <v>122200</v>
      </c>
      <c r="B838" s="194" t="s">
        <v>1382</v>
      </c>
      <c r="C838" s="217">
        <f>IF(ISNUMBER(VLOOKUP($B:$B,IS!$A:$F,$2:$2,0)),VLOOKUP($B:$B,IS!$A:$F,$2:$2,0),0)</f>
        <v>10269476</v>
      </c>
      <c r="D838" s="217">
        <f>IF(ISNUMBER(VLOOKUP($B:$B,IS!$A:$F,$2:$2,0)),VLOOKUP($B:$B,IS!$A:$F,$2:$2,0),0)</f>
        <v>0</v>
      </c>
      <c r="E838" s="217">
        <f>IF(ISNUMBER(VLOOKUP($B:$B,IS!$A:$F,$2:$2,0)),VLOOKUP($B:$B,IS!$A:$F,$2:$2,0),0)</f>
        <v>0</v>
      </c>
      <c r="F838" s="217">
        <f>IF(ISNUMBER(VLOOKUP($B:$B,IS!$A:$F,$2:$2,0)),VLOOKUP($B:$B,IS!$A:$F,$2:$2,0),0)</f>
        <v>0</v>
      </c>
      <c r="G838" s="217">
        <f>IF(ISNUMBER(VLOOKUP($B:$B,IS!$A:$F,$2:$2,0)),VLOOKUP($B:$B,IS!$A:$F,$2:$2,0),0)</f>
        <v>0</v>
      </c>
      <c r="H838" s="207">
        <f>IF(ISNUMBER(VLOOKUP($B:$B,'IS(과거)'!$A:$F,$2:$2,0)),VLOOKUP($B:$B,'IS(과거)'!$A:$F,$2:$2,0),0)</f>
        <v>0</v>
      </c>
      <c r="I838" s="207">
        <f>IF(ISNUMBER(VLOOKUP($B:$B,'IS(과거)'!$A:$F,$2:$2,0)),VLOOKUP($B:$B,'IS(과거)'!$A:$F,$2:$2,0),0)</f>
        <v>0</v>
      </c>
      <c r="J838" s="207">
        <f>IF(ISNUMBER(VLOOKUP($B:$B,'IS(과거)'!$A:$F,$2:$2,0)),VLOOKUP($B:$B,'IS(과거)'!$A:$F,$2:$2,0),0)</f>
        <v>0</v>
      </c>
      <c r="K838" s="207">
        <f>IF(ISNUMBER(VLOOKUP($B:$B,'IS(과거)'!$A:$F,$2:$2,0)),VLOOKUP($B:$B,'IS(과거)'!$A:$F,$2:$2,0),0)</f>
        <v>0</v>
      </c>
      <c r="L838" s="207">
        <f>IF(ISNUMBER(VLOOKUP($B:$B,'IS(과거)'!$A:$F,$2:$2,0)),VLOOKUP($B:$B,'IS(과거)'!$A:$F,$2:$2,0),0)</f>
        <v>0</v>
      </c>
      <c r="N838" s="207">
        <f>IF(ISNUMBER(VLOOKUP($B:$B,'IS(분기)'!$A:$F,$2:$2,0)),VLOOKUP($B:$B,'IS(분기)'!$A:$F,$2:$2,0),0)</f>
        <v>0</v>
      </c>
      <c r="O838" s="207">
        <f>IF(ISNUMBER(VLOOKUP($B:$B,'IS(분기)'!$A:$F,$2:$2,0)),VLOOKUP($B:$B,'IS(분기)'!$A:$F,$2:$2,0),0)</f>
        <v>0</v>
      </c>
      <c r="P838" s="207">
        <f>IF(ISNUMBER(VLOOKUP($B:$B,'IS(분기)'!$A:$F,$2:$2,0)),VLOOKUP($B:$B,'IS(분기)'!$A:$F,$2:$2,0),0)</f>
        <v>0</v>
      </c>
      <c r="Q838" s="207">
        <f>IF(ISNUMBER(VLOOKUP($B:$B,'IS(분기)'!$A:$F,$2:$2,0)),VLOOKUP($B:$B,'IS(분기)'!$A:$F,$2:$2,0),0)</f>
        <v>0</v>
      </c>
      <c r="R838" s="207">
        <f>IF(ISNUMBER(VLOOKUP($B:$B,'IS(분기)'!$A:$F,$2:$2,0)),VLOOKUP($B:$B,'IS(분기)'!$A:$F,$2:$2,0),0)</f>
        <v>0</v>
      </c>
    </row>
    <row r="839" spans="1:18" s="192" customFormat="1" ht="12">
      <c r="A839" s="202">
        <v>122210</v>
      </c>
      <c r="B839" s="195" t="s">
        <v>1376</v>
      </c>
      <c r="C839" s="217">
        <f>IF(ISNUMBER(VLOOKUP($B:$B,IS!$A:$F,$2:$2,0)),VLOOKUP($B:$B,IS!$A:$F,$2:$2,0),0)</f>
        <v>510545</v>
      </c>
      <c r="D839" s="217">
        <f>IF(ISNUMBER(VLOOKUP($B:$B,IS!$A:$F,$2:$2,0)),VLOOKUP($B:$B,IS!$A:$F,$2:$2,0),0)</f>
        <v>0</v>
      </c>
      <c r="E839" s="217">
        <f>IF(ISNUMBER(VLOOKUP($B:$B,IS!$A:$F,$2:$2,0)),VLOOKUP($B:$B,IS!$A:$F,$2:$2,0),0)</f>
        <v>0</v>
      </c>
      <c r="F839" s="217">
        <f>IF(ISNUMBER(VLOOKUP($B:$B,IS!$A:$F,$2:$2,0)),VLOOKUP($B:$B,IS!$A:$F,$2:$2,0),0)</f>
        <v>0</v>
      </c>
      <c r="G839" s="217">
        <f>IF(ISNUMBER(VLOOKUP($B:$B,IS!$A:$F,$2:$2,0)),VLOOKUP($B:$B,IS!$A:$F,$2:$2,0),0)</f>
        <v>0</v>
      </c>
      <c r="H839" s="207">
        <f>IF(ISNUMBER(VLOOKUP($B:$B,'IS(과거)'!$A:$F,$2:$2,0)),VLOOKUP($B:$B,'IS(과거)'!$A:$F,$2:$2,0),0)</f>
        <v>0</v>
      </c>
      <c r="I839" s="207">
        <f>IF(ISNUMBER(VLOOKUP($B:$B,'IS(과거)'!$A:$F,$2:$2,0)),VLOOKUP($B:$B,'IS(과거)'!$A:$F,$2:$2,0),0)</f>
        <v>0</v>
      </c>
      <c r="J839" s="207">
        <f>IF(ISNUMBER(VLOOKUP($B:$B,'IS(과거)'!$A:$F,$2:$2,0)),VLOOKUP($B:$B,'IS(과거)'!$A:$F,$2:$2,0),0)</f>
        <v>0</v>
      </c>
      <c r="K839" s="207">
        <f>IF(ISNUMBER(VLOOKUP($B:$B,'IS(과거)'!$A:$F,$2:$2,0)),VLOOKUP($B:$B,'IS(과거)'!$A:$F,$2:$2,0),0)</f>
        <v>0</v>
      </c>
      <c r="L839" s="207">
        <f>IF(ISNUMBER(VLOOKUP($B:$B,'IS(과거)'!$A:$F,$2:$2,0)),VLOOKUP($B:$B,'IS(과거)'!$A:$F,$2:$2,0),0)</f>
        <v>0</v>
      </c>
      <c r="N839" s="207">
        <f>IF(ISNUMBER(VLOOKUP($B:$B,'IS(분기)'!$A:$F,$2:$2,0)),VLOOKUP($B:$B,'IS(분기)'!$A:$F,$2:$2,0),0)</f>
        <v>0</v>
      </c>
      <c r="O839" s="207">
        <f>IF(ISNUMBER(VLOOKUP($B:$B,'IS(분기)'!$A:$F,$2:$2,0)),VLOOKUP($B:$B,'IS(분기)'!$A:$F,$2:$2,0),0)</f>
        <v>0</v>
      </c>
      <c r="P839" s="207">
        <f>IF(ISNUMBER(VLOOKUP($B:$B,'IS(분기)'!$A:$F,$2:$2,0)),VLOOKUP($B:$B,'IS(분기)'!$A:$F,$2:$2,0),0)</f>
        <v>0</v>
      </c>
      <c r="Q839" s="207">
        <f>IF(ISNUMBER(VLOOKUP($B:$B,'IS(분기)'!$A:$F,$2:$2,0)),VLOOKUP($B:$B,'IS(분기)'!$A:$F,$2:$2,0),0)</f>
        <v>0</v>
      </c>
      <c r="R839" s="207">
        <f>IF(ISNUMBER(VLOOKUP($B:$B,'IS(분기)'!$A:$F,$2:$2,0)),VLOOKUP($B:$B,'IS(분기)'!$A:$F,$2:$2,0),0)</f>
        <v>0</v>
      </c>
    </row>
    <row r="840" spans="1:18" s="192" customFormat="1" ht="12">
      <c r="A840" s="202">
        <v>122220</v>
      </c>
      <c r="B840" s="195" t="s">
        <v>1383</v>
      </c>
      <c r="C840" s="217">
        <f>IF(ISNUMBER(VLOOKUP($B:$B,IS!$A:$F,$2:$2,0)),VLOOKUP($B:$B,IS!$A:$F,$2:$2,0),0)</f>
        <v>10603062</v>
      </c>
      <c r="D840" s="217">
        <f>IF(ISNUMBER(VLOOKUP($B:$B,IS!$A:$F,$2:$2,0)),VLOOKUP($B:$B,IS!$A:$F,$2:$2,0),0)</f>
        <v>0</v>
      </c>
      <c r="E840" s="217">
        <f>IF(ISNUMBER(VLOOKUP($B:$B,IS!$A:$F,$2:$2,0)),VLOOKUP($B:$B,IS!$A:$F,$2:$2,0),0)</f>
        <v>0</v>
      </c>
      <c r="F840" s="217">
        <f>IF(ISNUMBER(VLOOKUP($B:$B,IS!$A:$F,$2:$2,0)),VLOOKUP($B:$B,IS!$A:$F,$2:$2,0),0)</f>
        <v>0</v>
      </c>
      <c r="G840" s="217">
        <f>IF(ISNUMBER(VLOOKUP($B:$B,IS!$A:$F,$2:$2,0)),VLOOKUP($B:$B,IS!$A:$F,$2:$2,0),0)</f>
        <v>0</v>
      </c>
      <c r="H840" s="207">
        <f>IF(ISNUMBER(VLOOKUP($B:$B,'IS(과거)'!$A:$F,$2:$2,0)),VLOOKUP($B:$B,'IS(과거)'!$A:$F,$2:$2,0),0)</f>
        <v>0</v>
      </c>
      <c r="I840" s="207">
        <f>IF(ISNUMBER(VLOOKUP($B:$B,'IS(과거)'!$A:$F,$2:$2,0)),VLOOKUP($B:$B,'IS(과거)'!$A:$F,$2:$2,0),0)</f>
        <v>0</v>
      </c>
      <c r="J840" s="207">
        <f>IF(ISNUMBER(VLOOKUP($B:$B,'IS(과거)'!$A:$F,$2:$2,0)),VLOOKUP($B:$B,'IS(과거)'!$A:$F,$2:$2,0),0)</f>
        <v>0</v>
      </c>
      <c r="K840" s="207">
        <f>IF(ISNUMBER(VLOOKUP($B:$B,'IS(과거)'!$A:$F,$2:$2,0)),VLOOKUP($B:$B,'IS(과거)'!$A:$F,$2:$2,0),0)</f>
        <v>0</v>
      </c>
      <c r="L840" s="207">
        <f>IF(ISNUMBER(VLOOKUP($B:$B,'IS(과거)'!$A:$F,$2:$2,0)),VLOOKUP($B:$B,'IS(과거)'!$A:$F,$2:$2,0),0)</f>
        <v>0</v>
      </c>
      <c r="N840" s="207">
        <f>IF(ISNUMBER(VLOOKUP($B:$B,'IS(분기)'!$A:$F,$2:$2,0)),VLOOKUP($B:$B,'IS(분기)'!$A:$F,$2:$2,0),0)</f>
        <v>0</v>
      </c>
      <c r="O840" s="207">
        <f>IF(ISNUMBER(VLOOKUP($B:$B,'IS(분기)'!$A:$F,$2:$2,0)),VLOOKUP($B:$B,'IS(분기)'!$A:$F,$2:$2,0),0)</f>
        <v>0</v>
      </c>
      <c r="P840" s="207">
        <f>IF(ISNUMBER(VLOOKUP($B:$B,'IS(분기)'!$A:$F,$2:$2,0)),VLOOKUP($B:$B,'IS(분기)'!$A:$F,$2:$2,0),0)</f>
        <v>0</v>
      </c>
      <c r="Q840" s="207">
        <f>IF(ISNUMBER(VLOOKUP($B:$B,'IS(분기)'!$A:$F,$2:$2,0)),VLOOKUP($B:$B,'IS(분기)'!$A:$F,$2:$2,0),0)</f>
        <v>0</v>
      </c>
      <c r="R840" s="207">
        <f>IF(ISNUMBER(VLOOKUP($B:$B,'IS(분기)'!$A:$F,$2:$2,0)),VLOOKUP($B:$B,'IS(분기)'!$A:$F,$2:$2,0),0)</f>
        <v>0</v>
      </c>
    </row>
    <row r="841" spans="1:18" s="192" customFormat="1" ht="12">
      <c r="A841" s="202">
        <v>122225</v>
      </c>
      <c r="B841" s="195" t="s">
        <v>1378</v>
      </c>
      <c r="C841" s="217">
        <f>IF(ISNUMBER(VLOOKUP($B:$B,IS!$A:$F,$2:$2,0)),VLOOKUP($B:$B,IS!$A:$F,$2:$2,0),0)</f>
        <v>0</v>
      </c>
      <c r="D841" s="217">
        <f>IF(ISNUMBER(VLOOKUP($B:$B,IS!$A:$F,$2:$2,0)),VLOOKUP($B:$B,IS!$A:$F,$2:$2,0),0)</f>
        <v>0</v>
      </c>
      <c r="E841" s="217">
        <f>IF(ISNUMBER(VLOOKUP($B:$B,IS!$A:$F,$2:$2,0)),VLOOKUP($B:$B,IS!$A:$F,$2:$2,0),0)</f>
        <v>0</v>
      </c>
      <c r="F841" s="217">
        <f>IF(ISNUMBER(VLOOKUP($B:$B,IS!$A:$F,$2:$2,0)),VLOOKUP($B:$B,IS!$A:$F,$2:$2,0),0)</f>
        <v>0</v>
      </c>
      <c r="G841" s="217">
        <f>IF(ISNUMBER(VLOOKUP($B:$B,IS!$A:$F,$2:$2,0)),VLOOKUP($B:$B,IS!$A:$F,$2:$2,0),0)</f>
        <v>0</v>
      </c>
      <c r="H841" s="207">
        <f>IF(ISNUMBER(VLOOKUP($B:$B,'IS(과거)'!$A:$F,$2:$2,0)),VLOOKUP($B:$B,'IS(과거)'!$A:$F,$2:$2,0),0)</f>
        <v>0</v>
      </c>
      <c r="I841" s="207">
        <f>IF(ISNUMBER(VLOOKUP($B:$B,'IS(과거)'!$A:$F,$2:$2,0)),VLOOKUP($B:$B,'IS(과거)'!$A:$F,$2:$2,0),0)</f>
        <v>0</v>
      </c>
      <c r="J841" s="207">
        <f>IF(ISNUMBER(VLOOKUP($B:$B,'IS(과거)'!$A:$F,$2:$2,0)),VLOOKUP($B:$B,'IS(과거)'!$A:$F,$2:$2,0),0)</f>
        <v>0</v>
      </c>
      <c r="K841" s="207">
        <f>IF(ISNUMBER(VLOOKUP($B:$B,'IS(과거)'!$A:$F,$2:$2,0)),VLOOKUP($B:$B,'IS(과거)'!$A:$F,$2:$2,0),0)</f>
        <v>0</v>
      </c>
      <c r="L841" s="207">
        <f>IF(ISNUMBER(VLOOKUP($B:$B,'IS(과거)'!$A:$F,$2:$2,0)),VLOOKUP($B:$B,'IS(과거)'!$A:$F,$2:$2,0),0)</f>
        <v>0</v>
      </c>
      <c r="N841" s="207">
        <f>IF(ISNUMBER(VLOOKUP($B:$B,'IS(분기)'!$A:$F,$2:$2,0)),VLOOKUP($B:$B,'IS(분기)'!$A:$F,$2:$2,0),0)</f>
        <v>0</v>
      </c>
      <c r="O841" s="207">
        <f>IF(ISNUMBER(VLOOKUP($B:$B,'IS(분기)'!$A:$F,$2:$2,0)),VLOOKUP($B:$B,'IS(분기)'!$A:$F,$2:$2,0),0)</f>
        <v>0</v>
      </c>
      <c r="P841" s="207">
        <f>IF(ISNUMBER(VLOOKUP($B:$B,'IS(분기)'!$A:$F,$2:$2,0)),VLOOKUP($B:$B,'IS(분기)'!$A:$F,$2:$2,0),0)</f>
        <v>0</v>
      </c>
      <c r="Q841" s="207">
        <f>IF(ISNUMBER(VLOOKUP($B:$B,'IS(분기)'!$A:$F,$2:$2,0)),VLOOKUP($B:$B,'IS(분기)'!$A:$F,$2:$2,0),0)</f>
        <v>0</v>
      </c>
      <c r="R841" s="207">
        <f>IF(ISNUMBER(VLOOKUP($B:$B,'IS(분기)'!$A:$F,$2:$2,0)),VLOOKUP($B:$B,'IS(분기)'!$A:$F,$2:$2,0),0)</f>
        <v>0</v>
      </c>
    </row>
    <row r="842" spans="1:18" s="192" customFormat="1" ht="12">
      <c r="A842" s="202">
        <v>122226</v>
      </c>
      <c r="B842" s="195" t="s">
        <v>1379</v>
      </c>
      <c r="C842" s="217">
        <f>IF(ISNUMBER(VLOOKUP($B:$B,IS!$A:$F,$2:$2,0)),VLOOKUP($B:$B,IS!$A:$F,$2:$2,0),0)</f>
        <v>0</v>
      </c>
      <c r="D842" s="217">
        <f>IF(ISNUMBER(VLOOKUP($B:$B,IS!$A:$F,$2:$2,0)),VLOOKUP($B:$B,IS!$A:$F,$2:$2,0),0)</f>
        <v>0</v>
      </c>
      <c r="E842" s="217">
        <f>IF(ISNUMBER(VLOOKUP($B:$B,IS!$A:$F,$2:$2,0)),VLOOKUP($B:$B,IS!$A:$F,$2:$2,0),0)</f>
        <v>0</v>
      </c>
      <c r="F842" s="217">
        <f>IF(ISNUMBER(VLOOKUP($B:$B,IS!$A:$F,$2:$2,0)),VLOOKUP($B:$B,IS!$A:$F,$2:$2,0),0)</f>
        <v>0</v>
      </c>
      <c r="G842" s="217">
        <f>IF(ISNUMBER(VLOOKUP($B:$B,IS!$A:$F,$2:$2,0)),VLOOKUP($B:$B,IS!$A:$F,$2:$2,0),0)</f>
        <v>0</v>
      </c>
      <c r="H842" s="207">
        <f>IF(ISNUMBER(VLOOKUP($B:$B,'IS(과거)'!$A:$F,$2:$2,0)),VLOOKUP($B:$B,'IS(과거)'!$A:$F,$2:$2,0),0)</f>
        <v>0</v>
      </c>
      <c r="I842" s="207">
        <f>IF(ISNUMBER(VLOOKUP($B:$B,'IS(과거)'!$A:$F,$2:$2,0)),VLOOKUP($B:$B,'IS(과거)'!$A:$F,$2:$2,0),0)</f>
        <v>0</v>
      </c>
      <c r="J842" s="207">
        <f>IF(ISNUMBER(VLOOKUP($B:$B,'IS(과거)'!$A:$F,$2:$2,0)),VLOOKUP($B:$B,'IS(과거)'!$A:$F,$2:$2,0),0)</f>
        <v>0</v>
      </c>
      <c r="K842" s="207">
        <f>IF(ISNUMBER(VLOOKUP($B:$B,'IS(과거)'!$A:$F,$2:$2,0)),VLOOKUP($B:$B,'IS(과거)'!$A:$F,$2:$2,0),0)</f>
        <v>0</v>
      </c>
      <c r="L842" s="207">
        <f>IF(ISNUMBER(VLOOKUP($B:$B,'IS(과거)'!$A:$F,$2:$2,0)),VLOOKUP($B:$B,'IS(과거)'!$A:$F,$2:$2,0),0)</f>
        <v>0</v>
      </c>
      <c r="N842" s="207">
        <f>IF(ISNUMBER(VLOOKUP($B:$B,'IS(분기)'!$A:$F,$2:$2,0)),VLOOKUP($B:$B,'IS(분기)'!$A:$F,$2:$2,0),0)</f>
        <v>0</v>
      </c>
      <c r="O842" s="207">
        <f>IF(ISNUMBER(VLOOKUP($B:$B,'IS(분기)'!$A:$F,$2:$2,0)),VLOOKUP($B:$B,'IS(분기)'!$A:$F,$2:$2,0),0)</f>
        <v>0</v>
      </c>
      <c r="P842" s="207">
        <f>IF(ISNUMBER(VLOOKUP($B:$B,'IS(분기)'!$A:$F,$2:$2,0)),VLOOKUP($B:$B,'IS(분기)'!$A:$F,$2:$2,0),0)</f>
        <v>0</v>
      </c>
      <c r="Q842" s="207">
        <f>IF(ISNUMBER(VLOOKUP($B:$B,'IS(분기)'!$A:$F,$2:$2,0)),VLOOKUP($B:$B,'IS(분기)'!$A:$F,$2:$2,0),0)</f>
        <v>0</v>
      </c>
      <c r="R842" s="207">
        <f>IF(ISNUMBER(VLOOKUP($B:$B,'IS(분기)'!$A:$F,$2:$2,0)),VLOOKUP($B:$B,'IS(분기)'!$A:$F,$2:$2,0),0)</f>
        <v>0</v>
      </c>
    </row>
    <row r="843" spans="1:18" s="192" customFormat="1" ht="12">
      <c r="A843" s="202">
        <v>122230</v>
      </c>
      <c r="B843" s="195" t="s">
        <v>1380</v>
      </c>
      <c r="C843" s="217">
        <f>IF(ISNUMBER(VLOOKUP($B:$B,IS!$A:$F,$2:$2,0)),VLOOKUP($B:$B,IS!$A:$F,$2:$2,0),0)</f>
        <v>0</v>
      </c>
      <c r="D843" s="217">
        <f>IF(ISNUMBER(VLOOKUP($B:$B,IS!$A:$F,$2:$2,0)),VLOOKUP($B:$B,IS!$A:$F,$2:$2,0),0)</f>
        <v>0</v>
      </c>
      <c r="E843" s="217">
        <f>IF(ISNUMBER(VLOOKUP($B:$B,IS!$A:$F,$2:$2,0)),VLOOKUP($B:$B,IS!$A:$F,$2:$2,0),0)</f>
        <v>0</v>
      </c>
      <c r="F843" s="217">
        <f>IF(ISNUMBER(VLOOKUP($B:$B,IS!$A:$F,$2:$2,0)),VLOOKUP($B:$B,IS!$A:$F,$2:$2,0),0)</f>
        <v>0</v>
      </c>
      <c r="G843" s="217">
        <f>IF(ISNUMBER(VLOOKUP($B:$B,IS!$A:$F,$2:$2,0)),VLOOKUP($B:$B,IS!$A:$F,$2:$2,0),0)</f>
        <v>0</v>
      </c>
      <c r="H843" s="207">
        <f>IF(ISNUMBER(VLOOKUP($B:$B,'IS(과거)'!$A:$F,$2:$2,0)),VLOOKUP($B:$B,'IS(과거)'!$A:$F,$2:$2,0),0)</f>
        <v>0</v>
      </c>
      <c r="I843" s="207">
        <f>IF(ISNUMBER(VLOOKUP($B:$B,'IS(과거)'!$A:$F,$2:$2,0)),VLOOKUP($B:$B,'IS(과거)'!$A:$F,$2:$2,0),0)</f>
        <v>0</v>
      </c>
      <c r="J843" s="207">
        <f>IF(ISNUMBER(VLOOKUP($B:$B,'IS(과거)'!$A:$F,$2:$2,0)),VLOOKUP($B:$B,'IS(과거)'!$A:$F,$2:$2,0),0)</f>
        <v>0</v>
      </c>
      <c r="K843" s="207">
        <f>IF(ISNUMBER(VLOOKUP($B:$B,'IS(과거)'!$A:$F,$2:$2,0)),VLOOKUP($B:$B,'IS(과거)'!$A:$F,$2:$2,0),0)</f>
        <v>0</v>
      </c>
      <c r="L843" s="207">
        <f>IF(ISNUMBER(VLOOKUP($B:$B,'IS(과거)'!$A:$F,$2:$2,0)),VLOOKUP($B:$B,'IS(과거)'!$A:$F,$2:$2,0),0)</f>
        <v>0</v>
      </c>
      <c r="N843" s="207">
        <f>IF(ISNUMBER(VLOOKUP($B:$B,'IS(분기)'!$A:$F,$2:$2,0)),VLOOKUP($B:$B,'IS(분기)'!$A:$F,$2:$2,0),0)</f>
        <v>0</v>
      </c>
      <c r="O843" s="207">
        <f>IF(ISNUMBER(VLOOKUP($B:$B,'IS(분기)'!$A:$F,$2:$2,0)),VLOOKUP($B:$B,'IS(분기)'!$A:$F,$2:$2,0),0)</f>
        <v>0</v>
      </c>
      <c r="P843" s="207">
        <f>IF(ISNUMBER(VLOOKUP($B:$B,'IS(분기)'!$A:$F,$2:$2,0)),VLOOKUP($B:$B,'IS(분기)'!$A:$F,$2:$2,0),0)</f>
        <v>0</v>
      </c>
      <c r="Q843" s="207">
        <f>IF(ISNUMBER(VLOOKUP($B:$B,'IS(분기)'!$A:$F,$2:$2,0)),VLOOKUP($B:$B,'IS(분기)'!$A:$F,$2:$2,0),0)</f>
        <v>0</v>
      </c>
      <c r="R843" s="207">
        <f>IF(ISNUMBER(VLOOKUP($B:$B,'IS(분기)'!$A:$F,$2:$2,0)),VLOOKUP($B:$B,'IS(분기)'!$A:$F,$2:$2,0),0)</f>
        <v>0</v>
      </c>
    </row>
    <row r="844" spans="1:18" s="192" customFormat="1" ht="12">
      <c r="A844" s="202">
        <v>122240</v>
      </c>
      <c r="B844" s="195" t="s">
        <v>1381</v>
      </c>
      <c r="C844" s="217">
        <f>IF(ISNUMBER(VLOOKUP($B:$B,IS!$A:$F,$2:$2,0)),VLOOKUP($B:$B,IS!$A:$F,$2:$2,0),0)</f>
        <v>1501327</v>
      </c>
      <c r="D844" s="217">
        <f>IF(ISNUMBER(VLOOKUP($B:$B,IS!$A:$F,$2:$2,0)),VLOOKUP($B:$B,IS!$A:$F,$2:$2,0),0)</f>
        <v>0</v>
      </c>
      <c r="E844" s="217">
        <f>IF(ISNUMBER(VLOOKUP($B:$B,IS!$A:$F,$2:$2,0)),VLOOKUP($B:$B,IS!$A:$F,$2:$2,0),0)</f>
        <v>0</v>
      </c>
      <c r="F844" s="217">
        <f>IF(ISNUMBER(VLOOKUP($B:$B,IS!$A:$F,$2:$2,0)),VLOOKUP($B:$B,IS!$A:$F,$2:$2,0),0)</f>
        <v>0</v>
      </c>
      <c r="G844" s="217">
        <f>IF(ISNUMBER(VLOOKUP($B:$B,IS!$A:$F,$2:$2,0)),VLOOKUP($B:$B,IS!$A:$F,$2:$2,0),0)</f>
        <v>0</v>
      </c>
      <c r="H844" s="207">
        <f>IF(ISNUMBER(VLOOKUP($B:$B,'IS(과거)'!$A:$F,$2:$2,0)),VLOOKUP($B:$B,'IS(과거)'!$A:$F,$2:$2,0),0)</f>
        <v>0</v>
      </c>
      <c r="I844" s="207">
        <f>IF(ISNUMBER(VLOOKUP($B:$B,'IS(과거)'!$A:$F,$2:$2,0)),VLOOKUP($B:$B,'IS(과거)'!$A:$F,$2:$2,0),0)</f>
        <v>0</v>
      </c>
      <c r="J844" s="207">
        <f>IF(ISNUMBER(VLOOKUP($B:$B,'IS(과거)'!$A:$F,$2:$2,0)),VLOOKUP($B:$B,'IS(과거)'!$A:$F,$2:$2,0),0)</f>
        <v>0</v>
      </c>
      <c r="K844" s="207">
        <f>IF(ISNUMBER(VLOOKUP($B:$B,'IS(과거)'!$A:$F,$2:$2,0)),VLOOKUP($B:$B,'IS(과거)'!$A:$F,$2:$2,0),0)</f>
        <v>0</v>
      </c>
      <c r="L844" s="207">
        <f>IF(ISNUMBER(VLOOKUP($B:$B,'IS(과거)'!$A:$F,$2:$2,0)),VLOOKUP($B:$B,'IS(과거)'!$A:$F,$2:$2,0),0)</f>
        <v>0</v>
      </c>
      <c r="N844" s="207">
        <f>IF(ISNUMBER(VLOOKUP($B:$B,'IS(분기)'!$A:$F,$2:$2,0)),VLOOKUP($B:$B,'IS(분기)'!$A:$F,$2:$2,0),0)</f>
        <v>0</v>
      </c>
      <c r="O844" s="207">
        <f>IF(ISNUMBER(VLOOKUP($B:$B,'IS(분기)'!$A:$F,$2:$2,0)),VLOOKUP($B:$B,'IS(분기)'!$A:$F,$2:$2,0),0)</f>
        <v>0</v>
      </c>
      <c r="P844" s="207">
        <f>IF(ISNUMBER(VLOOKUP($B:$B,'IS(분기)'!$A:$F,$2:$2,0)),VLOOKUP($B:$B,'IS(분기)'!$A:$F,$2:$2,0),0)</f>
        <v>0</v>
      </c>
      <c r="Q844" s="207">
        <f>IF(ISNUMBER(VLOOKUP($B:$B,'IS(분기)'!$A:$F,$2:$2,0)),VLOOKUP($B:$B,'IS(분기)'!$A:$F,$2:$2,0),0)</f>
        <v>0</v>
      </c>
      <c r="R844" s="207">
        <f>IF(ISNUMBER(VLOOKUP($B:$B,'IS(분기)'!$A:$F,$2:$2,0)),VLOOKUP($B:$B,'IS(분기)'!$A:$F,$2:$2,0),0)</f>
        <v>0</v>
      </c>
    </row>
    <row r="845" spans="1:18" s="192" customFormat="1" ht="12">
      <c r="A845" s="201">
        <v>122300</v>
      </c>
      <c r="B845" s="194" t="s">
        <v>1384</v>
      </c>
      <c r="C845" s="217">
        <f>IF(ISNUMBER(VLOOKUP($B:$B,IS!$A:$F,$2:$2,0)),VLOOKUP($B:$B,IS!$A:$F,$2:$2,0),0)</f>
        <v>0</v>
      </c>
      <c r="D845" s="217">
        <f>IF(ISNUMBER(VLOOKUP($B:$B,IS!$A:$F,$2:$2,0)),VLOOKUP($B:$B,IS!$A:$F,$2:$2,0),0)</f>
        <v>0</v>
      </c>
      <c r="E845" s="217">
        <f>IF(ISNUMBER(VLOOKUP($B:$B,IS!$A:$F,$2:$2,0)),VLOOKUP($B:$B,IS!$A:$F,$2:$2,0),0)</f>
        <v>0</v>
      </c>
      <c r="F845" s="217">
        <f>IF(ISNUMBER(VLOOKUP($B:$B,IS!$A:$F,$2:$2,0)),VLOOKUP($B:$B,IS!$A:$F,$2:$2,0),0)</f>
        <v>0</v>
      </c>
      <c r="G845" s="217">
        <f>IF(ISNUMBER(VLOOKUP($B:$B,IS!$A:$F,$2:$2,0)),VLOOKUP($B:$B,IS!$A:$F,$2:$2,0),0)</f>
        <v>0</v>
      </c>
      <c r="H845" s="207">
        <f>IF(ISNUMBER(VLOOKUP($B:$B,'IS(과거)'!$A:$F,$2:$2,0)),VLOOKUP($B:$B,'IS(과거)'!$A:$F,$2:$2,0),0)</f>
        <v>0</v>
      </c>
      <c r="I845" s="207">
        <f>IF(ISNUMBER(VLOOKUP($B:$B,'IS(과거)'!$A:$F,$2:$2,0)),VLOOKUP($B:$B,'IS(과거)'!$A:$F,$2:$2,0),0)</f>
        <v>0</v>
      </c>
      <c r="J845" s="207">
        <f>IF(ISNUMBER(VLOOKUP($B:$B,'IS(과거)'!$A:$F,$2:$2,0)),VLOOKUP($B:$B,'IS(과거)'!$A:$F,$2:$2,0),0)</f>
        <v>0</v>
      </c>
      <c r="K845" s="207">
        <f>IF(ISNUMBER(VLOOKUP($B:$B,'IS(과거)'!$A:$F,$2:$2,0)),VLOOKUP($B:$B,'IS(과거)'!$A:$F,$2:$2,0),0)</f>
        <v>0</v>
      </c>
      <c r="L845" s="207">
        <f>IF(ISNUMBER(VLOOKUP($B:$B,'IS(과거)'!$A:$F,$2:$2,0)),VLOOKUP($B:$B,'IS(과거)'!$A:$F,$2:$2,0),0)</f>
        <v>0</v>
      </c>
      <c r="N845" s="207">
        <f>IF(ISNUMBER(VLOOKUP($B:$B,'IS(분기)'!$A:$F,$2:$2,0)),VLOOKUP($B:$B,'IS(분기)'!$A:$F,$2:$2,0),0)</f>
        <v>0</v>
      </c>
      <c r="O845" s="207">
        <f>IF(ISNUMBER(VLOOKUP($B:$B,'IS(분기)'!$A:$F,$2:$2,0)),VLOOKUP($B:$B,'IS(분기)'!$A:$F,$2:$2,0),0)</f>
        <v>0</v>
      </c>
      <c r="P845" s="207">
        <f>IF(ISNUMBER(VLOOKUP($B:$B,'IS(분기)'!$A:$F,$2:$2,0)),VLOOKUP($B:$B,'IS(분기)'!$A:$F,$2:$2,0),0)</f>
        <v>0</v>
      </c>
      <c r="Q845" s="207">
        <f>IF(ISNUMBER(VLOOKUP($B:$B,'IS(분기)'!$A:$F,$2:$2,0)),VLOOKUP($B:$B,'IS(분기)'!$A:$F,$2:$2,0),0)</f>
        <v>0</v>
      </c>
      <c r="R845" s="207">
        <f>IF(ISNUMBER(VLOOKUP($B:$B,'IS(분기)'!$A:$F,$2:$2,0)),VLOOKUP($B:$B,'IS(분기)'!$A:$F,$2:$2,0),0)</f>
        <v>0</v>
      </c>
    </row>
    <row r="846" spans="1:18" s="192" customFormat="1" ht="12">
      <c r="A846" s="201">
        <v>122400</v>
      </c>
      <c r="B846" s="194" t="s">
        <v>1385</v>
      </c>
      <c r="C846" s="217">
        <f>IF(ISNUMBER(VLOOKUP($B:$B,IS!$A:$F,$2:$2,0)),VLOOKUP($B:$B,IS!$A:$F,$2:$2,0),0)</f>
        <v>0</v>
      </c>
      <c r="D846" s="217">
        <f>IF(ISNUMBER(VLOOKUP($B:$B,IS!$A:$F,$2:$2,0)),VLOOKUP($B:$B,IS!$A:$F,$2:$2,0),0)</f>
        <v>0</v>
      </c>
      <c r="E846" s="217">
        <f>IF(ISNUMBER(VLOOKUP($B:$B,IS!$A:$F,$2:$2,0)),VLOOKUP($B:$B,IS!$A:$F,$2:$2,0),0)</f>
        <v>0</v>
      </c>
      <c r="F846" s="217">
        <f>IF(ISNUMBER(VLOOKUP($B:$B,IS!$A:$F,$2:$2,0)),VLOOKUP($B:$B,IS!$A:$F,$2:$2,0),0)</f>
        <v>0</v>
      </c>
      <c r="G846" s="217">
        <f>IF(ISNUMBER(VLOOKUP($B:$B,IS!$A:$F,$2:$2,0)),VLOOKUP($B:$B,IS!$A:$F,$2:$2,0),0)</f>
        <v>0</v>
      </c>
      <c r="H846" s="207">
        <f>IF(ISNUMBER(VLOOKUP($B:$B,'IS(과거)'!$A:$F,$2:$2,0)),VLOOKUP($B:$B,'IS(과거)'!$A:$F,$2:$2,0),0)</f>
        <v>0</v>
      </c>
      <c r="I846" s="207">
        <f>IF(ISNUMBER(VLOOKUP($B:$B,'IS(과거)'!$A:$F,$2:$2,0)),VLOOKUP($B:$B,'IS(과거)'!$A:$F,$2:$2,0),0)</f>
        <v>0</v>
      </c>
      <c r="J846" s="207">
        <f>IF(ISNUMBER(VLOOKUP($B:$B,'IS(과거)'!$A:$F,$2:$2,0)),VLOOKUP($B:$B,'IS(과거)'!$A:$F,$2:$2,0),0)</f>
        <v>0</v>
      </c>
      <c r="K846" s="207">
        <f>IF(ISNUMBER(VLOOKUP($B:$B,'IS(과거)'!$A:$F,$2:$2,0)),VLOOKUP($B:$B,'IS(과거)'!$A:$F,$2:$2,0),0)</f>
        <v>0</v>
      </c>
      <c r="L846" s="207">
        <f>IF(ISNUMBER(VLOOKUP($B:$B,'IS(과거)'!$A:$F,$2:$2,0)),VLOOKUP($B:$B,'IS(과거)'!$A:$F,$2:$2,0),0)</f>
        <v>0</v>
      </c>
      <c r="N846" s="207">
        <f>IF(ISNUMBER(VLOOKUP($B:$B,'IS(분기)'!$A:$F,$2:$2,0)),VLOOKUP($B:$B,'IS(분기)'!$A:$F,$2:$2,0),0)</f>
        <v>0</v>
      </c>
      <c r="O846" s="207">
        <f>IF(ISNUMBER(VLOOKUP($B:$B,'IS(분기)'!$A:$F,$2:$2,0)),VLOOKUP($B:$B,'IS(분기)'!$A:$F,$2:$2,0),0)</f>
        <v>0</v>
      </c>
      <c r="P846" s="207">
        <f>IF(ISNUMBER(VLOOKUP($B:$B,'IS(분기)'!$A:$F,$2:$2,0)),VLOOKUP($B:$B,'IS(분기)'!$A:$F,$2:$2,0),0)</f>
        <v>0</v>
      </c>
      <c r="Q846" s="207">
        <f>IF(ISNUMBER(VLOOKUP($B:$B,'IS(분기)'!$A:$F,$2:$2,0)),VLOOKUP($B:$B,'IS(분기)'!$A:$F,$2:$2,0),0)</f>
        <v>0</v>
      </c>
      <c r="R846" s="207">
        <f>IF(ISNUMBER(VLOOKUP($B:$B,'IS(분기)'!$A:$F,$2:$2,0)),VLOOKUP($B:$B,'IS(분기)'!$A:$F,$2:$2,0),0)</f>
        <v>0</v>
      </c>
    </row>
    <row r="847" spans="1:18" s="192" customFormat="1" ht="12">
      <c r="A847" s="201">
        <v>122500</v>
      </c>
      <c r="B847" s="194" t="s">
        <v>1386</v>
      </c>
      <c r="C847" s="217">
        <f>IF(ISNUMBER(VLOOKUP($B:$B,IS!$A:$F,$2:$2,0)),VLOOKUP($B:$B,IS!$A:$F,$2:$2,0),0)</f>
        <v>0</v>
      </c>
      <c r="D847" s="217">
        <f>IF(ISNUMBER(VLOOKUP($B:$B,IS!$A:$F,$2:$2,0)),VLOOKUP($B:$B,IS!$A:$F,$2:$2,0),0)</f>
        <v>0</v>
      </c>
      <c r="E847" s="217">
        <f>IF(ISNUMBER(VLOOKUP($B:$B,IS!$A:$F,$2:$2,0)),VLOOKUP($B:$B,IS!$A:$F,$2:$2,0),0)</f>
        <v>0</v>
      </c>
      <c r="F847" s="217">
        <f>IF(ISNUMBER(VLOOKUP($B:$B,IS!$A:$F,$2:$2,0)),VLOOKUP($B:$B,IS!$A:$F,$2:$2,0),0)</f>
        <v>0</v>
      </c>
      <c r="G847" s="217">
        <f>IF(ISNUMBER(VLOOKUP($B:$B,IS!$A:$F,$2:$2,0)),VLOOKUP($B:$B,IS!$A:$F,$2:$2,0),0)</f>
        <v>0</v>
      </c>
      <c r="H847" s="207">
        <f>IF(ISNUMBER(VLOOKUP($B:$B,'IS(과거)'!$A:$F,$2:$2,0)),VLOOKUP($B:$B,'IS(과거)'!$A:$F,$2:$2,0),0)</f>
        <v>0</v>
      </c>
      <c r="I847" s="207">
        <f>IF(ISNUMBER(VLOOKUP($B:$B,'IS(과거)'!$A:$F,$2:$2,0)),VLOOKUP($B:$B,'IS(과거)'!$A:$F,$2:$2,0),0)</f>
        <v>0</v>
      </c>
      <c r="J847" s="207">
        <f>IF(ISNUMBER(VLOOKUP($B:$B,'IS(과거)'!$A:$F,$2:$2,0)),VLOOKUP($B:$B,'IS(과거)'!$A:$F,$2:$2,0),0)</f>
        <v>0</v>
      </c>
      <c r="K847" s="207">
        <f>IF(ISNUMBER(VLOOKUP($B:$B,'IS(과거)'!$A:$F,$2:$2,0)),VLOOKUP($B:$B,'IS(과거)'!$A:$F,$2:$2,0),0)</f>
        <v>0</v>
      </c>
      <c r="L847" s="207">
        <f>IF(ISNUMBER(VLOOKUP($B:$B,'IS(과거)'!$A:$F,$2:$2,0)),VLOOKUP($B:$B,'IS(과거)'!$A:$F,$2:$2,0),0)</f>
        <v>0</v>
      </c>
      <c r="N847" s="207">
        <f>IF(ISNUMBER(VLOOKUP($B:$B,'IS(분기)'!$A:$F,$2:$2,0)),VLOOKUP($B:$B,'IS(분기)'!$A:$F,$2:$2,0),0)</f>
        <v>0</v>
      </c>
      <c r="O847" s="207">
        <f>IF(ISNUMBER(VLOOKUP($B:$B,'IS(분기)'!$A:$F,$2:$2,0)),VLOOKUP($B:$B,'IS(분기)'!$A:$F,$2:$2,0),0)</f>
        <v>0</v>
      </c>
      <c r="P847" s="207">
        <f>IF(ISNUMBER(VLOOKUP($B:$B,'IS(분기)'!$A:$F,$2:$2,0)),VLOOKUP($B:$B,'IS(분기)'!$A:$F,$2:$2,0),0)</f>
        <v>0</v>
      </c>
      <c r="Q847" s="207">
        <f>IF(ISNUMBER(VLOOKUP($B:$B,'IS(분기)'!$A:$F,$2:$2,0)),VLOOKUP($B:$B,'IS(분기)'!$A:$F,$2:$2,0),0)</f>
        <v>0</v>
      </c>
      <c r="R847" s="207">
        <f>IF(ISNUMBER(VLOOKUP($B:$B,'IS(분기)'!$A:$F,$2:$2,0)),VLOOKUP($B:$B,'IS(분기)'!$A:$F,$2:$2,0),0)</f>
        <v>0</v>
      </c>
    </row>
    <row r="848" spans="1:18" s="192" customFormat="1" ht="12">
      <c r="A848" s="201">
        <v>122600</v>
      </c>
      <c r="B848" s="194" t="s">
        <v>1387</v>
      </c>
      <c r="C848" s="217">
        <f>IF(ISNUMBER(VLOOKUP($B:$B,IS!$A:$F,$2:$2,0)),VLOOKUP($B:$B,IS!$A:$F,$2:$2,0),0)</f>
        <v>0</v>
      </c>
      <c r="D848" s="217">
        <f>IF(ISNUMBER(VLOOKUP($B:$B,IS!$A:$F,$2:$2,0)),VLOOKUP($B:$B,IS!$A:$F,$2:$2,0),0)</f>
        <v>0</v>
      </c>
      <c r="E848" s="217">
        <f>IF(ISNUMBER(VLOOKUP($B:$B,IS!$A:$F,$2:$2,0)),VLOOKUP($B:$B,IS!$A:$F,$2:$2,0),0)</f>
        <v>0</v>
      </c>
      <c r="F848" s="217">
        <f>IF(ISNUMBER(VLOOKUP($B:$B,IS!$A:$F,$2:$2,0)),VLOOKUP($B:$B,IS!$A:$F,$2:$2,0),0)</f>
        <v>0</v>
      </c>
      <c r="G848" s="217">
        <f>IF(ISNUMBER(VLOOKUP($B:$B,IS!$A:$F,$2:$2,0)),VLOOKUP($B:$B,IS!$A:$F,$2:$2,0),0)</f>
        <v>0</v>
      </c>
      <c r="H848" s="207">
        <f>IF(ISNUMBER(VLOOKUP($B:$B,'IS(과거)'!$A:$F,$2:$2,0)),VLOOKUP($B:$B,'IS(과거)'!$A:$F,$2:$2,0),0)</f>
        <v>0</v>
      </c>
      <c r="I848" s="207">
        <f>IF(ISNUMBER(VLOOKUP($B:$B,'IS(과거)'!$A:$F,$2:$2,0)),VLOOKUP($B:$B,'IS(과거)'!$A:$F,$2:$2,0),0)</f>
        <v>0</v>
      </c>
      <c r="J848" s="207">
        <f>IF(ISNUMBER(VLOOKUP($B:$B,'IS(과거)'!$A:$F,$2:$2,0)),VLOOKUP($B:$B,'IS(과거)'!$A:$F,$2:$2,0),0)</f>
        <v>0</v>
      </c>
      <c r="K848" s="207">
        <f>IF(ISNUMBER(VLOOKUP($B:$B,'IS(과거)'!$A:$F,$2:$2,0)),VLOOKUP($B:$B,'IS(과거)'!$A:$F,$2:$2,0),0)</f>
        <v>0</v>
      </c>
      <c r="L848" s="207">
        <f>IF(ISNUMBER(VLOOKUP($B:$B,'IS(과거)'!$A:$F,$2:$2,0)),VLOOKUP($B:$B,'IS(과거)'!$A:$F,$2:$2,0),0)</f>
        <v>0</v>
      </c>
      <c r="N848" s="207">
        <f>IF(ISNUMBER(VLOOKUP($B:$B,'IS(분기)'!$A:$F,$2:$2,0)),VLOOKUP($B:$B,'IS(분기)'!$A:$F,$2:$2,0),0)</f>
        <v>0</v>
      </c>
      <c r="O848" s="207">
        <f>IF(ISNUMBER(VLOOKUP($B:$B,'IS(분기)'!$A:$F,$2:$2,0)),VLOOKUP($B:$B,'IS(분기)'!$A:$F,$2:$2,0),0)</f>
        <v>0</v>
      </c>
      <c r="P848" s="207">
        <f>IF(ISNUMBER(VLOOKUP($B:$B,'IS(분기)'!$A:$F,$2:$2,0)),VLOOKUP($B:$B,'IS(분기)'!$A:$F,$2:$2,0),0)</f>
        <v>0</v>
      </c>
      <c r="Q848" s="207">
        <f>IF(ISNUMBER(VLOOKUP($B:$B,'IS(분기)'!$A:$F,$2:$2,0)),VLOOKUP($B:$B,'IS(분기)'!$A:$F,$2:$2,0),0)</f>
        <v>0</v>
      </c>
      <c r="R848" s="207">
        <f>IF(ISNUMBER(VLOOKUP($B:$B,'IS(분기)'!$A:$F,$2:$2,0)),VLOOKUP($B:$B,'IS(분기)'!$A:$F,$2:$2,0),0)</f>
        <v>0</v>
      </c>
    </row>
    <row r="849" spans="1:18" s="192" customFormat="1" ht="12">
      <c r="A849" s="201">
        <v>122650</v>
      </c>
      <c r="B849" s="194" t="s">
        <v>1388</v>
      </c>
      <c r="C849" s="217">
        <f>IF(ISNUMBER(VLOOKUP($B:$B,IS!$A:$F,$2:$2,0)),VLOOKUP($B:$B,IS!$A:$F,$2:$2,0),0)</f>
        <v>10269476</v>
      </c>
      <c r="D849" s="217">
        <f>IF(ISNUMBER(VLOOKUP($B:$B,IS!$A:$F,$2:$2,0)),VLOOKUP($B:$B,IS!$A:$F,$2:$2,0),0)</f>
        <v>0</v>
      </c>
      <c r="E849" s="217">
        <f>IF(ISNUMBER(VLOOKUP($B:$B,IS!$A:$F,$2:$2,0)),VLOOKUP($B:$B,IS!$A:$F,$2:$2,0),0)</f>
        <v>0</v>
      </c>
      <c r="F849" s="217">
        <f>IF(ISNUMBER(VLOOKUP($B:$B,IS!$A:$F,$2:$2,0)),VLOOKUP($B:$B,IS!$A:$F,$2:$2,0),0)</f>
        <v>0</v>
      </c>
      <c r="G849" s="217">
        <f>IF(ISNUMBER(VLOOKUP($B:$B,IS!$A:$F,$2:$2,0)),VLOOKUP($B:$B,IS!$A:$F,$2:$2,0),0)</f>
        <v>0</v>
      </c>
      <c r="H849" s="207">
        <f>IF(ISNUMBER(VLOOKUP($B:$B,'IS(과거)'!$A:$F,$2:$2,0)),VLOOKUP($B:$B,'IS(과거)'!$A:$F,$2:$2,0),0)</f>
        <v>0</v>
      </c>
      <c r="I849" s="207">
        <f>IF(ISNUMBER(VLOOKUP($B:$B,'IS(과거)'!$A:$F,$2:$2,0)),VLOOKUP($B:$B,'IS(과거)'!$A:$F,$2:$2,0),0)</f>
        <v>0</v>
      </c>
      <c r="J849" s="207">
        <f>IF(ISNUMBER(VLOOKUP($B:$B,'IS(과거)'!$A:$F,$2:$2,0)),VLOOKUP($B:$B,'IS(과거)'!$A:$F,$2:$2,0),0)</f>
        <v>0</v>
      </c>
      <c r="K849" s="207">
        <f>IF(ISNUMBER(VLOOKUP($B:$B,'IS(과거)'!$A:$F,$2:$2,0)),VLOOKUP($B:$B,'IS(과거)'!$A:$F,$2:$2,0),0)</f>
        <v>0</v>
      </c>
      <c r="L849" s="207">
        <f>IF(ISNUMBER(VLOOKUP($B:$B,'IS(과거)'!$A:$F,$2:$2,0)),VLOOKUP($B:$B,'IS(과거)'!$A:$F,$2:$2,0),0)</f>
        <v>0</v>
      </c>
      <c r="N849" s="207">
        <f>IF(ISNUMBER(VLOOKUP($B:$B,'IS(분기)'!$A:$F,$2:$2,0)),VLOOKUP($B:$B,'IS(분기)'!$A:$F,$2:$2,0),0)</f>
        <v>0</v>
      </c>
      <c r="O849" s="207">
        <f>IF(ISNUMBER(VLOOKUP($B:$B,'IS(분기)'!$A:$F,$2:$2,0)),VLOOKUP($B:$B,'IS(분기)'!$A:$F,$2:$2,0),0)</f>
        <v>0</v>
      </c>
      <c r="P849" s="207">
        <f>IF(ISNUMBER(VLOOKUP($B:$B,'IS(분기)'!$A:$F,$2:$2,0)),VLOOKUP($B:$B,'IS(분기)'!$A:$F,$2:$2,0),0)</f>
        <v>0</v>
      </c>
      <c r="Q849" s="207">
        <f>IF(ISNUMBER(VLOOKUP($B:$B,'IS(분기)'!$A:$F,$2:$2,0)),VLOOKUP($B:$B,'IS(분기)'!$A:$F,$2:$2,0),0)</f>
        <v>0</v>
      </c>
      <c r="R849" s="207">
        <f>IF(ISNUMBER(VLOOKUP($B:$B,'IS(분기)'!$A:$F,$2:$2,0)),VLOOKUP($B:$B,'IS(분기)'!$A:$F,$2:$2,0),0)</f>
        <v>0</v>
      </c>
    </row>
    <row r="850" spans="1:18" s="192" customFormat="1" ht="12">
      <c r="A850" s="201">
        <v>122651</v>
      </c>
      <c r="B850" s="194" t="s">
        <v>1389</v>
      </c>
      <c r="C850" s="217">
        <f>IF(ISNUMBER(VLOOKUP($B:$B,IS!$A:$F,$2:$2,0)),VLOOKUP($B:$B,IS!$A:$F,$2:$2,0),0)</f>
        <v>0</v>
      </c>
      <c r="D850" s="217">
        <f>IF(ISNUMBER(VLOOKUP($B:$B,IS!$A:$F,$2:$2,0)),VLOOKUP($B:$B,IS!$A:$F,$2:$2,0),0)</f>
        <v>0</v>
      </c>
      <c r="E850" s="217">
        <f>IF(ISNUMBER(VLOOKUP($B:$B,IS!$A:$F,$2:$2,0)),VLOOKUP($B:$B,IS!$A:$F,$2:$2,0),0)</f>
        <v>0</v>
      </c>
      <c r="F850" s="217">
        <f>IF(ISNUMBER(VLOOKUP($B:$B,IS!$A:$F,$2:$2,0)),VLOOKUP($B:$B,IS!$A:$F,$2:$2,0),0)</f>
        <v>0</v>
      </c>
      <c r="G850" s="217">
        <f>IF(ISNUMBER(VLOOKUP($B:$B,IS!$A:$F,$2:$2,0)),VLOOKUP($B:$B,IS!$A:$F,$2:$2,0),0)</f>
        <v>0</v>
      </c>
      <c r="H850" s="207">
        <f>IF(ISNUMBER(VLOOKUP($B:$B,'IS(과거)'!$A:$F,$2:$2,0)),VLOOKUP($B:$B,'IS(과거)'!$A:$F,$2:$2,0),0)</f>
        <v>0</v>
      </c>
      <c r="I850" s="207">
        <f>IF(ISNUMBER(VLOOKUP($B:$B,'IS(과거)'!$A:$F,$2:$2,0)),VLOOKUP($B:$B,'IS(과거)'!$A:$F,$2:$2,0),0)</f>
        <v>0</v>
      </c>
      <c r="J850" s="207">
        <f>IF(ISNUMBER(VLOOKUP($B:$B,'IS(과거)'!$A:$F,$2:$2,0)),VLOOKUP($B:$B,'IS(과거)'!$A:$F,$2:$2,0),0)</f>
        <v>0</v>
      </c>
      <c r="K850" s="207">
        <f>IF(ISNUMBER(VLOOKUP($B:$B,'IS(과거)'!$A:$F,$2:$2,0)),VLOOKUP($B:$B,'IS(과거)'!$A:$F,$2:$2,0),0)</f>
        <v>0</v>
      </c>
      <c r="L850" s="207">
        <f>IF(ISNUMBER(VLOOKUP($B:$B,'IS(과거)'!$A:$F,$2:$2,0)),VLOOKUP($B:$B,'IS(과거)'!$A:$F,$2:$2,0),0)</f>
        <v>0</v>
      </c>
      <c r="N850" s="207">
        <f>IF(ISNUMBER(VLOOKUP($B:$B,'IS(분기)'!$A:$F,$2:$2,0)),VLOOKUP($B:$B,'IS(분기)'!$A:$F,$2:$2,0),0)</f>
        <v>0</v>
      </c>
      <c r="O850" s="207">
        <f>IF(ISNUMBER(VLOOKUP($B:$B,'IS(분기)'!$A:$F,$2:$2,0)),VLOOKUP($B:$B,'IS(분기)'!$A:$F,$2:$2,0),0)</f>
        <v>0</v>
      </c>
      <c r="P850" s="207">
        <f>IF(ISNUMBER(VLOOKUP($B:$B,'IS(분기)'!$A:$F,$2:$2,0)),VLOOKUP($B:$B,'IS(분기)'!$A:$F,$2:$2,0),0)</f>
        <v>0</v>
      </c>
      <c r="Q850" s="207">
        <f>IF(ISNUMBER(VLOOKUP($B:$B,'IS(분기)'!$A:$F,$2:$2,0)),VLOOKUP($B:$B,'IS(분기)'!$A:$F,$2:$2,0),0)</f>
        <v>0</v>
      </c>
      <c r="R850" s="207">
        <f>IF(ISNUMBER(VLOOKUP($B:$B,'IS(분기)'!$A:$F,$2:$2,0)),VLOOKUP($B:$B,'IS(분기)'!$A:$F,$2:$2,0),0)</f>
        <v>0</v>
      </c>
    </row>
    <row r="851" spans="1:18" s="192" customFormat="1" ht="12">
      <c r="A851" s="201">
        <v>122652</v>
      </c>
      <c r="B851" s="194" t="s">
        <v>1390</v>
      </c>
      <c r="C851" s="217">
        <f>IF(ISNUMBER(VLOOKUP($B:$B,IS!$A:$F,$2:$2,0)),VLOOKUP($B:$B,IS!$A:$F,$2:$2,0),0)</f>
        <v>0</v>
      </c>
      <c r="D851" s="217">
        <f>IF(ISNUMBER(VLOOKUP($B:$B,IS!$A:$F,$2:$2,0)),VLOOKUP($B:$B,IS!$A:$F,$2:$2,0),0)</f>
        <v>0</v>
      </c>
      <c r="E851" s="217">
        <f>IF(ISNUMBER(VLOOKUP($B:$B,IS!$A:$F,$2:$2,0)),VLOOKUP($B:$B,IS!$A:$F,$2:$2,0),0)</f>
        <v>0</v>
      </c>
      <c r="F851" s="217">
        <f>IF(ISNUMBER(VLOOKUP($B:$B,IS!$A:$F,$2:$2,0)),VLOOKUP($B:$B,IS!$A:$F,$2:$2,0),0)</f>
        <v>0</v>
      </c>
      <c r="G851" s="217">
        <f>IF(ISNUMBER(VLOOKUP($B:$B,IS!$A:$F,$2:$2,0)),VLOOKUP($B:$B,IS!$A:$F,$2:$2,0),0)</f>
        <v>0</v>
      </c>
      <c r="H851" s="207">
        <f>IF(ISNUMBER(VLOOKUP($B:$B,'IS(과거)'!$A:$F,$2:$2,0)),VLOOKUP($B:$B,'IS(과거)'!$A:$F,$2:$2,0),0)</f>
        <v>0</v>
      </c>
      <c r="I851" s="207">
        <f>IF(ISNUMBER(VLOOKUP($B:$B,'IS(과거)'!$A:$F,$2:$2,0)),VLOOKUP($B:$B,'IS(과거)'!$A:$F,$2:$2,0),0)</f>
        <v>0</v>
      </c>
      <c r="J851" s="207">
        <f>IF(ISNUMBER(VLOOKUP($B:$B,'IS(과거)'!$A:$F,$2:$2,0)),VLOOKUP($B:$B,'IS(과거)'!$A:$F,$2:$2,0),0)</f>
        <v>0</v>
      </c>
      <c r="K851" s="207">
        <f>IF(ISNUMBER(VLOOKUP($B:$B,'IS(과거)'!$A:$F,$2:$2,0)),VLOOKUP($B:$B,'IS(과거)'!$A:$F,$2:$2,0),0)</f>
        <v>0</v>
      </c>
      <c r="L851" s="207">
        <f>IF(ISNUMBER(VLOOKUP($B:$B,'IS(과거)'!$A:$F,$2:$2,0)),VLOOKUP($B:$B,'IS(과거)'!$A:$F,$2:$2,0),0)</f>
        <v>0</v>
      </c>
      <c r="N851" s="207">
        <f>IF(ISNUMBER(VLOOKUP($B:$B,'IS(분기)'!$A:$F,$2:$2,0)),VLOOKUP($B:$B,'IS(분기)'!$A:$F,$2:$2,0),0)</f>
        <v>0</v>
      </c>
      <c r="O851" s="207">
        <f>IF(ISNUMBER(VLOOKUP($B:$B,'IS(분기)'!$A:$F,$2:$2,0)),VLOOKUP($B:$B,'IS(분기)'!$A:$F,$2:$2,0),0)</f>
        <v>0</v>
      </c>
      <c r="P851" s="207">
        <f>IF(ISNUMBER(VLOOKUP($B:$B,'IS(분기)'!$A:$F,$2:$2,0)),VLOOKUP($B:$B,'IS(분기)'!$A:$F,$2:$2,0),0)</f>
        <v>0</v>
      </c>
      <c r="Q851" s="207">
        <f>IF(ISNUMBER(VLOOKUP($B:$B,'IS(분기)'!$A:$F,$2:$2,0)),VLOOKUP($B:$B,'IS(분기)'!$A:$F,$2:$2,0),0)</f>
        <v>0</v>
      </c>
      <c r="R851" s="207">
        <f>IF(ISNUMBER(VLOOKUP($B:$B,'IS(분기)'!$A:$F,$2:$2,0)),VLOOKUP($B:$B,'IS(분기)'!$A:$F,$2:$2,0),0)</f>
        <v>0</v>
      </c>
    </row>
    <row r="852" spans="1:18" s="192" customFormat="1" ht="12">
      <c r="A852" s="201">
        <v>122700</v>
      </c>
      <c r="B852" s="194" t="s">
        <v>1391</v>
      </c>
      <c r="C852" s="217">
        <f>IF(ISNUMBER(VLOOKUP($B:$B,IS!$A:$F,$2:$2,0)),VLOOKUP($B:$B,IS!$A:$F,$2:$2,0),0)</f>
        <v>0</v>
      </c>
      <c r="D852" s="217">
        <f>IF(ISNUMBER(VLOOKUP($B:$B,IS!$A:$F,$2:$2,0)),VLOOKUP($B:$B,IS!$A:$F,$2:$2,0),0)</f>
        <v>0</v>
      </c>
      <c r="E852" s="217">
        <f>IF(ISNUMBER(VLOOKUP($B:$B,IS!$A:$F,$2:$2,0)),VLOOKUP($B:$B,IS!$A:$F,$2:$2,0),0)</f>
        <v>0</v>
      </c>
      <c r="F852" s="217">
        <f>IF(ISNUMBER(VLOOKUP($B:$B,IS!$A:$F,$2:$2,0)),VLOOKUP($B:$B,IS!$A:$F,$2:$2,0),0)</f>
        <v>0</v>
      </c>
      <c r="G852" s="217">
        <f>IF(ISNUMBER(VLOOKUP($B:$B,IS!$A:$F,$2:$2,0)),VLOOKUP($B:$B,IS!$A:$F,$2:$2,0),0)</f>
        <v>0</v>
      </c>
      <c r="H852" s="207">
        <f>IF(ISNUMBER(VLOOKUP($B:$B,'IS(과거)'!$A:$F,$2:$2,0)),VLOOKUP($B:$B,'IS(과거)'!$A:$F,$2:$2,0),0)</f>
        <v>0</v>
      </c>
      <c r="I852" s="207">
        <f>IF(ISNUMBER(VLOOKUP($B:$B,'IS(과거)'!$A:$F,$2:$2,0)),VLOOKUP($B:$B,'IS(과거)'!$A:$F,$2:$2,0),0)</f>
        <v>0</v>
      </c>
      <c r="J852" s="207">
        <f>IF(ISNUMBER(VLOOKUP($B:$B,'IS(과거)'!$A:$F,$2:$2,0)),VLOOKUP($B:$B,'IS(과거)'!$A:$F,$2:$2,0),0)</f>
        <v>0</v>
      </c>
      <c r="K852" s="207">
        <f>IF(ISNUMBER(VLOOKUP($B:$B,'IS(과거)'!$A:$F,$2:$2,0)),VLOOKUP($B:$B,'IS(과거)'!$A:$F,$2:$2,0),0)</f>
        <v>0</v>
      </c>
      <c r="L852" s="207">
        <f>IF(ISNUMBER(VLOOKUP($B:$B,'IS(과거)'!$A:$F,$2:$2,0)),VLOOKUP($B:$B,'IS(과거)'!$A:$F,$2:$2,0),0)</f>
        <v>0</v>
      </c>
      <c r="N852" s="207">
        <f>IF(ISNUMBER(VLOOKUP($B:$B,'IS(분기)'!$A:$F,$2:$2,0)),VLOOKUP($B:$B,'IS(분기)'!$A:$F,$2:$2,0),0)</f>
        <v>0</v>
      </c>
      <c r="O852" s="207">
        <f>IF(ISNUMBER(VLOOKUP($B:$B,'IS(분기)'!$A:$F,$2:$2,0)),VLOOKUP($B:$B,'IS(분기)'!$A:$F,$2:$2,0),0)</f>
        <v>0</v>
      </c>
      <c r="P852" s="207">
        <f>IF(ISNUMBER(VLOOKUP($B:$B,'IS(분기)'!$A:$F,$2:$2,0)),VLOOKUP($B:$B,'IS(분기)'!$A:$F,$2:$2,0),0)</f>
        <v>0</v>
      </c>
      <c r="Q852" s="207">
        <f>IF(ISNUMBER(VLOOKUP($B:$B,'IS(분기)'!$A:$F,$2:$2,0)),VLOOKUP($B:$B,'IS(분기)'!$A:$F,$2:$2,0),0)</f>
        <v>0</v>
      </c>
      <c r="R852" s="207">
        <f>IF(ISNUMBER(VLOOKUP($B:$B,'IS(분기)'!$A:$F,$2:$2,0)),VLOOKUP($B:$B,'IS(분기)'!$A:$F,$2:$2,0),0)</f>
        <v>0</v>
      </c>
    </row>
    <row r="853" spans="1:18" s="192" customFormat="1" ht="12">
      <c r="A853" s="201">
        <v>122305</v>
      </c>
      <c r="B853" s="194" t="s">
        <v>1392</v>
      </c>
      <c r="C853" s="217">
        <f>IF(ISNUMBER(VLOOKUP($B:$B,IS!$A:$F,$2:$2,0)),VLOOKUP($B:$B,IS!$A:$F,$2:$2,0),0)</f>
        <v>0</v>
      </c>
      <c r="D853" s="217">
        <f>IF(ISNUMBER(VLOOKUP($B:$B,IS!$A:$F,$2:$2,0)),VLOOKUP($B:$B,IS!$A:$F,$2:$2,0),0)</f>
        <v>0</v>
      </c>
      <c r="E853" s="217">
        <f>IF(ISNUMBER(VLOOKUP($B:$B,IS!$A:$F,$2:$2,0)),VLOOKUP($B:$B,IS!$A:$F,$2:$2,0),0)</f>
        <v>0</v>
      </c>
      <c r="F853" s="217">
        <f>IF(ISNUMBER(VLOOKUP($B:$B,IS!$A:$F,$2:$2,0)),VLOOKUP($B:$B,IS!$A:$F,$2:$2,0),0)</f>
        <v>0</v>
      </c>
      <c r="G853" s="217">
        <f>IF(ISNUMBER(VLOOKUP($B:$B,IS!$A:$F,$2:$2,0)),VLOOKUP($B:$B,IS!$A:$F,$2:$2,0),0)</f>
        <v>0</v>
      </c>
      <c r="H853" s="207">
        <f>IF(ISNUMBER(VLOOKUP($B:$B,'IS(과거)'!$A:$F,$2:$2,0)),VLOOKUP($B:$B,'IS(과거)'!$A:$F,$2:$2,0),0)</f>
        <v>0</v>
      </c>
      <c r="I853" s="207">
        <f>IF(ISNUMBER(VLOOKUP($B:$B,'IS(과거)'!$A:$F,$2:$2,0)),VLOOKUP($B:$B,'IS(과거)'!$A:$F,$2:$2,0),0)</f>
        <v>0</v>
      </c>
      <c r="J853" s="207">
        <f>IF(ISNUMBER(VLOOKUP($B:$B,'IS(과거)'!$A:$F,$2:$2,0)),VLOOKUP($B:$B,'IS(과거)'!$A:$F,$2:$2,0),0)</f>
        <v>0</v>
      </c>
      <c r="K853" s="207">
        <f>IF(ISNUMBER(VLOOKUP($B:$B,'IS(과거)'!$A:$F,$2:$2,0)),VLOOKUP($B:$B,'IS(과거)'!$A:$F,$2:$2,0),0)</f>
        <v>0</v>
      </c>
      <c r="L853" s="207">
        <f>IF(ISNUMBER(VLOOKUP($B:$B,'IS(과거)'!$A:$F,$2:$2,0)),VLOOKUP($B:$B,'IS(과거)'!$A:$F,$2:$2,0),0)</f>
        <v>0</v>
      </c>
      <c r="N853" s="207">
        <f>IF(ISNUMBER(VLOOKUP($B:$B,'IS(분기)'!$A:$F,$2:$2,0)),VLOOKUP($B:$B,'IS(분기)'!$A:$F,$2:$2,0),0)</f>
        <v>0</v>
      </c>
      <c r="O853" s="207">
        <f>IF(ISNUMBER(VLOOKUP($B:$B,'IS(분기)'!$A:$F,$2:$2,0)),VLOOKUP($B:$B,'IS(분기)'!$A:$F,$2:$2,0),0)</f>
        <v>0</v>
      </c>
      <c r="P853" s="207">
        <f>IF(ISNUMBER(VLOOKUP($B:$B,'IS(분기)'!$A:$F,$2:$2,0)),VLOOKUP($B:$B,'IS(분기)'!$A:$F,$2:$2,0),0)</f>
        <v>0</v>
      </c>
      <c r="Q853" s="207">
        <f>IF(ISNUMBER(VLOOKUP($B:$B,'IS(분기)'!$A:$F,$2:$2,0)),VLOOKUP($B:$B,'IS(분기)'!$A:$F,$2:$2,0),0)</f>
        <v>0</v>
      </c>
      <c r="R853" s="207">
        <f>IF(ISNUMBER(VLOOKUP($B:$B,'IS(분기)'!$A:$F,$2:$2,0)),VLOOKUP($B:$B,'IS(분기)'!$A:$F,$2:$2,0),0)</f>
        <v>0</v>
      </c>
    </row>
    <row r="854" spans="1:18" s="192" customFormat="1" ht="12">
      <c r="A854" s="202">
        <v>122310</v>
      </c>
      <c r="B854" s="195" t="s">
        <v>1376</v>
      </c>
      <c r="C854" s="217">
        <f>IF(ISNUMBER(VLOOKUP($B:$B,IS!$A:$F,$2:$2,0)),VLOOKUP($B:$B,IS!$A:$F,$2:$2,0),0)</f>
        <v>510545</v>
      </c>
      <c r="D854" s="217">
        <f>IF(ISNUMBER(VLOOKUP($B:$B,IS!$A:$F,$2:$2,0)),VLOOKUP($B:$B,IS!$A:$F,$2:$2,0),0)</f>
        <v>0</v>
      </c>
      <c r="E854" s="217">
        <f>IF(ISNUMBER(VLOOKUP($B:$B,IS!$A:$F,$2:$2,0)),VLOOKUP($B:$B,IS!$A:$F,$2:$2,0),0)</f>
        <v>0</v>
      </c>
      <c r="F854" s="217">
        <f>IF(ISNUMBER(VLOOKUP($B:$B,IS!$A:$F,$2:$2,0)),VLOOKUP($B:$B,IS!$A:$F,$2:$2,0),0)</f>
        <v>0</v>
      </c>
      <c r="G854" s="217">
        <f>IF(ISNUMBER(VLOOKUP($B:$B,IS!$A:$F,$2:$2,0)),VLOOKUP($B:$B,IS!$A:$F,$2:$2,0),0)</f>
        <v>0</v>
      </c>
      <c r="H854" s="207">
        <f>IF(ISNUMBER(VLOOKUP($B:$B,'IS(과거)'!$A:$F,$2:$2,0)),VLOOKUP($B:$B,'IS(과거)'!$A:$F,$2:$2,0),0)</f>
        <v>0</v>
      </c>
      <c r="I854" s="207">
        <f>IF(ISNUMBER(VLOOKUP($B:$B,'IS(과거)'!$A:$F,$2:$2,0)),VLOOKUP($B:$B,'IS(과거)'!$A:$F,$2:$2,0),0)</f>
        <v>0</v>
      </c>
      <c r="J854" s="207">
        <f>IF(ISNUMBER(VLOOKUP($B:$B,'IS(과거)'!$A:$F,$2:$2,0)),VLOOKUP($B:$B,'IS(과거)'!$A:$F,$2:$2,0),0)</f>
        <v>0</v>
      </c>
      <c r="K854" s="207">
        <f>IF(ISNUMBER(VLOOKUP($B:$B,'IS(과거)'!$A:$F,$2:$2,0)),VLOOKUP($B:$B,'IS(과거)'!$A:$F,$2:$2,0),0)</f>
        <v>0</v>
      </c>
      <c r="L854" s="207">
        <f>IF(ISNUMBER(VLOOKUP($B:$B,'IS(과거)'!$A:$F,$2:$2,0)),VLOOKUP($B:$B,'IS(과거)'!$A:$F,$2:$2,0),0)</f>
        <v>0</v>
      </c>
      <c r="N854" s="207">
        <f>IF(ISNUMBER(VLOOKUP($B:$B,'IS(분기)'!$A:$F,$2:$2,0)),VLOOKUP($B:$B,'IS(분기)'!$A:$F,$2:$2,0),0)</f>
        <v>0</v>
      </c>
      <c r="O854" s="207">
        <f>IF(ISNUMBER(VLOOKUP($B:$B,'IS(분기)'!$A:$F,$2:$2,0)),VLOOKUP($B:$B,'IS(분기)'!$A:$F,$2:$2,0),0)</f>
        <v>0</v>
      </c>
      <c r="P854" s="207">
        <f>IF(ISNUMBER(VLOOKUP($B:$B,'IS(분기)'!$A:$F,$2:$2,0)),VLOOKUP($B:$B,'IS(분기)'!$A:$F,$2:$2,0),0)</f>
        <v>0</v>
      </c>
      <c r="Q854" s="207">
        <f>IF(ISNUMBER(VLOOKUP($B:$B,'IS(분기)'!$A:$F,$2:$2,0)),VLOOKUP($B:$B,'IS(분기)'!$A:$F,$2:$2,0),0)</f>
        <v>0</v>
      </c>
      <c r="R854" s="207">
        <f>IF(ISNUMBER(VLOOKUP($B:$B,'IS(분기)'!$A:$F,$2:$2,0)),VLOOKUP($B:$B,'IS(분기)'!$A:$F,$2:$2,0),0)</f>
        <v>0</v>
      </c>
    </row>
    <row r="855" spans="1:18" s="192" customFormat="1" ht="12">
      <c r="A855" s="202">
        <v>122320</v>
      </c>
      <c r="B855" s="195" t="s">
        <v>1393</v>
      </c>
      <c r="C855" s="217">
        <f>IF(ISNUMBER(VLOOKUP($B:$B,IS!$A:$F,$2:$2,0)),VLOOKUP($B:$B,IS!$A:$F,$2:$2,0),0)</f>
        <v>0</v>
      </c>
      <c r="D855" s="217">
        <f>IF(ISNUMBER(VLOOKUP($B:$B,IS!$A:$F,$2:$2,0)),VLOOKUP($B:$B,IS!$A:$F,$2:$2,0),0)</f>
        <v>0</v>
      </c>
      <c r="E855" s="217">
        <f>IF(ISNUMBER(VLOOKUP($B:$B,IS!$A:$F,$2:$2,0)),VLOOKUP($B:$B,IS!$A:$F,$2:$2,0),0)</f>
        <v>0</v>
      </c>
      <c r="F855" s="217">
        <f>IF(ISNUMBER(VLOOKUP($B:$B,IS!$A:$F,$2:$2,0)),VLOOKUP($B:$B,IS!$A:$F,$2:$2,0),0)</f>
        <v>0</v>
      </c>
      <c r="G855" s="217">
        <f>IF(ISNUMBER(VLOOKUP($B:$B,IS!$A:$F,$2:$2,0)),VLOOKUP($B:$B,IS!$A:$F,$2:$2,0),0)</f>
        <v>0</v>
      </c>
      <c r="H855" s="207">
        <f>IF(ISNUMBER(VLOOKUP($B:$B,'IS(과거)'!$A:$F,$2:$2,0)),VLOOKUP($B:$B,'IS(과거)'!$A:$F,$2:$2,0),0)</f>
        <v>0</v>
      </c>
      <c r="I855" s="207">
        <f>IF(ISNUMBER(VLOOKUP($B:$B,'IS(과거)'!$A:$F,$2:$2,0)),VLOOKUP($B:$B,'IS(과거)'!$A:$F,$2:$2,0),0)</f>
        <v>0</v>
      </c>
      <c r="J855" s="207">
        <f>IF(ISNUMBER(VLOOKUP($B:$B,'IS(과거)'!$A:$F,$2:$2,0)),VLOOKUP($B:$B,'IS(과거)'!$A:$F,$2:$2,0),0)</f>
        <v>0</v>
      </c>
      <c r="K855" s="207">
        <f>IF(ISNUMBER(VLOOKUP($B:$B,'IS(과거)'!$A:$F,$2:$2,0)),VLOOKUP($B:$B,'IS(과거)'!$A:$F,$2:$2,0),0)</f>
        <v>0</v>
      </c>
      <c r="L855" s="207">
        <f>IF(ISNUMBER(VLOOKUP($B:$B,'IS(과거)'!$A:$F,$2:$2,0)),VLOOKUP($B:$B,'IS(과거)'!$A:$F,$2:$2,0),0)</f>
        <v>0</v>
      </c>
      <c r="N855" s="207">
        <f>IF(ISNUMBER(VLOOKUP($B:$B,'IS(분기)'!$A:$F,$2:$2,0)),VLOOKUP($B:$B,'IS(분기)'!$A:$F,$2:$2,0),0)</f>
        <v>0</v>
      </c>
      <c r="O855" s="207">
        <f>IF(ISNUMBER(VLOOKUP($B:$B,'IS(분기)'!$A:$F,$2:$2,0)),VLOOKUP($B:$B,'IS(분기)'!$A:$F,$2:$2,0),0)</f>
        <v>0</v>
      </c>
      <c r="P855" s="207">
        <f>IF(ISNUMBER(VLOOKUP($B:$B,'IS(분기)'!$A:$F,$2:$2,0)),VLOOKUP($B:$B,'IS(분기)'!$A:$F,$2:$2,0),0)</f>
        <v>0</v>
      </c>
      <c r="Q855" s="207">
        <f>IF(ISNUMBER(VLOOKUP($B:$B,'IS(분기)'!$A:$F,$2:$2,0)),VLOOKUP($B:$B,'IS(분기)'!$A:$F,$2:$2,0),0)</f>
        <v>0</v>
      </c>
      <c r="R855" s="207">
        <f>IF(ISNUMBER(VLOOKUP($B:$B,'IS(분기)'!$A:$F,$2:$2,0)),VLOOKUP($B:$B,'IS(분기)'!$A:$F,$2:$2,0),0)</f>
        <v>0</v>
      </c>
    </row>
    <row r="856" spans="1:18" s="192" customFormat="1" ht="12">
      <c r="A856" s="202">
        <v>122325</v>
      </c>
      <c r="B856" s="195" t="s">
        <v>1378</v>
      </c>
      <c r="C856" s="217">
        <f>IF(ISNUMBER(VLOOKUP($B:$B,IS!$A:$F,$2:$2,0)),VLOOKUP($B:$B,IS!$A:$F,$2:$2,0),0)</f>
        <v>0</v>
      </c>
      <c r="D856" s="217">
        <f>IF(ISNUMBER(VLOOKUP($B:$B,IS!$A:$F,$2:$2,0)),VLOOKUP($B:$B,IS!$A:$F,$2:$2,0),0)</f>
        <v>0</v>
      </c>
      <c r="E856" s="217">
        <f>IF(ISNUMBER(VLOOKUP($B:$B,IS!$A:$F,$2:$2,0)),VLOOKUP($B:$B,IS!$A:$F,$2:$2,0),0)</f>
        <v>0</v>
      </c>
      <c r="F856" s="217">
        <f>IF(ISNUMBER(VLOOKUP($B:$B,IS!$A:$F,$2:$2,0)),VLOOKUP($B:$B,IS!$A:$F,$2:$2,0),0)</f>
        <v>0</v>
      </c>
      <c r="G856" s="217">
        <f>IF(ISNUMBER(VLOOKUP($B:$B,IS!$A:$F,$2:$2,0)),VLOOKUP($B:$B,IS!$A:$F,$2:$2,0),0)</f>
        <v>0</v>
      </c>
      <c r="H856" s="207">
        <f>IF(ISNUMBER(VLOOKUP($B:$B,'IS(과거)'!$A:$F,$2:$2,0)),VLOOKUP($B:$B,'IS(과거)'!$A:$F,$2:$2,0),0)</f>
        <v>0</v>
      </c>
      <c r="I856" s="207">
        <f>IF(ISNUMBER(VLOOKUP($B:$B,'IS(과거)'!$A:$F,$2:$2,0)),VLOOKUP($B:$B,'IS(과거)'!$A:$F,$2:$2,0),0)</f>
        <v>0</v>
      </c>
      <c r="J856" s="207">
        <f>IF(ISNUMBER(VLOOKUP($B:$B,'IS(과거)'!$A:$F,$2:$2,0)),VLOOKUP($B:$B,'IS(과거)'!$A:$F,$2:$2,0),0)</f>
        <v>0</v>
      </c>
      <c r="K856" s="207">
        <f>IF(ISNUMBER(VLOOKUP($B:$B,'IS(과거)'!$A:$F,$2:$2,0)),VLOOKUP($B:$B,'IS(과거)'!$A:$F,$2:$2,0),0)</f>
        <v>0</v>
      </c>
      <c r="L856" s="207">
        <f>IF(ISNUMBER(VLOOKUP($B:$B,'IS(과거)'!$A:$F,$2:$2,0)),VLOOKUP($B:$B,'IS(과거)'!$A:$F,$2:$2,0),0)</f>
        <v>0</v>
      </c>
      <c r="N856" s="207">
        <f>IF(ISNUMBER(VLOOKUP($B:$B,'IS(분기)'!$A:$F,$2:$2,0)),VLOOKUP($B:$B,'IS(분기)'!$A:$F,$2:$2,0),0)</f>
        <v>0</v>
      </c>
      <c r="O856" s="207">
        <f>IF(ISNUMBER(VLOOKUP($B:$B,'IS(분기)'!$A:$F,$2:$2,0)),VLOOKUP($B:$B,'IS(분기)'!$A:$F,$2:$2,0),0)</f>
        <v>0</v>
      </c>
      <c r="P856" s="207">
        <f>IF(ISNUMBER(VLOOKUP($B:$B,'IS(분기)'!$A:$F,$2:$2,0)),VLOOKUP($B:$B,'IS(분기)'!$A:$F,$2:$2,0),0)</f>
        <v>0</v>
      </c>
      <c r="Q856" s="207">
        <f>IF(ISNUMBER(VLOOKUP($B:$B,'IS(분기)'!$A:$F,$2:$2,0)),VLOOKUP($B:$B,'IS(분기)'!$A:$F,$2:$2,0),0)</f>
        <v>0</v>
      </c>
      <c r="R856" s="207">
        <f>IF(ISNUMBER(VLOOKUP($B:$B,'IS(분기)'!$A:$F,$2:$2,0)),VLOOKUP($B:$B,'IS(분기)'!$A:$F,$2:$2,0),0)</f>
        <v>0</v>
      </c>
    </row>
    <row r="857" spans="1:18" s="192" customFormat="1" ht="12">
      <c r="A857" s="202">
        <v>122326</v>
      </c>
      <c r="B857" s="195" t="s">
        <v>1379</v>
      </c>
      <c r="C857" s="217">
        <f>IF(ISNUMBER(VLOOKUP($B:$B,IS!$A:$F,$2:$2,0)),VLOOKUP($B:$B,IS!$A:$F,$2:$2,0),0)</f>
        <v>0</v>
      </c>
      <c r="D857" s="217">
        <f>IF(ISNUMBER(VLOOKUP($B:$B,IS!$A:$F,$2:$2,0)),VLOOKUP($B:$B,IS!$A:$F,$2:$2,0),0)</f>
        <v>0</v>
      </c>
      <c r="E857" s="217">
        <f>IF(ISNUMBER(VLOOKUP($B:$B,IS!$A:$F,$2:$2,0)),VLOOKUP($B:$B,IS!$A:$F,$2:$2,0),0)</f>
        <v>0</v>
      </c>
      <c r="F857" s="217">
        <f>IF(ISNUMBER(VLOOKUP($B:$B,IS!$A:$F,$2:$2,0)),VLOOKUP($B:$B,IS!$A:$F,$2:$2,0),0)</f>
        <v>0</v>
      </c>
      <c r="G857" s="217">
        <f>IF(ISNUMBER(VLOOKUP($B:$B,IS!$A:$F,$2:$2,0)),VLOOKUP($B:$B,IS!$A:$F,$2:$2,0),0)</f>
        <v>0</v>
      </c>
      <c r="H857" s="207">
        <f>IF(ISNUMBER(VLOOKUP($B:$B,'IS(과거)'!$A:$F,$2:$2,0)),VLOOKUP($B:$B,'IS(과거)'!$A:$F,$2:$2,0),0)</f>
        <v>0</v>
      </c>
      <c r="I857" s="207">
        <f>IF(ISNUMBER(VLOOKUP($B:$B,'IS(과거)'!$A:$F,$2:$2,0)),VLOOKUP($B:$B,'IS(과거)'!$A:$F,$2:$2,0),0)</f>
        <v>0</v>
      </c>
      <c r="J857" s="207">
        <f>IF(ISNUMBER(VLOOKUP($B:$B,'IS(과거)'!$A:$F,$2:$2,0)),VLOOKUP($B:$B,'IS(과거)'!$A:$F,$2:$2,0),0)</f>
        <v>0</v>
      </c>
      <c r="K857" s="207">
        <f>IF(ISNUMBER(VLOOKUP($B:$B,'IS(과거)'!$A:$F,$2:$2,0)),VLOOKUP($B:$B,'IS(과거)'!$A:$F,$2:$2,0),0)</f>
        <v>0</v>
      </c>
      <c r="L857" s="207">
        <f>IF(ISNUMBER(VLOOKUP($B:$B,'IS(과거)'!$A:$F,$2:$2,0)),VLOOKUP($B:$B,'IS(과거)'!$A:$F,$2:$2,0),0)</f>
        <v>0</v>
      </c>
      <c r="N857" s="207">
        <f>IF(ISNUMBER(VLOOKUP($B:$B,'IS(분기)'!$A:$F,$2:$2,0)),VLOOKUP($B:$B,'IS(분기)'!$A:$F,$2:$2,0),0)</f>
        <v>0</v>
      </c>
      <c r="O857" s="207">
        <f>IF(ISNUMBER(VLOOKUP($B:$B,'IS(분기)'!$A:$F,$2:$2,0)),VLOOKUP($B:$B,'IS(분기)'!$A:$F,$2:$2,0),0)</f>
        <v>0</v>
      </c>
      <c r="P857" s="207">
        <f>IF(ISNUMBER(VLOOKUP($B:$B,'IS(분기)'!$A:$F,$2:$2,0)),VLOOKUP($B:$B,'IS(분기)'!$A:$F,$2:$2,0),0)</f>
        <v>0</v>
      </c>
      <c r="Q857" s="207">
        <f>IF(ISNUMBER(VLOOKUP($B:$B,'IS(분기)'!$A:$F,$2:$2,0)),VLOOKUP($B:$B,'IS(분기)'!$A:$F,$2:$2,0),0)</f>
        <v>0</v>
      </c>
      <c r="R857" s="207">
        <f>IF(ISNUMBER(VLOOKUP($B:$B,'IS(분기)'!$A:$F,$2:$2,0)),VLOOKUP($B:$B,'IS(분기)'!$A:$F,$2:$2,0),0)</f>
        <v>0</v>
      </c>
    </row>
    <row r="858" spans="1:18" s="192" customFormat="1" ht="12">
      <c r="A858" s="202">
        <v>122330</v>
      </c>
      <c r="B858" s="195" t="s">
        <v>1380</v>
      </c>
      <c r="C858" s="217">
        <f>IF(ISNUMBER(VLOOKUP($B:$B,IS!$A:$F,$2:$2,0)),VLOOKUP($B:$B,IS!$A:$F,$2:$2,0),0)</f>
        <v>0</v>
      </c>
      <c r="D858" s="217">
        <f>IF(ISNUMBER(VLOOKUP($B:$B,IS!$A:$F,$2:$2,0)),VLOOKUP($B:$B,IS!$A:$F,$2:$2,0),0)</f>
        <v>0</v>
      </c>
      <c r="E858" s="217">
        <f>IF(ISNUMBER(VLOOKUP($B:$B,IS!$A:$F,$2:$2,0)),VLOOKUP($B:$B,IS!$A:$F,$2:$2,0),0)</f>
        <v>0</v>
      </c>
      <c r="F858" s="217">
        <f>IF(ISNUMBER(VLOOKUP($B:$B,IS!$A:$F,$2:$2,0)),VLOOKUP($B:$B,IS!$A:$F,$2:$2,0),0)</f>
        <v>0</v>
      </c>
      <c r="G858" s="217">
        <f>IF(ISNUMBER(VLOOKUP($B:$B,IS!$A:$F,$2:$2,0)),VLOOKUP($B:$B,IS!$A:$F,$2:$2,0),0)</f>
        <v>0</v>
      </c>
      <c r="H858" s="207">
        <f>IF(ISNUMBER(VLOOKUP($B:$B,'IS(과거)'!$A:$F,$2:$2,0)),VLOOKUP($B:$B,'IS(과거)'!$A:$F,$2:$2,0),0)</f>
        <v>0</v>
      </c>
      <c r="I858" s="207">
        <f>IF(ISNUMBER(VLOOKUP($B:$B,'IS(과거)'!$A:$F,$2:$2,0)),VLOOKUP($B:$B,'IS(과거)'!$A:$F,$2:$2,0),0)</f>
        <v>0</v>
      </c>
      <c r="J858" s="207">
        <f>IF(ISNUMBER(VLOOKUP($B:$B,'IS(과거)'!$A:$F,$2:$2,0)),VLOOKUP($B:$B,'IS(과거)'!$A:$F,$2:$2,0),0)</f>
        <v>0</v>
      </c>
      <c r="K858" s="207">
        <f>IF(ISNUMBER(VLOOKUP($B:$B,'IS(과거)'!$A:$F,$2:$2,0)),VLOOKUP($B:$B,'IS(과거)'!$A:$F,$2:$2,0),0)</f>
        <v>0</v>
      </c>
      <c r="L858" s="207">
        <f>IF(ISNUMBER(VLOOKUP($B:$B,'IS(과거)'!$A:$F,$2:$2,0)),VLOOKUP($B:$B,'IS(과거)'!$A:$F,$2:$2,0),0)</f>
        <v>0</v>
      </c>
      <c r="N858" s="207">
        <f>IF(ISNUMBER(VLOOKUP($B:$B,'IS(분기)'!$A:$F,$2:$2,0)),VLOOKUP($B:$B,'IS(분기)'!$A:$F,$2:$2,0),0)</f>
        <v>0</v>
      </c>
      <c r="O858" s="207">
        <f>IF(ISNUMBER(VLOOKUP($B:$B,'IS(분기)'!$A:$F,$2:$2,0)),VLOOKUP($B:$B,'IS(분기)'!$A:$F,$2:$2,0),0)</f>
        <v>0</v>
      </c>
      <c r="P858" s="207">
        <f>IF(ISNUMBER(VLOOKUP($B:$B,'IS(분기)'!$A:$F,$2:$2,0)),VLOOKUP($B:$B,'IS(분기)'!$A:$F,$2:$2,0),0)</f>
        <v>0</v>
      </c>
      <c r="Q858" s="207">
        <f>IF(ISNUMBER(VLOOKUP($B:$B,'IS(분기)'!$A:$F,$2:$2,0)),VLOOKUP($B:$B,'IS(분기)'!$A:$F,$2:$2,0),0)</f>
        <v>0</v>
      </c>
      <c r="R858" s="207">
        <f>IF(ISNUMBER(VLOOKUP($B:$B,'IS(분기)'!$A:$F,$2:$2,0)),VLOOKUP($B:$B,'IS(분기)'!$A:$F,$2:$2,0),0)</f>
        <v>0</v>
      </c>
    </row>
    <row r="859" spans="1:18" s="192" customFormat="1" ht="12">
      <c r="A859" s="202">
        <v>122340</v>
      </c>
      <c r="B859" s="195" t="s">
        <v>1381</v>
      </c>
      <c r="C859" s="217">
        <f>IF(ISNUMBER(VLOOKUP($B:$B,IS!$A:$F,$2:$2,0)),VLOOKUP($B:$B,IS!$A:$F,$2:$2,0),0)</f>
        <v>1501327</v>
      </c>
      <c r="D859" s="217">
        <f>IF(ISNUMBER(VLOOKUP($B:$B,IS!$A:$F,$2:$2,0)),VLOOKUP($B:$B,IS!$A:$F,$2:$2,0),0)</f>
        <v>0</v>
      </c>
      <c r="E859" s="217">
        <f>IF(ISNUMBER(VLOOKUP($B:$B,IS!$A:$F,$2:$2,0)),VLOOKUP($B:$B,IS!$A:$F,$2:$2,0),0)</f>
        <v>0</v>
      </c>
      <c r="F859" s="217">
        <f>IF(ISNUMBER(VLOOKUP($B:$B,IS!$A:$F,$2:$2,0)),VLOOKUP($B:$B,IS!$A:$F,$2:$2,0),0)</f>
        <v>0</v>
      </c>
      <c r="G859" s="217">
        <f>IF(ISNUMBER(VLOOKUP($B:$B,IS!$A:$F,$2:$2,0)),VLOOKUP($B:$B,IS!$A:$F,$2:$2,0),0)</f>
        <v>0</v>
      </c>
      <c r="H859" s="207">
        <f>IF(ISNUMBER(VLOOKUP($B:$B,'IS(과거)'!$A:$F,$2:$2,0)),VLOOKUP($B:$B,'IS(과거)'!$A:$F,$2:$2,0),0)</f>
        <v>0</v>
      </c>
      <c r="I859" s="207">
        <f>IF(ISNUMBER(VLOOKUP($B:$B,'IS(과거)'!$A:$F,$2:$2,0)),VLOOKUP($B:$B,'IS(과거)'!$A:$F,$2:$2,0),0)</f>
        <v>0</v>
      </c>
      <c r="J859" s="207">
        <f>IF(ISNUMBER(VLOOKUP($B:$B,'IS(과거)'!$A:$F,$2:$2,0)),VLOOKUP($B:$B,'IS(과거)'!$A:$F,$2:$2,0),0)</f>
        <v>0</v>
      </c>
      <c r="K859" s="207">
        <f>IF(ISNUMBER(VLOOKUP($B:$B,'IS(과거)'!$A:$F,$2:$2,0)),VLOOKUP($B:$B,'IS(과거)'!$A:$F,$2:$2,0),0)</f>
        <v>0</v>
      </c>
      <c r="L859" s="207">
        <f>IF(ISNUMBER(VLOOKUP($B:$B,'IS(과거)'!$A:$F,$2:$2,0)),VLOOKUP($B:$B,'IS(과거)'!$A:$F,$2:$2,0),0)</f>
        <v>0</v>
      </c>
      <c r="N859" s="207">
        <f>IF(ISNUMBER(VLOOKUP($B:$B,'IS(분기)'!$A:$F,$2:$2,0)),VLOOKUP($B:$B,'IS(분기)'!$A:$F,$2:$2,0),0)</f>
        <v>0</v>
      </c>
      <c r="O859" s="207">
        <f>IF(ISNUMBER(VLOOKUP($B:$B,'IS(분기)'!$A:$F,$2:$2,0)),VLOOKUP($B:$B,'IS(분기)'!$A:$F,$2:$2,0),0)</f>
        <v>0</v>
      </c>
      <c r="P859" s="207">
        <f>IF(ISNUMBER(VLOOKUP($B:$B,'IS(분기)'!$A:$F,$2:$2,0)),VLOOKUP($B:$B,'IS(분기)'!$A:$F,$2:$2,0),0)</f>
        <v>0</v>
      </c>
      <c r="Q859" s="207">
        <f>IF(ISNUMBER(VLOOKUP($B:$B,'IS(분기)'!$A:$F,$2:$2,0)),VLOOKUP($B:$B,'IS(분기)'!$A:$F,$2:$2,0),0)</f>
        <v>0</v>
      </c>
      <c r="R859" s="207">
        <f>IF(ISNUMBER(VLOOKUP($B:$B,'IS(분기)'!$A:$F,$2:$2,0)),VLOOKUP($B:$B,'IS(분기)'!$A:$F,$2:$2,0),0)</f>
        <v>0</v>
      </c>
    </row>
    <row r="860" spans="1:18" s="192" customFormat="1" ht="12">
      <c r="A860" s="201">
        <v>122900</v>
      </c>
      <c r="B860" s="194" t="s">
        <v>1394</v>
      </c>
      <c r="C860" s="217">
        <f>IF(ISNUMBER(VLOOKUP($B:$B,IS!$A:$F,$2:$2,0)),VLOOKUP($B:$B,IS!$A:$F,$2:$2,0),0)</f>
        <v>0</v>
      </c>
      <c r="D860" s="217">
        <f>IF(ISNUMBER(VLOOKUP($B:$B,IS!$A:$F,$2:$2,0)),VLOOKUP($B:$B,IS!$A:$F,$2:$2,0),0)</f>
        <v>0</v>
      </c>
      <c r="E860" s="217">
        <f>IF(ISNUMBER(VLOOKUP($B:$B,IS!$A:$F,$2:$2,0)),VLOOKUP($B:$B,IS!$A:$F,$2:$2,0),0)</f>
        <v>0</v>
      </c>
      <c r="F860" s="217">
        <f>IF(ISNUMBER(VLOOKUP($B:$B,IS!$A:$F,$2:$2,0)),VLOOKUP($B:$B,IS!$A:$F,$2:$2,0),0)</f>
        <v>0</v>
      </c>
      <c r="G860" s="217">
        <f>IF(ISNUMBER(VLOOKUP($B:$B,IS!$A:$F,$2:$2,0)),VLOOKUP($B:$B,IS!$A:$F,$2:$2,0),0)</f>
        <v>0</v>
      </c>
      <c r="H860" s="207">
        <f>IF(ISNUMBER(VLOOKUP($B:$B,'IS(과거)'!$A:$F,$2:$2,0)),VLOOKUP($B:$B,'IS(과거)'!$A:$F,$2:$2,0),0)</f>
        <v>0</v>
      </c>
      <c r="I860" s="207">
        <f>IF(ISNUMBER(VLOOKUP($B:$B,'IS(과거)'!$A:$F,$2:$2,0)),VLOOKUP($B:$B,'IS(과거)'!$A:$F,$2:$2,0),0)</f>
        <v>0</v>
      </c>
      <c r="J860" s="207">
        <f>IF(ISNUMBER(VLOOKUP($B:$B,'IS(과거)'!$A:$F,$2:$2,0)),VLOOKUP($B:$B,'IS(과거)'!$A:$F,$2:$2,0),0)</f>
        <v>0</v>
      </c>
      <c r="K860" s="207">
        <f>IF(ISNUMBER(VLOOKUP($B:$B,'IS(과거)'!$A:$F,$2:$2,0)),VLOOKUP($B:$B,'IS(과거)'!$A:$F,$2:$2,0),0)</f>
        <v>0</v>
      </c>
      <c r="L860" s="207">
        <f>IF(ISNUMBER(VLOOKUP($B:$B,'IS(과거)'!$A:$F,$2:$2,0)),VLOOKUP($B:$B,'IS(과거)'!$A:$F,$2:$2,0),0)</f>
        <v>0</v>
      </c>
      <c r="N860" s="207">
        <f>IF(ISNUMBER(VLOOKUP($B:$B,'IS(분기)'!$A:$F,$2:$2,0)),VLOOKUP($B:$B,'IS(분기)'!$A:$F,$2:$2,0),0)</f>
        <v>0</v>
      </c>
      <c r="O860" s="207">
        <f>IF(ISNUMBER(VLOOKUP($B:$B,'IS(분기)'!$A:$F,$2:$2,0)),VLOOKUP($B:$B,'IS(분기)'!$A:$F,$2:$2,0),0)</f>
        <v>0</v>
      </c>
      <c r="P860" s="207">
        <f>IF(ISNUMBER(VLOOKUP($B:$B,'IS(분기)'!$A:$F,$2:$2,0)),VLOOKUP($B:$B,'IS(분기)'!$A:$F,$2:$2,0),0)</f>
        <v>0</v>
      </c>
      <c r="Q860" s="207">
        <f>IF(ISNUMBER(VLOOKUP($B:$B,'IS(분기)'!$A:$F,$2:$2,0)),VLOOKUP($B:$B,'IS(분기)'!$A:$F,$2:$2,0),0)</f>
        <v>0</v>
      </c>
      <c r="R860" s="207">
        <f>IF(ISNUMBER(VLOOKUP($B:$B,'IS(분기)'!$A:$F,$2:$2,0)),VLOOKUP($B:$B,'IS(분기)'!$A:$F,$2:$2,0),0)</f>
        <v>0</v>
      </c>
    </row>
    <row r="861" spans="1:18" s="192" customFormat="1" ht="12">
      <c r="A861" s="202">
        <v>122910</v>
      </c>
      <c r="B861" s="195" t="s">
        <v>1376</v>
      </c>
      <c r="C861" s="217">
        <f>IF(ISNUMBER(VLOOKUP($B:$B,IS!$A:$F,$2:$2,0)),VLOOKUP($B:$B,IS!$A:$F,$2:$2,0),0)</f>
        <v>510545</v>
      </c>
      <c r="D861" s="217">
        <f>IF(ISNUMBER(VLOOKUP($B:$B,IS!$A:$F,$2:$2,0)),VLOOKUP($B:$B,IS!$A:$F,$2:$2,0),0)</f>
        <v>0</v>
      </c>
      <c r="E861" s="217">
        <f>IF(ISNUMBER(VLOOKUP($B:$B,IS!$A:$F,$2:$2,0)),VLOOKUP($B:$B,IS!$A:$F,$2:$2,0),0)</f>
        <v>0</v>
      </c>
      <c r="F861" s="217">
        <f>IF(ISNUMBER(VLOOKUP($B:$B,IS!$A:$F,$2:$2,0)),VLOOKUP($B:$B,IS!$A:$F,$2:$2,0),0)</f>
        <v>0</v>
      </c>
      <c r="G861" s="217">
        <f>IF(ISNUMBER(VLOOKUP($B:$B,IS!$A:$F,$2:$2,0)),VLOOKUP($B:$B,IS!$A:$F,$2:$2,0),0)</f>
        <v>0</v>
      </c>
      <c r="H861" s="207">
        <f>IF(ISNUMBER(VLOOKUP($B:$B,'IS(과거)'!$A:$F,$2:$2,0)),VLOOKUP($B:$B,'IS(과거)'!$A:$F,$2:$2,0),0)</f>
        <v>0</v>
      </c>
      <c r="I861" s="207">
        <f>IF(ISNUMBER(VLOOKUP($B:$B,'IS(과거)'!$A:$F,$2:$2,0)),VLOOKUP($B:$B,'IS(과거)'!$A:$F,$2:$2,0),0)</f>
        <v>0</v>
      </c>
      <c r="J861" s="207">
        <f>IF(ISNUMBER(VLOOKUP($B:$B,'IS(과거)'!$A:$F,$2:$2,0)),VLOOKUP($B:$B,'IS(과거)'!$A:$F,$2:$2,0),0)</f>
        <v>0</v>
      </c>
      <c r="K861" s="207">
        <f>IF(ISNUMBER(VLOOKUP($B:$B,'IS(과거)'!$A:$F,$2:$2,0)),VLOOKUP($B:$B,'IS(과거)'!$A:$F,$2:$2,0),0)</f>
        <v>0</v>
      </c>
      <c r="L861" s="207">
        <f>IF(ISNUMBER(VLOOKUP($B:$B,'IS(과거)'!$A:$F,$2:$2,0)),VLOOKUP($B:$B,'IS(과거)'!$A:$F,$2:$2,0),0)</f>
        <v>0</v>
      </c>
      <c r="N861" s="207">
        <f>IF(ISNUMBER(VLOOKUP($B:$B,'IS(분기)'!$A:$F,$2:$2,0)),VLOOKUP($B:$B,'IS(분기)'!$A:$F,$2:$2,0),0)</f>
        <v>0</v>
      </c>
      <c r="O861" s="207">
        <f>IF(ISNUMBER(VLOOKUP($B:$B,'IS(분기)'!$A:$F,$2:$2,0)),VLOOKUP($B:$B,'IS(분기)'!$A:$F,$2:$2,0),0)</f>
        <v>0</v>
      </c>
      <c r="P861" s="207">
        <f>IF(ISNUMBER(VLOOKUP($B:$B,'IS(분기)'!$A:$F,$2:$2,0)),VLOOKUP($B:$B,'IS(분기)'!$A:$F,$2:$2,0),0)</f>
        <v>0</v>
      </c>
      <c r="Q861" s="207">
        <f>IF(ISNUMBER(VLOOKUP($B:$B,'IS(분기)'!$A:$F,$2:$2,0)),VLOOKUP($B:$B,'IS(분기)'!$A:$F,$2:$2,0),0)</f>
        <v>0</v>
      </c>
      <c r="R861" s="207">
        <f>IF(ISNUMBER(VLOOKUP($B:$B,'IS(분기)'!$A:$F,$2:$2,0)),VLOOKUP($B:$B,'IS(분기)'!$A:$F,$2:$2,0),0)</f>
        <v>0</v>
      </c>
    </row>
    <row r="862" spans="1:18" s="192" customFormat="1" ht="12">
      <c r="A862" s="202">
        <v>122920</v>
      </c>
      <c r="B862" s="195" t="s">
        <v>1393</v>
      </c>
      <c r="C862" s="217">
        <f>IF(ISNUMBER(VLOOKUP($B:$B,IS!$A:$F,$2:$2,0)),VLOOKUP($B:$B,IS!$A:$F,$2:$2,0),0)</f>
        <v>0</v>
      </c>
      <c r="D862" s="217">
        <f>IF(ISNUMBER(VLOOKUP($B:$B,IS!$A:$F,$2:$2,0)),VLOOKUP($B:$B,IS!$A:$F,$2:$2,0),0)</f>
        <v>0</v>
      </c>
      <c r="E862" s="217">
        <f>IF(ISNUMBER(VLOOKUP($B:$B,IS!$A:$F,$2:$2,0)),VLOOKUP($B:$B,IS!$A:$F,$2:$2,0),0)</f>
        <v>0</v>
      </c>
      <c r="F862" s="217">
        <f>IF(ISNUMBER(VLOOKUP($B:$B,IS!$A:$F,$2:$2,0)),VLOOKUP($B:$B,IS!$A:$F,$2:$2,0),0)</f>
        <v>0</v>
      </c>
      <c r="G862" s="217">
        <f>IF(ISNUMBER(VLOOKUP($B:$B,IS!$A:$F,$2:$2,0)),VLOOKUP($B:$B,IS!$A:$F,$2:$2,0),0)</f>
        <v>0</v>
      </c>
      <c r="H862" s="207">
        <f>IF(ISNUMBER(VLOOKUP($B:$B,'IS(과거)'!$A:$F,$2:$2,0)),VLOOKUP($B:$B,'IS(과거)'!$A:$F,$2:$2,0),0)</f>
        <v>0</v>
      </c>
      <c r="I862" s="207">
        <f>IF(ISNUMBER(VLOOKUP($B:$B,'IS(과거)'!$A:$F,$2:$2,0)),VLOOKUP($B:$B,'IS(과거)'!$A:$F,$2:$2,0),0)</f>
        <v>0</v>
      </c>
      <c r="J862" s="207">
        <f>IF(ISNUMBER(VLOOKUP($B:$B,'IS(과거)'!$A:$F,$2:$2,0)),VLOOKUP($B:$B,'IS(과거)'!$A:$F,$2:$2,0),0)</f>
        <v>0</v>
      </c>
      <c r="K862" s="207">
        <f>IF(ISNUMBER(VLOOKUP($B:$B,'IS(과거)'!$A:$F,$2:$2,0)),VLOOKUP($B:$B,'IS(과거)'!$A:$F,$2:$2,0),0)</f>
        <v>0</v>
      </c>
      <c r="L862" s="207">
        <f>IF(ISNUMBER(VLOOKUP($B:$B,'IS(과거)'!$A:$F,$2:$2,0)),VLOOKUP($B:$B,'IS(과거)'!$A:$F,$2:$2,0),0)</f>
        <v>0</v>
      </c>
      <c r="N862" s="207">
        <f>IF(ISNUMBER(VLOOKUP($B:$B,'IS(분기)'!$A:$F,$2:$2,0)),VLOOKUP($B:$B,'IS(분기)'!$A:$F,$2:$2,0),0)</f>
        <v>0</v>
      </c>
      <c r="O862" s="207">
        <f>IF(ISNUMBER(VLOOKUP($B:$B,'IS(분기)'!$A:$F,$2:$2,0)),VLOOKUP($B:$B,'IS(분기)'!$A:$F,$2:$2,0),0)</f>
        <v>0</v>
      </c>
      <c r="P862" s="207">
        <f>IF(ISNUMBER(VLOOKUP($B:$B,'IS(분기)'!$A:$F,$2:$2,0)),VLOOKUP($B:$B,'IS(분기)'!$A:$F,$2:$2,0),0)</f>
        <v>0</v>
      </c>
      <c r="Q862" s="207">
        <f>IF(ISNUMBER(VLOOKUP($B:$B,'IS(분기)'!$A:$F,$2:$2,0)),VLOOKUP($B:$B,'IS(분기)'!$A:$F,$2:$2,0),0)</f>
        <v>0</v>
      </c>
      <c r="R862" s="207">
        <f>IF(ISNUMBER(VLOOKUP($B:$B,'IS(분기)'!$A:$F,$2:$2,0)),VLOOKUP($B:$B,'IS(분기)'!$A:$F,$2:$2,0),0)</f>
        <v>0</v>
      </c>
    </row>
    <row r="863" spans="1:18" s="192" customFormat="1" ht="12">
      <c r="A863" s="202">
        <v>122925</v>
      </c>
      <c r="B863" s="195" t="s">
        <v>1378</v>
      </c>
      <c r="C863" s="217">
        <f>IF(ISNUMBER(VLOOKUP($B:$B,IS!$A:$F,$2:$2,0)),VLOOKUP($B:$B,IS!$A:$F,$2:$2,0),0)</f>
        <v>0</v>
      </c>
      <c r="D863" s="217">
        <f>IF(ISNUMBER(VLOOKUP($B:$B,IS!$A:$F,$2:$2,0)),VLOOKUP($B:$B,IS!$A:$F,$2:$2,0),0)</f>
        <v>0</v>
      </c>
      <c r="E863" s="217">
        <f>IF(ISNUMBER(VLOOKUP($B:$B,IS!$A:$F,$2:$2,0)),VLOOKUP($B:$B,IS!$A:$F,$2:$2,0),0)</f>
        <v>0</v>
      </c>
      <c r="F863" s="217">
        <f>IF(ISNUMBER(VLOOKUP($B:$B,IS!$A:$F,$2:$2,0)),VLOOKUP($B:$B,IS!$A:$F,$2:$2,0),0)</f>
        <v>0</v>
      </c>
      <c r="G863" s="217">
        <f>IF(ISNUMBER(VLOOKUP($B:$B,IS!$A:$F,$2:$2,0)),VLOOKUP($B:$B,IS!$A:$F,$2:$2,0),0)</f>
        <v>0</v>
      </c>
      <c r="H863" s="207">
        <f>IF(ISNUMBER(VLOOKUP($B:$B,'IS(과거)'!$A:$F,$2:$2,0)),VLOOKUP($B:$B,'IS(과거)'!$A:$F,$2:$2,0),0)</f>
        <v>0</v>
      </c>
      <c r="I863" s="207">
        <f>IF(ISNUMBER(VLOOKUP($B:$B,'IS(과거)'!$A:$F,$2:$2,0)),VLOOKUP($B:$B,'IS(과거)'!$A:$F,$2:$2,0),0)</f>
        <v>0</v>
      </c>
      <c r="J863" s="207">
        <f>IF(ISNUMBER(VLOOKUP($B:$B,'IS(과거)'!$A:$F,$2:$2,0)),VLOOKUP($B:$B,'IS(과거)'!$A:$F,$2:$2,0),0)</f>
        <v>0</v>
      </c>
      <c r="K863" s="207">
        <f>IF(ISNUMBER(VLOOKUP($B:$B,'IS(과거)'!$A:$F,$2:$2,0)),VLOOKUP($B:$B,'IS(과거)'!$A:$F,$2:$2,0),0)</f>
        <v>0</v>
      </c>
      <c r="L863" s="207">
        <f>IF(ISNUMBER(VLOOKUP($B:$B,'IS(과거)'!$A:$F,$2:$2,0)),VLOOKUP($B:$B,'IS(과거)'!$A:$F,$2:$2,0),0)</f>
        <v>0</v>
      </c>
      <c r="N863" s="207">
        <f>IF(ISNUMBER(VLOOKUP($B:$B,'IS(분기)'!$A:$F,$2:$2,0)),VLOOKUP($B:$B,'IS(분기)'!$A:$F,$2:$2,0),0)</f>
        <v>0</v>
      </c>
      <c r="O863" s="207">
        <f>IF(ISNUMBER(VLOOKUP($B:$B,'IS(분기)'!$A:$F,$2:$2,0)),VLOOKUP($B:$B,'IS(분기)'!$A:$F,$2:$2,0),0)</f>
        <v>0</v>
      </c>
      <c r="P863" s="207">
        <f>IF(ISNUMBER(VLOOKUP($B:$B,'IS(분기)'!$A:$F,$2:$2,0)),VLOOKUP($B:$B,'IS(분기)'!$A:$F,$2:$2,0),0)</f>
        <v>0</v>
      </c>
      <c r="Q863" s="207">
        <f>IF(ISNUMBER(VLOOKUP($B:$B,'IS(분기)'!$A:$F,$2:$2,0)),VLOOKUP($B:$B,'IS(분기)'!$A:$F,$2:$2,0),0)</f>
        <v>0</v>
      </c>
      <c r="R863" s="207">
        <f>IF(ISNUMBER(VLOOKUP($B:$B,'IS(분기)'!$A:$F,$2:$2,0)),VLOOKUP($B:$B,'IS(분기)'!$A:$F,$2:$2,0),0)</f>
        <v>0</v>
      </c>
    </row>
    <row r="864" spans="1:18" s="192" customFormat="1" ht="12">
      <c r="A864" s="202">
        <v>122926</v>
      </c>
      <c r="B864" s="195" t="s">
        <v>1379</v>
      </c>
      <c r="C864" s="217">
        <f>IF(ISNUMBER(VLOOKUP($B:$B,IS!$A:$F,$2:$2,0)),VLOOKUP($B:$B,IS!$A:$F,$2:$2,0),0)</f>
        <v>0</v>
      </c>
      <c r="D864" s="217">
        <f>IF(ISNUMBER(VLOOKUP($B:$B,IS!$A:$F,$2:$2,0)),VLOOKUP($B:$B,IS!$A:$F,$2:$2,0),0)</f>
        <v>0</v>
      </c>
      <c r="E864" s="217">
        <f>IF(ISNUMBER(VLOOKUP($B:$B,IS!$A:$F,$2:$2,0)),VLOOKUP($B:$B,IS!$A:$F,$2:$2,0),0)</f>
        <v>0</v>
      </c>
      <c r="F864" s="217">
        <f>IF(ISNUMBER(VLOOKUP($B:$B,IS!$A:$F,$2:$2,0)),VLOOKUP($B:$B,IS!$A:$F,$2:$2,0),0)</f>
        <v>0</v>
      </c>
      <c r="G864" s="217">
        <f>IF(ISNUMBER(VLOOKUP($B:$B,IS!$A:$F,$2:$2,0)),VLOOKUP($B:$B,IS!$A:$F,$2:$2,0),0)</f>
        <v>0</v>
      </c>
      <c r="H864" s="207">
        <f>IF(ISNUMBER(VLOOKUP($B:$B,'IS(과거)'!$A:$F,$2:$2,0)),VLOOKUP($B:$B,'IS(과거)'!$A:$F,$2:$2,0),0)</f>
        <v>0</v>
      </c>
      <c r="I864" s="207">
        <f>IF(ISNUMBER(VLOOKUP($B:$B,'IS(과거)'!$A:$F,$2:$2,0)),VLOOKUP($B:$B,'IS(과거)'!$A:$F,$2:$2,0),0)</f>
        <v>0</v>
      </c>
      <c r="J864" s="207">
        <f>IF(ISNUMBER(VLOOKUP($B:$B,'IS(과거)'!$A:$F,$2:$2,0)),VLOOKUP($B:$B,'IS(과거)'!$A:$F,$2:$2,0),0)</f>
        <v>0</v>
      </c>
      <c r="K864" s="207">
        <f>IF(ISNUMBER(VLOOKUP($B:$B,'IS(과거)'!$A:$F,$2:$2,0)),VLOOKUP($B:$B,'IS(과거)'!$A:$F,$2:$2,0),0)</f>
        <v>0</v>
      </c>
      <c r="L864" s="207">
        <f>IF(ISNUMBER(VLOOKUP($B:$B,'IS(과거)'!$A:$F,$2:$2,0)),VLOOKUP($B:$B,'IS(과거)'!$A:$F,$2:$2,0),0)</f>
        <v>0</v>
      </c>
      <c r="N864" s="207">
        <f>IF(ISNUMBER(VLOOKUP($B:$B,'IS(분기)'!$A:$F,$2:$2,0)),VLOOKUP($B:$B,'IS(분기)'!$A:$F,$2:$2,0),0)</f>
        <v>0</v>
      </c>
      <c r="O864" s="207">
        <f>IF(ISNUMBER(VLOOKUP($B:$B,'IS(분기)'!$A:$F,$2:$2,0)),VLOOKUP($B:$B,'IS(분기)'!$A:$F,$2:$2,0),0)</f>
        <v>0</v>
      </c>
      <c r="P864" s="207">
        <f>IF(ISNUMBER(VLOOKUP($B:$B,'IS(분기)'!$A:$F,$2:$2,0)),VLOOKUP($B:$B,'IS(분기)'!$A:$F,$2:$2,0),0)</f>
        <v>0</v>
      </c>
      <c r="Q864" s="207">
        <f>IF(ISNUMBER(VLOOKUP($B:$B,'IS(분기)'!$A:$F,$2:$2,0)),VLOOKUP($B:$B,'IS(분기)'!$A:$F,$2:$2,0),0)</f>
        <v>0</v>
      </c>
      <c r="R864" s="207">
        <f>IF(ISNUMBER(VLOOKUP($B:$B,'IS(분기)'!$A:$F,$2:$2,0)),VLOOKUP($B:$B,'IS(분기)'!$A:$F,$2:$2,0),0)</f>
        <v>0</v>
      </c>
    </row>
    <row r="865" spans="1:18" s="192" customFormat="1" ht="12">
      <c r="A865" s="202">
        <v>122930</v>
      </c>
      <c r="B865" s="195" t="s">
        <v>1380</v>
      </c>
      <c r="C865" s="217">
        <f>IF(ISNUMBER(VLOOKUP($B:$B,IS!$A:$F,$2:$2,0)),VLOOKUP($B:$B,IS!$A:$F,$2:$2,0),0)</f>
        <v>0</v>
      </c>
      <c r="D865" s="217">
        <f>IF(ISNUMBER(VLOOKUP($B:$B,IS!$A:$F,$2:$2,0)),VLOOKUP($B:$B,IS!$A:$F,$2:$2,0),0)</f>
        <v>0</v>
      </c>
      <c r="E865" s="217">
        <f>IF(ISNUMBER(VLOOKUP($B:$B,IS!$A:$F,$2:$2,0)),VLOOKUP($B:$B,IS!$A:$F,$2:$2,0),0)</f>
        <v>0</v>
      </c>
      <c r="F865" s="217">
        <f>IF(ISNUMBER(VLOOKUP($B:$B,IS!$A:$F,$2:$2,0)),VLOOKUP($B:$B,IS!$A:$F,$2:$2,0),0)</f>
        <v>0</v>
      </c>
      <c r="G865" s="217">
        <f>IF(ISNUMBER(VLOOKUP($B:$B,IS!$A:$F,$2:$2,0)),VLOOKUP($B:$B,IS!$A:$F,$2:$2,0),0)</f>
        <v>0</v>
      </c>
      <c r="H865" s="207">
        <f>IF(ISNUMBER(VLOOKUP($B:$B,'IS(과거)'!$A:$F,$2:$2,0)),VLOOKUP($B:$B,'IS(과거)'!$A:$F,$2:$2,0),0)</f>
        <v>0</v>
      </c>
      <c r="I865" s="207">
        <f>IF(ISNUMBER(VLOOKUP($B:$B,'IS(과거)'!$A:$F,$2:$2,0)),VLOOKUP($B:$B,'IS(과거)'!$A:$F,$2:$2,0),0)</f>
        <v>0</v>
      </c>
      <c r="J865" s="207">
        <f>IF(ISNUMBER(VLOOKUP($B:$B,'IS(과거)'!$A:$F,$2:$2,0)),VLOOKUP($B:$B,'IS(과거)'!$A:$F,$2:$2,0),0)</f>
        <v>0</v>
      </c>
      <c r="K865" s="207">
        <f>IF(ISNUMBER(VLOOKUP($B:$B,'IS(과거)'!$A:$F,$2:$2,0)),VLOOKUP($B:$B,'IS(과거)'!$A:$F,$2:$2,0),0)</f>
        <v>0</v>
      </c>
      <c r="L865" s="207">
        <f>IF(ISNUMBER(VLOOKUP($B:$B,'IS(과거)'!$A:$F,$2:$2,0)),VLOOKUP($B:$B,'IS(과거)'!$A:$F,$2:$2,0),0)</f>
        <v>0</v>
      </c>
      <c r="N865" s="207">
        <f>IF(ISNUMBER(VLOOKUP($B:$B,'IS(분기)'!$A:$F,$2:$2,0)),VLOOKUP($B:$B,'IS(분기)'!$A:$F,$2:$2,0),0)</f>
        <v>0</v>
      </c>
      <c r="O865" s="207">
        <f>IF(ISNUMBER(VLOOKUP($B:$B,'IS(분기)'!$A:$F,$2:$2,0)),VLOOKUP($B:$B,'IS(분기)'!$A:$F,$2:$2,0),0)</f>
        <v>0</v>
      </c>
      <c r="P865" s="207">
        <f>IF(ISNUMBER(VLOOKUP($B:$B,'IS(분기)'!$A:$F,$2:$2,0)),VLOOKUP($B:$B,'IS(분기)'!$A:$F,$2:$2,0),0)</f>
        <v>0</v>
      </c>
      <c r="Q865" s="207">
        <f>IF(ISNUMBER(VLOOKUP($B:$B,'IS(분기)'!$A:$F,$2:$2,0)),VLOOKUP($B:$B,'IS(분기)'!$A:$F,$2:$2,0),0)</f>
        <v>0</v>
      </c>
      <c r="R865" s="207">
        <f>IF(ISNUMBER(VLOOKUP($B:$B,'IS(분기)'!$A:$F,$2:$2,0)),VLOOKUP($B:$B,'IS(분기)'!$A:$F,$2:$2,0),0)</f>
        <v>0</v>
      </c>
    </row>
    <row r="866" spans="1:18" s="192" customFormat="1" ht="12">
      <c r="A866" s="202">
        <v>122940</v>
      </c>
      <c r="B866" s="195" t="s">
        <v>1381</v>
      </c>
      <c r="C866" s="217">
        <f>IF(ISNUMBER(VLOOKUP($B:$B,IS!$A:$F,$2:$2,0)),VLOOKUP($B:$B,IS!$A:$F,$2:$2,0),0)</f>
        <v>1501327</v>
      </c>
      <c r="D866" s="217">
        <f>IF(ISNUMBER(VLOOKUP($B:$B,IS!$A:$F,$2:$2,0)),VLOOKUP($B:$B,IS!$A:$F,$2:$2,0),0)</f>
        <v>0</v>
      </c>
      <c r="E866" s="217">
        <f>IF(ISNUMBER(VLOOKUP($B:$B,IS!$A:$F,$2:$2,0)),VLOOKUP($B:$B,IS!$A:$F,$2:$2,0),0)</f>
        <v>0</v>
      </c>
      <c r="F866" s="217">
        <f>IF(ISNUMBER(VLOOKUP($B:$B,IS!$A:$F,$2:$2,0)),VLOOKUP($B:$B,IS!$A:$F,$2:$2,0),0)</f>
        <v>0</v>
      </c>
      <c r="G866" s="217">
        <f>IF(ISNUMBER(VLOOKUP($B:$B,IS!$A:$F,$2:$2,0)),VLOOKUP($B:$B,IS!$A:$F,$2:$2,0),0)</f>
        <v>0</v>
      </c>
      <c r="H866" s="207">
        <f>IF(ISNUMBER(VLOOKUP($B:$B,'IS(과거)'!$A:$F,$2:$2,0)),VLOOKUP($B:$B,'IS(과거)'!$A:$F,$2:$2,0),0)</f>
        <v>0</v>
      </c>
      <c r="I866" s="207">
        <f>IF(ISNUMBER(VLOOKUP($B:$B,'IS(과거)'!$A:$F,$2:$2,0)),VLOOKUP($B:$B,'IS(과거)'!$A:$F,$2:$2,0),0)</f>
        <v>0</v>
      </c>
      <c r="J866" s="207">
        <f>IF(ISNUMBER(VLOOKUP($B:$B,'IS(과거)'!$A:$F,$2:$2,0)),VLOOKUP($B:$B,'IS(과거)'!$A:$F,$2:$2,0),0)</f>
        <v>0</v>
      </c>
      <c r="K866" s="207">
        <f>IF(ISNUMBER(VLOOKUP($B:$B,'IS(과거)'!$A:$F,$2:$2,0)),VLOOKUP($B:$B,'IS(과거)'!$A:$F,$2:$2,0),0)</f>
        <v>0</v>
      </c>
      <c r="L866" s="207">
        <f>IF(ISNUMBER(VLOOKUP($B:$B,'IS(과거)'!$A:$F,$2:$2,0)),VLOOKUP($B:$B,'IS(과거)'!$A:$F,$2:$2,0),0)</f>
        <v>0</v>
      </c>
      <c r="N866" s="207">
        <f>IF(ISNUMBER(VLOOKUP($B:$B,'IS(분기)'!$A:$F,$2:$2,0)),VLOOKUP($B:$B,'IS(분기)'!$A:$F,$2:$2,0),0)</f>
        <v>0</v>
      </c>
      <c r="O866" s="207">
        <f>IF(ISNUMBER(VLOOKUP($B:$B,'IS(분기)'!$A:$F,$2:$2,0)),VLOOKUP($B:$B,'IS(분기)'!$A:$F,$2:$2,0),0)</f>
        <v>0</v>
      </c>
      <c r="P866" s="207">
        <f>IF(ISNUMBER(VLOOKUP($B:$B,'IS(분기)'!$A:$F,$2:$2,0)),VLOOKUP($B:$B,'IS(분기)'!$A:$F,$2:$2,0),0)</f>
        <v>0</v>
      </c>
      <c r="Q866" s="207">
        <f>IF(ISNUMBER(VLOOKUP($B:$B,'IS(분기)'!$A:$F,$2:$2,0)),VLOOKUP($B:$B,'IS(분기)'!$A:$F,$2:$2,0),0)</f>
        <v>0</v>
      </c>
      <c r="R866" s="207">
        <f>IF(ISNUMBER(VLOOKUP($B:$B,'IS(분기)'!$A:$F,$2:$2,0)),VLOOKUP($B:$B,'IS(분기)'!$A:$F,$2:$2,0),0)</f>
        <v>0</v>
      </c>
    </row>
    <row r="867" spans="1:18" s="192" customFormat="1" ht="12">
      <c r="A867" s="201">
        <v>122050</v>
      </c>
      <c r="B867" s="194" t="s">
        <v>1395</v>
      </c>
      <c r="C867" s="217">
        <f>IF(ISNUMBER(VLOOKUP($B:$B,IS!$A:$F,$2:$2,0)),VLOOKUP($B:$B,IS!$A:$F,$2:$2,0),0)</f>
        <v>0</v>
      </c>
      <c r="D867" s="217">
        <f>IF(ISNUMBER(VLOOKUP($B:$B,IS!$A:$F,$2:$2,0)),VLOOKUP($B:$B,IS!$A:$F,$2:$2,0),0)</f>
        <v>0</v>
      </c>
      <c r="E867" s="217">
        <f>IF(ISNUMBER(VLOOKUP($B:$B,IS!$A:$F,$2:$2,0)),VLOOKUP($B:$B,IS!$A:$F,$2:$2,0),0)</f>
        <v>0</v>
      </c>
      <c r="F867" s="217">
        <f>IF(ISNUMBER(VLOOKUP($B:$B,IS!$A:$F,$2:$2,0)),VLOOKUP($B:$B,IS!$A:$F,$2:$2,0),0)</f>
        <v>0</v>
      </c>
      <c r="G867" s="217">
        <f>IF(ISNUMBER(VLOOKUP($B:$B,IS!$A:$F,$2:$2,0)),VLOOKUP($B:$B,IS!$A:$F,$2:$2,0),0)</f>
        <v>0</v>
      </c>
      <c r="H867" s="207">
        <f>IF(ISNUMBER(VLOOKUP($B:$B,'IS(과거)'!$A:$F,$2:$2,0)),VLOOKUP($B:$B,'IS(과거)'!$A:$F,$2:$2,0),0)</f>
        <v>0</v>
      </c>
      <c r="I867" s="207">
        <f>IF(ISNUMBER(VLOOKUP($B:$B,'IS(과거)'!$A:$F,$2:$2,0)),VLOOKUP($B:$B,'IS(과거)'!$A:$F,$2:$2,0),0)</f>
        <v>0</v>
      </c>
      <c r="J867" s="207">
        <f>IF(ISNUMBER(VLOOKUP($B:$B,'IS(과거)'!$A:$F,$2:$2,0)),VLOOKUP($B:$B,'IS(과거)'!$A:$F,$2:$2,0),0)</f>
        <v>0</v>
      </c>
      <c r="K867" s="207">
        <f>IF(ISNUMBER(VLOOKUP($B:$B,'IS(과거)'!$A:$F,$2:$2,0)),VLOOKUP($B:$B,'IS(과거)'!$A:$F,$2:$2,0),0)</f>
        <v>0</v>
      </c>
      <c r="L867" s="207">
        <f>IF(ISNUMBER(VLOOKUP($B:$B,'IS(과거)'!$A:$F,$2:$2,0)),VLOOKUP($B:$B,'IS(과거)'!$A:$F,$2:$2,0),0)</f>
        <v>0</v>
      </c>
      <c r="N867" s="207">
        <f>IF(ISNUMBER(VLOOKUP($B:$B,'IS(분기)'!$A:$F,$2:$2,0)),VLOOKUP($B:$B,'IS(분기)'!$A:$F,$2:$2,0),0)</f>
        <v>0</v>
      </c>
      <c r="O867" s="207">
        <f>IF(ISNUMBER(VLOOKUP($B:$B,'IS(분기)'!$A:$F,$2:$2,0)),VLOOKUP($B:$B,'IS(분기)'!$A:$F,$2:$2,0),0)</f>
        <v>0</v>
      </c>
      <c r="P867" s="207">
        <f>IF(ISNUMBER(VLOOKUP($B:$B,'IS(분기)'!$A:$F,$2:$2,0)),VLOOKUP($B:$B,'IS(분기)'!$A:$F,$2:$2,0),0)</f>
        <v>0</v>
      </c>
      <c r="Q867" s="207">
        <f>IF(ISNUMBER(VLOOKUP($B:$B,'IS(분기)'!$A:$F,$2:$2,0)),VLOOKUP($B:$B,'IS(분기)'!$A:$F,$2:$2,0),0)</f>
        <v>0</v>
      </c>
      <c r="R867" s="207">
        <f>IF(ISNUMBER(VLOOKUP($B:$B,'IS(분기)'!$A:$F,$2:$2,0)),VLOOKUP($B:$B,'IS(분기)'!$A:$F,$2:$2,0),0)</f>
        <v>0</v>
      </c>
    </row>
    <row r="868" spans="1:18" s="192" customFormat="1" ht="12">
      <c r="A868" s="201">
        <v>122950</v>
      </c>
      <c r="B868" s="194" t="s">
        <v>1396</v>
      </c>
      <c r="C868" s="217">
        <f>IF(ISNUMBER(VLOOKUP($B:$B,IS!$A:$F,$2:$2,0)),VLOOKUP($B:$B,IS!$A:$F,$2:$2,0),0)</f>
        <v>0</v>
      </c>
      <c r="D868" s="217">
        <f>IF(ISNUMBER(VLOOKUP($B:$B,IS!$A:$F,$2:$2,0)),VLOOKUP($B:$B,IS!$A:$F,$2:$2,0),0)</f>
        <v>0</v>
      </c>
      <c r="E868" s="217">
        <f>IF(ISNUMBER(VLOOKUP($B:$B,IS!$A:$F,$2:$2,0)),VLOOKUP($B:$B,IS!$A:$F,$2:$2,0),0)</f>
        <v>0</v>
      </c>
      <c r="F868" s="217">
        <f>IF(ISNUMBER(VLOOKUP($B:$B,IS!$A:$F,$2:$2,0)),VLOOKUP($B:$B,IS!$A:$F,$2:$2,0),0)</f>
        <v>0</v>
      </c>
      <c r="G868" s="217">
        <f>IF(ISNUMBER(VLOOKUP($B:$B,IS!$A:$F,$2:$2,0)),VLOOKUP($B:$B,IS!$A:$F,$2:$2,0),0)</f>
        <v>0</v>
      </c>
      <c r="H868" s="207">
        <f>IF(ISNUMBER(VLOOKUP($B:$B,'IS(과거)'!$A:$F,$2:$2,0)),VLOOKUP($B:$B,'IS(과거)'!$A:$F,$2:$2,0),0)</f>
        <v>0</v>
      </c>
      <c r="I868" s="207">
        <f>IF(ISNUMBER(VLOOKUP($B:$B,'IS(과거)'!$A:$F,$2:$2,0)),VLOOKUP($B:$B,'IS(과거)'!$A:$F,$2:$2,0),0)</f>
        <v>0</v>
      </c>
      <c r="J868" s="207">
        <f>IF(ISNUMBER(VLOOKUP($B:$B,'IS(과거)'!$A:$F,$2:$2,0)),VLOOKUP($B:$B,'IS(과거)'!$A:$F,$2:$2,0),0)</f>
        <v>0</v>
      </c>
      <c r="K868" s="207">
        <f>IF(ISNUMBER(VLOOKUP($B:$B,'IS(과거)'!$A:$F,$2:$2,0)),VLOOKUP($B:$B,'IS(과거)'!$A:$F,$2:$2,0),0)</f>
        <v>0</v>
      </c>
      <c r="L868" s="207">
        <f>IF(ISNUMBER(VLOOKUP($B:$B,'IS(과거)'!$A:$F,$2:$2,0)),VLOOKUP($B:$B,'IS(과거)'!$A:$F,$2:$2,0),0)</f>
        <v>0</v>
      </c>
      <c r="N868" s="207">
        <f>IF(ISNUMBER(VLOOKUP($B:$B,'IS(분기)'!$A:$F,$2:$2,0)),VLOOKUP($B:$B,'IS(분기)'!$A:$F,$2:$2,0),0)</f>
        <v>0</v>
      </c>
      <c r="O868" s="207">
        <f>IF(ISNUMBER(VLOOKUP($B:$B,'IS(분기)'!$A:$F,$2:$2,0)),VLOOKUP($B:$B,'IS(분기)'!$A:$F,$2:$2,0),0)</f>
        <v>0</v>
      </c>
      <c r="P868" s="207">
        <f>IF(ISNUMBER(VLOOKUP($B:$B,'IS(분기)'!$A:$F,$2:$2,0)),VLOOKUP($B:$B,'IS(분기)'!$A:$F,$2:$2,0),0)</f>
        <v>0</v>
      </c>
      <c r="Q868" s="207">
        <f>IF(ISNUMBER(VLOOKUP($B:$B,'IS(분기)'!$A:$F,$2:$2,0)),VLOOKUP($B:$B,'IS(분기)'!$A:$F,$2:$2,0),0)</f>
        <v>0</v>
      </c>
      <c r="R868" s="207">
        <f>IF(ISNUMBER(VLOOKUP($B:$B,'IS(분기)'!$A:$F,$2:$2,0)),VLOOKUP($B:$B,'IS(분기)'!$A:$F,$2:$2,0),0)</f>
        <v>0</v>
      </c>
    </row>
    <row r="869" spans="1:18" s="192" customFormat="1" ht="12">
      <c r="A869" s="201">
        <v>122980</v>
      </c>
      <c r="B869" s="194" t="s">
        <v>662</v>
      </c>
      <c r="C869" s="217">
        <f>IF(ISNUMBER(VLOOKUP($B:$B,IS!$A:$F,$2:$2,0)),VLOOKUP($B:$B,IS!$A:$F,$2:$2,0),0)</f>
        <v>0</v>
      </c>
      <c r="D869" s="217">
        <f>IF(ISNUMBER(VLOOKUP($B:$B,IS!$A:$F,$2:$2,0)),VLOOKUP($B:$B,IS!$A:$F,$2:$2,0),0)</f>
        <v>0</v>
      </c>
      <c r="E869" s="217">
        <f>IF(ISNUMBER(VLOOKUP($B:$B,IS!$A:$F,$2:$2,0)),VLOOKUP($B:$B,IS!$A:$F,$2:$2,0),0)</f>
        <v>0</v>
      </c>
      <c r="F869" s="217">
        <f>IF(ISNUMBER(VLOOKUP($B:$B,IS!$A:$F,$2:$2,0)),VLOOKUP($B:$B,IS!$A:$F,$2:$2,0),0)</f>
        <v>0</v>
      </c>
      <c r="G869" s="217">
        <f>IF(ISNUMBER(VLOOKUP($B:$B,IS!$A:$F,$2:$2,0)),VLOOKUP($B:$B,IS!$A:$F,$2:$2,0),0)</f>
        <v>0</v>
      </c>
      <c r="H869" s="207">
        <f>IF(ISNUMBER(VLOOKUP($B:$B,'IS(과거)'!$A:$F,$2:$2,0)),VLOOKUP($B:$B,'IS(과거)'!$A:$F,$2:$2,0),0)</f>
        <v>0</v>
      </c>
      <c r="I869" s="207">
        <f>IF(ISNUMBER(VLOOKUP($B:$B,'IS(과거)'!$A:$F,$2:$2,0)),VLOOKUP($B:$B,'IS(과거)'!$A:$F,$2:$2,0),0)</f>
        <v>0</v>
      </c>
      <c r="J869" s="207">
        <f>IF(ISNUMBER(VLOOKUP($B:$B,'IS(과거)'!$A:$F,$2:$2,0)),VLOOKUP($B:$B,'IS(과거)'!$A:$F,$2:$2,0),0)</f>
        <v>0</v>
      </c>
      <c r="K869" s="207">
        <f>IF(ISNUMBER(VLOOKUP($B:$B,'IS(과거)'!$A:$F,$2:$2,0)),VLOOKUP($B:$B,'IS(과거)'!$A:$F,$2:$2,0),0)</f>
        <v>0</v>
      </c>
      <c r="L869" s="207">
        <f>IF(ISNUMBER(VLOOKUP($B:$B,'IS(과거)'!$A:$F,$2:$2,0)),VLOOKUP($B:$B,'IS(과거)'!$A:$F,$2:$2,0),0)</f>
        <v>0</v>
      </c>
      <c r="N869" s="207">
        <f>IF(ISNUMBER(VLOOKUP($B:$B,'IS(분기)'!$A:$F,$2:$2,0)),VLOOKUP($B:$B,'IS(분기)'!$A:$F,$2:$2,0),0)</f>
        <v>0</v>
      </c>
      <c r="O869" s="207">
        <f>IF(ISNUMBER(VLOOKUP($B:$B,'IS(분기)'!$A:$F,$2:$2,0)),VLOOKUP($B:$B,'IS(분기)'!$A:$F,$2:$2,0),0)</f>
        <v>0</v>
      </c>
      <c r="P869" s="207">
        <f>IF(ISNUMBER(VLOOKUP($B:$B,'IS(분기)'!$A:$F,$2:$2,0)),VLOOKUP($B:$B,'IS(분기)'!$A:$F,$2:$2,0),0)</f>
        <v>0</v>
      </c>
      <c r="Q869" s="207">
        <f>IF(ISNUMBER(VLOOKUP($B:$B,'IS(분기)'!$A:$F,$2:$2,0)),VLOOKUP($B:$B,'IS(분기)'!$A:$F,$2:$2,0),0)</f>
        <v>0</v>
      </c>
      <c r="R869" s="207">
        <f>IF(ISNUMBER(VLOOKUP($B:$B,'IS(분기)'!$A:$F,$2:$2,0)),VLOOKUP($B:$B,'IS(분기)'!$A:$F,$2:$2,0),0)</f>
        <v>0</v>
      </c>
    </row>
    <row r="870" spans="1:18" s="192" customFormat="1" ht="12">
      <c r="A870" s="201">
        <v>122990</v>
      </c>
      <c r="B870" s="194" t="s">
        <v>1397</v>
      </c>
      <c r="C870" s="217">
        <f>IF(ISNUMBER(VLOOKUP($B:$B,IS!$A:$F,$2:$2,0)),VLOOKUP($B:$B,IS!$A:$F,$2:$2,0),0)</f>
        <v>0</v>
      </c>
      <c r="D870" s="217">
        <f>IF(ISNUMBER(VLOOKUP($B:$B,IS!$A:$F,$2:$2,0)),VLOOKUP($B:$B,IS!$A:$F,$2:$2,0),0)</f>
        <v>0</v>
      </c>
      <c r="E870" s="217">
        <f>IF(ISNUMBER(VLOOKUP($B:$B,IS!$A:$F,$2:$2,0)),VLOOKUP($B:$B,IS!$A:$F,$2:$2,0),0)</f>
        <v>0</v>
      </c>
      <c r="F870" s="217">
        <f>IF(ISNUMBER(VLOOKUP($B:$B,IS!$A:$F,$2:$2,0)),VLOOKUP($B:$B,IS!$A:$F,$2:$2,0),0)</f>
        <v>0</v>
      </c>
      <c r="G870" s="217">
        <f>IF(ISNUMBER(VLOOKUP($B:$B,IS!$A:$F,$2:$2,0)),VLOOKUP($B:$B,IS!$A:$F,$2:$2,0),0)</f>
        <v>0</v>
      </c>
      <c r="H870" s="207">
        <f>IF(ISNUMBER(VLOOKUP($B:$B,'IS(과거)'!$A:$F,$2:$2,0)),VLOOKUP($B:$B,'IS(과거)'!$A:$F,$2:$2,0),0)</f>
        <v>0</v>
      </c>
      <c r="I870" s="207">
        <f>IF(ISNUMBER(VLOOKUP($B:$B,'IS(과거)'!$A:$F,$2:$2,0)),VLOOKUP($B:$B,'IS(과거)'!$A:$F,$2:$2,0),0)</f>
        <v>0</v>
      </c>
      <c r="J870" s="207">
        <f>IF(ISNUMBER(VLOOKUP($B:$B,'IS(과거)'!$A:$F,$2:$2,0)),VLOOKUP($B:$B,'IS(과거)'!$A:$F,$2:$2,0),0)</f>
        <v>0</v>
      </c>
      <c r="K870" s="207">
        <f>IF(ISNUMBER(VLOOKUP($B:$B,'IS(과거)'!$A:$F,$2:$2,0)),VLOOKUP($B:$B,'IS(과거)'!$A:$F,$2:$2,0),0)</f>
        <v>0</v>
      </c>
      <c r="L870" s="207">
        <f>IF(ISNUMBER(VLOOKUP($B:$B,'IS(과거)'!$A:$F,$2:$2,0)),VLOOKUP($B:$B,'IS(과거)'!$A:$F,$2:$2,0),0)</f>
        <v>0</v>
      </c>
      <c r="N870" s="207">
        <f>IF(ISNUMBER(VLOOKUP($B:$B,'IS(분기)'!$A:$F,$2:$2,0)),VLOOKUP($B:$B,'IS(분기)'!$A:$F,$2:$2,0),0)</f>
        <v>0</v>
      </c>
      <c r="O870" s="207">
        <f>IF(ISNUMBER(VLOOKUP($B:$B,'IS(분기)'!$A:$F,$2:$2,0)),VLOOKUP($B:$B,'IS(분기)'!$A:$F,$2:$2,0),0)</f>
        <v>0</v>
      </c>
      <c r="P870" s="207">
        <f>IF(ISNUMBER(VLOOKUP($B:$B,'IS(분기)'!$A:$F,$2:$2,0)),VLOOKUP($B:$B,'IS(분기)'!$A:$F,$2:$2,0),0)</f>
        <v>0</v>
      </c>
      <c r="Q870" s="207">
        <f>IF(ISNUMBER(VLOOKUP($B:$B,'IS(분기)'!$A:$F,$2:$2,0)),VLOOKUP($B:$B,'IS(분기)'!$A:$F,$2:$2,0),0)</f>
        <v>0</v>
      </c>
      <c r="R870" s="207">
        <f>IF(ISNUMBER(VLOOKUP($B:$B,'IS(분기)'!$A:$F,$2:$2,0)),VLOOKUP($B:$B,'IS(분기)'!$A:$F,$2:$2,0),0)</f>
        <v>0</v>
      </c>
    </row>
    <row r="871" spans="1:18" s="192" customFormat="1" ht="12">
      <c r="A871" s="205">
        <v>123000</v>
      </c>
      <c r="B871" s="198" t="s">
        <v>9</v>
      </c>
      <c r="C871" s="217">
        <f>IF(ISNUMBER(VLOOKUP($B:$B,IS!$A:$F,$2:$2,0)),VLOOKUP($B:$B,IS!$A:$F,$2:$2,0),0)</f>
        <v>4371440</v>
      </c>
      <c r="D871" s="217">
        <f>IF(ISNUMBER(VLOOKUP($B:$B,IS!$A:$F,$2:$2,0)),VLOOKUP($B:$B,IS!$A:$F,$2:$2,0),0)</f>
        <v>0</v>
      </c>
      <c r="E871" s="217">
        <f>IF(ISNUMBER(VLOOKUP($B:$B,IS!$A:$F,$2:$2,0)),VLOOKUP($B:$B,IS!$A:$F,$2:$2,0),0)</f>
        <v>0</v>
      </c>
      <c r="F871" s="217">
        <f>IF(ISNUMBER(VLOOKUP($B:$B,IS!$A:$F,$2:$2,0)),VLOOKUP($B:$B,IS!$A:$F,$2:$2,0),0)</f>
        <v>0</v>
      </c>
      <c r="G871" s="217">
        <f>IF(ISNUMBER(VLOOKUP($B:$B,IS!$A:$F,$2:$2,0)),VLOOKUP($B:$B,IS!$A:$F,$2:$2,0),0)</f>
        <v>0</v>
      </c>
      <c r="H871" s="207">
        <f>IF(ISNUMBER(VLOOKUP($B:$B,'IS(과거)'!$A:$F,$2:$2,0)),VLOOKUP($B:$B,'IS(과거)'!$A:$F,$2:$2,0),0)</f>
        <v>0</v>
      </c>
      <c r="I871" s="207">
        <f>IF(ISNUMBER(VLOOKUP($B:$B,'IS(과거)'!$A:$F,$2:$2,0)),VLOOKUP($B:$B,'IS(과거)'!$A:$F,$2:$2,0),0)</f>
        <v>0</v>
      </c>
      <c r="J871" s="207">
        <f>IF(ISNUMBER(VLOOKUP($B:$B,'IS(과거)'!$A:$F,$2:$2,0)),VLOOKUP($B:$B,'IS(과거)'!$A:$F,$2:$2,0),0)</f>
        <v>0</v>
      </c>
      <c r="K871" s="207">
        <f>IF(ISNUMBER(VLOOKUP($B:$B,'IS(과거)'!$A:$F,$2:$2,0)),VLOOKUP($B:$B,'IS(과거)'!$A:$F,$2:$2,0),0)</f>
        <v>0</v>
      </c>
      <c r="L871" s="207">
        <f>IF(ISNUMBER(VLOOKUP($B:$B,'IS(과거)'!$A:$F,$2:$2,0)),VLOOKUP($B:$B,'IS(과거)'!$A:$F,$2:$2,0),0)</f>
        <v>0</v>
      </c>
      <c r="N871" s="207">
        <f>IF(ISNUMBER(VLOOKUP($B:$B,'IS(분기)'!$A:$F,$2:$2,0)),VLOOKUP($B:$B,'IS(분기)'!$A:$F,$2:$2,0),0)</f>
        <v>0</v>
      </c>
      <c r="O871" s="207">
        <f>IF(ISNUMBER(VLOOKUP($B:$B,'IS(분기)'!$A:$F,$2:$2,0)),VLOOKUP($B:$B,'IS(분기)'!$A:$F,$2:$2,0),0)</f>
        <v>0</v>
      </c>
      <c r="P871" s="207">
        <f>IF(ISNUMBER(VLOOKUP($B:$B,'IS(분기)'!$A:$F,$2:$2,0)),VLOOKUP($B:$B,'IS(분기)'!$A:$F,$2:$2,0),0)</f>
        <v>0</v>
      </c>
      <c r="Q871" s="207">
        <f>IF(ISNUMBER(VLOOKUP($B:$B,'IS(분기)'!$A:$F,$2:$2,0)),VLOOKUP($B:$B,'IS(분기)'!$A:$F,$2:$2,0),0)</f>
        <v>0</v>
      </c>
      <c r="R871" s="207">
        <f>IF(ISNUMBER(VLOOKUP($B:$B,'IS(분기)'!$A:$F,$2:$2,0)),VLOOKUP($B:$B,'IS(분기)'!$A:$F,$2:$2,0),0)</f>
        <v>0</v>
      </c>
    </row>
    <row r="872" spans="1:18" s="192" customFormat="1" ht="12">
      <c r="A872" s="205">
        <v>124000</v>
      </c>
      <c r="B872" s="198" t="s">
        <v>10</v>
      </c>
      <c r="C872" s="217">
        <f>IF(ISNUMBER(VLOOKUP($B:$B,IS!$A:$F,$2:$2,0)),VLOOKUP($B:$B,IS!$A:$F,$2:$2,0),0)</f>
        <v>3234686</v>
      </c>
      <c r="D872" s="217">
        <f>IF(ISNUMBER(VLOOKUP($B:$B,IS!$A:$F,$2:$2,0)),VLOOKUP($B:$B,IS!$A:$F,$2:$2,0),0)</f>
        <v>0</v>
      </c>
      <c r="E872" s="217">
        <f>IF(ISNUMBER(VLOOKUP($B:$B,IS!$A:$F,$2:$2,0)),VLOOKUP($B:$B,IS!$A:$F,$2:$2,0),0)</f>
        <v>0</v>
      </c>
      <c r="F872" s="217">
        <f>IF(ISNUMBER(VLOOKUP($B:$B,IS!$A:$F,$2:$2,0)),VLOOKUP($B:$B,IS!$A:$F,$2:$2,0),0)</f>
        <v>0</v>
      </c>
      <c r="G872" s="217">
        <f>IF(ISNUMBER(VLOOKUP($B:$B,IS!$A:$F,$2:$2,0)),VLOOKUP($B:$B,IS!$A:$F,$2:$2,0),0)</f>
        <v>0</v>
      </c>
      <c r="H872" s="207">
        <f>IF(ISNUMBER(VLOOKUP($B:$B,'IS(과거)'!$A:$F,$2:$2,0)),VLOOKUP($B:$B,'IS(과거)'!$A:$F,$2:$2,0),0)</f>
        <v>0</v>
      </c>
      <c r="I872" s="207">
        <f>IF(ISNUMBER(VLOOKUP($B:$B,'IS(과거)'!$A:$F,$2:$2,0)),VLOOKUP($B:$B,'IS(과거)'!$A:$F,$2:$2,0),0)</f>
        <v>0</v>
      </c>
      <c r="J872" s="207">
        <f>IF(ISNUMBER(VLOOKUP($B:$B,'IS(과거)'!$A:$F,$2:$2,0)),VLOOKUP($B:$B,'IS(과거)'!$A:$F,$2:$2,0),0)</f>
        <v>0</v>
      </c>
      <c r="K872" s="207">
        <f>IF(ISNUMBER(VLOOKUP($B:$B,'IS(과거)'!$A:$F,$2:$2,0)),VLOOKUP($B:$B,'IS(과거)'!$A:$F,$2:$2,0),0)</f>
        <v>0</v>
      </c>
      <c r="L872" s="207">
        <f>IF(ISNUMBER(VLOOKUP($B:$B,'IS(과거)'!$A:$F,$2:$2,0)),VLOOKUP($B:$B,'IS(과거)'!$A:$F,$2:$2,0),0)</f>
        <v>0</v>
      </c>
      <c r="N872" s="207">
        <f>IF(ISNUMBER(VLOOKUP($B:$B,'IS(분기)'!$A:$F,$2:$2,0)),VLOOKUP($B:$B,'IS(분기)'!$A:$F,$2:$2,0),0)</f>
        <v>0</v>
      </c>
      <c r="O872" s="207">
        <f>IF(ISNUMBER(VLOOKUP($B:$B,'IS(분기)'!$A:$F,$2:$2,0)),VLOOKUP($B:$B,'IS(분기)'!$A:$F,$2:$2,0),0)</f>
        <v>0</v>
      </c>
      <c r="P872" s="207">
        <f>IF(ISNUMBER(VLOOKUP($B:$B,'IS(분기)'!$A:$F,$2:$2,0)),VLOOKUP($B:$B,'IS(분기)'!$A:$F,$2:$2,0),0)</f>
        <v>0</v>
      </c>
      <c r="Q872" s="207">
        <f>IF(ISNUMBER(VLOOKUP($B:$B,'IS(분기)'!$A:$F,$2:$2,0)),VLOOKUP($B:$B,'IS(분기)'!$A:$F,$2:$2,0),0)</f>
        <v>0</v>
      </c>
      <c r="R872" s="207">
        <f>IF(ISNUMBER(VLOOKUP($B:$B,'IS(분기)'!$A:$F,$2:$2,0)),VLOOKUP($B:$B,'IS(분기)'!$A:$F,$2:$2,0),0)</f>
        <v>0</v>
      </c>
    </row>
    <row r="873" spans="1:18" s="192" customFormat="1" ht="12">
      <c r="A873" s="201">
        <v>124100</v>
      </c>
      <c r="B873" s="194" t="s">
        <v>1398</v>
      </c>
      <c r="C873" s="217">
        <f>IF(ISNUMBER(VLOOKUP($B:$B,IS!$A:$F,$2:$2,0)),VLOOKUP($B:$B,IS!$A:$F,$2:$2,0),0)</f>
        <v>1258812</v>
      </c>
      <c r="D873" s="217">
        <f>IF(ISNUMBER(VLOOKUP($B:$B,IS!$A:$F,$2:$2,0)),VLOOKUP($B:$B,IS!$A:$F,$2:$2,0),0)</f>
        <v>0</v>
      </c>
      <c r="E873" s="217">
        <f>IF(ISNUMBER(VLOOKUP($B:$B,IS!$A:$F,$2:$2,0)),VLOOKUP($B:$B,IS!$A:$F,$2:$2,0),0)</f>
        <v>0</v>
      </c>
      <c r="F873" s="217">
        <f>IF(ISNUMBER(VLOOKUP($B:$B,IS!$A:$F,$2:$2,0)),VLOOKUP($B:$B,IS!$A:$F,$2:$2,0),0)</f>
        <v>0</v>
      </c>
      <c r="G873" s="217">
        <f>IF(ISNUMBER(VLOOKUP($B:$B,IS!$A:$F,$2:$2,0)),VLOOKUP($B:$B,IS!$A:$F,$2:$2,0),0)</f>
        <v>0</v>
      </c>
      <c r="H873" s="207">
        <f>IF(ISNUMBER(VLOOKUP($B:$B,'IS(과거)'!$A:$F,$2:$2,0)),VLOOKUP($B:$B,'IS(과거)'!$A:$F,$2:$2,0),0)</f>
        <v>0</v>
      </c>
      <c r="I873" s="207">
        <f>IF(ISNUMBER(VLOOKUP($B:$B,'IS(과거)'!$A:$F,$2:$2,0)),VLOOKUP($B:$B,'IS(과거)'!$A:$F,$2:$2,0),0)</f>
        <v>0</v>
      </c>
      <c r="J873" s="207">
        <f>IF(ISNUMBER(VLOOKUP($B:$B,'IS(과거)'!$A:$F,$2:$2,0)),VLOOKUP($B:$B,'IS(과거)'!$A:$F,$2:$2,0),0)</f>
        <v>0</v>
      </c>
      <c r="K873" s="207">
        <f>IF(ISNUMBER(VLOOKUP($B:$B,'IS(과거)'!$A:$F,$2:$2,0)),VLOOKUP($B:$B,'IS(과거)'!$A:$F,$2:$2,0),0)</f>
        <v>0</v>
      </c>
      <c r="L873" s="207">
        <f>IF(ISNUMBER(VLOOKUP($B:$B,'IS(과거)'!$A:$F,$2:$2,0)),VLOOKUP($B:$B,'IS(과거)'!$A:$F,$2:$2,0),0)</f>
        <v>0</v>
      </c>
      <c r="N873" s="207">
        <f>IF(ISNUMBER(VLOOKUP($B:$B,'IS(분기)'!$A:$F,$2:$2,0)),VLOOKUP($B:$B,'IS(분기)'!$A:$F,$2:$2,0),0)</f>
        <v>0</v>
      </c>
      <c r="O873" s="207">
        <f>IF(ISNUMBER(VLOOKUP($B:$B,'IS(분기)'!$A:$F,$2:$2,0)),VLOOKUP($B:$B,'IS(분기)'!$A:$F,$2:$2,0),0)</f>
        <v>0</v>
      </c>
      <c r="P873" s="207">
        <f>IF(ISNUMBER(VLOOKUP($B:$B,'IS(분기)'!$A:$F,$2:$2,0)),VLOOKUP($B:$B,'IS(분기)'!$A:$F,$2:$2,0),0)</f>
        <v>0</v>
      </c>
      <c r="Q873" s="207">
        <f>IF(ISNUMBER(VLOOKUP($B:$B,'IS(분기)'!$A:$F,$2:$2,0)),VLOOKUP($B:$B,'IS(분기)'!$A:$F,$2:$2,0),0)</f>
        <v>0</v>
      </c>
      <c r="R873" s="207">
        <f>IF(ISNUMBER(VLOOKUP($B:$B,'IS(분기)'!$A:$F,$2:$2,0)),VLOOKUP($B:$B,'IS(분기)'!$A:$F,$2:$2,0),0)</f>
        <v>0</v>
      </c>
    </row>
    <row r="874" spans="1:18" s="192" customFormat="1" ht="12">
      <c r="A874" s="202">
        <v>124110</v>
      </c>
      <c r="B874" s="195" t="s">
        <v>598</v>
      </c>
      <c r="C874" s="217">
        <f>IF(ISNUMBER(VLOOKUP($B:$B,IS!$A:$F,$2:$2,0)),VLOOKUP($B:$B,IS!$A:$F,$2:$2,0),0)</f>
        <v>0</v>
      </c>
      <c r="D874" s="217">
        <f>IF(ISNUMBER(VLOOKUP($B:$B,IS!$A:$F,$2:$2,0)),VLOOKUP($B:$B,IS!$A:$F,$2:$2,0),0)</f>
        <v>0</v>
      </c>
      <c r="E874" s="217">
        <f>IF(ISNUMBER(VLOOKUP($B:$B,IS!$A:$F,$2:$2,0)),VLOOKUP($B:$B,IS!$A:$F,$2:$2,0),0)</f>
        <v>0</v>
      </c>
      <c r="F874" s="217">
        <f>IF(ISNUMBER(VLOOKUP($B:$B,IS!$A:$F,$2:$2,0)),VLOOKUP($B:$B,IS!$A:$F,$2:$2,0),0)</f>
        <v>0</v>
      </c>
      <c r="G874" s="217">
        <f>IF(ISNUMBER(VLOOKUP($B:$B,IS!$A:$F,$2:$2,0)),VLOOKUP($B:$B,IS!$A:$F,$2:$2,0),0)</f>
        <v>0</v>
      </c>
      <c r="H874" s="207">
        <f>IF(ISNUMBER(VLOOKUP($B:$B,'IS(과거)'!$A:$F,$2:$2,0)),VLOOKUP($B:$B,'IS(과거)'!$A:$F,$2:$2,0),0)</f>
        <v>0</v>
      </c>
      <c r="I874" s="207">
        <f>IF(ISNUMBER(VLOOKUP($B:$B,'IS(과거)'!$A:$F,$2:$2,0)),VLOOKUP($B:$B,'IS(과거)'!$A:$F,$2:$2,0),0)</f>
        <v>0</v>
      </c>
      <c r="J874" s="207">
        <f>IF(ISNUMBER(VLOOKUP($B:$B,'IS(과거)'!$A:$F,$2:$2,0)),VLOOKUP($B:$B,'IS(과거)'!$A:$F,$2:$2,0),0)</f>
        <v>0</v>
      </c>
      <c r="K874" s="207">
        <f>IF(ISNUMBER(VLOOKUP($B:$B,'IS(과거)'!$A:$F,$2:$2,0)),VLOOKUP($B:$B,'IS(과거)'!$A:$F,$2:$2,0),0)</f>
        <v>0</v>
      </c>
      <c r="L874" s="207">
        <f>IF(ISNUMBER(VLOOKUP($B:$B,'IS(과거)'!$A:$F,$2:$2,0)),VLOOKUP($B:$B,'IS(과거)'!$A:$F,$2:$2,0),0)</f>
        <v>0</v>
      </c>
      <c r="N874" s="207">
        <f>IF(ISNUMBER(VLOOKUP($B:$B,'IS(분기)'!$A:$F,$2:$2,0)),VLOOKUP($B:$B,'IS(분기)'!$A:$F,$2:$2,0),0)</f>
        <v>0</v>
      </c>
      <c r="O874" s="207">
        <f>IF(ISNUMBER(VLOOKUP($B:$B,'IS(분기)'!$A:$F,$2:$2,0)),VLOOKUP($B:$B,'IS(분기)'!$A:$F,$2:$2,0),0)</f>
        <v>0</v>
      </c>
      <c r="P874" s="207">
        <f>IF(ISNUMBER(VLOOKUP($B:$B,'IS(분기)'!$A:$F,$2:$2,0)),VLOOKUP($B:$B,'IS(분기)'!$A:$F,$2:$2,0),0)</f>
        <v>0</v>
      </c>
      <c r="Q874" s="207">
        <f>IF(ISNUMBER(VLOOKUP($B:$B,'IS(분기)'!$A:$F,$2:$2,0)),VLOOKUP($B:$B,'IS(분기)'!$A:$F,$2:$2,0),0)</f>
        <v>0</v>
      </c>
      <c r="R874" s="207">
        <f>IF(ISNUMBER(VLOOKUP($B:$B,'IS(분기)'!$A:$F,$2:$2,0)),VLOOKUP($B:$B,'IS(분기)'!$A:$F,$2:$2,0),0)</f>
        <v>0</v>
      </c>
    </row>
    <row r="875" spans="1:18" s="192" customFormat="1" ht="12">
      <c r="A875" s="202">
        <v>124120</v>
      </c>
      <c r="B875" s="195" t="s">
        <v>599</v>
      </c>
      <c r="C875" s="217">
        <f>IF(ISNUMBER(VLOOKUP($B:$B,IS!$A:$F,$2:$2,0)),VLOOKUP($B:$B,IS!$A:$F,$2:$2,0),0)</f>
        <v>1085493</v>
      </c>
      <c r="D875" s="217">
        <f>IF(ISNUMBER(VLOOKUP($B:$B,IS!$A:$F,$2:$2,0)),VLOOKUP($B:$B,IS!$A:$F,$2:$2,0),0)</f>
        <v>0</v>
      </c>
      <c r="E875" s="217">
        <f>IF(ISNUMBER(VLOOKUP($B:$B,IS!$A:$F,$2:$2,0)),VLOOKUP($B:$B,IS!$A:$F,$2:$2,0),0)</f>
        <v>0</v>
      </c>
      <c r="F875" s="217">
        <f>IF(ISNUMBER(VLOOKUP($B:$B,IS!$A:$F,$2:$2,0)),VLOOKUP($B:$B,IS!$A:$F,$2:$2,0),0)</f>
        <v>0</v>
      </c>
      <c r="G875" s="217">
        <f>IF(ISNUMBER(VLOOKUP($B:$B,IS!$A:$F,$2:$2,0)),VLOOKUP($B:$B,IS!$A:$F,$2:$2,0),0)</f>
        <v>0</v>
      </c>
      <c r="H875" s="207">
        <f>IF(ISNUMBER(VLOOKUP($B:$B,'IS(과거)'!$A:$F,$2:$2,0)),VLOOKUP($B:$B,'IS(과거)'!$A:$F,$2:$2,0),0)</f>
        <v>0</v>
      </c>
      <c r="I875" s="207">
        <f>IF(ISNUMBER(VLOOKUP($B:$B,'IS(과거)'!$A:$F,$2:$2,0)),VLOOKUP($B:$B,'IS(과거)'!$A:$F,$2:$2,0),0)</f>
        <v>0</v>
      </c>
      <c r="J875" s="207">
        <f>IF(ISNUMBER(VLOOKUP($B:$B,'IS(과거)'!$A:$F,$2:$2,0)),VLOOKUP($B:$B,'IS(과거)'!$A:$F,$2:$2,0),0)</f>
        <v>0</v>
      </c>
      <c r="K875" s="207">
        <f>IF(ISNUMBER(VLOOKUP($B:$B,'IS(과거)'!$A:$F,$2:$2,0)),VLOOKUP($B:$B,'IS(과거)'!$A:$F,$2:$2,0),0)</f>
        <v>0</v>
      </c>
      <c r="L875" s="207">
        <f>IF(ISNUMBER(VLOOKUP($B:$B,'IS(과거)'!$A:$F,$2:$2,0)),VLOOKUP($B:$B,'IS(과거)'!$A:$F,$2:$2,0),0)</f>
        <v>0</v>
      </c>
      <c r="N875" s="207">
        <f>IF(ISNUMBER(VLOOKUP($B:$B,'IS(분기)'!$A:$F,$2:$2,0)),VLOOKUP($B:$B,'IS(분기)'!$A:$F,$2:$2,0),0)</f>
        <v>0</v>
      </c>
      <c r="O875" s="207">
        <f>IF(ISNUMBER(VLOOKUP($B:$B,'IS(분기)'!$A:$F,$2:$2,0)),VLOOKUP($B:$B,'IS(분기)'!$A:$F,$2:$2,0),0)</f>
        <v>0</v>
      </c>
      <c r="P875" s="207">
        <f>IF(ISNUMBER(VLOOKUP($B:$B,'IS(분기)'!$A:$F,$2:$2,0)),VLOOKUP($B:$B,'IS(분기)'!$A:$F,$2:$2,0),0)</f>
        <v>0</v>
      </c>
      <c r="Q875" s="207">
        <f>IF(ISNUMBER(VLOOKUP($B:$B,'IS(분기)'!$A:$F,$2:$2,0)),VLOOKUP($B:$B,'IS(분기)'!$A:$F,$2:$2,0),0)</f>
        <v>0</v>
      </c>
      <c r="R875" s="207">
        <f>IF(ISNUMBER(VLOOKUP($B:$B,'IS(분기)'!$A:$F,$2:$2,0)),VLOOKUP($B:$B,'IS(분기)'!$A:$F,$2:$2,0),0)</f>
        <v>0</v>
      </c>
    </row>
    <row r="876" spans="1:18" s="192" customFormat="1" ht="12">
      <c r="A876" s="202">
        <v>124130</v>
      </c>
      <c r="B876" s="195" t="s">
        <v>600</v>
      </c>
      <c r="C876" s="217">
        <f>IF(ISNUMBER(VLOOKUP($B:$B,IS!$A:$F,$2:$2,0)),VLOOKUP($B:$B,IS!$A:$F,$2:$2,0),0)</f>
        <v>0</v>
      </c>
      <c r="D876" s="217">
        <f>IF(ISNUMBER(VLOOKUP($B:$B,IS!$A:$F,$2:$2,0)),VLOOKUP($B:$B,IS!$A:$F,$2:$2,0),0)</f>
        <v>0</v>
      </c>
      <c r="E876" s="217">
        <f>IF(ISNUMBER(VLOOKUP($B:$B,IS!$A:$F,$2:$2,0)),VLOOKUP($B:$B,IS!$A:$F,$2:$2,0),0)</f>
        <v>0</v>
      </c>
      <c r="F876" s="217">
        <f>IF(ISNUMBER(VLOOKUP($B:$B,IS!$A:$F,$2:$2,0)),VLOOKUP($B:$B,IS!$A:$F,$2:$2,0),0)</f>
        <v>0</v>
      </c>
      <c r="G876" s="217">
        <f>IF(ISNUMBER(VLOOKUP($B:$B,IS!$A:$F,$2:$2,0)),VLOOKUP($B:$B,IS!$A:$F,$2:$2,0),0)</f>
        <v>0</v>
      </c>
      <c r="H876" s="207">
        <f>IF(ISNUMBER(VLOOKUP($B:$B,'IS(과거)'!$A:$F,$2:$2,0)),VLOOKUP($B:$B,'IS(과거)'!$A:$F,$2:$2,0),0)</f>
        <v>0</v>
      </c>
      <c r="I876" s="207">
        <f>IF(ISNUMBER(VLOOKUP($B:$B,'IS(과거)'!$A:$F,$2:$2,0)),VLOOKUP($B:$B,'IS(과거)'!$A:$F,$2:$2,0),0)</f>
        <v>0</v>
      </c>
      <c r="J876" s="207">
        <f>IF(ISNUMBER(VLOOKUP($B:$B,'IS(과거)'!$A:$F,$2:$2,0)),VLOOKUP($B:$B,'IS(과거)'!$A:$F,$2:$2,0),0)</f>
        <v>0</v>
      </c>
      <c r="K876" s="207">
        <f>IF(ISNUMBER(VLOOKUP($B:$B,'IS(과거)'!$A:$F,$2:$2,0)),VLOOKUP($B:$B,'IS(과거)'!$A:$F,$2:$2,0),0)</f>
        <v>0</v>
      </c>
      <c r="L876" s="207">
        <f>IF(ISNUMBER(VLOOKUP($B:$B,'IS(과거)'!$A:$F,$2:$2,0)),VLOOKUP($B:$B,'IS(과거)'!$A:$F,$2:$2,0),0)</f>
        <v>0</v>
      </c>
      <c r="N876" s="207">
        <f>IF(ISNUMBER(VLOOKUP($B:$B,'IS(분기)'!$A:$F,$2:$2,0)),VLOOKUP($B:$B,'IS(분기)'!$A:$F,$2:$2,0),0)</f>
        <v>0</v>
      </c>
      <c r="O876" s="207">
        <f>IF(ISNUMBER(VLOOKUP($B:$B,'IS(분기)'!$A:$F,$2:$2,0)),VLOOKUP($B:$B,'IS(분기)'!$A:$F,$2:$2,0),0)</f>
        <v>0</v>
      </c>
      <c r="P876" s="207">
        <f>IF(ISNUMBER(VLOOKUP($B:$B,'IS(분기)'!$A:$F,$2:$2,0)),VLOOKUP($B:$B,'IS(분기)'!$A:$F,$2:$2,0),0)</f>
        <v>0</v>
      </c>
      <c r="Q876" s="207">
        <f>IF(ISNUMBER(VLOOKUP($B:$B,'IS(분기)'!$A:$F,$2:$2,0)),VLOOKUP($B:$B,'IS(분기)'!$A:$F,$2:$2,0),0)</f>
        <v>0</v>
      </c>
      <c r="R876" s="207">
        <f>IF(ISNUMBER(VLOOKUP($B:$B,'IS(분기)'!$A:$F,$2:$2,0)),VLOOKUP($B:$B,'IS(분기)'!$A:$F,$2:$2,0),0)</f>
        <v>0</v>
      </c>
    </row>
    <row r="877" spans="1:18" s="192" customFormat="1" ht="12">
      <c r="A877" s="202">
        <v>124140</v>
      </c>
      <c r="B877" s="195" t="s">
        <v>601</v>
      </c>
      <c r="C877" s="217">
        <f>IF(ISNUMBER(VLOOKUP($B:$B,IS!$A:$F,$2:$2,0)),VLOOKUP($B:$B,IS!$A:$F,$2:$2,0),0)</f>
        <v>0</v>
      </c>
      <c r="D877" s="217">
        <f>IF(ISNUMBER(VLOOKUP($B:$B,IS!$A:$F,$2:$2,0)),VLOOKUP($B:$B,IS!$A:$F,$2:$2,0),0)</f>
        <v>0</v>
      </c>
      <c r="E877" s="217">
        <f>IF(ISNUMBER(VLOOKUP($B:$B,IS!$A:$F,$2:$2,0)),VLOOKUP($B:$B,IS!$A:$F,$2:$2,0),0)</f>
        <v>0</v>
      </c>
      <c r="F877" s="217">
        <f>IF(ISNUMBER(VLOOKUP($B:$B,IS!$A:$F,$2:$2,0)),VLOOKUP($B:$B,IS!$A:$F,$2:$2,0),0)</f>
        <v>0</v>
      </c>
      <c r="G877" s="217">
        <f>IF(ISNUMBER(VLOOKUP($B:$B,IS!$A:$F,$2:$2,0)),VLOOKUP($B:$B,IS!$A:$F,$2:$2,0),0)</f>
        <v>0</v>
      </c>
      <c r="H877" s="207">
        <f>IF(ISNUMBER(VLOOKUP($B:$B,'IS(과거)'!$A:$F,$2:$2,0)),VLOOKUP($B:$B,'IS(과거)'!$A:$F,$2:$2,0),0)</f>
        <v>0</v>
      </c>
      <c r="I877" s="207">
        <f>IF(ISNUMBER(VLOOKUP($B:$B,'IS(과거)'!$A:$F,$2:$2,0)),VLOOKUP($B:$B,'IS(과거)'!$A:$F,$2:$2,0),0)</f>
        <v>0</v>
      </c>
      <c r="J877" s="207">
        <f>IF(ISNUMBER(VLOOKUP($B:$B,'IS(과거)'!$A:$F,$2:$2,0)),VLOOKUP($B:$B,'IS(과거)'!$A:$F,$2:$2,0),0)</f>
        <v>0</v>
      </c>
      <c r="K877" s="207">
        <f>IF(ISNUMBER(VLOOKUP($B:$B,'IS(과거)'!$A:$F,$2:$2,0)),VLOOKUP($B:$B,'IS(과거)'!$A:$F,$2:$2,0),0)</f>
        <v>0</v>
      </c>
      <c r="L877" s="207">
        <f>IF(ISNUMBER(VLOOKUP($B:$B,'IS(과거)'!$A:$F,$2:$2,0)),VLOOKUP($B:$B,'IS(과거)'!$A:$F,$2:$2,0),0)</f>
        <v>0</v>
      </c>
      <c r="N877" s="207">
        <f>IF(ISNUMBER(VLOOKUP($B:$B,'IS(분기)'!$A:$F,$2:$2,0)),VLOOKUP($B:$B,'IS(분기)'!$A:$F,$2:$2,0),0)</f>
        <v>0</v>
      </c>
      <c r="O877" s="207">
        <f>IF(ISNUMBER(VLOOKUP($B:$B,'IS(분기)'!$A:$F,$2:$2,0)),VLOOKUP($B:$B,'IS(분기)'!$A:$F,$2:$2,0),0)</f>
        <v>0</v>
      </c>
      <c r="P877" s="207">
        <f>IF(ISNUMBER(VLOOKUP($B:$B,'IS(분기)'!$A:$F,$2:$2,0)),VLOOKUP($B:$B,'IS(분기)'!$A:$F,$2:$2,0),0)</f>
        <v>0</v>
      </c>
      <c r="Q877" s="207">
        <f>IF(ISNUMBER(VLOOKUP($B:$B,'IS(분기)'!$A:$F,$2:$2,0)),VLOOKUP($B:$B,'IS(분기)'!$A:$F,$2:$2,0),0)</f>
        <v>0</v>
      </c>
      <c r="R877" s="207">
        <f>IF(ISNUMBER(VLOOKUP($B:$B,'IS(분기)'!$A:$F,$2:$2,0)),VLOOKUP($B:$B,'IS(분기)'!$A:$F,$2:$2,0),0)</f>
        <v>0</v>
      </c>
    </row>
    <row r="878" spans="1:18" s="192" customFormat="1" ht="12">
      <c r="A878" s="202">
        <v>124150</v>
      </c>
      <c r="B878" s="195" t="s">
        <v>602</v>
      </c>
      <c r="C878" s="217">
        <f>IF(ISNUMBER(VLOOKUP($B:$B,IS!$A:$F,$2:$2,0)),VLOOKUP($B:$B,IS!$A:$F,$2:$2,0),0)</f>
        <v>63471</v>
      </c>
      <c r="D878" s="217">
        <f>IF(ISNUMBER(VLOOKUP($B:$B,IS!$A:$F,$2:$2,0)),VLOOKUP($B:$B,IS!$A:$F,$2:$2,0),0)</f>
        <v>0</v>
      </c>
      <c r="E878" s="217">
        <f>IF(ISNUMBER(VLOOKUP($B:$B,IS!$A:$F,$2:$2,0)),VLOOKUP($B:$B,IS!$A:$F,$2:$2,0),0)</f>
        <v>0</v>
      </c>
      <c r="F878" s="217">
        <f>IF(ISNUMBER(VLOOKUP($B:$B,IS!$A:$F,$2:$2,0)),VLOOKUP($B:$B,IS!$A:$F,$2:$2,0),0)</f>
        <v>0</v>
      </c>
      <c r="G878" s="217">
        <f>IF(ISNUMBER(VLOOKUP($B:$B,IS!$A:$F,$2:$2,0)),VLOOKUP($B:$B,IS!$A:$F,$2:$2,0),0)</f>
        <v>0</v>
      </c>
      <c r="H878" s="207">
        <f>IF(ISNUMBER(VLOOKUP($B:$B,'IS(과거)'!$A:$F,$2:$2,0)),VLOOKUP($B:$B,'IS(과거)'!$A:$F,$2:$2,0),0)</f>
        <v>0</v>
      </c>
      <c r="I878" s="207">
        <f>IF(ISNUMBER(VLOOKUP($B:$B,'IS(과거)'!$A:$F,$2:$2,0)),VLOOKUP($B:$B,'IS(과거)'!$A:$F,$2:$2,0),0)</f>
        <v>0</v>
      </c>
      <c r="J878" s="207">
        <f>IF(ISNUMBER(VLOOKUP($B:$B,'IS(과거)'!$A:$F,$2:$2,0)),VLOOKUP($B:$B,'IS(과거)'!$A:$F,$2:$2,0),0)</f>
        <v>0</v>
      </c>
      <c r="K878" s="207">
        <f>IF(ISNUMBER(VLOOKUP($B:$B,'IS(과거)'!$A:$F,$2:$2,0)),VLOOKUP($B:$B,'IS(과거)'!$A:$F,$2:$2,0),0)</f>
        <v>0</v>
      </c>
      <c r="L878" s="207">
        <f>IF(ISNUMBER(VLOOKUP($B:$B,'IS(과거)'!$A:$F,$2:$2,0)),VLOOKUP($B:$B,'IS(과거)'!$A:$F,$2:$2,0),0)</f>
        <v>0</v>
      </c>
      <c r="N878" s="207">
        <f>IF(ISNUMBER(VLOOKUP($B:$B,'IS(분기)'!$A:$F,$2:$2,0)),VLOOKUP($B:$B,'IS(분기)'!$A:$F,$2:$2,0),0)</f>
        <v>0</v>
      </c>
      <c r="O878" s="207">
        <f>IF(ISNUMBER(VLOOKUP($B:$B,'IS(분기)'!$A:$F,$2:$2,0)),VLOOKUP($B:$B,'IS(분기)'!$A:$F,$2:$2,0),0)</f>
        <v>0</v>
      </c>
      <c r="P878" s="207">
        <f>IF(ISNUMBER(VLOOKUP($B:$B,'IS(분기)'!$A:$F,$2:$2,0)),VLOOKUP($B:$B,'IS(분기)'!$A:$F,$2:$2,0),0)</f>
        <v>0</v>
      </c>
      <c r="Q878" s="207">
        <f>IF(ISNUMBER(VLOOKUP($B:$B,'IS(분기)'!$A:$F,$2:$2,0)),VLOOKUP($B:$B,'IS(분기)'!$A:$F,$2:$2,0),0)</f>
        <v>0</v>
      </c>
      <c r="R878" s="207">
        <f>IF(ISNUMBER(VLOOKUP($B:$B,'IS(분기)'!$A:$F,$2:$2,0)),VLOOKUP($B:$B,'IS(분기)'!$A:$F,$2:$2,0),0)</f>
        <v>0</v>
      </c>
    </row>
    <row r="879" spans="1:18" s="192" customFormat="1" ht="12">
      <c r="A879" s="202">
        <v>124160</v>
      </c>
      <c r="B879" s="195" t="s">
        <v>603</v>
      </c>
      <c r="C879" s="217">
        <f>IF(ISNUMBER(VLOOKUP($B:$B,IS!$A:$F,$2:$2,0)),VLOOKUP($B:$B,IS!$A:$F,$2:$2,0),0)</f>
        <v>0</v>
      </c>
      <c r="D879" s="217">
        <f>IF(ISNUMBER(VLOOKUP($B:$B,IS!$A:$F,$2:$2,0)),VLOOKUP($B:$B,IS!$A:$F,$2:$2,0),0)</f>
        <v>0</v>
      </c>
      <c r="E879" s="217">
        <f>IF(ISNUMBER(VLOOKUP($B:$B,IS!$A:$F,$2:$2,0)),VLOOKUP($B:$B,IS!$A:$F,$2:$2,0),0)</f>
        <v>0</v>
      </c>
      <c r="F879" s="217">
        <f>IF(ISNUMBER(VLOOKUP($B:$B,IS!$A:$F,$2:$2,0)),VLOOKUP($B:$B,IS!$A:$F,$2:$2,0),0)</f>
        <v>0</v>
      </c>
      <c r="G879" s="217">
        <f>IF(ISNUMBER(VLOOKUP($B:$B,IS!$A:$F,$2:$2,0)),VLOOKUP($B:$B,IS!$A:$F,$2:$2,0),0)</f>
        <v>0</v>
      </c>
      <c r="H879" s="207">
        <f>IF(ISNUMBER(VLOOKUP($B:$B,'IS(과거)'!$A:$F,$2:$2,0)),VLOOKUP($B:$B,'IS(과거)'!$A:$F,$2:$2,0),0)</f>
        <v>0</v>
      </c>
      <c r="I879" s="207">
        <f>IF(ISNUMBER(VLOOKUP($B:$B,'IS(과거)'!$A:$F,$2:$2,0)),VLOOKUP($B:$B,'IS(과거)'!$A:$F,$2:$2,0),0)</f>
        <v>0</v>
      </c>
      <c r="J879" s="207">
        <f>IF(ISNUMBER(VLOOKUP($B:$B,'IS(과거)'!$A:$F,$2:$2,0)),VLOOKUP($B:$B,'IS(과거)'!$A:$F,$2:$2,0),0)</f>
        <v>0</v>
      </c>
      <c r="K879" s="207">
        <f>IF(ISNUMBER(VLOOKUP($B:$B,'IS(과거)'!$A:$F,$2:$2,0)),VLOOKUP($B:$B,'IS(과거)'!$A:$F,$2:$2,0),0)</f>
        <v>0</v>
      </c>
      <c r="L879" s="207">
        <f>IF(ISNUMBER(VLOOKUP($B:$B,'IS(과거)'!$A:$F,$2:$2,0)),VLOOKUP($B:$B,'IS(과거)'!$A:$F,$2:$2,0),0)</f>
        <v>0</v>
      </c>
      <c r="N879" s="207">
        <f>IF(ISNUMBER(VLOOKUP($B:$B,'IS(분기)'!$A:$F,$2:$2,0)),VLOOKUP($B:$B,'IS(분기)'!$A:$F,$2:$2,0),0)</f>
        <v>0</v>
      </c>
      <c r="O879" s="207">
        <f>IF(ISNUMBER(VLOOKUP($B:$B,'IS(분기)'!$A:$F,$2:$2,0)),VLOOKUP($B:$B,'IS(분기)'!$A:$F,$2:$2,0),0)</f>
        <v>0</v>
      </c>
      <c r="P879" s="207">
        <f>IF(ISNUMBER(VLOOKUP($B:$B,'IS(분기)'!$A:$F,$2:$2,0)),VLOOKUP($B:$B,'IS(분기)'!$A:$F,$2:$2,0),0)</f>
        <v>0</v>
      </c>
      <c r="Q879" s="207">
        <f>IF(ISNUMBER(VLOOKUP($B:$B,'IS(분기)'!$A:$F,$2:$2,0)),VLOOKUP($B:$B,'IS(분기)'!$A:$F,$2:$2,0),0)</f>
        <v>0</v>
      </c>
      <c r="R879" s="207">
        <f>IF(ISNUMBER(VLOOKUP($B:$B,'IS(분기)'!$A:$F,$2:$2,0)),VLOOKUP($B:$B,'IS(분기)'!$A:$F,$2:$2,0),0)</f>
        <v>0</v>
      </c>
    </row>
    <row r="880" spans="1:18" s="192" customFormat="1" ht="12">
      <c r="A880" s="202">
        <v>124170</v>
      </c>
      <c r="B880" s="195" t="s">
        <v>604</v>
      </c>
      <c r="C880" s="217">
        <f>IF(ISNUMBER(VLOOKUP($B:$B,IS!$A:$F,$2:$2,0)),VLOOKUP($B:$B,IS!$A:$F,$2:$2,0),0)</f>
        <v>109848</v>
      </c>
      <c r="D880" s="217">
        <f>IF(ISNUMBER(VLOOKUP($B:$B,IS!$A:$F,$2:$2,0)),VLOOKUP($B:$B,IS!$A:$F,$2:$2,0),0)</f>
        <v>0</v>
      </c>
      <c r="E880" s="217">
        <f>IF(ISNUMBER(VLOOKUP($B:$B,IS!$A:$F,$2:$2,0)),VLOOKUP($B:$B,IS!$A:$F,$2:$2,0),0)</f>
        <v>0</v>
      </c>
      <c r="F880" s="217">
        <f>IF(ISNUMBER(VLOOKUP($B:$B,IS!$A:$F,$2:$2,0)),VLOOKUP($B:$B,IS!$A:$F,$2:$2,0),0)</f>
        <v>0</v>
      </c>
      <c r="G880" s="217">
        <f>IF(ISNUMBER(VLOOKUP($B:$B,IS!$A:$F,$2:$2,0)),VLOOKUP($B:$B,IS!$A:$F,$2:$2,0),0)</f>
        <v>0</v>
      </c>
      <c r="H880" s="207">
        <f>IF(ISNUMBER(VLOOKUP($B:$B,'IS(과거)'!$A:$F,$2:$2,0)),VLOOKUP($B:$B,'IS(과거)'!$A:$F,$2:$2,0),0)</f>
        <v>0</v>
      </c>
      <c r="I880" s="207">
        <f>IF(ISNUMBER(VLOOKUP($B:$B,'IS(과거)'!$A:$F,$2:$2,0)),VLOOKUP($B:$B,'IS(과거)'!$A:$F,$2:$2,0),0)</f>
        <v>0</v>
      </c>
      <c r="J880" s="207">
        <f>IF(ISNUMBER(VLOOKUP($B:$B,'IS(과거)'!$A:$F,$2:$2,0)),VLOOKUP($B:$B,'IS(과거)'!$A:$F,$2:$2,0),0)</f>
        <v>0</v>
      </c>
      <c r="K880" s="207">
        <f>IF(ISNUMBER(VLOOKUP($B:$B,'IS(과거)'!$A:$F,$2:$2,0)),VLOOKUP($B:$B,'IS(과거)'!$A:$F,$2:$2,0),0)</f>
        <v>0</v>
      </c>
      <c r="L880" s="207">
        <f>IF(ISNUMBER(VLOOKUP($B:$B,'IS(과거)'!$A:$F,$2:$2,0)),VLOOKUP($B:$B,'IS(과거)'!$A:$F,$2:$2,0),0)</f>
        <v>0</v>
      </c>
      <c r="N880" s="207">
        <f>IF(ISNUMBER(VLOOKUP($B:$B,'IS(분기)'!$A:$F,$2:$2,0)),VLOOKUP($B:$B,'IS(분기)'!$A:$F,$2:$2,0),0)</f>
        <v>0</v>
      </c>
      <c r="O880" s="207">
        <f>IF(ISNUMBER(VLOOKUP($B:$B,'IS(분기)'!$A:$F,$2:$2,0)),VLOOKUP($B:$B,'IS(분기)'!$A:$F,$2:$2,0),0)</f>
        <v>0</v>
      </c>
      <c r="P880" s="207">
        <f>IF(ISNUMBER(VLOOKUP($B:$B,'IS(분기)'!$A:$F,$2:$2,0)),VLOOKUP($B:$B,'IS(분기)'!$A:$F,$2:$2,0),0)</f>
        <v>0</v>
      </c>
      <c r="Q880" s="207">
        <f>IF(ISNUMBER(VLOOKUP($B:$B,'IS(분기)'!$A:$F,$2:$2,0)),VLOOKUP($B:$B,'IS(분기)'!$A:$F,$2:$2,0),0)</f>
        <v>0</v>
      </c>
      <c r="R880" s="207">
        <f>IF(ISNUMBER(VLOOKUP($B:$B,'IS(분기)'!$A:$F,$2:$2,0)),VLOOKUP($B:$B,'IS(분기)'!$A:$F,$2:$2,0),0)</f>
        <v>0</v>
      </c>
    </row>
    <row r="881" spans="1:18" s="192" customFormat="1" ht="12">
      <c r="A881" s="202">
        <v>124180</v>
      </c>
      <c r="B881" s="195" t="s">
        <v>605</v>
      </c>
      <c r="C881" s="217">
        <f>IF(ISNUMBER(VLOOKUP($B:$B,IS!$A:$F,$2:$2,0)),VLOOKUP($B:$B,IS!$A:$F,$2:$2,0),0)</f>
        <v>0</v>
      </c>
      <c r="D881" s="217">
        <f>IF(ISNUMBER(VLOOKUP($B:$B,IS!$A:$F,$2:$2,0)),VLOOKUP($B:$B,IS!$A:$F,$2:$2,0),0)</f>
        <v>0</v>
      </c>
      <c r="E881" s="217">
        <f>IF(ISNUMBER(VLOOKUP($B:$B,IS!$A:$F,$2:$2,0)),VLOOKUP($B:$B,IS!$A:$F,$2:$2,0),0)</f>
        <v>0</v>
      </c>
      <c r="F881" s="217">
        <f>IF(ISNUMBER(VLOOKUP($B:$B,IS!$A:$F,$2:$2,0)),VLOOKUP($B:$B,IS!$A:$F,$2:$2,0),0)</f>
        <v>0</v>
      </c>
      <c r="G881" s="217">
        <f>IF(ISNUMBER(VLOOKUP($B:$B,IS!$A:$F,$2:$2,0)),VLOOKUP($B:$B,IS!$A:$F,$2:$2,0),0)</f>
        <v>0</v>
      </c>
      <c r="H881" s="207">
        <f>IF(ISNUMBER(VLOOKUP($B:$B,'IS(과거)'!$A:$F,$2:$2,0)),VLOOKUP($B:$B,'IS(과거)'!$A:$F,$2:$2,0),0)</f>
        <v>0</v>
      </c>
      <c r="I881" s="207">
        <f>IF(ISNUMBER(VLOOKUP($B:$B,'IS(과거)'!$A:$F,$2:$2,0)),VLOOKUP($B:$B,'IS(과거)'!$A:$F,$2:$2,0),0)</f>
        <v>0</v>
      </c>
      <c r="J881" s="207">
        <f>IF(ISNUMBER(VLOOKUP($B:$B,'IS(과거)'!$A:$F,$2:$2,0)),VLOOKUP($B:$B,'IS(과거)'!$A:$F,$2:$2,0),0)</f>
        <v>0</v>
      </c>
      <c r="K881" s="207">
        <f>IF(ISNUMBER(VLOOKUP($B:$B,'IS(과거)'!$A:$F,$2:$2,0)),VLOOKUP($B:$B,'IS(과거)'!$A:$F,$2:$2,0),0)</f>
        <v>0</v>
      </c>
      <c r="L881" s="207">
        <f>IF(ISNUMBER(VLOOKUP($B:$B,'IS(과거)'!$A:$F,$2:$2,0)),VLOOKUP($B:$B,'IS(과거)'!$A:$F,$2:$2,0),0)</f>
        <v>0</v>
      </c>
      <c r="N881" s="207">
        <f>IF(ISNUMBER(VLOOKUP($B:$B,'IS(분기)'!$A:$F,$2:$2,0)),VLOOKUP($B:$B,'IS(분기)'!$A:$F,$2:$2,0),0)</f>
        <v>0</v>
      </c>
      <c r="O881" s="207">
        <f>IF(ISNUMBER(VLOOKUP($B:$B,'IS(분기)'!$A:$F,$2:$2,0)),VLOOKUP($B:$B,'IS(분기)'!$A:$F,$2:$2,0),0)</f>
        <v>0</v>
      </c>
      <c r="P881" s="207">
        <f>IF(ISNUMBER(VLOOKUP($B:$B,'IS(분기)'!$A:$F,$2:$2,0)),VLOOKUP($B:$B,'IS(분기)'!$A:$F,$2:$2,0),0)</f>
        <v>0</v>
      </c>
      <c r="Q881" s="207">
        <f>IF(ISNUMBER(VLOOKUP($B:$B,'IS(분기)'!$A:$F,$2:$2,0)),VLOOKUP($B:$B,'IS(분기)'!$A:$F,$2:$2,0),0)</f>
        <v>0</v>
      </c>
      <c r="R881" s="207">
        <f>IF(ISNUMBER(VLOOKUP($B:$B,'IS(분기)'!$A:$F,$2:$2,0)),VLOOKUP($B:$B,'IS(분기)'!$A:$F,$2:$2,0),0)</f>
        <v>0</v>
      </c>
    </row>
    <row r="882" spans="1:18" s="192" customFormat="1" ht="12">
      <c r="A882" s="202">
        <v>124199</v>
      </c>
      <c r="B882" s="195" t="s">
        <v>606</v>
      </c>
      <c r="C882" s="217">
        <f>IF(ISNUMBER(VLOOKUP($B:$B,IS!$A:$F,$2:$2,0)),VLOOKUP($B:$B,IS!$A:$F,$2:$2,0),0)</f>
        <v>0</v>
      </c>
      <c r="D882" s="217">
        <f>IF(ISNUMBER(VLOOKUP($B:$B,IS!$A:$F,$2:$2,0)),VLOOKUP($B:$B,IS!$A:$F,$2:$2,0),0)</f>
        <v>0</v>
      </c>
      <c r="E882" s="217">
        <f>IF(ISNUMBER(VLOOKUP($B:$B,IS!$A:$F,$2:$2,0)),VLOOKUP($B:$B,IS!$A:$F,$2:$2,0),0)</f>
        <v>0</v>
      </c>
      <c r="F882" s="217">
        <f>IF(ISNUMBER(VLOOKUP($B:$B,IS!$A:$F,$2:$2,0)),VLOOKUP($B:$B,IS!$A:$F,$2:$2,0),0)</f>
        <v>0</v>
      </c>
      <c r="G882" s="217">
        <f>IF(ISNUMBER(VLOOKUP($B:$B,IS!$A:$F,$2:$2,0)),VLOOKUP($B:$B,IS!$A:$F,$2:$2,0),0)</f>
        <v>0</v>
      </c>
      <c r="H882" s="207">
        <f>IF(ISNUMBER(VLOOKUP($B:$B,'IS(과거)'!$A:$F,$2:$2,0)),VLOOKUP($B:$B,'IS(과거)'!$A:$F,$2:$2,0),0)</f>
        <v>0</v>
      </c>
      <c r="I882" s="207">
        <f>IF(ISNUMBER(VLOOKUP($B:$B,'IS(과거)'!$A:$F,$2:$2,0)),VLOOKUP($B:$B,'IS(과거)'!$A:$F,$2:$2,0),0)</f>
        <v>0</v>
      </c>
      <c r="J882" s="207">
        <f>IF(ISNUMBER(VLOOKUP($B:$B,'IS(과거)'!$A:$F,$2:$2,0)),VLOOKUP($B:$B,'IS(과거)'!$A:$F,$2:$2,0),0)</f>
        <v>0</v>
      </c>
      <c r="K882" s="207">
        <f>IF(ISNUMBER(VLOOKUP($B:$B,'IS(과거)'!$A:$F,$2:$2,0)),VLOOKUP($B:$B,'IS(과거)'!$A:$F,$2:$2,0),0)</f>
        <v>0</v>
      </c>
      <c r="L882" s="207">
        <f>IF(ISNUMBER(VLOOKUP($B:$B,'IS(과거)'!$A:$F,$2:$2,0)),VLOOKUP($B:$B,'IS(과거)'!$A:$F,$2:$2,0),0)</f>
        <v>0</v>
      </c>
      <c r="N882" s="207">
        <f>IF(ISNUMBER(VLOOKUP($B:$B,'IS(분기)'!$A:$F,$2:$2,0)),VLOOKUP($B:$B,'IS(분기)'!$A:$F,$2:$2,0),0)</f>
        <v>0</v>
      </c>
      <c r="O882" s="207">
        <f>IF(ISNUMBER(VLOOKUP($B:$B,'IS(분기)'!$A:$F,$2:$2,0)),VLOOKUP($B:$B,'IS(분기)'!$A:$F,$2:$2,0),0)</f>
        <v>0</v>
      </c>
      <c r="P882" s="207">
        <f>IF(ISNUMBER(VLOOKUP($B:$B,'IS(분기)'!$A:$F,$2:$2,0)),VLOOKUP($B:$B,'IS(분기)'!$A:$F,$2:$2,0),0)</f>
        <v>0</v>
      </c>
      <c r="Q882" s="207">
        <f>IF(ISNUMBER(VLOOKUP($B:$B,'IS(분기)'!$A:$F,$2:$2,0)),VLOOKUP($B:$B,'IS(분기)'!$A:$F,$2:$2,0),0)</f>
        <v>0</v>
      </c>
      <c r="R882" s="207">
        <f>IF(ISNUMBER(VLOOKUP($B:$B,'IS(분기)'!$A:$F,$2:$2,0)),VLOOKUP($B:$B,'IS(분기)'!$A:$F,$2:$2,0),0)</f>
        <v>0</v>
      </c>
    </row>
    <row r="883" spans="1:18" s="192" customFormat="1" ht="12">
      <c r="A883" s="201">
        <v>124200</v>
      </c>
      <c r="B883" s="194" t="s">
        <v>1399</v>
      </c>
      <c r="C883" s="217">
        <f>IF(ISNUMBER(VLOOKUP($B:$B,IS!$A:$F,$2:$2,0)),VLOOKUP($B:$B,IS!$A:$F,$2:$2,0),0)</f>
        <v>1496256</v>
      </c>
      <c r="D883" s="217">
        <f>IF(ISNUMBER(VLOOKUP($B:$B,IS!$A:$F,$2:$2,0)),VLOOKUP($B:$B,IS!$A:$F,$2:$2,0),0)</f>
        <v>0</v>
      </c>
      <c r="E883" s="217">
        <f>IF(ISNUMBER(VLOOKUP($B:$B,IS!$A:$F,$2:$2,0)),VLOOKUP($B:$B,IS!$A:$F,$2:$2,0),0)</f>
        <v>0</v>
      </c>
      <c r="F883" s="217">
        <f>IF(ISNUMBER(VLOOKUP($B:$B,IS!$A:$F,$2:$2,0)),VLOOKUP($B:$B,IS!$A:$F,$2:$2,0),0)</f>
        <v>0</v>
      </c>
      <c r="G883" s="217">
        <f>IF(ISNUMBER(VLOOKUP($B:$B,IS!$A:$F,$2:$2,0)),VLOOKUP($B:$B,IS!$A:$F,$2:$2,0),0)</f>
        <v>0</v>
      </c>
      <c r="H883" s="207">
        <f>IF(ISNUMBER(VLOOKUP($B:$B,'IS(과거)'!$A:$F,$2:$2,0)),VLOOKUP($B:$B,'IS(과거)'!$A:$F,$2:$2,0),0)</f>
        <v>0</v>
      </c>
      <c r="I883" s="207">
        <f>IF(ISNUMBER(VLOOKUP($B:$B,'IS(과거)'!$A:$F,$2:$2,0)),VLOOKUP($B:$B,'IS(과거)'!$A:$F,$2:$2,0),0)</f>
        <v>0</v>
      </c>
      <c r="J883" s="207">
        <f>IF(ISNUMBER(VLOOKUP($B:$B,'IS(과거)'!$A:$F,$2:$2,0)),VLOOKUP($B:$B,'IS(과거)'!$A:$F,$2:$2,0),0)</f>
        <v>0</v>
      </c>
      <c r="K883" s="207">
        <f>IF(ISNUMBER(VLOOKUP($B:$B,'IS(과거)'!$A:$F,$2:$2,0)),VLOOKUP($B:$B,'IS(과거)'!$A:$F,$2:$2,0),0)</f>
        <v>0</v>
      </c>
      <c r="L883" s="207">
        <f>IF(ISNUMBER(VLOOKUP($B:$B,'IS(과거)'!$A:$F,$2:$2,0)),VLOOKUP($B:$B,'IS(과거)'!$A:$F,$2:$2,0),0)</f>
        <v>0</v>
      </c>
      <c r="N883" s="207">
        <f>IF(ISNUMBER(VLOOKUP($B:$B,'IS(분기)'!$A:$F,$2:$2,0)),VLOOKUP($B:$B,'IS(분기)'!$A:$F,$2:$2,0),0)</f>
        <v>0</v>
      </c>
      <c r="O883" s="207">
        <f>IF(ISNUMBER(VLOOKUP($B:$B,'IS(분기)'!$A:$F,$2:$2,0)),VLOOKUP($B:$B,'IS(분기)'!$A:$F,$2:$2,0),0)</f>
        <v>0</v>
      </c>
      <c r="P883" s="207">
        <f>IF(ISNUMBER(VLOOKUP($B:$B,'IS(분기)'!$A:$F,$2:$2,0)),VLOOKUP($B:$B,'IS(분기)'!$A:$F,$2:$2,0),0)</f>
        <v>0</v>
      </c>
      <c r="Q883" s="207">
        <f>IF(ISNUMBER(VLOOKUP($B:$B,'IS(분기)'!$A:$F,$2:$2,0)),VLOOKUP($B:$B,'IS(분기)'!$A:$F,$2:$2,0),0)</f>
        <v>0</v>
      </c>
      <c r="R883" s="207">
        <f>IF(ISNUMBER(VLOOKUP($B:$B,'IS(분기)'!$A:$F,$2:$2,0)),VLOOKUP($B:$B,'IS(분기)'!$A:$F,$2:$2,0),0)</f>
        <v>0</v>
      </c>
    </row>
    <row r="884" spans="1:18" s="192" customFormat="1" ht="12">
      <c r="A884" s="202">
        <v>124211</v>
      </c>
      <c r="B884" s="195" t="s">
        <v>607</v>
      </c>
      <c r="C884" s="217">
        <f>IF(ISNUMBER(VLOOKUP($B:$B,IS!$A:$F,$2:$2,0)),VLOOKUP($B:$B,IS!$A:$F,$2:$2,0),0)</f>
        <v>27254</v>
      </c>
      <c r="D884" s="217">
        <f>IF(ISNUMBER(VLOOKUP($B:$B,IS!$A:$F,$2:$2,0)),VLOOKUP($B:$B,IS!$A:$F,$2:$2,0),0)</f>
        <v>0</v>
      </c>
      <c r="E884" s="217">
        <f>IF(ISNUMBER(VLOOKUP($B:$B,IS!$A:$F,$2:$2,0)),VLOOKUP($B:$B,IS!$A:$F,$2:$2,0),0)</f>
        <v>0</v>
      </c>
      <c r="F884" s="217">
        <f>IF(ISNUMBER(VLOOKUP($B:$B,IS!$A:$F,$2:$2,0)),VLOOKUP($B:$B,IS!$A:$F,$2:$2,0),0)</f>
        <v>0</v>
      </c>
      <c r="G884" s="217">
        <f>IF(ISNUMBER(VLOOKUP($B:$B,IS!$A:$F,$2:$2,0)),VLOOKUP($B:$B,IS!$A:$F,$2:$2,0),0)</f>
        <v>0</v>
      </c>
      <c r="H884" s="207">
        <f>IF(ISNUMBER(VLOOKUP($B:$B,'IS(과거)'!$A:$F,$2:$2,0)),VLOOKUP($B:$B,'IS(과거)'!$A:$F,$2:$2,0),0)</f>
        <v>0</v>
      </c>
      <c r="I884" s="207">
        <f>IF(ISNUMBER(VLOOKUP($B:$B,'IS(과거)'!$A:$F,$2:$2,0)),VLOOKUP($B:$B,'IS(과거)'!$A:$F,$2:$2,0),0)</f>
        <v>0</v>
      </c>
      <c r="J884" s="207">
        <f>IF(ISNUMBER(VLOOKUP($B:$B,'IS(과거)'!$A:$F,$2:$2,0)),VLOOKUP($B:$B,'IS(과거)'!$A:$F,$2:$2,0),0)</f>
        <v>0</v>
      </c>
      <c r="K884" s="207">
        <f>IF(ISNUMBER(VLOOKUP($B:$B,'IS(과거)'!$A:$F,$2:$2,0)),VLOOKUP($B:$B,'IS(과거)'!$A:$F,$2:$2,0),0)</f>
        <v>0</v>
      </c>
      <c r="L884" s="207">
        <f>IF(ISNUMBER(VLOOKUP($B:$B,'IS(과거)'!$A:$F,$2:$2,0)),VLOOKUP($B:$B,'IS(과거)'!$A:$F,$2:$2,0),0)</f>
        <v>0</v>
      </c>
      <c r="N884" s="207">
        <f>IF(ISNUMBER(VLOOKUP($B:$B,'IS(분기)'!$A:$F,$2:$2,0)),VLOOKUP($B:$B,'IS(분기)'!$A:$F,$2:$2,0),0)</f>
        <v>0</v>
      </c>
      <c r="O884" s="207">
        <f>IF(ISNUMBER(VLOOKUP($B:$B,'IS(분기)'!$A:$F,$2:$2,0)),VLOOKUP($B:$B,'IS(분기)'!$A:$F,$2:$2,0),0)</f>
        <v>0</v>
      </c>
      <c r="P884" s="207">
        <f>IF(ISNUMBER(VLOOKUP($B:$B,'IS(분기)'!$A:$F,$2:$2,0)),VLOOKUP($B:$B,'IS(분기)'!$A:$F,$2:$2,0),0)</f>
        <v>0</v>
      </c>
      <c r="Q884" s="207">
        <f>IF(ISNUMBER(VLOOKUP($B:$B,'IS(분기)'!$A:$F,$2:$2,0)),VLOOKUP($B:$B,'IS(분기)'!$A:$F,$2:$2,0),0)</f>
        <v>0</v>
      </c>
      <c r="R884" s="207">
        <f>IF(ISNUMBER(VLOOKUP($B:$B,'IS(분기)'!$A:$F,$2:$2,0)),VLOOKUP($B:$B,'IS(분기)'!$A:$F,$2:$2,0),0)</f>
        <v>0</v>
      </c>
    </row>
    <row r="885" spans="1:18" s="192" customFormat="1" ht="12">
      <c r="A885" s="202">
        <v>124212</v>
      </c>
      <c r="B885" s="195" t="s">
        <v>608</v>
      </c>
      <c r="C885" s="217">
        <f>IF(ISNUMBER(VLOOKUP($B:$B,IS!$A:$F,$2:$2,0)),VLOOKUP($B:$B,IS!$A:$F,$2:$2,0),0)</f>
        <v>14084</v>
      </c>
      <c r="D885" s="217">
        <f>IF(ISNUMBER(VLOOKUP($B:$B,IS!$A:$F,$2:$2,0)),VLOOKUP($B:$B,IS!$A:$F,$2:$2,0),0)</f>
        <v>0</v>
      </c>
      <c r="E885" s="217">
        <f>IF(ISNUMBER(VLOOKUP($B:$B,IS!$A:$F,$2:$2,0)),VLOOKUP($B:$B,IS!$A:$F,$2:$2,0),0)</f>
        <v>0</v>
      </c>
      <c r="F885" s="217">
        <f>IF(ISNUMBER(VLOOKUP($B:$B,IS!$A:$F,$2:$2,0)),VLOOKUP($B:$B,IS!$A:$F,$2:$2,0),0)</f>
        <v>0</v>
      </c>
      <c r="G885" s="217">
        <f>IF(ISNUMBER(VLOOKUP($B:$B,IS!$A:$F,$2:$2,0)),VLOOKUP($B:$B,IS!$A:$F,$2:$2,0),0)</f>
        <v>0</v>
      </c>
      <c r="H885" s="207">
        <f>IF(ISNUMBER(VLOOKUP($B:$B,'IS(과거)'!$A:$F,$2:$2,0)),VLOOKUP($B:$B,'IS(과거)'!$A:$F,$2:$2,0),0)</f>
        <v>0</v>
      </c>
      <c r="I885" s="207">
        <f>IF(ISNUMBER(VLOOKUP($B:$B,'IS(과거)'!$A:$F,$2:$2,0)),VLOOKUP($B:$B,'IS(과거)'!$A:$F,$2:$2,0),0)</f>
        <v>0</v>
      </c>
      <c r="J885" s="207">
        <f>IF(ISNUMBER(VLOOKUP($B:$B,'IS(과거)'!$A:$F,$2:$2,0)),VLOOKUP($B:$B,'IS(과거)'!$A:$F,$2:$2,0),0)</f>
        <v>0</v>
      </c>
      <c r="K885" s="207">
        <f>IF(ISNUMBER(VLOOKUP($B:$B,'IS(과거)'!$A:$F,$2:$2,0)),VLOOKUP($B:$B,'IS(과거)'!$A:$F,$2:$2,0),0)</f>
        <v>0</v>
      </c>
      <c r="L885" s="207">
        <f>IF(ISNUMBER(VLOOKUP($B:$B,'IS(과거)'!$A:$F,$2:$2,0)),VLOOKUP($B:$B,'IS(과거)'!$A:$F,$2:$2,0),0)</f>
        <v>0</v>
      </c>
      <c r="N885" s="207">
        <f>IF(ISNUMBER(VLOOKUP($B:$B,'IS(분기)'!$A:$F,$2:$2,0)),VLOOKUP($B:$B,'IS(분기)'!$A:$F,$2:$2,0),0)</f>
        <v>0</v>
      </c>
      <c r="O885" s="207">
        <f>IF(ISNUMBER(VLOOKUP($B:$B,'IS(분기)'!$A:$F,$2:$2,0)),VLOOKUP($B:$B,'IS(분기)'!$A:$F,$2:$2,0),0)</f>
        <v>0</v>
      </c>
      <c r="P885" s="207">
        <f>IF(ISNUMBER(VLOOKUP($B:$B,'IS(분기)'!$A:$F,$2:$2,0)),VLOOKUP($B:$B,'IS(분기)'!$A:$F,$2:$2,0),0)</f>
        <v>0</v>
      </c>
      <c r="Q885" s="207">
        <f>IF(ISNUMBER(VLOOKUP($B:$B,'IS(분기)'!$A:$F,$2:$2,0)),VLOOKUP($B:$B,'IS(분기)'!$A:$F,$2:$2,0),0)</f>
        <v>0</v>
      </c>
      <c r="R885" s="207">
        <f>IF(ISNUMBER(VLOOKUP($B:$B,'IS(분기)'!$A:$F,$2:$2,0)),VLOOKUP($B:$B,'IS(분기)'!$A:$F,$2:$2,0),0)</f>
        <v>0</v>
      </c>
    </row>
    <row r="886" spans="1:18" s="192" customFormat="1" ht="12">
      <c r="A886" s="202">
        <v>124213</v>
      </c>
      <c r="B886" s="195" t="s">
        <v>609</v>
      </c>
      <c r="C886" s="217">
        <f>IF(ISNUMBER(VLOOKUP($B:$B,IS!$A:$F,$2:$2,0)),VLOOKUP($B:$B,IS!$A:$F,$2:$2,0),0)</f>
        <v>20897</v>
      </c>
      <c r="D886" s="217">
        <f>IF(ISNUMBER(VLOOKUP($B:$B,IS!$A:$F,$2:$2,0)),VLOOKUP($B:$B,IS!$A:$F,$2:$2,0),0)</f>
        <v>0</v>
      </c>
      <c r="E886" s="217">
        <f>IF(ISNUMBER(VLOOKUP($B:$B,IS!$A:$F,$2:$2,0)),VLOOKUP($B:$B,IS!$A:$F,$2:$2,0),0)</f>
        <v>0</v>
      </c>
      <c r="F886" s="217">
        <f>IF(ISNUMBER(VLOOKUP($B:$B,IS!$A:$F,$2:$2,0)),VLOOKUP($B:$B,IS!$A:$F,$2:$2,0),0)</f>
        <v>0</v>
      </c>
      <c r="G886" s="217">
        <f>IF(ISNUMBER(VLOOKUP($B:$B,IS!$A:$F,$2:$2,0)),VLOOKUP($B:$B,IS!$A:$F,$2:$2,0),0)</f>
        <v>0</v>
      </c>
      <c r="H886" s="207">
        <f>IF(ISNUMBER(VLOOKUP($B:$B,'IS(과거)'!$A:$F,$2:$2,0)),VLOOKUP($B:$B,'IS(과거)'!$A:$F,$2:$2,0),0)</f>
        <v>0</v>
      </c>
      <c r="I886" s="207">
        <f>IF(ISNUMBER(VLOOKUP($B:$B,'IS(과거)'!$A:$F,$2:$2,0)),VLOOKUP($B:$B,'IS(과거)'!$A:$F,$2:$2,0),0)</f>
        <v>0</v>
      </c>
      <c r="J886" s="207">
        <f>IF(ISNUMBER(VLOOKUP($B:$B,'IS(과거)'!$A:$F,$2:$2,0)),VLOOKUP($B:$B,'IS(과거)'!$A:$F,$2:$2,0),0)</f>
        <v>0</v>
      </c>
      <c r="K886" s="207">
        <f>IF(ISNUMBER(VLOOKUP($B:$B,'IS(과거)'!$A:$F,$2:$2,0)),VLOOKUP($B:$B,'IS(과거)'!$A:$F,$2:$2,0),0)</f>
        <v>0</v>
      </c>
      <c r="L886" s="207">
        <f>IF(ISNUMBER(VLOOKUP($B:$B,'IS(과거)'!$A:$F,$2:$2,0)),VLOOKUP($B:$B,'IS(과거)'!$A:$F,$2:$2,0),0)</f>
        <v>0</v>
      </c>
      <c r="N886" s="207">
        <f>IF(ISNUMBER(VLOOKUP($B:$B,'IS(분기)'!$A:$F,$2:$2,0)),VLOOKUP($B:$B,'IS(분기)'!$A:$F,$2:$2,0),0)</f>
        <v>0</v>
      </c>
      <c r="O886" s="207">
        <f>IF(ISNUMBER(VLOOKUP($B:$B,'IS(분기)'!$A:$F,$2:$2,0)),VLOOKUP($B:$B,'IS(분기)'!$A:$F,$2:$2,0),0)</f>
        <v>0</v>
      </c>
      <c r="P886" s="207">
        <f>IF(ISNUMBER(VLOOKUP($B:$B,'IS(분기)'!$A:$F,$2:$2,0)),VLOOKUP($B:$B,'IS(분기)'!$A:$F,$2:$2,0),0)</f>
        <v>0</v>
      </c>
      <c r="Q886" s="207">
        <f>IF(ISNUMBER(VLOOKUP($B:$B,'IS(분기)'!$A:$F,$2:$2,0)),VLOOKUP($B:$B,'IS(분기)'!$A:$F,$2:$2,0),0)</f>
        <v>0</v>
      </c>
      <c r="R886" s="207">
        <f>IF(ISNUMBER(VLOOKUP($B:$B,'IS(분기)'!$A:$F,$2:$2,0)),VLOOKUP($B:$B,'IS(분기)'!$A:$F,$2:$2,0),0)</f>
        <v>0</v>
      </c>
    </row>
    <row r="887" spans="1:18" s="192" customFormat="1" ht="12">
      <c r="A887" s="202">
        <v>124214</v>
      </c>
      <c r="B887" s="195" t="s">
        <v>610</v>
      </c>
      <c r="C887" s="217">
        <f>IF(ISNUMBER(VLOOKUP($B:$B,IS!$A:$F,$2:$2,0)),VLOOKUP($B:$B,IS!$A:$F,$2:$2,0),0)</f>
        <v>65953</v>
      </c>
      <c r="D887" s="217">
        <f>IF(ISNUMBER(VLOOKUP($B:$B,IS!$A:$F,$2:$2,0)),VLOOKUP($B:$B,IS!$A:$F,$2:$2,0),0)</f>
        <v>0</v>
      </c>
      <c r="E887" s="217">
        <f>IF(ISNUMBER(VLOOKUP($B:$B,IS!$A:$F,$2:$2,0)),VLOOKUP($B:$B,IS!$A:$F,$2:$2,0),0)</f>
        <v>0</v>
      </c>
      <c r="F887" s="217">
        <f>IF(ISNUMBER(VLOOKUP($B:$B,IS!$A:$F,$2:$2,0)),VLOOKUP($B:$B,IS!$A:$F,$2:$2,0),0)</f>
        <v>0</v>
      </c>
      <c r="G887" s="217">
        <f>IF(ISNUMBER(VLOOKUP($B:$B,IS!$A:$F,$2:$2,0)),VLOOKUP($B:$B,IS!$A:$F,$2:$2,0),0)</f>
        <v>0</v>
      </c>
      <c r="H887" s="207">
        <f>IF(ISNUMBER(VLOOKUP($B:$B,'IS(과거)'!$A:$F,$2:$2,0)),VLOOKUP($B:$B,'IS(과거)'!$A:$F,$2:$2,0),0)</f>
        <v>0</v>
      </c>
      <c r="I887" s="207">
        <f>IF(ISNUMBER(VLOOKUP($B:$B,'IS(과거)'!$A:$F,$2:$2,0)),VLOOKUP($B:$B,'IS(과거)'!$A:$F,$2:$2,0),0)</f>
        <v>0</v>
      </c>
      <c r="J887" s="207">
        <f>IF(ISNUMBER(VLOOKUP($B:$B,'IS(과거)'!$A:$F,$2:$2,0)),VLOOKUP($B:$B,'IS(과거)'!$A:$F,$2:$2,0),0)</f>
        <v>0</v>
      </c>
      <c r="K887" s="207">
        <f>IF(ISNUMBER(VLOOKUP($B:$B,'IS(과거)'!$A:$F,$2:$2,0)),VLOOKUP($B:$B,'IS(과거)'!$A:$F,$2:$2,0),0)</f>
        <v>0</v>
      </c>
      <c r="L887" s="207">
        <f>IF(ISNUMBER(VLOOKUP($B:$B,'IS(과거)'!$A:$F,$2:$2,0)),VLOOKUP($B:$B,'IS(과거)'!$A:$F,$2:$2,0),0)</f>
        <v>0</v>
      </c>
      <c r="N887" s="207">
        <f>IF(ISNUMBER(VLOOKUP($B:$B,'IS(분기)'!$A:$F,$2:$2,0)),VLOOKUP($B:$B,'IS(분기)'!$A:$F,$2:$2,0),0)</f>
        <v>0</v>
      </c>
      <c r="O887" s="207">
        <f>IF(ISNUMBER(VLOOKUP($B:$B,'IS(분기)'!$A:$F,$2:$2,0)),VLOOKUP($B:$B,'IS(분기)'!$A:$F,$2:$2,0),0)</f>
        <v>0</v>
      </c>
      <c r="P887" s="207">
        <f>IF(ISNUMBER(VLOOKUP($B:$B,'IS(분기)'!$A:$F,$2:$2,0)),VLOOKUP($B:$B,'IS(분기)'!$A:$F,$2:$2,0),0)</f>
        <v>0</v>
      </c>
      <c r="Q887" s="207">
        <f>IF(ISNUMBER(VLOOKUP($B:$B,'IS(분기)'!$A:$F,$2:$2,0)),VLOOKUP($B:$B,'IS(분기)'!$A:$F,$2:$2,0),0)</f>
        <v>0</v>
      </c>
      <c r="R887" s="207">
        <f>IF(ISNUMBER(VLOOKUP($B:$B,'IS(분기)'!$A:$F,$2:$2,0)),VLOOKUP($B:$B,'IS(분기)'!$A:$F,$2:$2,0),0)</f>
        <v>0</v>
      </c>
    </row>
    <row r="888" spans="1:18" s="192" customFormat="1" ht="12">
      <c r="A888" s="202">
        <v>124215</v>
      </c>
      <c r="B888" s="195" t="s">
        <v>611</v>
      </c>
      <c r="C888" s="217">
        <f>IF(ISNUMBER(VLOOKUP($B:$B,IS!$A:$F,$2:$2,0)),VLOOKUP($B:$B,IS!$A:$F,$2:$2,0),0)</f>
        <v>318239</v>
      </c>
      <c r="D888" s="217">
        <f>IF(ISNUMBER(VLOOKUP($B:$B,IS!$A:$F,$2:$2,0)),VLOOKUP($B:$B,IS!$A:$F,$2:$2,0),0)</f>
        <v>0</v>
      </c>
      <c r="E888" s="217">
        <f>IF(ISNUMBER(VLOOKUP($B:$B,IS!$A:$F,$2:$2,0)),VLOOKUP($B:$B,IS!$A:$F,$2:$2,0),0)</f>
        <v>0</v>
      </c>
      <c r="F888" s="217">
        <f>IF(ISNUMBER(VLOOKUP($B:$B,IS!$A:$F,$2:$2,0)),VLOOKUP($B:$B,IS!$A:$F,$2:$2,0),0)</f>
        <v>0</v>
      </c>
      <c r="G888" s="217">
        <f>IF(ISNUMBER(VLOOKUP($B:$B,IS!$A:$F,$2:$2,0)),VLOOKUP($B:$B,IS!$A:$F,$2:$2,0),0)</f>
        <v>0</v>
      </c>
      <c r="H888" s="207">
        <f>IF(ISNUMBER(VLOOKUP($B:$B,'IS(과거)'!$A:$F,$2:$2,0)),VLOOKUP($B:$B,'IS(과거)'!$A:$F,$2:$2,0),0)</f>
        <v>0</v>
      </c>
      <c r="I888" s="207">
        <f>IF(ISNUMBER(VLOOKUP($B:$B,'IS(과거)'!$A:$F,$2:$2,0)),VLOOKUP($B:$B,'IS(과거)'!$A:$F,$2:$2,0),0)</f>
        <v>0</v>
      </c>
      <c r="J888" s="207">
        <f>IF(ISNUMBER(VLOOKUP($B:$B,'IS(과거)'!$A:$F,$2:$2,0)),VLOOKUP($B:$B,'IS(과거)'!$A:$F,$2:$2,0),0)</f>
        <v>0</v>
      </c>
      <c r="K888" s="207">
        <f>IF(ISNUMBER(VLOOKUP($B:$B,'IS(과거)'!$A:$F,$2:$2,0)),VLOOKUP($B:$B,'IS(과거)'!$A:$F,$2:$2,0),0)</f>
        <v>0</v>
      </c>
      <c r="L888" s="207">
        <f>IF(ISNUMBER(VLOOKUP($B:$B,'IS(과거)'!$A:$F,$2:$2,0)),VLOOKUP($B:$B,'IS(과거)'!$A:$F,$2:$2,0),0)</f>
        <v>0</v>
      </c>
      <c r="N888" s="207">
        <f>IF(ISNUMBER(VLOOKUP($B:$B,'IS(분기)'!$A:$F,$2:$2,0)),VLOOKUP($B:$B,'IS(분기)'!$A:$F,$2:$2,0),0)</f>
        <v>0</v>
      </c>
      <c r="O888" s="207">
        <f>IF(ISNUMBER(VLOOKUP($B:$B,'IS(분기)'!$A:$F,$2:$2,0)),VLOOKUP($B:$B,'IS(분기)'!$A:$F,$2:$2,0),0)</f>
        <v>0</v>
      </c>
      <c r="P888" s="207">
        <f>IF(ISNUMBER(VLOOKUP($B:$B,'IS(분기)'!$A:$F,$2:$2,0)),VLOOKUP($B:$B,'IS(분기)'!$A:$F,$2:$2,0),0)</f>
        <v>0</v>
      </c>
      <c r="Q888" s="207">
        <f>IF(ISNUMBER(VLOOKUP($B:$B,'IS(분기)'!$A:$F,$2:$2,0)),VLOOKUP($B:$B,'IS(분기)'!$A:$F,$2:$2,0),0)</f>
        <v>0</v>
      </c>
      <c r="R888" s="207">
        <f>IF(ISNUMBER(VLOOKUP($B:$B,'IS(분기)'!$A:$F,$2:$2,0)),VLOOKUP($B:$B,'IS(분기)'!$A:$F,$2:$2,0),0)</f>
        <v>0</v>
      </c>
    </row>
    <row r="889" spans="1:18" s="192" customFormat="1" ht="12">
      <c r="A889" s="202">
        <v>124216</v>
      </c>
      <c r="B889" s="195" t="s">
        <v>612</v>
      </c>
      <c r="C889" s="217">
        <f>IF(ISNUMBER(VLOOKUP($B:$B,IS!$A:$F,$2:$2,0)),VLOOKUP($B:$B,IS!$A:$F,$2:$2,0),0)</f>
        <v>173069</v>
      </c>
      <c r="D889" s="217">
        <f>IF(ISNUMBER(VLOOKUP($B:$B,IS!$A:$F,$2:$2,0)),VLOOKUP($B:$B,IS!$A:$F,$2:$2,0),0)</f>
        <v>0</v>
      </c>
      <c r="E889" s="217">
        <f>IF(ISNUMBER(VLOOKUP($B:$B,IS!$A:$F,$2:$2,0)),VLOOKUP($B:$B,IS!$A:$F,$2:$2,0),0)</f>
        <v>0</v>
      </c>
      <c r="F889" s="217">
        <f>IF(ISNUMBER(VLOOKUP($B:$B,IS!$A:$F,$2:$2,0)),VLOOKUP($B:$B,IS!$A:$F,$2:$2,0),0)</f>
        <v>0</v>
      </c>
      <c r="G889" s="217">
        <f>IF(ISNUMBER(VLOOKUP($B:$B,IS!$A:$F,$2:$2,0)),VLOOKUP($B:$B,IS!$A:$F,$2:$2,0),0)</f>
        <v>0</v>
      </c>
      <c r="H889" s="207">
        <f>IF(ISNUMBER(VLOOKUP($B:$B,'IS(과거)'!$A:$F,$2:$2,0)),VLOOKUP($B:$B,'IS(과거)'!$A:$F,$2:$2,0),0)</f>
        <v>0</v>
      </c>
      <c r="I889" s="207">
        <f>IF(ISNUMBER(VLOOKUP($B:$B,'IS(과거)'!$A:$F,$2:$2,0)),VLOOKUP($B:$B,'IS(과거)'!$A:$F,$2:$2,0),0)</f>
        <v>0</v>
      </c>
      <c r="J889" s="207">
        <f>IF(ISNUMBER(VLOOKUP($B:$B,'IS(과거)'!$A:$F,$2:$2,0)),VLOOKUP($B:$B,'IS(과거)'!$A:$F,$2:$2,0),0)</f>
        <v>0</v>
      </c>
      <c r="K889" s="207">
        <f>IF(ISNUMBER(VLOOKUP($B:$B,'IS(과거)'!$A:$F,$2:$2,0)),VLOOKUP($B:$B,'IS(과거)'!$A:$F,$2:$2,0),0)</f>
        <v>0</v>
      </c>
      <c r="L889" s="207">
        <f>IF(ISNUMBER(VLOOKUP($B:$B,'IS(과거)'!$A:$F,$2:$2,0)),VLOOKUP($B:$B,'IS(과거)'!$A:$F,$2:$2,0),0)</f>
        <v>0</v>
      </c>
      <c r="N889" s="207">
        <f>IF(ISNUMBER(VLOOKUP($B:$B,'IS(분기)'!$A:$F,$2:$2,0)),VLOOKUP($B:$B,'IS(분기)'!$A:$F,$2:$2,0),0)</f>
        <v>0</v>
      </c>
      <c r="O889" s="207">
        <f>IF(ISNUMBER(VLOOKUP($B:$B,'IS(분기)'!$A:$F,$2:$2,0)),VLOOKUP($B:$B,'IS(분기)'!$A:$F,$2:$2,0),0)</f>
        <v>0</v>
      </c>
      <c r="P889" s="207">
        <f>IF(ISNUMBER(VLOOKUP($B:$B,'IS(분기)'!$A:$F,$2:$2,0)),VLOOKUP($B:$B,'IS(분기)'!$A:$F,$2:$2,0),0)</f>
        <v>0</v>
      </c>
      <c r="Q889" s="207">
        <f>IF(ISNUMBER(VLOOKUP($B:$B,'IS(분기)'!$A:$F,$2:$2,0)),VLOOKUP($B:$B,'IS(분기)'!$A:$F,$2:$2,0),0)</f>
        <v>0</v>
      </c>
      <c r="R889" s="207">
        <f>IF(ISNUMBER(VLOOKUP($B:$B,'IS(분기)'!$A:$F,$2:$2,0)),VLOOKUP($B:$B,'IS(분기)'!$A:$F,$2:$2,0),0)</f>
        <v>0</v>
      </c>
    </row>
    <row r="890" spans="1:18" s="192" customFormat="1" ht="12">
      <c r="A890" s="202">
        <v>124217</v>
      </c>
      <c r="B890" s="195" t="s">
        <v>613</v>
      </c>
      <c r="C890" s="217">
        <f>IF(ISNUMBER(VLOOKUP($B:$B,IS!$A:$F,$2:$2,0)),VLOOKUP($B:$B,IS!$A:$F,$2:$2,0),0)</f>
        <v>4880</v>
      </c>
      <c r="D890" s="217">
        <f>IF(ISNUMBER(VLOOKUP($B:$B,IS!$A:$F,$2:$2,0)),VLOOKUP($B:$B,IS!$A:$F,$2:$2,0),0)</f>
        <v>0</v>
      </c>
      <c r="E890" s="217">
        <f>IF(ISNUMBER(VLOOKUP($B:$B,IS!$A:$F,$2:$2,0)),VLOOKUP($B:$B,IS!$A:$F,$2:$2,0),0)</f>
        <v>0</v>
      </c>
      <c r="F890" s="217">
        <f>IF(ISNUMBER(VLOOKUP($B:$B,IS!$A:$F,$2:$2,0)),VLOOKUP($B:$B,IS!$A:$F,$2:$2,0),0)</f>
        <v>0</v>
      </c>
      <c r="G890" s="217">
        <f>IF(ISNUMBER(VLOOKUP($B:$B,IS!$A:$F,$2:$2,0)),VLOOKUP($B:$B,IS!$A:$F,$2:$2,0),0)</f>
        <v>0</v>
      </c>
      <c r="H890" s="207">
        <f>IF(ISNUMBER(VLOOKUP($B:$B,'IS(과거)'!$A:$F,$2:$2,0)),VLOOKUP($B:$B,'IS(과거)'!$A:$F,$2:$2,0),0)</f>
        <v>0</v>
      </c>
      <c r="I890" s="207">
        <f>IF(ISNUMBER(VLOOKUP($B:$B,'IS(과거)'!$A:$F,$2:$2,0)),VLOOKUP($B:$B,'IS(과거)'!$A:$F,$2:$2,0),0)</f>
        <v>0</v>
      </c>
      <c r="J890" s="207">
        <f>IF(ISNUMBER(VLOOKUP($B:$B,'IS(과거)'!$A:$F,$2:$2,0)),VLOOKUP($B:$B,'IS(과거)'!$A:$F,$2:$2,0),0)</f>
        <v>0</v>
      </c>
      <c r="K890" s="207">
        <f>IF(ISNUMBER(VLOOKUP($B:$B,'IS(과거)'!$A:$F,$2:$2,0)),VLOOKUP($B:$B,'IS(과거)'!$A:$F,$2:$2,0),0)</f>
        <v>0</v>
      </c>
      <c r="L890" s="207">
        <f>IF(ISNUMBER(VLOOKUP($B:$B,'IS(과거)'!$A:$F,$2:$2,0)),VLOOKUP($B:$B,'IS(과거)'!$A:$F,$2:$2,0),0)</f>
        <v>0</v>
      </c>
      <c r="N890" s="207">
        <f>IF(ISNUMBER(VLOOKUP($B:$B,'IS(분기)'!$A:$F,$2:$2,0)),VLOOKUP($B:$B,'IS(분기)'!$A:$F,$2:$2,0),0)</f>
        <v>0</v>
      </c>
      <c r="O890" s="207">
        <f>IF(ISNUMBER(VLOOKUP($B:$B,'IS(분기)'!$A:$F,$2:$2,0)),VLOOKUP($B:$B,'IS(분기)'!$A:$F,$2:$2,0),0)</f>
        <v>0</v>
      </c>
      <c r="P890" s="207">
        <f>IF(ISNUMBER(VLOOKUP($B:$B,'IS(분기)'!$A:$F,$2:$2,0)),VLOOKUP($B:$B,'IS(분기)'!$A:$F,$2:$2,0),0)</f>
        <v>0</v>
      </c>
      <c r="Q890" s="207">
        <f>IF(ISNUMBER(VLOOKUP($B:$B,'IS(분기)'!$A:$F,$2:$2,0)),VLOOKUP($B:$B,'IS(분기)'!$A:$F,$2:$2,0),0)</f>
        <v>0</v>
      </c>
      <c r="R890" s="207">
        <f>IF(ISNUMBER(VLOOKUP($B:$B,'IS(분기)'!$A:$F,$2:$2,0)),VLOOKUP($B:$B,'IS(분기)'!$A:$F,$2:$2,0),0)</f>
        <v>0</v>
      </c>
    </row>
    <row r="891" spans="1:18" s="192" customFormat="1" ht="12">
      <c r="A891" s="202">
        <v>124218</v>
      </c>
      <c r="B891" s="195" t="s">
        <v>614</v>
      </c>
      <c r="C891" s="217">
        <f>IF(ISNUMBER(VLOOKUP($B:$B,IS!$A:$F,$2:$2,0)),VLOOKUP($B:$B,IS!$A:$F,$2:$2,0),0)</f>
        <v>26974</v>
      </c>
      <c r="D891" s="217">
        <f>IF(ISNUMBER(VLOOKUP($B:$B,IS!$A:$F,$2:$2,0)),VLOOKUP($B:$B,IS!$A:$F,$2:$2,0),0)</f>
        <v>0</v>
      </c>
      <c r="E891" s="217">
        <f>IF(ISNUMBER(VLOOKUP($B:$B,IS!$A:$F,$2:$2,0)),VLOOKUP($B:$B,IS!$A:$F,$2:$2,0),0)</f>
        <v>0</v>
      </c>
      <c r="F891" s="217">
        <f>IF(ISNUMBER(VLOOKUP($B:$B,IS!$A:$F,$2:$2,0)),VLOOKUP($B:$B,IS!$A:$F,$2:$2,0),0)</f>
        <v>0</v>
      </c>
      <c r="G891" s="217">
        <f>IF(ISNUMBER(VLOOKUP($B:$B,IS!$A:$F,$2:$2,0)),VLOOKUP($B:$B,IS!$A:$F,$2:$2,0),0)</f>
        <v>0</v>
      </c>
      <c r="H891" s="207">
        <f>IF(ISNUMBER(VLOOKUP($B:$B,'IS(과거)'!$A:$F,$2:$2,0)),VLOOKUP($B:$B,'IS(과거)'!$A:$F,$2:$2,0),0)</f>
        <v>0</v>
      </c>
      <c r="I891" s="207">
        <f>IF(ISNUMBER(VLOOKUP($B:$B,'IS(과거)'!$A:$F,$2:$2,0)),VLOOKUP($B:$B,'IS(과거)'!$A:$F,$2:$2,0),0)</f>
        <v>0</v>
      </c>
      <c r="J891" s="207">
        <f>IF(ISNUMBER(VLOOKUP($B:$B,'IS(과거)'!$A:$F,$2:$2,0)),VLOOKUP($B:$B,'IS(과거)'!$A:$F,$2:$2,0),0)</f>
        <v>0</v>
      </c>
      <c r="K891" s="207">
        <f>IF(ISNUMBER(VLOOKUP($B:$B,'IS(과거)'!$A:$F,$2:$2,0)),VLOOKUP($B:$B,'IS(과거)'!$A:$F,$2:$2,0),0)</f>
        <v>0</v>
      </c>
      <c r="L891" s="207">
        <f>IF(ISNUMBER(VLOOKUP($B:$B,'IS(과거)'!$A:$F,$2:$2,0)),VLOOKUP($B:$B,'IS(과거)'!$A:$F,$2:$2,0),0)</f>
        <v>0</v>
      </c>
      <c r="N891" s="207">
        <f>IF(ISNUMBER(VLOOKUP($B:$B,'IS(분기)'!$A:$F,$2:$2,0)),VLOOKUP($B:$B,'IS(분기)'!$A:$F,$2:$2,0),0)</f>
        <v>0</v>
      </c>
      <c r="O891" s="207">
        <f>IF(ISNUMBER(VLOOKUP($B:$B,'IS(분기)'!$A:$F,$2:$2,0)),VLOOKUP($B:$B,'IS(분기)'!$A:$F,$2:$2,0),0)</f>
        <v>0</v>
      </c>
      <c r="P891" s="207">
        <f>IF(ISNUMBER(VLOOKUP($B:$B,'IS(분기)'!$A:$F,$2:$2,0)),VLOOKUP($B:$B,'IS(분기)'!$A:$F,$2:$2,0),0)</f>
        <v>0</v>
      </c>
      <c r="Q891" s="207">
        <f>IF(ISNUMBER(VLOOKUP($B:$B,'IS(분기)'!$A:$F,$2:$2,0)),VLOOKUP($B:$B,'IS(분기)'!$A:$F,$2:$2,0),0)</f>
        <v>0</v>
      </c>
      <c r="R891" s="207">
        <f>IF(ISNUMBER(VLOOKUP($B:$B,'IS(분기)'!$A:$F,$2:$2,0)),VLOOKUP($B:$B,'IS(분기)'!$A:$F,$2:$2,0),0)</f>
        <v>0</v>
      </c>
    </row>
    <row r="892" spans="1:18" s="192" customFormat="1" ht="12">
      <c r="A892" s="202">
        <v>124219</v>
      </c>
      <c r="B892" s="195" t="s">
        <v>615</v>
      </c>
      <c r="C892" s="217">
        <f>IF(ISNUMBER(VLOOKUP($B:$B,IS!$A:$F,$2:$2,0)),VLOOKUP($B:$B,IS!$A:$F,$2:$2,0),0)</f>
        <v>0</v>
      </c>
      <c r="D892" s="217">
        <f>IF(ISNUMBER(VLOOKUP($B:$B,IS!$A:$F,$2:$2,0)),VLOOKUP($B:$B,IS!$A:$F,$2:$2,0),0)</f>
        <v>0</v>
      </c>
      <c r="E892" s="217">
        <f>IF(ISNUMBER(VLOOKUP($B:$B,IS!$A:$F,$2:$2,0)),VLOOKUP($B:$B,IS!$A:$F,$2:$2,0),0)</f>
        <v>0</v>
      </c>
      <c r="F892" s="217">
        <f>IF(ISNUMBER(VLOOKUP($B:$B,IS!$A:$F,$2:$2,0)),VLOOKUP($B:$B,IS!$A:$F,$2:$2,0),0)</f>
        <v>0</v>
      </c>
      <c r="G892" s="217">
        <f>IF(ISNUMBER(VLOOKUP($B:$B,IS!$A:$F,$2:$2,0)),VLOOKUP($B:$B,IS!$A:$F,$2:$2,0),0)</f>
        <v>0</v>
      </c>
      <c r="H892" s="207">
        <f>IF(ISNUMBER(VLOOKUP($B:$B,'IS(과거)'!$A:$F,$2:$2,0)),VLOOKUP($B:$B,'IS(과거)'!$A:$F,$2:$2,0),0)</f>
        <v>0</v>
      </c>
      <c r="I892" s="207">
        <f>IF(ISNUMBER(VLOOKUP($B:$B,'IS(과거)'!$A:$F,$2:$2,0)),VLOOKUP($B:$B,'IS(과거)'!$A:$F,$2:$2,0),0)</f>
        <v>0</v>
      </c>
      <c r="J892" s="207">
        <f>IF(ISNUMBER(VLOOKUP($B:$B,'IS(과거)'!$A:$F,$2:$2,0)),VLOOKUP($B:$B,'IS(과거)'!$A:$F,$2:$2,0),0)</f>
        <v>0</v>
      </c>
      <c r="K892" s="207">
        <f>IF(ISNUMBER(VLOOKUP($B:$B,'IS(과거)'!$A:$F,$2:$2,0)),VLOOKUP($B:$B,'IS(과거)'!$A:$F,$2:$2,0),0)</f>
        <v>0</v>
      </c>
      <c r="L892" s="207">
        <f>IF(ISNUMBER(VLOOKUP($B:$B,'IS(과거)'!$A:$F,$2:$2,0)),VLOOKUP($B:$B,'IS(과거)'!$A:$F,$2:$2,0),0)</f>
        <v>0</v>
      </c>
      <c r="N892" s="207">
        <f>IF(ISNUMBER(VLOOKUP($B:$B,'IS(분기)'!$A:$F,$2:$2,0)),VLOOKUP($B:$B,'IS(분기)'!$A:$F,$2:$2,0),0)</f>
        <v>0</v>
      </c>
      <c r="O892" s="207">
        <f>IF(ISNUMBER(VLOOKUP($B:$B,'IS(분기)'!$A:$F,$2:$2,0)),VLOOKUP($B:$B,'IS(분기)'!$A:$F,$2:$2,0),0)</f>
        <v>0</v>
      </c>
      <c r="P892" s="207">
        <f>IF(ISNUMBER(VLOOKUP($B:$B,'IS(분기)'!$A:$F,$2:$2,0)),VLOOKUP($B:$B,'IS(분기)'!$A:$F,$2:$2,0),0)</f>
        <v>0</v>
      </c>
      <c r="Q892" s="207">
        <f>IF(ISNUMBER(VLOOKUP($B:$B,'IS(분기)'!$A:$F,$2:$2,0)),VLOOKUP($B:$B,'IS(분기)'!$A:$F,$2:$2,0),0)</f>
        <v>0</v>
      </c>
      <c r="R892" s="207">
        <f>IF(ISNUMBER(VLOOKUP($B:$B,'IS(분기)'!$A:$F,$2:$2,0)),VLOOKUP($B:$B,'IS(분기)'!$A:$F,$2:$2,0),0)</f>
        <v>0</v>
      </c>
    </row>
    <row r="893" spans="1:18" s="192" customFormat="1" ht="12">
      <c r="A893" s="202">
        <v>124220</v>
      </c>
      <c r="B893" s="195" t="s">
        <v>616</v>
      </c>
      <c r="C893" s="217">
        <f>IF(ISNUMBER(VLOOKUP($B:$B,IS!$A:$F,$2:$2,0)),VLOOKUP($B:$B,IS!$A:$F,$2:$2,0),0)</f>
        <v>78424</v>
      </c>
      <c r="D893" s="217">
        <f>IF(ISNUMBER(VLOOKUP($B:$B,IS!$A:$F,$2:$2,0)),VLOOKUP($B:$B,IS!$A:$F,$2:$2,0),0)</f>
        <v>0</v>
      </c>
      <c r="E893" s="217">
        <f>IF(ISNUMBER(VLOOKUP($B:$B,IS!$A:$F,$2:$2,0)),VLOOKUP($B:$B,IS!$A:$F,$2:$2,0),0)</f>
        <v>0</v>
      </c>
      <c r="F893" s="217">
        <f>IF(ISNUMBER(VLOOKUP($B:$B,IS!$A:$F,$2:$2,0)),VLOOKUP($B:$B,IS!$A:$F,$2:$2,0),0)</f>
        <v>0</v>
      </c>
      <c r="G893" s="217">
        <f>IF(ISNUMBER(VLOOKUP($B:$B,IS!$A:$F,$2:$2,0)),VLOOKUP($B:$B,IS!$A:$F,$2:$2,0),0)</f>
        <v>0</v>
      </c>
      <c r="H893" s="207">
        <f>IF(ISNUMBER(VLOOKUP($B:$B,'IS(과거)'!$A:$F,$2:$2,0)),VLOOKUP($B:$B,'IS(과거)'!$A:$F,$2:$2,0),0)</f>
        <v>0</v>
      </c>
      <c r="I893" s="207">
        <f>IF(ISNUMBER(VLOOKUP($B:$B,'IS(과거)'!$A:$F,$2:$2,0)),VLOOKUP($B:$B,'IS(과거)'!$A:$F,$2:$2,0),0)</f>
        <v>0</v>
      </c>
      <c r="J893" s="207">
        <f>IF(ISNUMBER(VLOOKUP($B:$B,'IS(과거)'!$A:$F,$2:$2,0)),VLOOKUP($B:$B,'IS(과거)'!$A:$F,$2:$2,0),0)</f>
        <v>0</v>
      </c>
      <c r="K893" s="207">
        <f>IF(ISNUMBER(VLOOKUP($B:$B,'IS(과거)'!$A:$F,$2:$2,0)),VLOOKUP($B:$B,'IS(과거)'!$A:$F,$2:$2,0),0)</f>
        <v>0</v>
      </c>
      <c r="L893" s="207">
        <f>IF(ISNUMBER(VLOOKUP($B:$B,'IS(과거)'!$A:$F,$2:$2,0)),VLOOKUP($B:$B,'IS(과거)'!$A:$F,$2:$2,0),0)</f>
        <v>0</v>
      </c>
      <c r="N893" s="207">
        <f>IF(ISNUMBER(VLOOKUP($B:$B,'IS(분기)'!$A:$F,$2:$2,0)),VLOOKUP($B:$B,'IS(분기)'!$A:$F,$2:$2,0),0)</f>
        <v>0</v>
      </c>
      <c r="O893" s="207">
        <f>IF(ISNUMBER(VLOOKUP($B:$B,'IS(분기)'!$A:$F,$2:$2,0)),VLOOKUP($B:$B,'IS(분기)'!$A:$F,$2:$2,0),0)</f>
        <v>0</v>
      </c>
      <c r="P893" s="207">
        <f>IF(ISNUMBER(VLOOKUP($B:$B,'IS(분기)'!$A:$F,$2:$2,0)),VLOOKUP($B:$B,'IS(분기)'!$A:$F,$2:$2,0),0)</f>
        <v>0</v>
      </c>
      <c r="Q893" s="207">
        <f>IF(ISNUMBER(VLOOKUP($B:$B,'IS(분기)'!$A:$F,$2:$2,0)),VLOOKUP($B:$B,'IS(분기)'!$A:$F,$2:$2,0),0)</f>
        <v>0</v>
      </c>
      <c r="R893" s="207">
        <f>IF(ISNUMBER(VLOOKUP($B:$B,'IS(분기)'!$A:$F,$2:$2,0)),VLOOKUP($B:$B,'IS(분기)'!$A:$F,$2:$2,0),0)</f>
        <v>0</v>
      </c>
    </row>
    <row r="894" spans="1:18" s="192" customFormat="1" ht="12">
      <c r="A894" s="202">
        <v>124221</v>
      </c>
      <c r="B894" s="195" t="s">
        <v>617</v>
      </c>
      <c r="C894" s="217">
        <f>IF(ISNUMBER(VLOOKUP($B:$B,IS!$A:$F,$2:$2,0)),VLOOKUP($B:$B,IS!$A:$F,$2:$2,0),0)</f>
        <v>1653</v>
      </c>
      <c r="D894" s="217">
        <f>IF(ISNUMBER(VLOOKUP($B:$B,IS!$A:$F,$2:$2,0)),VLOOKUP($B:$B,IS!$A:$F,$2:$2,0),0)</f>
        <v>0</v>
      </c>
      <c r="E894" s="217">
        <f>IF(ISNUMBER(VLOOKUP($B:$B,IS!$A:$F,$2:$2,0)),VLOOKUP($B:$B,IS!$A:$F,$2:$2,0),0)</f>
        <v>0</v>
      </c>
      <c r="F894" s="217">
        <f>IF(ISNUMBER(VLOOKUP($B:$B,IS!$A:$F,$2:$2,0)),VLOOKUP($B:$B,IS!$A:$F,$2:$2,0),0)</f>
        <v>0</v>
      </c>
      <c r="G894" s="217">
        <f>IF(ISNUMBER(VLOOKUP($B:$B,IS!$A:$F,$2:$2,0)),VLOOKUP($B:$B,IS!$A:$F,$2:$2,0),0)</f>
        <v>0</v>
      </c>
      <c r="H894" s="207">
        <f>IF(ISNUMBER(VLOOKUP($B:$B,'IS(과거)'!$A:$F,$2:$2,0)),VLOOKUP($B:$B,'IS(과거)'!$A:$F,$2:$2,0),0)</f>
        <v>0</v>
      </c>
      <c r="I894" s="207">
        <f>IF(ISNUMBER(VLOOKUP($B:$B,'IS(과거)'!$A:$F,$2:$2,0)),VLOOKUP($B:$B,'IS(과거)'!$A:$F,$2:$2,0),0)</f>
        <v>0</v>
      </c>
      <c r="J894" s="207">
        <f>IF(ISNUMBER(VLOOKUP($B:$B,'IS(과거)'!$A:$F,$2:$2,0)),VLOOKUP($B:$B,'IS(과거)'!$A:$F,$2:$2,0),0)</f>
        <v>0</v>
      </c>
      <c r="K894" s="207">
        <f>IF(ISNUMBER(VLOOKUP($B:$B,'IS(과거)'!$A:$F,$2:$2,0)),VLOOKUP($B:$B,'IS(과거)'!$A:$F,$2:$2,0),0)</f>
        <v>0</v>
      </c>
      <c r="L894" s="207">
        <f>IF(ISNUMBER(VLOOKUP($B:$B,'IS(과거)'!$A:$F,$2:$2,0)),VLOOKUP($B:$B,'IS(과거)'!$A:$F,$2:$2,0),0)</f>
        <v>0</v>
      </c>
      <c r="N894" s="207">
        <f>IF(ISNUMBER(VLOOKUP($B:$B,'IS(분기)'!$A:$F,$2:$2,0)),VLOOKUP($B:$B,'IS(분기)'!$A:$F,$2:$2,0),0)</f>
        <v>0</v>
      </c>
      <c r="O894" s="207">
        <f>IF(ISNUMBER(VLOOKUP($B:$B,'IS(분기)'!$A:$F,$2:$2,0)),VLOOKUP($B:$B,'IS(분기)'!$A:$F,$2:$2,0),0)</f>
        <v>0</v>
      </c>
      <c r="P894" s="207">
        <f>IF(ISNUMBER(VLOOKUP($B:$B,'IS(분기)'!$A:$F,$2:$2,0)),VLOOKUP($B:$B,'IS(분기)'!$A:$F,$2:$2,0),0)</f>
        <v>0</v>
      </c>
      <c r="Q894" s="207">
        <f>IF(ISNUMBER(VLOOKUP($B:$B,'IS(분기)'!$A:$F,$2:$2,0)),VLOOKUP($B:$B,'IS(분기)'!$A:$F,$2:$2,0),0)</f>
        <v>0</v>
      </c>
      <c r="R894" s="207">
        <f>IF(ISNUMBER(VLOOKUP($B:$B,'IS(분기)'!$A:$F,$2:$2,0)),VLOOKUP($B:$B,'IS(분기)'!$A:$F,$2:$2,0),0)</f>
        <v>0</v>
      </c>
    </row>
    <row r="895" spans="1:18" s="192" customFormat="1" ht="12">
      <c r="A895" s="202">
        <v>124222</v>
      </c>
      <c r="B895" s="195" t="s">
        <v>618</v>
      </c>
      <c r="C895" s="217">
        <f>IF(ISNUMBER(VLOOKUP($B:$B,IS!$A:$F,$2:$2,0)),VLOOKUP($B:$B,IS!$A:$F,$2:$2,0),0)</f>
        <v>48307</v>
      </c>
      <c r="D895" s="217">
        <f>IF(ISNUMBER(VLOOKUP($B:$B,IS!$A:$F,$2:$2,0)),VLOOKUP($B:$B,IS!$A:$F,$2:$2,0),0)</f>
        <v>0</v>
      </c>
      <c r="E895" s="217">
        <f>IF(ISNUMBER(VLOOKUP($B:$B,IS!$A:$F,$2:$2,0)),VLOOKUP($B:$B,IS!$A:$F,$2:$2,0),0)</f>
        <v>0</v>
      </c>
      <c r="F895" s="217">
        <f>IF(ISNUMBER(VLOOKUP($B:$B,IS!$A:$F,$2:$2,0)),VLOOKUP($B:$B,IS!$A:$F,$2:$2,0),0)</f>
        <v>0</v>
      </c>
      <c r="G895" s="217">
        <f>IF(ISNUMBER(VLOOKUP($B:$B,IS!$A:$F,$2:$2,0)),VLOOKUP($B:$B,IS!$A:$F,$2:$2,0),0)</f>
        <v>0</v>
      </c>
      <c r="H895" s="207">
        <f>IF(ISNUMBER(VLOOKUP($B:$B,'IS(과거)'!$A:$F,$2:$2,0)),VLOOKUP($B:$B,'IS(과거)'!$A:$F,$2:$2,0),0)</f>
        <v>0</v>
      </c>
      <c r="I895" s="207">
        <f>IF(ISNUMBER(VLOOKUP($B:$B,'IS(과거)'!$A:$F,$2:$2,0)),VLOOKUP($B:$B,'IS(과거)'!$A:$F,$2:$2,0),0)</f>
        <v>0</v>
      </c>
      <c r="J895" s="207">
        <f>IF(ISNUMBER(VLOOKUP($B:$B,'IS(과거)'!$A:$F,$2:$2,0)),VLOOKUP($B:$B,'IS(과거)'!$A:$F,$2:$2,0),0)</f>
        <v>0</v>
      </c>
      <c r="K895" s="207">
        <f>IF(ISNUMBER(VLOOKUP($B:$B,'IS(과거)'!$A:$F,$2:$2,0)),VLOOKUP($B:$B,'IS(과거)'!$A:$F,$2:$2,0),0)</f>
        <v>0</v>
      </c>
      <c r="L895" s="207">
        <f>IF(ISNUMBER(VLOOKUP($B:$B,'IS(과거)'!$A:$F,$2:$2,0)),VLOOKUP($B:$B,'IS(과거)'!$A:$F,$2:$2,0),0)</f>
        <v>0</v>
      </c>
      <c r="N895" s="207">
        <f>IF(ISNUMBER(VLOOKUP($B:$B,'IS(분기)'!$A:$F,$2:$2,0)),VLOOKUP($B:$B,'IS(분기)'!$A:$F,$2:$2,0),0)</f>
        <v>0</v>
      </c>
      <c r="O895" s="207">
        <f>IF(ISNUMBER(VLOOKUP($B:$B,'IS(분기)'!$A:$F,$2:$2,0)),VLOOKUP($B:$B,'IS(분기)'!$A:$F,$2:$2,0),0)</f>
        <v>0</v>
      </c>
      <c r="P895" s="207">
        <f>IF(ISNUMBER(VLOOKUP($B:$B,'IS(분기)'!$A:$F,$2:$2,0)),VLOOKUP($B:$B,'IS(분기)'!$A:$F,$2:$2,0),0)</f>
        <v>0</v>
      </c>
      <c r="Q895" s="207">
        <f>IF(ISNUMBER(VLOOKUP($B:$B,'IS(분기)'!$A:$F,$2:$2,0)),VLOOKUP($B:$B,'IS(분기)'!$A:$F,$2:$2,0),0)</f>
        <v>0</v>
      </c>
      <c r="R895" s="207">
        <f>IF(ISNUMBER(VLOOKUP($B:$B,'IS(분기)'!$A:$F,$2:$2,0)),VLOOKUP($B:$B,'IS(분기)'!$A:$F,$2:$2,0),0)</f>
        <v>0</v>
      </c>
    </row>
    <row r="896" spans="1:18" s="192" customFormat="1" ht="12">
      <c r="A896" s="202">
        <v>124223</v>
      </c>
      <c r="B896" s="195" t="s">
        <v>619</v>
      </c>
      <c r="C896" s="217">
        <f>IF(ISNUMBER(VLOOKUP($B:$B,IS!$A:$F,$2:$2,0)),VLOOKUP($B:$B,IS!$A:$F,$2:$2,0),0)</f>
        <v>65</v>
      </c>
      <c r="D896" s="217">
        <f>IF(ISNUMBER(VLOOKUP($B:$B,IS!$A:$F,$2:$2,0)),VLOOKUP($B:$B,IS!$A:$F,$2:$2,0),0)</f>
        <v>0</v>
      </c>
      <c r="E896" s="217">
        <f>IF(ISNUMBER(VLOOKUP($B:$B,IS!$A:$F,$2:$2,0)),VLOOKUP($B:$B,IS!$A:$F,$2:$2,0),0)</f>
        <v>0</v>
      </c>
      <c r="F896" s="217">
        <f>IF(ISNUMBER(VLOOKUP($B:$B,IS!$A:$F,$2:$2,0)),VLOOKUP($B:$B,IS!$A:$F,$2:$2,0),0)</f>
        <v>0</v>
      </c>
      <c r="G896" s="217">
        <f>IF(ISNUMBER(VLOOKUP($B:$B,IS!$A:$F,$2:$2,0)),VLOOKUP($B:$B,IS!$A:$F,$2:$2,0),0)</f>
        <v>0</v>
      </c>
      <c r="H896" s="207">
        <f>IF(ISNUMBER(VLOOKUP($B:$B,'IS(과거)'!$A:$F,$2:$2,0)),VLOOKUP($B:$B,'IS(과거)'!$A:$F,$2:$2,0),0)</f>
        <v>0</v>
      </c>
      <c r="I896" s="207">
        <f>IF(ISNUMBER(VLOOKUP($B:$B,'IS(과거)'!$A:$F,$2:$2,0)),VLOOKUP($B:$B,'IS(과거)'!$A:$F,$2:$2,0),0)</f>
        <v>0</v>
      </c>
      <c r="J896" s="207">
        <f>IF(ISNUMBER(VLOOKUP($B:$B,'IS(과거)'!$A:$F,$2:$2,0)),VLOOKUP($B:$B,'IS(과거)'!$A:$F,$2:$2,0),0)</f>
        <v>0</v>
      </c>
      <c r="K896" s="207">
        <f>IF(ISNUMBER(VLOOKUP($B:$B,'IS(과거)'!$A:$F,$2:$2,0)),VLOOKUP($B:$B,'IS(과거)'!$A:$F,$2:$2,0),0)</f>
        <v>0</v>
      </c>
      <c r="L896" s="207">
        <f>IF(ISNUMBER(VLOOKUP($B:$B,'IS(과거)'!$A:$F,$2:$2,0)),VLOOKUP($B:$B,'IS(과거)'!$A:$F,$2:$2,0),0)</f>
        <v>0</v>
      </c>
      <c r="N896" s="207">
        <f>IF(ISNUMBER(VLOOKUP($B:$B,'IS(분기)'!$A:$F,$2:$2,0)),VLOOKUP($B:$B,'IS(분기)'!$A:$F,$2:$2,0),0)</f>
        <v>0</v>
      </c>
      <c r="O896" s="207">
        <f>IF(ISNUMBER(VLOOKUP($B:$B,'IS(분기)'!$A:$F,$2:$2,0)),VLOOKUP($B:$B,'IS(분기)'!$A:$F,$2:$2,0),0)</f>
        <v>0</v>
      </c>
      <c r="P896" s="207">
        <f>IF(ISNUMBER(VLOOKUP($B:$B,'IS(분기)'!$A:$F,$2:$2,0)),VLOOKUP($B:$B,'IS(분기)'!$A:$F,$2:$2,0),0)</f>
        <v>0</v>
      </c>
      <c r="Q896" s="207">
        <f>IF(ISNUMBER(VLOOKUP($B:$B,'IS(분기)'!$A:$F,$2:$2,0)),VLOOKUP($B:$B,'IS(분기)'!$A:$F,$2:$2,0),0)</f>
        <v>0</v>
      </c>
      <c r="R896" s="207">
        <f>IF(ISNUMBER(VLOOKUP($B:$B,'IS(분기)'!$A:$F,$2:$2,0)),VLOOKUP($B:$B,'IS(분기)'!$A:$F,$2:$2,0),0)</f>
        <v>0</v>
      </c>
    </row>
    <row r="897" spans="1:18" s="192" customFormat="1" ht="12">
      <c r="A897" s="202">
        <v>124224</v>
      </c>
      <c r="B897" s="195" t="s">
        <v>774</v>
      </c>
      <c r="C897" s="217">
        <f>IF(ISNUMBER(VLOOKUP($B:$B,IS!$A:$F,$2:$2,0)),VLOOKUP($B:$B,IS!$A:$F,$2:$2,0),0)</f>
        <v>604713</v>
      </c>
      <c r="D897" s="217">
        <f>IF(ISNUMBER(VLOOKUP($B:$B,IS!$A:$F,$2:$2,0)),VLOOKUP($B:$B,IS!$A:$F,$2:$2,0),0)</f>
        <v>0</v>
      </c>
      <c r="E897" s="217">
        <f>IF(ISNUMBER(VLOOKUP($B:$B,IS!$A:$F,$2:$2,0)),VLOOKUP($B:$B,IS!$A:$F,$2:$2,0),0)</f>
        <v>0</v>
      </c>
      <c r="F897" s="217">
        <f>IF(ISNUMBER(VLOOKUP($B:$B,IS!$A:$F,$2:$2,0)),VLOOKUP($B:$B,IS!$A:$F,$2:$2,0),0)</f>
        <v>0</v>
      </c>
      <c r="G897" s="217">
        <f>IF(ISNUMBER(VLOOKUP($B:$B,IS!$A:$F,$2:$2,0)),VLOOKUP($B:$B,IS!$A:$F,$2:$2,0),0)</f>
        <v>0</v>
      </c>
      <c r="H897" s="207">
        <f>IF(ISNUMBER(VLOOKUP($B:$B,'IS(과거)'!$A:$F,$2:$2,0)),VLOOKUP($B:$B,'IS(과거)'!$A:$F,$2:$2,0),0)</f>
        <v>0</v>
      </c>
      <c r="I897" s="207">
        <f>IF(ISNUMBER(VLOOKUP($B:$B,'IS(과거)'!$A:$F,$2:$2,0)),VLOOKUP($B:$B,'IS(과거)'!$A:$F,$2:$2,0),0)</f>
        <v>0</v>
      </c>
      <c r="J897" s="207">
        <f>IF(ISNUMBER(VLOOKUP($B:$B,'IS(과거)'!$A:$F,$2:$2,0)),VLOOKUP($B:$B,'IS(과거)'!$A:$F,$2:$2,0),0)</f>
        <v>0</v>
      </c>
      <c r="K897" s="207">
        <f>IF(ISNUMBER(VLOOKUP($B:$B,'IS(과거)'!$A:$F,$2:$2,0)),VLOOKUP($B:$B,'IS(과거)'!$A:$F,$2:$2,0),0)</f>
        <v>0</v>
      </c>
      <c r="L897" s="207">
        <f>IF(ISNUMBER(VLOOKUP($B:$B,'IS(과거)'!$A:$F,$2:$2,0)),VLOOKUP($B:$B,'IS(과거)'!$A:$F,$2:$2,0),0)</f>
        <v>0</v>
      </c>
      <c r="N897" s="207">
        <f>IF(ISNUMBER(VLOOKUP($B:$B,'IS(분기)'!$A:$F,$2:$2,0)),VLOOKUP($B:$B,'IS(분기)'!$A:$F,$2:$2,0),0)</f>
        <v>0</v>
      </c>
      <c r="O897" s="207">
        <f>IF(ISNUMBER(VLOOKUP($B:$B,'IS(분기)'!$A:$F,$2:$2,0)),VLOOKUP($B:$B,'IS(분기)'!$A:$F,$2:$2,0),0)</f>
        <v>0</v>
      </c>
      <c r="P897" s="207">
        <f>IF(ISNUMBER(VLOOKUP($B:$B,'IS(분기)'!$A:$F,$2:$2,0)),VLOOKUP($B:$B,'IS(분기)'!$A:$F,$2:$2,0),0)</f>
        <v>0</v>
      </c>
      <c r="Q897" s="207">
        <f>IF(ISNUMBER(VLOOKUP($B:$B,'IS(분기)'!$A:$F,$2:$2,0)),VLOOKUP($B:$B,'IS(분기)'!$A:$F,$2:$2,0),0)</f>
        <v>0</v>
      </c>
      <c r="R897" s="207">
        <f>IF(ISNUMBER(VLOOKUP($B:$B,'IS(분기)'!$A:$F,$2:$2,0)),VLOOKUP($B:$B,'IS(분기)'!$A:$F,$2:$2,0),0)</f>
        <v>0</v>
      </c>
    </row>
    <row r="898" spans="1:18" s="192" customFormat="1" ht="12">
      <c r="A898" s="202">
        <v>124226</v>
      </c>
      <c r="B898" s="195" t="s">
        <v>620</v>
      </c>
      <c r="C898" s="217">
        <f>IF(ISNUMBER(VLOOKUP($B:$B,IS!$A:$F,$2:$2,0)),VLOOKUP($B:$B,IS!$A:$F,$2:$2,0),0)</f>
        <v>0</v>
      </c>
      <c r="D898" s="217">
        <f>IF(ISNUMBER(VLOOKUP($B:$B,IS!$A:$F,$2:$2,0)),VLOOKUP($B:$B,IS!$A:$F,$2:$2,0),0)</f>
        <v>0</v>
      </c>
      <c r="E898" s="217">
        <f>IF(ISNUMBER(VLOOKUP($B:$B,IS!$A:$F,$2:$2,0)),VLOOKUP($B:$B,IS!$A:$F,$2:$2,0),0)</f>
        <v>0</v>
      </c>
      <c r="F898" s="217">
        <f>IF(ISNUMBER(VLOOKUP($B:$B,IS!$A:$F,$2:$2,0)),VLOOKUP($B:$B,IS!$A:$F,$2:$2,0),0)</f>
        <v>0</v>
      </c>
      <c r="G898" s="217">
        <f>IF(ISNUMBER(VLOOKUP($B:$B,IS!$A:$F,$2:$2,0)),VLOOKUP($B:$B,IS!$A:$F,$2:$2,0),0)</f>
        <v>0</v>
      </c>
      <c r="H898" s="207">
        <f>IF(ISNUMBER(VLOOKUP($B:$B,'IS(과거)'!$A:$F,$2:$2,0)),VLOOKUP($B:$B,'IS(과거)'!$A:$F,$2:$2,0),0)</f>
        <v>0</v>
      </c>
      <c r="I898" s="207">
        <f>IF(ISNUMBER(VLOOKUP($B:$B,'IS(과거)'!$A:$F,$2:$2,0)),VLOOKUP($B:$B,'IS(과거)'!$A:$F,$2:$2,0),0)</f>
        <v>0</v>
      </c>
      <c r="J898" s="207">
        <f>IF(ISNUMBER(VLOOKUP($B:$B,'IS(과거)'!$A:$F,$2:$2,0)),VLOOKUP($B:$B,'IS(과거)'!$A:$F,$2:$2,0),0)</f>
        <v>0</v>
      </c>
      <c r="K898" s="207">
        <f>IF(ISNUMBER(VLOOKUP($B:$B,'IS(과거)'!$A:$F,$2:$2,0)),VLOOKUP($B:$B,'IS(과거)'!$A:$F,$2:$2,0),0)</f>
        <v>0</v>
      </c>
      <c r="L898" s="207">
        <f>IF(ISNUMBER(VLOOKUP($B:$B,'IS(과거)'!$A:$F,$2:$2,0)),VLOOKUP($B:$B,'IS(과거)'!$A:$F,$2:$2,0),0)</f>
        <v>0</v>
      </c>
      <c r="N898" s="207">
        <f>IF(ISNUMBER(VLOOKUP($B:$B,'IS(분기)'!$A:$F,$2:$2,0)),VLOOKUP($B:$B,'IS(분기)'!$A:$F,$2:$2,0),0)</f>
        <v>0</v>
      </c>
      <c r="O898" s="207">
        <f>IF(ISNUMBER(VLOOKUP($B:$B,'IS(분기)'!$A:$F,$2:$2,0)),VLOOKUP($B:$B,'IS(분기)'!$A:$F,$2:$2,0),0)</f>
        <v>0</v>
      </c>
      <c r="P898" s="207">
        <f>IF(ISNUMBER(VLOOKUP($B:$B,'IS(분기)'!$A:$F,$2:$2,0)),VLOOKUP($B:$B,'IS(분기)'!$A:$F,$2:$2,0),0)</f>
        <v>0</v>
      </c>
      <c r="Q898" s="207">
        <f>IF(ISNUMBER(VLOOKUP($B:$B,'IS(분기)'!$A:$F,$2:$2,0)),VLOOKUP($B:$B,'IS(분기)'!$A:$F,$2:$2,0),0)</f>
        <v>0</v>
      </c>
      <c r="R898" s="207">
        <f>IF(ISNUMBER(VLOOKUP($B:$B,'IS(분기)'!$A:$F,$2:$2,0)),VLOOKUP($B:$B,'IS(분기)'!$A:$F,$2:$2,0),0)</f>
        <v>0</v>
      </c>
    </row>
    <row r="899" spans="1:18" s="192" customFormat="1" ht="12">
      <c r="A899" s="202">
        <v>124227</v>
      </c>
      <c r="B899" s="195" t="s">
        <v>621</v>
      </c>
      <c r="C899" s="217">
        <f>IF(ISNUMBER(VLOOKUP($B:$B,IS!$A:$F,$2:$2,0)),VLOOKUP($B:$B,IS!$A:$F,$2:$2,0),0)</f>
        <v>0</v>
      </c>
      <c r="D899" s="217">
        <f>IF(ISNUMBER(VLOOKUP($B:$B,IS!$A:$F,$2:$2,0)),VLOOKUP($B:$B,IS!$A:$F,$2:$2,0),0)</f>
        <v>0</v>
      </c>
      <c r="E899" s="217">
        <f>IF(ISNUMBER(VLOOKUP($B:$B,IS!$A:$F,$2:$2,0)),VLOOKUP($B:$B,IS!$A:$F,$2:$2,0),0)</f>
        <v>0</v>
      </c>
      <c r="F899" s="217">
        <f>IF(ISNUMBER(VLOOKUP($B:$B,IS!$A:$F,$2:$2,0)),VLOOKUP($B:$B,IS!$A:$F,$2:$2,0),0)</f>
        <v>0</v>
      </c>
      <c r="G899" s="217">
        <f>IF(ISNUMBER(VLOOKUP($B:$B,IS!$A:$F,$2:$2,0)),VLOOKUP($B:$B,IS!$A:$F,$2:$2,0),0)</f>
        <v>0</v>
      </c>
      <c r="H899" s="207">
        <f>IF(ISNUMBER(VLOOKUP($B:$B,'IS(과거)'!$A:$F,$2:$2,0)),VLOOKUP($B:$B,'IS(과거)'!$A:$F,$2:$2,0),0)</f>
        <v>0</v>
      </c>
      <c r="I899" s="207">
        <f>IF(ISNUMBER(VLOOKUP($B:$B,'IS(과거)'!$A:$F,$2:$2,0)),VLOOKUP($B:$B,'IS(과거)'!$A:$F,$2:$2,0),0)</f>
        <v>0</v>
      </c>
      <c r="J899" s="207">
        <f>IF(ISNUMBER(VLOOKUP($B:$B,'IS(과거)'!$A:$F,$2:$2,0)),VLOOKUP($B:$B,'IS(과거)'!$A:$F,$2:$2,0),0)</f>
        <v>0</v>
      </c>
      <c r="K899" s="207">
        <f>IF(ISNUMBER(VLOOKUP($B:$B,'IS(과거)'!$A:$F,$2:$2,0)),VLOOKUP($B:$B,'IS(과거)'!$A:$F,$2:$2,0),0)</f>
        <v>0</v>
      </c>
      <c r="L899" s="207">
        <f>IF(ISNUMBER(VLOOKUP($B:$B,'IS(과거)'!$A:$F,$2:$2,0)),VLOOKUP($B:$B,'IS(과거)'!$A:$F,$2:$2,0),0)</f>
        <v>0</v>
      </c>
      <c r="N899" s="207">
        <f>IF(ISNUMBER(VLOOKUP($B:$B,'IS(분기)'!$A:$F,$2:$2,0)),VLOOKUP($B:$B,'IS(분기)'!$A:$F,$2:$2,0),0)</f>
        <v>0</v>
      </c>
      <c r="O899" s="207">
        <f>IF(ISNUMBER(VLOOKUP($B:$B,'IS(분기)'!$A:$F,$2:$2,0)),VLOOKUP($B:$B,'IS(분기)'!$A:$F,$2:$2,0),0)</f>
        <v>0</v>
      </c>
      <c r="P899" s="207">
        <f>IF(ISNUMBER(VLOOKUP($B:$B,'IS(분기)'!$A:$F,$2:$2,0)),VLOOKUP($B:$B,'IS(분기)'!$A:$F,$2:$2,0),0)</f>
        <v>0</v>
      </c>
      <c r="Q899" s="207">
        <f>IF(ISNUMBER(VLOOKUP($B:$B,'IS(분기)'!$A:$F,$2:$2,0)),VLOOKUP($B:$B,'IS(분기)'!$A:$F,$2:$2,0),0)</f>
        <v>0</v>
      </c>
      <c r="R899" s="207">
        <f>IF(ISNUMBER(VLOOKUP($B:$B,'IS(분기)'!$A:$F,$2:$2,0)),VLOOKUP($B:$B,'IS(분기)'!$A:$F,$2:$2,0),0)</f>
        <v>0</v>
      </c>
    </row>
    <row r="900" spans="1:18" s="192" customFormat="1" ht="12">
      <c r="A900" s="202">
        <v>124228</v>
      </c>
      <c r="B900" s="195" t="s">
        <v>622</v>
      </c>
      <c r="C900" s="217">
        <f>IF(ISNUMBER(VLOOKUP($B:$B,IS!$A:$F,$2:$2,0)),VLOOKUP($B:$B,IS!$A:$F,$2:$2,0),0)</f>
        <v>0</v>
      </c>
      <c r="D900" s="217">
        <f>IF(ISNUMBER(VLOOKUP($B:$B,IS!$A:$F,$2:$2,0)),VLOOKUP($B:$B,IS!$A:$F,$2:$2,0),0)</f>
        <v>0</v>
      </c>
      <c r="E900" s="217">
        <f>IF(ISNUMBER(VLOOKUP($B:$B,IS!$A:$F,$2:$2,0)),VLOOKUP($B:$B,IS!$A:$F,$2:$2,0),0)</f>
        <v>0</v>
      </c>
      <c r="F900" s="217">
        <f>IF(ISNUMBER(VLOOKUP($B:$B,IS!$A:$F,$2:$2,0)),VLOOKUP($B:$B,IS!$A:$F,$2:$2,0),0)</f>
        <v>0</v>
      </c>
      <c r="G900" s="217">
        <f>IF(ISNUMBER(VLOOKUP($B:$B,IS!$A:$F,$2:$2,0)),VLOOKUP($B:$B,IS!$A:$F,$2:$2,0),0)</f>
        <v>0</v>
      </c>
      <c r="H900" s="207">
        <f>IF(ISNUMBER(VLOOKUP($B:$B,'IS(과거)'!$A:$F,$2:$2,0)),VLOOKUP($B:$B,'IS(과거)'!$A:$F,$2:$2,0),0)</f>
        <v>0</v>
      </c>
      <c r="I900" s="207">
        <f>IF(ISNUMBER(VLOOKUP($B:$B,'IS(과거)'!$A:$F,$2:$2,0)),VLOOKUP($B:$B,'IS(과거)'!$A:$F,$2:$2,0),0)</f>
        <v>0</v>
      </c>
      <c r="J900" s="207">
        <f>IF(ISNUMBER(VLOOKUP($B:$B,'IS(과거)'!$A:$F,$2:$2,0)),VLOOKUP($B:$B,'IS(과거)'!$A:$F,$2:$2,0),0)</f>
        <v>0</v>
      </c>
      <c r="K900" s="207">
        <f>IF(ISNUMBER(VLOOKUP($B:$B,'IS(과거)'!$A:$F,$2:$2,0)),VLOOKUP($B:$B,'IS(과거)'!$A:$F,$2:$2,0),0)</f>
        <v>0</v>
      </c>
      <c r="L900" s="207">
        <f>IF(ISNUMBER(VLOOKUP($B:$B,'IS(과거)'!$A:$F,$2:$2,0)),VLOOKUP($B:$B,'IS(과거)'!$A:$F,$2:$2,0),0)</f>
        <v>0</v>
      </c>
      <c r="N900" s="207">
        <f>IF(ISNUMBER(VLOOKUP($B:$B,'IS(분기)'!$A:$F,$2:$2,0)),VLOOKUP($B:$B,'IS(분기)'!$A:$F,$2:$2,0),0)</f>
        <v>0</v>
      </c>
      <c r="O900" s="207">
        <f>IF(ISNUMBER(VLOOKUP($B:$B,'IS(분기)'!$A:$F,$2:$2,0)),VLOOKUP($B:$B,'IS(분기)'!$A:$F,$2:$2,0),0)</f>
        <v>0</v>
      </c>
      <c r="P900" s="207">
        <f>IF(ISNUMBER(VLOOKUP($B:$B,'IS(분기)'!$A:$F,$2:$2,0)),VLOOKUP($B:$B,'IS(분기)'!$A:$F,$2:$2,0),0)</f>
        <v>0</v>
      </c>
      <c r="Q900" s="207">
        <f>IF(ISNUMBER(VLOOKUP($B:$B,'IS(분기)'!$A:$F,$2:$2,0)),VLOOKUP($B:$B,'IS(분기)'!$A:$F,$2:$2,0),0)</f>
        <v>0</v>
      </c>
      <c r="R900" s="207">
        <f>IF(ISNUMBER(VLOOKUP($B:$B,'IS(분기)'!$A:$F,$2:$2,0)),VLOOKUP($B:$B,'IS(분기)'!$A:$F,$2:$2,0),0)</f>
        <v>0</v>
      </c>
    </row>
    <row r="901" spans="1:18" s="192" customFormat="1" ht="12">
      <c r="A901" s="202">
        <v>124225</v>
      </c>
      <c r="B901" s="195" t="s">
        <v>623</v>
      </c>
      <c r="C901" s="217">
        <f>IF(ISNUMBER(VLOOKUP($B:$B,IS!$A:$F,$2:$2,0)),VLOOKUP($B:$B,IS!$A:$F,$2:$2,0),0)</f>
        <v>111743</v>
      </c>
      <c r="D901" s="217">
        <f>IF(ISNUMBER(VLOOKUP($B:$B,IS!$A:$F,$2:$2,0)),VLOOKUP($B:$B,IS!$A:$F,$2:$2,0),0)</f>
        <v>0</v>
      </c>
      <c r="E901" s="217">
        <f>IF(ISNUMBER(VLOOKUP($B:$B,IS!$A:$F,$2:$2,0)),VLOOKUP($B:$B,IS!$A:$F,$2:$2,0),0)</f>
        <v>0</v>
      </c>
      <c r="F901" s="217">
        <f>IF(ISNUMBER(VLOOKUP($B:$B,IS!$A:$F,$2:$2,0)),VLOOKUP($B:$B,IS!$A:$F,$2:$2,0),0)</f>
        <v>0</v>
      </c>
      <c r="G901" s="217">
        <f>IF(ISNUMBER(VLOOKUP($B:$B,IS!$A:$F,$2:$2,0)),VLOOKUP($B:$B,IS!$A:$F,$2:$2,0),0)</f>
        <v>0</v>
      </c>
      <c r="H901" s="207">
        <f>IF(ISNUMBER(VLOOKUP($B:$B,'IS(과거)'!$A:$F,$2:$2,0)),VLOOKUP($B:$B,'IS(과거)'!$A:$F,$2:$2,0),0)</f>
        <v>0</v>
      </c>
      <c r="I901" s="207">
        <f>IF(ISNUMBER(VLOOKUP($B:$B,'IS(과거)'!$A:$F,$2:$2,0)),VLOOKUP($B:$B,'IS(과거)'!$A:$F,$2:$2,0),0)</f>
        <v>0</v>
      </c>
      <c r="J901" s="207">
        <f>IF(ISNUMBER(VLOOKUP($B:$B,'IS(과거)'!$A:$F,$2:$2,0)),VLOOKUP($B:$B,'IS(과거)'!$A:$F,$2:$2,0),0)</f>
        <v>0</v>
      </c>
      <c r="K901" s="207">
        <f>IF(ISNUMBER(VLOOKUP($B:$B,'IS(과거)'!$A:$F,$2:$2,0)),VLOOKUP($B:$B,'IS(과거)'!$A:$F,$2:$2,0),0)</f>
        <v>0</v>
      </c>
      <c r="L901" s="207">
        <f>IF(ISNUMBER(VLOOKUP($B:$B,'IS(과거)'!$A:$F,$2:$2,0)),VLOOKUP($B:$B,'IS(과거)'!$A:$F,$2:$2,0),0)</f>
        <v>0</v>
      </c>
      <c r="N901" s="207">
        <f>IF(ISNUMBER(VLOOKUP($B:$B,'IS(분기)'!$A:$F,$2:$2,0)),VLOOKUP($B:$B,'IS(분기)'!$A:$F,$2:$2,0),0)</f>
        <v>0</v>
      </c>
      <c r="O901" s="207">
        <f>IF(ISNUMBER(VLOOKUP($B:$B,'IS(분기)'!$A:$F,$2:$2,0)),VLOOKUP($B:$B,'IS(분기)'!$A:$F,$2:$2,0),0)</f>
        <v>0</v>
      </c>
      <c r="P901" s="207">
        <f>IF(ISNUMBER(VLOOKUP($B:$B,'IS(분기)'!$A:$F,$2:$2,0)),VLOOKUP($B:$B,'IS(분기)'!$A:$F,$2:$2,0),0)</f>
        <v>0</v>
      </c>
      <c r="Q901" s="207">
        <f>IF(ISNUMBER(VLOOKUP($B:$B,'IS(분기)'!$A:$F,$2:$2,0)),VLOOKUP($B:$B,'IS(분기)'!$A:$F,$2:$2,0),0)</f>
        <v>0</v>
      </c>
      <c r="R901" s="207">
        <f>IF(ISNUMBER(VLOOKUP($B:$B,'IS(분기)'!$A:$F,$2:$2,0)),VLOOKUP($B:$B,'IS(분기)'!$A:$F,$2:$2,0),0)</f>
        <v>0</v>
      </c>
    </row>
    <row r="902" spans="1:18" s="192" customFormat="1" ht="12">
      <c r="A902" s="201">
        <v>124300</v>
      </c>
      <c r="B902" s="194" t="s">
        <v>1400</v>
      </c>
      <c r="C902" s="217">
        <f>IF(ISNUMBER(VLOOKUP($B:$B,IS!$A:$F,$2:$2,0)),VLOOKUP($B:$B,IS!$A:$F,$2:$2,0),0)</f>
        <v>242966</v>
      </c>
      <c r="D902" s="217">
        <f>IF(ISNUMBER(VLOOKUP($B:$B,IS!$A:$F,$2:$2,0)),VLOOKUP($B:$B,IS!$A:$F,$2:$2,0),0)</f>
        <v>0</v>
      </c>
      <c r="E902" s="217">
        <f>IF(ISNUMBER(VLOOKUP($B:$B,IS!$A:$F,$2:$2,0)),VLOOKUP($B:$B,IS!$A:$F,$2:$2,0),0)</f>
        <v>0</v>
      </c>
      <c r="F902" s="217">
        <f>IF(ISNUMBER(VLOOKUP($B:$B,IS!$A:$F,$2:$2,0)),VLOOKUP($B:$B,IS!$A:$F,$2:$2,0),0)</f>
        <v>0</v>
      </c>
      <c r="G902" s="217">
        <f>IF(ISNUMBER(VLOOKUP($B:$B,IS!$A:$F,$2:$2,0)),VLOOKUP($B:$B,IS!$A:$F,$2:$2,0),0)</f>
        <v>0</v>
      </c>
      <c r="H902" s="207">
        <f>IF(ISNUMBER(VLOOKUP($B:$B,'IS(과거)'!$A:$F,$2:$2,0)),VLOOKUP($B:$B,'IS(과거)'!$A:$F,$2:$2,0),0)</f>
        <v>0</v>
      </c>
      <c r="I902" s="207">
        <f>IF(ISNUMBER(VLOOKUP($B:$B,'IS(과거)'!$A:$F,$2:$2,0)),VLOOKUP($B:$B,'IS(과거)'!$A:$F,$2:$2,0),0)</f>
        <v>0</v>
      </c>
      <c r="J902" s="207">
        <f>IF(ISNUMBER(VLOOKUP($B:$B,'IS(과거)'!$A:$F,$2:$2,0)),VLOOKUP($B:$B,'IS(과거)'!$A:$F,$2:$2,0),0)</f>
        <v>0</v>
      </c>
      <c r="K902" s="207">
        <f>IF(ISNUMBER(VLOOKUP($B:$B,'IS(과거)'!$A:$F,$2:$2,0)),VLOOKUP($B:$B,'IS(과거)'!$A:$F,$2:$2,0),0)</f>
        <v>0</v>
      </c>
      <c r="L902" s="207">
        <f>IF(ISNUMBER(VLOOKUP($B:$B,'IS(과거)'!$A:$F,$2:$2,0)),VLOOKUP($B:$B,'IS(과거)'!$A:$F,$2:$2,0),0)</f>
        <v>0</v>
      </c>
      <c r="N902" s="207">
        <f>IF(ISNUMBER(VLOOKUP($B:$B,'IS(분기)'!$A:$F,$2:$2,0)),VLOOKUP($B:$B,'IS(분기)'!$A:$F,$2:$2,0),0)</f>
        <v>0</v>
      </c>
      <c r="O902" s="207">
        <f>IF(ISNUMBER(VLOOKUP($B:$B,'IS(분기)'!$A:$F,$2:$2,0)),VLOOKUP($B:$B,'IS(분기)'!$A:$F,$2:$2,0),0)</f>
        <v>0</v>
      </c>
      <c r="P902" s="207">
        <f>IF(ISNUMBER(VLOOKUP($B:$B,'IS(분기)'!$A:$F,$2:$2,0)),VLOOKUP($B:$B,'IS(분기)'!$A:$F,$2:$2,0),0)</f>
        <v>0</v>
      </c>
      <c r="Q902" s="207">
        <f>IF(ISNUMBER(VLOOKUP($B:$B,'IS(분기)'!$A:$F,$2:$2,0)),VLOOKUP($B:$B,'IS(분기)'!$A:$F,$2:$2,0),0)</f>
        <v>0</v>
      </c>
      <c r="R902" s="207">
        <f>IF(ISNUMBER(VLOOKUP($B:$B,'IS(분기)'!$A:$F,$2:$2,0)),VLOOKUP($B:$B,'IS(분기)'!$A:$F,$2:$2,0),0)</f>
        <v>0</v>
      </c>
    </row>
    <row r="903" spans="1:18" s="192" customFormat="1" ht="12">
      <c r="A903" s="202">
        <v>124311</v>
      </c>
      <c r="B903" s="195" t="s">
        <v>624</v>
      </c>
      <c r="C903" s="217">
        <f>IF(ISNUMBER(VLOOKUP($B:$B,IS!$A:$F,$2:$2,0)),VLOOKUP($B:$B,IS!$A:$F,$2:$2,0),0)</f>
        <v>57815</v>
      </c>
      <c r="D903" s="217">
        <f>IF(ISNUMBER(VLOOKUP($B:$B,IS!$A:$F,$2:$2,0)),VLOOKUP($B:$B,IS!$A:$F,$2:$2,0),0)</f>
        <v>0</v>
      </c>
      <c r="E903" s="217">
        <f>IF(ISNUMBER(VLOOKUP($B:$B,IS!$A:$F,$2:$2,0)),VLOOKUP($B:$B,IS!$A:$F,$2:$2,0),0)</f>
        <v>0</v>
      </c>
      <c r="F903" s="217">
        <f>IF(ISNUMBER(VLOOKUP($B:$B,IS!$A:$F,$2:$2,0)),VLOOKUP($B:$B,IS!$A:$F,$2:$2,0),0)</f>
        <v>0</v>
      </c>
      <c r="G903" s="217">
        <f>IF(ISNUMBER(VLOOKUP($B:$B,IS!$A:$F,$2:$2,0)),VLOOKUP($B:$B,IS!$A:$F,$2:$2,0),0)</f>
        <v>0</v>
      </c>
      <c r="H903" s="207">
        <f>IF(ISNUMBER(VLOOKUP($B:$B,'IS(과거)'!$A:$F,$2:$2,0)),VLOOKUP($B:$B,'IS(과거)'!$A:$F,$2:$2,0),0)</f>
        <v>0</v>
      </c>
      <c r="I903" s="207">
        <f>IF(ISNUMBER(VLOOKUP($B:$B,'IS(과거)'!$A:$F,$2:$2,0)),VLOOKUP($B:$B,'IS(과거)'!$A:$F,$2:$2,0),0)</f>
        <v>0</v>
      </c>
      <c r="J903" s="207">
        <f>IF(ISNUMBER(VLOOKUP($B:$B,'IS(과거)'!$A:$F,$2:$2,0)),VLOOKUP($B:$B,'IS(과거)'!$A:$F,$2:$2,0),0)</f>
        <v>0</v>
      </c>
      <c r="K903" s="207">
        <f>IF(ISNUMBER(VLOOKUP($B:$B,'IS(과거)'!$A:$F,$2:$2,0)),VLOOKUP($B:$B,'IS(과거)'!$A:$F,$2:$2,0),0)</f>
        <v>0</v>
      </c>
      <c r="L903" s="207">
        <f>IF(ISNUMBER(VLOOKUP($B:$B,'IS(과거)'!$A:$F,$2:$2,0)),VLOOKUP($B:$B,'IS(과거)'!$A:$F,$2:$2,0),0)</f>
        <v>0</v>
      </c>
      <c r="N903" s="207">
        <f>IF(ISNUMBER(VLOOKUP($B:$B,'IS(분기)'!$A:$F,$2:$2,0)),VLOOKUP($B:$B,'IS(분기)'!$A:$F,$2:$2,0),0)</f>
        <v>0</v>
      </c>
      <c r="O903" s="207">
        <f>IF(ISNUMBER(VLOOKUP($B:$B,'IS(분기)'!$A:$F,$2:$2,0)),VLOOKUP($B:$B,'IS(분기)'!$A:$F,$2:$2,0),0)</f>
        <v>0</v>
      </c>
      <c r="P903" s="207">
        <f>IF(ISNUMBER(VLOOKUP($B:$B,'IS(분기)'!$A:$F,$2:$2,0)),VLOOKUP($B:$B,'IS(분기)'!$A:$F,$2:$2,0),0)</f>
        <v>0</v>
      </c>
      <c r="Q903" s="207">
        <f>IF(ISNUMBER(VLOOKUP($B:$B,'IS(분기)'!$A:$F,$2:$2,0)),VLOOKUP($B:$B,'IS(분기)'!$A:$F,$2:$2,0),0)</f>
        <v>0</v>
      </c>
      <c r="R903" s="207">
        <f>IF(ISNUMBER(VLOOKUP($B:$B,'IS(분기)'!$A:$F,$2:$2,0)),VLOOKUP($B:$B,'IS(분기)'!$A:$F,$2:$2,0),0)</f>
        <v>0</v>
      </c>
    </row>
    <row r="904" spans="1:18" s="192" customFormat="1" ht="12">
      <c r="A904" s="202">
        <v>124312</v>
      </c>
      <c r="B904" s="195" t="s">
        <v>625</v>
      </c>
      <c r="C904" s="217">
        <f>IF(ISNUMBER(VLOOKUP($B:$B,IS!$A:$F,$2:$2,0)),VLOOKUP($B:$B,IS!$A:$F,$2:$2,0),0)</f>
        <v>82820</v>
      </c>
      <c r="D904" s="217">
        <f>IF(ISNUMBER(VLOOKUP($B:$B,IS!$A:$F,$2:$2,0)),VLOOKUP($B:$B,IS!$A:$F,$2:$2,0),0)</f>
        <v>0</v>
      </c>
      <c r="E904" s="217">
        <f>IF(ISNUMBER(VLOOKUP($B:$B,IS!$A:$F,$2:$2,0)),VLOOKUP($B:$B,IS!$A:$F,$2:$2,0),0)</f>
        <v>0</v>
      </c>
      <c r="F904" s="217">
        <f>IF(ISNUMBER(VLOOKUP($B:$B,IS!$A:$F,$2:$2,0)),VLOOKUP($B:$B,IS!$A:$F,$2:$2,0),0)</f>
        <v>0</v>
      </c>
      <c r="G904" s="217">
        <f>IF(ISNUMBER(VLOOKUP($B:$B,IS!$A:$F,$2:$2,0)),VLOOKUP($B:$B,IS!$A:$F,$2:$2,0),0)</f>
        <v>0</v>
      </c>
      <c r="H904" s="207">
        <f>IF(ISNUMBER(VLOOKUP($B:$B,'IS(과거)'!$A:$F,$2:$2,0)),VLOOKUP($B:$B,'IS(과거)'!$A:$F,$2:$2,0),0)</f>
        <v>0</v>
      </c>
      <c r="I904" s="207">
        <f>IF(ISNUMBER(VLOOKUP($B:$B,'IS(과거)'!$A:$F,$2:$2,0)),VLOOKUP($B:$B,'IS(과거)'!$A:$F,$2:$2,0),0)</f>
        <v>0</v>
      </c>
      <c r="J904" s="207">
        <f>IF(ISNUMBER(VLOOKUP($B:$B,'IS(과거)'!$A:$F,$2:$2,0)),VLOOKUP($B:$B,'IS(과거)'!$A:$F,$2:$2,0),0)</f>
        <v>0</v>
      </c>
      <c r="K904" s="207">
        <f>IF(ISNUMBER(VLOOKUP($B:$B,'IS(과거)'!$A:$F,$2:$2,0)),VLOOKUP($B:$B,'IS(과거)'!$A:$F,$2:$2,0),0)</f>
        <v>0</v>
      </c>
      <c r="L904" s="207">
        <f>IF(ISNUMBER(VLOOKUP($B:$B,'IS(과거)'!$A:$F,$2:$2,0)),VLOOKUP($B:$B,'IS(과거)'!$A:$F,$2:$2,0),0)</f>
        <v>0</v>
      </c>
      <c r="N904" s="207">
        <f>IF(ISNUMBER(VLOOKUP($B:$B,'IS(분기)'!$A:$F,$2:$2,0)),VLOOKUP($B:$B,'IS(분기)'!$A:$F,$2:$2,0),0)</f>
        <v>0</v>
      </c>
      <c r="O904" s="207">
        <f>IF(ISNUMBER(VLOOKUP($B:$B,'IS(분기)'!$A:$F,$2:$2,0)),VLOOKUP($B:$B,'IS(분기)'!$A:$F,$2:$2,0),0)</f>
        <v>0</v>
      </c>
      <c r="P904" s="207">
        <f>IF(ISNUMBER(VLOOKUP($B:$B,'IS(분기)'!$A:$F,$2:$2,0)),VLOOKUP($B:$B,'IS(분기)'!$A:$F,$2:$2,0),0)</f>
        <v>0</v>
      </c>
      <c r="Q904" s="207">
        <f>IF(ISNUMBER(VLOOKUP($B:$B,'IS(분기)'!$A:$F,$2:$2,0)),VLOOKUP($B:$B,'IS(분기)'!$A:$F,$2:$2,0),0)</f>
        <v>0</v>
      </c>
      <c r="R904" s="207">
        <f>IF(ISNUMBER(VLOOKUP($B:$B,'IS(분기)'!$A:$F,$2:$2,0)),VLOOKUP($B:$B,'IS(분기)'!$A:$F,$2:$2,0),0)</f>
        <v>0</v>
      </c>
    </row>
    <row r="905" spans="1:18" s="192" customFormat="1" ht="12">
      <c r="A905" s="202">
        <v>124313</v>
      </c>
      <c r="B905" s="195" t="s">
        <v>626</v>
      </c>
      <c r="C905" s="217">
        <f>IF(ISNUMBER(VLOOKUP($B:$B,IS!$A:$F,$2:$2,0)),VLOOKUP($B:$B,IS!$A:$F,$2:$2,0),0)</f>
        <v>0</v>
      </c>
      <c r="D905" s="217">
        <f>IF(ISNUMBER(VLOOKUP($B:$B,IS!$A:$F,$2:$2,0)),VLOOKUP($B:$B,IS!$A:$F,$2:$2,0),0)</f>
        <v>0</v>
      </c>
      <c r="E905" s="217">
        <f>IF(ISNUMBER(VLOOKUP($B:$B,IS!$A:$F,$2:$2,0)),VLOOKUP($B:$B,IS!$A:$F,$2:$2,0),0)</f>
        <v>0</v>
      </c>
      <c r="F905" s="217">
        <f>IF(ISNUMBER(VLOOKUP($B:$B,IS!$A:$F,$2:$2,0)),VLOOKUP($B:$B,IS!$A:$F,$2:$2,0),0)</f>
        <v>0</v>
      </c>
      <c r="G905" s="217">
        <f>IF(ISNUMBER(VLOOKUP($B:$B,IS!$A:$F,$2:$2,0)),VLOOKUP($B:$B,IS!$A:$F,$2:$2,0),0)</f>
        <v>0</v>
      </c>
      <c r="H905" s="207">
        <f>IF(ISNUMBER(VLOOKUP($B:$B,'IS(과거)'!$A:$F,$2:$2,0)),VLOOKUP($B:$B,'IS(과거)'!$A:$F,$2:$2,0),0)</f>
        <v>0</v>
      </c>
      <c r="I905" s="207">
        <f>IF(ISNUMBER(VLOOKUP($B:$B,'IS(과거)'!$A:$F,$2:$2,0)),VLOOKUP($B:$B,'IS(과거)'!$A:$F,$2:$2,0),0)</f>
        <v>0</v>
      </c>
      <c r="J905" s="207">
        <f>IF(ISNUMBER(VLOOKUP($B:$B,'IS(과거)'!$A:$F,$2:$2,0)),VLOOKUP($B:$B,'IS(과거)'!$A:$F,$2:$2,0),0)</f>
        <v>0</v>
      </c>
      <c r="K905" s="207">
        <f>IF(ISNUMBER(VLOOKUP($B:$B,'IS(과거)'!$A:$F,$2:$2,0)),VLOOKUP($B:$B,'IS(과거)'!$A:$F,$2:$2,0),0)</f>
        <v>0</v>
      </c>
      <c r="L905" s="207">
        <f>IF(ISNUMBER(VLOOKUP($B:$B,'IS(과거)'!$A:$F,$2:$2,0)),VLOOKUP($B:$B,'IS(과거)'!$A:$F,$2:$2,0),0)</f>
        <v>0</v>
      </c>
      <c r="N905" s="207">
        <f>IF(ISNUMBER(VLOOKUP($B:$B,'IS(분기)'!$A:$F,$2:$2,0)),VLOOKUP($B:$B,'IS(분기)'!$A:$F,$2:$2,0),0)</f>
        <v>0</v>
      </c>
      <c r="O905" s="207">
        <f>IF(ISNUMBER(VLOOKUP($B:$B,'IS(분기)'!$A:$F,$2:$2,0)),VLOOKUP($B:$B,'IS(분기)'!$A:$F,$2:$2,0),0)</f>
        <v>0</v>
      </c>
      <c r="P905" s="207">
        <f>IF(ISNUMBER(VLOOKUP($B:$B,'IS(분기)'!$A:$F,$2:$2,0)),VLOOKUP($B:$B,'IS(분기)'!$A:$F,$2:$2,0),0)</f>
        <v>0</v>
      </c>
      <c r="Q905" s="207">
        <f>IF(ISNUMBER(VLOOKUP($B:$B,'IS(분기)'!$A:$F,$2:$2,0)),VLOOKUP($B:$B,'IS(분기)'!$A:$F,$2:$2,0),0)</f>
        <v>0</v>
      </c>
      <c r="R905" s="207">
        <f>IF(ISNUMBER(VLOOKUP($B:$B,'IS(분기)'!$A:$F,$2:$2,0)),VLOOKUP($B:$B,'IS(분기)'!$A:$F,$2:$2,0),0)</f>
        <v>0</v>
      </c>
    </row>
    <row r="906" spans="1:18" s="192" customFormat="1" ht="12">
      <c r="A906" s="202">
        <v>124314</v>
      </c>
      <c r="B906" s="195" t="s">
        <v>627</v>
      </c>
      <c r="C906" s="217">
        <f>IF(ISNUMBER(VLOOKUP($B:$B,IS!$A:$F,$2:$2,0)),VLOOKUP($B:$B,IS!$A:$F,$2:$2,0),0)</f>
        <v>0</v>
      </c>
      <c r="D906" s="217">
        <f>IF(ISNUMBER(VLOOKUP($B:$B,IS!$A:$F,$2:$2,0)),VLOOKUP($B:$B,IS!$A:$F,$2:$2,0),0)</f>
        <v>0</v>
      </c>
      <c r="E906" s="217">
        <f>IF(ISNUMBER(VLOOKUP($B:$B,IS!$A:$F,$2:$2,0)),VLOOKUP($B:$B,IS!$A:$F,$2:$2,0),0)</f>
        <v>0</v>
      </c>
      <c r="F906" s="217">
        <f>IF(ISNUMBER(VLOOKUP($B:$B,IS!$A:$F,$2:$2,0)),VLOOKUP($B:$B,IS!$A:$F,$2:$2,0),0)</f>
        <v>0</v>
      </c>
      <c r="G906" s="217">
        <f>IF(ISNUMBER(VLOOKUP($B:$B,IS!$A:$F,$2:$2,0)),VLOOKUP($B:$B,IS!$A:$F,$2:$2,0),0)</f>
        <v>0</v>
      </c>
      <c r="H906" s="207">
        <f>IF(ISNUMBER(VLOOKUP($B:$B,'IS(과거)'!$A:$F,$2:$2,0)),VLOOKUP($B:$B,'IS(과거)'!$A:$F,$2:$2,0),0)</f>
        <v>0</v>
      </c>
      <c r="I906" s="207">
        <f>IF(ISNUMBER(VLOOKUP($B:$B,'IS(과거)'!$A:$F,$2:$2,0)),VLOOKUP($B:$B,'IS(과거)'!$A:$F,$2:$2,0),0)</f>
        <v>0</v>
      </c>
      <c r="J906" s="207">
        <f>IF(ISNUMBER(VLOOKUP($B:$B,'IS(과거)'!$A:$F,$2:$2,0)),VLOOKUP($B:$B,'IS(과거)'!$A:$F,$2:$2,0),0)</f>
        <v>0</v>
      </c>
      <c r="K906" s="207">
        <f>IF(ISNUMBER(VLOOKUP($B:$B,'IS(과거)'!$A:$F,$2:$2,0)),VLOOKUP($B:$B,'IS(과거)'!$A:$F,$2:$2,0),0)</f>
        <v>0</v>
      </c>
      <c r="L906" s="207">
        <f>IF(ISNUMBER(VLOOKUP($B:$B,'IS(과거)'!$A:$F,$2:$2,0)),VLOOKUP($B:$B,'IS(과거)'!$A:$F,$2:$2,0),0)</f>
        <v>0</v>
      </c>
      <c r="N906" s="207">
        <f>IF(ISNUMBER(VLOOKUP($B:$B,'IS(분기)'!$A:$F,$2:$2,0)),VLOOKUP($B:$B,'IS(분기)'!$A:$F,$2:$2,0),0)</f>
        <v>0</v>
      </c>
      <c r="O906" s="207">
        <f>IF(ISNUMBER(VLOOKUP($B:$B,'IS(분기)'!$A:$F,$2:$2,0)),VLOOKUP($B:$B,'IS(분기)'!$A:$F,$2:$2,0),0)</f>
        <v>0</v>
      </c>
      <c r="P906" s="207">
        <f>IF(ISNUMBER(VLOOKUP($B:$B,'IS(분기)'!$A:$F,$2:$2,0)),VLOOKUP($B:$B,'IS(분기)'!$A:$F,$2:$2,0),0)</f>
        <v>0</v>
      </c>
      <c r="Q906" s="207">
        <f>IF(ISNUMBER(VLOOKUP($B:$B,'IS(분기)'!$A:$F,$2:$2,0)),VLOOKUP($B:$B,'IS(분기)'!$A:$F,$2:$2,0),0)</f>
        <v>0</v>
      </c>
      <c r="R906" s="207">
        <f>IF(ISNUMBER(VLOOKUP($B:$B,'IS(분기)'!$A:$F,$2:$2,0)),VLOOKUP($B:$B,'IS(분기)'!$A:$F,$2:$2,0),0)</f>
        <v>0</v>
      </c>
    </row>
    <row r="907" spans="1:18" s="192" customFormat="1" ht="12">
      <c r="A907" s="202">
        <v>124315</v>
      </c>
      <c r="B907" s="195" t="s">
        <v>628</v>
      </c>
      <c r="C907" s="217">
        <f>IF(ISNUMBER(VLOOKUP($B:$B,IS!$A:$F,$2:$2,0)),VLOOKUP($B:$B,IS!$A:$F,$2:$2,0),0)</f>
        <v>0</v>
      </c>
      <c r="D907" s="217">
        <f>IF(ISNUMBER(VLOOKUP($B:$B,IS!$A:$F,$2:$2,0)),VLOOKUP($B:$B,IS!$A:$F,$2:$2,0),0)</f>
        <v>0</v>
      </c>
      <c r="E907" s="217">
        <f>IF(ISNUMBER(VLOOKUP($B:$B,IS!$A:$F,$2:$2,0)),VLOOKUP($B:$B,IS!$A:$F,$2:$2,0),0)</f>
        <v>0</v>
      </c>
      <c r="F907" s="217">
        <f>IF(ISNUMBER(VLOOKUP($B:$B,IS!$A:$F,$2:$2,0)),VLOOKUP($B:$B,IS!$A:$F,$2:$2,0),0)</f>
        <v>0</v>
      </c>
      <c r="G907" s="217">
        <f>IF(ISNUMBER(VLOOKUP($B:$B,IS!$A:$F,$2:$2,0)),VLOOKUP($B:$B,IS!$A:$F,$2:$2,0),0)</f>
        <v>0</v>
      </c>
      <c r="H907" s="207">
        <f>IF(ISNUMBER(VLOOKUP($B:$B,'IS(과거)'!$A:$F,$2:$2,0)),VLOOKUP($B:$B,'IS(과거)'!$A:$F,$2:$2,0),0)</f>
        <v>0</v>
      </c>
      <c r="I907" s="207">
        <f>IF(ISNUMBER(VLOOKUP($B:$B,'IS(과거)'!$A:$F,$2:$2,0)),VLOOKUP($B:$B,'IS(과거)'!$A:$F,$2:$2,0),0)</f>
        <v>0</v>
      </c>
      <c r="J907" s="207">
        <f>IF(ISNUMBER(VLOOKUP($B:$B,'IS(과거)'!$A:$F,$2:$2,0)),VLOOKUP($B:$B,'IS(과거)'!$A:$F,$2:$2,0),0)</f>
        <v>0</v>
      </c>
      <c r="K907" s="207">
        <f>IF(ISNUMBER(VLOOKUP($B:$B,'IS(과거)'!$A:$F,$2:$2,0)),VLOOKUP($B:$B,'IS(과거)'!$A:$F,$2:$2,0),0)</f>
        <v>0</v>
      </c>
      <c r="L907" s="207">
        <f>IF(ISNUMBER(VLOOKUP($B:$B,'IS(과거)'!$A:$F,$2:$2,0)),VLOOKUP($B:$B,'IS(과거)'!$A:$F,$2:$2,0),0)</f>
        <v>0</v>
      </c>
      <c r="N907" s="207">
        <f>IF(ISNUMBER(VLOOKUP($B:$B,'IS(분기)'!$A:$F,$2:$2,0)),VLOOKUP($B:$B,'IS(분기)'!$A:$F,$2:$2,0),0)</f>
        <v>0</v>
      </c>
      <c r="O907" s="207">
        <f>IF(ISNUMBER(VLOOKUP($B:$B,'IS(분기)'!$A:$F,$2:$2,0)),VLOOKUP($B:$B,'IS(분기)'!$A:$F,$2:$2,0),0)</f>
        <v>0</v>
      </c>
      <c r="P907" s="207">
        <f>IF(ISNUMBER(VLOOKUP($B:$B,'IS(분기)'!$A:$F,$2:$2,0)),VLOOKUP($B:$B,'IS(분기)'!$A:$F,$2:$2,0),0)</f>
        <v>0</v>
      </c>
      <c r="Q907" s="207">
        <f>IF(ISNUMBER(VLOOKUP($B:$B,'IS(분기)'!$A:$F,$2:$2,0)),VLOOKUP($B:$B,'IS(분기)'!$A:$F,$2:$2,0),0)</f>
        <v>0</v>
      </c>
      <c r="R907" s="207">
        <f>IF(ISNUMBER(VLOOKUP($B:$B,'IS(분기)'!$A:$F,$2:$2,0)),VLOOKUP($B:$B,'IS(분기)'!$A:$F,$2:$2,0),0)</f>
        <v>0</v>
      </c>
    </row>
    <row r="908" spans="1:18" s="192" customFormat="1" ht="12">
      <c r="A908" s="202">
        <v>124316</v>
      </c>
      <c r="B908" s="195" t="s">
        <v>629</v>
      </c>
      <c r="C908" s="217">
        <f>IF(ISNUMBER(VLOOKUP($B:$B,IS!$A:$F,$2:$2,0)),VLOOKUP($B:$B,IS!$A:$F,$2:$2,0),0)</f>
        <v>102332</v>
      </c>
      <c r="D908" s="217">
        <f>IF(ISNUMBER(VLOOKUP($B:$B,IS!$A:$F,$2:$2,0)),VLOOKUP($B:$B,IS!$A:$F,$2:$2,0),0)</f>
        <v>0</v>
      </c>
      <c r="E908" s="217">
        <f>IF(ISNUMBER(VLOOKUP($B:$B,IS!$A:$F,$2:$2,0)),VLOOKUP($B:$B,IS!$A:$F,$2:$2,0),0)</f>
        <v>0</v>
      </c>
      <c r="F908" s="217">
        <f>IF(ISNUMBER(VLOOKUP($B:$B,IS!$A:$F,$2:$2,0)),VLOOKUP($B:$B,IS!$A:$F,$2:$2,0),0)</f>
        <v>0</v>
      </c>
      <c r="G908" s="217">
        <f>IF(ISNUMBER(VLOOKUP($B:$B,IS!$A:$F,$2:$2,0)),VLOOKUP($B:$B,IS!$A:$F,$2:$2,0),0)</f>
        <v>0</v>
      </c>
      <c r="H908" s="207">
        <f>IF(ISNUMBER(VLOOKUP($B:$B,'IS(과거)'!$A:$F,$2:$2,0)),VLOOKUP($B:$B,'IS(과거)'!$A:$F,$2:$2,0),0)</f>
        <v>0</v>
      </c>
      <c r="I908" s="207">
        <f>IF(ISNUMBER(VLOOKUP($B:$B,'IS(과거)'!$A:$F,$2:$2,0)),VLOOKUP($B:$B,'IS(과거)'!$A:$F,$2:$2,0),0)</f>
        <v>0</v>
      </c>
      <c r="J908" s="207">
        <f>IF(ISNUMBER(VLOOKUP($B:$B,'IS(과거)'!$A:$F,$2:$2,0)),VLOOKUP($B:$B,'IS(과거)'!$A:$F,$2:$2,0),0)</f>
        <v>0</v>
      </c>
      <c r="K908" s="207">
        <f>IF(ISNUMBER(VLOOKUP($B:$B,'IS(과거)'!$A:$F,$2:$2,0)),VLOOKUP($B:$B,'IS(과거)'!$A:$F,$2:$2,0),0)</f>
        <v>0</v>
      </c>
      <c r="L908" s="207">
        <f>IF(ISNUMBER(VLOOKUP($B:$B,'IS(과거)'!$A:$F,$2:$2,0)),VLOOKUP($B:$B,'IS(과거)'!$A:$F,$2:$2,0),0)</f>
        <v>0</v>
      </c>
      <c r="N908" s="207">
        <f>IF(ISNUMBER(VLOOKUP($B:$B,'IS(분기)'!$A:$F,$2:$2,0)),VLOOKUP($B:$B,'IS(분기)'!$A:$F,$2:$2,0),0)</f>
        <v>0</v>
      </c>
      <c r="O908" s="207">
        <f>IF(ISNUMBER(VLOOKUP($B:$B,'IS(분기)'!$A:$F,$2:$2,0)),VLOOKUP($B:$B,'IS(분기)'!$A:$F,$2:$2,0),0)</f>
        <v>0</v>
      </c>
      <c r="P908" s="207">
        <f>IF(ISNUMBER(VLOOKUP($B:$B,'IS(분기)'!$A:$F,$2:$2,0)),VLOOKUP($B:$B,'IS(분기)'!$A:$F,$2:$2,0),0)</f>
        <v>0</v>
      </c>
      <c r="Q908" s="207">
        <f>IF(ISNUMBER(VLOOKUP($B:$B,'IS(분기)'!$A:$F,$2:$2,0)),VLOOKUP($B:$B,'IS(분기)'!$A:$F,$2:$2,0),0)</f>
        <v>0</v>
      </c>
      <c r="R908" s="207">
        <f>IF(ISNUMBER(VLOOKUP($B:$B,'IS(분기)'!$A:$F,$2:$2,0)),VLOOKUP($B:$B,'IS(분기)'!$A:$F,$2:$2,0),0)</f>
        <v>0</v>
      </c>
    </row>
    <row r="909" spans="1:18" s="192" customFormat="1" ht="12">
      <c r="A909" s="202">
        <v>124317</v>
      </c>
      <c r="B909" s="195" t="s">
        <v>630</v>
      </c>
      <c r="C909" s="217">
        <f>IF(ISNUMBER(VLOOKUP($B:$B,IS!$A:$F,$2:$2,0)),VLOOKUP($B:$B,IS!$A:$F,$2:$2,0),0)</f>
        <v>0</v>
      </c>
      <c r="D909" s="217">
        <f>IF(ISNUMBER(VLOOKUP($B:$B,IS!$A:$F,$2:$2,0)),VLOOKUP($B:$B,IS!$A:$F,$2:$2,0),0)</f>
        <v>0</v>
      </c>
      <c r="E909" s="217">
        <f>IF(ISNUMBER(VLOOKUP($B:$B,IS!$A:$F,$2:$2,0)),VLOOKUP($B:$B,IS!$A:$F,$2:$2,0),0)</f>
        <v>0</v>
      </c>
      <c r="F909" s="217">
        <f>IF(ISNUMBER(VLOOKUP($B:$B,IS!$A:$F,$2:$2,0)),VLOOKUP($B:$B,IS!$A:$F,$2:$2,0),0)</f>
        <v>0</v>
      </c>
      <c r="G909" s="217">
        <f>IF(ISNUMBER(VLOOKUP($B:$B,IS!$A:$F,$2:$2,0)),VLOOKUP($B:$B,IS!$A:$F,$2:$2,0),0)</f>
        <v>0</v>
      </c>
      <c r="H909" s="207">
        <f>IF(ISNUMBER(VLOOKUP($B:$B,'IS(과거)'!$A:$F,$2:$2,0)),VLOOKUP($B:$B,'IS(과거)'!$A:$F,$2:$2,0),0)</f>
        <v>0</v>
      </c>
      <c r="I909" s="207">
        <f>IF(ISNUMBER(VLOOKUP($B:$B,'IS(과거)'!$A:$F,$2:$2,0)),VLOOKUP($B:$B,'IS(과거)'!$A:$F,$2:$2,0),0)</f>
        <v>0</v>
      </c>
      <c r="J909" s="207">
        <f>IF(ISNUMBER(VLOOKUP($B:$B,'IS(과거)'!$A:$F,$2:$2,0)),VLOOKUP($B:$B,'IS(과거)'!$A:$F,$2:$2,0),0)</f>
        <v>0</v>
      </c>
      <c r="K909" s="207">
        <f>IF(ISNUMBER(VLOOKUP($B:$B,'IS(과거)'!$A:$F,$2:$2,0)),VLOOKUP($B:$B,'IS(과거)'!$A:$F,$2:$2,0),0)</f>
        <v>0</v>
      </c>
      <c r="L909" s="207">
        <f>IF(ISNUMBER(VLOOKUP($B:$B,'IS(과거)'!$A:$F,$2:$2,0)),VLOOKUP($B:$B,'IS(과거)'!$A:$F,$2:$2,0),0)</f>
        <v>0</v>
      </c>
      <c r="N909" s="207">
        <f>IF(ISNUMBER(VLOOKUP($B:$B,'IS(분기)'!$A:$F,$2:$2,0)),VLOOKUP($B:$B,'IS(분기)'!$A:$F,$2:$2,0),0)</f>
        <v>0</v>
      </c>
      <c r="O909" s="207">
        <f>IF(ISNUMBER(VLOOKUP($B:$B,'IS(분기)'!$A:$F,$2:$2,0)),VLOOKUP($B:$B,'IS(분기)'!$A:$F,$2:$2,0),0)</f>
        <v>0</v>
      </c>
      <c r="P909" s="207">
        <f>IF(ISNUMBER(VLOOKUP($B:$B,'IS(분기)'!$A:$F,$2:$2,0)),VLOOKUP($B:$B,'IS(분기)'!$A:$F,$2:$2,0),0)</f>
        <v>0</v>
      </c>
      <c r="Q909" s="207">
        <f>IF(ISNUMBER(VLOOKUP($B:$B,'IS(분기)'!$A:$F,$2:$2,0)),VLOOKUP($B:$B,'IS(분기)'!$A:$F,$2:$2,0),0)</f>
        <v>0</v>
      </c>
      <c r="R909" s="207">
        <f>IF(ISNUMBER(VLOOKUP($B:$B,'IS(분기)'!$A:$F,$2:$2,0)),VLOOKUP($B:$B,'IS(분기)'!$A:$F,$2:$2,0),0)</f>
        <v>0</v>
      </c>
    </row>
    <row r="910" spans="1:18" s="192" customFormat="1" ht="12">
      <c r="A910" s="202">
        <v>124319</v>
      </c>
      <c r="B910" s="195" t="s">
        <v>631</v>
      </c>
      <c r="C910" s="217">
        <f>IF(ISNUMBER(VLOOKUP($B:$B,IS!$A:$F,$2:$2,0)),VLOOKUP($B:$B,IS!$A:$F,$2:$2,0),0)</f>
        <v>0</v>
      </c>
      <c r="D910" s="217">
        <f>IF(ISNUMBER(VLOOKUP($B:$B,IS!$A:$F,$2:$2,0)),VLOOKUP($B:$B,IS!$A:$F,$2:$2,0),0)</f>
        <v>0</v>
      </c>
      <c r="E910" s="217">
        <f>IF(ISNUMBER(VLOOKUP($B:$B,IS!$A:$F,$2:$2,0)),VLOOKUP($B:$B,IS!$A:$F,$2:$2,0),0)</f>
        <v>0</v>
      </c>
      <c r="F910" s="217">
        <f>IF(ISNUMBER(VLOOKUP($B:$B,IS!$A:$F,$2:$2,0)),VLOOKUP($B:$B,IS!$A:$F,$2:$2,0),0)</f>
        <v>0</v>
      </c>
      <c r="G910" s="217">
        <f>IF(ISNUMBER(VLOOKUP($B:$B,IS!$A:$F,$2:$2,0)),VLOOKUP($B:$B,IS!$A:$F,$2:$2,0),0)</f>
        <v>0</v>
      </c>
      <c r="H910" s="207">
        <f>IF(ISNUMBER(VLOOKUP($B:$B,'IS(과거)'!$A:$F,$2:$2,0)),VLOOKUP($B:$B,'IS(과거)'!$A:$F,$2:$2,0),0)</f>
        <v>0</v>
      </c>
      <c r="I910" s="207">
        <f>IF(ISNUMBER(VLOOKUP($B:$B,'IS(과거)'!$A:$F,$2:$2,0)),VLOOKUP($B:$B,'IS(과거)'!$A:$F,$2:$2,0),0)</f>
        <v>0</v>
      </c>
      <c r="J910" s="207">
        <f>IF(ISNUMBER(VLOOKUP($B:$B,'IS(과거)'!$A:$F,$2:$2,0)),VLOOKUP($B:$B,'IS(과거)'!$A:$F,$2:$2,0),0)</f>
        <v>0</v>
      </c>
      <c r="K910" s="207">
        <f>IF(ISNUMBER(VLOOKUP($B:$B,'IS(과거)'!$A:$F,$2:$2,0)),VLOOKUP($B:$B,'IS(과거)'!$A:$F,$2:$2,0),0)</f>
        <v>0</v>
      </c>
      <c r="L910" s="207">
        <f>IF(ISNUMBER(VLOOKUP($B:$B,'IS(과거)'!$A:$F,$2:$2,0)),VLOOKUP($B:$B,'IS(과거)'!$A:$F,$2:$2,0),0)</f>
        <v>0</v>
      </c>
      <c r="N910" s="207">
        <f>IF(ISNUMBER(VLOOKUP($B:$B,'IS(분기)'!$A:$F,$2:$2,0)),VLOOKUP($B:$B,'IS(분기)'!$A:$F,$2:$2,0),0)</f>
        <v>0</v>
      </c>
      <c r="O910" s="207">
        <f>IF(ISNUMBER(VLOOKUP($B:$B,'IS(분기)'!$A:$F,$2:$2,0)),VLOOKUP($B:$B,'IS(분기)'!$A:$F,$2:$2,0),0)</f>
        <v>0</v>
      </c>
      <c r="P910" s="207">
        <f>IF(ISNUMBER(VLOOKUP($B:$B,'IS(분기)'!$A:$F,$2:$2,0)),VLOOKUP($B:$B,'IS(분기)'!$A:$F,$2:$2,0),0)</f>
        <v>0</v>
      </c>
      <c r="Q910" s="207">
        <f>IF(ISNUMBER(VLOOKUP($B:$B,'IS(분기)'!$A:$F,$2:$2,0)),VLOOKUP($B:$B,'IS(분기)'!$A:$F,$2:$2,0),0)</f>
        <v>0</v>
      </c>
      <c r="R910" s="207">
        <f>IF(ISNUMBER(VLOOKUP($B:$B,'IS(분기)'!$A:$F,$2:$2,0)),VLOOKUP($B:$B,'IS(분기)'!$A:$F,$2:$2,0),0)</f>
        <v>0</v>
      </c>
    </row>
    <row r="911" spans="1:18" s="192" customFormat="1" ht="12">
      <c r="A911" s="202">
        <v>124318</v>
      </c>
      <c r="B911" s="195" t="s">
        <v>632</v>
      </c>
      <c r="C911" s="217">
        <f>IF(ISNUMBER(VLOOKUP($B:$B,IS!$A:$F,$2:$2,0)),VLOOKUP($B:$B,IS!$A:$F,$2:$2,0),0)</f>
        <v>0</v>
      </c>
      <c r="D911" s="217">
        <f>IF(ISNUMBER(VLOOKUP($B:$B,IS!$A:$F,$2:$2,0)),VLOOKUP($B:$B,IS!$A:$F,$2:$2,0),0)</f>
        <v>0</v>
      </c>
      <c r="E911" s="217">
        <f>IF(ISNUMBER(VLOOKUP($B:$B,IS!$A:$F,$2:$2,0)),VLOOKUP($B:$B,IS!$A:$F,$2:$2,0),0)</f>
        <v>0</v>
      </c>
      <c r="F911" s="217">
        <f>IF(ISNUMBER(VLOOKUP($B:$B,IS!$A:$F,$2:$2,0)),VLOOKUP($B:$B,IS!$A:$F,$2:$2,0),0)</f>
        <v>0</v>
      </c>
      <c r="G911" s="217">
        <f>IF(ISNUMBER(VLOOKUP($B:$B,IS!$A:$F,$2:$2,0)),VLOOKUP($B:$B,IS!$A:$F,$2:$2,0),0)</f>
        <v>0</v>
      </c>
      <c r="H911" s="207">
        <f>IF(ISNUMBER(VLOOKUP($B:$B,'IS(과거)'!$A:$F,$2:$2,0)),VLOOKUP($B:$B,'IS(과거)'!$A:$F,$2:$2,0),0)</f>
        <v>0</v>
      </c>
      <c r="I911" s="207">
        <f>IF(ISNUMBER(VLOOKUP($B:$B,'IS(과거)'!$A:$F,$2:$2,0)),VLOOKUP($B:$B,'IS(과거)'!$A:$F,$2:$2,0),0)</f>
        <v>0</v>
      </c>
      <c r="J911" s="207">
        <f>IF(ISNUMBER(VLOOKUP($B:$B,'IS(과거)'!$A:$F,$2:$2,0)),VLOOKUP($B:$B,'IS(과거)'!$A:$F,$2:$2,0),0)</f>
        <v>0</v>
      </c>
      <c r="K911" s="207">
        <f>IF(ISNUMBER(VLOOKUP($B:$B,'IS(과거)'!$A:$F,$2:$2,0)),VLOOKUP($B:$B,'IS(과거)'!$A:$F,$2:$2,0),0)</f>
        <v>0</v>
      </c>
      <c r="L911" s="207">
        <f>IF(ISNUMBER(VLOOKUP($B:$B,'IS(과거)'!$A:$F,$2:$2,0)),VLOOKUP($B:$B,'IS(과거)'!$A:$F,$2:$2,0),0)</f>
        <v>0</v>
      </c>
      <c r="N911" s="207">
        <f>IF(ISNUMBER(VLOOKUP($B:$B,'IS(분기)'!$A:$F,$2:$2,0)),VLOOKUP($B:$B,'IS(분기)'!$A:$F,$2:$2,0),0)</f>
        <v>0</v>
      </c>
      <c r="O911" s="207">
        <f>IF(ISNUMBER(VLOOKUP($B:$B,'IS(분기)'!$A:$F,$2:$2,0)),VLOOKUP($B:$B,'IS(분기)'!$A:$F,$2:$2,0),0)</f>
        <v>0</v>
      </c>
      <c r="P911" s="207">
        <f>IF(ISNUMBER(VLOOKUP($B:$B,'IS(분기)'!$A:$F,$2:$2,0)),VLOOKUP($B:$B,'IS(분기)'!$A:$F,$2:$2,0),0)</f>
        <v>0</v>
      </c>
      <c r="Q911" s="207">
        <f>IF(ISNUMBER(VLOOKUP($B:$B,'IS(분기)'!$A:$F,$2:$2,0)),VLOOKUP($B:$B,'IS(분기)'!$A:$F,$2:$2,0),0)</f>
        <v>0</v>
      </c>
      <c r="R911" s="207">
        <f>IF(ISNUMBER(VLOOKUP($B:$B,'IS(분기)'!$A:$F,$2:$2,0)),VLOOKUP($B:$B,'IS(분기)'!$A:$F,$2:$2,0),0)</f>
        <v>0</v>
      </c>
    </row>
    <row r="912" spans="1:18" s="192" customFormat="1" ht="12">
      <c r="A912" s="202">
        <v>124320</v>
      </c>
      <c r="B912" s="195" t="s">
        <v>633</v>
      </c>
      <c r="C912" s="217">
        <f>IF(ISNUMBER(VLOOKUP($B:$B,IS!$A:$F,$2:$2,0)),VLOOKUP($B:$B,IS!$A:$F,$2:$2,0),0)</f>
        <v>0</v>
      </c>
      <c r="D912" s="217">
        <f>IF(ISNUMBER(VLOOKUP($B:$B,IS!$A:$F,$2:$2,0)),VLOOKUP($B:$B,IS!$A:$F,$2:$2,0),0)</f>
        <v>0</v>
      </c>
      <c r="E912" s="217">
        <f>IF(ISNUMBER(VLOOKUP($B:$B,IS!$A:$F,$2:$2,0)),VLOOKUP($B:$B,IS!$A:$F,$2:$2,0),0)</f>
        <v>0</v>
      </c>
      <c r="F912" s="217">
        <f>IF(ISNUMBER(VLOOKUP($B:$B,IS!$A:$F,$2:$2,0)),VLOOKUP($B:$B,IS!$A:$F,$2:$2,0),0)</f>
        <v>0</v>
      </c>
      <c r="G912" s="217">
        <f>IF(ISNUMBER(VLOOKUP($B:$B,IS!$A:$F,$2:$2,0)),VLOOKUP($B:$B,IS!$A:$F,$2:$2,0),0)</f>
        <v>0</v>
      </c>
      <c r="H912" s="207">
        <f>IF(ISNUMBER(VLOOKUP($B:$B,'IS(과거)'!$A:$F,$2:$2,0)),VLOOKUP($B:$B,'IS(과거)'!$A:$F,$2:$2,0),0)</f>
        <v>0</v>
      </c>
      <c r="I912" s="207">
        <f>IF(ISNUMBER(VLOOKUP($B:$B,'IS(과거)'!$A:$F,$2:$2,0)),VLOOKUP($B:$B,'IS(과거)'!$A:$F,$2:$2,0),0)</f>
        <v>0</v>
      </c>
      <c r="J912" s="207">
        <f>IF(ISNUMBER(VLOOKUP($B:$B,'IS(과거)'!$A:$F,$2:$2,0)),VLOOKUP($B:$B,'IS(과거)'!$A:$F,$2:$2,0),0)</f>
        <v>0</v>
      </c>
      <c r="K912" s="207">
        <f>IF(ISNUMBER(VLOOKUP($B:$B,'IS(과거)'!$A:$F,$2:$2,0)),VLOOKUP($B:$B,'IS(과거)'!$A:$F,$2:$2,0),0)</f>
        <v>0</v>
      </c>
      <c r="L912" s="207">
        <f>IF(ISNUMBER(VLOOKUP($B:$B,'IS(과거)'!$A:$F,$2:$2,0)),VLOOKUP($B:$B,'IS(과거)'!$A:$F,$2:$2,0),0)</f>
        <v>0</v>
      </c>
      <c r="N912" s="207">
        <f>IF(ISNUMBER(VLOOKUP($B:$B,'IS(분기)'!$A:$F,$2:$2,0)),VLOOKUP($B:$B,'IS(분기)'!$A:$F,$2:$2,0),0)</f>
        <v>0</v>
      </c>
      <c r="O912" s="207">
        <f>IF(ISNUMBER(VLOOKUP($B:$B,'IS(분기)'!$A:$F,$2:$2,0)),VLOOKUP($B:$B,'IS(분기)'!$A:$F,$2:$2,0),0)</f>
        <v>0</v>
      </c>
      <c r="P912" s="207">
        <f>IF(ISNUMBER(VLOOKUP($B:$B,'IS(분기)'!$A:$F,$2:$2,0)),VLOOKUP($B:$B,'IS(분기)'!$A:$F,$2:$2,0),0)</f>
        <v>0</v>
      </c>
      <c r="Q912" s="207">
        <f>IF(ISNUMBER(VLOOKUP($B:$B,'IS(분기)'!$A:$F,$2:$2,0)),VLOOKUP($B:$B,'IS(분기)'!$A:$F,$2:$2,0),0)</f>
        <v>0</v>
      </c>
      <c r="R912" s="207">
        <f>IF(ISNUMBER(VLOOKUP($B:$B,'IS(분기)'!$A:$F,$2:$2,0)),VLOOKUP($B:$B,'IS(분기)'!$A:$F,$2:$2,0),0)</f>
        <v>0</v>
      </c>
    </row>
    <row r="913" spans="1:18" s="192" customFormat="1" ht="12">
      <c r="A913" s="202">
        <v>124322</v>
      </c>
      <c r="B913" s="195" t="s">
        <v>634</v>
      </c>
      <c r="C913" s="217">
        <f>IF(ISNUMBER(VLOOKUP($B:$B,IS!$A:$F,$2:$2,0)),VLOOKUP($B:$B,IS!$A:$F,$2:$2,0),0)</f>
        <v>0</v>
      </c>
      <c r="D913" s="217">
        <f>IF(ISNUMBER(VLOOKUP($B:$B,IS!$A:$F,$2:$2,0)),VLOOKUP($B:$B,IS!$A:$F,$2:$2,0),0)</f>
        <v>0</v>
      </c>
      <c r="E913" s="217">
        <f>IF(ISNUMBER(VLOOKUP($B:$B,IS!$A:$F,$2:$2,0)),VLOOKUP($B:$B,IS!$A:$F,$2:$2,0),0)</f>
        <v>0</v>
      </c>
      <c r="F913" s="217">
        <f>IF(ISNUMBER(VLOOKUP($B:$B,IS!$A:$F,$2:$2,0)),VLOOKUP($B:$B,IS!$A:$F,$2:$2,0),0)</f>
        <v>0</v>
      </c>
      <c r="G913" s="217">
        <f>IF(ISNUMBER(VLOOKUP($B:$B,IS!$A:$F,$2:$2,0)),VLOOKUP($B:$B,IS!$A:$F,$2:$2,0),0)</f>
        <v>0</v>
      </c>
      <c r="H913" s="207">
        <f>IF(ISNUMBER(VLOOKUP($B:$B,'IS(과거)'!$A:$F,$2:$2,0)),VLOOKUP($B:$B,'IS(과거)'!$A:$F,$2:$2,0),0)</f>
        <v>0</v>
      </c>
      <c r="I913" s="207">
        <f>IF(ISNUMBER(VLOOKUP($B:$B,'IS(과거)'!$A:$F,$2:$2,0)),VLOOKUP($B:$B,'IS(과거)'!$A:$F,$2:$2,0),0)</f>
        <v>0</v>
      </c>
      <c r="J913" s="207">
        <f>IF(ISNUMBER(VLOOKUP($B:$B,'IS(과거)'!$A:$F,$2:$2,0)),VLOOKUP($B:$B,'IS(과거)'!$A:$F,$2:$2,0),0)</f>
        <v>0</v>
      </c>
      <c r="K913" s="207">
        <f>IF(ISNUMBER(VLOOKUP($B:$B,'IS(과거)'!$A:$F,$2:$2,0)),VLOOKUP($B:$B,'IS(과거)'!$A:$F,$2:$2,0),0)</f>
        <v>0</v>
      </c>
      <c r="L913" s="207">
        <f>IF(ISNUMBER(VLOOKUP($B:$B,'IS(과거)'!$A:$F,$2:$2,0)),VLOOKUP($B:$B,'IS(과거)'!$A:$F,$2:$2,0),0)</f>
        <v>0</v>
      </c>
      <c r="N913" s="207">
        <f>IF(ISNUMBER(VLOOKUP($B:$B,'IS(분기)'!$A:$F,$2:$2,0)),VLOOKUP($B:$B,'IS(분기)'!$A:$F,$2:$2,0),0)</f>
        <v>0</v>
      </c>
      <c r="O913" s="207">
        <f>IF(ISNUMBER(VLOOKUP($B:$B,'IS(분기)'!$A:$F,$2:$2,0)),VLOOKUP($B:$B,'IS(분기)'!$A:$F,$2:$2,0),0)</f>
        <v>0</v>
      </c>
      <c r="P913" s="207">
        <f>IF(ISNUMBER(VLOOKUP($B:$B,'IS(분기)'!$A:$F,$2:$2,0)),VLOOKUP($B:$B,'IS(분기)'!$A:$F,$2:$2,0),0)</f>
        <v>0</v>
      </c>
      <c r="Q913" s="207">
        <f>IF(ISNUMBER(VLOOKUP($B:$B,'IS(분기)'!$A:$F,$2:$2,0)),VLOOKUP($B:$B,'IS(분기)'!$A:$F,$2:$2,0),0)</f>
        <v>0</v>
      </c>
      <c r="R913" s="207">
        <f>IF(ISNUMBER(VLOOKUP($B:$B,'IS(분기)'!$A:$F,$2:$2,0)),VLOOKUP($B:$B,'IS(분기)'!$A:$F,$2:$2,0),0)</f>
        <v>0</v>
      </c>
    </row>
    <row r="914" spans="1:18" s="192" customFormat="1" ht="12">
      <c r="A914" s="202">
        <v>124323</v>
      </c>
      <c r="B914" s="195" t="s">
        <v>635</v>
      </c>
      <c r="C914" s="217">
        <f>IF(ISNUMBER(VLOOKUP($B:$B,IS!$A:$F,$2:$2,0)),VLOOKUP($B:$B,IS!$A:$F,$2:$2,0),0)</f>
        <v>0</v>
      </c>
      <c r="D914" s="217">
        <f>IF(ISNUMBER(VLOOKUP($B:$B,IS!$A:$F,$2:$2,0)),VLOOKUP($B:$B,IS!$A:$F,$2:$2,0),0)</f>
        <v>0</v>
      </c>
      <c r="E914" s="217">
        <f>IF(ISNUMBER(VLOOKUP($B:$B,IS!$A:$F,$2:$2,0)),VLOOKUP($B:$B,IS!$A:$F,$2:$2,0),0)</f>
        <v>0</v>
      </c>
      <c r="F914" s="217">
        <f>IF(ISNUMBER(VLOOKUP($B:$B,IS!$A:$F,$2:$2,0)),VLOOKUP($B:$B,IS!$A:$F,$2:$2,0),0)</f>
        <v>0</v>
      </c>
      <c r="G914" s="217">
        <f>IF(ISNUMBER(VLOOKUP($B:$B,IS!$A:$F,$2:$2,0)),VLOOKUP($B:$B,IS!$A:$F,$2:$2,0),0)</f>
        <v>0</v>
      </c>
      <c r="H914" s="207">
        <f>IF(ISNUMBER(VLOOKUP($B:$B,'IS(과거)'!$A:$F,$2:$2,0)),VLOOKUP($B:$B,'IS(과거)'!$A:$F,$2:$2,0),0)</f>
        <v>0</v>
      </c>
      <c r="I914" s="207">
        <f>IF(ISNUMBER(VLOOKUP($B:$B,'IS(과거)'!$A:$F,$2:$2,0)),VLOOKUP($B:$B,'IS(과거)'!$A:$F,$2:$2,0),0)</f>
        <v>0</v>
      </c>
      <c r="J914" s="207">
        <f>IF(ISNUMBER(VLOOKUP($B:$B,'IS(과거)'!$A:$F,$2:$2,0)),VLOOKUP($B:$B,'IS(과거)'!$A:$F,$2:$2,0),0)</f>
        <v>0</v>
      </c>
      <c r="K914" s="207">
        <f>IF(ISNUMBER(VLOOKUP($B:$B,'IS(과거)'!$A:$F,$2:$2,0)),VLOOKUP($B:$B,'IS(과거)'!$A:$F,$2:$2,0),0)</f>
        <v>0</v>
      </c>
      <c r="L914" s="207">
        <f>IF(ISNUMBER(VLOOKUP($B:$B,'IS(과거)'!$A:$F,$2:$2,0)),VLOOKUP($B:$B,'IS(과거)'!$A:$F,$2:$2,0),0)</f>
        <v>0</v>
      </c>
      <c r="N914" s="207">
        <f>IF(ISNUMBER(VLOOKUP($B:$B,'IS(분기)'!$A:$F,$2:$2,0)),VLOOKUP($B:$B,'IS(분기)'!$A:$F,$2:$2,0),0)</f>
        <v>0</v>
      </c>
      <c r="O914" s="207">
        <f>IF(ISNUMBER(VLOOKUP($B:$B,'IS(분기)'!$A:$F,$2:$2,0)),VLOOKUP($B:$B,'IS(분기)'!$A:$F,$2:$2,0),0)</f>
        <v>0</v>
      </c>
      <c r="P914" s="207">
        <f>IF(ISNUMBER(VLOOKUP($B:$B,'IS(분기)'!$A:$F,$2:$2,0)),VLOOKUP($B:$B,'IS(분기)'!$A:$F,$2:$2,0),0)</f>
        <v>0</v>
      </c>
      <c r="Q914" s="207">
        <f>IF(ISNUMBER(VLOOKUP($B:$B,'IS(분기)'!$A:$F,$2:$2,0)),VLOOKUP($B:$B,'IS(분기)'!$A:$F,$2:$2,0),0)</f>
        <v>0</v>
      </c>
      <c r="R914" s="207">
        <f>IF(ISNUMBER(VLOOKUP($B:$B,'IS(분기)'!$A:$F,$2:$2,0)),VLOOKUP($B:$B,'IS(분기)'!$A:$F,$2:$2,0),0)</f>
        <v>0</v>
      </c>
    </row>
    <row r="915" spans="1:18" s="192" customFormat="1" ht="12">
      <c r="A915" s="202">
        <v>124321</v>
      </c>
      <c r="B915" s="195" t="s">
        <v>636</v>
      </c>
      <c r="C915" s="217">
        <f>IF(ISNUMBER(VLOOKUP($B:$B,IS!$A:$F,$2:$2,0)),VLOOKUP($B:$B,IS!$A:$F,$2:$2,0),0)</f>
        <v>0</v>
      </c>
      <c r="D915" s="217">
        <f>IF(ISNUMBER(VLOOKUP($B:$B,IS!$A:$F,$2:$2,0)),VLOOKUP($B:$B,IS!$A:$F,$2:$2,0),0)</f>
        <v>0</v>
      </c>
      <c r="E915" s="217">
        <f>IF(ISNUMBER(VLOOKUP($B:$B,IS!$A:$F,$2:$2,0)),VLOOKUP($B:$B,IS!$A:$F,$2:$2,0),0)</f>
        <v>0</v>
      </c>
      <c r="F915" s="217">
        <f>IF(ISNUMBER(VLOOKUP($B:$B,IS!$A:$F,$2:$2,0)),VLOOKUP($B:$B,IS!$A:$F,$2:$2,0),0)</f>
        <v>0</v>
      </c>
      <c r="G915" s="217">
        <f>IF(ISNUMBER(VLOOKUP($B:$B,IS!$A:$F,$2:$2,0)),VLOOKUP($B:$B,IS!$A:$F,$2:$2,0),0)</f>
        <v>0</v>
      </c>
      <c r="H915" s="207">
        <f>IF(ISNUMBER(VLOOKUP($B:$B,'IS(과거)'!$A:$F,$2:$2,0)),VLOOKUP($B:$B,'IS(과거)'!$A:$F,$2:$2,0),0)</f>
        <v>0</v>
      </c>
      <c r="I915" s="207">
        <f>IF(ISNUMBER(VLOOKUP($B:$B,'IS(과거)'!$A:$F,$2:$2,0)),VLOOKUP($B:$B,'IS(과거)'!$A:$F,$2:$2,0),0)</f>
        <v>0</v>
      </c>
      <c r="J915" s="207">
        <f>IF(ISNUMBER(VLOOKUP($B:$B,'IS(과거)'!$A:$F,$2:$2,0)),VLOOKUP($B:$B,'IS(과거)'!$A:$F,$2:$2,0),0)</f>
        <v>0</v>
      </c>
      <c r="K915" s="207">
        <f>IF(ISNUMBER(VLOOKUP($B:$B,'IS(과거)'!$A:$F,$2:$2,0)),VLOOKUP($B:$B,'IS(과거)'!$A:$F,$2:$2,0),0)</f>
        <v>0</v>
      </c>
      <c r="L915" s="207">
        <f>IF(ISNUMBER(VLOOKUP($B:$B,'IS(과거)'!$A:$F,$2:$2,0)),VLOOKUP($B:$B,'IS(과거)'!$A:$F,$2:$2,0),0)</f>
        <v>0</v>
      </c>
      <c r="N915" s="207">
        <f>IF(ISNUMBER(VLOOKUP($B:$B,'IS(분기)'!$A:$F,$2:$2,0)),VLOOKUP($B:$B,'IS(분기)'!$A:$F,$2:$2,0),0)</f>
        <v>0</v>
      </c>
      <c r="O915" s="207">
        <f>IF(ISNUMBER(VLOOKUP($B:$B,'IS(분기)'!$A:$F,$2:$2,0)),VLOOKUP($B:$B,'IS(분기)'!$A:$F,$2:$2,0),0)</f>
        <v>0</v>
      </c>
      <c r="P915" s="207">
        <f>IF(ISNUMBER(VLOOKUP($B:$B,'IS(분기)'!$A:$F,$2:$2,0)),VLOOKUP($B:$B,'IS(분기)'!$A:$F,$2:$2,0),0)</f>
        <v>0</v>
      </c>
      <c r="Q915" s="207">
        <f>IF(ISNUMBER(VLOOKUP($B:$B,'IS(분기)'!$A:$F,$2:$2,0)),VLOOKUP($B:$B,'IS(분기)'!$A:$F,$2:$2,0),0)</f>
        <v>0</v>
      </c>
      <c r="R915" s="207">
        <f>IF(ISNUMBER(VLOOKUP($B:$B,'IS(분기)'!$A:$F,$2:$2,0)),VLOOKUP($B:$B,'IS(분기)'!$A:$F,$2:$2,0),0)</f>
        <v>0</v>
      </c>
    </row>
    <row r="916" spans="1:18" s="192" customFormat="1" ht="12">
      <c r="A916" s="201">
        <v>124400</v>
      </c>
      <c r="B916" s="194" t="s">
        <v>1401</v>
      </c>
      <c r="C916" s="217">
        <f>IF(ISNUMBER(VLOOKUP($B:$B,IS!$A:$F,$2:$2,0)),VLOOKUP($B:$B,IS!$A:$F,$2:$2,0),0)</f>
        <v>236652</v>
      </c>
      <c r="D916" s="217">
        <f>IF(ISNUMBER(VLOOKUP($B:$B,IS!$A:$F,$2:$2,0)),VLOOKUP($B:$B,IS!$A:$F,$2:$2,0),0)</f>
        <v>0</v>
      </c>
      <c r="E916" s="217">
        <f>IF(ISNUMBER(VLOOKUP($B:$B,IS!$A:$F,$2:$2,0)),VLOOKUP($B:$B,IS!$A:$F,$2:$2,0),0)</f>
        <v>0</v>
      </c>
      <c r="F916" s="217">
        <f>IF(ISNUMBER(VLOOKUP($B:$B,IS!$A:$F,$2:$2,0)),VLOOKUP($B:$B,IS!$A:$F,$2:$2,0),0)</f>
        <v>0</v>
      </c>
      <c r="G916" s="217">
        <f>IF(ISNUMBER(VLOOKUP($B:$B,IS!$A:$F,$2:$2,0)),VLOOKUP($B:$B,IS!$A:$F,$2:$2,0),0)</f>
        <v>0</v>
      </c>
      <c r="H916" s="207">
        <f>IF(ISNUMBER(VLOOKUP($B:$B,'IS(과거)'!$A:$F,$2:$2,0)),VLOOKUP($B:$B,'IS(과거)'!$A:$F,$2:$2,0),0)</f>
        <v>0</v>
      </c>
      <c r="I916" s="207">
        <f>IF(ISNUMBER(VLOOKUP($B:$B,'IS(과거)'!$A:$F,$2:$2,0)),VLOOKUP($B:$B,'IS(과거)'!$A:$F,$2:$2,0),0)</f>
        <v>0</v>
      </c>
      <c r="J916" s="207">
        <f>IF(ISNUMBER(VLOOKUP($B:$B,'IS(과거)'!$A:$F,$2:$2,0)),VLOOKUP($B:$B,'IS(과거)'!$A:$F,$2:$2,0),0)</f>
        <v>0</v>
      </c>
      <c r="K916" s="207">
        <f>IF(ISNUMBER(VLOOKUP($B:$B,'IS(과거)'!$A:$F,$2:$2,0)),VLOOKUP($B:$B,'IS(과거)'!$A:$F,$2:$2,0),0)</f>
        <v>0</v>
      </c>
      <c r="L916" s="207">
        <f>IF(ISNUMBER(VLOOKUP($B:$B,'IS(과거)'!$A:$F,$2:$2,0)),VLOOKUP($B:$B,'IS(과거)'!$A:$F,$2:$2,0),0)</f>
        <v>0</v>
      </c>
      <c r="N916" s="207">
        <f>IF(ISNUMBER(VLOOKUP($B:$B,'IS(분기)'!$A:$F,$2:$2,0)),VLOOKUP($B:$B,'IS(분기)'!$A:$F,$2:$2,0),0)</f>
        <v>0</v>
      </c>
      <c r="O916" s="207">
        <f>IF(ISNUMBER(VLOOKUP($B:$B,'IS(분기)'!$A:$F,$2:$2,0)),VLOOKUP($B:$B,'IS(분기)'!$A:$F,$2:$2,0),0)</f>
        <v>0</v>
      </c>
      <c r="P916" s="207">
        <f>IF(ISNUMBER(VLOOKUP($B:$B,'IS(분기)'!$A:$F,$2:$2,0)),VLOOKUP($B:$B,'IS(분기)'!$A:$F,$2:$2,0),0)</f>
        <v>0</v>
      </c>
      <c r="Q916" s="207">
        <f>IF(ISNUMBER(VLOOKUP($B:$B,'IS(분기)'!$A:$F,$2:$2,0)),VLOOKUP($B:$B,'IS(분기)'!$A:$F,$2:$2,0),0)</f>
        <v>0</v>
      </c>
      <c r="R916" s="207">
        <f>IF(ISNUMBER(VLOOKUP($B:$B,'IS(분기)'!$A:$F,$2:$2,0)),VLOOKUP($B:$B,'IS(분기)'!$A:$F,$2:$2,0),0)</f>
        <v>0</v>
      </c>
    </row>
    <row r="917" spans="1:18" s="192" customFormat="1" ht="12">
      <c r="A917" s="202">
        <v>124406</v>
      </c>
      <c r="B917" s="195" t="s">
        <v>637</v>
      </c>
      <c r="C917" s="217">
        <f>IF(ISNUMBER(VLOOKUP($B:$B,IS!$A:$F,$2:$2,0)),VLOOKUP($B:$B,IS!$A:$F,$2:$2,0),0)</f>
        <v>0</v>
      </c>
      <c r="D917" s="217">
        <f>IF(ISNUMBER(VLOOKUP($B:$B,IS!$A:$F,$2:$2,0)),VLOOKUP($B:$B,IS!$A:$F,$2:$2,0),0)</f>
        <v>0</v>
      </c>
      <c r="E917" s="217">
        <f>IF(ISNUMBER(VLOOKUP($B:$B,IS!$A:$F,$2:$2,0)),VLOOKUP($B:$B,IS!$A:$F,$2:$2,0),0)</f>
        <v>0</v>
      </c>
      <c r="F917" s="217">
        <f>IF(ISNUMBER(VLOOKUP($B:$B,IS!$A:$F,$2:$2,0)),VLOOKUP($B:$B,IS!$A:$F,$2:$2,0),0)</f>
        <v>0</v>
      </c>
      <c r="G917" s="217">
        <f>IF(ISNUMBER(VLOOKUP($B:$B,IS!$A:$F,$2:$2,0)),VLOOKUP($B:$B,IS!$A:$F,$2:$2,0),0)</f>
        <v>0</v>
      </c>
      <c r="H917" s="207">
        <f>IF(ISNUMBER(VLOOKUP($B:$B,'IS(과거)'!$A:$F,$2:$2,0)),VLOOKUP($B:$B,'IS(과거)'!$A:$F,$2:$2,0),0)</f>
        <v>0</v>
      </c>
      <c r="I917" s="207">
        <f>IF(ISNUMBER(VLOOKUP($B:$B,'IS(과거)'!$A:$F,$2:$2,0)),VLOOKUP($B:$B,'IS(과거)'!$A:$F,$2:$2,0),0)</f>
        <v>0</v>
      </c>
      <c r="J917" s="207">
        <f>IF(ISNUMBER(VLOOKUP($B:$B,'IS(과거)'!$A:$F,$2:$2,0)),VLOOKUP($B:$B,'IS(과거)'!$A:$F,$2:$2,0),0)</f>
        <v>0</v>
      </c>
      <c r="K917" s="207">
        <f>IF(ISNUMBER(VLOOKUP($B:$B,'IS(과거)'!$A:$F,$2:$2,0)),VLOOKUP($B:$B,'IS(과거)'!$A:$F,$2:$2,0),0)</f>
        <v>0</v>
      </c>
      <c r="L917" s="207">
        <f>IF(ISNUMBER(VLOOKUP($B:$B,'IS(과거)'!$A:$F,$2:$2,0)),VLOOKUP($B:$B,'IS(과거)'!$A:$F,$2:$2,0),0)</f>
        <v>0</v>
      </c>
      <c r="N917" s="207">
        <f>IF(ISNUMBER(VLOOKUP($B:$B,'IS(분기)'!$A:$F,$2:$2,0)),VLOOKUP($B:$B,'IS(분기)'!$A:$F,$2:$2,0),0)</f>
        <v>0</v>
      </c>
      <c r="O917" s="207">
        <f>IF(ISNUMBER(VLOOKUP($B:$B,'IS(분기)'!$A:$F,$2:$2,0)),VLOOKUP($B:$B,'IS(분기)'!$A:$F,$2:$2,0),0)</f>
        <v>0</v>
      </c>
      <c r="P917" s="207">
        <f>IF(ISNUMBER(VLOOKUP($B:$B,'IS(분기)'!$A:$F,$2:$2,0)),VLOOKUP($B:$B,'IS(분기)'!$A:$F,$2:$2,0),0)</f>
        <v>0</v>
      </c>
      <c r="Q917" s="207">
        <f>IF(ISNUMBER(VLOOKUP($B:$B,'IS(분기)'!$A:$F,$2:$2,0)),VLOOKUP($B:$B,'IS(분기)'!$A:$F,$2:$2,0),0)</f>
        <v>0</v>
      </c>
      <c r="R917" s="207">
        <f>IF(ISNUMBER(VLOOKUP($B:$B,'IS(분기)'!$A:$F,$2:$2,0)),VLOOKUP($B:$B,'IS(분기)'!$A:$F,$2:$2,0),0)</f>
        <v>0</v>
      </c>
    </row>
    <row r="918" spans="1:18" s="192" customFormat="1" ht="12">
      <c r="A918" s="202">
        <v>124410</v>
      </c>
      <c r="B918" s="195" t="s">
        <v>638</v>
      </c>
      <c r="C918" s="217">
        <f>IF(ISNUMBER(VLOOKUP($B:$B,IS!$A:$F,$2:$2,0)),VLOOKUP($B:$B,IS!$A:$F,$2:$2,0),0)</f>
        <v>0</v>
      </c>
      <c r="D918" s="217">
        <f>IF(ISNUMBER(VLOOKUP($B:$B,IS!$A:$F,$2:$2,0)),VLOOKUP($B:$B,IS!$A:$F,$2:$2,0),0)</f>
        <v>0</v>
      </c>
      <c r="E918" s="217">
        <f>IF(ISNUMBER(VLOOKUP($B:$B,IS!$A:$F,$2:$2,0)),VLOOKUP($B:$B,IS!$A:$F,$2:$2,0),0)</f>
        <v>0</v>
      </c>
      <c r="F918" s="217">
        <f>IF(ISNUMBER(VLOOKUP($B:$B,IS!$A:$F,$2:$2,0)),VLOOKUP($B:$B,IS!$A:$F,$2:$2,0),0)</f>
        <v>0</v>
      </c>
      <c r="G918" s="217">
        <f>IF(ISNUMBER(VLOOKUP($B:$B,IS!$A:$F,$2:$2,0)),VLOOKUP($B:$B,IS!$A:$F,$2:$2,0),0)</f>
        <v>0</v>
      </c>
      <c r="H918" s="207">
        <f>IF(ISNUMBER(VLOOKUP($B:$B,'IS(과거)'!$A:$F,$2:$2,0)),VLOOKUP($B:$B,'IS(과거)'!$A:$F,$2:$2,0),0)</f>
        <v>0</v>
      </c>
      <c r="I918" s="207">
        <f>IF(ISNUMBER(VLOOKUP($B:$B,'IS(과거)'!$A:$F,$2:$2,0)),VLOOKUP($B:$B,'IS(과거)'!$A:$F,$2:$2,0),0)</f>
        <v>0</v>
      </c>
      <c r="J918" s="207">
        <f>IF(ISNUMBER(VLOOKUP($B:$B,'IS(과거)'!$A:$F,$2:$2,0)),VLOOKUP($B:$B,'IS(과거)'!$A:$F,$2:$2,0),0)</f>
        <v>0</v>
      </c>
      <c r="K918" s="207">
        <f>IF(ISNUMBER(VLOOKUP($B:$B,'IS(과거)'!$A:$F,$2:$2,0)),VLOOKUP($B:$B,'IS(과거)'!$A:$F,$2:$2,0),0)</f>
        <v>0</v>
      </c>
      <c r="L918" s="207">
        <f>IF(ISNUMBER(VLOOKUP($B:$B,'IS(과거)'!$A:$F,$2:$2,0)),VLOOKUP($B:$B,'IS(과거)'!$A:$F,$2:$2,0),0)</f>
        <v>0</v>
      </c>
      <c r="N918" s="207">
        <f>IF(ISNUMBER(VLOOKUP($B:$B,'IS(분기)'!$A:$F,$2:$2,0)),VLOOKUP($B:$B,'IS(분기)'!$A:$F,$2:$2,0),0)</f>
        <v>0</v>
      </c>
      <c r="O918" s="207">
        <f>IF(ISNUMBER(VLOOKUP($B:$B,'IS(분기)'!$A:$F,$2:$2,0)),VLOOKUP($B:$B,'IS(분기)'!$A:$F,$2:$2,0),0)</f>
        <v>0</v>
      </c>
      <c r="P918" s="207">
        <f>IF(ISNUMBER(VLOOKUP($B:$B,'IS(분기)'!$A:$F,$2:$2,0)),VLOOKUP($B:$B,'IS(분기)'!$A:$F,$2:$2,0),0)</f>
        <v>0</v>
      </c>
      <c r="Q918" s="207">
        <f>IF(ISNUMBER(VLOOKUP($B:$B,'IS(분기)'!$A:$F,$2:$2,0)),VLOOKUP($B:$B,'IS(분기)'!$A:$F,$2:$2,0),0)</f>
        <v>0</v>
      </c>
      <c r="R918" s="207">
        <f>IF(ISNUMBER(VLOOKUP($B:$B,'IS(분기)'!$A:$F,$2:$2,0)),VLOOKUP($B:$B,'IS(분기)'!$A:$F,$2:$2,0),0)</f>
        <v>0</v>
      </c>
    </row>
    <row r="919" spans="1:18" s="192" customFormat="1" ht="12">
      <c r="A919" s="202">
        <v>124420</v>
      </c>
      <c r="B919" s="195" t="s">
        <v>639</v>
      </c>
      <c r="C919" s="217">
        <f>IF(ISNUMBER(VLOOKUP($B:$B,IS!$A:$F,$2:$2,0)),VLOOKUP($B:$B,IS!$A:$F,$2:$2,0),0)</f>
        <v>185614</v>
      </c>
      <c r="D919" s="217">
        <f>IF(ISNUMBER(VLOOKUP($B:$B,IS!$A:$F,$2:$2,0)),VLOOKUP($B:$B,IS!$A:$F,$2:$2,0),0)</f>
        <v>0</v>
      </c>
      <c r="E919" s="217">
        <f>IF(ISNUMBER(VLOOKUP($B:$B,IS!$A:$F,$2:$2,0)),VLOOKUP($B:$B,IS!$A:$F,$2:$2,0),0)</f>
        <v>0</v>
      </c>
      <c r="F919" s="217">
        <f>IF(ISNUMBER(VLOOKUP($B:$B,IS!$A:$F,$2:$2,0)),VLOOKUP($B:$B,IS!$A:$F,$2:$2,0),0)</f>
        <v>0</v>
      </c>
      <c r="G919" s="217">
        <f>IF(ISNUMBER(VLOOKUP($B:$B,IS!$A:$F,$2:$2,0)),VLOOKUP($B:$B,IS!$A:$F,$2:$2,0),0)</f>
        <v>0</v>
      </c>
      <c r="H919" s="207">
        <f>IF(ISNUMBER(VLOOKUP($B:$B,'IS(과거)'!$A:$F,$2:$2,0)),VLOOKUP($B:$B,'IS(과거)'!$A:$F,$2:$2,0),0)</f>
        <v>0</v>
      </c>
      <c r="I919" s="207">
        <f>IF(ISNUMBER(VLOOKUP($B:$B,'IS(과거)'!$A:$F,$2:$2,0)),VLOOKUP($B:$B,'IS(과거)'!$A:$F,$2:$2,0),0)</f>
        <v>0</v>
      </c>
      <c r="J919" s="207">
        <f>IF(ISNUMBER(VLOOKUP($B:$B,'IS(과거)'!$A:$F,$2:$2,0)),VLOOKUP($B:$B,'IS(과거)'!$A:$F,$2:$2,0),0)</f>
        <v>0</v>
      </c>
      <c r="K919" s="207">
        <f>IF(ISNUMBER(VLOOKUP($B:$B,'IS(과거)'!$A:$F,$2:$2,0)),VLOOKUP($B:$B,'IS(과거)'!$A:$F,$2:$2,0),0)</f>
        <v>0</v>
      </c>
      <c r="L919" s="207">
        <f>IF(ISNUMBER(VLOOKUP($B:$B,'IS(과거)'!$A:$F,$2:$2,0)),VLOOKUP($B:$B,'IS(과거)'!$A:$F,$2:$2,0),0)</f>
        <v>0</v>
      </c>
      <c r="N919" s="207">
        <f>IF(ISNUMBER(VLOOKUP($B:$B,'IS(분기)'!$A:$F,$2:$2,0)),VLOOKUP($B:$B,'IS(분기)'!$A:$F,$2:$2,0),0)</f>
        <v>0</v>
      </c>
      <c r="O919" s="207">
        <f>IF(ISNUMBER(VLOOKUP($B:$B,'IS(분기)'!$A:$F,$2:$2,0)),VLOOKUP($B:$B,'IS(분기)'!$A:$F,$2:$2,0),0)</f>
        <v>0</v>
      </c>
      <c r="P919" s="207">
        <f>IF(ISNUMBER(VLOOKUP($B:$B,'IS(분기)'!$A:$F,$2:$2,0)),VLOOKUP($B:$B,'IS(분기)'!$A:$F,$2:$2,0),0)</f>
        <v>0</v>
      </c>
      <c r="Q919" s="207">
        <f>IF(ISNUMBER(VLOOKUP($B:$B,'IS(분기)'!$A:$F,$2:$2,0)),VLOOKUP($B:$B,'IS(분기)'!$A:$F,$2:$2,0),0)</f>
        <v>0</v>
      </c>
      <c r="R919" s="207">
        <f>IF(ISNUMBER(VLOOKUP($B:$B,'IS(분기)'!$A:$F,$2:$2,0)),VLOOKUP($B:$B,'IS(분기)'!$A:$F,$2:$2,0),0)</f>
        <v>0</v>
      </c>
    </row>
    <row r="920" spans="1:18" s="192" customFormat="1" ht="12">
      <c r="A920" s="202">
        <v>124421</v>
      </c>
      <c r="B920" s="195" t="s">
        <v>640</v>
      </c>
      <c r="C920" s="217">
        <f>IF(ISNUMBER(VLOOKUP($B:$B,IS!$A:$F,$2:$2,0)),VLOOKUP($B:$B,IS!$A:$F,$2:$2,0),0)</f>
        <v>0</v>
      </c>
      <c r="D920" s="217">
        <f>IF(ISNUMBER(VLOOKUP($B:$B,IS!$A:$F,$2:$2,0)),VLOOKUP($B:$B,IS!$A:$F,$2:$2,0),0)</f>
        <v>0</v>
      </c>
      <c r="E920" s="217">
        <f>IF(ISNUMBER(VLOOKUP($B:$B,IS!$A:$F,$2:$2,0)),VLOOKUP($B:$B,IS!$A:$F,$2:$2,0),0)</f>
        <v>0</v>
      </c>
      <c r="F920" s="217">
        <f>IF(ISNUMBER(VLOOKUP($B:$B,IS!$A:$F,$2:$2,0)),VLOOKUP($B:$B,IS!$A:$F,$2:$2,0),0)</f>
        <v>0</v>
      </c>
      <c r="G920" s="217">
        <f>IF(ISNUMBER(VLOOKUP($B:$B,IS!$A:$F,$2:$2,0)),VLOOKUP($B:$B,IS!$A:$F,$2:$2,0),0)</f>
        <v>0</v>
      </c>
      <c r="H920" s="207">
        <f>IF(ISNUMBER(VLOOKUP($B:$B,'IS(과거)'!$A:$F,$2:$2,0)),VLOOKUP($B:$B,'IS(과거)'!$A:$F,$2:$2,0),0)</f>
        <v>0</v>
      </c>
      <c r="I920" s="207">
        <f>IF(ISNUMBER(VLOOKUP($B:$B,'IS(과거)'!$A:$F,$2:$2,0)),VLOOKUP($B:$B,'IS(과거)'!$A:$F,$2:$2,0),0)</f>
        <v>0</v>
      </c>
      <c r="J920" s="207">
        <f>IF(ISNUMBER(VLOOKUP($B:$B,'IS(과거)'!$A:$F,$2:$2,0)),VLOOKUP($B:$B,'IS(과거)'!$A:$F,$2:$2,0),0)</f>
        <v>0</v>
      </c>
      <c r="K920" s="207">
        <f>IF(ISNUMBER(VLOOKUP($B:$B,'IS(과거)'!$A:$F,$2:$2,0)),VLOOKUP($B:$B,'IS(과거)'!$A:$F,$2:$2,0),0)</f>
        <v>0</v>
      </c>
      <c r="L920" s="207">
        <f>IF(ISNUMBER(VLOOKUP($B:$B,'IS(과거)'!$A:$F,$2:$2,0)),VLOOKUP($B:$B,'IS(과거)'!$A:$F,$2:$2,0),0)</f>
        <v>0</v>
      </c>
      <c r="N920" s="207">
        <f>IF(ISNUMBER(VLOOKUP($B:$B,'IS(분기)'!$A:$F,$2:$2,0)),VLOOKUP($B:$B,'IS(분기)'!$A:$F,$2:$2,0),0)</f>
        <v>0</v>
      </c>
      <c r="O920" s="207">
        <f>IF(ISNUMBER(VLOOKUP($B:$B,'IS(분기)'!$A:$F,$2:$2,0)),VLOOKUP($B:$B,'IS(분기)'!$A:$F,$2:$2,0),0)</f>
        <v>0</v>
      </c>
      <c r="P920" s="207">
        <f>IF(ISNUMBER(VLOOKUP($B:$B,'IS(분기)'!$A:$F,$2:$2,0)),VLOOKUP($B:$B,'IS(분기)'!$A:$F,$2:$2,0),0)</f>
        <v>0</v>
      </c>
      <c r="Q920" s="207">
        <f>IF(ISNUMBER(VLOOKUP($B:$B,'IS(분기)'!$A:$F,$2:$2,0)),VLOOKUP($B:$B,'IS(분기)'!$A:$F,$2:$2,0),0)</f>
        <v>0</v>
      </c>
      <c r="R920" s="207">
        <f>IF(ISNUMBER(VLOOKUP($B:$B,'IS(분기)'!$A:$F,$2:$2,0)),VLOOKUP($B:$B,'IS(분기)'!$A:$F,$2:$2,0),0)</f>
        <v>0</v>
      </c>
    </row>
    <row r="921" spans="1:18" s="192" customFormat="1" ht="12">
      <c r="A921" s="202">
        <v>124440</v>
      </c>
      <c r="B921" s="195" t="s">
        <v>641</v>
      </c>
      <c r="C921" s="217">
        <f>IF(ISNUMBER(VLOOKUP($B:$B,IS!$A:$F,$2:$2,0)),VLOOKUP($B:$B,IS!$A:$F,$2:$2,0),0)</f>
        <v>50056</v>
      </c>
      <c r="D921" s="217">
        <f>IF(ISNUMBER(VLOOKUP($B:$B,IS!$A:$F,$2:$2,0)),VLOOKUP($B:$B,IS!$A:$F,$2:$2,0),0)</f>
        <v>0</v>
      </c>
      <c r="E921" s="217">
        <f>IF(ISNUMBER(VLOOKUP($B:$B,IS!$A:$F,$2:$2,0)),VLOOKUP($B:$B,IS!$A:$F,$2:$2,0),0)</f>
        <v>0</v>
      </c>
      <c r="F921" s="217">
        <f>IF(ISNUMBER(VLOOKUP($B:$B,IS!$A:$F,$2:$2,0)),VLOOKUP($B:$B,IS!$A:$F,$2:$2,0),0)</f>
        <v>0</v>
      </c>
      <c r="G921" s="217">
        <f>IF(ISNUMBER(VLOOKUP($B:$B,IS!$A:$F,$2:$2,0)),VLOOKUP($B:$B,IS!$A:$F,$2:$2,0),0)</f>
        <v>0</v>
      </c>
      <c r="H921" s="207">
        <f>IF(ISNUMBER(VLOOKUP($B:$B,'IS(과거)'!$A:$F,$2:$2,0)),VLOOKUP($B:$B,'IS(과거)'!$A:$F,$2:$2,0),0)</f>
        <v>0</v>
      </c>
      <c r="I921" s="207">
        <f>IF(ISNUMBER(VLOOKUP($B:$B,'IS(과거)'!$A:$F,$2:$2,0)),VLOOKUP($B:$B,'IS(과거)'!$A:$F,$2:$2,0),0)</f>
        <v>0</v>
      </c>
      <c r="J921" s="207">
        <f>IF(ISNUMBER(VLOOKUP($B:$B,'IS(과거)'!$A:$F,$2:$2,0)),VLOOKUP($B:$B,'IS(과거)'!$A:$F,$2:$2,0),0)</f>
        <v>0</v>
      </c>
      <c r="K921" s="207">
        <f>IF(ISNUMBER(VLOOKUP($B:$B,'IS(과거)'!$A:$F,$2:$2,0)),VLOOKUP($B:$B,'IS(과거)'!$A:$F,$2:$2,0),0)</f>
        <v>0</v>
      </c>
      <c r="L921" s="207">
        <f>IF(ISNUMBER(VLOOKUP($B:$B,'IS(과거)'!$A:$F,$2:$2,0)),VLOOKUP($B:$B,'IS(과거)'!$A:$F,$2:$2,0),0)</f>
        <v>0</v>
      </c>
      <c r="N921" s="207">
        <f>IF(ISNUMBER(VLOOKUP($B:$B,'IS(분기)'!$A:$F,$2:$2,0)),VLOOKUP($B:$B,'IS(분기)'!$A:$F,$2:$2,0),0)</f>
        <v>0</v>
      </c>
      <c r="O921" s="207">
        <f>IF(ISNUMBER(VLOOKUP($B:$B,'IS(분기)'!$A:$F,$2:$2,0)),VLOOKUP($B:$B,'IS(분기)'!$A:$F,$2:$2,0),0)</f>
        <v>0</v>
      </c>
      <c r="P921" s="207">
        <f>IF(ISNUMBER(VLOOKUP($B:$B,'IS(분기)'!$A:$F,$2:$2,0)),VLOOKUP($B:$B,'IS(분기)'!$A:$F,$2:$2,0),0)</f>
        <v>0</v>
      </c>
      <c r="Q921" s="207">
        <f>IF(ISNUMBER(VLOOKUP($B:$B,'IS(분기)'!$A:$F,$2:$2,0)),VLOOKUP($B:$B,'IS(분기)'!$A:$F,$2:$2,0),0)</f>
        <v>0</v>
      </c>
      <c r="R921" s="207">
        <f>IF(ISNUMBER(VLOOKUP($B:$B,'IS(분기)'!$A:$F,$2:$2,0)),VLOOKUP($B:$B,'IS(분기)'!$A:$F,$2:$2,0),0)</f>
        <v>0</v>
      </c>
    </row>
    <row r="922" spans="1:18" s="192" customFormat="1" ht="12">
      <c r="A922" s="202">
        <v>124450</v>
      </c>
      <c r="B922" s="195" t="s">
        <v>642</v>
      </c>
      <c r="C922" s="217">
        <f>IF(ISNUMBER(VLOOKUP($B:$B,IS!$A:$F,$2:$2,0)),VLOOKUP($B:$B,IS!$A:$F,$2:$2,0),0)</f>
        <v>981</v>
      </c>
      <c r="D922" s="217">
        <f>IF(ISNUMBER(VLOOKUP($B:$B,IS!$A:$F,$2:$2,0)),VLOOKUP($B:$B,IS!$A:$F,$2:$2,0),0)</f>
        <v>0</v>
      </c>
      <c r="E922" s="217">
        <f>IF(ISNUMBER(VLOOKUP($B:$B,IS!$A:$F,$2:$2,0)),VLOOKUP($B:$B,IS!$A:$F,$2:$2,0),0)</f>
        <v>0</v>
      </c>
      <c r="F922" s="217">
        <f>IF(ISNUMBER(VLOOKUP($B:$B,IS!$A:$F,$2:$2,0)),VLOOKUP($B:$B,IS!$A:$F,$2:$2,0),0)</f>
        <v>0</v>
      </c>
      <c r="G922" s="217">
        <f>IF(ISNUMBER(VLOOKUP($B:$B,IS!$A:$F,$2:$2,0)),VLOOKUP($B:$B,IS!$A:$F,$2:$2,0),0)</f>
        <v>0</v>
      </c>
      <c r="H922" s="207">
        <f>IF(ISNUMBER(VLOOKUP($B:$B,'IS(과거)'!$A:$F,$2:$2,0)),VLOOKUP($B:$B,'IS(과거)'!$A:$F,$2:$2,0),0)</f>
        <v>0</v>
      </c>
      <c r="I922" s="207">
        <f>IF(ISNUMBER(VLOOKUP($B:$B,'IS(과거)'!$A:$F,$2:$2,0)),VLOOKUP($B:$B,'IS(과거)'!$A:$F,$2:$2,0),0)</f>
        <v>0</v>
      </c>
      <c r="J922" s="207">
        <f>IF(ISNUMBER(VLOOKUP($B:$B,'IS(과거)'!$A:$F,$2:$2,0)),VLOOKUP($B:$B,'IS(과거)'!$A:$F,$2:$2,0),0)</f>
        <v>0</v>
      </c>
      <c r="K922" s="207">
        <f>IF(ISNUMBER(VLOOKUP($B:$B,'IS(과거)'!$A:$F,$2:$2,0)),VLOOKUP($B:$B,'IS(과거)'!$A:$F,$2:$2,0),0)</f>
        <v>0</v>
      </c>
      <c r="L922" s="207">
        <f>IF(ISNUMBER(VLOOKUP($B:$B,'IS(과거)'!$A:$F,$2:$2,0)),VLOOKUP($B:$B,'IS(과거)'!$A:$F,$2:$2,0),0)</f>
        <v>0</v>
      </c>
      <c r="N922" s="207">
        <f>IF(ISNUMBER(VLOOKUP($B:$B,'IS(분기)'!$A:$F,$2:$2,0)),VLOOKUP($B:$B,'IS(분기)'!$A:$F,$2:$2,0),0)</f>
        <v>0</v>
      </c>
      <c r="O922" s="207">
        <f>IF(ISNUMBER(VLOOKUP($B:$B,'IS(분기)'!$A:$F,$2:$2,0)),VLOOKUP($B:$B,'IS(분기)'!$A:$F,$2:$2,0),0)</f>
        <v>0</v>
      </c>
      <c r="P922" s="207">
        <f>IF(ISNUMBER(VLOOKUP($B:$B,'IS(분기)'!$A:$F,$2:$2,0)),VLOOKUP($B:$B,'IS(분기)'!$A:$F,$2:$2,0),0)</f>
        <v>0</v>
      </c>
      <c r="Q922" s="207">
        <f>IF(ISNUMBER(VLOOKUP($B:$B,'IS(분기)'!$A:$F,$2:$2,0)),VLOOKUP($B:$B,'IS(분기)'!$A:$F,$2:$2,0),0)</f>
        <v>0</v>
      </c>
      <c r="R922" s="207">
        <f>IF(ISNUMBER(VLOOKUP($B:$B,'IS(분기)'!$A:$F,$2:$2,0)),VLOOKUP($B:$B,'IS(분기)'!$A:$F,$2:$2,0),0)</f>
        <v>0</v>
      </c>
    </row>
    <row r="923" spans="1:18" s="192" customFormat="1" ht="12">
      <c r="A923" s="203">
        <v>124451</v>
      </c>
      <c r="B923" s="196" t="s">
        <v>1402</v>
      </c>
      <c r="C923" s="217">
        <f>IF(ISNUMBER(VLOOKUP($B:$B,IS!$A:$F,$2:$2,0)),VLOOKUP($B:$B,IS!$A:$F,$2:$2,0),0)</f>
        <v>0</v>
      </c>
      <c r="D923" s="217">
        <f>IF(ISNUMBER(VLOOKUP($B:$B,IS!$A:$F,$2:$2,0)),VLOOKUP($B:$B,IS!$A:$F,$2:$2,0),0)</f>
        <v>0</v>
      </c>
      <c r="E923" s="217">
        <f>IF(ISNUMBER(VLOOKUP($B:$B,IS!$A:$F,$2:$2,0)),VLOOKUP($B:$B,IS!$A:$F,$2:$2,0),0)</f>
        <v>0</v>
      </c>
      <c r="F923" s="217">
        <f>IF(ISNUMBER(VLOOKUP($B:$B,IS!$A:$F,$2:$2,0)),VLOOKUP($B:$B,IS!$A:$F,$2:$2,0),0)</f>
        <v>0</v>
      </c>
      <c r="G923" s="217">
        <f>IF(ISNUMBER(VLOOKUP($B:$B,IS!$A:$F,$2:$2,0)),VLOOKUP($B:$B,IS!$A:$F,$2:$2,0),0)</f>
        <v>0</v>
      </c>
      <c r="H923" s="207">
        <f>IF(ISNUMBER(VLOOKUP($B:$B,'IS(과거)'!$A:$F,$2:$2,0)),VLOOKUP($B:$B,'IS(과거)'!$A:$F,$2:$2,0),0)</f>
        <v>0</v>
      </c>
      <c r="I923" s="207">
        <f>IF(ISNUMBER(VLOOKUP($B:$B,'IS(과거)'!$A:$F,$2:$2,0)),VLOOKUP($B:$B,'IS(과거)'!$A:$F,$2:$2,0),0)</f>
        <v>0</v>
      </c>
      <c r="J923" s="207">
        <f>IF(ISNUMBER(VLOOKUP($B:$B,'IS(과거)'!$A:$F,$2:$2,0)),VLOOKUP($B:$B,'IS(과거)'!$A:$F,$2:$2,0),0)</f>
        <v>0</v>
      </c>
      <c r="K923" s="207">
        <f>IF(ISNUMBER(VLOOKUP($B:$B,'IS(과거)'!$A:$F,$2:$2,0)),VLOOKUP($B:$B,'IS(과거)'!$A:$F,$2:$2,0),0)</f>
        <v>0</v>
      </c>
      <c r="L923" s="207">
        <f>IF(ISNUMBER(VLOOKUP($B:$B,'IS(과거)'!$A:$F,$2:$2,0)),VLOOKUP($B:$B,'IS(과거)'!$A:$F,$2:$2,0),0)</f>
        <v>0</v>
      </c>
      <c r="N923" s="207">
        <f>IF(ISNUMBER(VLOOKUP($B:$B,'IS(분기)'!$A:$F,$2:$2,0)),VLOOKUP($B:$B,'IS(분기)'!$A:$F,$2:$2,0),0)</f>
        <v>0</v>
      </c>
      <c r="O923" s="207">
        <f>IF(ISNUMBER(VLOOKUP($B:$B,'IS(분기)'!$A:$F,$2:$2,0)),VLOOKUP($B:$B,'IS(분기)'!$A:$F,$2:$2,0),0)</f>
        <v>0</v>
      </c>
      <c r="P923" s="207">
        <f>IF(ISNUMBER(VLOOKUP($B:$B,'IS(분기)'!$A:$F,$2:$2,0)),VLOOKUP($B:$B,'IS(분기)'!$A:$F,$2:$2,0),0)</f>
        <v>0</v>
      </c>
      <c r="Q923" s="207">
        <f>IF(ISNUMBER(VLOOKUP($B:$B,'IS(분기)'!$A:$F,$2:$2,0)),VLOOKUP($B:$B,'IS(분기)'!$A:$F,$2:$2,0),0)</f>
        <v>0</v>
      </c>
      <c r="R923" s="207">
        <f>IF(ISNUMBER(VLOOKUP($B:$B,'IS(분기)'!$A:$F,$2:$2,0)),VLOOKUP($B:$B,'IS(분기)'!$A:$F,$2:$2,0),0)</f>
        <v>0</v>
      </c>
    </row>
    <row r="924" spans="1:18" s="192" customFormat="1" ht="12">
      <c r="A924" s="203">
        <v>124452</v>
      </c>
      <c r="B924" s="196" t="s">
        <v>1403</v>
      </c>
      <c r="C924" s="217">
        <f>IF(ISNUMBER(VLOOKUP($B:$B,IS!$A:$F,$2:$2,0)),VLOOKUP($B:$B,IS!$A:$F,$2:$2,0),0)</f>
        <v>0</v>
      </c>
      <c r="D924" s="217">
        <f>IF(ISNUMBER(VLOOKUP($B:$B,IS!$A:$F,$2:$2,0)),VLOOKUP($B:$B,IS!$A:$F,$2:$2,0),0)</f>
        <v>0</v>
      </c>
      <c r="E924" s="217">
        <f>IF(ISNUMBER(VLOOKUP($B:$B,IS!$A:$F,$2:$2,0)),VLOOKUP($B:$B,IS!$A:$F,$2:$2,0),0)</f>
        <v>0</v>
      </c>
      <c r="F924" s="217">
        <f>IF(ISNUMBER(VLOOKUP($B:$B,IS!$A:$F,$2:$2,0)),VLOOKUP($B:$B,IS!$A:$F,$2:$2,0),0)</f>
        <v>0</v>
      </c>
      <c r="G924" s="217">
        <f>IF(ISNUMBER(VLOOKUP($B:$B,IS!$A:$F,$2:$2,0)),VLOOKUP($B:$B,IS!$A:$F,$2:$2,0),0)</f>
        <v>0</v>
      </c>
      <c r="H924" s="207">
        <f>IF(ISNUMBER(VLOOKUP($B:$B,'IS(과거)'!$A:$F,$2:$2,0)),VLOOKUP($B:$B,'IS(과거)'!$A:$F,$2:$2,0),0)</f>
        <v>0</v>
      </c>
      <c r="I924" s="207">
        <f>IF(ISNUMBER(VLOOKUP($B:$B,'IS(과거)'!$A:$F,$2:$2,0)),VLOOKUP($B:$B,'IS(과거)'!$A:$F,$2:$2,0),0)</f>
        <v>0</v>
      </c>
      <c r="J924" s="207">
        <f>IF(ISNUMBER(VLOOKUP($B:$B,'IS(과거)'!$A:$F,$2:$2,0)),VLOOKUP($B:$B,'IS(과거)'!$A:$F,$2:$2,0),0)</f>
        <v>0</v>
      </c>
      <c r="K924" s="207">
        <f>IF(ISNUMBER(VLOOKUP($B:$B,'IS(과거)'!$A:$F,$2:$2,0)),VLOOKUP($B:$B,'IS(과거)'!$A:$F,$2:$2,0),0)</f>
        <v>0</v>
      </c>
      <c r="L924" s="207">
        <f>IF(ISNUMBER(VLOOKUP($B:$B,'IS(과거)'!$A:$F,$2:$2,0)),VLOOKUP($B:$B,'IS(과거)'!$A:$F,$2:$2,0),0)</f>
        <v>0</v>
      </c>
      <c r="N924" s="207">
        <f>IF(ISNUMBER(VLOOKUP($B:$B,'IS(분기)'!$A:$F,$2:$2,0)),VLOOKUP($B:$B,'IS(분기)'!$A:$F,$2:$2,0),0)</f>
        <v>0</v>
      </c>
      <c r="O924" s="207">
        <f>IF(ISNUMBER(VLOOKUP($B:$B,'IS(분기)'!$A:$F,$2:$2,0)),VLOOKUP($B:$B,'IS(분기)'!$A:$F,$2:$2,0),0)</f>
        <v>0</v>
      </c>
      <c r="P924" s="207">
        <f>IF(ISNUMBER(VLOOKUP($B:$B,'IS(분기)'!$A:$F,$2:$2,0)),VLOOKUP($B:$B,'IS(분기)'!$A:$F,$2:$2,0),0)</f>
        <v>0</v>
      </c>
      <c r="Q924" s="207">
        <f>IF(ISNUMBER(VLOOKUP($B:$B,'IS(분기)'!$A:$F,$2:$2,0)),VLOOKUP($B:$B,'IS(분기)'!$A:$F,$2:$2,0),0)</f>
        <v>0</v>
      </c>
      <c r="R924" s="207">
        <f>IF(ISNUMBER(VLOOKUP($B:$B,'IS(분기)'!$A:$F,$2:$2,0)),VLOOKUP($B:$B,'IS(분기)'!$A:$F,$2:$2,0),0)</f>
        <v>0</v>
      </c>
    </row>
    <row r="925" spans="1:18" s="192" customFormat="1" ht="12">
      <c r="A925" s="203">
        <v>124461</v>
      </c>
      <c r="B925" s="196" t="s">
        <v>1404</v>
      </c>
      <c r="C925" s="217">
        <f>IF(ISNUMBER(VLOOKUP($B:$B,IS!$A:$F,$2:$2,0)),VLOOKUP($B:$B,IS!$A:$F,$2:$2,0),0)</f>
        <v>0</v>
      </c>
      <c r="D925" s="217">
        <f>IF(ISNUMBER(VLOOKUP($B:$B,IS!$A:$F,$2:$2,0)),VLOOKUP($B:$B,IS!$A:$F,$2:$2,0),0)</f>
        <v>0</v>
      </c>
      <c r="E925" s="217">
        <f>IF(ISNUMBER(VLOOKUP($B:$B,IS!$A:$F,$2:$2,0)),VLOOKUP($B:$B,IS!$A:$F,$2:$2,0),0)</f>
        <v>0</v>
      </c>
      <c r="F925" s="217">
        <f>IF(ISNUMBER(VLOOKUP($B:$B,IS!$A:$F,$2:$2,0)),VLOOKUP($B:$B,IS!$A:$F,$2:$2,0),0)</f>
        <v>0</v>
      </c>
      <c r="G925" s="217">
        <f>IF(ISNUMBER(VLOOKUP($B:$B,IS!$A:$F,$2:$2,0)),VLOOKUP($B:$B,IS!$A:$F,$2:$2,0),0)</f>
        <v>0</v>
      </c>
      <c r="H925" s="207">
        <f>IF(ISNUMBER(VLOOKUP($B:$B,'IS(과거)'!$A:$F,$2:$2,0)),VLOOKUP($B:$B,'IS(과거)'!$A:$F,$2:$2,0),0)</f>
        <v>0</v>
      </c>
      <c r="I925" s="207">
        <f>IF(ISNUMBER(VLOOKUP($B:$B,'IS(과거)'!$A:$F,$2:$2,0)),VLOOKUP($B:$B,'IS(과거)'!$A:$F,$2:$2,0),0)</f>
        <v>0</v>
      </c>
      <c r="J925" s="207">
        <f>IF(ISNUMBER(VLOOKUP($B:$B,'IS(과거)'!$A:$F,$2:$2,0)),VLOOKUP($B:$B,'IS(과거)'!$A:$F,$2:$2,0),0)</f>
        <v>0</v>
      </c>
      <c r="K925" s="207">
        <f>IF(ISNUMBER(VLOOKUP($B:$B,'IS(과거)'!$A:$F,$2:$2,0)),VLOOKUP($B:$B,'IS(과거)'!$A:$F,$2:$2,0),0)</f>
        <v>0</v>
      </c>
      <c r="L925" s="207">
        <f>IF(ISNUMBER(VLOOKUP($B:$B,'IS(과거)'!$A:$F,$2:$2,0)),VLOOKUP($B:$B,'IS(과거)'!$A:$F,$2:$2,0),0)</f>
        <v>0</v>
      </c>
      <c r="N925" s="207">
        <f>IF(ISNUMBER(VLOOKUP($B:$B,'IS(분기)'!$A:$F,$2:$2,0)),VLOOKUP($B:$B,'IS(분기)'!$A:$F,$2:$2,0),0)</f>
        <v>0</v>
      </c>
      <c r="O925" s="207">
        <f>IF(ISNUMBER(VLOOKUP($B:$B,'IS(분기)'!$A:$F,$2:$2,0)),VLOOKUP($B:$B,'IS(분기)'!$A:$F,$2:$2,0),0)</f>
        <v>0</v>
      </c>
      <c r="P925" s="207">
        <f>IF(ISNUMBER(VLOOKUP($B:$B,'IS(분기)'!$A:$F,$2:$2,0)),VLOOKUP($B:$B,'IS(분기)'!$A:$F,$2:$2,0),0)</f>
        <v>0</v>
      </c>
      <c r="Q925" s="207">
        <f>IF(ISNUMBER(VLOOKUP($B:$B,'IS(분기)'!$A:$F,$2:$2,0)),VLOOKUP($B:$B,'IS(분기)'!$A:$F,$2:$2,0),0)</f>
        <v>0</v>
      </c>
      <c r="R925" s="207">
        <f>IF(ISNUMBER(VLOOKUP($B:$B,'IS(분기)'!$A:$F,$2:$2,0)),VLOOKUP($B:$B,'IS(분기)'!$A:$F,$2:$2,0),0)</f>
        <v>0</v>
      </c>
    </row>
    <row r="926" spans="1:18" s="192" customFormat="1" ht="12">
      <c r="A926" s="203">
        <v>124453</v>
      </c>
      <c r="B926" s="196" t="s">
        <v>1405</v>
      </c>
      <c r="C926" s="217">
        <f>IF(ISNUMBER(VLOOKUP($B:$B,IS!$A:$F,$2:$2,0)),VLOOKUP($B:$B,IS!$A:$F,$2:$2,0),0)</f>
        <v>981</v>
      </c>
      <c r="D926" s="217">
        <f>IF(ISNUMBER(VLOOKUP($B:$B,IS!$A:$F,$2:$2,0)),VLOOKUP($B:$B,IS!$A:$F,$2:$2,0),0)</f>
        <v>0</v>
      </c>
      <c r="E926" s="217">
        <f>IF(ISNUMBER(VLOOKUP($B:$B,IS!$A:$F,$2:$2,0)),VLOOKUP($B:$B,IS!$A:$F,$2:$2,0),0)</f>
        <v>0</v>
      </c>
      <c r="F926" s="217">
        <f>IF(ISNUMBER(VLOOKUP($B:$B,IS!$A:$F,$2:$2,0)),VLOOKUP($B:$B,IS!$A:$F,$2:$2,0),0)</f>
        <v>0</v>
      </c>
      <c r="G926" s="217">
        <f>IF(ISNUMBER(VLOOKUP($B:$B,IS!$A:$F,$2:$2,0)),VLOOKUP($B:$B,IS!$A:$F,$2:$2,0),0)</f>
        <v>0</v>
      </c>
      <c r="H926" s="207">
        <f>IF(ISNUMBER(VLOOKUP($B:$B,'IS(과거)'!$A:$F,$2:$2,0)),VLOOKUP($B:$B,'IS(과거)'!$A:$F,$2:$2,0),0)</f>
        <v>0</v>
      </c>
      <c r="I926" s="207">
        <f>IF(ISNUMBER(VLOOKUP($B:$B,'IS(과거)'!$A:$F,$2:$2,0)),VLOOKUP($B:$B,'IS(과거)'!$A:$F,$2:$2,0),0)</f>
        <v>0</v>
      </c>
      <c r="J926" s="207">
        <f>IF(ISNUMBER(VLOOKUP($B:$B,'IS(과거)'!$A:$F,$2:$2,0)),VLOOKUP($B:$B,'IS(과거)'!$A:$F,$2:$2,0),0)</f>
        <v>0</v>
      </c>
      <c r="K926" s="207">
        <f>IF(ISNUMBER(VLOOKUP($B:$B,'IS(과거)'!$A:$F,$2:$2,0)),VLOOKUP($B:$B,'IS(과거)'!$A:$F,$2:$2,0),0)</f>
        <v>0</v>
      </c>
      <c r="L926" s="207">
        <f>IF(ISNUMBER(VLOOKUP($B:$B,'IS(과거)'!$A:$F,$2:$2,0)),VLOOKUP($B:$B,'IS(과거)'!$A:$F,$2:$2,0),0)</f>
        <v>0</v>
      </c>
      <c r="N926" s="207">
        <f>IF(ISNUMBER(VLOOKUP($B:$B,'IS(분기)'!$A:$F,$2:$2,0)),VLOOKUP($B:$B,'IS(분기)'!$A:$F,$2:$2,0),0)</f>
        <v>0</v>
      </c>
      <c r="O926" s="207">
        <f>IF(ISNUMBER(VLOOKUP($B:$B,'IS(분기)'!$A:$F,$2:$2,0)),VLOOKUP($B:$B,'IS(분기)'!$A:$F,$2:$2,0),0)</f>
        <v>0</v>
      </c>
      <c r="P926" s="207">
        <f>IF(ISNUMBER(VLOOKUP($B:$B,'IS(분기)'!$A:$F,$2:$2,0)),VLOOKUP($B:$B,'IS(분기)'!$A:$F,$2:$2,0),0)</f>
        <v>0</v>
      </c>
      <c r="Q926" s="207">
        <f>IF(ISNUMBER(VLOOKUP($B:$B,'IS(분기)'!$A:$F,$2:$2,0)),VLOOKUP($B:$B,'IS(분기)'!$A:$F,$2:$2,0),0)</f>
        <v>0</v>
      </c>
      <c r="R926" s="207">
        <f>IF(ISNUMBER(VLOOKUP($B:$B,'IS(분기)'!$A:$F,$2:$2,0)),VLOOKUP($B:$B,'IS(분기)'!$A:$F,$2:$2,0),0)</f>
        <v>0</v>
      </c>
    </row>
    <row r="927" spans="1:18" s="192" customFormat="1" ht="12">
      <c r="A927" s="203">
        <v>124462</v>
      </c>
      <c r="B927" s="196" t="s">
        <v>1406</v>
      </c>
      <c r="C927" s="217">
        <f>IF(ISNUMBER(VLOOKUP($B:$B,IS!$A:$F,$2:$2,0)),VLOOKUP($B:$B,IS!$A:$F,$2:$2,0),0)</f>
        <v>0</v>
      </c>
      <c r="D927" s="217">
        <f>IF(ISNUMBER(VLOOKUP($B:$B,IS!$A:$F,$2:$2,0)),VLOOKUP($B:$B,IS!$A:$F,$2:$2,0),0)</f>
        <v>0</v>
      </c>
      <c r="E927" s="217">
        <f>IF(ISNUMBER(VLOOKUP($B:$B,IS!$A:$F,$2:$2,0)),VLOOKUP($B:$B,IS!$A:$F,$2:$2,0),0)</f>
        <v>0</v>
      </c>
      <c r="F927" s="217">
        <f>IF(ISNUMBER(VLOOKUP($B:$B,IS!$A:$F,$2:$2,0)),VLOOKUP($B:$B,IS!$A:$F,$2:$2,0),0)</f>
        <v>0</v>
      </c>
      <c r="G927" s="217">
        <f>IF(ISNUMBER(VLOOKUP($B:$B,IS!$A:$F,$2:$2,0)),VLOOKUP($B:$B,IS!$A:$F,$2:$2,0),0)</f>
        <v>0</v>
      </c>
      <c r="H927" s="207">
        <f>IF(ISNUMBER(VLOOKUP($B:$B,'IS(과거)'!$A:$F,$2:$2,0)),VLOOKUP($B:$B,'IS(과거)'!$A:$F,$2:$2,0),0)</f>
        <v>0</v>
      </c>
      <c r="I927" s="207">
        <f>IF(ISNUMBER(VLOOKUP($B:$B,'IS(과거)'!$A:$F,$2:$2,0)),VLOOKUP($B:$B,'IS(과거)'!$A:$F,$2:$2,0),0)</f>
        <v>0</v>
      </c>
      <c r="J927" s="207">
        <f>IF(ISNUMBER(VLOOKUP($B:$B,'IS(과거)'!$A:$F,$2:$2,0)),VLOOKUP($B:$B,'IS(과거)'!$A:$F,$2:$2,0),0)</f>
        <v>0</v>
      </c>
      <c r="K927" s="207">
        <f>IF(ISNUMBER(VLOOKUP($B:$B,'IS(과거)'!$A:$F,$2:$2,0)),VLOOKUP($B:$B,'IS(과거)'!$A:$F,$2:$2,0),0)</f>
        <v>0</v>
      </c>
      <c r="L927" s="207">
        <f>IF(ISNUMBER(VLOOKUP($B:$B,'IS(과거)'!$A:$F,$2:$2,0)),VLOOKUP($B:$B,'IS(과거)'!$A:$F,$2:$2,0),0)</f>
        <v>0</v>
      </c>
      <c r="N927" s="207">
        <f>IF(ISNUMBER(VLOOKUP($B:$B,'IS(분기)'!$A:$F,$2:$2,0)),VLOOKUP($B:$B,'IS(분기)'!$A:$F,$2:$2,0),0)</f>
        <v>0</v>
      </c>
      <c r="O927" s="207">
        <f>IF(ISNUMBER(VLOOKUP($B:$B,'IS(분기)'!$A:$F,$2:$2,0)),VLOOKUP($B:$B,'IS(분기)'!$A:$F,$2:$2,0),0)</f>
        <v>0</v>
      </c>
      <c r="P927" s="207">
        <f>IF(ISNUMBER(VLOOKUP($B:$B,'IS(분기)'!$A:$F,$2:$2,0)),VLOOKUP($B:$B,'IS(분기)'!$A:$F,$2:$2,0),0)</f>
        <v>0</v>
      </c>
      <c r="Q927" s="207">
        <f>IF(ISNUMBER(VLOOKUP($B:$B,'IS(분기)'!$A:$F,$2:$2,0)),VLOOKUP($B:$B,'IS(분기)'!$A:$F,$2:$2,0),0)</f>
        <v>0</v>
      </c>
      <c r="R927" s="207">
        <f>IF(ISNUMBER(VLOOKUP($B:$B,'IS(분기)'!$A:$F,$2:$2,0)),VLOOKUP($B:$B,'IS(분기)'!$A:$F,$2:$2,0),0)</f>
        <v>0</v>
      </c>
    </row>
    <row r="928" spans="1:18" s="192" customFormat="1" ht="12">
      <c r="A928" s="203">
        <v>124463</v>
      </c>
      <c r="B928" s="196" t="s">
        <v>1407</v>
      </c>
      <c r="C928" s="217">
        <f>IF(ISNUMBER(VLOOKUP($B:$B,IS!$A:$F,$2:$2,0)),VLOOKUP($B:$B,IS!$A:$F,$2:$2,0),0)</f>
        <v>0</v>
      </c>
      <c r="D928" s="217">
        <f>IF(ISNUMBER(VLOOKUP($B:$B,IS!$A:$F,$2:$2,0)),VLOOKUP($B:$B,IS!$A:$F,$2:$2,0),0)</f>
        <v>0</v>
      </c>
      <c r="E928" s="217">
        <f>IF(ISNUMBER(VLOOKUP($B:$B,IS!$A:$F,$2:$2,0)),VLOOKUP($B:$B,IS!$A:$F,$2:$2,0),0)</f>
        <v>0</v>
      </c>
      <c r="F928" s="217">
        <f>IF(ISNUMBER(VLOOKUP($B:$B,IS!$A:$F,$2:$2,0)),VLOOKUP($B:$B,IS!$A:$F,$2:$2,0),0)</f>
        <v>0</v>
      </c>
      <c r="G928" s="217">
        <f>IF(ISNUMBER(VLOOKUP($B:$B,IS!$A:$F,$2:$2,0)),VLOOKUP($B:$B,IS!$A:$F,$2:$2,0),0)</f>
        <v>0</v>
      </c>
      <c r="H928" s="207">
        <f>IF(ISNUMBER(VLOOKUP($B:$B,'IS(과거)'!$A:$F,$2:$2,0)),VLOOKUP($B:$B,'IS(과거)'!$A:$F,$2:$2,0),0)</f>
        <v>0</v>
      </c>
      <c r="I928" s="207">
        <f>IF(ISNUMBER(VLOOKUP($B:$B,'IS(과거)'!$A:$F,$2:$2,0)),VLOOKUP($B:$B,'IS(과거)'!$A:$F,$2:$2,0),0)</f>
        <v>0</v>
      </c>
      <c r="J928" s="207">
        <f>IF(ISNUMBER(VLOOKUP($B:$B,'IS(과거)'!$A:$F,$2:$2,0)),VLOOKUP($B:$B,'IS(과거)'!$A:$F,$2:$2,0),0)</f>
        <v>0</v>
      </c>
      <c r="K928" s="207">
        <f>IF(ISNUMBER(VLOOKUP($B:$B,'IS(과거)'!$A:$F,$2:$2,0)),VLOOKUP($B:$B,'IS(과거)'!$A:$F,$2:$2,0),0)</f>
        <v>0</v>
      </c>
      <c r="L928" s="207">
        <f>IF(ISNUMBER(VLOOKUP($B:$B,'IS(과거)'!$A:$F,$2:$2,0)),VLOOKUP($B:$B,'IS(과거)'!$A:$F,$2:$2,0),0)</f>
        <v>0</v>
      </c>
      <c r="N928" s="207">
        <f>IF(ISNUMBER(VLOOKUP($B:$B,'IS(분기)'!$A:$F,$2:$2,0)),VLOOKUP($B:$B,'IS(분기)'!$A:$F,$2:$2,0),0)</f>
        <v>0</v>
      </c>
      <c r="O928" s="207">
        <f>IF(ISNUMBER(VLOOKUP($B:$B,'IS(분기)'!$A:$F,$2:$2,0)),VLOOKUP($B:$B,'IS(분기)'!$A:$F,$2:$2,0),0)</f>
        <v>0</v>
      </c>
      <c r="P928" s="207">
        <f>IF(ISNUMBER(VLOOKUP($B:$B,'IS(분기)'!$A:$F,$2:$2,0)),VLOOKUP($B:$B,'IS(분기)'!$A:$F,$2:$2,0),0)</f>
        <v>0</v>
      </c>
      <c r="Q928" s="207">
        <f>IF(ISNUMBER(VLOOKUP($B:$B,'IS(분기)'!$A:$F,$2:$2,0)),VLOOKUP($B:$B,'IS(분기)'!$A:$F,$2:$2,0),0)</f>
        <v>0</v>
      </c>
      <c r="R928" s="207">
        <f>IF(ISNUMBER(VLOOKUP($B:$B,'IS(분기)'!$A:$F,$2:$2,0)),VLOOKUP($B:$B,'IS(분기)'!$A:$F,$2:$2,0),0)</f>
        <v>0</v>
      </c>
    </row>
    <row r="929" spans="1:18" s="192" customFormat="1" ht="12">
      <c r="A929" s="203">
        <v>124454</v>
      </c>
      <c r="B929" s="196" t="s">
        <v>1408</v>
      </c>
      <c r="C929" s="217">
        <f>IF(ISNUMBER(VLOOKUP($B:$B,IS!$A:$F,$2:$2,0)),VLOOKUP($B:$B,IS!$A:$F,$2:$2,0),0)</f>
        <v>0</v>
      </c>
      <c r="D929" s="217">
        <f>IF(ISNUMBER(VLOOKUP($B:$B,IS!$A:$F,$2:$2,0)),VLOOKUP($B:$B,IS!$A:$F,$2:$2,0),0)</f>
        <v>0</v>
      </c>
      <c r="E929" s="217">
        <f>IF(ISNUMBER(VLOOKUP($B:$B,IS!$A:$F,$2:$2,0)),VLOOKUP($B:$B,IS!$A:$F,$2:$2,0),0)</f>
        <v>0</v>
      </c>
      <c r="F929" s="217">
        <f>IF(ISNUMBER(VLOOKUP($B:$B,IS!$A:$F,$2:$2,0)),VLOOKUP($B:$B,IS!$A:$F,$2:$2,0),0)</f>
        <v>0</v>
      </c>
      <c r="G929" s="217">
        <f>IF(ISNUMBER(VLOOKUP($B:$B,IS!$A:$F,$2:$2,0)),VLOOKUP($B:$B,IS!$A:$F,$2:$2,0),0)</f>
        <v>0</v>
      </c>
      <c r="H929" s="207">
        <f>IF(ISNUMBER(VLOOKUP($B:$B,'IS(과거)'!$A:$F,$2:$2,0)),VLOOKUP($B:$B,'IS(과거)'!$A:$F,$2:$2,0),0)</f>
        <v>0</v>
      </c>
      <c r="I929" s="207">
        <f>IF(ISNUMBER(VLOOKUP($B:$B,'IS(과거)'!$A:$F,$2:$2,0)),VLOOKUP($B:$B,'IS(과거)'!$A:$F,$2:$2,0),0)</f>
        <v>0</v>
      </c>
      <c r="J929" s="207">
        <f>IF(ISNUMBER(VLOOKUP($B:$B,'IS(과거)'!$A:$F,$2:$2,0)),VLOOKUP($B:$B,'IS(과거)'!$A:$F,$2:$2,0),0)</f>
        <v>0</v>
      </c>
      <c r="K929" s="207">
        <f>IF(ISNUMBER(VLOOKUP($B:$B,'IS(과거)'!$A:$F,$2:$2,0)),VLOOKUP($B:$B,'IS(과거)'!$A:$F,$2:$2,0),0)</f>
        <v>0</v>
      </c>
      <c r="L929" s="207">
        <f>IF(ISNUMBER(VLOOKUP($B:$B,'IS(과거)'!$A:$F,$2:$2,0)),VLOOKUP($B:$B,'IS(과거)'!$A:$F,$2:$2,0),0)</f>
        <v>0</v>
      </c>
      <c r="N929" s="207">
        <f>IF(ISNUMBER(VLOOKUP($B:$B,'IS(분기)'!$A:$F,$2:$2,0)),VLOOKUP($B:$B,'IS(분기)'!$A:$F,$2:$2,0),0)</f>
        <v>0</v>
      </c>
      <c r="O929" s="207">
        <f>IF(ISNUMBER(VLOOKUP($B:$B,'IS(분기)'!$A:$F,$2:$2,0)),VLOOKUP($B:$B,'IS(분기)'!$A:$F,$2:$2,0),0)</f>
        <v>0</v>
      </c>
      <c r="P929" s="207">
        <f>IF(ISNUMBER(VLOOKUP($B:$B,'IS(분기)'!$A:$F,$2:$2,0)),VLOOKUP($B:$B,'IS(분기)'!$A:$F,$2:$2,0),0)</f>
        <v>0</v>
      </c>
      <c r="Q929" s="207">
        <f>IF(ISNUMBER(VLOOKUP($B:$B,'IS(분기)'!$A:$F,$2:$2,0)),VLOOKUP($B:$B,'IS(분기)'!$A:$F,$2:$2,0),0)</f>
        <v>0</v>
      </c>
      <c r="R929" s="207">
        <f>IF(ISNUMBER(VLOOKUP($B:$B,'IS(분기)'!$A:$F,$2:$2,0)),VLOOKUP($B:$B,'IS(분기)'!$A:$F,$2:$2,0),0)</f>
        <v>0</v>
      </c>
    </row>
    <row r="930" spans="1:18" s="192" customFormat="1" ht="12">
      <c r="A930" s="203">
        <v>124455</v>
      </c>
      <c r="B930" s="196" t="s">
        <v>1409</v>
      </c>
      <c r="C930" s="217">
        <f>IF(ISNUMBER(VLOOKUP($B:$B,IS!$A:$F,$2:$2,0)),VLOOKUP($B:$B,IS!$A:$F,$2:$2,0),0)</f>
        <v>0</v>
      </c>
      <c r="D930" s="217">
        <f>IF(ISNUMBER(VLOOKUP($B:$B,IS!$A:$F,$2:$2,0)),VLOOKUP($B:$B,IS!$A:$F,$2:$2,0),0)</f>
        <v>0</v>
      </c>
      <c r="E930" s="217">
        <f>IF(ISNUMBER(VLOOKUP($B:$B,IS!$A:$F,$2:$2,0)),VLOOKUP($B:$B,IS!$A:$F,$2:$2,0),0)</f>
        <v>0</v>
      </c>
      <c r="F930" s="217">
        <f>IF(ISNUMBER(VLOOKUP($B:$B,IS!$A:$F,$2:$2,0)),VLOOKUP($B:$B,IS!$A:$F,$2:$2,0),0)</f>
        <v>0</v>
      </c>
      <c r="G930" s="217">
        <f>IF(ISNUMBER(VLOOKUP($B:$B,IS!$A:$F,$2:$2,0)),VLOOKUP($B:$B,IS!$A:$F,$2:$2,0),0)</f>
        <v>0</v>
      </c>
      <c r="H930" s="207">
        <f>IF(ISNUMBER(VLOOKUP($B:$B,'IS(과거)'!$A:$F,$2:$2,0)),VLOOKUP($B:$B,'IS(과거)'!$A:$F,$2:$2,0),0)</f>
        <v>0</v>
      </c>
      <c r="I930" s="207">
        <f>IF(ISNUMBER(VLOOKUP($B:$B,'IS(과거)'!$A:$F,$2:$2,0)),VLOOKUP($B:$B,'IS(과거)'!$A:$F,$2:$2,0),0)</f>
        <v>0</v>
      </c>
      <c r="J930" s="207">
        <f>IF(ISNUMBER(VLOOKUP($B:$B,'IS(과거)'!$A:$F,$2:$2,0)),VLOOKUP($B:$B,'IS(과거)'!$A:$F,$2:$2,0),0)</f>
        <v>0</v>
      </c>
      <c r="K930" s="207">
        <f>IF(ISNUMBER(VLOOKUP($B:$B,'IS(과거)'!$A:$F,$2:$2,0)),VLOOKUP($B:$B,'IS(과거)'!$A:$F,$2:$2,0),0)</f>
        <v>0</v>
      </c>
      <c r="L930" s="207">
        <f>IF(ISNUMBER(VLOOKUP($B:$B,'IS(과거)'!$A:$F,$2:$2,0)),VLOOKUP($B:$B,'IS(과거)'!$A:$F,$2:$2,0),0)</f>
        <v>0</v>
      </c>
      <c r="N930" s="207">
        <f>IF(ISNUMBER(VLOOKUP($B:$B,'IS(분기)'!$A:$F,$2:$2,0)),VLOOKUP($B:$B,'IS(분기)'!$A:$F,$2:$2,0),0)</f>
        <v>0</v>
      </c>
      <c r="O930" s="207">
        <f>IF(ISNUMBER(VLOOKUP($B:$B,'IS(분기)'!$A:$F,$2:$2,0)),VLOOKUP($B:$B,'IS(분기)'!$A:$F,$2:$2,0),0)</f>
        <v>0</v>
      </c>
      <c r="P930" s="207">
        <f>IF(ISNUMBER(VLOOKUP($B:$B,'IS(분기)'!$A:$F,$2:$2,0)),VLOOKUP($B:$B,'IS(분기)'!$A:$F,$2:$2,0),0)</f>
        <v>0</v>
      </c>
      <c r="Q930" s="207">
        <f>IF(ISNUMBER(VLOOKUP($B:$B,'IS(분기)'!$A:$F,$2:$2,0)),VLOOKUP($B:$B,'IS(분기)'!$A:$F,$2:$2,0),0)</f>
        <v>0</v>
      </c>
      <c r="R930" s="207">
        <f>IF(ISNUMBER(VLOOKUP($B:$B,'IS(분기)'!$A:$F,$2:$2,0)),VLOOKUP($B:$B,'IS(분기)'!$A:$F,$2:$2,0),0)</f>
        <v>0</v>
      </c>
    </row>
    <row r="931" spans="1:18" s="192" customFormat="1" ht="12">
      <c r="A931" s="203">
        <v>124456</v>
      </c>
      <c r="B931" s="196" t="s">
        <v>1410</v>
      </c>
      <c r="C931" s="217">
        <f>IF(ISNUMBER(VLOOKUP($B:$B,IS!$A:$F,$2:$2,0)),VLOOKUP($B:$B,IS!$A:$F,$2:$2,0),0)</f>
        <v>0</v>
      </c>
      <c r="D931" s="217">
        <f>IF(ISNUMBER(VLOOKUP($B:$B,IS!$A:$F,$2:$2,0)),VLOOKUP($B:$B,IS!$A:$F,$2:$2,0),0)</f>
        <v>0</v>
      </c>
      <c r="E931" s="217">
        <f>IF(ISNUMBER(VLOOKUP($B:$B,IS!$A:$F,$2:$2,0)),VLOOKUP($B:$B,IS!$A:$F,$2:$2,0),0)</f>
        <v>0</v>
      </c>
      <c r="F931" s="217">
        <f>IF(ISNUMBER(VLOOKUP($B:$B,IS!$A:$F,$2:$2,0)),VLOOKUP($B:$B,IS!$A:$F,$2:$2,0),0)</f>
        <v>0</v>
      </c>
      <c r="G931" s="217">
        <f>IF(ISNUMBER(VLOOKUP($B:$B,IS!$A:$F,$2:$2,0)),VLOOKUP($B:$B,IS!$A:$F,$2:$2,0),0)</f>
        <v>0</v>
      </c>
      <c r="H931" s="207">
        <f>IF(ISNUMBER(VLOOKUP($B:$B,'IS(과거)'!$A:$F,$2:$2,0)),VLOOKUP($B:$B,'IS(과거)'!$A:$F,$2:$2,0),0)</f>
        <v>0</v>
      </c>
      <c r="I931" s="207">
        <f>IF(ISNUMBER(VLOOKUP($B:$B,'IS(과거)'!$A:$F,$2:$2,0)),VLOOKUP($B:$B,'IS(과거)'!$A:$F,$2:$2,0),0)</f>
        <v>0</v>
      </c>
      <c r="J931" s="207">
        <f>IF(ISNUMBER(VLOOKUP($B:$B,'IS(과거)'!$A:$F,$2:$2,0)),VLOOKUP($B:$B,'IS(과거)'!$A:$F,$2:$2,0),0)</f>
        <v>0</v>
      </c>
      <c r="K931" s="207">
        <f>IF(ISNUMBER(VLOOKUP($B:$B,'IS(과거)'!$A:$F,$2:$2,0)),VLOOKUP($B:$B,'IS(과거)'!$A:$F,$2:$2,0),0)</f>
        <v>0</v>
      </c>
      <c r="L931" s="207">
        <f>IF(ISNUMBER(VLOOKUP($B:$B,'IS(과거)'!$A:$F,$2:$2,0)),VLOOKUP($B:$B,'IS(과거)'!$A:$F,$2:$2,0),0)</f>
        <v>0</v>
      </c>
      <c r="N931" s="207">
        <f>IF(ISNUMBER(VLOOKUP($B:$B,'IS(분기)'!$A:$F,$2:$2,0)),VLOOKUP($B:$B,'IS(분기)'!$A:$F,$2:$2,0),0)</f>
        <v>0</v>
      </c>
      <c r="O931" s="207">
        <f>IF(ISNUMBER(VLOOKUP($B:$B,'IS(분기)'!$A:$F,$2:$2,0)),VLOOKUP($B:$B,'IS(분기)'!$A:$F,$2:$2,0),0)</f>
        <v>0</v>
      </c>
      <c r="P931" s="207">
        <f>IF(ISNUMBER(VLOOKUP($B:$B,'IS(분기)'!$A:$F,$2:$2,0)),VLOOKUP($B:$B,'IS(분기)'!$A:$F,$2:$2,0),0)</f>
        <v>0</v>
      </c>
      <c r="Q931" s="207">
        <f>IF(ISNUMBER(VLOOKUP($B:$B,'IS(분기)'!$A:$F,$2:$2,0)),VLOOKUP($B:$B,'IS(분기)'!$A:$F,$2:$2,0),0)</f>
        <v>0</v>
      </c>
      <c r="R931" s="207">
        <f>IF(ISNUMBER(VLOOKUP($B:$B,'IS(분기)'!$A:$F,$2:$2,0)),VLOOKUP($B:$B,'IS(분기)'!$A:$F,$2:$2,0),0)</f>
        <v>0</v>
      </c>
    </row>
    <row r="932" spans="1:18" s="192" customFormat="1" ht="12">
      <c r="A932" s="203">
        <v>124457</v>
      </c>
      <c r="B932" s="196" t="s">
        <v>1411</v>
      </c>
      <c r="C932" s="217">
        <f>IF(ISNUMBER(VLOOKUP($B:$B,IS!$A:$F,$2:$2,0)),VLOOKUP($B:$B,IS!$A:$F,$2:$2,0),0)</f>
        <v>0</v>
      </c>
      <c r="D932" s="217">
        <f>IF(ISNUMBER(VLOOKUP($B:$B,IS!$A:$F,$2:$2,0)),VLOOKUP($B:$B,IS!$A:$F,$2:$2,0),0)</f>
        <v>0</v>
      </c>
      <c r="E932" s="217">
        <f>IF(ISNUMBER(VLOOKUP($B:$B,IS!$A:$F,$2:$2,0)),VLOOKUP($B:$B,IS!$A:$F,$2:$2,0),0)</f>
        <v>0</v>
      </c>
      <c r="F932" s="217">
        <f>IF(ISNUMBER(VLOOKUP($B:$B,IS!$A:$F,$2:$2,0)),VLOOKUP($B:$B,IS!$A:$F,$2:$2,0),0)</f>
        <v>0</v>
      </c>
      <c r="G932" s="217">
        <f>IF(ISNUMBER(VLOOKUP($B:$B,IS!$A:$F,$2:$2,0)),VLOOKUP($B:$B,IS!$A:$F,$2:$2,0),0)</f>
        <v>0</v>
      </c>
      <c r="H932" s="207">
        <f>IF(ISNUMBER(VLOOKUP($B:$B,'IS(과거)'!$A:$F,$2:$2,0)),VLOOKUP($B:$B,'IS(과거)'!$A:$F,$2:$2,0),0)</f>
        <v>0</v>
      </c>
      <c r="I932" s="207">
        <f>IF(ISNUMBER(VLOOKUP($B:$B,'IS(과거)'!$A:$F,$2:$2,0)),VLOOKUP($B:$B,'IS(과거)'!$A:$F,$2:$2,0),0)</f>
        <v>0</v>
      </c>
      <c r="J932" s="207">
        <f>IF(ISNUMBER(VLOOKUP($B:$B,'IS(과거)'!$A:$F,$2:$2,0)),VLOOKUP($B:$B,'IS(과거)'!$A:$F,$2:$2,0),0)</f>
        <v>0</v>
      </c>
      <c r="K932" s="207">
        <f>IF(ISNUMBER(VLOOKUP($B:$B,'IS(과거)'!$A:$F,$2:$2,0)),VLOOKUP($B:$B,'IS(과거)'!$A:$F,$2:$2,0),0)</f>
        <v>0</v>
      </c>
      <c r="L932" s="207">
        <f>IF(ISNUMBER(VLOOKUP($B:$B,'IS(과거)'!$A:$F,$2:$2,0)),VLOOKUP($B:$B,'IS(과거)'!$A:$F,$2:$2,0),0)</f>
        <v>0</v>
      </c>
      <c r="N932" s="207">
        <f>IF(ISNUMBER(VLOOKUP($B:$B,'IS(분기)'!$A:$F,$2:$2,0)),VLOOKUP($B:$B,'IS(분기)'!$A:$F,$2:$2,0),0)</f>
        <v>0</v>
      </c>
      <c r="O932" s="207">
        <f>IF(ISNUMBER(VLOOKUP($B:$B,'IS(분기)'!$A:$F,$2:$2,0)),VLOOKUP($B:$B,'IS(분기)'!$A:$F,$2:$2,0),0)</f>
        <v>0</v>
      </c>
      <c r="P932" s="207">
        <f>IF(ISNUMBER(VLOOKUP($B:$B,'IS(분기)'!$A:$F,$2:$2,0)),VLOOKUP($B:$B,'IS(분기)'!$A:$F,$2:$2,0),0)</f>
        <v>0</v>
      </c>
      <c r="Q932" s="207">
        <f>IF(ISNUMBER(VLOOKUP($B:$B,'IS(분기)'!$A:$F,$2:$2,0)),VLOOKUP($B:$B,'IS(분기)'!$A:$F,$2:$2,0),0)</f>
        <v>0</v>
      </c>
      <c r="R932" s="207">
        <f>IF(ISNUMBER(VLOOKUP($B:$B,'IS(분기)'!$A:$F,$2:$2,0)),VLOOKUP($B:$B,'IS(분기)'!$A:$F,$2:$2,0),0)</f>
        <v>0</v>
      </c>
    </row>
    <row r="933" spans="1:18" s="192" customFormat="1" ht="12">
      <c r="A933" s="203">
        <v>124458</v>
      </c>
      <c r="B933" s="196" t="s">
        <v>1412</v>
      </c>
      <c r="C933" s="217">
        <f>IF(ISNUMBER(VLOOKUP($B:$B,IS!$A:$F,$2:$2,0)),VLOOKUP($B:$B,IS!$A:$F,$2:$2,0),0)</f>
        <v>0</v>
      </c>
      <c r="D933" s="217">
        <f>IF(ISNUMBER(VLOOKUP($B:$B,IS!$A:$F,$2:$2,0)),VLOOKUP($B:$B,IS!$A:$F,$2:$2,0),0)</f>
        <v>0</v>
      </c>
      <c r="E933" s="217">
        <f>IF(ISNUMBER(VLOOKUP($B:$B,IS!$A:$F,$2:$2,0)),VLOOKUP($B:$B,IS!$A:$F,$2:$2,0),0)</f>
        <v>0</v>
      </c>
      <c r="F933" s="217">
        <f>IF(ISNUMBER(VLOOKUP($B:$B,IS!$A:$F,$2:$2,0)),VLOOKUP($B:$B,IS!$A:$F,$2:$2,0),0)</f>
        <v>0</v>
      </c>
      <c r="G933" s="217">
        <f>IF(ISNUMBER(VLOOKUP($B:$B,IS!$A:$F,$2:$2,0)),VLOOKUP($B:$B,IS!$A:$F,$2:$2,0),0)</f>
        <v>0</v>
      </c>
      <c r="H933" s="207">
        <f>IF(ISNUMBER(VLOOKUP($B:$B,'IS(과거)'!$A:$F,$2:$2,0)),VLOOKUP($B:$B,'IS(과거)'!$A:$F,$2:$2,0),0)</f>
        <v>0</v>
      </c>
      <c r="I933" s="207">
        <f>IF(ISNUMBER(VLOOKUP($B:$B,'IS(과거)'!$A:$F,$2:$2,0)),VLOOKUP($B:$B,'IS(과거)'!$A:$F,$2:$2,0),0)</f>
        <v>0</v>
      </c>
      <c r="J933" s="207">
        <f>IF(ISNUMBER(VLOOKUP($B:$B,'IS(과거)'!$A:$F,$2:$2,0)),VLOOKUP($B:$B,'IS(과거)'!$A:$F,$2:$2,0),0)</f>
        <v>0</v>
      </c>
      <c r="K933" s="207">
        <f>IF(ISNUMBER(VLOOKUP($B:$B,'IS(과거)'!$A:$F,$2:$2,0)),VLOOKUP($B:$B,'IS(과거)'!$A:$F,$2:$2,0),0)</f>
        <v>0</v>
      </c>
      <c r="L933" s="207">
        <f>IF(ISNUMBER(VLOOKUP($B:$B,'IS(과거)'!$A:$F,$2:$2,0)),VLOOKUP($B:$B,'IS(과거)'!$A:$F,$2:$2,0),0)</f>
        <v>0</v>
      </c>
      <c r="N933" s="207">
        <f>IF(ISNUMBER(VLOOKUP($B:$B,'IS(분기)'!$A:$F,$2:$2,0)),VLOOKUP($B:$B,'IS(분기)'!$A:$F,$2:$2,0),0)</f>
        <v>0</v>
      </c>
      <c r="O933" s="207">
        <f>IF(ISNUMBER(VLOOKUP($B:$B,'IS(분기)'!$A:$F,$2:$2,0)),VLOOKUP($B:$B,'IS(분기)'!$A:$F,$2:$2,0),0)</f>
        <v>0</v>
      </c>
      <c r="P933" s="207">
        <f>IF(ISNUMBER(VLOOKUP($B:$B,'IS(분기)'!$A:$F,$2:$2,0)),VLOOKUP($B:$B,'IS(분기)'!$A:$F,$2:$2,0),0)</f>
        <v>0</v>
      </c>
      <c r="Q933" s="207">
        <f>IF(ISNUMBER(VLOOKUP($B:$B,'IS(분기)'!$A:$F,$2:$2,0)),VLOOKUP($B:$B,'IS(분기)'!$A:$F,$2:$2,0),0)</f>
        <v>0</v>
      </c>
      <c r="R933" s="207">
        <f>IF(ISNUMBER(VLOOKUP($B:$B,'IS(분기)'!$A:$F,$2:$2,0)),VLOOKUP($B:$B,'IS(분기)'!$A:$F,$2:$2,0),0)</f>
        <v>0</v>
      </c>
    </row>
    <row r="934" spans="1:18" s="192" customFormat="1" ht="12">
      <c r="A934" s="203">
        <v>124459</v>
      </c>
      <c r="B934" s="196" t="s">
        <v>1413</v>
      </c>
      <c r="C934" s="217">
        <f>IF(ISNUMBER(VLOOKUP($B:$B,IS!$A:$F,$2:$2,0)),VLOOKUP($B:$B,IS!$A:$F,$2:$2,0),0)</f>
        <v>0</v>
      </c>
      <c r="D934" s="217">
        <f>IF(ISNUMBER(VLOOKUP($B:$B,IS!$A:$F,$2:$2,0)),VLOOKUP($B:$B,IS!$A:$F,$2:$2,0),0)</f>
        <v>0</v>
      </c>
      <c r="E934" s="217">
        <f>IF(ISNUMBER(VLOOKUP($B:$B,IS!$A:$F,$2:$2,0)),VLOOKUP($B:$B,IS!$A:$F,$2:$2,0),0)</f>
        <v>0</v>
      </c>
      <c r="F934" s="217">
        <f>IF(ISNUMBER(VLOOKUP($B:$B,IS!$A:$F,$2:$2,0)),VLOOKUP($B:$B,IS!$A:$F,$2:$2,0),0)</f>
        <v>0</v>
      </c>
      <c r="G934" s="217">
        <f>IF(ISNUMBER(VLOOKUP($B:$B,IS!$A:$F,$2:$2,0)),VLOOKUP($B:$B,IS!$A:$F,$2:$2,0),0)</f>
        <v>0</v>
      </c>
      <c r="H934" s="207">
        <f>IF(ISNUMBER(VLOOKUP($B:$B,'IS(과거)'!$A:$F,$2:$2,0)),VLOOKUP($B:$B,'IS(과거)'!$A:$F,$2:$2,0),0)</f>
        <v>0</v>
      </c>
      <c r="I934" s="207">
        <f>IF(ISNUMBER(VLOOKUP($B:$B,'IS(과거)'!$A:$F,$2:$2,0)),VLOOKUP($B:$B,'IS(과거)'!$A:$F,$2:$2,0),0)</f>
        <v>0</v>
      </c>
      <c r="J934" s="207">
        <f>IF(ISNUMBER(VLOOKUP($B:$B,'IS(과거)'!$A:$F,$2:$2,0)),VLOOKUP($B:$B,'IS(과거)'!$A:$F,$2:$2,0),0)</f>
        <v>0</v>
      </c>
      <c r="K934" s="207">
        <f>IF(ISNUMBER(VLOOKUP($B:$B,'IS(과거)'!$A:$F,$2:$2,0)),VLOOKUP($B:$B,'IS(과거)'!$A:$F,$2:$2,0),0)</f>
        <v>0</v>
      </c>
      <c r="L934" s="207">
        <f>IF(ISNUMBER(VLOOKUP($B:$B,'IS(과거)'!$A:$F,$2:$2,0)),VLOOKUP($B:$B,'IS(과거)'!$A:$F,$2:$2,0),0)</f>
        <v>0</v>
      </c>
      <c r="N934" s="207">
        <f>IF(ISNUMBER(VLOOKUP($B:$B,'IS(분기)'!$A:$F,$2:$2,0)),VLOOKUP($B:$B,'IS(분기)'!$A:$F,$2:$2,0),0)</f>
        <v>0</v>
      </c>
      <c r="O934" s="207">
        <f>IF(ISNUMBER(VLOOKUP($B:$B,'IS(분기)'!$A:$F,$2:$2,0)),VLOOKUP($B:$B,'IS(분기)'!$A:$F,$2:$2,0),0)</f>
        <v>0</v>
      </c>
      <c r="P934" s="207">
        <f>IF(ISNUMBER(VLOOKUP($B:$B,'IS(분기)'!$A:$F,$2:$2,0)),VLOOKUP($B:$B,'IS(분기)'!$A:$F,$2:$2,0),0)</f>
        <v>0</v>
      </c>
      <c r="Q934" s="207">
        <f>IF(ISNUMBER(VLOOKUP($B:$B,'IS(분기)'!$A:$F,$2:$2,0)),VLOOKUP($B:$B,'IS(분기)'!$A:$F,$2:$2,0),0)</f>
        <v>0</v>
      </c>
      <c r="R934" s="207">
        <f>IF(ISNUMBER(VLOOKUP($B:$B,'IS(분기)'!$A:$F,$2:$2,0)),VLOOKUP($B:$B,'IS(분기)'!$A:$F,$2:$2,0),0)</f>
        <v>0</v>
      </c>
    </row>
    <row r="935" spans="1:18" s="192" customFormat="1" ht="12">
      <c r="A935" s="203">
        <v>124470</v>
      </c>
      <c r="B935" s="196" t="s">
        <v>1414</v>
      </c>
      <c r="C935" s="217">
        <f>IF(ISNUMBER(VLOOKUP($B:$B,IS!$A:$F,$2:$2,0)),VLOOKUP($B:$B,IS!$A:$F,$2:$2,0),0)</f>
        <v>0</v>
      </c>
      <c r="D935" s="217">
        <f>IF(ISNUMBER(VLOOKUP($B:$B,IS!$A:$F,$2:$2,0)),VLOOKUP($B:$B,IS!$A:$F,$2:$2,0),0)</f>
        <v>0</v>
      </c>
      <c r="E935" s="217">
        <f>IF(ISNUMBER(VLOOKUP($B:$B,IS!$A:$F,$2:$2,0)),VLOOKUP($B:$B,IS!$A:$F,$2:$2,0),0)</f>
        <v>0</v>
      </c>
      <c r="F935" s="217">
        <f>IF(ISNUMBER(VLOOKUP($B:$B,IS!$A:$F,$2:$2,0)),VLOOKUP($B:$B,IS!$A:$F,$2:$2,0),0)</f>
        <v>0</v>
      </c>
      <c r="G935" s="217">
        <f>IF(ISNUMBER(VLOOKUP($B:$B,IS!$A:$F,$2:$2,0)),VLOOKUP($B:$B,IS!$A:$F,$2:$2,0),0)</f>
        <v>0</v>
      </c>
      <c r="H935" s="207">
        <f>IF(ISNUMBER(VLOOKUP($B:$B,'IS(과거)'!$A:$F,$2:$2,0)),VLOOKUP($B:$B,'IS(과거)'!$A:$F,$2:$2,0),0)</f>
        <v>0</v>
      </c>
      <c r="I935" s="207">
        <f>IF(ISNUMBER(VLOOKUP($B:$B,'IS(과거)'!$A:$F,$2:$2,0)),VLOOKUP($B:$B,'IS(과거)'!$A:$F,$2:$2,0),0)</f>
        <v>0</v>
      </c>
      <c r="J935" s="207">
        <f>IF(ISNUMBER(VLOOKUP($B:$B,'IS(과거)'!$A:$F,$2:$2,0)),VLOOKUP($B:$B,'IS(과거)'!$A:$F,$2:$2,0),0)</f>
        <v>0</v>
      </c>
      <c r="K935" s="207">
        <f>IF(ISNUMBER(VLOOKUP($B:$B,'IS(과거)'!$A:$F,$2:$2,0)),VLOOKUP($B:$B,'IS(과거)'!$A:$F,$2:$2,0),0)</f>
        <v>0</v>
      </c>
      <c r="L935" s="207">
        <f>IF(ISNUMBER(VLOOKUP($B:$B,'IS(과거)'!$A:$F,$2:$2,0)),VLOOKUP($B:$B,'IS(과거)'!$A:$F,$2:$2,0),0)</f>
        <v>0</v>
      </c>
      <c r="N935" s="207">
        <f>IF(ISNUMBER(VLOOKUP($B:$B,'IS(분기)'!$A:$F,$2:$2,0)),VLOOKUP($B:$B,'IS(분기)'!$A:$F,$2:$2,0),0)</f>
        <v>0</v>
      </c>
      <c r="O935" s="207">
        <f>IF(ISNUMBER(VLOOKUP($B:$B,'IS(분기)'!$A:$F,$2:$2,0)),VLOOKUP($B:$B,'IS(분기)'!$A:$F,$2:$2,0),0)</f>
        <v>0</v>
      </c>
      <c r="P935" s="207">
        <f>IF(ISNUMBER(VLOOKUP($B:$B,'IS(분기)'!$A:$F,$2:$2,0)),VLOOKUP($B:$B,'IS(분기)'!$A:$F,$2:$2,0),0)</f>
        <v>0</v>
      </c>
      <c r="Q935" s="207">
        <f>IF(ISNUMBER(VLOOKUP($B:$B,'IS(분기)'!$A:$F,$2:$2,0)),VLOOKUP($B:$B,'IS(분기)'!$A:$F,$2:$2,0),0)</f>
        <v>0</v>
      </c>
      <c r="R935" s="207">
        <f>IF(ISNUMBER(VLOOKUP($B:$B,'IS(분기)'!$A:$F,$2:$2,0)),VLOOKUP($B:$B,'IS(분기)'!$A:$F,$2:$2,0),0)</f>
        <v>0</v>
      </c>
    </row>
    <row r="936" spans="1:18" s="192" customFormat="1" ht="12">
      <c r="A936" s="203">
        <v>124471</v>
      </c>
      <c r="B936" s="196" t="s">
        <v>1415</v>
      </c>
      <c r="C936" s="217">
        <f>IF(ISNUMBER(VLOOKUP($B:$B,IS!$A:$F,$2:$2,0)),VLOOKUP($B:$B,IS!$A:$F,$2:$2,0),0)</f>
        <v>0</v>
      </c>
      <c r="D936" s="217">
        <f>IF(ISNUMBER(VLOOKUP($B:$B,IS!$A:$F,$2:$2,0)),VLOOKUP($B:$B,IS!$A:$F,$2:$2,0),0)</f>
        <v>0</v>
      </c>
      <c r="E936" s="217">
        <f>IF(ISNUMBER(VLOOKUP($B:$B,IS!$A:$F,$2:$2,0)),VLOOKUP($B:$B,IS!$A:$F,$2:$2,0),0)</f>
        <v>0</v>
      </c>
      <c r="F936" s="217">
        <f>IF(ISNUMBER(VLOOKUP($B:$B,IS!$A:$F,$2:$2,0)),VLOOKUP($B:$B,IS!$A:$F,$2:$2,0),0)</f>
        <v>0</v>
      </c>
      <c r="G936" s="217">
        <f>IF(ISNUMBER(VLOOKUP($B:$B,IS!$A:$F,$2:$2,0)),VLOOKUP($B:$B,IS!$A:$F,$2:$2,0),0)</f>
        <v>0</v>
      </c>
      <c r="H936" s="207">
        <f>IF(ISNUMBER(VLOOKUP($B:$B,'IS(과거)'!$A:$F,$2:$2,0)),VLOOKUP($B:$B,'IS(과거)'!$A:$F,$2:$2,0),0)</f>
        <v>0</v>
      </c>
      <c r="I936" s="207">
        <f>IF(ISNUMBER(VLOOKUP($B:$B,'IS(과거)'!$A:$F,$2:$2,0)),VLOOKUP($B:$B,'IS(과거)'!$A:$F,$2:$2,0),0)</f>
        <v>0</v>
      </c>
      <c r="J936" s="207">
        <f>IF(ISNUMBER(VLOOKUP($B:$B,'IS(과거)'!$A:$F,$2:$2,0)),VLOOKUP($B:$B,'IS(과거)'!$A:$F,$2:$2,0),0)</f>
        <v>0</v>
      </c>
      <c r="K936" s="207">
        <f>IF(ISNUMBER(VLOOKUP($B:$B,'IS(과거)'!$A:$F,$2:$2,0)),VLOOKUP($B:$B,'IS(과거)'!$A:$F,$2:$2,0),0)</f>
        <v>0</v>
      </c>
      <c r="L936" s="207">
        <f>IF(ISNUMBER(VLOOKUP($B:$B,'IS(과거)'!$A:$F,$2:$2,0)),VLOOKUP($B:$B,'IS(과거)'!$A:$F,$2:$2,0),0)</f>
        <v>0</v>
      </c>
      <c r="N936" s="207">
        <f>IF(ISNUMBER(VLOOKUP($B:$B,'IS(분기)'!$A:$F,$2:$2,0)),VLOOKUP($B:$B,'IS(분기)'!$A:$F,$2:$2,0),0)</f>
        <v>0</v>
      </c>
      <c r="O936" s="207">
        <f>IF(ISNUMBER(VLOOKUP($B:$B,'IS(분기)'!$A:$F,$2:$2,0)),VLOOKUP($B:$B,'IS(분기)'!$A:$F,$2:$2,0),0)</f>
        <v>0</v>
      </c>
      <c r="P936" s="207">
        <f>IF(ISNUMBER(VLOOKUP($B:$B,'IS(분기)'!$A:$F,$2:$2,0)),VLOOKUP($B:$B,'IS(분기)'!$A:$F,$2:$2,0),0)</f>
        <v>0</v>
      </c>
      <c r="Q936" s="207">
        <f>IF(ISNUMBER(VLOOKUP($B:$B,'IS(분기)'!$A:$F,$2:$2,0)),VLOOKUP($B:$B,'IS(분기)'!$A:$F,$2:$2,0),0)</f>
        <v>0</v>
      </c>
      <c r="R936" s="207">
        <f>IF(ISNUMBER(VLOOKUP($B:$B,'IS(분기)'!$A:$F,$2:$2,0)),VLOOKUP($B:$B,'IS(분기)'!$A:$F,$2:$2,0),0)</f>
        <v>0</v>
      </c>
    </row>
    <row r="937" spans="1:18" s="192" customFormat="1" ht="12">
      <c r="A937" s="202">
        <v>124472</v>
      </c>
      <c r="B937" s="195" t="s">
        <v>643</v>
      </c>
      <c r="C937" s="217">
        <f>IF(ISNUMBER(VLOOKUP($B:$B,IS!$A:$F,$2:$2,0)),VLOOKUP($B:$B,IS!$A:$F,$2:$2,0),0)</f>
        <v>0</v>
      </c>
      <c r="D937" s="217">
        <f>IF(ISNUMBER(VLOOKUP($B:$B,IS!$A:$F,$2:$2,0)),VLOOKUP($B:$B,IS!$A:$F,$2:$2,0),0)</f>
        <v>0</v>
      </c>
      <c r="E937" s="217">
        <f>IF(ISNUMBER(VLOOKUP($B:$B,IS!$A:$F,$2:$2,0)),VLOOKUP($B:$B,IS!$A:$F,$2:$2,0),0)</f>
        <v>0</v>
      </c>
      <c r="F937" s="217">
        <f>IF(ISNUMBER(VLOOKUP($B:$B,IS!$A:$F,$2:$2,0)),VLOOKUP($B:$B,IS!$A:$F,$2:$2,0),0)</f>
        <v>0</v>
      </c>
      <c r="G937" s="217">
        <f>IF(ISNUMBER(VLOOKUP($B:$B,IS!$A:$F,$2:$2,0)),VLOOKUP($B:$B,IS!$A:$F,$2:$2,0),0)</f>
        <v>0</v>
      </c>
      <c r="H937" s="207">
        <f>IF(ISNUMBER(VLOOKUP($B:$B,'IS(과거)'!$A:$F,$2:$2,0)),VLOOKUP($B:$B,'IS(과거)'!$A:$F,$2:$2,0),0)</f>
        <v>0</v>
      </c>
      <c r="I937" s="207">
        <f>IF(ISNUMBER(VLOOKUP($B:$B,'IS(과거)'!$A:$F,$2:$2,0)),VLOOKUP($B:$B,'IS(과거)'!$A:$F,$2:$2,0),0)</f>
        <v>0</v>
      </c>
      <c r="J937" s="207">
        <f>IF(ISNUMBER(VLOOKUP($B:$B,'IS(과거)'!$A:$F,$2:$2,0)),VLOOKUP($B:$B,'IS(과거)'!$A:$F,$2:$2,0),0)</f>
        <v>0</v>
      </c>
      <c r="K937" s="207">
        <f>IF(ISNUMBER(VLOOKUP($B:$B,'IS(과거)'!$A:$F,$2:$2,0)),VLOOKUP($B:$B,'IS(과거)'!$A:$F,$2:$2,0),0)</f>
        <v>0</v>
      </c>
      <c r="L937" s="207">
        <f>IF(ISNUMBER(VLOOKUP($B:$B,'IS(과거)'!$A:$F,$2:$2,0)),VLOOKUP($B:$B,'IS(과거)'!$A:$F,$2:$2,0),0)</f>
        <v>0</v>
      </c>
      <c r="N937" s="207">
        <f>IF(ISNUMBER(VLOOKUP($B:$B,'IS(분기)'!$A:$F,$2:$2,0)),VLOOKUP($B:$B,'IS(분기)'!$A:$F,$2:$2,0),0)</f>
        <v>0</v>
      </c>
      <c r="O937" s="207">
        <f>IF(ISNUMBER(VLOOKUP($B:$B,'IS(분기)'!$A:$F,$2:$2,0)),VLOOKUP($B:$B,'IS(분기)'!$A:$F,$2:$2,0),0)</f>
        <v>0</v>
      </c>
      <c r="P937" s="207">
        <f>IF(ISNUMBER(VLOOKUP($B:$B,'IS(분기)'!$A:$F,$2:$2,0)),VLOOKUP($B:$B,'IS(분기)'!$A:$F,$2:$2,0),0)</f>
        <v>0</v>
      </c>
      <c r="Q937" s="207">
        <f>IF(ISNUMBER(VLOOKUP($B:$B,'IS(분기)'!$A:$F,$2:$2,0)),VLOOKUP($B:$B,'IS(분기)'!$A:$F,$2:$2,0),0)</f>
        <v>0</v>
      </c>
      <c r="R937" s="207">
        <f>IF(ISNUMBER(VLOOKUP($B:$B,'IS(분기)'!$A:$F,$2:$2,0)),VLOOKUP($B:$B,'IS(분기)'!$A:$F,$2:$2,0),0)</f>
        <v>0</v>
      </c>
    </row>
    <row r="938" spans="1:18" s="192" customFormat="1" ht="12">
      <c r="A938" s="202">
        <v>124460</v>
      </c>
      <c r="B938" s="195" t="s">
        <v>1457</v>
      </c>
      <c r="C938" s="217">
        <f>IF(ISNUMBER(VLOOKUP($B:$B,IS!$A:$F,$2:$2,0)),VLOOKUP($B:$B,IS!$A:$F,$2:$2,0),0)</f>
        <v>0</v>
      </c>
      <c r="D938" s="217">
        <f>IF(ISNUMBER(VLOOKUP($B:$B,IS!$A:$F,$2:$2,0)),VLOOKUP($B:$B,IS!$A:$F,$2:$2,0),0)</f>
        <v>0</v>
      </c>
      <c r="E938" s="217">
        <f>IF(ISNUMBER(VLOOKUP($B:$B,IS!$A:$F,$2:$2,0)),VLOOKUP($B:$B,IS!$A:$F,$2:$2,0),0)</f>
        <v>0</v>
      </c>
      <c r="F938" s="217">
        <f>IF(ISNUMBER(VLOOKUP($B:$B,IS!$A:$F,$2:$2,0)),VLOOKUP($B:$B,IS!$A:$F,$2:$2,0),0)</f>
        <v>0</v>
      </c>
      <c r="G938" s="217">
        <f>IF(ISNUMBER(VLOOKUP($B:$B,IS!$A:$F,$2:$2,0)),VLOOKUP($B:$B,IS!$A:$F,$2:$2,0),0)</f>
        <v>0</v>
      </c>
      <c r="H938" s="207">
        <f>IF(ISNUMBER(VLOOKUP($B:$B,'IS(과거)'!$A:$F,$2:$2,0)),VLOOKUP($B:$B,'IS(과거)'!$A:$F,$2:$2,0),0)</f>
        <v>0</v>
      </c>
      <c r="I938" s="207">
        <f>IF(ISNUMBER(VLOOKUP($B:$B,'IS(과거)'!$A:$F,$2:$2,0)),VLOOKUP($B:$B,'IS(과거)'!$A:$F,$2:$2,0),0)</f>
        <v>0</v>
      </c>
      <c r="J938" s="207">
        <f>IF(ISNUMBER(VLOOKUP($B:$B,'IS(과거)'!$A:$F,$2:$2,0)),VLOOKUP($B:$B,'IS(과거)'!$A:$F,$2:$2,0),0)</f>
        <v>0</v>
      </c>
      <c r="K938" s="207">
        <f>IF(ISNUMBER(VLOOKUP($B:$B,'IS(과거)'!$A:$F,$2:$2,0)),VLOOKUP($B:$B,'IS(과거)'!$A:$F,$2:$2,0),0)</f>
        <v>0</v>
      </c>
      <c r="L938" s="207">
        <f>IF(ISNUMBER(VLOOKUP($B:$B,'IS(과거)'!$A:$F,$2:$2,0)),VLOOKUP($B:$B,'IS(과거)'!$A:$F,$2:$2,0),0)</f>
        <v>0</v>
      </c>
      <c r="N938" s="207">
        <f>IF(ISNUMBER(VLOOKUP($B:$B,'IS(분기)'!$A:$F,$2:$2,0)),VLOOKUP($B:$B,'IS(분기)'!$A:$F,$2:$2,0),0)</f>
        <v>0</v>
      </c>
      <c r="O938" s="207">
        <f>IF(ISNUMBER(VLOOKUP($B:$B,'IS(분기)'!$A:$F,$2:$2,0)),VLOOKUP($B:$B,'IS(분기)'!$A:$F,$2:$2,0),0)</f>
        <v>0</v>
      </c>
      <c r="P938" s="207">
        <f>IF(ISNUMBER(VLOOKUP($B:$B,'IS(분기)'!$A:$F,$2:$2,0)),VLOOKUP($B:$B,'IS(분기)'!$A:$F,$2:$2,0),0)</f>
        <v>0</v>
      </c>
      <c r="Q938" s="207">
        <f>IF(ISNUMBER(VLOOKUP($B:$B,'IS(분기)'!$A:$F,$2:$2,0)),VLOOKUP($B:$B,'IS(분기)'!$A:$F,$2:$2,0),0)</f>
        <v>0</v>
      </c>
      <c r="R938" s="207">
        <f>IF(ISNUMBER(VLOOKUP($B:$B,'IS(분기)'!$A:$F,$2:$2,0)),VLOOKUP($B:$B,'IS(분기)'!$A:$F,$2:$2,0),0)</f>
        <v>0</v>
      </c>
    </row>
    <row r="939" spans="1:18" s="192" customFormat="1" ht="12">
      <c r="A939" s="205">
        <v>125000</v>
      </c>
      <c r="B939" s="198" t="s">
        <v>11</v>
      </c>
      <c r="C939" s="217">
        <f>IF(ISNUMBER(VLOOKUP($B:$B,IS!$A:$F,$2:$2,0)),VLOOKUP($B:$B,IS!$A:$F,$2:$2,0),0)</f>
        <v>1136754</v>
      </c>
      <c r="D939" s="217">
        <f>IF(ISNUMBER(VLOOKUP($B:$B,IS!$A:$F,$2:$2,0)),VLOOKUP($B:$B,IS!$A:$F,$2:$2,0),0)</f>
        <v>0</v>
      </c>
      <c r="E939" s="217">
        <f>IF(ISNUMBER(VLOOKUP($B:$B,IS!$A:$F,$2:$2,0)),VLOOKUP($B:$B,IS!$A:$F,$2:$2,0),0)</f>
        <v>0</v>
      </c>
      <c r="F939" s="217">
        <f>IF(ISNUMBER(VLOOKUP($B:$B,IS!$A:$F,$2:$2,0)),VLOOKUP($B:$B,IS!$A:$F,$2:$2,0),0)</f>
        <v>0</v>
      </c>
      <c r="G939" s="217">
        <f>IF(ISNUMBER(VLOOKUP($B:$B,IS!$A:$F,$2:$2,0)),VLOOKUP($B:$B,IS!$A:$F,$2:$2,0),0)</f>
        <v>0</v>
      </c>
      <c r="H939" s="207">
        <f>IF(ISNUMBER(VLOOKUP($B:$B,'IS(과거)'!$A:$F,$2:$2,0)),VLOOKUP($B:$B,'IS(과거)'!$A:$F,$2:$2,0),0)</f>
        <v>0</v>
      </c>
      <c r="I939" s="207">
        <f>IF(ISNUMBER(VLOOKUP($B:$B,'IS(과거)'!$A:$F,$2:$2,0)),VLOOKUP($B:$B,'IS(과거)'!$A:$F,$2:$2,0),0)</f>
        <v>0</v>
      </c>
      <c r="J939" s="207">
        <f>IF(ISNUMBER(VLOOKUP($B:$B,'IS(과거)'!$A:$F,$2:$2,0)),VLOOKUP($B:$B,'IS(과거)'!$A:$F,$2:$2,0),0)</f>
        <v>0</v>
      </c>
      <c r="K939" s="207">
        <f>IF(ISNUMBER(VLOOKUP($B:$B,'IS(과거)'!$A:$F,$2:$2,0)),VLOOKUP($B:$B,'IS(과거)'!$A:$F,$2:$2,0),0)</f>
        <v>0</v>
      </c>
      <c r="L939" s="207">
        <f>IF(ISNUMBER(VLOOKUP($B:$B,'IS(과거)'!$A:$F,$2:$2,0)),VLOOKUP($B:$B,'IS(과거)'!$A:$F,$2:$2,0),0)</f>
        <v>0</v>
      </c>
      <c r="N939" s="207">
        <f>IF(ISNUMBER(VLOOKUP($B:$B,'IS(분기)'!$A:$F,$2:$2,0)),VLOOKUP($B:$B,'IS(분기)'!$A:$F,$2:$2,0),0)</f>
        <v>0</v>
      </c>
      <c r="O939" s="207">
        <f>IF(ISNUMBER(VLOOKUP($B:$B,'IS(분기)'!$A:$F,$2:$2,0)),VLOOKUP($B:$B,'IS(분기)'!$A:$F,$2:$2,0),0)</f>
        <v>0</v>
      </c>
      <c r="P939" s="207">
        <f>IF(ISNUMBER(VLOOKUP($B:$B,'IS(분기)'!$A:$F,$2:$2,0)),VLOOKUP($B:$B,'IS(분기)'!$A:$F,$2:$2,0),0)</f>
        <v>0</v>
      </c>
      <c r="Q939" s="207">
        <f>IF(ISNUMBER(VLOOKUP($B:$B,'IS(분기)'!$A:$F,$2:$2,0)),VLOOKUP($B:$B,'IS(분기)'!$A:$F,$2:$2,0),0)</f>
        <v>0</v>
      </c>
      <c r="R939" s="207">
        <f>IF(ISNUMBER(VLOOKUP($B:$B,'IS(분기)'!$A:$F,$2:$2,0)),VLOOKUP($B:$B,'IS(분기)'!$A:$F,$2:$2,0),0)</f>
        <v>0</v>
      </c>
    </row>
    <row r="940" spans="1:18" s="192" customFormat="1" ht="12">
      <c r="A940" s="205">
        <v>125100</v>
      </c>
      <c r="B940" s="198" t="s">
        <v>12</v>
      </c>
      <c r="C940" s="217">
        <f>IF(ISNUMBER(VLOOKUP($B:$B,IS!$A:$F,$2:$2,0)),VLOOKUP($B:$B,IS!$A:$F,$2:$2,0),0)</f>
        <v>387494</v>
      </c>
      <c r="D940" s="217">
        <f>IF(ISNUMBER(VLOOKUP($B:$B,IS!$A:$F,$2:$2,0)),VLOOKUP($B:$B,IS!$A:$F,$2:$2,0),0)</f>
        <v>0</v>
      </c>
      <c r="E940" s="217">
        <f>IF(ISNUMBER(VLOOKUP($B:$B,IS!$A:$F,$2:$2,0)),VLOOKUP($B:$B,IS!$A:$F,$2:$2,0),0)</f>
        <v>0</v>
      </c>
      <c r="F940" s="217">
        <f>IF(ISNUMBER(VLOOKUP($B:$B,IS!$A:$F,$2:$2,0)),VLOOKUP($B:$B,IS!$A:$F,$2:$2,0),0)</f>
        <v>0</v>
      </c>
      <c r="G940" s="217">
        <f>IF(ISNUMBER(VLOOKUP($B:$B,IS!$A:$F,$2:$2,0)),VLOOKUP($B:$B,IS!$A:$F,$2:$2,0),0)</f>
        <v>0</v>
      </c>
      <c r="H940" s="207">
        <f>IF(ISNUMBER(VLOOKUP($B:$B,'IS(과거)'!$A:$F,$2:$2,0)),VLOOKUP($B:$B,'IS(과거)'!$A:$F,$2:$2,0),0)</f>
        <v>0</v>
      </c>
      <c r="I940" s="207">
        <f>IF(ISNUMBER(VLOOKUP($B:$B,'IS(과거)'!$A:$F,$2:$2,0)),VLOOKUP($B:$B,'IS(과거)'!$A:$F,$2:$2,0),0)</f>
        <v>0</v>
      </c>
      <c r="J940" s="207">
        <f>IF(ISNUMBER(VLOOKUP($B:$B,'IS(과거)'!$A:$F,$2:$2,0)),VLOOKUP($B:$B,'IS(과거)'!$A:$F,$2:$2,0),0)</f>
        <v>0</v>
      </c>
      <c r="K940" s="207">
        <f>IF(ISNUMBER(VLOOKUP($B:$B,'IS(과거)'!$A:$F,$2:$2,0)),VLOOKUP($B:$B,'IS(과거)'!$A:$F,$2:$2,0),0)</f>
        <v>0</v>
      </c>
      <c r="L940" s="207">
        <f>IF(ISNUMBER(VLOOKUP($B:$B,'IS(과거)'!$A:$F,$2:$2,0)),VLOOKUP($B:$B,'IS(과거)'!$A:$F,$2:$2,0),0)</f>
        <v>0</v>
      </c>
      <c r="N940" s="207">
        <f>IF(ISNUMBER(VLOOKUP($B:$B,'IS(분기)'!$A:$F,$2:$2,0)),VLOOKUP($B:$B,'IS(분기)'!$A:$F,$2:$2,0),0)</f>
        <v>0</v>
      </c>
      <c r="O940" s="207">
        <f>IF(ISNUMBER(VLOOKUP($B:$B,'IS(분기)'!$A:$F,$2:$2,0)),VLOOKUP($B:$B,'IS(분기)'!$A:$F,$2:$2,0),0)</f>
        <v>0</v>
      </c>
      <c r="P940" s="207">
        <f>IF(ISNUMBER(VLOOKUP($B:$B,'IS(분기)'!$A:$F,$2:$2,0)),VLOOKUP($B:$B,'IS(분기)'!$A:$F,$2:$2,0),0)</f>
        <v>0</v>
      </c>
      <c r="Q940" s="207">
        <f>IF(ISNUMBER(VLOOKUP($B:$B,'IS(분기)'!$A:$F,$2:$2,0)),VLOOKUP($B:$B,'IS(분기)'!$A:$F,$2:$2,0),0)</f>
        <v>0</v>
      </c>
      <c r="R940" s="207">
        <f>IF(ISNUMBER(VLOOKUP($B:$B,'IS(분기)'!$A:$F,$2:$2,0)),VLOOKUP($B:$B,'IS(분기)'!$A:$F,$2:$2,0),0)</f>
        <v>0</v>
      </c>
    </row>
    <row r="941" spans="1:18" s="192" customFormat="1" ht="12">
      <c r="A941" s="201">
        <v>125101</v>
      </c>
      <c r="B941" s="194" t="s">
        <v>645</v>
      </c>
      <c r="C941" s="217">
        <f>IF(ISNUMBER(VLOOKUP($B:$B,IS!$A:$F,$2:$2,0)),VLOOKUP($B:$B,IS!$A:$F,$2:$2,0),0)</f>
        <v>3626</v>
      </c>
      <c r="D941" s="217">
        <f>IF(ISNUMBER(VLOOKUP($B:$B,IS!$A:$F,$2:$2,0)),VLOOKUP($B:$B,IS!$A:$F,$2:$2,0),0)</f>
        <v>0</v>
      </c>
      <c r="E941" s="217">
        <f>IF(ISNUMBER(VLOOKUP($B:$B,IS!$A:$F,$2:$2,0)),VLOOKUP($B:$B,IS!$A:$F,$2:$2,0),0)</f>
        <v>0</v>
      </c>
      <c r="F941" s="217">
        <f>IF(ISNUMBER(VLOOKUP($B:$B,IS!$A:$F,$2:$2,0)),VLOOKUP($B:$B,IS!$A:$F,$2:$2,0),0)</f>
        <v>0</v>
      </c>
      <c r="G941" s="217">
        <f>IF(ISNUMBER(VLOOKUP($B:$B,IS!$A:$F,$2:$2,0)),VLOOKUP($B:$B,IS!$A:$F,$2:$2,0),0)</f>
        <v>0</v>
      </c>
      <c r="H941" s="207">
        <f>IF(ISNUMBER(VLOOKUP($B:$B,'IS(과거)'!$A:$F,$2:$2,0)),VLOOKUP($B:$B,'IS(과거)'!$A:$F,$2:$2,0),0)</f>
        <v>0</v>
      </c>
      <c r="I941" s="207">
        <f>IF(ISNUMBER(VLOOKUP($B:$B,'IS(과거)'!$A:$F,$2:$2,0)),VLOOKUP($B:$B,'IS(과거)'!$A:$F,$2:$2,0),0)</f>
        <v>0</v>
      </c>
      <c r="J941" s="207">
        <f>IF(ISNUMBER(VLOOKUP($B:$B,'IS(과거)'!$A:$F,$2:$2,0)),VLOOKUP($B:$B,'IS(과거)'!$A:$F,$2:$2,0),0)</f>
        <v>0</v>
      </c>
      <c r="K941" s="207">
        <f>IF(ISNUMBER(VLOOKUP($B:$B,'IS(과거)'!$A:$F,$2:$2,0)),VLOOKUP($B:$B,'IS(과거)'!$A:$F,$2:$2,0),0)</f>
        <v>0</v>
      </c>
      <c r="L941" s="207">
        <f>IF(ISNUMBER(VLOOKUP($B:$B,'IS(과거)'!$A:$F,$2:$2,0)),VLOOKUP($B:$B,'IS(과거)'!$A:$F,$2:$2,0),0)</f>
        <v>0</v>
      </c>
      <c r="N941" s="207">
        <f>IF(ISNUMBER(VLOOKUP($B:$B,'IS(분기)'!$A:$F,$2:$2,0)),VLOOKUP($B:$B,'IS(분기)'!$A:$F,$2:$2,0),0)</f>
        <v>0</v>
      </c>
      <c r="O941" s="207">
        <f>IF(ISNUMBER(VLOOKUP($B:$B,'IS(분기)'!$A:$F,$2:$2,0)),VLOOKUP($B:$B,'IS(분기)'!$A:$F,$2:$2,0),0)</f>
        <v>0</v>
      </c>
      <c r="P941" s="207">
        <f>IF(ISNUMBER(VLOOKUP($B:$B,'IS(분기)'!$A:$F,$2:$2,0)),VLOOKUP($B:$B,'IS(분기)'!$A:$F,$2:$2,0),0)</f>
        <v>0</v>
      </c>
      <c r="Q941" s="207">
        <f>IF(ISNUMBER(VLOOKUP($B:$B,'IS(분기)'!$A:$F,$2:$2,0)),VLOOKUP($B:$B,'IS(분기)'!$A:$F,$2:$2,0),0)</f>
        <v>0</v>
      </c>
      <c r="R941" s="207">
        <f>IF(ISNUMBER(VLOOKUP($B:$B,'IS(분기)'!$A:$F,$2:$2,0)),VLOOKUP($B:$B,'IS(분기)'!$A:$F,$2:$2,0),0)</f>
        <v>0</v>
      </c>
    </row>
    <row r="942" spans="1:18" s="192" customFormat="1" ht="12">
      <c r="A942" s="201">
        <v>125102</v>
      </c>
      <c r="B942" s="194" t="s">
        <v>646</v>
      </c>
      <c r="C942" s="217">
        <f>IF(ISNUMBER(VLOOKUP($B:$B,IS!$A:$F,$2:$2,0)),VLOOKUP($B:$B,IS!$A:$F,$2:$2,0),0)</f>
        <v>0</v>
      </c>
      <c r="D942" s="217">
        <f>IF(ISNUMBER(VLOOKUP($B:$B,IS!$A:$F,$2:$2,0)),VLOOKUP($B:$B,IS!$A:$F,$2:$2,0),0)</f>
        <v>0</v>
      </c>
      <c r="E942" s="217">
        <f>IF(ISNUMBER(VLOOKUP($B:$B,IS!$A:$F,$2:$2,0)),VLOOKUP($B:$B,IS!$A:$F,$2:$2,0),0)</f>
        <v>0</v>
      </c>
      <c r="F942" s="217">
        <f>IF(ISNUMBER(VLOOKUP($B:$B,IS!$A:$F,$2:$2,0)),VLOOKUP($B:$B,IS!$A:$F,$2:$2,0),0)</f>
        <v>0</v>
      </c>
      <c r="G942" s="217">
        <f>IF(ISNUMBER(VLOOKUP($B:$B,IS!$A:$F,$2:$2,0)),VLOOKUP($B:$B,IS!$A:$F,$2:$2,0),0)</f>
        <v>0</v>
      </c>
      <c r="H942" s="207">
        <f>IF(ISNUMBER(VLOOKUP($B:$B,'IS(과거)'!$A:$F,$2:$2,0)),VLOOKUP($B:$B,'IS(과거)'!$A:$F,$2:$2,0),0)</f>
        <v>0</v>
      </c>
      <c r="I942" s="207">
        <f>IF(ISNUMBER(VLOOKUP($B:$B,'IS(과거)'!$A:$F,$2:$2,0)),VLOOKUP($B:$B,'IS(과거)'!$A:$F,$2:$2,0),0)</f>
        <v>0</v>
      </c>
      <c r="J942" s="207">
        <f>IF(ISNUMBER(VLOOKUP($B:$B,'IS(과거)'!$A:$F,$2:$2,0)),VLOOKUP($B:$B,'IS(과거)'!$A:$F,$2:$2,0),0)</f>
        <v>0</v>
      </c>
      <c r="K942" s="207">
        <f>IF(ISNUMBER(VLOOKUP($B:$B,'IS(과거)'!$A:$F,$2:$2,0)),VLOOKUP($B:$B,'IS(과거)'!$A:$F,$2:$2,0),0)</f>
        <v>0</v>
      </c>
      <c r="L942" s="207">
        <f>IF(ISNUMBER(VLOOKUP($B:$B,'IS(과거)'!$A:$F,$2:$2,0)),VLOOKUP($B:$B,'IS(과거)'!$A:$F,$2:$2,0),0)</f>
        <v>0</v>
      </c>
      <c r="N942" s="207">
        <f>IF(ISNUMBER(VLOOKUP($B:$B,'IS(분기)'!$A:$F,$2:$2,0)),VLOOKUP($B:$B,'IS(분기)'!$A:$F,$2:$2,0),0)</f>
        <v>0</v>
      </c>
      <c r="O942" s="207">
        <f>IF(ISNUMBER(VLOOKUP($B:$B,'IS(분기)'!$A:$F,$2:$2,0)),VLOOKUP($B:$B,'IS(분기)'!$A:$F,$2:$2,0),0)</f>
        <v>0</v>
      </c>
      <c r="P942" s="207">
        <f>IF(ISNUMBER(VLOOKUP($B:$B,'IS(분기)'!$A:$F,$2:$2,0)),VLOOKUP($B:$B,'IS(분기)'!$A:$F,$2:$2,0),0)</f>
        <v>0</v>
      </c>
      <c r="Q942" s="207">
        <f>IF(ISNUMBER(VLOOKUP($B:$B,'IS(분기)'!$A:$F,$2:$2,0)),VLOOKUP($B:$B,'IS(분기)'!$A:$F,$2:$2,0),0)</f>
        <v>0</v>
      </c>
      <c r="R942" s="207">
        <f>IF(ISNUMBER(VLOOKUP($B:$B,'IS(분기)'!$A:$F,$2:$2,0)),VLOOKUP($B:$B,'IS(분기)'!$A:$F,$2:$2,0),0)</f>
        <v>0</v>
      </c>
    </row>
    <row r="943" spans="1:18" s="192" customFormat="1" ht="12">
      <c r="A943" s="201">
        <v>125103</v>
      </c>
      <c r="B943" s="194" t="s">
        <v>647</v>
      </c>
      <c r="C943" s="217">
        <f>IF(ISNUMBER(VLOOKUP($B:$B,IS!$A:$F,$2:$2,0)),VLOOKUP($B:$B,IS!$A:$F,$2:$2,0),0)</f>
        <v>0</v>
      </c>
      <c r="D943" s="217">
        <f>IF(ISNUMBER(VLOOKUP($B:$B,IS!$A:$F,$2:$2,0)),VLOOKUP($B:$B,IS!$A:$F,$2:$2,0),0)</f>
        <v>0</v>
      </c>
      <c r="E943" s="217">
        <f>IF(ISNUMBER(VLOOKUP($B:$B,IS!$A:$F,$2:$2,0)),VLOOKUP($B:$B,IS!$A:$F,$2:$2,0),0)</f>
        <v>0</v>
      </c>
      <c r="F943" s="217">
        <f>IF(ISNUMBER(VLOOKUP($B:$B,IS!$A:$F,$2:$2,0)),VLOOKUP($B:$B,IS!$A:$F,$2:$2,0),0)</f>
        <v>0</v>
      </c>
      <c r="G943" s="217">
        <f>IF(ISNUMBER(VLOOKUP($B:$B,IS!$A:$F,$2:$2,0)),VLOOKUP($B:$B,IS!$A:$F,$2:$2,0),0)</f>
        <v>0</v>
      </c>
      <c r="H943" s="207">
        <f>IF(ISNUMBER(VLOOKUP($B:$B,'IS(과거)'!$A:$F,$2:$2,0)),VLOOKUP($B:$B,'IS(과거)'!$A:$F,$2:$2,0),0)</f>
        <v>0</v>
      </c>
      <c r="I943" s="207">
        <f>IF(ISNUMBER(VLOOKUP($B:$B,'IS(과거)'!$A:$F,$2:$2,0)),VLOOKUP($B:$B,'IS(과거)'!$A:$F,$2:$2,0),0)</f>
        <v>0</v>
      </c>
      <c r="J943" s="207">
        <f>IF(ISNUMBER(VLOOKUP($B:$B,'IS(과거)'!$A:$F,$2:$2,0)),VLOOKUP($B:$B,'IS(과거)'!$A:$F,$2:$2,0),0)</f>
        <v>0</v>
      </c>
      <c r="K943" s="207">
        <f>IF(ISNUMBER(VLOOKUP($B:$B,'IS(과거)'!$A:$F,$2:$2,0)),VLOOKUP($B:$B,'IS(과거)'!$A:$F,$2:$2,0),0)</f>
        <v>0</v>
      </c>
      <c r="L943" s="207">
        <f>IF(ISNUMBER(VLOOKUP($B:$B,'IS(과거)'!$A:$F,$2:$2,0)),VLOOKUP($B:$B,'IS(과거)'!$A:$F,$2:$2,0),0)</f>
        <v>0</v>
      </c>
      <c r="N943" s="207">
        <f>IF(ISNUMBER(VLOOKUP($B:$B,'IS(분기)'!$A:$F,$2:$2,0)),VLOOKUP($B:$B,'IS(분기)'!$A:$F,$2:$2,0),0)</f>
        <v>0</v>
      </c>
      <c r="O943" s="207">
        <f>IF(ISNUMBER(VLOOKUP($B:$B,'IS(분기)'!$A:$F,$2:$2,0)),VLOOKUP($B:$B,'IS(분기)'!$A:$F,$2:$2,0),0)</f>
        <v>0</v>
      </c>
      <c r="P943" s="207">
        <f>IF(ISNUMBER(VLOOKUP($B:$B,'IS(분기)'!$A:$F,$2:$2,0)),VLOOKUP($B:$B,'IS(분기)'!$A:$F,$2:$2,0),0)</f>
        <v>0</v>
      </c>
      <c r="Q943" s="207">
        <f>IF(ISNUMBER(VLOOKUP($B:$B,'IS(분기)'!$A:$F,$2:$2,0)),VLOOKUP($B:$B,'IS(분기)'!$A:$F,$2:$2,0),0)</f>
        <v>0</v>
      </c>
      <c r="R943" s="207">
        <f>IF(ISNUMBER(VLOOKUP($B:$B,'IS(분기)'!$A:$F,$2:$2,0)),VLOOKUP($B:$B,'IS(분기)'!$A:$F,$2:$2,0),0)</f>
        <v>0</v>
      </c>
    </row>
    <row r="944" spans="1:18" s="192" customFormat="1" ht="12">
      <c r="A944" s="201">
        <v>125200</v>
      </c>
      <c r="B944" s="194" t="s">
        <v>648</v>
      </c>
      <c r="C944" s="217">
        <f>IF(ISNUMBER(VLOOKUP($B:$B,IS!$A:$F,$2:$2,0)),VLOOKUP($B:$B,IS!$A:$F,$2:$2,0),0)</f>
        <v>0</v>
      </c>
      <c r="D944" s="217">
        <f>IF(ISNUMBER(VLOOKUP($B:$B,IS!$A:$F,$2:$2,0)),VLOOKUP($B:$B,IS!$A:$F,$2:$2,0),0)</f>
        <v>0</v>
      </c>
      <c r="E944" s="217">
        <f>IF(ISNUMBER(VLOOKUP($B:$B,IS!$A:$F,$2:$2,0)),VLOOKUP($B:$B,IS!$A:$F,$2:$2,0),0)</f>
        <v>0</v>
      </c>
      <c r="F944" s="217">
        <f>IF(ISNUMBER(VLOOKUP($B:$B,IS!$A:$F,$2:$2,0)),VLOOKUP($B:$B,IS!$A:$F,$2:$2,0),0)</f>
        <v>0</v>
      </c>
      <c r="G944" s="217">
        <f>IF(ISNUMBER(VLOOKUP($B:$B,IS!$A:$F,$2:$2,0)),VLOOKUP($B:$B,IS!$A:$F,$2:$2,0),0)</f>
        <v>0</v>
      </c>
      <c r="H944" s="207">
        <f>IF(ISNUMBER(VLOOKUP($B:$B,'IS(과거)'!$A:$F,$2:$2,0)),VLOOKUP($B:$B,'IS(과거)'!$A:$F,$2:$2,0),0)</f>
        <v>0</v>
      </c>
      <c r="I944" s="207">
        <f>IF(ISNUMBER(VLOOKUP($B:$B,'IS(과거)'!$A:$F,$2:$2,0)),VLOOKUP($B:$B,'IS(과거)'!$A:$F,$2:$2,0),0)</f>
        <v>0</v>
      </c>
      <c r="J944" s="207">
        <f>IF(ISNUMBER(VLOOKUP($B:$B,'IS(과거)'!$A:$F,$2:$2,0)),VLOOKUP($B:$B,'IS(과거)'!$A:$F,$2:$2,0),0)</f>
        <v>0</v>
      </c>
      <c r="K944" s="207">
        <f>IF(ISNUMBER(VLOOKUP($B:$B,'IS(과거)'!$A:$F,$2:$2,0)),VLOOKUP($B:$B,'IS(과거)'!$A:$F,$2:$2,0),0)</f>
        <v>0</v>
      </c>
      <c r="L944" s="207">
        <f>IF(ISNUMBER(VLOOKUP($B:$B,'IS(과거)'!$A:$F,$2:$2,0)),VLOOKUP($B:$B,'IS(과거)'!$A:$F,$2:$2,0),0)</f>
        <v>0</v>
      </c>
      <c r="N944" s="207">
        <f>IF(ISNUMBER(VLOOKUP($B:$B,'IS(분기)'!$A:$F,$2:$2,0)),VLOOKUP($B:$B,'IS(분기)'!$A:$F,$2:$2,0),0)</f>
        <v>0</v>
      </c>
      <c r="O944" s="207">
        <f>IF(ISNUMBER(VLOOKUP($B:$B,'IS(분기)'!$A:$F,$2:$2,0)),VLOOKUP($B:$B,'IS(분기)'!$A:$F,$2:$2,0),0)</f>
        <v>0</v>
      </c>
      <c r="P944" s="207">
        <f>IF(ISNUMBER(VLOOKUP($B:$B,'IS(분기)'!$A:$F,$2:$2,0)),VLOOKUP($B:$B,'IS(분기)'!$A:$F,$2:$2,0),0)</f>
        <v>0</v>
      </c>
      <c r="Q944" s="207">
        <f>IF(ISNUMBER(VLOOKUP($B:$B,'IS(분기)'!$A:$F,$2:$2,0)),VLOOKUP($B:$B,'IS(분기)'!$A:$F,$2:$2,0),0)</f>
        <v>0</v>
      </c>
      <c r="R944" s="207">
        <f>IF(ISNUMBER(VLOOKUP($B:$B,'IS(분기)'!$A:$F,$2:$2,0)),VLOOKUP($B:$B,'IS(분기)'!$A:$F,$2:$2,0),0)</f>
        <v>0</v>
      </c>
    </row>
    <row r="945" spans="1:18" s="192" customFormat="1" ht="12">
      <c r="A945" s="201">
        <v>125201</v>
      </c>
      <c r="B945" s="194" t="s">
        <v>1416</v>
      </c>
      <c r="C945" s="217">
        <f>IF(ISNUMBER(VLOOKUP($B:$B,IS!$A:$F,$2:$2,0)),VLOOKUP($B:$B,IS!$A:$F,$2:$2,0),0)</f>
        <v>0</v>
      </c>
      <c r="D945" s="217">
        <f>IF(ISNUMBER(VLOOKUP($B:$B,IS!$A:$F,$2:$2,0)),VLOOKUP($B:$B,IS!$A:$F,$2:$2,0),0)</f>
        <v>0</v>
      </c>
      <c r="E945" s="217">
        <f>IF(ISNUMBER(VLOOKUP($B:$B,IS!$A:$F,$2:$2,0)),VLOOKUP($B:$B,IS!$A:$F,$2:$2,0),0)</f>
        <v>0</v>
      </c>
      <c r="F945" s="217">
        <f>IF(ISNUMBER(VLOOKUP($B:$B,IS!$A:$F,$2:$2,0)),VLOOKUP($B:$B,IS!$A:$F,$2:$2,0),0)</f>
        <v>0</v>
      </c>
      <c r="G945" s="217">
        <f>IF(ISNUMBER(VLOOKUP($B:$B,IS!$A:$F,$2:$2,0)),VLOOKUP($B:$B,IS!$A:$F,$2:$2,0),0)</f>
        <v>0</v>
      </c>
      <c r="H945" s="207">
        <f>IF(ISNUMBER(VLOOKUP($B:$B,'IS(과거)'!$A:$F,$2:$2,0)),VLOOKUP($B:$B,'IS(과거)'!$A:$F,$2:$2,0),0)</f>
        <v>0</v>
      </c>
      <c r="I945" s="207">
        <f>IF(ISNUMBER(VLOOKUP($B:$B,'IS(과거)'!$A:$F,$2:$2,0)),VLOOKUP($B:$B,'IS(과거)'!$A:$F,$2:$2,0),0)</f>
        <v>0</v>
      </c>
      <c r="J945" s="207">
        <f>IF(ISNUMBER(VLOOKUP($B:$B,'IS(과거)'!$A:$F,$2:$2,0)),VLOOKUP($B:$B,'IS(과거)'!$A:$F,$2:$2,0),0)</f>
        <v>0</v>
      </c>
      <c r="K945" s="207">
        <f>IF(ISNUMBER(VLOOKUP($B:$B,'IS(과거)'!$A:$F,$2:$2,0)),VLOOKUP($B:$B,'IS(과거)'!$A:$F,$2:$2,0),0)</f>
        <v>0</v>
      </c>
      <c r="L945" s="207">
        <f>IF(ISNUMBER(VLOOKUP($B:$B,'IS(과거)'!$A:$F,$2:$2,0)),VLOOKUP($B:$B,'IS(과거)'!$A:$F,$2:$2,0),0)</f>
        <v>0</v>
      </c>
      <c r="N945" s="207">
        <f>IF(ISNUMBER(VLOOKUP($B:$B,'IS(분기)'!$A:$F,$2:$2,0)),VLOOKUP($B:$B,'IS(분기)'!$A:$F,$2:$2,0),0)</f>
        <v>0</v>
      </c>
      <c r="O945" s="207">
        <f>IF(ISNUMBER(VLOOKUP($B:$B,'IS(분기)'!$A:$F,$2:$2,0)),VLOOKUP($B:$B,'IS(분기)'!$A:$F,$2:$2,0),0)</f>
        <v>0</v>
      </c>
      <c r="P945" s="207">
        <f>IF(ISNUMBER(VLOOKUP($B:$B,'IS(분기)'!$A:$F,$2:$2,0)),VLOOKUP($B:$B,'IS(분기)'!$A:$F,$2:$2,0),0)</f>
        <v>0</v>
      </c>
      <c r="Q945" s="207">
        <f>IF(ISNUMBER(VLOOKUP($B:$B,'IS(분기)'!$A:$F,$2:$2,0)),VLOOKUP($B:$B,'IS(분기)'!$A:$F,$2:$2,0),0)</f>
        <v>0</v>
      </c>
      <c r="R945" s="207">
        <f>IF(ISNUMBER(VLOOKUP($B:$B,'IS(분기)'!$A:$F,$2:$2,0)),VLOOKUP($B:$B,'IS(분기)'!$A:$F,$2:$2,0),0)</f>
        <v>0</v>
      </c>
    </row>
    <row r="946" spans="1:18" s="192" customFormat="1" ht="12">
      <c r="A946" s="201">
        <v>125131</v>
      </c>
      <c r="B946" s="194" t="s">
        <v>649</v>
      </c>
      <c r="C946" s="217">
        <f>IF(ISNUMBER(VLOOKUP($B:$B,IS!$A:$F,$2:$2,0)),VLOOKUP($B:$B,IS!$A:$F,$2:$2,0),0)</f>
        <v>0</v>
      </c>
      <c r="D946" s="217">
        <f>IF(ISNUMBER(VLOOKUP($B:$B,IS!$A:$F,$2:$2,0)),VLOOKUP($B:$B,IS!$A:$F,$2:$2,0),0)</f>
        <v>0</v>
      </c>
      <c r="E946" s="217">
        <f>IF(ISNUMBER(VLOOKUP($B:$B,IS!$A:$F,$2:$2,0)),VLOOKUP($B:$B,IS!$A:$F,$2:$2,0),0)</f>
        <v>0</v>
      </c>
      <c r="F946" s="217">
        <f>IF(ISNUMBER(VLOOKUP($B:$B,IS!$A:$F,$2:$2,0)),VLOOKUP($B:$B,IS!$A:$F,$2:$2,0),0)</f>
        <v>0</v>
      </c>
      <c r="G946" s="217">
        <f>IF(ISNUMBER(VLOOKUP($B:$B,IS!$A:$F,$2:$2,0)),VLOOKUP($B:$B,IS!$A:$F,$2:$2,0),0)</f>
        <v>0</v>
      </c>
      <c r="H946" s="207">
        <f>IF(ISNUMBER(VLOOKUP($B:$B,'IS(과거)'!$A:$F,$2:$2,0)),VLOOKUP($B:$B,'IS(과거)'!$A:$F,$2:$2,0),0)</f>
        <v>0</v>
      </c>
      <c r="I946" s="207">
        <f>IF(ISNUMBER(VLOOKUP($B:$B,'IS(과거)'!$A:$F,$2:$2,0)),VLOOKUP($B:$B,'IS(과거)'!$A:$F,$2:$2,0),0)</f>
        <v>0</v>
      </c>
      <c r="J946" s="207">
        <f>IF(ISNUMBER(VLOOKUP($B:$B,'IS(과거)'!$A:$F,$2:$2,0)),VLOOKUP($B:$B,'IS(과거)'!$A:$F,$2:$2,0),0)</f>
        <v>0</v>
      </c>
      <c r="K946" s="207">
        <f>IF(ISNUMBER(VLOOKUP($B:$B,'IS(과거)'!$A:$F,$2:$2,0)),VLOOKUP($B:$B,'IS(과거)'!$A:$F,$2:$2,0),0)</f>
        <v>0</v>
      </c>
      <c r="L946" s="207">
        <f>IF(ISNUMBER(VLOOKUP($B:$B,'IS(과거)'!$A:$F,$2:$2,0)),VLOOKUP($B:$B,'IS(과거)'!$A:$F,$2:$2,0),0)</f>
        <v>0</v>
      </c>
      <c r="N946" s="207">
        <f>IF(ISNUMBER(VLOOKUP($B:$B,'IS(분기)'!$A:$F,$2:$2,0)),VLOOKUP($B:$B,'IS(분기)'!$A:$F,$2:$2,0),0)</f>
        <v>0</v>
      </c>
      <c r="O946" s="207">
        <f>IF(ISNUMBER(VLOOKUP($B:$B,'IS(분기)'!$A:$F,$2:$2,0)),VLOOKUP($B:$B,'IS(분기)'!$A:$F,$2:$2,0),0)</f>
        <v>0</v>
      </c>
      <c r="P946" s="207">
        <f>IF(ISNUMBER(VLOOKUP($B:$B,'IS(분기)'!$A:$F,$2:$2,0)),VLOOKUP($B:$B,'IS(분기)'!$A:$F,$2:$2,0),0)</f>
        <v>0</v>
      </c>
      <c r="Q946" s="207">
        <f>IF(ISNUMBER(VLOOKUP($B:$B,'IS(분기)'!$A:$F,$2:$2,0)),VLOOKUP($B:$B,'IS(분기)'!$A:$F,$2:$2,0),0)</f>
        <v>0</v>
      </c>
      <c r="R946" s="207">
        <f>IF(ISNUMBER(VLOOKUP($B:$B,'IS(분기)'!$A:$F,$2:$2,0)),VLOOKUP($B:$B,'IS(분기)'!$A:$F,$2:$2,0),0)</f>
        <v>0</v>
      </c>
    </row>
    <row r="947" spans="1:18" s="192" customFormat="1" ht="12">
      <c r="A947" s="201">
        <v>125141</v>
      </c>
      <c r="B947" s="194" t="s">
        <v>650</v>
      </c>
      <c r="C947" s="217">
        <f>IF(ISNUMBER(VLOOKUP($B:$B,IS!$A:$F,$2:$2,0)),VLOOKUP($B:$B,IS!$A:$F,$2:$2,0),0)</f>
        <v>0</v>
      </c>
      <c r="D947" s="217">
        <f>IF(ISNUMBER(VLOOKUP($B:$B,IS!$A:$F,$2:$2,0)),VLOOKUP($B:$B,IS!$A:$F,$2:$2,0),0)</f>
        <v>0</v>
      </c>
      <c r="E947" s="217">
        <f>IF(ISNUMBER(VLOOKUP($B:$B,IS!$A:$F,$2:$2,0)),VLOOKUP($B:$B,IS!$A:$F,$2:$2,0),0)</f>
        <v>0</v>
      </c>
      <c r="F947" s="217">
        <f>IF(ISNUMBER(VLOOKUP($B:$B,IS!$A:$F,$2:$2,0)),VLOOKUP($B:$B,IS!$A:$F,$2:$2,0),0)</f>
        <v>0</v>
      </c>
      <c r="G947" s="217">
        <f>IF(ISNUMBER(VLOOKUP($B:$B,IS!$A:$F,$2:$2,0)),VLOOKUP($B:$B,IS!$A:$F,$2:$2,0),0)</f>
        <v>0</v>
      </c>
      <c r="H947" s="207">
        <f>IF(ISNUMBER(VLOOKUP($B:$B,'IS(과거)'!$A:$F,$2:$2,0)),VLOOKUP($B:$B,'IS(과거)'!$A:$F,$2:$2,0),0)</f>
        <v>0</v>
      </c>
      <c r="I947" s="207">
        <f>IF(ISNUMBER(VLOOKUP($B:$B,'IS(과거)'!$A:$F,$2:$2,0)),VLOOKUP($B:$B,'IS(과거)'!$A:$F,$2:$2,0),0)</f>
        <v>0</v>
      </c>
      <c r="J947" s="207">
        <f>IF(ISNUMBER(VLOOKUP($B:$B,'IS(과거)'!$A:$F,$2:$2,0)),VLOOKUP($B:$B,'IS(과거)'!$A:$F,$2:$2,0),0)</f>
        <v>0</v>
      </c>
      <c r="K947" s="207">
        <f>IF(ISNUMBER(VLOOKUP($B:$B,'IS(과거)'!$A:$F,$2:$2,0)),VLOOKUP($B:$B,'IS(과거)'!$A:$F,$2:$2,0),0)</f>
        <v>0</v>
      </c>
      <c r="L947" s="207">
        <f>IF(ISNUMBER(VLOOKUP($B:$B,'IS(과거)'!$A:$F,$2:$2,0)),VLOOKUP($B:$B,'IS(과거)'!$A:$F,$2:$2,0),0)</f>
        <v>0</v>
      </c>
      <c r="N947" s="207">
        <f>IF(ISNUMBER(VLOOKUP($B:$B,'IS(분기)'!$A:$F,$2:$2,0)),VLOOKUP($B:$B,'IS(분기)'!$A:$F,$2:$2,0),0)</f>
        <v>0</v>
      </c>
      <c r="O947" s="207">
        <f>IF(ISNUMBER(VLOOKUP($B:$B,'IS(분기)'!$A:$F,$2:$2,0)),VLOOKUP($B:$B,'IS(분기)'!$A:$F,$2:$2,0),0)</f>
        <v>0</v>
      </c>
      <c r="P947" s="207">
        <f>IF(ISNUMBER(VLOOKUP($B:$B,'IS(분기)'!$A:$F,$2:$2,0)),VLOOKUP($B:$B,'IS(분기)'!$A:$F,$2:$2,0),0)</f>
        <v>0</v>
      </c>
      <c r="Q947" s="207">
        <f>IF(ISNUMBER(VLOOKUP($B:$B,'IS(분기)'!$A:$F,$2:$2,0)),VLOOKUP($B:$B,'IS(분기)'!$A:$F,$2:$2,0),0)</f>
        <v>0</v>
      </c>
      <c r="R947" s="207">
        <f>IF(ISNUMBER(VLOOKUP($B:$B,'IS(분기)'!$A:$F,$2:$2,0)),VLOOKUP($B:$B,'IS(분기)'!$A:$F,$2:$2,0),0)</f>
        <v>0</v>
      </c>
    </row>
    <row r="948" spans="1:18" s="192" customFormat="1" ht="12">
      <c r="A948" s="201">
        <v>125146</v>
      </c>
      <c r="B948" s="194" t="s">
        <v>651</v>
      </c>
      <c r="C948" s="217">
        <f>IF(ISNUMBER(VLOOKUP($B:$B,IS!$A:$F,$2:$2,0)),VLOOKUP($B:$B,IS!$A:$F,$2:$2,0),0)</f>
        <v>0</v>
      </c>
      <c r="D948" s="217">
        <f>IF(ISNUMBER(VLOOKUP($B:$B,IS!$A:$F,$2:$2,0)),VLOOKUP($B:$B,IS!$A:$F,$2:$2,0),0)</f>
        <v>0</v>
      </c>
      <c r="E948" s="217">
        <f>IF(ISNUMBER(VLOOKUP($B:$B,IS!$A:$F,$2:$2,0)),VLOOKUP($B:$B,IS!$A:$F,$2:$2,0),0)</f>
        <v>0</v>
      </c>
      <c r="F948" s="217">
        <f>IF(ISNUMBER(VLOOKUP($B:$B,IS!$A:$F,$2:$2,0)),VLOOKUP($B:$B,IS!$A:$F,$2:$2,0),0)</f>
        <v>0</v>
      </c>
      <c r="G948" s="217">
        <f>IF(ISNUMBER(VLOOKUP($B:$B,IS!$A:$F,$2:$2,0)),VLOOKUP($B:$B,IS!$A:$F,$2:$2,0),0)</f>
        <v>0</v>
      </c>
      <c r="H948" s="207">
        <f>IF(ISNUMBER(VLOOKUP($B:$B,'IS(과거)'!$A:$F,$2:$2,0)),VLOOKUP($B:$B,'IS(과거)'!$A:$F,$2:$2,0),0)</f>
        <v>0</v>
      </c>
      <c r="I948" s="207">
        <f>IF(ISNUMBER(VLOOKUP($B:$B,'IS(과거)'!$A:$F,$2:$2,0)),VLOOKUP($B:$B,'IS(과거)'!$A:$F,$2:$2,0),0)</f>
        <v>0</v>
      </c>
      <c r="J948" s="207">
        <f>IF(ISNUMBER(VLOOKUP($B:$B,'IS(과거)'!$A:$F,$2:$2,0)),VLOOKUP($B:$B,'IS(과거)'!$A:$F,$2:$2,0),0)</f>
        <v>0</v>
      </c>
      <c r="K948" s="207">
        <f>IF(ISNUMBER(VLOOKUP($B:$B,'IS(과거)'!$A:$F,$2:$2,0)),VLOOKUP($B:$B,'IS(과거)'!$A:$F,$2:$2,0),0)</f>
        <v>0</v>
      </c>
      <c r="L948" s="207">
        <f>IF(ISNUMBER(VLOOKUP($B:$B,'IS(과거)'!$A:$F,$2:$2,0)),VLOOKUP($B:$B,'IS(과거)'!$A:$F,$2:$2,0),0)</f>
        <v>0</v>
      </c>
      <c r="N948" s="207">
        <f>IF(ISNUMBER(VLOOKUP($B:$B,'IS(분기)'!$A:$F,$2:$2,0)),VLOOKUP($B:$B,'IS(분기)'!$A:$F,$2:$2,0),0)</f>
        <v>0</v>
      </c>
      <c r="O948" s="207">
        <f>IF(ISNUMBER(VLOOKUP($B:$B,'IS(분기)'!$A:$F,$2:$2,0)),VLOOKUP($B:$B,'IS(분기)'!$A:$F,$2:$2,0),0)</f>
        <v>0</v>
      </c>
      <c r="P948" s="207">
        <f>IF(ISNUMBER(VLOOKUP($B:$B,'IS(분기)'!$A:$F,$2:$2,0)),VLOOKUP($B:$B,'IS(분기)'!$A:$F,$2:$2,0),0)</f>
        <v>0</v>
      </c>
      <c r="Q948" s="207">
        <f>IF(ISNUMBER(VLOOKUP($B:$B,'IS(분기)'!$A:$F,$2:$2,0)),VLOOKUP($B:$B,'IS(분기)'!$A:$F,$2:$2,0),0)</f>
        <v>0</v>
      </c>
      <c r="R948" s="207">
        <f>IF(ISNUMBER(VLOOKUP($B:$B,'IS(분기)'!$A:$F,$2:$2,0)),VLOOKUP($B:$B,'IS(분기)'!$A:$F,$2:$2,0),0)</f>
        <v>0</v>
      </c>
    </row>
    <row r="949" spans="1:18" s="192" customFormat="1" ht="12">
      <c r="A949" s="201">
        <v>125144</v>
      </c>
      <c r="B949" s="194" t="s">
        <v>652</v>
      </c>
      <c r="C949" s="217">
        <f>IF(ISNUMBER(VLOOKUP($B:$B,IS!$A:$F,$2:$2,0)),VLOOKUP($B:$B,IS!$A:$F,$2:$2,0),0)</f>
        <v>0</v>
      </c>
      <c r="D949" s="217">
        <f>IF(ISNUMBER(VLOOKUP($B:$B,IS!$A:$F,$2:$2,0)),VLOOKUP($B:$B,IS!$A:$F,$2:$2,0),0)</f>
        <v>0</v>
      </c>
      <c r="E949" s="217">
        <f>IF(ISNUMBER(VLOOKUP($B:$B,IS!$A:$F,$2:$2,0)),VLOOKUP($B:$B,IS!$A:$F,$2:$2,0),0)</f>
        <v>0</v>
      </c>
      <c r="F949" s="217">
        <f>IF(ISNUMBER(VLOOKUP($B:$B,IS!$A:$F,$2:$2,0)),VLOOKUP($B:$B,IS!$A:$F,$2:$2,0),0)</f>
        <v>0</v>
      </c>
      <c r="G949" s="217">
        <f>IF(ISNUMBER(VLOOKUP($B:$B,IS!$A:$F,$2:$2,0)),VLOOKUP($B:$B,IS!$A:$F,$2:$2,0),0)</f>
        <v>0</v>
      </c>
      <c r="H949" s="207">
        <f>IF(ISNUMBER(VLOOKUP($B:$B,'IS(과거)'!$A:$F,$2:$2,0)),VLOOKUP($B:$B,'IS(과거)'!$A:$F,$2:$2,0),0)</f>
        <v>0</v>
      </c>
      <c r="I949" s="207">
        <f>IF(ISNUMBER(VLOOKUP($B:$B,'IS(과거)'!$A:$F,$2:$2,0)),VLOOKUP($B:$B,'IS(과거)'!$A:$F,$2:$2,0),0)</f>
        <v>0</v>
      </c>
      <c r="J949" s="207">
        <f>IF(ISNUMBER(VLOOKUP($B:$B,'IS(과거)'!$A:$F,$2:$2,0)),VLOOKUP($B:$B,'IS(과거)'!$A:$F,$2:$2,0),0)</f>
        <v>0</v>
      </c>
      <c r="K949" s="207">
        <f>IF(ISNUMBER(VLOOKUP($B:$B,'IS(과거)'!$A:$F,$2:$2,0)),VLOOKUP($B:$B,'IS(과거)'!$A:$F,$2:$2,0),0)</f>
        <v>0</v>
      </c>
      <c r="L949" s="207">
        <f>IF(ISNUMBER(VLOOKUP($B:$B,'IS(과거)'!$A:$F,$2:$2,0)),VLOOKUP($B:$B,'IS(과거)'!$A:$F,$2:$2,0),0)</f>
        <v>0</v>
      </c>
      <c r="N949" s="207">
        <f>IF(ISNUMBER(VLOOKUP($B:$B,'IS(분기)'!$A:$F,$2:$2,0)),VLOOKUP($B:$B,'IS(분기)'!$A:$F,$2:$2,0),0)</f>
        <v>0</v>
      </c>
      <c r="O949" s="207">
        <f>IF(ISNUMBER(VLOOKUP($B:$B,'IS(분기)'!$A:$F,$2:$2,0)),VLOOKUP($B:$B,'IS(분기)'!$A:$F,$2:$2,0),0)</f>
        <v>0</v>
      </c>
      <c r="P949" s="207">
        <f>IF(ISNUMBER(VLOOKUP($B:$B,'IS(분기)'!$A:$F,$2:$2,0)),VLOOKUP($B:$B,'IS(분기)'!$A:$F,$2:$2,0),0)</f>
        <v>0</v>
      </c>
      <c r="Q949" s="207">
        <f>IF(ISNUMBER(VLOOKUP($B:$B,'IS(분기)'!$A:$F,$2:$2,0)),VLOOKUP($B:$B,'IS(분기)'!$A:$F,$2:$2,0),0)</f>
        <v>0</v>
      </c>
      <c r="R949" s="207">
        <f>IF(ISNUMBER(VLOOKUP($B:$B,'IS(분기)'!$A:$F,$2:$2,0)),VLOOKUP($B:$B,'IS(분기)'!$A:$F,$2:$2,0),0)</f>
        <v>0</v>
      </c>
    </row>
    <row r="950" spans="1:18" s="192" customFormat="1" ht="12">
      <c r="A950" s="201">
        <v>125142</v>
      </c>
      <c r="B950" s="194" t="s">
        <v>653</v>
      </c>
      <c r="C950" s="217">
        <f>IF(ISNUMBER(VLOOKUP($B:$B,IS!$A:$F,$2:$2,0)),VLOOKUP($B:$B,IS!$A:$F,$2:$2,0),0)</f>
        <v>0</v>
      </c>
      <c r="D950" s="217">
        <f>IF(ISNUMBER(VLOOKUP($B:$B,IS!$A:$F,$2:$2,0)),VLOOKUP($B:$B,IS!$A:$F,$2:$2,0),0)</f>
        <v>0</v>
      </c>
      <c r="E950" s="217">
        <f>IF(ISNUMBER(VLOOKUP($B:$B,IS!$A:$F,$2:$2,0)),VLOOKUP($B:$B,IS!$A:$F,$2:$2,0),0)</f>
        <v>0</v>
      </c>
      <c r="F950" s="217">
        <f>IF(ISNUMBER(VLOOKUP($B:$B,IS!$A:$F,$2:$2,0)),VLOOKUP($B:$B,IS!$A:$F,$2:$2,0),0)</f>
        <v>0</v>
      </c>
      <c r="G950" s="217">
        <f>IF(ISNUMBER(VLOOKUP($B:$B,IS!$A:$F,$2:$2,0)),VLOOKUP($B:$B,IS!$A:$F,$2:$2,0),0)</f>
        <v>0</v>
      </c>
      <c r="H950" s="207">
        <f>IF(ISNUMBER(VLOOKUP($B:$B,'IS(과거)'!$A:$F,$2:$2,0)),VLOOKUP($B:$B,'IS(과거)'!$A:$F,$2:$2,0),0)</f>
        <v>0</v>
      </c>
      <c r="I950" s="207">
        <f>IF(ISNUMBER(VLOOKUP($B:$B,'IS(과거)'!$A:$F,$2:$2,0)),VLOOKUP($B:$B,'IS(과거)'!$A:$F,$2:$2,0),0)</f>
        <v>0</v>
      </c>
      <c r="J950" s="207">
        <f>IF(ISNUMBER(VLOOKUP($B:$B,'IS(과거)'!$A:$F,$2:$2,0)),VLOOKUP($B:$B,'IS(과거)'!$A:$F,$2:$2,0),0)</f>
        <v>0</v>
      </c>
      <c r="K950" s="207">
        <f>IF(ISNUMBER(VLOOKUP($B:$B,'IS(과거)'!$A:$F,$2:$2,0)),VLOOKUP($B:$B,'IS(과거)'!$A:$F,$2:$2,0),0)</f>
        <v>0</v>
      </c>
      <c r="L950" s="207">
        <f>IF(ISNUMBER(VLOOKUP($B:$B,'IS(과거)'!$A:$F,$2:$2,0)),VLOOKUP($B:$B,'IS(과거)'!$A:$F,$2:$2,0),0)</f>
        <v>0</v>
      </c>
      <c r="N950" s="207">
        <f>IF(ISNUMBER(VLOOKUP($B:$B,'IS(분기)'!$A:$F,$2:$2,0)),VLOOKUP($B:$B,'IS(분기)'!$A:$F,$2:$2,0),0)</f>
        <v>0</v>
      </c>
      <c r="O950" s="207">
        <f>IF(ISNUMBER(VLOOKUP($B:$B,'IS(분기)'!$A:$F,$2:$2,0)),VLOOKUP($B:$B,'IS(분기)'!$A:$F,$2:$2,0),0)</f>
        <v>0</v>
      </c>
      <c r="P950" s="207">
        <f>IF(ISNUMBER(VLOOKUP($B:$B,'IS(분기)'!$A:$F,$2:$2,0)),VLOOKUP($B:$B,'IS(분기)'!$A:$F,$2:$2,0),0)</f>
        <v>0</v>
      </c>
      <c r="Q950" s="207">
        <f>IF(ISNUMBER(VLOOKUP($B:$B,'IS(분기)'!$A:$F,$2:$2,0)),VLOOKUP($B:$B,'IS(분기)'!$A:$F,$2:$2,0),0)</f>
        <v>0</v>
      </c>
      <c r="R950" s="207">
        <f>IF(ISNUMBER(VLOOKUP($B:$B,'IS(분기)'!$A:$F,$2:$2,0)),VLOOKUP($B:$B,'IS(분기)'!$A:$F,$2:$2,0),0)</f>
        <v>0</v>
      </c>
    </row>
    <row r="951" spans="1:18" s="192" customFormat="1" ht="12">
      <c r="A951" s="201">
        <v>125132</v>
      </c>
      <c r="B951" s="194" t="s">
        <v>654</v>
      </c>
      <c r="C951" s="217">
        <f>IF(ISNUMBER(VLOOKUP($B:$B,IS!$A:$F,$2:$2,0)),VLOOKUP($B:$B,IS!$A:$F,$2:$2,0),0)</f>
        <v>0</v>
      </c>
      <c r="D951" s="217">
        <f>IF(ISNUMBER(VLOOKUP($B:$B,IS!$A:$F,$2:$2,0)),VLOOKUP($B:$B,IS!$A:$F,$2:$2,0),0)</f>
        <v>0</v>
      </c>
      <c r="E951" s="217">
        <f>IF(ISNUMBER(VLOOKUP($B:$B,IS!$A:$F,$2:$2,0)),VLOOKUP($B:$B,IS!$A:$F,$2:$2,0),0)</f>
        <v>0</v>
      </c>
      <c r="F951" s="217">
        <f>IF(ISNUMBER(VLOOKUP($B:$B,IS!$A:$F,$2:$2,0)),VLOOKUP($B:$B,IS!$A:$F,$2:$2,0),0)</f>
        <v>0</v>
      </c>
      <c r="G951" s="217">
        <f>IF(ISNUMBER(VLOOKUP($B:$B,IS!$A:$F,$2:$2,0)),VLOOKUP($B:$B,IS!$A:$F,$2:$2,0),0)</f>
        <v>0</v>
      </c>
      <c r="H951" s="207">
        <f>IF(ISNUMBER(VLOOKUP($B:$B,'IS(과거)'!$A:$F,$2:$2,0)),VLOOKUP($B:$B,'IS(과거)'!$A:$F,$2:$2,0),0)</f>
        <v>0</v>
      </c>
      <c r="I951" s="207">
        <f>IF(ISNUMBER(VLOOKUP($B:$B,'IS(과거)'!$A:$F,$2:$2,0)),VLOOKUP($B:$B,'IS(과거)'!$A:$F,$2:$2,0),0)</f>
        <v>0</v>
      </c>
      <c r="J951" s="207">
        <f>IF(ISNUMBER(VLOOKUP($B:$B,'IS(과거)'!$A:$F,$2:$2,0)),VLOOKUP($B:$B,'IS(과거)'!$A:$F,$2:$2,0),0)</f>
        <v>0</v>
      </c>
      <c r="K951" s="207">
        <f>IF(ISNUMBER(VLOOKUP($B:$B,'IS(과거)'!$A:$F,$2:$2,0)),VLOOKUP($B:$B,'IS(과거)'!$A:$F,$2:$2,0),0)</f>
        <v>0</v>
      </c>
      <c r="L951" s="207">
        <f>IF(ISNUMBER(VLOOKUP($B:$B,'IS(과거)'!$A:$F,$2:$2,0)),VLOOKUP($B:$B,'IS(과거)'!$A:$F,$2:$2,0),0)</f>
        <v>0</v>
      </c>
      <c r="N951" s="207">
        <f>IF(ISNUMBER(VLOOKUP($B:$B,'IS(분기)'!$A:$F,$2:$2,0)),VLOOKUP($B:$B,'IS(분기)'!$A:$F,$2:$2,0),0)</f>
        <v>0</v>
      </c>
      <c r="O951" s="207">
        <f>IF(ISNUMBER(VLOOKUP($B:$B,'IS(분기)'!$A:$F,$2:$2,0)),VLOOKUP($B:$B,'IS(분기)'!$A:$F,$2:$2,0),0)</f>
        <v>0</v>
      </c>
      <c r="P951" s="207">
        <f>IF(ISNUMBER(VLOOKUP($B:$B,'IS(분기)'!$A:$F,$2:$2,0)),VLOOKUP($B:$B,'IS(분기)'!$A:$F,$2:$2,0),0)</f>
        <v>0</v>
      </c>
      <c r="Q951" s="207">
        <f>IF(ISNUMBER(VLOOKUP($B:$B,'IS(분기)'!$A:$F,$2:$2,0)),VLOOKUP($B:$B,'IS(분기)'!$A:$F,$2:$2,0),0)</f>
        <v>0</v>
      </c>
      <c r="R951" s="207">
        <f>IF(ISNUMBER(VLOOKUP($B:$B,'IS(분기)'!$A:$F,$2:$2,0)),VLOOKUP($B:$B,'IS(분기)'!$A:$F,$2:$2,0),0)</f>
        <v>0</v>
      </c>
    </row>
    <row r="952" spans="1:18" s="192" customFormat="1" ht="12">
      <c r="A952" s="201">
        <v>125139</v>
      </c>
      <c r="B952" s="194" t="s">
        <v>655</v>
      </c>
      <c r="C952" s="217">
        <f>IF(ISNUMBER(VLOOKUP($B:$B,IS!$A:$F,$2:$2,0)),VLOOKUP($B:$B,IS!$A:$F,$2:$2,0),0)</f>
        <v>0</v>
      </c>
      <c r="D952" s="217">
        <f>IF(ISNUMBER(VLOOKUP($B:$B,IS!$A:$F,$2:$2,0)),VLOOKUP($B:$B,IS!$A:$F,$2:$2,0),0)</f>
        <v>0</v>
      </c>
      <c r="E952" s="217">
        <f>IF(ISNUMBER(VLOOKUP($B:$B,IS!$A:$F,$2:$2,0)),VLOOKUP($B:$B,IS!$A:$F,$2:$2,0),0)</f>
        <v>0</v>
      </c>
      <c r="F952" s="217">
        <f>IF(ISNUMBER(VLOOKUP($B:$B,IS!$A:$F,$2:$2,0)),VLOOKUP($B:$B,IS!$A:$F,$2:$2,0),0)</f>
        <v>0</v>
      </c>
      <c r="G952" s="217">
        <f>IF(ISNUMBER(VLOOKUP($B:$B,IS!$A:$F,$2:$2,0)),VLOOKUP($B:$B,IS!$A:$F,$2:$2,0),0)</f>
        <v>0</v>
      </c>
      <c r="H952" s="207">
        <f>IF(ISNUMBER(VLOOKUP($B:$B,'IS(과거)'!$A:$F,$2:$2,0)),VLOOKUP($B:$B,'IS(과거)'!$A:$F,$2:$2,0),0)</f>
        <v>0</v>
      </c>
      <c r="I952" s="207">
        <f>IF(ISNUMBER(VLOOKUP($B:$B,'IS(과거)'!$A:$F,$2:$2,0)),VLOOKUP($B:$B,'IS(과거)'!$A:$F,$2:$2,0),0)</f>
        <v>0</v>
      </c>
      <c r="J952" s="207">
        <f>IF(ISNUMBER(VLOOKUP($B:$B,'IS(과거)'!$A:$F,$2:$2,0)),VLOOKUP($B:$B,'IS(과거)'!$A:$F,$2:$2,0),0)</f>
        <v>0</v>
      </c>
      <c r="K952" s="207">
        <f>IF(ISNUMBER(VLOOKUP($B:$B,'IS(과거)'!$A:$F,$2:$2,0)),VLOOKUP($B:$B,'IS(과거)'!$A:$F,$2:$2,0),0)</f>
        <v>0</v>
      </c>
      <c r="L952" s="207">
        <f>IF(ISNUMBER(VLOOKUP($B:$B,'IS(과거)'!$A:$F,$2:$2,0)),VLOOKUP($B:$B,'IS(과거)'!$A:$F,$2:$2,0),0)</f>
        <v>0</v>
      </c>
      <c r="N952" s="207">
        <f>IF(ISNUMBER(VLOOKUP($B:$B,'IS(분기)'!$A:$F,$2:$2,0)),VLOOKUP($B:$B,'IS(분기)'!$A:$F,$2:$2,0),0)</f>
        <v>0</v>
      </c>
      <c r="O952" s="207">
        <f>IF(ISNUMBER(VLOOKUP($B:$B,'IS(분기)'!$A:$F,$2:$2,0)),VLOOKUP($B:$B,'IS(분기)'!$A:$F,$2:$2,0),0)</f>
        <v>0</v>
      </c>
      <c r="P952" s="207">
        <f>IF(ISNUMBER(VLOOKUP($B:$B,'IS(분기)'!$A:$F,$2:$2,0)),VLOOKUP($B:$B,'IS(분기)'!$A:$F,$2:$2,0),0)</f>
        <v>0</v>
      </c>
      <c r="Q952" s="207">
        <f>IF(ISNUMBER(VLOOKUP($B:$B,'IS(분기)'!$A:$F,$2:$2,0)),VLOOKUP($B:$B,'IS(분기)'!$A:$F,$2:$2,0),0)</f>
        <v>0</v>
      </c>
      <c r="R952" s="207">
        <f>IF(ISNUMBER(VLOOKUP($B:$B,'IS(분기)'!$A:$F,$2:$2,0)),VLOOKUP($B:$B,'IS(분기)'!$A:$F,$2:$2,0),0)</f>
        <v>0</v>
      </c>
    </row>
    <row r="953" spans="1:18" s="192" customFormat="1" ht="12">
      <c r="A953" s="201">
        <v>125133</v>
      </c>
      <c r="B953" s="194" t="s">
        <v>656</v>
      </c>
      <c r="C953" s="217">
        <f>IF(ISNUMBER(VLOOKUP($B:$B,IS!$A:$F,$2:$2,0)),VLOOKUP($B:$B,IS!$A:$F,$2:$2,0),0)</f>
        <v>0</v>
      </c>
      <c r="D953" s="217">
        <f>IF(ISNUMBER(VLOOKUP($B:$B,IS!$A:$F,$2:$2,0)),VLOOKUP($B:$B,IS!$A:$F,$2:$2,0),0)</f>
        <v>0</v>
      </c>
      <c r="E953" s="217">
        <f>IF(ISNUMBER(VLOOKUP($B:$B,IS!$A:$F,$2:$2,0)),VLOOKUP($B:$B,IS!$A:$F,$2:$2,0),0)</f>
        <v>0</v>
      </c>
      <c r="F953" s="217">
        <f>IF(ISNUMBER(VLOOKUP($B:$B,IS!$A:$F,$2:$2,0)),VLOOKUP($B:$B,IS!$A:$F,$2:$2,0),0)</f>
        <v>0</v>
      </c>
      <c r="G953" s="217">
        <f>IF(ISNUMBER(VLOOKUP($B:$B,IS!$A:$F,$2:$2,0)),VLOOKUP($B:$B,IS!$A:$F,$2:$2,0),0)</f>
        <v>0</v>
      </c>
      <c r="H953" s="207">
        <f>IF(ISNUMBER(VLOOKUP($B:$B,'IS(과거)'!$A:$F,$2:$2,0)),VLOOKUP($B:$B,'IS(과거)'!$A:$F,$2:$2,0),0)</f>
        <v>0</v>
      </c>
      <c r="I953" s="207">
        <f>IF(ISNUMBER(VLOOKUP($B:$B,'IS(과거)'!$A:$F,$2:$2,0)),VLOOKUP($B:$B,'IS(과거)'!$A:$F,$2:$2,0),0)</f>
        <v>0</v>
      </c>
      <c r="J953" s="207">
        <f>IF(ISNUMBER(VLOOKUP($B:$B,'IS(과거)'!$A:$F,$2:$2,0)),VLOOKUP($B:$B,'IS(과거)'!$A:$F,$2:$2,0),0)</f>
        <v>0</v>
      </c>
      <c r="K953" s="207">
        <f>IF(ISNUMBER(VLOOKUP($B:$B,'IS(과거)'!$A:$F,$2:$2,0)),VLOOKUP($B:$B,'IS(과거)'!$A:$F,$2:$2,0),0)</f>
        <v>0</v>
      </c>
      <c r="L953" s="207">
        <f>IF(ISNUMBER(VLOOKUP($B:$B,'IS(과거)'!$A:$F,$2:$2,0)),VLOOKUP($B:$B,'IS(과거)'!$A:$F,$2:$2,0),0)</f>
        <v>0</v>
      </c>
      <c r="N953" s="207">
        <f>IF(ISNUMBER(VLOOKUP($B:$B,'IS(분기)'!$A:$F,$2:$2,0)),VLOOKUP($B:$B,'IS(분기)'!$A:$F,$2:$2,0),0)</f>
        <v>0</v>
      </c>
      <c r="O953" s="207">
        <f>IF(ISNUMBER(VLOOKUP($B:$B,'IS(분기)'!$A:$F,$2:$2,0)),VLOOKUP($B:$B,'IS(분기)'!$A:$F,$2:$2,0),0)</f>
        <v>0</v>
      </c>
      <c r="P953" s="207">
        <f>IF(ISNUMBER(VLOOKUP($B:$B,'IS(분기)'!$A:$F,$2:$2,0)),VLOOKUP($B:$B,'IS(분기)'!$A:$F,$2:$2,0),0)</f>
        <v>0</v>
      </c>
      <c r="Q953" s="207">
        <f>IF(ISNUMBER(VLOOKUP($B:$B,'IS(분기)'!$A:$F,$2:$2,0)),VLOOKUP($B:$B,'IS(분기)'!$A:$F,$2:$2,0),0)</f>
        <v>0</v>
      </c>
      <c r="R953" s="207">
        <f>IF(ISNUMBER(VLOOKUP($B:$B,'IS(분기)'!$A:$F,$2:$2,0)),VLOOKUP($B:$B,'IS(분기)'!$A:$F,$2:$2,0),0)</f>
        <v>0</v>
      </c>
    </row>
    <row r="954" spans="1:18" s="192" customFormat="1" ht="12">
      <c r="A954" s="201">
        <v>125116</v>
      </c>
      <c r="B954" s="194" t="s">
        <v>657</v>
      </c>
      <c r="C954" s="217">
        <f>IF(ISNUMBER(VLOOKUP($B:$B,IS!$A:$F,$2:$2,0)),VLOOKUP($B:$B,IS!$A:$F,$2:$2,0),0)</f>
        <v>0</v>
      </c>
      <c r="D954" s="217">
        <f>IF(ISNUMBER(VLOOKUP($B:$B,IS!$A:$F,$2:$2,0)),VLOOKUP($B:$B,IS!$A:$F,$2:$2,0),0)</f>
        <v>0</v>
      </c>
      <c r="E954" s="217">
        <f>IF(ISNUMBER(VLOOKUP($B:$B,IS!$A:$F,$2:$2,0)),VLOOKUP($B:$B,IS!$A:$F,$2:$2,0),0)</f>
        <v>0</v>
      </c>
      <c r="F954" s="217">
        <f>IF(ISNUMBER(VLOOKUP($B:$B,IS!$A:$F,$2:$2,0)),VLOOKUP($B:$B,IS!$A:$F,$2:$2,0),0)</f>
        <v>0</v>
      </c>
      <c r="G954" s="217">
        <f>IF(ISNUMBER(VLOOKUP($B:$B,IS!$A:$F,$2:$2,0)),VLOOKUP($B:$B,IS!$A:$F,$2:$2,0),0)</f>
        <v>0</v>
      </c>
      <c r="H954" s="207">
        <f>IF(ISNUMBER(VLOOKUP($B:$B,'IS(과거)'!$A:$F,$2:$2,0)),VLOOKUP($B:$B,'IS(과거)'!$A:$F,$2:$2,0),0)</f>
        <v>0</v>
      </c>
      <c r="I954" s="207">
        <f>IF(ISNUMBER(VLOOKUP($B:$B,'IS(과거)'!$A:$F,$2:$2,0)),VLOOKUP($B:$B,'IS(과거)'!$A:$F,$2:$2,0),0)</f>
        <v>0</v>
      </c>
      <c r="J954" s="207">
        <f>IF(ISNUMBER(VLOOKUP($B:$B,'IS(과거)'!$A:$F,$2:$2,0)),VLOOKUP($B:$B,'IS(과거)'!$A:$F,$2:$2,0),0)</f>
        <v>0</v>
      </c>
      <c r="K954" s="207">
        <f>IF(ISNUMBER(VLOOKUP($B:$B,'IS(과거)'!$A:$F,$2:$2,0)),VLOOKUP($B:$B,'IS(과거)'!$A:$F,$2:$2,0),0)</f>
        <v>0</v>
      </c>
      <c r="L954" s="207">
        <f>IF(ISNUMBER(VLOOKUP($B:$B,'IS(과거)'!$A:$F,$2:$2,0)),VLOOKUP($B:$B,'IS(과거)'!$A:$F,$2:$2,0),0)</f>
        <v>0</v>
      </c>
      <c r="N954" s="207">
        <f>IF(ISNUMBER(VLOOKUP($B:$B,'IS(분기)'!$A:$F,$2:$2,0)),VLOOKUP($B:$B,'IS(분기)'!$A:$F,$2:$2,0),0)</f>
        <v>0</v>
      </c>
      <c r="O954" s="207">
        <f>IF(ISNUMBER(VLOOKUP($B:$B,'IS(분기)'!$A:$F,$2:$2,0)),VLOOKUP($B:$B,'IS(분기)'!$A:$F,$2:$2,0),0)</f>
        <v>0</v>
      </c>
      <c r="P954" s="207">
        <f>IF(ISNUMBER(VLOOKUP($B:$B,'IS(분기)'!$A:$F,$2:$2,0)),VLOOKUP($B:$B,'IS(분기)'!$A:$F,$2:$2,0),0)</f>
        <v>0</v>
      </c>
      <c r="Q954" s="207">
        <f>IF(ISNUMBER(VLOOKUP($B:$B,'IS(분기)'!$A:$F,$2:$2,0)),VLOOKUP($B:$B,'IS(분기)'!$A:$F,$2:$2,0),0)</f>
        <v>0</v>
      </c>
      <c r="R954" s="207">
        <f>IF(ISNUMBER(VLOOKUP($B:$B,'IS(분기)'!$A:$F,$2:$2,0)),VLOOKUP($B:$B,'IS(분기)'!$A:$F,$2:$2,0),0)</f>
        <v>0</v>
      </c>
    </row>
    <row r="955" spans="1:18" s="192" customFormat="1" ht="12">
      <c r="A955" s="201">
        <v>125117</v>
      </c>
      <c r="B955" s="194" t="s">
        <v>658</v>
      </c>
      <c r="C955" s="217">
        <f>IF(ISNUMBER(VLOOKUP($B:$B,IS!$A:$F,$2:$2,0)),VLOOKUP($B:$B,IS!$A:$F,$2:$2,0),0)</f>
        <v>0</v>
      </c>
      <c r="D955" s="217">
        <f>IF(ISNUMBER(VLOOKUP($B:$B,IS!$A:$F,$2:$2,0)),VLOOKUP($B:$B,IS!$A:$F,$2:$2,0),0)</f>
        <v>0</v>
      </c>
      <c r="E955" s="217">
        <f>IF(ISNUMBER(VLOOKUP($B:$B,IS!$A:$F,$2:$2,0)),VLOOKUP($B:$B,IS!$A:$F,$2:$2,0),0)</f>
        <v>0</v>
      </c>
      <c r="F955" s="217">
        <f>IF(ISNUMBER(VLOOKUP($B:$B,IS!$A:$F,$2:$2,0)),VLOOKUP($B:$B,IS!$A:$F,$2:$2,0),0)</f>
        <v>0</v>
      </c>
      <c r="G955" s="217">
        <f>IF(ISNUMBER(VLOOKUP($B:$B,IS!$A:$F,$2:$2,0)),VLOOKUP($B:$B,IS!$A:$F,$2:$2,0),0)</f>
        <v>0</v>
      </c>
      <c r="H955" s="207">
        <f>IF(ISNUMBER(VLOOKUP($B:$B,'IS(과거)'!$A:$F,$2:$2,0)),VLOOKUP($B:$B,'IS(과거)'!$A:$F,$2:$2,0),0)</f>
        <v>0</v>
      </c>
      <c r="I955" s="207">
        <f>IF(ISNUMBER(VLOOKUP($B:$B,'IS(과거)'!$A:$F,$2:$2,0)),VLOOKUP($B:$B,'IS(과거)'!$A:$F,$2:$2,0),0)</f>
        <v>0</v>
      </c>
      <c r="J955" s="207">
        <f>IF(ISNUMBER(VLOOKUP($B:$B,'IS(과거)'!$A:$F,$2:$2,0)),VLOOKUP($B:$B,'IS(과거)'!$A:$F,$2:$2,0),0)</f>
        <v>0</v>
      </c>
      <c r="K955" s="207">
        <f>IF(ISNUMBER(VLOOKUP($B:$B,'IS(과거)'!$A:$F,$2:$2,0)),VLOOKUP($B:$B,'IS(과거)'!$A:$F,$2:$2,0),0)</f>
        <v>0</v>
      </c>
      <c r="L955" s="207">
        <f>IF(ISNUMBER(VLOOKUP($B:$B,'IS(과거)'!$A:$F,$2:$2,0)),VLOOKUP($B:$B,'IS(과거)'!$A:$F,$2:$2,0),0)</f>
        <v>0</v>
      </c>
      <c r="N955" s="207">
        <f>IF(ISNUMBER(VLOOKUP($B:$B,'IS(분기)'!$A:$F,$2:$2,0)),VLOOKUP($B:$B,'IS(분기)'!$A:$F,$2:$2,0),0)</f>
        <v>0</v>
      </c>
      <c r="O955" s="207">
        <f>IF(ISNUMBER(VLOOKUP($B:$B,'IS(분기)'!$A:$F,$2:$2,0)),VLOOKUP($B:$B,'IS(분기)'!$A:$F,$2:$2,0),0)</f>
        <v>0</v>
      </c>
      <c r="P955" s="207">
        <f>IF(ISNUMBER(VLOOKUP($B:$B,'IS(분기)'!$A:$F,$2:$2,0)),VLOOKUP($B:$B,'IS(분기)'!$A:$F,$2:$2,0),0)</f>
        <v>0</v>
      </c>
      <c r="Q955" s="207">
        <f>IF(ISNUMBER(VLOOKUP($B:$B,'IS(분기)'!$A:$F,$2:$2,0)),VLOOKUP($B:$B,'IS(분기)'!$A:$F,$2:$2,0),0)</f>
        <v>0</v>
      </c>
      <c r="R955" s="207">
        <f>IF(ISNUMBER(VLOOKUP($B:$B,'IS(분기)'!$A:$F,$2:$2,0)),VLOOKUP($B:$B,'IS(분기)'!$A:$F,$2:$2,0),0)</f>
        <v>0</v>
      </c>
    </row>
    <row r="956" spans="1:18" s="192" customFormat="1" ht="12">
      <c r="A956" s="201">
        <v>125105</v>
      </c>
      <c r="B956" s="194" t="s">
        <v>659</v>
      </c>
      <c r="C956" s="217">
        <f>IF(ISNUMBER(VLOOKUP($B:$B,IS!$A:$F,$2:$2,0)),VLOOKUP($B:$B,IS!$A:$F,$2:$2,0),0)</f>
        <v>249232</v>
      </c>
      <c r="D956" s="217">
        <f>IF(ISNUMBER(VLOOKUP($B:$B,IS!$A:$F,$2:$2,0)),VLOOKUP($B:$B,IS!$A:$F,$2:$2,0),0)</f>
        <v>0</v>
      </c>
      <c r="E956" s="217">
        <f>IF(ISNUMBER(VLOOKUP($B:$B,IS!$A:$F,$2:$2,0)),VLOOKUP($B:$B,IS!$A:$F,$2:$2,0),0)</f>
        <v>0</v>
      </c>
      <c r="F956" s="217">
        <f>IF(ISNUMBER(VLOOKUP($B:$B,IS!$A:$F,$2:$2,0)),VLOOKUP($B:$B,IS!$A:$F,$2:$2,0),0)</f>
        <v>0</v>
      </c>
      <c r="G956" s="217">
        <f>IF(ISNUMBER(VLOOKUP($B:$B,IS!$A:$F,$2:$2,0)),VLOOKUP($B:$B,IS!$A:$F,$2:$2,0),0)</f>
        <v>0</v>
      </c>
      <c r="H956" s="207">
        <f>IF(ISNUMBER(VLOOKUP($B:$B,'IS(과거)'!$A:$F,$2:$2,0)),VLOOKUP($B:$B,'IS(과거)'!$A:$F,$2:$2,0),0)</f>
        <v>0</v>
      </c>
      <c r="I956" s="207">
        <f>IF(ISNUMBER(VLOOKUP($B:$B,'IS(과거)'!$A:$F,$2:$2,0)),VLOOKUP($B:$B,'IS(과거)'!$A:$F,$2:$2,0),0)</f>
        <v>0</v>
      </c>
      <c r="J956" s="207">
        <f>IF(ISNUMBER(VLOOKUP($B:$B,'IS(과거)'!$A:$F,$2:$2,0)),VLOOKUP($B:$B,'IS(과거)'!$A:$F,$2:$2,0),0)</f>
        <v>0</v>
      </c>
      <c r="K956" s="207">
        <f>IF(ISNUMBER(VLOOKUP($B:$B,'IS(과거)'!$A:$F,$2:$2,0)),VLOOKUP($B:$B,'IS(과거)'!$A:$F,$2:$2,0),0)</f>
        <v>0</v>
      </c>
      <c r="L956" s="207">
        <f>IF(ISNUMBER(VLOOKUP($B:$B,'IS(과거)'!$A:$F,$2:$2,0)),VLOOKUP($B:$B,'IS(과거)'!$A:$F,$2:$2,0),0)</f>
        <v>0</v>
      </c>
      <c r="N956" s="207">
        <f>IF(ISNUMBER(VLOOKUP($B:$B,'IS(분기)'!$A:$F,$2:$2,0)),VLOOKUP($B:$B,'IS(분기)'!$A:$F,$2:$2,0),0)</f>
        <v>0</v>
      </c>
      <c r="O956" s="207">
        <f>IF(ISNUMBER(VLOOKUP($B:$B,'IS(분기)'!$A:$F,$2:$2,0)),VLOOKUP($B:$B,'IS(분기)'!$A:$F,$2:$2,0),0)</f>
        <v>0</v>
      </c>
      <c r="P956" s="207">
        <f>IF(ISNUMBER(VLOOKUP($B:$B,'IS(분기)'!$A:$F,$2:$2,0)),VLOOKUP($B:$B,'IS(분기)'!$A:$F,$2:$2,0),0)</f>
        <v>0</v>
      </c>
      <c r="Q956" s="207">
        <f>IF(ISNUMBER(VLOOKUP($B:$B,'IS(분기)'!$A:$F,$2:$2,0)),VLOOKUP($B:$B,'IS(분기)'!$A:$F,$2:$2,0),0)</f>
        <v>0</v>
      </c>
      <c r="R956" s="207">
        <f>IF(ISNUMBER(VLOOKUP($B:$B,'IS(분기)'!$A:$F,$2:$2,0)),VLOOKUP($B:$B,'IS(분기)'!$A:$F,$2:$2,0),0)</f>
        <v>0</v>
      </c>
    </row>
    <row r="957" spans="1:18" s="192" customFormat="1" ht="12">
      <c r="A957" s="201">
        <v>125106</v>
      </c>
      <c r="B957" s="194" t="s">
        <v>660</v>
      </c>
      <c r="C957" s="217">
        <f>IF(ISNUMBER(VLOOKUP($B:$B,IS!$A:$F,$2:$2,0)),VLOOKUP($B:$B,IS!$A:$F,$2:$2,0),0)</f>
        <v>0</v>
      </c>
      <c r="D957" s="217">
        <f>IF(ISNUMBER(VLOOKUP($B:$B,IS!$A:$F,$2:$2,0)),VLOOKUP($B:$B,IS!$A:$F,$2:$2,0),0)</f>
        <v>0</v>
      </c>
      <c r="E957" s="217">
        <f>IF(ISNUMBER(VLOOKUP($B:$B,IS!$A:$F,$2:$2,0)),VLOOKUP($B:$B,IS!$A:$F,$2:$2,0),0)</f>
        <v>0</v>
      </c>
      <c r="F957" s="217">
        <f>IF(ISNUMBER(VLOOKUP($B:$B,IS!$A:$F,$2:$2,0)),VLOOKUP($B:$B,IS!$A:$F,$2:$2,0),0)</f>
        <v>0</v>
      </c>
      <c r="G957" s="217">
        <f>IF(ISNUMBER(VLOOKUP($B:$B,IS!$A:$F,$2:$2,0)),VLOOKUP($B:$B,IS!$A:$F,$2:$2,0),0)</f>
        <v>0</v>
      </c>
      <c r="H957" s="207">
        <f>IF(ISNUMBER(VLOOKUP($B:$B,'IS(과거)'!$A:$F,$2:$2,0)),VLOOKUP($B:$B,'IS(과거)'!$A:$F,$2:$2,0),0)</f>
        <v>0</v>
      </c>
      <c r="I957" s="207">
        <f>IF(ISNUMBER(VLOOKUP($B:$B,'IS(과거)'!$A:$F,$2:$2,0)),VLOOKUP($B:$B,'IS(과거)'!$A:$F,$2:$2,0),0)</f>
        <v>0</v>
      </c>
      <c r="J957" s="207">
        <f>IF(ISNUMBER(VLOOKUP($B:$B,'IS(과거)'!$A:$F,$2:$2,0)),VLOOKUP($B:$B,'IS(과거)'!$A:$F,$2:$2,0),0)</f>
        <v>0</v>
      </c>
      <c r="K957" s="207">
        <f>IF(ISNUMBER(VLOOKUP($B:$B,'IS(과거)'!$A:$F,$2:$2,0)),VLOOKUP($B:$B,'IS(과거)'!$A:$F,$2:$2,0),0)</f>
        <v>0</v>
      </c>
      <c r="L957" s="207">
        <f>IF(ISNUMBER(VLOOKUP($B:$B,'IS(과거)'!$A:$F,$2:$2,0)),VLOOKUP($B:$B,'IS(과거)'!$A:$F,$2:$2,0),0)</f>
        <v>0</v>
      </c>
      <c r="N957" s="207">
        <f>IF(ISNUMBER(VLOOKUP($B:$B,'IS(분기)'!$A:$F,$2:$2,0)),VLOOKUP($B:$B,'IS(분기)'!$A:$F,$2:$2,0),0)</f>
        <v>0</v>
      </c>
      <c r="O957" s="207">
        <f>IF(ISNUMBER(VLOOKUP($B:$B,'IS(분기)'!$A:$F,$2:$2,0)),VLOOKUP($B:$B,'IS(분기)'!$A:$F,$2:$2,0),0)</f>
        <v>0</v>
      </c>
      <c r="P957" s="207">
        <f>IF(ISNUMBER(VLOOKUP($B:$B,'IS(분기)'!$A:$F,$2:$2,0)),VLOOKUP($B:$B,'IS(분기)'!$A:$F,$2:$2,0),0)</f>
        <v>0</v>
      </c>
      <c r="Q957" s="207">
        <f>IF(ISNUMBER(VLOOKUP($B:$B,'IS(분기)'!$A:$F,$2:$2,0)),VLOOKUP($B:$B,'IS(분기)'!$A:$F,$2:$2,0),0)</f>
        <v>0</v>
      </c>
      <c r="R957" s="207">
        <f>IF(ISNUMBER(VLOOKUP($B:$B,'IS(분기)'!$A:$F,$2:$2,0)),VLOOKUP($B:$B,'IS(분기)'!$A:$F,$2:$2,0),0)</f>
        <v>0</v>
      </c>
    </row>
    <row r="958" spans="1:18" s="192" customFormat="1" ht="12">
      <c r="A958" s="201">
        <v>125107</v>
      </c>
      <c r="B958" s="194" t="s">
        <v>661</v>
      </c>
      <c r="C958" s="217">
        <f>IF(ISNUMBER(VLOOKUP($B:$B,IS!$A:$F,$2:$2,0)),VLOOKUP($B:$B,IS!$A:$F,$2:$2,0),0)</f>
        <v>0</v>
      </c>
      <c r="D958" s="217">
        <f>IF(ISNUMBER(VLOOKUP($B:$B,IS!$A:$F,$2:$2,0)),VLOOKUP($B:$B,IS!$A:$F,$2:$2,0),0)</f>
        <v>0</v>
      </c>
      <c r="E958" s="217">
        <f>IF(ISNUMBER(VLOOKUP($B:$B,IS!$A:$F,$2:$2,0)),VLOOKUP($B:$B,IS!$A:$F,$2:$2,0),0)</f>
        <v>0</v>
      </c>
      <c r="F958" s="217">
        <f>IF(ISNUMBER(VLOOKUP($B:$B,IS!$A:$F,$2:$2,0)),VLOOKUP($B:$B,IS!$A:$F,$2:$2,0),0)</f>
        <v>0</v>
      </c>
      <c r="G958" s="217">
        <f>IF(ISNUMBER(VLOOKUP($B:$B,IS!$A:$F,$2:$2,0)),VLOOKUP($B:$B,IS!$A:$F,$2:$2,0),0)</f>
        <v>0</v>
      </c>
      <c r="H958" s="207">
        <f>IF(ISNUMBER(VLOOKUP($B:$B,'IS(과거)'!$A:$F,$2:$2,0)),VLOOKUP($B:$B,'IS(과거)'!$A:$F,$2:$2,0),0)</f>
        <v>0</v>
      </c>
      <c r="I958" s="207">
        <f>IF(ISNUMBER(VLOOKUP($B:$B,'IS(과거)'!$A:$F,$2:$2,0)),VLOOKUP($B:$B,'IS(과거)'!$A:$F,$2:$2,0),0)</f>
        <v>0</v>
      </c>
      <c r="J958" s="207">
        <f>IF(ISNUMBER(VLOOKUP($B:$B,'IS(과거)'!$A:$F,$2:$2,0)),VLOOKUP($B:$B,'IS(과거)'!$A:$F,$2:$2,0),0)</f>
        <v>0</v>
      </c>
      <c r="K958" s="207">
        <f>IF(ISNUMBER(VLOOKUP($B:$B,'IS(과거)'!$A:$F,$2:$2,0)),VLOOKUP($B:$B,'IS(과거)'!$A:$F,$2:$2,0),0)</f>
        <v>0</v>
      </c>
      <c r="L958" s="207">
        <f>IF(ISNUMBER(VLOOKUP($B:$B,'IS(과거)'!$A:$F,$2:$2,0)),VLOOKUP($B:$B,'IS(과거)'!$A:$F,$2:$2,0),0)</f>
        <v>0</v>
      </c>
      <c r="N958" s="207">
        <f>IF(ISNUMBER(VLOOKUP($B:$B,'IS(분기)'!$A:$F,$2:$2,0)),VLOOKUP($B:$B,'IS(분기)'!$A:$F,$2:$2,0),0)</f>
        <v>0</v>
      </c>
      <c r="O958" s="207">
        <f>IF(ISNUMBER(VLOOKUP($B:$B,'IS(분기)'!$A:$F,$2:$2,0)),VLOOKUP($B:$B,'IS(분기)'!$A:$F,$2:$2,0),0)</f>
        <v>0</v>
      </c>
      <c r="P958" s="207">
        <f>IF(ISNUMBER(VLOOKUP($B:$B,'IS(분기)'!$A:$F,$2:$2,0)),VLOOKUP($B:$B,'IS(분기)'!$A:$F,$2:$2,0),0)</f>
        <v>0</v>
      </c>
      <c r="Q958" s="207">
        <f>IF(ISNUMBER(VLOOKUP($B:$B,'IS(분기)'!$A:$F,$2:$2,0)),VLOOKUP($B:$B,'IS(분기)'!$A:$F,$2:$2,0),0)</f>
        <v>0</v>
      </c>
      <c r="R958" s="207">
        <f>IF(ISNUMBER(VLOOKUP($B:$B,'IS(분기)'!$A:$F,$2:$2,0)),VLOOKUP($B:$B,'IS(분기)'!$A:$F,$2:$2,0),0)</f>
        <v>0</v>
      </c>
    </row>
    <row r="959" spans="1:18" s="192" customFormat="1" ht="12">
      <c r="A959" s="201">
        <v>125108</v>
      </c>
      <c r="B959" s="194" t="s">
        <v>662</v>
      </c>
      <c r="C959" s="217">
        <f>IF(ISNUMBER(VLOOKUP($B:$B,IS!$A:$F,$2:$2,0)),VLOOKUP($B:$B,IS!$A:$F,$2:$2,0),0)</f>
        <v>0</v>
      </c>
      <c r="D959" s="217">
        <f>IF(ISNUMBER(VLOOKUP($B:$B,IS!$A:$F,$2:$2,0)),VLOOKUP($B:$B,IS!$A:$F,$2:$2,0),0)</f>
        <v>0</v>
      </c>
      <c r="E959" s="217">
        <f>IF(ISNUMBER(VLOOKUP($B:$B,IS!$A:$F,$2:$2,0)),VLOOKUP($B:$B,IS!$A:$F,$2:$2,0),0)</f>
        <v>0</v>
      </c>
      <c r="F959" s="217">
        <f>IF(ISNUMBER(VLOOKUP($B:$B,IS!$A:$F,$2:$2,0)),VLOOKUP($B:$B,IS!$A:$F,$2:$2,0),0)</f>
        <v>0</v>
      </c>
      <c r="G959" s="217">
        <f>IF(ISNUMBER(VLOOKUP($B:$B,IS!$A:$F,$2:$2,0)),VLOOKUP($B:$B,IS!$A:$F,$2:$2,0),0)</f>
        <v>0</v>
      </c>
      <c r="H959" s="207">
        <f>IF(ISNUMBER(VLOOKUP($B:$B,'IS(과거)'!$A:$F,$2:$2,0)),VLOOKUP($B:$B,'IS(과거)'!$A:$F,$2:$2,0),0)</f>
        <v>0</v>
      </c>
      <c r="I959" s="207">
        <f>IF(ISNUMBER(VLOOKUP($B:$B,'IS(과거)'!$A:$F,$2:$2,0)),VLOOKUP($B:$B,'IS(과거)'!$A:$F,$2:$2,0),0)</f>
        <v>0</v>
      </c>
      <c r="J959" s="207">
        <f>IF(ISNUMBER(VLOOKUP($B:$B,'IS(과거)'!$A:$F,$2:$2,0)),VLOOKUP($B:$B,'IS(과거)'!$A:$F,$2:$2,0),0)</f>
        <v>0</v>
      </c>
      <c r="K959" s="207">
        <f>IF(ISNUMBER(VLOOKUP($B:$B,'IS(과거)'!$A:$F,$2:$2,0)),VLOOKUP($B:$B,'IS(과거)'!$A:$F,$2:$2,0),0)</f>
        <v>0</v>
      </c>
      <c r="L959" s="207">
        <f>IF(ISNUMBER(VLOOKUP($B:$B,'IS(과거)'!$A:$F,$2:$2,0)),VLOOKUP($B:$B,'IS(과거)'!$A:$F,$2:$2,0),0)</f>
        <v>0</v>
      </c>
      <c r="N959" s="207">
        <f>IF(ISNUMBER(VLOOKUP($B:$B,'IS(분기)'!$A:$F,$2:$2,0)),VLOOKUP($B:$B,'IS(분기)'!$A:$F,$2:$2,0),0)</f>
        <v>0</v>
      </c>
      <c r="O959" s="207">
        <f>IF(ISNUMBER(VLOOKUP($B:$B,'IS(분기)'!$A:$F,$2:$2,0)),VLOOKUP($B:$B,'IS(분기)'!$A:$F,$2:$2,0),0)</f>
        <v>0</v>
      </c>
      <c r="P959" s="207">
        <f>IF(ISNUMBER(VLOOKUP($B:$B,'IS(분기)'!$A:$F,$2:$2,0)),VLOOKUP($B:$B,'IS(분기)'!$A:$F,$2:$2,0),0)</f>
        <v>0</v>
      </c>
      <c r="Q959" s="207">
        <f>IF(ISNUMBER(VLOOKUP($B:$B,'IS(분기)'!$A:$F,$2:$2,0)),VLOOKUP($B:$B,'IS(분기)'!$A:$F,$2:$2,0),0)</f>
        <v>0</v>
      </c>
      <c r="R959" s="207">
        <f>IF(ISNUMBER(VLOOKUP($B:$B,'IS(분기)'!$A:$F,$2:$2,0)),VLOOKUP($B:$B,'IS(분기)'!$A:$F,$2:$2,0),0)</f>
        <v>0</v>
      </c>
    </row>
    <row r="960" spans="1:18" s="192" customFormat="1" ht="12">
      <c r="A960" s="201">
        <v>125110</v>
      </c>
      <c r="B960" s="194" t="s">
        <v>663</v>
      </c>
      <c r="C960" s="217">
        <f>IF(ISNUMBER(VLOOKUP($B:$B,IS!$A:$F,$2:$2,0)),VLOOKUP($B:$B,IS!$A:$F,$2:$2,0),0)</f>
        <v>0</v>
      </c>
      <c r="D960" s="217">
        <f>IF(ISNUMBER(VLOOKUP($B:$B,IS!$A:$F,$2:$2,0)),VLOOKUP($B:$B,IS!$A:$F,$2:$2,0),0)</f>
        <v>0</v>
      </c>
      <c r="E960" s="217">
        <f>IF(ISNUMBER(VLOOKUP($B:$B,IS!$A:$F,$2:$2,0)),VLOOKUP($B:$B,IS!$A:$F,$2:$2,0),0)</f>
        <v>0</v>
      </c>
      <c r="F960" s="217">
        <f>IF(ISNUMBER(VLOOKUP($B:$B,IS!$A:$F,$2:$2,0)),VLOOKUP($B:$B,IS!$A:$F,$2:$2,0),0)</f>
        <v>0</v>
      </c>
      <c r="G960" s="217">
        <f>IF(ISNUMBER(VLOOKUP($B:$B,IS!$A:$F,$2:$2,0)),VLOOKUP($B:$B,IS!$A:$F,$2:$2,0),0)</f>
        <v>0</v>
      </c>
      <c r="H960" s="207">
        <f>IF(ISNUMBER(VLOOKUP($B:$B,'IS(과거)'!$A:$F,$2:$2,0)),VLOOKUP($B:$B,'IS(과거)'!$A:$F,$2:$2,0),0)</f>
        <v>0</v>
      </c>
      <c r="I960" s="207">
        <f>IF(ISNUMBER(VLOOKUP($B:$B,'IS(과거)'!$A:$F,$2:$2,0)),VLOOKUP($B:$B,'IS(과거)'!$A:$F,$2:$2,0),0)</f>
        <v>0</v>
      </c>
      <c r="J960" s="207">
        <f>IF(ISNUMBER(VLOOKUP($B:$B,'IS(과거)'!$A:$F,$2:$2,0)),VLOOKUP($B:$B,'IS(과거)'!$A:$F,$2:$2,0),0)</f>
        <v>0</v>
      </c>
      <c r="K960" s="207">
        <f>IF(ISNUMBER(VLOOKUP($B:$B,'IS(과거)'!$A:$F,$2:$2,0)),VLOOKUP($B:$B,'IS(과거)'!$A:$F,$2:$2,0),0)</f>
        <v>0</v>
      </c>
      <c r="L960" s="207">
        <f>IF(ISNUMBER(VLOOKUP($B:$B,'IS(과거)'!$A:$F,$2:$2,0)),VLOOKUP($B:$B,'IS(과거)'!$A:$F,$2:$2,0),0)</f>
        <v>0</v>
      </c>
      <c r="N960" s="207">
        <f>IF(ISNUMBER(VLOOKUP($B:$B,'IS(분기)'!$A:$F,$2:$2,0)),VLOOKUP($B:$B,'IS(분기)'!$A:$F,$2:$2,0),0)</f>
        <v>0</v>
      </c>
      <c r="O960" s="207">
        <f>IF(ISNUMBER(VLOOKUP($B:$B,'IS(분기)'!$A:$F,$2:$2,0)),VLOOKUP($B:$B,'IS(분기)'!$A:$F,$2:$2,0),0)</f>
        <v>0</v>
      </c>
      <c r="P960" s="207">
        <f>IF(ISNUMBER(VLOOKUP($B:$B,'IS(분기)'!$A:$F,$2:$2,0)),VLOOKUP($B:$B,'IS(분기)'!$A:$F,$2:$2,0),0)</f>
        <v>0</v>
      </c>
      <c r="Q960" s="207">
        <f>IF(ISNUMBER(VLOOKUP($B:$B,'IS(분기)'!$A:$F,$2:$2,0)),VLOOKUP($B:$B,'IS(분기)'!$A:$F,$2:$2,0),0)</f>
        <v>0</v>
      </c>
      <c r="R960" s="207">
        <f>IF(ISNUMBER(VLOOKUP($B:$B,'IS(분기)'!$A:$F,$2:$2,0)),VLOOKUP($B:$B,'IS(분기)'!$A:$F,$2:$2,0),0)</f>
        <v>0</v>
      </c>
    </row>
    <row r="961" spans="1:18" s="192" customFormat="1" ht="12">
      <c r="A961" s="201">
        <v>125109</v>
      </c>
      <c r="B961" s="194" t="s">
        <v>664</v>
      </c>
      <c r="C961" s="217">
        <f>IF(ISNUMBER(VLOOKUP($B:$B,IS!$A:$F,$2:$2,0)),VLOOKUP($B:$B,IS!$A:$F,$2:$2,0),0)</f>
        <v>3549</v>
      </c>
      <c r="D961" s="217">
        <f>IF(ISNUMBER(VLOOKUP($B:$B,IS!$A:$F,$2:$2,0)),VLOOKUP($B:$B,IS!$A:$F,$2:$2,0),0)</f>
        <v>0</v>
      </c>
      <c r="E961" s="217">
        <f>IF(ISNUMBER(VLOOKUP($B:$B,IS!$A:$F,$2:$2,0)),VLOOKUP($B:$B,IS!$A:$F,$2:$2,0),0)</f>
        <v>0</v>
      </c>
      <c r="F961" s="217">
        <f>IF(ISNUMBER(VLOOKUP($B:$B,IS!$A:$F,$2:$2,0)),VLOOKUP($B:$B,IS!$A:$F,$2:$2,0),0)</f>
        <v>0</v>
      </c>
      <c r="G961" s="217">
        <f>IF(ISNUMBER(VLOOKUP($B:$B,IS!$A:$F,$2:$2,0)),VLOOKUP($B:$B,IS!$A:$F,$2:$2,0),0)</f>
        <v>0</v>
      </c>
      <c r="H961" s="207">
        <f>IF(ISNUMBER(VLOOKUP($B:$B,'IS(과거)'!$A:$F,$2:$2,0)),VLOOKUP($B:$B,'IS(과거)'!$A:$F,$2:$2,0),0)</f>
        <v>0</v>
      </c>
      <c r="I961" s="207">
        <f>IF(ISNUMBER(VLOOKUP($B:$B,'IS(과거)'!$A:$F,$2:$2,0)),VLOOKUP($B:$B,'IS(과거)'!$A:$F,$2:$2,0),0)</f>
        <v>0</v>
      </c>
      <c r="J961" s="207">
        <f>IF(ISNUMBER(VLOOKUP($B:$B,'IS(과거)'!$A:$F,$2:$2,0)),VLOOKUP($B:$B,'IS(과거)'!$A:$F,$2:$2,0),0)</f>
        <v>0</v>
      </c>
      <c r="K961" s="207">
        <f>IF(ISNUMBER(VLOOKUP($B:$B,'IS(과거)'!$A:$F,$2:$2,0)),VLOOKUP($B:$B,'IS(과거)'!$A:$F,$2:$2,0),0)</f>
        <v>0</v>
      </c>
      <c r="L961" s="207">
        <f>IF(ISNUMBER(VLOOKUP($B:$B,'IS(과거)'!$A:$F,$2:$2,0)),VLOOKUP($B:$B,'IS(과거)'!$A:$F,$2:$2,0),0)</f>
        <v>0</v>
      </c>
      <c r="N961" s="207">
        <f>IF(ISNUMBER(VLOOKUP($B:$B,'IS(분기)'!$A:$F,$2:$2,0)),VLOOKUP($B:$B,'IS(분기)'!$A:$F,$2:$2,0),0)</f>
        <v>0</v>
      </c>
      <c r="O961" s="207">
        <f>IF(ISNUMBER(VLOOKUP($B:$B,'IS(분기)'!$A:$F,$2:$2,0)),VLOOKUP($B:$B,'IS(분기)'!$A:$F,$2:$2,0),0)</f>
        <v>0</v>
      </c>
      <c r="P961" s="207">
        <f>IF(ISNUMBER(VLOOKUP($B:$B,'IS(분기)'!$A:$F,$2:$2,0)),VLOOKUP($B:$B,'IS(분기)'!$A:$F,$2:$2,0),0)</f>
        <v>0</v>
      </c>
      <c r="Q961" s="207">
        <f>IF(ISNUMBER(VLOOKUP($B:$B,'IS(분기)'!$A:$F,$2:$2,0)),VLOOKUP($B:$B,'IS(분기)'!$A:$F,$2:$2,0),0)</f>
        <v>0</v>
      </c>
      <c r="R961" s="207">
        <f>IF(ISNUMBER(VLOOKUP($B:$B,'IS(분기)'!$A:$F,$2:$2,0)),VLOOKUP($B:$B,'IS(분기)'!$A:$F,$2:$2,0),0)</f>
        <v>0</v>
      </c>
    </row>
    <row r="962" spans="1:18" s="192" customFormat="1" ht="12">
      <c r="A962" s="201">
        <v>125111</v>
      </c>
      <c r="B962" s="194" t="s">
        <v>665</v>
      </c>
      <c r="C962" s="217">
        <f>IF(ISNUMBER(VLOOKUP($B:$B,IS!$A:$F,$2:$2,0)),VLOOKUP($B:$B,IS!$A:$F,$2:$2,0),0)</f>
        <v>0</v>
      </c>
      <c r="D962" s="217">
        <f>IF(ISNUMBER(VLOOKUP($B:$B,IS!$A:$F,$2:$2,0)),VLOOKUP($B:$B,IS!$A:$F,$2:$2,0),0)</f>
        <v>0</v>
      </c>
      <c r="E962" s="217">
        <f>IF(ISNUMBER(VLOOKUP($B:$B,IS!$A:$F,$2:$2,0)),VLOOKUP($B:$B,IS!$A:$F,$2:$2,0),0)</f>
        <v>0</v>
      </c>
      <c r="F962" s="217">
        <f>IF(ISNUMBER(VLOOKUP($B:$B,IS!$A:$F,$2:$2,0)),VLOOKUP($B:$B,IS!$A:$F,$2:$2,0),0)</f>
        <v>0</v>
      </c>
      <c r="G962" s="217">
        <f>IF(ISNUMBER(VLOOKUP($B:$B,IS!$A:$F,$2:$2,0)),VLOOKUP($B:$B,IS!$A:$F,$2:$2,0),0)</f>
        <v>0</v>
      </c>
      <c r="H962" s="207">
        <f>IF(ISNUMBER(VLOOKUP($B:$B,'IS(과거)'!$A:$F,$2:$2,0)),VLOOKUP($B:$B,'IS(과거)'!$A:$F,$2:$2,0),0)</f>
        <v>0</v>
      </c>
      <c r="I962" s="207">
        <f>IF(ISNUMBER(VLOOKUP($B:$B,'IS(과거)'!$A:$F,$2:$2,0)),VLOOKUP($B:$B,'IS(과거)'!$A:$F,$2:$2,0),0)</f>
        <v>0</v>
      </c>
      <c r="J962" s="207">
        <f>IF(ISNUMBER(VLOOKUP($B:$B,'IS(과거)'!$A:$F,$2:$2,0)),VLOOKUP($B:$B,'IS(과거)'!$A:$F,$2:$2,0),0)</f>
        <v>0</v>
      </c>
      <c r="K962" s="207">
        <f>IF(ISNUMBER(VLOOKUP($B:$B,'IS(과거)'!$A:$F,$2:$2,0)),VLOOKUP($B:$B,'IS(과거)'!$A:$F,$2:$2,0),0)</f>
        <v>0</v>
      </c>
      <c r="L962" s="207">
        <f>IF(ISNUMBER(VLOOKUP($B:$B,'IS(과거)'!$A:$F,$2:$2,0)),VLOOKUP($B:$B,'IS(과거)'!$A:$F,$2:$2,0),0)</f>
        <v>0</v>
      </c>
      <c r="N962" s="207">
        <f>IF(ISNUMBER(VLOOKUP($B:$B,'IS(분기)'!$A:$F,$2:$2,0)),VLOOKUP($B:$B,'IS(분기)'!$A:$F,$2:$2,0),0)</f>
        <v>0</v>
      </c>
      <c r="O962" s="207">
        <f>IF(ISNUMBER(VLOOKUP($B:$B,'IS(분기)'!$A:$F,$2:$2,0)),VLOOKUP($B:$B,'IS(분기)'!$A:$F,$2:$2,0),0)</f>
        <v>0</v>
      </c>
      <c r="P962" s="207">
        <f>IF(ISNUMBER(VLOOKUP($B:$B,'IS(분기)'!$A:$F,$2:$2,0)),VLOOKUP($B:$B,'IS(분기)'!$A:$F,$2:$2,0),0)</f>
        <v>0</v>
      </c>
      <c r="Q962" s="207">
        <f>IF(ISNUMBER(VLOOKUP($B:$B,'IS(분기)'!$A:$F,$2:$2,0)),VLOOKUP($B:$B,'IS(분기)'!$A:$F,$2:$2,0),0)</f>
        <v>0</v>
      </c>
      <c r="R962" s="207">
        <f>IF(ISNUMBER(VLOOKUP($B:$B,'IS(분기)'!$A:$F,$2:$2,0)),VLOOKUP($B:$B,'IS(분기)'!$A:$F,$2:$2,0),0)</f>
        <v>0</v>
      </c>
    </row>
    <row r="963" spans="1:18" s="192" customFormat="1" ht="12">
      <c r="A963" s="201">
        <v>125118</v>
      </c>
      <c r="B963" s="194" t="s">
        <v>666</v>
      </c>
      <c r="C963" s="217">
        <f>IF(ISNUMBER(VLOOKUP($B:$B,IS!$A:$F,$2:$2,0)),VLOOKUP($B:$B,IS!$A:$F,$2:$2,0),0)</f>
        <v>0</v>
      </c>
      <c r="D963" s="217">
        <f>IF(ISNUMBER(VLOOKUP($B:$B,IS!$A:$F,$2:$2,0)),VLOOKUP($B:$B,IS!$A:$F,$2:$2,0),0)</f>
        <v>0</v>
      </c>
      <c r="E963" s="217">
        <f>IF(ISNUMBER(VLOOKUP($B:$B,IS!$A:$F,$2:$2,0)),VLOOKUP($B:$B,IS!$A:$F,$2:$2,0),0)</f>
        <v>0</v>
      </c>
      <c r="F963" s="217">
        <f>IF(ISNUMBER(VLOOKUP($B:$B,IS!$A:$F,$2:$2,0)),VLOOKUP($B:$B,IS!$A:$F,$2:$2,0),0)</f>
        <v>0</v>
      </c>
      <c r="G963" s="217">
        <f>IF(ISNUMBER(VLOOKUP($B:$B,IS!$A:$F,$2:$2,0)),VLOOKUP($B:$B,IS!$A:$F,$2:$2,0),0)</f>
        <v>0</v>
      </c>
      <c r="H963" s="207">
        <f>IF(ISNUMBER(VLOOKUP($B:$B,'IS(과거)'!$A:$F,$2:$2,0)),VLOOKUP($B:$B,'IS(과거)'!$A:$F,$2:$2,0),0)</f>
        <v>0</v>
      </c>
      <c r="I963" s="207">
        <f>IF(ISNUMBER(VLOOKUP($B:$B,'IS(과거)'!$A:$F,$2:$2,0)),VLOOKUP($B:$B,'IS(과거)'!$A:$F,$2:$2,0),0)</f>
        <v>0</v>
      </c>
      <c r="J963" s="207">
        <f>IF(ISNUMBER(VLOOKUP($B:$B,'IS(과거)'!$A:$F,$2:$2,0)),VLOOKUP($B:$B,'IS(과거)'!$A:$F,$2:$2,0),0)</f>
        <v>0</v>
      </c>
      <c r="K963" s="207">
        <f>IF(ISNUMBER(VLOOKUP($B:$B,'IS(과거)'!$A:$F,$2:$2,0)),VLOOKUP($B:$B,'IS(과거)'!$A:$F,$2:$2,0),0)</f>
        <v>0</v>
      </c>
      <c r="L963" s="207">
        <f>IF(ISNUMBER(VLOOKUP($B:$B,'IS(과거)'!$A:$F,$2:$2,0)),VLOOKUP($B:$B,'IS(과거)'!$A:$F,$2:$2,0),0)</f>
        <v>0</v>
      </c>
      <c r="N963" s="207">
        <f>IF(ISNUMBER(VLOOKUP($B:$B,'IS(분기)'!$A:$F,$2:$2,0)),VLOOKUP($B:$B,'IS(분기)'!$A:$F,$2:$2,0),0)</f>
        <v>0</v>
      </c>
      <c r="O963" s="207">
        <f>IF(ISNUMBER(VLOOKUP($B:$B,'IS(분기)'!$A:$F,$2:$2,0)),VLOOKUP($B:$B,'IS(분기)'!$A:$F,$2:$2,0),0)</f>
        <v>0</v>
      </c>
      <c r="P963" s="207">
        <f>IF(ISNUMBER(VLOOKUP($B:$B,'IS(분기)'!$A:$F,$2:$2,0)),VLOOKUP($B:$B,'IS(분기)'!$A:$F,$2:$2,0),0)</f>
        <v>0</v>
      </c>
      <c r="Q963" s="207">
        <f>IF(ISNUMBER(VLOOKUP($B:$B,'IS(분기)'!$A:$F,$2:$2,0)),VLOOKUP($B:$B,'IS(분기)'!$A:$F,$2:$2,0),0)</f>
        <v>0</v>
      </c>
      <c r="R963" s="207">
        <f>IF(ISNUMBER(VLOOKUP($B:$B,'IS(분기)'!$A:$F,$2:$2,0)),VLOOKUP($B:$B,'IS(분기)'!$A:$F,$2:$2,0),0)</f>
        <v>0</v>
      </c>
    </row>
    <row r="964" spans="1:18" s="192" customFormat="1" ht="12">
      <c r="A964" s="201">
        <v>125119</v>
      </c>
      <c r="B964" s="194" t="s">
        <v>667</v>
      </c>
      <c r="C964" s="217">
        <f>IF(ISNUMBER(VLOOKUP($B:$B,IS!$A:$F,$2:$2,0)),VLOOKUP($B:$B,IS!$A:$F,$2:$2,0),0)</f>
        <v>0</v>
      </c>
      <c r="D964" s="217">
        <f>IF(ISNUMBER(VLOOKUP($B:$B,IS!$A:$F,$2:$2,0)),VLOOKUP($B:$B,IS!$A:$F,$2:$2,0),0)</f>
        <v>0</v>
      </c>
      <c r="E964" s="217">
        <f>IF(ISNUMBER(VLOOKUP($B:$B,IS!$A:$F,$2:$2,0)),VLOOKUP($B:$B,IS!$A:$F,$2:$2,0),0)</f>
        <v>0</v>
      </c>
      <c r="F964" s="217">
        <f>IF(ISNUMBER(VLOOKUP($B:$B,IS!$A:$F,$2:$2,0)),VLOOKUP($B:$B,IS!$A:$F,$2:$2,0),0)</f>
        <v>0</v>
      </c>
      <c r="G964" s="217">
        <f>IF(ISNUMBER(VLOOKUP($B:$B,IS!$A:$F,$2:$2,0)),VLOOKUP($B:$B,IS!$A:$F,$2:$2,0),0)</f>
        <v>0</v>
      </c>
      <c r="H964" s="207">
        <f>IF(ISNUMBER(VLOOKUP($B:$B,'IS(과거)'!$A:$F,$2:$2,0)),VLOOKUP($B:$B,'IS(과거)'!$A:$F,$2:$2,0),0)</f>
        <v>0</v>
      </c>
      <c r="I964" s="207">
        <f>IF(ISNUMBER(VLOOKUP($B:$B,'IS(과거)'!$A:$F,$2:$2,0)),VLOOKUP($B:$B,'IS(과거)'!$A:$F,$2:$2,0),0)</f>
        <v>0</v>
      </c>
      <c r="J964" s="207">
        <f>IF(ISNUMBER(VLOOKUP($B:$B,'IS(과거)'!$A:$F,$2:$2,0)),VLOOKUP($B:$B,'IS(과거)'!$A:$F,$2:$2,0),0)</f>
        <v>0</v>
      </c>
      <c r="K964" s="207">
        <f>IF(ISNUMBER(VLOOKUP($B:$B,'IS(과거)'!$A:$F,$2:$2,0)),VLOOKUP($B:$B,'IS(과거)'!$A:$F,$2:$2,0),0)</f>
        <v>0</v>
      </c>
      <c r="L964" s="207">
        <f>IF(ISNUMBER(VLOOKUP($B:$B,'IS(과거)'!$A:$F,$2:$2,0)),VLOOKUP($B:$B,'IS(과거)'!$A:$F,$2:$2,0),0)</f>
        <v>0</v>
      </c>
      <c r="N964" s="207">
        <f>IF(ISNUMBER(VLOOKUP($B:$B,'IS(분기)'!$A:$F,$2:$2,0)),VLOOKUP($B:$B,'IS(분기)'!$A:$F,$2:$2,0),0)</f>
        <v>0</v>
      </c>
      <c r="O964" s="207">
        <f>IF(ISNUMBER(VLOOKUP($B:$B,'IS(분기)'!$A:$F,$2:$2,0)),VLOOKUP($B:$B,'IS(분기)'!$A:$F,$2:$2,0),0)</f>
        <v>0</v>
      </c>
      <c r="P964" s="207">
        <f>IF(ISNUMBER(VLOOKUP($B:$B,'IS(분기)'!$A:$F,$2:$2,0)),VLOOKUP($B:$B,'IS(분기)'!$A:$F,$2:$2,0),0)</f>
        <v>0</v>
      </c>
      <c r="Q964" s="207">
        <f>IF(ISNUMBER(VLOOKUP($B:$B,'IS(분기)'!$A:$F,$2:$2,0)),VLOOKUP($B:$B,'IS(분기)'!$A:$F,$2:$2,0),0)</f>
        <v>0</v>
      </c>
      <c r="R964" s="207">
        <f>IF(ISNUMBER(VLOOKUP($B:$B,'IS(분기)'!$A:$F,$2:$2,0)),VLOOKUP($B:$B,'IS(분기)'!$A:$F,$2:$2,0),0)</f>
        <v>0</v>
      </c>
    </row>
    <row r="965" spans="1:18" s="192" customFormat="1" ht="12">
      <c r="A965" s="201">
        <v>125126</v>
      </c>
      <c r="B965" s="194" t="s">
        <v>668</v>
      </c>
      <c r="C965" s="217">
        <f>IF(ISNUMBER(VLOOKUP($B:$B,IS!$A:$F,$2:$2,0)),VLOOKUP($B:$B,IS!$A:$F,$2:$2,0),0)</f>
        <v>0</v>
      </c>
      <c r="D965" s="217">
        <f>IF(ISNUMBER(VLOOKUP($B:$B,IS!$A:$F,$2:$2,0)),VLOOKUP($B:$B,IS!$A:$F,$2:$2,0),0)</f>
        <v>0</v>
      </c>
      <c r="E965" s="217">
        <f>IF(ISNUMBER(VLOOKUP($B:$B,IS!$A:$F,$2:$2,0)),VLOOKUP($B:$B,IS!$A:$F,$2:$2,0),0)</f>
        <v>0</v>
      </c>
      <c r="F965" s="217">
        <f>IF(ISNUMBER(VLOOKUP($B:$B,IS!$A:$F,$2:$2,0)),VLOOKUP($B:$B,IS!$A:$F,$2:$2,0),0)</f>
        <v>0</v>
      </c>
      <c r="G965" s="217">
        <f>IF(ISNUMBER(VLOOKUP($B:$B,IS!$A:$F,$2:$2,0)),VLOOKUP($B:$B,IS!$A:$F,$2:$2,0),0)</f>
        <v>0</v>
      </c>
      <c r="H965" s="207">
        <f>IF(ISNUMBER(VLOOKUP($B:$B,'IS(과거)'!$A:$F,$2:$2,0)),VLOOKUP($B:$B,'IS(과거)'!$A:$F,$2:$2,0),0)</f>
        <v>0</v>
      </c>
      <c r="I965" s="207">
        <f>IF(ISNUMBER(VLOOKUP($B:$B,'IS(과거)'!$A:$F,$2:$2,0)),VLOOKUP($B:$B,'IS(과거)'!$A:$F,$2:$2,0),0)</f>
        <v>0</v>
      </c>
      <c r="J965" s="207">
        <f>IF(ISNUMBER(VLOOKUP($B:$B,'IS(과거)'!$A:$F,$2:$2,0)),VLOOKUP($B:$B,'IS(과거)'!$A:$F,$2:$2,0),0)</f>
        <v>0</v>
      </c>
      <c r="K965" s="207">
        <f>IF(ISNUMBER(VLOOKUP($B:$B,'IS(과거)'!$A:$F,$2:$2,0)),VLOOKUP($B:$B,'IS(과거)'!$A:$F,$2:$2,0),0)</f>
        <v>0</v>
      </c>
      <c r="L965" s="207">
        <f>IF(ISNUMBER(VLOOKUP($B:$B,'IS(과거)'!$A:$F,$2:$2,0)),VLOOKUP($B:$B,'IS(과거)'!$A:$F,$2:$2,0),0)</f>
        <v>0</v>
      </c>
      <c r="N965" s="207">
        <f>IF(ISNUMBER(VLOOKUP($B:$B,'IS(분기)'!$A:$F,$2:$2,0)),VLOOKUP($B:$B,'IS(분기)'!$A:$F,$2:$2,0),0)</f>
        <v>0</v>
      </c>
      <c r="O965" s="207">
        <f>IF(ISNUMBER(VLOOKUP($B:$B,'IS(분기)'!$A:$F,$2:$2,0)),VLOOKUP($B:$B,'IS(분기)'!$A:$F,$2:$2,0),0)</f>
        <v>0</v>
      </c>
      <c r="P965" s="207">
        <f>IF(ISNUMBER(VLOOKUP($B:$B,'IS(분기)'!$A:$F,$2:$2,0)),VLOOKUP($B:$B,'IS(분기)'!$A:$F,$2:$2,0),0)</f>
        <v>0</v>
      </c>
      <c r="Q965" s="207">
        <f>IF(ISNUMBER(VLOOKUP($B:$B,'IS(분기)'!$A:$F,$2:$2,0)),VLOOKUP($B:$B,'IS(분기)'!$A:$F,$2:$2,0),0)</f>
        <v>0</v>
      </c>
      <c r="R965" s="207">
        <f>IF(ISNUMBER(VLOOKUP($B:$B,'IS(분기)'!$A:$F,$2:$2,0)),VLOOKUP($B:$B,'IS(분기)'!$A:$F,$2:$2,0),0)</f>
        <v>0</v>
      </c>
    </row>
    <row r="966" spans="1:18" s="192" customFormat="1" ht="12">
      <c r="A966" s="201">
        <v>125112</v>
      </c>
      <c r="B966" s="194" t="s">
        <v>669</v>
      </c>
      <c r="C966" s="217">
        <f>IF(ISNUMBER(VLOOKUP($B:$B,IS!$A:$F,$2:$2,0)),VLOOKUP($B:$B,IS!$A:$F,$2:$2,0),0)</f>
        <v>0</v>
      </c>
      <c r="D966" s="217">
        <f>IF(ISNUMBER(VLOOKUP($B:$B,IS!$A:$F,$2:$2,0)),VLOOKUP($B:$B,IS!$A:$F,$2:$2,0),0)</f>
        <v>0</v>
      </c>
      <c r="E966" s="217">
        <f>IF(ISNUMBER(VLOOKUP($B:$B,IS!$A:$F,$2:$2,0)),VLOOKUP($B:$B,IS!$A:$F,$2:$2,0),0)</f>
        <v>0</v>
      </c>
      <c r="F966" s="217">
        <f>IF(ISNUMBER(VLOOKUP($B:$B,IS!$A:$F,$2:$2,0)),VLOOKUP($B:$B,IS!$A:$F,$2:$2,0),0)</f>
        <v>0</v>
      </c>
      <c r="G966" s="217">
        <f>IF(ISNUMBER(VLOOKUP($B:$B,IS!$A:$F,$2:$2,0)),VLOOKUP($B:$B,IS!$A:$F,$2:$2,0),0)</f>
        <v>0</v>
      </c>
      <c r="H966" s="207">
        <f>IF(ISNUMBER(VLOOKUP($B:$B,'IS(과거)'!$A:$F,$2:$2,0)),VLOOKUP($B:$B,'IS(과거)'!$A:$F,$2:$2,0),0)</f>
        <v>0</v>
      </c>
      <c r="I966" s="207">
        <f>IF(ISNUMBER(VLOOKUP($B:$B,'IS(과거)'!$A:$F,$2:$2,0)),VLOOKUP($B:$B,'IS(과거)'!$A:$F,$2:$2,0),0)</f>
        <v>0</v>
      </c>
      <c r="J966" s="207">
        <f>IF(ISNUMBER(VLOOKUP($B:$B,'IS(과거)'!$A:$F,$2:$2,0)),VLOOKUP($B:$B,'IS(과거)'!$A:$F,$2:$2,0),0)</f>
        <v>0</v>
      </c>
      <c r="K966" s="207">
        <f>IF(ISNUMBER(VLOOKUP($B:$B,'IS(과거)'!$A:$F,$2:$2,0)),VLOOKUP($B:$B,'IS(과거)'!$A:$F,$2:$2,0),0)</f>
        <v>0</v>
      </c>
      <c r="L966" s="207">
        <f>IF(ISNUMBER(VLOOKUP($B:$B,'IS(과거)'!$A:$F,$2:$2,0)),VLOOKUP($B:$B,'IS(과거)'!$A:$F,$2:$2,0),0)</f>
        <v>0</v>
      </c>
      <c r="N966" s="207">
        <f>IF(ISNUMBER(VLOOKUP($B:$B,'IS(분기)'!$A:$F,$2:$2,0)),VLOOKUP($B:$B,'IS(분기)'!$A:$F,$2:$2,0),0)</f>
        <v>0</v>
      </c>
      <c r="O966" s="207">
        <f>IF(ISNUMBER(VLOOKUP($B:$B,'IS(분기)'!$A:$F,$2:$2,0)),VLOOKUP($B:$B,'IS(분기)'!$A:$F,$2:$2,0),0)</f>
        <v>0</v>
      </c>
      <c r="P966" s="207">
        <f>IF(ISNUMBER(VLOOKUP($B:$B,'IS(분기)'!$A:$F,$2:$2,0)),VLOOKUP($B:$B,'IS(분기)'!$A:$F,$2:$2,0),0)</f>
        <v>0</v>
      </c>
      <c r="Q966" s="207">
        <f>IF(ISNUMBER(VLOOKUP($B:$B,'IS(분기)'!$A:$F,$2:$2,0)),VLOOKUP($B:$B,'IS(분기)'!$A:$F,$2:$2,0),0)</f>
        <v>0</v>
      </c>
      <c r="R966" s="207">
        <f>IF(ISNUMBER(VLOOKUP($B:$B,'IS(분기)'!$A:$F,$2:$2,0)),VLOOKUP($B:$B,'IS(분기)'!$A:$F,$2:$2,0),0)</f>
        <v>0</v>
      </c>
    </row>
    <row r="967" spans="1:18" s="192" customFormat="1" ht="12">
      <c r="A967" s="201">
        <v>125113</v>
      </c>
      <c r="B967" s="194" t="s">
        <v>670</v>
      </c>
      <c r="C967" s="217">
        <f>IF(ISNUMBER(VLOOKUP($B:$B,IS!$A:$F,$2:$2,0)),VLOOKUP($B:$B,IS!$A:$F,$2:$2,0),0)</f>
        <v>0</v>
      </c>
      <c r="D967" s="217">
        <f>IF(ISNUMBER(VLOOKUP($B:$B,IS!$A:$F,$2:$2,0)),VLOOKUP($B:$B,IS!$A:$F,$2:$2,0),0)</f>
        <v>0</v>
      </c>
      <c r="E967" s="217">
        <f>IF(ISNUMBER(VLOOKUP($B:$B,IS!$A:$F,$2:$2,0)),VLOOKUP($B:$B,IS!$A:$F,$2:$2,0),0)</f>
        <v>0</v>
      </c>
      <c r="F967" s="217">
        <f>IF(ISNUMBER(VLOOKUP($B:$B,IS!$A:$F,$2:$2,0)),VLOOKUP($B:$B,IS!$A:$F,$2:$2,0),0)</f>
        <v>0</v>
      </c>
      <c r="G967" s="217">
        <f>IF(ISNUMBER(VLOOKUP($B:$B,IS!$A:$F,$2:$2,0)),VLOOKUP($B:$B,IS!$A:$F,$2:$2,0),0)</f>
        <v>0</v>
      </c>
      <c r="H967" s="207">
        <f>IF(ISNUMBER(VLOOKUP($B:$B,'IS(과거)'!$A:$F,$2:$2,0)),VLOOKUP($B:$B,'IS(과거)'!$A:$F,$2:$2,0),0)</f>
        <v>0</v>
      </c>
      <c r="I967" s="207">
        <f>IF(ISNUMBER(VLOOKUP($B:$B,'IS(과거)'!$A:$F,$2:$2,0)),VLOOKUP($B:$B,'IS(과거)'!$A:$F,$2:$2,0),0)</f>
        <v>0</v>
      </c>
      <c r="J967" s="207">
        <f>IF(ISNUMBER(VLOOKUP($B:$B,'IS(과거)'!$A:$F,$2:$2,0)),VLOOKUP($B:$B,'IS(과거)'!$A:$F,$2:$2,0),0)</f>
        <v>0</v>
      </c>
      <c r="K967" s="207">
        <f>IF(ISNUMBER(VLOOKUP($B:$B,'IS(과거)'!$A:$F,$2:$2,0)),VLOOKUP($B:$B,'IS(과거)'!$A:$F,$2:$2,0),0)</f>
        <v>0</v>
      </c>
      <c r="L967" s="207">
        <f>IF(ISNUMBER(VLOOKUP($B:$B,'IS(과거)'!$A:$F,$2:$2,0)),VLOOKUP($B:$B,'IS(과거)'!$A:$F,$2:$2,0),0)</f>
        <v>0</v>
      </c>
      <c r="N967" s="207">
        <f>IF(ISNUMBER(VLOOKUP($B:$B,'IS(분기)'!$A:$F,$2:$2,0)),VLOOKUP($B:$B,'IS(분기)'!$A:$F,$2:$2,0),0)</f>
        <v>0</v>
      </c>
      <c r="O967" s="207">
        <f>IF(ISNUMBER(VLOOKUP($B:$B,'IS(분기)'!$A:$F,$2:$2,0)),VLOOKUP($B:$B,'IS(분기)'!$A:$F,$2:$2,0),0)</f>
        <v>0</v>
      </c>
      <c r="P967" s="207">
        <f>IF(ISNUMBER(VLOOKUP($B:$B,'IS(분기)'!$A:$F,$2:$2,0)),VLOOKUP($B:$B,'IS(분기)'!$A:$F,$2:$2,0),0)</f>
        <v>0</v>
      </c>
      <c r="Q967" s="207">
        <f>IF(ISNUMBER(VLOOKUP($B:$B,'IS(분기)'!$A:$F,$2:$2,0)),VLOOKUP($B:$B,'IS(분기)'!$A:$F,$2:$2,0),0)</f>
        <v>0</v>
      </c>
      <c r="R967" s="207">
        <f>IF(ISNUMBER(VLOOKUP($B:$B,'IS(분기)'!$A:$F,$2:$2,0)),VLOOKUP($B:$B,'IS(분기)'!$A:$F,$2:$2,0),0)</f>
        <v>0</v>
      </c>
    </row>
    <row r="968" spans="1:18" s="192" customFormat="1" ht="12">
      <c r="A968" s="201">
        <v>125114</v>
      </c>
      <c r="B968" s="194" t="s">
        <v>671</v>
      </c>
      <c r="C968" s="217">
        <f>IF(ISNUMBER(VLOOKUP($B:$B,IS!$A:$F,$2:$2,0)),VLOOKUP($B:$B,IS!$A:$F,$2:$2,0),0)</f>
        <v>0</v>
      </c>
      <c r="D968" s="217">
        <f>IF(ISNUMBER(VLOOKUP($B:$B,IS!$A:$F,$2:$2,0)),VLOOKUP($B:$B,IS!$A:$F,$2:$2,0),0)</f>
        <v>0</v>
      </c>
      <c r="E968" s="217">
        <f>IF(ISNUMBER(VLOOKUP($B:$B,IS!$A:$F,$2:$2,0)),VLOOKUP($B:$B,IS!$A:$F,$2:$2,0),0)</f>
        <v>0</v>
      </c>
      <c r="F968" s="217">
        <f>IF(ISNUMBER(VLOOKUP($B:$B,IS!$A:$F,$2:$2,0)),VLOOKUP($B:$B,IS!$A:$F,$2:$2,0),0)</f>
        <v>0</v>
      </c>
      <c r="G968" s="217">
        <f>IF(ISNUMBER(VLOOKUP($B:$B,IS!$A:$F,$2:$2,0)),VLOOKUP($B:$B,IS!$A:$F,$2:$2,0),0)</f>
        <v>0</v>
      </c>
      <c r="H968" s="207">
        <f>IF(ISNUMBER(VLOOKUP($B:$B,'IS(과거)'!$A:$F,$2:$2,0)),VLOOKUP($B:$B,'IS(과거)'!$A:$F,$2:$2,0),0)</f>
        <v>0</v>
      </c>
      <c r="I968" s="207">
        <f>IF(ISNUMBER(VLOOKUP($B:$B,'IS(과거)'!$A:$F,$2:$2,0)),VLOOKUP($B:$B,'IS(과거)'!$A:$F,$2:$2,0),0)</f>
        <v>0</v>
      </c>
      <c r="J968" s="207">
        <f>IF(ISNUMBER(VLOOKUP($B:$B,'IS(과거)'!$A:$F,$2:$2,0)),VLOOKUP($B:$B,'IS(과거)'!$A:$F,$2:$2,0),0)</f>
        <v>0</v>
      </c>
      <c r="K968" s="207">
        <f>IF(ISNUMBER(VLOOKUP($B:$B,'IS(과거)'!$A:$F,$2:$2,0)),VLOOKUP($B:$B,'IS(과거)'!$A:$F,$2:$2,0),0)</f>
        <v>0</v>
      </c>
      <c r="L968" s="207">
        <f>IF(ISNUMBER(VLOOKUP($B:$B,'IS(과거)'!$A:$F,$2:$2,0)),VLOOKUP($B:$B,'IS(과거)'!$A:$F,$2:$2,0),0)</f>
        <v>0</v>
      </c>
      <c r="N968" s="207">
        <f>IF(ISNUMBER(VLOOKUP($B:$B,'IS(분기)'!$A:$F,$2:$2,0)),VLOOKUP($B:$B,'IS(분기)'!$A:$F,$2:$2,0),0)</f>
        <v>0</v>
      </c>
      <c r="O968" s="207">
        <f>IF(ISNUMBER(VLOOKUP($B:$B,'IS(분기)'!$A:$F,$2:$2,0)),VLOOKUP($B:$B,'IS(분기)'!$A:$F,$2:$2,0),0)</f>
        <v>0</v>
      </c>
      <c r="P968" s="207">
        <f>IF(ISNUMBER(VLOOKUP($B:$B,'IS(분기)'!$A:$F,$2:$2,0)),VLOOKUP($B:$B,'IS(분기)'!$A:$F,$2:$2,0),0)</f>
        <v>0</v>
      </c>
      <c r="Q968" s="207">
        <f>IF(ISNUMBER(VLOOKUP($B:$B,'IS(분기)'!$A:$F,$2:$2,0)),VLOOKUP($B:$B,'IS(분기)'!$A:$F,$2:$2,0),0)</f>
        <v>0</v>
      </c>
      <c r="R968" s="207">
        <f>IF(ISNUMBER(VLOOKUP($B:$B,'IS(분기)'!$A:$F,$2:$2,0)),VLOOKUP($B:$B,'IS(분기)'!$A:$F,$2:$2,0),0)</f>
        <v>0</v>
      </c>
    </row>
    <row r="969" spans="1:18" s="192" customFormat="1" ht="12">
      <c r="A969" s="201">
        <v>125143</v>
      </c>
      <c r="B969" s="194" t="s">
        <v>672</v>
      </c>
      <c r="C969" s="217">
        <f>IF(ISNUMBER(VLOOKUP($B:$B,IS!$A:$F,$2:$2,0)),VLOOKUP($B:$B,IS!$A:$F,$2:$2,0),0)</f>
        <v>0</v>
      </c>
      <c r="D969" s="217">
        <f>IF(ISNUMBER(VLOOKUP($B:$B,IS!$A:$F,$2:$2,0)),VLOOKUP($B:$B,IS!$A:$F,$2:$2,0),0)</f>
        <v>0</v>
      </c>
      <c r="E969" s="217">
        <f>IF(ISNUMBER(VLOOKUP($B:$B,IS!$A:$F,$2:$2,0)),VLOOKUP($B:$B,IS!$A:$F,$2:$2,0),0)</f>
        <v>0</v>
      </c>
      <c r="F969" s="217">
        <f>IF(ISNUMBER(VLOOKUP($B:$B,IS!$A:$F,$2:$2,0)),VLOOKUP($B:$B,IS!$A:$F,$2:$2,0),0)</f>
        <v>0</v>
      </c>
      <c r="G969" s="217">
        <f>IF(ISNUMBER(VLOOKUP($B:$B,IS!$A:$F,$2:$2,0)),VLOOKUP($B:$B,IS!$A:$F,$2:$2,0),0)</f>
        <v>0</v>
      </c>
      <c r="H969" s="207">
        <f>IF(ISNUMBER(VLOOKUP($B:$B,'IS(과거)'!$A:$F,$2:$2,0)),VLOOKUP($B:$B,'IS(과거)'!$A:$F,$2:$2,0),0)</f>
        <v>0</v>
      </c>
      <c r="I969" s="207">
        <f>IF(ISNUMBER(VLOOKUP($B:$B,'IS(과거)'!$A:$F,$2:$2,0)),VLOOKUP($B:$B,'IS(과거)'!$A:$F,$2:$2,0),0)</f>
        <v>0</v>
      </c>
      <c r="J969" s="207">
        <f>IF(ISNUMBER(VLOOKUP($B:$B,'IS(과거)'!$A:$F,$2:$2,0)),VLOOKUP($B:$B,'IS(과거)'!$A:$F,$2:$2,0),0)</f>
        <v>0</v>
      </c>
      <c r="K969" s="207">
        <f>IF(ISNUMBER(VLOOKUP($B:$B,'IS(과거)'!$A:$F,$2:$2,0)),VLOOKUP($B:$B,'IS(과거)'!$A:$F,$2:$2,0),0)</f>
        <v>0</v>
      </c>
      <c r="L969" s="207">
        <f>IF(ISNUMBER(VLOOKUP($B:$B,'IS(과거)'!$A:$F,$2:$2,0)),VLOOKUP($B:$B,'IS(과거)'!$A:$F,$2:$2,0),0)</f>
        <v>0</v>
      </c>
      <c r="N969" s="207">
        <f>IF(ISNUMBER(VLOOKUP($B:$B,'IS(분기)'!$A:$F,$2:$2,0)),VLOOKUP($B:$B,'IS(분기)'!$A:$F,$2:$2,0),0)</f>
        <v>0</v>
      </c>
      <c r="O969" s="207">
        <f>IF(ISNUMBER(VLOOKUP($B:$B,'IS(분기)'!$A:$F,$2:$2,0)),VLOOKUP($B:$B,'IS(분기)'!$A:$F,$2:$2,0),0)</f>
        <v>0</v>
      </c>
      <c r="P969" s="207">
        <f>IF(ISNUMBER(VLOOKUP($B:$B,'IS(분기)'!$A:$F,$2:$2,0)),VLOOKUP($B:$B,'IS(분기)'!$A:$F,$2:$2,0),0)</f>
        <v>0</v>
      </c>
      <c r="Q969" s="207">
        <f>IF(ISNUMBER(VLOOKUP($B:$B,'IS(분기)'!$A:$F,$2:$2,0)),VLOOKUP($B:$B,'IS(분기)'!$A:$F,$2:$2,0),0)</f>
        <v>0</v>
      </c>
      <c r="R969" s="207">
        <f>IF(ISNUMBER(VLOOKUP($B:$B,'IS(분기)'!$A:$F,$2:$2,0)),VLOOKUP($B:$B,'IS(분기)'!$A:$F,$2:$2,0),0)</f>
        <v>0</v>
      </c>
    </row>
    <row r="970" spans="1:18" s="192" customFormat="1" ht="12">
      <c r="A970" s="201">
        <v>125145</v>
      </c>
      <c r="B970" s="194" t="s">
        <v>673</v>
      </c>
      <c r="C970" s="217">
        <f>IF(ISNUMBER(VLOOKUP($B:$B,IS!$A:$F,$2:$2,0)),VLOOKUP($B:$B,IS!$A:$F,$2:$2,0),0)</f>
        <v>0</v>
      </c>
      <c r="D970" s="217">
        <f>IF(ISNUMBER(VLOOKUP($B:$B,IS!$A:$F,$2:$2,0)),VLOOKUP($B:$B,IS!$A:$F,$2:$2,0),0)</f>
        <v>0</v>
      </c>
      <c r="E970" s="217">
        <f>IF(ISNUMBER(VLOOKUP($B:$B,IS!$A:$F,$2:$2,0)),VLOOKUP($B:$B,IS!$A:$F,$2:$2,0),0)</f>
        <v>0</v>
      </c>
      <c r="F970" s="217">
        <f>IF(ISNUMBER(VLOOKUP($B:$B,IS!$A:$F,$2:$2,0)),VLOOKUP($B:$B,IS!$A:$F,$2:$2,0),0)</f>
        <v>0</v>
      </c>
      <c r="G970" s="217">
        <f>IF(ISNUMBER(VLOOKUP($B:$B,IS!$A:$F,$2:$2,0)),VLOOKUP($B:$B,IS!$A:$F,$2:$2,0),0)</f>
        <v>0</v>
      </c>
      <c r="H970" s="207">
        <f>IF(ISNUMBER(VLOOKUP($B:$B,'IS(과거)'!$A:$F,$2:$2,0)),VLOOKUP($B:$B,'IS(과거)'!$A:$F,$2:$2,0),0)</f>
        <v>0</v>
      </c>
      <c r="I970" s="207">
        <f>IF(ISNUMBER(VLOOKUP($B:$B,'IS(과거)'!$A:$F,$2:$2,0)),VLOOKUP($B:$B,'IS(과거)'!$A:$F,$2:$2,0),0)</f>
        <v>0</v>
      </c>
      <c r="J970" s="207">
        <f>IF(ISNUMBER(VLOOKUP($B:$B,'IS(과거)'!$A:$F,$2:$2,0)),VLOOKUP($B:$B,'IS(과거)'!$A:$F,$2:$2,0),0)</f>
        <v>0</v>
      </c>
      <c r="K970" s="207">
        <f>IF(ISNUMBER(VLOOKUP($B:$B,'IS(과거)'!$A:$F,$2:$2,0)),VLOOKUP($B:$B,'IS(과거)'!$A:$F,$2:$2,0),0)</f>
        <v>0</v>
      </c>
      <c r="L970" s="207">
        <f>IF(ISNUMBER(VLOOKUP($B:$B,'IS(과거)'!$A:$F,$2:$2,0)),VLOOKUP($B:$B,'IS(과거)'!$A:$F,$2:$2,0),0)</f>
        <v>0</v>
      </c>
      <c r="N970" s="207">
        <f>IF(ISNUMBER(VLOOKUP($B:$B,'IS(분기)'!$A:$F,$2:$2,0)),VLOOKUP($B:$B,'IS(분기)'!$A:$F,$2:$2,0),0)</f>
        <v>0</v>
      </c>
      <c r="O970" s="207">
        <f>IF(ISNUMBER(VLOOKUP($B:$B,'IS(분기)'!$A:$F,$2:$2,0)),VLOOKUP($B:$B,'IS(분기)'!$A:$F,$2:$2,0),0)</f>
        <v>0</v>
      </c>
      <c r="P970" s="207">
        <f>IF(ISNUMBER(VLOOKUP($B:$B,'IS(분기)'!$A:$F,$2:$2,0)),VLOOKUP($B:$B,'IS(분기)'!$A:$F,$2:$2,0),0)</f>
        <v>0</v>
      </c>
      <c r="Q970" s="207">
        <f>IF(ISNUMBER(VLOOKUP($B:$B,'IS(분기)'!$A:$F,$2:$2,0)),VLOOKUP($B:$B,'IS(분기)'!$A:$F,$2:$2,0),0)</f>
        <v>0</v>
      </c>
      <c r="R970" s="207">
        <f>IF(ISNUMBER(VLOOKUP($B:$B,'IS(분기)'!$A:$F,$2:$2,0)),VLOOKUP($B:$B,'IS(분기)'!$A:$F,$2:$2,0),0)</f>
        <v>0</v>
      </c>
    </row>
    <row r="971" spans="1:18" s="192" customFormat="1" ht="12">
      <c r="A971" s="201">
        <v>125120</v>
      </c>
      <c r="B971" s="194" t="s">
        <v>674</v>
      </c>
      <c r="C971" s="217">
        <f>IF(ISNUMBER(VLOOKUP($B:$B,IS!$A:$F,$2:$2,0)),VLOOKUP($B:$B,IS!$A:$F,$2:$2,0),0)</f>
        <v>0</v>
      </c>
      <c r="D971" s="217">
        <f>IF(ISNUMBER(VLOOKUP($B:$B,IS!$A:$F,$2:$2,0)),VLOOKUP($B:$B,IS!$A:$F,$2:$2,0),0)</f>
        <v>0</v>
      </c>
      <c r="E971" s="217">
        <f>IF(ISNUMBER(VLOOKUP($B:$B,IS!$A:$F,$2:$2,0)),VLOOKUP($B:$B,IS!$A:$F,$2:$2,0),0)</f>
        <v>0</v>
      </c>
      <c r="F971" s="217">
        <f>IF(ISNUMBER(VLOOKUP($B:$B,IS!$A:$F,$2:$2,0)),VLOOKUP($B:$B,IS!$A:$F,$2:$2,0),0)</f>
        <v>0</v>
      </c>
      <c r="G971" s="217">
        <f>IF(ISNUMBER(VLOOKUP($B:$B,IS!$A:$F,$2:$2,0)),VLOOKUP($B:$B,IS!$A:$F,$2:$2,0),0)</f>
        <v>0</v>
      </c>
      <c r="H971" s="207">
        <f>IF(ISNUMBER(VLOOKUP($B:$B,'IS(과거)'!$A:$F,$2:$2,0)),VLOOKUP($B:$B,'IS(과거)'!$A:$F,$2:$2,0),0)</f>
        <v>0</v>
      </c>
      <c r="I971" s="207">
        <f>IF(ISNUMBER(VLOOKUP($B:$B,'IS(과거)'!$A:$F,$2:$2,0)),VLOOKUP($B:$B,'IS(과거)'!$A:$F,$2:$2,0),0)</f>
        <v>0</v>
      </c>
      <c r="J971" s="207">
        <f>IF(ISNUMBER(VLOOKUP($B:$B,'IS(과거)'!$A:$F,$2:$2,0)),VLOOKUP($B:$B,'IS(과거)'!$A:$F,$2:$2,0),0)</f>
        <v>0</v>
      </c>
      <c r="K971" s="207">
        <f>IF(ISNUMBER(VLOOKUP($B:$B,'IS(과거)'!$A:$F,$2:$2,0)),VLOOKUP($B:$B,'IS(과거)'!$A:$F,$2:$2,0),0)</f>
        <v>0</v>
      </c>
      <c r="L971" s="207">
        <f>IF(ISNUMBER(VLOOKUP($B:$B,'IS(과거)'!$A:$F,$2:$2,0)),VLOOKUP($B:$B,'IS(과거)'!$A:$F,$2:$2,0),0)</f>
        <v>0</v>
      </c>
      <c r="N971" s="207">
        <f>IF(ISNUMBER(VLOOKUP($B:$B,'IS(분기)'!$A:$F,$2:$2,0)),VLOOKUP($B:$B,'IS(분기)'!$A:$F,$2:$2,0),0)</f>
        <v>0</v>
      </c>
      <c r="O971" s="207">
        <f>IF(ISNUMBER(VLOOKUP($B:$B,'IS(분기)'!$A:$F,$2:$2,0)),VLOOKUP($B:$B,'IS(분기)'!$A:$F,$2:$2,0),0)</f>
        <v>0</v>
      </c>
      <c r="P971" s="207">
        <f>IF(ISNUMBER(VLOOKUP($B:$B,'IS(분기)'!$A:$F,$2:$2,0)),VLOOKUP($B:$B,'IS(분기)'!$A:$F,$2:$2,0),0)</f>
        <v>0</v>
      </c>
      <c r="Q971" s="207">
        <f>IF(ISNUMBER(VLOOKUP($B:$B,'IS(분기)'!$A:$F,$2:$2,0)),VLOOKUP($B:$B,'IS(분기)'!$A:$F,$2:$2,0),0)</f>
        <v>0</v>
      </c>
      <c r="R971" s="207">
        <f>IF(ISNUMBER(VLOOKUP($B:$B,'IS(분기)'!$A:$F,$2:$2,0)),VLOOKUP($B:$B,'IS(분기)'!$A:$F,$2:$2,0),0)</f>
        <v>0</v>
      </c>
    </row>
    <row r="972" spans="1:18" s="192" customFormat="1" ht="12">
      <c r="A972" s="201">
        <v>125122</v>
      </c>
      <c r="B972" s="194" t="s">
        <v>675</v>
      </c>
      <c r="C972" s="217">
        <f>IF(ISNUMBER(VLOOKUP($B:$B,IS!$A:$F,$2:$2,0)),VLOOKUP($B:$B,IS!$A:$F,$2:$2,0),0)</f>
        <v>0</v>
      </c>
      <c r="D972" s="217">
        <f>IF(ISNUMBER(VLOOKUP($B:$B,IS!$A:$F,$2:$2,0)),VLOOKUP($B:$B,IS!$A:$F,$2:$2,0),0)</f>
        <v>0</v>
      </c>
      <c r="E972" s="217">
        <f>IF(ISNUMBER(VLOOKUP($B:$B,IS!$A:$F,$2:$2,0)),VLOOKUP($B:$B,IS!$A:$F,$2:$2,0),0)</f>
        <v>0</v>
      </c>
      <c r="F972" s="217">
        <f>IF(ISNUMBER(VLOOKUP($B:$B,IS!$A:$F,$2:$2,0)),VLOOKUP($B:$B,IS!$A:$F,$2:$2,0),0)</f>
        <v>0</v>
      </c>
      <c r="G972" s="217">
        <f>IF(ISNUMBER(VLOOKUP($B:$B,IS!$A:$F,$2:$2,0)),VLOOKUP($B:$B,IS!$A:$F,$2:$2,0),0)</f>
        <v>0</v>
      </c>
      <c r="H972" s="207">
        <f>IF(ISNUMBER(VLOOKUP($B:$B,'IS(과거)'!$A:$F,$2:$2,0)),VLOOKUP($B:$B,'IS(과거)'!$A:$F,$2:$2,0),0)</f>
        <v>0</v>
      </c>
      <c r="I972" s="207">
        <f>IF(ISNUMBER(VLOOKUP($B:$B,'IS(과거)'!$A:$F,$2:$2,0)),VLOOKUP($B:$B,'IS(과거)'!$A:$F,$2:$2,0),0)</f>
        <v>0</v>
      </c>
      <c r="J972" s="207">
        <f>IF(ISNUMBER(VLOOKUP($B:$B,'IS(과거)'!$A:$F,$2:$2,0)),VLOOKUP($B:$B,'IS(과거)'!$A:$F,$2:$2,0),0)</f>
        <v>0</v>
      </c>
      <c r="K972" s="207">
        <f>IF(ISNUMBER(VLOOKUP($B:$B,'IS(과거)'!$A:$F,$2:$2,0)),VLOOKUP($B:$B,'IS(과거)'!$A:$F,$2:$2,0),0)</f>
        <v>0</v>
      </c>
      <c r="L972" s="207">
        <f>IF(ISNUMBER(VLOOKUP($B:$B,'IS(과거)'!$A:$F,$2:$2,0)),VLOOKUP($B:$B,'IS(과거)'!$A:$F,$2:$2,0),0)</f>
        <v>0</v>
      </c>
      <c r="N972" s="207">
        <f>IF(ISNUMBER(VLOOKUP($B:$B,'IS(분기)'!$A:$F,$2:$2,0)),VLOOKUP($B:$B,'IS(분기)'!$A:$F,$2:$2,0),0)</f>
        <v>0</v>
      </c>
      <c r="O972" s="207">
        <f>IF(ISNUMBER(VLOOKUP($B:$B,'IS(분기)'!$A:$F,$2:$2,0)),VLOOKUP($B:$B,'IS(분기)'!$A:$F,$2:$2,0),0)</f>
        <v>0</v>
      </c>
      <c r="P972" s="207">
        <f>IF(ISNUMBER(VLOOKUP($B:$B,'IS(분기)'!$A:$F,$2:$2,0)),VLOOKUP($B:$B,'IS(분기)'!$A:$F,$2:$2,0),0)</f>
        <v>0</v>
      </c>
      <c r="Q972" s="207">
        <f>IF(ISNUMBER(VLOOKUP($B:$B,'IS(분기)'!$A:$F,$2:$2,0)),VLOOKUP($B:$B,'IS(분기)'!$A:$F,$2:$2,0),0)</f>
        <v>0</v>
      </c>
      <c r="R972" s="207">
        <f>IF(ISNUMBER(VLOOKUP($B:$B,'IS(분기)'!$A:$F,$2:$2,0)),VLOOKUP($B:$B,'IS(분기)'!$A:$F,$2:$2,0),0)</f>
        <v>0</v>
      </c>
    </row>
    <row r="973" spans="1:18" s="192" customFormat="1" ht="12">
      <c r="A973" s="201">
        <v>125147</v>
      </c>
      <c r="B973" s="194" t="s">
        <v>676</v>
      </c>
      <c r="C973" s="217">
        <f>IF(ISNUMBER(VLOOKUP($B:$B,IS!$A:$F,$2:$2,0)),VLOOKUP($B:$B,IS!$A:$F,$2:$2,0),0)</f>
        <v>0</v>
      </c>
      <c r="D973" s="217">
        <f>IF(ISNUMBER(VLOOKUP($B:$B,IS!$A:$F,$2:$2,0)),VLOOKUP($B:$B,IS!$A:$F,$2:$2,0),0)</f>
        <v>0</v>
      </c>
      <c r="E973" s="217">
        <f>IF(ISNUMBER(VLOOKUP($B:$B,IS!$A:$F,$2:$2,0)),VLOOKUP($B:$B,IS!$A:$F,$2:$2,0),0)</f>
        <v>0</v>
      </c>
      <c r="F973" s="217">
        <f>IF(ISNUMBER(VLOOKUP($B:$B,IS!$A:$F,$2:$2,0)),VLOOKUP($B:$B,IS!$A:$F,$2:$2,0),0)</f>
        <v>0</v>
      </c>
      <c r="G973" s="217">
        <f>IF(ISNUMBER(VLOOKUP($B:$B,IS!$A:$F,$2:$2,0)),VLOOKUP($B:$B,IS!$A:$F,$2:$2,0),0)</f>
        <v>0</v>
      </c>
      <c r="H973" s="207">
        <f>IF(ISNUMBER(VLOOKUP($B:$B,'IS(과거)'!$A:$F,$2:$2,0)),VLOOKUP($B:$B,'IS(과거)'!$A:$F,$2:$2,0),0)</f>
        <v>0</v>
      </c>
      <c r="I973" s="207">
        <f>IF(ISNUMBER(VLOOKUP($B:$B,'IS(과거)'!$A:$F,$2:$2,0)),VLOOKUP($B:$B,'IS(과거)'!$A:$F,$2:$2,0),0)</f>
        <v>0</v>
      </c>
      <c r="J973" s="207">
        <f>IF(ISNUMBER(VLOOKUP($B:$B,'IS(과거)'!$A:$F,$2:$2,0)),VLOOKUP($B:$B,'IS(과거)'!$A:$F,$2:$2,0),0)</f>
        <v>0</v>
      </c>
      <c r="K973" s="207">
        <f>IF(ISNUMBER(VLOOKUP($B:$B,'IS(과거)'!$A:$F,$2:$2,0)),VLOOKUP($B:$B,'IS(과거)'!$A:$F,$2:$2,0),0)</f>
        <v>0</v>
      </c>
      <c r="L973" s="207">
        <f>IF(ISNUMBER(VLOOKUP($B:$B,'IS(과거)'!$A:$F,$2:$2,0)),VLOOKUP($B:$B,'IS(과거)'!$A:$F,$2:$2,0),0)</f>
        <v>0</v>
      </c>
      <c r="N973" s="207">
        <f>IF(ISNUMBER(VLOOKUP($B:$B,'IS(분기)'!$A:$F,$2:$2,0)),VLOOKUP($B:$B,'IS(분기)'!$A:$F,$2:$2,0),0)</f>
        <v>0</v>
      </c>
      <c r="O973" s="207">
        <f>IF(ISNUMBER(VLOOKUP($B:$B,'IS(분기)'!$A:$F,$2:$2,0)),VLOOKUP($B:$B,'IS(분기)'!$A:$F,$2:$2,0),0)</f>
        <v>0</v>
      </c>
      <c r="P973" s="207">
        <f>IF(ISNUMBER(VLOOKUP($B:$B,'IS(분기)'!$A:$F,$2:$2,0)),VLOOKUP($B:$B,'IS(분기)'!$A:$F,$2:$2,0),0)</f>
        <v>0</v>
      </c>
      <c r="Q973" s="207">
        <f>IF(ISNUMBER(VLOOKUP($B:$B,'IS(분기)'!$A:$F,$2:$2,0)),VLOOKUP($B:$B,'IS(분기)'!$A:$F,$2:$2,0),0)</f>
        <v>0</v>
      </c>
      <c r="R973" s="207">
        <f>IF(ISNUMBER(VLOOKUP($B:$B,'IS(분기)'!$A:$F,$2:$2,0)),VLOOKUP($B:$B,'IS(분기)'!$A:$F,$2:$2,0),0)</f>
        <v>0</v>
      </c>
    </row>
    <row r="974" spans="1:18" s="192" customFormat="1" ht="12">
      <c r="A974" s="201">
        <v>125148</v>
      </c>
      <c r="B974" s="194" t="s">
        <v>677</v>
      </c>
      <c r="C974" s="217">
        <f>IF(ISNUMBER(VLOOKUP($B:$B,IS!$A:$F,$2:$2,0)),VLOOKUP($B:$B,IS!$A:$F,$2:$2,0),0)</f>
        <v>0</v>
      </c>
      <c r="D974" s="217">
        <f>IF(ISNUMBER(VLOOKUP($B:$B,IS!$A:$F,$2:$2,0)),VLOOKUP($B:$B,IS!$A:$F,$2:$2,0),0)</f>
        <v>0</v>
      </c>
      <c r="E974" s="217">
        <f>IF(ISNUMBER(VLOOKUP($B:$B,IS!$A:$F,$2:$2,0)),VLOOKUP($B:$B,IS!$A:$F,$2:$2,0),0)</f>
        <v>0</v>
      </c>
      <c r="F974" s="217">
        <f>IF(ISNUMBER(VLOOKUP($B:$B,IS!$A:$F,$2:$2,0)),VLOOKUP($B:$B,IS!$A:$F,$2:$2,0),0)</f>
        <v>0</v>
      </c>
      <c r="G974" s="217">
        <f>IF(ISNUMBER(VLOOKUP($B:$B,IS!$A:$F,$2:$2,0)),VLOOKUP($B:$B,IS!$A:$F,$2:$2,0),0)</f>
        <v>0</v>
      </c>
      <c r="H974" s="207">
        <f>IF(ISNUMBER(VLOOKUP($B:$B,'IS(과거)'!$A:$F,$2:$2,0)),VLOOKUP($B:$B,'IS(과거)'!$A:$F,$2:$2,0),0)</f>
        <v>0</v>
      </c>
      <c r="I974" s="207">
        <f>IF(ISNUMBER(VLOOKUP($B:$B,'IS(과거)'!$A:$F,$2:$2,0)),VLOOKUP($B:$B,'IS(과거)'!$A:$F,$2:$2,0),0)</f>
        <v>0</v>
      </c>
      <c r="J974" s="207">
        <f>IF(ISNUMBER(VLOOKUP($B:$B,'IS(과거)'!$A:$F,$2:$2,0)),VLOOKUP($B:$B,'IS(과거)'!$A:$F,$2:$2,0),0)</f>
        <v>0</v>
      </c>
      <c r="K974" s="207">
        <f>IF(ISNUMBER(VLOOKUP($B:$B,'IS(과거)'!$A:$F,$2:$2,0)),VLOOKUP($B:$B,'IS(과거)'!$A:$F,$2:$2,0),0)</f>
        <v>0</v>
      </c>
      <c r="L974" s="207">
        <f>IF(ISNUMBER(VLOOKUP($B:$B,'IS(과거)'!$A:$F,$2:$2,0)),VLOOKUP($B:$B,'IS(과거)'!$A:$F,$2:$2,0),0)</f>
        <v>0</v>
      </c>
      <c r="N974" s="207">
        <f>IF(ISNUMBER(VLOOKUP($B:$B,'IS(분기)'!$A:$F,$2:$2,0)),VLOOKUP($B:$B,'IS(분기)'!$A:$F,$2:$2,0),0)</f>
        <v>0</v>
      </c>
      <c r="O974" s="207">
        <f>IF(ISNUMBER(VLOOKUP($B:$B,'IS(분기)'!$A:$F,$2:$2,0)),VLOOKUP($B:$B,'IS(분기)'!$A:$F,$2:$2,0),0)</f>
        <v>0</v>
      </c>
      <c r="P974" s="207">
        <f>IF(ISNUMBER(VLOOKUP($B:$B,'IS(분기)'!$A:$F,$2:$2,0)),VLOOKUP($B:$B,'IS(분기)'!$A:$F,$2:$2,0),0)</f>
        <v>0</v>
      </c>
      <c r="Q974" s="207">
        <f>IF(ISNUMBER(VLOOKUP($B:$B,'IS(분기)'!$A:$F,$2:$2,0)),VLOOKUP($B:$B,'IS(분기)'!$A:$F,$2:$2,0),0)</f>
        <v>0</v>
      </c>
      <c r="R974" s="207">
        <f>IF(ISNUMBER(VLOOKUP($B:$B,'IS(분기)'!$A:$F,$2:$2,0)),VLOOKUP($B:$B,'IS(분기)'!$A:$F,$2:$2,0),0)</f>
        <v>0</v>
      </c>
    </row>
    <row r="975" spans="1:18" s="192" customFormat="1" ht="12">
      <c r="A975" s="201">
        <v>125165</v>
      </c>
      <c r="B975" s="194" t="s">
        <v>678</v>
      </c>
      <c r="C975" s="217">
        <f>IF(ISNUMBER(VLOOKUP($B:$B,IS!$A:$F,$2:$2,0)),VLOOKUP($B:$B,IS!$A:$F,$2:$2,0),0)</f>
        <v>0</v>
      </c>
      <c r="D975" s="217">
        <f>IF(ISNUMBER(VLOOKUP($B:$B,IS!$A:$F,$2:$2,0)),VLOOKUP($B:$B,IS!$A:$F,$2:$2,0),0)</f>
        <v>0</v>
      </c>
      <c r="E975" s="217">
        <f>IF(ISNUMBER(VLOOKUP($B:$B,IS!$A:$F,$2:$2,0)),VLOOKUP($B:$B,IS!$A:$F,$2:$2,0),0)</f>
        <v>0</v>
      </c>
      <c r="F975" s="217">
        <f>IF(ISNUMBER(VLOOKUP($B:$B,IS!$A:$F,$2:$2,0)),VLOOKUP($B:$B,IS!$A:$F,$2:$2,0),0)</f>
        <v>0</v>
      </c>
      <c r="G975" s="217">
        <f>IF(ISNUMBER(VLOOKUP($B:$B,IS!$A:$F,$2:$2,0)),VLOOKUP($B:$B,IS!$A:$F,$2:$2,0),0)</f>
        <v>0</v>
      </c>
      <c r="H975" s="207">
        <f>IF(ISNUMBER(VLOOKUP($B:$B,'IS(과거)'!$A:$F,$2:$2,0)),VLOOKUP($B:$B,'IS(과거)'!$A:$F,$2:$2,0),0)</f>
        <v>0</v>
      </c>
      <c r="I975" s="207">
        <f>IF(ISNUMBER(VLOOKUP($B:$B,'IS(과거)'!$A:$F,$2:$2,0)),VLOOKUP($B:$B,'IS(과거)'!$A:$F,$2:$2,0),0)</f>
        <v>0</v>
      </c>
      <c r="J975" s="207">
        <f>IF(ISNUMBER(VLOOKUP($B:$B,'IS(과거)'!$A:$F,$2:$2,0)),VLOOKUP($B:$B,'IS(과거)'!$A:$F,$2:$2,0),0)</f>
        <v>0</v>
      </c>
      <c r="K975" s="207">
        <f>IF(ISNUMBER(VLOOKUP($B:$B,'IS(과거)'!$A:$F,$2:$2,0)),VLOOKUP($B:$B,'IS(과거)'!$A:$F,$2:$2,0),0)</f>
        <v>0</v>
      </c>
      <c r="L975" s="207">
        <f>IF(ISNUMBER(VLOOKUP($B:$B,'IS(과거)'!$A:$F,$2:$2,0)),VLOOKUP($B:$B,'IS(과거)'!$A:$F,$2:$2,0),0)</f>
        <v>0</v>
      </c>
      <c r="N975" s="207">
        <f>IF(ISNUMBER(VLOOKUP($B:$B,'IS(분기)'!$A:$F,$2:$2,0)),VLOOKUP($B:$B,'IS(분기)'!$A:$F,$2:$2,0),0)</f>
        <v>0</v>
      </c>
      <c r="O975" s="207">
        <f>IF(ISNUMBER(VLOOKUP($B:$B,'IS(분기)'!$A:$F,$2:$2,0)),VLOOKUP($B:$B,'IS(분기)'!$A:$F,$2:$2,0),0)</f>
        <v>0</v>
      </c>
      <c r="P975" s="207">
        <f>IF(ISNUMBER(VLOOKUP($B:$B,'IS(분기)'!$A:$F,$2:$2,0)),VLOOKUP($B:$B,'IS(분기)'!$A:$F,$2:$2,0),0)</f>
        <v>0</v>
      </c>
      <c r="Q975" s="207">
        <f>IF(ISNUMBER(VLOOKUP($B:$B,'IS(분기)'!$A:$F,$2:$2,0)),VLOOKUP($B:$B,'IS(분기)'!$A:$F,$2:$2,0),0)</f>
        <v>0</v>
      </c>
      <c r="R975" s="207">
        <f>IF(ISNUMBER(VLOOKUP($B:$B,'IS(분기)'!$A:$F,$2:$2,0)),VLOOKUP($B:$B,'IS(분기)'!$A:$F,$2:$2,0),0)</f>
        <v>0</v>
      </c>
    </row>
    <row r="976" spans="1:18" s="192" customFormat="1" ht="12">
      <c r="A976" s="201">
        <v>125104</v>
      </c>
      <c r="B976" s="194" t="s">
        <v>679</v>
      </c>
      <c r="C976" s="217">
        <f>IF(ISNUMBER(VLOOKUP($B:$B,IS!$A:$F,$2:$2,0)),VLOOKUP($B:$B,IS!$A:$F,$2:$2,0),0)</f>
        <v>0</v>
      </c>
      <c r="D976" s="217">
        <f>IF(ISNUMBER(VLOOKUP($B:$B,IS!$A:$F,$2:$2,0)),VLOOKUP($B:$B,IS!$A:$F,$2:$2,0),0)</f>
        <v>0</v>
      </c>
      <c r="E976" s="217">
        <f>IF(ISNUMBER(VLOOKUP($B:$B,IS!$A:$F,$2:$2,0)),VLOOKUP($B:$B,IS!$A:$F,$2:$2,0),0)</f>
        <v>0</v>
      </c>
      <c r="F976" s="217">
        <f>IF(ISNUMBER(VLOOKUP($B:$B,IS!$A:$F,$2:$2,0)),VLOOKUP($B:$B,IS!$A:$F,$2:$2,0),0)</f>
        <v>0</v>
      </c>
      <c r="G976" s="217">
        <f>IF(ISNUMBER(VLOOKUP($B:$B,IS!$A:$F,$2:$2,0)),VLOOKUP($B:$B,IS!$A:$F,$2:$2,0),0)</f>
        <v>0</v>
      </c>
      <c r="H976" s="207">
        <f>IF(ISNUMBER(VLOOKUP($B:$B,'IS(과거)'!$A:$F,$2:$2,0)),VLOOKUP($B:$B,'IS(과거)'!$A:$F,$2:$2,0),0)</f>
        <v>0</v>
      </c>
      <c r="I976" s="207">
        <f>IF(ISNUMBER(VLOOKUP($B:$B,'IS(과거)'!$A:$F,$2:$2,0)),VLOOKUP($B:$B,'IS(과거)'!$A:$F,$2:$2,0),0)</f>
        <v>0</v>
      </c>
      <c r="J976" s="207">
        <f>IF(ISNUMBER(VLOOKUP($B:$B,'IS(과거)'!$A:$F,$2:$2,0)),VLOOKUP($B:$B,'IS(과거)'!$A:$F,$2:$2,0),0)</f>
        <v>0</v>
      </c>
      <c r="K976" s="207">
        <f>IF(ISNUMBER(VLOOKUP($B:$B,'IS(과거)'!$A:$F,$2:$2,0)),VLOOKUP($B:$B,'IS(과거)'!$A:$F,$2:$2,0),0)</f>
        <v>0</v>
      </c>
      <c r="L976" s="207">
        <f>IF(ISNUMBER(VLOOKUP($B:$B,'IS(과거)'!$A:$F,$2:$2,0)),VLOOKUP($B:$B,'IS(과거)'!$A:$F,$2:$2,0),0)</f>
        <v>0</v>
      </c>
      <c r="N976" s="207">
        <f>IF(ISNUMBER(VLOOKUP($B:$B,'IS(분기)'!$A:$F,$2:$2,0)),VLOOKUP($B:$B,'IS(분기)'!$A:$F,$2:$2,0),0)</f>
        <v>0</v>
      </c>
      <c r="O976" s="207">
        <f>IF(ISNUMBER(VLOOKUP($B:$B,'IS(분기)'!$A:$F,$2:$2,0)),VLOOKUP($B:$B,'IS(분기)'!$A:$F,$2:$2,0),0)</f>
        <v>0</v>
      </c>
      <c r="P976" s="207">
        <f>IF(ISNUMBER(VLOOKUP($B:$B,'IS(분기)'!$A:$F,$2:$2,0)),VLOOKUP($B:$B,'IS(분기)'!$A:$F,$2:$2,0),0)</f>
        <v>0</v>
      </c>
      <c r="Q976" s="207">
        <f>IF(ISNUMBER(VLOOKUP($B:$B,'IS(분기)'!$A:$F,$2:$2,0)),VLOOKUP($B:$B,'IS(분기)'!$A:$F,$2:$2,0),0)</f>
        <v>0</v>
      </c>
      <c r="R976" s="207">
        <f>IF(ISNUMBER(VLOOKUP($B:$B,'IS(분기)'!$A:$F,$2:$2,0)),VLOOKUP($B:$B,'IS(분기)'!$A:$F,$2:$2,0),0)</f>
        <v>0</v>
      </c>
    </row>
    <row r="977" spans="1:18" s="192" customFormat="1" ht="12">
      <c r="A977" s="201">
        <v>125121</v>
      </c>
      <c r="B977" s="194" t="s">
        <v>680</v>
      </c>
      <c r="C977" s="217">
        <f>IF(ISNUMBER(VLOOKUP($B:$B,IS!$A:$F,$2:$2,0)),VLOOKUP($B:$B,IS!$A:$F,$2:$2,0),0)</f>
        <v>0</v>
      </c>
      <c r="D977" s="217">
        <f>IF(ISNUMBER(VLOOKUP($B:$B,IS!$A:$F,$2:$2,0)),VLOOKUP($B:$B,IS!$A:$F,$2:$2,0),0)</f>
        <v>0</v>
      </c>
      <c r="E977" s="217">
        <f>IF(ISNUMBER(VLOOKUP($B:$B,IS!$A:$F,$2:$2,0)),VLOOKUP($B:$B,IS!$A:$F,$2:$2,0),0)</f>
        <v>0</v>
      </c>
      <c r="F977" s="217">
        <f>IF(ISNUMBER(VLOOKUP($B:$B,IS!$A:$F,$2:$2,0)),VLOOKUP($B:$B,IS!$A:$F,$2:$2,0),0)</f>
        <v>0</v>
      </c>
      <c r="G977" s="217">
        <f>IF(ISNUMBER(VLOOKUP($B:$B,IS!$A:$F,$2:$2,0)),VLOOKUP($B:$B,IS!$A:$F,$2:$2,0),0)</f>
        <v>0</v>
      </c>
      <c r="H977" s="207">
        <f>IF(ISNUMBER(VLOOKUP($B:$B,'IS(과거)'!$A:$F,$2:$2,0)),VLOOKUP($B:$B,'IS(과거)'!$A:$F,$2:$2,0),0)</f>
        <v>0</v>
      </c>
      <c r="I977" s="207">
        <f>IF(ISNUMBER(VLOOKUP($B:$B,'IS(과거)'!$A:$F,$2:$2,0)),VLOOKUP($B:$B,'IS(과거)'!$A:$F,$2:$2,0),0)</f>
        <v>0</v>
      </c>
      <c r="J977" s="207">
        <f>IF(ISNUMBER(VLOOKUP($B:$B,'IS(과거)'!$A:$F,$2:$2,0)),VLOOKUP($B:$B,'IS(과거)'!$A:$F,$2:$2,0),0)</f>
        <v>0</v>
      </c>
      <c r="K977" s="207">
        <f>IF(ISNUMBER(VLOOKUP($B:$B,'IS(과거)'!$A:$F,$2:$2,0)),VLOOKUP($B:$B,'IS(과거)'!$A:$F,$2:$2,0),0)</f>
        <v>0</v>
      </c>
      <c r="L977" s="207">
        <f>IF(ISNUMBER(VLOOKUP($B:$B,'IS(과거)'!$A:$F,$2:$2,0)),VLOOKUP($B:$B,'IS(과거)'!$A:$F,$2:$2,0),0)</f>
        <v>0</v>
      </c>
      <c r="N977" s="207">
        <f>IF(ISNUMBER(VLOOKUP($B:$B,'IS(분기)'!$A:$F,$2:$2,0)),VLOOKUP($B:$B,'IS(분기)'!$A:$F,$2:$2,0),0)</f>
        <v>0</v>
      </c>
      <c r="O977" s="207">
        <f>IF(ISNUMBER(VLOOKUP($B:$B,'IS(분기)'!$A:$F,$2:$2,0)),VLOOKUP($B:$B,'IS(분기)'!$A:$F,$2:$2,0),0)</f>
        <v>0</v>
      </c>
      <c r="P977" s="207">
        <f>IF(ISNUMBER(VLOOKUP($B:$B,'IS(분기)'!$A:$F,$2:$2,0)),VLOOKUP($B:$B,'IS(분기)'!$A:$F,$2:$2,0),0)</f>
        <v>0</v>
      </c>
      <c r="Q977" s="207">
        <f>IF(ISNUMBER(VLOOKUP($B:$B,'IS(분기)'!$A:$F,$2:$2,0)),VLOOKUP($B:$B,'IS(분기)'!$A:$F,$2:$2,0),0)</f>
        <v>0</v>
      </c>
      <c r="R977" s="207">
        <f>IF(ISNUMBER(VLOOKUP($B:$B,'IS(분기)'!$A:$F,$2:$2,0)),VLOOKUP($B:$B,'IS(분기)'!$A:$F,$2:$2,0),0)</f>
        <v>0</v>
      </c>
    </row>
    <row r="978" spans="1:18" s="192" customFormat="1" ht="12">
      <c r="A978" s="201">
        <v>125152</v>
      </c>
      <c r="B978" s="194" t="s">
        <v>681</v>
      </c>
      <c r="C978" s="217">
        <f>IF(ISNUMBER(VLOOKUP($B:$B,IS!$A:$F,$2:$2,0)),VLOOKUP($B:$B,IS!$A:$F,$2:$2,0),0)</f>
        <v>0</v>
      </c>
      <c r="D978" s="217">
        <f>IF(ISNUMBER(VLOOKUP($B:$B,IS!$A:$F,$2:$2,0)),VLOOKUP($B:$B,IS!$A:$F,$2:$2,0),0)</f>
        <v>0</v>
      </c>
      <c r="E978" s="217">
        <f>IF(ISNUMBER(VLOOKUP($B:$B,IS!$A:$F,$2:$2,0)),VLOOKUP($B:$B,IS!$A:$F,$2:$2,0),0)</f>
        <v>0</v>
      </c>
      <c r="F978" s="217">
        <f>IF(ISNUMBER(VLOOKUP($B:$B,IS!$A:$F,$2:$2,0)),VLOOKUP($B:$B,IS!$A:$F,$2:$2,0),0)</f>
        <v>0</v>
      </c>
      <c r="G978" s="217">
        <f>IF(ISNUMBER(VLOOKUP($B:$B,IS!$A:$F,$2:$2,0)),VLOOKUP($B:$B,IS!$A:$F,$2:$2,0),0)</f>
        <v>0</v>
      </c>
      <c r="H978" s="207">
        <f>IF(ISNUMBER(VLOOKUP($B:$B,'IS(과거)'!$A:$F,$2:$2,0)),VLOOKUP($B:$B,'IS(과거)'!$A:$F,$2:$2,0),0)</f>
        <v>0</v>
      </c>
      <c r="I978" s="207">
        <f>IF(ISNUMBER(VLOOKUP($B:$B,'IS(과거)'!$A:$F,$2:$2,0)),VLOOKUP($B:$B,'IS(과거)'!$A:$F,$2:$2,0),0)</f>
        <v>0</v>
      </c>
      <c r="J978" s="207">
        <f>IF(ISNUMBER(VLOOKUP($B:$B,'IS(과거)'!$A:$F,$2:$2,0)),VLOOKUP($B:$B,'IS(과거)'!$A:$F,$2:$2,0),0)</f>
        <v>0</v>
      </c>
      <c r="K978" s="207">
        <f>IF(ISNUMBER(VLOOKUP($B:$B,'IS(과거)'!$A:$F,$2:$2,0)),VLOOKUP($B:$B,'IS(과거)'!$A:$F,$2:$2,0),0)</f>
        <v>0</v>
      </c>
      <c r="L978" s="207">
        <f>IF(ISNUMBER(VLOOKUP($B:$B,'IS(과거)'!$A:$F,$2:$2,0)),VLOOKUP($B:$B,'IS(과거)'!$A:$F,$2:$2,0),0)</f>
        <v>0</v>
      </c>
      <c r="N978" s="207">
        <f>IF(ISNUMBER(VLOOKUP($B:$B,'IS(분기)'!$A:$F,$2:$2,0)),VLOOKUP($B:$B,'IS(분기)'!$A:$F,$2:$2,0),0)</f>
        <v>0</v>
      </c>
      <c r="O978" s="207">
        <f>IF(ISNUMBER(VLOOKUP($B:$B,'IS(분기)'!$A:$F,$2:$2,0)),VLOOKUP($B:$B,'IS(분기)'!$A:$F,$2:$2,0),0)</f>
        <v>0</v>
      </c>
      <c r="P978" s="207">
        <f>IF(ISNUMBER(VLOOKUP($B:$B,'IS(분기)'!$A:$F,$2:$2,0)),VLOOKUP($B:$B,'IS(분기)'!$A:$F,$2:$2,0),0)</f>
        <v>0</v>
      </c>
      <c r="Q978" s="207">
        <f>IF(ISNUMBER(VLOOKUP($B:$B,'IS(분기)'!$A:$F,$2:$2,0)),VLOOKUP($B:$B,'IS(분기)'!$A:$F,$2:$2,0),0)</f>
        <v>0</v>
      </c>
      <c r="R978" s="207">
        <f>IF(ISNUMBER(VLOOKUP($B:$B,'IS(분기)'!$A:$F,$2:$2,0)),VLOOKUP($B:$B,'IS(분기)'!$A:$F,$2:$2,0),0)</f>
        <v>0</v>
      </c>
    </row>
    <row r="979" spans="1:18" s="192" customFormat="1" ht="12">
      <c r="A979" s="201">
        <v>125123</v>
      </c>
      <c r="B979" s="194" t="s">
        <v>682</v>
      </c>
      <c r="C979" s="217">
        <f>IF(ISNUMBER(VLOOKUP($B:$B,IS!$A:$F,$2:$2,0)),VLOOKUP($B:$B,IS!$A:$F,$2:$2,0),0)</f>
        <v>0</v>
      </c>
      <c r="D979" s="217">
        <f>IF(ISNUMBER(VLOOKUP($B:$B,IS!$A:$F,$2:$2,0)),VLOOKUP($B:$B,IS!$A:$F,$2:$2,0),0)</f>
        <v>0</v>
      </c>
      <c r="E979" s="217">
        <f>IF(ISNUMBER(VLOOKUP($B:$B,IS!$A:$F,$2:$2,0)),VLOOKUP($B:$B,IS!$A:$F,$2:$2,0),0)</f>
        <v>0</v>
      </c>
      <c r="F979" s="217">
        <f>IF(ISNUMBER(VLOOKUP($B:$B,IS!$A:$F,$2:$2,0)),VLOOKUP($B:$B,IS!$A:$F,$2:$2,0),0)</f>
        <v>0</v>
      </c>
      <c r="G979" s="217">
        <f>IF(ISNUMBER(VLOOKUP($B:$B,IS!$A:$F,$2:$2,0)),VLOOKUP($B:$B,IS!$A:$F,$2:$2,0),0)</f>
        <v>0</v>
      </c>
      <c r="H979" s="207">
        <f>IF(ISNUMBER(VLOOKUP($B:$B,'IS(과거)'!$A:$F,$2:$2,0)),VLOOKUP($B:$B,'IS(과거)'!$A:$F,$2:$2,0),0)</f>
        <v>0</v>
      </c>
      <c r="I979" s="207">
        <f>IF(ISNUMBER(VLOOKUP($B:$B,'IS(과거)'!$A:$F,$2:$2,0)),VLOOKUP($B:$B,'IS(과거)'!$A:$F,$2:$2,0),0)</f>
        <v>0</v>
      </c>
      <c r="J979" s="207">
        <f>IF(ISNUMBER(VLOOKUP($B:$B,'IS(과거)'!$A:$F,$2:$2,0)),VLOOKUP($B:$B,'IS(과거)'!$A:$F,$2:$2,0),0)</f>
        <v>0</v>
      </c>
      <c r="K979" s="207">
        <f>IF(ISNUMBER(VLOOKUP($B:$B,'IS(과거)'!$A:$F,$2:$2,0)),VLOOKUP($B:$B,'IS(과거)'!$A:$F,$2:$2,0),0)</f>
        <v>0</v>
      </c>
      <c r="L979" s="207">
        <f>IF(ISNUMBER(VLOOKUP($B:$B,'IS(과거)'!$A:$F,$2:$2,0)),VLOOKUP($B:$B,'IS(과거)'!$A:$F,$2:$2,0),0)</f>
        <v>0</v>
      </c>
      <c r="N979" s="207">
        <f>IF(ISNUMBER(VLOOKUP($B:$B,'IS(분기)'!$A:$F,$2:$2,0)),VLOOKUP($B:$B,'IS(분기)'!$A:$F,$2:$2,0),0)</f>
        <v>0</v>
      </c>
      <c r="O979" s="207">
        <f>IF(ISNUMBER(VLOOKUP($B:$B,'IS(분기)'!$A:$F,$2:$2,0)),VLOOKUP($B:$B,'IS(분기)'!$A:$F,$2:$2,0),0)</f>
        <v>0</v>
      </c>
      <c r="P979" s="207">
        <f>IF(ISNUMBER(VLOOKUP($B:$B,'IS(분기)'!$A:$F,$2:$2,0)),VLOOKUP($B:$B,'IS(분기)'!$A:$F,$2:$2,0),0)</f>
        <v>0</v>
      </c>
      <c r="Q979" s="207">
        <f>IF(ISNUMBER(VLOOKUP($B:$B,'IS(분기)'!$A:$F,$2:$2,0)),VLOOKUP($B:$B,'IS(분기)'!$A:$F,$2:$2,0),0)</f>
        <v>0</v>
      </c>
      <c r="R979" s="207">
        <f>IF(ISNUMBER(VLOOKUP($B:$B,'IS(분기)'!$A:$F,$2:$2,0)),VLOOKUP($B:$B,'IS(분기)'!$A:$F,$2:$2,0),0)</f>
        <v>0</v>
      </c>
    </row>
    <row r="980" spans="1:18" s="192" customFormat="1" ht="12">
      <c r="A980" s="201">
        <v>125153</v>
      </c>
      <c r="B980" s="194" t="s">
        <v>683</v>
      </c>
      <c r="C980" s="217">
        <f>IF(ISNUMBER(VLOOKUP($B:$B,IS!$A:$F,$2:$2,0)),VLOOKUP($B:$B,IS!$A:$F,$2:$2,0),0)</f>
        <v>0</v>
      </c>
      <c r="D980" s="217">
        <f>IF(ISNUMBER(VLOOKUP($B:$B,IS!$A:$F,$2:$2,0)),VLOOKUP($B:$B,IS!$A:$F,$2:$2,0),0)</f>
        <v>0</v>
      </c>
      <c r="E980" s="217">
        <f>IF(ISNUMBER(VLOOKUP($B:$B,IS!$A:$F,$2:$2,0)),VLOOKUP($B:$B,IS!$A:$F,$2:$2,0),0)</f>
        <v>0</v>
      </c>
      <c r="F980" s="217">
        <f>IF(ISNUMBER(VLOOKUP($B:$B,IS!$A:$F,$2:$2,0)),VLOOKUP($B:$B,IS!$A:$F,$2:$2,0),0)</f>
        <v>0</v>
      </c>
      <c r="G980" s="217">
        <f>IF(ISNUMBER(VLOOKUP($B:$B,IS!$A:$F,$2:$2,0)),VLOOKUP($B:$B,IS!$A:$F,$2:$2,0),0)</f>
        <v>0</v>
      </c>
      <c r="H980" s="207">
        <f>IF(ISNUMBER(VLOOKUP($B:$B,'IS(과거)'!$A:$F,$2:$2,0)),VLOOKUP($B:$B,'IS(과거)'!$A:$F,$2:$2,0),0)</f>
        <v>0</v>
      </c>
      <c r="I980" s="207">
        <f>IF(ISNUMBER(VLOOKUP($B:$B,'IS(과거)'!$A:$F,$2:$2,0)),VLOOKUP($B:$B,'IS(과거)'!$A:$F,$2:$2,0),0)</f>
        <v>0</v>
      </c>
      <c r="J980" s="207">
        <f>IF(ISNUMBER(VLOOKUP($B:$B,'IS(과거)'!$A:$F,$2:$2,0)),VLOOKUP($B:$B,'IS(과거)'!$A:$F,$2:$2,0),0)</f>
        <v>0</v>
      </c>
      <c r="K980" s="207">
        <f>IF(ISNUMBER(VLOOKUP($B:$B,'IS(과거)'!$A:$F,$2:$2,0)),VLOOKUP($B:$B,'IS(과거)'!$A:$F,$2:$2,0),0)</f>
        <v>0</v>
      </c>
      <c r="L980" s="207">
        <f>IF(ISNUMBER(VLOOKUP($B:$B,'IS(과거)'!$A:$F,$2:$2,0)),VLOOKUP($B:$B,'IS(과거)'!$A:$F,$2:$2,0),0)</f>
        <v>0</v>
      </c>
      <c r="N980" s="207">
        <f>IF(ISNUMBER(VLOOKUP($B:$B,'IS(분기)'!$A:$F,$2:$2,0)),VLOOKUP($B:$B,'IS(분기)'!$A:$F,$2:$2,0),0)</f>
        <v>0</v>
      </c>
      <c r="O980" s="207">
        <f>IF(ISNUMBER(VLOOKUP($B:$B,'IS(분기)'!$A:$F,$2:$2,0)),VLOOKUP($B:$B,'IS(분기)'!$A:$F,$2:$2,0),0)</f>
        <v>0</v>
      </c>
      <c r="P980" s="207">
        <f>IF(ISNUMBER(VLOOKUP($B:$B,'IS(분기)'!$A:$F,$2:$2,0)),VLOOKUP($B:$B,'IS(분기)'!$A:$F,$2:$2,0),0)</f>
        <v>0</v>
      </c>
      <c r="Q980" s="207">
        <f>IF(ISNUMBER(VLOOKUP($B:$B,'IS(분기)'!$A:$F,$2:$2,0)),VLOOKUP($B:$B,'IS(분기)'!$A:$F,$2:$2,0),0)</f>
        <v>0</v>
      </c>
      <c r="R980" s="207">
        <f>IF(ISNUMBER(VLOOKUP($B:$B,'IS(분기)'!$A:$F,$2:$2,0)),VLOOKUP($B:$B,'IS(분기)'!$A:$F,$2:$2,0),0)</f>
        <v>0</v>
      </c>
    </row>
    <row r="981" spans="1:18" s="192" customFormat="1" ht="12">
      <c r="A981" s="201">
        <v>125124</v>
      </c>
      <c r="B981" s="194" t="s">
        <v>684</v>
      </c>
      <c r="C981" s="217">
        <f>IF(ISNUMBER(VLOOKUP($B:$B,IS!$A:$F,$2:$2,0)),VLOOKUP($B:$B,IS!$A:$F,$2:$2,0),0)</f>
        <v>0</v>
      </c>
      <c r="D981" s="217">
        <f>IF(ISNUMBER(VLOOKUP($B:$B,IS!$A:$F,$2:$2,0)),VLOOKUP($B:$B,IS!$A:$F,$2:$2,0),0)</f>
        <v>0</v>
      </c>
      <c r="E981" s="217">
        <f>IF(ISNUMBER(VLOOKUP($B:$B,IS!$A:$F,$2:$2,0)),VLOOKUP($B:$B,IS!$A:$F,$2:$2,0),0)</f>
        <v>0</v>
      </c>
      <c r="F981" s="217">
        <f>IF(ISNUMBER(VLOOKUP($B:$B,IS!$A:$F,$2:$2,0)),VLOOKUP($B:$B,IS!$A:$F,$2:$2,0),0)</f>
        <v>0</v>
      </c>
      <c r="G981" s="217">
        <f>IF(ISNUMBER(VLOOKUP($B:$B,IS!$A:$F,$2:$2,0)),VLOOKUP($B:$B,IS!$A:$F,$2:$2,0),0)</f>
        <v>0</v>
      </c>
      <c r="H981" s="207">
        <f>IF(ISNUMBER(VLOOKUP($B:$B,'IS(과거)'!$A:$F,$2:$2,0)),VLOOKUP($B:$B,'IS(과거)'!$A:$F,$2:$2,0),0)</f>
        <v>0</v>
      </c>
      <c r="I981" s="207">
        <f>IF(ISNUMBER(VLOOKUP($B:$B,'IS(과거)'!$A:$F,$2:$2,0)),VLOOKUP($B:$B,'IS(과거)'!$A:$F,$2:$2,0),0)</f>
        <v>0</v>
      </c>
      <c r="J981" s="207">
        <f>IF(ISNUMBER(VLOOKUP($B:$B,'IS(과거)'!$A:$F,$2:$2,0)),VLOOKUP($B:$B,'IS(과거)'!$A:$F,$2:$2,0),0)</f>
        <v>0</v>
      </c>
      <c r="K981" s="207">
        <f>IF(ISNUMBER(VLOOKUP($B:$B,'IS(과거)'!$A:$F,$2:$2,0)),VLOOKUP($B:$B,'IS(과거)'!$A:$F,$2:$2,0),0)</f>
        <v>0</v>
      </c>
      <c r="L981" s="207">
        <f>IF(ISNUMBER(VLOOKUP($B:$B,'IS(과거)'!$A:$F,$2:$2,0)),VLOOKUP($B:$B,'IS(과거)'!$A:$F,$2:$2,0),0)</f>
        <v>0</v>
      </c>
      <c r="N981" s="207">
        <f>IF(ISNUMBER(VLOOKUP($B:$B,'IS(분기)'!$A:$F,$2:$2,0)),VLOOKUP($B:$B,'IS(분기)'!$A:$F,$2:$2,0),0)</f>
        <v>0</v>
      </c>
      <c r="O981" s="207">
        <f>IF(ISNUMBER(VLOOKUP($B:$B,'IS(분기)'!$A:$F,$2:$2,0)),VLOOKUP($B:$B,'IS(분기)'!$A:$F,$2:$2,0),0)</f>
        <v>0</v>
      </c>
      <c r="P981" s="207">
        <f>IF(ISNUMBER(VLOOKUP($B:$B,'IS(분기)'!$A:$F,$2:$2,0)),VLOOKUP($B:$B,'IS(분기)'!$A:$F,$2:$2,0),0)</f>
        <v>0</v>
      </c>
      <c r="Q981" s="207">
        <f>IF(ISNUMBER(VLOOKUP($B:$B,'IS(분기)'!$A:$F,$2:$2,0)),VLOOKUP($B:$B,'IS(분기)'!$A:$F,$2:$2,0),0)</f>
        <v>0</v>
      </c>
      <c r="R981" s="207">
        <f>IF(ISNUMBER(VLOOKUP($B:$B,'IS(분기)'!$A:$F,$2:$2,0)),VLOOKUP($B:$B,'IS(분기)'!$A:$F,$2:$2,0),0)</f>
        <v>0</v>
      </c>
    </row>
    <row r="982" spans="1:18" s="192" customFormat="1" ht="12">
      <c r="A982" s="201">
        <v>125125</v>
      </c>
      <c r="B982" s="194" t="s">
        <v>685</v>
      </c>
      <c r="C982" s="217">
        <f>IF(ISNUMBER(VLOOKUP($B:$B,IS!$A:$F,$2:$2,0)),VLOOKUP($B:$B,IS!$A:$F,$2:$2,0),0)</f>
        <v>0</v>
      </c>
      <c r="D982" s="217">
        <f>IF(ISNUMBER(VLOOKUP($B:$B,IS!$A:$F,$2:$2,0)),VLOOKUP($B:$B,IS!$A:$F,$2:$2,0),0)</f>
        <v>0</v>
      </c>
      <c r="E982" s="217">
        <f>IF(ISNUMBER(VLOOKUP($B:$B,IS!$A:$F,$2:$2,0)),VLOOKUP($B:$B,IS!$A:$F,$2:$2,0),0)</f>
        <v>0</v>
      </c>
      <c r="F982" s="217">
        <f>IF(ISNUMBER(VLOOKUP($B:$B,IS!$A:$F,$2:$2,0)),VLOOKUP($B:$B,IS!$A:$F,$2:$2,0),0)</f>
        <v>0</v>
      </c>
      <c r="G982" s="217">
        <f>IF(ISNUMBER(VLOOKUP($B:$B,IS!$A:$F,$2:$2,0)),VLOOKUP($B:$B,IS!$A:$F,$2:$2,0),0)</f>
        <v>0</v>
      </c>
      <c r="H982" s="207">
        <f>IF(ISNUMBER(VLOOKUP($B:$B,'IS(과거)'!$A:$F,$2:$2,0)),VLOOKUP($B:$B,'IS(과거)'!$A:$F,$2:$2,0),0)</f>
        <v>0</v>
      </c>
      <c r="I982" s="207">
        <f>IF(ISNUMBER(VLOOKUP($B:$B,'IS(과거)'!$A:$F,$2:$2,0)),VLOOKUP($B:$B,'IS(과거)'!$A:$F,$2:$2,0),0)</f>
        <v>0</v>
      </c>
      <c r="J982" s="207">
        <f>IF(ISNUMBER(VLOOKUP($B:$B,'IS(과거)'!$A:$F,$2:$2,0)),VLOOKUP($B:$B,'IS(과거)'!$A:$F,$2:$2,0),0)</f>
        <v>0</v>
      </c>
      <c r="K982" s="207">
        <f>IF(ISNUMBER(VLOOKUP($B:$B,'IS(과거)'!$A:$F,$2:$2,0)),VLOOKUP($B:$B,'IS(과거)'!$A:$F,$2:$2,0),0)</f>
        <v>0</v>
      </c>
      <c r="L982" s="207">
        <f>IF(ISNUMBER(VLOOKUP($B:$B,'IS(과거)'!$A:$F,$2:$2,0)),VLOOKUP($B:$B,'IS(과거)'!$A:$F,$2:$2,0),0)</f>
        <v>0</v>
      </c>
      <c r="N982" s="207">
        <f>IF(ISNUMBER(VLOOKUP($B:$B,'IS(분기)'!$A:$F,$2:$2,0)),VLOOKUP($B:$B,'IS(분기)'!$A:$F,$2:$2,0),0)</f>
        <v>0</v>
      </c>
      <c r="O982" s="207">
        <f>IF(ISNUMBER(VLOOKUP($B:$B,'IS(분기)'!$A:$F,$2:$2,0)),VLOOKUP($B:$B,'IS(분기)'!$A:$F,$2:$2,0),0)</f>
        <v>0</v>
      </c>
      <c r="P982" s="207">
        <f>IF(ISNUMBER(VLOOKUP($B:$B,'IS(분기)'!$A:$F,$2:$2,0)),VLOOKUP($B:$B,'IS(분기)'!$A:$F,$2:$2,0),0)</f>
        <v>0</v>
      </c>
      <c r="Q982" s="207">
        <f>IF(ISNUMBER(VLOOKUP($B:$B,'IS(분기)'!$A:$F,$2:$2,0)),VLOOKUP($B:$B,'IS(분기)'!$A:$F,$2:$2,0),0)</f>
        <v>0</v>
      </c>
      <c r="R982" s="207">
        <f>IF(ISNUMBER(VLOOKUP($B:$B,'IS(분기)'!$A:$F,$2:$2,0)),VLOOKUP($B:$B,'IS(분기)'!$A:$F,$2:$2,0),0)</f>
        <v>0</v>
      </c>
    </row>
    <row r="983" spans="1:18" s="192" customFormat="1" ht="12">
      <c r="A983" s="201">
        <v>125127</v>
      </c>
      <c r="B983" s="194" t="s">
        <v>686</v>
      </c>
      <c r="C983" s="217">
        <f>IF(ISNUMBER(VLOOKUP($B:$B,IS!$A:$F,$2:$2,0)),VLOOKUP($B:$B,IS!$A:$F,$2:$2,0),0)</f>
        <v>27373</v>
      </c>
      <c r="D983" s="217">
        <f>IF(ISNUMBER(VLOOKUP($B:$B,IS!$A:$F,$2:$2,0)),VLOOKUP($B:$B,IS!$A:$F,$2:$2,0),0)</f>
        <v>0</v>
      </c>
      <c r="E983" s="217">
        <f>IF(ISNUMBER(VLOOKUP($B:$B,IS!$A:$F,$2:$2,0)),VLOOKUP($B:$B,IS!$A:$F,$2:$2,0),0)</f>
        <v>0</v>
      </c>
      <c r="F983" s="217">
        <f>IF(ISNUMBER(VLOOKUP($B:$B,IS!$A:$F,$2:$2,0)),VLOOKUP($B:$B,IS!$A:$F,$2:$2,0),0)</f>
        <v>0</v>
      </c>
      <c r="G983" s="217">
        <f>IF(ISNUMBER(VLOOKUP($B:$B,IS!$A:$F,$2:$2,0)),VLOOKUP($B:$B,IS!$A:$F,$2:$2,0),0)</f>
        <v>0</v>
      </c>
      <c r="H983" s="207">
        <f>IF(ISNUMBER(VLOOKUP($B:$B,'IS(과거)'!$A:$F,$2:$2,0)),VLOOKUP($B:$B,'IS(과거)'!$A:$F,$2:$2,0),0)</f>
        <v>0</v>
      </c>
      <c r="I983" s="207">
        <f>IF(ISNUMBER(VLOOKUP($B:$B,'IS(과거)'!$A:$F,$2:$2,0)),VLOOKUP($B:$B,'IS(과거)'!$A:$F,$2:$2,0),0)</f>
        <v>0</v>
      </c>
      <c r="J983" s="207">
        <f>IF(ISNUMBER(VLOOKUP($B:$B,'IS(과거)'!$A:$F,$2:$2,0)),VLOOKUP($B:$B,'IS(과거)'!$A:$F,$2:$2,0),0)</f>
        <v>0</v>
      </c>
      <c r="K983" s="207">
        <f>IF(ISNUMBER(VLOOKUP($B:$B,'IS(과거)'!$A:$F,$2:$2,0)),VLOOKUP($B:$B,'IS(과거)'!$A:$F,$2:$2,0),0)</f>
        <v>0</v>
      </c>
      <c r="L983" s="207">
        <f>IF(ISNUMBER(VLOOKUP($B:$B,'IS(과거)'!$A:$F,$2:$2,0)),VLOOKUP($B:$B,'IS(과거)'!$A:$F,$2:$2,0),0)</f>
        <v>0</v>
      </c>
      <c r="N983" s="207">
        <f>IF(ISNUMBER(VLOOKUP($B:$B,'IS(분기)'!$A:$F,$2:$2,0)),VLOOKUP($B:$B,'IS(분기)'!$A:$F,$2:$2,0),0)</f>
        <v>0</v>
      </c>
      <c r="O983" s="207">
        <f>IF(ISNUMBER(VLOOKUP($B:$B,'IS(분기)'!$A:$F,$2:$2,0)),VLOOKUP($B:$B,'IS(분기)'!$A:$F,$2:$2,0),0)</f>
        <v>0</v>
      </c>
      <c r="P983" s="207">
        <f>IF(ISNUMBER(VLOOKUP($B:$B,'IS(분기)'!$A:$F,$2:$2,0)),VLOOKUP($B:$B,'IS(분기)'!$A:$F,$2:$2,0),0)</f>
        <v>0</v>
      </c>
      <c r="Q983" s="207">
        <f>IF(ISNUMBER(VLOOKUP($B:$B,'IS(분기)'!$A:$F,$2:$2,0)),VLOOKUP($B:$B,'IS(분기)'!$A:$F,$2:$2,0),0)</f>
        <v>0</v>
      </c>
      <c r="R983" s="207">
        <f>IF(ISNUMBER(VLOOKUP($B:$B,'IS(분기)'!$A:$F,$2:$2,0)),VLOOKUP($B:$B,'IS(분기)'!$A:$F,$2:$2,0),0)</f>
        <v>0</v>
      </c>
    </row>
    <row r="984" spans="1:18" s="192" customFormat="1" ht="12">
      <c r="A984" s="201">
        <v>125160</v>
      </c>
      <c r="B984" s="194" t="s">
        <v>687</v>
      </c>
      <c r="C984" s="217">
        <f>IF(ISNUMBER(VLOOKUP($B:$B,IS!$A:$F,$2:$2,0)),VLOOKUP($B:$B,IS!$A:$F,$2:$2,0),0)</f>
        <v>0</v>
      </c>
      <c r="D984" s="217">
        <f>IF(ISNUMBER(VLOOKUP($B:$B,IS!$A:$F,$2:$2,0)),VLOOKUP($B:$B,IS!$A:$F,$2:$2,0),0)</f>
        <v>0</v>
      </c>
      <c r="E984" s="217">
        <f>IF(ISNUMBER(VLOOKUP($B:$B,IS!$A:$F,$2:$2,0)),VLOOKUP($B:$B,IS!$A:$F,$2:$2,0),0)</f>
        <v>0</v>
      </c>
      <c r="F984" s="217">
        <f>IF(ISNUMBER(VLOOKUP($B:$B,IS!$A:$F,$2:$2,0)),VLOOKUP($B:$B,IS!$A:$F,$2:$2,0),0)</f>
        <v>0</v>
      </c>
      <c r="G984" s="217">
        <f>IF(ISNUMBER(VLOOKUP($B:$B,IS!$A:$F,$2:$2,0)),VLOOKUP($B:$B,IS!$A:$F,$2:$2,0),0)</f>
        <v>0</v>
      </c>
      <c r="H984" s="207">
        <f>IF(ISNUMBER(VLOOKUP($B:$B,'IS(과거)'!$A:$F,$2:$2,0)),VLOOKUP($B:$B,'IS(과거)'!$A:$F,$2:$2,0),0)</f>
        <v>0</v>
      </c>
      <c r="I984" s="207">
        <f>IF(ISNUMBER(VLOOKUP($B:$B,'IS(과거)'!$A:$F,$2:$2,0)),VLOOKUP($B:$B,'IS(과거)'!$A:$F,$2:$2,0),0)</f>
        <v>0</v>
      </c>
      <c r="J984" s="207">
        <f>IF(ISNUMBER(VLOOKUP($B:$B,'IS(과거)'!$A:$F,$2:$2,0)),VLOOKUP($B:$B,'IS(과거)'!$A:$F,$2:$2,0),0)</f>
        <v>0</v>
      </c>
      <c r="K984" s="207">
        <f>IF(ISNUMBER(VLOOKUP($B:$B,'IS(과거)'!$A:$F,$2:$2,0)),VLOOKUP($B:$B,'IS(과거)'!$A:$F,$2:$2,0),0)</f>
        <v>0</v>
      </c>
      <c r="L984" s="207">
        <f>IF(ISNUMBER(VLOOKUP($B:$B,'IS(과거)'!$A:$F,$2:$2,0)),VLOOKUP($B:$B,'IS(과거)'!$A:$F,$2:$2,0),0)</f>
        <v>0</v>
      </c>
      <c r="N984" s="207">
        <f>IF(ISNUMBER(VLOOKUP($B:$B,'IS(분기)'!$A:$F,$2:$2,0)),VLOOKUP($B:$B,'IS(분기)'!$A:$F,$2:$2,0),0)</f>
        <v>0</v>
      </c>
      <c r="O984" s="207">
        <f>IF(ISNUMBER(VLOOKUP($B:$B,'IS(분기)'!$A:$F,$2:$2,0)),VLOOKUP($B:$B,'IS(분기)'!$A:$F,$2:$2,0),0)</f>
        <v>0</v>
      </c>
      <c r="P984" s="207">
        <f>IF(ISNUMBER(VLOOKUP($B:$B,'IS(분기)'!$A:$F,$2:$2,0)),VLOOKUP($B:$B,'IS(분기)'!$A:$F,$2:$2,0),0)</f>
        <v>0</v>
      </c>
      <c r="Q984" s="207">
        <f>IF(ISNUMBER(VLOOKUP($B:$B,'IS(분기)'!$A:$F,$2:$2,0)),VLOOKUP($B:$B,'IS(분기)'!$A:$F,$2:$2,0),0)</f>
        <v>0</v>
      </c>
      <c r="R984" s="207">
        <f>IF(ISNUMBER(VLOOKUP($B:$B,'IS(분기)'!$A:$F,$2:$2,0)),VLOOKUP($B:$B,'IS(분기)'!$A:$F,$2:$2,0),0)</f>
        <v>0</v>
      </c>
    </row>
    <row r="985" spans="1:18" s="192" customFormat="1" ht="12">
      <c r="A985" s="201">
        <v>125128</v>
      </c>
      <c r="B985" s="194" t="s">
        <v>688</v>
      </c>
      <c r="C985" s="217">
        <f>IF(ISNUMBER(VLOOKUP($B:$B,IS!$A:$F,$2:$2,0)),VLOOKUP($B:$B,IS!$A:$F,$2:$2,0),0)</f>
        <v>0</v>
      </c>
      <c r="D985" s="217">
        <f>IF(ISNUMBER(VLOOKUP($B:$B,IS!$A:$F,$2:$2,0)),VLOOKUP($B:$B,IS!$A:$F,$2:$2,0),0)</f>
        <v>0</v>
      </c>
      <c r="E985" s="217">
        <f>IF(ISNUMBER(VLOOKUP($B:$B,IS!$A:$F,$2:$2,0)),VLOOKUP($B:$B,IS!$A:$F,$2:$2,0),0)</f>
        <v>0</v>
      </c>
      <c r="F985" s="217">
        <f>IF(ISNUMBER(VLOOKUP($B:$B,IS!$A:$F,$2:$2,0)),VLOOKUP($B:$B,IS!$A:$F,$2:$2,0),0)</f>
        <v>0</v>
      </c>
      <c r="G985" s="217">
        <f>IF(ISNUMBER(VLOOKUP($B:$B,IS!$A:$F,$2:$2,0)),VLOOKUP($B:$B,IS!$A:$F,$2:$2,0),0)</f>
        <v>0</v>
      </c>
      <c r="H985" s="207">
        <f>IF(ISNUMBER(VLOOKUP($B:$B,'IS(과거)'!$A:$F,$2:$2,0)),VLOOKUP($B:$B,'IS(과거)'!$A:$F,$2:$2,0),0)</f>
        <v>0</v>
      </c>
      <c r="I985" s="207">
        <f>IF(ISNUMBER(VLOOKUP($B:$B,'IS(과거)'!$A:$F,$2:$2,0)),VLOOKUP($B:$B,'IS(과거)'!$A:$F,$2:$2,0),0)</f>
        <v>0</v>
      </c>
      <c r="J985" s="207">
        <f>IF(ISNUMBER(VLOOKUP($B:$B,'IS(과거)'!$A:$F,$2:$2,0)),VLOOKUP($B:$B,'IS(과거)'!$A:$F,$2:$2,0),0)</f>
        <v>0</v>
      </c>
      <c r="K985" s="207">
        <f>IF(ISNUMBER(VLOOKUP($B:$B,'IS(과거)'!$A:$F,$2:$2,0)),VLOOKUP($B:$B,'IS(과거)'!$A:$F,$2:$2,0),0)</f>
        <v>0</v>
      </c>
      <c r="L985" s="207">
        <f>IF(ISNUMBER(VLOOKUP($B:$B,'IS(과거)'!$A:$F,$2:$2,0)),VLOOKUP($B:$B,'IS(과거)'!$A:$F,$2:$2,0),0)</f>
        <v>0</v>
      </c>
      <c r="N985" s="207">
        <f>IF(ISNUMBER(VLOOKUP($B:$B,'IS(분기)'!$A:$F,$2:$2,0)),VLOOKUP($B:$B,'IS(분기)'!$A:$F,$2:$2,0),0)</f>
        <v>0</v>
      </c>
      <c r="O985" s="207">
        <f>IF(ISNUMBER(VLOOKUP($B:$B,'IS(분기)'!$A:$F,$2:$2,0)),VLOOKUP($B:$B,'IS(분기)'!$A:$F,$2:$2,0),0)</f>
        <v>0</v>
      </c>
      <c r="P985" s="207">
        <f>IF(ISNUMBER(VLOOKUP($B:$B,'IS(분기)'!$A:$F,$2:$2,0)),VLOOKUP($B:$B,'IS(분기)'!$A:$F,$2:$2,0),0)</f>
        <v>0</v>
      </c>
      <c r="Q985" s="207">
        <f>IF(ISNUMBER(VLOOKUP($B:$B,'IS(분기)'!$A:$F,$2:$2,0)),VLOOKUP($B:$B,'IS(분기)'!$A:$F,$2:$2,0),0)</f>
        <v>0</v>
      </c>
      <c r="R985" s="207">
        <f>IF(ISNUMBER(VLOOKUP($B:$B,'IS(분기)'!$A:$F,$2:$2,0)),VLOOKUP($B:$B,'IS(분기)'!$A:$F,$2:$2,0),0)</f>
        <v>0</v>
      </c>
    </row>
    <row r="986" spans="1:18" s="192" customFormat="1" ht="12">
      <c r="A986" s="201">
        <v>125149</v>
      </c>
      <c r="B986" s="194" t="s">
        <v>689</v>
      </c>
      <c r="C986" s="217">
        <f>IF(ISNUMBER(VLOOKUP($B:$B,IS!$A:$F,$2:$2,0)),VLOOKUP($B:$B,IS!$A:$F,$2:$2,0),0)</f>
        <v>0</v>
      </c>
      <c r="D986" s="217">
        <f>IF(ISNUMBER(VLOOKUP($B:$B,IS!$A:$F,$2:$2,0)),VLOOKUP($B:$B,IS!$A:$F,$2:$2,0),0)</f>
        <v>0</v>
      </c>
      <c r="E986" s="217">
        <f>IF(ISNUMBER(VLOOKUP($B:$B,IS!$A:$F,$2:$2,0)),VLOOKUP($B:$B,IS!$A:$F,$2:$2,0),0)</f>
        <v>0</v>
      </c>
      <c r="F986" s="217">
        <f>IF(ISNUMBER(VLOOKUP($B:$B,IS!$A:$F,$2:$2,0)),VLOOKUP($B:$B,IS!$A:$F,$2:$2,0),0)</f>
        <v>0</v>
      </c>
      <c r="G986" s="217">
        <f>IF(ISNUMBER(VLOOKUP($B:$B,IS!$A:$F,$2:$2,0)),VLOOKUP($B:$B,IS!$A:$F,$2:$2,0),0)</f>
        <v>0</v>
      </c>
      <c r="H986" s="207">
        <f>IF(ISNUMBER(VLOOKUP($B:$B,'IS(과거)'!$A:$F,$2:$2,0)),VLOOKUP($B:$B,'IS(과거)'!$A:$F,$2:$2,0),0)</f>
        <v>0</v>
      </c>
      <c r="I986" s="207">
        <f>IF(ISNUMBER(VLOOKUP($B:$B,'IS(과거)'!$A:$F,$2:$2,0)),VLOOKUP($B:$B,'IS(과거)'!$A:$F,$2:$2,0),0)</f>
        <v>0</v>
      </c>
      <c r="J986" s="207">
        <f>IF(ISNUMBER(VLOOKUP($B:$B,'IS(과거)'!$A:$F,$2:$2,0)),VLOOKUP($B:$B,'IS(과거)'!$A:$F,$2:$2,0),0)</f>
        <v>0</v>
      </c>
      <c r="K986" s="207">
        <f>IF(ISNUMBER(VLOOKUP($B:$B,'IS(과거)'!$A:$F,$2:$2,0)),VLOOKUP($B:$B,'IS(과거)'!$A:$F,$2:$2,0),0)</f>
        <v>0</v>
      </c>
      <c r="L986" s="207">
        <f>IF(ISNUMBER(VLOOKUP($B:$B,'IS(과거)'!$A:$F,$2:$2,0)),VLOOKUP($B:$B,'IS(과거)'!$A:$F,$2:$2,0),0)</f>
        <v>0</v>
      </c>
      <c r="N986" s="207">
        <f>IF(ISNUMBER(VLOOKUP($B:$B,'IS(분기)'!$A:$F,$2:$2,0)),VLOOKUP($B:$B,'IS(분기)'!$A:$F,$2:$2,0),0)</f>
        <v>0</v>
      </c>
      <c r="O986" s="207">
        <f>IF(ISNUMBER(VLOOKUP($B:$B,'IS(분기)'!$A:$F,$2:$2,0)),VLOOKUP($B:$B,'IS(분기)'!$A:$F,$2:$2,0),0)</f>
        <v>0</v>
      </c>
      <c r="P986" s="207">
        <f>IF(ISNUMBER(VLOOKUP($B:$B,'IS(분기)'!$A:$F,$2:$2,0)),VLOOKUP($B:$B,'IS(분기)'!$A:$F,$2:$2,0),0)</f>
        <v>0</v>
      </c>
      <c r="Q986" s="207">
        <f>IF(ISNUMBER(VLOOKUP($B:$B,'IS(분기)'!$A:$F,$2:$2,0)),VLOOKUP($B:$B,'IS(분기)'!$A:$F,$2:$2,0),0)</f>
        <v>0</v>
      </c>
      <c r="R986" s="207">
        <f>IF(ISNUMBER(VLOOKUP($B:$B,'IS(분기)'!$A:$F,$2:$2,0)),VLOOKUP($B:$B,'IS(분기)'!$A:$F,$2:$2,0),0)</f>
        <v>0</v>
      </c>
    </row>
    <row r="987" spans="1:18" s="192" customFormat="1" ht="12">
      <c r="A987" s="201">
        <v>125151</v>
      </c>
      <c r="B987" s="194" t="s">
        <v>690</v>
      </c>
      <c r="C987" s="217">
        <f>IF(ISNUMBER(VLOOKUP($B:$B,IS!$A:$F,$2:$2,0)),VLOOKUP($B:$B,IS!$A:$F,$2:$2,0),0)</f>
        <v>0</v>
      </c>
      <c r="D987" s="217">
        <f>IF(ISNUMBER(VLOOKUP($B:$B,IS!$A:$F,$2:$2,0)),VLOOKUP($B:$B,IS!$A:$F,$2:$2,0),0)</f>
        <v>0</v>
      </c>
      <c r="E987" s="217">
        <f>IF(ISNUMBER(VLOOKUP($B:$B,IS!$A:$F,$2:$2,0)),VLOOKUP($B:$B,IS!$A:$F,$2:$2,0),0)</f>
        <v>0</v>
      </c>
      <c r="F987" s="217">
        <f>IF(ISNUMBER(VLOOKUP($B:$B,IS!$A:$F,$2:$2,0)),VLOOKUP($B:$B,IS!$A:$F,$2:$2,0),0)</f>
        <v>0</v>
      </c>
      <c r="G987" s="217">
        <f>IF(ISNUMBER(VLOOKUP($B:$B,IS!$A:$F,$2:$2,0)),VLOOKUP($B:$B,IS!$A:$F,$2:$2,0),0)</f>
        <v>0</v>
      </c>
      <c r="H987" s="207">
        <f>IF(ISNUMBER(VLOOKUP($B:$B,'IS(과거)'!$A:$F,$2:$2,0)),VLOOKUP($B:$B,'IS(과거)'!$A:$F,$2:$2,0),0)</f>
        <v>0</v>
      </c>
      <c r="I987" s="207">
        <f>IF(ISNUMBER(VLOOKUP($B:$B,'IS(과거)'!$A:$F,$2:$2,0)),VLOOKUP($B:$B,'IS(과거)'!$A:$F,$2:$2,0),0)</f>
        <v>0</v>
      </c>
      <c r="J987" s="207">
        <f>IF(ISNUMBER(VLOOKUP($B:$B,'IS(과거)'!$A:$F,$2:$2,0)),VLOOKUP($B:$B,'IS(과거)'!$A:$F,$2:$2,0),0)</f>
        <v>0</v>
      </c>
      <c r="K987" s="207">
        <f>IF(ISNUMBER(VLOOKUP($B:$B,'IS(과거)'!$A:$F,$2:$2,0)),VLOOKUP($B:$B,'IS(과거)'!$A:$F,$2:$2,0),0)</f>
        <v>0</v>
      </c>
      <c r="L987" s="207">
        <f>IF(ISNUMBER(VLOOKUP($B:$B,'IS(과거)'!$A:$F,$2:$2,0)),VLOOKUP($B:$B,'IS(과거)'!$A:$F,$2:$2,0),0)</f>
        <v>0</v>
      </c>
      <c r="N987" s="207">
        <f>IF(ISNUMBER(VLOOKUP($B:$B,'IS(분기)'!$A:$F,$2:$2,0)),VLOOKUP($B:$B,'IS(분기)'!$A:$F,$2:$2,0),0)</f>
        <v>0</v>
      </c>
      <c r="O987" s="207">
        <f>IF(ISNUMBER(VLOOKUP($B:$B,'IS(분기)'!$A:$F,$2:$2,0)),VLOOKUP($B:$B,'IS(분기)'!$A:$F,$2:$2,0),0)</f>
        <v>0</v>
      </c>
      <c r="P987" s="207">
        <f>IF(ISNUMBER(VLOOKUP($B:$B,'IS(분기)'!$A:$F,$2:$2,0)),VLOOKUP($B:$B,'IS(분기)'!$A:$F,$2:$2,0),0)</f>
        <v>0</v>
      </c>
      <c r="Q987" s="207">
        <f>IF(ISNUMBER(VLOOKUP($B:$B,'IS(분기)'!$A:$F,$2:$2,0)),VLOOKUP($B:$B,'IS(분기)'!$A:$F,$2:$2,0),0)</f>
        <v>0</v>
      </c>
      <c r="R987" s="207">
        <f>IF(ISNUMBER(VLOOKUP($B:$B,'IS(분기)'!$A:$F,$2:$2,0)),VLOOKUP($B:$B,'IS(분기)'!$A:$F,$2:$2,0),0)</f>
        <v>0</v>
      </c>
    </row>
    <row r="988" spans="1:18" s="192" customFormat="1" ht="12">
      <c r="A988" s="201">
        <v>125166</v>
      </c>
      <c r="B988" s="194" t="s">
        <v>691</v>
      </c>
      <c r="C988" s="217">
        <f>IF(ISNUMBER(VLOOKUP($B:$B,IS!$A:$F,$2:$2,0)),VLOOKUP($B:$B,IS!$A:$F,$2:$2,0),0)</f>
        <v>0</v>
      </c>
      <c r="D988" s="217">
        <f>IF(ISNUMBER(VLOOKUP($B:$B,IS!$A:$F,$2:$2,0)),VLOOKUP($B:$B,IS!$A:$F,$2:$2,0),0)</f>
        <v>0</v>
      </c>
      <c r="E988" s="217">
        <f>IF(ISNUMBER(VLOOKUP($B:$B,IS!$A:$F,$2:$2,0)),VLOOKUP($B:$B,IS!$A:$F,$2:$2,0),0)</f>
        <v>0</v>
      </c>
      <c r="F988" s="217">
        <f>IF(ISNUMBER(VLOOKUP($B:$B,IS!$A:$F,$2:$2,0)),VLOOKUP($B:$B,IS!$A:$F,$2:$2,0),0)</f>
        <v>0</v>
      </c>
      <c r="G988" s="217">
        <f>IF(ISNUMBER(VLOOKUP($B:$B,IS!$A:$F,$2:$2,0)),VLOOKUP($B:$B,IS!$A:$F,$2:$2,0),0)</f>
        <v>0</v>
      </c>
      <c r="H988" s="207">
        <f>IF(ISNUMBER(VLOOKUP($B:$B,'IS(과거)'!$A:$F,$2:$2,0)),VLOOKUP($B:$B,'IS(과거)'!$A:$F,$2:$2,0),0)</f>
        <v>0</v>
      </c>
      <c r="I988" s="207">
        <f>IF(ISNUMBER(VLOOKUP($B:$B,'IS(과거)'!$A:$F,$2:$2,0)),VLOOKUP($B:$B,'IS(과거)'!$A:$F,$2:$2,0),0)</f>
        <v>0</v>
      </c>
      <c r="J988" s="207">
        <f>IF(ISNUMBER(VLOOKUP($B:$B,'IS(과거)'!$A:$F,$2:$2,0)),VLOOKUP($B:$B,'IS(과거)'!$A:$F,$2:$2,0),0)</f>
        <v>0</v>
      </c>
      <c r="K988" s="207">
        <f>IF(ISNUMBER(VLOOKUP($B:$B,'IS(과거)'!$A:$F,$2:$2,0)),VLOOKUP($B:$B,'IS(과거)'!$A:$F,$2:$2,0),0)</f>
        <v>0</v>
      </c>
      <c r="L988" s="207">
        <f>IF(ISNUMBER(VLOOKUP($B:$B,'IS(과거)'!$A:$F,$2:$2,0)),VLOOKUP($B:$B,'IS(과거)'!$A:$F,$2:$2,0),0)</f>
        <v>0</v>
      </c>
      <c r="N988" s="207">
        <f>IF(ISNUMBER(VLOOKUP($B:$B,'IS(분기)'!$A:$F,$2:$2,0)),VLOOKUP($B:$B,'IS(분기)'!$A:$F,$2:$2,0),0)</f>
        <v>0</v>
      </c>
      <c r="O988" s="207">
        <f>IF(ISNUMBER(VLOOKUP($B:$B,'IS(분기)'!$A:$F,$2:$2,0)),VLOOKUP($B:$B,'IS(분기)'!$A:$F,$2:$2,0),0)</f>
        <v>0</v>
      </c>
      <c r="P988" s="207">
        <f>IF(ISNUMBER(VLOOKUP($B:$B,'IS(분기)'!$A:$F,$2:$2,0)),VLOOKUP($B:$B,'IS(분기)'!$A:$F,$2:$2,0),0)</f>
        <v>0</v>
      </c>
      <c r="Q988" s="207">
        <f>IF(ISNUMBER(VLOOKUP($B:$B,'IS(분기)'!$A:$F,$2:$2,0)),VLOOKUP($B:$B,'IS(분기)'!$A:$F,$2:$2,0),0)</f>
        <v>0</v>
      </c>
      <c r="R988" s="207">
        <f>IF(ISNUMBER(VLOOKUP($B:$B,'IS(분기)'!$A:$F,$2:$2,0)),VLOOKUP($B:$B,'IS(분기)'!$A:$F,$2:$2,0),0)</f>
        <v>0</v>
      </c>
    </row>
    <row r="989" spans="1:18" s="192" customFormat="1" ht="12">
      <c r="A989" s="201">
        <v>125170</v>
      </c>
      <c r="B989" s="194" t="s">
        <v>692</v>
      </c>
      <c r="C989" s="217">
        <f>IF(ISNUMBER(VLOOKUP($B:$B,IS!$A:$F,$2:$2,0)),VLOOKUP($B:$B,IS!$A:$F,$2:$2,0),0)</f>
        <v>0</v>
      </c>
      <c r="D989" s="217">
        <f>IF(ISNUMBER(VLOOKUP($B:$B,IS!$A:$F,$2:$2,0)),VLOOKUP($B:$B,IS!$A:$F,$2:$2,0),0)</f>
        <v>0</v>
      </c>
      <c r="E989" s="217">
        <f>IF(ISNUMBER(VLOOKUP($B:$B,IS!$A:$F,$2:$2,0)),VLOOKUP($B:$B,IS!$A:$F,$2:$2,0),0)</f>
        <v>0</v>
      </c>
      <c r="F989" s="217">
        <f>IF(ISNUMBER(VLOOKUP($B:$B,IS!$A:$F,$2:$2,0)),VLOOKUP($B:$B,IS!$A:$F,$2:$2,0),0)</f>
        <v>0</v>
      </c>
      <c r="G989" s="217">
        <f>IF(ISNUMBER(VLOOKUP($B:$B,IS!$A:$F,$2:$2,0)),VLOOKUP($B:$B,IS!$A:$F,$2:$2,0),0)</f>
        <v>0</v>
      </c>
      <c r="H989" s="207">
        <f>IF(ISNUMBER(VLOOKUP($B:$B,'IS(과거)'!$A:$F,$2:$2,0)),VLOOKUP($B:$B,'IS(과거)'!$A:$F,$2:$2,0),0)</f>
        <v>0</v>
      </c>
      <c r="I989" s="207">
        <f>IF(ISNUMBER(VLOOKUP($B:$B,'IS(과거)'!$A:$F,$2:$2,0)),VLOOKUP($B:$B,'IS(과거)'!$A:$F,$2:$2,0),0)</f>
        <v>0</v>
      </c>
      <c r="J989" s="207">
        <f>IF(ISNUMBER(VLOOKUP($B:$B,'IS(과거)'!$A:$F,$2:$2,0)),VLOOKUP($B:$B,'IS(과거)'!$A:$F,$2:$2,0),0)</f>
        <v>0</v>
      </c>
      <c r="K989" s="207">
        <f>IF(ISNUMBER(VLOOKUP($B:$B,'IS(과거)'!$A:$F,$2:$2,0)),VLOOKUP($B:$B,'IS(과거)'!$A:$F,$2:$2,0),0)</f>
        <v>0</v>
      </c>
      <c r="L989" s="207">
        <f>IF(ISNUMBER(VLOOKUP($B:$B,'IS(과거)'!$A:$F,$2:$2,0)),VLOOKUP($B:$B,'IS(과거)'!$A:$F,$2:$2,0),0)</f>
        <v>0</v>
      </c>
      <c r="N989" s="207">
        <f>IF(ISNUMBER(VLOOKUP($B:$B,'IS(분기)'!$A:$F,$2:$2,0)),VLOOKUP($B:$B,'IS(분기)'!$A:$F,$2:$2,0),0)</f>
        <v>0</v>
      </c>
      <c r="O989" s="207">
        <f>IF(ISNUMBER(VLOOKUP($B:$B,'IS(분기)'!$A:$F,$2:$2,0)),VLOOKUP($B:$B,'IS(분기)'!$A:$F,$2:$2,0),0)</f>
        <v>0</v>
      </c>
      <c r="P989" s="207">
        <f>IF(ISNUMBER(VLOOKUP($B:$B,'IS(분기)'!$A:$F,$2:$2,0)),VLOOKUP($B:$B,'IS(분기)'!$A:$F,$2:$2,0),0)</f>
        <v>0</v>
      </c>
      <c r="Q989" s="207">
        <f>IF(ISNUMBER(VLOOKUP($B:$B,'IS(분기)'!$A:$F,$2:$2,0)),VLOOKUP($B:$B,'IS(분기)'!$A:$F,$2:$2,0),0)</f>
        <v>0</v>
      </c>
      <c r="R989" s="207">
        <f>IF(ISNUMBER(VLOOKUP($B:$B,'IS(분기)'!$A:$F,$2:$2,0)),VLOOKUP($B:$B,'IS(분기)'!$A:$F,$2:$2,0),0)</f>
        <v>0</v>
      </c>
    </row>
    <row r="990" spans="1:18" s="192" customFormat="1" ht="12">
      <c r="A990" s="201">
        <v>125175</v>
      </c>
      <c r="B990" s="194" t="s">
        <v>1417</v>
      </c>
      <c r="C990" s="217">
        <f>IF(ISNUMBER(VLOOKUP($B:$B,IS!$A:$F,$2:$2,0)),VLOOKUP($B:$B,IS!$A:$F,$2:$2,0),0)</f>
        <v>0</v>
      </c>
      <c r="D990" s="217">
        <f>IF(ISNUMBER(VLOOKUP($B:$B,IS!$A:$F,$2:$2,0)),VLOOKUP($B:$B,IS!$A:$F,$2:$2,0),0)</f>
        <v>0</v>
      </c>
      <c r="E990" s="217">
        <f>IF(ISNUMBER(VLOOKUP($B:$B,IS!$A:$F,$2:$2,0)),VLOOKUP($B:$B,IS!$A:$F,$2:$2,0),0)</f>
        <v>0</v>
      </c>
      <c r="F990" s="217">
        <f>IF(ISNUMBER(VLOOKUP($B:$B,IS!$A:$F,$2:$2,0)),VLOOKUP($B:$B,IS!$A:$F,$2:$2,0),0)</f>
        <v>0</v>
      </c>
      <c r="G990" s="217">
        <f>IF(ISNUMBER(VLOOKUP($B:$B,IS!$A:$F,$2:$2,0)),VLOOKUP($B:$B,IS!$A:$F,$2:$2,0),0)</f>
        <v>0</v>
      </c>
      <c r="H990" s="207">
        <f>IF(ISNUMBER(VLOOKUP($B:$B,'IS(과거)'!$A:$F,$2:$2,0)),VLOOKUP($B:$B,'IS(과거)'!$A:$F,$2:$2,0),0)</f>
        <v>0</v>
      </c>
      <c r="I990" s="207">
        <f>IF(ISNUMBER(VLOOKUP($B:$B,'IS(과거)'!$A:$F,$2:$2,0)),VLOOKUP($B:$B,'IS(과거)'!$A:$F,$2:$2,0),0)</f>
        <v>0</v>
      </c>
      <c r="J990" s="207">
        <f>IF(ISNUMBER(VLOOKUP($B:$B,'IS(과거)'!$A:$F,$2:$2,0)),VLOOKUP($B:$B,'IS(과거)'!$A:$F,$2:$2,0),0)</f>
        <v>0</v>
      </c>
      <c r="K990" s="207">
        <f>IF(ISNUMBER(VLOOKUP($B:$B,'IS(과거)'!$A:$F,$2:$2,0)),VLOOKUP($B:$B,'IS(과거)'!$A:$F,$2:$2,0),0)</f>
        <v>0</v>
      </c>
      <c r="L990" s="207">
        <f>IF(ISNUMBER(VLOOKUP($B:$B,'IS(과거)'!$A:$F,$2:$2,0)),VLOOKUP($B:$B,'IS(과거)'!$A:$F,$2:$2,0),0)</f>
        <v>0</v>
      </c>
      <c r="N990" s="207">
        <f>IF(ISNUMBER(VLOOKUP($B:$B,'IS(분기)'!$A:$F,$2:$2,0)),VLOOKUP($B:$B,'IS(분기)'!$A:$F,$2:$2,0),0)</f>
        <v>0</v>
      </c>
      <c r="O990" s="207">
        <f>IF(ISNUMBER(VLOOKUP($B:$B,'IS(분기)'!$A:$F,$2:$2,0)),VLOOKUP($B:$B,'IS(분기)'!$A:$F,$2:$2,0),0)</f>
        <v>0</v>
      </c>
      <c r="P990" s="207">
        <f>IF(ISNUMBER(VLOOKUP($B:$B,'IS(분기)'!$A:$F,$2:$2,0)),VLOOKUP($B:$B,'IS(분기)'!$A:$F,$2:$2,0),0)</f>
        <v>0</v>
      </c>
      <c r="Q990" s="207">
        <f>IF(ISNUMBER(VLOOKUP($B:$B,'IS(분기)'!$A:$F,$2:$2,0)),VLOOKUP($B:$B,'IS(분기)'!$A:$F,$2:$2,0),0)</f>
        <v>0</v>
      </c>
      <c r="R990" s="207">
        <f>IF(ISNUMBER(VLOOKUP($B:$B,'IS(분기)'!$A:$F,$2:$2,0)),VLOOKUP($B:$B,'IS(분기)'!$A:$F,$2:$2,0),0)</f>
        <v>0</v>
      </c>
    </row>
    <row r="991" spans="1:18" s="192" customFormat="1" ht="12">
      <c r="A991" s="201">
        <v>125180</v>
      </c>
      <c r="B991" s="194" t="s">
        <v>693</v>
      </c>
      <c r="C991" s="217">
        <f>IF(ISNUMBER(VLOOKUP($B:$B,IS!$A:$F,$2:$2,0)),VLOOKUP($B:$B,IS!$A:$F,$2:$2,0),0)</f>
        <v>0</v>
      </c>
      <c r="D991" s="217">
        <f>IF(ISNUMBER(VLOOKUP($B:$B,IS!$A:$F,$2:$2,0)),VLOOKUP($B:$B,IS!$A:$F,$2:$2,0),0)</f>
        <v>0</v>
      </c>
      <c r="E991" s="217">
        <f>IF(ISNUMBER(VLOOKUP($B:$B,IS!$A:$F,$2:$2,0)),VLOOKUP($B:$B,IS!$A:$F,$2:$2,0),0)</f>
        <v>0</v>
      </c>
      <c r="F991" s="217">
        <f>IF(ISNUMBER(VLOOKUP($B:$B,IS!$A:$F,$2:$2,0)),VLOOKUP($B:$B,IS!$A:$F,$2:$2,0),0)</f>
        <v>0</v>
      </c>
      <c r="G991" s="217">
        <f>IF(ISNUMBER(VLOOKUP($B:$B,IS!$A:$F,$2:$2,0)),VLOOKUP($B:$B,IS!$A:$F,$2:$2,0),0)</f>
        <v>0</v>
      </c>
      <c r="H991" s="207">
        <f>IF(ISNUMBER(VLOOKUP($B:$B,'IS(과거)'!$A:$F,$2:$2,0)),VLOOKUP($B:$B,'IS(과거)'!$A:$F,$2:$2,0),0)</f>
        <v>0</v>
      </c>
      <c r="I991" s="207">
        <f>IF(ISNUMBER(VLOOKUP($B:$B,'IS(과거)'!$A:$F,$2:$2,0)),VLOOKUP($B:$B,'IS(과거)'!$A:$F,$2:$2,0),0)</f>
        <v>0</v>
      </c>
      <c r="J991" s="207">
        <f>IF(ISNUMBER(VLOOKUP($B:$B,'IS(과거)'!$A:$F,$2:$2,0)),VLOOKUP($B:$B,'IS(과거)'!$A:$F,$2:$2,0),0)</f>
        <v>0</v>
      </c>
      <c r="K991" s="207">
        <f>IF(ISNUMBER(VLOOKUP($B:$B,'IS(과거)'!$A:$F,$2:$2,0)),VLOOKUP($B:$B,'IS(과거)'!$A:$F,$2:$2,0),0)</f>
        <v>0</v>
      </c>
      <c r="L991" s="207">
        <f>IF(ISNUMBER(VLOOKUP($B:$B,'IS(과거)'!$A:$F,$2:$2,0)),VLOOKUP($B:$B,'IS(과거)'!$A:$F,$2:$2,0),0)</f>
        <v>0</v>
      </c>
      <c r="N991" s="207">
        <f>IF(ISNUMBER(VLOOKUP($B:$B,'IS(분기)'!$A:$F,$2:$2,0)),VLOOKUP($B:$B,'IS(분기)'!$A:$F,$2:$2,0),0)</f>
        <v>0</v>
      </c>
      <c r="O991" s="207">
        <f>IF(ISNUMBER(VLOOKUP($B:$B,'IS(분기)'!$A:$F,$2:$2,0)),VLOOKUP($B:$B,'IS(분기)'!$A:$F,$2:$2,0),0)</f>
        <v>0</v>
      </c>
      <c r="P991" s="207">
        <f>IF(ISNUMBER(VLOOKUP($B:$B,'IS(분기)'!$A:$F,$2:$2,0)),VLOOKUP($B:$B,'IS(분기)'!$A:$F,$2:$2,0),0)</f>
        <v>0</v>
      </c>
      <c r="Q991" s="207">
        <f>IF(ISNUMBER(VLOOKUP($B:$B,'IS(분기)'!$A:$F,$2:$2,0)),VLOOKUP($B:$B,'IS(분기)'!$A:$F,$2:$2,0),0)</f>
        <v>0</v>
      </c>
      <c r="R991" s="207">
        <f>IF(ISNUMBER(VLOOKUP($B:$B,'IS(분기)'!$A:$F,$2:$2,0)),VLOOKUP($B:$B,'IS(분기)'!$A:$F,$2:$2,0),0)</f>
        <v>0</v>
      </c>
    </row>
    <row r="992" spans="1:18" s="192" customFormat="1" ht="12">
      <c r="A992" s="201">
        <v>125190</v>
      </c>
      <c r="B992" s="194" t="s">
        <v>694</v>
      </c>
      <c r="C992" s="217">
        <f>IF(ISNUMBER(VLOOKUP($B:$B,IS!$A:$F,$2:$2,0)),VLOOKUP($B:$B,IS!$A:$F,$2:$2,0),0)</f>
        <v>0</v>
      </c>
      <c r="D992" s="217">
        <f>IF(ISNUMBER(VLOOKUP($B:$B,IS!$A:$F,$2:$2,0)),VLOOKUP($B:$B,IS!$A:$F,$2:$2,0),0)</f>
        <v>0</v>
      </c>
      <c r="E992" s="217">
        <f>IF(ISNUMBER(VLOOKUP($B:$B,IS!$A:$F,$2:$2,0)),VLOOKUP($B:$B,IS!$A:$F,$2:$2,0),0)</f>
        <v>0</v>
      </c>
      <c r="F992" s="217">
        <f>IF(ISNUMBER(VLOOKUP($B:$B,IS!$A:$F,$2:$2,0)),VLOOKUP($B:$B,IS!$A:$F,$2:$2,0),0)</f>
        <v>0</v>
      </c>
      <c r="G992" s="217">
        <f>IF(ISNUMBER(VLOOKUP($B:$B,IS!$A:$F,$2:$2,0)),VLOOKUP($B:$B,IS!$A:$F,$2:$2,0),0)</f>
        <v>0</v>
      </c>
      <c r="H992" s="207">
        <f>IF(ISNUMBER(VLOOKUP($B:$B,'IS(과거)'!$A:$F,$2:$2,0)),VLOOKUP($B:$B,'IS(과거)'!$A:$F,$2:$2,0),0)</f>
        <v>0</v>
      </c>
      <c r="I992" s="207">
        <f>IF(ISNUMBER(VLOOKUP($B:$B,'IS(과거)'!$A:$F,$2:$2,0)),VLOOKUP($B:$B,'IS(과거)'!$A:$F,$2:$2,0),0)</f>
        <v>0</v>
      </c>
      <c r="J992" s="207">
        <f>IF(ISNUMBER(VLOOKUP($B:$B,'IS(과거)'!$A:$F,$2:$2,0)),VLOOKUP($B:$B,'IS(과거)'!$A:$F,$2:$2,0),0)</f>
        <v>0</v>
      </c>
      <c r="K992" s="207">
        <f>IF(ISNUMBER(VLOOKUP($B:$B,'IS(과거)'!$A:$F,$2:$2,0)),VLOOKUP($B:$B,'IS(과거)'!$A:$F,$2:$2,0),0)</f>
        <v>0</v>
      </c>
      <c r="L992" s="207">
        <f>IF(ISNUMBER(VLOOKUP($B:$B,'IS(과거)'!$A:$F,$2:$2,0)),VLOOKUP($B:$B,'IS(과거)'!$A:$F,$2:$2,0),0)</f>
        <v>0</v>
      </c>
      <c r="N992" s="207">
        <f>IF(ISNUMBER(VLOOKUP($B:$B,'IS(분기)'!$A:$F,$2:$2,0)),VLOOKUP($B:$B,'IS(분기)'!$A:$F,$2:$2,0),0)</f>
        <v>0</v>
      </c>
      <c r="O992" s="207">
        <f>IF(ISNUMBER(VLOOKUP($B:$B,'IS(분기)'!$A:$F,$2:$2,0)),VLOOKUP($B:$B,'IS(분기)'!$A:$F,$2:$2,0),0)</f>
        <v>0</v>
      </c>
      <c r="P992" s="207">
        <f>IF(ISNUMBER(VLOOKUP($B:$B,'IS(분기)'!$A:$F,$2:$2,0)),VLOOKUP($B:$B,'IS(분기)'!$A:$F,$2:$2,0),0)</f>
        <v>0</v>
      </c>
      <c r="Q992" s="207">
        <f>IF(ISNUMBER(VLOOKUP($B:$B,'IS(분기)'!$A:$F,$2:$2,0)),VLOOKUP($B:$B,'IS(분기)'!$A:$F,$2:$2,0),0)</f>
        <v>0</v>
      </c>
      <c r="R992" s="207">
        <f>IF(ISNUMBER(VLOOKUP($B:$B,'IS(분기)'!$A:$F,$2:$2,0)),VLOOKUP($B:$B,'IS(분기)'!$A:$F,$2:$2,0),0)</f>
        <v>0</v>
      </c>
    </row>
    <row r="993" spans="1:18" s="192" customFormat="1" ht="12">
      <c r="A993" s="201">
        <v>125191</v>
      </c>
      <c r="B993" s="194" t="s">
        <v>695</v>
      </c>
      <c r="C993" s="217">
        <f>IF(ISNUMBER(VLOOKUP($B:$B,IS!$A:$F,$2:$2,0)),VLOOKUP($B:$B,IS!$A:$F,$2:$2,0),0)</f>
        <v>0</v>
      </c>
      <c r="D993" s="217">
        <f>IF(ISNUMBER(VLOOKUP($B:$B,IS!$A:$F,$2:$2,0)),VLOOKUP($B:$B,IS!$A:$F,$2:$2,0),0)</f>
        <v>0</v>
      </c>
      <c r="E993" s="217">
        <f>IF(ISNUMBER(VLOOKUP($B:$B,IS!$A:$F,$2:$2,0)),VLOOKUP($B:$B,IS!$A:$F,$2:$2,0),0)</f>
        <v>0</v>
      </c>
      <c r="F993" s="217">
        <f>IF(ISNUMBER(VLOOKUP($B:$B,IS!$A:$F,$2:$2,0)),VLOOKUP($B:$B,IS!$A:$F,$2:$2,0),0)</f>
        <v>0</v>
      </c>
      <c r="G993" s="217">
        <f>IF(ISNUMBER(VLOOKUP($B:$B,IS!$A:$F,$2:$2,0)),VLOOKUP($B:$B,IS!$A:$F,$2:$2,0),0)</f>
        <v>0</v>
      </c>
      <c r="H993" s="207">
        <f>IF(ISNUMBER(VLOOKUP($B:$B,'IS(과거)'!$A:$F,$2:$2,0)),VLOOKUP($B:$B,'IS(과거)'!$A:$F,$2:$2,0),0)</f>
        <v>0</v>
      </c>
      <c r="I993" s="207">
        <f>IF(ISNUMBER(VLOOKUP($B:$B,'IS(과거)'!$A:$F,$2:$2,0)),VLOOKUP($B:$B,'IS(과거)'!$A:$F,$2:$2,0),0)</f>
        <v>0</v>
      </c>
      <c r="J993" s="207">
        <f>IF(ISNUMBER(VLOOKUP($B:$B,'IS(과거)'!$A:$F,$2:$2,0)),VLOOKUP($B:$B,'IS(과거)'!$A:$F,$2:$2,0),0)</f>
        <v>0</v>
      </c>
      <c r="K993" s="207">
        <f>IF(ISNUMBER(VLOOKUP($B:$B,'IS(과거)'!$A:$F,$2:$2,0)),VLOOKUP($B:$B,'IS(과거)'!$A:$F,$2:$2,0),0)</f>
        <v>0</v>
      </c>
      <c r="L993" s="207">
        <f>IF(ISNUMBER(VLOOKUP($B:$B,'IS(과거)'!$A:$F,$2:$2,0)),VLOOKUP($B:$B,'IS(과거)'!$A:$F,$2:$2,0),0)</f>
        <v>0</v>
      </c>
      <c r="N993" s="207">
        <f>IF(ISNUMBER(VLOOKUP($B:$B,'IS(분기)'!$A:$F,$2:$2,0)),VLOOKUP($B:$B,'IS(분기)'!$A:$F,$2:$2,0),0)</f>
        <v>0</v>
      </c>
      <c r="O993" s="207">
        <f>IF(ISNUMBER(VLOOKUP($B:$B,'IS(분기)'!$A:$F,$2:$2,0)),VLOOKUP($B:$B,'IS(분기)'!$A:$F,$2:$2,0),0)</f>
        <v>0</v>
      </c>
      <c r="P993" s="207">
        <f>IF(ISNUMBER(VLOOKUP($B:$B,'IS(분기)'!$A:$F,$2:$2,0)),VLOOKUP($B:$B,'IS(분기)'!$A:$F,$2:$2,0),0)</f>
        <v>0</v>
      </c>
      <c r="Q993" s="207">
        <f>IF(ISNUMBER(VLOOKUP($B:$B,'IS(분기)'!$A:$F,$2:$2,0)),VLOOKUP($B:$B,'IS(분기)'!$A:$F,$2:$2,0),0)</f>
        <v>0</v>
      </c>
      <c r="R993" s="207">
        <f>IF(ISNUMBER(VLOOKUP($B:$B,'IS(분기)'!$A:$F,$2:$2,0)),VLOOKUP($B:$B,'IS(분기)'!$A:$F,$2:$2,0),0)</f>
        <v>0</v>
      </c>
    </row>
    <row r="994" spans="1:18" s="192" customFormat="1" ht="12">
      <c r="A994" s="201">
        <v>125129</v>
      </c>
      <c r="B994" s="194" t="s">
        <v>696</v>
      </c>
      <c r="C994" s="217">
        <f>IF(ISNUMBER(VLOOKUP($B:$B,IS!$A:$F,$2:$2,0)),VLOOKUP($B:$B,IS!$A:$F,$2:$2,0),0)</f>
        <v>0</v>
      </c>
      <c r="D994" s="217">
        <f>IF(ISNUMBER(VLOOKUP($B:$B,IS!$A:$F,$2:$2,0)),VLOOKUP($B:$B,IS!$A:$F,$2:$2,0),0)</f>
        <v>0</v>
      </c>
      <c r="E994" s="217">
        <f>IF(ISNUMBER(VLOOKUP($B:$B,IS!$A:$F,$2:$2,0)),VLOOKUP($B:$B,IS!$A:$F,$2:$2,0),0)</f>
        <v>0</v>
      </c>
      <c r="F994" s="217">
        <f>IF(ISNUMBER(VLOOKUP($B:$B,IS!$A:$F,$2:$2,0)),VLOOKUP($B:$B,IS!$A:$F,$2:$2,0),0)</f>
        <v>0</v>
      </c>
      <c r="G994" s="217">
        <f>IF(ISNUMBER(VLOOKUP($B:$B,IS!$A:$F,$2:$2,0)),VLOOKUP($B:$B,IS!$A:$F,$2:$2,0),0)</f>
        <v>0</v>
      </c>
      <c r="H994" s="207">
        <f>IF(ISNUMBER(VLOOKUP($B:$B,'IS(과거)'!$A:$F,$2:$2,0)),VLOOKUP($B:$B,'IS(과거)'!$A:$F,$2:$2,0),0)</f>
        <v>0</v>
      </c>
      <c r="I994" s="207">
        <f>IF(ISNUMBER(VLOOKUP($B:$B,'IS(과거)'!$A:$F,$2:$2,0)),VLOOKUP($B:$B,'IS(과거)'!$A:$F,$2:$2,0),0)</f>
        <v>0</v>
      </c>
      <c r="J994" s="207">
        <f>IF(ISNUMBER(VLOOKUP($B:$B,'IS(과거)'!$A:$F,$2:$2,0)),VLOOKUP($B:$B,'IS(과거)'!$A:$F,$2:$2,0),0)</f>
        <v>0</v>
      </c>
      <c r="K994" s="207">
        <f>IF(ISNUMBER(VLOOKUP($B:$B,'IS(과거)'!$A:$F,$2:$2,0)),VLOOKUP($B:$B,'IS(과거)'!$A:$F,$2:$2,0),0)</f>
        <v>0</v>
      </c>
      <c r="L994" s="207">
        <f>IF(ISNUMBER(VLOOKUP($B:$B,'IS(과거)'!$A:$F,$2:$2,0)),VLOOKUP($B:$B,'IS(과거)'!$A:$F,$2:$2,0),0)</f>
        <v>0</v>
      </c>
      <c r="N994" s="207">
        <f>IF(ISNUMBER(VLOOKUP($B:$B,'IS(분기)'!$A:$F,$2:$2,0)),VLOOKUP($B:$B,'IS(분기)'!$A:$F,$2:$2,0),0)</f>
        <v>0</v>
      </c>
      <c r="O994" s="207">
        <f>IF(ISNUMBER(VLOOKUP($B:$B,'IS(분기)'!$A:$F,$2:$2,0)),VLOOKUP($B:$B,'IS(분기)'!$A:$F,$2:$2,0),0)</f>
        <v>0</v>
      </c>
      <c r="P994" s="207">
        <f>IF(ISNUMBER(VLOOKUP($B:$B,'IS(분기)'!$A:$F,$2:$2,0)),VLOOKUP($B:$B,'IS(분기)'!$A:$F,$2:$2,0),0)</f>
        <v>0</v>
      </c>
      <c r="Q994" s="207">
        <f>IF(ISNUMBER(VLOOKUP($B:$B,'IS(분기)'!$A:$F,$2:$2,0)),VLOOKUP($B:$B,'IS(분기)'!$A:$F,$2:$2,0),0)</f>
        <v>0</v>
      </c>
      <c r="R994" s="207">
        <f>IF(ISNUMBER(VLOOKUP($B:$B,'IS(분기)'!$A:$F,$2:$2,0)),VLOOKUP($B:$B,'IS(분기)'!$A:$F,$2:$2,0),0)</f>
        <v>0</v>
      </c>
    </row>
    <row r="995" spans="1:18" s="192" customFormat="1" ht="12">
      <c r="A995" s="201">
        <v>125150</v>
      </c>
      <c r="B995" s="194" t="s">
        <v>697</v>
      </c>
      <c r="C995" s="217">
        <f>IF(ISNUMBER(VLOOKUP($B:$B,IS!$A:$F,$2:$2,0)),VLOOKUP($B:$B,IS!$A:$F,$2:$2,0),0)</f>
        <v>0</v>
      </c>
      <c r="D995" s="217">
        <f>IF(ISNUMBER(VLOOKUP($B:$B,IS!$A:$F,$2:$2,0)),VLOOKUP($B:$B,IS!$A:$F,$2:$2,0),0)</f>
        <v>0</v>
      </c>
      <c r="E995" s="217">
        <f>IF(ISNUMBER(VLOOKUP($B:$B,IS!$A:$F,$2:$2,0)),VLOOKUP($B:$B,IS!$A:$F,$2:$2,0),0)</f>
        <v>0</v>
      </c>
      <c r="F995" s="217">
        <f>IF(ISNUMBER(VLOOKUP($B:$B,IS!$A:$F,$2:$2,0)),VLOOKUP($B:$B,IS!$A:$F,$2:$2,0),0)</f>
        <v>0</v>
      </c>
      <c r="G995" s="217">
        <f>IF(ISNUMBER(VLOOKUP($B:$B,IS!$A:$F,$2:$2,0)),VLOOKUP($B:$B,IS!$A:$F,$2:$2,0),0)</f>
        <v>0</v>
      </c>
      <c r="H995" s="207">
        <f>IF(ISNUMBER(VLOOKUP($B:$B,'IS(과거)'!$A:$F,$2:$2,0)),VLOOKUP($B:$B,'IS(과거)'!$A:$F,$2:$2,0),0)</f>
        <v>0</v>
      </c>
      <c r="I995" s="207">
        <f>IF(ISNUMBER(VLOOKUP($B:$B,'IS(과거)'!$A:$F,$2:$2,0)),VLOOKUP($B:$B,'IS(과거)'!$A:$F,$2:$2,0),0)</f>
        <v>0</v>
      </c>
      <c r="J995" s="207">
        <f>IF(ISNUMBER(VLOOKUP($B:$B,'IS(과거)'!$A:$F,$2:$2,0)),VLOOKUP($B:$B,'IS(과거)'!$A:$F,$2:$2,0),0)</f>
        <v>0</v>
      </c>
      <c r="K995" s="207">
        <f>IF(ISNUMBER(VLOOKUP($B:$B,'IS(과거)'!$A:$F,$2:$2,0)),VLOOKUP($B:$B,'IS(과거)'!$A:$F,$2:$2,0),0)</f>
        <v>0</v>
      </c>
      <c r="L995" s="207">
        <f>IF(ISNUMBER(VLOOKUP($B:$B,'IS(과거)'!$A:$F,$2:$2,0)),VLOOKUP($B:$B,'IS(과거)'!$A:$F,$2:$2,0),0)</f>
        <v>0</v>
      </c>
      <c r="N995" s="207">
        <f>IF(ISNUMBER(VLOOKUP($B:$B,'IS(분기)'!$A:$F,$2:$2,0)),VLOOKUP($B:$B,'IS(분기)'!$A:$F,$2:$2,0),0)</f>
        <v>0</v>
      </c>
      <c r="O995" s="207">
        <f>IF(ISNUMBER(VLOOKUP($B:$B,'IS(분기)'!$A:$F,$2:$2,0)),VLOOKUP($B:$B,'IS(분기)'!$A:$F,$2:$2,0),0)</f>
        <v>0</v>
      </c>
      <c r="P995" s="207">
        <f>IF(ISNUMBER(VLOOKUP($B:$B,'IS(분기)'!$A:$F,$2:$2,0)),VLOOKUP($B:$B,'IS(분기)'!$A:$F,$2:$2,0),0)</f>
        <v>0</v>
      </c>
      <c r="Q995" s="207">
        <f>IF(ISNUMBER(VLOOKUP($B:$B,'IS(분기)'!$A:$F,$2:$2,0)),VLOOKUP($B:$B,'IS(분기)'!$A:$F,$2:$2,0),0)</f>
        <v>0</v>
      </c>
      <c r="R995" s="207">
        <f>IF(ISNUMBER(VLOOKUP($B:$B,'IS(분기)'!$A:$F,$2:$2,0)),VLOOKUP($B:$B,'IS(분기)'!$A:$F,$2:$2,0),0)</f>
        <v>0</v>
      </c>
    </row>
    <row r="996" spans="1:18" s="192" customFormat="1" ht="12">
      <c r="A996" s="201">
        <v>125138</v>
      </c>
      <c r="B996" s="194" t="s">
        <v>698</v>
      </c>
      <c r="C996" s="217">
        <f>IF(ISNUMBER(VLOOKUP($B:$B,IS!$A:$F,$2:$2,0)),VLOOKUP($B:$B,IS!$A:$F,$2:$2,0),0)</f>
        <v>0</v>
      </c>
      <c r="D996" s="217">
        <f>IF(ISNUMBER(VLOOKUP($B:$B,IS!$A:$F,$2:$2,0)),VLOOKUP($B:$B,IS!$A:$F,$2:$2,0),0)</f>
        <v>0</v>
      </c>
      <c r="E996" s="217">
        <f>IF(ISNUMBER(VLOOKUP($B:$B,IS!$A:$F,$2:$2,0)),VLOOKUP($B:$B,IS!$A:$F,$2:$2,0),0)</f>
        <v>0</v>
      </c>
      <c r="F996" s="217">
        <f>IF(ISNUMBER(VLOOKUP($B:$B,IS!$A:$F,$2:$2,0)),VLOOKUP($B:$B,IS!$A:$F,$2:$2,0),0)</f>
        <v>0</v>
      </c>
      <c r="G996" s="217">
        <f>IF(ISNUMBER(VLOOKUP($B:$B,IS!$A:$F,$2:$2,0)),VLOOKUP($B:$B,IS!$A:$F,$2:$2,0),0)</f>
        <v>0</v>
      </c>
      <c r="H996" s="207">
        <f>IF(ISNUMBER(VLOOKUP($B:$B,'IS(과거)'!$A:$F,$2:$2,0)),VLOOKUP($B:$B,'IS(과거)'!$A:$F,$2:$2,0),0)</f>
        <v>0</v>
      </c>
      <c r="I996" s="207">
        <f>IF(ISNUMBER(VLOOKUP($B:$B,'IS(과거)'!$A:$F,$2:$2,0)),VLOOKUP($B:$B,'IS(과거)'!$A:$F,$2:$2,0),0)</f>
        <v>0</v>
      </c>
      <c r="J996" s="207">
        <f>IF(ISNUMBER(VLOOKUP($B:$B,'IS(과거)'!$A:$F,$2:$2,0)),VLOOKUP($B:$B,'IS(과거)'!$A:$F,$2:$2,0),0)</f>
        <v>0</v>
      </c>
      <c r="K996" s="207">
        <f>IF(ISNUMBER(VLOOKUP($B:$B,'IS(과거)'!$A:$F,$2:$2,0)),VLOOKUP($B:$B,'IS(과거)'!$A:$F,$2:$2,0),0)</f>
        <v>0</v>
      </c>
      <c r="L996" s="207">
        <f>IF(ISNUMBER(VLOOKUP($B:$B,'IS(과거)'!$A:$F,$2:$2,0)),VLOOKUP($B:$B,'IS(과거)'!$A:$F,$2:$2,0),0)</f>
        <v>0</v>
      </c>
      <c r="N996" s="207">
        <f>IF(ISNUMBER(VLOOKUP($B:$B,'IS(분기)'!$A:$F,$2:$2,0)),VLOOKUP($B:$B,'IS(분기)'!$A:$F,$2:$2,0),0)</f>
        <v>0</v>
      </c>
      <c r="O996" s="207">
        <f>IF(ISNUMBER(VLOOKUP($B:$B,'IS(분기)'!$A:$F,$2:$2,0)),VLOOKUP($B:$B,'IS(분기)'!$A:$F,$2:$2,0),0)</f>
        <v>0</v>
      </c>
      <c r="P996" s="207">
        <f>IF(ISNUMBER(VLOOKUP($B:$B,'IS(분기)'!$A:$F,$2:$2,0)),VLOOKUP($B:$B,'IS(분기)'!$A:$F,$2:$2,0),0)</f>
        <v>0</v>
      </c>
      <c r="Q996" s="207">
        <f>IF(ISNUMBER(VLOOKUP($B:$B,'IS(분기)'!$A:$F,$2:$2,0)),VLOOKUP($B:$B,'IS(분기)'!$A:$F,$2:$2,0),0)</f>
        <v>0</v>
      </c>
      <c r="R996" s="207">
        <f>IF(ISNUMBER(VLOOKUP($B:$B,'IS(분기)'!$A:$F,$2:$2,0)),VLOOKUP($B:$B,'IS(분기)'!$A:$F,$2:$2,0),0)</f>
        <v>0</v>
      </c>
    </row>
    <row r="997" spans="1:18" s="192" customFormat="1" ht="12">
      <c r="A997" s="201">
        <v>125140</v>
      </c>
      <c r="B997" s="194" t="s">
        <v>699</v>
      </c>
      <c r="C997" s="217">
        <f>IF(ISNUMBER(VLOOKUP($B:$B,IS!$A:$F,$2:$2,0)),VLOOKUP($B:$B,IS!$A:$F,$2:$2,0),0)</f>
        <v>0</v>
      </c>
      <c r="D997" s="217">
        <f>IF(ISNUMBER(VLOOKUP($B:$B,IS!$A:$F,$2:$2,0)),VLOOKUP($B:$B,IS!$A:$F,$2:$2,0),0)</f>
        <v>0</v>
      </c>
      <c r="E997" s="217">
        <f>IF(ISNUMBER(VLOOKUP($B:$B,IS!$A:$F,$2:$2,0)),VLOOKUP($B:$B,IS!$A:$F,$2:$2,0),0)</f>
        <v>0</v>
      </c>
      <c r="F997" s="217">
        <f>IF(ISNUMBER(VLOOKUP($B:$B,IS!$A:$F,$2:$2,0)),VLOOKUP($B:$B,IS!$A:$F,$2:$2,0),0)</f>
        <v>0</v>
      </c>
      <c r="G997" s="217">
        <f>IF(ISNUMBER(VLOOKUP($B:$B,IS!$A:$F,$2:$2,0)),VLOOKUP($B:$B,IS!$A:$F,$2:$2,0),0)</f>
        <v>0</v>
      </c>
      <c r="H997" s="207">
        <f>IF(ISNUMBER(VLOOKUP($B:$B,'IS(과거)'!$A:$F,$2:$2,0)),VLOOKUP($B:$B,'IS(과거)'!$A:$F,$2:$2,0),0)</f>
        <v>0</v>
      </c>
      <c r="I997" s="207">
        <f>IF(ISNUMBER(VLOOKUP($B:$B,'IS(과거)'!$A:$F,$2:$2,0)),VLOOKUP($B:$B,'IS(과거)'!$A:$F,$2:$2,0),0)</f>
        <v>0</v>
      </c>
      <c r="J997" s="207">
        <f>IF(ISNUMBER(VLOOKUP($B:$B,'IS(과거)'!$A:$F,$2:$2,0)),VLOOKUP($B:$B,'IS(과거)'!$A:$F,$2:$2,0),0)</f>
        <v>0</v>
      </c>
      <c r="K997" s="207">
        <f>IF(ISNUMBER(VLOOKUP($B:$B,'IS(과거)'!$A:$F,$2:$2,0)),VLOOKUP($B:$B,'IS(과거)'!$A:$F,$2:$2,0),0)</f>
        <v>0</v>
      </c>
      <c r="L997" s="207">
        <f>IF(ISNUMBER(VLOOKUP($B:$B,'IS(과거)'!$A:$F,$2:$2,0)),VLOOKUP($B:$B,'IS(과거)'!$A:$F,$2:$2,0),0)</f>
        <v>0</v>
      </c>
      <c r="N997" s="207">
        <f>IF(ISNUMBER(VLOOKUP($B:$B,'IS(분기)'!$A:$F,$2:$2,0)),VLOOKUP($B:$B,'IS(분기)'!$A:$F,$2:$2,0),0)</f>
        <v>0</v>
      </c>
      <c r="O997" s="207">
        <f>IF(ISNUMBER(VLOOKUP($B:$B,'IS(분기)'!$A:$F,$2:$2,0)),VLOOKUP($B:$B,'IS(분기)'!$A:$F,$2:$2,0),0)</f>
        <v>0</v>
      </c>
      <c r="P997" s="207">
        <f>IF(ISNUMBER(VLOOKUP($B:$B,'IS(분기)'!$A:$F,$2:$2,0)),VLOOKUP($B:$B,'IS(분기)'!$A:$F,$2:$2,0),0)</f>
        <v>0</v>
      </c>
      <c r="Q997" s="207">
        <f>IF(ISNUMBER(VLOOKUP($B:$B,'IS(분기)'!$A:$F,$2:$2,0)),VLOOKUP($B:$B,'IS(분기)'!$A:$F,$2:$2,0),0)</f>
        <v>0</v>
      </c>
      <c r="R997" s="207">
        <f>IF(ISNUMBER(VLOOKUP($B:$B,'IS(분기)'!$A:$F,$2:$2,0)),VLOOKUP($B:$B,'IS(분기)'!$A:$F,$2:$2,0),0)</f>
        <v>0</v>
      </c>
    </row>
    <row r="998" spans="1:18" s="192" customFormat="1" ht="12">
      <c r="A998" s="201">
        <v>125134</v>
      </c>
      <c r="B998" s="194" t="s">
        <v>700</v>
      </c>
      <c r="C998" s="217">
        <f>IF(ISNUMBER(VLOOKUP($B:$B,IS!$A:$F,$2:$2,0)),VLOOKUP($B:$B,IS!$A:$F,$2:$2,0),0)</f>
        <v>0</v>
      </c>
      <c r="D998" s="217">
        <f>IF(ISNUMBER(VLOOKUP($B:$B,IS!$A:$F,$2:$2,0)),VLOOKUP($B:$B,IS!$A:$F,$2:$2,0),0)</f>
        <v>0</v>
      </c>
      <c r="E998" s="217">
        <f>IF(ISNUMBER(VLOOKUP($B:$B,IS!$A:$F,$2:$2,0)),VLOOKUP($B:$B,IS!$A:$F,$2:$2,0),0)</f>
        <v>0</v>
      </c>
      <c r="F998" s="217">
        <f>IF(ISNUMBER(VLOOKUP($B:$B,IS!$A:$F,$2:$2,0)),VLOOKUP($B:$B,IS!$A:$F,$2:$2,0),0)</f>
        <v>0</v>
      </c>
      <c r="G998" s="217">
        <f>IF(ISNUMBER(VLOOKUP($B:$B,IS!$A:$F,$2:$2,0)),VLOOKUP($B:$B,IS!$A:$F,$2:$2,0),0)</f>
        <v>0</v>
      </c>
      <c r="H998" s="207">
        <f>IF(ISNUMBER(VLOOKUP($B:$B,'IS(과거)'!$A:$F,$2:$2,0)),VLOOKUP($B:$B,'IS(과거)'!$A:$F,$2:$2,0),0)</f>
        <v>0</v>
      </c>
      <c r="I998" s="207">
        <f>IF(ISNUMBER(VLOOKUP($B:$B,'IS(과거)'!$A:$F,$2:$2,0)),VLOOKUP($B:$B,'IS(과거)'!$A:$F,$2:$2,0),0)</f>
        <v>0</v>
      </c>
      <c r="J998" s="207">
        <f>IF(ISNUMBER(VLOOKUP($B:$B,'IS(과거)'!$A:$F,$2:$2,0)),VLOOKUP($B:$B,'IS(과거)'!$A:$F,$2:$2,0),0)</f>
        <v>0</v>
      </c>
      <c r="K998" s="207">
        <f>IF(ISNUMBER(VLOOKUP($B:$B,'IS(과거)'!$A:$F,$2:$2,0)),VLOOKUP($B:$B,'IS(과거)'!$A:$F,$2:$2,0),0)</f>
        <v>0</v>
      </c>
      <c r="L998" s="207">
        <f>IF(ISNUMBER(VLOOKUP($B:$B,'IS(과거)'!$A:$F,$2:$2,0)),VLOOKUP($B:$B,'IS(과거)'!$A:$F,$2:$2,0),0)</f>
        <v>0</v>
      </c>
      <c r="N998" s="207">
        <f>IF(ISNUMBER(VLOOKUP($B:$B,'IS(분기)'!$A:$F,$2:$2,0)),VLOOKUP($B:$B,'IS(분기)'!$A:$F,$2:$2,0),0)</f>
        <v>0</v>
      </c>
      <c r="O998" s="207">
        <f>IF(ISNUMBER(VLOOKUP($B:$B,'IS(분기)'!$A:$F,$2:$2,0)),VLOOKUP($B:$B,'IS(분기)'!$A:$F,$2:$2,0),0)</f>
        <v>0</v>
      </c>
      <c r="P998" s="207">
        <f>IF(ISNUMBER(VLOOKUP($B:$B,'IS(분기)'!$A:$F,$2:$2,0)),VLOOKUP($B:$B,'IS(분기)'!$A:$F,$2:$2,0),0)</f>
        <v>0</v>
      </c>
      <c r="Q998" s="207">
        <f>IF(ISNUMBER(VLOOKUP($B:$B,'IS(분기)'!$A:$F,$2:$2,0)),VLOOKUP($B:$B,'IS(분기)'!$A:$F,$2:$2,0),0)</f>
        <v>0</v>
      </c>
      <c r="R998" s="207">
        <f>IF(ISNUMBER(VLOOKUP($B:$B,'IS(분기)'!$A:$F,$2:$2,0)),VLOOKUP($B:$B,'IS(분기)'!$A:$F,$2:$2,0),0)</f>
        <v>0</v>
      </c>
    </row>
    <row r="999" spans="1:18" s="192" customFormat="1" ht="12">
      <c r="A999" s="201">
        <v>125135</v>
      </c>
      <c r="B999" s="194" t="s">
        <v>701</v>
      </c>
      <c r="C999" s="217">
        <f>IF(ISNUMBER(VLOOKUP($B:$B,IS!$A:$F,$2:$2,0)),VLOOKUP($B:$B,IS!$A:$F,$2:$2,0),0)</f>
        <v>0</v>
      </c>
      <c r="D999" s="217">
        <f>IF(ISNUMBER(VLOOKUP($B:$B,IS!$A:$F,$2:$2,0)),VLOOKUP($B:$B,IS!$A:$F,$2:$2,0),0)</f>
        <v>0</v>
      </c>
      <c r="E999" s="217">
        <f>IF(ISNUMBER(VLOOKUP($B:$B,IS!$A:$F,$2:$2,0)),VLOOKUP($B:$B,IS!$A:$F,$2:$2,0),0)</f>
        <v>0</v>
      </c>
      <c r="F999" s="217">
        <f>IF(ISNUMBER(VLOOKUP($B:$B,IS!$A:$F,$2:$2,0)),VLOOKUP($B:$B,IS!$A:$F,$2:$2,0),0)</f>
        <v>0</v>
      </c>
      <c r="G999" s="217">
        <f>IF(ISNUMBER(VLOOKUP($B:$B,IS!$A:$F,$2:$2,0)),VLOOKUP($B:$B,IS!$A:$F,$2:$2,0),0)</f>
        <v>0</v>
      </c>
      <c r="H999" s="207">
        <f>IF(ISNUMBER(VLOOKUP($B:$B,'IS(과거)'!$A:$F,$2:$2,0)),VLOOKUP($B:$B,'IS(과거)'!$A:$F,$2:$2,0),0)</f>
        <v>0</v>
      </c>
      <c r="I999" s="207">
        <f>IF(ISNUMBER(VLOOKUP($B:$B,'IS(과거)'!$A:$F,$2:$2,0)),VLOOKUP($B:$B,'IS(과거)'!$A:$F,$2:$2,0),0)</f>
        <v>0</v>
      </c>
      <c r="J999" s="207">
        <f>IF(ISNUMBER(VLOOKUP($B:$B,'IS(과거)'!$A:$F,$2:$2,0)),VLOOKUP($B:$B,'IS(과거)'!$A:$F,$2:$2,0),0)</f>
        <v>0</v>
      </c>
      <c r="K999" s="207">
        <f>IF(ISNUMBER(VLOOKUP($B:$B,'IS(과거)'!$A:$F,$2:$2,0)),VLOOKUP($B:$B,'IS(과거)'!$A:$F,$2:$2,0),0)</f>
        <v>0</v>
      </c>
      <c r="L999" s="207">
        <f>IF(ISNUMBER(VLOOKUP($B:$B,'IS(과거)'!$A:$F,$2:$2,0)),VLOOKUP($B:$B,'IS(과거)'!$A:$F,$2:$2,0),0)</f>
        <v>0</v>
      </c>
      <c r="N999" s="207">
        <f>IF(ISNUMBER(VLOOKUP($B:$B,'IS(분기)'!$A:$F,$2:$2,0)),VLOOKUP($B:$B,'IS(분기)'!$A:$F,$2:$2,0),0)</f>
        <v>0</v>
      </c>
      <c r="O999" s="207">
        <f>IF(ISNUMBER(VLOOKUP($B:$B,'IS(분기)'!$A:$F,$2:$2,0)),VLOOKUP($B:$B,'IS(분기)'!$A:$F,$2:$2,0),0)</f>
        <v>0</v>
      </c>
      <c r="P999" s="207">
        <f>IF(ISNUMBER(VLOOKUP($B:$B,'IS(분기)'!$A:$F,$2:$2,0)),VLOOKUP($B:$B,'IS(분기)'!$A:$F,$2:$2,0),0)</f>
        <v>0</v>
      </c>
      <c r="Q999" s="207">
        <f>IF(ISNUMBER(VLOOKUP($B:$B,'IS(분기)'!$A:$F,$2:$2,0)),VLOOKUP($B:$B,'IS(분기)'!$A:$F,$2:$2,0),0)</f>
        <v>0</v>
      </c>
      <c r="R999" s="207">
        <f>IF(ISNUMBER(VLOOKUP($B:$B,'IS(분기)'!$A:$F,$2:$2,0)),VLOOKUP($B:$B,'IS(분기)'!$A:$F,$2:$2,0),0)</f>
        <v>0</v>
      </c>
    </row>
    <row r="1000" spans="1:18" s="192" customFormat="1" ht="12">
      <c r="A1000" s="201">
        <v>125136</v>
      </c>
      <c r="B1000" s="194" t="s">
        <v>702</v>
      </c>
      <c r="C1000" s="217">
        <f>IF(ISNUMBER(VLOOKUP($B:$B,IS!$A:$F,$2:$2,0)),VLOOKUP($B:$B,IS!$A:$F,$2:$2,0),0)</f>
        <v>0</v>
      </c>
      <c r="D1000" s="217">
        <f>IF(ISNUMBER(VLOOKUP($B:$B,IS!$A:$F,$2:$2,0)),VLOOKUP($B:$B,IS!$A:$F,$2:$2,0),0)</f>
        <v>0</v>
      </c>
      <c r="E1000" s="217">
        <f>IF(ISNUMBER(VLOOKUP($B:$B,IS!$A:$F,$2:$2,0)),VLOOKUP($B:$B,IS!$A:$F,$2:$2,0),0)</f>
        <v>0</v>
      </c>
      <c r="F1000" s="217">
        <f>IF(ISNUMBER(VLOOKUP($B:$B,IS!$A:$F,$2:$2,0)),VLOOKUP($B:$B,IS!$A:$F,$2:$2,0),0)</f>
        <v>0</v>
      </c>
      <c r="G1000" s="217">
        <f>IF(ISNUMBER(VLOOKUP($B:$B,IS!$A:$F,$2:$2,0)),VLOOKUP($B:$B,IS!$A:$F,$2:$2,0),0)</f>
        <v>0</v>
      </c>
      <c r="H1000" s="207">
        <f>IF(ISNUMBER(VLOOKUP($B:$B,'IS(과거)'!$A:$F,$2:$2,0)),VLOOKUP($B:$B,'IS(과거)'!$A:$F,$2:$2,0),0)</f>
        <v>0</v>
      </c>
      <c r="I1000" s="207">
        <f>IF(ISNUMBER(VLOOKUP($B:$B,'IS(과거)'!$A:$F,$2:$2,0)),VLOOKUP($B:$B,'IS(과거)'!$A:$F,$2:$2,0),0)</f>
        <v>0</v>
      </c>
      <c r="J1000" s="207">
        <f>IF(ISNUMBER(VLOOKUP($B:$B,'IS(과거)'!$A:$F,$2:$2,0)),VLOOKUP($B:$B,'IS(과거)'!$A:$F,$2:$2,0),0)</f>
        <v>0</v>
      </c>
      <c r="K1000" s="207">
        <f>IF(ISNUMBER(VLOOKUP($B:$B,'IS(과거)'!$A:$F,$2:$2,0)),VLOOKUP($B:$B,'IS(과거)'!$A:$F,$2:$2,0),0)</f>
        <v>0</v>
      </c>
      <c r="L1000" s="207">
        <f>IF(ISNUMBER(VLOOKUP($B:$B,'IS(과거)'!$A:$F,$2:$2,0)),VLOOKUP($B:$B,'IS(과거)'!$A:$F,$2:$2,0),0)</f>
        <v>0</v>
      </c>
      <c r="N1000" s="207">
        <f>IF(ISNUMBER(VLOOKUP($B:$B,'IS(분기)'!$A:$F,$2:$2,0)),VLOOKUP($B:$B,'IS(분기)'!$A:$F,$2:$2,0),0)</f>
        <v>0</v>
      </c>
      <c r="O1000" s="207">
        <f>IF(ISNUMBER(VLOOKUP($B:$B,'IS(분기)'!$A:$F,$2:$2,0)),VLOOKUP($B:$B,'IS(분기)'!$A:$F,$2:$2,0),0)</f>
        <v>0</v>
      </c>
      <c r="P1000" s="207">
        <f>IF(ISNUMBER(VLOOKUP($B:$B,'IS(분기)'!$A:$F,$2:$2,0)),VLOOKUP($B:$B,'IS(분기)'!$A:$F,$2:$2,0),0)</f>
        <v>0</v>
      </c>
      <c r="Q1000" s="207">
        <f>IF(ISNUMBER(VLOOKUP($B:$B,'IS(분기)'!$A:$F,$2:$2,0)),VLOOKUP($B:$B,'IS(분기)'!$A:$F,$2:$2,0),0)</f>
        <v>0</v>
      </c>
      <c r="R1000" s="207">
        <f>IF(ISNUMBER(VLOOKUP($B:$B,'IS(분기)'!$A:$F,$2:$2,0)),VLOOKUP($B:$B,'IS(분기)'!$A:$F,$2:$2,0),0)</f>
        <v>0</v>
      </c>
    </row>
    <row r="1001" spans="1:18" s="192" customFormat="1" ht="12">
      <c r="A1001" s="201">
        <v>125137</v>
      </c>
      <c r="B1001" s="194" t="s">
        <v>703</v>
      </c>
      <c r="C1001" s="217">
        <f>IF(ISNUMBER(VLOOKUP($B:$B,IS!$A:$F,$2:$2,0)),VLOOKUP($B:$B,IS!$A:$F,$2:$2,0),0)</f>
        <v>0</v>
      </c>
      <c r="D1001" s="217">
        <f>IF(ISNUMBER(VLOOKUP($B:$B,IS!$A:$F,$2:$2,0)),VLOOKUP($B:$B,IS!$A:$F,$2:$2,0),0)</f>
        <v>0</v>
      </c>
      <c r="E1001" s="217">
        <f>IF(ISNUMBER(VLOOKUP($B:$B,IS!$A:$F,$2:$2,0)),VLOOKUP($B:$B,IS!$A:$F,$2:$2,0),0)</f>
        <v>0</v>
      </c>
      <c r="F1001" s="217">
        <f>IF(ISNUMBER(VLOOKUP($B:$B,IS!$A:$F,$2:$2,0)),VLOOKUP($B:$B,IS!$A:$F,$2:$2,0),0)</f>
        <v>0</v>
      </c>
      <c r="G1001" s="217">
        <f>IF(ISNUMBER(VLOOKUP($B:$B,IS!$A:$F,$2:$2,0)),VLOOKUP($B:$B,IS!$A:$F,$2:$2,0),0)</f>
        <v>0</v>
      </c>
      <c r="H1001" s="207">
        <f>IF(ISNUMBER(VLOOKUP($B:$B,'IS(과거)'!$A:$F,$2:$2,0)),VLOOKUP($B:$B,'IS(과거)'!$A:$F,$2:$2,0),0)</f>
        <v>0</v>
      </c>
      <c r="I1001" s="207">
        <f>IF(ISNUMBER(VLOOKUP($B:$B,'IS(과거)'!$A:$F,$2:$2,0)),VLOOKUP($B:$B,'IS(과거)'!$A:$F,$2:$2,0),0)</f>
        <v>0</v>
      </c>
      <c r="J1001" s="207">
        <f>IF(ISNUMBER(VLOOKUP($B:$B,'IS(과거)'!$A:$F,$2:$2,0)),VLOOKUP($B:$B,'IS(과거)'!$A:$F,$2:$2,0),0)</f>
        <v>0</v>
      </c>
      <c r="K1001" s="207">
        <f>IF(ISNUMBER(VLOOKUP($B:$B,'IS(과거)'!$A:$F,$2:$2,0)),VLOOKUP($B:$B,'IS(과거)'!$A:$F,$2:$2,0),0)</f>
        <v>0</v>
      </c>
      <c r="L1001" s="207">
        <f>IF(ISNUMBER(VLOOKUP($B:$B,'IS(과거)'!$A:$F,$2:$2,0)),VLOOKUP($B:$B,'IS(과거)'!$A:$F,$2:$2,0),0)</f>
        <v>0</v>
      </c>
      <c r="N1001" s="207">
        <f>IF(ISNUMBER(VLOOKUP($B:$B,'IS(분기)'!$A:$F,$2:$2,0)),VLOOKUP($B:$B,'IS(분기)'!$A:$F,$2:$2,0),0)</f>
        <v>0</v>
      </c>
      <c r="O1001" s="207">
        <f>IF(ISNUMBER(VLOOKUP($B:$B,'IS(분기)'!$A:$F,$2:$2,0)),VLOOKUP($B:$B,'IS(분기)'!$A:$F,$2:$2,0),0)</f>
        <v>0</v>
      </c>
      <c r="P1001" s="207">
        <f>IF(ISNUMBER(VLOOKUP($B:$B,'IS(분기)'!$A:$F,$2:$2,0)),VLOOKUP($B:$B,'IS(분기)'!$A:$F,$2:$2,0),0)</f>
        <v>0</v>
      </c>
      <c r="Q1001" s="207">
        <f>IF(ISNUMBER(VLOOKUP($B:$B,'IS(분기)'!$A:$F,$2:$2,0)),VLOOKUP($B:$B,'IS(분기)'!$A:$F,$2:$2,0),0)</f>
        <v>0</v>
      </c>
      <c r="R1001" s="207">
        <f>IF(ISNUMBER(VLOOKUP($B:$B,'IS(분기)'!$A:$F,$2:$2,0)),VLOOKUP($B:$B,'IS(분기)'!$A:$F,$2:$2,0),0)</f>
        <v>0</v>
      </c>
    </row>
    <row r="1002" spans="1:18" s="192" customFormat="1" ht="12">
      <c r="A1002" s="201">
        <v>125157</v>
      </c>
      <c r="B1002" s="194" t="s">
        <v>704</v>
      </c>
      <c r="C1002" s="217">
        <f>IF(ISNUMBER(VLOOKUP($B:$B,IS!$A:$F,$2:$2,0)),VLOOKUP($B:$B,IS!$A:$F,$2:$2,0),0)</f>
        <v>0</v>
      </c>
      <c r="D1002" s="217">
        <f>IF(ISNUMBER(VLOOKUP($B:$B,IS!$A:$F,$2:$2,0)),VLOOKUP($B:$B,IS!$A:$F,$2:$2,0),0)</f>
        <v>0</v>
      </c>
      <c r="E1002" s="217">
        <f>IF(ISNUMBER(VLOOKUP($B:$B,IS!$A:$F,$2:$2,0)),VLOOKUP($B:$B,IS!$A:$F,$2:$2,0),0)</f>
        <v>0</v>
      </c>
      <c r="F1002" s="217">
        <f>IF(ISNUMBER(VLOOKUP($B:$B,IS!$A:$F,$2:$2,0)),VLOOKUP($B:$B,IS!$A:$F,$2:$2,0),0)</f>
        <v>0</v>
      </c>
      <c r="G1002" s="217">
        <f>IF(ISNUMBER(VLOOKUP($B:$B,IS!$A:$F,$2:$2,0)),VLOOKUP($B:$B,IS!$A:$F,$2:$2,0),0)</f>
        <v>0</v>
      </c>
      <c r="H1002" s="207">
        <f>IF(ISNUMBER(VLOOKUP($B:$B,'IS(과거)'!$A:$F,$2:$2,0)),VLOOKUP($B:$B,'IS(과거)'!$A:$F,$2:$2,0),0)</f>
        <v>0</v>
      </c>
      <c r="I1002" s="207">
        <f>IF(ISNUMBER(VLOOKUP($B:$B,'IS(과거)'!$A:$F,$2:$2,0)),VLOOKUP($B:$B,'IS(과거)'!$A:$F,$2:$2,0),0)</f>
        <v>0</v>
      </c>
      <c r="J1002" s="207">
        <f>IF(ISNUMBER(VLOOKUP($B:$B,'IS(과거)'!$A:$F,$2:$2,0)),VLOOKUP($B:$B,'IS(과거)'!$A:$F,$2:$2,0),0)</f>
        <v>0</v>
      </c>
      <c r="K1002" s="207">
        <f>IF(ISNUMBER(VLOOKUP($B:$B,'IS(과거)'!$A:$F,$2:$2,0)),VLOOKUP($B:$B,'IS(과거)'!$A:$F,$2:$2,0),0)</f>
        <v>0</v>
      </c>
      <c r="L1002" s="207">
        <f>IF(ISNUMBER(VLOOKUP($B:$B,'IS(과거)'!$A:$F,$2:$2,0)),VLOOKUP($B:$B,'IS(과거)'!$A:$F,$2:$2,0),0)</f>
        <v>0</v>
      </c>
      <c r="N1002" s="207">
        <f>IF(ISNUMBER(VLOOKUP($B:$B,'IS(분기)'!$A:$F,$2:$2,0)),VLOOKUP($B:$B,'IS(분기)'!$A:$F,$2:$2,0),0)</f>
        <v>0</v>
      </c>
      <c r="O1002" s="207">
        <f>IF(ISNUMBER(VLOOKUP($B:$B,'IS(분기)'!$A:$F,$2:$2,0)),VLOOKUP($B:$B,'IS(분기)'!$A:$F,$2:$2,0),0)</f>
        <v>0</v>
      </c>
      <c r="P1002" s="207">
        <f>IF(ISNUMBER(VLOOKUP($B:$B,'IS(분기)'!$A:$F,$2:$2,0)),VLOOKUP($B:$B,'IS(분기)'!$A:$F,$2:$2,0),0)</f>
        <v>0</v>
      </c>
      <c r="Q1002" s="207">
        <f>IF(ISNUMBER(VLOOKUP($B:$B,'IS(분기)'!$A:$F,$2:$2,0)),VLOOKUP($B:$B,'IS(분기)'!$A:$F,$2:$2,0),0)</f>
        <v>0</v>
      </c>
      <c r="R1002" s="207">
        <f>IF(ISNUMBER(VLOOKUP($B:$B,'IS(분기)'!$A:$F,$2:$2,0)),VLOOKUP($B:$B,'IS(분기)'!$A:$F,$2:$2,0),0)</f>
        <v>0</v>
      </c>
    </row>
    <row r="1003" spans="1:18" s="192" customFormat="1" ht="12">
      <c r="A1003" s="201">
        <v>125158</v>
      </c>
      <c r="B1003" s="194" t="s">
        <v>705</v>
      </c>
      <c r="C1003" s="217">
        <f>IF(ISNUMBER(VLOOKUP($B:$B,IS!$A:$F,$2:$2,0)),VLOOKUP($B:$B,IS!$A:$F,$2:$2,0),0)</f>
        <v>0</v>
      </c>
      <c r="D1003" s="217">
        <f>IF(ISNUMBER(VLOOKUP($B:$B,IS!$A:$F,$2:$2,0)),VLOOKUP($B:$B,IS!$A:$F,$2:$2,0),0)</f>
        <v>0</v>
      </c>
      <c r="E1003" s="217">
        <f>IF(ISNUMBER(VLOOKUP($B:$B,IS!$A:$F,$2:$2,0)),VLOOKUP($B:$B,IS!$A:$F,$2:$2,0),0)</f>
        <v>0</v>
      </c>
      <c r="F1003" s="217">
        <f>IF(ISNUMBER(VLOOKUP($B:$B,IS!$A:$F,$2:$2,0)),VLOOKUP($B:$B,IS!$A:$F,$2:$2,0),0)</f>
        <v>0</v>
      </c>
      <c r="G1003" s="217">
        <f>IF(ISNUMBER(VLOOKUP($B:$B,IS!$A:$F,$2:$2,0)),VLOOKUP($B:$B,IS!$A:$F,$2:$2,0),0)</f>
        <v>0</v>
      </c>
      <c r="H1003" s="207">
        <f>IF(ISNUMBER(VLOOKUP($B:$B,'IS(과거)'!$A:$F,$2:$2,0)),VLOOKUP($B:$B,'IS(과거)'!$A:$F,$2:$2,0),0)</f>
        <v>0</v>
      </c>
      <c r="I1003" s="207">
        <f>IF(ISNUMBER(VLOOKUP($B:$B,'IS(과거)'!$A:$F,$2:$2,0)),VLOOKUP($B:$B,'IS(과거)'!$A:$F,$2:$2,0),0)</f>
        <v>0</v>
      </c>
      <c r="J1003" s="207">
        <f>IF(ISNUMBER(VLOOKUP($B:$B,'IS(과거)'!$A:$F,$2:$2,0)),VLOOKUP($B:$B,'IS(과거)'!$A:$F,$2:$2,0),0)</f>
        <v>0</v>
      </c>
      <c r="K1003" s="207">
        <f>IF(ISNUMBER(VLOOKUP($B:$B,'IS(과거)'!$A:$F,$2:$2,0)),VLOOKUP($B:$B,'IS(과거)'!$A:$F,$2:$2,0),0)</f>
        <v>0</v>
      </c>
      <c r="L1003" s="207">
        <f>IF(ISNUMBER(VLOOKUP($B:$B,'IS(과거)'!$A:$F,$2:$2,0)),VLOOKUP($B:$B,'IS(과거)'!$A:$F,$2:$2,0),0)</f>
        <v>0</v>
      </c>
      <c r="N1003" s="207">
        <f>IF(ISNUMBER(VLOOKUP($B:$B,'IS(분기)'!$A:$F,$2:$2,0)),VLOOKUP($B:$B,'IS(분기)'!$A:$F,$2:$2,0),0)</f>
        <v>0</v>
      </c>
      <c r="O1003" s="207">
        <f>IF(ISNUMBER(VLOOKUP($B:$B,'IS(분기)'!$A:$F,$2:$2,0)),VLOOKUP($B:$B,'IS(분기)'!$A:$F,$2:$2,0),0)</f>
        <v>0</v>
      </c>
      <c r="P1003" s="207">
        <f>IF(ISNUMBER(VLOOKUP($B:$B,'IS(분기)'!$A:$F,$2:$2,0)),VLOOKUP($B:$B,'IS(분기)'!$A:$F,$2:$2,0),0)</f>
        <v>0</v>
      </c>
      <c r="Q1003" s="207">
        <f>IF(ISNUMBER(VLOOKUP($B:$B,'IS(분기)'!$A:$F,$2:$2,0)),VLOOKUP($B:$B,'IS(분기)'!$A:$F,$2:$2,0),0)</f>
        <v>0</v>
      </c>
      <c r="R1003" s="207">
        <f>IF(ISNUMBER(VLOOKUP($B:$B,'IS(분기)'!$A:$F,$2:$2,0)),VLOOKUP($B:$B,'IS(분기)'!$A:$F,$2:$2,0),0)</f>
        <v>0</v>
      </c>
    </row>
    <row r="1004" spans="1:18" s="192" customFormat="1" ht="12">
      <c r="A1004" s="201">
        <v>125154</v>
      </c>
      <c r="B1004" s="194" t="s">
        <v>706</v>
      </c>
      <c r="C1004" s="217">
        <f>IF(ISNUMBER(VLOOKUP($B:$B,IS!$A:$F,$2:$2,0)),VLOOKUP($B:$B,IS!$A:$F,$2:$2,0),0)</f>
        <v>0</v>
      </c>
      <c r="D1004" s="217">
        <f>IF(ISNUMBER(VLOOKUP($B:$B,IS!$A:$F,$2:$2,0)),VLOOKUP($B:$B,IS!$A:$F,$2:$2,0),0)</f>
        <v>0</v>
      </c>
      <c r="E1004" s="217">
        <f>IF(ISNUMBER(VLOOKUP($B:$B,IS!$A:$F,$2:$2,0)),VLOOKUP($B:$B,IS!$A:$F,$2:$2,0),0)</f>
        <v>0</v>
      </c>
      <c r="F1004" s="217">
        <f>IF(ISNUMBER(VLOOKUP($B:$B,IS!$A:$F,$2:$2,0)),VLOOKUP($B:$B,IS!$A:$F,$2:$2,0),0)</f>
        <v>0</v>
      </c>
      <c r="G1004" s="217">
        <f>IF(ISNUMBER(VLOOKUP($B:$B,IS!$A:$F,$2:$2,0)),VLOOKUP($B:$B,IS!$A:$F,$2:$2,0),0)</f>
        <v>0</v>
      </c>
      <c r="H1004" s="207">
        <f>IF(ISNUMBER(VLOOKUP($B:$B,'IS(과거)'!$A:$F,$2:$2,0)),VLOOKUP($B:$B,'IS(과거)'!$A:$F,$2:$2,0),0)</f>
        <v>0</v>
      </c>
      <c r="I1004" s="207">
        <f>IF(ISNUMBER(VLOOKUP($B:$B,'IS(과거)'!$A:$F,$2:$2,0)),VLOOKUP($B:$B,'IS(과거)'!$A:$F,$2:$2,0),0)</f>
        <v>0</v>
      </c>
      <c r="J1004" s="207">
        <f>IF(ISNUMBER(VLOOKUP($B:$B,'IS(과거)'!$A:$F,$2:$2,0)),VLOOKUP($B:$B,'IS(과거)'!$A:$F,$2:$2,0),0)</f>
        <v>0</v>
      </c>
      <c r="K1004" s="207">
        <f>IF(ISNUMBER(VLOOKUP($B:$B,'IS(과거)'!$A:$F,$2:$2,0)),VLOOKUP($B:$B,'IS(과거)'!$A:$F,$2:$2,0),0)</f>
        <v>0</v>
      </c>
      <c r="L1004" s="207">
        <f>IF(ISNUMBER(VLOOKUP($B:$B,'IS(과거)'!$A:$F,$2:$2,0)),VLOOKUP($B:$B,'IS(과거)'!$A:$F,$2:$2,0),0)</f>
        <v>0</v>
      </c>
      <c r="N1004" s="207">
        <f>IF(ISNUMBER(VLOOKUP($B:$B,'IS(분기)'!$A:$F,$2:$2,0)),VLOOKUP($B:$B,'IS(분기)'!$A:$F,$2:$2,0),0)</f>
        <v>0</v>
      </c>
      <c r="O1004" s="207">
        <f>IF(ISNUMBER(VLOOKUP($B:$B,'IS(분기)'!$A:$F,$2:$2,0)),VLOOKUP($B:$B,'IS(분기)'!$A:$F,$2:$2,0),0)</f>
        <v>0</v>
      </c>
      <c r="P1004" s="207">
        <f>IF(ISNUMBER(VLOOKUP($B:$B,'IS(분기)'!$A:$F,$2:$2,0)),VLOOKUP($B:$B,'IS(분기)'!$A:$F,$2:$2,0),0)</f>
        <v>0</v>
      </c>
      <c r="Q1004" s="207">
        <f>IF(ISNUMBER(VLOOKUP($B:$B,'IS(분기)'!$A:$F,$2:$2,0)),VLOOKUP($B:$B,'IS(분기)'!$A:$F,$2:$2,0),0)</f>
        <v>0</v>
      </c>
      <c r="R1004" s="207">
        <f>IF(ISNUMBER(VLOOKUP($B:$B,'IS(분기)'!$A:$F,$2:$2,0)),VLOOKUP($B:$B,'IS(분기)'!$A:$F,$2:$2,0),0)</f>
        <v>0</v>
      </c>
    </row>
    <row r="1005" spans="1:18" s="192" customFormat="1" ht="12">
      <c r="A1005" s="201">
        <v>125115</v>
      </c>
      <c r="B1005" s="194" t="s">
        <v>707</v>
      </c>
      <c r="C1005" s="217">
        <f>IF(ISNUMBER(VLOOKUP($B:$B,IS!$A:$F,$2:$2,0)),VLOOKUP($B:$B,IS!$A:$F,$2:$2,0),0)</f>
        <v>103714</v>
      </c>
      <c r="D1005" s="217">
        <f>IF(ISNUMBER(VLOOKUP($B:$B,IS!$A:$F,$2:$2,0)),VLOOKUP($B:$B,IS!$A:$F,$2:$2,0),0)</f>
        <v>0</v>
      </c>
      <c r="E1005" s="217">
        <f>IF(ISNUMBER(VLOOKUP($B:$B,IS!$A:$F,$2:$2,0)),VLOOKUP($B:$B,IS!$A:$F,$2:$2,0),0)</f>
        <v>0</v>
      </c>
      <c r="F1005" s="217">
        <f>IF(ISNUMBER(VLOOKUP($B:$B,IS!$A:$F,$2:$2,0)),VLOOKUP($B:$B,IS!$A:$F,$2:$2,0),0)</f>
        <v>0</v>
      </c>
      <c r="G1005" s="217">
        <f>IF(ISNUMBER(VLOOKUP($B:$B,IS!$A:$F,$2:$2,0)),VLOOKUP($B:$B,IS!$A:$F,$2:$2,0),0)</f>
        <v>0</v>
      </c>
      <c r="H1005" s="207">
        <f>IF(ISNUMBER(VLOOKUP($B:$B,'IS(과거)'!$A:$F,$2:$2,0)),VLOOKUP($B:$B,'IS(과거)'!$A:$F,$2:$2,0),0)</f>
        <v>0</v>
      </c>
      <c r="I1005" s="207">
        <f>IF(ISNUMBER(VLOOKUP($B:$B,'IS(과거)'!$A:$F,$2:$2,0)),VLOOKUP($B:$B,'IS(과거)'!$A:$F,$2:$2,0),0)</f>
        <v>0</v>
      </c>
      <c r="J1005" s="207">
        <f>IF(ISNUMBER(VLOOKUP($B:$B,'IS(과거)'!$A:$F,$2:$2,0)),VLOOKUP($B:$B,'IS(과거)'!$A:$F,$2:$2,0),0)</f>
        <v>0</v>
      </c>
      <c r="K1005" s="207">
        <f>IF(ISNUMBER(VLOOKUP($B:$B,'IS(과거)'!$A:$F,$2:$2,0)),VLOOKUP($B:$B,'IS(과거)'!$A:$F,$2:$2,0),0)</f>
        <v>0</v>
      </c>
      <c r="L1005" s="207">
        <f>IF(ISNUMBER(VLOOKUP($B:$B,'IS(과거)'!$A:$F,$2:$2,0)),VLOOKUP($B:$B,'IS(과거)'!$A:$F,$2:$2,0),0)</f>
        <v>0</v>
      </c>
      <c r="N1005" s="207">
        <f>IF(ISNUMBER(VLOOKUP($B:$B,'IS(분기)'!$A:$F,$2:$2,0)),VLOOKUP($B:$B,'IS(분기)'!$A:$F,$2:$2,0),0)</f>
        <v>0</v>
      </c>
      <c r="O1005" s="207">
        <f>IF(ISNUMBER(VLOOKUP($B:$B,'IS(분기)'!$A:$F,$2:$2,0)),VLOOKUP($B:$B,'IS(분기)'!$A:$F,$2:$2,0),0)</f>
        <v>0</v>
      </c>
      <c r="P1005" s="207">
        <f>IF(ISNUMBER(VLOOKUP($B:$B,'IS(분기)'!$A:$F,$2:$2,0)),VLOOKUP($B:$B,'IS(분기)'!$A:$F,$2:$2,0),0)</f>
        <v>0</v>
      </c>
      <c r="Q1005" s="207">
        <f>IF(ISNUMBER(VLOOKUP($B:$B,'IS(분기)'!$A:$F,$2:$2,0)),VLOOKUP($B:$B,'IS(분기)'!$A:$F,$2:$2,0),0)</f>
        <v>0</v>
      </c>
      <c r="R1005" s="207">
        <f>IF(ISNUMBER(VLOOKUP($B:$B,'IS(분기)'!$A:$F,$2:$2,0)),VLOOKUP($B:$B,'IS(분기)'!$A:$F,$2:$2,0),0)</f>
        <v>0</v>
      </c>
    </row>
    <row r="1006" spans="1:18" s="192" customFormat="1" ht="12">
      <c r="A1006" s="205">
        <v>126000</v>
      </c>
      <c r="B1006" s="198" t="s">
        <v>13</v>
      </c>
      <c r="C1006" s="217">
        <f>IF(ISNUMBER(VLOOKUP($B:$B,IS!$A:$F,$2:$2,0)),VLOOKUP($B:$B,IS!$A:$F,$2:$2,0),0)</f>
        <v>349761</v>
      </c>
      <c r="D1006" s="217">
        <f>IF(ISNUMBER(VLOOKUP($B:$B,IS!$A:$F,$2:$2,0)),VLOOKUP($B:$B,IS!$A:$F,$2:$2,0),0)</f>
        <v>0</v>
      </c>
      <c r="E1006" s="217">
        <f>IF(ISNUMBER(VLOOKUP($B:$B,IS!$A:$F,$2:$2,0)),VLOOKUP($B:$B,IS!$A:$F,$2:$2,0),0)</f>
        <v>0</v>
      </c>
      <c r="F1006" s="217">
        <f>IF(ISNUMBER(VLOOKUP($B:$B,IS!$A:$F,$2:$2,0)),VLOOKUP($B:$B,IS!$A:$F,$2:$2,0),0)</f>
        <v>0</v>
      </c>
      <c r="G1006" s="217">
        <f>IF(ISNUMBER(VLOOKUP($B:$B,IS!$A:$F,$2:$2,0)),VLOOKUP($B:$B,IS!$A:$F,$2:$2,0),0)</f>
        <v>0</v>
      </c>
      <c r="H1006" s="207">
        <f>IF(ISNUMBER(VLOOKUP($B:$B,'IS(과거)'!$A:$F,$2:$2,0)),VLOOKUP($B:$B,'IS(과거)'!$A:$F,$2:$2,0),0)</f>
        <v>0</v>
      </c>
      <c r="I1006" s="207">
        <f>IF(ISNUMBER(VLOOKUP($B:$B,'IS(과거)'!$A:$F,$2:$2,0)),VLOOKUP($B:$B,'IS(과거)'!$A:$F,$2:$2,0),0)</f>
        <v>0</v>
      </c>
      <c r="J1006" s="207">
        <f>IF(ISNUMBER(VLOOKUP($B:$B,'IS(과거)'!$A:$F,$2:$2,0)),VLOOKUP($B:$B,'IS(과거)'!$A:$F,$2:$2,0),0)</f>
        <v>0</v>
      </c>
      <c r="K1006" s="207">
        <f>IF(ISNUMBER(VLOOKUP($B:$B,'IS(과거)'!$A:$F,$2:$2,0)),VLOOKUP($B:$B,'IS(과거)'!$A:$F,$2:$2,0),0)</f>
        <v>0</v>
      </c>
      <c r="L1006" s="207">
        <f>IF(ISNUMBER(VLOOKUP($B:$B,'IS(과거)'!$A:$F,$2:$2,0)),VLOOKUP($B:$B,'IS(과거)'!$A:$F,$2:$2,0),0)</f>
        <v>0</v>
      </c>
      <c r="N1006" s="207">
        <f>IF(ISNUMBER(VLOOKUP($B:$B,'IS(분기)'!$A:$F,$2:$2,0)),VLOOKUP($B:$B,'IS(분기)'!$A:$F,$2:$2,0),0)</f>
        <v>0</v>
      </c>
      <c r="O1006" s="207">
        <f>IF(ISNUMBER(VLOOKUP($B:$B,'IS(분기)'!$A:$F,$2:$2,0)),VLOOKUP($B:$B,'IS(분기)'!$A:$F,$2:$2,0),0)</f>
        <v>0</v>
      </c>
      <c r="P1006" s="207">
        <f>IF(ISNUMBER(VLOOKUP($B:$B,'IS(분기)'!$A:$F,$2:$2,0)),VLOOKUP($B:$B,'IS(분기)'!$A:$F,$2:$2,0),0)</f>
        <v>0</v>
      </c>
      <c r="Q1006" s="207">
        <f>IF(ISNUMBER(VLOOKUP($B:$B,'IS(분기)'!$A:$F,$2:$2,0)),VLOOKUP($B:$B,'IS(분기)'!$A:$F,$2:$2,0),0)</f>
        <v>0</v>
      </c>
      <c r="R1006" s="207">
        <f>IF(ISNUMBER(VLOOKUP($B:$B,'IS(분기)'!$A:$F,$2:$2,0)),VLOOKUP($B:$B,'IS(분기)'!$A:$F,$2:$2,0),0)</f>
        <v>0</v>
      </c>
    </row>
    <row r="1007" spans="1:18" s="192" customFormat="1" ht="12">
      <c r="A1007" s="201">
        <v>126110</v>
      </c>
      <c r="B1007" s="194" t="s">
        <v>708</v>
      </c>
      <c r="C1007" s="217">
        <f>IF(ISNUMBER(VLOOKUP($B:$B,IS!$A:$F,$2:$2,0)),VLOOKUP($B:$B,IS!$A:$F,$2:$2,0),0)</f>
        <v>136508</v>
      </c>
      <c r="D1007" s="217">
        <f>IF(ISNUMBER(VLOOKUP($B:$B,IS!$A:$F,$2:$2,0)),VLOOKUP($B:$B,IS!$A:$F,$2:$2,0),0)</f>
        <v>0</v>
      </c>
      <c r="E1007" s="217">
        <f>IF(ISNUMBER(VLOOKUP($B:$B,IS!$A:$F,$2:$2,0)),VLOOKUP($B:$B,IS!$A:$F,$2:$2,0),0)</f>
        <v>0</v>
      </c>
      <c r="F1007" s="217">
        <f>IF(ISNUMBER(VLOOKUP($B:$B,IS!$A:$F,$2:$2,0)),VLOOKUP($B:$B,IS!$A:$F,$2:$2,0),0)</f>
        <v>0</v>
      </c>
      <c r="G1007" s="217">
        <f>IF(ISNUMBER(VLOOKUP($B:$B,IS!$A:$F,$2:$2,0)),VLOOKUP($B:$B,IS!$A:$F,$2:$2,0),0)</f>
        <v>0</v>
      </c>
      <c r="H1007" s="207">
        <f>IF(ISNUMBER(VLOOKUP($B:$B,'IS(과거)'!$A:$F,$2:$2,0)),VLOOKUP($B:$B,'IS(과거)'!$A:$F,$2:$2,0),0)</f>
        <v>0</v>
      </c>
      <c r="I1007" s="207">
        <f>IF(ISNUMBER(VLOOKUP($B:$B,'IS(과거)'!$A:$F,$2:$2,0)),VLOOKUP($B:$B,'IS(과거)'!$A:$F,$2:$2,0),0)</f>
        <v>0</v>
      </c>
      <c r="J1007" s="207">
        <f>IF(ISNUMBER(VLOOKUP($B:$B,'IS(과거)'!$A:$F,$2:$2,0)),VLOOKUP($B:$B,'IS(과거)'!$A:$F,$2:$2,0),0)</f>
        <v>0</v>
      </c>
      <c r="K1007" s="207">
        <f>IF(ISNUMBER(VLOOKUP($B:$B,'IS(과거)'!$A:$F,$2:$2,0)),VLOOKUP($B:$B,'IS(과거)'!$A:$F,$2:$2,0),0)</f>
        <v>0</v>
      </c>
      <c r="L1007" s="207">
        <f>IF(ISNUMBER(VLOOKUP($B:$B,'IS(과거)'!$A:$F,$2:$2,0)),VLOOKUP($B:$B,'IS(과거)'!$A:$F,$2:$2,0),0)</f>
        <v>0</v>
      </c>
      <c r="N1007" s="207">
        <f>IF(ISNUMBER(VLOOKUP($B:$B,'IS(분기)'!$A:$F,$2:$2,0)),VLOOKUP($B:$B,'IS(분기)'!$A:$F,$2:$2,0),0)</f>
        <v>0</v>
      </c>
      <c r="O1007" s="207">
        <f>IF(ISNUMBER(VLOOKUP($B:$B,'IS(분기)'!$A:$F,$2:$2,0)),VLOOKUP($B:$B,'IS(분기)'!$A:$F,$2:$2,0),0)</f>
        <v>0</v>
      </c>
      <c r="P1007" s="207">
        <f>IF(ISNUMBER(VLOOKUP($B:$B,'IS(분기)'!$A:$F,$2:$2,0)),VLOOKUP($B:$B,'IS(분기)'!$A:$F,$2:$2,0),0)</f>
        <v>0</v>
      </c>
      <c r="Q1007" s="207">
        <f>IF(ISNUMBER(VLOOKUP($B:$B,'IS(분기)'!$A:$F,$2:$2,0)),VLOOKUP($B:$B,'IS(분기)'!$A:$F,$2:$2,0),0)</f>
        <v>0</v>
      </c>
      <c r="R1007" s="207">
        <f>IF(ISNUMBER(VLOOKUP($B:$B,'IS(분기)'!$A:$F,$2:$2,0)),VLOOKUP($B:$B,'IS(분기)'!$A:$F,$2:$2,0),0)</f>
        <v>0</v>
      </c>
    </row>
    <row r="1008" spans="1:18" s="192" customFormat="1" ht="12">
      <c r="A1008" s="201">
        <v>126120</v>
      </c>
      <c r="B1008" s="194" t="s">
        <v>709</v>
      </c>
      <c r="C1008" s="217">
        <f>IF(ISNUMBER(VLOOKUP($B:$B,IS!$A:$F,$2:$2,0)),VLOOKUP($B:$B,IS!$A:$F,$2:$2,0),0)</f>
        <v>0</v>
      </c>
      <c r="D1008" s="217">
        <f>IF(ISNUMBER(VLOOKUP($B:$B,IS!$A:$F,$2:$2,0)),VLOOKUP($B:$B,IS!$A:$F,$2:$2,0),0)</f>
        <v>0</v>
      </c>
      <c r="E1008" s="217">
        <f>IF(ISNUMBER(VLOOKUP($B:$B,IS!$A:$F,$2:$2,0)),VLOOKUP($B:$B,IS!$A:$F,$2:$2,0),0)</f>
        <v>0</v>
      </c>
      <c r="F1008" s="217">
        <f>IF(ISNUMBER(VLOOKUP($B:$B,IS!$A:$F,$2:$2,0)),VLOOKUP($B:$B,IS!$A:$F,$2:$2,0),0)</f>
        <v>0</v>
      </c>
      <c r="G1008" s="217">
        <f>IF(ISNUMBER(VLOOKUP($B:$B,IS!$A:$F,$2:$2,0)),VLOOKUP($B:$B,IS!$A:$F,$2:$2,0),0)</f>
        <v>0</v>
      </c>
      <c r="H1008" s="207">
        <f>IF(ISNUMBER(VLOOKUP($B:$B,'IS(과거)'!$A:$F,$2:$2,0)),VLOOKUP($B:$B,'IS(과거)'!$A:$F,$2:$2,0),0)</f>
        <v>0</v>
      </c>
      <c r="I1008" s="207">
        <f>IF(ISNUMBER(VLOOKUP($B:$B,'IS(과거)'!$A:$F,$2:$2,0)),VLOOKUP($B:$B,'IS(과거)'!$A:$F,$2:$2,0),0)</f>
        <v>0</v>
      </c>
      <c r="J1008" s="207">
        <f>IF(ISNUMBER(VLOOKUP($B:$B,'IS(과거)'!$A:$F,$2:$2,0)),VLOOKUP($B:$B,'IS(과거)'!$A:$F,$2:$2,0),0)</f>
        <v>0</v>
      </c>
      <c r="K1008" s="207">
        <f>IF(ISNUMBER(VLOOKUP($B:$B,'IS(과거)'!$A:$F,$2:$2,0)),VLOOKUP($B:$B,'IS(과거)'!$A:$F,$2:$2,0),0)</f>
        <v>0</v>
      </c>
      <c r="L1008" s="207">
        <f>IF(ISNUMBER(VLOOKUP($B:$B,'IS(과거)'!$A:$F,$2:$2,0)),VLOOKUP($B:$B,'IS(과거)'!$A:$F,$2:$2,0),0)</f>
        <v>0</v>
      </c>
      <c r="N1008" s="207">
        <f>IF(ISNUMBER(VLOOKUP($B:$B,'IS(분기)'!$A:$F,$2:$2,0)),VLOOKUP($B:$B,'IS(분기)'!$A:$F,$2:$2,0),0)</f>
        <v>0</v>
      </c>
      <c r="O1008" s="207">
        <f>IF(ISNUMBER(VLOOKUP($B:$B,'IS(분기)'!$A:$F,$2:$2,0)),VLOOKUP($B:$B,'IS(분기)'!$A:$F,$2:$2,0),0)</f>
        <v>0</v>
      </c>
      <c r="P1008" s="207">
        <f>IF(ISNUMBER(VLOOKUP($B:$B,'IS(분기)'!$A:$F,$2:$2,0)),VLOOKUP($B:$B,'IS(분기)'!$A:$F,$2:$2,0),0)</f>
        <v>0</v>
      </c>
      <c r="Q1008" s="207">
        <f>IF(ISNUMBER(VLOOKUP($B:$B,'IS(분기)'!$A:$F,$2:$2,0)),VLOOKUP($B:$B,'IS(분기)'!$A:$F,$2:$2,0),0)</f>
        <v>0</v>
      </c>
      <c r="R1008" s="207">
        <f>IF(ISNUMBER(VLOOKUP($B:$B,'IS(분기)'!$A:$F,$2:$2,0)),VLOOKUP($B:$B,'IS(분기)'!$A:$F,$2:$2,0),0)</f>
        <v>0</v>
      </c>
    </row>
    <row r="1009" spans="1:18" s="192" customFormat="1" ht="12">
      <c r="A1009" s="201">
        <v>126121</v>
      </c>
      <c r="B1009" s="194" t="s">
        <v>710</v>
      </c>
      <c r="C1009" s="217">
        <f>IF(ISNUMBER(VLOOKUP($B:$B,IS!$A:$F,$2:$2,0)),VLOOKUP($B:$B,IS!$A:$F,$2:$2,0),0)</f>
        <v>0</v>
      </c>
      <c r="D1009" s="217">
        <f>IF(ISNUMBER(VLOOKUP($B:$B,IS!$A:$F,$2:$2,0)),VLOOKUP($B:$B,IS!$A:$F,$2:$2,0),0)</f>
        <v>0</v>
      </c>
      <c r="E1009" s="217">
        <f>IF(ISNUMBER(VLOOKUP($B:$B,IS!$A:$F,$2:$2,0)),VLOOKUP($B:$B,IS!$A:$F,$2:$2,0),0)</f>
        <v>0</v>
      </c>
      <c r="F1009" s="217">
        <f>IF(ISNUMBER(VLOOKUP($B:$B,IS!$A:$F,$2:$2,0)),VLOOKUP($B:$B,IS!$A:$F,$2:$2,0),0)</f>
        <v>0</v>
      </c>
      <c r="G1009" s="217">
        <f>IF(ISNUMBER(VLOOKUP($B:$B,IS!$A:$F,$2:$2,0)),VLOOKUP($B:$B,IS!$A:$F,$2:$2,0),0)</f>
        <v>0</v>
      </c>
      <c r="H1009" s="207">
        <f>IF(ISNUMBER(VLOOKUP($B:$B,'IS(과거)'!$A:$F,$2:$2,0)),VLOOKUP($B:$B,'IS(과거)'!$A:$F,$2:$2,0),0)</f>
        <v>0</v>
      </c>
      <c r="I1009" s="207">
        <f>IF(ISNUMBER(VLOOKUP($B:$B,'IS(과거)'!$A:$F,$2:$2,0)),VLOOKUP($B:$B,'IS(과거)'!$A:$F,$2:$2,0),0)</f>
        <v>0</v>
      </c>
      <c r="J1009" s="207">
        <f>IF(ISNUMBER(VLOOKUP($B:$B,'IS(과거)'!$A:$F,$2:$2,0)),VLOOKUP($B:$B,'IS(과거)'!$A:$F,$2:$2,0),0)</f>
        <v>0</v>
      </c>
      <c r="K1009" s="207">
        <f>IF(ISNUMBER(VLOOKUP($B:$B,'IS(과거)'!$A:$F,$2:$2,0)),VLOOKUP($B:$B,'IS(과거)'!$A:$F,$2:$2,0),0)</f>
        <v>0</v>
      </c>
      <c r="L1009" s="207">
        <f>IF(ISNUMBER(VLOOKUP($B:$B,'IS(과거)'!$A:$F,$2:$2,0)),VLOOKUP($B:$B,'IS(과거)'!$A:$F,$2:$2,0),0)</f>
        <v>0</v>
      </c>
      <c r="N1009" s="207">
        <f>IF(ISNUMBER(VLOOKUP($B:$B,'IS(분기)'!$A:$F,$2:$2,0)),VLOOKUP($B:$B,'IS(분기)'!$A:$F,$2:$2,0),0)</f>
        <v>0</v>
      </c>
      <c r="O1009" s="207">
        <f>IF(ISNUMBER(VLOOKUP($B:$B,'IS(분기)'!$A:$F,$2:$2,0)),VLOOKUP($B:$B,'IS(분기)'!$A:$F,$2:$2,0),0)</f>
        <v>0</v>
      </c>
      <c r="P1009" s="207">
        <f>IF(ISNUMBER(VLOOKUP($B:$B,'IS(분기)'!$A:$F,$2:$2,0)),VLOOKUP($B:$B,'IS(분기)'!$A:$F,$2:$2,0),0)</f>
        <v>0</v>
      </c>
      <c r="Q1009" s="207">
        <f>IF(ISNUMBER(VLOOKUP($B:$B,'IS(분기)'!$A:$F,$2:$2,0)),VLOOKUP($B:$B,'IS(분기)'!$A:$F,$2:$2,0),0)</f>
        <v>0</v>
      </c>
      <c r="R1009" s="207">
        <f>IF(ISNUMBER(VLOOKUP($B:$B,'IS(분기)'!$A:$F,$2:$2,0)),VLOOKUP($B:$B,'IS(분기)'!$A:$F,$2:$2,0),0)</f>
        <v>0</v>
      </c>
    </row>
    <row r="1010" spans="1:18" s="192" customFormat="1" ht="12">
      <c r="A1010" s="201">
        <v>126122</v>
      </c>
      <c r="B1010" s="194" t="s">
        <v>711</v>
      </c>
      <c r="C1010" s="217">
        <f>IF(ISNUMBER(VLOOKUP($B:$B,IS!$A:$F,$2:$2,0)),VLOOKUP($B:$B,IS!$A:$F,$2:$2,0),0)</f>
        <v>0</v>
      </c>
      <c r="D1010" s="217">
        <f>IF(ISNUMBER(VLOOKUP($B:$B,IS!$A:$F,$2:$2,0)),VLOOKUP($B:$B,IS!$A:$F,$2:$2,0),0)</f>
        <v>0</v>
      </c>
      <c r="E1010" s="217">
        <f>IF(ISNUMBER(VLOOKUP($B:$B,IS!$A:$F,$2:$2,0)),VLOOKUP($B:$B,IS!$A:$F,$2:$2,0),0)</f>
        <v>0</v>
      </c>
      <c r="F1010" s="217">
        <f>IF(ISNUMBER(VLOOKUP($B:$B,IS!$A:$F,$2:$2,0)),VLOOKUP($B:$B,IS!$A:$F,$2:$2,0),0)</f>
        <v>0</v>
      </c>
      <c r="G1010" s="217">
        <f>IF(ISNUMBER(VLOOKUP($B:$B,IS!$A:$F,$2:$2,0)),VLOOKUP($B:$B,IS!$A:$F,$2:$2,0),0)</f>
        <v>0</v>
      </c>
      <c r="H1010" s="207">
        <f>IF(ISNUMBER(VLOOKUP($B:$B,'IS(과거)'!$A:$F,$2:$2,0)),VLOOKUP($B:$B,'IS(과거)'!$A:$F,$2:$2,0),0)</f>
        <v>0</v>
      </c>
      <c r="I1010" s="207">
        <f>IF(ISNUMBER(VLOOKUP($B:$B,'IS(과거)'!$A:$F,$2:$2,0)),VLOOKUP($B:$B,'IS(과거)'!$A:$F,$2:$2,0),0)</f>
        <v>0</v>
      </c>
      <c r="J1010" s="207">
        <f>IF(ISNUMBER(VLOOKUP($B:$B,'IS(과거)'!$A:$F,$2:$2,0)),VLOOKUP($B:$B,'IS(과거)'!$A:$F,$2:$2,0),0)</f>
        <v>0</v>
      </c>
      <c r="K1010" s="207">
        <f>IF(ISNUMBER(VLOOKUP($B:$B,'IS(과거)'!$A:$F,$2:$2,0)),VLOOKUP($B:$B,'IS(과거)'!$A:$F,$2:$2,0),0)</f>
        <v>0</v>
      </c>
      <c r="L1010" s="207">
        <f>IF(ISNUMBER(VLOOKUP($B:$B,'IS(과거)'!$A:$F,$2:$2,0)),VLOOKUP($B:$B,'IS(과거)'!$A:$F,$2:$2,0),0)</f>
        <v>0</v>
      </c>
      <c r="N1010" s="207">
        <f>IF(ISNUMBER(VLOOKUP($B:$B,'IS(분기)'!$A:$F,$2:$2,0)),VLOOKUP($B:$B,'IS(분기)'!$A:$F,$2:$2,0),0)</f>
        <v>0</v>
      </c>
      <c r="O1010" s="207">
        <f>IF(ISNUMBER(VLOOKUP($B:$B,'IS(분기)'!$A:$F,$2:$2,0)),VLOOKUP($B:$B,'IS(분기)'!$A:$F,$2:$2,0),0)</f>
        <v>0</v>
      </c>
      <c r="P1010" s="207">
        <f>IF(ISNUMBER(VLOOKUP($B:$B,'IS(분기)'!$A:$F,$2:$2,0)),VLOOKUP($B:$B,'IS(분기)'!$A:$F,$2:$2,0),0)</f>
        <v>0</v>
      </c>
      <c r="Q1010" s="207">
        <f>IF(ISNUMBER(VLOOKUP($B:$B,'IS(분기)'!$A:$F,$2:$2,0)),VLOOKUP($B:$B,'IS(분기)'!$A:$F,$2:$2,0),0)</f>
        <v>0</v>
      </c>
      <c r="R1010" s="207">
        <f>IF(ISNUMBER(VLOOKUP($B:$B,'IS(분기)'!$A:$F,$2:$2,0)),VLOOKUP($B:$B,'IS(분기)'!$A:$F,$2:$2,0),0)</f>
        <v>0</v>
      </c>
    </row>
    <row r="1011" spans="1:18" s="192" customFormat="1" ht="12">
      <c r="A1011" s="201">
        <v>126131</v>
      </c>
      <c r="B1011" s="194" t="s">
        <v>712</v>
      </c>
      <c r="C1011" s="217">
        <f>IF(ISNUMBER(VLOOKUP($B:$B,IS!$A:$F,$2:$2,0)),VLOOKUP($B:$B,IS!$A:$F,$2:$2,0),0)</f>
        <v>0</v>
      </c>
      <c r="D1011" s="217">
        <f>IF(ISNUMBER(VLOOKUP($B:$B,IS!$A:$F,$2:$2,0)),VLOOKUP($B:$B,IS!$A:$F,$2:$2,0),0)</f>
        <v>0</v>
      </c>
      <c r="E1011" s="217">
        <f>IF(ISNUMBER(VLOOKUP($B:$B,IS!$A:$F,$2:$2,0)),VLOOKUP($B:$B,IS!$A:$F,$2:$2,0),0)</f>
        <v>0</v>
      </c>
      <c r="F1011" s="217">
        <f>IF(ISNUMBER(VLOOKUP($B:$B,IS!$A:$F,$2:$2,0)),VLOOKUP($B:$B,IS!$A:$F,$2:$2,0),0)</f>
        <v>0</v>
      </c>
      <c r="G1011" s="217">
        <f>IF(ISNUMBER(VLOOKUP($B:$B,IS!$A:$F,$2:$2,0)),VLOOKUP($B:$B,IS!$A:$F,$2:$2,0),0)</f>
        <v>0</v>
      </c>
      <c r="H1011" s="207">
        <f>IF(ISNUMBER(VLOOKUP($B:$B,'IS(과거)'!$A:$F,$2:$2,0)),VLOOKUP($B:$B,'IS(과거)'!$A:$F,$2:$2,0),0)</f>
        <v>0</v>
      </c>
      <c r="I1011" s="207">
        <f>IF(ISNUMBER(VLOOKUP($B:$B,'IS(과거)'!$A:$F,$2:$2,0)),VLOOKUP($B:$B,'IS(과거)'!$A:$F,$2:$2,0),0)</f>
        <v>0</v>
      </c>
      <c r="J1011" s="207">
        <f>IF(ISNUMBER(VLOOKUP($B:$B,'IS(과거)'!$A:$F,$2:$2,0)),VLOOKUP($B:$B,'IS(과거)'!$A:$F,$2:$2,0),0)</f>
        <v>0</v>
      </c>
      <c r="K1011" s="207">
        <f>IF(ISNUMBER(VLOOKUP($B:$B,'IS(과거)'!$A:$F,$2:$2,0)),VLOOKUP($B:$B,'IS(과거)'!$A:$F,$2:$2,0),0)</f>
        <v>0</v>
      </c>
      <c r="L1011" s="207">
        <f>IF(ISNUMBER(VLOOKUP($B:$B,'IS(과거)'!$A:$F,$2:$2,0)),VLOOKUP($B:$B,'IS(과거)'!$A:$F,$2:$2,0),0)</f>
        <v>0</v>
      </c>
      <c r="N1011" s="207">
        <f>IF(ISNUMBER(VLOOKUP($B:$B,'IS(분기)'!$A:$F,$2:$2,0)),VLOOKUP($B:$B,'IS(분기)'!$A:$F,$2:$2,0),0)</f>
        <v>0</v>
      </c>
      <c r="O1011" s="207">
        <f>IF(ISNUMBER(VLOOKUP($B:$B,'IS(분기)'!$A:$F,$2:$2,0)),VLOOKUP($B:$B,'IS(분기)'!$A:$F,$2:$2,0),0)</f>
        <v>0</v>
      </c>
      <c r="P1011" s="207">
        <f>IF(ISNUMBER(VLOOKUP($B:$B,'IS(분기)'!$A:$F,$2:$2,0)),VLOOKUP($B:$B,'IS(분기)'!$A:$F,$2:$2,0),0)</f>
        <v>0</v>
      </c>
      <c r="Q1011" s="207">
        <f>IF(ISNUMBER(VLOOKUP($B:$B,'IS(분기)'!$A:$F,$2:$2,0)),VLOOKUP($B:$B,'IS(분기)'!$A:$F,$2:$2,0),0)</f>
        <v>0</v>
      </c>
      <c r="R1011" s="207">
        <f>IF(ISNUMBER(VLOOKUP($B:$B,'IS(분기)'!$A:$F,$2:$2,0)),VLOOKUP($B:$B,'IS(분기)'!$A:$F,$2:$2,0),0)</f>
        <v>0</v>
      </c>
    </row>
    <row r="1012" spans="1:18" s="192" customFormat="1" ht="12">
      <c r="A1012" s="201">
        <v>126144</v>
      </c>
      <c r="B1012" s="194" t="s">
        <v>713</v>
      </c>
      <c r="C1012" s="217">
        <f>IF(ISNUMBER(VLOOKUP($B:$B,IS!$A:$F,$2:$2,0)),VLOOKUP($B:$B,IS!$A:$F,$2:$2,0),0)</f>
        <v>0</v>
      </c>
      <c r="D1012" s="217">
        <f>IF(ISNUMBER(VLOOKUP($B:$B,IS!$A:$F,$2:$2,0)),VLOOKUP($B:$B,IS!$A:$F,$2:$2,0),0)</f>
        <v>0</v>
      </c>
      <c r="E1012" s="217">
        <f>IF(ISNUMBER(VLOOKUP($B:$B,IS!$A:$F,$2:$2,0)),VLOOKUP($B:$B,IS!$A:$F,$2:$2,0),0)</f>
        <v>0</v>
      </c>
      <c r="F1012" s="217">
        <f>IF(ISNUMBER(VLOOKUP($B:$B,IS!$A:$F,$2:$2,0)),VLOOKUP($B:$B,IS!$A:$F,$2:$2,0),0)</f>
        <v>0</v>
      </c>
      <c r="G1012" s="217">
        <f>IF(ISNUMBER(VLOOKUP($B:$B,IS!$A:$F,$2:$2,0)),VLOOKUP($B:$B,IS!$A:$F,$2:$2,0),0)</f>
        <v>0</v>
      </c>
      <c r="H1012" s="207">
        <f>IF(ISNUMBER(VLOOKUP($B:$B,'IS(과거)'!$A:$F,$2:$2,0)),VLOOKUP($B:$B,'IS(과거)'!$A:$F,$2:$2,0),0)</f>
        <v>0</v>
      </c>
      <c r="I1012" s="207">
        <f>IF(ISNUMBER(VLOOKUP($B:$B,'IS(과거)'!$A:$F,$2:$2,0)),VLOOKUP($B:$B,'IS(과거)'!$A:$F,$2:$2,0),0)</f>
        <v>0</v>
      </c>
      <c r="J1012" s="207">
        <f>IF(ISNUMBER(VLOOKUP($B:$B,'IS(과거)'!$A:$F,$2:$2,0)),VLOOKUP($B:$B,'IS(과거)'!$A:$F,$2:$2,0),0)</f>
        <v>0</v>
      </c>
      <c r="K1012" s="207">
        <f>IF(ISNUMBER(VLOOKUP($B:$B,'IS(과거)'!$A:$F,$2:$2,0)),VLOOKUP($B:$B,'IS(과거)'!$A:$F,$2:$2,0),0)</f>
        <v>0</v>
      </c>
      <c r="L1012" s="207">
        <f>IF(ISNUMBER(VLOOKUP($B:$B,'IS(과거)'!$A:$F,$2:$2,0)),VLOOKUP($B:$B,'IS(과거)'!$A:$F,$2:$2,0),0)</f>
        <v>0</v>
      </c>
      <c r="N1012" s="207">
        <f>IF(ISNUMBER(VLOOKUP($B:$B,'IS(분기)'!$A:$F,$2:$2,0)),VLOOKUP($B:$B,'IS(분기)'!$A:$F,$2:$2,0),0)</f>
        <v>0</v>
      </c>
      <c r="O1012" s="207">
        <f>IF(ISNUMBER(VLOOKUP($B:$B,'IS(분기)'!$A:$F,$2:$2,0)),VLOOKUP($B:$B,'IS(분기)'!$A:$F,$2:$2,0),0)</f>
        <v>0</v>
      </c>
      <c r="P1012" s="207">
        <f>IF(ISNUMBER(VLOOKUP($B:$B,'IS(분기)'!$A:$F,$2:$2,0)),VLOOKUP($B:$B,'IS(분기)'!$A:$F,$2:$2,0),0)</f>
        <v>0</v>
      </c>
      <c r="Q1012" s="207">
        <f>IF(ISNUMBER(VLOOKUP($B:$B,'IS(분기)'!$A:$F,$2:$2,0)),VLOOKUP($B:$B,'IS(분기)'!$A:$F,$2:$2,0),0)</f>
        <v>0</v>
      </c>
      <c r="R1012" s="207">
        <f>IF(ISNUMBER(VLOOKUP($B:$B,'IS(분기)'!$A:$F,$2:$2,0)),VLOOKUP($B:$B,'IS(분기)'!$A:$F,$2:$2,0),0)</f>
        <v>0</v>
      </c>
    </row>
    <row r="1013" spans="1:18" s="192" customFormat="1" ht="12">
      <c r="A1013" s="201">
        <v>126123</v>
      </c>
      <c r="B1013" s="194" t="s">
        <v>714</v>
      </c>
      <c r="C1013" s="217">
        <f>IF(ISNUMBER(VLOOKUP($B:$B,IS!$A:$F,$2:$2,0)),VLOOKUP($B:$B,IS!$A:$F,$2:$2,0),0)</f>
        <v>0</v>
      </c>
      <c r="D1013" s="217">
        <f>IF(ISNUMBER(VLOOKUP($B:$B,IS!$A:$F,$2:$2,0)),VLOOKUP($B:$B,IS!$A:$F,$2:$2,0),0)</f>
        <v>0</v>
      </c>
      <c r="E1013" s="217">
        <f>IF(ISNUMBER(VLOOKUP($B:$B,IS!$A:$F,$2:$2,0)),VLOOKUP($B:$B,IS!$A:$F,$2:$2,0),0)</f>
        <v>0</v>
      </c>
      <c r="F1013" s="217">
        <f>IF(ISNUMBER(VLOOKUP($B:$B,IS!$A:$F,$2:$2,0)),VLOOKUP($B:$B,IS!$A:$F,$2:$2,0),0)</f>
        <v>0</v>
      </c>
      <c r="G1013" s="217">
        <f>IF(ISNUMBER(VLOOKUP($B:$B,IS!$A:$F,$2:$2,0)),VLOOKUP($B:$B,IS!$A:$F,$2:$2,0),0)</f>
        <v>0</v>
      </c>
      <c r="H1013" s="207">
        <f>IF(ISNUMBER(VLOOKUP($B:$B,'IS(과거)'!$A:$F,$2:$2,0)),VLOOKUP($B:$B,'IS(과거)'!$A:$F,$2:$2,0),0)</f>
        <v>0</v>
      </c>
      <c r="I1013" s="207">
        <f>IF(ISNUMBER(VLOOKUP($B:$B,'IS(과거)'!$A:$F,$2:$2,0)),VLOOKUP($B:$B,'IS(과거)'!$A:$F,$2:$2,0),0)</f>
        <v>0</v>
      </c>
      <c r="J1013" s="207">
        <f>IF(ISNUMBER(VLOOKUP($B:$B,'IS(과거)'!$A:$F,$2:$2,0)),VLOOKUP($B:$B,'IS(과거)'!$A:$F,$2:$2,0),0)</f>
        <v>0</v>
      </c>
      <c r="K1013" s="207">
        <f>IF(ISNUMBER(VLOOKUP($B:$B,'IS(과거)'!$A:$F,$2:$2,0)),VLOOKUP($B:$B,'IS(과거)'!$A:$F,$2:$2,0),0)</f>
        <v>0</v>
      </c>
      <c r="L1013" s="207">
        <f>IF(ISNUMBER(VLOOKUP($B:$B,'IS(과거)'!$A:$F,$2:$2,0)),VLOOKUP($B:$B,'IS(과거)'!$A:$F,$2:$2,0),0)</f>
        <v>0</v>
      </c>
      <c r="N1013" s="207">
        <f>IF(ISNUMBER(VLOOKUP($B:$B,'IS(분기)'!$A:$F,$2:$2,0)),VLOOKUP($B:$B,'IS(분기)'!$A:$F,$2:$2,0),0)</f>
        <v>0</v>
      </c>
      <c r="O1013" s="207">
        <f>IF(ISNUMBER(VLOOKUP($B:$B,'IS(분기)'!$A:$F,$2:$2,0)),VLOOKUP($B:$B,'IS(분기)'!$A:$F,$2:$2,0),0)</f>
        <v>0</v>
      </c>
      <c r="P1013" s="207">
        <f>IF(ISNUMBER(VLOOKUP($B:$B,'IS(분기)'!$A:$F,$2:$2,0)),VLOOKUP($B:$B,'IS(분기)'!$A:$F,$2:$2,0),0)</f>
        <v>0</v>
      </c>
      <c r="Q1013" s="207">
        <f>IF(ISNUMBER(VLOOKUP($B:$B,'IS(분기)'!$A:$F,$2:$2,0)),VLOOKUP($B:$B,'IS(분기)'!$A:$F,$2:$2,0),0)</f>
        <v>0</v>
      </c>
      <c r="R1013" s="207">
        <f>IF(ISNUMBER(VLOOKUP($B:$B,'IS(분기)'!$A:$F,$2:$2,0)),VLOOKUP($B:$B,'IS(분기)'!$A:$F,$2:$2,0),0)</f>
        <v>0</v>
      </c>
    </row>
    <row r="1014" spans="1:18" s="192" customFormat="1" ht="12">
      <c r="A1014" s="201">
        <v>126140</v>
      </c>
      <c r="B1014" s="194" t="s">
        <v>715</v>
      </c>
      <c r="C1014" s="217">
        <f>IF(ISNUMBER(VLOOKUP($B:$B,IS!$A:$F,$2:$2,0)),VLOOKUP($B:$B,IS!$A:$F,$2:$2,0),0)</f>
        <v>0</v>
      </c>
      <c r="D1014" s="217">
        <f>IF(ISNUMBER(VLOOKUP($B:$B,IS!$A:$F,$2:$2,0)),VLOOKUP($B:$B,IS!$A:$F,$2:$2,0),0)</f>
        <v>0</v>
      </c>
      <c r="E1014" s="217">
        <f>IF(ISNUMBER(VLOOKUP($B:$B,IS!$A:$F,$2:$2,0)),VLOOKUP($B:$B,IS!$A:$F,$2:$2,0),0)</f>
        <v>0</v>
      </c>
      <c r="F1014" s="217">
        <f>IF(ISNUMBER(VLOOKUP($B:$B,IS!$A:$F,$2:$2,0)),VLOOKUP($B:$B,IS!$A:$F,$2:$2,0),0)</f>
        <v>0</v>
      </c>
      <c r="G1014" s="217">
        <f>IF(ISNUMBER(VLOOKUP($B:$B,IS!$A:$F,$2:$2,0)),VLOOKUP($B:$B,IS!$A:$F,$2:$2,0),0)</f>
        <v>0</v>
      </c>
      <c r="H1014" s="207">
        <f>IF(ISNUMBER(VLOOKUP($B:$B,'IS(과거)'!$A:$F,$2:$2,0)),VLOOKUP($B:$B,'IS(과거)'!$A:$F,$2:$2,0),0)</f>
        <v>0</v>
      </c>
      <c r="I1014" s="207">
        <f>IF(ISNUMBER(VLOOKUP($B:$B,'IS(과거)'!$A:$F,$2:$2,0)),VLOOKUP($B:$B,'IS(과거)'!$A:$F,$2:$2,0),0)</f>
        <v>0</v>
      </c>
      <c r="J1014" s="207">
        <f>IF(ISNUMBER(VLOOKUP($B:$B,'IS(과거)'!$A:$F,$2:$2,0)),VLOOKUP($B:$B,'IS(과거)'!$A:$F,$2:$2,0),0)</f>
        <v>0</v>
      </c>
      <c r="K1014" s="207">
        <f>IF(ISNUMBER(VLOOKUP($B:$B,'IS(과거)'!$A:$F,$2:$2,0)),VLOOKUP($B:$B,'IS(과거)'!$A:$F,$2:$2,0),0)</f>
        <v>0</v>
      </c>
      <c r="L1014" s="207">
        <f>IF(ISNUMBER(VLOOKUP($B:$B,'IS(과거)'!$A:$F,$2:$2,0)),VLOOKUP($B:$B,'IS(과거)'!$A:$F,$2:$2,0),0)</f>
        <v>0</v>
      </c>
      <c r="N1014" s="207">
        <f>IF(ISNUMBER(VLOOKUP($B:$B,'IS(분기)'!$A:$F,$2:$2,0)),VLOOKUP($B:$B,'IS(분기)'!$A:$F,$2:$2,0),0)</f>
        <v>0</v>
      </c>
      <c r="O1014" s="207">
        <f>IF(ISNUMBER(VLOOKUP($B:$B,'IS(분기)'!$A:$F,$2:$2,0)),VLOOKUP($B:$B,'IS(분기)'!$A:$F,$2:$2,0),0)</f>
        <v>0</v>
      </c>
      <c r="P1014" s="207">
        <f>IF(ISNUMBER(VLOOKUP($B:$B,'IS(분기)'!$A:$F,$2:$2,0)),VLOOKUP($B:$B,'IS(분기)'!$A:$F,$2:$2,0),0)</f>
        <v>0</v>
      </c>
      <c r="Q1014" s="207">
        <f>IF(ISNUMBER(VLOOKUP($B:$B,'IS(분기)'!$A:$F,$2:$2,0)),VLOOKUP($B:$B,'IS(분기)'!$A:$F,$2:$2,0),0)</f>
        <v>0</v>
      </c>
      <c r="R1014" s="207">
        <f>IF(ISNUMBER(VLOOKUP($B:$B,'IS(분기)'!$A:$F,$2:$2,0)),VLOOKUP($B:$B,'IS(분기)'!$A:$F,$2:$2,0),0)</f>
        <v>0</v>
      </c>
    </row>
    <row r="1015" spans="1:18" s="192" customFormat="1" ht="12">
      <c r="A1015" s="201">
        <v>126132</v>
      </c>
      <c r="B1015" s="194" t="s">
        <v>716</v>
      </c>
      <c r="C1015" s="217">
        <f>IF(ISNUMBER(VLOOKUP($B:$B,IS!$A:$F,$2:$2,0)),VLOOKUP($B:$B,IS!$A:$F,$2:$2,0),0)</f>
        <v>0</v>
      </c>
      <c r="D1015" s="217">
        <f>IF(ISNUMBER(VLOOKUP($B:$B,IS!$A:$F,$2:$2,0)),VLOOKUP($B:$B,IS!$A:$F,$2:$2,0),0)</f>
        <v>0</v>
      </c>
      <c r="E1015" s="217">
        <f>IF(ISNUMBER(VLOOKUP($B:$B,IS!$A:$F,$2:$2,0)),VLOOKUP($B:$B,IS!$A:$F,$2:$2,0),0)</f>
        <v>0</v>
      </c>
      <c r="F1015" s="217">
        <f>IF(ISNUMBER(VLOOKUP($B:$B,IS!$A:$F,$2:$2,0)),VLOOKUP($B:$B,IS!$A:$F,$2:$2,0),0)</f>
        <v>0</v>
      </c>
      <c r="G1015" s="217">
        <f>IF(ISNUMBER(VLOOKUP($B:$B,IS!$A:$F,$2:$2,0)),VLOOKUP($B:$B,IS!$A:$F,$2:$2,0),0)</f>
        <v>0</v>
      </c>
      <c r="H1015" s="207">
        <f>IF(ISNUMBER(VLOOKUP($B:$B,'IS(과거)'!$A:$F,$2:$2,0)),VLOOKUP($B:$B,'IS(과거)'!$A:$F,$2:$2,0),0)</f>
        <v>0</v>
      </c>
      <c r="I1015" s="207">
        <f>IF(ISNUMBER(VLOOKUP($B:$B,'IS(과거)'!$A:$F,$2:$2,0)),VLOOKUP($B:$B,'IS(과거)'!$A:$F,$2:$2,0),0)</f>
        <v>0</v>
      </c>
      <c r="J1015" s="207">
        <f>IF(ISNUMBER(VLOOKUP($B:$B,'IS(과거)'!$A:$F,$2:$2,0)),VLOOKUP($B:$B,'IS(과거)'!$A:$F,$2:$2,0),0)</f>
        <v>0</v>
      </c>
      <c r="K1015" s="207">
        <f>IF(ISNUMBER(VLOOKUP($B:$B,'IS(과거)'!$A:$F,$2:$2,0)),VLOOKUP($B:$B,'IS(과거)'!$A:$F,$2:$2,0),0)</f>
        <v>0</v>
      </c>
      <c r="L1015" s="207">
        <f>IF(ISNUMBER(VLOOKUP($B:$B,'IS(과거)'!$A:$F,$2:$2,0)),VLOOKUP($B:$B,'IS(과거)'!$A:$F,$2:$2,0),0)</f>
        <v>0</v>
      </c>
      <c r="N1015" s="207">
        <f>IF(ISNUMBER(VLOOKUP($B:$B,'IS(분기)'!$A:$F,$2:$2,0)),VLOOKUP($B:$B,'IS(분기)'!$A:$F,$2:$2,0),0)</f>
        <v>0</v>
      </c>
      <c r="O1015" s="207">
        <f>IF(ISNUMBER(VLOOKUP($B:$B,'IS(분기)'!$A:$F,$2:$2,0)),VLOOKUP($B:$B,'IS(분기)'!$A:$F,$2:$2,0),0)</f>
        <v>0</v>
      </c>
      <c r="P1015" s="207">
        <f>IF(ISNUMBER(VLOOKUP($B:$B,'IS(분기)'!$A:$F,$2:$2,0)),VLOOKUP($B:$B,'IS(분기)'!$A:$F,$2:$2,0),0)</f>
        <v>0</v>
      </c>
      <c r="Q1015" s="207">
        <f>IF(ISNUMBER(VLOOKUP($B:$B,'IS(분기)'!$A:$F,$2:$2,0)),VLOOKUP($B:$B,'IS(분기)'!$A:$F,$2:$2,0),0)</f>
        <v>0</v>
      </c>
      <c r="R1015" s="207">
        <f>IF(ISNUMBER(VLOOKUP($B:$B,'IS(분기)'!$A:$F,$2:$2,0)),VLOOKUP($B:$B,'IS(분기)'!$A:$F,$2:$2,0),0)</f>
        <v>0</v>
      </c>
    </row>
    <row r="1016" spans="1:18" s="192" customFormat="1" ht="12">
      <c r="A1016" s="201">
        <v>126133</v>
      </c>
      <c r="B1016" s="194" t="s">
        <v>717</v>
      </c>
      <c r="C1016" s="217">
        <f>IF(ISNUMBER(VLOOKUP($B:$B,IS!$A:$F,$2:$2,0)),VLOOKUP($B:$B,IS!$A:$F,$2:$2,0),0)</f>
        <v>0</v>
      </c>
      <c r="D1016" s="217">
        <f>IF(ISNUMBER(VLOOKUP($B:$B,IS!$A:$F,$2:$2,0)),VLOOKUP($B:$B,IS!$A:$F,$2:$2,0),0)</f>
        <v>0</v>
      </c>
      <c r="E1016" s="217">
        <f>IF(ISNUMBER(VLOOKUP($B:$B,IS!$A:$F,$2:$2,0)),VLOOKUP($B:$B,IS!$A:$F,$2:$2,0),0)</f>
        <v>0</v>
      </c>
      <c r="F1016" s="217">
        <f>IF(ISNUMBER(VLOOKUP($B:$B,IS!$A:$F,$2:$2,0)),VLOOKUP($B:$B,IS!$A:$F,$2:$2,0),0)</f>
        <v>0</v>
      </c>
      <c r="G1016" s="217">
        <f>IF(ISNUMBER(VLOOKUP($B:$B,IS!$A:$F,$2:$2,0)),VLOOKUP($B:$B,IS!$A:$F,$2:$2,0),0)</f>
        <v>0</v>
      </c>
      <c r="H1016" s="207">
        <f>IF(ISNUMBER(VLOOKUP($B:$B,'IS(과거)'!$A:$F,$2:$2,0)),VLOOKUP($B:$B,'IS(과거)'!$A:$F,$2:$2,0),0)</f>
        <v>0</v>
      </c>
      <c r="I1016" s="207">
        <f>IF(ISNUMBER(VLOOKUP($B:$B,'IS(과거)'!$A:$F,$2:$2,0)),VLOOKUP($B:$B,'IS(과거)'!$A:$F,$2:$2,0),0)</f>
        <v>0</v>
      </c>
      <c r="J1016" s="207">
        <f>IF(ISNUMBER(VLOOKUP($B:$B,'IS(과거)'!$A:$F,$2:$2,0)),VLOOKUP($B:$B,'IS(과거)'!$A:$F,$2:$2,0),0)</f>
        <v>0</v>
      </c>
      <c r="K1016" s="207">
        <f>IF(ISNUMBER(VLOOKUP($B:$B,'IS(과거)'!$A:$F,$2:$2,0)),VLOOKUP($B:$B,'IS(과거)'!$A:$F,$2:$2,0),0)</f>
        <v>0</v>
      </c>
      <c r="L1016" s="207">
        <f>IF(ISNUMBER(VLOOKUP($B:$B,'IS(과거)'!$A:$F,$2:$2,0)),VLOOKUP($B:$B,'IS(과거)'!$A:$F,$2:$2,0),0)</f>
        <v>0</v>
      </c>
      <c r="N1016" s="207">
        <f>IF(ISNUMBER(VLOOKUP($B:$B,'IS(분기)'!$A:$F,$2:$2,0)),VLOOKUP($B:$B,'IS(분기)'!$A:$F,$2:$2,0),0)</f>
        <v>0</v>
      </c>
      <c r="O1016" s="207">
        <f>IF(ISNUMBER(VLOOKUP($B:$B,'IS(분기)'!$A:$F,$2:$2,0)),VLOOKUP($B:$B,'IS(분기)'!$A:$F,$2:$2,0),0)</f>
        <v>0</v>
      </c>
      <c r="P1016" s="207">
        <f>IF(ISNUMBER(VLOOKUP($B:$B,'IS(분기)'!$A:$F,$2:$2,0)),VLOOKUP($B:$B,'IS(분기)'!$A:$F,$2:$2,0),0)</f>
        <v>0</v>
      </c>
      <c r="Q1016" s="207">
        <f>IF(ISNUMBER(VLOOKUP($B:$B,'IS(분기)'!$A:$F,$2:$2,0)),VLOOKUP($B:$B,'IS(분기)'!$A:$F,$2:$2,0),0)</f>
        <v>0</v>
      </c>
      <c r="R1016" s="207">
        <f>IF(ISNUMBER(VLOOKUP($B:$B,'IS(분기)'!$A:$F,$2:$2,0)),VLOOKUP($B:$B,'IS(분기)'!$A:$F,$2:$2,0),0)</f>
        <v>0</v>
      </c>
    </row>
    <row r="1017" spans="1:18" s="192" customFormat="1" ht="12">
      <c r="A1017" s="201">
        <v>126141</v>
      </c>
      <c r="B1017" s="194" t="s">
        <v>718</v>
      </c>
      <c r="C1017" s="217">
        <f>IF(ISNUMBER(VLOOKUP($B:$B,IS!$A:$F,$2:$2,0)),VLOOKUP($B:$B,IS!$A:$F,$2:$2,0),0)</f>
        <v>0</v>
      </c>
      <c r="D1017" s="217">
        <f>IF(ISNUMBER(VLOOKUP($B:$B,IS!$A:$F,$2:$2,0)),VLOOKUP($B:$B,IS!$A:$F,$2:$2,0),0)</f>
        <v>0</v>
      </c>
      <c r="E1017" s="217">
        <f>IF(ISNUMBER(VLOOKUP($B:$B,IS!$A:$F,$2:$2,0)),VLOOKUP($B:$B,IS!$A:$F,$2:$2,0),0)</f>
        <v>0</v>
      </c>
      <c r="F1017" s="217">
        <f>IF(ISNUMBER(VLOOKUP($B:$B,IS!$A:$F,$2:$2,0)),VLOOKUP($B:$B,IS!$A:$F,$2:$2,0),0)</f>
        <v>0</v>
      </c>
      <c r="G1017" s="217">
        <f>IF(ISNUMBER(VLOOKUP($B:$B,IS!$A:$F,$2:$2,0)),VLOOKUP($B:$B,IS!$A:$F,$2:$2,0),0)</f>
        <v>0</v>
      </c>
      <c r="H1017" s="207">
        <f>IF(ISNUMBER(VLOOKUP($B:$B,'IS(과거)'!$A:$F,$2:$2,0)),VLOOKUP($B:$B,'IS(과거)'!$A:$F,$2:$2,0),0)</f>
        <v>0</v>
      </c>
      <c r="I1017" s="207">
        <f>IF(ISNUMBER(VLOOKUP($B:$B,'IS(과거)'!$A:$F,$2:$2,0)),VLOOKUP($B:$B,'IS(과거)'!$A:$F,$2:$2,0),0)</f>
        <v>0</v>
      </c>
      <c r="J1017" s="207">
        <f>IF(ISNUMBER(VLOOKUP($B:$B,'IS(과거)'!$A:$F,$2:$2,0)),VLOOKUP($B:$B,'IS(과거)'!$A:$F,$2:$2,0),0)</f>
        <v>0</v>
      </c>
      <c r="K1017" s="207">
        <f>IF(ISNUMBER(VLOOKUP($B:$B,'IS(과거)'!$A:$F,$2:$2,0)),VLOOKUP($B:$B,'IS(과거)'!$A:$F,$2:$2,0),0)</f>
        <v>0</v>
      </c>
      <c r="L1017" s="207">
        <f>IF(ISNUMBER(VLOOKUP($B:$B,'IS(과거)'!$A:$F,$2:$2,0)),VLOOKUP($B:$B,'IS(과거)'!$A:$F,$2:$2,0),0)</f>
        <v>0</v>
      </c>
      <c r="N1017" s="207">
        <f>IF(ISNUMBER(VLOOKUP($B:$B,'IS(분기)'!$A:$F,$2:$2,0)),VLOOKUP($B:$B,'IS(분기)'!$A:$F,$2:$2,0),0)</f>
        <v>0</v>
      </c>
      <c r="O1017" s="207">
        <f>IF(ISNUMBER(VLOOKUP($B:$B,'IS(분기)'!$A:$F,$2:$2,0)),VLOOKUP($B:$B,'IS(분기)'!$A:$F,$2:$2,0),0)</f>
        <v>0</v>
      </c>
      <c r="P1017" s="207">
        <f>IF(ISNUMBER(VLOOKUP($B:$B,'IS(분기)'!$A:$F,$2:$2,0)),VLOOKUP($B:$B,'IS(분기)'!$A:$F,$2:$2,0),0)</f>
        <v>0</v>
      </c>
      <c r="Q1017" s="207">
        <f>IF(ISNUMBER(VLOOKUP($B:$B,'IS(분기)'!$A:$F,$2:$2,0)),VLOOKUP($B:$B,'IS(분기)'!$A:$F,$2:$2,0),0)</f>
        <v>0</v>
      </c>
      <c r="R1017" s="207">
        <f>IF(ISNUMBER(VLOOKUP($B:$B,'IS(분기)'!$A:$F,$2:$2,0)),VLOOKUP($B:$B,'IS(분기)'!$A:$F,$2:$2,0),0)</f>
        <v>0</v>
      </c>
    </row>
    <row r="1018" spans="1:18" s="192" customFormat="1" ht="12">
      <c r="A1018" s="201">
        <v>126150</v>
      </c>
      <c r="B1018" s="194" t="s">
        <v>719</v>
      </c>
      <c r="C1018" s="217">
        <f>IF(ISNUMBER(VLOOKUP($B:$B,IS!$A:$F,$2:$2,0)),VLOOKUP($B:$B,IS!$A:$F,$2:$2,0),0)</f>
        <v>2577</v>
      </c>
      <c r="D1018" s="217">
        <f>IF(ISNUMBER(VLOOKUP($B:$B,IS!$A:$F,$2:$2,0)),VLOOKUP($B:$B,IS!$A:$F,$2:$2,0),0)</f>
        <v>0</v>
      </c>
      <c r="E1018" s="217">
        <f>IF(ISNUMBER(VLOOKUP($B:$B,IS!$A:$F,$2:$2,0)),VLOOKUP($B:$B,IS!$A:$F,$2:$2,0),0)</f>
        <v>0</v>
      </c>
      <c r="F1018" s="217">
        <f>IF(ISNUMBER(VLOOKUP($B:$B,IS!$A:$F,$2:$2,0)),VLOOKUP($B:$B,IS!$A:$F,$2:$2,0),0)</f>
        <v>0</v>
      </c>
      <c r="G1018" s="217">
        <f>IF(ISNUMBER(VLOOKUP($B:$B,IS!$A:$F,$2:$2,0)),VLOOKUP($B:$B,IS!$A:$F,$2:$2,0),0)</f>
        <v>0</v>
      </c>
      <c r="H1018" s="207">
        <f>IF(ISNUMBER(VLOOKUP($B:$B,'IS(과거)'!$A:$F,$2:$2,0)),VLOOKUP($B:$B,'IS(과거)'!$A:$F,$2:$2,0),0)</f>
        <v>0</v>
      </c>
      <c r="I1018" s="207">
        <f>IF(ISNUMBER(VLOOKUP($B:$B,'IS(과거)'!$A:$F,$2:$2,0)),VLOOKUP($B:$B,'IS(과거)'!$A:$F,$2:$2,0),0)</f>
        <v>0</v>
      </c>
      <c r="J1018" s="207">
        <f>IF(ISNUMBER(VLOOKUP($B:$B,'IS(과거)'!$A:$F,$2:$2,0)),VLOOKUP($B:$B,'IS(과거)'!$A:$F,$2:$2,0),0)</f>
        <v>0</v>
      </c>
      <c r="K1018" s="207">
        <f>IF(ISNUMBER(VLOOKUP($B:$B,'IS(과거)'!$A:$F,$2:$2,0)),VLOOKUP($B:$B,'IS(과거)'!$A:$F,$2:$2,0),0)</f>
        <v>0</v>
      </c>
      <c r="L1018" s="207">
        <f>IF(ISNUMBER(VLOOKUP($B:$B,'IS(과거)'!$A:$F,$2:$2,0)),VLOOKUP($B:$B,'IS(과거)'!$A:$F,$2:$2,0),0)</f>
        <v>0</v>
      </c>
      <c r="N1018" s="207">
        <f>IF(ISNUMBER(VLOOKUP($B:$B,'IS(분기)'!$A:$F,$2:$2,0)),VLOOKUP($B:$B,'IS(분기)'!$A:$F,$2:$2,0),0)</f>
        <v>0</v>
      </c>
      <c r="O1018" s="207">
        <f>IF(ISNUMBER(VLOOKUP($B:$B,'IS(분기)'!$A:$F,$2:$2,0)),VLOOKUP($B:$B,'IS(분기)'!$A:$F,$2:$2,0),0)</f>
        <v>0</v>
      </c>
      <c r="P1018" s="207">
        <f>IF(ISNUMBER(VLOOKUP($B:$B,'IS(분기)'!$A:$F,$2:$2,0)),VLOOKUP($B:$B,'IS(분기)'!$A:$F,$2:$2,0),0)</f>
        <v>0</v>
      </c>
      <c r="Q1018" s="207">
        <f>IF(ISNUMBER(VLOOKUP($B:$B,'IS(분기)'!$A:$F,$2:$2,0)),VLOOKUP($B:$B,'IS(분기)'!$A:$F,$2:$2,0),0)</f>
        <v>0</v>
      </c>
      <c r="R1018" s="207">
        <f>IF(ISNUMBER(VLOOKUP($B:$B,'IS(분기)'!$A:$F,$2:$2,0)),VLOOKUP($B:$B,'IS(분기)'!$A:$F,$2:$2,0),0)</f>
        <v>0</v>
      </c>
    </row>
    <row r="1019" spans="1:18" s="192" customFormat="1" ht="12">
      <c r="A1019" s="201">
        <v>126160</v>
      </c>
      <c r="B1019" s="194" t="s">
        <v>720</v>
      </c>
      <c r="C1019" s="217">
        <f>IF(ISNUMBER(VLOOKUP($B:$B,IS!$A:$F,$2:$2,0)),VLOOKUP($B:$B,IS!$A:$F,$2:$2,0),0)</f>
        <v>23540</v>
      </c>
      <c r="D1019" s="217">
        <f>IF(ISNUMBER(VLOOKUP($B:$B,IS!$A:$F,$2:$2,0)),VLOOKUP($B:$B,IS!$A:$F,$2:$2,0),0)</f>
        <v>0</v>
      </c>
      <c r="E1019" s="217">
        <f>IF(ISNUMBER(VLOOKUP($B:$B,IS!$A:$F,$2:$2,0)),VLOOKUP($B:$B,IS!$A:$F,$2:$2,0),0)</f>
        <v>0</v>
      </c>
      <c r="F1019" s="217">
        <f>IF(ISNUMBER(VLOOKUP($B:$B,IS!$A:$F,$2:$2,0)),VLOOKUP($B:$B,IS!$A:$F,$2:$2,0),0)</f>
        <v>0</v>
      </c>
      <c r="G1019" s="217">
        <f>IF(ISNUMBER(VLOOKUP($B:$B,IS!$A:$F,$2:$2,0)),VLOOKUP($B:$B,IS!$A:$F,$2:$2,0),0)</f>
        <v>0</v>
      </c>
      <c r="H1019" s="207">
        <f>IF(ISNUMBER(VLOOKUP($B:$B,'IS(과거)'!$A:$F,$2:$2,0)),VLOOKUP($B:$B,'IS(과거)'!$A:$F,$2:$2,0),0)</f>
        <v>0</v>
      </c>
      <c r="I1019" s="207">
        <f>IF(ISNUMBER(VLOOKUP($B:$B,'IS(과거)'!$A:$F,$2:$2,0)),VLOOKUP($B:$B,'IS(과거)'!$A:$F,$2:$2,0),0)</f>
        <v>0</v>
      </c>
      <c r="J1019" s="207">
        <f>IF(ISNUMBER(VLOOKUP($B:$B,'IS(과거)'!$A:$F,$2:$2,0)),VLOOKUP($B:$B,'IS(과거)'!$A:$F,$2:$2,0),0)</f>
        <v>0</v>
      </c>
      <c r="K1019" s="207">
        <f>IF(ISNUMBER(VLOOKUP($B:$B,'IS(과거)'!$A:$F,$2:$2,0)),VLOOKUP($B:$B,'IS(과거)'!$A:$F,$2:$2,0),0)</f>
        <v>0</v>
      </c>
      <c r="L1019" s="207">
        <f>IF(ISNUMBER(VLOOKUP($B:$B,'IS(과거)'!$A:$F,$2:$2,0)),VLOOKUP($B:$B,'IS(과거)'!$A:$F,$2:$2,0),0)</f>
        <v>0</v>
      </c>
      <c r="N1019" s="207">
        <f>IF(ISNUMBER(VLOOKUP($B:$B,'IS(분기)'!$A:$F,$2:$2,0)),VLOOKUP($B:$B,'IS(분기)'!$A:$F,$2:$2,0),0)</f>
        <v>0</v>
      </c>
      <c r="O1019" s="207">
        <f>IF(ISNUMBER(VLOOKUP($B:$B,'IS(분기)'!$A:$F,$2:$2,0)),VLOOKUP($B:$B,'IS(분기)'!$A:$F,$2:$2,0),0)</f>
        <v>0</v>
      </c>
      <c r="P1019" s="207">
        <f>IF(ISNUMBER(VLOOKUP($B:$B,'IS(분기)'!$A:$F,$2:$2,0)),VLOOKUP($B:$B,'IS(분기)'!$A:$F,$2:$2,0),0)</f>
        <v>0</v>
      </c>
      <c r="Q1019" s="207">
        <f>IF(ISNUMBER(VLOOKUP($B:$B,'IS(분기)'!$A:$F,$2:$2,0)),VLOOKUP($B:$B,'IS(분기)'!$A:$F,$2:$2,0),0)</f>
        <v>0</v>
      </c>
      <c r="R1019" s="207">
        <f>IF(ISNUMBER(VLOOKUP($B:$B,'IS(분기)'!$A:$F,$2:$2,0)),VLOOKUP($B:$B,'IS(분기)'!$A:$F,$2:$2,0),0)</f>
        <v>0</v>
      </c>
    </row>
    <row r="1020" spans="1:18" s="192" customFormat="1" ht="12">
      <c r="A1020" s="201">
        <v>126161</v>
      </c>
      <c r="B1020" s="194" t="s">
        <v>721</v>
      </c>
      <c r="C1020" s="217">
        <f>IF(ISNUMBER(VLOOKUP($B:$B,IS!$A:$F,$2:$2,0)),VLOOKUP($B:$B,IS!$A:$F,$2:$2,0),0)</f>
        <v>0</v>
      </c>
      <c r="D1020" s="217">
        <f>IF(ISNUMBER(VLOOKUP($B:$B,IS!$A:$F,$2:$2,0)),VLOOKUP($B:$B,IS!$A:$F,$2:$2,0),0)</f>
        <v>0</v>
      </c>
      <c r="E1020" s="217">
        <f>IF(ISNUMBER(VLOOKUP($B:$B,IS!$A:$F,$2:$2,0)),VLOOKUP($B:$B,IS!$A:$F,$2:$2,0),0)</f>
        <v>0</v>
      </c>
      <c r="F1020" s="217">
        <f>IF(ISNUMBER(VLOOKUP($B:$B,IS!$A:$F,$2:$2,0)),VLOOKUP($B:$B,IS!$A:$F,$2:$2,0),0)</f>
        <v>0</v>
      </c>
      <c r="G1020" s="217">
        <f>IF(ISNUMBER(VLOOKUP($B:$B,IS!$A:$F,$2:$2,0)),VLOOKUP($B:$B,IS!$A:$F,$2:$2,0),0)</f>
        <v>0</v>
      </c>
      <c r="H1020" s="207">
        <f>IF(ISNUMBER(VLOOKUP($B:$B,'IS(과거)'!$A:$F,$2:$2,0)),VLOOKUP($B:$B,'IS(과거)'!$A:$F,$2:$2,0),0)</f>
        <v>0</v>
      </c>
      <c r="I1020" s="207">
        <f>IF(ISNUMBER(VLOOKUP($B:$B,'IS(과거)'!$A:$F,$2:$2,0)),VLOOKUP($B:$B,'IS(과거)'!$A:$F,$2:$2,0),0)</f>
        <v>0</v>
      </c>
      <c r="J1020" s="207">
        <f>IF(ISNUMBER(VLOOKUP($B:$B,'IS(과거)'!$A:$F,$2:$2,0)),VLOOKUP($B:$B,'IS(과거)'!$A:$F,$2:$2,0),0)</f>
        <v>0</v>
      </c>
      <c r="K1020" s="207">
        <f>IF(ISNUMBER(VLOOKUP($B:$B,'IS(과거)'!$A:$F,$2:$2,0)),VLOOKUP($B:$B,'IS(과거)'!$A:$F,$2:$2,0),0)</f>
        <v>0</v>
      </c>
      <c r="L1020" s="207">
        <f>IF(ISNUMBER(VLOOKUP($B:$B,'IS(과거)'!$A:$F,$2:$2,0)),VLOOKUP($B:$B,'IS(과거)'!$A:$F,$2:$2,0),0)</f>
        <v>0</v>
      </c>
      <c r="N1020" s="207">
        <f>IF(ISNUMBER(VLOOKUP($B:$B,'IS(분기)'!$A:$F,$2:$2,0)),VLOOKUP($B:$B,'IS(분기)'!$A:$F,$2:$2,0),0)</f>
        <v>0</v>
      </c>
      <c r="O1020" s="207">
        <f>IF(ISNUMBER(VLOOKUP($B:$B,'IS(분기)'!$A:$F,$2:$2,0)),VLOOKUP($B:$B,'IS(분기)'!$A:$F,$2:$2,0),0)</f>
        <v>0</v>
      </c>
      <c r="P1020" s="207">
        <f>IF(ISNUMBER(VLOOKUP($B:$B,'IS(분기)'!$A:$F,$2:$2,0)),VLOOKUP($B:$B,'IS(분기)'!$A:$F,$2:$2,0),0)</f>
        <v>0</v>
      </c>
      <c r="Q1020" s="207">
        <f>IF(ISNUMBER(VLOOKUP($B:$B,'IS(분기)'!$A:$F,$2:$2,0)),VLOOKUP($B:$B,'IS(분기)'!$A:$F,$2:$2,0),0)</f>
        <v>0</v>
      </c>
      <c r="R1020" s="207">
        <f>IF(ISNUMBER(VLOOKUP($B:$B,'IS(분기)'!$A:$F,$2:$2,0)),VLOOKUP($B:$B,'IS(분기)'!$A:$F,$2:$2,0),0)</f>
        <v>0</v>
      </c>
    </row>
    <row r="1021" spans="1:18" s="192" customFormat="1" ht="12">
      <c r="A1021" s="201">
        <v>126162</v>
      </c>
      <c r="B1021" s="194" t="s">
        <v>722</v>
      </c>
      <c r="C1021" s="217">
        <f>IF(ISNUMBER(VLOOKUP($B:$B,IS!$A:$F,$2:$2,0)),VLOOKUP($B:$B,IS!$A:$F,$2:$2,0),0)</f>
        <v>0</v>
      </c>
      <c r="D1021" s="217">
        <f>IF(ISNUMBER(VLOOKUP($B:$B,IS!$A:$F,$2:$2,0)),VLOOKUP($B:$B,IS!$A:$F,$2:$2,0),0)</f>
        <v>0</v>
      </c>
      <c r="E1021" s="217">
        <f>IF(ISNUMBER(VLOOKUP($B:$B,IS!$A:$F,$2:$2,0)),VLOOKUP($B:$B,IS!$A:$F,$2:$2,0),0)</f>
        <v>0</v>
      </c>
      <c r="F1021" s="217">
        <f>IF(ISNUMBER(VLOOKUP($B:$B,IS!$A:$F,$2:$2,0)),VLOOKUP($B:$B,IS!$A:$F,$2:$2,0),0)</f>
        <v>0</v>
      </c>
      <c r="G1021" s="217">
        <f>IF(ISNUMBER(VLOOKUP($B:$B,IS!$A:$F,$2:$2,0)),VLOOKUP($B:$B,IS!$A:$F,$2:$2,0),0)</f>
        <v>0</v>
      </c>
      <c r="H1021" s="207">
        <f>IF(ISNUMBER(VLOOKUP($B:$B,'IS(과거)'!$A:$F,$2:$2,0)),VLOOKUP($B:$B,'IS(과거)'!$A:$F,$2:$2,0),0)</f>
        <v>0</v>
      </c>
      <c r="I1021" s="207">
        <f>IF(ISNUMBER(VLOOKUP($B:$B,'IS(과거)'!$A:$F,$2:$2,0)),VLOOKUP($B:$B,'IS(과거)'!$A:$F,$2:$2,0),0)</f>
        <v>0</v>
      </c>
      <c r="J1021" s="207">
        <f>IF(ISNUMBER(VLOOKUP($B:$B,'IS(과거)'!$A:$F,$2:$2,0)),VLOOKUP($B:$B,'IS(과거)'!$A:$F,$2:$2,0),0)</f>
        <v>0</v>
      </c>
      <c r="K1021" s="207">
        <f>IF(ISNUMBER(VLOOKUP($B:$B,'IS(과거)'!$A:$F,$2:$2,0)),VLOOKUP($B:$B,'IS(과거)'!$A:$F,$2:$2,0),0)</f>
        <v>0</v>
      </c>
      <c r="L1021" s="207">
        <f>IF(ISNUMBER(VLOOKUP($B:$B,'IS(과거)'!$A:$F,$2:$2,0)),VLOOKUP($B:$B,'IS(과거)'!$A:$F,$2:$2,0),0)</f>
        <v>0</v>
      </c>
      <c r="N1021" s="207">
        <f>IF(ISNUMBER(VLOOKUP($B:$B,'IS(분기)'!$A:$F,$2:$2,0)),VLOOKUP($B:$B,'IS(분기)'!$A:$F,$2:$2,0),0)</f>
        <v>0</v>
      </c>
      <c r="O1021" s="207">
        <f>IF(ISNUMBER(VLOOKUP($B:$B,'IS(분기)'!$A:$F,$2:$2,0)),VLOOKUP($B:$B,'IS(분기)'!$A:$F,$2:$2,0),0)</f>
        <v>0</v>
      </c>
      <c r="P1021" s="207">
        <f>IF(ISNUMBER(VLOOKUP($B:$B,'IS(분기)'!$A:$F,$2:$2,0)),VLOOKUP($B:$B,'IS(분기)'!$A:$F,$2:$2,0),0)</f>
        <v>0</v>
      </c>
      <c r="Q1021" s="207">
        <f>IF(ISNUMBER(VLOOKUP($B:$B,'IS(분기)'!$A:$F,$2:$2,0)),VLOOKUP($B:$B,'IS(분기)'!$A:$F,$2:$2,0),0)</f>
        <v>0</v>
      </c>
      <c r="R1021" s="207">
        <f>IF(ISNUMBER(VLOOKUP($B:$B,'IS(분기)'!$A:$F,$2:$2,0)),VLOOKUP($B:$B,'IS(분기)'!$A:$F,$2:$2,0),0)</f>
        <v>0</v>
      </c>
    </row>
    <row r="1022" spans="1:18" s="192" customFormat="1" ht="12">
      <c r="A1022" s="201">
        <v>126163</v>
      </c>
      <c r="B1022" s="194" t="s">
        <v>723</v>
      </c>
      <c r="C1022" s="217">
        <f>IF(ISNUMBER(VLOOKUP($B:$B,IS!$A:$F,$2:$2,0)),VLOOKUP($B:$B,IS!$A:$F,$2:$2,0),0)</f>
        <v>0</v>
      </c>
      <c r="D1022" s="217">
        <f>IF(ISNUMBER(VLOOKUP($B:$B,IS!$A:$F,$2:$2,0)),VLOOKUP($B:$B,IS!$A:$F,$2:$2,0),0)</f>
        <v>0</v>
      </c>
      <c r="E1022" s="217">
        <f>IF(ISNUMBER(VLOOKUP($B:$B,IS!$A:$F,$2:$2,0)),VLOOKUP($B:$B,IS!$A:$F,$2:$2,0),0)</f>
        <v>0</v>
      </c>
      <c r="F1022" s="217">
        <f>IF(ISNUMBER(VLOOKUP($B:$B,IS!$A:$F,$2:$2,0)),VLOOKUP($B:$B,IS!$A:$F,$2:$2,0),0)</f>
        <v>0</v>
      </c>
      <c r="G1022" s="217">
        <f>IF(ISNUMBER(VLOOKUP($B:$B,IS!$A:$F,$2:$2,0)),VLOOKUP($B:$B,IS!$A:$F,$2:$2,0),0)</f>
        <v>0</v>
      </c>
      <c r="H1022" s="207">
        <f>IF(ISNUMBER(VLOOKUP($B:$B,'IS(과거)'!$A:$F,$2:$2,0)),VLOOKUP($B:$B,'IS(과거)'!$A:$F,$2:$2,0),0)</f>
        <v>0</v>
      </c>
      <c r="I1022" s="207">
        <f>IF(ISNUMBER(VLOOKUP($B:$B,'IS(과거)'!$A:$F,$2:$2,0)),VLOOKUP($B:$B,'IS(과거)'!$A:$F,$2:$2,0),0)</f>
        <v>0</v>
      </c>
      <c r="J1022" s="207">
        <f>IF(ISNUMBER(VLOOKUP($B:$B,'IS(과거)'!$A:$F,$2:$2,0)),VLOOKUP($B:$B,'IS(과거)'!$A:$F,$2:$2,0),0)</f>
        <v>0</v>
      </c>
      <c r="K1022" s="207">
        <f>IF(ISNUMBER(VLOOKUP($B:$B,'IS(과거)'!$A:$F,$2:$2,0)),VLOOKUP($B:$B,'IS(과거)'!$A:$F,$2:$2,0),0)</f>
        <v>0</v>
      </c>
      <c r="L1022" s="207">
        <f>IF(ISNUMBER(VLOOKUP($B:$B,'IS(과거)'!$A:$F,$2:$2,0)),VLOOKUP($B:$B,'IS(과거)'!$A:$F,$2:$2,0),0)</f>
        <v>0</v>
      </c>
      <c r="N1022" s="207">
        <f>IF(ISNUMBER(VLOOKUP($B:$B,'IS(분기)'!$A:$F,$2:$2,0)),VLOOKUP($B:$B,'IS(분기)'!$A:$F,$2:$2,0),0)</f>
        <v>0</v>
      </c>
      <c r="O1022" s="207">
        <f>IF(ISNUMBER(VLOOKUP($B:$B,'IS(분기)'!$A:$F,$2:$2,0)),VLOOKUP($B:$B,'IS(분기)'!$A:$F,$2:$2,0),0)</f>
        <v>0</v>
      </c>
      <c r="P1022" s="207">
        <f>IF(ISNUMBER(VLOOKUP($B:$B,'IS(분기)'!$A:$F,$2:$2,0)),VLOOKUP($B:$B,'IS(분기)'!$A:$F,$2:$2,0),0)</f>
        <v>0</v>
      </c>
      <c r="Q1022" s="207">
        <f>IF(ISNUMBER(VLOOKUP($B:$B,'IS(분기)'!$A:$F,$2:$2,0)),VLOOKUP($B:$B,'IS(분기)'!$A:$F,$2:$2,0),0)</f>
        <v>0</v>
      </c>
      <c r="R1022" s="207">
        <f>IF(ISNUMBER(VLOOKUP($B:$B,'IS(분기)'!$A:$F,$2:$2,0)),VLOOKUP($B:$B,'IS(분기)'!$A:$F,$2:$2,0),0)</f>
        <v>0</v>
      </c>
    </row>
    <row r="1023" spans="1:18" s="192" customFormat="1" ht="12">
      <c r="A1023" s="201">
        <v>126170</v>
      </c>
      <c r="B1023" s="194" t="s">
        <v>724</v>
      </c>
      <c r="C1023" s="217">
        <f>IF(ISNUMBER(VLOOKUP($B:$B,IS!$A:$F,$2:$2,0)),VLOOKUP($B:$B,IS!$A:$F,$2:$2,0),0)</f>
        <v>0</v>
      </c>
      <c r="D1023" s="217">
        <f>IF(ISNUMBER(VLOOKUP($B:$B,IS!$A:$F,$2:$2,0)),VLOOKUP($B:$B,IS!$A:$F,$2:$2,0),0)</f>
        <v>0</v>
      </c>
      <c r="E1023" s="217">
        <f>IF(ISNUMBER(VLOOKUP($B:$B,IS!$A:$F,$2:$2,0)),VLOOKUP($B:$B,IS!$A:$F,$2:$2,0),0)</f>
        <v>0</v>
      </c>
      <c r="F1023" s="217">
        <f>IF(ISNUMBER(VLOOKUP($B:$B,IS!$A:$F,$2:$2,0)),VLOOKUP($B:$B,IS!$A:$F,$2:$2,0),0)</f>
        <v>0</v>
      </c>
      <c r="G1023" s="217">
        <f>IF(ISNUMBER(VLOOKUP($B:$B,IS!$A:$F,$2:$2,0)),VLOOKUP($B:$B,IS!$A:$F,$2:$2,0),0)</f>
        <v>0</v>
      </c>
      <c r="H1023" s="207">
        <f>IF(ISNUMBER(VLOOKUP($B:$B,'IS(과거)'!$A:$F,$2:$2,0)),VLOOKUP($B:$B,'IS(과거)'!$A:$F,$2:$2,0),0)</f>
        <v>0</v>
      </c>
      <c r="I1023" s="207">
        <f>IF(ISNUMBER(VLOOKUP($B:$B,'IS(과거)'!$A:$F,$2:$2,0)),VLOOKUP($B:$B,'IS(과거)'!$A:$F,$2:$2,0),0)</f>
        <v>0</v>
      </c>
      <c r="J1023" s="207">
        <f>IF(ISNUMBER(VLOOKUP($B:$B,'IS(과거)'!$A:$F,$2:$2,0)),VLOOKUP($B:$B,'IS(과거)'!$A:$F,$2:$2,0),0)</f>
        <v>0</v>
      </c>
      <c r="K1023" s="207">
        <f>IF(ISNUMBER(VLOOKUP($B:$B,'IS(과거)'!$A:$F,$2:$2,0)),VLOOKUP($B:$B,'IS(과거)'!$A:$F,$2:$2,0),0)</f>
        <v>0</v>
      </c>
      <c r="L1023" s="207">
        <f>IF(ISNUMBER(VLOOKUP($B:$B,'IS(과거)'!$A:$F,$2:$2,0)),VLOOKUP($B:$B,'IS(과거)'!$A:$F,$2:$2,0),0)</f>
        <v>0</v>
      </c>
      <c r="N1023" s="207">
        <f>IF(ISNUMBER(VLOOKUP($B:$B,'IS(분기)'!$A:$F,$2:$2,0)),VLOOKUP($B:$B,'IS(분기)'!$A:$F,$2:$2,0),0)</f>
        <v>0</v>
      </c>
      <c r="O1023" s="207">
        <f>IF(ISNUMBER(VLOOKUP($B:$B,'IS(분기)'!$A:$F,$2:$2,0)),VLOOKUP($B:$B,'IS(분기)'!$A:$F,$2:$2,0),0)</f>
        <v>0</v>
      </c>
      <c r="P1023" s="207">
        <f>IF(ISNUMBER(VLOOKUP($B:$B,'IS(분기)'!$A:$F,$2:$2,0)),VLOOKUP($B:$B,'IS(분기)'!$A:$F,$2:$2,0),0)</f>
        <v>0</v>
      </c>
      <c r="Q1023" s="207">
        <f>IF(ISNUMBER(VLOOKUP($B:$B,'IS(분기)'!$A:$F,$2:$2,0)),VLOOKUP($B:$B,'IS(분기)'!$A:$F,$2:$2,0),0)</f>
        <v>0</v>
      </c>
      <c r="R1023" s="207">
        <f>IF(ISNUMBER(VLOOKUP($B:$B,'IS(분기)'!$A:$F,$2:$2,0)),VLOOKUP($B:$B,'IS(분기)'!$A:$F,$2:$2,0),0)</f>
        <v>0</v>
      </c>
    </row>
    <row r="1024" spans="1:18" s="192" customFormat="1" ht="12">
      <c r="A1024" s="202">
        <v>126176</v>
      </c>
      <c r="B1024" s="195" t="s">
        <v>1418</v>
      </c>
      <c r="C1024" s="217">
        <f>IF(ISNUMBER(VLOOKUP($B:$B,IS!$A:$F,$2:$2,0)),VLOOKUP($B:$B,IS!$A:$F,$2:$2,0),0)</f>
        <v>0</v>
      </c>
      <c r="D1024" s="217">
        <f>IF(ISNUMBER(VLOOKUP($B:$B,IS!$A:$F,$2:$2,0)),VLOOKUP($B:$B,IS!$A:$F,$2:$2,0),0)</f>
        <v>0</v>
      </c>
      <c r="E1024" s="217">
        <f>IF(ISNUMBER(VLOOKUP($B:$B,IS!$A:$F,$2:$2,0)),VLOOKUP($B:$B,IS!$A:$F,$2:$2,0),0)</f>
        <v>0</v>
      </c>
      <c r="F1024" s="217">
        <f>IF(ISNUMBER(VLOOKUP($B:$B,IS!$A:$F,$2:$2,0)),VLOOKUP($B:$B,IS!$A:$F,$2:$2,0),0)</f>
        <v>0</v>
      </c>
      <c r="G1024" s="217">
        <f>IF(ISNUMBER(VLOOKUP($B:$B,IS!$A:$F,$2:$2,0)),VLOOKUP($B:$B,IS!$A:$F,$2:$2,0),0)</f>
        <v>0</v>
      </c>
      <c r="H1024" s="207">
        <f>IF(ISNUMBER(VLOOKUP($B:$B,'IS(과거)'!$A:$F,$2:$2,0)),VLOOKUP($B:$B,'IS(과거)'!$A:$F,$2:$2,0),0)</f>
        <v>0</v>
      </c>
      <c r="I1024" s="207">
        <f>IF(ISNUMBER(VLOOKUP($B:$B,'IS(과거)'!$A:$F,$2:$2,0)),VLOOKUP($B:$B,'IS(과거)'!$A:$F,$2:$2,0),0)</f>
        <v>0</v>
      </c>
      <c r="J1024" s="207">
        <f>IF(ISNUMBER(VLOOKUP($B:$B,'IS(과거)'!$A:$F,$2:$2,0)),VLOOKUP($B:$B,'IS(과거)'!$A:$F,$2:$2,0),0)</f>
        <v>0</v>
      </c>
      <c r="K1024" s="207">
        <f>IF(ISNUMBER(VLOOKUP($B:$B,'IS(과거)'!$A:$F,$2:$2,0)),VLOOKUP($B:$B,'IS(과거)'!$A:$F,$2:$2,0),0)</f>
        <v>0</v>
      </c>
      <c r="L1024" s="207">
        <f>IF(ISNUMBER(VLOOKUP($B:$B,'IS(과거)'!$A:$F,$2:$2,0)),VLOOKUP($B:$B,'IS(과거)'!$A:$F,$2:$2,0),0)</f>
        <v>0</v>
      </c>
      <c r="N1024" s="207">
        <f>IF(ISNUMBER(VLOOKUP($B:$B,'IS(분기)'!$A:$F,$2:$2,0)),VLOOKUP($B:$B,'IS(분기)'!$A:$F,$2:$2,0),0)</f>
        <v>0</v>
      </c>
      <c r="O1024" s="207">
        <f>IF(ISNUMBER(VLOOKUP($B:$B,'IS(분기)'!$A:$F,$2:$2,0)),VLOOKUP($B:$B,'IS(분기)'!$A:$F,$2:$2,0),0)</f>
        <v>0</v>
      </c>
      <c r="P1024" s="207">
        <f>IF(ISNUMBER(VLOOKUP($B:$B,'IS(분기)'!$A:$F,$2:$2,0)),VLOOKUP($B:$B,'IS(분기)'!$A:$F,$2:$2,0),0)</f>
        <v>0</v>
      </c>
      <c r="Q1024" s="207">
        <f>IF(ISNUMBER(VLOOKUP($B:$B,'IS(분기)'!$A:$F,$2:$2,0)),VLOOKUP($B:$B,'IS(분기)'!$A:$F,$2:$2,0),0)</f>
        <v>0</v>
      </c>
      <c r="R1024" s="207">
        <f>IF(ISNUMBER(VLOOKUP($B:$B,'IS(분기)'!$A:$F,$2:$2,0)),VLOOKUP($B:$B,'IS(분기)'!$A:$F,$2:$2,0),0)</f>
        <v>0</v>
      </c>
    </row>
    <row r="1025" spans="1:18" s="192" customFormat="1" ht="12">
      <c r="A1025" s="202">
        <v>126171</v>
      </c>
      <c r="B1025" s="195" t="s">
        <v>1395</v>
      </c>
      <c r="C1025" s="217">
        <f>IF(ISNUMBER(VLOOKUP($B:$B,IS!$A:$F,$2:$2,0)),VLOOKUP($B:$B,IS!$A:$F,$2:$2,0),0)</f>
        <v>0</v>
      </c>
      <c r="D1025" s="217">
        <f>IF(ISNUMBER(VLOOKUP($B:$B,IS!$A:$F,$2:$2,0)),VLOOKUP($B:$B,IS!$A:$F,$2:$2,0),0)</f>
        <v>0</v>
      </c>
      <c r="E1025" s="217">
        <f>IF(ISNUMBER(VLOOKUP($B:$B,IS!$A:$F,$2:$2,0)),VLOOKUP($B:$B,IS!$A:$F,$2:$2,0),0)</f>
        <v>0</v>
      </c>
      <c r="F1025" s="217">
        <f>IF(ISNUMBER(VLOOKUP($B:$B,IS!$A:$F,$2:$2,0)),VLOOKUP($B:$B,IS!$A:$F,$2:$2,0),0)</f>
        <v>0</v>
      </c>
      <c r="G1025" s="217">
        <f>IF(ISNUMBER(VLOOKUP($B:$B,IS!$A:$F,$2:$2,0)),VLOOKUP($B:$B,IS!$A:$F,$2:$2,0),0)</f>
        <v>0</v>
      </c>
      <c r="H1025" s="207">
        <f>IF(ISNUMBER(VLOOKUP($B:$B,'IS(과거)'!$A:$F,$2:$2,0)),VLOOKUP($B:$B,'IS(과거)'!$A:$F,$2:$2,0),0)</f>
        <v>0</v>
      </c>
      <c r="I1025" s="207">
        <f>IF(ISNUMBER(VLOOKUP($B:$B,'IS(과거)'!$A:$F,$2:$2,0)),VLOOKUP($B:$B,'IS(과거)'!$A:$F,$2:$2,0),0)</f>
        <v>0</v>
      </c>
      <c r="J1025" s="207">
        <f>IF(ISNUMBER(VLOOKUP($B:$B,'IS(과거)'!$A:$F,$2:$2,0)),VLOOKUP($B:$B,'IS(과거)'!$A:$F,$2:$2,0),0)</f>
        <v>0</v>
      </c>
      <c r="K1025" s="207">
        <f>IF(ISNUMBER(VLOOKUP($B:$B,'IS(과거)'!$A:$F,$2:$2,0)),VLOOKUP($B:$B,'IS(과거)'!$A:$F,$2:$2,0),0)</f>
        <v>0</v>
      </c>
      <c r="L1025" s="207">
        <f>IF(ISNUMBER(VLOOKUP($B:$B,'IS(과거)'!$A:$F,$2:$2,0)),VLOOKUP($B:$B,'IS(과거)'!$A:$F,$2:$2,0),0)</f>
        <v>0</v>
      </c>
      <c r="N1025" s="207">
        <f>IF(ISNUMBER(VLOOKUP($B:$B,'IS(분기)'!$A:$F,$2:$2,0)),VLOOKUP($B:$B,'IS(분기)'!$A:$F,$2:$2,0),0)</f>
        <v>0</v>
      </c>
      <c r="O1025" s="207">
        <f>IF(ISNUMBER(VLOOKUP($B:$B,'IS(분기)'!$A:$F,$2:$2,0)),VLOOKUP($B:$B,'IS(분기)'!$A:$F,$2:$2,0),0)</f>
        <v>0</v>
      </c>
      <c r="P1025" s="207">
        <f>IF(ISNUMBER(VLOOKUP($B:$B,'IS(분기)'!$A:$F,$2:$2,0)),VLOOKUP($B:$B,'IS(분기)'!$A:$F,$2:$2,0),0)</f>
        <v>0</v>
      </c>
      <c r="Q1025" s="207">
        <f>IF(ISNUMBER(VLOOKUP($B:$B,'IS(분기)'!$A:$F,$2:$2,0)),VLOOKUP($B:$B,'IS(분기)'!$A:$F,$2:$2,0),0)</f>
        <v>0</v>
      </c>
      <c r="R1025" s="207">
        <f>IF(ISNUMBER(VLOOKUP($B:$B,'IS(분기)'!$A:$F,$2:$2,0)),VLOOKUP($B:$B,'IS(분기)'!$A:$F,$2:$2,0),0)</f>
        <v>0</v>
      </c>
    </row>
    <row r="1026" spans="1:18" s="192" customFormat="1" ht="12">
      <c r="A1026" s="202">
        <v>126175</v>
      </c>
      <c r="B1026" s="195" t="s">
        <v>1419</v>
      </c>
      <c r="C1026" s="217">
        <f>IF(ISNUMBER(VLOOKUP($B:$B,IS!$A:$F,$2:$2,0)),VLOOKUP($B:$B,IS!$A:$F,$2:$2,0),0)</f>
        <v>0</v>
      </c>
      <c r="D1026" s="217">
        <f>IF(ISNUMBER(VLOOKUP($B:$B,IS!$A:$F,$2:$2,0)),VLOOKUP($B:$B,IS!$A:$F,$2:$2,0),0)</f>
        <v>0</v>
      </c>
      <c r="E1026" s="217">
        <f>IF(ISNUMBER(VLOOKUP($B:$B,IS!$A:$F,$2:$2,0)),VLOOKUP($B:$B,IS!$A:$F,$2:$2,0),0)</f>
        <v>0</v>
      </c>
      <c r="F1026" s="217">
        <f>IF(ISNUMBER(VLOOKUP($B:$B,IS!$A:$F,$2:$2,0)),VLOOKUP($B:$B,IS!$A:$F,$2:$2,0),0)</f>
        <v>0</v>
      </c>
      <c r="G1026" s="217">
        <f>IF(ISNUMBER(VLOOKUP($B:$B,IS!$A:$F,$2:$2,0)),VLOOKUP($B:$B,IS!$A:$F,$2:$2,0),0)</f>
        <v>0</v>
      </c>
      <c r="H1026" s="207">
        <f>IF(ISNUMBER(VLOOKUP($B:$B,'IS(과거)'!$A:$F,$2:$2,0)),VLOOKUP($B:$B,'IS(과거)'!$A:$F,$2:$2,0),0)</f>
        <v>0</v>
      </c>
      <c r="I1026" s="207">
        <f>IF(ISNUMBER(VLOOKUP($B:$B,'IS(과거)'!$A:$F,$2:$2,0)),VLOOKUP($B:$B,'IS(과거)'!$A:$F,$2:$2,0),0)</f>
        <v>0</v>
      </c>
      <c r="J1026" s="207">
        <f>IF(ISNUMBER(VLOOKUP($B:$B,'IS(과거)'!$A:$F,$2:$2,0)),VLOOKUP($B:$B,'IS(과거)'!$A:$F,$2:$2,0),0)</f>
        <v>0</v>
      </c>
      <c r="K1026" s="207">
        <f>IF(ISNUMBER(VLOOKUP($B:$B,'IS(과거)'!$A:$F,$2:$2,0)),VLOOKUP($B:$B,'IS(과거)'!$A:$F,$2:$2,0),0)</f>
        <v>0</v>
      </c>
      <c r="L1026" s="207">
        <f>IF(ISNUMBER(VLOOKUP($B:$B,'IS(과거)'!$A:$F,$2:$2,0)),VLOOKUP($B:$B,'IS(과거)'!$A:$F,$2:$2,0),0)</f>
        <v>0</v>
      </c>
      <c r="N1026" s="207">
        <f>IF(ISNUMBER(VLOOKUP($B:$B,'IS(분기)'!$A:$F,$2:$2,0)),VLOOKUP($B:$B,'IS(분기)'!$A:$F,$2:$2,0),0)</f>
        <v>0</v>
      </c>
      <c r="O1026" s="207">
        <f>IF(ISNUMBER(VLOOKUP($B:$B,'IS(분기)'!$A:$F,$2:$2,0)),VLOOKUP($B:$B,'IS(분기)'!$A:$F,$2:$2,0),0)</f>
        <v>0</v>
      </c>
      <c r="P1026" s="207">
        <f>IF(ISNUMBER(VLOOKUP($B:$B,'IS(분기)'!$A:$F,$2:$2,0)),VLOOKUP($B:$B,'IS(분기)'!$A:$F,$2:$2,0),0)</f>
        <v>0</v>
      </c>
      <c r="Q1026" s="207">
        <f>IF(ISNUMBER(VLOOKUP($B:$B,'IS(분기)'!$A:$F,$2:$2,0)),VLOOKUP($B:$B,'IS(분기)'!$A:$F,$2:$2,0),0)</f>
        <v>0</v>
      </c>
      <c r="R1026" s="207">
        <f>IF(ISNUMBER(VLOOKUP($B:$B,'IS(분기)'!$A:$F,$2:$2,0)),VLOOKUP($B:$B,'IS(분기)'!$A:$F,$2:$2,0),0)</f>
        <v>0</v>
      </c>
    </row>
    <row r="1027" spans="1:18" s="192" customFormat="1" ht="12">
      <c r="A1027" s="202">
        <v>126142</v>
      </c>
      <c r="B1027" s="195" t="s">
        <v>1420</v>
      </c>
      <c r="C1027" s="217">
        <f>IF(ISNUMBER(VLOOKUP($B:$B,IS!$A:$F,$2:$2,0)),VLOOKUP($B:$B,IS!$A:$F,$2:$2,0),0)</f>
        <v>0</v>
      </c>
      <c r="D1027" s="217">
        <f>IF(ISNUMBER(VLOOKUP($B:$B,IS!$A:$F,$2:$2,0)),VLOOKUP($B:$B,IS!$A:$F,$2:$2,0),0)</f>
        <v>0</v>
      </c>
      <c r="E1027" s="217">
        <f>IF(ISNUMBER(VLOOKUP($B:$B,IS!$A:$F,$2:$2,0)),VLOOKUP($B:$B,IS!$A:$F,$2:$2,0),0)</f>
        <v>0</v>
      </c>
      <c r="F1027" s="217">
        <f>IF(ISNUMBER(VLOOKUP($B:$B,IS!$A:$F,$2:$2,0)),VLOOKUP($B:$B,IS!$A:$F,$2:$2,0),0)</f>
        <v>0</v>
      </c>
      <c r="G1027" s="217">
        <f>IF(ISNUMBER(VLOOKUP($B:$B,IS!$A:$F,$2:$2,0)),VLOOKUP($B:$B,IS!$A:$F,$2:$2,0),0)</f>
        <v>0</v>
      </c>
      <c r="H1027" s="207">
        <f>IF(ISNUMBER(VLOOKUP($B:$B,'IS(과거)'!$A:$F,$2:$2,0)),VLOOKUP($B:$B,'IS(과거)'!$A:$F,$2:$2,0),0)</f>
        <v>0</v>
      </c>
      <c r="I1027" s="207">
        <f>IF(ISNUMBER(VLOOKUP($B:$B,'IS(과거)'!$A:$F,$2:$2,0)),VLOOKUP($B:$B,'IS(과거)'!$A:$F,$2:$2,0),0)</f>
        <v>0</v>
      </c>
      <c r="J1027" s="207">
        <f>IF(ISNUMBER(VLOOKUP($B:$B,'IS(과거)'!$A:$F,$2:$2,0)),VLOOKUP($B:$B,'IS(과거)'!$A:$F,$2:$2,0),0)</f>
        <v>0</v>
      </c>
      <c r="K1027" s="207">
        <f>IF(ISNUMBER(VLOOKUP($B:$B,'IS(과거)'!$A:$F,$2:$2,0)),VLOOKUP($B:$B,'IS(과거)'!$A:$F,$2:$2,0),0)</f>
        <v>0</v>
      </c>
      <c r="L1027" s="207">
        <f>IF(ISNUMBER(VLOOKUP($B:$B,'IS(과거)'!$A:$F,$2:$2,0)),VLOOKUP($B:$B,'IS(과거)'!$A:$F,$2:$2,0),0)</f>
        <v>0</v>
      </c>
      <c r="N1027" s="207">
        <f>IF(ISNUMBER(VLOOKUP($B:$B,'IS(분기)'!$A:$F,$2:$2,0)),VLOOKUP($B:$B,'IS(분기)'!$A:$F,$2:$2,0),0)</f>
        <v>0</v>
      </c>
      <c r="O1027" s="207">
        <f>IF(ISNUMBER(VLOOKUP($B:$B,'IS(분기)'!$A:$F,$2:$2,0)),VLOOKUP($B:$B,'IS(분기)'!$A:$F,$2:$2,0),0)</f>
        <v>0</v>
      </c>
      <c r="P1027" s="207">
        <f>IF(ISNUMBER(VLOOKUP($B:$B,'IS(분기)'!$A:$F,$2:$2,0)),VLOOKUP($B:$B,'IS(분기)'!$A:$F,$2:$2,0),0)</f>
        <v>0</v>
      </c>
      <c r="Q1027" s="207">
        <f>IF(ISNUMBER(VLOOKUP($B:$B,'IS(분기)'!$A:$F,$2:$2,0)),VLOOKUP($B:$B,'IS(분기)'!$A:$F,$2:$2,0),0)</f>
        <v>0</v>
      </c>
      <c r="R1027" s="207">
        <f>IF(ISNUMBER(VLOOKUP($B:$B,'IS(분기)'!$A:$F,$2:$2,0)),VLOOKUP($B:$B,'IS(분기)'!$A:$F,$2:$2,0),0)</f>
        <v>0</v>
      </c>
    </row>
    <row r="1028" spans="1:18" s="192" customFormat="1" ht="12">
      <c r="A1028" s="202">
        <v>126177</v>
      </c>
      <c r="B1028" s="195" t="s">
        <v>1421</v>
      </c>
      <c r="C1028" s="217">
        <f>IF(ISNUMBER(VLOOKUP($B:$B,IS!$A:$F,$2:$2,0)),VLOOKUP($B:$B,IS!$A:$F,$2:$2,0),0)</f>
        <v>0</v>
      </c>
      <c r="D1028" s="217">
        <f>IF(ISNUMBER(VLOOKUP($B:$B,IS!$A:$F,$2:$2,0)),VLOOKUP($B:$B,IS!$A:$F,$2:$2,0),0)</f>
        <v>0</v>
      </c>
      <c r="E1028" s="217">
        <f>IF(ISNUMBER(VLOOKUP($B:$B,IS!$A:$F,$2:$2,0)),VLOOKUP($B:$B,IS!$A:$F,$2:$2,0),0)</f>
        <v>0</v>
      </c>
      <c r="F1028" s="217">
        <f>IF(ISNUMBER(VLOOKUP($B:$B,IS!$A:$F,$2:$2,0)),VLOOKUP($B:$B,IS!$A:$F,$2:$2,0),0)</f>
        <v>0</v>
      </c>
      <c r="G1028" s="217">
        <f>IF(ISNUMBER(VLOOKUP($B:$B,IS!$A:$F,$2:$2,0)),VLOOKUP($B:$B,IS!$A:$F,$2:$2,0),0)</f>
        <v>0</v>
      </c>
      <c r="H1028" s="207">
        <f>IF(ISNUMBER(VLOOKUP($B:$B,'IS(과거)'!$A:$F,$2:$2,0)),VLOOKUP($B:$B,'IS(과거)'!$A:$F,$2:$2,0),0)</f>
        <v>0</v>
      </c>
      <c r="I1028" s="207">
        <f>IF(ISNUMBER(VLOOKUP($B:$B,'IS(과거)'!$A:$F,$2:$2,0)),VLOOKUP($B:$B,'IS(과거)'!$A:$F,$2:$2,0),0)</f>
        <v>0</v>
      </c>
      <c r="J1028" s="207">
        <f>IF(ISNUMBER(VLOOKUP($B:$B,'IS(과거)'!$A:$F,$2:$2,0)),VLOOKUP($B:$B,'IS(과거)'!$A:$F,$2:$2,0),0)</f>
        <v>0</v>
      </c>
      <c r="K1028" s="207">
        <f>IF(ISNUMBER(VLOOKUP($B:$B,'IS(과거)'!$A:$F,$2:$2,0)),VLOOKUP($B:$B,'IS(과거)'!$A:$F,$2:$2,0),0)</f>
        <v>0</v>
      </c>
      <c r="L1028" s="207">
        <f>IF(ISNUMBER(VLOOKUP($B:$B,'IS(과거)'!$A:$F,$2:$2,0)),VLOOKUP($B:$B,'IS(과거)'!$A:$F,$2:$2,0),0)</f>
        <v>0</v>
      </c>
      <c r="N1028" s="207">
        <f>IF(ISNUMBER(VLOOKUP($B:$B,'IS(분기)'!$A:$F,$2:$2,0)),VLOOKUP($B:$B,'IS(분기)'!$A:$F,$2:$2,0),0)</f>
        <v>0</v>
      </c>
      <c r="O1028" s="207">
        <f>IF(ISNUMBER(VLOOKUP($B:$B,'IS(분기)'!$A:$F,$2:$2,0)),VLOOKUP($B:$B,'IS(분기)'!$A:$F,$2:$2,0),0)</f>
        <v>0</v>
      </c>
      <c r="P1028" s="207">
        <f>IF(ISNUMBER(VLOOKUP($B:$B,'IS(분기)'!$A:$F,$2:$2,0)),VLOOKUP($B:$B,'IS(분기)'!$A:$F,$2:$2,0),0)</f>
        <v>0</v>
      </c>
      <c r="Q1028" s="207">
        <f>IF(ISNUMBER(VLOOKUP($B:$B,'IS(분기)'!$A:$F,$2:$2,0)),VLOOKUP($B:$B,'IS(분기)'!$A:$F,$2:$2,0),0)</f>
        <v>0</v>
      </c>
      <c r="R1028" s="207">
        <f>IF(ISNUMBER(VLOOKUP($B:$B,'IS(분기)'!$A:$F,$2:$2,0)),VLOOKUP($B:$B,'IS(분기)'!$A:$F,$2:$2,0),0)</f>
        <v>0</v>
      </c>
    </row>
    <row r="1029" spans="1:18" s="192" customFormat="1" ht="12">
      <c r="A1029" s="202">
        <v>126173</v>
      </c>
      <c r="B1029" s="195" t="s">
        <v>1422</v>
      </c>
      <c r="C1029" s="217">
        <f>IF(ISNUMBER(VLOOKUP($B:$B,IS!$A:$F,$2:$2,0)),VLOOKUP($B:$B,IS!$A:$F,$2:$2,0),0)</f>
        <v>0</v>
      </c>
      <c r="D1029" s="217">
        <f>IF(ISNUMBER(VLOOKUP($B:$B,IS!$A:$F,$2:$2,0)),VLOOKUP($B:$B,IS!$A:$F,$2:$2,0),0)</f>
        <v>0</v>
      </c>
      <c r="E1029" s="217">
        <f>IF(ISNUMBER(VLOOKUP($B:$B,IS!$A:$F,$2:$2,0)),VLOOKUP($B:$B,IS!$A:$F,$2:$2,0),0)</f>
        <v>0</v>
      </c>
      <c r="F1029" s="217">
        <f>IF(ISNUMBER(VLOOKUP($B:$B,IS!$A:$F,$2:$2,0)),VLOOKUP($B:$B,IS!$A:$F,$2:$2,0),0)</f>
        <v>0</v>
      </c>
      <c r="G1029" s="217">
        <f>IF(ISNUMBER(VLOOKUP($B:$B,IS!$A:$F,$2:$2,0)),VLOOKUP($B:$B,IS!$A:$F,$2:$2,0),0)</f>
        <v>0</v>
      </c>
      <c r="H1029" s="207">
        <f>IF(ISNUMBER(VLOOKUP($B:$B,'IS(과거)'!$A:$F,$2:$2,0)),VLOOKUP($B:$B,'IS(과거)'!$A:$F,$2:$2,0),0)</f>
        <v>0</v>
      </c>
      <c r="I1029" s="207">
        <f>IF(ISNUMBER(VLOOKUP($B:$B,'IS(과거)'!$A:$F,$2:$2,0)),VLOOKUP($B:$B,'IS(과거)'!$A:$F,$2:$2,0),0)</f>
        <v>0</v>
      </c>
      <c r="J1029" s="207">
        <f>IF(ISNUMBER(VLOOKUP($B:$B,'IS(과거)'!$A:$F,$2:$2,0)),VLOOKUP($B:$B,'IS(과거)'!$A:$F,$2:$2,0),0)</f>
        <v>0</v>
      </c>
      <c r="K1029" s="207">
        <f>IF(ISNUMBER(VLOOKUP($B:$B,'IS(과거)'!$A:$F,$2:$2,0)),VLOOKUP($B:$B,'IS(과거)'!$A:$F,$2:$2,0),0)</f>
        <v>0</v>
      </c>
      <c r="L1029" s="207">
        <f>IF(ISNUMBER(VLOOKUP($B:$B,'IS(과거)'!$A:$F,$2:$2,0)),VLOOKUP($B:$B,'IS(과거)'!$A:$F,$2:$2,0),0)</f>
        <v>0</v>
      </c>
      <c r="N1029" s="207">
        <f>IF(ISNUMBER(VLOOKUP($B:$B,'IS(분기)'!$A:$F,$2:$2,0)),VLOOKUP($B:$B,'IS(분기)'!$A:$F,$2:$2,0),0)</f>
        <v>0</v>
      </c>
      <c r="O1029" s="207">
        <f>IF(ISNUMBER(VLOOKUP($B:$B,'IS(분기)'!$A:$F,$2:$2,0)),VLOOKUP($B:$B,'IS(분기)'!$A:$F,$2:$2,0),0)</f>
        <v>0</v>
      </c>
      <c r="P1029" s="207">
        <f>IF(ISNUMBER(VLOOKUP($B:$B,'IS(분기)'!$A:$F,$2:$2,0)),VLOOKUP($B:$B,'IS(분기)'!$A:$F,$2:$2,0),0)</f>
        <v>0</v>
      </c>
      <c r="Q1029" s="207">
        <f>IF(ISNUMBER(VLOOKUP($B:$B,'IS(분기)'!$A:$F,$2:$2,0)),VLOOKUP($B:$B,'IS(분기)'!$A:$F,$2:$2,0),0)</f>
        <v>0</v>
      </c>
      <c r="R1029" s="207">
        <f>IF(ISNUMBER(VLOOKUP($B:$B,'IS(분기)'!$A:$F,$2:$2,0)),VLOOKUP($B:$B,'IS(분기)'!$A:$F,$2:$2,0),0)</f>
        <v>0</v>
      </c>
    </row>
    <row r="1030" spans="1:18" s="192" customFormat="1" ht="12">
      <c r="A1030" s="202">
        <v>126143</v>
      </c>
      <c r="B1030" s="195" t="s">
        <v>1423</v>
      </c>
      <c r="C1030" s="217">
        <f>IF(ISNUMBER(VLOOKUP($B:$B,IS!$A:$F,$2:$2,0)),VLOOKUP($B:$B,IS!$A:$F,$2:$2,0),0)</f>
        <v>0</v>
      </c>
      <c r="D1030" s="217">
        <f>IF(ISNUMBER(VLOOKUP($B:$B,IS!$A:$F,$2:$2,0)),VLOOKUP($B:$B,IS!$A:$F,$2:$2,0),0)</f>
        <v>0</v>
      </c>
      <c r="E1030" s="217">
        <f>IF(ISNUMBER(VLOOKUP($B:$B,IS!$A:$F,$2:$2,0)),VLOOKUP($B:$B,IS!$A:$F,$2:$2,0),0)</f>
        <v>0</v>
      </c>
      <c r="F1030" s="217">
        <f>IF(ISNUMBER(VLOOKUP($B:$B,IS!$A:$F,$2:$2,0)),VLOOKUP($B:$B,IS!$A:$F,$2:$2,0),0)</f>
        <v>0</v>
      </c>
      <c r="G1030" s="217">
        <f>IF(ISNUMBER(VLOOKUP($B:$B,IS!$A:$F,$2:$2,0)),VLOOKUP($B:$B,IS!$A:$F,$2:$2,0),0)</f>
        <v>0</v>
      </c>
      <c r="H1030" s="207">
        <f>IF(ISNUMBER(VLOOKUP($B:$B,'IS(과거)'!$A:$F,$2:$2,0)),VLOOKUP($B:$B,'IS(과거)'!$A:$F,$2:$2,0),0)</f>
        <v>0</v>
      </c>
      <c r="I1030" s="207">
        <f>IF(ISNUMBER(VLOOKUP($B:$B,'IS(과거)'!$A:$F,$2:$2,0)),VLOOKUP($B:$B,'IS(과거)'!$A:$F,$2:$2,0),0)</f>
        <v>0</v>
      </c>
      <c r="J1030" s="207">
        <f>IF(ISNUMBER(VLOOKUP($B:$B,'IS(과거)'!$A:$F,$2:$2,0)),VLOOKUP($B:$B,'IS(과거)'!$A:$F,$2:$2,0),0)</f>
        <v>0</v>
      </c>
      <c r="K1030" s="207">
        <f>IF(ISNUMBER(VLOOKUP($B:$B,'IS(과거)'!$A:$F,$2:$2,0)),VLOOKUP($B:$B,'IS(과거)'!$A:$F,$2:$2,0),0)</f>
        <v>0</v>
      </c>
      <c r="L1030" s="207">
        <f>IF(ISNUMBER(VLOOKUP($B:$B,'IS(과거)'!$A:$F,$2:$2,0)),VLOOKUP($B:$B,'IS(과거)'!$A:$F,$2:$2,0),0)</f>
        <v>0</v>
      </c>
      <c r="N1030" s="207">
        <f>IF(ISNUMBER(VLOOKUP($B:$B,'IS(분기)'!$A:$F,$2:$2,0)),VLOOKUP($B:$B,'IS(분기)'!$A:$F,$2:$2,0),0)</f>
        <v>0</v>
      </c>
      <c r="O1030" s="207">
        <f>IF(ISNUMBER(VLOOKUP($B:$B,'IS(분기)'!$A:$F,$2:$2,0)),VLOOKUP($B:$B,'IS(분기)'!$A:$F,$2:$2,0),0)</f>
        <v>0</v>
      </c>
      <c r="P1030" s="207">
        <f>IF(ISNUMBER(VLOOKUP($B:$B,'IS(분기)'!$A:$F,$2:$2,0)),VLOOKUP($B:$B,'IS(분기)'!$A:$F,$2:$2,0),0)</f>
        <v>0</v>
      </c>
      <c r="Q1030" s="207">
        <f>IF(ISNUMBER(VLOOKUP($B:$B,'IS(분기)'!$A:$F,$2:$2,0)),VLOOKUP($B:$B,'IS(분기)'!$A:$F,$2:$2,0),0)</f>
        <v>0</v>
      </c>
      <c r="R1030" s="207">
        <f>IF(ISNUMBER(VLOOKUP($B:$B,'IS(분기)'!$A:$F,$2:$2,0)),VLOOKUP($B:$B,'IS(분기)'!$A:$F,$2:$2,0),0)</f>
        <v>0</v>
      </c>
    </row>
    <row r="1031" spans="1:18" s="192" customFormat="1" ht="12">
      <c r="A1031" s="202">
        <v>126415</v>
      </c>
      <c r="B1031" s="195" t="s">
        <v>1424</v>
      </c>
      <c r="C1031" s="217">
        <f>IF(ISNUMBER(VLOOKUP($B:$B,IS!$A:$F,$2:$2,0)),VLOOKUP($B:$B,IS!$A:$F,$2:$2,0),0)</f>
        <v>0</v>
      </c>
      <c r="D1031" s="217">
        <f>IF(ISNUMBER(VLOOKUP($B:$B,IS!$A:$F,$2:$2,0)),VLOOKUP($B:$B,IS!$A:$F,$2:$2,0),0)</f>
        <v>0</v>
      </c>
      <c r="E1031" s="217">
        <f>IF(ISNUMBER(VLOOKUP($B:$B,IS!$A:$F,$2:$2,0)),VLOOKUP($B:$B,IS!$A:$F,$2:$2,0),0)</f>
        <v>0</v>
      </c>
      <c r="F1031" s="217">
        <f>IF(ISNUMBER(VLOOKUP($B:$B,IS!$A:$F,$2:$2,0)),VLOOKUP($B:$B,IS!$A:$F,$2:$2,0),0)</f>
        <v>0</v>
      </c>
      <c r="G1031" s="217">
        <f>IF(ISNUMBER(VLOOKUP($B:$B,IS!$A:$F,$2:$2,0)),VLOOKUP($B:$B,IS!$A:$F,$2:$2,0),0)</f>
        <v>0</v>
      </c>
      <c r="H1031" s="207">
        <f>IF(ISNUMBER(VLOOKUP($B:$B,'IS(과거)'!$A:$F,$2:$2,0)),VLOOKUP($B:$B,'IS(과거)'!$A:$F,$2:$2,0),0)</f>
        <v>0</v>
      </c>
      <c r="I1031" s="207">
        <f>IF(ISNUMBER(VLOOKUP($B:$B,'IS(과거)'!$A:$F,$2:$2,0)),VLOOKUP($B:$B,'IS(과거)'!$A:$F,$2:$2,0),0)</f>
        <v>0</v>
      </c>
      <c r="J1031" s="207">
        <f>IF(ISNUMBER(VLOOKUP($B:$B,'IS(과거)'!$A:$F,$2:$2,0)),VLOOKUP($B:$B,'IS(과거)'!$A:$F,$2:$2,0),0)</f>
        <v>0</v>
      </c>
      <c r="K1031" s="207">
        <f>IF(ISNUMBER(VLOOKUP($B:$B,'IS(과거)'!$A:$F,$2:$2,0)),VLOOKUP($B:$B,'IS(과거)'!$A:$F,$2:$2,0),0)</f>
        <v>0</v>
      </c>
      <c r="L1031" s="207">
        <f>IF(ISNUMBER(VLOOKUP($B:$B,'IS(과거)'!$A:$F,$2:$2,0)),VLOOKUP($B:$B,'IS(과거)'!$A:$F,$2:$2,0),0)</f>
        <v>0</v>
      </c>
      <c r="N1031" s="207">
        <f>IF(ISNUMBER(VLOOKUP($B:$B,'IS(분기)'!$A:$F,$2:$2,0)),VLOOKUP($B:$B,'IS(분기)'!$A:$F,$2:$2,0),0)</f>
        <v>0</v>
      </c>
      <c r="O1031" s="207">
        <f>IF(ISNUMBER(VLOOKUP($B:$B,'IS(분기)'!$A:$F,$2:$2,0)),VLOOKUP($B:$B,'IS(분기)'!$A:$F,$2:$2,0),0)</f>
        <v>0</v>
      </c>
      <c r="P1031" s="207">
        <f>IF(ISNUMBER(VLOOKUP($B:$B,'IS(분기)'!$A:$F,$2:$2,0)),VLOOKUP($B:$B,'IS(분기)'!$A:$F,$2:$2,0),0)</f>
        <v>0</v>
      </c>
      <c r="Q1031" s="207">
        <f>IF(ISNUMBER(VLOOKUP($B:$B,'IS(분기)'!$A:$F,$2:$2,0)),VLOOKUP($B:$B,'IS(분기)'!$A:$F,$2:$2,0),0)</f>
        <v>0</v>
      </c>
      <c r="R1031" s="207">
        <f>IF(ISNUMBER(VLOOKUP($B:$B,'IS(분기)'!$A:$F,$2:$2,0)),VLOOKUP($B:$B,'IS(분기)'!$A:$F,$2:$2,0),0)</f>
        <v>0</v>
      </c>
    </row>
    <row r="1032" spans="1:18" s="192" customFormat="1" ht="12">
      <c r="A1032" s="202">
        <v>126172</v>
      </c>
      <c r="B1032" s="195" t="s">
        <v>1425</v>
      </c>
      <c r="C1032" s="217">
        <f>IF(ISNUMBER(VLOOKUP($B:$B,IS!$A:$F,$2:$2,0)),VLOOKUP($B:$B,IS!$A:$F,$2:$2,0),0)</f>
        <v>0</v>
      </c>
      <c r="D1032" s="217">
        <f>IF(ISNUMBER(VLOOKUP($B:$B,IS!$A:$F,$2:$2,0)),VLOOKUP($B:$B,IS!$A:$F,$2:$2,0),0)</f>
        <v>0</v>
      </c>
      <c r="E1032" s="217">
        <f>IF(ISNUMBER(VLOOKUP($B:$B,IS!$A:$F,$2:$2,0)),VLOOKUP($B:$B,IS!$A:$F,$2:$2,0),0)</f>
        <v>0</v>
      </c>
      <c r="F1032" s="217">
        <f>IF(ISNUMBER(VLOOKUP($B:$B,IS!$A:$F,$2:$2,0)),VLOOKUP($B:$B,IS!$A:$F,$2:$2,0),0)</f>
        <v>0</v>
      </c>
      <c r="G1032" s="217">
        <f>IF(ISNUMBER(VLOOKUP($B:$B,IS!$A:$F,$2:$2,0)),VLOOKUP($B:$B,IS!$A:$F,$2:$2,0),0)</f>
        <v>0</v>
      </c>
      <c r="H1032" s="207">
        <f>IF(ISNUMBER(VLOOKUP($B:$B,'IS(과거)'!$A:$F,$2:$2,0)),VLOOKUP($B:$B,'IS(과거)'!$A:$F,$2:$2,0),0)</f>
        <v>0</v>
      </c>
      <c r="I1032" s="207">
        <f>IF(ISNUMBER(VLOOKUP($B:$B,'IS(과거)'!$A:$F,$2:$2,0)),VLOOKUP($B:$B,'IS(과거)'!$A:$F,$2:$2,0),0)</f>
        <v>0</v>
      </c>
      <c r="J1032" s="207">
        <f>IF(ISNUMBER(VLOOKUP($B:$B,'IS(과거)'!$A:$F,$2:$2,0)),VLOOKUP($B:$B,'IS(과거)'!$A:$F,$2:$2,0),0)</f>
        <v>0</v>
      </c>
      <c r="K1032" s="207">
        <f>IF(ISNUMBER(VLOOKUP($B:$B,'IS(과거)'!$A:$F,$2:$2,0)),VLOOKUP($B:$B,'IS(과거)'!$A:$F,$2:$2,0),0)</f>
        <v>0</v>
      </c>
      <c r="L1032" s="207">
        <f>IF(ISNUMBER(VLOOKUP($B:$B,'IS(과거)'!$A:$F,$2:$2,0)),VLOOKUP($B:$B,'IS(과거)'!$A:$F,$2:$2,0),0)</f>
        <v>0</v>
      </c>
      <c r="N1032" s="207">
        <f>IF(ISNUMBER(VLOOKUP($B:$B,'IS(분기)'!$A:$F,$2:$2,0)),VLOOKUP($B:$B,'IS(분기)'!$A:$F,$2:$2,0),0)</f>
        <v>0</v>
      </c>
      <c r="O1032" s="207">
        <f>IF(ISNUMBER(VLOOKUP($B:$B,'IS(분기)'!$A:$F,$2:$2,0)),VLOOKUP($B:$B,'IS(분기)'!$A:$F,$2:$2,0),0)</f>
        <v>0</v>
      </c>
      <c r="P1032" s="207">
        <f>IF(ISNUMBER(VLOOKUP($B:$B,'IS(분기)'!$A:$F,$2:$2,0)),VLOOKUP($B:$B,'IS(분기)'!$A:$F,$2:$2,0),0)</f>
        <v>0</v>
      </c>
      <c r="Q1032" s="207">
        <f>IF(ISNUMBER(VLOOKUP($B:$B,'IS(분기)'!$A:$F,$2:$2,0)),VLOOKUP($B:$B,'IS(분기)'!$A:$F,$2:$2,0),0)</f>
        <v>0</v>
      </c>
      <c r="R1032" s="207">
        <f>IF(ISNUMBER(VLOOKUP($B:$B,'IS(분기)'!$A:$F,$2:$2,0)),VLOOKUP($B:$B,'IS(분기)'!$A:$F,$2:$2,0),0)</f>
        <v>0</v>
      </c>
    </row>
    <row r="1033" spans="1:18" s="192" customFormat="1" ht="12">
      <c r="A1033" s="201">
        <v>126174</v>
      </c>
      <c r="B1033" s="194" t="s">
        <v>725</v>
      </c>
      <c r="C1033" s="217">
        <f>IF(ISNUMBER(VLOOKUP($B:$B,IS!$A:$F,$2:$2,0)),VLOOKUP($B:$B,IS!$A:$F,$2:$2,0),0)</f>
        <v>0</v>
      </c>
      <c r="D1033" s="217">
        <f>IF(ISNUMBER(VLOOKUP($B:$B,IS!$A:$F,$2:$2,0)),VLOOKUP($B:$B,IS!$A:$F,$2:$2,0),0)</f>
        <v>0</v>
      </c>
      <c r="E1033" s="217">
        <f>IF(ISNUMBER(VLOOKUP($B:$B,IS!$A:$F,$2:$2,0)),VLOOKUP($B:$B,IS!$A:$F,$2:$2,0),0)</f>
        <v>0</v>
      </c>
      <c r="F1033" s="217">
        <f>IF(ISNUMBER(VLOOKUP($B:$B,IS!$A:$F,$2:$2,0)),VLOOKUP($B:$B,IS!$A:$F,$2:$2,0),0)</f>
        <v>0</v>
      </c>
      <c r="G1033" s="217">
        <f>IF(ISNUMBER(VLOOKUP($B:$B,IS!$A:$F,$2:$2,0)),VLOOKUP($B:$B,IS!$A:$F,$2:$2,0),0)</f>
        <v>0</v>
      </c>
      <c r="H1033" s="207">
        <f>IF(ISNUMBER(VLOOKUP($B:$B,'IS(과거)'!$A:$F,$2:$2,0)),VLOOKUP($B:$B,'IS(과거)'!$A:$F,$2:$2,0),0)</f>
        <v>0</v>
      </c>
      <c r="I1033" s="207">
        <f>IF(ISNUMBER(VLOOKUP($B:$B,'IS(과거)'!$A:$F,$2:$2,0)),VLOOKUP($B:$B,'IS(과거)'!$A:$F,$2:$2,0),0)</f>
        <v>0</v>
      </c>
      <c r="J1033" s="207">
        <f>IF(ISNUMBER(VLOOKUP($B:$B,'IS(과거)'!$A:$F,$2:$2,0)),VLOOKUP($B:$B,'IS(과거)'!$A:$F,$2:$2,0),0)</f>
        <v>0</v>
      </c>
      <c r="K1033" s="207">
        <f>IF(ISNUMBER(VLOOKUP($B:$B,'IS(과거)'!$A:$F,$2:$2,0)),VLOOKUP($B:$B,'IS(과거)'!$A:$F,$2:$2,0),0)</f>
        <v>0</v>
      </c>
      <c r="L1033" s="207">
        <f>IF(ISNUMBER(VLOOKUP($B:$B,'IS(과거)'!$A:$F,$2:$2,0)),VLOOKUP($B:$B,'IS(과거)'!$A:$F,$2:$2,0),0)</f>
        <v>0</v>
      </c>
      <c r="N1033" s="207">
        <f>IF(ISNUMBER(VLOOKUP($B:$B,'IS(분기)'!$A:$F,$2:$2,0)),VLOOKUP($B:$B,'IS(분기)'!$A:$F,$2:$2,0),0)</f>
        <v>0</v>
      </c>
      <c r="O1033" s="207">
        <f>IF(ISNUMBER(VLOOKUP($B:$B,'IS(분기)'!$A:$F,$2:$2,0)),VLOOKUP($B:$B,'IS(분기)'!$A:$F,$2:$2,0),0)</f>
        <v>0</v>
      </c>
      <c r="P1033" s="207">
        <f>IF(ISNUMBER(VLOOKUP($B:$B,'IS(분기)'!$A:$F,$2:$2,0)),VLOOKUP($B:$B,'IS(분기)'!$A:$F,$2:$2,0),0)</f>
        <v>0</v>
      </c>
      <c r="Q1033" s="207">
        <f>IF(ISNUMBER(VLOOKUP($B:$B,'IS(분기)'!$A:$F,$2:$2,0)),VLOOKUP($B:$B,'IS(분기)'!$A:$F,$2:$2,0),0)</f>
        <v>0</v>
      </c>
      <c r="R1033" s="207">
        <f>IF(ISNUMBER(VLOOKUP($B:$B,'IS(분기)'!$A:$F,$2:$2,0)),VLOOKUP($B:$B,'IS(분기)'!$A:$F,$2:$2,0),0)</f>
        <v>0</v>
      </c>
    </row>
    <row r="1034" spans="1:18" s="192" customFormat="1" ht="12">
      <c r="A1034" s="201">
        <v>126180</v>
      </c>
      <c r="B1034" s="194" t="s">
        <v>726</v>
      </c>
      <c r="C1034" s="217">
        <f>IF(ISNUMBER(VLOOKUP($B:$B,IS!$A:$F,$2:$2,0)),VLOOKUP($B:$B,IS!$A:$F,$2:$2,0),0)</f>
        <v>0</v>
      </c>
      <c r="D1034" s="217">
        <f>IF(ISNUMBER(VLOOKUP($B:$B,IS!$A:$F,$2:$2,0)),VLOOKUP($B:$B,IS!$A:$F,$2:$2,0),0)</f>
        <v>0</v>
      </c>
      <c r="E1034" s="217">
        <f>IF(ISNUMBER(VLOOKUP($B:$B,IS!$A:$F,$2:$2,0)),VLOOKUP($B:$B,IS!$A:$F,$2:$2,0),0)</f>
        <v>0</v>
      </c>
      <c r="F1034" s="217">
        <f>IF(ISNUMBER(VLOOKUP($B:$B,IS!$A:$F,$2:$2,0)),VLOOKUP($B:$B,IS!$A:$F,$2:$2,0),0)</f>
        <v>0</v>
      </c>
      <c r="G1034" s="217">
        <f>IF(ISNUMBER(VLOOKUP($B:$B,IS!$A:$F,$2:$2,0)),VLOOKUP($B:$B,IS!$A:$F,$2:$2,0),0)</f>
        <v>0</v>
      </c>
      <c r="H1034" s="207">
        <f>IF(ISNUMBER(VLOOKUP($B:$B,'IS(과거)'!$A:$F,$2:$2,0)),VLOOKUP($B:$B,'IS(과거)'!$A:$F,$2:$2,0),0)</f>
        <v>0</v>
      </c>
      <c r="I1034" s="207">
        <f>IF(ISNUMBER(VLOOKUP($B:$B,'IS(과거)'!$A:$F,$2:$2,0)),VLOOKUP($B:$B,'IS(과거)'!$A:$F,$2:$2,0),0)</f>
        <v>0</v>
      </c>
      <c r="J1034" s="207">
        <f>IF(ISNUMBER(VLOOKUP($B:$B,'IS(과거)'!$A:$F,$2:$2,0)),VLOOKUP($B:$B,'IS(과거)'!$A:$F,$2:$2,0),0)</f>
        <v>0</v>
      </c>
      <c r="K1034" s="207">
        <f>IF(ISNUMBER(VLOOKUP($B:$B,'IS(과거)'!$A:$F,$2:$2,0)),VLOOKUP($B:$B,'IS(과거)'!$A:$F,$2:$2,0),0)</f>
        <v>0</v>
      </c>
      <c r="L1034" s="207">
        <f>IF(ISNUMBER(VLOOKUP($B:$B,'IS(과거)'!$A:$F,$2:$2,0)),VLOOKUP($B:$B,'IS(과거)'!$A:$F,$2:$2,0),0)</f>
        <v>0</v>
      </c>
      <c r="N1034" s="207">
        <f>IF(ISNUMBER(VLOOKUP($B:$B,'IS(분기)'!$A:$F,$2:$2,0)),VLOOKUP($B:$B,'IS(분기)'!$A:$F,$2:$2,0),0)</f>
        <v>0</v>
      </c>
      <c r="O1034" s="207">
        <f>IF(ISNUMBER(VLOOKUP($B:$B,'IS(분기)'!$A:$F,$2:$2,0)),VLOOKUP($B:$B,'IS(분기)'!$A:$F,$2:$2,0),0)</f>
        <v>0</v>
      </c>
      <c r="P1034" s="207">
        <f>IF(ISNUMBER(VLOOKUP($B:$B,'IS(분기)'!$A:$F,$2:$2,0)),VLOOKUP($B:$B,'IS(분기)'!$A:$F,$2:$2,0),0)</f>
        <v>0</v>
      </c>
      <c r="Q1034" s="207">
        <f>IF(ISNUMBER(VLOOKUP($B:$B,'IS(분기)'!$A:$F,$2:$2,0)),VLOOKUP($B:$B,'IS(분기)'!$A:$F,$2:$2,0),0)</f>
        <v>0</v>
      </c>
      <c r="R1034" s="207">
        <f>IF(ISNUMBER(VLOOKUP($B:$B,'IS(분기)'!$A:$F,$2:$2,0)),VLOOKUP($B:$B,'IS(분기)'!$A:$F,$2:$2,0),0)</f>
        <v>0</v>
      </c>
    </row>
    <row r="1035" spans="1:18" s="192" customFormat="1" ht="12">
      <c r="A1035" s="319">
        <v>126181</v>
      </c>
      <c r="B1035" s="320" t="s">
        <v>1455</v>
      </c>
      <c r="C1035" s="217">
        <f>IF(ISNUMBER(VLOOKUP($B:$B,IS!$A:$F,$2:$2,0)),VLOOKUP($B:$B,IS!$A:$F,$2:$2,0),0)</f>
        <v>0</v>
      </c>
      <c r="D1035" s="217">
        <f>IF(ISNUMBER(VLOOKUP($B:$B,IS!$A:$F,$2:$2,0)),VLOOKUP($B:$B,IS!$A:$F,$2:$2,0),0)</f>
        <v>0</v>
      </c>
      <c r="E1035" s="217">
        <f>IF(ISNUMBER(VLOOKUP($B:$B,IS!$A:$F,$2:$2,0)),VLOOKUP($B:$B,IS!$A:$F,$2:$2,0),0)</f>
        <v>0</v>
      </c>
      <c r="F1035" s="217">
        <f>IF(ISNUMBER(VLOOKUP($B:$B,IS!$A:$F,$2:$2,0)),VLOOKUP($B:$B,IS!$A:$F,$2:$2,0),0)</f>
        <v>0</v>
      </c>
      <c r="G1035" s="217">
        <f>IF(ISNUMBER(VLOOKUP($B:$B,IS!$A:$F,$2:$2,0)),VLOOKUP($B:$B,IS!$A:$F,$2:$2,0),0)</f>
        <v>0</v>
      </c>
      <c r="H1035" s="207">
        <f>IF(ISNUMBER(VLOOKUP($B:$B,'IS(과거)'!$A:$F,$2:$2,0)),VLOOKUP($B:$B,'IS(과거)'!$A:$F,$2:$2,0),0)</f>
        <v>0</v>
      </c>
      <c r="I1035" s="207">
        <f>IF(ISNUMBER(VLOOKUP($B:$B,'IS(과거)'!$A:$F,$2:$2,0)),VLOOKUP($B:$B,'IS(과거)'!$A:$F,$2:$2,0),0)</f>
        <v>0</v>
      </c>
      <c r="J1035" s="207">
        <f>IF(ISNUMBER(VLOOKUP($B:$B,'IS(과거)'!$A:$F,$2:$2,0)),VLOOKUP($B:$B,'IS(과거)'!$A:$F,$2:$2,0),0)</f>
        <v>0</v>
      </c>
      <c r="K1035" s="207">
        <f>IF(ISNUMBER(VLOOKUP($B:$B,'IS(과거)'!$A:$F,$2:$2,0)),VLOOKUP($B:$B,'IS(과거)'!$A:$F,$2:$2,0),0)</f>
        <v>0</v>
      </c>
      <c r="L1035" s="207">
        <f>IF(ISNUMBER(VLOOKUP($B:$B,'IS(과거)'!$A:$F,$2:$2,0)),VLOOKUP($B:$B,'IS(과거)'!$A:$F,$2:$2,0),0)</f>
        <v>0</v>
      </c>
      <c r="N1035" s="207">
        <f>IF(ISNUMBER(VLOOKUP($B:$B,'IS(분기)'!$A:$F,$2:$2,0)),VLOOKUP($B:$B,'IS(분기)'!$A:$F,$2:$2,0),0)</f>
        <v>0</v>
      </c>
      <c r="O1035" s="207">
        <f>IF(ISNUMBER(VLOOKUP($B:$B,'IS(분기)'!$A:$F,$2:$2,0)),VLOOKUP($B:$B,'IS(분기)'!$A:$F,$2:$2,0),0)</f>
        <v>0</v>
      </c>
      <c r="P1035" s="207">
        <f>IF(ISNUMBER(VLOOKUP($B:$B,'IS(분기)'!$A:$F,$2:$2,0)),VLOOKUP($B:$B,'IS(분기)'!$A:$F,$2:$2,0),0)</f>
        <v>0</v>
      </c>
      <c r="Q1035" s="207">
        <f>IF(ISNUMBER(VLOOKUP($B:$B,'IS(분기)'!$A:$F,$2:$2,0)),VLOOKUP($B:$B,'IS(분기)'!$A:$F,$2:$2,0),0)</f>
        <v>0</v>
      </c>
      <c r="R1035" s="207">
        <f>IF(ISNUMBER(VLOOKUP($B:$B,'IS(분기)'!$A:$F,$2:$2,0)),VLOOKUP($B:$B,'IS(분기)'!$A:$F,$2:$2,0),0)</f>
        <v>0</v>
      </c>
    </row>
    <row r="1036" spans="1:18" s="192" customFormat="1" ht="12">
      <c r="A1036" s="201">
        <v>126200</v>
      </c>
      <c r="B1036" s="194" t="s">
        <v>727</v>
      </c>
      <c r="C1036" s="217">
        <f>IF(ISNUMBER(VLOOKUP($B:$B,IS!$A:$F,$2:$2,0)),VLOOKUP($B:$B,IS!$A:$F,$2:$2,0),0)</f>
        <v>0</v>
      </c>
      <c r="D1036" s="217">
        <f>IF(ISNUMBER(VLOOKUP($B:$B,IS!$A:$F,$2:$2,0)),VLOOKUP($B:$B,IS!$A:$F,$2:$2,0),0)</f>
        <v>0</v>
      </c>
      <c r="E1036" s="217">
        <f>IF(ISNUMBER(VLOOKUP($B:$B,IS!$A:$F,$2:$2,0)),VLOOKUP($B:$B,IS!$A:$F,$2:$2,0),0)</f>
        <v>0</v>
      </c>
      <c r="F1036" s="217">
        <f>IF(ISNUMBER(VLOOKUP($B:$B,IS!$A:$F,$2:$2,0)),VLOOKUP($B:$B,IS!$A:$F,$2:$2,0),0)</f>
        <v>0</v>
      </c>
      <c r="G1036" s="217">
        <f>IF(ISNUMBER(VLOOKUP($B:$B,IS!$A:$F,$2:$2,0)),VLOOKUP($B:$B,IS!$A:$F,$2:$2,0),0)</f>
        <v>0</v>
      </c>
      <c r="H1036" s="207">
        <f>IF(ISNUMBER(VLOOKUP($B:$B,'IS(과거)'!$A:$F,$2:$2,0)),VLOOKUP($B:$B,'IS(과거)'!$A:$F,$2:$2,0),0)</f>
        <v>0</v>
      </c>
      <c r="I1036" s="207">
        <f>IF(ISNUMBER(VLOOKUP($B:$B,'IS(과거)'!$A:$F,$2:$2,0)),VLOOKUP($B:$B,'IS(과거)'!$A:$F,$2:$2,0),0)</f>
        <v>0</v>
      </c>
      <c r="J1036" s="207">
        <f>IF(ISNUMBER(VLOOKUP($B:$B,'IS(과거)'!$A:$F,$2:$2,0)),VLOOKUP($B:$B,'IS(과거)'!$A:$F,$2:$2,0),0)</f>
        <v>0</v>
      </c>
      <c r="K1036" s="207">
        <f>IF(ISNUMBER(VLOOKUP($B:$B,'IS(과거)'!$A:$F,$2:$2,0)),VLOOKUP($B:$B,'IS(과거)'!$A:$F,$2:$2,0),0)</f>
        <v>0</v>
      </c>
      <c r="L1036" s="207">
        <f>IF(ISNUMBER(VLOOKUP($B:$B,'IS(과거)'!$A:$F,$2:$2,0)),VLOOKUP($B:$B,'IS(과거)'!$A:$F,$2:$2,0),0)</f>
        <v>0</v>
      </c>
      <c r="N1036" s="207">
        <f>IF(ISNUMBER(VLOOKUP($B:$B,'IS(분기)'!$A:$F,$2:$2,0)),VLOOKUP($B:$B,'IS(분기)'!$A:$F,$2:$2,0),0)</f>
        <v>0</v>
      </c>
      <c r="O1036" s="207">
        <f>IF(ISNUMBER(VLOOKUP($B:$B,'IS(분기)'!$A:$F,$2:$2,0)),VLOOKUP($B:$B,'IS(분기)'!$A:$F,$2:$2,0),0)</f>
        <v>0</v>
      </c>
      <c r="P1036" s="207">
        <f>IF(ISNUMBER(VLOOKUP($B:$B,'IS(분기)'!$A:$F,$2:$2,0)),VLOOKUP($B:$B,'IS(분기)'!$A:$F,$2:$2,0),0)</f>
        <v>0</v>
      </c>
      <c r="Q1036" s="207">
        <f>IF(ISNUMBER(VLOOKUP($B:$B,'IS(분기)'!$A:$F,$2:$2,0)),VLOOKUP($B:$B,'IS(분기)'!$A:$F,$2:$2,0),0)</f>
        <v>0</v>
      </c>
      <c r="R1036" s="207">
        <f>IF(ISNUMBER(VLOOKUP($B:$B,'IS(분기)'!$A:$F,$2:$2,0)),VLOOKUP($B:$B,'IS(분기)'!$A:$F,$2:$2,0),0)</f>
        <v>0</v>
      </c>
    </row>
    <row r="1037" spans="1:18" s="192" customFormat="1" ht="12">
      <c r="A1037" s="319">
        <v>126210</v>
      </c>
      <c r="B1037" s="320" t="s">
        <v>1454</v>
      </c>
      <c r="C1037" s="217">
        <f>IF(ISNUMBER(VLOOKUP($B:$B,IS!$A:$F,$2:$2,0)),VLOOKUP($B:$B,IS!$A:$F,$2:$2,0),0)</f>
        <v>0</v>
      </c>
      <c r="D1037" s="217">
        <f>IF(ISNUMBER(VLOOKUP($B:$B,IS!$A:$F,$2:$2,0)),VLOOKUP($B:$B,IS!$A:$F,$2:$2,0),0)</f>
        <v>0</v>
      </c>
      <c r="E1037" s="217">
        <f>IF(ISNUMBER(VLOOKUP($B:$B,IS!$A:$F,$2:$2,0)),VLOOKUP($B:$B,IS!$A:$F,$2:$2,0),0)</f>
        <v>0</v>
      </c>
      <c r="F1037" s="217">
        <f>IF(ISNUMBER(VLOOKUP($B:$B,IS!$A:$F,$2:$2,0)),VLOOKUP($B:$B,IS!$A:$F,$2:$2,0),0)</f>
        <v>0</v>
      </c>
      <c r="G1037" s="217">
        <f>IF(ISNUMBER(VLOOKUP($B:$B,IS!$A:$F,$2:$2,0)),VLOOKUP($B:$B,IS!$A:$F,$2:$2,0),0)</f>
        <v>0</v>
      </c>
      <c r="H1037" s="207">
        <f>IF(ISNUMBER(VLOOKUP($B:$B,'IS(과거)'!$A:$F,$2:$2,0)),VLOOKUP($B:$B,'IS(과거)'!$A:$F,$2:$2,0),0)</f>
        <v>0</v>
      </c>
      <c r="I1037" s="207">
        <f>IF(ISNUMBER(VLOOKUP($B:$B,'IS(과거)'!$A:$F,$2:$2,0)),VLOOKUP($B:$B,'IS(과거)'!$A:$F,$2:$2,0),0)</f>
        <v>0</v>
      </c>
      <c r="J1037" s="207">
        <f>IF(ISNUMBER(VLOOKUP($B:$B,'IS(과거)'!$A:$F,$2:$2,0)),VLOOKUP($B:$B,'IS(과거)'!$A:$F,$2:$2,0),0)</f>
        <v>0</v>
      </c>
      <c r="K1037" s="207">
        <f>IF(ISNUMBER(VLOOKUP($B:$B,'IS(과거)'!$A:$F,$2:$2,0)),VLOOKUP($B:$B,'IS(과거)'!$A:$F,$2:$2,0),0)</f>
        <v>0</v>
      </c>
      <c r="L1037" s="207">
        <f>IF(ISNUMBER(VLOOKUP($B:$B,'IS(과거)'!$A:$F,$2:$2,0)),VLOOKUP($B:$B,'IS(과거)'!$A:$F,$2:$2,0),0)</f>
        <v>0</v>
      </c>
      <c r="N1037" s="207">
        <f>IF(ISNUMBER(VLOOKUP($B:$B,'IS(분기)'!$A:$F,$2:$2,0)),VLOOKUP($B:$B,'IS(분기)'!$A:$F,$2:$2,0),0)</f>
        <v>0</v>
      </c>
      <c r="O1037" s="207">
        <f>IF(ISNUMBER(VLOOKUP($B:$B,'IS(분기)'!$A:$F,$2:$2,0)),VLOOKUP($B:$B,'IS(분기)'!$A:$F,$2:$2,0),0)</f>
        <v>0</v>
      </c>
      <c r="P1037" s="207">
        <f>IF(ISNUMBER(VLOOKUP($B:$B,'IS(분기)'!$A:$F,$2:$2,0)),VLOOKUP($B:$B,'IS(분기)'!$A:$F,$2:$2,0),0)</f>
        <v>0</v>
      </c>
      <c r="Q1037" s="207">
        <f>IF(ISNUMBER(VLOOKUP($B:$B,'IS(분기)'!$A:$F,$2:$2,0)),VLOOKUP($B:$B,'IS(분기)'!$A:$F,$2:$2,0),0)</f>
        <v>0</v>
      </c>
      <c r="R1037" s="207">
        <f>IF(ISNUMBER(VLOOKUP($B:$B,'IS(분기)'!$A:$F,$2:$2,0)),VLOOKUP($B:$B,'IS(분기)'!$A:$F,$2:$2,0),0)</f>
        <v>0</v>
      </c>
    </row>
    <row r="1038" spans="1:18" s="192" customFormat="1" ht="12">
      <c r="A1038" s="202">
        <v>126212</v>
      </c>
      <c r="B1038" s="195" t="s">
        <v>1402</v>
      </c>
      <c r="C1038" s="217">
        <f>IF(ISNUMBER(VLOOKUP($B:$B,IS!$A:$F,$2:$2,0)),VLOOKUP($B:$B,IS!$A:$F,$2:$2,0),0)</f>
        <v>0</v>
      </c>
      <c r="D1038" s="217">
        <f>IF(ISNUMBER(VLOOKUP($B:$B,IS!$A:$F,$2:$2,0)),VLOOKUP($B:$B,IS!$A:$F,$2:$2,0),0)</f>
        <v>0</v>
      </c>
      <c r="E1038" s="217">
        <f>IF(ISNUMBER(VLOOKUP($B:$B,IS!$A:$F,$2:$2,0)),VLOOKUP($B:$B,IS!$A:$F,$2:$2,0),0)</f>
        <v>0</v>
      </c>
      <c r="F1038" s="217">
        <f>IF(ISNUMBER(VLOOKUP($B:$B,IS!$A:$F,$2:$2,0)),VLOOKUP($B:$B,IS!$A:$F,$2:$2,0),0)</f>
        <v>0</v>
      </c>
      <c r="G1038" s="217">
        <f>IF(ISNUMBER(VLOOKUP($B:$B,IS!$A:$F,$2:$2,0)),VLOOKUP($B:$B,IS!$A:$F,$2:$2,0),0)</f>
        <v>0</v>
      </c>
      <c r="H1038" s="207">
        <f>IF(ISNUMBER(VLOOKUP($B:$B,'IS(과거)'!$A:$F,$2:$2,0)),VLOOKUP($B:$B,'IS(과거)'!$A:$F,$2:$2,0),0)</f>
        <v>0</v>
      </c>
      <c r="I1038" s="207">
        <f>IF(ISNUMBER(VLOOKUP($B:$B,'IS(과거)'!$A:$F,$2:$2,0)),VLOOKUP($B:$B,'IS(과거)'!$A:$F,$2:$2,0),0)</f>
        <v>0</v>
      </c>
      <c r="J1038" s="207">
        <f>IF(ISNUMBER(VLOOKUP($B:$B,'IS(과거)'!$A:$F,$2:$2,0)),VLOOKUP($B:$B,'IS(과거)'!$A:$F,$2:$2,0),0)</f>
        <v>0</v>
      </c>
      <c r="K1038" s="207">
        <f>IF(ISNUMBER(VLOOKUP($B:$B,'IS(과거)'!$A:$F,$2:$2,0)),VLOOKUP($B:$B,'IS(과거)'!$A:$F,$2:$2,0),0)</f>
        <v>0</v>
      </c>
      <c r="L1038" s="207">
        <f>IF(ISNUMBER(VLOOKUP($B:$B,'IS(과거)'!$A:$F,$2:$2,0)),VLOOKUP($B:$B,'IS(과거)'!$A:$F,$2:$2,0),0)</f>
        <v>0</v>
      </c>
      <c r="N1038" s="207">
        <f>IF(ISNUMBER(VLOOKUP($B:$B,'IS(분기)'!$A:$F,$2:$2,0)),VLOOKUP($B:$B,'IS(분기)'!$A:$F,$2:$2,0),0)</f>
        <v>0</v>
      </c>
      <c r="O1038" s="207">
        <f>IF(ISNUMBER(VLOOKUP($B:$B,'IS(분기)'!$A:$F,$2:$2,0)),VLOOKUP($B:$B,'IS(분기)'!$A:$F,$2:$2,0),0)</f>
        <v>0</v>
      </c>
      <c r="P1038" s="207">
        <f>IF(ISNUMBER(VLOOKUP($B:$B,'IS(분기)'!$A:$F,$2:$2,0)),VLOOKUP($B:$B,'IS(분기)'!$A:$F,$2:$2,0),0)</f>
        <v>0</v>
      </c>
      <c r="Q1038" s="207">
        <f>IF(ISNUMBER(VLOOKUP($B:$B,'IS(분기)'!$A:$F,$2:$2,0)),VLOOKUP($B:$B,'IS(분기)'!$A:$F,$2:$2,0),0)</f>
        <v>0</v>
      </c>
      <c r="R1038" s="207">
        <f>IF(ISNUMBER(VLOOKUP($B:$B,'IS(분기)'!$A:$F,$2:$2,0)),VLOOKUP($B:$B,'IS(분기)'!$A:$F,$2:$2,0),0)</f>
        <v>0</v>
      </c>
    </row>
    <row r="1039" spans="1:18" s="192" customFormat="1" ht="12">
      <c r="A1039" s="202">
        <v>126214</v>
      </c>
      <c r="B1039" s="195" t="s">
        <v>1403</v>
      </c>
      <c r="C1039" s="217">
        <f>IF(ISNUMBER(VLOOKUP($B:$B,IS!$A:$F,$2:$2,0)),VLOOKUP($B:$B,IS!$A:$F,$2:$2,0),0)</f>
        <v>0</v>
      </c>
      <c r="D1039" s="217">
        <f>IF(ISNUMBER(VLOOKUP($B:$B,IS!$A:$F,$2:$2,0)),VLOOKUP($B:$B,IS!$A:$F,$2:$2,0),0)</f>
        <v>0</v>
      </c>
      <c r="E1039" s="217">
        <f>IF(ISNUMBER(VLOOKUP($B:$B,IS!$A:$F,$2:$2,0)),VLOOKUP($B:$B,IS!$A:$F,$2:$2,0),0)</f>
        <v>0</v>
      </c>
      <c r="F1039" s="217">
        <f>IF(ISNUMBER(VLOOKUP($B:$B,IS!$A:$F,$2:$2,0)),VLOOKUP($B:$B,IS!$A:$F,$2:$2,0),0)</f>
        <v>0</v>
      </c>
      <c r="G1039" s="217">
        <f>IF(ISNUMBER(VLOOKUP($B:$B,IS!$A:$F,$2:$2,0)),VLOOKUP($B:$B,IS!$A:$F,$2:$2,0),0)</f>
        <v>0</v>
      </c>
      <c r="H1039" s="207">
        <f>IF(ISNUMBER(VLOOKUP($B:$B,'IS(과거)'!$A:$F,$2:$2,0)),VLOOKUP($B:$B,'IS(과거)'!$A:$F,$2:$2,0),0)</f>
        <v>0</v>
      </c>
      <c r="I1039" s="207">
        <f>IF(ISNUMBER(VLOOKUP($B:$B,'IS(과거)'!$A:$F,$2:$2,0)),VLOOKUP($B:$B,'IS(과거)'!$A:$F,$2:$2,0),0)</f>
        <v>0</v>
      </c>
      <c r="J1039" s="207">
        <f>IF(ISNUMBER(VLOOKUP($B:$B,'IS(과거)'!$A:$F,$2:$2,0)),VLOOKUP($B:$B,'IS(과거)'!$A:$F,$2:$2,0),0)</f>
        <v>0</v>
      </c>
      <c r="K1039" s="207">
        <f>IF(ISNUMBER(VLOOKUP($B:$B,'IS(과거)'!$A:$F,$2:$2,0)),VLOOKUP($B:$B,'IS(과거)'!$A:$F,$2:$2,0),0)</f>
        <v>0</v>
      </c>
      <c r="L1039" s="207">
        <f>IF(ISNUMBER(VLOOKUP($B:$B,'IS(과거)'!$A:$F,$2:$2,0)),VLOOKUP($B:$B,'IS(과거)'!$A:$F,$2:$2,0),0)</f>
        <v>0</v>
      </c>
      <c r="N1039" s="207">
        <f>IF(ISNUMBER(VLOOKUP($B:$B,'IS(분기)'!$A:$F,$2:$2,0)),VLOOKUP($B:$B,'IS(분기)'!$A:$F,$2:$2,0),0)</f>
        <v>0</v>
      </c>
      <c r="O1039" s="207">
        <f>IF(ISNUMBER(VLOOKUP($B:$B,'IS(분기)'!$A:$F,$2:$2,0)),VLOOKUP($B:$B,'IS(분기)'!$A:$F,$2:$2,0),0)</f>
        <v>0</v>
      </c>
      <c r="P1039" s="207">
        <f>IF(ISNUMBER(VLOOKUP($B:$B,'IS(분기)'!$A:$F,$2:$2,0)),VLOOKUP($B:$B,'IS(분기)'!$A:$F,$2:$2,0),0)</f>
        <v>0</v>
      </c>
      <c r="Q1039" s="207">
        <f>IF(ISNUMBER(VLOOKUP($B:$B,'IS(분기)'!$A:$F,$2:$2,0)),VLOOKUP($B:$B,'IS(분기)'!$A:$F,$2:$2,0),0)</f>
        <v>0</v>
      </c>
      <c r="R1039" s="207">
        <f>IF(ISNUMBER(VLOOKUP($B:$B,'IS(분기)'!$A:$F,$2:$2,0)),VLOOKUP($B:$B,'IS(분기)'!$A:$F,$2:$2,0),0)</f>
        <v>0</v>
      </c>
    </row>
    <row r="1040" spans="1:18" s="192" customFormat="1" ht="12">
      <c r="A1040" s="202">
        <v>126230</v>
      </c>
      <c r="B1040" s="195" t="s">
        <v>1404</v>
      </c>
      <c r="C1040" s="217">
        <f>IF(ISNUMBER(VLOOKUP($B:$B,IS!$A:$F,$2:$2,0)),VLOOKUP($B:$B,IS!$A:$F,$2:$2,0),0)</f>
        <v>0</v>
      </c>
      <c r="D1040" s="217">
        <f>IF(ISNUMBER(VLOOKUP($B:$B,IS!$A:$F,$2:$2,0)),VLOOKUP($B:$B,IS!$A:$F,$2:$2,0),0)</f>
        <v>0</v>
      </c>
      <c r="E1040" s="217">
        <f>IF(ISNUMBER(VLOOKUP($B:$B,IS!$A:$F,$2:$2,0)),VLOOKUP($B:$B,IS!$A:$F,$2:$2,0),0)</f>
        <v>0</v>
      </c>
      <c r="F1040" s="217">
        <f>IF(ISNUMBER(VLOOKUP($B:$B,IS!$A:$F,$2:$2,0)),VLOOKUP($B:$B,IS!$A:$F,$2:$2,0),0)</f>
        <v>0</v>
      </c>
      <c r="G1040" s="217">
        <f>IF(ISNUMBER(VLOOKUP($B:$B,IS!$A:$F,$2:$2,0)),VLOOKUP($B:$B,IS!$A:$F,$2:$2,0),0)</f>
        <v>0</v>
      </c>
      <c r="H1040" s="207">
        <f>IF(ISNUMBER(VLOOKUP($B:$B,'IS(과거)'!$A:$F,$2:$2,0)),VLOOKUP($B:$B,'IS(과거)'!$A:$F,$2:$2,0),0)</f>
        <v>0</v>
      </c>
      <c r="I1040" s="207">
        <f>IF(ISNUMBER(VLOOKUP($B:$B,'IS(과거)'!$A:$F,$2:$2,0)),VLOOKUP($B:$B,'IS(과거)'!$A:$F,$2:$2,0),0)</f>
        <v>0</v>
      </c>
      <c r="J1040" s="207">
        <f>IF(ISNUMBER(VLOOKUP($B:$B,'IS(과거)'!$A:$F,$2:$2,0)),VLOOKUP($B:$B,'IS(과거)'!$A:$F,$2:$2,0),0)</f>
        <v>0</v>
      </c>
      <c r="K1040" s="207">
        <f>IF(ISNUMBER(VLOOKUP($B:$B,'IS(과거)'!$A:$F,$2:$2,0)),VLOOKUP($B:$B,'IS(과거)'!$A:$F,$2:$2,0),0)</f>
        <v>0</v>
      </c>
      <c r="L1040" s="207">
        <f>IF(ISNUMBER(VLOOKUP($B:$B,'IS(과거)'!$A:$F,$2:$2,0)),VLOOKUP($B:$B,'IS(과거)'!$A:$F,$2:$2,0),0)</f>
        <v>0</v>
      </c>
      <c r="N1040" s="207">
        <f>IF(ISNUMBER(VLOOKUP($B:$B,'IS(분기)'!$A:$F,$2:$2,0)),VLOOKUP($B:$B,'IS(분기)'!$A:$F,$2:$2,0),0)</f>
        <v>0</v>
      </c>
      <c r="O1040" s="207">
        <f>IF(ISNUMBER(VLOOKUP($B:$B,'IS(분기)'!$A:$F,$2:$2,0)),VLOOKUP($B:$B,'IS(분기)'!$A:$F,$2:$2,0),0)</f>
        <v>0</v>
      </c>
      <c r="P1040" s="207">
        <f>IF(ISNUMBER(VLOOKUP($B:$B,'IS(분기)'!$A:$F,$2:$2,0)),VLOOKUP($B:$B,'IS(분기)'!$A:$F,$2:$2,0),0)</f>
        <v>0</v>
      </c>
      <c r="Q1040" s="207">
        <f>IF(ISNUMBER(VLOOKUP($B:$B,'IS(분기)'!$A:$F,$2:$2,0)),VLOOKUP($B:$B,'IS(분기)'!$A:$F,$2:$2,0),0)</f>
        <v>0</v>
      </c>
      <c r="R1040" s="207">
        <f>IF(ISNUMBER(VLOOKUP($B:$B,'IS(분기)'!$A:$F,$2:$2,0)),VLOOKUP($B:$B,'IS(분기)'!$A:$F,$2:$2,0),0)</f>
        <v>0</v>
      </c>
    </row>
    <row r="1041" spans="1:18" s="192" customFormat="1" ht="12">
      <c r="A1041" s="202">
        <v>126211</v>
      </c>
      <c r="B1041" s="195" t="s">
        <v>1405</v>
      </c>
      <c r="C1041" s="217">
        <f>IF(ISNUMBER(VLOOKUP($B:$B,IS!$A:$F,$2:$2,0)),VLOOKUP($B:$B,IS!$A:$F,$2:$2,0),0)</f>
        <v>981</v>
      </c>
      <c r="D1041" s="217">
        <f>IF(ISNUMBER(VLOOKUP($B:$B,IS!$A:$F,$2:$2,0)),VLOOKUP($B:$B,IS!$A:$F,$2:$2,0),0)</f>
        <v>0</v>
      </c>
      <c r="E1041" s="217">
        <f>IF(ISNUMBER(VLOOKUP($B:$B,IS!$A:$F,$2:$2,0)),VLOOKUP($B:$B,IS!$A:$F,$2:$2,0),0)</f>
        <v>0</v>
      </c>
      <c r="F1041" s="217">
        <f>IF(ISNUMBER(VLOOKUP($B:$B,IS!$A:$F,$2:$2,0)),VLOOKUP($B:$B,IS!$A:$F,$2:$2,0),0)</f>
        <v>0</v>
      </c>
      <c r="G1041" s="217">
        <f>IF(ISNUMBER(VLOOKUP($B:$B,IS!$A:$F,$2:$2,0)),VLOOKUP($B:$B,IS!$A:$F,$2:$2,0),0)</f>
        <v>0</v>
      </c>
      <c r="H1041" s="207">
        <f>IF(ISNUMBER(VLOOKUP($B:$B,'IS(과거)'!$A:$F,$2:$2,0)),VLOOKUP($B:$B,'IS(과거)'!$A:$F,$2:$2,0),0)</f>
        <v>0</v>
      </c>
      <c r="I1041" s="207">
        <f>IF(ISNUMBER(VLOOKUP($B:$B,'IS(과거)'!$A:$F,$2:$2,0)),VLOOKUP($B:$B,'IS(과거)'!$A:$F,$2:$2,0),0)</f>
        <v>0</v>
      </c>
      <c r="J1041" s="207">
        <f>IF(ISNUMBER(VLOOKUP($B:$B,'IS(과거)'!$A:$F,$2:$2,0)),VLOOKUP($B:$B,'IS(과거)'!$A:$F,$2:$2,0),0)</f>
        <v>0</v>
      </c>
      <c r="K1041" s="207">
        <f>IF(ISNUMBER(VLOOKUP($B:$B,'IS(과거)'!$A:$F,$2:$2,0)),VLOOKUP($B:$B,'IS(과거)'!$A:$F,$2:$2,0),0)</f>
        <v>0</v>
      </c>
      <c r="L1041" s="207">
        <f>IF(ISNUMBER(VLOOKUP($B:$B,'IS(과거)'!$A:$F,$2:$2,0)),VLOOKUP($B:$B,'IS(과거)'!$A:$F,$2:$2,0),0)</f>
        <v>0</v>
      </c>
      <c r="N1041" s="207">
        <f>IF(ISNUMBER(VLOOKUP($B:$B,'IS(분기)'!$A:$F,$2:$2,0)),VLOOKUP($B:$B,'IS(분기)'!$A:$F,$2:$2,0),0)</f>
        <v>0</v>
      </c>
      <c r="O1041" s="207">
        <f>IF(ISNUMBER(VLOOKUP($B:$B,'IS(분기)'!$A:$F,$2:$2,0)),VLOOKUP($B:$B,'IS(분기)'!$A:$F,$2:$2,0),0)</f>
        <v>0</v>
      </c>
      <c r="P1041" s="207">
        <f>IF(ISNUMBER(VLOOKUP($B:$B,'IS(분기)'!$A:$F,$2:$2,0)),VLOOKUP($B:$B,'IS(분기)'!$A:$F,$2:$2,0),0)</f>
        <v>0</v>
      </c>
      <c r="Q1041" s="207">
        <f>IF(ISNUMBER(VLOOKUP($B:$B,'IS(분기)'!$A:$F,$2:$2,0)),VLOOKUP($B:$B,'IS(분기)'!$A:$F,$2:$2,0),0)</f>
        <v>0</v>
      </c>
      <c r="R1041" s="207">
        <f>IF(ISNUMBER(VLOOKUP($B:$B,'IS(분기)'!$A:$F,$2:$2,0)),VLOOKUP($B:$B,'IS(분기)'!$A:$F,$2:$2,0),0)</f>
        <v>0</v>
      </c>
    </row>
    <row r="1042" spans="1:18" s="192" customFormat="1" ht="12">
      <c r="A1042" s="202">
        <v>126231</v>
      </c>
      <c r="B1042" s="195" t="s">
        <v>1406</v>
      </c>
      <c r="C1042" s="217">
        <f>IF(ISNUMBER(VLOOKUP($B:$B,IS!$A:$F,$2:$2,0)),VLOOKUP($B:$B,IS!$A:$F,$2:$2,0),0)</f>
        <v>0</v>
      </c>
      <c r="D1042" s="217">
        <f>IF(ISNUMBER(VLOOKUP($B:$B,IS!$A:$F,$2:$2,0)),VLOOKUP($B:$B,IS!$A:$F,$2:$2,0),0)</f>
        <v>0</v>
      </c>
      <c r="E1042" s="217">
        <f>IF(ISNUMBER(VLOOKUP($B:$B,IS!$A:$F,$2:$2,0)),VLOOKUP($B:$B,IS!$A:$F,$2:$2,0),0)</f>
        <v>0</v>
      </c>
      <c r="F1042" s="217">
        <f>IF(ISNUMBER(VLOOKUP($B:$B,IS!$A:$F,$2:$2,0)),VLOOKUP($B:$B,IS!$A:$F,$2:$2,0),0)</f>
        <v>0</v>
      </c>
      <c r="G1042" s="217">
        <f>IF(ISNUMBER(VLOOKUP($B:$B,IS!$A:$F,$2:$2,0)),VLOOKUP($B:$B,IS!$A:$F,$2:$2,0),0)</f>
        <v>0</v>
      </c>
      <c r="H1042" s="207">
        <f>IF(ISNUMBER(VLOOKUP($B:$B,'IS(과거)'!$A:$F,$2:$2,0)),VLOOKUP($B:$B,'IS(과거)'!$A:$F,$2:$2,0),0)</f>
        <v>0</v>
      </c>
      <c r="I1042" s="207">
        <f>IF(ISNUMBER(VLOOKUP($B:$B,'IS(과거)'!$A:$F,$2:$2,0)),VLOOKUP($B:$B,'IS(과거)'!$A:$F,$2:$2,0),0)</f>
        <v>0</v>
      </c>
      <c r="J1042" s="207">
        <f>IF(ISNUMBER(VLOOKUP($B:$B,'IS(과거)'!$A:$F,$2:$2,0)),VLOOKUP($B:$B,'IS(과거)'!$A:$F,$2:$2,0),0)</f>
        <v>0</v>
      </c>
      <c r="K1042" s="207">
        <f>IF(ISNUMBER(VLOOKUP($B:$B,'IS(과거)'!$A:$F,$2:$2,0)),VLOOKUP($B:$B,'IS(과거)'!$A:$F,$2:$2,0),0)</f>
        <v>0</v>
      </c>
      <c r="L1042" s="207">
        <f>IF(ISNUMBER(VLOOKUP($B:$B,'IS(과거)'!$A:$F,$2:$2,0)),VLOOKUP($B:$B,'IS(과거)'!$A:$F,$2:$2,0),0)</f>
        <v>0</v>
      </c>
      <c r="N1042" s="207">
        <f>IF(ISNUMBER(VLOOKUP($B:$B,'IS(분기)'!$A:$F,$2:$2,0)),VLOOKUP($B:$B,'IS(분기)'!$A:$F,$2:$2,0),0)</f>
        <v>0</v>
      </c>
      <c r="O1042" s="207">
        <f>IF(ISNUMBER(VLOOKUP($B:$B,'IS(분기)'!$A:$F,$2:$2,0)),VLOOKUP($B:$B,'IS(분기)'!$A:$F,$2:$2,0),0)</f>
        <v>0</v>
      </c>
      <c r="P1042" s="207">
        <f>IF(ISNUMBER(VLOOKUP($B:$B,'IS(분기)'!$A:$F,$2:$2,0)),VLOOKUP($B:$B,'IS(분기)'!$A:$F,$2:$2,0),0)</f>
        <v>0</v>
      </c>
      <c r="Q1042" s="207">
        <f>IF(ISNUMBER(VLOOKUP($B:$B,'IS(분기)'!$A:$F,$2:$2,0)),VLOOKUP($B:$B,'IS(분기)'!$A:$F,$2:$2,0),0)</f>
        <v>0</v>
      </c>
      <c r="R1042" s="207">
        <f>IF(ISNUMBER(VLOOKUP($B:$B,'IS(분기)'!$A:$F,$2:$2,0)),VLOOKUP($B:$B,'IS(분기)'!$A:$F,$2:$2,0),0)</f>
        <v>0</v>
      </c>
    </row>
    <row r="1043" spans="1:18" s="192" customFormat="1" ht="12">
      <c r="A1043" s="202">
        <v>126232</v>
      </c>
      <c r="B1043" s="195" t="s">
        <v>1407</v>
      </c>
      <c r="C1043" s="217">
        <f>IF(ISNUMBER(VLOOKUP($B:$B,IS!$A:$F,$2:$2,0)),VLOOKUP($B:$B,IS!$A:$F,$2:$2,0),0)</f>
        <v>0</v>
      </c>
      <c r="D1043" s="217">
        <f>IF(ISNUMBER(VLOOKUP($B:$B,IS!$A:$F,$2:$2,0)),VLOOKUP($B:$B,IS!$A:$F,$2:$2,0),0)</f>
        <v>0</v>
      </c>
      <c r="E1043" s="217">
        <f>IF(ISNUMBER(VLOOKUP($B:$B,IS!$A:$F,$2:$2,0)),VLOOKUP($B:$B,IS!$A:$F,$2:$2,0),0)</f>
        <v>0</v>
      </c>
      <c r="F1043" s="217">
        <f>IF(ISNUMBER(VLOOKUP($B:$B,IS!$A:$F,$2:$2,0)),VLOOKUP($B:$B,IS!$A:$F,$2:$2,0),0)</f>
        <v>0</v>
      </c>
      <c r="G1043" s="217">
        <f>IF(ISNUMBER(VLOOKUP($B:$B,IS!$A:$F,$2:$2,0)),VLOOKUP($B:$B,IS!$A:$F,$2:$2,0),0)</f>
        <v>0</v>
      </c>
      <c r="H1043" s="207">
        <f>IF(ISNUMBER(VLOOKUP($B:$B,'IS(과거)'!$A:$F,$2:$2,0)),VLOOKUP($B:$B,'IS(과거)'!$A:$F,$2:$2,0),0)</f>
        <v>0</v>
      </c>
      <c r="I1043" s="207">
        <f>IF(ISNUMBER(VLOOKUP($B:$B,'IS(과거)'!$A:$F,$2:$2,0)),VLOOKUP($B:$B,'IS(과거)'!$A:$F,$2:$2,0),0)</f>
        <v>0</v>
      </c>
      <c r="J1043" s="207">
        <f>IF(ISNUMBER(VLOOKUP($B:$B,'IS(과거)'!$A:$F,$2:$2,0)),VLOOKUP($B:$B,'IS(과거)'!$A:$F,$2:$2,0),0)</f>
        <v>0</v>
      </c>
      <c r="K1043" s="207">
        <f>IF(ISNUMBER(VLOOKUP($B:$B,'IS(과거)'!$A:$F,$2:$2,0)),VLOOKUP($B:$B,'IS(과거)'!$A:$F,$2:$2,0),0)</f>
        <v>0</v>
      </c>
      <c r="L1043" s="207">
        <f>IF(ISNUMBER(VLOOKUP($B:$B,'IS(과거)'!$A:$F,$2:$2,0)),VLOOKUP($B:$B,'IS(과거)'!$A:$F,$2:$2,0),0)</f>
        <v>0</v>
      </c>
      <c r="N1043" s="207">
        <f>IF(ISNUMBER(VLOOKUP($B:$B,'IS(분기)'!$A:$F,$2:$2,0)),VLOOKUP($B:$B,'IS(분기)'!$A:$F,$2:$2,0),0)</f>
        <v>0</v>
      </c>
      <c r="O1043" s="207">
        <f>IF(ISNUMBER(VLOOKUP($B:$B,'IS(분기)'!$A:$F,$2:$2,0)),VLOOKUP($B:$B,'IS(분기)'!$A:$F,$2:$2,0),0)</f>
        <v>0</v>
      </c>
      <c r="P1043" s="207">
        <f>IF(ISNUMBER(VLOOKUP($B:$B,'IS(분기)'!$A:$F,$2:$2,0)),VLOOKUP($B:$B,'IS(분기)'!$A:$F,$2:$2,0),0)</f>
        <v>0</v>
      </c>
      <c r="Q1043" s="207">
        <f>IF(ISNUMBER(VLOOKUP($B:$B,'IS(분기)'!$A:$F,$2:$2,0)),VLOOKUP($B:$B,'IS(분기)'!$A:$F,$2:$2,0),0)</f>
        <v>0</v>
      </c>
      <c r="R1043" s="207">
        <f>IF(ISNUMBER(VLOOKUP($B:$B,'IS(분기)'!$A:$F,$2:$2,0)),VLOOKUP($B:$B,'IS(분기)'!$A:$F,$2:$2,0),0)</f>
        <v>0</v>
      </c>
    </row>
    <row r="1044" spans="1:18" s="192" customFormat="1" ht="12">
      <c r="A1044" s="202">
        <v>126215</v>
      </c>
      <c r="B1044" s="195" t="s">
        <v>1408</v>
      </c>
      <c r="C1044" s="217">
        <f>IF(ISNUMBER(VLOOKUP($B:$B,IS!$A:$F,$2:$2,0)),VLOOKUP($B:$B,IS!$A:$F,$2:$2,0),0)</f>
        <v>0</v>
      </c>
      <c r="D1044" s="217">
        <f>IF(ISNUMBER(VLOOKUP($B:$B,IS!$A:$F,$2:$2,0)),VLOOKUP($B:$B,IS!$A:$F,$2:$2,0),0)</f>
        <v>0</v>
      </c>
      <c r="E1044" s="217">
        <f>IF(ISNUMBER(VLOOKUP($B:$B,IS!$A:$F,$2:$2,0)),VLOOKUP($B:$B,IS!$A:$F,$2:$2,0),0)</f>
        <v>0</v>
      </c>
      <c r="F1044" s="217">
        <f>IF(ISNUMBER(VLOOKUP($B:$B,IS!$A:$F,$2:$2,0)),VLOOKUP($B:$B,IS!$A:$F,$2:$2,0),0)</f>
        <v>0</v>
      </c>
      <c r="G1044" s="217">
        <f>IF(ISNUMBER(VLOOKUP($B:$B,IS!$A:$F,$2:$2,0)),VLOOKUP($B:$B,IS!$A:$F,$2:$2,0),0)</f>
        <v>0</v>
      </c>
      <c r="H1044" s="207">
        <f>IF(ISNUMBER(VLOOKUP($B:$B,'IS(과거)'!$A:$F,$2:$2,0)),VLOOKUP($B:$B,'IS(과거)'!$A:$F,$2:$2,0),0)</f>
        <v>0</v>
      </c>
      <c r="I1044" s="207">
        <f>IF(ISNUMBER(VLOOKUP($B:$B,'IS(과거)'!$A:$F,$2:$2,0)),VLOOKUP($B:$B,'IS(과거)'!$A:$F,$2:$2,0),0)</f>
        <v>0</v>
      </c>
      <c r="J1044" s="207">
        <f>IF(ISNUMBER(VLOOKUP($B:$B,'IS(과거)'!$A:$F,$2:$2,0)),VLOOKUP($B:$B,'IS(과거)'!$A:$F,$2:$2,0),0)</f>
        <v>0</v>
      </c>
      <c r="K1044" s="207">
        <f>IF(ISNUMBER(VLOOKUP($B:$B,'IS(과거)'!$A:$F,$2:$2,0)),VLOOKUP($B:$B,'IS(과거)'!$A:$F,$2:$2,0),0)</f>
        <v>0</v>
      </c>
      <c r="L1044" s="207">
        <f>IF(ISNUMBER(VLOOKUP($B:$B,'IS(과거)'!$A:$F,$2:$2,0)),VLOOKUP($B:$B,'IS(과거)'!$A:$F,$2:$2,0),0)</f>
        <v>0</v>
      </c>
      <c r="N1044" s="207">
        <f>IF(ISNUMBER(VLOOKUP($B:$B,'IS(분기)'!$A:$F,$2:$2,0)),VLOOKUP($B:$B,'IS(분기)'!$A:$F,$2:$2,0),0)</f>
        <v>0</v>
      </c>
      <c r="O1044" s="207">
        <f>IF(ISNUMBER(VLOOKUP($B:$B,'IS(분기)'!$A:$F,$2:$2,0)),VLOOKUP($B:$B,'IS(분기)'!$A:$F,$2:$2,0),0)</f>
        <v>0</v>
      </c>
      <c r="P1044" s="207">
        <f>IF(ISNUMBER(VLOOKUP($B:$B,'IS(분기)'!$A:$F,$2:$2,0)),VLOOKUP($B:$B,'IS(분기)'!$A:$F,$2:$2,0),0)</f>
        <v>0</v>
      </c>
      <c r="Q1044" s="207">
        <f>IF(ISNUMBER(VLOOKUP($B:$B,'IS(분기)'!$A:$F,$2:$2,0)),VLOOKUP($B:$B,'IS(분기)'!$A:$F,$2:$2,0),0)</f>
        <v>0</v>
      </c>
      <c r="R1044" s="207">
        <f>IF(ISNUMBER(VLOOKUP($B:$B,'IS(분기)'!$A:$F,$2:$2,0)),VLOOKUP($B:$B,'IS(분기)'!$A:$F,$2:$2,0),0)</f>
        <v>0</v>
      </c>
    </row>
    <row r="1045" spans="1:18" s="192" customFormat="1" ht="12">
      <c r="A1045" s="202">
        <v>126216</v>
      </c>
      <c r="B1045" s="195" t="s">
        <v>1409</v>
      </c>
      <c r="C1045" s="217">
        <f>IF(ISNUMBER(VLOOKUP($B:$B,IS!$A:$F,$2:$2,0)),VLOOKUP($B:$B,IS!$A:$F,$2:$2,0),0)</f>
        <v>0</v>
      </c>
      <c r="D1045" s="217">
        <f>IF(ISNUMBER(VLOOKUP($B:$B,IS!$A:$F,$2:$2,0)),VLOOKUP($B:$B,IS!$A:$F,$2:$2,0),0)</f>
        <v>0</v>
      </c>
      <c r="E1045" s="217">
        <f>IF(ISNUMBER(VLOOKUP($B:$B,IS!$A:$F,$2:$2,0)),VLOOKUP($B:$B,IS!$A:$F,$2:$2,0),0)</f>
        <v>0</v>
      </c>
      <c r="F1045" s="217">
        <f>IF(ISNUMBER(VLOOKUP($B:$B,IS!$A:$F,$2:$2,0)),VLOOKUP($B:$B,IS!$A:$F,$2:$2,0),0)</f>
        <v>0</v>
      </c>
      <c r="G1045" s="217">
        <f>IF(ISNUMBER(VLOOKUP($B:$B,IS!$A:$F,$2:$2,0)),VLOOKUP($B:$B,IS!$A:$F,$2:$2,0),0)</f>
        <v>0</v>
      </c>
      <c r="H1045" s="207">
        <f>IF(ISNUMBER(VLOOKUP($B:$B,'IS(과거)'!$A:$F,$2:$2,0)),VLOOKUP($B:$B,'IS(과거)'!$A:$F,$2:$2,0),0)</f>
        <v>0</v>
      </c>
      <c r="I1045" s="207">
        <f>IF(ISNUMBER(VLOOKUP($B:$B,'IS(과거)'!$A:$F,$2:$2,0)),VLOOKUP($B:$B,'IS(과거)'!$A:$F,$2:$2,0),0)</f>
        <v>0</v>
      </c>
      <c r="J1045" s="207">
        <f>IF(ISNUMBER(VLOOKUP($B:$B,'IS(과거)'!$A:$F,$2:$2,0)),VLOOKUP($B:$B,'IS(과거)'!$A:$F,$2:$2,0),0)</f>
        <v>0</v>
      </c>
      <c r="K1045" s="207">
        <f>IF(ISNUMBER(VLOOKUP($B:$B,'IS(과거)'!$A:$F,$2:$2,0)),VLOOKUP($B:$B,'IS(과거)'!$A:$F,$2:$2,0),0)</f>
        <v>0</v>
      </c>
      <c r="L1045" s="207">
        <f>IF(ISNUMBER(VLOOKUP($B:$B,'IS(과거)'!$A:$F,$2:$2,0)),VLOOKUP($B:$B,'IS(과거)'!$A:$F,$2:$2,0),0)</f>
        <v>0</v>
      </c>
      <c r="N1045" s="207">
        <f>IF(ISNUMBER(VLOOKUP($B:$B,'IS(분기)'!$A:$F,$2:$2,0)),VLOOKUP($B:$B,'IS(분기)'!$A:$F,$2:$2,0),0)</f>
        <v>0</v>
      </c>
      <c r="O1045" s="207">
        <f>IF(ISNUMBER(VLOOKUP($B:$B,'IS(분기)'!$A:$F,$2:$2,0)),VLOOKUP($B:$B,'IS(분기)'!$A:$F,$2:$2,0),0)</f>
        <v>0</v>
      </c>
      <c r="P1045" s="207">
        <f>IF(ISNUMBER(VLOOKUP($B:$B,'IS(분기)'!$A:$F,$2:$2,0)),VLOOKUP($B:$B,'IS(분기)'!$A:$F,$2:$2,0),0)</f>
        <v>0</v>
      </c>
      <c r="Q1045" s="207">
        <f>IF(ISNUMBER(VLOOKUP($B:$B,'IS(분기)'!$A:$F,$2:$2,0)),VLOOKUP($B:$B,'IS(분기)'!$A:$F,$2:$2,0),0)</f>
        <v>0</v>
      </c>
      <c r="R1045" s="207">
        <f>IF(ISNUMBER(VLOOKUP($B:$B,'IS(분기)'!$A:$F,$2:$2,0)),VLOOKUP($B:$B,'IS(분기)'!$A:$F,$2:$2,0),0)</f>
        <v>0</v>
      </c>
    </row>
    <row r="1046" spans="1:18" s="192" customFormat="1" ht="12">
      <c r="A1046" s="202">
        <v>126217</v>
      </c>
      <c r="B1046" s="195" t="s">
        <v>1410</v>
      </c>
      <c r="C1046" s="217">
        <f>IF(ISNUMBER(VLOOKUP($B:$B,IS!$A:$F,$2:$2,0)),VLOOKUP($B:$B,IS!$A:$F,$2:$2,0),0)</f>
        <v>0</v>
      </c>
      <c r="D1046" s="217">
        <f>IF(ISNUMBER(VLOOKUP($B:$B,IS!$A:$F,$2:$2,0)),VLOOKUP($B:$B,IS!$A:$F,$2:$2,0),0)</f>
        <v>0</v>
      </c>
      <c r="E1046" s="217">
        <f>IF(ISNUMBER(VLOOKUP($B:$B,IS!$A:$F,$2:$2,0)),VLOOKUP($B:$B,IS!$A:$F,$2:$2,0),0)</f>
        <v>0</v>
      </c>
      <c r="F1046" s="217">
        <f>IF(ISNUMBER(VLOOKUP($B:$B,IS!$A:$F,$2:$2,0)),VLOOKUP($B:$B,IS!$A:$F,$2:$2,0),0)</f>
        <v>0</v>
      </c>
      <c r="G1046" s="217">
        <f>IF(ISNUMBER(VLOOKUP($B:$B,IS!$A:$F,$2:$2,0)),VLOOKUP($B:$B,IS!$A:$F,$2:$2,0),0)</f>
        <v>0</v>
      </c>
      <c r="H1046" s="207">
        <f>IF(ISNUMBER(VLOOKUP($B:$B,'IS(과거)'!$A:$F,$2:$2,0)),VLOOKUP($B:$B,'IS(과거)'!$A:$F,$2:$2,0),0)</f>
        <v>0</v>
      </c>
      <c r="I1046" s="207">
        <f>IF(ISNUMBER(VLOOKUP($B:$B,'IS(과거)'!$A:$F,$2:$2,0)),VLOOKUP($B:$B,'IS(과거)'!$A:$F,$2:$2,0),0)</f>
        <v>0</v>
      </c>
      <c r="J1046" s="207">
        <f>IF(ISNUMBER(VLOOKUP($B:$B,'IS(과거)'!$A:$F,$2:$2,0)),VLOOKUP($B:$B,'IS(과거)'!$A:$F,$2:$2,0),0)</f>
        <v>0</v>
      </c>
      <c r="K1046" s="207">
        <f>IF(ISNUMBER(VLOOKUP($B:$B,'IS(과거)'!$A:$F,$2:$2,0)),VLOOKUP($B:$B,'IS(과거)'!$A:$F,$2:$2,0),0)</f>
        <v>0</v>
      </c>
      <c r="L1046" s="207">
        <f>IF(ISNUMBER(VLOOKUP($B:$B,'IS(과거)'!$A:$F,$2:$2,0)),VLOOKUP($B:$B,'IS(과거)'!$A:$F,$2:$2,0),0)</f>
        <v>0</v>
      </c>
      <c r="N1046" s="207">
        <f>IF(ISNUMBER(VLOOKUP($B:$B,'IS(분기)'!$A:$F,$2:$2,0)),VLOOKUP($B:$B,'IS(분기)'!$A:$F,$2:$2,0),0)</f>
        <v>0</v>
      </c>
      <c r="O1046" s="207">
        <f>IF(ISNUMBER(VLOOKUP($B:$B,'IS(분기)'!$A:$F,$2:$2,0)),VLOOKUP($B:$B,'IS(분기)'!$A:$F,$2:$2,0),0)</f>
        <v>0</v>
      </c>
      <c r="P1046" s="207">
        <f>IF(ISNUMBER(VLOOKUP($B:$B,'IS(분기)'!$A:$F,$2:$2,0)),VLOOKUP($B:$B,'IS(분기)'!$A:$F,$2:$2,0),0)</f>
        <v>0</v>
      </c>
      <c r="Q1046" s="207">
        <f>IF(ISNUMBER(VLOOKUP($B:$B,'IS(분기)'!$A:$F,$2:$2,0)),VLOOKUP($B:$B,'IS(분기)'!$A:$F,$2:$2,0),0)</f>
        <v>0</v>
      </c>
      <c r="R1046" s="207">
        <f>IF(ISNUMBER(VLOOKUP($B:$B,'IS(분기)'!$A:$F,$2:$2,0)),VLOOKUP($B:$B,'IS(분기)'!$A:$F,$2:$2,0),0)</f>
        <v>0</v>
      </c>
    </row>
    <row r="1047" spans="1:18" s="192" customFormat="1" ht="12">
      <c r="A1047" s="202">
        <v>126218</v>
      </c>
      <c r="B1047" s="195" t="s">
        <v>1411</v>
      </c>
      <c r="C1047" s="217">
        <f>IF(ISNUMBER(VLOOKUP($B:$B,IS!$A:$F,$2:$2,0)),VLOOKUP($B:$B,IS!$A:$F,$2:$2,0),0)</f>
        <v>0</v>
      </c>
      <c r="D1047" s="217">
        <f>IF(ISNUMBER(VLOOKUP($B:$B,IS!$A:$F,$2:$2,0)),VLOOKUP($B:$B,IS!$A:$F,$2:$2,0),0)</f>
        <v>0</v>
      </c>
      <c r="E1047" s="217">
        <f>IF(ISNUMBER(VLOOKUP($B:$B,IS!$A:$F,$2:$2,0)),VLOOKUP($B:$B,IS!$A:$F,$2:$2,0),0)</f>
        <v>0</v>
      </c>
      <c r="F1047" s="217">
        <f>IF(ISNUMBER(VLOOKUP($B:$B,IS!$A:$F,$2:$2,0)),VLOOKUP($B:$B,IS!$A:$F,$2:$2,0),0)</f>
        <v>0</v>
      </c>
      <c r="G1047" s="217">
        <f>IF(ISNUMBER(VLOOKUP($B:$B,IS!$A:$F,$2:$2,0)),VLOOKUP($B:$B,IS!$A:$F,$2:$2,0),0)</f>
        <v>0</v>
      </c>
      <c r="H1047" s="207">
        <f>IF(ISNUMBER(VLOOKUP($B:$B,'IS(과거)'!$A:$F,$2:$2,0)),VLOOKUP($B:$B,'IS(과거)'!$A:$F,$2:$2,0),0)</f>
        <v>0</v>
      </c>
      <c r="I1047" s="207">
        <f>IF(ISNUMBER(VLOOKUP($B:$B,'IS(과거)'!$A:$F,$2:$2,0)),VLOOKUP($B:$B,'IS(과거)'!$A:$F,$2:$2,0),0)</f>
        <v>0</v>
      </c>
      <c r="J1047" s="207">
        <f>IF(ISNUMBER(VLOOKUP($B:$B,'IS(과거)'!$A:$F,$2:$2,0)),VLOOKUP($B:$B,'IS(과거)'!$A:$F,$2:$2,0),0)</f>
        <v>0</v>
      </c>
      <c r="K1047" s="207">
        <f>IF(ISNUMBER(VLOOKUP($B:$B,'IS(과거)'!$A:$F,$2:$2,0)),VLOOKUP($B:$B,'IS(과거)'!$A:$F,$2:$2,0),0)</f>
        <v>0</v>
      </c>
      <c r="L1047" s="207">
        <f>IF(ISNUMBER(VLOOKUP($B:$B,'IS(과거)'!$A:$F,$2:$2,0)),VLOOKUP($B:$B,'IS(과거)'!$A:$F,$2:$2,0),0)</f>
        <v>0</v>
      </c>
      <c r="N1047" s="207">
        <f>IF(ISNUMBER(VLOOKUP($B:$B,'IS(분기)'!$A:$F,$2:$2,0)),VLOOKUP($B:$B,'IS(분기)'!$A:$F,$2:$2,0),0)</f>
        <v>0</v>
      </c>
      <c r="O1047" s="207">
        <f>IF(ISNUMBER(VLOOKUP($B:$B,'IS(분기)'!$A:$F,$2:$2,0)),VLOOKUP($B:$B,'IS(분기)'!$A:$F,$2:$2,0),0)</f>
        <v>0</v>
      </c>
      <c r="P1047" s="207">
        <f>IF(ISNUMBER(VLOOKUP($B:$B,'IS(분기)'!$A:$F,$2:$2,0)),VLOOKUP($B:$B,'IS(분기)'!$A:$F,$2:$2,0),0)</f>
        <v>0</v>
      </c>
      <c r="Q1047" s="207">
        <f>IF(ISNUMBER(VLOOKUP($B:$B,'IS(분기)'!$A:$F,$2:$2,0)),VLOOKUP($B:$B,'IS(분기)'!$A:$F,$2:$2,0),0)</f>
        <v>0</v>
      </c>
      <c r="R1047" s="207">
        <f>IF(ISNUMBER(VLOOKUP($B:$B,'IS(분기)'!$A:$F,$2:$2,0)),VLOOKUP($B:$B,'IS(분기)'!$A:$F,$2:$2,0),0)</f>
        <v>0</v>
      </c>
    </row>
    <row r="1048" spans="1:18" s="192" customFormat="1" ht="12">
      <c r="A1048" s="202">
        <v>126219</v>
      </c>
      <c r="B1048" s="195" t="s">
        <v>1412</v>
      </c>
      <c r="C1048" s="217">
        <f>IF(ISNUMBER(VLOOKUP($B:$B,IS!$A:$F,$2:$2,0)),VLOOKUP($B:$B,IS!$A:$F,$2:$2,0),0)</f>
        <v>0</v>
      </c>
      <c r="D1048" s="217">
        <f>IF(ISNUMBER(VLOOKUP($B:$B,IS!$A:$F,$2:$2,0)),VLOOKUP($B:$B,IS!$A:$F,$2:$2,0),0)</f>
        <v>0</v>
      </c>
      <c r="E1048" s="217">
        <f>IF(ISNUMBER(VLOOKUP($B:$B,IS!$A:$F,$2:$2,0)),VLOOKUP($B:$B,IS!$A:$F,$2:$2,0),0)</f>
        <v>0</v>
      </c>
      <c r="F1048" s="217">
        <f>IF(ISNUMBER(VLOOKUP($B:$B,IS!$A:$F,$2:$2,0)),VLOOKUP($B:$B,IS!$A:$F,$2:$2,0),0)</f>
        <v>0</v>
      </c>
      <c r="G1048" s="217">
        <f>IF(ISNUMBER(VLOOKUP($B:$B,IS!$A:$F,$2:$2,0)),VLOOKUP($B:$B,IS!$A:$F,$2:$2,0),0)</f>
        <v>0</v>
      </c>
      <c r="H1048" s="207">
        <f>IF(ISNUMBER(VLOOKUP($B:$B,'IS(과거)'!$A:$F,$2:$2,0)),VLOOKUP($B:$B,'IS(과거)'!$A:$F,$2:$2,0),0)</f>
        <v>0</v>
      </c>
      <c r="I1048" s="207">
        <f>IF(ISNUMBER(VLOOKUP($B:$B,'IS(과거)'!$A:$F,$2:$2,0)),VLOOKUP($B:$B,'IS(과거)'!$A:$F,$2:$2,0),0)</f>
        <v>0</v>
      </c>
      <c r="J1048" s="207">
        <f>IF(ISNUMBER(VLOOKUP($B:$B,'IS(과거)'!$A:$F,$2:$2,0)),VLOOKUP($B:$B,'IS(과거)'!$A:$F,$2:$2,0),0)</f>
        <v>0</v>
      </c>
      <c r="K1048" s="207">
        <f>IF(ISNUMBER(VLOOKUP($B:$B,'IS(과거)'!$A:$F,$2:$2,0)),VLOOKUP($B:$B,'IS(과거)'!$A:$F,$2:$2,0),0)</f>
        <v>0</v>
      </c>
      <c r="L1048" s="207">
        <f>IF(ISNUMBER(VLOOKUP($B:$B,'IS(과거)'!$A:$F,$2:$2,0)),VLOOKUP($B:$B,'IS(과거)'!$A:$F,$2:$2,0),0)</f>
        <v>0</v>
      </c>
      <c r="N1048" s="207">
        <f>IF(ISNUMBER(VLOOKUP($B:$B,'IS(분기)'!$A:$F,$2:$2,0)),VLOOKUP($B:$B,'IS(분기)'!$A:$F,$2:$2,0),0)</f>
        <v>0</v>
      </c>
      <c r="O1048" s="207">
        <f>IF(ISNUMBER(VLOOKUP($B:$B,'IS(분기)'!$A:$F,$2:$2,0)),VLOOKUP($B:$B,'IS(분기)'!$A:$F,$2:$2,0),0)</f>
        <v>0</v>
      </c>
      <c r="P1048" s="207">
        <f>IF(ISNUMBER(VLOOKUP($B:$B,'IS(분기)'!$A:$F,$2:$2,0)),VLOOKUP($B:$B,'IS(분기)'!$A:$F,$2:$2,0),0)</f>
        <v>0</v>
      </c>
      <c r="Q1048" s="207">
        <f>IF(ISNUMBER(VLOOKUP($B:$B,'IS(분기)'!$A:$F,$2:$2,0)),VLOOKUP($B:$B,'IS(분기)'!$A:$F,$2:$2,0),0)</f>
        <v>0</v>
      </c>
      <c r="R1048" s="207">
        <f>IF(ISNUMBER(VLOOKUP($B:$B,'IS(분기)'!$A:$F,$2:$2,0)),VLOOKUP($B:$B,'IS(분기)'!$A:$F,$2:$2,0),0)</f>
        <v>0</v>
      </c>
    </row>
    <row r="1049" spans="1:18" s="192" customFormat="1" ht="12">
      <c r="A1049" s="202">
        <v>126228</v>
      </c>
      <c r="B1049" s="195" t="s">
        <v>1413</v>
      </c>
      <c r="C1049" s="217">
        <f>IF(ISNUMBER(VLOOKUP($B:$B,IS!$A:$F,$2:$2,0)),VLOOKUP($B:$B,IS!$A:$F,$2:$2,0),0)</f>
        <v>0</v>
      </c>
      <c r="D1049" s="217">
        <f>IF(ISNUMBER(VLOOKUP($B:$B,IS!$A:$F,$2:$2,0)),VLOOKUP($B:$B,IS!$A:$F,$2:$2,0),0)</f>
        <v>0</v>
      </c>
      <c r="E1049" s="217">
        <f>IF(ISNUMBER(VLOOKUP($B:$B,IS!$A:$F,$2:$2,0)),VLOOKUP($B:$B,IS!$A:$F,$2:$2,0),0)</f>
        <v>0</v>
      </c>
      <c r="F1049" s="217">
        <f>IF(ISNUMBER(VLOOKUP($B:$B,IS!$A:$F,$2:$2,0)),VLOOKUP($B:$B,IS!$A:$F,$2:$2,0),0)</f>
        <v>0</v>
      </c>
      <c r="G1049" s="217">
        <f>IF(ISNUMBER(VLOOKUP($B:$B,IS!$A:$F,$2:$2,0)),VLOOKUP($B:$B,IS!$A:$F,$2:$2,0),0)</f>
        <v>0</v>
      </c>
      <c r="H1049" s="207">
        <f>IF(ISNUMBER(VLOOKUP($B:$B,'IS(과거)'!$A:$F,$2:$2,0)),VLOOKUP($B:$B,'IS(과거)'!$A:$F,$2:$2,0),0)</f>
        <v>0</v>
      </c>
      <c r="I1049" s="207">
        <f>IF(ISNUMBER(VLOOKUP($B:$B,'IS(과거)'!$A:$F,$2:$2,0)),VLOOKUP($B:$B,'IS(과거)'!$A:$F,$2:$2,0),0)</f>
        <v>0</v>
      </c>
      <c r="J1049" s="207">
        <f>IF(ISNUMBER(VLOOKUP($B:$B,'IS(과거)'!$A:$F,$2:$2,0)),VLOOKUP($B:$B,'IS(과거)'!$A:$F,$2:$2,0),0)</f>
        <v>0</v>
      </c>
      <c r="K1049" s="207">
        <f>IF(ISNUMBER(VLOOKUP($B:$B,'IS(과거)'!$A:$F,$2:$2,0)),VLOOKUP($B:$B,'IS(과거)'!$A:$F,$2:$2,0),0)</f>
        <v>0</v>
      </c>
      <c r="L1049" s="207">
        <f>IF(ISNUMBER(VLOOKUP($B:$B,'IS(과거)'!$A:$F,$2:$2,0)),VLOOKUP($B:$B,'IS(과거)'!$A:$F,$2:$2,0),0)</f>
        <v>0</v>
      </c>
      <c r="N1049" s="207">
        <f>IF(ISNUMBER(VLOOKUP($B:$B,'IS(분기)'!$A:$F,$2:$2,0)),VLOOKUP($B:$B,'IS(분기)'!$A:$F,$2:$2,0),0)</f>
        <v>0</v>
      </c>
      <c r="O1049" s="207">
        <f>IF(ISNUMBER(VLOOKUP($B:$B,'IS(분기)'!$A:$F,$2:$2,0)),VLOOKUP($B:$B,'IS(분기)'!$A:$F,$2:$2,0),0)</f>
        <v>0</v>
      </c>
      <c r="P1049" s="207">
        <f>IF(ISNUMBER(VLOOKUP($B:$B,'IS(분기)'!$A:$F,$2:$2,0)),VLOOKUP($B:$B,'IS(분기)'!$A:$F,$2:$2,0),0)</f>
        <v>0</v>
      </c>
      <c r="Q1049" s="207">
        <f>IF(ISNUMBER(VLOOKUP($B:$B,'IS(분기)'!$A:$F,$2:$2,0)),VLOOKUP($B:$B,'IS(분기)'!$A:$F,$2:$2,0),0)</f>
        <v>0</v>
      </c>
      <c r="R1049" s="207">
        <f>IF(ISNUMBER(VLOOKUP($B:$B,'IS(분기)'!$A:$F,$2:$2,0)),VLOOKUP($B:$B,'IS(분기)'!$A:$F,$2:$2,0),0)</f>
        <v>0</v>
      </c>
    </row>
    <row r="1050" spans="1:18" s="192" customFormat="1" ht="12">
      <c r="A1050" s="202">
        <v>126229</v>
      </c>
      <c r="B1050" s="195" t="s">
        <v>1414</v>
      </c>
      <c r="C1050" s="217">
        <f>IF(ISNUMBER(VLOOKUP($B:$B,IS!$A:$F,$2:$2,0)),VLOOKUP($B:$B,IS!$A:$F,$2:$2,0),0)</f>
        <v>0</v>
      </c>
      <c r="D1050" s="217">
        <f>IF(ISNUMBER(VLOOKUP($B:$B,IS!$A:$F,$2:$2,0)),VLOOKUP($B:$B,IS!$A:$F,$2:$2,0),0)</f>
        <v>0</v>
      </c>
      <c r="E1050" s="217">
        <f>IF(ISNUMBER(VLOOKUP($B:$B,IS!$A:$F,$2:$2,0)),VLOOKUP($B:$B,IS!$A:$F,$2:$2,0),0)</f>
        <v>0</v>
      </c>
      <c r="F1050" s="217">
        <f>IF(ISNUMBER(VLOOKUP($B:$B,IS!$A:$F,$2:$2,0)),VLOOKUP($B:$B,IS!$A:$F,$2:$2,0),0)</f>
        <v>0</v>
      </c>
      <c r="G1050" s="217">
        <f>IF(ISNUMBER(VLOOKUP($B:$B,IS!$A:$F,$2:$2,0)),VLOOKUP($B:$B,IS!$A:$F,$2:$2,0),0)</f>
        <v>0</v>
      </c>
      <c r="H1050" s="207">
        <f>IF(ISNUMBER(VLOOKUP($B:$B,'IS(과거)'!$A:$F,$2:$2,0)),VLOOKUP($B:$B,'IS(과거)'!$A:$F,$2:$2,0),0)</f>
        <v>0</v>
      </c>
      <c r="I1050" s="207">
        <f>IF(ISNUMBER(VLOOKUP($B:$B,'IS(과거)'!$A:$F,$2:$2,0)),VLOOKUP($B:$B,'IS(과거)'!$A:$F,$2:$2,0),0)</f>
        <v>0</v>
      </c>
      <c r="J1050" s="207">
        <f>IF(ISNUMBER(VLOOKUP($B:$B,'IS(과거)'!$A:$F,$2:$2,0)),VLOOKUP($B:$B,'IS(과거)'!$A:$F,$2:$2,0),0)</f>
        <v>0</v>
      </c>
      <c r="K1050" s="207">
        <f>IF(ISNUMBER(VLOOKUP($B:$B,'IS(과거)'!$A:$F,$2:$2,0)),VLOOKUP($B:$B,'IS(과거)'!$A:$F,$2:$2,0),0)</f>
        <v>0</v>
      </c>
      <c r="L1050" s="207">
        <f>IF(ISNUMBER(VLOOKUP($B:$B,'IS(과거)'!$A:$F,$2:$2,0)),VLOOKUP($B:$B,'IS(과거)'!$A:$F,$2:$2,0),0)</f>
        <v>0</v>
      </c>
      <c r="N1050" s="207">
        <f>IF(ISNUMBER(VLOOKUP($B:$B,'IS(분기)'!$A:$F,$2:$2,0)),VLOOKUP($B:$B,'IS(분기)'!$A:$F,$2:$2,0),0)</f>
        <v>0</v>
      </c>
      <c r="O1050" s="207">
        <f>IF(ISNUMBER(VLOOKUP($B:$B,'IS(분기)'!$A:$F,$2:$2,0)),VLOOKUP($B:$B,'IS(분기)'!$A:$F,$2:$2,0),0)</f>
        <v>0</v>
      </c>
      <c r="P1050" s="207">
        <f>IF(ISNUMBER(VLOOKUP($B:$B,'IS(분기)'!$A:$F,$2:$2,0)),VLOOKUP($B:$B,'IS(분기)'!$A:$F,$2:$2,0),0)</f>
        <v>0</v>
      </c>
      <c r="Q1050" s="207">
        <f>IF(ISNUMBER(VLOOKUP($B:$B,'IS(분기)'!$A:$F,$2:$2,0)),VLOOKUP($B:$B,'IS(분기)'!$A:$F,$2:$2,0),0)</f>
        <v>0</v>
      </c>
      <c r="R1050" s="207">
        <f>IF(ISNUMBER(VLOOKUP($B:$B,'IS(분기)'!$A:$F,$2:$2,0)),VLOOKUP($B:$B,'IS(분기)'!$A:$F,$2:$2,0),0)</f>
        <v>0</v>
      </c>
    </row>
    <row r="1051" spans="1:18" s="192" customFormat="1" ht="12">
      <c r="A1051" s="202">
        <v>126213</v>
      </c>
      <c r="B1051" s="195" t="s">
        <v>1415</v>
      </c>
      <c r="C1051" s="217">
        <f>IF(ISNUMBER(VLOOKUP($B:$B,IS!$A:$F,$2:$2,0)),VLOOKUP($B:$B,IS!$A:$F,$2:$2,0),0)</f>
        <v>0</v>
      </c>
      <c r="D1051" s="217">
        <f>IF(ISNUMBER(VLOOKUP($B:$B,IS!$A:$F,$2:$2,0)),VLOOKUP($B:$B,IS!$A:$F,$2:$2,0),0)</f>
        <v>0</v>
      </c>
      <c r="E1051" s="217">
        <f>IF(ISNUMBER(VLOOKUP($B:$B,IS!$A:$F,$2:$2,0)),VLOOKUP($B:$B,IS!$A:$F,$2:$2,0),0)</f>
        <v>0</v>
      </c>
      <c r="F1051" s="217">
        <f>IF(ISNUMBER(VLOOKUP($B:$B,IS!$A:$F,$2:$2,0)),VLOOKUP($B:$B,IS!$A:$F,$2:$2,0),0)</f>
        <v>0</v>
      </c>
      <c r="G1051" s="217">
        <f>IF(ISNUMBER(VLOOKUP($B:$B,IS!$A:$F,$2:$2,0)),VLOOKUP($B:$B,IS!$A:$F,$2:$2,0),0)</f>
        <v>0</v>
      </c>
      <c r="H1051" s="207">
        <f>IF(ISNUMBER(VLOOKUP($B:$B,'IS(과거)'!$A:$F,$2:$2,0)),VLOOKUP($B:$B,'IS(과거)'!$A:$F,$2:$2,0),0)</f>
        <v>0</v>
      </c>
      <c r="I1051" s="207">
        <f>IF(ISNUMBER(VLOOKUP($B:$B,'IS(과거)'!$A:$F,$2:$2,0)),VLOOKUP($B:$B,'IS(과거)'!$A:$F,$2:$2,0),0)</f>
        <v>0</v>
      </c>
      <c r="J1051" s="207">
        <f>IF(ISNUMBER(VLOOKUP($B:$B,'IS(과거)'!$A:$F,$2:$2,0)),VLOOKUP($B:$B,'IS(과거)'!$A:$F,$2:$2,0),0)</f>
        <v>0</v>
      </c>
      <c r="K1051" s="207">
        <f>IF(ISNUMBER(VLOOKUP($B:$B,'IS(과거)'!$A:$F,$2:$2,0)),VLOOKUP($B:$B,'IS(과거)'!$A:$F,$2:$2,0),0)</f>
        <v>0</v>
      </c>
      <c r="L1051" s="207">
        <f>IF(ISNUMBER(VLOOKUP($B:$B,'IS(과거)'!$A:$F,$2:$2,0)),VLOOKUP($B:$B,'IS(과거)'!$A:$F,$2:$2,0),0)</f>
        <v>0</v>
      </c>
      <c r="N1051" s="207">
        <f>IF(ISNUMBER(VLOOKUP($B:$B,'IS(분기)'!$A:$F,$2:$2,0)),VLOOKUP($B:$B,'IS(분기)'!$A:$F,$2:$2,0),0)</f>
        <v>0</v>
      </c>
      <c r="O1051" s="207">
        <f>IF(ISNUMBER(VLOOKUP($B:$B,'IS(분기)'!$A:$F,$2:$2,0)),VLOOKUP($B:$B,'IS(분기)'!$A:$F,$2:$2,0),0)</f>
        <v>0</v>
      </c>
      <c r="P1051" s="207">
        <f>IF(ISNUMBER(VLOOKUP($B:$B,'IS(분기)'!$A:$F,$2:$2,0)),VLOOKUP($B:$B,'IS(분기)'!$A:$F,$2:$2,0),0)</f>
        <v>0</v>
      </c>
      <c r="Q1051" s="207">
        <f>IF(ISNUMBER(VLOOKUP($B:$B,'IS(분기)'!$A:$F,$2:$2,0)),VLOOKUP($B:$B,'IS(분기)'!$A:$F,$2:$2,0),0)</f>
        <v>0</v>
      </c>
      <c r="R1051" s="207">
        <f>IF(ISNUMBER(VLOOKUP($B:$B,'IS(분기)'!$A:$F,$2:$2,0)),VLOOKUP($B:$B,'IS(분기)'!$A:$F,$2:$2,0),0)</f>
        <v>0</v>
      </c>
    </row>
    <row r="1052" spans="1:18" s="192" customFormat="1" ht="12">
      <c r="A1052" s="201">
        <v>126220</v>
      </c>
      <c r="B1052" s="194" t="s">
        <v>1426</v>
      </c>
      <c r="C1052" s="217">
        <f>IF(ISNUMBER(VLOOKUP($B:$B,IS!$A:$F,$2:$2,0)),VLOOKUP($B:$B,IS!$A:$F,$2:$2,0),0)</f>
        <v>0</v>
      </c>
      <c r="D1052" s="217">
        <f>IF(ISNUMBER(VLOOKUP($B:$B,IS!$A:$F,$2:$2,0)),VLOOKUP($B:$B,IS!$A:$F,$2:$2,0),0)</f>
        <v>0</v>
      </c>
      <c r="E1052" s="217">
        <f>IF(ISNUMBER(VLOOKUP($B:$B,IS!$A:$F,$2:$2,0)),VLOOKUP($B:$B,IS!$A:$F,$2:$2,0),0)</f>
        <v>0</v>
      </c>
      <c r="F1052" s="217">
        <f>IF(ISNUMBER(VLOOKUP($B:$B,IS!$A:$F,$2:$2,0)),VLOOKUP($B:$B,IS!$A:$F,$2:$2,0),0)</f>
        <v>0</v>
      </c>
      <c r="G1052" s="217">
        <f>IF(ISNUMBER(VLOOKUP($B:$B,IS!$A:$F,$2:$2,0)),VLOOKUP($B:$B,IS!$A:$F,$2:$2,0),0)</f>
        <v>0</v>
      </c>
      <c r="H1052" s="207">
        <f>IF(ISNUMBER(VLOOKUP($B:$B,'IS(과거)'!$A:$F,$2:$2,0)),VLOOKUP($B:$B,'IS(과거)'!$A:$F,$2:$2,0),0)</f>
        <v>0</v>
      </c>
      <c r="I1052" s="207">
        <f>IF(ISNUMBER(VLOOKUP($B:$B,'IS(과거)'!$A:$F,$2:$2,0)),VLOOKUP($B:$B,'IS(과거)'!$A:$F,$2:$2,0),0)</f>
        <v>0</v>
      </c>
      <c r="J1052" s="207">
        <f>IF(ISNUMBER(VLOOKUP($B:$B,'IS(과거)'!$A:$F,$2:$2,0)),VLOOKUP($B:$B,'IS(과거)'!$A:$F,$2:$2,0),0)</f>
        <v>0</v>
      </c>
      <c r="K1052" s="207">
        <f>IF(ISNUMBER(VLOOKUP($B:$B,'IS(과거)'!$A:$F,$2:$2,0)),VLOOKUP($B:$B,'IS(과거)'!$A:$F,$2:$2,0),0)</f>
        <v>0</v>
      </c>
      <c r="L1052" s="207">
        <f>IF(ISNUMBER(VLOOKUP($B:$B,'IS(과거)'!$A:$F,$2:$2,0)),VLOOKUP($B:$B,'IS(과거)'!$A:$F,$2:$2,0),0)</f>
        <v>0</v>
      </c>
      <c r="N1052" s="207">
        <f>IF(ISNUMBER(VLOOKUP($B:$B,'IS(분기)'!$A:$F,$2:$2,0)),VLOOKUP($B:$B,'IS(분기)'!$A:$F,$2:$2,0),0)</f>
        <v>0</v>
      </c>
      <c r="O1052" s="207">
        <f>IF(ISNUMBER(VLOOKUP($B:$B,'IS(분기)'!$A:$F,$2:$2,0)),VLOOKUP($B:$B,'IS(분기)'!$A:$F,$2:$2,0),0)</f>
        <v>0</v>
      </c>
      <c r="P1052" s="207">
        <f>IF(ISNUMBER(VLOOKUP($B:$B,'IS(분기)'!$A:$F,$2:$2,0)),VLOOKUP($B:$B,'IS(분기)'!$A:$F,$2:$2,0),0)</f>
        <v>0</v>
      </c>
      <c r="Q1052" s="207">
        <f>IF(ISNUMBER(VLOOKUP($B:$B,'IS(분기)'!$A:$F,$2:$2,0)),VLOOKUP($B:$B,'IS(분기)'!$A:$F,$2:$2,0),0)</f>
        <v>0</v>
      </c>
      <c r="R1052" s="207">
        <f>IF(ISNUMBER(VLOOKUP($B:$B,'IS(분기)'!$A:$F,$2:$2,0)),VLOOKUP($B:$B,'IS(분기)'!$A:$F,$2:$2,0),0)</f>
        <v>0</v>
      </c>
    </row>
    <row r="1053" spans="1:18" s="192" customFormat="1" ht="12">
      <c r="A1053" s="202">
        <v>126221</v>
      </c>
      <c r="B1053" s="195" t="s">
        <v>1412</v>
      </c>
      <c r="C1053" s="217">
        <f>IF(ISNUMBER(VLOOKUP($B:$B,IS!$A:$F,$2:$2,0)),VLOOKUP($B:$B,IS!$A:$F,$2:$2,0),0)</f>
        <v>0</v>
      </c>
      <c r="D1053" s="217">
        <f>IF(ISNUMBER(VLOOKUP($B:$B,IS!$A:$F,$2:$2,0)),VLOOKUP($B:$B,IS!$A:$F,$2:$2,0),0)</f>
        <v>0</v>
      </c>
      <c r="E1053" s="217">
        <f>IF(ISNUMBER(VLOOKUP($B:$B,IS!$A:$F,$2:$2,0)),VLOOKUP($B:$B,IS!$A:$F,$2:$2,0),0)</f>
        <v>0</v>
      </c>
      <c r="F1053" s="217">
        <f>IF(ISNUMBER(VLOOKUP($B:$B,IS!$A:$F,$2:$2,0)),VLOOKUP($B:$B,IS!$A:$F,$2:$2,0),0)</f>
        <v>0</v>
      </c>
      <c r="G1053" s="217">
        <f>IF(ISNUMBER(VLOOKUP($B:$B,IS!$A:$F,$2:$2,0)),VLOOKUP($B:$B,IS!$A:$F,$2:$2,0),0)</f>
        <v>0</v>
      </c>
      <c r="H1053" s="207">
        <f>IF(ISNUMBER(VLOOKUP($B:$B,'IS(과거)'!$A:$F,$2:$2,0)),VLOOKUP($B:$B,'IS(과거)'!$A:$F,$2:$2,0),0)</f>
        <v>0</v>
      </c>
      <c r="I1053" s="207">
        <f>IF(ISNUMBER(VLOOKUP($B:$B,'IS(과거)'!$A:$F,$2:$2,0)),VLOOKUP($B:$B,'IS(과거)'!$A:$F,$2:$2,0),0)</f>
        <v>0</v>
      </c>
      <c r="J1053" s="207">
        <f>IF(ISNUMBER(VLOOKUP($B:$B,'IS(과거)'!$A:$F,$2:$2,0)),VLOOKUP($B:$B,'IS(과거)'!$A:$F,$2:$2,0),0)</f>
        <v>0</v>
      </c>
      <c r="K1053" s="207">
        <f>IF(ISNUMBER(VLOOKUP($B:$B,'IS(과거)'!$A:$F,$2:$2,0)),VLOOKUP($B:$B,'IS(과거)'!$A:$F,$2:$2,0),0)</f>
        <v>0</v>
      </c>
      <c r="L1053" s="207">
        <f>IF(ISNUMBER(VLOOKUP($B:$B,'IS(과거)'!$A:$F,$2:$2,0)),VLOOKUP($B:$B,'IS(과거)'!$A:$F,$2:$2,0),0)</f>
        <v>0</v>
      </c>
      <c r="N1053" s="207">
        <f>IF(ISNUMBER(VLOOKUP($B:$B,'IS(분기)'!$A:$F,$2:$2,0)),VLOOKUP($B:$B,'IS(분기)'!$A:$F,$2:$2,0),0)</f>
        <v>0</v>
      </c>
      <c r="O1053" s="207">
        <f>IF(ISNUMBER(VLOOKUP($B:$B,'IS(분기)'!$A:$F,$2:$2,0)),VLOOKUP($B:$B,'IS(분기)'!$A:$F,$2:$2,0),0)</f>
        <v>0</v>
      </c>
      <c r="P1053" s="207">
        <f>IF(ISNUMBER(VLOOKUP($B:$B,'IS(분기)'!$A:$F,$2:$2,0)),VLOOKUP($B:$B,'IS(분기)'!$A:$F,$2:$2,0),0)</f>
        <v>0</v>
      </c>
      <c r="Q1053" s="207">
        <f>IF(ISNUMBER(VLOOKUP($B:$B,'IS(분기)'!$A:$F,$2:$2,0)),VLOOKUP($B:$B,'IS(분기)'!$A:$F,$2:$2,0),0)</f>
        <v>0</v>
      </c>
      <c r="R1053" s="207">
        <f>IF(ISNUMBER(VLOOKUP($B:$B,'IS(분기)'!$A:$F,$2:$2,0)),VLOOKUP($B:$B,'IS(분기)'!$A:$F,$2:$2,0),0)</f>
        <v>0</v>
      </c>
    </row>
    <row r="1054" spans="1:18" s="192" customFormat="1" ht="12">
      <c r="A1054" s="202">
        <v>126222</v>
      </c>
      <c r="B1054" s="195" t="s">
        <v>1427</v>
      </c>
      <c r="C1054" s="217">
        <f>IF(ISNUMBER(VLOOKUP($B:$B,IS!$A:$F,$2:$2,0)),VLOOKUP($B:$B,IS!$A:$F,$2:$2,0),0)</f>
        <v>0</v>
      </c>
      <c r="D1054" s="217">
        <f>IF(ISNUMBER(VLOOKUP($B:$B,IS!$A:$F,$2:$2,0)),VLOOKUP($B:$B,IS!$A:$F,$2:$2,0),0)</f>
        <v>0</v>
      </c>
      <c r="E1054" s="217">
        <f>IF(ISNUMBER(VLOOKUP($B:$B,IS!$A:$F,$2:$2,0)),VLOOKUP($B:$B,IS!$A:$F,$2:$2,0),0)</f>
        <v>0</v>
      </c>
      <c r="F1054" s="217">
        <f>IF(ISNUMBER(VLOOKUP($B:$B,IS!$A:$F,$2:$2,0)),VLOOKUP($B:$B,IS!$A:$F,$2:$2,0),0)</f>
        <v>0</v>
      </c>
      <c r="G1054" s="217">
        <f>IF(ISNUMBER(VLOOKUP($B:$B,IS!$A:$F,$2:$2,0)),VLOOKUP($B:$B,IS!$A:$F,$2:$2,0),0)</f>
        <v>0</v>
      </c>
      <c r="H1054" s="207">
        <f>IF(ISNUMBER(VLOOKUP($B:$B,'IS(과거)'!$A:$F,$2:$2,0)),VLOOKUP($B:$B,'IS(과거)'!$A:$F,$2:$2,0),0)</f>
        <v>0</v>
      </c>
      <c r="I1054" s="207">
        <f>IF(ISNUMBER(VLOOKUP($B:$B,'IS(과거)'!$A:$F,$2:$2,0)),VLOOKUP($B:$B,'IS(과거)'!$A:$F,$2:$2,0),0)</f>
        <v>0</v>
      </c>
      <c r="J1054" s="207">
        <f>IF(ISNUMBER(VLOOKUP($B:$B,'IS(과거)'!$A:$F,$2:$2,0)),VLOOKUP($B:$B,'IS(과거)'!$A:$F,$2:$2,0),0)</f>
        <v>0</v>
      </c>
      <c r="K1054" s="207">
        <f>IF(ISNUMBER(VLOOKUP($B:$B,'IS(과거)'!$A:$F,$2:$2,0)),VLOOKUP($B:$B,'IS(과거)'!$A:$F,$2:$2,0),0)</f>
        <v>0</v>
      </c>
      <c r="L1054" s="207">
        <f>IF(ISNUMBER(VLOOKUP($B:$B,'IS(과거)'!$A:$F,$2:$2,0)),VLOOKUP($B:$B,'IS(과거)'!$A:$F,$2:$2,0),0)</f>
        <v>0</v>
      </c>
      <c r="N1054" s="207">
        <f>IF(ISNUMBER(VLOOKUP($B:$B,'IS(분기)'!$A:$F,$2:$2,0)),VLOOKUP($B:$B,'IS(분기)'!$A:$F,$2:$2,0),0)</f>
        <v>0</v>
      </c>
      <c r="O1054" s="207">
        <f>IF(ISNUMBER(VLOOKUP($B:$B,'IS(분기)'!$A:$F,$2:$2,0)),VLOOKUP($B:$B,'IS(분기)'!$A:$F,$2:$2,0),0)</f>
        <v>0</v>
      </c>
      <c r="P1054" s="207">
        <f>IF(ISNUMBER(VLOOKUP($B:$B,'IS(분기)'!$A:$F,$2:$2,0)),VLOOKUP($B:$B,'IS(분기)'!$A:$F,$2:$2,0),0)</f>
        <v>0</v>
      </c>
      <c r="Q1054" s="207">
        <f>IF(ISNUMBER(VLOOKUP($B:$B,'IS(분기)'!$A:$F,$2:$2,0)),VLOOKUP($B:$B,'IS(분기)'!$A:$F,$2:$2,0),0)</f>
        <v>0</v>
      </c>
      <c r="R1054" s="207">
        <f>IF(ISNUMBER(VLOOKUP($B:$B,'IS(분기)'!$A:$F,$2:$2,0)),VLOOKUP($B:$B,'IS(분기)'!$A:$F,$2:$2,0),0)</f>
        <v>0</v>
      </c>
    </row>
    <row r="1055" spans="1:18" s="192" customFormat="1" ht="12">
      <c r="A1055" s="202">
        <v>126223</v>
      </c>
      <c r="B1055" s="195" t="s">
        <v>1428</v>
      </c>
      <c r="C1055" s="217">
        <f>IF(ISNUMBER(VLOOKUP($B:$B,IS!$A:$F,$2:$2,0)),VLOOKUP($B:$B,IS!$A:$F,$2:$2,0),0)</f>
        <v>0</v>
      </c>
      <c r="D1055" s="217">
        <f>IF(ISNUMBER(VLOOKUP($B:$B,IS!$A:$F,$2:$2,0)),VLOOKUP($B:$B,IS!$A:$F,$2:$2,0),0)</f>
        <v>0</v>
      </c>
      <c r="E1055" s="217">
        <f>IF(ISNUMBER(VLOOKUP($B:$B,IS!$A:$F,$2:$2,0)),VLOOKUP($B:$B,IS!$A:$F,$2:$2,0),0)</f>
        <v>0</v>
      </c>
      <c r="F1055" s="217">
        <f>IF(ISNUMBER(VLOOKUP($B:$B,IS!$A:$F,$2:$2,0)),VLOOKUP($B:$B,IS!$A:$F,$2:$2,0),0)</f>
        <v>0</v>
      </c>
      <c r="G1055" s="217">
        <f>IF(ISNUMBER(VLOOKUP($B:$B,IS!$A:$F,$2:$2,0)),VLOOKUP($B:$B,IS!$A:$F,$2:$2,0),0)</f>
        <v>0</v>
      </c>
      <c r="H1055" s="207">
        <f>IF(ISNUMBER(VLOOKUP($B:$B,'IS(과거)'!$A:$F,$2:$2,0)),VLOOKUP($B:$B,'IS(과거)'!$A:$F,$2:$2,0),0)</f>
        <v>0</v>
      </c>
      <c r="I1055" s="207">
        <f>IF(ISNUMBER(VLOOKUP($B:$B,'IS(과거)'!$A:$F,$2:$2,0)),VLOOKUP($B:$B,'IS(과거)'!$A:$F,$2:$2,0),0)</f>
        <v>0</v>
      </c>
      <c r="J1055" s="207">
        <f>IF(ISNUMBER(VLOOKUP($B:$B,'IS(과거)'!$A:$F,$2:$2,0)),VLOOKUP($B:$B,'IS(과거)'!$A:$F,$2:$2,0),0)</f>
        <v>0</v>
      </c>
      <c r="K1055" s="207">
        <f>IF(ISNUMBER(VLOOKUP($B:$B,'IS(과거)'!$A:$F,$2:$2,0)),VLOOKUP($B:$B,'IS(과거)'!$A:$F,$2:$2,0),0)</f>
        <v>0</v>
      </c>
      <c r="L1055" s="207">
        <f>IF(ISNUMBER(VLOOKUP($B:$B,'IS(과거)'!$A:$F,$2:$2,0)),VLOOKUP($B:$B,'IS(과거)'!$A:$F,$2:$2,0),0)</f>
        <v>0</v>
      </c>
      <c r="N1055" s="207">
        <f>IF(ISNUMBER(VLOOKUP($B:$B,'IS(분기)'!$A:$F,$2:$2,0)),VLOOKUP($B:$B,'IS(분기)'!$A:$F,$2:$2,0),0)</f>
        <v>0</v>
      </c>
      <c r="O1055" s="207">
        <f>IF(ISNUMBER(VLOOKUP($B:$B,'IS(분기)'!$A:$F,$2:$2,0)),VLOOKUP($B:$B,'IS(분기)'!$A:$F,$2:$2,0),0)</f>
        <v>0</v>
      </c>
      <c r="P1055" s="207">
        <f>IF(ISNUMBER(VLOOKUP($B:$B,'IS(분기)'!$A:$F,$2:$2,0)),VLOOKUP($B:$B,'IS(분기)'!$A:$F,$2:$2,0),0)</f>
        <v>0</v>
      </c>
      <c r="Q1055" s="207">
        <f>IF(ISNUMBER(VLOOKUP($B:$B,'IS(분기)'!$A:$F,$2:$2,0)),VLOOKUP($B:$B,'IS(분기)'!$A:$F,$2:$2,0),0)</f>
        <v>0</v>
      </c>
      <c r="R1055" s="207">
        <f>IF(ISNUMBER(VLOOKUP($B:$B,'IS(분기)'!$A:$F,$2:$2,0)),VLOOKUP($B:$B,'IS(분기)'!$A:$F,$2:$2,0),0)</f>
        <v>0</v>
      </c>
    </row>
    <row r="1056" spans="1:18" s="192" customFormat="1" ht="12">
      <c r="A1056" s="202">
        <v>126224</v>
      </c>
      <c r="B1056" s="195" t="s">
        <v>1429</v>
      </c>
      <c r="C1056" s="217">
        <f>IF(ISNUMBER(VLOOKUP($B:$B,IS!$A:$F,$2:$2,0)),VLOOKUP($B:$B,IS!$A:$F,$2:$2,0),0)</f>
        <v>0</v>
      </c>
      <c r="D1056" s="217">
        <f>IF(ISNUMBER(VLOOKUP($B:$B,IS!$A:$F,$2:$2,0)),VLOOKUP($B:$B,IS!$A:$F,$2:$2,0),0)</f>
        <v>0</v>
      </c>
      <c r="E1056" s="217">
        <f>IF(ISNUMBER(VLOOKUP($B:$B,IS!$A:$F,$2:$2,0)),VLOOKUP($B:$B,IS!$A:$F,$2:$2,0),0)</f>
        <v>0</v>
      </c>
      <c r="F1056" s="217">
        <f>IF(ISNUMBER(VLOOKUP($B:$B,IS!$A:$F,$2:$2,0)),VLOOKUP($B:$B,IS!$A:$F,$2:$2,0),0)</f>
        <v>0</v>
      </c>
      <c r="G1056" s="217">
        <f>IF(ISNUMBER(VLOOKUP($B:$B,IS!$A:$F,$2:$2,0)),VLOOKUP($B:$B,IS!$A:$F,$2:$2,0),0)</f>
        <v>0</v>
      </c>
      <c r="H1056" s="207">
        <f>IF(ISNUMBER(VLOOKUP($B:$B,'IS(과거)'!$A:$F,$2:$2,0)),VLOOKUP($B:$B,'IS(과거)'!$A:$F,$2:$2,0),0)</f>
        <v>0</v>
      </c>
      <c r="I1056" s="207">
        <f>IF(ISNUMBER(VLOOKUP($B:$B,'IS(과거)'!$A:$F,$2:$2,0)),VLOOKUP($B:$B,'IS(과거)'!$A:$F,$2:$2,0),0)</f>
        <v>0</v>
      </c>
      <c r="J1056" s="207">
        <f>IF(ISNUMBER(VLOOKUP($B:$B,'IS(과거)'!$A:$F,$2:$2,0)),VLOOKUP($B:$B,'IS(과거)'!$A:$F,$2:$2,0),0)</f>
        <v>0</v>
      </c>
      <c r="K1056" s="207">
        <f>IF(ISNUMBER(VLOOKUP($B:$B,'IS(과거)'!$A:$F,$2:$2,0)),VLOOKUP($B:$B,'IS(과거)'!$A:$F,$2:$2,0),0)</f>
        <v>0</v>
      </c>
      <c r="L1056" s="207">
        <f>IF(ISNUMBER(VLOOKUP($B:$B,'IS(과거)'!$A:$F,$2:$2,0)),VLOOKUP($B:$B,'IS(과거)'!$A:$F,$2:$2,0),0)</f>
        <v>0</v>
      </c>
      <c r="N1056" s="207">
        <f>IF(ISNUMBER(VLOOKUP($B:$B,'IS(분기)'!$A:$F,$2:$2,0)),VLOOKUP($B:$B,'IS(분기)'!$A:$F,$2:$2,0),0)</f>
        <v>0</v>
      </c>
      <c r="O1056" s="207">
        <f>IF(ISNUMBER(VLOOKUP($B:$B,'IS(분기)'!$A:$F,$2:$2,0)),VLOOKUP($B:$B,'IS(분기)'!$A:$F,$2:$2,0),0)</f>
        <v>0</v>
      </c>
      <c r="P1056" s="207">
        <f>IF(ISNUMBER(VLOOKUP($B:$B,'IS(분기)'!$A:$F,$2:$2,0)),VLOOKUP($B:$B,'IS(분기)'!$A:$F,$2:$2,0),0)</f>
        <v>0</v>
      </c>
      <c r="Q1056" s="207">
        <f>IF(ISNUMBER(VLOOKUP($B:$B,'IS(분기)'!$A:$F,$2:$2,0)),VLOOKUP($B:$B,'IS(분기)'!$A:$F,$2:$2,0),0)</f>
        <v>0</v>
      </c>
      <c r="R1056" s="207">
        <f>IF(ISNUMBER(VLOOKUP($B:$B,'IS(분기)'!$A:$F,$2:$2,0)),VLOOKUP($B:$B,'IS(분기)'!$A:$F,$2:$2,0),0)</f>
        <v>0</v>
      </c>
    </row>
    <row r="1057" spans="1:18" s="192" customFormat="1" ht="12">
      <c r="A1057" s="202">
        <v>126225</v>
      </c>
      <c r="B1057" s="195" t="s">
        <v>1430</v>
      </c>
      <c r="C1057" s="217">
        <f>IF(ISNUMBER(VLOOKUP($B:$B,IS!$A:$F,$2:$2,0)),VLOOKUP($B:$B,IS!$A:$F,$2:$2,0),0)</f>
        <v>0</v>
      </c>
      <c r="D1057" s="217">
        <f>IF(ISNUMBER(VLOOKUP($B:$B,IS!$A:$F,$2:$2,0)),VLOOKUP($B:$B,IS!$A:$F,$2:$2,0),0)</f>
        <v>0</v>
      </c>
      <c r="E1057" s="217">
        <f>IF(ISNUMBER(VLOOKUP($B:$B,IS!$A:$F,$2:$2,0)),VLOOKUP($B:$B,IS!$A:$F,$2:$2,0),0)</f>
        <v>0</v>
      </c>
      <c r="F1057" s="217">
        <f>IF(ISNUMBER(VLOOKUP($B:$B,IS!$A:$F,$2:$2,0)),VLOOKUP($B:$B,IS!$A:$F,$2:$2,0),0)</f>
        <v>0</v>
      </c>
      <c r="G1057" s="217">
        <f>IF(ISNUMBER(VLOOKUP($B:$B,IS!$A:$F,$2:$2,0)),VLOOKUP($B:$B,IS!$A:$F,$2:$2,0),0)</f>
        <v>0</v>
      </c>
      <c r="H1057" s="207">
        <f>IF(ISNUMBER(VLOOKUP($B:$B,'IS(과거)'!$A:$F,$2:$2,0)),VLOOKUP($B:$B,'IS(과거)'!$A:$F,$2:$2,0),0)</f>
        <v>0</v>
      </c>
      <c r="I1057" s="207">
        <f>IF(ISNUMBER(VLOOKUP($B:$B,'IS(과거)'!$A:$F,$2:$2,0)),VLOOKUP($B:$B,'IS(과거)'!$A:$F,$2:$2,0),0)</f>
        <v>0</v>
      </c>
      <c r="J1057" s="207">
        <f>IF(ISNUMBER(VLOOKUP($B:$B,'IS(과거)'!$A:$F,$2:$2,0)),VLOOKUP($B:$B,'IS(과거)'!$A:$F,$2:$2,0),0)</f>
        <v>0</v>
      </c>
      <c r="K1057" s="207">
        <f>IF(ISNUMBER(VLOOKUP($B:$B,'IS(과거)'!$A:$F,$2:$2,0)),VLOOKUP($B:$B,'IS(과거)'!$A:$F,$2:$2,0),0)</f>
        <v>0</v>
      </c>
      <c r="L1057" s="207">
        <f>IF(ISNUMBER(VLOOKUP($B:$B,'IS(과거)'!$A:$F,$2:$2,0)),VLOOKUP($B:$B,'IS(과거)'!$A:$F,$2:$2,0),0)</f>
        <v>0</v>
      </c>
      <c r="N1057" s="207">
        <f>IF(ISNUMBER(VLOOKUP($B:$B,'IS(분기)'!$A:$F,$2:$2,0)),VLOOKUP($B:$B,'IS(분기)'!$A:$F,$2:$2,0),0)</f>
        <v>0</v>
      </c>
      <c r="O1057" s="207">
        <f>IF(ISNUMBER(VLOOKUP($B:$B,'IS(분기)'!$A:$F,$2:$2,0)),VLOOKUP($B:$B,'IS(분기)'!$A:$F,$2:$2,0),0)</f>
        <v>0</v>
      </c>
      <c r="P1057" s="207">
        <f>IF(ISNUMBER(VLOOKUP($B:$B,'IS(분기)'!$A:$F,$2:$2,0)),VLOOKUP($B:$B,'IS(분기)'!$A:$F,$2:$2,0),0)</f>
        <v>0</v>
      </c>
      <c r="Q1057" s="207">
        <f>IF(ISNUMBER(VLOOKUP($B:$B,'IS(분기)'!$A:$F,$2:$2,0)),VLOOKUP($B:$B,'IS(분기)'!$A:$F,$2:$2,0),0)</f>
        <v>0</v>
      </c>
      <c r="R1057" s="207">
        <f>IF(ISNUMBER(VLOOKUP($B:$B,'IS(분기)'!$A:$F,$2:$2,0)),VLOOKUP($B:$B,'IS(분기)'!$A:$F,$2:$2,0),0)</f>
        <v>0</v>
      </c>
    </row>
    <row r="1058" spans="1:18" s="192" customFormat="1" ht="12">
      <c r="A1058" s="202">
        <v>126226</v>
      </c>
      <c r="B1058" s="195" t="s">
        <v>1431</v>
      </c>
      <c r="C1058" s="217">
        <f>IF(ISNUMBER(VLOOKUP($B:$B,IS!$A:$F,$2:$2,0)),VLOOKUP($B:$B,IS!$A:$F,$2:$2,0),0)</f>
        <v>0</v>
      </c>
      <c r="D1058" s="217">
        <f>IF(ISNUMBER(VLOOKUP($B:$B,IS!$A:$F,$2:$2,0)),VLOOKUP($B:$B,IS!$A:$F,$2:$2,0),0)</f>
        <v>0</v>
      </c>
      <c r="E1058" s="217">
        <f>IF(ISNUMBER(VLOOKUP($B:$B,IS!$A:$F,$2:$2,0)),VLOOKUP($B:$B,IS!$A:$F,$2:$2,0),0)</f>
        <v>0</v>
      </c>
      <c r="F1058" s="217">
        <f>IF(ISNUMBER(VLOOKUP($B:$B,IS!$A:$F,$2:$2,0)),VLOOKUP($B:$B,IS!$A:$F,$2:$2,0),0)</f>
        <v>0</v>
      </c>
      <c r="G1058" s="217">
        <f>IF(ISNUMBER(VLOOKUP($B:$B,IS!$A:$F,$2:$2,0)),VLOOKUP($B:$B,IS!$A:$F,$2:$2,0),0)</f>
        <v>0</v>
      </c>
      <c r="H1058" s="207">
        <f>IF(ISNUMBER(VLOOKUP($B:$B,'IS(과거)'!$A:$F,$2:$2,0)),VLOOKUP($B:$B,'IS(과거)'!$A:$F,$2:$2,0),0)</f>
        <v>0</v>
      </c>
      <c r="I1058" s="207">
        <f>IF(ISNUMBER(VLOOKUP($B:$B,'IS(과거)'!$A:$F,$2:$2,0)),VLOOKUP($B:$B,'IS(과거)'!$A:$F,$2:$2,0),0)</f>
        <v>0</v>
      </c>
      <c r="J1058" s="207">
        <f>IF(ISNUMBER(VLOOKUP($B:$B,'IS(과거)'!$A:$F,$2:$2,0)),VLOOKUP($B:$B,'IS(과거)'!$A:$F,$2:$2,0),0)</f>
        <v>0</v>
      </c>
      <c r="K1058" s="207">
        <f>IF(ISNUMBER(VLOOKUP($B:$B,'IS(과거)'!$A:$F,$2:$2,0)),VLOOKUP($B:$B,'IS(과거)'!$A:$F,$2:$2,0),0)</f>
        <v>0</v>
      </c>
      <c r="L1058" s="207">
        <f>IF(ISNUMBER(VLOOKUP($B:$B,'IS(과거)'!$A:$F,$2:$2,0)),VLOOKUP($B:$B,'IS(과거)'!$A:$F,$2:$2,0),0)</f>
        <v>0</v>
      </c>
      <c r="N1058" s="207">
        <f>IF(ISNUMBER(VLOOKUP($B:$B,'IS(분기)'!$A:$F,$2:$2,0)),VLOOKUP($B:$B,'IS(분기)'!$A:$F,$2:$2,0),0)</f>
        <v>0</v>
      </c>
      <c r="O1058" s="207">
        <f>IF(ISNUMBER(VLOOKUP($B:$B,'IS(분기)'!$A:$F,$2:$2,0)),VLOOKUP($B:$B,'IS(분기)'!$A:$F,$2:$2,0),0)</f>
        <v>0</v>
      </c>
      <c r="P1058" s="207">
        <f>IF(ISNUMBER(VLOOKUP($B:$B,'IS(분기)'!$A:$F,$2:$2,0)),VLOOKUP($B:$B,'IS(분기)'!$A:$F,$2:$2,0),0)</f>
        <v>0</v>
      </c>
      <c r="Q1058" s="207">
        <f>IF(ISNUMBER(VLOOKUP($B:$B,'IS(분기)'!$A:$F,$2:$2,0)),VLOOKUP($B:$B,'IS(분기)'!$A:$F,$2:$2,0),0)</f>
        <v>0</v>
      </c>
      <c r="R1058" s="207">
        <f>IF(ISNUMBER(VLOOKUP($B:$B,'IS(분기)'!$A:$F,$2:$2,0)),VLOOKUP($B:$B,'IS(분기)'!$A:$F,$2:$2,0),0)</f>
        <v>0</v>
      </c>
    </row>
    <row r="1059" spans="1:18" s="192" customFormat="1" ht="12">
      <c r="A1059" s="202">
        <v>126227</v>
      </c>
      <c r="B1059" s="195" t="s">
        <v>1432</v>
      </c>
      <c r="C1059" s="217">
        <f>IF(ISNUMBER(VLOOKUP($B:$B,IS!$A:$F,$2:$2,0)),VLOOKUP($B:$B,IS!$A:$F,$2:$2,0),0)</f>
        <v>0</v>
      </c>
      <c r="D1059" s="217">
        <f>IF(ISNUMBER(VLOOKUP($B:$B,IS!$A:$F,$2:$2,0)),VLOOKUP($B:$B,IS!$A:$F,$2:$2,0),0)</f>
        <v>0</v>
      </c>
      <c r="E1059" s="217">
        <f>IF(ISNUMBER(VLOOKUP($B:$B,IS!$A:$F,$2:$2,0)),VLOOKUP($B:$B,IS!$A:$F,$2:$2,0),0)</f>
        <v>0</v>
      </c>
      <c r="F1059" s="217">
        <f>IF(ISNUMBER(VLOOKUP($B:$B,IS!$A:$F,$2:$2,0)),VLOOKUP($B:$B,IS!$A:$F,$2:$2,0),0)</f>
        <v>0</v>
      </c>
      <c r="G1059" s="217">
        <f>IF(ISNUMBER(VLOOKUP($B:$B,IS!$A:$F,$2:$2,0)),VLOOKUP($B:$B,IS!$A:$F,$2:$2,0),0)</f>
        <v>0</v>
      </c>
      <c r="H1059" s="207">
        <f>IF(ISNUMBER(VLOOKUP($B:$B,'IS(과거)'!$A:$F,$2:$2,0)),VLOOKUP($B:$B,'IS(과거)'!$A:$F,$2:$2,0),0)</f>
        <v>0</v>
      </c>
      <c r="I1059" s="207">
        <f>IF(ISNUMBER(VLOOKUP($B:$B,'IS(과거)'!$A:$F,$2:$2,0)),VLOOKUP($B:$B,'IS(과거)'!$A:$F,$2:$2,0),0)</f>
        <v>0</v>
      </c>
      <c r="J1059" s="207">
        <f>IF(ISNUMBER(VLOOKUP($B:$B,'IS(과거)'!$A:$F,$2:$2,0)),VLOOKUP($B:$B,'IS(과거)'!$A:$F,$2:$2,0),0)</f>
        <v>0</v>
      </c>
      <c r="K1059" s="207">
        <f>IF(ISNUMBER(VLOOKUP($B:$B,'IS(과거)'!$A:$F,$2:$2,0)),VLOOKUP($B:$B,'IS(과거)'!$A:$F,$2:$2,0),0)</f>
        <v>0</v>
      </c>
      <c r="L1059" s="207">
        <f>IF(ISNUMBER(VLOOKUP($B:$B,'IS(과거)'!$A:$F,$2:$2,0)),VLOOKUP($B:$B,'IS(과거)'!$A:$F,$2:$2,0),0)</f>
        <v>0</v>
      </c>
      <c r="N1059" s="207">
        <f>IF(ISNUMBER(VLOOKUP($B:$B,'IS(분기)'!$A:$F,$2:$2,0)),VLOOKUP($B:$B,'IS(분기)'!$A:$F,$2:$2,0),0)</f>
        <v>0</v>
      </c>
      <c r="O1059" s="207">
        <f>IF(ISNUMBER(VLOOKUP($B:$B,'IS(분기)'!$A:$F,$2:$2,0)),VLOOKUP($B:$B,'IS(분기)'!$A:$F,$2:$2,0),0)</f>
        <v>0</v>
      </c>
      <c r="P1059" s="207">
        <f>IF(ISNUMBER(VLOOKUP($B:$B,'IS(분기)'!$A:$F,$2:$2,0)),VLOOKUP($B:$B,'IS(분기)'!$A:$F,$2:$2,0),0)</f>
        <v>0</v>
      </c>
      <c r="Q1059" s="207">
        <f>IF(ISNUMBER(VLOOKUP($B:$B,'IS(분기)'!$A:$F,$2:$2,0)),VLOOKUP($B:$B,'IS(분기)'!$A:$F,$2:$2,0),0)</f>
        <v>0</v>
      </c>
      <c r="R1059" s="207">
        <f>IF(ISNUMBER(VLOOKUP($B:$B,'IS(분기)'!$A:$F,$2:$2,0)),VLOOKUP($B:$B,'IS(분기)'!$A:$F,$2:$2,0),0)</f>
        <v>0</v>
      </c>
    </row>
    <row r="1060" spans="1:18" s="192" customFormat="1" ht="12">
      <c r="A1060" s="201">
        <v>126240</v>
      </c>
      <c r="B1060" s="194" t="s">
        <v>728</v>
      </c>
      <c r="C1060" s="217">
        <f>IF(ISNUMBER(VLOOKUP($B:$B,IS!$A:$F,$2:$2,0)),VLOOKUP($B:$B,IS!$A:$F,$2:$2,0),0)</f>
        <v>0</v>
      </c>
      <c r="D1060" s="217">
        <f>IF(ISNUMBER(VLOOKUP($B:$B,IS!$A:$F,$2:$2,0)),VLOOKUP($B:$B,IS!$A:$F,$2:$2,0),0)</f>
        <v>0</v>
      </c>
      <c r="E1060" s="217">
        <f>IF(ISNUMBER(VLOOKUP($B:$B,IS!$A:$F,$2:$2,0)),VLOOKUP($B:$B,IS!$A:$F,$2:$2,0),0)</f>
        <v>0</v>
      </c>
      <c r="F1060" s="217">
        <f>IF(ISNUMBER(VLOOKUP($B:$B,IS!$A:$F,$2:$2,0)),VLOOKUP($B:$B,IS!$A:$F,$2:$2,0),0)</f>
        <v>0</v>
      </c>
      <c r="G1060" s="217">
        <f>IF(ISNUMBER(VLOOKUP($B:$B,IS!$A:$F,$2:$2,0)),VLOOKUP($B:$B,IS!$A:$F,$2:$2,0),0)</f>
        <v>0</v>
      </c>
      <c r="H1060" s="207">
        <f>IF(ISNUMBER(VLOOKUP($B:$B,'IS(과거)'!$A:$F,$2:$2,0)),VLOOKUP($B:$B,'IS(과거)'!$A:$F,$2:$2,0),0)</f>
        <v>0</v>
      </c>
      <c r="I1060" s="207">
        <f>IF(ISNUMBER(VLOOKUP($B:$B,'IS(과거)'!$A:$F,$2:$2,0)),VLOOKUP($B:$B,'IS(과거)'!$A:$F,$2:$2,0),0)</f>
        <v>0</v>
      </c>
      <c r="J1060" s="207">
        <f>IF(ISNUMBER(VLOOKUP($B:$B,'IS(과거)'!$A:$F,$2:$2,0)),VLOOKUP($B:$B,'IS(과거)'!$A:$F,$2:$2,0),0)</f>
        <v>0</v>
      </c>
      <c r="K1060" s="207">
        <f>IF(ISNUMBER(VLOOKUP($B:$B,'IS(과거)'!$A:$F,$2:$2,0)),VLOOKUP($B:$B,'IS(과거)'!$A:$F,$2:$2,0),0)</f>
        <v>0</v>
      </c>
      <c r="L1060" s="207">
        <f>IF(ISNUMBER(VLOOKUP($B:$B,'IS(과거)'!$A:$F,$2:$2,0)),VLOOKUP($B:$B,'IS(과거)'!$A:$F,$2:$2,0),0)</f>
        <v>0</v>
      </c>
      <c r="N1060" s="207">
        <f>IF(ISNUMBER(VLOOKUP($B:$B,'IS(분기)'!$A:$F,$2:$2,0)),VLOOKUP($B:$B,'IS(분기)'!$A:$F,$2:$2,0),0)</f>
        <v>0</v>
      </c>
      <c r="O1060" s="207">
        <f>IF(ISNUMBER(VLOOKUP($B:$B,'IS(분기)'!$A:$F,$2:$2,0)),VLOOKUP($B:$B,'IS(분기)'!$A:$F,$2:$2,0),0)</f>
        <v>0</v>
      </c>
      <c r="P1060" s="207">
        <f>IF(ISNUMBER(VLOOKUP($B:$B,'IS(분기)'!$A:$F,$2:$2,0)),VLOOKUP($B:$B,'IS(분기)'!$A:$F,$2:$2,0),0)</f>
        <v>0</v>
      </c>
      <c r="Q1060" s="207">
        <f>IF(ISNUMBER(VLOOKUP($B:$B,'IS(분기)'!$A:$F,$2:$2,0)),VLOOKUP($B:$B,'IS(분기)'!$A:$F,$2:$2,0),0)</f>
        <v>0</v>
      </c>
      <c r="R1060" s="207">
        <f>IF(ISNUMBER(VLOOKUP($B:$B,'IS(분기)'!$A:$F,$2:$2,0)),VLOOKUP($B:$B,'IS(분기)'!$A:$F,$2:$2,0),0)</f>
        <v>0</v>
      </c>
    </row>
    <row r="1061" spans="1:18" s="192" customFormat="1" ht="12">
      <c r="A1061" s="319">
        <v>126245</v>
      </c>
      <c r="B1061" s="320" t="s">
        <v>1456</v>
      </c>
      <c r="C1061" s="217">
        <f>IF(ISNUMBER(VLOOKUP($B:$B,IS!$A:$F,$2:$2,0)),VLOOKUP($B:$B,IS!$A:$F,$2:$2,0),0)</f>
        <v>0</v>
      </c>
      <c r="D1061" s="217">
        <f>IF(ISNUMBER(VLOOKUP($B:$B,IS!$A:$F,$2:$2,0)),VLOOKUP($B:$B,IS!$A:$F,$2:$2,0),0)</f>
        <v>0</v>
      </c>
      <c r="E1061" s="217">
        <f>IF(ISNUMBER(VLOOKUP($B:$B,IS!$A:$F,$2:$2,0)),VLOOKUP($B:$B,IS!$A:$F,$2:$2,0),0)</f>
        <v>0</v>
      </c>
      <c r="F1061" s="217">
        <f>IF(ISNUMBER(VLOOKUP($B:$B,IS!$A:$F,$2:$2,0)),VLOOKUP($B:$B,IS!$A:$F,$2:$2,0),0)</f>
        <v>0</v>
      </c>
      <c r="G1061" s="217">
        <f>IF(ISNUMBER(VLOOKUP($B:$B,IS!$A:$F,$2:$2,0)),VLOOKUP($B:$B,IS!$A:$F,$2:$2,0),0)</f>
        <v>0</v>
      </c>
      <c r="H1061" s="207">
        <f>IF(ISNUMBER(VLOOKUP($B:$B,'IS(과거)'!$A:$F,$2:$2,0)),VLOOKUP($B:$B,'IS(과거)'!$A:$F,$2:$2,0),0)</f>
        <v>0</v>
      </c>
      <c r="I1061" s="207">
        <f>IF(ISNUMBER(VLOOKUP($B:$B,'IS(과거)'!$A:$F,$2:$2,0)),VLOOKUP($B:$B,'IS(과거)'!$A:$F,$2:$2,0),0)</f>
        <v>0</v>
      </c>
      <c r="J1061" s="207">
        <f>IF(ISNUMBER(VLOOKUP($B:$B,'IS(과거)'!$A:$F,$2:$2,0)),VLOOKUP($B:$B,'IS(과거)'!$A:$F,$2:$2,0),0)</f>
        <v>0</v>
      </c>
      <c r="K1061" s="207">
        <f>IF(ISNUMBER(VLOOKUP($B:$B,'IS(과거)'!$A:$F,$2:$2,0)),VLOOKUP($B:$B,'IS(과거)'!$A:$F,$2:$2,0),0)</f>
        <v>0</v>
      </c>
      <c r="L1061" s="207">
        <f>IF(ISNUMBER(VLOOKUP($B:$B,'IS(과거)'!$A:$F,$2:$2,0)),VLOOKUP($B:$B,'IS(과거)'!$A:$F,$2:$2,0),0)</f>
        <v>0</v>
      </c>
      <c r="N1061" s="207">
        <f>IF(ISNUMBER(VLOOKUP($B:$B,'IS(분기)'!$A:$F,$2:$2,0)),VLOOKUP($B:$B,'IS(분기)'!$A:$F,$2:$2,0),0)</f>
        <v>0</v>
      </c>
      <c r="O1061" s="207">
        <f>IF(ISNUMBER(VLOOKUP($B:$B,'IS(분기)'!$A:$F,$2:$2,0)),VLOOKUP($B:$B,'IS(분기)'!$A:$F,$2:$2,0),0)</f>
        <v>0</v>
      </c>
      <c r="P1061" s="207">
        <f>IF(ISNUMBER(VLOOKUP($B:$B,'IS(분기)'!$A:$F,$2:$2,0)),VLOOKUP($B:$B,'IS(분기)'!$A:$F,$2:$2,0),0)</f>
        <v>0</v>
      </c>
      <c r="Q1061" s="207">
        <f>IF(ISNUMBER(VLOOKUP($B:$B,'IS(분기)'!$A:$F,$2:$2,0)),VLOOKUP($B:$B,'IS(분기)'!$A:$F,$2:$2,0),0)</f>
        <v>0</v>
      </c>
      <c r="R1061" s="207">
        <f>IF(ISNUMBER(VLOOKUP($B:$B,'IS(분기)'!$A:$F,$2:$2,0)),VLOOKUP($B:$B,'IS(분기)'!$A:$F,$2:$2,0),0)</f>
        <v>0</v>
      </c>
    </row>
    <row r="1062" spans="1:18" s="192" customFormat="1" ht="12">
      <c r="A1062" s="201">
        <v>126260</v>
      </c>
      <c r="B1062" s="194" t="s">
        <v>729</v>
      </c>
      <c r="C1062" s="217">
        <f>IF(ISNUMBER(VLOOKUP($B:$B,IS!$A:$F,$2:$2,0)),VLOOKUP($B:$B,IS!$A:$F,$2:$2,0),0)</f>
        <v>0</v>
      </c>
      <c r="D1062" s="217">
        <f>IF(ISNUMBER(VLOOKUP($B:$B,IS!$A:$F,$2:$2,0)),VLOOKUP($B:$B,IS!$A:$F,$2:$2,0),0)</f>
        <v>0</v>
      </c>
      <c r="E1062" s="217">
        <f>IF(ISNUMBER(VLOOKUP($B:$B,IS!$A:$F,$2:$2,0)),VLOOKUP($B:$B,IS!$A:$F,$2:$2,0),0)</f>
        <v>0</v>
      </c>
      <c r="F1062" s="217">
        <f>IF(ISNUMBER(VLOOKUP($B:$B,IS!$A:$F,$2:$2,0)),VLOOKUP($B:$B,IS!$A:$F,$2:$2,0),0)</f>
        <v>0</v>
      </c>
      <c r="G1062" s="217">
        <f>IF(ISNUMBER(VLOOKUP($B:$B,IS!$A:$F,$2:$2,0)),VLOOKUP($B:$B,IS!$A:$F,$2:$2,0),0)</f>
        <v>0</v>
      </c>
      <c r="H1062" s="207">
        <f>IF(ISNUMBER(VLOOKUP($B:$B,'IS(과거)'!$A:$F,$2:$2,0)),VLOOKUP($B:$B,'IS(과거)'!$A:$F,$2:$2,0),0)</f>
        <v>0</v>
      </c>
      <c r="I1062" s="207">
        <f>IF(ISNUMBER(VLOOKUP($B:$B,'IS(과거)'!$A:$F,$2:$2,0)),VLOOKUP($B:$B,'IS(과거)'!$A:$F,$2:$2,0),0)</f>
        <v>0</v>
      </c>
      <c r="J1062" s="207">
        <f>IF(ISNUMBER(VLOOKUP($B:$B,'IS(과거)'!$A:$F,$2:$2,0)),VLOOKUP($B:$B,'IS(과거)'!$A:$F,$2:$2,0),0)</f>
        <v>0</v>
      </c>
      <c r="K1062" s="207">
        <f>IF(ISNUMBER(VLOOKUP($B:$B,'IS(과거)'!$A:$F,$2:$2,0)),VLOOKUP($B:$B,'IS(과거)'!$A:$F,$2:$2,0),0)</f>
        <v>0</v>
      </c>
      <c r="L1062" s="207">
        <f>IF(ISNUMBER(VLOOKUP($B:$B,'IS(과거)'!$A:$F,$2:$2,0)),VLOOKUP($B:$B,'IS(과거)'!$A:$F,$2:$2,0),0)</f>
        <v>0</v>
      </c>
      <c r="N1062" s="207">
        <f>IF(ISNUMBER(VLOOKUP($B:$B,'IS(분기)'!$A:$F,$2:$2,0)),VLOOKUP($B:$B,'IS(분기)'!$A:$F,$2:$2,0),0)</f>
        <v>0</v>
      </c>
      <c r="O1062" s="207">
        <f>IF(ISNUMBER(VLOOKUP($B:$B,'IS(분기)'!$A:$F,$2:$2,0)),VLOOKUP($B:$B,'IS(분기)'!$A:$F,$2:$2,0),0)</f>
        <v>0</v>
      </c>
      <c r="P1062" s="207">
        <f>IF(ISNUMBER(VLOOKUP($B:$B,'IS(분기)'!$A:$F,$2:$2,0)),VLOOKUP($B:$B,'IS(분기)'!$A:$F,$2:$2,0),0)</f>
        <v>0</v>
      </c>
      <c r="Q1062" s="207">
        <f>IF(ISNUMBER(VLOOKUP($B:$B,'IS(분기)'!$A:$F,$2:$2,0)),VLOOKUP($B:$B,'IS(분기)'!$A:$F,$2:$2,0),0)</f>
        <v>0</v>
      </c>
      <c r="R1062" s="207">
        <f>IF(ISNUMBER(VLOOKUP($B:$B,'IS(분기)'!$A:$F,$2:$2,0)),VLOOKUP($B:$B,'IS(분기)'!$A:$F,$2:$2,0),0)</f>
        <v>0</v>
      </c>
    </row>
    <row r="1063" spans="1:18" s="192" customFormat="1" ht="12">
      <c r="A1063" s="201">
        <v>126270</v>
      </c>
      <c r="B1063" s="194" t="s">
        <v>730</v>
      </c>
      <c r="C1063" s="217">
        <f>IF(ISNUMBER(VLOOKUP($B:$B,IS!$A:$F,$2:$2,0)),VLOOKUP($B:$B,IS!$A:$F,$2:$2,0),0)</f>
        <v>0</v>
      </c>
      <c r="D1063" s="217">
        <f>IF(ISNUMBER(VLOOKUP($B:$B,IS!$A:$F,$2:$2,0)),VLOOKUP($B:$B,IS!$A:$F,$2:$2,0),0)</f>
        <v>0</v>
      </c>
      <c r="E1063" s="217">
        <f>IF(ISNUMBER(VLOOKUP($B:$B,IS!$A:$F,$2:$2,0)),VLOOKUP($B:$B,IS!$A:$F,$2:$2,0),0)</f>
        <v>0</v>
      </c>
      <c r="F1063" s="217">
        <f>IF(ISNUMBER(VLOOKUP($B:$B,IS!$A:$F,$2:$2,0)),VLOOKUP($B:$B,IS!$A:$F,$2:$2,0),0)</f>
        <v>0</v>
      </c>
      <c r="G1063" s="217">
        <f>IF(ISNUMBER(VLOOKUP($B:$B,IS!$A:$F,$2:$2,0)),VLOOKUP($B:$B,IS!$A:$F,$2:$2,0),0)</f>
        <v>0</v>
      </c>
      <c r="H1063" s="207">
        <f>IF(ISNUMBER(VLOOKUP($B:$B,'IS(과거)'!$A:$F,$2:$2,0)),VLOOKUP($B:$B,'IS(과거)'!$A:$F,$2:$2,0),0)</f>
        <v>0</v>
      </c>
      <c r="I1063" s="207">
        <f>IF(ISNUMBER(VLOOKUP($B:$B,'IS(과거)'!$A:$F,$2:$2,0)),VLOOKUP($B:$B,'IS(과거)'!$A:$F,$2:$2,0),0)</f>
        <v>0</v>
      </c>
      <c r="J1063" s="207">
        <f>IF(ISNUMBER(VLOOKUP($B:$B,'IS(과거)'!$A:$F,$2:$2,0)),VLOOKUP($B:$B,'IS(과거)'!$A:$F,$2:$2,0),0)</f>
        <v>0</v>
      </c>
      <c r="K1063" s="207">
        <f>IF(ISNUMBER(VLOOKUP($B:$B,'IS(과거)'!$A:$F,$2:$2,0)),VLOOKUP($B:$B,'IS(과거)'!$A:$F,$2:$2,0),0)</f>
        <v>0</v>
      </c>
      <c r="L1063" s="207">
        <f>IF(ISNUMBER(VLOOKUP($B:$B,'IS(과거)'!$A:$F,$2:$2,0)),VLOOKUP($B:$B,'IS(과거)'!$A:$F,$2:$2,0),0)</f>
        <v>0</v>
      </c>
      <c r="N1063" s="207">
        <f>IF(ISNUMBER(VLOOKUP($B:$B,'IS(분기)'!$A:$F,$2:$2,0)),VLOOKUP($B:$B,'IS(분기)'!$A:$F,$2:$2,0),0)</f>
        <v>0</v>
      </c>
      <c r="O1063" s="207">
        <f>IF(ISNUMBER(VLOOKUP($B:$B,'IS(분기)'!$A:$F,$2:$2,0)),VLOOKUP($B:$B,'IS(분기)'!$A:$F,$2:$2,0),0)</f>
        <v>0</v>
      </c>
      <c r="P1063" s="207">
        <f>IF(ISNUMBER(VLOOKUP($B:$B,'IS(분기)'!$A:$F,$2:$2,0)),VLOOKUP($B:$B,'IS(분기)'!$A:$F,$2:$2,0),0)</f>
        <v>0</v>
      </c>
      <c r="Q1063" s="207">
        <f>IF(ISNUMBER(VLOOKUP($B:$B,'IS(분기)'!$A:$F,$2:$2,0)),VLOOKUP($B:$B,'IS(분기)'!$A:$F,$2:$2,0),0)</f>
        <v>0</v>
      </c>
      <c r="R1063" s="207">
        <f>IF(ISNUMBER(VLOOKUP($B:$B,'IS(분기)'!$A:$F,$2:$2,0)),VLOOKUP($B:$B,'IS(분기)'!$A:$F,$2:$2,0),0)</f>
        <v>0</v>
      </c>
    </row>
    <row r="1064" spans="1:18" s="192" customFormat="1" ht="12">
      <c r="A1064" s="201">
        <v>126145</v>
      </c>
      <c r="B1064" s="194" t="s">
        <v>731</v>
      </c>
      <c r="C1064" s="217">
        <f>IF(ISNUMBER(VLOOKUP($B:$B,IS!$A:$F,$2:$2,0)),VLOOKUP($B:$B,IS!$A:$F,$2:$2,0),0)</f>
        <v>0</v>
      </c>
      <c r="D1064" s="217">
        <f>IF(ISNUMBER(VLOOKUP($B:$B,IS!$A:$F,$2:$2,0)),VLOOKUP($B:$B,IS!$A:$F,$2:$2,0),0)</f>
        <v>0</v>
      </c>
      <c r="E1064" s="217">
        <f>IF(ISNUMBER(VLOOKUP($B:$B,IS!$A:$F,$2:$2,0)),VLOOKUP($B:$B,IS!$A:$F,$2:$2,0),0)</f>
        <v>0</v>
      </c>
      <c r="F1064" s="217">
        <f>IF(ISNUMBER(VLOOKUP($B:$B,IS!$A:$F,$2:$2,0)),VLOOKUP($B:$B,IS!$A:$F,$2:$2,0),0)</f>
        <v>0</v>
      </c>
      <c r="G1064" s="217">
        <f>IF(ISNUMBER(VLOOKUP($B:$B,IS!$A:$F,$2:$2,0)),VLOOKUP($B:$B,IS!$A:$F,$2:$2,0),0)</f>
        <v>0</v>
      </c>
      <c r="H1064" s="207">
        <f>IF(ISNUMBER(VLOOKUP($B:$B,'IS(과거)'!$A:$F,$2:$2,0)),VLOOKUP($B:$B,'IS(과거)'!$A:$F,$2:$2,0),0)</f>
        <v>0</v>
      </c>
      <c r="I1064" s="207">
        <f>IF(ISNUMBER(VLOOKUP($B:$B,'IS(과거)'!$A:$F,$2:$2,0)),VLOOKUP($B:$B,'IS(과거)'!$A:$F,$2:$2,0),0)</f>
        <v>0</v>
      </c>
      <c r="J1064" s="207">
        <f>IF(ISNUMBER(VLOOKUP($B:$B,'IS(과거)'!$A:$F,$2:$2,0)),VLOOKUP($B:$B,'IS(과거)'!$A:$F,$2:$2,0),0)</f>
        <v>0</v>
      </c>
      <c r="K1064" s="207">
        <f>IF(ISNUMBER(VLOOKUP($B:$B,'IS(과거)'!$A:$F,$2:$2,0)),VLOOKUP($B:$B,'IS(과거)'!$A:$F,$2:$2,0),0)</f>
        <v>0</v>
      </c>
      <c r="L1064" s="207">
        <f>IF(ISNUMBER(VLOOKUP($B:$B,'IS(과거)'!$A:$F,$2:$2,0)),VLOOKUP($B:$B,'IS(과거)'!$A:$F,$2:$2,0),0)</f>
        <v>0</v>
      </c>
      <c r="N1064" s="207">
        <f>IF(ISNUMBER(VLOOKUP($B:$B,'IS(분기)'!$A:$F,$2:$2,0)),VLOOKUP($B:$B,'IS(분기)'!$A:$F,$2:$2,0),0)</f>
        <v>0</v>
      </c>
      <c r="O1064" s="207">
        <f>IF(ISNUMBER(VLOOKUP($B:$B,'IS(분기)'!$A:$F,$2:$2,0)),VLOOKUP($B:$B,'IS(분기)'!$A:$F,$2:$2,0),0)</f>
        <v>0</v>
      </c>
      <c r="P1064" s="207">
        <f>IF(ISNUMBER(VLOOKUP($B:$B,'IS(분기)'!$A:$F,$2:$2,0)),VLOOKUP($B:$B,'IS(분기)'!$A:$F,$2:$2,0),0)</f>
        <v>0</v>
      </c>
      <c r="Q1064" s="207">
        <f>IF(ISNUMBER(VLOOKUP($B:$B,'IS(분기)'!$A:$F,$2:$2,0)),VLOOKUP($B:$B,'IS(분기)'!$A:$F,$2:$2,0),0)</f>
        <v>0</v>
      </c>
      <c r="R1064" s="207">
        <f>IF(ISNUMBER(VLOOKUP($B:$B,'IS(분기)'!$A:$F,$2:$2,0)),VLOOKUP($B:$B,'IS(분기)'!$A:$F,$2:$2,0),0)</f>
        <v>0</v>
      </c>
    </row>
    <row r="1065" spans="1:18" s="192" customFormat="1" ht="12">
      <c r="A1065" s="201">
        <v>126146</v>
      </c>
      <c r="B1065" s="194" t="s">
        <v>732</v>
      </c>
      <c r="C1065" s="217">
        <f>IF(ISNUMBER(VLOOKUP($B:$B,IS!$A:$F,$2:$2,0)),VLOOKUP($B:$B,IS!$A:$F,$2:$2,0),0)</f>
        <v>0</v>
      </c>
      <c r="D1065" s="217">
        <f>IF(ISNUMBER(VLOOKUP($B:$B,IS!$A:$F,$2:$2,0)),VLOOKUP($B:$B,IS!$A:$F,$2:$2,0),0)</f>
        <v>0</v>
      </c>
      <c r="E1065" s="217">
        <f>IF(ISNUMBER(VLOOKUP($B:$B,IS!$A:$F,$2:$2,0)),VLOOKUP($B:$B,IS!$A:$F,$2:$2,0),0)</f>
        <v>0</v>
      </c>
      <c r="F1065" s="217">
        <f>IF(ISNUMBER(VLOOKUP($B:$B,IS!$A:$F,$2:$2,0)),VLOOKUP($B:$B,IS!$A:$F,$2:$2,0),0)</f>
        <v>0</v>
      </c>
      <c r="G1065" s="217">
        <f>IF(ISNUMBER(VLOOKUP($B:$B,IS!$A:$F,$2:$2,0)),VLOOKUP($B:$B,IS!$A:$F,$2:$2,0),0)</f>
        <v>0</v>
      </c>
      <c r="H1065" s="207">
        <f>IF(ISNUMBER(VLOOKUP($B:$B,'IS(과거)'!$A:$F,$2:$2,0)),VLOOKUP($B:$B,'IS(과거)'!$A:$F,$2:$2,0),0)</f>
        <v>0</v>
      </c>
      <c r="I1065" s="207">
        <f>IF(ISNUMBER(VLOOKUP($B:$B,'IS(과거)'!$A:$F,$2:$2,0)),VLOOKUP($B:$B,'IS(과거)'!$A:$F,$2:$2,0),0)</f>
        <v>0</v>
      </c>
      <c r="J1065" s="207">
        <f>IF(ISNUMBER(VLOOKUP($B:$B,'IS(과거)'!$A:$F,$2:$2,0)),VLOOKUP($B:$B,'IS(과거)'!$A:$F,$2:$2,0),0)</f>
        <v>0</v>
      </c>
      <c r="K1065" s="207">
        <f>IF(ISNUMBER(VLOOKUP($B:$B,'IS(과거)'!$A:$F,$2:$2,0)),VLOOKUP($B:$B,'IS(과거)'!$A:$F,$2:$2,0),0)</f>
        <v>0</v>
      </c>
      <c r="L1065" s="207">
        <f>IF(ISNUMBER(VLOOKUP($B:$B,'IS(과거)'!$A:$F,$2:$2,0)),VLOOKUP($B:$B,'IS(과거)'!$A:$F,$2:$2,0),0)</f>
        <v>0</v>
      </c>
      <c r="N1065" s="207">
        <f>IF(ISNUMBER(VLOOKUP($B:$B,'IS(분기)'!$A:$F,$2:$2,0)),VLOOKUP($B:$B,'IS(분기)'!$A:$F,$2:$2,0),0)</f>
        <v>0</v>
      </c>
      <c r="O1065" s="207">
        <f>IF(ISNUMBER(VLOOKUP($B:$B,'IS(분기)'!$A:$F,$2:$2,0)),VLOOKUP($B:$B,'IS(분기)'!$A:$F,$2:$2,0),0)</f>
        <v>0</v>
      </c>
      <c r="P1065" s="207">
        <f>IF(ISNUMBER(VLOOKUP($B:$B,'IS(분기)'!$A:$F,$2:$2,0)),VLOOKUP($B:$B,'IS(분기)'!$A:$F,$2:$2,0),0)</f>
        <v>0</v>
      </c>
      <c r="Q1065" s="207">
        <f>IF(ISNUMBER(VLOOKUP($B:$B,'IS(분기)'!$A:$F,$2:$2,0)),VLOOKUP($B:$B,'IS(분기)'!$A:$F,$2:$2,0),0)</f>
        <v>0</v>
      </c>
      <c r="R1065" s="207">
        <f>IF(ISNUMBER(VLOOKUP($B:$B,'IS(분기)'!$A:$F,$2:$2,0)),VLOOKUP($B:$B,'IS(분기)'!$A:$F,$2:$2,0),0)</f>
        <v>0</v>
      </c>
    </row>
    <row r="1066" spans="1:18" s="192" customFormat="1" ht="12">
      <c r="A1066" s="201">
        <v>126149</v>
      </c>
      <c r="B1066" s="194" t="s">
        <v>733</v>
      </c>
      <c r="C1066" s="217">
        <f>IF(ISNUMBER(VLOOKUP($B:$B,IS!$A:$F,$2:$2,0)),VLOOKUP($B:$B,IS!$A:$F,$2:$2,0),0)</f>
        <v>0</v>
      </c>
      <c r="D1066" s="217">
        <f>IF(ISNUMBER(VLOOKUP($B:$B,IS!$A:$F,$2:$2,0)),VLOOKUP($B:$B,IS!$A:$F,$2:$2,0),0)</f>
        <v>0</v>
      </c>
      <c r="E1066" s="217">
        <f>IF(ISNUMBER(VLOOKUP($B:$B,IS!$A:$F,$2:$2,0)),VLOOKUP($B:$B,IS!$A:$F,$2:$2,0),0)</f>
        <v>0</v>
      </c>
      <c r="F1066" s="217">
        <f>IF(ISNUMBER(VLOOKUP($B:$B,IS!$A:$F,$2:$2,0)),VLOOKUP($B:$B,IS!$A:$F,$2:$2,0),0)</f>
        <v>0</v>
      </c>
      <c r="G1066" s="217">
        <f>IF(ISNUMBER(VLOOKUP($B:$B,IS!$A:$F,$2:$2,0)),VLOOKUP($B:$B,IS!$A:$F,$2:$2,0),0)</f>
        <v>0</v>
      </c>
      <c r="H1066" s="207">
        <f>IF(ISNUMBER(VLOOKUP($B:$B,'IS(과거)'!$A:$F,$2:$2,0)),VLOOKUP($B:$B,'IS(과거)'!$A:$F,$2:$2,0),0)</f>
        <v>0</v>
      </c>
      <c r="I1066" s="207">
        <f>IF(ISNUMBER(VLOOKUP($B:$B,'IS(과거)'!$A:$F,$2:$2,0)),VLOOKUP($B:$B,'IS(과거)'!$A:$F,$2:$2,0),0)</f>
        <v>0</v>
      </c>
      <c r="J1066" s="207">
        <f>IF(ISNUMBER(VLOOKUP($B:$B,'IS(과거)'!$A:$F,$2:$2,0)),VLOOKUP($B:$B,'IS(과거)'!$A:$F,$2:$2,0),0)</f>
        <v>0</v>
      </c>
      <c r="K1066" s="207">
        <f>IF(ISNUMBER(VLOOKUP($B:$B,'IS(과거)'!$A:$F,$2:$2,0)),VLOOKUP($B:$B,'IS(과거)'!$A:$F,$2:$2,0),0)</f>
        <v>0</v>
      </c>
      <c r="L1066" s="207">
        <f>IF(ISNUMBER(VLOOKUP($B:$B,'IS(과거)'!$A:$F,$2:$2,0)),VLOOKUP($B:$B,'IS(과거)'!$A:$F,$2:$2,0),0)</f>
        <v>0</v>
      </c>
      <c r="N1066" s="207">
        <f>IF(ISNUMBER(VLOOKUP($B:$B,'IS(분기)'!$A:$F,$2:$2,0)),VLOOKUP($B:$B,'IS(분기)'!$A:$F,$2:$2,0),0)</f>
        <v>0</v>
      </c>
      <c r="O1066" s="207">
        <f>IF(ISNUMBER(VLOOKUP($B:$B,'IS(분기)'!$A:$F,$2:$2,0)),VLOOKUP($B:$B,'IS(분기)'!$A:$F,$2:$2,0),0)</f>
        <v>0</v>
      </c>
      <c r="P1066" s="207">
        <f>IF(ISNUMBER(VLOOKUP($B:$B,'IS(분기)'!$A:$F,$2:$2,0)),VLOOKUP($B:$B,'IS(분기)'!$A:$F,$2:$2,0),0)</f>
        <v>0</v>
      </c>
      <c r="Q1066" s="207">
        <f>IF(ISNUMBER(VLOOKUP($B:$B,'IS(분기)'!$A:$F,$2:$2,0)),VLOOKUP($B:$B,'IS(분기)'!$A:$F,$2:$2,0),0)</f>
        <v>0</v>
      </c>
      <c r="R1066" s="207">
        <f>IF(ISNUMBER(VLOOKUP($B:$B,'IS(분기)'!$A:$F,$2:$2,0)),VLOOKUP($B:$B,'IS(분기)'!$A:$F,$2:$2,0),0)</f>
        <v>0</v>
      </c>
    </row>
    <row r="1067" spans="1:18" s="192" customFormat="1" ht="12">
      <c r="A1067" s="201">
        <v>126151</v>
      </c>
      <c r="B1067" s="194" t="s">
        <v>734</v>
      </c>
      <c r="C1067" s="217">
        <f>IF(ISNUMBER(VLOOKUP($B:$B,IS!$A:$F,$2:$2,0)),VLOOKUP($B:$B,IS!$A:$F,$2:$2,0),0)</f>
        <v>0</v>
      </c>
      <c r="D1067" s="217">
        <f>IF(ISNUMBER(VLOOKUP($B:$B,IS!$A:$F,$2:$2,0)),VLOOKUP($B:$B,IS!$A:$F,$2:$2,0),0)</f>
        <v>0</v>
      </c>
      <c r="E1067" s="217">
        <f>IF(ISNUMBER(VLOOKUP($B:$B,IS!$A:$F,$2:$2,0)),VLOOKUP($B:$B,IS!$A:$F,$2:$2,0),0)</f>
        <v>0</v>
      </c>
      <c r="F1067" s="217">
        <f>IF(ISNUMBER(VLOOKUP($B:$B,IS!$A:$F,$2:$2,0)),VLOOKUP($B:$B,IS!$A:$F,$2:$2,0),0)</f>
        <v>0</v>
      </c>
      <c r="G1067" s="217">
        <f>IF(ISNUMBER(VLOOKUP($B:$B,IS!$A:$F,$2:$2,0)),VLOOKUP($B:$B,IS!$A:$F,$2:$2,0),0)</f>
        <v>0</v>
      </c>
      <c r="H1067" s="207">
        <f>IF(ISNUMBER(VLOOKUP($B:$B,'IS(과거)'!$A:$F,$2:$2,0)),VLOOKUP($B:$B,'IS(과거)'!$A:$F,$2:$2,0),0)</f>
        <v>0</v>
      </c>
      <c r="I1067" s="207">
        <f>IF(ISNUMBER(VLOOKUP($B:$B,'IS(과거)'!$A:$F,$2:$2,0)),VLOOKUP($B:$B,'IS(과거)'!$A:$F,$2:$2,0),0)</f>
        <v>0</v>
      </c>
      <c r="J1067" s="207">
        <f>IF(ISNUMBER(VLOOKUP($B:$B,'IS(과거)'!$A:$F,$2:$2,0)),VLOOKUP($B:$B,'IS(과거)'!$A:$F,$2:$2,0),0)</f>
        <v>0</v>
      </c>
      <c r="K1067" s="207">
        <f>IF(ISNUMBER(VLOOKUP($B:$B,'IS(과거)'!$A:$F,$2:$2,0)),VLOOKUP($B:$B,'IS(과거)'!$A:$F,$2:$2,0),0)</f>
        <v>0</v>
      </c>
      <c r="L1067" s="207">
        <f>IF(ISNUMBER(VLOOKUP($B:$B,'IS(과거)'!$A:$F,$2:$2,0)),VLOOKUP($B:$B,'IS(과거)'!$A:$F,$2:$2,0),0)</f>
        <v>0</v>
      </c>
      <c r="N1067" s="207">
        <f>IF(ISNUMBER(VLOOKUP($B:$B,'IS(분기)'!$A:$F,$2:$2,0)),VLOOKUP($B:$B,'IS(분기)'!$A:$F,$2:$2,0),0)</f>
        <v>0</v>
      </c>
      <c r="O1067" s="207">
        <f>IF(ISNUMBER(VLOOKUP($B:$B,'IS(분기)'!$A:$F,$2:$2,0)),VLOOKUP($B:$B,'IS(분기)'!$A:$F,$2:$2,0),0)</f>
        <v>0</v>
      </c>
      <c r="P1067" s="207">
        <f>IF(ISNUMBER(VLOOKUP($B:$B,'IS(분기)'!$A:$F,$2:$2,0)),VLOOKUP($B:$B,'IS(분기)'!$A:$F,$2:$2,0),0)</f>
        <v>0</v>
      </c>
      <c r="Q1067" s="207">
        <f>IF(ISNUMBER(VLOOKUP($B:$B,'IS(분기)'!$A:$F,$2:$2,0)),VLOOKUP($B:$B,'IS(분기)'!$A:$F,$2:$2,0),0)</f>
        <v>0</v>
      </c>
      <c r="R1067" s="207">
        <f>IF(ISNUMBER(VLOOKUP($B:$B,'IS(분기)'!$A:$F,$2:$2,0)),VLOOKUP($B:$B,'IS(분기)'!$A:$F,$2:$2,0),0)</f>
        <v>0</v>
      </c>
    </row>
    <row r="1068" spans="1:18" s="192" customFormat="1" ht="12">
      <c r="A1068" s="201">
        <v>126400</v>
      </c>
      <c r="B1068" s="194" t="s">
        <v>735</v>
      </c>
      <c r="C1068" s="217">
        <f>IF(ISNUMBER(VLOOKUP($B:$B,IS!$A:$F,$2:$2,0)),VLOOKUP($B:$B,IS!$A:$F,$2:$2,0),0)</f>
        <v>0</v>
      </c>
      <c r="D1068" s="217">
        <f>IF(ISNUMBER(VLOOKUP($B:$B,IS!$A:$F,$2:$2,0)),VLOOKUP($B:$B,IS!$A:$F,$2:$2,0),0)</f>
        <v>0</v>
      </c>
      <c r="E1068" s="217">
        <f>IF(ISNUMBER(VLOOKUP($B:$B,IS!$A:$F,$2:$2,0)),VLOOKUP($B:$B,IS!$A:$F,$2:$2,0),0)</f>
        <v>0</v>
      </c>
      <c r="F1068" s="217">
        <f>IF(ISNUMBER(VLOOKUP($B:$B,IS!$A:$F,$2:$2,0)),VLOOKUP($B:$B,IS!$A:$F,$2:$2,0),0)</f>
        <v>0</v>
      </c>
      <c r="G1068" s="217">
        <f>IF(ISNUMBER(VLOOKUP($B:$B,IS!$A:$F,$2:$2,0)),VLOOKUP($B:$B,IS!$A:$F,$2:$2,0),0)</f>
        <v>0</v>
      </c>
      <c r="H1068" s="207">
        <f>IF(ISNUMBER(VLOOKUP($B:$B,'IS(과거)'!$A:$F,$2:$2,0)),VLOOKUP($B:$B,'IS(과거)'!$A:$F,$2:$2,0),0)</f>
        <v>0</v>
      </c>
      <c r="I1068" s="207">
        <f>IF(ISNUMBER(VLOOKUP($B:$B,'IS(과거)'!$A:$F,$2:$2,0)),VLOOKUP($B:$B,'IS(과거)'!$A:$F,$2:$2,0),0)</f>
        <v>0</v>
      </c>
      <c r="J1068" s="207">
        <f>IF(ISNUMBER(VLOOKUP($B:$B,'IS(과거)'!$A:$F,$2:$2,0)),VLOOKUP($B:$B,'IS(과거)'!$A:$F,$2:$2,0),0)</f>
        <v>0</v>
      </c>
      <c r="K1068" s="207">
        <f>IF(ISNUMBER(VLOOKUP($B:$B,'IS(과거)'!$A:$F,$2:$2,0)),VLOOKUP($B:$B,'IS(과거)'!$A:$F,$2:$2,0),0)</f>
        <v>0</v>
      </c>
      <c r="L1068" s="207">
        <f>IF(ISNUMBER(VLOOKUP($B:$B,'IS(과거)'!$A:$F,$2:$2,0)),VLOOKUP($B:$B,'IS(과거)'!$A:$F,$2:$2,0),0)</f>
        <v>0</v>
      </c>
      <c r="N1068" s="207">
        <f>IF(ISNUMBER(VLOOKUP($B:$B,'IS(분기)'!$A:$F,$2:$2,0)),VLOOKUP($B:$B,'IS(분기)'!$A:$F,$2:$2,0),0)</f>
        <v>0</v>
      </c>
      <c r="O1068" s="207">
        <f>IF(ISNUMBER(VLOOKUP($B:$B,'IS(분기)'!$A:$F,$2:$2,0)),VLOOKUP($B:$B,'IS(분기)'!$A:$F,$2:$2,0),0)</f>
        <v>0</v>
      </c>
      <c r="P1068" s="207">
        <f>IF(ISNUMBER(VLOOKUP($B:$B,'IS(분기)'!$A:$F,$2:$2,0)),VLOOKUP($B:$B,'IS(분기)'!$A:$F,$2:$2,0),0)</f>
        <v>0</v>
      </c>
      <c r="Q1068" s="207">
        <f>IF(ISNUMBER(VLOOKUP($B:$B,'IS(분기)'!$A:$F,$2:$2,0)),VLOOKUP($B:$B,'IS(분기)'!$A:$F,$2:$2,0),0)</f>
        <v>0</v>
      </c>
      <c r="R1068" s="207">
        <f>IF(ISNUMBER(VLOOKUP($B:$B,'IS(분기)'!$A:$F,$2:$2,0)),VLOOKUP($B:$B,'IS(분기)'!$A:$F,$2:$2,0),0)</f>
        <v>0</v>
      </c>
    </row>
    <row r="1069" spans="1:18" s="192" customFormat="1" ht="12">
      <c r="A1069" s="201">
        <v>126275</v>
      </c>
      <c r="B1069" s="194" t="s">
        <v>736</v>
      </c>
      <c r="C1069" s="217">
        <f>IF(ISNUMBER(VLOOKUP($B:$B,IS!$A:$F,$2:$2,0)),VLOOKUP($B:$B,IS!$A:$F,$2:$2,0),0)</f>
        <v>0</v>
      </c>
      <c r="D1069" s="217">
        <f>IF(ISNUMBER(VLOOKUP($B:$B,IS!$A:$F,$2:$2,0)),VLOOKUP($B:$B,IS!$A:$F,$2:$2,0),0)</f>
        <v>0</v>
      </c>
      <c r="E1069" s="217">
        <f>IF(ISNUMBER(VLOOKUP($B:$B,IS!$A:$F,$2:$2,0)),VLOOKUP($B:$B,IS!$A:$F,$2:$2,0),0)</f>
        <v>0</v>
      </c>
      <c r="F1069" s="217">
        <f>IF(ISNUMBER(VLOOKUP($B:$B,IS!$A:$F,$2:$2,0)),VLOOKUP($B:$B,IS!$A:$F,$2:$2,0),0)</f>
        <v>0</v>
      </c>
      <c r="G1069" s="217">
        <f>IF(ISNUMBER(VLOOKUP($B:$B,IS!$A:$F,$2:$2,0)),VLOOKUP($B:$B,IS!$A:$F,$2:$2,0),0)</f>
        <v>0</v>
      </c>
      <c r="H1069" s="207">
        <f>IF(ISNUMBER(VLOOKUP($B:$B,'IS(과거)'!$A:$F,$2:$2,0)),VLOOKUP($B:$B,'IS(과거)'!$A:$F,$2:$2,0),0)</f>
        <v>0</v>
      </c>
      <c r="I1069" s="207">
        <f>IF(ISNUMBER(VLOOKUP($B:$B,'IS(과거)'!$A:$F,$2:$2,0)),VLOOKUP($B:$B,'IS(과거)'!$A:$F,$2:$2,0),0)</f>
        <v>0</v>
      </c>
      <c r="J1069" s="207">
        <f>IF(ISNUMBER(VLOOKUP($B:$B,'IS(과거)'!$A:$F,$2:$2,0)),VLOOKUP($B:$B,'IS(과거)'!$A:$F,$2:$2,0),0)</f>
        <v>0</v>
      </c>
      <c r="K1069" s="207">
        <f>IF(ISNUMBER(VLOOKUP($B:$B,'IS(과거)'!$A:$F,$2:$2,0)),VLOOKUP($B:$B,'IS(과거)'!$A:$F,$2:$2,0),0)</f>
        <v>0</v>
      </c>
      <c r="L1069" s="207">
        <f>IF(ISNUMBER(VLOOKUP($B:$B,'IS(과거)'!$A:$F,$2:$2,0)),VLOOKUP($B:$B,'IS(과거)'!$A:$F,$2:$2,0),0)</f>
        <v>0</v>
      </c>
      <c r="N1069" s="207">
        <f>IF(ISNUMBER(VLOOKUP($B:$B,'IS(분기)'!$A:$F,$2:$2,0)),VLOOKUP($B:$B,'IS(분기)'!$A:$F,$2:$2,0),0)</f>
        <v>0</v>
      </c>
      <c r="O1069" s="207">
        <f>IF(ISNUMBER(VLOOKUP($B:$B,'IS(분기)'!$A:$F,$2:$2,0)),VLOOKUP($B:$B,'IS(분기)'!$A:$F,$2:$2,0),0)</f>
        <v>0</v>
      </c>
      <c r="P1069" s="207">
        <f>IF(ISNUMBER(VLOOKUP($B:$B,'IS(분기)'!$A:$F,$2:$2,0)),VLOOKUP($B:$B,'IS(분기)'!$A:$F,$2:$2,0),0)</f>
        <v>0</v>
      </c>
      <c r="Q1069" s="207">
        <f>IF(ISNUMBER(VLOOKUP($B:$B,'IS(분기)'!$A:$F,$2:$2,0)),VLOOKUP($B:$B,'IS(분기)'!$A:$F,$2:$2,0),0)</f>
        <v>0</v>
      </c>
      <c r="R1069" s="207">
        <f>IF(ISNUMBER(VLOOKUP($B:$B,'IS(분기)'!$A:$F,$2:$2,0)),VLOOKUP($B:$B,'IS(분기)'!$A:$F,$2:$2,0),0)</f>
        <v>0</v>
      </c>
    </row>
    <row r="1070" spans="1:18" s="192" customFormat="1" ht="12">
      <c r="A1070" s="201">
        <v>126147</v>
      </c>
      <c r="B1070" s="194" t="s">
        <v>737</v>
      </c>
      <c r="C1070" s="217">
        <f>IF(ISNUMBER(VLOOKUP($B:$B,IS!$A:$F,$2:$2,0)),VLOOKUP($B:$B,IS!$A:$F,$2:$2,0),0)</f>
        <v>0</v>
      </c>
      <c r="D1070" s="217">
        <f>IF(ISNUMBER(VLOOKUP($B:$B,IS!$A:$F,$2:$2,0)),VLOOKUP($B:$B,IS!$A:$F,$2:$2,0),0)</f>
        <v>0</v>
      </c>
      <c r="E1070" s="217">
        <f>IF(ISNUMBER(VLOOKUP($B:$B,IS!$A:$F,$2:$2,0)),VLOOKUP($B:$B,IS!$A:$F,$2:$2,0),0)</f>
        <v>0</v>
      </c>
      <c r="F1070" s="217">
        <f>IF(ISNUMBER(VLOOKUP($B:$B,IS!$A:$F,$2:$2,0)),VLOOKUP($B:$B,IS!$A:$F,$2:$2,0),0)</f>
        <v>0</v>
      </c>
      <c r="G1070" s="217">
        <f>IF(ISNUMBER(VLOOKUP($B:$B,IS!$A:$F,$2:$2,0)),VLOOKUP($B:$B,IS!$A:$F,$2:$2,0),0)</f>
        <v>0</v>
      </c>
      <c r="H1070" s="207">
        <f>IF(ISNUMBER(VLOOKUP($B:$B,'IS(과거)'!$A:$F,$2:$2,0)),VLOOKUP($B:$B,'IS(과거)'!$A:$F,$2:$2,0),0)</f>
        <v>0</v>
      </c>
      <c r="I1070" s="207">
        <f>IF(ISNUMBER(VLOOKUP($B:$B,'IS(과거)'!$A:$F,$2:$2,0)),VLOOKUP($B:$B,'IS(과거)'!$A:$F,$2:$2,0),0)</f>
        <v>0</v>
      </c>
      <c r="J1070" s="207">
        <f>IF(ISNUMBER(VLOOKUP($B:$B,'IS(과거)'!$A:$F,$2:$2,0)),VLOOKUP($B:$B,'IS(과거)'!$A:$F,$2:$2,0),0)</f>
        <v>0</v>
      </c>
      <c r="K1070" s="207">
        <f>IF(ISNUMBER(VLOOKUP($B:$B,'IS(과거)'!$A:$F,$2:$2,0)),VLOOKUP($B:$B,'IS(과거)'!$A:$F,$2:$2,0),0)</f>
        <v>0</v>
      </c>
      <c r="L1070" s="207">
        <f>IF(ISNUMBER(VLOOKUP($B:$B,'IS(과거)'!$A:$F,$2:$2,0)),VLOOKUP($B:$B,'IS(과거)'!$A:$F,$2:$2,0),0)</f>
        <v>0</v>
      </c>
      <c r="N1070" s="207">
        <f>IF(ISNUMBER(VLOOKUP($B:$B,'IS(분기)'!$A:$F,$2:$2,0)),VLOOKUP($B:$B,'IS(분기)'!$A:$F,$2:$2,0),0)</f>
        <v>0</v>
      </c>
      <c r="O1070" s="207">
        <f>IF(ISNUMBER(VLOOKUP($B:$B,'IS(분기)'!$A:$F,$2:$2,0)),VLOOKUP($B:$B,'IS(분기)'!$A:$F,$2:$2,0),0)</f>
        <v>0</v>
      </c>
      <c r="P1070" s="207">
        <f>IF(ISNUMBER(VLOOKUP($B:$B,'IS(분기)'!$A:$F,$2:$2,0)),VLOOKUP($B:$B,'IS(분기)'!$A:$F,$2:$2,0),0)</f>
        <v>0</v>
      </c>
      <c r="Q1070" s="207">
        <f>IF(ISNUMBER(VLOOKUP($B:$B,'IS(분기)'!$A:$F,$2:$2,0)),VLOOKUP($B:$B,'IS(분기)'!$A:$F,$2:$2,0),0)</f>
        <v>0</v>
      </c>
      <c r="R1070" s="207">
        <f>IF(ISNUMBER(VLOOKUP($B:$B,'IS(분기)'!$A:$F,$2:$2,0)),VLOOKUP($B:$B,'IS(분기)'!$A:$F,$2:$2,0),0)</f>
        <v>0</v>
      </c>
    </row>
    <row r="1071" spans="1:18" s="192" customFormat="1" ht="12">
      <c r="A1071" s="201">
        <v>126148</v>
      </c>
      <c r="B1071" s="194" t="s">
        <v>738</v>
      </c>
      <c r="C1071" s="217">
        <f>IF(ISNUMBER(VLOOKUP($B:$B,IS!$A:$F,$2:$2,0)),VLOOKUP($B:$B,IS!$A:$F,$2:$2,0),0)</f>
        <v>0</v>
      </c>
      <c r="D1071" s="217">
        <f>IF(ISNUMBER(VLOOKUP($B:$B,IS!$A:$F,$2:$2,0)),VLOOKUP($B:$B,IS!$A:$F,$2:$2,0),0)</f>
        <v>0</v>
      </c>
      <c r="E1071" s="217">
        <f>IF(ISNUMBER(VLOOKUP($B:$B,IS!$A:$F,$2:$2,0)),VLOOKUP($B:$B,IS!$A:$F,$2:$2,0),0)</f>
        <v>0</v>
      </c>
      <c r="F1071" s="217">
        <f>IF(ISNUMBER(VLOOKUP($B:$B,IS!$A:$F,$2:$2,0)),VLOOKUP($B:$B,IS!$A:$F,$2:$2,0),0)</f>
        <v>0</v>
      </c>
      <c r="G1071" s="217">
        <f>IF(ISNUMBER(VLOOKUP($B:$B,IS!$A:$F,$2:$2,0)),VLOOKUP($B:$B,IS!$A:$F,$2:$2,0),0)</f>
        <v>0</v>
      </c>
      <c r="H1071" s="207">
        <f>IF(ISNUMBER(VLOOKUP($B:$B,'IS(과거)'!$A:$F,$2:$2,0)),VLOOKUP($B:$B,'IS(과거)'!$A:$F,$2:$2,0),0)</f>
        <v>0</v>
      </c>
      <c r="I1071" s="207">
        <f>IF(ISNUMBER(VLOOKUP($B:$B,'IS(과거)'!$A:$F,$2:$2,0)),VLOOKUP($B:$B,'IS(과거)'!$A:$F,$2:$2,0),0)</f>
        <v>0</v>
      </c>
      <c r="J1071" s="207">
        <f>IF(ISNUMBER(VLOOKUP($B:$B,'IS(과거)'!$A:$F,$2:$2,0)),VLOOKUP($B:$B,'IS(과거)'!$A:$F,$2:$2,0),0)</f>
        <v>0</v>
      </c>
      <c r="K1071" s="207">
        <f>IF(ISNUMBER(VLOOKUP($B:$B,'IS(과거)'!$A:$F,$2:$2,0)),VLOOKUP($B:$B,'IS(과거)'!$A:$F,$2:$2,0),0)</f>
        <v>0</v>
      </c>
      <c r="L1071" s="207">
        <f>IF(ISNUMBER(VLOOKUP($B:$B,'IS(과거)'!$A:$F,$2:$2,0)),VLOOKUP($B:$B,'IS(과거)'!$A:$F,$2:$2,0),0)</f>
        <v>0</v>
      </c>
      <c r="N1071" s="207">
        <f>IF(ISNUMBER(VLOOKUP($B:$B,'IS(분기)'!$A:$F,$2:$2,0)),VLOOKUP($B:$B,'IS(분기)'!$A:$F,$2:$2,0),0)</f>
        <v>0</v>
      </c>
      <c r="O1071" s="207">
        <f>IF(ISNUMBER(VLOOKUP($B:$B,'IS(분기)'!$A:$F,$2:$2,0)),VLOOKUP($B:$B,'IS(분기)'!$A:$F,$2:$2,0),0)</f>
        <v>0</v>
      </c>
      <c r="P1071" s="207">
        <f>IF(ISNUMBER(VLOOKUP($B:$B,'IS(분기)'!$A:$F,$2:$2,0)),VLOOKUP($B:$B,'IS(분기)'!$A:$F,$2:$2,0),0)</f>
        <v>0</v>
      </c>
      <c r="Q1071" s="207">
        <f>IF(ISNUMBER(VLOOKUP($B:$B,'IS(분기)'!$A:$F,$2:$2,0)),VLOOKUP($B:$B,'IS(분기)'!$A:$F,$2:$2,0),0)</f>
        <v>0</v>
      </c>
      <c r="R1071" s="207">
        <f>IF(ISNUMBER(VLOOKUP($B:$B,'IS(분기)'!$A:$F,$2:$2,0)),VLOOKUP($B:$B,'IS(분기)'!$A:$F,$2:$2,0),0)</f>
        <v>0</v>
      </c>
    </row>
    <row r="1072" spans="1:18" s="192" customFormat="1" ht="12">
      <c r="A1072" s="201">
        <v>126155</v>
      </c>
      <c r="B1072" s="194" t="s">
        <v>739</v>
      </c>
      <c r="C1072" s="217">
        <f>IF(ISNUMBER(VLOOKUP($B:$B,IS!$A:$F,$2:$2,0)),VLOOKUP($B:$B,IS!$A:$F,$2:$2,0),0)</f>
        <v>0</v>
      </c>
      <c r="D1072" s="217">
        <f>IF(ISNUMBER(VLOOKUP($B:$B,IS!$A:$F,$2:$2,0)),VLOOKUP($B:$B,IS!$A:$F,$2:$2,0),0)</f>
        <v>0</v>
      </c>
      <c r="E1072" s="217">
        <f>IF(ISNUMBER(VLOOKUP($B:$B,IS!$A:$F,$2:$2,0)),VLOOKUP($B:$B,IS!$A:$F,$2:$2,0),0)</f>
        <v>0</v>
      </c>
      <c r="F1072" s="217">
        <f>IF(ISNUMBER(VLOOKUP($B:$B,IS!$A:$F,$2:$2,0)),VLOOKUP($B:$B,IS!$A:$F,$2:$2,0),0)</f>
        <v>0</v>
      </c>
      <c r="G1072" s="217">
        <f>IF(ISNUMBER(VLOOKUP($B:$B,IS!$A:$F,$2:$2,0)),VLOOKUP($B:$B,IS!$A:$F,$2:$2,0),0)</f>
        <v>0</v>
      </c>
      <c r="H1072" s="207">
        <f>IF(ISNUMBER(VLOOKUP($B:$B,'IS(과거)'!$A:$F,$2:$2,0)),VLOOKUP($B:$B,'IS(과거)'!$A:$F,$2:$2,0),0)</f>
        <v>0</v>
      </c>
      <c r="I1072" s="207">
        <f>IF(ISNUMBER(VLOOKUP($B:$B,'IS(과거)'!$A:$F,$2:$2,0)),VLOOKUP($B:$B,'IS(과거)'!$A:$F,$2:$2,0),0)</f>
        <v>0</v>
      </c>
      <c r="J1072" s="207">
        <f>IF(ISNUMBER(VLOOKUP($B:$B,'IS(과거)'!$A:$F,$2:$2,0)),VLOOKUP($B:$B,'IS(과거)'!$A:$F,$2:$2,0),0)</f>
        <v>0</v>
      </c>
      <c r="K1072" s="207">
        <f>IF(ISNUMBER(VLOOKUP($B:$B,'IS(과거)'!$A:$F,$2:$2,0)),VLOOKUP($B:$B,'IS(과거)'!$A:$F,$2:$2,0),0)</f>
        <v>0</v>
      </c>
      <c r="L1072" s="207">
        <f>IF(ISNUMBER(VLOOKUP($B:$B,'IS(과거)'!$A:$F,$2:$2,0)),VLOOKUP($B:$B,'IS(과거)'!$A:$F,$2:$2,0),0)</f>
        <v>0</v>
      </c>
      <c r="N1072" s="207">
        <f>IF(ISNUMBER(VLOOKUP($B:$B,'IS(분기)'!$A:$F,$2:$2,0)),VLOOKUP($B:$B,'IS(분기)'!$A:$F,$2:$2,0),0)</f>
        <v>0</v>
      </c>
      <c r="O1072" s="207">
        <f>IF(ISNUMBER(VLOOKUP($B:$B,'IS(분기)'!$A:$F,$2:$2,0)),VLOOKUP($B:$B,'IS(분기)'!$A:$F,$2:$2,0),0)</f>
        <v>0</v>
      </c>
      <c r="P1072" s="207">
        <f>IF(ISNUMBER(VLOOKUP($B:$B,'IS(분기)'!$A:$F,$2:$2,0)),VLOOKUP($B:$B,'IS(분기)'!$A:$F,$2:$2,0),0)</f>
        <v>0</v>
      </c>
      <c r="Q1072" s="207">
        <f>IF(ISNUMBER(VLOOKUP($B:$B,'IS(분기)'!$A:$F,$2:$2,0)),VLOOKUP($B:$B,'IS(분기)'!$A:$F,$2:$2,0),0)</f>
        <v>0</v>
      </c>
      <c r="R1072" s="207">
        <f>IF(ISNUMBER(VLOOKUP($B:$B,'IS(분기)'!$A:$F,$2:$2,0)),VLOOKUP($B:$B,'IS(분기)'!$A:$F,$2:$2,0),0)</f>
        <v>0</v>
      </c>
    </row>
    <row r="1073" spans="1:18" s="192" customFormat="1" ht="12">
      <c r="A1073" s="201">
        <v>126410</v>
      </c>
      <c r="B1073" s="194" t="s">
        <v>740</v>
      </c>
      <c r="C1073" s="217">
        <f>IF(ISNUMBER(VLOOKUP($B:$B,IS!$A:$F,$2:$2,0)),VLOOKUP($B:$B,IS!$A:$F,$2:$2,0),0)</f>
        <v>0</v>
      </c>
      <c r="D1073" s="217">
        <f>IF(ISNUMBER(VLOOKUP($B:$B,IS!$A:$F,$2:$2,0)),VLOOKUP($B:$B,IS!$A:$F,$2:$2,0),0)</f>
        <v>0</v>
      </c>
      <c r="E1073" s="217">
        <f>IF(ISNUMBER(VLOOKUP($B:$B,IS!$A:$F,$2:$2,0)),VLOOKUP($B:$B,IS!$A:$F,$2:$2,0),0)</f>
        <v>0</v>
      </c>
      <c r="F1073" s="217">
        <f>IF(ISNUMBER(VLOOKUP($B:$B,IS!$A:$F,$2:$2,0)),VLOOKUP($B:$B,IS!$A:$F,$2:$2,0),0)</f>
        <v>0</v>
      </c>
      <c r="G1073" s="217">
        <f>IF(ISNUMBER(VLOOKUP($B:$B,IS!$A:$F,$2:$2,0)),VLOOKUP($B:$B,IS!$A:$F,$2:$2,0),0)</f>
        <v>0</v>
      </c>
      <c r="H1073" s="207">
        <f>IF(ISNUMBER(VLOOKUP($B:$B,'IS(과거)'!$A:$F,$2:$2,0)),VLOOKUP($B:$B,'IS(과거)'!$A:$F,$2:$2,0),0)</f>
        <v>0</v>
      </c>
      <c r="I1073" s="207">
        <f>IF(ISNUMBER(VLOOKUP($B:$B,'IS(과거)'!$A:$F,$2:$2,0)),VLOOKUP($B:$B,'IS(과거)'!$A:$F,$2:$2,0),0)</f>
        <v>0</v>
      </c>
      <c r="J1073" s="207">
        <f>IF(ISNUMBER(VLOOKUP($B:$B,'IS(과거)'!$A:$F,$2:$2,0)),VLOOKUP($B:$B,'IS(과거)'!$A:$F,$2:$2,0),0)</f>
        <v>0</v>
      </c>
      <c r="K1073" s="207">
        <f>IF(ISNUMBER(VLOOKUP($B:$B,'IS(과거)'!$A:$F,$2:$2,0)),VLOOKUP($B:$B,'IS(과거)'!$A:$F,$2:$2,0),0)</f>
        <v>0</v>
      </c>
      <c r="L1073" s="207">
        <f>IF(ISNUMBER(VLOOKUP($B:$B,'IS(과거)'!$A:$F,$2:$2,0)),VLOOKUP($B:$B,'IS(과거)'!$A:$F,$2:$2,0),0)</f>
        <v>0</v>
      </c>
      <c r="N1073" s="207">
        <f>IF(ISNUMBER(VLOOKUP($B:$B,'IS(분기)'!$A:$F,$2:$2,0)),VLOOKUP($B:$B,'IS(분기)'!$A:$F,$2:$2,0),0)</f>
        <v>0</v>
      </c>
      <c r="O1073" s="207">
        <f>IF(ISNUMBER(VLOOKUP($B:$B,'IS(분기)'!$A:$F,$2:$2,0)),VLOOKUP($B:$B,'IS(분기)'!$A:$F,$2:$2,0),0)</f>
        <v>0</v>
      </c>
      <c r="P1073" s="207">
        <f>IF(ISNUMBER(VLOOKUP($B:$B,'IS(분기)'!$A:$F,$2:$2,0)),VLOOKUP($B:$B,'IS(분기)'!$A:$F,$2:$2,0),0)</f>
        <v>0</v>
      </c>
      <c r="Q1073" s="207">
        <f>IF(ISNUMBER(VLOOKUP($B:$B,'IS(분기)'!$A:$F,$2:$2,0)),VLOOKUP($B:$B,'IS(분기)'!$A:$F,$2:$2,0),0)</f>
        <v>0</v>
      </c>
      <c r="R1073" s="207">
        <f>IF(ISNUMBER(VLOOKUP($B:$B,'IS(분기)'!$A:$F,$2:$2,0)),VLOOKUP($B:$B,'IS(분기)'!$A:$F,$2:$2,0),0)</f>
        <v>0</v>
      </c>
    </row>
    <row r="1074" spans="1:18" s="192" customFormat="1" ht="12">
      <c r="A1074" s="201">
        <v>126420</v>
      </c>
      <c r="B1074" s="194" t="s">
        <v>741</v>
      </c>
      <c r="C1074" s="217">
        <f>IF(ISNUMBER(VLOOKUP($B:$B,IS!$A:$F,$2:$2,0)),VLOOKUP($B:$B,IS!$A:$F,$2:$2,0),0)</f>
        <v>0</v>
      </c>
      <c r="D1074" s="217">
        <f>IF(ISNUMBER(VLOOKUP($B:$B,IS!$A:$F,$2:$2,0)),VLOOKUP($B:$B,IS!$A:$F,$2:$2,0),0)</f>
        <v>0</v>
      </c>
      <c r="E1074" s="217">
        <f>IF(ISNUMBER(VLOOKUP($B:$B,IS!$A:$F,$2:$2,0)),VLOOKUP($B:$B,IS!$A:$F,$2:$2,0),0)</f>
        <v>0</v>
      </c>
      <c r="F1074" s="217">
        <f>IF(ISNUMBER(VLOOKUP($B:$B,IS!$A:$F,$2:$2,0)),VLOOKUP($B:$B,IS!$A:$F,$2:$2,0),0)</f>
        <v>0</v>
      </c>
      <c r="G1074" s="217">
        <f>IF(ISNUMBER(VLOOKUP($B:$B,IS!$A:$F,$2:$2,0)),VLOOKUP($B:$B,IS!$A:$F,$2:$2,0),0)</f>
        <v>0</v>
      </c>
      <c r="H1074" s="207">
        <f>IF(ISNUMBER(VLOOKUP($B:$B,'IS(과거)'!$A:$F,$2:$2,0)),VLOOKUP($B:$B,'IS(과거)'!$A:$F,$2:$2,0),0)</f>
        <v>0</v>
      </c>
      <c r="I1074" s="207">
        <f>IF(ISNUMBER(VLOOKUP($B:$B,'IS(과거)'!$A:$F,$2:$2,0)),VLOOKUP($B:$B,'IS(과거)'!$A:$F,$2:$2,0),0)</f>
        <v>0</v>
      </c>
      <c r="J1074" s="207">
        <f>IF(ISNUMBER(VLOOKUP($B:$B,'IS(과거)'!$A:$F,$2:$2,0)),VLOOKUP($B:$B,'IS(과거)'!$A:$F,$2:$2,0),0)</f>
        <v>0</v>
      </c>
      <c r="K1074" s="207">
        <f>IF(ISNUMBER(VLOOKUP($B:$B,'IS(과거)'!$A:$F,$2:$2,0)),VLOOKUP($B:$B,'IS(과거)'!$A:$F,$2:$2,0),0)</f>
        <v>0</v>
      </c>
      <c r="L1074" s="207">
        <f>IF(ISNUMBER(VLOOKUP($B:$B,'IS(과거)'!$A:$F,$2:$2,0)),VLOOKUP($B:$B,'IS(과거)'!$A:$F,$2:$2,0),0)</f>
        <v>0</v>
      </c>
      <c r="N1074" s="207">
        <f>IF(ISNUMBER(VLOOKUP($B:$B,'IS(분기)'!$A:$F,$2:$2,0)),VLOOKUP($B:$B,'IS(분기)'!$A:$F,$2:$2,0),0)</f>
        <v>0</v>
      </c>
      <c r="O1074" s="207">
        <f>IF(ISNUMBER(VLOOKUP($B:$B,'IS(분기)'!$A:$F,$2:$2,0)),VLOOKUP($B:$B,'IS(분기)'!$A:$F,$2:$2,0),0)</f>
        <v>0</v>
      </c>
      <c r="P1074" s="207">
        <f>IF(ISNUMBER(VLOOKUP($B:$B,'IS(분기)'!$A:$F,$2:$2,0)),VLOOKUP($B:$B,'IS(분기)'!$A:$F,$2:$2,0),0)</f>
        <v>0</v>
      </c>
      <c r="Q1074" s="207">
        <f>IF(ISNUMBER(VLOOKUP($B:$B,'IS(분기)'!$A:$F,$2:$2,0)),VLOOKUP($B:$B,'IS(분기)'!$A:$F,$2:$2,0),0)</f>
        <v>0</v>
      </c>
      <c r="R1074" s="207">
        <f>IF(ISNUMBER(VLOOKUP($B:$B,'IS(분기)'!$A:$F,$2:$2,0)),VLOOKUP($B:$B,'IS(분기)'!$A:$F,$2:$2,0),0)</f>
        <v>0</v>
      </c>
    </row>
    <row r="1075" spans="1:18" s="192" customFormat="1" ht="12">
      <c r="A1075" s="201">
        <v>126430</v>
      </c>
      <c r="B1075" s="194" t="s">
        <v>742</v>
      </c>
      <c r="C1075" s="217">
        <f>IF(ISNUMBER(VLOOKUP($B:$B,IS!$A:$F,$2:$2,0)),VLOOKUP($B:$B,IS!$A:$F,$2:$2,0),0)</f>
        <v>0</v>
      </c>
      <c r="D1075" s="217">
        <f>IF(ISNUMBER(VLOOKUP($B:$B,IS!$A:$F,$2:$2,0)),VLOOKUP($B:$B,IS!$A:$F,$2:$2,0),0)</f>
        <v>0</v>
      </c>
      <c r="E1075" s="217">
        <f>IF(ISNUMBER(VLOOKUP($B:$B,IS!$A:$F,$2:$2,0)),VLOOKUP($B:$B,IS!$A:$F,$2:$2,0),0)</f>
        <v>0</v>
      </c>
      <c r="F1075" s="217">
        <f>IF(ISNUMBER(VLOOKUP($B:$B,IS!$A:$F,$2:$2,0)),VLOOKUP($B:$B,IS!$A:$F,$2:$2,0),0)</f>
        <v>0</v>
      </c>
      <c r="G1075" s="217">
        <f>IF(ISNUMBER(VLOOKUP($B:$B,IS!$A:$F,$2:$2,0)),VLOOKUP($B:$B,IS!$A:$F,$2:$2,0),0)</f>
        <v>0</v>
      </c>
      <c r="H1075" s="207">
        <f>IF(ISNUMBER(VLOOKUP($B:$B,'IS(과거)'!$A:$F,$2:$2,0)),VLOOKUP($B:$B,'IS(과거)'!$A:$F,$2:$2,0),0)</f>
        <v>0</v>
      </c>
      <c r="I1075" s="207">
        <f>IF(ISNUMBER(VLOOKUP($B:$B,'IS(과거)'!$A:$F,$2:$2,0)),VLOOKUP($B:$B,'IS(과거)'!$A:$F,$2:$2,0),0)</f>
        <v>0</v>
      </c>
      <c r="J1075" s="207">
        <f>IF(ISNUMBER(VLOOKUP($B:$B,'IS(과거)'!$A:$F,$2:$2,0)),VLOOKUP($B:$B,'IS(과거)'!$A:$F,$2:$2,0),0)</f>
        <v>0</v>
      </c>
      <c r="K1075" s="207">
        <f>IF(ISNUMBER(VLOOKUP($B:$B,'IS(과거)'!$A:$F,$2:$2,0)),VLOOKUP($B:$B,'IS(과거)'!$A:$F,$2:$2,0),0)</f>
        <v>0</v>
      </c>
      <c r="L1075" s="207">
        <f>IF(ISNUMBER(VLOOKUP($B:$B,'IS(과거)'!$A:$F,$2:$2,0)),VLOOKUP($B:$B,'IS(과거)'!$A:$F,$2:$2,0),0)</f>
        <v>0</v>
      </c>
      <c r="N1075" s="207">
        <f>IF(ISNUMBER(VLOOKUP($B:$B,'IS(분기)'!$A:$F,$2:$2,0)),VLOOKUP($B:$B,'IS(분기)'!$A:$F,$2:$2,0),0)</f>
        <v>0</v>
      </c>
      <c r="O1075" s="207">
        <f>IF(ISNUMBER(VLOOKUP($B:$B,'IS(분기)'!$A:$F,$2:$2,0)),VLOOKUP($B:$B,'IS(분기)'!$A:$F,$2:$2,0),0)</f>
        <v>0</v>
      </c>
      <c r="P1075" s="207">
        <f>IF(ISNUMBER(VLOOKUP($B:$B,'IS(분기)'!$A:$F,$2:$2,0)),VLOOKUP($B:$B,'IS(분기)'!$A:$F,$2:$2,0),0)</f>
        <v>0</v>
      </c>
      <c r="Q1075" s="207">
        <f>IF(ISNUMBER(VLOOKUP($B:$B,'IS(분기)'!$A:$F,$2:$2,0)),VLOOKUP($B:$B,'IS(분기)'!$A:$F,$2:$2,0),0)</f>
        <v>0</v>
      </c>
      <c r="R1075" s="207">
        <f>IF(ISNUMBER(VLOOKUP($B:$B,'IS(분기)'!$A:$F,$2:$2,0)),VLOOKUP($B:$B,'IS(분기)'!$A:$F,$2:$2,0),0)</f>
        <v>0</v>
      </c>
    </row>
    <row r="1076" spans="1:18" s="192" customFormat="1" ht="12">
      <c r="A1076" s="201">
        <v>126280</v>
      </c>
      <c r="B1076" s="194" t="s">
        <v>743</v>
      </c>
      <c r="C1076" s="217">
        <f>IF(ISNUMBER(VLOOKUP($B:$B,IS!$A:$F,$2:$2,0)),VLOOKUP($B:$B,IS!$A:$F,$2:$2,0),0)</f>
        <v>0</v>
      </c>
      <c r="D1076" s="217">
        <f>IF(ISNUMBER(VLOOKUP($B:$B,IS!$A:$F,$2:$2,0)),VLOOKUP($B:$B,IS!$A:$F,$2:$2,0),0)</f>
        <v>0</v>
      </c>
      <c r="E1076" s="217">
        <f>IF(ISNUMBER(VLOOKUP($B:$B,IS!$A:$F,$2:$2,0)),VLOOKUP($B:$B,IS!$A:$F,$2:$2,0),0)</f>
        <v>0</v>
      </c>
      <c r="F1076" s="217">
        <f>IF(ISNUMBER(VLOOKUP($B:$B,IS!$A:$F,$2:$2,0)),VLOOKUP($B:$B,IS!$A:$F,$2:$2,0),0)</f>
        <v>0</v>
      </c>
      <c r="G1076" s="217">
        <f>IF(ISNUMBER(VLOOKUP($B:$B,IS!$A:$F,$2:$2,0)),VLOOKUP($B:$B,IS!$A:$F,$2:$2,0),0)</f>
        <v>0</v>
      </c>
      <c r="H1076" s="207">
        <f>IF(ISNUMBER(VLOOKUP($B:$B,'IS(과거)'!$A:$F,$2:$2,0)),VLOOKUP($B:$B,'IS(과거)'!$A:$F,$2:$2,0),0)</f>
        <v>0</v>
      </c>
      <c r="I1076" s="207">
        <f>IF(ISNUMBER(VLOOKUP($B:$B,'IS(과거)'!$A:$F,$2:$2,0)),VLOOKUP($B:$B,'IS(과거)'!$A:$F,$2:$2,0),0)</f>
        <v>0</v>
      </c>
      <c r="J1076" s="207">
        <f>IF(ISNUMBER(VLOOKUP($B:$B,'IS(과거)'!$A:$F,$2:$2,0)),VLOOKUP($B:$B,'IS(과거)'!$A:$F,$2:$2,0),0)</f>
        <v>0</v>
      </c>
      <c r="K1076" s="207">
        <f>IF(ISNUMBER(VLOOKUP($B:$B,'IS(과거)'!$A:$F,$2:$2,0)),VLOOKUP($B:$B,'IS(과거)'!$A:$F,$2:$2,0),0)</f>
        <v>0</v>
      </c>
      <c r="L1076" s="207">
        <f>IF(ISNUMBER(VLOOKUP($B:$B,'IS(과거)'!$A:$F,$2:$2,0)),VLOOKUP($B:$B,'IS(과거)'!$A:$F,$2:$2,0),0)</f>
        <v>0</v>
      </c>
      <c r="N1076" s="207">
        <f>IF(ISNUMBER(VLOOKUP($B:$B,'IS(분기)'!$A:$F,$2:$2,0)),VLOOKUP($B:$B,'IS(분기)'!$A:$F,$2:$2,0),0)</f>
        <v>0</v>
      </c>
      <c r="O1076" s="207">
        <f>IF(ISNUMBER(VLOOKUP($B:$B,'IS(분기)'!$A:$F,$2:$2,0)),VLOOKUP($B:$B,'IS(분기)'!$A:$F,$2:$2,0),0)</f>
        <v>0</v>
      </c>
      <c r="P1076" s="207">
        <f>IF(ISNUMBER(VLOOKUP($B:$B,'IS(분기)'!$A:$F,$2:$2,0)),VLOOKUP($B:$B,'IS(분기)'!$A:$F,$2:$2,0),0)</f>
        <v>0</v>
      </c>
      <c r="Q1076" s="207">
        <f>IF(ISNUMBER(VLOOKUP($B:$B,'IS(분기)'!$A:$F,$2:$2,0)),VLOOKUP($B:$B,'IS(분기)'!$A:$F,$2:$2,0),0)</f>
        <v>0</v>
      </c>
      <c r="R1076" s="207">
        <f>IF(ISNUMBER(VLOOKUP($B:$B,'IS(분기)'!$A:$F,$2:$2,0)),VLOOKUP($B:$B,'IS(분기)'!$A:$F,$2:$2,0),0)</f>
        <v>0</v>
      </c>
    </row>
    <row r="1077" spans="1:18" s="192" customFormat="1" ht="12">
      <c r="A1077" s="201">
        <v>126281</v>
      </c>
      <c r="B1077" s="194" t="s">
        <v>744</v>
      </c>
      <c r="C1077" s="217">
        <f>IF(ISNUMBER(VLOOKUP($B:$B,IS!$A:$F,$2:$2,0)),VLOOKUP($B:$B,IS!$A:$F,$2:$2,0),0)</f>
        <v>0</v>
      </c>
      <c r="D1077" s="217">
        <f>IF(ISNUMBER(VLOOKUP($B:$B,IS!$A:$F,$2:$2,0)),VLOOKUP($B:$B,IS!$A:$F,$2:$2,0),0)</f>
        <v>0</v>
      </c>
      <c r="E1077" s="217">
        <f>IF(ISNUMBER(VLOOKUP($B:$B,IS!$A:$F,$2:$2,0)),VLOOKUP($B:$B,IS!$A:$F,$2:$2,0),0)</f>
        <v>0</v>
      </c>
      <c r="F1077" s="217">
        <f>IF(ISNUMBER(VLOOKUP($B:$B,IS!$A:$F,$2:$2,0)),VLOOKUP($B:$B,IS!$A:$F,$2:$2,0),0)</f>
        <v>0</v>
      </c>
      <c r="G1077" s="217">
        <f>IF(ISNUMBER(VLOOKUP($B:$B,IS!$A:$F,$2:$2,0)),VLOOKUP($B:$B,IS!$A:$F,$2:$2,0),0)</f>
        <v>0</v>
      </c>
      <c r="H1077" s="207">
        <f>IF(ISNUMBER(VLOOKUP($B:$B,'IS(과거)'!$A:$F,$2:$2,0)),VLOOKUP($B:$B,'IS(과거)'!$A:$F,$2:$2,0),0)</f>
        <v>0</v>
      </c>
      <c r="I1077" s="207">
        <f>IF(ISNUMBER(VLOOKUP($B:$B,'IS(과거)'!$A:$F,$2:$2,0)),VLOOKUP($B:$B,'IS(과거)'!$A:$F,$2:$2,0),0)</f>
        <v>0</v>
      </c>
      <c r="J1077" s="207">
        <f>IF(ISNUMBER(VLOOKUP($B:$B,'IS(과거)'!$A:$F,$2:$2,0)),VLOOKUP($B:$B,'IS(과거)'!$A:$F,$2:$2,0),0)</f>
        <v>0</v>
      </c>
      <c r="K1077" s="207">
        <f>IF(ISNUMBER(VLOOKUP($B:$B,'IS(과거)'!$A:$F,$2:$2,0)),VLOOKUP($B:$B,'IS(과거)'!$A:$F,$2:$2,0),0)</f>
        <v>0</v>
      </c>
      <c r="L1077" s="207">
        <f>IF(ISNUMBER(VLOOKUP($B:$B,'IS(과거)'!$A:$F,$2:$2,0)),VLOOKUP($B:$B,'IS(과거)'!$A:$F,$2:$2,0),0)</f>
        <v>0</v>
      </c>
      <c r="N1077" s="207">
        <f>IF(ISNUMBER(VLOOKUP($B:$B,'IS(분기)'!$A:$F,$2:$2,0)),VLOOKUP($B:$B,'IS(분기)'!$A:$F,$2:$2,0),0)</f>
        <v>0</v>
      </c>
      <c r="O1077" s="207">
        <f>IF(ISNUMBER(VLOOKUP($B:$B,'IS(분기)'!$A:$F,$2:$2,0)),VLOOKUP($B:$B,'IS(분기)'!$A:$F,$2:$2,0),0)</f>
        <v>0</v>
      </c>
      <c r="P1077" s="207">
        <f>IF(ISNUMBER(VLOOKUP($B:$B,'IS(분기)'!$A:$F,$2:$2,0)),VLOOKUP($B:$B,'IS(분기)'!$A:$F,$2:$2,0),0)</f>
        <v>0</v>
      </c>
      <c r="Q1077" s="207">
        <f>IF(ISNUMBER(VLOOKUP($B:$B,'IS(분기)'!$A:$F,$2:$2,0)),VLOOKUP($B:$B,'IS(분기)'!$A:$F,$2:$2,0),0)</f>
        <v>0</v>
      </c>
      <c r="R1077" s="207">
        <f>IF(ISNUMBER(VLOOKUP($B:$B,'IS(분기)'!$A:$F,$2:$2,0)),VLOOKUP($B:$B,'IS(분기)'!$A:$F,$2:$2,0),0)</f>
        <v>0</v>
      </c>
    </row>
    <row r="1078" spans="1:18" s="192" customFormat="1" ht="12">
      <c r="A1078" s="201">
        <v>126310</v>
      </c>
      <c r="B1078" s="194" t="s">
        <v>745</v>
      </c>
      <c r="C1078" s="217">
        <f>IF(ISNUMBER(VLOOKUP($B:$B,IS!$A:$F,$2:$2,0)),VLOOKUP($B:$B,IS!$A:$F,$2:$2,0),0)</f>
        <v>0</v>
      </c>
      <c r="D1078" s="217">
        <f>IF(ISNUMBER(VLOOKUP($B:$B,IS!$A:$F,$2:$2,0)),VLOOKUP($B:$B,IS!$A:$F,$2:$2,0),0)</f>
        <v>0</v>
      </c>
      <c r="E1078" s="217">
        <f>IF(ISNUMBER(VLOOKUP($B:$B,IS!$A:$F,$2:$2,0)),VLOOKUP($B:$B,IS!$A:$F,$2:$2,0),0)</f>
        <v>0</v>
      </c>
      <c r="F1078" s="217">
        <f>IF(ISNUMBER(VLOOKUP($B:$B,IS!$A:$F,$2:$2,0)),VLOOKUP($B:$B,IS!$A:$F,$2:$2,0),0)</f>
        <v>0</v>
      </c>
      <c r="G1078" s="217">
        <f>IF(ISNUMBER(VLOOKUP($B:$B,IS!$A:$F,$2:$2,0)),VLOOKUP($B:$B,IS!$A:$F,$2:$2,0),0)</f>
        <v>0</v>
      </c>
      <c r="H1078" s="207">
        <f>IF(ISNUMBER(VLOOKUP($B:$B,'IS(과거)'!$A:$F,$2:$2,0)),VLOOKUP($B:$B,'IS(과거)'!$A:$F,$2:$2,0),0)</f>
        <v>0</v>
      </c>
      <c r="I1078" s="207">
        <f>IF(ISNUMBER(VLOOKUP($B:$B,'IS(과거)'!$A:$F,$2:$2,0)),VLOOKUP($B:$B,'IS(과거)'!$A:$F,$2:$2,0),0)</f>
        <v>0</v>
      </c>
      <c r="J1078" s="207">
        <f>IF(ISNUMBER(VLOOKUP($B:$B,'IS(과거)'!$A:$F,$2:$2,0)),VLOOKUP($B:$B,'IS(과거)'!$A:$F,$2:$2,0),0)</f>
        <v>0</v>
      </c>
      <c r="K1078" s="207">
        <f>IF(ISNUMBER(VLOOKUP($B:$B,'IS(과거)'!$A:$F,$2:$2,0)),VLOOKUP($B:$B,'IS(과거)'!$A:$F,$2:$2,0),0)</f>
        <v>0</v>
      </c>
      <c r="L1078" s="207">
        <f>IF(ISNUMBER(VLOOKUP($B:$B,'IS(과거)'!$A:$F,$2:$2,0)),VLOOKUP($B:$B,'IS(과거)'!$A:$F,$2:$2,0),0)</f>
        <v>0</v>
      </c>
      <c r="N1078" s="207">
        <f>IF(ISNUMBER(VLOOKUP($B:$B,'IS(분기)'!$A:$F,$2:$2,0)),VLOOKUP($B:$B,'IS(분기)'!$A:$F,$2:$2,0),0)</f>
        <v>0</v>
      </c>
      <c r="O1078" s="207">
        <f>IF(ISNUMBER(VLOOKUP($B:$B,'IS(분기)'!$A:$F,$2:$2,0)),VLOOKUP($B:$B,'IS(분기)'!$A:$F,$2:$2,0),0)</f>
        <v>0</v>
      </c>
      <c r="P1078" s="207">
        <f>IF(ISNUMBER(VLOOKUP($B:$B,'IS(분기)'!$A:$F,$2:$2,0)),VLOOKUP($B:$B,'IS(분기)'!$A:$F,$2:$2,0),0)</f>
        <v>0</v>
      </c>
      <c r="Q1078" s="207">
        <f>IF(ISNUMBER(VLOOKUP($B:$B,'IS(분기)'!$A:$F,$2:$2,0)),VLOOKUP($B:$B,'IS(분기)'!$A:$F,$2:$2,0),0)</f>
        <v>0</v>
      </c>
      <c r="R1078" s="207">
        <f>IF(ISNUMBER(VLOOKUP($B:$B,'IS(분기)'!$A:$F,$2:$2,0)),VLOOKUP($B:$B,'IS(분기)'!$A:$F,$2:$2,0),0)</f>
        <v>0</v>
      </c>
    </row>
    <row r="1079" spans="1:18" s="192" customFormat="1" ht="12">
      <c r="A1079" s="201">
        <v>126330</v>
      </c>
      <c r="B1079" s="194" t="s">
        <v>746</v>
      </c>
      <c r="C1079" s="217">
        <f>IF(ISNUMBER(VLOOKUP($B:$B,IS!$A:$F,$2:$2,0)),VLOOKUP($B:$B,IS!$A:$F,$2:$2,0),0)</f>
        <v>0</v>
      </c>
      <c r="D1079" s="217">
        <f>IF(ISNUMBER(VLOOKUP($B:$B,IS!$A:$F,$2:$2,0)),VLOOKUP($B:$B,IS!$A:$F,$2:$2,0),0)</f>
        <v>0</v>
      </c>
      <c r="E1079" s="217">
        <f>IF(ISNUMBER(VLOOKUP($B:$B,IS!$A:$F,$2:$2,0)),VLOOKUP($B:$B,IS!$A:$F,$2:$2,0),0)</f>
        <v>0</v>
      </c>
      <c r="F1079" s="217">
        <f>IF(ISNUMBER(VLOOKUP($B:$B,IS!$A:$F,$2:$2,0)),VLOOKUP($B:$B,IS!$A:$F,$2:$2,0),0)</f>
        <v>0</v>
      </c>
      <c r="G1079" s="217">
        <f>IF(ISNUMBER(VLOOKUP($B:$B,IS!$A:$F,$2:$2,0)),VLOOKUP($B:$B,IS!$A:$F,$2:$2,0),0)</f>
        <v>0</v>
      </c>
      <c r="H1079" s="207">
        <f>IF(ISNUMBER(VLOOKUP($B:$B,'IS(과거)'!$A:$F,$2:$2,0)),VLOOKUP($B:$B,'IS(과거)'!$A:$F,$2:$2,0),0)</f>
        <v>0</v>
      </c>
      <c r="I1079" s="207">
        <f>IF(ISNUMBER(VLOOKUP($B:$B,'IS(과거)'!$A:$F,$2:$2,0)),VLOOKUP($B:$B,'IS(과거)'!$A:$F,$2:$2,0),0)</f>
        <v>0</v>
      </c>
      <c r="J1079" s="207">
        <f>IF(ISNUMBER(VLOOKUP($B:$B,'IS(과거)'!$A:$F,$2:$2,0)),VLOOKUP($B:$B,'IS(과거)'!$A:$F,$2:$2,0),0)</f>
        <v>0</v>
      </c>
      <c r="K1079" s="207">
        <f>IF(ISNUMBER(VLOOKUP($B:$B,'IS(과거)'!$A:$F,$2:$2,0)),VLOOKUP($B:$B,'IS(과거)'!$A:$F,$2:$2,0),0)</f>
        <v>0</v>
      </c>
      <c r="L1079" s="207">
        <f>IF(ISNUMBER(VLOOKUP($B:$B,'IS(과거)'!$A:$F,$2:$2,0)),VLOOKUP($B:$B,'IS(과거)'!$A:$F,$2:$2,0),0)</f>
        <v>0</v>
      </c>
      <c r="N1079" s="207">
        <f>IF(ISNUMBER(VLOOKUP($B:$B,'IS(분기)'!$A:$F,$2:$2,0)),VLOOKUP($B:$B,'IS(분기)'!$A:$F,$2:$2,0),0)</f>
        <v>0</v>
      </c>
      <c r="O1079" s="207">
        <f>IF(ISNUMBER(VLOOKUP($B:$B,'IS(분기)'!$A:$F,$2:$2,0)),VLOOKUP($B:$B,'IS(분기)'!$A:$F,$2:$2,0),0)</f>
        <v>0</v>
      </c>
      <c r="P1079" s="207">
        <f>IF(ISNUMBER(VLOOKUP($B:$B,'IS(분기)'!$A:$F,$2:$2,0)),VLOOKUP($B:$B,'IS(분기)'!$A:$F,$2:$2,0),0)</f>
        <v>0</v>
      </c>
      <c r="Q1079" s="207">
        <f>IF(ISNUMBER(VLOOKUP($B:$B,'IS(분기)'!$A:$F,$2:$2,0)),VLOOKUP($B:$B,'IS(분기)'!$A:$F,$2:$2,0),0)</f>
        <v>0</v>
      </c>
      <c r="R1079" s="207">
        <f>IF(ISNUMBER(VLOOKUP($B:$B,'IS(분기)'!$A:$F,$2:$2,0)),VLOOKUP($B:$B,'IS(분기)'!$A:$F,$2:$2,0),0)</f>
        <v>0</v>
      </c>
    </row>
    <row r="1080" spans="1:18" s="192" customFormat="1" ht="12">
      <c r="A1080" s="201">
        <v>126350</v>
      </c>
      <c r="B1080" s="194" t="s">
        <v>747</v>
      </c>
      <c r="C1080" s="217">
        <f>IF(ISNUMBER(VLOOKUP($B:$B,IS!$A:$F,$2:$2,0)),VLOOKUP($B:$B,IS!$A:$F,$2:$2,0),0)</f>
        <v>0</v>
      </c>
      <c r="D1080" s="217">
        <f>IF(ISNUMBER(VLOOKUP($B:$B,IS!$A:$F,$2:$2,0)),VLOOKUP($B:$B,IS!$A:$F,$2:$2,0),0)</f>
        <v>0</v>
      </c>
      <c r="E1080" s="217">
        <f>IF(ISNUMBER(VLOOKUP($B:$B,IS!$A:$F,$2:$2,0)),VLOOKUP($B:$B,IS!$A:$F,$2:$2,0),0)</f>
        <v>0</v>
      </c>
      <c r="F1080" s="217">
        <f>IF(ISNUMBER(VLOOKUP($B:$B,IS!$A:$F,$2:$2,0)),VLOOKUP($B:$B,IS!$A:$F,$2:$2,0),0)</f>
        <v>0</v>
      </c>
      <c r="G1080" s="217">
        <f>IF(ISNUMBER(VLOOKUP($B:$B,IS!$A:$F,$2:$2,0)),VLOOKUP($B:$B,IS!$A:$F,$2:$2,0),0)</f>
        <v>0</v>
      </c>
      <c r="H1080" s="207">
        <f>IF(ISNUMBER(VLOOKUP($B:$B,'IS(과거)'!$A:$F,$2:$2,0)),VLOOKUP($B:$B,'IS(과거)'!$A:$F,$2:$2,0),0)</f>
        <v>0</v>
      </c>
      <c r="I1080" s="207">
        <f>IF(ISNUMBER(VLOOKUP($B:$B,'IS(과거)'!$A:$F,$2:$2,0)),VLOOKUP($B:$B,'IS(과거)'!$A:$F,$2:$2,0),0)</f>
        <v>0</v>
      </c>
      <c r="J1080" s="207">
        <f>IF(ISNUMBER(VLOOKUP($B:$B,'IS(과거)'!$A:$F,$2:$2,0)),VLOOKUP($B:$B,'IS(과거)'!$A:$F,$2:$2,0),0)</f>
        <v>0</v>
      </c>
      <c r="K1080" s="207">
        <f>IF(ISNUMBER(VLOOKUP($B:$B,'IS(과거)'!$A:$F,$2:$2,0)),VLOOKUP($B:$B,'IS(과거)'!$A:$F,$2:$2,0),0)</f>
        <v>0</v>
      </c>
      <c r="L1080" s="207">
        <f>IF(ISNUMBER(VLOOKUP($B:$B,'IS(과거)'!$A:$F,$2:$2,0)),VLOOKUP($B:$B,'IS(과거)'!$A:$F,$2:$2,0),0)</f>
        <v>0</v>
      </c>
      <c r="N1080" s="207">
        <f>IF(ISNUMBER(VLOOKUP($B:$B,'IS(분기)'!$A:$F,$2:$2,0)),VLOOKUP($B:$B,'IS(분기)'!$A:$F,$2:$2,0),0)</f>
        <v>0</v>
      </c>
      <c r="O1080" s="207">
        <f>IF(ISNUMBER(VLOOKUP($B:$B,'IS(분기)'!$A:$F,$2:$2,0)),VLOOKUP($B:$B,'IS(분기)'!$A:$F,$2:$2,0),0)</f>
        <v>0</v>
      </c>
      <c r="P1080" s="207">
        <f>IF(ISNUMBER(VLOOKUP($B:$B,'IS(분기)'!$A:$F,$2:$2,0)),VLOOKUP($B:$B,'IS(분기)'!$A:$F,$2:$2,0),0)</f>
        <v>0</v>
      </c>
      <c r="Q1080" s="207">
        <f>IF(ISNUMBER(VLOOKUP($B:$B,'IS(분기)'!$A:$F,$2:$2,0)),VLOOKUP($B:$B,'IS(분기)'!$A:$F,$2:$2,0),0)</f>
        <v>0</v>
      </c>
      <c r="R1080" s="207">
        <f>IF(ISNUMBER(VLOOKUP($B:$B,'IS(분기)'!$A:$F,$2:$2,0)),VLOOKUP($B:$B,'IS(분기)'!$A:$F,$2:$2,0),0)</f>
        <v>0</v>
      </c>
    </row>
    <row r="1081" spans="1:18" s="192" customFormat="1" ht="12">
      <c r="A1081" s="201">
        <v>126137</v>
      </c>
      <c r="B1081" s="194" t="s">
        <v>748</v>
      </c>
      <c r="C1081" s="217">
        <f>IF(ISNUMBER(VLOOKUP($B:$B,IS!$A:$F,$2:$2,0)),VLOOKUP($B:$B,IS!$A:$F,$2:$2,0),0)</f>
        <v>0</v>
      </c>
      <c r="D1081" s="217">
        <f>IF(ISNUMBER(VLOOKUP($B:$B,IS!$A:$F,$2:$2,0)),VLOOKUP($B:$B,IS!$A:$F,$2:$2,0),0)</f>
        <v>0</v>
      </c>
      <c r="E1081" s="217">
        <f>IF(ISNUMBER(VLOOKUP($B:$B,IS!$A:$F,$2:$2,0)),VLOOKUP($B:$B,IS!$A:$F,$2:$2,0),0)</f>
        <v>0</v>
      </c>
      <c r="F1081" s="217">
        <f>IF(ISNUMBER(VLOOKUP($B:$B,IS!$A:$F,$2:$2,0)),VLOOKUP($B:$B,IS!$A:$F,$2:$2,0),0)</f>
        <v>0</v>
      </c>
      <c r="G1081" s="217">
        <f>IF(ISNUMBER(VLOOKUP($B:$B,IS!$A:$F,$2:$2,0)),VLOOKUP($B:$B,IS!$A:$F,$2:$2,0),0)</f>
        <v>0</v>
      </c>
      <c r="H1081" s="207">
        <f>IF(ISNUMBER(VLOOKUP($B:$B,'IS(과거)'!$A:$F,$2:$2,0)),VLOOKUP($B:$B,'IS(과거)'!$A:$F,$2:$2,0),0)</f>
        <v>0</v>
      </c>
      <c r="I1081" s="207">
        <f>IF(ISNUMBER(VLOOKUP($B:$B,'IS(과거)'!$A:$F,$2:$2,0)),VLOOKUP($B:$B,'IS(과거)'!$A:$F,$2:$2,0),0)</f>
        <v>0</v>
      </c>
      <c r="J1081" s="207">
        <f>IF(ISNUMBER(VLOOKUP($B:$B,'IS(과거)'!$A:$F,$2:$2,0)),VLOOKUP($B:$B,'IS(과거)'!$A:$F,$2:$2,0),0)</f>
        <v>0</v>
      </c>
      <c r="K1081" s="207">
        <f>IF(ISNUMBER(VLOOKUP($B:$B,'IS(과거)'!$A:$F,$2:$2,0)),VLOOKUP($B:$B,'IS(과거)'!$A:$F,$2:$2,0),0)</f>
        <v>0</v>
      </c>
      <c r="L1081" s="207">
        <f>IF(ISNUMBER(VLOOKUP($B:$B,'IS(과거)'!$A:$F,$2:$2,0)),VLOOKUP($B:$B,'IS(과거)'!$A:$F,$2:$2,0),0)</f>
        <v>0</v>
      </c>
      <c r="N1081" s="207">
        <f>IF(ISNUMBER(VLOOKUP($B:$B,'IS(분기)'!$A:$F,$2:$2,0)),VLOOKUP($B:$B,'IS(분기)'!$A:$F,$2:$2,0),0)</f>
        <v>0</v>
      </c>
      <c r="O1081" s="207">
        <f>IF(ISNUMBER(VLOOKUP($B:$B,'IS(분기)'!$A:$F,$2:$2,0)),VLOOKUP($B:$B,'IS(분기)'!$A:$F,$2:$2,0),0)</f>
        <v>0</v>
      </c>
      <c r="P1081" s="207">
        <f>IF(ISNUMBER(VLOOKUP($B:$B,'IS(분기)'!$A:$F,$2:$2,0)),VLOOKUP($B:$B,'IS(분기)'!$A:$F,$2:$2,0),0)</f>
        <v>0</v>
      </c>
      <c r="Q1081" s="207">
        <f>IF(ISNUMBER(VLOOKUP($B:$B,'IS(분기)'!$A:$F,$2:$2,0)),VLOOKUP($B:$B,'IS(분기)'!$A:$F,$2:$2,0),0)</f>
        <v>0</v>
      </c>
      <c r="R1081" s="207">
        <f>IF(ISNUMBER(VLOOKUP($B:$B,'IS(분기)'!$A:$F,$2:$2,0)),VLOOKUP($B:$B,'IS(분기)'!$A:$F,$2:$2,0),0)</f>
        <v>0</v>
      </c>
    </row>
    <row r="1082" spans="1:18" s="192" customFormat="1" ht="12">
      <c r="A1082" s="201">
        <v>126138</v>
      </c>
      <c r="B1082" s="194" t="s">
        <v>749</v>
      </c>
      <c r="C1082" s="217">
        <f>IF(ISNUMBER(VLOOKUP($B:$B,IS!$A:$F,$2:$2,0)),VLOOKUP($B:$B,IS!$A:$F,$2:$2,0),0)</f>
        <v>0</v>
      </c>
      <c r="D1082" s="217">
        <f>IF(ISNUMBER(VLOOKUP($B:$B,IS!$A:$F,$2:$2,0)),VLOOKUP($B:$B,IS!$A:$F,$2:$2,0),0)</f>
        <v>0</v>
      </c>
      <c r="E1082" s="217">
        <f>IF(ISNUMBER(VLOOKUP($B:$B,IS!$A:$F,$2:$2,0)),VLOOKUP($B:$B,IS!$A:$F,$2:$2,0),0)</f>
        <v>0</v>
      </c>
      <c r="F1082" s="217">
        <f>IF(ISNUMBER(VLOOKUP($B:$B,IS!$A:$F,$2:$2,0)),VLOOKUP($B:$B,IS!$A:$F,$2:$2,0),0)</f>
        <v>0</v>
      </c>
      <c r="G1082" s="217">
        <f>IF(ISNUMBER(VLOOKUP($B:$B,IS!$A:$F,$2:$2,0)),VLOOKUP($B:$B,IS!$A:$F,$2:$2,0),0)</f>
        <v>0</v>
      </c>
      <c r="H1082" s="207">
        <f>IF(ISNUMBER(VLOOKUP($B:$B,'IS(과거)'!$A:$F,$2:$2,0)),VLOOKUP($B:$B,'IS(과거)'!$A:$F,$2:$2,0),0)</f>
        <v>0</v>
      </c>
      <c r="I1082" s="207">
        <f>IF(ISNUMBER(VLOOKUP($B:$B,'IS(과거)'!$A:$F,$2:$2,0)),VLOOKUP($B:$B,'IS(과거)'!$A:$F,$2:$2,0),0)</f>
        <v>0</v>
      </c>
      <c r="J1082" s="207">
        <f>IF(ISNUMBER(VLOOKUP($B:$B,'IS(과거)'!$A:$F,$2:$2,0)),VLOOKUP($B:$B,'IS(과거)'!$A:$F,$2:$2,0),0)</f>
        <v>0</v>
      </c>
      <c r="K1082" s="207">
        <f>IF(ISNUMBER(VLOOKUP($B:$B,'IS(과거)'!$A:$F,$2:$2,0)),VLOOKUP($B:$B,'IS(과거)'!$A:$F,$2:$2,0),0)</f>
        <v>0</v>
      </c>
      <c r="L1082" s="207">
        <f>IF(ISNUMBER(VLOOKUP($B:$B,'IS(과거)'!$A:$F,$2:$2,0)),VLOOKUP($B:$B,'IS(과거)'!$A:$F,$2:$2,0),0)</f>
        <v>0</v>
      </c>
      <c r="N1082" s="207">
        <f>IF(ISNUMBER(VLOOKUP($B:$B,'IS(분기)'!$A:$F,$2:$2,0)),VLOOKUP($B:$B,'IS(분기)'!$A:$F,$2:$2,0),0)</f>
        <v>0</v>
      </c>
      <c r="O1082" s="207">
        <f>IF(ISNUMBER(VLOOKUP($B:$B,'IS(분기)'!$A:$F,$2:$2,0)),VLOOKUP($B:$B,'IS(분기)'!$A:$F,$2:$2,0),0)</f>
        <v>0</v>
      </c>
      <c r="P1082" s="207">
        <f>IF(ISNUMBER(VLOOKUP($B:$B,'IS(분기)'!$A:$F,$2:$2,0)),VLOOKUP($B:$B,'IS(분기)'!$A:$F,$2:$2,0),0)</f>
        <v>0</v>
      </c>
      <c r="Q1082" s="207">
        <f>IF(ISNUMBER(VLOOKUP($B:$B,'IS(분기)'!$A:$F,$2:$2,0)),VLOOKUP($B:$B,'IS(분기)'!$A:$F,$2:$2,0),0)</f>
        <v>0</v>
      </c>
      <c r="R1082" s="207">
        <f>IF(ISNUMBER(VLOOKUP($B:$B,'IS(분기)'!$A:$F,$2:$2,0)),VLOOKUP($B:$B,'IS(분기)'!$A:$F,$2:$2,0),0)</f>
        <v>0</v>
      </c>
    </row>
    <row r="1083" spans="1:18" s="192" customFormat="1" ht="12">
      <c r="A1083" s="201">
        <v>126134</v>
      </c>
      <c r="B1083" s="194" t="s">
        <v>750</v>
      </c>
      <c r="C1083" s="217">
        <f>IF(ISNUMBER(VLOOKUP($B:$B,IS!$A:$F,$2:$2,0)),VLOOKUP($B:$B,IS!$A:$F,$2:$2,0),0)</f>
        <v>0</v>
      </c>
      <c r="D1083" s="217">
        <f>IF(ISNUMBER(VLOOKUP($B:$B,IS!$A:$F,$2:$2,0)),VLOOKUP($B:$B,IS!$A:$F,$2:$2,0),0)</f>
        <v>0</v>
      </c>
      <c r="E1083" s="217">
        <f>IF(ISNUMBER(VLOOKUP($B:$B,IS!$A:$F,$2:$2,0)),VLOOKUP($B:$B,IS!$A:$F,$2:$2,0),0)</f>
        <v>0</v>
      </c>
      <c r="F1083" s="217">
        <f>IF(ISNUMBER(VLOOKUP($B:$B,IS!$A:$F,$2:$2,0)),VLOOKUP($B:$B,IS!$A:$F,$2:$2,0),0)</f>
        <v>0</v>
      </c>
      <c r="G1083" s="217">
        <f>IF(ISNUMBER(VLOOKUP($B:$B,IS!$A:$F,$2:$2,0)),VLOOKUP($B:$B,IS!$A:$F,$2:$2,0),0)</f>
        <v>0</v>
      </c>
      <c r="H1083" s="207">
        <f>IF(ISNUMBER(VLOOKUP($B:$B,'IS(과거)'!$A:$F,$2:$2,0)),VLOOKUP($B:$B,'IS(과거)'!$A:$F,$2:$2,0),0)</f>
        <v>0</v>
      </c>
      <c r="I1083" s="207">
        <f>IF(ISNUMBER(VLOOKUP($B:$B,'IS(과거)'!$A:$F,$2:$2,0)),VLOOKUP($B:$B,'IS(과거)'!$A:$F,$2:$2,0),0)</f>
        <v>0</v>
      </c>
      <c r="J1083" s="207">
        <f>IF(ISNUMBER(VLOOKUP($B:$B,'IS(과거)'!$A:$F,$2:$2,0)),VLOOKUP($B:$B,'IS(과거)'!$A:$F,$2:$2,0),0)</f>
        <v>0</v>
      </c>
      <c r="K1083" s="207">
        <f>IF(ISNUMBER(VLOOKUP($B:$B,'IS(과거)'!$A:$F,$2:$2,0)),VLOOKUP($B:$B,'IS(과거)'!$A:$F,$2:$2,0),0)</f>
        <v>0</v>
      </c>
      <c r="L1083" s="207">
        <f>IF(ISNUMBER(VLOOKUP($B:$B,'IS(과거)'!$A:$F,$2:$2,0)),VLOOKUP($B:$B,'IS(과거)'!$A:$F,$2:$2,0),0)</f>
        <v>0</v>
      </c>
      <c r="N1083" s="207">
        <f>IF(ISNUMBER(VLOOKUP($B:$B,'IS(분기)'!$A:$F,$2:$2,0)),VLOOKUP($B:$B,'IS(분기)'!$A:$F,$2:$2,0),0)</f>
        <v>0</v>
      </c>
      <c r="O1083" s="207">
        <f>IF(ISNUMBER(VLOOKUP($B:$B,'IS(분기)'!$A:$F,$2:$2,0)),VLOOKUP($B:$B,'IS(분기)'!$A:$F,$2:$2,0),0)</f>
        <v>0</v>
      </c>
      <c r="P1083" s="207">
        <f>IF(ISNUMBER(VLOOKUP($B:$B,'IS(분기)'!$A:$F,$2:$2,0)),VLOOKUP($B:$B,'IS(분기)'!$A:$F,$2:$2,0),0)</f>
        <v>0</v>
      </c>
      <c r="Q1083" s="207">
        <f>IF(ISNUMBER(VLOOKUP($B:$B,'IS(분기)'!$A:$F,$2:$2,0)),VLOOKUP($B:$B,'IS(분기)'!$A:$F,$2:$2,0),0)</f>
        <v>0</v>
      </c>
      <c r="R1083" s="207">
        <f>IF(ISNUMBER(VLOOKUP($B:$B,'IS(분기)'!$A:$F,$2:$2,0)),VLOOKUP($B:$B,'IS(분기)'!$A:$F,$2:$2,0),0)</f>
        <v>0</v>
      </c>
    </row>
    <row r="1084" spans="1:18" s="192" customFormat="1" ht="12">
      <c r="A1084" s="201">
        <v>126135</v>
      </c>
      <c r="B1084" s="194" t="s">
        <v>751</v>
      </c>
      <c r="C1084" s="217">
        <f>IF(ISNUMBER(VLOOKUP($B:$B,IS!$A:$F,$2:$2,0)),VLOOKUP($B:$B,IS!$A:$F,$2:$2,0),0)</f>
        <v>0</v>
      </c>
      <c r="D1084" s="217">
        <f>IF(ISNUMBER(VLOOKUP($B:$B,IS!$A:$F,$2:$2,0)),VLOOKUP($B:$B,IS!$A:$F,$2:$2,0),0)</f>
        <v>0</v>
      </c>
      <c r="E1084" s="217">
        <f>IF(ISNUMBER(VLOOKUP($B:$B,IS!$A:$F,$2:$2,0)),VLOOKUP($B:$B,IS!$A:$F,$2:$2,0),0)</f>
        <v>0</v>
      </c>
      <c r="F1084" s="217">
        <f>IF(ISNUMBER(VLOOKUP($B:$B,IS!$A:$F,$2:$2,0)),VLOOKUP($B:$B,IS!$A:$F,$2:$2,0),0)</f>
        <v>0</v>
      </c>
      <c r="G1084" s="217">
        <f>IF(ISNUMBER(VLOOKUP($B:$B,IS!$A:$F,$2:$2,0)),VLOOKUP($B:$B,IS!$A:$F,$2:$2,0),0)</f>
        <v>0</v>
      </c>
      <c r="H1084" s="207">
        <f>IF(ISNUMBER(VLOOKUP($B:$B,'IS(과거)'!$A:$F,$2:$2,0)),VLOOKUP($B:$B,'IS(과거)'!$A:$F,$2:$2,0),0)</f>
        <v>0</v>
      </c>
      <c r="I1084" s="207">
        <f>IF(ISNUMBER(VLOOKUP($B:$B,'IS(과거)'!$A:$F,$2:$2,0)),VLOOKUP($B:$B,'IS(과거)'!$A:$F,$2:$2,0),0)</f>
        <v>0</v>
      </c>
      <c r="J1084" s="207">
        <f>IF(ISNUMBER(VLOOKUP($B:$B,'IS(과거)'!$A:$F,$2:$2,0)),VLOOKUP($B:$B,'IS(과거)'!$A:$F,$2:$2,0),0)</f>
        <v>0</v>
      </c>
      <c r="K1084" s="207">
        <f>IF(ISNUMBER(VLOOKUP($B:$B,'IS(과거)'!$A:$F,$2:$2,0)),VLOOKUP($B:$B,'IS(과거)'!$A:$F,$2:$2,0),0)</f>
        <v>0</v>
      </c>
      <c r="L1084" s="207">
        <f>IF(ISNUMBER(VLOOKUP($B:$B,'IS(과거)'!$A:$F,$2:$2,0)),VLOOKUP($B:$B,'IS(과거)'!$A:$F,$2:$2,0),0)</f>
        <v>0</v>
      </c>
      <c r="N1084" s="207">
        <f>IF(ISNUMBER(VLOOKUP($B:$B,'IS(분기)'!$A:$F,$2:$2,0)),VLOOKUP($B:$B,'IS(분기)'!$A:$F,$2:$2,0),0)</f>
        <v>0</v>
      </c>
      <c r="O1084" s="207">
        <f>IF(ISNUMBER(VLOOKUP($B:$B,'IS(분기)'!$A:$F,$2:$2,0)),VLOOKUP($B:$B,'IS(분기)'!$A:$F,$2:$2,0),0)</f>
        <v>0</v>
      </c>
      <c r="P1084" s="207">
        <f>IF(ISNUMBER(VLOOKUP($B:$B,'IS(분기)'!$A:$F,$2:$2,0)),VLOOKUP($B:$B,'IS(분기)'!$A:$F,$2:$2,0),0)</f>
        <v>0</v>
      </c>
      <c r="Q1084" s="207">
        <f>IF(ISNUMBER(VLOOKUP($B:$B,'IS(분기)'!$A:$F,$2:$2,0)),VLOOKUP($B:$B,'IS(분기)'!$A:$F,$2:$2,0),0)</f>
        <v>0</v>
      </c>
      <c r="R1084" s="207">
        <f>IF(ISNUMBER(VLOOKUP($B:$B,'IS(분기)'!$A:$F,$2:$2,0)),VLOOKUP($B:$B,'IS(분기)'!$A:$F,$2:$2,0),0)</f>
        <v>0</v>
      </c>
    </row>
    <row r="1085" spans="1:18" s="192" customFormat="1" ht="12">
      <c r="A1085" s="201">
        <v>126136</v>
      </c>
      <c r="B1085" s="194" t="s">
        <v>752</v>
      </c>
      <c r="C1085" s="217">
        <f>IF(ISNUMBER(VLOOKUP($B:$B,IS!$A:$F,$2:$2,0)),VLOOKUP($B:$B,IS!$A:$F,$2:$2,0),0)</f>
        <v>0</v>
      </c>
      <c r="D1085" s="217">
        <f>IF(ISNUMBER(VLOOKUP($B:$B,IS!$A:$F,$2:$2,0)),VLOOKUP($B:$B,IS!$A:$F,$2:$2,0),0)</f>
        <v>0</v>
      </c>
      <c r="E1085" s="217">
        <f>IF(ISNUMBER(VLOOKUP($B:$B,IS!$A:$F,$2:$2,0)),VLOOKUP($B:$B,IS!$A:$F,$2:$2,0),0)</f>
        <v>0</v>
      </c>
      <c r="F1085" s="217">
        <f>IF(ISNUMBER(VLOOKUP($B:$B,IS!$A:$F,$2:$2,0)),VLOOKUP($B:$B,IS!$A:$F,$2:$2,0),0)</f>
        <v>0</v>
      </c>
      <c r="G1085" s="217">
        <f>IF(ISNUMBER(VLOOKUP($B:$B,IS!$A:$F,$2:$2,0)),VLOOKUP($B:$B,IS!$A:$F,$2:$2,0),0)</f>
        <v>0</v>
      </c>
      <c r="H1085" s="207">
        <f>IF(ISNUMBER(VLOOKUP($B:$B,'IS(과거)'!$A:$F,$2:$2,0)),VLOOKUP($B:$B,'IS(과거)'!$A:$F,$2:$2,0),0)</f>
        <v>0</v>
      </c>
      <c r="I1085" s="207">
        <f>IF(ISNUMBER(VLOOKUP($B:$B,'IS(과거)'!$A:$F,$2:$2,0)),VLOOKUP($B:$B,'IS(과거)'!$A:$F,$2:$2,0),0)</f>
        <v>0</v>
      </c>
      <c r="J1085" s="207">
        <f>IF(ISNUMBER(VLOOKUP($B:$B,'IS(과거)'!$A:$F,$2:$2,0)),VLOOKUP($B:$B,'IS(과거)'!$A:$F,$2:$2,0),0)</f>
        <v>0</v>
      </c>
      <c r="K1085" s="207">
        <f>IF(ISNUMBER(VLOOKUP($B:$B,'IS(과거)'!$A:$F,$2:$2,0)),VLOOKUP($B:$B,'IS(과거)'!$A:$F,$2:$2,0),0)</f>
        <v>0</v>
      </c>
      <c r="L1085" s="207">
        <f>IF(ISNUMBER(VLOOKUP($B:$B,'IS(과거)'!$A:$F,$2:$2,0)),VLOOKUP($B:$B,'IS(과거)'!$A:$F,$2:$2,0),0)</f>
        <v>0</v>
      </c>
      <c r="N1085" s="207">
        <f>IF(ISNUMBER(VLOOKUP($B:$B,'IS(분기)'!$A:$F,$2:$2,0)),VLOOKUP($B:$B,'IS(분기)'!$A:$F,$2:$2,0),0)</f>
        <v>0</v>
      </c>
      <c r="O1085" s="207">
        <f>IF(ISNUMBER(VLOOKUP($B:$B,'IS(분기)'!$A:$F,$2:$2,0)),VLOOKUP($B:$B,'IS(분기)'!$A:$F,$2:$2,0),0)</f>
        <v>0</v>
      </c>
      <c r="P1085" s="207">
        <f>IF(ISNUMBER(VLOOKUP($B:$B,'IS(분기)'!$A:$F,$2:$2,0)),VLOOKUP($B:$B,'IS(분기)'!$A:$F,$2:$2,0),0)</f>
        <v>0</v>
      </c>
      <c r="Q1085" s="207">
        <f>IF(ISNUMBER(VLOOKUP($B:$B,'IS(분기)'!$A:$F,$2:$2,0)),VLOOKUP($B:$B,'IS(분기)'!$A:$F,$2:$2,0),0)</f>
        <v>0</v>
      </c>
      <c r="R1085" s="207">
        <f>IF(ISNUMBER(VLOOKUP($B:$B,'IS(분기)'!$A:$F,$2:$2,0)),VLOOKUP($B:$B,'IS(분기)'!$A:$F,$2:$2,0),0)</f>
        <v>0</v>
      </c>
    </row>
    <row r="1086" spans="1:18" s="192" customFormat="1" ht="12">
      <c r="A1086" s="201">
        <v>126166</v>
      </c>
      <c r="B1086" s="194" t="s">
        <v>753</v>
      </c>
      <c r="C1086" s="217">
        <f>IF(ISNUMBER(VLOOKUP($B:$B,IS!$A:$F,$2:$2,0)),VLOOKUP($B:$B,IS!$A:$F,$2:$2,0),0)</f>
        <v>0</v>
      </c>
      <c r="D1086" s="217">
        <f>IF(ISNUMBER(VLOOKUP($B:$B,IS!$A:$F,$2:$2,0)),VLOOKUP($B:$B,IS!$A:$F,$2:$2,0),0)</f>
        <v>0</v>
      </c>
      <c r="E1086" s="217">
        <f>IF(ISNUMBER(VLOOKUP($B:$B,IS!$A:$F,$2:$2,0)),VLOOKUP($B:$B,IS!$A:$F,$2:$2,0),0)</f>
        <v>0</v>
      </c>
      <c r="F1086" s="217">
        <f>IF(ISNUMBER(VLOOKUP($B:$B,IS!$A:$F,$2:$2,0)),VLOOKUP($B:$B,IS!$A:$F,$2:$2,0),0)</f>
        <v>0</v>
      </c>
      <c r="G1086" s="217">
        <f>IF(ISNUMBER(VLOOKUP($B:$B,IS!$A:$F,$2:$2,0)),VLOOKUP($B:$B,IS!$A:$F,$2:$2,0),0)</f>
        <v>0</v>
      </c>
      <c r="H1086" s="207">
        <f>IF(ISNUMBER(VLOOKUP($B:$B,'IS(과거)'!$A:$F,$2:$2,0)),VLOOKUP($B:$B,'IS(과거)'!$A:$F,$2:$2,0),0)</f>
        <v>0</v>
      </c>
      <c r="I1086" s="207">
        <f>IF(ISNUMBER(VLOOKUP($B:$B,'IS(과거)'!$A:$F,$2:$2,0)),VLOOKUP($B:$B,'IS(과거)'!$A:$F,$2:$2,0),0)</f>
        <v>0</v>
      </c>
      <c r="J1086" s="207">
        <f>IF(ISNUMBER(VLOOKUP($B:$B,'IS(과거)'!$A:$F,$2:$2,0)),VLOOKUP($B:$B,'IS(과거)'!$A:$F,$2:$2,0),0)</f>
        <v>0</v>
      </c>
      <c r="K1086" s="207">
        <f>IF(ISNUMBER(VLOOKUP($B:$B,'IS(과거)'!$A:$F,$2:$2,0)),VLOOKUP($B:$B,'IS(과거)'!$A:$F,$2:$2,0),0)</f>
        <v>0</v>
      </c>
      <c r="L1086" s="207">
        <f>IF(ISNUMBER(VLOOKUP($B:$B,'IS(과거)'!$A:$F,$2:$2,0)),VLOOKUP($B:$B,'IS(과거)'!$A:$F,$2:$2,0),0)</f>
        <v>0</v>
      </c>
      <c r="N1086" s="207">
        <f>IF(ISNUMBER(VLOOKUP($B:$B,'IS(분기)'!$A:$F,$2:$2,0)),VLOOKUP($B:$B,'IS(분기)'!$A:$F,$2:$2,0),0)</f>
        <v>0</v>
      </c>
      <c r="O1086" s="207">
        <f>IF(ISNUMBER(VLOOKUP($B:$B,'IS(분기)'!$A:$F,$2:$2,0)),VLOOKUP($B:$B,'IS(분기)'!$A:$F,$2:$2,0),0)</f>
        <v>0</v>
      </c>
      <c r="P1086" s="207">
        <f>IF(ISNUMBER(VLOOKUP($B:$B,'IS(분기)'!$A:$F,$2:$2,0)),VLOOKUP($B:$B,'IS(분기)'!$A:$F,$2:$2,0),0)</f>
        <v>0</v>
      </c>
      <c r="Q1086" s="207">
        <f>IF(ISNUMBER(VLOOKUP($B:$B,'IS(분기)'!$A:$F,$2:$2,0)),VLOOKUP($B:$B,'IS(분기)'!$A:$F,$2:$2,0),0)</f>
        <v>0</v>
      </c>
      <c r="R1086" s="207">
        <f>IF(ISNUMBER(VLOOKUP($B:$B,'IS(분기)'!$A:$F,$2:$2,0)),VLOOKUP($B:$B,'IS(분기)'!$A:$F,$2:$2,0),0)</f>
        <v>0</v>
      </c>
    </row>
    <row r="1087" spans="1:18" s="192" customFormat="1" ht="12">
      <c r="A1087" s="201">
        <v>126167</v>
      </c>
      <c r="B1087" s="194" t="s">
        <v>754</v>
      </c>
      <c r="C1087" s="217">
        <f>IF(ISNUMBER(VLOOKUP($B:$B,IS!$A:$F,$2:$2,0)),VLOOKUP($B:$B,IS!$A:$F,$2:$2,0),0)</f>
        <v>0</v>
      </c>
      <c r="D1087" s="217">
        <f>IF(ISNUMBER(VLOOKUP($B:$B,IS!$A:$F,$2:$2,0)),VLOOKUP($B:$B,IS!$A:$F,$2:$2,0),0)</f>
        <v>0</v>
      </c>
      <c r="E1087" s="217">
        <f>IF(ISNUMBER(VLOOKUP($B:$B,IS!$A:$F,$2:$2,0)),VLOOKUP($B:$B,IS!$A:$F,$2:$2,0),0)</f>
        <v>0</v>
      </c>
      <c r="F1087" s="217">
        <f>IF(ISNUMBER(VLOOKUP($B:$B,IS!$A:$F,$2:$2,0)),VLOOKUP($B:$B,IS!$A:$F,$2:$2,0),0)</f>
        <v>0</v>
      </c>
      <c r="G1087" s="217">
        <f>IF(ISNUMBER(VLOOKUP($B:$B,IS!$A:$F,$2:$2,0)),VLOOKUP($B:$B,IS!$A:$F,$2:$2,0),0)</f>
        <v>0</v>
      </c>
      <c r="H1087" s="207">
        <f>IF(ISNUMBER(VLOOKUP($B:$B,'IS(과거)'!$A:$F,$2:$2,0)),VLOOKUP($B:$B,'IS(과거)'!$A:$F,$2:$2,0),0)</f>
        <v>0</v>
      </c>
      <c r="I1087" s="207">
        <f>IF(ISNUMBER(VLOOKUP($B:$B,'IS(과거)'!$A:$F,$2:$2,0)),VLOOKUP($B:$B,'IS(과거)'!$A:$F,$2:$2,0),0)</f>
        <v>0</v>
      </c>
      <c r="J1087" s="207">
        <f>IF(ISNUMBER(VLOOKUP($B:$B,'IS(과거)'!$A:$F,$2:$2,0)),VLOOKUP($B:$B,'IS(과거)'!$A:$F,$2:$2,0),0)</f>
        <v>0</v>
      </c>
      <c r="K1087" s="207">
        <f>IF(ISNUMBER(VLOOKUP($B:$B,'IS(과거)'!$A:$F,$2:$2,0)),VLOOKUP($B:$B,'IS(과거)'!$A:$F,$2:$2,0),0)</f>
        <v>0</v>
      </c>
      <c r="L1087" s="207">
        <f>IF(ISNUMBER(VLOOKUP($B:$B,'IS(과거)'!$A:$F,$2:$2,0)),VLOOKUP($B:$B,'IS(과거)'!$A:$F,$2:$2,0),0)</f>
        <v>0</v>
      </c>
      <c r="N1087" s="207">
        <f>IF(ISNUMBER(VLOOKUP($B:$B,'IS(분기)'!$A:$F,$2:$2,0)),VLOOKUP($B:$B,'IS(분기)'!$A:$F,$2:$2,0),0)</f>
        <v>0</v>
      </c>
      <c r="O1087" s="207">
        <f>IF(ISNUMBER(VLOOKUP($B:$B,'IS(분기)'!$A:$F,$2:$2,0)),VLOOKUP($B:$B,'IS(분기)'!$A:$F,$2:$2,0),0)</f>
        <v>0</v>
      </c>
      <c r="P1087" s="207">
        <f>IF(ISNUMBER(VLOOKUP($B:$B,'IS(분기)'!$A:$F,$2:$2,0)),VLOOKUP($B:$B,'IS(분기)'!$A:$F,$2:$2,0),0)</f>
        <v>0</v>
      </c>
      <c r="Q1087" s="207">
        <f>IF(ISNUMBER(VLOOKUP($B:$B,'IS(분기)'!$A:$F,$2:$2,0)),VLOOKUP($B:$B,'IS(분기)'!$A:$F,$2:$2,0),0)</f>
        <v>0</v>
      </c>
      <c r="R1087" s="207">
        <f>IF(ISNUMBER(VLOOKUP($B:$B,'IS(분기)'!$A:$F,$2:$2,0)),VLOOKUP($B:$B,'IS(분기)'!$A:$F,$2:$2,0),0)</f>
        <v>0</v>
      </c>
    </row>
    <row r="1088" spans="1:18" s="192" customFormat="1" ht="12">
      <c r="A1088" s="201">
        <v>126168</v>
      </c>
      <c r="B1088" s="194" t="s">
        <v>755</v>
      </c>
      <c r="C1088" s="217">
        <f>IF(ISNUMBER(VLOOKUP($B:$B,IS!$A:$F,$2:$2,0)),VLOOKUP($B:$B,IS!$A:$F,$2:$2,0),0)</f>
        <v>0</v>
      </c>
      <c r="D1088" s="217">
        <f>IF(ISNUMBER(VLOOKUP($B:$B,IS!$A:$F,$2:$2,0)),VLOOKUP($B:$B,IS!$A:$F,$2:$2,0),0)</f>
        <v>0</v>
      </c>
      <c r="E1088" s="217">
        <f>IF(ISNUMBER(VLOOKUP($B:$B,IS!$A:$F,$2:$2,0)),VLOOKUP($B:$B,IS!$A:$F,$2:$2,0),0)</f>
        <v>0</v>
      </c>
      <c r="F1088" s="217">
        <f>IF(ISNUMBER(VLOOKUP($B:$B,IS!$A:$F,$2:$2,0)),VLOOKUP($B:$B,IS!$A:$F,$2:$2,0),0)</f>
        <v>0</v>
      </c>
      <c r="G1088" s="217">
        <f>IF(ISNUMBER(VLOOKUP($B:$B,IS!$A:$F,$2:$2,0)),VLOOKUP($B:$B,IS!$A:$F,$2:$2,0),0)</f>
        <v>0</v>
      </c>
      <c r="H1088" s="207">
        <f>IF(ISNUMBER(VLOOKUP($B:$B,'IS(과거)'!$A:$F,$2:$2,0)),VLOOKUP($B:$B,'IS(과거)'!$A:$F,$2:$2,0),0)</f>
        <v>0</v>
      </c>
      <c r="I1088" s="207">
        <f>IF(ISNUMBER(VLOOKUP($B:$B,'IS(과거)'!$A:$F,$2:$2,0)),VLOOKUP($B:$B,'IS(과거)'!$A:$F,$2:$2,0),0)</f>
        <v>0</v>
      </c>
      <c r="J1088" s="207">
        <f>IF(ISNUMBER(VLOOKUP($B:$B,'IS(과거)'!$A:$F,$2:$2,0)),VLOOKUP($B:$B,'IS(과거)'!$A:$F,$2:$2,0),0)</f>
        <v>0</v>
      </c>
      <c r="K1088" s="207">
        <f>IF(ISNUMBER(VLOOKUP($B:$B,'IS(과거)'!$A:$F,$2:$2,0)),VLOOKUP($B:$B,'IS(과거)'!$A:$F,$2:$2,0),0)</f>
        <v>0</v>
      </c>
      <c r="L1088" s="207">
        <f>IF(ISNUMBER(VLOOKUP($B:$B,'IS(과거)'!$A:$F,$2:$2,0)),VLOOKUP($B:$B,'IS(과거)'!$A:$F,$2:$2,0),0)</f>
        <v>0</v>
      </c>
      <c r="N1088" s="207">
        <f>IF(ISNUMBER(VLOOKUP($B:$B,'IS(분기)'!$A:$F,$2:$2,0)),VLOOKUP($B:$B,'IS(분기)'!$A:$F,$2:$2,0),0)</f>
        <v>0</v>
      </c>
      <c r="O1088" s="207">
        <f>IF(ISNUMBER(VLOOKUP($B:$B,'IS(분기)'!$A:$F,$2:$2,0)),VLOOKUP($B:$B,'IS(분기)'!$A:$F,$2:$2,0),0)</f>
        <v>0</v>
      </c>
      <c r="P1088" s="207">
        <f>IF(ISNUMBER(VLOOKUP($B:$B,'IS(분기)'!$A:$F,$2:$2,0)),VLOOKUP($B:$B,'IS(분기)'!$A:$F,$2:$2,0),0)</f>
        <v>0</v>
      </c>
      <c r="Q1088" s="207">
        <f>IF(ISNUMBER(VLOOKUP($B:$B,'IS(분기)'!$A:$F,$2:$2,0)),VLOOKUP($B:$B,'IS(분기)'!$A:$F,$2:$2,0),0)</f>
        <v>0</v>
      </c>
      <c r="R1088" s="207">
        <f>IF(ISNUMBER(VLOOKUP($B:$B,'IS(분기)'!$A:$F,$2:$2,0)),VLOOKUP($B:$B,'IS(분기)'!$A:$F,$2:$2,0),0)</f>
        <v>0</v>
      </c>
    </row>
    <row r="1089" spans="1:18" s="192" customFormat="1" ht="12">
      <c r="A1089" s="201">
        <v>126250</v>
      </c>
      <c r="B1089" s="194" t="s">
        <v>756</v>
      </c>
      <c r="C1089" s="217">
        <f>IF(ISNUMBER(VLOOKUP($B:$B,IS!$A:$F,$2:$2,0)),VLOOKUP($B:$B,IS!$A:$F,$2:$2,0),0)</f>
        <v>187136</v>
      </c>
      <c r="D1089" s="217">
        <f>IF(ISNUMBER(VLOOKUP($B:$B,IS!$A:$F,$2:$2,0)),VLOOKUP($B:$B,IS!$A:$F,$2:$2,0),0)</f>
        <v>0</v>
      </c>
      <c r="E1089" s="217">
        <f>IF(ISNUMBER(VLOOKUP($B:$B,IS!$A:$F,$2:$2,0)),VLOOKUP($B:$B,IS!$A:$F,$2:$2,0),0)</f>
        <v>0</v>
      </c>
      <c r="F1089" s="217">
        <f>IF(ISNUMBER(VLOOKUP($B:$B,IS!$A:$F,$2:$2,0)),VLOOKUP($B:$B,IS!$A:$F,$2:$2,0),0)</f>
        <v>0</v>
      </c>
      <c r="G1089" s="217">
        <f>IF(ISNUMBER(VLOOKUP($B:$B,IS!$A:$F,$2:$2,0)),VLOOKUP($B:$B,IS!$A:$F,$2:$2,0),0)</f>
        <v>0</v>
      </c>
      <c r="H1089" s="207">
        <f>IF(ISNUMBER(VLOOKUP($B:$B,'IS(과거)'!$A:$F,$2:$2,0)),VLOOKUP($B:$B,'IS(과거)'!$A:$F,$2:$2,0),0)</f>
        <v>0</v>
      </c>
      <c r="I1089" s="207">
        <f>IF(ISNUMBER(VLOOKUP($B:$B,'IS(과거)'!$A:$F,$2:$2,0)),VLOOKUP($B:$B,'IS(과거)'!$A:$F,$2:$2,0),0)</f>
        <v>0</v>
      </c>
      <c r="J1089" s="207">
        <f>IF(ISNUMBER(VLOOKUP($B:$B,'IS(과거)'!$A:$F,$2:$2,0)),VLOOKUP($B:$B,'IS(과거)'!$A:$F,$2:$2,0),0)</f>
        <v>0</v>
      </c>
      <c r="K1089" s="207">
        <f>IF(ISNUMBER(VLOOKUP($B:$B,'IS(과거)'!$A:$F,$2:$2,0)),VLOOKUP($B:$B,'IS(과거)'!$A:$F,$2:$2,0),0)</f>
        <v>0</v>
      </c>
      <c r="L1089" s="207">
        <f>IF(ISNUMBER(VLOOKUP($B:$B,'IS(과거)'!$A:$F,$2:$2,0)),VLOOKUP($B:$B,'IS(과거)'!$A:$F,$2:$2,0),0)</f>
        <v>0</v>
      </c>
      <c r="N1089" s="207">
        <f>IF(ISNUMBER(VLOOKUP($B:$B,'IS(분기)'!$A:$F,$2:$2,0)),VLOOKUP($B:$B,'IS(분기)'!$A:$F,$2:$2,0),0)</f>
        <v>0</v>
      </c>
      <c r="O1089" s="207">
        <f>IF(ISNUMBER(VLOOKUP($B:$B,'IS(분기)'!$A:$F,$2:$2,0)),VLOOKUP($B:$B,'IS(분기)'!$A:$F,$2:$2,0),0)</f>
        <v>0</v>
      </c>
      <c r="P1089" s="207">
        <f>IF(ISNUMBER(VLOOKUP($B:$B,'IS(분기)'!$A:$F,$2:$2,0)),VLOOKUP($B:$B,'IS(분기)'!$A:$F,$2:$2,0),0)</f>
        <v>0</v>
      </c>
      <c r="Q1089" s="207">
        <f>IF(ISNUMBER(VLOOKUP($B:$B,'IS(분기)'!$A:$F,$2:$2,0)),VLOOKUP($B:$B,'IS(분기)'!$A:$F,$2:$2,0),0)</f>
        <v>0</v>
      </c>
      <c r="R1089" s="207">
        <f>IF(ISNUMBER(VLOOKUP($B:$B,'IS(분기)'!$A:$F,$2:$2,0)),VLOOKUP($B:$B,'IS(분기)'!$A:$F,$2:$2,0),0)</f>
        <v>0</v>
      </c>
    </row>
    <row r="1090" spans="1:18" s="192" customFormat="1" ht="12">
      <c r="A1090" s="205">
        <v>128000</v>
      </c>
      <c r="B1090" s="198" t="s">
        <v>14</v>
      </c>
      <c r="C1090" s="217">
        <f>IF(ISNUMBER(VLOOKUP($B:$B,IS!$A:$F,$2:$2,0)),VLOOKUP($B:$B,IS!$A:$F,$2:$2,0),0)</f>
        <v>1174487</v>
      </c>
      <c r="D1090" s="217">
        <f>IF(ISNUMBER(VLOOKUP($B:$B,IS!$A:$F,$2:$2,0)),VLOOKUP($B:$B,IS!$A:$F,$2:$2,0),0)</f>
        <v>0</v>
      </c>
      <c r="E1090" s="217">
        <f>IF(ISNUMBER(VLOOKUP($B:$B,IS!$A:$F,$2:$2,0)),VLOOKUP($B:$B,IS!$A:$F,$2:$2,0),0)</f>
        <v>0</v>
      </c>
      <c r="F1090" s="217">
        <f>IF(ISNUMBER(VLOOKUP($B:$B,IS!$A:$F,$2:$2,0)),VLOOKUP($B:$B,IS!$A:$F,$2:$2,0),0)</f>
        <v>0</v>
      </c>
      <c r="G1090" s="217">
        <f>IF(ISNUMBER(VLOOKUP($B:$B,IS!$A:$F,$2:$2,0)),VLOOKUP($B:$B,IS!$A:$F,$2:$2,0),0)</f>
        <v>0</v>
      </c>
      <c r="H1090" s="207">
        <f>IF(ISNUMBER(VLOOKUP($B:$B,'IS(과거)'!$A:$F,$2:$2,0)),VLOOKUP($B:$B,'IS(과거)'!$A:$F,$2:$2,0),0)</f>
        <v>0</v>
      </c>
      <c r="I1090" s="207">
        <f>IF(ISNUMBER(VLOOKUP($B:$B,'IS(과거)'!$A:$F,$2:$2,0)),VLOOKUP($B:$B,'IS(과거)'!$A:$F,$2:$2,0),0)</f>
        <v>0</v>
      </c>
      <c r="J1090" s="207">
        <f>IF(ISNUMBER(VLOOKUP($B:$B,'IS(과거)'!$A:$F,$2:$2,0)),VLOOKUP($B:$B,'IS(과거)'!$A:$F,$2:$2,0),0)</f>
        <v>0</v>
      </c>
      <c r="K1090" s="207">
        <f>IF(ISNUMBER(VLOOKUP($B:$B,'IS(과거)'!$A:$F,$2:$2,0)),VLOOKUP($B:$B,'IS(과거)'!$A:$F,$2:$2,0),0)</f>
        <v>0</v>
      </c>
      <c r="L1090" s="207">
        <f>IF(ISNUMBER(VLOOKUP($B:$B,'IS(과거)'!$A:$F,$2:$2,0)),VLOOKUP($B:$B,'IS(과거)'!$A:$F,$2:$2,0),0)</f>
        <v>0</v>
      </c>
      <c r="N1090" s="207">
        <f>IF(ISNUMBER(VLOOKUP($B:$B,'IS(분기)'!$A:$F,$2:$2,0)),VLOOKUP($B:$B,'IS(분기)'!$A:$F,$2:$2,0),0)</f>
        <v>0</v>
      </c>
      <c r="O1090" s="207">
        <f>IF(ISNUMBER(VLOOKUP($B:$B,'IS(분기)'!$A:$F,$2:$2,0)),VLOOKUP($B:$B,'IS(분기)'!$A:$F,$2:$2,0),0)</f>
        <v>0</v>
      </c>
      <c r="P1090" s="207">
        <f>IF(ISNUMBER(VLOOKUP($B:$B,'IS(분기)'!$A:$F,$2:$2,0)),VLOOKUP($B:$B,'IS(분기)'!$A:$F,$2:$2,0),0)</f>
        <v>0</v>
      </c>
      <c r="Q1090" s="207">
        <f>IF(ISNUMBER(VLOOKUP($B:$B,'IS(분기)'!$A:$F,$2:$2,0)),VLOOKUP($B:$B,'IS(분기)'!$A:$F,$2:$2,0),0)</f>
        <v>0</v>
      </c>
      <c r="R1090" s="207">
        <f>IF(ISNUMBER(VLOOKUP($B:$B,'IS(분기)'!$A:$F,$2:$2,0)),VLOOKUP($B:$B,'IS(분기)'!$A:$F,$2:$2,0),0)</f>
        <v>0</v>
      </c>
    </row>
    <row r="1091" spans="1:18" s="192" customFormat="1" ht="12">
      <c r="A1091" s="205">
        <v>128100</v>
      </c>
      <c r="B1091" s="198" t="s">
        <v>15</v>
      </c>
      <c r="C1091" s="217">
        <f>IF(ISNUMBER(VLOOKUP($B:$B,IS!$A:$F,$2:$2,0)),VLOOKUP($B:$B,IS!$A:$F,$2:$2,0),0)</f>
        <v>194038</v>
      </c>
      <c r="D1091" s="217">
        <f>IF(ISNUMBER(VLOOKUP($B:$B,IS!$A:$F,$2:$2,0)),VLOOKUP($B:$B,IS!$A:$F,$2:$2,0),0)</f>
        <v>0</v>
      </c>
      <c r="E1091" s="217">
        <f>IF(ISNUMBER(VLOOKUP($B:$B,IS!$A:$F,$2:$2,0)),VLOOKUP($B:$B,IS!$A:$F,$2:$2,0),0)</f>
        <v>0</v>
      </c>
      <c r="F1091" s="217">
        <f>IF(ISNUMBER(VLOOKUP($B:$B,IS!$A:$F,$2:$2,0)),VLOOKUP($B:$B,IS!$A:$F,$2:$2,0),0)</f>
        <v>0</v>
      </c>
      <c r="G1091" s="217">
        <f>IF(ISNUMBER(VLOOKUP($B:$B,IS!$A:$F,$2:$2,0)),VLOOKUP($B:$B,IS!$A:$F,$2:$2,0),0)</f>
        <v>0</v>
      </c>
      <c r="H1091" s="207">
        <f>IF(ISNUMBER(VLOOKUP($B:$B,'IS(과거)'!$A:$F,$2:$2,0)),VLOOKUP($B:$B,'IS(과거)'!$A:$F,$2:$2,0),0)</f>
        <v>0</v>
      </c>
      <c r="I1091" s="207">
        <f>IF(ISNUMBER(VLOOKUP($B:$B,'IS(과거)'!$A:$F,$2:$2,0)),VLOOKUP($B:$B,'IS(과거)'!$A:$F,$2:$2,0),0)</f>
        <v>0</v>
      </c>
      <c r="J1091" s="207">
        <f>IF(ISNUMBER(VLOOKUP($B:$B,'IS(과거)'!$A:$F,$2:$2,0)),VLOOKUP($B:$B,'IS(과거)'!$A:$F,$2:$2,0),0)</f>
        <v>0</v>
      </c>
      <c r="K1091" s="207">
        <f>IF(ISNUMBER(VLOOKUP($B:$B,'IS(과거)'!$A:$F,$2:$2,0)),VLOOKUP($B:$B,'IS(과거)'!$A:$F,$2:$2,0),0)</f>
        <v>0</v>
      </c>
      <c r="L1091" s="207">
        <f>IF(ISNUMBER(VLOOKUP($B:$B,'IS(과거)'!$A:$F,$2:$2,0)),VLOOKUP($B:$B,'IS(과거)'!$A:$F,$2:$2,0),0)</f>
        <v>0</v>
      </c>
      <c r="N1091" s="207">
        <f>IF(ISNUMBER(VLOOKUP($B:$B,'IS(분기)'!$A:$F,$2:$2,0)),VLOOKUP($B:$B,'IS(분기)'!$A:$F,$2:$2,0),0)</f>
        <v>0</v>
      </c>
      <c r="O1091" s="207">
        <f>IF(ISNUMBER(VLOOKUP($B:$B,'IS(분기)'!$A:$F,$2:$2,0)),VLOOKUP($B:$B,'IS(분기)'!$A:$F,$2:$2,0),0)</f>
        <v>0</v>
      </c>
      <c r="P1091" s="207">
        <f>IF(ISNUMBER(VLOOKUP($B:$B,'IS(분기)'!$A:$F,$2:$2,0)),VLOOKUP($B:$B,'IS(분기)'!$A:$F,$2:$2,0),0)</f>
        <v>0</v>
      </c>
      <c r="Q1091" s="207">
        <f>IF(ISNUMBER(VLOOKUP($B:$B,'IS(분기)'!$A:$F,$2:$2,0)),VLOOKUP($B:$B,'IS(분기)'!$A:$F,$2:$2,0),0)</f>
        <v>0</v>
      </c>
      <c r="R1091" s="207">
        <f>IF(ISNUMBER(VLOOKUP($B:$B,'IS(분기)'!$A:$F,$2:$2,0)),VLOOKUP($B:$B,'IS(분기)'!$A:$F,$2:$2,0),0)</f>
        <v>0</v>
      </c>
    </row>
    <row r="1092" spans="1:18" s="192" customFormat="1" ht="12">
      <c r="A1092" s="205">
        <v>128160</v>
      </c>
      <c r="B1092" s="198" t="s">
        <v>16</v>
      </c>
      <c r="C1092" s="217">
        <f>IF(ISNUMBER(VLOOKUP($B:$B,IS!$A:$F,$2:$2,0)),VLOOKUP($B:$B,IS!$A:$F,$2:$2,0),0)</f>
        <v>980449</v>
      </c>
      <c r="D1092" s="217">
        <f>IF(ISNUMBER(VLOOKUP($B:$B,IS!$A:$F,$2:$2,0)),VLOOKUP($B:$B,IS!$A:$F,$2:$2,0),0)</f>
        <v>0</v>
      </c>
      <c r="E1092" s="217">
        <f>IF(ISNUMBER(VLOOKUP($B:$B,IS!$A:$F,$2:$2,0)),VLOOKUP($B:$B,IS!$A:$F,$2:$2,0),0)</f>
        <v>0</v>
      </c>
      <c r="F1092" s="217">
        <f>IF(ISNUMBER(VLOOKUP($B:$B,IS!$A:$F,$2:$2,0)),VLOOKUP($B:$B,IS!$A:$F,$2:$2,0),0)</f>
        <v>0</v>
      </c>
      <c r="G1092" s="217">
        <f>IF(ISNUMBER(VLOOKUP($B:$B,IS!$A:$F,$2:$2,0)),VLOOKUP($B:$B,IS!$A:$F,$2:$2,0),0)</f>
        <v>0</v>
      </c>
      <c r="H1092" s="207">
        <f>IF(ISNUMBER(VLOOKUP($B:$B,'IS(과거)'!$A:$F,$2:$2,0)),VLOOKUP($B:$B,'IS(과거)'!$A:$F,$2:$2,0),0)</f>
        <v>0</v>
      </c>
      <c r="I1092" s="207">
        <f>IF(ISNUMBER(VLOOKUP($B:$B,'IS(과거)'!$A:$F,$2:$2,0)),VLOOKUP($B:$B,'IS(과거)'!$A:$F,$2:$2,0),0)</f>
        <v>0</v>
      </c>
      <c r="J1092" s="207">
        <f>IF(ISNUMBER(VLOOKUP($B:$B,'IS(과거)'!$A:$F,$2:$2,0)),VLOOKUP($B:$B,'IS(과거)'!$A:$F,$2:$2,0),0)</f>
        <v>0</v>
      </c>
      <c r="K1092" s="207">
        <f>IF(ISNUMBER(VLOOKUP($B:$B,'IS(과거)'!$A:$F,$2:$2,0)),VLOOKUP($B:$B,'IS(과거)'!$A:$F,$2:$2,0),0)</f>
        <v>0</v>
      </c>
      <c r="L1092" s="207">
        <f>IF(ISNUMBER(VLOOKUP($B:$B,'IS(과거)'!$A:$F,$2:$2,0)),VLOOKUP($B:$B,'IS(과거)'!$A:$F,$2:$2,0),0)</f>
        <v>0</v>
      </c>
      <c r="N1092" s="207">
        <f>IF(ISNUMBER(VLOOKUP($B:$B,'IS(분기)'!$A:$F,$2:$2,0)),VLOOKUP($B:$B,'IS(분기)'!$A:$F,$2:$2,0),0)</f>
        <v>0</v>
      </c>
      <c r="O1092" s="207">
        <f>IF(ISNUMBER(VLOOKUP($B:$B,'IS(분기)'!$A:$F,$2:$2,0)),VLOOKUP($B:$B,'IS(분기)'!$A:$F,$2:$2,0),0)</f>
        <v>0</v>
      </c>
      <c r="P1092" s="207">
        <f>IF(ISNUMBER(VLOOKUP($B:$B,'IS(분기)'!$A:$F,$2:$2,0)),VLOOKUP($B:$B,'IS(분기)'!$A:$F,$2:$2,0),0)</f>
        <v>0</v>
      </c>
      <c r="Q1092" s="207">
        <f>IF(ISNUMBER(VLOOKUP($B:$B,'IS(분기)'!$A:$F,$2:$2,0)),VLOOKUP($B:$B,'IS(분기)'!$A:$F,$2:$2,0),0)</f>
        <v>0</v>
      </c>
      <c r="R1092" s="207">
        <f>IF(ISNUMBER(VLOOKUP($B:$B,'IS(분기)'!$A:$F,$2:$2,0)),VLOOKUP($B:$B,'IS(분기)'!$A:$F,$2:$2,0),0)</f>
        <v>0</v>
      </c>
    </row>
    <row r="1093" spans="1:18" s="192" customFormat="1" ht="12">
      <c r="A1093" s="205">
        <v>128170</v>
      </c>
      <c r="B1093" s="198" t="s">
        <v>348</v>
      </c>
      <c r="C1093" s="217">
        <f>IF(ISNUMBER(VLOOKUP($B:$B,IS!$A:$F,$2:$2,0)),VLOOKUP($B:$B,IS!$A:$F,$2:$2,0),0)</f>
        <v>0</v>
      </c>
      <c r="D1093" s="217">
        <f>IF(ISNUMBER(VLOOKUP($B:$B,IS!$A:$F,$2:$2,0)),VLOOKUP($B:$B,IS!$A:$F,$2:$2,0),0)</f>
        <v>0</v>
      </c>
      <c r="E1093" s="217">
        <f>IF(ISNUMBER(VLOOKUP($B:$B,IS!$A:$F,$2:$2,0)),VLOOKUP($B:$B,IS!$A:$F,$2:$2,0),0)</f>
        <v>0</v>
      </c>
      <c r="F1093" s="217">
        <f>IF(ISNUMBER(VLOOKUP($B:$B,IS!$A:$F,$2:$2,0)),VLOOKUP($B:$B,IS!$A:$F,$2:$2,0),0)</f>
        <v>0</v>
      </c>
      <c r="G1093" s="217">
        <f>IF(ISNUMBER(VLOOKUP($B:$B,IS!$A:$F,$2:$2,0)),VLOOKUP($B:$B,IS!$A:$F,$2:$2,0),0)</f>
        <v>0</v>
      </c>
      <c r="H1093" s="207">
        <f>IF(ISNUMBER(VLOOKUP($B:$B,'IS(과거)'!$A:$F,$2:$2,0)),VLOOKUP($B:$B,'IS(과거)'!$A:$F,$2:$2,0),0)</f>
        <v>0</v>
      </c>
      <c r="I1093" s="207">
        <f>IF(ISNUMBER(VLOOKUP($B:$B,'IS(과거)'!$A:$F,$2:$2,0)),VLOOKUP($B:$B,'IS(과거)'!$A:$F,$2:$2,0),0)</f>
        <v>0</v>
      </c>
      <c r="J1093" s="207">
        <f>IF(ISNUMBER(VLOOKUP($B:$B,'IS(과거)'!$A:$F,$2:$2,0)),VLOOKUP($B:$B,'IS(과거)'!$A:$F,$2:$2,0),0)</f>
        <v>0</v>
      </c>
      <c r="K1093" s="207">
        <f>IF(ISNUMBER(VLOOKUP($B:$B,'IS(과거)'!$A:$F,$2:$2,0)),VLOOKUP($B:$B,'IS(과거)'!$A:$F,$2:$2,0),0)</f>
        <v>0</v>
      </c>
      <c r="L1093" s="207">
        <f>IF(ISNUMBER(VLOOKUP($B:$B,'IS(과거)'!$A:$F,$2:$2,0)),VLOOKUP($B:$B,'IS(과거)'!$A:$F,$2:$2,0),0)</f>
        <v>0</v>
      </c>
      <c r="N1093" s="207">
        <f>IF(ISNUMBER(VLOOKUP($B:$B,'IS(분기)'!$A:$F,$2:$2,0)),VLOOKUP($B:$B,'IS(분기)'!$A:$F,$2:$2,0),0)</f>
        <v>0</v>
      </c>
      <c r="O1093" s="207">
        <f>IF(ISNUMBER(VLOOKUP($B:$B,'IS(분기)'!$A:$F,$2:$2,0)),VLOOKUP($B:$B,'IS(분기)'!$A:$F,$2:$2,0),0)</f>
        <v>0</v>
      </c>
      <c r="P1093" s="207">
        <f>IF(ISNUMBER(VLOOKUP($B:$B,'IS(분기)'!$A:$F,$2:$2,0)),VLOOKUP($B:$B,'IS(분기)'!$A:$F,$2:$2,0),0)</f>
        <v>0</v>
      </c>
      <c r="Q1093" s="207">
        <f>IF(ISNUMBER(VLOOKUP($B:$B,'IS(분기)'!$A:$F,$2:$2,0)),VLOOKUP($B:$B,'IS(분기)'!$A:$F,$2:$2,0),0)</f>
        <v>0</v>
      </c>
      <c r="R1093" s="207">
        <f>IF(ISNUMBER(VLOOKUP($B:$B,'IS(분기)'!$A:$F,$2:$2,0)),VLOOKUP($B:$B,'IS(분기)'!$A:$F,$2:$2,0),0)</f>
        <v>0</v>
      </c>
    </row>
    <row r="1094" spans="1:18" s="192" customFormat="1" ht="12">
      <c r="A1094" s="205">
        <v>128171</v>
      </c>
      <c r="B1094" s="198" t="s">
        <v>349</v>
      </c>
      <c r="C1094" s="217">
        <f>IF(ISNUMBER(VLOOKUP($B:$B,IS!$A:$F,$2:$2,0)),VLOOKUP($B:$B,IS!$A:$F,$2:$2,0),0)</f>
        <v>0</v>
      </c>
      <c r="D1094" s="217">
        <f>IF(ISNUMBER(VLOOKUP($B:$B,IS!$A:$F,$2:$2,0)),VLOOKUP($B:$B,IS!$A:$F,$2:$2,0),0)</f>
        <v>0</v>
      </c>
      <c r="E1094" s="217">
        <f>IF(ISNUMBER(VLOOKUP($B:$B,IS!$A:$F,$2:$2,0)),VLOOKUP($B:$B,IS!$A:$F,$2:$2,0),0)</f>
        <v>0</v>
      </c>
      <c r="F1094" s="217">
        <f>IF(ISNUMBER(VLOOKUP($B:$B,IS!$A:$F,$2:$2,0)),VLOOKUP($B:$B,IS!$A:$F,$2:$2,0),0)</f>
        <v>0</v>
      </c>
      <c r="G1094" s="217">
        <f>IF(ISNUMBER(VLOOKUP($B:$B,IS!$A:$F,$2:$2,0)),VLOOKUP($B:$B,IS!$A:$F,$2:$2,0),0)</f>
        <v>0</v>
      </c>
      <c r="H1094" s="207">
        <f>IF(ISNUMBER(VLOOKUP($B:$B,'IS(과거)'!$A:$F,$2:$2,0)),VLOOKUP($B:$B,'IS(과거)'!$A:$F,$2:$2,0),0)</f>
        <v>0</v>
      </c>
      <c r="I1094" s="207">
        <f>IF(ISNUMBER(VLOOKUP($B:$B,'IS(과거)'!$A:$F,$2:$2,0)),VLOOKUP($B:$B,'IS(과거)'!$A:$F,$2:$2,0),0)</f>
        <v>0</v>
      </c>
      <c r="J1094" s="207">
        <f>IF(ISNUMBER(VLOOKUP($B:$B,'IS(과거)'!$A:$F,$2:$2,0)),VLOOKUP($B:$B,'IS(과거)'!$A:$F,$2:$2,0),0)</f>
        <v>0</v>
      </c>
      <c r="K1094" s="207">
        <f>IF(ISNUMBER(VLOOKUP($B:$B,'IS(과거)'!$A:$F,$2:$2,0)),VLOOKUP($B:$B,'IS(과거)'!$A:$F,$2:$2,0),0)</f>
        <v>0</v>
      </c>
      <c r="L1094" s="207">
        <f>IF(ISNUMBER(VLOOKUP($B:$B,'IS(과거)'!$A:$F,$2:$2,0)),VLOOKUP($B:$B,'IS(과거)'!$A:$F,$2:$2,0),0)</f>
        <v>0</v>
      </c>
      <c r="N1094" s="207">
        <f>IF(ISNUMBER(VLOOKUP($B:$B,'IS(분기)'!$A:$F,$2:$2,0)),VLOOKUP($B:$B,'IS(분기)'!$A:$F,$2:$2,0),0)</f>
        <v>0</v>
      </c>
      <c r="O1094" s="207">
        <f>IF(ISNUMBER(VLOOKUP($B:$B,'IS(분기)'!$A:$F,$2:$2,0)),VLOOKUP($B:$B,'IS(분기)'!$A:$F,$2:$2,0),0)</f>
        <v>0</v>
      </c>
      <c r="P1094" s="207">
        <f>IF(ISNUMBER(VLOOKUP($B:$B,'IS(분기)'!$A:$F,$2:$2,0)),VLOOKUP($B:$B,'IS(분기)'!$A:$F,$2:$2,0),0)</f>
        <v>0</v>
      </c>
      <c r="Q1094" s="207">
        <f>IF(ISNUMBER(VLOOKUP($B:$B,'IS(분기)'!$A:$F,$2:$2,0)),VLOOKUP($B:$B,'IS(분기)'!$A:$F,$2:$2,0),0)</f>
        <v>0</v>
      </c>
      <c r="R1094" s="207">
        <f>IF(ISNUMBER(VLOOKUP($B:$B,'IS(분기)'!$A:$F,$2:$2,0)),VLOOKUP($B:$B,'IS(분기)'!$A:$F,$2:$2,0),0)</f>
        <v>0</v>
      </c>
    </row>
    <row r="1095" spans="1:18" s="192" customFormat="1" ht="12">
      <c r="A1095" s="205">
        <v>128172</v>
      </c>
      <c r="B1095" s="198" t="s">
        <v>350</v>
      </c>
      <c r="C1095" s="217">
        <f>IF(ISNUMBER(VLOOKUP($B:$B,IS!$A:$F,$2:$2,0)),VLOOKUP($B:$B,IS!$A:$F,$2:$2,0),0)</f>
        <v>0</v>
      </c>
      <c r="D1095" s="217">
        <f>IF(ISNUMBER(VLOOKUP($B:$B,IS!$A:$F,$2:$2,0)),VLOOKUP($B:$B,IS!$A:$F,$2:$2,0),0)</f>
        <v>0</v>
      </c>
      <c r="E1095" s="217">
        <f>IF(ISNUMBER(VLOOKUP($B:$B,IS!$A:$F,$2:$2,0)),VLOOKUP($B:$B,IS!$A:$F,$2:$2,0),0)</f>
        <v>0</v>
      </c>
      <c r="F1095" s="217">
        <f>IF(ISNUMBER(VLOOKUP($B:$B,IS!$A:$F,$2:$2,0)),VLOOKUP($B:$B,IS!$A:$F,$2:$2,0),0)</f>
        <v>0</v>
      </c>
      <c r="G1095" s="217">
        <f>IF(ISNUMBER(VLOOKUP($B:$B,IS!$A:$F,$2:$2,0)),VLOOKUP($B:$B,IS!$A:$F,$2:$2,0),0)</f>
        <v>0</v>
      </c>
      <c r="H1095" s="207">
        <f>IF(ISNUMBER(VLOOKUP($B:$B,'IS(과거)'!$A:$F,$2:$2,0)),VLOOKUP($B:$B,'IS(과거)'!$A:$F,$2:$2,0),0)</f>
        <v>0</v>
      </c>
      <c r="I1095" s="207">
        <f>IF(ISNUMBER(VLOOKUP($B:$B,'IS(과거)'!$A:$F,$2:$2,0)),VLOOKUP($B:$B,'IS(과거)'!$A:$F,$2:$2,0),0)</f>
        <v>0</v>
      </c>
      <c r="J1095" s="207">
        <f>IF(ISNUMBER(VLOOKUP($B:$B,'IS(과거)'!$A:$F,$2:$2,0)),VLOOKUP($B:$B,'IS(과거)'!$A:$F,$2:$2,0),0)</f>
        <v>0</v>
      </c>
      <c r="K1095" s="207">
        <f>IF(ISNUMBER(VLOOKUP($B:$B,'IS(과거)'!$A:$F,$2:$2,0)),VLOOKUP($B:$B,'IS(과거)'!$A:$F,$2:$2,0),0)</f>
        <v>0</v>
      </c>
      <c r="L1095" s="207">
        <f>IF(ISNUMBER(VLOOKUP($B:$B,'IS(과거)'!$A:$F,$2:$2,0)),VLOOKUP($B:$B,'IS(과거)'!$A:$F,$2:$2,0),0)</f>
        <v>0</v>
      </c>
      <c r="N1095" s="207">
        <f>IF(ISNUMBER(VLOOKUP($B:$B,'IS(분기)'!$A:$F,$2:$2,0)),VLOOKUP($B:$B,'IS(분기)'!$A:$F,$2:$2,0),0)</f>
        <v>0</v>
      </c>
      <c r="O1095" s="207">
        <f>IF(ISNUMBER(VLOOKUP($B:$B,'IS(분기)'!$A:$F,$2:$2,0)),VLOOKUP($B:$B,'IS(분기)'!$A:$F,$2:$2,0),0)</f>
        <v>0</v>
      </c>
      <c r="P1095" s="207">
        <f>IF(ISNUMBER(VLOOKUP($B:$B,'IS(분기)'!$A:$F,$2:$2,0)),VLOOKUP($B:$B,'IS(분기)'!$A:$F,$2:$2,0),0)</f>
        <v>0</v>
      </c>
      <c r="Q1095" s="207">
        <f>IF(ISNUMBER(VLOOKUP($B:$B,'IS(분기)'!$A:$F,$2:$2,0)),VLOOKUP($B:$B,'IS(분기)'!$A:$F,$2:$2,0),0)</f>
        <v>0</v>
      </c>
      <c r="R1095" s="207">
        <f>IF(ISNUMBER(VLOOKUP($B:$B,'IS(분기)'!$A:$F,$2:$2,0)),VLOOKUP($B:$B,'IS(분기)'!$A:$F,$2:$2,0),0)</f>
        <v>0</v>
      </c>
    </row>
    <row r="1096" spans="1:18" s="192" customFormat="1" ht="12">
      <c r="A1096" s="205">
        <v>128173</v>
      </c>
      <c r="B1096" s="198" t="s">
        <v>351</v>
      </c>
      <c r="C1096" s="217">
        <f>IF(ISNUMBER(VLOOKUP($B:$B,IS!$A:$F,$2:$2,0)),VLOOKUP($B:$B,IS!$A:$F,$2:$2,0),0)</f>
        <v>0</v>
      </c>
      <c r="D1096" s="217">
        <f>IF(ISNUMBER(VLOOKUP($B:$B,IS!$A:$F,$2:$2,0)),VLOOKUP($B:$B,IS!$A:$F,$2:$2,0),0)</f>
        <v>0</v>
      </c>
      <c r="E1096" s="217">
        <f>IF(ISNUMBER(VLOOKUP($B:$B,IS!$A:$F,$2:$2,0)),VLOOKUP($B:$B,IS!$A:$F,$2:$2,0),0)</f>
        <v>0</v>
      </c>
      <c r="F1096" s="217">
        <f>IF(ISNUMBER(VLOOKUP($B:$B,IS!$A:$F,$2:$2,0)),VLOOKUP($B:$B,IS!$A:$F,$2:$2,0),0)</f>
        <v>0</v>
      </c>
      <c r="G1096" s="217">
        <f>IF(ISNUMBER(VLOOKUP($B:$B,IS!$A:$F,$2:$2,0)),VLOOKUP($B:$B,IS!$A:$F,$2:$2,0),0)</f>
        <v>0</v>
      </c>
      <c r="H1096" s="207">
        <f>IF(ISNUMBER(VLOOKUP($B:$B,'IS(과거)'!$A:$F,$2:$2,0)),VLOOKUP($B:$B,'IS(과거)'!$A:$F,$2:$2,0),0)</f>
        <v>0</v>
      </c>
      <c r="I1096" s="207">
        <f>IF(ISNUMBER(VLOOKUP($B:$B,'IS(과거)'!$A:$F,$2:$2,0)),VLOOKUP($B:$B,'IS(과거)'!$A:$F,$2:$2,0),0)</f>
        <v>0</v>
      </c>
      <c r="J1096" s="207">
        <f>IF(ISNUMBER(VLOOKUP($B:$B,'IS(과거)'!$A:$F,$2:$2,0)),VLOOKUP($B:$B,'IS(과거)'!$A:$F,$2:$2,0),0)</f>
        <v>0</v>
      </c>
      <c r="K1096" s="207">
        <f>IF(ISNUMBER(VLOOKUP($B:$B,'IS(과거)'!$A:$F,$2:$2,0)),VLOOKUP($B:$B,'IS(과거)'!$A:$F,$2:$2,0),0)</f>
        <v>0</v>
      </c>
      <c r="L1096" s="207">
        <f>IF(ISNUMBER(VLOOKUP($B:$B,'IS(과거)'!$A:$F,$2:$2,0)),VLOOKUP($B:$B,'IS(과거)'!$A:$F,$2:$2,0),0)</f>
        <v>0</v>
      </c>
      <c r="N1096" s="207">
        <f>IF(ISNUMBER(VLOOKUP($B:$B,'IS(분기)'!$A:$F,$2:$2,0)),VLOOKUP($B:$B,'IS(분기)'!$A:$F,$2:$2,0),0)</f>
        <v>0</v>
      </c>
      <c r="O1096" s="207">
        <f>IF(ISNUMBER(VLOOKUP($B:$B,'IS(분기)'!$A:$F,$2:$2,0)),VLOOKUP($B:$B,'IS(분기)'!$A:$F,$2:$2,0),0)</f>
        <v>0</v>
      </c>
      <c r="P1096" s="207">
        <f>IF(ISNUMBER(VLOOKUP($B:$B,'IS(분기)'!$A:$F,$2:$2,0)),VLOOKUP($B:$B,'IS(분기)'!$A:$F,$2:$2,0),0)</f>
        <v>0</v>
      </c>
      <c r="Q1096" s="207">
        <f>IF(ISNUMBER(VLOOKUP($B:$B,'IS(분기)'!$A:$F,$2:$2,0)),VLOOKUP($B:$B,'IS(분기)'!$A:$F,$2:$2,0),0)</f>
        <v>0</v>
      </c>
      <c r="R1096" s="207">
        <f>IF(ISNUMBER(VLOOKUP($B:$B,'IS(분기)'!$A:$F,$2:$2,0)),VLOOKUP($B:$B,'IS(분기)'!$A:$F,$2:$2,0),0)</f>
        <v>0</v>
      </c>
    </row>
    <row r="1097" spans="1:18" s="192" customFormat="1" ht="12">
      <c r="A1097" s="205">
        <v>128174</v>
      </c>
      <c r="B1097" s="198" t="s">
        <v>352</v>
      </c>
      <c r="C1097" s="217">
        <f>IF(ISNUMBER(VLOOKUP($B:$B,IS!$A:$F,$2:$2,0)),VLOOKUP($B:$B,IS!$A:$F,$2:$2,0),0)</f>
        <v>0</v>
      </c>
      <c r="D1097" s="217">
        <f>IF(ISNUMBER(VLOOKUP($B:$B,IS!$A:$F,$2:$2,0)),VLOOKUP($B:$B,IS!$A:$F,$2:$2,0),0)</f>
        <v>0</v>
      </c>
      <c r="E1097" s="217">
        <f>IF(ISNUMBER(VLOOKUP($B:$B,IS!$A:$F,$2:$2,0)),VLOOKUP($B:$B,IS!$A:$F,$2:$2,0),0)</f>
        <v>0</v>
      </c>
      <c r="F1097" s="217">
        <f>IF(ISNUMBER(VLOOKUP($B:$B,IS!$A:$F,$2:$2,0)),VLOOKUP($B:$B,IS!$A:$F,$2:$2,0),0)</f>
        <v>0</v>
      </c>
      <c r="G1097" s="217">
        <f>IF(ISNUMBER(VLOOKUP($B:$B,IS!$A:$F,$2:$2,0)),VLOOKUP($B:$B,IS!$A:$F,$2:$2,0),0)</f>
        <v>0</v>
      </c>
      <c r="H1097" s="207">
        <f>IF(ISNUMBER(VLOOKUP($B:$B,'IS(과거)'!$A:$F,$2:$2,0)),VLOOKUP($B:$B,'IS(과거)'!$A:$F,$2:$2,0),0)</f>
        <v>0</v>
      </c>
      <c r="I1097" s="207">
        <f>IF(ISNUMBER(VLOOKUP($B:$B,'IS(과거)'!$A:$F,$2:$2,0)),VLOOKUP($B:$B,'IS(과거)'!$A:$F,$2:$2,0),0)</f>
        <v>0</v>
      </c>
      <c r="J1097" s="207">
        <f>IF(ISNUMBER(VLOOKUP($B:$B,'IS(과거)'!$A:$F,$2:$2,0)),VLOOKUP($B:$B,'IS(과거)'!$A:$F,$2:$2,0),0)</f>
        <v>0</v>
      </c>
      <c r="K1097" s="207">
        <f>IF(ISNUMBER(VLOOKUP($B:$B,'IS(과거)'!$A:$F,$2:$2,0)),VLOOKUP($B:$B,'IS(과거)'!$A:$F,$2:$2,0),0)</f>
        <v>0</v>
      </c>
      <c r="L1097" s="207">
        <f>IF(ISNUMBER(VLOOKUP($B:$B,'IS(과거)'!$A:$F,$2:$2,0)),VLOOKUP($B:$B,'IS(과거)'!$A:$F,$2:$2,0),0)</f>
        <v>0</v>
      </c>
      <c r="N1097" s="207">
        <f>IF(ISNUMBER(VLOOKUP($B:$B,'IS(분기)'!$A:$F,$2:$2,0)),VLOOKUP($B:$B,'IS(분기)'!$A:$F,$2:$2,0),0)</f>
        <v>0</v>
      </c>
      <c r="O1097" s="207">
        <f>IF(ISNUMBER(VLOOKUP($B:$B,'IS(분기)'!$A:$F,$2:$2,0)),VLOOKUP($B:$B,'IS(분기)'!$A:$F,$2:$2,0),0)</f>
        <v>0</v>
      </c>
      <c r="P1097" s="207">
        <f>IF(ISNUMBER(VLOOKUP($B:$B,'IS(분기)'!$A:$F,$2:$2,0)),VLOOKUP($B:$B,'IS(분기)'!$A:$F,$2:$2,0),0)</f>
        <v>0</v>
      </c>
      <c r="Q1097" s="207">
        <f>IF(ISNUMBER(VLOOKUP($B:$B,'IS(분기)'!$A:$F,$2:$2,0)),VLOOKUP($B:$B,'IS(분기)'!$A:$F,$2:$2,0),0)</f>
        <v>0</v>
      </c>
      <c r="R1097" s="207">
        <f>IF(ISNUMBER(VLOOKUP($B:$B,'IS(분기)'!$A:$F,$2:$2,0)),VLOOKUP($B:$B,'IS(분기)'!$A:$F,$2:$2,0),0)</f>
        <v>0</v>
      </c>
    </row>
    <row r="1098" spans="1:18" s="192" customFormat="1" ht="12">
      <c r="A1098" s="205">
        <v>128175</v>
      </c>
      <c r="B1098" s="198" t="s">
        <v>353</v>
      </c>
      <c r="C1098" s="217">
        <f>IF(ISNUMBER(VLOOKUP($B:$B,IS!$A:$F,$2:$2,0)),VLOOKUP($B:$B,IS!$A:$F,$2:$2,0),0)</f>
        <v>0</v>
      </c>
      <c r="D1098" s="217">
        <f>IF(ISNUMBER(VLOOKUP($B:$B,IS!$A:$F,$2:$2,0)),VLOOKUP($B:$B,IS!$A:$F,$2:$2,0),0)</f>
        <v>0</v>
      </c>
      <c r="E1098" s="217">
        <f>IF(ISNUMBER(VLOOKUP($B:$B,IS!$A:$F,$2:$2,0)),VLOOKUP($B:$B,IS!$A:$F,$2:$2,0),0)</f>
        <v>0</v>
      </c>
      <c r="F1098" s="217">
        <f>IF(ISNUMBER(VLOOKUP($B:$B,IS!$A:$F,$2:$2,0)),VLOOKUP($B:$B,IS!$A:$F,$2:$2,0),0)</f>
        <v>0</v>
      </c>
      <c r="G1098" s="217">
        <f>IF(ISNUMBER(VLOOKUP($B:$B,IS!$A:$F,$2:$2,0)),VLOOKUP($B:$B,IS!$A:$F,$2:$2,0),0)</f>
        <v>0</v>
      </c>
      <c r="H1098" s="207">
        <f>IF(ISNUMBER(VLOOKUP($B:$B,'IS(과거)'!$A:$F,$2:$2,0)),VLOOKUP($B:$B,'IS(과거)'!$A:$F,$2:$2,0),0)</f>
        <v>0</v>
      </c>
      <c r="I1098" s="207">
        <f>IF(ISNUMBER(VLOOKUP($B:$B,'IS(과거)'!$A:$F,$2:$2,0)),VLOOKUP($B:$B,'IS(과거)'!$A:$F,$2:$2,0),0)</f>
        <v>0</v>
      </c>
      <c r="J1098" s="207">
        <f>IF(ISNUMBER(VLOOKUP($B:$B,'IS(과거)'!$A:$F,$2:$2,0)),VLOOKUP($B:$B,'IS(과거)'!$A:$F,$2:$2,0),0)</f>
        <v>0</v>
      </c>
      <c r="K1098" s="207">
        <f>IF(ISNUMBER(VLOOKUP($B:$B,'IS(과거)'!$A:$F,$2:$2,0)),VLOOKUP($B:$B,'IS(과거)'!$A:$F,$2:$2,0),0)</f>
        <v>0</v>
      </c>
      <c r="L1098" s="207">
        <f>IF(ISNUMBER(VLOOKUP($B:$B,'IS(과거)'!$A:$F,$2:$2,0)),VLOOKUP($B:$B,'IS(과거)'!$A:$F,$2:$2,0),0)</f>
        <v>0</v>
      </c>
      <c r="N1098" s="207">
        <f>IF(ISNUMBER(VLOOKUP($B:$B,'IS(분기)'!$A:$F,$2:$2,0)),VLOOKUP($B:$B,'IS(분기)'!$A:$F,$2:$2,0),0)</f>
        <v>0</v>
      </c>
      <c r="O1098" s="207">
        <f>IF(ISNUMBER(VLOOKUP($B:$B,'IS(분기)'!$A:$F,$2:$2,0)),VLOOKUP($B:$B,'IS(분기)'!$A:$F,$2:$2,0),0)</f>
        <v>0</v>
      </c>
      <c r="P1098" s="207">
        <f>IF(ISNUMBER(VLOOKUP($B:$B,'IS(분기)'!$A:$F,$2:$2,0)),VLOOKUP($B:$B,'IS(분기)'!$A:$F,$2:$2,0),0)</f>
        <v>0</v>
      </c>
      <c r="Q1098" s="207">
        <f>IF(ISNUMBER(VLOOKUP($B:$B,'IS(분기)'!$A:$F,$2:$2,0)),VLOOKUP($B:$B,'IS(분기)'!$A:$F,$2:$2,0),0)</f>
        <v>0</v>
      </c>
      <c r="R1098" s="207">
        <f>IF(ISNUMBER(VLOOKUP($B:$B,'IS(분기)'!$A:$F,$2:$2,0)),VLOOKUP($B:$B,'IS(분기)'!$A:$F,$2:$2,0),0)</f>
        <v>0</v>
      </c>
    </row>
    <row r="1099" spans="1:18" s="192" customFormat="1" ht="12">
      <c r="A1099" s="205">
        <v>128176</v>
      </c>
      <c r="B1099" s="198" t="s">
        <v>354</v>
      </c>
      <c r="C1099" s="217">
        <f>IF(ISNUMBER(VLOOKUP($B:$B,IS!$A:$F,$2:$2,0)),VLOOKUP($B:$B,IS!$A:$F,$2:$2,0),0)</f>
        <v>0</v>
      </c>
      <c r="D1099" s="217">
        <f>IF(ISNUMBER(VLOOKUP($B:$B,IS!$A:$F,$2:$2,0)),VLOOKUP($B:$B,IS!$A:$F,$2:$2,0),0)</f>
        <v>0</v>
      </c>
      <c r="E1099" s="217">
        <f>IF(ISNUMBER(VLOOKUP($B:$B,IS!$A:$F,$2:$2,0)),VLOOKUP($B:$B,IS!$A:$F,$2:$2,0),0)</f>
        <v>0</v>
      </c>
      <c r="F1099" s="217">
        <f>IF(ISNUMBER(VLOOKUP($B:$B,IS!$A:$F,$2:$2,0)),VLOOKUP($B:$B,IS!$A:$F,$2:$2,0),0)</f>
        <v>0</v>
      </c>
      <c r="G1099" s="217">
        <f>IF(ISNUMBER(VLOOKUP($B:$B,IS!$A:$F,$2:$2,0)),VLOOKUP($B:$B,IS!$A:$F,$2:$2,0),0)</f>
        <v>0</v>
      </c>
      <c r="H1099" s="207">
        <f>IF(ISNUMBER(VLOOKUP($B:$B,'IS(과거)'!$A:$F,$2:$2,0)),VLOOKUP($B:$B,'IS(과거)'!$A:$F,$2:$2,0),0)</f>
        <v>0</v>
      </c>
      <c r="I1099" s="207">
        <f>IF(ISNUMBER(VLOOKUP($B:$B,'IS(과거)'!$A:$F,$2:$2,0)),VLOOKUP($B:$B,'IS(과거)'!$A:$F,$2:$2,0),0)</f>
        <v>0</v>
      </c>
      <c r="J1099" s="207">
        <f>IF(ISNUMBER(VLOOKUP($B:$B,'IS(과거)'!$A:$F,$2:$2,0)),VLOOKUP($B:$B,'IS(과거)'!$A:$F,$2:$2,0),0)</f>
        <v>0</v>
      </c>
      <c r="K1099" s="207">
        <f>IF(ISNUMBER(VLOOKUP($B:$B,'IS(과거)'!$A:$F,$2:$2,0)),VLOOKUP($B:$B,'IS(과거)'!$A:$F,$2:$2,0),0)</f>
        <v>0</v>
      </c>
      <c r="L1099" s="207">
        <f>IF(ISNUMBER(VLOOKUP($B:$B,'IS(과거)'!$A:$F,$2:$2,0)),VLOOKUP($B:$B,'IS(과거)'!$A:$F,$2:$2,0),0)</f>
        <v>0</v>
      </c>
      <c r="N1099" s="207">
        <f>IF(ISNUMBER(VLOOKUP($B:$B,'IS(분기)'!$A:$F,$2:$2,0)),VLOOKUP($B:$B,'IS(분기)'!$A:$F,$2:$2,0),0)</f>
        <v>0</v>
      </c>
      <c r="O1099" s="207">
        <f>IF(ISNUMBER(VLOOKUP($B:$B,'IS(분기)'!$A:$F,$2:$2,0)),VLOOKUP($B:$B,'IS(분기)'!$A:$F,$2:$2,0),0)</f>
        <v>0</v>
      </c>
      <c r="P1099" s="207">
        <f>IF(ISNUMBER(VLOOKUP($B:$B,'IS(분기)'!$A:$F,$2:$2,0)),VLOOKUP($B:$B,'IS(분기)'!$A:$F,$2:$2,0),0)</f>
        <v>0</v>
      </c>
      <c r="Q1099" s="207">
        <f>IF(ISNUMBER(VLOOKUP($B:$B,'IS(분기)'!$A:$F,$2:$2,0)),VLOOKUP($B:$B,'IS(분기)'!$A:$F,$2:$2,0),0)</f>
        <v>0</v>
      </c>
      <c r="R1099" s="207">
        <f>IF(ISNUMBER(VLOOKUP($B:$B,'IS(분기)'!$A:$F,$2:$2,0)),VLOOKUP($B:$B,'IS(분기)'!$A:$F,$2:$2,0),0)</f>
        <v>0</v>
      </c>
    </row>
    <row r="1100" spans="1:18" s="192" customFormat="1" ht="12">
      <c r="A1100" s="205">
        <v>128177</v>
      </c>
      <c r="B1100" s="198" t="s">
        <v>355</v>
      </c>
      <c r="C1100" s="217">
        <f>IF(ISNUMBER(VLOOKUP($B:$B,IS!$A:$F,$2:$2,0)),VLOOKUP($B:$B,IS!$A:$F,$2:$2,0),0)</f>
        <v>0</v>
      </c>
      <c r="D1100" s="217">
        <f>IF(ISNUMBER(VLOOKUP($B:$B,IS!$A:$F,$2:$2,0)),VLOOKUP($B:$B,IS!$A:$F,$2:$2,0),0)</f>
        <v>0</v>
      </c>
      <c r="E1100" s="217">
        <f>IF(ISNUMBER(VLOOKUP($B:$B,IS!$A:$F,$2:$2,0)),VLOOKUP($B:$B,IS!$A:$F,$2:$2,0),0)</f>
        <v>0</v>
      </c>
      <c r="F1100" s="217">
        <f>IF(ISNUMBER(VLOOKUP($B:$B,IS!$A:$F,$2:$2,0)),VLOOKUP($B:$B,IS!$A:$F,$2:$2,0),0)</f>
        <v>0</v>
      </c>
      <c r="G1100" s="217">
        <f>IF(ISNUMBER(VLOOKUP($B:$B,IS!$A:$F,$2:$2,0)),VLOOKUP($B:$B,IS!$A:$F,$2:$2,0),0)</f>
        <v>0</v>
      </c>
      <c r="H1100" s="207">
        <f>IF(ISNUMBER(VLOOKUP($B:$B,'IS(과거)'!$A:$F,$2:$2,0)),VLOOKUP($B:$B,'IS(과거)'!$A:$F,$2:$2,0),0)</f>
        <v>0</v>
      </c>
      <c r="I1100" s="207">
        <f>IF(ISNUMBER(VLOOKUP($B:$B,'IS(과거)'!$A:$F,$2:$2,0)),VLOOKUP($B:$B,'IS(과거)'!$A:$F,$2:$2,0),0)</f>
        <v>0</v>
      </c>
      <c r="J1100" s="207">
        <f>IF(ISNUMBER(VLOOKUP($B:$B,'IS(과거)'!$A:$F,$2:$2,0)),VLOOKUP($B:$B,'IS(과거)'!$A:$F,$2:$2,0),0)</f>
        <v>0</v>
      </c>
      <c r="K1100" s="207">
        <f>IF(ISNUMBER(VLOOKUP($B:$B,'IS(과거)'!$A:$F,$2:$2,0)),VLOOKUP($B:$B,'IS(과거)'!$A:$F,$2:$2,0),0)</f>
        <v>0</v>
      </c>
      <c r="L1100" s="207">
        <f>IF(ISNUMBER(VLOOKUP($B:$B,'IS(과거)'!$A:$F,$2:$2,0)),VLOOKUP($B:$B,'IS(과거)'!$A:$F,$2:$2,0),0)</f>
        <v>0</v>
      </c>
      <c r="N1100" s="207">
        <f>IF(ISNUMBER(VLOOKUP($B:$B,'IS(분기)'!$A:$F,$2:$2,0)),VLOOKUP($B:$B,'IS(분기)'!$A:$F,$2:$2,0),0)</f>
        <v>0</v>
      </c>
      <c r="O1100" s="207">
        <f>IF(ISNUMBER(VLOOKUP($B:$B,'IS(분기)'!$A:$F,$2:$2,0)),VLOOKUP($B:$B,'IS(분기)'!$A:$F,$2:$2,0),0)</f>
        <v>0</v>
      </c>
      <c r="P1100" s="207">
        <f>IF(ISNUMBER(VLOOKUP($B:$B,'IS(분기)'!$A:$F,$2:$2,0)),VLOOKUP($B:$B,'IS(분기)'!$A:$F,$2:$2,0),0)</f>
        <v>0</v>
      </c>
      <c r="Q1100" s="207">
        <f>IF(ISNUMBER(VLOOKUP($B:$B,'IS(분기)'!$A:$F,$2:$2,0)),VLOOKUP($B:$B,'IS(분기)'!$A:$F,$2:$2,0),0)</f>
        <v>0</v>
      </c>
      <c r="R1100" s="207">
        <f>IF(ISNUMBER(VLOOKUP($B:$B,'IS(분기)'!$A:$F,$2:$2,0)),VLOOKUP($B:$B,'IS(분기)'!$A:$F,$2:$2,0),0)</f>
        <v>0</v>
      </c>
    </row>
    <row r="1101" spans="1:18" s="192" customFormat="1" ht="12">
      <c r="A1101" s="205">
        <v>128178</v>
      </c>
      <c r="B1101" s="198" t="s">
        <v>356</v>
      </c>
      <c r="C1101" s="217">
        <f>IF(ISNUMBER(VLOOKUP($B:$B,IS!$A:$F,$2:$2,0)),VLOOKUP($B:$B,IS!$A:$F,$2:$2,0),0)</f>
        <v>0</v>
      </c>
      <c r="D1101" s="217">
        <f>IF(ISNUMBER(VLOOKUP($B:$B,IS!$A:$F,$2:$2,0)),VLOOKUP($B:$B,IS!$A:$F,$2:$2,0),0)</f>
        <v>0</v>
      </c>
      <c r="E1101" s="217">
        <f>IF(ISNUMBER(VLOOKUP($B:$B,IS!$A:$F,$2:$2,0)),VLOOKUP($B:$B,IS!$A:$F,$2:$2,0),0)</f>
        <v>0</v>
      </c>
      <c r="F1101" s="217">
        <f>IF(ISNUMBER(VLOOKUP($B:$B,IS!$A:$F,$2:$2,0)),VLOOKUP($B:$B,IS!$A:$F,$2:$2,0),0)</f>
        <v>0</v>
      </c>
      <c r="G1101" s="217">
        <f>IF(ISNUMBER(VLOOKUP($B:$B,IS!$A:$F,$2:$2,0)),VLOOKUP($B:$B,IS!$A:$F,$2:$2,0),0)</f>
        <v>0</v>
      </c>
      <c r="H1101" s="207">
        <f>IF(ISNUMBER(VLOOKUP($B:$B,'IS(과거)'!$A:$F,$2:$2,0)),VLOOKUP($B:$B,'IS(과거)'!$A:$F,$2:$2,0),0)</f>
        <v>0</v>
      </c>
      <c r="I1101" s="207">
        <f>IF(ISNUMBER(VLOOKUP($B:$B,'IS(과거)'!$A:$F,$2:$2,0)),VLOOKUP($B:$B,'IS(과거)'!$A:$F,$2:$2,0),0)</f>
        <v>0</v>
      </c>
      <c r="J1101" s="207">
        <f>IF(ISNUMBER(VLOOKUP($B:$B,'IS(과거)'!$A:$F,$2:$2,0)),VLOOKUP($B:$B,'IS(과거)'!$A:$F,$2:$2,0),0)</f>
        <v>0</v>
      </c>
      <c r="K1101" s="207">
        <f>IF(ISNUMBER(VLOOKUP($B:$B,'IS(과거)'!$A:$F,$2:$2,0)),VLOOKUP($B:$B,'IS(과거)'!$A:$F,$2:$2,0),0)</f>
        <v>0</v>
      </c>
      <c r="L1101" s="207">
        <f>IF(ISNUMBER(VLOOKUP($B:$B,'IS(과거)'!$A:$F,$2:$2,0)),VLOOKUP($B:$B,'IS(과거)'!$A:$F,$2:$2,0),0)</f>
        <v>0</v>
      </c>
      <c r="N1101" s="207">
        <f>IF(ISNUMBER(VLOOKUP($B:$B,'IS(분기)'!$A:$F,$2:$2,0)),VLOOKUP($B:$B,'IS(분기)'!$A:$F,$2:$2,0),0)</f>
        <v>0</v>
      </c>
      <c r="O1101" s="207">
        <f>IF(ISNUMBER(VLOOKUP($B:$B,'IS(분기)'!$A:$F,$2:$2,0)),VLOOKUP($B:$B,'IS(분기)'!$A:$F,$2:$2,0),0)</f>
        <v>0</v>
      </c>
      <c r="P1101" s="207">
        <f>IF(ISNUMBER(VLOOKUP($B:$B,'IS(분기)'!$A:$F,$2:$2,0)),VLOOKUP($B:$B,'IS(분기)'!$A:$F,$2:$2,0),0)</f>
        <v>0</v>
      </c>
      <c r="Q1101" s="207">
        <f>IF(ISNUMBER(VLOOKUP($B:$B,'IS(분기)'!$A:$F,$2:$2,0)),VLOOKUP($B:$B,'IS(분기)'!$A:$F,$2:$2,0),0)</f>
        <v>0</v>
      </c>
      <c r="R1101" s="207">
        <f>IF(ISNUMBER(VLOOKUP($B:$B,'IS(분기)'!$A:$F,$2:$2,0)),VLOOKUP($B:$B,'IS(분기)'!$A:$F,$2:$2,0),0)</f>
        <v>0</v>
      </c>
    </row>
    <row r="1102" spans="1:18" s="192" customFormat="1" ht="12">
      <c r="A1102" s="205">
        <v>128179</v>
      </c>
      <c r="B1102" s="198" t="s">
        <v>357</v>
      </c>
      <c r="C1102" s="217">
        <f>IF(ISNUMBER(VLOOKUP($B:$B,IS!$A:$F,$2:$2,0)),VLOOKUP($B:$B,IS!$A:$F,$2:$2,0),0)</f>
        <v>0</v>
      </c>
      <c r="D1102" s="217">
        <f>IF(ISNUMBER(VLOOKUP($B:$B,IS!$A:$F,$2:$2,0)),VLOOKUP($B:$B,IS!$A:$F,$2:$2,0),0)</f>
        <v>0</v>
      </c>
      <c r="E1102" s="217">
        <f>IF(ISNUMBER(VLOOKUP($B:$B,IS!$A:$F,$2:$2,0)),VLOOKUP($B:$B,IS!$A:$F,$2:$2,0),0)</f>
        <v>0</v>
      </c>
      <c r="F1102" s="217">
        <f>IF(ISNUMBER(VLOOKUP($B:$B,IS!$A:$F,$2:$2,0)),VLOOKUP($B:$B,IS!$A:$F,$2:$2,0),0)</f>
        <v>0</v>
      </c>
      <c r="G1102" s="217">
        <f>IF(ISNUMBER(VLOOKUP($B:$B,IS!$A:$F,$2:$2,0)),VLOOKUP($B:$B,IS!$A:$F,$2:$2,0),0)</f>
        <v>0</v>
      </c>
      <c r="H1102" s="207">
        <f>IF(ISNUMBER(VLOOKUP($B:$B,'IS(과거)'!$A:$F,$2:$2,0)),VLOOKUP($B:$B,'IS(과거)'!$A:$F,$2:$2,0),0)</f>
        <v>0</v>
      </c>
      <c r="I1102" s="207">
        <f>IF(ISNUMBER(VLOOKUP($B:$B,'IS(과거)'!$A:$F,$2:$2,0)),VLOOKUP($B:$B,'IS(과거)'!$A:$F,$2:$2,0),0)</f>
        <v>0</v>
      </c>
      <c r="J1102" s="207">
        <f>IF(ISNUMBER(VLOOKUP($B:$B,'IS(과거)'!$A:$F,$2:$2,0)),VLOOKUP($B:$B,'IS(과거)'!$A:$F,$2:$2,0),0)</f>
        <v>0</v>
      </c>
      <c r="K1102" s="207">
        <f>IF(ISNUMBER(VLOOKUP($B:$B,'IS(과거)'!$A:$F,$2:$2,0)),VLOOKUP($B:$B,'IS(과거)'!$A:$F,$2:$2,0),0)</f>
        <v>0</v>
      </c>
      <c r="L1102" s="207">
        <f>IF(ISNUMBER(VLOOKUP($B:$B,'IS(과거)'!$A:$F,$2:$2,0)),VLOOKUP($B:$B,'IS(과거)'!$A:$F,$2:$2,0),0)</f>
        <v>0</v>
      </c>
      <c r="N1102" s="207">
        <f>IF(ISNUMBER(VLOOKUP($B:$B,'IS(분기)'!$A:$F,$2:$2,0)),VLOOKUP($B:$B,'IS(분기)'!$A:$F,$2:$2,0),0)</f>
        <v>0</v>
      </c>
      <c r="O1102" s="207">
        <f>IF(ISNUMBER(VLOOKUP($B:$B,'IS(분기)'!$A:$F,$2:$2,0)),VLOOKUP($B:$B,'IS(분기)'!$A:$F,$2:$2,0),0)</f>
        <v>0</v>
      </c>
      <c r="P1102" s="207">
        <f>IF(ISNUMBER(VLOOKUP($B:$B,'IS(분기)'!$A:$F,$2:$2,0)),VLOOKUP($B:$B,'IS(분기)'!$A:$F,$2:$2,0),0)</f>
        <v>0</v>
      </c>
      <c r="Q1102" s="207">
        <f>IF(ISNUMBER(VLOOKUP($B:$B,'IS(분기)'!$A:$F,$2:$2,0)),VLOOKUP($B:$B,'IS(분기)'!$A:$F,$2:$2,0),0)</f>
        <v>0</v>
      </c>
      <c r="R1102" s="207">
        <f>IF(ISNUMBER(VLOOKUP($B:$B,'IS(분기)'!$A:$F,$2:$2,0)),VLOOKUP($B:$B,'IS(분기)'!$A:$F,$2:$2,0),0)</f>
        <v>0</v>
      </c>
    </row>
    <row r="1103" spans="1:18" s="192" customFormat="1" ht="12">
      <c r="A1103" s="205">
        <v>128180</v>
      </c>
      <c r="B1103" s="198" t="s">
        <v>358</v>
      </c>
      <c r="C1103" s="217">
        <f>IF(ISNUMBER(VLOOKUP($B:$B,IS!$A:$F,$2:$2,0)),VLOOKUP($B:$B,IS!$A:$F,$2:$2,0),0)</f>
        <v>0</v>
      </c>
      <c r="D1103" s="217">
        <f>IF(ISNUMBER(VLOOKUP($B:$B,IS!$A:$F,$2:$2,0)),VLOOKUP($B:$B,IS!$A:$F,$2:$2,0),0)</f>
        <v>0</v>
      </c>
      <c r="E1103" s="217">
        <f>IF(ISNUMBER(VLOOKUP($B:$B,IS!$A:$F,$2:$2,0)),VLOOKUP($B:$B,IS!$A:$F,$2:$2,0),0)</f>
        <v>0</v>
      </c>
      <c r="F1103" s="217">
        <f>IF(ISNUMBER(VLOOKUP($B:$B,IS!$A:$F,$2:$2,0)),VLOOKUP($B:$B,IS!$A:$F,$2:$2,0),0)</f>
        <v>0</v>
      </c>
      <c r="G1103" s="217">
        <f>IF(ISNUMBER(VLOOKUP($B:$B,IS!$A:$F,$2:$2,0)),VLOOKUP($B:$B,IS!$A:$F,$2:$2,0),0)</f>
        <v>0</v>
      </c>
      <c r="H1103" s="207">
        <f>IF(ISNUMBER(VLOOKUP($B:$B,'IS(과거)'!$A:$F,$2:$2,0)),VLOOKUP($B:$B,'IS(과거)'!$A:$F,$2:$2,0),0)</f>
        <v>0</v>
      </c>
      <c r="I1103" s="207">
        <f>IF(ISNUMBER(VLOOKUP($B:$B,'IS(과거)'!$A:$F,$2:$2,0)),VLOOKUP($B:$B,'IS(과거)'!$A:$F,$2:$2,0),0)</f>
        <v>0</v>
      </c>
      <c r="J1103" s="207">
        <f>IF(ISNUMBER(VLOOKUP($B:$B,'IS(과거)'!$A:$F,$2:$2,0)),VLOOKUP($B:$B,'IS(과거)'!$A:$F,$2:$2,0),0)</f>
        <v>0</v>
      </c>
      <c r="K1103" s="207">
        <f>IF(ISNUMBER(VLOOKUP($B:$B,'IS(과거)'!$A:$F,$2:$2,0)),VLOOKUP($B:$B,'IS(과거)'!$A:$F,$2:$2,0),0)</f>
        <v>0</v>
      </c>
      <c r="L1103" s="207">
        <f>IF(ISNUMBER(VLOOKUP($B:$B,'IS(과거)'!$A:$F,$2:$2,0)),VLOOKUP($B:$B,'IS(과거)'!$A:$F,$2:$2,0),0)</f>
        <v>0</v>
      </c>
      <c r="N1103" s="207">
        <f>IF(ISNUMBER(VLOOKUP($B:$B,'IS(분기)'!$A:$F,$2:$2,0)),VLOOKUP($B:$B,'IS(분기)'!$A:$F,$2:$2,0),0)</f>
        <v>0</v>
      </c>
      <c r="O1103" s="207">
        <f>IF(ISNUMBER(VLOOKUP($B:$B,'IS(분기)'!$A:$F,$2:$2,0)),VLOOKUP($B:$B,'IS(분기)'!$A:$F,$2:$2,0),0)</f>
        <v>0</v>
      </c>
      <c r="P1103" s="207">
        <f>IF(ISNUMBER(VLOOKUP($B:$B,'IS(분기)'!$A:$F,$2:$2,0)),VLOOKUP($B:$B,'IS(분기)'!$A:$F,$2:$2,0),0)</f>
        <v>0</v>
      </c>
      <c r="Q1103" s="207">
        <f>IF(ISNUMBER(VLOOKUP($B:$B,'IS(분기)'!$A:$F,$2:$2,0)),VLOOKUP($B:$B,'IS(분기)'!$A:$F,$2:$2,0),0)</f>
        <v>0</v>
      </c>
      <c r="R1103" s="207">
        <f>IF(ISNUMBER(VLOOKUP($B:$B,'IS(분기)'!$A:$F,$2:$2,0)),VLOOKUP($B:$B,'IS(분기)'!$A:$F,$2:$2,0),0)</f>
        <v>0</v>
      </c>
    </row>
    <row r="1104" spans="1:18" s="192" customFormat="1" ht="12">
      <c r="A1104" s="205">
        <v>128181</v>
      </c>
      <c r="B1104" s="198" t="s">
        <v>359</v>
      </c>
      <c r="C1104" s="217">
        <f>IF(ISNUMBER(VLOOKUP($B:$B,IS!$A:$F,$2:$2,0)),VLOOKUP($B:$B,IS!$A:$F,$2:$2,0),0)</f>
        <v>0</v>
      </c>
      <c r="D1104" s="217">
        <f>IF(ISNUMBER(VLOOKUP($B:$B,IS!$A:$F,$2:$2,0)),VLOOKUP($B:$B,IS!$A:$F,$2:$2,0),0)</f>
        <v>0</v>
      </c>
      <c r="E1104" s="217">
        <f>IF(ISNUMBER(VLOOKUP($B:$B,IS!$A:$F,$2:$2,0)),VLOOKUP($B:$B,IS!$A:$F,$2:$2,0),0)</f>
        <v>0</v>
      </c>
      <c r="F1104" s="217">
        <f>IF(ISNUMBER(VLOOKUP($B:$B,IS!$A:$F,$2:$2,0)),VLOOKUP($B:$B,IS!$A:$F,$2:$2,0),0)</f>
        <v>0</v>
      </c>
      <c r="G1104" s="217">
        <f>IF(ISNUMBER(VLOOKUP($B:$B,IS!$A:$F,$2:$2,0)),VLOOKUP($B:$B,IS!$A:$F,$2:$2,0),0)</f>
        <v>0</v>
      </c>
      <c r="H1104" s="207">
        <f>IF(ISNUMBER(VLOOKUP($B:$B,'IS(과거)'!$A:$F,$2:$2,0)),VLOOKUP($B:$B,'IS(과거)'!$A:$F,$2:$2,0),0)</f>
        <v>0</v>
      </c>
      <c r="I1104" s="207">
        <f>IF(ISNUMBER(VLOOKUP($B:$B,'IS(과거)'!$A:$F,$2:$2,0)),VLOOKUP($B:$B,'IS(과거)'!$A:$F,$2:$2,0),0)</f>
        <v>0</v>
      </c>
      <c r="J1104" s="207">
        <f>IF(ISNUMBER(VLOOKUP($B:$B,'IS(과거)'!$A:$F,$2:$2,0)),VLOOKUP($B:$B,'IS(과거)'!$A:$F,$2:$2,0),0)</f>
        <v>0</v>
      </c>
      <c r="K1104" s="207">
        <f>IF(ISNUMBER(VLOOKUP($B:$B,'IS(과거)'!$A:$F,$2:$2,0)),VLOOKUP($B:$B,'IS(과거)'!$A:$F,$2:$2,0),0)</f>
        <v>0</v>
      </c>
      <c r="L1104" s="207">
        <f>IF(ISNUMBER(VLOOKUP($B:$B,'IS(과거)'!$A:$F,$2:$2,0)),VLOOKUP($B:$B,'IS(과거)'!$A:$F,$2:$2,0),0)</f>
        <v>0</v>
      </c>
      <c r="N1104" s="207">
        <f>IF(ISNUMBER(VLOOKUP($B:$B,'IS(분기)'!$A:$F,$2:$2,0)),VLOOKUP($B:$B,'IS(분기)'!$A:$F,$2:$2,0),0)</f>
        <v>0</v>
      </c>
      <c r="O1104" s="207">
        <f>IF(ISNUMBER(VLOOKUP($B:$B,'IS(분기)'!$A:$F,$2:$2,0)),VLOOKUP($B:$B,'IS(분기)'!$A:$F,$2:$2,0),0)</f>
        <v>0</v>
      </c>
      <c r="P1104" s="207">
        <f>IF(ISNUMBER(VLOOKUP($B:$B,'IS(분기)'!$A:$F,$2:$2,0)),VLOOKUP($B:$B,'IS(분기)'!$A:$F,$2:$2,0),0)</f>
        <v>0</v>
      </c>
      <c r="Q1104" s="207">
        <f>IF(ISNUMBER(VLOOKUP($B:$B,'IS(분기)'!$A:$F,$2:$2,0)),VLOOKUP($B:$B,'IS(분기)'!$A:$F,$2:$2,0),0)</f>
        <v>0</v>
      </c>
      <c r="R1104" s="207">
        <f>IF(ISNUMBER(VLOOKUP($B:$B,'IS(분기)'!$A:$F,$2:$2,0)),VLOOKUP($B:$B,'IS(분기)'!$A:$F,$2:$2,0),0)</f>
        <v>0</v>
      </c>
    </row>
    <row r="1105" spans="1:18" s="192" customFormat="1" ht="12">
      <c r="A1105" s="205">
        <v>128182</v>
      </c>
      <c r="B1105" s="198" t="s">
        <v>360</v>
      </c>
      <c r="C1105" s="217">
        <f>IF(ISNUMBER(VLOOKUP($B:$B,IS!$A:$F,$2:$2,0)),VLOOKUP($B:$B,IS!$A:$F,$2:$2,0),0)</f>
        <v>0</v>
      </c>
      <c r="D1105" s="217">
        <f>IF(ISNUMBER(VLOOKUP($B:$B,IS!$A:$F,$2:$2,0)),VLOOKUP($B:$B,IS!$A:$F,$2:$2,0),0)</f>
        <v>0</v>
      </c>
      <c r="E1105" s="217">
        <f>IF(ISNUMBER(VLOOKUP($B:$B,IS!$A:$F,$2:$2,0)),VLOOKUP($B:$B,IS!$A:$F,$2:$2,0),0)</f>
        <v>0</v>
      </c>
      <c r="F1105" s="217">
        <f>IF(ISNUMBER(VLOOKUP($B:$B,IS!$A:$F,$2:$2,0)),VLOOKUP($B:$B,IS!$A:$F,$2:$2,0),0)</f>
        <v>0</v>
      </c>
      <c r="G1105" s="217">
        <f>IF(ISNUMBER(VLOOKUP($B:$B,IS!$A:$F,$2:$2,0)),VLOOKUP($B:$B,IS!$A:$F,$2:$2,0),0)</f>
        <v>0</v>
      </c>
      <c r="H1105" s="207">
        <f>IF(ISNUMBER(VLOOKUP($B:$B,'IS(과거)'!$A:$F,$2:$2,0)),VLOOKUP($B:$B,'IS(과거)'!$A:$F,$2:$2,0),0)</f>
        <v>0</v>
      </c>
      <c r="I1105" s="207">
        <f>IF(ISNUMBER(VLOOKUP($B:$B,'IS(과거)'!$A:$F,$2:$2,0)),VLOOKUP($B:$B,'IS(과거)'!$A:$F,$2:$2,0),0)</f>
        <v>0</v>
      </c>
      <c r="J1105" s="207">
        <f>IF(ISNUMBER(VLOOKUP($B:$B,'IS(과거)'!$A:$F,$2:$2,0)),VLOOKUP($B:$B,'IS(과거)'!$A:$F,$2:$2,0),0)</f>
        <v>0</v>
      </c>
      <c r="K1105" s="207">
        <f>IF(ISNUMBER(VLOOKUP($B:$B,'IS(과거)'!$A:$F,$2:$2,0)),VLOOKUP($B:$B,'IS(과거)'!$A:$F,$2:$2,0),0)</f>
        <v>0</v>
      </c>
      <c r="L1105" s="207">
        <f>IF(ISNUMBER(VLOOKUP($B:$B,'IS(과거)'!$A:$F,$2:$2,0)),VLOOKUP($B:$B,'IS(과거)'!$A:$F,$2:$2,0),0)</f>
        <v>0</v>
      </c>
      <c r="N1105" s="207">
        <f>IF(ISNUMBER(VLOOKUP($B:$B,'IS(분기)'!$A:$F,$2:$2,0)),VLOOKUP($B:$B,'IS(분기)'!$A:$F,$2:$2,0),0)</f>
        <v>0</v>
      </c>
      <c r="O1105" s="207">
        <f>IF(ISNUMBER(VLOOKUP($B:$B,'IS(분기)'!$A:$F,$2:$2,0)),VLOOKUP($B:$B,'IS(분기)'!$A:$F,$2:$2,0),0)</f>
        <v>0</v>
      </c>
      <c r="P1105" s="207">
        <f>IF(ISNUMBER(VLOOKUP($B:$B,'IS(분기)'!$A:$F,$2:$2,0)),VLOOKUP($B:$B,'IS(분기)'!$A:$F,$2:$2,0),0)</f>
        <v>0</v>
      </c>
      <c r="Q1105" s="207">
        <f>IF(ISNUMBER(VLOOKUP($B:$B,'IS(분기)'!$A:$F,$2:$2,0)),VLOOKUP($B:$B,'IS(분기)'!$A:$F,$2:$2,0),0)</f>
        <v>0</v>
      </c>
      <c r="R1105" s="207">
        <f>IF(ISNUMBER(VLOOKUP($B:$B,'IS(분기)'!$A:$F,$2:$2,0)),VLOOKUP($B:$B,'IS(분기)'!$A:$F,$2:$2,0),0)</f>
        <v>0</v>
      </c>
    </row>
    <row r="1106" spans="1:18" s="192" customFormat="1" ht="12">
      <c r="A1106" s="205">
        <v>129000</v>
      </c>
      <c r="B1106" s="198" t="s">
        <v>17</v>
      </c>
      <c r="C1106" s="217">
        <f>IF(ISNUMBER(VLOOKUP($B:$B,IS!$A:$F,$2:$2,0)),VLOOKUP($B:$B,IS!$A:$F,$2:$2,0),0)</f>
        <v>980449</v>
      </c>
      <c r="D1106" s="217">
        <f>IF(ISNUMBER(VLOOKUP($B:$B,IS!$A:$F,$2:$2,0)),VLOOKUP($B:$B,IS!$A:$F,$2:$2,0),0)</f>
        <v>0</v>
      </c>
      <c r="E1106" s="217">
        <f>IF(ISNUMBER(VLOOKUP($B:$B,IS!$A:$F,$2:$2,0)),VLOOKUP($B:$B,IS!$A:$F,$2:$2,0),0)</f>
        <v>0</v>
      </c>
      <c r="F1106" s="217">
        <f>IF(ISNUMBER(VLOOKUP($B:$B,IS!$A:$F,$2:$2,0)),VLOOKUP($B:$B,IS!$A:$F,$2:$2,0),0)</f>
        <v>0</v>
      </c>
      <c r="G1106" s="217">
        <f>IF(ISNUMBER(VLOOKUP($B:$B,IS!$A:$F,$2:$2,0)),VLOOKUP($B:$B,IS!$A:$F,$2:$2,0),0)</f>
        <v>0</v>
      </c>
      <c r="H1106" s="207">
        <f>IF(ISNUMBER(VLOOKUP($B:$B,'IS(과거)'!$A:$F,$2:$2,0)),VLOOKUP($B:$B,'IS(과거)'!$A:$F,$2:$2,0),0)</f>
        <v>0</v>
      </c>
      <c r="I1106" s="207">
        <f>IF(ISNUMBER(VLOOKUP($B:$B,'IS(과거)'!$A:$F,$2:$2,0)),VLOOKUP($B:$B,'IS(과거)'!$A:$F,$2:$2,0),0)</f>
        <v>0</v>
      </c>
      <c r="J1106" s="207">
        <f>IF(ISNUMBER(VLOOKUP($B:$B,'IS(과거)'!$A:$F,$2:$2,0)),VLOOKUP($B:$B,'IS(과거)'!$A:$F,$2:$2,0),0)</f>
        <v>0</v>
      </c>
      <c r="K1106" s="207">
        <f>IF(ISNUMBER(VLOOKUP($B:$B,'IS(과거)'!$A:$F,$2:$2,0)),VLOOKUP($B:$B,'IS(과거)'!$A:$F,$2:$2,0),0)</f>
        <v>0</v>
      </c>
      <c r="L1106" s="207">
        <f>IF(ISNUMBER(VLOOKUP($B:$B,'IS(과거)'!$A:$F,$2:$2,0)),VLOOKUP($B:$B,'IS(과거)'!$A:$F,$2:$2,0),0)</f>
        <v>0</v>
      </c>
      <c r="N1106" s="207">
        <f>IF(ISNUMBER(VLOOKUP($B:$B,'IS(분기)'!$A:$F,$2:$2,0)),VLOOKUP($B:$B,'IS(분기)'!$A:$F,$2:$2,0),0)</f>
        <v>0</v>
      </c>
      <c r="O1106" s="207">
        <f>IF(ISNUMBER(VLOOKUP($B:$B,'IS(분기)'!$A:$F,$2:$2,0)),VLOOKUP($B:$B,'IS(분기)'!$A:$F,$2:$2,0),0)</f>
        <v>0</v>
      </c>
      <c r="P1106" s="207">
        <f>IF(ISNUMBER(VLOOKUP($B:$B,'IS(분기)'!$A:$F,$2:$2,0)),VLOOKUP($B:$B,'IS(분기)'!$A:$F,$2:$2,0),0)</f>
        <v>0</v>
      </c>
      <c r="Q1106" s="207">
        <f>IF(ISNUMBER(VLOOKUP($B:$B,'IS(분기)'!$A:$F,$2:$2,0)),VLOOKUP($B:$B,'IS(분기)'!$A:$F,$2:$2,0),0)</f>
        <v>0</v>
      </c>
      <c r="R1106" s="207">
        <f>IF(ISNUMBER(VLOOKUP($B:$B,'IS(분기)'!$A:$F,$2:$2,0)),VLOOKUP($B:$B,'IS(분기)'!$A:$F,$2:$2,0),0)</f>
        <v>0</v>
      </c>
    </row>
    <row r="1107" spans="1:18" s="192" customFormat="1" ht="12">
      <c r="A1107" s="205">
        <v>129001</v>
      </c>
      <c r="B1107" s="198" t="s">
        <v>176</v>
      </c>
      <c r="C1107" s="217">
        <f>IF(ISNUMBER(VLOOKUP($B:$B,IS!$A:$F,$2:$2,0)),VLOOKUP($B:$B,IS!$A:$F,$2:$2,0),0)</f>
        <v>0</v>
      </c>
      <c r="D1107" s="217">
        <f>IF(ISNUMBER(VLOOKUP($B:$B,IS!$A:$F,$2:$2,0)),VLOOKUP($B:$B,IS!$A:$F,$2:$2,0),0)</f>
        <v>0</v>
      </c>
      <c r="E1107" s="217">
        <f>IF(ISNUMBER(VLOOKUP($B:$B,IS!$A:$F,$2:$2,0)),VLOOKUP($B:$B,IS!$A:$F,$2:$2,0),0)</f>
        <v>0</v>
      </c>
      <c r="F1107" s="217">
        <f>IF(ISNUMBER(VLOOKUP($B:$B,IS!$A:$F,$2:$2,0)),VLOOKUP($B:$B,IS!$A:$F,$2:$2,0),0)</f>
        <v>0</v>
      </c>
      <c r="G1107" s="217">
        <f>IF(ISNUMBER(VLOOKUP($B:$B,IS!$A:$F,$2:$2,0)),VLOOKUP($B:$B,IS!$A:$F,$2:$2,0),0)</f>
        <v>0</v>
      </c>
      <c r="H1107" s="207">
        <f>IF(ISNUMBER(VLOOKUP($B:$B,'IS(과거)'!$A:$F,$2:$2,0)),VLOOKUP($B:$B,'IS(과거)'!$A:$F,$2:$2,0),0)</f>
        <v>0</v>
      </c>
      <c r="I1107" s="207">
        <f>IF(ISNUMBER(VLOOKUP($B:$B,'IS(과거)'!$A:$F,$2:$2,0)),VLOOKUP($B:$B,'IS(과거)'!$A:$F,$2:$2,0),0)</f>
        <v>0</v>
      </c>
      <c r="J1107" s="207">
        <f>IF(ISNUMBER(VLOOKUP($B:$B,'IS(과거)'!$A:$F,$2:$2,0)),VLOOKUP($B:$B,'IS(과거)'!$A:$F,$2:$2,0),0)</f>
        <v>0</v>
      </c>
      <c r="K1107" s="207">
        <f>IF(ISNUMBER(VLOOKUP($B:$B,'IS(과거)'!$A:$F,$2:$2,0)),VLOOKUP($B:$B,'IS(과거)'!$A:$F,$2:$2,0),0)</f>
        <v>0</v>
      </c>
      <c r="L1107" s="207">
        <f>IF(ISNUMBER(VLOOKUP($B:$B,'IS(과거)'!$A:$F,$2:$2,0)),VLOOKUP($B:$B,'IS(과거)'!$A:$F,$2:$2,0),0)</f>
        <v>0</v>
      </c>
      <c r="N1107" s="207">
        <f>IF(ISNUMBER(VLOOKUP($B:$B,'IS(분기)'!$A:$F,$2:$2,0)),VLOOKUP($B:$B,'IS(분기)'!$A:$F,$2:$2,0),0)</f>
        <v>0</v>
      </c>
      <c r="O1107" s="207">
        <f>IF(ISNUMBER(VLOOKUP($B:$B,'IS(분기)'!$A:$F,$2:$2,0)),VLOOKUP($B:$B,'IS(분기)'!$A:$F,$2:$2,0),0)</f>
        <v>0</v>
      </c>
      <c r="P1107" s="207">
        <f>IF(ISNUMBER(VLOOKUP($B:$B,'IS(분기)'!$A:$F,$2:$2,0)),VLOOKUP($B:$B,'IS(분기)'!$A:$F,$2:$2,0),0)</f>
        <v>0</v>
      </c>
      <c r="Q1107" s="207">
        <f>IF(ISNUMBER(VLOOKUP($B:$B,'IS(분기)'!$A:$F,$2:$2,0)),VLOOKUP($B:$B,'IS(분기)'!$A:$F,$2:$2,0),0)</f>
        <v>0</v>
      </c>
      <c r="R1107" s="207">
        <f>IF(ISNUMBER(VLOOKUP($B:$B,'IS(분기)'!$A:$F,$2:$2,0)),VLOOKUP($B:$B,'IS(분기)'!$A:$F,$2:$2,0),0)</f>
        <v>0</v>
      </c>
    </row>
    <row r="1108" spans="1:18" s="192" customFormat="1" ht="12">
      <c r="A1108" s="205">
        <v>129007</v>
      </c>
      <c r="B1108" s="198" t="s">
        <v>361</v>
      </c>
      <c r="C1108" s="217">
        <f>IF(ISNUMBER(VLOOKUP($B:$B,IS!$A:$F,$2:$2,0)),VLOOKUP($B:$B,IS!$A:$F,$2:$2,0),0)</f>
        <v>0</v>
      </c>
      <c r="D1108" s="217">
        <f>IF(ISNUMBER(VLOOKUP($B:$B,IS!$A:$F,$2:$2,0)),VLOOKUP($B:$B,IS!$A:$F,$2:$2,0),0)</f>
        <v>0</v>
      </c>
      <c r="E1108" s="217">
        <f>IF(ISNUMBER(VLOOKUP($B:$B,IS!$A:$F,$2:$2,0)),VLOOKUP($B:$B,IS!$A:$F,$2:$2,0),0)</f>
        <v>0</v>
      </c>
      <c r="F1108" s="217">
        <f>IF(ISNUMBER(VLOOKUP($B:$B,IS!$A:$F,$2:$2,0)),VLOOKUP($B:$B,IS!$A:$F,$2:$2,0),0)</f>
        <v>0</v>
      </c>
      <c r="G1108" s="217">
        <f>IF(ISNUMBER(VLOOKUP($B:$B,IS!$A:$F,$2:$2,0)),VLOOKUP($B:$B,IS!$A:$F,$2:$2,0),0)</f>
        <v>0</v>
      </c>
      <c r="H1108" s="207">
        <f>IF(ISNUMBER(VLOOKUP($B:$B,'IS(과거)'!$A:$F,$2:$2,0)),VLOOKUP($B:$B,'IS(과거)'!$A:$F,$2:$2,0),0)</f>
        <v>0</v>
      </c>
      <c r="I1108" s="207">
        <f>IF(ISNUMBER(VLOOKUP($B:$B,'IS(과거)'!$A:$F,$2:$2,0)),VLOOKUP($B:$B,'IS(과거)'!$A:$F,$2:$2,0),0)</f>
        <v>0</v>
      </c>
      <c r="J1108" s="207">
        <f>IF(ISNUMBER(VLOOKUP($B:$B,'IS(과거)'!$A:$F,$2:$2,0)),VLOOKUP($B:$B,'IS(과거)'!$A:$F,$2:$2,0),0)</f>
        <v>0</v>
      </c>
      <c r="K1108" s="207">
        <f>IF(ISNUMBER(VLOOKUP($B:$B,'IS(과거)'!$A:$F,$2:$2,0)),VLOOKUP($B:$B,'IS(과거)'!$A:$F,$2:$2,0),0)</f>
        <v>0</v>
      </c>
      <c r="L1108" s="207">
        <f>IF(ISNUMBER(VLOOKUP($B:$B,'IS(과거)'!$A:$F,$2:$2,0)),VLOOKUP($B:$B,'IS(과거)'!$A:$F,$2:$2,0),0)</f>
        <v>0</v>
      </c>
      <c r="N1108" s="207">
        <f>IF(ISNUMBER(VLOOKUP($B:$B,'IS(분기)'!$A:$F,$2:$2,0)),VLOOKUP($B:$B,'IS(분기)'!$A:$F,$2:$2,0),0)</f>
        <v>0</v>
      </c>
      <c r="O1108" s="207">
        <f>IF(ISNUMBER(VLOOKUP($B:$B,'IS(분기)'!$A:$F,$2:$2,0)),VLOOKUP($B:$B,'IS(분기)'!$A:$F,$2:$2,0),0)</f>
        <v>0</v>
      </c>
      <c r="P1108" s="207">
        <f>IF(ISNUMBER(VLOOKUP($B:$B,'IS(분기)'!$A:$F,$2:$2,0)),VLOOKUP($B:$B,'IS(분기)'!$A:$F,$2:$2,0),0)</f>
        <v>0</v>
      </c>
      <c r="Q1108" s="207">
        <f>IF(ISNUMBER(VLOOKUP($B:$B,'IS(분기)'!$A:$F,$2:$2,0)),VLOOKUP($B:$B,'IS(분기)'!$A:$F,$2:$2,0),0)</f>
        <v>0</v>
      </c>
      <c r="R1108" s="207">
        <f>IF(ISNUMBER(VLOOKUP($B:$B,'IS(분기)'!$A:$F,$2:$2,0)),VLOOKUP($B:$B,'IS(분기)'!$A:$F,$2:$2,0),0)</f>
        <v>0</v>
      </c>
    </row>
    <row r="1109" spans="1:18" s="192" customFormat="1" ht="12">
      <c r="A1109" s="205">
        <v>129009</v>
      </c>
      <c r="B1109" s="198" t="s">
        <v>362</v>
      </c>
      <c r="C1109" s="217">
        <f>IF(ISNUMBER(VLOOKUP($B:$B,IS!$A:$F,$2:$2,0)),VLOOKUP($B:$B,IS!$A:$F,$2:$2,0),0)</f>
        <v>0</v>
      </c>
      <c r="D1109" s="217">
        <f>IF(ISNUMBER(VLOOKUP($B:$B,IS!$A:$F,$2:$2,0)),VLOOKUP($B:$B,IS!$A:$F,$2:$2,0),0)</f>
        <v>0</v>
      </c>
      <c r="E1109" s="217">
        <f>IF(ISNUMBER(VLOOKUP($B:$B,IS!$A:$F,$2:$2,0)),VLOOKUP($B:$B,IS!$A:$F,$2:$2,0),0)</f>
        <v>0</v>
      </c>
      <c r="F1109" s="217">
        <f>IF(ISNUMBER(VLOOKUP($B:$B,IS!$A:$F,$2:$2,0)),VLOOKUP($B:$B,IS!$A:$F,$2:$2,0),0)</f>
        <v>0</v>
      </c>
      <c r="G1109" s="217">
        <f>IF(ISNUMBER(VLOOKUP($B:$B,IS!$A:$F,$2:$2,0)),VLOOKUP($B:$B,IS!$A:$F,$2:$2,0),0)</f>
        <v>0</v>
      </c>
      <c r="H1109" s="207">
        <f>IF(ISNUMBER(VLOOKUP($B:$B,'IS(과거)'!$A:$F,$2:$2,0)),VLOOKUP($B:$B,'IS(과거)'!$A:$F,$2:$2,0),0)</f>
        <v>0</v>
      </c>
      <c r="I1109" s="207">
        <f>IF(ISNUMBER(VLOOKUP($B:$B,'IS(과거)'!$A:$F,$2:$2,0)),VLOOKUP($B:$B,'IS(과거)'!$A:$F,$2:$2,0),0)</f>
        <v>0</v>
      </c>
      <c r="J1109" s="207">
        <f>IF(ISNUMBER(VLOOKUP($B:$B,'IS(과거)'!$A:$F,$2:$2,0)),VLOOKUP($B:$B,'IS(과거)'!$A:$F,$2:$2,0),0)</f>
        <v>0</v>
      </c>
      <c r="K1109" s="207">
        <f>IF(ISNUMBER(VLOOKUP($B:$B,'IS(과거)'!$A:$F,$2:$2,0)),VLOOKUP($B:$B,'IS(과거)'!$A:$F,$2:$2,0),0)</f>
        <v>0</v>
      </c>
      <c r="L1109" s="207">
        <f>IF(ISNUMBER(VLOOKUP($B:$B,'IS(과거)'!$A:$F,$2:$2,0)),VLOOKUP($B:$B,'IS(과거)'!$A:$F,$2:$2,0),0)</f>
        <v>0</v>
      </c>
      <c r="N1109" s="207">
        <f>IF(ISNUMBER(VLOOKUP($B:$B,'IS(분기)'!$A:$F,$2:$2,0)),VLOOKUP($B:$B,'IS(분기)'!$A:$F,$2:$2,0),0)</f>
        <v>0</v>
      </c>
      <c r="O1109" s="207">
        <f>IF(ISNUMBER(VLOOKUP($B:$B,'IS(분기)'!$A:$F,$2:$2,0)),VLOOKUP($B:$B,'IS(분기)'!$A:$F,$2:$2,0),0)</f>
        <v>0</v>
      </c>
      <c r="P1109" s="207">
        <f>IF(ISNUMBER(VLOOKUP($B:$B,'IS(분기)'!$A:$F,$2:$2,0)),VLOOKUP($B:$B,'IS(분기)'!$A:$F,$2:$2,0),0)</f>
        <v>0</v>
      </c>
      <c r="Q1109" s="207">
        <f>IF(ISNUMBER(VLOOKUP($B:$B,'IS(분기)'!$A:$F,$2:$2,0)),VLOOKUP($B:$B,'IS(분기)'!$A:$F,$2:$2,0),0)</f>
        <v>0</v>
      </c>
      <c r="R1109" s="207">
        <f>IF(ISNUMBER(VLOOKUP($B:$B,'IS(분기)'!$A:$F,$2:$2,0)),VLOOKUP($B:$B,'IS(분기)'!$A:$F,$2:$2,0),0)</f>
        <v>0</v>
      </c>
    </row>
    <row r="1110" spans="1:18" s="192" customFormat="1" ht="12">
      <c r="A1110" s="205">
        <v>129017</v>
      </c>
      <c r="B1110" s="198" t="s">
        <v>363</v>
      </c>
      <c r="C1110" s="217">
        <f>IF(ISNUMBER(VLOOKUP($B:$B,IS!$A:$F,$2:$2,0)),VLOOKUP($B:$B,IS!$A:$F,$2:$2,0),0)</f>
        <v>0</v>
      </c>
      <c r="D1110" s="217">
        <f>IF(ISNUMBER(VLOOKUP($B:$B,IS!$A:$F,$2:$2,0)),VLOOKUP($B:$B,IS!$A:$F,$2:$2,0),0)</f>
        <v>0</v>
      </c>
      <c r="E1110" s="217">
        <f>IF(ISNUMBER(VLOOKUP($B:$B,IS!$A:$F,$2:$2,0)),VLOOKUP($B:$B,IS!$A:$F,$2:$2,0),0)</f>
        <v>0</v>
      </c>
      <c r="F1110" s="217">
        <f>IF(ISNUMBER(VLOOKUP($B:$B,IS!$A:$F,$2:$2,0)),VLOOKUP($B:$B,IS!$A:$F,$2:$2,0),0)</f>
        <v>0</v>
      </c>
      <c r="G1110" s="217">
        <f>IF(ISNUMBER(VLOOKUP($B:$B,IS!$A:$F,$2:$2,0)),VLOOKUP($B:$B,IS!$A:$F,$2:$2,0),0)</f>
        <v>0</v>
      </c>
      <c r="H1110" s="207">
        <f>IF(ISNUMBER(VLOOKUP($B:$B,'IS(과거)'!$A:$F,$2:$2,0)),VLOOKUP($B:$B,'IS(과거)'!$A:$F,$2:$2,0),0)</f>
        <v>0</v>
      </c>
      <c r="I1110" s="207">
        <f>IF(ISNUMBER(VLOOKUP($B:$B,'IS(과거)'!$A:$F,$2:$2,0)),VLOOKUP($B:$B,'IS(과거)'!$A:$F,$2:$2,0),0)</f>
        <v>0</v>
      </c>
      <c r="J1110" s="207">
        <f>IF(ISNUMBER(VLOOKUP($B:$B,'IS(과거)'!$A:$F,$2:$2,0)),VLOOKUP($B:$B,'IS(과거)'!$A:$F,$2:$2,0),0)</f>
        <v>0</v>
      </c>
      <c r="K1110" s="207">
        <f>IF(ISNUMBER(VLOOKUP($B:$B,'IS(과거)'!$A:$F,$2:$2,0)),VLOOKUP($B:$B,'IS(과거)'!$A:$F,$2:$2,0),0)</f>
        <v>0</v>
      </c>
      <c r="L1110" s="207">
        <f>IF(ISNUMBER(VLOOKUP($B:$B,'IS(과거)'!$A:$F,$2:$2,0)),VLOOKUP($B:$B,'IS(과거)'!$A:$F,$2:$2,0),0)</f>
        <v>0</v>
      </c>
      <c r="N1110" s="207">
        <f>IF(ISNUMBER(VLOOKUP($B:$B,'IS(분기)'!$A:$F,$2:$2,0)),VLOOKUP($B:$B,'IS(분기)'!$A:$F,$2:$2,0),0)</f>
        <v>0</v>
      </c>
      <c r="O1110" s="207">
        <f>IF(ISNUMBER(VLOOKUP($B:$B,'IS(분기)'!$A:$F,$2:$2,0)),VLOOKUP($B:$B,'IS(분기)'!$A:$F,$2:$2,0),0)</f>
        <v>0</v>
      </c>
      <c r="P1110" s="207">
        <f>IF(ISNUMBER(VLOOKUP($B:$B,'IS(분기)'!$A:$F,$2:$2,0)),VLOOKUP($B:$B,'IS(분기)'!$A:$F,$2:$2,0),0)</f>
        <v>0</v>
      </c>
      <c r="Q1110" s="207">
        <f>IF(ISNUMBER(VLOOKUP($B:$B,'IS(분기)'!$A:$F,$2:$2,0)),VLOOKUP($B:$B,'IS(분기)'!$A:$F,$2:$2,0),0)</f>
        <v>0</v>
      </c>
      <c r="R1110" s="207">
        <f>IF(ISNUMBER(VLOOKUP($B:$B,'IS(분기)'!$A:$F,$2:$2,0)),VLOOKUP($B:$B,'IS(분기)'!$A:$F,$2:$2,0),0)</f>
        <v>0</v>
      </c>
    </row>
    <row r="1111" spans="1:18" s="192" customFormat="1" ht="12">
      <c r="A1111" s="205">
        <v>129019</v>
      </c>
      <c r="B1111" s="198" t="s">
        <v>364</v>
      </c>
      <c r="C1111" s="217">
        <f>IF(ISNUMBER(VLOOKUP($B:$B,IS!$A:$F,$2:$2,0)),VLOOKUP($B:$B,IS!$A:$F,$2:$2,0),0)</f>
        <v>0</v>
      </c>
      <c r="D1111" s="217">
        <f>IF(ISNUMBER(VLOOKUP($B:$B,IS!$A:$F,$2:$2,0)),VLOOKUP($B:$B,IS!$A:$F,$2:$2,0),0)</f>
        <v>0</v>
      </c>
      <c r="E1111" s="217">
        <f>IF(ISNUMBER(VLOOKUP($B:$B,IS!$A:$F,$2:$2,0)),VLOOKUP($B:$B,IS!$A:$F,$2:$2,0),0)</f>
        <v>0</v>
      </c>
      <c r="F1111" s="217">
        <f>IF(ISNUMBER(VLOOKUP($B:$B,IS!$A:$F,$2:$2,0)),VLOOKUP($B:$B,IS!$A:$F,$2:$2,0),0)</f>
        <v>0</v>
      </c>
      <c r="G1111" s="217">
        <f>IF(ISNUMBER(VLOOKUP($B:$B,IS!$A:$F,$2:$2,0)),VLOOKUP($B:$B,IS!$A:$F,$2:$2,0),0)</f>
        <v>0</v>
      </c>
      <c r="H1111" s="207">
        <f>IF(ISNUMBER(VLOOKUP($B:$B,'IS(과거)'!$A:$F,$2:$2,0)),VLOOKUP($B:$B,'IS(과거)'!$A:$F,$2:$2,0),0)</f>
        <v>0</v>
      </c>
      <c r="I1111" s="207">
        <f>IF(ISNUMBER(VLOOKUP($B:$B,'IS(과거)'!$A:$F,$2:$2,0)),VLOOKUP($B:$B,'IS(과거)'!$A:$F,$2:$2,0),0)</f>
        <v>0</v>
      </c>
      <c r="J1111" s="207">
        <f>IF(ISNUMBER(VLOOKUP($B:$B,'IS(과거)'!$A:$F,$2:$2,0)),VLOOKUP($B:$B,'IS(과거)'!$A:$F,$2:$2,0),0)</f>
        <v>0</v>
      </c>
      <c r="K1111" s="207">
        <f>IF(ISNUMBER(VLOOKUP($B:$B,'IS(과거)'!$A:$F,$2:$2,0)),VLOOKUP($B:$B,'IS(과거)'!$A:$F,$2:$2,0),0)</f>
        <v>0</v>
      </c>
      <c r="L1111" s="207">
        <f>IF(ISNUMBER(VLOOKUP($B:$B,'IS(과거)'!$A:$F,$2:$2,0)),VLOOKUP($B:$B,'IS(과거)'!$A:$F,$2:$2,0),0)</f>
        <v>0</v>
      </c>
      <c r="N1111" s="207">
        <f>IF(ISNUMBER(VLOOKUP($B:$B,'IS(분기)'!$A:$F,$2:$2,0)),VLOOKUP($B:$B,'IS(분기)'!$A:$F,$2:$2,0),0)</f>
        <v>0</v>
      </c>
      <c r="O1111" s="207">
        <f>IF(ISNUMBER(VLOOKUP($B:$B,'IS(분기)'!$A:$F,$2:$2,0)),VLOOKUP($B:$B,'IS(분기)'!$A:$F,$2:$2,0),0)</f>
        <v>0</v>
      </c>
      <c r="P1111" s="207">
        <f>IF(ISNUMBER(VLOOKUP($B:$B,'IS(분기)'!$A:$F,$2:$2,0)),VLOOKUP($B:$B,'IS(분기)'!$A:$F,$2:$2,0),0)</f>
        <v>0</v>
      </c>
      <c r="Q1111" s="207">
        <f>IF(ISNUMBER(VLOOKUP($B:$B,'IS(분기)'!$A:$F,$2:$2,0)),VLOOKUP($B:$B,'IS(분기)'!$A:$F,$2:$2,0),0)</f>
        <v>0</v>
      </c>
      <c r="R1111" s="207">
        <f>IF(ISNUMBER(VLOOKUP($B:$B,'IS(분기)'!$A:$F,$2:$2,0)),VLOOKUP($B:$B,'IS(분기)'!$A:$F,$2:$2,0),0)</f>
        <v>0</v>
      </c>
    </row>
    <row r="1112" spans="1:18" s="192" customFormat="1" ht="12">
      <c r="A1112" s="199"/>
      <c r="B1112" s="193"/>
      <c r="C1112" s="217"/>
      <c r="D1112" s="217"/>
      <c r="E1112" s="217"/>
      <c r="F1112" s="217"/>
      <c r="G1112" s="217"/>
      <c r="H1112" s="207"/>
      <c r="I1112" s="207"/>
      <c r="J1112" s="207"/>
      <c r="K1112" s="207"/>
      <c r="L1112" s="207"/>
    </row>
    <row r="1113" spans="1:18" s="192" customFormat="1" ht="12">
      <c r="A1113" s="200">
        <v>161000</v>
      </c>
      <c r="B1113" s="193" t="s">
        <v>177</v>
      </c>
      <c r="C1113" s="217">
        <f>IF(ISNUMBER(VLOOKUP($B:$B,IS!$A:$F,$2:$2,0)),VLOOKUP($B:$B,IS!$A:$F,$2:$2,0),0)</f>
        <v>0</v>
      </c>
      <c r="D1113" s="217">
        <f>IF(ISNUMBER(VLOOKUP($B:$B,IS!$A:$F,$2:$2,0)),VLOOKUP($B:$B,IS!$A:$F,$2:$2,0),0)</f>
        <v>0</v>
      </c>
      <c r="E1113" s="217">
        <f>IF(ISNUMBER(VLOOKUP($B:$B,IS!$A:$F,$2:$2,0)),VLOOKUP($B:$B,IS!$A:$F,$2:$2,0),0)</f>
        <v>0</v>
      </c>
      <c r="F1113" s="217">
        <f>IF(ISNUMBER(VLOOKUP($B:$B,IS!$A:$F,$2:$2,0)),VLOOKUP($B:$B,IS!$A:$F,$2:$2,0),0)</f>
        <v>0</v>
      </c>
      <c r="G1113" s="217">
        <f>IF(ISNUMBER(VLOOKUP($B:$B,IS!$A:$F,$2:$2,0)),VLOOKUP($B:$B,IS!$A:$F,$2:$2,0),0)</f>
        <v>0</v>
      </c>
      <c r="H1113" s="207">
        <f>IF(ISNUMBER(VLOOKUP($B:$B,'IS(과거)'!$A:$F,$2:$2,0)),VLOOKUP($B:$B,'IS(과거)'!$A:$F,$2:$2,0),0)</f>
        <v>0</v>
      </c>
      <c r="I1113" s="207">
        <f>IF(ISNUMBER(VLOOKUP($B:$B,'IS(과거)'!$A:$F,$2:$2,0)),VLOOKUP($B:$B,'IS(과거)'!$A:$F,$2:$2,0),0)</f>
        <v>0</v>
      </c>
      <c r="J1113" s="207">
        <f>IF(ISNUMBER(VLOOKUP($B:$B,'IS(과거)'!$A:$F,$2:$2,0)),VLOOKUP($B:$B,'IS(과거)'!$A:$F,$2:$2,0),0)</f>
        <v>0</v>
      </c>
      <c r="K1113" s="207">
        <f>IF(ISNUMBER(VLOOKUP($B:$B,'IS(과거)'!$A:$F,$2:$2,0)),VLOOKUP($B:$B,'IS(과거)'!$A:$F,$2:$2,0),0)</f>
        <v>0</v>
      </c>
      <c r="L1113" s="207">
        <f>IF(ISNUMBER(VLOOKUP($B:$B,'IS(과거)'!$A:$F,$2:$2,0)),VLOOKUP($B:$B,'IS(과거)'!$A:$F,$2:$2,0),0)</f>
        <v>0</v>
      </c>
      <c r="N1113" s="207">
        <f>IF(ISNUMBER(VLOOKUP($B:$B,'IS(분기)'!$A:$F,$2:$2,0)),VLOOKUP($B:$B,'IS(분기)'!$A:$F,$2:$2,0),0)</f>
        <v>0</v>
      </c>
      <c r="O1113" s="207">
        <f>IF(ISNUMBER(VLOOKUP($B:$B,'IS(분기)'!$A:$F,$2:$2,0)),VLOOKUP($B:$B,'IS(분기)'!$A:$F,$2:$2,0),0)</f>
        <v>0</v>
      </c>
      <c r="P1113" s="207">
        <f>IF(ISNUMBER(VLOOKUP($B:$B,'IS(분기)'!$A:$F,$2:$2,0)),VLOOKUP($B:$B,'IS(분기)'!$A:$F,$2:$2,0),0)</f>
        <v>0</v>
      </c>
      <c r="Q1113" s="207">
        <f>IF(ISNUMBER(VLOOKUP($B:$B,'IS(분기)'!$A:$F,$2:$2,0)),VLOOKUP($B:$B,'IS(분기)'!$A:$F,$2:$2,0),0)</f>
        <v>0</v>
      </c>
      <c r="R1113" s="207">
        <f>IF(ISNUMBER(VLOOKUP($B:$B,'IS(분기)'!$A:$F,$2:$2,0)),VLOOKUP($B:$B,'IS(분기)'!$A:$F,$2:$2,0),0)</f>
        <v>0</v>
      </c>
    </row>
    <row r="1114" spans="1:18" s="192" customFormat="1" ht="12">
      <c r="A1114" s="202">
        <v>161211</v>
      </c>
      <c r="B1114" s="195" t="s">
        <v>1433</v>
      </c>
      <c r="C1114" s="217">
        <f>IF(ISNUMBER(VLOOKUP($B:$B,IS!$A:$F,$2:$2,0)),VLOOKUP($B:$B,IS!$A:$F,$2:$2,0),0)</f>
        <v>0</v>
      </c>
      <c r="D1114" s="217">
        <f>IF(ISNUMBER(VLOOKUP($B:$B,IS!$A:$F,$2:$2,0)),VLOOKUP($B:$B,IS!$A:$F,$2:$2,0),0)</f>
        <v>0</v>
      </c>
      <c r="E1114" s="217">
        <f>IF(ISNUMBER(VLOOKUP($B:$B,IS!$A:$F,$2:$2,0)),VLOOKUP($B:$B,IS!$A:$F,$2:$2,0),0)</f>
        <v>0</v>
      </c>
      <c r="F1114" s="217">
        <f>IF(ISNUMBER(VLOOKUP($B:$B,IS!$A:$F,$2:$2,0)),VLOOKUP($B:$B,IS!$A:$F,$2:$2,0),0)</f>
        <v>0</v>
      </c>
      <c r="G1114" s="217">
        <f>IF(ISNUMBER(VLOOKUP($B:$B,IS!$A:$F,$2:$2,0)),VLOOKUP($B:$B,IS!$A:$F,$2:$2,0),0)</f>
        <v>0</v>
      </c>
      <c r="H1114" s="207">
        <f>IF(ISNUMBER(VLOOKUP($B:$B,'IS(과거)'!$A:$F,$2:$2,0)),VLOOKUP($B:$B,'IS(과거)'!$A:$F,$2:$2,0),0)</f>
        <v>0</v>
      </c>
      <c r="I1114" s="207">
        <f>IF(ISNUMBER(VLOOKUP($B:$B,'IS(과거)'!$A:$F,$2:$2,0)),VLOOKUP($B:$B,'IS(과거)'!$A:$F,$2:$2,0),0)</f>
        <v>0</v>
      </c>
      <c r="J1114" s="207">
        <f>IF(ISNUMBER(VLOOKUP($B:$B,'IS(과거)'!$A:$F,$2:$2,0)),VLOOKUP($B:$B,'IS(과거)'!$A:$F,$2:$2,0),0)</f>
        <v>0</v>
      </c>
      <c r="K1114" s="207">
        <f>IF(ISNUMBER(VLOOKUP($B:$B,'IS(과거)'!$A:$F,$2:$2,0)),VLOOKUP($B:$B,'IS(과거)'!$A:$F,$2:$2,0),0)</f>
        <v>0</v>
      </c>
      <c r="L1114" s="207">
        <f>IF(ISNUMBER(VLOOKUP($B:$B,'IS(과거)'!$A:$F,$2:$2,0)),VLOOKUP($B:$B,'IS(과거)'!$A:$F,$2:$2,0),0)</f>
        <v>0</v>
      </c>
      <c r="N1114" s="207">
        <f>IF(ISNUMBER(VLOOKUP($B:$B,'IS(분기)'!$A:$F,$2:$2,0)),VLOOKUP($B:$B,'IS(분기)'!$A:$F,$2:$2,0),0)</f>
        <v>0</v>
      </c>
      <c r="O1114" s="207">
        <f>IF(ISNUMBER(VLOOKUP($B:$B,'IS(분기)'!$A:$F,$2:$2,0)),VLOOKUP($B:$B,'IS(분기)'!$A:$F,$2:$2,0),0)</f>
        <v>0</v>
      </c>
      <c r="P1114" s="207">
        <f>IF(ISNUMBER(VLOOKUP($B:$B,'IS(분기)'!$A:$F,$2:$2,0)),VLOOKUP($B:$B,'IS(분기)'!$A:$F,$2:$2,0),0)</f>
        <v>0</v>
      </c>
      <c r="Q1114" s="207">
        <f>IF(ISNUMBER(VLOOKUP($B:$B,'IS(분기)'!$A:$F,$2:$2,0)),VLOOKUP($B:$B,'IS(분기)'!$A:$F,$2:$2,0),0)</f>
        <v>0</v>
      </c>
      <c r="R1114" s="207">
        <f>IF(ISNUMBER(VLOOKUP($B:$B,'IS(분기)'!$A:$F,$2:$2,0)),VLOOKUP($B:$B,'IS(분기)'!$A:$F,$2:$2,0),0)</f>
        <v>0</v>
      </c>
    </row>
    <row r="1115" spans="1:18" s="192" customFormat="1" ht="12">
      <c r="A1115" s="202">
        <v>161212</v>
      </c>
      <c r="B1115" s="195" t="s">
        <v>1438</v>
      </c>
      <c r="C1115" s="217">
        <f>IF(ISNUMBER(VLOOKUP($B:$B,IS!$A:$F,$2:$2,0)),VLOOKUP($B:$B,IS!$A:$F,$2:$2,0),0)</f>
        <v>0</v>
      </c>
      <c r="D1115" s="217">
        <f>IF(ISNUMBER(VLOOKUP($B:$B,IS!$A:$F,$2:$2,0)),VLOOKUP($B:$B,IS!$A:$F,$2:$2,0),0)</f>
        <v>0</v>
      </c>
      <c r="E1115" s="217">
        <f>IF(ISNUMBER(VLOOKUP($B:$B,IS!$A:$F,$2:$2,0)),VLOOKUP($B:$B,IS!$A:$F,$2:$2,0),0)</f>
        <v>0</v>
      </c>
      <c r="F1115" s="217">
        <f>IF(ISNUMBER(VLOOKUP($B:$B,IS!$A:$F,$2:$2,0)),VLOOKUP($B:$B,IS!$A:$F,$2:$2,0),0)</f>
        <v>0</v>
      </c>
      <c r="G1115" s="217">
        <f>IF(ISNUMBER(VLOOKUP($B:$B,IS!$A:$F,$2:$2,0)),VLOOKUP($B:$B,IS!$A:$F,$2:$2,0),0)</f>
        <v>0</v>
      </c>
      <c r="H1115" s="207">
        <f>IF(ISNUMBER(VLOOKUP($B:$B,'IS(과거)'!$A:$F,$2:$2,0)),VLOOKUP($B:$B,'IS(과거)'!$A:$F,$2:$2,0),0)</f>
        <v>0</v>
      </c>
      <c r="I1115" s="207">
        <f>IF(ISNUMBER(VLOOKUP($B:$B,'IS(과거)'!$A:$F,$2:$2,0)),VLOOKUP($B:$B,'IS(과거)'!$A:$F,$2:$2,0),0)</f>
        <v>0</v>
      </c>
      <c r="J1115" s="207">
        <f>IF(ISNUMBER(VLOOKUP($B:$B,'IS(과거)'!$A:$F,$2:$2,0)),VLOOKUP($B:$B,'IS(과거)'!$A:$F,$2:$2,0),0)</f>
        <v>0</v>
      </c>
      <c r="K1115" s="207">
        <f>IF(ISNUMBER(VLOOKUP($B:$B,'IS(과거)'!$A:$F,$2:$2,0)),VLOOKUP($B:$B,'IS(과거)'!$A:$F,$2:$2,0),0)</f>
        <v>0</v>
      </c>
      <c r="L1115" s="207">
        <f>IF(ISNUMBER(VLOOKUP($B:$B,'IS(과거)'!$A:$F,$2:$2,0)),VLOOKUP($B:$B,'IS(과거)'!$A:$F,$2:$2,0),0)</f>
        <v>0</v>
      </c>
      <c r="N1115" s="207">
        <f>IF(ISNUMBER(VLOOKUP($B:$B,'IS(분기)'!$A:$F,$2:$2,0)),VLOOKUP($B:$B,'IS(분기)'!$A:$F,$2:$2,0),0)</f>
        <v>0</v>
      </c>
      <c r="O1115" s="207">
        <f>IF(ISNUMBER(VLOOKUP($B:$B,'IS(분기)'!$A:$F,$2:$2,0)),VLOOKUP($B:$B,'IS(분기)'!$A:$F,$2:$2,0),0)</f>
        <v>0</v>
      </c>
      <c r="P1115" s="207">
        <f>IF(ISNUMBER(VLOOKUP($B:$B,'IS(분기)'!$A:$F,$2:$2,0)),VLOOKUP($B:$B,'IS(분기)'!$A:$F,$2:$2,0),0)</f>
        <v>0</v>
      </c>
      <c r="Q1115" s="207">
        <f>IF(ISNUMBER(VLOOKUP($B:$B,'IS(분기)'!$A:$F,$2:$2,0)),VLOOKUP($B:$B,'IS(분기)'!$A:$F,$2:$2,0),0)</f>
        <v>0</v>
      </c>
      <c r="R1115" s="207">
        <f>IF(ISNUMBER(VLOOKUP($B:$B,'IS(분기)'!$A:$F,$2:$2,0)),VLOOKUP($B:$B,'IS(분기)'!$A:$F,$2:$2,0),0)</f>
        <v>0</v>
      </c>
    </row>
    <row r="1116" spans="1:18" s="192" customFormat="1" ht="12">
      <c r="A1116" s="205">
        <v>162000</v>
      </c>
      <c r="B1116" s="198" t="s">
        <v>36</v>
      </c>
      <c r="C1116" s="217">
        <f>IF(ISNUMBER(VLOOKUP($B:$B,IS!$A:$F,$2:$2,0)),VLOOKUP($B:$B,IS!$A:$F,$2:$2,0),0)</f>
        <v>0</v>
      </c>
      <c r="D1116" s="217">
        <f>IF(ISNUMBER(VLOOKUP($B:$B,IS!$A:$F,$2:$2,0)),VLOOKUP($B:$B,IS!$A:$F,$2:$2,0),0)</f>
        <v>0</v>
      </c>
      <c r="E1116" s="217">
        <f>IF(ISNUMBER(VLOOKUP($B:$B,IS!$A:$F,$2:$2,0)),VLOOKUP($B:$B,IS!$A:$F,$2:$2,0),0)</f>
        <v>0</v>
      </c>
      <c r="F1116" s="217">
        <f>IF(ISNUMBER(VLOOKUP($B:$B,IS!$A:$F,$2:$2,0)),VLOOKUP($B:$B,IS!$A:$F,$2:$2,0),0)</f>
        <v>0</v>
      </c>
      <c r="G1116" s="217">
        <f>IF(ISNUMBER(VLOOKUP($B:$B,IS!$A:$F,$2:$2,0)),VLOOKUP($B:$B,IS!$A:$F,$2:$2,0),0)</f>
        <v>0</v>
      </c>
      <c r="H1116" s="207">
        <f>IF(ISNUMBER(VLOOKUP($B:$B,'IS(과거)'!$A:$F,$2:$2,0)),VLOOKUP($B:$B,'IS(과거)'!$A:$F,$2:$2,0),0)</f>
        <v>0</v>
      </c>
      <c r="I1116" s="207">
        <f>IF(ISNUMBER(VLOOKUP($B:$B,'IS(과거)'!$A:$F,$2:$2,0)),VLOOKUP($B:$B,'IS(과거)'!$A:$F,$2:$2,0),0)</f>
        <v>0</v>
      </c>
      <c r="J1116" s="207">
        <f>IF(ISNUMBER(VLOOKUP($B:$B,'IS(과거)'!$A:$F,$2:$2,0)),VLOOKUP($B:$B,'IS(과거)'!$A:$F,$2:$2,0),0)</f>
        <v>0</v>
      </c>
      <c r="K1116" s="207">
        <f>IF(ISNUMBER(VLOOKUP($B:$B,'IS(과거)'!$A:$F,$2:$2,0)),VLOOKUP($B:$B,'IS(과거)'!$A:$F,$2:$2,0),0)</f>
        <v>0</v>
      </c>
      <c r="L1116" s="207">
        <f>IF(ISNUMBER(VLOOKUP($B:$B,'IS(과거)'!$A:$F,$2:$2,0)),VLOOKUP($B:$B,'IS(과거)'!$A:$F,$2:$2,0),0)</f>
        <v>0</v>
      </c>
      <c r="N1116" s="207">
        <f>IF(ISNUMBER(VLOOKUP($B:$B,'IS(분기)'!$A:$F,$2:$2,0)),VLOOKUP($B:$B,'IS(분기)'!$A:$F,$2:$2,0),0)</f>
        <v>0</v>
      </c>
      <c r="O1116" s="207">
        <f>IF(ISNUMBER(VLOOKUP($B:$B,'IS(분기)'!$A:$F,$2:$2,0)),VLOOKUP($B:$B,'IS(분기)'!$A:$F,$2:$2,0),0)</f>
        <v>0</v>
      </c>
      <c r="P1116" s="207">
        <f>IF(ISNUMBER(VLOOKUP($B:$B,'IS(분기)'!$A:$F,$2:$2,0)),VLOOKUP($B:$B,'IS(분기)'!$A:$F,$2:$2,0),0)</f>
        <v>0</v>
      </c>
      <c r="Q1116" s="207">
        <f>IF(ISNUMBER(VLOOKUP($B:$B,'IS(분기)'!$A:$F,$2:$2,0)),VLOOKUP($B:$B,'IS(분기)'!$A:$F,$2:$2,0),0)</f>
        <v>0</v>
      </c>
      <c r="R1116" s="207">
        <f>IF(ISNUMBER(VLOOKUP($B:$B,'IS(분기)'!$A:$F,$2:$2,0)),VLOOKUP($B:$B,'IS(분기)'!$A:$F,$2:$2,0),0)</f>
        <v>0</v>
      </c>
    </row>
    <row r="1117" spans="1:18" s="192" customFormat="1" ht="12">
      <c r="A1117" s="205">
        <v>163000</v>
      </c>
      <c r="B1117" s="198" t="s">
        <v>37</v>
      </c>
      <c r="C1117" s="217">
        <f>IF(ISNUMBER(VLOOKUP($B:$B,IS!$A:$F,$2:$2,0)),VLOOKUP($B:$B,IS!$A:$F,$2:$2,0),0)</f>
        <v>0</v>
      </c>
      <c r="D1117" s="217">
        <f>IF(ISNUMBER(VLOOKUP($B:$B,IS!$A:$F,$2:$2,0)),VLOOKUP($B:$B,IS!$A:$F,$2:$2,0),0)</f>
        <v>0</v>
      </c>
      <c r="E1117" s="217">
        <f>IF(ISNUMBER(VLOOKUP($B:$B,IS!$A:$F,$2:$2,0)),VLOOKUP($B:$B,IS!$A:$F,$2:$2,0),0)</f>
        <v>0</v>
      </c>
      <c r="F1117" s="217">
        <f>IF(ISNUMBER(VLOOKUP($B:$B,IS!$A:$F,$2:$2,0)),VLOOKUP($B:$B,IS!$A:$F,$2:$2,0),0)</f>
        <v>0</v>
      </c>
      <c r="G1117" s="217">
        <f>IF(ISNUMBER(VLOOKUP($B:$B,IS!$A:$F,$2:$2,0)),VLOOKUP($B:$B,IS!$A:$F,$2:$2,0),0)</f>
        <v>0</v>
      </c>
      <c r="H1117" s="207">
        <f>IF(ISNUMBER(VLOOKUP($B:$B,'IS(과거)'!$A:$F,$2:$2,0)),VLOOKUP($B:$B,'IS(과거)'!$A:$F,$2:$2,0),0)</f>
        <v>0</v>
      </c>
      <c r="I1117" s="207">
        <f>IF(ISNUMBER(VLOOKUP($B:$B,'IS(과거)'!$A:$F,$2:$2,0)),VLOOKUP($B:$B,'IS(과거)'!$A:$F,$2:$2,0),0)</f>
        <v>0</v>
      </c>
      <c r="J1117" s="207">
        <f>IF(ISNUMBER(VLOOKUP($B:$B,'IS(과거)'!$A:$F,$2:$2,0)),VLOOKUP($B:$B,'IS(과거)'!$A:$F,$2:$2,0),0)</f>
        <v>0</v>
      </c>
      <c r="K1117" s="207">
        <f>IF(ISNUMBER(VLOOKUP($B:$B,'IS(과거)'!$A:$F,$2:$2,0)),VLOOKUP($B:$B,'IS(과거)'!$A:$F,$2:$2,0),0)</f>
        <v>0</v>
      </c>
      <c r="L1117" s="207">
        <f>IF(ISNUMBER(VLOOKUP($B:$B,'IS(과거)'!$A:$F,$2:$2,0)),VLOOKUP($B:$B,'IS(과거)'!$A:$F,$2:$2,0),0)</f>
        <v>0</v>
      </c>
      <c r="N1117" s="207">
        <f>IF(ISNUMBER(VLOOKUP($B:$B,'IS(분기)'!$A:$F,$2:$2,0)),VLOOKUP($B:$B,'IS(분기)'!$A:$F,$2:$2,0),0)</f>
        <v>0</v>
      </c>
      <c r="O1117" s="207">
        <f>IF(ISNUMBER(VLOOKUP($B:$B,'IS(분기)'!$A:$F,$2:$2,0)),VLOOKUP($B:$B,'IS(분기)'!$A:$F,$2:$2,0),0)</f>
        <v>0</v>
      </c>
      <c r="P1117" s="207">
        <f>IF(ISNUMBER(VLOOKUP($B:$B,'IS(분기)'!$A:$F,$2:$2,0)),VLOOKUP($B:$B,'IS(분기)'!$A:$F,$2:$2,0),0)</f>
        <v>0</v>
      </c>
      <c r="Q1117" s="207">
        <f>IF(ISNUMBER(VLOOKUP($B:$B,'IS(분기)'!$A:$F,$2:$2,0)),VLOOKUP($B:$B,'IS(분기)'!$A:$F,$2:$2,0),0)</f>
        <v>0</v>
      </c>
      <c r="R1117" s="207">
        <f>IF(ISNUMBER(VLOOKUP($B:$B,'IS(분기)'!$A:$F,$2:$2,0)),VLOOKUP($B:$B,'IS(분기)'!$A:$F,$2:$2,0),0)</f>
        <v>0</v>
      </c>
    </row>
  </sheetData>
  <phoneticPr fontId="2" type="noConversion"/>
  <conditionalFormatting sqref="B1:B1048576">
    <cfRule type="duplicateValues" dxfId="5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70C0"/>
  </sheetPr>
  <dimension ref="A1:N255"/>
  <sheetViews>
    <sheetView showGridLines="0" showZeros="0" zoomScaleNormal="100" workbookViewId="0">
      <pane xSplit="3" ySplit="2" topLeftCell="D208" activePane="bottomRight" state="frozen"/>
      <selection activeCell="C1" sqref="C1"/>
      <selection pane="topRight" activeCell="D1" sqref="D1"/>
      <selection pane="bottomLeft" activeCell="C3" sqref="C3"/>
      <selection pane="bottomRight" activeCell="I217" sqref="I217"/>
    </sheetView>
  </sheetViews>
  <sheetFormatPr defaultRowHeight="12" customHeight="1" outlineLevelCol="1"/>
  <cols>
    <col min="1" max="1" width="30.5" style="245" customWidth="1" outlineLevel="1"/>
    <col min="2" max="2" width="8" style="265" customWidth="1" outlineLevel="1"/>
    <col min="3" max="3" width="24.625" style="277" customWidth="1"/>
    <col min="4" max="4" width="13.625" style="289" customWidth="1"/>
    <col min="5" max="5" width="13.625" style="290" customWidth="1"/>
    <col min="6" max="6" width="13.625" style="289" customWidth="1"/>
    <col min="7" max="7" width="13.625" style="290" customWidth="1"/>
    <col min="8" max="9" width="12.625" style="245" customWidth="1"/>
    <col min="10" max="10" width="17.375" style="245" customWidth="1"/>
    <col min="11" max="11" width="10.25" style="245" bestFit="1" customWidth="1"/>
    <col min="12" max="12" width="9" style="280" customWidth="1"/>
    <col min="13" max="16384" width="9" style="245"/>
  </cols>
  <sheetData>
    <row r="1" spans="1:12" s="246" customFormat="1" ht="12" customHeight="1">
      <c r="A1" s="276" t="s">
        <v>1452</v>
      </c>
      <c r="C1" s="296">
        <f>BS!A2</f>
        <v>0</v>
      </c>
      <c r="D1" s="297">
        <v>3</v>
      </c>
      <c r="E1" s="298">
        <v>14</v>
      </c>
      <c r="F1" s="297">
        <v>7</v>
      </c>
      <c r="G1" s="298">
        <v>3</v>
      </c>
      <c r="H1" s="246">
        <v>1000</v>
      </c>
      <c r="J1" s="246">
        <v>6</v>
      </c>
    </row>
    <row r="2" spans="1:12" s="248" customFormat="1" ht="12" customHeight="1">
      <c r="B2" s="249">
        <v>110000</v>
      </c>
      <c r="C2" s="250" t="s">
        <v>1437</v>
      </c>
      <c r="D2" s="251" t="s">
        <v>1443</v>
      </c>
      <c r="E2" s="251" t="e">
        <f>VLOOKUP($B:$B,RAW!$A:$Z,$1:$1,0)</f>
        <v>#N/A</v>
      </c>
      <c r="F2" s="251" t="s">
        <v>1444</v>
      </c>
      <c r="G2" s="251" t="e">
        <f>VLOOKUP($B:$B,RAW!$A:$Z,$1:$1,0)</f>
        <v>#N/A</v>
      </c>
      <c r="H2" s="291" t="str">
        <f>입력!D1</f>
        <v>당기 차대변 일치</v>
      </c>
      <c r="I2" s="291" t="str">
        <f>입력!H1</f>
        <v>전기 차대변 일치</v>
      </c>
      <c r="J2" s="291" t="s">
        <v>1453</v>
      </c>
      <c r="L2" s="247"/>
    </row>
    <row r="3" spans="1:12" ht="12" customHeight="1">
      <c r="A3" s="245" t="s">
        <v>757</v>
      </c>
      <c r="B3" s="252">
        <v>112000</v>
      </c>
      <c r="C3" s="278" t="str">
        <f>IFERROR(VLOOKUP($B:$B,RAW!$A:$L,2,0),"")</f>
        <v>유동자산(계)</v>
      </c>
      <c r="D3" s="253">
        <f>VLOOKUP($B:$B,입력!$B:$Z,$1:$1,0)/$H$1</f>
        <v>91991593.871999994</v>
      </c>
      <c r="E3" s="253" t="e">
        <f>VLOOKUP($B:$B,RAW!$A:$Z,$1:$1,0)</f>
        <v>#N/A</v>
      </c>
      <c r="F3" s="253">
        <f>VLOOKUP($B:$B,입력!$B:$Z,$1:$1,0)/$H$1</f>
        <v>0</v>
      </c>
      <c r="G3" s="253">
        <f>VLOOKUP($B:$B,RAW!$A:$Z,$1:$1,0)</f>
        <v>0</v>
      </c>
      <c r="H3" s="304"/>
      <c r="I3" s="304">
        <f>IFERROR(G3-F3,"")</f>
        <v>0</v>
      </c>
      <c r="J3" s="303">
        <f>VLOOKUP($B:$B,입력!$B:$G,$1:$1,0)</f>
        <v>0</v>
      </c>
    </row>
    <row r="4" spans="1:12" ht="12" customHeight="1">
      <c r="A4" s="245" t="s">
        <v>758</v>
      </c>
      <c r="B4" s="254">
        <v>111300</v>
      </c>
      <c r="C4" s="308" t="str">
        <f>IFERROR(VLOOKUP($B:$B,RAW!$A:$L,2,0),"")</f>
        <v>당좌자산(계)</v>
      </c>
      <c r="D4" s="255">
        <f>VLOOKUP($B:$B,입력!$B:$Z,$1:$1,0)/$H$1</f>
        <v>91525726.923999995</v>
      </c>
      <c r="E4" s="255">
        <f>VLOOKUP($B:$B,RAW!$A:$Z,$1:$1,0)</f>
        <v>0</v>
      </c>
      <c r="F4" s="255">
        <f>VLOOKUP($B:$B,입력!$B:$Z,$1:$1,0)/$H$1</f>
        <v>0</v>
      </c>
      <c r="G4" s="255">
        <f>VLOOKUP($B:$B,RAW!$A:$Z,$1:$1,0)</f>
        <v>0</v>
      </c>
      <c r="H4" s="304"/>
      <c r="I4" s="304">
        <f>IFERROR(G4-F4,"")</f>
        <v>0</v>
      </c>
      <c r="J4" s="303">
        <f>VLOOKUP($B:$B,입력!$B:$G,$1:$1,0)</f>
        <v>0</v>
      </c>
    </row>
    <row r="5" spans="1:12" ht="12" customHeight="1">
      <c r="A5" s="245" t="s">
        <v>555</v>
      </c>
      <c r="B5" s="256">
        <v>111100</v>
      </c>
      <c r="C5" s="311" t="str">
        <f>IFERROR(VLOOKUP($B:$B,RAW!$A:$L,2,0),"")</f>
        <v>현금및현금등가물</v>
      </c>
      <c r="D5" s="255">
        <f>VLOOKUP($B:$B,입력!$B:$Z,$1:$1,0)/$H$1</f>
        <v>6065656.4730000002</v>
      </c>
      <c r="E5" s="255">
        <f>VLOOKUP($B:$B,RAW!$A:$Z,$1:$1,0)</f>
        <v>0</v>
      </c>
      <c r="F5" s="255">
        <f>VLOOKUP($B:$B,입력!$B:$Z,$1:$1,0)/$H$1</f>
        <v>0</v>
      </c>
      <c r="G5" s="255">
        <f>VLOOKUP($B:$B,RAW!$A:$Z,$1:$1,0)</f>
        <v>0</v>
      </c>
      <c r="H5" s="304"/>
      <c r="I5" s="304">
        <f t="shared" ref="I5:I67" si="0">IFERROR(G5-F5,"")</f>
        <v>0</v>
      </c>
      <c r="J5" s="303" t="str">
        <f>VLOOKUP($B:$B,입력!$B:$G,$1:$1,0)</f>
        <v>미수금</v>
      </c>
    </row>
    <row r="6" spans="1:12" ht="12" customHeight="1">
      <c r="A6" s="245" t="s">
        <v>556</v>
      </c>
      <c r="B6" s="256">
        <v>111220</v>
      </c>
      <c r="C6" s="311" t="str">
        <f>IFERROR(VLOOKUP($B:$B,RAW!$A:$L,2,0),"")</f>
        <v>단기금융상품</v>
      </c>
      <c r="D6" s="255">
        <f>VLOOKUP($B:$B,입력!$B:$Z,$1:$1,0)/$H$1</f>
        <v>0</v>
      </c>
      <c r="E6" s="255">
        <f>VLOOKUP($B:$B,RAW!$A:$Z,$1:$1,0)</f>
        <v>0</v>
      </c>
      <c r="F6" s="255">
        <f>VLOOKUP($B:$B,입력!$B:$Z,$1:$1,0)/$H$1</f>
        <v>0</v>
      </c>
      <c r="G6" s="255">
        <f>VLOOKUP($B:$B,RAW!$A:$Z,$1:$1,0)</f>
        <v>0</v>
      </c>
      <c r="H6" s="304"/>
      <c r="I6" s="304">
        <f t="shared" si="0"/>
        <v>0</v>
      </c>
      <c r="J6" s="303" t="str">
        <f>VLOOKUP($B:$B,입력!$B:$G,$1:$1,0)</f>
        <v>미청구수익</v>
      </c>
    </row>
    <row r="7" spans="1:12" ht="12" customHeight="1">
      <c r="A7" s="245" t="s">
        <v>557</v>
      </c>
      <c r="B7" s="256">
        <v>111140</v>
      </c>
      <c r="C7" s="311" t="str">
        <f>IFERROR(VLOOKUP($B:$B,RAW!$A:$L,2,0),"")</f>
        <v>단기투자증권</v>
      </c>
      <c r="D7" s="255">
        <f>VLOOKUP($B:$B,입력!$B:$Z,$1:$1,0)/$H$1</f>
        <v>0</v>
      </c>
      <c r="E7" s="255">
        <f>VLOOKUP($B:$B,RAW!$A:$Z,$1:$1,0)</f>
        <v>0</v>
      </c>
      <c r="F7" s="255">
        <f>VLOOKUP($B:$B,입력!$B:$Z,$1:$1,0)/$H$1</f>
        <v>0</v>
      </c>
      <c r="G7" s="255">
        <f>VLOOKUP($B:$B,RAW!$A:$Z,$1:$1,0)</f>
        <v>0</v>
      </c>
      <c r="H7" s="304"/>
      <c r="I7" s="304">
        <f t="shared" si="0"/>
        <v>0</v>
      </c>
      <c r="J7" s="303" t="str">
        <f>VLOOKUP($B:$B,입력!$B:$G,$1:$1,0)</f>
        <v>선급금</v>
      </c>
    </row>
    <row r="8" spans="1:12" ht="12" customHeight="1">
      <c r="A8" s="245" t="s">
        <v>558</v>
      </c>
      <c r="B8" s="256">
        <v>111150</v>
      </c>
      <c r="C8" s="311" t="str">
        <f>IFERROR(VLOOKUP($B:$B,RAW!$A:$L,2,0),"")</f>
        <v>매출채권</v>
      </c>
      <c r="D8" s="255">
        <f>VLOOKUP($B:$B,입력!$B:$Z,$1:$1,0)/$H$1</f>
        <v>20176229.897</v>
      </c>
      <c r="E8" s="255">
        <f>VLOOKUP($B:$B,RAW!$A:$Z,$1:$1,0)</f>
        <v>0</v>
      </c>
      <c r="F8" s="255">
        <f>VLOOKUP($B:$B,입력!$B:$Z,$1:$1,0)/$H$1</f>
        <v>0</v>
      </c>
      <c r="G8" s="255">
        <f>VLOOKUP($B:$B,RAW!$A:$Z,$1:$1,0)</f>
        <v>0</v>
      </c>
      <c r="H8" s="304"/>
      <c r="I8" s="304">
        <f t="shared" si="0"/>
        <v>0</v>
      </c>
      <c r="J8" s="303" t="str">
        <f>VLOOKUP($B:$B,입력!$B:$G,$1:$1,0)</f>
        <v>임차보증금</v>
      </c>
    </row>
    <row r="9" spans="1:12" ht="12" customHeight="1">
      <c r="A9" s="245" t="s">
        <v>559</v>
      </c>
      <c r="B9" s="256">
        <v>111170</v>
      </c>
      <c r="C9" s="311" t="str">
        <f>IFERROR(VLOOKUP($B:$B,RAW!$A:$L,2,0),"")</f>
        <v>단기대여금</v>
      </c>
      <c r="D9" s="255">
        <f>VLOOKUP($B:$B,입력!$B:$Z,$1:$1,0)/$H$1</f>
        <v>51422175</v>
      </c>
      <c r="E9" s="255">
        <f>VLOOKUP($B:$B,RAW!$A:$Z,$1:$1,0)</f>
        <v>0</v>
      </c>
      <c r="F9" s="255">
        <f>VLOOKUP($B:$B,입력!$B:$Z,$1:$1,0)/$H$1</f>
        <v>0</v>
      </c>
      <c r="G9" s="255">
        <f>VLOOKUP($B:$B,RAW!$A:$Z,$1:$1,0)</f>
        <v>0</v>
      </c>
      <c r="H9" s="304"/>
      <c r="I9" s="304">
        <f t="shared" si="0"/>
        <v>0</v>
      </c>
      <c r="J9" s="303" t="str">
        <f>VLOOKUP($B:$B,입력!$B:$G,$1:$1,0)</f>
        <v>기타보증금</v>
      </c>
    </row>
    <row r="10" spans="1:12" ht="12" customHeight="1">
      <c r="A10" s="245" t="s">
        <v>560</v>
      </c>
      <c r="B10" s="257">
        <v>111154</v>
      </c>
      <c r="C10" s="314" t="str">
        <f>IFERROR(VLOOKUP($B:$B,RAW!$A:$L,2,0),"")</f>
        <v>영업미수금</v>
      </c>
      <c r="D10" s="255">
        <f>VLOOKUP($B:$B,입력!$B:$Z,$1:$1,0)/$H$1</f>
        <v>0</v>
      </c>
      <c r="E10" s="255">
        <f>VLOOKUP($B:$B,RAW!$A:$Z,$1:$1,0)</f>
        <v>0</v>
      </c>
      <c r="F10" s="255">
        <f>VLOOKUP($B:$B,입력!$B:$Z,$1:$1,0)/$H$1</f>
        <v>0</v>
      </c>
      <c r="G10" s="255">
        <f>VLOOKUP($B:$B,RAW!$A:$Z,$1:$1,0)</f>
        <v>0</v>
      </c>
      <c r="H10" s="304"/>
      <c r="I10" s="304">
        <f t="shared" si="0"/>
        <v>0</v>
      </c>
      <c r="J10" s="303" t="str">
        <f>VLOOKUP($B:$B,입력!$B:$G,$1:$1,0)</f>
        <v>선납세금</v>
      </c>
    </row>
    <row r="11" spans="1:12" ht="12" customHeight="1">
      <c r="A11" s="245" t="s">
        <v>561</v>
      </c>
      <c r="B11" s="257">
        <v>111155</v>
      </c>
      <c r="C11" s="314" t="str">
        <f>IFERROR(VLOOKUP($B:$B,RAW!$A:$L,2,0),"")</f>
        <v>영업외화미수금</v>
      </c>
      <c r="D11" s="255">
        <f>VLOOKUP($B:$B,입력!$B:$Z,$1:$1,0)/$H$1</f>
        <v>0</v>
      </c>
      <c r="E11" s="255">
        <f>VLOOKUP($B:$B,RAW!$A:$Z,$1:$1,0)</f>
        <v>0</v>
      </c>
      <c r="F11" s="255">
        <f>VLOOKUP($B:$B,입력!$B:$Z,$1:$1,0)/$H$1</f>
        <v>0</v>
      </c>
      <c r="G11" s="255">
        <f>VLOOKUP($B:$B,RAW!$A:$Z,$1:$1,0)</f>
        <v>0</v>
      </c>
      <c r="H11" s="304"/>
      <c r="I11" s="304">
        <f t="shared" si="0"/>
        <v>0</v>
      </c>
      <c r="J11" s="303" t="str">
        <f>VLOOKUP($B:$B,입력!$B:$G,$1:$1,0)</f>
        <v>계약자산</v>
      </c>
    </row>
    <row r="12" spans="1:12" ht="12" customHeight="1">
      <c r="A12" s="245" t="s">
        <v>562</v>
      </c>
      <c r="B12" s="257">
        <v>111181</v>
      </c>
      <c r="C12" s="314" t="str">
        <f>IFERROR(VLOOKUP($B:$B,RAW!$A:$L,2,0),"")</f>
        <v>공사미수금</v>
      </c>
      <c r="D12" s="255">
        <f>VLOOKUP($B:$B,입력!$B:$Z,$1:$1,0)/$H$1</f>
        <v>0</v>
      </c>
      <c r="E12" s="255">
        <f>VLOOKUP($B:$B,RAW!$A:$Z,$1:$1,0)</f>
        <v>0</v>
      </c>
      <c r="F12" s="255">
        <f>VLOOKUP($B:$B,입력!$B:$Z,$1:$1,0)/$H$1</f>
        <v>0</v>
      </c>
      <c r="G12" s="255">
        <f>VLOOKUP($B:$B,RAW!$A:$Z,$1:$1,0)</f>
        <v>0</v>
      </c>
      <c r="H12" s="304"/>
      <c r="I12" s="304">
        <f t="shared" si="0"/>
        <v>0</v>
      </c>
      <c r="J12" s="303" t="str">
        <f>VLOOKUP($B:$B,입력!$B:$G,$1:$1,0)</f>
        <v>리스채권</v>
      </c>
    </row>
    <row r="13" spans="1:12" ht="12" customHeight="1">
      <c r="A13" s="245" t="s">
        <v>563</v>
      </c>
      <c r="B13" s="257">
        <v>111184</v>
      </c>
      <c r="C13" s="314" t="str">
        <f>IFERROR(VLOOKUP($B:$B,RAW!$A:$L,2,0),"")</f>
        <v>분양미수금</v>
      </c>
      <c r="D13" s="255">
        <f>VLOOKUP($B:$B,입력!$B:$Z,$1:$1,0)/$H$1</f>
        <v>0</v>
      </c>
      <c r="E13" s="255">
        <f>VLOOKUP($B:$B,RAW!$A:$Z,$1:$1,0)</f>
        <v>0</v>
      </c>
      <c r="F13" s="255">
        <f>VLOOKUP($B:$B,입력!$B:$Z,$1:$1,0)/$H$1</f>
        <v>0</v>
      </c>
      <c r="G13" s="255">
        <f>VLOOKUP($B:$B,RAW!$A:$Z,$1:$1,0)</f>
        <v>0</v>
      </c>
      <c r="H13" s="304"/>
      <c r="I13" s="304">
        <f t="shared" si="0"/>
        <v>0</v>
      </c>
      <c r="J13" s="303" t="str">
        <f>VLOOKUP($B:$B,입력!$B:$G,$1:$1,0)</f>
        <v>기타자산</v>
      </c>
    </row>
    <row r="14" spans="1:12" ht="12" customHeight="1">
      <c r="A14" s="245" t="s">
        <v>564</v>
      </c>
      <c r="B14" s="257">
        <v>111185</v>
      </c>
      <c r="C14" s="314" t="str">
        <f>IFERROR(VLOOKUP($B:$B,RAW!$A:$L,2,0),"")</f>
        <v>임대미수금</v>
      </c>
      <c r="D14" s="255">
        <f>VLOOKUP($B:$B,입력!$B:$Z,$1:$1,0)/$H$1</f>
        <v>0</v>
      </c>
      <c r="E14" s="255">
        <f>VLOOKUP($B:$B,RAW!$A:$Z,$1:$1,0)</f>
        <v>0</v>
      </c>
      <c r="F14" s="255">
        <f>VLOOKUP($B:$B,입력!$B:$Z,$1:$1,0)/$H$1</f>
        <v>0</v>
      </c>
      <c r="G14" s="255">
        <f>VLOOKUP($B:$B,RAW!$A:$Z,$1:$1,0)</f>
        <v>0</v>
      </c>
      <c r="H14" s="304"/>
      <c r="I14" s="304">
        <f t="shared" si="0"/>
        <v>0</v>
      </c>
      <c r="J14" s="303" t="str">
        <f>VLOOKUP($B:$B,입력!$B:$G,$1:$1,0)</f>
        <v>미수수익</v>
      </c>
    </row>
    <row r="15" spans="1:12" ht="12" customHeight="1">
      <c r="A15" s="245" t="s">
        <v>565</v>
      </c>
      <c r="B15" s="256">
        <v>111420</v>
      </c>
      <c r="C15" s="311" t="str">
        <f>IFERROR(VLOOKUP($B:$B,RAW!$A:$L,2,0),"")</f>
        <v>선급비용</v>
      </c>
      <c r="D15" s="255">
        <f>VLOOKUP($B:$B,입력!$B:$Z,$1:$1,0)/$H$1</f>
        <v>688098.978</v>
      </c>
      <c r="E15" s="255">
        <f>VLOOKUP($B:$B,RAW!$A:$Z,$1:$1,0)</f>
        <v>0</v>
      </c>
      <c r="F15" s="255">
        <f>VLOOKUP($B:$B,입력!$B:$Z,$1:$1,0)/$H$1</f>
        <v>0</v>
      </c>
      <c r="G15" s="255">
        <f>VLOOKUP($B:$B,RAW!$A:$Z,$1:$1,0)</f>
        <v>0</v>
      </c>
      <c r="H15" s="304"/>
      <c r="I15" s="304">
        <f t="shared" si="0"/>
        <v>0</v>
      </c>
      <c r="J15" s="303">
        <f>VLOOKUP($B:$B,입력!$B:$G,$1:$1,0)</f>
        <v>0</v>
      </c>
    </row>
    <row r="16" spans="1:12" ht="12" customHeight="1">
      <c r="A16" s="245" t="s">
        <v>759</v>
      </c>
      <c r="B16" s="254">
        <v>111400</v>
      </c>
      <c r="C16" s="308" t="str">
        <f>IFERROR(VLOOKUP($B:$B,RAW!$A:$L,2,0),"")</f>
        <v>재고자산(계)</v>
      </c>
      <c r="D16" s="255">
        <f>VLOOKUP($B:$B,입력!$B:$Z,$1:$1,0)/$H$1</f>
        <v>465866.94799999997</v>
      </c>
      <c r="E16" s="255">
        <f>VLOOKUP($B:$B,RAW!$A:$Z,$1:$1,0)</f>
        <v>0</v>
      </c>
      <c r="F16" s="255">
        <f>VLOOKUP($B:$B,입력!$B:$Z,$1:$1,0)/$H$1</f>
        <v>0</v>
      </c>
      <c r="G16" s="255">
        <f>VLOOKUP($B:$B,RAW!$A:$Z,$1:$1,0)</f>
        <v>0</v>
      </c>
      <c r="H16" s="304"/>
      <c r="I16" s="304">
        <f t="shared" si="0"/>
        <v>0</v>
      </c>
      <c r="J16" s="303">
        <f>VLOOKUP($B:$B,입력!$B:$G,$1:$1,0)</f>
        <v>0</v>
      </c>
    </row>
    <row r="17" spans="1:10" ht="12" customHeight="1">
      <c r="A17" s="245" t="s">
        <v>760</v>
      </c>
      <c r="B17" s="258">
        <v>114000</v>
      </c>
      <c r="C17" s="278" t="str">
        <f>IFERROR(VLOOKUP($B:$B,RAW!$A:$L,2,0),"")</f>
        <v>비유동자산(계)</v>
      </c>
      <c r="D17" s="253">
        <f>VLOOKUP($B:$B,입력!$B:$Z,$1:$1,0)/$H$1</f>
        <v>40235151.186999999</v>
      </c>
      <c r="E17" s="253">
        <f>VLOOKUP($B:$B,RAW!$A:$Z,$1:$1,0)</f>
        <v>0</v>
      </c>
      <c r="F17" s="253">
        <f>VLOOKUP($B:$B,입력!$B:$Z,$1:$1,0)/$H$1</f>
        <v>0</v>
      </c>
      <c r="G17" s="253">
        <f>VLOOKUP($B:$B,RAW!$A:$Z,$1:$1,0)</f>
        <v>0</v>
      </c>
      <c r="H17" s="304"/>
      <c r="I17" s="304">
        <f t="shared" si="0"/>
        <v>0</v>
      </c>
      <c r="J17" s="303">
        <f>VLOOKUP($B:$B,입력!$B:$G,$1:$1,0)</f>
        <v>0</v>
      </c>
    </row>
    <row r="18" spans="1:10" ht="12" customHeight="1">
      <c r="A18" s="245" t="s">
        <v>761</v>
      </c>
      <c r="B18" s="254">
        <v>113000</v>
      </c>
      <c r="C18" s="308" t="str">
        <f>IFERROR(VLOOKUP($B:$B,RAW!$A:$L,2,0),"")</f>
        <v>투자자산(계)</v>
      </c>
      <c r="D18" s="255">
        <f>VLOOKUP($B:$B,입력!$B:$Z,$1:$1,0)/$H$1</f>
        <v>13845683.045</v>
      </c>
      <c r="E18" s="255">
        <f>VLOOKUP($B:$B,RAW!$A:$Z,$1:$1,0)</f>
        <v>0</v>
      </c>
      <c r="F18" s="255">
        <f>VLOOKUP($B:$B,입력!$B:$Z,$1:$1,0)/$H$1</f>
        <v>0</v>
      </c>
      <c r="G18" s="255">
        <f>VLOOKUP($B:$B,RAW!$A:$Z,$1:$1,0)</f>
        <v>0</v>
      </c>
      <c r="H18" s="304"/>
      <c r="I18" s="304">
        <f t="shared" si="0"/>
        <v>0</v>
      </c>
      <c r="J18" s="303">
        <f>VLOOKUP($B:$B,입력!$B:$G,$1:$1,0)</f>
        <v>0</v>
      </c>
    </row>
    <row r="19" spans="1:10" ht="12" customHeight="1">
      <c r="A19" s="245" t="s">
        <v>566</v>
      </c>
      <c r="B19" s="256">
        <v>112111</v>
      </c>
      <c r="C19" s="311" t="str">
        <f>IFERROR(VLOOKUP($B:$B,RAW!$A:$L,2,0),"")</f>
        <v>장기금융상품</v>
      </c>
      <c r="D19" s="255">
        <f>VLOOKUP($B:$B,입력!$B:$Z,$1:$1,0)/$H$1</f>
        <v>0</v>
      </c>
      <c r="E19" s="255">
        <f>VLOOKUP($B:$B,RAW!$A:$Z,$1:$1,0)</f>
        <v>0</v>
      </c>
      <c r="F19" s="255">
        <f>VLOOKUP($B:$B,입력!$B:$Z,$1:$1,0)/$H$1</f>
        <v>0</v>
      </c>
      <c r="G19" s="255">
        <f>VLOOKUP($B:$B,RAW!$A:$Z,$1:$1,0)</f>
        <v>0</v>
      </c>
      <c r="H19" s="304"/>
      <c r="I19" s="304">
        <f t="shared" si="0"/>
        <v>0</v>
      </c>
      <c r="J19" s="303" t="str">
        <f>VLOOKUP($B:$B,입력!$B:$G,$1:$1,0)</f>
        <v>임차보증금</v>
      </c>
    </row>
    <row r="20" spans="1:10" ht="12" customHeight="1">
      <c r="A20" s="245" t="s">
        <v>567</v>
      </c>
      <c r="B20" s="256">
        <v>112120</v>
      </c>
      <c r="C20" s="311" t="str">
        <f>IFERROR(VLOOKUP($B:$B,RAW!$A:$L,2,0),"")</f>
        <v>장기투자증권</v>
      </c>
      <c r="D20" s="255">
        <f>VLOOKUP($B:$B,입력!$B:$Z,$1:$1,0)/$H$1</f>
        <v>0</v>
      </c>
      <c r="E20" s="255">
        <f>VLOOKUP($B:$B,RAW!$A:$Z,$1:$1,0)</f>
        <v>0</v>
      </c>
      <c r="F20" s="255">
        <f>VLOOKUP($B:$B,입력!$B:$Z,$1:$1,0)/$H$1</f>
        <v>0</v>
      </c>
      <c r="G20" s="255">
        <f>VLOOKUP($B:$B,RAW!$A:$Z,$1:$1,0)</f>
        <v>0</v>
      </c>
      <c r="H20" s="304"/>
      <c r="I20" s="304">
        <f t="shared" si="0"/>
        <v>0</v>
      </c>
      <c r="J20" s="303" t="str">
        <f>VLOOKUP($B:$B,입력!$B:$G,$1:$1,0)</f>
        <v>전신전화가입권</v>
      </c>
    </row>
    <row r="21" spans="1:10" ht="12" customHeight="1">
      <c r="A21" s="245" t="s">
        <v>568</v>
      </c>
      <c r="B21" s="256">
        <v>112147</v>
      </c>
      <c r="C21" s="311" t="str">
        <f>IFERROR(VLOOKUP($B:$B,RAW!$A:$L,2,0),"")</f>
        <v>지분법적용주식</v>
      </c>
      <c r="D21" s="255">
        <f>VLOOKUP($B:$B,입력!$B:$Z,$1:$1,0)/$H$1</f>
        <v>5725679</v>
      </c>
      <c r="E21" s="255">
        <f>VLOOKUP($B:$B,RAW!$A:$Z,$1:$1,0)</f>
        <v>0</v>
      </c>
      <c r="F21" s="255">
        <f>VLOOKUP($B:$B,입력!$B:$Z,$1:$1,0)/$H$1</f>
        <v>0</v>
      </c>
      <c r="G21" s="255">
        <f>VLOOKUP($B:$B,RAW!$A:$Z,$1:$1,0)</f>
        <v>0</v>
      </c>
      <c r="H21" s="304"/>
      <c r="I21" s="304">
        <f t="shared" si="0"/>
        <v>0</v>
      </c>
      <c r="J21" s="303" t="str">
        <f>VLOOKUP($B:$B,입력!$B:$G,$1:$1,0)</f>
        <v>퇴직보험예치금</v>
      </c>
    </row>
    <row r="22" spans="1:10" ht="12" customHeight="1">
      <c r="A22" s="245" t="s">
        <v>569</v>
      </c>
      <c r="B22" s="256">
        <v>112210</v>
      </c>
      <c r="C22" s="311" t="str">
        <f>IFERROR(VLOOKUP($B:$B,RAW!$A:$L,2,0),"")</f>
        <v>장기대여금</v>
      </c>
      <c r="D22" s="255">
        <f>VLOOKUP($B:$B,입력!$B:$Z,$1:$1,0)/$H$1</f>
        <v>0</v>
      </c>
      <c r="E22" s="255">
        <f>VLOOKUP($B:$B,RAW!$A:$Z,$1:$1,0)</f>
        <v>0</v>
      </c>
      <c r="F22" s="255">
        <f>VLOOKUP($B:$B,입력!$B:$Z,$1:$1,0)/$H$1</f>
        <v>0</v>
      </c>
      <c r="G22" s="255">
        <f>VLOOKUP($B:$B,RAW!$A:$Z,$1:$1,0)</f>
        <v>0</v>
      </c>
      <c r="H22" s="304"/>
      <c r="I22" s="304">
        <f t="shared" si="0"/>
        <v>0</v>
      </c>
      <c r="J22" s="303" t="str">
        <f>VLOOKUP($B:$B,입력!$B:$G,$1:$1,0)</f>
        <v>비유동당기손익인식지정금융자산 (I/C)</v>
      </c>
    </row>
    <row r="23" spans="1:10" ht="12" customHeight="1">
      <c r="A23" s="245" t="s">
        <v>570</v>
      </c>
      <c r="B23" s="256">
        <v>112150</v>
      </c>
      <c r="C23" s="311" t="str">
        <f>IFERROR(VLOOKUP($B:$B,RAW!$A:$L,2,0),"")</f>
        <v>투자부동산</v>
      </c>
      <c r="D23" s="255">
        <f>VLOOKUP($B:$B,입력!$B:$Z,$1:$1,0)/$H$1</f>
        <v>0</v>
      </c>
      <c r="E23" s="255">
        <f>VLOOKUP($B:$B,RAW!$A:$Z,$1:$1,0)</f>
        <v>0</v>
      </c>
      <c r="F23" s="255">
        <f>VLOOKUP($B:$B,입력!$B:$Z,$1:$1,0)/$H$1</f>
        <v>0</v>
      </c>
      <c r="G23" s="255">
        <f>VLOOKUP($B:$B,RAW!$A:$Z,$1:$1,0)</f>
        <v>0</v>
      </c>
      <c r="H23" s="304"/>
      <c r="I23" s="304">
        <f t="shared" si="0"/>
        <v>0</v>
      </c>
      <c r="J23" s="303">
        <f>VLOOKUP($B:$B,입력!$B:$G,$1:$1,0)</f>
        <v>0</v>
      </c>
    </row>
    <row r="24" spans="1:10" ht="12" customHeight="1">
      <c r="A24" s="245" t="s">
        <v>762</v>
      </c>
      <c r="B24" s="254">
        <v>113200</v>
      </c>
      <c r="C24" s="308" t="str">
        <f>IFERROR(VLOOKUP($B:$B,RAW!$A:$L,2,0),"")</f>
        <v>유형자산(계)</v>
      </c>
      <c r="D24" s="255">
        <f>VLOOKUP($B:$B,입력!$B:$Z,$1:$1,0)/$H$1</f>
        <v>15556075.997</v>
      </c>
      <c r="E24" s="255">
        <f>VLOOKUP($B:$B,RAW!$A:$Z,$1:$1,0)</f>
        <v>0</v>
      </c>
      <c r="F24" s="255">
        <f>VLOOKUP($B:$B,입력!$B:$Z,$1:$1,0)/$H$1</f>
        <v>0</v>
      </c>
      <c r="G24" s="255">
        <f>VLOOKUP($B:$B,RAW!$A:$Z,$1:$1,0)</f>
        <v>0</v>
      </c>
      <c r="H24" s="304"/>
      <c r="I24" s="304">
        <f t="shared" si="0"/>
        <v>0</v>
      </c>
      <c r="J24" s="303">
        <f>VLOOKUP($B:$B,입력!$B:$G,$1:$1,0)</f>
        <v>0</v>
      </c>
    </row>
    <row r="25" spans="1:10" ht="12" customHeight="1">
      <c r="A25" s="245" t="s">
        <v>571</v>
      </c>
      <c r="B25" s="254">
        <v>113201</v>
      </c>
      <c r="C25" s="308" t="str">
        <f>IFERROR(VLOOKUP($B:$B,RAW!$A:$L,2,0),"")</f>
        <v>(유형자산감가상각누계액계)</v>
      </c>
      <c r="D25" s="255">
        <f>VLOOKUP($B:$B,입력!$B:$Z,$1:$1,0)/$H$1</f>
        <v>5730988.9170000004</v>
      </c>
      <c r="E25" s="255">
        <f>VLOOKUP($B:$B,RAW!$A:$Z,$1:$1,0)</f>
        <v>0</v>
      </c>
      <c r="F25" s="255">
        <f>-VLOOKUP($B:$B,입력!$B:$Z,$1:$1,0)/$H$1</f>
        <v>0</v>
      </c>
      <c r="G25" s="255">
        <f>VLOOKUP($B:$B,RAW!$A:$Z,$1:$1,0)</f>
        <v>0</v>
      </c>
      <c r="H25" s="304"/>
      <c r="I25" s="304">
        <f t="shared" si="0"/>
        <v>0</v>
      </c>
      <c r="J25" s="303">
        <f>VLOOKUP($B:$B,입력!$B:$G,$1:$1,0)</f>
        <v>0</v>
      </c>
    </row>
    <row r="26" spans="1:10" ht="12" customHeight="1">
      <c r="A26" s="245" t="s">
        <v>572</v>
      </c>
      <c r="B26" s="256">
        <v>113110</v>
      </c>
      <c r="C26" s="311" t="str">
        <f>IFERROR(VLOOKUP($B:$B,RAW!$A:$L,2,0),"")</f>
        <v>토지</v>
      </c>
      <c r="D26" s="255">
        <f>VLOOKUP($B:$B,입력!$B:$Z,$1:$1,0)/$H$1</f>
        <v>0</v>
      </c>
      <c r="E26" s="255">
        <f>VLOOKUP($B:$B,RAW!$A:$Z,$1:$1,0)</f>
        <v>0</v>
      </c>
      <c r="F26" s="255">
        <f>VLOOKUP($B:$B,입력!$B:$Z,$1:$1,0)/$H$1</f>
        <v>0</v>
      </c>
      <c r="G26" s="255">
        <f>VLOOKUP($B:$B,RAW!$A:$Z,$1:$1,0)</f>
        <v>0</v>
      </c>
      <c r="H26" s="304"/>
      <c r="I26" s="304">
        <f t="shared" si="0"/>
        <v>0</v>
      </c>
      <c r="J26" s="303">
        <f>VLOOKUP($B:$B,입력!$B:$G,$1:$1,0)</f>
        <v>0</v>
      </c>
    </row>
    <row r="27" spans="1:10" ht="12" customHeight="1">
      <c r="A27" s="245" t="s">
        <v>763</v>
      </c>
      <c r="B27" s="254">
        <v>113400</v>
      </c>
      <c r="C27" s="308" t="str">
        <f>IFERROR(VLOOKUP($B:$B,RAW!$A:$L,2,0),"")</f>
        <v>무형자산(계)</v>
      </c>
      <c r="D27" s="255">
        <f>VLOOKUP($B:$B,입력!$B:$Z,$1:$1,0)/$H$1</f>
        <v>1620968.547</v>
      </c>
      <c r="E27" s="255">
        <f>VLOOKUP($B:$B,RAW!$A:$Z,$1:$1,0)</f>
        <v>0</v>
      </c>
      <c r="F27" s="255">
        <f>VLOOKUP($B:$B,입력!$B:$Z,$1:$1,0)/$H$1</f>
        <v>0</v>
      </c>
      <c r="G27" s="255">
        <f>VLOOKUP($B:$B,RAW!$A:$Z,$1:$1,0)</f>
        <v>0</v>
      </c>
      <c r="H27" s="304"/>
      <c r="I27" s="304">
        <f t="shared" si="0"/>
        <v>0</v>
      </c>
      <c r="J27" s="303">
        <f>VLOOKUP($B:$B,입력!$B:$G,$1:$1,0)</f>
        <v>0</v>
      </c>
    </row>
    <row r="28" spans="1:10" ht="12" customHeight="1">
      <c r="A28" s="245" t="s">
        <v>573</v>
      </c>
      <c r="B28" s="256">
        <v>113296</v>
      </c>
      <c r="C28" s="311" t="str">
        <f>IFERROR(VLOOKUP($B:$B,RAW!$A:$L,2,0),"")</f>
        <v>개발비</v>
      </c>
      <c r="D28" s="255">
        <f>VLOOKUP($B:$B,입력!$B:$Z,$1:$1,0)/$H$1</f>
        <v>0</v>
      </c>
      <c r="E28" s="255">
        <f>VLOOKUP($B:$B,RAW!$A:$Z,$1:$1,0)</f>
        <v>0</v>
      </c>
      <c r="F28" s="255">
        <f>VLOOKUP($B:$B,입력!$B:$Z,$1:$1,0)/$H$1</f>
        <v>0</v>
      </c>
      <c r="G28" s="255">
        <f>VLOOKUP($B:$B,RAW!$A:$Z,$1:$1,0)</f>
        <v>0</v>
      </c>
      <c r="H28" s="304"/>
      <c r="I28" s="304">
        <f t="shared" si="0"/>
        <v>0</v>
      </c>
      <c r="J28" s="303" t="str">
        <f>VLOOKUP($B:$B,입력!$B:$G,$1:$1,0)</f>
        <v>특허권</v>
      </c>
    </row>
    <row r="29" spans="1:10" ht="12" customHeight="1">
      <c r="A29" s="245" t="s">
        <v>764</v>
      </c>
      <c r="B29" s="254">
        <v>113600</v>
      </c>
      <c r="C29" s="308" t="str">
        <f>IFERROR(VLOOKUP($B:$B,RAW!$A:$L,2,0),"")</f>
        <v>기타비유동자산(계)</v>
      </c>
      <c r="D29" s="255">
        <f>VLOOKUP($B:$B,입력!$B:$Z,$1:$1,0)/$H$1</f>
        <v>9212423.5979999993</v>
      </c>
      <c r="E29" s="255">
        <f>VLOOKUP($B:$B,RAW!$A:$Z,$1:$1,0)</f>
        <v>0</v>
      </c>
      <c r="F29" s="255">
        <f>VLOOKUP($B:$B,입력!$B:$Z,$1:$1,0)/$H$1</f>
        <v>0</v>
      </c>
      <c r="G29" s="255">
        <f>VLOOKUP($B:$B,RAW!$A:$Z,$1:$1,0)</f>
        <v>0</v>
      </c>
      <c r="H29" s="304"/>
      <c r="I29" s="304">
        <f t="shared" si="0"/>
        <v>0</v>
      </c>
      <c r="J29" s="303">
        <f>VLOOKUP($B:$B,입력!$B:$G,$1:$1,0)</f>
        <v>0</v>
      </c>
    </row>
    <row r="30" spans="1:10" ht="12" customHeight="1">
      <c r="A30" s="245" t="s">
        <v>574</v>
      </c>
      <c r="B30" s="256">
        <v>112269</v>
      </c>
      <c r="C30" s="311" t="str">
        <f>IFERROR(VLOOKUP($B:$B,RAW!$A:$L,2,0),"")</f>
        <v>회원권</v>
      </c>
      <c r="D30" s="255">
        <f>VLOOKUP($B:$B,입력!$B:$Z,$1:$1,0)/$H$1</f>
        <v>0</v>
      </c>
      <c r="E30" s="255">
        <f>VLOOKUP($B:$B,RAW!$A:$Z,$1:$1,0)</f>
        <v>0</v>
      </c>
      <c r="F30" s="255">
        <f>VLOOKUP($B:$B,입력!$B:$Z,$1:$1,0)/$H$1</f>
        <v>0</v>
      </c>
      <c r="G30" s="255">
        <f>VLOOKUP($B:$B,RAW!$A:$Z,$1:$1,0)</f>
        <v>0</v>
      </c>
      <c r="H30" s="304"/>
      <c r="I30" s="304">
        <f t="shared" si="0"/>
        <v>0</v>
      </c>
      <c r="J30" s="303" t="str">
        <f>VLOOKUP($B:$B,입력!$B:$G,$1:$1,0)</f>
        <v>장기외상매출금</v>
      </c>
    </row>
    <row r="31" spans="1:10" ht="12" customHeight="1">
      <c r="A31" s="245" t="s">
        <v>575</v>
      </c>
      <c r="B31" s="256">
        <v>114150</v>
      </c>
      <c r="C31" s="311" t="str">
        <f>IFERROR(VLOOKUP($B:$B,RAW!$A:$L,2,0),"")</f>
        <v>연구개발비</v>
      </c>
      <c r="D31" s="255">
        <f>VLOOKUP($B:$B,입력!$B:$Z,$1:$1,0)/$H$1</f>
        <v>0</v>
      </c>
      <c r="E31" s="255">
        <f>VLOOKUP($B:$B,RAW!$A:$Z,$1:$1,0)</f>
        <v>0</v>
      </c>
      <c r="F31" s="255">
        <f>VLOOKUP($B:$B,입력!$B:$Z,$1:$1,0)/$H$1</f>
        <v>0</v>
      </c>
      <c r="G31" s="255">
        <f>VLOOKUP($B:$B,RAW!$A:$Z,$1:$1,0)</f>
        <v>0</v>
      </c>
      <c r="H31" s="304"/>
      <c r="I31" s="304">
        <f t="shared" si="0"/>
        <v>0</v>
      </c>
      <c r="J31" s="303" t="str">
        <f>VLOOKUP($B:$B,입력!$B:$G,$1:$1,0)</f>
        <v>임차보증금</v>
      </c>
    </row>
    <row r="32" spans="1:10" ht="12" customHeight="1">
      <c r="A32" s="245" t="s">
        <v>3</v>
      </c>
      <c r="B32" s="258">
        <v>115000</v>
      </c>
      <c r="C32" s="281" t="str">
        <f>IFERROR(VLOOKUP($B:$B,RAW!$A:$L,2,0),"")</f>
        <v>자산총계</v>
      </c>
      <c r="D32" s="259">
        <f>VLOOKUP($B:$B,입력!$B:$Z,$1:$1,0)/$H$1</f>
        <v>132226745.059</v>
      </c>
      <c r="E32" s="259">
        <f>VLOOKUP($B:$B,RAW!$A:$Z,$1:$1,0)</f>
        <v>0</v>
      </c>
      <c r="F32" s="259">
        <f>VLOOKUP($B:$B,입력!$B:$Z,$1:$1,0)/$H$1</f>
        <v>0</v>
      </c>
      <c r="G32" s="259">
        <f>VLOOKUP($B:$B,RAW!$A:$Z,$1:$1,0)</f>
        <v>0</v>
      </c>
      <c r="H32" s="304"/>
      <c r="I32" s="304">
        <f t="shared" si="0"/>
        <v>0</v>
      </c>
      <c r="J32" s="303">
        <f>VLOOKUP($B:$B,입력!$B:$G,$1:$1,0)</f>
        <v>0</v>
      </c>
    </row>
    <row r="33" spans="1:14" ht="12" customHeight="1">
      <c r="A33" s="245" t="s">
        <v>765</v>
      </c>
      <c r="B33" s="254">
        <v>116000</v>
      </c>
      <c r="C33" s="309" t="str">
        <f>IFERROR(VLOOKUP($B:$B,RAW!$A:$L,2,0),"")</f>
        <v>유동부채(계)</v>
      </c>
      <c r="D33" s="260">
        <f>VLOOKUP($B:$B,입력!$B:$Z,$1:$1,0)/$H$1</f>
        <v>42739950.169</v>
      </c>
      <c r="E33" s="260">
        <f>VLOOKUP($B:$B,RAW!$A:$Z,$1:$1,0)</f>
        <v>0</v>
      </c>
      <c r="F33" s="260">
        <f>VLOOKUP($B:$B,입력!$B:$Z,$1:$1,0)/$H$1</f>
        <v>0</v>
      </c>
      <c r="G33" s="260">
        <f>VLOOKUP($B:$B,RAW!$A:$Z,$1:$1,0)</f>
        <v>0</v>
      </c>
      <c r="H33" s="304"/>
      <c r="I33" s="304">
        <f t="shared" si="0"/>
        <v>0</v>
      </c>
      <c r="J33" s="303">
        <f>VLOOKUP($B:$B,입력!$B:$G,$1:$1,0)</f>
        <v>0</v>
      </c>
    </row>
    <row r="34" spans="1:14" ht="12" customHeight="1">
      <c r="A34" s="245" t="s">
        <v>576</v>
      </c>
      <c r="B34" s="256">
        <v>115110</v>
      </c>
      <c r="C34" s="312" t="str">
        <f>IFERROR(VLOOKUP($B:$B,RAW!$A:$L,2,0),"")</f>
        <v>매입채무</v>
      </c>
      <c r="D34" s="261">
        <f>VLOOKUP($B:$B,입력!$B:$Z,$1:$1,0)/$H$1</f>
        <v>5109115.3870000001</v>
      </c>
      <c r="E34" s="261">
        <f>VLOOKUP($B:$B,RAW!$A:$Z,$1:$1,0)</f>
        <v>0</v>
      </c>
      <c r="F34" s="261">
        <f>VLOOKUP($B:$B,입력!$B:$Z,$1:$1,0)/$H$1</f>
        <v>0</v>
      </c>
      <c r="G34" s="261">
        <f>VLOOKUP($B:$B,RAW!$A:$Z,$1:$1,0)</f>
        <v>0</v>
      </c>
      <c r="H34" s="304"/>
      <c r="I34" s="304">
        <f t="shared" si="0"/>
        <v>0</v>
      </c>
      <c r="J34" s="303" t="str">
        <f>VLOOKUP($B:$B,입력!$B:$G,$1:$1,0)</f>
        <v>미지급금</v>
      </c>
    </row>
    <row r="35" spans="1:14" ht="12" customHeight="1">
      <c r="A35" s="245" t="s">
        <v>577</v>
      </c>
      <c r="B35" s="256">
        <v>115130</v>
      </c>
      <c r="C35" s="312" t="str">
        <f>IFERROR(VLOOKUP($B:$B,RAW!$A:$L,2,0),"")</f>
        <v>단기차입금</v>
      </c>
      <c r="D35" s="261">
        <f>VLOOKUP($B:$B,입력!$B:$Z,$1:$1,0)/$H$1</f>
        <v>13471251.582</v>
      </c>
      <c r="E35" s="261">
        <f>VLOOKUP($B:$B,RAW!$A:$Z,$1:$1,0)</f>
        <v>0</v>
      </c>
      <c r="F35" s="261">
        <f>VLOOKUP($B:$B,입력!$B:$Z,$1:$1,0)/$H$1</f>
        <v>0</v>
      </c>
      <c r="G35" s="261">
        <f>VLOOKUP($B:$B,RAW!$A:$Z,$1:$1,0)</f>
        <v>0</v>
      </c>
      <c r="H35" s="304"/>
      <c r="I35" s="304">
        <f t="shared" si="0"/>
        <v>0</v>
      </c>
      <c r="J35" s="303" t="str">
        <f>VLOOKUP($B:$B,입력!$B:$G,$1:$1,0)</f>
        <v>예수금</v>
      </c>
    </row>
    <row r="36" spans="1:14" ht="12" customHeight="1">
      <c r="A36" s="245" t="s">
        <v>376</v>
      </c>
      <c r="B36" s="257">
        <v>115131</v>
      </c>
      <c r="C36" s="315" t="str">
        <f>IFERROR(VLOOKUP($B:$B,RAW!$A:$L,2,0),"")</f>
        <v>당좌차월</v>
      </c>
      <c r="D36" s="261">
        <f>VLOOKUP($B:$B,입력!$B:$Z,$1:$1,0)/$H$1</f>
        <v>13471251.582</v>
      </c>
      <c r="E36" s="261">
        <f>VLOOKUP($B:$B,RAW!$A:$Z,$1:$1,0)</f>
        <v>0</v>
      </c>
      <c r="F36" s="261">
        <f>VLOOKUP($B:$B,입력!$B:$Z,$1:$1,0)/$H$1</f>
        <v>0</v>
      </c>
      <c r="G36" s="261">
        <f>VLOOKUP($B:$B,RAW!$A:$Z,$1:$1,0)</f>
        <v>0</v>
      </c>
      <c r="H36" s="304"/>
      <c r="I36" s="304">
        <f t="shared" si="0"/>
        <v>0</v>
      </c>
      <c r="J36" s="303" t="str">
        <f>VLOOKUP($B:$B,입력!$B:$G,$1:$1,0)</f>
        <v>기타유동부채</v>
      </c>
    </row>
    <row r="37" spans="1:14" ht="12" customHeight="1">
      <c r="A37" s="245" t="s">
        <v>377</v>
      </c>
      <c r="B37" s="257">
        <v>115133</v>
      </c>
      <c r="C37" s="315" t="str">
        <f>IFERROR(VLOOKUP($B:$B,RAW!$A:$L,2,0),"")</f>
        <v>외화단기차입금</v>
      </c>
      <c r="D37" s="261">
        <f>VLOOKUP($B:$B,입력!$B:$Z,$1:$1,0)/$H$1</f>
        <v>0</v>
      </c>
      <c r="E37" s="261">
        <f>VLOOKUP($B:$B,RAW!$A:$Z,$1:$1,0)</f>
        <v>0</v>
      </c>
      <c r="F37" s="261">
        <f>VLOOKUP($B:$B,입력!$B:$Z,$1:$1,0)/$H$1</f>
        <v>0</v>
      </c>
      <c r="G37" s="261">
        <f>VLOOKUP($B:$B,RAW!$A:$Z,$1:$1,0)</f>
        <v>0</v>
      </c>
      <c r="H37" s="304"/>
      <c r="I37" s="304">
        <f t="shared" si="0"/>
        <v>0</v>
      </c>
      <c r="J37" s="303" t="str">
        <f>VLOOKUP($B:$B,입력!$B:$G,$1:$1,0)</f>
        <v>선수수익</v>
      </c>
    </row>
    <row r="38" spans="1:14" ht="12" customHeight="1">
      <c r="A38" s="245" t="s">
        <v>379</v>
      </c>
      <c r="B38" s="257">
        <v>115134</v>
      </c>
      <c r="C38" s="315" t="str">
        <f>IFERROR(VLOOKUP($B:$B,RAW!$A:$L,2,0),"")</f>
        <v>특수관계자단기차입금</v>
      </c>
      <c r="D38" s="261">
        <f>VLOOKUP($B:$B,입력!$B:$Z,$1:$1,0)/$H$1</f>
        <v>0</v>
      </c>
      <c r="E38" s="261">
        <f>VLOOKUP($B:$B,RAW!$A:$Z,$1:$1,0)</f>
        <v>0</v>
      </c>
      <c r="F38" s="261">
        <f>VLOOKUP($B:$B,입력!$B:$Z,$1:$1,0)/$H$1</f>
        <v>0</v>
      </c>
      <c r="G38" s="261">
        <f>VLOOKUP($B:$B,RAW!$A:$Z,$1:$1,0)</f>
        <v>0</v>
      </c>
      <c r="H38" s="304"/>
      <c r="I38" s="304">
        <f t="shared" si="0"/>
        <v>0</v>
      </c>
      <c r="J38" s="303" t="str">
        <f>VLOOKUP($B:$B,입력!$B:$G,$1:$1,0)</f>
        <v>부가세예수금</v>
      </c>
    </row>
    <row r="39" spans="1:14" ht="12" customHeight="1">
      <c r="A39" s="245" t="s">
        <v>378</v>
      </c>
      <c r="B39" s="257">
        <v>115135</v>
      </c>
      <c r="C39" s="315" t="str">
        <f>IFERROR(VLOOKUP($B:$B,RAW!$A:$L,2,0),"")</f>
        <v>어음차입금</v>
      </c>
      <c r="D39" s="261">
        <f>VLOOKUP($B:$B,입력!$B:$Z,$1:$1,0)/$H$1</f>
        <v>0</v>
      </c>
      <c r="E39" s="261">
        <f>VLOOKUP($B:$B,RAW!$A:$Z,$1:$1,0)</f>
        <v>0</v>
      </c>
      <c r="F39" s="261">
        <f>VLOOKUP($B:$B,입력!$B:$Z,$1:$1,0)/$H$1</f>
        <v>0</v>
      </c>
      <c r="G39" s="261">
        <f>VLOOKUP($B:$B,RAW!$A:$Z,$1:$1,0)</f>
        <v>0</v>
      </c>
      <c r="H39" s="304"/>
      <c r="I39" s="304">
        <f t="shared" si="0"/>
        <v>0</v>
      </c>
      <c r="J39" s="303" t="str">
        <f>VLOOKUP($B:$B,입력!$B:$G,$1:$1,0)</f>
        <v>예수보증금</v>
      </c>
      <c r="N39" s="245">
        <v>4699</v>
      </c>
    </row>
    <row r="40" spans="1:14" ht="12" customHeight="1">
      <c r="A40" s="245" t="s">
        <v>578</v>
      </c>
      <c r="B40" s="257">
        <v>115136</v>
      </c>
      <c r="C40" s="315" t="str">
        <f>IFERROR(VLOOKUP($B:$B,RAW!$A:$L,2,0),"")</f>
        <v>주주,임원,종업원단기차입금</v>
      </c>
      <c r="D40" s="261">
        <f>VLOOKUP($B:$B,입력!$B:$Z,$1:$1,0)/$H$1</f>
        <v>0</v>
      </c>
      <c r="E40" s="261">
        <f>VLOOKUP($B:$B,RAW!$A:$Z,$1:$1,0)</f>
        <v>0</v>
      </c>
      <c r="F40" s="261">
        <f>VLOOKUP($B:$B,입력!$B:$Z,$1:$1,0)/$H$1</f>
        <v>0</v>
      </c>
      <c r="G40" s="261">
        <f>VLOOKUP($B:$B,RAW!$A:$Z,$1:$1,0)</f>
        <v>0</v>
      </c>
      <c r="H40" s="304"/>
      <c r="I40" s="304">
        <f t="shared" si="0"/>
        <v>0</v>
      </c>
      <c r="J40" s="303" t="str">
        <f>VLOOKUP($B:$B,입력!$B:$G,$1:$1,0)</f>
        <v>선수금</v>
      </c>
      <c r="N40" s="245">
        <v>4339</v>
      </c>
    </row>
    <row r="41" spans="1:14" ht="12" customHeight="1">
      <c r="A41" s="245" t="s">
        <v>380</v>
      </c>
      <c r="B41" s="257">
        <v>115132</v>
      </c>
      <c r="C41" s="315" t="str">
        <f>IFERROR(VLOOKUP($B:$B,RAW!$A:$L,2,0),"")</f>
        <v>기타단기차입금</v>
      </c>
      <c r="D41" s="261">
        <f>VLOOKUP($B:$B,입력!$B:$Z,$1:$1,0)/$H$1</f>
        <v>0</v>
      </c>
      <c r="E41" s="261">
        <f>VLOOKUP($B:$B,RAW!$A:$Z,$1:$1,0)</f>
        <v>0</v>
      </c>
      <c r="F41" s="261">
        <f>VLOOKUP($B:$B,입력!$B:$Z,$1:$1,0)/$H$1</f>
        <v>0</v>
      </c>
      <c r="G41" s="261">
        <f>VLOOKUP($B:$B,RAW!$A:$Z,$1:$1,0)</f>
        <v>0</v>
      </c>
      <c r="H41" s="304"/>
      <c r="I41" s="304">
        <f t="shared" si="0"/>
        <v>0</v>
      </c>
      <c r="J41" s="303" t="str">
        <f>VLOOKUP($B:$B,입력!$B:$G,$1:$1,0)</f>
        <v>국고보조금(예수)</v>
      </c>
      <c r="N41" s="245">
        <f>N39-N40</f>
        <v>360</v>
      </c>
    </row>
    <row r="42" spans="1:14" ht="12" customHeight="1">
      <c r="A42" s="245" t="s">
        <v>579</v>
      </c>
      <c r="B42" s="257">
        <v>115141</v>
      </c>
      <c r="C42" s="315" t="str">
        <f>IFERROR(VLOOKUP($B:$B,RAW!$A:$L,2,0),"")</f>
        <v>공사미지급금</v>
      </c>
      <c r="D42" s="261">
        <f>VLOOKUP($B:$B,입력!$B:$Z,$1:$1,0)/$H$1</f>
        <v>0</v>
      </c>
      <c r="E42" s="261">
        <f>VLOOKUP($B:$B,RAW!$A:$Z,$1:$1,0)</f>
        <v>0</v>
      </c>
      <c r="F42" s="261">
        <f>VLOOKUP($B:$B,입력!$B:$Z,$1:$1,0)/$H$1</f>
        <v>0</v>
      </c>
      <c r="G42" s="261">
        <f>VLOOKUP($B:$B,RAW!$A:$Z,$1:$1,0)</f>
        <v>0</v>
      </c>
      <c r="H42" s="304"/>
      <c r="I42" s="304">
        <f t="shared" si="0"/>
        <v>0</v>
      </c>
      <c r="J42" s="303">
        <f>VLOOKUP($B:$B,입력!$B:$G,$1:$1,0)</f>
        <v>0</v>
      </c>
    </row>
    <row r="43" spans="1:14" ht="12" customHeight="1">
      <c r="A43" s="245" t="s">
        <v>580</v>
      </c>
      <c r="B43" s="256">
        <v>115180</v>
      </c>
      <c r="C43" s="312" t="str">
        <f>IFERROR(VLOOKUP($B:$B,RAW!$A:$L,2,0),"")</f>
        <v>미지급비용</v>
      </c>
      <c r="D43" s="261">
        <f>VLOOKUP($B:$B,입력!$B:$Z,$1:$1,0)/$H$1</f>
        <v>2853809.0750000002</v>
      </c>
      <c r="E43" s="261">
        <f>VLOOKUP($B:$B,RAW!$A:$Z,$1:$1,0)</f>
        <v>0</v>
      </c>
      <c r="F43" s="261">
        <f>VLOOKUP($B:$B,입력!$B:$Z,$1:$1,0)/$H$1</f>
        <v>0</v>
      </c>
      <c r="G43" s="261">
        <f>VLOOKUP($B:$B,RAW!$A:$Z,$1:$1,0)</f>
        <v>0</v>
      </c>
      <c r="H43" s="304"/>
      <c r="I43" s="304">
        <f t="shared" si="0"/>
        <v>0</v>
      </c>
      <c r="J43" s="303">
        <f>VLOOKUP($B:$B,입력!$B:$G,$1:$1,0)</f>
        <v>0</v>
      </c>
    </row>
    <row r="44" spans="1:14" ht="12" customHeight="1">
      <c r="A44" s="245" t="s">
        <v>581</v>
      </c>
      <c r="B44" s="256">
        <v>115190</v>
      </c>
      <c r="C44" s="312" t="str">
        <f>IFERROR(VLOOKUP($B:$B,RAW!$A:$L,2,0),"")</f>
        <v>유동성장기부채</v>
      </c>
      <c r="D44" s="261">
        <f>VLOOKUP($B:$B,입력!$B:$Z,$1:$1,0)/$H$1</f>
        <v>772470.18599999999</v>
      </c>
      <c r="E44" s="261">
        <f>VLOOKUP($B:$B,RAW!$A:$Z,$1:$1,0)</f>
        <v>0</v>
      </c>
      <c r="F44" s="261">
        <f>VLOOKUP($B:$B,입력!$B:$Z,$1:$1,0)/$H$1</f>
        <v>0</v>
      </c>
      <c r="G44" s="261">
        <f>VLOOKUP($B:$B,RAW!$A:$Z,$1:$1,0)</f>
        <v>0</v>
      </c>
      <c r="H44" s="304"/>
      <c r="I44" s="304">
        <f t="shared" si="0"/>
        <v>0</v>
      </c>
      <c r="J44" s="303">
        <f>VLOOKUP($B:$B,입력!$B:$G,$1:$1,0)</f>
        <v>0</v>
      </c>
    </row>
    <row r="45" spans="1:14" ht="12" customHeight="1">
      <c r="A45" s="245" t="s">
        <v>582</v>
      </c>
      <c r="B45" s="257">
        <v>115191</v>
      </c>
      <c r="C45" s="315" t="str">
        <f>IFERROR(VLOOKUP($B:$B,RAW!$A:$L,2,0),"")</f>
        <v>유동성장기차입금</v>
      </c>
      <c r="D45" s="261">
        <f>VLOOKUP($B:$B,입력!$B:$Z,$1:$1,0)/$H$1</f>
        <v>0</v>
      </c>
      <c r="E45" s="261">
        <f>VLOOKUP($B:$B,RAW!$A:$Z,$1:$1,0)</f>
        <v>0</v>
      </c>
      <c r="F45" s="261">
        <f>VLOOKUP($B:$B,입력!$B:$Z,$1:$1,0)/$H$1</f>
        <v>0</v>
      </c>
      <c r="G45" s="261">
        <f>VLOOKUP($B:$B,RAW!$A:$Z,$1:$1,0)</f>
        <v>0</v>
      </c>
      <c r="H45" s="304"/>
      <c r="I45" s="304">
        <f t="shared" si="0"/>
        <v>0</v>
      </c>
      <c r="J45" s="303">
        <f>VLOOKUP($B:$B,입력!$B:$G,$1:$1,0)</f>
        <v>0</v>
      </c>
    </row>
    <row r="46" spans="1:14" ht="12" customHeight="1">
      <c r="A46" s="245" t="s">
        <v>583</v>
      </c>
      <c r="B46" s="257">
        <v>115193</v>
      </c>
      <c r="C46" s="315" t="str">
        <f>IFERROR(VLOOKUP($B:$B,RAW!$A:$L,2,0),"")</f>
        <v>유동성사채</v>
      </c>
      <c r="D46" s="261">
        <f>VLOOKUP($B:$B,입력!$B:$Z,$1:$1,0)/$H$1</f>
        <v>0</v>
      </c>
      <c r="E46" s="261">
        <f>VLOOKUP($B:$B,RAW!$A:$Z,$1:$1,0)</f>
        <v>0</v>
      </c>
      <c r="F46" s="261">
        <f>VLOOKUP($B:$B,입력!$B:$Z,$1:$1,0)/$H$1</f>
        <v>0</v>
      </c>
      <c r="G46" s="261">
        <f>VLOOKUP($B:$B,RAW!$A:$Z,$1:$1,0)</f>
        <v>0</v>
      </c>
      <c r="H46" s="304"/>
      <c r="I46" s="304">
        <f>IFERROR(G46-F46,"")</f>
        <v>0</v>
      </c>
      <c r="J46" s="303">
        <f>VLOOKUP($B:$B,입력!$B:$G,$1:$1,0)</f>
        <v>0</v>
      </c>
    </row>
    <row r="47" spans="1:14" ht="12" customHeight="1">
      <c r="A47" s="245" t="s">
        <v>584</v>
      </c>
      <c r="B47" s="257">
        <v>115195</v>
      </c>
      <c r="C47" s="315" t="str">
        <f>IFERROR(VLOOKUP($B:$B,RAW!$A:$L,2,0),"")</f>
        <v>유동성금융리스부채장기미지급금선수금</v>
      </c>
      <c r="D47" s="261">
        <f>VLOOKUP($B:$B,입력!$B:$Z,$1:$1,0)/$H$1</f>
        <v>772470.18599999999</v>
      </c>
      <c r="E47" s="261">
        <f>VLOOKUP($B:$B,RAW!$A:$Z,$1:$1,0)</f>
        <v>0</v>
      </c>
      <c r="F47" s="261">
        <f>VLOOKUP($B:$B,입력!$B:$Z,$1:$1,0)/$H$1</f>
        <v>0</v>
      </c>
      <c r="G47" s="261">
        <f>VLOOKUP($B:$B,RAW!$A:$Z,$1:$1,0)</f>
        <v>0</v>
      </c>
      <c r="H47" s="304"/>
      <c r="I47" s="304">
        <f t="shared" si="0"/>
        <v>0</v>
      </c>
      <c r="J47" s="303">
        <f>VLOOKUP($B:$B,입력!$B:$G,$1:$1,0)</f>
        <v>0</v>
      </c>
    </row>
    <row r="48" spans="1:14" ht="12" customHeight="1">
      <c r="A48" s="245" t="s">
        <v>766</v>
      </c>
      <c r="B48" s="254">
        <v>117000</v>
      </c>
      <c r="C48" s="309" t="str">
        <f>IFERROR(VLOOKUP($B:$B,RAW!$A:$L,2,0),"")</f>
        <v>비유동부채(계)</v>
      </c>
      <c r="D48" s="260">
        <f>VLOOKUP($B:$B,입력!$B:$Z,$1:$1,0)/$H$1</f>
        <v>96097374.218999997</v>
      </c>
      <c r="E48" s="260">
        <f>VLOOKUP($B:$B,RAW!$A:$Z,$1:$1,0)</f>
        <v>0</v>
      </c>
      <c r="F48" s="260">
        <f>VLOOKUP($B:$B,입력!$B:$Z,$1:$1,0)/$H$1</f>
        <v>0</v>
      </c>
      <c r="G48" s="260">
        <f>VLOOKUP($B:$B,RAW!$A:$Z,$1:$1,0)</f>
        <v>0</v>
      </c>
      <c r="H48" s="304"/>
      <c r="I48" s="304">
        <f t="shared" si="0"/>
        <v>0</v>
      </c>
      <c r="J48" s="303">
        <f>VLOOKUP($B:$B,입력!$B:$G,$1:$1,0)</f>
        <v>0</v>
      </c>
    </row>
    <row r="49" spans="1:10" ht="12" customHeight="1">
      <c r="A49" s="245" t="s">
        <v>767</v>
      </c>
      <c r="B49" s="256">
        <v>116050</v>
      </c>
      <c r="C49" s="312" t="str">
        <f>IFERROR(VLOOKUP($B:$B,RAW!$A:$L,2,0),"")</f>
        <v>장기사채(계)</v>
      </c>
      <c r="D49" s="261">
        <f>VLOOKUP($B:$B,입력!$B:$Z,$1:$1,0)/$H$1</f>
        <v>0</v>
      </c>
      <c r="E49" s="261">
        <f>VLOOKUP($B:$B,RAW!$A:$Z,$1:$1,0)</f>
        <v>0</v>
      </c>
      <c r="F49" s="261">
        <f>VLOOKUP($B:$B,입력!$B:$Z,$1:$1,0)/$H$1</f>
        <v>0</v>
      </c>
      <c r="G49" s="261">
        <f>VLOOKUP($B:$B,RAW!$A:$Z,$1:$1,0)</f>
        <v>0</v>
      </c>
      <c r="H49" s="304"/>
      <c r="I49" s="304">
        <f t="shared" si="0"/>
        <v>0</v>
      </c>
      <c r="J49" s="303" t="str">
        <f>VLOOKUP($B:$B,입력!$B:$G,$1:$1,0)</f>
        <v>보증금</v>
      </c>
    </row>
    <row r="50" spans="1:10" ht="12" customHeight="1">
      <c r="A50" s="245" t="s">
        <v>381</v>
      </c>
      <c r="B50" s="256">
        <v>116200</v>
      </c>
      <c r="C50" s="312" t="str">
        <f>IFERROR(VLOOKUP($B:$B,RAW!$A:$L,2,0),"")</f>
        <v>장기차입금(계)</v>
      </c>
      <c r="D50" s="261">
        <f>VLOOKUP($B:$B,입력!$B:$Z,$1:$1,0)/$H$1</f>
        <v>0</v>
      </c>
      <c r="E50" s="261">
        <f>VLOOKUP($B:$B,RAW!$A:$Z,$1:$1,0)</f>
        <v>0</v>
      </c>
      <c r="F50" s="261">
        <f>VLOOKUP($B:$B,입력!$B:$Z,$1:$1,0)/$H$1</f>
        <v>0</v>
      </c>
      <c r="G50" s="261">
        <f>VLOOKUP($B:$B,RAW!$A:$Z,$1:$1,0)</f>
        <v>0</v>
      </c>
      <c r="H50" s="304"/>
      <c r="I50" s="304">
        <f t="shared" si="0"/>
        <v>0</v>
      </c>
      <c r="J50" s="303" t="str">
        <f>VLOOKUP($B:$B,입력!$B:$G,$1:$1,0)</f>
        <v>이연법인세부채</v>
      </c>
    </row>
    <row r="51" spans="1:10" ht="12" customHeight="1">
      <c r="A51" s="245" t="s">
        <v>382</v>
      </c>
      <c r="B51" s="257">
        <v>116220</v>
      </c>
      <c r="C51" s="315" t="str">
        <f>IFERROR(VLOOKUP($B:$B,RAW!$A:$L,2,0),"")</f>
        <v>외화장기차입금</v>
      </c>
      <c r="D51" s="261">
        <f>VLOOKUP($B:$B,입력!$B:$Z,$1:$1,0)/$H$1</f>
        <v>0</v>
      </c>
      <c r="E51" s="261">
        <f>VLOOKUP($B:$B,RAW!$A:$Z,$1:$1,0)</f>
        <v>0</v>
      </c>
      <c r="F51" s="261">
        <f>VLOOKUP($B:$B,입력!$B:$Z,$1:$1,0)/$H$1</f>
        <v>0</v>
      </c>
      <c r="G51" s="261">
        <f>VLOOKUP($B:$B,RAW!$A:$Z,$1:$1,0)</f>
        <v>0</v>
      </c>
      <c r="H51" s="304"/>
      <c r="I51" s="304">
        <f t="shared" si="0"/>
        <v>0</v>
      </c>
      <c r="J51" s="303" t="str">
        <f>VLOOKUP($B:$B,입력!$B:$G,$1:$1,0)</f>
        <v>퇴직급여충당부채</v>
      </c>
    </row>
    <row r="52" spans="1:10" ht="12" customHeight="1">
      <c r="A52" s="245" t="s">
        <v>585</v>
      </c>
      <c r="B52" s="257">
        <v>116230</v>
      </c>
      <c r="C52" s="315" t="str">
        <f>IFERROR(VLOOKUP($B:$B,RAW!$A:$L,2,0),"")</f>
        <v>차관</v>
      </c>
      <c r="D52" s="261">
        <f>VLOOKUP($B:$B,입력!$B:$Z,$1:$1,0)/$H$1</f>
        <v>0</v>
      </c>
      <c r="E52" s="261">
        <f>VLOOKUP($B:$B,RAW!$A:$Z,$1:$1,0)</f>
        <v>0</v>
      </c>
      <c r="F52" s="261">
        <f>VLOOKUP($B:$B,입력!$B:$Z,$1:$1,0)/$H$1</f>
        <v>0</v>
      </c>
      <c r="G52" s="261">
        <f>VLOOKUP($B:$B,RAW!$A:$Z,$1:$1,0)</f>
        <v>0</v>
      </c>
      <c r="H52" s="304"/>
      <c r="I52" s="304">
        <f t="shared" si="0"/>
        <v>0</v>
      </c>
      <c r="J52" s="303">
        <f>VLOOKUP($B:$B,입력!$B:$G,$1:$1,0)</f>
        <v>0</v>
      </c>
    </row>
    <row r="53" spans="1:10" ht="12" customHeight="1">
      <c r="A53" s="245" t="s">
        <v>586</v>
      </c>
      <c r="B53" s="257">
        <v>116240</v>
      </c>
      <c r="C53" s="315" t="str">
        <f>IFERROR(VLOOKUP($B:$B,RAW!$A:$L,2,0),"")</f>
        <v>특수관계자장기차입금</v>
      </c>
      <c r="D53" s="261">
        <f>VLOOKUP($B:$B,입력!$B:$Z,$1:$1,0)/$H$1</f>
        <v>0</v>
      </c>
      <c r="E53" s="261">
        <f>VLOOKUP($B:$B,RAW!$A:$Z,$1:$1,0)</f>
        <v>0</v>
      </c>
      <c r="F53" s="261">
        <f>VLOOKUP($B:$B,입력!$B:$Z,$1:$1,0)/$H$1</f>
        <v>0</v>
      </c>
      <c r="G53" s="261">
        <f>VLOOKUP($B:$B,RAW!$A:$Z,$1:$1,0)</f>
        <v>0</v>
      </c>
      <c r="H53" s="304"/>
      <c r="I53" s="304">
        <f t="shared" si="0"/>
        <v>0</v>
      </c>
      <c r="J53" s="303">
        <f>VLOOKUP($B:$B,입력!$B:$G,$1:$1,0)</f>
        <v>0</v>
      </c>
    </row>
    <row r="54" spans="1:10" ht="12" customHeight="1">
      <c r="A54" s="245" t="s">
        <v>587</v>
      </c>
      <c r="B54" s="257">
        <v>116250</v>
      </c>
      <c r="C54" s="315" t="str">
        <f>IFERROR(VLOOKUP($B:$B,RAW!$A:$L,2,0),"")</f>
        <v>주주,임원,종업원차입금</v>
      </c>
      <c r="D54" s="261">
        <f>VLOOKUP($B:$B,입력!$B:$Z,$1:$1,0)/$H$1</f>
        <v>0</v>
      </c>
      <c r="E54" s="261">
        <f>VLOOKUP($B:$B,RAW!$A:$Z,$1:$1,0)</f>
        <v>0</v>
      </c>
      <c r="F54" s="261">
        <f>VLOOKUP($B:$B,입력!$B:$Z,$1:$1,0)/$H$1</f>
        <v>0</v>
      </c>
      <c r="G54" s="261">
        <f>VLOOKUP($B:$B,RAW!$A:$Z,$1:$1,0)</f>
        <v>0</v>
      </c>
      <c r="H54" s="304"/>
      <c r="I54" s="304">
        <f t="shared" si="0"/>
        <v>0</v>
      </c>
      <c r="J54" s="303">
        <f>VLOOKUP($B:$B,입력!$B:$G,$1:$1,0)</f>
        <v>0</v>
      </c>
    </row>
    <row r="55" spans="1:10" ht="12" customHeight="1">
      <c r="A55" s="282" t="s">
        <v>383</v>
      </c>
      <c r="B55" s="257">
        <v>116255</v>
      </c>
      <c r="C55" s="315" t="str">
        <f>IFERROR(VLOOKUP($B:$B,RAW!$A:$L,2,0),"")</f>
        <v>금융리스부채</v>
      </c>
      <c r="D55" s="261">
        <f>VLOOKUP($B:$B,입력!$B:$Z,$1:$1,0)/$H$1</f>
        <v>0</v>
      </c>
      <c r="E55" s="261">
        <f>VLOOKUP($B:$B,RAW!$A:$Z,$1:$1,0)</f>
        <v>0</v>
      </c>
      <c r="F55" s="261">
        <f>VLOOKUP($B:$B,입력!$B:$Z,$1:$1,0)/$H$1</f>
        <v>0</v>
      </c>
      <c r="G55" s="261">
        <f>VLOOKUP($B:$B,RAW!$A:$Z,$1:$1,0)</f>
        <v>0</v>
      </c>
      <c r="H55" s="304"/>
      <c r="I55" s="304">
        <f t="shared" si="0"/>
        <v>0</v>
      </c>
      <c r="J55" s="303" t="str">
        <f>VLOOKUP($B:$B,입력!$B:$G,$1:$1,0)</f>
        <v>기타장기차입금</v>
      </c>
    </row>
    <row r="56" spans="1:10" ht="12" customHeight="1">
      <c r="A56" s="245" t="s">
        <v>588</v>
      </c>
      <c r="B56" s="257">
        <v>116910</v>
      </c>
      <c r="C56" s="315" t="str">
        <f>IFERROR(VLOOKUP($B:$B,RAW!$A:$L,2,0),"")</f>
        <v>국민주택기금차입금</v>
      </c>
      <c r="D56" s="261">
        <f>VLOOKUP($B:$B,입력!$B:$Z,$1:$1,0)/$H$1</f>
        <v>0</v>
      </c>
      <c r="E56" s="261">
        <f>VLOOKUP($B:$B,RAW!$A:$Z,$1:$1,0)</f>
        <v>0</v>
      </c>
      <c r="F56" s="261">
        <f>VLOOKUP($B:$B,입력!$B:$Z,$1:$1,0)/$H$1</f>
        <v>0</v>
      </c>
      <c r="G56" s="261">
        <f>VLOOKUP($B:$B,RAW!$A:$Z,$1:$1,0)</f>
        <v>0</v>
      </c>
      <c r="H56" s="304"/>
      <c r="I56" s="304">
        <f t="shared" si="0"/>
        <v>0</v>
      </c>
      <c r="J56" s="303">
        <f>VLOOKUP($B:$B,입력!$B:$G,$1:$1,0)</f>
        <v>0</v>
      </c>
    </row>
    <row r="57" spans="1:10" ht="12" customHeight="1">
      <c r="A57" s="282" t="s">
        <v>383</v>
      </c>
      <c r="B57" s="256">
        <v>116260</v>
      </c>
      <c r="C57" s="312" t="str">
        <f>IFERROR(VLOOKUP($B:$B,RAW!$A:$L,2,0),"")</f>
        <v>금융리스부채</v>
      </c>
      <c r="D57" s="261">
        <f>VLOOKUP($B:$B,입력!$B:$Z,$1:$1,0)/$H$1</f>
        <v>368383.98800000001</v>
      </c>
      <c r="E57" s="261">
        <f>VLOOKUP($B:$B,RAW!$A:$Z,$1:$1,0)</f>
        <v>0</v>
      </c>
      <c r="F57" s="261">
        <f>VLOOKUP($B:$B,입력!$B:$Z,$1:$1,0)/$H$1</f>
        <v>0</v>
      </c>
      <c r="G57" s="261">
        <f>VLOOKUP($B:$B,RAW!$A:$Z,$1:$1,0)</f>
        <v>0</v>
      </c>
      <c r="H57" s="304"/>
      <c r="I57" s="304">
        <f t="shared" si="0"/>
        <v>0</v>
      </c>
      <c r="J57" s="303">
        <f>VLOOKUP($B:$B,입력!$B:$G,$1:$1,0)</f>
        <v>0</v>
      </c>
    </row>
    <row r="58" spans="1:10" ht="12" customHeight="1">
      <c r="A58" s="245" t="s">
        <v>383</v>
      </c>
      <c r="B58" s="257">
        <v>116401</v>
      </c>
      <c r="C58" s="315" t="str">
        <f>IFERROR(VLOOKUP($B:$B,RAW!$A:$L,2,0),"")</f>
        <v>금융리스부채</v>
      </c>
      <c r="D58" s="261">
        <f>VLOOKUP($B:$B,입력!$B:$Z,$1:$1,0)/$H$1</f>
        <v>368383.98800000001</v>
      </c>
      <c r="E58" s="261">
        <f>VLOOKUP($B:$B,RAW!$A:$Z,$1:$1,0)</f>
        <v>0</v>
      </c>
      <c r="F58" s="261">
        <f>VLOOKUP($B:$B,입력!$B:$Z,$1:$1,0)/$H$1</f>
        <v>0</v>
      </c>
      <c r="G58" s="261">
        <f>VLOOKUP($B:$B,RAW!$A:$Z,$1:$1,0)</f>
        <v>0</v>
      </c>
      <c r="H58" s="304"/>
      <c r="I58" s="304">
        <f t="shared" si="0"/>
        <v>0</v>
      </c>
      <c r="J58" s="303">
        <f>VLOOKUP($B:$B,입력!$B:$G,$1:$1,0)</f>
        <v>0</v>
      </c>
    </row>
    <row r="59" spans="1:10" ht="12" customHeight="1">
      <c r="A59" s="245" t="s">
        <v>4</v>
      </c>
      <c r="B59" s="258">
        <v>118000</v>
      </c>
      <c r="C59" s="283" t="str">
        <f>IFERROR(VLOOKUP($B:$B,RAW!$A:$L,2,0),"")</f>
        <v>부채총계</v>
      </c>
      <c r="D59" s="262">
        <f>VLOOKUP($B:$B,입력!$B:$Z,$1:$1,0)/$H$1</f>
        <v>138837324.38800001</v>
      </c>
      <c r="E59" s="262">
        <f>VLOOKUP($B:$B,RAW!$A:$Z,$1:$1,0)</f>
        <v>0</v>
      </c>
      <c r="F59" s="262">
        <f>VLOOKUP($B:$B,입력!$B:$Z,$1:$1,0)/$H$1</f>
        <v>0</v>
      </c>
      <c r="G59" s="262">
        <f>VLOOKUP($B:$B,RAW!$A:$Z,$1:$1,0)</f>
        <v>0</v>
      </c>
      <c r="H59" s="304"/>
      <c r="I59" s="304">
        <f t="shared" si="0"/>
        <v>0</v>
      </c>
      <c r="J59" s="303">
        <f>VLOOKUP($B:$B,입력!$B:$G,$1:$1,0)</f>
        <v>0</v>
      </c>
    </row>
    <row r="60" spans="1:10" ht="12" customHeight="1">
      <c r="A60" s="245" t="s">
        <v>589</v>
      </c>
      <c r="B60" s="254">
        <v>118100</v>
      </c>
      <c r="C60" s="310" t="str">
        <f>IFERROR(VLOOKUP($B:$B,RAW!$A:$L,2,0),"")</f>
        <v>자본금</v>
      </c>
      <c r="D60" s="263">
        <f>VLOOKUP($B:$B,입력!$B:$Z,$1:$1,0)/$H$1</f>
        <v>5540335.5</v>
      </c>
      <c r="E60" s="263">
        <f>VLOOKUP($B:$B,RAW!$A:$Z,$1:$1,0)</f>
        <v>0</v>
      </c>
      <c r="F60" s="263">
        <f>VLOOKUP($B:$B,입력!$B:$Z,$1:$1,0)/$H$1</f>
        <v>0</v>
      </c>
      <c r="G60" s="263">
        <f>VLOOKUP($B:$B,RAW!$A:$Z,$1:$1,0)</f>
        <v>0</v>
      </c>
      <c r="H60" s="304"/>
      <c r="I60" s="304">
        <f t="shared" si="0"/>
        <v>0</v>
      </c>
      <c r="J60" s="303">
        <f>VLOOKUP($B:$B,입력!$B:$G,$1:$1,0)</f>
        <v>0</v>
      </c>
    </row>
    <row r="61" spans="1:10" ht="12" customHeight="1">
      <c r="A61" s="245" t="s">
        <v>590</v>
      </c>
      <c r="B61" s="254">
        <v>118102</v>
      </c>
      <c r="C61" s="310" t="str">
        <f>IFERROR(VLOOKUP($B:$B,RAW!$A:$L,2,0),"")</f>
        <v>[1주의금액] (원)</v>
      </c>
      <c r="D61" s="263">
        <f>VLOOKUP($B:$B,입력!$B:$Z,$1:$1,0)</f>
        <v>0</v>
      </c>
      <c r="E61" s="263">
        <f>VLOOKUP($B:$B,RAW!$A:$Z,$1:$1,0)</f>
        <v>0</v>
      </c>
      <c r="F61" s="263">
        <f>VLOOKUP($B:$B,입력!$B:$Z,$1:$1,0)/$H$1</f>
        <v>0</v>
      </c>
      <c r="G61" s="263">
        <f>VLOOKUP($B:$B,RAW!$A:$Z,$1:$1,0)</f>
        <v>0</v>
      </c>
      <c r="H61" s="304"/>
      <c r="I61" s="304">
        <f t="shared" si="0"/>
        <v>0</v>
      </c>
      <c r="J61" s="303">
        <f>VLOOKUP($B:$B,입력!$B:$G,$1:$1,0)</f>
        <v>0</v>
      </c>
    </row>
    <row r="62" spans="1:10" ht="12" customHeight="1">
      <c r="A62" s="245" t="s">
        <v>591</v>
      </c>
      <c r="B62" s="256">
        <v>118111</v>
      </c>
      <c r="C62" s="313" t="str">
        <f>IFERROR(VLOOKUP($B:$B,RAW!$A:$L,2,0),"")</f>
        <v>[보통주발행주식수]</v>
      </c>
      <c r="D62" s="263">
        <f>VLOOKUP($B:$B,입력!$B:$Z,$1:$1,0)</f>
        <v>0</v>
      </c>
      <c r="E62" s="263">
        <f>VLOOKUP($B:$B,RAW!$A:$Z,$1:$1,0)</f>
        <v>0</v>
      </c>
      <c r="F62" s="263">
        <f>VLOOKUP($B:$B,입력!$B:$Z,$1:$1,0)/$H$1</f>
        <v>0</v>
      </c>
      <c r="G62" s="263">
        <f>VLOOKUP($B:$B,RAW!$A:$Z,$1:$1,0)</f>
        <v>0</v>
      </c>
      <c r="H62" s="304"/>
      <c r="I62" s="304">
        <f t="shared" si="0"/>
        <v>0</v>
      </c>
      <c r="J62" s="303">
        <f>VLOOKUP($B:$B,입력!$B:$G,$1:$1,0)</f>
        <v>0</v>
      </c>
    </row>
    <row r="63" spans="1:10" ht="12" customHeight="1">
      <c r="A63" s="245" t="s">
        <v>592</v>
      </c>
      <c r="B63" s="256">
        <v>118120</v>
      </c>
      <c r="C63" s="313" t="str">
        <f>IFERROR(VLOOKUP($B:$B,RAW!$A:$L,2,0),"")</f>
        <v>우선주자본금</v>
      </c>
      <c r="D63" s="263">
        <f>VLOOKUP($B:$B,입력!$B:$Z,$1:$1,0)/$H$1</f>
        <v>0</v>
      </c>
      <c r="E63" s="263">
        <f>VLOOKUP($B:$B,RAW!$A:$Z,$1:$1,0)</f>
        <v>0</v>
      </c>
      <c r="F63" s="263">
        <f>VLOOKUP($B:$B,입력!$B:$Z,$1:$1,0)/$H$1</f>
        <v>0</v>
      </c>
      <c r="G63" s="263">
        <f>VLOOKUP($B:$B,RAW!$A:$Z,$1:$1,0)</f>
        <v>0</v>
      </c>
      <c r="H63" s="304"/>
      <c r="I63" s="304">
        <f t="shared" si="0"/>
        <v>0</v>
      </c>
      <c r="J63" s="303">
        <f>VLOOKUP($B:$B,입력!$B:$G,$1:$1,0)</f>
        <v>0</v>
      </c>
    </row>
    <row r="64" spans="1:10" ht="12" customHeight="1">
      <c r="A64" s="245" t="s">
        <v>593</v>
      </c>
      <c r="B64" s="254">
        <v>118200</v>
      </c>
      <c r="C64" s="310" t="str">
        <f>IFERROR(VLOOKUP($B:$B,RAW!$A:$L,2,0),"")</f>
        <v>자본잉여금</v>
      </c>
      <c r="D64" s="263">
        <f>VLOOKUP($B:$B,입력!$B:$Z,$1:$1,0)/$H$1</f>
        <v>0</v>
      </c>
      <c r="E64" s="263">
        <f>VLOOKUP($B:$B,RAW!$A:$Z,$1:$1,0)</f>
        <v>0</v>
      </c>
      <c r="F64" s="263">
        <f>VLOOKUP($B:$B,입력!$B:$Z,$1:$1,0)/$H$1</f>
        <v>0</v>
      </c>
      <c r="G64" s="263">
        <f>VLOOKUP($B:$B,RAW!$A:$Z,$1:$1,0)</f>
        <v>0</v>
      </c>
      <c r="H64" s="304"/>
      <c r="I64" s="304">
        <f t="shared" si="0"/>
        <v>0</v>
      </c>
      <c r="J64" s="303" t="str">
        <f>VLOOKUP($B:$B,입력!$B:$G,$1:$1,0)</f>
        <v>주식발행초과금</v>
      </c>
    </row>
    <row r="65" spans="1:12" ht="12" customHeight="1">
      <c r="A65" s="245" t="s">
        <v>594</v>
      </c>
      <c r="B65" s="254">
        <v>118400</v>
      </c>
      <c r="C65" s="310" t="str">
        <f>IFERROR(VLOOKUP($B:$B,RAW!$A:$L,2,0),"")</f>
        <v>자본조정</v>
      </c>
      <c r="D65" s="263">
        <f>VLOOKUP($B:$B,입력!$B:$Z,$1:$1,0)/$H$1</f>
        <v>10277461.85</v>
      </c>
      <c r="E65" s="263">
        <f>VLOOKUP($B:$B,RAW!$A:$Z,$1:$1,0)</f>
        <v>0</v>
      </c>
      <c r="F65" s="263">
        <f>VLOOKUP($B:$B,입력!$B:$Z,$1:$1,0)/$H$1</f>
        <v>0</v>
      </c>
      <c r="G65" s="263">
        <f>VLOOKUP($B:$B,RAW!$A:$Z,$1:$1,0)</f>
        <v>0</v>
      </c>
      <c r="H65" s="304"/>
      <c r="I65" s="304">
        <f t="shared" si="0"/>
        <v>0</v>
      </c>
      <c r="J65" s="303">
        <f>VLOOKUP($B:$B,입력!$B:$G,$1:$1,0)</f>
        <v>0</v>
      </c>
    </row>
    <row r="66" spans="1:12" ht="12" customHeight="1">
      <c r="A66" s="245" t="s">
        <v>595</v>
      </c>
      <c r="B66" s="256">
        <v>118431</v>
      </c>
      <c r="C66" s="313" t="str">
        <f>IFERROR(VLOOKUP($B:$B,RAW!$A:$L,2,0),"")</f>
        <v>[보통주자기주식수]</v>
      </c>
      <c r="D66" s="263">
        <f>VLOOKUP($B:$B,입력!$B:$Z,$1:$1,0)</f>
        <v>0</v>
      </c>
      <c r="E66" s="263">
        <f>VLOOKUP($B:$B,RAW!$A:$Z,$1:$1,0)</f>
        <v>0</v>
      </c>
      <c r="F66" s="263">
        <f>VLOOKUP($B:$B,입력!$B:$Z,$1:$1,0)/$H$1</f>
        <v>0</v>
      </c>
      <c r="G66" s="263">
        <f>VLOOKUP($B:$B,RAW!$A:$Z,$1:$1,0)</f>
        <v>0</v>
      </c>
      <c r="H66" s="304"/>
      <c r="I66" s="304">
        <f t="shared" si="0"/>
        <v>0</v>
      </c>
      <c r="J66" s="303">
        <f>VLOOKUP($B:$B,입력!$B:$G,$1:$1,0)</f>
        <v>0</v>
      </c>
    </row>
    <row r="67" spans="1:12" ht="12" customHeight="1">
      <c r="A67" s="245" t="s">
        <v>596</v>
      </c>
      <c r="B67" s="254">
        <v>118600</v>
      </c>
      <c r="C67" s="310" t="str">
        <f>IFERROR(VLOOKUP($B:$B,RAW!$A:$L,2,0),"")</f>
        <v>기타포괄손익누계액</v>
      </c>
      <c r="D67" s="263">
        <f>VLOOKUP($B:$B,입력!$B:$Z,$1:$1,0)/$H$1</f>
        <v>0</v>
      </c>
      <c r="E67" s="263">
        <f>VLOOKUP($B:$B,RAW!$A:$Z,$1:$1,0)</f>
        <v>0</v>
      </c>
      <c r="F67" s="263">
        <f>VLOOKUP($B:$B,입력!$B:$Z,$1:$1,0)/$H$1</f>
        <v>0</v>
      </c>
      <c r="G67" s="263">
        <f>VLOOKUP($B:$B,RAW!$A:$Z,$1:$1,0)</f>
        <v>0</v>
      </c>
      <c r="H67" s="304"/>
      <c r="I67" s="304">
        <f t="shared" si="0"/>
        <v>0</v>
      </c>
      <c r="J67" s="303">
        <f>VLOOKUP($B:$B,입력!$B:$G,$1:$1,0)</f>
        <v>0</v>
      </c>
    </row>
    <row r="68" spans="1:12" ht="12" customHeight="1">
      <c r="A68" s="245" t="s">
        <v>597</v>
      </c>
      <c r="B68" s="254">
        <v>118300</v>
      </c>
      <c r="C68" s="310" t="str">
        <f>IFERROR(VLOOKUP($B:$B,RAW!$A:$L,2,0),"")</f>
        <v>이익잉여금</v>
      </c>
      <c r="D68" s="263">
        <f>VLOOKUP($B:$B,입력!$B:$Z,$1:$1,0)/$H$1</f>
        <v>-22428376.679000001</v>
      </c>
      <c r="E68" s="263">
        <f>VLOOKUP($B:$B,RAW!$A:$Z,$1:$1,0)</f>
        <v>0</v>
      </c>
      <c r="F68" s="263">
        <f>VLOOKUP($B:$B,입력!$B:$Z,$1:$1,0)/$H$1</f>
        <v>0</v>
      </c>
      <c r="G68" s="263">
        <f>VLOOKUP($B:$B,RAW!$A:$Z,$1:$1,0)</f>
        <v>0</v>
      </c>
      <c r="H68" s="304"/>
      <c r="I68" s="304">
        <f>IFERROR(G68-F68,"")</f>
        <v>0</v>
      </c>
      <c r="J68" s="303">
        <f>VLOOKUP($B:$B,입력!$B:$G,$1:$1,0)</f>
        <v>0</v>
      </c>
    </row>
    <row r="69" spans="1:12" ht="12" customHeight="1">
      <c r="A69" s="245" t="s">
        <v>5</v>
      </c>
      <c r="B69" s="258">
        <v>118900</v>
      </c>
      <c r="C69" s="284" t="str">
        <f>IFERROR(VLOOKUP($B:$B,RAW!$A:$L,2,0),"")</f>
        <v>자본총계</v>
      </c>
      <c r="D69" s="264">
        <f>VLOOKUP($B:$B,입력!$B:$Z,$1:$1,0)/$H$1</f>
        <v>-6610579.3289999999</v>
      </c>
      <c r="E69" s="264">
        <f>VLOOKUP($B:$B,RAW!$A:$Z,$1:$1,0)</f>
        <v>0</v>
      </c>
      <c r="F69" s="264">
        <f>VLOOKUP($B:$B,입력!$B:$Z,$1:$1,0)/$H$1</f>
        <v>0</v>
      </c>
      <c r="G69" s="264">
        <f>VLOOKUP($B:$B,RAW!$A:$Z,$1:$1,0)</f>
        <v>0</v>
      </c>
      <c r="H69" s="304"/>
      <c r="I69" s="304">
        <f>IFERROR(G69-F69,"")</f>
        <v>0</v>
      </c>
      <c r="J69" s="303">
        <f>VLOOKUP($B:$B,입력!$B:$G,$1:$1,0)</f>
        <v>0</v>
      </c>
    </row>
    <row r="70" spans="1:12" ht="12" customHeight="1">
      <c r="A70" s="245" t="s">
        <v>6</v>
      </c>
      <c r="B70" s="258">
        <v>119000</v>
      </c>
      <c r="C70" s="284" t="str">
        <f>IFERROR(VLOOKUP($B:$B,RAW!$A:$L,2,0),"")</f>
        <v>부채와자본총계</v>
      </c>
      <c r="D70" s="264">
        <f>VLOOKUP($B:$B,입력!$B:$Z,$1:$1,0)/$H$1</f>
        <v>132226745.059</v>
      </c>
      <c r="E70" s="264">
        <f>VLOOKUP($B:$B,RAW!$A:$Z,$1:$1,0)</f>
        <v>0</v>
      </c>
      <c r="F70" s="264">
        <f>VLOOKUP($B:$B,입력!$B:$Z,$1:$1,0)/$H$1</f>
        <v>0</v>
      </c>
      <c r="G70" s="264">
        <f>VLOOKUP($B:$B,RAW!$A:$Z,$1:$1,0)</f>
        <v>0</v>
      </c>
      <c r="H70" s="304"/>
      <c r="I70" s="304">
        <f>IFERROR(G70-F70,"")</f>
        <v>0</v>
      </c>
      <c r="J70" s="303">
        <f>VLOOKUP($B:$B,입력!$B:$G,$1:$1,0)</f>
        <v>0</v>
      </c>
    </row>
    <row r="71" spans="1:12" ht="12" customHeight="1">
      <c r="C71" s="292"/>
      <c r="D71" s="293"/>
      <c r="E71" s="294"/>
      <c r="F71" s="293"/>
      <c r="G71" s="295"/>
      <c r="H71" s="266"/>
      <c r="I71" s="266"/>
    </row>
    <row r="72" spans="1:12" ht="12" customHeight="1">
      <c r="C72" s="299"/>
      <c r="D72" s="300"/>
      <c r="E72" s="301"/>
      <c r="F72" s="300"/>
      <c r="G72" s="301"/>
      <c r="H72" s="279"/>
      <c r="I72" s="279"/>
    </row>
    <row r="73" spans="1:12" s="248" customFormat="1">
      <c r="B73" s="267"/>
      <c r="C73" s="250" t="s">
        <v>1446</v>
      </c>
      <c r="D73" s="251" t="str">
        <f>D2</f>
        <v>당기입력</v>
      </c>
      <c r="E73" s="251" t="e">
        <f>E2</f>
        <v>#N/A</v>
      </c>
      <c r="F73" s="251" t="str">
        <f>F2</f>
        <v>전기입력</v>
      </c>
      <c r="G73" s="251" t="e">
        <f>G2</f>
        <v>#N/A</v>
      </c>
      <c r="H73" s="302"/>
      <c r="I73" s="302"/>
      <c r="J73" s="307"/>
      <c r="K73" s="245"/>
      <c r="L73" s="247"/>
    </row>
    <row r="74" spans="1:12">
      <c r="A74" s="245" t="s">
        <v>7</v>
      </c>
      <c r="B74" s="252">
        <v>121000</v>
      </c>
      <c r="C74" s="285" t="str">
        <f>IFERROR(VLOOKUP($B:$B,RAW!$A:$L,2,0),"")</f>
        <v>매출액</v>
      </c>
      <c r="D74" s="268">
        <f>VLOOKUP($B:$B,입력!$B:$Z,$1:$1,0)/$H$1</f>
        <v>28264134.342</v>
      </c>
      <c r="E74" s="268">
        <f>VLOOKUP($B:$B,RAW!$A:$Z,$1:$1,0)</f>
        <v>0</v>
      </c>
      <c r="F74" s="269">
        <f>VLOOKUP($B:$B,입력!$B:$Z,$1:$1,0)/$H$1</f>
        <v>0</v>
      </c>
      <c r="G74" s="269">
        <f>VLOOKUP($B:$B,RAW!$A:$Z,$1:$1,0)</f>
        <v>14965246</v>
      </c>
      <c r="H74" s="304"/>
      <c r="I74" s="304">
        <f t="shared" ref="I74:I137" si="1">IFERROR(G74-F74,"")</f>
        <v>14965246</v>
      </c>
      <c r="J74" s="303">
        <f>VLOOKUP($B:$B,입력!$B:$G,$1:$1,0)</f>
        <v>0</v>
      </c>
    </row>
    <row r="75" spans="1:12">
      <c r="A75" s="245" t="s">
        <v>8</v>
      </c>
      <c r="B75" s="258">
        <v>122000</v>
      </c>
      <c r="C75" s="286" t="str">
        <f>IFERROR(VLOOKUP($B:$B,RAW!$A:$L,2,0),"")</f>
        <v>매출원가</v>
      </c>
      <c r="D75" s="270">
        <f>VLOOKUP($B:$B,입력!$B:$Z,$1:$1,0)/$H$1</f>
        <v>27945448.75</v>
      </c>
      <c r="E75" s="270">
        <f>VLOOKUP($B:$B,RAW!$A:$Z,$1:$1,0)</f>
        <v>0</v>
      </c>
      <c r="F75" s="271">
        <f>VLOOKUP($B:$B,입력!$B:$Z,$1:$1,0)/$H$1</f>
        <v>0</v>
      </c>
      <c r="G75" s="271">
        <f>VLOOKUP($B:$B,RAW!$A:$Z,$1:$1,0)</f>
        <v>10593806</v>
      </c>
      <c r="H75" s="304"/>
      <c r="I75" s="304">
        <f t="shared" si="1"/>
        <v>10593806</v>
      </c>
      <c r="J75" s="303">
        <f>VLOOKUP($B:$B,입력!$B:$G,$1:$1,0)</f>
        <v>0</v>
      </c>
    </row>
    <row r="76" spans="1:12">
      <c r="A76" s="245" t="s">
        <v>768</v>
      </c>
      <c r="B76" s="258">
        <v>123000</v>
      </c>
      <c r="C76" s="287" t="str">
        <f>IFERROR(VLOOKUP($B:$B,RAW!$A:$L,2,0),"")</f>
        <v>매출총이익(손실)</v>
      </c>
      <c r="D76" s="272">
        <f>VLOOKUP($B:$B,입력!$B:$Z,$1:$1,0)/$H$1</f>
        <v>318685.592</v>
      </c>
      <c r="E76" s="272">
        <f>VLOOKUP($B:$B,RAW!$A:$Z,$1:$1,0)</f>
        <v>0</v>
      </c>
      <c r="F76" s="273">
        <f>VLOOKUP($B:$B,입력!$B:$Z,$1:$1,0)/$H$1</f>
        <v>0</v>
      </c>
      <c r="G76" s="273">
        <f>VLOOKUP($B:$B,RAW!$A:$Z,$1:$1,0)</f>
        <v>4371440</v>
      </c>
      <c r="H76" s="304"/>
      <c r="I76" s="304">
        <f t="shared" si="1"/>
        <v>4371440</v>
      </c>
      <c r="J76" s="303">
        <f>VLOOKUP($B:$B,입력!$B:$G,$1:$1,0)</f>
        <v>0</v>
      </c>
    </row>
    <row r="77" spans="1:12">
      <c r="A77" s="245" t="s">
        <v>10</v>
      </c>
      <c r="B77" s="258">
        <v>124000</v>
      </c>
      <c r="C77" s="285" t="str">
        <f>IFERROR(VLOOKUP($B:$B,RAW!$A:$L,2,0),"")</f>
        <v>판매비와관리비</v>
      </c>
      <c r="D77" s="268">
        <f>VLOOKUP($B:$B,입력!$B:$Z,$1:$1,0)/$H$1</f>
        <v>13264178.771</v>
      </c>
      <c r="E77" s="268">
        <f>VLOOKUP($B:$B,RAW!$A:$Z,$1:$1,0)</f>
        <v>0</v>
      </c>
      <c r="F77" s="269">
        <f>VLOOKUP($B:$B,입력!$B:$Z,$1:$1,0)/$H$1</f>
        <v>0</v>
      </c>
      <c r="G77" s="269">
        <f>VLOOKUP($B:$B,RAW!$A:$Z,$1:$1,0)</f>
        <v>3234686</v>
      </c>
      <c r="H77" s="304"/>
      <c r="I77" s="304">
        <f t="shared" si="1"/>
        <v>3234686</v>
      </c>
      <c r="J77" s="303">
        <f>VLOOKUP($B:$B,입력!$B:$G,$1:$1,0)</f>
        <v>0</v>
      </c>
    </row>
    <row r="78" spans="1:12">
      <c r="A78" s="245" t="s">
        <v>598</v>
      </c>
      <c r="B78" s="256">
        <v>124110</v>
      </c>
      <c r="C78" s="316" t="str">
        <f>IFERROR(VLOOKUP($B:$B,RAW!$A:$L,2,0),"")</f>
        <v>임원급여</v>
      </c>
      <c r="D78" s="272">
        <f>VLOOKUP($B:$B,입력!$B:$Z,$1:$1,0)/$H$1</f>
        <v>0</v>
      </c>
      <c r="E78" s="272">
        <f>VLOOKUP($B:$B,RAW!$A:$Z,$1:$1,0)</f>
        <v>0</v>
      </c>
      <c r="F78" s="273">
        <f>VLOOKUP($B:$B,입력!$B:$Z,$1:$1,0)/$H$1</f>
        <v>0</v>
      </c>
      <c r="G78" s="273">
        <f>VLOOKUP($B:$B,RAW!$A:$Z,$1:$1,0)</f>
        <v>0</v>
      </c>
      <c r="H78" s="304"/>
      <c r="I78" s="304">
        <f t="shared" si="1"/>
        <v>0</v>
      </c>
      <c r="J78" s="303">
        <f>VLOOKUP($B:$B,입력!$B:$G,$1:$1,0)</f>
        <v>0</v>
      </c>
    </row>
    <row r="79" spans="1:12">
      <c r="A79" s="245" t="s">
        <v>599</v>
      </c>
      <c r="B79" s="256">
        <v>124120</v>
      </c>
      <c r="C79" s="316" t="str">
        <f>IFERROR(VLOOKUP($B:$B,RAW!$A:$L,2,0),"")</f>
        <v>급료와임금</v>
      </c>
      <c r="D79" s="272">
        <f>VLOOKUP($B:$B,입력!$B:$Z,$1:$1,0)/$H$1</f>
        <v>2567044.8650000002</v>
      </c>
      <c r="E79" s="272">
        <f>VLOOKUP($B:$B,RAW!$A:$Z,$1:$1,0)</f>
        <v>0</v>
      </c>
      <c r="F79" s="273">
        <f>VLOOKUP($B:$B,입력!$B:$Z,$1:$1,0)/$H$1</f>
        <v>0</v>
      </c>
      <c r="G79" s="273">
        <f>VLOOKUP($B:$B,RAW!$A:$Z,$1:$1,0)</f>
        <v>1085493</v>
      </c>
      <c r="H79" s="304"/>
      <c r="I79" s="304">
        <f t="shared" si="1"/>
        <v>1085493</v>
      </c>
      <c r="J79" s="303">
        <f>VLOOKUP($B:$B,입력!$B:$G,$1:$1,0)</f>
        <v>0</v>
      </c>
    </row>
    <row r="80" spans="1:12">
      <c r="A80" s="245" t="s">
        <v>600</v>
      </c>
      <c r="B80" s="256">
        <v>124130</v>
      </c>
      <c r="C80" s="316" t="str">
        <f>IFERROR(VLOOKUP($B:$B,RAW!$A:$L,2,0),"")</f>
        <v>제수당</v>
      </c>
      <c r="D80" s="272">
        <f>VLOOKUP($B:$B,입력!$B:$Z,$1:$1,0)/$H$1</f>
        <v>0</v>
      </c>
      <c r="E80" s="272">
        <f>VLOOKUP($B:$B,RAW!$A:$Z,$1:$1,0)</f>
        <v>0</v>
      </c>
      <c r="F80" s="273">
        <f>VLOOKUP($B:$B,입력!$B:$Z,$1:$1,0)/$H$1</f>
        <v>0</v>
      </c>
      <c r="G80" s="273">
        <f>VLOOKUP($B:$B,RAW!$A:$Z,$1:$1,0)</f>
        <v>0</v>
      </c>
      <c r="H80" s="304"/>
      <c r="I80" s="304">
        <f t="shared" si="1"/>
        <v>0</v>
      </c>
      <c r="J80" s="303">
        <f>VLOOKUP($B:$B,입력!$B:$G,$1:$1,0)</f>
        <v>0</v>
      </c>
    </row>
    <row r="81" spans="1:10">
      <c r="A81" s="245" t="s">
        <v>601</v>
      </c>
      <c r="B81" s="256">
        <v>124140</v>
      </c>
      <c r="C81" s="316" t="str">
        <f>IFERROR(VLOOKUP($B:$B,RAW!$A:$L,2,0),"")</f>
        <v>상여금</v>
      </c>
      <c r="D81" s="272">
        <f>VLOOKUP($B:$B,입력!$B:$Z,$1:$1,0)/$H$1</f>
        <v>11300</v>
      </c>
      <c r="E81" s="272">
        <f>VLOOKUP($B:$B,RAW!$A:$Z,$1:$1,0)</f>
        <v>0</v>
      </c>
      <c r="F81" s="273">
        <f>VLOOKUP($B:$B,입력!$B:$Z,$1:$1,0)/$H$1</f>
        <v>0</v>
      </c>
      <c r="G81" s="273">
        <f>VLOOKUP($B:$B,RAW!$A:$Z,$1:$1,0)</f>
        <v>0</v>
      </c>
      <c r="H81" s="304"/>
      <c r="I81" s="304">
        <f t="shared" si="1"/>
        <v>0</v>
      </c>
      <c r="J81" s="303">
        <f>VLOOKUP($B:$B,입력!$B:$G,$1:$1,0)</f>
        <v>0</v>
      </c>
    </row>
    <row r="82" spans="1:10">
      <c r="A82" s="245" t="s">
        <v>602</v>
      </c>
      <c r="B82" s="256">
        <v>124150</v>
      </c>
      <c r="C82" s="316" t="str">
        <f>IFERROR(VLOOKUP($B:$B,RAW!$A:$L,2,0),"")</f>
        <v>퇴직급여충당금전입액</v>
      </c>
      <c r="D82" s="272">
        <f>VLOOKUP($B:$B,입력!$B:$Z,$1:$1,0)/$H$1</f>
        <v>286050.65999999997</v>
      </c>
      <c r="E82" s="272">
        <f>VLOOKUP($B:$B,RAW!$A:$Z,$1:$1,0)</f>
        <v>0</v>
      </c>
      <c r="F82" s="273">
        <f>VLOOKUP($B:$B,입력!$B:$Z,$1:$1,0)/$H$1</f>
        <v>0</v>
      </c>
      <c r="G82" s="273">
        <f>VLOOKUP($B:$B,RAW!$A:$Z,$1:$1,0)</f>
        <v>63471</v>
      </c>
      <c r="H82" s="304"/>
      <c r="I82" s="304">
        <f t="shared" si="1"/>
        <v>63471</v>
      </c>
      <c r="J82" s="303">
        <f>VLOOKUP($B:$B,입력!$B:$G,$1:$1,0)</f>
        <v>0</v>
      </c>
    </row>
    <row r="83" spans="1:10">
      <c r="A83" s="245" t="s">
        <v>603</v>
      </c>
      <c r="B83" s="256">
        <v>124160</v>
      </c>
      <c r="C83" s="316" t="str">
        <f>IFERROR(VLOOKUP($B:$B,RAW!$A:$L,2,0),"")</f>
        <v>퇴직금</v>
      </c>
      <c r="D83" s="272">
        <f>VLOOKUP($B:$B,입력!$B:$Z,$1:$1,0)/$H$1</f>
        <v>0</v>
      </c>
      <c r="E83" s="272">
        <f>VLOOKUP($B:$B,RAW!$A:$Z,$1:$1,0)</f>
        <v>0</v>
      </c>
      <c r="F83" s="273">
        <f>VLOOKUP($B:$B,입력!$B:$Z,$1:$1,0)/$H$1</f>
        <v>0</v>
      </c>
      <c r="G83" s="273">
        <f>VLOOKUP($B:$B,RAW!$A:$Z,$1:$1,0)</f>
        <v>0</v>
      </c>
      <c r="H83" s="304"/>
      <c r="I83" s="304">
        <f t="shared" si="1"/>
        <v>0</v>
      </c>
      <c r="J83" s="303">
        <f>VLOOKUP($B:$B,입력!$B:$G,$1:$1,0)</f>
        <v>0</v>
      </c>
    </row>
    <row r="84" spans="1:10">
      <c r="A84" s="245" t="s">
        <v>604</v>
      </c>
      <c r="B84" s="256">
        <v>124170</v>
      </c>
      <c r="C84" s="316" t="str">
        <f>IFERROR(VLOOKUP($B:$B,RAW!$A:$L,2,0),"")</f>
        <v>복리후생비</v>
      </c>
      <c r="D84" s="272">
        <f>VLOOKUP($B:$B,입력!$B:$Z,$1:$1,0)/$H$1</f>
        <v>661968.88699999999</v>
      </c>
      <c r="E84" s="272">
        <f>VLOOKUP($B:$B,RAW!$A:$Z,$1:$1,0)</f>
        <v>0</v>
      </c>
      <c r="F84" s="273">
        <f>VLOOKUP($B:$B,입력!$B:$Z,$1:$1,0)/$H$1</f>
        <v>0</v>
      </c>
      <c r="G84" s="273">
        <f>VLOOKUP($B:$B,RAW!$A:$Z,$1:$1,0)</f>
        <v>109848</v>
      </c>
      <c r="H84" s="304"/>
      <c r="I84" s="304">
        <f t="shared" si="1"/>
        <v>109848</v>
      </c>
      <c r="J84" s="303">
        <f>VLOOKUP($B:$B,입력!$B:$G,$1:$1,0)</f>
        <v>0</v>
      </c>
    </row>
    <row r="85" spans="1:10">
      <c r="A85" s="245" t="s">
        <v>605</v>
      </c>
      <c r="B85" s="256">
        <v>124180</v>
      </c>
      <c r="C85" s="316" t="str">
        <f>IFERROR(VLOOKUP($B:$B,RAW!$A:$L,2,0),"")</f>
        <v>주식보상비용</v>
      </c>
      <c r="D85" s="272">
        <f>VLOOKUP($B:$B,입력!$B:$Z,$1:$1,0)/$H$1</f>
        <v>6479846.7479999997</v>
      </c>
      <c r="E85" s="272">
        <f>VLOOKUP($B:$B,RAW!$A:$Z,$1:$1,0)</f>
        <v>0</v>
      </c>
      <c r="F85" s="273">
        <f>VLOOKUP($B:$B,입력!$B:$Z,$1:$1,0)/$H$1</f>
        <v>0</v>
      </c>
      <c r="G85" s="273">
        <f>VLOOKUP($B:$B,RAW!$A:$Z,$1:$1,0)</f>
        <v>0</v>
      </c>
      <c r="H85" s="304"/>
      <c r="I85" s="304">
        <f t="shared" si="1"/>
        <v>0</v>
      </c>
      <c r="J85" s="303">
        <f>VLOOKUP($B:$B,입력!$B:$G,$1:$1,0)</f>
        <v>0</v>
      </c>
    </row>
    <row r="86" spans="1:10">
      <c r="A86" s="245" t="s">
        <v>606</v>
      </c>
      <c r="B86" s="256">
        <v>124199</v>
      </c>
      <c r="C86" s="316" t="str">
        <f>IFERROR(VLOOKUP($B:$B,RAW!$A:$L,2,0),"")</f>
        <v>기타인건비</v>
      </c>
      <c r="D86" s="272">
        <f>VLOOKUP($B:$B,입력!$B:$Z,$1:$1,0)/$H$1</f>
        <v>964842.71499999997</v>
      </c>
      <c r="E86" s="272">
        <f>VLOOKUP($B:$B,RAW!$A:$Z,$1:$1,0)</f>
        <v>0</v>
      </c>
      <c r="F86" s="273">
        <f>VLOOKUP($B:$B,입력!$B:$Z,$1:$1,0)/$H$1</f>
        <v>0</v>
      </c>
      <c r="G86" s="273">
        <f>VLOOKUP($B:$B,RAW!$A:$Z,$1:$1,0)</f>
        <v>0</v>
      </c>
      <c r="H86" s="304"/>
      <c r="I86" s="304">
        <f t="shared" si="1"/>
        <v>0</v>
      </c>
      <c r="J86" s="303">
        <f>VLOOKUP($B:$B,입력!$B:$G,$1:$1,0)</f>
        <v>0</v>
      </c>
    </row>
    <row r="87" spans="1:10">
      <c r="A87" s="245" t="s">
        <v>607</v>
      </c>
      <c r="B87" s="256">
        <v>124211</v>
      </c>
      <c r="C87" s="316" t="str">
        <f>IFERROR(VLOOKUP($B:$B,RAW!$A:$L,2,0),"")</f>
        <v>여비교통비</v>
      </c>
      <c r="D87" s="272">
        <f>VLOOKUP($B:$B,입력!$B:$Z,$1:$1,0)/$H$1</f>
        <v>204743.929</v>
      </c>
      <c r="E87" s="272">
        <f>VLOOKUP($B:$B,RAW!$A:$Z,$1:$1,0)</f>
        <v>0</v>
      </c>
      <c r="F87" s="273">
        <f>VLOOKUP($B:$B,입력!$B:$Z,$1:$1,0)/$H$1</f>
        <v>0</v>
      </c>
      <c r="G87" s="273">
        <f>VLOOKUP($B:$B,RAW!$A:$Z,$1:$1,0)</f>
        <v>27254</v>
      </c>
      <c r="H87" s="304"/>
      <c r="I87" s="304">
        <f t="shared" si="1"/>
        <v>27254</v>
      </c>
      <c r="J87" s="303">
        <f>VLOOKUP($B:$B,입력!$B:$G,$1:$1,0)</f>
        <v>0</v>
      </c>
    </row>
    <row r="88" spans="1:10">
      <c r="A88" s="245" t="s">
        <v>608</v>
      </c>
      <c r="B88" s="256">
        <v>124212</v>
      </c>
      <c r="C88" s="316" t="str">
        <f>IFERROR(VLOOKUP($B:$B,RAW!$A:$L,2,0),"")</f>
        <v>통신비</v>
      </c>
      <c r="D88" s="272">
        <f>VLOOKUP($B:$B,입력!$B:$Z,$1:$1,0)/$H$1</f>
        <v>50521.402000000002</v>
      </c>
      <c r="E88" s="272">
        <f>VLOOKUP($B:$B,RAW!$A:$Z,$1:$1,0)</f>
        <v>0</v>
      </c>
      <c r="F88" s="273">
        <f>VLOOKUP($B:$B,입력!$B:$Z,$1:$1,0)/$H$1</f>
        <v>0</v>
      </c>
      <c r="G88" s="273">
        <f>VLOOKUP($B:$B,RAW!$A:$Z,$1:$1,0)</f>
        <v>14084</v>
      </c>
      <c r="H88" s="304"/>
      <c r="I88" s="304">
        <f t="shared" si="1"/>
        <v>14084</v>
      </c>
      <c r="J88" s="303">
        <f>VLOOKUP($B:$B,입력!$B:$G,$1:$1,0)</f>
        <v>0</v>
      </c>
    </row>
    <row r="89" spans="1:10">
      <c r="A89" s="245" t="s">
        <v>609</v>
      </c>
      <c r="B89" s="256">
        <v>124213</v>
      </c>
      <c r="C89" s="316" t="str">
        <f>IFERROR(VLOOKUP($B:$B,RAW!$A:$L,2,0),"")</f>
        <v>수도광열비</v>
      </c>
      <c r="D89" s="272">
        <f>VLOOKUP($B:$B,입력!$B:$Z,$1:$1,0)/$H$1</f>
        <v>2199.8000000000002</v>
      </c>
      <c r="E89" s="272">
        <f>VLOOKUP($B:$B,RAW!$A:$Z,$1:$1,0)</f>
        <v>0</v>
      </c>
      <c r="F89" s="273">
        <f>VLOOKUP($B:$B,입력!$B:$Z,$1:$1,0)/$H$1</f>
        <v>0</v>
      </c>
      <c r="G89" s="273">
        <f>VLOOKUP($B:$B,RAW!$A:$Z,$1:$1,0)</f>
        <v>20897</v>
      </c>
      <c r="H89" s="304"/>
      <c r="I89" s="304">
        <f t="shared" si="1"/>
        <v>20897</v>
      </c>
      <c r="J89" s="303">
        <f>VLOOKUP($B:$B,입력!$B:$G,$1:$1,0)</f>
        <v>0</v>
      </c>
    </row>
    <row r="90" spans="1:10">
      <c r="A90" s="245" t="s">
        <v>610</v>
      </c>
      <c r="B90" s="256">
        <v>124214</v>
      </c>
      <c r="C90" s="316" t="str">
        <f>IFERROR(VLOOKUP($B:$B,RAW!$A:$L,2,0),"")</f>
        <v>세금과공과</v>
      </c>
      <c r="D90" s="272">
        <f>VLOOKUP($B:$B,입력!$B:$Z,$1:$1,0)/$H$1</f>
        <v>46861.91</v>
      </c>
      <c r="E90" s="272">
        <f>VLOOKUP($B:$B,RAW!$A:$Z,$1:$1,0)</f>
        <v>0</v>
      </c>
      <c r="F90" s="273">
        <f>VLOOKUP($B:$B,입력!$B:$Z,$1:$1,0)/$H$1</f>
        <v>0</v>
      </c>
      <c r="G90" s="273">
        <f>VLOOKUP($B:$B,RAW!$A:$Z,$1:$1,0)</f>
        <v>65953</v>
      </c>
      <c r="H90" s="304"/>
      <c r="I90" s="304">
        <f t="shared" si="1"/>
        <v>65953</v>
      </c>
      <c r="J90" s="303">
        <f>VLOOKUP($B:$B,입력!$B:$G,$1:$1,0)</f>
        <v>0</v>
      </c>
    </row>
    <row r="91" spans="1:10">
      <c r="A91" s="245" t="s">
        <v>611</v>
      </c>
      <c r="B91" s="256">
        <v>124215</v>
      </c>
      <c r="C91" s="316" t="str">
        <f>IFERROR(VLOOKUP($B:$B,RAW!$A:$L,2,0),"")</f>
        <v>임차료비용</v>
      </c>
      <c r="D91" s="272">
        <f>VLOOKUP($B:$B,입력!$B:$Z,$1:$1,0)/$H$1</f>
        <v>76954.505999999994</v>
      </c>
      <c r="E91" s="272">
        <f>VLOOKUP($B:$B,RAW!$A:$Z,$1:$1,0)</f>
        <v>0</v>
      </c>
      <c r="F91" s="273">
        <f>VLOOKUP($B:$B,입력!$B:$Z,$1:$1,0)/$H$1</f>
        <v>0</v>
      </c>
      <c r="G91" s="273">
        <f>VLOOKUP($B:$B,RAW!$A:$Z,$1:$1,0)</f>
        <v>318239</v>
      </c>
      <c r="H91" s="304"/>
      <c r="I91" s="304">
        <f t="shared" si="1"/>
        <v>318239</v>
      </c>
      <c r="J91" s="303">
        <f>VLOOKUP($B:$B,입력!$B:$G,$1:$1,0)</f>
        <v>0</v>
      </c>
    </row>
    <row r="92" spans="1:10">
      <c r="A92" s="245" t="s">
        <v>1447</v>
      </c>
      <c r="B92" s="256">
        <v>124216</v>
      </c>
      <c r="C92" s="316" t="str">
        <f>IFERROR(VLOOKUP($B:$B,RAW!$A:$L,2,0),"")</f>
        <v>감가상각비</v>
      </c>
      <c r="D92" s="272">
        <f>VLOOKUP($B:$B,입력!$B:$Z,$1:$1,0)/$H$1</f>
        <v>869684.18400000001</v>
      </c>
      <c r="E92" s="272">
        <f>VLOOKUP($B:$B,RAW!$A:$Z,$1:$1,0)</f>
        <v>0</v>
      </c>
      <c r="F92" s="273">
        <f>VLOOKUP($B:$B,입력!$B:$Z,$1:$1,0)/$H$1</f>
        <v>0</v>
      </c>
      <c r="G92" s="273">
        <f>VLOOKUP($B:$B,RAW!$A:$Z,$1:$1,0)</f>
        <v>173069</v>
      </c>
      <c r="H92" s="304"/>
      <c r="I92" s="304">
        <f t="shared" si="1"/>
        <v>173069</v>
      </c>
      <c r="J92" s="303">
        <f>VLOOKUP($B:$B,입력!$B:$G,$1:$1,0)</f>
        <v>0</v>
      </c>
    </row>
    <row r="93" spans="1:10">
      <c r="A93" s="245" t="s">
        <v>613</v>
      </c>
      <c r="B93" s="256">
        <v>124217</v>
      </c>
      <c r="C93" s="316" t="str">
        <f>IFERROR(VLOOKUP($B:$B,RAW!$A:$L,2,0),"")</f>
        <v>수선비</v>
      </c>
      <c r="D93" s="272">
        <f>VLOOKUP($B:$B,입력!$B:$Z,$1:$1,0)/$H$1</f>
        <v>718</v>
      </c>
      <c r="E93" s="272">
        <f>VLOOKUP($B:$B,RAW!$A:$Z,$1:$1,0)</f>
        <v>0</v>
      </c>
      <c r="F93" s="273">
        <f>VLOOKUP($B:$B,입력!$B:$Z,$1:$1,0)/$H$1</f>
        <v>0</v>
      </c>
      <c r="G93" s="273">
        <f>VLOOKUP($B:$B,RAW!$A:$Z,$1:$1,0)</f>
        <v>4880</v>
      </c>
      <c r="H93" s="304"/>
      <c r="I93" s="304">
        <f t="shared" si="1"/>
        <v>4880</v>
      </c>
      <c r="J93" s="303">
        <f>VLOOKUP($B:$B,입력!$B:$G,$1:$1,0)</f>
        <v>0</v>
      </c>
    </row>
    <row r="94" spans="1:10">
      <c r="A94" s="245" t="s">
        <v>614</v>
      </c>
      <c r="B94" s="256">
        <v>124218</v>
      </c>
      <c r="C94" s="316" t="str">
        <f>IFERROR(VLOOKUP($B:$B,RAW!$A:$L,2,0),"")</f>
        <v>보험료</v>
      </c>
      <c r="D94" s="272">
        <f>VLOOKUP($B:$B,입력!$B:$Z,$1:$1,0)/$H$1</f>
        <v>423.517</v>
      </c>
      <c r="E94" s="272">
        <f>VLOOKUP($B:$B,RAW!$A:$Z,$1:$1,0)</f>
        <v>0</v>
      </c>
      <c r="F94" s="273">
        <f>VLOOKUP($B:$B,입력!$B:$Z,$1:$1,0)/$H$1</f>
        <v>0</v>
      </c>
      <c r="G94" s="273">
        <f>VLOOKUP($B:$B,RAW!$A:$Z,$1:$1,0)</f>
        <v>26974</v>
      </c>
      <c r="H94" s="304"/>
      <c r="I94" s="304">
        <f t="shared" si="1"/>
        <v>26974</v>
      </c>
      <c r="J94" s="303">
        <f>VLOOKUP($B:$B,입력!$B:$G,$1:$1,0)</f>
        <v>0</v>
      </c>
    </row>
    <row r="95" spans="1:10">
      <c r="A95" s="245" t="s">
        <v>615</v>
      </c>
      <c r="B95" s="256">
        <v>124219</v>
      </c>
      <c r="C95" s="316" t="str">
        <f>IFERROR(VLOOKUP($B:$B,RAW!$A:$L,2,0),"")</f>
        <v>도서구입비</v>
      </c>
      <c r="D95" s="272">
        <f>VLOOKUP($B:$B,입력!$B:$Z,$1:$1,0)/$H$1</f>
        <v>0</v>
      </c>
      <c r="E95" s="272">
        <f>VLOOKUP($B:$B,RAW!$A:$Z,$1:$1,0)</f>
        <v>0</v>
      </c>
      <c r="F95" s="273">
        <f>VLOOKUP($B:$B,입력!$B:$Z,$1:$1,0)/$H$1</f>
        <v>0</v>
      </c>
      <c r="G95" s="273">
        <f>VLOOKUP($B:$B,RAW!$A:$Z,$1:$1,0)</f>
        <v>0</v>
      </c>
      <c r="H95" s="304"/>
      <c r="I95" s="304">
        <f t="shared" si="1"/>
        <v>0</v>
      </c>
      <c r="J95" s="303">
        <f>VLOOKUP($B:$B,입력!$B:$G,$1:$1,0)</f>
        <v>0</v>
      </c>
    </row>
    <row r="96" spans="1:10">
      <c r="A96" s="245" t="s">
        <v>616</v>
      </c>
      <c r="B96" s="256">
        <v>124220</v>
      </c>
      <c r="C96" s="316" t="str">
        <f>IFERROR(VLOOKUP($B:$B,RAW!$A:$L,2,0),"")</f>
        <v>소모품비</v>
      </c>
      <c r="D96" s="272">
        <f>VLOOKUP($B:$B,입력!$B:$Z,$1:$1,0)/$H$1</f>
        <v>44065.326000000001</v>
      </c>
      <c r="E96" s="272">
        <f>VLOOKUP($B:$B,RAW!$A:$Z,$1:$1,0)</f>
        <v>0</v>
      </c>
      <c r="F96" s="273">
        <f>VLOOKUP($B:$B,입력!$B:$Z,$1:$1,0)/$H$1</f>
        <v>0</v>
      </c>
      <c r="G96" s="273">
        <f>VLOOKUP($B:$B,RAW!$A:$Z,$1:$1,0)</f>
        <v>78424</v>
      </c>
      <c r="H96" s="304"/>
      <c r="I96" s="304">
        <f t="shared" si="1"/>
        <v>78424</v>
      </c>
      <c r="J96" s="303">
        <f>VLOOKUP($B:$B,입력!$B:$G,$1:$1,0)</f>
        <v>0</v>
      </c>
    </row>
    <row r="97" spans="1:10">
      <c r="A97" s="245" t="s">
        <v>617</v>
      </c>
      <c r="B97" s="256">
        <v>124221</v>
      </c>
      <c r="C97" s="316" t="str">
        <f>IFERROR(VLOOKUP($B:$B,RAW!$A:$L,2,0),"")</f>
        <v>도서인쇄비</v>
      </c>
      <c r="D97" s="272">
        <f>VLOOKUP($B:$B,입력!$B:$Z,$1:$1,0)/$H$1</f>
        <v>6154.9669999999996</v>
      </c>
      <c r="E97" s="272">
        <f>VLOOKUP($B:$B,RAW!$A:$Z,$1:$1,0)</f>
        <v>0</v>
      </c>
      <c r="F97" s="273">
        <f>VLOOKUP($B:$B,입력!$B:$Z,$1:$1,0)/$H$1</f>
        <v>0</v>
      </c>
      <c r="G97" s="273">
        <f>VLOOKUP($B:$B,RAW!$A:$Z,$1:$1,0)</f>
        <v>1653</v>
      </c>
      <c r="H97" s="304"/>
      <c r="I97" s="304">
        <f t="shared" si="1"/>
        <v>1653</v>
      </c>
      <c r="J97" s="303">
        <f>VLOOKUP($B:$B,입력!$B:$G,$1:$1,0)</f>
        <v>0</v>
      </c>
    </row>
    <row r="98" spans="1:10">
      <c r="A98" s="245" t="s">
        <v>618</v>
      </c>
      <c r="B98" s="256">
        <v>124222</v>
      </c>
      <c r="C98" s="316" t="str">
        <f>IFERROR(VLOOKUP($B:$B,RAW!$A:$L,2,0),"")</f>
        <v>차량유지비</v>
      </c>
      <c r="D98" s="272">
        <f>VLOOKUP($B:$B,입력!$B:$Z,$1:$1,0)/$H$1</f>
        <v>224.315</v>
      </c>
      <c r="E98" s="272">
        <f>VLOOKUP($B:$B,RAW!$A:$Z,$1:$1,0)</f>
        <v>0</v>
      </c>
      <c r="F98" s="273">
        <f>VLOOKUP($B:$B,입력!$B:$Z,$1:$1,0)/$H$1</f>
        <v>0</v>
      </c>
      <c r="G98" s="273">
        <f>VLOOKUP($B:$B,RAW!$A:$Z,$1:$1,0)</f>
        <v>48307</v>
      </c>
      <c r="H98" s="304"/>
      <c r="I98" s="304">
        <f t="shared" si="1"/>
        <v>48307</v>
      </c>
      <c r="J98" s="303">
        <f>VLOOKUP($B:$B,입력!$B:$G,$1:$1,0)</f>
        <v>0</v>
      </c>
    </row>
    <row r="99" spans="1:10">
      <c r="A99" s="245" t="s">
        <v>619</v>
      </c>
      <c r="B99" s="256">
        <v>124223</v>
      </c>
      <c r="C99" s="316" t="str">
        <f>IFERROR(VLOOKUP($B:$B,RAW!$A:$L,2,0),"")</f>
        <v>교육훈련비</v>
      </c>
      <c r="D99" s="272">
        <f>VLOOKUP($B:$B,입력!$B:$Z,$1:$1,0)/$H$1</f>
        <v>72035.55</v>
      </c>
      <c r="E99" s="272">
        <f>VLOOKUP($B:$B,RAW!$A:$Z,$1:$1,0)</f>
        <v>0</v>
      </c>
      <c r="F99" s="273">
        <f>VLOOKUP($B:$B,입력!$B:$Z,$1:$1,0)/$H$1</f>
        <v>0</v>
      </c>
      <c r="G99" s="273">
        <f>VLOOKUP($B:$B,RAW!$A:$Z,$1:$1,0)</f>
        <v>65</v>
      </c>
      <c r="H99" s="304"/>
      <c r="I99" s="304">
        <f t="shared" si="1"/>
        <v>65</v>
      </c>
      <c r="J99" s="303">
        <f>VLOOKUP($B:$B,입력!$B:$G,$1:$1,0)</f>
        <v>0</v>
      </c>
    </row>
    <row r="100" spans="1:10">
      <c r="A100" s="245" t="s">
        <v>1448</v>
      </c>
      <c r="B100" s="256">
        <v>124224</v>
      </c>
      <c r="C100" s="316" t="str">
        <f>IFERROR(VLOOKUP($B:$B,RAW!$A:$L,2,0),"")</f>
        <v>수수료비용</v>
      </c>
      <c r="D100" s="272">
        <f>VLOOKUP($B:$B,입력!$B:$Z,$1:$1,0)/$H$1</f>
        <v>737382.39</v>
      </c>
      <c r="E100" s="272">
        <f>VLOOKUP($B:$B,RAW!$A:$Z,$1:$1,0)</f>
        <v>0</v>
      </c>
      <c r="F100" s="273">
        <f>VLOOKUP($B:$B,입력!$B:$Z,$1:$1,0)/$H$1</f>
        <v>0</v>
      </c>
      <c r="G100" s="273">
        <f>VLOOKUP($B:$B,RAW!$A:$Z,$1:$1,0)</f>
        <v>604713</v>
      </c>
      <c r="H100" s="304"/>
      <c r="I100" s="304">
        <f t="shared" si="1"/>
        <v>604713</v>
      </c>
      <c r="J100" s="303">
        <f>VLOOKUP($B:$B,입력!$B:$G,$1:$1,0)</f>
        <v>0</v>
      </c>
    </row>
    <row r="101" spans="1:10">
      <c r="A101" s="245" t="s">
        <v>620</v>
      </c>
      <c r="B101" s="256">
        <v>124226</v>
      </c>
      <c r="C101" s="316" t="str">
        <f>IFERROR(VLOOKUP($B:$B,RAW!$A:$L,2,0),"")</f>
        <v>리스료</v>
      </c>
      <c r="D101" s="272">
        <f>VLOOKUP($B:$B,입력!$B:$Z,$1:$1,0)/$H$1</f>
        <v>0</v>
      </c>
      <c r="E101" s="272">
        <f>VLOOKUP($B:$B,RAW!$A:$Z,$1:$1,0)</f>
        <v>0</v>
      </c>
      <c r="F101" s="273">
        <f>VLOOKUP($B:$B,입력!$B:$Z,$1:$1,0)/$H$1</f>
        <v>0</v>
      </c>
      <c r="G101" s="273">
        <f>VLOOKUP($B:$B,RAW!$A:$Z,$1:$1,0)</f>
        <v>0</v>
      </c>
      <c r="H101" s="304"/>
      <c r="I101" s="304">
        <f t="shared" si="1"/>
        <v>0</v>
      </c>
      <c r="J101" s="303">
        <f>VLOOKUP($B:$B,입력!$B:$G,$1:$1,0)</f>
        <v>0</v>
      </c>
    </row>
    <row r="102" spans="1:10">
      <c r="A102" s="245" t="s">
        <v>621</v>
      </c>
      <c r="B102" s="256">
        <v>124227</v>
      </c>
      <c r="C102" s="316" t="str">
        <f>IFERROR(VLOOKUP($B:$B,RAW!$A:$L,2,0),"")</f>
        <v>전산처리비</v>
      </c>
      <c r="D102" s="272">
        <f>VLOOKUP($B:$B,입력!$B:$Z,$1:$1,0)/$H$1</f>
        <v>0</v>
      </c>
      <c r="E102" s="272">
        <f>VLOOKUP($B:$B,RAW!$A:$Z,$1:$1,0)</f>
        <v>0</v>
      </c>
      <c r="F102" s="273">
        <f>VLOOKUP($B:$B,입력!$B:$Z,$1:$1,0)/$H$1</f>
        <v>0</v>
      </c>
      <c r="G102" s="273">
        <f>VLOOKUP($B:$B,RAW!$A:$Z,$1:$1,0)</f>
        <v>0</v>
      </c>
      <c r="H102" s="304"/>
      <c r="I102" s="304">
        <f t="shared" si="1"/>
        <v>0</v>
      </c>
      <c r="J102" s="303">
        <f>VLOOKUP($B:$B,입력!$B:$G,$1:$1,0)</f>
        <v>0</v>
      </c>
    </row>
    <row r="103" spans="1:10">
      <c r="A103" s="245" t="s">
        <v>622</v>
      </c>
      <c r="B103" s="256">
        <v>124228</v>
      </c>
      <c r="C103" s="316" t="str">
        <f>IFERROR(VLOOKUP($B:$B,RAW!$A:$L,2,0),"")</f>
        <v>하자보수비</v>
      </c>
      <c r="D103" s="272">
        <f>VLOOKUP($B:$B,입력!$B:$Z,$1:$1,0)/$H$1</f>
        <v>0</v>
      </c>
      <c r="E103" s="272">
        <f>VLOOKUP($B:$B,RAW!$A:$Z,$1:$1,0)</f>
        <v>0</v>
      </c>
      <c r="F103" s="273">
        <f>VLOOKUP($B:$B,입력!$B:$Z,$1:$1,0)/$H$1</f>
        <v>0</v>
      </c>
      <c r="G103" s="273">
        <f>VLOOKUP($B:$B,RAW!$A:$Z,$1:$1,0)</f>
        <v>0</v>
      </c>
      <c r="H103" s="304"/>
      <c r="I103" s="304">
        <f t="shared" si="1"/>
        <v>0</v>
      </c>
      <c r="J103" s="303">
        <f>VLOOKUP($B:$B,입력!$B:$G,$1:$1,0)</f>
        <v>0</v>
      </c>
    </row>
    <row r="104" spans="1:10">
      <c r="A104" s="245" t="s">
        <v>623</v>
      </c>
      <c r="B104" s="256">
        <v>124225</v>
      </c>
      <c r="C104" s="316" t="str">
        <f>IFERROR(VLOOKUP($B:$B,RAW!$A:$L,2,0),"")</f>
        <v>기타관리비</v>
      </c>
      <c r="D104" s="272">
        <f>VLOOKUP($B:$B,입력!$B:$Z,$1:$1,0)/$H$1</f>
        <v>100</v>
      </c>
      <c r="E104" s="272">
        <f>VLOOKUP($B:$B,RAW!$A:$Z,$1:$1,0)</f>
        <v>0</v>
      </c>
      <c r="F104" s="273">
        <f>VLOOKUP($B:$B,입력!$B:$Z,$1:$1,0)/$H$1</f>
        <v>0</v>
      </c>
      <c r="G104" s="273">
        <f>VLOOKUP($B:$B,RAW!$A:$Z,$1:$1,0)</f>
        <v>111743</v>
      </c>
      <c r="H104" s="304"/>
      <c r="I104" s="304">
        <f t="shared" si="1"/>
        <v>111743</v>
      </c>
      <c r="J104" s="303">
        <f>VLOOKUP($B:$B,입력!$B:$G,$1:$1,0)</f>
        <v>0</v>
      </c>
    </row>
    <row r="105" spans="1:10">
      <c r="A105" s="245" t="s">
        <v>624</v>
      </c>
      <c r="B105" s="256">
        <v>124311</v>
      </c>
      <c r="C105" s="316" t="str">
        <f>IFERROR(VLOOKUP($B:$B,RAW!$A:$L,2,0),"")</f>
        <v>접대비</v>
      </c>
      <c r="D105" s="272">
        <f>VLOOKUP($B:$B,입력!$B:$Z,$1:$1,0)/$H$1</f>
        <v>17968.493999999999</v>
      </c>
      <c r="E105" s="272">
        <f>VLOOKUP($B:$B,RAW!$A:$Z,$1:$1,0)</f>
        <v>0</v>
      </c>
      <c r="F105" s="273">
        <f>VLOOKUP($B:$B,입력!$B:$Z,$1:$1,0)/$H$1</f>
        <v>0</v>
      </c>
      <c r="G105" s="273">
        <f>VLOOKUP($B:$B,RAW!$A:$Z,$1:$1,0)</f>
        <v>57815</v>
      </c>
      <c r="H105" s="304"/>
      <c r="I105" s="304">
        <f t="shared" si="1"/>
        <v>57815</v>
      </c>
      <c r="J105" s="303">
        <f>VLOOKUP($B:$B,입력!$B:$G,$1:$1,0)</f>
        <v>0</v>
      </c>
    </row>
    <row r="106" spans="1:10">
      <c r="A106" s="245" t="s">
        <v>625</v>
      </c>
      <c r="B106" s="256">
        <v>124312</v>
      </c>
      <c r="C106" s="316" t="str">
        <f>IFERROR(VLOOKUP($B:$B,RAW!$A:$L,2,0),"")</f>
        <v>광고선전비</v>
      </c>
      <c r="D106" s="272">
        <f>VLOOKUP($B:$B,입력!$B:$Z,$1:$1,0)/$H$1</f>
        <v>125503.7</v>
      </c>
      <c r="E106" s="272">
        <f>VLOOKUP($B:$B,RAW!$A:$Z,$1:$1,0)</f>
        <v>0</v>
      </c>
      <c r="F106" s="273">
        <f>VLOOKUP($B:$B,입력!$B:$Z,$1:$1,0)/$H$1</f>
        <v>0</v>
      </c>
      <c r="G106" s="273">
        <f>VLOOKUP($B:$B,RAW!$A:$Z,$1:$1,0)</f>
        <v>82820</v>
      </c>
      <c r="H106" s="304"/>
      <c r="I106" s="304">
        <f t="shared" si="1"/>
        <v>82820</v>
      </c>
      <c r="J106" s="303">
        <f>VLOOKUP($B:$B,입력!$B:$G,$1:$1,0)</f>
        <v>0</v>
      </c>
    </row>
    <row r="107" spans="1:10">
      <c r="A107" s="245" t="s">
        <v>626</v>
      </c>
      <c r="B107" s="256">
        <v>124313</v>
      </c>
      <c r="C107" s="316" t="str">
        <f>IFERROR(VLOOKUP($B:$B,RAW!$A:$L,2,0),"")</f>
        <v>보관료</v>
      </c>
      <c r="D107" s="272">
        <f>VLOOKUP($B:$B,입력!$B:$Z,$1:$1,0)/$H$1</f>
        <v>0</v>
      </c>
      <c r="E107" s="272">
        <f>VLOOKUP($B:$B,RAW!$A:$Z,$1:$1,0)</f>
        <v>0</v>
      </c>
      <c r="F107" s="273">
        <f>VLOOKUP($B:$B,입력!$B:$Z,$1:$1,0)/$H$1</f>
        <v>0</v>
      </c>
      <c r="G107" s="273">
        <f>VLOOKUP($B:$B,RAW!$A:$Z,$1:$1,0)</f>
        <v>0</v>
      </c>
      <c r="H107" s="304"/>
      <c r="I107" s="304">
        <f t="shared" si="1"/>
        <v>0</v>
      </c>
      <c r="J107" s="303">
        <f>VLOOKUP($B:$B,입력!$B:$G,$1:$1,0)</f>
        <v>0</v>
      </c>
    </row>
    <row r="108" spans="1:10">
      <c r="A108" s="245" t="s">
        <v>627</v>
      </c>
      <c r="B108" s="256">
        <v>124314</v>
      </c>
      <c r="C108" s="316" t="str">
        <f>IFERROR(VLOOKUP($B:$B,RAW!$A:$L,2,0),"")</f>
        <v>견본비</v>
      </c>
      <c r="D108" s="272">
        <f>VLOOKUP($B:$B,입력!$B:$Z,$1:$1,0)/$H$1</f>
        <v>0</v>
      </c>
      <c r="E108" s="272">
        <f>VLOOKUP($B:$B,RAW!$A:$Z,$1:$1,0)</f>
        <v>0</v>
      </c>
      <c r="F108" s="273">
        <f>VLOOKUP($B:$B,입력!$B:$Z,$1:$1,0)/$H$1</f>
        <v>0</v>
      </c>
      <c r="G108" s="273">
        <f>VLOOKUP($B:$B,RAW!$A:$Z,$1:$1,0)</f>
        <v>0</v>
      </c>
      <c r="H108" s="304"/>
      <c r="I108" s="304">
        <f t="shared" si="1"/>
        <v>0</v>
      </c>
      <c r="J108" s="303">
        <f>VLOOKUP($B:$B,입력!$B:$G,$1:$1,0)</f>
        <v>0</v>
      </c>
    </row>
    <row r="109" spans="1:10">
      <c r="A109" s="245" t="s">
        <v>628</v>
      </c>
      <c r="B109" s="256">
        <v>124315</v>
      </c>
      <c r="C109" s="316" t="str">
        <f>IFERROR(VLOOKUP($B:$B,RAW!$A:$L,2,0),"")</f>
        <v>포장비</v>
      </c>
      <c r="D109" s="272">
        <f>VLOOKUP($B:$B,입력!$B:$Z,$1:$1,0)/$H$1</f>
        <v>0</v>
      </c>
      <c r="E109" s="272">
        <f>VLOOKUP($B:$B,RAW!$A:$Z,$1:$1,0)</f>
        <v>0</v>
      </c>
      <c r="F109" s="273">
        <f>VLOOKUP($B:$B,입력!$B:$Z,$1:$1,0)/$H$1</f>
        <v>0</v>
      </c>
      <c r="G109" s="273">
        <f>VLOOKUP($B:$B,RAW!$A:$Z,$1:$1,0)</f>
        <v>0</v>
      </c>
      <c r="H109" s="304"/>
      <c r="I109" s="304">
        <f t="shared" si="1"/>
        <v>0</v>
      </c>
      <c r="J109" s="303">
        <f>VLOOKUP($B:$B,입력!$B:$G,$1:$1,0)</f>
        <v>0</v>
      </c>
    </row>
    <row r="110" spans="1:10">
      <c r="A110" s="245" t="s">
        <v>629</v>
      </c>
      <c r="B110" s="256">
        <v>124316</v>
      </c>
      <c r="C110" s="316" t="str">
        <f>IFERROR(VLOOKUP($B:$B,RAW!$A:$L,2,0),"")</f>
        <v>운반비</v>
      </c>
      <c r="D110" s="272">
        <f>VLOOKUP($B:$B,입력!$B:$Z,$1:$1,0)/$H$1</f>
        <v>10570.602999999999</v>
      </c>
      <c r="E110" s="272">
        <f>VLOOKUP($B:$B,RAW!$A:$Z,$1:$1,0)</f>
        <v>0</v>
      </c>
      <c r="F110" s="273">
        <f>VLOOKUP($B:$B,입력!$B:$Z,$1:$1,0)/$H$1</f>
        <v>0</v>
      </c>
      <c r="G110" s="273">
        <f>VLOOKUP($B:$B,RAW!$A:$Z,$1:$1,0)</f>
        <v>102332</v>
      </c>
      <c r="H110" s="304"/>
      <c r="I110" s="304">
        <f t="shared" si="1"/>
        <v>102332</v>
      </c>
      <c r="J110" s="303">
        <f>VLOOKUP($B:$B,입력!$B:$G,$1:$1,0)</f>
        <v>0</v>
      </c>
    </row>
    <row r="111" spans="1:10">
      <c r="A111" s="245" t="s">
        <v>630</v>
      </c>
      <c r="B111" s="256">
        <v>124317</v>
      </c>
      <c r="C111" s="316" t="str">
        <f>IFERROR(VLOOKUP($B:$B,RAW!$A:$L,2,0),"")</f>
        <v>판매수수료</v>
      </c>
      <c r="D111" s="272">
        <f>VLOOKUP($B:$B,입력!$B:$Z,$1:$1,0)/$H$1</f>
        <v>0</v>
      </c>
      <c r="E111" s="272">
        <f>VLOOKUP($B:$B,RAW!$A:$Z,$1:$1,0)</f>
        <v>0</v>
      </c>
      <c r="F111" s="273">
        <f>VLOOKUP($B:$B,입력!$B:$Z,$1:$1,0)/$H$1</f>
        <v>0</v>
      </c>
      <c r="G111" s="273">
        <f>VLOOKUP($B:$B,RAW!$A:$Z,$1:$1,0)</f>
        <v>0</v>
      </c>
      <c r="H111" s="304"/>
      <c r="I111" s="304">
        <f t="shared" si="1"/>
        <v>0</v>
      </c>
      <c r="J111" s="303">
        <f>VLOOKUP($B:$B,입력!$B:$G,$1:$1,0)</f>
        <v>0</v>
      </c>
    </row>
    <row r="112" spans="1:10">
      <c r="A112" s="245" t="s">
        <v>631</v>
      </c>
      <c r="B112" s="256">
        <v>124319</v>
      </c>
      <c r="C112" s="316" t="str">
        <f>IFERROR(VLOOKUP($B:$B,RAW!$A:$L,2,0),"")</f>
        <v>판매촉진비</v>
      </c>
      <c r="D112" s="272">
        <f>VLOOKUP($B:$B,입력!$B:$Z,$1:$1,0)/$H$1</f>
        <v>0</v>
      </c>
      <c r="E112" s="272">
        <f>VLOOKUP($B:$B,RAW!$A:$Z,$1:$1,0)</f>
        <v>0</v>
      </c>
      <c r="F112" s="273">
        <f>VLOOKUP($B:$B,입력!$B:$Z,$1:$1,0)/$H$1</f>
        <v>0</v>
      </c>
      <c r="G112" s="273">
        <f>VLOOKUP($B:$B,RAW!$A:$Z,$1:$1,0)</f>
        <v>0</v>
      </c>
      <c r="H112" s="304"/>
      <c r="I112" s="304">
        <f t="shared" si="1"/>
        <v>0</v>
      </c>
      <c r="J112" s="303">
        <f>VLOOKUP($B:$B,입력!$B:$G,$1:$1,0)</f>
        <v>0</v>
      </c>
    </row>
    <row r="113" spans="1:10">
      <c r="A113" s="245" t="s">
        <v>632</v>
      </c>
      <c r="B113" s="256">
        <v>124318</v>
      </c>
      <c r="C113" s="316" t="str">
        <f>IFERROR(VLOOKUP($B:$B,RAW!$A:$L,2,0),"")</f>
        <v>해외시장개척비</v>
      </c>
      <c r="D113" s="272">
        <f>VLOOKUP($B:$B,입력!$B:$Z,$1:$1,0)/$H$1</f>
        <v>0</v>
      </c>
      <c r="E113" s="272">
        <f>VLOOKUP($B:$B,RAW!$A:$Z,$1:$1,0)</f>
        <v>0</v>
      </c>
      <c r="F113" s="273">
        <f>VLOOKUP($B:$B,입력!$B:$Z,$1:$1,0)/$H$1</f>
        <v>0</v>
      </c>
      <c r="G113" s="273">
        <f>VLOOKUP($B:$B,RAW!$A:$Z,$1:$1,0)</f>
        <v>0</v>
      </c>
      <c r="H113" s="304"/>
      <c r="I113" s="304">
        <f t="shared" si="1"/>
        <v>0</v>
      </c>
      <c r="J113" s="303">
        <f>VLOOKUP($B:$B,입력!$B:$G,$1:$1,0)</f>
        <v>0</v>
      </c>
    </row>
    <row r="114" spans="1:10">
      <c r="A114" s="245" t="s">
        <v>633</v>
      </c>
      <c r="B114" s="256">
        <v>124320</v>
      </c>
      <c r="C114" s="316" t="str">
        <f>IFERROR(VLOOKUP($B:$B,RAW!$A:$L,2,0),"")</f>
        <v>수출비용</v>
      </c>
      <c r="D114" s="272">
        <f>VLOOKUP($B:$B,입력!$B:$Z,$1:$1,0)/$H$1</f>
        <v>0</v>
      </c>
      <c r="E114" s="272">
        <f>VLOOKUP($B:$B,RAW!$A:$Z,$1:$1,0)</f>
        <v>0</v>
      </c>
      <c r="F114" s="273">
        <f>VLOOKUP($B:$B,입력!$B:$Z,$1:$1,0)/$H$1</f>
        <v>0</v>
      </c>
      <c r="G114" s="273">
        <f>VLOOKUP($B:$B,RAW!$A:$Z,$1:$1,0)</f>
        <v>0</v>
      </c>
      <c r="H114" s="304"/>
      <c r="I114" s="304">
        <f t="shared" si="1"/>
        <v>0</v>
      </c>
      <c r="J114" s="303">
        <f>VLOOKUP($B:$B,입력!$B:$G,$1:$1,0)</f>
        <v>0</v>
      </c>
    </row>
    <row r="115" spans="1:10">
      <c r="A115" s="245" t="s">
        <v>634</v>
      </c>
      <c r="B115" s="256">
        <v>124322</v>
      </c>
      <c r="C115" s="316" t="str">
        <f>IFERROR(VLOOKUP($B:$B,RAW!$A:$L,2,0),"")</f>
        <v>A/S비</v>
      </c>
      <c r="D115" s="272">
        <f>VLOOKUP($B:$B,입력!$B:$Z,$1:$1,0)/$H$1</f>
        <v>0</v>
      </c>
      <c r="E115" s="272">
        <f>VLOOKUP($B:$B,RAW!$A:$Z,$1:$1,0)</f>
        <v>0</v>
      </c>
      <c r="F115" s="273">
        <f>VLOOKUP($B:$B,입력!$B:$Z,$1:$1,0)/$H$1</f>
        <v>0</v>
      </c>
      <c r="G115" s="273">
        <f>VLOOKUP($B:$B,RAW!$A:$Z,$1:$1,0)</f>
        <v>0</v>
      </c>
      <c r="H115" s="304"/>
      <c r="I115" s="304">
        <f t="shared" si="1"/>
        <v>0</v>
      </c>
      <c r="J115" s="303">
        <f>VLOOKUP($B:$B,입력!$B:$G,$1:$1,0)</f>
        <v>0</v>
      </c>
    </row>
    <row r="116" spans="1:10">
      <c r="A116" s="245" t="s">
        <v>635</v>
      </c>
      <c r="B116" s="256">
        <v>124323</v>
      </c>
      <c r="C116" s="316" t="str">
        <f>IFERROR(VLOOKUP($B:$B,RAW!$A:$L,2,0),"")</f>
        <v>반품충당부채전입액</v>
      </c>
      <c r="D116" s="272">
        <f>VLOOKUP($B:$B,입력!$B:$Z,$1:$1,0)/$H$1</f>
        <v>0</v>
      </c>
      <c r="E116" s="272">
        <f>VLOOKUP($B:$B,RAW!$A:$Z,$1:$1,0)</f>
        <v>0</v>
      </c>
      <c r="F116" s="273">
        <f>VLOOKUP($B:$B,입력!$B:$Z,$1:$1,0)/$H$1</f>
        <v>0</v>
      </c>
      <c r="G116" s="273">
        <f>VLOOKUP($B:$B,RAW!$A:$Z,$1:$1,0)</f>
        <v>0</v>
      </c>
      <c r="H116" s="304"/>
      <c r="I116" s="304">
        <f t="shared" si="1"/>
        <v>0</v>
      </c>
      <c r="J116" s="303">
        <f>VLOOKUP($B:$B,입력!$B:$G,$1:$1,0)</f>
        <v>0</v>
      </c>
    </row>
    <row r="117" spans="1:10">
      <c r="A117" s="245" t="s">
        <v>636</v>
      </c>
      <c r="B117" s="256">
        <v>124321</v>
      </c>
      <c r="C117" s="316" t="str">
        <f>IFERROR(VLOOKUP($B:$B,RAW!$A:$L,2,0),"")</f>
        <v>기타판매비</v>
      </c>
      <c r="D117" s="272">
        <f>VLOOKUP($B:$B,입력!$B:$Z,$1:$1,0)/$H$1</f>
        <v>0</v>
      </c>
      <c r="E117" s="272">
        <f>VLOOKUP($B:$B,RAW!$A:$Z,$1:$1,0)</f>
        <v>0</v>
      </c>
      <c r="F117" s="273">
        <f>VLOOKUP($B:$B,입력!$B:$Z,$1:$1,0)/$H$1</f>
        <v>0</v>
      </c>
      <c r="G117" s="273">
        <f>VLOOKUP($B:$B,RAW!$A:$Z,$1:$1,0)</f>
        <v>0</v>
      </c>
      <c r="H117" s="304"/>
      <c r="I117" s="304">
        <f t="shared" si="1"/>
        <v>0</v>
      </c>
      <c r="J117" s="303">
        <f>VLOOKUP($B:$B,입력!$B:$G,$1:$1,0)</f>
        <v>0</v>
      </c>
    </row>
    <row r="118" spans="1:10">
      <c r="A118" s="245" t="s">
        <v>637</v>
      </c>
      <c r="B118" s="256">
        <v>124406</v>
      </c>
      <c r="C118" s="316" t="str">
        <f>IFERROR(VLOOKUP($B:$B,RAW!$A:$L,2,0),"")</f>
        <v>연구비</v>
      </c>
      <c r="D118" s="272">
        <f>VLOOKUP($B:$B,입력!$B:$Z,$1:$1,0)/$H$1</f>
        <v>0</v>
      </c>
      <c r="E118" s="272">
        <f>VLOOKUP($B:$B,RAW!$A:$Z,$1:$1,0)</f>
        <v>0</v>
      </c>
      <c r="F118" s="273">
        <f>VLOOKUP($B:$B,입력!$B:$Z,$1:$1,0)/$H$1</f>
        <v>0</v>
      </c>
      <c r="G118" s="273">
        <f>VLOOKUP($B:$B,RAW!$A:$Z,$1:$1,0)</f>
        <v>0</v>
      </c>
      <c r="H118" s="304"/>
      <c r="I118" s="304">
        <f t="shared" si="1"/>
        <v>0</v>
      </c>
      <c r="J118" s="303">
        <f>VLOOKUP($B:$B,입력!$B:$G,$1:$1,0)</f>
        <v>0</v>
      </c>
    </row>
    <row r="119" spans="1:10">
      <c r="A119" s="245" t="s">
        <v>638</v>
      </c>
      <c r="B119" s="256">
        <v>124410</v>
      </c>
      <c r="C119" s="316" t="str">
        <f>IFERROR(VLOOKUP($B:$B,RAW!$A:$L,2,0),"")</f>
        <v>경상연구개발비</v>
      </c>
      <c r="D119" s="272">
        <f>VLOOKUP($B:$B,입력!$B:$Z,$1:$1,0)/$H$1</f>
        <v>0</v>
      </c>
      <c r="E119" s="272">
        <f>VLOOKUP($B:$B,RAW!$A:$Z,$1:$1,0)</f>
        <v>0</v>
      </c>
      <c r="F119" s="273">
        <f>VLOOKUP($B:$B,입력!$B:$Z,$1:$1,0)/$H$1</f>
        <v>0</v>
      </c>
      <c r="G119" s="273">
        <f>VLOOKUP($B:$B,RAW!$A:$Z,$1:$1,0)</f>
        <v>0</v>
      </c>
      <c r="H119" s="304"/>
      <c r="I119" s="304">
        <f t="shared" si="1"/>
        <v>0</v>
      </c>
      <c r="J119" s="303">
        <f>VLOOKUP($B:$B,입력!$B:$G,$1:$1,0)</f>
        <v>0</v>
      </c>
    </row>
    <row r="120" spans="1:10">
      <c r="A120" s="245" t="s">
        <v>639</v>
      </c>
      <c r="B120" s="256">
        <v>124420</v>
      </c>
      <c r="C120" s="316" t="str">
        <f>IFERROR(VLOOKUP($B:$B,RAW!$A:$L,2,0),"")</f>
        <v>경상개발비</v>
      </c>
      <c r="D120" s="272">
        <f>VLOOKUP($B:$B,입력!$B:$Z,$1:$1,0)/$H$1</f>
        <v>0</v>
      </c>
      <c r="E120" s="272">
        <f>VLOOKUP($B:$B,RAW!$A:$Z,$1:$1,0)</f>
        <v>0</v>
      </c>
      <c r="F120" s="273">
        <f>VLOOKUP($B:$B,입력!$B:$Z,$1:$1,0)/$H$1</f>
        <v>0</v>
      </c>
      <c r="G120" s="273">
        <f>VLOOKUP($B:$B,RAW!$A:$Z,$1:$1,0)</f>
        <v>185614</v>
      </c>
      <c r="H120" s="304"/>
      <c r="I120" s="304">
        <f t="shared" si="1"/>
        <v>185614</v>
      </c>
      <c r="J120" s="303">
        <f>VLOOKUP($B:$B,입력!$B:$G,$1:$1,0)</f>
        <v>0</v>
      </c>
    </row>
    <row r="121" spans="1:10">
      <c r="A121" s="245" t="s">
        <v>640</v>
      </c>
      <c r="B121" s="256">
        <v>124421</v>
      </c>
      <c r="C121" s="316" t="str">
        <f>IFERROR(VLOOKUP($B:$B,RAW!$A:$L,2,0),"")</f>
        <v>로얄티</v>
      </c>
      <c r="D121" s="272">
        <f>VLOOKUP($B:$B,입력!$B:$Z,$1:$1,0)/$H$1</f>
        <v>0</v>
      </c>
      <c r="E121" s="272">
        <f>VLOOKUP($B:$B,RAW!$A:$Z,$1:$1,0)</f>
        <v>0</v>
      </c>
      <c r="F121" s="273">
        <f>VLOOKUP($B:$B,입력!$B:$Z,$1:$1,0)/$H$1</f>
        <v>0</v>
      </c>
      <c r="G121" s="273">
        <f>VLOOKUP($B:$B,RAW!$A:$Z,$1:$1,0)</f>
        <v>0</v>
      </c>
      <c r="H121" s="304"/>
      <c r="I121" s="304">
        <f t="shared" si="1"/>
        <v>0</v>
      </c>
      <c r="J121" s="303">
        <f>VLOOKUP($B:$B,입력!$B:$G,$1:$1,0)</f>
        <v>0</v>
      </c>
    </row>
    <row r="122" spans="1:10">
      <c r="A122" s="245" t="s">
        <v>641</v>
      </c>
      <c r="B122" s="256">
        <v>124440</v>
      </c>
      <c r="C122" s="316" t="str">
        <f>IFERROR(VLOOKUP($B:$B,RAW!$A:$L,2,0),"")</f>
        <v>대손상각비</v>
      </c>
      <c r="D122" s="272">
        <f>VLOOKUP($B:$B,입력!$B:$Z,$1:$1,0)/$H$1</f>
        <v>0</v>
      </c>
      <c r="E122" s="272">
        <f>VLOOKUP($B:$B,RAW!$A:$Z,$1:$1,0)</f>
        <v>0</v>
      </c>
      <c r="F122" s="273">
        <f>VLOOKUP($B:$B,입력!$B:$Z,$1:$1,0)/$H$1</f>
        <v>0</v>
      </c>
      <c r="G122" s="273">
        <f>VLOOKUP($B:$B,RAW!$A:$Z,$1:$1,0)</f>
        <v>50056</v>
      </c>
      <c r="H122" s="304"/>
      <c r="I122" s="304">
        <f t="shared" si="1"/>
        <v>50056</v>
      </c>
      <c r="J122" s="303">
        <f>VLOOKUP($B:$B,입력!$B:$G,$1:$1,0)</f>
        <v>0</v>
      </c>
    </row>
    <row r="123" spans="1:10">
      <c r="A123" s="245" t="s">
        <v>642</v>
      </c>
      <c r="B123" s="256">
        <v>124450</v>
      </c>
      <c r="C123" s="316" t="str">
        <f>IFERROR(VLOOKUP($B:$B,RAW!$A:$L,2,0),"")</f>
        <v>무형자산상각비</v>
      </c>
      <c r="D123" s="272">
        <f>VLOOKUP($B:$B,입력!$B:$Z,$1:$1,0)/$H$1</f>
        <v>27012.303</v>
      </c>
      <c r="E123" s="272">
        <f>VLOOKUP($B:$B,RAW!$A:$Z,$1:$1,0)</f>
        <v>0</v>
      </c>
      <c r="F123" s="273">
        <f>VLOOKUP($B:$B,입력!$B:$Z,$1:$1,0)/$H$1</f>
        <v>0</v>
      </c>
      <c r="G123" s="273">
        <f>VLOOKUP($B:$B,RAW!$A:$Z,$1:$1,0)</f>
        <v>981</v>
      </c>
      <c r="H123" s="304"/>
      <c r="I123" s="304">
        <f t="shared" si="1"/>
        <v>981</v>
      </c>
      <c r="J123" s="303">
        <f>VLOOKUP($B:$B,입력!$B:$G,$1:$1,0)</f>
        <v>0</v>
      </c>
    </row>
    <row r="124" spans="1:10">
      <c r="A124" s="245" t="s">
        <v>643</v>
      </c>
      <c r="B124" s="256">
        <v>124472</v>
      </c>
      <c r="C124" s="316" t="str">
        <f>IFERROR(VLOOKUP($B:$B,RAW!$A:$L,2,0),"")</f>
        <v>중간기간판매비와관리비조정</v>
      </c>
      <c r="D124" s="272">
        <f>VLOOKUP($B:$B,입력!$B:$Z,$1:$1,0)/$H$1</f>
        <v>0</v>
      </c>
      <c r="E124" s="272">
        <f>VLOOKUP($B:$B,RAW!$A:$Z,$1:$1,0)</f>
        <v>0</v>
      </c>
      <c r="F124" s="273">
        <f>VLOOKUP($B:$B,입력!$B:$Z,$1:$1,0)/$H$1</f>
        <v>0</v>
      </c>
      <c r="G124" s="273">
        <f>VLOOKUP($B:$B,RAW!$A:$Z,$1:$1,0)</f>
        <v>0</v>
      </c>
      <c r="H124" s="304"/>
      <c r="I124" s="304">
        <f t="shared" si="1"/>
        <v>0</v>
      </c>
      <c r="J124" s="303">
        <f>VLOOKUP($B:$B,입력!$B:$G,$1:$1,0)</f>
        <v>0</v>
      </c>
    </row>
    <row r="125" spans="1:10">
      <c r="A125" s="245" t="s">
        <v>644</v>
      </c>
      <c r="B125" s="256">
        <v>124460</v>
      </c>
      <c r="C125" s="316" t="str">
        <f>IFERROR(VLOOKUP($B:$B,RAW!$A:$L,2,0),"")</f>
        <v>기타</v>
      </c>
      <c r="D125" s="272">
        <f>VLOOKUP($B:$B,입력!$B:$Z,$1:$1,0)/$H$1</f>
        <v>0</v>
      </c>
      <c r="E125" s="272">
        <f>VLOOKUP($B:$B,RAW!$A:$Z,$1:$1,0)</f>
        <v>0</v>
      </c>
      <c r="F125" s="273">
        <f>VLOOKUP($B:$B,입력!$B:$Z,$1:$1,0)/$H$1</f>
        <v>0</v>
      </c>
      <c r="G125" s="273">
        <f>VLOOKUP($B:$B,RAW!$A:$Z,$1:$1,0)</f>
        <v>0</v>
      </c>
      <c r="H125" s="304"/>
      <c r="I125" s="304">
        <f t="shared" si="1"/>
        <v>0</v>
      </c>
      <c r="J125" s="303">
        <f>VLOOKUP($B:$B,입력!$B:$G,$1:$1,0)</f>
        <v>0</v>
      </c>
    </row>
    <row r="126" spans="1:10">
      <c r="A126" s="245" t="s">
        <v>769</v>
      </c>
      <c r="B126" s="258">
        <v>125000</v>
      </c>
      <c r="C126" s="285" t="str">
        <f>IFERROR(VLOOKUP($B:$B,RAW!$A:$L,2,0),"")</f>
        <v>영업이익(손실)</v>
      </c>
      <c r="D126" s="268">
        <f>VLOOKUP($B:$B,입력!$B:$Z,$1:$1,0)/$H$1</f>
        <v>-12945493.179</v>
      </c>
      <c r="E126" s="268">
        <f>VLOOKUP($B:$B,RAW!$A:$Z,$1:$1,0)</f>
        <v>0</v>
      </c>
      <c r="F126" s="269">
        <f>VLOOKUP($B:$B,입력!$B:$Z,$1:$1,0)/$H$1</f>
        <v>0</v>
      </c>
      <c r="G126" s="269">
        <f>VLOOKUP($B:$B,RAW!$A:$Z,$1:$1,0)</f>
        <v>1136754</v>
      </c>
      <c r="H126" s="304"/>
      <c r="I126" s="304">
        <f t="shared" si="1"/>
        <v>1136754</v>
      </c>
      <c r="J126" s="303">
        <f>VLOOKUP($B:$B,입력!$B:$G,$1:$1,0)</f>
        <v>0</v>
      </c>
    </row>
    <row r="127" spans="1:10">
      <c r="A127" s="245" t="s">
        <v>12</v>
      </c>
      <c r="B127" s="258">
        <v>125100</v>
      </c>
      <c r="C127" s="285" t="str">
        <f>IFERROR(VLOOKUP($B:$B,RAW!$A:$L,2,0),"")</f>
        <v>영업외수익</v>
      </c>
      <c r="D127" s="268">
        <f>VLOOKUP($B:$B,입력!$B:$Z,$1:$1,0)/$H$1</f>
        <v>3921926.3169999998</v>
      </c>
      <c r="E127" s="268">
        <f>VLOOKUP($B:$B,RAW!$A:$Z,$1:$1,0)</f>
        <v>0</v>
      </c>
      <c r="F127" s="269">
        <f>VLOOKUP($B:$B,입력!$B:$Z,$1:$1,0)/$H$1</f>
        <v>0</v>
      </c>
      <c r="G127" s="269">
        <f>VLOOKUP($B:$B,RAW!$A:$Z,$1:$1,0)</f>
        <v>387494</v>
      </c>
      <c r="H127" s="304"/>
      <c r="I127" s="304">
        <f t="shared" si="1"/>
        <v>387494</v>
      </c>
      <c r="J127" s="303">
        <f>VLOOKUP($B:$B,입력!$B:$G,$1:$1,0)</f>
        <v>0</v>
      </c>
    </row>
    <row r="128" spans="1:10">
      <c r="A128" s="245" t="s">
        <v>645</v>
      </c>
      <c r="B128" s="254">
        <v>125101</v>
      </c>
      <c r="C128" s="317" t="str">
        <f>IFERROR(VLOOKUP($B:$B,RAW!$A:$L,2,0),"")</f>
        <v>이자수익</v>
      </c>
      <c r="D128" s="272">
        <f>VLOOKUP($B:$B,입력!$B:$Z,$1:$1,0)/$H$1</f>
        <v>1534836.2039999999</v>
      </c>
      <c r="E128" s="272">
        <f>VLOOKUP($B:$B,RAW!$A:$Z,$1:$1,0)</f>
        <v>0</v>
      </c>
      <c r="F128" s="273">
        <f>VLOOKUP($B:$B,입력!$B:$Z,$1:$1,0)/$H$1</f>
        <v>0</v>
      </c>
      <c r="G128" s="273">
        <f>VLOOKUP($B:$B,RAW!$A:$Z,$1:$1,0)</f>
        <v>3626</v>
      </c>
      <c r="H128" s="304"/>
      <c r="I128" s="304">
        <f t="shared" si="1"/>
        <v>3626</v>
      </c>
      <c r="J128" s="303">
        <f>VLOOKUP($B:$B,입력!$B:$G,$1:$1,0)</f>
        <v>0</v>
      </c>
    </row>
    <row r="129" spans="1:10">
      <c r="A129" s="245" t="s">
        <v>646</v>
      </c>
      <c r="B129" s="254">
        <v>125102</v>
      </c>
      <c r="C129" s="317" t="str">
        <f>IFERROR(VLOOKUP($B:$B,RAW!$A:$L,2,0),"")</f>
        <v>장단기투자증권이자수익</v>
      </c>
      <c r="D129" s="272">
        <f>VLOOKUP($B:$B,입력!$B:$Z,$1:$1,0)/$H$1</f>
        <v>0</v>
      </c>
      <c r="E129" s="272">
        <f>VLOOKUP($B:$B,RAW!$A:$Z,$1:$1,0)</f>
        <v>0</v>
      </c>
      <c r="F129" s="273">
        <f>VLOOKUP($B:$B,입력!$B:$Z,$1:$1,0)/$H$1</f>
        <v>0</v>
      </c>
      <c r="G129" s="273">
        <f>VLOOKUP($B:$B,RAW!$A:$Z,$1:$1,0)</f>
        <v>0</v>
      </c>
      <c r="H129" s="304"/>
      <c r="I129" s="304">
        <f t="shared" si="1"/>
        <v>0</v>
      </c>
      <c r="J129" s="303">
        <f>VLOOKUP($B:$B,입력!$B:$G,$1:$1,0)</f>
        <v>0</v>
      </c>
    </row>
    <row r="130" spans="1:10">
      <c r="A130" s="245" t="s">
        <v>647</v>
      </c>
      <c r="B130" s="254">
        <v>125103</v>
      </c>
      <c r="C130" s="317" t="str">
        <f>IFERROR(VLOOKUP($B:$B,RAW!$A:$L,2,0),"")</f>
        <v>배당금수익</v>
      </c>
      <c r="D130" s="272">
        <f>VLOOKUP($B:$B,입력!$B:$Z,$1:$1,0)/$H$1</f>
        <v>0</v>
      </c>
      <c r="E130" s="272">
        <f>VLOOKUP($B:$B,RAW!$A:$Z,$1:$1,0)</f>
        <v>0</v>
      </c>
      <c r="F130" s="273">
        <f>VLOOKUP($B:$B,입력!$B:$Z,$1:$1,0)/$H$1</f>
        <v>0</v>
      </c>
      <c r="G130" s="273">
        <f>VLOOKUP($B:$B,RAW!$A:$Z,$1:$1,0)</f>
        <v>0</v>
      </c>
      <c r="H130" s="304"/>
      <c r="I130" s="304">
        <f t="shared" si="1"/>
        <v>0</v>
      </c>
      <c r="J130" s="303">
        <f>VLOOKUP($B:$B,입력!$B:$G,$1:$1,0)</f>
        <v>0</v>
      </c>
    </row>
    <row r="131" spans="1:10">
      <c r="A131" s="245" t="s">
        <v>648</v>
      </c>
      <c r="B131" s="254">
        <v>125200</v>
      </c>
      <c r="C131" s="317" t="str">
        <f>IFERROR(VLOOKUP($B:$B,RAW!$A:$L,2,0),"")</f>
        <v>단기투자자산처분이익</v>
      </c>
      <c r="D131" s="272">
        <f>VLOOKUP($B:$B,입력!$B:$Z,$1:$1,0)/$H$1</f>
        <v>0</v>
      </c>
      <c r="E131" s="272">
        <f>VLOOKUP($B:$B,RAW!$A:$Z,$1:$1,0)</f>
        <v>0</v>
      </c>
      <c r="F131" s="273">
        <f>VLOOKUP($B:$B,입력!$B:$Z,$1:$1,0)/$H$1</f>
        <v>0</v>
      </c>
      <c r="G131" s="273">
        <f>VLOOKUP($B:$B,RAW!$A:$Z,$1:$1,0)</f>
        <v>0</v>
      </c>
      <c r="H131" s="304"/>
      <c r="I131" s="304">
        <f t="shared" si="1"/>
        <v>0</v>
      </c>
      <c r="J131" s="303">
        <f>VLOOKUP($B:$B,입력!$B:$G,$1:$1,0)</f>
        <v>0</v>
      </c>
    </row>
    <row r="132" spans="1:10">
      <c r="A132" s="245" t="s">
        <v>649</v>
      </c>
      <c r="B132" s="254">
        <v>125131</v>
      </c>
      <c r="C132" s="317" t="str">
        <f>IFERROR(VLOOKUP($B:$B,RAW!$A:$L,2,0),"")</f>
        <v>단기금융상품처분이익</v>
      </c>
      <c r="D132" s="272">
        <f>VLOOKUP($B:$B,입력!$B:$Z,$1:$1,0)/$H$1</f>
        <v>0</v>
      </c>
      <c r="E132" s="272">
        <f>VLOOKUP($B:$B,RAW!$A:$Z,$1:$1,0)</f>
        <v>0</v>
      </c>
      <c r="F132" s="273">
        <f>VLOOKUP($B:$B,입력!$B:$Z,$1:$1,0)/$H$1</f>
        <v>0</v>
      </c>
      <c r="G132" s="273">
        <f>VLOOKUP($B:$B,RAW!$A:$Z,$1:$1,0)</f>
        <v>0</v>
      </c>
      <c r="H132" s="304"/>
      <c r="I132" s="304">
        <f t="shared" si="1"/>
        <v>0</v>
      </c>
      <c r="J132" s="303">
        <f>VLOOKUP($B:$B,입력!$B:$G,$1:$1,0)</f>
        <v>0</v>
      </c>
    </row>
    <row r="133" spans="1:10">
      <c r="A133" s="245" t="s">
        <v>650</v>
      </c>
      <c r="B133" s="254">
        <v>125141</v>
      </c>
      <c r="C133" s="317" t="str">
        <f>IFERROR(VLOOKUP($B:$B,RAW!$A:$L,2,0),"")</f>
        <v>단기금융상품평가이익</v>
      </c>
      <c r="D133" s="272">
        <f>VLOOKUP($B:$B,입력!$B:$Z,$1:$1,0)/$H$1</f>
        <v>0</v>
      </c>
      <c r="E133" s="272">
        <f>VLOOKUP($B:$B,RAW!$A:$Z,$1:$1,0)</f>
        <v>0</v>
      </c>
      <c r="F133" s="273">
        <f>VLOOKUP($B:$B,입력!$B:$Z,$1:$1,0)/$H$1</f>
        <v>0</v>
      </c>
      <c r="G133" s="273">
        <f>VLOOKUP($B:$B,RAW!$A:$Z,$1:$1,0)</f>
        <v>0</v>
      </c>
      <c r="H133" s="304"/>
      <c r="I133" s="304">
        <f t="shared" si="1"/>
        <v>0</v>
      </c>
      <c r="J133" s="303">
        <f>VLOOKUP($B:$B,입력!$B:$G,$1:$1,0)</f>
        <v>0</v>
      </c>
    </row>
    <row r="134" spans="1:10">
      <c r="A134" s="245" t="s">
        <v>651</v>
      </c>
      <c r="B134" s="254">
        <v>125146</v>
      </c>
      <c r="C134" s="317" t="str">
        <f>IFERROR(VLOOKUP($B:$B,RAW!$A:$L,2,0),"")</f>
        <v>단기매매증권처분이익</v>
      </c>
      <c r="D134" s="272">
        <f>VLOOKUP($B:$B,입력!$B:$Z,$1:$1,0)/$H$1</f>
        <v>0</v>
      </c>
      <c r="E134" s="272">
        <f>VLOOKUP($B:$B,RAW!$A:$Z,$1:$1,0)</f>
        <v>0</v>
      </c>
      <c r="F134" s="273">
        <f>VLOOKUP($B:$B,입력!$B:$Z,$1:$1,0)/$H$1</f>
        <v>0</v>
      </c>
      <c r="G134" s="273">
        <f>VLOOKUP($B:$B,RAW!$A:$Z,$1:$1,0)</f>
        <v>0</v>
      </c>
      <c r="H134" s="304"/>
      <c r="I134" s="304">
        <f t="shared" si="1"/>
        <v>0</v>
      </c>
      <c r="J134" s="303">
        <f>VLOOKUP($B:$B,입력!$B:$G,$1:$1,0)</f>
        <v>0</v>
      </c>
    </row>
    <row r="135" spans="1:10">
      <c r="A135" s="245" t="s">
        <v>652</v>
      </c>
      <c r="B135" s="254">
        <v>125144</v>
      </c>
      <c r="C135" s="317" t="str">
        <f>IFERROR(VLOOKUP($B:$B,RAW!$A:$L,2,0),"")</f>
        <v>단기매매증권평가이익</v>
      </c>
      <c r="D135" s="272">
        <f>VLOOKUP($B:$B,입력!$B:$Z,$1:$1,0)/$H$1</f>
        <v>0</v>
      </c>
      <c r="E135" s="272">
        <f>VLOOKUP($B:$B,RAW!$A:$Z,$1:$1,0)</f>
        <v>0</v>
      </c>
      <c r="F135" s="273">
        <f>VLOOKUP($B:$B,입력!$B:$Z,$1:$1,0)/$H$1</f>
        <v>0</v>
      </c>
      <c r="G135" s="273">
        <f>VLOOKUP($B:$B,RAW!$A:$Z,$1:$1,0)</f>
        <v>0</v>
      </c>
      <c r="H135" s="304"/>
      <c r="I135" s="304">
        <f t="shared" si="1"/>
        <v>0</v>
      </c>
      <c r="J135" s="303">
        <f>VLOOKUP($B:$B,입력!$B:$G,$1:$1,0)</f>
        <v>0</v>
      </c>
    </row>
    <row r="136" spans="1:10">
      <c r="A136" s="245" t="s">
        <v>653</v>
      </c>
      <c r="B136" s="254">
        <v>125142</v>
      </c>
      <c r="C136" s="317" t="str">
        <f>IFERROR(VLOOKUP($B:$B,RAW!$A:$L,2,0),"")</f>
        <v>단기투자일임계약자산평가이익</v>
      </c>
      <c r="D136" s="272">
        <f>VLOOKUP($B:$B,입력!$B:$Z,$1:$1,0)/$H$1</f>
        <v>0</v>
      </c>
      <c r="E136" s="272">
        <f>VLOOKUP($B:$B,RAW!$A:$Z,$1:$1,0)</f>
        <v>0</v>
      </c>
      <c r="F136" s="273">
        <f>VLOOKUP($B:$B,입력!$B:$Z,$1:$1,0)/$H$1</f>
        <v>0</v>
      </c>
      <c r="G136" s="273">
        <f>VLOOKUP($B:$B,RAW!$A:$Z,$1:$1,0)</f>
        <v>0</v>
      </c>
      <c r="H136" s="304"/>
      <c r="I136" s="304">
        <f t="shared" si="1"/>
        <v>0</v>
      </c>
      <c r="J136" s="303">
        <f>VLOOKUP($B:$B,입력!$B:$G,$1:$1,0)</f>
        <v>0</v>
      </c>
    </row>
    <row r="137" spans="1:10">
      <c r="A137" s="245" t="s">
        <v>654</v>
      </c>
      <c r="B137" s="254">
        <v>125132</v>
      </c>
      <c r="C137" s="317" t="str">
        <f>IFERROR(VLOOKUP($B:$B,RAW!$A:$L,2,0),"")</f>
        <v>매출채권처분이익</v>
      </c>
      <c r="D137" s="272">
        <f>VLOOKUP($B:$B,입력!$B:$Z,$1:$1,0)/$H$1</f>
        <v>0</v>
      </c>
      <c r="E137" s="272">
        <f>VLOOKUP($B:$B,RAW!$A:$Z,$1:$1,0)</f>
        <v>0</v>
      </c>
      <c r="F137" s="273">
        <f>VLOOKUP($B:$B,입력!$B:$Z,$1:$1,0)/$H$1</f>
        <v>0</v>
      </c>
      <c r="G137" s="273">
        <f>VLOOKUP($B:$B,RAW!$A:$Z,$1:$1,0)</f>
        <v>0</v>
      </c>
      <c r="H137" s="304"/>
      <c r="I137" s="304">
        <f t="shared" si="1"/>
        <v>0</v>
      </c>
      <c r="J137" s="303">
        <f>VLOOKUP($B:$B,입력!$B:$G,$1:$1,0)</f>
        <v>0</v>
      </c>
    </row>
    <row r="138" spans="1:10">
      <c r="A138" s="245" t="s">
        <v>655</v>
      </c>
      <c r="B138" s="254">
        <v>125139</v>
      </c>
      <c r="C138" s="317" t="str">
        <f>IFERROR(VLOOKUP($B:$B,RAW!$A:$L,2,0),"")</f>
        <v>재고자산평가손실환입</v>
      </c>
      <c r="D138" s="272">
        <f>VLOOKUP($B:$B,입력!$B:$Z,$1:$1,0)/$H$1</f>
        <v>0</v>
      </c>
      <c r="E138" s="272">
        <f>VLOOKUP($B:$B,RAW!$A:$Z,$1:$1,0)</f>
        <v>0</v>
      </c>
      <c r="F138" s="273">
        <f>VLOOKUP($B:$B,입력!$B:$Z,$1:$1,0)/$H$1</f>
        <v>0</v>
      </c>
      <c r="G138" s="273">
        <f>VLOOKUP($B:$B,RAW!$A:$Z,$1:$1,0)</f>
        <v>0</v>
      </c>
      <c r="H138" s="304"/>
      <c r="I138" s="304">
        <f t="shared" ref="I138:I201" si="2">IFERROR(G138-F138,"")</f>
        <v>0</v>
      </c>
      <c r="J138" s="303">
        <f>VLOOKUP($B:$B,입력!$B:$G,$1:$1,0)</f>
        <v>0</v>
      </c>
    </row>
    <row r="139" spans="1:10">
      <c r="A139" s="245" t="s">
        <v>656</v>
      </c>
      <c r="B139" s="254">
        <v>125133</v>
      </c>
      <c r="C139" s="317" t="str">
        <f>IFERROR(VLOOKUP($B:$B,RAW!$A:$L,2,0),"")</f>
        <v>임대주택자산처분이익</v>
      </c>
      <c r="D139" s="272">
        <f>VLOOKUP($B:$B,입력!$B:$Z,$1:$1,0)/$H$1</f>
        <v>0</v>
      </c>
      <c r="E139" s="272">
        <f>VLOOKUP($B:$B,RAW!$A:$Z,$1:$1,0)</f>
        <v>0</v>
      </c>
      <c r="F139" s="273">
        <f>VLOOKUP($B:$B,입력!$B:$Z,$1:$1,0)/$H$1</f>
        <v>0</v>
      </c>
      <c r="G139" s="273">
        <f>VLOOKUP($B:$B,RAW!$A:$Z,$1:$1,0)</f>
        <v>0</v>
      </c>
      <c r="H139" s="304"/>
      <c r="I139" s="304">
        <f t="shared" si="2"/>
        <v>0</v>
      </c>
      <c r="J139" s="303">
        <f>VLOOKUP($B:$B,입력!$B:$G,$1:$1,0)</f>
        <v>0</v>
      </c>
    </row>
    <row r="140" spans="1:10">
      <c r="A140" s="245" t="s">
        <v>657</v>
      </c>
      <c r="B140" s="254">
        <v>125116</v>
      </c>
      <c r="C140" s="317" t="str">
        <f>IFERROR(VLOOKUP($B:$B,RAW!$A:$L,2,0),"")</f>
        <v>주식배당금수익</v>
      </c>
      <c r="D140" s="272">
        <f>VLOOKUP($B:$B,입력!$B:$Z,$1:$1,0)/$H$1</f>
        <v>0</v>
      </c>
      <c r="E140" s="272">
        <f>VLOOKUP($B:$B,RAW!$A:$Z,$1:$1,0)</f>
        <v>0</v>
      </c>
      <c r="F140" s="273">
        <f>VLOOKUP($B:$B,입력!$B:$Z,$1:$1,0)/$H$1</f>
        <v>0</v>
      </c>
      <c r="G140" s="273">
        <f>VLOOKUP($B:$B,RAW!$A:$Z,$1:$1,0)</f>
        <v>0</v>
      </c>
      <c r="H140" s="304"/>
      <c r="I140" s="304">
        <f t="shared" si="2"/>
        <v>0</v>
      </c>
      <c r="J140" s="303">
        <f>VLOOKUP($B:$B,입력!$B:$G,$1:$1,0)</f>
        <v>0</v>
      </c>
    </row>
    <row r="141" spans="1:10">
      <c r="A141" s="245" t="s">
        <v>658</v>
      </c>
      <c r="B141" s="254">
        <v>125117</v>
      </c>
      <c r="C141" s="317" t="str">
        <f>IFERROR(VLOOKUP($B:$B,RAW!$A:$L,2,0),"")</f>
        <v>신주인수권처분이익</v>
      </c>
      <c r="D141" s="272">
        <f>VLOOKUP($B:$B,입력!$B:$Z,$1:$1,0)/$H$1</f>
        <v>0</v>
      </c>
      <c r="E141" s="272">
        <f>VLOOKUP($B:$B,RAW!$A:$Z,$1:$1,0)</f>
        <v>0</v>
      </c>
      <c r="F141" s="273">
        <f>VLOOKUP($B:$B,입력!$B:$Z,$1:$1,0)/$H$1</f>
        <v>0</v>
      </c>
      <c r="G141" s="273">
        <f>VLOOKUP($B:$B,RAW!$A:$Z,$1:$1,0)</f>
        <v>0</v>
      </c>
      <c r="H141" s="304"/>
      <c r="I141" s="304">
        <f t="shared" si="2"/>
        <v>0</v>
      </c>
      <c r="J141" s="303">
        <f>VLOOKUP($B:$B,입력!$B:$G,$1:$1,0)</f>
        <v>0</v>
      </c>
    </row>
    <row r="142" spans="1:10">
      <c r="A142" s="245" t="s">
        <v>659</v>
      </c>
      <c r="B142" s="254">
        <v>125105</v>
      </c>
      <c r="C142" s="317" t="str">
        <f>IFERROR(VLOOKUP($B:$B,RAW!$A:$L,2,0),"")</f>
        <v>임대료수익</v>
      </c>
      <c r="D142" s="272">
        <f>VLOOKUP($B:$B,입력!$B:$Z,$1:$1,0)/$H$1</f>
        <v>0</v>
      </c>
      <c r="E142" s="272">
        <f>VLOOKUP($B:$B,RAW!$A:$Z,$1:$1,0)</f>
        <v>0</v>
      </c>
      <c r="F142" s="273">
        <f>VLOOKUP($B:$B,입력!$B:$Z,$1:$1,0)/$H$1</f>
        <v>0</v>
      </c>
      <c r="G142" s="273">
        <f>VLOOKUP($B:$B,RAW!$A:$Z,$1:$1,0)</f>
        <v>249232</v>
      </c>
      <c r="H142" s="304"/>
      <c r="I142" s="304">
        <f t="shared" si="2"/>
        <v>249232</v>
      </c>
      <c r="J142" s="303">
        <f>VLOOKUP($B:$B,입력!$B:$G,$1:$1,0)</f>
        <v>0</v>
      </c>
    </row>
    <row r="143" spans="1:10">
      <c r="A143" s="245" t="s">
        <v>660</v>
      </c>
      <c r="B143" s="254">
        <v>125106</v>
      </c>
      <c r="C143" s="317" t="str">
        <f>IFERROR(VLOOKUP($B:$B,RAW!$A:$L,2,0),"")</f>
        <v>수수료수익</v>
      </c>
      <c r="D143" s="272">
        <f>VLOOKUP($B:$B,입력!$B:$Z,$1:$1,0)/$H$1</f>
        <v>0</v>
      </c>
      <c r="E143" s="272">
        <f>VLOOKUP($B:$B,RAW!$A:$Z,$1:$1,0)</f>
        <v>0</v>
      </c>
      <c r="F143" s="273">
        <f>VLOOKUP($B:$B,입력!$B:$Z,$1:$1,0)/$H$1</f>
        <v>0</v>
      </c>
      <c r="G143" s="273">
        <f>VLOOKUP($B:$B,RAW!$A:$Z,$1:$1,0)</f>
        <v>0</v>
      </c>
      <c r="H143" s="304"/>
      <c r="I143" s="304">
        <f t="shared" si="2"/>
        <v>0</v>
      </c>
      <c r="J143" s="303">
        <f>VLOOKUP($B:$B,입력!$B:$G,$1:$1,0)</f>
        <v>0</v>
      </c>
    </row>
    <row r="144" spans="1:10">
      <c r="A144" s="245" t="s">
        <v>661</v>
      </c>
      <c r="B144" s="254">
        <v>125107</v>
      </c>
      <c r="C144" s="317" t="str">
        <f>IFERROR(VLOOKUP($B:$B,RAW!$A:$L,2,0),"")</f>
        <v>원가차익</v>
      </c>
      <c r="D144" s="272">
        <f>VLOOKUP($B:$B,입력!$B:$Z,$1:$1,0)/$H$1</f>
        <v>0</v>
      </c>
      <c r="E144" s="272">
        <f>VLOOKUP($B:$B,RAW!$A:$Z,$1:$1,0)</f>
        <v>0</v>
      </c>
      <c r="F144" s="273">
        <f>VLOOKUP($B:$B,입력!$B:$Z,$1:$1,0)/$H$1</f>
        <v>0</v>
      </c>
      <c r="G144" s="273">
        <f>VLOOKUP($B:$B,RAW!$A:$Z,$1:$1,0)</f>
        <v>0</v>
      </c>
      <c r="H144" s="304"/>
      <c r="I144" s="304">
        <f t="shared" si="2"/>
        <v>0</v>
      </c>
      <c r="J144" s="303">
        <f>VLOOKUP($B:$B,입력!$B:$G,$1:$1,0)</f>
        <v>0</v>
      </c>
    </row>
    <row r="145" spans="1:10">
      <c r="A145" s="245" t="s">
        <v>662</v>
      </c>
      <c r="B145" s="254">
        <v>125108</v>
      </c>
      <c r="C145" s="317" t="str">
        <f>IFERROR(VLOOKUP($B:$B,RAW!$A:$L,2,0),"")</f>
        <v>매입할인</v>
      </c>
      <c r="D145" s="272">
        <f>VLOOKUP($B:$B,입력!$B:$Z,$1:$1,0)/$H$1</f>
        <v>0</v>
      </c>
      <c r="E145" s="272">
        <f>VLOOKUP($B:$B,RAW!$A:$Z,$1:$1,0)</f>
        <v>0</v>
      </c>
      <c r="F145" s="273">
        <f>VLOOKUP($B:$B,입력!$B:$Z,$1:$1,0)/$H$1</f>
        <v>0</v>
      </c>
      <c r="G145" s="273">
        <f>VLOOKUP($B:$B,RAW!$A:$Z,$1:$1,0)</f>
        <v>0</v>
      </c>
      <c r="H145" s="304"/>
      <c r="I145" s="304">
        <f t="shared" si="2"/>
        <v>0</v>
      </c>
      <c r="J145" s="303">
        <f>VLOOKUP($B:$B,입력!$B:$G,$1:$1,0)</f>
        <v>0</v>
      </c>
    </row>
    <row r="146" spans="1:10">
      <c r="A146" s="245" t="s">
        <v>663</v>
      </c>
      <c r="B146" s="254">
        <v>125110</v>
      </c>
      <c r="C146" s="317" t="str">
        <f>IFERROR(VLOOKUP($B:$B,RAW!$A:$L,2,0),"")</f>
        <v>보험차익</v>
      </c>
      <c r="D146" s="272">
        <f>VLOOKUP($B:$B,입력!$B:$Z,$1:$1,0)/$H$1</f>
        <v>0</v>
      </c>
      <c r="E146" s="272">
        <f>VLOOKUP($B:$B,RAW!$A:$Z,$1:$1,0)</f>
        <v>0</v>
      </c>
      <c r="F146" s="273">
        <f>VLOOKUP($B:$B,입력!$B:$Z,$1:$1,0)/$H$1</f>
        <v>0</v>
      </c>
      <c r="G146" s="273">
        <f>VLOOKUP($B:$B,RAW!$A:$Z,$1:$1,0)</f>
        <v>0</v>
      </c>
      <c r="H146" s="304"/>
      <c r="I146" s="304">
        <f t="shared" si="2"/>
        <v>0</v>
      </c>
      <c r="J146" s="303">
        <f>VLOOKUP($B:$B,입력!$B:$G,$1:$1,0)</f>
        <v>0</v>
      </c>
    </row>
    <row r="147" spans="1:10">
      <c r="A147" s="245" t="s">
        <v>664</v>
      </c>
      <c r="B147" s="254">
        <v>125109</v>
      </c>
      <c r="C147" s="317" t="str">
        <f>IFERROR(VLOOKUP($B:$B,RAW!$A:$L,2,0),"")</f>
        <v>외환차익</v>
      </c>
      <c r="D147" s="272">
        <f>VLOOKUP($B:$B,입력!$B:$Z,$1:$1,0)/$H$1</f>
        <v>113473.42200000001</v>
      </c>
      <c r="E147" s="272">
        <f>VLOOKUP($B:$B,RAW!$A:$Z,$1:$1,0)</f>
        <v>0</v>
      </c>
      <c r="F147" s="273">
        <f>VLOOKUP($B:$B,입력!$B:$Z,$1:$1,0)/$H$1</f>
        <v>0</v>
      </c>
      <c r="G147" s="273">
        <f>VLOOKUP($B:$B,RAW!$A:$Z,$1:$1,0)</f>
        <v>3549</v>
      </c>
      <c r="H147" s="304"/>
      <c r="I147" s="304">
        <f t="shared" si="2"/>
        <v>3549</v>
      </c>
      <c r="J147" s="303">
        <f>VLOOKUP($B:$B,입력!$B:$G,$1:$1,0)</f>
        <v>0</v>
      </c>
    </row>
    <row r="148" spans="1:10">
      <c r="A148" s="245" t="s">
        <v>665</v>
      </c>
      <c r="B148" s="254">
        <v>125111</v>
      </c>
      <c r="C148" s="317" t="str">
        <f>IFERROR(VLOOKUP($B:$B,RAW!$A:$L,2,0),"")</f>
        <v>외화환산이익</v>
      </c>
      <c r="D148" s="272">
        <f>VLOOKUP($B:$B,입력!$B:$Z,$1:$1,0)/$H$1</f>
        <v>2255983.7230000002</v>
      </c>
      <c r="E148" s="272">
        <f>VLOOKUP($B:$B,RAW!$A:$Z,$1:$1,0)</f>
        <v>0</v>
      </c>
      <c r="F148" s="273">
        <f>VLOOKUP($B:$B,입력!$B:$Z,$1:$1,0)/$H$1</f>
        <v>0</v>
      </c>
      <c r="G148" s="273">
        <f>VLOOKUP($B:$B,RAW!$A:$Z,$1:$1,0)</f>
        <v>0</v>
      </c>
      <c r="H148" s="304"/>
      <c r="I148" s="304">
        <f t="shared" si="2"/>
        <v>0</v>
      </c>
      <c r="J148" s="303">
        <f>VLOOKUP($B:$B,입력!$B:$G,$1:$1,0)</f>
        <v>0</v>
      </c>
    </row>
    <row r="149" spans="1:10">
      <c r="A149" s="245" t="s">
        <v>666</v>
      </c>
      <c r="B149" s="254">
        <v>125118</v>
      </c>
      <c r="C149" s="317" t="str">
        <f>IFERROR(VLOOKUP($B:$B,RAW!$A:$L,2,0),"")</f>
        <v>파생상품거래이익</v>
      </c>
      <c r="D149" s="272">
        <f>VLOOKUP($B:$B,입력!$B:$Z,$1:$1,0)/$H$1</f>
        <v>0</v>
      </c>
      <c r="E149" s="272">
        <f>VLOOKUP($B:$B,RAW!$A:$Z,$1:$1,0)</f>
        <v>0</v>
      </c>
      <c r="F149" s="273">
        <f>VLOOKUP($B:$B,입력!$B:$Z,$1:$1,0)/$H$1</f>
        <v>0</v>
      </c>
      <c r="G149" s="273">
        <f>VLOOKUP($B:$B,RAW!$A:$Z,$1:$1,0)</f>
        <v>0</v>
      </c>
      <c r="H149" s="304"/>
      <c r="I149" s="304">
        <f t="shared" si="2"/>
        <v>0</v>
      </c>
      <c r="J149" s="303">
        <f>VLOOKUP($B:$B,입력!$B:$G,$1:$1,0)</f>
        <v>0</v>
      </c>
    </row>
    <row r="150" spans="1:10">
      <c r="A150" s="245" t="s">
        <v>667</v>
      </c>
      <c r="B150" s="254">
        <v>125119</v>
      </c>
      <c r="C150" s="317" t="str">
        <f>IFERROR(VLOOKUP($B:$B,RAW!$A:$L,2,0),"")</f>
        <v>파생상품거래대환입</v>
      </c>
      <c r="D150" s="272">
        <f>VLOOKUP($B:$B,입력!$B:$Z,$1:$1,0)/$H$1</f>
        <v>0</v>
      </c>
      <c r="E150" s="272">
        <f>VLOOKUP($B:$B,RAW!$A:$Z,$1:$1,0)</f>
        <v>0</v>
      </c>
      <c r="F150" s="273">
        <f>VLOOKUP($B:$B,입력!$B:$Z,$1:$1,0)/$H$1</f>
        <v>0</v>
      </c>
      <c r="G150" s="273">
        <f>VLOOKUP($B:$B,RAW!$A:$Z,$1:$1,0)</f>
        <v>0</v>
      </c>
      <c r="H150" s="304"/>
      <c r="I150" s="304">
        <f t="shared" si="2"/>
        <v>0</v>
      </c>
      <c r="J150" s="303">
        <f>VLOOKUP($B:$B,입력!$B:$G,$1:$1,0)</f>
        <v>0</v>
      </c>
    </row>
    <row r="151" spans="1:10">
      <c r="A151" s="245" t="s">
        <v>668</v>
      </c>
      <c r="B151" s="254">
        <v>125126</v>
      </c>
      <c r="C151" s="317" t="str">
        <f>IFERROR(VLOOKUP($B:$B,RAW!$A:$L,2,0),"")</f>
        <v>파생상품평가이익</v>
      </c>
      <c r="D151" s="272">
        <f>VLOOKUP($B:$B,입력!$B:$Z,$1:$1,0)/$H$1</f>
        <v>0</v>
      </c>
      <c r="E151" s="272">
        <f>VLOOKUP($B:$B,RAW!$A:$Z,$1:$1,0)</f>
        <v>0</v>
      </c>
      <c r="F151" s="273">
        <f>VLOOKUP($B:$B,입력!$B:$Z,$1:$1,0)/$H$1</f>
        <v>0</v>
      </c>
      <c r="G151" s="273">
        <f>VLOOKUP($B:$B,RAW!$A:$Z,$1:$1,0)</f>
        <v>0</v>
      </c>
      <c r="H151" s="304"/>
      <c r="I151" s="304">
        <f t="shared" si="2"/>
        <v>0</v>
      </c>
      <c r="J151" s="303">
        <f>VLOOKUP($B:$B,입력!$B:$G,$1:$1,0)</f>
        <v>0</v>
      </c>
    </row>
    <row r="152" spans="1:10">
      <c r="A152" s="245" t="s">
        <v>669</v>
      </c>
      <c r="B152" s="254">
        <v>125112</v>
      </c>
      <c r="C152" s="317" t="str">
        <f>IFERROR(VLOOKUP($B:$B,RAW!$A:$L,2,0),"")</f>
        <v>환율조정대환입</v>
      </c>
      <c r="D152" s="272">
        <f>VLOOKUP($B:$B,입력!$B:$Z,$1:$1,0)/$H$1</f>
        <v>0</v>
      </c>
      <c r="E152" s="272">
        <f>VLOOKUP($B:$B,RAW!$A:$Z,$1:$1,0)</f>
        <v>0</v>
      </c>
      <c r="F152" s="273">
        <f>VLOOKUP($B:$B,입력!$B:$Z,$1:$1,0)/$H$1</f>
        <v>0</v>
      </c>
      <c r="G152" s="273">
        <f>VLOOKUP($B:$B,RAW!$A:$Z,$1:$1,0)</f>
        <v>0</v>
      </c>
      <c r="H152" s="304"/>
      <c r="I152" s="304">
        <f t="shared" si="2"/>
        <v>0</v>
      </c>
      <c r="J152" s="303">
        <f>VLOOKUP($B:$B,입력!$B:$G,$1:$1,0)</f>
        <v>0</v>
      </c>
    </row>
    <row r="153" spans="1:10">
      <c r="A153" s="245" t="s">
        <v>670</v>
      </c>
      <c r="B153" s="254">
        <v>125113</v>
      </c>
      <c r="C153" s="317" t="str">
        <f>IFERROR(VLOOKUP($B:$B,RAW!$A:$L,2,0),"")</f>
        <v>대손충당금환입</v>
      </c>
      <c r="D153" s="272">
        <f>VLOOKUP($B:$B,입력!$B:$Z,$1:$1,0)/$H$1</f>
        <v>0</v>
      </c>
      <c r="E153" s="272">
        <f>VLOOKUP($B:$B,RAW!$A:$Z,$1:$1,0)</f>
        <v>0</v>
      </c>
      <c r="F153" s="273">
        <f>VLOOKUP($B:$B,입력!$B:$Z,$1:$1,0)/$H$1</f>
        <v>0</v>
      </c>
      <c r="G153" s="273">
        <f>VLOOKUP($B:$B,RAW!$A:$Z,$1:$1,0)</f>
        <v>0</v>
      </c>
      <c r="H153" s="304"/>
      <c r="I153" s="304">
        <f t="shared" si="2"/>
        <v>0</v>
      </c>
      <c r="J153" s="303">
        <f>VLOOKUP($B:$B,입력!$B:$G,$1:$1,0)</f>
        <v>0</v>
      </c>
    </row>
    <row r="154" spans="1:10">
      <c r="A154" s="245" t="s">
        <v>671</v>
      </c>
      <c r="B154" s="254">
        <v>125114</v>
      </c>
      <c r="C154" s="317" t="str">
        <f>IFERROR(VLOOKUP($B:$B,RAW!$A:$L,2,0),"")</f>
        <v>장단기투자증권평가충당금환입</v>
      </c>
      <c r="D154" s="272">
        <f>VLOOKUP($B:$B,입력!$B:$Z,$1:$1,0)/$H$1</f>
        <v>0</v>
      </c>
      <c r="E154" s="272">
        <f>VLOOKUP($B:$B,RAW!$A:$Z,$1:$1,0)</f>
        <v>0</v>
      </c>
      <c r="F154" s="273">
        <f>VLOOKUP($B:$B,입력!$B:$Z,$1:$1,0)/$H$1</f>
        <v>0</v>
      </c>
      <c r="G154" s="273">
        <f>VLOOKUP($B:$B,RAW!$A:$Z,$1:$1,0)</f>
        <v>0</v>
      </c>
      <c r="H154" s="304"/>
      <c r="I154" s="304">
        <f t="shared" si="2"/>
        <v>0</v>
      </c>
      <c r="J154" s="303">
        <f>VLOOKUP($B:$B,입력!$B:$G,$1:$1,0)</f>
        <v>0</v>
      </c>
    </row>
    <row r="155" spans="1:10">
      <c r="A155" s="245" t="s">
        <v>672</v>
      </c>
      <c r="B155" s="254">
        <v>125143</v>
      </c>
      <c r="C155" s="317" t="str">
        <f>IFERROR(VLOOKUP($B:$B,RAW!$A:$L,2,0),"")</f>
        <v>투자자산평가이익</v>
      </c>
      <c r="D155" s="272">
        <f>VLOOKUP($B:$B,입력!$B:$Z,$1:$1,0)/$H$1</f>
        <v>0</v>
      </c>
      <c r="E155" s="272">
        <f>VLOOKUP($B:$B,RAW!$A:$Z,$1:$1,0)</f>
        <v>0</v>
      </c>
      <c r="F155" s="273">
        <f>VLOOKUP($B:$B,입력!$B:$Z,$1:$1,0)/$H$1</f>
        <v>0</v>
      </c>
      <c r="G155" s="273">
        <f>VLOOKUP($B:$B,RAW!$A:$Z,$1:$1,0)</f>
        <v>0</v>
      </c>
      <c r="H155" s="304"/>
      <c r="I155" s="304">
        <f t="shared" si="2"/>
        <v>0</v>
      </c>
      <c r="J155" s="303">
        <f>VLOOKUP($B:$B,입력!$B:$G,$1:$1,0)</f>
        <v>0</v>
      </c>
    </row>
    <row r="156" spans="1:10">
      <c r="A156" s="245" t="s">
        <v>673</v>
      </c>
      <c r="B156" s="254">
        <v>125145</v>
      </c>
      <c r="C156" s="317" t="str">
        <f>IFERROR(VLOOKUP($B:$B,RAW!$A:$L,2,0),"")</f>
        <v>매도가능증권평가이익</v>
      </c>
      <c r="D156" s="272">
        <f>VLOOKUP($B:$B,입력!$B:$Z,$1:$1,0)/$H$1</f>
        <v>0</v>
      </c>
      <c r="E156" s="272">
        <f>VLOOKUP($B:$B,RAW!$A:$Z,$1:$1,0)</f>
        <v>0</v>
      </c>
      <c r="F156" s="273">
        <f>VLOOKUP($B:$B,입력!$B:$Z,$1:$1,0)/$H$1</f>
        <v>0</v>
      </c>
      <c r="G156" s="273">
        <f>VLOOKUP($B:$B,RAW!$A:$Z,$1:$1,0)</f>
        <v>0</v>
      </c>
      <c r="H156" s="304"/>
      <c r="I156" s="304">
        <f t="shared" si="2"/>
        <v>0</v>
      </c>
      <c r="J156" s="303">
        <f>VLOOKUP($B:$B,입력!$B:$G,$1:$1,0)</f>
        <v>0</v>
      </c>
    </row>
    <row r="157" spans="1:10">
      <c r="A157" s="245" t="s">
        <v>674</v>
      </c>
      <c r="B157" s="254">
        <v>125120</v>
      </c>
      <c r="C157" s="317" t="str">
        <f>IFERROR(VLOOKUP($B:$B,RAW!$A:$L,2,0),"")</f>
        <v>투자자산평가충당금환입</v>
      </c>
      <c r="D157" s="272">
        <f>VLOOKUP($B:$B,입력!$B:$Z,$1:$1,0)/$H$1</f>
        <v>0</v>
      </c>
      <c r="E157" s="272">
        <f>VLOOKUP($B:$B,RAW!$A:$Z,$1:$1,0)</f>
        <v>0</v>
      </c>
      <c r="F157" s="273">
        <f>VLOOKUP($B:$B,입력!$B:$Z,$1:$1,0)/$H$1</f>
        <v>0</v>
      </c>
      <c r="G157" s="273">
        <f>VLOOKUP($B:$B,RAW!$A:$Z,$1:$1,0)</f>
        <v>0</v>
      </c>
      <c r="H157" s="304"/>
      <c r="I157" s="304">
        <f t="shared" si="2"/>
        <v>0</v>
      </c>
      <c r="J157" s="303">
        <f>VLOOKUP($B:$B,입력!$B:$G,$1:$1,0)</f>
        <v>0</v>
      </c>
    </row>
    <row r="158" spans="1:10">
      <c r="A158" s="245" t="s">
        <v>675</v>
      </c>
      <c r="B158" s="254">
        <v>125122</v>
      </c>
      <c r="C158" s="317" t="str">
        <f>IFERROR(VLOOKUP($B:$B,RAW!$A:$L,2,0),"")</f>
        <v>투자자산처분이익</v>
      </c>
      <c r="D158" s="272">
        <f>VLOOKUP($B:$B,입력!$B:$Z,$1:$1,0)/$H$1</f>
        <v>0</v>
      </c>
      <c r="E158" s="272">
        <f>VLOOKUP($B:$B,RAW!$A:$Z,$1:$1,0)</f>
        <v>0</v>
      </c>
      <c r="F158" s="273">
        <f>VLOOKUP($B:$B,입력!$B:$Z,$1:$1,0)/$H$1</f>
        <v>0</v>
      </c>
      <c r="G158" s="273">
        <f>VLOOKUP($B:$B,RAW!$A:$Z,$1:$1,0)</f>
        <v>0</v>
      </c>
      <c r="H158" s="304"/>
      <c r="I158" s="304">
        <f t="shared" si="2"/>
        <v>0</v>
      </c>
      <c r="J158" s="303">
        <f>VLOOKUP($B:$B,입력!$B:$G,$1:$1,0)</f>
        <v>0</v>
      </c>
    </row>
    <row r="159" spans="1:10">
      <c r="A159" s="245" t="s">
        <v>676</v>
      </c>
      <c r="B159" s="254">
        <v>125147</v>
      </c>
      <c r="C159" s="317" t="str">
        <f>IFERROR(VLOOKUP($B:$B,RAW!$A:$L,2,0),"")</f>
        <v>매도가능증권처분이익</v>
      </c>
      <c r="D159" s="272">
        <f>VLOOKUP($B:$B,입력!$B:$Z,$1:$1,0)/$H$1</f>
        <v>0</v>
      </c>
      <c r="E159" s="272">
        <f>VLOOKUP($B:$B,RAW!$A:$Z,$1:$1,0)</f>
        <v>0</v>
      </c>
      <c r="F159" s="273">
        <f>VLOOKUP($B:$B,입력!$B:$Z,$1:$1,0)/$H$1</f>
        <v>0</v>
      </c>
      <c r="G159" s="273">
        <f>VLOOKUP($B:$B,RAW!$A:$Z,$1:$1,0)</f>
        <v>0</v>
      </c>
      <c r="H159" s="304"/>
      <c r="I159" s="304">
        <f t="shared" si="2"/>
        <v>0</v>
      </c>
      <c r="J159" s="303">
        <f>VLOOKUP($B:$B,입력!$B:$G,$1:$1,0)</f>
        <v>0</v>
      </c>
    </row>
    <row r="160" spans="1:10">
      <c r="A160" s="245" t="s">
        <v>677</v>
      </c>
      <c r="B160" s="254">
        <v>125148</v>
      </c>
      <c r="C160" s="317" t="str">
        <f>IFERROR(VLOOKUP($B:$B,RAW!$A:$L,2,0),"")</f>
        <v>만기보유증권처분이익</v>
      </c>
      <c r="D160" s="272">
        <f>VLOOKUP($B:$B,입력!$B:$Z,$1:$1,0)/$H$1</f>
        <v>0</v>
      </c>
      <c r="E160" s="272">
        <f>VLOOKUP($B:$B,RAW!$A:$Z,$1:$1,0)</f>
        <v>0</v>
      </c>
      <c r="F160" s="273">
        <f>VLOOKUP($B:$B,입력!$B:$Z,$1:$1,0)/$H$1</f>
        <v>0</v>
      </c>
      <c r="G160" s="273">
        <f>VLOOKUP($B:$B,RAW!$A:$Z,$1:$1,0)</f>
        <v>0</v>
      </c>
      <c r="H160" s="304"/>
      <c r="I160" s="304">
        <f t="shared" si="2"/>
        <v>0</v>
      </c>
      <c r="J160" s="303">
        <f>VLOOKUP($B:$B,입력!$B:$G,$1:$1,0)</f>
        <v>0</v>
      </c>
    </row>
    <row r="161" spans="1:10">
      <c r="A161" s="245" t="s">
        <v>678</v>
      </c>
      <c r="B161" s="254">
        <v>125165</v>
      </c>
      <c r="C161" s="317" t="str">
        <f>IFERROR(VLOOKUP($B:$B,RAW!$A:$L,2,0),"")</f>
        <v>지분법주식처분이익</v>
      </c>
      <c r="D161" s="272">
        <f>VLOOKUP($B:$B,입력!$B:$Z,$1:$1,0)/$H$1</f>
        <v>0</v>
      </c>
      <c r="E161" s="272">
        <f>VLOOKUP($B:$B,RAW!$A:$Z,$1:$1,0)</f>
        <v>0</v>
      </c>
      <c r="F161" s="273">
        <f>VLOOKUP($B:$B,입력!$B:$Z,$1:$1,0)/$H$1</f>
        <v>0</v>
      </c>
      <c r="G161" s="273">
        <f>VLOOKUP($B:$B,RAW!$A:$Z,$1:$1,0)</f>
        <v>0</v>
      </c>
      <c r="H161" s="304"/>
      <c r="I161" s="304">
        <f t="shared" si="2"/>
        <v>0</v>
      </c>
      <c r="J161" s="303">
        <f>VLOOKUP($B:$B,입력!$B:$G,$1:$1,0)</f>
        <v>0</v>
      </c>
    </row>
    <row r="162" spans="1:10">
      <c r="A162" s="245" t="s">
        <v>679</v>
      </c>
      <c r="B162" s="254">
        <v>125104</v>
      </c>
      <c r="C162" s="317" t="str">
        <f>IFERROR(VLOOKUP($B:$B,RAW!$A:$L,2,0),"")</f>
        <v>기타장단기투자증권처분이익</v>
      </c>
      <c r="D162" s="272">
        <f>VLOOKUP($B:$B,입력!$B:$Z,$1:$1,0)/$H$1</f>
        <v>0</v>
      </c>
      <c r="E162" s="272">
        <f>VLOOKUP($B:$B,RAW!$A:$Z,$1:$1,0)</f>
        <v>0</v>
      </c>
      <c r="F162" s="273">
        <f>VLOOKUP($B:$B,입력!$B:$Z,$1:$1,0)/$H$1</f>
        <v>0</v>
      </c>
      <c r="G162" s="273">
        <f>VLOOKUP($B:$B,RAW!$A:$Z,$1:$1,0)</f>
        <v>0</v>
      </c>
      <c r="H162" s="304"/>
      <c r="I162" s="304">
        <f t="shared" si="2"/>
        <v>0</v>
      </c>
      <c r="J162" s="303">
        <f>VLOOKUP($B:$B,입력!$B:$G,$1:$1,0)</f>
        <v>0</v>
      </c>
    </row>
    <row r="163" spans="1:10">
      <c r="A163" s="245" t="s">
        <v>680</v>
      </c>
      <c r="B163" s="254">
        <v>125121</v>
      </c>
      <c r="C163" s="317" t="str">
        <f>IFERROR(VLOOKUP($B:$B,RAW!$A:$L,2,0),"")</f>
        <v>기타장단기투자증권평가이익</v>
      </c>
      <c r="D163" s="272">
        <f>VLOOKUP($B:$B,입력!$B:$Z,$1:$1,0)/$H$1</f>
        <v>0</v>
      </c>
      <c r="E163" s="272">
        <f>VLOOKUP($B:$B,RAW!$A:$Z,$1:$1,0)</f>
        <v>0</v>
      </c>
      <c r="F163" s="273">
        <f>VLOOKUP($B:$B,입력!$B:$Z,$1:$1,0)/$H$1</f>
        <v>0</v>
      </c>
      <c r="G163" s="273">
        <f>VLOOKUP($B:$B,RAW!$A:$Z,$1:$1,0)</f>
        <v>0</v>
      </c>
      <c r="H163" s="304"/>
      <c r="I163" s="304">
        <f t="shared" si="2"/>
        <v>0</v>
      </c>
      <c r="J163" s="303">
        <f>VLOOKUP($B:$B,입력!$B:$G,$1:$1,0)</f>
        <v>0</v>
      </c>
    </row>
    <row r="164" spans="1:10">
      <c r="A164" s="245" t="s">
        <v>681</v>
      </c>
      <c r="B164" s="254">
        <v>125152</v>
      </c>
      <c r="C164" s="317" t="str">
        <f>IFERROR(VLOOKUP($B:$B,RAW!$A:$L,2,0),"")</f>
        <v>자전거래이익</v>
      </c>
      <c r="D164" s="272">
        <f>VLOOKUP($B:$B,입력!$B:$Z,$1:$1,0)/$H$1</f>
        <v>0</v>
      </c>
      <c r="E164" s="272">
        <f>VLOOKUP($B:$B,RAW!$A:$Z,$1:$1,0)</f>
        <v>0</v>
      </c>
      <c r="F164" s="273">
        <f>VLOOKUP($B:$B,입력!$B:$Z,$1:$1,0)/$H$1</f>
        <v>0</v>
      </c>
      <c r="G164" s="273">
        <f>VLOOKUP($B:$B,RAW!$A:$Z,$1:$1,0)</f>
        <v>0</v>
      </c>
      <c r="H164" s="304"/>
      <c r="I164" s="304">
        <f t="shared" si="2"/>
        <v>0</v>
      </c>
      <c r="J164" s="303">
        <f>VLOOKUP($B:$B,입력!$B:$G,$1:$1,0)</f>
        <v>0</v>
      </c>
    </row>
    <row r="165" spans="1:10">
      <c r="A165" s="245" t="s">
        <v>682</v>
      </c>
      <c r="B165" s="254">
        <v>125123</v>
      </c>
      <c r="C165" s="317" t="str">
        <f>IFERROR(VLOOKUP($B:$B,RAW!$A:$L,2,0),"")</f>
        <v>유,무형,리스자산처분이익</v>
      </c>
      <c r="D165" s="272">
        <f>VLOOKUP($B:$B,입력!$B:$Z,$1:$1,0)/$H$1</f>
        <v>0</v>
      </c>
      <c r="E165" s="272">
        <f>VLOOKUP($B:$B,RAW!$A:$Z,$1:$1,0)</f>
        <v>0</v>
      </c>
      <c r="F165" s="273">
        <f>VLOOKUP($B:$B,입력!$B:$Z,$1:$1,0)/$H$1</f>
        <v>0</v>
      </c>
      <c r="G165" s="273">
        <f>VLOOKUP($B:$B,RAW!$A:$Z,$1:$1,0)</f>
        <v>0</v>
      </c>
      <c r="H165" s="304"/>
      <c r="I165" s="304">
        <f t="shared" si="2"/>
        <v>0</v>
      </c>
      <c r="J165" s="303">
        <f>VLOOKUP($B:$B,입력!$B:$G,$1:$1,0)</f>
        <v>0</v>
      </c>
    </row>
    <row r="166" spans="1:10">
      <c r="A166" s="245" t="s">
        <v>683</v>
      </c>
      <c r="B166" s="254">
        <v>125153</v>
      </c>
      <c r="C166" s="317" t="str">
        <f>IFERROR(VLOOKUP($B:$B,RAW!$A:$L,2,0),"")</f>
        <v>공정가액조정이익</v>
      </c>
      <c r="D166" s="272">
        <f>VLOOKUP($B:$B,입력!$B:$Z,$1:$1,0)/$H$1</f>
        <v>0</v>
      </c>
      <c r="E166" s="272">
        <f>VLOOKUP($B:$B,RAW!$A:$Z,$1:$1,0)</f>
        <v>0</v>
      </c>
      <c r="F166" s="273">
        <f>VLOOKUP($B:$B,입력!$B:$Z,$1:$1,0)/$H$1</f>
        <v>0</v>
      </c>
      <c r="G166" s="273">
        <f>VLOOKUP($B:$B,RAW!$A:$Z,$1:$1,0)</f>
        <v>0</v>
      </c>
      <c r="H166" s="304"/>
      <c r="I166" s="304">
        <f t="shared" si="2"/>
        <v>0</v>
      </c>
      <c r="J166" s="303">
        <f>VLOOKUP($B:$B,입력!$B:$G,$1:$1,0)</f>
        <v>0</v>
      </c>
    </row>
    <row r="167" spans="1:10">
      <c r="A167" s="245" t="s">
        <v>684</v>
      </c>
      <c r="B167" s="254">
        <v>125124</v>
      </c>
      <c r="C167" s="317" t="str">
        <f>IFERROR(VLOOKUP($B:$B,RAW!$A:$L,2,0),"")</f>
        <v>상각채권추심이익</v>
      </c>
      <c r="D167" s="272">
        <f>VLOOKUP($B:$B,입력!$B:$Z,$1:$1,0)/$H$1</f>
        <v>0</v>
      </c>
      <c r="E167" s="272">
        <f>VLOOKUP($B:$B,RAW!$A:$Z,$1:$1,0)</f>
        <v>0</v>
      </c>
      <c r="F167" s="273">
        <f>VLOOKUP($B:$B,입력!$B:$Z,$1:$1,0)/$H$1</f>
        <v>0</v>
      </c>
      <c r="G167" s="273">
        <f>VLOOKUP($B:$B,RAW!$A:$Z,$1:$1,0)</f>
        <v>0</v>
      </c>
      <c r="H167" s="304"/>
      <c r="I167" s="304">
        <f t="shared" si="2"/>
        <v>0</v>
      </c>
      <c r="J167" s="303">
        <f>VLOOKUP($B:$B,입력!$B:$G,$1:$1,0)</f>
        <v>0</v>
      </c>
    </row>
    <row r="168" spans="1:10">
      <c r="A168" s="245" t="s">
        <v>685</v>
      </c>
      <c r="B168" s="254">
        <v>125125</v>
      </c>
      <c r="C168" s="317" t="str">
        <f>IFERROR(VLOOKUP($B:$B,RAW!$A:$L,2,0),"")</f>
        <v>사채상환이익</v>
      </c>
      <c r="D168" s="272">
        <f>VLOOKUP($B:$B,입력!$B:$Z,$1:$1,0)/$H$1</f>
        <v>0</v>
      </c>
      <c r="E168" s="272">
        <f>VLOOKUP($B:$B,RAW!$A:$Z,$1:$1,0)</f>
        <v>0</v>
      </c>
      <c r="F168" s="273">
        <f>VLOOKUP($B:$B,입력!$B:$Z,$1:$1,0)/$H$1</f>
        <v>0</v>
      </c>
      <c r="G168" s="273">
        <f>VLOOKUP($B:$B,RAW!$A:$Z,$1:$1,0)</f>
        <v>0</v>
      </c>
      <c r="H168" s="304"/>
      <c r="I168" s="304">
        <f t="shared" si="2"/>
        <v>0</v>
      </c>
      <c r="J168" s="303">
        <f>VLOOKUP($B:$B,입력!$B:$G,$1:$1,0)</f>
        <v>0</v>
      </c>
    </row>
    <row r="169" spans="1:10">
      <c r="A169" s="245" t="s">
        <v>686</v>
      </c>
      <c r="B169" s="254">
        <v>125127</v>
      </c>
      <c r="C169" s="317" t="str">
        <f>IFERROR(VLOOKUP($B:$B,RAW!$A:$L,2,0),"")</f>
        <v>지분법이익</v>
      </c>
      <c r="D169" s="272">
        <f>VLOOKUP($B:$B,입력!$B:$Z,$1:$1,0)/$H$1</f>
        <v>3724.1280000000002</v>
      </c>
      <c r="E169" s="272">
        <f>VLOOKUP($B:$B,RAW!$A:$Z,$1:$1,0)</f>
        <v>0</v>
      </c>
      <c r="F169" s="273">
        <f>VLOOKUP($B:$B,입력!$B:$Z,$1:$1,0)/$H$1</f>
        <v>0</v>
      </c>
      <c r="G169" s="273">
        <f>VLOOKUP($B:$B,RAW!$A:$Z,$1:$1,0)</f>
        <v>27373</v>
      </c>
      <c r="H169" s="304"/>
      <c r="I169" s="304">
        <f t="shared" si="2"/>
        <v>27373</v>
      </c>
      <c r="J169" s="303">
        <f>VLOOKUP($B:$B,입력!$B:$G,$1:$1,0)</f>
        <v>0</v>
      </c>
    </row>
    <row r="170" spans="1:10">
      <c r="A170" s="245" t="s">
        <v>687</v>
      </c>
      <c r="B170" s="254">
        <v>125160</v>
      </c>
      <c r="C170" s="317" t="str">
        <f>IFERROR(VLOOKUP($B:$B,RAW!$A:$L,2,0),"")</f>
        <v>임대주택자산감액손실환입</v>
      </c>
      <c r="D170" s="272">
        <f>VLOOKUP($B:$B,입력!$B:$Z,$1:$1,0)/$H$1</f>
        <v>0</v>
      </c>
      <c r="E170" s="272">
        <f>VLOOKUP($B:$B,RAW!$A:$Z,$1:$1,0)</f>
        <v>0</v>
      </c>
      <c r="F170" s="273">
        <f>VLOOKUP($B:$B,입력!$B:$Z,$1:$1,0)/$H$1</f>
        <v>0</v>
      </c>
      <c r="G170" s="273">
        <f>VLOOKUP($B:$B,RAW!$A:$Z,$1:$1,0)</f>
        <v>0</v>
      </c>
      <c r="H170" s="304"/>
      <c r="I170" s="304">
        <f t="shared" si="2"/>
        <v>0</v>
      </c>
      <c r="J170" s="303">
        <f>VLOOKUP($B:$B,입력!$B:$G,$1:$1,0)</f>
        <v>0</v>
      </c>
    </row>
    <row r="171" spans="1:10">
      <c r="A171" s="245" t="s">
        <v>688</v>
      </c>
      <c r="B171" s="254">
        <v>125128</v>
      </c>
      <c r="C171" s="317" t="str">
        <f>IFERROR(VLOOKUP($B:$B,RAW!$A:$L,2,0),"")</f>
        <v>투자자산감액손실환입</v>
      </c>
      <c r="D171" s="272">
        <f>VLOOKUP($B:$B,입력!$B:$Z,$1:$1,0)/$H$1</f>
        <v>0</v>
      </c>
      <c r="E171" s="272">
        <f>VLOOKUP($B:$B,RAW!$A:$Z,$1:$1,0)</f>
        <v>0</v>
      </c>
      <c r="F171" s="273">
        <f>VLOOKUP($B:$B,입력!$B:$Z,$1:$1,0)/$H$1</f>
        <v>0</v>
      </c>
      <c r="G171" s="273">
        <f>VLOOKUP($B:$B,RAW!$A:$Z,$1:$1,0)</f>
        <v>0</v>
      </c>
      <c r="H171" s="304"/>
      <c r="I171" s="304">
        <f t="shared" si="2"/>
        <v>0</v>
      </c>
      <c r="J171" s="303">
        <f>VLOOKUP($B:$B,입력!$B:$G,$1:$1,0)</f>
        <v>0</v>
      </c>
    </row>
    <row r="172" spans="1:10">
      <c r="A172" s="245" t="s">
        <v>689</v>
      </c>
      <c r="B172" s="254">
        <v>125149</v>
      </c>
      <c r="C172" s="317" t="str">
        <f>IFERROR(VLOOKUP($B:$B,RAW!$A:$L,2,0),"")</f>
        <v>매도가능증권감액손실환입</v>
      </c>
      <c r="D172" s="272">
        <f>VLOOKUP($B:$B,입력!$B:$Z,$1:$1,0)/$H$1</f>
        <v>0</v>
      </c>
      <c r="E172" s="272">
        <f>VLOOKUP($B:$B,RAW!$A:$Z,$1:$1,0)</f>
        <v>0</v>
      </c>
      <c r="F172" s="273">
        <f>VLOOKUP($B:$B,입력!$B:$Z,$1:$1,0)/$H$1</f>
        <v>0</v>
      </c>
      <c r="G172" s="273">
        <f>VLOOKUP($B:$B,RAW!$A:$Z,$1:$1,0)</f>
        <v>0</v>
      </c>
      <c r="H172" s="304"/>
      <c r="I172" s="304">
        <f t="shared" si="2"/>
        <v>0</v>
      </c>
      <c r="J172" s="303">
        <f>VLOOKUP($B:$B,입력!$B:$G,$1:$1,0)</f>
        <v>0</v>
      </c>
    </row>
    <row r="173" spans="1:10">
      <c r="A173" s="245" t="s">
        <v>690</v>
      </c>
      <c r="B173" s="254">
        <v>125151</v>
      </c>
      <c r="C173" s="317" t="str">
        <f>IFERROR(VLOOKUP($B:$B,RAW!$A:$L,2,0),"")</f>
        <v>만기보유증권감액손실환입</v>
      </c>
      <c r="D173" s="272">
        <f>VLOOKUP($B:$B,입력!$B:$Z,$1:$1,0)/$H$1</f>
        <v>0</v>
      </c>
      <c r="E173" s="272">
        <f>VLOOKUP($B:$B,RAW!$A:$Z,$1:$1,0)</f>
        <v>0</v>
      </c>
      <c r="F173" s="273">
        <f>VLOOKUP($B:$B,입력!$B:$Z,$1:$1,0)/$H$1</f>
        <v>0</v>
      </c>
      <c r="G173" s="273">
        <f>VLOOKUP($B:$B,RAW!$A:$Z,$1:$1,0)</f>
        <v>0</v>
      </c>
      <c r="H173" s="304"/>
      <c r="I173" s="304">
        <f t="shared" si="2"/>
        <v>0</v>
      </c>
      <c r="J173" s="303">
        <f>VLOOKUP($B:$B,입력!$B:$G,$1:$1,0)</f>
        <v>0</v>
      </c>
    </row>
    <row r="174" spans="1:10">
      <c r="A174" s="245" t="s">
        <v>691</v>
      </c>
      <c r="B174" s="254">
        <v>125166</v>
      </c>
      <c r="C174" s="317" t="str">
        <f>IFERROR(VLOOKUP($B:$B,RAW!$A:$L,2,0),"")</f>
        <v>지분법주식감액손실환입</v>
      </c>
      <c r="D174" s="272">
        <f>VLOOKUP($B:$B,입력!$B:$Z,$1:$1,0)/$H$1</f>
        <v>0</v>
      </c>
      <c r="E174" s="272">
        <f>VLOOKUP($B:$B,RAW!$A:$Z,$1:$1,0)</f>
        <v>0</v>
      </c>
      <c r="F174" s="273">
        <f>VLOOKUP($B:$B,입력!$B:$Z,$1:$1,0)/$H$1</f>
        <v>0</v>
      </c>
      <c r="G174" s="273">
        <f>VLOOKUP($B:$B,RAW!$A:$Z,$1:$1,0)</f>
        <v>0</v>
      </c>
      <c r="H174" s="304"/>
      <c r="I174" s="304">
        <f t="shared" si="2"/>
        <v>0</v>
      </c>
      <c r="J174" s="303">
        <f>VLOOKUP($B:$B,입력!$B:$G,$1:$1,0)</f>
        <v>0</v>
      </c>
    </row>
    <row r="175" spans="1:10">
      <c r="A175" s="245" t="s">
        <v>692</v>
      </c>
      <c r="B175" s="254">
        <v>125170</v>
      </c>
      <c r="C175" s="317" t="str">
        <f>IFERROR(VLOOKUP($B:$B,RAW!$A:$L,2,0),"")</f>
        <v>유형자산감액손실환입</v>
      </c>
      <c r="D175" s="272">
        <f>VLOOKUP($B:$B,입력!$B:$Z,$1:$1,0)/$H$1</f>
        <v>0</v>
      </c>
      <c r="E175" s="272">
        <f>VLOOKUP($B:$B,RAW!$A:$Z,$1:$1,0)</f>
        <v>0</v>
      </c>
      <c r="F175" s="273">
        <f>VLOOKUP($B:$B,입력!$B:$Z,$1:$1,0)/$H$1</f>
        <v>0</v>
      </c>
      <c r="G175" s="273">
        <f>VLOOKUP($B:$B,RAW!$A:$Z,$1:$1,0)</f>
        <v>0</v>
      </c>
      <c r="H175" s="304"/>
      <c r="I175" s="304">
        <f t="shared" si="2"/>
        <v>0</v>
      </c>
      <c r="J175" s="303">
        <f>VLOOKUP($B:$B,입력!$B:$G,$1:$1,0)</f>
        <v>0</v>
      </c>
    </row>
    <row r="176" spans="1:10">
      <c r="A176" s="245" t="s">
        <v>693</v>
      </c>
      <c r="B176" s="254">
        <v>125180</v>
      </c>
      <c r="C176" s="317" t="str">
        <f>IFERROR(VLOOKUP($B:$B,RAW!$A:$L,2,0),"")</f>
        <v>무형자산감액손실환입</v>
      </c>
      <c r="D176" s="272">
        <f>VLOOKUP($B:$B,입력!$B:$Z,$1:$1,0)/$H$1</f>
        <v>0</v>
      </c>
      <c r="E176" s="272">
        <f>VLOOKUP($B:$B,RAW!$A:$Z,$1:$1,0)</f>
        <v>0</v>
      </c>
      <c r="F176" s="273">
        <f>VLOOKUP($B:$B,입력!$B:$Z,$1:$1,0)/$H$1</f>
        <v>0</v>
      </c>
      <c r="G176" s="273">
        <f>VLOOKUP($B:$B,RAW!$A:$Z,$1:$1,0)</f>
        <v>0</v>
      </c>
      <c r="H176" s="304"/>
      <c r="I176" s="304">
        <f t="shared" si="2"/>
        <v>0</v>
      </c>
      <c r="J176" s="303">
        <f>VLOOKUP($B:$B,입력!$B:$G,$1:$1,0)</f>
        <v>0</v>
      </c>
    </row>
    <row r="177" spans="1:10">
      <c r="A177" s="245" t="s">
        <v>694</v>
      </c>
      <c r="B177" s="254">
        <v>125190</v>
      </c>
      <c r="C177" s="317" t="str">
        <f>IFERROR(VLOOKUP($B:$B,RAW!$A:$L,2,0),"")</f>
        <v>기타자산감액손실환입</v>
      </c>
      <c r="D177" s="272">
        <f>VLOOKUP($B:$B,입력!$B:$Z,$1:$1,0)/$H$1</f>
        <v>0</v>
      </c>
      <c r="E177" s="272">
        <f>VLOOKUP($B:$B,RAW!$A:$Z,$1:$1,0)</f>
        <v>0</v>
      </c>
      <c r="F177" s="273">
        <f>VLOOKUP($B:$B,입력!$B:$Z,$1:$1,0)/$H$1</f>
        <v>0</v>
      </c>
      <c r="G177" s="273">
        <f>VLOOKUP($B:$B,RAW!$A:$Z,$1:$1,0)</f>
        <v>0</v>
      </c>
      <c r="H177" s="304"/>
      <c r="I177" s="304">
        <f t="shared" si="2"/>
        <v>0</v>
      </c>
      <c r="J177" s="303">
        <f>VLOOKUP($B:$B,입력!$B:$G,$1:$1,0)</f>
        <v>0</v>
      </c>
    </row>
    <row r="178" spans="1:10">
      <c r="A178" s="245" t="s">
        <v>695</v>
      </c>
      <c r="B178" s="254">
        <v>125191</v>
      </c>
      <c r="C178" s="317" t="str">
        <f>IFERROR(VLOOKUP($B:$B,RAW!$A:$L,2,0),"")</f>
        <v>주식보상비용환입</v>
      </c>
      <c r="D178" s="272">
        <f>VLOOKUP($B:$B,입력!$B:$Z,$1:$1,0)/$H$1</f>
        <v>0</v>
      </c>
      <c r="E178" s="272">
        <f>VLOOKUP($B:$B,RAW!$A:$Z,$1:$1,0)</f>
        <v>0</v>
      </c>
      <c r="F178" s="273">
        <f>VLOOKUP($B:$B,입력!$B:$Z,$1:$1,0)/$H$1</f>
        <v>0</v>
      </c>
      <c r="G178" s="273">
        <f>VLOOKUP($B:$B,RAW!$A:$Z,$1:$1,0)</f>
        <v>0</v>
      </c>
      <c r="H178" s="304"/>
      <c r="I178" s="304">
        <f t="shared" si="2"/>
        <v>0</v>
      </c>
      <c r="J178" s="303">
        <f>VLOOKUP($B:$B,입력!$B:$G,$1:$1,0)</f>
        <v>0</v>
      </c>
    </row>
    <row r="179" spans="1:10">
      <c r="A179" s="245" t="s">
        <v>696</v>
      </c>
      <c r="B179" s="254">
        <v>125129</v>
      </c>
      <c r="C179" s="317" t="str">
        <f>IFERROR(VLOOKUP($B:$B,RAW!$A:$L,2,0),"")</f>
        <v>법인세환급액</v>
      </c>
      <c r="D179" s="272">
        <f>VLOOKUP($B:$B,입력!$B:$Z,$1:$1,0)/$H$1</f>
        <v>0</v>
      </c>
      <c r="E179" s="272">
        <f>VLOOKUP($B:$B,RAW!$A:$Z,$1:$1,0)</f>
        <v>0</v>
      </c>
      <c r="F179" s="273">
        <f>VLOOKUP($B:$B,입력!$B:$Z,$1:$1,0)/$H$1</f>
        <v>0</v>
      </c>
      <c r="G179" s="273">
        <f>VLOOKUP($B:$B,RAW!$A:$Z,$1:$1,0)</f>
        <v>0</v>
      </c>
      <c r="H179" s="304"/>
      <c r="I179" s="304">
        <f t="shared" si="2"/>
        <v>0</v>
      </c>
      <c r="J179" s="303">
        <f>VLOOKUP($B:$B,입력!$B:$G,$1:$1,0)</f>
        <v>0</v>
      </c>
    </row>
    <row r="180" spans="1:10">
      <c r="A180" s="245" t="s">
        <v>697</v>
      </c>
      <c r="B180" s="254">
        <v>125150</v>
      </c>
      <c r="C180" s="317" t="str">
        <f>IFERROR(VLOOKUP($B:$B,RAW!$A:$L,2,0),"")</f>
        <v>전환사채전환이익</v>
      </c>
      <c r="D180" s="272">
        <f>VLOOKUP($B:$B,입력!$B:$Z,$1:$1,0)/$H$1</f>
        <v>0</v>
      </c>
      <c r="E180" s="272">
        <f>VLOOKUP($B:$B,RAW!$A:$Z,$1:$1,0)</f>
        <v>0</v>
      </c>
      <c r="F180" s="273">
        <f>VLOOKUP($B:$B,입력!$B:$Z,$1:$1,0)/$H$1</f>
        <v>0</v>
      </c>
      <c r="G180" s="273">
        <f>VLOOKUP($B:$B,RAW!$A:$Z,$1:$1,0)</f>
        <v>0</v>
      </c>
      <c r="H180" s="304"/>
      <c r="I180" s="304">
        <f t="shared" si="2"/>
        <v>0</v>
      </c>
      <c r="J180" s="303">
        <f>VLOOKUP($B:$B,입력!$B:$G,$1:$1,0)</f>
        <v>0</v>
      </c>
    </row>
    <row r="181" spans="1:10">
      <c r="A181" s="245" t="s">
        <v>698</v>
      </c>
      <c r="B181" s="254">
        <v>125138</v>
      </c>
      <c r="C181" s="317" t="str">
        <f>IFERROR(VLOOKUP($B:$B,RAW!$A:$L,2,0),"")</f>
        <v>중간기간오류이익</v>
      </c>
      <c r="D181" s="272">
        <f>VLOOKUP($B:$B,입력!$B:$Z,$1:$1,0)/$H$1</f>
        <v>0</v>
      </c>
      <c r="E181" s="272">
        <f>VLOOKUP($B:$B,RAW!$A:$Z,$1:$1,0)</f>
        <v>0</v>
      </c>
      <c r="F181" s="273">
        <f>VLOOKUP($B:$B,입력!$B:$Z,$1:$1,0)/$H$1</f>
        <v>0</v>
      </c>
      <c r="G181" s="273">
        <f>VLOOKUP($B:$B,RAW!$A:$Z,$1:$1,0)</f>
        <v>0</v>
      </c>
      <c r="H181" s="304"/>
      <c r="I181" s="304">
        <f t="shared" si="2"/>
        <v>0</v>
      </c>
      <c r="J181" s="303">
        <f>VLOOKUP($B:$B,입력!$B:$G,$1:$1,0)</f>
        <v>0</v>
      </c>
    </row>
    <row r="182" spans="1:10">
      <c r="A182" s="245" t="s">
        <v>699</v>
      </c>
      <c r="B182" s="254">
        <v>125140</v>
      </c>
      <c r="C182" s="317" t="str">
        <f>IFERROR(VLOOKUP($B:$B,RAW!$A:$L,2,0),"")</f>
        <v>중간기간영업외수익조정</v>
      </c>
      <c r="D182" s="272">
        <f>VLOOKUP($B:$B,입력!$B:$Z,$1:$1,0)/$H$1</f>
        <v>0</v>
      </c>
      <c r="E182" s="272">
        <f>VLOOKUP($B:$B,RAW!$A:$Z,$1:$1,0)</f>
        <v>0</v>
      </c>
      <c r="F182" s="273">
        <f>VLOOKUP($B:$B,입력!$B:$Z,$1:$1,0)/$H$1</f>
        <v>0</v>
      </c>
      <c r="G182" s="273">
        <f>VLOOKUP($B:$B,RAW!$A:$Z,$1:$1,0)</f>
        <v>0</v>
      </c>
      <c r="H182" s="304"/>
      <c r="I182" s="304">
        <f t="shared" si="2"/>
        <v>0</v>
      </c>
      <c r="J182" s="303">
        <f>VLOOKUP($B:$B,입력!$B:$G,$1:$1,0)</f>
        <v>0</v>
      </c>
    </row>
    <row r="183" spans="1:10">
      <c r="A183" s="245" t="s">
        <v>700</v>
      </c>
      <c r="B183" s="254">
        <v>125134</v>
      </c>
      <c r="C183" s="317" t="str">
        <f>IFERROR(VLOOKUP($B:$B,RAW!$A:$L,2,0),"")</f>
        <v>전기오류수정이익</v>
      </c>
      <c r="D183" s="272">
        <f>VLOOKUP($B:$B,입력!$B:$Z,$1:$1,0)/$H$1</f>
        <v>0</v>
      </c>
      <c r="E183" s="272">
        <f>VLOOKUP($B:$B,RAW!$A:$Z,$1:$1,0)</f>
        <v>0</v>
      </c>
      <c r="F183" s="273">
        <f>VLOOKUP($B:$B,입력!$B:$Z,$1:$1,0)/$H$1</f>
        <v>0</v>
      </c>
      <c r="G183" s="273">
        <f>VLOOKUP($B:$B,RAW!$A:$Z,$1:$1,0)</f>
        <v>0</v>
      </c>
      <c r="H183" s="304"/>
      <c r="I183" s="304">
        <f t="shared" si="2"/>
        <v>0</v>
      </c>
      <c r="J183" s="303">
        <f>VLOOKUP($B:$B,입력!$B:$G,$1:$1,0)</f>
        <v>0</v>
      </c>
    </row>
    <row r="184" spans="1:10">
      <c r="A184" s="245" t="s">
        <v>701</v>
      </c>
      <c r="B184" s="254">
        <v>125135</v>
      </c>
      <c r="C184" s="317" t="str">
        <f>IFERROR(VLOOKUP($B:$B,RAW!$A:$L,2,0),"")</f>
        <v>복구충당부채환입액</v>
      </c>
      <c r="D184" s="272">
        <f>VLOOKUP($B:$B,입력!$B:$Z,$1:$1,0)/$H$1</f>
        <v>0</v>
      </c>
      <c r="E184" s="272">
        <f>VLOOKUP($B:$B,RAW!$A:$Z,$1:$1,0)</f>
        <v>0</v>
      </c>
      <c r="F184" s="273">
        <f>VLOOKUP($B:$B,입력!$B:$Z,$1:$1,0)/$H$1</f>
        <v>0</v>
      </c>
      <c r="G184" s="273">
        <f>VLOOKUP($B:$B,RAW!$A:$Z,$1:$1,0)</f>
        <v>0</v>
      </c>
      <c r="H184" s="304"/>
      <c r="I184" s="304">
        <f t="shared" si="2"/>
        <v>0</v>
      </c>
      <c r="J184" s="303">
        <f>VLOOKUP($B:$B,입력!$B:$G,$1:$1,0)</f>
        <v>0</v>
      </c>
    </row>
    <row r="185" spans="1:10">
      <c r="A185" s="245" t="s">
        <v>702</v>
      </c>
      <c r="B185" s="254">
        <v>125136</v>
      </c>
      <c r="C185" s="317" t="str">
        <f>IFERROR(VLOOKUP($B:$B,RAW!$A:$L,2,0),"")</f>
        <v>복구공사이익</v>
      </c>
      <c r="D185" s="272">
        <f>VLOOKUP($B:$B,입력!$B:$Z,$1:$1,0)/$H$1</f>
        <v>0</v>
      </c>
      <c r="E185" s="272">
        <f>VLOOKUP($B:$B,RAW!$A:$Z,$1:$1,0)</f>
        <v>0</v>
      </c>
      <c r="F185" s="273">
        <f>VLOOKUP($B:$B,입력!$B:$Z,$1:$1,0)/$H$1</f>
        <v>0</v>
      </c>
      <c r="G185" s="273">
        <f>VLOOKUP($B:$B,RAW!$A:$Z,$1:$1,0)</f>
        <v>0</v>
      </c>
      <c r="H185" s="304"/>
      <c r="I185" s="304">
        <f t="shared" si="2"/>
        <v>0</v>
      </c>
      <c r="J185" s="303">
        <f>VLOOKUP($B:$B,입력!$B:$G,$1:$1,0)</f>
        <v>0</v>
      </c>
    </row>
    <row r="186" spans="1:10">
      <c r="A186" s="245" t="s">
        <v>703</v>
      </c>
      <c r="B186" s="254">
        <v>125137</v>
      </c>
      <c r="C186" s="317" t="str">
        <f>IFERROR(VLOOKUP($B:$B,RAW!$A:$L,2,0),"")</f>
        <v>유동화수익</v>
      </c>
      <c r="D186" s="272">
        <f>VLOOKUP($B:$B,입력!$B:$Z,$1:$1,0)/$H$1</f>
        <v>0</v>
      </c>
      <c r="E186" s="272">
        <f>VLOOKUP($B:$B,RAW!$A:$Z,$1:$1,0)</f>
        <v>0</v>
      </c>
      <c r="F186" s="273">
        <f>VLOOKUP($B:$B,입력!$B:$Z,$1:$1,0)/$H$1</f>
        <v>0</v>
      </c>
      <c r="G186" s="273">
        <f>VLOOKUP($B:$B,RAW!$A:$Z,$1:$1,0)</f>
        <v>0</v>
      </c>
      <c r="H186" s="304"/>
      <c r="I186" s="304">
        <f t="shared" si="2"/>
        <v>0</v>
      </c>
      <c r="J186" s="303">
        <f>VLOOKUP($B:$B,입력!$B:$G,$1:$1,0)</f>
        <v>0</v>
      </c>
    </row>
    <row r="187" spans="1:10">
      <c r="A187" s="245" t="s">
        <v>704</v>
      </c>
      <c r="B187" s="254">
        <v>125157</v>
      </c>
      <c r="C187" s="317" t="str">
        <f>IFERROR(VLOOKUP($B:$B,RAW!$A:$L,2,0),"")</f>
        <v>자산수증이익</v>
      </c>
      <c r="D187" s="272">
        <f>VLOOKUP($B:$B,입력!$B:$Z,$1:$1,0)/$H$1</f>
        <v>0</v>
      </c>
      <c r="E187" s="272">
        <f>VLOOKUP($B:$B,RAW!$A:$Z,$1:$1,0)</f>
        <v>0</v>
      </c>
      <c r="F187" s="273">
        <f>VLOOKUP($B:$B,입력!$B:$Z,$1:$1,0)/$H$1</f>
        <v>0</v>
      </c>
      <c r="G187" s="273">
        <f>VLOOKUP($B:$B,RAW!$A:$Z,$1:$1,0)</f>
        <v>0</v>
      </c>
      <c r="H187" s="304"/>
      <c r="I187" s="304">
        <f t="shared" si="2"/>
        <v>0</v>
      </c>
      <c r="J187" s="303">
        <f>VLOOKUP($B:$B,입력!$B:$G,$1:$1,0)</f>
        <v>0</v>
      </c>
    </row>
    <row r="188" spans="1:10">
      <c r="A188" s="245" t="s">
        <v>705</v>
      </c>
      <c r="B188" s="254">
        <v>125158</v>
      </c>
      <c r="C188" s="317" t="str">
        <f>IFERROR(VLOOKUP($B:$B,RAW!$A:$L,2,0),"")</f>
        <v>채무면제이익</v>
      </c>
      <c r="D188" s="272">
        <f>VLOOKUP($B:$B,입력!$B:$Z,$1:$1,0)/$H$1</f>
        <v>0</v>
      </c>
      <c r="E188" s="272">
        <f>VLOOKUP($B:$B,RAW!$A:$Z,$1:$1,0)</f>
        <v>0</v>
      </c>
      <c r="F188" s="273">
        <f>VLOOKUP($B:$B,입력!$B:$Z,$1:$1,0)/$H$1</f>
        <v>0</v>
      </c>
      <c r="G188" s="273">
        <f>VLOOKUP($B:$B,RAW!$A:$Z,$1:$1,0)</f>
        <v>0</v>
      </c>
      <c r="H188" s="304"/>
      <c r="I188" s="304">
        <f t="shared" si="2"/>
        <v>0</v>
      </c>
      <c r="J188" s="303">
        <f>VLOOKUP($B:$B,입력!$B:$G,$1:$1,0)</f>
        <v>0</v>
      </c>
    </row>
    <row r="189" spans="1:10">
      <c r="A189" s="245" t="s">
        <v>706</v>
      </c>
      <c r="B189" s="254">
        <v>125154</v>
      </c>
      <c r="C189" s="317" t="str">
        <f>IFERROR(VLOOKUP($B:$B,RAW!$A:$L,2,0),"")</f>
        <v>해외사업환산이익환입</v>
      </c>
      <c r="D189" s="272">
        <f>VLOOKUP($B:$B,입력!$B:$Z,$1:$1,0)/$H$1</f>
        <v>0</v>
      </c>
      <c r="E189" s="272">
        <f>VLOOKUP($B:$B,RAW!$A:$Z,$1:$1,0)</f>
        <v>0</v>
      </c>
      <c r="F189" s="273">
        <f>VLOOKUP($B:$B,입력!$B:$Z,$1:$1,0)/$H$1</f>
        <v>0</v>
      </c>
      <c r="G189" s="273">
        <f>VLOOKUP($B:$B,RAW!$A:$Z,$1:$1,0)</f>
        <v>0</v>
      </c>
      <c r="H189" s="304"/>
      <c r="I189" s="304">
        <f t="shared" si="2"/>
        <v>0</v>
      </c>
      <c r="J189" s="303">
        <f>VLOOKUP($B:$B,입력!$B:$G,$1:$1,0)</f>
        <v>0</v>
      </c>
    </row>
    <row r="190" spans="1:10">
      <c r="A190" s="245" t="s">
        <v>707</v>
      </c>
      <c r="B190" s="254">
        <v>125115</v>
      </c>
      <c r="C190" s="317" t="str">
        <f>IFERROR(VLOOKUP($B:$B,RAW!$A:$L,2,0),"")</f>
        <v>기타영업외수익</v>
      </c>
      <c r="D190" s="272">
        <f>VLOOKUP($B:$B,입력!$B:$Z,$1:$1,0)/$H$1</f>
        <v>13908.84</v>
      </c>
      <c r="E190" s="272">
        <f>VLOOKUP($B:$B,RAW!$A:$Z,$1:$1,0)</f>
        <v>0</v>
      </c>
      <c r="F190" s="273">
        <f>VLOOKUP($B:$B,입력!$B:$Z,$1:$1,0)/$H$1</f>
        <v>0</v>
      </c>
      <c r="G190" s="273">
        <f>VLOOKUP($B:$B,RAW!$A:$Z,$1:$1,0)</f>
        <v>103714</v>
      </c>
      <c r="H190" s="304"/>
      <c r="I190" s="304">
        <f t="shared" si="2"/>
        <v>103714</v>
      </c>
      <c r="J190" s="303" t="str">
        <f>VLOOKUP($B:$B,입력!$B:$G,$1:$1,0)</f>
        <v>잡이익, 유형자산 처분이익</v>
      </c>
    </row>
    <row r="191" spans="1:10">
      <c r="A191" s="245" t="s">
        <v>13</v>
      </c>
      <c r="B191" s="258">
        <v>126000</v>
      </c>
      <c r="C191" s="285" t="str">
        <f>IFERROR(VLOOKUP($B:$B,RAW!$A:$L,2,0),"")</f>
        <v>영업외비용</v>
      </c>
      <c r="D191" s="268">
        <f>VLOOKUP($B:$B,입력!$B:$Z,$1:$1,0)/$H$1</f>
        <v>7051287.6059999997</v>
      </c>
      <c r="E191" s="268">
        <f>VLOOKUP($B:$B,RAW!$A:$Z,$1:$1,0)</f>
        <v>0</v>
      </c>
      <c r="F191" s="269">
        <f>VLOOKUP($B:$B,입력!$B:$Z,$1:$1,0)/$H$1</f>
        <v>0</v>
      </c>
      <c r="G191" s="269">
        <f>VLOOKUP($B:$B,RAW!$A:$Z,$1:$1,0)</f>
        <v>349761</v>
      </c>
      <c r="H191" s="304"/>
      <c r="I191" s="304">
        <f t="shared" si="2"/>
        <v>349761</v>
      </c>
      <c r="J191" s="303">
        <f>VLOOKUP($B:$B,입력!$B:$G,$1:$1,0)</f>
        <v>0</v>
      </c>
    </row>
    <row r="192" spans="1:10">
      <c r="A192" s="245" t="s">
        <v>708</v>
      </c>
      <c r="B192" s="254">
        <v>126110</v>
      </c>
      <c r="C192" s="317" t="str">
        <f>IFERROR(VLOOKUP($B:$B,RAW!$A:$L,2,0),"")</f>
        <v>이자비용</v>
      </c>
      <c r="D192" s="272">
        <f>VLOOKUP($B:$B,입력!$B:$Z,$1:$1,0)/$H$1</f>
        <v>6101098.3300000001</v>
      </c>
      <c r="E192" s="272">
        <f>VLOOKUP($B:$B,RAW!$A:$Z,$1:$1,0)</f>
        <v>0</v>
      </c>
      <c r="F192" s="273">
        <f>VLOOKUP($B:$B,입력!$B:$Z,$1:$1,0)/$H$1</f>
        <v>0</v>
      </c>
      <c r="G192" s="273">
        <f>VLOOKUP($B:$B,RAW!$A:$Z,$1:$1,0)</f>
        <v>136508</v>
      </c>
      <c r="H192" s="304"/>
      <c r="I192" s="304">
        <f t="shared" si="2"/>
        <v>136508</v>
      </c>
      <c r="J192" s="303">
        <f>VLOOKUP($B:$B,입력!$B:$G,$1:$1,0)</f>
        <v>0</v>
      </c>
    </row>
    <row r="193" spans="1:10">
      <c r="A193" s="245" t="s">
        <v>709</v>
      </c>
      <c r="B193" s="254">
        <v>126120</v>
      </c>
      <c r="C193" s="317" t="str">
        <f>IFERROR(VLOOKUP($B:$B,RAW!$A:$L,2,0),"")</f>
        <v>사채이자</v>
      </c>
      <c r="D193" s="272">
        <f>VLOOKUP($B:$B,입력!$B:$Z,$1:$1,0)/$H$1</f>
        <v>0</v>
      </c>
      <c r="E193" s="272">
        <f>VLOOKUP($B:$B,RAW!$A:$Z,$1:$1,0)</f>
        <v>0</v>
      </c>
      <c r="F193" s="273">
        <f>VLOOKUP($B:$B,입력!$B:$Z,$1:$1,0)/$H$1</f>
        <v>0</v>
      </c>
      <c r="G193" s="273">
        <f>VLOOKUP($B:$B,RAW!$A:$Z,$1:$1,0)</f>
        <v>0</v>
      </c>
      <c r="H193" s="304"/>
      <c r="I193" s="304">
        <f t="shared" si="2"/>
        <v>0</v>
      </c>
      <c r="J193" s="303">
        <f>VLOOKUP($B:$B,입력!$B:$G,$1:$1,0)</f>
        <v>0</v>
      </c>
    </row>
    <row r="194" spans="1:10">
      <c r="A194" s="245" t="s">
        <v>710</v>
      </c>
      <c r="B194" s="254">
        <v>126121</v>
      </c>
      <c r="C194" s="317" t="str">
        <f>IFERROR(VLOOKUP($B:$B,RAW!$A:$L,2,0),"")</f>
        <v>단기투자자산처분손실</v>
      </c>
      <c r="D194" s="272">
        <f>VLOOKUP($B:$B,입력!$B:$Z,$1:$1,0)/$H$1</f>
        <v>0</v>
      </c>
      <c r="E194" s="272">
        <f>VLOOKUP($B:$B,RAW!$A:$Z,$1:$1,0)</f>
        <v>0</v>
      </c>
      <c r="F194" s="273">
        <f>VLOOKUP($B:$B,입력!$B:$Z,$1:$1,0)/$H$1</f>
        <v>0</v>
      </c>
      <c r="G194" s="273">
        <f>VLOOKUP($B:$B,RAW!$A:$Z,$1:$1,0)</f>
        <v>0</v>
      </c>
      <c r="H194" s="304"/>
      <c r="I194" s="304">
        <f t="shared" si="2"/>
        <v>0</v>
      </c>
      <c r="J194" s="303">
        <f>VLOOKUP($B:$B,입력!$B:$G,$1:$1,0)</f>
        <v>0</v>
      </c>
    </row>
    <row r="195" spans="1:10">
      <c r="A195" s="245" t="s">
        <v>711</v>
      </c>
      <c r="B195" s="254">
        <v>126122</v>
      </c>
      <c r="C195" s="317" t="str">
        <f>IFERROR(VLOOKUP($B:$B,RAW!$A:$L,2,0),"")</f>
        <v>장기투자자산처분손실</v>
      </c>
      <c r="D195" s="272">
        <f>VLOOKUP($B:$B,입력!$B:$Z,$1:$1,0)/$H$1</f>
        <v>0</v>
      </c>
      <c r="E195" s="272">
        <f>VLOOKUP($B:$B,RAW!$A:$Z,$1:$1,0)</f>
        <v>0</v>
      </c>
      <c r="F195" s="273">
        <f>VLOOKUP($B:$B,입력!$B:$Z,$1:$1,0)/$H$1</f>
        <v>0</v>
      </c>
      <c r="G195" s="273">
        <f>VLOOKUP($B:$B,RAW!$A:$Z,$1:$1,0)</f>
        <v>0</v>
      </c>
      <c r="H195" s="304"/>
      <c r="I195" s="304">
        <f t="shared" si="2"/>
        <v>0</v>
      </c>
      <c r="J195" s="303">
        <f>VLOOKUP($B:$B,입력!$B:$G,$1:$1,0)</f>
        <v>0</v>
      </c>
    </row>
    <row r="196" spans="1:10">
      <c r="A196" s="245" t="s">
        <v>712</v>
      </c>
      <c r="B196" s="254">
        <v>126131</v>
      </c>
      <c r="C196" s="317" t="str">
        <f>IFERROR(VLOOKUP($B:$B,RAW!$A:$L,2,0),"")</f>
        <v>단기금융상품처분손실</v>
      </c>
      <c r="D196" s="272">
        <f>VLOOKUP($B:$B,입력!$B:$Z,$1:$1,0)/$H$1</f>
        <v>0</v>
      </c>
      <c r="E196" s="272">
        <f>VLOOKUP($B:$B,RAW!$A:$Z,$1:$1,0)</f>
        <v>0</v>
      </c>
      <c r="F196" s="273">
        <f>VLOOKUP($B:$B,입력!$B:$Z,$1:$1,0)/$H$1</f>
        <v>0</v>
      </c>
      <c r="G196" s="273">
        <f>VLOOKUP($B:$B,RAW!$A:$Z,$1:$1,0)</f>
        <v>0</v>
      </c>
      <c r="H196" s="304"/>
      <c r="I196" s="304">
        <f t="shared" si="2"/>
        <v>0</v>
      </c>
      <c r="J196" s="303">
        <f>VLOOKUP($B:$B,입력!$B:$G,$1:$1,0)</f>
        <v>0</v>
      </c>
    </row>
    <row r="197" spans="1:10">
      <c r="A197" s="245" t="s">
        <v>713</v>
      </c>
      <c r="B197" s="254">
        <v>126144</v>
      </c>
      <c r="C197" s="317" t="str">
        <f>IFERROR(VLOOKUP($B:$B,RAW!$A:$L,2,0),"")</f>
        <v>단기매매증권처분손실</v>
      </c>
      <c r="D197" s="272">
        <f>VLOOKUP($B:$B,입력!$B:$Z,$1:$1,0)/$H$1</f>
        <v>0</v>
      </c>
      <c r="E197" s="272">
        <f>VLOOKUP($B:$B,RAW!$A:$Z,$1:$1,0)</f>
        <v>0</v>
      </c>
      <c r="F197" s="273">
        <f>VLOOKUP($B:$B,입력!$B:$Z,$1:$1,0)/$H$1</f>
        <v>0</v>
      </c>
      <c r="G197" s="273">
        <f>VLOOKUP($B:$B,RAW!$A:$Z,$1:$1,0)</f>
        <v>0</v>
      </c>
      <c r="H197" s="304"/>
      <c r="I197" s="304">
        <f t="shared" si="2"/>
        <v>0</v>
      </c>
      <c r="J197" s="303">
        <f>VLOOKUP($B:$B,입력!$B:$G,$1:$1,0)</f>
        <v>0</v>
      </c>
    </row>
    <row r="198" spans="1:10">
      <c r="A198" s="245" t="s">
        <v>714</v>
      </c>
      <c r="B198" s="254">
        <v>126123</v>
      </c>
      <c r="C198" s="317" t="str">
        <f>IFERROR(VLOOKUP($B:$B,RAW!$A:$L,2,0),"")</f>
        <v>지분법주식처분손실</v>
      </c>
      <c r="D198" s="272">
        <f>VLOOKUP($B:$B,입력!$B:$Z,$1:$1,0)/$H$1</f>
        <v>0</v>
      </c>
      <c r="E198" s="272">
        <f>VLOOKUP($B:$B,RAW!$A:$Z,$1:$1,0)</f>
        <v>0</v>
      </c>
      <c r="F198" s="273">
        <f>VLOOKUP($B:$B,입력!$B:$Z,$1:$1,0)/$H$1</f>
        <v>0</v>
      </c>
      <c r="G198" s="273">
        <f>VLOOKUP($B:$B,RAW!$A:$Z,$1:$1,0)</f>
        <v>0</v>
      </c>
      <c r="H198" s="304"/>
      <c r="I198" s="304">
        <f t="shared" si="2"/>
        <v>0</v>
      </c>
      <c r="J198" s="303">
        <f>VLOOKUP($B:$B,입력!$B:$G,$1:$1,0)</f>
        <v>0</v>
      </c>
    </row>
    <row r="199" spans="1:10">
      <c r="A199" s="245" t="s">
        <v>715</v>
      </c>
      <c r="B199" s="254">
        <v>126140</v>
      </c>
      <c r="C199" s="317" t="str">
        <f>IFERROR(VLOOKUP($B:$B,RAW!$A:$L,2,0),"")</f>
        <v>기타장단기투자증권처분손실</v>
      </c>
      <c r="D199" s="272">
        <f>VLOOKUP($B:$B,입력!$B:$Z,$1:$1,0)/$H$1</f>
        <v>0</v>
      </c>
      <c r="E199" s="272">
        <f>VLOOKUP($B:$B,RAW!$A:$Z,$1:$1,0)</f>
        <v>0</v>
      </c>
      <c r="F199" s="273">
        <f>VLOOKUP($B:$B,입력!$B:$Z,$1:$1,0)/$H$1</f>
        <v>0</v>
      </c>
      <c r="G199" s="273">
        <f>VLOOKUP($B:$B,RAW!$A:$Z,$1:$1,0)</f>
        <v>0</v>
      </c>
      <c r="H199" s="304"/>
      <c r="I199" s="304">
        <f t="shared" si="2"/>
        <v>0</v>
      </c>
      <c r="J199" s="303">
        <f>VLOOKUP($B:$B,입력!$B:$G,$1:$1,0)</f>
        <v>0</v>
      </c>
    </row>
    <row r="200" spans="1:10">
      <c r="A200" s="245" t="s">
        <v>716</v>
      </c>
      <c r="B200" s="254">
        <v>126132</v>
      </c>
      <c r="C200" s="317" t="str">
        <f>IFERROR(VLOOKUP($B:$B,RAW!$A:$L,2,0),"")</f>
        <v>매출채권처분손실</v>
      </c>
      <c r="D200" s="272">
        <f>VLOOKUP($B:$B,입력!$B:$Z,$1:$1,0)/$H$1</f>
        <v>0</v>
      </c>
      <c r="E200" s="272">
        <f>VLOOKUP($B:$B,RAW!$A:$Z,$1:$1,0)</f>
        <v>0</v>
      </c>
      <c r="F200" s="273">
        <f>VLOOKUP($B:$B,입력!$B:$Z,$1:$1,0)/$H$1</f>
        <v>0</v>
      </c>
      <c r="G200" s="273">
        <f>VLOOKUP($B:$B,RAW!$A:$Z,$1:$1,0)</f>
        <v>0</v>
      </c>
      <c r="H200" s="304"/>
      <c r="I200" s="304">
        <f t="shared" si="2"/>
        <v>0</v>
      </c>
      <c r="J200" s="303">
        <f>VLOOKUP($B:$B,입력!$B:$G,$1:$1,0)</f>
        <v>0</v>
      </c>
    </row>
    <row r="201" spans="1:10">
      <c r="A201" s="245" t="s">
        <v>717</v>
      </c>
      <c r="B201" s="254">
        <v>126133</v>
      </c>
      <c r="C201" s="317" t="str">
        <f>IFERROR(VLOOKUP($B:$B,RAW!$A:$L,2,0),"")</f>
        <v>임대주택자산처분손실</v>
      </c>
      <c r="D201" s="272">
        <f>VLOOKUP($B:$B,입력!$B:$Z,$1:$1,0)/$H$1</f>
        <v>0</v>
      </c>
      <c r="E201" s="272">
        <f>VLOOKUP($B:$B,RAW!$A:$Z,$1:$1,0)</f>
        <v>0</v>
      </c>
      <c r="F201" s="273">
        <f>VLOOKUP($B:$B,입력!$B:$Z,$1:$1,0)/$H$1</f>
        <v>0</v>
      </c>
      <c r="G201" s="273">
        <f>VLOOKUP($B:$B,RAW!$A:$Z,$1:$1,0)</f>
        <v>0</v>
      </c>
      <c r="H201" s="304"/>
      <c r="I201" s="304">
        <f t="shared" si="2"/>
        <v>0</v>
      </c>
      <c r="J201" s="303">
        <f>VLOOKUP($B:$B,입력!$B:$G,$1:$1,0)</f>
        <v>0</v>
      </c>
    </row>
    <row r="202" spans="1:10">
      <c r="A202" s="245" t="s">
        <v>718</v>
      </c>
      <c r="B202" s="254">
        <v>126141</v>
      </c>
      <c r="C202" s="317" t="str">
        <f>IFERROR(VLOOKUP($B:$B,RAW!$A:$L,2,0),"")</f>
        <v>신주인수권처분손실</v>
      </c>
      <c r="D202" s="272">
        <f>VLOOKUP($B:$B,입력!$B:$Z,$1:$1,0)/$H$1</f>
        <v>0</v>
      </c>
      <c r="E202" s="272">
        <f>VLOOKUP($B:$B,RAW!$A:$Z,$1:$1,0)</f>
        <v>0</v>
      </c>
      <c r="F202" s="273">
        <f>VLOOKUP($B:$B,입력!$B:$Z,$1:$1,0)/$H$1</f>
        <v>0</v>
      </c>
      <c r="G202" s="273">
        <f>VLOOKUP($B:$B,RAW!$A:$Z,$1:$1,0)</f>
        <v>0</v>
      </c>
      <c r="H202" s="304"/>
      <c r="I202" s="304">
        <f t="shared" ref="I202:I246" si="3">IFERROR(G202-F202,"")</f>
        <v>0</v>
      </c>
      <c r="J202" s="303">
        <f>VLOOKUP($B:$B,입력!$B:$G,$1:$1,0)</f>
        <v>0</v>
      </c>
    </row>
    <row r="203" spans="1:10">
      <c r="A203" s="245" t="s">
        <v>719</v>
      </c>
      <c r="B203" s="254">
        <v>126150</v>
      </c>
      <c r="C203" s="317" t="str">
        <f>IFERROR(VLOOKUP($B:$B,RAW!$A:$L,2,0),"")</f>
        <v>기부금</v>
      </c>
      <c r="D203" s="272">
        <f>VLOOKUP($B:$B,입력!$B:$Z,$1:$1,0)/$H$1</f>
        <v>6534</v>
      </c>
      <c r="E203" s="272">
        <f>VLOOKUP($B:$B,RAW!$A:$Z,$1:$1,0)</f>
        <v>0</v>
      </c>
      <c r="F203" s="273">
        <f>VLOOKUP($B:$B,입력!$B:$Z,$1:$1,0)/$H$1</f>
        <v>0</v>
      </c>
      <c r="G203" s="273">
        <f>VLOOKUP($B:$B,RAW!$A:$Z,$1:$1,0)</f>
        <v>2577</v>
      </c>
      <c r="H203" s="304"/>
      <c r="I203" s="304">
        <f t="shared" si="3"/>
        <v>2577</v>
      </c>
      <c r="J203" s="303">
        <f>VLOOKUP($B:$B,입력!$B:$G,$1:$1,0)</f>
        <v>0</v>
      </c>
    </row>
    <row r="204" spans="1:10">
      <c r="A204" s="245" t="s">
        <v>720</v>
      </c>
      <c r="B204" s="254">
        <v>126160</v>
      </c>
      <c r="C204" s="317" t="str">
        <f>IFERROR(VLOOKUP($B:$B,RAW!$A:$L,2,0),"")</f>
        <v>외환차손</v>
      </c>
      <c r="D204" s="272">
        <f>VLOOKUP($B:$B,입력!$B:$Z,$1:$1,0)/$H$1</f>
        <v>34606.345999999998</v>
      </c>
      <c r="E204" s="272">
        <f>VLOOKUP($B:$B,RAW!$A:$Z,$1:$1,0)</f>
        <v>0</v>
      </c>
      <c r="F204" s="273">
        <f>VLOOKUP($B:$B,입력!$B:$Z,$1:$1,0)/$H$1</f>
        <v>0</v>
      </c>
      <c r="G204" s="273">
        <f>VLOOKUP($B:$B,RAW!$A:$Z,$1:$1,0)</f>
        <v>23540</v>
      </c>
      <c r="H204" s="304"/>
      <c r="I204" s="304">
        <f t="shared" si="3"/>
        <v>23540</v>
      </c>
      <c r="J204" s="303">
        <f>VLOOKUP($B:$B,입력!$B:$G,$1:$1,0)</f>
        <v>0</v>
      </c>
    </row>
    <row r="205" spans="1:10">
      <c r="A205" s="245" t="s">
        <v>721</v>
      </c>
      <c r="B205" s="254">
        <v>126161</v>
      </c>
      <c r="C205" s="317" t="str">
        <f>IFERROR(VLOOKUP($B:$B,RAW!$A:$L,2,0),"")</f>
        <v>파생상품거래손실</v>
      </c>
      <c r="D205" s="272">
        <f>VLOOKUP($B:$B,입력!$B:$Z,$1:$1,0)/$H$1</f>
        <v>0</v>
      </c>
      <c r="E205" s="272">
        <f>VLOOKUP($B:$B,RAW!$A:$Z,$1:$1,0)</f>
        <v>0</v>
      </c>
      <c r="F205" s="273">
        <f>VLOOKUP($B:$B,입력!$B:$Z,$1:$1,0)/$H$1</f>
        <v>0</v>
      </c>
      <c r="G205" s="273">
        <f>VLOOKUP($B:$B,RAW!$A:$Z,$1:$1,0)</f>
        <v>0</v>
      </c>
      <c r="H205" s="304"/>
      <c r="I205" s="304">
        <f t="shared" si="3"/>
        <v>0</v>
      </c>
      <c r="J205" s="303">
        <f>VLOOKUP($B:$B,입력!$B:$G,$1:$1,0)</f>
        <v>0</v>
      </c>
    </row>
    <row r="206" spans="1:10">
      <c r="A206" s="245" t="s">
        <v>722</v>
      </c>
      <c r="B206" s="254">
        <v>126162</v>
      </c>
      <c r="C206" s="317" t="str">
        <f>IFERROR(VLOOKUP($B:$B,RAW!$A:$L,2,0),"")</f>
        <v>파생상품거래차상각</v>
      </c>
      <c r="D206" s="272">
        <f>VLOOKUP($B:$B,입력!$B:$Z,$1:$1,0)/$H$1</f>
        <v>0</v>
      </c>
      <c r="E206" s="272">
        <f>VLOOKUP($B:$B,RAW!$A:$Z,$1:$1,0)</f>
        <v>0</v>
      </c>
      <c r="F206" s="273">
        <f>VLOOKUP($B:$B,입력!$B:$Z,$1:$1,0)/$H$1</f>
        <v>0</v>
      </c>
      <c r="G206" s="273">
        <f>VLOOKUP($B:$B,RAW!$A:$Z,$1:$1,0)</f>
        <v>0</v>
      </c>
      <c r="H206" s="304"/>
      <c r="I206" s="304">
        <f t="shared" si="3"/>
        <v>0</v>
      </c>
      <c r="J206" s="303">
        <f>VLOOKUP($B:$B,입력!$B:$G,$1:$1,0)</f>
        <v>0</v>
      </c>
    </row>
    <row r="207" spans="1:10">
      <c r="A207" s="245" t="s">
        <v>723</v>
      </c>
      <c r="B207" s="254">
        <v>126163</v>
      </c>
      <c r="C207" s="317" t="str">
        <f>IFERROR(VLOOKUP($B:$B,RAW!$A:$L,2,0),"")</f>
        <v>파생상품평가손실</v>
      </c>
      <c r="D207" s="272">
        <f>VLOOKUP($B:$B,입력!$B:$Z,$1:$1,0)/$H$1</f>
        <v>0</v>
      </c>
      <c r="E207" s="272">
        <f>VLOOKUP($B:$B,RAW!$A:$Z,$1:$1,0)</f>
        <v>0</v>
      </c>
      <c r="F207" s="273">
        <f>VLOOKUP($B:$B,입력!$B:$Z,$1:$1,0)/$H$1</f>
        <v>0</v>
      </c>
      <c r="G207" s="273">
        <f>VLOOKUP($B:$B,RAW!$A:$Z,$1:$1,0)</f>
        <v>0</v>
      </c>
      <c r="H207" s="304"/>
      <c r="I207" s="304">
        <f t="shared" si="3"/>
        <v>0</v>
      </c>
      <c r="J207" s="303">
        <f>VLOOKUP($B:$B,입력!$B:$G,$1:$1,0)</f>
        <v>0</v>
      </c>
    </row>
    <row r="208" spans="1:10">
      <c r="A208" s="245" t="s">
        <v>724</v>
      </c>
      <c r="B208" s="254">
        <v>126170</v>
      </c>
      <c r="C208" s="317" t="str">
        <f>IFERROR(VLOOKUP($B:$B,RAW!$A:$L,2,0),"")</f>
        <v>자산평가손실</v>
      </c>
      <c r="D208" s="272">
        <f>VLOOKUP($B:$B,입력!$B:$Z,$1:$1,0)/$H$1</f>
        <v>0</v>
      </c>
      <c r="E208" s="272">
        <f>VLOOKUP($B:$B,RAW!$A:$Z,$1:$1,0)</f>
        <v>0</v>
      </c>
      <c r="F208" s="273">
        <f>VLOOKUP($B:$B,입력!$B:$Z,$1:$1,0)/$H$1</f>
        <v>0</v>
      </c>
      <c r="G208" s="273">
        <f>VLOOKUP($B:$B,RAW!$A:$Z,$1:$1,0)</f>
        <v>0</v>
      </c>
      <c r="H208" s="304"/>
      <c r="I208" s="304">
        <f t="shared" si="3"/>
        <v>0</v>
      </c>
      <c r="J208" s="303">
        <f>VLOOKUP($B:$B,입력!$B:$G,$1:$1,0)</f>
        <v>0</v>
      </c>
    </row>
    <row r="209" spans="1:10">
      <c r="A209" s="245" t="s">
        <v>725</v>
      </c>
      <c r="B209" s="254">
        <v>126174</v>
      </c>
      <c r="C209" s="317" t="str">
        <f>IFERROR(VLOOKUP($B:$B,RAW!$A:$L,2,0),"")</f>
        <v>외화환산손실</v>
      </c>
      <c r="D209" s="272">
        <f>VLOOKUP($B:$B,입력!$B:$Z,$1:$1,0)/$H$1</f>
        <v>880842.59199999995</v>
      </c>
      <c r="E209" s="272">
        <f>VLOOKUP($B:$B,RAW!$A:$Z,$1:$1,0)</f>
        <v>0</v>
      </c>
      <c r="F209" s="273">
        <f>VLOOKUP($B:$B,입력!$B:$Z,$1:$1,0)/$H$1</f>
        <v>0</v>
      </c>
      <c r="G209" s="273">
        <f>VLOOKUP($B:$B,RAW!$A:$Z,$1:$1,0)</f>
        <v>0</v>
      </c>
      <c r="H209" s="304"/>
      <c r="I209" s="304">
        <f t="shared" si="3"/>
        <v>0</v>
      </c>
      <c r="J209" s="303">
        <f>VLOOKUP($B:$B,입력!$B:$G,$1:$1,0)</f>
        <v>0</v>
      </c>
    </row>
    <row r="210" spans="1:10">
      <c r="A210" s="245" t="s">
        <v>726</v>
      </c>
      <c r="B210" s="254">
        <v>126180</v>
      </c>
      <c r="C210" s="317" t="str">
        <f>IFERROR(VLOOKUP($B:$B,RAW!$A:$L,2,0),"")</f>
        <v>매출할인</v>
      </c>
      <c r="D210" s="272">
        <f>VLOOKUP($B:$B,입력!$B:$Z,$1:$1,0)/$H$1</f>
        <v>0</v>
      </c>
      <c r="E210" s="272">
        <f>VLOOKUP($B:$B,RAW!$A:$Z,$1:$1,0)</f>
        <v>0</v>
      </c>
      <c r="F210" s="273">
        <f>VLOOKUP($B:$B,입력!$B:$Z,$1:$1,0)/$H$1</f>
        <v>0</v>
      </c>
      <c r="G210" s="273">
        <f>VLOOKUP($B:$B,RAW!$A:$Z,$1:$1,0)</f>
        <v>0</v>
      </c>
      <c r="H210" s="304"/>
      <c r="I210" s="304">
        <f t="shared" si="3"/>
        <v>0</v>
      </c>
      <c r="J210" s="303">
        <f>VLOOKUP($B:$B,입력!$B:$G,$1:$1,0)</f>
        <v>0</v>
      </c>
    </row>
    <row r="211" spans="1:10">
      <c r="A211" s="245" t="s">
        <v>1449</v>
      </c>
      <c r="B211" s="254">
        <v>126181</v>
      </c>
      <c r="C211" s="317" t="str">
        <f>IFERROR(VLOOKUP($B:$B,RAW!$A:$L,2,0),"")</f>
        <v>수수료비용X</v>
      </c>
      <c r="D211" s="272">
        <f>VLOOKUP($B:$B,입력!$B:$Z,$1:$1,0)/$H$1</f>
        <v>0</v>
      </c>
      <c r="E211" s="272">
        <f>VLOOKUP($B:$B,RAW!$A:$Z,$1:$1,0)</f>
        <v>0</v>
      </c>
      <c r="F211" s="273">
        <f>VLOOKUP($B:$B,입력!$B:$Z,$1:$1,0)/$H$1</f>
        <v>0</v>
      </c>
      <c r="G211" s="273">
        <f>VLOOKUP($B:$B,RAW!$A:$Z,$1:$1,0)</f>
        <v>0</v>
      </c>
      <c r="H211" s="304"/>
      <c r="I211" s="304">
        <f t="shared" si="3"/>
        <v>0</v>
      </c>
      <c r="J211" s="303">
        <f>VLOOKUP($B:$B,입력!$B:$G,$1:$1,0)</f>
        <v>0</v>
      </c>
    </row>
    <row r="212" spans="1:10">
      <c r="A212" s="245" t="s">
        <v>727</v>
      </c>
      <c r="B212" s="254">
        <v>126200</v>
      </c>
      <c r="C212" s="317" t="str">
        <f>IFERROR(VLOOKUP($B:$B,RAW!$A:$L,2,0),"")</f>
        <v>원가차손</v>
      </c>
      <c r="D212" s="272">
        <f>VLOOKUP($B:$B,입력!$B:$Z,$1:$1,0)/$H$1</f>
        <v>0</v>
      </c>
      <c r="E212" s="272">
        <f>VLOOKUP($B:$B,RAW!$A:$Z,$1:$1,0)</f>
        <v>0</v>
      </c>
      <c r="F212" s="273">
        <f>VLOOKUP($B:$B,입력!$B:$Z,$1:$1,0)/$H$1</f>
        <v>0</v>
      </c>
      <c r="G212" s="273">
        <f>VLOOKUP($B:$B,RAW!$A:$Z,$1:$1,0)</f>
        <v>0</v>
      </c>
      <c r="H212" s="304"/>
      <c r="I212" s="304">
        <f t="shared" si="3"/>
        <v>0</v>
      </c>
      <c r="J212" s="303">
        <f>VLOOKUP($B:$B,입력!$B:$G,$1:$1,0)</f>
        <v>0</v>
      </c>
    </row>
    <row r="213" spans="1:10">
      <c r="A213" s="245" t="s">
        <v>728</v>
      </c>
      <c r="B213" s="254">
        <v>126240</v>
      </c>
      <c r="C213" s="317" t="str">
        <f>IFERROR(VLOOKUP($B:$B,RAW!$A:$L,2,0),"")</f>
        <v>기타대손상각비</v>
      </c>
      <c r="D213" s="272">
        <f>VLOOKUP($B:$B,입력!$B:$Z,$1:$1,0)/$H$1</f>
        <v>0</v>
      </c>
      <c r="E213" s="272">
        <f>VLOOKUP($B:$B,RAW!$A:$Z,$1:$1,0)</f>
        <v>0</v>
      </c>
      <c r="F213" s="273">
        <f>VLOOKUP($B:$B,입력!$B:$Z,$1:$1,0)/$H$1</f>
        <v>0</v>
      </c>
      <c r="G213" s="273">
        <f>VLOOKUP($B:$B,RAW!$A:$Z,$1:$1,0)</f>
        <v>0</v>
      </c>
      <c r="H213" s="304"/>
      <c r="I213" s="304">
        <f t="shared" si="3"/>
        <v>0</v>
      </c>
      <c r="J213" s="303">
        <f>VLOOKUP($B:$B,입력!$B:$G,$1:$1,0)</f>
        <v>0</v>
      </c>
    </row>
    <row r="214" spans="1:10">
      <c r="A214" s="245" t="s">
        <v>612</v>
      </c>
      <c r="B214" s="254">
        <v>126245</v>
      </c>
      <c r="C214" s="317" t="str">
        <f>IFERROR(VLOOKUP($B:$B,RAW!$A:$L,2,0),"")</f>
        <v>감가상각비X</v>
      </c>
      <c r="D214" s="272">
        <f>VLOOKUP($B:$B,입력!$B:$Z,$1:$1,0)/$H$1</f>
        <v>0</v>
      </c>
      <c r="E214" s="272">
        <f>VLOOKUP($B:$B,RAW!$A:$Z,$1:$1,0)</f>
        <v>0</v>
      </c>
      <c r="F214" s="273">
        <f>VLOOKUP($B:$B,입력!$B:$Z,$1:$1,0)/$H$1</f>
        <v>0</v>
      </c>
      <c r="G214" s="273">
        <f>VLOOKUP($B:$B,RAW!$A:$Z,$1:$1,0)</f>
        <v>0</v>
      </c>
      <c r="H214" s="304"/>
      <c r="I214" s="304">
        <f t="shared" si="3"/>
        <v>0</v>
      </c>
      <c r="J214" s="303">
        <f>VLOOKUP($B:$B,입력!$B:$G,$1:$1,0)</f>
        <v>0</v>
      </c>
    </row>
    <row r="215" spans="1:10">
      <c r="A215" s="245" t="s">
        <v>729</v>
      </c>
      <c r="B215" s="254">
        <v>126260</v>
      </c>
      <c r="C215" s="317" t="str">
        <f>IFERROR(VLOOKUP($B:$B,RAW!$A:$L,2,0),"")</f>
        <v>유,무형,리스자산처분손실</v>
      </c>
      <c r="D215" s="272">
        <f>VLOOKUP($B:$B,입력!$B:$Z,$1:$1,0)/$H$1</f>
        <v>0</v>
      </c>
      <c r="E215" s="272">
        <f>VLOOKUP($B:$B,RAW!$A:$Z,$1:$1,0)</f>
        <v>0</v>
      </c>
      <c r="F215" s="273">
        <f>VLOOKUP($B:$B,입력!$B:$Z,$1:$1,0)/$H$1</f>
        <v>0</v>
      </c>
      <c r="G215" s="273">
        <f>VLOOKUP($B:$B,RAW!$A:$Z,$1:$1,0)</f>
        <v>0</v>
      </c>
      <c r="H215" s="304"/>
      <c r="I215" s="304">
        <f>IFERROR(G215-F215,"")</f>
        <v>0</v>
      </c>
      <c r="J215" s="303">
        <f>VLOOKUP($B:$B,입력!$B:$G,$1:$1,0)</f>
        <v>0</v>
      </c>
    </row>
    <row r="216" spans="1:10">
      <c r="A216" s="245" t="s">
        <v>730</v>
      </c>
      <c r="B216" s="254">
        <v>126270</v>
      </c>
      <c r="C216" s="317" t="str">
        <f>IFERROR(VLOOKUP($B:$B,RAW!$A:$L,2,0),"")</f>
        <v>투자자산처분손실</v>
      </c>
      <c r="D216" s="272">
        <f>VLOOKUP($B:$B,입력!$B:$Z,$1:$1,0)/$H$1</f>
        <v>0</v>
      </c>
      <c r="E216" s="272">
        <f>VLOOKUP($B:$B,RAW!$A:$Z,$1:$1,0)</f>
        <v>0</v>
      </c>
      <c r="F216" s="273">
        <f>VLOOKUP($B:$B,입력!$B:$Z,$1:$1,0)/$H$1</f>
        <v>0</v>
      </c>
      <c r="G216" s="273">
        <f>VLOOKUP($B:$B,RAW!$A:$Z,$1:$1,0)</f>
        <v>0</v>
      </c>
      <c r="H216" s="304"/>
      <c r="I216" s="304">
        <f t="shared" si="3"/>
        <v>0</v>
      </c>
      <c r="J216" s="303">
        <f>VLOOKUP($B:$B,입력!$B:$G,$1:$1,0)</f>
        <v>0</v>
      </c>
    </row>
    <row r="217" spans="1:10">
      <c r="A217" s="245" t="s">
        <v>731</v>
      </c>
      <c r="B217" s="254">
        <v>126145</v>
      </c>
      <c r="C217" s="317" t="str">
        <f>IFERROR(VLOOKUP($B:$B,RAW!$A:$L,2,0),"")</f>
        <v>매도가능증권처분손실</v>
      </c>
      <c r="D217" s="272">
        <f>VLOOKUP($B:$B,입력!$B:$Z,$1:$1,0)/$H$1</f>
        <v>0</v>
      </c>
      <c r="E217" s="272">
        <f>VLOOKUP($B:$B,RAW!$A:$Z,$1:$1,0)</f>
        <v>0</v>
      </c>
      <c r="F217" s="273">
        <f>VLOOKUP($B:$B,입력!$B:$Z,$1:$1,0)/$H$1</f>
        <v>0</v>
      </c>
      <c r="G217" s="273">
        <f>VLOOKUP($B:$B,RAW!$A:$Z,$1:$1,0)</f>
        <v>0</v>
      </c>
      <c r="H217" s="304"/>
      <c r="I217" s="304">
        <f t="shared" si="3"/>
        <v>0</v>
      </c>
      <c r="J217" s="303">
        <f>VLOOKUP($B:$B,입력!$B:$G,$1:$1,0)</f>
        <v>0</v>
      </c>
    </row>
    <row r="218" spans="1:10">
      <c r="A218" s="245" t="s">
        <v>732</v>
      </c>
      <c r="B218" s="254">
        <v>126146</v>
      </c>
      <c r="C218" s="317" t="str">
        <f>IFERROR(VLOOKUP($B:$B,RAW!$A:$L,2,0),"")</f>
        <v>만기보유증권처분손실</v>
      </c>
      <c r="D218" s="272">
        <f>VLOOKUP($B:$B,입력!$B:$Z,$1:$1,0)/$H$1</f>
        <v>0</v>
      </c>
      <c r="E218" s="272">
        <f>VLOOKUP($B:$B,RAW!$A:$Z,$1:$1,0)</f>
        <v>0</v>
      </c>
      <c r="F218" s="273">
        <f>VLOOKUP($B:$B,입력!$B:$Z,$1:$1,0)/$H$1</f>
        <v>0</v>
      </c>
      <c r="G218" s="273">
        <f>VLOOKUP($B:$B,RAW!$A:$Z,$1:$1,0)</f>
        <v>0</v>
      </c>
      <c r="H218" s="304"/>
      <c r="I218" s="304">
        <f t="shared" si="3"/>
        <v>0</v>
      </c>
      <c r="J218" s="303">
        <f>VLOOKUP($B:$B,입력!$B:$G,$1:$1,0)</f>
        <v>0</v>
      </c>
    </row>
    <row r="219" spans="1:10">
      <c r="A219" s="245" t="s">
        <v>733</v>
      </c>
      <c r="B219" s="254">
        <v>126149</v>
      </c>
      <c r="C219" s="317" t="str">
        <f>IFERROR(VLOOKUP($B:$B,RAW!$A:$L,2,0),"")</f>
        <v>자전거래손실</v>
      </c>
      <c r="D219" s="272">
        <f>VLOOKUP($B:$B,입력!$B:$Z,$1:$1,0)/$H$1</f>
        <v>0</v>
      </c>
      <c r="E219" s="272">
        <f>VLOOKUP($B:$B,RAW!$A:$Z,$1:$1,0)</f>
        <v>0</v>
      </c>
      <c r="F219" s="273">
        <f>VLOOKUP($B:$B,입력!$B:$Z,$1:$1,0)/$H$1</f>
        <v>0</v>
      </c>
      <c r="G219" s="273">
        <f>VLOOKUP($B:$B,RAW!$A:$Z,$1:$1,0)</f>
        <v>0</v>
      </c>
      <c r="H219" s="304"/>
      <c r="I219" s="304">
        <f t="shared" si="3"/>
        <v>0</v>
      </c>
      <c r="J219" s="303">
        <f>VLOOKUP($B:$B,입력!$B:$G,$1:$1,0)</f>
        <v>0</v>
      </c>
    </row>
    <row r="220" spans="1:10">
      <c r="A220" s="245" t="s">
        <v>734</v>
      </c>
      <c r="B220" s="254">
        <v>126151</v>
      </c>
      <c r="C220" s="317" t="str">
        <f>IFERROR(VLOOKUP($B:$B,RAW!$A:$L,2,0),"")</f>
        <v>공정가액조정손실</v>
      </c>
      <c r="D220" s="272">
        <f>VLOOKUP($B:$B,입력!$B:$Z,$1:$1,0)/$H$1</f>
        <v>0</v>
      </c>
      <c r="E220" s="272">
        <f>VLOOKUP($B:$B,RAW!$A:$Z,$1:$1,0)</f>
        <v>0</v>
      </c>
      <c r="F220" s="273">
        <f>VLOOKUP($B:$B,입력!$B:$Z,$1:$1,0)/$H$1</f>
        <v>0</v>
      </c>
      <c r="G220" s="273">
        <f>VLOOKUP($B:$B,RAW!$A:$Z,$1:$1,0)</f>
        <v>0</v>
      </c>
      <c r="H220" s="304"/>
      <c r="I220" s="304">
        <f t="shared" si="3"/>
        <v>0</v>
      </c>
      <c r="J220" s="303">
        <f>VLOOKUP($B:$B,입력!$B:$G,$1:$1,0)</f>
        <v>0</v>
      </c>
    </row>
    <row r="221" spans="1:10">
      <c r="A221" s="245" t="s">
        <v>735</v>
      </c>
      <c r="B221" s="254">
        <v>126400</v>
      </c>
      <c r="C221" s="317" t="str">
        <f>IFERROR(VLOOKUP($B:$B,RAW!$A:$L,2,0),"")</f>
        <v>임대주택자산감액손실</v>
      </c>
      <c r="D221" s="272">
        <f>VLOOKUP($B:$B,입력!$B:$Z,$1:$1,0)/$H$1</f>
        <v>0</v>
      </c>
      <c r="E221" s="272">
        <f>VLOOKUP($B:$B,RAW!$A:$Z,$1:$1,0)</f>
        <v>0</v>
      </c>
      <c r="F221" s="273">
        <f>VLOOKUP($B:$B,입력!$B:$Z,$1:$1,0)/$H$1</f>
        <v>0</v>
      </c>
      <c r="G221" s="273">
        <f>VLOOKUP($B:$B,RAW!$A:$Z,$1:$1,0)</f>
        <v>0</v>
      </c>
      <c r="H221" s="304"/>
      <c r="I221" s="304">
        <f t="shared" si="3"/>
        <v>0</v>
      </c>
      <c r="J221" s="303">
        <f>VLOOKUP($B:$B,입력!$B:$G,$1:$1,0)</f>
        <v>0</v>
      </c>
    </row>
    <row r="222" spans="1:10">
      <c r="A222" s="245" t="s">
        <v>736</v>
      </c>
      <c r="B222" s="254">
        <v>126275</v>
      </c>
      <c r="C222" s="317" t="str">
        <f>IFERROR(VLOOKUP($B:$B,RAW!$A:$L,2,0),"")</f>
        <v>투자자산감액손실</v>
      </c>
      <c r="D222" s="272">
        <f>VLOOKUP($B:$B,입력!$B:$Z,$1:$1,0)/$H$1</f>
        <v>0</v>
      </c>
      <c r="E222" s="272">
        <f>VLOOKUP($B:$B,RAW!$A:$Z,$1:$1,0)</f>
        <v>0</v>
      </c>
      <c r="F222" s="273">
        <f>VLOOKUP($B:$B,입력!$B:$Z,$1:$1,0)/$H$1</f>
        <v>0</v>
      </c>
      <c r="G222" s="273">
        <f>VLOOKUP($B:$B,RAW!$A:$Z,$1:$1,0)</f>
        <v>0</v>
      </c>
      <c r="H222" s="304"/>
      <c r="I222" s="304">
        <f t="shared" si="3"/>
        <v>0</v>
      </c>
      <c r="J222" s="303">
        <f>VLOOKUP($B:$B,입력!$B:$G,$1:$1,0)</f>
        <v>0</v>
      </c>
    </row>
    <row r="223" spans="1:10">
      <c r="A223" s="245" t="s">
        <v>737</v>
      </c>
      <c r="B223" s="254">
        <v>126147</v>
      </c>
      <c r="C223" s="317" t="str">
        <f>IFERROR(VLOOKUP($B:$B,RAW!$A:$L,2,0),"")</f>
        <v>매도가능증권감액손실</v>
      </c>
      <c r="D223" s="272">
        <f>VLOOKUP($B:$B,입력!$B:$Z,$1:$1,0)/$H$1</f>
        <v>0</v>
      </c>
      <c r="E223" s="272">
        <f>VLOOKUP($B:$B,RAW!$A:$Z,$1:$1,0)</f>
        <v>0</v>
      </c>
      <c r="F223" s="273">
        <f>VLOOKUP($B:$B,입력!$B:$Z,$1:$1,0)/$H$1</f>
        <v>0</v>
      </c>
      <c r="G223" s="273">
        <f>VLOOKUP($B:$B,RAW!$A:$Z,$1:$1,0)</f>
        <v>0</v>
      </c>
      <c r="H223" s="304"/>
      <c r="I223" s="304">
        <f t="shared" si="3"/>
        <v>0</v>
      </c>
      <c r="J223" s="303">
        <f>VLOOKUP($B:$B,입력!$B:$G,$1:$1,0)</f>
        <v>0</v>
      </c>
    </row>
    <row r="224" spans="1:10">
      <c r="A224" s="245" t="s">
        <v>738</v>
      </c>
      <c r="B224" s="254">
        <v>126148</v>
      </c>
      <c r="C224" s="317" t="str">
        <f>IFERROR(VLOOKUP($B:$B,RAW!$A:$L,2,0),"")</f>
        <v>만기보유증권감액손실</v>
      </c>
      <c r="D224" s="272">
        <f>VLOOKUP($B:$B,입력!$B:$Z,$1:$1,0)/$H$1</f>
        <v>0</v>
      </c>
      <c r="E224" s="272">
        <f>VLOOKUP($B:$B,RAW!$A:$Z,$1:$1,0)</f>
        <v>0</v>
      </c>
      <c r="F224" s="273">
        <f>VLOOKUP($B:$B,입력!$B:$Z,$1:$1,0)/$H$1</f>
        <v>0</v>
      </c>
      <c r="G224" s="273">
        <f>VLOOKUP($B:$B,RAW!$A:$Z,$1:$1,0)</f>
        <v>0</v>
      </c>
      <c r="H224" s="304"/>
      <c r="I224" s="304">
        <f t="shared" si="3"/>
        <v>0</v>
      </c>
      <c r="J224" s="303">
        <f>VLOOKUP($B:$B,입력!$B:$G,$1:$1,0)</f>
        <v>0</v>
      </c>
    </row>
    <row r="225" spans="1:10">
      <c r="A225" s="245" t="s">
        <v>739</v>
      </c>
      <c r="B225" s="254">
        <v>126155</v>
      </c>
      <c r="C225" s="317" t="str">
        <f>IFERROR(VLOOKUP($B:$B,RAW!$A:$L,2,0),"")</f>
        <v>지분법주식감액손실</v>
      </c>
      <c r="D225" s="272">
        <f>VLOOKUP($B:$B,입력!$B:$Z,$1:$1,0)/$H$1</f>
        <v>0</v>
      </c>
      <c r="E225" s="272">
        <f>VLOOKUP($B:$B,RAW!$A:$Z,$1:$1,0)</f>
        <v>0</v>
      </c>
      <c r="F225" s="273">
        <f>VLOOKUP($B:$B,입력!$B:$Z,$1:$1,0)/$H$1</f>
        <v>0</v>
      </c>
      <c r="G225" s="273">
        <f>VLOOKUP($B:$B,RAW!$A:$Z,$1:$1,0)</f>
        <v>0</v>
      </c>
      <c r="H225" s="304"/>
      <c r="I225" s="304">
        <f t="shared" si="3"/>
        <v>0</v>
      </c>
      <c r="J225" s="303">
        <f>VLOOKUP($B:$B,입력!$B:$G,$1:$1,0)</f>
        <v>0</v>
      </c>
    </row>
    <row r="226" spans="1:10">
      <c r="A226" s="245" t="s">
        <v>740</v>
      </c>
      <c r="B226" s="254">
        <v>126410</v>
      </c>
      <c r="C226" s="317" t="str">
        <f>IFERROR(VLOOKUP($B:$B,RAW!$A:$L,2,0),"")</f>
        <v>유형자산감액손실</v>
      </c>
      <c r="D226" s="272">
        <f>VLOOKUP($B:$B,입력!$B:$Z,$1:$1,0)/$H$1</f>
        <v>0</v>
      </c>
      <c r="E226" s="272">
        <f>VLOOKUP($B:$B,RAW!$A:$Z,$1:$1,0)</f>
        <v>0</v>
      </c>
      <c r="F226" s="273">
        <f>VLOOKUP($B:$B,입력!$B:$Z,$1:$1,0)/$H$1</f>
        <v>0</v>
      </c>
      <c r="G226" s="273">
        <f>VLOOKUP($B:$B,RAW!$A:$Z,$1:$1,0)</f>
        <v>0</v>
      </c>
      <c r="H226" s="304"/>
      <c r="I226" s="304">
        <f t="shared" si="3"/>
        <v>0</v>
      </c>
      <c r="J226" s="303">
        <f>VLOOKUP($B:$B,입력!$B:$G,$1:$1,0)</f>
        <v>0</v>
      </c>
    </row>
    <row r="227" spans="1:10">
      <c r="A227" s="245" t="s">
        <v>741</v>
      </c>
      <c r="B227" s="254">
        <v>126420</v>
      </c>
      <c r="C227" s="317" t="str">
        <f>IFERROR(VLOOKUP($B:$B,RAW!$A:$L,2,0),"")</f>
        <v>무형자산감액손실</v>
      </c>
      <c r="D227" s="272">
        <f>VLOOKUP($B:$B,입력!$B:$Z,$1:$1,0)/$H$1</f>
        <v>0</v>
      </c>
      <c r="E227" s="272">
        <f>VLOOKUP($B:$B,RAW!$A:$Z,$1:$1,0)</f>
        <v>0</v>
      </c>
      <c r="F227" s="273">
        <f>VLOOKUP($B:$B,입력!$B:$Z,$1:$1,0)/$H$1</f>
        <v>0</v>
      </c>
      <c r="G227" s="273">
        <f>VLOOKUP($B:$B,RAW!$A:$Z,$1:$1,0)</f>
        <v>0</v>
      </c>
      <c r="H227" s="304"/>
      <c r="I227" s="304">
        <f t="shared" si="3"/>
        <v>0</v>
      </c>
      <c r="J227" s="303">
        <f>VLOOKUP($B:$B,입력!$B:$G,$1:$1,0)</f>
        <v>0</v>
      </c>
    </row>
    <row r="228" spans="1:10">
      <c r="A228" s="245" t="s">
        <v>742</v>
      </c>
      <c r="B228" s="254">
        <v>126430</v>
      </c>
      <c r="C228" s="317" t="str">
        <f>IFERROR(VLOOKUP($B:$B,RAW!$A:$L,2,0),"")</f>
        <v>기타자산감액손실</v>
      </c>
      <c r="D228" s="272">
        <f>VLOOKUP($B:$B,입력!$B:$Z,$1:$1,0)/$H$1</f>
        <v>0</v>
      </c>
      <c r="E228" s="272">
        <f>VLOOKUP($B:$B,RAW!$A:$Z,$1:$1,0)</f>
        <v>0</v>
      </c>
      <c r="F228" s="273">
        <f>VLOOKUP($B:$B,입력!$B:$Z,$1:$1,0)/$H$1</f>
        <v>0</v>
      </c>
      <c r="G228" s="273">
        <f>VLOOKUP($B:$B,RAW!$A:$Z,$1:$1,0)</f>
        <v>0</v>
      </c>
      <c r="H228" s="304"/>
      <c r="I228" s="304">
        <f t="shared" si="3"/>
        <v>0</v>
      </c>
      <c r="J228" s="303">
        <f>VLOOKUP($B:$B,입력!$B:$G,$1:$1,0)</f>
        <v>0</v>
      </c>
    </row>
    <row r="229" spans="1:10">
      <c r="A229" s="245" t="s">
        <v>743</v>
      </c>
      <c r="B229" s="254">
        <v>126280</v>
      </c>
      <c r="C229" s="317" t="str">
        <f>IFERROR(VLOOKUP($B:$B,RAW!$A:$L,2,0),"")</f>
        <v>사채상환손실</v>
      </c>
      <c r="D229" s="272">
        <f>VLOOKUP($B:$B,입력!$B:$Z,$1:$1,0)/$H$1</f>
        <v>0</v>
      </c>
      <c r="E229" s="272">
        <f>VLOOKUP($B:$B,RAW!$A:$Z,$1:$1,0)</f>
        <v>0</v>
      </c>
      <c r="F229" s="273">
        <f>VLOOKUP($B:$B,입력!$B:$Z,$1:$1,0)/$H$1</f>
        <v>0</v>
      </c>
      <c r="G229" s="273">
        <f>VLOOKUP($B:$B,RAW!$A:$Z,$1:$1,0)</f>
        <v>0</v>
      </c>
      <c r="H229" s="304"/>
      <c r="I229" s="304">
        <f t="shared" si="3"/>
        <v>0</v>
      </c>
      <c r="J229" s="303">
        <f>VLOOKUP($B:$B,입력!$B:$G,$1:$1,0)</f>
        <v>0</v>
      </c>
    </row>
    <row r="230" spans="1:10">
      <c r="A230" s="245" t="s">
        <v>744</v>
      </c>
      <c r="B230" s="254">
        <v>126281</v>
      </c>
      <c r="C230" s="317" t="str">
        <f>IFERROR(VLOOKUP($B:$B,RAW!$A:$L,2,0),"")</f>
        <v>부채상환손실</v>
      </c>
      <c r="D230" s="272">
        <f>VLOOKUP($B:$B,입력!$B:$Z,$1:$1,0)/$H$1</f>
        <v>0</v>
      </c>
      <c r="E230" s="272">
        <f>VLOOKUP($B:$B,RAW!$A:$Z,$1:$1,0)</f>
        <v>0</v>
      </c>
      <c r="F230" s="273">
        <f>VLOOKUP($B:$B,입력!$B:$Z,$1:$1,0)/$H$1</f>
        <v>0</v>
      </c>
      <c r="G230" s="273">
        <f>VLOOKUP($B:$B,RAW!$A:$Z,$1:$1,0)</f>
        <v>0</v>
      </c>
      <c r="H230" s="304"/>
      <c r="I230" s="304">
        <f t="shared" si="3"/>
        <v>0</v>
      </c>
      <c r="J230" s="303">
        <f>VLOOKUP($B:$B,입력!$B:$G,$1:$1,0)</f>
        <v>0</v>
      </c>
    </row>
    <row r="231" spans="1:10">
      <c r="A231" s="245" t="s">
        <v>745</v>
      </c>
      <c r="B231" s="254">
        <v>126310</v>
      </c>
      <c r="C231" s="317" t="str">
        <f>IFERROR(VLOOKUP($B:$B,RAW!$A:$L,2,0),"")</f>
        <v>지분법손실</v>
      </c>
      <c r="D231" s="272">
        <f>VLOOKUP($B:$B,입력!$B:$Z,$1:$1,0)/$H$1</f>
        <v>0</v>
      </c>
      <c r="E231" s="272">
        <f>VLOOKUP($B:$B,RAW!$A:$Z,$1:$1,0)</f>
        <v>0</v>
      </c>
      <c r="F231" s="273">
        <f>VLOOKUP($B:$B,입력!$B:$Z,$1:$1,0)/$H$1</f>
        <v>0</v>
      </c>
      <c r="G231" s="273">
        <f>VLOOKUP($B:$B,RAW!$A:$Z,$1:$1,0)</f>
        <v>0</v>
      </c>
      <c r="H231" s="304"/>
      <c r="I231" s="304">
        <f t="shared" si="3"/>
        <v>0</v>
      </c>
      <c r="J231" s="303">
        <f>VLOOKUP($B:$B,입력!$B:$G,$1:$1,0)</f>
        <v>0</v>
      </c>
    </row>
    <row r="232" spans="1:10">
      <c r="A232" s="245" t="s">
        <v>746</v>
      </c>
      <c r="B232" s="254">
        <v>126330</v>
      </c>
      <c r="C232" s="317" t="str">
        <f>IFERROR(VLOOKUP($B:$B,RAW!$A:$L,2,0),"")</f>
        <v>법인세추납액</v>
      </c>
      <c r="D232" s="272">
        <f>VLOOKUP($B:$B,입력!$B:$Z,$1:$1,0)/$H$1</f>
        <v>0</v>
      </c>
      <c r="E232" s="272">
        <f>VLOOKUP($B:$B,RAW!$A:$Z,$1:$1,0)</f>
        <v>0</v>
      </c>
      <c r="F232" s="273">
        <f>VLOOKUP($B:$B,입력!$B:$Z,$1:$1,0)/$H$1</f>
        <v>0</v>
      </c>
      <c r="G232" s="273">
        <f>VLOOKUP($B:$B,RAW!$A:$Z,$1:$1,0)</f>
        <v>0</v>
      </c>
      <c r="H232" s="304"/>
      <c r="I232" s="304">
        <f t="shared" si="3"/>
        <v>0</v>
      </c>
      <c r="J232" s="303">
        <f>VLOOKUP($B:$B,입력!$B:$G,$1:$1,0)</f>
        <v>0</v>
      </c>
    </row>
    <row r="233" spans="1:10">
      <c r="A233" s="245" t="s">
        <v>747</v>
      </c>
      <c r="B233" s="254">
        <v>126350</v>
      </c>
      <c r="C233" s="317" t="str">
        <f>IFERROR(VLOOKUP($B:$B,RAW!$A:$L,2,0),"")</f>
        <v>전환사채전환손실</v>
      </c>
      <c r="D233" s="272">
        <f>VLOOKUP($B:$B,입력!$B:$Z,$1:$1,0)/$H$1</f>
        <v>0</v>
      </c>
      <c r="E233" s="272">
        <f>VLOOKUP($B:$B,RAW!$A:$Z,$1:$1,0)</f>
        <v>0</v>
      </c>
      <c r="F233" s="273">
        <f>VLOOKUP($B:$B,입력!$B:$Z,$1:$1,0)/$H$1</f>
        <v>0</v>
      </c>
      <c r="G233" s="273">
        <f>VLOOKUP($B:$B,RAW!$A:$Z,$1:$1,0)</f>
        <v>0</v>
      </c>
      <c r="H233" s="304"/>
      <c r="I233" s="304">
        <f t="shared" si="3"/>
        <v>0</v>
      </c>
      <c r="J233" s="303">
        <f>VLOOKUP($B:$B,입력!$B:$G,$1:$1,0)</f>
        <v>0</v>
      </c>
    </row>
    <row r="234" spans="1:10">
      <c r="A234" s="245" t="s">
        <v>748</v>
      </c>
      <c r="B234" s="254">
        <v>126137</v>
      </c>
      <c r="C234" s="317" t="str">
        <f>IFERROR(VLOOKUP($B:$B,RAW!$A:$L,2,0),"")</f>
        <v>중간기간오류손실</v>
      </c>
      <c r="D234" s="272">
        <f>VLOOKUP($B:$B,입력!$B:$Z,$1:$1,0)/$H$1</f>
        <v>0</v>
      </c>
      <c r="E234" s="272">
        <f>VLOOKUP($B:$B,RAW!$A:$Z,$1:$1,0)</f>
        <v>0</v>
      </c>
      <c r="F234" s="273">
        <f>VLOOKUP($B:$B,입력!$B:$Z,$1:$1,0)/$H$1</f>
        <v>0</v>
      </c>
      <c r="G234" s="273">
        <f>VLOOKUP($B:$B,RAW!$A:$Z,$1:$1,0)</f>
        <v>0</v>
      </c>
      <c r="H234" s="304"/>
      <c r="I234" s="304">
        <f t="shared" si="3"/>
        <v>0</v>
      </c>
      <c r="J234" s="303">
        <f>VLOOKUP($B:$B,입력!$B:$G,$1:$1,0)</f>
        <v>0</v>
      </c>
    </row>
    <row r="235" spans="1:10">
      <c r="A235" s="245" t="s">
        <v>749</v>
      </c>
      <c r="B235" s="254">
        <v>126138</v>
      </c>
      <c r="C235" s="317" t="str">
        <f>IFERROR(VLOOKUP($B:$B,RAW!$A:$L,2,0),"")</f>
        <v>중간기간영업외비용조정</v>
      </c>
      <c r="D235" s="272">
        <f>VLOOKUP($B:$B,입력!$B:$Z,$1:$1,0)/$H$1</f>
        <v>0</v>
      </c>
      <c r="E235" s="272">
        <f>VLOOKUP($B:$B,RAW!$A:$Z,$1:$1,0)</f>
        <v>0</v>
      </c>
      <c r="F235" s="273">
        <f>VLOOKUP($B:$B,입력!$B:$Z,$1:$1,0)/$H$1</f>
        <v>0</v>
      </c>
      <c r="G235" s="273">
        <f>VLOOKUP($B:$B,RAW!$A:$Z,$1:$1,0)</f>
        <v>0</v>
      </c>
      <c r="H235" s="304"/>
      <c r="I235" s="304">
        <f t="shared" si="3"/>
        <v>0</v>
      </c>
      <c r="J235" s="303">
        <f>VLOOKUP($B:$B,입력!$B:$G,$1:$1,0)</f>
        <v>0</v>
      </c>
    </row>
    <row r="236" spans="1:10">
      <c r="A236" s="245" t="s">
        <v>750</v>
      </c>
      <c r="B236" s="254">
        <v>126134</v>
      </c>
      <c r="C236" s="317" t="str">
        <f>IFERROR(VLOOKUP($B:$B,RAW!$A:$L,2,0),"")</f>
        <v>전기오류수정손실</v>
      </c>
      <c r="D236" s="272">
        <f>VLOOKUP($B:$B,입력!$B:$Z,$1:$1,0)/$H$1</f>
        <v>0</v>
      </c>
      <c r="E236" s="272">
        <f>VLOOKUP($B:$B,RAW!$A:$Z,$1:$1,0)</f>
        <v>0</v>
      </c>
      <c r="F236" s="273">
        <f>VLOOKUP($B:$B,입력!$B:$Z,$1:$1,0)/$H$1</f>
        <v>0</v>
      </c>
      <c r="G236" s="273">
        <f>VLOOKUP($B:$B,RAW!$A:$Z,$1:$1,0)</f>
        <v>0</v>
      </c>
      <c r="H236" s="304"/>
      <c r="I236" s="304">
        <f t="shared" si="3"/>
        <v>0</v>
      </c>
      <c r="J236" s="303">
        <f>VLOOKUP($B:$B,입력!$B:$G,$1:$1,0)</f>
        <v>0</v>
      </c>
    </row>
    <row r="237" spans="1:10">
      <c r="A237" s="245" t="s">
        <v>751</v>
      </c>
      <c r="B237" s="254">
        <v>126135</v>
      </c>
      <c r="C237" s="317" t="str">
        <f>IFERROR(VLOOKUP($B:$B,RAW!$A:$L,2,0),"")</f>
        <v>복구충당부채전입액</v>
      </c>
      <c r="D237" s="272">
        <f>VLOOKUP($B:$B,입력!$B:$Z,$1:$1,0)/$H$1</f>
        <v>0</v>
      </c>
      <c r="E237" s="272">
        <f>VLOOKUP($B:$B,RAW!$A:$Z,$1:$1,0)</f>
        <v>0</v>
      </c>
      <c r="F237" s="273">
        <f>VLOOKUP($B:$B,입력!$B:$Z,$1:$1,0)/$H$1</f>
        <v>0</v>
      </c>
      <c r="G237" s="273">
        <f>VLOOKUP($B:$B,RAW!$A:$Z,$1:$1,0)</f>
        <v>0</v>
      </c>
      <c r="H237" s="304"/>
      <c r="I237" s="304">
        <f t="shared" si="3"/>
        <v>0</v>
      </c>
      <c r="J237" s="303">
        <f>VLOOKUP($B:$B,입력!$B:$G,$1:$1,0)</f>
        <v>0</v>
      </c>
    </row>
    <row r="238" spans="1:10">
      <c r="A238" s="245" t="s">
        <v>752</v>
      </c>
      <c r="B238" s="254">
        <v>126136</v>
      </c>
      <c r="C238" s="317" t="str">
        <f>IFERROR(VLOOKUP($B:$B,RAW!$A:$L,2,0),"")</f>
        <v>복구공사손실</v>
      </c>
      <c r="D238" s="272">
        <f>VLOOKUP($B:$B,입력!$B:$Z,$1:$1,0)/$H$1</f>
        <v>0</v>
      </c>
      <c r="E238" s="272">
        <f>VLOOKUP($B:$B,RAW!$A:$Z,$1:$1,0)</f>
        <v>0</v>
      </c>
      <c r="F238" s="273">
        <f>VLOOKUP($B:$B,입력!$B:$Z,$1:$1,0)/$H$1</f>
        <v>0</v>
      </c>
      <c r="G238" s="273">
        <f>VLOOKUP($B:$B,RAW!$A:$Z,$1:$1,0)</f>
        <v>0</v>
      </c>
      <c r="H238" s="304"/>
      <c r="I238" s="304">
        <f t="shared" si="3"/>
        <v>0</v>
      </c>
      <c r="J238" s="303">
        <f>VLOOKUP($B:$B,입력!$B:$G,$1:$1,0)</f>
        <v>0</v>
      </c>
    </row>
    <row r="239" spans="1:10">
      <c r="A239" s="245" t="s">
        <v>753</v>
      </c>
      <c r="B239" s="254">
        <v>126166</v>
      </c>
      <c r="C239" s="317" t="str">
        <f>IFERROR(VLOOKUP($B:$B,RAW!$A:$L,2,0),"")</f>
        <v>재해손실</v>
      </c>
      <c r="D239" s="272">
        <f>VLOOKUP($B:$B,입력!$B:$Z,$1:$1,0)/$H$1</f>
        <v>0</v>
      </c>
      <c r="E239" s="272">
        <f>VLOOKUP($B:$B,RAW!$A:$Z,$1:$1,0)</f>
        <v>0</v>
      </c>
      <c r="F239" s="273">
        <f>VLOOKUP($B:$B,입력!$B:$Z,$1:$1,0)/$H$1</f>
        <v>0</v>
      </c>
      <c r="G239" s="273">
        <f>VLOOKUP($B:$B,RAW!$A:$Z,$1:$1,0)</f>
        <v>0</v>
      </c>
      <c r="H239" s="304"/>
      <c r="I239" s="304">
        <f t="shared" si="3"/>
        <v>0</v>
      </c>
      <c r="J239" s="303">
        <f>VLOOKUP($B:$B,입력!$B:$G,$1:$1,0)</f>
        <v>0</v>
      </c>
    </row>
    <row r="240" spans="1:10">
      <c r="A240" s="245" t="s">
        <v>754</v>
      </c>
      <c r="B240" s="254">
        <v>126167</v>
      </c>
      <c r="C240" s="317" t="str">
        <f>IFERROR(VLOOKUP($B:$B,RAW!$A:$L,2,0),"")</f>
        <v>특별상각</v>
      </c>
      <c r="D240" s="272">
        <f>VLOOKUP($B:$B,입력!$B:$Z,$1:$1,0)/$H$1</f>
        <v>0</v>
      </c>
      <c r="E240" s="272">
        <f>VLOOKUP($B:$B,RAW!$A:$Z,$1:$1,0)</f>
        <v>0</v>
      </c>
      <c r="F240" s="273">
        <f>VLOOKUP($B:$B,입력!$B:$Z,$1:$1,0)/$H$1</f>
        <v>0</v>
      </c>
      <c r="G240" s="273">
        <f>VLOOKUP($B:$B,RAW!$A:$Z,$1:$1,0)</f>
        <v>0</v>
      </c>
      <c r="H240" s="304"/>
      <c r="I240" s="304">
        <f t="shared" si="3"/>
        <v>0</v>
      </c>
      <c r="J240" s="303">
        <f>VLOOKUP($B:$B,입력!$B:$G,$1:$1,0)</f>
        <v>0</v>
      </c>
    </row>
    <row r="241" spans="1:10">
      <c r="A241" s="245" t="s">
        <v>755</v>
      </c>
      <c r="B241" s="254">
        <v>126168</v>
      </c>
      <c r="C241" s="317" t="str">
        <f>IFERROR(VLOOKUP($B:$B,RAW!$A:$L,2,0),"")</f>
        <v>해외사업환산손실상각</v>
      </c>
      <c r="D241" s="272">
        <f>VLOOKUP($B:$B,입력!$B:$Z,$1:$1,0)/$H$1</f>
        <v>0</v>
      </c>
      <c r="E241" s="272">
        <f>VLOOKUP($B:$B,RAW!$A:$Z,$1:$1,0)</f>
        <v>0</v>
      </c>
      <c r="F241" s="273">
        <f>VLOOKUP($B:$B,입력!$B:$Z,$1:$1,0)/$H$1</f>
        <v>0</v>
      </c>
      <c r="G241" s="273">
        <f>VLOOKUP($B:$B,RAW!$A:$Z,$1:$1,0)</f>
        <v>0</v>
      </c>
      <c r="H241" s="304"/>
      <c r="I241" s="304">
        <f t="shared" si="3"/>
        <v>0</v>
      </c>
      <c r="J241" s="303">
        <f>VLOOKUP($B:$B,입력!$B:$G,$1:$1,0)</f>
        <v>0</v>
      </c>
    </row>
    <row r="242" spans="1:10">
      <c r="A242" s="245" t="s">
        <v>756</v>
      </c>
      <c r="B242" s="254">
        <v>126250</v>
      </c>
      <c r="C242" s="317" t="str">
        <f>IFERROR(VLOOKUP($B:$B,RAW!$A:$L,2,0),"")</f>
        <v>기타영업외비용</v>
      </c>
      <c r="D242" s="272">
        <f>VLOOKUP($B:$B,입력!$B:$Z,$1:$1,0)/$H$1</f>
        <v>28206.338</v>
      </c>
      <c r="E242" s="272">
        <f>VLOOKUP($B:$B,RAW!$A:$Z,$1:$1,0)</f>
        <v>0</v>
      </c>
      <c r="F242" s="273">
        <f>VLOOKUP($B:$B,입력!$B:$Z,$1:$1,0)/$H$1</f>
        <v>0</v>
      </c>
      <c r="G242" s="273">
        <f>VLOOKUP($B:$B,RAW!$A:$Z,$1:$1,0)</f>
        <v>187136</v>
      </c>
      <c r="H242" s="304"/>
      <c r="I242" s="304">
        <f t="shared" si="3"/>
        <v>187136</v>
      </c>
      <c r="J242" s="303" t="str">
        <f>VLOOKUP($B:$B,입력!$B:$G,$1:$1,0)</f>
        <v>잡손실, 유형자산처분손실</v>
      </c>
    </row>
    <row r="243" spans="1:10">
      <c r="A243" s="245" t="s">
        <v>770</v>
      </c>
      <c r="B243" s="258">
        <v>128000</v>
      </c>
      <c r="C243" s="285" t="str">
        <f>IFERROR(VLOOKUP($B:$B,RAW!$A:$L,2,0),"")</f>
        <v>법인세비용차감전계속사업이익(손실)</v>
      </c>
      <c r="D243" s="268">
        <f>VLOOKUP($B:$B,입력!$B:$Z,$1:$1,0)/$H$1</f>
        <v>-16074854.468</v>
      </c>
      <c r="E243" s="268">
        <f>VLOOKUP($B:$B,RAW!$A:$Z,$1:$1,0)</f>
        <v>0</v>
      </c>
      <c r="F243" s="269">
        <f>VLOOKUP($B:$B,입력!$B:$Z,$1:$1,0)/$H$1</f>
        <v>0</v>
      </c>
      <c r="G243" s="269">
        <f>VLOOKUP($B:$B,RAW!$A:$Z,$1:$1,0)</f>
        <v>1174487</v>
      </c>
      <c r="H243" s="304"/>
      <c r="I243" s="304">
        <f t="shared" si="3"/>
        <v>1174487</v>
      </c>
      <c r="J243" s="303">
        <f>VLOOKUP($B:$B,입력!$B:$G,$1:$1,0)</f>
        <v>0</v>
      </c>
    </row>
    <row r="244" spans="1:10">
      <c r="A244" s="245" t="s">
        <v>1450</v>
      </c>
      <c r="B244" s="258">
        <v>128100</v>
      </c>
      <c r="C244" s="287" t="str">
        <f>IFERROR(VLOOKUP($B:$B,RAW!$A:$L,2,0),"")</f>
        <v>계속사업손익법인세비용(부의법인세비용)</v>
      </c>
      <c r="D244" s="272">
        <f>VLOOKUP($B:$B,입력!$B:$Z,$1:$1,0)/$H$1</f>
        <v>0</v>
      </c>
      <c r="E244" s="272">
        <f>VLOOKUP($B:$B,RAW!$A:$Z,$1:$1,0)</f>
        <v>0</v>
      </c>
      <c r="F244" s="273">
        <f>VLOOKUP($B:$B,입력!$B:$Z,$1:$1,0)/$H$1</f>
        <v>0</v>
      </c>
      <c r="G244" s="273">
        <f>VLOOKUP($B:$B,RAW!$A:$Z,$1:$1,0)</f>
        <v>194038</v>
      </c>
      <c r="H244" s="304"/>
      <c r="I244" s="304">
        <f t="shared" si="3"/>
        <v>194038</v>
      </c>
      <c r="J244" s="303">
        <f>VLOOKUP($B:$B,입력!$B:$G,$1:$1,0)</f>
        <v>0</v>
      </c>
    </row>
    <row r="245" spans="1:10">
      <c r="A245" s="245" t="s">
        <v>771</v>
      </c>
      <c r="B245" s="258">
        <v>128160</v>
      </c>
      <c r="C245" s="287" t="str">
        <f>IFERROR(VLOOKUP($B:$B,RAW!$A:$L,2,0),"")</f>
        <v>계속사업이익(손실)</v>
      </c>
      <c r="D245" s="272">
        <f>VLOOKUP($B:$B,입력!$B:$Z,$1:$1,0)/$H$1</f>
        <v>-16074854.468</v>
      </c>
      <c r="E245" s="272">
        <f>VLOOKUP($B:$B,RAW!$A:$Z,$1:$1,0)</f>
        <v>0</v>
      </c>
      <c r="F245" s="273">
        <f>VLOOKUP($B:$B,입력!$B:$Z,$1:$1,0)/$H$1</f>
        <v>0</v>
      </c>
      <c r="G245" s="273">
        <f>VLOOKUP($B:$B,RAW!$A:$Z,$1:$1,0)</f>
        <v>980449</v>
      </c>
      <c r="H245" s="304"/>
      <c r="I245" s="304">
        <f t="shared" si="3"/>
        <v>980449</v>
      </c>
      <c r="J245" s="303">
        <f>VLOOKUP($B:$B,입력!$B:$G,$1:$1,0)</f>
        <v>0</v>
      </c>
    </row>
    <row r="246" spans="1:10">
      <c r="A246" s="245" t="s">
        <v>772</v>
      </c>
      <c r="B246" s="258">
        <v>129000</v>
      </c>
      <c r="C246" s="285" t="str">
        <f>IFERROR(VLOOKUP($B:$B,RAW!$A:$L,2,0),"")</f>
        <v>당기순이익(손실)</v>
      </c>
      <c r="D246" s="268">
        <f>VLOOKUP($B:$B,입력!$B:$Z,$1:$1,0)/$H$1</f>
        <v>-16074854.468</v>
      </c>
      <c r="E246" s="268">
        <f>VLOOKUP($B:$B,RAW!$A:$Z,$1:$1,0)</f>
        <v>0</v>
      </c>
      <c r="F246" s="269">
        <f>VLOOKUP($B:$B,입력!$B:$Z,$1:$1,0)/$H$1</f>
        <v>0</v>
      </c>
      <c r="G246" s="269">
        <f>VLOOKUP($B:$B,RAW!$A:$Z,$1:$1,0)</f>
        <v>980449</v>
      </c>
      <c r="H246" s="304"/>
      <c r="I246" s="304">
        <f t="shared" si="3"/>
        <v>980449</v>
      </c>
      <c r="J246" s="303">
        <f>VLOOKUP($B:$B,입력!$B:$G,$1:$1,0)</f>
        <v>0</v>
      </c>
    </row>
    <row r="247" spans="1:10" ht="12" customHeight="1">
      <c r="C247" s="292"/>
      <c r="D247" s="305"/>
      <c r="E247" s="306"/>
      <c r="F247" s="305"/>
      <c r="G247" s="306"/>
      <c r="H247" s="279"/>
      <c r="I247" s="279"/>
    </row>
    <row r="248" spans="1:10" ht="12" customHeight="1">
      <c r="C248" s="299"/>
      <c r="D248" s="300"/>
      <c r="E248" s="301"/>
      <c r="F248" s="300"/>
      <c r="G248" s="301"/>
      <c r="H248" s="279"/>
      <c r="I248" s="279"/>
    </row>
    <row r="249" spans="1:10" s="248" customFormat="1">
      <c r="B249" s="267"/>
      <c r="C249" s="250" t="s">
        <v>1451</v>
      </c>
      <c r="D249" s="251" t="str">
        <f>D2</f>
        <v>당기입력</v>
      </c>
      <c r="E249" s="251" t="e">
        <f>E2</f>
        <v>#N/A</v>
      </c>
      <c r="F249" s="251" t="str">
        <f>F2</f>
        <v>전기입력</v>
      </c>
      <c r="G249" s="251" t="e">
        <f>G2</f>
        <v>#N/A</v>
      </c>
      <c r="H249" s="302"/>
      <c r="I249" s="302"/>
      <c r="J249" s="303"/>
    </row>
    <row r="250" spans="1:10">
      <c r="B250" s="252">
        <v>161000</v>
      </c>
      <c r="C250" s="288" t="str">
        <f>IFERROR(VLOOKUP($B:$B,RAW!$A:$L,2,0),"")</f>
        <v>영업활동으로인한현금흐름</v>
      </c>
      <c r="D250" s="274" t="e">
        <f>VLOOKUP($B:$B,입력!$B:$Z,$1:$1,0)/$H$1</f>
        <v>#REF!</v>
      </c>
      <c r="E250" s="274">
        <f>VLOOKUP($B:$B,RAW!$A:$Z,$1:$1,0)</f>
        <v>0</v>
      </c>
      <c r="F250" s="274">
        <f>VLOOKUP($B:$B,입력!$B:$Z,$1:$1,0)/$H$1</f>
        <v>0</v>
      </c>
      <c r="G250" s="274">
        <f>VLOOKUP($B:$B,RAW!$A:$Z,$1:$1,0)</f>
        <v>0</v>
      </c>
      <c r="H250" s="304"/>
      <c r="I250" s="304">
        <f t="shared" ref="I250:I255" si="4">IFERROR(G250-F250,"")</f>
        <v>0</v>
      </c>
      <c r="J250" s="303">
        <f>VLOOKUP($B:$B,입력!$B:$G,$1:$1,0)</f>
        <v>0</v>
      </c>
    </row>
    <row r="251" spans="1:10">
      <c r="B251" s="256">
        <v>161211</v>
      </c>
      <c r="C251" s="318" t="str">
        <f>IFERROR(VLOOKUP($B:$B,RAW!$A:$L,2,0),"")</f>
        <v>유형,임대주택자산감가상각비</v>
      </c>
      <c r="D251" s="275" t="e">
        <f>VLOOKUP($B:$B,입력!$B:$Z,$1:$1,0)/$H$1</f>
        <v>#REF!</v>
      </c>
      <c r="E251" s="275">
        <f>VLOOKUP($B:$B,RAW!$A:$Z,$1:$1,0)</f>
        <v>0</v>
      </c>
      <c r="F251" s="275">
        <f>VLOOKUP($B:$B,입력!$B:$Z,$1:$1,0)/$H$1</f>
        <v>0</v>
      </c>
      <c r="G251" s="275">
        <f>VLOOKUP($B:$B,RAW!$A:$Z,$1:$1,0)</f>
        <v>0</v>
      </c>
      <c r="H251" s="304"/>
      <c r="I251" s="304">
        <f t="shared" si="4"/>
        <v>0</v>
      </c>
      <c r="J251" s="303">
        <f>VLOOKUP($B:$B,입력!$B:$G,$1:$1,0)</f>
        <v>0</v>
      </c>
    </row>
    <row r="252" spans="1:10">
      <c r="B252" s="256">
        <v>161212</v>
      </c>
      <c r="C252" s="318" t="str">
        <f>IFERROR(VLOOKUP($B:$B,RAW!$A:$L,2,0),"")</f>
        <v>무형자산상각비2</v>
      </c>
      <c r="D252" s="275" t="e">
        <f>VLOOKUP($B:$B,입력!$B:$Z,$1:$1,0)/$H$1</f>
        <v>#REF!</v>
      </c>
      <c r="E252" s="275">
        <f>VLOOKUP($B:$B,RAW!$A:$Z,$1:$1,0)</f>
        <v>0</v>
      </c>
      <c r="F252" s="275">
        <f>VLOOKUP($B:$B,입력!$B:$Z,$1:$1,0)/$H$1</f>
        <v>0</v>
      </c>
      <c r="G252" s="275">
        <f>VLOOKUP($B:$B,RAW!$A:$Z,$1:$1,0)</f>
        <v>0</v>
      </c>
      <c r="H252" s="304"/>
      <c r="I252" s="304">
        <f t="shared" si="4"/>
        <v>0</v>
      </c>
      <c r="J252" s="303">
        <f>VLOOKUP($B:$B,입력!$B:$G,$1:$1,0)</f>
        <v>0</v>
      </c>
    </row>
    <row r="253" spans="1:10">
      <c r="B253" s="256"/>
      <c r="C253" s="318"/>
      <c r="D253" s="275"/>
      <c r="E253" s="275"/>
      <c r="F253" s="275"/>
      <c r="G253" s="275"/>
      <c r="H253" s="304"/>
      <c r="I253" s="304"/>
      <c r="J253" s="303"/>
    </row>
    <row r="254" spans="1:10">
      <c r="B254" s="258">
        <v>162000</v>
      </c>
      <c r="C254" s="288" t="str">
        <f>IFERROR(VLOOKUP($B:$B,RAW!$A:$L,2,0),"")</f>
        <v>투자활동으로인한현금흐름</v>
      </c>
      <c r="D254" s="274" t="e">
        <f>VLOOKUP($B:$B,입력!$B:$Z,$1:$1,0)/$H$1</f>
        <v>#REF!</v>
      </c>
      <c r="E254" s="274">
        <f>VLOOKUP($B:$B,RAW!$A:$Z,$1:$1,0)</f>
        <v>0</v>
      </c>
      <c r="F254" s="274">
        <f>VLOOKUP($B:$B,입력!$B:$Z,$1:$1,0)/$H$1</f>
        <v>0</v>
      </c>
      <c r="G254" s="274">
        <f>VLOOKUP($B:$B,RAW!$A:$Z,$1:$1,0)</f>
        <v>0</v>
      </c>
      <c r="H254" s="304"/>
      <c r="I254" s="304">
        <f t="shared" si="4"/>
        <v>0</v>
      </c>
      <c r="J254" s="303">
        <f>VLOOKUP($B:$B,입력!$B:$G,$1:$1,0)</f>
        <v>0</v>
      </c>
    </row>
    <row r="255" spans="1:10">
      <c r="B255" s="258">
        <v>163000</v>
      </c>
      <c r="C255" s="288" t="str">
        <f>IFERROR(VLOOKUP($B:$B,RAW!$A:$L,2,0),"")</f>
        <v>재무활동으로인한현금흐름</v>
      </c>
      <c r="D255" s="274" t="e">
        <f>VLOOKUP($B:$B,입력!$B:$Z,$1:$1,0)/$H$1</f>
        <v>#REF!</v>
      </c>
      <c r="E255" s="274">
        <f>VLOOKUP($B:$B,RAW!$A:$Z,$1:$1,0)</f>
        <v>0</v>
      </c>
      <c r="F255" s="274">
        <f>VLOOKUP($B:$B,입력!$B:$Z,$1:$1,0)/$H$1</f>
        <v>0</v>
      </c>
      <c r="G255" s="274">
        <f>VLOOKUP($B:$B,RAW!$A:$Z,$1:$1,0)</f>
        <v>0</v>
      </c>
      <c r="H255" s="304"/>
      <c r="I255" s="304">
        <f t="shared" si="4"/>
        <v>0</v>
      </c>
      <c r="J255" s="303">
        <f>VLOOKUP($B:$B,입력!$B:$G,$1:$1,0)</f>
        <v>0</v>
      </c>
    </row>
  </sheetData>
  <phoneticPr fontId="2" type="noConversion"/>
  <conditionalFormatting sqref="D3:D70">
    <cfRule type="expression" dxfId="4" priority="18">
      <formula>AND(ROUND($D3,0)&lt;&gt;$E3,SUM($D3:$E3)&lt;&gt;0)</formula>
    </cfRule>
  </conditionalFormatting>
  <conditionalFormatting sqref="F3:F70 F250:F255">
    <cfRule type="expression" dxfId="3" priority="17">
      <formula>AND(ROUND($F3,0)&lt;&gt;$G3,SUM($F3:$G3)&lt;&gt;0)</formula>
    </cfRule>
  </conditionalFormatting>
  <conditionalFormatting sqref="F74:F246">
    <cfRule type="expression" dxfId="2" priority="16">
      <formula>AND(ROUND($F74,0)&lt;&gt;$G74,SUM($F74:$G74)&lt;&gt;0)</formula>
    </cfRule>
  </conditionalFormatting>
  <conditionalFormatting sqref="D74:D246 D250:D255">
    <cfRule type="expression" dxfId="1" priority="15">
      <formula>AND(ROUND($D74,0)&lt;&gt;$E74,SUM($D74:$E74)&lt;&gt;0)</formula>
    </cfRule>
  </conditionalFormatting>
  <conditionalFormatting sqref="F250">
    <cfRule type="expression" dxfId="0" priority="12">
      <formula>AND(ROUND($D250,0)&lt;&gt;$E250,SUM($D250:$E250)&lt;&gt;0)</formula>
    </cfRule>
  </conditionalFormatting>
  <pageMargins left="0.7" right="0.7" top="0.75" bottom="0.75" header="0.3" footer="0.3"/>
  <pageSetup paperSize="9" orientation="portrait" verticalDpi="0" r:id="rId1"/>
  <ignoredErrors>
    <ignoredError sqref="E254:E256 F256:F1048576 E71:E73 E247:E249 E74 E75:E246 E250:E252 F247:F249 F71:F73 F3:F70 F74:F246 F250:F255 D3:E7 D23:E24 E22 D9:E21 E8 D63:E65 E62 D67:E70 E66 D26:E60 E25 E61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3" tint="0.39997558519241921"/>
  </sheetPr>
  <dimension ref="A1:M314"/>
  <sheetViews>
    <sheetView showGridLines="0" tabSelected="1" zoomScaleNormal="100" workbookViewId="0">
      <pane xSplit="3" ySplit="2" topLeftCell="D270" activePane="bottomRight" state="frozen"/>
      <selection activeCell="I46" sqref="I46"/>
      <selection pane="topRight" activeCell="I46" sqref="I46"/>
      <selection pane="bottomLeft" activeCell="I46" sqref="I46"/>
      <selection pane="bottomRight" activeCell="E303" sqref="E303"/>
    </sheetView>
  </sheetViews>
  <sheetFormatPr defaultRowHeight="12" customHeight="1" outlineLevelCol="1"/>
  <cols>
    <col min="1" max="1" width="19.125" style="7" customWidth="1" outlineLevel="1"/>
    <col min="2" max="2" width="9.375" style="127" customWidth="1" outlineLevel="1"/>
    <col min="3" max="3" width="28.625" style="234" customWidth="1"/>
    <col min="4" max="4" width="16.625" style="28" customWidth="1"/>
    <col min="5" max="11" width="14.625" style="7" customWidth="1"/>
    <col min="12" max="12" width="13.875" style="7" bestFit="1" customWidth="1"/>
    <col min="13" max="13" width="12.875" style="7" bestFit="1" customWidth="1"/>
    <col min="14" max="16384" width="9" style="7"/>
  </cols>
  <sheetData>
    <row r="1" spans="1:13" ht="12" customHeight="1">
      <c r="A1" s="7" t="s">
        <v>0</v>
      </c>
      <c r="C1" s="491"/>
      <c r="D1" s="493" t="str">
        <f>IF(D75=D126,"당기 차대변 일치","당기 차대변 불일치")</f>
        <v>당기 차대변 일치</v>
      </c>
      <c r="E1" s="494"/>
      <c r="F1" s="494"/>
      <c r="G1" s="178" t="s">
        <v>1799</v>
      </c>
      <c r="H1" s="497" t="str">
        <f>IF(H75=H126,"전기 차대변 일치","당기 차대변 불일치")</f>
        <v>전기 차대변 일치</v>
      </c>
      <c r="I1" s="494"/>
      <c r="J1" s="494"/>
      <c r="K1" s="183"/>
    </row>
    <row r="2" spans="1:13" s="9" customFormat="1" ht="12" customHeight="1">
      <c r="B2" s="127"/>
      <c r="C2" s="492"/>
      <c r="D2" s="495"/>
      <c r="E2" s="496"/>
      <c r="F2" s="496"/>
      <c r="G2" s="65" t="s">
        <v>1800</v>
      </c>
      <c r="H2" s="496"/>
      <c r="I2" s="496"/>
      <c r="J2" s="496"/>
      <c r="K2" s="8" t="s">
        <v>1694</v>
      </c>
    </row>
    <row r="3" spans="1:13" ht="12" customHeight="1">
      <c r="A3" s="7" t="s">
        <v>1</v>
      </c>
      <c r="B3" s="200">
        <v>112000</v>
      </c>
      <c r="C3" s="223" t="str">
        <f>VLOOKUP($B:$B,RAW!$A:$B,2,0)</f>
        <v>유동자산(계)</v>
      </c>
      <c r="D3" s="10">
        <f>SUM(D4,D18)</f>
        <v>91991593872</v>
      </c>
      <c r="G3" s="11"/>
      <c r="H3" s="10">
        <f>SUM(H4,H18)</f>
        <v>0</v>
      </c>
      <c r="K3" s="15"/>
    </row>
    <row r="4" spans="1:13" ht="12" customHeight="1">
      <c r="A4" s="7" t="s">
        <v>18</v>
      </c>
      <c r="B4" s="201">
        <v>111300</v>
      </c>
      <c r="C4" s="235" t="str">
        <f>VLOOKUP($B:$B,RAW!$A:$B,2,0)</f>
        <v>당좌자산(계)</v>
      </c>
      <c r="D4" s="13">
        <f>SUM(D5:F17)</f>
        <v>91525726924</v>
      </c>
      <c r="E4" s="14"/>
      <c r="G4" s="15"/>
      <c r="H4" s="13">
        <f>SUM(H5:J15)</f>
        <v>0</v>
      </c>
      <c r="I4" s="14"/>
      <c r="K4" s="18"/>
    </row>
    <row r="5" spans="1:13" ht="12" customHeight="1">
      <c r="A5" s="7" t="s">
        <v>127</v>
      </c>
      <c r="B5" s="202">
        <v>111100</v>
      </c>
      <c r="C5" s="241" t="str">
        <f>VLOOKUP($B:$B,RAW!$A:$B,2,0)</f>
        <v>현금및현금등가물</v>
      </c>
      <c r="D5" s="16">
        <f>457396473+5608260000</f>
        <v>6065656473</v>
      </c>
      <c r="E5" s="17"/>
      <c r="F5" s="17">
        <v>4913597726</v>
      </c>
      <c r="G5" s="11" t="s">
        <v>1758</v>
      </c>
      <c r="H5" s="16"/>
      <c r="I5" s="17"/>
      <c r="J5" s="17"/>
      <c r="K5" s="11"/>
    </row>
    <row r="6" spans="1:13" ht="12" customHeight="1">
      <c r="A6" s="7" t="s">
        <v>128</v>
      </c>
      <c r="B6" s="202">
        <v>111220</v>
      </c>
      <c r="C6" s="241" t="str">
        <f>VLOOKUP($B:$B,RAW!$A:$B,2,0)</f>
        <v>단기금융상품</v>
      </c>
      <c r="D6" s="16"/>
      <c r="E6" s="17"/>
      <c r="F6" s="17">
        <v>300476813</v>
      </c>
      <c r="G6" s="11" t="s">
        <v>1803</v>
      </c>
      <c r="H6" s="16"/>
      <c r="I6" s="17"/>
      <c r="J6" s="17"/>
      <c r="K6" s="11"/>
      <c r="M6" s="27" t="s">
        <v>1785</v>
      </c>
    </row>
    <row r="7" spans="1:13" ht="12" customHeight="1">
      <c r="A7" s="7" t="s">
        <v>207</v>
      </c>
      <c r="B7" s="202">
        <v>111140</v>
      </c>
      <c r="C7" s="241" t="str">
        <f>VLOOKUP($B:$B,RAW!$A:$B,2,0)</f>
        <v>단기투자증권</v>
      </c>
      <c r="D7" s="16"/>
      <c r="E7" s="17"/>
      <c r="F7" s="17">
        <v>440143073</v>
      </c>
      <c r="G7" s="11" t="s">
        <v>1798</v>
      </c>
      <c r="H7" s="16"/>
      <c r="I7" s="17"/>
      <c r="J7" s="17"/>
      <c r="K7" s="11"/>
      <c r="M7" s="27" t="s">
        <v>1786</v>
      </c>
    </row>
    <row r="8" spans="1:13" ht="12" customHeight="1">
      <c r="A8" s="7" t="s">
        <v>129</v>
      </c>
      <c r="B8" s="202">
        <v>111150</v>
      </c>
      <c r="C8" s="419" t="s">
        <v>558</v>
      </c>
      <c r="D8" s="427">
        <v>20176229897</v>
      </c>
      <c r="E8" s="17"/>
      <c r="F8" s="17"/>
      <c r="G8" s="11" t="s">
        <v>1764</v>
      </c>
      <c r="H8" s="16"/>
      <c r="I8" s="17"/>
      <c r="J8" s="17"/>
      <c r="K8" s="11"/>
    </row>
    <row r="9" spans="1:13" ht="12" customHeight="1">
      <c r="A9" s="7" t="s">
        <v>130</v>
      </c>
      <c r="B9" s="202">
        <v>111170</v>
      </c>
      <c r="C9" s="241" t="str">
        <f>VLOOKUP($B:$B,RAW!$A:$B,2,0)</f>
        <v>단기대여금</v>
      </c>
      <c r="D9" s="16">
        <v>51422175000</v>
      </c>
      <c r="E9" s="17"/>
      <c r="F9" s="17"/>
      <c r="G9" s="11" t="s">
        <v>1765</v>
      </c>
      <c r="H9" s="16"/>
      <c r="I9" s="17"/>
      <c r="J9" s="17"/>
      <c r="K9" s="11"/>
    </row>
    <row r="10" spans="1:13" ht="12" customHeight="1">
      <c r="A10" s="7" t="s">
        <v>208</v>
      </c>
      <c r="B10" s="203">
        <v>111154</v>
      </c>
      <c r="C10" s="244" t="str">
        <f>VLOOKUP($B:$B,RAW!$A:$B,2,0)</f>
        <v>영업미수금</v>
      </c>
      <c r="D10" s="16"/>
      <c r="E10" s="17"/>
      <c r="F10" s="17"/>
      <c r="G10" s="11" t="s">
        <v>1779</v>
      </c>
      <c r="H10" s="16"/>
      <c r="I10" s="17"/>
      <c r="J10" s="17"/>
      <c r="K10" s="11"/>
    </row>
    <row r="11" spans="1:13" ht="12" customHeight="1">
      <c r="A11" s="7" t="s">
        <v>209</v>
      </c>
      <c r="B11" s="203">
        <v>111155</v>
      </c>
      <c r="C11" s="244" t="str">
        <f>VLOOKUP($B:$B,RAW!$A:$B,2,0)</f>
        <v>영업외화미수금</v>
      </c>
      <c r="D11" s="16"/>
      <c r="E11" s="17"/>
      <c r="F11" s="17"/>
      <c r="G11" s="11" t="s">
        <v>1792</v>
      </c>
      <c r="H11" s="16"/>
      <c r="I11" s="17"/>
      <c r="J11" s="17"/>
      <c r="K11" s="11"/>
    </row>
    <row r="12" spans="1:13" ht="12" customHeight="1">
      <c r="A12" s="7" t="s">
        <v>210</v>
      </c>
      <c r="B12" s="203">
        <v>111181</v>
      </c>
      <c r="C12" s="244" t="str">
        <f>VLOOKUP($B:$B,RAW!$A:$B,2,0)</f>
        <v>공사미수금</v>
      </c>
      <c r="D12" s="16"/>
      <c r="E12" s="17"/>
      <c r="F12" s="17">
        <v>1293330027</v>
      </c>
      <c r="G12" s="11" t="s">
        <v>1801</v>
      </c>
      <c r="H12" s="16"/>
      <c r="I12" s="17"/>
      <c r="J12" s="17"/>
      <c r="K12" s="11"/>
    </row>
    <row r="13" spans="1:13" ht="12.75" customHeight="1">
      <c r="A13" s="7" t="s">
        <v>211</v>
      </c>
      <c r="B13" s="203">
        <v>111184</v>
      </c>
      <c r="C13" s="244" t="str">
        <f>VLOOKUP($B:$B,RAW!$A:$B,2,0)</f>
        <v>분양미수금</v>
      </c>
      <c r="D13" s="16"/>
      <c r="E13" s="17"/>
      <c r="F13" s="17">
        <v>3862090688</v>
      </c>
      <c r="G13" s="11" t="s">
        <v>1791</v>
      </c>
      <c r="H13" s="16"/>
      <c r="I13" s="17"/>
      <c r="J13" s="17"/>
      <c r="K13" s="11"/>
    </row>
    <row r="14" spans="1:13" ht="12" customHeight="1">
      <c r="A14" s="7" t="s">
        <v>212</v>
      </c>
      <c r="B14" s="203">
        <v>111185</v>
      </c>
      <c r="C14" s="244" t="str">
        <f>VLOOKUP($B:$B,RAW!$A:$B,2,0)</f>
        <v>임대미수금</v>
      </c>
      <c r="D14" s="16"/>
      <c r="E14" s="17"/>
      <c r="F14" s="17">
        <v>2363928249</v>
      </c>
      <c r="G14" s="11" t="s">
        <v>1802</v>
      </c>
      <c r="H14" s="16"/>
      <c r="I14" s="17"/>
      <c r="J14" s="17"/>
      <c r="K14" s="11"/>
    </row>
    <row r="15" spans="1:13" ht="12" customHeight="1">
      <c r="A15" s="7" t="s">
        <v>1754</v>
      </c>
      <c r="B15" s="202">
        <v>111420</v>
      </c>
      <c r="C15" s="242" t="str">
        <f>VLOOKUP($B:$B,RAW!$A:$B,2,0)</f>
        <v>선급비용</v>
      </c>
      <c r="D15" s="16">
        <v>688098978</v>
      </c>
      <c r="G15" s="11"/>
      <c r="H15" s="16"/>
      <c r="K15" s="11"/>
    </row>
    <row r="16" spans="1:13" ht="12" customHeight="1">
      <c r="A16" s="7" t="s">
        <v>1757</v>
      </c>
      <c r="B16" s="202"/>
      <c r="C16" s="242"/>
      <c r="D16" s="16"/>
      <c r="G16" s="11"/>
      <c r="H16" s="16"/>
      <c r="K16" s="11"/>
    </row>
    <row r="17" spans="1:11" ht="12" customHeight="1">
      <c r="B17" s="202"/>
      <c r="C17" s="242"/>
      <c r="D17" s="16"/>
      <c r="G17" s="11"/>
      <c r="H17" s="16"/>
      <c r="K17" s="11"/>
    </row>
    <row r="18" spans="1:11" ht="12" customHeight="1">
      <c r="A18" s="7" t="s">
        <v>25</v>
      </c>
      <c r="B18" s="201">
        <v>111400</v>
      </c>
      <c r="C18" s="235" t="str">
        <f>VLOOKUP($B:$B,RAW!$A:$B,2,0)</f>
        <v>재고자산(계)</v>
      </c>
      <c r="D18" s="13">
        <v>465866948</v>
      </c>
      <c r="E18" s="14"/>
      <c r="G18" s="11"/>
      <c r="H18" s="13">
        <f>SUM(H19:I27)</f>
        <v>0</v>
      </c>
      <c r="I18" s="14"/>
      <c r="K18" s="11"/>
    </row>
    <row r="19" spans="1:11" ht="12" customHeight="1">
      <c r="C19" s="224"/>
      <c r="D19" s="19"/>
      <c r="E19" s="17">
        <v>0</v>
      </c>
      <c r="G19" s="11"/>
      <c r="H19" s="19"/>
      <c r="I19" s="17"/>
      <c r="K19" s="11"/>
    </row>
    <row r="20" spans="1:11" ht="12" customHeight="1">
      <c r="C20" s="224"/>
      <c r="D20" s="19"/>
      <c r="E20" s="17"/>
      <c r="G20" s="11"/>
      <c r="H20" s="19"/>
      <c r="I20" s="17"/>
      <c r="K20" s="11"/>
    </row>
    <row r="21" spans="1:11" ht="12" customHeight="1">
      <c r="C21" s="224"/>
      <c r="D21" s="19"/>
      <c r="E21" s="17"/>
      <c r="G21" s="11"/>
      <c r="H21" s="19"/>
      <c r="I21" s="17"/>
      <c r="K21" s="11"/>
    </row>
    <row r="22" spans="1:11" ht="12" customHeight="1">
      <c r="C22" s="224"/>
      <c r="D22" s="19"/>
      <c r="E22" s="17"/>
      <c r="G22" s="11"/>
      <c r="H22" s="19"/>
      <c r="I22" s="17"/>
      <c r="K22" s="11"/>
    </row>
    <row r="23" spans="1:11" ht="12" customHeight="1">
      <c r="C23" s="224"/>
      <c r="D23" s="19"/>
      <c r="E23" s="17"/>
      <c r="G23" s="11"/>
      <c r="H23" s="19"/>
      <c r="I23" s="17"/>
      <c r="K23" s="11"/>
    </row>
    <row r="24" spans="1:11" ht="12" customHeight="1">
      <c r="C24" s="224"/>
      <c r="D24" s="19"/>
      <c r="E24" s="17"/>
      <c r="G24" s="11"/>
      <c r="H24" s="19"/>
      <c r="I24" s="17"/>
      <c r="K24" s="11"/>
    </row>
    <row r="25" spans="1:11" ht="12" customHeight="1">
      <c r="C25" s="224"/>
      <c r="D25" s="19"/>
      <c r="E25" s="17"/>
      <c r="G25" s="11"/>
      <c r="H25" s="19"/>
      <c r="I25" s="17"/>
      <c r="K25" s="11"/>
    </row>
    <row r="26" spans="1:11" ht="12" customHeight="1">
      <c r="C26" s="224"/>
      <c r="D26" s="19"/>
      <c r="E26" s="17"/>
      <c r="G26" s="11"/>
      <c r="H26" s="19"/>
      <c r="I26" s="17"/>
      <c r="K26" s="11"/>
    </row>
    <row r="27" spans="1:11" ht="12" customHeight="1">
      <c r="C27" s="224"/>
      <c r="D27" s="19"/>
      <c r="E27" s="17"/>
      <c r="G27" s="11"/>
      <c r="H27" s="19"/>
      <c r="I27" s="17"/>
      <c r="K27" s="11"/>
    </row>
    <row r="28" spans="1:11" ht="12" customHeight="1">
      <c r="C28" s="224"/>
      <c r="D28" s="19"/>
      <c r="E28" s="17"/>
      <c r="G28" s="11"/>
      <c r="H28" s="19"/>
      <c r="I28" s="17"/>
      <c r="K28" s="11"/>
    </row>
    <row r="29" spans="1:11" ht="12" customHeight="1">
      <c r="C29" s="224"/>
      <c r="D29" s="19"/>
      <c r="E29" s="17"/>
      <c r="G29" s="11"/>
      <c r="H29" s="19"/>
      <c r="I29" s="17"/>
      <c r="K29" s="11"/>
    </row>
    <row r="30" spans="1:11" ht="12" customHeight="1">
      <c r="A30" s="7" t="s">
        <v>2</v>
      </c>
      <c r="B30" s="205">
        <v>114000</v>
      </c>
      <c r="C30" s="223" t="str">
        <f>VLOOKUP($B:$B,RAW!$A:$B,2,0)</f>
        <v>비유동자산(계)</v>
      </c>
      <c r="D30" s="20">
        <f>SUM(D31,D38,D55,D71)</f>
        <v>40235151187</v>
      </c>
      <c r="G30" s="11"/>
      <c r="H30" s="20">
        <f>SUM(H31,H38,H55,H71)</f>
        <v>0</v>
      </c>
      <c r="K30" s="11"/>
    </row>
    <row r="31" spans="1:11" ht="12" customHeight="1">
      <c r="A31" s="7" t="s">
        <v>132</v>
      </c>
      <c r="B31" s="201">
        <v>113000</v>
      </c>
      <c r="C31" s="235" t="str">
        <f>VLOOKUP($B:$B,RAW!$A:$B,2,0)</f>
        <v>투자자산(계)</v>
      </c>
      <c r="D31" s="13">
        <f>SUM(D32:F37)</f>
        <v>13845683045</v>
      </c>
      <c r="E31" s="14"/>
      <c r="G31" s="11"/>
      <c r="H31" s="13">
        <f>SUM(H32:I36)</f>
        <v>0</v>
      </c>
      <c r="I31" s="14"/>
      <c r="K31" s="11"/>
    </row>
    <row r="32" spans="1:11" ht="12" customHeight="1">
      <c r="A32" s="7" t="s">
        <v>133</v>
      </c>
      <c r="B32" s="202">
        <v>112111</v>
      </c>
      <c r="C32" s="241" t="str">
        <f>VLOOKUP($B:$B,RAW!$A:$B,2,0)</f>
        <v>장기금융상품</v>
      </c>
      <c r="D32" s="16"/>
      <c r="E32" s="17"/>
      <c r="G32" s="11" t="s">
        <v>1781</v>
      </c>
      <c r="H32" s="16"/>
      <c r="I32" s="17"/>
      <c r="K32" s="11"/>
    </row>
    <row r="33" spans="1:11" ht="12" customHeight="1">
      <c r="A33" s="7" t="s">
        <v>134</v>
      </c>
      <c r="B33" s="202">
        <v>112120</v>
      </c>
      <c r="C33" s="241" t="str">
        <f>VLOOKUP($B:$B,RAW!$A:$B,2,0)</f>
        <v>장기투자증권</v>
      </c>
      <c r="D33" s="16"/>
      <c r="E33" s="17"/>
      <c r="G33" s="11" t="s">
        <v>1782</v>
      </c>
      <c r="H33" s="16"/>
      <c r="I33" s="17"/>
      <c r="K33" s="11"/>
    </row>
    <row r="34" spans="1:11" ht="12" customHeight="1">
      <c r="A34" s="7" t="s">
        <v>214</v>
      </c>
      <c r="B34" s="202">
        <v>112147</v>
      </c>
      <c r="C34" s="241" t="str">
        <f>VLOOKUP($B:$B,RAW!$A:$B,2,0)</f>
        <v>지분법적용주식</v>
      </c>
      <c r="D34" s="16">
        <v>5725679000</v>
      </c>
      <c r="E34" s="17"/>
      <c r="G34" s="11" t="s">
        <v>1783</v>
      </c>
      <c r="H34" s="16"/>
      <c r="I34" s="17"/>
      <c r="K34" s="11"/>
    </row>
    <row r="35" spans="1:11" ht="12" customHeight="1">
      <c r="A35" s="7" t="s">
        <v>195</v>
      </c>
      <c r="B35" s="202">
        <v>112210</v>
      </c>
      <c r="C35" s="241" t="str">
        <f>VLOOKUP($B:$B,RAW!$A:$B,2,0)</f>
        <v>장기대여금</v>
      </c>
      <c r="D35" s="16"/>
      <c r="E35" s="17"/>
      <c r="F35" s="7">
        <v>8120004045</v>
      </c>
      <c r="G35" s="11" t="s">
        <v>1804</v>
      </c>
      <c r="H35" s="16"/>
      <c r="I35" s="17"/>
      <c r="K35" s="11"/>
    </row>
    <row r="36" spans="1:11" ht="12" customHeight="1">
      <c r="A36" s="7" t="s">
        <v>215</v>
      </c>
      <c r="B36" s="202">
        <v>112150</v>
      </c>
      <c r="C36" s="241" t="str">
        <f>VLOOKUP($B:$B,RAW!$A:$B,2,0)</f>
        <v>투자부동산</v>
      </c>
      <c r="D36" s="16"/>
      <c r="E36" s="14"/>
      <c r="G36" s="11"/>
      <c r="H36" s="16"/>
      <c r="I36" s="14"/>
      <c r="K36" s="11"/>
    </row>
    <row r="37" spans="1:11" ht="12" customHeight="1">
      <c r="A37" s="7" t="s">
        <v>1756</v>
      </c>
      <c r="B37" s="202"/>
      <c r="C37" s="419"/>
      <c r="D37" s="16"/>
      <c r="E37" s="14"/>
      <c r="G37" s="11"/>
      <c r="H37" s="16"/>
      <c r="I37" s="14"/>
      <c r="K37" s="11"/>
    </row>
    <row r="38" spans="1:11" ht="12" customHeight="1">
      <c r="A38" s="7" t="s">
        <v>27</v>
      </c>
      <c r="B38" s="201">
        <v>113200</v>
      </c>
      <c r="C38" s="235" t="str">
        <f>VLOOKUP($B:$B,RAW!$A:$B,2,0)</f>
        <v>유형자산(계)</v>
      </c>
      <c r="D38" s="13">
        <f>E39-D39</f>
        <v>15556075997</v>
      </c>
      <c r="E38" s="14"/>
      <c r="F38" s="14"/>
      <c r="G38" s="11"/>
      <c r="H38" s="13">
        <f>SUM(H39:I39)</f>
        <v>0</v>
      </c>
      <c r="I38" s="14"/>
      <c r="J38" s="14"/>
      <c r="K38" s="11"/>
    </row>
    <row r="39" spans="1:11" ht="12" customHeight="1">
      <c r="A39" s="7" t="s">
        <v>39</v>
      </c>
      <c r="B39" s="201">
        <v>113201</v>
      </c>
      <c r="C39" s="235" t="str">
        <f>VLOOKUP($B:$B,RAW!$A:$B,2,0)</f>
        <v>(유형자산감가상각누계액계)</v>
      </c>
      <c r="D39" s="13">
        <f>SUM(E40:E53)</f>
        <v>5730988917</v>
      </c>
      <c r="E39" s="422">
        <f>SUM(D40:D53)</f>
        <v>21287064914</v>
      </c>
      <c r="F39" s="14"/>
      <c r="G39" s="11"/>
      <c r="H39" s="13">
        <f>SUM(J40:J53)</f>
        <v>0</v>
      </c>
      <c r="I39" s="21">
        <f>SUM(H40:I53)</f>
        <v>0</v>
      </c>
      <c r="J39" s="14"/>
      <c r="K39" s="11"/>
    </row>
    <row r="40" spans="1:11" ht="12" customHeight="1">
      <c r="A40" s="7" t="s">
        <v>40</v>
      </c>
      <c r="B40" s="202">
        <v>113110</v>
      </c>
      <c r="C40" s="241" t="str">
        <f>VLOOKUP($B:$B,RAW!$A:$B,2,0)</f>
        <v>토지</v>
      </c>
      <c r="D40" s="61"/>
      <c r="E40" s="17"/>
      <c r="F40" s="421"/>
      <c r="G40" s="11"/>
      <c r="H40" s="61"/>
      <c r="I40" s="62"/>
      <c r="J40" s="17"/>
      <c r="K40" s="11"/>
    </row>
    <row r="41" spans="1:11" ht="12" customHeight="1">
      <c r="A41" s="7" t="s">
        <v>41</v>
      </c>
      <c r="C41" s="224" t="s">
        <v>1793</v>
      </c>
      <c r="D41" s="22"/>
      <c r="E41" s="17"/>
      <c r="F41" s="17"/>
      <c r="G41" s="11"/>
      <c r="H41" s="61"/>
      <c r="I41" s="62"/>
      <c r="J41" s="62"/>
      <c r="K41" s="11"/>
    </row>
    <row r="42" spans="1:11" ht="12" customHeight="1">
      <c r="A42" s="7" t="s">
        <v>42</v>
      </c>
      <c r="C42" s="224" t="s">
        <v>1794</v>
      </c>
      <c r="D42" s="427">
        <v>84424529</v>
      </c>
      <c r="E42" s="427">
        <v>65239205</v>
      </c>
      <c r="F42" s="17"/>
      <c r="G42" s="11"/>
      <c r="H42" s="22"/>
      <c r="I42" s="23"/>
      <c r="J42" s="23"/>
      <c r="K42" s="11"/>
    </row>
    <row r="43" spans="1:11" ht="12" customHeight="1">
      <c r="A43" s="7" t="s">
        <v>43</v>
      </c>
      <c r="C43" s="224" t="s">
        <v>1795</v>
      </c>
      <c r="D43" s="22">
        <v>2535568903</v>
      </c>
      <c r="E43" s="427">
        <v>891957200</v>
      </c>
      <c r="F43" s="17"/>
      <c r="G43" s="11"/>
      <c r="H43" s="22"/>
      <c r="I43" s="23"/>
      <c r="J43" s="23"/>
      <c r="K43" s="11"/>
    </row>
    <row r="44" spans="1:11" ht="12" customHeight="1">
      <c r="A44" s="7" t="s">
        <v>135</v>
      </c>
      <c r="C44" s="224" t="s">
        <v>1796</v>
      </c>
      <c r="D44" s="22"/>
      <c r="E44" s="17"/>
      <c r="F44" s="17"/>
      <c r="G44" s="11"/>
      <c r="H44" s="22"/>
      <c r="I44" s="23"/>
      <c r="J44" s="23"/>
      <c r="K44" s="11"/>
    </row>
    <row r="45" spans="1:11" ht="12" customHeight="1">
      <c r="A45" s="7" t="s">
        <v>178</v>
      </c>
      <c r="C45" s="224" t="s">
        <v>1797</v>
      </c>
      <c r="D45" s="427">
        <v>1414971020</v>
      </c>
      <c r="E45" s="427">
        <v>794551075</v>
      </c>
      <c r="F45" s="17"/>
      <c r="G45" s="11"/>
      <c r="H45" s="22"/>
      <c r="I45" s="23"/>
      <c r="J45" s="17"/>
      <c r="K45" s="11"/>
    </row>
    <row r="46" spans="1:11" ht="12" customHeight="1">
      <c r="A46" s="7" t="s">
        <v>44</v>
      </c>
      <c r="C46" s="224"/>
      <c r="D46" s="427">
        <v>17252100462</v>
      </c>
      <c r="E46" s="427">
        <v>3979241437</v>
      </c>
      <c r="F46" s="17"/>
      <c r="G46" s="11"/>
      <c r="H46" s="22"/>
      <c r="I46" s="23"/>
      <c r="J46" s="17"/>
      <c r="K46" s="11"/>
    </row>
    <row r="47" spans="1:11" ht="12" customHeight="1">
      <c r="A47" s="7" t="s">
        <v>179</v>
      </c>
      <c r="C47" s="224"/>
      <c r="D47" s="22"/>
      <c r="E47" s="17"/>
      <c r="F47" s="17"/>
      <c r="G47" s="11"/>
      <c r="H47" s="22"/>
      <c r="I47" s="23"/>
      <c r="J47" s="17"/>
      <c r="K47" s="11"/>
    </row>
    <row r="48" spans="1:11" ht="12" customHeight="1">
      <c r="A48" s="7" t="s">
        <v>136</v>
      </c>
      <c r="C48" s="224"/>
      <c r="D48" s="224"/>
      <c r="E48" s="17"/>
      <c r="F48" s="17"/>
      <c r="G48" s="11"/>
      <c r="H48" s="22"/>
      <c r="I48" s="23"/>
      <c r="J48" s="17"/>
      <c r="K48" s="11"/>
    </row>
    <row r="49" spans="1:11" ht="12" customHeight="1">
      <c r="A49" s="7" t="s">
        <v>180</v>
      </c>
      <c r="C49" s="224"/>
      <c r="D49" s="22"/>
      <c r="E49" s="17"/>
      <c r="F49" s="17"/>
      <c r="G49" s="11"/>
      <c r="H49" s="22"/>
      <c r="I49" s="23"/>
      <c r="J49" s="17"/>
      <c r="K49" s="11"/>
    </row>
    <row r="50" spans="1:11" ht="12" customHeight="1">
      <c r="A50" s="7" t="s">
        <v>181</v>
      </c>
      <c r="C50" s="224"/>
      <c r="D50" s="22"/>
      <c r="E50" s="17"/>
      <c r="F50" s="17"/>
      <c r="G50" s="11"/>
      <c r="H50" s="22"/>
      <c r="I50" s="23"/>
      <c r="J50" s="17"/>
      <c r="K50" s="11"/>
    </row>
    <row r="51" spans="1:11" ht="12" customHeight="1">
      <c r="A51" s="7" t="s">
        <v>45</v>
      </c>
      <c r="C51" s="224"/>
      <c r="D51" s="22"/>
      <c r="E51" s="17"/>
      <c r="F51" s="17"/>
      <c r="G51" s="11"/>
      <c r="H51" s="22"/>
      <c r="I51" s="23"/>
      <c r="J51" s="17"/>
      <c r="K51" s="11"/>
    </row>
    <row r="52" spans="1:11" ht="12" customHeight="1">
      <c r="A52" s="7" t="s">
        <v>1753</v>
      </c>
      <c r="C52" s="224"/>
      <c r="D52" s="22"/>
      <c r="E52" s="17"/>
      <c r="F52" s="17"/>
      <c r="G52" s="11"/>
      <c r="H52" s="22"/>
      <c r="I52" s="23"/>
      <c r="J52" s="17"/>
      <c r="K52" s="11"/>
    </row>
    <row r="53" spans="1:11" ht="12" customHeight="1">
      <c r="C53" s="224"/>
      <c r="D53" s="22"/>
      <c r="E53" s="17"/>
      <c r="F53" s="17"/>
      <c r="G53" s="11"/>
      <c r="H53" s="22"/>
      <c r="I53" s="23"/>
      <c r="J53" s="17"/>
      <c r="K53" s="11"/>
    </row>
    <row r="54" spans="1:11" ht="12" customHeight="1">
      <c r="C54" s="224"/>
      <c r="D54" s="19"/>
      <c r="E54" s="14"/>
      <c r="F54" s="14"/>
      <c r="G54" s="11"/>
      <c r="H54" s="19"/>
      <c r="I54" s="14"/>
      <c r="J54" s="14"/>
      <c r="K54" s="11"/>
    </row>
    <row r="55" spans="1:11" ht="12" customHeight="1">
      <c r="A55" s="7" t="s">
        <v>46</v>
      </c>
      <c r="B55" s="201">
        <v>113400</v>
      </c>
      <c r="C55" s="235" t="str">
        <f>VLOOKUP($B:$B,RAW!$A:$B,2,0)</f>
        <v>무형자산(계)</v>
      </c>
      <c r="D55" s="13">
        <f>SUM(D56:F70)</f>
        <v>1620968547</v>
      </c>
      <c r="E55" s="24"/>
      <c r="F55" s="24"/>
      <c r="G55" s="11"/>
      <c r="H55" s="13">
        <f>SUM(H56:J69)</f>
        <v>0</v>
      </c>
      <c r="I55" s="24"/>
      <c r="J55" s="24"/>
      <c r="K55" s="11"/>
    </row>
    <row r="56" spans="1:11" ht="12" customHeight="1">
      <c r="A56" s="7" t="s">
        <v>31</v>
      </c>
      <c r="B56" s="202">
        <v>113296</v>
      </c>
      <c r="C56" s="241" t="s">
        <v>1690</v>
      </c>
      <c r="D56" s="16"/>
      <c r="E56" s="24"/>
      <c r="F56" s="24"/>
      <c r="G56" s="11" t="s">
        <v>1766</v>
      </c>
      <c r="H56" s="16"/>
      <c r="I56" s="17"/>
      <c r="J56" s="24"/>
      <c r="K56" s="11"/>
    </row>
    <row r="57" spans="1:11" ht="12" customHeight="1">
      <c r="A57" s="7" t="s">
        <v>182</v>
      </c>
      <c r="C57" s="224"/>
      <c r="D57" s="19"/>
      <c r="E57" s="24"/>
      <c r="F57" s="24"/>
      <c r="G57" s="11" t="s">
        <v>1767</v>
      </c>
      <c r="H57" s="16"/>
      <c r="I57" s="17"/>
      <c r="J57" s="24"/>
      <c r="K57" s="11"/>
    </row>
    <row r="58" spans="1:11" ht="12" customHeight="1">
      <c r="A58" s="7" t="s">
        <v>183</v>
      </c>
      <c r="C58" s="224"/>
      <c r="D58" s="19"/>
      <c r="E58" s="24"/>
      <c r="F58" s="24"/>
      <c r="G58" s="11" t="s">
        <v>1768</v>
      </c>
      <c r="H58" s="19"/>
      <c r="I58" s="17"/>
      <c r="J58" s="24"/>
      <c r="K58" s="11"/>
    </row>
    <row r="59" spans="1:11" ht="12" customHeight="1">
      <c r="A59" s="7" t="s">
        <v>1751</v>
      </c>
      <c r="C59" s="224"/>
      <c r="D59" s="19"/>
      <c r="E59" s="24"/>
      <c r="F59" s="427">
        <v>6105419818</v>
      </c>
      <c r="G59" s="11" t="s">
        <v>1805</v>
      </c>
      <c r="H59" s="19"/>
      <c r="I59" s="17"/>
      <c r="J59" s="24"/>
      <c r="K59" s="11"/>
    </row>
    <row r="60" spans="1:11" ht="12" customHeight="1">
      <c r="A60" s="7" t="s">
        <v>1752</v>
      </c>
      <c r="C60" s="224"/>
      <c r="D60" s="19"/>
      <c r="E60" s="24"/>
      <c r="F60" s="427">
        <v>-4814491256</v>
      </c>
      <c r="G60" s="11"/>
      <c r="H60" s="19"/>
      <c r="I60" s="17"/>
      <c r="J60" s="24"/>
      <c r="K60" s="11"/>
    </row>
    <row r="61" spans="1:11" ht="12" customHeight="1">
      <c r="A61" s="7" t="s">
        <v>186</v>
      </c>
      <c r="C61" s="224"/>
      <c r="D61" s="19"/>
      <c r="E61" s="24"/>
      <c r="F61" s="427">
        <v>10302392</v>
      </c>
      <c r="G61" s="11" t="s">
        <v>1806</v>
      </c>
      <c r="H61" s="19"/>
      <c r="I61" s="17"/>
      <c r="J61" s="24"/>
      <c r="K61" s="11"/>
    </row>
    <row r="62" spans="1:11" ht="12" customHeight="1">
      <c r="A62" s="7" t="s">
        <v>187</v>
      </c>
      <c r="C62" s="224"/>
      <c r="D62" s="19"/>
      <c r="E62" s="24"/>
      <c r="F62" s="427">
        <v>319737593</v>
      </c>
      <c r="G62" s="11" t="s">
        <v>1807</v>
      </c>
      <c r="H62" s="19"/>
      <c r="I62" s="17"/>
      <c r="J62" s="24"/>
      <c r="K62" s="11"/>
    </row>
    <row r="63" spans="1:11" ht="12" customHeight="1">
      <c r="A63" s="7" t="s">
        <v>188</v>
      </c>
      <c r="C63" s="224"/>
      <c r="D63" s="19"/>
      <c r="E63" s="24"/>
      <c r="F63" s="427">
        <v>0</v>
      </c>
      <c r="G63" s="11"/>
      <c r="H63" s="19"/>
      <c r="I63" s="17"/>
      <c r="J63" s="24"/>
      <c r="K63" s="11"/>
    </row>
    <row r="64" spans="1:11" ht="12" customHeight="1">
      <c r="A64" s="7" t="s">
        <v>189</v>
      </c>
      <c r="C64" s="224"/>
      <c r="D64" s="19"/>
      <c r="E64" s="24"/>
      <c r="F64" s="24"/>
      <c r="G64" s="11"/>
      <c r="H64" s="19"/>
      <c r="I64" s="17"/>
      <c r="J64" s="24"/>
      <c r="K64" s="11"/>
    </row>
    <row r="65" spans="1:11" ht="12" customHeight="1">
      <c r="A65" s="7" t="s">
        <v>190</v>
      </c>
      <c r="C65" s="224"/>
      <c r="D65" s="19"/>
      <c r="E65" s="24"/>
      <c r="F65" s="24"/>
      <c r="G65" s="11"/>
      <c r="H65" s="19"/>
      <c r="I65" s="17"/>
      <c r="J65" s="24"/>
      <c r="K65" s="11"/>
    </row>
    <row r="66" spans="1:11" ht="12" customHeight="1">
      <c r="A66" s="7" t="s">
        <v>191</v>
      </c>
      <c r="C66" s="224"/>
      <c r="D66" s="19"/>
      <c r="E66" s="24"/>
      <c r="F66" s="24"/>
      <c r="G66" s="11"/>
      <c r="H66" s="19"/>
      <c r="I66" s="17"/>
      <c r="J66" s="24"/>
      <c r="K66" s="11"/>
    </row>
    <row r="67" spans="1:11" ht="12" customHeight="1">
      <c r="A67" s="7" t="s">
        <v>192</v>
      </c>
      <c r="C67" s="224"/>
      <c r="D67" s="19"/>
      <c r="E67" s="24"/>
      <c r="F67" s="24"/>
      <c r="G67" s="11"/>
      <c r="H67" s="19"/>
      <c r="I67" s="17"/>
      <c r="J67" s="24"/>
      <c r="K67" s="11"/>
    </row>
    <row r="68" spans="1:11" ht="12" customHeight="1">
      <c r="A68" s="7" t="s">
        <v>193</v>
      </c>
      <c r="C68" s="224"/>
      <c r="D68" s="19"/>
      <c r="E68" s="24"/>
      <c r="F68" s="24"/>
      <c r="G68" s="11"/>
      <c r="H68" s="19"/>
      <c r="I68" s="17"/>
      <c r="J68" s="24"/>
      <c r="K68" s="11"/>
    </row>
    <row r="69" spans="1:11" ht="12" customHeight="1">
      <c r="A69" s="7" t="s">
        <v>194</v>
      </c>
      <c r="C69" s="224"/>
      <c r="D69" s="19"/>
      <c r="E69" s="24"/>
      <c r="F69" s="24"/>
      <c r="G69" s="11"/>
      <c r="H69" s="19"/>
      <c r="I69" s="17"/>
      <c r="J69" s="24"/>
      <c r="K69" s="11"/>
    </row>
    <row r="70" spans="1:11" ht="12" customHeight="1">
      <c r="C70" s="224"/>
      <c r="D70" s="19"/>
      <c r="F70" s="24"/>
      <c r="G70" s="11"/>
      <c r="H70" s="19"/>
      <c r="K70" s="11"/>
    </row>
    <row r="71" spans="1:11" ht="12" customHeight="1">
      <c r="A71" s="7" t="s">
        <v>53</v>
      </c>
      <c r="B71" s="201">
        <v>113600</v>
      </c>
      <c r="C71" s="235" t="str">
        <f>VLOOKUP($B:$B,RAW!$A:$B,2,0)</f>
        <v>기타비유동자산(계)</v>
      </c>
      <c r="D71" s="13">
        <f>SUM(D72:F74)</f>
        <v>9212423598</v>
      </c>
      <c r="E71" s="14"/>
      <c r="F71" s="14"/>
      <c r="G71" s="11"/>
      <c r="H71" s="13">
        <f>SUM(H72:J73)</f>
        <v>0</v>
      </c>
      <c r="I71" s="14"/>
      <c r="J71" s="14"/>
      <c r="K71" s="11"/>
    </row>
    <row r="72" spans="1:11" ht="12" customHeight="1">
      <c r="A72" s="7" t="s">
        <v>137</v>
      </c>
      <c r="B72" s="202">
        <v>112269</v>
      </c>
      <c r="C72" s="241" t="str">
        <f>VLOOKUP($B:$B,RAW!$A:$B,2,0)</f>
        <v>회원권</v>
      </c>
      <c r="D72" s="61"/>
      <c r="E72" s="427">
        <v>530000000</v>
      </c>
      <c r="F72" s="17"/>
      <c r="G72" s="11" t="s">
        <v>1769</v>
      </c>
      <c r="H72" s="61"/>
      <c r="I72" s="17"/>
      <c r="J72" s="17"/>
      <c r="K72" s="11"/>
    </row>
    <row r="73" spans="1:11" ht="12" customHeight="1">
      <c r="A73" s="7" t="s">
        <v>216</v>
      </c>
      <c r="B73" s="202">
        <v>114150</v>
      </c>
      <c r="C73" s="241" t="str">
        <f>VLOOKUP($B:$B,RAW!$A:$B,2,0)</f>
        <v>연구개발비</v>
      </c>
      <c r="D73" s="16"/>
      <c r="E73" s="427">
        <v>-71343644</v>
      </c>
      <c r="F73" s="17"/>
      <c r="G73" s="11" t="s">
        <v>1770</v>
      </c>
      <c r="H73" s="16"/>
      <c r="I73" s="17"/>
      <c r="J73" s="17"/>
      <c r="K73" s="11"/>
    </row>
    <row r="74" spans="1:11" ht="12" customHeight="1">
      <c r="A74" s="7" t="s">
        <v>1755</v>
      </c>
      <c r="B74" s="202"/>
      <c r="C74" s="419"/>
      <c r="D74" s="16"/>
      <c r="E74" s="17">
        <v>8739387242</v>
      </c>
      <c r="F74" s="427">
        <v>14380000</v>
      </c>
      <c r="G74" s="11" t="s">
        <v>1775</v>
      </c>
      <c r="H74" s="16"/>
      <c r="I74" s="17"/>
      <c r="J74" s="17"/>
      <c r="K74" s="11"/>
    </row>
    <row r="75" spans="1:11" ht="12" customHeight="1">
      <c r="A75" s="7" t="s">
        <v>3</v>
      </c>
      <c r="B75" s="205">
        <v>115000</v>
      </c>
      <c r="C75" s="225" t="str">
        <f>VLOOKUP($B:$B,RAW!$A:$B,2,0)</f>
        <v>자산총계</v>
      </c>
      <c r="D75" s="25">
        <f>SUM(D3,D30)</f>
        <v>132226745059</v>
      </c>
      <c r="G75" s="11"/>
      <c r="H75" s="25">
        <f>SUM(H3,H30)</f>
        <v>0</v>
      </c>
      <c r="K75" s="11"/>
    </row>
    <row r="76" spans="1:11" ht="12" customHeight="1">
      <c r="A76" s="7" t="s">
        <v>138</v>
      </c>
      <c r="B76" s="201">
        <v>116000</v>
      </c>
      <c r="C76" s="236" t="str">
        <f>VLOOKUP($B:$B,RAW!$A:$B,2,0)</f>
        <v>유동부채(계)</v>
      </c>
      <c r="D76" s="20">
        <f>SUM(D77,D78,D86,D87,F77:F90)</f>
        <v>42739950169</v>
      </c>
      <c r="E76" s="27"/>
      <c r="G76" s="11"/>
      <c r="H76" s="20">
        <f>SUM(H77:H78,H86:H87,J77:J84)</f>
        <v>0</v>
      </c>
      <c r="I76" s="27"/>
      <c r="K76" s="11"/>
    </row>
    <row r="77" spans="1:11" ht="12" customHeight="1">
      <c r="A77" s="7" t="s">
        <v>28</v>
      </c>
      <c r="B77" s="202">
        <v>115110</v>
      </c>
      <c r="C77" s="242" t="str">
        <f>VLOOKUP($B:$B,RAW!$A:$B,2,0)</f>
        <v>매입채무</v>
      </c>
      <c r="D77" s="12">
        <v>5109115387</v>
      </c>
      <c r="E77" s="14"/>
      <c r="F77" s="27">
        <v>1723022613</v>
      </c>
      <c r="G77" s="11" t="s">
        <v>1761</v>
      </c>
      <c r="H77" s="12"/>
      <c r="I77" s="14"/>
      <c r="J77" s="27"/>
      <c r="K77" s="11"/>
    </row>
    <row r="78" spans="1:11" ht="12" customHeight="1">
      <c r="A78" s="7" t="s">
        <v>139</v>
      </c>
      <c r="B78" s="202">
        <v>115130</v>
      </c>
      <c r="C78" s="242" t="str">
        <f>VLOOKUP($B:$B,RAW!$A:$B,2,0)</f>
        <v>단기차입금</v>
      </c>
      <c r="D78" s="13">
        <f>SUM(D79:D85)</f>
        <v>13471251582</v>
      </c>
      <c r="E78" s="14"/>
      <c r="F78" s="27">
        <v>1293129883</v>
      </c>
      <c r="G78" s="11" t="s">
        <v>1762</v>
      </c>
      <c r="H78" s="13">
        <f>SUM(H79:I85)</f>
        <v>0</v>
      </c>
      <c r="I78" s="14"/>
      <c r="J78" s="27"/>
      <c r="K78" s="11"/>
    </row>
    <row r="79" spans="1:11" ht="12" customHeight="1">
      <c r="A79" s="7" t="s">
        <v>217</v>
      </c>
      <c r="B79" s="203">
        <v>115131</v>
      </c>
      <c r="C79" s="244" t="str">
        <f>VLOOKUP($B:$B,RAW!$A:$B,2,0)</f>
        <v>당좌차월</v>
      </c>
      <c r="D79" s="16">
        <v>13471251582</v>
      </c>
      <c r="E79" s="14"/>
      <c r="F79" s="27"/>
      <c r="G79" s="11" t="s">
        <v>1776</v>
      </c>
      <c r="H79" s="16"/>
      <c r="I79" s="17"/>
      <c r="J79" s="27"/>
      <c r="K79" s="11"/>
    </row>
    <row r="80" spans="1:11" ht="12" customHeight="1">
      <c r="A80" s="7" t="s">
        <v>218</v>
      </c>
      <c r="B80" s="203">
        <v>115133</v>
      </c>
      <c r="C80" s="244" t="str">
        <f>VLOOKUP($B:$B,RAW!$A:$B,2,0)</f>
        <v>외화단기차입금</v>
      </c>
      <c r="D80" s="16"/>
      <c r="E80" s="14"/>
      <c r="F80" s="27"/>
      <c r="G80" s="11" t="s">
        <v>1763</v>
      </c>
      <c r="H80" s="16"/>
      <c r="I80" s="14"/>
      <c r="J80" s="27"/>
      <c r="K80" s="11"/>
    </row>
    <row r="81" spans="1:11" ht="12" customHeight="1">
      <c r="A81" s="7" t="s">
        <v>219</v>
      </c>
      <c r="B81" s="203">
        <v>115134</v>
      </c>
      <c r="C81" s="244" t="str">
        <f>VLOOKUP($B:$B,RAW!$A:$B,2,0)</f>
        <v>특수관계자단기차입금</v>
      </c>
      <c r="D81" s="16"/>
      <c r="E81" s="14"/>
      <c r="F81" s="27"/>
      <c r="G81" s="11" t="s">
        <v>1778</v>
      </c>
      <c r="H81" s="16"/>
      <c r="I81" s="14"/>
      <c r="J81" s="27"/>
      <c r="K81" s="11"/>
    </row>
    <row r="82" spans="1:11" ht="12" customHeight="1">
      <c r="A82" s="7" t="s">
        <v>220</v>
      </c>
      <c r="B82" s="203">
        <v>115135</v>
      </c>
      <c r="C82" s="244" t="str">
        <f>VLOOKUP($B:$B,RAW!$A:$B,2,0)</f>
        <v>어음차입금</v>
      </c>
      <c r="D82" s="16"/>
      <c r="E82" s="14"/>
      <c r="F82" s="27"/>
      <c r="G82" s="11" t="s">
        <v>1787</v>
      </c>
      <c r="H82" s="16"/>
      <c r="I82" s="14"/>
      <c r="J82" s="27"/>
      <c r="K82" s="11"/>
    </row>
    <row r="83" spans="1:11" ht="12" customHeight="1">
      <c r="A83" s="7" t="s">
        <v>21</v>
      </c>
      <c r="B83" s="203">
        <v>115136</v>
      </c>
      <c r="C83" s="244" t="str">
        <f>VLOOKUP($B:$B,RAW!$A:$B,2,0)</f>
        <v>주주,임원,종업원단기차입금</v>
      </c>
      <c r="D83" s="16"/>
      <c r="E83" s="14"/>
      <c r="F83" s="27">
        <v>520012363</v>
      </c>
      <c r="G83" s="11" t="s">
        <v>1788</v>
      </c>
      <c r="H83" s="16"/>
      <c r="I83" s="14"/>
      <c r="J83" s="27"/>
      <c r="K83" s="11"/>
    </row>
    <row r="84" spans="1:11" ht="12" customHeight="1">
      <c r="A84" s="7" t="s">
        <v>22</v>
      </c>
      <c r="B84" s="203">
        <v>115132</v>
      </c>
      <c r="C84" s="244" t="str">
        <f>VLOOKUP($B:$B,RAW!$A:$B,2,0)</f>
        <v>기타단기차입금</v>
      </c>
      <c r="D84" s="16"/>
      <c r="E84" s="14"/>
      <c r="F84" s="27"/>
      <c r="G84" s="11" t="s">
        <v>1789</v>
      </c>
      <c r="H84" s="16"/>
      <c r="I84" s="14"/>
      <c r="J84" s="27"/>
      <c r="K84" s="11"/>
    </row>
    <row r="85" spans="1:11" ht="12" customHeight="1">
      <c r="A85" s="7" t="s">
        <v>221</v>
      </c>
      <c r="B85" s="203">
        <v>115141</v>
      </c>
      <c r="C85" s="244" t="str">
        <f>VLOOKUP($B:$B,RAW!$A:$B,2,0)</f>
        <v>공사미지급금</v>
      </c>
      <c r="D85" s="16"/>
      <c r="E85" s="14"/>
      <c r="F85" s="27"/>
      <c r="G85" s="11"/>
      <c r="H85" s="16"/>
      <c r="I85" s="14"/>
      <c r="J85" s="14"/>
      <c r="K85" s="11"/>
    </row>
    <row r="86" spans="1:11" ht="12" customHeight="1">
      <c r="A86" s="7" t="s">
        <v>140</v>
      </c>
      <c r="B86" s="202">
        <v>115180</v>
      </c>
      <c r="C86" s="242" t="str">
        <f>VLOOKUP($B:$B,RAW!$A:$B,2,0)</f>
        <v>미지급비용</v>
      </c>
      <c r="D86" s="12">
        <v>2853809075</v>
      </c>
      <c r="E86" s="14"/>
      <c r="F86" s="27">
        <v>677472412</v>
      </c>
      <c r="G86" s="11"/>
      <c r="H86" s="12"/>
      <c r="I86" s="14"/>
      <c r="J86" s="14"/>
      <c r="K86" s="11"/>
    </row>
    <row r="87" spans="1:11" ht="12" customHeight="1">
      <c r="A87" s="7" t="s">
        <v>141</v>
      </c>
      <c r="B87" s="202">
        <v>115190</v>
      </c>
      <c r="C87" s="242" t="str">
        <f>VLOOKUP($B:$B,RAW!$A:$B,2,0)</f>
        <v>유동성장기부채</v>
      </c>
      <c r="D87" s="13">
        <f>SUM(D88:D90)</f>
        <v>772470186</v>
      </c>
      <c r="E87" s="14"/>
      <c r="F87" s="27"/>
      <c r="G87" s="11"/>
      <c r="H87" s="13">
        <f>SUM(H88:I90)</f>
        <v>0</v>
      </c>
      <c r="I87" s="14"/>
      <c r="J87" s="14"/>
      <c r="K87" s="11"/>
    </row>
    <row r="88" spans="1:11" ht="12" customHeight="1">
      <c r="A88" s="7" t="s">
        <v>142</v>
      </c>
      <c r="B88" s="203">
        <v>115191</v>
      </c>
      <c r="C88" s="244" t="str">
        <f>VLOOKUP($B:$B,RAW!$A:$B,2,0)</f>
        <v>유동성장기차입금</v>
      </c>
      <c r="D88" s="61"/>
      <c r="F88" s="27">
        <v>16319666668</v>
      </c>
      <c r="G88" s="11"/>
      <c r="H88" s="61"/>
      <c r="I88" s="177"/>
      <c r="J88" s="14"/>
      <c r="K88" s="11"/>
    </row>
    <row r="89" spans="1:11" ht="12" customHeight="1">
      <c r="A89" s="7" t="s">
        <v>222</v>
      </c>
      <c r="B89" s="203">
        <v>115193</v>
      </c>
      <c r="C89" s="244" t="str">
        <f>VLOOKUP($B:$B,RAW!$A:$B,2,0)</f>
        <v>유동성사채</v>
      </c>
      <c r="D89" s="16"/>
      <c r="F89" s="27"/>
      <c r="G89" s="11"/>
      <c r="H89" s="16"/>
      <c r="K89" s="11"/>
    </row>
    <row r="90" spans="1:11" ht="12" customHeight="1">
      <c r="A90" s="7" t="s">
        <v>223</v>
      </c>
      <c r="B90" s="203">
        <v>115195</v>
      </c>
      <c r="C90" s="244" t="str">
        <f>VLOOKUP($B:$B,RAW!$A:$B,2,0)</f>
        <v>유동성금융리스부채장기미지급금선수금</v>
      </c>
      <c r="D90" s="16">
        <v>772470186</v>
      </c>
      <c r="F90" s="27"/>
      <c r="G90" s="11"/>
      <c r="H90" s="16"/>
      <c r="K90" s="11"/>
    </row>
    <row r="91" spans="1:11" ht="12" customHeight="1">
      <c r="A91" s="7" t="s">
        <v>30</v>
      </c>
      <c r="B91" s="201">
        <v>117000</v>
      </c>
      <c r="C91" s="236" t="str">
        <f>VLOOKUP($B:$B,RAW!$A:$B,2,0)</f>
        <v>비유동부채(계)</v>
      </c>
      <c r="D91" s="20">
        <f>SUM(D92:D93,D100,F92:F101)</f>
        <v>96097374219</v>
      </c>
      <c r="E91" s="27"/>
      <c r="G91" s="11"/>
      <c r="H91" s="20">
        <f>SUM(H92:H93,H100,J92:J99)</f>
        <v>0</v>
      </c>
      <c r="I91" s="27"/>
      <c r="K91" s="11"/>
    </row>
    <row r="92" spans="1:11" ht="12" customHeight="1">
      <c r="A92" s="7" t="s">
        <v>196</v>
      </c>
      <c r="B92" s="202">
        <v>116050</v>
      </c>
      <c r="C92" s="242" t="str">
        <f>VLOOKUP($B:$B,RAW!$A:$B,2,0)</f>
        <v>장기사채(계)</v>
      </c>
      <c r="D92" s="12"/>
      <c r="F92" s="27"/>
      <c r="G92" s="11" t="s">
        <v>1759</v>
      </c>
      <c r="H92" s="12"/>
      <c r="J92" s="27"/>
      <c r="K92" s="11"/>
    </row>
    <row r="93" spans="1:11" ht="12" customHeight="1">
      <c r="A93" s="7" t="s">
        <v>143</v>
      </c>
      <c r="B93" s="202">
        <v>116200</v>
      </c>
      <c r="C93" s="242" t="str">
        <f>VLOOKUP($B:$B,RAW!$A:$B,2,0)</f>
        <v>장기차입금(계)</v>
      </c>
      <c r="D93" s="13">
        <f>SUM(D94:D99)</f>
        <v>0</v>
      </c>
      <c r="F93" s="30"/>
      <c r="G93" s="11" t="s">
        <v>1760</v>
      </c>
      <c r="H93" s="13">
        <f>SUM(H94:I99)</f>
        <v>0</v>
      </c>
      <c r="J93" s="30"/>
      <c r="K93" s="11"/>
    </row>
    <row r="94" spans="1:11" ht="12" customHeight="1">
      <c r="A94" s="7" t="s">
        <v>224</v>
      </c>
      <c r="B94" s="203">
        <v>116220</v>
      </c>
      <c r="C94" s="244" t="str">
        <f>VLOOKUP($B:$B,RAW!$A:$B,2,0)</f>
        <v>외화장기차입금</v>
      </c>
      <c r="D94" s="16"/>
      <c r="F94" s="27"/>
      <c r="G94" s="11" t="s">
        <v>1771</v>
      </c>
      <c r="H94" s="16"/>
      <c r="I94" s="17"/>
      <c r="J94" s="27"/>
      <c r="K94" s="11"/>
    </row>
    <row r="95" spans="1:11" ht="12" customHeight="1">
      <c r="A95" s="7" t="s">
        <v>225</v>
      </c>
      <c r="B95" s="203">
        <v>116230</v>
      </c>
      <c r="C95" s="244" t="str">
        <f>VLOOKUP($B:$B,RAW!$A:$B,2,0)</f>
        <v>차관</v>
      </c>
      <c r="D95" s="16"/>
      <c r="F95" s="27"/>
      <c r="G95" s="11"/>
      <c r="H95" s="16"/>
      <c r="J95" s="27"/>
      <c r="K95" s="11"/>
    </row>
    <row r="96" spans="1:11" ht="12" customHeight="1">
      <c r="A96" s="7" t="s">
        <v>226</v>
      </c>
      <c r="B96" s="203">
        <v>116240</v>
      </c>
      <c r="C96" s="244" t="str">
        <f>VLOOKUP($B:$B,RAW!$A:$B,2,0)</f>
        <v>특수관계자장기차입금</v>
      </c>
      <c r="D96" s="16"/>
      <c r="F96" s="27">
        <v>95728990231</v>
      </c>
      <c r="G96" s="11"/>
      <c r="H96" s="16"/>
      <c r="J96" s="27"/>
      <c r="K96" s="11"/>
    </row>
    <row r="97" spans="1:11" ht="12" customHeight="1">
      <c r="A97" s="7" t="s">
        <v>227</v>
      </c>
      <c r="B97" s="203">
        <v>116250</v>
      </c>
      <c r="C97" s="244" t="str">
        <f>VLOOKUP($B:$B,RAW!$A:$B,2,0)</f>
        <v>주주,임원,종업원차입금</v>
      </c>
      <c r="D97" s="16"/>
      <c r="F97" s="27"/>
      <c r="G97" s="11"/>
      <c r="H97" s="16"/>
      <c r="J97" s="27"/>
      <c r="K97" s="11"/>
    </row>
    <row r="98" spans="1:11" ht="12" customHeight="1">
      <c r="A98" s="7" t="s">
        <v>228</v>
      </c>
      <c r="B98" s="203">
        <v>116255</v>
      </c>
      <c r="C98" s="244" t="str">
        <f>VLOOKUP($B:$B,RAW!$A:$B,2,0)</f>
        <v>금융리스부채</v>
      </c>
      <c r="D98" s="16"/>
      <c r="F98" s="30"/>
      <c r="G98" s="11" t="s">
        <v>1777</v>
      </c>
      <c r="H98" s="16"/>
      <c r="J98" s="27"/>
      <c r="K98" s="11"/>
    </row>
    <row r="99" spans="1:11" ht="12" customHeight="1">
      <c r="A99" s="7" t="s">
        <v>229</v>
      </c>
      <c r="B99" s="203">
        <v>116910</v>
      </c>
      <c r="C99" s="244" t="str">
        <f>VLOOKUP($B:$B,RAW!$A:$B,2,0)</f>
        <v>국민주택기금차입금</v>
      </c>
      <c r="D99" s="16"/>
      <c r="F99" s="30"/>
      <c r="G99" s="11"/>
      <c r="H99" s="16"/>
      <c r="J99" s="30"/>
      <c r="K99" s="11"/>
    </row>
    <row r="100" spans="1:11" ht="12" customHeight="1">
      <c r="A100" s="7" t="s">
        <v>230</v>
      </c>
      <c r="B100" s="202">
        <v>116260</v>
      </c>
      <c r="C100" s="242" t="str">
        <f>VLOOKUP($B:$B,RAW!$A:$B,2,0)</f>
        <v>금융리스부채</v>
      </c>
      <c r="D100" s="13">
        <f>D101</f>
        <v>368383988</v>
      </c>
      <c r="G100" s="11"/>
      <c r="H100" s="13">
        <f>SUM(H101)</f>
        <v>0</v>
      </c>
      <c r="K100" s="11"/>
    </row>
    <row r="101" spans="1:11" ht="12" customHeight="1">
      <c r="A101" s="7" t="s">
        <v>228</v>
      </c>
      <c r="B101" s="203">
        <v>116401</v>
      </c>
      <c r="C101" s="244" t="str">
        <f>VLOOKUP($B:$B,RAW!$A:$B,2,0)</f>
        <v>금융리스부채</v>
      </c>
      <c r="D101" s="16">
        <v>368383988</v>
      </c>
      <c r="G101" s="11"/>
      <c r="H101" s="16"/>
      <c r="K101" s="26"/>
    </row>
    <row r="102" spans="1:11" ht="12" customHeight="1">
      <c r="A102" s="7" t="s">
        <v>4</v>
      </c>
      <c r="B102" s="205">
        <v>118000</v>
      </c>
      <c r="C102" s="225" t="str">
        <f>VLOOKUP($B:$B,RAW!$A:$B,2,0)</f>
        <v>부채총계</v>
      </c>
      <c r="D102" s="25">
        <f>SUM(D76,D91)</f>
        <v>138837324388</v>
      </c>
      <c r="E102" s="28"/>
      <c r="F102" s="28"/>
      <c r="G102" s="26"/>
      <c r="H102" s="25">
        <f>SUM(H76,H91)</f>
        <v>0</v>
      </c>
      <c r="I102" s="28"/>
      <c r="J102" s="28"/>
      <c r="K102" s="11"/>
    </row>
    <row r="103" spans="1:11" ht="12" customHeight="1">
      <c r="A103" s="7" t="s">
        <v>47</v>
      </c>
      <c r="B103" s="201">
        <v>118100</v>
      </c>
      <c r="C103" s="236" t="str">
        <f>VLOOKUP($B:$B,RAW!$A:$B,2,0)</f>
        <v>자본금</v>
      </c>
      <c r="D103" s="60">
        <v>5540335500</v>
      </c>
      <c r="G103" s="11"/>
      <c r="H103" s="60">
        <f>SUM(I104:J105,H106)</f>
        <v>0</v>
      </c>
      <c r="K103" s="11"/>
    </row>
    <row r="104" spans="1:11" ht="12" customHeight="1">
      <c r="A104" s="7" t="s">
        <v>1439</v>
      </c>
      <c r="B104" s="201">
        <v>118102</v>
      </c>
      <c r="C104" s="237" t="str">
        <f>VLOOKUP($B:$B,RAW!$A:$B,2,0)</f>
        <v>[1주의금액] (원)</v>
      </c>
      <c r="D104" s="63"/>
      <c r="E104" s="30"/>
      <c r="F104" s="27"/>
      <c r="G104" s="11"/>
      <c r="H104" s="63"/>
      <c r="I104" s="30"/>
      <c r="J104" s="27"/>
      <c r="K104" s="11"/>
    </row>
    <row r="105" spans="1:11" ht="12" customHeight="1">
      <c r="A105" s="7" t="s">
        <v>48</v>
      </c>
      <c r="B105" s="202">
        <v>118111</v>
      </c>
      <c r="C105" s="243" t="str">
        <f>VLOOKUP($B:$B,RAW!$A:$B,2,0)</f>
        <v>[보통주발행주식수]</v>
      </c>
      <c r="D105" s="22"/>
      <c r="E105" s="27"/>
      <c r="F105" s="27"/>
      <c r="G105" s="11"/>
      <c r="H105" s="22"/>
      <c r="I105" s="27"/>
      <c r="J105" s="27"/>
      <c r="K105" s="11"/>
    </row>
    <row r="106" spans="1:11" ht="12" customHeight="1">
      <c r="A106" s="7" t="s">
        <v>125</v>
      </c>
      <c r="B106" s="202">
        <v>118120</v>
      </c>
      <c r="C106" s="242" t="str">
        <f>VLOOKUP($B:$B,RAW!$A:$B,2,0)</f>
        <v>우선주자본금</v>
      </c>
      <c r="D106" s="64"/>
      <c r="G106" s="11"/>
      <c r="H106" s="64"/>
      <c r="K106" s="11"/>
    </row>
    <row r="107" spans="1:11" ht="12" customHeight="1">
      <c r="A107" s="7" t="s">
        <v>49</v>
      </c>
      <c r="B107" s="201">
        <v>118200</v>
      </c>
      <c r="C107" s="236" t="str">
        <f>VLOOKUP($B:$B,RAW!$A:$B,2,0)</f>
        <v>자본잉여금</v>
      </c>
      <c r="D107" s="29"/>
      <c r="G107" s="11" t="s">
        <v>1772</v>
      </c>
      <c r="H107" s="29">
        <f>SUM(H108:I109)</f>
        <v>0</v>
      </c>
      <c r="K107" s="11"/>
    </row>
    <row r="108" spans="1:11" ht="12" customHeight="1">
      <c r="C108" s="224"/>
      <c r="D108" s="31"/>
      <c r="E108" s="27"/>
      <c r="G108" s="11"/>
      <c r="H108" s="31"/>
      <c r="I108" s="27"/>
      <c r="K108" s="11"/>
    </row>
    <row r="109" spans="1:11" ht="12" customHeight="1">
      <c r="C109" s="224"/>
      <c r="D109" s="31"/>
      <c r="E109" s="27"/>
      <c r="G109" s="11"/>
      <c r="H109" s="31"/>
      <c r="I109" s="27"/>
      <c r="K109" s="11"/>
    </row>
    <row r="110" spans="1:11" ht="12" customHeight="1">
      <c r="C110" s="224"/>
      <c r="D110" s="22"/>
      <c r="G110" s="11"/>
      <c r="H110" s="22"/>
      <c r="K110" s="11"/>
    </row>
    <row r="111" spans="1:11" ht="12" customHeight="1">
      <c r="A111" s="7" t="s">
        <v>126</v>
      </c>
      <c r="B111" s="201">
        <v>118400</v>
      </c>
      <c r="C111" s="236" t="str">
        <f>VLOOKUP($B:$B,RAW!$A:$B,2,0)</f>
        <v>자본조정</v>
      </c>
      <c r="D111" s="29">
        <v>10277461850</v>
      </c>
      <c r="G111" s="11"/>
      <c r="H111" s="29">
        <f>SUM(I112:I114)</f>
        <v>0</v>
      </c>
      <c r="K111" s="11"/>
    </row>
    <row r="112" spans="1:11" ht="12" customHeight="1">
      <c r="A112" s="7" t="s">
        <v>231</v>
      </c>
      <c r="B112" s="202">
        <v>118431</v>
      </c>
      <c r="C112" s="243" t="s">
        <v>1780</v>
      </c>
      <c r="D112" s="32"/>
      <c r="E112" s="32"/>
      <c r="G112" s="11"/>
      <c r="H112" s="32"/>
      <c r="I112" s="27"/>
      <c r="K112" s="11"/>
    </row>
    <row r="113" spans="1:11" ht="12" customHeight="1">
      <c r="C113" s="224"/>
      <c r="D113" s="22"/>
      <c r="E113" s="27"/>
      <c r="G113" s="11"/>
      <c r="H113" s="22"/>
      <c r="I113" s="27"/>
      <c r="K113" s="11"/>
    </row>
    <row r="114" spans="1:11" ht="12" customHeight="1">
      <c r="C114" s="224"/>
      <c r="D114" s="22"/>
      <c r="E114" s="27"/>
      <c r="G114" s="11"/>
      <c r="H114" s="22"/>
      <c r="I114" s="27"/>
      <c r="K114" s="11"/>
    </row>
    <row r="115" spans="1:11" ht="12" customHeight="1">
      <c r="C115" s="224"/>
      <c r="D115" s="22"/>
      <c r="G115" s="11"/>
      <c r="H115" s="22"/>
      <c r="K115" s="11"/>
    </row>
    <row r="116" spans="1:11" ht="12" customHeight="1">
      <c r="A116" s="7" t="s">
        <v>232</v>
      </c>
      <c r="B116" s="201">
        <v>118600</v>
      </c>
      <c r="C116" s="236" t="str">
        <f>VLOOKUP($B:$B,RAW!$A:$B,2,0)</f>
        <v>기타포괄손익누계액</v>
      </c>
      <c r="D116" s="29">
        <v>0</v>
      </c>
      <c r="G116" s="11"/>
      <c r="H116" s="29">
        <f>SUM(H117:I118)</f>
        <v>0</v>
      </c>
      <c r="K116" s="11"/>
    </row>
    <row r="117" spans="1:11" ht="12" customHeight="1">
      <c r="C117" s="224"/>
      <c r="D117" s="31"/>
      <c r="E117" s="27"/>
      <c r="G117" s="11"/>
      <c r="H117" s="31"/>
      <c r="I117" s="27"/>
      <c r="K117" s="11"/>
    </row>
    <row r="118" spans="1:11" ht="12" customHeight="1">
      <c r="C118" s="224"/>
      <c r="D118" s="31"/>
      <c r="E118" s="27"/>
      <c r="G118" s="11"/>
      <c r="H118" s="31"/>
      <c r="I118" s="27"/>
      <c r="K118" s="11"/>
    </row>
    <row r="119" spans="1:11" ht="12" customHeight="1">
      <c r="C119" s="224"/>
      <c r="D119" s="22"/>
      <c r="G119" s="11"/>
      <c r="H119" s="22"/>
      <c r="K119" s="11"/>
    </row>
    <row r="120" spans="1:11" ht="12" customHeight="1">
      <c r="A120" s="7" t="s">
        <v>50</v>
      </c>
      <c r="B120" s="201">
        <v>118300</v>
      </c>
      <c r="C120" s="236" t="s">
        <v>1784</v>
      </c>
      <c r="D120" s="29">
        <v>-22428376679</v>
      </c>
      <c r="G120" s="11"/>
      <c r="H120" s="29">
        <f>SUM(H121:I123)</f>
        <v>0</v>
      </c>
      <c r="K120" s="11"/>
    </row>
    <row r="121" spans="1:11" ht="12" customHeight="1">
      <c r="C121" s="224"/>
      <c r="D121" s="31"/>
      <c r="E121" s="27"/>
      <c r="G121" s="11"/>
      <c r="H121" s="31"/>
      <c r="I121" s="27"/>
      <c r="K121" s="11"/>
    </row>
    <row r="122" spans="1:11" ht="12" customHeight="1">
      <c r="C122" s="224"/>
      <c r="D122" s="31"/>
      <c r="E122" s="27"/>
      <c r="G122" s="11"/>
      <c r="H122" s="31"/>
      <c r="I122" s="27"/>
      <c r="K122" s="11"/>
    </row>
    <row r="123" spans="1:11" ht="12" customHeight="1">
      <c r="C123" s="224"/>
      <c r="D123" s="31"/>
      <c r="E123" s="27"/>
      <c r="G123" s="11"/>
      <c r="H123" s="31"/>
      <c r="I123" s="27"/>
      <c r="K123" s="11"/>
    </row>
    <row r="124" spans="1:11" ht="12" customHeight="1">
      <c r="C124" s="224"/>
      <c r="D124" s="22"/>
      <c r="G124" s="11"/>
      <c r="H124" s="22"/>
      <c r="K124" s="11"/>
    </row>
    <row r="125" spans="1:11" ht="12" customHeight="1">
      <c r="A125" s="7" t="s">
        <v>5</v>
      </c>
      <c r="B125" s="205">
        <v>118900</v>
      </c>
      <c r="C125" s="225" t="str">
        <f>VLOOKUP($B:$B,RAW!$A:$B,2,0)</f>
        <v>자본총계</v>
      </c>
      <c r="D125" s="25">
        <f>SUM(D103,D107,D111,D116,D120)</f>
        <v>-6610579329</v>
      </c>
      <c r="G125" s="11"/>
      <c r="H125" s="25">
        <f>SUM(H103,H107,H111,H116,H120)</f>
        <v>0</v>
      </c>
      <c r="K125" s="34"/>
    </row>
    <row r="126" spans="1:11" ht="12" customHeight="1">
      <c r="A126" s="7" t="s">
        <v>6</v>
      </c>
      <c r="B126" s="205">
        <v>119000</v>
      </c>
      <c r="C126" s="226" t="str">
        <f>VLOOKUP($B:$B,RAW!$A:$B,2,0)</f>
        <v>부채와자본총계</v>
      </c>
      <c r="D126" s="25">
        <f>SUM(D102,D125)</f>
        <v>132226745059</v>
      </c>
      <c r="E126" s="33"/>
      <c r="F126" s="33"/>
      <c r="G126" s="34"/>
      <c r="H126" s="25">
        <f>SUM(H102,H125)</f>
        <v>0</v>
      </c>
      <c r="I126" s="33"/>
      <c r="J126" s="33"/>
    </row>
    <row r="127" spans="1:11" ht="12" customHeight="1">
      <c r="E127" s="7" t="b">
        <f>D126=D75</f>
        <v>1</v>
      </c>
    </row>
    <row r="128" spans="1:11" ht="12" customHeight="1">
      <c r="K128" s="51"/>
    </row>
    <row r="129" spans="1:11" s="35" customFormat="1" ht="12" customHeight="1">
      <c r="A129" s="35" t="s">
        <v>1436</v>
      </c>
      <c r="B129" s="128"/>
      <c r="C129" s="491"/>
      <c r="D129" s="498" t="str">
        <f>IF(G129=G130,"당기 손익 일치","당기 손익 불일치")</f>
        <v>당기 손익 불일치</v>
      </c>
      <c r="E129" s="499"/>
      <c r="F129" s="499"/>
      <c r="G129" s="51"/>
      <c r="H129" s="502" t="str">
        <f>IF(K128=K129,"전기 손익 일치","당기 손익 불일치")</f>
        <v>전기 손익 일치</v>
      </c>
      <c r="I129" s="499"/>
      <c r="J129" s="499"/>
      <c r="K129" s="52">
        <f>H305</f>
        <v>0</v>
      </c>
    </row>
    <row r="130" spans="1:11" s="36" customFormat="1" ht="12" customHeight="1">
      <c r="B130" s="130"/>
      <c r="C130" s="492"/>
      <c r="D130" s="500"/>
      <c r="E130" s="501"/>
      <c r="F130" s="501"/>
      <c r="G130" s="52">
        <f>D305</f>
        <v>-16074854468</v>
      </c>
      <c r="H130" s="503"/>
      <c r="I130" s="501"/>
      <c r="J130" s="501"/>
      <c r="K130" s="53"/>
    </row>
    <row r="131" spans="1:11" s="35" customFormat="1">
      <c r="A131" s="35" t="s">
        <v>7</v>
      </c>
      <c r="B131" s="200">
        <v>121000</v>
      </c>
      <c r="C131" s="227" t="str">
        <f>VLOOKUP($B:$B,RAW!$A:$B,2,0)</f>
        <v>매출액</v>
      </c>
      <c r="D131" s="180">
        <v>28264134342</v>
      </c>
      <c r="G131" s="181"/>
      <c r="H131" s="180"/>
      <c r="K131" s="53"/>
    </row>
    <row r="132" spans="1:11" s="35" customFormat="1">
      <c r="A132" s="35" t="s">
        <v>8</v>
      </c>
      <c r="B132" s="205">
        <v>122000</v>
      </c>
      <c r="C132" s="227" t="str">
        <f>VLOOKUP($B:$B,RAW!$A:$B,2,0)</f>
        <v>매출원가</v>
      </c>
      <c r="D132" s="180">
        <v>27945448750</v>
      </c>
      <c r="G132" s="181"/>
      <c r="H132" s="180"/>
      <c r="K132" s="53"/>
    </row>
    <row r="133" spans="1:11" s="35" customFormat="1">
      <c r="A133" s="35" t="s">
        <v>9</v>
      </c>
      <c r="B133" s="205">
        <v>123000</v>
      </c>
      <c r="C133" s="227" t="str">
        <f>VLOOKUP($B:$B,RAW!$A:$B,2,0)</f>
        <v>매출총이익(손실)</v>
      </c>
      <c r="D133" s="39">
        <f>D131-D132</f>
        <v>318685592</v>
      </c>
      <c r="G133" s="53"/>
      <c r="H133" s="39">
        <f>H131-H132</f>
        <v>0</v>
      </c>
      <c r="K133" s="53"/>
    </row>
    <row r="134" spans="1:11" s="35" customFormat="1">
      <c r="A134" s="35" t="s">
        <v>10</v>
      </c>
      <c r="B134" s="205">
        <v>124000</v>
      </c>
      <c r="C134" s="228" t="str">
        <f>VLOOKUP($B:$B,RAW!$A:$B,2,0)</f>
        <v>판매비와관리비</v>
      </c>
      <c r="D134" s="423">
        <f>SUM(D135:E182)</f>
        <v>13264178771</v>
      </c>
      <c r="E134" s="35">
        <v>13264178771</v>
      </c>
      <c r="F134" s="35" t="b">
        <f>D134=E134</f>
        <v>1</v>
      </c>
      <c r="G134" s="53"/>
      <c r="H134" s="40">
        <f>SUM(H135:H182)</f>
        <v>0</v>
      </c>
      <c r="K134" s="11"/>
    </row>
    <row r="135" spans="1:11" s="35" customFormat="1">
      <c r="A135" s="35" t="s">
        <v>197</v>
      </c>
      <c r="B135" s="202">
        <v>124110</v>
      </c>
      <c r="C135" s="238" t="str">
        <f>VLOOKUP($B:$B,RAW!$A:$B,2,0)</f>
        <v>임원급여</v>
      </c>
      <c r="D135" s="425"/>
      <c r="E135" s="41"/>
      <c r="F135" s="7"/>
      <c r="G135" s="11"/>
      <c r="H135" s="425"/>
      <c r="I135" s="41"/>
      <c r="J135" s="7"/>
      <c r="K135" s="18"/>
    </row>
    <row r="136" spans="1:11" s="35" customFormat="1" ht="12.75">
      <c r="A136" s="35" t="s">
        <v>144</v>
      </c>
      <c r="B136" s="202">
        <v>124120</v>
      </c>
      <c r="C136" s="238" t="str">
        <f>VLOOKUP($B:$B,RAW!$A:$B,2,0)</f>
        <v>급료와임금</v>
      </c>
      <c r="D136" s="506">
        <v>2567044865</v>
      </c>
      <c r="E136" s="41"/>
      <c r="F136" s="42"/>
      <c r="G136" s="18"/>
      <c r="H136" s="425"/>
      <c r="I136" s="41"/>
      <c r="J136" s="42"/>
      <c r="K136" s="11"/>
    </row>
    <row r="137" spans="1:11" s="35" customFormat="1">
      <c r="A137" s="35" t="s">
        <v>236</v>
      </c>
      <c r="B137" s="202">
        <v>124130</v>
      </c>
      <c r="C137" s="238" t="str">
        <f>VLOOKUP($B:$B,RAW!$A:$B,2,0)</f>
        <v>제수당</v>
      </c>
      <c r="D137" s="426"/>
      <c r="E137" s="41"/>
      <c r="F137" s="7"/>
      <c r="G137" s="11"/>
      <c r="H137" s="426"/>
      <c r="I137" s="41"/>
      <c r="J137" s="7"/>
      <c r="K137" s="11"/>
    </row>
    <row r="138" spans="1:11" s="35" customFormat="1" ht="12.75">
      <c r="A138" s="35" t="s">
        <v>198</v>
      </c>
      <c r="B138" s="202">
        <v>124140</v>
      </c>
      <c r="C138" s="238" t="str">
        <f>VLOOKUP($B:$B,RAW!$A:$B,2,0)</f>
        <v>상여금</v>
      </c>
      <c r="D138" s="506">
        <v>11300000</v>
      </c>
      <c r="E138" s="41"/>
      <c r="F138" s="7"/>
      <c r="G138" s="11"/>
      <c r="H138" s="426"/>
      <c r="I138" s="41"/>
      <c r="J138" s="7"/>
      <c r="K138" s="11"/>
    </row>
    <row r="139" spans="1:11" s="35" customFormat="1" ht="12.75">
      <c r="A139" s="35" t="s">
        <v>145</v>
      </c>
      <c r="B139" s="202">
        <v>124150</v>
      </c>
      <c r="C139" s="238" t="str">
        <f>VLOOKUP($B:$B,RAW!$A:$B,2,0)</f>
        <v>퇴직급여충당금전입액</v>
      </c>
      <c r="D139" s="506">
        <v>286050660</v>
      </c>
      <c r="E139" s="41"/>
      <c r="F139" s="7"/>
      <c r="G139" s="11"/>
      <c r="H139" s="426"/>
      <c r="I139" s="41"/>
      <c r="J139" s="7"/>
      <c r="K139" s="11"/>
    </row>
    <row r="140" spans="1:11" s="35" customFormat="1">
      <c r="A140" s="35" t="s">
        <v>237</v>
      </c>
      <c r="B140" s="202">
        <v>124160</v>
      </c>
      <c r="C140" s="238" t="str">
        <f>VLOOKUP($B:$B,RAW!$A:$B,2,0)</f>
        <v>퇴직금</v>
      </c>
      <c r="D140" s="426"/>
      <c r="E140" s="41"/>
      <c r="F140" s="7"/>
      <c r="G140" s="11"/>
      <c r="H140" s="426"/>
      <c r="I140" s="41"/>
      <c r="J140" s="7"/>
      <c r="K140" s="11"/>
    </row>
    <row r="141" spans="1:11" s="35" customFormat="1" ht="12.75">
      <c r="A141" s="35" t="s">
        <v>146</v>
      </c>
      <c r="B141" s="202">
        <v>124170</v>
      </c>
      <c r="C141" s="238" t="str">
        <f>VLOOKUP($B:$B,RAW!$A:$B,2,0)</f>
        <v>복리후생비</v>
      </c>
      <c r="D141" s="506">
        <v>661968887</v>
      </c>
      <c r="E141" s="41"/>
      <c r="F141" s="7"/>
      <c r="G141" s="11"/>
      <c r="H141" s="425"/>
      <c r="I141" s="41"/>
      <c r="J141" s="7"/>
      <c r="K141" s="11"/>
    </row>
    <row r="142" spans="1:11" s="35" customFormat="1" ht="12.75">
      <c r="A142" s="35" t="s">
        <v>238</v>
      </c>
      <c r="B142" s="202">
        <v>124180</v>
      </c>
      <c r="C142" s="238" t="str">
        <f>VLOOKUP($B:$B,RAW!$A:$B,2,0)</f>
        <v>주식보상비용</v>
      </c>
      <c r="D142" s="506">
        <v>6479846748</v>
      </c>
      <c r="E142" s="41"/>
      <c r="F142" s="7"/>
      <c r="G142" s="11"/>
      <c r="H142" s="426"/>
      <c r="I142" s="41"/>
      <c r="J142" s="7"/>
      <c r="K142" s="11"/>
    </row>
    <row r="143" spans="1:11" s="35" customFormat="1" ht="12.75">
      <c r="A143" s="35" t="s">
        <v>239</v>
      </c>
      <c r="B143" s="202">
        <v>124199</v>
      </c>
      <c r="C143" s="238" t="str">
        <f>VLOOKUP($B:$B,RAW!$A:$B,2,0)</f>
        <v>기타인건비</v>
      </c>
      <c r="D143" s="506">
        <v>964842715</v>
      </c>
      <c r="E143" s="41"/>
      <c r="F143" s="7"/>
      <c r="G143" s="11"/>
      <c r="H143" s="426"/>
      <c r="I143" s="41"/>
      <c r="J143" s="7"/>
      <c r="K143" s="11"/>
    </row>
    <row r="144" spans="1:11" s="35" customFormat="1" ht="12.75">
      <c r="A144" s="35" t="s">
        <v>147</v>
      </c>
      <c r="B144" s="202">
        <v>124211</v>
      </c>
      <c r="C144" s="238" t="str">
        <f>VLOOKUP($B:$B,RAW!$A:$B,2,0)</f>
        <v>여비교통비</v>
      </c>
      <c r="D144" s="506">
        <v>204743929</v>
      </c>
      <c r="E144" s="41"/>
      <c r="F144" s="7"/>
      <c r="G144" s="11"/>
      <c r="H144" s="425"/>
      <c r="I144" s="41"/>
      <c r="J144" s="7"/>
      <c r="K144" s="11"/>
    </row>
    <row r="145" spans="1:11" s="35" customFormat="1" ht="12.75">
      <c r="A145" s="35" t="s">
        <v>148</v>
      </c>
      <c r="B145" s="202">
        <v>124212</v>
      </c>
      <c r="C145" s="238" t="str">
        <f>VLOOKUP($B:$B,RAW!$A:$B,2,0)</f>
        <v>통신비</v>
      </c>
      <c r="D145" s="506">
        <v>50521402</v>
      </c>
      <c r="E145" s="41"/>
      <c r="F145" s="7"/>
      <c r="G145" s="11"/>
      <c r="H145" s="425"/>
      <c r="I145" s="41"/>
      <c r="J145" s="7"/>
      <c r="K145" s="11"/>
    </row>
    <row r="146" spans="1:11" s="35" customFormat="1" ht="12.75">
      <c r="A146" s="35" t="s">
        <v>149</v>
      </c>
      <c r="B146" s="202">
        <v>124213</v>
      </c>
      <c r="C146" s="238" t="str">
        <f>VLOOKUP($B:$B,RAW!$A:$B,2,0)</f>
        <v>수도광열비</v>
      </c>
      <c r="D146" s="506">
        <v>2199800</v>
      </c>
      <c r="E146" s="41"/>
      <c r="F146" s="7"/>
      <c r="G146" s="11"/>
      <c r="H146" s="425"/>
      <c r="I146" s="41"/>
      <c r="J146" s="7"/>
      <c r="K146" s="11"/>
    </row>
    <row r="147" spans="1:11" s="35" customFormat="1" ht="12.75">
      <c r="A147" s="35" t="s">
        <v>150</v>
      </c>
      <c r="B147" s="202">
        <v>124214</v>
      </c>
      <c r="C147" s="238" t="str">
        <f>VLOOKUP($B:$B,RAW!$A:$B,2,0)</f>
        <v>세금과공과</v>
      </c>
      <c r="D147" s="506">
        <v>46861910</v>
      </c>
      <c r="E147" s="41"/>
      <c r="F147" s="42"/>
      <c r="G147" s="11"/>
      <c r="H147" s="426"/>
      <c r="I147" s="41"/>
      <c r="J147" s="42"/>
      <c r="K147" s="11"/>
    </row>
    <row r="148" spans="1:11" s="35" customFormat="1" ht="12.75">
      <c r="A148" s="35" t="s">
        <v>199</v>
      </c>
      <c r="B148" s="202">
        <v>124215</v>
      </c>
      <c r="C148" s="238" t="str">
        <f>VLOOKUP($B:$B,RAW!$A:$B,2,0)</f>
        <v>임차료비용</v>
      </c>
      <c r="D148" s="506">
        <v>76954506</v>
      </c>
      <c r="E148" s="41"/>
      <c r="F148" s="7"/>
      <c r="G148" s="11"/>
      <c r="H148" s="425"/>
      <c r="I148" s="41"/>
      <c r="J148" s="7"/>
      <c r="K148" s="11"/>
    </row>
    <row r="149" spans="1:11" s="35" customFormat="1" ht="12.75">
      <c r="A149" s="35" t="s">
        <v>151</v>
      </c>
      <c r="B149" s="202">
        <v>124216</v>
      </c>
      <c r="C149" s="238" t="str">
        <f>VLOOKUP($B:$B,RAW!$A:$B,2,0)</f>
        <v>감가상각비</v>
      </c>
      <c r="D149" s="506">
        <v>869684184</v>
      </c>
      <c r="E149" s="41"/>
      <c r="F149" s="7"/>
      <c r="G149" s="11"/>
      <c r="H149" s="425"/>
      <c r="I149" s="41"/>
      <c r="J149" s="7"/>
      <c r="K149" s="11"/>
    </row>
    <row r="150" spans="1:11" s="35" customFormat="1" ht="12.75">
      <c r="A150" s="35" t="s">
        <v>152</v>
      </c>
      <c r="B150" s="202">
        <v>124217</v>
      </c>
      <c r="C150" s="238" t="str">
        <f>VLOOKUP($B:$B,RAW!$A:$B,2,0)</f>
        <v>수선비</v>
      </c>
      <c r="D150" s="506">
        <v>718000</v>
      </c>
      <c r="E150" s="41"/>
      <c r="F150" s="7"/>
      <c r="G150" s="11"/>
      <c r="H150" s="425"/>
      <c r="I150" s="41"/>
      <c r="J150" s="7"/>
      <c r="K150" s="11"/>
    </row>
    <row r="151" spans="1:11" s="35" customFormat="1" ht="12.75">
      <c r="A151" s="35" t="s">
        <v>153</v>
      </c>
      <c r="B151" s="202">
        <v>124218</v>
      </c>
      <c r="C151" s="238" t="str">
        <f>VLOOKUP($B:$B,RAW!$A:$B,2,0)</f>
        <v>보험료</v>
      </c>
      <c r="D151" s="506">
        <v>423517</v>
      </c>
      <c r="E151" s="41"/>
      <c r="F151" s="7"/>
      <c r="G151" s="11"/>
      <c r="H151" s="425"/>
      <c r="I151" s="41"/>
      <c r="J151" s="7"/>
      <c r="K151" s="11"/>
    </row>
    <row r="152" spans="1:11" s="35" customFormat="1">
      <c r="A152" s="35" t="s">
        <v>240</v>
      </c>
      <c r="B152" s="202">
        <v>124219</v>
      </c>
      <c r="C152" s="238" t="str">
        <f>VLOOKUP($B:$B,RAW!$A:$B,2,0)</f>
        <v>도서구입비</v>
      </c>
      <c r="D152" s="426"/>
      <c r="E152" s="41"/>
      <c r="F152" s="7"/>
      <c r="G152" s="11"/>
      <c r="H152" s="426"/>
      <c r="I152" s="41"/>
      <c r="J152" s="7"/>
      <c r="K152" s="11"/>
    </row>
    <row r="153" spans="1:11" s="35" customFormat="1" ht="12.75">
      <c r="A153" s="35" t="s">
        <v>154</v>
      </c>
      <c r="B153" s="202">
        <v>124220</v>
      </c>
      <c r="C153" s="238" t="str">
        <f>VLOOKUP($B:$B,RAW!$A:$B,2,0)</f>
        <v>소모품비</v>
      </c>
      <c r="D153" s="506">
        <v>44065326</v>
      </c>
      <c r="E153" s="41"/>
      <c r="F153" s="7"/>
      <c r="G153" s="11"/>
      <c r="H153" s="425"/>
      <c r="I153" s="41"/>
      <c r="J153" s="7"/>
      <c r="K153" s="53"/>
    </row>
    <row r="154" spans="1:11" s="35" customFormat="1" ht="12.75">
      <c r="A154" s="35" t="s">
        <v>155</v>
      </c>
      <c r="B154" s="202">
        <v>124221</v>
      </c>
      <c r="C154" s="238" t="str">
        <f>VLOOKUP($B:$B,RAW!$A:$B,2,0)</f>
        <v>도서인쇄비</v>
      </c>
      <c r="D154" s="506">
        <v>6154967</v>
      </c>
      <c r="E154" s="41"/>
      <c r="G154" s="53"/>
      <c r="H154" s="425"/>
      <c r="I154" s="41"/>
      <c r="K154" s="11"/>
    </row>
    <row r="155" spans="1:11" s="35" customFormat="1" ht="12.75">
      <c r="A155" s="35" t="s">
        <v>156</v>
      </c>
      <c r="B155" s="202">
        <v>124222</v>
      </c>
      <c r="C155" s="238" t="str">
        <f>VLOOKUP($B:$B,RAW!$A:$B,2,0)</f>
        <v>차량유지비</v>
      </c>
      <c r="D155" s="506">
        <v>224315</v>
      </c>
      <c r="E155" s="41"/>
      <c r="F155" s="7"/>
      <c r="G155" s="11"/>
      <c r="H155" s="425"/>
      <c r="I155" s="41"/>
      <c r="J155" s="7"/>
      <c r="K155" s="11"/>
    </row>
    <row r="156" spans="1:11" s="35" customFormat="1" ht="12.75">
      <c r="A156" s="35" t="s">
        <v>157</v>
      </c>
      <c r="B156" s="202">
        <v>124223</v>
      </c>
      <c r="C156" s="238" t="str">
        <f>VLOOKUP($B:$B,RAW!$A:$B,2,0)</f>
        <v>교육훈련비</v>
      </c>
      <c r="D156" s="506">
        <v>72035550</v>
      </c>
      <c r="E156" s="41"/>
      <c r="F156" s="7"/>
      <c r="G156" s="11"/>
      <c r="H156" s="425"/>
      <c r="I156" s="41"/>
      <c r="J156" s="7"/>
      <c r="K156" s="53"/>
    </row>
    <row r="157" spans="1:11" s="35" customFormat="1" ht="12.75">
      <c r="A157" s="35" t="s">
        <v>158</v>
      </c>
      <c r="B157" s="202">
        <v>124224</v>
      </c>
      <c r="C157" s="238" t="str">
        <f>VLOOKUP($B:$B,RAW!$A:$B,2,0)</f>
        <v>수수료비용</v>
      </c>
      <c r="D157" s="506">
        <v>737382390</v>
      </c>
      <c r="E157" s="41"/>
      <c r="G157" s="53"/>
      <c r="H157" s="425"/>
      <c r="I157" s="41"/>
      <c r="K157" s="11"/>
    </row>
    <row r="158" spans="1:11" s="35" customFormat="1">
      <c r="A158" s="35" t="s">
        <v>200</v>
      </c>
      <c r="B158" s="202">
        <v>124226</v>
      </c>
      <c r="C158" s="238" t="str">
        <f>VLOOKUP($B:$B,RAW!$A:$B,2,0)</f>
        <v>리스료</v>
      </c>
      <c r="D158" s="426"/>
      <c r="E158" s="41"/>
      <c r="F158" s="7"/>
      <c r="G158" s="11"/>
      <c r="H158" s="426"/>
      <c r="I158" s="41"/>
      <c r="J158" s="7"/>
      <c r="K158" s="53"/>
    </row>
    <row r="159" spans="1:11" s="35" customFormat="1">
      <c r="A159" s="35" t="s">
        <v>241</v>
      </c>
      <c r="B159" s="202">
        <v>124227</v>
      </c>
      <c r="C159" s="238" t="str">
        <f>VLOOKUP($B:$B,RAW!$A:$B,2,0)</f>
        <v>전산처리비</v>
      </c>
      <c r="D159" s="426"/>
      <c r="E159" s="41"/>
      <c r="G159" s="53"/>
      <c r="H159" s="426"/>
      <c r="I159" s="41"/>
      <c r="K159" s="11"/>
    </row>
    <row r="160" spans="1:11" s="35" customFormat="1">
      <c r="A160" s="35" t="s">
        <v>242</v>
      </c>
      <c r="B160" s="202">
        <v>124228</v>
      </c>
      <c r="C160" s="238" t="str">
        <f>VLOOKUP($B:$B,RAW!$A:$B,2,0)</f>
        <v>하자보수비</v>
      </c>
      <c r="D160" s="426"/>
      <c r="E160" s="41"/>
      <c r="F160" s="7"/>
      <c r="G160" s="11"/>
      <c r="H160" s="426"/>
      <c r="I160" s="41"/>
      <c r="J160" s="7"/>
      <c r="K160" s="53"/>
    </row>
    <row r="161" spans="1:11" s="35" customFormat="1" ht="12.75">
      <c r="A161" s="35" t="s">
        <v>243</v>
      </c>
      <c r="B161" s="202">
        <v>124225</v>
      </c>
      <c r="C161" s="238" t="str">
        <f>VLOOKUP($B:$B,RAW!$A:$B,2,0)</f>
        <v>기타관리비</v>
      </c>
      <c r="D161" s="506">
        <v>100000</v>
      </c>
      <c r="E161" s="41"/>
      <c r="G161" s="53"/>
      <c r="H161" s="425"/>
      <c r="I161" s="41"/>
      <c r="K161" s="11"/>
    </row>
    <row r="162" spans="1:11" s="35" customFormat="1" ht="12.75">
      <c r="A162" s="35" t="s">
        <v>159</v>
      </c>
      <c r="B162" s="202">
        <v>124311</v>
      </c>
      <c r="C162" s="238" t="str">
        <f>VLOOKUP($B:$B,RAW!$A:$B,2,0)</f>
        <v>접대비</v>
      </c>
      <c r="D162" s="506">
        <v>17968494</v>
      </c>
      <c r="E162" s="41"/>
      <c r="F162" s="7"/>
      <c r="G162" s="11"/>
      <c r="H162" s="425"/>
      <c r="I162" s="41"/>
      <c r="J162" s="7"/>
      <c r="K162" s="11"/>
    </row>
    <row r="163" spans="1:11" s="35" customFormat="1" ht="12.75">
      <c r="A163" s="35" t="s">
        <v>160</v>
      </c>
      <c r="B163" s="202">
        <v>124312</v>
      </c>
      <c r="C163" s="238" t="str">
        <f>VLOOKUP($B:$B,RAW!$A:$B,2,0)</f>
        <v>광고선전비</v>
      </c>
      <c r="D163" s="506">
        <f>127332715-1829015</f>
        <v>125503700</v>
      </c>
      <c r="E163" s="41"/>
      <c r="F163" s="7"/>
      <c r="G163" s="11"/>
      <c r="H163" s="426"/>
      <c r="I163" s="41"/>
      <c r="J163" s="7"/>
      <c r="K163" s="11"/>
    </row>
    <row r="164" spans="1:11" s="35" customFormat="1">
      <c r="A164" s="35" t="s">
        <v>244</v>
      </c>
      <c r="B164" s="202">
        <v>124313</v>
      </c>
      <c r="C164" s="238" t="str">
        <f>VLOOKUP($B:$B,RAW!$A:$B,2,0)</f>
        <v>보관료</v>
      </c>
      <c r="D164" s="426"/>
      <c r="E164" s="41"/>
      <c r="F164" s="7"/>
      <c r="G164" s="11"/>
      <c r="H164" s="426"/>
      <c r="I164" s="41"/>
      <c r="J164" s="7"/>
      <c r="K164" s="11"/>
    </row>
    <row r="165" spans="1:11" s="35" customFormat="1">
      <c r="A165" s="35" t="s">
        <v>201</v>
      </c>
      <c r="B165" s="202">
        <v>124314</v>
      </c>
      <c r="C165" s="238" t="str">
        <f>VLOOKUP($B:$B,RAW!$A:$B,2,0)</f>
        <v>견본비</v>
      </c>
      <c r="D165" s="426"/>
      <c r="E165" s="41"/>
      <c r="F165" s="7"/>
      <c r="G165" s="11"/>
      <c r="H165" s="426"/>
      <c r="I165" s="41"/>
      <c r="J165" s="7"/>
      <c r="K165" s="11"/>
    </row>
    <row r="166" spans="1:11" s="35" customFormat="1">
      <c r="A166" s="35" t="s">
        <v>245</v>
      </c>
      <c r="B166" s="202">
        <v>124315</v>
      </c>
      <c r="C166" s="238" t="str">
        <f>VLOOKUP($B:$B,RAW!$A:$B,2,0)</f>
        <v>포장비</v>
      </c>
      <c r="D166" s="426"/>
      <c r="E166" s="41"/>
      <c r="F166" s="7"/>
      <c r="G166" s="11"/>
      <c r="H166" s="426"/>
      <c r="I166" s="41"/>
      <c r="J166" s="7"/>
      <c r="K166" s="11"/>
    </row>
    <row r="167" spans="1:11" s="35" customFormat="1" ht="12.75">
      <c r="A167" s="35" t="s">
        <v>161</v>
      </c>
      <c r="B167" s="202">
        <v>124316</v>
      </c>
      <c r="C167" s="238" t="str">
        <f>VLOOKUP($B:$B,RAW!$A:$B,2,0)</f>
        <v>운반비</v>
      </c>
      <c r="D167" s="506">
        <v>10570603</v>
      </c>
      <c r="E167" s="41"/>
      <c r="F167" s="7"/>
      <c r="G167" s="11"/>
      <c r="H167" s="426"/>
      <c r="I167" s="41"/>
      <c r="J167" s="7"/>
      <c r="K167" s="11"/>
    </row>
    <row r="168" spans="1:11" s="35" customFormat="1">
      <c r="A168" s="35" t="s">
        <v>246</v>
      </c>
      <c r="B168" s="202">
        <v>124317</v>
      </c>
      <c r="C168" s="238" t="str">
        <f>VLOOKUP($B:$B,RAW!$A:$B,2,0)</f>
        <v>판매수수료</v>
      </c>
      <c r="D168" s="426"/>
      <c r="E168" s="41"/>
      <c r="F168" s="7"/>
      <c r="G168" s="11"/>
      <c r="H168" s="426"/>
      <c r="I168" s="41"/>
      <c r="J168" s="7"/>
      <c r="K168" s="11"/>
    </row>
    <row r="169" spans="1:11" s="35" customFormat="1">
      <c r="A169" s="35" t="s">
        <v>247</v>
      </c>
      <c r="B169" s="202">
        <v>124319</v>
      </c>
      <c r="C169" s="238" t="str">
        <f>VLOOKUP($B:$B,RAW!$A:$B,2,0)</f>
        <v>판매촉진비</v>
      </c>
      <c r="D169" s="426"/>
      <c r="E169" s="41"/>
      <c r="F169" s="7"/>
      <c r="G169" s="11"/>
      <c r="H169" s="426"/>
      <c r="I169" s="41"/>
      <c r="J169" s="7"/>
      <c r="K169" s="11"/>
    </row>
    <row r="170" spans="1:11" s="35" customFormat="1">
      <c r="A170" s="35" t="s">
        <v>248</v>
      </c>
      <c r="B170" s="202">
        <v>124318</v>
      </c>
      <c r="C170" s="238" t="str">
        <f>VLOOKUP($B:$B,RAW!$A:$B,2,0)</f>
        <v>해외시장개척비</v>
      </c>
      <c r="D170" s="426"/>
      <c r="E170" s="41"/>
      <c r="F170" s="7"/>
      <c r="G170" s="11"/>
      <c r="H170" s="426"/>
      <c r="I170" s="41"/>
      <c r="J170" s="7"/>
      <c r="K170" s="11"/>
    </row>
    <row r="171" spans="1:11" s="35" customFormat="1">
      <c r="A171" s="35" t="s">
        <v>202</v>
      </c>
      <c r="B171" s="202">
        <v>124320</v>
      </c>
      <c r="C171" s="238" t="str">
        <f>VLOOKUP($B:$B,RAW!$A:$B,2,0)</f>
        <v>수출비용</v>
      </c>
      <c r="D171" s="426"/>
      <c r="E171" s="41"/>
      <c r="F171" s="7"/>
      <c r="G171" s="11"/>
      <c r="H171" s="426"/>
      <c r="I171" s="41"/>
      <c r="J171" s="7"/>
      <c r="K171" s="11"/>
    </row>
    <row r="172" spans="1:11" s="35" customFormat="1">
      <c r="A172" s="35" t="s">
        <v>249</v>
      </c>
      <c r="B172" s="202">
        <v>124322</v>
      </c>
      <c r="C172" s="238" t="str">
        <f>VLOOKUP($B:$B,RAW!$A:$B,2,0)</f>
        <v>A/S비</v>
      </c>
      <c r="D172" s="426"/>
      <c r="E172" s="41"/>
      <c r="F172" s="7"/>
      <c r="G172" s="11"/>
      <c r="H172" s="426"/>
      <c r="I172" s="41"/>
      <c r="J172" s="7"/>
      <c r="K172" s="11"/>
    </row>
    <row r="173" spans="1:11" s="35" customFormat="1">
      <c r="A173" s="35" t="s">
        <v>250</v>
      </c>
      <c r="B173" s="202">
        <v>124323</v>
      </c>
      <c r="C173" s="238" t="str">
        <f>VLOOKUP($B:$B,RAW!$A:$B,2,0)</f>
        <v>반품충당부채전입액</v>
      </c>
      <c r="D173" s="426"/>
      <c r="E173" s="41"/>
      <c r="F173" s="7"/>
      <c r="G173" s="11"/>
      <c r="H173" s="426"/>
      <c r="I173" s="41"/>
      <c r="J173" s="7"/>
      <c r="K173" s="11"/>
    </row>
    <row r="174" spans="1:11" s="35" customFormat="1">
      <c r="A174" s="35" t="s">
        <v>251</v>
      </c>
      <c r="B174" s="202">
        <v>124321</v>
      </c>
      <c r="C174" s="238" t="str">
        <f>VLOOKUP($B:$B,RAW!$A:$B,2,0)</f>
        <v>기타판매비</v>
      </c>
      <c r="D174" s="426"/>
      <c r="E174" s="41"/>
      <c r="F174" s="7"/>
      <c r="G174" s="11"/>
      <c r="H174" s="426"/>
      <c r="I174" s="41"/>
      <c r="J174" s="7"/>
      <c r="K174" s="53"/>
    </row>
    <row r="175" spans="1:11" s="35" customFormat="1">
      <c r="A175" s="35" t="s">
        <v>252</v>
      </c>
      <c r="B175" s="202">
        <v>124406</v>
      </c>
      <c r="C175" s="238" t="str">
        <f>VLOOKUP($B:$B,RAW!$A:$B,2,0)</f>
        <v>연구비</v>
      </c>
      <c r="D175" s="426"/>
      <c r="E175" s="41"/>
      <c r="G175" s="53"/>
      <c r="H175" s="426"/>
      <c r="I175" s="41"/>
      <c r="K175" s="11"/>
    </row>
    <row r="176" spans="1:11" s="35" customFormat="1">
      <c r="A176" s="35" t="s">
        <v>203</v>
      </c>
      <c r="B176" s="202">
        <v>124410</v>
      </c>
      <c r="C176" s="238" t="str">
        <f>VLOOKUP($B:$B,RAW!$A:$B,2,0)</f>
        <v>경상연구개발비</v>
      </c>
      <c r="D176" s="426"/>
      <c r="E176" s="41"/>
      <c r="F176" s="7"/>
      <c r="G176" s="11"/>
      <c r="H176" s="426"/>
      <c r="I176" s="41"/>
      <c r="J176" s="7"/>
      <c r="K176" s="11"/>
    </row>
    <row r="177" spans="1:11" s="35" customFormat="1">
      <c r="A177" s="35" t="s">
        <v>33</v>
      </c>
      <c r="B177" s="202">
        <v>124420</v>
      </c>
      <c r="C177" s="238" t="str">
        <f>VLOOKUP($B:$B,RAW!$A:$B,2,0)</f>
        <v>경상개발비</v>
      </c>
      <c r="D177" s="426"/>
      <c r="E177" s="41"/>
      <c r="F177" s="7"/>
      <c r="G177" s="11"/>
      <c r="H177" s="426"/>
      <c r="I177" s="41"/>
      <c r="J177" s="7"/>
      <c r="K177" s="11"/>
    </row>
    <row r="178" spans="1:11" s="35" customFormat="1">
      <c r="A178" s="35" t="s">
        <v>253</v>
      </c>
      <c r="B178" s="202">
        <v>124421</v>
      </c>
      <c r="C178" s="238" t="str">
        <f>VLOOKUP($B:$B,RAW!$A:$B,2,0)</f>
        <v>로얄티</v>
      </c>
      <c r="D178" s="426"/>
      <c r="E178" s="41"/>
      <c r="F178" s="7"/>
      <c r="G178" s="11"/>
      <c r="H178" s="426"/>
      <c r="I178" s="41"/>
      <c r="J178" s="7"/>
      <c r="K178" s="11"/>
    </row>
    <row r="179" spans="1:11" s="35" customFormat="1">
      <c r="A179" s="35" t="s">
        <v>162</v>
      </c>
      <c r="B179" s="202">
        <v>124440</v>
      </c>
      <c r="C179" s="238" t="str">
        <f>VLOOKUP($B:$B,RAW!$A:$B,2,0)</f>
        <v>대손상각비</v>
      </c>
      <c r="D179" s="426"/>
      <c r="E179" s="41"/>
      <c r="F179" s="7"/>
      <c r="G179" s="11"/>
      <c r="H179" s="426"/>
      <c r="I179" s="41"/>
      <c r="J179" s="7"/>
      <c r="K179" s="11"/>
    </row>
    <row r="180" spans="1:11" s="35" customFormat="1" ht="12.75">
      <c r="A180" s="35" t="s">
        <v>34</v>
      </c>
      <c r="B180" s="202">
        <v>124450</v>
      </c>
      <c r="C180" s="238" t="str">
        <f>VLOOKUP($B:$B,RAW!$A:$B,2,0)</f>
        <v>무형자산상각비</v>
      </c>
      <c r="D180" s="506">
        <v>27012303</v>
      </c>
      <c r="E180" s="41"/>
      <c r="F180" s="7"/>
      <c r="G180" s="11"/>
      <c r="H180" s="425"/>
      <c r="I180" s="41"/>
      <c r="J180" s="7"/>
      <c r="K180" s="11"/>
    </row>
    <row r="181" spans="1:11" s="35" customFormat="1">
      <c r="A181" s="35" t="s">
        <v>254</v>
      </c>
      <c r="B181" s="202">
        <v>124472</v>
      </c>
      <c r="C181" s="238" t="str">
        <f>VLOOKUP($B:$B,RAW!$A:$B,2,0)</f>
        <v>중간기간판매비와관리비조정</v>
      </c>
      <c r="D181" s="426"/>
      <c r="E181" s="41"/>
      <c r="F181" s="7"/>
      <c r="G181" s="11"/>
      <c r="H181" s="426"/>
      <c r="I181" s="41"/>
      <c r="J181" s="7"/>
      <c r="K181" s="53"/>
    </row>
    <row r="182" spans="1:11" s="35" customFormat="1">
      <c r="A182" s="35" t="s">
        <v>19</v>
      </c>
      <c r="B182" s="202">
        <v>124460</v>
      </c>
      <c r="C182" s="238" t="str">
        <f>VLOOKUP($B:$B,RAW!$A:$B,2,0)</f>
        <v>기타</v>
      </c>
      <c r="D182" s="425"/>
      <c r="E182" s="41"/>
      <c r="G182" s="53"/>
      <c r="H182" s="425"/>
      <c r="I182" s="41"/>
      <c r="K182" s="53"/>
    </row>
    <row r="183" spans="1:11" s="35" customFormat="1">
      <c r="A183" s="35" t="s">
        <v>11</v>
      </c>
      <c r="B183" s="205">
        <v>125000</v>
      </c>
      <c r="C183" s="228" t="str">
        <f>VLOOKUP($B:$B,RAW!$A:$B,2,0)</f>
        <v>영업이익(손실)</v>
      </c>
      <c r="D183" s="424">
        <f>D133-D134</f>
        <v>-12945493179</v>
      </c>
      <c r="G183" s="53"/>
      <c r="H183" s="44">
        <f>H133-H134</f>
        <v>0</v>
      </c>
      <c r="K183" s="53"/>
    </row>
    <row r="184" spans="1:11" s="35" customFormat="1">
      <c r="A184" s="35" t="s">
        <v>12</v>
      </c>
      <c r="B184" s="205">
        <v>125100</v>
      </c>
      <c r="C184" s="230" t="str">
        <f>VLOOKUP($B:$B,RAW!$A:$B,2,0)</f>
        <v>영업외수익</v>
      </c>
      <c r="D184" s="35">
        <f>SUM(D186:E248)</f>
        <v>3921926317</v>
      </c>
      <c r="G184" s="53"/>
      <c r="H184" s="46">
        <f>SUM(H186:H248)</f>
        <v>0</v>
      </c>
      <c r="K184" s="53"/>
    </row>
    <row r="185" spans="1:11" s="35" customFormat="1">
      <c r="A185" s="35" t="s">
        <v>1440</v>
      </c>
      <c r="B185" s="128"/>
      <c r="C185" s="230"/>
      <c r="D185" s="45"/>
      <c r="G185" s="53"/>
      <c r="H185" s="45"/>
      <c r="K185" s="11"/>
    </row>
    <row r="186" spans="1:11" s="35" customFormat="1" ht="12.75">
      <c r="A186" s="35" t="s">
        <v>24</v>
      </c>
      <c r="B186" s="201">
        <v>125101</v>
      </c>
      <c r="C186" s="239" t="str">
        <f>VLOOKUP($B:$B,RAW!$A:$B,2,0)</f>
        <v>이자수익</v>
      </c>
      <c r="D186" s="506">
        <f>363362608+1171473596</f>
        <v>1534836204</v>
      </c>
      <c r="E186" s="41"/>
      <c r="F186" s="126"/>
      <c r="G186" s="11"/>
      <c r="H186" s="38"/>
      <c r="I186" s="41"/>
      <c r="J186" s="7"/>
      <c r="K186" s="11"/>
    </row>
    <row r="187" spans="1:11" s="35" customFormat="1">
      <c r="A187" s="35" t="s">
        <v>255</v>
      </c>
      <c r="B187" s="201">
        <v>125102</v>
      </c>
      <c r="C187" s="239" t="str">
        <f>VLOOKUP($B:$B,RAW!$A:$B,2,0)</f>
        <v>장단기투자증권이자수익</v>
      </c>
      <c r="D187" s="38"/>
      <c r="E187" s="41"/>
      <c r="F187" s="126"/>
      <c r="G187" s="11"/>
      <c r="H187" s="38"/>
      <c r="I187" s="41"/>
      <c r="J187" s="7"/>
      <c r="K187" s="11"/>
    </row>
    <row r="188" spans="1:11" s="35" customFormat="1">
      <c r="A188" s="35" t="s">
        <v>26</v>
      </c>
      <c r="B188" s="201">
        <v>125103</v>
      </c>
      <c r="C188" s="239" t="str">
        <f>VLOOKUP($B:$B,RAW!$A:$B,2,0)</f>
        <v>배당금수익</v>
      </c>
      <c r="D188" s="38"/>
      <c r="E188" s="41"/>
      <c r="F188" s="126"/>
      <c r="G188" s="11"/>
      <c r="H188" s="38"/>
      <c r="I188" s="41"/>
      <c r="J188" s="7"/>
      <c r="K188" s="11"/>
    </row>
    <row r="189" spans="1:11" s="35" customFormat="1">
      <c r="A189" s="35" t="s">
        <v>256</v>
      </c>
      <c r="B189" s="201">
        <v>125200</v>
      </c>
      <c r="C189" s="239" t="str">
        <f>VLOOKUP($B:$B,RAW!$A:$B,2,0)</f>
        <v>단기투자자산처분이익</v>
      </c>
      <c r="D189" s="38"/>
      <c r="E189" s="41"/>
      <c r="F189" s="126"/>
      <c r="G189" s="11"/>
      <c r="H189" s="38"/>
      <c r="I189" s="41"/>
      <c r="J189" s="7"/>
      <c r="K189" s="11"/>
    </row>
    <row r="190" spans="1:11" s="35" customFormat="1">
      <c r="A190" s="35" t="s">
        <v>257</v>
      </c>
      <c r="B190" s="201">
        <v>125131</v>
      </c>
      <c r="C190" s="239" t="str">
        <f>VLOOKUP($B:$B,RAW!$A:$B,2,0)</f>
        <v>단기금융상품처분이익</v>
      </c>
      <c r="D190" s="38"/>
      <c r="E190" s="41"/>
      <c r="F190" s="126"/>
      <c r="G190" s="11"/>
      <c r="H190" s="38"/>
      <c r="I190" s="41"/>
      <c r="J190" s="7"/>
      <c r="K190" s="11"/>
    </row>
    <row r="191" spans="1:11" s="35" customFormat="1">
      <c r="A191" s="35" t="s">
        <v>258</v>
      </c>
      <c r="B191" s="201">
        <v>125141</v>
      </c>
      <c r="C191" s="239" t="str">
        <f>VLOOKUP($B:$B,RAW!$A:$B,2,0)</f>
        <v>단기금융상품평가이익</v>
      </c>
      <c r="D191" s="38"/>
      <c r="E191" s="41"/>
      <c r="F191" s="126"/>
      <c r="G191" s="11"/>
      <c r="H191" s="38"/>
      <c r="I191" s="41"/>
      <c r="J191" s="7"/>
      <c r="K191" s="11"/>
    </row>
    <row r="192" spans="1:11" s="35" customFormat="1">
      <c r="A192" s="35" t="s">
        <v>259</v>
      </c>
      <c r="B192" s="201">
        <v>125146</v>
      </c>
      <c r="C192" s="239" t="str">
        <f>VLOOKUP($B:$B,RAW!$A:$B,2,0)</f>
        <v>단기매매증권처분이익</v>
      </c>
      <c r="D192" s="37"/>
      <c r="E192" s="41"/>
      <c r="F192" s="126"/>
      <c r="G192" s="11"/>
      <c r="H192" s="37"/>
      <c r="I192" s="41"/>
      <c r="J192" s="7"/>
      <c r="K192" s="53"/>
    </row>
    <row r="193" spans="1:11" s="35" customFormat="1">
      <c r="A193" s="35" t="s">
        <v>260</v>
      </c>
      <c r="B193" s="201">
        <v>125144</v>
      </c>
      <c r="C193" s="239" t="str">
        <f>VLOOKUP($B:$B,RAW!$A:$B,2,0)</f>
        <v>단기매매증권평가이익</v>
      </c>
      <c r="D193" s="37"/>
      <c r="E193" s="41"/>
      <c r="F193" s="125"/>
      <c r="G193" s="53"/>
      <c r="H193" s="37"/>
      <c r="I193" s="41"/>
      <c r="K193" s="11"/>
    </row>
    <row r="194" spans="1:11" s="35" customFormat="1">
      <c r="A194" s="35" t="s">
        <v>261</v>
      </c>
      <c r="B194" s="201">
        <v>125142</v>
      </c>
      <c r="C194" s="239" t="str">
        <f>VLOOKUP($B:$B,RAW!$A:$B,2,0)</f>
        <v>단기투자일임계약자산평가이익</v>
      </c>
      <c r="D194" s="37"/>
      <c r="E194" s="41"/>
      <c r="F194" s="126"/>
      <c r="G194" s="11"/>
      <c r="H194" s="37"/>
      <c r="I194" s="41"/>
      <c r="J194" s="7"/>
      <c r="K194" s="11"/>
    </row>
    <row r="195" spans="1:11" s="35" customFormat="1">
      <c r="A195" s="35" t="s">
        <v>262</v>
      </c>
      <c r="B195" s="201">
        <v>125132</v>
      </c>
      <c r="C195" s="239" t="str">
        <f>VLOOKUP($B:$B,RAW!$A:$B,2,0)</f>
        <v>매출채권처분이익</v>
      </c>
      <c r="D195" s="37"/>
      <c r="E195" s="41"/>
      <c r="F195" s="126"/>
      <c r="G195" s="11"/>
      <c r="H195" s="37"/>
      <c r="I195" s="41"/>
      <c r="J195" s="7"/>
      <c r="K195" s="11"/>
    </row>
    <row r="196" spans="1:11" s="35" customFormat="1">
      <c r="A196" s="35" t="s">
        <v>263</v>
      </c>
      <c r="B196" s="201">
        <v>125139</v>
      </c>
      <c r="C196" s="239" t="str">
        <f>VLOOKUP($B:$B,RAW!$A:$B,2,0)</f>
        <v>재고자산평가손실환입</v>
      </c>
      <c r="D196" s="37"/>
      <c r="E196" s="41"/>
      <c r="F196" s="126"/>
      <c r="G196" s="11"/>
      <c r="H196" s="37"/>
      <c r="I196" s="41"/>
      <c r="J196" s="7"/>
      <c r="K196" s="11"/>
    </row>
    <row r="197" spans="1:11" s="35" customFormat="1">
      <c r="A197" s="35" t="s">
        <v>264</v>
      </c>
      <c r="B197" s="201">
        <v>125133</v>
      </c>
      <c r="C197" s="239" t="str">
        <f>VLOOKUP($B:$B,RAW!$A:$B,2,0)</f>
        <v>임대주택자산처분이익</v>
      </c>
      <c r="D197" s="37"/>
      <c r="E197" s="41"/>
      <c r="F197" s="126"/>
      <c r="G197" s="11"/>
      <c r="H197" s="37"/>
      <c r="I197" s="41"/>
      <c r="J197" s="7"/>
      <c r="K197" s="11"/>
    </row>
    <row r="198" spans="1:11" s="35" customFormat="1">
      <c r="A198" s="35" t="s">
        <v>265</v>
      </c>
      <c r="B198" s="201">
        <v>125116</v>
      </c>
      <c r="C198" s="239" t="str">
        <f>VLOOKUP($B:$B,RAW!$A:$B,2,0)</f>
        <v>주식배당금수익</v>
      </c>
      <c r="D198" s="37"/>
      <c r="E198" s="41"/>
      <c r="F198" s="126"/>
      <c r="G198" s="11"/>
      <c r="H198" s="37"/>
      <c r="I198" s="41"/>
      <c r="J198" s="7"/>
      <c r="K198" s="11"/>
    </row>
    <row r="199" spans="1:11" s="35" customFormat="1">
      <c r="A199" s="35" t="s">
        <v>266</v>
      </c>
      <c r="B199" s="201">
        <v>125117</v>
      </c>
      <c r="C199" s="239" t="str">
        <f>VLOOKUP($B:$B,RAW!$A:$B,2,0)</f>
        <v>신주인수권처분이익</v>
      </c>
      <c r="D199" s="37"/>
      <c r="E199" s="41"/>
      <c r="F199" s="126"/>
      <c r="G199" s="11"/>
      <c r="H199" s="37"/>
      <c r="I199" s="41"/>
      <c r="J199" s="7"/>
      <c r="K199" s="11"/>
    </row>
    <row r="200" spans="1:11" s="35" customFormat="1">
      <c r="A200" s="35" t="s">
        <v>204</v>
      </c>
      <c r="B200" s="201">
        <v>125105</v>
      </c>
      <c r="C200" s="239" t="str">
        <f>VLOOKUP($B:$B,RAW!$A:$B,2,0)</f>
        <v>임대료수익</v>
      </c>
      <c r="D200" s="37"/>
      <c r="E200" s="41"/>
      <c r="F200" s="126"/>
      <c r="G200" s="11"/>
      <c r="H200" s="37"/>
      <c r="I200" s="41"/>
      <c r="J200" s="7"/>
      <c r="K200" s="11"/>
    </row>
    <row r="201" spans="1:11" s="35" customFormat="1">
      <c r="A201" s="35" t="s">
        <v>267</v>
      </c>
      <c r="B201" s="201">
        <v>125106</v>
      </c>
      <c r="C201" s="239" t="str">
        <f>VLOOKUP($B:$B,RAW!$A:$B,2,0)</f>
        <v>수수료수익</v>
      </c>
      <c r="D201" s="37"/>
      <c r="E201" s="41"/>
      <c r="F201" s="126"/>
      <c r="G201" s="11"/>
      <c r="H201" s="37"/>
      <c r="I201" s="41"/>
      <c r="J201" s="7"/>
      <c r="K201" s="11"/>
    </row>
    <row r="202" spans="1:11" s="35" customFormat="1">
      <c r="A202" s="35" t="s">
        <v>268</v>
      </c>
      <c r="B202" s="201">
        <v>125107</v>
      </c>
      <c r="C202" s="239" t="str">
        <f>VLOOKUP($B:$B,RAW!$A:$B,2,0)</f>
        <v>원가차익</v>
      </c>
      <c r="D202" s="37"/>
      <c r="E202" s="41"/>
      <c r="F202" s="126"/>
      <c r="G202" s="11"/>
      <c r="H202" s="37"/>
      <c r="I202" s="41"/>
      <c r="J202" s="7"/>
      <c r="K202" s="11"/>
    </row>
    <row r="203" spans="1:11" s="35" customFormat="1">
      <c r="A203" s="35" t="s">
        <v>235</v>
      </c>
      <c r="B203" s="201">
        <v>125108</v>
      </c>
      <c r="C203" s="239" t="str">
        <f>VLOOKUP($B:$B,RAW!$A:$B,2,0)</f>
        <v>매입할인</v>
      </c>
      <c r="D203" s="37"/>
      <c r="E203" s="41"/>
      <c r="F203" s="126"/>
      <c r="G203" s="11"/>
      <c r="H203" s="37"/>
      <c r="I203" s="41"/>
      <c r="J203" s="7"/>
      <c r="K203" s="11"/>
    </row>
    <row r="204" spans="1:11" s="35" customFormat="1">
      <c r="A204" s="35" t="s">
        <v>205</v>
      </c>
      <c r="B204" s="201">
        <v>125110</v>
      </c>
      <c r="C204" s="239" t="str">
        <f>VLOOKUP($B:$B,RAW!$A:$B,2,0)</f>
        <v>보험차익</v>
      </c>
      <c r="D204" s="37"/>
      <c r="E204" s="41"/>
      <c r="F204" s="126"/>
      <c r="G204" s="11"/>
      <c r="H204" s="37"/>
      <c r="I204" s="41"/>
      <c r="J204" s="7"/>
      <c r="K204" s="11"/>
    </row>
    <row r="205" spans="1:11" s="35" customFormat="1" ht="12.75">
      <c r="A205" s="35" t="s">
        <v>163</v>
      </c>
      <c r="B205" s="201">
        <v>125109</v>
      </c>
      <c r="C205" s="239" t="str">
        <f>VLOOKUP($B:$B,RAW!$A:$B,2,0)</f>
        <v>외환차익</v>
      </c>
      <c r="D205" s="506">
        <v>113473422</v>
      </c>
      <c r="E205" s="41"/>
      <c r="F205" s="126"/>
      <c r="G205" s="11"/>
      <c r="H205" s="37"/>
      <c r="I205" s="41"/>
      <c r="J205" s="7"/>
      <c r="K205" s="11"/>
    </row>
    <row r="206" spans="1:11" s="35" customFormat="1" ht="12.75">
      <c r="A206" s="35" t="s">
        <v>164</v>
      </c>
      <c r="B206" s="201">
        <v>125111</v>
      </c>
      <c r="C206" s="239" t="str">
        <f>VLOOKUP($B:$B,RAW!$A:$B,2,0)</f>
        <v>외화환산이익</v>
      </c>
      <c r="D206" s="506">
        <v>2255983723</v>
      </c>
      <c r="E206" s="41"/>
      <c r="F206" s="126"/>
      <c r="G206" s="11"/>
      <c r="H206" s="37"/>
      <c r="I206" s="41"/>
      <c r="J206" s="7"/>
      <c r="K206" s="11"/>
    </row>
    <row r="207" spans="1:11" s="35" customFormat="1">
      <c r="A207" s="35" t="s">
        <v>269</v>
      </c>
      <c r="B207" s="201">
        <v>125118</v>
      </c>
      <c r="C207" s="239" t="str">
        <f>VLOOKUP($B:$B,RAW!$A:$B,2,0)</f>
        <v>파생상품거래이익</v>
      </c>
      <c r="D207" s="37"/>
      <c r="E207" s="41"/>
      <c r="F207" s="126"/>
      <c r="G207" s="11"/>
      <c r="H207" s="37"/>
      <c r="I207" s="41"/>
      <c r="J207" s="7"/>
      <c r="K207" s="11"/>
    </row>
    <row r="208" spans="1:11" s="35" customFormat="1">
      <c r="A208" s="35" t="s">
        <v>270</v>
      </c>
      <c r="B208" s="201">
        <v>125119</v>
      </c>
      <c r="C208" s="239" t="str">
        <f>VLOOKUP($B:$B,RAW!$A:$B,2,0)</f>
        <v>파생상품거래대환입</v>
      </c>
      <c r="D208" s="37"/>
      <c r="E208" s="41"/>
      <c r="F208" s="126"/>
      <c r="G208" s="11"/>
      <c r="H208" s="37"/>
      <c r="I208" s="41"/>
      <c r="J208" s="7"/>
      <c r="K208" s="11"/>
    </row>
    <row r="209" spans="1:11" s="35" customFormat="1">
      <c r="A209" s="35" t="s">
        <v>271</v>
      </c>
      <c r="B209" s="201">
        <v>125126</v>
      </c>
      <c r="C209" s="239" t="str">
        <f>VLOOKUP($B:$B,RAW!$A:$B,2,0)</f>
        <v>파생상품평가이익</v>
      </c>
      <c r="D209" s="37"/>
      <c r="E209" s="41"/>
      <c r="F209" s="126"/>
      <c r="G209" s="11"/>
      <c r="H209" s="37"/>
      <c r="I209" s="41"/>
      <c r="J209" s="7"/>
      <c r="K209" s="11"/>
    </row>
    <row r="210" spans="1:11" s="35" customFormat="1">
      <c r="A210" s="35" t="s">
        <v>272</v>
      </c>
      <c r="B210" s="201">
        <v>125112</v>
      </c>
      <c r="C210" s="239" t="str">
        <f>VLOOKUP($B:$B,RAW!$A:$B,2,0)</f>
        <v>환율조정대환입</v>
      </c>
      <c r="D210" s="37"/>
      <c r="E210" s="41"/>
      <c r="F210" s="126"/>
      <c r="G210" s="11"/>
      <c r="H210" s="37"/>
      <c r="I210" s="41"/>
      <c r="J210" s="7"/>
      <c r="K210" s="11"/>
    </row>
    <row r="211" spans="1:11" s="35" customFormat="1">
      <c r="A211" s="35" t="s">
        <v>165</v>
      </c>
      <c r="B211" s="201">
        <v>125113</v>
      </c>
      <c r="C211" s="239" t="str">
        <f>VLOOKUP($B:$B,RAW!$A:$B,2,0)</f>
        <v>대손충당금환입</v>
      </c>
      <c r="D211" s="37"/>
      <c r="E211" s="41"/>
      <c r="F211" s="126"/>
      <c r="G211" s="11"/>
      <c r="H211" s="37"/>
      <c r="I211" s="41"/>
      <c r="J211" s="7"/>
      <c r="K211" s="11"/>
    </row>
    <row r="212" spans="1:11" s="35" customFormat="1">
      <c r="A212" s="35" t="s">
        <v>273</v>
      </c>
      <c r="B212" s="201">
        <v>125114</v>
      </c>
      <c r="C212" s="239" t="str">
        <f>VLOOKUP($B:$B,RAW!$A:$B,2,0)</f>
        <v>장단기투자증권평가충당금환입</v>
      </c>
      <c r="D212" s="37"/>
      <c r="E212" s="41"/>
      <c r="F212" s="126"/>
      <c r="G212" s="11"/>
      <c r="H212" s="37"/>
      <c r="I212" s="41"/>
      <c r="J212" s="7"/>
      <c r="K212" s="11"/>
    </row>
    <row r="213" spans="1:11" s="35" customFormat="1">
      <c r="A213" s="35" t="s">
        <v>274</v>
      </c>
      <c r="B213" s="201">
        <v>125143</v>
      </c>
      <c r="C213" s="239" t="str">
        <f>VLOOKUP($B:$B,RAW!$A:$B,2,0)</f>
        <v>투자자산평가이익</v>
      </c>
      <c r="D213" s="37"/>
      <c r="E213" s="41"/>
      <c r="F213" s="126"/>
      <c r="G213" s="11"/>
      <c r="H213" s="37"/>
      <c r="I213" s="41"/>
      <c r="J213" s="7"/>
      <c r="K213" s="11"/>
    </row>
    <row r="214" spans="1:11" s="35" customFormat="1">
      <c r="A214" s="35" t="s">
        <v>275</v>
      </c>
      <c r="B214" s="201">
        <v>125145</v>
      </c>
      <c r="C214" s="239" t="str">
        <f>VLOOKUP($B:$B,RAW!$A:$B,2,0)</f>
        <v>매도가능증권평가이익</v>
      </c>
      <c r="D214" s="37"/>
      <c r="E214" s="41"/>
      <c r="F214" s="126"/>
      <c r="G214" s="11"/>
      <c r="H214" s="37"/>
      <c r="I214" s="41"/>
      <c r="J214" s="7"/>
      <c r="K214" s="11"/>
    </row>
    <row r="215" spans="1:11" s="35" customFormat="1">
      <c r="A215" s="35" t="s">
        <v>276</v>
      </c>
      <c r="B215" s="201">
        <v>125120</v>
      </c>
      <c r="C215" s="239" t="str">
        <f>VLOOKUP($B:$B,RAW!$A:$B,2,0)</f>
        <v>투자자산평가충당금환입</v>
      </c>
      <c r="D215" s="37"/>
      <c r="E215" s="41"/>
      <c r="F215" s="126"/>
      <c r="G215" s="11"/>
      <c r="H215" s="37"/>
      <c r="I215" s="41"/>
      <c r="J215" s="7"/>
      <c r="K215" s="11"/>
    </row>
    <row r="216" spans="1:11" s="35" customFormat="1">
      <c r="A216" s="35" t="s">
        <v>277</v>
      </c>
      <c r="B216" s="201">
        <v>125122</v>
      </c>
      <c r="C216" s="239" t="str">
        <f>VLOOKUP($B:$B,RAW!$A:$B,2,0)</f>
        <v>투자자산처분이익</v>
      </c>
      <c r="D216" s="37"/>
      <c r="E216" s="41"/>
      <c r="F216" s="126"/>
      <c r="G216" s="11"/>
      <c r="H216" s="37"/>
      <c r="I216" s="41"/>
      <c r="J216" s="7"/>
      <c r="K216" s="11"/>
    </row>
    <row r="217" spans="1:11" s="35" customFormat="1">
      <c r="A217" s="35" t="s">
        <v>278</v>
      </c>
      <c r="B217" s="201">
        <v>125147</v>
      </c>
      <c r="C217" s="239" t="str">
        <f>VLOOKUP($B:$B,RAW!$A:$B,2,0)</f>
        <v>매도가능증권처분이익</v>
      </c>
      <c r="D217" s="37"/>
      <c r="E217" s="41"/>
      <c r="F217" s="126"/>
      <c r="G217" s="11"/>
      <c r="H217" s="37"/>
      <c r="I217" s="41"/>
      <c r="J217" s="7"/>
      <c r="K217" s="11"/>
    </row>
    <row r="218" spans="1:11" s="35" customFormat="1">
      <c r="A218" s="35" t="s">
        <v>279</v>
      </c>
      <c r="B218" s="201">
        <v>125148</v>
      </c>
      <c r="C218" s="239" t="str">
        <f>VLOOKUP($B:$B,RAW!$A:$B,2,0)</f>
        <v>만기보유증권처분이익</v>
      </c>
      <c r="D218" s="37"/>
      <c r="E218" s="41"/>
      <c r="F218" s="126"/>
      <c r="G218" s="11"/>
      <c r="H218" s="37"/>
      <c r="I218" s="41"/>
      <c r="J218" s="7"/>
      <c r="K218" s="11"/>
    </row>
    <row r="219" spans="1:11" s="35" customFormat="1">
      <c r="A219" s="35" t="s">
        <v>280</v>
      </c>
      <c r="B219" s="201">
        <v>125165</v>
      </c>
      <c r="C219" s="239" t="str">
        <f>VLOOKUP($B:$B,RAW!$A:$B,2,0)</f>
        <v>지분법주식처분이익</v>
      </c>
      <c r="D219" s="38"/>
      <c r="E219" s="41"/>
      <c r="F219" s="126"/>
      <c r="G219" s="11"/>
      <c r="H219" s="38"/>
      <c r="I219" s="41"/>
      <c r="J219" s="7"/>
      <c r="K219" s="11"/>
    </row>
    <row r="220" spans="1:11" s="35" customFormat="1">
      <c r="A220" s="35" t="s">
        <v>281</v>
      </c>
      <c r="B220" s="201">
        <v>125104</v>
      </c>
      <c r="C220" s="239" t="str">
        <f>VLOOKUP($B:$B,RAW!$A:$B,2,0)</f>
        <v>기타장단기투자증권처분이익</v>
      </c>
      <c r="D220" s="38"/>
      <c r="E220" s="41"/>
      <c r="F220" s="126"/>
      <c r="G220" s="11"/>
      <c r="H220" s="38"/>
      <c r="I220" s="41"/>
      <c r="J220" s="7"/>
      <c r="K220" s="11"/>
    </row>
    <row r="221" spans="1:11" s="35" customFormat="1">
      <c r="A221" s="35" t="s">
        <v>282</v>
      </c>
      <c r="B221" s="201">
        <v>125121</v>
      </c>
      <c r="C221" s="239" t="str">
        <f>VLOOKUP($B:$B,RAW!$A:$B,2,0)</f>
        <v>기타장단기투자증권평가이익</v>
      </c>
      <c r="D221" s="38"/>
      <c r="E221" s="41"/>
      <c r="F221" s="126"/>
      <c r="G221" s="11"/>
      <c r="H221" s="38"/>
      <c r="I221" s="41"/>
      <c r="J221" s="7"/>
      <c r="K221" s="11"/>
    </row>
    <row r="222" spans="1:11" s="35" customFormat="1">
      <c r="A222" s="35" t="s">
        <v>283</v>
      </c>
      <c r="B222" s="201">
        <v>125152</v>
      </c>
      <c r="C222" s="239" t="str">
        <f>VLOOKUP($B:$B,RAW!$A:$B,2,0)</f>
        <v>자전거래이익</v>
      </c>
      <c r="D222" s="38"/>
      <c r="E222" s="41"/>
      <c r="F222" s="126"/>
      <c r="G222" s="11"/>
      <c r="H222" s="38"/>
      <c r="I222" s="41"/>
      <c r="J222" s="7"/>
      <c r="K222" s="11"/>
    </row>
    <row r="223" spans="1:11" s="35" customFormat="1">
      <c r="A223" s="35" t="s">
        <v>166</v>
      </c>
      <c r="B223" s="201">
        <v>125123</v>
      </c>
      <c r="C223" s="239" t="str">
        <f>VLOOKUP($B:$B,RAW!$A:$B,2,0)</f>
        <v>유,무형,리스자산처분이익</v>
      </c>
      <c r="D223" s="38">
        <v>0</v>
      </c>
      <c r="E223" s="41"/>
      <c r="F223" s="126"/>
      <c r="G223" s="11"/>
      <c r="H223" s="38"/>
      <c r="I223" s="41"/>
      <c r="J223" s="7"/>
      <c r="K223" s="11"/>
    </row>
    <row r="224" spans="1:11" s="35" customFormat="1">
      <c r="A224" s="35" t="s">
        <v>284</v>
      </c>
      <c r="B224" s="201">
        <v>125153</v>
      </c>
      <c r="C224" s="239" t="str">
        <f>VLOOKUP($B:$B,RAW!$A:$B,2,0)</f>
        <v>공정가액조정이익</v>
      </c>
      <c r="D224" s="38"/>
      <c r="E224" s="41"/>
      <c r="F224" s="126"/>
      <c r="G224" s="11"/>
      <c r="H224" s="38"/>
      <c r="I224" s="41"/>
      <c r="J224" s="7"/>
      <c r="K224" s="11"/>
    </row>
    <row r="225" spans="1:11" s="35" customFormat="1">
      <c r="A225" s="35" t="s">
        <v>285</v>
      </c>
      <c r="B225" s="201">
        <v>125124</v>
      </c>
      <c r="C225" s="239" t="str">
        <f>VLOOKUP($B:$B,RAW!$A:$B,2,0)</f>
        <v>상각채권추심이익</v>
      </c>
      <c r="D225" s="38"/>
      <c r="E225" s="41"/>
      <c r="F225" s="126"/>
      <c r="G225" s="11"/>
      <c r="H225" s="38"/>
      <c r="I225" s="41"/>
      <c r="J225" s="7"/>
      <c r="K225" s="11"/>
    </row>
    <row r="226" spans="1:11" s="35" customFormat="1">
      <c r="A226" s="35" t="s">
        <v>286</v>
      </c>
      <c r="B226" s="201">
        <v>125125</v>
      </c>
      <c r="C226" s="239" t="str">
        <f>VLOOKUP($B:$B,RAW!$A:$B,2,0)</f>
        <v>사채상환이익</v>
      </c>
      <c r="D226" s="38"/>
      <c r="E226" s="41"/>
      <c r="F226" s="126"/>
      <c r="G226" s="11"/>
      <c r="H226" s="38"/>
      <c r="I226" s="41"/>
      <c r="J226" s="7"/>
      <c r="K226" s="11"/>
    </row>
    <row r="227" spans="1:11" s="35" customFormat="1" ht="12.75">
      <c r="A227" s="35" t="s">
        <v>287</v>
      </c>
      <c r="B227" s="201">
        <v>125127</v>
      </c>
      <c r="C227" s="239" t="str">
        <f>VLOOKUP($B:$B,RAW!$A:$B,2,0)</f>
        <v>지분법이익</v>
      </c>
      <c r="D227" s="506">
        <v>3724128</v>
      </c>
      <c r="E227" s="41"/>
      <c r="F227" s="126"/>
      <c r="G227" s="11"/>
      <c r="H227" s="37"/>
      <c r="I227" s="41"/>
      <c r="J227" s="7"/>
      <c r="K227" s="11"/>
    </row>
    <row r="228" spans="1:11" s="35" customFormat="1">
      <c r="A228" s="35" t="s">
        <v>288</v>
      </c>
      <c r="B228" s="201">
        <v>125160</v>
      </c>
      <c r="C228" s="239" t="str">
        <f>VLOOKUP($B:$B,RAW!$A:$B,2,0)</f>
        <v>임대주택자산감액손실환입</v>
      </c>
      <c r="D228" s="37"/>
      <c r="E228" s="41"/>
      <c r="F228" s="126"/>
      <c r="G228" s="11"/>
      <c r="H228" s="37"/>
      <c r="I228" s="41"/>
      <c r="J228" s="7"/>
      <c r="K228" s="11"/>
    </row>
    <row r="229" spans="1:11" s="35" customFormat="1">
      <c r="A229" s="35" t="s">
        <v>289</v>
      </c>
      <c r="B229" s="201">
        <v>125128</v>
      </c>
      <c r="C229" s="239" t="str">
        <f>VLOOKUP($B:$B,RAW!$A:$B,2,0)</f>
        <v>투자자산감액손실환입</v>
      </c>
      <c r="D229" s="37"/>
      <c r="E229" s="41"/>
      <c r="F229" s="126"/>
      <c r="G229" s="11"/>
      <c r="H229" s="37"/>
      <c r="I229" s="41"/>
      <c r="J229" s="7"/>
      <c r="K229" s="11"/>
    </row>
    <row r="230" spans="1:11" s="35" customFormat="1">
      <c r="A230" s="35" t="s">
        <v>290</v>
      </c>
      <c r="B230" s="201">
        <v>125149</v>
      </c>
      <c r="C230" s="239" t="str">
        <f>VLOOKUP($B:$B,RAW!$A:$B,2,0)</f>
        <v>매도가능증권감액손실환입</v>
      </c>
      <c r="D230" s="37"/>
      <c r="E230" s="41"/>
      <c r="F230" s="126"/>
      <c r="G230" s="11"/>
      <c r="H230" s="37"/>
      <c r="I230" s="41"/>
      <c r="J230" s="7"/>
      <c r="K230" s="11"/>
    </row>
    <row r="231" spans="1:11" s="35" customFormat="1">
      <c r="A231" s="35" t="s">
        <v>291</v>
      </c>
      <c r="B231" s="201">
        <v>125151</v>
      </c>
      <c r="C231" s="239" t="str">
        <f>VLOOKUP($B:$B,RAW!$A:$B,2,0)</f>
        <v>만기보유증권감액손실환입</v>
      </c>
      <c r="D231" s="37"/>
      <c r="E231" s="41"/>
      <c r="F231" s="126"/>
      <c r="G231" s="11"/>
      <c r="H231" s="37"/>
      <c r="I231" s="41"/>
      <c r="J231" s="7"/>
      <c r="K231" s="11"/>
    </row>
    <row r="232" spans="1:11" s="35" customFormat="1">
      <c r="A232" s="35" t="s">
        <v>292</v>
      </c>
      <c r="B232" s="201">
        <v>125166</v>
      </c>
      <c r="C232" s="239" t="str">
        <f>VLOOKUP($B:$B,RAW!$A:$B,2,0)</f>
        <v>지분법주식감액손실환입</v>
      </c>
      <c r="D232" s="37"/>
      <c r="E232" s="41"/>
      <c r="F232" s="126"/>
      <c r="G232" s="11"/>
      <c r="H232" s="37"/>
      <c r="I232" s="41"/>
      <c r="J232" s="7"/>
      <c r="K232" s="11"/>
    </row>
    <row r="233" spans="1:11" s="35" customFormat="1">
      <c r="A233" s="35" t="s">
        <v>293</v>
      </c>
      <c r="B233" s="201">
        <v>125170</v>
      </c>
      <c r="C233" s="239" t="str">
        <f>VLOOKUP($B:$B,RAW!$A:$B,2,0)</f>
        <v>유형자산감액손실환입</v>
      </c>
      <c r="D233" s="37"/>
      <c r="E233" s="41"/>
      <c r="F233" s="126"/>
      <c r="G233" s="11"/>
      <c r="H233" s="37"/>
      <c r="I233" s="41"/>
      <c r="J233" s="7"/>
      <c r="K233" s="11"/>
    </row>
    <row r="234" spans="1:11" s="35" customFormat="1">
      <c r="A234" s="35" t="s">
        <v>294</v>
      </c>
      <c r="B234" s="201">
        <v>125180</v>
      </c>
      <c r="C234" s="239" t="str">
        <f>VLOOKUP($B:$B,RAW!$A:$B,2,0)</f>
        <v>무형자산감액손실환입</v>
      </c>
      <c r="D234" s="37"/>
      <c r="E234" s="41"/>
      <c r="F234" s="126"/>
      <c r="G234" s="11"/>
      <c r="H234" s="37"/>
      <c r="I234" s="41"/>
      <c r="J234" s="7"/>
      <c r="K234" s="11"/>
    </row>
    <row r="235" spans="1:11" s="35" customFormat="1">
      <c r="A235" s="35" t="s">
        <v>295</v>
      </c>
      <c r="B235" s="201">
        <v>125190</v>
      </c>
      <c r="C235" s="239" t="str">
        <f>VLOOKUP($B:$B,RAW!$A:$B,2,0)</f>
        <v>기타자산감액손실환입</v>
      </c>
      <c r="D235" s="37"/>
      <c r="E235" s="41"/>
      <c r="F235" s="126"/>
      <c r="G235" s="11"/>
      <c r="H235" s="37"/>
      <c r="I235" s="41"/>
      <c r="J235" s="7"/>
      <c r="K235" s="11"/>
    </row>
    <row r="236" spans="1:11" s="35" customFormat="1">
      <c r="A236" s="35" t="s">
        <v>296</v>
      </c>
      <c r="B236" s="201">
        <v>125191</v>
      </c>
      <c r="C236" s="239" t="str">
        <f>VLOOKUP($B:$B,RAW!$A:$B,2,0)</f>
        <v>주식보상비용환입</v>
      </c>
      <c r="D236" s="37"/>
      <c r="E236" s="41"/>
      <c r="F236" s="126"/>
      <c r="G236" s="11"/>
      <c r="H236" s="37"/>
      <c r="I236" s="41"/>
      <c r="J236" s="7"/>
      <c r="K236" s="11"/>
    </row>
    <row r="237" spans="1:11" s="35" customFormat="1">
      <c r="A237" s="35" t="s">
        <v>297</v>
      </c>
      <c r="B237" s="201">
        <v>125129</v>
      </c>
      <c r="C237" s="239" t="str">
        <f>VLOOKUP($B:$B,RAW!$A:$B,2,0)</f>
        <v>법인세환급액</v>
      </c>
      <c r="D237" s="37"/>
      <c r="E237" s="41"/>
      <c r="F237" s="126"/>
      <c r="G237" s="11"/>
      <c r="H237" s="37"/>
      <c r="I237" s="41"/>
      <c r="J237" s="7"/>
      <c r="K237" s="11"/>
    </row>
    <row r="238" spans="1:11" s="35" customFormat="1">
      <c r="A238" s="35" t="s">
        <v>298</v>
      </c>
      <c r="B238" s="201">
        <v>125150</v>
      </c>
      <c r="C238" s="239" t="str">
        <f>VLOOKUP($B:$B,RAW!$A:$B,2,0)</f>
        <v>전환사채전환이익</v>
      </c>
      <c r="D238" s="37"/>
      <c r="E238" s="41"/>
      <c r="F238" s="126"/>
      <c r="G238" s="11"/>
      <c r="H238" s="37"/>
      <c r="I238" s="41"/>
      <c r="J238" s="7"/>
      <c r="K238" s="11"/>
    </row>
    <row r="239" spans="1:11" s="35" customFormat="1">
      <c r="A239" s="35" t="s">
        <v>299</v>
      </c>
      <c r="B239" s="201">
        <v>125138</v>
      </c>
      <c r="C239" s="239" t="str">
        <f>VLOOKUP($B:$B,RAW!$A:$B,2,0)</f>
        <v>중간기간오류이익</v>
      </c>
      <c r="D239" s="37"/>
      <c r="E239" s="41"/>
      <c r="F239" s="126"/>
      <c r="G239" s="11"/>
      <c r="H239" s="37"/>
      <c r="I239" s="41"/>
      <c r="J239" s="7"/>
      <c r="K239" s="11"/>
    </row>
    <row r="240" spans="1:11" s="35" customFormat="1">
      <c r="A240" s="35" t="s">
        <v>300</v>
      </c>
      <c r="B240" s="201">
        <v>125140</v>
      </c>
      <c r="C240" s="239" t="str">
        <f>VLOOKUP($B:$B,RAW!$A:$B,2,0)</f>
        <v>중간기간영업외수익조정</v>
      </c>
      <c r="D240" s="37"/>
      <c r="E240" s="41"/>
      <c r="F240" s="126"/>
      <c r="G240" s="11"/>
      <c r="H240" s="37"/>
      <c r="I240" s="41"/>
      <c r="J240" s="7"/>
      <c r="K240" s="11"/>
    </row>
    <row r="241" spans="1:11" s="35" customFormat="1">
      <c r="A241" s="35" t="s">
        <v>301</v>
      </c>
      <c r="B241" s="201">
        <v>125134</v>
      </c>
      <c r="C241" s="239" t="str">
        <f>VLOOKUP($B:$B,RAW!$A:$B,2,0)</f>
        <v>전기오류수정이익</v>
      </c>
      <c r="D241" s="37"/>
      <c r="E241" s="41"/>
      <c r="F241" s="126"/>
      <c r="G241" s="11"/>
      <c r="H241" s="37"/>
      <c r="I241" s="41"/>
      <c r="J241" s="7"/>
      <c r="K241" s="11"/>
    </row>
    <row r="242" spans="1:11" s="35" customFormat="1">
      <c r="A242" s="35" t="s">
        <v>302</v>
      </c>
      <c r="B242" s="201">
        <v>125135</v>
      </c>
      <c r="C242" s="239" t="str">
        <f>VLOOKUP($B:$B,RAW!$A:$B,2,0)</f>
        <v>복구충당부채환입액</v>
      </c>
      <c r="D242" s="37"/>
      <c r="E242" s="41"/>
      <c r="F242" s="126"/>
      <c r="G242" s="11"/>
      <c r="H242" s="37"/>
      <c r="I242" s="41"/>
      <c r="J242" s="7"/>
      <c r="K242" s="11"/>
    </row>
    <row r="243" spans="1:11" s="35" customFormat="1">
      <c r="A243" s="35" t="s">
        <v>303</v>
      </c>
      <c r="B243" s="201">
        <v>125136</v>
      </c>
      <c r="C243" s="239" t="str">
        <f>VLOOKUP($B:$B,RAW!$A:$B,2,0)</f>
        <v>복구공사이익</v>
      </c>
      <c r="D243" s="37"/>
      <c r="E243" s="41"/>
      <c r="F243" s="126"/>
      <c r="G243" s="11"/>
      <c r="H243" s="37"/>
      <c r="I243" s="41"/>
      <c r="J243" s="7"/>
      <c r="K243" s="11"/>
    </row>
    <row r="244" spans="1:11" s="35" customFormat="1">
      <c r="A244" s="35" t="s">
        <v>304</v>
      </c>
      <c r="B244" s="201">
        <v>125137</v>
      </c>
      <c r="C244" s="239" t="str">
        <f>VLOOKUP($B:$B,RAW!$A:$B,2,0)</f>
        <v>유동화수익</v>
      </c>
      <c r="D244" s="37"/>
      <c r="E244" s="41"/>
      <c r="F244" s="126"/>
      <c r="G244" s="11"/>
      <c r="H244" s="37"/>
      <c r="I244" s="41"/>
      <c r="J244" s="7"/>
      <c r="K244" s="11"/>
    </row>
    <row r="245" spans="1:11" s="35" customFormat="1">
      <c r="A245" s="35" t="s">
        <v>305</v>
      </c>
      <c r="B245" s="201">
        <v>125157</v>
      </c>
      <c r="C245" s="239" t="str">
        <f>VLOOKUP($B:$B,RAW!$A:$B,2,0)</f>
        <v>자산수증이익</v>
      </c>
      <c r="D245" s="37"/>
      <c r="E245" s="41"/>
      <c r="F245" s="126"/>
      <c r="G245" s="11"/>
      <c r="H245" s="37"/>
      <c r="I245" s="41"/>
      <c r="J245" s="7"/>
      <c r="K245" s="11"/>
    </row>
    <row r="246" spans="1:11" s="35" customFormat="1">
      <c r="A246" s="35" t="s">
        <v>306</v>
      </c>
      <c r="B246" s="201">
        <v>125158</v>
      </c>
      <c r="C246" s="239" t="str">
        <f>VLOOKUP($B:$B,RAW!$A:$B,2,0)</f>
        <v>채무면제이익</v>
      </c>
      <c r="D246" s="37"/>
      <c r="E246" s="41"/>
      <c r="F246" s="126"/>
      <c r="G246" s="11"/>
      <c r="H246" s="37"/>
      <c r="I246" s="41"/>
      <c r="J246" s="7"/>
      <c r="K246" s="11"/>
    </row>
    <row r="247" spans="1:11" s="35" customFormat="1">
      <c r="A247" s="35" t="s">
        <v>307</v>
      </c>
      <c r="B247" s="201">
        <v>125154</v>
      </c>
      <c r="C247" s="239" t="str">
        <f>VLOOKUP($B:$B,RAW!$A:$B,2,0)</f>
        <v>해외사업환산이익환입</v>
      </c>
      <c r="D247" s="37"/>
      <c r="E247" s="41"/>
      <c r="F247" s="126"/>
      <c r="G247" s="11"/>
      <c r="H247" s="37"/>
      <c r="I247" s="41"/>
      <c r="J247" s="7"/>
      <c r="K247" s="53"/>
    </row>
    <row r="248" spans="1:11" s="35" customFormat="1" ht="12.75">
      <c r="A248" s="35" t="s">
        <v>167</v>
      </c>
      <c r="B248" s="201">
        <v>125115</v>
      </c>
      <c r="C248" s="239" t="str">
        <f>VLOOKUP($B:$B,RAW!$A:$B,2,0)</f>
        <v>기타영업외수익</v>
      </c>
      <c r="D248" s="506">
        <v>13908840</v>
      </c>
      <c r="E248" s="41"/>
      <c r="F248" s="125"/>
      <c r="G248" s="53" t="s">
        <v>1773</v>
      </c>
      <c r="H248" s="43">
        <f>SUM(I186:I248)</f>
        <v>0</v>
      </c>
      <c r="I248" s="41"/>
      <c r="K248" s="53"/>
    </row>
    <row r="249" spans="1:11" s="35" customFormat="1">
      <c r="A249" s="35" t="s">
        <v>13</v>
      </c>
      <c r="B249" s="205">
        <v>126000</v>
      </c>
      <c r="C249" s="230" t="str">
        <f>VLOOKUP($B:$B,RAW!$A:$B,2,0)</f>
        <v>영업외비용</v>
      </c>
      <c r="D249" s="46">
        <f>SUM(D251:E301)</f>
        <v>7051287606</v>
      </c>
      <c r="G249" s="53"/>
      <c r="H249" s="46">
        <f>SUM(H251:H301)</f>
        <v>0</v>
      </c>
      <c r="K249" s="53"/>
    </row>
    <row r="250" spans="1:11" s="35" customFormat="1">
      <c r="A250" s="35" t="s">
        <v>1441</v>
      </c>
      <c r="B250" s="128"/>
      <c r="C250" s="230"/>
      <c r="D250" s="45"/>
      <c r="G250" s="53"/>
      <c r="H250" s="45"/>
      <c r="K250" s="11"/>
    </row>
    <row r="251" spans="1:11" s="35" customFormat="1" ht="12.75">
      <c r="A251" s="35" t="s">
        <v>32</v>
      </c>
      <c r="B251" s="201">
        <v>126110</v>
      </c>
      <c r="C251" s="239" t="str">
        <f>VLOOKUP($B:$B,RAW!$A:$B,2,0)</f>
        <v>이자비용</v>
      </c>
      <c r="D251" s="506">
        <f>6100927402+170928</f>
        <v>6101098330</v>
      </c>
      <c r="E251" s="41"/>
      <c r="F251" s="126"/>
      <c r="G251" s="11"/>
      <c r="H251" s="37"/>
      <c r="I251" s="41"/>
      <c r="J251" s="7"/>
      <c r="K251" s="11"/>
    </row>
    <row r="252" spans="1:11" s="35" customFormat="1">
      <c r="A252" s="35" t="s">
        <v>308</v>
      </c>
      <c r="B252" s="201">
        <v>126120</v>
      </c>
      <c r="C252" s="239" t="str">
        <f>VLOOKUP($B:$B,RAW!$A:$B,2,0)</f>
        <v>사채이자</v>
      </c>
      <c r="D252" s="37"/>
      <c r="E252" s="41"/>
      <c r="F252" s="126"/>
      <c r="G252" s="11"/>
      <c r="H252" s="37"/>
      <c r="I252" s="41"/>
      <c r="J252" s="7"/>
      <c r="K252" s="11"/>
    </row>
    <row r="253" spans="1:11" s="35" customFormat="1">
      <c r="A253" s="35" t="s">
        <v>309</v>
      </c>
      <c r="B253" s="201">
        <v>126121</v>
      </c>
      <c r="C253" s="239" t="str">
        <f>VLOOKUP($B:$B,RAW!$A:$B,2,0)</f>
        <v>단기투자자산처분손실</v>
      </c>
      <c r="D253" s="37"/>
      <c r="E253" s="41"/>
      <c r="F253" s="126"/>
      <c r="G253" s="11"/>
      <c r="H253" s="37"/>
      <c r="I253" s="41"/>
      <c r="J253" s="7"/>
      <c r="K253" s="11"/>
    </row>
    <row r="254" spans="1:11" s="35" customFormat="1">
      <c r="A254" s="35" t="s">
        <v>310</v>
      </c>
      <c r="B254" s="201">
        <v>126122</v>
      </c>
      <c r="C254" s="239" t="str">
        <f>VLOOKUP($B:$B,RAW!$A:$B,2,0)</f>
        <v>장기투자자산처분손실</v>
      </c>
      <c r="D254" s="37"/>
      <c r="E254" s="41"/>
      <c r="F254" s="126"/>
      <c r="G254" s="11"/>
      <c r="H254" s="37"/>
      <c r="I254" s="41"/>
      <c r="J254" s="7"/>
      <c r="K254" s="11"/>
    </row>
    <row r="255" spans="1:11" s="35" customFormat="1">
      <c r="A255" s="35" t="s">
        <v>311</v>
      </c>
      <c r="B255" s="201">
        <v>126131</v>
      </c>
      <c r="C255" s="239" t="str">
        <f>VLOOKUP($B:$B,RAW!$A:$B,2,0)</f>
        <v>단기금융상품처분손실</v>
      </c>
      <c r="D255" s="37"/>
      <c r="E255" s="41"/>
      <c r="F255" s="126"/>
      <c r="G255" s="11"/>
      <c r="H255" s="37"/>
      <c r="I255" s="41"/>
      <c r="J255" s="7"/>
      <c r="K255" s="11"/>
    </row>
    <row r="256" spans="1:11" s="35" customFormat="1">
      <c r="A256" s="35" t="s">
        <v>312</v>
      </c>
      <c r="B256" s="201">
        <v>126144</v>
      </c>
      <c r="C256" s="239" t="str">
        <f>VLOOKUP($B:$B,RAW!$A:$B,2,0)</f>
        <v>단기매매증권처분손실</v>
      </c>
      <c r="D256" s="37"/>
      <c r="E256" s="41"/>
      <c r="F256" s="126"/>
      <c r="G256" s="11"/>
      <c r="H256" s="37"/>
      <c r="I256" s="41"/>
      <c r="J256" s="7"/>
      <c r="K256" s="11"/>
    </row>
    <row r="257" spans="1:11" s="35" customFormat="1">
      <c r="A257" s="35" t="s">
        <v>313</v>
      </c>
      <c r="B257" s="201">
        <v>126123</v>
      </c>
      <c r="C257" s="239" t="str">
        <f>VLOOKUP($B:$B,RAW!$A:$B,2,0)</f>
        <v>지분법주식처분손실</v>
      </c>
      <c r="D257" s="37"/>
      <c r="E257" s="41"/>
      <c r="F257" s="126"/>
      <c r="G257" s="11"/>
      <c r="H257" s="37"/>
      <c r="I257" s="41"/>
      <c r="J257" s="7"/>
      <c r="K257" s="11"/>
    </row>
    <row r="258" spans="1:11" s="35" customFormat="1">
      <c r="A258" s="35" t="s">
        <v>314</v>
      </c>
      <c r="B258" s="201">
        <v>126140</v>
      </c>
      <c r="C258" s="239" t="str">
        <f>VLOOKUP($B:$B,RAW!$A:$B,2,0)</f>
        <v>기타장단기투자증권처분손실</v>
      </c>
      <c r="D258" s="37"/>
      <c r="E258" s="41"/>
      <c r="F258" s="126"/>
      <c r="G258" s="11"/>
      <c r="H258" s="37"/>
      <c r="I258" s="41"/>
      <c r="J258" s="7"/>
      <c r="K258" s="11"/>
    </row>
    <row r="259" spans="1:11" s="35" customFormat="1">
      <c r="A259" s="35" t="s">
        <v>315</v>
      </c>
      <c r="B259" s="201">
        <v>126132</v>
      </c>
      <c r="C259" s="239" t="str">
        <f>VLOOKUP($B:$B,RAW!$A:$B,2,0)</f>
        <v>매출채권처분손실</v>
      </c>
      <c r="D259" s="37"/>
      <c r="E259" s="41"/>
      <c r="F259" s="126"/>
      <c r="G259" s="11"/>
      <c r="H259" s="37"/>
      <c r="I259" s="41"/>
      <c r="J259" s="7"/>
      <c r="K259" s="11"/>
    </row>
    <row r="260" spans="1:11" s="35" customFormat="1">
      <c r="A260" s="35" t="s">
        <v>316</v>
      </c>
      <c r="B260" s="201">
        <v>126133</v>
      </c>
      <c r="C260" s="239" t="str">
        <f>VLOOKUP($B:$B,RAW!$A:$B,2,0)</f>
        <v>임대주택자산처분손실</v>
      </c>
      <c r="D260" s="37"/>
      <c r="E260" s="41"/>
      <c r="F260" s="126"/>
      <c r="G260" s="11"/>
      <c r="H260" s="37"/>
      <c r="I260" s="41"/>
      <c r="J260" s="7"/>
      <c r="K260" s="11"/>
    </row>
    <row r="261" spans="1:11" s="35" customFormat="1">
      <c r="A261" s="35" t="s">
        <v>317</v>
      </c>
      <c r="B261" s="201">
        <v>126141</v>
      </c>
      <c r="C261" s="239" t="str">
        <f>VLOOKUP($B:$B,RAW!$A:$B,2,0)</f>
        <v>신주인수권처분손실</v>
      </c>
      <c r="D261" s="37"/>
      <c r="E261" s="41"/>
      <c r="F261" s="126"/>
      <c r="G261" s="11"/>
      <c r="H261" s="37"/>
      <c r="I261" s="41"/>
      <c r="J261" s="7"/>
      <c r="K261" s="11"/>
    </row>
    <row r="262" spans="1:11" s="35" customFormat="1" ht="12.75">
      <c r="A262" s="35" t="s">
        <v>168</v>
      </c>
      <c r="B262" s="201">
        <v>126150</v>
      </c>
      <c r="C262" s="239" t="str">
        <f>VLOOKUP($B:$B,RAW!$A:$B,2,0)</f>
        <v>기부금</v>
      </c>
      <c r="D262" s="506">
        <v>6534000</v>
      </c>
      <c r="E262" s="41"/>
      <c r="F262" s="126"/>
      <c r="G262" s="11"/>
      <c r="H262" s="37"/>
      <c r="I262" s="41"/>
      <c r="J262" s="7"/>
      <c r="K262" s="11"/>
    </row>
    <row r="263" spans="1:11" s="35" customFormat="1" ht="12.75">
      <c r="A263" s="35" t="s">
        <v>169</v>
      </c>
      <c r="B263" s="201">
        <v>126160</v>
      </c>
      <c r="C263" s="239" t="str">
        <f>VLOOKUP($B:$B,RAW!$A:$B,2,0)</f>
        <v>외환차손</v>
      </c>
      <c r="D263" s="506">
        <v>34606346</v>
      </c>
      <c r="E263" s="41"/>
      <c r="F263" s="126"/>
      <c r="G263" s="11"/>
      <c r="H263" s="37"/>
      <c r="I263" s="41"/>
      <c r="J263" s="7"/>
      <c r="K263" s="11"/>
    </row>
    <row r="264" spans="1:11" s="35" customFormat="1">
      <c r="A264" s="35" t="s">
        <v>318</v>
      </c>
      <c r="B264" s="201">
        <v>126161</v>
      </c>
      <c r="C264" s="239" t="str">
        <f>VLOOKUP($B:$B,RAW!$A:$B,2,0)</f>
        <v>파생상품거래손실</v>
      </c>
      <c r="D264" s="37"/>
      <c r="E264" s="41"/>
      <c r="F264" s="126"/>
      <c r="G264" s="11"/>
      <c r="H264" s="37"/>
      <c r="I264" s="41"/>
      <c r="J264" s="7"/>
      <c r="K264" s="11"/>
    </row>
    <row r="265" spans="1:11" s="35" customFormat="1">
      <c r="A265" s="35" t="s">
        <v>319</v>
      </c>
      <c r="B265" s="201">
        <v>126162</v>
      </c>
      <c r="C265" s="239" t="str">
        <f>VLOOKUP($B:$B,RAW!$A:$B,2,0)</f>
        <v>파생상품거래차상각</v>
      </c>
      <c r="D265" s="37"/>
      <c r="E265" s="41"/>
      <c r="F265" s="126"/>
      <c r="G265" s="11"/>
      <c r="H265" s="37"/>
      <c r="I265" s="41"/>
      <c r="J265" s="7"/>
      <c r="K265" s="11"/>
    </row>
    <row r="266" spans="1:11" s="35" customFormat="1">
      <c r="A266" s="35" t="s">
        <v>320</v>
      </c>
      <c r="B266" s="201">
        <v>126163</v>
      </c>
      <c r="C266" s="239" t="str">
        <f>VLOOKUP($B:$B,RAW!$A:$B,2,0)</f>
        <v>파생상품평가손실</v>
      </c>
      <c r="D266" s="37"/>
      <c r="E266" s="41"/>
      <c r="F266" s="126"/>
      <c r="G266" s="11"/>
      <c r="H266" s="37"/>
      <c r="I266" s="41"/>
      <c r="J266" s="7"/>
      <c r="K266" s="11"/>
    </row>
    <row r="267" spans="1:11" s="35" customFormat="1">
      <c r="A267" s="35" t="s">
        <v>321</v>
      </c>
      <c r="B267" s="201">
        <v>126170</v>
      </c>
      <c r="C267" s="239" t="str">
        <f>VLOOKUP($B:$B,RAW!$A:$B,2,0)</f>
        <v>자산평가손실</v>
      </c>
      <c r="D267" s="37"/>
      <c r="E267" s="41"/>
      <c r="F267" s="126"/>
      <c r="G267" s="11"/>
      <c r="H267" s="37"/>
      <c r="I267" s="41"/>
      <c r="J267" s="7"/>
      <c r="K267" s="11"/>
    </row>
    <row r="268" spans="1:11" s="35" customFormat="1" ht="12.75">
      <c r="A268" s="35" t="s">
        <v>170</v>
      </c>
      <c r="B268" s="201">
        <v>126174</v>
      </c>
      <c r="C268" s="239" t="str">
        <f>VLOOKUP($B:$B,RAW!$A:$B,2,0)</f>
        <v>외화환산손실</v>
      </c>
      <c r="D268" s="506">
        <v>880842592</v>
      </c>
      <c r="E268" s="41"/>
      <c r="F268" s="126"/>
      <c r="G268" s="11"/>
      <c r="H268" s="37"/>
      <c r="I268" s="41"/>
      <c r="J268" s="7"/>
      <c r="K268" s="11"/>
    </row>
    <row r="269" spans="1:11" s="35" customFormat="1">
      <c r="A269" s="35" t="s">
        <v>234</v>
      </c>
      <c r="B269" s="201">
        <v>126180</v>
      </c>
      <c r="C269" s="239" t="str">
        <f>VLOOKUP($B:$B,RAW!$A:$B,2,0)</f>
        <v>매출할인</v>
      </c>
      <c r="D269" s="37"/>
      <c r="E269" s="41"/>
      <c r="F269" s="126"/>
      <c r="G269" s="11"/>
      <c r="H269" s="37"/>
      <c r="I269" s="41"/>
      <c r="J269" s="7"/>
      <c r="K269" s="11"/>
    </row>
    <row r="270" spans="1:11" s="35" customFormat="1">
      <c r="A270" s="35" t="s">
        <v>322</v>
      </c>
      <c r="B270" s="201">
        <v>126181</v>
      </c>
      <c r="C270" s="239" t="str">
        <f>VLOOKUP($B:$B,RAW!$A:$B,2,0)</f>
        <v>수수료비용X</v>
      </c>
      <c r="D270" s="37"/>
      <c r="E270" s="41"/>
      <c r="F270" s="126"/>
      <c r="G270" s="11"/>
      <c r="H270" s="37"/>
      <c r="I270" s="41"/>
      <c r="J270" s="7"/>
      <c r="K270" s="11"/>
    </row>
    <row r="271" spans="1:11" s="35" customFormat="1">
      <c r="A271" s="35" t="s">
        <v>323</v>
      </c>
      <c r="B271" s="201">
        <v>126200</v>
      </c>
      <c r="C271" s="239" t="str">
        <f>VLOOKUP($B:$B,RAW!$A:$B,2,0)</f>
        <v>원가차손</v>
      </c>
      <c r="D271" s="37"/>
      <c r="E271" s="41"/>
      <c r="F271" s="126"/>
      <c r="G271" s="11"/>
      <c r="H271" s="37"/>
      <c r="I271" s="41"/>
      <c r="J271" s="7"/>
      <c r="K271" s="11"/>
    </row>
    <row r="272" spans="1:11" s="35" customFormat="1">
      <c r="A272" s="35" t="s">
        <v>171</v>
      </c>
      <c r="B272" s="201">
        <v>126240</v>
      </c>
      <c r="C272" s="239" t="str">
        <f>VLOOKUP($B:$B,RAW!$A:$B,2,0)</f>
        <v>기타대손상각비</v>
      </c>
      <c r="D272" s="37"/>
      <c r="E272" s="41"/>
      <c r="F272" s="126"/>
      <c r="G272" s="11"/>
      <c r="H272" s="37"/>
      <c r="I272" s="41"/>
      <c r="J272" s="7"/>
      <c r="K272" s="11"/>
    </row>
    <row r="273" spans="1:11" s="35" customFormat="1">
      <c r="A273" s="35" t="s">
        <v>324</v>
      </c>
      <c r="B273" s="201">
        <v>126245</v>
      </c>
      <c r="C273" s="239" t="str">
        <f>VLOOKUP($B:$B,RAW!$A:$B,2,0)</f>
        <v>감가상각비X</v>
      </c>
      <c r="D273" s="37"/>
      <c r="E273" s="41"/>
      <c r="F273" s="126"/>
      <c r="G273" s="11"/>
      <c r="H273" s="37"/>
      <c r="I273" s="41"/>
      <c r="J273" s="7"/>
      <c r="K273" s="53"/>
    </row>
    <row r="274" spans="1:11" s="35" customFormat="1">
      <c r="A274" s="35" t="s">
        <v>206</v>
      </c>
      <c r="B274" s="201">
        <v>126260</v>
      </c>
      <c r="C274" s="239" t="str">
        <f>VLOOKUP($B:$B,RAW!$A:$B,2,0)</f>
        <v>유,무형,리스자산처분손실</v>
      </c>
      <c r="D274" s="37"/>
      <c r="E274" s="41"/>
      <c r="F274" s="125"/>
      <c r="G274" s="53"/>
      <c r="H274" s="37"/>
      <c r="I274" s="41"/>
      <c r="K274" s="11"/>
    </row>
    <row r="275" spans="1:11" s="35" customFormat="1">
      <c r="A275" s="35" t="s">
        <v>172</v>
      </c>
      <c r="B275" s="201">
        <v>126270</v>
      </c>
      <c r="C275" s="239" t="str">
        <f>VLOOKUP($B:$B,RAW!$A:$B,2,0)</f>
        <v>투자자산처분손실</v>
      </c>
      <c r="D275" s="37"/>
      <c r="E275" s="41"/>
      <c r="F275" s="126"/>
      <c r="G275" s="11"/>
      <c r="H275" s="37"/>
      <c r="I275" s="41"/>
      <c r="J275" s="7"/>
      <c r="K275" s="11"/>
    </row>
    <row r="276" spans="1:11" s="35" customFormat="1">
      <c r="A276" s="35" t="s">
        <v>173</v>
      </c>
      <c r="B276" s="201">
        <v>126145</v>
      </c>
      <c r="C276" s="239" t="str">
        <f>VLOOKUP($B:$B,RAW!$A:$B,2,0)</f>
        <v>매도가능증권처분손실</v>
      </c>
      <c r="E276" s="41"/>
      <c r="F276" s="126"/>
      <c r="G276" s="11"/>
      <c r="H276" s="37"/>
      <c r="I276" s="41"/>
      <c r="J276" s="7"/>
      <c r="K276" s="11"/>
    </row>
    <row r="277" spans="1:11" s="35" customFormat="1">
      <c r="A277" s="35" t="s">
        <v>325</v>
      </c>
      <c r="B277" s="201">
        <v>126146</v>
      </c>
      <c r="C277" s="239" t="str">
        <f>VLOOKUP($B:$B,RAW!$A:$B,2,0)</f>
        <v>만기보유증권처분손실</v>
      </c>
      <c r="D277" s="37"/>
      <c r="E277" s="41"/>
      <c r="F277" s="126"/>
      <c r="G277" s="11"/>
      <c r="H277" s="37"/>
      <c r="I277" s="41"/>
      <c r="J277" s="7"/>
      <c r="K277" s="11"/>
    </row>
    <row r="278" spans="1:11" s="35" customFormat="1">
      <c r="A278" s="35" t="s">
        <v>326</v>
      </c>
      <c r="B278" s="201">
        <v>126149</v>
      </c>
      <c r="C278" s="239" t="str">
        <f>VLOOKUP($B:$B,RAW!$A:$B,2,0)</f>
        <v>자전거래손실</v>
      </c>
      <c r="D278" s="37"/>
      <c r="E278" s="41"/>
      <c r="F278" s="126"/>
      <c r="G278" s="11"/>
      <c r="H278" s="37"/>
      <c r="I278" s="41"/>
      <c r="J278" s="7"/>
      <c r="K278" s="11"/>
    </row>
    <row r="279" spans="1:11" s="35" customFormat="1">
      <c r="A279" s="35" t="s">
        <v>327</v>
      </c>
      <c r="B279" s="201">
        <v>126151</v>
      </c>
      <c r="C279" s="239" t="str">
        <f>VLOOKUP($B:$B,RAW!$A:$B,2,0)</f>
        <v>공정가액조정손실</v>
      </c>
      <c r="D279" s="37"/>
      <c r="E279" s="41"/>
      <c r="F279" s="126"/>
      <c r="G279" s="11"/>
      <c r="H279" s="37"/>
      <c r="I279" s="41"/>
      <c r="J279" s="7"/>
      <c r="K279" s="11"/>
    </row>
    <row r="280" spans="1:11" s="35" customFormat="1">
      <c r="A280" s="35" t="s">
        <v>328</v>
      </c>
      <c r="B280" s="201">
        <v>126400</v>
      </c>
      <c r="C280" s="239" t="str">
        <f>VLOOKUP($B:$B,RAW!$A:$B,2,0)</f>
        <v>임대주택자산감액손실</v>
      </c>
      <c r="D280" s="37"/>
      <c r="E280" s="41"/>
      <c r="F280" s="126"/>
      <c r="G280" s="11"/>
      <c r="H280" s="37"/>
      <c r="I280" s="41"/>
      <c r="J280" s="7"/>
      <c r="K280" s="11"/>
    </row>
    <row r="281" spans="1:11" s="35" customFormat="1">
      <c r="A281" s="35" t="s">
        <v>329</v>
      </c>
      <c r="B281" s="201">
        <v>126275</v>
      </c>
      <c r="C281" s="239" t="str">
        <f>VLOOKUP($B:$B,RAW!$A:$B,2,0)</f>
        <v>투자자산감액손실</v>
      </c>
      <c r="D281" s="37"/>
      <c r="E281" s="41"/>
      <c r="F281" s="126"/>
      <c r="G281" s="11"/>
      <c r="H281" s="37"/>
      <c r="I281" s="41"/>
      <c r="J281" s="7"/>
      <c r="K281" s="11"/>
    </row>
    <row r="282" spans="1:11" s="35" customFormat="1">
      <c r="A282" s="35" t="s">
        <v>330</v>
      </c>
      <c r="B282" s="201">
        <v>126147</v>
      </c>
      <c r="C282" s="239" t="str">
        <f>VLOOKUP($B:$B,RAW!$A:$B,2,0)</f>
        <v>매도가능증권감액손실</v>
      </c>
      <c r="D282" s="37"/>
      <c r="E282" s="41"/>
      <c r="F282" s="126"/>
      <c r="G282" s="11"/>
      <c r="H282" s="37"/>
      <c r="I282" s="41"/>
      <c r="J282" s="7"/>
      <c r="K282" s="11"/>
    </row>
    <row r="283" spans="1:11" s="35" customFormat="1">
      <c r="A283" s="35" t="s">
        <v>331</v>
      </c>
      <c r="B283" s="201">
        <v>126148</v>
      </c>
      <c r="C283" s="239" t="str">
        <f>VLOOKUP($B:$B,RAW!$A:$B,2,0)</f>
        <v>만기보유증권감액손실</v>
      </c>
      <c r="D283" s="37"/>
      <c r="E283" s="41"/>
      <c r="F283" s="126"/>
      <c r="G283" s="11"/>
      <c r="H283" s="37"/>
      <c r="I283" s="41"/>
      <c r="J283" s="7"/>
      <c r="K283" s="11"/>
    </row>
    <row r="284" spans="1:11" s="35" customFormat="1">
      <c r="A284" s="35" t="s">
        <v>332</v>
      </c>
      <c r="B284" s="201">
        <v>126155</v>
      </c>
      <c r="C284" s="239" t="str">
        <f>VLOOKUP($B:$B,RAW!$A:$B,2,0)</f>
        <v>지분법주식감액손실</v>
      </c>
      <c r="D284" s="37"/>
      <c r="E284" s="41"/>
      <c r="F284" s="126"/>
      <c r="G284" s="11"/>
      <c r="H284" s="37"/>
      <c r="I284" s="41"/>
      <c r="J284" s="7"/>
      <c r="K284" s="53"/>
    </row>
    <row r="285" spans="1:11" s="35" customFormat="1">
      <c r="A285" s="35" t="s">
        <v>333</v>
      </c>
      <c r="B285" s="201">
        <v>126410</v>
      </c>
      <c r="C285" s="239" t="str">
        <f>VLOOKUP($B:$B,RAW!$A:$B,2,0)</f>
        <v>유형자산감액손실</v>
      </c>
      <c r="D285" s="37"/>
      <c r="E285" s="41"/>
      <c r="F285" s="125"/>
      <c r="G285" s="53"/>
      <c r="H285" s="37"/>
      <c r="I285" s="41"/>
      <c r="K285" s="53"/>
    </row>
    <row r="286" spans="1:11" s="35" customFormat="1">
      <c r="A286" s="35" t="s">
        <v>334</v>
      </c>
      <c r="B286" s="201">
        <v>126420</v>
      </c>
      <c r="C286" s="239" t="str">
        <f>VLOOKUP($B:$B,RAW!$A:$B,2,0)</f>
        <v>무형자산감액손실</v>
      </c>
      <c r="D286" s="37"/>
      <c r="E286" s="41"/>
      <c r="F286" s="125"/>
      <c r="G286" s="53"/>
      <c r="H286" s="37"/>
      <c r="I286" s="41"/>
      <c r="K286" s="11"/>
    </row>
    <row r="287" spans="1:11" s="35" customFormat="1">
      <c r="A287" s="35" t="s">
        <v>335</v>
      </c>
      <c r="B287" s="201">
        <v>126430</v>
      </c>
      <c r="C287" s="239" t="str">
        <f>VLOOKUP($B:$B,RAW!$A:$B,2,0)</f>
        <v>기타자산감액손실</v>
      </c>
      <c r="D287" s="37"/>
      <c r="E287" s="41"/>
      <c r="F287" s="126"/>
      <c r="G287" s="11"/>
      <c r="H287" s="37"/>
      <c r="I287" s="41"/>
      <c r="J287" s="7"/>
      <c r="K287" s="11"/>
    </row>
    <row r="288" spans="1:11" s="35" customFormat="1">
      <c r="A288" s="35" t="s">
        <v>336</v>
      </c>
      <c r="B288" s="201">
        <v>126280</v>
      </c>
      <c r="C288" s="239" t="str">
        <f>VLOOKUP($B:$B,RAW!$A:$B,2,0)</f>
        <v>사채상환손실</v>
      </c>
      <c r="D288" s="37"/>
      <c r="E288" s="41"/>
      <c r="F288" s="126"/>
      <c r="G288" s="11"/>
      <c r="H288" s="37"/>
      <c r="I288" s="41"/>
      <c r="J288" s="147"/>
      <c r="K288" s="11"/>
    </row>
    <row r="289" spans="1:11" s="35" customFormat="1">
      <c r="A289" s="35" t="s">
        <v>337</v>
      </c>
      <c r="B289" s="201">
        <v>126281</v>
      </c>
      <c r="C289" s="239" t="str">
        <f>VLOOKUP($B:$B,RAW!$A:$B,2,0)</f>
        <v>부채상환손실</v>
      </c>
      <c r="D289" s="37"/>
      <c r="E289" s="41"/>
      <c r="F289" s="126"/>
      <c r="G289" s="11"/>
      <c r="H289" s="37"/>
      <c r="I289" s="41"/>
      <c r="J289" s="7"/>
      <c r="K289" s="11"/>
    </row>
    <row r="290" spans="1:11" s="35" customFormat="1">
      <c r="A290" s="35" t="s">
        <v>338</v>
      </c>
      <c r="B290" s="201">
        <v>126310</v>
      </c>
      <c r="C290" s="239" t="str">
        <f>VLOOKUP($B:$B,RAW!$A:$B,2,0)</f>
        <v>지분법손실</v>
      </c>
      <c r="D290" s="37"/>
      <c r="E290" s="41"/>
      <c r="F290" s="126"/>
      <c r="G290" s="11"/>
      <c r="H290" s="37"/>
      <c r="I290" s="41"/>
      <c r="J290" s="7"/>
      <c r="K290" s="11"/>
    </row>
    <row r="291" spans="1:11" s="35" customFormat="1">
      <c r="A291" s="35" t="s">
        <v>339</v>
      </c>
      <c r="B291" s="201">
        <v>126330</v>
      </c>
      <c r="C291" s="239" t="str">
        <f>VLOOKUP($B:$B,RAW!$A:$B,2,0)</f>
        <v>법인세추납액</v>
      </c>
      <c r="D291" s="37"/>
      <c r="E291" s="41"/>
      <c r="F291" s="126"/>
      <c r="G291" s="11"/>
      <c r="H291" s="37"/>
      <c r="I291" s="41"/>
      <c r="J291" s="7"/>
      <c r="K291" s="11"/>
    </row>
    <row r="292" spans="1:11" s="35" customFormat="1">
      <c r="A292" s="35" t="s">
        <v>340</v>
      </c>
      <c r="B292" s="201">
        <v>126350</v>
      </c>
      <c r="C292" s="239" t="str">
        <f>VLOOKUP($B:$B,RAW!$A:$B,2,0)</f>
        <v>전환사채전환손실</v>
      </c>
      <c r="D292" s="37"/>
      <c r="E292" s="41"/>
      <c r="F292" s="126"/>
      <c r="G292" s="11"/>
      <c r="H292" s="37"/>
      <c r="I292" s="41"/>
      <c r="J292" s="7"/>
      <c r="K292" s="11"/>
    </row>
    <row r="293" spans="1:11" s="35" customFormat="1">
      <c r="A293" s="35" t="s">
        <v>341</v>
      </c>
      <c r="B293" s="201">
        <v>126137</v>
      </c>
      <c r="C293" s="239" t="str">
        <f>VLOOKUP($B:$B,RAW!$A:$B,2,0)</f>
        <v>중간기간오류손실</v>
      </c>
      <c r="D293" s="37"/>
      <c r="E293" s="41"/>
      <c r="F293" s="126"/>
      <c r="G293" s="11"/>
      <c r="H293" s="37"/>
      <c r="I293" s="41"/>
      <c r="J293" s="7"/>
      <c r="K293" s="11"/>
    </row>
    <row r="294" spans="1:11" s="35" customFormat="1">
      <c r="A294" s="35" t="s">
        <v>342</v>
      </c>
      <c r="B294" s="201">
        <v>126138</v>
      </c>
      <c r="C294" s="239" t="str">
        <f>VLOOKUP($B:$B,RAW!$A:$B,2,0)</f>
        <v>중간기간영업외비용조정</v>
      </c>
      <c r="D294" s="37"/>
      <c r="E294" s="41"/>
      <c r="F294" s="126"/>
      <c r="G294" s="11"/>
      <c r="H294" s="37"/>
      <c r="I294" s="41"/>
      <c r="J294" s="7"/>
      <c r="K294" s="11"/>
    </row>
    <row r="295" spans="1:11" s="35" customFormat="1">
      <c r="A295" s="35" t="s">
        <v>174</v>
      </c>
      <c r="B295" s="201">
        <v>126134</v>
      </c>
      <c r="C295" s="239" t="str">
        <f>VLOOKUP($B:$B,RAW!$A:$B,2,0)</f>
        <v>전기오류수정손실</v>
      </c>
      <c r="D295" s="37"/>
      <c r="E295" s="41"/>
      <c r="F295" s="126"/>
      <c r="G295" s="11"/>
      <c r="H295" s="37"/>
      <c r="I295" s="41"/>
      <c r="J295" s="7"/>
      <c r="K295" s="11"/>
    </row>
    <row r="296" spans="1:11" s="35" customFormat="1">
      <c r="A296" s="35" t="s">
        <v>343</v>
      </c>
      <c r="B296" s="201">
        <v>126135</v>
      </c>
      <c r="C296" s="239" t="str">
        <f>VLOOKUP($B:$B,RAW!$A:$B,2,0)</f>
        <v>복구충당부채전입액</v>
      </c>
      <c r="D296" s="37"/>
      <c r="E296" s="41"/>
      <c r="F296" s="126"/>
      <c r="G296" s="11"/>
      <c r="H296" s="37"/>
      <c r="I296" s="41"/>
      <c r="J296" s="7"/>
      <c r="K296" s="11"/>
    </row>
    <row r="297" spans="1:11" s="35" customFormat="1">
      <c r="A297" s="35" t="s">
        <v>344</v>
      </c>
      <c r="B297" s="201">
        <v>126136</v>
      </c>
      <c r="C297" s="239" t="str">
        <f>VLOOKUP($B:$B,RAW!$A:$B,2,0)</f>
        <v>복구공사손실</v>
      </c>
      <c r="D297" s="37"/>
      <c r="E297" s="41"/>
      <c r="F297" s="126"/>
      <c r="G297" s="11"/>
      <c r="H297" s="37"/>
      <c r="I297" s="41"/>
      <c r="J297" s="7"/>
      <c r="K297" s="11"/>
    </row>
    <row r="298" spans="1:11" s="35" customFormat="1">
      <c r="A298" s="35" t="s">
        <v>345</v>
      </c>
      <c r="B298" s="201">
        <v>126166</v>
      </c>
      <c r="C298" s="239" t="str">
        <f>VLOOKUP($B:$B,RAW!$A:$B,2,0)</f>
        <v>재해손실</v>
      </c>
      <c r="D298" s="37"/>
      <c r="E298" s="41"/>
      <c r="F298" s="126"/>
      <c r="G298" s="11"/>
      <c r="H298" s="37"/>
      <c r="I298" s="41"/>
      <c r="J298" s="7"/>
      <c r="K298" s="11"/>
    </row>
    <row r="299" spans="1:11" s="35" customFormat="1">
      <c r="A299" s="35" t="s">
        <v>346</v>
      </c>
      <c r="B299" s="201">
        <v>126167</v>
      </c>
      <c r="C299" s="239" t="str">
        <f>VLOOKUP($B:$B,RAW!$A:$B,2,0)</f>
        <v>특별상각</v>
      </c>
      <c r="D299" s="37"/>
      <c r="E299" s="41"/>
      <c r="F299" s="126"/>
      <c r="G299" s="11"/>
      <c r="H299" s="37"/>
      <c r="I299" s="41"/>
      <c r="J299" s="7"/>
      <c r="K299" s="11"/>
    </row>
    <row r="300" spans="1:11" s="35" customFormat="1">
      <c r="A300" s="35" t="s">
        <v>347</v>
      </c>
      <c r="B300" s="201">
        <v>126168</v>
      </c>
      <c r="C300" s="239" t="str">
        <f>VLOOKUP($B:$B,RAW!$A:$B,2,0)</f>
        <v>해외사업환산손실상각</v>
      </c>
      <c r="D300" s="37"/>
      <c r="E300" s="41"/>
      <c r="F300" s="126"/>
      <c r="G300" s="11"/>
      <c r="H300" s="37"/>
      <c r="I300" s="41"/>
      <c r="J300" s="7"/>
      <c r="K300" s="53"/>
    </row>
    <row r="301" spans="1:11" s="35" customFormat="1" ht="12.75">
      <c r="A301" s="35" t="s">
        <v>175</v>
      </c>
      <c r="B301" s="201">
        <v>126250</v>
      </c>
      <c r="C301" s="239" t="str">
        <f>VLOOKUP($B:$B,RAW!$A:$B,2,0)</f>
        <v>기타영업외비용</v>
      </c>
      <c r="D301" s="506">
        <f>9549653+18656685</f>
        <v>28206338</v>
      </c>
      <c r="E301" s="41"/>
      <c r="F301" s="125" t="s">
        <v>1790</v>
      </c>
      <c r="G301" s="53" t="s">
        <v>1774</v>
      </c>
      <c r="H301" s="43">
        <f>SUM(I251:I301)</f>
        <v>0</v>
      </c>
      <c r="I301" s="41"/>
      <c r="K301" s="53"/>
    </row>
    <row r="302" spans="1:11" s="35" customFormat="1">
      <c r="A302" s="35" t="s">
        <v>14</v>
      </c>
      <c r="B302" s="205">
        <v>128000</v>
      </c>
      <c r="C302" s="231" t="str">
        <f>VLOOKUP($B:$B,RAW!$A:$B,2,0)</f>
        <v>법인세비용차감전계속사업이익(손실)</v>
      </c>
      <c r="D302" s="47">
        <f>D183+D184-D249</f>
        <v>-16074854468</v>
      </c>
      <c r="G302" s="53"/>
      <c r="H302" s="47">
        <f>H183+H184-H249</f>
        <v>0</v>
      </c>
      <c r="K302" s="11"/>
    </row>
    <row r="303" spans="1:11" s="35" customFormat="1">
      <c r="A303" s="35" t="s">
        <v>15</v>
      </c>
      <c r="B303" s="205">
        <v>128100</v>
      </c>
      <c r="C303" s="229" t="str">
        <f>VLOOKUP($B:$B,RAW!$A:$B,2,0)</f>
        <v>계속사업손익법인세비용(부의법인세비용)</v>
      </c>
      <c r="D303" s="48"/>
      <c r="E303" s="7"/>
      <c r="F303" s="7"/>
      <c r="G303" s="11"/>
      <c r="H303" s="48"/>
      <c r="I303" s="7"/>
      <c r="J303" s="7"/>
      <c r="K303" s="53"/>
    </row>
    <row r="304" spans="1:11" s="35" customFormat="1">
      <c r="A304" s="35" t="s">
        <v>16</v>
      </c>
      <c r="B304" s="205">
        <v>128160</v>
      </c>
      <c r="C304" s="231" t="str">
        <f>VLOOKUP($B:$B,RAW!$A:$B,2,0)</f>
        <v>계속사업이익(손실)</v>
      </c>
      <c r="D304" s="47">
        <f>D302-D303</f>
        <v>-16074854468</v>
      </c>
      <c r="G304" s="53"/>
      <c r="H304" s="47">
        <f>H302-H303</f>
        <v>0</v>
      </c>
      <c r="K304" s="54"/>
    </row>
    <row r="305" spans="1:11" s="35" customFormat="1">
      <c r="A305" s="35" t="s">
        <v>17</v>
      </c>
      <c r="B305" s="205">
        <v>129000</v>
      </c>
      <c r="C305" s="232" t="str">
        <f>VLOOKUP($B:$B,RAW!$A:$B,2,0)</f>
        <v>당기순이익(손실)</v>
      </c>
      <c r="D305" s="49">
        <f>D304</f>
        <v>-16074854468</v>
      </c>
      <c r="E305" s="50"/>
      <c r="F305" s="50"/>
      <c r="G305" s="54"/>
      <c r="H305" s="49">
        <f>H304</f>
        <v>0</v>
      </c>
      <c r="I305" s="50"/>
      <c r="J305" s="50"/>
      <c r="K305" s="7"/>
    </row>
    <row r="307" spans="1:11" ht="12" customHeight="1">
      <c r="K307" s="6"/>
    </row>
    <row r="308" spans="1:11" s="3" customFormat="1" ht="12" customHeight="1">
      <c r="A308" s="3" t="s">
        <v>1435</v>
      </c>
      <c r="B308" s="129"/>
      <c r="C308" s="491" t="e">
        <f>VLOOKUP($B:$B,RAW!$A:$B,2,0)</f>
        <v>#N/A</v>
      </c>
      <c r="D308" s="493"/>
      <c r="E308" s="494"/>
      <c r="F308" s="494"/>
      <c r="G308" s="6"/>
      <c r="H308" s="493"/>
      <c r="I308" s="494"/>
      <c r="J308" s="494"/>
      <c r="K308" s="65"/>
    </row>
    <row r="309" spans="1:11" s="1" customFormat="1" ht="12" customHeight="1">
      <c r="B309" s="131"/>
      <c r="C309" s="492" t="e">
        <f>VLOOKUP($B:$B,RAW!$A:$B,2,0)</f>
        <v>#N/A</v>
      </c>
      <c r="D309" s="495"/>
      <c r="E309" s="496"/>
      <c r="F309" s="496"/>
      <c r="G309" s="65"/>
      <c r="H309" s="495"/>
      <c r="I309" s="496"/>
      <c r="J309" s="496"/>
      <c r="K309" s="57"/>
    </row>
    <row r="310" spans="1:11" s="3" customFormat="1" ht="12" customHeight="1" thickBot="1">
      <c r="A310" s="3" t="s">
        <v>177</v>
      </c>
      <c r="B310" s="200">
        <v>161000</v>
      </c>
      <c r="C310" s="233" t="str">
        <f>VLOOKUP($B:$B,RAW!$A:$B,2,0)</f>
        <v>영업활동으로인한현금흐름</v>
      </c>
      <c r="D310" s="55" t="e">
        <f>#REF!</f>
        <v>#REF!</v>
      </c>
      <c r="G310" s="57"/>
      <c r="H310" s="55"/>
      <c r="K310" s="57"/>
    </row>
    <row r="311" spans="1:11" s="3" customFormat="1" ht="12" customHeight="1">
      <c r="A311" s="3" t="s">
        <v>29</v>
      </c>
      <c r="B311" s="202">
        <v>161211</v>
      </c>
      <c r="C311" s="240" t="str">
        <f>VLOOKUP($B:$B,RAW!$A:$B,2,0)</f>
        <v>유형,임대주택자산감가상각비</v>
      </c>
      <c r="D311" s="137" t="e">
        <f>#REF!</f>
        <v>#REF!</v>
      </c>
      <c r="G311" s="57"/>
      <c r="H311" s="85"/>
      <c r="K311" s="57"/>
    </row>
    <row r="312" spans="1:11" s="3" customFormat="1" ht="12" customHeight="1" thickBot="1">
      <c r="A312" s="3" t="s">
        <v>1442</v>
      </c>
      <c r="B312" s="202">
        <v>161212</v>
      </c>
      <c r="C312" s="240" t="str">
        <f>VLOOKUP($B:$B,RAW!$A:$B,2,0)</f>
        <v>무형자산상각비2</v>
      </c>
      <c r="D312" s="138" t="e">
        <f>#REF!</f>
        <v>#REF!</v>
      </c>
      <c r="G312" s="57"/>
      <c r="H312" s="86"/>
      <c r="K312" s="57"/>
    </row>
    <row r="313" spans="1:11" s="3" customFormat="1" ht="12" customHeight="1">
      <c r="A313" s="3" t="s">
        <v>36</v>
      </c>
      <c r="B313" s="205">
        <v>162000</v>
      </c>
      <c r="C313" s="233" t="str">
        <f>VLOOKUP($B:$B,RAW!$A:$B,2,0)</f>
        <v>투자활동으로인한현금흐름</v>
      </c>
      <c r="D313" s="56" t="e">
        <f>#REF!</f>
        <v>#REF!</v>
      </c>
      <c r="E313" s="2"/>
      <c r="G313" s="57"/>
      <c r="H313" s="56"/>
      <c r="K313" s="57"/>
    </row>
    <row r="314" spans="1:11" s="3" customFormat="1" ht="12" customHeight="1">
      <c r="A314" s="3" t="s">
        <v>37</v>
      </c>
      <c r="B314" s="205">
        <v>163000</v>
      </c>
      <c r="C314" s="233" t="str">
        <f>VLOOKUP($B:$B,RAW!$A:$B,2,0)</f>
        <v>재무활동으로인한현금흐름</v>
      </c>
      <c r="D314" s="56" t="e">
        <f>#REF!</f>
        <v>#REF!</v>
      </c>
      <c r="G314" s="57"/>
      <c r="H314" s="56"/>
      <c r="K314" s="7"/>
    </row>
  </sheetData>
  <mergeCells count="9">
    <mergeCell ref="C308:C309"/>
    <mergeCell ref="D308:F309"/>
    <mergeCell ref="H308:J309"/>
    <mergeCell ref="D1:F2"/>
    <mergeCell ref="C1:C2"/>
    <mergeCell ref="H1:J2"/>
    <mergeCell ref="C129:C130"/>
    <mergeCell ref="D129:F130"/>
    <mergeCell ref="H129:J130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T308"/>
  <sheetViews>
    <sheetView showGridLines="0" zoomScale="90" zoomScaleNormal="90" workbookViewId="0">
      <pane xSplit="3" ySplit="2" topLeftCell="D243" activePane="bottomRight" state="frozen"/>
      <selection activeCell="D294" sqref="D294"/>
      <selection pane="topRight" activeCell="D294" sqref="D294"/>
      <selection pane="bottomLeft" activeCell="D294" sqref="D294"/>
      <selection pane="bottomRight" activeCell="K268" sqref="K268"/>
    </sheetView>
  </sheetViews>
  <sheetFormatPr defaultRowHeight="12" customHeight="1" outlineLevelCol="1"/>
  <cols>
    <col min="1" max="1" width="19.125" style="7" hidden="1" customWidth="1" outlineLevel="1"/>
    <col min="2" max="2" width="9.375" style="127" hidden="1" customWidth="1" outlineLevel="1"/>
    <col min="3" max="3" width="28.625" style="234" customWidth="1" collapsed="1"/>
    <col min="4" max="4" width="14.625" style="28" customWidth="1"/>
    <col min="5" max="7" width="14.625" style="7" hidden="1" customWidth="1"/>
    <col min="8" max="9" width="9" style="7" hidden="1" customWidth="1"/>
    <col min="10" max="16384" width="9" style="7"/>
  </cols>
  <sheetData>
    <row r="1" spans="1:20" ht="12" customHeight="1">
      <c r="A1" s="7" t="s">
        <v>0</v>
      </c>
      <c r="C1" s="491"/>
      <c r="D1" s="493" t="str">
        <f>IF(D69=D120,"당기 차대변 일치","당기 차대변 불일치")</f>
        <v>당기 차대변 일치</v>
      </c>
      <c r="E1" s="494"/>
      <c r="F1" s="494"/>
      <c r="G1" s="178"/>
    </row>
    <row r="2" spans="1:20" s="9" customFormat="1" ht="12" customHeight="1">
      <c r="B2" s="127"/>
      <c r="C2" s="492"/>
      <c r="D2" s="495"/>
      <c r="E2" s="496"/>
      <c r="F2" s="496"/>
      <c r="G2" s="65" t="s">
        <v>1693</v>
      </c>
    </row>
    <row r="3" spans="1:20" ht="12" customHeight="1">
      <c r="A3" s="7" t="s">
        <v>1</v>
      </c>
      <c r="B3" s="200">
        <v>112000</v>
      </c>
      <c r="C3" s="223" t="str">
        <f>VLOOKUP($B:$B,RAW!$A:$B,2,0)</f>
        <v>유동자산(계)</v>
      </c>
      <c r="D3" s="10">
        <f>SUM(D4,D16)</f>
        <v>0</v>
      </c>
      <c r="G3" s="11"/>
      <c r="T3" s="414">
        <v>1</v>
      </c>
    </row>
    <row r="4" spans="1:20" ht="12" customHeight="1">
      <c r="A4" s="7" t="s">
        <v>18</v>
      </c>
      <c r="B4" s="201">
        <v>111300</v>
      </c>
      <c r="C4" s="235" t="str">
        <f>VLOOKUP($B:$B,RAW!$A:$B,2,0)</f>
        <v>당좌자산(계)</v>
      </c>
      <c r="D4" s="13">
        <f>SUM(D5:F15)</f>
        <v>0</v>
      </c>
      <c r="E4" s="14"/>
      <c r="G4" s="15"/>
      <c r="T4" s="414">
        <v>2</v>
      </c>
    </row>
    <row r="5" spans="1:20" ht="12" customHeight="1">
      <c r="A5" s="7" t="s">
        <v>127</v>
      </c>
      <c r="B5" s="202">
        <v>111100</v>
      </c>
      <c r="C5" s="241" t="str">
        <f>VLOOKUP($B:$B,RAW!$A:$B,2,0)</f>
        <v>현금및현금등가물</v>
      </c>
      <c r="D5" s="16"/>
      <c r="E5" s="17"/>
      <c r="F5" s="17"/>
      <c r="G5" s="11"/>
      <c r="J5" s="7" t="s">
        <v>555</v>
      </c>
      <c r="K5" s="7" t="s">
        <v>1702</v>
      </c>
      <c r="L5" s="7" t="s">
        <v>1720</v>
      </c>
      <c r="M5" s="7" t="s">
        <v>1750</v>
      </c>
      <c r="O5" s="7" t="s">
        <v>555</v>
      </c>
      <c r="T5" s="414">
        <v>3</v>
      </c>
    </row>
    <row r="6" spans="1:20" ht="12" customHeight="1">
      <c r="A6" s="7" t="s">
        <v>128</v>
      </c>
      <c r="B6" s="202">
        <v>111220</v>
      </c>
      <c r="C6" s="241" t="str">
        <f>VLOOKUP($B:$B,RAW!$A:$B,2,0)</f>
        <v>단기금융상품</v>
      </c>
      <c r="D6" s="16"/>
      <c r="E6" s="17"/>
      <c r="F6" s="17"/>
      <c r="G6" s="11"/>
      <c r="J6" s="7" t="s">
        <v>556</v>
      </c>
      <c r="K6" s="7" t="s">
        <v>1721</v>
      </c>
      <c r="O6" s="7" t="s">
        <v>556</v>
      </c>
      <c r="T6" s="414">
        <v>4</v>
      </c>
    </row>
    <row r="7" spans="1:20" ht="12" customHeight="1">
      <c r="A7" s="7" t="s">
        <v>207</v>
      </c>
      <c r="B7" s="202">
        <v>111140</v>
      </c>
      <c r="C7" s="241" t="str">
        <f>VLOOKUP($B:$B,RAW!$A:$B,2,0)</f>
        <v>단기투자증권</v>
      </c>
      <c r="D7" s="16"/>
      <c r="E7" s="17"/>
      <c r="F7" s="17"/>
      <c r="G7" s="11"/>
      <c r="J7" s="7" t="s">
        <v>557</v>
      </c>
      <c r="O7" s="7" t="s">
        <v>557</v>
      </c>
      <c r="T7" s="414">
        <v>5</v>
      </c>
    </row>
    <row r="8" spans="1:20" ht="12" customHeight="1">
      <c r="A8" s="7" t="s">
        <v>129</v>
      </c>
      <c r="B8" s="202">
        <v>111150</v>
      </c>
      <c r="C8" s="241" t="str">
        <f>VLOOKUP($B:$B,RAW!$A:$B,2,0)</f>
        <v>매출채권</v>
      </c>
      <c r="D8" s="16"/>
      <c r="E8" s="17"/>
      <c r="F8" s="17"/>
      <c r="G8" s="11"/>
      <c r="J8" s="7" t="s">
        <v>558</v>
      </c>
      <c r="K8" s="7" t="s">
        <v>1722</v>
      </c>
      <c r="O8" s="7" t="s">
        <v>558</v>
      </c>
      <c r="T8" s="414">
        <v>6</v>
      </c>
    </row>
    <row r="9" spans="1:20" ht="12" customHeight="1">
      <c r="A9" s="7" t="s">
        <v>130</v>
      </c>
      <c r="B9" s="202">
        <v>111170</v>
      </c>
      <c r="C9" s="241" t="str">
        <f>VLOOKUP($B:$B,RAW!$A:$B,2,0)</f>
        <v>단기대여금</v>
      </c>
      <c r="D9" s="16"/>
      <c r="E9" s="17"/>
      <c r="F9" s="17"/>
      <c r="G9" s="11"/>
      <c r="J9" s="7" t="s">
        <v>559</v>
      </c>
      <c r="O9" s="7" t="s">
        <v>559</v>
      </c>
      <c r="T9" s="414">
        <v>7</v>
      </c>
    </row>
    <row r="10" spans="1:20" ht="12" customHeight="1">
      <c r="A10" s="7" t="s">
        <v>208</v>
      </c>
      <c r="B10" s="203">
        <v>111154</v>
      </c>
      <c r="C10" s="244" t="str">
        <f>VLOOKUP($B:$B,RAW!$A:$B,2,0)</f>
        <v>영업미수금</v>
      </c>
      <c r="D10" s="16"/>
      <c r="E10" s="17"/>
      <c r="F10" s="17"/>
      <c r="G10" s="11"/>
      <c r="J10" s="7" t="s">
        <v>560</v>
      </c>
      <c r="O10" s="7" t="s">
        <v>560</v>
      </c>
      <c r="T10" s="414">
        <v>8</v>
      </c>
    </row>
    <row r="11" spans="1:20" ht="12" customHeight="1">
      <c r="A11" s="7" t="s">
        <v>209</v>
      </c>
      <c r="B11" s="203">
        <v>111155</v>
      </c>
      <c r="C11" s="244" t="str">
        <f>VLOOKUP($B:$B,RAW!$A:$B,2,0)</f>
        <v>영업외화미수금</v>
      </c>
      <c r="D11" s="16"/>
      <c r="E11" s="17"/>
      <c r="F11" s="17"/>
      <c r="G11" s="11"/>
      <c r="J11" s="7" t="s">
        <v>561</v>
      </c>
      <c r="O11" s="7" t="s">
        <v>561</v>
      </c>
      <c r="T11" s="414">
        <v>9</v>
      </c>
    </row>
    <row r="12" spans="1:20" ht="12" customHeight="1">
      <c r="A12" s="7" t="s">
        <v>210</v>
      </c>
      <c r="B12" s="203">
        <v>111181</v>
      </c>
      <c r="C12" s="244" t="str">
        <f>VLOOKUP($B:$B,RAW!$A:$B,2,0)</f>
        <v>공사미수금</v>
      </c>
      <c r="D12" s="16"/>
      <c r="E12" s="17"/>
      <c r="F12" s="17"/>
      <c r="G12" s="11"/>
      <c r="J12" s="7" t="s">
        <v>562</v>
      </c>
      <c r="O12" s="7" t="s">
        <v>562</v>
      </c>
      <c r="T12" s="414">
        <v>10</v>
      </c>
    </row>
    <row r="13" spans="1:20" ht="12.75" customHeight="1">
      <c r="A13" s="7" t="s">
        <v>211</v>
      </c>
      <c r="B13" s="203">
        <v>111184</v>
      </c>
      <c r="C13" s="244" t="str">
        <f>VLOOKUP($B:$B,RAW!$A:$B,2,0)</f>
        <v>분양미수금</v>
      </c>
      <c r="D13" s="16"/>
      <c r="E13" s="17"/>
      <c r="F13" s="17"/>
      <c r="G13" s="11"/>
      <c r="J13" s="7" t="s">
        <v>563</v>
      </c>
      <c r="O13" s="7" t="s">
        <v>563</v>
      </c>
      <c r="T13" s="414">
        <v>11</v>
      </c>
    </row>
    <row r="14" spans="1:20" ht="12" customHeight="1">
      <c r="A14" s="7" t="s">
        <v>212</v>
      </c>
      <c r="B14" s="203">
        <v>111185</v>
      </c>
      <c r="C14" s="244" t="str">
        <f>VLOOKUP($B:$B,RAW!$A:$B,2,0)</f>
        <v>임대미수금</v>
      </c>
      <c r="D14" s="16"/>
      <c r="E14" s="17"/>
      <c r="F14" s="17"/>
      <c r="G14" s="11"/>
      <c r="J14" s="7" t="s">
        <v>564</v>
      </c>
      <c r="O14" s="7" t="s">
        <v>564</v>
      </c>
      <c r="T14" s="414">
        <v>12</v>
      </c>
    </row>
    <row r="15" spans="1:20" ht="12" customHeight="1">
      <c r="A15" s="7" t="s">
        <v>131</v>
      </c>
      <c r="B15" s="202">
        <v>111420</v>
      </c>
      <c r="C15" s="242" t="str">
        <f>VLOOKUP($B:$B,RAW!$A:$B,2,0)</f>
        <v>선급비용</v>
      </c>
      <c r="D15" s="16"/>
      <c r="G15" s="11"/>
      <c r="J15" s="7" t="s">
        <v>565</v>
      </c>
      <c r="O15" s="7" t="s">
        <v>565</v>
      </c>
      <c r="T15" s="414">
        <v>13</v>
      </c>
    </row>
    <row r="16" spans="1:20" ht="12" customHeight="1">
      <c r="A16" s="7" t="s">
        <v>25</v>
      </c>
      <c r="B16" s="201">
        <v>111400</v>
      </c>
      <c r="C16" s="235" t="str">
        <f>VLOOKUP($B:$B,RAW!$A:$B,2,0)</f>
        <v>재고자산(계)</v>
      </c>
      <c r="D16" s="13">
        <f>SUM(D17:E25)</f>
        <v>0</v>
      </c>
      <c r="E16" s="14"/>
      <c r="G16" s="11"/>
      <c r="T16" s="414">
        <v>14</v>
      </c>
    </row>
    <row r="17" spans="1:20" ht="12" customHeight="1">
      <c r="C17" s="224"/>
      <c r="D17" s="19"/>
      <c r="E17" s="17"/>
      <c r="G17" s="11"/>
      <c r="T17" s="414">
        <v>15</v>
      </c>
    </row>
    <row r="18" spans="1:20" ht="12" customHeight="1">
      <c r="C18" s="224"/>
      <c r="D18" s="19"/>
      <c r="E18" s="17"/>
      <c r="G18" s="11"/>
      <c r="T18" s="414">
        <v>16</v>
      </c>
    </row>
    <row r="19" spans="1:20" ht="12" customHeight="1">
      <c r="C19" s="224"/>
      <c r="D19" s="19"/>
      <c r="E19" s="17"/>
      <c r="G19" s="11"/>
      <c r="T19" s="414">
        <v>17</v>
      </c>
    </row>
    <row r="20" spans="1:20" ht="12" customHeight="1">
      <c r="C20" s="224"/>
      <c r="D20" s="19"/>
      <c r="E20" s="17"/>
      <c r="G20" s="11"/>
      <c r="T20" s="414">
        <v>18</v>
      </c>
    </row>
    <row r="21" spans="1:20" ht="12" customHeight="1">
      <c r="C21" s="224"/>
      <c r="D21" s="19"/>
      <c r="E21" s="17"/>
      <c r="G21" s="11"/>
      <c r="T21" s="414">
        <v>19</v>
      </c>
    </row>
    <row r="22" spans="1:20" ht="12" customHeight="1">
      <c r="C22" s="224"/>
      <c r="D22" s="19"/>
      <c r="E22" s="17"/>
      <c r="G22" s="11"/>
      <c r="T22" s="414">
        <v>20</v>
      </c>
    </row>
    <row r="23" spans="1:20" ht="12" customHeight="1">
      <c r="C23" s="224"/>
      <c r="D23" s="19"/>
      <c r="E23" s="17"/>
      <c r="G23" s="11"/>
      <c r="T23" s="414">
        <v>21</v>
      </c>
    </row>
    <row r="24" spans="1:20" ht="12" customHeight="1">
      <c r="C24" s="224"/>
      <c r="D24" s="19"/>
      <c r="E24" s="17"/>
      <c r="G24" s="11"/>
      <c r="T24" s="414">
        <v>22</v>
      </c>
    </row>
    <row r="25" spans="1:20" ht="12" customHeight="1">
      <c r="C25" s="224"/>
      <c r="D25" s="19"/>
      <c r="E25" s="17"/>
      <c r="G25" s="11"/>
      <c r="T25" s="414">
        <v>23</v>
      </c>
    </row>
    <row r="26" spans="1:20" ht="12" customHeight="1">
      <c r="A26" s="7" t="s">
        <v>2</v>
      </c>
      <c r="B26" s="205">
        <v>114000</v>
      </c>
      <c r="C26" s="223" t="str">
        <f>VLOOKUP($B:$B,RAW!$A:$B,2,0)</f>
        <v>비유동자산(계)</v>
      </c>
      <c r="D26" s="20">
        <f>SUM(D27,D33,D50,D66)</f>
        <v>0</v>
      </c>
      <c r="G26" s="11"/>
      <c r="T26" s="414">
        <v>24</v>
      </c>
    </row>
    <row r="27" spans="1:20" ht="12" customHeight="1">
      <c r="A27" s="7" t="s">
        <v>132</v>
      </c>
      <c r="B27" s="201">
        <v>113000</v>
      </c>
      <c r="C27" s="235" t="str">
        <f>VLOOKUP($B:$B,RAW!$A:$B,2,0)</f>
        <v>투자자산(계)</v>
      </c>
      <c r="D27" s="13">
        <f>SUM(D28:E32)</f>
        <v>0</v>
      </c>
      <c r="E27" s="14"/>
      <c r="G27" s="11"/>
      <c r="T27" s="414">
        <v>25</v>
      </c>
    </row>
    <row r="28" spans="1:20" ht="12" customHeight="1">
      <c r="A28" s="7" t="s">
        <v>133</v>
      </c>
      <c r="B28" s="202">
        <v>112111</v>
      </c>
      <c r="C28" s="241" t="str">
        <f>VLOOKUP($B:$B,RAW!$A:$B,2,0)</f>
        <v>장기금융상품</v>
      </c>
      <c r="D28" s="16"/>
      <c r="E28" s="17"/>
      <c r="G28" s="11"/>
      <c r="J28" s="7" t="s">
        <v>566</v>
      </c>
      <c r="T28" s="414">
        <v>26</v>
      </c>
    </row>
    <row r="29" spans="1:20" ht="12" customHeight="1">
      <c r="A29" s="7" t="s">
        <v>134</v>
      </c>
      <c r="B29" s="202">
        <v>112120</v>
      </c>
      <c r="C29" s="241" t="str">
        <f>VLOOKUP($B:$B,RAW!$A:$B,2,0)</f>
        <v>장기투자증권</v>
      </c>
      <c r="D29" s="16"/>
      <c r="E29" s="17"/>
      <c r="G29" s="11"/>
      <c r="J29" s="7" t="s">
        <v>567</v>
      </c>
      <c r="K29" s="7" t="s">
        <v>786</v>
      </c>
      <c r="T29" s="414">
        <v>27</v>
      </c>
    </row>
    <row r="30" spans="1:20" ht="12" customHeight="1">
      <c r="A30" s="7" t="s">
        <v>214</v>
      </c>
      <c r="B30" s="202">
        <v>112147</v>
      </c>
      <c r="C30" s="241" t="str">
        <f>VLOOKUP($B:$B,RAW!$A:$B,2,0)</f>
        <v>지분법적용주식</v>
      </c>
      <c r="D30" s="16"/>
      <c r="E30" s="17"/>
      <c r="G30" s="11"/>
      <c r="J30" s="7" t="s">
        <v>568</v>
      </c>
      <c r="K30" s="7" t="s">
        <v>1703</v>
      </c>
      <c r="L30" s="7" t="s">
        <v>1741</v>
      </c>
      <c r="T30" s="414">
        <v>28</v>
      </c>
    </row>
    <row r="31" spans="1:20" ht="12" customHeight="1">
      <c r="A31" s="7" t="s">
        <v>195</v>
      </c>
      <c r="B31" s="202">
        <v>112210</v>
      </c>
      <c r="C31" s="241" t="str">
        <f>VLOOKUP($B:$B,RAW!$A:$B,2,0)</f>
        <v>장기대여금</v>
      </c>
      <c r="D31" s="16"/>
      <c r="E31" s="17"/>
      <c r="G31" s="11"/>
      <c r="J31" s="7" t="s">
        <v>569</v>
      </c>
      <c r="T31" s="414">
        <v>29</v>
      </c>
    </row>
    <row r="32" spans="1:20" ht="12" customHeight="1">
      <c r="A32" s="7" t="s">
        <v>215</v>
      </c>
      <c r="B32" s="202">
        <v>112150</v>
      </c>
      <c r="C32" s="241" t="str">
        <f>VLOOKUP($B:$B,RAW!$A:$B,2,0)</f>
        <v>투자부동산</v>
      </c>
      <c r="D32" s="16"/>
      <c r="E32" s="14"/>
      <c r="G32" s="11"/>
      <c r="J32" s="7" t="s">
        <v>570</v>
      </c>
      <c r="T32" s="414">
        <v>30</v>
      </c>
    </row>
    <row r="33" spans="1:20" ht="12" customHeight="1">
      <c r="A33" s="7" t="s">
        <v>27</v>
      </c>
      <c r="B33" s="201">
        <v>113200</v>
      </c>
      <c r="C33" s="235" t="str">
        <f>VLOOKUP($B:$B,RAW!$A:$B,2,0)</f>
        <v>유형자산(계)</v>
      </c>
      <c r="D33" s="13">
        <f>SUM(D34:E34)</f>
        <v>0</v>
      </c>
      <c r="E33" s="14"/>
      <c r="F33" s="14"/>
      <c r="G33" s="11"/>
      <c r="T33" s="414">
        <v>31</v>
      </c>
    </row>
    <row r="34" spans="1:20" ht="12" customHeight="1">
      <c r="A34" s="7" t="s">
        <v>39</v>
      </c>
      <c r="B34" s="201">
        <v>113201</v>
      </c>
      <c r="C34" s="235" t="str">
        <f>VLOOKUP($B:$B,RAW!$A:$B,2,0)</f>
        <v>(유형자산감가상각누계액계)</v>
      </c>
      <c r="D34" s="13">
        <f>SUM(F35:F48)</f>
        <v>0</v>
      </c>
      <c r="E34" s="21">
        <f>SUM(D35:E48)</f>
        <v>0</v>
      </c>
      <c r="F34" s="14"/>
      <c r="G34" s="11"/>
      <c r="T34" s="414">
        <v>32</v>
      </c>
    </row>
    <row r="35" spans="1:20" ht="12" customHeight="1">
      <c r="A35" s="7" t="s">
        <v>40</v>
      </c>
      <c r="B35" s="202">
        <v>113110</v>
      </c>
      <c r="C35" s="241" t="str">
        <f>VLOOKUP($B:$B,RAW!$A:$B,2,0)</f>
        <v>토지</v>
      </c>
      <c r="D35" s="61"/>
      <c r="E35" s="62"/>
      <c r="F35" s="17"/>
      <c r="G35" s="11"/>
      <c r="J35" s="7" t="s">
        <v>572</v>
      </c>
      <c r="T35" s="414">
        <v>33</v>
      </c>
    </row>
    <row r="36" spans="1:20" ht="12" customHeight="1">
      <c r="A36" s="7" t="s">
        <v>41</v>
      </c>
      <c r="C36" s="224"/>
      <c r="D36" s="22"/>
      <c r="E36" s="23"/>
      <c r="F36" s="23"/>
      <c r="G36" s="11"/>
      <c r="T36" s="414">
        <v>34</v>
      </c>
    </row>
    <row r="37" spans="1:20" ht="12" customHeight="1">
      <c r="A37" s="7" t="s">
        <v>42</v>
      </c>
      <c r="C37" s="224"/>
      <c r="D37" s="22"/>
      <c r="E37" s="23"/>
      <c r="F37" s="17"/>
      <c r="G37" s="11"/>
      <c r="T37" s="414">
        <v>35</v>
      </c>
    </row>
    <row r="38" spans="1:20" ht="12" customHeight="1">
      <c r="A38" s="7" t="s">
        <v>43</v>
      </c>
      <c r="C38" s="224"/>
      <c r="D38" s="22"/>
      <c r="E38" s="23"/>
      <c r="F38" s="23"/>
      <c r="G38" s="11"/>
      <c r="T38" s="414">
        <v>36</v>
      </c>
    </row>
    <row r="39" spans="1:20" ht="12" customHeight="1">
      <c r="A39" s="7" t="s">
        <v>135</v>
      </c>
      <c r="C39" s="224"/>
      <c r="D39" s="22"/>
      <c r="E39" s="23"/>
      <c r="F39" s="17"/>
      <c r="G39" s="11"/>
      <c r="T39" s="414">
        <v>37</v>
      </c>
    </row>
    <row r="40" spans="1:20" ht="12" customHeight="1">
      <c r="A40" s="7" t="s">
        <v>178</v>
      </c>
      <c r="C40" s="224"/>
      <c r="D40" s="22"/>
      <c r="E40" s="23"/>
      <c r="F40" s="17"/>
      <c r="G40" s="11"/>
      <c r="T40" s="414">
        <v>38</v>
      </c>
    </row>
    <row r="41" spans="1:20" ht="12" customHeight="1">
      <c r="A41" s="7" t="s">
        <v>44</v>
      </c>
      <c r="C41" s="224"/>
      <c r="D41" s="22"/>
      <c r="E41" s="23"/>
      <c r="F41" s="17"/>
      <c r="G41" s="11"/>
      <c r="T41" s="414">
        <v>39</v>
      </c>
    </row>
    <row r="42" spans="1:20" ht="12" customHeight="1">
      <c r="A42" s="7" t="s">
        <v>179</v>
      </c>
      <c r="C42" s="224"/>
      <c r="D42" s="22"/>
      <c r="E42" s="23"/>
      <c r="F42" s="17"/>
      <c r="G42" s="11"/>
      <c r="T42" s="414">
        <v>40</v>
      </c>
    </row>
    <row r="43" spans="1:20" ht="12" customHeight="1">
      <c r="A43" s="7" t="s">
        <v>136</v>
      </c>
      <c r="C43" s="224"/>
      <c r="D43" s="22"/>
      <c r="E43" s="23"/>
      <c r="F43" s="17"/>
      <c r="G43" s="11"/>
      <c r="T43" s="414">
        <v>41</v>
      </c>
    </row>
    <row r="44" spans="1:20" ht="12" customHeight="1">
      <c r="A44" s="7" t="s">
        <v>180</v>
      </c>
      <c r="C44" s="224"/>
      <c r="D44" s="22"/>
      <c r="E44" s="23"/>
      <c r="F44" s="17"/>
      <c r="G44" s="11"/>
      <c r="T44" s="414">
        <v>42</v>
      </c>
    </row>
    <row r="45" spans="1:20" ht="12" customHeight="1">
      <c r="A45" s="7" t="s">
        <v>181</v>
      </c>
      <c r="C45" s="224"/>
      <c r="D45" s="22"/>
      <c r="E45" s="23"/>
      <c r="F45" s="17"/>
      <c r="G45" s="11"/>
      <c r="T45" s="414">
        <v>43</v>
      </c>
    </row>
    <row r="46" spans="1:20" ht="12" customHeight="1">
      <c r="A46" s="7" t="s">
        <v>45</v>
      </c>
      <c r="C46" s="224"/>
      <c r="D46" s="22"/>
      <c r="E46" s="23"/>
      <c r="F46" s="17"/>
      <c r="G46" s="11"/>
      <c r="T46" s="414">
        <v>44</v>
      </c>
    </row>
    <row r="47" spans="1:20" ht="12" customHeight="1">
      <c r="C47" s="224"/>
      <c r="D47" s="22"/>
      <c r="E47" s="23"/>
      <c r="F47" s="17"/>
      <c r="G47" s="11"/>
      <c r="T47" s="414">
        <v>45</v>
      </c>
    </row>
    <row r="48" spans="1:20" ht="12" customHeight="1">
      <c r="C48" s="224"/>
      <c r="D48" s="22"/>
      <c r="E48" s="23"/>
      <c r="F48" s="17"/>
      <c r="G48" s="11"/>
      <c r="T48" s="414">
        <v>46</v>
      </c>
    </row>
    <row r="49" spans="1:20" ht="12" customHeight="1">
      <c r="C49" s="224"/>
      <c r="D49" s="19"/>
      <c r="E49" s="14"/>
      <c r="F49" s="14"/>
      <c r="G49" s="11"/>
      <c r="T49" s="414">
        <v>47</v>
      </c>
    </row>
    <row r="50" spans="1:20" ht="12" customHeight="1">
      <c r="A50" s="7" t="s">
        <v>46</v>
      </c>
      <c r="B50" s="201">
        <v>113400</v>
      </c>
      <c r="C50" s="235" t="str">
        <f>VLOOKUP($B:$B,RAW!$A:$B,2,0)</f>
        <v>무형자산(계)</v>
      </c>
      <c r="D50" s="13">
        <f>SUM(D51:F64)</f>
        <v>0</v>
      </c>
      <c r="E50" s="24"/>
      <c r="F50" s="24"/>
      <c r="G50" s="11"/>
      <c r="T50" s="414">
        <v>48</v>
      </c>
    </row>
    <row r="51" spans="1:20" ht="12" customHeight="1">
      <c r="A51" s="7" t="s">
        <v>31</v>
      </c>
      <c r="B51" s="202">
        <v>113296</v>
      </c>
      <c r="C51" s="241" t="s">
        <v>1690</v>
      </c>
      <c r="D51" s="16"/>
      <c r="E51" s="17"/>
      <c r="F51" s="24"/>
      <c r="G51" s="11"/>
      <c r="J51" s="7" t="s">
        <v>573</v>
      </c>
      <c r="T51" s="414">
        <v>49</v>
      </c>
    </row>
    <row r="52" spans="1:20" ht="12" customHeight="1">
      <c r="A52" s="7" t="s">
        <v>182</v>
      </c>
      <c r="C52" s="224"/>
      <c r="D52" s="19"/>
      <c r="E52" s="17"/>
      <c r="F52" s="24"/>
      <c r="G52" s="11"/>
      <c r="T52" s="414">
        <v>50</v>
      </c>
    </row>
    <row r="53" spans="1:20" ht="12" customHeight="1">
      <c r="A53" s="7" t="s">
        <v>183</v>
      </c>
      <c r="C53" s="224"/>
      <c r="D53" s="19"/>
      <c r="E53" s="17"/>
      <c r="F53" s="24"/>
      <c r="G53" s="11"/>
      <c r="T53" s="414">
        <v>51</v>
      </c>
    </row>
    <row r="54" spans="1:20" ht="12" customHeight="1">
      <c r="A54" s="7" t="s">
        <v>184</v>
      </c>
      <c r="C54" s="224"/>
      <c r="D54" s="19"/>
      <c r="E54" s="17"/>
      <c r="F54" s="24"/>
      <c r="G54" s="11"/>
      <c r="T54" s="414">
        <v>52</v>
      </c>
    </row>
    <row r="55" spans="1:20" ht="12" customHeight="1">
      <c r="A55" s="7" t="s">
        <v>185</v>
      </c>
      <c r="C55" s="224"/>
      <c r="D55" s="19"/>
      <c r="E55" s="17"/>
      <c r="F55" s="24"/>
      <c r="G55" s="11"/>
      <c r="T55" s="414">
        <v>53</v>
      </c>
    </row>
    <row r="56" spans="1:20" ht="12" customHeight="1">
      <c r="A56" s="7" t="s">
        <v>186</v>
      </c>
      <c r="C56" s="224"/>
      <c r="D56" s="19"/>
      <c r="E56" s="17"/>
      <c r="F56" s="24"/>
      <c r="G56" s="11"/>
      <c r="T56" s="414">
        <v>54</v>
      </c>
    </row>
    <row r="57" spans="1:20" ht="12" customHeight="1">
      <c r="A57" s="7" t="s">
        <v>187</v>
      </c>
      <c r="C57" s="224"/>
      <c r="D57" s="19"/>
      <c r="E57" s="17"/>
      <c r="F57" s="24"/>
      <c r="G57" s="11"/>
      <c r="T57" s="414">
        <v>55</v>
      </c>
    </row>
    <row r="58" spans="1:20" ht="12" customHeight="1">
      <c r="A58" s="7" t="s">
        <v>188</v>
      </c>
      <c r="C58" s="224"/>
      <c r="D58" s="19"/>
      <c r="E58" s="17"/>
      <c r="F58" s="24"/>
      <c r="G58" s="11"/>
      <c r="T58" s="414">
        <v>56</v>
      </c>
    </row>
    <row r="59" spans="1:20" ht="12" customHeight="1">
      <c r="A59" s="7" t="s">
        <v>189</v>
      </c>
      <c r="C59" s="224"/>
      <c r="D59" s="19"/>
      <c r="E59" s="17"/>
      <c r="F59" s="24"/>
      <c r="G59" s="11"/>
      <c r="T59" s="414">
        <v>57</v>
      </c>
    </row>
    <row r="60" spans="1:20" ht="12" customHeight="1">
      <c r="A60" s="7" t="s">
        <v>190</v>
      </c>
      <c r="C60" s="224"/>
      <c r="D60" s="19"/>
      <c r="E60" s="17"/>
      <c r="F60" s="24"/>
      <c r="G60" s="11"/>
      <c r="T60" s="414">
        <v>58</v>
      </c>
    </row>
    <row r="61" spans="1:20" ht="12" customHeight="1">
      <c r="A61" s="7" t="s">
        <v>191</v>
      </c>
      <c r="C61" s="224"/>
      <c r="D61" s="19"/>
      <c r="E61" s="17"/>
      <c r="F61" s="24"/>
      <c r="G61" s="11"/>
      <c r="T61" s="414">
        <v>59</v>
      </c>
    </row>
    <row r="62" spans="1:20" ht="12" customHeight="1">
      <c r="A62" s="7" t="s">
        <v>192</v>
      </c>
      <c r="C62" s="224"/>
      <c r="D62" s="19"/>
      <c r="E62" s="17"/>
      <c r="F62" s="24"/>
      <c r="G62" s="11"/>
      <c r="T62" s="414">
        <v>60</v>
      </c>
    </row>
    <row r="63" spans="1:20" ht="12" customHeight="1">
      <c r="A63" s="7" t="s">
        <v>193</v>
      </c>
      <c r="C63" s="224"/>
      <c r="D63" s="19"/>
      <c r="E63" s="17"/>
      <c r="F63" s="24"/>
      <c r="G63" s="11"/>
      <c r="T63" s="414">
        <v>61</v>
      </c>
    </row>
    <row r="64" spans="1:20" ht="12" customHeight="1">
      <c r="A64" s="7" t="s">
        <v>194</v>
      </c>
      <c r="C64" s="224"/>
      <c r="D64" s="19"/>
      <c r="E64" s="17"/>
      <c r="F64" s="24"/>
      <c r="G64" s="11"/>
      <c r="T64" s="414">
        <v>62</v>
      </c>
    </row>
    <row r="65" spans="1:20" ht="12" customHeight="1">
      <c r="C65" s="224"/>
      <c r="D65" s="19"/>
      <c r="F65" s="24"/>
      <c r="G65" s="11"/>
      <c r="T65" s="414">
        <v>63</v>
      </c>
    </row>
    <row r="66" spans="1:20" ht="12" customHeight="1">
      <c r="A66" s="7" t="s">
        <v>53</v>
      </c>
      <c r="B66" s="201">
        <v>113600</v>
      </c>
      <c r="C66" s="235" t="str">
        <f>VLOOKUP($B:$B,RAW!$A:$B,2,0)</f>
        <v>기타비유동자산(계)</v>
      </c>
      <c r="D66" s="13">
        <f>SUM(D67:F68)</f>
        <v>0</v>
      </c>
      <c r="E66" s="14"/>
      <c r="F66" s="14"/>
      <c r="G66" s="11"/>
      <c r="T66" s="414">
        <v>64</v>
      </c>
    </row>
    <row r="67" spans="1:20" ht="12" customHeight="1">
      <c r="A67" s="7" t="s">
        <v>137</v>
      </c>
      <c r="B67" s="202">
        <v>112269</v>
      </c>
      <c r="C67" s="241" t="str">
        <f>VLOOKUP($B:$B,RAW!$A:$B,2,0)</f>
        <v>회원권</v>
      </c>
      <c r="D67" s="61"/>
      <c r="E67" s="17"/>
      <c r="F67" s="17"/>
      <c r="G67" s="11"/>
      <c r="J67" s="7" t="s">
        <v>574</v>
      </c>
      <c r="T67" s="414">
        <v>65</v>
      </c>
    </row>
    <row r="68" spans="1:20" ht="12" customHeight="1">
      <c r="A68" s="7" t="s">
        <v>216</v>
      </c>
      <c r="B68" s="202">
        <v>114150</v>
      </c>
      <c r="C68" s="241" t="str">
        <f>VLOOKUP($B:$B,RAW!$A:$B,2,0)</f>
        <v>연구개발비</v>
      </c>
      <c r="D68" s="16"/>
      <c r="E68" s="17"/>
      <c r="F68" s="17"/>
      <c r="G68" s="11"/>
      <c r="J68" s="7" t="s">
        <v>575</v>
      </c>
      <c r="T68" s="414">
        <v>66</v>
      </c>
    </row>
    <row r="69" spans="1:20" ht="12" customHeight="1">
      <c r="A69" s="7" t="s">
        <v>3</v>
      </c>
      <c r="B69" s="205">
        <v>115000</v>
      </c>
      <c r="C69" s="225" t="str">
        <f>VLOOKUP($B:$B,RAW!$A:$B,2,0)</f>
        <v>자산총계</v>
      </c>
      <c r="D69" s="25">
        <f>SUM(D3,D26)</f>
        <v>0</v>
      </c>
      <c r="G69" s="11"/>
      <c r="T69" s="414">
        <v>67</v>
      </c>
    </row>
    <row r="70" spans="1:20" ht="12" customHeight="1">
      <c r="A70" s="7" t="s">
        <v>138</v>
      </c>
      <c r="B70" s="201">
        <v>116000</v>
      </c>
      <c r="C70" s="236" t="str">
        <f>VLOOKUP($B:$B,RAW!$A:$B,2,0)</f>
        <v>유동부채(계)</v>
      </c>
      <c r="D70" s="20">
        <f>SUM(D71:D72,D80:D81,F71:F78)</f>
        <v>0</v>
      </c>
      <c r="E70" s="27"/>
      <c r="G70" s="11"/>
      <c r="T70" s="414">
        <v>68</v>
      </c>
    </row>
    <row r="71" spans="1:20" ht="12" customHeight="1">
      <c r="A71" s="7" t="s">
        <v>28</v>
      </c>
      <c r="B71" s="202">
        <v>115110</v>
      </c>
      <c r="C71" s="242" t="str">
        <f>VLOOKUP($B:$B,RAW!$A:$B,2,0)</f>
        <v>매입채무</v>
      </c>
      <c r="D71" s="12"/>
      <c r="E71" s="14"/>
      <c r="F71" s="27"/>
      <c r="G71" s="11"/>
      <c r="J71" s="7" t="s">
        <v>576</v>
      </c>
      <c r="K71" s="7" t="s">
        <v>1725</v>
      </c>
      <c r="T71" s="414">
        <v>69</v>
      </c>
    </row>
    <row r="72" spans="1:20" ht="12" customHeight="1">
      <c r="A72" s="7" t="s">
        <v>139</v>
      </c>
      <c r="B72" s="202">
        <v>115130</v>
      </c>
      <c r="C72" s="242" t="str">
        <f>VLOOKUP($B:$B,RAW!$A:$B,2,0)</f>
        <v>단기차입금</v>
      </c>
      <c r="D72" s="13">
        <f>SUM(D73:E79)</f>
        <v>0</v>
      </c>
      <c r="E72" s="14"/>
      <c r="F72" s="27"/>
      <c r="G72" s="11"/>
      <c r="T72" s="414">
        <v>70</v>
      </c>
    </row>
    <row r="73" spans="1:20" ht="12" customHeight="1">
      <c r="A73" s="7" t="s">
        <v>217</v>
      </c>
      <c r="B73" s="203">
        <v>115131</v>
      </c>
      <c r="C73" s="244" t="str">
        <f>VLOOKUP($B:$B,RAW!$A:$B,2,0)</f>
        <v>당좌차월</v>
      </c>
      <c r="D73" s="16"/>
      <c r="E73" s="17"/>
      <c r="F73" s="27"/>
      <c r="G73" s="11"/>
      <c r="J73" s="7" t="s">
        <v>376</v>
      </c>
      <c r="T73" s="414">
        <v>71</v>
      </c>
    </row>
    <row r="74" spans="1:20" ht="12" customHeight="1">
      <c r="A74" s="7" t="s">
        <v>218</v>
      </c>
      <c r="B74" s="203">
        <v>115133</v>
      </c>
      <c r="C74" s="244" t="str">
        <f>VLOOKUP($B:$B,RAW!$A:$B,2,0)</f>
        <v>외화단기차입금</v>
      </c>
      <c r="D74" s="16"/>
      <c r="E74" s="14"/>
      <c r="F74" s="27"/>
      <c r="G74" s="11"/>
      <c r="J74" s="7" t="s">
        <v>377</v>
      </c>
      <c r="T74" s="414">
        <v>72</v>
      </c>
    </row>
    <row r="75" spans="1:20" ht="12" customHeight="1">
      <c r="A75" s="7" t="s">
        <v>219</v>
      </c>
      <c r="B75" s="203">
        <v>115134</v>
      </c>
      <c r="C75" s="244" t="str">
        <f>VLOOKUP($B:$B,RAW!$A:$B,2,0)</f>
        <v>특수관계자단기차입금</v>
      </c>
      <c r="D75" s="16"/>
      <c r="E75" s="14"/>
      <c r="F75" s="27"/>
      <c r="G75" s="11"/>
      <c r="J75" s="7" t="s">
        <v>379</v>
      </c>
      <c r="T75" s="414">
        <v>73</v>
      </c>
    </row>
    <row r="76" spans="1:20" ht="12" customHeight="1">
      <c r="A76" s="7" t="s">
        <v>220</v>
      </c>
      <c r="B76" s="203">
        <v>115135</v>
      </c>
      <c r="C76" s="244" t="str">
        <f>VLOOKUP($B:$B,RAW!$A:$B,2,0)</f>
        <v>어음차입금</v>
      </c>
      <c r="D76" s="16"/>
      <c r="E76" s="14"/>
      <c r="F76" s="27"/>
      <c r="G76" s="11"/>
      <c r="J76" s="7" t="s">
        <v>378</v>
      </c>
      <c r="T76" s="414">
        <v>74</v>
      </c>
    </row>
    <row r="77" spans="1:20" ht="12" customHeight="1">
      <c r="A77" s="7" t="s">
        <v>21</v>
      </c>
      <c r="B77" s="203">
        <v>115136</v>
      </c>
      <c r="C77" s="244" t="str">
        <f>VLOOKUP($B:$B,RAW!$A:$B,2,0)</f>
        <v>주주,임원,종업원단기차입금</v>
      </c>
      <c r="D77" s="16"/>
      <c r="E77" s="14"/>
      <c r="F77" s="27"/>
      <c r="G77" s="11"/>
      <c r="J77" s="7" t="s">
        <v>578</v>
      </c>
      <c r="T77" s="414">
        <v>75</v>
      </c>
    </row>
    <row r="78" spans="1:20" ht="12" customHeight="1">
      <c r="A78" s="7" t="s">
        <v>22</v>
      </c>
      <c r="B78" s="203">
        <v>115132</v>
      </c>
      <c r="C78" s="244" t="str">
        <f>VLOOKUP($B:$B,RAW!$A:$B,2,0)</f>
        <v>기타단기차입금</v>
      </c>
      <c r="D78" s="16"/>
      <c r="E78" s="14"/>
      <c r="F78" s="27"/>
      <c r="G78" s="11"/>
      <c r="J78" s="7" t="s">
        <v>380</v>
      </c>
      <c r="K78" s="7" t="s">
        <v>1742</v>
      </c>
      <c r="T78" s="414">
        <v>76</v>
      </c>
    </row>
    <row r="79" spans="1:20" ht="12" customHeight="1">
      <c r="A79" s="7" t="s">
        <v>221</v>
      </c>
      <c r="B79" s="203">
        <v>115141</v>
      </c>
      <c r="C79" s="244" t="str">
        <f>VLOOKUP($B:$B,RAW!$A:$B,2,0)</f>
        <v>공사미지급금</v>
      </c>
      <c r="D79" s="16"/>
      <c r="E79" s="14"/>
      <c r="F79" s="14"/>
      <c r="G79" s="11"/>
      <c r="J79" s="7" t="s">
        <v>579</v>
      </c>
      <c r="T79" s="414">
        <v>77</v>
      </c>
    </row>
    <row r="80" spans="1:20" ht="12" customHeight="1">
      <c r="A80" s="7" t="s">
        <v>140</v>
      </c>
      <c r="B80" s="202">
        <v>115180</v>
      </c>
      <c r="C80" s="242" t="str">
        <f>VLOOKUP($B:$B,RAW!$A:$B,2,0)</f>
        <v>미지급비용</v>
      </c>
      <c r="D80" s="12"/>
      <c r="E80" s="14"/>
      <c r="F80" s="14"/>
      <c r="G80" s="11"/>
      <c r="J80" s="7" t="s">
        <v>580</v>
      </c>
      <c r="T80" s="414">
        <v>78</v>
      </c>
    </row>
    <row r="81" spans="1:20" ht="12" customHeight="1">
      <c r="A81" s="7" t="s">
        <v>141</v>
      </c>
      <c r="B81" s="202">
        <v>115190</v>
      </c>
      <c r="C81" s="242" t="str">
        <f>VLOOKUP($B:$B,RAW!$A:$B,2,0)</f>
        <v>유동성장기부채</v>
      </c>
      <c r="D81" s="13">
        <f>SUM(D82:E84)</f>
        <v>0</v>
      </c>
      <c r="E81" s="14"/>
      <c r="F81" s="14"/>
      <c r="G81" s="11"/>
      <c r="T81" s="414">
        <v>79</v>
      </c>
    </row>
    <row r="82" spans="1:20" ht="12" customHeight="1">
      <c r="A82" s="7" t="s">
        <v>142</v>
      </c>
      <c r="B82" s="203">
        <v>115191</v>
      </c>
      <c r="C82" s="244" t="str">
        <f>VLOOKUP($B:$B,RAW!$A:$B,2,0)</f>
        <v>유동성장기차입금</v>
      </c>
      <c r="D82" s="61"/>
      <c r="E82" s="177"/>
      <c r="F82" s="14"/>
      <c r="G82" s="11"/>
      <c r="J82" s="7" t="s">
        <v>582</v>
      </c>
      <c r="K82" s="7" t="s">
        <v>1743</v>
      </c>
      <c r="T82" s="414">
        <v>80</v>
      </c>
    </row>
    <row r="83" spans="1:20" ht="12" customHeight="1">
      <c r="A83" s="7" t="s">
        <v>222</v>
      </c>
      <c r="B83" s="203">
        <v>115193</v>
      </c>
      <c r="C83" s="244" t="str">
        <f>VLOOKUP($B:$B,RAW!$A:$B,2,0)</f>
        <v>유동성사채</v>
      </c>
      <c r="D83" s="16"/>
      <c r="G83" s="11"/>
      <c r="J83" s="7" t="s">
        <v>583</v>
      </c>
      <c r="T83" s="414">
        <v>81</v>
      </c>
    </row>
    <row r="84" spans="1:20" ht="12" customHeight="1">
      <c r="A84" s="7" t="s">
        <v>223</v>
      </c>
      <c r="B84" s="203">
        <v>115195</v>
      </c>
      <c r="C84" s="244" t="str">
        <f>VLOOKUP($B:$B,RAW!$A:$B,2,0)</f>
        <v>유동성금융리스부채장기미지급금선수금</v>
      </c>
      <c r="D84" s="16"/>
      <c r="G84" s="11"/>
      <c r="J84" s="7" t="s">
        <v>584</v>
      </c>
      <c r="T84" s="414">
        <v>82</v>
      </c>
    </row>
    <row r="85" spans="1:20" ht="12" customHeight="1">
      <c r="A85" s="7" t="s">
        <v>30</v>
      </c>
      <c r="B85" s="201">
        <v>117000</v>
      </c>
      <c r="C85" s="236" t="str">
        <f>VLOOKUP($B:$B,RAW!$A:$B,2,0)</f>
        <v>비유동부채(계)</v>
      </c>
      <c r="D85" s="20">
        <f>SUM(D86:D87,D94,F86:F93)</f>
        <v>0</v>
      </c>
      <c r="E85" s="27"/>
      <c r="G85" s="11"/>
      <c r="T85" s="414">
        <v>83</v>
      </c>
    </row>
    <row r="86" spans="1:20" ht="12" customHeight="1">
      <c r="A86" s="7" t="s">
        <v>196</v>
      </c>
      <c r="B86" s="202">
        <v>116050</v>
      </c>
      <c r="C86" s="242" t="str">
        <f>VLOOKUP($B:$B,RAW!$A:$B,2,0)</f>
        <v>장기사채(계)</v>
      </c>
      <c r="D86" s="12"/>
      <c r="F86" s="27"/>
      <c r="G86" s="11"/>
      <c r="J86" s="7" t="s">
        <v>1723</v>
      </c>
      <c r="T86" s="414">
        <v>84</v>
      </c>
    </row>
    <row r="87" spans="1:20" ht="12" customHeight="1">
      <c r="A87" s="7" t="s">
        <v>143</v>
      </c>
      <c r="B87" s="202">
        <v>116200</v>
      </c>
      <c r="C87" s="242" t="str">
        <f>VLOOKUP($B:$B,RAW!$A:$B,2,0)</f>
        <v>장기차입금(계)</v>
      </c>
      <c r="D87" s="13">
        <f>SUM(D88:E93)</f>
        <v>0</v>
      </c>
      <c r="F87" s="30"/>
      <c r="G87" s="11"/>
      <c r="T87" s="414">
        <v>85</v>
      </c>
    </row>
    <row r="88" spans="1:20" ht="12" customHeight="1">
      <c r="A88" s="7" t="s">
        <v>224</v>
      </c>
      <c r="B88" s="203">
        <v>116220</v>
      </c>
      <c r="C88" s="244" t="str">
        <f>VLOOKUP($B:$B,RAW!$A:$B,2,0)</f>
        <v>외화장기차입금</v>
      </c>
      <c r="D88" s="16"/>
      <c r="E88" s="17"/>
      <c r="F88" s="27"/>
      <c r="G88" s="11"/>
      <c r="J88" s="7" t="s">
        <v>382</v>
      </c>
      <c r="T88" s="414">
        <v>86</v>
      </c>
    </row>
    <row r="89" spans="1:20" ht="12" customHeight="1">
      <c r="A89" s="7" t="s">
        <v>225</v>
      </c>
      <c r="B89" s="203">
        <v>116230</v>
      </c>
      <c r="C89" s="244" t="str">
        <f>VLOOKUP($B:$B,RAW!$A:$B,2,0)</f>
        <v>차관</v>
      </c>
      <c r="D89" s="16"/>
      <c r="F89" s="27"/>
      <c r="G89" s="11"/>
      <c r="J89" s="7" t="s">
        <v>585</v>
      </c>
      <c r="T89" s="414">
        <v>87</v>
      </c>
    </row>
    <row r="90" spans="1:20" ht="12" customHeight="1">
      <c r="A90" s="7" t="s">
        <v>226</v>
      </c>
      <c r="B90" s="203">
        <v>116240</v>
      </c>
      <c r="C90" s="244" t="str">
        <f>VLOOKUP($B:$B,RAW!$A:$B,2,0)</f>
        <v>특수관계자장기차입금</v>
      </c>
      <c r="D90" s="16"/>
      <c r="F90" s="27"/>
      <c r="G90" s="11"/>
      <c r="J90" s="7" t="s">
        <v>586</v>
      </c>
      <c r="T90" s="414">
        <v>88</v>
      </c>
    </row>
    <row r="91" spans="1:20" ht="12" customHeight="1">
      <c r="A91" s="7" t="s">
        <v>227</v>
      </c>
      <c r="B91" s="203">
        <v>116250</v>
      </c>
      <c r="C91" s="244" t="str">
        <f>VLOOKUP($B:$B,RAW!$A:$B,2,0)</f>
        <v>주주,임원,종업원차입금</v>
      </c>
      <c r="D91" s="16"/>
      <c r="F91" s="27"/>
      <c r="G91" s="11"/>
      <c r="J91" s="7" t="s">
        <v>587</v>
      </c>
      <c r="T91" s="414">
        <v>89</v>
      </c>
    </row>
    <row r="92" spans="1:20" ht="12" customHeight="1">
      <c r="A92" s="7" t="s">
        <v>228</v>
      </c>
      <c r="B92" s="203">
        <v>116255</v>
      </c>
      <c r="C92" s="244" t="str">
        <f>VLOOKUP($B:$B,RAW!$A:$B,2,0)</f>
        <v>금융리스부채</v>
      </c>
      <c r="D92" s="16"/>
      <c r="F92" s="30"/>
      <c r="G92" s="11"/>
      <c r="J92" s="7" t="s">
        <v>383</v>
      </c>
      <c r="T92" s="414">
        <v>90</v>
      </c>
    </row>
    <row r="93" spans="1:20" ht="12" customHeight="1">
      <c r="A93" s="7" t="s">
        <v>229</v>
      </c>
      <c r="B93" s="203">
        <v>116910</v>
      </c>
      <c r="C93" s="244" t="str">
        <f>VLOOKUP($B:$B,RAW!$A:$B,2,0)</f>
        <v>국민주택기금차입금</v>
      </c>
      <c r="D93" s="16"/>
      <c r="F93" s="30"/>
      <c r="G93" s="11"/>
      <c r="J93" s="7" t="s">
        <v>588</v>
      </c>
      <c r="T93" s="414">
        <v>91</v>
      </c>
    </row>
    <row r="94" spans="1:20" ht="12" customHeight="1">
      <c r="A94" s="7" t="s">
        <v>230</v>
      </c>
      <c r="B94" s="202">
        <v>116260</v>
      </c>
      <c r="C94" s="242" t="str">
        <f>VLOOKUP($B:$B,RAW!$A:$B,2,0)</f>
        <v>금융리스부채</v>
      </c>
      <c r="D94" s="13">
        <f>SUM(D95)</f>
        <v>0</v>
      </c>
      <c r="G94" s="11"/>
      <c r="T94" s="414">
        <v>92</v>
      </c>
    </row>
    <row r="95" spans="1:20" ht="12" customHeight="1">
      <c r="A95" s="7" t="s">
        <v>228</v>
      </c>
      <c r="B95" s="203">
        <v>116401</v>
      </c>
      <c r="C95" s="244" t="str">
        <f>VLOOKUP($B:$B,RAW!$A:$B,2,0)</f>
        <v>금융리스부채</v>
      </c>
      <c r="D95" s="16"/>
      <c r="G95" s="11"/>
      <c r="J95" s="7" t="s">
        <v>1724</v>
      </c>
      <c r="T95" s="414">
        <v>93</v>
      </c>
    </row>
    <row r="96" spans="1:20" ht="12" customHeight="1">
      <c r="A96" s="7" t="s">
        <v>4</v>
      </c>
      <c r="B96" s="205">
        <v>118000</v>
      </c>
      <c r="C96" s="225" t="str">
        <f>VLOOKUP($B:$B,RAW!$A:$B,2,0)</f>
        <v>부채총계</v>
      </c>
      <c r="D96" s="25">
        <f>SUM(D70,D85)</f>
        <v>0</v>
      </c>
      <c r="E96" s="28"/>
      <c r="F96" s="28"/>
      <c r="G96" s="26"/>
      <c r="T96" s="414">
        <v>94</v>
      </c>
    </row>
    <row r="97" spans="1:20" ht="12" customHeight="1">
      <c r="A97" s="7" t="s">
        <v>47</v>
      </c>
      <c r="B97" s="201">
        <v>118100</v>
      </c>
      <c r="C97" s="236" t="str">
        <f>VLOOKUP($B:$B,RAW!$A:$B,2,0)</f>
        <v>자본금</v>
      </c>
      <c r="D97" s="60">
        <f>SUM(E98:F99,D100)</f>
        <v>0</v>
      </c>
      <c r="G97" s="11"/>
      <c r="T97" s="414">
        <v>95</v>
      </c>
    </row>
    <row r="98" spans="1:20" ht="12" customHeight="1">
      <c r="A98" s="7" t="s">
        <v>1439</v>
      </c>
      <c r="B98" s="201">
        <v>118102</v>
      </c>
      <c r="C98" s="237" t="str">
        <f>VLOOKUP($B:$B,RAW!$A:$B,2,0)</f>
        <v>[1주의금액] (원)</v>
      </c>
      <c r="D98" s="63"/>
      <c r="E98" s="30"/>
      <c r="F98" s="27"/>
      <c r="G98" s="11"/>
      <c r="T98" s="414">
        <v>96</v>
      </c>
    </row>
    <row r="99" spans="1:20" ht="12" customHeight="1">
      <c r="A99" s="7" t="s">
        <v>48</v>
      </c>
      <c r="B99" s="202">
        <v>118111</v>
      </c>
      <c r="C99" s="243" t="str">
        <f>VLOOKUP($B:$B,RAW!$A:$B,2,0)</f>
        <v>[보통주발행주식수]</v>
      </c>
      <c r="D99" s="22"/>
      <c r="E99" s="27"/>
      <c r="F99" s="27"/>
      <c r="G99" s="11"/>
      <c r="T99" s="414">
        <v>97</v>
      </c>
    </row>
    <row r="100" spans="1:20" ht="12" customHeight="1">
      <c r="A100" s="7" t="s">
        <v>125</v>
      </c>
      <c r="B100" s="202">
        <v>118120</v>
      </c>
      <c r="C100" s="242" t="str">
        <f>VLOOKUP($B:$B,RAW!$A:$B,2,0)</f>
        <v>우선주자본금</v>
      </c>
      <c r="D100" s="64"/>
      <c r="G100" s="11"/>
      <c r="T100" s="414">
        <v>98</v>
      </c>
    </row>
    <row r="101" spans="1:20" ht="12" customHeight="1">
      <c r="A101" s="7" t="s">
        <v>49</v>
      </c>
      <c r="B101" s="201">
        <v>118200</v>
      </c>
      <c r="C101" s="236" t="str">
        <f>VLOOKUP($B:$B,RAW!$A:$B,2,0)</f>
        <v>자본잉여금</v>
      </c>
      <c r="D101" s="29">
        <f>SUM(D102:E103)</f>
        <v>0</v>
      </c>
      <c r="G101" s="11"/>
      <c r="T101" s="414">
        <v>99</v>
      </c>
    </row>
    <row r="102" spans="1:20" ht="12" customHeight="1">
      <c r="C102" s="224"/>
      <c r="D102" s="31"/>
      <c r="E102" s="27"/>
      <c r="G102" s="11"/>
      <c r="T102" s="414">
        <v>100</v>
      </c>
    </row>
    <row r="103" spans="1:20" ht="12" customHeight="1">
      <c r="C103" s="224"/>
      <c r="D103" s="31"/>
      <c r="E103" s="27"/>
      <c r="G103" s="11"/>
      <c r="T103" s="414" t="str">
        <f t="shared" ref="T103:T134" si="0">TEXT(T3,"0")</f>
        <v>1</v>
      </c>
    </row>
    <row r="104" spans="1:20" ht="12" customHeight="1">
      <c r="C104" s="224"/>
      <c r="D104" s="22"/>
      <c r="G104" s="11"/>
      <c r="T104" s="414" t="str">
        <f t="shared" si="0"/>
        <v>2</v>
      </c>
    </row>
    <row r="105" spans="1:20" ht="12" customHeight="1">
      <c r="A105" s="7" t="s">
        <v>126</v>
      </c>
      <c r="B105" s="201">
        <v>118400</v>
      </c>
      <c r="C105" s="236" t="str">
        <f>VLOOKUP($B:$B,RAW!$A:$B,2,0)</f>
        <v>자본조정</v>
      </c>
      <c r="D105" s="29">
        <f>SUM(E106:E108)</f>
        <v>0</v>
      </c>
      <c r="G105" s="11"/>
      <c r="T105" s="414" t="str">
        <f t="shared" si="0"/>
        <v>3</v>
      </c>
    </row>
    <row r="106" spans="1:20" ht="12" customHeight="1">
      <c r="A106" s="7" t="s">
        <v>231</v>
      </c>
      <c r="B106" s="202">
        <v>118431</v>
      </c>
      <c r="C106" s="243" t="str">
        <f>VLOOKUP($B:$B,RAW!$A:$B,2,0)</f>
        <v>[보통주자기주식수]</v>
      </c>
      <c r="D106" s="32"/>
      <c r="E106" s="27"/>
      <c r="G106" s="11"/>
      <c r="T106" s="414" t="str">
        <f t="shared" si="0"/>
        <v>4</v>
      </c>
    </row>
    <row r="107" spans="1:20" ht="12" customHeight="1">
      <c r="C107" s="224"/>
      <c r="D107" s="22"/>
      <c r="E107" s="27"/>
      <c r="G107" s="11"/>
      <c r="T107" s="414" t="str">
        <f t="shared" si="0"/>
        <v>5</v>
      </c>
    </row>
    <row r="108" spans="1:20" ht="12" customHeight="1">
      <c r="C108" s="224"/>
      <c r="D108" s="22"/>
      <c r="E108" s="27"/>
      <c r="G108" s="11"/>
      <c r="T108" s="414" t="str">
        <f t="shared" si="0"/>
        <v>6</v>
      </c>
    </row>
    <row r="109" spans="1:20" ht="12" customHeight="1">
      <c r="C109" s="224"/>
      <c r="D109" s="22"/>
      <c r="G109" s="11"/>
      <c r="T109" s="414" t="str">
        <f t="shared" si="0"/>
        <v>7</v>
      </c>
    </row>
    <row r="110" spans="1:20" ht="12" customHeight="1">
      <c r="A110" s="7" t="s">
        <v>232</v>
      </c>
      <c r="B110" s="201">
        <v>118600</v>
      </c>
      <c r="C110" s="236" t="str">
        <f>VLOOKUP($B:$B,RAW!$A:$B,2,0)</f>
        <v>기타포괄손익누계액</v>
      </c>
      <c r="D110" s="29">
        <f>SUM(D111:E112)</f>
        <v>0</v>
      </c>
      <c r="G110" s="11"/>
      <c r="T110" s="414" t="str">
        <f t="shared" si="0"/>
        <v>8</v>
      </c>
    </row>
    <row r="111" spans="1:20" ht="12" customHeight="1">
      <c r="C111" s="224"/>
      <c r="D111" s="31"/>
      <c r="E111" s="27"/>
      <c r="G111" s="11"/>
      <c r="T111" s="414" t="str">
        <f t="shared" si="0"/>
        <v>9</v>
      </c>
    </row>
    <row r="112" spans="1:20" ht="12" customHeight="1">
      <c r="C112" s="224"/>
      <c r="D112" s="31"/>
      <c r="E112" s="27"/>
      <c r="G112" s="11"/>
      <c r="T112" s="414" t="str">
        <f t="shared" si="0"/>
        <v>10</v>
      </c>
    </row>
    <row r="113" spans="1:20" ht="12" customHeight="1">
      <c r="C113" s="224"/>
      <c r="D113" s="22"/>
      <c r="G113" s="11"/>
      <c r="T113" s="414" t="str">
        <f t="shared" si="0"/>
        <v>11</v>
      </c>
    </row>
    <row r="114" spans="1:20" ht="12" customHeight="1">
      <c r="A114" s="7" t="s">
        <v>50</v>
      </c>
      <c r="B114" s="201">
        <v>118300</v>
      </c>
      <c r="C114" s="236" t="str">
        <f>VLOOKUP($B:$B,RAW!$A:$B,2,0)</f>
        <v>이익잉여금</v>
      </c>
      <c r="D114" s="29">
        <f>SUM(D115:E117)</f>
        <v>0</v>
      </c>
      <c r="G114" s="11"/>
      <c r="T114" s="414" t="str">
        <f t="shared" si="0"/>
        <v>12</v>
      </c>
    </row>
    <row r="115" spans="1:20" ht="12" customHeight="1">
      <c r="C115" s="224"/>
      <c r="D115" s="31"/>
      <c r="E115" s="27"/>
      <c r="G115" s="11"/>
      <c r="T115" s="414" t="str">
        <f t="shared" si="0"/>
        <v>13</v>
      </c>
    </row>
    <row r="116" spans="1:20" ht="12" customHeight="1">
      <c r="C116" s="224"/>
      <c r="D116" s="31"/>
      <c r="E116" s="27"/>
      <c r="G116" s="11"/>
      <c r="T116" s="414" t="str">
        <f t="shared" si="0"/>
        <v>14</v>
      </c>
    </row>
    <row r="117" spans="1:20" ht="12" customHeight="1">
      <c r="C117" s="224"/>
      <c r="D117" s="31"/>
      <c r="E117" s="27"/>
      <c r="G117" s="11"/>
      <c r="T117" s="414" t="str">
        <f t="shared" si="0"/>
        <v>15</v>
      </c>
    </row>
    <row r="118" spans="1:20" ht="12" customHeight="1">
      <c r="C118" s="224"/>
      <c r="D118" s="22"/>
      <c r="G118" s="11"/>
      <c r="T118" s="414" t="str">
        <f t="shared" si="0"/>
        <v>16</v>
      </c>
    </row>
    <row r="119" spans="1:20" ht="12" customHeight="1">
      <c r="A119" s="7" t="s">
        <v>5</v>
      </c>
      <c r="B119" s="205">
        <v>118900</v>
      </c>
      <c r="C119" s="225" t="str">
        <f>VLOOKUP($B:$B,RAW!$A:$B,2,0)</f>
        <v>자본총계</v>
      </c>
      <c r="D119" s="25">
        <f>SUM(D97,D101,D105,D110,D114)</f>
        <v>0</v>
      </c>
      <c r="G119" s="11"/>
      <c r="T119" s="414" t="str">
        <f t="shared" si="0"/>
        <v>17</v>
      </c>
    </row>
    <row r="120" spans="1:20" ht="12" customHeight="1">
      <c r="A120" s="7" t="s">
        <v>6</v>
      </c>
      <c r="B120" s="205">
        <v>119000</v>
      </c>
      <c r="C120" s="226" t="str">
        <f>VLOOKUP($B:$B,RAW!$A:$B,2,0)</f>
        <v>부채와자본총계</v>
      </c>
      <c r="D120" s="25">
        <f>SUM(D96,D119)</f>
        <v>0</v>
      </c>
      <c r="E120" s="33"/>
      <c r="F120" s="33"/>
      <c r="G120" s="34"/>
      <c r="T120" s="414" t="str">
        <f t="shared" si="0"/>
        <v>18</v>
      </c>
    </row>
    <row r="121" spans="1:20" ht="12" customHeight="1">
      <c r="T121" s="414" t="str">
        <f t="shared" si="0"/>
        <v>19</v>
      </c>
    </row>
    <row r="122" spans="1:20" ht="12" customHeight="1">
      <c r="T122" s="414" t="str">
        <f t="shared" si="0"/>
        <v>20</v>
      </c>
    </row>
    <row r="123" spans="1:20" s="35" customFormat="1" ht="12" customHeight="1">
      <c r="A123" s="35" t="s">
        <v>1436</v>
      </c>
      <c r="B123" s="128"/>
      <c r="C123" s="491"/>
      <c r="D123" s="498" t="str">
        <f>IF(G123=G124,"당기 손익 일치","당기 손익 불일치")</f>
        <v>당기 손익 일치</v>
      </c>
      <c r="E123" s="499"/>
      <c r="F123" s="499"/>
      <c r="G123" s="51"/>
      <c r="T123" s="414" t="str">
        <f t="shared" si="0"/>
        <v>21</v>
      </c>
    </row>
    <row r="124" spans="1:20" s="36" customFormat="1" ht="12" customHeight="1">
      <c r="B124" s="130"/>
      <c r="C124" s="492"/>
      <c r="D124" s="500"/>
      <c r="E124" s="501"/>
      <c r="F124" s="501"/>
      <c r="G124" s="52">
        <f>D299</f>
        <v>0</v>
      </c>
      <c r="T124" s="414" t="str">
        <f t="shared" si="0"/>
        <v>22</v>
      </c>
    </row>
    <row r="125" spans="1:20" s="35" customFormat="1">
      <c r="A125" s="35" t="s">
        <v>7</v>
      </c>
      <c r="B125" s="200">
        <v>121000</v>
      </c>
      <c r="C125" s="227" t="str">
        <f>VLOOKUP($B:$B,RAW!$A:$B,2,0)</f>
        <v>매출액</v>
      </c>
      <c r="D125" s="180"/>
      <c r="G125" s="181"/>
      <c r="T125" s="414" t="str">
        <f t="shared" si="0"/>
        <v>23</v>
      </c>
    </row>
    <row r="126" spans="1:20" s="35" customFormat="1">
      <c r="A126" s="35" t="s">
        <v>8</v>
      </c>
      <c r="B126" s="205">
        <v>122000</v>
      </c>
      <c r="C126" s="227" t="str">
        <f>VLOOKUP($B:$B,RAW!$A:$B,2,0)</f>
        <v>매출원가</v>
      </c>
      <c r="D126" s="180"/>
      <c r="G126" s="181"/>
      <c r="T126" s="414" t="str">
        <f t="shared" si="0"/>
        <v>24</v>
      </c>
    </row>
    <row r="127" spans="1:20" s="35" customFormat="1">
      <c r="A127" s="35" t="s">
        <v>9</v>
      </c>
      <c r="B127" s="205">
        <v>123000</v>
      </c>
      <c r="C127" s="227" t="str">
        <f>VLOOKUP($B:$B,RAW!$A:$B,2,0)</f>
        <v>매출총이익(손실)</v>
      </c>
      <c r="D127" s="39">
        <f>D125-D126</f>
        <v>0</v>
      </c>
      <c r="G127" s="53"/>
      <c r="T127" s="414" t="str">
        <f t="shared" si="0"/>
        <v>25</v>
      </c>
    </row>
    <row r="128" spans="1:20" s="35" customFormat="1">
      <c r="A128" s="35" t="s">
        <v>10</v>
      </c>
      <c r="B128" s="205">
        <v>124000</v>
      </c>
      <c r="C128" s="228" t="str">
        <f>VLOOKUP($B:$B,RAW!$A:$B,2,0)</f>
        <v>판매비와관리비</v>
      </c>
      <c r="D128" s="40">
        <f>SUM(D129:D176)</f>
        <v>0</v>
      </c>
      <c r="G128" s="53"/>
      <c r="T128" s="414" t="str">
        <f t="shared" si="0"/>
        <v>26</v>
      </c>
    </row>
    <row r="129" spans="1:20" s="35" customFormat="1">
      <c r="A129" s="35" t="s">
        <v>197</v>
      </c>
      <c r="B129" s="202">
        <v>124110</v>
      </c>
      <c r="C129" s="238" t="str">
        <f>VLOOKUP($B:$B,RAW!$A:$B,2,0)</f>
        <v>임원급여</v>
      </c>
      <c r="D129" s="38"/>
      <c r="E129" s="41"/>
      <c r="F129" s="7"/>
      <c r="G129" s="11"/>
      <c r="J129" s="35" t="s">
        <v>598</v>
      </c>
      <c r="T129" s="414" t="str">
        <f t="shared" si="0"/>
        <v>27</v>
      </c>
    </row>
    <row r="130" spans="1:20" s="35" customFormat="1">
      <c r="A130" s="35" t="s">
        <v>144</v>
      </c>
      <c r="B130" s="202">
        <v>124120</v>
      </c>
      <c r="C130" s="238" t="str">
        <f>VLOOKUP($B:$B,RAW!$A:$B,2,0)</f>
        <v>급료와임금</v>
      </c>
      <c r="D130" s="38"/>
      <c r="E130" s="41"/>
      <c r="F130" s="42"/>
      <c r="G130" s="18"/>
      <c r="J130" s="35" t="s">
        <v>599</v>
      </c>
      <c r="K130" s="35" t="s">
        <v>1704</v>
      </c>
      <c r="L130" s="35" t="s">
        <v>1733</v>
      </c>
      <c r="T130" s="414" t="str">
        <f t="shared" si="0"/>
        <v>28</v>
      </c>
    </row>
    <row r="131" spans="1:20" s="35" customFormat="1">
      <c r="A131" s="35" t="s">
        <v>236</v>
      </c>
      <c r="B131" s="202">
        <v>124130</v>
      </c>
      <c r="C131" s="238" t="str">
        <f>VLOOKUP($B:$B,RAW!$A:$B,2,0)</f>
        <v>제수당</v>
      </c>
      <c r="D131" s="38"/>
      <c r="E131" s="41"/>
      <c r="F131" s="7"/>
      <c r="G131" s="11"/>
      <c r="J131" s="35" t="s">
        <v>600</v>
      </c>
      <c r="T131" s="414" t="str">
        <f t="shared" si="0"/>
        <v>29</v>
      </c>
    </row>
    <row r="132" spans="1:20" s="35" customFormat="1">
      <c r="A132" s="35" t="s">
        <v>198</v>
      </c>
      <c r="B132" s="202">
        <v>124140</v>
      </c>
      <c r="C132" s="238" t="str">
        <f>VLOOKUP($B:$B,RAW!$A:$B,2,0)</f>
        <v>상여금</v>
      </c>
      <c r="D132" s="38"/>
      <c r="E132" s="41"/>
      <c r="F132" s="7"/>
      <c r="G132" s="11"/>
      <c r="J132" s="35" t="s">
        <v>601</v>
      </c>
      <c r="T132" s="414" t="str">
        <f t="shared" si="0"/>
        <v>30</v>
      </c>
    </row>
    <row r="133" spans="1:20" s="35" customFormat="1">
      <c r="A133" s="35" t="s">
        <v>145</v>
      </c>
      <c r="B133" s="202">
        <v>124150</v>
      </c>
      <c r="C133" s="238" t="str">
        <f>VLOOKUP($B:$B,RAW!$A:$B,2,0)</f>
        <v>퇴직급여충당금전입액</v>
      </c>
      <c r="D133" s="38"/>
      <c r="E133" s="41"/>
      <c r="F133" s="7"/>
      <c r="G133" s="11"/>
      <c r="J133" s="35" t="s">
        <v>602</v>
      </c>
      <c r="K133" s="35" t="s">
        <v>1705</v>
      </c>
      <c r="L133" s="35" t="s">
        <v>1726</v>
      </c>
      <c r="T133" s="414" t="str">
        <f t="shared" si="0"/>
        <v>31</v>
      </c>
    </row>
    <row r="134" spans="1:20" s="35" customFormat="1">
      <c r="A134" s="35" t="s">
        <v>237</v>
      </c>
      <c r="B134" s="202">
        <v>124160</v>
      </c>
      <c r="C134" s="238" t="str">
        <f>VLOOKUP($B:$B,RAW!$A:$B,2,0)</f>
        <v>퇴직금</v>
      </c>
      <c r="D134" s="38"/>
      <c r="E134" s="41"/>
      <c r="F134" s="7"/>
      <c r="G134" s="11"/>
      <c r="J134" s="35" t="s">
        <v>603</v>
      </c>
      <c r="T134" s="414" t="str">
        <f t="shared" si="0"/>
        <v>32</v>
      </c>
    </row>
    <row r="135" spans="1:20" s="35" customFormat="1">
      <c r="A135" s="35" t="s">
        <v>146</v>
      </c>
      <c r="B135" s="202">
        <v>124170</v>
      </c>
      <c r="C135" s="238" t="str">
        <f>VLOOKUP($B:$B,RAW!$A:$B,2,0)</f>
        <v>복리후생비</v>
      </c>
      <c r="D135" s="38"/>
      <c r="E135" s="41"/>
      <c r="F135" s="7"/>
      <c r="G135" s="11"/>
      <c r="J135" s="35" t="s">
        <v>604</v>
      </c>
      <c r="T135" s="414" t="str">
        <f t="shared" ref="T135:T166" si="1">TEXT(T35,"0")</f>
        <v>33</v>
      </c>
    </row>
    <row r="136" spans="1:20" s="35" customFormat="1">
      <c r="A136" s="35" t="s">
        <v>238</v>
      </c>
      <c r="B136" s="202">
        <v>124180</v>
      </c>
      <c r="C136" s="238" t="str">
        <f>VLOOKUP($B:$B,RAW!$A:$B,2,0)</f>
        <v>주식보상비용</v>
      </c>
      <c r="D136" s="38"/>
      <c r="E136" s="41"/>
      <c r="F136" s="7"/>
      <c r="G136" s="11"/>
      <c r="J136" s="35" t="s">
        <v>605</v>
      </c>
      <c r="T136" s="414" t="str">
        <f t="shared" si="1"/>
        <v>34</v>
      </c>
    </row>
    <row r="137" spans="1:20" s="35" customFormat="1">
      <c r="A137" s="35" t="s">
        <v>239</v>
      </c>
      <c r="B137" s="202">
        <v>124199</v>
      </c>
      <c r="C137" s="238" t="str">
        <f>VLOOKUP($B:$B,RAW!$A:$B,2,0)</f>
        <v>기타인건비</v>
      </c>
      <c r="D137" s="38"/>
      <c r="E137" s="41"/>
      <c r="F137" s="7"/>
      <c r="G137" s="11"/>
      <c r="J137" s="35" t="s">
        <v>606</v>
      </c>
      <c r="T137" s="414" t="str">
        <f t="shared" si="1"/>
        <v>35</v>
      </c>
    </row>
    <row r="138" spans="1:20" s="35" customFormat="1">
      <c r="A138" s="35" t="s">
        <v>147</v>
      </c>
      <c r="B138" s="202">
        <v>124211</v>
      </c>
      <c r="C138" s="238" t="str">
        <f>VLOOKUP($B:$B,RAW!$A:$B,2,0)</f>
        <v>여비교통비</v>
      </c>
      <c r="D138" s="38"/>
      <c r="E138" s="41"/>
      <c r="F138" s="7"/>
      <c r="G138" s="11"/>
      <c r="J138" s="35" t="s">
        <v>607</v>
      </c>
      <c r="T138" s="414" t="str">
        <f t="shared" si="1"/>
        <v>36</v>
      </c>
    </row>
    <row r="139" spans="1:20" s="35" customFormat="1">
      <c r="A139" s="35" t="s">
        <v>148</v>
      </c>
      <c r="B139" s="202">
        <v>124212</v>
      </c>
      <c r="C139" s="238" t="str">
        <f>VLOOKUP($B:$B,RAW!$A:$B,2,0)</f>
        <v>통신비</v>
      </c>
      <c r="D139" s="41"/>
      <c r="E139" s="41"/>
      <c r="F139" s="7"/>
      <c r="G139" s="11"/>
      <c r="J139" s="35" t="s">
        <v>608</v>
      </c>
      <c r="T139" s="414" t="str">
        <f t="shared" si="1"/>
        <v>37</v>
      </c>
    </row>
    <row r="140" spans="1:20" s="35" customFormat="1">
      <c r="A140" s="35" t="s">
        <v>149</v>
      </c>
      <c r="B140" s="202">
        <v>124213</v>
      </c>
      <c r="C140" s="238" t="str">
        <f>VLOOKUP($B:$B,RAW!$A:$B,2,0)</f>
        <v>수도광열비</v>
      </c>
      <c r="D140" s="41"/>
      <c r="E140" s="41"/>
      <c r="F140" s="7"/>
      <c r="G140" s="11"/>
      <c r="J140" s="35" t="s">
        <v>609</v>
      </c>
      <c r="K140" s="35" t="s">
        <v>1729</v>
      </c>
      <c r="T140" s="414" t="str">
        <f t="shared" si="1"/>
        <v>38</v>
      </c>
    </row>
    <row r="141" spans="1:20" s="35" customFormat="1">
      <c r="A141" s="35" t="s">
        <v>150</v>
      </c>
      <c r="B141" s="202">
        <v>124214</v>
      </c>
      <c r="C141" s="238" t="str">
        <f>VLOOKUP($B:$B,RAW!$A:$B,2,0)</f>
        <v>세금과공과</v>
      </c>
      <c r="D141" s="38"/>
      <c r="E141" s="41"/>
      <c r="F141" s="42"/>
      <c r="G141" s="11"/>
      <c r="J141" s="35" t="s">
        <v>610</v>
      </c>
      <c r="K141" s="35" t="s">
        <v>1706</v>
      </c>
      <c r="T141" s="414" t="str">
        <f t="shared" si="1"/>
        <v>39</v>
      </c>
    </row>
    <row r="142" spans="1:20" s="35" customFormat="1">
      <c r="A142" s="35" t="s">
        <v>199</v>
      </c>
      <c r="B142" s="202">
        <v>124215</v>
      </c>
      <c r="C142" s="238" t="str">
        <f>VLOOKUP($B:$B,RAW!$A:$B,2,0)</f>
        <v>임차료비용</v>
      </c>
      <c r="D142" s="41"/>
      <c r="E142" s="41"/>
      <c r="F142" s="7"/>
      <c r="G142" s="11"/>
      <c r="J142" s="35" t="s">
        <v>611</v>
      </c>
      <c r="K142" s="35" t="s">
        <v>1707</v>
      </c>
      <c r="T142" s="414" t="str">
        <f t="shared" si="1"/>
        <v>40</v>
      </c>
    </row>
    <row r="143" spans="1:20" s="35" customFormat="1">
      <c r="A143" s="35" t="s">
        <v>151</v>
      </c>
      <c r="B143" s="202">
        <v>124216</v>
      </c>
      <c r="C143" s="238" t="str">
        <f>VLOOKUP($B:$B,RAW!$A:$B,2,0)</f>
        <v>감가상각비</v>
      </c>
      <c r="D143" s="38"/>
      <c r="E143" s="41"/>
      <c r="F143" s="7"/>
      <c r="G143" s="11"/>
      <c r="J143" s="35" t="s">
        <v>612</v>
      </c>
      <c r="T143" s="414" t="str">
        <f t="shared" si="1"/>
        <v>41</v>
      </c>
    </row>
    <row r="144" spans="1:20" s="35" customFormat="1">
      <c r="A144" s="35" t="s">
        <v>152</v>
      </c>
      <c r="B144" s="202">
        <v>124217</v>
      </c>
      <c r="C144" s="238" t="str">
        <f>VLOOKUP($B:$B,RAW!$A:$B,2,0)</f>
        <v>수선비</v>
      </c>
      <c r="D144" s="41"/>
      <c r="E144" s="41"/>
      <c r="F144" s="7"/>
      <c r="G144" s="11"/>
      <c r="J144" s="35" t="s">
        <v>613</v>
      </c>
      <c r="T144" s="414" t="str">
        <f t="shared" si="1"/>
        <v>42</v>
      </c>
    </row>
    <row r="145" spans="1:20" s="35" customFormat="1">
      <c r="A145" s="35" t="s">
        <v>153</v>
      </c>
      <c r="B145" s="202">
        <v>124218</v>
      </c>
      <c r="C145" s="238" t="str">
        <f>VLOOKUP($B:$B,RAW!$A:$B,2,0)</f>
        <v>보험료</v>
      </c>
      <c r="D145" s="41"/>
      <c r="E145" s="41"/>
      <c r="F145" s="7"/>
      <c r="G145" s="11"/>
      <c r="J145" s="35" t="s">
        <v>614</v>
      </c>
      <c r="T145" s="414" t="str">
        <f t="shared" si="1"/>
        <v>43</v>
      </c>
    </row>
    <row r="146" spans="1:20" s="35" customFormat="1">
      <c r="A146" s="35" t="s">
        <v>240</v>
      </c>
      <c r="B146" s="202">
        <v>124219</v>
      </c>
      <c r="C146" s="238" t="str">
        <f>VLOOKUP($B:$B,RAW!$A:$B,2,0)</f>
        <v>도서구입비</v>
      </c>
      <c r="D146" s="38"/>
      <c r="E146" s="41"/>
      <c r="F146" s="7"/>
      <c r="G146" s="11"/>
      <c r="J146" s="35" t="s">
        <v>615</v>
      </c>
      <c r="T146" s="414" t="str">
        <f t="shared" si="1"/>
        <v>44</v>
      </c>
    </row>
    <row r="147" spans="1:20" s="35" customFormat="1">
      <c r="A147" s="35" t="s">
        <v>154</v>
      </c>
      <c r="B147" s="202">
        <v>124220</v>
      </c>
      <c r="C147" s="238" t="str">
        <f>VLOOKUP($B:$B,RAW!$A:$B,2,0)</f>
        <v>소모품비</v>
      </c>
      <c r="D147" s="41"/>
      <c r="E147" s="41"/>
      <c r="F147" s="7"/>
      <c r="G147" s="11"/>
      <c r="J147" s="35" t="s">
        <v>616</v>
      </c>
      <c r="K147" s="35" t="s">
        <v>1709</v>
      </c>
      <c r="T147" s="414" t="str">
        <f t="shared" si="1"/>
        <v>45</v>
      </c>
    </row>
    <row r="148" spans="1:20" s="35" customFormat="1">
      <c r="A148" s="35" t="s">
        <v>155</v>
      </c>
      <c r="B148" s="202">
        <v>124221</v>
      </c>
      <c r="C148" s="238" t="str">
        <f>VLOOKUP($B:$B,RAW!$A:$B,2,0)</f>
        <v>도서인쇄비</v>
      </c>
      <c r="D148" s="41"/>
      <c r="E148" s="41"/>
      <c r="G148" s="53"/>
      <c r="J148" s="35" t="s">
        <v>617</v>
      </c>
      <c r="T148" s="414" t="str">
        <f t="shared" si="1"/>
        <v>46</v>
      </c>
    </row>
    <row r="149" spans="1:20" s="35" customFormat="1">
      <c r="A149" s="35" t="s">
        <v>156</v>
      </c>
      <c r="B149" s="202">
        <v>124222</v>
      </c>
      <c r="C149" s="238" t="str">
        <f>VLOOKUP($B:$B,RAW!$A:$B,2,0)</f>
        <v>차량유지비</v>
      </c>
      <c r="D149" s="41"/>
      <c r="E149" s="41"/>
      <c r="F149" s="7"/>
      <c r="G149" s="11"/>
      <c r="J149" s="35" t="s">
        <v>618</v>
      </c>
      <c r="T149" s="414" t="str">
        <f t="shared" si="1"/>
        <v>47</v>
      </c>
    </row>
    <row r="150" spans="1:20" s="35" customFormat="1">
      <c r="A150" s="35" t="s">
        <v>157</v>
      </c>
      <c r="B150" s="202">
        <v>124223</v>
      </c>
      <c r="C150" s="238" t="str">
        <f>VLOOKUP($B:$B,RAW!$A:$B,2,0)</f>
        <v>교육훈련비</v>
      </c>
      <c r="D150" s="38"/>
      <c r="E150" s="41"/>
      <c r="F150" s="7"/>
      <c r="G150" s="11"/>
      <c r="J150" s="35" t="s">
        <v>619</v>
      </c>
      <c r="T150" s="414" t="str">
        <f t="shared" si="1"/>
        <v>48</v>
      </c>
    </row>
    <row r="151" spans="1:20" s="35" customFormat="1">
      <c r="A151" s="35" t="s">
        <v>158</v>
      </c>
      <c r="B151" s="202">
        <v>124224</v>
      </c>
      <c r="C151" s="238" t="str">
        <f>VLOOKUP($B:$B,RAW!$A:$B,2,0)</f>
        <v>수수료비용</v>
      </c>
      <c r="D151" s="38"/>
      <c r="E151" s="41"/>
      <c r="G151" s="53"/>
      <c r="J151" s="35" t="s">
        <v>774</v>
      </c>
      <c r="K151" s="35" t="s">
        <v>1710</v>
      </c>
      <c r="L151" s="35" t="s">
        <v>1727</v>
      </c>
      <c r="M151" s="35" t="s">
        <v>1728</v>
      </c>
      <c r="N151" s="35" t="s">
        <v>1734</v>
      </c>
      <c r="T151" s="414" t="str">
        <f t="shared" si="1"/>
        <v>49</v>
      </c>
    </row>
    <row r="152" spans="1:20" s="35" customFormat="1">
      <c r="A152" s="35" t="s">
        <v>200</v>
      </c>
      <c r="B152" s="202">
        <v>124226</v>
      </c>
      <c r="C152" s="238" t="str">
        <f>VLOOKUP($B:$B,RAW!$A:$B,2,0)</f>
        <v>리스료</v>
      </c>
      <c r="D152" s="38"/>
      <c r="E152" s="41"/>
      <c r="F152" s="7"/>
      <c r="G152" s="11"/>
      <c r="J152" s="35" t="s">
        <v>620</v>
      </c>
      <c r="K152" s="35" t="s">
        <v>1732</v>
      </c>
      <c r="T152" s="414" t="str">
        <f t="shared" si="1"/>
        <v>50</v>
      </c>
    </row>
    <row r="153" spans="1:20" s="35" customFormat="1">
      <c r="A153" s="35" t="s">
        <v>241</v>
      </c>
      <c r="B153" s="202">
        <v>124227</v>
      </c>
      <c r="C153" s="238" t="str">
        <f>VLOOKUP($B:$B,RAW!$A:$B,2,0)</f>
        <v>전산처리비</v>
      </c>
      <c r="D153" s="38"/>
      <c r="E153" s="41"/>
      <c r="G153" s="53"/>
      <c r="J153" s="35" t="s">
        <v>621</v>
      </c>
      <c r="T153" s="414" t="str">
        <f t="shared" si="1"/>
        <v>51</v>
      </c>
    </row>
    <row r="154" spans="1:20" s="35" customFormat="1">
      <c r="A154" s="35" t="s">
        <v>242</v>
      </c>
      <c r="B154" s="202">
        <v>124228</v>
      </c>
      <c r="C154" s="238" t="str">
        <f>VLOOKUP($B:$B,RAW!$A:$B,2,0)</f>
        <v>하자보수비</v>
      </c>
      <c r="D154" s="38"/>
      <c r="E154" s="41"/>
      <c r="F154" s="7"/>
      <c r="G154" s="11"/>
      <c r="J154" s="35" t="s">
        <v>622</v>
      </c>
      <c r="T154" s="414" t="str">
        <f t="shared" si="1"/>
        <v>52</v>
      </c>
    </row>
    <row r="155" spans="1:20" s="35" customFormat="1">
      <c r="A155" s="35" t="s">
        <v>243</v>
      </c>
      <c r="B155" s="202">
        <v>124225</v>
      </c>
      <c r="C155" s="238" t="str">
        <f>VLOOKUP($B:$B,RAW!$A:$B,2,0)</f>
        <v>기타관리비</v>
      </c>
      <c r="D155" s="38"/>
      <c r="E155" s="41"/>
      <c r="G155" s="53"/>
      <c r="J155" s="35" t="s">
        <v>623</v>
      </c>
      <c r="K155" s="35" t="s">
        <v>1731</v>
      </c>
      <c r="T155" s="414" t="str">
        <f t="shared" si="1"/>
        <v>53</v>
      </c>
    </row>
    <row r="156" spans="1:20" s="35" customFormat="1">
      <c r="A156" s="35" t="s">
        <v>159</v>
      </c>
      <c r="B156" s="202">
        <v>124311</v>
      </c>
      <c r="C156" s="238" t="str">
        <f>VLOOKUP($B:$B,RAW!$A:$B,2,0)</f>
        <v>접대비</v>
      </c>
      <c r="D156" s="38"/>
      <c r="E156" s="41"/>
      <c r="F156" s="7"/>
      <c r="G156" s="11"/>
      <c r="J156" s="35" t="s">
        <v>624</v>
      </c>
      <c r="T156" s="414" t="str">
        <f t="shared" si="1"/>
        <v>54</v>
      </c>
    </row>
    <row r="157" spans="1:20" s="35" customFormat="1">
      <c r="A157" s="35" t="s">
        <v>160</v>
      </c>
      <c r="B157" s="202">
        <v>124312</v>
      </c>
      <c r="C157" s="238" t="str">
        <f>VLOOKUP($B:$B,RAW!$A:$B,2,0)</f>
        <v>광고선전비</v>
      </c>
      <c r="D157" s="38"/>
      <c r="E157" s="41"/>
      <c r="F157" s="7"/>
      <c r="G157" s="11"/>
      <c r="J157" s="35" t="s">
        <v>625</v>
      </c>
      <c r="T157" s="414" t="str">
        <f t="shared" si="1"/>
        <v>55</v>
      </c>
    </row>
    <row r="158" spans="1:20" s="35" customFormat="1">
      <c r="A158" s="35" t="s">
        <v>244</v>
      </c>
      <c r="B158" s="202">
        <v>124313</v>
      </c>
      <c r="C158" s="238" t="str">
        <f>VLOOKUP($B:$B,RAW!$A:$B,2,0)</f>
        <v>보관료</v>
      </c>
      <c r="D158" s="38"/>
      <c r="E158" s="41"/>
      <c r="F158" s="7"/>
      <c r="G158" s="11"/>
      <c r="J158" s="35" t="s">
        <v>626</v>
      </c>
      <c r="T158" s="414" t="str">
        <f t="shared" si="1"/>
        <v>56</v>
      </c>
    </row>
    <row r="159" spans="1:20" s="35" customFormat="1">
      <c r="A159" s="35" t="s">
        <v>201</v>
      </c>
      <c r="B159" s="202">
        <v>124314</v>
      </c>
      <c r="C159" s="238" t="str">
        <f>VLOOKUP($B:$B,RAW!$A:$B,2,0)</f>
        <v>견본비</v>
      </c>
      <c r="D159" s="38"/>
      <c r="E159" s="41"/>
      <c r="F159" s="7"/>
      <c r="G159" s="11"/>
      <c r="J159" s="35" t="s">
        <v>627</v>
      </c>
      <c r="T159" s="414" t="str">
        <f t="shared" si="1"/>
        <v>57</v>
      </c>
    </row>
    <row r="160" spans="1:20" s="35" customFormat="1">
      <c r="A160" s="35" t="s">
        <v>245</v>
      </c>
      <c r="B160" s="202">
        <v>124315</v>
      </c>
      <c r="C160" s="238" t="str">
        <f>VLOOKUP($B:$B,RAW!$A:$B,2,0)</f>
        <v>포장비</v>
      </c>
      <c r="D160" s="38"/>
      <c r="E160" s="41"/>
      <c r="F160" s="7"/>
      <c r="G160" s="11"/>
      <c r="J160" s="35" t="s">
        <v>628</v>
      </c>
      <c r="T160" s="414" t="str">
        <f t="shared" si="1"/>
        <v>58</v>
      </c>
    </row>
    <row r="161" spans="1:20" s="35" customFormat="1">
      <c r="A161" s="35" t="s">
        <v>161</v>
      </c>
      <c r="B161" s="202">
        <v>124316</v>
      </c>
      <c r="C161" s="238" t="str">
        <f>VLOOKUP($B:$B,RAW!$A:$B,2,0)</f>
        <v>운반비</v>
      </c>
      <c r="D161" s="41"/>
      <c r="E161" s="41"/>
      <c r="F161" s="7"/>
      <c r="G161" s="11"/>
      <c r="J161" s="35" t="s">
        <v>629</v>
      </c>
      <c r="K161" s="35" t="s">
        <v>1708</v>
      </c>
      <c r="T161" s="414" t="str">
        <f t="shared" si="1"/>
        <v>59</v>
      </c>
    </row>
    <row r="162" spans="1:20" s="35" customFormat="1">
      <c r="A162" s="35" t="s">
        <v>246</v>
      </c>
      <c r="B162" s="202">
        <v>124317</v>
      </c>
      <c r="C162" s="238" t="str">
        <f>VLOOKUP($B:$B,RAW!$A:$B,2,0)</f>
        <v>판매수수료</v>
      </c>
      <c r="D162" s="38"/>
      <c r="E162" s="41"/>
      <c r="F162" s="7"/>
      <c r="G162" s="11"/>
      <c r="J162" s="35" t="s">
        <v>630</v>
      </c>
      <c r="T162" s="414" t="str">
        <f t="shared" si="1"/>
        <v>60</v>
      </c>
    </row>
    <row r="163" spans="1:20" s="35" customFormat="1">
      <c r="A163" s="35" t="s">
        <v>247</v>
      </c>
      <c r="B163" s="202">
        <v>124319</v>
      </c>
      <c r="C163" s="238" t="str">
        <f>VLOOKUP($B:$B,RAW!$A:$B,2,0)</f>
        <v>판매촉진비</v>
      </c>
      <c r="D163" s="38"/>
      <c r="E163" s="41"/>
      <c r="F163" s="7"/>
      <c r="G163" s="11"/>
      <c r="J163" s="35" t="s">
        <v>631</v>
      </c>
      <c r="T163" s="414" t="str">
        <f t="shared" si="1"/>
        <v>61</v>
      </c>
    </row>
    <row r="164" spans="1:20" s="35" customFormat="1">
      <c r="A164" s="35" t="s">
        <v>248</v>
      </c>
      <c r="B164" s="202">
        <v>124318</v>
      </c>
      <c r="C164" s="238" t="str">
        <f>VLOOKUP($B:$B,RAW!$A:$B,2,0)</f>
        <v>해외시장개척비</v>
      </c>
      <c r="D164" s="38"/>
      <c r="E164" s="41"/>
      <c r="F164" s="7"/>
      <c r="G164" s="11"/>
      <c r="J164" s="35" t="s">
        <v>632</v>
      </c>
      <c r="T164" s="414" t="str">
        <f t="shared" si="1"/>
        <v>62</v>
      </c>
    </row>
    <row r="165" spans="1:20" s="35" customFormat="1">
      <c r="A165" s="35" t="s">
        <v>202</v>
      </c>
      <c r="B165" s="202">
        <v>124320</v>
      </c>
      <c r="C165" s="238" t="str">
        <f>VLOOKUP($B:$B,RAW!$A:$B,2,0)</f>
        <v>수출비용</v>
      </c>
      <c r="D165" s="38"/>
      <c r="E165" s="41"/>
      <c r="F165" s="7"/>
      <c r="G165" s="11"/>
      <c r="J165" s="35" t="s">
        <v>633</v>
      </c>
      <c r="T165" s="414" t="str">
        <f t="shared" si="1"/>
        <v>63</v>
      </c>
    </row>
    <row r="166" spans="1:20" s="35" customFormat="1">
      <c r="A166" s="35" t="s">
        <v>249</v>
      </c>
      <c r="B166" s="202">
        <v>124322</v>
      </c>
      <c r="C166" s="238" t="str">
        <f>VLOOKUP($B:$B,RAW!$A:$B,2,0)</f>
        <v>A/S비</v>
      </c>
      <c r="D166" s="38"/>
      <c r="E166" s="41"/>
      <c r="F166" s="7"/>
      <c r="G166" s="11"/>
      <c r="J166" s="35" t="s">
        <v>634</v>
      </c>
      <c r="T166" s="414" t="str">
        <f t="shared" si="1"/>
        <v>64</v>
      </c>
    </row>
    <row r="167" spans="1:20" s="35" customFormat="1">
      <c r="A167" s="35" t="s">
        <v>250</v>
      </c>
      <c r="B167" s="202">
        <v>124323</v>
      </c>
      <c r="C167" s="238" t="str">
        <f>VLOOKUP($B:$B,RAW!$A:$B,2,0)</f>
        <v>반품충당부채전입액</v>
      </c>
      <c r="D167" s="38"/>
      <c r="E167" s="41"/>
      <c r="F167" s="7"/>
      <c r="G167" s="11"/>
      <c r="J167" s="35" t="s">
        <v>635</v>
      </c>
      <c r="T167" s="414" t="str">
        <f t="shared" ref="T167:T198" si="2">TEXT(T67,"0")</f>
        <v>65</v>
      </c>
    </row>
    <row r="168" spans="1:20" s="35" customFormat="1">
      <c r="A168" s="35" t="s">
        <v>251</v>
      </c>
      <c r="B168" s="202">
        <v>124321</v>
      </c>
      <c r="C168" s="238" t="str">
        <f>VLOOKUP($B:$B,RAW!$A:$B,2,0)</f>
        <v>기타판매비</v>
      </c>
      <c r="D168" s="38"/>
      <c r="E168" s="41"/>
      <c r="F168" s="7"/>
      <c r="G168" s="11"/>
      <c r="J168" s="35" t="s">
        <v>636</v>
      </c>
      <c r="K168" s="35" t="s">
        <v>1730</v>
      </c>
      <c r="T168" s="414" t="str">
        <f t="shared" si="2"/>
        <v>66</v>
      </c>
    </row>
    <row r="169" spans="1:20" s="35" customFormat="1">
      <c r="A169" s="35" t="s">
        <v>252</v>
      </c>
      <c r="B169" s="202">
        <v>124406</v>
      </c>
      <c r="C169" s="238" t="str">
        <f>VLOOKUP($B:$B,RAW!$A:$B,2,0)</f>
        <v>연구비</v>
      </c>
      <c r="D169" s="38"/>
      <c r="E169" s="41"/>
      <c r="G169" s="53"/>
      <c r="J169" s="35" t="s">
        <v>637</v>
      </c>
      <c r="T169" s="414" t="str">
        <f t="shared" si="2"/>
        <v>67</v>
      </c>
    </row>
    <row r="170" spans="1:20" s="35" customFormat="1">
      <c r="A170" s="35" t="s">
        <v>203</v>
      </c>
      <c r="B170" s="202">
        <v>124410</v>
      </c>
      <c r="C170" s="238" t="str">
        <f>VLOOKUP($B:$B,RAW!$A:$B,2,0)</f>
        <v>경상연구개발비</v>
      </c>
      <c r="D170" s="38"/>
      <c r="E170" s="41"/>
      <c r="F170" s="7"/>
      <c r="G170" s="11"/>
      <c r="J170" s="35" t="s">
        <v>638</v>
      </c>
      <c r="T170" s="414" t="str">
        <f t="shared" si="2"/>
        <v>68</v>
      </c>
    </row>
    <row r="171" spans="1:20" s="35" customFormat="1">
      <c r="A171" s="35" t="s">
        <v>33</v>
      </c>
      <c r="B171" s="202">
        <v>124420</v>
      </c>
      <c r="C171" s="238" t="str">
        <f>VLOOKUP($B:$B,RAW!$A:$B,2,0)</f>
        <v>경상개발비</v>
      </c>
      <c r="D171" s="38"/>
      <c r="E171" s="41"/>
      <c r="F171" s="7"/>
      <c r="G171" s="11"/>
      <c r="J171" s="35" t="s">
        <v>639</v>
      </c>
      <c r="T171" s="414" t="str">
        <f t="shared" si="2"/>
        <v>69</v>
      </c>
    </row>
    <row r="172" spans="1:20" s="35" customFormat="1">
      <c r="A172" s="35" t="s">
        <v>253</v>
      </c>
      <c r="B172" s="202">
        <v>124421</v>
      </c>
      <c r="C172" s="238" t="str">
        <f>VLOOKUP($B:$B,RAW!$A:$B,2,0)</f>
        <v>로얄티</v>
      </c>
      <c r="D172" s="38"/>
      <c r="E172" s="41"/>
      <c r="F172" s="7"/>
      <c r="G172" s="11"/>
      <c r="J172" s="35" t="s">
        <v>640</v>
      </c>
      <c r="T172" s="414" t="str">
        <f t="shared" si="2"/>
        <v>70</v>
      </c>
    </row>
    <row r="173" spans="1:20" s="35" customFormat="1">
      <c r="A173" s="35" t="s">
        <v>162</v>
      </c>
      <c r="B173" s="202">
        <v>124440</v>
      </c>
      <c r="C173" s="238" t="str">
        <f>VLOOKUP($B:$B,RAW!$A:$B,2,0)</f>
        <v>대손상각비</v>
      </c>
      <c r="D173" s="38"/>
      <c r="E173" s="41"/>
      <c r="F173" s="7"/>
      <c r="G173" s="11"/>
      <c r="J173" s="35" t="s">
        <v>641</v>
      </c>
      <c r="T173" s="414" t="str">
        <f t="shared" si="2"/>
        <v>71</v>
      </c>
    </row>
    <row r="174" spans="1:20" s="35" customFormat="1">
      <c r="A174" s="35" t="s">
        <v>34</v>
      </c>
      <c r="B174" s="202">
        <v>124450</v>
      </c>
      <c r="C174" s="238" t="str">
        <f>VLOOKUP($B:$B,RAW!$A:$B,2,0)</f>
        <v>무형자산상각비</v>
      </c>
      <c r="D174" s="38"/>
      <c r="E174" s="41"/>
      <c r="F174" s="7"/>
      <c r="G174" s="11"/>
      <c r="J174" s="35" t="s">
        <v>642</v>
      </c>
      <c r="T174" s="414" t="str">
        <f t="shared" si="2"/>
        <v>72</v>
      </c>
    </row>
    <row r="175" spans="1:20" s="35" customFormat="1">
      <c r="A175" s="35" t="s">
        <v>254</v>
      </c>
      <c r="B175" s="202">
        <v>124472</v>
      </c>
      <c r="C175" s="238" t="str">
        <f>VLOOKUP($B:$B,RAW!$A:$B,2,0)</f>
        <v>중간기간판매비와관리비조정</v>
      </c>
      <c r="D175" s="38"/>
      <c r="E175" s="41"/>
      <c r="F175" s="7"/>
      <c r="G175" s="11"/>
      <c r="J175" s="35" t="s">
        <v>643</v>
      </c>
      <c r="T175" s="414" t="str">
        <f t="shared" si="2"/>
        <v>73</v>
      </c>
    </row>
    <row r="176" spans="1:20" s="35" customFormat="1">
      <c r="A176" s="35" t="s">
        <v>19</v>
      </c>
      <c r="B176" s="202">
        <v>124460</v>
      </c>
      <c r="C176" s="238" t="str">
        <f>VLOOKUP($B:$B,RAW!$A:$B,2,0)</f>
        <v>기타</v>
      </c>
      <c r="D176" s="43">
        <f>SUM(E129:E176)</f>
        <v>0</v>
      </c>
      <c r="E176" s="41"/>
      <c r="G176" s="53"/>
      <c r="T176" s="414" t="str">
        <f t="shared" si="2"/>
        <v>74</v>
      </c>
    </row>
    <row r="177" spans="1:20" s="35" customFormat="1">
      <c r="A177" s="35" t="s">
        <v>11</v>
      </c>
      <c r="B177" s="205">
        <v>125000</v>
      </c>
      <c r="C177" s="228" t="str">
        <f>VLOOKUP($B:$B,RAW!$A:$B,2,0)</f>
        <v>영업이익(손실)</v>
      </c>
      <c r="D177" s="44">
        <f>D127-D128</f>
        <v>0</v>
      </c>
      <c r="G177" s="53"/>
      <c r="T177" s="414" t="str">
        <f t="shared" si="2"/>
        <v>75</v>
      </c>
    </row>
    <row r="178" spans="1:20" s="35" customFormat="1">
      <c r="A178" s="35" t="s">
        <v>12</v>
      </c>
      <c r="B178" s="205">
        <v>125100</v>
      </c>
      <c r="C178" s="230" t="str">
        <f>VLOOKUP($B:$B,RAW!$A:$B,2,0)</f>
        <v>영업외수익</v>
      </c>
      <c r="D178" s="46">
        <f>SUM(D180:D242)</f>
        <v>0</v>
      </c>
      <c r="G178" s="53"/>
      <c r="T178" s="414" t="str">
        <f t="shared" si="2"/>
        <v>76</v>
      </c>
    </row>
    <row r="179" spans="1:20" s="35" customFormat="1">
      <c r="A179" s="35" t="s">
        <v>1440</v>
      </c>
      <c r="B179" s="128"/>
      <c r="C179" s="230"/>
      <c r="D179" s="45"/>
      <c r="G179" s="53"/>
      <c r="T179" s="414" t="str">
        <f t="shared" si="2"/>
        <v>77</v>
      </c>
    </row>
    <row r="180" spans="1:20" s="35" customFormat="1">
      <c r="A180" s="35" t="s">
        <v>24</v>
      </c>
      <c r="B180" s="201">
        <v>125101</v>
      </c>
      <c r="C180" s="239" t="str">
        <f>VLOOKUP($B:$B,RAW!$A:$B,2,0)</f>
        <v>이자수익</v>
      </c>
      <c r="D180" s="38"/>
      <c r="E180" s="41"/>
      <c r="F180" s="126">
        <v>0</v>
      </c>
      <c r="G180" s="11"/>
      <c r="J180" s="35" t="s">
        <v>645</v>
      </c>
      <c r="T180" s="414" t="str">
        <f t="shared" si="2"/>
        <v>78</v>
      </c>
    </row>
    <row r="181" spans="1:20" s="35" customFormat="1">
      <c r="A181" s="35" t="s">
        <v>255</v>
      </c>
      <c r="B181" s="201">
        <v>125102</v>
      </c>
      <c r="C181" s="239" t="str">
        <f>VLOOKUP($B:$B,RAW!$A:$B,2,0)</f>
        <v>장단기투자증권이자수익</v>
      </c>
      <c r="D181" s="38"/>
      <c r="E181" s="41"/>
      <c r="F181" s="126">
        <v>1</v>
      </c>
      <c r="G181" s="11"/>
      <c r="J181" s="35" t="s">
        <v>646</v>
      </c>
      <c r="T181" s="414" t="str">
        <f t="shared" si="2"/>
        <v>79</v>
      </c>
    </row>
    <row r="182" spans="1:20" s="35" customFormat="1">
      <c r="A182" s="35" t="s">
        <v>26</v>
      </c>
      <c r="B182" s="201">
        <v>125103</v>
      </c>
      <c r="C182" s="239" t="str">
        <f>VLOOKUP($B:$B,RAW!$A:$B,2,0)</f>
        <v>배당금수익</v>
      </c>
      <c r="D182" s="38"/>
      <c r="E182" s="41"/>
      <c r="F182" s="126">
        <v>0</v>
      </c>
      <c r="G182" s="11"/>
      <c r="J182" s="35" t="s">
        <v>647</v>
      </c>
      <c r="T182" s="414" t="str">
        <f t="shared" si="2"/>
        <v>80</v>
      </c>
    </row>
    <row r="183" spans="1:20" s="35" customFormat="1">
      <c r="A183" s="35" t="s">
        <v>256</v>
      </c>
      <c r="B183" s="201">
        <v>125200</v>
      </c>
      <c r="C183" s="239" t="str">
        <f>VLOOKUP($B:$B,RAW!$A:$B,2,0)</f>
        <v>단기투자자산처분이익</v>
      </c>
      <c r="D183" s="38"/>
      <c r="E183" s="41"/>
      <c r="F183" s="126">
        <v>1</v>
      </c>
      <c r="G183" s="11"/>
      <c r="J183" s="35" t="s">
        <v>648</v>
      </c>
      <c r="T183" s="414" t="str">
        <f t="shared" si="2"/>
        <v>81</v>
      </c>
    </row>
    <row r="184" spans="1:20" s="35" customFormat="1">
      <c r="A184" s="35" t="s">
        <v>257</v>
      </c>
      <c r="B184" s="201">
        <v>125131</v>
      </c>
      <c r="C184" s="239" t="str">
        <f>VLOOKUP($B:$B,RAW!$A:$B,2,0)</f>
        <v>단기금융상품처분이익</v>
      </c>
      <c r="D184" s="38"/>
      <c r="E184" s="41"/>
      <c r="F184" s="126">
        <v>1</v>
      </c>
      <c r="G184" s="11"/>
      <c r="J184" s="35" t="s">
        <v>649</v>
      </c>
      <c r="T184" s="414" t="str">
        <f t="shared" si="2"/>
        <v>82</v>
      </c>
    </row>
    <row r="185" spans="1:20" s="35" customFormat="1">
      <c r="A185" s="35" t="s">
        <v>258</v>
      </c>
      <c r="B185" s="201">
        <v>125141</v>
      </c>
      <c r="C185" s="239" t="str">
        <f>VLOOKUP($B:$B,RAW!$A:$B,2,0)</f>
        <v>단기금융상품평가이익</v>
      </c>
      <c r="D185" s="38"/>
      <c r="E185" s="41"/>
      <c r="F185" s="126">
        <v>1</v>
      </c>
      <c r="G185" s="11"/>
      <c r="J185" s="35" t="s">
        <v>650</v>
      </c>
      <c r="T185" s="414" t="str">
        <f t="shared" si="2"/>
        <v>83</v>
      </c>
    </row>
    <row r="186" spans="1:20" s="35" customFormat="1">
      <c r="A186" s="35" t="s">
        <v>259</v>
      </c>
      <c r="B186" s="201">
        <v>125146</v>
      </c>
      <c r="C186" s="239" t="str">
        <f>VLOOKUP($B:$B,RAW!$A:$B,2,0)</f>
        <v>단기매매증권처분이익</v>
      </c>
      <c r="D186" s="37"/>
      <c r="E186" s="41"/>
      <c r="F186" s="126">
        <v>1</v>
      </c>
      <c r="G186" s="11"/>
      <c r="J186" s="35" t="s">
        <v>651</v>
      </c>
      <c r="T186" s="414" t="str">
        <f t="shared" si="2"/>
        <v>84</v>
      </c>
    </row>
    <row r="187" spans="1:20" s="35" customFormat="1">
      <c r="A187" s="35" t="s">
        <v>260</v>
      </c>
      <c r="B187" s="201">
        <v>125144</v>
      </c>
      <c r="C187" s="239" t="str">
        <f>VLOOKUP($B:$B,RAW!$A:$B,2,0)</f>
        <v>단기매매증권평가이익</v>
      </c>
      <c r="D187" s="37"/>
      <c r="E187" s="41"/>
      <c r="F187" s="125">
        <v>1</v>
      </c>
      <c r="G187" s="53"/>
      <c r="J187" s="35" t="s">
        <v>652</v>
      </c>
      <c r="T187" s="414" t="str">
        <f t="shared" si="2"/>
        <v>85</v>
      </c>
    </row>
    <row r="188" spans="1:20" s="35" customFormat="1">
      <c r="A188" s="35" t="s">
        <v>261</v>
      </c>
      <c r="B188" s="201">
        <v>125142</v>
      </c>
      <c r="C188" s="239" t="str">
        <f>VLOOKUP($B:$B,RAW!$A:$B,2,0)</f>
        <v>단기투자일임계약자산평가이익</v>
      </c>
      <c r="D188" s="37"/>
      <c r="E188" s="41"/>
      <c r="F188" s="126">
        <v>1</v>
      </c>
      <c r="G188" s="11"/>
      <c r="J188" s="35" t="s">
        <v>653</v>
      </c>
      <c r="T188" s="414" t="str">
        <f t="shared" si="2"/>
        <v>86</v>
      </c>
    </row>
    <row r="189" spans="1:20" s="35" customFormat="1">
      <c r="A189" s="35" t="s">
        <v>262</v>
      </c>
      <c r="B189" s="201">
        <v>125132</v>
      </c>
      <c r="C189" s="239" t="str">
        <f>VLOOKUP($B:$B,RAW!$A:$B,2,0)</f>
        <v>매출채권처분이익</v>
      </c>
      <c r="D189" s="37"/>
      <c r="E189" s="41"/>
      <c r="F189" s="126">
        <v>0</v>
      </c>
      <c r="G189" s="11"/>
      <c r="J189" s="35" t="s">
        <v>654</v>
      </c>
      <c r="T189" s="414" t="str">
        <f t="shared" si="2"/>
        <v>87</v>
      </c>
    </row>
    <row r="190" spans="1:20" s="35" customFormat="1">
      <c r="A190" s="35" t="s">
        <v>263</v>
      </c>
      <c r="B190" s="201">
        <v>125139</v>
      </c>
      <c r="C190" s="239" t="str">
        <f>VLOOKUP($B:$B,RAW!$A:$B,2,0)</f>
        <v>재고자산평가손실환입</v>
      </c>
      <c r="D190" s="37"/>
      <c r="E190" s="41"/>
      <c r="F190" s="126">
        <v>1</v>
      </c>
      <c r="G190" s="11"/>
      <c r="J190" s="35" t="s">
        <v>655</v>
      </c>
      <c r="T190" s="414" t="str">
        <f t="shared" si="2"/>
        <v>88</v>
      </c>
    </row>
    <row r="191" spans="1:20" s="35" customFormat="1">
      <c r="A191" s="35" t="s">
        <v>264</v>
      </c>
      <c r="B191" s="201">
        <v>125133</v>
      </c>
      <c r="C191" s="239" t="str">
        <f>VLOOKUP($B:$B,RAW!$A:$B,2,0)</f>
        <v>임대주택자산처분이익</v>
      </c>
      <c r="D191" s="37"/>
      <c r="E191" s="41"/>
      <c r="F191" s="126">
        <v>1</v>
      </c>
      <c r="G191" s="11"/>
      <c r="J191" s="35" t="s">
        <v>656</v>
      </c>
      <c r="T191" s="414" t="str">
        <f t="shared" si="2"/>
        <v>89</v>
      </c>
    </row>
    <row r="192" spans="1:20" s="35" customFormat="1">
      <c r="A192" s="35" t="s">
        <v>265</v>
      </c>
      <c r="B192" s="201">
        <v>125116</v>
      </c>
      <c r="C192" s="239" t="str">
        <f>VLOOKUP($B:$B,RAW!$A:$B,2,0)</f>
        <v>주식배당금수익</v>
      </c>
      <c r="D192" s="37"/>
      <c r="E192" s="41"/>
      <c r="F192" s="126">
        <v>0</v>
      </c>
      <c r="G192" s="11"/>
      <c r="J192" s="35" t="s">
        <v>657</v>
      </c>
      <c r="T192" s="414" t="str">
        <f t="shared" si="2"/>
        <v>90</v>
      </c>
    </row>
    <row r="193" spans="1:20" s="35" customFormat="1">
      <c r="A193" s="35" t="s">
        <v>266</v>
      </c>
      <c r="B193" s="201">
        <v>125117</v>
      </c>
      <c r="C193" s="239" t="str">
        <f>VLOOKUP($B:$B,RAW!$A:$B,2,0)</f>
        <v>신주인수권처분이익</v>
      </c>
      <c r="D193" s="37"/>
      <c r="E193" s="41"/>
      <c r="F193" s="126">
        <v>1</v>
      </c>
      <c r="G193" s="11"/>
      <c r="J193" s="35" t="s">
        <v>658</v>
      </c>
      <c r="T193" s="414" t="str">
        <f t="shared" si="2"/>
        <v>91</v>
      </c>
    </row>
    <row r="194" spans="1:20" s="35" customFormat="1">
      <c r="A194" s="35" t="s">
        <v>204</v>
      </c>
      <c r="B194" s="201">
        <v>125105</v>
      </c>
      <c r="C194" s="239" t="str">
        <f>VLOOKUP($B:$B,RAW!$A:$B,2,0)</f>
        <v>임대료수익</v>
      </c>
      <c r="D194" s="37"/>
      <c r="E194" s="41"/>
      <c r="F194" s="126">
        <v>0</v>
      </c>
      <c r="G194" s="11"/>
      <c r="J194" s="35" t="s">
        <v>659</v>
      </c>
      <c r="T194" s="414" t="str">
        <f t="shared" si="2"/>
        <v>92</v>
      </c>
    </row>
    <row r="195" spans="1:20" s="35" customFormat="1">
      <c r="A195" s="35" t="s">
        <v>267</v>
      </c>
      <c r="B195" s="201">
        <v>125106</v>
      </c>
      <c r="C195" s="239" t="str">
        <f>VLOOKUP($B:$B,RAW!$A:$B,2,0)</f>
        <v>수수료수익</v>
      </c>
      <c r="D195" s="37"/>
      <c r="E195" s="41"/>
      <c r="F195" s="126">
        <v>0</v>
      </c>
      <c r="G195" s="11"/>
      <c r="J195" s="35" t="s">
        <v>660</v>
      </c>
      <c r="K195" s="35" t="s">
        <v>1711</v>
      </c>
      <c r="T195" s="414" t="str">
        <f t="shared" si="2"/>
        <v>93</v>
      </c>
    </row>
    <row r="196" spans="1:20" s="35" customFormat="1">
      <c r="A196" s="35" t="s">
        <v>268</v>
      </c>
      <c r="B196" s="201">
        <v>125107</v>
      </c>
      <c r="C196" s="239" t="str">
        <f>VLOOKUP($B:$B,RAW!$A:$B,2,0)</f>
        <v>원가차익</v>
      </c>
      <c r="D196" s="37"/>
      <c r="E196" s="41"/>
      <c r="F196" s="126">
        <v>1</v>
      </c>
      <c r="G196" s="11"/>
      <c r="J196" s="35" t="s">
        <v>661</v>
      </c>
      <c r="T196" s="414" t="str">
        <f t="shared" si="2"/>
        <v>94</v>
      </c>
    </row>
    <row r="197" spans="1:20" s="35" customFormat="1">
      <c r="A197" s="35" t="s">
        <v>235</v>
      </c>
      <c r="B197" s="201">
        <v>125108</v>
      </c>
      <c r="C197" s="239" t="str">
        <f>VLOOKUP($B:$B,RAW!$A:$B,2,0)</f>
        <v>매입할인</v>
      </c>
      <c r="D197" s="37"/>
      <c r="E197" s="41"/>
      <c r="F197" s="126">
        <v>1</v>
      </c>
      <c r="G197" s="11"/>
      <c r="J197" s="35" t="s">
        <v>662</v>
      </c>
      <c r="T197" s="414" t="str">
        <f t="shared" si="2"/>
        <v>95</v>
      </c>
    </row>
    <row r="198" spans="1:20" s="35" customFormat="1">
      <c r="A198" s="35" t="s">
        <v>205</v>
      </c>
      <c r="B198" s="201">
        <v>125110</v>
      </c>
      <c r="C198" s="239" t="str">
        <f>VLOOKUP($B:$B,RAW!$A:$B,2,0)</f>
        <v>보험차익</v>
      </c>
      <c r="D198" s="37"/>
      <c r="E198" s="41"/>
      <c r="F198" s="126">
        <v>1</v>
      </c>
      <c r="G198" s="11"/>
      <c r="J198" s="35" t="s">
        <v>663</v>
      </c>
      <c r="T198" s="414" t="str">
        <f t="shared" si="2"/>
        <v>96</v>
      </c>
    </row>
    <row r="199" spans="1:20" s="35" customFormat="1">
      <c r="A199" s="35" t="s">
        <v>163</v>
      </c>
      <c r="B199" s="201">
        <v>125109</v>
      </c>
      <c r="C199" s="239" t="str">
        <f>VLOOKUP($B:$B,RAW!$A:$B,2,0)</f>
        <v>외환차익</v>
      </c>
      <c r="D199" s="37"/>
      <c r="E199" s="41"/>
      <c r="F199" s="126">
        <v>1</v>
      </c>
      <c r="G199" s="11"/>
      <c r="J199" s="35" t="s">
        <v>664</v>
      </c>
      <c r="T199" s="414" t="str">
        <f t="shared" ref="T199:T202" si="3">TEXT(T99,"0")</f>
        <v>97</v>
      </c>
    </row>
    <row r="200" spans="1:20" s="35" customFormat="1">
      <c r="A200" s="35" t="s">
        <v>164</v>
      </c>
      <c r="B200" s="201">
        <v>125111</v>
      </c>
      <c r="C200" s="239" t="str">
        <f>VLOOKUP($B:$B,RAW!$A:$B,2,0)</f>
        <v>외화환산이익</v>
      </c>
      <c r="D200" s="37"/>
      <c r="E200" s="41"/>
      <c r="F200" s="126">
        <v>1</v>
      </c>
      <c r="G200" s="11"/>
      <c r="J200" s="35" t="s">
        <v>665</v>
      </c>
      <c r="T200" s="414" t="str">
        <f t="shared" si="3"/>
        <v>98</v>
      </c>
    </row>
    <row r="201" spans="1:20" s="35" customFormat="1">
      <c r="A201" s="35" t="s">
        <v>269</v>
      </c>
      <c r="B201" s="201">
        <v>125118</v>
      </c>
      <c r="C201" s="239" t="str">
        <f>VLOOKUP($B:$B,RAW!$A:$B,2,0)</f>
        <v>파생상품거래이익</v>
      </c>
      <c r="D201" s="37"/>
      <c r="E201" s="41"/>
      <c r="F201" s="126">
        <v>1</v>
      </c>
      <c r="G201" s="11"/>
      <c r="J201" s="35" t="s">
        <v>666</v>
      </c>
      <c r="T201" s="414" t="str">
        <f t="shared" si="3"/>
        <v>99</v>
      </c>
    </row>
    <row r="202" spans="1:20" s="35" customFormat="1">
      <c r="A202" s="35" t="s">
        <v>270</v>
      </c>
      <c r="B202" s="201">
        <v>125119</v>
      </c>
      <c r="C202" s="239" t="str">
        <f>VLOOKUP($B:$B,RAW!$A:$B,2,0)</f>
        <v>파생상품거래대환입</v>
      </c>
      <c r="D202" s="37"/>
      <c r="E202" s="41"/>
      <c r="F202" s="126">
        <v>1</v>
      </c>
      <c r="G202" s="11"/>
      <c r="J202" s="35" t="s">
        <v>667</v>
      </c>
      <c r="T202" s="414" t="str">
        <f t="shared" si="3"/>
        <v>100</v>
      </c>
    </row>
    <row r="203" spans="1:20" s="35" customFormat="1">
      <c r="A203" s="35" t="s">
        <v>271</v>
      </c>
      <c r="B203" s="201">
        <v>125126</v>
      </c>
      <c r="C203" s="239" t="str">
        <f>VLOOKUP($B:$B,RAW!$A:$B,2,0)</f>
        <v>파생상품평가이익</v>
      </c>
      <c r="D203" s="37"/>
      <c r="E203" s="41"/>
      <c r="F203" s="126">
        <v>1</v>
      </c>
      <c r="G203" s="11"/>
      <c r="J203" s="35" t="s">
        <v>668</v>
      </c>
      <c r="T203" s="414" t="s">
        <v>1744</v>
      </c>
    </row>
    <row r="204" spans="1:20" s="35" customFormat="1">
      <c r="A204" s="35" t="s">
        <v>272</v>
      </c>
      <c r="B204" s="201">
        <v>125112</v>
      </c>
      <c r="C204" s="239" t="str">
        <f>VLOOKUP($B:$B,RAW!$A:$B,2,0)</f>
        <v>환율조정대환입</v>
      </c>
      <c r="D204" s="37"/>
      <c r="E204" s="41"/>
      <c r="F204" s="126">
        <v>1</v>
      </c>
      <c r="G204" s="11"/>
      <c r="J204" s="35" t="s">
        <v>669</v>
      </c>
      <c r="T204" s="414" t="s">
        <v>1745</v>
      </c>
    </row>
    <row r="205" spans="1:20" s="35" customFormat="1">
      <c r="A205" s="35" t="s">
        <v>165</v>
      </c>
      <c r="B205" s="201">
        <v>125113</v>
      </c>
      <c r="C205" s="239" t="str">
        <f>VLOOKUP($B:$B,RAW!$A:$B,2,0)</f>
        <v>대손충당금환입</v>
      </c>
      <c r="D205" s="37"/>
      <c r="E205" s="41"/>
      <c r="F205" s="126">
        <v>1</v>
      </c>
      <c r="G205" s="11"/>
      <c r="J205" s="35" t="s">
        <v>670</v>
      </c>
      <c r="T205" s="414" t="s">
        <v>1746</v>
      </c>
    </row>
    <row r="206" spans="1:20" s="35" customFormat="1">
      <c r="A206" s="35" t="s">
        <v>273</v>
      </c>
      <c r="B206" s="201">
        <v>125114</v>
      </c>
      <c r="C206" s="239" t="str">
        <f>VLOOKUP($B:$B,RAW!$A:$B,2,0)</f>
        <v>장단기투자증권평가충당금환입</v>
      </c>
      <c r="D206" s="37"/>
      <c r="E206" s="41"/>
      <c r="F206" s="126">
        <v>1</v>
      </c>
      <c r="G206" s="11"/>
      <c r="J206" s="35" t="s">
        <v>671</v>
      </c>
      <c r="T206" s="414" t="s">
        <v>1747</v>
      </c>
    </row>
    <row r="207" spans="1:20" s="35" customFormat="1">
      <c r="A207" s="35" t="s">
        <v>274</v>
      </c>
      <c r="B207" s="201">
        <v>125143</v>
      </c>
      <c r="C207" s="239" t="str">
        <f>VLOOKUP($B:$B,RAW!$A:$B,2,0)</f>
        <v>투자자산평가이익</v>
      </c>
      <c r="D207" s="37"/>
      <c r="E207" s="41"/>
      <c r="F207" s="126">
        <v>1</v>
      </c>
      <c r="G207" s="11"/>
      <c r="J207" s="35" t="s">
        <v>672</v>
      </c>
    </row>
    <row r="208" spans="1:20" s="35" customFormat="1">
      <c r="A208" s="35" t="s">
        <v>275</v>
      </c>
      <c r="B208" s="201">
        <v>125145</v>
      </c>
      <c r="C208" s="239" t="str">
        <f>VLOOKUP($B:$B,RAW!$A:$B,2,0)</f>
        <v>매도가능증권평가이익</v>
      </c>
      <c r="D208" s="37"/>
      <c r="E208" s="41"/>
      <c r="F208" s="126">
        <v>1</v>
      </c>
      <c r="G208" s="11"/>
      <c r="J208" s="35" t="s">
        <v>673</v>
      </c>
    </row>
    <row r="209" spans="1:11" s="35" customFormat="1">
      <c r="A209" s="35" t="s">
        <v>276</v>
      </c>
      <c r="B209" s="201">
        <v>125120</v>
      </c>
      <c r="C209" s="239" t="str">
        <f>VLOOKUP($B:$B,RAW!$A:$B,2,0)</f>
        <v>투자자산평가충당금환입</v>
      </c>
      <c r="D209" s="37"/>
      <c r="E209" s="41"/>
      <c r="F209" s="126">
        <v>1</v>
      </c>
      <c r="G209" s="11"/>
      <c r="J209" s="35" t="s">
        <v>674</v>
      </c>
    </row>
    <row r="210" spans="1:11" s="35" customFormat="1">
      <c r="A210" s="35" t="s">
        <v>277</v>
      </c>
      <c r="B210" s="201">
        <v>125122</v>
      </c>
      <c r="C210" s="239" t="str">
        <f>VLOOKUP($B:$B,RAW!$A:$B,2,0)</f>
        <v>투자자산처분이익</v>
      </c>
      <c r="D210" s="37"/>
      <c r="E210" s="41"/>
      <c r="F210" s="126">
        <v>1</v>
      </c>
      <c r="G210" s="11"/>
      <c r="J210" s="35" t="s">
        <v>675</v>
      </c>
    </row>
    <row r="211" spans="1:11" s="35" customFormat="1">
      <c r="A211" s="35" t="s">
        <v>278</v>
      </c>
      <c r="B211" s="201">
        <v>125147</v>
      </c>
      <c r="C211" s="239" t="str">
        <f>VLOOKUP($B:$B,RAW!$A:$B,2,0)</f>
        <v>매도가능증권처분이익</v>
      </c>
      <c r="D211" s="37"/>
      <c r="E211" s="41"/>
      <c r="F211" s="126">
        <v>1</v>
      </c>
      <c r="G211" s="11"/>
      <c r="J211" s="35" t="s">
        <v>676</v>
      </c>
    </row>
    <row r="212" spans="1:11" s="35" customFormat="1">
      <c r="A212" s="35" t="s">
        <v>279</v>
      </c>
      <c r="B212" s="201">
        <v>125148</v>
      </c>
      <c r="C212" s="239" t="str">
        <f>VLOOKUP($B:$B,RAW!$A:$B,2,0)</f>
        <v>만기보유증권처분이익</v>
      </c>
      <c r="D212" s="37"/>
      <c r="E212" s="41"/>
      <c r="F212" s="126">
        <v>1</v>
      </c>
      <c r="G212" s="11"/>
      <c r="J212" s="35" t="s">
        <v>677</v>
      </c>
    </row>
    <row r="213" spans="1:11" s="35" customFormat="1">
      <c r="A213" s="35" t="s">
        <v>280</v>
      </c>
      <c r="B213" s="201">
        <v>125165</v>
      </c>
      <c r="C213" s="239" t="str">
        <f>VLOOKUP($B:$B,RAW!$A:$B,2,0)</f>
        <v>지분법주식처분이익</v>
      </c>
      <c r="D213" s="38"/>
      <c r="E213" s="41"/>
      <c r="F213" s="126">
        <v>1</v>
      </c>
      <c r="G213" s="11"/>
      <c r="J213" s="35" t="s">
        <v>678</v>
      </c>
    </row>
    <row r="214" spans="1:11" s="35" customFormat="1">
      <c r="A214" s="35" t="s">
        <v>281</v>
      </c>
      <c r="B214" s="201">
        <v>125104</v>
      </c>
      <c r="C214" s="239" t="str">
        <f>VLOOKUP($B:$B,RAW!$A:$B,2,0)</f>
        <v>기타장단기투자증권처분이익</v>
      </c>
      <c r="D214" s="38"/>
      <c r="E214" s="41"/>
      <c r="F214" s="126">
        <v>1</v>
      </c>
      <c r="G214" s="11"/>
      <c r="J214" s="35" t="s">
        <v>679</v>
      </c>
    </row>
    <row r="215" spans="1:11" s="35" customFormat="1">
      <c r="A215" s="35" t="s">
        <v>282</v>
      </c>
      <c r="B215" s="201">
        <v>125121</v>
      </c>
      <c r="C215" s="239" t="str">
        <f>VLOOKUP($B:$B,RAW!$A:$B,2,0)</f>
        <v>기타장단기투자증권평가이익</v>
      </c>
      <c r="D215" s="38"/>
      <c r="E215" s="41"/>
      <c r="F215" s="126">
        <v>1</v>
      </c>
      <c r="G215" s="11"/>
      <c r="J215" s="35" t="s">
        <v>680</v>
      </c>
    </row>
    <row r="216" spans="1:11" s="35" customFormat="1">
      <c r="A216" s="35" t="s">
        <v>283</v>
      </c>
      <c r="B216" s="201">
        <v>125152</v>
      </c>
      <c r="C216" s="239" t="str">
        <f>VLOOKUP($B:$B,RAW!$A:$B,2,0)</f>
        <v>자전거래이익</v>
      </c>
      <c r="D216" s="38"/>
      <c r="E216" s="41"/>
      <c r="F216" s="126">
        <v>1</v>
      </c>
      <c r="G216" s="11"/>
      <c r="J216" s="35" t="s">
        <v>681</v>
      </c>
    </row>
    <row r="217" spans="1:11" s="35" customFormat="1">
      <c r="A217" s="35" t="s">
        <v>166</v>
      </c>
      <c r="B217" s="201">
        <v>125123</v>
      </c>
      <c r="C217" s="239" t="str">
        <f>VLOOKUP($B:$B,RAW!$A:$B,2,0)</f>
        <v>유,무형,리스자산처분이익</v>
      </c>
      <c r="D217" s="38"/>
      <c r="E217" s="41"/>
      <c r="F217" s="126">
        <v>1</v>
      </c>
      <c r="G217" s="11"/>
      <c r="J217" s="35" t="s">
        <v>682</v>
      </c>
      <c r="K217" s="35" t="s">
        <v>1712</v>
      </c>
    </row>
    <row r="218" spans="1:11" s="35" customFormat="1">
      <c r="A218" s="35" t="s">
        <v>284</v>
      </c>
      <c r="B218" s="201">
        <v>125153</v>
      </c>
      <c r="C218" s="239" t="str">
        <f>VLOOKUP($B:$B,RAW!$A:$B,2,0)</f>
        <v>공정가액조정이익</v>
      </c>
      <c r="D218" s="38"/>
      <c r="E218" s="41"/>
      <c r="F218" s="126">
        <v>1</v>
      </c>
      <c r="G218" s="11"/>
      <c r="J218" s="35" t="s">
        <v>683</v>
      </c>
    </row>
    <row r="219" spans="1:11" s="35" customFormat="1">
      <c r="A219" s="35" t="s">
        <v>285</v>
      </c>
      <c r="B219" s="201">
        <v>125124</v>
      </c>
      <c r="C219" s="239" t="str">
        <f>VLOOKUP($B:$B,RAW!$A:$B,2,0)</f>
        <v>상각채권추심이익</v>
      </c>
      <c r="D219" s="38"/>
      <c r="E219" s="41"/>
      <c r="F219" s="126">
        <v>1</v>
      </c>
      <c r="G219" s="11"/>
      <c r="J219" s="35" t="s">
        <v>684</v>
      </c>
    </row>
    <row r="220" spans="1:11" s="35" customFormat="1">
      <c r="A220" s="35" t="s">
        <v>286</v>
      </c>
      <c r="B220" s="201">
        <v>125125</v>
      </c>
      <c r="C220" s="239" t="str">
        <f>VLOOKUP($B:$B,RAW!$A:$B,2,0)</f>
        <v>사채상환이익</v>
      </c>
      <c r="D220" s="38"/>
      <c r="E220" s="41"/>
      <c r="F220" s="126">
        <v>1</v>
      </c>
      <c r="G220" s="11"/>
      <c r="J220" s="35" t="s">
        <v>685</v>
      </c>
    </row>
    <row r="221" spans="1:11" s="35" customFormat="1">
      <c r="A221" s="35" t="s">
        <v>287</v>
      </c>
      <c r="B221" s="201">
        <v>125127</v>
      </c>
      <c r="C221" s="239" t="str">
        <f>VLOOKUP($B:$B,RAW!$A:$B,2,0)</f>
        <v>지분법이익</v>
      </c>
      <c r="D221" s="37"/>
      <c r="E221" s="41"/>
      <c r="F221" s="126">
        <v>1</v>
      </c>
      <c r="G221" s="11"/>
      <c r="J221" s="35" t="s">
        <v>686</v>
      </c>
      <c r="K221" s="35" t="s">
        <v>1713</v>
      </c>
    </row>
    <row r="222" spans="1:11" s="35" customFormat="1">
      <c r="A222" s="35" t="s">
        <v>288</v>
      </c>
      <c r="B222" s="201">
        <v>125160</v>
      </c>
      <c r="C222" s="239" t="str">
        <f>VLOOKUP($B:$B,RAW!$A:$B,2,0)</f>
        <v>임대주택자산감액손실환입</v>
      </c>
      <c r="D222" s="37"/>
      <c r="E222" s="41"/>
      <c r="F222" s="126">
        <v>1</v>
      </c>
      <c r="G222" s="11"/>
      <c r="J222" s="35" t="s">
        <v>687</v>
      </c>
    </row>
    <row r="223" spans="1:11" s="35" customFormat="1">
      <c r="A223" s="35" t="s">
        <v>289</v>
      </c>
      <c r="B223" s="201">
        <v>125128</v>
      </c>
      <c r="C223" s="239" t="str">
        <f>VLOOKUP($B:$B,RAW!$A:$B,2,0)</f>
        <v>투자자산감액손실환입</v>
      </c>
      <c r="D223" s="37"/>
      <c r="E223" s="41"/>
      <c r="F223" s="126">
        <v>1</v>
      </c>
      <c r="G223" s="11"/>
      <c r="J223" s="35" t="s">
        <v>688</v>
      </c>
    </row>
    <row r="224" spans="1:11" s="35" customFormat="1">
      <c r="A224" s="35" t="s">
        <v>290</v>
      </c>
      <c r="B224" s="201">
        <v>125149</v>
      </c>
      <c r="C224" s="239" t="str">
        <f>VLOOKUP($B:$B,RAW!$A:$B,2,0)</f>
        <v>매도가능증권감액손실환입</v>
      </c>
      <c r="D224" s="37"/>
      <c r="E224" s="41"/>
      <c r="F224" s="126">
        <v>1</v>
      </c>
      <c r="G224" s="11"/>
      <c r="J224" s="35" t="s">
        <v>689</v>
      </c>
    </row>
    <row r="225" spans="1:11" s="35" customFormat="1">
      <c r="A225" s="35" t="s">
        <v>291</v>
      </c>
      <c r="B225" s="201">
        <v>125151</v>
      </c>
      <c r="C225" s="239" t="str">
        <f>VLOOKUP($B:$B,RAW!$A:$B,2,0)</f>
        <v>만기보유증권감액손실환입</v>
      </c>
      <c r="D225" s="37"/>
      <c r="E225" s="41"/>
      <c r="F225" s="126">
        <v>1</v>
      </c>
      <c r="G225" s="11"/>
      <c r="J225" s="35" t="s">
        <v>690</v>
      </c>
    </row>
    <row r="226" spans="1:11" s="35" customFormat="1">
      <c r="A226" s="35" t="s">
        <v>292</v>
      </c>
      <c r="B226" s="201">
        <v>125166</v>
      </c>
      <c r="C226" s="239" t="str">
        <f>VLOOKUP($B:$B,RAW!$A:$B,2,0)</f>
        <v>지분법주식감액손실환입</v>
      </c>
      <c r="D226" s="37"/>
      <c r="E226" s="41"/>
      <c r="F226" s="126">
        <v>1</v>
      </c>
      <c r="G226" s="11"/>
      <c r="J226" s="35" t="s">
        <v>691</v>
      </c>
    </row>
    <row r="227" spans="1:11" s="35" customFormat="1">
      <c r="A227" s="35" t="s">
        <v>293</v>
      </c>
      <c r="B227" s="201">
        <v>125170</v>
      </c>
      <c r="C227" s="239" t="str">
        <f>VLOOKUP($B:$B,RAW!$A:$B,2,0)</f>
        <v>유형자산감액손실환입</v>
      </c>
      <c r="D227" s="37"/>
      <c r="E227" s="41"/>
      <c r="F227" s="126">
        <v>1</v>
      </c>
      <c r="G227" s="11"/>
      <c r="J227" s="35" t="s">
        <v>692</v>
      </c>
      <c r="K227" s="35" t="s">
        <v>1737</v>
      </c>
    </row>
    <row r="228" spans="1:11" s="35" customFormat="1">
      <c r="A228" s="35" t="s">
        <v>294</v>
      </c>
      <c r="B228" s="201">
        <v>125180</v>
      </c>
      <c r="C228" s="239" t="str">
        <f>VLOOKUP($B:$B,RAW!$A:$B,2,0)</f>
        <v>무형자산감액손실환입</v>
      </c>
      <c r="D228" s="37"/>
      <c r="E228" s="41"/>
      <c r="F228" s="126">
        <v>1</v>
      </c>
      <c r="G228" s="11"/>
      <c r="J228" s="35" t="s">
        <v>693</v>
      </c>
      <c r="K228" s="35" t="s">
        <v>1738</v>
      </c>
    </row>
    <row r="229" spans="1:11" s="35" customFormat="1">
      <c r="A229" s="35" t="s">
        <v>295</v>
      </c>
      <c r="B229" s="201">
        <v>125190</v>
      </c>
      <c r="C229" s="239" t="str">
        <f>VLOOKUP($B:$B,RAW!$A:$B,2,0)</f>
        <v>기타자산감액손실환입</v>
      </c>
      <c r="D229" s="37"/>
      <c r="E229" s="41"/>
      <c r="F229" s="126">
        <v>1</v>
      </c>
      <c r="G229" s="11"/>
      <c r="J229" s="35" t="s">
        <v>694</v>
      </c>
      <c r="K229" s="35" t="s">
        <v>1739</v>
      </c>
    </row>
    <row r="230" spans="1:11" s="35" customFormat="1">
      <c r="A230" s="35" t="s">
        <v>296</v>
      </c>
      <c r="B230" s="201">
        <v>125191</v>
      </c>
      <c r="C230" s="239" t="str">
        <f>VLOOKUP($B:$B,RAW!$A:$B,2,0)</f>
        <v>주식보상비용환입</v>
      </c>
      <c r="D230" s="37"/>
      <c r="E230" s="41"/>
      <c r="F230" s="126">
        <v>1</v>
      </c>
      <c r="G230" s="11"/>
      <c r="J230" s="35" t="s">
        <v>695</v>
      </c>
    </row>
    <row r="231" spans="1:11" s="35" customFormat="1">
      <c r="A231" s="35" t="s">
        <v>297</v>
      </c>
      <c r="B231" s="201">
        <v>125129</v>
      </c>
      <c r="C231" s="239" t="str">
        <f>VLOOKUP($B:$B,RAW!$A:$B,2,0)</f>
        <v>법인세환급액</v>
      </c>
      <c r="D231" s="37"/>
      <c r="E231" s="41"/>
      <c r="F231" s="126">
        <v>1</v>
      </c>
      <c r="G231" s="11"/>
      <c r="J231" s="35" t="s">
        <v>696</v>
      </c>
    </row>
    <row r="232" spans="1:11" s="35" customFormat="1">
      <c r="A232" s="35" t="s">
        <v>298</v>
      </c>
      <c r="B232" s="201">
        <v>125150</v>
      </c>
      <c r="C232" s="239" t="str">
        <f>VLOOKUP($B:$B,RAW!$A:$B,2,0)</f>
        <v>전환사채전환이익</v>
      </c>
      <c r="D232" s="37"/>
      <c r="E232" s="41"/>
      <c r="F232" s="126">
        <v>1</v>
      </c>
      <c r="G232" s="11"/>
      <c r="J232" s="35" t="s">
        <v>697</v>
      </c>
    </row>
    <row r="233" spans="1:11" s="35" customFormat="1">
      <c r="A233" s="35" t="s">
        <v>299</v>
      </c>
      <c r="B233" s="201">
        <v>125138</v>
      </c>
      <c r="C233" s="239" t="str">
        <f>VLOOKUP($B:$B,RAW!$A:$B,2,0)</f>
        <v>중간기간오류이익</v>
      </c>
      <c r="D233" s="37"/>
      <c r="E233" s="41"/>
      <c r="F233" s="126">
        <v>1</v>
      </c>
      <c r="G233" s="11"/>
      <c r="J233" s="35" t="s">
        <v>698</v>
      </c>
    </row>
    <row r="234" spans="1:11" s="35" customFormat="1">
      <c r="A234" s="35" t="s">
        <v>300</v>
      </c>
      <c r="B234" s="201">
        <v>125140</v>
      </c>
      <c r="C234" s="239" t="str">
        <f>VLOOKUP($B:$B,RAW!$A:$B,2,0)</f>
        <v>중간기간영업외수익조정</v>
      </c>
      <c r="D234" s="37"/>
      <c r="E234" s="41"/>
      <c r="F234" s="126">
        <v>1</v>
      </c>
      <c r="G234" s="11"/>
      <c r="J234" s="35" t="s">
        <v>699</v>
      </c>
    </row>
    <row r="235" spans="1:11" s="35" customFormat="1">
      <c r="A235" s="35" t="s">
        <v>301</v>
      </c>
      <c r="B235" s="201">
        <v>125134</v>
      </c>
      <c r="C235" s="239" t="str">
        <f>VLOOKUP($B:$B,RAW!$A:$B,2,0)</f>
        <v>전기오류수정이익</v>
      </c>
      <c r="D235" s="37"/>
      <c r="E235" s="41"/>
      <c r="F235" s="126">
        <v>1</v>
      </c>
      <c r="G235" s="11"/>
      <c r="J235" s="35" t="s">
        <v>700</v>
      </c>
    </row>
    <row r="236" spans="1:11" s="35" customFormat="1">
      <c r="A236" s="35" t="s">
        <v>302</v>
      </c>
      <c r="B236" s="201">
        <v>125135</v>
      </c>
      <c r="C236" s="239" t="str">
        <f>VLOOKUP($B:$B,RAW!$A:$B,2,0)</f>
        <v>복구충당부채환입액</v>
      </c>
      <c r="D236" s="37"/>
      <c r="E236" s="41"/>
      <c r="F236" s="126">
        <v>1</v>
      </c>
      <c r="G236" s="11"/>
      <c r="J236" s="35" t="s">
        <v>701</v>
      </c>
    </row>
    <row r="237" spans="1:11" s="35" customFormat="1">
      <c r="A237" s="35" t="s">
        <v>303</v>
      </c>
      <c r="B237" s="201">
        <v>125136</v>
      </c>
      <c r="C237" s="239" t="str">
        <f>VLOOKUP($B:$B,RAW!$A:$B,2,0)</f>
        <v>복구공사이익</v>
      </c>
      <c r="D237" s="37"/>
      <c r="E237" s="41"/>
      <c r="F237" s="126">
        <v>1</v>
      </c>
      <c r="G237" s="11"/>
      <c r="J237" s="35" t="s">
        <v>702</v>
      </c>
    </row>
    <row r="238" spans="1:11" s="35" customFormat="1">
      <c r="A238" s="35" t="s">
        <v>304</v>
      </c>
      <c r="B238" s="201">
        <v>125137</v>
      </c>
      <c r="C238" s="239" t="str">
        <f>VLOOKUP($B:$B,RAW!$A:$B,2,0)</f>
        <v>유동화수익</v>
      </c>
      <c r="D238" s="37"/>
      <c r="E238" s="41"/>
      <c r="F238" s="126">
        <v>1</v>
      </c>
      <c r="G238" s="11"/>
      <c r="J238" s="35" t="s">
        <v>703</v>
      </c>
    </row>
    <row r="239" spans="1:11" s="35" customFormat="1">
      <c r="A239" s="35" t="s">
        <v>305</v>
      </c>
      <c r="B239" s="201">
        <v>125157</v>
      </c>
      <c r="C239" s="239" t="str">
        <f>VLOOKUP($B:$B,RAW!$A:$B,2,0)</f>
        <v>자산수증이익</v>
      </c>
      <c r="D239" s="37"/>
      <c r="E239" s="41"/>
      <c r="F239" s="126">
        <v>1</v>
      </c>
      <c r="G239" s="11"/>
      <c r="J239" s="35" t="s">
        <v>704</v>
      </c>
    </row>
    <row r="240" spans="1:11" s="35" customFormat="1">
      <c r="A240" s="35" t="s">
        <v>306</v>
      </c>
      <c r="B240" s="201">
        <v>125158</v>
      </c>
      <c r="C240" s="239" t="str">
        <f>VLOOKUP($B:$B,RAW!$A:$B,2,0)</f>
        <v>채무면제이익</v>
      </c>
      <c r="D240" s="37"/>
      <c r="E240" s="41"/>
      <c r="F240" s="126">
        <v>1</v>
      </c>
      <c r="G240" s="11"/>
      <c r="J240" s="35" t="s">
        <v>705</v>
      </c>
    </row>
    <row r="241" spans="1:10" s="35" customFormat="1">
      <c r="A241" s="35" t="s">
        <v>307</v>
      </c>
      <c r="B241" s="201">
        <v>125154</v>
      </c>
      <c r="C241" s="239" t="str">
        <f>VLOOKUP($B:$B,RAW!$A:$B,2,0)</f>
        <v>해외사업환산이익환입</v>
      </c>
      <c r="D241" s="37"/>
      <c r="E241" s="41"/>
      <c r="F241" s="126">
        <v>1</v>
      </c>
      <c r="G241" s="11"/>
      <c r="J241" s="35" t="s">
        <v>706</v>
      </c>
    </row>
    <row r="242" spans="1:10" s="35" customFormat="1">
      <c r="A242" s="35" t="s">
        <v>167</v>
      </c>
      <c r="B242" s="201">
        <v>125115</v>
      </c>
      <c r="C242" s="239" t="str">
        <f>VLOOKUP($B:$B,RAW!$A:$B,2,0)</f>
        <v>기타영업외수익</v>
      </c>
      <c r="D242" s="43">
        <f>SUM(E180:E242)</f>
        <v>0</v>
      </c>
      <c r="E242" s="41"/>
      <c r="F242" s="125">
        <v>0</v>
      </c>
      <c r="G242" s="53"/>
    </row>
    <row r="243" spans="1:10" s="35" customFormat="1">
      <c r="A243" s="35" t="s">
        <v>13</v>
      </c>
      <c r="B243" s="205">
        <v>126000</v>
      </c>
      <c r="C243" s="230" t="str">
        <f>VLOOKUP($B:$B,RAW!$A:$B,2,0)</f>
        <v>영업외비용</v>
      </c>
      <c r="D243" s="46">
        <f>SUM(D245:D295)</f>
        <v>0</v>
      </c>
      <c r="G243" s="53"/>
    </row>
    <row r="244" spans="1:10" s="35" customFormat="1">
      <c r="A244" s="35" t="s">
        <v>1441</v>
      </c>
      <c r="B244" s="128"/>
      <c r="C244" s="230"/>
      <c r="D244" s="45">
        <f>SUMIF($F$245:$F$295,0,$D$245:$D$295)</f>
        <v>0</v>
      </c>
      <c r="G244" s="53"/>
    </row>
    <row r="245" spans="1:10" s="35" customFormat="1">
      <c r="A245" s="35" t="s">
        <v>32</v>
      </c>
      <c r="B245" s="201">
        <v>126110</v>
      </c>
      <c r="C245" s="239" t="str">
        <f>VLOOKUP($B:$B,RAW!$A:$B,2,0)</f>
        <v>이자비용</v>
      </c>
      <c r="D245" s="37"/>
      <c r="E245" s="41"/>
      <c r="F245" s="126">
        <v>0</v>
      </c>
      <c r="G245" s="11"/>
      <c r="J245" s="35" t="s">
        <v>708</v>
      </c>
    </row>
    <row r="246" spans="1:10" s="35" customFormat="1">
      <c r="A246" s="35" t="s">
        <v>308</v>
      </c>
      <c r="B246" s="201">
        <v>126120</v>
      </c>
      <c r="C246" s="239" t="str">
        <f>VLOOKUP($B:$B,RAW!$A:$B,2,0)</f>
        <v>사채이자</v>
      </c>
      <c r="D246" s="37"/>
      <c r="E246" s="41"/>
      <c r="F246" s="126">
        <v>1</v>
      </c>
      <c r="G246" s="11"/>
      <c r="J246" s="35" t="s">
        <v>709</v>
      </c>
    </row>
    <row r="247" spans="1:10" s="35" customFormat="1">
      <c r="A247" s="35" t="s">
        <v>309</v>
      </c>
      <c r="B247" s="201">
        <v>126121</v>
      </c>
      <c r="C247" s="239" t="str">
        <f>VLOOKUP($B:$B,RAW!$A:$B,2,0)</f>
        <v>단기투자자산처분손실</v>
      </c>
      <c r="D247" s="37"/>
      <c r="E247" s="41"/>
      <c r="F247" s="126">
        <v>1</v>
      </c>
      <c r="G247" s="11"/>
      <c r="J247" s="35" t="s">
        <v>710</v>
      </c>
    </row>
    <row r="248" spans="1:10" s="35" customFormat="1">
      <c r="A248" s="35" t="s">
        <v>310</v>
      </c>
      <c r="B248" s="201">
        <v>126122</v>
      </c>
      <c r="C248" s="239" t="str">
        <f>VLOOKUP($B:$B,RAW!$A:$B,2,0)</f>
        <v>장기투자자산처분손실</v>
      </c>
      <c r="D248" s="37"/>
      <c r="E248" s="41"/>
      <c r="F248" s="126">
        <v>1</v>
      </c>
      <c r="G248" s="11"/>
      <c r="J248" s="35" t="s">
        <v>711</v>
      </c>
    </row>
    <row r="249" spans="1:10" s="35" customFormat="1">
      <c r="A249" s="35" t="s">
        <v>311</v>
      </c>
      <c r="B249" s="201">
        <v>126131</v>
      </c>
      <c r="C249" s="239" t="str">
        <f>VLOOKUP($B:$B,RAW!$A:$B,2,0)</f>
        <v>단기금융상품처분손실</v>
      </c>
      <c r="D249" s="37"/>
      <c r="E249" s="41"/>
      <c r="F249" s="126">
        <v>1</v>
      </c>
      <c r="G249" s="11"/>
      <c r="J249" s="35" t="s">
        <v>712</v>
      </c>
    </row>
    <row r="250" spans="1:10" s="35" customFormat="1">
      <c r="A250" s="35" t="s">
        <v>312</v>
      </c>
      <c r="B250" s="201">
        <v>126144</v>
      </c>
      <c r="C250" s="239" t="str">
        <f>VLOOKUP($B:$B,RAW!$A:$B,2,0)</f>
        <v>단기매매증권처분손실</v>
      </c>
      <c r="D250" s="37"/>
      <c r="E250" s="41"/>
      <c r="F250" s="126">
        <v>1</v>
      </c>
      <c r="G250" s="11"/>
      <c r="J250" s="35" t="s">
        <v>713</v>
      </c>
    </row>
    <row r="251" spans="1:10" s="35" customFormat="1">
      <c r="A251" s="35" t="s">
        <v>313</v>
      </c>
      <c r="B251" s="201">
        <v>126123</v>
      </c>
      <c r="C251" s="239" t="str">
        <f>VLOOKUP($B:$B,RAW!$A:$B,2,0)</f>
        <v>지분법주식처분손실</v>
      </c>
      <c r="D251" s="37"/>
      <c r="E251" s="41"/>
      <c r="F251" s="126">
        <v>1</v>
      </c>
      <c r="G251" s="11"/>
      <c r="J251" s="35" t="s">
        <v>714</v>
      </c>
    </row>
    <row r="252" spans="1:10" s="35" customFormat="1">
      <c r="A252" s="35" t="s">
        <v>314</v>
      </c>
      <c r="B252" s="201">
        <v>126140</v>
      </c>
      <c r="C252" s="239" t="str">
        <f>VLOOKUP($B:$B,RAW!$A:$B,2,0)</f>
        <v>기타장단기투자증권처분손실</v>
      </c>
      <c r="D252" s="37"/>
      <c r="E252" s="41"/>
      <c r="F252" s="126">
        <v>1</v>
      </c>
      <c r="G252" s="11"/>
      <c r="J252" s="35" t="s">
        <v>715</v>
      </c>
    </row>
    <row r="253" spans="1:10" s="35" customFormat="1">
      <c r="A253" s="35" t="s">
        <v>315</v>
      </c>
      <c r="B253" s="201">
        <v>126132</v>
      </c>
      <c r="C253" s="239" t="str">
        <f>VLOOKUP($B:$B,RAW!$A:$B,2,0)</f>
        <v>매출채권처분손실</v>
      </c>
      <c r="D253" s="37"/>
      <c r="E253" s="41"/>
      <c r="F253" s="126">
        <v>0</v>
      </c>
      <c r="G253" s="11"/>
      <c r="J253" s="35" t="s">
        <v>716</v>
      </c>
    </row>
    <row r="254" spans="1:10" s="35" customFormat="1">
      <c r="A254" s="35" t="s">
        <v>316</v>
      </c>
      <c r="B254" s="201">
        <v>126133</v>
      </c>
      <c r="C254" s="239" t="str">
        <f>VLOOKUP($B:$B,RAW!$A:$B,2,0)</f>
        <v>임대주택자산처분손실</v>
      </c>
      <c r="D254" s="37"/>
      <c r="E254" s="41"/>
      <c r="F254" s="126">
        <v>1</v>
      </c>
      <c r="G254" s="11"/>
      <c r="J254" s="35" t="s">
        <v>717</v>
      </c>
    </row>
    <row r="255" spans="1:10" s="35" customFormat="1">
      <c r="A255" s="35" t="s">
        <v>317</v>
      </c>
      <c r="B255" s="201">
        <v>126141</v>
      </c>
      <c r="C255" s="239" t="str">
        <f>VLOOKUP($B:$B,RAW!$A:$B,2,0)</f>
        <v>신주인수권처분손실</v>
      </c>
      <c r="D255" s="37"/>
      <c r="E255" s="41"/>
      <c r="F255" s="126">
        <v>1</v>
      </c>
      <c r="G255" s="11"/>
      <c r="J255" s="35" t="s">
        <v>718</v>
      </c>
    </row>
    <row r="256" spans="1:10" s="35" customFormat="1">
      <c r="A256" s="35" t="s">
        <v>168</v>
      </c>
      <c r="B256" s="201">
        <v>126150</v>
      </c>
      <c r="C256" s="239" t="str">
        <f>VLOOKUP($B:$B,RAW!$A:$B,2,0)</f>
        <v>기부금</v>
      </c>
      <c r="D256" s="37"/>
      <c r="E256" s="41"/>
      <c r="F256" s="126">
        <v>0</v>
      </c>
      <c r="G256" s="11"/>
      <c r="J256" s="35" t="s">
        <v>719</v>
      </c>
    </row>
    <row r="257" spans="1:11" s="35" customFormat="1">
      <c r="A257" s="35" t="s">
        <v>169</v>
      </c>
      <c r="B257" s="201">
        <v>126160</v>
      </c>
      <c r="C257" s="239" t="str">
        <f>VLOOKUP($B:$B,RAW!$A:$B,2,0)</f>
        <v>외환차손</v>
      </c>
      <c r="D257" s="37"/>
      <c r="E257" s="41"/>
      <c r="F257" s="126">
        <v>1</v>
      </c>
      <c r="G257" s="11"/>
      <c r="J257" s="35" t="s">
        <v>720</v>
      </c>
    </row>
    <row r="258" spans="1:11" s="35" customFormat="1">
      <c r="A258" s="35" t="s">
        <v>318</v>
      </c>
      <c r="B258" s="201">
        <v>126161</v>
      </c>
      <c r="C258" s="239" t="str">
        <f>VLOOKUP($B:$B,RAW!$A:$B,2,0)</f>
        <v>파생상품거래손실</v>
      </c>
      <c r="D258" s="37"/>
      <c r="E258" s="41"/>
      <c r="F258" s="126">
        <v>1</v>
      </c>
      <c r="G258" s="11"/>
      <c r="J258" s="35" t="s">
        <v>721</v>
      </c>
    </row>
    <row r="259" spans="1:11" s="35" customFormat="1">
      <c r="A259" s="35" t="s">
        <v>319</v>
      </c>
      <c r="B259" s="201">
        <v>126162</v>
      </c>
      <c r="C259" s="239" t="str">
        <f>VLOOKUP($B:$B,RAW!$A:$B,2,0)</f>
        <v>파생상품거래차상각</v>
      </c>
      <c r="D259" s="37"/>
      <c r="E259" s="41"/>
      <c r="F259" s="126">
        <v>1</v>
      </c>
      <c r="G259" s="11"/>
      <c r="J259" s="35" t="s">
        <v>722</v>
      </c>
    </row>
    <row r="260" spans="1:11" s="35" customFormat="1">
      <c r="A260" s="35" t="s">
        <v>320</v>
      </c>
      <c r="B260" s="201">
        <v>126163</v>
      </c>
      <c r="C260" s="239" t="str">
        <f>VLOOKUP($B:$B,RAW!$A:$B,2,0)</f>
        <v>파생상품평가손실</v>
      </c>
      <c r="D260" s="37"/>
      <c r="E260" s="41"/>
      <c r="F260" s="126">
        <v>1</v>
      </c>
      <c r="G260" s="11"/>
      <c r="J260" s="35" t="s">
        <v>723</v>
      </c>
    </row>
    <row r="261" spans="1:11" s="35" customFormat="1">
      <c r="A261" s="35" t="s">
        <v>321</v>
      </c>
      <c r="B261" s="201">
        <v>126170</v>
      </c>
      <c r="C261" s="239" t="str">
        <f>VLOOKUP($B:$B,RAW!$A:$B,2,0)</f>
        <v>자산평가손실</v>
      </c>
      <c r="D261" s="37"/>
      <c r="E261" s="41"/>
      <c r="F261" s="126">
        <v>1</v>
      </c>
      <c r="G261" s="11"/>
      <c r="J261" s="35" t="s">
        <v>724</v>
      </c>
    </row>
    <row r="262" spans="1:11" s="35" customFormat="1">
      <c r="A262" s="35" t="s">
        <v>170</v>
      </c>
      <c r="B262" s="201">
        <v>126174</v>
      </c>
      <c r="C262" s="239" t="str">
        <f>VLOOKUP($B:$B,RAW!$A:$B,2,0)</f>
        <v>외화환산손실</v>
      </c>
      <c r="D262" s="37"/>
      <c r="E262" s="41"/>
      <c r="F262" s="126">
        <v>1</v>
      </c>
      <c r="G262" s="11"/>
      <c r="J262" s="35" t="s">
        <v>725</v>
      </c>
    </row>
    <row r="263" spans="1:11" s="35" customFormat="1">
      <c r="A263" s="35" t="s">
        <v>234</v>
      </c>
      <c r="B263" s="201">
        <v>126180</v>
      </c>
      <c r="C263" s="239" t="str">
        <f>VLOOKUP($B:$B,RAW!$A:$B,2,0)</f>
        <v>매출할인</v>
      </c>
      <c r="D263" s="37"/>
      <c r="E263" s="41"/>
      <c r="F263" s="126">
        <v>1</v>
      </c>
      <c r="G263" s="11"/>
      <c r="J263" s="35" t="s">
        <v>726</v>
      </c>
    </row>
    <row r="264" spans="1:11" s="35" customFormat="1">
      <c r="A264" s="35" t="s">
        <v>322</v>
      </c>
      <c r="B264" s="201">
        <v>126181</v>
      </c>
      <c r="C264" s="239" t="str">
        <f>VLOOKUP($B:$B,RAW!$A:$B,2,0)</f>
        <v>수수료비용X</v>
      </c>
      <c r="D264" s="37"/>
      <c r="E264" s="41"/>
      <c r="F264" s="126">
        <v>0</v>
      </c>
      <c r="G264" s="11"/>
    </row>
    <row r="265" spans="1:11" s="35" customFormat="1">
      <c r="A265" s="35" t="s">
        <v>323</v>
      </c>
      <c r="B265" s="201">
        <v>126200</v>
      </c>
      <c r="C265" s="239" t="str">
        <f>VLOOKUP($B:$B,RAW!$A:$B,2,0)</f>
        <v>원가차손</v>
      </c>
      <c r="D265" s="37"/>
      <c r="E265" s="41"/>
      <c r="F265" s="126">
        <v>1</v>
      </c>
      <c r="G265" s="11"/>
      <c r="J265" s="35" t="s">
        <v>727</v>
      </c>
    </row>
    <row r="266" spans="1:11" s="35" customFormat="1">
      <c r="A266" s="35" t="s">
        <v>171</v>
      </c>
      <c r="B266" s="201">
        <v>126240</v>
      </c>
      <c r="C266" s="239" t="str">
        <f>VLOOKUP($B:$B,RAW!$A:$B,2,0)</f>
        <v>기타대손상각비</v>
      </c>
      <c r="D266" s="37"/>
      <c r="E266" s="41"/>
      <c r="F266" s="126">
        <v>1</v>
      </c>
      <c r="G266" s="11"/>
      <c r="J266" s="35" t="s">
        <v>728</v>
      </c>
    </row>
    <row r="267" spans="1:11" s="35" customFormat="1">
      <c r="A267" s="35" t="s">
        <v>324</v>
      </c>
      <c r="B267" s="201">
        <v>126245</v>
      </c>
      <c r="C267" s="239" t="str">
        <f>VLOOKUP($B:$B,RAW!$A:$B,2,0)</f>
        <v>감가상각비X</v>
      </c>
      <c r="D267" s="37"/>
      <c r="E267" s="41"/>
      <c r="F267" s="126">
        <v>1</v>
      </c>
      <c r="G267" s="11"/>
    </row>
    <row r="268" spans="1:11" s="35" customFormat="1">
      <c r="A268" s="35" t="s">
        <v>206</v>
      </c>
      <c r="B268" s="201">
        <v>126260</v>
      </c>
      <c r="C268" s="239" t="str">
        <f>VLOOKUP($B:$B,RAW!$A:$B,2,0)</f>
        <v>유,무형,리스자산처분손실</v>
      </c>
      <c r="D268" s="37"/>
      <c r="E268" s="41"/>
      <c r="F268" s="125">
        <v>1</v>
      </c>
      <c r="G268" s="53"/>
      <c r="J268" s="35" t="s">
        <v>729</v>
      </c>
      <c r="K268" s="35" t="s">
        <v>1714</v>
      </c>
    </row>
    <row r="269" spans="1:11" s="35" customFormat="1">
      <c r="A269" s="35" t="s">
        <v>172</v>
      </c>
      <c r="B269" s="201">
        <v>126270</v>
      </c>
      <c r="C269" s="239" t="str">
        <f>VLOOKUP($B:$B,RAW!$A:$B,2,0)</f>
        <v>투자자산처분손실</v>
      </c>
      <c r="D269" s="37"/>
      <c r="E269" s="41"/>
      <c r="F269" s="126">
        <v>1</v>
      </c>
      <c r="G269" s="11"/>
      <c r="J269" s="35" t="s">
        <v>730</v>
      </c>
    </row>
    <row r="270" spans="1:11" s="35" customFormat="1">
      <c r="A270" s="35" t="s">
        <v>173</v>
      </c>
      <c r="B270" s="201">
        <v>126145</v>
      </c>
      <c r="C270" s="239" t="str">
        <f>VLOOKUP($B:$B,RAW!$A:$B,2,0)</f>
        <v>매도가능증권처분손실</v>
      </c>
      <c r="E270" s="41"/>
      <c r="F270" s="126">
        <v>1</v>
      </c>
      <c r="G270" s="11"/>
      <c r="J270" s="35" t="s">
        <v>731</v>
      </c>
    </row>
    <row r="271" spans="1:11" s="35" customFormat="1">
      <c r="A271" s="35" t="s">
        <v>325</v>
      </c>
      <c r="B271" s="201">
        <v>126146</v>
      </c>
      <c r="C271" s="239" t="str">
        <f>VLOOKUP($B:$B,RAW!$A:$B,2,0)</f>
        <v>만기보유증권처분손실</v>
      </c>
      <c r="D271" s="37"/>
      <c r="E271" s="41"/>
      <c r="F271" s="126">
        <v>1</v>
      </c>
      <c r="G271" s="11"/>
      <c r="J271" s="35" t="s">
        <v>732</v>
      </c>
    </row>
    <row r="272" spans="1:11" s="35" customFormat="1">
      <c r="A272" s="35" t="s">
        <v>326</v>
      </c>
      <c r="B272" s="201">
        <v>126149</v>
      </c>
      <c r="C272" s="239" t="str">
        <f>VLOOKUP($B:$B,RAW!$A:$B,2,0)</f>
        <v>자전거래손실</v>
      </c>
      <c r="D272" s="37"/>
      <c r="E272" s="41"/>
      <c r="F272" s="126">
        <v>1</v>
      </c>
      <c r="G272" s="11"/>
      <c r="J272" s="35" t="s">
        <v>733</v>
      </c>
    </row>
    <row r="273" spans="1:11" s="35" customFormat="1">
      <c r="A273" s="35" t="s">
        <v>327</v>
      </c>
      <c r="B273" s="201">
        <v>126151</v>
      </c>
      <c r="C273" s="239" t="str">
        <f>VLOOKUP($B:$B,RAW!$A:$B,2,0)</f>
        <v>공정가액조정손실</v>
      </c>
      <c r="D273" s="37"/>
      <c r="E273" s="41"/>
      <c r="F273" s="126">
        <v>1</v>
      </c>
      <c r="G273" s="11"/>
      <c r="J273" s="35" t="s">
        <v>734</v>
      </c>
    </row>
    <row r="274" spans="1:11" s="35" customFormat="1">
      <c r="A274" s="35" t="s">
        <v>328</v>
      </c>
      <c r="B274" s="201">
        <v>126400</v>
      </c>
      <c r="C274" s="239" t="str">
        <f>VLOOKUP($B:$B,RAW!$A:$B,2,0)</f>
        <v>임대주택자산감액손실</v>
      </c>
      <c r="D274" s="37"/>
      <c r="E274" s="41"/>
      <c r="F274" s="126">
        <v>1</v>
      </c>
      <c r="G274" s="11"/>
      <c r="J274" s="35" t="s">
        <v>735</v>
      </c>
    </row>
    <row r="275" spans="1:11" s="35" customFormat="1">
      <c r="A275" s="35" t="s">
        <v>329</v>
      </c>
      <c r="B275" s="201">
        <v>126275</v>
      </c>
      <c r="C275" s="239" t="str">
        <f>VLOOKUP($B:$B,RAW!$A:$B,2,0)</f>
        <v>투자자산감액손실</v>
      </c>
      <c r="D275" s="37"/>
      <c r="E275" s="41"/>
      <c r="F275" s="126">
        <v>1</v>
      </c>
      <c r="G275" s="11"/>
      <c r="J275" s="35" t="s">
        <v>736</v>
      </c>
    </row>
    <row r="276" spans="1:11" s="35" customFormat="1">
      <c r="A276" s="35" t="s">
        <v>330</v>
      </c>
      <c r="B276" s="201">
        <v>126147</v>
      </c>
      <c r="C276" s="239" t="str">
        <f>VLOOKUP($B:$B,RAW!$A:$B,2,0)</f>
        <v>매도가능증권감액손실</v>
      </c>
      <c r="D276" s="37"/>
      <c r="E276" s="41"/>
      <c r="F276" s="126">
        <v>1</v>
      </c>
      <c r="G276" s="11"/>
      <c r="J276" s="35" t="s">
        <v>737</v>
      </c>
      <c r="K276" s="35" t="s">
        <v>1715</v>
      </c>
    </row>
    <row r="277" spans="1:11" s="35" customFormat="1">
      <c r="A277" s="35" t="s">
        <v>331</v>
      </c>
      <c r="B277" s="201">
        <v>126148</v>
      </c>
      <c r="C277" s="239" t="str">
        <f>VLOOKUP($B:$B,RAW!$A:$B,2,0)</f>
        <v>만기보유증권감액손실</v>
      </c>
      <c r="D277" s="37"/>
      <c r="E277" s="41"/>
      <c r="F277" s="126">
        <v>1</v>
      </c>
      <c r="G277" s="11"/>
      <c r="J277" s="35" t="s">
        <v>738</v>
      </c>
    </row>
    <row r="278" spans="1:11" s="35" customFormat="1">
      <c r="A278" s="35" t="s">
        <v>332</v>
      </c>
      <c r="B278" s="201">
        <v>126155</v>
      </c>
      <c r="C278" s="239" t="str">
        <f>VLOOKUP($B:$B,RAW!$A:$B,2,0)</f>
        <v>지분법주식감액손실</v>
      </c>
      <c r="D278" s="37"/>
      <c r="E278" s="41"/>
      <c r="F278" s="126">
        <v>1</v>
      </c>
      <c r="G278" s="11"/>
      <c r="J278" s="35" t="s">
        <v>739</v>
      </c>
      <c r="K278" s="35" t="s">
        <v>1740</v>
      </c>
    </row>
    <row r="279" spans="1:11" s="35" customFormat="1">
      <c r="A279" s="35" t="s">
        <v>333</v>
      </c>
      <c r="B279" s="201">
        <v>126410</v>
      </c>
      <c r="C279" s="239" t="str">
        <f>VLOOKUP($B:$B,RAW!$A:$B,2,0)</f>
        <v>유형자산감액손실</v>
      </c>
      <c r="D279" s="37"/>
      <c r="E279" s="41"/>
      <c r="F279" s="125">
        <v>1</v>
      </c>
      <c r="G279" s="53"/>
      <c r="J279" s="35" t="s">
        <v>740</v>
      </c>
      <c r="K279" s="35" t="s">
        <v>1736</v>
      </c>
    </row>
    <row r="280" spans="1:11" s="35" customFormat="1">
      <c r="A280" s="35" t="s">
        <v>334</v>
      </c>
      <c r="B280" s="201">
        <v>126420</v>
      </c>
      <c r="C280" s="239" t="str">
        <f>VLOOKUP($B:$B,RAW!$A:$B,2,0)</f>
        <v>무형자산감액손실</v>
      </c>
      <c r="D280" s="37"/>
      <c r="E280" s="41"/>
      <c r="F280" s="125">
        <v>1</v>
      </c>
      <c r="G280" s="53"/>
      <c r="J280" s="35" t="s">
        <v>741</v>
      </c>
      <c r="K280" s="35" t="s">
        <v>1735</v>
      </c>
    </row>
    <row r="281" spans="1:11" s="35" customFormat="1">
      <c r="A281" s="35" t="s">
        <v>335</v>
      </c>
      <c r="B281" s="201">
        <v>126430</v>
      </c>
      <c r="C281" s="239" t="str">
        <f>VLOOKUP($B:$B,RAW!$A:$B,2,0)</f>
        <v>기타자산감액손실</v>
      </c>
      <c r="D281" s="37"/>
      <c r="E281" s="41"/>
      <c r="F281" s="126">
        <v>1</v>
      </c>
      <c r="G281" s="11"/>
      <c r="J281" s="35" t="s">
        <v>742</v>
      </c>
    </row>
    <row r="282" spans="1:11" s="35" customFormat="1">
      <c r="A282" s="35" t="s">
        <v>336</v>
      </c>
      <c r="B282" s="201">
        <v>126280</v>
      </c>
      <c r="C282" s="239" t="str">
        <f>VLOOKUP($B:$B,RAW!$A:$B,2,0)</f>
        <v>사채상환손실</v>
      </c>
      <c r="D282" s="37"/>
      <c r="E282" s="41"/>
      <c r="F282" s="126">
        <v>1</v>
      </c>
      <c r="G282" s="11"/>
      <c r="J282" s="35" t="s">
        <v>743</v>
      </c>
    </row>
    <row r="283" spans="1:11" s="35" customFormat="1">
      <c r="A283" s="35" t="s">
        <v>337</v>
      </c>
      <c r="B283" s="201">
        <v>126281</v>
      </c>
      <c r="C283" s="239" t="str">
        <f>VLOOKUP($B:$B,RAW!$A:$B,2,0)</f>
        <v>부채상환손실</v>
      </c>
      <c r="D283" s="37"/>
      <c r="E283" s="41"/>
      <c r="F283" s="126">
        <v>1</v>
      </c>
      <c r="G283" s="11"/>
      <c r="J283" s="35" t="s">
        <v>744</v>
      </c>
    </row>
    <row r="284" spans="1:11" s="35" customFormat="1">
      <c r="A284" s="35" t="s">
        <v>338</v>
      </c>
      <c r="B284" s="201">
        <v>126310</v>
      </c>
      <c r="C284" s="239" t="str">
        <f>VLOOKUP($B:$B,RAW!$A:$B,2,0)</f>
        <v>지분법손실</v>
      </c>
      <c r="D284" s="37"/>
      <c r="E284" s="41"/>
      <c r="F284" s="126">
        <v>1</v>
      </c>
      <c r="G284" s="11"/>
      <c r="J284" s="35" t="s">
        <v>745</v>
      </c>
      <c r="K284" s="35" t="s">
        <v>1716</v>
      </c>
    </row>
    <row r="285" spans="1:11" s="35" customFormat="1">
      <c r="A285" s="35" t="s">
        <v>339</v>
      </c>
      <c r="B285" s="201">
        <v>126330</v>
      </c>
      <c r="C285" s="239" t="str">
        <f>VLOOKUP($B:$B,RAW!$A:$B,2,0)</f>
        <v>법인세추납액</v>
      </c>
      <c r="D285" s="37"/>
      <c r="E285" s="41"/>
      <c r="F285" s="126">
        <v>1</v>
      </c>
      <c r="G285" s="11"/>
      <c r="J285" s="35" t="s">
        <v>746</v>
      </c>
    </row>
    <row r="286" spans="1:11" s="35" customFormat="1">
      <c r="A286" s="35" t="s">
        <v>340</v>
      </c>
      <c r="B286" s="201">
        <v>126350</v>
      </c>
      <c r="C286" s="239" t="str">
        <f>VLOOKUP($B:$B,RAW!$A:$B,2,0)</f>
        <v>전환사채전환손실</v>
      </c>
      <c r="D286" s="37"/>
      <c r="E286" s="41"/>
      <c r="F286" s="126">
        <v>1</v>
      </c>
      <c r="G286" s="11"/>
      <c r="J286" s="35" t="s">
        <v>747</v>
      </c>
    </row>
    <row r="287" spans="1:11" s="35" customFormat="1">
      <c r="A287" s="35" t="s">
        <v>341</v>
      </c>
      <c r="B287" s="201">
        <v>126137</v>
      </c>
      <c r="C287" s="239" t="str">
        <f>VLOOKUP($B:$B,RAW!$A:$B,2,0)</f>
        <v>중간기간오류손실</v>
      </c>
      <c r="D287" s="37"/>
      <c r="E287" s="41"/>
      <c r="F287" s="126">
        <v>1</v>
      </c>
      <c r="G287" s="11"/>
      <c r="J287" s="35" t="s">
        <v>748</v>
      </c>
    </row>
    <row r="288" spans="1:11" s="35" customFormat="1">
      <c r="A288" s="35" t="s">
        <v>342</v>
      </c>
      <c r="B288" s="201">
        <v>126138</v>
      </c>
      <c r="C288" s="239" t="str">
        <f>VLOOKUP($B:$B,RAW!$A:$B,2,0)</f>
        <v>중간기간영업외비용조정</v>
      </c>
      <c r="D288" s="37"/>
      <c r="E288" s="41"/>
      <c r="F288" s="126">
        <v>1</v>
      </c>
      <c r="G288" s="11"/>
      <c r="J288" s="35" t="s">
        <v>749</v>
      </c>
    </row>
    <row r="289" spans="1:10" s="35" customFormat="1">
      <c r="A289" s="35" t="s">
        <v>174</v>
      </c>
      <c r="B289" s="201">
        <v>126134</v>
      </c>
      <c r="C289" s="239" t="str">
        <f>VLOOKUP($B:$B,RAW!$A:$B,2,0)</f>
        <v>전기오류수정손실</v>
      </c>
      <c r="D289" s="37"/>
      <c r="E289" s="41"/>
      <c r="F289" s="126">
        <v>1</v>
      </c>
      <c r="G289" s="11"/>
      <c r="J289" s="35" t="s">
        <v>750</v>
      </c>
    </row>
    <row r="290" spans="1:10" s="35" customFormat="1">
      <c r="A290" s="35" t="s">
        <v>343</v>
      </c>
      <c r="B290" s="201">
        <v>126135</v>
      </c>
      <c r="C290" s="239" t="str">
        <f>VLOOKUP($B:$B,RAW!$A:$B,2,0)</f>
        <v>복구충당부채전입액</v>
      </c>
      <c r="D290" s="37"/>
      <c r="E290" s="41"/>
      <c r="F290" s="126">
        <v>1</v>
      </c>
      <c r="G290" s="11"/>
      <c r="J290" s="35" t="s">
        <v>751</v>
      </c>
    </row>
    <row r="291" spans="1:10" s="35" customFormat="1">
      <c r="A291" s="35" t="s">
        <v>344</v>
      </c>
      <c r="B291" s="201">
        <v>126136</v>
      </c>
      <c r="C291" s="239" t="str">
        <f>VLOOKUP($B:$B,RAW!$A:$B,2,0)</f>
        <v>복구공사손실</v>
      </c>
      <c r="D291" s="37"/>
      <c r="E291" s="41"/>
      <c r="F291" s="126">
        <v>1</v>
      </c>
      <c r="G291" s="11"/>
      <c r="J291" s="35" t="s">
        <v>752</v>
      </c>
    </row>
    <row r="292" spans="1:10" s="35" customFormat="1">
      <c r="A292" s="35" t="s">
        <v>345</v>
      </c>
      <c r="B292" s="201">
        <v>126166</v>
      </c>
      <c r="C292" s="239" t="str">
        <f>VLOOKUP($B:$B,RAW!$A:$B,2,0)</f>
        <v>재해손실</v>
      </c>
      <c r="D292" s="37"/>
      <c r="E292" s="41"/>
      <c r="F292" s="126">
        <v>1</v>
      </c>
      <c r="G292" s="11"/>
      <c r="J292" s="35" t="s">
        <v>753</v>
      </c>
    </row>
    <row r="293" spans="1:10" s="35" customFormat="1">
      <c r="A293" s="35" t="s">
        <v>346</v>
      </c>
      <c r="B293" s="201">
        <v>126167</v>
      </c>
      <c r="C293" s="239" t="str">
        <f>VLOOKUP($B:$B,RAW!$A:$B,2,0)</f>
        <v>특별상각</v>
      </c>
      <c r="D293" s="37"/>
      <c r="E293" s="41"/>
      <c r="F293" s="126">
        <v>1</v>
      </c>
      <c r="G293" s="11"/>
      <c r="J293" s="35" t="s">
        <v>754</v>
      </c>
    </row>
    <row r="294" spans="1:10" s="35" customFormat="1">
      <c r="A294" s="35" t="s">
        <v>347</v>
      </c>
      <c r="B294" s="201">
        <v>126168</v>
      </c>
      <c r="C294" s="239" t="str">
        <f>VLOOKUP($B:$B,RAW!$A:$B,2,0)</f>
        <v>해외사업환산손실상각</v>
      </c>
      <c r="D294" s="37"/>
      <c r="E294" s="41"/>
      <c r="F294" s="126">
        <v>1</v>
      </c>
      <c r="G294" s="11"/>
      <c r="J294" s="35" t="s">
        <v>755</v>
      </c>
    </row>
    <row r="295" spans="1:10" s="35" customFormat="1">
      <c r="A295" s="35" t="s">
        <v>175</v>
      </c>
      <c r="B295" s="201">
        <v>126250</v>
      </c>
      <c r="C295" s="239" t="str">
        <f>VLOOKUP($B:$B,RAW!$A:$B,2,0)</f>
        <v>기타영업외비용</v>
      </c>
      <c r="D295" s="43">
        <f>SUM(E245:E295)</f>
        <v>0</v>
      </c>
      <c r="E295" s="41"/>
      <c r="F295" s="125">
        <v>0</v>
      </c>
      <c r="G295" s="53"/>
    </row>
    <row r="296" spans="1:10" s="35" customFormat="1">
      <c r="A296" s="35" t="s">
        <v>14</v>
      </c>
      <c r="B296" s="205">
        <v>128000</v>
      </c>
      <c r="C296" s="231" t="str">
        <f>VLOOKUP($B:$B,RAW!$A:$B,2,0)</f>
        <v>법인세비용차감전계속사업이익(손실)</v>
      </c>
      <c r="D296" s="47">
        <f>D177+D178-D243</f>
        <v>0</v>
      </c>
      <c r="G296" s="53"/>
    </row>
    <row r="297" spans="1:10" s="35" customFormat="1">
      <c r="A297" s="35" t="s">
        <v>15</v>
      </c>
      <c r="B297" s="205">
        <v>128100</v>
      </c>
      <c r="C297" s="229" t="str">
        <f>VLOOKUP($B:$B,RAW!$A:$B,2,0)</f>
        <v>계속사업손익법인세비용(부의법인세비용)</v>
      </c>
      <c r="D297" s="48"/>
      <c r="E297" s="7"/>
      <c r="F297" s="7"/>
      <c r="G297" s="11"/>
    </row>
    <row r="298" spans="1:10" s="35" customFormat="1">
      <c r="A298" s="35" t="s">
        <v>16</v>
      </c>
      <c r="B298" s="205">
        <v>128160</v>
      </c>
      <c r="C298" s="231" t="str">
        <f>VLOOKUP($B:$B,RAW!$A:$B,2,0)</f>
        <v>계속사업이익(손실)</v>
      </c>
      <c r="D298" s="47">
        <f>D296-D297</f>
        <v>0</v>
      </c>
      <c r="G298" s="53"/>
    </row>
    <row r="299" spans="1:10" s="35" customFormat="1">
      <c r="A299" s="35" t="s">
        <v>17</v>
      </c>
      <c r="B299" s="205">
        <v>129000</v>
      </c>
      <c r="C299" s="232" t="str">
        <f>VLOOKUP($B:$B,RAW!$A:$B,2,0)</f>
        <v>당기순이익(손실)</v>
      </c>
      <c r="D299" s="49">
        <f>D298</f>
        <v>0</v>
      </c>
      <c r="E299" s="50"/>
      <c r="F299" s="50"/>
      <c r="G299" s="54"/>
    </row>
    <row r="302" spans="1:10" s="3" customFormat="1" ht="12" customHeight="1">
      <c r="A302" s="3" t="s">
        <v>1435</v>
      </c>
      <c r="B302" s="129"/>
      <c r="C302" s="491" t="e">
        <f>VLOOKUP($B:$B,RAW!$A:$B,2,0)</f>
        <v>#N/A</v>
      </c>
      <c r="D302" s="493"/>
      <c r="E302" s="494"/>
      <c r="F302" s="494"/>
      <c r="G302" s="6"/>
    </row>
    <row r="303" spans="1:10" s="1" customFormat="1" ht="12" customHeight="1">
      <c r="B303" s="131"/>
      <c r="C303" s="492" t="e">
        <f>VLOOKUP($B:$B,RAW!$A:$B,2,0)</f>
        <v>#N/A</v>
      </c>
      <c r="D303" s="495"/>
      <c r="E303" s="496"/>
      <c r="F303" s="496"/>
      <c r="G303" s="65"/>
    </row>
    <row r="304" spans="1:10" s="3" customFormat="1" ht="12" customHeight="1" thickBot="1">
      <c r="A304" s="3" t="s">
        <v>177</v>
      </c>
      <c r="B304" s="200">
        <v>161000</v>
      </c>
      <c r="C304" s="233" t="str">
        <f>VLOOKUP($B:$B,RAW!$A:$B,2,0)</f>
        <v>영업활동으로인한현금흐름</v>
      </c>
      <c r="D304" s="55"/>
      <c r="G304" s="57"/>
    </row>
    <row r="305" spans="1:7" s="3" customFormat="1" ht="12" customHeight="1">
      <c r="A305" s="3" t="s">
        <v>29</v>
      </c>
      <c r="B305" s="202">
        <v>161211</v>
      </c>
      <c r="C305" s="240" t="str">
        <f>VLOOKUP($B:$B,RAW!$A:$B,2,0)</f>
        <v>유형,임대주택자산감가상각비</v>
      </c>
      <c r="D305" s="137"/>
      <c r="G305" s="57"/>
    </row>
    <row r="306" spans="1:7" s="3" customFormat="1" ht="12" customHeight="1" thickBot="1">
      <c r="A306" s="3" t="s">
        <v>1442</v>
      </c>
      <c r="B306" s="202">
        <v>161212</v>
      </c>
      <c r="C306" s="240" t="str">
        <f>VLOOKUP($B:$B,RAW!$A:$B,2,0)</f>
        <v>무형자산상각비2</v>
      </c>
      <c r="D306" s="138"/>
      <c r="G306" s="57"/>
    </row>
    <row r="307" spans="1:7" s="3" customFormat="1" ht="12" customHeight="1">
      <c r="A307" s="3" t="s">
        <v>36</v>
      </c>
      <c r="B307" s="205">
        <v>162000</v>
      </c>
      <c r="C307" s="233" t="str">
        <f>VLOOKUP($B:$B,RAW!$A:$B,2,0)</f>
        <v>투자활동으로인한현금흐름</v>
      </c>
      <c r="D307" s="56"/>
      <c r="E307" s="2"/>
      <c r="G307" s="57"/>
    </row>
    <row r="308" spans="1:7" s="3" customFormat="1" ht="12" customHeight="1">
      <c r="A308" s="3" t="s">
        <v>37</v>
      </c>
      <c r="B308" s="205">
        <v>163000</v>
      </c>
      <c r="C308" s="233" t="str">
        <f>VLOOKUP($B:$B,RAW!$A:$B,2,0)</f>
        <v>재무활동으로인한현금흐름</v>
      </c>
      <c r="D308" s="56"/>
      <c r="G308" s="57"/>
    </row>
  </sheetData>
  <mergeCells count="6">
    <mergeCell ref="C302:C303"/>
    <mergeCell ref="D302:F303"/>
    <mergeCell ref="C1:C2"/>
    <mergeCell ref="D1:F2"/>
    <mergeCell ref="C123:C124"/>
    <mergeCell ref="D123:F124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A255"/>
  <sheetViews>
    <sheetView showGridLines="0" showZeros="0" zoomScaleNormal="100" workbookViewId="0">
      <pane xSplit="1" ySplit="2" topLeftCell="B3" activePane="bottomRight" state="frozen"/>
      <selection activeCell="C1" sqref="C1"/>
      <selection pane="topRight" activeCell="D1" sqref="D1"/>
      <selection pane="bottomLeft" activeCell="C3" sqref="C3"/>
      <selection pane="bottomRight" activeCell="C5" sqref="C5"/>
    </sheetView>
  </sheetViews>
  <sheetFormatPr defaultRowHeight="12" customHeight="1"/>
  <cols>
    <col min="1" max="1" width="24.625" style="277" customWidth="1"/>
    <col min="2" max="16384" width="9" style="245"/>
  </cols>
  <sheetData>
    <row r="1" spans="1:1" s="246" customFormat="1" ht="12" customHeight="1">
      <c r="A1" s="296">
        <v>0</v>
      </c>
    </row>
    <row r="2" spans="1:1" s="248" customFormat="1" ht="12" customHeight="1">
      <c r="A2" s="250" t="s">
        <v>1434</v>
      </c>
    </row>
    <row r="3" spans="1:1" ht="12" customHeight="1">
      <c r="A3" s="278" t="s">
        <v>1</v>
      </c>
    </row>
    <row r="4" spans="1:1" ht="12" customHeight="1">
      <c r="A4" s="308" t="s">
        <v>775</v>
      </c>
    </row>
    <row r="5" spans="1:1" ht="12" customHeight="1">
      <c r="A5" s="311" t="s">
        <v>555</v>
      </c>
    </row>
    <row r="6" spans="1:1" ht="12" customHeight="1">
      <c r="A6" s="311" t="s">
        <v>556</v>
      </c>
    </row>
    <row r="7" spans="1:1" ht="12" customHeight="1">
      <c r="A7" s="311" t="s">
        <v>557</v>
      </c>
    </row>
    <row r="8" spans="1:1" ht="12" customHeight="1">
      <c r="A8" s="311" t="s">
        <v>558</v>
      </c>
    </row>
    <row r="9" spans="1:1" ht="12" customHeight="1">
      <c r="A9" s="311" t="s">
        <v>559</v>
      </c>
    </row>
    <row r="10" spans="1:1" ht="12" customHeight="1">
      <c r="A10" s="314" t="s">
        <v>560</v>
      </c>
    </row>
    <row r="11" spans="1:1" ht="12" customHeight="1">
      <c r="A11" s="314" t="s">
        <v>561</v>
      </c>
    </row>
    <row r="12" spans="1:1" ht="12" customHeight="1">
      <c r="A12" s="314" t="s">
        <v>562</v>
      </c>
    </row>
    <row r="13" spans="1:1" ht="12" customHeight="1">
      <c r="A13" s="314" t="s">
        <v>563</v>
      </c>
    </row>
    <row r="14" spans="1:1" ht="12" customHeight="1">
      <c r="A14" s="314" t="s">
        <v>564</v>
      </c>
    </row>
    <row r="15" spans="1:1" ht="12" customHeight="1">
      <c r="A15" s="311" t="s">
        <v>565</v>
      </c>
    </row>
    <row r="16" spans="1:1" ht="12" customHeight="1">
      <c r="A16" s="308" t="s">
        <v>795</v>
      </c>
    </row>
    <row r="17" spans="1:1" ht="12" customHeight="1">
      <c r="A17" s="278" t="s">
        <v>2</v>
      </c>
    </row>
    <row r="18" spans="1:1" ht="12" customHeight="1">
      <c r="A18" s="308" t="s">
        <v>805</v>
      </c>
    </row>
    <row r="19" spans="1:1" ht="12" customHeight="1">
      <c r="A19" s="311" t="s">
        <v>566</v>
      </c>
    </row>
    <row r="20" spans="1:1" ht="12" customHeight="1">
      <c r="A20" s="311" t="s">
        <v>567</v>
      </c>
    </row>
    <row r="21" spans="1:1" ht="12" customHeight="1">
      <c r="A21" s="311" t="s">
        <v>568</v>
      </c>
    </row>
    <row r="22" spans="1:1" ht="12" customHeight="1">
      <c r="A22" s="311" t="s">
        <v>569</v>
      </c>
    </row>
    <row r="23" spans="1:1" ht="12" customHeight="1">
      <c r="A23" s="311" t="s">
        <v>570</v>
      </c>
    </row>
    <row r="24" spans="1:1" ht="12" customHeight="1">
      <c r="A24" s="308" t="s">
        <v>807</v>
      </c>
    </row>
    <row r="25" spans="1:1" ht="12" customHeight="1">
      <c r="A25" s="308" t="s">
        <v>571</v>
      </c>
    </row>
    <row r="26" spans="1:1" ht="12" customHeight="1">
      <c r="A26" s="311" t="s">
        <v>572</v>
      </c>
    </row>
    <row r="27" spans="1:1" ht="12" customHeight="1">
      <c r="A27" s="308" t="s">
        <v>815</v>
      </c>
    </row>
    <row r="28" spans="1:1" ht="12" customHeight="1">
      <c r="A28" s="311" t="s">
        <v>573</v>
      </c>
    </row>
    <row r="29" spans="1:1" ht="12" customHeight="1">
      <c r="A29" s="308" t="s">
        <v>820</v>
      </c>
    </row>
    <row r="30" spans="1:1" ht="12" customHeight="1">
      <c r="A30" s="311" t="s">
        <v>574</v>
      </c>
    </row>
    <row r="31" spans="1:1" ht="12" customHeight="1">
      <c r="A31" s="311" t="s">
        <v>575</v>
      </c>
    </row>
    <row r="32" spans="1:1" ht="12" customHeight="1">
      <c r="A32" s="281" t="s">
        <v>3</v>
      </c>
    </row>
    <row r="33" spans="1:1" ht="12" customHeight="1">
      <c r="A33" s="309" t="s">
        <v>825</v>
      </c>
    </row>
    <row r="34" spans="1:1" ht="12" customHeight="1">
      <c r="A34" s="312" t="s">
        <v>576</v>
      </c>
    </row>
    <row r="35" spans="1:1" ht="12" customHeight="1">
      <c r="A35" s="312" t="s">
        <v>577</v>
      </c>
    </row>
    <row r="36" spans="1:1" ht="12" customHeight="1">
      <c r="A36" s="315" t="s">
        <v>376</v>
      </c>
    </row>
    <row r="37" spans="1:1" ht="12" customHeight="1">
      <c r="A37" s="315" t="s">
        <v>377</v>
      </c>
    </row>
    <row r="38" spans="1:1" ht="12" customHeight="1">
      <c r="A38" s="315" t="s">
        <v>379</v>
      </c>
    </row>
    <row r="39" spans="1:1" ht="12" customHeight="1">
      <c r="A39" s="315" t="s">
        <v>378</v>
      </c>
    </row>
    <row r="40" spans="1:1" ht="12" customHeight="1">
      <c r="A40" s="315" t="s">
        <v>578</v>
      </c>
    </row>
    <row r="41" spans="1:1" ht="12" customHeight="1">
      <c r="A41" s="315" t="s">
        <v>380</v>
      </c>
    </row>
    <row r="42" spans="1:1" ht="12" customHeight="1">
      <c r="A42" s="315" t="s">
        <v>579</v>
      </c>
    </row>
    <row r="43" spans="1:1" ht="12" customHeight="1">
      <c r="A43" s="312" t="s">
        <v>580</v>
      </c>
    </row>
    <row r="44" spans="1:1" ht="12" customHeight="1">
      <c r="A44" s="312" t="s">
        <v>581</v>
      </c>
    </row>
    <row r="45" spans="1:1" ht="12" customHeight="1">
      <c r="A45" s="315" t="s">
        <v>582</v>
      </c>
    </row>
    <row r="46" spans="1:1" ht="12" customHeight="1">
      <c r="A46" s="315" t="s">
        <v>583</v>
      </c>
    </row>
    <row r="47" spans="1:1" ht="12" customHeight="1">
      <c r="A47" s="315" t="s">
        <v>584</v>
      </c>
    </row>
    <row r="48" spans="1:1" ht="12" customHeight="1">
      <c r="A48" s="309" t="s">
        <v>837</v>
      </c>
    </row>
    <row r="49" spans="1:1" ht="12" customHeight="1">
      <c r="A49" s="312" t="s">
        <v>838</v>
      </c>
    </row>
    <row r="50" spans="1:1" ht="12" customHeight="1">
      <c r="A50" s="312" t="s">
        <v>1277</v>
      </c>
    </row>
    <row r="51" spans="1:1" ht="12" customHeight="1">
      <c r="A51" s="315" t="s">
        <v>382</v>
      </c>
    </row>
    <row r="52" spans="1:1" ht="12" customHeight="1">
      <c r="A52" s="315" t="s">
        <v>585</v>
      </c>
    </row>
    <row r="53" spans="1:1" ht="12" customHeight="1">
      <c r="A53" s="315" t="s">
        <v>586</v>
      </c>
    </row>
    <row r="54" spans="1:1" ht="12" customHeight="1">
      <c r="A54" s="315" t="s">
        <v>587</v>
      </c>
    </row>
    <row r="55" spans="1:1" ht="12" customHeight="1">
      <c r="A55" s="315" t="s">
        <v>383</v>
      </c>
    </row>
    <row r="56" spans="1:1" ht="12" customHeight="1">
      <c r="A56" s="315" t="s">
        <v>588</v>
      </c>
    </row>
    <row r="57" spans="1:1" ht="12" customHeight="1">
      <c r="A57" s="312" t="s">
        <v>383</v>
      </c>
    </row>
    <row r="58" spans="1:1" ht="12" customHeight="1">
      <c r="A58" s="315" t="s">
        <v>383</v>
      </c>
    </row>
    <row r="59" spans="1:1" ht="12" customHeight="1">
      <c r="A59" s="283" t="s">
        <v>4</v>
      </c>
    </row>
    <row r="60" spans="1:1" ht="12" customHeight="1">
      <c r="A60" s="310" t="s">
        <v>589</v>
      </c>
    </row>
    <row r="61" spans="1:1" ht="12" customHeight="1">
      <c r="A61" s="310" t="s">
        <v>1699</v>
      </c>
    </row>
    <row r="62" spans="1:1" ht="12" customHeight="1">
      <c r="A62" s="313" t="s">
        <v>591</v>
      </c>
    </row>
    <row r="63" spans="1:1" ht="12" customHeight="1">
      <c r="A63" s="313" t="s">
        <v>592</v>
      </c>
    </row>
    <row r="64" spans="1:1" ht="12" customHeight="1">
      <c r="A64" s="310" t="s">
        <v>593</v>
      </c>
    </row>
    <row r="65" spans="1:1" ht="12" customHeight="1">
      <c r="A65" s="310" t="s">
        <v>594</v>
      </c>
    </row>
    <row r="66" spans="1:1" ht="12" customHeight="1">
      <c r="A66" s="313" t="s">
        <v>595</v>
      </c>
    </row>
    <row r="67" spans="1:1" ht="12" customHeight="1">
      <c r="A67" s="310" t="s">
        <v>596</v>
      </c>
    </row>
    <row r="68" spans="1:1" ht="12" customHeight="1">
      <c r="A68" s="310" t="s">
        <v>597</v>
      </c>
    </row>
    <row r="69" spans="1:1" ht="12" customHeight="1">
      <c r="A69" s="284" t="s">
        <v>5</v>
      </c>
    </row>
    <row r="70" spans="1:1" ht="12" customHeight="1">
      <c r="A70" s="284" t="s">
        <v>6</v>
      </c>
    </row>
    <row r="71" spans="1:1" ht="12" customHeight="1">
      <c r="A71" s="292"/>
    </row>
    <row r="72" spans="1:1" ht="12" customHeight="1">
      <c r="A72" s="299"/>
    </row>
    <row r="73" spans="1:1" s="248" customFormat="1">
      <c r="A73" s="250" t="s">
        <v>1446</v>
      </c>
    </row>
    <row r="74" spans="1:1">
      <c r="A74" s="285" t="s">
        <v>7</v>
      </c>
    </row>
    <row r="75" spans="1:1">
      <c r="A75" s="286" t="s">
        <v>8</v>
      </c>
    </row>
    <row r="76" spans="1:1">
      <c r="A76" s="287" t="s">
        <v>9</v>
      </c>
    </row>
    <row r="77" spans="1:1">
      <c r="A77" s="285" t="s">
        <v>10</v>
      </c>
    </row>
    <row r="78" spans="1:1">
      <c r="A78" s="316" t="s">
        <v>598</v>
      </c>
    </row>
    <row r="79" spans="1:1">
      <c r="A79" s="316" t="s">
        <v>599</v>
      </c>
    </row>
    <row r="80" spans="1:1">
      <c r="A80" s="316" t="s">
        <v>600</v>
      </c>
    </row>
    <row r="81" spans="1:1">
      <c r="A81" s="316" t="s">
        <v>601</v>
      </c>
    </row>
    <row r="82" spans="1:1">
      <c r="A82" s="316" t="s">
        <v>602</v>
      </c>
    </row>
    <row r="83" spans="1:1">
      <c r="A83" s="316" t="s">
        <v>603</v>
      </c>
    </row>
    <row r="84" spans="1:1">
      <c r="A84" s="316" t="s">
        <v>604</v>
      </c>
    </row>
    <row r="85" spans="1:1">
      <c r="A85" s="316" t="s">
        <v>605</v>
      </c>
    </row>
    <row r="86" spans="1:1">
      <c r="A86" s="316" t="s">
        <v>606</v>
      </c>
    </row>
    <row r="87" spans="1:1">
      <c r="A87" s="316" t="s">
        <v>607</v>
      </c>
    </row>
    <row r="88" spans="1:1">
      <c r="A88" s="316" t="s">
        <v>608</v>
      </c>
    </row>
    <row r="89" spans="1:1">
      <c r="A89" s="316" t="s">
        <v>609</v>
      </c>
    </row>
    <row r="90" spans="1:1">
      <c r="A90" s="316" t="s">
        <v>610</v>
      </c>
    </row>
    <row r="91" spans="1:1">
      <c r="A91" s="316" t="s">
        <v>611</v>
      </c>
    </row>
    <row r="92" spans="1:1">
      <c r="A92" s="316" t="s">
        <v>612</v>
      </c>
    </row>
    <row r="93" spans="1:1">
      <c r="A93" s="316" t="s">
        <v>613</v>
      </c>
    </row>
    <row r="94" spans="1:1">
      <c r="A94" s="316" t="s">
        <v>614</v>
      </c>
    </row>
    <row r="95" spans="1:1">
      <c r="A95" s="316" t="s">
        <v>615</v>
      </c>
    </row>
    <row r="96" spans="1:1">
      <c r="A96" s="316" t="s">
        <v>616</v>
      </c>
    </row>
    <row r="97" spans="1:1">
      <c r="A97" s="316" t="s">
        <v>617</v>
      </c>
    </row>
    <row r="98" spans="1:1">
      <c r="A98" s="316" t="s">
        <v>618</v>
      </c>
    </row>
    <row r="99" spans="1:1">
      <c r="A99" s="316" t="s">
        <v>619</v>
      </c>
    </row>
    <row r="100" spans="1:1">
      <c r="A100" s="316" t="s">
        <v>774</v>
      </c>
    </row>
    <row r="101" spans="1:1">
      <c r="A101" s="316" t="s">
        <v>620</v>
      </c>
    </row>
    <row r="102" spans="1:1">
      <c r="A102" s="316" t="s">
        <v>621</v>
      </c>
    </row>
    <row r="103" spans="1:1">
      <c r="A103" s="316" t="s">
        <v>622</v>
      </c>
    </row>
    <row r="104" spans="1:1">
      <c r="A104" s="316" t="s">
        <v>623</v>
      </c>
    </row>
    <row r="105" spans="1:1">
      <c r="A105" s="316" t="s">
        <v>624</v>
      </c>
    </row>
    <row r="106" spans="1:1">
      <c r="A106" s="316" t="s">
        <v>625</v>
      </c>
    </row>
    <row r="107" spans="1:1">
      <c r="A107" s="316" t="s">
        <v>626</v>
      </c>
    </row>
    <row r="108" spans="1:1">
      <c r="A108" s="316" t="s">
        <v>627</v>
      </c>
    </row>
    <row r="109" spans="1:1">
      <c r="A109" s="316" t="s">
        <v>628</v>
      </c>
    </row>
    <row r="110" spans="1:1">
      <c r="A110" s="316" t="s">
        <v>629</v>
      </c>
    </row>
    <row r="111" spans="1:1">
      <c r="A111" s="316" t="s">
        <v>630</v>
      </c>
    </row>
    <row r="112" spans="1:1">
      <c r="A112" s="316" t="s">
        <v>631</v>
      </c>
    </row>
    <row r="113" spans="1:1">
      <c r="A113" s="316" t="s">
        <v>632</v>
      </c>
    </row>
    <row r="114" spans="1:1">
      <c r="A114" s="316" t="s">
        <v>633</v>
      </c>
    </row>
    <row r="115" spans="1:1">
      <c r="A115" s="316" t="s">
        <v>634</v>
      </c>
    </row>
    <row r="116" spans="1:1">
      <c r="A116" s="316" t="s">
        <v>635</v>
      </c>
    </row>
    <row r="117" spans="1:1">
      <c r="A117" s="316" t="s">
        <v>636</v>
      </c>
    </row>
    <row r="118" spans="1:1">
      <c r="A118" s="316" t="s">
        <v>637</v>
      </c>
    </row>
    <row r="119" spans="1:1">
      <c r="A119" s="316" t="s">
        <v>638</v>
      </c>
    </row>
    <row r="120" spans="1:1">
      <c r="A120" s="316" t="s">
        <v>639</v>
      </c>
    </row>
    <row r="121" spans="1:1">
      <c r="A121" s="316" t="s">
        <v>640</v>
      </c>
    </row>
    <row r="122" spans="1:1">
      <c r="A122" s="316" t="s">
        <v>641</v>
      </c>
    </row>
    <row r="123" spans="1:1">
      <c r="A123" s="316" t="s">
        <v>642</v>
      </c>
    </row>
    <row r="124" spans="1:1">
      <c r="A124" s="316" t="s">
        <v>643</v>
      </c>
    </row>
    <row r="125" spans="1:1">
      <c r="A125" s="316" t="s">
        <v>644</v>
      </c>
    </row>
    <row r="126" spans="1:1">
      <c r="A126" s="285" t="s">
        <v>11</v>
      </c>
    </row>
    <row r="127" spans="1:1">
      <c r="A127" s="285" t="s">
        <v>12</v>
      </c>
    </row>
    <row r="128" spans="1:1">
      <c r="A128" s="317" t="s">
        <v>645</v>
      </c>
    </row>
    <row r="129" spans="1:1">
      <c r="A129" s="317" t="s">
        <v>646</v>
      </c>
    </row>
    <row r="130" spans="1:1">
      <c r="A130" s="317" t="s">
        <v>647</v>
      </c>
    </row>
    <row r="131" spans="1:1">
      <c r="A131" s="317" t="s">
        <v>648</v>
      </c>
    </row>
    <row r="132" spans="1:1">
      <c r="A132" s="317" t="s">
        <v>649</v>
      </c>
    </row>
    <row r="133" spans="1:1">
      <c r="A133" s="317" t="s">
        <v>650</v>
      </c>
    </row>
    <row r="134" spans="1:1">
      <c r="A134" s="317" t="s">
        <v>651</v>
      </c>
    </row>
    <row r="135" spans="1:1">
      <c r="A135" s="317" t="s">
        <v>652</v>
      </c>
    </row>
    <row r="136" spans="1:1">
      <c r="A136" s="317" t="s">
        <v>653</v>
      </c>
    </row>
    <row r="137" spans="1:1">
      <c r="A137" s="317" t="s">
        <v>654</v>
      </c>
    </row>
    <row r="138" spans="1:1">
      <c r="A138" s="317" t="s">
        <v>655</v>
      </c>
    </row>
    <row r="139" spans="1:1">
      <c r="A139" s="317" t="s">
        <v>656</v>
      </c>
    </row>
    <row r="140" spans="1:1">
      <c r="A140" s="317" t="s">
        <v>657</v>
      </c>
    </row>
    <row r="141" spans="1:1">
      <c r="A141" s="317" t="s">
        <v>658</v>
      </c>
    </row>
    <row r="142" spans="1:1">
      <c r="A142" s="317" t="s">
        <v>659</v>
      </c>
    </row>
    <row r="143" spans="1:1">
      <c r="A143" s="317" t="s">
        <v>660</v>
      </c>
    </row>
    <row r="144" spans="1:1">
      <c r="A144" s="317" t="s">
        <v>661</v>
      </c>
    </row>
    <row r="145" spans="1:1">
      <c r="A145" s="317" t="s">
        <v>662</v>
      </c>
    </row>
    <row r="146" spans="1:1">
      <c r="A146" s="317" t="s">
        <v>663</v>
      </c>
    </row>
    <row r="147" spans="1:1">
      <c r="A147" s="317" t="s">
        <v>664</v>
      </c>
    </row>
    <row r="148" spans="1:1">
      <c r="A148" s="317" t="s">
        <v>665</v>
      </c>
    </row>
    <row r="149" spans="1:1">
      <c r="A149" s="317" t="s">
        <v>666</v>
      </c>
    </row>
    <row r="150" spans="1:1">
      <c r="A150" s="317" t="s">
        <v>667</v>
      </c>
    </row>
    <row r="151" spans="1:1">
      <c r="A151" s="317" t="s">
        <v>668</v>
      </c>
    </row>
    <row r="152" spans="1:1">
      <c r="A152" s="317" t="s">
        <v>669</v>
      </c>
    </row>
    <row r="153" spans="1:1">
      <c r="A153" s="317" t="s">
        <v>670</v>
      </c>
    </row>
    <row r="154" spans="1:1">
      <c r="A154" s="317" t="s">
        <v>671</v>
      </c>
    </row>
    <row r="155" spans="1:1">
      <c r="A155" s="317" t="s">
        <v>672</v>
      </c>
    </row>
    <row r="156" spans="1:1">
      <c r="A156" s="317" t="s">
        <v>673</v>
      </c>
    </row>
    <row r="157" spans="1:1">
      <c r="A157" s="317" t="s">
        <v>674</v>
      </c>
    </row>
    <row r="158" spans="1:1">
      <c r="A158" s="317" t="s">
        <v>675</v>
      </c>
    </row>
    <row r="159" spans="1:1">
      <c r="A159" s="317" t="s">
        <v>676</v>
      </c>
    </row>
    <row r="160" spans="1:1">
      <c r="A160" s="317" t="s">
        <v>677</v>
      </c>
    </row>
    <row r="161" spans="1:1">
      <c r="A161" s="317" t="s">
        <v>678</v>
      </c>
    </row>
    <row r="162" spans="1:1">
      <c r="A162" s="317" t="s">
        <v>679</v>
      </c>
    </row>
    <row r="163" spans="1:1">
      <c r="A163" s="317" t="s">
        <v>680</v>
      </c>
    </row>
    <row r="164" spans="1:1">
      <c r="A164" s="317" t="s">
        <v>681</v>
      </c>
    </row>
    <row r="165" spans="1:1">
      <c r="A165" s="317" t="s">
        <v>682</v>
      </c>
    </row>
    <row r="166" spans="1:1">
      <c r="A166" s="317" t="s">
        <v>683</v>
      </c>
    </row>
    <row r="167" spans="1:1">
      <c r="A167" s="317" t="s">
        <v>684</v>
      </c>
    </row>
    <row r="168" spans="1:1">
      <c r="A168" s="317" t="s">
        <v>685</v>
      </c>
    </row>
    <row r="169" spans="1:1">
      <c r="A169" s="317" t="s">
        <v>686</v>
      </c>
    </row>
    <row r="170" spans="1:1">
      <c r="A170" s="317" t="s">
        <v>687</v>
      </c>
    </row>
    <row r="171" spans="1:1">
      <c r="A171" s="317" t="s">
        <v>688</v>
      </c>
    </row>
    <row r="172" spans="1:1">
      <c r="A172" s="317" t="s">
        <v>689</v>
      </c>
    </row>
    <row r="173" spans="1:1">
      <c r="A173" s="317" t="s">
        <v>690</v>
      </c>
    </row>
    <row r="174" spans="1:1">
      <c r="A174" s="317" t="s">
        <v>691</v>
      </c>
    </row>
    <row r="175" spans="1:1">
      <c r="A175" s="317" t="s">
        <v>692</v>
      </c>
    </row>
    <row r="176" spans="1:1">
      <c r="A176" s="317" t="s">
        <v>693</v>
      </c>
    </row>
    <row r="177" spans="1:1">
      <c r="A177" s="317" t="s">
        <v>694</v>
      </c>
    </row>
    <row r="178" spans="1:1">
      <c r="A178" s="317" t="s">
        <v>695</v>
      </c>
    </row>
    <row r="179" spans="1:1">
      <c r="A179" s="317" t="s">
        <v>696</v>
      </c>
    </row>
    <row r="180" spans="1:1">
      <c r="A180" s="317" t="s">
        <v>697</v>
      </c>
    </row>
    <row r="181" spans="1:1">
      <c r="A181" s="317" t="s">
        <v>698</v>
      </c>
    </row>
    <row r="182" spans="1:1">
      <c r="A182" s="317" t="s">
        <v>699</v>
      </c>
    </row>
    <row r="183" spans="1:1">
      <c r="A183" s="317" t="s">
        <v>700</v>
      </c>
    </row>
    <row r="184" spans="1:1">
      <c r="A184" s="317" t="s">
        <v>701</v>
      </c>
    </row>
    <row r="185" spans="1:1">
      <c r="A185" s="317" t="s">
        <v>702</v>
      </c>
    </row>
    <row r="186" spans="1:1">
      <c r="A186" s="317" t="s">
        <v>703</v>
      </c>
    </row>
    <row r="187" spans="1:1">
      <c r="A187" s="317" t="s">
        <v>704</v>
      </c>
    </row>
    <row r="188" spans="1:1">
      <c r="A188" s="317" t="s">
        <v>705</v>
      </c>
    </row>
    <row r="189" spans="1:1">
      <c r="A189" s="317" t="s">
        <v>706</v>
      </c>
    </row>
    <row r="190" spans="1:1">
      <c r="A190" s="317" t="s">
        <v>707</v>
      </c>
    </row>
    <row r="191" spans="1:1">
      <c r="A191" s="285" t="s">
        <v>13</v>
      </c>
    </row>
    <row r="192" spans="1:1">
      <c r="A192" s="317" t="s">
        <v>708</v>
      </c>
    </row>
    <row r="193" spans="1:1">
      <c r="A193" s="317" t="s">
        <v>709</v>
      </c>
    </row>
    <row r="194" spans="1:1">
      <c r="A194" s="317" t="s">
        <v>710</v>
      </c>
    </row>
    <row r="195" spans="1:1">
      <c r="A195" s="317" t="s">
        <v>711</v>
      </c>
    </row>
    <row r="196" spans="1:1">
      <c r="A196" s="317" t="s">
        <v>712</v>
      </c>
    </row>
    <row r="197" spans="1:1">
      <c r="A197" s="317" t="s">
        <v>713</v>
      </c>
    </row>
    <row r="198" spans="1:1">
      <c r="A198" s="317" t="s">
        <v>714</v>
      </c>
    </row>
    <row r="199" spans="1:1">
      <c r="A199" s="317" t="s">
        <v>715</v>
      </c>
    </row>
    <row r="200" spans="1:1">
      <c r="A200" s="317" t="s">
        <v>716</v>
      </c>
    </row>
    <row r="201" spans="1:1">
      <c r="A201" s="317" t="s">
        <v>717</v>
      </c>
    </row>
    <row r="202" spans="1:1">
      <c r="A202" s="317" t="s">
        <v>718</v>
      </c>
    </row>
    <row r="203" spans="1:1">
      <c r="A203" s="317" t="s">
        <v>719</v>
      </c>
    </row>
    <row r="204" spans="1:1">
      <c r="A204" s="317" t="s">
        <v>720</v>
      </c>
    </row>
    <row r="205" spans="1:1">
      <c r="A205" s="317" t="s">
        <v>721</v>
      </c>
    </row>
    <row r="206" spans="1:1">
      <c r="A206" s="317" t="s">
        <v>722</v>
      </c>
    </row>
    <row r="207" spans="1:1">
      <c r="A207" s="317" t="s">
        <v>723</v>
      </c>
    </row>
    <row r="208" spans="1:1">
      <c r="A208" s="317" t="s">
        <v>724</v>
      </c>
    </row>
    <row r="209" spans="1:1">
      <c r="A209" s="317" t="s">
        <v>725</v>
      </c>
    </row>
    <row r="210" spans="1:1">
      <c r="A210" s="317" t="s">
        <v>726</v>
      </c>
    </row>
    <row r="211" spans="1:1">
      <c r="A211" s="317" t="s">
        <v>1717</v>
      </c>
    </row>
    <row r="212" spans="1:1">
      <c r="A212" s="317" t="s">
        <v>727</v>
      </c>
    </row>
    <row r="213" spans="1:1">
      <c r="A213" s="317" t="s">
        <v>728</v>
      </c>
    </row>
    <row r="214" spans="1:1">
      <c r="A214" s="317" t="s">
        <v>1718</v>
      </c>
    </row>
    <row r="215" spans="1:1">
      <c r="A215" s="317" t="s">
        <v>729</v>
      </c>
    </row>
    <row r="216" spans="1:1">
      <c r="A216" s="317" t="s">
        <v>730</v>
      </c>
    </row>
    <row r="217" spans="1:1">
      <c r="A217" s="317" t="s">
        <v>731</v>
      </c>
    </row>
    <row r="218" spans="1:1">
      <c r="A218" s="317" t="s">
        <v>732</v>
      </c>
    </row>
    <row r="219" spans="1:1">
      <c r="A219" s="317" t="s">
        <v>733</v>
      </c>
    </row>
    <row r="220" spans="1:1">
      <c r="A220" s="317" t="s">
        <v>734</v>
      </c>
    </row>
    <row r="221" spans="1:1">
      <c r="A221" s="317" t="s">
        <v>735</v>
      </c>
    </row>
    <row r="222" spans="1:1">
      <c r="A222" s="317" t="s">
        <v>736</v>
      </c>
    </row>
    <row r="223" spans="1:1">
      <c r="A223" s="317" t="s">
        <v>737</v>
      </c>
    </row>
    <row r="224" spans="1:1">
      <c r="A224" s="317" t="s">
        <v>738</v>
      </c>
    </row>
    <row r="225" spans="1:1">
      <c r="A225" s="317" t="s">
        <v>739</v>
      </c>
    </row>
    <row r="226" spans="1:1">
      <c r="A226" s="317" t="s">
        <v>740</v>
      </c>
    </row>
    <row r="227" spans="1:1">
      <c r="A227" s="317" t="s">
        <v>741</v>
      </c>
    </row>
    <row r="228" spans="1:1">
      <c r="A228" s="317" t="s">
        <v>742</v>
      </c>
    </row>
    <row r="229" spans="1:1">
      <c r="A229" s="317" t="s">
        <v>743</v>
      </c>
    </row>
    <row r="230" spans="1:1">
      <c r="A230" s="317" t="s">
        <v>744</v>
      </c>
    </row>
    <row r="231" spans="1:1">
      <c r="A231" s="317" t="s">
        <v>745</v>
      </c>
    </row>
    <row r="232" spans="1:1">
      <c r="A232" s="317" t="s">
        <v>746</v>
      </c>
    </row>
    <row r="233" spans="1:1">
      <c r="A233" s="317" t="s">
        <v>747</v>
      </c>
    </row>
    <row r="234" spans="1:1">
      <c r="A234" s="317" t="s">
        <v>748</v>
      </c>
    </row>
    <row r="235" spans="1:1">
      <c r="A235" s="317" t="s">
        <v>749</v>
      </c>
    </row>
    <row r="236" spans="1:1">
      <c r="A236" s="317" t="s">
        <v>750</v>
      </c>
    </row>
    <row r="237" spans="1:1">
      <c r="A237" s="317" t="s">
        <v>751</v>
      </c>
    </row>
    <row r="238" spans="1:1">
      <c r="A238" s="317" t="s">
        <v>752</v>
      </c>
    </row>
    <row r="239" spans="1:1">
      <c r="A239" s="317" t="s">
        <v>753</v>
      </c>
    </row>
    <row r="240" spans="1:1">
      <c r="A240" s="317" t="s">
        <v>754</v>
      </c>
    </row>
    <row r="241" spans="1:1">
      <c r="A241" s="317" t="s">
        <v>755</v>
      </c>
    </row>
    <row r="242" spans="1:1">
      <c r="A242" s="317" t="s">
        <v>756</v>
      </c>
    </row>
    <row r="243" spans="1:1">
      <c r="A243" s="285" t="s">
        <v>14</v>
      </c>
    </row>
    <row r="244" spans="1:1">
      <c r="A244" s="287" t="s">
        <v>15</v>
      </c>
    </row>
    <row r="245" spans="1:1">
      <c r="A245" s="287" t="s">
        <v>16</v>
      </c>
    </row>
    <row r="246" spans="1:1">
      <c r="A246" s="285" t="s">
        <v>17</v>
      </c>
    </row>
    <row r="247" spans="1:1" ht="12" customHeight="1">
      <c r="A247" s="292"/>
    </row>
    <row r="248" spans="1:1" ht="12" customHeight="1">
      <c r="A248" s="299"/>
    </row>
    <row r="249" spans="1:1" s="248" customFormat="1">
      <c r="A249" s="250" t="s">
        <v>1451</v>
      </c>
    </row>
    <row r="250" spans="1:1">
      <c r="A250" s="288" t="s">
        <v>177</v>
      </c>
    </row>
    <row r="251" spans="1:1">
      <c r="A251" s="318" t="s">
        <v>1433</v>
      </c>
    </row>
    <row r="252" spans="1:1">
      <c r="A252" s="318" t="s">
        <v>1719</v>
      </c>
    </row>
    <row r="253" spans="1:1">
      <c r="A253" s="318"/>
    </row>
    <row r="254" spans="1:1">
      <c r="A254" s="288" t="s">
        <v>36</v>
      </c>
    </row>
    <row r="255" spans="1:1">
      <c r="A255" s="288" t="s">
        <v>37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D74"/>
  <sheetViews>
    <sheetView zoomScaleNormal="100" workbookViewId="0">
      <pane ySplit="2" topLeftCell="A3" activePane="bottomLeft" state="frozen"/>
      <selection activeCell="I46" sqref="I46"/>
      <selection pane="bottomLeft" activeCell="G24" sqref="G24"/>
    </sheetView>
  </sheetViews>
  <sheetFormatPr defaultRowHeight="12" customHeight="1"/>
  <cols>
    <col min="1" max="1" width="30.625" style="132" customWidth="1"/>
    <col min="2" max="2" width="5.625" style="132" customWidth="1"/>
    <col min="3" max="4" width="15.625" style="132" customWidth="1"/>
    <col min="5" max="16384" width="9" style="132"/>
  </cols>
  <sheetData>
    <row r="1" spans="1:4" s="5" customFormat="1" ht="12" customHeight="1">
      <c r="A1" s="504" t="s">
        <v>0</v>
      </c>
      <c r="B1" s="377"/>
      <c r="C1" s="378" t="s">
        <v>1458</v>
      </c>
      <c r="D1" s="378" t="s">
        <v>1459</v>
      </c>
    </row>
    <row r="2" spans="1:4" s="382" customFormat="1" ht="12" customHeight="1">
      <c r="A2" s="505"/>
      <c r="B2" s="379"/>
      <c r="C2" s="380" t="s">
        <v>1460</v>
      </c>
      <c r="D2" s="381" t="s">
        <v>1460</v>
      </c>
    </row>
    <row r="3" spans="1:4" s="383" customFormat="1" ht="12" customHeight="1">
      <c r="A3" s="383" t="s">
        <v>1</v>
      </c>
      <c r="D3" s="384"/>
    </row>
    <row r="4" spans="1:4" s="383" customFormat="1" ht="12" customHeight="1">
      <c r="A4" s="383" t="s">
        <v>1461</v>
      </c>
      <c r="D4" s="384"/>
    </row>
    <row r="5" spans="1:4" s="383" customFormat="1" ht="12" customHeight="1">
      <c r="A5" s="383" t="s">
        <v>1462</v>
      </c>
      <c r="D5" s="384"/>
    </row>
    <row r="6" spans="1:4" s="383" customFormat="1" ht="12" customHeight="1">
      <c r="A6" s="383" t="s">
        <v>1463</v>
      </c>
      <c r="D6" s="384"/>
    </row>
    <row r="7" spans="1:4" s="383" customFormat="1" ht="12" customHeight="1">
      <c r="A7" s="383" t="s">
        <v>1464</v>
      </c>
      <c r="D7" s="384"/>
    </row>
    <row r="8" spans="1:4" s="383" customFormat="1" ht="12" customHeight="1">
      <c r="A8" s="383" t="s">
        <v>1465</v>
      </c>
      <c r="D8" s="384"/>
    </row>
    <row r="9" spans="1:4" s="383" customFormat="1" ht="12" customHeight="1">
      <c r="A9" s="383" t="s">
        <v>1466</v>
      </c>
      <c r="D9" s="384"/>
    </row>
    <row r="10" spans="1:4" s="383" customFormat="1" ht="12" customHeight="1">
      <c r="A10" s="383" t="s">
        <v>1467</v>
      </c>
      <c r="D10" s="384"/>
    </row>
    <row r="11" spans="1:4" s="383" customFormat="1" ht="12" customHeight="1">
      <c r="A11" s="383" t="s">
        <v>1468</v>
      </c>
      <c r="D11" s="384"/>
    </row>
    <row r="12" spans="1:4" s="383" customFormat="1" ht="12" customHeight="1">
      <c r="A12" s="383" t="s">
        <v>1469</v>
      </c>
      <c r="D12" s="384"/>
    </row>
    <row r="13" spans="1:4" s="383" customFormat="1" ht="12" customHeight="1">
      <c r="A13" s="383" t="s">
        <v>1470</v>
      </c>
      <c r="D13" s="384"/>
    </row>
    <row r="14" spans="1:4" s="383" customFormat="1" ht="12" customHeight="1">
      <c r="A14" s="383" t="s">
        <v>1471</v>
      </c>
      <c r="D14" s="384"/>
    </row>
    <row r="15" spans="1:4" s="383" customFormat="1" ht="12" customHeight="1">
      <c r="A15" s="383" t="s">
        <v>1472</v>
      </c>
      <c r="D15" s="384"/>
    </row>
    <row r="16" spans="1:4" s="383" customFormat="1" ht="12" customHeight="1">
      <c r="A16" s="383" t="s">
        <v>1473</v>
      </c>
      <c r="D16" s="384"/>
    </row>
    <row r="17" spans="1:4" s="383" customFormat="1" ht="12" customHeight="1">
      <c r="A17" s="383" t="s">
        <v>2</v>
      </c>
      <c r="D17" s="384"/>
    </row>
    <row r="18" spans="1:4" s="383" customFormat="1" ht="12" customHeight="1">
      <c r="A18" s="383" t="s">
        <v>1474</v>
      </c>
      <c r="D18" s="384"/>
    </row>
    <row r="19" spans="1:4" s="383" customFormat="1" ht="12" customHeight="1">
      <c r="A19" s="383" t="s">
        <v>1475</v>
      </c>
      <c r="D19" s="384"/>
    </row>
    <row r="20" spans="1:4" s="383" customFormat="1" ht="12" customHeight="1">
      <c r="A20" s="383" t="s">
        <v>1476</v>
      </c>
      <c r="D20" s="384"/>
    </row>
    <row r="21" spans="1:4" s="383" customFormat="1" ht="12" customHeight="1">
      <c r="A21" s="383" t="s">
        <v>1477</v>
      </c>
      <c r="D21" s="384"/>
    </row>
    <row r="22" spans="1:4" s="383" customFormat="1" ht="12" customHeight="1">
      <c r="A22" s="383" t="s">
        <v>1478</v>
      </c>
      <c r="D22" s="384"/>
    </row>
    <row r="23" spans="1:4" s="383" customFormat="1" ht="12" customHeight="1">
      <c r="A23" s="383" t="s">
        <v>1479</v>
      </c>
      <c r="D23" s="384"/>
    </row>
    <row r="24" spans="1:4" s="383" customFormat="1" ht="12" customHeight="1">
      <c r="A24" s="383" t="s">
        <v>1480</v>
      </c>
      <c r="D24" s="384"/>
    </row>
    <row r="25" spans="1:4" s="383" customFormat="1" ht="12" customHeight="1">
      <c r="A25" s="383" t="s">
        <v>1481</v>
      </c>
      <c r="D25" s="384"/>
    </row>
    <row r="26" spans="1:4" s="383" customFormat="1" ht="12" customHeight="1">
      <c r="A26" s="383" t="s">
        <v>1482</v>
      </c>
      <c r="D26" s="384"/>
    </row>
    <row r="27" spans="1:4" s="383" customFormat="1" ht="12" customHeight="1">
      <c r="A27" s="383" t="s">
        <v>1483</v>
      </c>
      <c r="D27" s="384"/>
    </row>
    <row r="28" spans="1:4" s="383" customFormat="1" ht="12" customHeight="1">
      <c r="A28" s="383" t="s">
        <v>1484</v>
      </c>
      <c r="D28" s="384"/>
    </row>
    <row r="29" spans="1:4" s="383" customFormat="1" ht="12" customHeight="1">
      <c r="A29" s="383" t="s">
        <v>1485</v>
      </c>
      <c r="D29" s="384"/>
    </row>
    <row r="30" spans="1:4" s="383" customFormat="1" ht="12" customHeight="1">
      <c r="A30" s="383" t="s">
        <v>1486</v>
      </c>
      <c r="D30" s="384"/>
    </row>
    <row r="31" spans="1:4" s="383" customFormat="1" ht="12" customHeight="1">
      <c r="A31" s="383" t="s">
        <v>1487</v>
      </c>
      <c r="D31" s="384"/>
    </row>
    <row r="32" spans="1:4" s="383" customFormat="1" ht="12" customHeight="1">
      <c r="A32" s="383" t="s">
        <v>3</v>
      </c>
      <c r="D32" s="384"/>
    </row>
    <row r="33" spans="1:4" s="383" customFormat="1" ht="12" customHeight="1">
      <c r="A33" s="383" t="s">
        <v>1488</v>
      </c>
      <c r="D33" s="384"/>
    </row>
    <row r="34" spans="1:4" s="383" customFormat="1" ht="12" customHeight="1">
      <c r="A34" s="383" t="s">
        <v>1489</v>
      </c>
      <c r="D34" s="384"/>
    </row>
    <row r="35" spans="1:4" s="383" customFormat="1" ht="12" customHeight="1">
      <c r="A35" s="383" t="s">
        <v>1490</v>
      </c>
      <c r="D35" s="384"/>
    </row>
    <row r="36" spans="1:4" s="383" customFormat="1" ht="12" customHeight="1">
      <c r="A36" s="383" t="s">
        <v>1491</v>
      </c>
      <c r="D36" s="384"/>
    </row>
    <row r="37" spans="1:4" s="383" customFormat="1" ht="12" customHeight="1">
      <c r="A37" s="383" t="s">
        <v>1492</v>
      </c>
      <c r="D37" s="384"/>
    </row>
    <row r="38" spans="1:4" s="383" customFormat="1" ht="12" customHeight="1">
      <c r="A38" s="383" t="s">
        <v>1493</v>
      </c>
      <c r="D38" s="384"/>
    </row>
    <row r="39" spans="1:4" s="383" customFormat="1" ht="12" customHeight="1">
      <c r="A39" s="383" t="s">
        <v>1494</v>
      </c>
      <c r="D39" s="384"/>
    </row>
    <row r="40" spans="1:4" s="383" customFormat="1" ht="12" customHeight="1">
      <c r="A40" s="383" t="s">
        <v>1495</v>
      </c>
      <c r="D40" s="384"/>
    </row>
    <row r="41" spans="1:4" s="383" customFormat="1" ht="12" customHeight="1">
      <c r="A41" s="383" t="s">
        <v>1496</v>
      </c>
      <c r="D41" s="384"/>
    </row>
    <row r="42" spans="1:4" s="383" customFormat="1" ht="12" customHeight="1">
      <c r="A42" s="383" t="s">
        <v>1497</v>
      </c>
      <c r="D42" s="384"/>
    </row>
    <row r="43" spans="1:4" s="383" customFormat="1" ht="12" customHeight="1">
      <c r="A43" s="383" t="s">
        <v>1498</v>
      </c>
      <c r="D43" s="384"/>
    </row>
    <row r="44" spans="1:4" s="383" customFormat="1" ht="12" customHeight="1">
      <c r="A44" s="383" t="s">
        <v>1499</v>
      </c>
      <c r="D44" s="384"/>
    </row>
    <row r="45" spans="1:4" s="383" customFormat="1" ht="12" customHeight="1">
      <c r="A45" s="383" t="s">
        <v>1500</v>
      </c>
      <c r="D45" s="384"/>
    </row>
    <row r="46" spans="1:4" s="383" customFormat="1" ht="12" customHeight="1">
      <c r="A46" s="383" t="s">
        <v>1501</v>
      </c>
      <c r="D46" s="384"/>
    </row>
    <row r="47" spans="1:4" s="383" customFormat="1" ht="12" customHeight="1">
      <c r="A47" s="383" t="s">
        <v>1502</v>
      </c>
      <c r="D47" s="384"/>
    </row>
    <row r="48" spans="1:4" s="383" customFormat="1" ht="12" customHeight="1">
      <c r="A48" s="383" t="s">
        <v>1503</v>
      </c>
      <c r="D48" s="384"/>
    </row>
    <row r="49" spans="1:4" s="383" customFormat="1" ht="12" customHeight="1">
      <c r="A49" s="383" t="s">
        <v>1504</v>
      </c>
      <c r="D49" s="384"/>
    </row>
    <row r="50" spans="1:4" s="383" customFormat="1" ht="12" customHeight="1">
      <c r="A50" s="383" t="s">
        <v>1505</v>
      </c>
      <c r="D50" s="384"/>
    </row>
    <row r="51" spans="1:4" s="383" customFormat="1" ht="12" customHeight="1">
      <c r="A51" s="383" t="s">
        <v>1506</v>
      </c>
      <c r="D51" s="384"/>
    </row>
    <row r="52" spans="1:4" s="383" customFormat="1" ht="12" customHeight="1">
      <c r="A52" s="383" t="s">
        <v>1507</v>
      </c>
      <c r="D52" s="384"/>
    </row>
    <row r="53" spans="1:4" s="383" customFormat="1" ht="12" customHeight="1">
      <c r="A53" s="383" t="s">
        <v>1508</v>
      </c>
      <c r="D53" s="384"/>
    </row>
    <row r="54" spans="1:4" s="383" customFormat="1" ht="12" customHeight="1">
      <c r="A54" s="383" t="s">
        <v>1509</v>
      </c>
      <c r="D54" s="384"/>
    </row>
    <row r="55" spans="1:4" s="383" customFormat="1" ht="12" customHeight="1">
      <c r="A55" s="383" t="s">
        <v>1510</v>
      </c>
      <c r="D55" s="384"/>
    </row>
    <row r="56" spans="1:4" s="383" customFormat="1" ht="12" customHeight="1">
      <c r="A56" s="383" t="s">
        <v>1511</v>
      </c>
      <c r="D56" s="384"/>
    </row>
    <row r="57" spans="1:4" s="383" customFormat="1" ht="12" customHeight="1">
      <c r="A57" s="383" t="s">
        <v>1512</v>
      </c>
      <c r="D57" s="384"/>
    </row>
    <row r="58" spans="1:4" s="383" customFormat="1" ht="12" customHeight="1">
      <c r="A58" s="383" t="s">
        <v>1510</v>
      </c>
      <c r="D58" s="384"/>
    </row>
    <row r="59" spans="1:4" s="383" customFormat="1" ht="12" customHeight="1">
      <c r="A59" s="383" t="s">
        <v>4</v>
      </c>
      <c r="D59" s="384"/>
    </row>
    <row r="60" spans="1:4" s="383" customFormat="1" ht="12" customHeight="1">
      <c r="A60" s="383" t="s">
        <v>1513</v>
      </c>
      <c r="D60" s="384"/>
    </row>
    <row r="61" spans="1:4" s="383" customFormat="1" ht="12" customHeight="1">
      <c r="A61" s="383" t="s">
        <v>1514</v>
      </c>
      <c r="D61" s="384"/>
    </row>
    <row r="62" spans="1:4" s="383" customFormat="1" ht="12" customHeight="1">
      <c r="A62" s="383" t="s">
        <v>1515</v>
      </c>
      <c r="D62" s="384"/>
    </row>
    <row r="63" spans="1:4" s="383" customFormat="1" ht="12" customHeight="1">
      <c r="A63" s="383" t="s">
        <v>1516</v>
      </c>
      <c r="D63" s="384"/>
    </row>
    <row r="64" spans="1:4" s="383" customFormat="1" ht="12" customHeight="1">
      <c r="A64" s="383" t="s">
        <v>1517</v>
      </c>
      <c r="D64" s="384"/>
    </row>
    <row r="65" spans="1:4" s="383" customFormat="1" ht="12" customHeight="1">
      <c r="A65" s="383" t="s">
        <v>1518</v>
      </c>
      <c r="D65" s="384"/>
    </row>
    <row r="66" spans="1:4" s="383" customFormat="1" ht="12" customHeight="1">
      <c r="A66" s="383" t="s">
        <v>1519</v>
      </c>
      <c r="D66" s="384"/>
    </row>
    <row r="67" spans="1:4" s="383" customFormat="1" ht="12" customHeight="1">
      <c r="A67" s="383" t="s">
        <v>1520</v>
      </c>
      <c r="D67" s="384"/>
    </row>
    <row r="68" spans="1:4" s="383" customFormat="1" ht="12" customHeight="1">
      <c r="A68" s="383" t="s">
        <v>1521</v>
      </c>
      <c r="D68" s="384"/>
    </row>
    <row r="69" spans="1:4" s="383" customFormat="1" ht="12" customHeight="1">
      <c r="A69" s="383" t="s">
        <v>5</v>
      </c>
      <c r="D69" s="384"/>
    </row>
    <row r="70" spans="1:4" s="383" customFormat="1" ht="12" customHeight="1">
      <c r="A70" s="383" t="s">
        <v>6</v>
      </c>
      <c r="D70" s="384"/>
    </row>
    <row r="71" spans="1:4" s="383" customFormat="1" ht="12" customHeight="1"/>
    <row r="72" spans="1:4" s="383" customFormat="1" ht="12" customHeight="1"/>
    <row r="73" spans="1:4" s="383" customFormat="1" ht="12" customHeight="1"/>
    <row r="74" spans="1:4" s="383" customFormat="1" ht="12" customHeight="1"/>
  </sheetData>
  <mergeCells count="1">
    <mergeCell ref="A1:A2"/>
  </mergeCells>
  <phoneticPr fontId="2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1:D182"/>
  <sheetViews>
    <sheetView zoomScaleNormal="100" workbookViewId="0">
      <pane ySplit="2" topLeftCell="A3" activePane="bottomLeft" state="frozen"/>
      <selection activeCell="I46" sqref="I46"/>
      <selection pane="bottomLeft" activeCell="I46" sqref="I46"/>
    </sheetView>
  </sheetViews>
  <sheetFormatPr defaultRowHeight="12" customHeight="1"/>
  <cols>
    <col min="1" max="1" width="30.625" style="383" customWidth="1"/>
    <col min="2" max="2" width="5.625" style="132" customWidth="1"/>
    <col min="3" max="4" width="15.625" style="132" customWidth="1"/>
    <col min="5" max="5" width="9" style="132"/>
    <col min="6" max="7" width="11.375" style="132" bestFit="1" customWidth="1"/>
    <col min="8" max="16384" width="9" style="132"/>
  </cols>
  <sheetData>
    <row r="1" spans="1:4" ht="12" customHeight="1">
      <c r="A1" s="504" t="s">
        <v>1522</v>
      </c>
      <c r="B1" s="377"/>
      <c r="C1" s="378" t="s">
        <v>1458</v>
      </c>
      <c r="D1" s="378" t="s">
        <v>1459</v>
      </c>
    </row>
    <row r="2" spans="1:4" s="383" customFormat="1" ht="12" customHeight="1">
      <c r="A2" s="505"/>
      <c r="B2" s="379"/>
      <c r="C2" s="380" t="s">
        <v>1460</v>
      </c>
      <c r="D2" s="381" t="s">
        <v>1460</v>
      </c>
    </row>
    <row r="3" spans="1:4" s="383" customFormat="1" ht="12" customHeight="1">
      <c r="A3" s="383" t="s">
        <v>1523</v>
      </c>
      <c r="D3" s="384"/>
    </row>
    <row r="4" spans="1:4" s="383" customFormat="1" ht="12" customHeight="1">
      <c r="A4" s="383" t="s">
        <v>8</v>
      </c>
      <c r="D4" s="384"/>
    </row>
    <row r="5" spans="1:4" s="383" customFormat="1" ht="12" customHeight="1">
      <c r="A5" s="383" t="s">
        <v>9</v>
      </c>
      <c r="D5" s="384"/>
    </row>
    <row r="6" spans="1:4" s="383" customFormat="1" ht="12" customHeight="1">
      <c r="A6" s="383" t="s">
        <v>10</v>
      </c>
      <c r="D6" s="384"/>
    </row>
    <row r="7" spans="1:4" s="383" customFormat="1" ht="12" customHeight="1">
      <c r="A7" s="383" t="s">
        <v>1524</v>
      </c>
      <c r="D7" s="384"/>
    </row>
    <row r="8" spans="1:4" s="383" customFormat="1" ht="12" customHeight="1">
      <c r="A8" s="383" t="s">
        <v>1525</v>
      </c>
      <c r="D8" s="384"/>
    </row>
    <row r="9" spans="1:4" s="383" customFormat="1" ht="12" customHeight="1">
      <c r="A9" s="383" t="s">
        <v>1526</v>
      </c>
      <c r="D9" s="384"/>
    </row>
    <row r="10" spans="1:4" s="383" customFormat="1" ht="12" customHeight="1">
      <c r="A10" s="383" t="s">
        <v>1527</v>
      </c>
      <c r="D10" s="384"/>
    </row>
    <row r="11" spans="1:4" s="383" customFormat="1" ht="12" customHeight="1">
      <c r="A11" s="383" t="s">
        <v>1528</v>
      </c>
      <c r="D11" s="384"/>
    </row>
    <row r="12" spans="1:4" s="383" customFormat="1" ht="12" customHeight="1">
      <c r="A12" s="383" t="s">
        <v>1529</v>
      </c>
      <c r="D12" s="384"/>
    </row>
    <row r="13" spans="1:4" s="383" customFormat="1" ht="12" customHeight="1">
      <c r="A13" s="383" t="s">
        <v>1530</v>
      </c>
      <c r="D13" s="384"/>
    </row>
    <row r="14" spans="1:4" s="383" customFormat="1" ht="12" customHeight="1">
      <c r="A14" s="383" t="s">
        <v>1531</v>
      </c>
      <c r="D14" s="384"/>
    </row>
    <row r="15" spans="1:4" s="383" customFormat="1" ht="12" customHeight="1">
      <c r="A15" s="383" t="s">
        <v>1532</v>
      </c>
      <c r="D15" s="384"/>
    </row>
    <row r="16" spans="1:4" s="383" customFormat="1" ht="12" customHeight="1">
      <c r="A16" s="383" t="s">
        <v>1533</v>
      </c>
      <c r="D16" s="384"/>
    </row>
    <row r="17" spans="1:4" s="383" customFormat="1" ht="12" customHeight="1">
      <c r="A17" s="383" t="s">
        <v>1534</v>
      </c>
      <c r="D17" s="384"/>
    </row>
    <row r="18" spans="1:4" s="383" customFormat="1" ht="12" customHeight="1">
      <c r="A18" s="383" t="s">
        <v>1535</v>
      </c>
      <c r="D18" s="384"/>
    </row>
    <row r="19" spans="1:4" s="383" customFormat="1" ht="12" customHeight="1">
      <c r="A19" s="383" t="s">
        <v>1536</v>
      </c>
      <c r="D19" s="384"/>
    </row>
    <row r="20" spans="1:4" s="383" customFormat="1" ht="12" customHeight="1">
      <c r="A20" s="383" t="s">
        <v>1537</v>
      </c>
      <c r="D20" s="384"/>
    </row>
    <row r="21" spans="1:4" s="383" customFormat="1" ht="12" customHeight="1">
      <c r="A21" s="383" t="s">
        <v>1538</v>
      </c>
      <c r="D21" s="384"/>
    </row>
    <row r="22" spans="1:4" s="383" customFormat="1" ht="12" customHeight="1">
      <c r="A22" s="383" t="s">
        <v>1539</v>
      </c>
      <c r="D22" s="384"/>
    </row>
    <row r="23" spans="1:4" s="383" customFormat="1" ht="12" customHeight="1">
      <c r="A23" s="383" t="s">
        <v>1540</v>
      </c>
      <c r="D23" s="384"/>
    </row>
    <row r="24" spans="1:4" s="383" customFormat="1" ht="12" customHeight="1">
      <c r="A24" s="383" t="s">
        <v>1541</v>
      </c>
      <c r="D24" s="384"/>
    </row>
    <row r="25" spans="1:4" s="383" customFormat="1" ht="12" customHeight="1">
      <c r="A25" s="383" t="s">
        <v>1542</v>
      </c>
      <c r="D25" s="384"/>
    </row>
    <row r="26" spans="1:4" s="383" customFormat="1" ht="12" customHeight="1">
      <c r="A26" s="383" t="s">
        <v>1543</v>
      </c>
      <c r="D26" s="384"/>
    </row>
    <row r="27" spans="1:4" s="383" customFormat="1" ht="12" customHeight="1">
      <c r="A27" s="383" t="s">
        <v>1544</v>
      </c>
      <c r="D27" s="384"/>
    </row>
    <row r="28" spans="1:4" s="383" customFormat="1" ht="12" customHeight="1">
      <c r="A28" s="383" t="s">
        <v>1545</v>
      </c>
      <c r="D28" s="384"/>
    </row>
    <row r="29" spans="1:4" s="383" customFormat="1" ht="12" customHeight="1">
      <c r="A29" s="383" t="s">
        <v>1546</v>
      </c>
      <c r="D29" s="384"/>
    </row>
    <row r="30" spans="1:4" s="383" customFormat="1" ht="12" customHeight="1">
      <c r="A30" s="383" t="s">
        <v>1547</v>
      </c>
      <c r="D30" s="384"/>
    </row>
    <row r="31" spans="1:4" s="383" customFormat="1" ht="12" customHeight="1">
      <c r="A31" s="383" t="s">
        <v>1548</v>
      </c>
      <c r="D31" s="384"/>
    </row>
    <row r="32" spans="1:4" s="383" customFormat="1" ht="12" customHeight="1">
      <c r="A32" s="383" t="s">
        <v>1549</v>
      </c>
      <c r="D32" s="384"/>
    </row>
    <row r="33" spans="1:4" s="383" customFormat="1" ht="12" customHeight="1">
      <c r="A33" s="383" t="s">
        <v>1550</v>
      </c>
      <c r="D33" s="384"/>
    </row>
    <row r="34" spans="1:4" s="383" customFormat="1" ht="12" customHeight="1">
      <c r="A34" s="383" t="s">
        <v>1551</v>
      </c>
      <c r="D34" s="384"/>
    </row>
    <row r="35" spans="1:4" s="383" customFormat="1" ht="12" customHeight="1">
      <c r="A35" s="383" t="s">
        <v>1552</v>
      </c>
      <c r="D35" s="384"/>
    </row>
    <row r="36" spans="1:4" s="383" customFormat="1" ht="12" customHeight="1">
      <c r="A36" s="383" t="s">
        <v>1553</v>
      </c>
      <c r="D36" s="384"/>
    </row>
    <row r="37" spans="1:4" s="383" customFormat="1" ht="12" customHeight="1">
      <c r="A37" s="383" t="s">
        <v>1554</v>
      </c>
      <c r="D37" s="384"/>
    </row>
    <row r="38" spans="1:4" s="383" customFormat="1" ht="12" customHeight="1">
      <c r="A38" s="383" t="s">
        <v>1555</v>
      </c>
      <c r="D38" s="384"/>
    </row>
    <row r="39" spans="1:4" s="383" customFormat="1" ht="12" customHeight="1">
      <c r="A39" s="383" t="s">
        <v>1556</v>
      </c>
      <c r="D39" s="384"/>
    </row>
    <row r="40" spans="1:4" s="383" customFormat="1" ht="12" customHeight="1">
      <c r="A40" s="383" t="s">
        <v>1557</v>
      </c>
      <c r="D40" s="384"/>
    </row>
    <row r="41" spans="1:4" s="383" customFormat="1" ht="12" customHeight="1">
      <c r="A41" s="383" t="s">
        <v>1558</v>
      </c>
      <c r="D41" s="384"/>
    </row>
    <row r="42" spans="1:4" s="383" customFormat="1" ht="12" customHeight="1">
      <c r="A42" s="383" t="s">
        <v>1559</v>
      </c>
      <c r="D42" s="384"/>
    </row>
    <row r="43" spans="1:4" s="383" customFormat="1" ht="12" customHeight="1">
      <c r="A43" s="383" t="s">
        <v>1560</v>
      </c>
      <c r="D43" s="384"/>
    </row>
    <row r="44" spans="1:4" s="383" customFormat="1" ht="12" customHeight="1">
      <c r="A44" s="383" t="s">
        <v>1561</v>
      </c>
      <c r="D44" s="384"/>
    </row>
    <row r="45" spans="1:4" s="383" customFormat="1" ht="12" customHeight="1">
      <c r="A45" s="383" t="s">
        <v>1562</v>
      </c>
      <c r="D45" s="384"/>
    </row>
    <row r="46" spans="1:4" s="383" customFormat="1" ht="12" customHeight="1">
      <c r="A46" s="383" t="s">
        <v>1563</v>
      </c>
      <c r="D46" s="384"/>
    </row>
    <row r="47" spans="1:4" s="383" customFormat="1" ht="12" customHeight="1">
      <c r="A47" s="383" t="s">
        <v>1564</v>
      </c>
      <c r="D47" s="384"/>
    </row>
    <row r="48" spans="1:4" s="383" customFormat="1" ht="12" customHeight="1">
      <c r="A48" s="383" t="s">
        <v>1565</v>
      </c>
      <c r="D48" s="384"/>
    </row>
    <row r="49" spans="1:4" s="383" customFormat="1" ht="12" customHeight="1">
      <c r="A49" s="383" t="s">
        <v>1566</v>
      </c>
      <c r="D49" s="384"/>
    </row>
    <row r="50" spans="1:4" s="383" customFormat="1" ht="12" customHeight="1">
      <c r="A50" s="383" t="s">
        <v>1567</v>
      </c>
      <c r="D50" s="384"/>
    </row>
    <row r="51" spans="1:4" s="383" customFormat="1" ht="12" customHeight="1">
      <c r="A51" s="383" t="s">
        <v>1568</v>
      </c>
      <c r="D51" s="384"/>
    </row>
    <row r="52" spans="1:4" s="383" customFormat="1" ht="12" customHeight="1">
      <c r="A52" s="383" t="s">
        <v>1569</v>
      </c>
      <c r="D52" s="384"/>
    </row>
    <row r="53" spans="1:4" s="383" customFormat="1" ht="12" customHeight="1">
      <c r="A53" s="383" t="s">
        <v>1570</v>
      </c>
      <c r="D53" s="384"/>
    </row>
    <row r="54" spans="1:4" s="383" customFormat="1" ht="12" customHeight="1">
      <c r="A54" s="383" t="s">
        <v>1571</v>
      </c>
      <c r="D54" s="384"/>
    </row>
    <row r="55" spans="1:4" s="383" customFormat="1" ht="12" customHeight="1">
      <c r="A55" s="383" t="s">
        <v>11</v>
      </c>
      <c r="D55" s="384"/>
    </row>
    <row r="56" spans="1:4" s="383" customFormat="1" ht="12" customHeight="1">
      <c r="A56" s="383" t="s">
        <v>12</v>
      </c>
      <c r="D56" s="384"/>
    </row>
    <row r="57" spans="1:4" s="383" customFormat="1" ht="12" customHeight="1">
      <c r="A57" s="383" t="s">
        <v>1572</v>
      </c>
      <c r="D57" s="384"/>
    </row>
    <row r="58" spans="1:4" s="383" customFormat="1" ht="12" customHeight="1">
      <c r="A58" s="383" t="s">
        <v>1573</v>
      </c>
      <c r="D58" s="384"/>
    </row>
    <row r="59" spans="1:4" s="383" customFormat="1" ht="12" customHeight="1">
      <c r="A59" s="383" t="s">
        <v>1574</v>
      </c>
      <c r="D59" s="384"/>
    </row>
    <row r="60" spans="1:4" s="383" customFormat="1" ht="12" customHeight="1">
      <c r="A60" s="383" t="s">
        <v>1575</v>
      </c>
      <c r="D60" s="384"/>
    </row>
    <row r="61" spans="1:4" s="383" customFormat="1" ht="12" customHeight="1">
      <c r="A61" s="383" t="s">
        <v>1576</v>
      </c>
      <c r="D61" s="384"/>
    </row>
    <row r="62" spans="1:4" s="383" customFormat="1" ht="12" customHeight="1">
      <c r="A62" s="383" t="s">
        <v>1577</v>
      </c>
      <c r="D62" s="384"/>
    </row>
    <row r="63" spans="1:4" s="383" customFormat="1" ht="12" customHeight="1">
      <c r="A63" s="383" t="s">
        <v>1578</v>
      </c>
      <c r="D63" s="384"/>
    </row>
    <row r="64" spans="1:4" s="383" customFormat="1" ht="12" customHeight="1">
      <c r="A64" s="383" t="s">
        <v>1579</v>
      </c>
      <c r="D64" s="384"/>
    </row>
    <row r="65" spans="1:4" s="383" customFormat="1" ht="12" customHeight="1">
      <c r="A65" s="383" t="s">
        <v>1580</v>
      </c>
      <c r="D65" s="384"/>
    </row>
    <row r="66" spans="1:4" s="383" customFormat="1" ht="12" customHeight="1">
      <c r="A66" s="383" t="s">
        <v>1581</v>
      </c>
      <c r="D66" s="384"/>
    </row>
    <row r="67" spans="1:4" s="383" customFormat="1" ht="12" customHeight="1">
      <c r="A67" s="383" t="s">
        <v>1582</v>
      </c>
      <c r="D67" s="384"/>
    </row>
    <row r="68" spans="1:4" s="383" customFormat="1" ht="12" customHeight="1">
      <c r="A68" s="383" t="s">
        <v>1583</v>
      </c>
      <c r="D68" s="384"/>
    </row>
    <row r="69" spans="1:4" s="383" customFormat="1" ht="12" customHeight="1">
      <c r="A69" s="383" t="s">
        <v>1584</v>
      </c>
      <c r="D69" s="384"/>
    </row>
    <row r="70" spans="1:4" s="383" customFormat="1" ht="12" customHeight="1">
      <c r="A70" s="383" t="s">
        <v>1585</v>
      </c>
      <c r="D70" s="384"/>
    </row>
    <row r="71" spans="1:4" s="383" customFormat="1" ht="12" customHeight="1">
      <c r="A71" s="383" t="s">
        <v>1586</v>
      </c>
      <c r="D71" s="384"/>
    </row>
    <row r="72" spans="1:4" s="383" customFormat="1" ht="12" customHeight="1">
      <c r="A72" s="383" t="s">
        <v>1587</v>
      </c>
      <c r="D72" s="384"/>
    </row>
    <row r="73" spans="1:4" s="383" customFormat="1" ht="12" customHeight="1">
      <c r="A73" s="383" t="s">
        <v>1588</v>
      </c>
      <c r="D73" s="384"/>
    </row>
    <row r="74" spans="1:4" s="383" customFormat="1" ht="12" customHeight="1">
      <c r="A74" s="383" t="s">
        <v>1589</v>
      </c>
      <c r="D74" s="384"/>
    </row>
    <row r="75" spans="1:4" s="383" customFormat="1" ht="12" customHeight="1">
      <c r="A75" s="383" t="s">
        <v>1590</v>
      </c>
      <c r="D75" s="384"/>
    </row>
    <row r="76" spans="1:4" s="383" customFormat="1" ht="12" customHeight="1">
      <c r="A76" s="383" t="s">
        <v>1591</v>
      </c>
      <c r="D76" s="384"/>
    </row>
    <row r="77" spans="1:4" s="383" customFormat="1" ht="12" customHeight="1">
      <c r="A77" s="383" t="s">
        <v>1592</v>
      </c>
      <c r="D77" s="384"/>
    </row>
    <row r="78" spans="1:4" s="383" customFormat="1" ht="12" customHeight="1">
      <c r="A78" s="383" t="s">
        <v>1593</v>
      </c>
      <c r="D78" s="384"/>
    </row>
    <row r="79" spans="1:4" s="383" customFormat="1" ht="12" customHeight="1">
      <c r="A79" s="383" t="s">
        <v>1594</v>
      </c>
      <c r="D79" s="384"/>
    </row>
    <row r="80" spans="1:4" s="383" customFormat="1" ht="12" customHeight="1">
      <c r="A80" s="383" t="s">
        <v>1595</v>
      </c>
      <c r="D80" s="384"/>
    </row>
    <row r="81" spans="1:4" s="383" customFormat="1" ht="12" customHeight="1">
      <c r="A81" s="383" t="s">
        <v>1596</v>
      </c>
      <c r="D81" s="384"/>
    </row>
    <row r="82" spans="1:4" s="383" customFormat="1" ht="12" customHeight="1">
      <c r="A82" s="383" t="s">
        <v>1597</v>
      </c>
      <c r="D82" s="384"/>
    </row>
    <row r="83" spans="1:4" s="383" customFormat="1" ht="12" customHeight="1">
      <c r="A83" s="383" t="s">
        <v>1598</v>
      </c>
      <c r="D83" s="384"/>
    </row>
    <row r="84" spans="1:4" s="383" customFormat="1" ht="12" customHeight="1">
      <c r="A84" s="383" t="s">
        <v>1599</v>
      </c>
      <c r="D84" s="384"/>
    </row>
    <row r="85" spans="1:4" s="383" customFormat="1" ht="12" customHeight="1">
      <c r="A85" s="383" t="s">
        <v>1600</v>
      </c>
      <c r="D85" s="384"/>
    </row>
    <row r="86" spans="1:4" s="383" customFormat="1" ht="12" customHeight="1">
      <c r="A86" s="383" t="s">
        <v>1601</v>
      </c>
      <c r="D86" s="384"/>
    </row>
    <row r="87" spans="1:4" s="383" customFormat="1" ht="12" customHeight="1">
      <c r="A87" s="383" t="s">
        <v>1602</v>
      </c>
      <c r="D87" s="384"/>
    </row>
    <row r="88" spans="1:4" s="383" customFormat="1" ht="12" customHeight="1">
      <c r="A88" s="383" t="s">
        <v>1603</v>
      </c>
      <c r="D88" s="384"/>
    </row>
    <row r="89" spans="1:4" s="383" customFormat="1" ht="12" customHeight="1">
      <c r="A89" s="383" t="s">
        <v>1604</v>
      </c>
      <c r="D89" s="384"/>
    </row>
    <row r="90" spans="1:4" s="383" customFormat="1" ht="12" customHeight="1">
      <c r="A90" s="383" t="s">
        <v>1605</v>
      </c>
      <c r="D90" s="384"/>
    </row>
    <row r="91" spans="1:4" s="383" customFormat="1" ht="12" customHeight="1">
      <c r="A91" s="383" t="s">
        <v>1606</v>
      </c>
      <c r="D91" s="384"/>
    </row>
    <row r="92" spans="1:4" s="383" customFormat="1" ht="12" customHeight="1">
      <c r="A92" s="383" t="s">
        <v>1607</v>
      </c>
      <c r="D92" s="384"/>
    </row>
    <row r="93" spans="1:4" s="383" customFormat="1" ht="12" customHeight="1">
      <c r="A93" s="383" t="s">
        <v>1608</v>
      </c>
      <c r="D93" s="384"/>
    </row>
    <row r="94" spans="1:4" s="383" customFormat="1" ht="12" customHeight="1">
      <c r="A94" s="383" t="s">
        <v>1609</v>
      </c>
      <c r="D94" s="384"/>
    </row>
    <row r="95" spans="1:4" s="383" customFormat="1" ht="12" customHeight="1">
      <c r="A95" s="383" t="s">
        <v>1610</v>
      </c>
      <c r="D95" s="384"/>
    </row>
    <row r="96" spans="1:4" s="383" customFormat="1" ht="12" customHeight="1">
      <c r="A96" s="383" t="s">
        <v>1611</v>
      </c>
      <c r="D96" s="384"/>
    </row>
    <row r="97" spans="1:4" s="383" customFormat="1" ht="12" customHeight="1">
      <c r="A97" s="383" t="s">
        <v>1612</v>
      </c>
      <c r="D97" s="384"/>
    </row>
    <row r="98" spans="1:4" s="383" customFormat="1" ht="12" customHeight="1">
      <c r="A98" s="383" t="s">
        <v>1613</v>
      </c>
      <c r="D98" s="384"/>
    </row>
    <row r="99" spans="1:4" s="383" customFormat="1" ht="12" customHeight="1">
      <c r="A99" s="383" t="s">
        <v>1614</v>
      </c>
      <c r="D99" s="384"/>
    </row>
    <row r="100" spans="1:4" s="383" customFormat="1" ht="12" customHeight="1">
      <c r="A100" s="383" t="s">
        <v>1615</v>
      </c>
      <c r="D100" s="384"/>
    </row>
    <row r="101" spans="1:4" s="383" customFormat="1" ht="12" customHeight="1">
      <c r="A101" s="383" t="s">
        <v>1616</v>
      </c>
      <c r="D101" s="384"/>
    </row>
    <row r="102" spans="1:4" s="383" customFormat="1" ht="12" customHeight="1">
      <c r="A102" s="383" t="s">
        <v>1617</v>
      </c>
      <c r="D102" s="384"/>
    </row>
    <row r="103" spans="1:4" s="383" customFormat="1" ht="12" customHeight="1">
      <c r="A103" s="383" t="s">
        <v>1618</v>
      </c>
      <c r="D103" s="384"/>
    </row>
    <row r="104" spans="1:4" s="383" customFormat="1" ht="12" customHeight="1">
      <c r="A104" s="383" t="s">
        <v>1619</v>
      </c>
      <c r="D104" s="384"/>
    </row>
    <row r="105" spans="1:4" s="383" customFormat="1" ht="12" customHeight="1">
      <c r="A105" s="383" t="s">
        <v>1620</v>
      </c>
      <c r="D105" s="384"/>
    </row>
    <row r="106" spans="1:4" s="383" customFormat="1" ht="12" customHeight="1">
      <c r="A106" s="383" t="s">
        <v>1621</v>
      </c>
      <c r="D106" s="384"/>
    </row>
    <row r="107" spans="1:4" s="383" customFormat="1" ht="12" customHeight="1">
      <c r="A107" s="383" t="s">
        <v>1622</v>
      </c>
      <c r="D107" s="384"/>
    </row>
    <row r="108" spans="1:4" s="383" customFormat="1" ht="12" customHeight="1">
      <c r="A108" s="383" t="s">
        <v>1623</v>
      </c>
      <c r="D108" s="384"/>
    </row>
    <row r="109" spans="1:4" s="383" customFormat="1" ht="12" customHeight="1">
      <c r="A109" s="383" t="s">
        <v>1624</v>
      </c>
      <c r="D109" s="384"/>
    </row>
    <row r="110" spans="1:4" s="383" customFormat="1" ht="12" customHeight="1">
      <c r="A110" s="383" t="s">
        <v>1625</v>
      </c>
      <c r="D110" s="384"/>
    </row>
    <row r="111" spans="1:4" s="383" customFormat="1" ht="12" customHeight="1">
      <c r="A111" s="383" t="s">
        <v>1626</v>
      </c>
      <c r="D111" s="384"/>
    </row>
    <row r="112" spans="1:4" s="383" customFormat="1" ht="12" customHeight="1">
      <c r="A112" s="383" t="s">
        <v>1627</v>
      </c>
      <c r="D112" s="384"/>
    </row>
    <row r="113" spans="1:4" s="383" customFormat="1" ht="12" customHeight="1">
      <c r="A113" s="383" t="s">
        <v>1628</v>
      </c>
      <c r="D113" s="384"/>
    </row>
    <row r="114" spans="1:4" s="383" customFormat="1" ht="12" customHeight="1">
      <c r="A114" s="383" t="s">
        <v>1629</v>
      </c>
      <c r="D114" s="384"/>
    </row>
    <row r="115" spans="1:4" s="383" customFormat="1" ht="12" customHeight="1">
      <c r="A115" s="383" t="s">
        <v>1630</v>
      </c>
      <c r="D115" s="384"/>
    </row>
    <row r="116" spans="1:4" s="383" customFormat="1" ht="12" customHeight="1">
      <c r="A116" s="383" t="s">
        <v>1631</v>
      </c>
      <c r="D116" s="384"/>
    </row>
    <row r="117" spans="1:4" s="383" customFormat="1" ht="12" customHeight="1">
      <c r="A117" s="383" t="s">
        <v>1632</v>
      </c>
      <c r="D117" s="384"/>
    </row>
    <row r="118" spans="1:4" s="383" customFormat="1" ht="12" customHeight="1">
      <c r="A118" s="383" t="s">
        <v>1633</v>
      </c>
      <c r="D118" s="384"/>
    </row>
    <row r="119" spans="1:4" s="383" customFormat="1" ht="12" customHeight="1">
      <c r="A119" s="383" t="s">
        <v>1634</v>
      </c>
      <c r="D119" s="384"/>
    </row>
    <row r="120" spans="1:4" s="383" customFormat="1" ht="12" customHeight="1">
      <c r="A120" s="383" t="s">
        <v>13</v>
      </c>
      <c r="D120" s="384"/>
    </row>
    <row r="121" spans="1:4" s="383" customFormat="1" ht="12" customHeight="1">
      <c r="A121" s="383" t="s">
        <v>1635</v>
      </c>
      <c r="D121" s="384"/>
    </row>
    <row r="122" spans="1:4" s="383" customFormat="1" ht="12" customHeight="1">
      <c r="A122" s="383" t="s">
        <v>1636</v>
      </c>
      <c r="D122" s="384"/>
    </row>
    <row r="123" spans="1:4" s="383" customFormat="1" ht="12" customHeight="1">
      <c r="A123" s="383" t="s">
        <v>1637</v>
      </c>
      <c r="D123" s="384"/>
    </row>
    <row r="124" spans="1:4" s="383" customFormat="1" ht="12" customHeight="1">
      <c r="A124" s="383" t="s">
        <v>1638</v>
      </c>
      <c r="D124" s="384"/>
    </row>
    <row r="125" spans="1:4" s="383" customFormat="1" ht="12" customHeight="1">
      <c r="A125" s="383" t="s">
        <v>1639</v>
      </c>
      <c r="D125" s="384"/>
    </row>
    <row r="126" spans="1:4" s="383" customFormat="1" ht="12" customHeight="1">
      <c r="A126" s="383" t="s">
        <v>1640</v>
      </c>
      <c r="D126" s="384"/>
    </row>
    <row r="127" spans="1:4" s="383" customFormat="1" ht="12" customHeight="1">
      <c r="A127" s="383" t="s">
        <v>1641</v>
      </c>
      <c r="D127" s="384"/>
    </row>
    <row r="128" spans="1:4" s="383" customFormat="1" ht="12" customHeight="1">
      <c r="A128" s="383" t="s">
        <v>1642</v>
      </c>
      <c r="D128" s="384"/>
    </row>
    <row r="129" spans="1:4" s="383" customFormat="1" ht="12" customHeight="1">
      <c r="A129" s="383" t="s">
        <v>1643</v>
      </c>
      <c r="D129" s="384"/>
    </row>
    <row r="130" spans="1:4" s="383" customFormat="1" ht="12" customHeight="1">
      <c r="A130" s="383" t="s">
        <v>1644</v>
      </c>
      <c r="D130" s="384"/>
    </row>
    <row r="131" spans="1:4" s="383" customFormat="1" ht="12" customHeight="1">
      <c r="A131" s="383" t="s">
        <v>1645</v>
      </c>
      <c r="D131" s="384"/>
    </row>
    <row r="132" spans="1:4" s="383" customFormat="1" ht="12" customHeight="1">
      <c r="A132" s="383" t="s">
        <v>1646</v>
      </c>
      <c r="D132" s="384"/>
    </row>
    <row r="133" spans="1:4" s="383" customFormat="1" ht="12" customHeight="1">
      <c r="A133" s="383" t="s">
        <v>1647</v>
      </c>
      <c r="D133" s="384"/>
    </row>
    <row r="134" spans="1:4" s="383" customFormat="1" ht="12" customHeight="1">
      <c r="A134" s="383" t="s">
        <v>1648</v>
      </c>
      <c r="D134" s="384"/>
    </row>
    <row r="135" spans="1:4" s="383" customFormat="1" ht="12" customHeight="1">
      <c r="A135" s="383" t="s">
        <v>1649</v>
      </c>
      <c r="D135" s="384"/>
    </row>
    <row r="136" spans="1:4" s="383" customFormat="1" ht="12" customHeight="1">
      <c r="A136" s="383" t="s">
        <v>1650</v>
      </c>
      <c r="D136" s="384"/>
    </row>
    <row r="137" spans="1:4" s="383" customFormat="1" ht="12" customHeight="1">
      <c r="A137" s="383" t="s">
        <v>1651</v>
      </c>
      <c r="D137" s="384"/>
    </row>
    <row r="138" spans="1:4" s="383" customFormat="1" ht="12" customHeight="1">
      <c r="A138" s="383" t="s">
        <v>1652</v>
      </c>
      <c r="D138" s="384"/>
    </row>
    <row r="139" spans="1:4" s="383" customFormat="1" ht="12" customHeight="1">
      <c r="A139" s="383" t="s">
        <v>1653</v>
      </c>
      <c r="D139" s="384"/>
    </row>
    <row r="140" spans="1:4" s="383" customFormat="1" ht="12" customHeight="1">
      <c r="A140" s="383" t="s">
        <v>1654</v>
      </c>
      <c r="D140" s="384"/>
    </row>
    <row r="141" spans="1:4" s="383" customFormat="1" ht="12" customHeight="1">
      <c r="A141" s="383" t="s">
        <v>1655</v>
      </c>
      <c r="D141" s="384"/>
    </row>
    <row r="142" spans="1:4" s="383" customFormat="1" ht="12" customHeight="1">
      <c r="A142" s="383" t="s">
        <v>1656</v>
      </c>
      <c r="D142" s="384"/>
    </row>
    <row r="143" spans="1:4" s="383" customFormat="1" ht="12" customHeight="1">
      <c r="A143" s="383" t="s">
        <v>1657</v>
      </c>
      <c r="D143" s="384"/>
    </row>
    <row r="144" spans="1:4" s="383" customFormat="1" ht="12" customHeight="1">
      <c r="A144" s="383" t="s">
        <v>1658</v>
      </c>
      <c r="D144" s="384"/>
    </row>
    <row r="145" spans="1:4" s="383" customFormat="1" ht="12" customHeight="1">
      <c r="A145" s="383" t="s">
        <v>1659</v>
      </c>
      <c r="D145" s="384"/>
    </row>
    <row r="146" spans="1:4" s="383" customFormat="1" ht="12" customHeight="1">
      <c r="A146" s="383" t="s">
        <v>1660</v>
      </c>
      <c r="D146" s="384"/>
    </row>
    <row r="147" spans="1:4" s="383" customFormat="1" ht="12" customHeight="1">
      <c r="A147" s="383" t="s">
        <v>1661</v>
      </c>
      <c r="D147" s="384"/>
    </row>
    <row r="148" spans="1:4" s="383" customFormat="1" ht="12" customHeight="1">
      <c r="A148" s="383" t="s">
        <v>1662</v>
      </c>
      <c r="D148" s="384"/>
    </row>
    <row r="149" spans="1:4" s="383" customFormat="1" ht="12" customHeight="1">
      <c r="A149" s="383" t="s">
        <v>1663</v>
      </c>
      <c r="D149" s="384"/>
    </row>
    <row r="150" spans="1:4" s="383" customFormat="1" ht="12" customHeight="1">
      <c r="A150" s="383" t="s">
        <v>1664</v>
      </c>
      <c r="D150" s="384"/>
    </row>
    <row r="151" spans="1:4" s="383" customFormat="1" ht="12" customHeight="1">
      <c r="A151" s="383" t="s">
        <v>1665</v>
      </c>
      <c r="D151" s="384"/>
    </row>
    <row r="152" spans="1:4" s="383" customFormat="1" ht="12" customHeight="1">
      <c r="A152" s="383" t="s">
        <v>1666</v>
      </c>
      <c r="D152" s="384"/>
    </row>
    <row r="153" spans="1:4" s="383" customFormat="1" ht="12" customHeight="1">
      <c r="A153" s="383" t="s">
        <v>1667</v>
      </c>
      <c r="D153" s="384"/>
    </row>
    <row r="154" spans="1:4" s="383" customFormat="1" ht="12" customHeight="1">
      <c r="A154" s="383" t="s">
        <v>1668</v>
      </c>
      <c r="D154" s="384"/>
    </row>
    <row r="155" spans="1:4" s="383" customFormat="1" ht="12" customHeight="1">
      <c r="A155" s="383" t="s">
        <v>1669</v>
      </c>
      <c r="D155" s="384"/>
    </row>
    <row r="156" spans="1:4" s="383" customFormat="1" ht="12" customHeight="1">
      <c r="A156" s="383" t="s">
        <v>1670</v>
      </c>
      <c r="D156" s="384"/>
    </row>
    <row r="157" spans="1:4" s="383" customFormat="1" ht="12" customHeight="1">
      <c r="A157" s="383" t="s">
        <v>1671</v>
      </c>
      <c r="D157" s="384"/>
    </row>
    <row r="158" spans="1:4" s="383" customFormat="1" ht="12" customHeight="1">
      <c r="A158" s="383" t="s">
        <v>1672</v>
      </c>
      <c r="D158" s="384"/>
    </row>
    <row r="159" spans="1:4" s="383" customFormat="1" ht="12" customHeight="1">
      <c r="A159" s="383" t="s">
        <v>1673</v>
      </c>
      <c r="D159" s="384"/>
    </row>
    <row r="160" spans="1:4" s="383" customFormat="1" ht="12" customHeight="1">
      <c r="A160" s="383" t="s">
        <v>1674</v>
      </c>
      <c r="D160" s="384"/>
    </row>
    <row r="161" spans="1:4" s="383" customFormat="1" ht="12" customHeight="1">
      <c r="A161" s="383" t="s">
        <v>1675</v>
      </c>
      <c r="D161" s="384"/>
    </row>
    <row r="162" spans="1:4" s="383" customFormat="1" ht="12" customHeight="1">
      <c r="A162" s="383" t="s">
        <v>1676</v>
      </c>
      <c r="D162" s="384"/>
    </row>
    <row r="163" spans="1:4" s="383" customFormat="1" ht="12" customHeight="1">
      <c r="A163" s="383" t="s">
        <v>1677</v>
      </c>
      <c r="D163" s="384"/>
    </row>
    <row r="164" spans="1:4" s="383" customFormat="1" ht="12" customHeight="1">
      <c r="A164" s="383" t="s">
        <v>1678</v>
      </c>
      <c r="D164" s="384"/>
    </row>
    <row r="165" spans="1:4" s="383" customFormat="1" ht="12" customHeight="1">
      <c r="A165" s="383" t="s">
        <v>1679</v>
      </c>
      <c r="D165" s="384"/>
    </row>
    <row r="166" spans="1:4" s="383" customFormat="1" ht="12" customHeight="1">
      <c r="A166" s="383" t="s">
        <v>1680</v>
      </c>
      <c r="D166" s="384"/>
    </row>
    <row r="167" spans="1:4" s="383" customFormat="1" ht="12" customHeight="1">
      <c r="A167" s="383" t="s">
        <v>1681</v>
      </c>
      <c r="D167" s="384"/>
    </row>
    <row r="168" spans="1:4" s="383" customFormat="1" ht="12" customHeight="1">
      <c r="A168" s="383" t="s">
        <v>1682</v>
      </c>
      <c r="D168" s="384"/>
    </row>
    <row r="169" spans="1:4" s="383" customFormat="1" ht="12" customHeight="1">
      <c r="A169" s="383" t="s">
        <v>1683</v>
      </c>
      <c r="D169" s="384"/>
    </row>
    <row r="170" spans="1:4" s="383" customFormat="1" ht="12" customHeight="1">
      <c r="A170" s="383" t="s">
        <v>1684</v>
      </c>
      <c r="D170" s="384"/>
    </row>
    <row r="171" spans="1:4" s="383" customFormat="1" ht="12" customHeight="1">
      <c r="A171" s="383" t="s">
        <v>1685</v>
      </c>
      <c r="D171" s="384"/>
    </row>
    <row r="172" spans="1:4" s="383" customFormat="1" ht="12" customHeight="1">
      <c r="A172" s="383" t="s">
        <v>14</v>
      </c>
      <c r="D172" s="384"/>
    </row>
    <row r="173" spans="1:4" s="383" customFormat="1" ht="12" customHeight="1">
      <c r="A173" s="383" t="s">
        <v>15</v>
      </c>
      <c r="D173" s="384"/>
    </row>
    <row r="174" spans="1:4" s="383" customFormat="1" ht="12" customHeight="1">
      <c r="A174" s="383" t="s">
        <v>16</v>
      </c>
      <c r="D174" s="384"/>
    </row>
    <row r="175" spans="1:4" s="383" customFormat="1" ht="12" customHeight="1">
      <c r="A175" s="383" t="s">
        <v>17</v>
      </c>
      <c r="D175" s="384"/>
    </row>
    <row r="176" spans="1:4" s="383" customFormat="1" ht="12" customHeight="1"/>
    <row r="177" spans="1:4" s="383" customFormat="1" ht="12" customHeight="1"/>
    <row r="178" spans="1:4" s="383" customFormat="1" ht="12" customHeight="1"/>
    <row r="179" spans="1:4" s="383" customFormat="1" ht="12" customHeight="1">
      <c r="A179" s="133"/>
      <c r="C179" s="133"/>
    </row>
    <row r="180" spans="1:4" ht="12" customHeight="1">
      <c r="A180" s="133"/>
      <c r="B180" s="385"/>
      <c r="C180" s="385"/>
      <c r="D180" s="383"/>
    </row>
    <row r="181" spans="1:4" ht="12" customHeight="1">
      <c r="A181" s="133"/>
      <c r="B181" s="385"/>
      <c r="C181" s="385"/>
      <c r="D181" s="383"/>
    </row>
    <row r="182" spans="1:4" ht="12" customHeight="1">
      <c r="A182" s="133"/>
      <c r="B182" s="385"/>
      <c r="C182" s="385"/>
      <c r="D182" s="386"/>
    </row>
  </sheetData>
  <mergeCells count="1">
    <mergeCell ref="A1:A2"/>
  </mergeCells>
  <phoneticPr fontId="2" type="noConversion"/>
  <pageMargins left="0.7" right="0.7" top="0.75" bottom="0.75" header="0.3" footer="0.3"/>
  <pageSetup paperSize="9" orientation="portrait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39997558519241921"/>
  </sheetPr>
  <dimension ref="A1:D8"/>
  <sheetViews>
    <sheetView workbookViewId="0">
      <pane ySplit="2" topLeftCell="A3" activePane="bottomLeft" state="frozen"/>
      <selection activeCell="F13" sqref="F13"/>
      <selection pane="bottomLeft" activeCell="I46" sqref="I46"/>
    </sheetView>
  </sheetViews>
  <sheetFormatPr defaultRowHeight="12" customHeight="1"/>
  <cols>
    <col min="1" max="1" width="30.625" style="132" customWidth="1"/>
    <col min="2" max="2" width="5.625" style="132" customWidth="1"/>
    <col min="3" max="4" width="15.625" style="132" customWidth="1"/>
    <col min="5" max="16384" width="9" style="132"/>
  </cols>
  <sheetData>
    <row r="1" spans="1:4" ht="12" customHeight="1">
      <c r="A1" s="504" t="s">
        <v>1686</v>
      </c>
      <c r="B1" s="377"/>
      <c r="C1" s="378" t="s">
        <v>1458</v>
      </c>
      <c r="D1" s="378" t="s">
        <v>1459</v>
      </c>
    </row>
    <row r="2" spans="1:4" ht="12" customHeight="1">
      <c r="A2" s="505"/>
      <c r="B2" s="379"/>
      <c r="C2" s="380" t="s">
        <v>1460</v>
      </c>
      <c r="D2" s="381" t="s">
        <v>1460</v>
      </c>
    </row>
    <row r="3" spans="1:4" ht="12" customHeight="1">
      <c r="A3" s="132" t="s">
        <v>1687</v>
      </c>
      <c r="D3" s="384"/>
    </row>
    <row r="4" spans="1:4" ht="12" customHeight="1">
      <c r="A4" s="132" t="s">
        <v>1688</v>
      </c>
      <c r="D4" s="384"/>
    </row>
    <row r="5" spans="1:4" ht="12" customHeight="1">
      <c r="A5" s="132" t="s">
        <v>1569</v>
      </c>
      <c r="D5" s="384"/>
    </row>
    <row r="6" spans="1:4" ht="12" customHeight="1">
      <c r="A6" s="132" t="s">
        <v>1689</v>
      </c>
      <c r="D6" s="384"/>
    </row>
    <row r="7" spans="1:4" ht="12" customHeight="1">
      <c r="A7" s="132" t="s">
        <v>36</v>
      </c>
      <c r="D7" s="384"/>
    </row>
    <row r="8" spans="1:4" ht="12" customHeight="1">
      <c r="A8" s="132" t="s">
        <v>37</v>
      </c>
      <c r="D8" s="384"/>
    </row>
  </sheetData>
  <mergeCells count="1">
    <mergeCell ref="A1:A2"/>
  </mergeCells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2"/>
  <sheetViews>
    <sheetView workbookViewId="0">
      <selection activeCell="A3" sqref="A3"/>
    </sheetView>
  </sheetViews>
  <sheetFormatPr defaultRowHeight="16.5"/>
  <sheetData>
    <row r="1" spans="1:1">
      <c r="A1" t="s">
        <v>1691</v>
      </c>
    </row>
    <row r="2" spans="1:1">
      <c r="A2" t="s">
        <v>1692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이름이 지정된 범위</vt:lpstr>
      </vt:variant>
      <vt:variant>
        <vt:i4>1</vt:i4>
      </vt:variant>
    </vt:vector>
  </HeadingPairs>
  <TitlesOfParts>
    <vt:vector size="18" baseType="lpstr">
      <vt:lpstr>재무위험</vt:lpstr>
      <vt:lpstr>재투자</vt:lpstr>
      <vt:lpstr>BS(과거)</vt:lpstr>
      <vt:lpstr>IS(과거)</vt:lpstr>
      <vt:lpstr>BS(분기)</vt:lpstr>
      <vt:lpstr>IS(분기)</vt:lpstr>
      <vt:lpstr>BS</vt:lpstr>
      <vt:lpstr>IS</vt:lpstr>
      <vt:lpstr>RAW</vt:lpstr>
      <vt:lpstr>가결산</vt:lpstr>
      <vt:lpstr>입력</vt:lpstr>
      <vt:lpstr>입력 (자동화)</vt:lpstr>
      <vt:lpstr>가결산 (2)</vt:lpstr>
      <vt:lpstr>재무상태표</vt:lpstr>
      <vt:lpstr>손익계산서</vt:lpstr>
      <vt:lpstr>현금흐름표</vt:lpstr>
      <vt:lpstr>Sheet1</vt:lpstr>
      <vt:lpstr>유동자산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ycla84</dc:creator>
  <cp:lastModifiedBy>다.강성은</cp:lastModifiedBy>
  <cp:lastPrinted>2021-12-17T04:19:46Z</cp:lastPrinted>
  <dcterms:created xsi:type="dcterms:W3CDTF">2011-03-07T09:03:14Z</dcterms:created>
  <dcterms:modified xsi:type="dcterms:W3CDTF">2024-11-01T09:02:51Z</dcterms:modified>
</cp:coreProperties>
</file>