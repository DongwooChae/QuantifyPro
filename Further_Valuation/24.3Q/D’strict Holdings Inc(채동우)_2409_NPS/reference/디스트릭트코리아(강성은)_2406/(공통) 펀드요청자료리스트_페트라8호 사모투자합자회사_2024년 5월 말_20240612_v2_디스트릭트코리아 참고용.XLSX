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0.11\Ai본부\F.AI본부\2024년 6월\★아이엠엠인베스트먼트\디스트릭트코리아(강성은)_2406\"/>
    </mc:Choice>
  </mc:AlternateContent>
  <bookViews>
    <workbookView xWindow="0" yWindow="0" windowWidth="28800" windowHeight="12285" tabRatio="654" activeTab="1"/>
  </bookViews>
  <sheets>
    <sheet name="1. 투자자산현황_PEF" sheetId="4" r:id="rId1"/>
    <sheet name="2. 투자자산현황_SPC" sheetId="13" r:id="rId2"/>
    <sheet name="3. 투자자산 변동사항" sheetId="9" r:id="rId3"/>
    <sheet name="4. 출자금 현황 등" sheetId="5" r:id="rId4"/>
    <sheet name="5. 계약서 요약" sheetId="7" r:id="rId5"/>
    <sheet name="6. 투자자산 유의적 변동" sheetId="8" r:id="rId6"/>
    <sheet name="7. 기타 특이사항" sheetId="1" r:id="rId7"/>
    <sheet name="8. 성과보수" sheetId="14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ja1">[1]JA!$A$8:$G$23</definedName>
    <definedName name="______ja2">[1]JA!$A$24:$G$30</definedName>
    <definedName name="______PL1">#REF!</definedName>
    <definedName name="_____ja1">[1]JA!$A$8:$G$23</definedName>
    <definedName name="_____ja2">[1]JA!$A$24:$G$30</definedName>
    <definedName name="_____PL1">#REF!</definedName>
    <definedName name="____ja1">[1]JA!$A$8:$G$23</definedName>
    <definedName name="____ja2">[1]JA!$A$24:$G$30</definedName>
    <definedName name="____PL1">#REF!</definedName>
    <definedName name="__ja1">[1]JA!$A$8:$G$23</definedName>
    <definedName name="__ja2">[1]JA!$A$24:$G$30</definedName>
    <definedName name="__PL1">#REF!</definedName>
    <definedName name="_1auto">#REF!</definedName>
    <definedName name="_2_401K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vision">#REF!</definedName>
    <definedName name="_2well">#REF!</definedName>
    <definedName name="_3._재무구조개선적립금">#REF!</definedName>
    <definedName name="_3_401K">#REF!</definedName>
    <definedName name="_3dental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5_401K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ja1">[1]JA!$A$8:$G$23</definedName>
    <definedName name="_ja2">[1]JA!$A$24:$G$30</definedName>
    <definedName name="_PL1">#REF!</definedName>
    <definedName name="acct_deal">#REF!</definedName>
    <definedName name="acct_reg">#REF!</definedName>
    <definedName name="adv">#REF!</definedName>
    <definedName name="adv_board">#REF!</definedName>
    <definedName name="ai_data">#REF!</definedName>
    <definedName name="benef_tot">#REF!</definedName>
    <definedName name="Benefit_sub">#REF!</definedName>
    <definedName name="Blind">{"Client Name or Project Name"}</definedName>
    <definedName name="bs">[1]BS!$A$4:$L$123</definedName>
    <definedName name="BS_C">#REF!</definedName>
    <definedName name="bs건설">#REF!</definedName>
    <definedName name="bs양재">#REF!</definedName>
    <definedName name="CE_C">#REF!</definedName>
    <definedName name="CF_C">#REF!</definedName>
    <definedName name="CI">#REF!</definedName>
    <definedName name="conf">#REF!</definedName>
    <definedName name="Cont_sub">#REF!</definedName>
    <definedName name="cont_tot">#REF!</definedName>
    <definedName name="exp_assoc">#REF!</definedName>
    <definedName name="exp_partn">#REF!</definedName>
    <definedName name="exp_princ">#REF!</definedName>
    <definedName name="Exp_sub">#REF!</definedName>
    <definedName name="exp_tot">#REF!</definedName>
    <definedName name="GVKey">"104604-02w"</definedName>
    <definedName name="insur">#REF!</definedName>
    <definedName name="IS_C">#REF!</definedName>
    <definedName name="it_new">#REF!</definedName>
    <definedName name="it_reg">#REF!</definedName>
    <definedName name="JOBLIST">#REF!</definedName>
    <definedName name="labor_admin">#REF!</definedName>
    <definedName name="labor_jen">#REF!</definedName>
    <definedName name="labor_kck">#REF!</definedName>
    <definedName name="labor_klim">#REF!</definedName>
    <definedName name="labor_ksc">#REF!</definedName>
    <definedName name="labor_new">#REF!</definedName>
    <definedName name="Labor_sub">#REF!</definedName>
    <definedName name="labor_tot">#REF!</definedName>
    <definedName name="Lease_sub">#REF!</definedName>
    <definedName name="lease_tot">#REF!</definedName>
    <definedName name="legal_deal">#REF!</definedName>
    <definedName name="legal_reg">#REF!</definedName>
    <definedName name="mail">#REF!</definedName>
    <definedName name="misc">#REF!</definedName>
    <definedName name="Other_sub">#REF!</definedName>
    <definedName name="other_tot">#REF!</definedName>
    <definedName name="pl">[1]PL!$A$5:$L$101</definedName>
    <definedName name="pl건설">#REF!</definedName>
    <definedName name="pl양재">#REF!</definedName>
    <definedName name="_xlnm.Print_Area" localSheetId="0">'1. 투자자산현황_PEF'!$B$1:$H$19</definedName>
    <definedName name="_xlnm.Print_Area" localSheetId="1">'2. 투자자산현황_SPC'!$B$1:$I$26</definedName>
    <definedName name="_xlnm.Print_Area" localSheetId="3">'4. 출자금 현황 등'!$B$1:$AM$50</definedName>
    <definedName name="_xlnm.Print_Area" localSheetId="6">'7. 기타 특이사항'!$B$1:$D$9</definedName>
    <definedName name="_xlnm.Print_Area">[2]bs!$A$2:$J$78</definedName>
    <definedName name="PRINT_AREA_MI">[2]bs!$A$2:$J$78</definedName>
    <definedName name="Prof_sub">#REF!</definedName>
    <definedName name="prof_tot">#REF!</definedName>
    <definedName name="ProjectName">{"Client Name or Project Name"}</definedName>
    <definedName name="ProjectName_1">{"Client Name or Project Name"}</definedName>
    <definedName name="ProjectName_2">{"Client Name or Project Name"}</definedName>
    <definedName name="promo_high">#REF!</definedName>
    <definedName name="promo_reg">#REF!</definedName>
    <definedName name="rent_early">#REF!</definedName>
    <definedName name="rent_new">#REF!</definedName>
    <definedName name="rent_reg">#REF!</definedName>
    <definedName name="Rent_sub">#REF!</definedName>
    <definedName name="rent_tot">#REF!</definedName>
    <definedName name="sd">{"Client Name or Project Name"}</definedName>
    <definedName name="SPSet">"current"</definedName>
    <definedName name="tel_cell">#REF!</definedName>
    <definedName name="tel_LD">#REF!</definedName>
    <definedName name="tel_local">#REF!</definedName>
    <definedName name="tel_tot">#REF!</definedName>
    <definedName name="Tele_sub">#REF!</definedName>
    <definedName name="teleph">#REF!</definedName>
    <definedName name="Total_sub">#REF!</definedName>
    <definedName name="travel_Int">#REF!</definedName>
    <definedName name="travel_local">#REF!</definedName>
    <definedName name="Travel_sub">#REF!</definedName>
    <definedName name="travel_tot">#REF!</definedName>
    <definedName name="travel_US">#REF!</definedName>
    <definedName name="workcomp">#REF!</definedName>
    <definedName name="XAO">#REF!</definedName>
    <definedName name="결산일">#REF!</definedName>
    <definedName name="기준일">#REF!</definedName>
    <definedName name="단위">#REF!</definedName>
    <definedName name="당일증감">OFFSET(일자,0,11)</definedName>
    <definedName name="만기">#REF!</definedName>
    <definedName name="미수금">#REF!</definedName>
    <definedName name="미수이자">#REF!</definedName>
    <definedName name="부동산_1">{"Client Name or Project Name"}</definedName>
    <definedName name="사모">{"Client Name or Project Name"}</definedName>
    <definedName name="삼일">OFFSET(일자,0,11)</definedName>
    <definedName name="설립일자">[3]종목정보!$A:$C</definedName>
    <definedName name="성과보수">#REF!</definedName>
    <definedName name="손익">OFFSET(일자,0,10)</definedName>
    <definedName name="수익률">#REF!</definedName>
    <definedName name="시세">#REF!</definedName>
    <definedName name="ㅇ">#REF!</definedName>
    <definedName name="양식">[1]TEMP!$A$1:$H$72</definedName>
    <definedName name="양식1">[4]TEMP1!$A$1:$J$64</definedName>
    <definedName name="양식2">[4]TEMP2!$A$1:$H$64</definedName>
    <definedName name="연구개발">#REF!</definedName>
    <definedName name="일자">OFFSET([5]일별평가!$A$20,0,0,COUNTA([5]일별평가!$A:$A)-1)</definedName>
    <definedName name="잔고">#REF!</definedName>
    <definedName name="종가">[6]종가!$A$2:$C$25</definedName>
    <definedName name="지분율">#REF!</definedName>
    <definedName name="출자자">#REF!</definedName>
    <definedName name="투자형태" localSheetId="1">'2. 투자자산현황_SPC'!$D$133:$D$141</definedName>
    <definedName name="투자형태" localSheetId="7">'[7]1.2. 투자자산현황 및 내역-PEF'!$C$22:$C$32</definedName>
    <definedName name="투자형태">'1. 투자자산현황_PEF'!$C$23:$C$31</definedName>
    <definedName name="헐">{"Client Name or Project Name"}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3" l="1"/>
  <c r="L20" i="13" s="1"/>
  <c r="AD65" i="5"/>
  <c r="AC67" i="5"/>
  <c r="AG49" i="5" l="1"/>
  <c r="AI45" i="5"/>
  <c r="AI41" i="5"/>
  <c r="AI37" i="5"/>
  <c r="AI33" i="5"/>
  <c r="AI29" i="5"/>
  <c r="AI25" i="5"/>
  <c r="AI17" i="5"/>
  <c r="AI47" i="5"/>
  <c r="AI46" i="5"/>
  <c r="AI44" i="5"/>
  <c r="AI43" i="5"/>
  <c r="AI42" i="5"/>
  <c r="AI40" i="5"/>
  <c r="AI39" i="5"/>
  <c r="AI38" i="5"/>
  <c r="AI36" i="5"/>
  <c r="AI35" i="5"/>
  <c r="AI34" i="5"/>
  <c r="AI32" i="5"/>
  <c r="AI31" i="5"/>
  <c r="AI30" i="5"/>
  <c r="AI28" i="5"/>
  <c r="AI27" i="5"/>
  <c r="AI26" i="5"/>
  <c r="AI24" i="5"/>
  <c r="AI23" i="5"/>
  <c r="AI22" i="5"/>
  <c r="AI21" i="5"/>
  <c r="AI20" i="5"/>
  <c r="AI19" i="5"/>
  <c r="AI18" i="5"/>
  <c r="AI16" i="5"/>
  <c r="AI15" i="5"/>
  <c r="AI14" i="5"/>
  <c r="AI13" i="5"/>
  <c r="AF49" i="5"/>
  <c r="AH49" i="5" l="1"/>
  <c r="F6" i="9" l="1"/>
  <c r="N23" i="13" l="1"/>
  <c r="AB67" i="5"/>
  <c r="AD57" i="5"/>
  <c r="AD58" i="5"/>
  <c r="AA67" i="5"/>
  <c r="AE49" i="5" l="1"/>
  <c r="J12" i="13"/>
  <c r="R108" i="13"/>
  <c r="D95" i="13" s="1"/>
  <c r="O108" i="13"/>
  <c r="N108" i="13"/>
  <c r="L108" i="13"/>
  <c r="J108" i="13"/>
  <c r="E95" i="13" s="1"/>
  <c r="Q107" i="13"/>
  <c r="P107" i="13"/>
  <c r="Q106" i="13"/>
  <c r="P106" i="13"/>
  <c r="K106" i="13"/>
  <c r="M106" i="13" s="1"/>
  <c r="K107" i="13"/>
  <c r="M107" i="13" s="1"/>
  <c r="E102" i="13"/>
  <c r="G101" i="13"/>
  <c r="G100" i="13"/>
  <c r="E41" i="13"/>
  <c r="F41" i="13" s="1"/>
  <c r="N25" i="13"/>
  <c r="J19" i="13"/>
  <c r="H19" i="13"/>
  <c r="K19" i="13" s="1"/>
  <c r="K18" i="13"/>
  <c r="I18" i="13"/>
  <c r="J17" i="13"/>
  <c r="H17" i="13"/>
  <c r="K17" i="13" s="1"/>
  <c r="K16" i="13"/>
  <c r="I16" i="13"/>
  <c r="Q108" i="13" l="1"/>
  <c r="P108" i="13"/>
  <c r="M108" i="13"/>
  <c r="H41" i="13"/>
  <c r="I12" i="13" s="1"/>
  <c r="I19" i="13"/>
  <c r="I17" i="13"/>
  <c r="I80" i="13"/>
  <c r="G80" i="13"/>
  <c r="E80" i="13"/>
  <c r="F79" i="13"/>
  <c r="F78" i="13"/>
  <c r="K70" i="13"/>
  <c r="H68" i="13"/>
  <c r="L68" i="13" s="1"/>
  <c r="H64" i="13"/>
  <c r="I60" i="13"/>
  <c r="G60" i="13"/>
  <c r="E60" i="13"/>
  <c r="F31" i="13"/>
  <c r="L9" i="13" s="1"/>
  <c r="L12" i="13"/>
  <c r="H69" i="13" l="1"/>
  <c r="Z67" i="5" l="1"/>
  <c r="AD66" i="5"/>
  <c r="Y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X67" i="5"/>
  <c r="AC49" i="5"/>
  <c r="H24" i="13"/>
  <c r="N24" i="13" s="1"/>
  <c r="AE66" i="5" l="1"/>
  <c r="AD49" i="5"/>
  <c r="G99" i="13" l="1"/>
  <c r="G102" i="13" s="1"/>
  <c r="J24" i="13"/>
  <c r="I17" i="4" l="1"/>
  <c r="I16" i="4"/>
  <c r="I15" i="4"/>
  <c r="I14" i="4"/>
  <c r="I13" i="4"/>
  <c r="I12" i="4"/>
  <c r="I11" i="4"/>
  <c r="I10" i="4"/>
  <c r="I9" i="4"/>
  <c r="I18" i="4"/>
  <c r="K15" i="4"/>
  <c r="K14" i="4"/>
  <c r="K13" i="4"/>
  <c r="K12" i="4"/>
  <c r="K11" i="4"/>
  <c r="K10" i="4"/>
  <c r="K9" i="4"/>
  <c r="K16" i="4"/>
  <c r="K18" i="4"/>
  <c r="J19" i="4"/>
  <c r="M18" i="4"/>
  <c r="M16" i="4"/>
  <c r="M15" i="4"/>
  <c r="M14" i="4"/>
  <c r="M13" i="4"/>
  <c r="M12" i="4"/>
  <c r="G19" i="4"/>
  <c r="I19" i="4" l="1"/>
  <c r="J18" i="4" l="1"/>
  <c r="AD59" i="5"/>
  <c r="AE59" i="5" s="1"/>
  <c r="Z49" i="5" l="1"/>
  <c r="AA49" i="5"/>
  <c r="AB49" i="5" l="1"/>
  <c r="AE65" i="5" l="1"/>
  <c r="E62" i="5"/>
  <c r="E67" i="5" s="1"/>
  <c r="X49" i="5"/>
  <c r="W49" i="5" l="1"/>
  <c r="V49" i="5" l="1"/>
  <c r="H20" i="13" l="1"/>
  <c r="N20" i="13" s="1"/>
  <c r="N19" i="13"/>
  <c r="N17" i="13"/>
  <c r="J26" i="13" l="1"/>
  <c r="I22" i="13"/>
  <c r="K22" i="13" s="1"/>
  <c r="N22" i="13" s="1"/>
  <c r="AD63" i="5" l="1"/>
  <c r="AE63" i="5" s="1"/>
  <c r="AD62" i="5"/>
  <c r="AE62" i="5" s="1"/>
  <c r="M17" i="4" l="1"/>
  <c r="K17" i="4"/>
  <c r="K19" i="4" s="1"/>
  <c r="U49" i="5"/>
  <c r="T49" i="5"/>
  <c r="AD64" i="5" l="1"/>
  <c r="AE64" i="5" s="1"/>
  <c r="AD61" i="5"/>
  <c r="AE61" i="5" s="1"/>
  <c r="AD60" i="5"/>
  <c r="AE58" i="5"/>
  <c r="AE57" i="5" l="1"/>
  <c r="AD67" i="5"/>
  <c r="AE60" i="5"/>
  <c r="AE67" i="5" s="1"/>
  <c r="S49" i="5" l="1"/>
  <c r="AJ47" i="5" l="1"/>
  <c r="AJ44" i="5"/>
  <c r="AJ43" i="5"/>
  <c r="AJ42" i="5"/>
  <c r="AJ41" i="5"/>
  <c r="AJ38" i="5"/>
  <c r="AJ36" i="5"/>
  <c r="AJ35" i="5"/>
  <c r="AJ34" i="5"/>
  <c r="AJ33" i="5"/>
  <c r="AJ31" i="5"/>
  <c r="AJ28" i="5"/>
  <c r="AJ27" i="5"/>
  <c r="AJ26" i="5"/>
  <c r="AJ25" i="5"/>
  <c r="AJ23" i="5"/>
  <c r="AJ22" i="5"/>
  <c r="AJ21" i="5"/>
  <c r="AJ20" i="5"/>
  <c r="AJ19" i="5"/>
  <c r="AJ18" i="5"/>
  <c r="AJ17" i="5"/>
  <c r="AJ14" i="5"/>
  <c r="AJ46" i="5"/>
  <c r="AJ45" i="5"/>
  <c r="AJ40" i="5"/>
  <c r="AJ39" i="5"/>
  <c r="AJ37" i="5"/>
  <c r="AJ32" i="5"/>
  <c r="AJ30" i="5"/>
  <c r="AJ29" i="5"/>
  <c r="AJ24" i="5"/>
  <c r="AJ16" i="5"/>
  <c r="AJ15" i="5"/>
  <c r="R49" i="5"/>
  <c r="Q49" i="5"/>
  <c r="P49" i="5"/>
  <c r="O49" i="5"/>
  <c r="N49" i="5"/>
  <c r="M49" i="5"/>
  <c r="L49" i="5"/>
  <c r="K49" i="5"/>
  <c r="J49" i="5"/>
  <c r="I49" i="5"/>
  <c r="H49" i="5"/>
  <c r="G49" i="5"/>
  <c r="Y49" i="5"/>
  <c r="I21" i="13"/>
  <c r="L21" i="13"/>
  <c r="K21" i="13"/>
  <c r="N21" i="13" s="1"/>
  <c r="I20" i="13"/>
  <c r="N18" i="13"/>
  <c r="N16" i="13"/>
  <c r="K15" i="13"/>
  <c r="N15" i="13" s="1"/>
  <c r="K14" i="13"/>
  <c r="N14" i="13" s="1"/>
  <c r="K13" i="13"/>
  <c r="N13" i="13" s="1"/>
  <c r="N11" i="13"/>
  <c r="N10" i="13"/>
  <c r="I15" i="13"/>
  <c r="L15" i="13"/>
  <c r="I14" i="13"/>
  <c r="L14" i="13"/>
  <c r="L26" i="13" l="1"/>
  <c r="K26" i="13"/>
  <c r="N9" i="13"/>
  <c r="I9" i="13"/>
  <c r="I10" i="13"/>
  <c r="I11" i="13"/>
  <c r="J16" i="4"/>
  <c r="J15" i="4"/>
  <c r="J14" i="4"/>
  <c r="J13" i="4"/>
  <c r="J12" i="4"/>
  <c r="M10" i="4" l="1"/>
  <c r="M11" i="4" l="1"/>
  <c r="M9" i="4"/>
  <c r="F49" i="5" l="1"/>
  <c r="E49" i="5"/>
  <c r="D49" i="5"/>
  <c r="AJ13" i="5"/>
  <c r="AJ49" i="5" s="1"/>
  <c r="AI49" i="5"/>
  <c r="AK47" i="5" l="1"/>
  <c r="AK39" i="5"/>
  <c r="AK31" i="5"/>
  <c r="AK23" i="5"/>
  <c r="AK15" i="5"/>
  <c r="AK45" i="5"/>
  <c r="AK37" i="5"/>
  <c r="AK29" i="5"/>
  <c r="AK21" i="5"/>
  <c r="AK44" i="5"/>
  <c r="AK28" i="5"/>
  <c r="AK20" i="5"/>
  <c r="AK35" i="5"/>
  <c r="AK27" i="5"/>
  <c r="AK41" i="5"/>
  <c r="AK25" i="5"/>
  <c r="AK24" i="5"/>
  <c r="AK46" i="5"/>
  <c r="AK38" i="5"/>
  <c r="AK30" i="5"/>
  <c r="AK22" i="5"/>
  <c r="AK14" i="5"/>
  <c r="AK36" i="5"/>
  <c r="AK43" i="5"/>
  <c r="AK19" i="5"/>
  <c r="AK33" i="5"/>
  <c r="AK17" i="5"/>
  <c r="AK40" i="5"/>
  <c r="AK42" i="5"/>
  <c r="AK34" i="5"/>
  <c r="AK26" i="5"/>
  <c r="AK18" i="5"/>
  <c r="AK32" i="5"/>
  <c r="AK16" i="5"/>
  <c r="AK13" i="5"/>
  <c r="AK49" i="5" l="1"/>
</calcChain>
</file>

<file path=xl/sharedStrings.xml><?xml version="1.0" encoding="utf-8"?>
<sst xmlns="http://schemas.openxmlformats.org/spreadsheetml/2006/main" count="1467" uniqueCount="547">
  <si>
    <t>(단위: 원)</t>
    <phoneticPr fontId="7" type="noConversion"/>
  </si>
  <si>
    <t>투자형태</t>
    <phoneticPr fontId="14" type="noConversion"/>
  </si>
  <si>
    <t>투자주식수</t>
    <phoneticPr fontId="14" type="noConversion"/>
  </si>
  <si>
    <t>합 계</t>
  </si>
  <si>
    <t>구분</t>
    <phoneticPr fontId="14" type="noConversion"/>
  </si>
  <si>
    <t>출자자</t>
    <phoneticPr fontId="14" type="noConversion"/>
  </si>
  <si>
    <t>▣ 전환사채/교환사채/신주인수권부사채</t>
    <phoneticPr fontId="14" type="noConversion"/>
  </si>
  <si>
    <t>주요 내용</t>
    <phoneticPr fontId="14" type="noConversion"/>
  </si>
  <si>
    <t>발행인 상호 및 회차</t>
    <phoneticPr fontId="14" type="noConversion"/>
  </si>
  <si>
    <t>발행형태(CB/BW/EB, 분리형/비분리형)</t>
    <phoneticPr fontId="14" type="noConversion"/>
  </si>
  <si>
    <t>이자지급주기</t>
    <phoneticPr fontId="14" type="noConversion"/>
  </si>
  <si>
    <t>사채이율</t>
  </si>
  <si>
    <t>표면이율</t>
    <phoneticPr fontId="14" type="noConversion"/>
  </si>
  <si>
    <t>보장이율(단/복리)</t>
    <phoneticPr fontId="14" type="noConversion"/>
  </si>
  <si>
    <t>발행일</t>
  </si>
  <si>
    <t>납입일</t>
    <phoneticPr fontId="14" type="noConversion"/>
  </si>
  <si>
    <t>만기일</t>
  </si>
  <si>
    <t>기초자산</t>
  </si>
  <si>
    <t>행사가격(평가일 기준)</t>
    <phoneticPr fontId="14" type="noConversion"/>
  </si>
  <si>
    <t>전환비율</t>
  </si>
  <si>
    <t>행사기간</t>
  </si>
  <si>
    <t>시작일</t>
  </si>
  <si>
    <t>종료일</t>
  </si>
  <si>
    <t>콜조항</t>
  </si>
  <si>
    <t>행사가격</t>
  </si>
  <si>
    <t>풋조항</t>
  </si>
  <si>
    <t>리픽싱
(Refixing)</t>
    <phoneticPr fontId="14" type="noConversion"/>
  </si>
  <si>
    <t>최초 조정일</t>
  </si>
  <si>
    <t>조정주기</t>
  </si>
  <si>
    <t>Floor</t>
  </si>
  <si>
    <t>특이사항</t>
  </si>
  <si>
    <t>기타 특이사항</t>
    <phoneticPr fontId="14" type="noConversion"/>
  </si>
  <si>
    <t>▣ 전환우선주/상환우선주/전환상환우선주</t>
    <phoneticPr fontId="14" type="noConversion"/>
  </si>
  <si>
    <t>발행인 상호</t>
  </si>
  <si>
    <t>발행일</t>
    <phoneticPr fontId="14" type="noConversion"/>
  </si>
  <si>
    <t>발행금액</t>
    <phoneticPr fontId="14" type="noConversion"/>
  </si>
  <si>
    <t>1주당 액면금액</t>
    <phoneticPr fontId="14" type="noConversion"/>
  </si>
  <si>
    <t>1주당 발행금액(발행일 기준)</t>
    <phoneticPr fontId="14" type="noConversion"/>
  </si>
  <si>
    <t>배당률(액면금액/발행금액 기준 구분)</t>
    <phoneticPr fontId="14" type="noConversion"/>
  </si>
  <si>
    <t>존속기간 만료일</t>
    <phoneticPr fontId="14" type="noConversion"/>
  </si>
  <si>
    <t>전환가격</t>
    <phoneticPr fontId="14" type="noConversion"/>
  </si>
  <si>
    <t>전환비율</t>
    <phoneticPr fontId="14" type="noConversion"/>
  </si>
  <si>
    <t>전환기간</t>
    <phoneticPr fontId="14" type="noConversion"/>
  </si>
  <si>
    <t>상환기간</t>
    <phoneticPr fontId="14" type="noConversion"/>
  </si>
  <si>
    <t>상환보장수익률(or 상환금액 계산 방법)</t>
    <phoneticPr fontId="14" type="noConversion"/>
  </si>
  <si>
    <t>▣ 주식매도선택권/주식매수선택권</t>
    <phoneticPr fontId="14" type="noConversion"/>
  </si>
  <si>
    <t>거래상대방</t>
    <phoneticPr fontId="14" type="noConversion"/>
  </si>
  <si>
    <t>계약체결일</t>
    <phoneticPr fontId="14" type="noConversion"/>
  </si>
  <si>
    <t>1주당 매입금액</t>
    <phoneticPr fontId="14" type="noConversion"/>
  </si>
  <si>
    <t>1주당 매입금액(평가일 기준)</t>
    <phoneticPr fontId="14" type="noConversion"/>
  </si>
  <si>
    <t>대상주식</t>
    <phoneticPr fontId="14" type="noConversion"/>
  </si>
  <si>
    <t>대상주식수</t>
    <phoneticPr fontId="14" type="noConversion"/>
  </si>
  <si>
    <t>행사시작일</t>
    <phoneticPr fontId="14" type="noConversion"/>
  </si>
  <si>
    <t>행사종료일</t>
    <phoneticPr fontId="14" type="noConversion"/>
  </si>
  <si>
    <t>보장수익률(단/복리 체크)</t>
    <phoneticPr fontId="14" type="noConversion"/>
  </si>
  <si>
    <t>행사조건</t>
    <phoneticPr fontId="14" type="noConversion"/>
  </si>
  <si>
    <t>현금정산일</t>
    <phoneticPr fontId="14" type="noConversion"/>
  </si>
  <si>
    <t>최초 투자금액</t>
    <phoneticPr fontId="14" type="noConversion"/>
  </si>
  <si>
    <t>제공재무제표 기준일</t>
    <phoneticPr fontId="7" type="noConversion"/>
  </si>
  <si>
    <t>1. 재무제표일 기준 투자자산 현황</t>
    <phoneticPr fontId="7" type="noConversion"/>
  </si>
  <si>
    <t>투자시점(취득일)</t>
    <phoneticPr fontId="14" type="noConversion"/>
  </si>
  <si>
    <t>취득단가</t>
    <phoneticPr fontId="7" type="noConversion"/>
  </si>
  <si>
    <t>보통주</t>
    <phoneticPr fontId="7" type="noConversion"/>
  </si>
  <si>
    <t>상환전환우선주</t>
  </si>
  <si>
    <t>상환전환우선주</t>
    <phoneticPr fontId="7" type="noConversion"/>
  </si>
  <si>
    <t>전환우선주</t>
    <phoneticPr fontId="7" type="noConversion"/>
  </si>
  <si>
    <t>기타</t>
    <phoneticPr fontId="7" type="noConversion"/>
  </si>
  <si>
    <t>기준일 잔여주식수</t>
    <phoneticPr fontId="7" type="noConversion"/>
  </si>
  <si>
    <t>비고</t>
    <phoneticPr fontId="14" type="noConversion"/>
  </si>
  <si>
    <t>전환사채(CB)</t>
    <phoneticPr fontId="7" type="noConversion"/>
  </si>
  <si>
    <t>교환사채(EB)</t>
    <phoneticPr fontId="7" type="noConversion"/>
  </si>
  <si>
    <t>구분</t>
    <phoneticPr fontId="7" type="noConversion"/>
  </si>
  <si>
    <t>투자형태</t>
    <phoneticPr fontId="7" type="noConversion"/>
  </si>
  <si>
    <t>BW(분리)</t>
    <phoneticPr fontId="7" type="noConversion"/>
  </si>
  <si>
    <t>BW(비분리)</t>
    <phoneticPr fontId="7" type="noConversion"/>
  </si>
  <si>
    <t>CB</t>
    <phoneticPr fontId="7" type="noConversion"/>
  </si>
  <si>
    <t>EB</t>
    <phoneticPr fontId="7" type="noConversion"/>
  </si>
  <si>
    <t>법인번호(또는 사업자번호)</t>
    <phoneticPr fontId="14" type="noConversion"/>
  </si>
  <si>
    <t>회수시점(처분일)</t>
    <phoneticPr fontId="14" type="noConversion"/>
  </si>
  <si>
    <t>처분주식수</t>
    <phoneticPr fontId="14" type="noConversion"/>
  </si>
  <si>
    <t>처분단가</t>
    <phoneticPr fontId="7" type="noConversion"/>
  </si>
  <si>
    <t>처분가액</t>
    <phoneticPr fontId="14" type="noConversion"/>
  </si>
  <si>
    <t>우선주
(세부 구분 필요)</t>
    <phoneticPr fontId="7" type="noConversion"/>
  </si>
  <si>
    <t>2. 재무제표일 ~ 평가기준일까지의 투자자산 회수 / 취득 (예상) 내역</t>
    <phoneticPr fontId="7" type="noConversion"/>
  </si>
  <si>
    <t>좌당 액면</t>
    <phoneticPr fontId="7" type="noConversion"/>
  </si>
  <si>
    <t>(단위: 원)</t>
    <phoneticPr fontId="14" type="noConversion"/>
  </si>
  <si>
    <t>약정출자금</t>
    <phoneticPr fontId="14" type="noConversion"/>
  </si>
  <si>
    <t>평가기준일 출자금</t>
    <phoneticPr fontId="7" type="noConversion"/>
  </si>
  <si>
    <t>평가기준일 출자좌수</t>
    <phoneticPr fontId="7" type="noConversion"/>
  </si>
  <si>
    <t>출자비율</t>
    <phoneticPr fontId="7" type="noConversion"/>
  </si>
  <si>
    <t>합계</t>
    <phoneticPr fontId="14" type="noConversion"/>
  </si>
  <si>
    <t>내용</t>
    <phoneticPr fontId="14" type="noConversion"/>
  </si>
  <si>
    <t>비고</t>
    <phoneticPr fontId="14" type="noConversion"/>
  </si>
  <si>
    <t>투자자산의 최근 1년 내 제3자 매매거래가 있는 경우 그 내역</t>
    <phoneticPr fontId="7" type="noConversion"/>
  </si>
  <si>
    <t>거래일, 거래대상, 거래주식수, 거래가격</t>
    <phoneticPr fontId="7" type="noConversion"/>
  </si>
  <si>
    <t>피투자기업의 최근 주주현황 및 지분율, 발행주식총수, 발행주식 종류</t>
  </si>
  <si>
    <t>피투자기업의 임직원 수(원가/개발비/판관비 구분), 향후 소요인원, 예상하는 임금상승률</t>
  </si>
  <si>
    <t>피투자기업의 경쟁기업(유사 사업을 영위하고 있는 상장기업 LIST)</t>
  </si>
  <si>
    <t>피투자기업의 향후 1-2년 이상의 회사 사업계획 및 사업환경 예측자료</t>
  </si>
  <si>
    <t>피투자기업의 향후 1-2년 이상의 추정 재무상태표, 손익계산서</t>
  </si>
  <si>
    <t>기타 특이사항</t>
    <phoneticPr fontId="7" type="noConversion"/>
  </si>
  <si>
    <t>신주인수권부사채(BW)</t>
    <phoneticPr fontId="7" type="noConversion"/>
  </si>
  <si>
    <t>피투자회사명</t>
    <phoneticPr fontId="14" type="noConversion"/>
  </si>
  <si>
    <t>프로젝트투자</t>
    <phoneticPr fontId="7" type="noConversion"/>
  </si>
  <si>
    <t>상기 해당사항 없는 경우
(대출채권 등)</t>
    <phoneticPr fontId="7" type="noConversion"/>
  </si>
  <si>
    <t>투자금액</t>
    <phoneticPr fontId="14" type="noConversion"/>
  </si>
  <si>
    <t>2) 회수(처분)</t>
    <phoneticPr fontId="7" type="noConversion"/>
  </si>
  <si>
    <t>기타 특이사항</t>
    <phoneticPr fontId="7" type="noConversion"/>
  </si>
  <si>
    <t>예산, 계획, 주요 일정과 비교해 볼 때 피투자자의 성과에 유의적인 변동이 있는 경우</t>
    <phoneticPr fontId="7" type="noConversion"/>
  </si>
  <si>
    <t>구분</t>
    <phoneticPr fontId="14" type="noConversion"/>
  </si>
  <si>
    <t>피투자자가 이룰 제품의 기술적 수준에 대한 예상이 변동한 경우</t>
    <phoneticPr fontId="7" type="noConversion"/>
  </si>
  <si>
    <t>피투자자의 지분이나 제품 또는 잠재 제품에 대한 시장의 유의적인 변동이 있는 경우</t>
    <phoneticPr fontId="7" type="noConversion"/>
  </si>
  <si>
    <t>국제 경제나 피투자자의 경제적 영업환경에 유의적인 변동이 있는 경우</t>
    <phoneticPr fontId="7" type="noConversion"/>
  </si>
  <si>
    <t>비교 가능한 기업의 성과나 전반적인 시장에 내재된 가치평가에 유의적인 변동이 있는 경우</t>
    <phoneticPr fontId="7" type="noConversion"/>
  </si>
  <si>
    <t>피투자자에게 부정, 상업분쟁, 소송, 경영진이나 전략의 변화와 같은 내부문제가 있는 경우</t>
    <phoneticPr fontId="7" type="noConversion"/>
  </si>
  <si>
    <t>피투자 지분과 관련하여 제3자 간 지분상품의 이전이나 (새로운 주식발행과 같은) 피투자자가 외부와의 거래에 따른 증거가 있는 경우</t>
    <phoneticPr fontId="7" type="noConversion"/>
  </si>
  <si>
    <t>위 상황 외 성과와 영업에 중요한 변동이 있는 경우</t>
    <phoneticPr fontId="7" type="noConversion"/>
  </si>
  <si>
    <t>작성자료가 있는 경우</t>
    <phoneticPr fontId="7" type="noConversion"/>
  </si>
  <si>
    <t>보유중인 투자자산이 아래에 해당하는 경우, 해당 내역을 확인할 수 있는 자료 제공 부탁 드립니다.</t>
    <phoneticPr fontId="14" type="noConversion"/>
  </si>
  <si>
    <t>투자자산 유의적 변동 여부 확인 요청</t>
    <phoneticPr fontId="7" type="noConversion"/>
  </si>
  <si>
    <t>평가에 영향을 미칠 수 있는 이벤트가 있을 경우</t>
    <phoneticPr fontId="7" type="noConversion"/>
  </si>
  <si>
    <t>최초 출자금(원본)</t>
    <phoneticPr fontId="14" type="noConversion"/>
  </si>
  <si>
    <t>PEF 투자자산현황 및 내역</t>
    <phoneticPr fontId="7" type="noConversion"/>
  </si>
  <si>
    <t>SPC 투자자산현황 및 내역</t>
    <phoneticPr fontId="7" type="noConversion"/>
  </si>
  <si>
    <t>SPC가 없는 경우, 아래에 최종투자자산 정보를 기재해주시면 됩니다.</t>
    <phoneticPr fontId="7" type="noConversion"/>
  </si>
  <si>
    <t>신주</t>
    <phoneticPr fontId="7" type="noConversion"/>
  </si>
  <si>
    <t>법인번호</t>
    <phoneticPr fontId="7" type="noConversion"/>
  </si>
  <si>
    <t>투자형태 (*1)</t>
    <phoneticPr fontId="14" type="noConversion"/>
  </si>
  <si>
    <t>구주/신주 (*2)</t>
    <phoneticPr fontId="7" type="noConversion"/>
  </si>
  <si>
    <t>(*1) 투자형태는 목록에서 선택 가능하며 목록에서 해당 사항이 없는 경우 "기타" 선택 후 비고에 해당 상품의 유형을 명시하여 제공해 주십시오.</t>
    <phoneticPr fontId="7" type="noConversion"/>
  </si>
  <si>
    <t>(*4) 전환권이 존재하는 투자자산의 경우 전환가액의 변동이 존재할 수 있으므로 평가일 기준 최종 전환가액 확인 후 작성 바랍니다. 변동 없는 경우 해당사항 없음을 기재하여 주시기 바랍니다.</t>
    <phoneticPr fontId="7" type="noConversion"/>
  </si>
  <si>
    <t>(*2) 메자닌 구주인 경우 발행일을 명시하여 제공해 주시기 바랍니다.</t>
    <phoneticPr fontId="7" type="noConversion"/>
  </si>
  <si>
    <t>전환우선주</t>
  </si>
  <si>
    <t>주식수 변동 여부</t>
    <phoneticPr fontId="7" type="noConversion"/>
  </si>
  <si>
    <t>변동 전환가액 (*4)</t>
    <phoneticPr fontId="14" type="noConversion"/>
  </si>
  <si>
    <t>BS상 장부가액</t>
    <phoneticPr fontId="14" type="noConversion"/>
  </si>
  <si>
    <t>주식수 변동 사유 (*3)</t>
    <phoneticPr fontId="7" type="noConversion"/>
  </si>
  <si>
    <t>(*3) 액면분할, 무상증자, 일부 회수 등 사유 기재해주시기 바랍니다.</t>
    <phoneticPr fontId="7" type="noConversion"/>
  </si>
  <si>
    <t>SPC가 있는 경우, 아래는 SPC 정보를, 최종투자자산은 3-2. 투자자산현황_SPC 에 기재해주시기 바랍니다.</t>
    <phoneticPr fontId="7" type="noConversion"/>
  </si>
  <si>
    <t>PEF, SPC 출자금 현황</t>
  </si>
  <si>
    <t>현금흐름은 출자, 원본분배, 이익분배 세 가지로 분류 바랍니다.(성과보수, 관리보수 지급은 제외)</t>
    <phoneticPr fontId="14" type="noConversion"/>
  </si>
  <si>
    <t>출자</t>
    <phoneticPr fontId="7" type="noConversion"/>
  </si>
  <si>
    <t>원본분배</t>
  </si>
  <si>
    <t>원본분배</t>
    <phoneticPr fontId="7" type="noConversion"/>
  </si>
  <si>
    <t>이익분배</t>
  </si>
  <si>
    <t>PEF 출자금 현황</t>
    <phoneticPr fontId="7" type="noConversion"/>
  </si>
  <si>
    <r>
      <t>제공해주신</t>
    </r>
    <r>
      <rPr>
        <b/>
        <sz val="11"/>
        <color rgb="FFFF0000"/>
        <rFont val="맑은 고딕"/>
        <family val="3"/>
        <charset val="129"/>
        <scheme val="minor"/>
      </rPr>
      <t xml:space="preserve"> "재무제표일"</t>
    </r>
    <r>
      <rPr>
        <b/>
        <sz val="11"/>
        <rFont val="맑은 고딕"/>
        <family val="3"/>
        <charset val="129"/>
        <scheme val="minor"/>
      </rPr>
      <t xml:space="preserve">과 </t>
    </r>
    <r>
      <rPr>
        <b/>
        <sz val="11"/>
        <color rgb="FFFF0000"/>
        <rFont val="맑은 고딕"/>
        <family val="3"/>
        <charset val="129"/>
        <scheme val="minor"/>
      </rPr>
      <t>"평가기준일" "사이"</t>
    </r>
    <r>
      <rPr>
        <b/>
        <sz val="11"/>
        <rFont val="맑은 고딕"/>
        <family val="3"/>
        <charset val="129"/>
        <scheme val="minor"/>
      </rPr>
      <t>에</t>
    </r>
    <r>
      <rPr>
        <b/>
        <sz val="11"/>
        <color rgb="FFFF0000"/>
        <rFont val="맑은 고딕"/>
        <family val="3"/>
        <charset val="129"/>
        <scheme val="minor"/>
      </rPr>
      <t xml:space="preserve"> "예정된" "출자, 상환 및 배당계획"</t>
    </r>
    <r>
      <rPr>
        <b/>
        <sz val="11"/>
        <rFont val="맑은 고딕"/>
        <family val="3"/>
        <charset val="129"/>
        <scheme val="minor"/>
      </rPr>
      <t>이 있는 경우 기입 바랍니다.</t>
    </r>
    <phoneticPr fontId="14" type="noConversion"/>
  </si>
  <si>
    <t>상장 코드 (*5)</t>
    <phoneticPr fontId="14" type="noConversion"/>
  </si>
  <si>
    <t xml:space="preserve">(*5) 상장주식인 경우 해당 코드 입력해주시기 바랍니다.  (ex. KR6086521BXX) </t>
    <phoneticPr fontId="7" type="noConversion"/>
  </si>
  <si>
    <t>매니아원 유한회사</t>
  </si>
  <si>
    <t>헬리오스원 유한회사</t>
  </si>
  <si>
    <t>아이엠엠이에스지1호 유한회사</t>
  </si>
  <si>
    <t>디오네원 유한회사</t>
  </si>
  <si>
    <t>아이엠엠이에스지2호 유한회사</t>
  </si>
  <si>
    <t>뮤즈원 유한회사</t>
  </si>
  <si>
    <t>아이엠엠이에스지3호 유한회사(구, 타이탄원 유한회사)</t>
  </si>
  <si>
    <t>조디악원 유한회사</t>
  </si>
  <si>
    <t>110114-0272689</t>
  </si>
  <si>
    <t>110114-0279198</t>
  </si>
  <si>
    <t>110114-0280153</t>
  </si>
  <si>
    <t>110114-0282919</t>
  </si>
  <si>
    <t>110114-0284460</t>
  </si>
  <si>
    <t>110114-028734</t>
  </si>
  <si>
    <t>110114-0278075</t>
  </si>
  <si>
    <t>110114-0296027</t>
  </si>
  <si>
    <t>보통주</t>
  </si>
  <si>
    <t>보통주</t>
    <phoneticPr fontId="7" type="noConversion"/>
  </si>
  <si>
    <t>㈜무신사</t>
  </si>
  <si>
    <t>㈜헬리녹스</t>
  </si>
  <si>
    <t>㈜에코프로</t>
  </si>
  <si>
    <t>Pure Harvest Smart Farms Holdings</t>
  </si>
  <si>
    <t>Iyuno Sweden Holding I AB</t>
  </si>
  <si>
    <t>㈜에코프로머티리얼즈</t>
  </si>
  <si>
    <t>㈜직방</t>
  </si>
  <si>
    <t>110111-4898916</t>
  </si>
  <si>
    <t>110111-5221794</t>
  </si>
  <si>
    <t>110111-1598379</t>
  </si>
  <si>
    <t>N/A - 외국기업</t>
  </si>
  <si>
    <t>171711-0132339</t>
  </si>
  <si>
    <t>110111-4475300</t>
  </si>
  <si>
    <t>전환사채</t>
  </si>
  <si>
    <t>Dione Limited</t>
    <phoneticPr fontId="7" type="noConversion"/>
  </si>
  <si>
    <t>IMM Mena One</t>
    <phoneticPr fontId="7" type="noConversion"/>
  </si>
  <si>
    <t>신주</t>
    <phoneticPr fontId="7" type="noConversion"/>
  </si>
  <si>
    <t>-</t>
    <phoneticPr fontId="7" type="noConversion"/>
  </si>
  <si>
    <t>KOSDAQ086520</t>
    <phoneticPr fontId="7" type="noConversion"/>
  </si>
  <si>
    <t>우선주</t>
  </si>
  <si>
    <t>구주</t>
    <phoneticPr fontId="7" type="noConversion"/>
  </si>
  <si>
    <t>신주</t>
    <phoneticPr fontId="7" type="noConversion"/>
  </si>
  <si>
    <t>구주</t>
    <phoneticPr fontId="7" type="noConversion"/>
  </si>
  <si>
    <t>업무집행사원(GP)</t>
  </si>
  <si>
    <t>유한책임사원(LP)</t>
  </si>
  <si>
    <t>아이엠엠인베스트먼트㈜</t>
  </si>
  <si>
    <t>국민연금공단</t>
  </si>
  <si>
    <t>한국교직원공제회</t>
  </si>
  <si>
    <t>우정사업본부 예금사업단</t>
  </si>
  <si>
    <t>우정사업본부 보험사업단</t>
  </si>
  <si>
    <t>새마을금고중앙회</t>
  </si>
  <si>
    <t>농업협동조합중앙회</t>
  </si>
  <si>
    <t>고용노동부 산재기금</t>
  </si>
  <si>
    <t>사학연금공단</t>
  </si>
  <si>
    <t>현대해상화재보험㈜</t>
  </si>
  <si>
    <t>중소기업중앙회</t>
  </si>
  <si>
    <t>케이디비생명보험㈜</t>
  </si>
  <si>
    <t>사단법인 과학기술인공제회</t>
  </si>
  <si>
    <t>㈜국민은행</t>
  </si>
  <si>
    <t>신한캐피탈㈜</t>
  </si>
  <si>
    <t>(재)대한예수교장로회 총회연금재단</t>
  </si>
  <si>
    <t>군인공제회</t>
  </si>
  <si>
    <t>현대커머셜㈜</t>
  </si>
  <si>
    <t>한국증권금융㈜</t>
  </si>
  <si>
    <t>농협은행㈜</t>
  </si>
  <si>
    <t>중소기업은행</t>
  </si>
  <si>
    <t>엔에이치투자증권㈜</t>
  </si>
  <si>
    <t>한국증권금융㈜ (리딩 IMM 금융대체 전문투자형 사모투자신탁 6호의 신탁업자의 지위에서)</t>
  </si>
  <si>
    <t>㈜성담</t>
  </si>
  <si>
    <t>주식회사 컴투스</t>
  </si>
  <si>
    <t>주식회사 하나은행</t>
  </si>
  <si>
    <t>㈜아이비케이캐피탈</t>
  </si>
  <si>
    <t>주식회사 농협캐피탈</t>
  </si>
  <si>
    <t>변재철</t>
  </si>
  <si>
    <t>나성민</t>
  </si>
  <si>
    <t>구재윤</t>
  </si>
  <si>
    <t>진만</t>
  </si>
  <si>
    <t>김현중</t>
  </si>
  <si>
    <t>서준호</t>
  </si>
  <si>
    <t>홍주희</t>
  </si>
  <si>
    <t>출자</t>
    <phoneticPr fontId="7" type="noConversion"/>
  </si>
  <si>
    <t>페트라8호 사모투자합자회사</t>
    <phoneticPr fontId="7" type="noConversion"/>
  </si>
  <si>
    <t>휴젤 주식회사</t>
    <phoneticPr fontId="7" type="noConversion"/>
  </si>
  <si>
    <t>주식회사 에코프로머티리얼즈</t>
    <phoneticPr fontId="7" type="noConversion"/>
  </si>
  <si>
    <t>구    분</t>
    <phoneticPr fontId="14" type="noConversion"/>
  </si>
  <si>
    <t>주식회사 에코프로</t>
  </si>
  <si>
    <t>CB</t>
  </si>
  <si>
    <t>1,500억원 (페트라8호 보유 :400억)</t>
  </si>
  <si>
    <t>2026-07-20 (발행일로부터 5년)</t>
  </si>
  <si>
    <t>- 60% : 발행일로부터 1년후~ 만기1개월 전까지
- 40% : 발행일로부터 3년후~ 만기1개월 전까지</t>
  </si>
  <si>
    <t>주식회사 무신사</t>
  </si>
  <si>
    <t>주식회사 헬리녹스</t>
  </si>
  <si>
    <t>120,001,213,665원</t>
  </si>
  <si>
    <t>40,000,106,536원</t>
  </si>
  <si>
    <t>1,380,705원</t>
  </si>
  <si>
    <t>- 신주: 주당 400,000원 / 주식수 25,000주 (총 100억원)
- 구주: 주당 377,778원 / 주식수 79,412주 (총 300억원)</t>
  </si>
  <si>
    <t>비누적적, 비참가적, 우선적, 주당 발행가액의 1%</t>
  </si>
  <si>
    <t>참가적, 우선배당률 0%</t>
  </si>
  <si>
    <t>12년</t>
  </si>
  <si>
    <t>10년</t>
  </si>
  <si>
    <t>전환주식</t>
    <phoneticPr fontId="14" type="noConversion"/>
  </si>
  <si>
    <t>구주 전환가격 : 주당 200,000원</t>
  </si>
  <si>
    <t>Q-IPO가 5년 내에 완료되지 않은 경우 및 중대한 계약 위반의 경우</t>
  </si>
  <si>
    <t>연 단리 8.0% (5년 이후 상환 청구시 IRR은 약 7.0%임)</t>
  </si>
  <si>
    <t>신주: 공모가의 70% 가격이 전환가격을 하회할 시 70% 가격으로 전환가격 리픽싱 가능</t>
  </si>
  <si>
    <t>- 최대주주 주식양도 제한: 대상회사의 적격기업공개완료일과 거래종결 후 5년 경과하는 날 중 먼저 도래하는 날까지, 최대주주는 투자자 동의 없이 경영권 변동을 가져오는 주식 양도 금지
- 최대주주의 처분제한기간 중 경영권 지분 매각의 경우, 투자자 지분 우선 매각과 투자자 우선매수권 보유
- 투자자 주식양도 제한: 투자자는 거래종결 후 2년간 대상주식 양도 금지. 대상회사의 적격기업공개 전까지 최대주주의 동의 없이 대상회사 또는 자회사의 경쟁사업자에게 주식 양도 금지
- 최대주주 주식 매각 시 Tag-along 및 신주인수권 등</t>
  </si>
  <si>
    <t xml:space="preserve">- 최대주주 주식양도 제한: 최대주주는 투자자 동의 없이 경영권 변동 (지분 50.1% 미만)을 가져오는 주식 양도 금지
- 최대주주의 경영권 지분 매각의 경우, 투자자 지분 우선 매각과 투자자 우선매수권 보유. (ROFR) 
- 최대주주 주식 매각 시 Tag-along
- 잔여재산 우선배분권:　회사 청산 시, 우선주 투자자는 투자원금의 100%에 대해서 우선 배분권을 보유함. 우선 분배 이후 잔여재산은, 보통주와 동일한 자격으로 참가하여 분배
- 최대주주의 콜옵션:　전환가 조정으로 인한 투자자의 지분이 50% 상회 할 경우, 대표이사는 투자자 지분을 49%로 만드는 콜옵션 보유 </t>
  </si>
  <si>
    <t>대표이사 등</t>
  </si>
  <si>
    <t>특수관계인 등</t>
  </si>
  <si>
    <t>-보통주(구주) 투자 (주당 47.4423USD)
-보통주(신주) 투자 (주당 47.4423USD)
-우선주(신주) 투자 (주당 18.0549USD)
-우선주(구주) 투자 (주당 18.0549USD)</t>
  </si>
  <si>
    <t>28,500원</t>
  </si>
  <si>
    <t>전환우선주</t>
    <phoneticPr fontId="7" type="noConversion"/>
  </si>
  <si>
    <t>-보통주(구주) 투자 
-보통주(신주) 투자 
-우선주(신주) 투자
-우선주(구주) 투자</t>
  </si>
  <si>
    <t>-보통주(구주) 투자 (662,378주)
-보통주(신주) 투자 (225,811주 )
-우선주(신주) 투자 (1,068,242주)
-우선주(구주) 투자 (3,133,512주)</t>
  </si>
  <si>
    <t>1,580,000주</t>
  </si>
  <si>
    <t>정산방법</t>
    <phoneticPr fontId="14" type="noConversion"/>
  </si>
  <si>
    <t>-각 주주보유 지분 매각시, 타 주주들은 보유 지분율에 비례한 우선매수권을 가짐 
-우선매수권은 부여된 모든 주식에 대해서만 행사 가능 (일부 행사 불가)</t>
  </si>
  <si>
    <t>Q-IPO 미이행시 투자원금에 대하여 Put Option행사 가능함
- 시기: ‘25년 12월말까지 Q-IPO 실패시(합의하 연장가능)
- 가격: 각 주당1주당 매매대금(매매대금 조정시에도 불변)
Put Option 만기: Put Option 행사 가능시 ‘25년 12월 말부터 1년동안 행사 가능함
*Q-IPO: 공모가가 1주당 매매대금(매매대금 조정시 조정후 1주당 매매대금)이상으로 이루어지는 유가증권시장 혹은 코스닥시장 상장</t>
  </si>
  <si>
    <t>펀드명:</t>
    <phoneticPr fontId="7" type="noConversion"/>
  </si>
  <si>
    <t xml:space="preserve">투자회사명: </t>
    <phoneticPr fontId="7" type="noConversion"/>
  </si>
  <si>
    <t>주식회사 헬리녹스</t>
    <phoneticPr fontId="7" type="noConversion"/>
  </si>
  <si>
    <t>Pure Harvest Smart Farms Holdings</t>
    <phoneticPr fontId="7" type="noConversion"/>
  </si>
  <si>
    <t>USD 220,206,892</t>
    <phoneticPr fontId="7" type="noConversion"/>
  </si>
  <si>
    <t>N/A</t>
    <phoneticPr fontId="7" type="noConversion"/>
  </si>
  <si>
    <t xml:space="preserve">발행회사는 원금 또는 이자의 지급이 연체되는 경우 등 채무 불이행 사유가 발행하는경우 원금에 대하여 연복리 4%로 발생한 이자를 합산한 금액으로 본건 사채를 즉시 상환하여야 함. 재무비율에 따른 채무불이행 요건은 없음. </t>
    <phoneticPr fontId="7" type="noConversion"/>
  </si>
  <si>
    <t>1주당 발행금액(평가일 기준)</t>
    <phoneticPr fontId="14" type="noConversion"/>
  </si>
  <si>
    <t>신주: 주식수 25,000주
구주: 주식수 79,412주</t>
    <phoneticPr fontId="7" type="noConversion"/>
  </si>
  <si>
    <t>연 복리 15%</t>
    <phoneticPr fontId="7" type="noConversion"/>
  </si>
  <si>
    <t>계약상 의무 위반 혹은 IPO IPO 고의 지연 해태시</t>
    <phoneticPr fontId="7" type="noConversion"/>
  </si>
  <si>
    <t>펀드명:</t>
    <phoneticPr fontId="7" type="noConversion"/>
  </si>
  <si>
    <t>페트라8호 사모투자합자회사</t>
    <phoneticPr fontId="7" type="noConversion"/>
  </si>
  <si>
    <t>주식회사 무신사</t>
    <phoneticPr fontId="7" type="noConversion"/>
  </si>
  <si>
    <t>주식회사 에코프로</t>
    <phoneticPr fontId="7" type="noConversion"/>
  </si>
  <si>
    <t xml:space="preserve">투자회사명: </t>
    <phoneticPr fontId="7" type="noConversion"/>
  </si>
  <si>
    <t>Iyuno Sweden Holdings I AB</t>
    <phoneticPr fontId="7" type="noConversion"/>
  </si>
  <si>
    <t>▣ 전환사채/교환사채/신주인수권부사채</t>
    <phoneticPr fontId="14" type="noConversion"/>
  </si>
  <si>
    <t>주요 내용</t>
    <phoneticPr fontId="14" type="noConversion"/>
  </si>
  <si>
    <t>구    분</t>
    <phoneticPr fontId="14" type="noConversion"/>
  </si>
  <si>
    <t>발행인 상호 및 회차</t>
    <phoneticPr fontId="14" type="noConversion"/>
  </si>
  <si>
    <t>발행형태(CB/BW/EB, 분리형/비분리형)</t>
    <phoneticPr fontId="14" type="noConversion"/>
  </si>
  <si>
    <t>Convertible Note</t>
    <phoneticPr fontId="7" type="noConversion"/>
  </si>
  <si>
    <t>권면총액</t>
    <phoneticPr fontId="14" type="noConversion"/>
  </si>
  <si>
    <t>권면총액</t>
    <phoneticPr fontId="14" type="noConversion"/>
  </si>
  <si>
    <t>99,999,984,000원 (페트라 해당 약 42억원)</t>
    <phoneticPr fontId="7" type="noConversion"/>
  </si>
  <si>
    <t>이자지급주기</t>
    <phoneticPr fontId="14" type="noConversion"/>
  </si>
  <si>
    <t>Coupon 0%, 이자지급 없음</t>
    <phoneticPr fontId="7" type="noConversion"/>
  </si>
  <si>
    <t>표면이율</t>
    <phoneticPr fontId="14" type="noConversion"/>
  </si>
  <si>
    <t>Coupon 0.0%</t>
    <phoneticPr fontId="7" type="noConversion"/>
  </si>
  <si>
    <t>YTM 0%</t>
    <phoneticPr fontId="7" type="noConversion"/>
  </si>
  <si>
    <t>보장이율(단/복리)</t>
    <phoneticPr fontId="14" type="noConversion"/>
  </si>
  <si>
    <t>2021-01-21 / 2022-06-03</t>
    <phoneticPr fontId="7" type="noConversion"/>
  </si>
  <si>
    <t>납입일</t>
    <phoneticPr fontId="14" type="noConversion"/>
  </si>
  <si>
    <t>2021-01-21 / 2022-06-03</t>
    <phoneticPr fontId="7" type="noConversion"/>
  </si>
  <si>
    <t xml:space="preserve">2024-05-31에 자동 주식 전환 </t>
    <phoneticPr fontId="7" type="noConversion"/>
  </si>
  <si>
    <t>에코프로 보통주</t>
    <phoneticPr fontId="7" type="noConversion"/>
  </si>
  <si>
    <t>Pure Harvest Smart Farms Holdings 주식</t>
    <phoneticPr fontId="7" type="noConversion"/>
  </si>
  <si>
    <t>행사가격(평가일 기준)</t>
    <phoneticPr fontId="14" type="noConversion"/>
  </si>
  <si>
    <t>① 다음 Round의 Pre-Money Valuation USD1bn 이하 Discount Rate 40% 적용한 주당단가
② 다음 Round의 Pre-Money Valuation USD1bn 초과 구간에 대한 Discount Rate 50% 적용한 주당단가
단, 전환 가격은 USD 250mn 밸류에이션 이하로 내려갈 수 없음</t>
    <phoneticPr fontId="7" type="noConversion"/>
  </si>
  <si>
    <t>전환가격 124,800원</t>
    <phoneticPr fontId="7" type="noConversion"/>
  </si>
  <si>
    <t>1:1</t>
    <phoneticPr fontId="7" type="noConversion"/>
  </si>
  <si>
    <t>사채권면액의 100%</t>
    <phoneticPr fontId="7" type="noConversion"/>
  </si>
  <si>
    <t>발행한 전환사채의 최대 40%까지 (발행회사 or 발행회사 지정 제3자)</t>
    <phoneticPr fontId="7" type="noConversion"/>
  </si>
  <si>
    <t>발행일로부터 1년후~ 3년후까지, 매1개월마다 가능, YTC 0.5%</t>
    <phoneticPr fontId="7" type="noConversion"/>
  </si>
  <si>
    <t>N/A</t>
    <phoneticPr fontId="7" type="noConversion"/>
  </si>
  <si>
    <t>주식전환 시점부터 2년 후까지</t>
    <phoneticPr fontId="7" type="noConversion"/>
  </si>
  <si>
    <t>투자자 수익율 IRR 13.5%</t>
    <phoneticPr fontId="7" type="noConversion"/>
  </si>
  <si>
    <t>리픽싱
(Refixing)</t>
    <phoneticPr fontId="14" type="noConversion"/>
  </si>
  <si>
    <t xml:space="preserve">매3개월 마다 조정 </t>
    <phoneticPr fontId="7" type="noConversion"/>
  </si>
  <si>
    <t>Exit 시점에 1회 조정</t>
    <phoneticPr fontId="7" type="noConversion"/>
  </si>
  <si>
    <t>최초 전환가액의 70%까지</t>
    <phoneticPr fontId="7" type="noConversion"/>
  </si>
  <si>
    <t>투자자의 수익율이 IRR 13.5% 하회 시, 투자자에게 IRR 13.5% 상응하는 현금 또는 추가 지분을 발행</t>
    <phoneticPr fontId="7" type="noConversion"/>
  </si>
  <si>
    <t>기타 특이사항</t>
    <phoneticPr fontId="14" type="noConversion"/>
  </si>
  <si>
    <t>Convertible Note는 Qualifying Financing 발생에 따라 주식으로 자동 전환됨</t>
    <phoneticPr fontId="7" type="noConversion"/>
  </si>
  <si>
    <t>▣ 전환우선주/상환우선주/전환상환우선주</t>
    <phoneticPr fontId="14" type="noConversion"/>
  </si>
  <si>
    <t>신주: 2021-07-20
구주: 2019-06-27</t>
    <phoneticPr fontId="7" type="noConversion"/>
  </si>
  <si>
    <t>발행금액</t>
    <phoneticPr fontId="14" type="noConversion"/>
  </si>
  <si>
    <t>1주당 액면금액</t>
    <phoneticPr fontId="14" type="noConversion"/>
  </si>
  <si>
    <t>500원</t>
    <phoneticPr fontId="7" type="noConversion"/>
  </si>
  <si>
    <t>1주당 발행금액(발행일 기준)</t>
    <phoneticPr fontId="14" type="noConversion"/>
  </si>
  <si>
    <t>1주당 발행금액(평가일 기준)</t>
    <phoneticPr fontId="14" type="noConversion"/>
  </si>
  <si>
    <t>배당률(액면금액/발행금액 기준 구분)</t>
    <phoneticPr fontId="14" type="noConversion"/>
  </si>
  <si>
    <t>전환주식</t>
    <phoneticPr fontId="14" type="noConversion"/>
  </si>
  <si>
    <t>전환가격</t>
    <phoneticPr fontId="14" type="noConversion"/>
  </si>
  <si>
    <t>전환비율</t>
    <phoneticPr fontId="14" type="noConversion"/>
  </si>
  <si>
    <t>1대 1</t>
    <phoneticPr fontId="7" type="noConversion"/>
  </si>
  <si>
    <t>전환기간</t>
    <phoneticPr fontId="14" type="noConversion"/>
  </si>
  <si>
    <t>상환기간</t>
    <phoneticPr fontId="14" type="noConversion"/>
  </si>
  <si>
    <t>상환보장수익률(or 상환금액 계산 방법)</t>
    <phoneticPr fontId="14" type="noConversion"/>
  </si>
  <si>
    <t>▣ 주식매도선택권/주식매수선택권</t>
    <phoneticPr fontId="14" type="noConversion"/>
  </si>
  <si>
    <t>헬리녹스 및 대표이사</t>
    <phoneticPr fontId="7" type="noConversion"/>
  </si>
  <si>
    <t>계약체결일</t>
    <phoneticPr fontId="14" type="noConversion"/>
  </si>
  <si>
    <t>1주당 매입금액</t>
    <phoneticPr fontId="14" type="noConversion"/>
  </si>
  <si>
    <t>대상주식</t>
    <phoneticPr fontId="14" type="noConversion"/>
  </si>
  <si>
    <t>대상주식수</t>
    <phoneticPr fontId="14" type="noConversion"/>
  </si>
  <si>
    <t>행사시작일</t>
    <phoneticPr fontId="14" type="noConversion"/>
  </si>
  <si>
    <t>행사종료일</t>
    <phoneticPr fontId="14" type="noConversion"/>
  </si>
  <si>
    <t>보장수익률(단/복리 체크)</t>
    <phoneticPr fontId="14" type="noConversion"/>
  </si>
  <si>
    <t>행사조건</t>
    <phoneticPr fontId="14" type="noConversion"/>
  </si>
  <si>
    <t>정산방법</t>
    <phoneticPr fontId="14" type="noConversion"/>
  </si>
  <si>
    <t>현금정산일</t>
    <phoneticPr fontId="14" type="noConversion"/>
  </si>
  <si>
    <t>• 계약상 의무 위반 혹은 IPO 고의 지연 해태시 연 복리 15% 적용 대상 원금 기준은 구주 200,000, 신주 400,000원</t>
    <phoneticPr fontId="7" type="noConversion"/>
  </si>
  <si>
    <t>에코프로 전환가 63,100원</t>
    <phoneticPr fontId="7" type="noConversion"/>
  </si>
  <si>
    <t>주식회사 직방</t>
    <phoneticPr fontId="7" type="noConversion"/>
  </si>
  <si>
    <t>주식회사 직방</t>
    <phoneticPr fontId="7" type="noConversion"/>
  </si>
  <si>
    <t>39,999,984,124원</t>
    <phoneticPr fontId="7" type="noConversion"/>
  </si>
  <si>
    <t>128,686원</t>
    <phoneticPr fontId="7" type="noConversion"/>
  </si>
  <si>
    <t>비누적적, 비참가적, 우선적, 주당 발행가액의 0%</t>
    <phoneticPr fontId="7" type="noConversion"/>
  </si>
  <si>
    <t>연복리 8.0%</t>
    <phoneticPr fontId="7" type="noConversion"/>
  </si>
  <si>
    <t>전환단가조정(Full Ratchet): IPO/M&amp;A 시 가격의 70%, 신규 유상증자/사채 발행 시 해당 가액</t>
    <phoneticPr fontId="7" type="noConversion"/>
  </si>
  <si>
    <t>&lt;Dione Limted to Aphrodite&gt;</t>
    <phoneticPr fontId="7" type="noConversion"/>
  </si>
  <si>
    <t>Aphrodite Acquisition Holdings LLC</t>
    <phoneticPr fontId="7" type="noConversion"/>
  </si>
  <si>
    <t>&lt;Aphrodite to 휴젤&gt;</t>
    <phoneticPr fontId="7" type="noConversion"/>
  </si>
  <si>
    <t>휴젤㈜</t>
    <phoneticPr fontId="7" type="noConversion"/>
  </si>
  <si>
    <t xml:space="preserve"> 110111-2380890</t>
    <phoneticPr fontId="7" type="noConversion"/>
  </si>
  <si>
    <t>페트라8호 PEF의 국내소재 SPC인 아이엠엠이에스지(유)는 케이만제도 소재 SPC인 IMM Mena One에 투자하였으며, IMM Mena One은 Convertible Note 형태로 Pure Harvest Smart Farms Holdings에 투자하였음</t>
    <phoneticPr fontId="7" type="noConversion"/>
  </si>
  <si>
    <t>&lt;IMM Mena One to Pure Harvest&gt;</t>
    <phoneticPr fontId="7" type="noConversion"/>
  </si>
  <si>
    <t>기타</t>
  </si>
  <si>
    <t>디오네원 유한회사</t>
    <phoneticPr fontId="14" type="noConversion"/>
  </si>
  <si>
    <t>Dione Limited</t>
    <phoneticPr fontId="14" type="noConversion"/>
  </si>
  <si>
    <t>소계</t>
    <phoneticPr fontId="14" type="noConversion"/>
  </si>
  <si>
    <t>아이엠엠이에스지2호 유한회사</t>
    <phoneticPr fontId="14" type="noConversion"/>
  </si>
  <si>
    <t>IMM Mena One</t>
    <phoneticPr fontId="14" type="noConversion"/>
  </si>
  <si>
    <t>성과보수</t>
    <phoneticPr fontId="7" type="noConversion"/>
  </si>
  <si>
    <t xml:space="preserve">정관/규약 작성 기준일 : </t>
    <phoneticPr fontId="7" type="noConversion"/>
  </si>
  <si>
    <t>▣ 우선수익률 및 성과보수 관련 규정</t>
    <phoneticPr fontId="7" type="noConversion"/>
  </si>
  <si>
    <t>정관 또는 규약 제공한 경우 생략</t>
    <phoneticPr fontId="7" type="noConversion"/>
  </si>
  <si>
    <t>(단위: 원, 좌, %)</t>
    <phoneticPr fontId="7" type="noConversion"/>
  </si>
  <si>
    <t>납입출자금(투자기구 전체)(*)</t>
    <phoneticPr fontId="14" type="noConversion"/>
  </si>
  <si>
    <t>기준 우선수익률</t>
    <phoneticPr fontId="14" type="noConversion"/>
  </si>
  <si>
    <t>기준수익률(성과보수 대상)</t>
    <phoneticPr fontId="14" type="noConversion"/>
  </si>
  <si>
    <t>(*) 선순위, 후순위 혹은 트랙 A, B등으로 GP와 LP가 구분돼 있을 시, 각각 범주에 포함된 사원을 기재 바랍니다.</t>
    <phoneticPr fontId="14" type="noConversion"/>
  </si>
  <si>
    <r>
      <t xml:space="preserve">(**) 통상 정관 </t>
    </r>
    <r>
      <rPr>
        <b/>
        <sz val="10"/>
        <rFont val="맑은 고딕"/>
        <family val="3"/>
        <charset val="129"/>
        <scheme val="minor"/>
      </rPr>
      <t>"제1장 총칙의 용어의 정의"</t>
    </r>
    <r>
      <rPr>
        <sz val="10"/>
        <rFont val="맑은 고딕"/>
        <family val="3"/>
        <charset val="129"/>
        <scheme val="minor"/>
      </rPr>
      <t>에 사원별 정의, 우선수익률, 기준수익률이 기재돼 있으므로 해당 부분 발췌 바랍니다.</t>
    </r>
    <phoneticPr fontId="14" type="noConversion"/>
  </si>
  <si>
    <t>정관 또는 규약 우선수익률 및 성과보수부분 발췌</t>
    <phoneticPr fontId="7" type="noConversion"/>
  </si>
  <si>
    <t>정관 제 조 (회사자산의 분배) - 성과보수 부분</t>
    <phoneticPr fontId="14" type="noConversion"/>
  </si>
  <si>
    <t>▣ LP 별 현금흐름</t>
    <phoneticPr fontId="7" type="noConversion"/>
  </si>
  <si>
    <r>
      <rPr>
        <b/>
        <sz val="10"/>
        <rFont val="맑은 고딕"/>
        <family val="3"/>
        <charset val="129"/>
        <scheme val="minor"/>
      </rPr>
      <t>[5. 출자금 현황 등]</t>
    </r>
    <r>
      <rPr>
        <sz val="10"/>
        <rFont val="맑은 고딕"/>
        <family val="3"/>
        <charset val="129"/>
        <scheme val="minor"/>
      </rPr>
      <t>에 작성한 경우 생략</t>
    </r>
    <phoneticPr fontId="7" type="noConversion"/>
  </si>
  <si>
    <t>구분</t>
  </si>
  <si>
    <t>날짜</t>
    <phoneticPr fontId="7" type="noConversion"/>
  </si>
  <si>
    <t>선순위(LP) E</t>
    <phoneticPr fontId="7" type="noConversion"/>
  </si>
  <si>
    <t>출자비율</t>
  </si>
  <si>
    <t>최초 출자금(원본)</t>
  </si>
  <si>
    <t>출자</t>
  </si>
  <si>
    <t>평가기준일 출자금</t>
  </si>
  <si>
    <t>평가기준일 출자좌수</t>
  </si>
  <si>
    <t>SPC 출차 및 분배 현황</t>
    <phoneticPr fontId="7" type="noConversion"/>
  </si>
  <si>
    <t>(단위: 원)</t>
    <phoneticPr fontId="14" type="noConversion"/>
  </si>
  <si>
    <t>구분</t>
    <phoneticPr fontId="14" type="noConversion"/>
  </si>
  <si>
    <t>출자자</t>
    <phoneticPr fontId="14" type="noConversion"/>
  </si>
  <si>
    <t>약정출자금</t>
    <phoneticPr fontId="14" type="noConversion"/>
  </si>
  <si>
    <t>평가기준일 출자금</t>
    <phoneticPr fontId="7" type="noConversion"/>
  </si>
  <si>
    <t>평가기준일 출자좌수</t>
    <phoneticPr fontId="7" type="noConversion"/>
  </si>
  <si>
    <t>매니아원유한회사</t>
    <phoneticPr fontId="14" type="noConversion"/>
  </si>
  <si>
    <t>페트라8호 사모투자합자회사</t>
  </si>
  <si>
    <t>헬리오스원유한회사</t>
    <phoneticPr fontId="14" type="noConversion"/>
  </si>
  <si>
    <t>아이엠엠이에스지1호유한회사</t>
    <phoneticPr fontId="14" type="noConversion"/>
  </si>
  <si>
    <t>디오네원유한회사</t>
    <phoneticPr fontId="14" type="noConversion"/>
  </si>
  <si>
    <t>아이엠엠이에스지2호유한회사</t>
    <phoneticPr fontId="14" type="noConversion"/>
  </si>
  <si>
    <t>뮤즈원유한회사</t>
    <phoneticPr fontId="14" type="noConversion"/>
  </si>
  <si>
    <t>아이엠엠이에스지3호유한회사</t>
    <phoneticPr fontId="14" type="noConversion"/>
  </si>
  <si>
    <t>조디악원유한회사</t>
    <phoneticPr fontId="14" type="noConversion"/>
  </si>
  <si>
    <t>합계</t>
    <phoneticPr fontId="14" type="noConversion"/>
  </si>
  <si>
    <t>웨이브원 유한회사</t>
    <phoneticPr fontId="7" type="noConversion"/>
  </si>
  <si>
    <t>110114-0301991</t>
    <phoneticPr fontId="7" type="noConversion"/>
  </si>
  <si>
    <t>㈜디스트릭트 코리아</t>
    <phoneticPr fontId="7" type="noConversion"/>
  </si>
  <si>
    <t xml:space="preserve"> 110111-3038951</t>
    <phoneticPr fontId="7" type="noConversion"/>
  </si>
  <si>
    <t>추가투자</t>
    <phoneticPr fontId="7" type="noConversion"/>
  </si>
  <si>
    <t>1-1) 신규 취득</t>
    <phoneticPr fontId="7" type="noConversion"/>
  </si>
  <si>
    <t>웨이브원유한회사</t>
    <phoneticPr fontId="14" type="noConversion"/>
  </si>
  <si>
    <t>주식회사 디스트릭트 코리아</t>
    <phoneticPr fontId="7" type="noConversion"/>
  </si>
  <si>
    <t>주식회사 디스트릭트 코리아</t>
    <phoneticPr fontId="7" type="noConversion"/>
  </si>
  <si>
    <t>40,000,000,000원</t>
    <phoneticPr fontId="7" type="noConversion"/>
  </si>
  <si>
    <t>500원</t>
    <phoneticPr fontId="7" type="noConversion"/>
  </si>
  <si>
    <t>우선배당률: 각 우선주 투자금액의 연 [12]% ; 누적적/비참가적</t>
    <phoneticPr fontId="7" type="noConversion"/>
  </si>
  <si>
    <t>● 상환권의 행사주체 및 행사 기간:
   - 발행일로부터 [3]년 이후부터 투자자
   - 발행일로부터 [1]년 이후부터 발행회사</t>
    <phoneticPr fontId="7" type="noConversion"/>
  </si>
  <si>
    <t>● RPS 투자원금에 대하여 상환일까지의 기간에 대해 IRR [12.0]%가 되게 하는 금액</t>
    <phoneticPr fontId="7" type="noConversion"/>
  </si>
  <si>
    <t>● 만기: [2027년말 또는 D’strict Holdings, Inc.의 Q-IPO] 중 빠른 날까지. 만기 도래 시 상환가격으로 일시 상환</t>
    <phoneticPr fontId="7" type="noConversion"/>
  </si>
  <si>
    <t>상환우선주</t>
    <phoneticPr fontId="7" type="noConversion"/>
  </si>
  <si>
    <t>최초투자 주식수</t>
    <phoneticPr fontId="7" type="noConversion"/>
  </si>
  <si>
    <t>회수완료</t>
    <phoneticPr fontId="7" type="noConversion"/>
  </si>
  <si>
    <t>* Facility Loan :  512,000,000,000원</t>
    <phoneticPr fontId="7" type="noConversion"/>
  </si>
  <si>
    <t>FX</t>
    <phoneticPr fontId="7" type="noConversion"/>
  </si>
  <si>
    <t>* Convertible Note 투자</t>
    <phoneticPr fontId="7" type="noConversion"/>
  </si>
  <si>
    <t>&lt;디오네원 to Dione Limited&gt;</t>
    <phoneticPr fontId="7" type="noConversion"/>
  </si>
  <si>
    <t>&lt;아이엠엠이에스지2호 to IMM Mena One&gt;</t>
    <phoneticPr fontId="7" type="noConversion"/>
  </si>
  <si>
    <t>해당사항 없음</t>
    <phoneticPr fontId="7" type="noConversion"/>
  </si>
  <si>
    <t>아이엠엠이에스지4호 유한회사</t>
    <phoneticPr fontId="7" type="noConversion"/>
  </si>
  <si>
    <t>110114-0315330</t>
    <phoneticPr fontId="7" type="noConversion"/>
  </si>
  <si>
    <t>㈜에코프로비엠</t>
    <phoneticPr fontId="7" type="noConversion"/>
  </si>
  <si>
    <t>150111-0219184</t>
    <phoneticPr fontId="7" type="noConversion"/>
  </si>
  <si>
    <t>KOSDAQ: 247540</t>
    <phoneticPr fontId="7" type="noConversion"/>
  </si>
  <si>
    <t>D’strict Holdings Inc</t>
    <phoneticPr fontId="7" type="noConversion"/>
  </si>
  <si>
    <t>웨이브투 유한회사</t>
    <phoneticPr fontId="7" type="noConversion"/>
  </si>
  <si>
    <t>110114-0308129</t>
    <phoneticPr fontId="7" type="noConversion"/>
  </si>
  <si>
    <t>&lt;웨이브원 SPC to 웨이브투 SPC&gt;</t>
    <phoneticPr fontId="7" type="noConversion"/>
  </si>
  <si>
    <t>&lt;웨이브투 SPC to D’strict Holdings Inc&gt;</t>
    <phoneticPr fontId="7" type="noConversion"/>
  </si>
  <si>
    <t>웨이브원 유한회사</t>
    <phoneticPr fontId="14" type="noConversion"/>
  </si>
  <si>
    <t>웨이브투 유한회사</t>
    <phoneticPr fontId="14" type="noConversion"/>
  </si>
  <si>
    <t>아이엠엠이에스지4호유한회사</t>
    <phoneticPr fontId="14" type="noConversion"/>
  </si>
  <si>
    <t>유상증자</t>
    <phoneticPr fontId="7" type="noConversion"/>
  </si>
  <si>
    <t>Helinox PTE. LTD</t>
    <phoneticPr fontId="37" type="noConversion"/>
  </si>
  <si>
    <t>주석 1 참고</t>
    <phoneticPr fontId="37" type="noConversion"/>
  </si>
  <si>
    <t>주석 2 참고</t>
    <phoneticPr fontId="37" type="noConversion"/>
  </si>
  <si>
    <t>현물출자</t>
    <phoneticPr fontId="7" type="noConversion"/>
  </si>
  <si>
    <t>투자회사명</t>
    <phoneticPr fontId="37" type="noConversion"/>
  </si>
  <si>
    <t>매니아원 유한회사</t>
    <phoneticPr fontId="37" type="noConversion"/>
  </si>
  <si>
    <t>헬리오스원 유한회사</t>
    <phoneticPr fontId="37" type="noConversion"/>
  </si>
  <si>
    <t>아이엠엠이에스지1호 유한회사</t>
    <phoneticPr fontId="7" type="noConversion"/>
  </si>
  <si>
    <t>디오네원 유한회사</t>
    <phoneticPr fontId="37" type="noConversion"/>
  </si>
  <si>
    <t>아이엠엠이에스지2호 유한회사</t>
    <phoneticPr fontId="37" type="noConversion"/>
  </si>
  <si>
    <t>뮤즈원 유한회사</t>
    <phoneticPr fontId="37" type="noConversion"/>
  </si>
  <si>
    <t>아이엠엠이에스지3호 유한회사</t>
    <phoneticPr fontId="37" type="noConversion"/>
  </si>
  <si>
    <t>아이엠엠이에스지4호 유한회사</t>
    <phoneticPr fontId="37" type="noConversion"/>
  </si>
  <si>
    <t>주석1.</t>
    <phoneticPr fontId="37" type="noConversion"/>
  </si>
  <si>
    <t>대상</t>
    <phoneticPr fontId="37" type="noConversion"/>
  </si>
  <si>
    <t>유형</t>
    <phoneticPr fontId="37" type="noConversion"/>
  </si>
  <si>
    <t>주식수</t>
    <phoneticPr fontId="37" type="noConversion"/>
  </si>
  <si>
    <t>취득단가</t>
    <phoneticPr fontId="37" type="noConversion"/>
  </si>
  <si>
    <t>총액</t>
    <phoneticPr fontId="37" type="noConversion"/>
  </si>
  <si>
    <t>무신사</t>
    <phoneticPr fontId="37" type="noConversion"/>
  </si>
  <si>
    <t>RCPS(신주)</t>
    <phoneticPr fontId="37" type="noConversion"/>
  </si>
  <si>
    <t>주석 2.</t>
    <phoneticPr fontId="37" type="noConversion"/>
  </si>
  <si>
    <t>- 헬리오스원 유한회사는 헬리녹스 (국내법인)에 2021년 7월 20일 RPS 104,412주를 투자하였음</t>
    <phoneticPr fontId="37" type="noConversion"/>
  </si>
  <si>
    <t>주석 3.</t>
    <phoneticPr fontId="37" type="noConversion"/>
  </si>
  <si>
    <t xml:space="preserve"> 페트라8호 PEF -&gt; 디오네원-&gt;Dione Limited -&gt; Aphrodite -&gt; 휴젤</t>
    <phoneticPr fontId="7" type="noConversion"/>
  </si>
  <si>
    <t>- 페트라8호 PEF의 국내소재 SPC인 디오네원(유)는 ㈜GS와 공동 설립한 몰타 소재 SPC인 Dione Limited에 투자하였으며, Dione Limited는 CBC , 및 Mubadala와 케이만 제도 소재 투자목적회사 Aphrodite Acquisition Holdings LLC (이하 “Aphrodite”)에 인수금융을 포함한 약 1조 3천 9백억원을 보통주 및 CB 형태로 휴젤㈜에 투자하였음</t>
    <phoneticPr fontId="7" type="noConversion"/>
  </si>
  <si>
    <t>- 지분구조 및 거래 현황은 아래와 같음</t>
    <phoneticPr fontId="37" type="noConversion"/>
  </si>
  <si>
    <t>&lt;지분율&gt;</t>
    <phoneticPr fontId="37" type="noConversion"/>
  </si>
  <si>
    <t>지배</t>
    <phoneticPr fontId="37" type="noConversion"/>
  </si>
  <si>
    <t>피지배</t>
    <phoneticPr fontId="37" type="noConversion"/>
  </si>
  <si>
    <t>지분율</t>
    <phoneticPr fontId="37" type="noConversion"/>
  </si>
  <si>
    <t>보유 주식수</t>
    <phoneticPr fontId="37" type="noConversion"/>
  </si>
  <si>
    <t>Dione Ltd</t>
    <phoneticPr fontId="14" type="noConversion"/>
  </si>
  <si>
    <t xml:space="preserve">Aphrodite </t>
    <phoneticPr fontId="14" type="noConversion"/>
  </si>
  <si>
    <t>휴젤</t>
    <phoneticPr fontId="14" type="noConversion"/>
  </si>
  <si>
    <t>취득일</t>
    <phoneticPr fontId="37" type="noConversion"/>
  </si>
  <si>
    <t>주식수/채권수량</t>
    <phoneticPr fontId="37" type="noConversion"/>
  </si>
  <si>
    <t>취득 단가
(KRW)</t>
    <phoneticPr fontId="37" type="noConversion"/>
  </si>
  <si>
    <t>장부가
(KRW)</t>
    <phoneticPr fontId="37" type="noConversion"/>
  </si>
  <si>
    <t>취득 단가
(USD)</t>
    <phoneticPr fontId="37" type="noConversion"/>
  </si>
  <si>
    <t>장부가
(USD)</t>
    <phoneticPr fontId="37" type="noConversion"/>
  </si>
  <si>
    <t>투자시점(취득일)</t>
    <phoneticPr fontId="37" type="noConversion"/>
  </si>
  <si>
    <t>피투자회사명</t>
    <phoneticPr fontId="37" type="noConversion"/>
  </si>
  <si>
    <t>법인번호</t>
    <phoneticPr fontId="37" type="noConversion"/>
  </si>
  <si>
    <t>투자형태 (*1)</t>
    <phoneticPr fontId="37" type="noConversion"/>
  </si>
  <si>
    <t>구주/신주 (*2)</t>
    <phoneticPr fontId="37" type="noConversion"/>
  </si>
  <si>
    <t>투자주식수</t>
    <phoneticPr fontId="37" type="noConversion"/>
  </si>
  <si>
    <t>취득단가
(USD)</t>
    <phoneticPr fontId="37" type="noConversion"/>
  </si>
  <si>
    <t>최초 투자금액
(USD)</t>
    <phoneticPr fontId="37" type="noConversion"/>
  </si>
  <si>
    <t>기준일 잔여주식수</t>
    <phoneticPr fontId="37" type="noConversion"/>
  </si>
  <si>
    <t>BS상 장부가액
(USD)</t>
    <phoneticPr fontId="37" type="noConversion"/>
  </si>
  <si>
    <t>주석 4.</t>
    <phoneticPr fontId="37" type="noConversion"/>
  </si>
  <si>
    <t>주석 5.</t>
    <phoneticPr fontId="37" type="noConversion"/>
  </si>
  <si>
    <t>주석 3 참고 (해외 SPC/ 최종적으로 휴젤㈜에 투자)</t>
    <phoneticPr fontId="7" type="noConversion"/>
  </si>
  <si>
    <t>주석 4. 참고 (해외 SPC/ 최종적으로 Pure Harvest Smart Farms Holdings에 투자)</t>
    <phoneticPr fontId="7" type="noConversion"/>
  </si>
  <si>
    <t>2023년 10월 31일 자로 무신사 RCPS 추가 투자 완료하였으며, 취득 내역은 아래와 같음</t>
    <phoneticPr fontId="37" type="noConversion"/>
  </si>
  <si>
    <t>구주</t>
  </si>
  <si>
    <t>신주</t>
  </si>
  <si>
    <t>헬리녹스</t>
    <phoneticPr fontId="37" type="noConversion"/>
  </si>
  <si>
    <t>* 기존 보유 한국 주식의 전환단가는 그대로 가져감</t>
    <phoneticPr fontId="37" type="noConversion"/>
  </si>
  <si>
    <t>취득단가(SGD)</t>
    <phoneticPr fontId="37" type="noConversion"/>
  </si>
  <si>
    <t>총액(SGD)</t>
    <phoneticPr fontId="37" type="noConversion"/>
  </si>
  <si>
    <t>취득단가(KRW)</t>
    <phoneticPr fontId="37" type="noConversion"/>
  </si>
  <si>
    <t>총액(KRW)</t>
    <phoneticPr fontId="37" type="noConversion"/>
  </si>
  <si>
    <t>- 헬리녹스의 지배구조 변경에 따라, 2023년 5월 9일 헬리녹스의 지분 100% 보유하는 싱가포르 지주사 Helinox PTE. LTD에 ㈜헬리녹스 RPS 104,412주를 출자하고 본 법인과 동일한 가치의 104,412주를 취득하였음. 투자의 실질은 동일하나 싱가포르 지주사의 신규 투자자 투자단가에 맞춰 조정 발생함.</t>
    <phoneticPr fontId="37" type="noConversion"/>
  </si>
  <si>
    <t>페트라8호 PEF -&gt; 아이엠엠이에스지2호(유) -&gt; IMM Mena One -&gt; Pure Harvest Smart Farms Holdings</t>
    <phoneticPr fontId="7" type="noConversion"/>
  </si>
  <si>
    <t>페트라8호 PEF -&gt; 웨이브원 SPC(100%) -&gt; 웨이브투 SPC (100%) -&gt; D’strict Holdings Inc</t>
    <phoneticPr fontId="7" type="noConversion"/>
  </si>
  <si>
    <t>D'Strict Holdings Inc.</t>
    <phoneticPr fontId="14" type="noConversion"/>
  </si>
  <si>
    <t>페트라8호 PEF의 국내소재 SPC인 웨이브원(유)는 국내 소재 SPC인 웨이브투(유)에 투자하였으며, 웨이브투(유)는 Convertible Note 및 보통주 Call Option 형태로 D’strict Holdings Inc에 투자하였음. D'Strict Holdings Inc.는 디스트릭트 코리아의 100% 지분을 보유하는 미국소재 지주사임. 사업의 실질은 디스트릭트 코리아에 있음.</t>
    <phoneticPr fontId="7" type="noConversion"/>
  </si>
  <si>
    <t>취득단가
(KRW)</t>
    <phoneticPr fontId="37" type="noConversion"/>
  </si>
  <si>
    <t>최초 투자금액
(KRW)</t>
    <phoneticPr fontId="37" type="noConversion"/>
  </si>
  <si>
    <t>BS상 장부가액
(KRW)</t>
    <phoneticPr fontId="37" type="noConversion"/>
  </si>
  <si>
    <t>Convertible Note</t>
    <phoneticPr fontId="37" type="noConversion"/>
  </si>
  <si>
    <t>투자형태</t>
    <phoneticPr fontId="37" type="noConversion"/>
  </si>
  <si>
    <t>구주/신주</t>
    <phoneticPr fontId="37" type="noConversion"/>
  </si>
  <si>
    <t>보통주 Call Option</t>
    <phoneticPr fontId="37" type="noConversion"/>
  </si>
  <si>
    <t>보통주 전환일</t>
    <phoneticPr fontId="37" type="noConversion"/>
  </si>
  <si>
    <t>전환후 주식</t>
    <phoneticPr fontId="37" type="noConversion"/>
  </si>
  <si>
    <t>우선주</t>
    <phoneticPr fontId="7" type="noConversion"/>
  </si>
  <si>
    <t>발행일로부터 2032-07-01까지 언제든지 (만기 10년)</t>
    <phoneticPr fontId="7" type="noConversion"/>
  </si>
  <si>
    <t>3년 후 상환청구 가능(2025-07-02 이후 언제든지)</t>
    <phoneticPr fontId="7" type="noConversion"/>
  </si>
  <si>
    <t>2032-07-01 (만기 10년)</t>
    <phoneticPr fontId="7" type="noConversion"/>
  </si>
  <si>
    <t>익명조합출자금</t>
    <phoneticPr fontId="7" type="noConversion"/>
  </si>
  <si>
    <t>디스트릭트 코리아</t>
    <phoneticPr fontId="7" type="noConversion"/>
  </si>
  <si>
    <t>KOSPI: 450080</t>
    <phoneticPr fontId="7" type="noConversion"/>
  </si>
  <si>
    <t>주석 5. 참고 (본 피투자 회사는 국내 SPC이고, 최종적으로 D’strict Holdings Inc에 투자하였음. 현재 보통주 및 우선주 보유 중)</t>
    <phoneticPr fontId="7" type="noConversion"/>
  </si>
  <si>
    <t>110111-3038951</t>
    <phoneticPr fontId="7" type="noConversion"/>
  </si>
  <si>
    <t>출자지분율</t>
    <phoneticPr fontId="7" type="noConversion"/>
  </si>
  <si>
    <t>&gt; 전체: 915,727,128,811원
&gt; GP: 16,212,536,040원
&gt; LP: 899,514,592,771원</t>
    <phoneticPr fontId="7" type="noConversion"/>
  </si>
  <si>
    <t>일부 회수</t>
    <phoneticPr fontId="7" type="noConversion"/>
  </si>
  <si>
    <t>거래일자</t>
    <phoneticPr fontId="14" type="noConversion"/>
  </si>
  <si>
    <t>매도수량</t>
    <phoneticPr fontId="14" type="noConversion"/>
  </si>
  <si>
    <t>취득단가</t>
    <phoneticPr fontId="14" type="noConversion"/>
  </si>
  <si>
    <t>취득금액</t>
    <phoneticPr fontId="14" type="noConversion"/>
  </si>
  <si>
    <t>매도단가</t>
    <phoneticPr fontId="14" type="noConversion"/>
  </si>
  <si>
    <t>매도금액
(세전)</t>
    <phoneticPr fontId="14" type="noConversion"/>
  </si>
  <si>
    <t>수수료</t>
    <phoneticPr fontId="14" type="noConversion"/>
  </si>
  <si>
    <t>제세금</t>
    <phoneticPr fontId="14" type="noConversion"/>
  </si>
  <si>
    <t>매도금액
(세후)</t>
    <phoneticPr fontId="14" type="noConversion"/>
  </si>
  <si>
    <t>주석 6.</t>
    <phoneticPr fontId="37" type="noConversion"/>
  </si>
  <si>
    <t>2024년 6월 1일 ~ 14일까지의 추가회수 발생하였고, 회수내역은 아래 주석6 참고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</si>
</sst>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6" formatCode="\$#,##0.00_);[Red]\(\$#,##0.00\)"/>
    <numFmt numFmtId="176" formatCode="mm&quot;/&quot;dd&quot;/&quot;yy"/>
    <numFmt numFmtId="177" formatCode="#,##0.00_ ;[Red]\-#,##0.00\ "/>
    <numFmt numFmtId="178" formatCode="_-* #,##0.00_-;\-* #,##0.00_-;_-* &quot;-&quot;_-;_-@_-"/>
    <numFmt numFmtId="179" formatCode="&quot;US$&quot;#,##0_);[Red]\(&quot;US$&quot;#,##0\)"/>
    <numFmt numFmtId="180" formatCode="0.0%"/>
    <numFmt numFmtId="181" formatCode="_-* #,##0_-;\-* #,##0_-;_-* &quot;-&quot;??_-;_-@_-"/>
  </numFmts>
  <fonts count="4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name val="굴림체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u/>
      <sz val="1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sz val="11"/>
      <color rgb="FF000000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4"/>
      <color theme="0"/>
      <name val="나눔고딕"/>
      <family val="3"/>
      <charset val="129"/>
    </font>
    <font>
      <sz val="10"/>
      <name val="나눔고딕"/>
      <family val="3"/>
      <charset val="129"/>
    </font>
    <font>
      <b/>
      <sz val="10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u/>
      <sz val="1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6699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7">
    <xf numFmtId="0" fontId="0" fillId="0" borderId="0"/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6" fillId="0" borderId="0" applyNumberFormat="0" applyFont="0" applyFill="0" applyBorder="0" applyAlignment="0" applyProtection="0"/>
    <xf numFmtId="0" fontId="4" fillId="0" borderId="0">
      <alignment vertical="center"/>
    </xf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7" fillId="0" borderId="0"/>
    <xf numFmtId="43" fontId="29" fillId="0" borderId="0" applyFont="0" applyFill="0" applyBorder="0" applyAlignment="0" applyProtection="0"/>
    <xf numFmtId="0" fontId="3" fillId="0" borderId="0">
      <alignment vertical="center"/>
    </xf>
  </cellStyleXfs>
  <cellXfs count="321">
    <xf numFmtId="0" fontId="0" fillId="0" borderId="0" xfId="0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7" fontId="13" fillId="3" borderId="3" xfId="6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3" xfId="0" quotePrefix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vertical="center"/>
    </xf>
    <xf numFmtId="0" fontId="12" fillId="0" borderId="0" xfId="0" applyFont="1"/>
    <xf numFmtId="0" fontId="6" fillId="0" borderId="0" xfId="0" applyFont="1" applyAlignment="1">
      <alignment vertical="center"/>
    </xf>
    <xf numFmtId="0" fontId="10" fillId="0" borderId="3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176" fontId="19" fillId="0" borderId="0" xfId="3" applyNumberFormat="1" applyFont="1" applyAlignment="1">
      <alignment horizontal="left" vertical="center"/>
    </xf>
    <xf numFmtId="14" fontId="12" fillId="4" borderId="8" xfId="0" applyNumberFormat="1" applyFont="1" applyFill="1" applyBorder="1" applyAlignment="1">
      <alignment horizontal="right" vertical="center"/>
    </xf>
    <xf numFmtId="0" fontId="20" fillId="0" borderId="0" xfId="0" applyFont="1" applyAlignment="1">
      <alignment vertical="center"/>
    </xf>
    <xf numFmtId="176" fontId="12" fillId="0" borderId="0" xfId="3" applyNumberFormat="1" applyFont="1" applyAlignment="1">
      <alignment horizontal="center" vertical="center"/>
    </xf>
    <xf numFmtId="14" fontId="12" fillId="0" borderId="0" xfId="3" applyNumberFormat="1" applyFont="1" applyAlignment="1">
      <alignment horizontal="center" vertical="center"/>
    </xf>
    <xf numFmtId="41" fontId="12" fillId="0" borderId="0" xfId="1" applyFont="1" applyFill="1" applyBorder="1" applyAlignment="1">
      <alignment vertical="center"/>
    </xf>
    <xf numFmtId="0" fontId="12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177" fontId="13" fillId="3" borderId="3" xfId="0" applyNumberFormat="1" applyFont="1" applyFill="1" applyBorder="1" applyAlignment="1" applyProtection="1">
      <alignment horizontal="center" vertical="center"/>
      <protection locked="0"/>
    </xf>
    <xf numFmtId="177" fontId="13" fillId="8" borderId="3" xfId="0" applyNumberFormat="1" applyFont="1" applyFill="1" applyBorder="1" applyAlignment="1" applyProtection="1">
      <alignment horizontal="center" vertical="center"/>
      <protection locked="0"/>
    </xf>
    <xf numFmtId="177" fontId="13" fillId="7" borderId="3" xfId="0" applyNumberFormat="1" applyFont="1" applyFill="1" applyBorder="1" applyAlignment="1" applyProtection="1">
      <alignment horizontal="center" vertical="center"/>
      <protection locked="0"/>
    </xf>
    <xf numFmtId="177" fontId="13" fillId="6" borderId="3" xfId="0" applyNumberFormat="1" applyFont="1" applyFill="1" applyBorder="1" applyAlignment="1" applyProtection="1">
      <alignment horizontal="center" vertical="center"/>
      <protection locked="0"/>
    </xf>
    <xf numFmtId="14" fontId="12" fillId="0" borderId="3" xfId="4" applyNumberFormat="1" applyFont="1" applyBorder="1" applyAlignment="1">
      <alignment horizontal="center" vertical="center"/>
    </xf>
    <xf numFmtId="0" fontId="12" fillId="0" borderId="3" xfId="4" applyFont="1" applyBorder="1" applyAlignment="1">
      <alignment horizontal="center" vertical="center"/>
    </xf>
    <xf numFmtId="41" fontId="12" fillId="0" borderId="3" xfId="1" applyFont="1" applyFill="1" applyBorder="1" applyAlignment="1">
      <alignment vertical="center"/>
    </xf>
    <xf numFmtId="41" fontId="12" fillId="0" borderId="3" xfId="1" applyFont="1" applyFill="1" applyBorder="1" applyAlignment="1">
      <alignment horizontal="right" vertical="center"/>
    </xf>
    <xf numFmtId="0" fontId="2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41" fontId="12" fillId="4" borderId="3" xfId="1" applyFont="1" applyFill="1" applyBorder="1" applyAlignment="1">
      <alignment horizontal="right" vertical="center"/>
    </xf>
    <xf numFmtId="0" fontId="21" fillId="0" borderId="2" xfId="0" applyFont="1" applyBorder="1" applyAlignment="1">
      <alignment horizontal="center" vertical="center" wrapText="1"/>
    </xf>
    <xf numFmtId="41" fontId="21" fillId="0" borderId="2" xfId="0" applyNumberFormat="1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4" fillId="4" borderId="8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177" fontId="13" fillId="9" borderId="3" xfId="0" applyNumberFormat="1" applyFont="1" applyFill="1" applyBorder="1" applyAlignment="1" applyProtection="1">
      <alignment horizontal="center" vertical="center"/>
      <protection locked="0"/>
    </xf>
    <xf numFmtId="14" fontId="2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1" fontId="4" fillId="0" borderId="3" xfId="1" applyFont="1" applyBorder="1">
      <alignment vertical="center"/>
    </xf>
    <xf numFmtId="10" fontId="4" fillId="0" borderId="3" xfId="2" applyNumberFormat="1" applyFont="1" applyBorder="1" applyAlignment="1">
      <alignment horizontal="center" vertical="center"/>
    </xf>
    <xf numFmtId="10" fontId="4" fillId="0" borderId="0" xfId="2" applyNumberFormat="1" applyFont="1" applyFill="1">
      <alignment vertical="center"/>
    </xf>
    <xf numFmtId="41" fontId="15" fillId="0" borderId="3" xfId="1" applyFont="1" applyBorder="1">
      <alignment vertical="center"/>
    </xf>
    <xf numFmtId="10" fontId="15" fillId="0" borderId="3" xfId="2" applyNumberFormat="1" applyFont="1" applyBorder="1" applyAlignment="1">
      <alignment horizontal="center" vertical="center"/>
    </xf>
    <xf numFmtId="41" fontId="4" fillId="0" borderId="0" xfId="1" applyFont="1" applyFill="1">
      <alignment vertical="center"/>
    </xf>
    <xf numFmtId="0" fontId="0" fillId="0" borderId="0" xfId="0" applyAlignment="1">
      <alignment horizontal="center"/>
    </xf>
    <xf numFmtId="177" fontId="13" fillId="10" borderId="3" xfId="0" applyNumberFormat="1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7" fontId="27" fillId="3" borderId="3" xfId="0" applyNumberFormat="1" applyFont="1" applyFill="1" applyBorder="1" applyAlignment="1" applyProtection="1">
      <alignment horizontal="center" vertical="center"/>
      <protection locked="0"/>
    </xf>
    <xf numFmtId="0" fontId="25" fillId="4" borderId="3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9" fontId="25" fillId="4" borderId="3" xfId="0" applyNumberFormat="1" applyFont="1" applyFill="1" applyBorder="1" applyAlignment="1">
      <alignment horizontal="center" vertical="center" wrapText="1"/>
    </xf>
    <xf numFmtId="10" fontId="25" fillId="4" borderId="3" xfId="0" applyNumberFormat="1" applyFont="1" applyFill="1" applyBorder="1" applyAlignment="1">
      <alignment horizontal="center" vertical="center" wrapText="1"/>
    </xf>
    <xf numFmtId="31" fontId="25" fillId="4" borderId="3" xfId="0" applyNumberFormat="1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left" vertical="center" wrapText="1"/>
    </xf>
    <xf numFmtId="49" fontId="25" fillId="4" borderId="3" xfId="0" applyNumberFormat="1" applyFont="1" applyFill="1" applyBorder="1" applyAlignment="1">
      <alignment horizontal="center" vertical="center" wrapText="1"/>
    </xf>
    <xf numFmtId="14" fontId="25" fillId="4" borderId="3" xfId="0" applyNumberFormat="1" applyFont="1" applyFill="1" applyBorder="1" applyAlignment="1">
      <alignment horizontal="center" vertical="center" wrapText="1"/>
    </xf>
    <xf numFmtId="0" fontId="25" fillId="4" borderId="3" xfId="0" quotePrefix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indent="1"/>
    </xf>
    <xf numFmtId="0" fontId="25" fillId="0" borderId="3" xfId="0" applyFont="1" applyBorder="1" applyAlignment="1">
      <alignment horizontal="left" vertical="center" wrapText="1" indent="1"/>
    </xf>
    <xf numFmtId="20" fontId="25" fillId="4" borderId="3" xfId="0" applyNumberFormat="1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center" vertical="center" wrapText="1"/>
    </xf>
    <xf numFmtId="41" fontId="21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12" fillId="0" borderId="0" xfId="4" applyFont="1" applyAlignment="1">
      <alignment horizontal="center" vertical="center"/>
    </xf>
    <xf numFmtId="41" fontId="12" fillId="0" borderId="0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7" fillId="2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16" applyFont="1">
      <alignment vertical="center"/>
    </xf>
    <xf numFmtId="176" fontId="10" fillId="0" borderId="0" xfId="3" applyNumberFormat="1" applyFont="1" applyAlignment="1">
      <alignment horizontal="right" vertical="center"/>
    </xf>
    <xf numFmtId="14" fontId="10" fillId="4" borderId="8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177" fontId="27" fillId="7" borderId="3" xfId="0" applyNumberFormat="1" applyFont="1" applyFill="1" applyBorder="1" applyAlignment="1" applyProtection="1">
      <alignment horizontal="center" vertical="center"/>
      <protection locked="0"/>
    </xf>
    <xf numFmtId="10" fontId="10" fillId="4" borderId="3" xfId="0" applyNumberFormat="1" applyFont="1" applyFill="1" applyBorder="1" applyAlignment="1">
      <alignment vertical="center"/>
    </xf>
    <xf numFmtId="10" fontId="30" fillId="4" borderId="3" xfId="0" applyNumberFormat="1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177" fontId="31" fillId="12" borderId="3" xfId="0" applyNumberFormat="1" applyFont="1" applyFill="1" applyBorder="1" applyAlignment="1" applyProtection="1">
      <alignment horizontal="center" vertical="center"/>
      <protection locked="0"/>
    </xf>
    <xf numFmtId="177" fontId="32" fillId="0" borderId="3" xfId="0" applyNumberFormat="1" applyFont="1" applyBorder="1" applyAlignment="1" applyProtection="1">
      <alignment horizontal="center" vertical="center"/>
      <protection locked="0"/>
    </xf>
    <xf numFmtId="14" fontId="33" fillId="0" borderId="3" xfId="0" applyNumberFormat="1" applyFont="1" applyBorder="1" applyAlignment="1">
      <alignment horizontal="center" vertical="center"/>
    </xf>
    <xf numFmtId="10" fontId="33" fillId="0" borderId="3" xfId="7" applyNumberFormat="1" applyFont="1" applyFill="1" applyBorder="1" applyAlignment="1">
      <alignment horizontal="right" vertical="center"/>
    </xf>
    <xf numFmtId="41" fontId="33" fillId="0" borderId="3" xfId="9" applyFont="1" applyFill="1" applyBorder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77" fontId="36" fillId="0" borderId="3" xfId="0" applyNumberFormat="1" applyFont="1" applyBorder="1" applyAlignment="1" applyProtection="1">
      <alignment horizontal="center" vertical="center"/>
      <protection locked="0"/>
    </xf>
    <xf numFmtId="14" fontId="35" fillId="0" borderId="3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41" fontId="35" fillId="0" borderId="3" xfId="1" applyFont="1" applyFill="1" applyBorder="1">
      <alignment vertical="center"/>
    </xf>
    <xf numFmtId="10" fontId="35" fillId="0" borderId="3" xfId="2" applyNumberFormat="1" applyFont="1" applyFill="1" applyBorder="1" applyAlignment="1">
      <alignment horizontal="center" vertical="center"/>
    </xf>
    <xf numFmtId="41" fontId="36" fillId="0" borderId="3" xfId="1" applyFont="1" applyFill="1" applyBorder="1">
      <alignment vertical="center"/>
    </xf>
    <xf numFmtId="10" fontId="36" fillId="0" borderId="3" xfId="2" applyNumberFormat="1" applyFont="1" applyFill="1" applyBorder="1" applyAlignment="1">
      <alignment horizontal="center" vertical="center"/>
    </xf>
    <xf numFmtId="41" fontId="10" fillId="4" borderId="3" xfId="0" applyNumberFormat="1" applyFont="1" applyFill="1" applyBorder="1" applyAlignment="1">
      <alignment vertical="center" wrapText="1"/>
    </xf>
    <xf numFmtId="41" fontId="25" fillId="0" borderId="0" xfId="1" applyFont="1" applyAlignment="1">
      <alignment vertical="center"/>
    </xf>
    <xf numFmtId="41" fontId="10" fillId="0" borderId="0" xfId="0" applyNumberFormat="1" applyFont="1"/>
    <xf numFmtId="14" fontId="12" fillId="0" borderId="0" xfId="4" applyNumberFormat="1" applyFont="1" applyAlignment="1">
      <alignment horizontal="center" vertical="center"/>
    </xf>
    <xf numFmtId="41" fontId="12" fillId="0" borderId="0" xfId="1" applyFont="1" applyFill="1" applyBorder="1" applyAlignment="1">
      <alignment horizontal="right" vertical="center"/>
    </xf>
    <xf numFmtId="3" fontId="2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1" fontId="0" fillId="0" borderId="0" xfId="0" applyNumberFormat="1"/>
    <xf numFmtId="41" fontId="10" fillId="0" borderId="0" xfId="1" applyFont="1" applyAlignment="1">
      <alignment vertical="center"/>
    </xf>
    <xf numFmtId="0" fontId="21" fillId="0" borderId="3" xfId="0" applyFont="1" applyBorder="1" applyAlignment="1">
      <alignment horizontal="center" vertical="center" wrapText="1"/>
    </xf>
    <xf numFmtId="41" fontId="21" fillId="0" borderId="3" xfId="0" applyNumberFormat="1" applyFont="1" applyBorder="1" applyAlignment="1">
      <alignment vertical="center" wrapText="1"/>
    </xf>
    <xf numFmtId="41" fontId="4" fillId="0" borderId="0" xfId="1" applyFont="1" applyFill="1" applyAlignment="1">
      <alignment vertical="center"/>
    </xf>
    <xf numFmtId="41" fontId="4" fillId="0" borderId="0" xfId="0" applyNumberFormat="1" applyFont="1" applyAlignment="1">
      <alignment vertical="center"/>
    </xf>
    <xf numFmtId="41" fontId="12" fillId="0" borderId="0" xfId="1" applyFont="1" applyAlignment="1">
      <alignment vertical="center"/>
    </xf>
    <xf numFmtId="41" fontId="12" fillId="0" borderId="0" xfId="0" applyNumberFormat="1" applyFont="1" applyAlignment="1">
      <alignment vertical="center"/>
    </xf>
    <xf numFmtId="3" fontId="10" fillId="0" borderId="0" xfId="0" applyNumberFormat="1" applyFont="1"/>
    <xf numFmtId="0" fontId="21" fillId="0" borderId="0" xfId="13" applyFont="1" applyAlignment="1">
      <alignment horizontal="center" vertical="center" wrapText="1"/>
    </xf>
    <xf numFmtId="41" fontId="21" fillId="0" borderId="0" xfId="13" applyNumberFormat="1" applyFont="1" applyAlignment="1">
      <alignment vertical="center" wrapText="1"/>
    </xf>
    <xf numFmtId="0" fontId="38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76" fontId="40" fillId="0" borderId="0" xfId="3" applyNumberFormat="1" applyFont="1" applyAlignment="1">
      <alignment horizontal="left" vertical="center"/>
    </xf>
    <xf numFmtId="0" fontId="41" fillId="0" borderId="0" xfId="0" applyFont="1" applyAlignment="1">
      <alignment vertical="center"/>
    </xf>
    <xf numFmtId="176" fontId="39" fillId="0" borderId="0" xfId="3" applyNumberFormat="1" applyFont="1" applyAlignment="1">
      <alignment horizontal="center" vertical="center"/>
    </xf>
    <xf numFmtId="14" fontId="39" fillId="0" borderId="0" xfId="3" applyNumberFormat="1" applyFont="1" applyAlignment="1">
      <alignment horizontal="center" vertical="center"/>
    </xf>
    <xf numFmtId="41" fontId="39" fillId="0" borderId="0" xfId="1" applyFont="1" applyFill="1" applyBorder="1" applyAlignment="1">
      <alignment vertical="center"/>
    </xf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177" fontId="28" fillId="3" borderId="3" xfId="0" applyNumberFormat="1" applyFont="1" applyFill="1" applyBorder="1" applyAlignment="1" applyProtection="1">
      <alignment horizontal="center" vertical="center"/>
      <protection locked="0"/>
    </xf>
    <xf numFmtId="177" fontId="28" fillId="3" borderId="3" xfId="13" applyNumberFormat="1" applyFont="1" applyFill="1" applyBorder="1" applyAlignment="1" applyProtection="1">
      <alignment horizontal="center" vertical="center"/>
      <protection locked="0"/>
    </xf>
    <xf numFmtId="177" fontId="28" fillId="8" borderId="3" xfId="0" applyNumberFormat="1" applyFont="1" applyFill="1" applyBorder="1" applyAlignment="1" applyProtection="1">
      <alignment horizontal="center" vertical="center"/>
      <protection locked="0"/>
    </xf>
    <xf numFmtId="177" fontId="28" fillId="7" borderId="3" xfId="0" applyNumberFormat="1" applyFont="1" applyFill="1" applyBorder="1" applyAlignment="1" applyProtection="1">
      <alignment horizontal="center" vertical="center"/>
      <protection locked="0"/>
    </xf>
    <xf numFmtId="177" fontId="28" fillId="6" borderId="3" xfId="0" applyNumberFormat="1" applyFont="1" applyFill="1" applyBorder="1" applyAlignment="1" applyProtection="1">
      <alignment horizontal="center" vertical="center"/>
      <protection locked="0"/>
    </xf>
    <xf numFmtId="14" fontId="39" fillId="0" borderId="3" xfId="4" applyNumberFormat="1" applyFont="1" applyBorder="1" applyAlignment="1">
      <alignment horizontal="center" vertical="center"/>
    </xf>
    <xf numFmtId="0" fontId="39" fillId="0" borderId="3" xfId="4" applyFont="1" applyBorder="1" applyAlignment="1">
      <alignment horizontal="center" vertical="center"/>
    </xf>
    <xf numFmtId="41" fontId="39" fillId="0" borderId="3" xfId="1" applyFont="1" applyFill="1" applyBorder="1" applyAlignment="1">
      <alignment vertical="center"/>
    </xf>
    <xf numFmtId="41" fontId="39" fillId="0" borderId="3" xfId="1" applyFont="1" applyFill="1" applyBorder="1" applyAlignment="1">
      <alignment horizontal="right" vertical="center"/>
    </xf>
    <xf numFmtId="0" fontId="41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vertical="center"/>
    </xf>
    <xf numFmtId="41" fontId="39" fillId="4" borderId="3" xfId="1" applyFont="1" applyFill="1" applyBorder="1" applyAlignment="1">
      <alignment horizontal="right" vertical="center"/>
    </xf>
    <xf numFmtId="41" fontId="39" fillId="0" borderId="3" xfId="9" applyFont="1" applyFill="1" applyBorder="1" applyAlignment="1">
      <alignment horizontal="left" vertical="center"/>
    </xf>
    <xf numFmtId="41" fontId="39" fillId="0" borderId="3" xfId="9" applyFont="1" applyFill="1" applyBorder="1" applyAlignment="1">
      <alignment vertical="center"/>
    </xf>
    <xf numFmtId="41" fontId="39" fillId="0" borderId="3" xfId="9" applyFont="1" applyFill="1" applyBorder="1" applyAlignment="1">
      <alignment vertical="center" wrapText="1"/>
    </xf>
    <xf numFmtId="41" fontId="39" fillId="0" borderId="3" xfId="9" applyFont="1" applyFill="1" applyBorder="1" applyAlignment="1">
      <alignment horizontal="right" vertical="center" wrapText="1"/>
    </xf>
    <xf numFmtId="41" fontId="39" fillId="0" borderId="3" xfId="1" applyFont="1" applyFill="1" applyBorder="1" applyAlignment="1">
      <alignment horizontal="center" vertical="center"/>
    </xf>
    <xf numFmtId="41" fontId="39" fillId="4" borderId="3" xfId="1" applyFont="1" applyFill="1" applyBorder="1" applyAlignment="1">
      <alignment horizontal="center" vertical="center"/>
    </xf>
    <xf numFmtId="41" fontId="39" fillId="0" borderId="3" xfId="9" applyFont="1" applyFill="1" applyBorder="1" applyAlignment="1">
      <alignment horizontal="right" vertical="center"/>
    </xf>
    <xf numFmtId="41" fontId="39" fillId="0" borderId="3" xfId="1" applyFont="1" applyFill="1" applyBorder="1" applyAlignment="1">
      <alignment horizontal="left" vertical="center" wrapText="1"/>
    </xf>
    <xf numFmtId="0" fontId="41" fillId="0" borderId="0" xfId="0" applyFont="1" applyAlignment="1">
      <alignment horizontal="center" vertical="center"/>
    </xf>
    <xf numFmtId="0" fontId="39" fillId="0" borderId="0" xfId="0" applyFont="1"/>
    <xf numFmtId="0" fontId="42" fillId="13" borderId="0" xfId="0" applyFont="1" applyFill="1"/>
    <xf numFmtId="0" fontId="39" fillId="0" borderId="0" xfId="13" applyFont="1" applyAlignment="1">
      <alignment vertical="center"/>
    </xf>
    <xf numFmtId="0" fontId="42" fillId="14" borderId="3" xfId="0" applyFont="1" applyFill="1" applyBorder="1" applyAlignment="1">
      <alignment horizontal="center"/>
    </xf>
    <xf numFmtId="0" fontId="39" fillId="0" borderId="3" xfId="0" applyFont="1" applyBorder="1" applyAlignment="1">
      <alignment horizontal="center"/>
    </xf>
    <xf numFmtId="41" fontId="39" fillId="0" borderId="3" xfId="1" applyFont="1" applyBorder="1" applyAlignment="1">
      <alignment horizontal="center"/>
    </xf>
    <xf numFmtId="0" fontId="39" fillId="0" borderId="0" xfId="0" quotePrefix="1" applyFont="1"/>
    <xf numFmtId="41" fontId="39" fillId="0" borderId="0" xfId="9" applyFont="1" applyFill="1" applyBorder="1" applyAlignment="1">
      <alignment vertical="center"/>
    </xf>
    <xf numFmtId="0" fontId="39" fillId="0" borderId="0" xfId="13" applyFont="1" applyAlignment="1">
      <alignment horizontal="right"/>
    </xf>
    <xf numFmtId="0" fontId="40" fillId="0" borderId="0" xfId="13" applyFont="1" applyAlignment="1">
      <alignment horizontal="right"/>
    </xf>
    <xf numFmtId="0" fontId="39" fillId="0" borderId="0" xfId="0" applyFont="1" applyAlignment="1">
      <alignment horizontal="center" vertical="center"/>
    </xf>
    <xf numFmtId="0" fontId="40" fillId="0" borderId="0" xfId="13" quotePrefix="1" applyFont="1" applyAlignment="1">
      <alignment horizontal="left"/>
    </xf>
    <xf numFmtId="0" fontId="39" fillId="0" borderId="3" xfId="0" applyFont="1" applyBorder="1" applyAlignment="1">
      <alignment horizontal="center" vertical="center"/>
    </xf>
    <xf numFmtId="180" fontId="39" fillId="0" borderId="3" xfId="0" applyNumberFormat="1" applyFont="1" applyBorder="1" applyAlignment="1">
      <alignment horizontal="center" vertical="center"/>
    </xf>
    <xf numFmtId="181" fontId="43" fillId="0" borderId="3" xfId="0" applyNumberFormat="1" applyFont="1" applyBorder="1" applyAlignment="1">
      <alignment horizontal="center" vertical="center"/>
    </xf>
    <xf numFmtId="10" fontId="39" fillId="0" borderId="3" xfId="0" applyNumberFormat="1" applyFont="1" applyBorder="1" applyAlignment="1">
      <alignment horizontal="center" vertical="center"/>
    </xf>
    <xf numFmtId="181" fontId="39" fillId="0" borderId="3" xfId="1" applyNumberFormat="1" applyFont="1" applyBorder="1" applyAlignment="1">
      <alignment horizontal="center" vertical="center"/>
    </xf>
    <xf numFmtId="10" fontId="39" fillId="0" borderId="0" xfId="0" applyNumberFormat="1" applyFont="1" applyAlignment="1">
      <alignment horizontal="center" vertical="center"/>
    </xf>
    <xf numFmtId="181" fontId="39" fillId="0" borderId="0" xfId="1" applyNumberFormat="1" applyFont="1" applyBorder="1" applyAlignment="1">
      <alignment horizontal="center" vertical="center"/>
    </xf>
    <xf numFmtId="0" fontId="40" fillId="0" borderId="0" xfId="13" applyFont="1" applyAlignment="1">
      <alignment horizontal="left"/>
    </xf>
    <xf numFmtId="178" fontId="39" fillId="0" borderId="3" xfId="9" applyNumberFormat="1" applyFont="1" applyFill="1" applyBorder="1" applyAlignment="1">
      <alignment horizontal="left" vertical="center"/>
    </xf>
    <xf numFmtId="179" fontId="39" fillId="0" borderId="3" xfId="9" applyNumberFormat="1" applyFont="1" applyFill="1" applyBorder="1" applyAlignment="1">
      <alignment horizontal="center" vertical="center"/>
    </xf>
    <xf numFmtId="41" fontId="39" fillId="0" borderId="3" xfId="9" applyFont="1" applyFill="1" applyBorder="1" applyAlignment="1">
      <alignment horizontal="center" vertical="center"/>
    </xf>
    <xf numFmtId="178" fontId="39" fillId="0" borderId="3" xfId="9" applyNumberFormat="1" applyFont="1" applyFill="1" applyBorder="1" applyAlignment="1">
      <alignment horizontal="center" vertical="center"/>
    </xf>
    <xf numFmtId="0" fontId="42" fillId="11" borderId="1" xfId="13" applyFont="1" applyFill="1" applyBorder="1" applyAlignment="1">
      <alignment vertical="center"/>
    </xf>
    <xf numFmtId="0" fontId="42" fillId="11" borderId="4" xfId="13" applyFont="1" applyFill="1" applyBorder="1" applyAlignment="1">
      <alignment vertical="center"/>
    </xf>
    <xf numFmtId="41" fontId="42" fillId="11" borderId="3" xfId="9" applyFont="1" applyFill="1" applyBorder="1" applyAlignment="1">
      <alignment horizontal="center" vertical="center"/>
    </xf>
    <xf numFmtId="178" fontId="42" fillId="11" borderId="3" xfId="9" applyNumberFormat="1" applyFont="1" applyFill="1" applyBorder="1" applyAlignment="1">
      <alignment horizontal="center" vertical="center"/>
    </xf>
    <xf numFmtId="14" fontId="39" fillId="0" borderId="3" xfId="3" applyNumberFormat="1" applyFont="1" applyBorder="1" applyAlignment="1">
      <alignment horizontal="center" vertical="center"/>
    </xf>
    <xf numFmtId="24" fontId="39" fillId="0" borderId="3" xfId="9" applyNumberFormat="1" applyFont="1" applyFill="1" applyBorder="1" applyAlignment="1">
      <alignment horizontal="center" vertical="center"/>
    </xf>
    <xf numFmtId="0" fontId="39" fillId="0" borderId="0" xfId="13" applyFont="1" applyAlignment="1">
      <alignment horizontal="center" vertical="center"/>
    </xf>
    <xf numFmtId="0" fontId="40" fillId="0" borderId="0" xfId="13" applyFont="1" applyAlignment="1">
      <alignment horizontal="center"/>
    </xf>
    <xf numFmtId="0" fontId="39" fillId="0" borderId="0" xfId="4" applyFont="1" applyAlignment="1">
      <alignment horizontal="center" vertical="center"/>
    </xf>
    <xf numFmtId="41" fontId="39" fillId="0" borderId="0" xfId="9" applyFont="1" applyFill="1" applyBorder="1" applyAlignment="1">
      <alignment horizontal="center" vertical="center"/>
    </xf>
    <xf numFmtId="24" fontId="39" fillId="0" borderId="0" xfId="9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14" fontId="39" fillId="0" borderId="3" xfId="0" applyNumberFormat="1" applyFont="1" applyBorder="1" applyAlignment="1">
      <alignment horizontal="center" vertical="center" wrapText="1"/>
    </xf>
    <xf numFmtId="41" fontId="39" fillId="0" borderId="3" xfId="1" applyFont="1" applyFill="1" applyBorder="1" applyAlignment="1">
      <alignment horizontal="left" vertical="center"/>
    </xf>
    <xf numFmtId="178" fontId="39" fillId="0" borderId="3" xfId="1" applyNumberFormat="1" applyFont="1" applyFill="1" applyBorder="1" applyAlignment="1">
      <alignment horizontal="left" vertical="center"/>
    </xf>
    <xf numFmtId="41" fontId="42" fillId="11" borderId="3" xfId="1" applyFont="1" applyFill="1" applyBorder="1" applyAlignment="1">
      <alignment horizontal="center" vertical="center"/>
    </xf>
    <xf numFmtId="178" fontId="42" fillId="11" borderId="3" xfId="1" applyNumberFormat="1" applyFont="1" applyFill="1" applyBorder="1" applyAlignment="1">
      <alignment horizontal="center" vertical="center"/>
    </xf>
    <xf numFmtId="24" fontId="39" fillId="0" borderId="3" xfId="0" applyNumberFormat="1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28" fillId="2" borderId="0" xfId="0" applyFont="1" applyFill="1" applyAlignment="1">
      <alignment vertical="center"/>
    </xf>
    <xf numFmtId="0" fontId="39" fillId="0" borderId="0" xfId="13" quotePrefix="1" applyFont="1" applyAlignment="1">
      <alignment horizontal="left"/>
    </xf>
    <xf numFmtId="0" fontId="39" fillId="0" borderId="0" xfId="13" applyFont="1" applyAlignment="1">
      <alignment horizontal="left"/>
    </xf>
    <xf numFmtId="14" fontId="39" fillId="0" borderId="3" xfId="13" applyNumberFormat="1" applyFont="1" applyBorder="1" applyAlignment="1">
      <alignment horizontal="center" vertical="center" wrapText="1"/>
    </xf>
    <xf numFmtId="14" fontId="39" fillId="0" borderId="3" xfId="13" applyNumberFormat="1" applyFont="1" applyBorder="1" applyAlignment="1">
      <alignment horizontal="center" vertical="center"/>
    </xf>
    <xf numFmtId="26" fontId="39" fillId="0" borderId="3" xfId="13" applyNumberFormat="1" applyFont="1" applyBorder="1" applyAlignment="1">
      <alignment horizontal="center" vertical="center"/>
    </xf>
    <xf numFmtId="0" fontId="39" fillId="0" borderId="0" xfId="13" applyFont="1"/>
    <xf numFmtId="43" fontId="39" fillId="0" borderId="0" xfId="13" applyNumberFormat="1" applyFont="1"/>
    <xf numFmtId="14" fontId="39" fillId="0" borderId="0" xfId="13" applyNumberFormat="1" applyFont="1" applyAlignment="1">
      <alignment horizontal="left" vertical="center"/>
    </xf>
    <xf numFmtId="24" fontId="39" fillId="0" borderId="3" xfId="13" applyNumberFormat="1" applyFont="1" applyBorder="1" applyAlignment="1">
      <alignment horizontal="center" vertical="center"/>
    </xf>
    <xf numFmtId="0" fontId="39" fillId="0" borderId="0" xfId="13" applyFont="1" applyAlignment="1">
      <alignment horizontal="center"/>
    </xf>
    <xf numFmtId="41" fontId="42" fillId="14" borderId="3" xfId="1" applyFont="1" applyFill="1" applyBorder="1" applyAlignment="1">
      <alignment horizontal="center"/>
    </xf>
    <xf numFmtId="41" fontId="39" fillId="0" borderId="0" xfId="1" applyFont="1" applyAlignment="1">
      <alignment vertical="center"/>
    </xf>
    <xf numFmtId="41" fontId="39" fillId="0" borderId="3" xfId="1" quotePrefix="1" applyFont="1" applyBorder="1" applyAlignment="1">
      <alignment horizontal="center"/>
    </xf>
    <xf numFmtId="41" fontId="39" fillId="0" borderId="3" xfId="1" applyFont="1" applyBorder="1" applyAlignment="1">
      <alignment horizontal="center" vertical="center"/>
    </xf>
    <xf numFmtId="41" fontId="39" fillId="0" borderId="0" xfId="1" quotePrefix="1" applyFont="1" applyBorder="1" applyAlignment="1">
      <alignment horizontal="center"/>
    </xf>
    <xf numFmtId="41" fontId="39" fillId="0" borderId="0" xfId="1" applyFont="1" applyBorder="1" applyAlignment="1">
      <alignment horizontal="center"/>
    </xf>
    <xf numFmtId="41" fontId="39" fillId="0" borderId="0" xfId="1" applyFont="1" applyBorder="1" applyAlignment="1">
      <alignment horizontal="left" vertical="center"/>
    </xf>
    <xf numFmtId="178" fontId="39" fillId="0" borderId="3" xfId="1" applyNumberFormat="1" applyFont="1" applyBorder="1" applyAlignment="1">
      <alignment horizontal="center"/>
    </xf>
    <xf numFmtId="26" fontId="39" fillId="0" borderId="3" xfId="0" applyNumberFormat="1" applyFont="1" applyBorder="1" applyAlignment="1">
      <alignment horizontal="center" vertical="center"/>
    </xf>
    <xf numFmtId="10" fontId="39" fillId="0" borderId="0" xfId="2" applyNumberFormat="1" applyFont="1" applyAlignment="1">
      <alignment vertical="center"/>
    </xf>
    <xf numFmtId="10" fontId="42" fillId="11" borderId="3" xfId="2" applyNumberFormat="1" applyFont="1" applyFill="1" applyBorder="1" applyAlignment="1">
      <alignment horizontal="center" vertical="center"/>
    </xf>
    <xf numFmtId="10" fontId="39" fillId="0" borderId="3" xfId="2" applyNumberFormat="1" applyFont="1" applyBorder="1" applyAlignment="1"/>
    <xf numFmtId="0" fontId="1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0" fontId="46" fillId="15" borderId="3" xfId="0" applyFont="1" applyFill="1" applyBorder="1" applyAlignment="1">
      <alignment horizontal="center" vertical="center"/>
    </xf>
    <xf numFmtId="0" fontId="46" fillId="15" borderId="3" xfId="0" applyFont="1" applyFill="1" applyBorder="1" applyAlignment="1">
      <alignment horizontal="center" vertical="center" wrapText="1"/>
    </xf>
    <xf numFmtId="14" fontId="46" fillId="0" borderId="3" xfId="0" applyNumberFormat="1" applyFont="1" applyBorder="1" applyAlignment="1">
      <alignment horizontal="center" vertical="center"/>
    </xf>
    <xf numFmtId="41" fontId="46" fillId="0" borderId="3" xfId="0" applyNumberFormat="1" applyFont="1" applyBorder="1" applyAlignment="1">
      <alignment vertical="center"/>
    </xf>
    <xf numFmtId="41" fontId="46" fillId="0" borderId="3" xfId="1" applyFont="1" applyBorder="1">
      <alignment vertical="center"/>
    </xf>
    <xf numFmtId="0" fontId="15" fillId="0" borderId="18" xfId="0" applyFont="1" applyBorder="1" applyAlignment="1">
      <alignment vertical="center"/>
    </xf>
    <xf numFmtId="41" fontId="15" fillId="0" borderId="18" xfId="0" applyNumberFormat="1" applyFont="1" applyBorder="1" applyAlignment="1">
      <alignment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0" xfId="13" applyFont="1" applyAlignment="1">
      <alignment horizontal="left" vertical="center" wrapText="1"/>
    </xf>
    <xf numFmtId="0" fontId="39" fillId="0" borderId="3" xfId="13" applyFont="1" applyBorder="1" applyAlignment="1">
      <alignment horizontal="center" vertical="center"/>
    </xf>
    <xf numFmtId="0" fontId="39" fillId="0" borderId="6" xfId="13" applyFont="1" applyBorder="1" applyAlignment="1">
      <alignment horizontal="center" vertical="center"/>
    </xf>
    <xf numFmtId="0" fontId="39" fillId="0" borderId="7" xfId="13" applyFont="1" applyBorder="1" applyAlignment="1">
      <alignment horizontal="center" vertical="center"/>
    </xf>
    <xf numFmtId="0" fontId="42" fillId="11" borderId="1" xfId="13" applyFont="1" applyFill="1" applyBorder="1" applyAlignment="1">
      <alignment horizontal="center" vertical="center"/>
    </xf>
    <xf numFmtId="0" fontId="42" fillId="11" borderId="4" xfId="13" applyFont="1" applyFill="1" applyBorder="1" applyAlignment="1">
      <alignment horizontal="center" vertical="center"/>
    </xf>
    <xf numFmtId="0" fontId="42" fillId="11" borderId="2" xfId="13" applyFont="1" applyFill="1" applyBorder="1" applyAlignment="1">
      <alignment horizontal="center" vertical="center"/>
    </xf>
    <xf numFmtId="0" fontId="42" fillId="11" borderId="1" xfId="0" applyFont="1" applyFill="1" applyBorder="1" applyAlignment="1">
      <alignment horizontal="center" vertical="center"/>
    </xf>
    <xf numFmtId="0" fontId="42" fillId="11" borderId="4" xfId="0" applyFont="1" applyFill="1" applyBorder="1" applyAlignment="1">
      <alignment horizontal="center" vertical="center"/>
    </xf>
    <xf numFmtId="0" fontId="42" fillId="11" borderId="2" xfId="0" applyFont="1" applyFill="1" applyBorder="1" applyAlignment="1">
      <alignment horizontal="center" vertical="center"/>
    </xf>
    <xf numFmtId="41" fontId="39" fillId="0" borderId="6" xfId="9" applyFont="1" applyFill="1" applyBorder="1" applyAlignment="1">
      <alignment horizontal="left" vertical="center"/>
    </xf>
    <xf numFmtId="41" fontId="39" fillId="0" borderId="9" xfId="9" applyFont="1" applyFill="1" applyBorder="1" applyAlignment="1">
      <alignment horizontal="left" vertical="center"/>
    </xf>
    <xf numFmtId="41" fontId="39" fillId="0" borderId="7" xfId="9" applyFont="1" applyFill="1" applyBorder="1" applyAlignment="1">
      <alignment horizontal="left" vertical="center"/>
    </xf>
    <xf numFmtId="14" fontId="39" fillId="0" borderId="6" xfId="4" applyNumberFormat="1" applyFont="1" applyBorder="1" applyAlignment="1">
      <alignment horizontal="center" vertical="center"/>
    </xf>
    <xf numFmtId="14" fontId="39" fillId="0" borderId="9" xfId="4" applyNumberFormat="1" applyFont="1" applyBorder="1" applyAlignment="1">
      <alignment horizontal="center" vertical="center"/>
    </xf>
    <xf numFmtId="14" fontId="39" fillId="0" borderId="7" xfId="4" applyNumberFormat="1" applyFont="1" applyBorder="1" applyAlignment="1">
      <alignment horizontal="center" vertical="center"/>
    </xf>
    <xf numFmtId="41" fontId="42" fillId="14" borderId="3" xfId="1" applyFont="1" applyFill="1" applyBorder="1" applyAlignment="1">
      <alignment horizontal="center"/>
    </xf>
    <xf numFmtId="0" fontId="39" fillId="0" borderId="9" xfId="13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77" fontId="36" fillId="0" borderId="10" xfId="0" applyNumberFormat="1" applyFont="1" applyBorder="1" applyAlignment="1" applyProtection="1">
      <alignment horizontal="center" vertical="center"/>
      <protection locked="0"/>
    </xf>
    <xf numFmtId="177" fontId="36" fillId="0" borderId="12" xfId="0" applyNumberFormat="1" applyFont="1" applyBorder="1" applyAlignment="1" applyProtection="1">
      <alignment horizontal="center" vertical="center"/>
      <protection locked="0"/>
    </xf>
    <xf numFmtId="177" fontId="36" fillId="0" borderId="15" xfId="0" applyNumberFormat="1" applyFont="1" applyBorder="1" applyAlignment="1" applyProtection="1">
      <alignment horizontal="center" vertical="center"/>
      <protection locked="0"/>
    </xf>
    <xf numFmtId="177" fontId="36" fillId="0" borderId="16" xfId="0" applyNumberFormat="1" applyFont="1" applyBorder="1" applyAlignment="1" applyProtection="1">
      <alignment horizontal="center" vertical="center"/>
      <protection locked="0"/>
    </xf>
    <xf numFmtId="177" fontId="36" fillId="0" borderId="3" xfId="0" applyNumberFormat="1" applyFont="1" applyBorder="1" applyAlignment="1" applyProtection="1">
      <alignment horizontal="center" vertical="center"/>
      <protection locked="0"/>
    </xf>
    <xf numFmtId="0" fontId="36" fillId="0" borderId="1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177" fontId="13" fillId="3" borderId="3" xfId="0" applyNumberFormat="1" applyFont="1" applyFill="1" applyBorder="1" applyAlignment="1" applyProtection="1">
      <alignment horizontal="center" vertical="center"/>
      <protection locked="0"/>
    </xf>
    <xf numFmtId="0" fontId="15" fillId="0" borderId="3" xfId="0" applyFont="1" applyBorder="1" applyAlignment="1">
      <alignment horizontal="center" vertical="center"/>
    </xf>
    <xf numFmtId="0" fontId="34" fillId="2" borderId="17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177" fontId="27" fillId="3" borderId="1" xfId="0" applyNumberFormat="1" applyFont="1" applyFill="1" applyBorder="1" applyAlignment="1" applyProtection="1">
      <alignment horizontal="center" vertical="center"/>
      <protection locked="0"/>
    </xf>
    <xf numFmtId="177" fontId="27" fillId="3" borderId="2" xfId="0" applyNumberFormat="1" applyFont="1" applyFill="1" applyBorder="1" applyAlignment="1" applyProtection="1">
      <alignment horizontal="center" vertical="center"/>
      <protection locked="0"/>
    </xf>
    <xf numFmtId="0" fontId="25" fillId="0" borderId="3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left" vertical="center"/>
    </xf>
    <xf numFmtId="177" fontId="13" fillId="3" borderId="0" xfId="6" applyNumberFormat="1" applyFont="1" applyFill="1" applyAlignment="1" applyProtection="1">
      <alignment horizontal="center" vertical="center"/>
      <protection locked="0"/>
    </xf>
    <xf numFmtId="0" fontId="10" fillId="0" borderId="4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4" borderId="10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3" xfId="0" applyFont="1" applyFill="1" applyBorder="1" applyAlignment="1">
      <alignment horizontal="left" vertical="top"/>
    </xf>
    <xf numFmtId="0" fontId="10" fillId="4" borderId="0" xfId="0" applyFont="1" applyFill="1" applyAlignment="1">
      <alignment horizontal="left" vertical="top"/>
    </xf>
    <xf numFmtId="0" fontId="10" fillId="4" borderId="14" xfId="0" applyFont="1" applyFill="1" applyBorder="1" applyAlignment="1">
      <alignment horizontal="left" vertical="top"/>
    </xf>
    <xf numFmtId="0" fontId="10" fillId="4" borderId="15" xfId="0" applyFont="1" applyFill="1" applyBorder="1" applyAlignment="1">
      <alignment horizontal="left" vertical="top"/>
    </xf>
    <xf numFmtId="0" fontId="10" fillId="4" borderId="5" xfId="0" applyFont="1" applyFill="1" applyBorder="1" applyAlignment="1">
      <alignment horizontal="left" vertical="top"/>
    </xf>
    <xf numFmtId="0" fontId="10" fillId="4" borderId="16" xfId="0" applyFont="1" applyFill="1" applyBorder="1" applyAlignment="1">
      <alignment horizontal="left" vertical="top"/>
    </xf>
    <xf numFmtId="14" fontId="39" fillId="4" borderId="3" xfId="4" applyNumberFormat="1" applyFont="1" applyFill="1" applyBorder="1" applyAlignment="1">
      <alignment horizontal="center" vertical="center"/>
    </xf>
    <xf numFmtId="0" fontId="39" fillId="4" borderId="3" xfId="4" applyFont="1" applyFill="1" applyBorder="1" applyAlignment="1">
      <alignment horizontal="center" vertical="center"/>
    </xf>
    <xf numFmtId="41" fontId="39" fillId="4" borderId="3" xfId="1" applyFont="1" applyFill="1" applyBorder="1" applyAlignment="1">
      <alignment vertical="center"/>
    </xf>
    <xf numFmtId="0" fontId="39" fillId="4" borderId="0" xfId="0" applyFont="1" applyFill="1" applyAlignment="1">
      <alignment vertical="center"/>
    </xf>
    <xf numFmtId="0" fontId="41" fillId="4" borderId="3" xfId="0" applyFont="1" applyFill="1" applyBorder="1" applyAlignment="1">
      <alignment horizontal="center" vertical="center"/>
    </xf>
    <xf numFmtId="0" fontId="39" fillId="4" borderId="3" xfId="0" applyFont="1" applyFill="1" applyBorder="1" applyAlignment="1">
      <alignment vertical="center"/>
    </xf>
    <xf numFmtId="14" fontId="12" fillId="4" borderId="3" xfId="4" applyNumberFormat="1" applyFont="1" applyFill="1" applyBorder="1" applyAlignment="1">
      <alignment horizontal="center" vertical="center"/>
    </xf>
    <xf numFmtId="0" fontId="12" fillId="4" borderId="3" xfId="4" applyFont="1" applyFill="1" applyBorder="1" applyAlignment="1">
      <alignment horizontal="center" vertical="center"/>
    </xf>
    <xf numFmtId="41" fontId="12" fillId="4" borderId="3" xfId="1" applyFont="1" applyFill="1" applyBorder="1" applyAlignment="1">
      <alignment vertical="center"/>
    </xf>
  </cellXfs>
  <cellStyles count="17">
    <cellStyle name="Comma 2" xfId="15"/>
    <cellStyle name="백분율" xfId="2" builtinId="5"/>
    <cellStyle name="백분율 2" xfId="7"/>
    <cellStyle name="쉼표 [0]" xfId="1" builtinId="6"/>
    <cellStyle name="쉼표 [0] 2" xfId="8"/>
    <cellStyle name="쉼표 [0] 2 2" xfId="9"/>
    <cellStyle name="쉼표 [0] 3" xfId="10"/>
    <cellStyle name="표준" xfId="0" builtinId="0"/>
    <cellStyle name="표준 2" xfId="11"/>
    <cellStyle name="표준 2 2" xfId="12"/>
    <cellStyle name="표준 2 3" xfId="5"/>
    <cellStyle name="표준 2 3 2" xfId="16"/>
    <cellStyle name="표준 3" xfId="13"/>
    <cellStyle name="표준 3 2" xfId="6"/>
    <cellStyle name="표준 7" xfId="14"/>
    <cellStyle name="표준_투자관리(041231)-확정-수정중" xfId="3"/>
    <cellStyle name="표준_투자실적 양식(0011)" xfId="4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12</xdr:row>
      <xdr:rowOff>114300</xdr:rowOff>
    </xdr:from>
    <xdr:to>
      <xdr:col>8</xdr:col>
      <xdr:colOff>15240</xdr:colOff>
      <xdr:row>20</xdr:row>
      <xdr:rowOff>91440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0" y="2038350"/>
          <a:ext cx="5095875" cy="1352550"/>
        </a:xfrm>
        <a:prstGeom prst="rect">
          <a:avLst/>
        </a:prstGeom>
      </xdr:spPr>
    </xdr:pic>
    <xdr:clientData/>
  </xdr:twoCellAnchor>
  <xdr:twoCellAnchor editAs="oneCell">
    <xdr:from>
      <xdr:col>5</xdr:col>
      <xdr:colOff>485775</xdr:colOff>
      <xdr:row>20</xdr:row>
      <xdr:rowOff>85725</xdr:rowOff>
    </xdr:from>
    <xdr:to>
      <xdr:col>8</xdr:col>
      <xdr:colOff>342204</xdr:colOff>
      <xdr:row>55</xdr:row>
      <xdr:rowOff>168782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3381375"/>
          <a:ext cx="5571429" cy="61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438150</xdr:colOff>
      <xdr:row>56</xdr:row>
      <xdr:rowOff>104775</xdr:rowOff>
    </xdr:from>
    <xdr:to>
      <xdr:col>8</xdr:col>
      <xdr:colOff>132673</xdr:colOff>
      <xdr:row>61</xdr:row>
      <xdr:rowOff>98954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3825" y="9601200"/>
          <a:ext cx="5419048" cy="8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6</xdr:row>
      <xdr:rowOff>95250</xdr:rowOff>
    </xdr:from>
    <xdr:to>
      <xdr:col>8</xdr:col>
      <xdr:colOff>593583</xdr:colOff>
      <xdr:row>8</xdr:row>
      <xdr:rowOff>57105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91400" y="942975"/>
          <a:ext cx="6219048" cy="3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seungheecho\Desktop\Audit1\&#50500;&#51060;&#53581;&#49828;&#54596;\&#50500;&#51060;&#53581;&#49828;&#54596;01&#51473;&#44036;\2000&#51473;&#44036;\&#49352;&#54620;&#49452;&#50976;2000&#51473;&#44036;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IC_SERVER\&#44288;&#47532;&#48512;\UTY\FINANCE\YEAR95\95-B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ejlee\Local%20Settings\Temporary%20Internet%20Files\OLK5\&#50948;&#48152;&#49324;&#5463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My%20Documents\AUDIT\99&#44048;&#49324;\&#49352;&#54620;&#49452;&#50976;\99&#44592;&#47568;&#49352;&#54620;AS(&#54620;,&#54869;&#51221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suny579\Local%20Settings\Temporary%20Internet%20Files\OLK50\&#51665;&#44228;(AI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hopyen.STIC\Local%20Settings\Temporary%20Internet%20Files\OLK3\&#51088;&#47928;05&#50900;31&#5106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omh/AppData/Local/Microsoft/Windows/INetCache/Content.Outlook/RGVPEBBF/(B01)NICE&#54588;&#50532;&#50500;&#51060;_&#54144;&#46300;_&#54217;&#44032;&#51088;&#47308;%20&#50836;&#52397;(2022.09)_&#49828;&#54168;&#49500;&#49884;&#52740;&#50640;&#51060;&#4949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1"/>
      <sheetName val="사용법"/>
      <sheetName val="BS"/>
      <sheetName val="BS (기말)"/>
      <sheetName val="PL"/>
      <sheetName val="PL (기말)"/>
      <sheetName val="TEMP"/>
      <sheetName val="JA"/>
      <sheetName val="A-3"/>
      <sheetName val="상품코드"/>
    </sheetNames>
    <sheetDataSet>
      <sheetData sheetId="0" refreshError="1"/>
      <sheetData sheetId="1"/>
      <sheetData sheetId="2" refreshError="1">
        <row r="4">
          <cell r="B4" t="str">
            <v>자 산</v>
          </cell>
        </row>
        <row r="5">
          <cell r="B5" t="str">
            <v>Ⅰ.유동자산</v>
          </cell>
          <cell r="D5">
            <v>8102974370</v>
          </cell>
          <cell r="E5">
            <v>12074641361</v>
          </cell>
          <cell r="F5">
            <v>18948103544</v>
          </cell>
          <cell r="I5">
            <v>19154354498</v>
          </cell>
          <cell r="J5" t="e">
            <v>#DIV/0!</v>
          </cell>
          <cell r="K5" t="e">
            <v>#DIV/0!</v>
          </cell>
          <cell r="L5">
            <v>23665039011</v>
          </cell>
        </row>
        <row r="6">
          <cell r="B6" t="str">
            <v>(1) 당좌자산</v>
          </cell>
          <cell r="D6">
            <v>7206336086</v>
          </cell>
          <cell r="E6">
            <v>7806999883</v>
          </cell>
          <cell r="F6">
            <v>12761210050</v>
          </cell>
          <cell r="I6">
            <v>12963325804</v>
          </cell>
          <cell r="J6" t="e">
            <v>#DIV/0!</v>
          </cell>
          <cell r="K6" t="e">
            <v>#DIV/0!</v>
          </cell>
          <cell r="L6">
            <v>12242657402</v>
          </cell>
        </row>
        <row r="7">
          <cell r="B7" t="str">
            <v>현금과예금</v>
          </cell>
          <cell r="C7" t="str">
            <v>B</v>
          </cell>
          <cell r="D7">
            <v>780807630</v>
          </cell>
          <cell r="E7">
            <v>2995052828</v>
          </cell>
          <cell r="F7">
            <v>2563274386</v>
          </cell>
          <cell r="H7">
            <v>2541252900</v>
          </cell>
          <cell r="I7">
            <v>22021486</v>
          </cell>
          <cell r="J7">
            <v>2.2828500740957156</v>
          </cell>
          <cell r="K7">
            <v>-0.14416388183988318</v>
          </cell>
          <cell r="L7">
            <v>137213812</v>
          </cell>
        </row>
        <row r="8">
          <cell r="B8" t="str">
            <v>단기금융상품</v>
          </cell>
          <cell r="C8" t="str">
            <v>B</v>
          </cell>
          <cell r="D8">
            <v>0</v>
          </cell>
          <cell r="E8">
            <v>0</v>
          </cell>
          <cell r="F8">
            <v>0</v>
          </cell>
          <cell r="G8">
            <v>2606369538</v>
          </cell>
          <cell r="I8">
            <v>2606369538</v>
          </cell>
          <cell r="J8" t="e">
            <v>#DIV/0!</v>
          </cell>
          <cell r="K8" t="e">
            <v>#DIV/0!</v>
          </cell>
          <cell r="L8">
            <v>8206340808</v>
          </cell>
        </row>
        <row r="9">
          <cell r="B9" t="str">
            <v>유가증권</v>
          </cell>
          <cell r="C9" t="str">
            <v>C</v>
          </cell>
          <cell r="D9">
            <v>2935000</v>
          </cell>
          <cell r="E9">
            <v>19355000</v>
          </cell>
          <cell r="F9">
            <v>19415000</v>
          </cell>
          <cell r="I9">
            <v>19415000</v>
          </cell>
          <cell r="J9">
            <v>5.614991482112436</v>
          </cell>
          <cell r="K9">
            <v>3.0999741668819429E-3</v>
          </cell>
          <cell r="L9">
            <v>29615000</v>
          </cell>
        </row>
        <row r="10">
          <cell r="B10" t="str">
            <v>매출채권</v>
          </cell>
          <cell r="C10" t="str">
            <v>D</v>
          </cell>
          <cell r="D10">
            <v>4518115919</v>
          </cell>
          <cell r="E10">
            <v>2897362583</v>
          </cell>
          <cell r="F10">
            <v>6764101668</v>
          </cell>
          <cell r="G10">
            <v>234349705</v>
          </cell>
          <cell r="I10">
            <v>6998451373</v>
          </cell>
          <cell r="J10">
            <v>0.49710671201572593</v>
          </cell>
          <cell r="K10">
            <v>1.3345720372340433</v>
          </cell>
          <cell r="L10">
            <v>2354751837</v>
          </cell>
        </row>
        <row r="11">
          <cell r="B11" t="str">
            <v xml:space="preserve">  대손충당금</v>
          </cell>
          <cell r="C11" t="str">
            <v>D</v>
          </cell>
          <cell r="D11">
            <v>-45473085</v>
          </cell>
          <cell r="E11">
            <v>-28970965</v>
          </cell>
          <cell r="F11">
            <v>-67433477</v>
          </cell>
          <cell r="H11">
            <v>207540</v>
          </cell>
          <cell r="I11">
            <v>-67641017</v>
          </cell>
          <cell r="J11">
            <v>0.48293165066764221</v>
          </cell>
          <cell r="K11">
            <v>1.327622742286976</v>
          </cell>
          <cell r="L11">
            <v>-109204246</v>
          </cell>
        </row>
        <row r="12">
          <cell r="B12" t="str">
            <v>대여금</v>
          </cell>
          <cell r="C12" t="str">
            <v>E</v>
          </cell>
          <cell r="D12">
            <v>951096164</v>
          </cell>
          <cell r="E12">
            <v>580585448</v>
          </cell>
          <cell r="F12">
            <v>855573919</v>
          </cell>
          <cell r="G12">
            <v>1512229238</v>
          </cell>
          <cell r="I12">
            <v>2367803157</v>
          </cell>
          <cell r="J12">
            <v>-0.10043384529936975</v>
          </cell>
          <cell r="K12">
            <v>0.4736399645345572</v>
          </cell>
          <cell r="L12">
            <v>391458778</v>
          </cell>
        </row>
        <row r="13">
          <cell r="B13" t="str">
            <v xml:space="preserve"> 대손충당금</v>
          </cell>
          <cell r="C13" t="str">
            <v>E</v>
          </cell>
          <cell r="D13">
            <v>0</v>
          </cell>
          <cell r="E13">
            <v>0</v>
          </cell>
          <cell r="F13">
            <v>0</v>
          </cell>
          <cell r="I13">
            <v>0</v>
          </cell>
          <cell r="J13" t="e">
            <v>#DIV/0!</v>
          </cell>
          <cell r="K13" t="e">
            <v>#DIV/0!</v>
          </cell>
        </row>
        <row r="14">
          <cell r="B14" t="str">
            <v>미수금</v>
          </cell>
          <cell r="C14" t="str">
            <v>E</v>
          </cell>
          <cell r="D14">
            <v>348816558</v>
          </cell>
          <cell r="E14">
            <v>167158360</v>
          </cell>
          <cell r="F14">
            <v>292717258</v>
          </cell>
          <cell r="I14">
            <v>292717258</v>
          </cell>
          <cell r="J14">
            <v>-0.16082751438651602</v>
          </cell>
          <cell r="K14">
            <v>0.75113741245128274</v>
          </cell>
          <cell r="L14">
            <v>715524186</v>
          </cell>
        </row>
        <row r="15">
          <cell r="B15" t="str">
            <v xml:space="preserve"> 대손충당금</v>
          </cell>
          <cell r="C15" t="str">
            <v>E</v>
          </cell>
          <cell r="D15">
            <v>-42436300</v>
          </cell>
          <cell r="E15">
            <v>-5446150</v>
          </cell>
          <cell r="F15">
            <v>-3052040</v>
          </cell>
          <cell r="H15">
            <v>99975947</v>
          </cell>
          <cell r="I15">
            <v>-103027987</v>
          </cell>
          <cell r="J15">
            <v>-0.92807949797696787</v>
          </cell>
          <cell r="K15">
            <v>-0.43959677937625663</v>
          </cell>
          <cell r="L15">
            <v>-160095359</v>
          </cell>
        </row>
        <row r="16">
          <cell r="B16" t="str">
            <v>미수수익</v>
          </cell>
          <cell r="C16" t="str">
            <v>E</v>
          </cell>
          <cell r="D16">
            <v>528622529</v>
          </cell>
          <cell r="E16">
            <v>805100370</v>
          </cell>
          <cell r="F16">
            <v>66167916</v>
          </cell>
          <cell r="I16">
            <v>66167916</v>
          </cell>
          <cell r="J16">
            <v>-0.8748295572548328</v>
          </cell>
          <cell r="K16">
            <v>-0.91781407826206807</v>
          </cell>
          <cell r="L16">
            <v>212841595</v>
          </cell>
        </row>
        <row r="17">
          <cell r="B17" t="str">
            <v>선급금</v>
          </cell>
          <cell r="C17" t="str">
            <v>E</v>
          </cell>
          <cell r="D17">
            <v>40484722</v>
          </cell>
          <cell r="E17">
            <v>48019555</v>
          </cell>
          <cell r="F17">
            <v>1739515291</v>
          </cell>
          <cell r="H17">
            <v>1445760367</v>
          </cell>
          <cell r="I17">
            <v>293754924</v>
          </cell>
          <cell r="J17">
            <v>41.96720355397278</v>
          </cell>
          <cell r="K17">
            <v>35.225143923137146</v>
          </cell>
          <cell r="L17">
            <v>56774465</v>
          </cell>
        </row>
        <row r="18">
          <cell r="B18" t="str">
            <v xml:space="preserve"> 대손충당금</v>
          </cell>
          <cell r="C18" t="str">
            <v>E</v>
          </cell>
          <cell r="D18">
            <v>-4094680</v>
          </cell>
          <cell r="E18">
            <v>-480195</v>
          </cell>
          <cell r="F18">
            <v>-5111913</v>
          </cell>
          <cell r="I18">
            <v>-5111913</v>
          </cell>
          <cell r="J18">
            <v>0.24842796018248067</v>
          </cell>
          <cell r="K18">
            <v>9.6454940180551656</v>
          </cell>
          <cell r="L18">
            <v>-23994077</v>
          </cell>
        </row>
        <row r="19">
          <cell r="B19" t="str">
            <v>선급비용</v>
          </cell>
          <cell r="C19" t="str">
            <v>E</v>
          </cell>
          <cell r="D19">
            <v>38333026</v>
          </cell>
          <cell r="E19">
            <v>206398604</v>
          </cell>
          <cell r="F19">
            <v>356566669</v>
          </cell>
          <cell r="I19">
            <v>356566669</v>
          </cell>
          <cell r="J19">
            <v>8.3018137675851627</v>
          </cell>
          <cell r="K19">
            <v>0.727563375380194</v>
          </cell>
          <cell r="L19">
            <v>247177008</v>
          </cell>
        </row>
        <row r="20">
          <cell r="B20" t="str">
            <v>선급부가세</v>
          </cell>
          <cell r="C20" t="str">
            <v>E</v>
          </cell>
          <cell r="D20">
            <v>89128603</v>
          </cell>
          <cell r="E20">
            <v>122864445</v>
          </cell>
          <cell r="F20">
            <v>137303611</v>
          </cell>
          <cell r="H20">
            <v>21464211</v>
          </cell>
          <cell r="I20">
            <v>115839400</v>
          </cell>
          <cell r="J20">
            <v>0.54051119818404425</v>
          </cell>
          <cell r="K20">
            <v>0.11752111035865584</v>
          </cell>
          <cell r="L20">
            <v>184253595</v>
          </cell>
        </row>
        <row r="21">
          <cell r="B21" t="str">
            <v>선급법인세</v>
          </cell>
          <cell r="C21" t="str">
            <v>E</v>
          </cell>
          <cell r="F21">
            <v>42171762</v>
          </cell>
          <cell r="H21">
            <v>42171762</v>
          </cell>
          <cell r="I21">
            <v>0</v>
          </cell>
          <cell r="J21" t="e">
            <v>#DIV/0!</v>
          </cell>
          <cell r="K21" t="e">
            <v>#DIV/0!</v>
          </cell>
        </row>
        <row r="23">
          <cell r="B23" t="str">
            <v>(2) 재고자산</v>
          </cell>
          <cell r="D23">
            <v>896638284</v>
          </cell>
          <cell r="E23">
            <v>4267641478</v>
          </cell>
          <cell r="F23">
            <v>6186893494</v>
          </cell>
          <cell r="I23">
            <v>6191028694</v>
          </cell>
          <cell r="J23">
            <v>1073.24221470829</v>
          </cell>
          <cell r="K23" t="e">
            <v>#DIV/0!</v>
          </cell>
          <cell r="L23">
            <v>11422381609</v>
          </cell>
        </row>
        <row r="24">
          <cell r="B24" t="str">
            <v>상품</v>
          </cell>
          <cell r="C24" t="str">
            <v>F</v>
          </cell>
          <cell r="D24">
            <v>273305064</v>
          </cell>
          <cell r="E24">
            <v>248462495</v>
          </cell>
          <cell r="F24">
            <v>676711460</v>
          </cell>
          <cell r="G24">
            <v>4135200</v>
          </cell>
          <cell r="I24">
            <v>680846660</v>
          </cell>
          <cell r="J24">
            <v>1.4760297160099456</v>
          </cell>
          <cell r="K24">
            <v>1.7235960099330081</v>
          </cell>
          <cell r="L24">
            <v>178885000</v>
          </cell>
        </row>
        <row r="25">
          <cell r="B25" t="str">
            <v>제품</v>
          </cell>
          <cell r="C25" t="str">
            <v>F</v>
          </cell>
          <cell r="D25">
            <v>115076326</v>
          </cell>
          <cell r="E25">
            <v>0</v>
          </cell>
          <cell r="F25">
            <v>0</v>
          </cell>
          <cell r="I25">
            <v>0</v>
          </cell>
          <cell r="J25">
            <v>-1</v>
          </cell>
          <cell r="K25" t="e">
            <v>#DIV/0!</v>
          </cell>
          <cell r="L25">
            <v>442184350</v>
          </cell>
        </row>
        <row r="26">
          <cell r="B26" t="str">
            <v>재공품</v>
          </cell>
          <cell r="C26" t="str">
            <v>F</v>
          </cell>
          <cell r="D26">
            <v>94885433</v>
          </cell>
          <cell r="E26">
            <v>2027489210</v>
          </cell>
          <cell r="F26">
            <v>3020464095</v>
          </cell>
          <cell r="I26">
            <v>3020464095</v>
          </cell>
          <cell r="J26">
            <v>30.832748183801829</v>
          </cell>
          <cell r="K26">
            <v>0.4897559405507268</v>
          </cell>
          <cell r="L26">
            <v>10059516507</v>
          </cell>
        </row>
        <row r="27">
          <cell r="B27" t="str">
            <v>원재료</v>
          </cell>
          <cell r="C27" t="str">
            <v>F</v>
          </cell>
          <cell r="D27">
            <v>401824150</v>
          </cell>
          <cell r="E27">
            <v>1718971290</v>
          </cell>
          <cell r="F27">
            <v>2246251598</v>
          </cell>
          <cell r="I27">
            <v>2246251598</v>
          </cell>
          <cell r="J27">
            <v>4.5901358790903934</v>
          </cell>
          <cell r="K27">
            <v>0.30674177693799642</v>
          </cell>
          <cell r="L27">
            <v>741795752</v>
          </cell>
        </row>
        <row r="28">
          <cell r="B28" t="str">
            <v>부재료</v>
          </cell>
          <cell r="C28" t="str">
            <v>F</v>
          </cell>
          <cell r="D28">
            <v>7177975</v>
          </cell>
          <cell r="E28">
            <v>276000</v>
          </cell>
          <cell r="F28">
            <v>0</v>
          </cell>
          <cell r="I28">
            <v>0</v>
          </cell>
          <cell r="J28">
            <v>-1</v>
          </cell>
          <cell r="K28">
            <v>-1</v>
          </cell>
        </row>
        <row r="29">
          <cell r="B29" t="str">
            <v>견본품</v>
          </cell>
          <cell r="C29" t="str">
            <v>F</v>
          </cell>
          <cell r="D29">
            <v>4135311</v>
          </cell>
          <cell r="E29">
            <v>0</v>
          </cell>
          <cell r="F29">
            <v>0</v>
          </cell>
          <cell r="I29">
            <v>0</v>
          </cell>
          <cell r="J29">
            <v>-1</v>
          </cell>
          <cell r="K29" t="e">
            <v>#DIV/0!</v>
          </cell>
        </row>
        <row r="30">
          <cell r="B30" t="str">
            <v>미착품</v>
          </cell>
          <cell r="C30" t="str">
            <v>F</v>
          </cell>
          <cell r="D30">
            <v>234025</v>
          </cell>
          <cell r="E30">
            <v>272442483</v>
          </cell>
          <cell r="F30">
            <v>243466341</v>
          </cell>
          <cell r="I30">
            <v>243466341</v>
          </cell>
          <cell r="J30">
            <v>1039.3433009293879</v>
          </cell>
          <cell r="K30">
            <v>-0.1063569149749674</v>
          </cell>
        </row>
        <row r="32">
          <cell r="B32" t="str">
            <v>Ⅱ.고정자산</v>
          </cell>
          <cell r="D32">
            <v>9823998653</v>
          </cell>
          <cell r="E32">
            <v>9383285503</v>
          </cell>
          <cell r="F32">
            <v>10468880646</v>
          </cell>
          <cell r="I32">
            <v>10571086576</v>
          </cell>
          <cell r="J32" t="e">
            <v>#DIV/0!</v>
          </cell>
          <cell r="K32" t="e">
            <v>#DIV/0!</v>
          </cell>
          <cell r="L32">
            <v>8566661767</v>
          </cell>
        </row>
        <row r="33">
          <cell r="B33" t="str">
            <v>(1) 투자자산</v>
          </cell>
          <cell r="D33">
            <v>6016180456</v>
          </cell>
          <cell r="E33">
            <v>5527716779</v>
          </cell>
          <cell r="F33">
            <v>6676801341</v>
          </cell>
          <cell r="I33">
            <v>6910130657</v>
          </cell>
          <cell r="J33" t="e">
            <v>#DIV/0!</v>
          </cell>
          <cell r="K33" t="e">
            <v>#DIV/0!</v>
          </cell>
          <cell r="L33">
            <v>4904216140</v>
          </cell>
        </row>
        <row r="34">
          <cell r="B34" t="str">
            <v>장기금융상품</v>
          </cell>
          <cell r="C34" t="str">
            <v>G</v>
          </cell>
          <cell r="D34">
            <v>835158656</v>
          </cell>
          <cell r="E34">
            <v>1026264869</v>
          </cell>
          <cell r="F34">
            <v>1448793141</v>
          </cell>
          <cell r="H34">
            <v>65116638</v>
          </cell>
          <cell r="I34">
            <v>1383676503</v>
          </cell>
          <cell r="J34">
            <v>0.73475199064451768</v>
          </cell>
          <cell r="K34">
            <v>0.41171464089160009</v>
          </cell>
          <cell r="L34">
            <v>987608845</v>
          </cell>
        </row>
        <row r="35">
          <cell r="B35" t="str">
            <v>투자유가증권</v>
          </cell>
          <cell r="C35" t="str">
            <v>G</v>
          </cell>
          <cell r="D35">
            <v>855158600</v>
          </cell>
          <cell r="E35">
            <v>855158600</v>
          </cell>
          <cell r="F35">
            <v>5060238600</v>
          </cell>
          <cell r="G35">
            <v>658445954</v>
          </cell>
          <cell r="I35">
            <v>5478684554</v>
          </cell>
          <cell r="J35">
            <v>4.9173100755813017</v>
          </cell>
          <cell r="K35">
            <v>4.9173100755813017</v>
          </cell>
          <cell r="L35">
            <v>3838449095</v>
          </cell>
        </row>
        <row r="36">
          <cell r="B36" t="str">
            <v xml:space="preserve">  평가충당금</v>
          </cell>
          <cell r="C36" t="str">
            <v>G</v>
          </cell>
          <cell r="D36">
            <v>0</v>
          </cell>
          <cell r="E36">
            <v>0</v>
          </cell>
          <cell r="F36">
            <v>0</v>
          </cell>
          <cell r="I36">
            <v>0</v>
          </cell>
          <cell r="J36" t="e">
            <v>#DIV/0!</v>
          </cell>
          <cell r="K36" t="e">
            <v>#DIV/0!</v>
          </cell>
        </row>
        <row r="37">
          <cell r="B37" t="str">
            <v>장기대여금</v>
          </cell>
          <cell r="C37" t="str">
            <v>G</v>
          </cell>
          <cell r="D37">
            <v>4245600000</v>
          </cell>
          <cell r="E37">
            <v>3623400000</v>
          </cell>
          <cell r="F37">
            <v>120000000</v>
          </cell>
          <cell r="H37">
            <v>120000000</v>
          </cell>
          <cell r="I37">
            <v>0</v>
          </cell>
          <cell r="J37">
            <v>-0.97173544375353305</v>
          </cell>
          <cell r="K37">
            <v>-0.96688193409504886</v>
          </cell>
        </row>
        <row r="38">
          <cell r="B38" t="str">
            <v xml:space="preserve">  대손충당금</v>
          </cell>
          <cell r="C38" t="str">
            <v>G</v>
          </cell>
          <cell r="D38">
            <v>0</v>
          </cell>
          <cell r="E38">
            <v>0</v>
          </cell>
          <cell r="F38">
            <v>0</v>
          </cell>
          <cell r="I38">
            <v>0</v>
          </cell>
          <cell r="J38" t="e">
            <v>#DIV/0!</v>
          </cell>
          <cell r="K38" t="e">
            <v>#DIV/0!</v>
          </cell>
        </row>
        <row r="39">
          <cell r="B39" t="str">
            <v>보증금</v>
          </cell>
          <cell r="C39" t="str">
            <v>G</v>
          </cell>
          <cell r="D39">
            <v>80263200</v>
          </cell>
          <cell r="E39">
            <v>22893310</v>
          </cell>
          <cell r="F39">
            <v>47769600</v>
          </cell>
          <cell r="I39">
            <v>47769600</v>
          </cell>
          <cell r="J39">
            <v>-0.40483808270789101</v>
          </cell>
          <cell r="K39">
            <v>1.0866183177530904</v>
          </cell>
          <cell r="L39">
            <v>78158200</v>
          </cell>
        </row>
        <row r="40">
          <cell r="B40" t="str">
            <v>이연법인세차</v>
          </cell>
          <cell r="F40">
            <v>0</v>
          </cell>
          <cell r="G40">
            <v>105294171</v>
          </cell>
          <cell r="H40">
            <v>105294171</v>
          </cell>
          <cell r="I40">
            <v>0</v>
          </cell>
        </row>
        <row r="41">
          <cell r="B41" t="str">
            <v>기타의 투자자산</v>
          </cell>
          <cell r="C41" t="str">
            <v>G</v>
          </cell>
          <cell r="D41">
            <v>0</v>
          </cell>
          <cell r="E41">
            <v>0</v>
          </cell>
          <cell r="F41">
            <v>0</v>
          </cell>
          <cell r="I41">
            <v>0</v>
          </cell>
          <cell r="J41" t="e">
            <v>#DIV/0!</v>
          </cell>
          <cell r="K41" t="e">
            <v>#DIV/0!</v>
          </cell>
        </row>
        <row r="43">
          <cell r="B43" t="str">
            <v>(2) 유형자산</v>
          </cell>
          <cell r="D43">
            <v>3404039625</v>
          </cell>
          <cell r="E43">
            <v>3693622829</v>
          </cell>
          <cell r="F43">
            <v>3660955919</v>
          </cell>
          <cell r="I43">
            <v>3660955919</v>
          </cell>
          <cell r="J43" t="e">
            <v>#DIV/0!</v>
          </cell>
          <cell r="K43">
            <v>-1.0020242486764064</v>
          </cell>
          <cell r="L43">
            <v>3662445627</v>
          </cell>
        </row>
        <row r="44">
          <cell r="B44" t="str">
            <v>토지</v>
          </cell>
          <cell r="C44" t="str">
            <v>I1</v>
          </cell>
          <cell r="D44">
            <v>2375926200</v>
          </cell>
          <cell r="E44">
            <v>2428426200</v>
          </cell>
          <cell r="F44">
            <v>2428426200</v>
          </cell>
          <cell r="I44">
            <v>2428426200</v>
          </cell>
          <cell r="J44">
            <v>2.2096645931174125E-2</v>
          </cell>
          <cell r="K44">
            <v>0</v>
          </cell>
          <cell r="L44">
            <v>2428426200</v>
          </cell>
        </row>
        <row r="45">
          <cell r="B45" t="str">
            <v>건물</v>
          </cell>
          <cell r="C45" t="str">
            <v>I1</v>
          </cell>
          <cell r="D45">
            <v>999108458</v>
          </cell>
          <cell r="E45">
            <v>1123526458</v>
          </cell>
          <cell r="F45">
            <v>1221587675</v>
          </cell>
          <cell r="I45">
            <v>1221587675</v>
          </cell>
          <cell r="J45">
            <v>0.22267774356084974</v>
          </cell>
          <cell r="K45">
            <v>8.7279846684304788E-2</v>
          </cell>
          <cell r="L45">
            <v>1222087145</v>
          </cell>
        </row>
        <row r="46">
          <cell r="B46" t="str">
            <v xml:space="preserve">  감가상각누계액</v>
          </cell>
          <cell r="C46" t="str">
            <v>I1</v>
          </cell>
          <cell r="D46">
            <v>-321707158</v>
          </cell>
          <cell r="E46">
            <v>-372746898</v>
          </cell>
          <cell r="F46">
            <v>-379598671</v>
          </cell>
          <cell r="I46">
            <v>-379598671</v>
          </cell>
          <cell r="J46">
            <v>0.17995096335406999</v>
          </cell>
          <cell r="K46">
            <v>1.8381837747714805E-2</v>
          </cell>
          <cell r="L46">
            <v>-434593996</v>
          </cell>
        </row>
        <row r="47">
          <cell r="B47" t="str">
            <v>구축물</v>
          </cell>
          <cell r="C47" t="str">
            <v>I1</v>
          </cell>
          <cell r="D47">
            <v>161585489</v>
          </cell>
          <cell r="E47">
            <v>161585489</v>
          </cell>
          <cell r="F47">
            <v>165529489</v>
          </cell>
          <cell r="I47">
            <v>165529489</v>
          </cell>
          <cell r="J47">
            <v>2.4408132341636198E-2</v>
          </cell>
          <cell r="K47">
            <v>2.4408132341636198E-2</v>
          </cell>
          <cell r="L47">
            <v>165529489</v>
          </cell>
        </row>
        <row r="48">
          <cell r="B48" t="str">
            <v xml:space="preserve">  감가상각누계액</v>
          </cell>
          <cell r="C48" t="str">
            <v>I1</v>
          </cell>
          <cell r="D48">
            <v>-117413565</v>
          </cell>
          <cell r="E48">
            <v>-125541462</v>
          </cell>
          <cell r="F48">
            <v>-127551915</v>
          </cell>
          <cell r="I48">
            <v>-127551915</v>
          </cell>
          <cell r="J48">
            <v>8.6347348366434498E-2</v>
          </cell>
          <cell r="K48">
            <v>1.6014255115174618E-2</v>
          </cell>
          <cell r="L48">
            <v>-132695356</v>
          </cell>
        </row>
        <row r="49">
          <cell r="B49" t="str">
            <v>기계장치</v>
          </cell>
          <cell r="C49" t="str">
            <v>I1</v>
          </cell>
          <cell r="D49">
            <v>726896371</v>
          </cell>
          <cell r="E49">
            <v>641375494</v>
          </cell>
          <cell r="F49">
            <v>513064494</v>
          </cell>
          <cell r="I49">
            <v>513064494</v>
          </cell>
          <cell r="J49">
            <v>-0.29417106142080329</v>
          </cell>
          <cell r="K49">
            <v>-0.20005597532231251</v>
          </cell>
          <cell r="L49">
            <v>513614494</v>
          </cell>
        </row>
        <row r="50">
          <cell r="B50" t="str">
            <v xml:space="preserve">  감가상각누계액</v>
          </cell>
          <cell r="C50" t="str">
            <v>I1</v>
          </cell>
          <cell r="D50">
            <v>-518008578</v>
          </cell>
          <cell r="E50">
            <v>-446329067</v>
          </cell>
          <cell r="F50">
            <v>-384350126</v>
          </cell>
          <cell r="I50">
            <v>-384350126</v>
          </cell>
          <cell r="J50">
            <v>-0.2580236267824893</v>
          </cell>
          <cell r="K50">
            <v>-0.13886377917663156</v>
          </cell>
          <cell r="L50">
            <v>-415323490</v>
          </cell>
        </row>
        <row r="51">
          <cell r="B51" t="str">
            <v>차량운반구</v>
          </cell>
          <cell r="C51" t="str">
            <v>I1</v>
          </cell>
          <cell r="D51">
            <v>224521628</v>
          </cell>
          <cell r="E51">
            <v>202202877</v>
          </cell>
          <cell r="F51">
            <v>176595519</v>
          </cell>
          <cell r="I51">
            <v>176595519</v>
          </cell>
          <cell r="J51">
            <v>-0.2134587630907433</v>
          </cell>
          <cell r="K51">
            <v>-0.12664190727612645</v>
          </cell>
          <cell r="L51">
            <v>285546939</v>
          </cell>
        </row>
        <row r="52">
          <cell r="B52" t="str">
            <v xml:space="preserve">  감가상각누계액</v>
          </cell>
          <cell r="C52" t="str">
            <v>I1</v>
          </cell>
          <cell r="D52">
            <v>-188705081</v>
          </cell>
          <cell r="E52">
            <v>-155591371</v>
          </cell>
          <cell r="F52">
            <v>-141321357</v>
          </cell>
          <cell r="I52">
            <v>-141321357</v>
          </cell>
          <cell r="J52">
            <v>-0.25109935434117964</v>
          </cell>
          <cell r="K52">
            <v>-9.1714687699486888E-2</v>
          </cell>
          <cell r="L52">
            <v>-254628745</v>
          </cell>
        </row>
        <row r="53">
          <cell r="B53" t="str">
            <v>공구기구비품</v>
          </cell>
          <cell r="C53" t="str">
            <v>I1</v>
          </cell>
          <cell r="D53">
            <v>326831190</v>
          </cell>
          <cell r="E53">
            <v>424273727</v>
          </cell>
          <cell r="F53">
            <v>518338142</v>
          </cell>
          <cell r="I53">
            <v>518338142</v>
          </cell>
          <cell r="J53">
            <v>0.58595066156323694</v>
          </cell>
          <cell r="K53">
            <v>0.22170690526872996</v>
          </cell>
          <cell r="L53">
            <v>580383869</v>
          </cell>
        </row>
        <row r="54">
          <cell r="B54" t="str">
            <v xml:space="preserve">  감가상각누계액</v>
          </cell>
          <cell r="C54" t="str">
            <v>I1</v>
          </cell>
          <cell r="D54">
            <v>-264995329</v>
          </cell>
          <cell r="E54">
            <v>-328844908</v>
          </cell>
          <cell r="F54">
            <v>-348013531</v>
          </cell>
          <cell r="I54">
            <v>-348013531</v>
          </cell>
          <cell r="J54">
            <v>0.31328175599653685</v>
          </cell>
          <cell r="K54">
            <v>5.8290770310483263E-2</v>
          </cell>
          <cell r="L54">
            <v>-391650922</v>
          </cell>
        </row>
        <row r="55">
          <cell r="B55" t="str">
            <v>건설중인자산</v>
          </cell>
          <cell r="C55" t="str">
            <v>I1</v>
          </cell>
          <cell r="D55">
            <v>0</v>
          </cell>
          <cell r="E55">
            <v>141286290</v>
          </cell>
          <cell r="F55">
            <v>18250000</v>
          </cell>
          <cell r="I55">
            <v>18250000</v>
          </cell>
          <cell r="J55" t="e">
            <v>#DIV/0!</v>
          </cell>
          <cell r="K55">
            <v>-0.87082964666989271</v>
          </cell>
          <cell r="L55">
            <v>95750000</v>
          </cell>
        </row>
        <row r="57">
          <cell r="B57" t="str">
            <v>(3) 무형자산</v>
          </cell>
          <cell r="D57">
            <v>0</v>
          </cell>
          <cell r="E57">
            <v>0</v>
          </cell>
          <cell r="F57">
            <v>0</v>
          </cell>
          <cell r="I57">
            <v>0</v>
          </cell>
          <cell r="J57" t="e">
            <v>#DIV/0!</v>
          </cell>
          <cell r="K57" t="e">
            <v>#DIV/0!</v>
          </cell>
          <cell r="L57">
            <v>0</v>
          </cell>
        </row>
        <row r="58">
          <cell r="B58" t="str">
            <v>영업권</v>
          </cell>
          <cell r="C58" t="str">
            <v>I2</v>
          </cell>
          <cell r="D58">
            <v>0</v>
          </cell>
          <cell r="E58">
            <v>0</v>
          </cell>
          <cell r="F58">
            <v>0</v>
          </cell>
          <cell r="I58">
            <v>0</v>
          </cell>
          <cell r="J58" t="e">
            <v>#DIV/0!</v>
          </cell>
          <cell r="K58" t="e">
            <v>#DIV/0!</v>
          </cell>
        </row>
        <row r="59">
          <cell r="B59" t="str">
            <v>기타의무형자산</v>
          </cell>
        </row>
        <row r="60">
          <cell r="B60" t="str">
            <v>공업소유권</v>
          </cell>
          <cell r="C60" t="str">
            <v>I2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  <cell r="J60" t="e">
            <v>#DIV/0!</v>
          </cell>
          <cell r="K60" t="e">
            <v>#DIV/0!</v>
          </cell>
        </row>
        <row r="62">
          <cell r="B62" t="str">
            <v>(4) 이연자산</v>
          </cell>
          <cell r="D62">
            <v>403778572</v>
          </cell>
          <cell r="E62">
            <v>161945895</v>
          </cell>
          <cell r="F62">
            <v>131123386</v>
          </cell>
          <cell r="I62">
            <v>0</v>
          </cell>
          <cell r="J62" t="e">
            <v>#DIV/0!</v>
          </cell>
          <cell r="K62" t="e">
            <v>#DIV/0!</v>
          </cell>
          <cell r="L62">
            <v>0</v>
          </cell>
        </row>
        <row r="63">
          <cell r="B63" t="str">
            <v>환율조정차</v>
          </cell>
          <cell r="C63" t="str">
            <v>J</v>
          </cell>
          <cell r="D63">
            <v>403778572</v>
          </cell>
          <cell r="E63">
            <v>161945895</v>
          </cell>
          <cell r="F63">
            <v>131123386</v>
          </cell>
          <cell r="H63">
            <v>131123386</v>
          </cell>
          <cell r="I63">
            <v>0</v>
          </cell>
          <cell r="J63">
            <v>-0.67525917645773437</v>
          </cell>
          <cell r="K63">
            <v>-0.19032596658285164</v>
          </cell>
        </row>
        <row r="64">
          <cell r="I64">
            <v>0</v>
          </cell>
          <cell r="J64" t="e">
            <v>#DIV/0!</v>
          </cell>
          <cell r="K64" t="e">
            <v>#DIV/0!</v>
          </cell>
        </row>
        <row r="66">
          <cell r="B66" t="str">
            <v>자산총계</v>
          </cell>
          <cell r="D66">
            <v>17926973023</v>
          </cell>
          <cell r="E66">
            <v>21457926864</v>
          </cell>
          <cell r="F66">
            <v>29416984190</v>
          </cell>
          <cell r="I66">
            <v>29725441074</v>
          </cell>
          <cell r="J66" t="e">
            <v>#DIV/0!</v>
          </cell>
          <cell r="K66" t="e">
            <v>#DIV/0!</v>
          </cell>
          <cell r="L66">
            <v>32231700778</v>
          </cell>
        </row>
        <row r="68">
          <cell r="B68" t="str">
            <v>부  채</v>
          </cell>
        </row>
        <row r="69">
          <cell r="B69" t="str">
            <v>Ⅰ. 유동부채</v>
          </cell>
          <cell r="D69">
            <v>10697627407</v>
          </cell>
          <cell r="E69">
            <v>14477289109</v>
          </cell>
          <cell r="F69">
            <v>20061343965</v>
          </cell>
          <cell r="I69">
            <v>21025266095</v>
          </cell>
          <cell r="J69" t="e">
            <v>#DIV/0!</v>
          </cell>
          <cell r="K69" t="e">
            <v>#DIV/0!</v>
          </cell>
          <cell r="L69">
            <v>23532906572</v>
          </cell>
        </row>
        <row r="70">
          <cell r="B70" t="str">
            <v>매입채무</v>
          </cell>
          <cell r="C70" t="str">
            <v>L</v>
          </cell>
          <cell r="D70">
            <v>6389775245</v>
          </cell>
          <cell r="E70">
            <v>6613444587</v>
          </cell>
          <cell r="F70">
            <v>10395420674</v>
          </cell>
          <cell r="I70">
            <v>10395420674</v>
          </cell>
          <cell r="J70">
            <v>0.62688361881498389</v>
          </cell>
          <cell r="K70">
            <v>0.57186176390351906</v>
          </cell>
          <cell r="L70">
            <v>11902442888</v>
          </cell>
        </row>
        <row r="71">
          <cell r="B71" t="str">
            <v>단기차입금</v>
          </cell>
          <cell r="C71" t="str">
            <v>K</v>
          </cell>
          <cell r="D71">
            <v>2836102468</v>
          </cell>
          <cell r="E71">
            <v>6658568583</v>
          </cell>
          <cell r="F71">
            <v>8477119345</v>
          </cell>
          <cell r="H71">
            <v>66468871</v>
          </cell>
          <cell r="I71">
            <v>8543588216</v>
          </cell>
          <cell r="J71">
            <v>1.9890031973978735</v>
          </cell>
          <cell r="K71">
            <v>0.27311436975252373</v>
          </cell>
          <cell r="L71">
            <v>9267948652</v>
          </cell>
        </row>
        <row r="72">
          <cell r="B72" t="str">
            <v>미지급금</v>
          </cell>
          <cell r="C72" t="str">
            <v>N</v>
          </cell>
          <cell r="D72">
            <v>259093285</v>
          </cell>
          <cell r="E72">
            <v>557239357</v>
          </cell>
          <cell r="F72">
            <v>527779252</v>
          </cell>
          <cell r="I72">
            <v>527779252</v>
          </cell>
          <cell r="J72">
            <v>1.0370240471496588</v>
          </cell>
          <cell r="K72">
            <v>-5.2867954551171444E-2</v>
          </cell>
          <cell r="L72">
            <v>493711367</v>
          </cell>
        </row>
        <row r="73">
          <cell r="B73" t="str">
            <v xml:space="preserve">  현재가치할인차금</v>
          </cell>
          <cell r="C73" t="str">
            <v>N</v>
          </cell>
          <cell r="E73">
            <v>0</v>
          </cell>
          <cell r="F73">
            <v>0</v>
          </cell>
          <cell r="I73">
            <v>0</v>
          </cell>
          <cell r="J73" t="e">
            <v>#DIV/0!</v>
          </cell>
          <cell r="K73" t="e">
            <v>#DIV/0!</v>
          </cell>
        </row>
        <row r="74">
          <cell r="B74" t="str">
            <v>선수금</v>
          </cell>
          <cell r="C74" t="str">
            <v>N</v>
          </cell>
          <cell r="D74">
            <v>9848274</v>
          </cell>
          <cell r="E74">
            <v>46492629</v>
          </cell>
          <cell r="F74">
            <v>72327219</v>
          </cell>
          <cell r="I74">
            <v>72327219</v>
          </cell>
          <cell r="J74">
            <v>6.344151777255588</v>
          </cell>
          <cell r="K74">
            <v>0.55567066340774152</v>
          </cell>
          <cell r="L74">
            <v>54900878</v>
          </cell>
        </row>
        <row r="75">
          <cell r="B75" t="str">
            <v>예수금</v>
          </cell>
          <cell r="C75" t="str">
            <v>N</v>
          </cell>
          <cell r="D75">
            <v>56558689</v>
          </cell>
          <cell r="E75">
            <v>40828590</v>
          </cell>
          <cell r="F75">
            <v>6212861</v>
          </cell>
          <cell r="I75">
            <v>6212861</v>
          </cell>
          <cell r="J75">
            <v>-0.89015196232713245</v>
          </cell>
          <cell r="K75">
            <v>-0.84783062554940058</v>
          </cell>
          <cell r="L75">
            <v>35530444</v>
          </cell>
        </row>
        <row r="76">
          <cell r="B76" t="str">
            <v>예수보증금</v>
          </cell>
          <cell r="C76" t="str">
            <v>N</v>
          </cell>
          <cell r="E76">
            <v>0</v>
          </cell>
          <cell r="F76">
            <v>370000000</v>
          </cell>
          <cell r="I76">
            <v>370000000</v>
          </cell>
          <cell r="L76">
            <v>369340000</v>
          </cell>
        </row>
        <row r="77">
          <cell r="B77" t="str">
            <v>예수부가세</v>
          </cell>
          <cell r="C77" t="str">
            <v>N</v>
          </cell>
          <cell r="E77">
            <v>0</v>
          </cell>
          <cell r="F77">
            <v>21464211</v>
          </cell>
          <cell r="G77">
            <v>21464211</v>
          </cell>
          <cell r="I77">
            <v>0</v>
          </cell>
        </row>
        <row r="78">
          <cell r="B78" t="str">
            <v>예수원천세</v>
          </cell>
          <cell r="C78" t="str">
            <v>N</v>
          </cell>
          <cell r="E78">
            <v>0</v>
          </cell>
          <cell r="F78">
            <v>2962950</v>
          </cell>
          <cell r="I78">
            <v>2962950</v>
          </cell>
        </row>
        <row r="79">
          <cell r="B79" t="str">
            <v>미지급비용</v>
          </cell>
          <cell r="C79" t="str">
            <v>N</v>
          </cell>
          <cell r="D79">
            <v>35611051</v>
          </cell>
          <cell r="E79">
            <v>79481210</v>
          </cell>
          <cell r="F79">
            <v>2672453</v>
          </cell>
          <cell r="H79">
            <v>26220508</v>
          </cell>
          <cell r="I79">
            <v>28892961</v>
          </cell>
          <cell r="J79">
            <v>-0.92495439126466672</v>
          </cell>
          <cell r="K79">
            <v>-0.96637629195630015</v>
          </cell>
          <cell r="L79">
            <v>156416955</v>
          </cell>
        </row>
        <row r="80">
          <cell r="B80" t="str">
            <v>미지급법인세</v>
          </cell>
          <cell r="C80" t="str">
            <v>N</v>
          </cell>
          <cell r="D80">
            <v>80000000</v>
          </cell>
          <cell r="E80">
            <v>68894153</v>
          </cell>
          <cell r="F80">
            <v>0</v>
          </cell>
          <cell r="H80">
            <v>519711962</v>
          </cell>
          <cell r="I80">
            <v>519711962</v>
          </cell>
          <cell r="J80">
            <v>-1</v>
          </cell>
          <cell r="K80">
            <v>-1</v>
          </cell>
          <cell r="L80">
            <v>709395388</v>
          </cell>
        </row>
        <row r="81">
          <cell r="B81" t="str">
            <v>유동성장기부채</v>
          </cell>
          <cell r="C81" t="str">
            <v>K</v>
          </cell>
          <cell r="D81">
            <v>1030638395</v>
          </cell>
          <cell r="E81">
            <v>412340000</v>
          </cell>
          <cell r="F81">
            <v>185385000</v>
          </cell>
          <cell r="H81">
            <v>372985000</v>
          </cell>
          <cell r="I81">
            <v>558370000</v>
          </cell>
          <cell r="J81">
            <v>-0.82012604915616405</v>
          </cell>
          <cell r="K81">
            <v>-0.5504074307610225</v>
          </cell>
          <cell r="L81">
            <v>543220000</v>
          </cell>
        </row>
        <row r="83">
          <cell r="B83" t="str">
            <v>Ⅱ. 고정부채</v>
          </cell>
          <cell r="D83">
            <v>2066113140</v>
          </cell>
          <cell r="E83">
            <v>1339383282</v>
          </cell>
          <cell r="F83">
            <v>1509263491</v>
          </cell>
          <cell r="I83">
            <v>1784164610</v>
          </cell>
          <cell r="J83" t="e">
            <v>#DIV/0!</v>
          </cell>
          <cell r="K83" t="e">
            <v>#DIV/0!</v>
          </cell>
          <cell r="L83">
            <v>1532434432</v>
          </cell>
        </row>
        <row r="84">
          <cell r="B84" t="str">
            <v>사  채</v>
          </cell>
          <cell r="C84" t="str">
            <v>O</v>
          </cell>
          <cell r="D84">
            <v>0</v>
          </cell>
          <cell r="E84">
            <v>0</v>
          </cell>
          <cell r="F84">
            <v>0</v>
          </cell>
          <cell r="I84">
            <v>0</v>
          </cell>
          <cell r="J84" t="e">
            <v>#DIV/0!</v>
          </cell>
          <cell r="K84" t="e">
            <v>#DIV/0!</v>
          </cell>
        </row>
        <row r="85">
          <cell r="B85" t="str">
            <v xml:space="preserve">  사채할인발행차금</v>
          </cell>
          <cell r="C85" t="str">
            <v>O</v>
          </cell>
          <cell r="D85">
            <v>0</v>
          </cell>
          <cell r="E85">
            <v>0</v>
          </cell>
          <cell r="F85">
            <v>0</v>
          </cell>
          <cell r="I85">
            <v>0</v>
          </cell>
          <cell r="J85" t="e">
            <v>#DIV/0!</v>
          </cell>
          <cell r="K85" t="e">
            <v>#DIV/0!</v>
          </cell>
        </row>
        <row r="86">
          <cell r="B86" t="str">
            <v>장기차입금</v>
          </cell>
          <cell r="C86" t="str">
            <v>K</v>
          </cell>
          <cell r="D86">
            <v>1747417167</v>
          </cell>
          <cell r="E86">
            <v>924280000</v>
          </cell>
          <cell r="F86">
            <v>1093140000</v>
          </cell>
          <cell r="G86">
            <v>372985000</v>
          </cell>
          <cell r="I86">
            <v>720155000</v>
          </cell>
          <cell r="J86">
            <v>-0.37442528284375037</v>
          </cell>
          <cell r="K86">
            <v>0.18269355606526161</v>
          </cell>
          <cell r="L86">
            <v>743620000</v>
          </cell>
        </row>
        <row r="87">
          <cell r="B87" t="str">
            <v>퇴직급여충당금</v>
          </cell>
          <cell r="C87" t="str">
            <v>Q</v>
          </cell>
          <cell r="D87">
            <v>318695973</v>
          </cell>
          <cell r="E87">
            <v>157575351</v>
          </cell>
          <cell r="F87">
            <v>158595560</v>
          </cell>
          <cell r="H87">
            <v>106139507</v>
          </cell>
          <cell r="I87">
            <v>264735067</v>
          </cell>
          <cell r="J87">
            <v>-0.50236095389884328</v>
          </cell>
          <cell r="K87">
            <v>6.4744199744793838E-3</v>
          </cell>
          <cell r="L87">
            <v>722466669</v>
          </cell>
        </row>
        <row r="88">
          <cell r="B88" t="str">
            <v xml:space="preserve">  국민연금전환금</v>
          </cell>
          <cell r="C88" t="str">
            <v>Q</v>
          </cell>
          <cell r="D88">
            <v>0</v>
          </cell>
          <cell r="E88">
            <v>0</v>
          </cell>
          <cell r="F88">
            <v>0</v>
          </cell>
          <cell r="I88">
            <v>0</v>
          </cell>
          <cell r="J88" t="e">
            <v>#DIV/0!</v>
          </cell>
          <cell r="K88" t="e">
            <v>#DIV/0!</v>
          </cell>
        </row>
        <row r="89">
          <cell r="B89" t="str">
            <v>단체퇴직급여충당금</v>
          </cell>
          <cell r="C89" t="str">
            <v>Q</v>
          </cell>
          <cell r="D89">
            <v>0</v>
          </cell>
          <cell r="E89">
            <v>257527931</v>
          </cell>
          <cell r="F89">
            <v>257527931</v>
          </cell>
          <cell r="I89">
            <v>257527931</v>
          </cell>
          <cell r="J89" t="e">
            <v>#DIV/0!</v>
          </cell>
          <cell r="K89">
            <v>0</v>
          </cell>
        </row>
        <row r="90">
          <cell r="B90" t="str">
            <v>이연법인세대</v>
          </cell>
          <cell r="F90">
            <v>0</v>
          </cell>
          <cell r="G90">
            <v>105294171</v>
          </cell>
          <cell r="H90">
            <v>720960783</v>
          </cell>
          <cell r="I90">
            <v>541746612</v>
          </cell>
          <cell r="L90">
            <v>66347763</v>
          </cell>
        </row>
        <row r="91">
          <cell r="B91" t="str">
            <v>수입보증금</v>
          </cell>
          <cell r="C91" t="str">
            <v>P</v>
          </cell>
          <cell r="D91">
            <v>0</v>
          </cell>
          <cell r="E91">
            <v>0</v>
          </cell>
          <cell r="F91">
            <v>0</v>
          </cell>
          <cell r="I91">
            <v>0</v>
          </cell>
          <cell r="J91" t="e">
            <v>#DIV/0!</v>
          </cell>
          <cell r="K91" t="e">
            <v>#DIV/0!</v>
          </cell>
        </row>
        <row r="92">
          <cell r="B92" t="str">
            <v>임대보증금</v>
          </cell>
          <cell r="C92" t="str">
            <v>P</v>
          </cell>
          <cell r="D92">
            <v>0</v>
          </cell>
          <cell r="E92">
            <v>0</v>
          </cell>
          <cell r="F92">
            <v>0</v>
          </cell>
          <cell r="I92">
            <v>0</v>
          </cell>
          <cell r="J92" t="e">
            <v>#DIV/0!</v>
          </cell>
          <cell r="K92" t="e">
            <v>#DIV/0!</v>
          </cell>
        </row>
        <row r="94">
          <cell r="B94" t="str">
            <v>Ⅲ. 이연부채</v>
          </cell>
          <cell r="D94">
            <v>1430465200</v>
          </cell>
          <cell r="E94">
            <v>666982176</v>
          </cell>
          <cell r="F94">
            <v>598089037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 t="str">
            <v>환율조정대</v>
          </cell>
          <cell r="D95">
            <v>1430465200</v>
          </cell>
          <cell r="E95">
            <v>666982176</v>
          </cell>
          <cell r="F95">
            <v>598089037</v>
          </cell>
          <cell r="G95">
            <v>598089037</v>
          </cell>
          <cell r="I95">
            <v>0</v>
          </cell>
        </row>
        <row r="97">
          <cell r="B97" t="str">
            <v>부채총계</v>
          </cell>
          <cell r="D97">
            <v>14194205747</v>
          </cell>
          <cell r="E97">
            <v>16483654567</v>
          </cell>
          <cell r="F97">
            <v>22168696493</v>
          </cell>
          <cell r="I97">
            <v>22809430705</v>
          </cell>
          <cell r="J97" t="e">
            <v>#DIV/0!</v>
          </cell>
          <cell r="K97" t="e">
            <v>#DIV/0!</v>
          </cell>
          <cell r="L97">
            <v>25065341004</v>
          </cell>
        </row>
        <row r="99">
          <cell r="B99" t="str">
            <v>자   본</v>
          </cell>
        </row>
        <row r="100">
          <cell r="B100" t="str">
            <v>Ⅰ. 자본금</v>
          </cell>
          <cell r="C100" t="str">
            <v>S</v>
          </cell>
          <cell r="D100">
            <v>2825170000</v>
          </cell>
          <cell r="E100">
            <v>2825170000</v>
          </cell>
          <cell r="F100">
            <v>3625170000</v>
          </cell>
          <cell r="I100">
            <v>3625170000</v>
          </cell>
          <cell r="J100">
            <v>0</v>
          </cell>
          <cell r="K100">
            <v>0</v>
          </cell>
          <cell r="L100">
            <v>4072170000</v>
          </cell>
        </row>
        <row r="101">
          <cell r="B101" t="str">
            <v>보통주자본금</v>
          </cell>
          <cell r="C101" t="str">
            <v>S</v>
          </cell>
          <cell r="D101">
            <v>2825170000</v>
          </cell>
          <cell r="E101">
            <v>2825170000</v>
          </cell>
          <cell r="F101">
            <v>3625170000</v>
          </cell>
          <cell r="I101">
            <v>3625170000</v>
          </cell>
          <cell r="L101">
            <v>4072170000</v>
          </cell>
        </row>
        <row r="103">
          <cell r="B103" t="str">
            <v>Ⅱ. 자본잉여금</v>
          </cell>
          <cell r="C103" t="str">
            <v>S</v>
          </cell>
          <cell r="D103">
            <v>6372798</v>
          </cell>
          <cell r="E103">
            <v>6372798</v>
          </cell>
          <cell r="F103">
            <v>6372798</v>
          </cell>
          <cell r="I103">
            <v>6372798</v>
          </cell>
          <cell r="J103">
            <v>6372798</v>
          </cell>
          <cell r="K103">
            <v>0</v>
          </cell>
          <cell r="L103">
            <v>444656598</v>
          </cell>
        </row>
        <row r="104">
          <cell r="B104" t="str">
            <v>(1) 기타자본잉여금</v>
          </cell>
          <cell r="C104" t="str">
            <v>S</v>
          </cell>
          <cell r="D104">
            <v>6372798</v>
          </cell>
          <cell r="E104">
            <v>6372798</v>
          </cell>
          <cell r="F104">
            <v>6372798</v>
          </cell>
          <cell r="I104">
            <v>6372798</v>
          </cell>
          <cell r="J104">
            <v>6372798</v>
          </cell>
          <cell r="K104">
            <v>0</v>
          </cell>
          <cell r="L104">
            <v>6372798</v>
          </cell>
        </row>
        <row r="105">
          <cell r="B105" t="str">
            <v>(2)재평가적립금</v>
          </cell>
        </row>
        <row r="106">
          <cell r="B106" t="str">
            <v>(2)주식발행초과금</v>
          </cell>
          <cell r="C106" t="str">
            <v>S</v>
          </cell>
          <cell r="D106">
            <v>0</v>
          </cell>
          <cell r="E106">
            <v>0</v>
          </cell>
          <cell r="F106">
            <v>0</v>
          </cell>
          <cell r="I106">
            <v>0</v>
          </cell>
          <cell r="L106">
            <v>438283800</v>
          </cell>
        </row>
        <row r="107">
          <cell r="B107" t="str">
            <v>Ⅲ. 이익잉여금</v>
          </cell>
          <cell r="C107" t="str">
            <v>S</v>
          </cell>
          <cell r="D107">
            <v>901224478</v>
          </cell>
          <cell r="E107">
            <v>2142729499</v>
          </cell>
          <cell r="F107">
            <v>3616744899</v>
          </cell>
          <cell r="I107">
            <v>3513453979</v>
          </cell>
          <cell r="J107">
            <v>8.7442821474997388</v>
          </cell>
          <cell r="K107" t="e">
            <v>#DIV/0!</v>
          </cell>
          <cell r="L107">
            <v>3286406286</v>
          </cell>
        </row>
        <row r="108">
          <cell r="B108" t="str">
            <v>이익준비금</v>
          </cell>
          <cell r="C108" t="str">
            <v>S</v>
          </cell>
          <cell r="D108">
            <v>260073270</v>
          </cell>
          <cell r="E108">
            <v>760073270</v>
          </cell>
          <cell r="F108">
            <v>760073270</v>
          </cell>
          <cell r="I108">
            <v>760073270</v>
          </cell>
          <cell r="J108">
            <v>1.9225351378863349</v>
          </cell>
          <cell r="K108">
            <v>0</v>
          </cell>
          <cell r="L108">
            <v>760073270</v>
          </cell>
        </row>
        <row r="109">
          <cell r="B109" t="str">
            <v>사업확장적립금</v>
          </cell>
          <cell r="C109" t="str">
            <v>S</v>
          </cell>
          <cell r="D109">
            <v>200000000</v>
          </cell>
          <cell r="E109">
            <v>700000000</v>
          </cell>
          <cell r="F109">
            <v>700000000</v>
          </cell>
          <cell r="I109">
            <v>700000000</v>
          </cell>
          <cell r="J109">
            <v>2.5</v>
          </cell>
          <cell r="K109">
            <v>0</v>
          </cell>
          <cell r="L109">
            <v>700000000</v>
          </cell>
        </row>
        <row r="110">
          <cell r="B110" t="str">
            <v>감채적립금</v>
          </cell>
          <cell r="C110" t="str">
            <v>S</v>
          </cell>
          <cell r="D110">
            <v>100000000</v>
          </cell>
          <cell r="E110">
            <v>0</v>
          </cell>
          <cell r="F110">
            <v>0</v>
          </cell>
          <cell r="I110">
            <v>0</v>
          </cell>
          <cell r="J110">
            <v>-1</v>
          </cell>
          <cell r="K110" t="e">
            <v>#DIV/0!</v>
          </cell>
        </row>
        <row r="111">
          <cell r="B111" t="str">
            <v>차기이월이익잉여금</v>
          </cell>
          <cell r="C111" t="str">
            <v>S</v>
          </cell>
          <cell r="D111">
            <v>341151208</v>
          </cell>
          <cell r="E111">
            <v>682656229</v>
          </cell>
          <cell r="F111">
            <v>2156671629</v>
          </cell>
          <cell r="G111">
            <v>1884464226</v>
          </cell>
          <cell r="H111">
            <v>1947253306</v>
          </cell>
          <cell r="I111">
            <v>2053380709</v>
          </cell>
          <cell r="J111">
            <v>5.3217470096134027</v>
          </cell>
          <cell r="K111">
            <v>2.1592352598309037</v>
          </cell>
          <cell r="L111">
            <v>1826333016</v>
          </cell>
        </row>
        <row r="112">
          <cell r="B112" t="str">
            <v xml:space="preserve">    전기이월잉여금</v>
          </cell>
          <cell r="C112" t="str">
            <v>S</v>
          </cell>
          <cell r="G112">
            <v>763590588</v>
          </cell>
          <cell r="H112">
            <v>1423781783</v>
          </cell>
          <cell r="I112">
            <v>660191195</v>
          </cell>
        </row>
        <row r="113">
          <cell r="B113" t="str">
            <v xml:space="preserve">    당기순손익</v>
          </cell>
          <cell r="C113" t="str">
            <v>S</v>
          </cell>
          <cell r="D113">
            <v>821518890</v>
          </cell>
          <cell r="E113">
            <v>1265387243</v>
          </cell>
          <cell r="F113">
            <v>1449454322</v>
          </cell>
          <cell r="G113">
            <v>1120873638</v>
          </cell>
          <cell r="H113">
            <v>523471523</v>
          </cell>
          <cell r="I113">
            <v>852052207</v>
          </cell>
          <cell r="L113">
            <v>1520755506</v>
          </cell>
        </row>
        <row r="114">
          <cell r="B114" t="str">
            <v>Ⅳ. 자본조정</v>
          </cell>
          <cell r="C114" t="str">
            <v>S</v>
          </cell>
          <cell r="D114">
            <v>0</v>
          </cell>
          <cell r="E114">
            <v>0</v>
          </cell>
          <cell r="F114">
            <v>0</v>
          </cell>
          <cell r="I114">
            <v>-228986408</v>
          </cell>
          <cell r="J114" t="e">
            <v>#DIV/0!</v>
          </cell>
          <cell r="K114" t="e">
            <v>#DIV/0!</v>
          </cell>
          <cell r="L114">
            <v>-636873110</v>
          </cell>
        </row>
        <row r="115">
          <cell r="B115" t="str">
            <v>해외사업환산차</v>
          </cell>
          <cell r="C115" t="str">
            <v>S</v>
          </cell>
          <cell r="D115">
            <v>0</v>
          </cell>
          <cell r="E115">
            <v>0</v>
          </cell>
          <cell r="F115">
            <v>0</v>
          </cell>
          <cell r="I115">
            <v>0</v>
          </cell>
          <cell r="J115" t="e">
            <v>#DIV/0!</v>
          </cell>
          <cell r="K115" t="e">
            <v>#DIV/0!</v>
          </cell>
          <cell r="L115">
            <v>-636873110</v>
          </cell>
        </row>
        <row r="116">
          <cell r="B116" t="str">
            <v>자기주식</v>
          </cell>
        </row>
        <row r="117">
          <cell r="B117" t="str">
            <v>투자주식평가손실</v>
          </cell>
          <cell r="C117" t="str">
            <v>S</v>
          </cell>
          <cell r="D117">
            <v>0</v>
          </cell>
          <cell r="E117">
            <v>0</v>
          </cell>
          <cell r="F117">
            <v>0</v>
          </cell>
          <cell r="G117">
            <v>228986408</v>
          </cell>
          <cell r="I117">
            <v>-228986408</v>
          </cell>
          <cell r="J117" t="e">
            <v>#DIV/0!</v>
          </cell>
          <cell r="K117" t="e">
            <v>#DIV/0!</v>
          </cell>
        </row>
        <row r="119">
          <cell r="B119" t="str">
            <v>자본총계</v>
          </cell>
          <cell r="D119">
            <v>3732767276</v>
          </cell>
          <cell r="E119">
            <v>4974272297</v>
          </cell>
          <cell r="F119">
            <v>7248287697</v>
          </cell>
          <cell r="I119">
            <v>6916010369</v>
          </cell>
          <cell r="J119" t="e">
            <v>#DIV/0!</v>
          </cell>
          <cell r="K119" t="e">
            <v>#DIV/0!</v>
          </cell>
          <cell r="L119">
            <v>7166359774</v>
          </cell>
        </row>
        <row r="121">
          <cell r="B121" t="str">
            <v>부채와자본총계</v>
          </cell>
          <cell r="D121">
            <v>17926973023</v>
          </cell>
          <cell r="E121">
            <v>21457926864</v>
          </cell>
          <cell r="F121">
            <v>29416984190</v>
          </cell>
          <cell r="G121">
            <v>8332106859</v>
          </cell>
          <cell r="H121">
            <v>8332106859</v>
          </cell>
          <cell r="I121">
            <v>29725441074</v>
          </cell>
          <cell r="J121" t="e">
            <v>#DIV/0!</v>
          </cell>
          <cell r="K121" t="e">
            <v>#DIV/0!</v>
          </cell>
          <cell r="L121">
            <v>32231700778</v>
          </cell>
        </row>
        <row r="123">
          <cell r="B123" t="str">
            <v>검증</v>
          </cell>
          <cell r="D123">
            <v>0</v>
          </cell>
          <cell r="E123">
            <v>0</v>
          </cell>
          <cell r="F123">
            <v>0</v>
          </cell>
          <cell r="I123">
            <v>0</v>
          </cell>
          <cell r="J123" t="e">
            <v>#DIV/0!</v>
          </cell>
          <cell r="K123" t="e">
            <v>#DIV/0!</v>
          </cell>
          <cell r="L123">
            <v>0</v>
          </cell>
        </row>
      </sheetData>
      <sheetData sheetId="3"/>
      <sheetData sheetId="4" refreshError="1">
        <row r="5">
          <cell r="B5" t="str">
            <v>Ⅰ. 매출액</v>
          </cell>
          <cell r="D5">
            <v>41258830964</v>
          </cell>
          <cell r="E5">
            <v>74702447826</v>
          </cell>
          <cell r="F5">
            <v>44631035262</v>
          </cell>
          <cell r="I5">
            <v>44629838841</v>
          </cell>
          <cell r="J5">
            <v>3.5185811150698552</v>
          </cell>
          <cell r="K5">
            <v>1.1078098802786991</v>
          </cell>
          <cell r="L5">
            <v>99844926457</v>
          </cell>
        </row>
        <row r="6">
          <cell r="B6" t="str">
            <v>상품매출액</v>
          </cell>
          <cell r="C6" t="str">
            <v>T</v>
          </cell>
          <cell r="D6">
            <v>23274059326</v>
          </cell>
          <cell r="E6">
            <v>39609096763</v>
          </cell>
          <cell r="F6">
            <v>26098937429</v>
          </cell>
          <cell r="G6">
            <v>1196421</v>
          </cell>
          <cell r="I6">
            <v>26097741008</v>
          </cell>
          <cell r="J6">
            <v>1.2427490678297157</v>
          </cell>
          <cell r="K6">
            <v>0.31782542708117345</v>
          </cell>
          <cell r="L6">
            <v>62649636514</v>
          </cell>
        </row>
        <row r="7">
          <cell r="B7" t="str">
            <v>제품매출액</v>
          </cell>
          <cell r="C7" t="str">
            <v>T</v>
          </cell>
          <cell r="D7">
            <v>17573461796</v>
          </cell>
          <cell r="E7">
            <v>34570167460</v>
          </cell>
          <cell r="F7">
            <v>18075819541</v>
          </cell>
          <cell r="I7">
            <v>18075819541</v>
          </cell>
          <cell r="J7">
            <v>1.0571723148041718</v>
          </cell>
          <cell r="K7">
            <v>4.5746715685709899E-2</v>
          </cell>
          <cell r="L7">
            <v>37199535129</v>
          </cell>
        </row>
        <row r="8">
          <cell r="B8" t="str">
            <v>용역수입</v>
          </cell>
          <cell r="C8" t="str">
            <v>T</v>
          </cell>
          <cell r="D8">
            <v>411309842</v>
          </cell>
          <cell r="E8">
            <v>523183603</v>
          </cell>
          <cell r="F8">
            <v>456278292</v>
          </cell>
          <cell r="I8">
            <v>456278292</v>
          </cell>
          <cell r="J8">
            <v>1.2186597324359674</v>
          </cell>
          <cell r="K8">
            <v>0.74423773751181577</v>
          </cell>
        </row>
        <row r="9">
          <cell r="B9" t="str">
            <v>매출할인</v>
          </cell>
          <cell r="L9">
            <v>-4245186</v>
          </cell>
        </row>
        <row r="10">
          <cell r="B10" t="str">
            <v>Ⅱ. 매출원가</v>
          </cell>
          <cell r="D10">
            <v>35887481150</v>
          </cell>
          <cell r="E10">
            <v>65047507785</v>
          </cell>
          <cell r="F10">
            <v>39364210702</v>
          </cell>
          <cell r="I10">
            <v>39360075502</v>
          </cell>
          <cell r="J10" t="e">
            <v>#DIV/0!</v>
          </cell>
          <cell r="K10" t="e">
            <v>#DIV/0!</v>
          </cell>
          <cell r="L10">
            <v>88176085154</v>
          </cell>
        </row>
        <row r="11">
          <cell r="B11" t="str">
            <v>상품매출원가</v>
          </cell>
          <cell r="C11" t="str">
            <v>U</v>
          </cell>
          <cell r="D11">
            <v>20675669224</v>
          </cell>
          <cell r="E11">
            <v>34960589471</v>
          </cell>
          <cell r="F11">
            <v>23637503389</v>
          </cell>
          <cell r="H11">
            <v>4135200</v>
          </cell>
          <cell r="I11">
            <v>23633368189</v>
          </cell>
          <cell r="J11">
            <v>1.2865043092836819</v>
          </cell>
          <cell r="K11">
            <v>0.35223711880530151</v>
          </cell>
          <cell r="L11">
            <v>57159972330</v>
          </cell>
        </row>
        <row r="12">
          <cell r="B12" t="str">
            <v xml:space="preserve"> 기초상품재고액</v>
          </cell>
          <cell r="C12" t="str">
            <v>U</v>
          </cell>
          <cell r="D12">
            <v>296097570</v>
          </cell>
          <cell r="E12">
            <v>273305064</v>
          </cell>
          <cell r="F12">
            <v>248462495</v>
          </cell>
          <cell r="I12">
            <v>248462495</v>
          </cell>
          <cell r="J12">
            <v>0.67824744390843872</v>
          </cell>
          <cell r="K12">
            <v>0.81820630297578389</v>
          </cell>
          <cell r="L12">
            <v>248462495</v>
          </cell>
        </row>
        <row r="13">
          <cell r="B13" t="str">
            <v xml:space="preserve"> 당기상품제조원가</v>
          </cell>
          <cell r="C13" t="str">
            <v>U</v>
          </cell>
          <cell r="D13">
            <v>20705861307</v>
          </cell>
          <cell r="E13">
            <v>34120360961</v>
          </cell>
          <cell r="F13">
            <v>23239276537</v>
          </cell>
          <cell r="I13">
            <v>23239276537</v>
          </cell>
          <cell r="J13">
            <v>1.2447051288944482</v>
          </cell>
          <cell r="K13">
            <v>0.36219406140297195</v>
          </cell>
          <cell r="L13">
            <v>57856777159</v>
          </cell>
        </row>
        <row r="14">
          <cell r="B14" t="str">
            <v xml:space="preserve"> 타계정에서 대체액</v>
          </cell>
          <cell r="C14" t="str">
            <v>U</v>
          </cell>
          <cell r="D14">
            <v>0</v>
          </cell>
          <cell r="E14">
            <v>858479099</v>
          </cell>
          <cell r="F14">
            <v>833989326</v>
          </cell>
          <cell r="I14">
            <v>833989326</v>
          </cell>
          <cell r="J14" t="e">
            <v>#DIV/0!</v>
          </cell>
          <cell r="K14">
            <v>0.94294614038122315</v>
          </cell>
        </row>
        <row r="15">
          <cell r="B15" t="str">
            <v xml:space="preserve">            계</v>
          </cell>
          <cell r="C15" t="str">
            <v>U</v>
          </cell>
          <cell r="D15">
            <v>21001958877</v>
          </cell>
          <cell r="E15">
            <v>35252145124</v>
          </cell>
          <cell r="F15">
            <v>24321728358</v>
          </cell>
          <cell r="I15">
            <v>24321728358</v>
          </cell>
          <cell r="J15">
            <v>1.3161390325962021</v>
          </cell>
          <cell r="K15">
            <v>0.37987224734539815</v>
          </cell>
          <cell r="L15">
            <v>58105239654</v>
          </cell>
        </row>
        <row r="16">
          <cell r="B16" t="str">
            <v xml:space="preserve"> 기말상품재고액</v>
          </cell>
          <cell r="C16" t="str">
            <v>U</v>
          </cell>
          <cell r="D16">
            <v>273305064</v>
          </cell>
          <cell r="E16">
            <v>248462495</v>
          </cell>
          <cell r="F16">
            <v>676711460</v>
          </cell>
          <cell r="I16">
            <v>676711460</v>
          </cell>
          <cell r="J16">
            <v>3.9520594320198912</v>
          </cell>
          <cell r="K16">
            <v>4.4471920198660166</v>
          </cell>
          <cell r="L16">
            <v>178885000</v>
          </cell>
        </row>
        <row r="17">
          <cell r="B17" t="str">
            <v xml:space="preserve"> 타계정으로 대체액</v>
          </cell>
          <cell r="C17" t="str">
            <v>U</v>
          </cell>
          <cell r="D17">
            <v>52984589</v>
          </cell>
          <cell r="E17">
            <v>43093158</v>
          </cell>
          <cell r="F17">
            <v>7513509</v>
          </cell>
          <cell r="I17">
            <v>7513509</v>
          </cell>
          <cell r="J17">
            <v>-0.71638889187193655</v>
          </cell>
          <cell r="K17">
            <v>-0.65128993331145513</v>
          </cell>
          <cell r="L17">
            <v>766382324</v>
          </cell>
        </row>
        <row r="19">
          <cell r="B19" t="str">
            <v>제품매출원가</v>
          </cell>
          <cell r="C19" t="str">
            <v>U</v>
          </cell>
          <cell r="D19">
            <v>15211811926</v>
          </cell>
          <cell r="E19">
            <v>30086918314</v>
          </cell>
          <cell r="F19">
            <v>15726707313</v>
          </cell>
          <cell r="I19">
            <v>15726707313</v>
          </cell>
          <cell r="J19">
            <v>1.067696785827327</v>
          </cell>
          <cell r="K19">
            <v>4.5418287700277497E-2</v>
          </cell>
          <cell r="L19">
            <v>31119563221</v>
          </cell>
        </row>
        <row r="20">
          <cell r="B20" t="str">
            <v xml:space="preserve"> 기초제품재고액</v>
          </cell>
          <cell r="C20" t="str">
            <v>U</v>
          </cell>
          <cell r="D20">
            <v>162599680</v>
          </cell>
          <cell r="E20">
            <v>115076326</v>
          </cell>
          <cell r="F20">
            <v>0</v>
          </cell>
          <cell r="I20">
            <v>0</v>
          </cell>
          <cell r="J20">
            <v>-1</v>
          </cell>
          <cell r="K20">
            <v>-1</v>
          </cell>
          <cell r="L20">
            <v>0</v>
          </cell>
        </row>
        <row r="21">
          <cell r="B21" t="str">
            <v xml:space="preserve"> 당기제품제조원가</v>
          </cell>
          <cell r="C21" t="str">
            <v>U</v>
          </cell>
          <cell r="D21">
            <v>15296565389</v>
          </cell>
          <cell r="E21">
            <v>30736943880</v>
          </cell>
          <cell r="F21">
            <v>16029005456</v>
          </cell>
          <cell r="I21">
            <v>16029005456</v>
          </cell>
          <cell r="J21">
            <v>1.0957652974211727</v>
          </cell>
          <cell r="K21">
            <v>4.2979778248532885E-2</v>
          </cell>
          <cell r="L21">
            <v>32500920099</v>
          </cell>
        </row>
        <row r="22">
          <cell r="B22" t="str">
            <v xml:space="preserve">            계</v>
          </cell>
          <cell r="C22" t="str">
            <v>U</v>
          </cell>
          <cell r="D22">
            <v>15459165069</v>
          </cell>
          <cell r="E22">
            <v>30852020206</v>
          </cell>
          <cell r="F22">
            <v>16029005456</v>
          </cell>
          <cell r="I22">
            <v>16029005456</v>
          </cell>
          <cell r="J22">
            <v>1.0737220133760899</v>
          </cell>
          <cell r="K22">
            <v>3.908952146237292E-2</v>
          </cell>
          <cell r="L22">
            <v>32500920099</v>
          </cell>
        </row>
        <row r="23">
          <cell r="B23" t="str">
            <v xml:space="preserve"> 기말제품재고액</v>
          </cell>
          <cell r="C23" t="str">
            <v>U</v>
          </cell>
          <cell r="D23">
            <v>115076326</v>
          </cell>
          <cell r="E23">
            <v>0</v>
          </cell>
          <cell r="F23">
            <v>0</v>
          </cell>
          <cell r="I23">
            <v>0</v>
          </cell>
          <cell r="J23">
            <v>-1</v>
          </cell>
          <cell r="K23" t="e">
            <v>#DIV/0!</v>
          </cell>
          <cell r="L23">
            <v>442184350</v>
          </cell>
        </row>
        <row r="24">
          <cell r="B24" t="str">
            <v xml:space="preserve"> 관세환급금</v>
          </cell>
          <cell r="C24" t="str">
            <v>U</v>
          </cell>
          <cell r="D24">
            <v>130026197</v>
          </cell>
          <cell r="E24">
            <v>724086840</v>
          </cell>
          <cell r="F24">
            <v>302298143</v>
          </cell>
          <cell r="I24">
            <v>302298143</v>
          </cell>
          <cell r="J24">
            <v>3.6498036545666257</v>
          </cell>
          <cell r="K24">
            <v>-0.16502240808574839</v>
          </cell>
          <cell r="L24">
            <v>939172528</v>
          </cell>
        </row>
        <row r="25">
          <cell r="B25" t="str">
            <v xml:space="preserve"> 타계정으로 대체액</v>
          </cell>
          <cell r="C25" t="str">
            <v>U</v>
          </cell>
          <cell r="D25">
            <v>2250620</v>
          </cell>
          <cell r="E25">
            <v>41015052</v>
          </cell>
          <cell r="F25">
            <v>0</v>
          </cell>
          <cell r="I25">
            <v>0</v>
          </cell>
          <cell r="J25">
            <v>-1</v>
          </cell>
          <cell r="K25">
            <v>-1</v>
          </cell>
        </row>
        <row r="27">
          <cell r="B27" t="str">
            <v>매입할인</v>
          </cell>
          <cell r="C27" t="str">
            <v>U</v>
          </cell>
          <cell r="D27">
            <v>0</v>
          </cell>
          <cell r="E27">
            <v>0</v>
          </cell>
          <cell r="F27">
            <v>0</v>
          </cell>
          <cell r="I27">
            <v>0</v>
          </cell>
          <cell r="J27" t="e">
            <v>#DIV/0!</v>
          </cell>
          <cell r="K27" t="e">
            <v>#DIV/0!</v>
          </cell>
          <cell r="L27">
            <v>-103450397</v>
          </cell>
        </row>
        <row r="29">
          <cell r="B29" t="str">
            <v>Ⅲ. 매출총이익</v>
          </cell>
          <cell r="D29">
            <v>5371349814</v>
          </cell>
          <cell r="E29">
            <v>9654940041</v>
          </cell>
          <cell r="F29">
            <v>5266824560</v>
          </cell>
          <cell r="I29">
            <v>5269763339</v>
          </cell>
          <cell r="J29" t="e">
            <v>#DIV/0!</v>
          </cell>
          <cell r="K29" t="e">
            <v>#DIV/0!</v>
          </cell>
          <cell r="L29">
            <v>11668841303</v>
          </cell>
        </row>
        <row r="31">
          <cell r="B31" t="str">
            <v>Ⅳ. 판매비와관리비</v>
          </cell>
          <cell r="D31">
            <v>4374332104</v>
          </cell>
          <cell r="E31">
            <v>7043786570</v>
          </cell>
          <cell r="F31">
            <v>3572989115</v>
          </cell>
          <cell r="I31">
            <v>3736682304</v>
          </cell>
          <cell r="J31">
            <v>10.880230067620241</v>
          </cell>
          <cell r="K31">
            <v>7.8980968426595091</v>
          </cell>
          <cell r="L31">
            <v>7814246106</v>
          </cell>
        </row>
        <row r="32">
          <cell r="B32" t="str">
            <v>급여</v>
          </cell>
          <cell r="C32" t="str">
            <v>W</v>
          </cell>
          <cell r="D32">
            <v>952981743</v>
          </cell>
          <cell r="E32">
            <v>1216088787</v>
          </cell>
          <cell r="F32">
            <v>573963803</v>
          </cell>
          <cell r="I32">
            <v>573963803</v>
          </cell>
          <cell r="J32">
            <v>0.20456411094121035</v>
          </cell>
          <cell r="K32">
            <v>-5.6049510306026694E-2</v>
          </cell>
          <cell r="L32">
            <v>1456572816</v>
          </cell>
        </row>
        <row r="33">
          <cell r="B33" t="str">
            <v xml:space="preserve"> 상여</v>
          </cell>
        </row>
        <row r="34">
          <cell r="B34" t="str">
            <v xml:space="preserve"> 잡급</v>
          </cell>
        </row>
        <row r="35">
          <cell r="B35" t="str">
            <v>퇴직급여</v>
          </cell>
          <cell r="C35" t="str">
            <v>W</v>
          </cell>
          <cell r="D35">
            <v>179411792</v>
          </cell>
          <cell r="E35">
            <v>70215557</v>
          </cell>
          <cell r="F35">
            <v>32527107</v>
          </cell>
          <cell r="G35">
            <v>63509702</v>
          </cell>
          <cell r="I35">
            <v>96036809</v>
          </cell>
          <cell r="J35">
            <v>-0.63740279680167289</v>
          </cell>
          <cell r="K35">
            <v>-7.3507114669759011E-2</v>
          </cell>
          <cell r="L35">
            <v>357536831</v>
          </cell>
        </row>
        <row r="36">
          <cell r="B36" t="str">
            <v>복리후생비</v>
          </cell>
          <cell r="C36" t="str">
            <v>W</v>
          </cell>
          <cell r="D36">
            <v>99801997</v>
          </cell>
          <cell r="E36">
            <v>123167754</v>
          </cell>
          <cell r="F36">
            <v>58924993</v>
          </cell>
          <cell r="I36">
            <v>58924993</v>
          </cell>
          <cell r="J36">
            <v>0.18083795457519752</v>
          </cell>
          <cell r="K36">
            <v>-4.3175001794706756E-2</v>
          </cell>
          <cell r="L36">
            <v>130919648</v>
          </cell>
        </row>
        <row r="37">
          <cell r="B37" t="str">
            <v>여비교통비</v>
          </cell>
          <cell r="C37" t="str">
            <v>W</v>
          </cell>
          <cell r="D37">
            <v>2260350</v>
          </cell>
          <cell r="E37">
            <v>2717600</v>
          </cell>
          <cell r="F37">
            <v>1582400</v>
          </cell>
          <cell r="I37">
            <v>1582400</v>
          </cell>
          <cell r="J37">
            <v>0.40013714690202845</v>
          </cell>
          <cell r="K37">
            <v>0.16455696202531644</v>
          </cell>
          <cell r="L37">
            <v>6179794</v>
          </cell>
        </row>
        <row r="38">
          <cell r="B38" t="str">
            <v>통신비</v>
          </cell>
          <cell r="C38" t="str">
            <v>W</v>
          </cell>
          <cell r="D38">
            <v>67015090</v>
          </cell>
          <cell r="E38">
            <v>90636104</v>
          </cell>
          <cell r="F38">
            <v>68996252</v>
          </cell>
          <cell r="I38">
            <v>68996252</v>
          </cell>
          <cell r="J38">
            <v>1.0591258476262586</v>
          </cell>
          <cell r="K38">
            <v>0.52248936031054471</v>
          </cell>
          <cell r="L38">
            <v>125189902</v>
          </cell>
        </row>
        <row r="39">
          <cell r="B39" t="str">
            <v>세금과공과</v>
          </cell>
          <cell r="C39" t="str">
            <v>W</v>
          </cell>
          <cell r="D39">
            <v>29444881</v>
          </cell>
          <cell r="E39">
            <v>45060150</v>
          </cell>
          <cell r="F39">
            <v>42916080</v>
          </cell>
          <cell r="I39">
            <v>42916080</v>
          </cell>
          <cell r="J39">
            <v>1.9150112713989234</v>
          </cell>
          <cell r="K39">
            <v>0.90483520361117309</v>
          </cell>
          <cell r="L39">
            <v>60050070</v>
          </cell>
        </row>
        <row r="40">
          <cell r="B40" t="str">
            <v>소모품비</v>
          </cell>
          <cell r="C40" t="str">
            <v>W</v>
          </cell>
          <cell r="D40">
            <v>57876184</v>
          </cell>
          <cell r="E40">
            <v>54634411</v>
          </cell>
          <cell r="F40">
            <v>64923736</v>
          </cell>
          <cell r="I40">
            <v>64923736</v>
          </cell>
          <cell r="J40">
            <v>1.2435389313158587</v>
          </cell>
          <cell r="K40">
            <v>1.3766609655588673</v>
          </cell>
          <cell r="L40">
            <v>166203751</v>
          </cell>
        </row>
        <row r="41">
          <cell r="B41" t="str">
            <v>수선비</v>
          </cell>
          <cell r="C41" t="str">
            <v>W</v>
          </cell>
          <cell r="D41">
            <v>31989010</v>
          </cell>
          <cell r="E41">
            <v>29166116</v>
          </cell>
          <cell r="F41">
            <v>4184300</v>
          </cell>
          <cell r="I41">
            <v>4184300</v>
          </cell>
          <cell r="J41">
            <v>-0.73839140379774182</v>
          </cell>
          <cell r="K41">
            <v>-0.71307115421196299</v>
          </cell>
          <cell r="L41">
            <v>38701756</v>
          </cell>
        </row>
        <row r="42">
          <cell r="B42" t="str">
            <v>보험료</v>
          </cell>
          <cell r="C42" t="str">
            <v>W</v>
          </cell>
          <cell r="D42">
            <v>56804288</v>
          </cell>
          <cell r="E42">
            <v>48920366</v>
          </cell>
          <cell r="F42">
            <v>64687341</v>
          </cell>
          <cell r="I42">
            <v>64687341</v>
          </cell>
          <cell r="J42">
            <v>1.2775513355611463</v>
          </cell>
          <cell r="K42">
            <v>1.644597589478378</v>
          </cell>
          <cell r="L42">
            <v>139104322</v>
          </cell>
        </row>
        <row r="43">
          <cell r="B43" t="str">
            <v>접대비</v>
          </cell>
          <cell r="C43" t="str">
            <v>W</v>
          </cell>
          <cell r="D43">
            <v>73118460</v>
          </cell>
          <cell r="E43">
            <v>86618683</v>
          </cell>
          <cell r="F43">
            <v>45935507</v>
          </cell>
          <cell r="I43">
            <v>45935507</v>
          </cell>
          <cell r="J43">
            <v>0.25646812036249123</v>
          </cell>
          <cell r="K43">
            <v>6.0637391589063991E-2</v>
          </cell>
          <cell r="L43">
            <v>129625454</v>
          </cell>
        </row>
        <row r="44">
          <cell r="B44" t="str">
            <v>지급수수료</v>
          </cell>
          <cell r="C44" t="str">
            <v>W</v>
          </cell>
          <cell r="D44">
            <v>1249741978</v>
          </cell>
          <cell r="E44">
            <v>2888404542</v>
          </cell>
          <cell r="F44">
            <v>1149307581</v>
          </cell>
          <cell r="I44">
            <v>1149307581</v>
          </cell>
          <cell r="J44">
            <v>0.83927178766815813</v>
          </cell>
          <cell r="K44">
            <v>-0.20419209685621661</v>
          </cell>
          <cell r="L44">
            <v>1468828475</v>
          </cell>
        </row>
        <row r="45">
          <cell r="B45" t="str">
            <v>보관운반비</v>
          </cell>
          <cell r="C45" t="str">
            <v>W</v>
          </cell>
          <cell r="D45">
            <v>899336795</v>
          </cell>
          <cell r="E45">
            <v>1723540688</v>
          </cell>
          <cell r="F45">
            <v>1119660997</v>
          </cell>
          <cell r="I45">
            <v>1119660997</v>
          </cell>
          <cell r="J45">
            <v>1.4899703942392348</v>
          </cell>
          <cell r="K45">
            <v>0.29925682032984879</v>
          </cell>
          <cell r="L45">
            <v>2736779495</v>
          </cell>
        </row>
        <row r="46">
          <cell r="B46" t="str">
            <v>지급임차료</v>
          </cell>
        </row>
        <row r="47">
          <cell r="B47" t="str">
            <v>견본비</v>
          </cell>
          <cell r="L47">
            <v>2293244</v>
          </cell>
        </row>
        <row r="48">
          <cell r="B48" t="str">
            <v>도서인쇄비</v>
          </cell>
          <cell r="C48" t="str">
            <v>W</v>
          </cell>
          <cell r="D48">
            <v>11254039</v>
          </cell>
          <cell r="E48">
            <v>23032720</v>
          </cell>
          <cell r="F48">
            <v>12563120</v>
          </cell>
          <cell r="I48">
            <v>12563120</v>
          </cell>
          <cell r="J48">
            <v>1.2326419874677883</v>
          </cell>
          <cell r="K48">
            <v>9.0893303092296526E-2</v>
          </cell>
          <cell r="L48">
            <v>23370846</v>
          </cell>
        </row>
        <row r="49">
          <cell r="B49" t="str">
            <v>교육훈련비</v>
          </cell>
          <cell r="C49" t="str">
            <v>W</v>
          </cell>
          <cell r="D49">
            <v>2683600</v>
          </cell>
          <cell r="E49">
            <v>1717650</v>
          </cell>
          <cell r="F49">
            <v>4059110</v>
          </cell>
          <cell r="I49">
            <v>4059110</v>
          </cell>
          <cell r="J49">
            <v>2.0251229691459236</v>
          </cell>
          <cell r="K49">
            <v>3.7263528658341341</v>
          </cell>
          <cell r="L49">
            <v>10390050</v>
          </cell>
        </row>
        <row r="50">
          <cell r="B50" t="str">
            <v>광고선전비</v>
          </cell>
          <cell r="C50" t="str">
            <v>W</v>
          </cell>
          <cell r="D50">
            <v>74077192</v>
          </cell>
          <cell r="E50">
            <v>49051631</v>
          </cell>
          <cell r="F50">
            <v>21863619</v>
          </cell>
          <cell r="I50">
            <v>21863619</v>
          </cell>
          <cell r="J50">
            <v>-0.40970713360733219</v>
          </cell>
          <cell r="K50">
            <v>-0.10854670663244613</v>
          </cell>
          <cell r="L50">
            <v>40152301</v>
          </cell>
        </row>
        <row r="51">
          <cell r="B51" t="str">
            <v>차량유지비</v>
          </cell>
          <cell r="C51" t="str">
            <v>W</v>
          </cell>
          <cell r="D51">
            <v>74888858</v>
          </cell>
          <cell r="E51">
            <v>124231013</v>
          </cell>
          <cell r="F51">
            <v>61806220</v>
          </cell>
          <cell r="I51">
            <v>61806220</v>
          </cell>
          <cell r="J51">
            <v>0.65061189743339387</v>
          </cell>
          <cell r="K51">
            <v>-4.9792156166351149E-3</v>
          </cell>
          <cell r="L51">
            <v>121633199</v>
          </cell>
        </row>
        <row r="52">
          <cell r="B52" t="str">
            <v>감가상각비</v>
          </cell>
          <cell r="C52" t="str">
            <v>W</v>
          </cell>
          <cell r="D52">
            <v>217438444</v>
          </cell>
          <cell r="E52">
            <v>256482591</v>
          </cell>
          <cell r="F52">
            <v>134752558</v>
          </cell>
          <cell r="I52">
            <v>134752558</v>
          </cell>
          <cell r="J52">
            <v>0.23945476725357728</v>
          </cell>
          <cell r="K52">
            <v>5.0773524040078025E-2</v>
          </cell>
          <cell r="L52">
            <v>381182490</v>
          </cell>
        </row>
        <row r="53">
          <cell r="B53" t="str">
            <v>전기료</v>
          </cell>
          <cell r="C53" t="str">
            <v>W</v>
          </cell>
          <cell r="D53">
            <v>27881708</v>
          </cell>
          <cell r="E53">
            <v>29016887</v>
          </cell>
          <cell r="F53">
            <v>12469462</v>
          </cell>
          <cell r="I53">
            <v>12469462</v>
          </cell>
          <cell r="J53">
            <v>-0.10554532742398708</v>
          </cell>
          <cell r="K53">
            <v>-0.14053757730799998</v>
          </cell>
          <cell r="L53">
            <v>25350654</v>
          </cell>
        </row>
        <row r="54">
          <cell r="B54" t="str">
            <v>수도광열비</v>
          </cell>
          <cell r="C54" t="str">
            <v>W</v>
          </cell>
          <cell r="D54">
            <v>5734340</v>
          </cell>
          <cell r="E54">
            <v>4820141</v>
          </cell>
          <cell r="F54">
            <v>4599696</v>
          </cell>
          <cell r="I54">
            <v>4599696</v>
          </cell>
          <cell r="J54">
            <v>0.60426343746621236</v>
          </cell>
          <cell r="K54">
            <v>0.90853172137495564</v>
          </cell>
          <cell r="L54">
            <v>4792716</v>
          </cell>
        </row>
        <row r="55">
          <cell r="B55" t="str">
            <v>대손상각</v>
          </cell>
          <cell r="C55" t="str">
            <v>W</v>
          </cell>
          <cell r="D55">
            <v>175333196</v>
          </cell>
          <cell r="E55">
            <v>102797504</v>
          </cell>
          <cell r="F55">
            <v>40700120</v>
          </cell>
          <cell r="G55">
            <v>100183487</v>
          </cell>
          <cell r="I55">
            <v>140883607</v>
          </cell>
          <cell r="J55">
            <v>-0.53573971240448959</v>
          </cell>
          <cell r="K55">
            <v>-0.20814964534547453</v>
          </cell>
          <cell r="L55">
            <v>258396372</v>
          </cell>
        </row>
        <row r="56">
          <cell r="B56" t="str">
            <v>해외시장개척비</v>
          </cell>
          <cell r="C56" t="str">
            <v>W</v>
          </cell>
          <cell r="D56">
            <v>83744959</v>
          </cell>
          <cell r="E56">
            <v>70383275</v>
          </cell>
          <cell r="F56">
            <v>52231413</v>
          </cell>
          <cell r="I56">
            <v>52231413</v>
          </cell>
          <cell r="J56">
            <v>0.24739240722537101</v>
          </cell>
          <cell r="K56">
            <v>0.48419956303539441</v>
          </cell>
          <cell r="L56">
            <v>126082410</v>
          </cell>
        </row>
        <row r="57">
          <cell r="B57" t="str">
            <v>잡비</v>
          </cell>
          <cell r="C57" t="str">
            <v>W</v>
          </cell>
          <cell r="D57">
            <v>1513200</v>
          </cell>
          <cell r="E57">
            <v>3082400</v>
          </cell>
          <cell r="F57">
            <v>333700</v>
          </cell>
          <cell r="I57">
            <v>333700</v>
          </cell>
          <cell r="J57">
            <v>-0.55894792492730638</v>
          </cell>
          <cell r="K57">
            <v>-0.78348040487931481</v>
          </cell>
          <cell r="L57">
            <v>4909510</v>
          </cell>
        </row>
        <row r="58">
          <cell r="B58" t="str">
            <v>Ⅴ. 영업이익</v>
          </cell>
          <cell r="D58">
            <v>997017710</v>
          </cell>
          <cell r="E58">
            <v>2611153471</v>
          </cell>
          <cell r="F58">
            <v>1693835445</v>
          </cell>
          <cell r="I58">
            <v>1533081035</v>
          </cell>
          <cell r="J58" t="e">
            <v>#DIV/0!</v>
          </cell>
          <cell r="K58" t="e">
            <v>#DIV/0!</v>
          </cell>
          <cell r="L58">
            <v>3854595197</v>
          </cell>
        </row>
        <row r="60">
          <cell r="B60" t="str">
            <v>Ⅵ. 영업외수익</v>
          </cell>
          <cell r="D60">
            <v>1157061147</v>
          </cell>
          <cell r="E60">
            <v>2028083636</v>
          </cell>
          <cell r="F60">
            <v>1272348877</v>
          </cell>
          <cell r="I60">
            <v>1437805443</v>
          </cell>
          <cell r="J60">
            <v>107.074614741491</v>
          </cell>
          <cell r="K60">
            <v>8.3137939264950216</v>
          </cell>
          <cell r="L60">
            <v>3208835042</v>
          </cell>
        </row>
        <row r="61">
          <cell r="B61" t="str">
            <v>이자수익</v>
          </cell>
          <cell r="C61" t="str">
            <v>X1</v>
          </cell>
          <cell r="D61">
            <v>565135231</v>
          </cell>
          <cell r="E61">
            <v>567496057</v>
          </cell>
          <cell r="F61">
            <v>328899908</v>
          </cell>
          <cell r="I61">
            <v>328899908</v>
          </cell>
          <cell r="J61">
            <v>0.16396886960317644</v>
          </cell>
          <cell r="K61">
            <v>0.15912667213474577</v>
          </cell>
          <cell r="L61">
            <v>707355190</v>
          </cell>
        </row>
        <row r="62">
          <cell r="B62" t="str">
            <v>배당금수입</v>
          </cell>
          <cell r="L62">
            <v>758868</v>
          </cell>
        </row>
        <row r="63">
          <cell r="B63" t="str">
            <v>임대료</v>
          </cell>
          <cell r="C63" t="str">
            <v>X1</v>
          </cell>
          <cell r="D63">
            <v>16466664</v>
          </cell>
          <cell r="E63">
            <v>23200000</v>
          </cell>
          <cell r="F63">
            <v>45550000</v>
          </cell>
          <cell r="I63">
            <v>45550000</v>
          </cell>
          <cell r="J63">
            <v>4.5323895599011434</v>
          </cell>
          <cell r="K63">
            <v>2.9267241379310347</v>
          </cell>
          <cell r="L63">
            <v>110350000</v>
          </cell>
        </row>
        <row r="64">
          <cell r="B64" t="str">
            <v>매입할인</v>
          </cell>
          <cell r="C64" t="str">
            <v>X1</v>
          </cell>
          <cell r="D64">
            <v>5801494</v>
          </cell>
          <cell r="E64">
            <v>4904683</v>
          </cell>
          <cell r="F64">
            <v>0</v>
          </cell>
          <cell r="I64">
            <v>0</v>
          </cell>
          <cell r="J64">
            <v>-1</v>
          </cell>
          <cell r="K64">
            <v>-1</v>
          </cell>
        </row>
        <row r="65">
          <cell r="B65" t="str">
            <v>외환차익</v>
          </cell>
          <cell r="C65" t="str">
            <v>X1</v>
          </cell>
          <cell r="D65">
            <v>66561251</v>
          </cell>
          <cell r="E65">
            <v>1184658623</v>
          </cell>
          <cell r="F65">
            <v>648343927</v>
          </cell>
          <cell r="I65">
            <v>648343927</v>
          </cell>
          <cell r="J65">
            <v>18.4811220420121</v>
          </cell>
          <cell r="K65">
            <v>9.4566678387314626E-2</v>
          </cell>
          <cell r="L65">
            <v>1450433965</v>
          </cell>
        </row>
        <row r="66">
          <cell r="B66" t="str">
            <v>외화환산이익</v>
          </cell>
          <cell r="C66" t="str">
            <v>X1</v>
          </cell>
          <cell r="D66">
            <v>248345033</v>
          </cell>
          <cell r="E66">
            <v>15745486</v>
          </cell>
          <cell r="F66">
            <v>38946141</v>
          </cell>
          <cell r="H66">
            <v>234349705</v>
          </cell>
          <cell r="I66">
            <v>273295846</v>
          </cell>
          <cell r="J66">
            <v>-0.68635458072559885</v>
          </cell>
          <cell r="K66">
            <v>3.946959528591242</v>
          </cell>
          <cell r="L66">
            <v>54158653</v>
          </cell>
        </row>
        <row r="67">
          <cell r="B67" t="str">
            <v>지분법평가이익</v>
          </cell>
          <cell r="L67">
            <v>404540845</v>
          </cell>
        </row>
        <row r="68">
          <cell r="B68" t="str">
            <v>대손충당금환입</v>
          </cell>
        </row>
        <row r="69">
          <cell r="B69" t="str">
            <v>유형자산처분이익</v>
          </cell>
          <cell r="C69" t="str">
            <v>X1</v>
          </cell>
          <cell r="D69">
            <v>68263</v>
          </cell>
          <cell r="E69">
            <v>8245645</v>
          </cell>
          <cell r="F69">
            <v>2781059</v>
          </cell>
          <cell r="I69">
            <v>2781059</v>
          </cell>
          <cell r="J69">
            <v>80.480714296178022</v>
          </cell>
          <cell r="K69">
            <v>-0.32544779698859216</v>
          </cell>
          <cell r="L69">
            <v>2781059</v>
          </cell>
        </row>
        <row r="70">
          <cell r="B70" t="str">
            <v>환율조정대환입</v>
          </cell>
          <cell r="C70" t="str">
            <v>X1</v>
          </cell>
          <cell r="D70">
            <v>211613720</v>
          </cell>
          <cell r="E70">
            <v>145950669</v>
          </cell>
          <cell r="F70">
            <v>68893139</v>
          </cell>
          <cell r="G70">
            <v>68893139</v>
          </cell>
          <cell r="I70">
            <v>0</v>
          </cell>
          <cell r="J70">
            <v>-0.34887833359765141</v>
          </cell>
          <cell r="K70">
            <v>-5.5939387300787229E-2</v>
          </cell>
        </row>
        <row r="71">
          <cell r="B71" t="str">
            <v>잡이익</v>
          </cell>
          <cell r="C71" t="str">
            <v>X1</v>
          </cell>
          <cell r="D71">
            <v>43069491</v>
          </cell>
          <cell r="E71">
            <v>77882473</v>
          </cell>
          <cell r="F71">
            <v>138934703</v>
          </cell>
          <cell r="I71">
            <v>138934703</v>
          </cell>
          <cell r="J71">
            <v>5.4516528881198063</v>
          </cell>
          <cell r="K71">
            <v>2.5678040937400639</v>
          </cell>
          <cell r="L71">
            <v>478456462</v>
          </cell>
        </row>
        <row r="73">
          <cell r="B73" t="str">
            <v>Ⅶ. 영업외비용</v>
          </cell>
          <cell r="D73">
            <v>1198635467</v>
          </cell>
          <cell r="E73">
            <v>3028214540</v>
          </cell>
          <cell r="F73">
            <v>1369056483</v>
          </cell>
          <cell r="I73">
            <v>1662244718</v>
          </cell>
          <cell r="J73" t="e">
            <v>#DIV/0!</v>
          </cell>
          <cell r="K73" t="e">
            <v>#DIV/0!</v>
          </cell>
          <cell r="L73">
            <v>4538631468</v>
          </cell>
        </row>
        <row r="74">
          <cell r="B74" t="str">
            <v>이자비용</v>
          </cell>
          <cell r="C74" t="str">
            <v>X2</v>
          </cell>
          <cell r="D74">
            <v>635837049</v>
          </cell>
          <cell r="E74">
            <v>1192151732</v>
          </cell>
          <cell r="F74">
            <v>436885778</v>
          </cell>
          <cell r="G74">
            <v>26220508</v>
          </cell>
          <cell r="I74">
            <v>463106286</v>
          </cell>
          <cell r="J74">
            <v>0.37420673641809132</v>
          </cell>
          <cell r="K74">
            <v>-0.2670634680586112</v>
          </cell>
          <cell r="L74">
            <v>940737935</v>
          </cell>
        </row>
        <row r="75">
          <cell r="B75" t="str">
            <v>이연자산상각비</v>
          </cell>
          <cell r="C75" t="str">
            <v>X2</v>
          </cell>
          <cell r="D75">
            <v>1095490</v>
          </cell>
          <cell r="E75">
            <v>0</v>
          </cell>
          <cell r="F75">
            <v>0</v>
          </cell>
          <cell r="I75">
            <v>0</v>
          </cell>
          <cell r="J75">
            <v>-1</v>
          </cell>
          <cell r="K75" t="e">
            <v>#DIV/0!</v>
          </cell>
        </row>
        <row r="76">
          <cell r="B76" t="str">
            <v>환율조정차상각</v>
          </cell>
          <cell r="C76" t="str">
            <v>X2</v>
          </cell>
          <cell r="D76">
            <v>110121428</v>
          </cell>
          <cell r="E76">
            <v>59840322</v>
          </cell>
          <cell r="F76">
            <v>30822509</v>
          </cell>
          <cell r="H76">
            <v>30822509</v>
          </cell>
          <cell r="I76">
            <v>0</v>
          </cell>
          <cell r="J76">
            <v>-0.44020869398823997</v>
          </cell>
          <cell r="K76">
            <v>3.0158527556051588E-2</v>
          </cell>
        </row>
        <row r="77">
          <cell r="B77" t="str">
            <v>매출채권처분손실</v>
          </cell>
          <cell r="L77">
            <v>1458995709</v>
          </cell>
        </row>
        <row r="78">
          <cell r="B78" t="str">
            <v>외환차손</v>
          </cell>
          <cell r="C78" t="str">
            <v>X2</v>
          </cell>
          <cell r="D78">
            <v>408687098</v>
          </cell>
          <cell r="E78">
            <v>1668854727</v>
          </cell>
          <cell r="F78">
            <v>885605337</v>
          </cell>
          <cell r="G78">
            <v>120000000</v>
          </cell>
          <cell r="I78">
            <v>1005605337</v>
          </cell>
          <cell r="J78">
            <v>3.3339040617328224</v>
          </cell>
          <cell r="K78">
            <v>6.1333047954389139E-2</v>
          </cell>
          <cell r="L78">
            <v>1820123564</v>
          </cell>
        </row>
        <row r="79">
          <cell r="B79" t="str">
            <v>외화환산손실</v>
          </cell>
          <cell r="C79" t="str">
            <v>X2</v>
          </cell>
          <cell r="D79">
            <v>30819600</v>
          </cell>
          <cell r="E79">
            <v>3941883</v>
          </cell>
          <cell r="F79">
            <v>19447</v>
          </cell>
          <cell r="I79">
            <v>19447</v>
          </cell>
          <cell r="J79">
            <v>-0.99873801087619563</v>
          </cell>
          <cell r="K79">
            <v>-0.99013314195271651</v>
          </cell>
          <cell r="L79">
            <v>14790011</v>
          </cell>
        </row>
        <row r="80">
          <cell r="B80" t="str">
            <v>기부금</v>
          </cell>
          <cell r="C80" t="str">
            <v>X2</v>
          </cell>
          <cell r="D80">
            <v>160000</v>
          </cell>
          <cell r="E80">
            <v>6988714</v>
          </cell>
          <cell r="F80">
            <v>600000</v>
          </cell>
          <cell r="I80">
            <v>600000</v>
          </cell>
          <cell r="J80">
            <v>6.5</v>
          </cell>
          <cell r="K80">
            <v>-0.82829459039245279</v>
          </cell>
          <cell r="L80">
            <v>103600000</v>
          </cell>
        </row>
        <row r="81">
          <cell r="B81" t="str">
            <v>매출할인</v>
          </cell>
          <cell r="C81" t="str">
            <v>X2</v>
          </cell>
          <cell r="D81">
            <v>6009564</v>
          </cell>
          <cell r="E81">
            <v>15472681</v>
          </cell>
          <cell r="F81">
            <v>1196421</v>
          </cell>
          <cell r="H81">
            <v>1196421</v>
          </cell>
          <cell r="I81">
            <v>0</v>
          </cell>
          <cell r="J81">
            <v>-0.60182768666745212</v>
          </cell>
          <cell r="K81">
            <v>-0.84535052457941839</v>
          </cell>
        </row>
        <row r="82">
          <cell r="B82" t="str">
            <v>유형자산처분손실</v>
          </cell>
          <cell r="C82" t="str">
            <v>X2</v>
          </cell>
          <cell r="D82">
            <v>2169462</v>
          </cell>
          <cell r="E82">
            <v>68860839</v>
          </cell>
          <cell r="F82">
            <v>9683906</v>
          </cell>
          <cell r="I82">
            <v>9683906</v>
          </cell>
          <cell r="J82">
            <v>7.9274723410688921</v>
          </cell>
          <cell r="K82">
            <v>-0.71873981959470457</v>
          </cell>
          <cell r="L82">
            <v>9683906</v>
          </cell>
        </row>
        <row r="83">
          <cell r="B83" t="str">
            <v>유가증권처분손실</v>
          </cell>
          <cell r="C83" t="str">
            <v>X2</v>
          </cell>
          <cell r="D83">
            <v>0</v>
          </cell>
          <cell r="E83">
            <v>17284</v>
          </cell>
          <cell r="F83">
            <v>0</v>
          </cell>
          <cell r="I83">
            <v>0</v>
          </cell>
          <cell r="J83" t="e">
            <v>#DIV/0!</v>
          </cell>
          <cell r="K83">
            <v>-1</v>
          </cell>
        </row>
        <row r="84">
          <cell r="B84" t="str">
            <v>법인세추납액</v>
          </cell>
          <cell r="F84">
            <v>0</v>
          </cell>
          <cell r="G84">
            <v>178986657</v>
          </cell>
          <cell r="I84">
            <v>178986657</v>
          </cell>
          <cell r="L84">
            <v>178986657</v>
          </cell>
        </row>
        <row r="85">
          <cell r="B85" t="str">
            <v xml:space="preserve"> 지분법평가이익</v>
          </cell>
        </row>
        <row r="86">
          <cell r="B86" t="str">
            <v>잡손실</v>
          </cell>
          <cell r="C86" t="str">
            <v>X2</v>
          </cell>
          <cell r="D86">
            <v>3735776</v>
          </cell>
          <cell r="E86">
            <v>12086358</v>
          </cell>
          <cell r="F86">
            <v>4243085</v>
          </cell>
          <cell r="I86">
            <v>4243085</v>
          </cell>
          <cell r="J86">
            <v>1.2715949778573448</v>
          </cell>
          <cell r="K86">
            <v>-0.29787203059846479</v>
          </cell>
          <cell r="L86">
            <v>11713686</v>
          </cell>
        </row>
        <row r="88">
          <cell r="B88" t="str">
            <v>Ⅷ. 경상이익</v>
          </cell>
          <cell r="D88">
            <v>955443390</v>
          </cell>
          <cell r="E88">
            <v>1611022567</v>
          </cell>
          <cell r="F88">
            <v>1597127839</v>
          </cell>
          <cell r="I88">
            <v>1308641760</v>
          </cell>
          <cell r="J88" t="e">
            <v>#DIV/0!</v>
          </cell>
          <cell r="K88" t="e">
            <v>#DIV/0!</v>
          </cell>
          <cell r="L88">
            <v>2524798771</v>
          </cell>
        </row>
        <row r="90">
          <cell r="B90" t="str">
            <v>Ⅸ. 특별이익</v>
          </cell>
          <cell r="C90" t="str">
            <v>Y</v>
          </cell>
          <cell r="D90">
            <v>0</v>
          </cell>
          <cell r="E90">
            <v>0</v>
          </cell>
          <cell r="F90">
            <v>0</v>
          </cell>
          <cell r="I90">
            <v>0</v>
          </cell>
          <cell r="J90" t="e">
            <v>#DIV/0!</v>
          </cell>
          <cell r="K90" t="e">
            <v>#DIV/0!</v>
          </cell>
          <cell r="L90">
            <v>0</v>
          </cell>
        </row>
        <row r="91">
          <cell r="B91" t="str">
            <v>전기오류수정이익</v>
          </cell>
          <cell r="C91" t="str">
            <v>Y</v>
          </cell>
          <cell r="D91">
            <v>0</v>
          </cell>
          <cell r="E91">
            <v>0</v>
          </cell>
          <cell r="F91">
            <v>0</v>
          </cell>
          <cell r="I91">
            <v>0</v>
          </cell>
          <cell r="J91" t="e">
            <v>#DIV/0!</v>
          </cell>
          <cell r="K91" t="e">
            <v>#DIV/0!</v>
          </cell>
        </row>
        <row r="93">
          <cell r="B93" t="str">
            <v>Ⅹ. 특별손실</v>
          </cell>
          <cell r="C93" t="str">
            <v>Y</v>
          </cell>
          <cell r="D93">
            <v>15871170</v>
          </cell>
          <cell r="E93">
            <v>190677546</v>
          </cell>
          <cell r="F93">
            <v>147673517</v>
          </cell>
          <cell r="I93">
            <v>0</v>
          </cell>
          <cell r="J93" t="e">
            <v>#DIV/0!</v>
          </cell>
          <cell r="K93">
            <v>1502.4930670877693</v>
          </cell>
          <cell r="L93">
            <v>0</v>
          </cell>
        </row>
        <row r="94">
          <cell r="B94" t="str">
            <v>전기오류수정손실</v>
          </cell>
          <cell r="C94" t="str">
            <v>Y</v>
          </cell>
          <cell r="D94">
            <v>15871170</v>
          </cell>
          <cell r="E94">
            <v>196310</v>
          </cell>
          <cell r="F94">
            <v>147673517</v>
          </cell>
          <cell r="H94">
            <v>147673517</v>
          </cell>
          <cell r="I94">
            <v>0</v>
          </cell>
          <cell r="J94">
            <v>17.609027185771435</v>
          </cell>
          <cell r="K94">
            <v>1503.4930670877693</v>
          </cell>
        </row>
        <row r="95">
          <cell r="B95" t="str">
            <v>재해손실</v>
          </cell>
          <cell r="C95" t="str">
            <v>Y</v>
          </cell>
          <cell r="D95">
            <v>0</v>
          </cell>
          <cell r="E95">
            <v>190481236</v>
          </cell>
          <cell r="F95">
            <v>0</v>
          </cell>
          <cell r="I95">
            <v>0</v>
          </cell>
          <cell r="J95" t="e">
            <v>#DIV/0!</v>
          </cell>
          <cell r="K95">
            <v>-1</v>
          </cell>
        </row>
        <row r="97">
          <cell r="B97" t="str">
            <v>ⅩⅠ. 법인세차감전순이익</v>
          </cell>
          <cell r="D97">
            <v>939572220</v>
          </cell>
          <cell r="E97">
            <v>1420345021</v>
          </cell>
          <cell r="F97">
            <v>1449454322</v>
          </cell>
          <cell r="I97">
            <v>1308641760</v>
          </cell>
          <cell r="J97" t="e">
            <v>#DIV/0!</v>
          </cell>
          <cell r="K97" t="e">
            <v>#DIV/0!</v>
          </cell>
          <cell r="L97">
            <v>2524798771</v>
          </cell>
        </row>
        <row r="99">
          <cell r="B99" t="str">
            <v>ⅩⅡ. 법인세등</v>
          </cell>
          <cell r="C99" t="str">
            <v>Z</v>
          </cell>
          <cell r="D99">
            <v>118053330</v>
          </cell>
          <cell r="E99">
            <v>154957778</v>
          </cell>
          <cell r="F99">
            <v>0</v>
          </cell>
          <cell r="G99">
            <v>561883724</v>
          </cell>
          <cell r="H99">
            <v>105294171</v>
          </cell>
          <cell r="I99">
            <v>456589553</v>
          </cell>
          <cell r="J99">
            <v>-1</v>
          </cell>
          <cell r="K99">
            <v>-1</v>
          </cell>
          <cell r="L99">
            <v>1004043265</v>
          </cell>
        </row>
        <row r="101">
          <cell r="B101" t="str">
            <v>ⅩⅢ. 당기순이익</v>
          </cell>
          <cell r="D101">
            <v>821518890</v>
          </cell>
          <cell r="E101">
            <v>1265387243</v>
          </cell>
          <cell r="F101">
            <v>1449454322</v>
          </cell>
          <cell r="I101">
            <v>852052207</v>
          </cell>
          <cell r="J101" t="e">
            <v>#DIV/0!</v>
          </cell>
          <cell r="K101" t="e">
            <v>#DIV/0!</v>
          </cell>
          <cell r="L101">
            <v>1520755506</v>
          </cell>
        </row>
      </sheetData>
      <sheetData sheetId="5"/>
      <sheetData sheetId="6" refreshError="1">
        <row r="1">
          <cell r="B1" t="str">
            <v>새한섬유</v>
          </cell>
          <cell r="F1" t="str">
            <v>w/p No.</v>
          </cell>
        </row>
        <row r="2">
          <cell r="F2" t="str">
            <v>accountant</v>
          </cell>
        </row>
        <row r="3">
          <cell r="B3">
            <v>36341</v>
          </cell>
          <cell r="F3" t="str">
            <v>date</v>
          </cell>
        </row>
        <row r="6">
          <cell r="D6" t="str">
            <v>전전기</v>
          </cell>
          <cell r="E6" t="str">
            <v>전기</v>
          </cell>
          <cell r="F6" t="str">
            <v>당반기</v>
          </cell>
          <cell r="G6" t="str">
            <v>증감비율</v>
          </cell>
        </row>
        <row r="7">
          <cell r="B7" t="str">
            <v>A/C</v>
          </cell>
          <cell r="C7" t="str">
            <v>w/p ref.</v>
          </cell>
          <cell r="D7">
            <v>35795</v>
          </cell>
          <cell r="E7">
            <v>36160</v>
          </cell>
          <cell r="F7">
            <v>36341</v>
          </cell>
          <cell r="G7" t="str">
            <v>전전기대비</v>
          </cell>
          <cell r="H7" t="str">
            <v>전기대비</v>
          </cell>
        </row>
        <row r="64">
          <cell r="B64" t="str">
            <v>합   계</v>
          </cell>
          <cell r="D64">
            <v>0</v>
          </cell>
          <cell r="E64">
            <v>0</v>
          </cell>
          <cell r="F64">
            <v>0</v>
          </cell>
          <cell r="G64" t="e">
            <v>#DIV/0!</v>
          </cell>
          <cell r="H64" t="e">
            <v>#DIV/0!</v>
          </cell>
        </row>
      </sheetData>
      <sheetData sheetId="7" refreshError="1">
        <row r="8">
          <cell r="B8" t="str">
            <v>현금과예금</v>
          </cell>
          <cell r="C8" t="str">
            <v>B</v>
          </cell>
        </row>
        <row r="9">
          <cell r="B9" t="str">
            <v>유가증권</v>
          </cell>
          <cell r="C9" t="str">
            <v>C</v>
          </cell>
        </row>
        <row r="10">
          <cell r="B10" t="str">
            <v>매출채권</v>
          </cell>
          <cell r="C10" t="str">
            <v>D</v>
          </cell>
        </row>
        <row r="11">
          <cell r="B11" t="str">
            <v>기타당좌자산</v>
          </cell>
          <cell r="C11" t="str">
            <v>E</v>
          </cell>
        </row>
        <row r="12">
          <cell r="B12" t="str">
            <v>재고자산</v>
          </cell>
          <cell r="C12" t="str">
            <v>F</v>
          </cell>
        </row>
        <row r="13">
          <cell r="B13" t="str">
            <v>투자자산</v>
          </cell>
          <cell r="C13" t="str">
            <v>G</v>
          </cell>
        </row>
        <row r="14">
          <cell r="B14" t="str">
            <v>유형자산</v>
          </cell>
          <cell r="C14" t="str">
            <v>I1</v>
          </cell>
        </row>
        <row r="15">
          <cell r="B15" t="str">
            <v>무형자산</v>
          </cell>
          <cell r="C15" t="str">
            <v>I2</v>
          </cell>
        </row>
        <row r="16">
          <cell r="B16" t="str">
            <v>이연자산</v>
          </cell>
          <cell r="C16" t="str">
            <v>J</v>
          </cell>
        </row>
        <row r="17">
          <cell r="B17" t="str">
            <v>장단기차입금</v>
          </cell>
          <cell r="C17" t="str">
            <v>K</v>
          </cell>
        </row>
        <row r="18">
          <cell r="B18" t="str">
            <v>매입채무</v>
          </cell>
          <cell r="C18" t="str">
            <v>L</v>
          </cell>
        </row>
        <row r="19">
          <cell r="B19" t="str">
            <v>기타유동부채</v>
          </cell>
          <cell r="C19" t="str">
            <v>N</v>
          </cell>
        </row>
        <row r="20">
          <cell r="B20" t="str">
            <v>사채, 전환사채</v>
          </cell>
          <cell r="C20" t="str">
            <v>O</v>
          </cell>
        </row>
        <row r="21">
          <cell r="B21" t="str">
            <v>기타고정부채</v>
          </cell>
          <cell r="C21" t="str">
            <v>P</v>
          </cell>
        </row>
        <row r="22">
          <cell r="B22" t="str">
            <v>퇴충, 단퇴충</v>
          </cell>
          <cell r="C22" t="str">
            <v>Q</v>
          </cell>
        </row>
        <row r="23">
          <cell r="B23" t="str">
            <v>자  본</v>
          </cell>
          <cell r="C23" t="str">
            <v>S</v>
          </cell>
        </row>
        <row r="24">
          <cell r="B24" t="str">
            <v>매  출</v>
          </cell>
          <cell r="C24" t="str">
            <v>T</v>
          </cell>
        </row>
        <row r="25">
          <cell r="B25" t="str">
            <v>매출원가</v>
          </cell>
          <cell r="C25" t="str">
            <v>U</v>
          </cell>
        </row>
        <row r="26">
          <cell r="B26" t="str">
            <v>판관비</v>
          </cell>
          <cell r="C26" t="str">
            <v>W</v>
          </cell>
        </row>
        <row r="27">
          <cell r="B27" t="str">
            <v>영업외수익</v>
          </cell>
          <cell r="C27" t="str">
            <v>X1</v>
          </cell>
        </row>
        <row r="28">
          <cell r="B28" t="str">
            <v>영업외비용</v>
          </cell>
          <cell r="C28" t="str">
            <v>X2</v>
          </cell>
        </row>
        <row r="29">
          <cell r="B29" t="str">
            <v>특별손익</v>
          </cell>
          <cell r="C29" t="str">
            <v>Y</v>
          </cell>
        </row>
        <row r="30">
          <cell r="B30" t="str">
            <v>법인세등</v>
          </cell>
          <cell r="C30" t="str">
            <v>Z</v>
          </cell>
        </row>
      </sheetData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목차"/>
      <sheetName val="사업개황"/>
      <sheetName val="현금예금"/>
      <sheetName val="상품"/>
      <sheetName val="T6-6(2)"/>
      <sheetName val="상품코드"/>
      <sheetName val="계정잔액"/>
      <sheetName val="장차입"/>
    </sheetNames>
    <sheetDataSet>
      <sheetData sheetId="0" refreshError="1">
        <row r="2">
          <cell r="A2" t="str">
            <v xml:space="preserve"> (주)뮤직네트워크</v>
          </cell>
          <cell r="I2" t="str">
            <v xml:space="preserve">                 (단  위 : 원 )</v>
          </cell>
        </row>
        <row r="3">
          <cell r="B3" t="str">
            <v>제 3 (당) 기</v>
          </cell>
          <cell r="D3" t="str">
            <v>제 2 (전) 기</v>
          </cell>
          <cell r="G3" t="str">
            <v xml:space="preserve">제 3 (당) 기 </v>
          </cell>
          <cell r="I3" t="str">
            <v xml:space="preserve">제 2 (전) 기 </v>
          </cell>
        </row>
        <row r="4">
          <cell r="A4" t="str">
            <v>자          산</v>
          </cell>
          <cell r="B4" t="str">
            <v>-</v>
          </cell>
          <cell r="C4" t="str">
            <v>-</v>
          </cell>
          <cell r="D4" t="str">
            <v>-</v>
          </cell>
          <cell r="E4" t="str">
            <v>-</v>
          </cell>
          <cell r="F4" t="str">
            <v xml:space="preserve">    부   채 . 자   본</v>
          </cell>
          <cell r="G4" t="str">
            <v>-</v>
          </cell>
          <cell r="H4" t="str">
            <v>-</v>
          </cell>
          <cell r="I4" t="str">
            <v>-</v>
          </cell>
          <cell r="J4" t="str">
            <v>-</v>
          </cell>
        </row>
        <row r="5">
          <cell r="B5" t="str">
            <v>금          액</v>
          </cell>
          <cell r="D5" t="str">
            <v>금          액</v>
          </cell>
          <cell r="G5" t="str">
            <v>금            액</v>
          </cell>
          <cell r="I5" t="str">
            <v>금           액</v>
          </cell>
        </row>
        <row r="7">
          <cell r="A7" t="str">
            <v xml:space="preserve"> I. 유   동    자   산</v>
          </cell>
          <cell r="C7">
            <v>1254271386</v>
          </cell>
          <cell r="E7">
            <v>1061405976</v>
          </cell>
          <cell r="F7" t="str">
            <v xml:space="preserve"> 부           채</v>
          </cell>
        </row>
        <row r="10">
          <cell r="A10" t="str">
            <v xml:space="preserve"> (1)  당  좌   자   산</v>
          </cell>
          <cell r="C10">
            <v>957070984</v>
          </cell>
          <cell r="E10">
            <v>652682557</v>
          </cell>
          <cell r="F10" t="str">
            <v xml:space="preserve"> I. 유   동    부   채</v>
          </cell>
          <cell r="H10">
            <v>729270587</v>
          </cell>
          <cell r="J10">
            <v>818193017</v>
          </cell>
        </row>
        <row r="12">
          <cell r="A12" t="str">
            <v xml:space="preserve">   1. 현 금 과   예 금</v>
          </cell>
          <cell r="C12">
            <v>80807514</v>
          </cell>
          <cell r="E12">
            <v>488058887</v>
          </cell>
        </row>
        <row r="13">
          <cell r="A13" t="str">
            <v xml:space="preserve">   2. 받  을  어   음</v>
          </cell>
          <cell r="C13">
            <v>449219500</v>
          </cell>
          <cell r="E13">
            <v>0</v>
          </cell>
          <cell r="F13" t="str">
            <v xml:space="preserve">   1. 지   급  어  음</v>
          </cell>
          <cell r="H13">
            <v>159630720</v>
          </cell>
          <cell r="J13">
            <v>470752055</v>
          </cell>
        </row>
        <row r="14">
          <cell r="A14" t="str">
            <v xml:space="preserve">   3. 외 상  매 출 금</v>
          </cell>
          <cell r="C14">
            <v>385790020</v>
          </cell>
          <cell r="E14">
            <v>0</v>
          </cell>
          <cell r="F14" t="str">
            <v xml:space="preserve">   2. 선    수     금</v>
          </cell>
          <cell r="H14">
            <v>39390500</v>
          </cell>
          <cell r="J14">
            <v>39390500</v>
          </cell>
        </row>
        <row r="15">
          <cell r="A15" t="str">
            <v xml:space="preserve">   4. 미    수     금</v>
          </cell>
          <cell r="C15">
            <v>41253950</v>
          </cell>
          <cell r="E15">
            <v>164623670</v>
          </cell>
          <cell r="F15" t="str">
            <v xml:space="preserve">   3. 미 지 급  비 용</v>
          </cell>
          <cell r="H15">
            <v>393448535</v>
          </cell>
          <cell r="J15">
            <v>112756809</v>
          </cell>
        </row>
        <row r="16">
          <cell r="F16" t="str">
            <v xml:space="preserve">   4. 미   지  급  금</v>
          </cell>
          <cell r="H16">
            <v>12270940</v>
          </cell>
          <cell r="J16">
            <v>161381473</v>
          </cell>
        </row>
        <row r="17">
          <cell r="A17" t="str">
            <v xml:space="preserve"> (2)  재  고   자   산</v>
          </cell>
          <cell r="C17">
            <v>10858600</v>
          </cell>
          <cell r="E17">
            <v>55585200</v>
          </cell>
          <cell r="F17" t="str">
            <v xml:space="preserve">   5. 예    수     금</v>
          </cell>
          <cell r="H17">
            <v>34895226</v>
          </cell>
          <cell r="J17">
            <v>33912180</v>
          </cell>
        </row>
        <row r="18">
          <cell r="F18" t="str">
            <v xml:space="preserve">   6. 매출부가가치세</v>
          </cell>
          <cell r="H18">
            <v>89634666</v>
          </cell>
        </row>
        <row r="19">
          <cell r="A19" t="str">
            <v xml:space="preserve">   1. 제    작     품</v>
          </cell>
          <cell r="C19">
            <v>9565000</v>
          </cell>
          <cell r="E19">
            <v>0</v>
          </cell>
        </row>
        <row r="20">
          <cell r="A20" t="str">
            <v xml:space="preserve">   2. 저    장     품</v>
          </cell>
          <cell r="C20">
            <v>1293600</v>
          </cell>
          <cell r="E20">
            <v>55585200</v>
          </cell>
        </row>
        <row r="22">
          <cell r="A22" t="str">
            <v xml:space="preserve"> (3) 기 타 유 동 자 산</v>
          </cell>
          <cell r="C22">
            <v>286341802</v>
          </cell>
          <cell r="E22">
            <v>353138219</v>
          </cell>
        </row>
        <row r="23">
          <cell r="F23" t="str">
            <v xml:space="preserve"> Ⅱ. 고   정    부   채</v>
          </cell>
          <cell r="H23">
            <v>2810550469</v>
          </cell>
          <cell r="J23">
            <v>2450407464</v>
          </cell>
        </row>
        <row r="24">
          <cell r="A24" t="str">
            <v xml:space="preserve">   1. 선    금     금</v>
          </cell>
          <cell r="C24">
            <v>67007949</v>
          </cell>
          <cell r="E24">
            <v>38724236</v>
          </cell>
        </row>
        <row r="25">
          <cell r="A25" t="str">
            <v xml:space="preserve">   2. 선  급   비  용</v>
          </cell>
          <cell r="C25">
            <v>74667294</v>
          </cell>
          <cell r="E25">
            <v>24763146</v>
          </cell>
          <cell r="F25" t="str">
            <v xml:space="preserve">   1. 장 기  차 입 금</v>
          </cell>
          <cell r="H25">
            <v>476000000</v>
          </cell>
          <cell r="J25">
            <v>476000000</v>
          </cell>
        </row>
        <row r="26">
          <cell r="A26" t="str">
            <v xml:space="preserve">   3. 매  입 부 가 세</v>
          </cell>
          <cell r="C26">
            <v>104966419</v>
          </cell>
          <cell r="E26">
            <v>157821177</v>
          </cell>
          <cell r="F26" t="str">
            <v xml:space="preserve">   2. 외화 장기차입금 </v>
          </cell>
          <cell r="H26">
            <v>2035507292</v>
          </cell>
          <cell r="J26">
            <v>1878961337</v>
          </cell>
        </row>
        <row r="27">
          <cell r="A27" t="str">
            <v xml:space="preserve">   4. 선  금 법 인 세</v>
          </cell>
          <cell r="C27">
            <v>33309810</v>
          </cell>
          <cell r="E27">
            <v>131829660</v>
          </cell>
          <cell r="F27" t="str">
            <v xml:space="preserve">   3. 퇴직급여 충당금</v>
          </cell>
          <cell r="G27">
            <v>197296045</v>
          </cell>
          <cell r="I27">
            <v>55089927</v>
          </cell>
        </row>
        <row r="28">
          <cell r="A28" t="str">
            <v xml:space="preserve">   5. 주.임.종단기대여금</v>
          </cell>
          <cell r="C28">
            <v>6390330</v>
          </cell>
          <cell r="F28" t="str">
            <v xml:space="preserve">      국민연금 전환금</v>
          </cell>
          <cell r="G28">
            <v>-43254200</v>
          </cell>
          <cell r="H28">
            <v>154041845</v>
          </cell>
          <cell r="I28">
            <v>-19643800</v>
          </cell>
          <cell r="J28">
            <v>35446127</v>
          </cell>
        </row>
        <row r="29">
          <cell r="F29" t="str">
            <v xml:space="preserve">   4. 단체퇴직금여충당금</v>
          </cell>
          <cell r="H29">
            <v>145001332</v>
          </cell>
          <cell r="J29">
            <v>60000000</v>
          </cell>
        </row>
        <row r="31">
          <cell r="A31" t="str">
            <v>II. 투자와 기 타 자 산</v>
          </cell>
          <cell r="C31">
            <v>425783239</v>
          </cell>
          <cell r="E31">
            <v>2914027000</v>
          </cell>
        </row>
        <row r="34">
          <cell r="A34" t="str">
            <v xml:space="preserve">  (1) 투  자   자   산</v>
          </cell>
          <cell r="C34">
            <v>650513</v>
          </cell>
          <cell r="E34">
            <v>34945000</v>
          </cell>
          <cell r="F34" t="str">
            <v xml:space="preserve">   부   채   총   계</v>
          </cell>
          <cell r="H34">
            <v>3539821056</v>
          </cell>
          <cell r="J34">
            <v>3268600481</v>
          </cell>
        </row>
        <row r="36">
          <cell r="A36" t="str">
            <v xml:space="preserve">   1. 투자   유가증권</v>
          </cell>
          <cell r="C36">
            <v>650000</v>
          </cell>
          <cell r="E36">
            <v>34945000</v>
          </cell>
        </row>
        <row r="37">
          <cell r="A37" t="str">
            <v xml:space="preserve">   2. 예     탁    금</v>
          </cell>
          <cell r="C37">
            <v>513</v>
          </cell>
          <cell r="E37">
            <v>0</v>
          </cell>
        </row>
        <row r="39">
          <cell r="A39" t="str">
            <v xml:space="preserve">  (2) 기  타   자   산</v>
          </cell>
          <cell r="C39">
            <v>425132726</v>
          </cell>
          <cell r="E39">
            <v>2879082000</v>
          </cell>
        </row>
        <row r="41">
          <cell r="A41" t="str">
            <v xml:space="preserve">   1. 관계회사 대여금</v>
          </cell>
          <cell r="C41">
            <v>0</v>
          </cell>
          <cell r="E41">
            <v>2400000000</v>
          </cell>
        </row>
        <row r="42">
          <cell r="A42" t="str">
            <v xml:space="preserve">   2. 특정현금과 예금</v>
          </cell>
          <cell r="C42">
            <v>13700000</v>
          </cell>
          <cell r="E42">
            <v>7500000</v>
          </cell>
        </row>
        <row r="43">
          <cell r="A43" t="str">
            <v xml:space="preserve">   3. 전신전화 가입권</v>
          </cell>
          <cell r="C43">
            <v>15050000</v>
          </cell>
          <cell r="E43">
            <v>10600000</v>
          </cell>
        </row>
        <row r="44">
          <cell r="A44" t="str">
            <v xml:space="preserve">   4. 예 치  보 증 금</v>
          </cell>
          <cell r="C44">
            <v>1381394</v>
          </cell>
          <cell r="E44">
            <v>448000</v>
          </cell>
        </row>
        <row r="45">
          <cell r="A45" t="str">
            <v xml:space="preserve">   5. 회 원  보 증 금</v>
          </cell>
          <cell r="C45">
            <v>250000000</v>
          </cell>
          <cell r="E45">
            <v>400534000</v>
          </cell>
        </row>
        <row r="46">
          <cell r="A46" t="str">
            <v xml:space="preserve">   6. 단체퇴직보험예치금</v>
          </cell>
          <cell r="C46">
            <v>145001332</v>
          </cell>
          <cell r="E46">
            <v>60000000</v>
          </cell>
        </row>
        <row r="47">
          <cell r="F47" t="str">
            <v xml:space="preserve"> 자           본</v>
          </cell>
        </row>
        <row r="50">
          <cell r="F50" t="str">
            <v>I.  자     본      금</v>
          </cell>
          <cell r="H50">
            <v>13000000000</v>
          </cell>
          <cell r="J50">
            <v>8000000000</v>
          </cell>
        </row>
        <row r="51">
          <cell r="A51" t="str">
            <v>III. 고   정   자   산</v>
          </cell>
          <cell r="C51">
            <v>3084611198</v>
          </cell>
          <cell r="E51">
            <v>3579728030</v>
          </cell>
        </row>
        <row r="53">
          <cell r="F53" t="str">
            <v xml:space="preserve"> (1) 수  권   주   식 </v>
          </cell>
        </row>
        <row r="54">
          <cell r="A54" t="str">
            <v xml:space="preserve"> (1) 유 형 고 정 자 산</v>
          </cell>
          <cell r="C54">
            <v>3072730250</v>
          </cell>
          <cell r="E54">
            <v>3573254190</v>
          </cell>
          <cell r="F54" t="str">
            <v xml:space="preserve">        6,000,000 주</v>
          </cell>
        </row>
        <row r="55">
          <cell r="F55" t="str">
            <v xml:space="preserve">   (1주당금액 5,000원)</v>
          </cell>
        </row>
        <row r="56">
          <cell r="A56" t="str">
            <v xml:space="preserve">   1. 차 량  운 반 구</v>
          </cell>
          <cell r="B56">
            <v>469341834</v>
          </cell>
          <cell r="D56">
            <v>159771130</v>
          </cell>
        </row>
        <row r="57">
          <cell r="A57" t="str">
            <v xml:space="preserve">      감가상각충당금</v>
          </cell>
          <cell r="B57">
            <v>-226842212</v>
          </cell>
          <cell r="C57">
            <v>242499622</v>
          </cell>
          <cell r="D57">
            <v>-44802347</v>
          </cell>
          <cell r="E57">
            <v>114968783</v>
          </cell>
          <cell r="F57" t="str">
            <v xml:space="preserve"> (2) 발  행   주   식 </v>
          </cell>
        </row>
        <row r="58">
          <cell r="F58" t="str">
            <v xml:space="preserve">   1.보  통  주  식</v>
          </cell>
          <cell r="H58">
            <v>13000000000</v>
          </cell>
          <cell r="J58">
            <v>8000000000</v>
          </cell>
        </row>
        <row r="59">
          <cell r="A59" t="str">
            <v xml:space="preserve">   2. 방송 기계  기구</v>
          </cell>
          <cell r="B59">
            <v>2893057171</v>
          </cell>
          <cell r="D59">
            <v>2525020050</v>
          </cell>
          <cell r="F59" t="str">
            <v xml:space="preserve">     (2,600,000주)</v>
          </cell>
        </row>
        <row r="60">
          <cell r="A60" t="str">
            <v xml:space="preserve">      감가상각충당금</v>
          </cell>
          <cell r="B60">
            <v>-1192746558</v>
          </cell>
          <cell r="C60">
            <v>1700310613</v>
          </cell>
          <cell r="D60">
            <v>-395167067</v>
          </cell>
          <cell r="E60">
            <v>2129852983</v>
          </cell>
        </row>
        <row r="62">
          <cell r="A62" t="str">
            <v xml:space="preserve">   3. 공구 기구  비품</v>
          </cell>
          <cell r="B62">
            <v>421947336</v>
          </cell>
          <cell r="D62">
            <v>312288687</v>
          </cell>
          <cell r="F62" t="str">
            <v>II. 이익 잉여금(결손금)</v>
          </cell>
          <cell r="H62">
            <v>-8646967224</v>
          </cell>
          <cell r="J62">
            <v>-7574088</v>
          </cell>
        </row>
        <row r="63">
          <cell r="A63" t="str">
            <v xml:space="preserve">      감가상각충당금</v>
          </cell>
          <cell r="B63">
            <v>-192446734</v>
          </cell>
          <cell r="C63">
            <v>229500602</v>
          </cell>
          <cell r="D63">
            <v>-67250707</v>
          </cell>
          <cell r="E63">
            <v>245037980</v>
          </cell>
        </row>
        <row r="65">
          <cell r="A65" t="str">
            <v xml:space="preserve">   4. 임 차  시 설 물</v>
          </cell>
          <cell r="B65">
            <v>957821445</v>
          </cell>
          <cell r="D65">
            <v>918273995</v>
          </cell>
          <cell r="F65" t="str">
            <v xml:space="preserve"> (1) 당기말미처분이익잉여금</v>
          </cell>
        </row>
        <row r="66">
          <cell r="A66" t="str">
            <v xml:space="preserve">      감가상각충당금</v>
          </cell>
          <cell r="B66">
            <v>-280168429</v>
          </cell>
          <cell r="C66">
            <v>677653016</v>
          </cell>
          <cell r="D66">
            <v>-97083775</v>
          </cell>
          <cell r="E66">
            <v>821190220</v>
          </cell>
          <cell r="F66" t="str">
            <v xml:space="preserve">   1.수정후전기이월</v>
          </cell>
          <cell r="G66">
            <v>-7574088</v>
          </cell>
          <cell r="I66">
            <v>123866893</v>
          </cell>
        </row>
        <row r="67">
          <cell r="F67" t="str">
            <v xml:space="preserve">     이익잉여금</v>
          </cell>
        </row>
        <row r="68">
          <cell r="A68" t="str">
            <v xml:space="preserve">   5. 건 설 가  계 정</v>
          </cell>
          <cell r="E68">
            <v>262204224</v>
          </cell>
          <cell r="F68" t="str">
            <v xml:space="preserve">   2.당기 순이익 (손실)</v>
          </cell>
          <cell r="G68">
            <v>-8639393136</v>
          </cell>
          <cell r="H68">
            <v>-8646967224</v>
          </cell>
          <cell r="I68">
            <v>-131440981</v>
          </cell>
          <cell r="J68">
            <v>-7574088</v>
          </cell>
        </row>
        <row r="70">
          <cell r="A70" t="str">
            <v xml:space="preserve">   6. 방  송   소  재</v>
          </cell>
          <cell r="B70">
            <v>319309085</v>
          </cell>
          <cell r="D70">
            <v>0</v>
          </cell>
        </row>
        <row r="71">
          <cell r="B71">
            <v>-96542688</v>
          </cell>
          <cell r="C71">
            <v>222766397</v>
          </cell>
          <cell r="D71">
            <v>0</v>
          </cell>
          <cell r="E71">
            <v>0</v>
          </cell>
        </row>
        <row r="73">
          <cell r="A73" t="str">
            <v xml:space="preserve"> (2) 무 형 고 정 자 산</v>
          </cell>
          <cell r="C73">
            <v>11880948</v>
          </cell>
          <cell r="E73">
            <v>6473840</v>
          </cell>
          <cell r="F73" t="str">
            <v xml:space="preserve">  자   본    총   계</v>
          </cell>
          <cell r="H73">
            <v>4353032776</v>
          </cell>
          <cell r="J73">
            <v>7992425912</v>
          </cell>
        </row>
        <row r="75">
          <cell r="A75" t="str">
            <v xml:space="preserve">   1. 상    표     권</v>
          </cell>
          <cell r="C75">
            <v>11880948</v>
          </cell>
          <cell r="E75">
            <v>6473840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2호"/>
      <sheetName val="12호list"/>
      <sheetName val="12호DB"/>
      <sheetName val="11호거래내역"/>
      <sheetName val="11호"/>
      <sheetName val="종목정보"/>
      <sheetName val="p&amp;L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빛과전자</v>
          </cell>
          <cell r="B1" t="str">
            <v>박정민</v>
          </cell>
          <cell r="C1">
            <v>36095</v>
          </cell>
        </row>
        <row r="2">
          <cell r="A2" t="str">
            <v>아이씨앤엠</v>
          </cell>
          <cell r="B2" t="str">
            <v>박정민</v>
          </cell>
          <cell r="C2">
            <v>36236</v>
          </cell>
        </row>
        <row r="3">
          <cell r="A3" t="str">
            <v>유라비젼</v>
          </cell>
          <cell r="B3" t="str">
            <v>정근호</v>
          </cell>
          <cell r="C3">
            <v>36486</v>
          </cell>
        </row>
        <row r="4">
          <cell r="A4" t="str">
            <v>사이버카드</v>
          </cell>
          <cell r="B4" t="str">
            <v>박선강</v>
          </cell>
          <cell r="C4">
            <v>36410</v>
          </cell>
        </row>
        <row r="5">
          <cell r="A5" t="str">
            <v>차세대정보통신</v>
          </cell>
          <cell r="B5" t="str">
            <v>구경철</v>
          </cell>
          <cell r="C5">
            <v>35332</v>
          </cell>
        </row>
        <row r="6">
          <cell r="A6" t="str">
            <v>세원반도체</v>
          </cell>
          <cell r="B6" t="str">
            <v>구경철</v>
          </cell>
          <cell r="C6">
            <v>34425</v>
          </cell>
        </row>
        <row r="7">
          <cell r="A7" t="str">
            <v>배틀탑</v>
          </cell>
          <cell r="B7" t="str">
            <v>정근호</v>
          </cell>
          <cell r="C7">
            <v>35937</v>
          </cell>
        </row>
        <row r="8">
          <cell r="A8" t="str">
            <v>하우리</v>
          </cell>
          <cell r="B8" t="str">
            <v>정근호</v>
          </cell>
          <cell r="C8">
            <v>35866</v>
          </cell>
        </row>
        <row r="9">
          <cell r="A9" t="str">
            <v>리눅스코리아</v>
          </cell>
          <cell r="B9" t="str">
            <v>정근호</v>
          </cell>
          <cell r="C9">
            <v>36164</v>
          </cell>
        </row>
        <row r="10">
          <cell r="A10" t="str">
            <v>다른생각다른세상</v>
          </cell>
          <cell r="B10" t="str">
            <v>구경철</v>
          </cell>
          <cell r="C10">
            <v>36368</v>
          </cell>
        </row>
        <row r="11">
          <cell r="A11" t="str">
            <v>한국소프트중심</v>
          </cell>
          <cell r="B11" t="str">
            <v>정근호</v>
          </cell>
          <cell r="C11">
            <v>36424</v>
          </cell>
        </row>
        <row r="12">
          <cell r="A12" t="str">
            <v>예스테크놀로지</v>
          </cell>
          <cell r="B12" t="str">
            <v>박선강</v>
          </cell>
          <cell r="C12">
            <v>34645</v>
          </cell>
        </row>
        <row r="13">
          <cell r="A13" t="str">
            <v>인포웹</v>
          </cell>
          <cell r="B13" t="str">
            <v>박선강</v>
          </cell>
          <cell r="C13">
            <v>35681</v>
          </cell>
        </row>
        <row r="14">
          <cell r="A14" t="str">
            <v>이키나</v>
          </cell>
          <cell r="B14" t="str">
            <v>박선강</v>
          </cell>
          <cell r="C14">
            <v>36397</v>
          </cell>
        </row>
        <row r="15">
          <cell r="A15" t="str">
            <v>브레인컨설팅</v>
          </cell>
          <cell r="B15" t="str">
            <v>정근호</v>
          </cell>
          <cell r="C15">
            <v>32629</v>
          </cell>
        </row>
        <row r="16">
          <cell r="A16" t="str">
            <v>슈버</v>
          </cell>
          <cell r="B16" t="str">
            <v>박기호</v>
          </cell>
          <cell r="C16">
            <v>35765</v>
          </cell>
        </row>
        <row r="17">
          <cell r="A17" t="str">
            <v>소프트온넷</v>
          </cell>
          <cell r="B17" t="str">
            <v>박기호</v>
          </cell>
          <cell r="C17">
            <v>36373</v>
          </cell>
        </row>
        <row r="18">
          <cell r="A18" t="str">
            <v>모비택</v>
          </cell>
          <cell r="B18" t="str">
            <v>김완식</v>
          </cell>
          <cell r="C18">
            <v>35851</v>
          </cell>
        </row>
        <row r="19">
          <cell r="A19" t="str">
            <v>아이텍솔루션</v>
          </cell>
          <cell r="B19" t="str">
            <v>박정민</v>
          </cell>
          <cell r="C19">
            <v>36599</v>
          </cell>
        </row>
        <row r="20">
          <cell r="A20" t="str">
            <v>메트로닉스</v>
          </cell>
          <cell r="B20" t="str">
            <v>이성규</v>
          </cell>
          <cell r="C20">
            <v>36741</v>
          </cell>
        </row>
        <row r="21">
          <cell r="A21" t="str">
            <v>큐컴</v>
          </cell>
          <cell r="B21" t="str">
            <v>박선강</v>
          </cell>
          <cell r="C21">
            <v>36053</v>
          </cell>
        </row>
        <row r="22">
          <cell r="A22" t="str">
            <v>오픈팝</v>
          </cell>
          <cell r="B22" t="str">
            <v>박선강</v>
          </cell>
          <cell r="C22">
            <v>36348</v>
          </cell>
        </row>
        <row r="23">
          <cell r="A23" t="str">
            <v>SyberSay</v>
          </cell>
          <cell r="B23" t="str">
            <v>박선강</v>
          </cell>
          <cell r="C23">
            <v>367</v>
          </cell>
        </row>
        <row r="24">
          <cell r="A24" t="str">
            <v>이엠디티</v>
          </cell>
          <cell r="B24" t="str">
            <v>박선강</v>
          </cell>
          <cell r="C24">
            <v>35668</v>
          </cell>
        </row>
        <row r="25">
          <cell r="A25" t="str">
            <v>옵토웨이</v>
          </cell>
          <cell r="B25" t="str">
            <v>박기호</v>
          </cell>
          <cell r="C25">
            <v>36588</v>
          </cell>
        </row>
        <row r="26">
          <cell r="A26" t="str">
            <v>바른기술</v>
          </cell>
          <cell r="B26" t="str">
            <v>박선강</v>
          </cell>
          <cell r="C26">
            <v>35846</v>
          </cell>
        </row>
        <row r="27">
          <cell r="A27" t="str">
            <v>마이크로텍</v>
          </cell>
          <cell r="B27" t="str">
            <v>이종철</v>
          </cell>
          <cell r="C27">
            <v>36305</v>
          </cell>
        </row>
        <row r="28">
          <cell r="A28" t="str">
            <v>프로텍</v>
          </cell>
          <cell r="B28" t="str">
            <v>구경철</v>
          </cell>
          <cell r="C28">
            <v>35674</v>
          </cell>
        </row>
        <row r="29">
          <cell r="A29" t="str">
            <v>제이씨엔터테인먼트</v>
          </cell>
          <cell r="B29" t="str">
            <v>구경철</v>
          </cell>
          <cell r="C29">
            <v>34484</v>
          </cell>
        </row>
        <row r="30">
          <cell r="A30" t="str">
            <v>플레넷</v>
          </cell>
          <cell r="B30" t="str">
            <v>백승권</v>
          </cell>
          <cell r="C30">
            <v>36143</v>
          </cell>
        </row>
        <row r="31">
          <cell r="A31" t="str">
            <v>케이블아이</v>
          </cell>
          <cell r="B31" t="str">
            <v>박정민</v>
          </cell>
          <cell r="C31">
            <v>36439</v>
          </cell>
        </row>
        <row r="32">
          <cell r="A32" t="str">
            <v>에지텍</v>
          </cell>
          <cell r="B32" t="str">
            <v>정근호</v>
          </cell>
          <cell r="C32">
            <v>35581</v>
          </cell>
        </row>
        <row r="33">
          <cell r="A33" t="str">
            <v>짚아시아</v>
          </cell>
          <cell r="B33" t="str">
            <v>박선강</v>
          </cell>
          <cell r="C33">
            <v>36312</v>
          </cell>
        </row>
        <row r="34">
          <cell r="A34" t="str">
            <v>동아티브이</v>
          </cell>
          <cell r="B34" t="str">
            <v>박기호</v>
          </cell>
          <cell r="C34">
            <v>36328</v>
          </cell>
        </row>
        <row r="35">
          <cell r="A35" t="str">
            <v>아이필넷</v>
          </cell>
          <cell r="B35" t="str">
            <v>이동철</v>
          </cell>
          <cell r="C35">
            <v>36530</v>
          </cell>
        </row>
        <row r="36">
          <cell r="A36" t="str">
            <v>게임라이트</v>
          </cell>
          <cell r="B36" t="str">
            <v>박정민</v>
          </cell>
          <cell r="C36">
            <v>35963</v>
          </cell>
        </row>
        <row r="37">
          <cell r="A37" t="str">
            <v>사이버레인</v>
          </cell>
          <cell r="B37" t="str">
            <v>박기호</v>
          </cell>
          <cell r="C37">
            <v>36540</v>
          </cell>
        </row>
        <row r="38">
          <cell r="A38" t="str">
            <v>오리엔텍</v>
          </cell>
          <cell r="B38" t="str">
            <v>김완식</v>
          </cell>
          <cell r="C38">
            <v>33270</v>
          </cell>
        </row>
        <row r="39">
          <cell r="A39" t="str">
            <v>비에스이</v>
          </cell>
          <cell r="B39" t="str">
            <v>박대영</v>
          </cell>
          <cell r="C39">
            <v>31994</v>
          </cell>
        </row>
        <row r="40">
          <cell r="A40" t="str">
            <v>테라링크커뮤니케이션스</v>
          </cell>
          <cell r="B40" t="str">
            <v>박기호</v>
          </cell>
          <cell r="C40">
            <v>36580</v>
          </cell>
        </row>
        <row r="41">
          <cell r="A41" t="str">
            <v>컴텍스</v>
          </cell>
          <cell r="B41" t="str">
            <v>이성규</v>
          </cell>
          <cell r="C41">
            <v>36434</v>
          </cell>
        </row>
        <row r="42">
          <cell r="A42" t="str">
            <v>코스모브리지</v>
          </cell>
          <cell r="B42" t="str">
            <v>박선강</v>
          </cell>
          <cell r="C42">
            <v>34044</v>
          </cell>
        </row>
        <row r="43">
          <cell r="A43" t="str">
            <v>뉴씨앤씨</v>
          </cell>
          <cell r="B43" t="str">
            <v>박기호</v>
          </cell>
          <cell r="C43">
            <v>35123</v>
          </cell>
        </row>
        <row r="44">
          <cell r="A44" t="str">
            <v>인터넷티브이네트웍스</v>
          </cell>
          <cell r="B44" t="str">
            <v>정근호</v>
          </cell>
          <cell r="C44">
            <v>35895</v>
          </cell>
        </row>
        <row r="45">
          <cell r="A45" t="str">
            <v>한빛아이앤비</v>
          </cell>
          <cell r="B45" t="str">
            <v>박기호</v>
          </cell>
          <cell r="C45">
            <v>35612</v>
          </cell>
        </row>
        <row r="46">
          <cell r="A46" t="str">
            <v>재미시스템개발</v>
          </cell>
          <cell r="B46" t="str">
            <v>정근호</v>
          </cell>
          <cell r="C46">
            <v>35070</v>
          </cell>
        </row>
        <row r="47">
          <cell r="A47" t="str">
            <v>와코머스</v>
          </cell>
          <cell r="B47" t="str">
            <v>박정민</v>
          </cell>
          <cell r="C47">
            <v>35903</v>
          </cell>
        </row>
        <row r="48">
          <cell r="A48" t="str">
            <v>해동정보통신</v>
          </cell>
          <cell r="B48" t="str">
            <v>박정민</v>
          </cell>
          <cell r="C48">
            <v>35627</v>
          </cell>
        </row>
        <row r="49">
          <cell r="A49" t="str">
            <v>텔레칩스</v>
          </cell>
          <cell r="B49" t="str">
            <v>박기호</v>
          </cell>
          <cell r="C49">
            <v>36462</v>
          </cell>
        </row>
        <row r="50">
          <cell r="A50" t="str">
            <v>아라리온</v>
          </cell>
          <cell r="B50" t="str">
            <v>박대영</v>
          </cell>
          <cell r="C50">
            <v>35180</v>
          </cell>
        </row>
        <row r="51">
          <cell r="A51" t="str">
            <v>제로인</v>
          </cell>
          <cell r="B51" t="str">
            <v>박대영</v>
          </cell>
          <cell r="C51">
            <v>35195</v>
          </cell>
        </row>
        <row r="52">
          <cell r="A52" t="str">
            <v>코디넷</v>
          </cell>
          <cell r="B52" t="str">
            <v>구경철</v>
          </cell>
          <cell r="C52">
            <v>35247</v>
          </cell>
        </row>
        <row r="53">
          <cell r="A53" t="str">
            <v>한마루커뮤니케이션</v>
          </cell>
          <cell r="B53" t="str">
            <v>박선강</v>
          </cell>
          <cell r="C53">
            <v>36397</v>
          </cell>
        </row>
        <row r="54">
          <cell r="A54" t="str">
            <v>뉴튼네트웍스</v>
          </cell>
          <cell r="B54" t="str">
            <v>박기호</v>
          </cell>
          <cell r="C54">
            <v>36423</v>
          </cell>
        </row>
        <row r="55">
          <cell r="A55" t="str">
            <v>엔도어즈</v>
          </cell>
          <cell r="B55" t="str">
            <v>박대영</v>
          </cell>
          <cell r="C55">
            <v>36424</v>
          </cell>
        </row>
        <row r="56">
          <cell r="A56" t="str">
            <v>엔터프라이즈네트웍스</v>
          </cell>
          <cell r="B56" t="str">
            <v>박대영</v>
          </cell>
          <cell r="C56">
            <v>35272</v>
          </cell>
        </row>
        <row r="57">
          <cell r="A57" t="str">
            <v>매크로영상기술</v>
          </cell>
          <cell r="B57" t="str">
            <v>이종철</v>
          </cell>
          <cell r="C57">
            <v>36139</v>
          </cell>
        </row>
        <row r="58">
          <cell r="A58" t="str">
            <v>휴먼드림</v>
          </cell>
          <cell r="B58" t="str">
            <v>박기호</v>
          </cell>
          <cell r="C58">
            <v>35870</v>
          </cell>
        </row>
        <row r="59">
          <cell r="A59" t="str">
            <v>디지탈미디어테크</v>
          </cell>
          <cell r="B59" t="str">
            <v>박선강</v>
          </cell>
          <cell r="C59">
            <v>35433</v>
          </cell>
        </row>
        <row r="60">
          <cell r="A60" t="str">
            <v>매직아이</v>
          </cell>
          <cell r="B60" t="str">
            <v>구경철</v>
          </cell>
          <cell r="C60">
            <v>35790</v>
          </cell>
        </row>
        <row r="61">
          <cell r="A61" t="str">
            <v>뉴영엠테크</v>
          </cell>
          <cell r="B61" t="str">
            <v>박기호</v>
          </cell>
          <cell r="C61">
            <v>32518</v>
          </cell>
        </row>
        <row r="62">
          <cell r="A62" t="str">
            <v>인크루트</v>
          </cell>
          <cell r="B62" t="str">
            <v>진성태</v>
          </cell>
          <cell r="C62">
            <v>36109</v>
          </cell>
        </row>
        <row r="63">
          <cell r="A63" t="str">
            <v>브레인러시아시아</v>
          </cell>
          <cell r="B63" t="str">
            <v>박기호</v>
          </cell>
          <cell r="C63">
            <v>367</v>
          </cell>
        </row>
        <row r="64">
          <cell r="A64" t="str">
            <v>한국소프트창업자문</v>
          </cell>
          <cell r="B64" t="str">
            <v>정근호</v>
          </cell>
          <cell r="C64">
            <v>367</v>
          </cell>
        </row>
        <row r="65">
          <cell r="A65" t="str">
            <v>팍스콤</v>
          </cell>
          <cell r="B65" t="str">
            <v>소홍준</v>
          </cell>
          <cell r="C65">
            <v>35885</v>
          </cell>
        </row>
        <row r="66">
          <cell r="A66" t="str">
            <v>래피더스</v>
          </cell>
          <cell r="B66" t="str">
            <v>이종철</v>
          </cell>
          <cell r="C66">
            <v>36607</v>
          </cell>
        </row>
        <row r="67">
          <cell r="A67" t="str">
            <v>제노컴</v>
          </cell>
          <cell r="B67" t="str">
            <v>김완식</v>
          </cell>
          <cell r="C67">
            <v>36684</v>
          </cell>
        </row>
        <row r="68">
          <cell r="A68" t="str">
            <v>엠엠기어</v>
          </cell>
          <cell r="B68" t="str">
            <v>이동철</v>
          </cell>
          <cell r="C68">
            <v>36815</v>
          </cell>
        </row>
        <row r="69">
          <cell r="A69" t="str">
            <v>네오싸이언</v>
          </cell>
          <cell r="B69" t="str">
            <v>이종철</v>
          </cell>
          <cell r="C69">
            <v>36790</v>
          </cell>
        </row>
        <row r="70">
          <cell r="A70" t="str">
            <v>리코시스</v>
          </cell>
          <cell r="B70" t="str">
            <v>김완식</v>
          </cell>
          <cell r="C70">
            <v>36902</v>
          </cell>
        </row>
        <row r="71">
          <cell r="A71" t="str">
            <v>현원</v>
          </cell>
          <cell r="B71" t="str">
            <v>소홍준</v>
          </cell>
          <cell r="C71">
            <v>36244</v>
          </cell>
        </row>
        <row r="72">
          <cell r="A72" t="str">
            <v>빅빔</v>
          </cell>
          <cell r="B72" t="str">
            <v>김완식</v>
          </cell>
          <cell r="C72">
            <v>33935</v>
          </cell>
        </row>
        <row r="73">
          <cell r="A73" t="str">
            <v>맥스웨이브</v>
          </cell>
          <cell r="B73" t="str">
            <v>김웅</v>
          </cell>
          <cell r="C73">
            <v>36531</v>
          </cell>
        </row>
        <row r="74">
          <cell r="A74" t="str">
            <v>아이텍테크널러지</v>
          </cell>
          <cell r="B74" t="str">
            <v>박기호</v>
          </cell>
          <cell r="C74">
            <v>34925</v>
          </cell>
        </row>
        <row r="75">
          <cell r="A75" t="str">
            <v>신안에스엔피</v>
          </cell>
          <cell r="B75" t="str">
            <v>이성규</v>
          </cell>
          <cell r="C75">
            <v>35354</v>
          </cell>
        </row>
        <row r="76">
          <cell r="A76" t="str">
            <v>다이퀘스트</v>
          </cell>
          <cell r="B76" t="str">
            <v>황지현</v>
          </cell>
          <cell r="C76">
            <v>36588</v>
          </cell>
        </row>
        <row r="77">
          <cell r="A77" t="str">
            <v>메타넷컨설팅</v>
          </cell>
          <cell r="B77" t="str">
            <v>박선강</v>
          </cell>
          <cell r="C77">
            <v>36495</v>
          </cell>
        </row>
        <row r="78">
          <cell r="A78" t="str">
            <v>피카소정보통신</v>
          </cell>
          <cell r="B78" t="str">
            <v>이종철</v>
          </cell>
          <cell r="C78">
            <v>36501</v>
          </cell>
        </row>
        <row r="79">
          <cell r="A79" t="str">
            <v>네오미디어</v>
          </cell>
          <cell r="B79" t="str">
            <v>박기호</v>
          </cell>
          <cell r="C79">
            <v>35724</v>
          </cell>
        </row>
        <row r="80">
          <cell r="A80" t="str">
            <v>라오넷</v>
          </cell>
          <cell r="B80" t="str">
            <v>이동철</v>
          </cell>
          <cell r="C80">
            <v>36617</v>
          </cell>
        </row>
        <row r="81">
          <cell r="A81" t="str">
            <v>아이티에프</v>
          </cell>
          <cell r="B81" t="str">
            <v>김완식</v>
          </cell>
          <cell r="C81">
            <v>36336</v>
          </cell>
        </row>
        <row r="82">
          <cell r="A82" t="str">
            <v>펄서스테크놀러지</v>
          </cell>
          <cell r="B82" t="str">
            <v>백승권</v>
          </cell>
          <cell r="C82">
            <v>36257</v>
          </cell>
        </row>
        <row r="83">
          <cell r="A83" t="str">
            <v>네오엠텔</v>
          </cell>
          <cell r="B83" t="str">
            <v>진성태</v>
          </cell>
          <cell r="C83">
            <v>36161</v>
          </cell>
        </row>
        <row r="84">
          <cell r="A84" t="str">
            <v>넥스필전자</v>
          </cell>
          <cell r="B84" t="str">
            <v>황정현</v>
          </cell>
          <cell r="C84">
            <v>36332</v>
          </cell>
        </row>
        <row r="85">
          <cell r="A85" t="str">
            <v>제이엠피시스템</v>
          </cell>
          <cell r="B85" t="str">
            <v>박선강</v>
          </cell>
          <cell r="C85">
            <v>36794</v>
          </cell>
        </row>
        <row r="86">
          <cell r="A86" t="str">
            <v>미지온엔터테인먼트</v>
          </cell>
          <cell r="B86" t="str">
            <v>이성규</v>
          </cell>
          <cell r="C86">
            <v>36766</v>
          </cell>
        </row>
        <row r="87">
          <cell r="A87" t="str">
            <v>엠씨텍</v>
          </cell>
          <cell r="B87" t="str">
            <v>박선강</v>
          </cell>
          <cell r="C87">
            <v>36588</v>
          </cell>
        </row>
        <row r="88">
          <cell r="A88" t="str">
            <v>메가라운드</v>
          </cell>
          <cell r="B88" t="str">
            <v>구경철</v>
          </cell>
          <cell r="C88">
            <v>36872</v>
          </cell>
        </row>
        <row r="89">
          <cell r="A89" t="str">
            <v>엠아이피텔레콤</v>
          </cell>
          <cell r="B89" t="str">
            <v>박기호</v>
          </cell>
          <cell r="C89">
            <v>36591</v>
          </cell>
        </row>
        <row r="90">
          <cell r="A90" t="str">
            <v>펜타마이크로</v>
          </cell>
          <cell r="B90" t="str">
            <v>백승권</v>
          </cell>
          <cell r="C90">
            <v>37021</v>
          </cell>
        </row>
        <row r="91">
          <cell r="A91" t="str">
            <v>엠폴리머</v>
          </cell>
          <cell r="B91" t="str">
            <v>박선강</v>
          </cell>
          <cell r="C91">
            <v>367</v>
          </cell>
        </row>
        <row r="92">
          <cell r="A92" t="str">
            <v>제미로</v>
          </cell>
          <cell r="B92" t="str">
            <v>구경철</v>
          </cell>
          <cell r="C92">
            <v>36705</v>
          </cell>
        </row>
        <row r="93">
          <cell r="A93" t="str">
            <v>엘에스텍</v>
          </cell>
          <cell r="B93" t="str">
            <v>백승권</v>
          </cell>
          <cell r="C93">
            <v>36756</v>
          </cell>
        </row>
        <row r="94">
          <cell r="A94" t="str">
            <v>아이디에스</v>
          </cell>
          <cell r="B94" t="str">
            <v>이성규</v>
          </cell>
          <cell r="C94">
            <v>36264</v>
          </cell>
        </row>
        <row r="95">
          <cell r="A95" t="str">
            <v>대명인포테크</v>
          </cell>
          <cell r="B95" t="str">
            <v>이동철</v>
          </cell>
          <cell r="C95">
            <v>32515</v>
          </cell>
        </row>
        <row r="96">
          <cell r="A96" t="str">
            <v>모쿠스</v>
          </cell>
          <cell r="B96" t="str">
            <v>황지현</v>
          </cell>
          <cell r="C96">
            <v>36580</v>
          </cell>
        </row>
        <row r="97">
          <cell r="A97" t="str">
            <v>토필드</v>
          </cell>
          <cell r="B97" t="str">
            <v>박기호</v>
          </cell>
          <cell r="C97">
            <v>35921</v>
          </cell>
        </row>
        <row r="98">
          <cell r="A98" t="str">
            <v>엠닥스</v>
          </cell>
          <cell r="B98" t="str">
            <v>조영봉</v>
          </cell>
          <cell r="C98">
            <v>37127</v>
          </cell>
        </row>
        <row r="99">
          <cell r="A99" t="str">
            <v>엠엘티</v>
          </cell>
          <cell r="B99" t="str">
            <v>진성태</v>
          </cell>
          <cell r="C99">
            <v>35551</v>
          </cell>
        </row>
        <row r="100">
          <cell r="A100" t="str">
            <v>한국안테나</v>
          </cell>
          <cell r="B100" t="str">
            <v>김완식</v>
          </cell>
          <cell r="C100">
            <v>33065</v>
          </cell>
        </row>
        <row r="101">
          <cell r="A101" t="str">
            <v>엑스큐어넷</v>
          </cell>
          <cell r="B101" t="str">
            <v>구경철</v>
          </cell>
          <cell r="C101">
            <v>36243</v>
          </cell>
        </row>
        <row r="102">
          <cell r="A102" t="str">
            <v>바이옵트로</v>
          </cell>
          <cell r="B102" t="str">
            <v>구경철</v>
          </cell>
          <cell r="C102">
            <v>36713</v>
          </cell>
        </row>
        <row r="103">
          <cell r="A103" t="str">
            <v>송산</v>
          </cell>
          <cell r="B103" t="str">
            <v>이성규</v>
          </cell>
          <cell r="C103">
            <v>33086</v>
          </cell>
        </row>
        <row r="104">
          <cell r="A104" t="str">
            <v>미트마트옥션</v>
          </cell>
          <cell r="B104" t="str">
            <v>박정민</v>
          </cell>
          <cell r="C104">
            <v>36539</v>
          </cell>
        </row>
        <row r="105">
          <cell r="A105" t="str">
            <v>한단정보통신</v>
          </cell>
          <cell r="B105" t="str">
            <v>박대영</v>
          </cell>
          <cell r="C105">
            <v>35678</v>
          </cell>
        </row>
        <row r="106">
          <cell r="A106" t="str">
            <v>디피씨</v>
          </cell>
          <cell r="B106" t="str">
            <v>박대영</v>
          </cell>
          <cell r="C106">
            <v>30126</v>
          </cell>
        </row>
        <row r="107">
          <cell r="A107" t="str">
            <v>엠텍비젼</v>
          </cell>
          <cell r="B107" t="str">
            <v>백승권</v>
          </cell>
          <cell r="C107">
            <v>36186</v>
          </cell>
        </row>
        <row r="108">
          <cell r="A108" t="str">
            <v>플러스허브</v>
          </cell>
          <cell r="B108" t="str">
            <v>김웅</v>
          </cell>
          <cell r="C108">
            <v>37139</v>
          </cell>
        </row>
        <row r="109">
          <cell r="A109" t="str">
            <v>카모스</v>
          </cell>
          <cell r="B109" t="str">
            <v>황정현</v>
          </cell>
          <cell r="C109">
            <v>34500</v>
          </cell>
        </row>
        <row r="110">
          <cell r="A110" t="str">
            <v>전자신문인터넷</v>
          </cell>
          <cell r="B110" t="str">
            <v>박대영</v>
          </cell>
          <cell r="C110">
            <v>36603</v>
          </cell>
        </row>
        <row r="111">
          <cell r="A111" t="str">
            <v>포인트아이</v>
          </cell>
          <cell r="B111" t="str">
            <v>김완식</v>
          </cell>
          <cell r="C111">
            <v>36642</v>
          </cell>
        </row>
        <row r="112">
          <cell r="A112" t="str">
            <v>비올디벨로퍼즈</v>
          </cell>
          <cell r="B112" t="str">
            <v>진성태</v>
          </cell>
          <cell r="C112">
            <v>36910</v>
          </cell>
        </row>
        <row r="113">
          <cell r="A113" t="str">
            <v>디보스</v>
          </cell>
          <cell r="B113" t="str">
            <v>이성규</v>
          </cell>
          <cell r="C113">
            <v>36601</v>
          </cell>
        </row>
        <row r="114">
          <cell r="A114" t="str">
            <v>파이오링크</v>
          </cell>
          <cell r="B114" t="str">
            <v>백승권</v>
          </cell>
          <cell r="C114">
            <v>36733</v>
          </cell>
        </row>
        <row r="115">
          <cell r="A115" t="str">
            <v>아이피원</v>
          </cell>
          <cell r="B115" t="str">
            <v>진성태</v>
          </cell>
          <cell r="C115">
            <v>36823</v>
          </cell>
        </row>
        <row r="116">
          <cell r="A116" t="str">
            <v>그래텍</v>
          </cell>
          <cell r="B116" t="str">
            <v>이동철</v>
          </cell>
          <cell r="C116">
            <v>36202</v>
          </cell>
        </row>
        <row r="117">
          <cell r="A117" t="str">
            <v>Bermai</v>
          </cell>
          <cell r="B117" t="str">
            <v>백승권</v>
          </cell>
          <cell r="C117">
            <v>36951</v>
          </cell>
        </row>
        <row r="118">
          <cell r="A118" t="str">
            <v>오투아이시</v>
          </cell>
          <cell r="B118" t="str">
            <v>백승권</v>
          </cell>
          <cell r="C118">
            <v>37196</v>
          </cell>
        </row>
        <row r="119">
          <cell r="A119" t="str">
            <v>뉴프린텍</v>
          </cell>
          <cell r="B119" t="str">
            <v>이성규</v>
          </cell>
          <cell r="C119">
            <v>37253</v>
          </cell>
        </row>
        <row r="120">
          <cell r="A120" t="str">
            <v>인디텍</v>
          </cell>
          <cell r="B120" t="str">
            <v>백승권</v>
          </cell>
          <cell r="C120">
            <v>36612</v>
          </cell>
        </row>
        <row r="121">
          <cell r="A121" t="str">
            <v>에프씨아이</v>
          </cell>
          <cell r="B121" t="str">
            <v>박기호</v>
          </cell>
          <cell r="C121">
            <v>36063</v>
          </cell>
        </row>
        <row r="122">
          <cell r="A122" t="str">
            <v>아탐스</v>
          </cell>
          <cell r="B122" t="str">
            <v>이성규</v>
          </cell>
          <cell r="C122">
            <v>36943</v>
          </cell>
        </row>
        <row r="123">
          <cell r="A123" t="str">
            <v>이오넥스</v>
          </cell>
          <cell r="B123" t="str">
            <v>백승권</v>
          </cell>
          <cell r="C123">
            <v>36633</v>
          </cell>
        </row>
        <row r="124">
          <cell r="A124" t="str">
            <v>에이앤디신용정보</v>
          </cell>
          <cell r="B124" t="str">
            <v>이동익</v>
          </cell>
          <cell r="C124">
            <v>37315</v>
          </cell>
        </row>
        <row r="125">
          <cell r="A125" t="str">
            <v>인터랙티비</v>
          </cell>
          <cell r="B125" t="str">
            <v>백승권</v>
          </cell>
          <cell r="C125">
            <v>37004</v>
          </cell>
        </row>
        <row r="126">
          <cell r="A126" t="str">
            <v>맥산</v>
          </cell>
          <cell r="B126" t="str">
            <v>백승권</v>
          </cell>
          <cell r="C126">
            <v>35185</v>
          </cell>
        </row>
        <row r="127">
          <cell r="A127" t="str">
            <v>어댑티브프라즈마테크놀로지</v>
          </cell>
          <cell r="B127" t="str">
            <v>진성태</v>
          </cell>
          <cell r="C127">
            <v>37289</v>
          </cell>
        </row>
        <row r="128">
          <cell r="A128" t="str">
            <v>Canesta, Inc.</v>
          </cell>
          <cell r="B128" t="str">
            <v>황준석</v>
          </cell>
          <cell r="C128">
            <v>36272</v>
          </cell>
        </row>
        <row r="129">
          <cell r="A129" t="str">
            <v>아이컴포넌트</v>
          </cell>
          <cell r="B129" t="str">
            <v>진성태</v>
          </cell>
          <cell r="C129">
            <v>36658</v>
          </cell>
        </row>
        <row r="130">
          <cell r="A130" t="str">
            <v>인프라웨어</v>
          </cell>
          <cell r="B130" t="str">
            <v>진성태</v>
          </cell>
          <cell r="C130">
            <v>35527</v>
          </cell>
        </row>
        <row r="131">
          <cell r="A131" t="str">
            <v>인트로모바일</v>
          </cell>
          <cell r="B131" t="str">
            <v>조영봉</v>
          </cell>
          <cell r="C131">
            <v>36720</v>
          </cell>
        </row>
        <row r="132">
          <cell r="A132" t="str">
            <v>에이엠텔레콤</v>
          </cell>
          <cell r="B132" t="str">
            <v>백승권</v>
          </cell>
          <cell r="C132">
            <v>37015</v>
          </cell>
        </row>
        <row r="133">
          <cell r="A133" t="str">
            <v>비에이치플렉스</v>
          </cell>
          <cell r="B133" t="str">
            <v>이성규</v>
          </cell>
          <cell r="C133">
            <v>36229</v>
          </cell>
        </row>
        <row r="134">
          <cell r="A134" t="str">
            <v>퍼스텔</v>
          </cell>
          <cell r="B134" t="str">
            <v>백승권</v>
          </cell>
          <cell r="C134">
            <v>35077</v>
          </cell>
        </row>
        <row r="135">
          <cell r="A135" t="str">
            <v>네오비트로</v>
          </cell>
          <cell r="B135" t="str">
            <v>진성태</v>
          </cell>
          <cell r="C135">
            <v>37341</v>
          </cell>
        </row>
        <row r="136">
          <cell r="A136" t="str">
            <v>Airwalk Communication</v>
          </cell>
          <cell r="B136" t="str">
            <v>정근호</v>
          </cell>
          <cell r="C136">
            <v>37257</v>
          </cell>
        </row>
        <row r="137">
          <cell r="A137" t="str">
            <v>디지탈디바이스</v>
          </cell>
          <cell r="B137" t="str">
            <v>백승권</v>
          </cell>
          <cell r="C137">
            <v>35138</v>
          </cell>
        </row>
        <row r="138">
          <cell r="A138" t="str">
            <v>한마로</v>
          </cell>
          <cell r="B138" t="str">
            <v>황준석</v>
          </cell>
          <cell r="C138">
            <v>37728</v>
          </cell>
        </row>
        <row r="139">
          <cell r="A139" t="str">
            <v>시코드</v>
          </cell>
          <cell r="B139" t="str">
            <v>진성태</v>
          </cell>
          <cell r="C139">
            <v>36770</v>
          </cell>
        </row>
        <row r="140">
          <cell r="A140" t="str">
            <v>마무리안디자인</v>
          </cell>
          <cell r="B140" t="str">
            <v>황준석</v>
          </cell>
          <cell r="C140">
            <v>37412</v>
          </cell>
        </row>
        <row r="141">
          <cell r="A141" t="str">
            <v>사파이어테크놀로지</v>
          </cell>
          <cell r="B141" t="str">
            <v>이성규</v>
          </cell>
          <cell r="C141">
            <v>36710</v>
          </cell>
        </row>
        <row r="142">
          <cell r="A142" t="str">
            <v>어니언텍이십일</v>
          </cell>
          <cell r="B142" t="str">
            <v>김웅</v>
          </cell>
          <cell r="C142">
            <v>36622</v>
          </cell>
        </row>
        <row r="143">
          <cell r="A143" t="str">
            <v>솔루션닉스</v>
          </cell>
          <cell r="B143" t="str">
            <v>임완</v>
          </cell>
          <cell r="C143">
            <v>36631</v>
          </cell>
        </row>
        <row r="144">
          <cell r="A144" t="str">
            <v>픽셀칩스</v>
          </cell>
          <cell r="B144" t="str">
            <v>백승권</v>
          </cell>
          <cell r="C144">
            <v>36588</v>
          </cell>
        </row>
        <row r="145">
          <cell r="A145" t="str">
            <v>슈프리마</v>
          </cell>
          <cell r="B145" t="str">
            <v>백승권</v>
          </cell>
          <cell r="C145">
            <v>36650</v>
          </cell>
        </row>
        <row r="146">
          <cell r="A146" t="str">
            <v>아카넷티비</v>
          </cell>
          <cell r="B146" t="str">
            <v>임완</v>
          </cell>
          <cell r="C146">
            <v>36633</v>
          </cell>
        </row>
        <row r="147">
          <cell r="A147" t="str">
            <v>그라비티</v>
          </cell>
          <cell r="B147" t="str">
            <v>김완식</v>
          </cell>
          <cell r="C147" t="str">
            <v>NULL</v>
          </cell>
        </row>
        <row r="148">
          <cell r="A148" t="str">
            <v>티유미디어</v>
          </cell>
          <cell r="B148" t="str">
            <v>황지현</v>
          </cell>
          <cell r="C148">
            <v>37958</v>
          </cell>
        </row>
        <row r="149">
          <cell r="A149" t="str">
            <v>플러스칩</v>
          </cell>
          <cell r="B149" t="str">
            <v>이성규</v>
          </cell>
          <cell r="C149">
            <v>36623</v>
          </cell>
        </row>
        <row r="150">
          <cell r="A150" t="str">
            <v>켐스</v>
          </cell>
          <cell r="B150" t="str">
            <v>이성규</v>
          </cell>
          <cell r="C150">
            <v>37694</v>
          </cell>
        </row>
        <row r="151">
          <cell r="A151" t="str">
            <v>소프트픽셀</v>
          </cell>
          <cell r="B151" t="str">
            <v>이성규</v>
          </cell>
          <cell r="C151">
            <v>36626</v>
          </cell>
        </row>
        <row r="152">
          <cell r="A152" t="str">
            <v>디-테크</v>
          </cell>
          <cell r="B152" t="str">
            <v>백승권</v>
          </cell>
          <cell r="C152">
            <v>36168</v>
          </cell>
        </row>
        <row r="153">
          <cell r="A153" t="str">
            <v>모젬</v>
          </cell>
          <cell r="B153" t="str">
            <v>이성규</v>
          </cell>
          <cell r="C153">
            <v>37147</v>
          </cell>
        </row>
        <row r="154">
          <cell r="A154" t="str">
            <v>픽스트리</v>
          </cell>
          <cell r="B154" t="str">
            <v>백승권</v>
          </cell>
          <cell r="C154">
            <v>37453</v>
          </cell>
        </row>
        <row r="155">
          <cell r="A155" t="str">
            <v>방주광학</v>
          </cell>
          <cell r="B155" t="str">
            <v>조영봉</v>
          </cell>
          <cell r="C155">
            <v>198911</v>
          </cell>
        </row>
        <row r="156">
          <cell r="A156" t="str">
            <v>플랜티넷</v>
          </cell>
          <cell r="B156" t="str">
            <v>김완식</v>
          </cell>
          <cell r="C156">
            <v>36678</v>
          </cell>
        </row>
        <row r="157">
          <cell r="A157" t="str">
            <v>폴리머스넷</v>
          </cell>
          <cell r="B157" t="str">
            <v>진성태</v>
          </cell>
          <cell r="C157">
            <v>36663</v>
          </cell>
        </row>
        <row r="158">
          <cell r="A158" t="str">
            <v>옵토팩</v>
          </cell>
          <cell r="B158" t="str">
            <v>이성규</v>
          </cell>
          <cell r="C158">
            <v>37902</v>
          </cell>
        </row>
        <row r="159">
          <cell r="A159" t="str">
            <v>더존다스</v>
          </cell>
          <cell r="B159" t="str">
            <v>정근호</v>
          </cell>
          <cell r="C159">
            <v>37791</v>
          </cell>
        </row>
        <row r="160">
          <cell r="A160" t="str">
            <v>에픽슨</v>
          </cell>
          <cell r="B160" t="str">
            <v>이성규</v>
          </cell>
          <cell r="C160">
            <v>36801</v>
          </cell>
        </row>
        <row r="161">
          <cell r="A161" t="str">
            <v>텔사인</v>
          </cell>
          <cell r="B161" t="str">
            <v>황준석</v>
          </cell>
          <cell r="C161">
            <v>37026</v>
          </cell>
        </row>
        <row r="162">
          <cell r="A162" t="str">
            <v>클립컴</v>
          </cell>
          <cell r="B162" t="str">
            <v>백승권</v>
          </cell>
          <cell r="C162">
            <v>36635</v>
          </cell>
        </row>
        <row r="163">
          <cell r="A163" t="str">
            <v>엑큐리스</v>
          </cell>
          <cell r="B163" t="str">
            <v>구경철</v>
          </cell>
          <cell r="C163">
            <v>35271</v>
          </cell>
        </row>
        <row r="164">
          <cell r="A164" t="str">
            <v>슈어소프트테크</v>
          </cell>
          <cell r="B164" t="str">
            <v>임완</v>
          </cell>
          <cell r="C164">
            <v>37320</v>
          </cell>
        </row>
        <row r="165">
          <cell r="A165" t="str">
            <v>투비소프트</v>
          </cell>
          <cell r="B165" t="str">
            <v>임완</v>
          </cell>
          <cell r="C165">
            <v>36715</v>
          </cell>
        </row>
        <row r="166">
          <cell r="A166" t="str">
            <v>쓰리에이로직스</v>
          </cell>
          <cell r="B166" t="str">
            <v>김웅</v>
          </cell>
          <cell r="C166">
            <v>38089</v>
          </cell>
        </row>
        <row r="167">
          <cell r="A167" t="str">
            <v>지앤아이소프트</v>
          </cell>
          <cell r="B167" t="str">
            <v>임완</v>
          </cell>
          <cell r="C167">
            <v>37655</v>
          </cell>
        </row>
        <row r="168">
          <cell r="A168" t="str">
            <v>넥스트리밍</v>
          </cell>
          <cell r="B168" t="str">
            <v>김완식</v>
          </cell>
          <cell r="C168">
            <v>37508</v>
          </cell>
        </row>
        <row r="169">
          <cell r="A169" t="str">
            <v>오디코프</v>
          </cell>
          <cell r="B169" t="str">
            <v>구경철</v>
          </cell>
          <cell r="C169">
            <v>34309</v>
          </cell>
        </row>
        <row r="170">
          <cell r="A170" t="str">
            <v>Athena Semiconductor Inc</v>
          </cell>
          <cell r="B170" t="str">
            <v>백승권</v>
          </cell>
          <cell r="C170" t="str">
            <v>NULL</v>
          </cell>
        </row>
        <row r="171">
          <cell r="A171" t="str">
            <v>GCT Semiconductor, Inc.</v>
          </cell>
          <cell r="B171" t="str">
            <v>백승권</v>
          </cell>
          <cell r="C171">
            <v>35796</v>
          </cell>
        </row>
        <row r="172">
          <cell r="A172" t="str">
            <v>마이크로게이트</v>
          </cell>
          <cell r="B172" t="str">
            <v>진성태</v>
          </cell>
          <cell r="C172">
            <v>37846</v>
          </cell>
        </row>
        <row r="173">
          <cell r="A173" t="str">
            <v>알에프세미</v>
          </cell>
          <cell r="B173" t="str">
            <v>조영봉</v>
          </cell>
          <cell r="C173">
            <v>36434</v>
          </cell>
        </row>
        <row r="174">
          <cell r="A174" t="str">
            <v>네오플</v>
          </cell>
          <cell r="B174" t="str">
            <v>임완</v>
          </cell>
          <cell r="C174">
            <v>36982</v>
          </cell>
        </row>
        <row r="175">
          <cell r="A175" t="str">
            <v>엘엔케이로직코리아</v>
          </cell>
          <cell r="B175" t="str">
            <v>임완</v>
          </cell>
          <cell r="C175">
            <v>36706</v>
          </cell>
        </row>
        <row r="176">
          <cell r="A176" t="str">
            <v>하나마이크론</v>
          </cell>
          <cell r="B176" t="str">
            <v>이상진</v>
          </cell>
          <cell r="C176">
            <v>37126</v>
          </cell>
        </row>
        <row r="177">
          <cell r="A177" t="str">
            <v>넷츠</v>
          </cell>
          <cell r="B177" t="str">
            <v>조영봉</v>
          </cell>
          <cell r="C177">
            <v>35916</v>
          </cell>
        </row>
        <row r="178">
          <cell r="A178" t="str">
            <v>디티브이인터렉티브</v>
          </cell>
          <cell r="B178" t="str">
            <v>조영봉</v>
          </cell>
          <cell r="C178">
            <v>37020</v>
          </cell>
        </row>
        <row r="179">
          <cell r="A179" t="str">
            <v>디직스테크놀러지</v>
          </cell>
          <cell r="B179" t="str">
            <v>이상진</v>
          </cell>
          <cell r="C179">
            <v>36382</v>
          </cell>
        </row>
        <row r="180">
          <cell r="A180" t="str">
            <v>티엘아이</v>
          </cell>
          <cell r="B180" t="str">
            <v>이상진</v>
          </cell>
          <cell r="C180">
            <v>36096</v>
          </cell>
        </row>
        <row r="181">
          <cell r="A181" t="str">
            <v>셈테크놀로지</v>
          </cell>
          <cell r="B181" t="str">
            <v>김웅</v>
          </cell>
          <cell r="C181">
            <v>36465</v>
          </cell>
        </row>
        <row r="182">
          <cell r="A182" t="str">
            <v>비에스이홀딩스</v>
          </cell>
          <cell r="B182" t="str">
            <v>곽동걸</v>
          </cell>
          <cell r="C182">
            <v>34114</v>
          </cell>
        </row>
        <row r="183">
          <cell r="A183" t="str">
            <v>한국피아이엠</v>
          </cell>
          <cell r="B183" t="str">
            <v>진성태</v>
          </cell>
          <cell r="C183">
            <v>36995</v>
          </cell>
        </row>
        <row r="184">
          <cell r="A184" t="str">
            <v>엔아이비</v>
          </cell>
          <cell r="B184" t="str">
            <v>진성태</v>
          </cell>
          <cell r="C184">
            <v>37869</v>
          </cell>
        </row>
        <row r="185">
          <cell r="A185" t="str">
            <v>천상의문</v>
          </cell>
          <cell r="C185" t="str">
            <v>-</v>
          </cell>
        </row>
        <row r="186">
          <cell r="A186" t="str">
            <v>카르페디엠</v>
          </cell>
          <cell r="C186" t="str">
            <v>-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"/>
      <sheetName val="사용법"/>
      <sheetName val="BS"/>
      <sheetName val="BS보"/>
      <sheetName val="PL"/>
      <sheetName val="PL보"/>
      <sheetName val="RE"/>
      <sheetName val="현금흐름표"/>
      <sheetName val="A-3"/>
      <sheetName val="주석"/>
      <sheetName val="이연법인세계산"/>
      <sheetName val="자  본"/>
      <sheetName val="TEMP1"/>
      <sheetName val="TEMP2"/>
      <sheetName val="MC"/>
      <sheetName val="경비합"/>
      <sheetName val="PENDING사항"/>
      <sheetName val="PENDING사항 (2)"/>
      <sheetName val="Sheet1"/>
      <sheetName val="JA"/>
      <sheetName val="AUDIT G"/>
      <sheetName val="KIP"/>
      <sheetName val="주총.이사회"/>
      <sheetName val="실현가능"/>
      <sheetName val="소득금액조정"/>
      <sheetName val="자본금적립표(을)"/>
      <sheetName val="경영분석"/>
      <sheetName val="매출채권"/>
      <sheetName val="매출"/>
      <sheetName val="매출memo"/>
      <sheetName val="매출KIP"/>
      <sheetName val="VAT"/>
      <sheetName val="VAT(수정)"/>
      <sheetName val="월별매출"/>
      <sheetName val="매출TOC"/>
      <sheetName val="매출CUT-OFF"/>
      <sheetName val="기말매출채권"/>
      <sheetName val="매입채무"/>
      <sheetName val="재고자산"/>
      <sheetName val="재고실사차이"/>
      <sheetName val="재고자산memo"/>
      <sheetName val="매출원가"/>
      <sheetName val="매출원가memo"/>
      <sheetName val="차입금"/>
      <sheetName val="차입금MEMO"/>
      <sheetName val="이자비용"/>
      <sheetName val="특별손익"/>
      <sheetName val="법인세비용"/>
      <sheetName val="환산손익"/>
      <sheetName val="재고규모"/>
      <sheetName val="입사일자"/>
      <sheetName val="VXX"/>
      <sheetName val="Module2"/>
      <sheetName val="Module1"/>
      <sheetName val="종목정보"/>
      <sheetName val="회사정보"/>
      <sheetName val="TEMP"/>
      <sheetName val="A1"/>
      <sheetName val="10한빛"/>
      <sheetName val="금융"/>
      <sheetName val="은행"/>
      <sheetName val="리스"/>
      <sheetName val="보험"/>
      <sheetName val="자__본"/>
      <sheetName val="PENDING사항_(2)"/>
      <sheetName val="AUDIT_G"/>
      <sheetName val="주총_이사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㈜새한필</v>
          </cell>
          <cell r="I1" t="str">
            <v>w/p No.</v>
          </cell>
        </row>
        <row r="2">
          <cell r="I2" t="str">
            <v>accountant</v>
          </cell>
        </row>
        <row r="3">
          <cell r="B3">
            <v>36525</v>
          </cell>
          <cell r="I3" t="str">
            <v>date</v>
          </cell>
        </row>
        <row r="6">
          <cell r="D6" t="str">
            <v>전전기</v>
          </cell>
          <cell r="E6" t="str">
            <v>전기</v>
          </cell>
          <cell r="F6" t="str">
            <v>증가</v>
          </cell>
          <cell r="G6" t="str">
            <v>감소</v>
          </cell>
          <cell r="H6" t="str">
            <v>당기</v>
          </cell>
          <cell r="I6" t="str">
            <v>증감</v>
          </cell>
          <cell r="J6" t="str">
            <v>증감율</v>
          </cell>
        </row>
        <row r="7">
          <cell r="B7" t="str">
            <v>A/C</v>
          </cell>
          <cell r="C7" t="str">
            <v>w/p ref.</v>
          </cell>
          <cell r="D7">
            <v>35795</v>
          </cell>
          <cell r="E7">
            <v>36160</v>
          </cell>
          <cell r="H7">
            <v>36525</v>
          </cell>
        </row>
        <row r="64">
          <cell r="B64" t="str">
            <v>합   계</v>
          </cell>
          <cell r="D64">
            <v>0</v>
          </cell>
          <cell r="E64">
            <v>0</v>
          </cell>
          <cell r="H64">
            <v>0</v>
          </cell>
          <cell r="I64">
            <v>0</v>
          </cell>
          <cell r="J64">
            <v>0</v>
          </cell>
        </row>
      </sheetData>
      <sheetData sheetId="13">
        <row r="1">
          <cell r="B1" t="str">
            <v>㈜새한필</v>
          </cell>
          <cell r="G1" t="str">
            <v>w/p No.</v>
          </cell>
        </row>
        <row r="2">
          <cell r="G2" t="str">
            <v>accountant</v>
          </cell>
        </row>
        <row r="3">
          <cell r="B3">
            <v>36525</v>
          </cell>
          <cell r="G3" t="str">
            <v>date</v>
          </cell>
        </row>
        <row r="6">
          <cell r="D6" t="str">
            <v>전전기</v>
          </cell>
          <cell r="E6" t="str">
            <v>전기</v>
          </cell>
          <cell r="F6" t="str">
            <v>당기</v>
          </cell>
          <cell r="G6" t="str">
            <v>증감</v>
          </cell>
          <cell r="H6" t="str">
            <v>증감율</v>
          </cell>
        </row>
        <row r="7">
          <cell r="B7" t="str">
            <v>A/C</v>
          </cell>
          <cell r="C7" t="str">
            <v>w/p ref.</v>
          </cell>
          <cell r="D7">
            <v>35795</v>
          </cell>
          <cell r="E7">
            <v>36160</v>
          </cell>
          <cell r="F7">
            <v>36525</v>
          </cell>
        </row>
        <row r="64">
          <cell r="B64" t="str">
            <v>합   계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별평가"/>
      <sheetName val="매매집계"/>
      <sheetName val="db"/>
      <sheetName val="TEMP1"/>
      <sheetName val="TEMP2"/>
    </sheetNames>
    <sheetDataSet>
      <sheetData sheetId="0">
        <row r="18">
          <cell r="A18" t="str">
            <v>일자</v>
          </cell>
        </row>
        <row r="20">
          <cell r="A20">
            <v>38572</v>
          </cell>
        </row>
        <row r="21">
          <cell r="A21">
            <v>38573</v>
          </cell>
        </row>
        <row r="22">
          <cell r="A22">
            <v>38574</v>
          </cell>
        </row>
        <row r="23">
          <cell r="A23">
            <v>38575</v>
          </cell>
        </row>
        <row r="24">
          <cell r="A24">
            <v>38576</v>
          </cell>
        </row>
        <row r="25">
          <cell r="A25">
            <v>38580</v>
          </cell>
        </row>
        <row r="26">
          <cell r="A26">
            <v>38581</v>
          </cell>
        </row>
        <row r="27">
          <cell r="A27">
            <v>38582</v>
          </cell>
        </row>
        <row r="28">
          <cell r="A28">
            <v>38586</v>
          </cell>
        </row>
        <row r="29">
          <cell r="A29">
            <v>38588</v>
          </cell>
        </row>
        <row r="30">
          <cell r="A30">
            <v>38589</v>
          </cell>
        </row>
        <row r="31">
          <cell r="A31">
            <v>38593</v>
          </cell>
        </row>
        <row r="32">
          <cell r="A32">
            <v>38594</v>
          </cell>
        </row>
        <row r="33">
          <cell r="A33">
            <v>38596</v>
          </cell>
        </row>
        <row r="34">
          <cell r="A34">
            <v>38597</v>
          </cell>
        </row>
        <row r="35">
          <cell r="A35">
            <v>38601</v>
          </cell>
        </row>
        <row r="36">
          <cell r="A36">
            <v>38602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펀드요청자료"/>
      <sheetName val="1.1. 펀드 재무제표"/>
      <sheetName val="1.2. 투자자산현황 및 내역-PEF"/>
      <sheetName val="1.2. 투자자산현황 및 내역 - SPC"/>
      <sheetName val="1.4. 출자금 현황 등"/>
      <sheetName val="1.5. 정관에 명시된 분배사항"/>
      <sheetName val="2.1. SPC 재무제표(존재 시)"/>
      <sheetName val="3.1. 계약서 제공 불가시 계약서 요약"/>
      <sheetName val="3.6. 제3자 거래내역"/>
      <sheetName val="3.8. 기타 특이사항"/>
    </sheetNames>
    <sheetDataSet>
      <sheetData sheetId="0" refreshError="1"/>
      <sheetData sheetId="1" refreshError="1"/>
      <sheetData sheetId="2">
        <row r="22">
          <cell r="C22" t="str">
            <v>보통주</v>
          </cell>
        </row>
        <row r="23">
          <cell r="C23" t="str">
            <v>상환전환우선주(RCPS)</v>
          </cell>
        </row>
        <row r="24">
          <cell r="C24" t="str">
            <v>상환우선주(RPS)</v>
          </cell>
        </row>
        <row r="25">
          <cell r="C25" t="str">
            <v>전환우선주(CPS)</v>
          </cell>
        </row>
        <row r="26">
          <cell r="C26" t="str">
            <v>BW(분리)</v>
          </cell>
        </row>
        <row r="27">
          <cell r="C27" t="str">
            <v>BW(비분리)</v>
          </cell>
        </row>
        <row r="28">
          <cell r="C28" t="str">
            <v>CB</v>
          </cell>
        </row>
        <row r="29">
          <cell r="C29" t="str">
            <v>EB(타사 주식 교환)</v>
          </cell>
        </row>
        <row r="30">
          <cell r="C30" t="str">
            <v>EB(자사 주식 교환)</v>
          </cell>
        </row>
        <row r="31">
          <cell r="C31" t="str">
            <v>프로젝트투자</v>
          </cell>
        </row>
        <row r="32">
          <cell r="C32" t="str">
            <v>기타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9"/>
  <sheetViews>
    <sheetView showGridLines="0" zoomScale="85" zoomScaleNormal="85" workbookViewId="0">
      <selection activeCell="I24" sqref="I24"/>
    </sheetView>
  </sheetViews>
  <sheetFormatPr defaultColWidth="8.88671875" defaultRowHeight="16.5" x14ac:dyDescent="0.15"/>
  <cols>
    <col min="1" max="1" width="2.6640625" style="7" customWidth="1"/>
    <col min="2" max="2" width="18.44140625" style="7" customWidth="1"/>
    <col min="3" max="3" width="45.109375" style="7" bestFit="1" customWidth="1"/>
    <col min="4" max="4" width="14.5546875" style="7" customWidth="1"/>
    <col min="5" max="5" width="17.33203125" style="7" customWidth="1"/>
    <col min="6" max="6" width="19.88671875" style="7" customWidth="1"/>
    <col min="7" max="8" width="14" style="7" customWidth="1"/>
    <col min="9" max="9" width="18.109375" style="7" customWidth="1"/>
    <col min="10" max="10" width="15.77734375" style="7" customWidth="1"/>
    <col min="11" max="11" width="18.6640625" style="7" customWidth="1"/>
    <col min="12" max="12" width="2.88671875" style="7" customWidth="1"/>
    <col min="13" max="13" width="16.5546875" style="7" bestFit="1" customWidth="1"/>
    <col min="14" max="14" width="20.88671875" style="7" bestFit="1" customWidth="1"/>
    <col min="15" max="15" width="18.109375" style="7" bestFit="1" customWidth="1"/>
    <col min="16" max="16" width="14" style="7" bestFit="1" customWidth="1"/>
    <col min="17" max="17" width="17.33203125" style="7" customWidth="1"/>
    <col min="18" max="16384" width="8.88671875" style="7"/>
  </cols>
  <sheetData>
    <row r="2" spans="2:17" ht="17.25" x14ac:dyDescent="0.15">
      <c r="B2" s="1" t="s">
        <v>122</v>
      </c>
      <c r="C2" s="9"/>
      <c r="D2" s="9"/>
      <c r="E2" s="9"/>
      <c r="F2" s="9"/>
      <c r="G2" s="9"/>
      <c r="H2" s="9"/>
      <c r="I2" s="9"/>
      <c r="J2" s="19"/>
      <c r="K2" s="19"/>
      <c r="L2" s="19"/>
      <c r="M2" s="19"/>
      <c r="N2" s="19"/>
      <c r="O2" s="19"/>
      <c r="P2" s="19"/>
      <c r="Q2" s="19"/>
    </row>
    <row r="3" spans="2:17" ht="17.25" thickBot="1" x14ac:dyDescent="0.2">
      <c r="B3" s="20"/>
    </row>
    <row r="4" spans="2:17" ht="17.25" thickBot="1" x14ac:dyDescent="0.2">
      <c r="B4" s="21" t="s">
        <v>58</v>
      </c>
      <c r="C4" s="22">
        <v>45443</v>
      </c>
      <c r="E4" s="23" t="s">
        <v>138</v>
      </c>
      <c r="F4" s="23"/>
    </row>
    <row r="5" spans="2:17" x14ac:dyDescent="0.15">
      <c r="E5" s="23" t="s">
        <v>124</v>
      </c>
      <c r="F5" s="23"/>
    </row>
    <row r="6" spans="2:17" x14ac:dyDescent="0.15">
      <c r="B6" s="20" t="s">
        <v>59</v>
      </c>
    </row>
    <row r="7" spans="2:17" x14ac:dyDescent="0.3">
      <c r="B7" s="24"/>
      <c r="C7" s="25"/>
      <c r="D7" s="25"/>
      <c r="E7" s="26"/>
      <c r="F7" s="26"/>
      <c r="G7" s="86" t="s">
        <v>424</v>
      </c>
      <c r="H7" s="26"/>
      <c r="I7" s="27"/>
      <c r="J7" s="27"/>
      <c r="K7" s="28" t="s">
        <v>0</v>
      </c>
      <c r="L7" s="28"/>
    </row>
    <row r="8" spans="2:17" x14ac:dyDescent="0.15">
      <c r="B8" s="29" t="s">
        <v>60</v>
      </c>
      <c r="C8" s="29" t="s">
        <v>102</v>
      </c>
      <c r="D8" s="29" t="s">
        <v>126</v>
      </c>
      <c r="E8" s="29" t="s">
        <v>127</v>
      </c>
      <c r="F8" s="29" t="s">
        <v>128</v>
      </c>
      <c r="G8" s="30" t="s">
        <v>2</v>
      </c>
      <c r="H8" s="30" t="s">
        <v>61</v>
      </c>
      <c r="I8" s="30" t="s">
        <v>57</v>
      </c>
      <c r="J8" s="31" t="s">
        <v>67</v>
      </c>
      <c r="K8" s="31" t="s">
        <v>135</v>
      </c>
      <c r="M8" s="29" t="s">
        <v>133</v>
      </c>
      <c r="N8" s="29" t="s">
        <v>136</v>
      </c>
      <c r="O8" s="32" t="s">
        <v>134</v>
      </c>
      <c r="P8" s="32" t="s">
        <v>147</v>
      </c>
      <c r="Q8" s="29" t="s">
        <v>68</v>
      </c>
    </row>
    <row r="9" spans="2:17" x14ac:dyDescent="0.15">
      <c r="B9" s="33">
        <v>44286</v>
      </c>
      <c r="C9" s="34" t="s">
        <v>149</v>
      </c>
      <c r="D9" s="34" t="s">
        <v>157</v>
      </c>
      <c r="E9" s="34" t="s">
        <v>166</v>
      </c>
      <c r="F9" s="34" t="s">
        <v>125</v>
      </c>
      <c r="G9" s="35">
        <v>120689712</v>
      </c>
      <c r="H9" s="35">
        <v>1000</v>
      </c>
      <c r="I9" s="36">
        <f t="shared" ref="I9:I17" si="0">G9*H9</f>
        <v>120689712000</v>
      </c>
      <c r="J9" s="36">
        <v>140688761</v>
      </c>
      <c r="K9" s="36">
        <f t="shared" ref="K9:K15" si="1">J9*1000</f>
        <v>140688761000</v>
      </c>
      <c r="M9" s="37" t="str">
        <f>IF(G9=J9,"","변동")</f>
        <v>변동</v>
      </c>
      <c r="N9" s="38" t="s">
        <v>445</v>
      </c>
      <c r="O9" s="39"/>
      <c r="P9" s="39"/>
      <c r="Q9" s="36"/>
    </row>
    <row r="10" spans="2:17" x14ac:dyDescent="0.15">
      <c r="B10" s="33">
        <v>44397</v>
      </c>
      <c r="C10" s="34" t="s">
        <v>150</v>
      </c>
      <c r="D10" s="34" t="s">
        <v>158</v>
      </c>
      <c r="E10" s="34" t="s">
        <v>166</v>
      </c>
      <c r="F10" s="34" t="s">
        <v>125</v>
      </c>
      <c r="G10" s="35">
        <v>40285100</v>
      </c>
      <c r="H10" s="35">
        <v>1000</v>
      </c>
      <c r="I10" s="36">
        <f t="shared" si="0"/>
        <v>40285100000</v>
      </c>
      <c r="J10" s="36">
        <v>40475100</v>
      </c>
      <c r="K10" s="36">
        <f t="shared" si="1"/>
        <v>40475100000</v>
      </c>
      <c r="M10" s="37" t="str">
        <f>IF(G10=J10,"","변동")</f>
        <v>변동</v>
      </c>
      <c r="N10" s="38" t="s">
        <v>445</v>
      </c>
      <c r="O10" s="39"/>
      <c r="P10" s="39"/>
      <c r="Q10" s="36"/>
    </row>
    <row r="11" spans="2:17" x14ac:dyDescent="0.15">
      <c r="B11" s="33">
        <v>44404</v>
      </c>
      <c r="C11" s="34" t="s">
        <v>151</v>
      </c>
      <c r="D11" s="34" t="s">
        <v>159</v>
      </c>
      <c r="E11" s="34" t="s">
        <v>166</v>
      </c>
      <c r="F11" s="34" t="s">
        <v>125</v>
      </c>
      <c r="G11" s="35">
        <v>40155000</v>
      </c>
      <c r="H11" s="35">
        <v>1000</v>
      </c>
      <c r="I11" s="36">
        <f t="shared" si="0"/>
        <v>40155000000</v>
      </c>
      <c r="J11" s="36">
        <v>0</v>
      </c>
      <c r="K11" s="36">
        <f t="shared" si="1"/>
        <v>0</v>
      </c>
      <c r="M11" s="37" t="str">
        <f t="shared" ref="M11:M18" si="2">IF(G11=J11,"","변동")</f>
        <v>변동</v>
      </c>
      <c r="N11" s="38" t="s">
        <v>425</v>
      </c>
      <c r="O11" s="39"/>
      <c r="P11" s="39"/>
      <c r="Q11" s="36"/>
    </row>
    <row r="12" spans="2:17" x14ac:dyDescent="0.15">
      <c r="B12" s="33">
        <v>44490</v>
      </c>
      <c r="C12" s="34" t="s">
        <v>152</v>
      </c>
      <c r="D12" s="34" t="s">
        <v>160</v>
      </c>
      <c r="E12" s="34" t="s">
        <v>166</v>
      </c>
      <c r="F12" s="34" t="s">
        <v>125</v>
      </c>
      <c r="G12" s="35">
        <v>155119700</v>
      </c>
      <c r="H12" s="35">
        <v>1000</v>
      </c>
      <c r="I12" s="36">
        <f t="shared" si="0"/>
        <v>155119700000</v>
      </c>
      <c r="J12" s="36">
        <f t="shared" ref="J12:J16" si="3">G12</f>
        <v>155119700</v>
      </c>
      <c r="K12" s="36">
        <f t="shared" si="1"/>
        <v>155119700000</v>
      </c>
      <c r="M12" s="37" t="str">
        <f t="shared" si="2"/>
        <v/>
      </c>
      <c r="N12" s="38"/>
      <c r="O12" s="39"/>
      <c r="P12" s="39"/>
      <c r="Q12" s="36"/>
    </row>
    <row r="13" spans="2:17" x14ac:dyDescent="0.15">
      <c r="B13" s="33">
        <v>44581</v>
      </c>
      <c r="C13" s="34" t="s">
        <v>153</v>
      </c>
      <c r="D13" s="34" t="s">
        <v>161</v>
      </c>
      <c r="E13" s="34" t="s">
        <v>166</v>
      </c>
      <c r="F13" s="34" t="s">
        <v>125</v>
      </c>
      <c r="G13" s="35">
        <v>85563000</v>
      </c>
      <c r="H13" s="35">
        <v>1000</v>
      </c>
      <c r="I13" s="36">
        <f t="shared" si="0"/>
        <v>85563000000</v>
      </c>
      <c r="J13" s="36">
        <f t="shared" si="3"/>
        <v>85563000</v>
      </c>
      <c r="K13" s="36">
        <f t="shared" si="1"/>
        <v>85563000000</v>
      </c>
      <c r="M13" s="37" t="str">
        <f t="shared" si="2"/>
        <v/>
      </c>
      <c r="N13" s="38"/>
      <c r="O13" s="39"/>
      <c r="P13" s="39"/>
      <c r="Q13" s="36"/>
    </row>
    <row r="14" spans="2:17" x14ac:dyDescent="0.15">
      <c r="B14" s="33">
        <v>44609</v>
      </c>
      <c r="C14" s="34" t="s">
        <v>154</v>
      </c>
      <c r="D14" s="34" t="s">
        <v>162</v>
      </c>
      <c r="E14" s="34" t="s">
        <v>166</v>
      </c>
      <c r="F14" s="34" t="s">
        <v>125</v>
      </c>
      <c r="G14" s="35">
        <v>172265800</v>
      </c>
      <c r="H14" s="35">
        <v>1000</v>
      </c>
      <c r="I14" s="36">
        <f t="shared" si="0"/>
        <v>172265800000</v>
      </c>
      <c r="J14" s="36">
        <f t="shared" si="3"/>
        <v>172265800</v>
      </c>
      <c r="K14" s="36">
        <f t="shared" si="1"/>
        <v>172265800000</v>
      </c>
      <c r="M14" s="37" t="str">
        <f t="shared" si="2"/>
        <v/>
      </c>
      <c r="N14" s="38"/>
      <c r="O14" s="39"/>
      <c r="P14" s="39"/>
      <c r="Q14" s="36"/>
    </row>
    <row r="15" spans="2:17" x14ac:dyDescent="0.15">
      <c r="B15" s="33">
        <v>44676</v>
      </c>
      <c r="C15" s="34" t="s">
        <v>155</v>
      </c>
      <c r="D15" s="34" t="s">
        <v>163</v>
      </c>
      <c r="E15" s="34" t="s">
        <v>166</v>
      </c>
      <c r="F15" s="34" t="s">
        <v>125</v>
      </c>
      <c r="G15" s="35">
        <v>50071006</v>
      </c>
      <c r="H15" s="35">
        <v>1000</v>
      </c>
      <c r="I15" s="36">
        <f t="shared" si="0"/>
        <v>50071006000</v>
      </c>
      <c r="J15" s="36">
        <f t="shared" si="3"/>
        <v>50071006</v>
      </c>
      <c r="K15" s="36">
        <f t="shared" si="1"/>
        <v>50071006000</v>
      </c>
      <c r="M15" s="37" t="str">
        <f t="shared" si="2"/>
        <v/>
      </c>
      <c r="N15" s="38"/>
      <c r="O15" s="39"/>
      <c r="P15" s="39"/>
      <c r="Q15" s="36"/>
    </row>
    <row r="16" spans="2:17" x14ac:dyDescent="0.15">
      <c r="B16" s="33">
        <v>44742</v>
      </c>
      <c r="C16" s="34" t="s">
        <v>156</v>
      </c>
      <c r="D16" s="34" t="s">
        <v>164</v>
      </c>
      <c r="E16" s="34" t="s">
        <v>166</v>
      </c>
      <c r="F16" s="34" t="s">
        <v>125</v>
      </c>
      <c r="G16" s="35">
        <v>40281015</v>
      </c>
      <c r="H16" s="35">
        <v>1000</v>
      </c>
      <c r="I16" s="36">
        <f t="shared" si="0"/>
        <v>40281015000</v>
      </c>
      <c r="J16" s="36">
        <f t="shared" si="3"/>
        <v>40281015</v>
      </c>
      <c r="K16" s="36">
        <f>J16*1000</f>
        <v>40281015000</v>
      </c>
      <c r="M16" s="37" t="str">
        <f t="shared" si="2"/>
        <v/>
      </c>
      <c r="N16" s="38"/>
      <c r="O16" s="39"/>
      <c r="P16" s="39"/>
      <c r="Q16" s="36"/>
    </row>
    <row r="17" spans="2:17" x14ac:dyDescent="0.15">
      <c r="B17" s="33">
        <v>44958</v>
      </c>
      <c r="C17" s="34" t="s">
        <v>408</v>
      </c>
      <c r="D17" s="34" t="s">
        <v>409</v>
      </c>
      <c r="E17" s="34" t="s">
        <v>166</v>
      </c>
      <c r="F17" s="34" t="s">
        <v>125</v>
      </c>
      <c r="G17" s="35">
        <v>40000000</v>
      </c>
      <c r="H17" s="35">
        <v>1000</v>
      </c>
      <c r="I17" s="36">
        <f t="shared" si="0"/>
        <v>40000000000</v>
      </c>
      <c r="J17" s="36">
        <v>107321954</v>
      </c>
      <c r="K17" s="36">
        <f>J17*1000</f>
        <v>107321954000</v>
      </c>
      <c r="M17" s="37" t="str">
        <f t="shared" si="2"/>
        <v>변동</v>
      </c>
      <c r="N17" s="38" t="s">
        <v>445</v>
      </c>
      <c r="O17" s="39"/>
      <c r="P17" s="39"/>
      <c r="Q17" s="36"/>
    </row>
    <row r="18" spans="2:17" x14ac:dyDescent="0.15">
      <c r="B18" s="33">
        <v>45128</v>
      </c>
      <c r="C18" s="34" t="s">
        <v>432</v>
      </c>
      <c r="D18" s="34" t="s">
        <v>433</v>
      </c>
      <c r="E18" s="34" t="s">
        <v>62</v>
      </c>
      <c r="F18" s="34" t="s">
        <v>125</v>
      </c>
      <c r="G18" s="35">
        <v>55306242</v>
      </c>
      <c r="H18" s="35">
        <v>1000</v>
      </c>
      <c r="I18" s="36">
        <f>G18*H18</f>
        <v>55306242000</v>
      </c>
      <c r="J18" s="36">
        <f t="shared" ref="J18" si="4">G18</f>
        <v>55306242</v>
      </c>
      <c r="K18" s="36">
        <f>J18*1000</f>
        <v>55306242000</v>
      </c>
      <c r="M18" s="37" t="str">
        <f t="shared" si="2"/>
        <v/>
      </c>
      <c r="N18" s="38"/>
      <c r="O18" s="39"/>
      <c r="P18" s="39"/>
      <c r="Q18" s="36"/>
    </row>
    <row r="19" spans="2:17" x14ac:dyDescent="0.15">
      <c r="B19" s="251" t="s">
        <v>3</v>
      </c>
      <c r="C19" s="252"/>
      <c r="D19" s="252"/>
      <c r="E19" s="253"/>
      <c r="F19" s="40"/>
      <c r="G19" s="41">
        <f>SUM(G9:G18)</f>
        <v>799736575</v>
      </c>
      <c r="H19" s="41"/>
      <c r="I19" s="41">
        <f>SUM(I9:I18)</f>
        <v>799736575000</v>
      </c>
      <c r="J19" s="41">
        <f>SUM(J9:J18)</f>
        <v>847092578</v>
      </c>
      <c r="K19" s="41">
        <f>SUM(K9:K18)</f>
        <v>847092578000</v>
      </c>
      <c r="M19" s="37"/>
      <c r="N19" s="38"/>
      <c r="O19" s="39"/>
      <c r="P19" s="39"/>
      <c r="Q19" s="36"/>
    </row>
    <row r="20" spans="2:17" x14ac:dyDescent="0.15">
      <c r="K20" s="130"/>
    </row>
    <row r="21" spans="2:17" x14ac:dyDescent="0.15">
      <c r="B21" s="7" t="s">
        <v>129</v>
      </c>
      <c r="K21" s="131"/>
    </row>
    <row r="22" spans="2:17" x14ac:dyDescent="0.15">
      <c r="B22" s="42" t="s">
        <v>71</v>
      </c>
      <c r="C22" s="42" t="s">
        <v>72</v>
      </c>
    </row>
    <row r="23" spans="2:17" x14ac:dyDescent="0.15">
      <c r="B23" s="42" t="s">
        <v>62</v>
      </c>
      <c r="C23" s="42" t="s">
        <v>62</v>
      </c>
    </row>
    <row r="24" spans="2:17" x14ac:dyDescent="0.15">
      <c r="B24" s="254" t="s">
        <v>82</v>
      </c>
      <c r="C24" s="42" t="s">
        <v>64</v>
      </c>
    </row>
    <row r="25" spans="2:17" x14ac:dyDescent="0.15">
      <c r="B25" s="255"/>
      <c r="C25" s="42" t="s">
        <v>65</v>
      </c>
    </row>
    <row r="26" spans="2:17" x14ac:dyDescent="0.15">
      <c r="B26" s="256" t="s">
        <v>101</v>
      </c>
      <c r="C26" s="42" t="s">
        <v>73</v>
      </c>
    </row>
    <row r="27" spans="2:17" x14ac:dyDescent="0.15">
      <c r="B27" s="255"/>
      <c r="C27" s="42" t="s">
        <v>74</v>
      </c>
    </row>
    <row r="28" spans="2:17" x14ac:dyDescent="0.15">
      <c r="B28" s="42" t="s">
        <v>69</v>
      </c>
      <c r="C28" s="42" t="s">
        <v>75</v>
      </c>
    </row>
    <row r="29" spans="2:17" x14ac:dyDescent="0.15">
      <c r="B29" s="42" t="s">
        <v>70</v>
      </c>
      <c r="C29" s="42" t="s">
        <v>76</v>
      </c>
    </row>
    <row r="30" spans="2:17" x14ac:dyDescent="0.15">
      <c r="B30" s="42" t="s">
        <v>103</v>
      </c>
      <c r="C30" s="42" t="s">
        <v>103</v>
      </c>
    </row>
    <row r="31" spans="2:17" ht="41.25" customHeight="1" x14ac:dyDescent="0.15">
      <c r="B31" s="43" t="s">
        <v>104</v>
      </c>
      <c r="C31" s="42" t="s">
        <v>66</v>
      </c>
    </row>
    <row r="32" spans="2:17" x14ac:dyDescent="0.15">
      <c r="B32" s="44"/>
      <c r="C32" s="11"/>
    </row>
    <row r="33" spans="2:3" x14ac:dyDescent="0.15">
      <c r="B33" s="7" t="s">
        <v>131</v>
      </c>
      <c r="C33" s="11"/>
    </row>
    <row r="34" spans="2:3" x14ac:dyDescent="0.15">
      <c r="C34" s="11"/>
    </row>
    <row r="35" spans="2:3" x14ac:dyDescent="0.15">
      <c r="B35" s="7" t="s">
        <v>137</v>
      </c>
    </row>
    <row r="36" spans="2:3" x14ac:dyDescent="0.15">
      <c r="B36" s="45"/>
    </row>
    <row r="37" spans="2:3" x14ac:dyDescent="0.15">
      <c r="B37" s="46" t="s">
        <v>130</v>
      </c>
    </row>
    <row r="39" spans="2:3" x14ac:dyDescent="0.15">
      <c r="B39" s="46" t="s">
        <v>148</v>
      </c>
    </row>
  </sheetData>
  <mergeCells count="3">
    <mergeCell ref="B19:E19"/>
    <mergeCell ref="B24:B25"/>
    <mergeCell ref="B26:B27"/>
  </mergeCells>
  <phoneticPr fontId="7" type="noConversion"/>
  <dataValidations disablePrompts="1" count="1">
    <dataValidation type="list" allowBlank="1" showInputMessage="1" showErrorMessage="1" sqref="E9:E18">
      <formula1>투자형태</formula1>
    </dataValidation>
  </dataValidation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52"/>
  <sheetViews>
    <sheetView showGridLines="0" tabSelected="1" zoomScale="85" zoomScaleNormal="85" workbookViewId="0">
      <selection activeCell="I32" sqref="I32"/>
    </sheetView>
  </sheetViews>
  <sheetFormatPr defaultColWidth="8.88671875" defaultRowHeight="16.5" x14ac:dyDescent="0.15"/>
  <cols>
    <col min="1" max="1" width="2.6640625" style="137" customWidth="1"/>
    <col min="2" max="2" width="33.5546875" style="137" bestFit="1" customWidth="1"/>
    <col min="3" max="3" width="33.21875" style="137" bestFit="1" customWidth="1"/>
    <col min="4" max="4" width="25" style="137" customWidth="1"/>
    <col min="5" max="5" width="20.5546875" style="137" customWidth="1"/>
    <col min="6" max="6" width="20.6640625" style="137" customWidth="1"/>
    <col min="7" max="7" width="18.109375" style="137" bestFit="1" customWidth="1"/>
    <col min="8" max="8" width="19.44140625" style="137" customWidth="1"/>
    <col min="9" max="9" width="19" style="137" bestFit="1" customWidth="1"/>
    <col min="10" max="10" width="25.77734375" style="137" customWidth="1"/>
    <col min="11" max="11" width="19.44140625" style="137" bestFit="1" customWidth="1"/>
    <col min="12" max="12" width="23.88671875" style="137" customWidth="1"/>
    <col min="13" max="13" width="7.21875" style="137" customWidth="1"/>
    <col min="14" max="14" width="25.21875" style="137" customWidth="1"/>
    <col min="15" max="15" width="20.88671875" style="137" bestFit="1" customWidth="1"/>
    <col min="16" max="16" width="18.109375" style="137" bestFit="1" customWidth="1"/>
    <col min="17" max="17" width="18.44140625" style="137" bestFit="1" customWidth="1"/>
    <col min="18" max="18" width="74.44140625" style="137" bestFit="1" customWidth="1"/>
    <col min="19" max="16384" width="8.88671875" style="137"/>
  </cols>
  <sheetData>
    <row r="2" spans="2:18" x14ac:dyDescent="0.15">
      <c r="B2" s="218" t="s">
        <v>123</v>
      </c>
      <c r="C2" s="218"/>
      <c r="D2" s="135"/>
      <c r="E2" s="135"/>
      <c r="F2" s="135"/>
      <c r="G2" s="135"/>
      <c r="H2" s="135"/>
      <c r="I2" s="135"/>
      <c r="J2" s="135"/>
      <c r="K2" s="136"/>
      <c r="L2" s="136"/>
      <c r="M2" s="136"/>
      <c r="N2" s="136"/>
      <c r="O2" s="136"/>
      <c r="P2" s="136"/>
      <c r="Q2" s="136"/>
      <c r="R2" s="136"/>
    </row>
    <row r="3" spans="2:18" ht="17.25" thickBot="1" x14ac:dyDescent="0.2">
      <c r="B3" s="138"/>
      <c r="C3" s="138"/>
    </row>
    <row r="4" spans="2:18" ht="17.25" thickBot="1" x14ac:dyDescent="0.2">
      <c r="B4" s="139" t="s">
        <v>58</v>
      </c>
      <c r="C4" s="22">
        <v>45443</v>
      </c>
      <c r="F4" s="140"/>
      <c r="G4" s="140"/>
    </row>
    <row r="5" spans="2:18" x14ac:dyDescent="0.15">
      <c r="F5" s="140"/>
      <c r="G5" s="140"/>
    </row>
    <row r="6" spans="2:18" x14ac:dyDescent="0.15">
      <c r="B6" s="138" t="s">
        <v>59</v>
      </c>
      <c r="C6" s="138"/>
    </row>
    <row r="7" spans="2:18" x14ac:dyDescent="0.3">
      <c r="B7" s="141"/>
      <c r="C7" s="141"/>
      <c r="D7" s="142"/>
      <c r="E7" s="142"/>
      <c r="F7" s="143"/>
      <c r="G7" s="143"/>
      <c r="H7" s="143"/>
      <c r="I7" s="143"/>
      <c r="J7" s="144"/>
      <c r="K7" s="144"/>
      <c r="L7" s="145" t="s">
        <v>0</v>
      </c>
      <c r="M7" s="145"/>
    </row>
    <row r="8" spans="2:18" x14ac:dyDescent="0.15">
      <c r="B8" s="146" t="s">
        <v>60</v>
      </c>
      <c r="C8" s="147" t="s">
        <v>450</v>
      </c>
      <c r="D8" s="146" t="s">
        <v>102</v>
      </c>
      <c r="E8" s="146" t="s">
        <v>126</v>
      </c>
      <c r="F8" s="146" t="s">
        <v>127</v>
      </c>
      <c r="G8" s="146" t="s">
        <v>128</v>
      </c>
      <c r="H8" s="148" t="s">
        <v>2</v>
      </c>
      <c r="I8" s="148" t="s">
        <v>61</v>
      </c>
      <c r="J8" s="148" t="s">
        <v>57</v>
      </c>
      <c r="K8" s="149" t="s">
        <v>67</v>
      </c>
      <c r="L8" s="149" t="s">
        <v>135</v>
      </c>
      <c r="N8" s="146" t="s">
        <v>133</v>
      </c>
      <c r="O8" s="146" t="s">
        <v>136</v>
      </c>
      <c r="P8" s="150" t="s">
        <v>134</v>
      </c>
      <c r="Q8" s="150" t="s">
        <v>147</v>
      </c>
      <c r="R8" s="146" t="s">
        <v>68</v>
      </c>
    </row>
    <row r="9" spans="2:18" x14ac:dyDescent="0.15">
      <c r="B9" s="151">
        <v>44286</v>
      </c>
      <c r="C9" s="151" t="s">
        <v>451</v>
      </c>
      <c r="D9" s="152" t="s">
        <v>167</v>
      </c>
      <c r="E9" s="152" t="s">
        <v>174</v>
      </c>
      <c r="F9" s="152" t="s">
        <v>63</v>
      </c>
      <c r="G9" s="152" t="s">
        <v>125</v>
      </c>
      <c r="H9" s="153">
        <v>86913</v>
      </c>
      <c r="I9" s="153">
        <f>J9/H9</f>
        <v>1380705</v>
      </c>
      <c r="J9" s="154">
        <v>120001213665</v>
      </c>
      <c r="K9" s="153">
        <v>99989</v>
      </c>
      <c r="L9" s="154">
        <f>J9+F31</f>
        <v>140000262637</v>
      </c>
      <c r="N9" s="155" t="str">
        <f t="shared" ref="N9:N25" si="0">IF(H9=K9,"","변동")</f>
        <v>변동</v>
      </c>
      <c r="O9" s="156" t="s">
        <v>412</v>
      </c>
      <c r="P9" s="157"/>
      <c r="Q9" s="157"/>
      <c r="R9" s="158" t="s">
        <v>447</v>
      </c>
    </row>
    <row r="10" spans="2:18" x14ac:dyDescent="0.15">
      <c r="B10" s="151">
        <v>44397</v>
      </c>
      <c r="C10" s="151" t="s">
        <v>452</v>
      </c>
      <c r="D10" s="152" t="s">
        <v>168</v>
      </c>
      <c r="E10" s="152" t="s">
        <v>175</v>
      </c>
      <c r="F10" s="152" t="s">
        <v>132</v>
      </c>
      <c r="G10" s="152" t="s">
        <v>187</v>
      </c>
      <c r="H10" s="153">
        <v>79412</v>
      </c>
      <c r="I10" s="153">
        <f>J10/H10</f>
        <v>377778</v>
      </c>
      <c r="J10" s="154">
        <v>30000106536</v>
      </c>
      <c r="K10" s="153">
        <v>0</v>
      </c>
      <c r="L10" s="154">
        <v>0</v>
      </c>
      <c r="N10" s="155" t="str">
        <f t="shared" si="0"/>
        <v>변동</v>
      </c>
      <c r="O10" s="156" t="s">
        <v>449</v>
      </c>
      <c r="P10" s="157"/>
      <c r="Q10" s="157"/>
      <c r="R10" s="271" t="s">
        <v>448</v>
      </c>
    </row>
    <row r="11" spans="2:18" x14ac:dyDescent="0.15">
      <c r="B11" s="151">
        <v>44397</v>
      </c>
      <c r="C11" s="151" t="s">
        <v>452</v>
      </c>
      <c r="D11" s="152" t="s">
        <v>168</v>
      </c>
      <c r="E11" s="152" t="s">
        <v>175</v>
      </c>
      <c r="F11" s="152" t="s">
        <v>132</v>
      </c>
      <c r="G11" s="152" t="s">
        <v>183</v>
      </c>
      <c r="H11" s="153">
        <v>25000</v>
      </c>
      <c r="I11" s="153">
        <f>J11/H11</f>
        <v>400000</v>
      </c>
      <c r="J11" s="154">
        <v>10000000000</v>
      </c>
      <c r="K11" s="153">
        <v>0</v>
      </c>
      <c r="L11" s="154">
        <v>0</v>
      </c>
      <c r="N11" s="155" t="str">
        <f t="shared" si="0"/>
        <v>변동</v>
      </c>
      <c r="O11" s="156" t="s">
        <v>449</v>
      </c>
      <c r="P11" s="157"/>
      <c r="Q11" s="157"/>
      <c r="R11" s="272"/>
    </row>
    <row r="12" spans="2:18" x14ac:dyDescent="0.15">
      <c r="B12" s="151">
        <v>45055</v>
      </c>
      <c r="C12" s="151" t="s">
        <v>452</v>
      </c>
      <c r="D12" s="152" t="s">
        <v>446</v>
      </c>
      <c r="E12" s="152" t="s">
        <v>177</v>
      </c>
      <c r="F12" s="152" t="s">
        <v>132</v>
      </c>
      <c r="G12" s="152" t="s">
        <v>125</v>
      </c>
      <c r="H12" s="159">
        <v>104412</v>
      </c>
      <c r="I12" s="160">
        <f>H41</f>
        <v>442105</v>
      </c>
      <c r="J12" s="161">
        <f>I41</f>
        <v>46161067260</v>
      </c>
      <c r="K12" s="159">
        <v>104412</v>
      </c>
      <c r="L12" s="161">
        <f>J12</f>
        <v>46161067260</v>
      </c>
      <c r="N12" s="155"/>
      <c r="O12" s="156"/>
      <c r="P12" s="157"/>
      <c r="Q12" s="157"/>
      <c r="R12" s="273"/>
    </row>
    <row r="13" spans="2:18" x14ac:dyDescent="0.15">
      <c r="B13" s="151">
        <v>44404</v>
      </c>
      <c r="C13" s="151" t="s">
        <v>453</v>
      </c>
      <c r="D13" s="152" t="s">
        <v>169</v>
      </c>
      <c r="E13" s="152" t="s">
        <v>176</v>
      </c>
      <c r="F13" s="152" t="s">
        <v>180</v>
      </c>
      <c r="G13" s="152" t="s">
        <v>183</v>
      </c>
      <c r="H13" s="162">
        <v>0</v>
      </c>
      <c r="I13" s="153">
        <v>64300</v>
      </c>
      <c r="J13" s="154">
        <v>40000000000</v>
      </c>
      <c r="K13" s="162">
        <f>H13</f>
        <v>0</v>
      </c>
      <c r="L13" s="153">
        <v>0</v>
      </c>
      <c r="N13" s="155" t="str">
        <f t="shared" si="0"/>
        <v/>
      </c>
      <c r="O13" s="156" t="s">
        <v>425</v>
      </c>
      <c r="P13" s="157">
        <v>63100</v>
      </c>
      <c r="Q13" s="163" t="s">
        <v>185</v>
      </c>
      <c r="R13" s="154"/>
    </row>
    <row r="14" spans="2:18" x14ac:dyDescent="0.15">
      <c r="B14" s="151">
        <v>44553</v>
      </c>
      <c r="C14" s="151" t="s">
        <v>454</v>
      </c>
      <c r="D14" s="152" t="s">
        <v>181</v>
      </c>
      <c r="E14" s="152" t="s">
        <v>177</v>
      </c>
      <c r="F14" s="152" t="s">
        <v>165</v>
      </c>
      <c r="G14" s="152" t="s">
        <v>183</v>
      </c>
      <c r="H14" s="153">
        <v>125711953</v>
      </c>
      <c r="I14" s="153">
        <f>J14/H14</f>
        <v>1231.2078321064664</v>
      </c>
      <c r="J14" s="154">
        <v>154777541123</v>
      </c>
      <c r="K14" s="153">
        <f>H14</f>
        <v>125711953</v>
      </c>
      <c r="L14" s="154">
        <f>J14</f>
        <v>154777541123</v>
      </c>
      <c r="N14" s="155" t="str">
        <f t="shared" si="0"/>
        <v/>
      </c>
      <c r="O14" s="156"/>
      <c r="P14" s="157"/>
      <c r="Q14" s="157"/>
      <c r="R14" s="158" t="s">
        <v>499</v>
      </c>
    </row>
    <row r="15" spans="2:18" x14ac:dyDescent="0.15">
      <c r="B15" s="151">
        <v>44582</v>
      </c>
      <c r="C15" s="151" t="s">
        <v>455</v>
      </c>
      <c r="D15" s="152" t="s">
        <v>182</v>
      </c>
      <c r="E15" s="152" t="s">
        <v>177</v>
      </c>
      <c r="F15" s="152" t="s">
        <v>165</v>
      </c>
      <c r="G15" s="152" t="s">
        <v>183</v>
      </c>
      <c r="H15" s="153">
        <v>70265000</v>
      </c>
      <c r="I15" s="153">
        <f>J15/H15</f>
        <v>1213.8038212481322</v>
      </c>
      <c r="J15" s="154">
        <v>85287925500</v>
      </c>
      <c r="K15" s="153">
        <f>H15</f>
        <v>70265000</v>
      </c>
      <c r="L15" s="154">
        <f>J15</f>
        <v>85287925500</v>
      </c>
      <c r="N15" s="155" t="str">
        <f t="shared" si="0"/>
        <v/>
      </c>
      <c r="O15" s="156"/>
      <c r="P15" s="157"/>
      <c r="Q15" s="157"/>
      <c r="R15" s="158" t="s">
        <v>500</v>
      </c>
    </row>
    <row r="16" spans="2:18" x14ac:dyDescent="0.15">
      <c r="B16" s="151">
        <v>44610</v>
      </c>
      <c r="C16" s="274" t="s">
        <v>456</v>
      </c>
      <c r="D16" s="152" t="s">
        <v>171</v>
      </c>
      <c r="E16" s="152" t="s">
        <v>177</v>
      </c>
      <c r="F16" s="152" t="s">
        <v>165</v>
      </c>
      <c r="G16" s="152" t="s">
        <v>125</v>
      </c>
      <c r="H16" s="159">
        <v>225811</v>
      </c>
      <c r="I16" s="159">
        <f t="shared" ref="I16:I19" si="1">J16/H16</f>
        <v>56974.589851690129</v>
      </c>
      <c r="J16" s="164">
        <v>12865489109</v>
      </c>
      <c r="K16" s="159">
        <f>H16</f>
        <v>225811</v>
      </c>
      <c r="L16" s="154">
        <v>12865489109</v>
      </c>
      <c r="N16" s="155" t="str">
        <f t="shared" si="0"/>
        <v/>
      </c>
      <c r="O16" s="156"/>
      <c r="P16" s="157"/>
      <c r="Q16" s="157"/>
      <c r="R16" s="154"/>
    </row>
    <row r="17" spans="2:18" x14ac:dyDescent="0.15">
      <c r="B17" s="151">
        <v>44610</v>
      </c>
      <c r="C17" s="275"/>
      <c r="D17" s="152" t="s">
        <v>171</v>
      </c>
      <c r="E17" s="152" t="s">
        <v>177</v>
      </c>
      <c r="F17" s="152" t="s">
        <v>165</v>
      </c>
      <c r="G17" s="152" t="s">
        <v>187</v>
      </c>
      <c r="H17" s="159">
        <f>662378</f>
        <v>662378</v>
      </c>
      <c r="I17" s="159">
        <f t="shared" si="1"/>
        <v>56974.588304563258</v>
      </c>
      <c r="J17" s="164">
        <f>37738713852</f>
        <v>37738713852</v>
      </c>
      <c r="K17" s="159">
        <f>H17+226121</f>
        <v>888499</v>
      </c>
      <c r="L17" s="154">
        <v>44358004004</v>
      </c>
      <c r="N17" s="155" t="str">
        <f t="shared" si="0"/>
        <v>변동</v>
      </c>
      <c r="O17" s="156" t="s">
        <v>412</v>
      </c>
      <c r="P17" s="157"/>
      <c r="Q17" s="157"/>
      <c r="R17" s="154"/>
    </row>
    <row r="18" spans="2:18" x14ac:dyDescent="0.15">
      <c r="B18" s="151">
        <v>44610</v>
      </c>
      <c r="C18" s="275"/>
      <c r="D18" s="152" t="s">
        <v>171</v>
      </c>
      <c r="E18" s="152" t="s">
        <v>177</v>
      </c>
      <c r="F18" s="152" t="s">
        <v>186</v>
      </c>
      <c r="G18" s="152" t="s">
        <v>125</v>
      </c>
      <c r="H18" s="159">
        <v>1068242</v>
      </c>
      <c r="I18" s="159">
        <f t="shared" si="1"/>
        <v>21682.599347338899</v>
      </c>
      <c r="J18" s="164">
        <v>23162263292</v>
      </c>
      <c r="K18" s="159">
        <f>H18</f>
        <v>1068242</v>
      </c>
      <c r="L18" s="154">
        <v>23162263292</v>
      </c>
      <c r="N18" s="155" t="str">
        <f t="shared" si="0"/>
        <v/>
      </c>
      <c r="O18" s="156"/>
      <c r="P18" s="157"/>
      <c r="Q18" s="157"/>
      <c r="R18" s="154"/>
    </row>
    <row r="19" spans="2:18" x14ac:dyDescent="0.15">
      <c r="B19" s="151">
        <v>44610</v>
      </c>
      <c r="C19" s="276"/>
      <c r="D19" s="152" t="s">
        <v>171</v>
      </c>
      <c r="E19" s="152" t="s">
        <v>177</v>
      </c>
      <c r="F19" s="152" t="s">
        <v>186</v>
      </c>
      <c r="G19" s="152" t="s">
        <v>187</v>
      </c>
      <c r="H19" s="159">
        <f>3133512</f>
        <v>3133512</v>
      </c>
      <c r="I19" s="159">
        <f t="shared" si="1"/>
        <v>21682.599634850609</v>
      </c>
      <c r="J19" s="164">
        <f>67942686147</f>
        <v>67942686147</v>
      </c>
      <c r="K19" s="159">
        <f>H19+1069710</f>
        <v>4203222</v>
      </c>
      <c r="L19" s="154">
        <v>91323395995</v>
      </c>
      <c r="N19" s="155" t="str">
        <f t="shared" si="0"/>
        <v>변동</v>
      </c>
      <c r="O19" s="156" t="s">
        <v>412</v>
      </c>
      <c r="P19" s="157"/>
      <c r="Q19" s="157"/>
      <c r="R19" s="154"/>
    </row>
    <row r="20" spans="2:18" x14ac:dyDescent="0.15">
      <c r="B20" s="151">
        <v>44677</v>
      </c>
      <c r="C20" s="151" t="s">
        <v>457</v>
      </c>
      <c r="D20" s="152" t="s">
        <v>172</v>
      </c>
      <c r="E20" s="152" t="s">
        <v>178</v>
      </c>
      <c r="F20" s="152" t="s">
        <v>165</v>
      </c>
      <c r="G20" s="152" t="s">
        <v>189</v>
      </c>
      <c r="H20" s="153">
        <f>1580000</f>
        <v>1580000</v>
      </c>
      <c r="I20" s="153">
        <f t="shared" ref="I20:I22" si="2">J20/H20</f>
        <v>28500</v>
      </c>
      <c r="J20" s="154">
        <v>45030000000</v>
      </c>
      <c r="K20" s="154">
        <f>1559738+166316</f>
        <v>1726054</v>
      </c>
      <c r="L20" s="154">
        <f>K20*28500</f>
        <v>49192539000</v>
      </c>
      <c r="N20" s="155" t="str">
        <f t="shared" si="0"/>
        <v>변동</v>
      </c>
      <c r="O20" s="156" t="s">
        <v>535</v>
      </c>
      <c r="P20" s="157"/>
      <c r="Q20" s="157"/>
      <c r="R20" s="206" t="s">
        <v>546</v>
      </c>
    </row>
    <row r="21" spans="2:18" x14ac:dyDescent="0.15">
      <c r="B21" s="151">
        <v>44743</v>
      </c>
      <c r="C21" s="151" t="s">
        <v>156</v>
      </c>
      <c r="D21" s="152" t="s">
        <v>173</v>
      </c>
      <c r="E21" s="152" t="s">
        <v>179</v>
      </c>
      <c r="F21" s="152" t="s">
        <v>63</v>
      </c>
      <c r="G21" s="152" t="s">
        <v>183</v>
      </c>
      <c r="H21" s="153">
        <v>310834</v>
      </c>
      <c r="I21" s="153">
        <f t="shared" si="2"/>
        <v>128686</v>
      </c>
      <c r="J21" s="154">
        <v>39999984124</v>
      </c>
      <c r="K21" s="154">
        <f>H21</f>
        <v>310834</v>
      </c>
      <c r="L21" s="154">
        <f>J21</f>
        <v>39999984124</v>
      </c>
      <c r="N21" s="155" t="str">
        <f t="shared" si="0"/>
        <v/>
      </c>
      <c r="O21" s="156"/>
      <c r="P21" s="157"/>
      <c r="Q21" s="157"/>
      <c r="R21" s="154"/>
    </row>
    <row r="22" spans="2:18" x14ac:dyDescent="0.15">
      <c r="B22" s="312">
        <v>44958</v>
      </c>
      <c r="C22" s="312" t="s">
        <v>408</v>
      </c>
      <c r="D22" s="313" t="s">
        <v>410</v>
      </c>
      <c r="E22" s="313" t="s">
        <v>411</v>
      </c>
      <c r="F22" s="313" t="s">
        <v>423</v>
      </c>
      <c r="G22" s="313" t="s">
        <v>188</v>
      </c>
      <c r="H22" s="314">
        <v>1600000</v>
      </c>
      <c r="I22" s="314">
        <f t="shared" si="2"/>
        <v>25000</v>
      </c>
      <c r="J22" s="157">
        <v>40000000000</v>
      </c>
      <c r="K22" s="157">
        <f>L22/I22</f>
        <v>2992176</v>
      </c>
      <c r="L22" s="157">
        <v>74804400000</v>
      </c>
      <c r="M22" s="315"/>
      <c r="N22" s="316" t="str">
        <f t="shared" si="0"/>
        <v>변동</v>
      </c>
      <c r="O22" s="317" t="s">
        <v>412</v>
      </c>
      <c r="P22" s="157"/>
      <c r="Q22" s="157"/>
      <c r="R22" s="157"/>
    </row>
    <row r="23" spans="2:18" x14ac:dyDescent="0.15">
      <c r="B23" s="312">
        <v>44958</v>
      </c>
      <c r="C23" s="312" t="s">
        <v>408</v>
      </c>
      <c r="D23" s="313" t="s">
        <v>410</v>
      </c>
      <c r="E23" s="313" t="s">
        <v>411</v>
      </c>
      <c r="F23" s="313" t="s">
        <v>528</v>
      </c>
      <c r="G23" s="313" t="s">
        <v>125</v>
      </c>
      <c r="H23" s="314">
        <v>0</v>
      </c>
      <c r="I23" s="314">
        <v>5195600000</v>
      </c>
      <c r="J23" s="314">
        <v>5195600000</v>
      </c>
      <c r="K23" s="157">
        <v>0</v>
      </c>
      <c r="L23" s="314">
        <v>5195600000</v>
      </c>
      <c r="M23" s="315"/>
      <c r="N23" s="316" t="str">
        <f t="shared" ref="N23" si="3">IF(H23=K23,"","변동")</f>
        <v/>
      </c>
      <c r="O23" s="317"/>
      <c r="P23" s="157"/>
      <c r="Q23" s="157" t="s">
        <v>530</v>
      </c>
      <c r="R23" s="157"/>
    </row>
    <row r="24" spans="2:18" ht="33" x14ac:dyDescent="0.15">
      <c r="B24" s="151">
        <v>45131</v>
      </c>
      <c r="C24" s="151" t="s">
        <v>408</v>
      </c>
      <c r="D24" s="152" t="s">
        <v>438</v>
      </c>
      <c r="E24" s="152" t="s">
        <v>439</v>
      </c>
      <c r="F24" s="152" t="s">
        <v>165</v>
      </c>
      <c r="G24" s="152" t="s">
        <v>125</v>
      </c>
      <c r="H24" s="153">
        <f>E99</f>
        <v>6562734</v>
      </c>
      <c r="I24" s="153">
        <v>1000</v>
      </c>
      <c r="J24" s="154">
        <f>I24*H24</f>
        <v>6562734000</v>
      </c>
      <c r="K24" s="153">
        <v>26486908</v>
      </c>
      <c r="L24" s="154">
        <v>26486908000</v>
      </c>
      <c r="N24" s="155" t="str">
        <f t="shared" si="0"/>
        <v>변동</v>
      </c>
      <c r="O24" s="156" t="s">
        <v>412</v>
      </c>
      <c r="P24" s="157"/>
      <c r="Q24" s="157"/>
      <c r="R24" s="165" t="s">
        <v>531</v>
      </c>
    </row>
    <row r="25" spans="2:18" x14ac:dyDescent="0.15">
      <c r="B25" s="151">
        <v>45131</v>
      </c>
      <c r="C25" s="151" t="s">
        <v>458</v>
      </c>
      <c r="D25" s="152" t="s">
        <v>434</v>
      </c>
      <c r="E25" s="152" t="s">
        <v>435</v>
      </c>
      <c r="F25" s="152" t="s">
        <v>180</v>
      </c>
      <c r="G25" s="152" t="s">
        <v>125</v>
      </c>
      <c r="H25" s="153">
        <v>0</v>
      </c>
      <c r="I25" s="153">
        <v>275000</v>
      </c>
      <c r="J25" s="154">
        <v>55000000000</v>
      </c>
      <c r="K25" s="153">
        <v>0</v>
      </c>
      <c r="L25" s="154">
        <v>55000000000</v>
      </c>
      <c r="N25" s="155" t="str">
        <f t="shared" si="0"/>
        <v/>
      </c>
      <c r="O25" s="156"/>
      <c r="P25" s="157">
        <v>247896</v>
      </c>
      <c r="Q25" s="157" t="s">
        <v>436</v>
      </c>
      <c r="R25" s="154"/>
    </row>
    <row r="26" spans="2:18" x14ac:dyDescent="0.15">
      <c r="B26" s="279" t="s">
        <v>3</v>
      </c>
      <c r="C26" s="279"/>
      <c r="D26" s="279"/>
      <c r="E26" s="279"/>
      <c r="F26" s="279"/>
      <c r="G26" s="126"/>
      <c r="H26" s="127"/>
      <c r="I26" s="127"/>
      <c r="J26" s="127">
        <f>SUM(J9:J25)</f>
        <v>819725324608</v>
      </c>
      <c r="K26" s="127">
        <f>SUM(K9:K25)</f>
        <v>234083100</v>
      </c>
      <c r="L26" s="127">
        <f>SUM(L9:L25)</f>
        <v>848615380044</v>
      </c>
      <c r="N26" s="155"/>
      <c r="O26" s="156"/>
      <c r="P26" s="157"/>
      <c r="Q26" s="157"/>
      <c r="R26" s="154"/>
    </row>
    <row r="27" spans="2:18" x14ac:dyDescent="0.3">
      <c r="B27" s="82"/>
      <c r="C27" s="82"/>
      <c r="D27" s="82"/>
      <c r="E27" s="82"/>
      <c r="F27" s="82"/>
      <c r="G27" s="82"/>
      <c r="H27" s="83"/>
      <c r="I27" s="83"/>
      <c r="J27" s="83"/>
      <c r="K27" s="83"/>
      <c r="L27" s="83"/>
      <c r="N27" s="166"/>
      <c r="O27" s="167"/>
      <c r="P27" s="167"/>
      <c r="Q27" s="167"/>
      <c r="R27" s="167"/>
    </row>
    <row r="28" spans="2:18" x14ac:dyDescent="0.3">
      <c r="B28" s="168" t="s">
        <v>459</v>
      </c>
      <c r="C28" s="167"/>
      <c r="D28" s="167"/>
      <c r="E28" s="167"/>
      <c r="F28" s="167"/>
      <c r="G28" s="133"/>
      <c r="H28" s="134"/>
      <c r="I28" s="134"/>
      <c r="J28" s="134"/>
      <c r="K28" s="134"/>
      <c r="L28" s="134"/>
      <c r="M28" s="169"/>
      <c r="N28" s="166"/>
      <c r="O28" s="167"/>
      <c r="P28" s="167"/>
      <c r="Q28" s="167"/>
      <c r="R28" s="167"/>
    </row>
    <row r="29" spans="2:18" ht="17.45" customHeight="1" x14ac:dyDescent="0.3">
      <c r="B29" s="167" t="s">
        <v>501</v>
      </c>
      <c r="C29" s="167"/>
      <c r="D29" s="167"/>
      <c r="E29" s="167"/>
      <c r="F29" s="167"/>
      <c r="G29" s="133"/>
      <c r="H29" s="134"/>
      <c r="I29" s="134"/>
      <c r="J29" s="134"/>
      <c r="K29" s="134"/>
      <c r="L29" s="134"/>
      <c r="M29" s="169"/>
      <c r="N29" s="166"/>
      <c r="O29" s="167"/>
      <c r="P29" s="167"/>
      <c r="Q29" s="167"/>
      <c r="R29" s="167"/>
    </row>
    <row r="30" spans="2:18" x14ac:dyDescent="0.3">
      <c r="B30" s="170" t="s">
        <v>460</v>
      </c>
      <c r="C30" s="170" t="s">
        <v>461</v>
      </c>
      <c r="D30" s="170" t="s">
        <v>462</v>
      </c>
      <c r="E30" s="170" t="s">
        <v>463</v>
      </c>
      <c r="F30" s="170" t="s">
        <v>464</v>
      </c>
      <c r="G30" s="133"/>
      <c r="H30" s="134"/>
      <c r="I30" s="134"/>
      <c r="J30" s="134"/>
      <c r="K30" s="134"/>
      <c r="L30" s="134"/>
      <c r="M30" s="169"/>
      <c r="N30" s="166"/>
      <c r="O30" s="167"/>
      <c r="P30" s="167"/>
      <c r="Q30" s="167"/>
      <c r="R30" s="167"/>
    </row>
    <row r="31" spans="2:18" x14ac:dyDescent="0.3">
      <c r="B31" s="171" t="s">
        <v>465</v>
      </c>
      <c r="C31" s="171" t="s">
        <v>466</v>
      </c>
      <c r="D31" s="172">
        <v>13076</v>
      </c>
      <c r="E31" s="172">
        <v>1529447</v>
      </c>
      <c r="F31" s="172">
        <f>D31*E31</f>
        <v>19999048972</v>
      </c>
      <c r="G31" s="133"/>
      <c r="H31" s="134"/>
      <c r="I31" s="134"/>
      <c r="J31" s="134"/>
      <c r="K31" s="134"/>
      <c r="L31" s="134"/>
      <c r="M31" s="169"/>
      <c r="N31" s="166"/>
      <c r="O31" s="167"/>
      <c r="P31" s="167"/>
      <c r="Q31" s="167"/>
      <c r="R31" s="167"/>
    </row>
    <row r="32" spans="2:18" x14ac:dyDescent="0.3">
      <c r="B32" s="167"/>
      <c r="C32" s="167"/>
      <c r="D32" s="167"/>
      <c r="E32" s="167"/>
      <c r="F32" s="167"/>
      <c r="G32" s="133"/>
      <c r="H32" s="134"/>
      <c r="I32" s="134"/>
      <c r="J32" s="134"/>
      <c r="K32" s="134"/>
      <c r="L32" s="134"/>
      <c r="M32" s="169"/>
      <c r="N32" s="166"/>
      <c r="O32" s="167"/>
      <c r="P32" s="167"/>
      <c r="Q32" s="167"/>
      <c r="R32" s="167"/>
    </row>
    <row r="33" spans="2:18" x14ac:dyDescent="0.3">
      <c r="B33" s="168" t="s">
        <v>467</v>
      </c>
      <c r="C33" s="167"/>
      <c r="D33" s="167"/>
      <c r="E33" s="167"/>
      <c r="F33" s="167"/>
      <c r="G33" s="133"/>
      <c r="H33" s="134"/>
      <c r="I33" s="134"/>
      <c r="J33" s="134"/>
      <c r="K33" s="134"/>
      <c r="L33" s="134"/>
      <c r="M33" s="169"/>
      <c r="N33" s="166"/>
      <c r="O33" s="167"/>
      <c r="P33" s="167"/>
      <c r="Q33" s="167"/>
      <c r="R33" s="167"/>
    </row>
    <row r="34" spans="2:18" x14ac:dyDescent="0.3">
      <c r="B34" s="173" t="s">
        <v>468</v>
      </c>
      <c r="C34" s="167"/>
      <c r="D34" s="167"/>
      <c r="E34" s="167"/>
      <c r="F34" s="167"/>
      <c r="G34" s="133"/>
      <c r="H34" s="134"/>
      <c r="I34" s="134"/>
      <c r="J34" s="134"/>
      <c r="K34" s="134"/>
      <c r="L34" s="134"/>
      <c r="M34" s="169"/>
      <c r="N34" s="166"/>
      <c r="O34" s="167"/>
      <c r="P34" s="167"/>
      <c r="Q34" s="167"/>
      <c r="R34" s="167"/>
    </row>
    <row r="35" spans="2:18" x14ac:dyDescent="0.3">
      <c r="B35" s="229" t="s">
        <v>460</v>
      </c>
      <c r="C35" s="277" t="s">
        <v>461</v>
      </c>
      <c r="D35" s="277"/>
      <c r="E35" s="229" t="s">
        <v>462</v>
      </c>
      <c r="F35" s="229" t="s">
        <v>463</v>
      </c>
      <c r="G35" s="229" t="s">
        <v>464</v>
      </c>
      <c r="H35" s="134"/>
      <c r="I35" s="134"/>
      <c r="J35" s="134"/>
      <c r="K35" s="134"/>
      <c r="L35" s="134"/>
      <c r="M35" s="169"/>
      <c r="N35" s="166"/>
      <c r="O35" s="167"/>
      <c r="P35" s="167"/>
      <c r="Q35" s="167"/>
      <c r="R35" s="167"/>
    </row>
    <row r="36" spans="2:18" x14ac:dyDescent="0.3">
      <c r="B36" s="232" t="s">
        <v>504</v>
      </c>
      <c r="C36" s="231" t="s">
        <v>132</v>
      </c>
      <c r="D36" s="172" t="s">
        <v>502</v>
      </c>
      <c r="E36" s="172">
        <v>79412</v>
      </c>
      <c r="F36" s="172">
        <v>377778</v>
      </c>
      <c r="G36" s="172">
        <v>30000106536</v>
      </c>
      <c r="H36" s="134"/>
      <c r="I36" s="134"/>
      <c r="J36" s="134"/>
      <c r="K36" s="134"/>
      <c r="L36" s="134"/>
      <c r="M36" s="169"/>
      <c r="N36" s="166"/>
      <c r="O36" s="167"/>
      <c r="P36" s="167"/>
      <c r="Q36" s="167"/>
      <c r="R36" s="167"/>
    </row>
    <row r="37" spans="2:18" x14ac:dyDescent="0.3">
      <c r="B37" s="232" t="s">
        <v>504</v>
      </c>
      <c r="C37" s="231" t="s">
        <v>132</v>
      </c>
      <c r="D37" s="172" t="s">
        <v>503</v>
      </c>
      <c r="E37" s="172">
        <v>25000</v>
      </c>
      <c r="F37" s="172">
        <v>400000</v>
      </c>
      <c r="G37" s="172">
        <v>10000000000</v>
      </c>
      <c r="H37" s="134"/>
      <c r="I37" s="134"/>
      <c r="J37" s="134"/>
      <c r="K37" s="134"/>
      <c r="L37" s="134"/>
      <c r="M37" s="169"/>
      <c r="N37" s="166"/>
      <c r="O37" s="167"/>
      <c r="P37" s="167"/>
      <c r="Q37" s="167"/>
      <c r="R37" s="167"/>
    </row>
    <row r="38" spans="2:18" x14ac:dyDescent="0.3">
      <c r="B38" s="173"/>
      <c r="C38" s="167"/>
      <c r="D38" s="167"/>
      <c r="E38" s="167"/>
      <c r="F38" s="167"/>
      <c r="G38" s="133"/>
      <c r="H38" s="134"/>
      <c r="I38" s="134"/>
      <c r="J38" s="134"/>
      <c r="K38" s="134"/>
      <c r="L38" s="134"/>
      <c r="M38" s="169"/>
      <c r="N38" s="166"/>
      <c r="O38" s="167"/>
      <c r="P38" s="167"/>
      <c r="Q38" s="167"/>
      <c r="R38" s="167"/>
    </row>
    <row r="39" spans="2:18" x14ac:dyDescent="0.3">
      <c r="B39" s="173" t="s">
        <v>510</v>
      </c>
      <c r="C39" s="167"/>
      <c r="D39" s="167"/>
      <c r="E39" s="167"/>
      <c r="F39" s="167"/>
      <c r="G39" s="133"/>
      <c r="H39" s="134"/>
      <c r="I39" s="134"/>
      <c r="J39" s="134"/>
      <c r="K39" s="134"/>
      <c r="L39" s="134"/>
      <c r="M39" s="169"/>
      <c r="N39" s="166"/>
      <c r="O39" s="167"/>
      <c r="P39" s="167"/>
      <c r="Q39" s="167"/>
      <c r="R39" s="167"/>
    </row>
    <row r="40" spans="2:18" x14ac:dyDescent="0.3">
      <c r="B40" s="229" t="s">
        <v>460</v>
      </c>
      <c r="C40" s="277" t="s">
        <v>461</v>
      </c>
      <c r="D40" s="277"/>
      <c r="E40" s="229" t="s">
        <v>462</v>
      </c>
      <c r="F40" s="229" t="s">
        <v>506</v>
      </c>
      <c r="G40" s="229" t="s">
        <v>507</v>
      </c>
      <c r="H40" s="229" t="s">
        <v>508</v>
      </c>
      <c r="I40" s="229" t="s">
        <v>509</v>
      </c>
      <c r="J40" s="134"/>
      <c r="K40" s="134"/>
      <c r="L40" s="134"/>
      <c r="M40" s="169"/>
      <c r="N40" s="166"/>
      <c r="O40" s="167"/>
      <c r="P40" s="167"/>
      <c r="Q40" s="167"/>
      <c r="R40" s="167"/>
    </row>
    <row r="41" spans="2:18" x14ac:dyDescent="0.3">
      <c r="B41" s="232" t="s">
        <v>446</v>
      </c>
      <c r="C41" s="231" t="s">
        <v>132</v>
      </c>
      <c r="D41" s="172" t="s">
        <v>503</v>
      </c>
      <c r="E41" s="172">
        <f>SUM(E36:E37)</f>
        <v>104412</v>
      </c>
      <c r="F41" s="236">
        <f>G41/E41</f>
        <v>443.68006426464387</v>
      </c>
      <c r="G41" s="172">
        <v>46325522.869999997</v>
      </c>
      <c r="H41" s="172">
        <f>I41/E41</f>
        <v>442105</v>
      </c>
      <c r="I41" s="172">
        <v>46161067260</v>
      </c>
      <c r="J41" s="134"/>
      <c r="K41" s="134"/>
      <c r="L41" s="134"/>
      <c r="M41" s="169"/>
      <c r="N41" s="166"/>
      <c r="O41" s="167"/>
      <c r="P41" s="167"/>
      <c r="Q41" s="167"/>
      <c r="R41" s="167"/>
    </row>
    <row r="42" spans="2:18" x14ac:dyDescent="0.3">
      <c r="B42" s="235" t="s">
        <v>505</v>
      </c>
      <c r="C42" s="233"/>
      <c r="D42" s="234"/>
      <c r="E42" s="234"/>
      <c r="F42" s="234"/>
      <c r="G42" s="234"/>
      <c r="H42" s="134"/>
      <c r="I42" s="134"/>
      <c r="J42" s="134"/>
      <c r="K42" s="134"/>
      <c r="L42" s="134"/>
      <c r="M42" s="169"/>
      <c r="N42" s="166"/>
      <c r="O42" s="167"/>
      <c r="P42" s="167"/>
      <c r="Q42" s="167"/>
      <c r="R42" s="167"/>
    </row>
    <row r="43" spans="2:18" x14ac:dyDescent="0.3">
      <c r="B43" s="167"/>
      <c r="C43" s="167"/>
      <c r="D43" s="167"/>
      <c r="E43" s="167"/>
      <c r="F43" s="167"/>
      <c r="G43" s="133"/>
      <c r="H43" s="134"/>
      <c r="I43" s="134"/>
      <c r="J43" s="134"/>
      <c r="K43" s="134"/>
      <c r="L43" s="134"/>
      <c r="M43" s="169"/>
      <c r="N43" s="166"/>
      <c r="O43" s="167"/>
      <c r="P43" s="167"/>
      <c r="Q43" s="167"/>
      <c r="R43" s="167"/>
    </row>
    <row r="44" spans="2:18" x14ac:dyDescent="0.3">
      <c r="B44" s="168" t="s">
        <v>469</v>
      </c>
      <c r="C44" s="167"/>
      <c r="D44" s="167"/>
      <c r="E44" s="167"/>
      <c r="F44" s="167"/>
      <c r="G44" s="133"/>
      <c r="H44" s="134"/>
      <c r="I44" s="134"/>
      <c r="J44" s="134"/>
      <c r="K44" s="134"/>
      <c r="L44" s="134"/>
      <c r="M44" s="169"/>
      <c r="N44" s="166"/>
      <c r="O44" s="167"/>
      <c r="P44" s="167"/>
      <c r="Q44" s="167"/>
      <c r="R44" s="167"/>
    </row>
    <row r="45" spans="2:18" x14ac:dyDescent="0.3">
      <c r="B45" s="261" t="s">
        <v>470</v>
      </c>
      <c r="C45" s="261"/>
      <c r="D45" s="261"/>
      <c r="E45" s="261"/>
      <c r="F45" s="261"/>
      <c r="G45" s="261"/>
      <c r="H45" s="134"/>
      <c r="I45" s="134"/>
      <c r="J45" s="134"/>
      <c r="K45" s="134"/>
      <c r="L45" s="134"/>
      <c r="M45" s="169"/>
      <c r="N45" s="166"/>
      <c r="O45" s="167"/>
      <c r="P45" s="167"/>
      <c r="Q45" s="167"/>
      <c r="R45" s="167"/>
    </row>
    <row r="46" spans="2:18" x14ac:dyDescent="0.3">
      <c r="B46" s="219" t="s">
        <v>471</v>
      </c>
      <c r="C46" s="220"/>
      <c r="D46" s="142"/>
      <c r="E46" s="142"/>
      <c r="F46" s="174"/>
      <c r="G46" s="174"/>
      <c r="H46" s="174"/>
      <c r="I46" s="174"/>
      <c r="J46" s="175"/>
      <c r="K46" s="175"/>
      <c r="L46" s="176"/>
      <c r="M46" s="169"/>
      <c r="N46" s="166"/>
      <c r="O46" s="167"/>
      <c r="P46" s="167"/>
      <c r="Q46" s="167"/>
      <c r="R46" s="167"/>
    </row>
    <row r="47" spans="2:18" x14ac:dyDescent="0.3">
      <c r="B47" s="219" t="s">
        <v>472</v>
      </c>
      <c r="C47" s="220"/>
      <c r="D47" s="142"/>
      <c r="E47" s="142"/>
      <c r="F47" s="174"/>
      <c r="G47" s="174"/>
      <c r="H47" s="174"/>
      <c r="I47" s="174"/>
      <c r="J47" s="175"/>
      <c r="K47" s="175"/>
      <c r="L47" s="176"/>
      <c r="M47" s="169"/>
      <c r="N47" s="166"/>
      <c r="O47" s="167"/>
      <c r="P47" s="167"/>
      <c r="Q47" s="167"/>
      <c r="R47" s="167"/>
    </row>
    <row r="48" spans="2:18" s="177" customFormat="1" x14ac:dyDescent="0.3">
      <c r="B48" s="219"/>
      <c r="C48" s="220"/>
      <c r="D48" s="142"/>
      <c r="E48" s="142"/>
      <c r="F48" s="174"/>
      <c r="G48" s="174"/>
      <c r="H48" s="174"/>
      <c r="I48" s="174"/>
      <c r="J48" s="175"/>
      <c r="K48" s="175"/>
      <c r="L48" s="176"/>
      <c r="M48" s="169"/>
      <c r="N48" s="166"/>
    </row>
    <row r="49" spans="2:18" x14ac:dyDescent="0.3">
      <c r="B49" s="178" t="s">
        <v>473</v>
      </c>
      <c r="C49" s="220"/>
      <c r="D49" s="142"/>
      <c r="E49" s="142"/>
      <c r="F49" s="174"/>
      <c r="G49" s="174"/>
      <c r="H49" s="174"/>
      <c r="I49" s="174"/>
      <c r="J49" s="175"/>
      <c r="K49" s="175"/>
      <c r="L49" s="176"/>
      <c r="M49" s="169"/>
      <c r="N49" s="166"/>
      <c r="O49" s="167"/>
      <c r="P49" s="167"/>
      <c r="Q49" s="167"/>
      <c r="R49" s="167"/>
    </row>
    <row r="50" spans="2:18" x14ac:dyDescent="0.3">
      <c r="B50" s="170" t="s">
        <v>474</v>
      </c>
      <c r="C50" s="170" t="s">
        <v>475</v>
      </c>
      <c r="D50" s="170" t="s">
        <v>476</v>
      </c>
      <c r="E50" s="170" t="s">
        <v>477</v>
      </c>
      <c r="F50" s="174"/>
      <c r="G50" s="174"/>
      <c r="H50" s="174"/>
      <c r="I50" s="174"/>
      <c r="J50" s="175"/>
      <c r="K50" s="175"/>
      <c r="L50" s="176"/>
      <c r="M50" s="169"/>
      <c r="N50" s="167"/>
      <c r="O50" s="167"/>
      <c r="P50" s="167"/>
      <c r="Q50" s="167"/>
      <c r="R50" s="167"/>
    </row>
    <row r="51" spans="2:18" x14ac:dyDescent="0.3">
      <c r="B51" s="179" t="s">
        <v>364</v>
      </c>
      <c r="C51" s="179" t="s">
        <v>478</v>
      </c>
      <c r="D51" s="180">
        <v>0.37500000074575246</v>
      </c>
      <c r="E51" s="181">
        <v>845629.10694483784</v>
      </c>
      <c r="F51" s="174"/>
      <c r="G51" s="174"/>
      <c r="H51" s="174"/>
      <c r="I51" s="174"/>
      <c r="J51" s="175"/>
      <c r="K51" s="175"/>
      <c r="L51" s="176"/>
      <c r="M51" s="169"/>
      <c r="N51" s="167"/>
      <c r="O51" s="167"/>
      <c r="P51" s="167"/>
      <c r="Q51" s="167"/>
      <c r="R51" s="167"/>
    </row>
    <row r="52" spans="2:18" x14ac:dyDescent="0.3">
      <c r="B52" s="179" t="s">
        <v>478</v>
      </c>
      <c r="C52" s="179" t="s">
        <v>479</v>
      </c>
      <c r="D52" s="182">
        <v>0.42105263157894735</v>
      </c>
      <c r="E52" s="183">
        <v>2255010.9473684211</v>
      </c>
      <c r="F52" s="174"/>
      <c r="G52" s="174"/>
      <c r="H52" s="174"/>
      <c r="I52" s="174"/>
      <c r="J52" s="175"/>
      <c r="K52" s="175"/>
      <c r="L52" s="176"/>
      <c r="M52" s="169"/>
      <c r="N52" s="167"/>
      <c r="O52" s="167"/>
      <c r="P52" s="167"/>
      <c r="Q52" s="167"/>
      <c r="R52" s="167"/>
    </row>
    <row r="53" spans="2:18" x14ac:dyDescent="0.3">
      <c r="B53" s="179" t="s">
        <v>479</v>
      </c>
      <c r="C53" s="179" t="s">
        <v>480</v>
      </c>
      <c r="D53" s="182">
        <v>0.43241455400709949</v>
      </c>
      <c r="E53" s="183">
        <v>5355651</v>
      </c>
      <c r="F53" s="174"/>
      <c r="G53" s="174"/>
      <c r="H53" s="174"/>
      <c r="I53" s="174"/>
      <c r="J53" s="175"/>
      <c r="K53" s="175"/>
      <c r="L53" s="176"/>
      <c r="M53" s="169"/>
      <c r="N53" s="167"/>
      <c r="O53" s="167"/>
      <c r="P53" s="167"/>
      <c r="Q53" s="167"/>
      <c r="R53" s="167"/>
    </row>
    <row r="54" spans="2:18" x14ac:dyDescent="0.3">
      <c r="B54" s="177"/>
      <c r="C54" s="177"/>
      <c r="D54" s="184"/>
      <c r="E54" s="185"/>
      <c r="F54" s="174"/>
      <c r="G54" s="174"/>
      <c r="H54" s="174"/>
      <c r="I54" s="174"/>
      <c r="J54" s="175"/>
      <c r="K54" s="175"/>
      <c r="L54" s="176"/>
      <c r="M54" s="169"/>
      <c r="N54" s="167"/>
      <c r="O54" s="167"/>
      <c r="P54" s="167"/>
      <c r="Q54" s="167"/>
      <c r="R54" s="167"/>
    </row>
    <row r="55" spans="2:18" x14ac:dyDescent="0.3">
      <c r="B55" s="186" t="s">
        <v>429</v>
      </c>
      <c r="C55" s="142"/>
      <c r="D55" s="142"/>
      <c r="E55" s="174"/>
      <c r="F55" s="174"/>
      <c r="G55" s="174"/>
      <c r="H55" s="174"/>
      <c r="I55" s="175"/>
      <c r="J55" s="175"/>
      <c r="K55" s="176"/>
      <c r="L55" s="169"/>
      <c r="N55" s="167"/>
      <c r="O55" s="167"/>
      <c r="P55" s="167"/>
      <c r="Q55" s="167"/>
      <c r="R55" s="167"/>
    </row>
    <row r="56" spans="2:18" x14ac:dyDescent="0.3">
      <c r="B56" s="170" t="s">
        <v>474</v>
      </c>
      <c r="C56" s="170" t="s">
        <v>475</v>
      </c>
      <c r="D56" s="170" t="s">
        <v>481</v>
      </c>
      <c r="E56" s="170" t="s">
        <v>482</v>
      </c>
      <c r="F56" s="170" t="s">
        <v>483</v>
      </c>
      <c r="G56" s="170" t="s">
        <v>484</v>
      </c>
      <c r="H56" s="170" t="s">
        <v>485</v>
      </c>
      <c r="I56" s="170" t="s">
        <v>486</v>
      </c>
      <c r="J56" s="175"/>
      <c r="K56" s="176"/>
      <c r="L56" s="169"/>
      <c r="N56" s="167"/>
      <c r="O56" s="167"/>
      <c r="P56" s="167"/>
      <c r="Q56" s="167"/>
      <c r="R56" s="167"/>
    </row>
    <row r="57" spans="2:18" x14ac:dyDescent="0.3">
      <c r="B57" s="262" t="s">
        <v>364</v>
      </c>
      <c r="C57" s="263" t="s">
        <v>365</v>
      </c>
      <c r="D57" s="221">
        <v>44553</v>
      </c>
      <c r="E57" s="158">
        <v>1000</v>
      </c>
      <c r="F57" s="187">
        <v>1180.44</v>
      </c>
      <c r="G57" s="158">
        <v>1180440</v>
      </c>
      <c r="H57" s="188">
        <v>1</v>
      </c>
      <c r="I57" s="188">
        <v>1000</v>
      </c>
      <c r="J57" s="175"/>
      <c r="K57" s="176"/>
      <c r="L57" s="169"/>
      <c r="N57" s="167"/>
      <c r="O57" s="167"/>
      <c r="P57" s="167"/>
      <c r="Q57" s="167"/>
      <c r="R57" s="167"/>
    </row>
    <row r="58" spans="2:18" x14ac:dyDescent="0.3">
      <c r="B58" s="262"/>
      <c r="C58" s="278"/>
      <c r="D58" s="221">
        <v>44617</v>
      </c>
      <c r="E58" s="189">
        <v>43911169</v>
      </c>
      <c r="F58" s="190">
        <v>1200.1199999999999</v>
      </c>
      <c r="G58" s="189">
        <v>52698672140.279999</v>
      </c>
      <c r="H58" s="188">
        <v>1</v>
      </c>
      <c r="I58" s="188">
        <v>43911169</v>
      </c>
      <c r="J58" s="175"/>
      <c r="K58" s="176"/>
      <c r="L58" s="169"/>
      <c r="N58" s="167"/>
      <c r="O58" s="167"/>
      <c r="P58" s="167"/>
      <c r="Q58" s="167"/>
      <c r="R58" s="167"/>
    </row>
    <row r="59" spans="2:18" x14ac:dyDescent="0.3">
      <c r="B59" s="262"/>
      <c r="C59" s="264"/>
      <c r="D59" s="221">
        <v>44664</v>
      </c>
      <c r="E59" s="189">
        <v>81799784</v>
      </c>
      <c r="F59" s="190">
        <v>1247.8967981504695</v>
      </c>
      <c r="G59" s="189">
        <v>102077688543</v>
      </c>
      <c r="H59" s="188">
        <v>1</v>
      </c>
      <c r="I59" s="188">
        <v>81799784</v>
      </c>
      <c r="J59" s="175"/>
      <c r="K59" s="176"/>
      <c r="L59" s="169"/>
      <c r="N59" s="167"/>
      <c r="O59" s="167"/>
      <c r="P59" s="167"/>
      <c r="Q59" s="167"/>
      <c r="R59" s="167"/>
    </row>
    <row r="60" spans="2:18" x14ac:dyDescent="0.3">
      <c r="B60" s="191" t="s">
        <v>366</v>
      </c>
      <c r="C60" s="192"/>
      <c r="D60" s="192"/>
      <c r="E60" s="193">
        <f>SUM(E57:E59)</f>
        <v>125711953</v>
      </c>
      <c r="F60" s="194"/>
      <c r="G60" s="193">
        <f>SUM(G57:G59)</f>
        <v>154777541123.28</v>
      </c>
      <c r="H60" s="193"/>
      <c r="I60" s="193">
        <f>SUM(I57:I59)</f>
        <v>125711953</v>
      </c>
      <c r="J60" s="175"/>
      <c r="K60" s="176"/>
      <c r="L60" s="169"/>
      <c r="N60" s="167"/>
      <c r="O60" s="167"/>
      <c r="P60" s="167"/>
      <c r="Q60" s="167"/>
      <c r="R60" s="167"/>
    </row>
    <row r="61" spans="2:18" customFormat="1" ht="13.5" x14ac:dyDescent="0.15"/>
    <row r="62" spans="2:18" x14ac:dyDescent="0.3">
      <c r="B62" s="186" t="s">
        <v>356</v>
      </c>
      <c r="C62" s="142"/>
      <c r="D62" s="142"/>
      <c r="E62" s="174"/>
      <c r="F62" s="174"/>
      <c r="G62" s="174"/>
      <c r="H62" s="174"/>
      <c r="I62" s="175"/>
      <c r="J62" s="175"/>
      <c r="K62" s="176"/>
      <c r="L62" s="169"/>
      <c r="N62" s="167"/>
      <c r="O62" s="167"/>
      <c r="P62" s="167"/>
      <c r="Q62" s="167"/>
      <c r="R62" s="167"/>
    </row>
    <row r="63" spans="2:18" x14ac:dyDescent="0.3">
      <c r="B63" s="170" t="s">
        <v>487</v>
      </c>
      <c r="C63" s="170" t="s">
        <v>488</v>
      </c>
      <c r="D63" s="170" t="s">
        <v>489</v>
      </c>
      <c r="E63" s="170" t="s">
        <v>490</v>
      </c>
      <c r="F63" s="170" t="s">
        <v>491</v>
      </c>
      <c r="G63" s="170" t="s">
        <v>492</v>
      </c>
      <c r="H63" s="170" t="s">
        <v>493</v>
      </c>
      <c r="I63" s="170" t="s">
        <v>494</v>
      </c>
      <c r="J63" s="170" t="s">
        <v>495</v>
      </c>
      <c r="K63" s="170" t="s">
        <v>496</v>
      </c>
      <c r="L63" s="169"/>
      <c r="N63" s="167"/>
      <c r="O63" s="167"/>
      <c r="P63" s="167"/>
      <c r="Q63" s="167"/>
      <c r="R63" s="167"/>
    </row>
    <row r="64" spans="2:18" x14ac:dyDescent="0.3">
      <c r="B64" s="222">
        <v>44623</v>
      </c>
      <c r="C64" s="195" t="s">
        <v>357</v>
      </c>
      <c r="D64" s="152" t="s">
        <v>177</v>
      </c>
      <c r="E64" s="152" t="s">
        <v>165</v>
      </c>
      <c r="F64" s="189" t="s">
        <v>125</v>
      </c>
      <c r="G64" s="159">
        <v>2800</v>
      </c>
      <c r="H64" s="223">
        <f>I64/J64</f>
        <v>120479.16821428572</v>
      </c>
      <c r="I64" s="196">
        <v>337341671</v>
      </c>
      <c r="J64" s="189">
        <v>2800</v>
      </c>
      <c r="K64" s="196">
        <v>337341671</v>
      </c>
      <c r="L64" s="197"/>
      <c r="N64" s="167"/>
      <c r="O64" s="167"/>
      <c r="P64" s="167"/>
      <c r="Q64" s="167"/>
      <c r="R64" s="167"/>
    </row>
    <row r="65" spans="2:18" x14ac:dyDescent="0.3">
      <c r="B65" s="220"/>
      <c r="C65" s="142"/>
      <c r="D65" s="142"/>
      <c r="E65" s="174"/>
      <c r="F65" s="174"/>
      <c r="G65" s="174"/>
      <c r="H65" s="174"/>
      <c r="I65" s="175"/>
      <c r="J65" s="175"/>
      <c r="K65" s="176"/>
      <c r="L65" s="169"/>
      <c r="N65" s="167"/>
      <c r="O65" s="167"/>
      <c r="P65" s="167"/>
      <c r="Q65" s="167"/>
      <c r="R65" s="167"/>
    </row>
    <row r="66" spans="2:18" x14ac:dyDescent="0.3">
      <c r="B66" s="186" t="s">
        <v>358</v>
      </c>
      <c r="C66" s="142"/>
      <c r="D66" s="142"/>
      <c r="E66" s="174"/>
      <c r="F66" s="174"/>
      <c r="G66" s="174"/>
      <c r="H66" s="174"/>
      <c r="I66" s="175"/>
      <c r="J66" s="175"/>
      <c r="K66" s="176"/>
      <c r="L66" s="224"/>
      <c r="N66" s="167"/>
      <c r="O66" s="167"/>
      <c r="P66" s="167"/>
      <c r="Q66" s="167"/>
      <c r="R66" s="167"/>
    </row>
    <row r="67" spans="2:18" x14ac:dyDescent="0.3">
      <c r="B67" s="170" t="s">
        <v>487</v>
      </c>
      <c r="C67" s="170" t="s">
        <v>488</v>
      </c>
      <c r="D67" s="170" t="s">
        <v>489</v>
      </c>
      <c r="E67" s="170" t="s">
        <v>490</v>
      </c>
      <c r="F67" s="170" t="s">
        <v>491</v>
      </c>
      <c r="G67" s="170" t="s">
        <v>492</v>
      </c>
      <c r="H67" s="170" t="s">
        <v>493</v>
      </c>
      <c r="I67" s="170" t="s">
        <v>494</v>
      </c>
      <c r="J67" s="170" t="s">
        <v>495</v>
      </c>
      <c r="K67" s="170" t="s">
        <v>496</v>
      </c>
      <c r="L67" s="198" t="s">
        <v>427</v>
      </c>
      <c r="N67" s="167"/>
      <c r="O67" s="167"/>
      <c r="P67" s="167"/>
      <c r="Q67" s="167"/>
      <c r="R67" s="167"/>
    </row>
    <row r="68" spans="2:18" x14ac:dyDescent="0.3">
      <c r="B68" s="222">
        <v>44680</v>
      </c>
      <c r="C68" s="195" t="s">
        <v>359</v>
      </c>
      <c r="D68" s="152" t="s">
        <v>360</v>
      </c>
      <c r="E68" s="152" t="s">
        <v>165</v>
      </c>
      <c r="F68" s="189" t="s">
        <v>187</v>
      </c>
      <c r="G68" s="189">
        <v>5355651</v>
      </c>
      <c r="H68" s="190">
        <f>I68/G68</f>
        <v>205.95329792774024</v>
      </c>
      <c r="I68" s="196">
        <v>1103013986</v>
      </c>
      <c r="J68" s="189">
        <v>5355651</v>
      </c>
      <c r="K68" s="196">
        <v>1103013986</v>
      </c>
      <c r="L68" s="225">
        <f>250000/H68</f>
        <v>1213.8674277879918</v>
      </c>
      <c r="N68" s="167"/>
      <c r="O68" s="167"/>
      <c r="P68" s="167"/>
      <c r="Q68" s="167"/>
      <c r="R68" s="167"/>
    </row>
    <row r="69" spans="2:18" x14ac:dyDescent="0.3">
      <c r="B69" s="222">
        <v>44680</v>
      </c>
      <c r="C69" s="195" t="s">
        <v>359</v>
      </c>
      <c r="D69" s="152" t="s">
        <v>360</v>
      </c>
      <c r="E69" s="152" t="s">
        <v>75</v>
      </c>
      <c r="F69" s="189" t="s">
        <v>184</v>
      </c>
      <c r="G69" s="189" t="s">
        <v>184</v>
      </c>
      <c r="H69" s="190">
        <f>H68</f>
        <v>205.95329792774024</v>
      </c>
      <c r="I69" s="196">
        <v>44987727</v>
      </c>
      <c r="J69" s="189" t="s">
        <v>184</v>
      </c>
      <c r="K69" s="196">
        <v>44987727</v>
      </c>
      <c r="L69" s="224"/>
      <c r="N69" s="167"/>
      <c r="O69" s="167"/>
      <c r="P69" s="167"/>
      <c r="Q69" s="167"/>
      <c r="R69" s="167"/>
    </row>
    <row r="70" spans="2:18" x14ac:dyDescent="0.3">
      <c r="B70" s="226" t="s">
        <v>426</v>
      </c>
      <c r="C70" s="142"/>
      <c r="D70" s="199"/>
      <c r="E70" s="199"/>
      <c r="F70" s="200"/>
      <c r="G70" s="200"/>
      <c r="H70" s="200"/>
      <c r="I70" s="200"/>
      <c r="J70" s="200"/>
      <c r="K70" s="201">
        <f>SUM(K68:K69)</f>
        <v>1148001713</v>
      </c>
      <c r="L70" s="224"/>
      <c r="N70" s="167"/>
      <c r="O70" s="167"/>
      <c r="P70" s="167"/>
      <c r="Q70" s="167"/>
      <c r="R70" s="167"/>
    </row>
    <row r="71" spans="2:18" x14ac:dyDescent="0.3">
      <c r="B71" s="220"/>
      <c r="C71" s="220"/>
      <c r="D71" s="142"/>
      <c r="E71" s="142"/>
      <c r="F71" s="174"/>
      <c r="G71" s="174"/>
      <c r="H71" s="174"/>
      <c r="I71" s="174"/>
      <c r="J71" s="175"/>
      <c r="K71" s="175"/>
      <c r="L71" s="176"/>
      <c r="M71" s="224"/>
      <c r="N71" s="167"/>
      <c r="O71" s="167"/>
      <c r="P71" s="167"/>
      <c r="Q71" s="167"/>
      <c r="R71" s="167"/>
    </row>
    <row r="72" spans="2:18" x14ac:dyDescent="0.3">
      <c r="B72" s="168" t="s">
        <v>497</v>
      </c>
      <c r="C72" s="220"/>
      <c r="D72" s="142"/>
      <c r="E72" s="142"/>
      <c r="F72" s="174"/>
      <c r="G72" s="174"/>
      <c r="H72" s="174"/>
      <c r="I72" s="174"/>
      <c r="J72" s="175"/>
      <c r="K72" s="175"/>
      <c r="L72" s="176"/>
      <c r="M72" s="169"/>
      <c r="N72" s="167"/>
      <c r="O72" s="167"/>
      <c r="P72" s="167"/>
      <c r="Q72" s="167"/>
      <c r="R72" s="167"/>
    </row>
    <row r="73" spans="2:18" x14ac:dyDescent="0.3">
      <c r="B73" s="261" t="s">
        <v>511</v>
      </c>
      <c r="C73" s="261"/>
      <c r="D73" s="261"/>
      <c r="E73" s="261"/>
      <c r="F73" s="261"/>
      <c r="G73" s="261"/>
      <c r="H73" s="261"/>
      <c r="I73" s="174"/>
      <c r="J73" s="175"/>
      <c r="K73" s="175"/>
      <c r="L73" s="176"/>
      <c r="M73" s="169"/>
      <c r="N73" s="167"/>
      <c r="O73" s="167"/>
      <c r="P73" s="167"/>
      <c r="Q73" s="167"/>
      <c r="R73" s="167"/>
    </row>
    <row r="74" spans="2:18" x14ac:dyDescent="0.3">
      <c r="B74" s="220" t="s">
        <v>361</v>
      </c>
      <c r="C74" s="220"/>
      <c r="D74" s="142"/>
      <c r="E74" s="224"/>
      <c r="F74" s="224"/>
      <c r="G74" s="224"/>
      <c r="H74" s="224"/>
      <c r="I74" s="224"/>
      <c r="J74" s="224"/>
      <c r="K74" s="224"/>
      <c r="L74" s="224"/>
      <c r="M74" s="224"/>
      <c r="N74" s="167"/>
      <c r="O74" s="167"/>
      <c r="P74" s="167"/>
      <c r="Q74" s="167"/>
      <c r="R74" s="167"/>
    </row>
    <row r="75" spans="2:18" x14ac:dyDescent="0.3">
      <c r="B75" s="220"/>
      <c r="C75" s="220"/>
      <c r="D75" s="142"/>
      <c r="E75" s="224"/>
      <c r="F75" s="224"/>
      <c r="G75" s="224"/>
      <c r="H75" s="224"/>
      <c r="I75" s="224"/>
      <c r="J75" s="224"/>
      <c r="K75" s="224"/>
      <c r="L75" s="224"/>
      <c r="M75" s="224"/>
      <c r="N75" s="167"/>
      <c r="O75" s="167"/>
      <c r="P75" s="167"/>
      <c r="Q75" s="167"/>
      <c r="R75" s="167"/>
    </row>
    <row r="76" spans="2:18" x14ac:dyDescent="0.3">
      <c r="B76" s="186" t="s">
        <v>430</v>
      </c>
      <c r="C76" s="224"/>
      <c r="D76" s="224"/>
      <c r="E76" s="224"/>
      <c r="F76" s="224"/>
      <c r="G76" s="224"/>
      <c r="H76" s="224"/>
      <c r="I76" s="224"/>
      <c r="K76" s="224"/>
      <c r="L76" s="224"/>
      <c r="M76" s="224"/>
      <c r="N76" s="167"/>
      <c r="O76" s="167"/>
      <c r="P76" s="167"/>
      <c r="Q76" s="167"/>
      <c r="R76" s="167"/>
    </row>
    <row r="77" spans="2:18" x14ac:dyDescent="0.3">
      <c r="B77" s="170" t="s">
        <v>474</v>
      </c>
      <c r="C77" s="170" t="s">
        <v>475</v>
      </c>
      <c r="D77" s="170" t="s">
        <v>481</v>
      </c>
      <c r="E77" s="170" t="s">
        <v>482</v>
      </c>
      <c r="F77" s="170" t="s">
        <v>483</v>
      </c>
      <c r="G77" s="170" t="s">
        <v>484</v>
      </c>
      <c r="H77" s="170" t="s">
        <v>485</v>
      </c>
      <c r="I77" s="170" t="s">
        <v>486</v>
      </c>
      <c r="K77" s="224"/>
      <c r="L77" s="224"/>
      <c r="M77" s="224"/>
      <c r="N77" s="167"/>
      <c r="O77" s="167"/>
      <c r="P77" s="167"/>
      <c r="Q77" s="167"/>
      <c r="R77" s="167"/>
    </row>
    <row r="78" spans="2:18" x14ac:dyDescent="0.3">
      <c r="B78" s="262" t="s">
        <v>367</v>
      </c>
      <c r="C78" s="263" t="s">
        <v>368</v>
      </c>
      <c r="D78" s="221">
        <v>44582</v>
      </c>
      <c r="E78" s="158">
        <v>30205000</v>
      </c>
      <c r="F78" s="187">
        <f>G78/I78</f>
        <v>1196.7</v>
      </c>
      <c r="G78" s="189">
        <v>36146323500</v>
      </c>
      <c r="H78" s="188">
        <v>1</v>
      </c>
      <c r="I78" s="188">
        <v>30205000</v>
      </c>
      <c r="K78" s="224"/>
      <c r="L78" s="224"/>
      <c r="M78" s="224"/>
      <c r="N78" s="167"/>
      <c r="O78" s="167"/>
      <c r="P78" s="167"/>
      <c r="Q78" s="167"/>
      <c r="R78" s="167"/>
    </row>
    <row r="79" spans="2:18" x14ac:dyDescent="0.3">
      <c r="B79" s="262"/>
      <c r="C79" s="264"/>
      <c r="D79" s="221">
        <v>44677</v>
      </c>
      <c r="E79" s="189">
        <v>40060000</v>
      </c>
      <c r="F79" s="187">
        <f>G79/I79</f>
        <v>1226.7</v>
      </c>
      <c r="G79" s="158">
        <v>49141602000</v>
      </c>
      <c r="H79" s="188">
        <v>1</v>
      </c>
      <c r="I79" s="188">
        <v>40060000</v>
      </c>
      <c r="K79" s="224"/>
      <c r="L79" s="224"/>
      <c r="M79" s="224"/>
      <c r="N79" s="167"/>
      <c r="O79" s="167"/>
      <c r="P79" s="167"/>
      <c r="Q79" s="167"/>
      <c r="R79" s="167"/>
    </row>
    <row r="80" spans="2:18" x14ac:dyDescent="0.3">
      <c r="B80" s="265" t="s">
        <v>366</v>
      </c>
      <c r="C80" s="266"/>
      <c r="D80" s="267"/>
      <c r="E80" s="193">
        <f>SUM(E78:E79)</f>
        <v>70265000</v>
      </c>
      <c r="F80" s="194"/>
      <c r="G80" s="193">
        <f>SUM(G78:G79)</f>
        <v>85287925500</v>
      </c>
      <c r="H80" s="193"/>
      <c r="I80" s="193">
        <f>SUM(I78:I79)</f>
        <v>70265000</v>
      </c>
      <c r="K80" s="224"/>
      <c r="L80" s="224"/>
      <c r="M80" s="224"/>
      <c r="N80" s="167"/>
      <c r="O80" s="167"/>
      <c r="P80" s="167"/>
      <c r="Q80" s="167"/>
      <c r="R80" s="167"/>
    </row>
    <row r="81" spans="2:18" x14ac:dyDescent="0.3"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167"/>
      <c r="O81" s="167"/>
      <c r="P81" s="167"/>
      <c r="Q81" s="167"/>
      <c r="R81" s="167"/>
    </row>
    <row r="82" spans="2:18" x14ac:dyDescent="0.3">
      <c r="B82" s="186" t="s">
        <v>362</v>
      </c>
      <c r="C82" s="186"/>
      <c r="D82" s="142"/>
      <c r="E82" s="142"/>
      <c r="F82" s="174"/>
      <c r="G82" s="174"/>
      <c r="H82" s="174"/>
      <c r="I82" s="174"/>
      <c r="J82" s="175"/>
      <c r="K82" s="175"/>
      <c r="L82" s="176"/>
      <c r="M82" s="224"/>
      <c r="N82" s="167"/>
      <c r="O82" s="167"/>
      <c r="P82" s="167"/>
      <c r="Q82" s="167"/>
      <c r="R82" s="167"/>
    </row>
    <row r="83" spans="2:18" x14ac:dyDescent="0.3">
      <c r="B83" s="170" t="s">
        <v>487</v>
      </c>
      <c r="C83" s="170" t="s">
        <v>488</v>
      </c>
      <c r="D83" s="170" t="s">
        <v>489</v>
      </c>
      <c r="E83" s="170" t="s">
        <v>490</v>
      </c>
      <c r="F83" s="170" t="s">
        <v>491</v>
      </c>
      <c r="G83" s="170" t="s">
        <v>492</v>
      </c>
      <c r="H83" s="170" t="s">
        <v>493</v>
      </c>
      <c r="I83" s="170" t="s">
        <v>494</v>
      </c>
      <c r="J83" s="170" t="s">
        <v>495</v>
      </c>
      <c r="K83" s="170" t="s">
        <v>496</v>
      </c>
      <c r="M83" s="224"/>
      <c r="N83" s="167"/>
      <c r="O83" s="167"/>
      <c r="P83" s="167"/>
      <c r="Q83" s="167"/>
      <c r="R83" s="167"/>
    </row>
    <row r="84" spans="2:18" x14ac:dyDescent="0.3">
      <c r="B84" s="222">
        <v>44582</v>
      </c>
      <c r="C84" s="195" t="s">
        <v>268</v>
      </c>
      <c r="D84" s="152" t="s">
        <v>177</v>
      </c>
      <c r="E84" s="152" t="s">
        <v>363</v>
      </c>
      <c r="F84" s="189" t="s">
        <v>125</v>
      </c>
      <c r="G84" s="189" t="s">
        <v>184</v>
      </c>
      <c r="H84" s="227">
        <v>70000000</v>
      </c>
      <c r="I84" s="227">
        <v>70000000</v>
      </c>
      <c r="J84" s="189" t="s">
        <v>184</v>
      </c>
      <c r="K84" s="227">
        <v>70000000</v>
      </c>
      <c r="M84" s="224"/>
      <c r="N84" s="167"/>
      <c r="O84" s="167"/>
      <c r="P84" s="167"/>
      <c r="Q84" s="167"/>
      <c r="R84" s="167"/>
    </row>
    <row r="85" spans="2:18" x14ac:dyDescent="0.3">
      <c r="B85" s="224"/>
      <c r="C85" s="224"/>
      <c r="D85" s="224"/>
      <c r="E85" s="228" t="s">
        <v>428</v>
      </c>
      <c r="F85" s="224"/>
      <c r="G85" s="224"/>
      <c r="H85" s="224"/>
      <c r="I85" s="224"/>
      <c r="J85" s="224"/>
      <c r="K85" s="224"/>
      <c r="M85" s="224"/>
      <c r="N85" s="167"/>
      <c r="O85" s="167"/>
      <c r="P85" s="167"/>
      <c r="Q85" s="167"/>
      <c r="R85" s="167"/>
    </row>
    <row r="86" spans="2:18" x14ac:dyDescent="0.3">
      <c r="B86" s="167"/>
      <c r="C86" s="167"/>
      <c r="D86" s="167"/>
      <c r="E86" s="167"/>
      <c r="F86" s="202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</row>
    <row r="87" spans="2:18" x14ac:dyDescent="0.3">
      <c r="B87" s="168" t="s">
        <v>498</v>
      </c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</row>
    <row r="88" spans="2:18" x14ac:dyDescent="0.3">
      <c r="B88" s="260" t="s">
        <v>512</v>
      </c>
      <c r="C88" s="260"/>
      <c r="D88" s="260"/>
      <c r="E88" s="260"/>
      <c r="F88" s="260"/>
      <c r="G88" s="260"/>
      <c r="H88" s="260"/>
      <c r="K88" s="167"/>
      <c r="L88" s="167"/>
      <c r="M88" s="167"/>
      <c r="N88" s="167"/>
      <c r="O88" s="167"/>
      <c r="P88" s="167"/>
      <c r="Q88" s="167"/>
      <c r="R88" s="167"/>
    </row>
    <row r="89" spans="2:18" x14ac:dyDescent="0.3">
      <c r="B89" s="203" t="s">
        <v>514</v>
      </c>
      <c r="C89" s="203"/>
      <c r="D89" s="142"/>
      <c r="E89" s="167"/>
      <c r="F89" s="167"/>
      <c r="G89" s="167"/>
      <c r="H89" s="167"/>
      <c r="M89" s="167"/>
      <c r="N89" s="166"/>
      <c r="O89" s="167"/>
      <c r="P89" s="167"/>
      <c r="Q89" s="167"/>
      <c r="R89" s="167"/>
    </row>
    <row r="90" spans="2:18" x14ac:dyDescent="0.3">
      <c r="B90" s="219" t="s">
        <v>472</v>
      </c>
      <c r="C90" s="220"/>
      <c r="D90" s="142"/>
      <c r="E90" s="142"/>
      <c r="F90" s="167"/>
      <c r="G90" s="167"/>
      <c r="H90" s="167"/>
      <c r="M90" s="167"/>
      <c r="N90" s="166"/>
      <c r="O90" s="167"/>
      <c r="P90" s="167"/>
      <c r="Q90" s="167"/>
      <c r="R90" s="167"/>
    </row>
    <row r="91" spans="2:18" x14ac:dyDescent="0.3">
      <c r="B91" s="219"/>
      <c r="C91" s="220"/>
      <c r="D91" s="142"/>
      <c r="E91" s="142"/>
      <c r="F91" s="167"/>
      <c r="G91" s="167"/>
      <c r="H91" s="167"/>
      <c r="M91" s="167"/>
      <c r="N91" s="166"/>
      <c r="O91" s="167"/>
      <c r="P91" s="167"/>
      <c r="Q91" s="167"/>
      <c r="R91" s="167"/>
    </row>
    <row r="92" spans="2:18" x14ac:dyDescent="0.3">
      <c r="B92" s="178" t="s">
        <v>473</v>
      </c>
      <c r="C92" s="220"/>
      <c r="D92" s="142"/>
      <c r="E92" s="142"/>
      <c r="F92" s="167"/>
      <c r="G92" s="167"/>
      <c r="H92" s="167"/>
      <c r="M92" s="167"/>
      <c r="N92" s="166"/>
      <c r="O92" s="167"/>
      <c r="P92" s="167"/>
      <c r="Q92" s="167"/>
      <c r="R92" s="167"/>
    </row>
    <row r="93" spans="2:18" x14ac:dyDescent="0.3">
      <c r="B93" s="170" t="s">
        <v>474</v>
      </c>
      <c r="C93" s="170" t="s">
        <v>475</v>
      </c>
      <c r="D93" s="170" t="s">
        <v>476</v>
      </c>
      <c r="E93" s="170" t="s">
        <v>477</v>
      </c>
      <c r="F93" s="167"/>
      <c r="G93" s="167"/>
      <c r="H93" s="167"/>
      <c r="M93" s="167"/>
      <c r="N93" s="166"/>
      <c r="O93" s="167"/>
      <c r="P93" s="167"/>
      <c r="Q93" s="167"/>
      <c r="R93" s="167"/>
    </row>
    <row r="94" spans="2:18" x14ac:dyDescent="0.3">
      <c r="B94" s="179" t="s">
        <v>442</v>
      </c>
      <c r="C94" s="179" t="s">
        <v>443</v>
      </c>
      <c r="D94" s="180">
        <v>1</v>
      </c>
      <c r="E94" s="181">
        <v>26486908</v>
      </c>
      <c r="F94" s="167"/>
      <c r="G94" s="167"/>
      <c r="H94" s="167"/>
      <c r="M94" s="167"/>
      <c r="N94" s="166"/>
      <c r="O94" s="167"/>
      <c r="P94" s="167"/>
      <c r="Q94" s="167"/>
      <c r="R94" s="167"/>
    </row>
    <row r="95" spans="2:18" x14ac:dyDescent="0.3">
      <c r="B95" s="179" t="s">
        <v>443</v>
      </c>
      <c r="C95" s="179" t="s">
        <v>513</v>
      </c>
      <c r="D95" s="180">
        <f>R108</f>
        <v>8.8363212904280758E-2</v>
      </c>
      <c r="E95" s="183">
        <f>J108</f>
        <v>417188</v>
      </c>
      <c r="F95" s="167"/>
      <c r="G95" s="167"/>
      <c r="H95" s="167"/>
      <c r="M95" s="167"/>
      <c r="N95" s="166"/>
      <c r="O95" s="167"/>
      <c r="P95" s="167"/>
      <c r="Q95" s="167"/>
      <c r="R95" s="167"/>
    </row>
    <row r="96" spans="2:18" x14ac:dyDescent="0.3">
      <c r="B96" s="203"/>
      <c r="C96" s="203"/>
      <c r="D96" s="142"/>
      <c r="E96" s="167"/>
      <c r="F96" s="167"/>
      <c r="G96" s="167"/>
      <c r="H96" s="167"/>
      <c r="M96" s="167"/>
      <c r="N96" s="166"/>
      <c r="O96" s="167"/>
      <c r="P96" s="167"/>
      <c r="Q96" s="167"/>
      <c r="R96" s="167"/>
    </row>
    <row r="97" spans="2:18" x14ac:dyDescent="0.3">
      <c r="B97" s="204" t="s">
        <v>440</v>
      </c>
      <c r="C97" s="167"/>
      <c r="D97" s="167"/>
      <c r="E97" s="167"/>
      <c r="F97" s="167"/>
      <c r="G97" s="167"/>
      <c r="I97" s="167"/>
      <c r="J97" s="167"/>
      <c r="K97" s="167"/>
      <c r="L97" s="167"/>
      <c r="M97" s="167"/>
      <c r="N97" s="166"/>
      <c r="O97" s="167"/>
      <c r="P97" s="167"/>
      <c r="Q97" s="167"/>
      <c r="R97" s="167"/>
    </row>
    <row r="98" spans="2:18" x14ac:dyDescent="0.3">
      <c r="B98" s="170" t="s">
        <v>474</v>
      </c>
      <c r="C98" s="170" t="s">
        <v>475</v>
      </c>
      <c r="D98" s="170" t="s">
        <v>481</v>
      </c>
      <c r="E98" s="170" t="s">
        <v>482</v>
      </c>
      <c r="F98" s="170" t="s">
        <v>483</v>
      </c>
      <c r="G98" s="170" t="s">
        <v>484</v>
      </c>
      <c r="I98" s="167"/>
      <c r="J98" s="167"/>
      <c r="K98" s="167"/>
      <c r="L98" s="167"/>
      <c r="M98" s="167"/>
      <c r="N98" s="166"/>
      <c r="O98" s="167"/>
      <c r="P98" s="167"/>
      <c r="Q98" s="167"/>
      <c r="R98" s="167"/>
    </row>
    <row r="99" spans="2:18" x14ac:dyDescent="0.3">
      <c r="B99" s="179" t="s">
        <v>442</v>
      </c>
      <c r="C99" s="179" t="s">
        <v>443</v>
      </c>
      <c r="D99" s="205">
        <v>45131</v>
      </c>
      <c r="E99" s="206">
        <v>6562734</v>
      </c>
      <c r="F99" s="207">
        <v>1000</v>
      </c>
      <c r="G99" s="162">
        <f>F99*E99</f>
        <v>6562734000</v>
      </c>
      <c r="I99" s="167"/>
      <c r="J99" s="167"/>
      <c r="K99" s="167"/>
      <c r="L99" s="167"/>
      <c r="M99" s="167"/>
      <c r="N99" s="166"/>
      <c r="O99" s="167"/>
      <c r="P99" s="167"/>
      <c r="Q99" s="167"/>
      <c r="R99" s="167"/>
    </row>
    <row r="100" spans="2:18" x14ac:dyDescent="0.3">
      <c r="B100" s="179" t="s">
        <v>442</v>
      </c>
      <c r="C100" s="179" t="s">
        <v>443</v>
      </c>
      <c r="D100" s="205">
        <v>45175</v>
      </c>
      <c r="E100" s="206">
        <v>19924173</v>
      </c>
      <c r="F100" s="207">
        <v>1000</v>
      </c>
      <c r="G100" s="162">
        <f>F100*E100</f>
        <v>19924173000</v>
      </c>
      <c r="I100" s="167"/>
      <c r="J100" s="167"/>
      <c r="K100" s="167"/>
      <c r="L100" s="167"/>
      <c r="M100" s="167"/>
      <c r="N100" s="166"/>
      <c r="O100" s="167"/>
      <c r="P100" s="167"/>
      <c r="Q100" s="167"/>
      <c r="R100" s="167"/>
    </row>
    <row r="101" spans="2:18" x14ac:dyDescent="0.3">
      <c r="B101" s="179" t="s">
        <v>442</v>
      </c>
      <c r="C101" s="179" t="s">
        <v>443</v>
      </c>
      <c r="D101" s="205">
        <v>45203</v>
      </c>
      <c r="E101" s="206">
        <v>1</v>
      </c>
      <c r="F101" s="207">
        <v>1000</v>
      </c>
      <c r="G101" s="162">
        <f>F101*E101</f>
        <v>1000</v>
      </c>
      <c r="I101" s="167"/>
      <c r="J101" s="167"/>
      <c r="K101" s="167"/>
      <c r="L101" s="167"/>
      <c r="M101" s="167"/>
      <c r="N101" s="166"/>
      <c r="O101" s="167"/>
      <c r="P101" s="167"/>
      <c r="Q101" s="167"/>
      <c r="R101" s="167"/>
    </row>
    <row r="102" spans="2:18" x14ac:dyDescent="0.3">
      <c r="B102" s="268" t="s">
        <v>366</v>
      </c>
      <c r="C102" s="269"/>
      <c r="D102" s="270"/>
      <c r="E102" s="208">
        <f>SUM(E99:E101)</f>
        <v>26486908</v>
      </c>
      <c r="F102" s="209"/>
      <c r="G102" s="208">
        <f>SUM(G99:G101)</f>
        <v>26486908000</v>
      </c>
      <c r="I102" s="167"/>
      <c r="J102" s="167"/>
      <c r="K102" s="167"/>
      <c r="L102" s="167"/>
      <c r="M102" s="167"/>
      <c r="N102" s="166"/>
      <c r="O102" s="167"/>
      <c r="P102" s="167"/>
      <c r="Q102" s="167"/>
      <c r="R102" s="167"/>
    </row>
    <row r="103" spans="2:18" x14ac:dyDescent="0.3"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6"/>
      <c r="O103" s="167"/>
      <c r="P103" s="167"/>
      <c r="Q103" s="167"/>
      <c r="R103" s="167"/>
    </row>
    <row r="104" spans="2:18" x14ac:dyDescent="0.3">
      <c r="B104" s="204" t="s">
        <v>441</v>
      </c>
      <c r="C104" s="204"/>
      <c r="D104" s="142"/>
      <c r="E104" s="142"/>
      <c r="F104" s="143"/>
      <c r="G104" s="143"/>
      <c r="I104" s="143"/>
      <c r="J104" s="143"/>
      <c r="K104" s="144"/>
      <c r="L104" s="144"/>
      <c r="M104" s="145"/>
      <c r="N104" s="167"/>
      <c r="O104" s="166"/>
      <c r="P104" s="167"/>
      <c r="Q104" s="167"/>
      <c r="R104" s="167"/>
    </row>
    <row r="105" spans="2:18" x14ac:dyDescent="0.3">
      <c r="B105" s="170" t="s">
        <v>474</v>
      </c>
      <c r="C105" s="170" t="s">
        <v>475</v>
      </c>
      <c r="D105" s="170" t="s">
        <v>489</v>
      </c>
      <c r="E105" s="170" t="s">
        <v>481</v>
      </c>
      <c r="F105" s="170" t="s">
        <v>519</v>
      </c>
      <c r="G105" s="170" t="s">
        <v>522</v>
      </c>
      <c r="H105" s="170" t="s">
        <v>523</v>
      </c>
      <c r="I105" s="170" t="s">
        <v>520</v>
      </c>
      <c r="J105" s="170" t="s">
        <v>492</v>
      </c>
      <c r="K105" s="170" t="s">
        <v>493</v>
      </c>
      <c r="L105" s="170" t="s">
        <v>494</v>
      </c>
      <c r="M105" s="170" t="s">
        <v>515</v>
      </c>
      <c r="N105" s="170" t="s">
        <v>516</v>
      </c>
      <c r="O105" s="170" t="s">
        <v>495</v>
      </c>
      <c r="P105" s="170" t="s">
        <v>496</v>
      </c>
      <c r="Q105" s="170" t="s">
        <v>517</v>
      </c>
      <c r="R105" s="170" t="s">
        <v>476</v>
      </c>
    </row>
    <row r="106" spans="2:18" x14ac:dyDescent="0.3">
      <c r="B106" s="179" t="s">
        <v>443</v>
      </c>
      <c r="C106" s="195" t="s">
        <v>437</v>
      </c>
      <c r="D106" s="152" t="s">
        <v>177</v>
      </c>
      <c r="E106" s="205">
        <v>45131</v>
      </c>
      <c r="F106" s="195" t="s">
        <v>518</v>
      </c>
      <c r="G106" s="205">
        <v>45176</v>
      </c>
      <c r="H106" s="162" t="s">
        <v>524</v>
      </c>
      <c r="I106" s="162" t="s">
        <v>125</v>
      </c>
      <c r="J106" s="153">
        <v>104297</v>
      </c>
      <c r="K106" s="237">
        <f>L106/J106</f>
        <v>47.940017450166351</v>
      </c>
      <c r="L106" s="210">
        <v>5000000</v>
      </c>
      <c r="M106" s="162">
        <f>N106/L106*K106</f>
        <v>62523.370758506957</v>
      </c>
      <c r="N106" s="162">
        <v>6521000000</v>
      </c>
      <c r="O106" s="153">
        <v>104297</v>
      </c>
      <c r="P106" s="210">
        <f>L106</f>
        <v>5000000</v>
      </c>
      <c r="Q106" s="162">
        <f>N106</f>
        <v>6521000000</v>
      </c>
      <c r="R106" s="240">
        <v>2.20908032260702E-2</v>
      </c>
    </row>
    <row r="107" spans="2:18" x14ac:dyDescent="0.3">
      <c r="B107" s="179" t="s">
        <v>443</v>
      </c>
      <c r="C107" s="195" t="s">
        <v>437</v>
      </c>
      <c r="D107" s="152" t="s">
        <v>177</v>
      </c>
      <c r="E107" s="205">
        <v>45176</v>
      </c>
      <c r="F107" s="195" t="s">
        <v>521</v>
      </c>
      <c r="G107" s="205">
        <v>45176</v>
      </c>
      <c r="H107" s="162" t="s">
        <v>62</v>
      </c>
      <c r="I107" s="162" t="s">
        <v>187</v>
      </c>
      <c r="J107" s="153">
        <v>312891</v>
      </c>
      <c r="K107" s="237">
        <f>L107/J107</f>
        <v>47.94</v>
      </c>
      <c r="L107" s="237">
        <v>14999994.539999999</v>
      </c>
      <c r="M107" s="162">
        <f>N107/L107*K107</f>
        <v>63424.619998657683</v>
      </c>
      <c r="N107" s="162">
        <v>19844992776</v>
      </c>
      <c r="O107" s="153">
        <v>312891</v>
      </c>
      <c r="P107" s="210">
        <f t="shared" ref="P107" si="4">L107</f>
        <v>14999994.539999999</v>
      </c>
      <c r="Q107" s="162">
        <f t="shared" ref="Q107" si="5">N107</f>
        <v>19844992776</v>
      </c>
      <c r="R107" s="240">
        <v>6.6272409678210562E-2</v>
      </c>
    </row>
    <row r="108" spans="2:18" x14ac:dyDescent="0.15">
      <c r="B108" s="268" t="s">
        <v>366</v>
      </c>
      <c r="C108" s="269"/>
      <c r="D108" s="269"/>
      <c r="E108" s="269"/>
      <c r="F108" s="269"/>
      <c r="G108" s="269"/>
      <c r="H108" s="269"/>
      <c r="I108" s="270"/>
      <c r="J108" s="208">
        <f>SUM(J106:J107)</f>
        <v>417188</v>
      </c>
      <c r="K108" s="208"/>
      <c r="L108" s="208">
        <f>SUM(L106:L107)</f>
        <v>19999994.539999999</v>
      </c>
      <c r="M108" s="208">
        <f>AVERAGE(M106:M107)</f>
        <v>62973.995378582316</v>
      </c>
      <c r="N108" s="208">
        <f>SUM(N106:N107)</f>
        <v>26365992776</v>
      </c>
      <c r="O108" s="208">
        <f>SUM(O106:O107)</f>
        <v>417188</v>
      </c>
      <c r="P108" s="208">
        <f t="shared" ref="P108:R108" si="6">SUM(P106:P107)</f>
        <v>19999994.539999999</v>
      </c>
      <c r="Q108" s="208">
        <f t="shared" si="6"/>
        <v>26365992776</v>
      </c>
      <c r="R108" s="239">
        <f t="shared" si="6"/>
        <v>8.8363212904280758E-2</v>
      </c>
    </row>
    <row r="109" spans="2:18" x14ac:dyDescent="0.3">
      <c r="O109" s="167"/>
      <c r="P109" s="167"/>
      <c r="Q109" s="167"/>
      <c r="R109" s="167"/>
    </row>
    <row r="110" spans="2:18" x14ac:dyDescent="0.3">
      <c r="B110" s="168" t="s">
        <v>545</v>
      </c>
      <c r="C110" s="242"/>
      <c r="D110" s="243"/>
      <c r="E110" s="242"/>
      <c r="F110" s="242"/>
      <c r="G110" s="242"/>
      <c r="H110" s="242"/>
      <c r="I110" s="242"/>
      <c r="J110" s="242"/>
      <c r="K110" s="242"/>
      <c r="L110" s="242"/>
      <c r="M110" s="242"/>
      <c r="N110" s="243"/>
      <c r="O110" s="242"/>
      <c r="P110" s="167"/>
      <c r="Q110" s="167"/>
      <c r="R110" s="167"/>
    </row>
    <row r="111" spans="2:18" x14ac:dyDescent="0.3">
      <c r="B111" s="243"/>
      <c r="C111" s="242"/>
      <c r="D111" s="242"/>
      <c r="E111" s="242"/>
      <c r="F111" s="242"/>
      <c r="G111" s="242"/>
      <c r="H111" s="242"/>
      <c r="I111" s="242"/>
      <c r="J111" s="242"/>
      <c r="K111" s="242"/>
      <c r="L111" s="243"/>
      <c r="N111" s="242"/>
      <c r="P111" s="167"/>
      <c r="Q111" s="167"/>
      <c r="R111" s="167"/>
    </row>
    <row r="112" spans="2:18" ht="33" x14ac:dyDescent="0.3">
      <c r="B112" s="244" t="s">
        <v>536</v>
      </c>
      <c r="C112" s="244" t="s">
        <v>537</v>
      </c>
      <c r="D112" s="244" t="s">
        <v>538</v>
      </c>
      <c r="E112" s="244" t="s">
        <v>539</v>
      </c>
      <c r="F112" s="245" t="s">
        <v>540</v>
      </c>
      <c r="G112" s="245" t="s">
        <v>541</v>
      </c>
      <c r="H112" s="244" t="s">
        <v>542</v>
      </c>
      <c r="I112" s="244" t="s">
        <v>543</v>
      </c>
      <c r="J112" s="245" t="s">
        <v>544</v>
      </c>
      <c r="K112" s="242"/>
      <c r="L112" s="243"/>
      <c r="N112" s="242"/>
      <c r="P112" s="167"/>
      <c r="Q112" s="167"/>
      <c r="R112" s="167"/>
    </row>
    <row r="113" spans="2:18" x14ac:dyDescent="0.3">
      <c r="B113" s="246">
        <v>45429</v>
      </c>
      <c r="C113" s="247">
        <v>20262</v>
      </c>
      <c r="D113" s="247">
        <v>28500</v>
      </c>
      <c r="E113" s="248">
        <v>577467000</v>
      </c>
      <c r="F113" s="248">
        <v>101250.48366400159</v>
      </c>
      <c r="G113" s="247">
        <v>2051537300</v>
      </c>
      <c r="H113" s="247">
        <v>2051530</v>
      </c>
      <c r="I113" s="247">
        <v>3692380</v>
      </c>
      <c r="J113" s="247">
        <v>2045793390</v>
      </c>
      <c r="K113" s="242"/>
      <c r="L113" s="243"/>
      <c r="N113" s="242"/>
      <c r="P113" s="167"/>
      <c r="Q113" s="167"/>
      <c r="R113" s="167"/>
    </row>
    <row r="114" spans="2:18" x14ac:dyDescent="0.3">
      <c r="B114" s="246">
        <v>45450</v>
      </c>
      <c r="C114" s="247">
        <v>130000</v>
      </c>
      <c r="D114" s="247">
        <v>28500</v>
      </c>
      <c r="E114" s="248">
        <v>3705000000</v>
      </c>
      <c r="F114" s="248">
        <v>113484.52</v>
      </c>
      <c r="G114" s="247">
        <v>14752987600</v>
      </c>
      <c r="H114" s="247">
        <v>14752980</v>
      </c>
      <c r="I114" s="247">
        <v>26553786</v>
      </c>
      <c r="J114" s="247">
        <v>14711680834</v>
      </c>
      <c r="K114" s="242"/>
      <c r="L114" s="243"/>
      <c r="N114" s="242"/>
      <c r="P114" s="167"/>
      <c r="Q114" s="167"/>
      <c r="R114" s="167"/>
    </row>
    <row r="115" spans="2:18" x14ac:dyDescent="0.3">
      <c r="B115" s="246">
        <v>45453</v>
      </c>
      <c r="C115" s="247">
        <v>49738</v>
      </c>
      <c r="D115" s="247">
        <v>28500</v>
      </c>
      <c r="E115" s="248">
        <v>1417533000</v>
      </c>
      <c r="F115" s="248">
        <v>123736.31830793357</v>
      </c>
      <c r="G115" s="247">
        <v>6154397000</v>
      </c>
      <c r="H115" s="247">
        <v>6154390</v>
      </c>
      <c r="I115" s="247">
        <v>11077144</v>
      </c>
      <c r="J115" s="247">
        <v>6137165466</v>
      </c>
      <c r="K115" s="242"/>
      <c r="L115" s="243"/>
      <c r="N115" s="242"/>
      <c r="P115" s="167"/>
      <c r="Q115" s="167"/>
      <c r="R115" s="167"/>
    </row>
    <row r="116" spans="2:18" x14ac:dyDescent="0.3">
      <c r="B116" s="246">
        <v>45453</v>
      </c>
      <c r="C116" s="247">
        <v>40000</v>
      </c>
      <c r="D116" s="247">
        <v>28500</v>
      </c>
      <c r="E116" s="248">
        <v>1140000000</v>
      </c>
      <c r="F116" s="248">
        <v>130192.5575</v>
      </c>
      <c r="G116" s="247">
        <v>5207702300</v>
      </c>
      <c r="H116" s="247">
        <v>5207700</v>
      </c>
      <c r="I116" s="247">
        <v>9373560</v>
      </c>
      <c r="J116" s="247">
        <v>5193121040</v>
      </c>
      <c r="K116" s="242"/>
      <c r="L116" s="243"/>
      <c r="N116" s="242"/>
      <c r="P116" s="167"/>
      <c r="Q116" s="167"/>
      <c r="R116" s="167"/>
    </row>
    <row r="117" spans="2:18" x14ac:dyDescent="0.3">
      <c r="B117" s="246">
        <v>45454</v>
      </c>
      <c r="C117" s="247">
        <v>100000</v>
      </c>
      <c r="D117" s="247">
        <v>28500</v>
      </c>
      <c r="E117" s="248">
        <v>2850000000</v>
      </c>
      <c r="F117" s="248">
        <v>132599.682</v>
      </c>
      <c r="G117" s="247">
        <v>13259968200</v>
      </c>
      <c r="H117" s="247">
        <v>13259960</v>
      </c>
      <c r="I117" s="247">
        <v>23866833</v>
      </c>
      <c r="J117" s="247">
        <v>13222841407</v>
      </c>
      <c r="K117" s="242"/>
      <c r="L117" s="243"/>
      <c r="N117" s="242"/>
      <c r="P117" s="167"/>
      <c r="Q117" s="167"/>
      <c r="R117" s="167"/>
    </row>
    <row r="118" spans="2:18" x14ac:dyDescent="0.3">
      <c r="B118" s="246">
        <v>45454</v>
      </c>
      <c r="C118" s="247">
        <v>50000</v>
      </c>
      <c r="D118" s="247">
        <v>28500</v>
      </c>
      <c r="E118" s="248">
        <v>1425000000</v>
      </c>
      <c r="F118" s="248">
        <v>130972.318</v>
      </c>
      <c r="G118" s="247">
        <v>6548615900</v>
      </c>
      <c r="H118" s="247">
        <v>6548615</v>
      </c>
      <c r="I118" s="247">
        <v>11787347</v>
      </c>
      <c r="J118" s="247">
        <v>6530279938</v>
      </c>
      <c r="K118" s="242"/>
      <c r="L118" s="243"/>
      <c r="N118" s="242"/>
      <c r="P118" s="167"/>
      <c r="Q118" s="167"/>
      <c r="R118" s="167"/>
    </row>
    <row r="119" spans="2:18" x14ac:dyDescent="0.3">
      <c r="B119" s="246">
        <v>45455</v>
      </c>
      <c r="C119" s="247">
        <v>100000</v>
      </c>
      <c r="D119" s="247">
        <v>28500</v>
      </c>
      <c r="E119" s="248">
        <v>2850000000</v>
      </c>
      <c r="F119" s="248">
        <v>132023.42600000001</v>
      </c>
      <c r="G119" s="247">
        <v>13202342600</v>
      </c>
      <c r="H119" s="247">
        <v>13202342</v>
      </c>
      <c r="I119" s="247">
        <v>23763650</v>
      </c>
      <c r="J119" s="247">
        <v>13165376608</v>
      </c>
      <c r="K119" s="242"/>
      <c r="L119" s="243"/>
      <c r="N119" s="242"/>
      <c r="P119" s="167"/>
      <c r="Q119" s="167"/>
      <c r="R119" s="167"/>
    </row>
    <row r="120" spans="2:18" x14ac:dyDescent="0.3">
      <c r="B120" s="246">
        <v>45456</v>
      </c>
      <c r="C120" s="247">
        <v>10000</v>
      </c>
      <c r="D120" s="247">
        <v>28500</v>
      </c>
      <c r="E120" s="248">
        <v>285000000</v>
      </c>
      <c r="F120" s="248">
        <v>130816.91</v>
      </c>
      <c r="G120" s="247">
        <v>1308169100</v>
      </c>
      <c r="H120" s="247">
        <v>1308160</v>
      </c>
      <c r="I120" s="247">
        <v>2354522</v>
      </c>
      <c r="J120" s="247">
        <v>1304506418</v>
      </c>
      <c r="K120" s="242"/>
      <c r="L120" s="243"/>
      <c r="N120" s="242"/>
      <c r="P120" s="167"/>
      <c r="Q120" s="167"/>
      <c r="R120" s="167"/>
    </row>
    <row r="121" spans="2:18" x14ac:dyDescent="0.3">
      <c r="B121" s="246">
        <v>45456</v>
      </c>
      <c r="C121" s="247">
        <v>40000</v>
      </c>
      <c r="D121" s="247">
        <v>28500</v>
      </c>
      <c r="E121" s="248">
        <v>1140000000</v>
      </c>
      <c r="F121" s="248">
        <v>130669.235</v>
      </c>
      <c r="G121" s="247">
        <v>5226769400</v>
      </c>
      <c r="H121" s="247">
        <v>5226760</v>
      </c>
      <c r="I121" s="247">
        <v>9407915</v>
      </c>
      <c r="J121" s="247">
        <v>5212134725</v>
      </c>
      <c r="K121" s="242"/>
      <c r="L121" s="243"/>
      <c r="N121" s="242"/>
      <c r="P121" s="167"/>
      <c r="Q121" s="167"/>
      <c r="R121" s="167"/>
    </row>
    <row r="122" spans="2:18" x14ac:dyDescent="0.3">
      <c r="B122" s="246">
        <v>45456</v>
      </c>
      <c r="C122" s="247">
        <v>50000</v>
      </c>
      <c r="D122" s="247">
        <v>28500</v>
      </c>
      <c r="E122" s="248">
        <v>1425000000</v>
      </c>
      <c r="F122" s="248">
        <v>132431.69</v>
      </c>
      <c r="G122" s="247">
        <v>6621584500</v>
      </c>
      <c r="H122" s="247">
        <v>6621584</v>
      </c>
      <c r="I122" s="247">
        <v>11918529</v>
      </c>
      <c r="J122" s="247">
        <v>6603044387</v>
      </c>
      <c r="K122" s="242"/>
      <c r="L122" s="243"/>
      <c r="N122" s="242"/>
      <c r="P122" s="167"/>
      <c r="Q122" s="167"/>
      <c r="R122" s="167"/>
    </row>
    <row r="123" spans="2:18" ht="17.25" thickBot="1" x14ac:dyDescent="0.35">
      <c r="B123" s="249"/>
      <c r="C123" s="250">
        <v>590000</v>
      </c>
      <c r="D123" s="249"/>
      <c r="E123" s="250">
        <v>16815000000</v>
      </c>
      <c r="F123" s="250">
        <v>125989.95576271186</v>
      </c>
      <c r="G123" s="250">
        <v>74334073900</v>
      </c>
      <c r="H123" s="250">
        <v>74334021</v>
      </c>
      <c r="I123" s="250">
        <v>133795666</v>
      </c>
      <c r="J123" s="250">
        <v>74125944213</v>
      </c>
      <c r="K123" s="242"/>
      <c r="L123" s="243"/>
      <c r="N123" s="242"/>
      <c r="P123" s="167"/>
      <c r="Q123" s="167"/>
      <c r="R123" s="167"/>
    </row>
    <row r="124" spans="2:18" ht="17.25" thickTop="1" x14ac:dyDescent="0.3">
      <c r="B124" s="242"/>
      <c r="K124" s="242"/>
      <c r="L124" s="243"/>
      <c r="N124" s="242"/>
      <c r="O124" s="167"/>
      <c r="P124" s="167"/>
      <c r="Q124" s="167"/>
      <c r="R124" s="167"/>
    </row>
    <row r="125" spans="2:18" x14ac:dyDescent="0.3">
      <c r="N125" s="242"/>
      <c r="O125" s="167"/>
      <c r="P125" s="167"/>
      <c r="Q125" s="167"/>
      <c r="R125" s="167"/>
    </row>
    <row r="126" spans="2:18" x14ac:dyDescent="0.3">
      <c r="O126" s="167"/>
      <c r="P126" s="167"/>
      <c r="Q126" s="167"/>
      <c r="R126" s="167"/>
    </row>
    <row r="127" spans="2:18" x14ac:dyDescent="0.3">
      <c r="O127" s="167"/>
      <c r="P127" s="167"/>
      <c r="Q127" s="167"/>
      <c r="R127" s="167"/>
    </row>
    <row r="128" spans="2:18" x14ac:dyDescent="0.3">
      <c r="O128" s="167"/>
      <c r="P128" s="167"/>
      <c r="Q128" s="167"/>
      <c r="R128" s="167"/>
    </row>
    <row r="129" spans="2:18" x14ac:dyDescent="0.3">
      <c r="O129" s="167"/>
      <c r="P129" s="167"/>
      <c r="Q129" s="167"/>
      <c r="R129" s="167"/>
    </row>
    <row r="130" spans="2:18" x14ac:dyDescent="0.3">
      <c r="O130" s="167"/>
      <c r="P130" s="167"/>
      <c r="Q130" s="167"/>
      <c r="R130" s="167"/>
    </row>
    <row r="131" spans="2:18" x14ac:dyDescent="0.15">
      <c r="B131" s="137" t="s">
        <v>129</v>
      </c>
    </row>
    <row r="132" spans="2:18" x14ac:dyDescent="0.15">
      <c r="B132" s="179" t="s">
        <v>71</v>
      </c>
      <c r="C132" s="179"/>
      <c r="D132" s="179" t="s">
        <v>72</v>
      </c>
    </row>
    <row r="133" spans="2:18" x14ac:dyDescent="0.15">
      <c r="B133" s="179" t="s">
        <v>62</v>
      </c>
      <c r="C133" s="179"/>
      <c r="D133" s="179" t="s">
        <v>62</v>
      </c>
      <c r="K133" s="230"/>
    </row>
    <row r="134" spans="2:18" x14ac:dyDescent="0.15">
      <c r="B134" s="257" t="s">
        <v>82</v>
      </c>
      <c r="C134" s="211"/>
      <c r="D134" s="179" t="s">
        <v>64</v>
      </c>
      <c r="K134" s="230"/>
    </row>
    <row r="135" spans="2:18" x14ac:dyDescent="0.15">
      <c r="B135" s="258"/>
      <c r="C135" s="212"/>
      <c r="D135" s="179" t="s">
        <v>65</v>
      </c>
      <c r="K135" s="230"/>
    </row>
    <row r="136" spans="2:18" x14ac:dyDescent="0.15">
      <c r="B136" s="259" t="s">
        <v>101</v>
      </c>
      <c r="C136" s="213"/>
      <c r="D136" s="179" t="s">
        <v>73</v>
      </c>
      <c r="K136" s="230"/>
    </row>
    <row r="137" spans="2:18" x14ac:dyDescent="0.15">
      <c r="B137" s="258"/>
      <c r="C137" s="212"/>
      <c r="D137" s="179" t="s">
        <v>74</v>
      </c>
      <c r="K137" s="230"/>
    </row>
    <row r="138" spans="2:18" x14ac:dyDescent="0.15">
      <c r="B138" s="179" t="s">
        <v>69</v>
      </c>
      <c r="C138" s="179"/>
      <c r="D138" s="179" t="s">
        <v>75</v>
      </c>
      <c r="K138" s="230"/>
    </row>
    <row r="139" spans="2:18" x14ac:dyDescent="0.15">
      <c r="B139" s="179" t="s">
        <v>70</v>
      </c>
      <c r="C139" s="179"/>
      <c r="D139" s="179" t="s">
        <v>76</v>
      </c>
      <c r="K139" s="230"/>
    </row>
    <row r="140" spans="2:18" x14ac:dyDescent="0.15">
      <c r="B140" s="179" t="s">
        <v>103</v>
      </c>
      <c r="C140" s="179"/>
      <c r="D140" s="179" t="s">
        <v>103</v>
      </c>
      <c r="K140" s="230"/>
    </row>
    <row r="141" spans="2:18" ht="41.25" customHeight="1" x14ac:dyDescent="0.15">
      <c r="B141" s="214" t="s">
        <v>104</v>
      </c>
      <c r="C141" s="214"/>
      <c r="D141" s="179" t="s">
        <v>66</v>
      </c>
      <c r="K141" s="230"/>
    </row>
    <row r="142" spans="2:18" x14ac:dyDescent="0.15">
      <c r="B142" s="215"/>
      <c r="C142" s="215"/>
      <c r="D142" s="177"/>
      <c r="K142" s="230"/>
    </row>
    <row r="143" spans="2:18" x14ac:dyDescent="0.15">
      <c r="B143" s="137" t="s">
        <v>131</v>
      </c>
      <c r="D143" s="177"/>
      <c r="K143" s="230"/>
    </row>
    <row r="144" spans="2:18" x14ac:dyDescent="0.15">
      <c r="D144" s="177"/>
      <c r="K144" s="230"/>
    </row>
    <row r="145" spans="2:12" x14ac:dyDescent="0.15">
      <c r="B145" s="137" t="s">
        <v>137</v>
      </c>
      <c r="K145" s="230"/>
    </row>
    <row r="146" spans="2:12" x14ac:dyDescent="0.15">
      <c r="B146" s="216"/>
      <c r="C146" s="216"/>
      <c r="K146" s="230"/>
    </row>
    <row r="147" spans="2:12" x14ac:dyDescent="0.15">
      <c r="B147" s="217" t="s">
        <v>130</v>
      </c>
      <c r="C147" s="217"/>
      <c r="K147" s="230"/>
      <c r="L147" s="238"/>
    </row>
    <row r="148" spans="2:12" x14ac:dyDescent="0.15">
      <c r="K148" s="230"/>
      <c r="L148" s="238"/>
    </row>
    <row r="149" spans="2:12" x14ac:dyDescent="0.15">
      <c r="B149" s="217" t="s">
        <v>148</v>
      </c>
      <c r="C149" s="217"/>
      <c r="K149" s="230"/>
    </row>
    <row r="150" spans="2:12" x14ac:dyDescent="0.15">
      <c r="K150" s="230"/>
    </row>
    <row r="151" spans="2:12" x14ac:dyDescent="0.15">
      <c r="K151" s="230"/>
    </row>
    <row r="152" spans="2:12" x14ac:dyDescent="0.15">
      <c r="K152" s="230"/>
      <c r="L152" s="238"/>
    </row>
  </sheetData>
  <mergeCells count="17">
    <mergeCell ref="R10:R12"/>
    <mergeCell ref="C16:C19"/>
    <mergeCell ref="B45:G45"/>
    <mergeCell ref="B57:B59"/>
    <mergeCell ref="C35:D35"/>
    <mergeCell ref="C40:D40"/>
    <mergeCell ref="C57:C59"/>
    <mergeCell ref="B26:F26"/>
    <mergeCell ref="B134:B135"/>
    <mergeCell ref="B136:B137"/>
    <mergeCell ref="B88:H88"/>
    <mergeCell ref="B73:H73"/>
    <mergeCell ref="B78:B79"/>
    <mergeCell ref="C78:C79"/>
    <mergeCell ref="B80:D80"/>
    <mergeCell ref="B102:D102"/>
    <mergeCell ref="B108:I108"/>
  </mergeCells>
  <phoneticPr fontId="7" type="noConversion"/>
  <dataValidations disablePrompts="1" count="1">
    <dataValidation type="list" allowBlank="1" showInputMessage="1" showErrorMessage="1" sqref="F24:F25 E68:E70 E84 E64 F9:F21">
      <formula1>투자형태</formula1>
    </dataValidation>
  </dataValidation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"/>
  <sheetViews>
    <sheetView showGridLines="0" zoomScale="85" zoomScaleNormal="85" workbookViewId="0">
      <selection activeCell="L37" sqref="L37"/>
    </sheetView>
  </sheetViews>
  <sheetFormatPr defaultColWidth="8.88671875" defaultRowHeight="13.5" x14ac:dyDescent="0.15"/>
  <cols>
    <col min="1" max="1" width="18.21875" customWidth="1"/>
    <col min="2" max="2" width="18" customWidth="1"/>
    <col min="3" max="3" width="25.88671875" bestFit="1" customWidth="1"/>
    <col min="4" max="4" width="22.6640625" bestFit="1" customWidth="1"/>
    <col min="5" max="5" width="13.77734375" customWidth="1"/>
    <col min="6" max="6" width="14.5546875" customWidth="1"/>
    <col min="7" max="7" width="15.88671875" bestFit="1" customWidth="1"/>
    <col min="8" max="8" width="16.21875" customWidth="1"/>
  </cols>
  <sheetData>
    <row r="2" spans="1:11" s="7" customFormat="1" ht="16.5" x14ac:dyDescent="0.15">
      <c r="B2" s="20" t="s">
        <v>83</v>
      </c>
    </row>
    <row r="3" spans="1:11" s="7" customFormat="1" ht="16.5" x14ac:dyDescent="0.15"/>
    <row r="4" spans="1:11" s="7" customFormat="1" ht="16.5" x14ac:dyDescent="0.15">
      <c r="B4" s="20" t="s">
        <v>413</v>
      </c>
      <c r="G4" s="281"/>
      <c r="H4" s="281"/>
    </row>
    <row r="5" spans="1:11" s="7" customFormat="1" ht="16.5" x14ac:dyDescent="0.15">
      <c r="B5" s="29" t="s">
        <v>60</v>
      </c>
      <c r="C5" s="29" t="s">
        <v>102</v>
      </c>
      <c r="D5" s="29" t="s">
        <v>77</v>
      </c>
      <c r="E5" s="29" t="s">
        <v>1</v>
      </c>
      <c r="F5" s="29" t="s">
        <v>2</v>
      </c>
      <c r="G5" s="29" t="s">
        <v>61</v>
      </c>
      <c r="H5" s="29" t="s">
        <v>105</v>
      </c>
      <c r="K5"/>
    </row>
    <row r="6" spans="1:11" s="7" customFormat="1" ht="16.5" x14ac:dyDescent="0.15">
      <c r="B6" s="318">
        <v>45306</v>
      </c>
      <c r="C6" s="319" t="s">
        <v>529</v>
      </c>
      <c r="D6" s="319" t="s">
        <v>532</v>
      </c>
      <c r="E6" s="319" t="s">
        <v>132</v>
      </c>
      <c r="F6" s="320">
        <f>H6/G6</f>
        <v>400000</v>
      </c>
      <c r="G6" s="314">
        <v>25000</v>
      </c>
      <c r="H6" s="314">
        <v>10000000000</v>
      </c>
      <c r="K6"/>
    </row>
    <row r="7" spans="1:11" s="7" customFormat="1" ht="16.5" x14ac:dyDescent="0.15">
      <c r="B7" s="33"/>
      <c r="C7" s="34"/>
      <c r="D7" s="34"/>
      <c r="E7" s="34"/>
      <c r="F7" s="35"/>
      <c r="G7" s="35"/>
      <c r="H7" s="36"/>
      <c r="K7"/>
    </row>
    <row r="8" spans="1:11" s="7" customFormat="1" ht="16.5" x14ac:dyDescent="0.15">
      <c r="A8" s="280"/>
      <c r="B8" s="33"/>
      <c r="C8" s="34"/>
      <c r="D8" s="34"/>
      <c r="E8" s="34"/>
      <c r="F8" s="35"/>
      <c r="G8" s="35"/>
      <c r="H8" s="36"/>
      <c r="K8"/>
    </row>
    <row r="9" spans="1:11" s="7" customFormat="1" ht="16.5" x14ac:dyDescent="0.15">
      <c r="A9" s="280"/>
      <c r="B9" s="33"/>
      <c r="C9" s="34"/>
      <c r="D9" s="34"/>
      <c r="E9" s="34"/>
      <c r="F9" s="35"/>
      <c r="G9" s="35"/>
      <c r="H9" s="36"/>
    </row>
    <row r="10" spans="1:11" s="7" customFormat="1" ht="16.5" x14ac:dyDescent="0.15">
      <c r="B10" s="33"/>
      <c r="C10" s="34"/>
      <c r="D10" s="34"/>
      <c r="E10" s="34"/>
      <c r="F10" s="35"/>
      <c r="G10" s="35"/>
      <c r="H10" s="36"/>
    </row>
    <row r="11" spans="1:11" s="7" customFormat="1" ht="16.5" x14ac:dyDescent="0.15">
      <c r="B11" s="33"/>
      <c r="C11" s="34"/>
      <c r="D11" s="34"/>
      <c r="E11" s="34"/>
      <c r="F11" s="35"/>
      <c r="G11" s="35"/>
      <c r="H11" s="36"/>
    </row>
    <row r="12" spans="1:11" s="7" customFormat="1" ht="16.5" x14ac:dyDescent="0.15">
      <c r="B12" s="33"/>
      <c r="C12" s="34"/>
      <c r="D12" s="34"/>
      <c r="E12" s="34"/>
      <c r="F12" s="35"/>
      <c r="G12" s="35"/>
      <c r="H12" s="36"/>
    </row>
    <row r="13" spans="1:11" s="7" customFormat="1" ht="16.5" x14ac:dyDescent="0.15">
      <c r="B13" s="120"/>
      <c r="C13" s="85"/>
      <c r="D13" s="85"/>
      <c r="E13" s="85"/>
      <c r="F13" s="26"/>
      <c r="G13" s="26"/>
      <c r="H13" s="121"/>
    </row>
    <row r="14" spans="1:11" s="7" customFormat="1" ht="16.5" x14ac:dyDescent="0.15"/>
    <row r="15" spans="1:11" s="7" customFormat="1" ht="16.5" x14ac:dyDescent="0.15">
      <c r="B15" s="20" t="s">
        <v>106</v>
      </c>
    </row>
    <row r="16" spans="1:11" s="7" customFormat="1" ht="16.5" x14ac:dyDescent="0.15">
      <c r="B16" s="29" t="s">
        <v>78</v>
      </c>
      <c r="C16" s="29" t="s">
        <v>102</v>
      </c>
      <c r="D16" s="29" t="s">
        <v>77</v>
      </c>
      <c r="E16" s="29" t="s">
        <v>1</v>
      </c>
      <c r="F16" s="29" t="s">
        <v>79</v>
      </c>
      <c r="G16" s="29" t="s">
        <v>80</v>
      </c>
      <c r="H16" s="29" t="s">
        <v>81</v>
      </c>
    </row>
    <row r="17" spans="2:8" s="7" customFormat="1" ht="16.5" x14ac:dyDescent="0.15">
      <c r="B17" s="33" t="s">
        <v>431</v>
      </c>
      <c r="C17" s="34"/>
      <c r="D17" s="34"/>
      <c r="E17" s="34"/>
      <c r="F17" s="35"/>
      <c r="G17" s="35"/>
      <c r="H17" s="36"/>
    </row>
    <row r="18" spans="2:8" s="7" customFormat="1" ht="16.5" x14ac:dyDescent="0.15">
      <c r="B18" s="33"/>
      <c r="C18" s="34"/>
      <c r="D18" s="34"/>
      <c r="E18" s="34"/>
      <c r="F18" s="35"/>
      <c r="G18" s="35"/>
      <c r="H18" s="36"/>
    </row>
    <row r="19" spans="2:8" s="7" customFormat="1" ht="16.5" x14ac:dyDescent="0.15">
      <c r="B19" s="33"/>
      <c r="C19" s="34"/>
      <c r="D19" s="34"/>
      <c r="E19" s="34"/>
      <c r="F19" s="35"/>
      <c r="G19" s="35"/>
      <c r="H19" s="36"/>
    </row>
    <row r="20" spans="2:8" s="7" customFormat="1" ht="16.5" x14ac:dyDescent="0.15">
      <c r="B20" s="33"/>
      <c r="C20" s="34"/>
      <c r="D20" s="34"/>
      <c r="E20" s="34"/>
      <c r="F20" s="35"/>
      <c r="G20" s="35"/>
      <c r="H20" s="36"/>
    </row>
    <row r="21" spans="2:8" s="7" customFormat="1" ht="16.5" x14ac:dyDescent="0.15">
      <c r="B21" s="33"/>
      <c r="C21" s="34"/>
      <c r="D21" s="34"/>
      <c r="E21" s="34"/>
      <c r="F21" s="35"/>
      <c r="G21" s="35"/>
      <c r="H21" s="36"/>
    </row>
    <row r="22" spans="2:8" s="7" customFormat="1" ht="16.5" x14ac:dyDescent="0.15">
      <c r="B22" s="33"/>
      <c r="C22" s="34"/>
      <c r="D22" s="34"/>
      <c r="E22" s="34"/>
      <c r="F22" s="35"/>
      <c r="G22" s="35"/>
      <c r="H22" s="36"/>
    </row>
    <row r="23" spans="2:8" s="7" customFormat="1" ht="16.5" x14ac:dyDescent="0.15">
      <c r="B23" s="33"/>
      <c r="C23" s="34"/>
      <c r="D23" s="34"/>
      <c r="E23" s="34"/>
      <c r="F23" s="35"/>
      <c r="G23" s="35"/>
      <c r="H23" s="36"/>
    </row>
  </sheetData>
  <mergeCells count="2">
    <mergeCell ref="A8:A9"/>
    <mergeCell ref="G4:H4"/>
  </mergeCells>
  <phoneticPr fontId="7" type="noConversion"/>
  <dataValidations count="1">
    <dataValidation type="list" allowBlank="1" showInputMessage="1" showErrorMessage="1" sqref="E17:E23 E10:E13 E6:E7">
      <formula1>투자형태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9"/>
  <sheetViews>
    <sheetView showGridLines="0" zoomScale="85" zoomScaleNormal="85" workbookViewId="0">
      <pane xSplit="4" ySplit="12" topLeftCell="AA13" activePane="bottomRight" state="frozen"/>
      <selection pane="topRight" activeCell="E1" sqref="E1"/>
      <selection pane="bottomLeft" activeCell="A13" sqref="A13"/>
      <selection pane="bottomRight" activeCell="AA34" sqref="AA34"/>
    </sheetView>
  </sheetViews>
  <sheetFormatPr defaultColWidth="8.88671875" defaultRowHeight="13.5" x14ac:dyDescent="0.15"/>
  <cols>
    <col min="1" max="1" width="2.6640625" customWidth="1"/>
    <col min="2" max="2" width="14.33203125" customWidth="1"/>
    <col min="3" max="3" width="33.77734375" customWidth="1"/>
    <col min="4" max="4" width="23.21875" bestFit="1" customWidth="1"/>
    <col min="5" max="5" width="21.6640625" customWidth="1"/>
    <col min="6" max="23" width="16.21875" customWidth="1"/>
    <col min="24" max="24" width="16.33203125" customWidth="1"/>
    <col min="25" max="34" width="17.77734375" customWidth="1"/>
    <col min="35" max="35" width="21" customWidth="1"/>
    <col min="36" max="36" width="24.109375" customWidth="1"/>
    <col min="37" max="37" width="8.44140625" bestFit="1" customWidth="1"/>
    <col min="38" max="38" width="15.21875" bestFit="1" customWidth="1"/>
    <col min="39" max="39" width="11.5546875" bestFit="1" customWidth="1"/>
    <col min="40" max="40" width="17.21875" bestFit="1" customWidth="1"/>
    <col min="41" max="41" width="14.109375" bestFit="1" customWidth="1"/>
    <col min="42" max="42" width="10.44140625" style="64" customWidth="1"/>
  </cols>
  <sheetData>
    <row r="1" spans="1:42" s="7" customFormat="1" ht="16.5" x14ac:dyDescent="0.15">
      <c r="AP1" s="11"/>
    </row>
    <row r="2" spans="1:42" s="7" customFormat="1" ht="17.25" x14ac:dyDescent="0.15">
      <c r="A2" s="47"/>
      <c r="B2" s="1" t="s">
        <v>139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48"/>
      <c r="AP2" s="11"/>
    </row>
    <row r="3" spans="1:42" s="47" customFormat="1" ht="17.25" thickBot="1" x14ac:dyDescent="0.2">
      <c r="AP3" s="49"/>
    </row>
    <row r="4" spans="1:42" s="47" customFormat="1" ht="17.25" thickBot="1" x14ac:dyDescent="0.2">
      <c r="B4" s="21" t="s">
        <v>84</v>
      </c>
      <c r="C4" s="50">
        <v>1</v>
      </c>
      <c r="AK4" s="49"/>
    </row>
    <row r="5" spans="1:42" s="47" customFormat="1" ht="16.5" x14ac:dyDescent="0.15">
      <c r="B5" s="21"/>
      <c r="C5" s="51"/>
      <c r="AK5" s="49"/>
    </row>
    <row r="6" spans="1:42" s="47" customFormat="1" ht="16.5" x14ac:dyDescent="0.15">
      <c r="B6" s="21" t="s">
        <v>146</v>
      </c>
    </row>
    <row r="7" spans="1:42" s="47" customFormat="1" ht="16.5" x14ac:dyDescent="0.15">
      <c r="B7" s="21" t="s">
        <v>140</v>
      </c>
      <c r="AK7" s="52"/>
    </row>
    <row r="8" spans="1:42" s="47" customFormat="1" ht="16.5" x14ac:dyDescent="0.15">
      <c r="AK8" s="52"/>
    </row>
    <row r="9" spans="1:42" s="47" customFormat="1" ht="16.5" x14ac:dyDescent="0.15">
      <c r="B9" s="18" t="s">
        <v>145</v>
      </c>
      <c r="AK9" s="52"/>
    </row>
    <row r="10" spans="1:42" s="47" customFormat="1" ht="16.5" x14ac:dyDescent="0.15">
      <c r="X10" s="123"/>
      <c r="AF10" s="241"/>
      <c r="AG10" s="241"/>
      <c r="AH10" s="241"/>
      <c r="AK10" s="53" t="s">
        <v>85</v>
      </c>
    </row>
    <row r="11" spans="1:42" s="47" customFormat="1" ht="16.5" x14ac:dyDescent="0.15">
      <c r="B11" s="290" t="s">
        <v>4</v>
      </c>
      <c r="C11" s="290" t="s">
        <v>5</v>
      </c>
      <c r="D11" s="290" t="s">
        <v>86</v>
      </c>
      <c r="E11" s="29" t="s">
        <v>121</v>
      </c>
      <c r="F11" s="54" t="s">
        <v>227</v>
      </c>
      <c r="G11" s="54" t="s">
        <v>227</v>
      </c>
      <c r="H11" s="54" t="s">
        <v>227</v>
      </c>
      <c r="I11" s="54" t="s">
        <v>227</v>
      </c>
      <c r="J11" s="54" t="s">
        <v>227</v>
      </c>
      <c r="K11" s="54" t="s">
        <v>227</v>
      </c>
      <c r="L11" s="54" t="s">
        <v>227</v>
      </c>
      <c r="M11" s="54" t="s">
        <v>227</v>
      </c>
      <c r="N11" s="54" t="s">
        <v>227</v>
      </c>
      <c r="O11" s="54" t="s">
        <v>227</v>
      </c>
      <c r="P11" s="54" t="s">
        <v>144</v>
      </c>
      <c r="Q11" s="54" t="s">
        <v>227</v>
      </c>
      <c r="R11" s="54" t="s">
        <v>227</v>
      </c>
      <c r="S11" s="54" t="s">
        <v>227</v>
      </c>
      <c r="T11" s="54" t="s">
        <v>141</v>
      </c>
      <c r="U11" s="54" t="s">
        <v>141</v>
      </c>
      <c r="V11" s="54" t="s">
        <v>141</v>
      </c>
      <c r="W11" s="54" t="s">
        <v>141</v>
      </c>
      <c r="X11" s="54" t="s">
        <v>144</v>
      </c>
      <c r="Y11" s="65" t="s">
        <v>143</v>
      </c>
      <c r="Z11" s="54" t="s">
        <v>144</v>
      </c>
      <c r="AA11" s="54" t="s">
        <v>141</v>
      </c>
      <c r="AB11" s="65" t="s">
        <v>143</v>
      </c>
      <c r="AC11" s="54" t="s">
        <v>141</v>
      </c>
      <c r="AD11" s="54" t="s">
        <v>141</v>
      </c>
      <c r="AE11" s="54" t="s">
        <v>141</v>
      </c>
      <c r="AF11" s="54" t="s">
        <v>141</v>
      </c>
      <c r="AG11" s="54" t="s">
        <v>144</v>
      </c>
      <c r="AH11" s="54" t="s">
        <v>141</v>
      </c>
      <c r="AI11" s="29" t="s">
        <v>87</v>
      </c>
      <c r="AJ11" s="29" t="s">
        <v>88</v>
      </c>
      <c r="AK11" s="29" t="s">
        <v>89</v>
      </c>
    </row>
    <row r="12" spans="1:42" s="47" customFormat="1" ht="16.5" x14ac:dyDescent="0.15">
      <c r="B12" s="290"/>
      <c r="C12" s="290"/>
      <c r="D12" s="290"/>
      <c r="E12" s="55">
        <v>44285</v>
      </c>
      <c r="F12" s="55">
        <v>44396</v>
      </c>
      <c r="G12" s="55">
        <v>44470</v>
      </c>
      <c r="H12" s="55">
        <v>44476</v>
      </c>
      <c r="I12" s="55">
        <v>44484</v>
      </c>
      <c r="J12" s="55">
        <v>44505</v>
      </c>
      <c r="K12" s="55">
        <v>44919</v>
      </c>
      <c r="L12" s="55">
        <v>44575</v>
      </c>
      <c r="M12" s="55">
        <v>44581</v>
      </c>
      <c r="N12" s="55">
        <v>44609</v>
      </c>
      <c r="O12" s="55">
        <v>44616</v>
      </c>
      <c r="P12" s="55">
        <v>44649</v>
      </c>
      <c r="Q12" s="55">
        <v>44663</v>
      </c>
      <c r="R12" s="55">
        <v>44676</v>
      </c>
      <c r="S12" s="55">
        <v>44742</v>
      </c>
      <c r="T12" s="55">
        <v>44834</v>
      </c>
      <c r="U12" s="55">
        <v>44896</v>
      </c>
      <c r="V12" s="55">
        <v>44924</v>
      </c>
      <c r="W12" s="55">
        <v>44957</v>
      </c>
      <c r="X12" s="55">
        <v>45000</v>
      </c>
      <c r="Y12" s="55">
        <v>45000</v>
      </c>
      <c r="Z12" s="55">
        <v>45000</v>
      </c>
      <c r="AA12" s="55">
        <v>45019</v>
      </c>
      <c r="AB12" s="55">
        <v>45044</v>
      </c>
      <c r="AC12" s="55">
        <v>45128</v>
      </c>
      <c r="AD12" s="55">
        <v>45174</v>
      </c>
      <c r="AE12" s="55">
        <v>45226</v>
      </c>
      <c r="AF12" s="55">
        <v>45275</v>
      </c>
      <c r="AG12" s="55">
        <v>45377</v>
      </c>
      <c r="AH12" s="55">
        <v>45390</v>
      </c>
      <c r="AI12" s="55">
        <v>45473</v>
      </c>
      <c r="AJ12" s="55">
        <v>45473</v>
      </c>
      <c r="AK12" s="56"/>
    </row>
    <row r="13" spans="1:42" s="47" customFormat="1" ht="16.5" x14ac:dyDescent="0.15">
      <c r="B13" s="57" t="s">
        <v>190</v>
      </c>
      <c r="C13" s="57" t="s">
        <v>192</v>
      </c>
      <c r="D13" s="58">
        <v>17200000000</v>
      </c>
      <c r="E13" s="58">
        <v>-2376066738</v>
      </c>
      <c r="F13" s="58">
        <v>-1602489645</v>
      </c>
      <c r="G13" s="58">
        <v>-42093151</v>
      </c>
      <c r="H13" s="58">
        <v>0</v>
      </c>
      <c r="I13" s="58">
        <v>214341016</v>
      </c>
      <c r="J13" s="58">
        <v>192032407</v>
      </c>
      <c r="K13" s="58">
        <v>0</v>
      </c>
      <c r="L13" s="58">
        <v>-108211860</v>
      </c>
      <c r="M13" s="58">
        <v>-694382188</v>
      </c>
      <c r="N13" s="58">
        <v>-2546651776</v>
      </c>
      <c r="O13" s="58">
        <v>-949467077</v>
      </c>
      <c r="P13" s="58">
        <v>11891</v>
      </c>
      <c r="Q13" s="58">
        <v>-1869780080</v>
      </c>
      <c r="R13" s="58">
        <v>-1692436726</v>
      </c>
      <c r="S13" s="58">
        <v>-764510061</v>
      </c>
      <c r="T13" s="58">
        <v>-43353425</v>
      </c>
      <c r="U13" s="58">
        <v>-622064410</v>
      </c>
      <c r="V13" s="58">
        <v>-44146977</v>
      </c>
      <c r="W13" s="58">
        <v>-716069960</v>
      </c>
      <c r="X13" s="58">
        <v>1008711456</v>
      </c>
      <c r="Y13" s="58">
        <v>738499200</v>
      </c>
      <c r="Z13" s="58">
        <v>4875</v>
      </c>
      <c r="AA13" s="58">
        <v>-42410974</v>
      </c>
      <c r="AB13" s="58">
        <v>286427881</v>
      </c>
      <c r="AC13" s="58">
        <v>-1524846181</v>
      </c>
      <c r="AD13" s="58">
        <v>-355260225</v>
      </c>
      <c r="AE13" s="58">
        <v>-401371408</v>
      </c>
      <c r="AF13" s="58">
        <v>-223296601</v>
      </c>
      <c r="AG13" s="58">
        <v>89057</v>
      </c>
      <c r="AH13" s="58">
        <v>-221782537</v>
      </c>
      <c r="AI13" s="58">
        <f>-SUM(E13,F13,G13,H13,I13,J13,K13,L13,M13,N13,O13,Q13,R13,S13,T13,U13,V13,W13,AA13,AC13,AD13,AE13,AF13,AH13)-Y13-AB13</f>
        <v>15409391496</v>
      </c>
      <c r="AJ13" s="58">
        <f>AI13/$C$4</f>
        <v>15409391496</v>
      </c>
      <c r="AK13" s="59">
        <f>AI13/$AI$49</f>
        <v>1.7949742854016692E-2</v>
      </c>
      <c r="AL13" s="128"/>
      <c r="AM13" s="129"/>
    </row>
    <row r="14" spans="1:42" s="47" customFormat="1" ht="16.5" x14ac:dyDescent="0.15">
      <c r="B14" s="57" t="s">
        <v>191</v>
      </c>
      <c r="C14" s="57" t="s">
        <v>193</v>
      </c>
      <c r="D14" s="58">
        <v>160000000000</v>
      </c>
      <c r="E14" s="58">
        <v>-22702464677</v>
      </c>
      <c r="F14" s="58">
        <v>-15273413376</v>
      </c>
      <c r="G14" s="58">
        <v>-322630137</v>
      </c>
      <c r="H14" s="58">
        <v>0</v>
      </c>
      <c r="I14" s="58">
        <v>2053566561</v>
      </c>
      <c r="J14" s="58">
        <v>1839831489</v>
      </c>
      <c r="K14" s="58">
        <v>0</v>
      </c>
      <c r="L14" s="58">
        <v>0</v>
      </c>
      <c r="M14" s="58">
        <v>-6378711704</v>
      </c>
      <c r="N14" s="58">
        <v>-23689783913</v>
      </c>
      <c r="O14" s="58">
        <v>-8832251813</v>
      </c>
      <c r="P14" s="58">
        <v>134819</v>
      </c>
      <c r="Q14" s="58">
        <v>-17314398876</v>
      </c>
      <c r="R14" s="58">
        <v>-15743597409</v>
      </c>
      <c r="S14" s="58">
        <v>-7031940637</v>
      </c>
      <c r="T14" s="58">
        <v>-322630137</v>
      </c>
      <c r="U14" s="58">
        <v>-5786645462</v>
      </c>
      <c r="V14" s="58">
        <v>-330011857</v>
      </c>
      <c r="W14" s="58">
        <v>-6661115737</v>
      </c>
      <c r="X14" s="58">
        <v>9383362398</v>
      </c>
      <c r="Y14" s="58">
        <v>6869760000</v>
      </c>
      <c r="Z14" s="58">
        <v>45380</v>
      </c>
      <c r="AA14" s="58">
        <v>-315616438</v>
      </c>
      <c r="AB14" s="58">
        <v>2664446295</v>
      </c>
      <c r="AC14" s="58">
        <v>-14104834588</v>
      </c>
      <c r="AD14" s="58">
        <v>-3304746045</v>
      </c>
      <c r="AE14" s="58">
        <v>-3653029633</v>
      </c>
      <c r="AF14" s="58">
        <v>-1996519809</v>
      </c>
      <c r="AG14" s="58">
        <v>828370</v>
      </c>
      <c r="AH14" s="58">
        <v>-1983530300</v>
      </c>
      <c r="AI14" s="58">
        <f t="shared" ref="AI14:AI47" si="0">-SUM(E14,F14,G14,H14,I14,J14,K14,L14,M14,N14,O14,Q14,R14,S14,T14,U14,V14,W14,AA14,AC14,AD14,AE14,AF14,AH14)-Y14-AB14</f>
        <v>142320268203</v>
      </c>
      <c r="AJ14" s="58">
        <f t="shared" ref="AJ14:AJ47" si="1">AI14/$C$4</f>
        <v>142320268203</v>
      </c>
      <c r="AK14" s="59">
        <f t="shared" ref="AK14:AK47" si="2">AI14/$AI$49</f>
        <v>0.1657828096470694</v>
      </c>
      <c r="AM14" s="129"/>
    </row>
    <row r="15" spans="1:42" s="47" customFormat="1" ht="16.5" x14ac:dyDescent="0.15">
      <c r="B15" s="57" t="s">
        <v>191</v>
      </c>
      <c r="C15" s="57" t="s">
        <v>194</v>
      </c>
      <c r="D15" s="58">
        <v>100000000000</v>
      </c>
      <c r="E15" s="58">
        <v>-14189040423</v>
      </c>
      <c r="F15" s="58">
        <v>-9545883360</v>
      </c>
      <c r="G15" s="58">
        <v>-201643836</v>
      </c>
      <c r="H15" s="58">
        <v>0</v>
      </c>
      <c r="I15" s="58">
        <v>1283479101</v>
      </c>
      <c r="J15" s="58">
        <v>1149894680</v>
      </c>
      <c r="K15" s="58">
        <v>0</v>
      </c>
      <c r="L15" s="58">
        <v>0</v>
      </c>
      <c r="M15" s="58">
        <v>-3986694815</v>
      </c>
      <c r="N15" s="58">
        <v>-14806114946</v>
      </c>
      <c r="O15" s="58">
        <v>-5520157383</v>
      </c>
      <c r="P15" s="58">
        <v>71204</v>
      </c>
      <c r="Q15" s="58">
        <v>-10821499298</v>
      </c>
      <c r="R15" s="58">
        <v>-9839748381</v>
      </c>
      <c r="S15" s="58">
        <v>-4394962898</v>
      </c>
      <c r="T15" s="58">
        <v>-201643836</v>
      </c>
      <c r="U15" s="58">
        <v>-3616653414</v>
      </c>
      <c r="V15" s="58">
        <v>-206257411</v>
      </c>
      <c r="W15" s="58">
        <v>-4163197336</v>
      </c>
      <c r="X15" s="58">
        <v>5864601499</v>
      </c>
      <c r="Y15" s="58">
        <v>4293600000</v>
      </c>
      <c r="Z15" s="58">
        <v>28356</v>
      </c>
      <c r="AA15" s="58">
        <v>-197260274</v>
      </c>
      <c r="AB15" s="58">
        <v>1665278934</v>
      </c>
      <c r="AC15" s="58">
        <v>-8815521617</v>
      </c>
      <c r="AD15" s="58">
        <v>-2065466278</v>
      </c>
      <c r="AE15" s="58">
        <v>-2283143521</v>
      </c>
      <c r="AF15" s="58">
        <v>-1247824881</v>
      </c>
      <c r="AG15" s="58">
        <v>517717</v>
      </c>
      <c r="AH15" s="58">
        <v>-1239706438</v>
      </c>
      <c r="AI15" s="58">
        <f t="shared" si="0"/>
        <v>88950167631</v>
      </c>
      <c r="AJ15" s="58">
        <f t="shared" si="1"/>
        <v>88950167631</v>
      </c>
      <c r="AK15" s="59">
        <f t="shared" si="2"/>
        <v>0.10361425603422342</v>
      </c>
      <c r="AM15" s="129"/>
    </row>
    <row r="16" spans="1:42" s="47" customFormat="1" ht="16.5" x14ac:dyDescent="0.15">
      <c r="B16" s="57" t="s">
        <v>191</v>
      </c>
      <c r="C16" s="57" t="s">
        <v>195</v>
      </c>
      <c r="D16" s="58">
        <v>50000000000</v>
      </c>
      <c r="E16" s="58">
        <v>-7094520220</v>
      </c>
      <c r="F16" s="58">
        <v>-4772941680</v>
      </c>
      <c r="G16" s="58">
        <v>-100821920</v>
      </c>
      <c r="H16" s="58">
        <v>0</v>
      </c>
      <c r="I16" s="58">
        <v>641739550</v>
      </c>
      <c r="J16" s="58">
        <v>574947340</v>
      </c>
      <c r="K16" s="58">
        <v>0</v>
      </c>
      <c r="L16" s="58">
        <v>0</v>
      </c>
      <c r="M16" s="58">
        <v>-1993347410</v>
      </c>
      <c r="N16" s="58">
        <v>-7403057470</v>
      </c>
      <c r="O16" s="58">
        <v>-2760078690</v>
      </c>
      <c r="P16" s="58">
        <v>42140</v>
      </c>
      <c r="Q16" s="58">
        <v>-5410749650</v>
      </c>
      <c r="R16" s="58">
        <v>-4919874190</v>
      </c>
      <c r="S16" s="58">
        <v>-2197481450</v>
      </c>
      <c r="T16" s="58">
        <v>-100821920</v>
      </c>
      <c r="U16" s="58">
        <v>-1808326700</v>
      </c>
      <c r="V16" s="58">
        <v>-103128700</v>
      </c>
      <c r="W16" s="58">
        <v>-2081598660</v>
      </c>
      <c r="X16" s="58">
        <v>2932300750</v>
      </c>
      <c r="Y16" s="58">
        <v>2146800000</v>
      </c>
      <c r="Z16" s="58">
        <v>14210</v>
      </c>
      <c r="AA16" s="58">
        <v>-98630130</v>
      </c>
      <c r="AB16" s="58">
        <v>832639500</v>
      </c>
      <c r="AC16" s="58">
        <v>-4407760800</v>
      </c>
      <c r="AD16" s="58">
        <v>-1032733130</v>
      </c>
      <c r="AE16" s="58">
        <v>-1141571750</v>
      </c>
      <c r="AF16" s="58">
        <v>-623912430</v>
      </c>
      <c r="AG16" s="58">
        <v>259210</v>
      </c>
      <c r="AH16" s="58">
        <v>-619853210</v>
      </c>
      <c r="AI16" s="58">
        <f t="shared" si="0"/>
        <v>44475083720</v>
      </c>
      <c r="AJ16" s="58">
        <f t="shared" si="1"/>
        <v>44475083720</v>
      </c>
      <c r="AK16" s="59">
        <f t="shared" si="2"/>
        <v>5.1807127905867834E-2</v>
      </c>
      <c r="AM16" s="129"/>
    </row>
    <row r="17" spans="2:39" s="47" customFormat="1" ht="16.5" x14ac:dyDescent="0.15">
      <c r="B17" s="57" t="s">
        <v>191</v>
      </c>
      <c r="C17" s="57" t="s">
        <v>196</v>
      </c>
      <c r="D17" s="58">
        <v>50000000000</v>
      </c>
      <c r="E17" s="58">
        <v>-7094520220</v>
      </c>
      <c r="F17" s="58">
        <v>-4772941680</v>
      </c>
      <c r="G17" s="58">
        <v>-100821920</v>
      </c>
      <c r="H17" s="58">
        <v>0</v>
      </c>
      <c r="I17" s="58">
        <v>641739550</v>
      </c>
      <c r="J17" s="58">
        <v>574947340</v>
      </c>
      <c r="K17" s="58">
        <v>0</v>
      </c>
      <c r="L17" s="58">
        <v>0</v>
      </c>
      <c r="M17" s="58">
        <v>-1993347410</v>
      </c>
      <c r="N17" s="58">
        <v>-7403057470</v>
      </c>
      <c r="O17" s="58">
        <v>-2760078690</v>
      </c>
      <c r="P17" s="58">
        <v>42140</v>
      </c>
      <c r="Q17" s="58">
        <v>-5410749650</v>
      </c>
      <c r="R17" s="58">
        <v>-4919874190</v>
      </c>
      <c r="S17" s="58">
        <v>-2197481450</v>
      </c>
      <c r="T17" s="58">
        <v>-100821920</v>
      </c>
      <c r="U17" s="58">
        <v>-1808326700</v>
      </c>
      <c r="V17" s="58">
        <v>-103128700</v>
      </c>
      <c r="W17" s="58">
        <v>-2081598660</v>
      </c>
      <c r="X17" s="58">
        <v>2932300750</v>
      </c>
      <c r="Y17" s="58">
        <v>2146800000</v>
      </c>
      <c r="Z17" s="58">
        <v>14210</v>
      </c>
      <c r="AA17" s="58">
        <v>-98630130</v>
      </c>
      <c r="AB17" s="58">
        <v>832639500</v>
      </c>
      <c r="AC17" s="58">
        <v>-4407760800</v>
      </c>
      <c r="AD17" s="58">
        <v>-1032733130</v>
      </c>
      <c r="AE17" s="58">
        <v>-1141571750</v>
      </c>
      <c r="AF17" s="58">
        <v>-623912430</v>
      </c>
      <c r="AG17" s="58">
        <v>259210</v>
      </c>
      <c r="AH17" s="58">
        <v>-619853210</v>
      </c>
      <c r="AI17" s="58">
        <f t="shared" si="0"/>
        <v>44475083720</v>
      </c>
      <c r="AJ17" s="58">
        <f t="shared" si="1"/>
        <v>44475083720</v>
      </c>
      <c r="AK17" s="59">
        <f t="shared" si="2"/>
        <v>5.1807127905867834E-2</v>
      </c>
      <c r="AM17" s="129"/>
    </row>
    <row r="18" spans="2:39" s="47" customFormat="1" ht="16.5" x14ac:dyDescent="0.15">
      <c r="B18" s="57" t="s">
        <v>191</v>
      </c>
      <c r="C18" s="57" t="s">
        <v>197</v>
      </c>
      <c r="D18" s="58">
        <v>70000000000</v>
      </c>
      <c r="E18" s="58">
        <v>-9959561174</v>
      </c>
      <c r="F18" s="58">
        <v>-6717022461</v>
      </c>
      <c r="G18" s="58">
        <v>-176438356</v>
      </c>
      <c r="H18" s="58">
        <v>0</v>
      </c>
      <c r="I18" s="58">
        <v>898435371</v>
      </c>
      <c r="J18" s="58">
        <v>804926276</v>
      </c>
      <c r="K18" s="58">
        <v>0</v>
      </c>
      <c r="L18" s="58">
        <v>0</v>
      </c>
      <c r="M18" s="58">
        <v>-2825974042</v>
      </c>
      <c r="N18" s="58">
        <v>-10364280462</v>
      </c>
      <c r="O18" s="58">
        <v>-3864110168</v>
      </c>
      <c r="P18" s="58">
        <v>49842</v>
      </c>
      <c r="Q18" s="58">
        <v>-7609570057</v>
      </c>
      <c r="R18" s="58">
        <v>-6887823866</v>
      </c>
      <c r="S18" s="58">
        <v>-3111378138</v>
      </c>
      <c r="T18" s="58">
        <v>-176438356</v>
      </c>
      <c r="U18" s="58">
        <v>-2531657390</v>
      </c>
      <c r="V18" s="58">
        <v>-179667858</v>
      </c>
      <c r="W18" s="58">
        <v>-2914238135</v>
      </c>
      <c r="X18" s="58">
        <v>4105221049</v>
      </c>
      <c r="Y18" s="58">
        <v>3005520000</v>
      </c>
      <c r="Z18" s="58">
        <v>19849</v>
      </c>
      <c r="AA18" s="58">
        <v>-172602740</v>
      </c>
      <c r="AB18" s="58">
        <v>1165695254</v>
      </c>
      <c r="AC18" s="58">
        <v>-6205769242</v>
      </c>
      <c r="AD18" s="58">
        <v>-1445826395</v>
      </c>
      <c r="AE18" s="58">
        <v>-1633488135</v>
      </c>
      <c r="AF18" s="58">
        <v>-908765087</v>
      </c>
      <c r="AG18" s="58">
        <v>362401</v>
      </c>
      <c r="AH18" s="58">
        <v>-902603250</v>
      </c>
      <c r="AI18" s="58">
        <f t="shared" si="0"/>
        <v>62712638411</v>
      </c>
      <c r="AJ18" s="58">
        <f t="shared" si="1"/>
        <v>62712638411</v>
      </c>
      <c r="AK18" s="59">
        <f t="shared" si="2"/>
        <v>7.3051277428221942E-2</v>
      </c>
      <c r="AM18" s="129"/>
    </row>
    <row r="19" spans="2:39" s="47" customFormat="1" ht="16.5" x14ac:dyDescent="0.15">
      <c r="B19" s="57" t="s">
        <v>191</v>
      </c>
      <c r="C19" s="57" t="s">
        <v>198</v>
      </c>
      <c r="D19" s="58">
        <v>50000000000</v>
      </c>
      <c r="E19" s="58">
        <v>-7113972267</v>
      </c>
      <c r="F19" s="58">
        <v>-4797873186</v>
      </c>
      <c r="G19" s="58">
        <v>-126027397</v>
      </c>
      <c r="H19" s="58">
        <v>0</v>
      </c>
      <c r="I19" s="58">
        <v>641739550</v>
      </c>
      <c r="J19" s="58">
        <v>574947341</v>
      </c>
      <c r="K19" s="58">
        <v>0</v>
      </c>
      <c r="L19" s="58">
        <v>0</v>
      </c>
      <c r="M19" s="58">
        <v>-2018552887</v>
      </c>
      <c r="N19" s="58">
        <v>-7403057473</v>
      </c>
      <c r="O19" s="58">
        <v>-2760078692</v>
      </c>
      <c r="P19" s="58">
        <v>35601</v>
      </c>
      <c r="Q19" s="58">
        <v>-5435407183</v>
      </c>
      <c r="R19" s="58">
        <v>-4919874190</v>
      </c>
      <c r="S19" s="58">
        <v>-2222412955</v>
      </c>
      <c r="T19" s="58">
        <v>-126027397</v>
      </c>
      <c r="U19" s="58">
        <v>-1808326707</v>
      </c>
      <c r="V19" s="58">
        <v>-128334184</v>
      </c>
      <c r="W19" s="58">
        <v>-2081598668</v>
      </c>
      <c r="X19" s="58">
        <v>2932300749</v>
      </c>
      <c r="Y19" s="58">
        <v>2146800000</v>
      </c>
      <c r="Z19" s="58">
        <v>14178</v>
      </c>
      <c r="AA19" s="58">
        <v>-123287671</v>
      </c>
      <c r="AB19" s="58">
        <v>832639467</v>
      </c>
      <c r="AC19" s="58">
        <v>-4432692315</v>
      </c>
      <c r="AD19" s="58">
        <v>-1032733139</v>
      </c>
      <c r="AE19" s="58">
        <v>-1166777239</v>
      </c>
      <c r="AF19" s="58">
        <v>-649117919</v>
      </c>
      <c r="AG19" s="58">
        <v>258858</v>
      </c>
      <c r="AH19" s="58">
        <v>-644716607</v>
      </c>
      <c r="AI19" s="58">
        <f t="shared" si="0"/>
        <v>44794741718</v>
      </c>
      <c r="AJ19" s="58">
        <f t="shared" si="1"/>
        <v>44794741718</v>
      </c>
      <c r="AK19" s="59">
        <f t="shared" si="2"/>
        <v>5.2179483872475549E-2</v>
      </c>
      <c r="AM19" s="129"/>
    </row>
    <row r="20" spans="2:39" s="47" customFormat="1" ht="16.5" x14ac:dyDescent="0.15">
      <c r="B20" s="57" t="s">
        <v>191</v>
      </c>
      <c r="C20" s="57" t="s">
        <v>199</v>
      </c>
      <c r="D20" s="58">
        <v>50000000000</v>
      </c>
      <c r="E20" s="58">
        <v>-7113972270</v>
      </c>
      <c r="F20" s="58">
        <v>-4797873190</v>
      </c>
      <c r="G20" s="58">
        <v>-126027400</v>
      </c>
      <c r="H20" s="58">
        <v>0</v>
      </c>
      <c r="I20" s="58">
        <v>641739550</v>
      </c>
      <c r="J20" s="58">
        <v>574947340</v>
      </c>
      <c r="K20" s="58">
        <v>0</v>
      </c>
      <c r="L20" s="58">
        <v>0</v>
      </c>
      <c r="M20" s="58">
        <v>-2018552890</v>
      </c>
      <c r="N20" s="58">
        <v>-7403057470</v>
      </c>
      <c r="O20" s="58">
        <v>-2760078690</v>
      </c>
      <c r="P20" s="58">
        <v>42140</v>
      </c>
      <c r="Q20" s="58">
        <v>-5435407180</v>
      </c>
      <c r="R20" s="58">
        <v>-4919874190</v>
      </c>
      <c r="S20" s="58">
        <v>-2222412960</v>
      </c>
      <c r="T20" s="58">
        <v>-126027400</v>
      </c>
      <c r="U20" s="58">
        <v>-1808326700</v>
      </c>
      <c r="V20" s="58">
        <v>-128334180</v>
      </c>
      <c r="W20" s="58">
        <v>-2081598660</v>
      </c>
      <c r="X20" s="58">
        <v>2932300750</v>
      </c>
      <c r="Y20" s="58">
        <v>2146800000</v>
      </c>
      <c r="Z20" s="58">
        <v>14210</v>
      </c>
      <c r="AA20" s="58">
        <v>-123287670</v>
      </c>
      <c r="AB20" s="58">
        <v>832639500</v>
      </c>
      <c r="AC20" s="58">
        <v>-4432692310</v>
      </c>
      <c r="AD20" s="58">
        <v>-1032733130</v>
      </c>
      <c r="AE20" s="58">
        <v>-1166777230</v>
      </c>
      <c r="AF20" s="58">
        <v>-649117910</v>
      </c>
      <c r="AG20" s="58">
        <v>259210</v>
      </c>
      <c r="AH20" s="58">
        <v>-644716600</v>
      </c>
      <c r="AI20" s="58">
        <f t="shared" si="0"/>
        <v>44794741640</v>
      </c>
      <c r="AJ20" s="58">
        <f t="shared" si="1"/>
        <v>44794741640</v>
      </c>
      <c r="AK20" s="59">
        <f t="shared" si="2"/>
        <v>5.2179483781616673E-2</v>
      </c>
      <c r="AM20" s="129"/>
    </row>
    <row r="21" spans="2:39" s="47" customFormat="1" ht="16.5" x14ac:dyDescent="0.15">
      <c r="B21" s="57" t="s">
        <v>191</v>
      </c>
      <c r="C21" s="57" t="s">
        <v>200</v>
      </c>
      <c r="D21" s="58">
        <v>50000000000</v>
      </c>
      <c r="E21" s="58">
        <v>0</v>
      </c>
      <c r="F21" s="58">
        <v>0</v>
      </c>
      <c r="G21" s="58">
        <v>0</v>
      </c>
      <c r="H21" s="58">
        <v>0</v>
      </c>
      <c r="I21" s="58">
        <v>-11396133300</v>
      </c>
      <c r="J21" s="58">
        <v>574947341</v>
      </c>
      <c r="K21" s="58">
        <v>0</v>
      </c>
      <c r="L21" s="58">
        <v>0</v>
      </c>
      <c r="M21" s="58">
        <v>-2018552887</v>
      </c>
      <c r="N21" s="58">
        <v>-7403057473</v>
      </c>
      <c r="O21" s="58">
        <v>-2760078692</v>
      </c>
      <c r="P21" s="58">
        <v>35601</v>
      </c>
      <c r="Q21" s="58">
        <v>-5435407183</v>
      </c>
      <c r="R21" s="58">
        <v>-4919874190</v>
      </c>
      <c r="S21" s="58">
        <v>-2222412955</v>
      </c>
      <c r="T21" s="58">
        <v>-126027397</v>
      </c>
      <c r="U21" s="58">
        <v>-1808326707</v>
      </c>
      <c r="V21" s="58">
        <v>-128334184</v>
      </c>
      <c r="W21" s="58">
        <v>-2081598668</v>
      </c>
      <c r="X21" s="58">
        <v>2932300749</v>
      </c>
      <c r="Y21" s="58">
        <v>2146800000</v>
      </c>
      <c r="Z21" s="58">
        <v>14178</v>
      </c>
      <c r="AA21" s="58">
        <v>-123287671</v>
      </c>
      <c r="AB21" s="58">
        <v>832639467</v>
      </c>
      <c r="AC21" s="58">
        <v>-4432692315</v>
      </c>
      <c r="AD21" s="58">
        <v>-1032733139</v>
      </c>
      <c r="AE21" s="58">
        <v>-1166777239</v>
      </c>
      <c r="AF21" s="58">
        <v>-649117919</v>
      </c>
      <c r="AG21" s="58">
        <v>258858</v>
      </c>
      <c r="AH21" s="58">
        <v>-644716607</v>
      </c>
      <c r="AI21" s="58">
        <f t="shared" si="0"/>
        <v>44794741718</v>
      </c>
      <c r="AJ21" s="58">
        <f t="shared" si="1"/>
        <v>44794741718</v>
      </c>
      <c r="AK21" s="59">
        <f t="shared" si="2"/>
        <v>5.2179483872475549E-2</v>
      </c>
      <c r="AM21" s="129"/>
    </row>
    <row r="22" spans="2:39" s="47" customFormat="1" ht="16.5" x14ac:dyDescent="0.15">
      <c r="B22" s="57" t="s">
        <v>191</v>
      </c>
      <c r="C22" s="57" t="s">
        <v>201</v>
      </c>
      <c r="D22" s="58">
        <v>50000000000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-10821185959</v>
      </c>
      <c r="K22" s="58">
        <v>0</v>
      </c>
      <c r="L22" s="58">
        <v>0</v>
      </c>
      <c r="M22" s="58">
        <v>-2018552887</v>
      </c>
      <c r="N22" s="58">
        <v>-7403057473</v>
      </c>
      <c r="O22" s="58">
        <v>-2760078692</v>
      </c>
      <c r="P22" s="58">
        <v>35601</v>
      </c>
      <c r="Q22" s="58">
        <v>-5435407183</v>
      </c>
      <c r="R22" s="58">
        <v>-4919874190</v>
      </c>
      <c r="S22" s="58">
        <v>-2222412955</v>
      </c>
      <c r="T22" s="58">
        <v>-126027397</v>
      </c>
      <c r="U22" s="58">
        <v>-1808326707</v>
      </c>
      <c r="V22" s="58">
        <v>-128334184</v>
      </c>
      <c r="W22" s="58">
        <v>-2081598668</v>
      </c>
      <c r="X22" s="58">
        <v>2932300749</v>
      </c>
      <c r="Y22" s="58">
        <v>2146800000</v>
      </c>
      <c r="Z22" s="58">
        <v>14178</v>
      </c>
      <c r="AA22" s="58">
        <v>-123287671</v>
      </c>
      <c r="AB22" s="58">
        <v>832639467</v>
      </c>
      <c r="AC22" s="58">
        <v>-4432692315</v>
      </c>
      <c r="AD22" s="58">
        <v>-1032733139</v>
      </c>
      <c r="AE22" s="58">
        <v>-1166777239</v>
      </c>
      <c r="AF22" s="58">
        <v>-649117919</v>
      </c>
      <c r="AG22" s="58">
        <v>258858</v>
      </c>
      <c r="AH22" s="58">
        <v>-644716607</v>
      </c>
      <c r="AI22" s="58">
        <f t="shared" si="0"/>
        <v>44794741718</v>
      </c>
      <c r="AJ22" s="58">
        <f t="shared" si="1"/>
        <v>44794741718</v>
      </c>
      <c r="AK22" s="59">
        <f t="shared" si="2"/>
        <v>5.2179483872475549E-2</v>
      </c>
      <c r="AM22" s="129"/>
    </row>
    <row r="23" spans="2:39" s="47" customFormat="1" ht="16.5" x14ac:dyDescent="0.15">
      <c r="B23" s="57" t="s">
        <v>191</v>
      </c>
      <c r="C23" s="57" t="s">
        <v>202</v>
      </c>
      <c r="D23" s="58">
        <v>40000000000</v>
      </c>
      <c r="E23" s="58">
        <v>-5691177813</v>
      </c>
      <c r="F23" s="58">
        <v>-3838298549</v>
      </c>
      <c r="G23" s="58">
        <v>-100821918</v>
      </c>
      <c r="H23" s="58">
        <v>0</v>
      </c>
      <c r="I23" s="58">
        <v>513391640</v>
      </c>
      <c r="J23" s="58">
        <v>459957872</v>
      </c>
      <c r="K23" s="58">
        <v>0</v>
      </c>
      <c r="L23" s="58">
        <v>0</v>
      </c>
      <c r="M23" s="58">
        <v>-1614842310</v>
      </c>
      <c r="N23" s="58">
        <v>-5922445978</v>
      </c>
      <c r="O23" s="58">
        <v>-2208062953</v>
      </c>
      <c r="P23" s="58">
        <v>28481</v>
      </c>
      <c r="Q23" s="58">
        <v>-4348325747</v>
      </c>
      <c r="R23" s="58">
        <v>-3935899352</v>
      </c>
      <c r="S23" s="58">
        <v>-1777930364</v>
      </c>
      <c r="T23" s="58">
        <v>-100821918</v>
      </c>
      <c r="U23" s="58">
        <v>-1446661366</v>
      </c>
      <c r="V23" s="58">
        <v>-102667348</v>
      </c>
      <c r="W23" s="58">
        <v>-1665278934</v>
      </c>
      <c r="X23" s="58">
        <v>2345840599</v>
      </c>
      <c r="Y23" s="58">
        <v>1717440000</v>
      </c>
      <c r="Z23" s="58">
        <v>11342</v>
      </c>
      <c r="AA23" s="58">
        <v>-98630137</v>
      </c>
      <c r="AB23" s="58">
        <v>666111574</v>
      </c>
      <c r="AC23" s="58">
        <v>-3546153852</v>
      </c>
      <c r="AD23" s="58">
        <v>-826186511</v>
      </c>
      <c r="AE23" s="58">
        <v>-933421792</v>
      </c>
      <c r="AF23" s="58">
        <v>-519294336</v>
      </c>
      <c r="AG23" s="58">
        <v>207087</v>
      </c>
      <c r="AH23" s="58">
        <v>-515773286</v>
      </c>
      <c r="AI23" s="58">
        <f t="shared" si="0"/>
        <v>35835793378</v>
      </c>
      <c r="AJ23" s="58">
        <f t="shared" si="1"/>
        <v>35835793378</v>
      </c>
      <c r="AK23" s="59">
        <f t="shared" si="2"/>
        <v>4.1743587102173928E-2</v>
      </c>
      <c r="AM23" s="129"/>
    </row>
    <row r="24" spans="2:39" s="47" customFormat="1" ht="16.5" x14ac:dyDescent="0.15">
      <c r="B24" s="57" t="s">
        <v>191</v>
      </c>
      <c r="C24" s="57" t="s">
        <v>203</v>
      </c>
      <c r="D24" s="58">
        <v>30000000000</v>
      </c>
      <c r="E24" s="58">
        <v>-4268383360</v>
      </c>
      <c r="F24" s="58">
        <v>-2878723912</v>
      </c>
      <c r="G24" s="58">
        <v>-75616438</v>
      </c>
      <c r="H24" s="58">
        <v>0</v>
      </c>
      <c r="I24" s="58">
        <v>385043730</v>
      </c>
      <c r="J24" s="58">
        <v>344968405</v>
      </c>
      <c r="K24" s="58">
        <v>0</v>
      </c>
      <c r="L24" s="58">
        <v>0</v>
      </c>
      <c r="M24" s="58">
        <v>-1211131732</v>
      </c>
      <c r="N24" s="58">
        <v>-4441834484</v>
      </c>
      <c r="O24" s="58">
        <v>-1656047215</v>
      </c>
      <c r="P24" s="58">
        <v>21361</v>
      </c>
      <c r="Q24" s="58">
        <v>-3261244310</v>
      </c>
      <c r="R24" s="58">
        <v>-2951924514</v>
      </c>
      <c r="S24" s="58">
        <v>-1333447774</v>
      </c>
      <c r="T24" s="58">
        <v>-75616438</v>
      </c>
      <c r="U24" s="58">
        <v>-1084996024</v>
      </c>
      <c r="V24" s="58">
        <v>-77000510</v>
      </c>
      <c r="W24" s="58">
        <v>-1248959201</v>
      </c>
      <c r="X24" s="58">
        <v>1759380450</v>
      </c>
      <c r="Y24" s="58">
        <v>1288080000</v>
      </c>
      <c r="Z24" s="58">
        <v>8507</v>
      </c>
      <c r="AA24" s="58">
        <v>-73972603</v>
      </c>
      <c r="AB24" s="58">
        <v>499583680</v>
      </c>
      <c r="AC24" s="58">
        <v>-2659615390</v>
      </c>
      <c r="AD24" s="58">
        <v>-619639883</v>
      </c>
      <c r="AE24" s="58">
        <v>-700066343</v>
      </c>
      <c r="AF24" s="58">
        <v>-389470751</v>
      </c>
      <c r="AG24" s="58">
        <v>155315</v>
      </c>
      <c r="AH24" s="58">
        <v>-386829964</v>
      </c>
      <c r="AI24" s="58">
        <f t="shared" si="0"/>
        <v>26876845031</v>
      </c>
      <c r="AJ24" s="58">
        <f t="shared" si="1"/>
        <v>26876845031</v>
      </c>
      <c r="AK24" s="59">
        <f t="shared" si="2"/>
        <v>3.1307690323718301E-2</v>
      </c>
      <c r="AM24" s="129"/>
    </row>
    <row r="25" spans="2:39" s="47" customFormat="1" ht="16.5" x14ac:dyDescent="0.15">
      <c r="B25" s="57" t="s">
        <v>191</v>
      </c>
      <c r="C25" s="57" t="s">
        <v>204</v>
      </c>
      <c r="D25" s="58">
        <v>30000000000</v>
      </c>
      <c r="E25" s="58">
        <v>-4268383360</v>
      </c>
      <c r="F25" s="58">
        <v>-2878723912</v>
      </c>
      <c r="G25" s="58">
        <v>-75616438</v>
      </c>
      <c r="H25" s="58">
        <v>0</v>
      </c>
      <c r="I25" s="58">
        <v>385043730</v>
      </c>
      <c r="J25" s="58">
        <v>344968405</v>
      </c>
      <c r="K25" s="58">
        <v>0</v>
      </c>
      <c r="L25" s="58">
        <v>0</v>
      </c>
      <c r="M25" s="58">
        <v>-1211131732</v>
      </c>
      <c r="N25" s="58">
        <v>-4441834484</v>
      </c>
      <c r="O25" s="58">
        <v>-1656047215</v>
      </c>
      <c r="P25" s="58">
        <v>21361</v>
      </c>
      <c r="Q25" s="58">
        <v>-3261244310</v>
      </c>
      <c r="R25" s="58">
        <v>-2951924514</v>
      </c>
      <c r="S25" s="58">
        <v>-1333447774</v>
      </c>
      <c r="T25" s="58">
        <v>-75616438</v>
      </c>
      <c r="U25" s="58">
        <v>-1084996024</v>
      </c>
      <c r="V25" s="58">
        <v>-77000510</v>
      </c>
      <c r="W25" s="58">
        <v>-1248959201</v>
      </c>
      <c r="X25" s="58">
        <v>1759380450</v>
      </c>
      <c r="Y25" s="58">
        <v>1288080000</v>
      </c>
      <c r="Z25" s="58">
        <v>8507</v>
      </c>
      <c r="AA25" s="58">
        <v>-73972603</v>
      </c>
      <c r="AB25" s="58">
        <v>499583680</v>
      </c>
      <c r="AC25" s="58">
        <v>-2659615390</v>
      </c>
      <c r="AD25" s="58">
        <v>-619639883</v>
      </c>
      <c r="AE25" s="58">
        <v>-700066343</v>
      </c>
      <c r="AF25" s="58">
        <v>-389470751</v>
      </c>
      <c r="AG25" s="58">
        <v>155315</v>
      </c>
      <c r="AH25" s="58">
        <v>-386829964</v>
      </c>
      <c r="AI25" s="58">
        <f t="shared" si="0"/>
        <v>26876845031</v>
      </c>
      <c r="AJ25" s="58">
        <f t="shared" si="1"/>
        <v>26876845031</v>
      </c>
      <c r="AK25" s="59">
        <f t="shared" si="2"/>
        <v>3.1307690323718301E-2</v>
      </c>
      <c r="AM25" s="129"/>
    </row>
    <row r="26" spans="2:39" s="47" customFormat="1" ht="16.5" x14ac:dyDescent="0.15">
      <c r="B26" s="57" t="s">
        <v>191</v>
      </c>
      <c r="C26" s="57" t="s">
        <v>205</v>
      </c>
      <c r="D26" s="58">
        <v>30000000000</v>
      </c>
      <c r="E26" s="58">
        <v>-4268383360</v>
      </c>
      <c r="F26" s="58">
        <v>-2878723912</v>
      </c>
      <c r="G26" s="58">
        <v>-75616438</v>
      </c>
      <c r="H26" s="58">
        <v>0</v>
      </c>
      <c r="I26" s="58">
        <v>385043730</v>
      </c>
      <c r="J26" s="58">
        <v>344968405</v>
      </c>
      <c r="K26" s="58">
        <v>0</v>
      </c>
      <c r="L26" s="58">
        <v>0</v>
      </c>
      <c r="M26" s="58">
        <v>-1211131732</v>
      </c>
      <c r="N26" s="58">
        <v>-4441834484</v>
      </c>
      <c r="O26" s="58">
        <v>-1656047215</v>
      </c>
      <c r="P26" s="58">
        <v>21361</v>
      </c>
      <c r="Q26" s="58">
        <v>-3261244310</v>
      </c>
      <c r="R26" s="58">
        <v>-2951924514</v>
      </c>
      <c r="S26" s="58">
        <v>-1333447774</v>
      </c>
      <c r="T26" s="58">
        <v>-75616438</v>
      </c>
      <c r="U26" s="58">
        <v>-1084996024</v>
      </c>
      <c r="V26" s="58">
        <v>-77000510</v>
      </c>
      <c r="W26" s="58">
        <v>-1248959201</v>
      </c>
      <c r="X26" s="58">
        <v>1759380450</v>
      </c>
      <c r="Y26" s="58">
        <v>1288080000</v>
      </c>
      <c r="Z26" s="58">
        <v>8507</v>
      </c>
      <c r="AA26" s="58">
        <v>-73972603</v>
      </c>
      <c r="AB26" s="58">
        <v>499583680</v>
      </c>
      <c r="AC26" s="58">
        <v>-2659615390</v>
      </c>
      <c r="AD26" s="58">
        <v>-619639883</v>
      </c>
      <c r="AE26" s="58">
        <v>-700066343</v>
      </c>
      <c r="AF26" s="58">
        <v>-389470751</v>
      </c>
      <c r="AG26" s="58">
        <v>155315</v>
      </c>
      <c r="AH26" s="58">
        <v>-386829964</v>
      </c>
      <c r="AI26" s="58">
        <f t="shared" si="0"/>
        <v>26876845031</v>
      </c>
      <c r="AJ26" s="58">
        <f t="shared" si="1"/>
        <v>26876845031</v>
      </c>
      <c r="AK26" s="59">
        <f t="shared" si="2"/>
        <v>3.1307690323718301E-2</v>
      </c>
      <c r="AM26" s="129"/>
    </row>
    <row r="27" spans="2:39" s="47" customFormat="1" ht="16.5" x14ac:dyDescent="0.15">
      <c r="B27" s="57" t="s">
        <v>191</v>
      </c>
      <c r="C27" s="57" t="s">
        <v>206</v>
      </c>
      <c r="D27" s="58">
        <v>20000000000</v>
      </c>
      <c r="E27" s="58">
        <v>-2845588907</v>
      </c>
      <c r="F27" s="58">
        <v>-1919149275</v>
      </c>
      <c r="G27" s="58">
        <v>-50410959</v>
      </c>
      <c r="H27" s="58">
        <v>0</v>
      </c>
      <c r="I27" s="58">
        <v>256695820</v>
      </c>
      <c r="J27" s="58">
        <v>229978937</v>
      </c>
      <c r="K27" s="58">
        <v>0</v>
      </c>
      <c r="L27" s="58">
        <v>0</v>
      </c>
      <c r="M27" s="58">
        <v>-807421155</v>
      </c>
      <c r="N27" s="58">
        <v>-2961222989</v>
      </c>
      <c r="O27" s="58">
        <v>-1104031477</v>
      </c>
      <c r="P27" s="58">
        <v>14241</v>
      </c>
      <c r="Q27" s="58">
        <v>-2174162873</v>
      </c>
      <c r="R27" s="58">
        <v>-1967949676</v>
      </c>
      <c r="S27" s="58">
        <v>-888965183</v>
      </c>
      <c r="T27" s="58">
        <v>-50410959</v>
      </c>
      <c r="U27" s="58">
        <v>-723330683</v>
      </c>
      <c r="V27" s="58">
        <v>-51333674</v>
      </c>
      <c r="W27" s="58">
        <v>-832639467</v>
      </c>
      <c r="X27" s="58">
        <v>1172920300</v>
      </c>
      <c r="Y27" s="58">
        <v>858720000</v>
      </c>
      <c r="Z27" s="58">
        <v>5671</v>
      </c>
      <c r="AA27" s="58">
        <v>-49315068</v>
      </c>
      <c r="AB27" s="58">
        <v>333055787</v>
      </c>
      <c r="AC27" s="58">
        <v>-1773076926</v>
      </c>
      <c r="AD27" s="58">
        <v>-413093256</v>
      </c>
      <c r="AE27" s="58">
        <v>-466710896</v>
      </c>
      <c r="AF27" s="58">
        <v>-259647168</v>
      </c>
      <c r="AG27" s="58">
        <v>103543</v>
      </c>
      <c r="AH27" s="58">
        <v>-257886643</v>
      </c>
      <c r="AI27" s="58">
        <f t="shared" si="0"/>
        <v>17917896690</v>
      </c>
      <c r="AJ27" s="58">
        <f t="shared" si="1"/>
        <v>17917896690</v>
      </c>
      <c r="AK27" s="59">
        <f t="shared" si="2"/>
        <v>2.087179355225182E-2</v>
      </c>
      <c r="AM27" s="129"/>
    </row>
    <row r="28" spans="2:39" s="47" customFormat="1" ht="16.5" x14ac:dyDescent="0.15">
      <c r="B28" s="57" t="s">
        <v>191</v>
      </c>
      <c r="C28" s="57" t="s">
        <v>207</v>
      </c>
      <c r="D28" s="58">
        <v>20000000000</v>
      </c>
      <c r="E28" s="58">
        <v>-2845588907</v>
      </c>
      <c r="F28" s="58">
        <v>-1919149275</v>
      </c>
      <c r="G28" s="58">
        <v>-50410959</v>
      </c>
      <c r="H28" s="58">
        <v>0</v>
      </c>
      <c r="I28" s="58">
        <v>256695820</v>
      </c>
      <c r="J28" s="58">
        <v>229978937</v>
      </c>
      <c r="K28" s="58">
        <v>0</v>
      </c>
      <c r="L28" s="58">
        <v>0</v>
      </c>
      <c r="M28" s="58">
        <v>-807421155</v>
      </c>
      <c r="N28" s="58">
        <v>-2961222989</v>
      </c>
      <c r="O28" s="58">
        <v>-1104031477</v>
      </c>
      <c r="P28" s="58">
        <v>14241</v>
      </c>
      <c r="Q28" s="58">
        <v>-2174162873</v>
      </c>
      <c r="R28" s="58">
        <v>-1967949676</v>
      </c>
      <c r="S28" s="58">
        <v>-888965183</v>
      </c>
      <c r="T28" s="58">
        <v>-50410959</v>
      </c>
      <c r="U28" s="58">
        <v>-723330683</v>
      </c>
      <c r="V28" s="58">
        <v>-51333674</v>
      </c>
      <c r="W28" s="58">
        <v>-832639467</v>
      </c>
      <c r="X28" s="58">
        <v>1172920300</v>
      </c>
      <c r="Y28" s="58">
        <v>858720000</v>
      </c>
      <c r="Z28" s="58">
        <v>5671</v>
      </c>
      <c r="AA28" s="58">
        <v>-49315068</v>
      </c>
      <c r="AB28" s="58">
        <v>333055787</v>
      </c>
      <c r="AC28" s="58">
        <v>-1773076926</v>
      </c>
      <c r="AD28" s="58">
        <v>-413093256</v>
      </c>
      <c r="AE28" s="58">
        <v>-466710896</v>
      </c>
      <c r="AF28" s="58">
        <v>-259647168</v>
      </c>
      <c r="AG28" s="58">
        <v>103543</v>
      </c>
      <c r="AH28" s="58">
        <v>-257886643</v>
      </c>
      <c r="AI28" s="58">
        <f t="shared" si="0"/>
        <v>17917896690</v>
      </c>
      <c r="AJ28" s="58">
        <f t="shared" si="1"/>
        <v>17917896690</v>
      </c>
      <c r="AK28" s="59">
        <f t="shared" si="2"/>
        <v>2.087179355225182E-2</v>
      </c>
      <c r="AM28" s="129"/>
    </row>
    <row r="29" spans="2:39" s="47" customFormat="1" ht="16.5" x14ac:dyDescent="0.15">
      <c r="B29" s="57" t="s">
        <v>191</v>
      </c>
      <c r="C29" s="57" t="s">
        <v>208</v>
      </c>
      <c r="D29" s="58">
        <v>20000000000</v>
      </c>
      <c r="E29" s="58">
        <v>-2845588907</v>
      </c>
      <c r="F29" s="58">
        <v>-1919149275</v>
      </c>
      <c r="G29" s="58">
        <v>-50410959</v>
      </c>
      <c r="H29" s="58">
        <v>0</v>
      </c>
      <c r="I29" s="58">
        <v>256695820</v>
      </c>
      <c r="J29" s="58">
        <v>229978937</v>
      </c>
      <c r="K29" s="58">
        <v>0</v>
      </c>
      <c r="L29" s="58">
        <v>0</v>
      </c>
      <c r="M29" s="58">
        <v>-807421155</v>
      </c>
      <c r="N29" s="58">
        <v>-2961222989</v>
      </c>
      <c r="O29" s="58">
        <v>-1104031477</v>
      </c>
      <c r="P29" s="58">
        <v>14241</v>
      </c>
      <c r="Q29" s="58">
        <v>-2174162873</v>
      </c>
      <c r="R29" s="58">
        <v>-1967949676</v>
      </c>
      <c r="S29" s="58">
        <v>-888965183</v>
      </c>
      <c r="T29" s="58">
        <v>-50410959</v>
      </c>
      <c r="U29" s="58">
        <v>-723330683</v>
      </c>
      <c r="V29" s="58">
        <v>-51333674</v>
      </c>
      <c r="W29" s="58">
        <v>-832639467</v>
      </c>
      <c r="X29" s="58">
        <v>1172920300</v>
      </c>
      <c r="Y29" s="58">
        <v>858720000</v>
      </c>
      <c r="Z29" s="58">
        <v>5671</v>
      </c>
      <c r="AA29" s="58">
        <v>-49315068</v>
      </c>
      <c r="AB29" s="58">
        <v>333055787</v>
      </c>
      <c r="AC29" s="58">
        <v>-1773076926</v>
      </c>
      <c r="AD29" s="58">
        <v>-413093256</v>
      </c>
      <c r="AE29" s="58">
        <v>-466710896</v>
      </c>
      <c r="AF29" s="58">
        <v>-259647168</v>
      </c>
      <c r="AG29" s="58">
        <v>103543</v>
      </c>
      <c r="AH29" s="58">
        <v>-257886643</v>
      </c>
      <c r="AI29" s="58">
        <f t="shared" si="0"/>
        <v>17917896690</v>
      </c>
      <c r="AJ29" s="58">
        <f t="shared" si="1"/>
        <v>17917896690</v>
      </c>
      <c r="AK29" s="59">
        <f t="shared" si="2"/>
        <v>2.087179355225182E-2</v>
      </c>
      <c r="AM29" s="129"/>
    </row>
    <row r="30" spans="2:39" s="47" customFormat="1" ht="16.5" x14ac:dyDescent="0.15">
      <c r="B30" s="57" t="s">
        <v>191</v>
      </c>
      <c r="C30" s="57" t="s">
        <v>209</v>
      </c>
      <c r="D30" s="58">
        <v>20000000000</v>
      </c>
      <c r="E30" s="58">
        <v>-2845588907</v>
      </c>
      <c r="F30" s="58">
        <v>-1919149275</v>
      </c>
      <c r="G30" s="58">
        <v>-50410959</v>
      </c>
      <c r="H30" s="58">
        <v>0</v>
      </c>
      <c r="I30" s="58">
        <v>256695820</v>
      </c>
      <c r="J30" s="58">
        <v>229978937</v>
      </c>
      <c r="K30" s="58">
        <v>0</v>
      </c>
      <c r="L30" s="58">
        <v>0</v>
      </c>
      <c r="M30" s="58">
        <v>-807421155</v>
      </c>
      <c r="N30" s="58">
        <v>-2961222989</v>
      </c>
      <c r="O30" s="58">
        <v>-1104031477</v>
      </c>
      <c r="P30" s="58">
        <v>14241</v>
      </c>
      <c r="Q30" s="58">
        <v>-2174162873</v>
      </c>
      <c r="R30" s="58">
        <v>-1967949676</v>
      </c>
      <c r="S30" s="58">
        <v>-888965183</v>
      </c>
      <c r="T30" s="58">
        <v>-50410959</v>
      </c>
      <c r="U30" s="58">
        <v>-723330683</v>
      </c>
      <c r="V30" s="58">
        <v>-51333674</v>
      </c>
      <c r="W30" s="58">
        <v>-832639467</v>
      </c>
      <c r="X30" s="58">
        <v>1172920300</v>
      </c>
      <c r="Y30" s="58">
        <v>858720000</v>
      </c>
      <c r="Z30" s="58">
        <v>5671</v>
      </c>
      <c r="AA30" s="58">
        <v>-49315068</v>
      </c>
      <c r="AB30" s="58">
        <v>333055787</v>
      </c>
      <c r="AC30" s="58">
        <v>-1773076926</v>
      </c>
      <c r="AD30" s="58">
        <v>-413093256</v>
      </c>
      <c r="AE30" s="58">
        <v>-466710896</v>
      </c>
      <c r="AF30" s="58">
        <v>-259647168</v>
      </c>
      <c r="AG30" s="58">
        <v>103543</v>
      </c>
      <c r="AH30" s="58">
        <v>-257886643</v>
      </c>
      <c r="AI30" s="58">
        <f t="shared" si="0"/>
        <v>17917896690</v>
      </c>
      <c r="AJ30" s="58">
        <f t="shared" si="1"/>
        <v>17917896690</v>
      </c>
      <c r="AK30" s="59">
        <f t="shared" si="2"/>
        <v>2.087179355225182E-2</v>
      </c>
      <c r="AM30" s="129"/>
    </row>
    <row r="31" spans="2:39" s="47" customFormat="1" ht="16.5" x14ac:dyDescent="0.15">
      <c r="B31" s="57" t="s">
        <v>191</v>
      </c>
      <c r="C31" s="57" t="s">
        <v>210</v>
      </c>
      <c r="D31" s="58">
        <v>15000000000</v>
      </c>
      <c r="E31" s="58">
        <v>-2134191680</v>
      </c>
      <c r="F31" s="58">
        <v>-1439361956</v>
      </c>
      <c r="G31" s="58">
        <v>-37808219</v>
      </c>
      <c r="H31" s="58">
        <v>0</v>
      </c>
      <c r="I31" s="58">
        <v>192521866</v>
      </c>
      <c r="J31" s="58">
        <v>172484202</v>
      </c>
      <c r="K31" s="58">
        <v>0</v>
      </c>
      <c r="L31" s="58">
        <v>0</v>
      </c>
      <c r="M31" s="58">
        <v>-605565866</v>
      </c>
      <c r="N31" s="58">
        <v>-2220917242</v>
      </c>
      <c r="O31" s="58">
        <v>-828023608</v>
      </c>
      <c r="P31" s="58">
        <v>10681</v>
      </c>
      <c r="Q31" s="58">
        <v>-1630622155</v>
      </c>
      <c r="R31" s="58">
        <v>-1475962257</v>
      </c>
      <c r="S31" s="58">
        <v>-666723886</v>
      </c>
      <c r="T31" s="58">
        <v>-37808219</v>
      </c>
      <c r="U31" s="58">
        <v>-542498012</v>
      </c>
      <c r="V31" s="58">
        <v>-38500255</v>
      </c>
      <c r="W31" s="58">
        <v>-624479600</v>
      </c>
      <c r="X31" s="58">
        <v>879690225</v>
      </c>
      <c r="Y31" s="58">
        <v>644040000</v>
      </c>
      <c r="Z31" s="58">
        <v>4253</v>
      </c>
      <c r="AA31" s="58">
        <v>-36986301</v>
      </c>
      <c r="AB31" s="58">
        <v>249791840</v>
      </c>
      <c r="AC31" s="58">
        <v>-1329807694</v>
      </c>
      <c r="AD31" s="58">
        <v>-309819942</v>
      </c>
      <c r="AE31" s="58">
        <v>-350033172</v>
      </c>
      <c r="AF31" s="58">
        <v>-194735376</v>
      </c>
      <c r="AG31" s="58">
        <v>77657</v>
      </c>
      <c r="AH31" s="58">
        <v>-193414982</v>
      </c>
      <c r="AI31" s="58">
        <f t="shared" si="0"/>
        <v>13438422514</v>
      </c>
      <c r="AJ31" s="58">
        <f t="shared" si="1"/>
        <v>13438422514</v>
      </c>
      <c r="AK31" s="59">
        <f t="shared" si="2"/>
        <v>1.5653845160111864E-2</v>
      </c>
      <c r="AM31" s="129"/>
    </row>
    <row r="32" spans="2:39" s="47" customFormat="1" ht="16.5" x14ac:dyDescent="0.15">
      <c r="B32" s="57" t="s">
        <v>191</v>
      </c>
      <c r="C32" s="57" t="s">
        <v>211</v>
      </c>
      <c r="D32" s="58">
        <v>15000000000</v>
      </c>
      <c r="E32" s="58">
        <v>-2134191680</v>
      </c>
      <c r="F32" s="58">
        <v>-1439361956</v>
      </c>
      <c r="G32" s="58">
        <v>-37808219</v>
      </c>
      <c r="H32" s="58">
        <v>0</v>
      </c>
      <c r="I32" s="58">
        <v>192521866</v>
      </c>
      <c r="J32" s="58">
        <v>172484202</v>
      </c>
      <c r="K32" s="58">
        <v>0</v>
      </c>
      <c r="L32" s="58">
        <v>0</v>
      </c>
      <c r="M32" s="58">
        <v>-605565866</v>
      </c>
      <c r="N32" s="58">
        <v>-2220917242</v>
      </c>
      <c r="O32" s="58">
        <v>-828023608</v>
      </c>
      <c r="P32" s="58">
        <v>10681</v>
      </c>
      <c r="Q32" s="58">
        <v>-1630622155</v>
      </c>
      <c r="R32" s="58">
        <v>-1475962257</v>
      </c>
      <c r="S32" s="58">
        <v>-666723886</v>
      </c>
      <c r="T32" s="58">
        <v>-37808219</v>
      </c>
      <c r="U32" s="58">
        <v>-542498012</v>
      </c>
      <c r="V32" s="58">
        <v>-38500255</v>
      </c>
      <c r="W32" s="58">
        <v>-624479600</v>
      </c>
      <c r="X32" s="58">
        <v>879690225</v>
      </c>
      <c r="Y32" s="58">
        <v>644040000</v>
      </c>
      <c r="Z32" s="58">
        <v>4253</v>
      </c>
      <c r="AA32" s="58">
        <v>-36986301</v>
      </c>
      <c r="AB32" s="58">
        <v>249791840</v>
      </c>
      <c r="AC32" s="58">
        <v>-1329807694</v>
      </c>
      <c r="AD32" s="58">
        <v>-309819942</v>
      </c>
      <c r="AE32" s="58">
        <v>-350033172</v>
      </c>
      <c r="AF32" s="58">
        <v>-194735376</v>
      </c>
      <c r="AG32" s="58">
        <v>77657</v>
      </c>
      <c r="AH32" s="58">
        <v>-193414982</v>
      </c>
      <c r="AI32" s="58">
        <f t="shared" si="0"/>
        <v>13438422514</v>
      </c>
      <c r="AJ32" s="58">
        <f t="shared" si="1"/>
        <v>13438422514</v>
      </c>
      <c r="AK32" s="59">
        <f t="shared" si="2"/>
        <v>1.5653845160111864E-2</v>
      </c>
      <c r="AM32" s="129"/>
    </row>
    <row r="33" spans="2:39" s="47" customFormat="1" ht="16.5" x14ac:dyDescent="0.15">
      <c r="B33" s="57" t="s">
        <v>191</v>
      </c>
      <c r="C33" s="57" t="s">
        <v>212</v>
      </c>
      <c r="D33" s="58">
        <v>10000000000</v>
      </c>
      <c r="E33" s="58">
        <v>-1422794453</v>
      </c>
      <c r="F33" s="58">
        <v>-959574637</v>
      </c>
      <c r="G33" s="58">
        <v>-25205479</v>
      </c>
      <c r="H33" s="58">
        <v>0</v>
      </c>
      <c r="I33" s="58">
        <v>128347909</v>
      </c>
      <c r="J33" s="58">
        <v>114989468</v>
      </c>
      <c r="K33" s="58">
        <v>0</v>
      </c>
      <c r="L33" s="58">
        <v>0</v>
      </c>
      <c r="M33" s="58">
        <v>-403710577</v>
      </c>
      <c r="N33" s="58">
        <v>-1480611495</v>
      </c>
      <c r="O33" s="58">
        <v>-552015738</v>
      </c>
      <c r="P33" s="58">
        <v>7120</v>
      </c>
      <c r="Q33" s="58">
        <v>-1087081436</v>
      </c>
      <c r="R33" s="58">
        <v>-983974838</v>
      </c>
      <c r="S33" s="58">
        <v>-444482591</v>
      </c>
      <c r="T33" s="58">
        <v>-25205479</v>
      </c>
      <c r="U33" s="58">
        <v>-361665341</v>
      </c>
      <c r="V33" s="58">
        <v>-25666836</v>
      </c>
      <c r="W33" s="58">
        <v>-416319734</v>
      </c>
      <c r="X33" s="58">
        <v>586460150</v>
      </c>
      <c r="Y33" s="58">
        <v>429360000</v>
      </c>
      <c r="Z33" s="58">
        <v>2836</v>
      </c>
      <c r="AA33" s="58">
        <v>-24657534</v>
      </c>
      <c r="AB33" s="58">
        <v>166527893</v>
      </c>
      <c r="AC33" s="58">
        <v>-886538463</v>
      </c>
      <c r="AD33" s="58">
        <v>-206546628</v>
      </c>
      <c r="AE33" s="58">
        <v>-233355447</v>
      </c>
      <c r="AF33" s="58">
        <v>-129823583</v>
      </c>
      <c r="AG33" s="58">
        <v>51771</v>
      </c>
      <c r="AH33" s="58">
        <v>-128943321</v>
      </c>
      <c r="AI33" s="58">
        <f t="shared" si="0"/>
        <v>8958948340</v>
      </c>
      <c r="AJ33" s="58">
        <f t="shared" si="1"/>
        <v>8958948340</v>
      </c>
      <c r="AK33" s="59">
        <f t="shared" si="2"/>
        <v>1.0435896770301623E-2</v>
      </c>
      <c r="AM33" s="129"/>
    </row>
    <row r="34" spans="2:39" s="47" customFormat="1" ht="16.5" x14ac:dyDescent="0.15">
      <c r="B34" s="57" t="s">
        <v>191</v>
      </c>
      <c r="C34" s="57" t="s">
        <v>213</v>
      </c>
      <c r="D34" s="58">
        <v>10000000000</v>
      </c>
      <c r="E34" s="58">
        <v>-1422794453</v>
      </c>
      <c r="F34" s="58">
        <v>-959574637</v>
      </c>
      <c r="G34" s="58">
        <v>-25205479</v>
      </c>
      <c r="H34" s="58">
        <v>0</v>
      </c>
      <c r="I34" s="58">
        <v>128347909</v>
      </c>
      <c r="J34" s="58">
        <v>114989468</v>
      </c>
      <c r="K34" s="58">
        <v>0</v>
      </c>
      <c r="L34" s="58">
        <v>0</v>
      </c>
      <c r="M34" s="58">
        <v>-403710577</v>
      </c>
      <c r="N34" s="58">
        <v>-1480611495</v>
      </c>
      <c r="O34" s="58">
        <v>-552015738</v>
      </c>
      <c r="P34" s="58">
        <v>7120</v>
      </c>
      <c r="Q34" s="58">
        <v>-1087081436</v>
      </c>
      <c r="R34" s="58">
        <v>-983974838</v>
      </c>
      <c r="S34" s="58">
        <v>-444482591</v>
      </c>
      <c r="T34" s="58">
        <v>-25205479</v>
      </c>
      <c r="U34" s="58">
        <v>-361665341</v>
      </c>
      <c r="V34" s="58">
        <v>-25666836</v>
      </c>
      <c r="W34" s="58">
        <v>-416319734</v>
      </c>
      <c r="X34" s="58">
        <v>586460150</v>
      </c>
      <c r="Y34" s="58">
        <v>429360000</v>
      </c>
      <c r="Z34" s="58">
        <v>2836</v>
      </c>
      <c r="AA34" s="58">
        <v>-24657534</v>
      </c>
      <c r="AB34" s="58">
        <v>166527893</v>
      </c>
      <c r="AC34" s="58">
        <v>-886538463</v>
      </c>
      <c r="AD34" s="58">
        <v>-206546628</v>
      </c>
      <c r="AE34" s="58">
        <v>-233355447</v>
      </c>
      <c r="AF34" s="58">
        <v>-129823583</v>
      </c>
      <c r="AG34" s="58">
        <v>51771</v>
      </c>
      <c r="AH34" s="58">
        <v>-128943321</v>
      </c>
      <c r="AI34" s="58">
        <f t="shared" si="0"/>
        <v>8958948340</v>
      </c>
      <c r="AJ34" s="58">
        <f t="shared" si="1"/>
        <v>8958948340</v>
      </c>
      <c r="AK34" s="59">
        <f t="shared" si="2"/>
        <v>1.0435896770301623E-2</v>
      </c>
      <c r="AM34" s="129"/>
    </row>
    <row r="35" spans="2:39" s="47" customFormat="1" ht="16.5" x14ac:dyDescent="0.15">
      <c r="B35" s="57" t="s">
        <v>191</v>
      </c>
      <c r="C35" s="57" t="s">
        <v>214</v>
      </c>
      <c r="D35" s="58">
        <v>10000000000</v>
      </c>
      <c r="E35" s="58">
        <v>-1422794453</v>
      </c>
      <c r="F35" s="58">
        <v>-959574637</v>
      </c>
      <c r="G35" s="58">
        <v>-15500000</v>
      </c>
      <c r="H35" s="58">
        <v>-9705479</v>
      </c>
      <c r="I35" s="58">
        <v>128347909</v>
      </c>
      <c r="J35" s="58">
        <v>114989468</v>
      </c>
      <c r="K35" s="58">
        <v>0</v>
      </c>
      <c r="L35" s="58">
        <v>0</v>
      </c>
      <c r="M35" s="58">
        <v>-403710577</v>
      </c>
      <c r="N35" s="58">
        <v>-1480611495</v>
      </c>
      <c r="O35" s="58">
        <v>-552015738</v>
      </c>
      <c r="P35" s="58">
        <v>7120</v>
      </c>
      <c r="Q35" s="58">
        <v>-1087081436</v>
      </c>
      <c r="R35" s="58">
        <v>-983974838</v>
      </c>
      <c r="S35" s="58">
        <v>-444482591</v>
      </c>
      <c r="T35" s="58">
        <v>-25205479</v>
      </c>
      <c r="U35" s="58">
        <v>-361665341</v>
      </c>
      <c r="V35" s="58">
        <v>-25666836</v>
      </c>
      <c r="W35" s="58">
        <v>-416319734</v>
      </c>
      <c r="X35" s="58">
        <v>586460150</v>
      </c>
      <c r="Y35" s="58">
        <v>429360000</v>
      </c>
      <c r="Z35" s="58">
        <v>2836</v>
      </c>
      <c r="AA35" s="58">
        <v>-24657534</v>
      </c>
      <c r="AB35" s="58">
        <v>166527893</v>
      </c>
      <c r="AC35" s="58">
        <v>-886538463</v>
      </c>
      <c r="AD35" s="58">
        <v>-206546628</v>
      </c>
      <c r="AE35" s="58">
        <v>-233355447</v>
      </c>
      <c r="AF35" s="58">
        <v>-129823583</v>
      </c>
      <c r="AG35" s="58">
        <v>51771</v>
      </c>
      <c r="AH35" s="58">
        <v>-128943321</v>
      </c>
      <c r="AI35" s="58">
        <f t="shared" si="0"/>
        <v>8958948340</v>
      </c>
      <c r="AJ35" s="58">
        <f t="shared" si="1"/>
        <v>8958948340</v>
      </c>
      <c r="AK35" s="59">
        <f t="shared" si="2"/>
        <v>1.0435896770301623E-2</v>
      </c>
      <c r="AM35" s="129"/>
    </row>
    <row r="36" spans="2:39" s="47" customFormat="1" ht="16.5" x14ac:dyDescent="0.15">
      <c r="B36" s="57" t="s">
        <v>191</v>
      </c>
      <c r="C36" s="57" t="s">
        <v>215</v>
      </c>
      <c r="D36" s="58">
        <v>10000000000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-2164237192</v>
      </c>
      <c r="L36" s="58">
        <v>0</v>
      </c>
      <c r="M36" s="58">
        <v>-403710577</v>
      </c>
      <c r="N36" s="58">
        <v>-1480611495</v>
      </c>
      <c r="O36" s="58">
        <v>-552015738</v>
      </c>
      <c r="P36" s="58">
        <v>165</v>
      </c>
      <c r="Q36" s="58">
        <v>-1087081436</v>
      </c>
      <c r="R36" s="58">
        <v>-983974838</v>
      </c>
      <c r="S36" s="58">
        <v>-444482591</v>
      </c>
      <c r="T36" s="58">
        <v>-25205479</v>
      </c>
      <c r="U36" s="58">
        <v>-361665341</v>
      </c>
      <c r="V36" s="58">
        <v>-25666836</v>
      </c>
      <c r="W36" s="58">
        <v>-416319734</v>
      </c>
      <c r="X36" s="58">
        <v>586460150</v>
      </c>
      <c r="Y36" s="58">
        <v>429360000</v>
      </c>
      <c r="Z36" s="58">
        <v>2836</v>
      </c>
      <c r="AA36" s="58">
        <v>-24657534</v>
      </c>
      <c r="AB36" s="58">
        <v>166527893</v>
      </c>
      <c r="AC36" s="58">
        <v>-886538463</v>
      </c>
      <c r="AD36" s="58">
        <v>-206546628</v>
      </c>
      <c r="AE36" s="58">
        <v>-233355447</v>
      </c>
      <c r="AF36" s="58">
        <v>-129823583</v>
      </c>
      <c r="AG36" s="58">
        <v>51771</v>
      </c>
      <c r="AH36" s="58">
        <v>-128943321</v>
      </c>
      <c r="AI36" s="58">
        <f t="shared" si="0"/>
        <v>8958948340</v>
      </c>
      <c r="AJ36" s="58">
        <f t="shared" si="1"/>
        <v>8958948340</v>
      </c>
      <c r="AK36" s="59">
        <f t="shared" si="2"/>
        <v>1.0435896770301623E-2</v>
      </c>
      <c r="AM36" s="129"/>
    </row>
    <row r="37" spans="2:39" s="47" customFormat="1" ht="16.5" x14ac:dyDescent="0.15">
      <c r="B37" s="57" t="s">
        <v>191</v>
      </c>
      <c r="C37" s="57" t="s">
        <v>216</v>
      </c>
      <c r="D37" s="58">
        <v>10000000000</v>
      </c>
      <c r="E37" s="58">
        <v>-1422794453</v>
      </c>
      <c r="F37" s="58">
        <v>-959574637</v>
      </c>
      <c r="G37" s="58">
        <v>-25205479</v>
      </c>
      <c r="H37" s="58">
        <v>0</v>
      </c>
      <c r="I37" s="58">
        <v>128347909</v>
      </c>
      <c r="J37" s="58">
        <v>114989468</v>
      </c>
      <c r="K37" s="58">
        <v>0</v>
      </c>
      <c r="L37" s="58">
        <v>0</v>
      </c>
      <c r="M37" s="58">
        <v>-403710577</v>
      </c>
      <c r="N37" s="58">
        <v>-1480611495</v>
      </c>
      <c r="O37" s="58">
        <v>-552015738</v>
      </c>
      <c r="P37" s="58">
        <v>7120</v>
      </c>
      <c r="Q37" s="58">
        <v>-1087081436</v>
      </c>
      <c r="R37" s="58">
        <v>-983974838</v>
      </c>
      <c r="S37" s="58">
        <v>-444482591</v>
      </c>
      <c r="T37" s="58">
        <v>-25205479</v>
      </c>
      <c r="U37" s="58">
        <v>-361665341</v>
      </c>
      <c r="V37" s="58">
        <v>-25666836</v>
      </c>
      <c r="W37" s="58">
        <v>-416319734</v>
      </c>
      <c r="X37" s="58">
        <v>586460150</v>
      </c>
      <c r="Y37" s="58">
        <v>429360000</v>
      </c>
      <c r="Z37" s="58">
        <v>2836</v>
      </c>
      <c r="AA37" s="58">
        <v>-24657534</v>
      </c>
      <c r="AB37" s="58">
        <v>166527893</v>
      </c>
      <c r="AC37" s="58">
        <v>-886538463</v>
      </c>
      <c r="AD37" s="58">
        <v>-206546628</v>
      </c>
      <c r="AE37" s="58">
        <v>-233355447</v>
      </c>
      <c r="AF37" s="58">
        <v>-129823583</v>
      </c>
      <c r="AG37" s="58">
        <v>51771</v>
      </c>
      <c r="AH37" s="58">
        <v>-128943321</v>
      </c>
      <c r="AI37" s="58">
        <f t="shared" si="0"/>
        <v>8958948340</v>
      </c>
      <c r="AJ37" s="58">
        <f t="shared" si="1"/>
        <v>8958948340</v>
      </c>
      <c r="AK37" s="59">
        <f t="shared" si="2"/>
        <v>1.0435896770301623E-2</v>
      </c>
      <c r="AM37" s="129"/>
    </row>
    <row r="38" spans="2:39" s="47" customFormat="1" ht="16.5" x14ac:dyDescent="0.15">
      <c r="B38" s="57" t="s">
        <v>191</v>
      </c>
      <c r="C38" s="57" t="s">
        <v>217</v>
      </c>
      <c r="D38" s="58">
        <v>10000000000</v>
      </c>
      <c r="E38" s="58">
        <v>-1422794453</v>
      </c>
      <c r="F38" s="58">
        <v>-959574637</v>
      </c>
      <c r="G38" s="58">
        <v>-25205479</v>
      </c>
      <c r="H38" s="58">
        <v>0</v>
      </c>
      <c r="I38" s="58">
        <v>128347909</v>
      </c>
      <c r="J38" s="58">
        <v>114989468</v>
      </c>
      <c r="K38" s="58">
        <v>0</v>
      </c>
      <c r="L38" s="58">
        <v>0</v>
      </c>
      <c r="M38" s="58">
        <v>-403710577</v>
      </c>
      <c r="N38" s="58">
        <v>-1480611495</v>
      </c>
      <c r="O38" s="58">
        <v>-552015738</v>
      </c>
      <c r="P38" s="58">
        <v>7120</v>
      </c>
      <c r="Q38" s="58">
        <v>-1087081436</v>
      </c>
      <c r="R38" s="58">
        <v>-983974838</v>
      </c>
      <c r="S38" s="58">
        <v>-444482591</v>
      </c>
      <c r="T38" s="58">
        <v>-25205479</v>
      </c>
      <c r="U38" s="58">
        <v>-361665341</v>
      </c>
      <c r="V38" s="58">
        <v>-25666836</v>
      </c>
      <c r="W38" s="58">
        <v>-416319734</v>
      </c>
      <c r="X38" s="58">
        <v>586460150</v>
      </c>
      <c r="Y38" s="58">
        <v>429360000</v>
      </c>
      <c r="Z38" s="58">
        <v>2836</v>
      </c>
      <c r="AA38" s="58">
        <v>-24657534</v>
      </c>
      <c r="AB38" s="58">
        <v>166527893</v>
      </c>
      <c r="AC38" s="58">
        <v>-886538463</v>
      </c>
      <c r="AD38" s="58">
        <v>-206546628</v>
      </c>
      <c r="AE38" s="58">
        <v>-233355447</v>
      </c>
      <c r="AF38" s="58">
        <v>-129823583</v>
      </c>
      <c r="AG38" s="58">
        <v>51771</v>
      </c>
      <c r="AH38" s="58">
        <v>-128943321</v>
      </c>
      <c r="AI38" s="58">
        <f t="shared" si="0"/>
        <v>8958948340</v>
      </c>
      <c r="AJ38" s="58">
        <f t="shared" si="1"/>
        <v>8958948340</v>
      </c>
      <c r="AK38" s="59">
        <f t="shared" si="2"/>
        <v>1.0435896770301623E-2</v>
      </c>
      <c r="AM38" s="129"/>
    </row>
    <row r="39" spans="2:39" s="47" customFormat="1" ht="16.5" x14ac:dyDescent="0.15">
      <c r="B39" s="57" t="s">
        <v>191</v>
      </c>
      <c r="C39" s="57" t="s">
        <v>218</v>
      </c>
      <c r="D39" s="58">
        <v>5000000000</v>
      </c>
      <c r="E39" s="58">
        <v>-711397226</v>
      </c>
      <c r="F39" s="58">
        <v>-479787318</v>
      </c>
      <c r="G39" s="58">
        <v>-12602740</v>
      </c>
      <c r="H39" s="58">
        <v>0</v>
      </c>
      <c r="I39" s="58">
        <v>64173955</v>
      </c>
      <c r="J39" s="58">
        <v>57494733</v>
      </c>
      <c r="K39" s="58">
        <v>0</v>
      </c>
      <c r="L39" s="58">
        <v>0</v>
      </c>
      <c r="M39" s="58">
        <v>-201855289</v>
      </c>
      <c r="N39" s="58">
        <v>-740305747</v>
      </c>
      <c r="O39" s="58">
        <v>-276007869</v>
      </c>
      <c r="P39" s="58">
        <v>3561</v>
      </c>
      <c r="Q39" s="58">
        <v>-543540718</v>
      </c>
      <c r="R39" s="58">
        <v>-491987419</v>
      </c>
      <c r="S39" s="58">
        <v>-222241295</v>
      </c>
      <c r="T39" s="58">
        <v>-12602740</v>
      </c>
      <c r="U39" s="58">
        <v>-180832671</v>
      </c>
      <c r="V39" s="58">
        <v>-12833419</v>
      </c>
      <c r="W39" s="58">
        <v>-208159867</v>
      </c>
      <c r="X39" s="58">
        <v>293230075</v>
      </c>
      <c r="Y39" s="58">
        <v>214680000</v>
      </c>
      <c r="Z39" s="58">
        <v>1418</v>
      </c>
      <c r="AA39" s="58">
        <v>-12328767</v>
      </c>
      <c r="AB39" s="58">
        <v>83263947</v>
      </c>
      <c r="AC39" s="58">
        <v>-443269231</v>
      </c>
      <c r="AD39" s="58">
        <v>-103273314</v>
      </c>
      <c r="AE39" s="58">
        <v>-116677724</v>
      </c>
      <c r="AF39" s="58">
        <v>-64911792</v>
      </c>
      <c r="AG39" s="58">
        <v>25886</v>
      </c>
      <c r="AH39" s="58">
        <v>-64471661</v>
      </c>
      <c r="AI39" s="58">
        <f t="shared" si="0"/>
        <v>4479474172</v>
      </c>
      <c r="AJ39" s="58">
        <f t="shared" si="1"/>
        <v>4479474172</v>
      </c>
      <c r="AK39" s="59">
        <f t="shared" si="2"/>
        <v>5.217948387480526E-3</v>
      </c>
      <c r="AM39" s="129"/>
    </row>
    <row r="40" spans="2:39" s="47" customFormat="1" ht="16.5" x14ac:dyDescent="0.15">
      <c r="B40" s="57" t="s">
        <v>191</v>
      </c>
      <c r="C40" s="57" t="s">
        <v>219</v>
      </c>
      <c r="D40" s="58">
        <v>5000000000</v>
      </c>
      <c r="E40" s="58">
        <v>-711397226</v>
      </c>
      <c r="F40" s="58">
        <v>-479787318</v>
      </c>
      <c r="G40" s="58">
        <v>-12602740</v>
      </c>
      <c r="H40" s="58">
        <v>0</v>
      </c>
      <c r="I40" s="58">
        <v>64173955</v>
      </c>
      <c r="J40" s="58">
        <v>57494733</v>
      </c>
      <c r="K40" s="58">
        <v>0</v>
      </c>
      <c r="L40" s="58">
        <v>0</v>
      </c>
      <c r="M40" s="58">
        <v>-201855289</v>
      </c>
      <c r="N40" s="58">
        <v>-740305747</v>
      </c>
      <c r="O40" s="58">
        <v>-276007869</v>
      </c>
      <c r="P40" s="58">
        <v>3561</v>
      </c>
      <c r="Q40" s="58">
        <v>-543540718</v>
      </c>
      <c r="R40" s="58">
        <v>-491987419</v>
      </c>
      <c r="S40" s="58">
        <v>-222241295</v>
      </c>
      <c r="T40" s="58">
        <v>-12602740</v>
      </c>
      <c r="U40" s="58">
        <v>-180832671</v>
      </c>
      <c r="V40" s="58">
        <v>-12833419</v>
      </c>
      <c r="W40" s="58">
        <v>-208159867</v>
      </c>
      <c r="X40" s="58">
        <v>293230075</v>
      </c>
      <c r="Y40" s="58">
        <v>214680000</v>
      </c>
      <c r="Z40" s="58">
        <v>1418</v>
      </c>
      <c r="AA40" s="58">
        <v>-12328767</v>
      </c>
      <c r="AB40" s="58">
        <v>83263947</v>
      </c>
      <c r="AC40" s="58">
        <v>-443269231</v>
      </c>
      <c r="AD40" s="58">
        <v>-103273314</v>
      </c>
      <c r="AE40" s="58">
        <v>-116677724</v>
      </c>
      <c r="AF40" s="58">
        <v>-64911792</v>
      </c>
      <c r="AG40" s="58">
        <v>25886</v>
      </c>
      <c r="AH40" s="58">
        <v>-64471661</v>
      </c>
      <c r="AI40" s="58">
        <f t="shared" si="0"/>
        <v>4479474172</v>
      </c>
      <c r="AJ40" s="58">
        <f t="shared" si="1"/>
        <v>4479474172</v>
      </c>
      <c r="AK40" s="59">
        <f t="shared" si="2"/>
        <v>5.217948387480526E-3</v>
      </c>
      <c r="AM40" s="129"/>
    </row>
    <row r="41" spans="2:39" s="47" customFormat="1" ht="16.5" x14ac:dyDescent="0.15">
      <c r="B41" s="57" t="s">
        <v>191</v>
      </c>
      <c r="C41" s="57" t="s">
        <v>220</v>
      </c>
      <c r="D41" s="58">
        <v>800000000</v>
      </c>
      <c r="E41" s="58">
        <v>-113823556</v>
      </c>
      <c r="F41" s="58">
        <v>-76765971</v>
      </c>
      <c r="G41" s="58">
        <v>-2016438</v>
      </c>
      <c r="H41" s="58">
        <v>0</v>
      </c>
      <c r="I41" s="58">
        <v>10267832</v>
      </c>
      <c r="J41" s="58">
        <v>9199158</v>
      </c>
      <c r="K41" s="58">
        <v>0</v>
      </c>
      <c r="L41" s="58">
        <v>0</v>
      </c>
      <c r="M41" s="58">
        <v>-32296846</v>
      </c>
      <c r="N41" s="58">
        <v>-118448920</v>
      </c>
      <c r="O41" s="58">
        <v>-44161259</v>
      </c>
      <c r="P41" s="58">
        <v>570</v>
      </c>
      <c r="Q41" s="58">
        <v>-86966515</v>
      </c>
      <c r="R41" s="58">
        <v>-78717987</v>
      </c>
      <c r="S41" s="58">
        <v>-35558608</v>
      </c>
      <c r="T41" s="58">
        <v>-2016438</v>
      </c>
      <c r="U41" s="58">
        <v>-28933227</v>
      </c>
      <c r="V41" s="58">
        <v>-2053347</v>
      </c>
      <c r="W41" s="58">
        <v>-33305579</v>
      </c>
      <c r="X41" s="58">
        <v>46916812</v>
      </c>
      <c r="Y41" s="58">
        <v>34348800</v>
      </c>
      <c r="Z41" s="58">
        <v>227</v>
      </c>
      <c r="AA41" s="58">
        <v>-1972603</v>
      </c>
      <c r="AB41" s="58">
        <v>13322231</v>
      </c>
      <c r="AC41" s="58">
        <v>-70923077</v>
      </c>
      <c r="AD41" s="58">
        <v>-16523730</v>
      </c>
      <c r="AE41" s="58">
        <v>-18668435</v>
      </c>
      <c r="AF41" s="58">
        <v>-10385886</v>
      </c>
      <c r="AG41" s="58">
        <v>4141</v>
      </c>
      <c r="AH41" s="58">
        <v>-10315466</v>
      </c>
      <c r="AI41" s="58">
        <f t="shared" si="0"/>
        <v>716715867</v>
      </c>
      <c r="AJ41" s="58">
        <f t="shared" si="1"/>
        <v>716715867</v>
      </c>
      <c r="AK41" s="59">
        <f t="shared" si="2"/>
        <v>8.3487174139115837E-4</v>
      </c>
      <c r="AM41" s="129"/>
    </row>
    <row r="42" spans="2:39" s="47" customFormat="1" ht="16.5" x14ac:dyDescent="0.15">
      <c r="B42" s="57" t="s">
        <v>191</v>
      </c>
      <c r="C42" s="57" t="s">
        <v>221</v>
      </c>
      <c r="D42" s="58">
        <v>800000000</v>
      </c>
      <c r="E42" s="58">
        <v>-113823556</v>
      </c>
      <c r="F42" s="58">
        <v>-76765971</v>
      </c>
      <c r="G42" s="58">
        <v>-2016438</v>
      </c>
      <c r="H42" s="58">
        <v>0</v>
      </c>
      <c r="I42" s="58">
        <v>10267832</v>
      </c>
      <c r="J42" s="58">
        <v>9199158</v>
      </c>
      <c r="K42" s="58">
        <v>0</v>
      </c>
      <c r="L42" s="58">
        <v>0</v>
      </c>
      <c r="M42" s="58">
        <v>-32296846</v>
      </c>
      <c r="N42" s="58">
        <v>-118448920</v>
      </c>
      <c r="O42" s="58">
        <v>-44161259</v>
      </c>
      <c r="P42" s="58">
        <v>570</v>
      </c>
      <c r="Q42" s="58">
        <v>-86966515</v>
      </c>
      <c r="R42" s="58">
        <v>-78717987</v>
      </c>
      <c r="S42" s="58">
        <v>-35558608</v>
      </c>
      <c r="T42" s="58">
        <v>-2016438</v>
      </c>
      <c r="U42" s="58">
        <v>-28933227</v>
      </c>
      <c r="V42" s="58">
        <v>-2053347</v>
      </c>
      <c r="W42" s="58">
        <v>-33305579</v>
      </c>
      <c r="X42" s="58">
        <v>46916812</v>
      </c>
      <c r="Y42" s="58">
        <v>34348800</v>
      </c>
      <c r="Z42" s="58">
        <v>227</v>
      </c>
      <c r="AA42" s="58">
        <v>-1972603</v>
      </c>
      <c r="AB42" s="58">
        <v>13322231</v>
      </c>
      <c r="AC42" s="58">
        <v>-70923077</v>
      </c>
      <c r="AD42" s="58">
        <v>-16523730</v>
      </c>
      <c r="AE42" s="58">
        <v>-18668435</v>
      </c>
      <c r="AF42" s="58">
        <v>-10385886</v>
      </c>
      <c r="AG42" s="58">
        <v>4141</v>
      </c>
      <c r="AH42" s="58">
        <v>-10315466</v>
      </c>
      <c r="AI42" s="58">
        <f t="shared" si="0"/>
        <v>716715867</v>
      </c>
      <c r="AJ42" s="58">
        <f t="shared" si="1"/>
        <v>716715867</v>
      </c>
      <c r="AK42" s="59">
        <f t="shared" si="2"/>
        <v>8.3487174139115837E-4</v>
      </c>
      <c r="AM42" s="129"/>
    </row>
    <row r="43" spans="2:39" s="47" customFormat="1" ht="16.5" x14ac:dyDescent="0.15">
      <c r="B43" s="57" t="s">
        <v>191</v>
      </c>
      <c r="C43" s="57" t="s">
        <v>222</v>
      </c>
      <c r="D43" s="58">
        <v>800000000</v>
      </c>
      <c r="E43" s="58">
        <v>-113823556</v>
      </c>
      <c r="F43" s="58">
        <v>-76765971</v>
      </c>
      <c r="G43" s="58">
        <v>-2016438</v>
      </c>
      <c r="H43" s="58">
        <v>0</v>
      </c>
      <c r="I43" s="58">
        <v>10267832</v>
      </c>
      <c r="J43" s="58">
        <v>9199158</v>
      </c>
      <c r="K43" s="58">
        <v>0</v>
      </c>
      <c r="L43" s="58">
        <v>0</v>
      </c>
      <c r="M43" s="58">
        <v>-32296846</v>
      </c>
      <c r="N43" s="58">
        <v>-118448920</v>
      </c>
      <c r="O43" s="58">
        <v>-44161259</v>
      </c>
      <c r="P43" s="58">
        <v>570</v>
      </c>
      <c r="Q43" s="58">
        <v>-86966515</v>
      </c>
      <c r="R43" s="58">
        <v>-78717987</v>
      </c>
      <c r="S43" s="58">
        <v>-35558608</v>
      </c>
      <c r="T43" s="58">
        <v>-2016438</v>
      </c>
      <c r="U43" s="58">
        <v>-28933227</v>
      </c>
      <c r="V43" s="58">
        <v>-2053347</v>
      </c>
      <c r="W43" s="58">
        <v>-33305579</v>
      </c>
      <c r="X43" s="58">
        <v>46916812</v>
      </c>
      <c r="Y43" s="58">
        <v>34348800</v>
      </c>
      <c r="Z43" s="58">
        <v>227</v>
      </c>
      <c r="AA43" s="58">
        <v>-1972603</v>
      </c>
      <c r="AB43" s="58">
        <v>13322231</v>
      </c>
      <c r="AC43" s="58">
        <v>-70923077</v>
      </c>
      <c r="AD43" s="58">
        <v>-16523730</v>
      </c>
      <c r="AE43" s="58">
        <v>-18668435</v>
      </c>
      <c r="AF43" s="58">
        <v>-10385886</v>
      </c>
      <c r="AG43" s="58">
        <v>4141</v>
      </c>
      <c r="AH43" s="58">
        <v>-10315466</v>
      </c>
      <c r="AI43" s="58">
        <f t="shared" si="0"/>
        <v>716715867</v>
      </c>
      <c r="AJ43" s="58">
        <f t="shared" si="1"/>
        <v>716715867</v>
      </c>
      <c r="AK43" s="59">
        <f t="shared" si="2"/>
        <v>8.3487174139115837E-4</v>
      </c>
      <c r="AM43" s="129"/>
    </row>
    <row r="44" spans="2:39" s="47" customFormat="1" ht="16.5" x14ac:dyDescent="0.15">
      <c r="B44" s="57" t="s">
        <v>191</v>
      </c>
      <c r="C44" s="57" t="s">
        <v>223</v>
      </c>
      <c r="D44" s="58">
        <v>300000000</v>
      </c>
      <c r="E44" s="58">
        <v>-42683834</v>
      </c>
      <c r="F44" s="58">
        <v>-28787239</v>
      </c>
      <c r="G44" s="58">
        <v>-756164</v>
      </c>
      <c r="H44" s="58">
        <v>0</v>
      </c>
      <c r="I44" s="58">
        <v>3850437</v>
      </c>
      <c r="J44" s="58">
        <v>3449685</v>
      </c>
      <c r="K44" s="58">
        <v>0</v>
      </c>
      <c r="L44" s="58">
        <v>0</v>
      </c>
      <c r="M44" s="58">
        <v>-12111317</v>
      </c>
      <c r="N44" s="58">
        <v>-44418345</v>
      </c>
      <c r="O44" s="58">
        <v>-16560472</v>
      </c>
      <c r="P44" s="58">
        <v>213</v>
      </c>
      <c r="Q44" s="58">
        <v>-32612443</v>
      </c>
      <c r="R44" s="58">
        <v>-29519245</v>
      </c>
      <c r="S44" s="58">
        <v>-13334478</v>
      </c>
      <c r="T44" s="58">
        <v>-756164</v>
      </c>
      <c r="U44" s="58">
        <v>-10849960</v>
      </c>
      <c r="V44" s="58">
        <v>-770005</v>
      </c>
      <c r="W44" s="58">
        <v>-12489592</v>
      </c>
      <c r="X44" s="58">
        <v>17593804</v>
      </c>
      <c r="Y44" s="58">
        <v>12880800</v>
      </c>
      <c r="Z44" s="58">
        <v>85</v>
      </c>
      <c r="AA44" s="58">
        <v>-739726</v>
      </c>
      <c r="AB44" s="58">
        <v>4995837</v>
      </c>
      <c r="AC44" s="58">
        <v>-26596154</v>
      </c>
      <c r="AD44" s="58">
        <v>-6196399</v>
      </c>
      <c r="AE44" s="58">
        <v>-7000663</v>
      </c>
      <c r="AF44" s="58">
        <v>-3894707</v>
      </c>
      <c r="AG44" s="58">
        <v>1553</v>
      </c>
      <c r="AH44" s="58">
        <v>-3868300</v>
      </c>
      <c r="AI44" s="58">
        <f t="shared" si="0"/>
        <v>268768448</v>
      </c>
      <c r="AJ44" s="58">
        <f t="shared" si="1"/>
        <v>268768448</v>
      </c>
      <c r="AK44" s="59">
        <f t="shared" si="2"/>
        <v>3.1307690054636255E-4</v>
      </c>
      <c r="AM44" s="129"/>
    </row>
    <row r="45" spans="2:39" s="47" customFormat="1" ht="16.5" x14ac:dyDescent="0.15">
      <c r="B45" s="57" t="s">
        <v>191</v>
      </c>
      <c r="C45" s="57" t="s">
        <v>224</v>
      </c>
      <c r="D45" s="58">
        <v>300000000</v>
      </c>
      <c r="E45" s="58">
        <v>-42683834</v>
      </c>
      <c r="F45" s="58">
        <v>-28787239</v>
      </c>
      <c r="G45" s="58">
        <v>-756164</v>
      </c>
      <c r="H45" s="58">
        <v>0</v>
      </c>
      <c r="I45" s="58">
        <v>3850437</v>
      </c>
      <c r="J45" s="58">
        <v>3449685</v>
      </c>
      <c r="K45" s="58">
        <v>0</v>
      </c>
      <c r="L45" s="58">
        <v>0</v>
      </c>
      <c r="M45" s="58">
        <v>-12111317</v>
      </c>
      <c r="N45" s="58">
        <v>-44418345</v>
      </c>
      <c r="O45" s="58">
        <v>-16560472</v>
      </c>
      <c r="P45" s="58">
        <v>213</v>
      </c>
      <c r="Q45" s="58">
        <v>-32612443</v>
      </c>
      <c r="R45" s="58">
        <v>-29519245</v>
      </c>
      <c r="S45" s="58">
        <v>-13334478</v>
      </c>
      <c r="T45" s="58">
        <v>-756164</v>
      </c>
      <c r="U45" s="58">
        <v>-10849960</v>
      </c>
      <c r="V45" s="58">
        <v>-770005</v>
      </c>
      <c r="W45" s="58">
        <v>-12489592</v>
      </c>
      <c r="X45" s="58">
        <v>17593804</v>
      </c>
      <c r="Y45" s="58">
        <v>12880800</v>
      </c>
      <c r="Z45" s="58">
        <v>85</v>
      </c>
      <c r="AA45" s="58">
        <v>-739726</v>
      </c>
      <c r="AB45" s="58">
        <v>4995837</v>
      </c>
      <c r="AC45" s="58">
        <v>-26596154</v>
      </c>
      <c r="AD45" s="58">
        <v>-6196399</v>
      </c>
      <c r="AE45" s="58">
        <v>-7000663</v>
      </c>
      <c r="AF45" s="58">
        <v>-3894707</v>
      </c>
      <c r="AG45" s="58">
        <v>1553</v>
      </c>
      <c r="AH45" s="58">
        <v>-3868300</v>
      </c>
      <c r="AI45" s="58">
        <f t="shared" si="0"/>
        <v>268768448</v>
      </c>
      <c r="AJ45" s="58">
        <f t="shared" si="1"/>
        <v>268768448</v>
      </c>
      <c r="AK45" s="59">
        <f t="shared" si="2"/>
        <v>3.1307690054636255E-4</v>
      </c>
      <c r="AM45" s="129"/>
    </row>
    <row r="46" spans="2:39" s="47" customFormat="1" ht="16.5" x14ac:dyDescent="0.15">
      <c r="B46" s="57" t="s">
        <v>191</v>
      </c>
      <c r="C46" s="57" t="s">
        <v>225</v>
      </c>
      <c r="D46" s="58">
        <v>300000000</v>
      </c>
      <c r="E46" s="58">
        <v>-42683834</v>
      </c>
      <c r="F46" s="58">
        <v>-28787239</v>
      </c>
      <c r="G46" s="58">
        <v>-756164</v>
      </c>
      <c r="H46" s="58">
        <v>0</v>
      </c>
      <c r="I46" s="58">
        <v>3850437</v>
      </c>
      <c r="J46" s="58">
        <v>3449685</v>
      </c>
      <c r="K46" s="58">
        <v>0</v>
      </c>
      <c r="L46" s="58">
        <v>0</v>
      </c>
      <c r="M46" s="58">
        <v>-12111317</v>
      </c>
      <c r="N46" s="58">
        <v>-44418345</v>
      </c>
      <c r="O46" s="58">
        <v>-16560472</v>
      </c>
      <c r="P46" s="58">
        <v>213</v>
      </c>
      <c r="Q46" s="58">
        <v>-32612443</v>
      </c>
      <c r="R46" s="58">
        <v>-29519245</v>
      </c>
      <c r="S46" s="58">
        <v>-13334478</v>
      </c>
      <c r="T46" s="58">
        <v>-756164</v>
      </c>
      <c r="U46" s="58">
        <v>-10849960</v>
      </c>
      <c r="V46" s="58">
        <v>-770005</v>
      </c>
      <c r="W46" s="58">
        <v>-12489592</v>
      </c>
      <c r="X46" s="58">
        <v>17593804</v>
      </c>
      <c r="Y46" s="58">
        <v>12880800</v>
      </c>
      <c r="Z46" s="58">
        <v>85</v>
      </c>
      <c r="AA46" s="58">
        <v>-739726</v>
      </c>
      <c r="AB46" s="58">
        <v>4995837</v>
      </c>
      <c r="AC46" s="58">
        <v>-26596154</v>
      </c>
      <c r="AD46" s="58">
        <v>-6196399</v>
      </c>
      <c r="AE46" s="58">
        <v>-7000663</v>
      </c>
      <c r="AF46" s="58">
        <v>-3894707</v>
      </c>
      <c r="AG46" s="58">
        <v>1553</v>
      </c>
      <c r="AH46" s="58">
        <v>-3868300</v>
      </c>
      <c r="AI46" s="58">
        <f t="shared" si="0"/>
        <v>268768448</v>
      </c>
      <c r="AJ46" s="58">
        <f t="shared" si="1"/>
        <v>268768448</v>
      </c>
      <c r="AK46" s="59">
        <f t="shared" si="2"/>
        <v>3.1307690054636255E-4</v>
      </c>
      <c r="AM46" s="129"/>
    </row>
    <row r="47" spans="2:39" s="47" customFormat="1" ht="16.5" x14ac:dyDescent="0.15">
      <c r="B47" s="57" t="s">
        <v>191</v>
      </c>
      <c r="C47" s="57" t="s">
        <v>226</v>
      </c>
      <c r="D47" s="58">
        <v>300000000</v>
      </c>
      <c r="E47" s="58">
        <v>-42683834</v>
      </c>
      <c r="F47" s="58">
        <v>-28787239</v>
      </c>
      <c r="G47" s="58">
        <v>-756164</v>
      </c>
      <c r="H47" s="58">
        <v>0</v>
      </c>
      <c r="I47" s="58">
        <v>3850437</v>
      </c>
      <c r="J47" s="58">
        <v>3449685</v>
      </c>
      <c r="K47" s="58">
        <v>0</v>
      </c>
      <c r="L47" s="58">
        <v>0</v>
      </c>
      <c r="M47" s="58">
        <v>-12111317</v>
      </c>
      <c r="N47" s="58">
        <v>-44418345</v>
      </c>
      <c r="O47" s="58">
        <v>-16560472</v>
      </c>
      <c r="P47" s="58">
        <v>213</v>
      </c>
      <c r="Q47" s="58">
        <v>-32612443</v>
      </c>
      <c r="R47" s="58">
        <v>-29519245</v>
      </c>
      <c r="S47" s="58">
        <v>-13334478</v>
      </c>
      <c r="T47" s="58">
        <v>-756164</v>
      </c>
      <c r="U47" s="58">
        <v>-10849960</v>
      </c>
      <c r="V47" s="58">
        <v>-770005</v>
      </c>
      <c r="W47" s="58">
        <v>-12489592</v>
      </c>
      <c r="X47" s="58">
        <v>17593804</v>
      </c>
      <c r="Y47" s="58">
        <v>12880800</v>
      </c>
      <c r="Z47" s="58">
        <v>85</v>
      </c>
      <c r="AA47" s="58">
        <v>-739726</v>
      </c>
      <c r="AB47" s="58">
        <v>4995837</v>
      </c>
      <c r="AC47" s="58">
        <v>-26596154</v>
      </c>
      <c r="AD47" s="58">
        <v>-6196399</v>
      </c>
      <c r="AE47" s="58">
        <v>-7000663</v>
      </c>
      <c r="AF47" s="58">
        <v>-3894707</v>
      </c>
      <c r="AG47" s="58">
        <v>1553</v>
      </c>
      <c r="AH47" s="58">
        <v>-3868300</v>
      </c>
      <c r="AI47" s="58">
        <f t="shared" si="0"/>
        <v>268768448</v>
      </c>
      <c r="AJ47" s="58">
        <f t="shared" si="1"/>
        <v>268768448</v>
      </c>
      <c r="AK47" s="59">
        <f t="shared" si="2"/>
        <v>3.1307690054636255E-4</v>
      </c>
      <c r="AM47" s="129"/>
    </row>
    <row r="48" spans="2:39" s="47" customFormat="1" ht="16.5" x14ac:dyDescent="0.15">
      <c r="B48" s="57"/>
      <c r="C48" s="57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9"/>
      <c r="AL48" s="60"/>
    </row>
    <row r="49" spans="2:42" s="47" customFormat="1" ht="16.5" x14ac:dyDescent="0.15">
      <c r="B49" s="291" t="s">
        <v>90</v>
      </c>
      <c r="C49" s="291"/>
      <c r="D49" s="61">
        <f t="shared" ref="D49:AG49" si="3">SUM(D13:D48)</f>
        <v>960800000000</v>
      </c>
      <c r="E49" s="61">
        <f t="shared" si="3"/>
        <v>-120840157591</v>
      </c>
      <c r="F49" s="61">
        <f t="shared" si="3"/>
        <v>-81413124565</v>
      </c>
      <c r="G49" s="61">
        <f t="shared" si="3"/>
        <v>-1952036989</v>
      </c>
      <c r="H49" s="61">
        <f t="shared" si="3"/>
        <v>-9705479</v>
      </c>
      <c r="I49" s="61">
        <f t="shared" si="3"/>
        <v>-482710510</v>
      </c>
      <c r="J49" s="61">
        <f t="shared" si="3"/>
        <v>-468684146</v>
      </c>
      <c r="K49" s="61">
        <f t="shared" si="3"/>
        <v>-2164237192</v>
      </c>
      <c r="L49" s="61">
        <f t="shared" si="3"/>
        <v>-108211860</v>
      </c>
      <c r="M49" s="61">
        <f t="shared" si="3"/>
        <v>-38607032824</v>
      </c>
      <c r="N49" s="61">
        <f t="shared" si="3"/>
        <v>-142257152400</v>
      </c>
      <c r="O49" s="61">
        <f t="shared" si="3"/>
        <v>-53037672140</v>
      </c>
      <c r="P49" s="61">
        <f t="shared" si="3"/>
        <v>717318</v>
      </c>
      <c r="Q49" s="61">
        <f t="shared" si="3"/>
        <v>-104269250188</v>
      </c>
      <c r="R49" s="61">
        <f t="shared" si="3"/>
        <v>-94540302441</v>
      </c>
      <c r="S49" s="61">
        <f t="shared" si="3"/>
        <v>-42526380521</v>
      </c>
      <c r="T49" s="61">
        <f t="shared" si="3"/>
        <v>-2240263015</v>
      </c>
      <c r="U49" s="61">
        <f t="shared" si="3"/>
        <v>-34748806000</v>
      </c>
      <c r="V49" s="61">
        <f t="shared" ref="V49:X49" si="4">SUM(V13:V48)</f>
        <v>-2284590234</v>
      </c>
      <c r="W49" s="61">
        <f t="shared" si="4"/>
        <v>-40000000000</v>
      </c>
      <c r="X49" s="61">
        <f t="shared" si="4"/>
        <v>56347091200</v>
      </c>
      <c r="Y49" s="61">
        <f t="shared" si="3"/>
        <v>41252908800</v>
      </c>
      <c r="Z49" s="61">
        <f t="shared" si="3"/>
        <v>272550</v>
      </c>
      <c r="AA49" s="61">
        <f t="shared" si="3"/>
        <v>-2191561640</v>
      </c>
      <c r="AB49" s="61">
        <f t="shared" si="3"/>
        <v>16000000000</v>
      </c>
      <c r="AC49" s="61">
        <f t="shared" si="3"/>
        <v>-84999108684</v>
      </c>
      <c r="AD49" s="61">
        <f t="shared" si="3"/>
        <v>-19845000000</v>
      </c>
      <c r="AE49" s="61">
        <f t="shared" si="3"/>
        <v>-22239311980</v>
      </c>
      <c r="AF49" s="61">
        <f t="shared" si="3"/>
        <v>-12291970486</v>
      </c>
      <c r="AG49" s="61">
        <f t="shared" si="3"/>
        <v>4975300</v>
      </c>
      <c r="AH49" s="61">
        <f>SUM(AH13:AH48)</f>
        <v>-12209857926</v>
      </c>
      <c r="AI49" s="61">
        <f>SUM(AI13:AI48)</f>
        <v>858474220011</v>
      </c>
      <c r="AJ49" s="61">
        <f>SUM(AJ13:AJ48)</f>
        <v>858474220011</v>
      </c>
      <c r="AK49" s="62">
        <f>SUM(AK13:AK48)</f>
        <v>0.99999999999999989</v>
      </c>
      <c r="AL49" s="63"/>
    </row>
    <row r="50" spans="2:42" s="47" customFormat="1" ht="16.5" x14ac:dyDescent="0.15">
      <c r="AK50" s="49"/>
    </row>
    <row r="51" spans="2:42" x14ac:dyDescent="0.15">
      <c r="AK51" s="64"/>
      <c r="AP51"/>
    </row>
    <row r="52" spans="2:42" x14ac:dyDescent="0.15">
      <c r="AK52" s="64"/>
      <c r="AP52"/>
    </row>
    <row r="53" spans="2:42" ht="18" x14ac:dyDescent="0.15">
      <c r="B53" s="292" t="s">
        <v>391</v>
      </c>
      <c r="C53" s="293"/>
      <c r="D53" s="293"/>
      <c r="E53" s="293"/>
      <c r="F53" s="107"/>
      <c r="G53" s="107"/>
      <c r="H53" s="107"/>
      <c r="I53" s="107"/>
      <c r="J53" s="107"/>
      <c r="K53" s="107"/>
      <c r="L53" s="107"/>
      <c r="M53" s="107"/>
      <c r="N53" s="107"/>
      <c r="O53" s="84"/>
      <c r="P53" s="84"/>
      <c r="Q53" s="84"/>
      <c r="R53" s="84"/>
      <c r="S53" s="84"/>
      <c r="T53" s="84"/>
      <c r="U53" s="84"/>
      <c r="V53" s="84"/>
      <c r="W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</row>
    <row r="54" spans="2:42" x14ac:dyDescent="0.15">
      <c r="B54" s="108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84"/>
      <c r="N54" s="84"/>
      <c r="O54" s="84"/>
      <c r="P54" s="84"/>
      <c r="Q54" s="84"/>
      <c r="U54" s="84"/>
      <c r="AD54" s="107"/>
      <c r="AE54" s="109" t="s">
        <v>392</v>
      </c>
    </row>
    <row r="55" spans="2:42" ht="16.5" x14ac:dyDescent="0.15">
      <c r="B55" s="282" t="s">
        <v>393</v>
      </c>
      <c r="C55" s="283"/>
      <c r="D55" s="286" t="s">
        <v>394</v>
      </c>
      <c r="E55" s="286" t="s">
        <v>395</v>
      </c>
      <c r="F55" s="110" t="s">
        <v>388</v>
      </c>
      <c r="G55" s="110" t="s">
        <v>388</v>
      </c>
      <c r="H55" s="110" t="s">
        <v>388</v>
      </c>
      <c r="I55" s="110" t="s">
        <v>388</v>
      </c>
      <c r="J55" s="110" t="s">
        <v>388</v>
      </c>
      <c r="K55" s="110" t="s">
        <v>388</v>
      </c>
      <c r="L55" s="110" t="s">
        <v>388</v>
      </c>
      <c r="M55" s="110" t="s">
        <v>388</v>
      </c>
      <c r="N55" s="110" t="s">
        <v>144</v>
      </c>
      <c r="O55" s="110" t="s">
        <v>388</v>
      </c>
      <c r="P55" s="110" t="s">
        <v>388</v>
      </c>
      <c r="Q55" s="110" t="s">
        <v>388</v>
      </c>
      <c r="R55" s="110" t="s">
        <v>388</v>
      </c>
      <c r="S55" s="110" t="s">
        <v>388</v>
      </c>
      <c r="T55" s="65" t="s">
        <v>143</v>
      </c>
      <c r="U55" s="110" t="s">
        <v>144</v>
      </c>
      <c r="V55" s="65" t="s">
        <v>143</v>
      </c>
      <c r="W55" s="110" t="s">
        <v>144</v>
      </c>
      <c r="X55" s="110" t="s">
        <v>388</v>
      </c>
      <c r="Y55" s="110" t="s">
        <v>388</v>
      </c>
      <c r="Z55" s="110" t="s">
        <v>388</v>
      </c>
      <c r="AA55" s="110" t="s">
        <v>388</v>
      </c>
      <c r="AB55" s="110" t="s">
        <v>388</v>
      </c>
      <c r="AC55" s="110" t="s">
        <v>388</v>
      </c>
      <c r="AD55" s="110" t="s">
        <v>396</v>
      </c>
      <c r="AE55" s="110" t="s">
        <v>397</v>
      </c>
      <c r="AF55" s="110" t="s">
        <v>533</v>
      </c>
    </row>
    <row r="56" spans="2:42" x14ac:dyDescent="0.15">
      <c r="B56" s="284"/>
      <c r="C56" s="285"/>
      <c r="D56" s="286"/>
      <c r="E56" s="286"/>
      <c r="F56" s="111">
        <v>44286</v>
      </c>
      <c r="G56" s="111">
        <v>44397</v>
      </c>
      <c r="H56" s="111">
        <v>44404</v>
      </c>
      <c r="I56" s="111">
        <v>44490</v>
      </c>
      <c r="J56" s="111">
        <v>44581</v>
      </c>
      <c r="K56" s="111">
        <v>44609</v>
      </c>
      <c r="L56" s="111">
        <v>44616</v>
      </c>
      <c r="M56" s="111">
        <v>44663</v>
      </c>
      <c r="N56" s="111">
        <v>44673</v>
      </c>
      <c r="O56" s="111">
        <v>44676</v>
      </c>
      <c r="P56" s="111">
        <v>44676</v>
      </c>
      <c r="Q56" s="111">
        <v>44742</v>
      </c>
      <c r="R56" s="111">
        <v>44896</v>
      </c>
      <c r="S56" s="111">
        <v>44958</v>
      </c>
      <c r="T56" s="111">
        <v>44999</v>
      </c>
      <c r="U56" s="111">
        <v>44999</v>
      </c>
      <c r="V56" s="111">
        <v>45043</v>
      </c>
      <c r="W56" s="111">
        <v>45043</v>
      </c>
      <c r="X56" s="111">
        <v>45128</v>
      </c>
      <c r="Y56" s="111">
        <v>45168</v>
      </c>
      <c r="Z56" s="111">
        <v>45175</v>
      </c>
      <c r="AA56" s="111">
        <v>45229</v>
      </c>
      <c r="AB56" s="111">
        <v>45275</v>
      </c>
      <c r="AC56" s="111">
        <v>45390</v>
      </c>
      <c r="AD56" s="111">
        <v>45473</v>
      </c>
      <c r="AE56" s="111">
        <v>45473</v>
      </c>
      <c r="AF56" s="111"/>
    </row>
    <row r="57" spans="2:42" x14ac:dyDescent="0.15">
      <c r="B57" s="112"/>
      <c r="C57" s="112" t="s">
        <v>398</v>
      </c>
      <c r="D57" s="112" t="s">
        <v>399</v>
      </c>
      <c r="E57" s="113">
        <v>140688761000</v>
      </c>
      <c r="F57" s="113">
        <v>120689712000</v>
      </c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>
        <v>19999049000</v>
      </c>
      <c r="AB57" s="113"/>
      <c r="AC57" s="113"/>
      <c r="AD57" s="113">
        <f>SUM(F57,G57,H57,I57,J57,K57,L57,M57,O57,P57,Q57,AA57)</f>
        <v>140688761000</v>
      </c>
      <c r="AE57" s="113">
        <f>AD57/1000</f>
        <v>140688761</v>
      </c>
      <c r="AF57" s="114">
        <v>1</v>
      </c>
    </row>
    <row r="58" spans="2:42" x14ac:dyDescent="0.15">
      <c r="B58" s="112"/>
      <c r="C58" s="112" t="s">
        <v>400</v>
      </c>
      <c r="D58" s="112" t="s">
        <v>399</v>
      </c>
      <c r="E58" s="113">
        <v>40475100000</v>
      </c>
      <c r="F58" s="113"/>
      <c r="G58" s="113">
        <v>40285100000</v>
      </c>
      <c r="H58" s="113"/>
      <c r="I58" s="113"/>
      <c r="J58" s="113"/>
      <c r="K58" s="113"/>
      <c r="L58" s="113"/>
      <c r="M58" s="113"/>
      <c r="N58" s="113">
        <v>208824000</v>
      </c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>
        <v>190000000</v>
      </c>
      <c r="Z58" s="113"/>
      <c r="AA58" s="113"/>
      <c r="AB58" s="113"/>
      <c r="AC58" s="113"/>
      <c r="AD58" s="113">
        <f>SUM(F58,G58,H58,I58,J58,K58,L58,M58,O58,P58,Q58,Y58)</f>
        <v>40475100000</v>
      </c>
      <c r="AE58" s="113">
        <f t="shared" ref="AE58:AE65" si="5">AD58/1000</f>
        <v>40475100</v>
      </c>
      <c r="AF58" s="114">
        <v>1</v>
      </c>
    </row>
    <row r="59" spans="2:42" x14ac:dyDescent="0.15">
      <c r="B59" s="112"/>
      <c r="C59" s="112" t="s">
        <v>401</v>
      </c>
      <c r="D59" s="112" t="s">
        <v>399</v>
      </c>
      <c r="E59" s="113">
        <v>40155000000</v>
      </c>
      <c r="F59" s="113"/>
      <c r="G59" s="113"/>
      <c r="H59" s="113">
        <v>40155000000</v>
      </c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>
        <v>24093000000</v>
      </c>
      <c r="U59" s="113">
        <v>73717000000</v>
      </c>
      <c r="V59" s="113">
        <v>16061999000</v>
      </c>
      <c r="W59" s="113">
        <v>73423840</v>
      </c>
      <c r="X59" s="113"/>
      <c r="Y59" s="113"/>
      <c r="Z59" s="113"/>
      <c r="AA59" s="113"/>
      <c r="AB59" s="113"/>
      <c r="AC59" s="113"/>
      <c r="AD59" s="113">
        <f>SUM(F59,G59,H59,I59,J59,K59,L59,M59,O59,P59,Q59)-T59-V59</f>
        <v>1000</v>
      </c>
      <c r="AE59" s="113">
        <f t="shared" si="5"/>
        <v>1</v>
      </c>
      <c r="AF59" s="114">
        <v>1</v>
      </c>
    </row>
    <row r="60" spans="2:42" x14ac:dyDescent="0.15">
      <c r="B60" s="112"/>
      <c r="C60" s="112" t="s">
        <v>402</v>
      </c>
      <c r="D60" s="112" t="s">
        <v>399</v>
      </c>
      <c r="E60" s="113">
        <v>155119700000</v>
      </c>
      <c r="F60" s="113"/>
      <c r="G60" s="113"/>
      <c r="H60" s="113"/>
      <c r="I60" s="113">
        <v>5000000</v>
      </c>
      <c r="J60" s="113"/>
      <c r="K60" s="113"/>
      <c r="L60" s="113">
        <v>53037000000</v>
      </c>
      <c r="M60" s="113">
        <v>102077700000</v>
      </c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>
        <f>SUM(F60,G60,H60,I60,J60,K60,L60,M60,O60,P60,Q60)</f>
        <v>155119700000</v>
      </c>
      <c r="AE60" s="113">
        <f t="shared" si="5"/>
        <v>155119700</v>
      </c>
      <c r="AF60" s="114">
        <v>1</v>
      </c>
    </row>
    <row r="61" spans="2:42" x14ac:dyDescent="0.15">
      <c r="B61" s="112"/>
      <c r="C61" s="112" t="s">
        <v>403</v>
      </c>
      <c r="D61" s="112" t="s">
        <v>399</v>
      </c>
      <c r="E61" s="113">
        <v>85563000000</v>
      </c>
      <c r="F61" s="113"/>
      <c r="G61" s="113"/>
      <c r="H61" s="113"/>
      <c r="I61" s="113"/>
      <c r="J61" s="113">
        <v>36354000000</v>
      </c>
      <c r="K61" s="113"/>
      <c r="L61" s="113"/>
      <c r="M61" s="113"/>
      <c r="N61" s="113"/>
      <c r="O61" s="113">
        <v>49209000000</v>
      </c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>
        <f>SUM(F61,G61,H61,I61,J61,K61,L61,M61,O61,P61,Q61)</f>
        <v>85563000000</v>
      </c>
      <c r="AE61" s="113">
        <f t="shared" si="5"/>
        <v>85563000</v>
      </c>
      <c r="AF61" s="114">
        <v>1</v>
      </c>
    </row>
    <row r="62" spans="2:42" x14ac:dyDescent="0.15">
      <c r="B62" s="112"/>
      <c r="C62" s="112" t="s">
        <v>404</v>
      </c>
      <c r="D62" s="112" t="s">
        <v>399</v>
      </c>
      <c r="E62" s="113">
        <f>142257000000+30008800000</f>
        <v>172265800000</v>
      </c>
      <c r="F62" s="113"/>
      <c r="G62" s="113"/>
      <c r="H62" s="113"/>
      <c r="I62" s="113"/>
      <c r="J62" s="113"/>
      <c r="K62" s="113">
        <v>142257000000</v>
      </c>
      <c r="L62" s="113"/>
      <c r="M62" s="113"/>
      <c r="N62" s="113"/>
      <c r="O62" s="113"/>
      <c r="P62" s="113"/>
      <c r="Q62" s="113"/>
      <c r="R62" s="113">
        <v>30008800000</v>
      </c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>
        <f>SUM(F62,G62,H62,I62,J62,K62,L62,M62,O62,P62,Q62,R62)</f>
        <v>172265800000</v>
      </c>
      <c r="AE62" s="113">
        <f t="shared" si="5"/>
        <v>172265800</v>
      </c>
      <c r="AF62" s="114">
        <v>1</v>
      </c>
    </row>
    <row r="63" spans="2:42" x14ac:dyDescent="0.15">
      <c r="B63" s="112"/>
      <c r="C63" s="112" t="s">
        <v>405</v>
      </c>
      <c r="D63" s="112" t="s">
        <v>399</v>
      </c>
      <c r="E63" s="113">
        <v>50071006000</v>
      </c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>
        <v>45331000000</v>
      </c>
      <c r="Q63" s="113"/>
      <c r="R63" s="113">
        <v>4740006000</v>
      </c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>
        <f>SUM(F63,G63,H63,I63,J63,K63,L63,M63,O63,P63,Q63,R63)</f>
        <v>50071006000</v>
      </c>
      <c r="AE63" s="113">
        <f t="shared" si="5"/>
        <v>50071006</v>
      </c>
      <c r="AF63" s="114">
        <v>1</v>
      </c>
    </row>
    <row r="64" spans="2:42" x14ac:dyDescent="0.15">
      <c r="B64" s="112"/>
      <c r="C64" s="112" t="s">
        <v>406</v>
      </c>
      <c r="D64" s="112" t="s">
        <v>399</v>
      </c>
      <c r="E64" s="113">
        <v>40281015000</v>
      </c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>
        <v>40281015000</v>
      </c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>
        <f>SUM(F64,G64,H64,I64,J64,K64,L64,M64,O64,P64,Q64)</f>
        <v>40281015000</v>
      </c>
      <c r="AE64" s="113">
        <f t="shared" si="5"/>
        <v>40281015</v>
      </c>
      <c r="AF64" s="114">
        <v>1</v>
      </c>
    </row>
    <row r="65" spans="2:32" x14ac:dyDescent="0.15">
      <c r="B65" s="112"/>
      <c r="C65" s="112" t="s">
        <v>414</v>
      </c>
      <c r="D65" s="112" t="s">
        <v>399</v>
      </c>
      <c r="E65" s="113">
        <v>97321954000</v>
      </c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>
        <v>40000000000</v>
      </c>
      <c r="T65" s="113"/>
      <c r="U65" s="113"/>
      <c r="V65" s="113"/>
      <c r="W65" s="113"/>
      <c r="X65" s="113">
        <v>27476954000</v>
      </c>
      <c r="Y65" s="113"/>
      <c r="Z65" s="113">
        <v>19845000000</v>
      </c>
      <c r="AA65" s="113"/>
      <c r="AB65" s="113">
        <v>10000000000</v>
      </c>
      <c r="AC65" s="113">
        <v>10000000000</v>
      </c>
      <c r="AD65" s="113">
        <f>SUM(S65,X65,Z65,AB65,AC65)</f>
        <v>107321954000</v>
      </c>
      <c r="AE65" s="113">
        <f t="shared" si="5"/>
        <v>107321954</v>
      </c>
      <c r="AF65" s="114">
        <v>1</v>
      </c>
    </row>
    <row r="66" spans="2:32" x14ac:dyDescent="0.15">
      <c r="B66" s="112"/>
      <c r="C66" s="112" t="s">
        <v>444</v>
      </c>
      <c r="D66" s="112" t="s">
        <v>399</v>
      </c>
      <c r="E66" s="113">
        <v>55306242000</v>
      </c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>
        <v>55306242000</v>
      </c>
      <c r="Y66" s="113"/>
      <c r="Z66" s="113"/>
      <c r="AA66" s="113"/>
      <c r="AB66" s="113"/>
      <c r="AC66" s="113"/>
      <c r="AD66" s="113">
        <f>SUM(X66)</f>
        <v>55306242000</v>
      </c>
      <c r="AE66" s="113">
        <f t="shared" ref="AE66" si="6">AD66/1000</f>
        <v>55306242</v>
      </c>
      <c r="AF66" s="114">
        <v>1</v>
      </c>
    </row>
    <row r="67" spans="2:32" x14ac:dyDescent="0.15">
      <c r="B67" s="287" t="s">
        <v>407</v>
      </c>
      <c r="C67" s="288"/>
      <c r="D67" s="289"/>
      <c r="E67" s="115">
        <f>SUM(E57:E66)</f>
        <v>877247578000</v>
      </c>
      <c r="F67" s="115">
        <f t="shared" ref="F67:W67" si="7">SUM(F57:F66)</f>
        <v>120689712000</v>
      </c>
      <c r="G67" s="115">
        <f t="shared" si="7"/>
        <v>40285100000</v>
      </c>
      <c r="H67" s="115">
        <f t="shared" si="7"/>
        <v>40155000000</v>
      </c>
      <c r="I67" s="115">
        <f t="shared" si="7"/>
        <v>5000000</v>
      </c>
      <c r="J67" s="115">
        <f t="shared" si="7"/>
        <v>36354000000</v>
      </c>
      <c r="K67" s="115">
        <f t="shared" si="7"/>
        <v>142257000000</v>
      </c>
      <c r="L67" s="115">
        <f t="shared" si="7"/>
        <v>53037000000</v>
      </c>
      <c r="M67" s="115">
        <f t="shared" si="7"/>
        <v>102077700000</v>
      </c>
      <c r="N67" s="115">
        <f t="shared" si="7"/>
        <v>208824000</v>
      </c>
      <c r="O67" s="115">
        <f t="shared" si="7"/>
        <v>49209000000</v>
      </c>
      <c r="P67" s="115">
        <f t="shared" si="7"/>
        <v>45331000000</v>
      </c>
      <c r="Q67" s="115">
        <f t="shared" si="7"/>
        <v>40281015000</v>
      </c>
      <c r="R67" s="115">
        <f t="shared" si="7"/>
        <v>34748806000</v>
      </c>
      <c r="S67" s="115">
        <f t="shared" si="7"/>
        <v>40000000000</v>
      </c>
      <c r="T67" s="115">
        <f t="shared" si="7"/>
        <v>24093000000</v>
      </c>
      <c r="U67" s="115">
        <f t="shared" si="7"/>
        <v>73717000000</v>
      </c>
      <c r="V67" s="115">
        <f t="shared" si="7"/>
        <v>16061999000</v>
      </c>
      <c r="W67" s="115">
        <f t="shared" si="7"/>
        <v>73423840</v>
      </c>
      <c r="X67" s="115">
        <f t="shared" ref="X67:Z67" si="8">SUM(X57:X66)</f>
        <v>82783196000</v>
      </c>
      <c r="Y67" s="115">
        <f t="shared" si="8"/>
        <v>190000000</v>
      </c>
      <c r="Z67" s="115">
        <f t="shared" si="8"/>
        <v>19845000000</v>
      </c>
      <c r="AA67" s="115">
        <f>SUM(AA57:AA66)</f>
        <v>19999049000</v>
      </c>
      <c r="AB67" s="115">
        <f>SUM(AB57:AB66)</f>
        <v>10000000000</v>
      </c>
      <c r="AC67" s="115">
        <f>SUM(AC57:AC66)</f>
        <v>10000000000</v>
      </c>
      <c r="AD67" s="115">
        <f>SUM(AD57:AD66)</f>
        <v>847092579000</v>
      </c>
      <c r="AE67" s="115">
        <f>SUM(AE57:AE66)</f>
        <v>847092579</v>
      </c>
      <c r="AF67" s="116"/>
    </row>
    <row r="69" spans="2:32" x14ac:dyDescent="0.15">
      <c r="U69" s="124"/>
    </row>
  </sheetData>
  <mergeCells count="9">
    <mergeCell ref="B55:C56"/>
    <mergeCell ref="D55:D56"/>
    <mergeCell ref="E55:E56"/>
    <mergeCell ref="B67:D67"/>
    <mergeCell ref="B11:B12"/>
    <mergeCell ref="C11:C12"/>
    <mergeCell ref="D11:D12"/>
    <mergeCell ref="B49:C49"/>
    <mergeCell ref="B53:E53"/>
  </mergeCells>
  <phoneticPr fontId="7" type="noConversion"/>
  <conditionalFormatting sqref="F55:S55">
    <cfRule type="cellIs" dxfId="17" priority="28" operator="equal">
      <formula>"이익분배"</formula>
    </cfRule>
    <cfRule type="cellIs" dxfId="16" priority="29" operator="equal">
      <formula>"원본분배"</formula>
    </cfRule>
    <cfRule type="cellIs" dxfId="15" priority="30" operator="equal">
      <formula>"출자"</formula>
    </cfRule>
  </conditionalFormatting>
  <conditionalFormatting sqref="F11:AH11">
    <cfRule type="containsText" dxfId="14" priority="13" operator="containsText" text="이익분배">
      <formula>NOT(ISERROR(SEARCH("이익분배",F11)))</formula>
    </cfRule>
    <cfRule type="containsText" dxfId="13" priority="14" operator="containsText" text="원본분배">
      <formula>NOT(ISERROR(SEARCH("원본분배",F11)))</formula>
    </cfRule>
    <cfRule type="containsText" dxfId="12" priority="15" operator="containsText" text="출자">
      <formula>NOT(ISERROR(SEARCH("출자",F11)))</formula>
    </cfRule>
  </conditionalFormatting>
  <conditionalFormatting sqref="T55">
    <cfRule type="containsText" dxfId="11" priority="10" operator="containsText" text="이익분배">
      <formula>NOT(ISERROR(SEARCH("이익분배",T55)))</formula>
    </cfRule>
    <cfRule type="containsText" dxfId="10" priority="11" operator="containsText" text="원본분배">
      <formula>NOT(ISERROR(SEARCH("원본분배",T55)))</formula>
    </cfRule>
    <cfRule type="containsText" dxfId="9" priority="12" operator="containsText" text="출자">
      <formula>NOT(ISERROR(SEARCH("출자",T55)))</formula>
    </cfRule>
  </conditionalFormatting>
  <conditionalFormatting sqref="U55">
    <cfRule type="cellIs" dxfId="8" priority="25" operator="equal">
      <formula>"이익분배"</formula>
    </cfRule>
    <cfRule type="cellIs" dxfId="7" priority="26" operator="equal">
      <formula>"원본분배"</formula>
    </cfRule>
    <cfRule type="cellIs" dxfId="6" priority="27" operator="equal">
      <formula>"출자"</formula>
    </cfRule>
  </conditionalFormatting>
  <conditionalFormatting sqref="V55">
    <cfRule type="containsText" dxfId="5" priority="4" operator="containsText" text="이익분배">
      <formula>NOT(ISERROR(SEARCH("이익분배",V55)))</formula>
    </cfRule>
    <cfRule type="containsText" dxfId="4" priority="5" operator="containsText" text="원본분배">
      <formula>NOT(ISERROR(SEARCH("원본분배",V55)))</formula>
    </cfRule>
    <cfRule type="containsText" dxfId="3" priority="6" operator="containsText" text="출자">
      <formula>NOT(ISERROR(SEARCH("출자",V55)))</formula>
    </cfRule>
  </conditionalFormatting>
  <conditionalFormatting sqref="W55:AC55">
    <cfRule type="cellIs" dxfId="2" priority="1" operator="equal">
      <formula>"이익분배"</formula>
    </cfRule>
    <cfRule type="cellIs" dxfId="1" priority="2" operator="equal">
      <formula>"원본분배"</formula>
    </cfRule>
    <cfRule type="cellIs" dxfId="0" priority="3" operator="equal">
      <formula>"출자"</formula>
    </cfRule>
  </conditionalFormatting>
  <dataValidations disablePrompts="1" count="1">
    <dataValidation type="list" allowBlank="1" showInputMessage="1" showErrorMessage="1" sqref="F55:S55 U55 W55:AC55">
      <formula1>$A$3:$A$10</formula1>
    </dataValidation>
  </dataValidation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70"/>
  <sheetViews>
    <sheetView showGridLines="0" topLeftCell="W43" zoomScale="70" zoomScaleNormal="70" workbookViewId="0">
      <selection activeCell="AJ52" sqref="AJ52"/>
    </sheetView>
  </sheetViews>
  <sheetFormatPr defaultColWidth="8.88671875" defaultRowHeight="13.5" x14ac:dyDescent="0.15"/>
  <cols>
    <col min="1" max="1" width="2.5546875" style="66" customWidth="1"/>
    <col min="2" max="2" width="10.5546875" style="66" customWidth="1"/>
    <col min="3" max="3" width="24" style="66" bestFit="1" customWidth="1"/>
    <col min="4" max="4" width="28.77734375" style="66" customWidth="1"/>
    <col min="5" max="5" width="3" style="66" customWidth="1"/>
    <col min="6" max="6" width="10.5546875" style="66" customWidth="1"/>
    <col min="7" max="7" width="24" style="66" bestFit="1" customWidth="1"/>
    <col min="8" max="8" width="38.21875" style="66" customWidth="1"/>
    <col min="9" max="9" width="2.109375" style="66" customWidth="1"/>
    <col min="10" max="10" width="10.5546875" style="66" customWidth="1"/>
    <col min="11" max="11" width="24" style="66" bestFit="1" customWidth="1"/>
    <col min="12" max="12" width="28.77734375" style="66" customWidth="1"/>
    <col min="13" max="13" width="3.5546875" style="66" customWidth="1"/>
    <col min="14" max="14" width="10.5546875" style="66" customWidth="1"/>
    <col min="15" max="15" width="24" style="66" bestFit="1" customWidth="1"/>
    <col min="16" max="16" width="28.77734375" style="66" customWidth="1"/>
    <col min="17" max="17" width="2.88671875" style="66" customWidth="1"/>
    <col min="18" max="18" width="10.5546875" style="66" customWidth="1"/>
    <col min="19" max="19" width="24" style="66" bestFit="1" customWidth="1"/>
    <col min="20" max="20" width="28.77734375" style="66" customWidth="1"/>
    <col min="21" max="21" width="2.5546875" style="66" customWidth="1"/>
    <col min="22" max="22" width="10.5546875" style="66" customWidth="1"/>
    <col min="23" max="23" width="24" style="66" bestFit="1" customWidth="1"/>
    <col min="24" max="24" width="33.33203125" style="66" bestFit="1" customWidth="1"/>
    <col min="25" max="25" width="4.109375" style="66" customWidth="1"/>
    <col min="26" max="26" width="10.5546875" style="66" customWidth="1"/>
    <col min="27" max="27" width="24" style="66" bestFit="1" customWidth="1"/>
    <col min="28" max="28" width="28.77734375" style="66" customWidth="1"/>
    <col min="29" max="29" width="8.88671875" style="66"/>
    <col min="30" max="30" width="10.5546875" style="66" customWidth="1"/>
    <col min="31" max="31" width="24" style="66" bestFit="1" customWidth="1"/>
    <col min="32" max="32" width="41.44140625" style="66" customWidth="1"/>
    <col min="33" max="33" width="8.88671875" style="66"/>
    <col min="34" max="34" width="10.5546875" style="66" customWidth="1"/>
    <col min="35" max="35" width="24" style="66" bestFit="1" customWidth="1"/>
    <col min="36" max="36" width="41.44140625" style="66" customWidth="1"/>
    <col min="37" max="16384" width="8.88671875" style="66"/>
  </cols>
  <sheetData>
    <row r="1" spans="2:36" s="4" customFormat="1" x14ac:dyDescent="0.15"/>
    <row r="2" spans="2:36" s="4" customFormat="1" x14ac:dyDescent="0.15"/>
    <row r="3" spans="2:36" s="4" customFormat="1" x14ac:dyDescent="0.15">
      <c r="B3" s="5" t="s">
        <v>265</v>
      </c>
      <c r="C3" s="4" t="s">
        <v>228</v>
      </c>
      <c r="F3" s="5" t="s">
        <v>276</v>
      </c>
      <c r="G3" s="4" t="s">
        <v>228</v>
      </c>
      <c r="J3" s="5" t="s">
        <v>276</v>
      </c>
      <c r="K3" s="4" t="s">
        <v>228</v>
      </c>
      <c r="N3" s="5" t="s">
        <v>265</v>
      </c>
      <c r="O3" s="4" t="s">
        <v>277</v>
      </c>
      <c r="R3" s="5" t="s">
        <v>276</v>
      </c>
      <c r="S3" s="4" t="s">
        <v>228</v>
      </c>
      <c r="V3" s="5" t="s">
        <v>265</v>
      </c>
      <c r="W3" s="4" t="s">
        <v>228</v>
      </c>
      <c r="Z3" s="5" t="s">
        <v>265</v>
      </c>
      <c r="AA3" s="4" t="s">
        <v>228</v>
      </c>
      <c r="AD3" s="5" t="s">
        <v>265</v>
      </c>
      <c r="AE3" s="4" t="s">
        <v>228</v>
      </c>
      <c r="AH3" s="5" t="s">
        <v>265</v>
      </c>
      <c r="AI3" s="4" t="s">
        <v>228</v>
      </c>
    </row>
    <row r="4" spans="2:36" s="4" customFormat="1" x14ac:dyDescent="0.15">
      <c r="B4" s="5" t="s">
        <v>266</v>
      </c>
      <c r="C4" s="4" t="s">
        <v>278</v>
      </c>
      <c r="F4" s="5" t="s">
        <v>266</v>
      </c>
      <c r="G4" s="4" t="s">
        <v>267</v>
      </c>
      <c r="J4" s="5" t="s">
        <v>266</v>
      </c>
      <c r="K4" s="4" t="s">
        <v>279</v>
      </c>
      <c r="N4" s="5" t="s">
        <v>280</v>
      </c>
      <c r="O4" s="4" t="s">
        <v>281</v>
      </c>
      <c r="R4" s="5" t="s">
        <v>280</v>
      </c>
      <c r="S4" s="4" t="s">
        <v>268</v>
      </c>
      <c r="V4" s="5" t="s">
        <v>280</v>
      </c>
      <c r="W4" s="4" t="s">
        <v>229</v>
      </c>
      <c r="Z4" s="5" t="s">
        <v>266</v>
      </c>
      <c r="AA4" s="4" t="s">
        <v>230</v>
      </c>
      <c r="AD4" s="5" t="s">
        <v>266</v>
      </c>
      <c r="AE4" s="4" t="s">
        <v>349</v>
      </c>
      <c r="AH4" s="5" t="s">
        <v>266</v>
      </c>
      <c r="AI4" s="4" t="s">
        <v>415</v>
      </c>
    </row>
    <row r="5" spans="2:36" s="4" customFormat="1" x14ac:dyDescent="0.15">
      <c r="B5" s="5"/>
      <c r="F5" s="5"/>
      <c r="J5" s="5"/>
      <c r="N5" s="5"/>
      <c r="R5" s="5"/>
      <c r="V5" s="5"/>
      <c r="Z5" s="5"/>
      <c r="AD5" s="5"/>
      <c r="AH5" s="5"/>
    </row>
    <row r="6" spans="2:36" x14ac:dyDescent="0.15">
      <c r="B6" s="67" t="s">
        <v>6</v>
      </c>
      <c r="F6" s="67" t="s">
        <v>6</v>
      </c>
      <c r="J6" s="67" t="s">
        <v>282</v>
      </c>
      <c r="N6" s="67" t="s">
        <v>6</v>
      </c>
      <c r="R6" s="67" t="s">
        <v>6</v>
      </c>
      <c r="V6" s="67" t="s">
        <v>6</v>
      </c>
      <c r="Z6" s="67" t="s">
        <v>6</v>
      </c>
      <c r="AD6" s="67" t="s">
        <v>6</v>
      </c>
      <c r="AH6" s="67" t="s">
        <v>6</v>
      </c>
    </row>
    <row r="7" spans="2:36" x14ac:dyDescent="0.15">
      <c r="B7" s="294" t="s">
        <v>231</v>
      </c>
      <c r="C7" s="295"/>
      <c r="D7" s="68" t="s">
        <v>7</v>
      </c>
      <c r="F7" s="294" t="s">
        <v>231</v>
      </c>
      <c r="G7" s="295"/>
      <c r="H7" s="68" t="s">
        <v>7</v>
      </c>
      <c r="J7" s="294" t="s">
        <v>231</v>
      </c>
      <c r="K7" s="295"/>
      <c r="L7" s="68" t="s">
        <v>283</v>
      </c>
      <c r="N7" s="294" t="s">
        <v>231</v>
      </c>
      <c r="O7" s="295"/>
      <c r="P7" s="68" t="s">
        <v>283</v>
      </c>
      <c r="R7" s="294" t="s">
        <v>284</v>
      </c>
      <c r="S7" s="295"/>
      <c r="T7" s="68" t="s">
        <v>283</v>
      </c>
      <c r="V7" s="294" t="s">
        <v>284</v>
      </c>
      <c r="W7" s="295"/>
      <c r="X7" s="68" t="s">
        <v>7</v>
      </c>
      <c r="Z7" s="294" t="s">
        <v>231</v>
      </c>
      <c r="AA7" s="295"/>
      <c r="AB7" s="68" t="s">
        <v>7</v>
      </c>
      <c r="AD7" s="294" t="s">
        <v>231</v>
      </c>
      <c r="AE7" s="295"/>
      <c r="AF7" s="68" t="s">
        <v>7</v>
      </c>
      <c r="AH7" s="294" t="s">
        <v>231</v>
      </c>
      <c r="AI7" s="295"/>
      <c r="AJ7" s="68" t="s">
        <v>7</v>
      </c>
    </row>
    <row r="8" spans="2:36" ht="16.5" customHeight="1" x14ac:dyDescent="0.15">
      <c r="B8" s="296" t="s">
        <v>285</v>
      </c>
      <c r="C8" s="296"/>
      <c r="D8" s="69"/>
      <c r="F8" s="296" t="s">
        <v>8</v>
      </c>
      <c r="G8" s="296"/>
      <c r="H8" s="69"/>
      <c r="J8" s="296" t="s">
        <v>8</v>
      </c>
      <c r="K8" s="296"/>
      <c r="L8" s="69" t="s">
        <v>232</v>
      </c>
      <c r="N8" s="296" t="s">
        <v>285</v>
      </c>
      <c r="O8" s="296"/>
      <c r="P8" s="69"/>
      <c r="R8" s="296" t="s">
        <v>285</v>
      </c>
      <c r="S8" s="296"/>
      <c r="T8" s="69" t="s">
        <v>170</v>
      </c>
      <c r="V8" s="296" t="s">
        <v>285</v>
      </c>
      <c r="W8" s="296"/>
      <c r="X8" s="69" t="s">
        <v>229</v>
      </c>
      <c r="Z8" s="296" t="s">
        <v>8</v>
      </c>
      <c r="AA8" s="296"/>
      <c r="AB8" s="69"/>
      <c r="AD8" s="296" t="s">
        <v>8</v>
      </c>
      <c r="AE8" s="296"/>
      <c r="AF8" s="69"/>
      <c r="AH8" s="296" t="s">
        <v>8</v>
      </c>
      <c r="AI8" s="296"/>
      <c r="AJ8" s="69"/>
    </row>
    <row r="9" spans="2:36" ht="16.5" customHeight="1" x14ac:dyDescent="0.15">
      <c r="B9" s="297" t="s">
        <v>9</v>
      </c>
      <c r="C9" s="298"/>
      <c r="D9" s="69"/>
      <c r="F9" s="297" t="s">
        <v>286</v>
      </c>
      <c r="G9" s="298"/>
      <c r="H9" s="69"/>
      <c r="J9" s="297" t="s">
        <v>9</v>
      </c>
      <c r="K9" s="298"/>
      <c r="L9" s="69" t="s">
        <v>233</v>
      </c>
      <c r="N9" s="297" t="s">
        <v>9</v>
      </c>
      <c r="O9" s="298"/>
      <c r="P9" s="69"/>
      <c r="R9" s="297" t="s">
        <v>9</v>
      </c>
      <c r="S9" s="298"/>
      <c r="T9" s="69" t="s">
        <v>287</v>
      </c>
      <c r="V9" s="297" t="s">
        <v>9</v>
      </c>
      <c r="W9" s="298"/>
      <c r="X9" s="69" t="s">
        <v>75</v>
      </c>
      <c r="Z9" s="297" t="s">
        <v>9</v>
      </c>
      <c r="AA9" s="298"/>
      <c r="AB9" s="69"/>
      <c r="AD9" s="297" t="s">
        <v>9</v>
      </c>
      <c r="AE9" s="298"/>
      <c r="AF9" s="69"/>
      <c r="AH9" s="297" t="s">
        <v>9</v>
      </c>
      <c r="AI9" s="298"/>
      <c r="AJ9" s="69"/>
    </row>
    <row r="10" spans="2:36" x14ac:dyDescent="0.15">
      <c r="B10" s="296" t="s">
        <v>288</v>
      </c>
      <c r="C10" s="296"/>
      <c r="D10" s="69"/>
      <c r="F10" s="296" t="s">
        <v>288</v>
      </c>
      <c r="G10" s="296"/>
      <c r="H10" s="69"/>
      <c r="J10" s="296" t="s">
        <v>288</v>
      </c>
      <c r="K10" s="296"/>
      <c r="L10" s="69" t="s">
        <v>234</v>
      </c>
      <c r="N10" s="296" t="s">
        <v>289</v>
      </c>
      <c r="O10" s="296"/>
      <c r="P10" s="69"/>
      <c r="R10" s="296" t="s">
        <v>288</v>
      </c>
      <c r="S10" s="296"/>
      <c r="T10" s="69" t="s">
        <v>269</v>
      </c>
      <c r="V10" s="296" t="s">
        <v>289</v>
      </c>
      <c r="W10" s="296"/>
      <c r="X10" s="69" t="s">
        <v>290</v>
      </c>
      <c r="Z10" s="296" t="s">
        <v>288</v>
      </c>
      <c r="AA10" s="296"/>
      <c r="AB10" s="69"/>
      <c r="AD10" s="296" t="s">
        <v>288</v>
      </c>
      <c r="AE10" s="296"/>
      <c r="AF10" s="69"/>
      <c r="AH10" s="296" t="s">
        <v>288</v>
      </c>
      <c r="AI10" s="296"/>
      <c r="AJ10" s="69"/>
    </row>
    <row r="11" spans="2:36" ht="16.5" customHeight="1" x14ac:dyDescent="0.15">
      <c r="B11" s="296" t="s">
        <v>291</v>
      </c>
      <c r="C11" s="296"/>
      <c r="D11" s="69"/>
      <c r="F11" s="296" t="s">
        <v>10</v>
      </c>
      <c r="G11" s="296"/>
      <c r="H11" s="69"/>
      <c r="J11" s="296" t="s">
        <v>10</v>
      </c>
      <c r="K11" s="296"/>
      <c r="L11" s="69" t="s">
        <v>292</v>
      </c>
      <c r="N11" s="296" t="s">
        <v>291</v>
      </c>
      <c r="O11" s="296"/>
      <c r="P11" s="69"/>
      <c r="R11" s="296" t="s">
        <v>10</v>
      </c>
      <c r="S11" s="296"/>
      <c r="T11" s="69" t="s">
        <v>270</v>
      </c>
      <c r="V11" s="296" t="s">
        <v>10</v>
      </c>
      <c r="W11" s="296"/>
      <c r="X11" s="69"/>
      <c r="Z11" s="296" t="s">
        <v>10</v>
      </c>
      <c r="AA11" s="296"/>
      <c r="AB11" s="69"/>
      <c r="AD11" s="296" t="s">
        <v>10</v>
      </c>
      <c r="AE11" s="296"/>
      <c r="AF11" s="69"/>
      <c r="AH11" s="296" t="s">
        <v>10</v>
      </c>
      <c r="AI11" s="296"/>
      <c r="AJ11" s="69"/>
    </row>
    <row r="12" spans="2:36" x14ac:dyDescent="0.15">
      <c r="B12" s="296" t="s">
        <v>11</v>
      </c>
      <c r="C12" s="70" t="s">
        <v>293</v>
      </c>
      <c r="D12" s="69"/>
      <c r="F12" s="296" t="s">
        <v>11</v>
      </c>
      <c r="G12" s="70" t="s">
        <v>293</v>
      </c>
      <c r="H12" s="69"/>
      <c r="J12" s="296" t="s">
        <v>11</v>
      </c>
      <c r="K12" s="70" t="s">
        <v>12</v>
      </c>
      <c r="L12" s="69" t="s">
        <v>294</v>
      </c>
      <c r="N12" s="296" t="s">
        <v>11</v>
      </c>
      <c r="O12" s="70" t="s">
        <v>293</v>
      </c>
      <c r="P12" s="69"/>
      <c r="R12" s="296" t="s">
        <v>11</v>
      </c>
      <c r="S12" s="70" t="s">
        <v>12</v>
      </c>
      <c r="T12" s="71">
        <v>0</v>
      </c>
      <c r="V12" s="296" t="s">
        <v>11</v>
      </c>
      <c r="W12" s="70" t="s">
        <v>12</v>
      </c>
      <c r="X12" s="72">
        <v>0</v>
      </c>
      <c r="Z12" s="296" t="s">
        <v>11</v>
      </c>
      <c r="AA12" s="70" t="s">
        <v>12</v>
      </c>
      <c r="AB12" s="69"/>
      <c r="AD12" s="296" t="s">
        <v>11</v>
      </c>
      <c r="AE12" s="70" t="s">
        <v>12</v>
      </c>
      <c r="AF12" s="69"/>
      <c r="AH12" s="296" t="s">
        <v>11</v>
      </c>
      <c r="AI12" s="70" t="s">
        <v>12</v>
      </c>
      <c r="AJ12" s="69"/>
    </row>
    <row r="13" spans="2:36" x14ac:dyDescent="0.15">
      <c r="B13" s="296"/>
      <c r="C13" s="70" t="s">
        <v>13</v>
      </c>
      <c r="D13" s="69"/>
      <c r="F13" s="296"/>
      <c r="G13" s="70" t="s">
        <v>13</v>
      </c>
      <c r="H13" s="69"/>
      <c r="J13" s="296"/>
      <c r="K13" s="70" t="s">
        <v>13</v>
      </c>
      <c r="L13" s="69" t="s">
        <v>295</v>
      </c>
      <c r="N13" s="296"/>
      <c r="O13" s="70" t="s">
        <v>296</v>
      </c>
      <c r="P13" s="69"/>
      <c r="R13" s="296"/>
      <c r="S13" s="70" t="s">
        <v>13</v>
      </c>
      <c r="T13" s="71">
        <v>0</v>
      </c>
      <c r="V13" s="296"/>
      <c r="W13" s="70" t="s">
        <v>13</v>
      </c>
      <c r="X13" s="72">
        <v>0</v>
      </c>
      <c r="Z13" s="296"/>
      <c r="AA13" s="70" t="s">
        <v>13</v>
      </c>
      <c r="AB13" s="69"/>
      <c r="AD13" s="296"/>
      <c r="AE13" s="70" t="s">
        <v>13</v>
      </c>
      <c r="AF13" s="69"/>
      <c r="AH13" s="296"/>
      <c r="AI13" s="70" t="s">
        <v>13</v>
      </c>
      <c r="AJ13" s="69"/>
    </row>
    <row r="14" spans="2:36" x14ac:dyDescent="0.15">
      <c r="B14" s="296" t="s">
        <v>14</v>
      </c>
      <c r="C14" s="296"/>
      <c r="D14" s="73"/>
      <c r="F14" s="296" t="s">
        <v>14</v>
      </c>
      <c r="G14" s="296"/>
      <c r="H14" s="73"/>
      <c r="J14" s="296" t="s">
        <v>14</v>
      </c>
      <c r="K14" s="296"/>
      <c r="L14" s="73">
        <v>44397</v>
      </c>
      <c r="N14" s="296" t="s">
        <v>14</v>
      </c>
      <c r="O14" s="296"/>
      <c r="P14" s="73"/>
      <c r="R14" s="296" t="s">
        <v>14</v>
      </c>
      <c r="S14" s="296"/>
      <c r="T14" s="73" t="s">
        <v>297</v>
      </c>
      <c r="V14" s="296" t="s">
        <v>14</v>
      </c>
      <c r="W14" s="296"/>
      <c r="X14" s="73">
        <v>42930</v>
      </c>
      <c r="Z14" s="296" t="s">
        <v>14</v>
      </c>
      <c r="AA14" s="296"/>
      <c r="AB14" s="73"/>
      <c r="AD14" s="296" t="s">
        <v>14</v>
      </c>
      <c r="AE14" s="296"/>
      <c r="AF14" s="73"/>
      <c r="AH14" s="296" t="s">
        <v>14</v>
      </c>
      <c r="AI14" s="296"/>
      <c r="AJ14" s="73"/>
    </row>
    <row r="15" spans="2:36" x14ac:dyDescent="0.15">
      <c r="B15" s="297" t="s">
        <v>15</v>
      </c>
      <c r="C15" s="298"/>
      <c r="D15" s="73"/>
      <c r="F15" s="297" t="s">
        <v>15</v>
      </c>
      <c r="G15" s="298"/>
      <c r="H15" s="73"/>
      <c r="J15" s="297" t="s">
        <v>15</v>
      </c>
      <c r="K15" s="298"/>
      <c r="L15" s="73">
        <v>44404</v>
      </c>
      <c r="N15" s="297" t="s">
        <v>15</v>
      </c>
      <c r="O15" s="298"/>
      <c r="P15" s="73"/>
      <c r="R15" s="297" t="s">
        <v>298</v>
      </c>
      <c r="S15" s="298"/>
      <c r="T15" s="73" t="s">
        <v>299</v>
      </c>
      <c r="V15" s="297" t="s">
        <v>15</v>
      </c>
      <c r="W15" s="298"/>
      <c r="X15" s="73">
        <v>42930</v>
      </c>
      <c r="Z15" s="297" t="s">
        <v>298</v>
      </c>
      <c r="AA15" s="298"/>
      <c r="AB15" s="73"/>
      <c r="AD15" s="297" t="s">
        <v>298</v>
      </c>
      <c r="AE15" s="298"/>
      <c r="AF15" s="73"/>
      <c r="AH15" s="297" t="s">
        <v>298</v>
      </c>
      <c r="AI15" s="298"/>
      <c r="AJ15" s="73"/>
    </row>
    <row r="16" spans="2:36" x14ac:dyDescent="0.15">
      <c r="B16" s="296" t="s">
        <v>16</v>
      </c>
      <c r="C16" s="296"/>
      <c r="D16" s="73"/>
      <c r="F16" s="296" t="s">
        <v>16</v>
      </c>
      <c r="G16" s="296"/>
      <c r="H16" s="73"/>
      <c r="J16" s="296" t="s">
        <v>16</v>
      </c>
      <c r="K16" s="296"/>
      <c r="L16" s="73" t="s">
        <v>235</v>
      </c>
      <c r="N16" s="296" t="s">
        <v>16</v>
      </c>
      <c r="O16" s="296"/>
      <c r="P16" s="73"/>
      <c r="R16" s="296" t="s">
        <v>16</v>
      </c>
      <c r="S16" s="296"/>
      <c r="T16" s="73" t="s">
        <v>300</v>
      </c>
      <c r="V16" s="296" t="s">
        <v>16</v>
      </c>
      <c r="W16" s="296"/>
      <c r="X16" s="73">
        <v>45121</v>
      </c>
      <c r="Z16" s="296" t="s">
        <v>16</v>
      </c>
      <c r="AA16" s="296"/>
      <c r="AB16" s="73"/>
      <c r="AD16" s="296" t="s">
        <v>16</v>
      </c>
      <c r="AE16" s="296"/>
      <c r="AF16" s="73"/>
      <c r="AH16" s="296" t="s">
        <v>16</v>
      </c>
      <c r="AI16" s="296"/>
      <c r="AJ16" s="73"/>
    </row>
    <row r="17" spans="2:36" x14ac:dyDescent="0.15">
      <c r="B17" s="296" t="s">
        <v>17</v>
      </c>
      <c r="C17" s="296"/>
      <c r="D17" s="69"/>
      <c r="F17" s="296" t="s">
        <v>17</v>
      </c>
      <c r="G17" s="296"/>
      <c r="H17" s="69"/>
      <c r="J17" s="296" t="s">
        <v>17</v>
      </c>
      <c r="K17" s="296"/>
      <c r="L17" s="69" t="s">
        <v>301</v>
      </c>
      <c r="N17" s="296" t="s">
        <v>17</v>
      </c>
      <c r="O17" s="296"/>
      <c r="P17" s="69"/>
      <c r="R17" s="296" t="s">
        <v>17</v>
      </c>
      <c r="S17" s="296"/>
      <c r="T17" s="69" t="s">
        <v>302</v>
      </c>
      <c r="V17" s="296" t="s">
        <v>17</v>
      </c>
      <c r="W17" s="296"/>
      <c r="X17" s="69"/>
      <c r="Z17" s="296" t="s">
        <v>17</v>
      </c>
      <c r="AA17" s="296"/>
      <c r="AB17" s="69"/>
      <c r="AD17" s="296" t="s">
        <v>17</v>
      </c>
      <c r="AE17" s="296"/>
      <c r="AF17" s="69"/>
      <c r="AH17" s="296" t="s">
        <v>17</v>
      </c>
      <c r="AI17" s="296"/>
      <c r="AJ17" s="69"/>
    </row>
    <row r="18" spans="2:36" ht="108" x14ac:dyDescent="0.15">
      <c r="B18" s="296" t="s">
        <v>303</v>
      </c>
      <c r="C18" s="296"/>
      <c r="D18" s="69"/>
      <c r="F18" s="296" t="s">
        <v>18</v>
      </c>
      <c r="G18" s="296"/>
      <c r="H18" s="69"/>
      <c r="J18" s="296" t="s">
        <v>18</v>
      </c>
      <c r="K18" s="296"/>
      <c r="L18" s="69" t="s">
        <v>348</v>
      </c>
      <c r="N18" s="296" t="s">
        <v>303</v>
      </c>
      <c r="O18" s="296"/>
      <c r="P18" s="69"/>
      <c r="R18" s="296" t="s">
        <v>18</v>
      </c>
      <c r="S18" s="296"/>
      <c r="T18" s="74" t="s">
        <v>304</v>
      </c>
      <c r="V18" s="296" t="s">
        <v>303</v>
      </c>
      <c r="W18" s="296"/>
      <c r="X18" s="69" t="s">
        <v>305</v>
      </c>
      <c r="Z18" s="296" t="s">
        <v>18</v>
      </c>
      <c r="AA18" s="296"/>
      <c r="AB18" s="69"/>
      <c r="AD18" s="296" t="s">
        <v>18</v>
      </c>
      <c r="AE18" s="296"/>
      <c r="AF18" s="69"/>
      <c r="AH18" s="296" t="s">
        <v>18</v>
      </c>
      <c r="AI18" s="296"/>
      <c r="AJ18" s="69"/>
    </row>
    <row r="19" spans="2:36" ht="54" x14ac:dyDescent="0.15">
      <c r="B19" s="296" t="s">
        <v>19</v>
      </c>
      <c r="C19" s="296"/>
      <c r="D19" s="69"/>
      <c r="F19" s="296" t="s">
        <v>19</v>
      </c>
      <c r="G19" s="296"/>
      <c r="H19" s="69"/>
      <c r="J19" s="296" t="s">
        <v>19</v>
      </c>
      <c r="K19" s="296"/>
      <c r="L19" s="69" t="s">
        <v>236</v>
      </c>
      <c r="N19" s="296" t="s">
        <v>19</v>
      </c>
      <c r="O19" s="296"/>
      <c r="P19" s="69"/>
      <c r="R19" s="296" t="s">
        <v>19</v>
      </c>
      <c r="S19" s="296"/>
      <c r="T19" s="75" t="s">
        <v>306</v>
      </c>
      <c r="V19" s="296" t="s">
        <v>19</v>
      </c>
      <c r="W19" s="296"/>
      <c r="X19" s="69" t="s">
        <v>307</v>
      </c>
      <c r="Z19" s="296" t="s">
        <v>19</v>
      </c>
      <c r="AA19" s="296"/>
      <c r="AB19" s="69"/>
      <c r="AD19" s="296" t="s">
        <v>19</v>
      </c>
      <c r="AE19" s="296"/>
      <c r="AF19" s="69"/>
      <c r="AH19" s="296" t="s">
        <v>19</v>
      </c>
      <c r="AI19" s="296"/>
      <c r="AJ19" s="69"/>
    </row>
    <row r="20" spans="2:36" x14ac:dyDescent="0.15">
      <c r="B20" s="296" t="s">
        <v>20</v>
      </c>
      <c r="C20" s="70" t="s">
        <v>21</v>
      </c>
      <c r="D20" s="73"/>
      <c r="F20" s="296" t="s">
        <v>20</v>
      </c>
      <c r="G20" s="70" t="s">
        <v>21</v>
      </c>
      <c r="H20" s="73"/>
      <c r="J20" s="296" t="s">
        <v>20</v>
      </c>
      <c r="K20" s="70" t="s">
        <v>21</v>
      </c>
      <c r="L20" s="73"/>
      <c r="N20" s="296" t="s">
        <v>20</v>
      </c>
      <c r="O20" s="70" t="s">
        <v>21</v>
      </c>
      <c r="P20" s="73"/>
      <c r="R20" s="296" t="s">
        <v>20</v>
      </c>
      <c r="S20" s="70" t="s">
        <v>21</v>
      </c>
      <c r="T20" s="76">
        <v>44217</v>
      </c>
      <c r="V20" s="296" t="s">
        <v>20</v>
      </c>
      <c r="W20" s="70" t="s">
        <v>21</v>
      </c>
      <c r="X20" s="73">
        <v>43295</v>
      </c>
      <c r="Z20" s="296" t="s">
        <v>20</v>
      </c>
      <c r="AA20" s="70" t="s">
        <v>21</v>
      </c>
      <c r="AB20" s="73"/>
      <c r="AD20" s="296" t="s">
        <v>20</v>
      </c>
      <c r="AE20" s="70" t="s">
        <v>21</v>
      </c>
      <c r="AF20" s="73"/>
      <c r="AH20" s="296" t="s">
        <v>20</v>
      </c>
      <c r="AI20" s="70" t="s">
        <v>21</v>
      </c>
      <c r="AJ20" s="73"/>
    </row>
    <row r="21" spans="2:36" x14ac:dyDescent="0.15">
      <c r="B21" s="296"/>
      <c r="C21" s="70" t="s">
        <v>22</v>
      </c>
      <c r="D21" s="73"/>
      <c r="F21" s="296"/>
      <c r="G21" s="70" t="s">
        <v>22</v>
      </c>
      <c r="H21" s="73"/>
      <c r="J21" s="296"/>
      <c r="K21" s="70" t="s">
        <v>22</v>
      </c>
      <c r="L21" s="73"/>
      <c r="N21" s="296"/>
      <c r="O21" s="70" t="s">
        <v>22</v>
      </c>
      <c r="P21" s="73"/>
      <c r="R21" s="296"/>
      <c r="S21" s="70" t="s">
        <v>22</v>
      </c>
      <c r="T21" s="76">
        <v>45443</v>
      </c>
      <c r="V21" s="296"/>
      <c r="W21" s="70" t="s">
        <v>22</v>
      </c>
      <c r="X21" s="73">
        <v>45121</v>
      </c>
      <c r="Z21" s="296"/>
      <c r="AA21" s="70" t="s">
        <v>22</v>
      </c>
      <c r="AB21" s="73"/>
      <c r="AD21" s="296"/>
      <c r="AE21" s="70" t="s">
        <v>22</v>
      </c>
      <c r="AF21" s="73"/>
      <c r="AH21" s="296"/>
      <c r="AI21" s="70" t="s">
        <v>22</v>
      </c>
      <c r="AJ21" s="73"/>
    </row>
    <row r="22" spans="2:36" ht="27" x14ac:dyDescent="0.15">
      <c r="B22" s="296" t="s">
        <v>23</v>
      </c>
      <c r="C22" s="70" t="s">
        <v>20</v>
      </c>
      <c r="D22" s="69"/>
      <c r="F22" s="296" t="s">
        <v>23</v>
      </c>
      <c r="G22" s="70" t="s">
        <v>20</v>
      </c>
      <c r="H22" s="69"/>
      <c r="J22" s="296" t="s">
        <v>23</v>
      </c>
      <c r="K22" s="70" t="s">
        <v>20</v>
      </c>
      <c r="L22" s="69" t="s">
        <v>308</v>
      </c>
      <c r="N22" s="296" t="s">
        <v>23</v>
      </c>
      <c r="O22" s="70" t="s">
        <v>20</v>
      </c>
      <c r="P22" s="69"/>
      <c r="R22" s="296" t="s">
        <v>23</v>
      </c>
      <c r="S22" s="70" t="s">
        <v>20</v>
      </c>
      <c r="T22" s="69" t="s">
        <v>270</v>
      </c>
      <c r="V22" s="296" t="s">
        <v>23</v>
      </c>
      <c r="W22" s="70" t="s">
        <v>20</v>
      </c>
      <c r="X22" s="69"/>
      <c r="Z22" s="296" t="s">
        <v>23</v>
      </c>
      <c r="AA22" s="70" t="s">
        <v>20</v>
      </c>
      <c r="AB22" s="69"/>
      <c r="AD22" s="296" t="s">
        <v>23</v>
      </c>
      <c r="AE22" s="70" t="s">
        <v>20</v>
      </c>
      <c r="AF22" s="69"/>
      <c r="AH22" s="296" t="s">
        <v>23</v>
      </c>
      <c r="AI22" s="70" t="s">
        <v>20</v>
      </c>
      <c r="AJ22" s="69"/>
    </row>
    <row r="23" spans="2:36" ht="27" x14ac:dyDescent="0.15">
      <c r="B23" s="296"/>
      <c r="C23" s="70" t="s">
        <v>24</v>
      </c>
      <c r="D23" s="69"/>
      <c r="F23" s="296"/>
      <c r="G23" s="70" t="s">
        <v>24</v>
      </c>
      <c r="H23" s="69"/>
      <c r="J23" s="296"/>
      <c r="K23" s="70" t="s">
        <v>24</v>
      </c>
      <c r="L23" s="69" t="s">
        <v>309</v>
      </c>
      <c r="N23" s="296"/>
      <c r="O23" s="70" t="s">
        <v>24</v>
      </c>
      <c r="P23" s="69"/>
      <c r="R23" s="296"/>
      <c r="S23" s="70" t="s">
        <v>24</v>
      </c>
      <c r="T23" s="69" t="s">
        <v>310</v>
      </c>
      <c r="V23" s="296"/>
      <c r="W23" s="70" t="s">
        <v>24</v>
      </c>
      <c r="X23" s="69"/>
      <c r="Z23" s="296"/>
      <c r="AA23" s="70" t="s">
        <v>24</v>
      </c>
      <c r="AB23" s="69"/>
      <c r="AD23" s="296"/>
      <c r="AE23" s="70" t="s">
        <v>24</v>
      </c>
      <c r="AF23" s="69"/>
      <c r="AH23" s="296"/>
      <c r="AI23" s="70" t="s">
        <v>24</v>
      </c>
      <c r="AJ23" s="69"/>
    </row>
    <row r="24" spans="2:36" x14ac:dyDescent="0.15">
      <c r="B24" s="296" t="s">
        <v>25</v>
      </c>
      <c r="C24" s="70" t="s">
        <v>20</v>
      </c>
      <c r="D24" s="69"/>
      <c r="F24" s="296" t="s">
        <v>25</v>
      </c>
      <c r="G24" s="70" t="s">
        <v>20</v>
      </c>
      <c r="H24" s="69"/>
      <c r="J24" s="296" t="s">
        <v>25</v>
      </c>
      <c r="K24" s="70" t="s">
        <v>20</v>
      </c>
      <c r="L24" s="69" t="s">
        <v>310</v>
      </c>
      <c r="N24" s="296" t="s">
        <v>25</v>
      </c>
      <c r="O24" s="70" t="s">
        <v>20</v>
      </c>
      <c r="P24" s="69"/>
      <c r="R24" s="296" t="s">
        <v>25</v>
      </c>
      <c r="S24" s="70" t="s">
        <v>20</v>
      </c>
      <c r="T24" s="69" t="s">
        <v>311</v>
      </c>
      <c r="V24" s="296" t="s">
        <v>25</v>
      </c>
      <c r="W24" s="70" t="s">
        <v>20</v>
      </c>
      <c r="X24" s="69"/>
      <c r="Z24" s="296" t="s">
        <v>25</v>
      </c>
      <c r="AA24" s="70" t="s">
        <v>20</v>
      </c>
      <c r="AB24" s="69"/>
      <c r="AD24" s="296" t="s">
        <v>25</v>
      </c>
      <c r="AE24" s="70" t="s">
        <v>20</v>
      </c>
      <c r="AF24" s="69"/>
      <c r="AH24" s="296" t="s">
        <v>25</v>
      </c>
      <c r="AI24" s="70" t="s">
        <v>20</v>
      </c>
      <c r="AJ24" s="69"/>
    </row>
    <row r="25" spans="2:36" x14ac:dyDescent="0.15">
      <c r="B25" s="296"/>
      <c r="C25" s="70" t="s">
        <v>24</v>
      </c>
      <c r="D25" s="69"/>
      <c r="F25" s="296"/>
      <c r="G25" s="70" t="s">
        <v>24</v>
      </c>
      <c r="H25" s="69"/>
      <c r="J25" s="296"/>
      <c r="K25" s="70" t="s">
        <v>24</v>
      </c>
      <c r="L25" s="69" t="s">
        <v>270</v>
      </c>
      <c r="N25" s="296"/>
      <c r="O25" s="70" t="s">
        <v>24</v>
      </c>
      <c r="P25" s="69"/>
      <c r="R25" s="296"/>
      <c r="S25" s="70" t="s">
        <v>24</v>
      </c>
      <c r="T25" s="69" t="s">
        <v>312</v>
      </c>
      <c r="V25" s="296"/>
      <c r="W25" s="70" t="s">
        <v>24</v>
      </c>
      <c r="X25" s="69"/>
      <c r="Z25" s="296"/>
      <c r="AA25" s="70" t="s">
        <v>24</v>
      </c>
      <c r="AB25" s="69"/>
      <c r="AD25" s="296"/>
      <c r="AE25" s="70" t="s">
        <v>24</v>
      </c>
      <c r="AF25" s="69"/>
      <c r="AH25" s="296"/>
      <c r="AI25" s="70" t="s">
        <v>24</v>
      </c>
      <c r="AJ25" s="69"/>
    </row>
    <row r="26" spans="2:36" ht="16.5" customHeight="1" x14ac:dyDescent="0.15">
      <c r="B26" s="296" t="s">
        <v>313</v>
      </c>
      <c r="C26" s="70" t="s">
        <v>27</v>
      </c>
      <c r="D26" s="73"/>
      <c r="F26" s="296" t="s">
        <v>313</v>
      </c>
      <c r="G26" s="70" t="s">
        <v>27</v>
      </c>
      <c r="H26" s="73"/>
      <c r="J26" s="296" t="s">
        <v>26</v>
      </c>
      <c r="K26" s="70" t="s">
        <v>27</v>
      </c>
      <c r="L26" s="73"/>
      <c r="N26" s="296" t="s">
        <v>26</v>
      </c>
      <c r="O26" s="70" t="s">
        <v>27</v>
      </c>
      <c r="P26" s="73"/>
      <c r="R26" s="296" t="s">
        <v>26</v>
      </c>
      <c r="S26" s="70" t="s">
        <v>27</v>
      </c>
      <c r="T26" s="73" t="s">
        <v>310</v>
      </c>
      <c r="V26" s="296" t="s">
        <v>26</v>
      </c>
      <c r="W26" s="70" t="s">
        <v>27</v>
      </c>
      <c r="X26" s="73"/>
      <c r="Z26" s="296" t="s">
        <v>26</v>
      </c>
      <c r="AA26" s="70" t="s">
        <v>27</v>
      </c>
      <c r="AB26" s="73"/>
      <c r="AD26" s="296" t="s">
        <v>26</v>
      </c>
      <c r="AE26" s="70" t="s">
        <v>27</v>
      </c>
      <c r="AF26" s="73"/>
      <c r="AH26" s="296" t="s">
        <v>26</v>
      </c>
      <c r="AI26" s="70" t="s">
        <v>27</v>
      </c>
      <c r="AJ26" s="73"/>
    </row>
    <row r="27" spans="2:36" x14ac:dyDescent="0.15">
      <c r="B27" s="296"/>
      <c r="C27" s="70" t="s">
        <v>28</v>
      </c>
      <c r="D27" s="69"/>
      <c r="F27" s="296"/>
      <c r="G27" s="70" t="s">
        <v>28</v>
      </c>
      <c r="H27" s="69"/>
      <c r="J27" s="296"/>
      <c r="K27" s="70" t="s">
        <v>28</v>
      </c>
      <c r="L27" s="69" t="s">
        <v>314</v>
      </c>
      <c r="N27" s="296"/>
      <c r="O27" s="70" t="s">
        <v>28</v>
      </c>
      <c r="P27" s="69"/>
      <c r="R27" s="296"/>
      <c r="S27" s="70" t="s">
        <v>28</v>
      </c>
      <c r="T27" s="77" t="s">
        <v>315</v>
      </c>
      <c r="V27" s="296"/>
      <c r="W27" s="70" t="s">
        <v>28</v>
      </c>
      <c r="X27" s="69"/>
      <c r="Z27" s="296"/>
      <c r="AA27" s="70" t="s">
        <v>28</v>
      </c>
      <c r="AB27" s="69"/>
      <c r="AD27" s="296"/>
      <c r="AE27" s="70" t="s">
        <v>28</v>
      </c>
      <c r="AF27" s="69"/>
      <c r="AH27" s="296"/>
      <c r="AI27" s="70" t="s">
        <v>28</v>
      </c>
      <c r="AJ27" s="69"/>
    </row>
    <row r="28" spans="2:36" x14ac:dyDescent="0.15">
      <c r="B28" s="296"/>
      <c r="C28" s="70" t="s">
        <v>29</v>
      </c>
      <c r="D28" s="69"/>
      <c r="F28" s="296"/>
      <c r="G28" s="70" t="s">
        <v>29</v>
      </c>
      <c r="H28" s="69"/>
      <c r="J28" s="296"/>
      <c r="K28" s="70" t="s">
        <v>29</v>
      </c>
      <c r="L28" s="69" t="s">
        <v>316</v>
      </c>
      <c r="N28" s="296"/>
      <c r="O28" s="70" t="s">
        <v>29</v>
      </c>
      <c r="P28" s="69"/>
      <c r="R28" s="296"/>
      <c r="S28" s="70" t="s">
        <v>29</v>
      </c>
      <c r="T28" s="77" t="s">
        <v>312</v>
      </c>
      <c r="V28" s="296"/>
      <c r="W28" s="70" t="s">
        <v>29</v>
      </c>
      <c r="X28" s="69"/>
      <c r="Z28" s="296"/>
      <c r="AA28" s="70" t="s">
        <v>29</v>
      </c>
      <c r="AB28" s="69"/>
      <c r="AD28" s="296"/>
      <c r="AE28" s="70" t="s">
        <v>29</v>
      </c>
      <c r="AF28" s="69"/>
      <c r="AH28" s="296"/>
      <c r="AI28" s="70" t="s">
        <v>29</v>
      </c>
      <c r="AJ28" s="69"/>
    </row>
    <row r="29" spans="2:36" ht="40.5" x14ac:dyDescent="0.15">
      <c r="B29" s="296"/>
      <c r="C29" s="70" t="s">
        <v>30</v>
      </c>
      <c r="D29" s="69"/>
      <c r="F29" s="296"/>
      <c r="G29" s="70" t="s">
        <v>30</v>
      </c>
      <c r="H29" s="69"/>
      <c r="J29" s="296"/>
      <c r="K29" s="70" t="s">
        <v>30</v>
      </c>
      <c r="L29" s="69"/>
      <c r="N29" s="296"/>
      <c r="O29" s="70" t="s">
        <v>30</v>
      </c>
      <c r="P29" s="69"/>
      <c r="R29" s="296"/>
      <c r="S29" s="70" t="s">
        <v>30</v>
      </c>
      <c r="T29" s="77" t="s">
        <v>317</v>
      </c>
      <c r="V29" s="296"/>
      <c r="W29" s="70" t="s">
        <v>30</v>
      </c>
      <c r="X29" s="69"/>
      <c r="Z29" s="296"/>
      <c r="AA29" s="70" t="s">
        <v>30</v>
      </c>
      <c r="AB29" s="69"/>
      <c r="AD29" s="296"/>
      <c r="AE29" s="70" t="s">
        <v>30</v>
      </c>
      <c r="AF29" s="69"/>
      <c r="AH29" s="296"/>
      <c r="AI29" s="70" t="s">
        <v>30</v>
      </c>
      <c r="AJ29" s="69"/>
    </row>
    <row r="30" spans="2:36" ht="67.5" x14ac:dyDescent="0.15">
      <c r="B30" s="296" t="s">
        <v>31</v>
      </c>
      <c r="C30" s="296"/>
      <c r="D30" s="78"/>
      <c r="F30" s="296" t="s">
        <v>318</v>
      </c>
      <c r="G30" s="296"/>
      <c r="H30" s="78"/>
      <c r="J30" s="296" t="s">
        <v>318</v>
      </c>
      <c r="K30" s="296"/>
      <c r="L30" s="78"/>
      <c r="N30" s="296" t="s">
        <v>31</v>
      </c>
      <c r="O30" s="296"/>
      <c r="P30" s="78"/>
      <c r="R30" s="296" t="s">
        <v>31</v>
      </c>
      <c r="S30" s="296"/>
      <c r="T30" s="70" t="s">
        <v>319</v>
      </c>
      <c r="V30" s="296" t="s">
        <v>31</v>
      </c>
      <c r="W30" s="296"/>
      <c r="X30" s="79" t="s">
        <v>271</v>
      </c>
      <c r="Z30" s="296" t="s">
        <v>31</v>
      </c>
      <c r="AA30" s="296"/>
      <c r="AB30" s="78"/>
      <c r="AD30" s="296" t="s">
        <v>31</v>
      </c>
      <c r="AE30" s="296"/>
      <c r="AF30" s="78"/>
      <c r="AH30" s="296" t="s">
        <v>31</v>
      </c>
      <c r="AI30" s="296"/>
      <c r="AJ30" s="78"/>
    </row>
    <row r="32" spans="2:36" x14ac:dyDescent="0.15">
      <c r="B32" s="299" t="s">
        <v>32</v>
      </c>
      <c r="C32" s="299"/>
      <c r="D32" s="299"/>
      <c r="F32" s="299" t="s">
        <v>32</v>
      </c>
      <c r="G32" s="299"/>
      <c r="H32" s="299"/>
      <c r="J32" s="299" t="s">
        <v>320</v>
      </c>
      <c r="K32" s="299"/>
      <c r="L32" s="299"/>
      <c r="N32" s="299" t="s">
        <v>320</v>
      </c>
      <c r="O32" s="299"/>
      <c r="P32" s="299"/>
      <c r="R32" s="299" t="s">
        <v>32</v>
      </c>
      <c r="S32" s="299"/>
      <c r="T32" s="299"/>
      <c r="V32" s="299" t="s">
        <v>32</v>
      </c>
      <c r="W32" s="299"/>
      <c r="X32" s="299"/>
      <c r="Z32" s="299" t="s">
        <v>320</v>
      </c>
      <c r="AA32" s="299"/>
      <c r="AB32" s="299"/>
      <c r="AD32" s="299" t="s">
        <v>320</v>
      </c>
      <c r="AE32" s="299"/>
      <c r="AF32" s="299"/>
      <c r="AH32" s="299" t="s">
        <v>320</v>
      </c>
      <c r="AI32" s="299"/>
      <c r="AJ32" s="299"/>
    </row>
    <row r="33" spans="2:36" x14ac:dyDescent="0.15">
      <c r="B33" s="294" t="s">
        <v>231</v>
      </c>
      <c r="C33" s="295"/>
      <c r="D33" s="68" t="s">
        <v>283</v>
      </c>
      <c r="F33" s="294" t="s">
        <v>231</v>
      </c>
      <c r="G33" s="295"/>
      <c r="H33" s="68" t="s">
        <v>7</v>
      </c>
      <c r="J33" s="294" t="s">
        <v>284</v>
      </c>
      <c r="K33" s="295"/>
      <c r="L33" s="68" t="s">
        <v>7</v>
      </c>
      <c r="N33" s="294" t="s">
        <v>231</v>
      </c>
      <c r="O33" s="295"/>
      <c r="P33" s="68" t="s">
        <v>7</v>
      </c>
      <c r="R33" s="294" t="s">
        <v>284</v>
      </c>
      <c r="S33" s="295"/>
      <c r="T33" s="68" t="s">
        <v>7</v>
      </c>
      <c r="V33" s="294" t="s">
        <v>231</v>
      </c>
      <c r="W33" s="295"/>
      <c r="X33" s="68" t="s">
        <v>7</v>
      </c>
      <c r="Z33" s="294" t="s">
        <v>284</v>
      </c>
      <c r="AA33" s="295"/>
      <c r="AB33" s="68" t="s">
        <v>283</v>
      </c>
      <c r="AD33" s="294" t="s">
        <v>284</v>
      </c>
      <c r="AE33" s="295"/>
      <c r="AF33" s="68" t="s">
        <v>283</v>
      </c>
      <c r="AH33" s="294" t="s">
        <v>284</v>
      </c>
      <c r="AI33" s="295"/>
      <c r="AJ33" s="68" t="s">
        <v>283</v>
      </c>
    </row>
    <row r="34" spans="2:36" x14ac:dyDescent="0.15">
      <c r="B34" s="296" t="s">
        <v>33</v>
      </c>
      <c r="C34" s="296"/>
      <c r="D34" s="69" t="s">
        <v>237</v>
      </c>
      <c r="F34" s="296" t="s">
        <v>33</v>
      </c>
      <c r="G34" s="296"/>
      <c r="H34" s="69" t="s">
        <v>238</v>
      </c>
      <c r="J34" s="296" t="s">
        <v>33</v>
      </c>
      <c r="K34" s="296"/>
      <c r="L34" s="69"/>
      <c r="N34" s="296" t="s">
        <v>33</v>
      </c>
      <c r="O34" s="296"/>
      <c r="P34" s="69"/>
      <c r="R34" s="296" t="s">
        <v>33</v>
      </c>
      <c r="S34" s="296"/>
      <c r="T34" s="69"/>
      <c r="V34" s="296" t="s">
        <v>33</v>
      </c>
      <c r="W34" s="296"/>
      <c r="X34" s="69"/>
      <c r="Z34" s="296" t="s">
        <v>33</v>
      </c>
      <c r="AA34" s="296"/>
      <c r="AB34" s="69"/>
      <c r="AD34" s="296" t="s">
        <v>33</v>
      </c>
      <c r="AE34" s="296"/>
      <c r="AF34" s="69" t="s">
        <v>350</v>
      </c>
      <c r="AH34" s="296" t="s">
        <v>33</v>
      </c>
      <c r="AI34" s="296"/>
      <c r="AJ34" s="69" t="s">
        <v>416</v>
      </c>
    </row>
    <row r="35" spans="2:36" ht="27" x14ac:dyDescent="0.15">
      <c r="B35" s="297" t="s">
        <v>34</v>
      </c>
      <c r="C35" s="298"/>
      <c r="D35" s="76">
        <v>44286</v>
      </c>
      <c r="F35" s="297" t="s">
        <v>34</v>
      </c>
      <c r="G35" s="298"/>
      <c r="H35" s="69" t="s">
        <v>321</v>
      </c>
      <c r="J35" s="297" t="s">
        <v>34</v>
      </c>
      <c r="K35" s="298"/>
      <c r="L35" s="69"/>
      <c r="N35" s="297" t="s">
        <v>34</v>
      </c>
      <c r="O35" s="298"/>
      <c r="P35" s="69"/>
      <c r="R35" s="297" t="s">
        <v>34</v>
      </c>
      <c r="S35" s="298"/>
      <c r="T35" s="69"/>
      <c r="V35" s="297" t="s">
        <v>34</v>
      </c>
      <c r="W35" s="298"/>
      <c r="X35" s="69"/>
      <c r="Z35" s="297" t="s">
        <v>34</v>
      </c>
      <c r="AA35" s="298"/>
      <c r="AB35" s="69"/>
      <c r="AD35" s="297" t="s">
        <v>34</v>
      </c>
      <c r="AE35" s="298"/>
      <c r="AF35" s="76">
        <v>44743</v>
      </c>
      <c r="AH35" s="297" t="s">
        <v>34</v>
      </c>
      <c r="AI35" s="298"/>
      <c r="AJ35" s="76">
        <v>44958</v>
      </c>
    </row>
    <row r="36" spans="2:36" x14ac:dyDescent="0.15">
      <c r="B36" s="297" t="s">
        <v>298</v>
      </c>
      <c r="C36" s="298"/>
      <c r="D36" s="76">
        <v>44286</v>
      </c>
      <c r="F36" s="297" t="s">
        <v>298</v>
      </c>
      <c r="G36" s="298"/>
      <c r="H36" s="76">
        <v>44397</v>
      </c>
      <c r="J36" s="297" t="s">
        <v>15</v>
      </c>
      <c r="K36" s="298"/>
      <c r="L36" s="69"/>
      <c r="N36" s="297" t="s">
        <v>15</v>
      </c>
      <c r="O36" s="298"/>
      <c r="P36" s="69"/>
      <c r="R36" s="297" t="s">
        <v>15</v>
      </c>
      <c r="S36" s="298"/>
      <c r="T36" s="69"/>
      <c r="V36" s="297" t="s">
        <v>298</v>
      </c>
      <c r="W36" s="298"/>
      <c r="X36" s="69"/>
      <c r="Z36" s="297" t="s">
        <v>298</v>
      </c>
      <c r="AA36" s="298"/>
      <c r="AB36" s="69"/>
      <c r="AD36" s="297" t="s">
        <v>298</v>
      </c>
      <c r="AE36" s="298"/>
      <c r="AF36" s="76">
        <v>44743</v>
      </c>
      <c r="AH36" s="297" t="s">
        <v>298</v>
      </c>
      <c r="AI36" s="298"/>
      <c r="AJ36" s="76">
        <v>44958</v>
      </c>
    </row>
    <row r="37" spans="2:36" x14ac:dyDescent="0.15">
      <c r="B37" s="296" t="s">
        <v>322</v>
      </c>
      <c r="C37" s="296"/>
      <c r="D37" s="69" t="s">
        <v>239</v>
      </c>
      <c r="F37" s="296" t="s">
        <v>35</v>
      </c>
      <c r="G37" s="296"/>
      <c r="H37" s="69" t="s">
        <v>240</v>
      </c>
      <c r="J37" s="296" t="s">
        <v>35</v>
      </c>
      <c r="K37" s="296"/>
      <c r="L37" s="69"/>
      <c r="N37" s="296" t="s">
        <v>322</v>
      </c>
      <c r="O37" s="296"/>
      <c r="P37" s="69"/>
      <c r="R37" s="296" t="s">
        <v>35</v>
      </c>
      <c r="S37" s="296"/>
      <c r="T37" s="69"/>
      <c r="V37" s="296" t="s">
        <v>35</v>
      </c>
      <c r="W37" s="296"/>
      <c r="X37" s="69"/>
      <c r="Z37" s="296" t="s">
        <v>35</v>
      </c>
      <c r="AA37" s="296"/>
      <c r="AB37" s="69"/>
      <c r="AD37" s="296" t="s">
        <v>35</v>
      </c>
      <c r="AE37" s="296"/>
      <c r="AF37" s="69" t="s">
        <v>351</v>
      </c>
      <c r="AH37" s="296" t="s">
        <v>35</v>
      </c>
      <c r="AI37" s="296"/>
      <c r="AJ37" s="69" t="s">
        <v>417</v>
      </c>
    </row>
    <row r="38" spans="2:36" ht="16.5" customHeight="1" x14ac:dyDescent="0.15">
      <c r="B38" s="297" t="s">
        <v>323</v>
      </c>
      <c r="C38" s="298"/>
      <c r="D38" s="69"/>
      <c r="F38" s="297" t="s">
        <v>323</v>
      </c>
      <c r="G38" s="298"/>
      <c r="H38" s="69" t="s">
        <v>324</v>
      </c>
      <c r="J38" s="297" t="s">
        <v>36</v>
      </c>
      <c r="K38" s="298"/>
      <c r="L38" s="69"/>
      <c r="N38" s="297" t="s">
        <v>323</v>
      </c>
      <c r="O38" s="298"/>
      <c r="P38" s="69"/>
      <c r="R38" s="297" t="s">
        <v>36</v>
      </c>
      <c r="S38" s="298"/>
      <c r="T38" s="69"/>
      <c r="V38" s="297" t="s">
        <v>36</v>
      </c>
      <c r="W38" s="298"/>
      <c r="X38" s="69"/>
      <c r="Z38" s="297" t="s">
        <v>36</v>
      </c>
      <c r="AA38" s="298"/>
      <c r="AB38" s="69"/>
      <c r="AD38" s="297" t="s">
        <v>36</v>
      </c>
      <c r="AE38" s="298"/>
      <c r="AF38" s="69" t="s">
        <v>324</v>
      </c>
      <c r="AH38" s="297" t="s">
        <v>36</v>
      </c>
      <c r="AI38" s="298"/>
      <c r="AJ38" s="73" t="s">
        <v>418</v>
      </c>
    </row>
    <row r="39" spans="2:36" ht="27" x14ac:dyDescent="0.15">
      <c r="B39" s="296" t="s">
        <v>37</v>
      </c>
      <c r="C39" s="296"/>
      <c r="D39" s="73" t="s">
        <v>241</v>
      </c>
      <c r="F39" s="296" t="s">
        <v>37</v>
      </c>
      <c r="G39" s="296"/>
      <c r="H39" s="73" t="s">
        <v>242</v>
      </c>
      <c r="J39" s="296" t="s">
        <v>37</v>
      </c>
      <c r="K39" s="296"/>
      <c r="L39" s="73"/>
      <c r="N39" s="296" t="s">
        <v>37</v>
      </c>
      <c r="O39" s="296"/>
      <c r="P39" s="73"/>
      <c r="R39" s="296" t="s">
        <v>325</v>
      </c>
      <c r="S39" s="296"/>
      <c r="T39" s="73"/>
      <c r="V39" s="296" t="s">
        <v>37</v>
      </c>
      <c r="W39" s="296"/>
      <c r="X39" s="73"/>
      <c r="Z39" s="296" t="s">
        <v>37</v>
      </c>
      <c r="AA39" s="296"/>
      <c r="AB39" s="73"/>
      <c r="AD39" s="296" t="s">
        <v>37</v>
      </c>
      <c r="AE39" s="296"/>
      <c r="AF39" s="73" t="s">
        <v>352</v>
      </c>
      <c r="AH39" s="296" t="s">
        <v>37</v>
      </c>
      <c r="AI39" s="296"/>
      <c r="AJ39" s="73" t="s">
        <v>418</v>
      </c>
    </row>
    <row r="40" spans="2:36" ht="27" customHeight="1" x14ac:dyDescent="0.15">
      <c r="B40" s="296" t="s">
        <v>272</v>
      </c>
      <c r="C40" s="296"/>
      <c r="D40" s="73" t="s">
        <v>241</v>
      </c>
      <c r="F40" s="296" t="s">
        <v>272</v>
      </c>
      <c r="G40" s="296"/>
      <c r="H40" s="73" t="s">
        <v>242</v>
      </c>
      <c r="J40" s="296" t="s">
        <v>326</v>
      </c>
      <c r="K40" s="296"/>
      <c r="L40" s="73"/>
      <c r="N40" s="296" t="s">
        <v>272</v>
      </c>
      <c r="O40" s="296"/>
      <c r="P40" s="73"/>
      <c r="R40" s="296" t="s">
        <v>272</v>
      </c>
      <c r="S40" s="296"/>
      <c r="T40" s="73"/>
      <c r="V40" s="296" t="s">
        <v>272</v>
      </c>
      <c r="W40" s="296"/>
      <c r="X40" s="73"/>
      <c r="Z40" s="296" t="s">
        <v>272</v>
      </c>
      <c r="AA40" s="296"/>
      <c r="AB40" s="73"/>
      <c r="AD40" s="296" t="s">
        <v>272</v>
      </c>
      <c r="AE40" s="296"/>
      <c r="AF40" s="73" t="s">
        <v>352</v>
      </c>
      <c r="AH40" s="296" t="s">
        <v>272</v>
      </c>
      <c r="AI40" s="296"/>
      <c r="AJ40" s="73" t="s">
        <v>418</v>
      </c>
    </row>
    <row r="41" spans="2:36" ht="16.5" customHeight="1" x14ac:dyDescent="0.15">
      <c r="B41" s="296" t="s">
        <v>327</v>
      </c>
      <c r="C41" s="296"/>
      <c r="D41" s="69" t="s">
        <v>243</v>
      </c>
      <c r="F41" s="296" t="s">
        <v>327</v>
      </c>
      <c r="G41" s="296"/>
      <c r="H41" s="69" t="s">
        <v>244</v>
      </c>
      <c r="J41" s="296" t="s">
        <v>38</v>
      </c>
      <c r="K41" s="296"/>
      <c r="L41" s="69"/>
      <c r="N41" s="296" t="s">
        <v>38</v>
      </c>
      <c r="O41" s="296"/>
      <c r="P41" s="69"/>
      <c r="R41" s="296" t="s">
        <v>38</v>
      </c>
      <c r="S41" s="296"/>
      <c r="T41" s="69"/>
      <c r="V41" s="296" t="s">
        <v>38</v>
      </c>
      <c r="W41" s="296"/>
      <c r="X41" s="69"/>
      <c r="Z41" s="296" t="s">
        <v>327</v>
      </c>
      <c r="AA41" s="296"/>
      <c r="AB41" s="69"/>
      <c r="AD41" s="296" t="s">
        <v>327</v>
      </c>
      <c r="AE41" s="296"/>
      <c r="AF41" s="69" t="s">
        <v>353</v>
      </c>
      <c r="AH41" s="296" t="s">
        <v>327</v>
      </c>
      <c r="AI41" s="296"/>
      <c r="AJ41" s="69" t="s">
        <v>419</v>
      </c>
    </row>
    <row r="42" spans="2:36" ht="16.5" customHeight="1" x14ac:dyDescent="0.15">
      <c r="B42" s="296" t="s">
        <v>39</v>
      </c>
      <c r="C42" s="296"/>
      <c r="D42" s="69" t="s">
        <v>245</v>
      </c>
      <c r="F42" s="296" t="s">
        <v>39</v>
      </c>
      <c r="G42" s="296"/>
      <c r="H42" s="69" t="s">
        <v>246</v>
      </c>
      <c r="J42" s="296" t="s">
        <v>39</v>
      </c>
      <c r="K42" s="296"/>
      <c r="L42" s="69"/>
      <c r="N42" s="296" t="s">
        <v>39</v>
      </c>
      <c r="O42" s="296"/>
      <c r="P42" s="69"/>
      <c r="R42" s="296" t="s">
        <v>39</v>
      </c>
      <c r="S42" s="296"/>
      <c r="T42" s="69"/>
      <c r="V42" s="296" t="s">
        <v>39</v>
      </c>
      <c r="W42" s="296"/>
      <c r="X42" s="69"/>
      <c r="Z42" s="296" t="s">
        <v>39</v>
      </c>
      <c r="AA42" s="296"/>
      <c r="AB42" s="69"/>
      <c r="AD42" s="296" t="s">
        <v>39</v>
      </c>
      <c r="AE42" s="296"/>
      <c r="AF42" s="69" t="s">
        <v>527</v>
      </c>
      <c r="AH42" s="296" t="s">
        <v>39</v>
      </c>
      <c r="AI42" s="296"/>
      <c r="AJ42" s="69"/>
    </row>
    <row r="43" spans="2:36" x14ac:dyDescent="0.15">
      <c r="B43" s="296" t="s">
        <v>247</v>
      </c>
      <c r="C43" s="296"/>
      <c r="D43" s="69" t="s">
        <v>62</v>
      </c>
      <c r="F43" s="296" t="s">
        <v>247</v>
      </c>
      <c r="G43" s="296"/>
      <c r="H43" s="69" t="s">
        <v>62</v>
      </c>
      <c r="J43" s="296" t="s">
        <v>247</v>
      </c>
      <c r="K43" s="296"/>
      <c r="L43" s="69"/>
      <c r="N43" s="296" t="s">
        <v>247</v>
      </c>
      <c r="O43" s="296"/>
      <c r="P43" s="69"/>
      <c r="R43" s="296" t="s">
        <v>328</v>
      </c>
      <c r="S43" s="296"/>
      <c r="T43" s="69"/>
      <c r="V43" s="296" t="s">
        <v>247</v>
      </c>
      <c r="W43" s="296"/>
      <c r="X43" s="69"/>
      <c r="Z43" s="296" t="s">
        <v>247</v>
      </c>
      <c r="AA43" s="296"/>
      <c r="AB43" s="69"/>
      <c r="AD43" s="296" t="s">
        <v>247</v>
      </c>
      <c r="AE43" s="296"/>
      <c r="AF43" s="69" t="s">
        <v>62</v>
      </c>
      <c r="AH43" s="296" t="s">
        <v>247</v>
      </c>
      <c r="AI43" s="296"/>
      <c r="AJ43" s="69"/>
    </row>
    <row r="44" spans="2:36" x14ac:dyDescent="0.15">
      <c r="B44" s="296" t="s">
        <v>40</v>
      </c>
      <c r="C44" s="296"/>
      <c r="D44" s="73"/>
      <c r="F44" s="296" t="s">
        <v>40</v>
      </c>
      <c r="G44" s="296"/>
      <c r="H44" s="73" t="s">
        <v>248</v>
      </c>
      <c r="J44" s="296" t="s">
        <v>40</v>
      </c>
      <c r="K44" s="296"/>
      <c r="L44" s="73"/>
      <c r="N44" s="296" t="s">
        <v>40</v>
      </c>
      <c r="O44" s="296"/>
      <c r="P44" s="73"/>
      <c r="R44" s="296" t="s">
        <v>40</v>
      </c>
      <c r="S44" s="296"/>
      <c r="T44" s="73"/>
      <c r="V44" s="296" t="s">
        <v>40</v>
      </c>
      <c r="W44" s="296"/>
      <c r="X44" s="73"/>
      <c r="Z44" s="296" t="s">
        <v>329</v>
      </c>
      <c r="AA44" s="296"/>
      <c r="AB44" s="73"/>
      <c r="AD44" s="296" t="s">
        <v>329</v>
      </c>
      <c r="AE44" s="296"/>
      <c r="AF44" s="73"/>
      <c r="AH44" s="296" t="s">
        <v>329</v>
      </c>
      <c r="AI44" s="296"/>
      <c r="AJ44" s="73"/>
    </row>
    <row r="45" spans="2:36" x14ac:dyDescent="0.15">
      <c r="B45" s="296" t="s">
        <v>330</v>
      </c>
      <c r="C45" s="296"/>
      <c r="D45" s="80" t="s">
        <v>331</v>
      </c>
      <c r="F45" s="296" t="s">
        <v>41</v>
      </c>
      <c r="G45" s="296"/>
      <c r="H45" s="80" t="s">
        <v>331</v>
      </c>
      <c r="J45" s="296" t="s">
        <v>330</v>
      </c>
      <c r="K45" s="296"/>
      <c r="L45" s="73"/>
      <c r="N45" s="296" t="s">
        <v>330</v>
      </c>
      <c r="O45" s="296"/>
      <c r="P45" s="73"/>
      <c r="R45" s="296" t="s">
        <v>330</v>
      </c>
      <c r="S45" s="296"/>
      <c r="T45" s="73"/>
      <c r="V45" s="296" t="s">
        <v>330</v>
      </c>
      <c r="W45" s="296"/>
      <c r="X45" s="73"/>
      <c r="Z45" s="296" t="s">
        <v>41</v>
      </c>
      <c r="AA45" s="296"/>
      <c r="AB45" s="73"/>
      <c r="AD45" s="296" t="s">
        <v>41</v>
      </c>
      <c r="AE45" s="296"/>
      <c r="AF45" s="80" t="s">
        <v>331</v>
      </c>
      <c r="AH45" s="296" t="s">
        <v>41</v>
      </c>
      <c r="AI45" s="296"/>
      <c r="AJ45" s="80"/>
    </row>
    <row r="46" spans="2:36" x14ac:dyDescent="0.15">
      <c r="B46" s="296" t="s">
        <v>42</v>
      </c>
      <c r="C46" s="296"/>
      <c r="D46" s="69"/>
      <c r="F46" s="296" t="s">
        <v>332</v>
      </c>
      <c r="G46" s="296"/>
      <c r="H46" s="69"/>
      <c r="J46" s="296" t="s">
        <v>42</v>
      </c>
      <c r="K46" s="296"/>
      <c r="L46" s="69"/>
      <c r="N46" s="296" t="s">
        <v>332</v>
      </c>
      <c r="O46" s="296"/>
      <c r="P46" s="69"/>
      <c r="R46" s="296" t="s">
        <v>42</v>
      </c>
      <c r="S46" s="296"/>
      <c r="T46" s="69"/>
      <c r="V46" s="296" t="s">
        <v>42</v>
      </c>
      <c r="W46" s="296"/>
      <c r="X46" s="69"/>
      <c r="Z46" s="296" t="s">
        <v>42</v>
      </c>
      <c r="AA46" s="296"/>
      <c r="AB46" s="69"/>
      <c r="AD46" s="296" t="s">
        <v>42</v>
      </c>
      <c r="AE46" s="296"/>
      <c r="AF46" s="69" t="s">
        <v>525</v>
      </c>
      <c r="AH46" s="296" t="s">
        <v>42</v>
      </c>
      <c r="AI46" s="296"/>
      <c r="AJ46" s="69"/>
    </row>
    <row r="47" spans="2:36" ht="40.5" x14ac:dyDescent="0.15">
      <c r="B47" s="296" t="s">
        <v>43</v>
      </c>
      <c r="C47" s="296"/>
      <c r="D47" s="69" t="s">
        <v>249</v>
      </c>
      <c r="F47" s="296" t="s">
        <v>43</v>
      </c>
      <c r="G47" s="296"/>
      <c r="H47" s="69"/>
      <c r="J47" s="296" t="s">
        <v>43</v>
      </c>
      <c r="K47" s="296"/>
      <c r="L47" s="69"/>
      <c r="N47" s="296" t="s">
        <v>333</v>
      </c>
      <c r="O47" s="296"/>
      <c r="P47" s="69"/>
      <c r="R47" s="296" t="s">
        <v>43</v>
      </c>
      <c r="S47" s="296"/>
      <c r="T47" s="69"/>
      <c r="V47" s="296" t="s">
        <v>43</v>
      </c>
      <c r="W47" s="296"/>
      <c r="X47" s="69"/>
      <c r="Z47" s="296" t="s">
        <v>43</v>
      </c>
      <c r="AA47" s="296"/>
      <c r="AB47" s="69"/>
      <c r="AD47" s="296" t="s">
        <v>43</v>
      </c>
      <c r="AE47" s="296"/>
      <c r="AF47" s="69" t="s">
        <v>526</v>
      </c>
      <c r="AH47" s="296" t="s">
        <v>43</v>
      </c>
      <c r="AI47" s="296"/>
      <c r="AJ47" s="74" t="s">
        <v>420</v>
      </c>
    </row>
    <row r="48" spans="2:36" ht="16.5" customHeight="1" x14ac:dyDescent="0.15">
      <c r="B48" s="296" t="s">
        <v>334</v>
      </c>
      <c r="C48" s="296"/>
      <c r="D48" s="69" t="s">
        <v>250</v>
      </c>
      <c r="F48" s="296" t="s">
        <v>44</v>
      </c>
      <c r="G48" s="296"/>
      <c r="H48" s="69"/>
      <c r="J48" s="296" t="s">
        <v>44</v>
      </c>
      <c r="K48" s="296"/>
      <c r="L48" s="69"/>
      <c r="N48" s="296" t="s">
        <v>44</v>
      </c>
      <c r="O48" s="296"/>
      <c r="P48" s="69"/>
      <c r="R48" s="296" t="s">
        <v>334</v>
      </c>
      <c r="S48" s="296"/>
      <c r="T48" s="69"/>
      <c r="V48" s="296" t="s">
        <v>334</v>
      </c>
      <c r="W48" s="296"/>
      <c r="X48" s="69"/>
      <c r="Z48" s="296" t="s">
        <v>44</v>
      </c>
      <c r="AA48" s="296"/>
      <c r="AB48" s="69"/>
      <c r="AD48" s="296" t="s">
        <v>44</v>
      </c>
      <c r="AE48" s="296"/>
      <c r="AF48" s="69" t="s">
        <v>354</v>
      </c>
      <c r="AH48" s="296" t="s">
        <v>44</v>
      </c>
      <c r="AI48" s="296"/>
      <c r="AJ48" s="69" t="s">
        <v>421</v>
      </c>
    </row>
    <row r="49" spans="2:36" ht="16.5" customHeight="1" x14ac:dyDescent="0.15">
      <c r="B49" s="296" t="s">
        <v>313</v>
      </c>
      <c r="C49" s="70" t="s">
        <v>27</v>
      </c>
      <c r="D49" s="73"/>
      <c r="F49" s="296" t="s">
        <v>26</v>
      </c>
      <c r="G49" s="70" t="s">
        <v>27</v>
      </c>
      <c r="H49" s="73"/>
      <c r="J49" s="296" t="s">
        <v>313</v>
      </c>
      <c r="K49" s="70" t="s">
        <v>27</v>
      </c>
      <c r="L49" s="73"/>
      <c r="N49" s="296" t="s">
        <v>26</v>
      </c>
      <c r="O49" s="70" t="s">
        <v>27</v>
      </c>
      <c r="P49" s="73"/>
      <c r="R49" s="296" t="s">
        <v>26</v>
      </c>
      <c r="S49" s="70" t="s">
        <v>27</v>
      </c>
      <c r="T49" s="73"/>
      <c r="V49" s="296" t="s">
        <v>313</v>
      </c>
      <c r="W49" s="70" t="s">
        <v>27</v>
      </c>
      <c r="X49" s="73"/>
      <c r="Z49" s="296" t="s">
        <v>26</v>
      </c>
      <c r="AA49" s="70" t="s">
        <v>27</v>
      </c>
      <c r="AB49" s="73"/>
      <c r="AD49" s="296" t="s">
        <v>26</v>
      </c>
      <c r="AE49" s="70" t="s">
        <v>27</v>
      </c>
      <c r="AF49" s="73"/>
      <c r="AH49" s="296" t="s">
        <v>26</v>
      </c>
      <c r="AI49" s="70" t="s">
        <v>27</v>
      </c>
      <c r="AJ49" s="73"/>
    </row>
    <row r="50" spans="2:36" x14ac:dyDescent="0.15">
      <c r="B50" s="296"/>
      <c r="C50" s="70" t="s">
        <v>28</v>
      </c>
      <c r="D50" s="69"/>
      <c r="F50" s="296"/>
      <c r="G50" s="70" t="s">
        <v>28</v>
      </c>
      <c r="H50" s="69"/>
      <c r="J50" s="296"/>
      <c r="K50" s="70" t="s">
        <v>28</v>
      </c>
      <c r="L50" s="69"/>
      <c r="N50" s="296"/>
      <c r="O50" s="70" t="s">
        <v>28</v>
      </c>
      <c r="P50" s="69"/>
      <c r="R50" s="296"/>
      <c r="S50" s="70" t="s">
        <v>28</v>
      </c>
      <c r="T50" s="69"/>
      <c r="V50" s="296"/>
      <c r="W50" s="70" t="s">
        <v>28</v>
      </c>
      <c r="X50" s="69"/>
      <c r="Z50" s="296"/>
      <c r="AA50" s="70" t="s">
        <v>28</v>
      </c>
      <c r="AB50" s="69"/>
      <c r="AD50" s="296"/>
      <c r="AE50" s="70" t="s">
        <v>28</v>
      </c>
      <c r="AF50" s="69"/>
      <c r="AH50" s="296"/>
      <c r="AI50" s="70" t="s">
        <v>28</v>
      </c>
      <c r="AJ50" s="69"/>
    </row>
    <row r="51" spans="2:36" x14ac:dyDescent="0.15">
      <c r="B51" s="296"/>
      <c r="C51" s="70" t="s">
        <v>29</v>
      </c>
      <c r="D51" s="69"/>
      <c r="F51" s="296"/>
      <c r="G51" s="70" t="s">
        <v>29</v>
      </c>
      <c r="H51" s="69"/>
      <c r="J51" s="296"/>
      <c r="K51" s="70" t="s">
        <v>29</v>
      </c>
      <c r="L51" s="69"/>
      <c r="N51" s="296"/>
      <c r="O51" s="70" t="s">
        <v>29</v>
      </c>
      <c r="P51" s="69"/>
      <c r="R51" s="296"/>
      <c r="S51" s="70" t="s">
        <v>29</v>
      </c>
      <c r="T51" s="69"/>
      <c r="V51" s="296"/>
      <c r="W51" s="70" t="s">
        <v>29</v>
      </c>
      <c r="X51" s="69"/>
      <c r="Z51" s="296"/>
      <c r="AA51" s="70" t="s">
        <v>29</v>
      </c>
      <c r="AB51" s="69"/>
      <c r="AD51" s="296"/>
      <c r="AE51" s="70" t="s">
        <v>29</v>
      </c>
      <c r="AF51" s="69"/>
      <c r="AH51" s="296"/>
      <c r="AI51" s="70" t="s">
        <v>29</v>
      </c>
      <c r="AJ51" s="69"/>
    </row>
    <row r="52" spans="2:36" ht="27" x14ac:dyDescent="0.15">
      <c r="B52" s="296"/>
      <c r="C52" s="70" t="s">
        <v>30</v>
      </c>
      <c r="D52" s="69"/>
      <c r="F52" s="296"/>
      <c r="G52" s="70" t="s">
        <v>30</v>
      </c>
      <c r="H52" s="69" t="s">
        <v>251</v>
      </c>
      <c r="J52" s="296"/>
      <c r="K52" s="70" t="s">
        <v>30</v>
      </c>
      <c r="L52" s="69"/>
      <c r="N52" s="296"/>
      <c r="O52" s="70" t="s">
        <v>30</v>
      </c>
      <c r="P52" s="69"/>
      <c r="R52" s="296"/>
      <c r="S52" s="70" t="s">
        <v>30</v>
      </c>
      <c r="T52" s="69"/>
      <c r="V52" s="296"/>
      <c r="W52" s="70" t="s">
        <v>30</v>
      </c>
      <c r="X52" s="69"/>
      <c r="Z52" s="296"/>
      <c r="AA52" s="70" t="s">
        <v>30</v>
      </c>
      <c r="AB52" s="69"/>
      <c r="AD52" s="296"/>
      <c r="AE52" s="70" t="s">
        <v>30</v>
      </c>
      <c r="AF52" s="69" t="s">
        <v>355</v>
      </c>
      <c r="AH52" s="296"/>
      <c r="AI52" s="70" t="s">
        <v>30</v>
      </c>
      <c r="AJ52" s="69" t="s">
        <v>422</v>
      </c>
    </row>
    <row r="53" spans="2:36" ht="202.5" x14ac:dyDescent="0.15">
      <c r="B53" s="296" t="s">
        <v>318</v>
      </c>
      <c r="C53" s="296"/>
      <c r="D53" s="81" t="s">
        <v>252</v>
      </c>
      <c r="F53" s="296" t="s">
        <v>31</v>
      </c>
      <c r="G53" s="296"/>
      <c r="H53" s="81" t="s">
        <v>253</v>
      </c>
      <c r="J53" s="296" t="s">
        <v>31</v>
      </c>
      <c r="K53" s="296"/>
      <c r="L53" s="81"/>
      <c r="N53" s="296" t="s">
        <v>318</v>
      </c>
      <c r="O53" s="296"/>
      <c r="P53" s="81"/>
      <c r="R53" s="296" t="s">
        <v>31</v>
      </c>
      <c r="S53" s="296"/>
      <c r="T53" s="81"/>
      <c r="V53" s="296" t="s">
        <v>31</v>
      </c>
      <c r="W53" s="296"/>
      <c r="X53" s="81"/>
      <c r="Z53" s="296" t="s">
        <v>318</v>
      </c>
      <c r="AA53" s="296"/>
      <c r="AB53" s="81"/>
      <c r="AD53" s="296" t="s">
        <v>318</v>
      </c>
      <c r="AE53" s="296"/>
      <c r="AF53" s="81"/>
      <c r="AH53" s="296" t="s">
        <v>318</v>
      </c>
      <c r="AI53" s="296"/>
      <c r="AJ53" s="81"/>
    </row>
    <row r="55" spans="2:36" x14ac:dyDescent="0.15">
      <c r="B55" s="299" t="s">
        <v>45</v>
      </c>
      <c r="C55" s="299"/>
      <c r="D55" s="299"/>
      <c r="F55" s="299" t="s">
        <v>335</v>
      </c>
      <c r="G55" s="299"/>
      <c r="H55" s="299"/>
      <c r="J55" s="299" t="s">
        <v>45</v>
      </c>
      <c r="K55" s="299"/>
      <c r="L55" s="299"/>
      <c r="N55" s="299" t="s">
        <v>335</v>
      </c>
      <c r="O55" s="299"/>
      <c r="P55" s="299"/>
      <c r="R55" s="299" t="s">
        <v>45</v>
      </c>
      <c r="S55" s="299"/>
      <c r="T55" s="299"/>
      <c r="V55" s="299" t="s">
        <v>45</v>
      </c>
      <c r="W55" s="299"/>
      <c r="X55" s="299"/>
      <c r="Z55" s="299" t="s">
        <v>45</v>
      </c>
      <c r="AA55" s="299"/>
      <c r="AB55" s="299"/>
      <c r="AD55" s="299" t="s">
        <v>45</v>
      </c>
      <c r="AE55" s="299"/>
      <c r="AF55" s="299"/>
      <c r="AH55" s="299" t="s">
        <v>45</v>
      </c>
      <c r="AI55" s="299"/>
      <c r="AJ55" s="299"/>
    </row>
    <row r="56" spans="2:36" x14ac:dyDescent="0.15">
      <c r="B56" s="294" t="s">
        <v>231</v>
      </c>
      <c r="C56" s="295"/>
      <c r="D56" s="68" t="s">
        <v>7</v>
      </c>
      <c r="F56" s="294" t="s">
        <v>231</v>
      </c>
      <c r="G56" s="295"/>
      <c r="H56" s="68" t="s">
        <v>7</v>
      </c>
      <c r="J56" s="294" t="s">
        <v>231</v>
      </c>
      <c r="K56" s="295"/>
      <c r="L56" s="68" t="s">
        <v>7</v>
      </c>
      <c r="N56" s="294" t="s">
        <v>284</v>
      </c>
      <c r="O56" s="295"/>
      <c r="P56" s="68" t="s">
        <v>7</v>
      </c>
      <c r="R56" s="294" t="s">
        <v>231</v>
      </c>
      <c r="S56" s="295"/>
      <c r="T56" s="68" t="s">
        <v>283</v>
      </c>
      <c r="V56" s="294" t="s">
        <v>231</v>
      </c>
      <c r="W56" s="295"/>
      <c r="X56" s="68" t="s">
        <v>283</v>
      </c>
      <c r="Z56" s="294" t="s">
        <v>231</v>
      </c>
      <c r="AA56" s="295"/>
      <c r="AB56" s="68" t="s">
        <v>7</v>
      </c>
      <c r="AD56" s="294" t="s">
        <v>231</v>
      </c>
      <c r="AE56" s="295"/>
      <c r="AF56" s="68" t="s">
        <v>7</v>
      </c>
      <c r="AH56" s="294" t="s">
        <v>231</v>
      </c>
      <c r="AI56" s="295"/>
      <c r="AJ56" s="68" t="s">
        <v>7</v>
      </c>
    </row>
    <row r="57" spans="2:36" x14ac:dyDescent="0.15">
      <c r="B57" s="296" t="s">
        <v>46</v>
      </c>
      <c r="C57" s="296"/>
      <c r="D57" s="69"/>
      <c r="F57" s="296" t="s">
        <v>46</v>
      </c>
      <c r="G57" s="296"/>
      <c r="H57" s="69" t="s">
        <v>336</v>
      </c>
      <c r="J57" s="296" t="s">
        <v>46</v>
      </c>
      <c r="K57" s="296"/>
      <c r="L57" s="69"/>
      <c r="N57" s="296" t="s">
        <v>46</v>
      </c>
      <c r="O57" s="296"/>
      <c r="P57" s="69" t="s">
        <v>254</v>
      </c>
      <c r="R57" s="296" t="s">
        <v>46</v>
      </c>
      <c r="S57" s="296"/>
      <c r="T57" s="69"/>
      <c r="V57" s="296" t="s">
        <v>46</v>
      </c>
      <c r="W57" s="296"/>
      <c r="X57" s="69"/>
      <c r="Z57" s="296" t="s">
        <v>46</v>
      </c>
      <c r="AA57" s="296"/>
      <c r="AB57" s="69" t="s">
        <v>255</v>
      </c>
      <c r="AD57" s="296" t="s">
        <v>46</v>
      </c>
      <c r="AE57" s="296"/>
      <c r="AF57" s="69"/>
      <c r="AH57" s="296" t="s">
        <v>46</v>
      </c>
      <c r="AI57" s="296"/>
      <c r="AJ57" s="69"/>
    </row>
    <row r="58" spans="2:36" x14ac:dyDescent="0.15">
      <c r="B58" s="297" t="s">
        <v>47</v>
      </c>
      <c r="C58" s="298"/>
      <c r="D58" s="69"/>
      <c r="F58" s="297" t="s">
        <v>47</v>
      </c>
      <c r="G58" s="298"/>
      <c r="H58" s="76">
        <v>44377</v>
      </c>
      <c r="J58" s="297" t="s">
        <v>47</v>
      </c>
      <c r="K58" s="298"/>
      <c r="L58" s="69"/>
      <c r="N58" s="297" t="s">
        <v>47</v>
      </c>
      <c r="O58" s="298"/>
      <c r="P58" s="76">
        <v>44587</v>
      </c>
      <c r="R58" s="297" t="s">
        <v>47</v>
      </c>
      <c r="S58" s="298"/>
      <c r="T58" s="69"/>
      <c r="V58" s="297" t="s">
        <v>47</v>
      </c>
      <c r="W58" s="298"/>
      <c r="X58" s="69"/>
      <c r="Z58" s="297" t="s">
        <v>337</v>
      </c>
      <c r="AA58" s="298"/>
      <c r="AB58" s="76">
        <v>44664</v>
      </c>
      <c r="AD58" s="297" t="s">
        <v>337</v>
      </c>
      <c r="AE58" s="298"/>
      <c r="AF58" s="76"/>
      <c r="AH58" s="297" t="s">
        <v>337</v>
      </c>
      <c r="AI58" s="298"/>
      <c r="AJ58" s="76"/>
    </row>
    <row r="59" spans="2:36" x14ac:dyDescent="0.15">
      <c r="B59" s="297" t="s">
        <v>15</v>
      </c>
      <c r="C59" s="298"/>
      <c r="D59" s="69"/>
      <c r="F59" s="297" t="s">
        <v>298</v>
      </c>
      <c r="G59" s="298"/>
      <c r="H59" s="76">
        <v>44397</v>
      </c>
      <c r="J59" s="297" t="s">
        <v>298</v>
      </c>
      <c r="K59" s="298"/>
      <c r="L59" s="69"/>
      <c r="N59" s="297" t="s">
        <v>298</v>
      </c>
      <c r="O59" s="298"/>
      <c r="P59" s="76">
        <v>44610</v>
      </c>
      <c r="R59" s="297" t="s">
        <v>15</v>
      </c>
      <c r="S59" s="298"/>
      <c r="T59" s="69"/>
      <c r="V59" s="297" t="s">
        <v>15</v>
      </c>
      <c r="W59" s="298"/>
      <c r="X59" s="69"/>
      <c r="Z59" s="297" t="s">
        <v>15</v>
      </c>
      <c r="AA59" s="298"/>
      <c r="AB59" s="76">
        <v>44677</v>
      </c>
      <c r="AD59" s="297" t="s">
        <v>15</v>
      </c>
      <c r="AE59" s="298"/>
      <c r="AF59" s="76"/>
      <c r="AH59" s="297" t="s">
        <v>15</v>
      </c>
      <c r="AI59" s="298"/>
      <c r="AJ59" s="76"/>
    </row>
    <row r="60" spans="2:36" ht="16.5" customHeight="1" x14ac:dyDescent="0.15">
      <c r="B60" s="297" t="s">
        <v>48</v>
      </c>
      <c r="C60" s="298"/>
      <c r="D60" s="69"/>
      <c r="F60" s="297" t="s">
        <v>338</v>
      </c>
      <c r="G60" s="298"/>
      <c r="H60" s="73" t="s">
        <v>242</v>
      </c>
      <c r="J60" s="297" t="s">
        <v>338</v>
      </c>
      <c r="K60" s="298"/>
      <c r="L60" s="69"/>
      <c r="N60" s="297" t="s">
        <v>48</v>
      </c>
      <c r="O60" s="298"/>
      <c r="P60" s="69" t="s">
        <v>256</v>
      </c>
      <c r="R60" s="297" t="s">
        <v>338</v>
      </c>
      <c r="S60" s="298"/>
      <c r="T60" s="69"/>
      <c r="V60" s="297" t="s">
        <v>48</v>
      </c>
      <c r="W60" s="298"/>
      <c r="X60" s="69"/>
      <c r="Z60" s="297" t="s">
        <v>48</v>
      </c>
      <c r="AA60" s="298"/>
      <c r="AB60" s="69" t="s">
        <v>257</v>
      </c>
      <c r="AD60" s="297" t="s">
        <v>48</v>
      </c>
      <c r="AE60" s="298"/>
      <c r="AF60" s="69"/>
      <c r="AH60" s="297" t="s">
        <v>48</v>
      </c>
      <c r="AI60" s="298"/>
      <c r="AJ60" s="69"/>
    </row>
    <row r="61" spans="2:36" ht="16.5" customHeight="1" x14ac:dyDescent="0.15">
      <c r="B61" s="296" t="s">
        <v>49</v>
      </c>
      <c r="C61" s="296"/>
      <c r="D61" s="73"/>
      <c r="F61" s="296" t="s">
        <v>49</v>
      </c>
      <c r="G61" s="296"/>
      <c r="H61" s="73" t="s">
        <v>242</v>
      </c>
      <c r="J61" s="296" t="s">
        <v>49</v>
      </c>
      <c r="K61" s="296"/>
      <c r="L61" s="73"/>
      <c r="N61" s="296" t="s">
        <v>49</v>
      </c>
      <c r="O61" s="296"/>
      <c r="P61" s="73"/>
      <c r="R61" s="296" t="s">
        <v>49</v>
      </c>
      <c r="S61" s="296"/>
      <c r="T61" s="73"/>
      <c r="V61" s="296" t="s">
        <v>49</v>
      </c>
      <c r="W61" s="296"/>
      <c r="X61" s="73"/>
      <c r="Z61" s="296" t="s">
        <v>49</v>
      </c>
      <c r="AA61" s="296"/>
      <c r="AB61" s="73"/>
      <c r="AD61" s="296" t="s">
        <v>49</v>
      </c>
      <c r="AE61" s="296"/>
      <c r="AF61" s="73"/>
      <c r="AH61" s="296" t="s">
        <v>49</v>
      </c>
      <c r="AI61" s="296"/>
      <c r="AJ61" s="73"/>
    </row>
    <row r="62" spans="2:36" ht="54" x14ac:dyDescent="0.15">
      <c r="B62" s="296" t="s">
        <v>339</v>
      </c>
      <c r="C62" s="296"/>
      <c r="D62" s="69"/>
      <c r="F62" s="296" t="s">
        <v>50</v>
      </c>
      <c r="G62" s="296"/>
      <c r="H62" s="69" t="s">
        <v>258</v>
      </c>
      <c r="J62" s="296" t="s">
        <v>339</v>
      </c>
      <c r="K62" s="296"/>
      <c r="L62" s="69"/>
      <c r="N62" s="296" t="s">
        <v>50</v>
      </c>
      <c r="O62" s="296"/>
      <c r="P62" s="69" t="s">
        <v>259</v>
      </c>
      <c r="R62" s="296" t="s">
        <v>339</v>
      </c>
      <c r="S62" s="296"/>
      <c r="T62" s="69"/>
      <c r="V62" s="296" t="s">
        <v>50</v>
      </c>
      <c r="W62" s="296"/>
      <c r="X62" s="69"/>
      <c r="Z62" s="296" t="s">
        <v>50</v>
      </c>
      <c r="AA62" s="296"/>
      <c r="AB62" s="69" t="s">
        <v>165</v>
      </c>
      <c r="AD62" s="296" t="s">
        <v>50</v>
      </c>
      <c r="AE62" s="296"/>
      <c r="AF62" s="69"/>
      <c r="AH62" s="296" t="s">
        <v>50</v>
      </c>
      <c r="AI62" s="296"/>
      <c r="AJ62" s="69"/>
    </row>
    <row r="63" spans="2:36" ht="54" x14ac:dyDescent="0.15">
      <c r="B63" s="296" t="s">
        <v>51</v>
      </c>
      <c r="C63" s="296"/>
      <c r="D63" s="73"/>
      <c r="F63" s="296" t="s">
        <v>340</v>
      </c>
      <c r="G63" s="296"/>
      <c r="H63" s="73" t="s">
        <v>273</v>
      </c>
      <c r="J63" s="296" t="s">
        <v>51</v>
      </c>
      <c r="K63" s="296"/>
      <c r="L63" s="73"/>
      <c r="N63" s="296" t="s">
        <v>51</v>
      </c>
      <c r="O63" s="296"/>
      <c r="P63" s="73" t="s">
        <v>260</v>
      </c>
      <c r="R63" s="296" t="s">
        <v>51</v>
      </c>
      <c r="S63" s="296"/>
      <c r="T63" s="73"/>
      <c r="V63" s="296" t="s">
        <v>51</v>
      </c>
      <c r="W63" s="296"/>
      <c r="X63" s="73"/>
      <c r="Z63" s="296" t="s">
        <v>51</v>
      </c>
      <c r="AA63" s="296"/>
      <c r="AB63" s="73" t="s">
        <v>261</v>
      </c>
      <c r="AD63" s="296" t="s">
        <v>51</v>
      </c>
      <c r="AE63" s="296"/>
      <c r="AF63" s="73"/>
      <c r="AH63" s="296" t="s">
        <v>51</v>
      </c>
      <c r="AI63" s="296"/>
      <c r="AJ63" s="73"/>
    </row>
    <row r="64" spans="2:36" x14ac:dyDescent="0.15">
      <c r="B64" s="296" t="s">
        <v>52</v>
      </c>
      <c r="C64" s="296"/>
      <c r="D64" s="73"/>
      <c r="F64" s="296" t="s">
        <v>52</v>
      </c>
      <c r="G64" s="296"/>
      <c r="H64" s="73"/>
      <c r="J64" s="296" t="s">
        <v>52</v>
      </c>
      <c r="K64" s="296"/>
      <c r="L64" s="73"/>
      <c r="N64" s="296" t="s">
        <v>52</v>
      </c>
      <c r="O64" s="296"/>
      <c r="P64" s="73"/>
      <c r="R64" s="296" t="s">
        <v>52</v>
      </c>
      <c r="S64" s="296"/>
      <c r="T64" s="73"/>
      <c r="V64" s="296" t="s">
        <v>341</v>
      </c>
      <c r="W64" s="296"/>
      <c r="X64" s="73"/>
      <c r="Z64" s="296" t="s">
        <v>341</v>
      </c>
      <c r="AA64" s="296"/>
      <c r="AB64" s="73"/>
      <c r="AD64" s="296" t="s">
        <v>341</v>
      </c>
      <c r="AE64" s="296"/>
      <c r="AF64" s="73"/>
      <c r="AH64" s="296" t="s">
        <v>341</v>
      </c>
      <c r="AI64" s="296"/>
      <c r="AJ64" s="73"/>
    </row>
    <row r="65" spans="2:36" x14ac:dyDescent="0.15">
      <c r="B65" s="296" t="s">
        <v>342</v>
      </c>
      <c r="C65" s="296"/>
      <c r="D65" s="69"/>
      <c r="F65" s="296" t="s">
        <v>342</v>
      </c>
      <c r="G65" s="296"/>
      <c r="H65" s="69"/>
      <c r="J65" s="296" t="s">
        <v>342</v>
      </c>
      <c r="K65" s="296"/>
      <c r="L65" s="69"/>
      <c r="N65" s="296" t="s">
        <v>342</v>
      </c>
      <c r="O65" s="296"/>
      <c r="P65" s="69"/>
      <c r="R65" s="296" t="s">
        <v>53</v>
      </c>
      <c r="S65" s="296"/>
      <c r="T65" s="69"/>
      <c r="V65" s="296" t="s">
        <v>342</v>
      </c>
      <c r="W65" s="296"/>
      <c r="X65" s="69"/>
      <c r="Z65" s="296" t="s">
        <v>53</v>
      </c>
      <c r="AA65" s="296"/>
      <c r="AB65" s="69"/>
      <c r="AD65" s="296" t="s">
        <v>53</v>
      </c>
      <c r="AE65" s="296"/>
      <c r="AF65" s="69"/>
      <c r="AH65" s="296" t="s">
        <v>53</v>
      </c>
      <c r="AI65" s="296"/>
      <c r="AJ65" s="69"/>
    </row>
    <row r="66" spans="2:36" ht="16.5" customHeight="1" x14ac:dyDescent="0.15">
      <c r="B66" s="296" t="s">
        <v>54</v>
      </c>
      <c r="C66" s="296"/>
      <c r="D66" s="69"/>
      <c r="F66" s="296" t="s">
        <v>343</v>
      </c>
      <c r="G66" s="296"/>
      <c r="H66" s="69" t="s">
        <v>274</v>
      </c>
      <c r="J66" s="296" t="s">
        <v>54</v>
      </c>
      <c r="K66" s="296"/>
      <c r="L66" s="69"/>
      <c r="N66" s="296" t="s">
        <v>343</v>
      </c>
      <c r="O66" s="296"/>
      <c r="P66" s="69"/>
      <c r="R66" s="296" t="s">
        <v>54</v>
      </c>
      <c r="S66" s="296"/>
      <c r="T66" s="69"/>
      <c r="V66" s="296" t="s">
        <v>343</v>
      </c>
      <c r="W66" s="296"/>
      <c r="X66" s="69"/>
      <c r="Z66" s="296" t="s">
        <v>343</v>
      </c>
      <c r="AA66" s="296"/>
      <c r="AB66" s="69"/>
      <c r="AD66" s="296" t="s">
        <v>343</v>
      </c>
      <c r="AE66" s="296"/>
      <c r="AF66" s="69"/>
      <c r="AH66" s="296" t="s">
        <v>54</v>
      </c>
      <c r="AI66" s="296"/>
      <c r="AJ66" s="69"/>
    </row>
    <row r="67" spans="2:36" x14ac:dyDescent="0.15">
      <c r="B67" s="296" t="s">
        <v>55</v>
      </c>
      <c r="C67" s="296"/>
      <c r="D67" s="69"/>
      <c r="F67" s="296" t="s">
        <v>55</v>
      </c>
      <c r="G67" s="296"/>
      <c r="H67" s="69" t="s">
        <v>275</v>
      </c>
      <c r="J67" s="296" t="s">
        <v>344</v>
      </c>
      <c r="K67" s="296"/>
      <c r="L67" s="69"/>
      <c r="N67" s="296" t="s">
        <v>344</v>
      </c>
      <c r="O67" s="296"/>
      <c r="P67" s="69"/>
      <c r="R67" s="296" t="s">
        <v>55</v>
      </c>
      <c r="S67" s="296"/>
      <c r="T67" s="69"/>
      <c r="V67" s="296" t="s">
        <v>344</v>
      </c>
      <c r="W67" s="296"/>
      <c r="X67" s="69"/>
      <c r="Z67" s="296" t="s">
        <v>55</v>
      </c>
      <c r="AA67" s="296"/>
      <c r="AB67" s="69"/>
      <c r="AD67" s="296" t="s">
        <v>55</v>
      </c>
      <c r="AE67" s="296"/>
      <c r="AF67" s="69"/>
      <c r="AH67" s="296" t="s">
        <v>55</v>
      </c>
      <c r="AI67" s="296"/>
      <c r="AJ67" s="69"/>
    </row>
    <row r="68" spans="2:36" x14ac:dyDescent="0.15">
      <c r="B68" s="296" t="s">
        <v>345</v>
      </c>
      <c r="C68" s="296"/>
      <c r="D68" s="69"/>
      <c r="F68" s="296" t="s">
        <v>262</v>
      </c>
      <c r="G68" s="296"/>
      <c r="H68" s="69"/>
      <c r="J68" s="296" t="s">
        <v>262</v>
      </c>
      <c r="K68" s="296"/>
      <c r="L68" s="69"/>
      <c r="N68" s="296" t="s">
        <v>262</v>
      </c>
      <c r="O68" s="296"/>
      <c r="P68" s="69"/>
      <c r="R68" s="296" t="s">
        <v>345</v>
      </c>
      <c r="S68" s="296"/>
      <c r="T68" s="69"/>
      <c r="V68" s="296" t="s">
        <v>262</v>
      </c>
      <c r="W68" s="296"/>
      <c r="X68" s="69"/>
      <c r="Z68" s="296" t="s">
        <v>345</v>
      </c>
      <c r="AA68" s="296"/>
      <c r="AB68" s="69"/>
      <c r="AD68" s="296" t="s">
        <v>345</v>
      </c>
      <c r="AE68" s="296"/>
      <c r="AF68" s="69"/>
      <c r="AH68" s="296" t="s">
        <v>345</v>
      </c>
      <c r="AI68" s="296"/>
      <c r="AJ68" s="69"/>
    </row>
    <row r="69" spans="2:36" x14ac:dyDescent="0.15">
      <c r="B69" s="296" t="s">
        <v>346</v>
      </c>
      <c r="C69" s="296"/>
      <c r="D69" s="69"/>
      <c r="F69" s="296" t="s">
        <v>56</v>
      </c>
      <c r="G69" s="296"/>
      <c r="H69" s="69"/>
      <c r="J69" s="296" t="s">
        <v>56</v>
      </c>
      <c r="K69" s="296"/>
      <c r="L69" s="69"/>
      <c r="N69" s="296" t="s">
        <v>56</v>
      </c>
      <c r="O69" s="296"/>
      <c r="P69" s="69"/>
      <c r="R69" s="296" t="s">
        <v>56</v>
      </c>
      <c r="S69" s="296"/>
      <c r="T69" s="69"/>
      <c r="V69" s="296" t="s">
        <v>56</v>
      </c>
      <c r="W69" s="296"/>
      <c r="X69" s="69"/>
      <c r="Z69" s="296" t="s">
        <v>56</v>
      </c>
      <c r="AA69" s="296"/>
      <c r="AB69" s="69"/>
      <c r="AD69" s="296" t="s">
        <v>56</v>
      </c>
      <c r="AE69" s="296"/>
      <c r="AF69" s="69"/>
      <c r="AH69" s="296" t="s">
        <v>56</v>
      </c>
      <c r="AI69" s="296"/>
      <c r="AJ69" s="69"/>
    </row>
    <row r="70" spans="2:36" ht="207" customHeight="1" x14ac:dyDescent="0.15">
      <c r="B70" s="296" t="s">
        <v>31</v>
      </c>
      <c r="C70" s="296"/>
      <c r="D70" s="81"/>
      <c r="F70" s="296" t="s">
        <v>31</v>
      </c>
      <c r="G70" s="296"/>
      <c r="H70" s="81" t="s">
        <v>347</v>
      </c>
      <c r="J70" s="296" t="s">
        <v>31</v>
      </c>
      <c r="K70" s="296"/>
      <c r="L70" s="81"/>
      <c r="N70" s="296" t="s">
        <v>31</v>
      </c>
      <c r="O70" s="296"/>
      <c r="P70" s="81" t="s">
        <v>263</v>
      </c>
      <c r="R70" s="296" t="s">
        <v>31</v>
      </c>
      <c r="S70" s="296"/>
      <c r="T70" s="81"/>
      <c r="V70" s="296" t="s">
        <v>31</v>
      </c>
      <c r="W70" s="296"/>
      <c r="X70" s="81"/>
      <c r="Z70" s="296" t="s">
        <v>31</v>
      </c>
      <c r="AA70" s="296"/>
      <c r="AB70" s="81" t="s">
        <v>264</v>
      </c>
      <c r="AD70" s="296" t="s">
        <v>31</v>
      </c>
      <c r="AE70" s="296"/>
      <c r="AF70" s="81"/>
      <c r="AH70" s="296" t="s">
        <v>31</v>
      </c>
      <c r="AI70" s="296"/>
      <c r="AJ70" s="81"/>
    </row>
  </sheetData>
  <mergeCells count="468">
    <mergeCell ref="AH64:AI64"/>
    <mergeCell ref="AH65:AI65"/>
    <mergeCell ref="AH66:AI66"/>
    <mergeCell ref="AH67:AI67"/>
    <mergeCell ref="AH68:AI68"/>
    <mergeCell ref="AH69:AI69"/>
    <mergeCell ref="AH70:AI70"/>
    <mergeCell ref="AH55:AJ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42:AI42"/>
    <mergeCell ref="AH43:AI43"/>
    <mergeCell ref="AH44:AI44"/>
    <mergeCell ref="AH45:AI45"/>
    <mergeCell ref="AH46:AI46"/>
    <mergeCell ref="AH47:AI47"/>
    <mergeCell ref="AH48:AI48"/>
    <mergeCell ref="AH49:AH52"/>
    <mergeCell ref="AH53:AI53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17:AI17"/>
    <mergeCell ref="AH18:AI18"/>
    <mergeCell ref="AH19:AI19"/>
    <mergeCell ref="AH20:AH21"/>
    <mergeCell ref="AH22:AH23"/>
    <mergeCell ref="AH24:AH25"/>
    <mergeCell ref="AH26:AH29"/>
    <mergeCell ref="AH30:AI30"/>
    <mergeCell ref="AH32:AJ32"/>
    <mergeCell ref="AH7:AI7"/>
    <mergeCell ref="AH8:AI8"/>
    <mergeCell ref="AH9:AI9"/>
    <mergeCell ref="AH10:AI10"/>
    <mergeCell ref="AH11:AI11"/>
    <mergeCell ref="AH12:AH13"/>
    <mergeCell ref="AH14:AI14"/>
    <mergeCell ref="AH15:AI15"/>
    <mergeCell ref="AH16:AI16"/>
    <mergeCell ref="AD69:AE69"/>
    <mergeCell ref="AD70:AE70"/>
    <mergeCell ref="AD64:AE64"/>
    <mergeCell ref="AD65:AE65"/>
    <mergeCell ref="AD66:AE66"/>
    <mergeCell ref="AD67:AE67"/>
    <mergeCell ref="AD68:AE68"/>
    <mergeCell ref="AD59:AE59"/>
    <mergeCell ref="AD60:AE60"/>
    <mergeCell ref="AD61:AE61"/>
    <mergeCell ref="AD62:AE62"/>
    <mergeCell ref="AD63:AE63"/>
    <mergeCell ref="AD53:AE53"/>
    <mergeCell ref="AD55:AF55"/>
    <mergeCell ref="AD56:AE56"/>
    <mergeCell ref="AD57:AE57"/>
    <mergeCell ref="AD58:AE58"/>
    <mergeCell ref="AD45:AE45"/>
    <mergeCell ref="AD46:AE46"/>
    <mergeCell ref="AD47:AE47"/>
    <mergeCell ref="AD48:AE48"/>
    <mergeCell ref="AD49:AD52"/>
    <mergeCell ref="AD40:AE40"/>
    <mergeCell ref="AD41:AE41"/>
    <mergeCell ref="AD42:AE42"/>
    <mergeCell ref="AD43:AE43"/>
    <mergeCell ref="AD44:AE44"/>
    <mergeCell ref="AD35:AE35"/>
    <mergeCell ref="AD36:AE36"/>
    <mergeCell ref="AD37:AE37"/>
    <mergeCell ref="AD38:AE38"/>
    <mergeCell ref="AD39:AE39"/>
    <mergeCell ref="AD26:AD29"/>
    <mergeCell ref="AD30:AE30"/>
    <mergeCell ref="AD32:AF32"/>
    <mergeCell ref="AD33:AE33"/>
    <mergeCell ref="AD34:AE34"/>
    <mergeCell ref="AD18:AE18"/>
    <mergeCell ref="AD19:AE19"/>
    <mergeCell ref="AD20:AD21"/>
    <mergeCell ref="AD22:AD23"/>
    <mergeCell ref="AD24:AD25"/>
    <mergeCell ref="AD12:AD13"/>
    <mergeCell ref="AD14:AE14"/>
    <mergeCell ref="AD15:AE15"/>
    <mergeCell ref="AD16:AE16"/>
    <mergeCell ref="AD17:AE17"/>
    <mergeCell ref="AD7:AE7"/>
    <mergeCell ref="AD8:AE8"/>
    <mergeCell ref="AD9:AE9"/>
    <mergeCell ref="AD10:AE10"/>
    <mergeCell ref="AD11:AE11"/>
    <mergeCell ref="V69:W69"/>
    <mergeCell ref="Z69:AA69"/>
    <mergeCell ref="B70:C70"/>
    <mergeCell ref="F70:G70"/>
    <mergeCell ref="J70:K70"/>
    <mergeCell ref="N70:O70"/>
    <mergeCell ref="R70:S70"/>
    <mergeCell ref="V70:W70"/>
    <mergeCell ref="Z70:AA70"/>
    <mergeCell ref="B69:C69"/>
    <mergeCell ref="F69:G69"/>
    <mergeCell ref="J69:K69"/>
    <mergeCell ref="N69:O69"/>
    <mergeCell ref="R69:S69"/>
    <mergeCell ref="Z67:AA67"/>
    <mergeCell ref="F68:G68"/>
    <mergeCell ref="J68:K68"/>
    <mergeCell ref="N68:O68"/>
    <mergeCell ref="R68:S68"/>
    <mergeCell ref="V68:W68"/>
    <mergeCell ref="Z68:AA68"/>
    <mergeCell ref="F67:G67"/>
    <mergeCell ref="J67:K67"/>
    <mergeCell ref="N67:O67"/>
    <mergeCell ref="R67:S67"/>
    <mergeCell ref="V67:W67"/>
    <mergeCell ref="Z65:AA65"/>
    <mergeCell ref="F66:G66"/>
    <mergeCell ref="J66:K66"/>
    <mergeCell ref="N66:O66"/>
    <mergeCell ref="R66:S66"/>
    <mergeCell ref="V66:W66"/>
    <mergeCell ref="Z66:AA66"/>
    <mergeCell ref="F65:G65"/>
    <mergeCell ref="J65:K65"/>
    <mergeCell ref="N65:O65"/>
    <mergeCell ref="R65:S65"/>
    <mergeCell ref="V65:W65"/>
    <mergeCell ref="Z63:AA63"/>
    <mergeCell ref="F64:G64"/>
    <mergeCell ref="J64:K64"/>
    <mergeCell ref="N64:O64"/>
    <mergeCell ref="R64:S64"/>
    <mergeCell ref="V64:W64"/>
    <mergeCell ref="Z64:AA64"/>
    <mergeCell ref="F63:G63"/>
    <mergeCell ref="J63:K63"/>
    <mergeCell ref="N63:O63"/>
    <mergeCell ref="R63:S63"/>
    <mergeCell ref="V63:W63"/>
    <mergeCell ref="Z61:AA61"/>
    <mergeCell ref="F62:G62"/>
    <mergeCell ref="J62:K62"/>
    <mergeCell ref="N62:O62"/>
    <mergeCell ref="R62:S62"/>
    <mergeCell ref="V62:W62"/>
    <mergeCell ref="Z62:AA62"/>
    <mergeCell ref="F61:G61"/>
    <mergeCell ref="J61:K61"/>
    <mergeCell ref="N61:O61"/>
    <mergeCell ref="R61:S61"/>
    <mergeCell ref="V61:W61"/>
    <mergeCell ref="Z59:AA59"/>
    <mergeCell ref="F60:G60"/>
    <mergeCell ref="J60:K60"/>
    <mergeCell ref="N60:O60"/>
    <mergeCell ref="R60:S60"/>
    <mergeCell ref="V60:W60"/>
    <mergeCell ref="Z60:AA60"/>
    <mergeCell ref="F59:G59"/>
    <mergeCell ref="J59:K59"/>
    <mergeCell ref="N59:O59"/>
    <mergeCell ref="R59:S59"/>
    <mergeCell ref="V59:W59"/>
    <mergeCell ref="Z57:AA57"/>
    <mergeCell ref="F58:G58"/>
    <mergeCell ref="J58:K58"/>
    <mergeCell ref="N58:O58"/>
    <mergeCell ref="R58:S58"/>
    <mergeCell ref="V58:W58"/>
    <mergeCell ref="Z58:AA58"/>
    <mergeCell ref="F57:G57"/>
    <mergeCell ref="J57:K57"/>
    <mergeCell ref="N57:O57"/>
    <mergeCell ref="R57:S57"/>
    <mergeCell ref="V57:W57"/>
    <mergeCell ref="Z55:AB55"/>
    <mergeCell ref="F56:G56"/>
    <mergeCell ref="J56:K56"/>
    <mergeCell ref="N56:O56"/>
    <mergeCell ref="R56:S56"/>
    <mergeCell ref="V56:W56"/>
    <mergeCell ref="Z56:AA56"/>
    <mergeCell ref="F55:H55"/>
    <mergeCell ref="J55:L55"/>
    <mergeCell ref="N55:P55"/>
    <mergeCell ref="R55:T55"/>
    <mergeCell ref="V55:X55"/>
    <mergeCell ref="Z49:Z52"/>
    <mergeCell ref="B53:C53"/>
    <mergeCell ref="F53:G53"/>
    <mergeCell ref="J53:K53"/>
    <mergeCell ref="N53:O53"/>
    <mergeCell ref="R53:S53"/>
    <mergeCell ref="V53:W53"/>
    <mergeCell ref="Z53:AA53"/>
    <mergeCell ref="F49:F52"/>
    <mergeCell ref="J49:J52"/>
    <mergeCell ref="N49:N52"/>
    <mergeCell ref="R49:R52"/>
    <mergeCell ref="V49:V52"/>
    <mergeCell ref="Z47:AA47"/>
    <mergeCell ref="B48:C48"/>
    <mergeCell ref="F48:G48"/>
    <mergeCell ref="J48:K48"/>
    <mergeCell ref="N48:O48"/>
    <mergeCell ref="R48:S48"/>
    <mergeCell ref="V48:W48"/>
    <mergeCell ref="Z48:AA48"/>
    <mergeCell ref="F47:G47"/>
    <mergeCell ref="J47:K47"/>
    <mergeCell ref="N47:O47"/>
    <mergeCell ref="R47:S47"/>
    <mergeCell ref="V47:W47"/>
    <mergeCell ref="Z45:AA45"/>
    <mergeCell ref="F46:G46"/>
    <mergeCell ref="J46:K46"/>
    <mergeCell ref="N46:O46"/>
    <mergeCell ref="R46:S46"/>
    <mergeCell ref="V46:W46"/>
    <mergeCell ref="Z46:AA46"/>
    <mergeCell ref="F45:G45"/>
    <mergeCell ref="J45:K45"/>
    <mergeCell ref="N45:O45"/>
    <mergeCell ref="R45:S45"/>
    <mergeCell ref="V45:W45"/>
    <mergeCell ref="Z43:AA43"/>
    <mergeCell ref="F44:G44"/>
    <mergeCell ref="J44:K44"/>
    <mergeCell ref="N44:O44"/>
    <mergeCell ref="R44:S44"/>
    <mergeCell ref="V44:W44"/>
    <mergeCell ref="Z44:AA44"/>
    <mergeCell ref="F43:G43"/>
    <mergeCell ref="J43:K43"/>
    <mergeCell ref="N43:O43"/>
    <mergeCell ref="R43:S43"/>
    <mergeCell ref="V43:W43"/>
    <mergeCell ref="Z41:AA41"/>
    <mergeCell ref="F42:G42"/>
    <mergeCell ref="J42:K42"/>
    <mergeCell ref="N42:O42"/>
    <mergeCell ref="R42:S42"/>
    <mergeCell ref="V42:W42"/>
    <mergeCell ref="Z42:AA42"/>
    <mergeCell ref="F41:G41"/>
    <mergeCell ref="J41:K41"/>
    <mergeCell ref="N41:O41"/>
    <mergeCell ref="R41:S41"/>
    <mergeCell ref="V41:W41"/>
    <mergeCell ref="Z39:AA39"/>
    <mergeCell ref="F40:G40"/>
    <mergeCell ref="J40:K40"/>
    <mergeCell ref="N40:O40"/>
    <mergeCell ref="R40:S40"/>
    <mergeCell ref="V40:W40"/>
    <mergeCell ref="Z40:AA40"/>
    <mergeCell ref="F39:G39"/>
    <mergeCell ref="J39:K39"/>
    <mergeCell ref="N39:O39"/>
    <mergeCell ref="R39:S39"/>
    <mergeCell ref="V39:W39"/>
    <mergeCell ref="Z37:AA37"/>
    <mergeCell ref="F38:G38"/>
    <mergeCell ref="J38:K38"/>
    <mergeCell ref="N38:O38"/>
    <mergeCell ref="R38:S38"/>
    <mergeCell ref="V38:W38"/>
    <mergeCell ref="Z38:AA38"/>
    <mergeCell ref="F37:G37"/>
    <mergeCell ref="J37:K37"/>
    <mergeCell ref="N37:O37"/>
    <mergeCell ref="R37:S37"/>
    <mergeCell ref="V37:W37"/>
    <mergeCell ref="Z35:AA35"/>
    <mergeCell ref="F36:G36"/>
    <mergeCell ref="J36:K36"/>
    <mergeCell ref="N36:O36"/>
    <mergeCell ref="R36:S36"/>
    <mergeCell ref="V36:W36"/>
    <mergeCell ref="Z36:AA36"/>
    <mergeCell ref="F35:G35"/>
    <mergeCell ref="J35:K35"/>
    <mergeCell ref="N35:O35"/>
    <mergeCell ref="R35:S35"/>
    <mergeCell ref="V35:W35"/>
    <mergeCell ref="Z33:AA33"/>
    <mergeCell ref="F34:G34"/>
    <mergeCell ref="J34:K34"/>
    <mergeCell ref="N34:O34"/>
    <mergeCell ref="R34:S34"/>
    <mergeCell ref="V34:W34"/>
    <mergeCell ref="Z34:AA34"/>
    <mergeCell ref="F33:G33"/>
    <mergeCell ref="J33:K33"/>
    <mergeCell ref="N33:O33"/>
    <mergeCell ref="R33:S33"/>
    <mergeCell ref="V33:W33"/>
    <mergeCell ref="Z30:AA30"/>
    <mergeCell ref="B32:D32"/>
    <mergeCell ref="F32:H32"/>
    <mergeCell ref="J32:L32"/>
    <mergeCell ref="N32:P32"/>
    <mergeCell ref="R32:T32"/>
    <mergeCell ref="V32:X32"/>
    <mergeCell ref="Z32:AB32"/>
    <mergeCell ref="F30:G30"/>
    <mergeCell ref="J30:K30"/>
    <mergeCell ref="N30:O30"/>
    <mergeCell ref="R30:S30"/>
    <mergeCell ref="V30:W30"/>
    <mergeCell ref="Z24:Z25"/>
    <mergeCell ref="B26:B29"/>
    <mergeCell ref="F26:F29"/>
    <mergeCell ref="J26:J29"/>
    <mergeCell ref="N26:N29"/>
    <mergeCell ref="R26:R29"/>
    <mergeCell ref="V26:V29"/>
    <mergeCell ref="Z26:Z29"/>
    <mergeCell ref="F24:F25"/>
    <mergeCell ref="J24:J25"/>
    <mergeCell ref="N24:N25"/>
    <mergeCell ref="R24:R25"/>
    <mergeCell ref="V24:V25"/>
    <mergeCell ref="Z20:Z21"/>
    <mergeCell ref="F22:F23"/>
    <mergeCell ref="J22:J23"/>
    <mergeCell ref="N22:N23"/>
    <mergeCell ref="R22:R23"/>
    <mergeCell ref="V22:V23"/>
    <mergeCell ref="Z22:Z23"/>
    <mergeCell ref="F20:F21"/>
    <mergeCell ref="J20:J21"/>
    <mergeCell ref="N20:N21"/>
    <mergeCell ref="R20:R21"/>
    <mergeCell ref="V20:V21"/>
    <mergeCell ref="Z18:AA18"/>
    <mergeCell ref="B19:C19"/>
    <mergeCell ref="F19:G19"/>
    <mergeCell ref="J19:K19"/>
    <mergeCell ref="N19:O19"/>
    <mergeCell ref="R19:S19"/>
    <mergeCell ref="V19:W19"/>
    <mergeCell ref="Z19:AA19"/>
    <mergeCell ref="F18:G18"/>
    <mergeCell ref="J18:K18"/>
    <mergeCell ref="N18:O18"/>
    <mergeCell ref="R18:S18"/>
    <mergeCell ref="V18:W18"/>
    <mergeCell ref="Z16:AA16"/>
    <mergeCell ref="F17:G17"/>
    <mergeCell ref="J17:K17"/>
    <mergeCell ref="N17:O17"/>
    <mergeCell ref="R17:S17"/>
    <mergeCell ref="V17:W17"/>
    <mergeCell ref="Z17:AA17"/>
    <mergeCell ref="F16:G16"/>
    <mergeCell ref="J16:K16"/>
    <mergeCell ref="N16:O16"/>
    <mergeCell ref="R16:S16"/>
    <mergeCell ref="V16:W16"/>
    <mergeCell ref="Z14:AA14"/>
    <mergeCell ref="F15:G15"/>
    <mergeCell ref="J15:K15"/>
    <mergeCell ref="N15:O15"/>
    <mergeCell ref="R15:S15"/>
    <mergeCell ref="V15:W15"/>
    <mergeCell ref="Z15:AA15"/>
    <mergeCell ref="F14:G14"/>
    <mergeCell ref="J14:K14"/>
    <mergeCell ref="N14:O14"/>
    <mergeCell ref="R14:S14"/>
    <mergeCell ref="V14:W14"/>
    <mergeCell ref="Z11:AA11"/>
    <mergeCell ref="B12:B13"/>
    <mergeCell ref="F12:F13"/>
    <mergeCell ref="J12:J13"/>
    <mergeCell ref="N12:N13"/>
    <mergeCell ref="R12:R13"/>
    <mergeCell ref="V12:V13"/>
    <mergeCell ref="Z12:Z13"/>
    <mergeCell ref="F11:G11"/>
    <mergeCell ref="J11:K11"/>
    <mergeCell ref="N11:O11"/>
    <mergeCell ref="R11:S11"/>
    <mergeCell ref="V11:W11"/>
    <mergeCell ref="Z9:AA9"/>
    <mergeCell ref="B10:C10"/>
    <mergeCell ref="F10:G10"/>
    <mergeCell ref="J10:K10"/>
    <mergeCell ref="N10:O10"/>
    <mergeCell ref="R10:S10"/>
    <mergeCell ref="V10:W10"/>
    <mergeCell ref="Z10:AA10"/>
    <mergeCell ref="F9:G9"/>
    <mergeCell ref="J9:K9"/>
    <mergeCell ref="N9:O9"/>
    <mergeCell ref="R9:S9"/>
    <mergeCell ref="V9:W9"/>
    <mergeCell ref="Z7:AA7"/>
    <mergeCell ref="F8:G8"/>
    <mergeCell ref="J8:K8"/>
    <mergeCell ref="N8:O8"/>
    <mergeCell ref="R8:S8"/>
    <mergeCell ref="V8:W8"/>
    <mergeCell ref="Z8:AA8"/>
    <mergeCell ref="F7:G7"/>
    <mergeCell ref="J7:K7"/>
    <mergeCell ref="N7:O7"/>
    <mergeCell ref="R7:S7"/>
    <mergeCell ref="V7:W7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64:C64"/>
    <mergeCell ref="B58:C58"/>
    <mergeCell ref="B43:C43"/>
    <mergeCell ref="B44:C44"/>
    <mergeCell ref="B45:C45"/>
    <mergeCell ref="B46:C46"/>
    <mergeCell ref="B56:C56"/>
    <mergeCell ref="B57:C57"/>
    <mergeCell ref="B47:C47"/>
    <mergeCell ref="B49:B52"/>
    <mergeCell ref="B55:D55"/>
    <mergeCell ref="B22:B23"/>
    <mergeCell ref="B18:C18"/>
    <mergeCell ref="B24:B25"/>
    <mergeCell ref="B30:C30"/>
    <mergeCell ref="B42:C4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7:C7"/>
    <mergeCell ref="B8:C8"/>
    <mergeCell ref="B9:C9"/>
    <mergeCell ref="B11:C11"/>
    <mergeCell ref="B14:C14"/>
    <mergeCell ref="B15:C15"/>
    <mergeCell ref="B16:C16"/>
    <mergeCell ref="B17:C17"/>
    <mergeCell ref="B20:B2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showGridLines="0" zoomScale="90" zoomScaleNormal="90" workbookViewId="0">
      <selection activeCell="N37" sqref="N37"/>
    </sheetView>
  </sheetViews>
  <sheetFormatPr defaultColWidth="8.88671875" defaultRowHeight="16.5" x14ac:dyDescent="0.3"/>
  <cols>
    <col min="1" max="1" width="2.77734375" style="15" customWidth="1"/>
    <col min="2" max="2" width="8.88671875" style="15"/>
    <col min="3" max="11" width="10.33203125" style="15" customWidth="1"/>
    <col min="12" max="16384" width="8.88671875" style="15"/>
  </cols>
  <sheetData>
    <row r="2" spans="1:11" s="16" customFormat="1" ht="17.25" x14ac:dyDescent="0.15">
      <c r="A2" s="4"/>
      <c r="B2" s="1" t="s">
        <v>119</v>
      </c>
      <c r="C2" s="2"/>
      <c r="D2" s="2"/>
      <c r="E2" s="2"/>
      <c r="F2" s="2"/>
      <c r="G2" s="2"/>
      <c r="H2" s="2"/>
      <c r="I2" s="3"/>
      <c r="J2" s="3"/>
      <c r="K2" s="3"/>
    </row>
    <row r="4" spans="1:11" ht="16.5" customHeight="1" x14ac:dyDescent="0.3">
      <c r="B4" s="15" t="s">
        <v>118</v>
      </c>
    </row>
    <row r="5" spans="1:11" ht="16.5" customHeight="1" x14ac:dyDescent="0.3"/>
    <row r="6" spans="1:11" x14ac:dyDescent="0.3">
      <c r="B6" s="6" t="s">
        <v>109</v>
      </c>
      <c r="C6" s="300" t="s">
        <v>91</v>
      </c>
      <c r="D6" s="300"/>
      <c r="E6" s="300"/>
      <c r="F6" s="300"/>
      <c r="G6" s="300"/>
      <c r="H6" s="300"/>
      <c r="I6" s="300"/>
      <c r="J6" s="300"/>
      <c r="K6" s="300"/>
    </row>
    <row r="7" spans="1:11" x14ac:dyDescent="0.3">
      <c r="B7" s="17">
        <v>1</v>
      </c>
      <c r="C7" s="301" t="s">
        <v>108</v>
      </c>
      <c r="D7" s="301"/>
      <c r="E7" s="301"/>
      <c r="F7" s="301"/>
      <c r="G7" s="301"/>
      <c r="H7" s="301"/>
      <c r="I7" s="301"/>
      <c r="J7" s="301"/>
      <c r="K7" s="302"/>
    </row>
    <row r="8" spans="1:11" x14ac:dyDescent="0.3">
      <c r="B8" s="17">
        <v>2</v>
      </c>
      <c r="C8" s="301" t="s">
        <v>110</v>
      </c>
      <c r="D8" s="301"/>
      <c r="E8" s="301"/>
      <c r="F8" s="301"/>
      <c r="G8" s="301"/>
      <c r="H8" s="301"/>
      <c r="I8" s="301"/>
      <c r="J8" s="301"/>
      <c r="K8" s="302"/>
    </row>
    <row r="9" spans="1:11" x14ac:dyDescent="0.3">
      <c r="B9" s="17">
        <v>3</v>
      </c>
      <c r="C9" s="301" t="s">
        <v>111</v>
      </c>
      <c r="D9" s="301"/>
      <c r="E9" s="301"/>
      <c r="F9" s="301"/>
      <c r="G9" s="301"/>
      <c r="H9" s="301"/>
      <c r="I9" s="301"/>
      <c r="J9" s="301"/>
      <c r="K9" s="302"/>
    </row>
    <row r="10" spans="1:11" x14ac:dyDescent="0.3">
      <c r="B10" s="17">
        <v>4</v>
      </c>
      <c r="C10" s="301" t="s">
        <v>112</v>
      </c>
      <c r="D10" s="301"/>
      <c r="E10" s="301"/>
      <c r="F10" s="301"/>
      <c r="G10" s="301"/>
      <c r="H10" s="301"/>
      <c r="I10" s="301"/>
      <c r="J10" s="301"/>
      <c r="K10" s="302"/>
    </row>
    <row r="11" spans="1:11" x14ac:dyDescent="0.3">
      <c r="B11" s="17">
        <v>5</v>
      </c>
      <c r="C11" s="301" t="s">
        <v>113</v>
      </c>
      <c r="D11" s="301"/>
      <c r="E11" s="301"/>
      <c r="F11" s="301"/>
      <c r="G11" s="301"/>
      <c r="H11" s="301"/>
      <c r="I11" s="301"/>
      <c r="J11" s="301"/>
      <c r="K11" s="302"/>
    </row>
    <row r="12" spans="1:11" x14ac:dyDescent="0.3">
      <c r="B12" s="17">
        <v>6</v>
      </c>
      <c r="C12" s="301" t="s">
        <v>114</v>
      </c>
      <c r="D12" s="301"/>
      <c r="E12" s="301"/>
      <c r="F12" s="301"/>
      <c r="G12" s="301"/>
      <c r="H12" s="301"/>
      <c r="I12" s="301"/>
      <c r="J12" s="301"/>
      <c r="K12" s="302"/>
    </row>
    <row r="13" spans="1:11" x14ac:dyDescent="0.3">
      <c r="B13" s="17">
        <v>7</v>
      </c>
      <c r="C13" s="301" t="s">
        <v>115</v>
      </c>
      <c r="D13" s="301"/>
      <c r="E13" s="301"/>
      <c r="F13" s="301"/>
      <c r="G13" s="301"/>
      <c r="H13" s="301"/>
      <c r="I13" s="301"/>
      <c r="J13" s="301"/>
      <c r="K13" s="302"/>
    </row>
    <row r="14" spans="1:11" x14ac:dyDescent="0.3">
      <c r="B14" s="17">
        <v>8</v>
      </c>
      <c r="C14" s="301" t="s">
        <v>116</v>
      </c>
      <c r="D14" s="301"/>
      <c r="E14" s="301"/>
      <c r="F14" s="301"/>
      <c r="G14" s="301"/>
      <c r="H14" s="301"/>
      <c r="I14" s="301"/>
      <c r="J14" s="301"/>
      <c r="K14" s="302"/>
    </row>
  </sheetData>
  <mergeCells count="9">
    <mergeCell ref="C6:K6"/>
    <mergeCell ref="C7:K7"/>
    <mergeCell ref="C14:K14"/>
    <mergeCell ref="C8:K8"/>
    <mergeCell ref="C9:K9"/>
    <mergeCell ref="C10:K10"/>
    <mergeCell ref="C11:K11"/>
    <mergeCell ref="C12:K12"/>
    <mergeCell ref="C13:K13"/>
  </mergeCells>
  <phoneticPr fontId="1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"/>
  <sheetViews>
    <sheetView showGridLines="0" zoomScale="90" zoomScaleNormal="90" workbookViewId="0"/>
  </sheetViews>
  <sheetFormatPr defaultColWidth="8.88671875" defaultRowHeight="16.5" x14ac:dyDescent="0.15"/>
  <cols>
    <col min="1" max="1" width="2.6640625" style="7" customWidth="1"/>
    <col min="2" max="2" width="7.88671875" style="7" customWidth="1"/>
    <col min="3" max="3" width="71.44140625" style="7" customWidth="1"/>
    <col min="4" max="4" width="39.5546875" style="7" bestFit="1" customWidth="1"/>
    <col min="5" max="5" width="46.44140625" style="10" customWidth="1"/>
    <col min="6" max="16384" width="8.88671875" style="10"/>
  </cols>
  <sheetData>
    <row r="2" spans="1:5" ht="17.25" x14ac:dyDescent="0.15">
      <c r="B2" s="1" t="s">
        <v>107</v>
      </c>
      <c r="C2" s="9"/>
      <c r="D2" s="9"/>
    </row>
    <row r="3" spans="1:5" x14ac:dyDescent="0.15">
      <c r="E3"/>
    </row>
    <row r="4" spans="1:5" s="12" customFormat="1" x14ac:dyDescent="0.15">
      <c r="A4" s="11"/>
      <c r="B4" s="6" t="s">
        <v>4</v>
      </c>
      <c r="C4" s="6" t="s">
        <v>91</v>
      </c>
      <c r="D4" s="6" t="s">
        <v>92</v>
      </c>
      <c r="E4"/>
    </row>
    <row r="5" spans="1:5" x14ac:dyDescent="0.15">
      <c r="B5" s="13">
        <v>1</v>
      </c>
      <c r="C5" s="14" t="s">
        <v>93</v>
      </c>
      <c r="D5" s="14" t="s">
        <v>94</v>
      </c>
      <c r="E5"/>
    </row>
    <row r="6" spans="1:5" x14ac:dyDescent="0.15">
      <c r="B6" s="13">
        <v>2</v>
      </c>
      <c r="C6" s="14" t="s">
        <v>95</v>
      </c>
      <c r="D6" s="14" t="s">
        <v>117</v>
      </c>
      <c r="E6"/>
    </row>
    <row r="7" spans="1:5" x14ac:dyDescent="0.15">
      <c r="B7" s="13">
        <v>3</v>
      </c>
      <c r="C7" s="14" t="s">
        <v>96</v>
      </c>
      <c r="D7" s="14" t="s">
        <v>117</v>
      </c>
      <c r="E7"/>
    </row>
    <row r="8" spans="1:5" x14ac:dyDescent="0.15">
      <c r="B8" s="13">
        <v>4</v>
      </c>
      <c r="C8" s="14" t="s">
        <v>97</v>
      </c>
      <c r="D8" s="14" t="s">
        <v>117</v>
      </c>
      <c r="E8"/>
    </row>
    <row r="9" spans="1:5" x14ac:dyDescent="0.15">
      <c r="B9" s="13">
        <v>5</v>
      </c>
      <c r="C9" s="14" t="s">
        <v>98</v>
      </c>
      <c r="D9" s="14" t="s">
        <v>117</v>
      </c>
      <c r="E9"/>
    </row>
    <row r="10" spans="1:5" x14ac:dyDescent="0.15">
      <c r="B10" s="13">
        <v>6</v>
      </c>
      <c r="C10" s="14" t="s">
        <v>99</v>
      </c>
      <c r="D10" s="14" t="s">
        <v>117</v>
      </c>
      <c r="E10"/>
    </row>
    <row r="11" spans="1:5" x14ac:dyDescent="0.15">
      <c r="B11" s="13">
        <v>7</v>
      </c>
      <c r="C11" s="14" t="s">
        <v>100</v>
      </c>
      <c r="D11" s="14" t="s">
        <v>120</v>
      </c>
      <c r="E11"/>
    </row>
    <row r="12" spans="1:5" x14ac:dyDescent="0.15">
      <c r="E12"/>
    </row>
    <row r="13" spans="1:5" x14ac:dyDescent="0.15">
      <c r="E13"/>
    </row>
  </sheetData>
  <phoneticPr fontId="7" type="noConversion"/>
  <pageMargins left="0.25" right="0.25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showGridLines="0" zoomScaleNormal="100" workbookViewId="0"/>
  </sheetViews>
  <sheetFormatPr defaultColWidth="8.88671875" defaultRowHeight="13.5" x14ac:dyDescent="0.25"/>
  <cols>
    <col min="1" max="1" width="2.6640625" style="91" customWidth="1"/>
    <col min="2" max="2" width="29.5546875" style="100" customWidth="1"/>
    <col min="3" max="4" width="22.21875" style="100" customWidth="1"/>
    <col min="5" max="5" width="8.5546875" style="100" customWidth="1"/>
    <col min="6" max="8" width="22.21875" style="100" customWidth="1"/>
    <col min="9" max="9" width="16.33203125" style="100" customWidth="1"/>
    <col min="10" max="10" width="16" style="100" bestFit="1" customWidth="1"/>
    <col min="11" max="11" width="17.77734375" style="100" bestFit="1" customWidth="1"/>
    <col min="12" max="12" width="8.44140625" style="100" bestFit="1" customWidth="1"/>
    <col min="13" max="14" width="8.88671875" style="100"/>
    <col min="15" max="15" width="17.21875" style="100" bestFit="1" customWidth="1"/>
    <col min="16" max="16" width="14.109375" style="100" bestFit="1" customWidth="1"/>
    <col min="17" max="17" width="10.44140625" style="99" customWidth="1"/>
    <col min="18" max="16384" width="8.88671875" style="100"/>
  </cols>
  <sheetData>
    <row r="1" spans="1:17" s="4" customFormat="1" ht="12" customHeight="1" x14ac:dyDescent="0.15">
      <c r="Q1" s="87"/>
    </row>
    <row r="2" spans="1:17" s="4" customFormat="1" ht="16.5" customHeight="1" x14ac:dyDescent="0.15">
      <c r="B2" s="1" t="s">
        <v>369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9"/>
      <c r="Q2" s="87"/>
    </row>
    <row r="3" spans="1:17" s="66" customFormat="1" ht="5.25" customHeight="1" thickBot="1" x14ac:dyDescent="0.2">
      <c r="A3" s="4"/>
      <c r="Q3" s="90"/>
    </row>
    <row r="4" spans="1:17" s="66" customFormat="1" ht="14.25" thickBot="1" x14ac:dyDescent="0.2">
      <c r="A4" s="91"/>
      <c r="B4" s="92" t="s">
        <v>370</v>
      </c>
      <c r="C4" s="93">
        <v>44560</v>
      </c>
      <c r="L4" s="90"/>
    </row>
    <row r="5" spans="1:17" s="66" customFormat="1" ht="5.25" customHeight="1" x14ac:dyDescent="0.15">
      <c r="A5" s="91"/>
      <c r="M5" s="90"/>
    </row>
    <row r="6" spans="1:17" s="66" customFormat="1" x14ac:dyDescent="0.15">
      <c r="A6" s="91"/>
      <c r="B6" s="67" t="s">
        <v>371</v>
      </c>
      <c r="C6" s="4" t="s">
        <v>372</v>
      </c>
      <c r="H6" s="94"/>
      <c r="K6" s="122"/>
    </row>
    <row r="7" spans="1:17" s="66" customFormat="1" x14ac:dyDescent="0.15">
      <c r="A7" s="91"/>
      <c r="D7" s="95" t="s">
        <v>373</v>
      </c>
      <c r="H7" s="90"/>
      <c r="K7" s="122"/>
    </row>
    <row r="8" spans="1:17" s="66" customFormat="1" ht="17.25" customHeight="1" x14ac:dyDescent="0.15">
      <c r="A8" s="91"/>
      <c r="B8" s="96" t="s">
        <v>374</v>
      </c>
      <c r="C8" s="96" t="s">
        <v>375</v>
      </c>
      <c r="D8" s="96" t="s">
        <v>376</v>
      </c>
      <c r="H8" s="90"/>
      <c r="K8" s="122"/>
    </row>
    <row r="9" spans="1:17" s="66" customFormat="1" ht="40.5" x14ac:dyDescent="0.25">
      <c r="A9" s="91"/>
      <c r="B9" s="117" t="s">
        <v>534</v>
      </c>
      <c r="C9" s="97"/>
      <c r="D9" s="98">
        <v>0.08</v>
      </c>
      <c r="F9" s="118"/>
      <c r="H9" s="99"/>
    </row>
    <row r="10" spans="1:17" s="66" customFormat="1" x14ac:dyDescent="0.25">
      <c r="A10" s="91"/>
      <c r="B10" s="4" t="s">
        <v>377</v>
      </c>
      <c r="C10" s="4"/>
      <c r="D10" s="4"/>
      <c r="H10" s="99"/>
      <c r="K10" s="118"/>
    </row>
    <row r="11" spans="1:17" x14ac:dyDescent="0.25">
      <c r="B11" s="4" t="s">
        <v>378</v>
      </c>
      <c r="E11" s="66"/>
      <c r="F11" s="66"/>
      <c r="H11" s="99"/>
      <c r="K11" s="118"/>
      <c r="Q11" s="100"/>
    </row>
    <row r="12" spans="1:17" x14ac:dyDescent="0.25">
      <c r="B12" s="125"/>
      <c r="H12" s="99"/>
      <c r="K12" s="119"/>
      <c r="Q12" s="100"/>
    </row>
    <row r="13" spans="1:17" x14ac:dyDescent="0.25">
      <c r="B13" s="101" t="s">
        <v>379</v>
      </c>
      <c r="H13" s="99"/>
      <c r="K13" s="132"/>
      <c r="Q13" s="100"/>
    </row>
    <row r="14" spans="1:17" x14ac:dyDescent="0.25">
      <c r="B14" s="303" t="s">
        <v>380</v>
      </c>
      <c r="C14" s="304"/>
      <c r="D14" s="305"/>
      <c r="H14" s="99"/>
      <c r="K14" s="119"/>
      <c r="Q14" s="100"/>
    </row>
    <row r="15" spans="1:17" x14ac:dyDescent="0.25">
      <c r="B15" s="306"/>
      <c r="C15" s="307"/>
      <c r="D15" s="308"/>
      <c r="H15" s="99"/>
      <c r="Q15" s="100"/>
    </row>
    <row r="16" spans="1:17" x14ac:dyDescent="0.25">
      <c r="B16" s="306"/>
      <c r="C16" s="307"/>
      <c r="D16" s="308"/>
      <c r="H16" s="99"/>
      <c r="Q16" s="100"/>
    </row>
    <row r="17" spans="2:17" x14ac:dyDescent="0.25">
      <c r="B17" s="306"/>
      <c r="C17" s="307"/>
      <c r="D17" s="308"/>
      <c r="H17" s="99"/>
      <c r="Q17" s="100"/>
    </row>
    <row r="18" spans="2:17" x14ac:dyDescent="0.25">
      <c r="B18" s="306"/>
      <c r="C18" s="307"/>
      <c r="D18" s="308"/>
      <c r="H18" s="99"/>
      <c r="Q18" s="100"/>
    </row>
    <row r="19" spans="2:17" x14ac:dyDescent="0.25">
      <c r="B19" s="306"/>
      <c r="C19" s="307"/>
      <c r="D19" s="308"/>
      <c r="H19" s="99"/>
      <c r="Q19" s="100"/>
    </row>
    <row r="20" spans="2:17" x14ac:dyDescent="0.25">
      <c r="B20" s="306"/>
      <c r="C20" s="307"/>
      <c r="D20" s="308"/>
      <c r="H20" s="99"/>
      <c r="Q20" s="100"/>
    </row>
    <row r="21" spans="2:17" x14ac:dyDescent="0.25">
      <c r="B21" s="306"/>
      <c r="C21" s="307"/>
      <c r="D21" s="308"/>
      <c r="H21" s="99"/>
      <c r="Q21" s="100"/>
    </row>
    <row r="22" spans="2:17" x14ac:dyDescent="0.25">
      <c r="B22" s="306"/>
      <c r="C22" s="307"/>
      <c r="D22" s="308"/>
      <c r="H22" s="99"/>
      <c r="Q22" s="100"/>
    </row>
    <row r="23" spans="2:17" ht="15.75" customHeight="1" x14ac:dyDescent="0.25">
      <c r="B23" s="306"/>
      <c r="C23" s="307"/>
      <c r="D23" s="308"/>
      <c r="H23" s="99"/>
      <c r="Q23" s="100"/>
    </row>
    <row r="24" spans="2:17" x14ac:dyDescent="0.25">
      <c r="B24" s="306"/>
      <c r="C24" s="307"/>
      <c r="D24" s="308"/>
      <c r="H24" s="99"/>
      <c r="Q24" s="100"/>
    </row>
    <row r="25" spans="2:17" x14ac:dyDescent="0.25">
      <c r="B25" s="306"/>
      <c r="C25" s="307"/>
      <c r="D25" s="308"/>
      <c r="M25" s="99"/>
      <c r="Q25" s="100"/>
    </row>
    <row r="26" spans="2:17" x14ac:dyDescent="0.25">
      <c r="B26" s="306"/>
      <c r="C26" s="307"/>
      <c r="D26" s="308"/>
      <c r="M26" s="99"/>
      <c r="Q26" s="100"/>
    </row>
    <row r="27" spans="2:17" x14ac:dyDescent="0.25">
      <c r="B27" s="309"/>
      <c r="C27" s="310"/>
      <c r="D27" s="311"/>
      <c r="M27" s="99"/>
      <c r="Q27" s="100"/>
    </row>
    <row r="30" spans="2:17" x14ac:dyDescent="0.25">
      <c r="B30" s="67" t="s">
        <v>381</v>
      </c>
      <c r="C30" s="100" t="s">
        <v>382</v>
      </c>
      <c r="P30" s="99"/>
      <c r="Q30" s="100"/>
    </row>
    <row r="31" spans="2:17" x14ac:dyDescent="0.25">
      <c r="B31" s="102" t="s">
        <v>383</v>
      </c>
      <c r="C31" s="102" t="s">
        <v>384</v>
      </c>
      <c r="D31" s="102" t="s">
        <v>385</v>
      </c>
      <c r="P31" s="99"/>
      <c r="Q31" s="100"/>
    </row>
    <row r="32" spans="2:17" x14ac:dyDescent="0.25">
      <c r="B32" s="103" t="s">
        <v>386</v>
      </c>
      <c r="C32" s="104"/>
      <c r="D32" s="105"/>
      <c r="P32" s="99"/>
      <c r="Q32" s="100"/>
    </row>
    <row r="33" spans="2:17" x14ac:dyDescent="0.25">
      <c r="B33" s="103" t="s">
        <v>387</v>
      </c>
      <c r="C33" s="104"/>
      <c r="D33" s="106"/>
      <c r="P33" s="99"/>
      <c r="Q33" s="100"/>
    </row>
    <row r="34" spans="2:17" x14ac:dyDescent="0.25">
      <c r="B34" s="103" t="s">
        <v>388</v>
      </c>
      <c r="C34" s="104"/>
      <c r="D34" s="106"/>
      <c r="P34" s="99"/>
      <c r="Q34" s="100"/>
    </row>
    <row r="35" spans="2:17" x14ac:dyDescent="0.25">
      <c r="B35" s="103" t="s">
        <v>142</v>
      </c>
      <c r="C35" s="104"/>
      <c r="D35" s="106"/>
      <c r="P35" s="99"/>
      <c r="Q35" s="100"/>
    </row>
    <row r="36" spans="2:17" x14ac:dyDescent="0.25">
      <c r="B36" s="103" t="s">
        <v>144</v>
      </c>
      <c r="C36" s="104"/>
      <c r="D36" s="106"/>
      <c r="P36" s="99"/>
      <c r="Q36" s="100"/>
    </row>
    <row r="37" spans="2:17" x14ac:dyDescent="0.25">
      <c r="B37" s="103" t="s">
        <v>142</v>
      </c>
      <c r="C37" s="104"/>
      <c r="D37" s="106"/>
      <c r="P37" s="99"/>
      <c r="Q37" s="100"/>
    </row>
    <row r="38" spans="2:17" x14ac:dyDescent="0.25">
      <c r="B38" s="103" t="s">
        <v>144</v>
      </c>
      <c r="C38" s="104"/>
      <c r="D38" s="106"/>
      <c r="P38" s="99"/>
      <c r="Q38" s="100"/>
    </row>
    <row r="39" spans="2:17" x14ac:dyDescent="0.25">
      <c r="B39" s="103" t="s">
        <v>389</v>
      </c>
      <c r="C39" s="104"/>
      <c r="D39" s="106"/>
      <c r="P39" s="99"/>
      <c r="Q39" s="100"/>
    </row>
    <row r="40" spans="2:17" x14ac:dyDescent="0.25">
      <c r="B40" s="103" t="s">
        <v>390</v>
      </c>
      <c r="C40" s="104"/>
      <c r="D40" s="106"/>
      <c r="P40" s="99"/>
      <c r="Q40" s="100"/>
    </row>
    <row r="41" spans="2:17" x14ac:dyDescent="0.25">
      <c r="P41" s="99"/>
      <c r="Q41" s="100"/>
    </row>
    <row r="42" spans="2:17" x14ac:dyDescent="0.25">
      <c r="P42" s="99"/>
      <c r="Q42" s="100"/>
    </row>
    <row r="43" spans="2:17" x14ac:dyDescent="0.25">
      <c r="P43" s="99"/>
      <c r="Q43" s="100"/>
    </row>
    <row r="44" spans="2:17" x14ac:dyDescent="0.25">
      <c r="P44" s="99"/>
      <c r="Q44" s="100"/>
    </row>
  </sheetData>
  <mergeCells count="1">
    <mergeCell ref="B14:D27"/>
  </mergeCells>
  <phoneticPr fontId="7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6</vt:i4>
      </vt:variant>
    </vt:vector>
  </HeadingPairs>
  <TitlesOfParts>
    <vt:vector size="14" baseType="lpstr">
      <vt:lpstr>1. 투자자산현황_PEF</vt:lpstr>
      <vt:lpstr>2. 투자자산현황_SPC</vt:lpstr>
      <vt:lpstr>3. 투자자산 변동사항</vt:lpstr>
      <vt:lpstr>4. 출자금 현황 등</vt:lpstr>
      <vt:lpstr>5. 계약서 요약</vt:lpstr>
      <vt:lpstr>6. 투자자산 유의적 변동</vt:lpstr>
      <vt:lpstr>7. 기타 특이사항</vt:lpstr>
      <vt:lpstr>8. 성과보수</vt:lpstr>
      <vt:lpstr>'1. 투자자산현황_PEF'!Print_Area</vt:lpstr>
      <vt:lpstr>'2. 투자자산현황_SPC'!Print_Area</vt:lpstr>
      <vt:lpstr>'4. 출자금 현황 등'!Print_Area</vt:lpstr>
      <vt:lpstr>'7. 기타 특이사항'!Print_Area</vt:lpstr>
      <vt:lpstr>'2. 투자자산현황_SPC'!투자형태</vt:lpstr>
      <vt:lpstr>투자형태</vt:lpstr>
    </vt:vector>
  </TitlesOfParts>
  <Company>kispricing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진영</dc:creator>
  <cp:lastModifiedBy>다.강성은</cp:lastModifiedBy>
  <dcterms:created xsi:type="dcterms:W3CDTF">2018-05-29T08:54:18Z</dcterms:created>
  <dcterms:modified xsi:type="dcterms:W3CDTF">2024-06-26T05:57:35Z</dcterms:modified>
</cp:coreProperties>
</file>