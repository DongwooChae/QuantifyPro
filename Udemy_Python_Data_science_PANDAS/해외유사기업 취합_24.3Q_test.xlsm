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Udemy_Python_Data_science_PANDAS\"/>
    </mc:Choice>
  </mc:AlternateContent>
  <xr:revisionPtr revIDLastSave="0" documentId="13_ncr:1_{E8A0B500-3C77-4523-9347-23700D0F185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테스트" sheetId="4" r:id="rId1"/>
    <sheet name="output" sheetId="5" r:id="rId2"/>
    <sheet name="INPUT" sheetId="3" r:id="rId3"/>
    <sheet name="24.3Q 해외유사기업(DF정리)" sheetId="2" r:id="rId4"/>
    <sheet name="24.3Q 해외유사기업" sheetId="1" r:id="rId5"/>
  </sheets>
  <definedNames>
    <definedName name="_xlnm._FilterDatabase" localSheetId="3" hidden="1">'24.3Q 해외유사기업(DF정리)'!$A$1:$N$165</definedName>
    <definedName name="_xlnm._FilterDatabase" localSheetId="0" hidden="1">테스트!$A$1:$N$165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5" i="4" l="1"/>
  <c r="F165" i="4" s="1"/>
  <c r="A165" i="4"/>
  <c r="F164" i="4"/>
  <c r="E164" i="4"/>
  <c r="A164" i="4"/>
  <c r="E163" i="4"/>
  <c r="F163" i="4" s="1"/>
  <c r="A163" i="4"/>
  <c r="E162" i="4"/>
  <c r="F162" i="4" s="1"/>
  <c r="A162" i="4"/>
  <c r="E161" i="4"/>
  <c r="F161" i="4" s="1"/>
  <c r="A161" i="4"/>
  <c r="F160" i="4"/>
  <c r="E160" i="4"/>
  <c r="A160" i="4"/>
  <c r="E159" i="4"/>
  <c r="F159" i="4" s="1"/>
  <c r="A159" i="4"/>
  <c r="E158" i="4"/>
  <c r="F158" i="4" s="1"/>
  <c r="A158" i="4"/>
  <c r="E157" i="4"/>
  <c r="F157" i="4" s="1"/>
  <c r="A157" i="4"/>
  <c r="F156" i="4"/>
  <c r="E156" i="4"/>
  <c r="A156" i="4"/>
  <c r="E155" i="4"/>
  <c r="F155" i="4" s="1"/>
  <c r="A155" i="4"/>
  <c r="E154" i="4"/>
  <c r="F154" i="4" s="1"/>
  <c r="A154" i="4"/>
  <c r="E153" i="4"/>
  <c r="F153" i="4" s="1"/>
  <c r="A153" i="4"/>
  <c r="F152" i="4"/>
  <c r="E152" i="4"/>
  <c r="A152" i="4"/>
  <c r="E151" i="4"/>
  <c r="F151" i="4" s="1"/>
  <c r="A151" i="4"/>
  <c r="E150" i="4"/>
  <c r="F150" i="4" s="1"/>
  <c r="A150" i="4"/>
  <c r="E149" i="4"/>
  <c r="F149" i="4" s="1"/>
  <c r="A149" i="4"/>
  <c r="F148" i="4"/>
  <c r="E148" i="4"/>
  <c r="A148" i="4"/>
  <c r="E147" i="4"/>
  <c r="F147" i="4" s="1"/>
  <c r="A147" i="4"/>
  <c r="E146" i="4"/>
  <c r="F146" i="4" s="1"/>
  <c r="A146" i="4"/>
  <c r="E145" i="4"/>
  <c r="F145" i="4" s="1"/>
  <c r="A145" i="4"/>
  <c r="F144" i="4"/>
  <c r="E144" i="4"/>
  <c r="A144" i="4"/>
  <c r="E143" i="4"/>
  <c r="F143" i="4" s="1"/>
  <c r="A143" i="4"/>
  <c r="E142" i="4"/>
  <c r="F142" i="4" s="1"/>
  <c r="A142" i="4"/>
  <c r="E141" i="4"/>
  <c r="F141" i="4" s="1"/>
  <c r="A141" i="4"/>
  <c r="F140" i="4"/>
  <c r="E140" i="4"/>
  <c r="A140" i="4"/>
  <c r="E139" i="4"/>
  <c r="F139" i="4" s="1"/>
  <c r="A139" i="4"/>
  <c r="E138" i="4"/>
  <c r="F138" i="4" s="1"/>
  <c r="A138" i="4"/>
  <c r="E137" i="4"/>
  <c r="F137" i="4" s="1"/>
  <c r="A137" i="4"/>
  <c r="F136" i="4"/>
  <c r="E136" i="4"/>
  <c r="A136" i="4"/>
  <c r="E135" i="4"/>
  <c r="F135" i="4" s="1"/>
  <c r="A135" i="4"/>
  <c r="E134" i="4"/>
  <c r="F134" i="4" s="1"/>
  <c r="A134" i="4"/>
  <c r="E133" i="4"/>
  <c r="F133" i="4" s="1"/>
  <c r="A133" i="4"/>
  <c r="F132" i="4"/>
  <c r="E132" i="4"/>
  <c r="A132" i="4"/>
  <c r="E131" i="4"/>
  <c r="F131" i="4" s="1"/>
  <c r="A131" i="4"/>
  <c r="E130" i="4"/>
  <c r="F130" i="4" s="1"/>
  <c r="A130" i="4"/>
  <c r="E129" i="4"/>
  <c r="F129" i="4" s="1"/>
  <c r="A129" i="4"/>
  <c r="F128" i="4"/>
  <c r="E128" i="4"/>
  <c r="A128" i="4"/>
  <c r="E127" i="4"/>
  <c r="F127" i="4" s="1"/>
  <c r="A127" i="4"/>
  <c r="E126" i="4"/>
  <c r="F126" i="4" s="1"/>
  <c r="A126" i="4"/>
  <c r="E125" i="4"/>
  <c r="F125" i="4" s="1"/>
  <c r="A125" i="4"/>
  <c r="F124" i="4"/>
  <c r="E124" i="4"/>
  <c r="A124" i="4"/>
  <c r="E123" i="4"/>
  <c r="F123" i="4" s="1"/>
  <c r="A123" i="4"/>
  <c r="E122" i="4"/>
  <c r="F122" i="4" s="1"/>
  <c r="A122" i="4"/>
  <c r="E121" i="4"/>
  <c r="F121" i="4" s="1"/>
  <c r="A121" i="4"/>
  <c r="F120" i="4"/>
  <c r="E120" i="4"/>
  <c r="A120" i="4"/>
  <c r="E119" i="4"/>
  <c r="F119" i="4" s="1"/>
  <c r="A119" i="4"/>
  <c r="E118" i="4"/>
  <c r="F118" i="4" s="1"/>
  <c r="A118" i="4"/>
  <c r="E117" i="4"/>
  <c r="F117" i="4" s="1"/>
  <c r="A117" i="4"/>
  <c r="F116" i="4"/>
  <c r="E116" i="4"/>
  <c r="A116" i="4"/>
  <c r="E115" i="4"/>
  <c r="F115" i="4" s="1"/>
  <c r="A115" i="4"/>
  <c r="E114" i="4"/>
  <c r="F114" i="4" s="1"/>
  <c r="A114" i="4"/>
  <c r="E113" i="4"/>
  <c r="F113" i="4" s="1"/>
  <c r="A113" i="4"/>
  <c r="F112" i="4"/>
  <c r="E112" i="4"/>
  <c r="A112" i="4"/>
  <c r="E111" i="4"/>
  <c r="F111" i="4" s="1"/>
  <c r="A111" i="4"/>
  <c r="E110" i="4"/>
  <c r="F110" i="4" s="1"/>
  <c r="A110" i="4"/>
  <c r="E109" i="4"/>
  <c r="F109" i="4" s="1"/>
  <c r="A109" i="4"/>
  <c r="F108" i="4"/>
  <c r="E108" i="4"/>
  <c r="A108" i="4"/>
  <c r="E107" i="4"/>
  <c r="F107" i="4" s="1"/>
  <c r="A107" i="4"/>
  <c r="E106" i="4"/>
  <c r="F106" i="4" s="1"/>
  <c r="A106" i="4"/>
  <c r="E105" i="4"/>
  <c r="F105" i="4" s="1"/>
  <c r="A105" i="4"/>
  <c r="F104" i="4"/>
  <c r="E104" i="4"/>
  <c r="A104" i="4"/>
  <c r="E103" i="4"/>
  <c r="F103" i="4" s="1"/>
  <c r="A103" i="4"/>
  <c r="E102" i="4"/>
  <c r="F102" i="4" s="1"/>
  <c r="A102" i="4"/>
  <c r="E101" i="4"/>
  <c r="F101" i="4" s="1"/>
  <c r="A101" i="4"/>
  <c r="F100" i="4"/>
  <c r="E100" i="4"/>
  <c r="A100" i="4"/>
  <c r="E99" i="4"/>
  <c r="F99" i="4" s="1"/>
  <c r="A99" i="4"/>
  <c r="E98" i="4"/>
  <c r="F98" i="4" s="1"/>
  <c r="A98" i="4"/>
  <c r="E97" i="4"/>
  <c r="F97" i="4" s="1"/>
  <c r="A97" i="4"/>
  <c r="F96" i="4"/>
  <c r="E96" i="4"/>
  <c r="A96" i="4"/>
  <c r="E95" i="4"/>
  <c r="F95" i="4" s="1"/>
  <c r="A95" i="4"/>
  <c r="E94" i="4"/>
  <c r="F94" i="4" s="1"/>
  <c r="A94" i="4"/>
  <c r="E93" i="4"/>
  <c r="F93" i="4" s="1"/>
  <c r="A93" i="4"/>
  <c r="F92" i="4"/>
  <c r="E92" i="4"/>
  <c r="A92" i="4"/>
  <c r="E91" i="4"/>
  <c r="F91" i="4" s="1"/>
  <c r="A91" i="4"/>
  <c r="E90" i="4"/>
  <c r="F90" i="4" s="1"/>
  <c r="A90" i="4"/>
  <c r="E89" i="4"/>
  <c r="F89" i="4" s="1"/>
  <c r="A89" i="4"/>
  <c r="F88" i="4"/>
  <c r="E88" i="4"/>
  <c r="A88" i="4"/>
  <c r="E87" i="4"/>
  <c r="F87" i="4" s="1"/>
  <c r="A87" i="4"/>
  <c r="E86" i="4"/>
  <c r="F86" i="4" s="1"/>
  <c r="A86" i="4"/>
  <c r="E85" i="4"/>
  <c r="F85" i="4" s="1"/>
  <c r="A85" i="4"/>
  <c r="F84" i="4"/>
  <c r="E84" i="4"/>
  <c r="A84" i="4"/>
  <c r="E83" i="4"/>
  <c r="F83" i="4" s="1"/>
  <c r="A83" i="4"/>
  <c r="E82" i="4"/>
  <c r="F82" i="4" s="1"/>
  <c r="A82" i="4"/>
  <c r="E81" i="4"/>
  <c r="F81" i="4" s="1"/>
  <c r="A81" i="4"/>
  <c r="F80" i="4"/>
  <c r="E80" i="4"/>
  <c r="A80" i="4"/>
  <c r="E79" i="4"/>
  <c r="F79" i="4" s="1"/>
  <c r="A79" i="4"/>
  <c r="E78" i="4"/>
  <c r="F78" i="4" s="1"/>
  <c r="A78" i="4"/>
  <c r="E77" i="4"/>
  <c r="F77" i="4" s="1"/>
  <c r="A77" i="4"/>
  <c r="F76" i="4"/>
  <c r="E76" i="4"/>
  <c r="A76" i="4"/>
  <c r="E75" i="4"/>
  <c r="F75" i="4" s="1"/>
  <c r="A75" i="4"/>
  <c r="E74" i="4"/>
  <c r="F74" i="4" s="1"/>
  <c r="A74" i="4"/>
  <c r="E73" i="4"/>
  <c r="F73" i="4" s="1"/>
  <c r="A73" i="4"/>
  <c r="F72" i="4"/>
  <c r="E72" i="4"/>
  <c r="A72" i="4"/>
  <c r="E71" i="4"/>
  <c r="F71" i="4" s="1"/>
  <c r="A71" i="4"/>
  <c r="E70" i="4"/>
  <c r="F70" i="4" s="1"/>
  <c r="A70" i="4"/>
  <c r="E69" i="4"/>
  <c r="F69" i="4" s="1"/>
  <c r="A69" i="4"/>
  <c r="F68" i="4"/>
  <c r="E68" i="4"/>
  <c r="A68" i="4"/>
  <c r="E67" i="4"/>
  <c r="F67" i="4" s="1"/>
  <c r="A67" i="4"/>
  <c r="E66" i="4"/>
  <c r="F66" i="4" s="1"/>
  <c r="A66" i="4"/>
  <c r="E65" i="4"/>
  <c r="F65" i="4" s="1"/>
  <c r="A65" i="4"/>
  <c r="F64" i="4"/>
  <c r="E64" i="4"/>
  <c r="A64" i="4"/>
  <c r="E63" i="4"/>
  <c r="F63" i="4" s="1"/>
  <c r="A63" i="4"/>
  <c r="E62" i="4"/>
  <c r="F62" i="4" s="1"/>
  <c r="A62" i="4"/>
  <c r="E61" i="4"/>
  <c r="F61" i="4" s="1"/>
  <c r="A61" i="4"/>
  <c r="F60" i="4"/>
  <c r="E60" i="4"/>
  <c r="A60" i="4"/>
  <c r="E59" i="4"/>
  <c r="F59" i="4" s="1"/>
  <c r="A59" i="4"/>
  <c r="E58" i="4"/>
  <c r="F58" i="4" s="1"/>
  <c r="A58" i="4"/>
  <c r="E57" i="4"/>
  <c r="F57" i="4" s="1"/>
  <c r="A57" i="4"/>
  <c r="F56" i="4"/>
  <c r="E56" i="4"/>
  <c r="A56" i="4"/>
  <c r="E55" i="4"/>
  <c r="F55" i="4" s="1"/>
  <c r="A55" i="4"/>
  <c r="E54" i="4"/>
  <c r="F54" i="4" s="1"/>
  <c r="A54" i="4"/>
  <c r="E53" i="4"/>
  <c r="F53" i="4" s="1"/>
  <c r="A53" i="4"/>
  <c r="F52" i="4"/>
  <c r="E52" i="4"/>
  <c r="A52" i="4"/>
  <c r="E51" i="4"/>
  <c r="F51" i="4" s="1"/>
  <c r="A51" i="4"/>
  <c r="E50" i="4"/>
  <c r="F50" i="4" s="1"/>
  <c r="A50" i="4"/>
  <c r="E49" i="4"/>
  <c r="F49" i="4" s="1"/>
  <c r="A49" i="4"/>
  <c r="F48" i="4"/>
  <c r="E48" i="4"/>
  <c r="A48" i="4"/>
  <c r="E47" i="4"/>
  <c r="F47" i="4" s="1"/>
  <c r="A47" i="4"/>
  <c r="E46" i="4"/>
  <c r="F46" i="4" s="1"/>
  <c r="A46" i="4"/>
  <c r="E45" i="4"/>
  <c r="F45" i="4" s="1"/>
  <c r="A45" i="4"/>
  <c r="F44" i="4"/>
  <c r="E44" i="4"/>
  <c r="A44" i="4"/>
  <c r="E43" i="4"/>
  <c r="F43" i="4" s="1"/>
  <c r="A43" i="4"/>
  <c r="E42" i="4"/>
  <c r="F42" i="4" s="1"/>
  <c r="A42" i="4"/>
  <c r="E41" i="4"/>
  <c r="F41" i="4" s="1"/>
  <c r="A41" i="4"/>
  <c r="F40" i="4"/>
  <c r="E40" i="4"/>
  <c r="A40" i="4"/>
  <c r="E39" i="4"/>
  <c r="F39" i="4" s="1"/>
  <c r="A39" i="4"/>
  <c r="E38" i="4"/>
  <c r="F38" i="4" s="1"/>
  <c r="A38" i="4"/>
  <c r="E37" i="4"/>
  <c r="F37" i="4" s="1"/>
  <c r="A37" i="4"/>
  <c r="F36" i="4"/>
  <c r="E36" i="4"/>
  <c r="A36" i="4"/>
  <c r="E35" i="4"/>
  <c r="F35" i="4" s="1"/>
  <c r="A35" i="4"/>
  <c r="E34" i="4"/>
  <c r="F34" i="4" s="1"/>
  <c r="A34" i="4"/>
  <c r="E33" i="4"/>
  <c r="F33" i="4" s="1"/>
  <c r="A33" i="4"/>
  <c r="F32" i="4"/>
  <c r="E32" i="4"/>
  <c r="A32" i="4"/>
  <c r="E31" i="4"/>
  <c r="F31" i="4" s="1"/>
  <c r="A31" i="4"/>
  <c r="E30" i="4"/>
  <c r="F30" i="4" s="1"/>
  <c r="A30" i="4"/>
  <c r="E29" i="4"/>
  <c r="F29" i="4" s="1"/>
  <c r="A29" i="4"/>
  <c r="F28" i="4"/>
  <c r="E28" i="4"/>
  <c r="A28" i="4"/>
  <c r="E27" i="4"/>
  <c r="F27" i="4" s="1"/>
  <c r="A27" i="4"/>
  <c r="E26" i="4"/>
  <c r="F26" i="4" s="1"/>
  <c r="A26" i="4"/>
  <c r="E25" i="4"/>
  <c r="F25" i="4" s="1"/>
  <c r="A25" i="4"/>
  <c r="F24" i="4"/>
  <c r="E24" i="4"/>
  <c r="A24" i="4"/>
  <c r="E23" i="4"/>
  <c r="F23" i="4" s="1"/>
  <c r="A23" i="4"/>
  <c r="E22" i="4"/>
  <c r="F22" i="4" s="1"/>
  <c r="A22" i="4"/>
  <c r="E21" i="4"/>
  <c r="F21" i="4" s="1"/>
  <c r="A21" i="4"/>
  <c r="F20" i="4"/>
  <c r="E20" i="4"/>
  <c r="A20" i="4"/>
  <c r="E19" i="4"/>
  <c r="F19" i="4" s="1"/>
  <c r="A19" i="4"/>
  <c r="E18" i="4"/>
  <c r="F18" i="4" s="1"/>
  <c r="A18" i="4"/>
  <c r="E17" i="4"/>
  <c r="F17" i="4" s="1"/>
  <c r="A17" i="4"/>
  <c r="F16" i="4"/>
  <c r="E16" i="4"/>
  <c r="A16" i="4"/>
  <c r="E15" i="4"/>
  <c r="F15" i="4" s="1"/>
  <c r="A15" i="4"/>
  <c r="E14" i="4"/>
  <c r="F14" i="4" s="1"/>
  <c r="A14" i="4"/>
  <c r="E13" i="4"/>
  <c r="F13" i="4" s="1"/>
  <c r="A13" i="4"/>
  <c r="F12" i="4"/>
  <c r="E12" i="4"/>
  <c r="A12" i="4"/>
  <c r="E11" i="4"/>
  <c r="F11" i="4" s="1"/>
  <c r="A11" i="4"/>
  <c r="E10" i="4"/>
  <c r="F10" i="4" s="1"/>
  <c r="A10" i="4"/>
  <c r="E9" i="4"/>
  <c r="F9" i="4" s="1"/>
  <c r="A9" i="4"/>
  <c r="F8" i="4"/>
  <c r="E8" i="4"/>
  <c r="A8" i="4"/>
  <c r="E7" i="4"/>
  <c r="F7" i="4" s="1"/>
  <c r="A7" i="4"/>
  <c r="E6" i="4"/>
  <c r="F6" i="4" s="1"/>
  <c r="A6" i="4"/>
  <c r="E5" i="4"/>
  <c r="F5" i="4" s="1"/>
  <c r="A5" i="4"/>
  <c r="F4" i="4"/>
  <c r="E4" i="4"/>
  <c r="A4" i="4"/>
  <c r="E3" i="4"/>
  <c r="F3" i="4" s="1"/>
  <c r="A3" i="4"/>
  <c r="E2" i="4"/>
  <c r="F2" i="4" s="1"/>
  <c r="B4" i="3"/>
  <c r="B3" i="3" s="1"/>
  <c r="E165" i="2"/>
  <c r="F165" i="2" s="1"/>
  <c r="E164" i="2"/>
  <c r="F164" i="2" s="1"/>
  <c r="E163" i="2"/>
  <c r="F163" i="2" s="1"/>
  <c r="E162" i="2"/>
  <c r="F162" i="2" s="1"/>
  <c r="E161" i="2"/>
  <c r="F161" i="2" s="1"/>
  <c r="E160" i="2"/>
  <c r="F160" i="2" s="1"/>
  <c r="E159" i="2"/>
  <c r="F159" i="2" s="1"/>
  <c r="E158" i="2"/>
  <c r="F158" i="2" s="1"/>
  <c r="E157" i="2"/>
  <c r="F157" i="2" s="1"/>
  <c r="E156" i="2"/>
  <c r="F156" i="2" s="1"/>
  <c r="E155" i="2"/>
  <c r="F155" i="2" s="1"/>
  <c r="E154" i="2"/>
  <c r="F154" i="2" s="1"/>
  <c r="E153" i="2"/>
  <c r="F153" i="2" s="1"/>
  <c r="E152" i="2"/>
  <c r="F152" i="2" s="1"/>
  <c r="E151" i="2"/>
  <c r="F151" i="2" s="1"/>
  <c r="E150" i="2"/>
  <c r="F150" i="2" s="1"/>
  <c r="E149" i="2"/>
  <c r="F149" i="2" s="1"/>
  <c r="E148" i="2"/>
  <c r="F148" i="2" s="1"/>
  <c r="E147" i="2"/>
  <c r="F147" i="2" s="1"/>
  <c r="E146" i="2"/>
  <c r="F146" i="2" s="1"/>
  <c r="E145" i="2"/>
  <c r="F145" i="2" s="1"/>
  <c r="E144" i="2"/>
  <c r="F144" i="2" s="1"/>
  <c r="E143" i="2"/>
  <c r="F143" i="2" s="1"/>
  <c r="E142" i="2"/>
  <c r="F142" i="2" s="1"/>
  <c r="E141" i="2"/>
  <c r="F141" i="2" s="1"/>
  <c r="E140" i="2"/>
  <c r="F140" i="2" s="1"/>
  <c r="E139" i="2"/>
  <c r="F139" i="2" s="1"/>
  <c r="E138" i="2"/>
  <c r="F138" i="2" s="1"/>
  <c r="E137" i="2"/>
  <c r="F137" i="2" s="1"/>
  <c r="E136" i="2"/>
  <c r="F136" i="2" s="1"/>
  <c r="E135" i="2"/>
  <c r="F135" i="2" s="1"/>
  <c r="E134" i="2"/>
  <c r="F134" i="2" s="1"/>
  <c r="E133" i="2"/>
  <c r="F133" i="2" s="1"/>
  <c r="E132" i="2"/>
  <c r="F132" i="2" s="1"/>
  <c r="E131" i="2"/>
  <c r="F131" i="2" s="1"/>
  <c r="E130" i="2"/>
  <c r="F130" i="2" s="1"/>
  <c r="E129" i="2"/>
  <c r="F129" i="2" s="1"/>
  <c r="E128" i="2"/>
  <c r="F128" i="2" s="1"/>
  <c r="E127" i="2"/>
  <c r="F127" i="2" s="1"/>
  <c r="E126" i="2"/>
  <c r="F126" i="2" s="1"/>
  <c r="E125" i="2"/>
  <c r="F125" i="2" s="1"/>
  <c r="E124" i="2"/>
  <c r="F124" i="2" s="1"/>
  <c r="E123" i="2"/>
  <c r="F123" i="2" s="1"/>
  <c r="E122" i="2"/>
  <c r="F122" i="2" s="1"/>
  <c r="E121" i="2"/>
  <c r="F121" i="2" s="1"/>
  <c r="E120" i="2"/>
  <c r="F120" i="2" s="1"/>
  <c r="E119" i="2"/>
  <c r="F119" i="2" s="1"/>
  <c r="E118" i="2"/>
  <c r="F118" i="2" s="1"/>
  <c r="E117" i="2"/>
  <c r="F117" i="2" s="1"/>
  <c r="E116" i="2"/>
  <c r="F116" i="2" s="1"/>
  <c r="E115" i="2"/>
  <c r="F115" i="2" s="1"/>
  <c r="E114" i="2"/>
  <c r="F114" i="2" s="1"/>
  <c r="E113" i="2"/>
  <c r="F113" i="2" s="1"/>
  <c r="E112" i="2"/>
  <c r="F112" i="2" s="1"/>
  <c r="E111" i="2"/>
  <c r="F111" i="2" s="1"/>
  <c r="E110" i="2"/>
  <c r="F110" i="2" s="1"/>
  <c r="E109" i="2"/>
  <c r="F109" i="2" s="1"/>
  <c r="E108" i="2"/>
  <c r="F108" i="2" s="1"/>
  <c r="E107" i="2"/>
  <c r="F107" i="2" s="1"/>
  <c r="E106" i="2"/>
  <c r="F106" i="2" s="1"/>
  <c r="E105" i="2"/>
  <c r="F105" i="2" s="1"/>
  <c r="E104" i="2"/>
  <c r="F104" i="2" s="1"/>
  <c r="E103" i="2"/>
  <c r="F103" i="2" s="1"/>
  <c r="E102" i="2"/>
  <c r="F102" i="2" s="1"/>
  <c r="E101" i="2"/>
  <c r="F101" i="2" s="1"/>
  <c r="E100" i="2"/>
  <c r="F100" i="2" s="1"/>
  <c r="E99" i="2"/>
  <c r="F99" i="2" s="1"/>
  <c r="E98" i="2"/>
  <c r="F98" i="2" s="1"/>
  <c r="E97" i="2"/>
  <c r="F97" i="2" s="1"/>
  <c r="E96" i="2"/>
  <c r="F96" i="2" s="1"/>
  <c r="E95" i="2"/>
  <c r="F95" i="2" s="1"/>
  <c r="E94" i="2"/>
  <c r="F94" i="2" s="1"/>
  <c r="E93" i="2"/>
  <c r="F93" i="2" s="1"/>
  <c r="E92" i="2"/>
  <c r="F92" i="2" s="1"/>
  <c r="E91" i="2"/>
  <c r="F91" i="2" s="1"/>
  <c r="E90" i="2"/>
  <c r="F90" i="2" s="1"/>
  <c r="E89" i="2"/>
  <c r="F89" i="2" s="1"/>
  <c r="E88" i="2"/>
  <c r="F88" i="2" s="1"/>
  <c r="E87" i="2"/>
  <c r="F87" i="2" s="1"/>
  <c r="E86" i="2"/>
  <c r="F86" i="2" s="1"/>
  <c r="E85" i="2"/>
  <c r="F85" i="2" s="1"/>
  <c r="E84" i="2"/>
  <c r="F84" i="2" s="1"/>
  <c r="E83" i="2"/>
  <c r="F83" i="2" s="1"/>
  <c r="E82" i="2"/>
  <c r="F82" i="2" s="1"/>
  <c r="E81" i="2"/>
  <c r="F81" i="2" s="1"/>
  <c r="E80" i="2"/>
  <c r="F80" i="2" s="1"/>
  <c r="E79" i="2"/>
  <c r="F79" i="2" s="1"/>
  <c r="E78" i="2"/>
  <c r="F78" i="2" s="1"/>
  <c r="E77" i="2"/>
  <c r="F77" i="2" s="1"/>
  <c r="E76" i="2"/>
  <c r="F76" i="2" s="1"/>
  <c r="E75" i="2"/>
  <c r="F75" i="2" s="1"/>
  <c r="E74" i="2"/>
  <c r="F74" i="2" s="1"/>
  <c r="E73" i="2"/>
  <c r="F73" i="2" s="1"/>
  <c r="E72" i="2"/>
  <c r="F72" i="2" s="1"/>
  <c r="E71" i="2"/>
  <c r="F71" i="2" s="1"/>
  <c r="E70" i="2"/>
  <c r="F70" i="2" s="1"/>
  <c r="E69" i="2"/>
  <c r="F69" i="2" s="1"/>
  <c r="E68" i="2"/>
  <c r="F68" i="2" s="1"/>
  <c r="E67" i="2"/>
  <c r="F67" i="2" s="1"/>
  <c r="E66" i="2"/>
  <c r="F66" i="2" s="1"/>
  <c r="E65" i="2"/>
  <c r="F65" i="2" s="1"/>
  <c r="E64" i="2"/>
  <c r="F64" i="2" s="1"/>
  <c r="E63" i="2"/>
  <c r="F63" i="2" s="1"/>
  <c r="E62" i="2"/>
  <c r="F62" i="2" s="1"/>
  <c r="E61" i="2"/>
  <c r="F61" i="2" s="1"/>
  <c r="E60" i="2"/>
  <c r="F60" i="2" s="1"/>
  <c r="E59" i="2"/>
  <c r="F59" i="2" s="1"/>
  <c r="E58" i="2"/>
  <c r="F58" i="2" s="1"/>
  <c r="E57" i="2"/>
  <c r="F57" i="2" s="1"/>
  <c r="E56" i="2"/>
  <c r="F56" i="2" s="1"/>
  <c r="E55" i="2"/>
  <c r="F55" i="2" s="1"/>
  <c r="E54" i="2"/>
  <c r="F54" i="2" s="1"/>
  <c r="E53" i="2"/>
  <c r="F53" i="2" s="1"/>
  <c r="E52" i="2"/>
  <c r="F52" i="2" s="1"/>
  <c r="E51" i="2"/>
  <c r="F51" i="2" s="1"/>
  <c r="E50" i="2"/>
  <c r="F50" i="2" s="1"/>
  <c r="E49" i="2"/>
  <c r="F49" i="2" s="1"/>
  <c r="E48" i="2"/>
  <c r="F48" i="2" s="1"/>
  <c r="E47" i="2"/>
  <c r="F47" i="2" s="1"/>
  <c r="E46" i="2"/>
  <c r="F46" i="2" s="1"/>
  <c r="E45" i="2"/>
  <c r="F45" i="2" s="1"/>
  <c r="E44" i="2"/>
  <c r="F44" i="2" s="1"/>
  <c r="E43" i="2"/>
  <c r="F43" i="2" s="1"/>
  <c r="E42" i="2"/>
  <c r="F42" i="2" s="1"/>
  <c r="E41" i="2"/>
  <c r="F41" i="2" s="1"/>
  <c r="E40" i="2"/>
  <c r="F40" i="2" s="1"/>
  <c r="E39" i="2"/>
  <c r="F39" i="2" s="1"/>
  <c r="E38" i="2"/>
  <c r="F38" i="2" s="1"/>
  <c r="E37" i="2"/>
  <c r="F37" i="2" s="1"/>
  <c r="E36" i="2"/>
  <c r="F36" i="2" s="1"/>
  <c r="E35" i="2"/>
  <c r="F35" i="2" s="1"/>
  <c r="E34" i="2"/>
  <c r="F34" i="2" s="1"/>
  <c r="E33" i="2"/>
  <c r="F33" i="2" s="1"/>
  <c r="E32" i="2"/>
  <c r="F32" i="2" s="1"/>
  <c r="E31" i="2"/>
  <c r="F31" i="2" s="1"/>
  <c r="E30" i="2"/>
  <c r="F30" i="2" s="1"/>
  <c r="E29" i="2"/>
  <c r="F29" i="2" s="1"/>
  <c r="E28" i="2"/>
  <c r="F28" i="2" s="1"/>
  <c r="E27" i="2"/>
  <c r="F27" i="2" s="1"/>
  <c r="E26" i="2"/>
  <c r="F26" i="2" s="1"/>
  <c r="E25" i="2"/>
  <c r="F25" i="2" s="1"/>
  <c r="E24" i="2"/>
  <c r="F24" i="2" s="1"/>
  <c r="E23" i="2"/>
  <c r="F23" i="2" s="1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E22" i="2"/>
  <c r="F22" i="2" s="1"/>
  <c r="A22" i="2"/>
  <c r="E21" i="2"/>
  <c r="F21" i="2" s="1"/>
  <c r="A21" i="2"/>
  <c r="E20" i="2"/>
  <c r="F20" i="2" s="1"/>
  <c r="A20" i="2"/>
  <c r="E19" i="2"/>
  <c r="F19" i="2" s="1"/>
  <c r="A19" i="2"/>
  <c r="E18" i="2"/>
  <c r="F18" i="2" s="1"/>
  <c r="A18" i="2"/>
  <c r="E17" i="2"/>
  <c r="F17" i="2" s="1"/>
  <c r="A17" i="2"/>
  <c r="E16" i="2"/>
  <c r="F16" i="2" s="1"/>
  <c r="A16" i="2"/>
  <c r="E15" i="2"/>
  <c r="F15" i="2" s="1"/>
  <c r="A15" i="2"/>
  <c r="E14" i="2"/>
  <c r="F14" i="2" s="1"/>
  <c r="A14" i="2"/>
  <c r="E13" i="2"/>
  <c r="F13" i="2" s="1"/>
  <c r="A13" i="2"/>
  <c r="E12" i="2"/>
  <c r="F12" i="2" s="1"/>
  <c r="A12" i="2"/>
  <c r="E11" i="2"/>
  <c r="F11" i="2" s="1"/>
  <c r="A11" i="2"/>
  <c r="E10" i="2"/>
  <c r="F10" i="2" s="1"/>
  <c r="A10" i="2"/>
  <c r="E9" i="2"/>
  <c r="F9" i="2" s="1"/>
  <c r="A9" i="2"/>
  <c r="E8" i="2"/>
  <c r="F8" i="2" s="1"/>
  <c r="A8" i="2"/>
  <c r="E7" i="2"/>
  <c r="F7" i="2" s="1"/>
  <c r="A7" i="2"/>
  <c r="E6" i="2"/>
  <c r="F6" i="2" s="1"/>
  <c r="A6" i="2"/>
  <c r="E5" i="2"/>
  <c r="F5" i="2" s="1"/>
  <c r="A5" i="2"/>
  <c r="E4" i="2"/>
  <c r="F4" i="2" s="1"/>
  <c r="A4" i="2"/>
  <c r="E3" i="2"/>
  <c r="F3" i="2" s="1"/>
  <c r="A3" i="2"/>
  <c r="E2" i="2"/>
  <c r="F2" i="2" s="1"/>
  <c r="E32" i="1"/>
  <c r="F32" i="1" s="1"/>
  <c r="E31" i="1"/>
  <c r="F31" i="1" s="1"/>
  <c r="E30" i="1"/>
  <c r="F30" i="1" s="1"/>
  <c r="E29" i="1"/>
  <c r="F29" i="1" s="1"/>
  <c r="E28" i="1"/>
  <c r="F28" i="1" s="1"/>
  <c r="E27" i="1"/>
  <c r="F27" i="1" s="1"/>
  <c r="E26" i="1"/>
  <c r="F26" i="1" s="1"/>
  <c r="E25" i="1"/>
  <c r="F25" i="1" s="1"/>
  <c r="E24" i="1"/>
  <c r="F24" i="1" s="1"/>
  <c r="E23" i="1"/>
  <c r="F23" i="1" s="1"/>
  <c r="E22" i="1"/>
  <c r="F22" i="1" s="1"/>
  <c r="E21" i="1" l="1"/>
  <c r="F21" i="1" s="1"/>
  <c r="E20" i="1"/>
  <c r="F20" i="1" s="1"/>
  <c r="E19" i="1"/>
  <c r="F19" i="1" s="1"/>
  <c r="E18" i="1"/>
  <c r="F18" i="1" s="1"/>
  <c r="E17" i="1"/>
  <c r="F17" i="1" s="1"/>
  <c r="E16" i="1"/>
  <c r="F16" i="1" s="1"/>
  <c r="E15" i="1"/>
  <c r="F15" i="1" s="1"/>
  <c r="E14" i="1"/>
  <c r="F14" i="1" s="1"/>
  <c r="E13" i="1"/>
  <c r="F13" i="1" s="1"/>
  <c r="E12" i="1"/>
  <c r="F12" i="1" s="1"/>
  <c r="E11" i="1"/>
  <c r="F11" i="1" s="1"/>
  <c r="E10" i="1"/>
  <c r="F10" i="1" s="1"/>
  <c r="E9" i="1"/>
  <c r="F9" i="1" s="1"/>
  <c r="E8" i="1"/>
  <c r="F8" i="1" s="1"/>
  <c r="E7" i="1"/>
  <c r="F7" i="1" s="1"/>
  <c r="E6" i="1"/>
  <c r="F6" i="1" s="1"/>
  <c r="E5" i="1"/>
  <c r="F5" i="1" s="1"/>
  <c r="E4" i="1"/>
  <c r="F4" i="1" s="1"/>
  <c r="E3" i="1"/>
  <c r="F3" i="1" s="1"/>
  <c r="A175" i="1" l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 l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E2" i="1"/>
  <c r="F2" i="1" s="1"/>
</calcChain>
</file>

<file path=xl/sharedStrings.xml><?xml version="1.0" encoding="utf-8"?>
<sst xmlns="http://schemas.openxmlformats.org/spreadsheetml/2006/main" count="2202" uniqueCount="44">
  <si>
    <t>평가대상종목명</t>
    <phoneticPr fontId="2" type="noConversion"/>
  </si>
  <si>
    <t>순번</t>
    <phoneticPr fontId="2" type="noConversion"/>
  </si>
  <si>
    <t>평가기준일</t>
    <phoneticPr fontId="2" type="noConversion"/>
  </si>
  <si>
    <t>이전개월수</t>
    <phoneticPr fontId="2" type="noConversion"/>
  </si>
  <si>
    <t>배수종료일</t>
    <phoneticPr fontId="2" type="noConversion"/>
  </si>
  <si>
    <t>배수시작일</t>
    <phoneticPr fontId="2" type="noConversion"/>
  </si>
  <si>
    <t>조회구분</t>
    <phoneticPr fontId="2" type="noConversion"/>
  </si>
  <si>
    <t>요청자</t>
  </si>
  <si>
    <t>Overview</t>
    <phoneticPr fontId="2" type="noConversion"/>
  </si>
  <si>
    <t>Categories</t>
    <phoneticPr fontId="2" type="noConversion"/>
  </si>
  <si>
    <t>Biotechnology, Health Diagnostics, Medical, Therapeutics</t>
  </si>
  <si>
    <t>Biotechnology, Neuorscience</t>
  </si>
  <si>
    <t>유사기업 Ticker</t>
    <phoneticPr fontId="2" type="noConversion"/>
  </si>
  <si>
    <t>김영하</t>
    <phoneticPr fontId="2" type="noConversion"/>
  </si>
  <si>
    <t>PBR</t>
    <phoneticPr fontId="2" type="noConversion"/>
  </si>
  <si>
    <t>APRINOIA Therapeutics</t>
  </si>
  <si>
    <t>MRK US Equity</t>
  </si>
  <si>
    <t>GSK LN Equity</t>
  </si>
  <si>
    <t>AMGN US Equity</t>
  </si>
  <si>
    <t>LLY US Equity</t>
  </si>
  <si>
    <t>PIEL IN Equity</t>
  </si>
  <si>
    <t>PFE US Equity</t>
  </si>
  <si>
    <t>ABBV US Equity</t>
  </si>
  <si>
    <t>4502 JP Equity</t>
  </si>
  <si>
    <t>ROG SW Equity</t>
  </si>
  <si>
    <t>ACIU US Equity</t>
  </si>
  <si>
    <t>PSR</t>
    <phoneticPr fontId="2" type="noConversion"/>
  </si>
  <si>
    <t>CoImmune, Inc.</t>
  </si>
  <si>
    <t>Biotechnology, Therapeutics</t>
  </si>
  <si>
    <t>immune system to fight disease.</t>
  </si>
  <si>
    <t>allo us equity</t>
  </si>
  <si>
    <t>ACET US Equity</t>
  </si>
  <si>
    <t>SANA US Equity</t>
  </si>
  <si>
    <t>MRNA US Equity</t>
  </si>
  <si>
    <t>RCUS US Equity</t>
  </si>
  <si>
    <t>AUTL US Equity</t>
  </si>
  <si>
    <t>GILD US Equity</t>
  </si>
  <si>
    <t>FATE US Equity</t>
  </si>
  <si>
    <t>IBRX US Equity</t>
  </si>
  <si>
    <t>BNTX US Equity</t>
  </si>
  <si>
    <t>JNJ US Equity</t>
  </si>
  <si>
    <t>PER</t>
    <phoneticPr fontId="2" type="noConversion"/>
  </si>
  <si>
    <t>채동우</t>
    <phoneticPr fontId="2" type="noConversion"/>
  </si>
  <si>
    <t>이전개월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</si>
</sst>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4" x14ac:knownFonts="1">
    <font>
      <sz val="11"/>
      <color theme="1"/>
      <name val="맑은 고딕"/>
      <family val="2"/>
      <charset val="129"/>
      <scheme val="minor"/>
    </font>
    <font>
      <b/>
      <sz val="9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4506668294322"/>
      </bottom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/>
      <right/>
      <top style="medium">
        <color indexed="64"/>
      </top>
      <bottom style="hair">
        <color auto="1"/>
      </bottom>
      <diagonal/>
    </border>
    <border>
      <left/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hair">
        <color auto="1"/>
      </top>
      <bottom style="medium">
        <color indexed="64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/>
      <right style="medium">
        <color indexed="64"/>
      </right>
      <top style="hair">
        <color auto="1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>
      <alignment vertical="center"/>
    </xf>
    <xf numFmtId="0" fontId="0" fillId="0" borderId="3" xfId="0" applyBorder="1">
      <alignment vertical="center"/>
    </xf>
    <xf numFmtId="0" fontId="0" fillId="0" borderId="4" xfId="0" applyBorder="1" applyAlignment="1">
      <alignment horizontal="center" vertical="center"/>
    </xf>
    <xf numFmtId="14" fontId="0" fillId="0" borderId="4" xfId="0" applyNumberFormat="1" applyBorder="1">
      <alignment vertical="center"/>
    </xf>
    <xf numFmtId="0" fontId="0" fillId="0" borderId="4" xfId="0" applyBorder="1">
      <alignment vertical="center"/>
    </xf>
    <xf numFmtId="0" fontId="1" fillId="2" borderId="0" xfId="0" applyFont="1" applyFill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9" xfId="0" applyNumberFormat="1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4" fontId="0" fillId="0" borderId="11" xfId="0" applyNumberFormat="1" applyBorder="1">
      <alignment vertical="center"/>
    </xf>
    <xf numFmtId="0" fontId="0" fillId="0" borderId="11" xfId="0" applyBorder="1">
      <alignment vertical="center"/>
    </xf>
    <xf numFmtId="0" fontId="0" fillId="0" borderId="14" xfId="0" applyBorder="1" applyAlignment="1">
      <alignment horizontal="center" vertical="center"/>
    </xf>
    <xf numFmtId="14" fontId="0" fillId="0" borderId="15" xfId="0" applyNumberFormat="1" applyBorder="1">
      <alignment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>
      <alignment vertical="center"/>
    </xf>
    <xf numFmtId="0" fontId="3" fillId="0" borderId="0" xfId="0" applyFont="1">
      <alignment vertical="center"/>
    </xf>
    <xf numFmtId="14" fontId="3" fillId="0" borderId="0" xfId="0" applyNumberFormat="1" applyFont="1">
      <alignment vertical="center"/>
    </xf>
    <xf numFmtId="176" fontId="0" fillId="0" borderId="9" xfId="0" applyNumberFormat="1" applyBorder="1">
      <alignment vertical="center"/>
    </xf>
    <xf numFmtId="176" fontId="0" fillId="0" borderId="10" xfId="0" applyNumberFormat="1" applyBorder="1">
      <alignment vertical="center"/>
    </xf>
    <xf numFmtId="176" fontId="0" fillId="0" borderId="11" xfId="0" applyNumberFormat="1" applyBorder="1">
      <alignment vertical="center"/>
    </xf>
    <xf numFmtId="176" fontId="0" fillId="0" borderId="13" xfId="0" applyNumberFormat="1" applyBorder="1">
      <alignment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5" xfId="0" applyNumberFormat="1" applyBorder="1">
      <alignment vertical="center"/>
    </xf>
    <xf numFmtId="176" fontId="0" fillId="0" borderId="16" xfId="0" applyNumberFormat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1981200</xdr:colOff>
      <xdr:row>2</xdr:row>
      <xdr:rowOff>200025</xdr:rowOff>
    </xdr:from>
    <xdr:to>
      <xdr:col>10</xdr:col>
      <xdr:colOff>1238250</xdr:colOff>
      <xdr:row>6</xdr:row>
      <xdr:rowOff>133350</xdr:rowOff>
    </xdr:to>
    <xdr:sp macro="[0]!RemoveDuplicates" textlink="">
      <xdr:nvSpPr>
        <xdr:cNvPr id="2" name="직사각형 1">
          <a:extLst>
            <a:ext uri="{FF2B5EF4-FFF2-40B4-BE49-F238E27FC236}">
              <a16:creationId xmlns:a16="http://schemas.microsoft.com/office/drawing/2014/main" id="{EC73E671-03B1-AA4A-A301-A10C778B6A62}"/>
            </a:ext>
          </a:extLst>
        </xdr:cNvPr>
        <xdr:cNvSpPr/>
      </xdr:nvSpPr>
      <xdr:spPr>
        <a:xfrm>
          <a:off x="11353800" y="628650"/>
          <a:ext cx="1619250" cy="771525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중복 제거</a:t>
          </a:r>
        </a:p>
      </xdr:txBody>
    </xdr:sp>
    <xdr:clientData/>
  </xdr:twoCellAnchor>
  <xdr:twoCellAnchor>
    <xdr:from>
      <xdr:col>9</xdr:col>
      <xdr:colOff>2028825</xdr:colOff>
      <xdr:row>8</xdr:row>
      <xdr:rowOff>142875</xdr:rowOff>
    </xdr:from>
    <xdr:to>
      <xdr:col>10</xdr:col>
      <xdr:colOff>1143000</xdr:colOff>
      <xdr:row>12</xdr:row>
      <xdr:rowOff>200025</xdr:rowOff>
    </xdr:to>
    <xdr:sp macro="[0]!CalculatePBRMean" textlink="">
      <xdr:nvSpPr>
        <xdr:cNvPr id="3" name="직사각형 2">
          <a:extLst>
            <a:ext uri="{FF2B5EF4-FFF2-40B4-BE49-F238E27FC236}">
              <a16:creationId xmlns:a16="http://schemas.microsoft.com/office/drawing/2014/main" id="{35F73ADA-EAE8-8C28-0DCC-D31FB45C212D}"/>
            </a:ext>
          </a:extLst>
        </xdr:cNvPr>
        <xdr:cNvSpPr/>
      </xdr:nvSpPr>
      <xdr:spPr>
        <a:xfrm>
          <a:off x="11401425" y="1828800"/>
          <a:ext cx="1476375" cy="89535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PBR</a:t>
          </a:r>
          <a:r>
            <a:rPr lang="en-US" altLang="ko-KR" sz="1100" baseline="0"/>
            <a:t> </a:t>
          </a:r>
          <a:r>
            <a:rPr lang="ko-KR" altLang="en-US" sz="1100" baseline="0"/>
            <a:t>평균</a:t>
          </a:r>
          <a:endParaRPr lang="ko-KR" altLang="en-US" sz="1100"/>
        </a:p>
      </xdr:txBody>
    </xdr:sp>
    <xdr:clientData/>
  </xdr:twoCellAnchor>
  <xdr:twoCellAnchor>
    <xdr:from>
      <xdr:col>9</xdr:col>
      <xdr:colOff>2000250</xdr:colOff>
      <xdr:row>13</xdr:row>
      <xdr:rowOff>114300</xdr:rowOff>
    </xdr:from>
    <xdr:to>
      <xdr:col>10</xdr:col>
      <xdr:colOff>1114425</xdr:colOff>
      <xdr:row>17</xdr:row>
      <xdr:rowOff>171450</xdr:rowOff>
    </xdr:to>
    <xdr:sp macro="[0]!CalculatePSRMean" textlink="">
      <xdr:nvSpPr>
        <xdr:cNvPr id="4" name="직사각형 3">
          <a:extLst>
            <a:ext uri="{FF2B5EF4-FFF2-40B4-BE49-F238E27FC236}">
              <a16:creationId xmlns:a16="http://schemas.microsoft.com/office/drawing/2014/main" id="{A801C4AB-A709-441E-BCE5-18629683CE45}"/>
            </a:ext>
          </a:extLst>
        </xdr:cNvPr>
        <xdr:cNvSpPr/>
      </xdr:nvSpPr>
      <xdr:spPr>
        <a:xfrm>
          <a:off x="11372850" y="2847975"/>
          <a:ext cx="1476375" cy="89535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PSR </a:t>
          </a:r>
          <a:r>
            <a:rPr lang="ko-KR" altLang="en-US" sz="1100"/>
            <a:t>평균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B5803-B269-4087-83AC-6CCAB7D51A86}">
  <sheetPr codeName="Sheet1"/>
  <dimension ref="A1:N165"/>
  <sheetViews>
    <sheetView showGridLines="0" tabSelected="1" zoomScaleNormal="100" workbookViewId="0">
      <selection activeCell="I13" sqref="I13"/>
    </sheetView>
  </sheetViews>
  <sheetFormatPr defaultRowHeight="16.5" x14ac:dyDescent="0.3"/>
  <cols>
    <col min="1" max="1" width="9.125" style="6" customWidth="1"/>
    <col min="2" max="2" width="9.125" style="8" customWidth="1"/>
    <col min="3" max="3" width="11.125" style="8" bestFit="1" customWidth="1"/>
    <col min="4" max="4" width="9.125" style="8" customWidth="1"/>
    <col min="5" max="5" width="11.125" style="8" bestFit="1" customWidth="1"/>
    <col min="6" max="6" width="13.625" style="8" customWidth="1"/>
    <col min="7" max="7" width="14.75" style="8" customWidth="1"/>
    <col min="8" max="8" width="16.375" style="8" customWidth="1"/>
    <col min="9" max="9" width="28.625" style="8" customWidth="1"/>
    <col min="10" max="10" width="31" style="8" customWidth="1"/>
    <col min="11" max="11" width="54.625" style="8" bestFit="1" customWidth="1"/>
    <col min="12" max="12" width="13.25" customWidth="1"/>
  </cols>
  <sheetData>
    <row r="1" spans="1:14" ht="17.25" thickBot="1" x14ac:dyDescent="0.35">
      <c r="A1" s="2" t="s">
        <v>1</v>
      </c>
      <c r="B1" s="10" t="s">
        <v>7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1" t="s">
        <v>12</v>
      </c>
      <c r="I1" s="10" t="s">
        <v>0</v>
      </c>
      <c r="J1" s="10" t="s">
        <v>8</v>
      </c>
      <c r="K1" s="10" t="s">
        <v>9</v>
      </c>
      <c r="L1" s="9" t="s">
        <v>14</v>
      </c>
      <c r="M1" s="9" t="s">
        <v>26</v>
      </c>
      <c r="N1" s="9" t="s">
        <v>41</v>
      </c>
    </row>
    <row r="2" spans="1:14" x14ac:dyDescent="0.3">
      <c r="A2" s="12">
        <v>1</v>
      </c>
      <c r="B2" s="13" t="s">
        <v>13</v>
      </c>
      <c r="C2" s="14">
        <v>45565</v>
      </c>
      <c r="D2" s="15">
        <v>-2</v>
      </c>
      <c r="E2" s="14">
        <f t="shared" ref="E2:E33" si="0">EOMONTH(C2,D2)</f>
        <v>45504</v>
      </c>
      <c r="F2" s="14">
        <f t="shared" ref="F2:F33" si="1">EOMONTH(E2,-6)</f>
        <v>45322</v>
      </c>
      <c r="G2" s="15" t="s">
        <v>14</v>
      </c>
      <c r="H2" s="16" t="s">
        <v>16</v>
      </c>
      <c r="I2" s="15" t="s">
        <v>15</v>
      </c>
      <c r="J2" s="15" t="s">
        <v>11</v>
      </c>
      <c r="K2" s="15" t="s">
        <v>10</v>
      </c>
      <c r="L2" s="27">
        <v>1.2</v>
      </c>
      <c r="M2" s="28">
        <v>8.5299999999999994</v>
      </c>
    </row>
    <row r="3" spans="1:14" x14ac:dyDescent="0.3">
      <c r="A3" s="17">
        <f t="shared" ref="A3:A34" si="2">ROW()-1</f>
        <v>2</v>
      </c>
      <c r="B3" s="18" t="s">
        <v>13</v>
      </c>
      <c r="C3" s="19">
        <v>45565</v>
      </c>
      <c r="D3" s="17">
        <v>-2</v>
      </c>
      <c r="E3" s="19">
        <f t="shared" si="0"/>
        <v>45504</v>
      </c>
      <c r="F3" s="19">
        <f t="shared" si="1"/>
        <v>45322</v>
      </c>
      <c r="G3" s="17" t="s">
        <v>14</v>
      </c>
      <c r="H3" s="20" t="s">
        <v>17</v>
      </c>
      <c r="I3" s="17" t="s">
        <v>15</v>
      </c>
      <c r="J3" s="17" t="s">
        <v>11</v>
      </c>
      <c r="K3" s="17" t="s">
        <v>10</v>
      </c>
      <c r="L3" s="29">
        <v>1.35</v>
      </c>
      <c r="M3" s="30">
        <v>10.23</v>
      </c>
    </row>
    <row r="4" spans="1:14" x14ac:dyDescent="0.3">
      <c r="A4" s="17">
        <f t="shared" si="2"/>
        <v>3</v>
      </c>
      <c r="B4" s="18" t="s">
        <v>13</v>
      </c>
      <c r="C4" s="19">
        <v>45565</v>
      </c>
      <c r="D4" s="17">
        <v>-2</v>
      </c>
      <c r="E4" s="19">
        <f t="shared" si="0"/>
        <v>45504</v>
      </c>
      <c r="F4" s="19">
        <f t="shared" si="1"/>
        <v>45322</v>
      </c>
      <c r="G4" s="17" t="s">
        <v>14</v>
      </c>
      <c r="H4" s="20" t="s">
        <v>18</v>
      </c>
      <c r="I4" s="17" t="s">
        <v>15</v>
      </c>
      <c r="J4" s="17" t="s">
        <v>11</v>
      </c>
      <c r="K4" s="17" t="s">
        <v>10</v>
      </c>
      <c r="L4" s="29">
        <v>1.2</v>
      </c>
      <c r="M4" s="30">
        <v>1.86</v>
      </c>
    </row>
    <row r="5" spans="1:14" x14ac:dyDescent="0.3">
      <c r="A5" s="17">
        <f t="shared" si="2"/>
        <v>4</v>
      </c>
      <c r="B5" s="18" t="s">
        <v>13</v>
      </c>
      <c r="C5" s="19">
        <v>45565</v>
      </c>
      <c r="D5" s="17">
        <v>-2</v>
      </c>
      <c r="E5" s="19">
        <f t="shared" si="0"/>
        <v>45504</v>
      </c>
      <c r="F5" s="19">
        <f t="shared" si="1"/>
        <v>45322</v>
      </c>
      <c r="G5" s="17" t="s">
        <v>14</v>
      </c>
      <c r="H5" s="20" t="s">
        <v>19</v>
      </c>
      <c r="I5" s="17" t="s">
        <v>15</v>
      </c>
      <c r="J5" s="17" t="s">
        <v>11</v>
      </c>
      <c r="K5" s="17" t="s">
        <v>10</v>
      </c>
      <c r="L5" s="29">
        <v>1.1000000000000001</v>
      </c>
      <c r="M5" s="30">
        <v>2.9041000000000001</v>
      </c>
    </row>
    <row r="6" spans="1:14" x14ac:dyDescent="0.3">
      <c r="A6" s="17">
        <f t="shared" si="2"/>
        <v>5</v>
      </c>
      <c r="B6" s="18" t="s">
        <v>13</v>
      </c>
      <c r="C6" s="19">
        <v>45565</v>
      </c>
      <c r="D6" s="17">
        <v>-2</v>
      </c>
      <c r="E6" s="19">
        <f t="shared" si="0"/>
        <v>45504</v>
      </c>
      <c r="F6" s="19">
        <f t="shared" si="1"/>
        <v>45322</v>
      </c>
      <c r="G6" s="17" t="s">
        <v>14</v>
      </c>
      <c r="H6" s="20" t="s">
        <v>20</v>
      </c>
      <c r="I6" s="17" t="s">
        <v>15</v>
      </c>
      <c r="J6" s="17" t="s">
        <v>11</v>
      </c>
      <c r="K6" s="17" t="s">
        <v>10</v>
      </c>
      <c r="L6" s="29">
        <v>1.5</v>
      </c>
      <c r="M6" s="30">
        <v>3.5230000000000001</v>
      </c>
    </row>
    <row r="7" spans="1:14" x14ac:dyDescent="0.3">
      <c r="A7" s="17">
        <f t="shared" si="2"/>
        <v>6</v>
      </c>
      <c r="B7" s="18" t="s">
        <v>13</v>
      </c>
      <c r="C7" s="19">
        <v>45565</v>
      </c>
      <c r="D7" s="17">
        <v>-2</v>
      </c>
      <c r="E7" s="19">
        <f t="shared" si="0"/>
        <v>45504</v>
      </c>
      <c r="F7" s="19">
        <f t="shared" si="1"/>
        <v>45322</v>
      </c>
      <c r="G7" s="17" t="s">
        <v>14</v>
      </c>
      <c r="H7" s="20" t="s">
        <v>21</v>
      </c>
      <c r="I7" s="17" t="s">
        <v>15</v>
      </c>
      <c r="J7" s="17" t="s">
        <v>11</v>
      </c>
      <c r="K7" s="17" t="s">
        <v>10</v>
      </c>
      <c r="L7" s="29">
        <v>1.6</v>
      </c>
      <c r="M7" s="30">
        <v>1.24</v>
      </c>
    </row>
    <row r="8" spans="1:14" x14ac:dyDescent="0.3">
      <c r="A8" s="17">
        <f t="shared" si="2"/>
        <v>7</v>
      </c>
      <c r="B8" s="18" t="s">
        <v>13</v>
      </c>
      <c r="C8" s="19">
        <v>45565</v>
      </c>
      <c r="D8" s="17">
        <v>-2</v>
      </c>
      <c r="E8" s="19">
        <f t="shared" si="0"/>
        <v>45504</v>
      </c>
      <c r="F8" s="19">
        <f t="shared" si="1"/>
        <v>45322</v>
      </c>
      <c r="G8" s="17" t="s">
        <v>14</v>
      </c>
      <c r="H8" s="20" t="s">
        <v>22</v>
      </c>
      <c r="I8" s="17" t="s">
        <v>15</v>
      </c>
      <c r="J8" s="17" t="s">
        <v>11</v>
      </c>
      <c r="K8" s="17" t="s">
        <v>10</v>
      </c>
      <c r="L8" s="29">
        <v>5.3</v>
      </c>
      <c r="M8" s="30">
        <v>5.31</v>
      </c>
    </row>
    <row r="9" spans="1:14" x14ac:dyDescent="0.3">
      <c r="A9" s="17">
        <f t="shared" si="2"/>
        <v>8</v>
      </c>
      <c r="B9" s="18" t="s">
        <v>13</v>
      </c>
      <c r="C9" s="19">
        <v>45565</v>
      </c>
      <c r="D9" s="17">
        <v>-2</v>
      </c>
      <c r="E9" s="19">
        <f t="shared" si="0"/>
        <v>45504</v>
      </c>
      <c r="F9" s="19">
        <f t="shared" si="1"/>
        <v>45322</v>
      </c>
      <c r="G9" s="17" t="s">
        <v>14</v>
      </c>
      <c r="H9" s="20" t="s">
        <v>23</v>
      </c>
      <c r="I9" s="17" t="s">
        <v>15</v>
      </c>
      <c r="J9" s="17" t="s">
        <v>11</v>
      </c>
      <c r="K9" s="17" t="s">
        <v>10</v>
      </c>
      <c r="L9" s="29">
        <v>2.35</v>
      </c>
      <c r="M9" s="30">
        <v>2.35</v>
      </c>
    </row>
    <row r="10" spans="1:14" x14ac:dyDescent="0.3">
      <c r="A10" s="17">
        <f t="shared" si="2"/>
        <v>9</v>
      </c>
      <c r="B10" s="18" t="s">
        <v>13</v>
      </c>
      <c r="C10" s="19">
        <v>45565</v>
      </c>
      <c r="D10" s="17">
        <v>-2</v>
      </c>
      <c r="E10" s="19">
        <f t="shared" si="0"/>
        <v>45504</v>
      </c>
      <c r="F10" s="19">
        <f t="shared" si="1"/>
        <v>45322</v>
      </c>
      <c r="G10" s="17" t="s">
        <v>14</v>
      </c>
      <c r="H10" s="20" t="s">
        <v>24</v>
      </c>
      <c r="I10" s="17" t="s">
        <v>15</v>
      </c>
      <c r="J10" s="17" t="s">
        <v>11</v>
      </c>
      <c r="K10" s="17" t="s">
        <v>10</v>
      </c>
      <c r="L10" s="29">
        <v>1.6</v>
      </c>
      <c r="M10" s="30">
        <v>1.6339999999999999</v>
      </c>
    </row>
    <row r="11" spans="1:14" x14ac:dyDescent="0.3">
      <c r="A11" s="17">
        <f t="shared" si="2"/>
        <v>10</v>
      </c>
      <c r="B11" s="18" t="s">
        <v>13</v>
      </c>
      <c r="C11" s="19">
        <v>45565</v>
      </c>
      <c r="D11" s="17">
        <v>-2</v>
      </c>
      <c r="E11" s="19">
        <f t="shared" si="0"/>
        <v>45504</v>
      </c>
      <c r="F11" s="19">
        <f t="shared" si="1"/>
        <v>45322</v>
      </c>
      <c r="G11" s="17" t="s">
        <v>14</v>
      </c>
      <c r="H11" s="20" t="s">
        <v>25</v>
      </c>
      <c r="I11" s="17" t="s">
        <v>15</v>
      </c>
      <c r="J11" s="17" t="s">
        <v>11</v>
      </c>
      <c r="K11" s="17" t="s">
        <v>10</v>
      </c>
      <c r="L11" s="29">
        <v>3</v>
      </c>
      <c r="M11" s="30">
        <v>0.91239999999999999</v>
      </c>
    </row>
    <row r="12" spans="1:14" x14ac:dyDescent="0.3">
      <c r="A12" s="17">
        <f t="shared" si="2"/>
        <v>11</v>
      </c>
      <c r="B12" s="18" t="s">
        <v>13</v>
      </c>
      <c r="C12" s="19">
        <v>45565</v>
      </c>
      <c r="D12" s="17">
        <v>-2</v>
      </c>
      <c r="E12" s="19">
        <f t="shared" si="0"/>
        <v>45504</v>
      </c>
      <c r="F12" s="19">
        <f t="shared" si="1"/>
        <v>45322</v>
      </c>
      <c r="G12" s="17" t="s">
        <v>14</v>
      </c>
      <c r="H12" s="20" t="s">
        <v>30</v>
      </c>
      <c r="I12" s="17" t="s">
        <v>27</v>
      </c>
      <c r="J12" s="17" t="s">
        <v>29</v>
      </c>
      <c r="K12" s="17" t="s">
        <v>28</v>
      </c>
      <c r="L12" s="29">
        <v>2</v>
      </c>
      <c r="M12" s="30">
        <v>12.31</v>
      </c>
    </row>
    <row r="13" spans="1:14" x14ac:dyDescent="0.3">
      <c r="A13" s="17">
        <f t="shared" si="2"/>
        <v>12</v>
      </c>
      <c r="B13" s="18" t="s">
        <v>13</v>
      </c>
      <c r="C13" s="19">
        <v>45565</v>
      </c>
      <c r="D13" s="17">
        <v>-2</v>
      </c>
      <c r="E13" s="19">
        <f t="shared" si="0"/>
        <v>45504</v>
      </c>
      <c r="F13" s="19">
        <f t="shared" si="1"/>
        <v>45322</v>
      </c>
      <c r="G13" s="17" t="s">
        <v>14</v>
      </c>
      <c r="H13" s="20" t="s">
        <v>31</v>
      </c>
      <c r="I13" s="17" t="s">
        <v>27</v>
      </c>
      <c r="J13" s="17" t="s">
        <v>29</v>
      </c>
      <c r="K13" s="17" t="s">
        <v>28</v>
      </c>
      <c r="L13" s="29">
        <v>1</v>
      </c>
      <c r="M13" s="30">
        <v>3.52</v>
      </c>
    </row>
    <row r="14" spans="1:14" x14ac:dyDescent="0.3">
      <c r="A14" s="17">
        <f t="shared" si="2"/>
        <v>13</v>
      </c>
      <c r="B14" s="18" t="s">
        <v>13</v>
      </c>
      <c r="C14" s="19">
        <v>45565</v>
      </c>
      <c r="D14" s="17">
        <v>-2</v>
      </c>
      <c r="E14" s="19">
        <f t="shared" si="0"/>
        <v>45504</v>
      </c>
      <c r="F14" s="19">
        <f t="shared" si="1"/>
        <v>45322</v>
      </c>
      <c r="G14" s="17" t="s">
        <v>14</v>
      </c>
      <c r="H14" s="20" t="s">
        <v>32</v>
      </c>
      <c r="I14" s="17" t="s">
        <v>27</v>
      </c>
      <c r="J14" s="17" t="s">
        <v>29</v>
      </c>
      <c r="K14" s="17" t="s">
        <v>28</v>
      </c>
      <c r="L14" s="29">
        <v>5</v>
      </c>
      <c r="M14" s="31">
        <v>4.6500000000000004</v>
      </c>
    </row>
    <row r="15" spans="1:14" x14ac:dyDescent="0.3">
      <c r="A15" s="17">
        <f t="shared" si="2"/>
        <v>14</v>
      </c>
      <c r="B15" s="18" t="s">
        <v>13</v>
      </c>
      <c r="C15" s="19">
        <v>45565</v>
      </c>
      <c r="D15" s="17">
        <v>-2</v>
      </c>
      <c r="E15" s="19">
        <f t="shared" si="0"/>
        <v>45504</v>
      </c>
      <c r="F15" s="19">
        <f t="shared" si="1"/>
        <v>45322</v>
      </c>
      <c r="G15" s="17" t="s">
        <v>14</v>
      </c>
      <c r="H15" s="20" t="s">
        <v>33</v>
      </c>
      <c r="I15" s="17" t="s">
        <v>27</v>
      </c>
      <c r="J15" s="17" t="s">
        <v>29</v>
      </c>
      <c r="K15" s="17" t="s">
        <v>28</v>
      </c>
      <c r="L15" s="29">
        <v>6</v>
      </c>
      <c r="M15" s="30">
        <v>12.3</v>
      </c>
    </row>
    <row r="16" spans="1:14" x14ac:dyDescent="0.3">
      <c r="A16" s="17">
        <f t="shared" si="2"/>
        <v>15</v>
      </c>
      <c r="B16" s="18" t="s">
        <v>13</v>
      </c>
      <c r="C16" s="19">
        <v>45565</v>
      </c>
      <c r="D16" s="17">
        <v>-2</v>
      </c>
      <c r="E16" s="19">
        <f t="shared" si="0"/>
        <v>45504</v>
      </c>
      <c r="F16" s="19">
        <f t="shared" si="1"/>
        <v>45322</v>
      </c>
      <c r="G16" s="17" t="s">
        <v>14</v>
      </c>
      <c r="H16" s="20" t="s">
        <v>34</v>
      </c>
      <c r="I16" s="17" t="s">
        <v>27</v>
      </c>
      <c r="J16" s="17" t="s">
        <v>29</v>
      </c>
      <c r="K16" s="17" t="s">
        <v>28</v>
      </c>
      <c r="L16" s="29">
        <v>7</v>
      </c>
      <c r="M16" s="30">
        <v>2.2999999999999998</v>
      </c>
    </row>
    <row r="17" spans="1:13" x14ac:dyDescent="0.3">
      <c r="A17" s="17">
        <f t="shared" si="2"/>
        <v>16</v>
      </c>
      <c r="B17" s="18" t="s">
        <v>13</v>
      </c>
      <c r="C17" s="19">
        <v>45565</v>
      </c>
      <c r="D17" s="17">
        <v>-2</v>
      </c>
      <c r="E17" s="19">
        <f t="shared" si="0"/>
        <v>45504</v>
      </c>
      <c r="F17" s="19">
        <f t="shared" si="1"/>
        <v>45322</v>
      </c>
      <c r="G17" s="17" t="s">
        <v>14</v>
      </c>
      <c r="H17" s="20" t="s">
        <v>35</v>
      </c>
      <c r="I17" s="17" t="s">
        <v>27</v>
      </c>
      <c r="J17" s="17" t="s">
        <v>29</v>
      </c>
      <c r="K17" s="17" t="s">
        <v>28</v>
      </c>
      <c r="L17" s="29">
        <v>7</v>
      </c>
      <c r="M17" s="30">
        <v>1.56</v>
      </c>
    </row>
    <row r="18" spans="1:13" x14ac:dyDescent="0.3">
      <c r="A18" s="17">
        <f t="shared" si="2"/>
        <v>17</v>
      </c>
      <c r="B18" s="18" t="s">
        <v>13</v>
      </c>
      <c r="C18" s="19">
        <v>45565</v>
      </c>
      <c r="D18" s="17">
        <v>-2</v>
      </c>
      <c r="E18" s="19">
        <f t="shared" si="0"/>
        <v>45504</v>
      </c>
      <c r="F18" s="19">
        <f t="shared" si="1"/>
        <v>45322</v>
      </c>
      <c r="G18" s="17" t="s">
        <v>14</v>
      </c>
      <c r="H18" s="20" t="s">
        <v>36</v>
      </c>
      <c r="I18" s="17" t="s">
        <v>27</v>
      </c>
      <c r="J18" s="17" t="s">
        <v>29</v>
      </c>
      <c r="K18" s="17" t="s">
        <v>28</v>
      </c>
      <c r="L18" s="29">
        <v>1</v>
      </c>
      <c r="M18" s="30">
        <v>8</v>
      </c>
    </row>
    <row r="19" spans="1:13" x14ac:dyDescent="0.3">
      <c r="A19" s="17">
        <f t="shared" si="2"/>
        <v>18</v>
      </c>
      <c r="B19" s="18" t="s">
        <v>13</v>
      </c>
      <c r="C19" s="19">
        <v>45565</v>
      </c>
      <c r="D19" s="17">
        <v>-2</v>
      </c>
      <c r="E19" s="19">
        <f t="shared" si="0"/>
        <v>45504</v>
      </c>
      <c r="F19" s="19">
        <f t="shared" si="1"/>
        <v>45322</v>
      </c>
      <c r="G19" s="17" t="s">
        <v>14</v>
      </c>
      <c r="H19" s="20" t="s">
        <v>37</v>
      </c>
      <c r="I19" s="17" t="s">
        <v>27</v>
      </c>
      <c r="J19" s="17" t="s">
        <v>29</v>
      </c>
      <c r="K19" s="17" t="s">
        <v>28</v>
      </c>
      <c r="L19" s="29">
        <v>2</v>
      </c>
      <c r="M19" s="30">
        <v>6.78</v>
      </c>
    </row>
    <row r="20" spans="1:13" x14ac:dyDescent="0.3">
      <c r="A20" s="17">
        <f t="shared" si="2"/>
        <v>19</v>
      </c>
      <c r="B20" s="18" t="s">
        <v>13</v>
      </c>
      <c r="C20" s="19">
        <v>45565</v>
      </c>
      <c r="D20" s="17">
        <v>-2</v>
      </c>
      <c r="E20" s="19">
        <f t="shared" si="0"/>
        <v>45504</v>
      </c>
      <c r="F20" s="19">
        <f t="shared" si="1"/>
        <v>45322</v>
      </c>
      <c r="G20" s="17" t="s">
        <v>14</v>
      </c>
      <c r="H20" s="20" t="s">
        <v>38</v>
      </c>
      <c r="I20" s="17" t="s">
        <v>27</v>
      </c>
      <c r="J20" s="17" t="s">
        <v>29</v>
      </c>
      <c r="K20" s="17" t="s">
        <v>28</v>
      </c>
      <c r="L20" s="29">
        <v>3</v>
      </c>
      <c r="M20" s="30">
        <v>4.68</v>
      </c>
    </row>
    <row r="21" spans="1:13" x14ac:dyDescent="0.3">
      <c r="A21" s="17">
        <f t="shared" si="2"/>
        <v>20</v>
      </c>
      <c r="B21" s="18" t="s">
        <v>13</v>
      </c>
      <c r="C21" s="19">
        <v>45565</v>
      </c>
      <c r="D21" s="17">
        <v>-2</v>
      </c>
      <c r="E21" s="19">
        <f t="shared" si="0"/>
        <v>45504</v>
      </c>
      <c r="F21" s="19">
        <f t="shared" si="1"/>
        <v>45322</v>
      </c>
      <c r="G21" s="17" t="s">
        <v>14</v>
      </c>
      <c r="H21" s="20" t="s">
        <v>39</v>
      </c>
      <c r="I21" s="17" t="s">
        <v>27</v>
      </c>
      <c r="J21" s="17" t="s">
        <v>29</v>
      </c>
      <c r="K21" s="17" t="s">
        <v>28</v>
      </c>
      <c r="L21" s="29">
        <v>4</v>
      </c>
      <c r="M21" s="30">
        <v>5.78</v>
      </c>
    </row>
    <row r="22" spans="1:13" ht="17.25" thickBot="1" x14ac:dyDescent="0.35">
      <c r="A22" s="17">
        <f t="shared" si="2"/>
        <v>21</v>
      </c>
      <c r="B22" s="21" t="s">
        <v>13</v>
      </c>
      <c r="C22" s="22">
        <v>45565</v>
      </c>
      <c r="D22" s="23">
        <v>-2</v>
      </c>
      <c r="E22" s="22">
        <f t="shared" si="0"/>
        <v>45504</v>
      </c>
      <c r="F22" s="22">
        <f t="shared" si="1"/>
        <v>45322</v>
      </c>
      <c r="G22" s="23" t="s">
        <v>14</v>
      </c>
      <c r="H22" s="24" t="s">
        <v>40</v>
      </c>
      <c r="I22" s="23" t="s">
        <v>27</v>
      </c>
      <c r="J22" s="23" t="s">
        <v>29</v>
      </c>
      <c r="K22" s="23" t="s">
        <v>28</v>
      </c>
      <c r="L22" s="32">
        <v>0.56000000000000005</v>
      </c>
      <c r="M22" s="33">
        <v>4.67</v>
      </c>
    </row>
    <row r="23" spans="1:13" x14ac:dyDescent="0.3">
      <c r="A23" s="17">
        <f t="shared" si="2"/>
        <v>22</v>
      </c>
      <c r="B23" s="13" t="s">
        <v>42</v>
      </c>
      <c r="C23" s="14">
        <v>45565</v>
      </c>
      <c r="D23" s="15">
        <v>-2</v>
      </c>
      <c r="E23" s="14">
        <f t="shared" si="0"/>
        <v>45504</v>
      </c>
      <c r="F23" s="14">
        <f t="shared" si="1"/>
        <v>45322</v>
      </c>
      <c r="G23" s="15" t="s">
        <v>26</v>
      </c>
      <c r="H23" s="16" t="s">
        <v>16</v>
      </c>
      <c r="I23" s="15" t="s">
        <v>15</v>
      </c>
      <c r="J23" s="15" t="s">
        <v>11</v>
      </c>
      <c r="K23" s="15" t="s">
        <v>10</v>
      </c>
      <c r="L23" s="27">
        <v>1.2</v>
      </c>
      <c r="M23" s="28">
        <v>8.5299999999999994</v>
      </c>
    </row>
    <row r="24" spans="1:13" x14ac:dyDescent="0.3">
      <c r="A24" s="17">
        <f t="shared" si="2"/>
        <v>23</v>
      </c>
      <c r="B24" s="18" t="s">
        <v>42</v>
      </c>
      <c r="C24" s="19">
        <v>45565</v>
      </c>
      <c r="D24" s="17">
        <v>-2</v>
      </c>
      <c r="E24" s="19">
        <f t="shared" si="0"/>
        <v>45504</v>
      </c>
      <c r="F24" s="19">
        <f t="shared" si="1"/>
        <v>45322</v>
      </c>
      <c r="G24" s="17" t="s">
        <v>26</v>
      </c>
      <c r="H24" s="20" t="s">
        <v>17</v>
      </c>
      <c r="I24" s="17" t="s">
        <v>15</v>
      </c>
      <c r="J24" s="17" t="s">
        <v>11</v>
      </c>
      <c r="K24" s="17" t="s">
        <v>10</v>
      </c>
      <c r="L24" s="29">
        <v>1.35</v>
      </c>
      <c r="M24" s="30">
        <v>10.23</v>
      </c>
    </row>
    <row r="25" spans="1:13" x14ac:dyDescent="0.3">
      <c r="A25" s="17">
        <f t="shared" si="2"/>
        <v>24</v>
      </c>
      <c r="B25" s="18" t="s">
        <v>42</v>
      </c>
      <c r="C25" s="19">
        <v>45565</v>
      </c>
      <c r="D25" s="17">
        <v>-2</v>
      </c>
      <c r="E25" s="19">
        <f t="shared" si="0"/>
        <v>45504</v>
      </c>
      <c r="F25" s="19">
        <f t="shared" si="1"/>
        <v>45322</v>
      </c>
      <c r="G25" s="17" t="s">
        <v>26</v>
      </c>
      <c r="H25" s="20" t="s">
        <v>18</v>
      </c>
      <c r="I25" s="17" t="s">
        <v>15</v>
      </c>
      <c r="J25" s="17" t="s">
        <v>11</v>
      </c>
      <c r="K25" s="17" t="s">
        <v>10</v>
      </c>
      <c r="L25" s="29">
        <v>1.2</v>
      </c>
      <c r="M25" s="30">
        <v>1.86</v>
      </c>
    </row>
    <row r="26" spans="1:13" x14ac:dyDescent="0.3">
      <c r="A26" s="17">
        <f t="shared" si="2"/>
        <v>25</v>
      </c>
      <c r="B26" s="18" t="s">
        <v>42</v>
      </c>
      <c r="C26" s="19">
        <v>45565</v>
      </c>
      <c r="D26" s="17">
        <v>-2</v>
      </c>
      <c r="E26" s="19">
        <f t="shared" si="0"/>
        <v>45504</v>
      </c>
      <c r="F26" s="19">
        <f t="shared" si="1"/>
        <v>45322</v>
      </c>
      <c r="G26" s="17" t="s">
        <v>26</v>
      </c>
      <c r="H26" s="20" t="s">
        <v>19</v>
      </c>
      <c r="I26" s="17" t="s">
        <v>15</v>
      </c>
      <c r="J26" s="17" t="s">
        <v>11</v>
      </c>
      <c r="K26" s="17" t="s">
        <v>10</v>
      </c>
      <c r="L26" s="29">
        <v>1.1000000000000001</v>
      </c>
      <c r="M26" s="30">
        <v>2.9041000000000001</v>
      </c>
    </row>
    <row r="27" spans="1:13" x14ac:dyDescent="0.3">
      <c r="A27" s="17">
        <f t="shared" si="2"/>
        <v>26</v>
      </c>
      <c r="B27" s="18" t="s">
        <v>42</v>
      </c>
      <c r="C27" s="19">
        <v>45565</v>
      </c>
      <c r="D27" s="17">
        <v>-2</v>
      </c>
      <c r="E27" s="19">
        <f t="shared" si="0"/>
        <v>45504</v>
      </c>
      <c r="F27" s="19">
        <f t="shared" si="1"/>
        <v>45322</v>
      </c>
      <c r="G27" s="17" t="s">
        <v>26</v>
      </c>
      <c r="H27" s="20" t="s">
        <v>20</v>
      </c>
      <c r="I27" s="17" t="s">
        <v>15</v>
      </c>
      <c r="J27" s="17" t="s">
        <v>11</v>
      </c>
      <c r="K27" s="17" t="s">
        <v>10</v>
      </c>
      <c r="L27" s="29">
        <v>1.5</v>
      </c>
      <c r="M27" s="30">
        <v>3.5230000000000001</v>
      </c>
    </row>
    <row r="28" spans="1:13" x14ac:dyDescent="0.3">
      <c r="A28" s="17">
        <f t="shared" si="2"/>
        <v>27</v>
      </c>
      <c r="B28" s="18" t="s">
        <v>42</v>
      </c>
      <c r="C28" s="19">
        <v>45565</v>
      </c>
      <c r="D28" s="17">
        <v>-2</v>
      </c>
      <c r="E28" s="19">
        <f t="shared" si="0"/>
        <v>45504</v>
      </c>
      <c r="F28" s="19">
        <f t="shared" si="1"/>
        <v>45322</v>
      </c>
      <c r="G28" s="17" t="s">
        <v>26</v>
      </c>
      <c r="H28" s="20" t="s">
        <v>21</v>
      </c>
      <c r="I28" s="17" t="s">
        <v>15</v>
      </c>
      <c r="J28" s="17" t="s">
        <v>11</v>
      </c>
      <c r="K28" s="17" t="s">
        <v>10</v>
      </c>
      <c r="L28" s="29">
        <v>1.6</v>
      </c>
      <c r="M28" s="30">
        <v>1.24</v>
      </c>
    </row>
    <row r="29" spans="1:13" x14ac:dyDescent="0.3">
      <c r="A29" s="17">
        <f t="shared" si="2"/>
        <v>28</v>
      </c>
      <c r="B29" s="18" t="s">
        <v>42</v>
      </c>
      <c r="C29" s="19">
        <v>45565</v>
      </c>
      <c r="D29" s="17">
        <v>-2</v>
      </c>
      <c r="E29" s="19">
        <f t="shared" si="0"/>
        <v>45504</v>
      </c>
      <c r="F29" s="19">
        <f t="shared" si="1"/>
        <v>45322</v>
      </c>
      <c r="G29" s="17" t="s">
        <v>26</v>
      </c>
      <c r="H29" s="20" t="s">
        <v>22</v>
      </c>
      <c r="I29" s="17" t="s">
        <v>15</v>
      </c>
      <c r="J29" s="17" t="s">
        <v>11</v>
      </c>
      <c r="K29" s="17" t="s">
        <v>10</v>
      </c>
      <c r="L29" s="29">
        <v>5.3</v>
      </c>
      <c r="M29" s="30">
        <v>5.31</v>
      </c>
    </row>
    <row r="30" spans="1:13" x14ac:dyDescent="0.3">
      <c r="A30" s="17">
        <f t="shared" si="2"/>
        <v>29</v>
      </c>
      <c r="B30" s="18" t="s">
        <v>42</v>
      </c>
      <c r="C30" s="19">
        <v>45565</v>
      </c>
      <c r="D30" s="17">
        <v>-2</v>
      </c>
      <c r="E30" s="19">
        <f t="shared" si="0"/>
        <v>45504</v>
      </c>
      <c r="F30" s="19">
        <f t="shared" si="1"/>
        <v>45322</v>
      </c>
      <c r="G30" s="17" t="s">
        <v>26</v>
      </c>
      <c r="H30" s="20" t="s">
        <v>23</v>
      </c>
      <c r="I30" s="17" t="s">
        <v>15</v>
      </c>
      <c r="J30" s="17" t="s">
        <v>11</v>
      </c>
      <c r="K30" s="17" t="s">
        <v>10</v>
      </c>
      <c r="L30" s="29">
        <v>2.35</v>
      </c>
      <c r="M30" s="30">
        <v>2.35</v>
      </c>
    </row>
    <row r="31" spans="1:13" x14ac:dyDescent="0.3">
      <c r="A31" s="17">
        <f t="shared" si="2"/>
        <v>30</v>
      </c>
      <c r="B31" s="18" t="s">
        <v>42</v>
      </c>
      <c r="C31" s="19">
        <v>45565</v>
      </c>
      <c r="D31" s="17">
        <v>-2</v>
      </c>
      <c r="E31" s="19">
        <f t="shared" si="0"/>
        <v>45504</v>
      </c>
      <c r="F31" s="19">
        <f t="shared" si="1"/>
        <v>45322</v>
      </c>
      <c r="G31" s="17" t="s">
        <v>26</v>
      </c>
      <c r="H31" s="20" t="s">
        <v>24</v>
      </c>
      <c r="I31" s="17" t="s">
        <v>15</v>
      </c>
      <c r="J31" s="17" t="s">
        <v>11</v>
      </c>
      <c r="K31" s="17" t="s">
        <v>10</v>
      </c>
      <c r="L31" s="29">
        <v>1.6</v>
      </c>
      <c r="M31" s="30">
        <v>1.6339999999999999</v>
      </c>
    </row>
    <row r="32" spans="1:13" x14ac:dyDescent="0.3">
      <c r="A32" s="17">
        <f t="shared" si="2"/>
        <v>31</v>
      </c>
      <c r="B32" s="18" t="s">
        <v>42</v>
      </c>
      <c r="C32" s="19">
        <v>45565</v>
      </c>
      <c r="D32" s="17">
        <v>-2</v>
      </c>
      <c r="E32" s="19">
        <f t="shared" si="0"/>
        <v>45504</v>
      </c>
      <c r="F32" s="19">
        <f t="shared" si="1"/>
        <v>45322</v>
      </c>
      <c r="G32" s="17" t="s">
        <v>26</v>
      </c>
      <c r="H32" s="20" t="s">
        <v>25</v>
      </c>
      <c r="I32" s="17" t="s">
        <v>15</v>
      </c>
      <c r="J32" s="17" t="s">
        <v>11</v>
      </c>
      <c r="K32" s="17" t="s">
        <v>10</v>
      </c>
      <c r="L32" s="29">
        <v>3</v>
      </c>
      <c r="M32" s="30">
        <v>0.91239999999999999</v>
      </c>
    </row>
    <row r="33" spans="1:13" x14ac:dyDescent="0.3">
      <c r="A33" s="17">
        <f t="shared" si="2"/>
        <v>32</v>
      </c>
      <c r="B33" s="18" t="s">
        <v>42</v>
      </c>
      <c r="C33" s="19">
        <v>45565</v>
      </c>
      <c r="D33" s="17">
        <v>-2</v>
      </c>
      <c r="E33" s="19">
        <f t="shared" si="0"/>
        <v>45504</v>
      </c>
      <c r="F33" s="19">
        <f t="shared" si="1"/>
        <v>45322</v>
      </c>
      <c r="G33" s="17" t="s">
        <v>26</v>
      </c>
      <c r="H33" s="20" t="s">
        <v>30</v>
      </c>
      <c r="I33" s="17" t="s">
        <v>27</v>
      </c>
      <c r="J33" s="17" t="s">
        <v>29</v>
      </c>
      <c r="K33" s="17" t="s">
        <v>28</v>
      </c>
      <c r="L33" s="29">
        <v>2</v>
      </c>
      <c r="M33" s="30">
        <v>12.31</v>
      </c>
    </row>
    <row r="34" spans="1:13" x14ac:dyDescent="0.3">
      <c r="A34" s="17">
        <f t="shared" si="2"/>
        <v>33</v>
      </c>
      <c r="B34" s="18" t="s">
        <v>42</v>
      </c>
      <c r="C34" s="19">
        <v>45565</v>
      </c>
      <c r="D34" s="17">
        <v>-2</v>
      </c>
      <c r="E34" s="19">
        <f t="shared" ref="E34:E65" si="3">EOMONTH(C34,D34)</f>
        <v>45504</v>
      </c>
      <c r="F34" s="19">
        <f t="shared" ref="F34:F65" si="4">EOMONTH(E34,-6)</f>
        <v>45322</v>
      </c>
      <c r="G34" s="17" t="s">
        <v>26</v>
      </c>
      <c r="H34" s="20" t="s">
        <v>31</v>
      </c>
      <c r="I34" s="17" t="s">
        <v>27</v>
      </c>
      <c r="J34" s="17" t="s">
        <v>29</v>
      </c>
      <c r="K34" s="17" t="s">
        <v>28</v>
      </c>
      <c r="L34" s="29">
        <v>1</v>
      </c>
      <c r="M34" s="30">
        <v>3.52</v>
      </c>
    </row>
    <row r="35" spans="1:13" x14ac:dyDescent="0.3">
      <c r="A35" s="17">
        <f t="shared" ref="A35:A66" si="5">ROW()-1</f>
        <v>34</v>
      </c>
      <c r="B35" s="18" t="s">
        <v>42</v>
      </c>
      <c r="C35" s="19">
        <v>45565</v>
      </c>
      <c r="D35" s="17">
        <v>-2</v>
      </c>
      <c r="E35" s="19">
        <f t="shared" si="3"/>
        <v>45504</v>
      </c>
      <c r="F35" s="19">
        <f t="shared" si="4"/>
        <v>45322</v>
      </c>
      <c r="G35" s="17" t="s">
        <v>26</v>
      </c>
      <c r="H35" s="20" t="s">
        <v>32</v>
      </c>
      <c r="I35" s="17" t="s">
        <v>27</v>
      </c>
      <c r="J35" s="17" t="s">
        <v>29</v>
      </c>
      <c r="K35" s="17" t="s">
        <v>28</v>
      </c>
      <c r="L35" s="29">
        <v>5</v>
      </c>
      <c r="M35" s="31">
        <v>4.6500000000000004</v>
      </c>
    </row>
    <row r="36" spans="1:13" x14ac:dyDescent="0.3">
      <c r="A36" s="17">
        <f t="shared" si="5"/>
        <v>35</v>
      </c>
      <c r="B36" s="18" t="s">
        <v>42</v>
      </c>
      <c r="C36" s="19">
        <v>45565</v>
      </c>
      <c r="D36" s="17">
        <v>-2</v>
      </c>
      <c r="E36" s="19">
        <f t="shared" si="3"/>
        <v>45504</v>
      </c>
      <c r="F36" s="19">
        <f t="shared" si="4"/>
        <v>45322</v>
      </c>
      <c r="G36" s="17" t="s">
        <v>26</v>
      </c>
      <c r="H36" s="20" t="s">
        <v>33</v>
      </c>
      <c r="I36" s="17" t="s">
        <v>27</v>
      </c>
      <c r="J36" s="17" t="s">
        <v>29</v>
      </c>
      <c r="K36" s="17" t="s">
        <v>28</v>
      </c>
      <c r="L36" s="29">
        <v>6</v>
      </c>
      <c r="M36" s="30">
        <v>12.3</v>
      </c>
    </row>
    <row r="37" spans="1:13" x14ac:dyDescent="0.3">
      <c r="A37" s="17">
        <f t="shared" si="5"/>
        <v>36</v>
      </c>
      <c r="B37" s="18" t="s">
        <v>42</v>
      </c>
      <c r="C37" s="19">
        <v>45565</v>
      </c>
      <c r="D37" s="17">
        <v>-2</v>
      </c>
      <c r="E37" s="19">
        <f t="shared" si="3"/>
        <v>45504</v>
      </c>
      <c r="F37" s="19">
        <f t="shared" si="4"/>
        <v>45322</v>
      </c>
      <c r="G37" s="17" t="s">
        <v>26</v>
      </c>
      <c r="H37" s="20" t="s">
        <v>34</v>
      </c>
      <c r="I37" s="17" t="s">
        <v>27</v>
      </c>
      <c r="J37" s="17" t="s">
        <v>29</v>
      </c>
      <c r="K37" s="17" t="s">
        <v>28</v>
      </c>
      <c r="L37" s="29">
        <v>7</v>
      </c>
      <c r="M37" s="30">
        <v>2.2999999999999998</v>
      </c>
    </row>
    <row r="38" spans="1:13" x14ac:dyDescent="0.3">
      <c r="A38" s="17">
        <f t="shared" si="5"/>
        <v>37</v>
      </c>
      <c r="B38" s="18" t="s">
        <v>42</v>
      </c>
      <c r="C38" s="19">
        <v>45565</v>
      </c>
      <c r="D38" s="17">
        <v>-2</v>
      </c>
      <c r="E38" s="19">
        <f t="shared" si="3"/>
        <v>45504</v>
      </c>
      <c r="F38" s="19">
        <f t="shared" si="4"/>
        <v>45322</v>
      </c>
      <c r="G38" s="17" t="s">
        <v>26</v>
      </c>
      <c r="H38" s="20" t="s">
        <v>35</v>
      </c>
      <c r="I38" s="17" t="s">
        <v>27</v>
      </c>
      <c r="J38" s="17" t="s">
        <v>29</v>
      </c>
      <c r="K38" s="17" t="s">
        <v>28</v>
      </c>
      <c r="L38" s="29">
        <v>7</v>
      </c>
      <c r="M38" s="30">
        <v>1.56</v>
      </c>
    </row>
    <row r="39" spans="1:13" x14ac:dyDescent="0.3">
      <c r="A39" s="17">
        <f t="shared" si="5"/>
        <v>38</v>
      </c>
      <c r="B39" s="18" t="s">
        <v>42</v>
      </c>
      <c r="C39" s="19">
        <v>45565</v>
      </c>
      <c r="D39" s="17">
        <v>-2</v>
      </c>
      <c r="E39" s="19">
        <f t="shared" si="3"/>
        <v>45504</v>
      </c>
      <c r="F39" s="19">
        <f t="shared" si="4"/>
        <v>45322</v>
      </c>
      <c r="G39" s="17" t="s">
        <v>26</v>
      </c>
      <c r="H39" s="20" t="s">
        <v>36</v>
      </c>
      <c r="I39" s="17" t="s">
        <v>27</v>
      </c>
      <c r="J39" s="17" t="s">
        <v>29</v>
      </c>
      <c r="K39" s="17" t="s">
        <v>28</v>
      </c>
      <c r="L39" s="29">
        <v>1</v>
      </c>
      <c r="M39" s="30">
        <v>8</v>
      </c>
    </row>
    <row r="40" spans="1:13" x14ac:dyDescent="0.3">
      <c r="A40" s="17">
        <f t="shared" si="5"/>
        <v>39</v>
      </c>
      <c r="B40" s="18" t="s">
        <v>42</v>
      </c>
      <c r="C40" s="19">
        <v>45565</v>
      </c>
      <c r="D40" s="17">
        <v>-2</v>
      </c>
      <c r="E40" s="19">
        <f t="shared" si="3"/>
        <v>45504</v>
      </c>
      <c r="F40" s="19">
        <f t="shared" si="4"/>
        <v>45322</v>
      </c>
      <c r="G40" s="17" t="s">
        <v>26</v>
      </c>
      <c r="H40" s="20" t="s">
        <v>37</v>
      </c>
      <c r="I40" s="17" t="s">
        <v>27</v>
      </c>
      <c r="J40" s="17" t="s">
        <v>29</v>
      </c>
      <c r="K40" s="17" t="s">
        <v>28</v>
      </c>
      <c r="L40" s="29">
        <v>2</v>
      </c>
      <c r="M40" s="30">
        <v>6.78</v>
      </c>
    </row>
    <row r="41" spans="1:13" x14ac:dyDescent="0.3">
      <c r="A41" s="17">
        <f t="shared" si="5"/>
        <v>40</v>
      </c>
      <c r="B41" s="18" t="s">
        <v>42</v>
      </c>
      <c r="C41" s="19">
        <v>45565</v>
      </c>
      <c r="D41" s="17">
        <v>-2</v>
      </c>
      <c r="E41" s="19">
        <f t="shared" si="3"/>
        <v>45504</v>
      </c>
      <c r="F41" s="19">
        <f t="shared" si="4"/>
        <v>45322</v>
      </c>
      <c r="G41" s="17" t="s">
        <v>26</v>
      </c>
      <c r="H41" s="20" t="s">
        <v>38</v>
      </c>
      <c r="I41" s="17" t="s">
        <v>27</v>
      </c>
      <c r="J41" s="17" t="s">
        <v>29</v>
      </c>
      <c r="K41" s="17" t="s">
        <v>28</v>
      </c>
      <c r="L41" s="29">
        <v>3</v>
      </c>
      <c r="M41" s="30">
        <v>4.68</v>
      </c>
    </row>
    <row r="42" spans="1:13" x14ac:dyDescent="0.3">
      <c r="A42" s="17">
        <f t="shared" si="5"/>
        <v>41</v>
      </c>
      <c r="B42" s="18" t="s">
        <v>42</v>
      </c>
      <c r="C42" s="19">
        <v>45565</v>
      </c>
      <c r="D42" s="17">
        <v>-2</v>
      </c>
      <c r="E42" s="19">
        <f t="shared" si="3"/>
        <v>45504</v>
      </c>
      <c r="F42" s="19">
        <f t="shared" si="4"/>
        <v>45322</v>
      </c>
      <c r="G42" s="17" t="s">
        <v>26</v>
      </c>
      <c r="H42" s="20" t="s">
        <v>39</v>
      </c>
      <c r="I42" s="17" t="s">
        <v>27</v>
      </c>
      <c r="J42" s="17" t="s">
        <v>29</v>
      </c>
      <c r="K42" s="17" t="s">
        <v>28</v>
      </c>
      <c r="L42" s="29">
        <v>4</v>
      </c>
      <c r="M42" s="30">
        <v>5.78</v>
      </c>
    </row>
    <row r="43" spans="1:13" ht="17.25" thickBot="1" x14ac:dyDescent="0.35">
      <c r="A43" s="17">
        <f t="shared" si="5"/>
        <v>42</v>
      </c>
      <c r="B43" s="21" t="s">
        <v>42</v>
      </c>
      <c r="C43" s="22">
        <v>45565</v>
      </c>
      <c r="D43" s="23">
        <v>-2</v>
      </c>
      <c r="E43" s="22">
        <f t="shared" si="3"/>
        <v>45504</v>
      </c>
      <c r="F43" s="22">
        <f t="shared" si="4"/>
        <v>45322</v>
      </c>
      <c r="G43" s="23" t="s">
        <v>26</v>
      </c>
      <c r="H43" s="24" t="s">
        <v>40</v>
      </c>
      <c r="I43" s="23" t="s">
        <v>27</v>
      </c>
      <c r="J43" s="23" t="s">
        <v>29</v>
      </c>
      <c r="K43" s="23" t="s">
        <v>28</v>
      </c>
      <c r="L43" s="32">
        <v>0.56000000000000005</v>
      </c>
      <c r="M43" s="33">
        <v>4.67</v>
      </c>
    </row>
    <row r="44" spans="1:13" x14ac:dyDescent="0.3">
      <c r="A44" s="17">
        <f t="shared" si="5"/>
        <v>43</v>
      </c>
      <c r="B44" s="13" t="s">
        <v>42</v>
      </c>
      <c r="C44" s="14">
        <v>45565</v>
      </c>
      <c r="D44" s="15">
        <v>-2</v>
      </c>
      <c r="E44" s="14">
        <f t="shared" si="3"/>
        <v>45504</v>
      </c>
      <c r="F44" s="14">
        <f t="shared" si="4"/>
        <v>45322</v>
      </c>
      <c r="G44" s="15" t="s">
        <v>14</v>
      </c>
      <c r="H44" s="16" t="s">
        <v>16</v>
      </c>
      <c r="I44" s="15" t="s">
        <v>15</v>
      </c>
      <c r="J44" s="15" t="s">
        <v>11</v>
      </c>
      <c r="K44" s="15" t="s">
        <v>10</v>
      </c>
      <c r="L44" s="27">
        <v>1.2</v>
      </c>
      <c r="M44" s="28">
        <v>8.5299999999999994</v>
      </c>
    </row>
    <row r="45" spans="1:13" x14ac:dyDescent="0.3">
      <c r="A45" s="17">
        <f t="shared" si="5"/>
        <v>44</v>
      </c>
      <c r="B45" s="18" t="s">
        <v>13</v>
      </c>
      <c r="C45" s="19">
        <v>45565</v>
      </c>
      <c r="D45" s="17">
        <v>-2</v>
      </c>
      <c r="E45" s="19">
        <f t="shared" si="3"/>
        <v>45504</v>
      </c>
      <c r="F45" s="19">
        <f t="shared" si="4"/>
        <v>45322</v>
      </c>
      <c r="G45" s="17" t="s">
        <v>14</v>
      </c>
      <c r="H45" s="20" t="s">
        <v>17</v>
      </c>
      <c r="I45" s="17" t="s">
        <v>15</v>
      </c>
      <c r="J45" s="17" t="s">
        <v>11</v>
      </c>
      <c r="K45" s="17" t="s">
        <v>10</v>
      </c>
      <c r="L45" s="29">
        <v>1.35</v>
      </c>
      <c r="M45" s="30">
        <v>10.23</v>
      </c>
    </row>
    <row r="46" spans="1:13" x14ac:dyDescent="0.3">
      <c r="A46" s="17">
        <f t="shared" si="5"/>
        <v>45</v>
      </c>
      <c r="B46" s="18" t="s">
        <v>13</v>
      </c>
      <c r="C46" s="19">
        <v>45565</v>
      </c>
      <c r="D46" s="17">
        <v>-2</v>
      </c>
      <c r="E46" s="19">
        <f t="shared" si="3"/>
        <v>45504</v>
      </c>
      <c r="F46" s="19">
        <f t="shared" si="4"/>
        <v>45322</v>
      </c>
      <c r="G46" s="17" t="s">
        <v>14</v>
      </c>
      <c r="H46" s="20" t="s">
        <v>18</v>
      </c>
      <c r="I46" s="17" t="s">
        <v>15</v>
      </c>
      <c r="J46" s="17" t="s">
        <v>11</v>
      </c>
      <c r="K46" s="17" t="s">
        <v>10</v>
      </c>
      <c r="L46" s="29">
        <v>1.2</v>
      </c>
      <c r="M46" s="30">
        <v>1.86</v>
      </c>
    </row>
    <row r="47" spans="1:13" x14ac:dyDescent="0.3">
      <c r="A47" s="17">
        <f t="shared" si="5"/>
        <v>46</v>
      </c>
      <c r="B47" s="18" t="s">
        <v>13</v>
      </c>
      <c r="C47" s="19">
        <v>45565</v>
      </c>
      <c r="D47" s="17">
        <v>-2</v>
      </c>
      <c r="E47" s="19">
        <f t="shared" si="3"/>
        <v>45504</v>
      </c>
      <c r="F47" s="19">
        <f t="shared" si="4"/>
        <v>45322</v>
      </c>
      <c r="G47" s="17" t="s">
        <v>14</v>
      </c>
      <c r="H47" s="20" t="s">
        <v>19</v>
      </c>
      <c r="I47" s="17" t="s">
        <v>15</v>
      </c>
      <c r="J47" s="17" t="s">
        <v>11</v>
      </c>
      <c r="K47" s="17" t="s">
        <v>10</v>
      </c>
      <c r="L47" s="29">
        <v>1.1000000000000001</v>
      </c>
      <c r="M47" s="30">
        <v>2.9041000000000001</v>
      </c>
    </row>
    <row r="48" spans="1:13" x14ac:dyDescent="0.3">
      <c r="A48" s="17">
        <f t="shared" si="5"/>
        <v>47</v>
      </c>
      <c r="B48" s="18" t="s">
        <v>13</v>
      </c>
      <c r="C48" s="19">
        <v>45565</v>
      </c>
      <c r="D48" s="17">
        <v>-2</v>
      </c>
      <c r="E48" s="19">
        <f t="shared" si="3"/>
        <v>45504</v>
      </c>
      <c r="F48" s="19">
        <f t="shared" si="4"/>
        <v>45322</v>
      </c>
      <c r="G48" s="17" t="s">
        <v>14</v>
      </c>
      <c r="H48" s="20" t="s">
        <v>20</v>
      </c>
      <c r="I48" s="17" t="s">
        <v>15</v>
      </c>
      <c r="J48" s="17" t="s">
        <v>11</v>
      </c>
      <c r="K48" s="17" t="s">
        <v>10</v>
      </c>
      <c r="L48" s="29">
        <v>1.5</v>
      </c>
      <c r="M48" s="30">
        <v>3.5230000000000001</v>
      </c>
    </row>
    <row r="49" spans="1:13" x14ac:dyDescent="0.3">
      <c r="A49" s="17">
        <f t="shared" si="5"/>
        <v>48</v>
      </c>
      <c r="B49" s="18" t="s">
        <v>13</v>
      </c>
      <c r="C49" s="19">
        <v>45565</v>
      </c>
      <c r="D49" s="17">
        <v>-2</v>
      </c>
      <c r="E49" s="19">
        <f t="shared" si="3"/>
        <v>45504</v>
      </c>
      <c r="F49" s="19">
        <f t="shared" si="4"/>
        <v>45322</v>
      </c>
      <c r="G49" s="17" t="s">
        <v>14</v>
      </c>
      <c r="H49" s="20" t="s">
        <v>21</v>
      </c>
      <c r="I49" s="17" t="s">
        <v>15</v>
      </c>
      <c r="J49" s="17" t="s">
        <v>11</v>
      </c>
      <c r="K49" s="17" t="s">
        <v>10</v>
      </c>
      <c r="L49" s="29">
        <v>1.6</v>
      </c>
      <c r="M49" s="30">
        <v>1.24</v>
      </c>
    </row>
    <row r="50" spans="1:13" x14ac:dyDescent="0.3">
      <c r="A50" s="17">
        <f t="shared" si="5"/>
        <v>49</v>
      </c>
      <c r="B50" s="18" t="s">
        <v>13</v>
      </c>
      <c r="C50" s="19">
        <v>45565</v>
      </c>
      <c r="D50" s="17">
        <v>-2</v>
      </c>
      <c r="E50" s="19">
        <f t="shared" si="3"/>
        <v>45504</v>
      </c>
      <c r="F50" s="19">
        <f t="shared" si="4"/>
        <v>45322</v>
      </c>
      <c r="G50" s="17" t="s">
        <v>14</v>
      </c>
      <c r="H50" s="20" t="s">
        <v>22</v>
      </c>
      <c r="I50" s="17" t="s">
        <v>15</v>
      </c>
      <c r="J50" s="17" t="s">
        <v>11</v>
      </c>
      <c r="K50" s="17" t="s">
        <v>10</v>
      </c>
      <c r="L50" s="29">
        <v>5.3</v>
      </c>
      <c r="M50" s="30">
        <v>5.31</v>
      </c>
    </row>
    <row r="51" spans="1:13" x14ac:dyDescent="0.3">
      <c r="A51" s="17">
        <f t="shared" si="5"/>
        <v>50</v>
      </c>
      <c r="B51" s="18" t="s">
        <v>13</v>
      </c>
      <c r="C51" s="19">
        <v>45565</v>
      </c>
      <c r="D51" s="17">
        <v>-2</v>
      </c>
      <c r="E51" s="19">
        <f t="shared" si="3"/>
        <v>45504</v>
      </c>
      <c r="F51" s="19">
        <f t="shared" si="4"/>
        <v>45322</v>
      </c>
      <c r="G51" s="17" t="s">
        <v>14</v>
      </c>
      <c r="H51" s="20" t="s">
        <v>23</v>
      </c>
      <c r="I51" s="17" t="s">
        <v>15</v>
      </c>
      <c r="J51" s="17" t="s">
        <v>11</v>
      </c>
      <c r="K51" s="17" t="s">
        <v>10</v>
      </c>
      <c r="L51" s="29">
        <v>2.35</v>
      </c>
      <c r="M51" s="30">
        <v>2.35</v>
      </c>
    </row>
    <row r="52" spans="1:13" x14ac:dyDescent="0.3">
      <c r="A52" s="17">
        <f t="shared" si="5"/>
        <v>51</v>
      </c>
      <c r="B52" s="18" t="s">
        <v>13</v>
      </c>
      <c r="C52" s="19">
        <v>45565</v>
      </c>
      <c r="D52" s="17">
        <v>-2</v>
      </c>
      <c r="E52" s="19">
        <f t="shared" si="3"/>
        <v>45504</v>
      </c>
      <c r="F52" s="19">
        <f t="shared" si="4"/>
        <v>45322</v>
      </c>
      <c r="G52" s="17" t="s">
        <v>14</v>
      </c>
      <c r="H52" s="20" t="s">
        <v>24</v>
      </c>
      <c r="I52" s="17" t="s">
        <v>15</v>
      </c>
      <c r="J52" s="17" t="s">
        <v>11</v>
      </c>
      <c r="K52" s="17" t="s">
        <v>10</v>
      </c>
      <c r="L52" s="29">
        <v>1.6</v>
      </c>
      <c r="M52" s="30">
        <v>1.6339999999999999</v>
      </c>
    </row>
    <row r="53" spans="1:13" x14ac:dyDescent="0.3">
      <c r="A53" s="17">
        <f t="shared" si="5"/>
        <v>52</v>
      </c>
      <c r="B53" s="18" t="s">
        <v>13</v>
      </c>
      <c r="C53" s="19">
        <v>45565</v>
      </c>
      <c r="D53" s="17">
        <v>-2</v>
      </c>
      <c r="E53" s="19">
        <f t="shared" si="3"/>
        <v>45504</v>
      </c>
      <c r="F53" s="19">
        <f t="shared" si="4"/>
        <v>45322</v>
      </c>
      <c r="G53" s="17" t="s">
        <v>14</v>
      </c>
      <c r="H53" s="20" t="s">
        <v>25</v>
      </c>
      <c r="I53" s="17" t="s">
        <v>15</v>
      </c>
      <c r="J53" s="17" t="s">
        <v>11</v>
      </c>
      <c r="K53" s="17" t="s">
        <v>10</v>
      </c>
      <c r="L53" s="29">
        <v>3</v>
      </c>
      <c r="M53" s="30">
        <v>0.91239999999999999</v>
      </c>
    </row>
    <row r="54" spans="1:13" x14ac:dyDescent="0.3">
      <c r="A54" s="17">
        <f t="shared" si="5"/>
        <v>53</v>
      </c>
      <c r="B54" s="18" t="s">
        <v>13</v>
      </c>
      <c r="C54" s="19">
        <v>45565</v>
      </c>
      <c r="D54" s="17">
        <v>-2</v>
      </c>
      <c r="E54" s="19">
        <f t="shared" si="3"/>
        <v>45504</v>
      </c>
      <c r="F54" s="19">
        <f t="shared" si="4"/>
        <v>45322</v>
      </c>
      <c r="G54" s="17" t="s">
        <v>14</v>
      </c>
      <c r="H54" s="20" t="s">
        <v>30</v>
      </c>
      <c r="I54" s="17" t="s">
        <v>27</v>
      </c>
      <c r="J54" s="17" t="s">
        <v>29</v>
      </c>
      <c r="K54" s="17" t="s">
        <v>28</v>
      </c>
      <c r="L54" s="29">
        <v>2</v>
      </c>
      <c r="M54" s="30">
        <v>12.31</v>
      </c>
    </row>
    <row r="55" spans="1:13" x14ac:dyDescent="0.3">
      <c r="A55" s="17">
        <f t="shared" si="5"/>
        <v>54</v>
      </c>
      <c r="B55" s="18" t="s">
        <v>13</v>
      </c>
      <c r="C55" s="19">
        <v>45565</v>
      </c>
      <c r="D55" s="17">
        <v>-2</v>
      </c>
      <c r="E55" s="19">
        <f t="shared" si="3"/>
        <v>45504</v>
      </c>
      <c r="F55" s="19">
        <f t="shared" si="4"/>
        <v>45322</v>
      </c>
      <c r="G55" s="17" t="s">
        <v>14</v>
      </c>
      <c r="H55" s="20" t="s">
        <v>31</v>
      </c>
      <c r="I55" s="17" t="s">
        <v>27</v>
      </c>
      <c r="J55" s="17" t="s">
        <v>29</v>
      </c>
      <c r="K55" s="17" t="s">
        <v>28</v>
      </c>
      <c r="L55" s="29">
        <v>1</v>
      </c>
      <c r="M55" s="30">
        <v>3.52</v>
      </c>
    </row>
    <row r="56" spans="1:13" x14ac:dyDescent="0.3">
      <c r="A56" s="17">
        <f t="shared" si="5"/>
        <v>55</v>
      </c>
      <c r="B56" s="18" t="s">
        <v>13</v>
      </c>
      <c r="C56" s="19">
        <v>45565</v>
      </c>
      <c r="D56" s="17">
        <v>-2</v>
      </c>
      <c r="E56" s="19">
        <f t="shared" si="3"/>
        <v>45504</v>
      </c>
      <c r="F56" s="19">
        <f t="shared" si="4"/>
        <v>45322</v>
      </c>
      <c r="G56" s="17" t="s">
        <v>14</v>
      </c>
      <c r="H56" s="20" t="s">
        <v>32</v>
      </c>
      <c r="I56" s="17" t="s">
        <v>27</v>
      </c>
      <c r="J56" s="17" t="s">
        <v>29</v>
      </c>
      <c r="K56" s="17" t="s">
        <v>28</v>
      </c>
      <c r="L56" s="29">
        <v>5</v>
      </c>
      <c r="M56" s="31">
        <v>4.6500000000000004</v>
      </c>
    </row>
    <row r="57" spans="1:13" x14ac:dyDescent="0.3">
      <c r="A57" s="17">
        <f t="shared" si="5"/>
        <v>56</v>
      </c>
      <c r="B57" s="18" t="s">
        <v>13</v>
      </c>
      <c r="C57" s="19">
        <v>45565</v>
      </c>
      <c r="D57" s="17">
        <v>-2</v>
      </c>
      <c r="E57" s="19">
        <f t="shared" si="3"/>
        <v>45504</v>
      </c>
      <c r="F57" s="19">
        <f t="shared" si="4"/>
        <v>45322</v>
      </c>
      <c r="G57" s="17" t="s">
        <v>14</v>
      </c>
      <c r="H57" s="20" t="s">
        <v>33</v>
      </c>
      <c r="I57" s="17" t="s">
        <v>27</v>
      </c>
      <c r="J57" s="17" t="s">
        <v>29</v>
      </c>
      <c r="K57" s="17" t="s">
        <v>28</v>
      </c>
      <c r="L57" s="29">
        <v>6</v>
      </c>
      <c r="M57" s="30">
        <v>12.3</v>
      </c>
    </row>
    <row r="58" spans="1:13" x14ac:dyDescent="0.3">
      <c r="A58" s="17">
        <f t="shared" si="5"/>
        <v>57</v>
      </c>
      <c r="B58" s="18" t="s">
        <v>13</v>
      </c>
      <c r="C58" s="19">
        <v>45565</v>
      </c>
      <c r="D58" s="17">
        <v>-2</v>
      </c>
      <c r="E58" s="19">
        <f t="shared" si="3"/>
        <v>45504</v>
      </c>
      <c r="F58" s="19">
        <f t="shared" si="4"/>
        <v>45322</v>
      </c>
      <c r="G58" s="17" t="s">
        <v>14</v>
      </c>
      <c r="H58" s="20" t="s">
        <v>34</v>
      </c>
      <c r="I58" s="17" t="s">
        <v>27</v>
      </c>
      <c r="J58" s="17" t="s">
        <v>29</v>
      </c>
      <c r="K58" s="17" t="s">
        <v>28</v>
      </c>
      <c r="L58" s="29">
        <v>7</v>
      </c>
      <c r="M58" s="30">
        <v>2.2999999999999998</v>
      </c>
    </row>
    <row r="59" spans="1:13" x14ac:dyDescent="0.3">
      <c r="A59" s="17">
        <f t="shared" si="5"/>
        <v>58</v>
      </c>
      <c r="B59" s="18" t="s">
        <v>13</v>
      </c>
      <c r="C59" s="19">
        <v>45565</v>
      </c>
      <c r="D59" s="17">
        <v>-2</v>
      </c>
      <c r="E59" s="19">
        <f t="shared" si="3"/>
        <v>45504</v>
      </c>
      <c r="F59" s="19">
        <f t="shared" si="4"/>
        <v>45322</v>
      </c>
      <c r="G59" s="17" t="s">
        <v>14</v>
      </c>
      <c r="H59" s="20" t="s">
        <v>35</v>
      </c>
      <c r="I59" s="17" t="s">
        <v>27</v>
      </c>
      <c r="J59" s="17" t="s">
        <v>29</v>
      </c>
      <c r="K59" s="17" t="s">
        <v>28</v>
      </c>
      <c r="L59" s="29">
        <v>7</v>
      </c>
      <c r="M59" s="30">
        <v>1.56</v>
      </c>
    </row>
    <row r="60" spans="1:13" x14ac:dyDescent="0.3">
      <c r="A60" s="17">
        <f t="shared" si="5"/>
        <v>59</v>
      </c>
      <c r="B60" s="18" t="s">
        <v>13</v>
      </c>
      <c r="C60" s="19">
        <v>45565</v>
      </c>
      <c r="D60" s="17">
        <v>-2</v>
      </c>
      <c r="E60" s="19">
        <f t="shared" si="3"/>
        <v>45504</v>
      </c>
      <c r="F60" s="19">
        <f t="shared" si="4"/>
        <v>45322</v>
      </c>
      <c r="G60" s="17" t="s">
        <v>14</v>
      </c>
      <c r="H60" s="20" t="s">
        <v>36</v>
      </c>
      <c r="I60" s="17" t="s">
        <v>27</v>
      </c>
      <c r="J60" s="17" t="s">
        <v>29</v>
      </c>
      <c r="K60" s="17" t="s">
        <v>28</v>
      </c>
      <c r="L60" s="29">
        <v>1</v>
      </c>
      <c r="M60" s="30">
        <v>8</v>
      </c>
    </row>
    <row r="61" spans="1:13" x14ac:dyDescent="0.3">
      <c r="A61" s="17">
        <f t="shared" si="5"/>
        <v>60</v>
      </c>
      <c r="B61" s="18" t="s">
        <v>13</v>
      </c>
      <c r="C61" s="19">
        <v>45565</v>
      </c>
      <c r="D61" s="17">
        <v>-2</v>
      </c>
      <c r="E61" s="19">
        <f t="shared" si="3"/>
        <v>45504</v>
      </c>
      <c r="F61" s="19">
        <f t="shared" si="4"/>
        <v>45322</v>
      </c>
      <c r="G61" s="17" t="s">
        <v>14</v>
      </c>
      <c r="H61" s="20" t="s">
        <v>37</v>
      </c>
      <c r="I61" s="17" t="s">
        <v>27</v>
      </c>
      <c r="J61" s="17" t="s">
        <v>29</v>
      </c>
      <c r="K61" s="17" t="s">
        <v>28</v>
      </c>
      <c r="L61" s="29">
        <v>2</v>
      </c>
      <c r="M61" s="30">
        <v>6.78</v>
      </c>
    </row>
    <row r="62" spans="1:13" x14ac:dyDescent="0.3">
      <c r="A62" s="17">
        <f t="shared" si="5"/>
        <v>61</v>
      </c>
      <c r="B62" s="18" t="s">
        <v>13</v>
      </c>
      <c r="C62" s="19">
        <v>45565</v>
      </c>
      <c r="D62" s="17">
        <v>-2</v>
      </c>
      <c r="E62" s="19">
        <f t="shared" si="3"/>
        <v>45504</v>
      </c>
      <c r="F62" s="19">
        <f t="shared" si="4"/>
        <v>45322</v>
      </c>
      <c r="G62" s="17" t="s">
        <v>14</v>
      </c>
      <c r="H62" s="20" t="s">
        <v>38</v>
      </c>
      <c r="I62" s="17" t="s">
        <v>27</v>
      </c>
      <c r="J62" s="17" t="s">
        <v>29</v>
      </c>
      <c r="K62" s="17" t="s">
        <v>28</v>
      </c>
      <c r="L62" s="29">
        <v>3</v>
      </c>
      <c r="M62" s="30">
        <v>4.68</v>
      </c>
    </row>
    <row r="63" spans="1:13" x14ac:dyDescent="0.3">
      <c r="A63" s="17">
        <f t="shared" si="5"/>
        <v>62</v>
      </c>
      <c r="B63" s="18" t="s">
        <v>13</v>
      </c>
      <c r="C63" s="19">
        <v>45565</v>
      </c>
      <c r="D63" s="17">
        <v>-2</v>
      </c>
      <c r="E63" s="19">
        <f t="shared" si="3"/>
        <v>45504</v>
      </c>
      <c r="F63" s="19">
        <f t="shared" si="4"/>
        <v>45322</v>
      </c>
      <c r="G63" s="17" t="s">
        <v>14</v>
      </c>
      <c r="H63" s="20" t="s">
        <v>39</v>
      </c>
      <c r="I63" s="17" t="s">
        <v>27</v>
      </c>
      <c r="J63" s="17" t="s">
        <v>29</v>
      </c>
      <c r="K63" s="17" t="s">
        <v>28</v>
      </c>
      <c r="L63" s="29">
        <v>4</v>
      </c>
      <c r="M63" s="30">
        <v>5.78</v>
      </c>
    </row>
    <row r="64" spans="1:13" ht="17.25" thickBot="1" x14ac:dyDescent="0.35">
      <c r="A64" s="17">
        <f t="shared" si="5"/>
        <v>63</v>
      </c>
      <c r="B64" s="21" t="s">
        <v>13</v>
      </c>
      <c r="C64" s="22">
        <v>45565</v>
      </c>
      <c r="D64" s="23">
        <v>-2</v>
      </c>
      <c r="E64" s="22">
        <f t="shared" si="3"/>
        <v>45504</v>
      </c>
      <c r="F64" s="22">
        <f t="shared" si="4"/>
        <v>45322</v>
      </c>
      <c r="G64" s="23" t="s">
        <v>14</v>
      </c>
      <c r="H64" s="24" t="s">
        <v>40</v>
      </c>
      <c r="I64" s="23" t="s">
        <v>27</v>
      </c>
      <c r="J64" s="23" t="s">
        <v>29</v>
      </c>
      <c r="K64" s="23" t="s">
        <v>28</v>
      </c>
      <c r="L64" s="32">
        <v>0.56000000000000005</v>
      </c>
      <c r="M64" s="33">
        <v>4.67</v>
      </c>
    </row>
    <row r="65" spans="1:13" x14ac:dyDescent="0.3">
      <c r="A65" s="17">
        <f t="shared" si="5"/>
        <v>64</v>
      </c>
      <c r="B65" s="13" t="s">
        <v>42</v>
      </c>
      <c r="C65" s="14">
        <v>45565</v>
      </c>
      <c r="D65" s="15">
        <v>-2</v>
      </c>
      <c r="E65" s="14">
        <f t="shared" si="3"/>
        <v>45504</v>
      </c>
      <c r="F65" s="14">
        <f t="shared" si="4"/>
        <v>45322</v>
      </c>
      <c r="G65" s="15" t="s">
        <v>26</v>
      </c>
      <c r="H65" s="16" t="s">
        <v>16</v>
      </c>
      <c r="I65" s="15" t="s">
        <v>15</v>
      </c>
      <c r="J65" s="15" t="s">
        <v>11</v>
      </c>
      <c r="K65" s="15" t="s">
        <v>10</v>
      </c>
      <c r="L65" s="27">
        <v>1.2</v>
      </c>
      <c r="M65" s="28">
        <v>8.5299999999999994</v>
      </c>
    </row>
    <row r="66" spans="1:13" x14ac:dyDescent="0.3">
      <c r="A66" s="17">
        <f t="shared" si="5"/>
        <v>65</v>
      </c>
      <c r="B66" s="18" t="s">
        <v>42</v>
      </c>
      <c r="C66" s="19">
        <v>45565</v>
      </c>
      <c r="D66" s="17">
        <v>-2</v>
      </c>
      <c r="E66" s="19">
        <f t="shared" ref="E66:E97" si="6">EOMONTH(C66,D66)</f>
        <v>45504</v>
      </c>
      <c r="F66" s="19">
        <f t="shared" ref="F66:F97" si="7">EOMONTH(E66,-6)</f>
        <v>45322</v>
      </c>
      <c r="G66" s="17" t="s">
        <v>26</v>
      </c>
      <c r="H66" s="20" t="s">
        <v>17</v>
      </c>
      <c r="I66" s="17" t="s">
        <v>15</v>
      </c>
      <c r="J66" s="17" t="s">
        <v>11</v>
      </c>
      <c r="K66" s="17" t="s">
        <v>10</v>
      </c>
      <c r="L66" s="29">
        <v>1.35</v>
      </c>
      <c r="M66" s="30">
        <v>10.23</v>
      </c>
    </row>
    <row r="67" spans="1:13" x14ac:dyDescent="0.3">
      <c r="A67" s="17">
        <f t="shared" ref="A67:A98" si="8">ROW()-1</f>
        <v>66</v>
      </c>
      <c r="B67" s="18" t="s">
        <v>42</v>
      </c>
      <c r="C67" s="19">
        <v>45565</v>
      </c>
      <c r="D67" s="17">
        <v>-2</v>
      </c>
      <c r="E67" s="19">
        <f t="shared" si="6"/>
        <v>45504</v>
      </c>
      <c r="F67" s="19">
        <f t="shared" si="7"/>
        <v>45322</v>
      </c>
      <c r="G67" s="17" t="s">
        <v>26</v>
      </c>
      <c r="H67" s="20" t="s">
        <v>18</v>
      </c>
      <c r="I67" s="17" t="s">
        <v>15</v>
      </c>
      <c r="J67" s="17" t="s">
        <v>11</v>
      </c>
      <c r="K67" s="17" t="s">
        <v>10</v>
      </c>
      <c r="L67" s="29">
        <v>1.2</v>
      </c>
      <c r="M67" s="30">
        <v>1.86</v>
      </c>
    </row>
    <row r="68" spans="1:13" x14ac:dyDescent="0.3">
      <c r="A68" s="17">
        <f t="shared" si="8"/>
        <v>67</v>
      </c>
      <c r="B68" s="18" t="s">
        <v>42</v>
      </c>
      <c r="C68" s="19">
        <v>45565</v>
      </c>
      <c r="D68" s="17">
        <v>-2</v>
      </c>
      <c r="E68" s="19">
        <f t="shared" si="6"/>
        <v>45504</v>
      </c>
      <c r="F68" s="19">
        <f t="shared" si="7"/>
        <v>45322</v>
      </c>
      <c r="G68" s="17" t="s">
        <v>26</v>
      </c>
      <c r="H68" s="20" t="s">
        <v>19</v>
      </c>
      <c r="I68" s="17" t="s">
        <v>15</v>
      </c>
      <c r="J68" s="17" t="s">
        <v>11</v>
      </c>
      <c r="K68" s="17" t="s">
        <v>10</v>
      </c>
      <c r="L68" s="29">
        <v>1.1000000000000001</v>
      </c>
      <c r="M68" s="30">
        <v>2.9041000000000001</v>
      </c>
    </row>
    <row r="69" spans="1:13" x14ac:dyDescent="0.3">
      <c r="A69" s="17">
        <f t="shared" si="8"/>
        <v>68</v>
      </c>
      <c r="B69" s="18" t="s">
        <v>42</v>
      </c>
      <c r="C69" s="19">
        <v>45565</v>
      </c>
      <c r="D69" s="17">
        <v>-2</v>
      </c>
      <c r="E69" s="19">
        <f t="shared" si="6"/>
        <v>45504</v>
      </c>
      <c r="F69" s="19">
        <f t="shared" si="7"/>
        <v>45322</v>
      </c>
      <c r="G69" s="17" t="s">
        <v>26</v>
      </c>
      <c r="H69" s="20" t="s">
        <v>20</v>
      </c>
      <c r="I69" s="17" t="s">
        <v>15</v>
      </c>
      <c r="J69" s="17" t="s">
        <v>11</v>
      </c>
      <c r="K69" s="17" t="s">
        <v>10</v>
      </c>
      <c r="L69" s="29">
        <v>1.5</v>
      </c>
      <c r="M69" s="30">
        <v>3.5230000000000001</v>
      </c>
    </row>
    <row r="70" spans="1:13" x14ac:dyDescent="0.3">
      <c r="A70" s="17">
        <f t="shared" si="8"/>
        <v>69</v>
      </c>
      <c r="B70" s="18" t="s">
        <v>42</v>
      </c>
      <c r="C70" s="19">
        <v>45565</v>
      </c>
      <c r="D70" s="17">
        <v>-2</v>
      </c>
      <c r="E70" s="19">
        <f t="shared" si="6"/>
        <v>45504</v>
      </c>
      <c r="F70" s="19">
        <f t="shared" si="7"/>
        <v>45322</v>
      </c>
      <c r="G70" s="17" t="s">
        <v>26</v>
      </c>
      <c r="H70" s="20" t="s">
        <v>21</v>
      </c>
      <c r="I70" s="17" t="s">
        <v>15</v>
      </c>
      <c r="J70" s="17" t="s">
        <v>11</v>
      </c>
      <c r="K70" s="17" t="s">
        <v>10</v>
      </c>
      <c r="L70" s="29">
        <v>1.6</v>
      </c>
      <c r="M70" s="30">
        <v>1.24</v>
      </c>
    </row>
    <row r="71" spans="1:13" x14ac:dyDescent="0.3">
      <c r="A71" s="17">
        <f t="shared" si="8"/>
        <v>70</v>
      </c>
      <c r="B71" s="18" t="s">
        <v>42</v>
      </c>
      <c r="C71" s="19">
        <v>45565</v>
      </c>
      <c r="D71" s="17">
        <v>-2</v>
      </c>
      <c r="E71" s="19">
        <f t="shared" si="6"/>
        <v>45504</v>
      </c>
      <c r="F71" s="19">
        <f t="shared" si="7"/>
        <v>45322</v>
      </c>
      <c r="G71" s="17" t="s">
        <v>26</v>
      </c>
      <c r="H71" s="20" t="s">
        <v>22</v>
      </c>
      <c r="I71" s="17" t="s">
        <v>15</v>
      </c>
      <c r="J71" s="17" t="s">
        <v>11</v>
      </c>
      <c r="K71" s="17" t="s">
        <v>10</v>
      </c>
      <c r="L71" s="29">
        <v>5.3</v>
      </c>
      <c r="M71" s="30">
        <v>5.31</v>
      </c>
    </row>
    <row r="72" spans="1:13" x14ac:dyDescent="0.3">
      <c r="A72" s="17">
        <f t="shared" si="8"/>
        <v>71</v>
      </c>
      <c r="B72" s="18" t="s">
        <v>42</v>
      </c>
      <c r="C72" s="19">
        <v>45565</v>
      </c>
      <c r="D72" s="17">
        <v>-2</v>
      </c>
      <c r="E72" s="19">
        <f t="shared" si="6"/>
        <v>45504</v>
      </c>
      <c r="F72" s="19">
        <f t="shared" si="7"/>
        <v>45322</v>
      </c>
      <c r="G72" s="17" t="s">
        <v>26</v>
      </c>
      <c r="H72" s="20" t="s">
        <v>23</v>
      </c>
      <c r="I72" s="17" t="s">
        <v>15</v>
      </c>
      <c r="J72" s="17" t="s">
        <v>11</v>
      </c>
      <c r="K72" s="17" t="s">
        <v>10</v>
      </c>
      <c r="L72" s="29">
        <v>2.35</v>
      </c>
      <c r="M72" s="30">
        <v>2.35</v>
      </c>
    </row>
    <row r="73" spans="1:13" x14ac:dyDescent="0.3">
      <c r="A73" s="17">
        <f t="shared" si="8"/>
        <v>72</v>
      </c>
      <c r="B73" s="18" t="s">
        <v>42</v>
      </c>
      <c r="C73" s="19">
        <v>45565</v>
      </c>
      <c r="D73" s="17">
        <v>-2</v>
      </c>
      <c r="E73" s="19">
        <f t="shared" si="6"/>
        <v>45504</v>
      </c>
      <c r="F73" s="19">
        <f t="shared" si="7"/>
        <v>45322</v>
      </c>
      <c r="G73" s="17" t="s">
        <v>26</v>
      </c>
      <c r="H73" s="20" t="s">
        <v>24</v>
      </c>
      <c r="I73" s="17" t="s">
        <v>15</v>
      </c>
      <c r="J73" s="17" t="s">
        <v>11</v>
      </c>
      <c r="K73" s="17" t="s">
        <v>10</v>
      </c>
      <c r="L73" s="29">
        <v>1.6</v>
      </c>
      <c r="M73" s="30">
        <v>1.6339999999999999</v>
      </c>
    </row>
    <row r="74" spans="1:13" x14ac:dyDescent="0.3">
      <c r="A74" s="17">
        <f t="shared" si="8"/>
        <v>73</v>
      </c>
      <c r="B74" s="18" t="s">
        <v>42</v>
      </c>
      <c r="C74" s="19">
        <v>45565</v>
      </c>
      <c r="D74" s="17">
        <v>-2</v>
      </c>
      <c r="E74" s="19">
        <f t="shared" si="6"/>
        <v>45504</v>
      </c>
      <c r="F74" s="19">
        <f t="shared" si="7"/>
        <v>45322</v>
      </c>
      <c r="G74" s="17" t="s">
        <v>26</v>
      </c>
      <c r="H74" s="20" t="s">
        <v>25</v>
      </c>
      <c r="I74" s="17" t="s">
        <v>15</v>
      </c>
      <c r="J74" s="17" t="s">
        <v>11</v>
      </c>
      <c r="K74" s="17" t="s">
        <v>10</v>
      </c>
      <c r="L74" s="29">
        <v>3</v>
      </c>
      <c r="M74" s="30">
        <v>0.91239999999999999</v>
      </c>
    </row>
    <row r="75" spans="1:13" x14ac:dyDescent="0.3">
      <c r="A75" s="17">
        <f t="shared" si="8"/>
        <v>74</v>
      </c>
      <c r="B75" s="18" t="s">
        <v>42</v>
      </c>
      <c r="C75" s="19">
        <v>45565</v>
      </c>
      <c r="D75" s="17">
        <v>-2</v>
      </c>
      <c r="E75" s="19">
        <f t="shared" si="6"/>
        <v>45504</v>
      </c>
      <c r="F75" s="19">
        <f t="shared" si="7"/>
        <v>45322</v>
      </c>
      <c r="G75" s="17" t="s">
        <v>26</v>
      </c>
      <c r="H75" s="20" t="s">
        <v>30</v>
      </c>
      <c r="I75" s="17" t="s">
        <v>27</v>
      </c>
      <c r="J75" s="17" t="s">
        <v>29</v>
      </c>
      <c r="K75" s="17" t="s">
        <v>28</v>
      </c>
      <c r="L75" s="29">
        <v>2</v>
      </c>
      <c r="M75" s="30">
        <v>12.31</v>
      </c>
    </row>
    <row r="76" spans="1:13" x14ac:dyDescent="0.3">
      <c r="A76" s="17">
        <f t="shared" si="8"/>
        <v>75</v>
      </c>
      <c r="B76" s="18" t="s">
        <v>42</v>
      </c>
      <c r="C76" s="19">
        <v>45565</v>
      </c>
      <c r="D76" s="17">
        <v>-2</v>
      </c>
      <c r="E76" s="19">
        <f t="shared" si="6"/>
        <v>45504</v>
      </c>
      <c r="F76" s="19">
        <f t="shared" si="7"/>
        <v>45322</v>
      </c>
      <c r="G76" s="17" t="s">
        <v>26</v>
      </c>
      <c r="H76" s="20" t="s">
        <v>31</v>
      </c>
      <c r="I76" s="17" t="s">
        <v>27</v>
      </c>
      <c r="J76" s="17" t="s">
        <v>29</v>
      </c>
      <c r="K76" s="17" t="s">
        <v>28</v>
      </c>
      <c r="L76" s="29">
        <v>1</v>
      </c>
      <c r="M76" s="30">
        <v>3.52</v>
      </c>
    </row>
    <row r="77" spans="1:13" x14ac:dyDescent="0.3">
      <c r="A77" s="17">
        <f t="shared" si="8"/>
        <v>76</v>
      </c>
      <c r="B77" s="18" t="s">
        <v>42</v>
      </c>
      <c r="C77" s="19">
        <v>45565</v>
      </c>
      <c r="D77" s="17">
        <v>-2</v>
      </c>
      <c r="E77" s="19">
        <f t="shared" si="6"/>
        <v>45504</v>
      </c>
      <c r="F77" s="19">
        <f t="shared" si="7"/>
        <v>45322</v>
      </c>
      <c r="G77" s="17" t="s">
        <v>26</v>
      </c>
      <c r="H77" s="20" t="s">
        <v>32</v>
      </c>
      <c r="I77" s="17" t="s">
        <v>27</v>
      </c>
      <c r="J77" s="17" t="s">
        <v>29</v>
      </c>
      <c r="K77" s="17" t="s">
        <v>28</v>
      </c>
      <c r="L77" s="29">
        <v>5</v>
      </c>
      <c r="M77" s="31">
        <v>4.6500000000000004</v>
      </c>
    </row>
    <row r="78" spans="1:13" x14ac:dyDescent="0.3">
      <c r="A78" s="17">
        <f t="shared" si="8"/>
        <v>77</v>
      </c>
      <c r="B78" s="18" t="s">
        <v>42</v>
      </c>
      <c r="C78" s="19">
        <v>45565</v>
      </c>
      <c r="D78" s="17">
        <v>-2</v>
      </c>
      <c r="E78" s="19">
        <f t="shared" si="6"/>
        <v>45504</v>
      </c>
      <c r="F78" s="19">
        <f t="shared" si="7"/>
        <v>45322</v>
      </c>
      <c r="G78" s="17" t="s">
        <v>26</v>
      </c>
      <c r="H78" s="20" t="s">
        <v>33</v>
      </c>
      <c r="I78" s="17" t="s">
        <v>27</v>
      </c>
      <c r="J78" s="17" t="s">
        <v>29</v>
      </c>
      <c r="K78" s="17" t="s">
        <v>28</v>
      </c>
      <c r="L78" s="29">
        <v>6</v>
      </c>
      <c r="M78" s="30">
        <v>12.3</v>
      </c>
    </row>
    <row r="79" spans="1:13" x14ac:dyDescent="0.3">
      <c r="A79" s="17">
        <f t="shared" si="8"/>
        <v>78</v>
      </c>
      <c r="B79" s="18" t="s">
        <v>42</v>
      </c>
      <c r="C79" s="19">
        <v>45565</v>
      </c>
      <c r="D79" s="17">
        <v>-2</v>
      </c>
      <c r="E79" s="19">
        <f t="shared" si="6"/>
        <v>45504</v>
      </c>
      <c r="F79" s="19">
        <f t="shared" si="7"/>
        <v>45322</v>
      </c>
      <c r="G79" s="17" t="s">
        <v>26</v>
      </c>
      <c r="H79" s="20" t="s">
        <v>34</v>
      </c>
      <c r="I79" s="17" t="s">
        <v>27</v>
      </c>
      <c r="J79" s="17" t="s">
        <v>29</v>
      </c>
      <c r="K79" s="17" t="s">
        <v>28</v>
      </c>
      <c r="L79" s="29">
        <v>7</v>
      </c>
      <c r="M79" s="30">
        <v>2.2999999999999998</v>
      </c>
    </row>
    <row r="80" spans="1:13" x14ac:dyDescent="0.3">
      <c r="A80" s="17">
        <f t="shared" si="8"/>
        <v>79</v>
      </c>
      <c r="B80" s="18" t="s">
        <v>42</v>
      </c>
      <c r="C80" s="19">
        <v>45565</v>
      </c>
      <c r="D80" s="17">
        <v>-2</v>
      </c>
      <c r="E80" s="19">
        <f t="shared" si="6"/>
        <v>45504</v>
      </c>
      <c r="F80" s="19">
        <f t="shared" si="7"/>
        <v>45322</v>
      </c>
      <c r="G80" s="17" t="s">
        <v>26</v>
      </c>
      <c r="H80" s="20" t="s">
        <v>35</v>
      </c>
      <c r="I80" s="17" t="s">
        <v>27</v>
      </c>
      <c r="J80" s="17" t="s">
        <v>29</v>
      </c>
      <c r="K80" s="17" t="s">
        <v>28</v>
      </c>
      <c r="L80" s="29">
        <v>7</v>
      </c>
      <c r="M80" s="30">
        <v>1.56</v>
      </c>
    </row>
    <row r="81" spans="1:13" x14ac:dyDescent="0.3">
      <c r="A81" s="17">
        <f t="shared" si="8"/>
        <v>80</v>
      </c>
      <c r="B81" s="18" t="s">
        <v>42</v>
      </c>
      <c r="C81" s="19">
        <v>45565</v>
      </c>
      <c r="D81" s="17">
        <v>-2</v>
      </c>
      <c r="E81" s="19">
        <f t="shared" si="6"/>
        <v>45504</v>
      </c>
      <c r="F81" s="19">
        <f t="shared" si="7"/>
        <v>45322</v>
      </c>
      <c r="G81" s="17" t="s">
        <v>26</v>
      </c>
      <c r="H81" s="20" t="s">
        <v>36</v>
      </c>
      <c r="I81" s="17" t="s">
        <v>27</v>
      </c>
      <c r="J81" s="17" t="s">
        <v>29</v>
      </c>
      <c r="K81" s="17" t="s">
        <v>28</v>
      </c>
      <c r="L81" s="29">
        <v>1</v>
      </c>
      <c r="M81" s="30">
        <v>8</v>
      </c>
    </row>
    <row r="82" spans="1:13" x14ac:dyDescent="0.3">
      <c r="A82" s="17">
        <f t="shared" si="8"/>
        <v>81</v>
      </c>
      <c r="B82" s="18" t="s">
        <v>42</v>
      </c>
      <c r="C82" s="19">
        <v>45565</v>
      </c>
      <c r="D82" s="17">
        <v>-2</v>
      </c>
      <c r="E82" s="19">
        <f t="shared" si="6"/>
        <v>45504</v>
      </c>
      <c r="F82" s="19">
        <f t="shared" si="7"/>
        <v>45322</v>
      </c>
      <c r="G82" s="17" t="s">
        <v>26</v>
      </c>
      <c r="H82" s="20" t="s">
        <v>37</v>
      </c>
      <c r="I82" s="17" t="s">
        <v>27</v>
      </c>
      <c r="J82" s="17" t="s">
        <v>29</v>
      </c>
      <c r="K82" s="17" t="s">
        <v>28</v>
      </c>
      <c r="L82" s="29">
        <v>2</v>
      </c>
      <c r="M82" s="30">
        <v>6.78</v>
      </c>
    </row>
    <row r="83" spans="1:13" x14ac:dyDescent="0.3">
      <c r="A83" s="17">
        <f t="shared" si="8"/>
        <v>82</v>
      </c>
      <c r="B83" s="18" t="s">
        <v>42</v>
      </c>
      <c r="C83" s="19">
        <v>45565</v>
      </c>
      <c r="D83" s="17">
        <v>-2</v>
      </c>
      <c r="E83" s="19">
        <f t="shared" si="6"/>
        <v>45504</v>
      </c>
      <c r="F83" s="19">
        <f t="shared" si="7"/>
        <v>45322</v>
      </c>
      <c r="G83" s="17" t="s">
        <v>26</v>
      </c>
      <c r="H83" s="20" t="s">
        <v>38</v>
      </c>
      <c r="I83" s="17" t="s">
        <v>27</v>
      </c>
      <c r="J83" s="17" t="s">
        <v>29</v>
      </c>
      <c r="K83" s="17" t="s">
        <v>28</v>
      </c>
      <c r="L83" s="29">
        <v>3</v>
      </c>
      <c r="M83" s="30">
        <v>4.68</v>
      </c>
    </row>
    <row r="84" spans="1:13" x14ac:dyDescent="0.3">
      <c r="A84" s="17">
        <f t="shared" si="8"/>
        <v>83</v>
      </c>
      <c r="B84" s="18" t="s">
        <v>42</v>
      </c>
      <c r="C84" s="19">
        <v>45565</v>
      </c>
      <c r="D84" s="17">
        <v>-2</v>
      </c>
      <c r="E84" s="19">
        <f t="shared" si="6"/>
        <v>45504</v>
      </c>
      <c r="F84" s="19">
        <f t="shared" si="7"/>
        <v>45322</v>
      </c>
      <c r="G84" s="17" t="s">
        <v>26</v>
      </c>
      <c r="H84" s="20" t="s">
        <v>39</v>
      </c>
      <c r="I84" s="17" t="s">
        <v>27</v>
      </c>
      <c r="J84" s="17" t="s">
        <v>29</v>
      </c>
      <c r="K84" s="17" t="s">
        <v>28</v>
      </c>
      <c r="L84" s="29">
        <v>4</v>
      </c>
      <c r="M84" s="30">
        <v>5.78</v>
      </c>
    </row>
    <row r="85" spans="1:13" ht="17.25" thickBot="1" x14ac:dyDescent="0.35">
      <c r="A85" s="17">
        <f t="shared" si="8"/>
        <v>84</v>
      </c>
      <c r="B85" s="21" t="s">
        <v>42</v>
      </c>
      <c r="C85" s="22">
        <v>45565</v>
      </c>
      <c r="D85" s="23">
        <v>-2</v>
      </c>
      <c r="E85" s="22">
        <f t="shared" si="6"/>
        <v>45504</v>
      </c>
      <c r="F85" s="22">
        <f t="shared" si="7"/>
        <v>45322</v>
      </c>
      <c r="G85" s="23" t="s">
        <v>26</v>
      </c>
      <c r="H85" s="24" t="s">
        <v>40</v>
      </c>
      <c r="I85" s="23" t="s">
        <v>27</v>
      </c>
      <c r="J85" s="23" t="s">
        <v>29</v>
      </c>
      <c r="K85" s="23" t="s">
        <v>28</v>
      </c>
      <c r="L85" s="32">
        <v>0.56000000000000005</v>
      </c>
      <c r="M85" s="33">
        <v>4.67</v>
      </c>
    </row>
    <row r="86" spans="1:13" x14ac:dyDescent="0.3">
      <c r="A86" s="17">
        <f t="shared" si="8"/>
        <v>85</v>
      </c>
      <c r="B86" s="13" t="s">
        <v>42</v>
      </c>
      <c r="C86" s="14">
        <v>45565</v>
      </c>
      <c r="D86" s="15">
        <v>-2</v>
      </c>
      <c r="E86" s="14">
        <f t="shared" si="6"/>
        <v>45504</v>
      </c>
      <c r="F86" s="14">
        <f t="shared" si="7"/>
        <v>45322</v>
      </c>
      <c r="G86" s="15" t="s">
        <v>14</v>
      </c>
      <c r="H86" s="16" t="s">
        <v>16</v>
      </c>
      <c r="I86" s="15" t="s">
        <v>15</v>
      </c>
      <c r="J86" s="15" t="s">
        <v>11</v>
      </c>
      <c r="K86" s="15" t="s">
        <v>10</v>
      </c>
      <c r="L86" s="27">
        <v>1.2</v>
      </c>
      <c r="M86" s="28">
        <v>8.5299999999999994</v>
      </c>
    </row>
    <row r="87" spans="1:13" x14ac:dyDescent="0.3">
      <c r="A87" s="17">
        <f t="shared" si="8"/>
        <v>86</v>
      </c>
      <c r="B87" s="18" t="s">
        <v>13</v>
      </c>
      <c r="C87" s="19">
        <v>45565</v>
      </c>
      <c r="D87" s="17">
        <v>-2</v>
      </c>
      <c r="E87" s="19">
        <f t="shared" si="6"/>
        <v>45504</v>
      </c>
      <c r="F87" s="19">
        <f t="shared" si="7"/>
        <v>45322</v>
      </c>
      <c r="G87" s="17" t="s">
        <v>14</v>
      </c>
      <c r="H87" s="20" t="s">
        <v>17</v>
      </c>
      <c r="I87" s="17" t="s">
        <v>15</v>
      </c>
      <c r="J87" s="17" t="s">
        <v>11</v>
      </c>
      <c r="K87" s="17" t="s">
        <v>10</v>
      </c>
      <c r="L87" s="29">
        <v>1.35</v>
      </c>
      <c r="M87" s="30">
        <v>10.23</v>
      </c>
    </row>
    <row r="88" spans="1:13" x14ac:dyDescent="0.3">
      <c r="A88" s="17">
        <f t="shared" si="8"/>
        <v>87</v>
      </c>
      <c r="B88" s="18" t="s">
        <v>13</v>
      </c>
      <c r="C88" s="19">
        <v>45565</v>
      </c>
      <c r="D88" s="17">
        <v>-2</v>
      </c>
      <c r="E88" s="19">
        <f t="shared" si="6"/>
        <v>45504</v>
      </c>
      <c r="F88" s="19">
        <f t="shared" si="7"/>
        <v>45322</v>
      </c>
      <c r="G88" s="17" t="s">
        <v>14</v>
      </c>
      <c r="H88" s="20" t="s">
        <v>18</v>
      </c>
      <c r="I88" s="17" t="s">
        <v>15</v>
      </c>
      <c r="J88" s="17" t="s">
        <v>11</v>
      </c>
      <c r="K88" s="17" t="s">
        <v>10</v>
      </c>
      <c r="L88" s="29">
        <v>1.2</v>
      </c>
      <c r="M88" s="30">
        <v>1.86</v>
      </c>
    </row>
    <row r="89" spans="1:13" x14ac:dyDescent="0.3">
      <c r="A89" s="17">
        <f t="shared" si="8"/>
        <v>88</v>
      </c>
      <c r="B89" s="18" t="s">
        <v>13</v>
      </c>
      <c r="C89" s="19">
        <v>45565</v>
      </c>
      <c r="D89" s="17">
        <v>-2</v>
      </c>
      <c r="E89" s="19">
        <f t="shared" si="6"/>
        <v>45504</v>
      </c>
      <c r="F89" s="19">
        <f t="shared" si="7"/>
        <v>45322</v>
      </c>
      <c r="G89" s="17" t="s">
        <v>14</v>
      </c>
      <c r="H89" s="20" t="s">
        <v>19</v>
      </c>
      <c r="I89" s="17" t="s">
        <v>15</v>
      </c>
      <c r="J89" s="17" t="s">
        <v>11</v>
      </c>
      <c r="K89" s="17" t="s">
        <v>10</v>
      </c>
      <c r="L89" s="29">
        <v>1.1000000000000001</v>
      </c>
      <c r="M89" s="30">
        <v>2.9041000000000001</v>
      </c>
    </row>
    <row r="90" spans="1:13" x14ac:dyDescent="0.3">
      <c r="A90" s="17">
        <f t="shared" si="8"/>
        <v>89</v>
      </c>
      <c r="B90" s="18" t="s">
        <v>13</v>
      </c>
      <c r="C90" s="19">
        <v>45565</v>
      </c>
      <c r="D90" s="17">
        <v>-2</v>
      </c>
      <c r="E90" s="19">
        <f t="shared" si="6"/>
        <v>45504</v>
      </c>
      <c r="F90" s="19">
        <f t="shared" si="7"/>
        <v>45322</v>
      </c>
      <c r="G90" s="17" t="s">
        <v>14</v>
      </c>
      <c r="H90" s="20" t="s">
        <v>20</v>
      </c>
      <c r="I90" s="17" t="s">
        <v>15</v>
      </c>
      <c r="J90" s="17" t="s">
        <v>11</v>
      </c>
      <c r="K90" s="17" t="s">
        <v>10</v>
      </c>
      <c r="L90" s="29">
        <v>1.5</v>
      </c>
      <c r="M90" s="30">
        <v>3.5230000000000001</v>
      </c>
    </row>
    <row r="91" spans="1:13" x14ac:dyDescent="0.3">
      <c r="A91" s="17">
        <f t="shared" si="8"/>
        <v>90</v>
      </c>
      <c r="B91" s="18" t="s">
        <v>13</v>
      </c>
      <c r="C91" s="19">
        <v>45565</v>
      </c>
      <c r="D91" s="17">
        <v>-2</v>
      </c>
      <c r="E91" s="19">
        <f t="shared" si="6"/>
        <v>45504</v>
      </c>
      <c r="F91" s="19">
        <f t="shared" si="7"/>
        <v>45322</v>
      </c>
      <c r="G91" s="17" t="s">
        <v>14</v>
      </c>
      <c r="H91" s="20" t="s">
        <v>21</v>
      </c>
      <c r="I91" s="17" t="s">
        <v>15</v>
      </c>
      <c r="J91" s="17" t="s">
        <v>11</v>
      </c>
      <c r="K91" s="17" t="s">
        <v>10</v>
      </c>
      <c r="L91" s="29">
        <v>1.6</v>
      </c>
      <c r="M91" s="30">
        <v>1.24</v>
      </c>
    </row>
    <row r="92" spans="1:13" x14ac:dyDescent="0.3">
      <c r="A92" s="17">
        <f t="shared" si="8"/>
        <v>91</v>
      </c>
      <c r="B92" s="18" t="s">
        <v>13</v>
      </c>
      <c r="C92" s="19">
        <v>45565</v>
      </c>
      <c r="D92" s="17">
        <v>-2</v>
      </c>
      <c r="E92" s="19">
        <f t="shared" si="6"/>
        <v>45504</v>
      </c>
      <c r="F92" s="19">
        <f t="shared" si="7"/>
        <v>45322</v>
      </c>
      <c r="G92" s="17" t="s">
        <v>14</v>
      </c>
      <c r="H92" s="20" t="s">
        <v>22</v>
      </c>
      <c r="I92" s="17" t="s">
        <v>15</v>
      </c>
      <c r="J92" s="17" t="s">
        <v>11</v>
      </c>
      <c r="K92" s="17" t="s">
        <v>10</v>
      </c>
      <c r="L92" s="29">
        <v>5.3</v>
      </c>
      <c r="M92" s="30">
        <v>5.31</v>
      </c>
    </row>
    <row r="93" spans="1:13" x14ac:dyDescent="0.3">
      <c r="A93" s="17">
        <f t="shared" si="8"/>
        <v>92</v>
      </c>
      <c r="B93" s="18" t="s">
        <v>13</v>
      </c>
      <c r="C93" s="19">
        <v>45565</v>
      </c>
      <c r="D93" s="17">
        <v>-2</v>
      </c>
      <c r="E93" s="19">
        <f t="shared" si="6"/>
        <v>45504</v>
      </c>
      <c r="F93" s="19">
        <f t="shared" si="7"/>
        <v>45322</v>
      </c>
      <c r="G93" s="17" t="s">
        <v>14</v>
      </c>
      <c r="H93" s="20" t="s">
        <v>23</v>
      </c>
      <c r="I93" s="17" t="s">
        <v>15</v>
      </c>
      <c r="J93" s="17" t="s">
        <v>11</v>
      </c>
      <c r="K93" s="17" t="s">
        <v>10</v>
      </c>
      <c r="L93" s="29">
        <v>2.35</v>
      </c>
      <c r="M93" s="30">
        <v>2.35</v>
      </c>
    </row>
    <row r="94" spans="1:13" x14ac:dyDescent="0.3">
      <c r="A94" s="17">
        <f t="shared" si="8"/>
        <v>93</v>
      </c>
      <c r="B94" s="18" t="s">
        <v>13</v>
      </c>
      <c r="C94" s="19">
        <v>45565</v>
      </c>
      <c r="D94" s="17">
        <v>-2</v>
      </c>
      <c r="E94" s="19">
        <f t="shared" si="6"/>
        <v>45504</v>
      </c>
      <c r="F94" s="19">
        <f t="shared" si="7"/>
        <v>45322</v>
      </c>
      <c r="G94" s="17" t="s">
        <v>14</v>
      </c>
      <c r="H94" s="20" t="s">
        <v>24</v>
      </c>
      <c r="I94" s="17" t="s">
        <v>15</v>
      </c>
      <c r="J94" s="17" t="s">
        <v>11</v>
      </c>
      <c r="K94" s="17" t="s">
        <v>10</v>
      </c>
      <c r="L94" s="29">
        <v>1.6</v>
      </c>
      <c r="M94" s="30">
        <v>1.6339999999999999</v>
      </c>
    </row>
    <row r="95" spans="1:13" x14ac:dyDescent="0.3">
      <c r="A95" s="17">
        <f t="shared" si="8"/>
        <v>94</v>
      </c>
      <c r="B95" s="18" t="s">
        <v>13</v>
      </c>
      <c r="C95" s="19">
        <v>45565</v>
      </c>
      <c r="D95" s="17">
        <v>-2</v>
      </c>
      <c r="E95" s="19">
        <f t="shared" si="6"/>
        <v>45504</v>
      </c>
      <c r="F95" s="19">
        <f t="shared" si="7"/>
        <v>45322</v>
      </c>
      <c r="G95" s="17" t="s">
        <v>14</v>
      </c>
      <c r="H95" s="20" t="s">
        <v>25</v>
      </c>
      <c r="I95" s="17" t="s">
        <v>15</v>
      </c>
      <c r="J95" s="17" t="s">
        <v>11</v>
      </c>
      <c r="K95" s="17" t="s">
        <v>10</v>
      </c>
      <c r="L95" s="29">
        <v>3</v>
      </c>
      <c r="M95" s="30">
        <v>0.91239999999999999</v>
      </c>
    </row>
    <row r="96" spans="1:13" x14ac:dyDescent="0.3">
      <c r="A96" s="17">
        <f t="shared" si="8"/>
        <v>95</v>
      </c>
      <c r="B96" s="18" t="s">
        <v>13</v>
      </c>
      <c r="C96" s="19">
        <v>45565</v>
      </c>
      <c r="D96" s="17">
        <v>-2</v>
      </c>
      <c r="E96" s="19">
        <f t="shared" si="6"/>
        <v>45504</v>
      </c>
      <c r="F96" s="19">
        <f t="shared" si="7"/>
        <v>45322</v>
      </c>
      <c r="G96" s="17" t="s">
        <v>14</v>
      </c>
      <c r="H96" s="20" t="s">
        <v>30</v>
      </c>
      <c r="I96" s="17" t="s">
        <v>27</v>
      </c>
      <c r="J96" s="17" t="s">
        <v>29</v>
      </c>
      <c r="K96" s="17" t="s">
        <v>28</v>
      </c>
      <c r="L96" s="29">
        <v>2</v>
      </c>
      <c r="M96" s="30">
        <v>12.31</v>
      </c>
    </row>
    <row r="97" spans="1:13" x14ac:dyDescent="0.3">
      <c r="A97" s="17">
        <f t="shared" si="8"/>
        <v>96</v>
      </c>
      <c r="B97" s="18" t="s">
        <v>13</v>
      </c>
      <c r="C97" s="19">
        <v>45565</v>
      </c>
      <c r="D97" s="17">
        <v>-2</v>
      </c>
      <c r="E97" s="19">
        <f t="shared" si="6"/>
        <v>45504</v>
      </c>
      <c r="F97" s="19">
        <f t="shared" si="7"/>
        <v>45322</v>
      </c>
      <c r="G97" s="17" t="s">
        <v>14</v>
      </c>
      <c r="H97" s="20" t="s">
        <v>31</v>
      </c>
      <c r="I97" s="17" t="s">
        <v>27</v>
      </c>
      <c r="J97" s="17" t="s">
        <v>29</v>
      </c>
      <c r="K97" s="17" t="s">
        <v>28</v>
      </c>
      <c r="L97" s="29">
        <v>1</v>
      </c>
      <c r="M97" s="30">
        <v>3.52</v>
      </c>
    </row>
    <row r="98" spans="1:13" x14ac:dyDescent="0.3">
      <c r="A98" s="17">
        <f t="shared" si="8"/>
        <v>97</v>
      </c>
      <c r="B98" s="18" t="s">
        <v>13</v>
      </c>
      <c r="C98" s="19">
        <v>45565</v>
      </c>
      <c r="D98" s="17">
        <v>-2</v>
      </c>
      <c r="E98" s="19">
        <f t="shared" ref="E98:E129" si="9">EOMONTH(C98,D98)</f>
        <v>45504</v>
      </c>
      <c r="F98" s="19">
        <f t="shared" ref="F98:F129" si="10">EOMONTH(E98,-6)</f>
        <v>45322</v>
      </c>
      <c r="G98" s="17" t="s">
        <v>14</v>
      </c>
      <c r="H98" s="20" t="s">
        <v>32</v>
      </c>
      <c r="I98" s="17" t="s">
        <v>27</v>
      </c>
      <c r="J98" s="17" t="s">
        <v>29</v>
      </c>
      <c r="K98" s="17" t="s">
        <v>28</v>
      </c>
      <c r="L98" s="29">
        <v>5</v>
      </c>
      <c r="M98" s="31">
        <v>4.6500000000000004</v>
      </c>
    </row>
    <row r="99" spans="1:13" x14ac:dyDescent="0.3">
      <c r="A99" s="17">
        <f t="shared" ref="A99:A130" si="11">ROW()-1</f>
        <v>98</v>
      </c>
      <c r="B99" s="18" t="s">
        <v>13</v>
      </c>
      <c r="C99" s="19">
        <v>45565</v>
      </c>
      <c r="D99" s="17">
        <v>-2</v>
      </c>
      <c r="E99" s="19">
        <f t="shared" si="9"/>
        <v>45504</v>
      </c>
      <c r="F99" s="19">
        <f t="shared" si="10"/>
        <v>45322</v>
      </c>
      <c r="G99" s="17" t="s">
        <v>14</v>
      </c>
      <c r="H99" s="20" t="s">
        <v>33</v>
      </c>
      <c r="I99" s="17" t="s">
        <v>27</v>
      </c>
      <c r="J99" s="17" t="s">
        <v>29</v>
      </c>
      <c r="K99" s="17" t="s">
        <v>28</v>
      </c>
      <c r="L99" s="29">
        <v>6</v>
      </c>
      <c r="M99" s="30">
        <v>12.3</v>
      </c>
    </row>
    <row r="100" spans="1:13" x14ac:dyDescent="0.3">
      <c r="A100" s="17">
        <f t="shared" si="11"/>
        <v>99</v>
      </c>
      <c r="B100" s="18" t="s">
        <v>13</v>
      </c>
      <c r="C100" s="19">
        <v>45565</v>
      </c>
      <c r="D100" s="17">
        <v>-2</v>
      </c>
      <c r="E100" s="19">
        <f t="shared" si="9"/>
        <v>45504</v>
      </c>
      <c r="F100" s="19">
        <f t="shared" si="10"/>
        <v>45322</v>
      </c>
      <c r="G100" s="17" t="s">
        <v>14</v>
      </c>
      <c r="H100" s="20" t="s">
        <v>34</v>
      </c>
      <c r="I100" s="17" t="s">
        <v>27</v>
      </c>
      <c r="J100" s="17" t="s">
        <v>29</v>
      </c>
      <c r="K100" s="17" t="s">
        <v>28</v>
      </c>
      <c r="L100" s="29">
        <v>7</v>
      </c>
      <c r="M100" s="30">
        <v>2.2999999999999998</v>
      </c>
    </row>
    <row r="101" spans="1:13" x14ac:dyDescent="0.3">
      <c r="A101" s="17">
        <f t="shared" si="11"/>
        <v>100</v>
      </c>
      <c r="B101" s="18" t="s">
        <v>13</v>
      </c>
      <c r="C101" s="19">
        <v>45565</v>
      </c>
      <c r="D101" s="17">
        <v>-2</v>
      </c>
      <c r="E101" s="19">
        <f t="shared" si="9"/>
        <v>45504</v>
      </c>
      <c r="F101" s="19">
        <f t="shared" si="10"/>
        <v>45322</v>
      </c>
      <c r="G101" s="17" t="s">
        <v>14</v>
      </c>
      <c r="H101" s="20" t="s">
        <v>35</v>
      </c>
      <c r="I101" s="17" t="s">
        <v>27</v>
      </c>
      <c r="J101" s="17" t="s">
        <v>29</v>
      </c>
      <c r="K101" s="17" t="s">
        <v>28</v>
      </c>
      <c r="L101" s="29">
        <v>7</v>
      </c>
      <c r="M101" s="30">
        <v>1.56</v>
      </c>
    </row>
    <row r="102" spans="1:13" x14ac:dyDescent="0.3">
      <c r="A102" s="17">
        <f t="shared" si="11"/>
        <v>101</v>
      </c>
      <c r="B102" s="18" t="s">
        <v>13</v>
      </c>
      <c r="C102" s="19">
        <v>45565</v>
      </c>
      <c r="D102" s="17">
        <v>-2</v>
      </c>
      <c r="E102" s="19">
        <f t="shared" si="9"/>
        <v>45504</v>
      </c>
      <c r="F102" s="19">
        <f t="shared" si="10"/>
        <v>45322</v>
      </c>
      <c r="G102" s="17" t="s">
        <v>14</v>
      </c>
      <c r="H102" s="20" t="s">
        <v>36</v>
      </c>
      <c r="I102" s="17" t="s">
        <v>27</v>
      </c>
      <c r="J102" s="17" t="s">
        <v>29</v>
      </c>
      <c r="K102" s="17" t="s">
        <v>28</v>
      </c>
      <c r="L102" s="29">
        <v>1</v>
      </c>
      <c r="M102" s="30">
        <v>8</v>
      </c>
    </row>
    <row r="103" spans="1:13" x14ac:dyDescent="0.3">
      <c r="A103" s="17">
        <f t="shared" si="11"/>
        <v>102</v>
      </c>
      <c r="B103" s="18" t="s">
        <v>13</v>
      </c>
      <c r="C103" s="19">
        <v>45565</v>
      </c>
      <c r="D103" s="17">
        <v>-2</v>
      </c>
      <c r="E103" s="19">
        <f t="shared" si="9"/>
        <v>45504</v>
      </c>
      <c r="F103" s="19">
        <f t="shared" si="10"/>
        <v>45322</v>
      </c>
      <c r="G103" s="17" t="s">
        <v>14</v>
      </c>
      <c r="H103" s="20" t="s">
        <v>37</v>
      </c>
      <c r="I103" s="17" t="s">
        <v>27</v>
      </c>
      <c r="J103" s="17" t="s">
        <v>29</v>
      </c>
      <c r="K103" s="17" t="s">
        <v>28</v>
      </c>
      <c r="L103" s="29">
        <v>2</v>
      </c>
      <c r="M103" s="30">
        <v>6.78</v>
      </c>
    </row>
    <row r="104" spans="1:13" x14ac:dyDescent="0.3">
      <c r="A104" s="17">
        <f t="shared" si="11"/>
        <v>103</v>
      </c>
      <c r="B104" s="18" t="s">
        <v>13</v>
      </c>
      <c r="C104" s="19">
        <v>45565</v>
      </c>
      <c r="D104" s="17">
        <v>-2</v>
      </c>
      <c r="E104" s="19">
        <f t="shared" si="9"/>
        <v>45504</v>
      </c>
      <c r="F104" s="19">
        <f t="shared" si="10"/>
        <v>45322</v>
      </c>
      <c r="G104" s="17" t="s">
        <v>14</v>
      </c>
      <c r="H104" s="20" t="s">
        <v>38</v>
      </c>
      <c r="I104" s="17" t="s">
        <v>27</v>
      </c>
      <c r="J104" s="17" t="s">
        <v>29</v>
      </c>
      <c r="K104" s="17" t="s">
        <v>28</v>
      </c>
      <c r="L104" s="29">
        <v>3</v>
      </c>
      <c r="M104" s="30">
        <v>4.68</v>
      </c>
    </row>
    <row r="105" spans="1:13" x14ac:dyDescent="0.3">
      <c r="A105" s="17">
        <f t="shared" si="11"/>
        <v>104</v>
      </c>
      <c r="B105" s="18" t="s">
        <v>13</v>
      </c>
      <c r="C105" s="19">
        <v>45565</v>
      </c>
      <c r="D105" s="17">
        <v>-2</v>
      </c>
      <c r="E105" s="19">
        <f t="shared" si="9"/>
        <v>45504</v>
      </c>
      <c r="F105" s="19">
        <f t="shared" si="10"/>
        <v>45322</v>
      </c>
      <c r="G105" s="17" t="s">
        <v>14</v>
      </c>
      <c r="H105" s="20" t="s">
        <v>39</v>
      </c>
      <c r="I105" s="17" t="s">
        <v>27</v>
      </c>
      <c r="J105" s="17" t="s">
        <v>29</v>
      </c>
      <c r="K105" s="17" t="s">
        <v>28</v>
      </c>
      <c r="L105" s="29">
        <v>4</v>
      </c>
      <c r="M105" s="30">
        <v>5.78</v>
      </c>
    </row>
    <row r="106" spans="1:13" ht="17.25" thickBot="1" x14ac:dyDescent="0.35">
      <c r="A106" s="17">
        <f t="shared" si="11"/>
        <v>105</v>
      </c>
      <c r="B106" s="21" t="s">
        <v>13</v>
      </c>
      <c r="C106" s="22">
        <v>45565</v>
      </c>
      <c r="D106" s="23">
        <v>-2</v>
      </c>
      <c r="E106" s="22">
        <f t="shared" si="9"/>
        <v>45504</v>
      </c>
      <c r="F106" s="22">
        <f t="shared" si="10"/>
        <v>45322</v>
      </c>
      <c r="G106" s="23" t="s">
        <v>14</v>
      </c>
      <c r="H106" s="24" t="s">
        <v>40</v>
      </c>
      <c r="I106" s="23" t="s">
        <v>27</v>
      </c>
      <c r="J106" s="23" t="s">
        <v>29</v>
      </c>
      <c r="K106" s="23" t="s">
        <v>28</v>
      </c>
      <c r="L106" s="32">
        <v>0.56000000000000005</v>
      </c>
      <c r="M106" s="33">
        <v>4.67</v>
      </c>
    </row>
    <row r="107" spans="1:13" x14ac:dyDescent="0.3">
      <c r="A107" s="17">
        <f t="shared" si="11"/>
        <v>106</v>
      </c>
      <c r="B107" s="13" t="s">
        <v>42</v>
      </c>
      <c r="C107" s="14">
        <v>45565</v>
      </c>
      <c r="D107" s="15">
        <v>-2</v>
      </c>
      <c r="E107" s="14">
        <f t="shared" si="9"/>
        <v>45504</v>
      </c>
      <c r="F107" s="14">
        <f t="shared" si="10"/>
        <v>45322</v>
      </c>
      <c r="G107" s="15" t="s">
        <v>26</v>
      </c>
      <c r="H107" s="16" t="s">
        <v>16</v>
      </c>
      <c r="I107" s="15" t="s">
        <v>15</v>
      </c>
      <c r="J107" s="15" t="s">
        <v>11</v>
      </c>
      <c r="K107" s="15" t="s">
        <v>10</v>
      </c>
      <c r="L107" s="27">
        <v>1.2</v>
      </c>
      <c r="M107" s="28">
        <v>8.5299999999999994</v>
      </c>
    </row>
    <row r="108" spans="1:13" x14ac:dyDescent="0.3">
      <c r="A108" s="17">
        <f t="shared" si="11"/>
        <v>107</v>
      </c>
      <c r="B108" s="18" t="s">
        <v>42</v>
      </c>
      <c r="C108" s="19">
        <v>45565</v>
      </c>
      <c r="D108" s="17">
        <v>-2</v>
      </c>
      <c r="E108" s="19">
        <f t="shared" si="9"/>
        <v>45504</v>
      </c>
      <c r="F108" s="19">
        <f t="shared" si="10"/>
        <v>45322</v>
      </c>
      <c r="G108" s="17" t="s">
        <v>26</v>
      </c>
      <c r="H108" s="20" t="s">
        <v>17</v>
      </c>
      <c r="I108" s="17" t="s">
        <v>15</v>
      </c>
      <c r="J108" s="17" t="s">
        <v>11</v>
      </c>
      <c r="K108" s="17" t="s">
        <v>10</v>
      </c>
      <c r="L108" s="29">
        <v>1.35</v>
      </c>
      <c r="M108" s="30">
        <v>10.23</v>
      </c>
    </row>
    <row r="109" spans="1:13" x14ac:dyDescent="0.3">
      <c r="A109" s="17">
        <f t="shared" si="11"/>
        <v>108</v>
      </c>
      <c r="B109" s="18" t="s">
        <v>42</v>
      </c>
      <c r="C109" s="19">
        <v>45565</v>
      </c>
      <c r="D109" s="17">
        <v>-2</v>
      </c>
      <c r="E109" s="19">
        <f t="shared" si="9"/>
        <v>45504</v>
      </c>
      <c r="F109" s="19">
        <f t="shared" si="10"/>
        <v>45322</v>
      </c>
      <c r="G109" s="17" t="s">
        <v>26</v>
      </c>
      <c r="H109" s="20" t="s">
        <v>18</v>
      </c>
      <c r="I109" s="17" t="s">
        <v>15</v>
      </c>
      <c r="J109" s="17" t="s">
        <v>11</v>
      </c>
      <c r="K109" s="17" t="s">
        <v>10</v>
      </c>
      <c r="L109" s="29">
        <v>1.2</v>
      </c>
      <c r="M109" s="30">
        <v>1.86</v>
      </c>
    </row>
    <row r="110" spans="1:13" x14ac:dyDescent="0.3">
      <c r="A110" s="17">
        <f t="shared" si="11"/>
        <v>109</v>
      </c>
      <c r="B110" s="18" t="s">
        <v>42</v>
      </c>
      <c r="C110" s="19">
        <v>45565</v>
      </c>
      <c r="D110" s="17">
        <v>-2</v>
      </c>
      <c r="E110" s="19">
        <f t="shared" si="9"/>
        <v>45504</v>
      </c>
      <c r="F110" s="19">
        <f t="shared" si="10"/>
        <v>45322</v>
      </c>
      <c r="G110" s="17" t="s">
        <v>26</v>
      </c>
      <c r="H110" s="20" t="s">
        <v>19</v>
      </c>
      <c r="I110" s="17" t="s">
        <v>15</v>
      </c>
      <c r="J110" s="17" t="s">
        <v>11</v>
      </c>
      <c r="K110" s="17" t="s">
        <v>10</v>
      </c>
      <c r="L110" s="29">
        <v>1.1000000000000001</v>
      </c>
      <c r="M110" s="30">
        <v>2.9041000000000001</v>
      </c>
    </row>
    <row r="111" spans="1:13" x14ac:dyDescent="0.3">
      <c r="A111" s="17">
        <f t="shared" si="11"/>
        <v>110</v>
      </c>
      <c r="B111" s="18" t="s">
        <v>42</v>
      </c>
      <c r="C111" s="19">
        <v>45565</v>
      </c>
      <c r="D111" s="17">
        <v>-2</v>
      </c>
      <c r="E111" s="19">
        <f t="shared" si="9"/>
        <v>45504</v>
      </c>
      <c r="F111" s="19">
        <f t="shared" si="10"/>
        <v>45322</v>
      </c>
      <c r="G111" s="17" t="s">
        <v>26</v>
      </c>
      <c r="H111" s="20" t="s">
        <v>20</v>
      </c>
      <c r="I111" s="17" t="s">
        <v>15</v>
      </c>
      <c r="J111" s="17" t="s">
        <v>11</v>
      </c>
      <c r="K111" s="17" t="s">
        <v>10</v>
      </c>
      <c r="L111" s="29">
        <v>1.5</v>
      </c>
      <c r="M111" s="30">
        <v>3.5230000000000001</v>
      </c>
    </row>
    <row r="112" spans="1:13" x14ac:dyDescent="0.3">
      <c r="A112" s="17">
        <f t="shared" si="11"/>
        <v>111</v>
      </c>
      <c r="B112" s="18" t="s">
        <v>42</v>
      </c>
      <c r="C112" s="19">
        <v>45565</v>
      </c>
      <c r="D112" s="17">
        <v>-2</v>
      </c>
      <c r="E112" s="19">
        <f t="shared" si="9"/>
        <v>45504</v>
      </c>
      <c r="F112" s="19">
        <f t="shared" si="10"/>
        <v>45322</v>
      </c>
      <c r="G112" s="17" t="s">
        <v>26</v>
      </c>
      <c r="H112" s="20" t="s">
        <v>21</v>
      </c>
      <c r="I112" s="17" t="s">
        <v>15</v>
      </c>
      <c r="J112" s="17" t="s">
        <v>11</v>
      </c>
      <c r="K112" s="17" t="s">
        <v>10</v>
      </c>
      <c r="L112" s="29">
        <v>1.6</v>
      </c>
      <c r="M112" s="30">
        <v>1.24</v>
      </c>
    </row>
    <row r="113" spans="1:13" x14ac:dyDescent="0.3">
      <c r="A113" s="17">
        <f t="shared" si="11"/>
        <v>112</v>
      </c>
      <c r="B113" s="18" t="s">
        <v>42</v>
      </c>
      <c r="C113" s="19">
        <v>45565</v>
      </c>
      <c r="D113" s="17">
        <v>-2</v>
      </c>
      <c r="E113" s="19">
        <f t="shared" si="9"/>
        <v>45504</v>
      </c>
      <c r="F113" s="19">
        <f t="shared" si="10"/>
        <v>45322</v>
      </c>
      <c r="G113" s="17" t="s">
        <v>26</v>
      </c>
      <c r="H113" s="20" t="s">
        <v>22</v>
      </c>
      <c r="I113" s="17" t="s">
        <v>15</v>
      </c>
      <c r="J113" s="17" t="s">
        <v>11</v>
      </c>
      <c r="K113" s="17" t="s">
        <v>10</v>
      </c>
      <c r="L113" s="29">
        <v>5.3</v>
      </c>
      <c r="M113" s="30">
        <v>5.31</v>
      </c>
    </row>
    <row r="114" spans="1:13" x14ac:dyDescent="0.3">
      <c r="A114" s="17">
        <f t="shared" si="11"/>
        <v>113</v>
      </c>
      <c r="B114" s="18" t="s">
        <v>42</v>
      </c>
      <c r="C114" s="19">
        <v>45565</v>
      </c>
      <c r="D114" s="17">
        <v>-2</v>
      </c>
      <c r="E114" s="19">
        <f t="shared" si="9"/>
        <v>45504</v>
      </c>
      <c r="F114" s="19">
        <f t="shared" si="10"/>
        <v>45322</v>
      </c>
      <c r="G114" s="17" t="s">
        <v>26</v>
      </c>
      <c r="H114" s="20" t="s">
        <v>23</v>
      </c>
      <c r="I114" s="17" t="s">
        <v>15</v>
      </c>
      <c r="J114" s="17" t="s">
        <v>11</v>
      </c>
      <c r="K114" s="17" t="s">
        <v>10</v>
      </c>
      <c r="L114" s="29">
        <v>2.35</v>
      </c>
      <c r="M114" s="30">
        <v>2.35</v>
      </c>
    </row>
    <row r="115" spans="1:13" x14ac:dyDescent="0.3">
      <c r="A115" s="17">
        <f t="shared" si="11"/>
        <v>114</v>
      </c>
      <c r="B115" s="18" t="s">
        <v>42</v>
      </c>
      <c r="C115" s="19">
        <v>45565</v>
      </c>
      <c r="D115" s="17">
        <v>-2</v>
      </c>
      <c r="E115" s="19">
        <f t="shared" si="9"/>
        <v>45504</v>
      </c>
      <c r="F115" s="19">
        <f t="shared" si="10"/>
        <v>45322</v>
      </c>
      <c r="G115" s="17" t="s">
        <v>26</v>
      </c>
      <c r="H115" s="20" t="s">
        <v>24</v>
      </c>
      <c r="I115" s="17" t="s">
        <v>15</v>
      </c>
      <c r="J115" s="17" t="s">
        <v>11</v>
      </c>
      <c r="K115" s="17" t="s">
        <v>10</v>
      </c>
      <c r="L115" s="29">
        <v>1.6</v>
      </c>
      <c r="M115" s="30">
        <v>1.6339999999999999</v>
      </c>
    </row>
    <row r="116" spans="1:13" x14ac:dyDescent="0.3">
      <c r="A116" s="17">
        <f t="shared" si="11"/>
        <v>115</v>
      </c>
      <c r="B116" s="18" t="s">
        <v>42</v>
      </c>
      <c r="C116" s="19">
        <v>45565</v>
      </c>
      <c r="D116" s="17">
        <v>-2</v>
      </c>
      <c r="E116" s="19">
        <f t="shared" si="9"/>
        <v>45504</v>
      </c>
      <c r="F116" s="19">
        <f t="shared" si="10"/>
        <v>45322</v>
      </c>
      <c r="G116" s="17" t="s">
        <v>26</v>
      </c>
      <c r="H116" s="20" t="s">
        <v>25</v>
      </c>
      <c r="I116" s="17" t="s">
        <v>15</v>
      </c>
      <c r="J116" s="17" t="s">
        <v>11</v>
      </c>
      <c r="K116" s="17" t="s">
        <v>10</v>
      </c>
      <c r="L116" s="29">
        <v>3</v>
      </c>
      <c r="M116" s="30">
        <v>0.91239999999999999</v>
      </c>
    </row>
    <row r="117" spans="1:13" x14ac:dyDescent="0.3">
      <c r="A117" s="17">
        <f t="shared" si="11"/>
        <v>116</v>
      </c>
      <c r="B117" s="18" t="s">
        <v>42</v>
      </c>
      <c r="C117" s="19">
        <v>45565</v>
      </c>
      <c r="D117" s="17">
        <v>-2</v>
      </c>
      <c r="E117" s="19">
        <f t="shared" si="9"/>
        <v>45504</v>
      </c>
      <c r="F117" s="19">
        <f t="shared" si="10"/>
        <v>45322</v>
      </c>
      <c r="G117" s="17" t="s">
        <v>26</v>
      </c>
      <c r="H117" s="20" t="s">
        <v>30</v>
      </c>
      <c r="I117" s="17" t="s">
        <v>27</v>
      </c>
      <c r="J117" s="17" t="s">
        <v>29</v>
      </c>
      <c r="K117" s="17" t="s">
        <v>28</v>
      </c>
      <c r="L117" s="29">
        <v>2</v>
      </c>
      <c r="M117" s="30">
        <v>12.31</v>
      </c>
    </row>
    <row r="118" spans="1:13" x14ac:dyDescent="0.3">
      <c r="A118" s="17">
        <f t="shared" si="11"/>
        <v>117</v>
      </c>
      <c r="B118" s="18" t="s">
        <v>42</v>
      </c>
      <c r="C118" s="19">
        <v>45565</v>
      </c>
      <c r="D118" s="17">
        <v>-2</v>
      </c>
      <c r="E118" s="19">
        <f t="shared" si="9"/>
        <v>45504</v>
      </c>
      <c r="F118" s="19">
        <f t="shared" si="10"/>
        <v>45322</v>
      </c>
      <c r="G118" s="17" t="s">
        <v>26</v>
      </c>
      <c r="H118" s="20" t="s">
        <v>31</v>
      </c>
      <c r="I118" s="17" t="s">
        <v>27</v>
      </c>
      <c r="J118" s="17" t="s">
        <v>29</v>
      </c>
      <c r="K118" s="17" t="s">
        <v>28</v>
      </c>
      <c r="L118" s="29">
        <v>1</v>
      </c>
      <c r="M118" s="30">
        <v>3.52</v>
      </c>
    </row>
    <row r="119" spans="1:13" x14ac:dyDescent="0.3">
      <c r="A119" s="17">
        <f t="shared" si="11"/>
        <v>118</v>
      </c>
      <c r="B119" s="18" t="s">
        <v>42</v>
      </c>
      <c r="C119" s="19">
        <v>45565</v>
      </c>
      <c r="D119" s="17">
        <v>-2</v>
      </c>
      <c r="E119" s="19">
        <f t="shared" si="9"/>
        <v>45504</v>
      </c>
      <c r="F119" s="19">
        <f t="shared" si="10"/>
        <v>45322</v>
      </c>
      <c r="G119" s="17" t="s">
        <v>26</v>
      </c>
      <c r="H119" s="20" t="s">
        <v>32</v>
      </c>
      <c r="I119" s="17" t="s">
        <v>27</v>
      </c>
      <c r="J119" s="17" t="s">
        <v>29</v>
      </c>
      <c r="K119" s="17" t="s">
        <v>28</v>
      </c>
      <c r="L119" s="29">
        <v>5</v>
      </c>
      <c r="M119" s="31">
        <v>4.6500000000000004</v>
      </c>
    </row>
    <row r="120" spans="1:13" x14ac:dyDescent="0.3">
      <c r="A120" s="17">
        <f t="shared" si="11"/>
        <v>119</v>
      </c>
      <c r="B120" s="18" t="s">
        <v>42</v>
      </c>
      <c r="C120" s="19">
        <v>45565</v>
      </c>
      <c r="D120" s="17">
        <v>-2</v>
      </c>
      <c r="E120" s="19">
        <f t="shared" si="9"/>
        <v>45504</v>
      </c>
      <c r="F120" s="19">
        <f t="shared" si="10"/>
        <v>45322</v>
      </c>
      <c r="G120" s="17" t="s">
        <v>26</v>
      </c>
      <c r="H120" s="20" t="s">
        <v>33</v>
      </c>
      <c r="I120" s="17" t="s">
        <v>27</v>
      </c>
      <c r="J120" s="17" t="s">
        <v>29</v>
      </c>
      <c r="K120" s="17" t="s">
        <v>28</v>
      </c>
      <c r="L120" s="29">
        <v>6</v>
      </c>
      <c r="M120" s="30">
        <v>12.3</v>
      </c>
    </row>
    <row r="121" spans="1:13" x14ac:dyDescent="0.3">
      <c r="A121" s="17">
        <f t="shared" si="11"/>
        <v>120</v>
      </c>
      <c r="B121" s="18" t="s">
        <v>42</v>
      </c>
      <c r="C121" s="19">
        <v>45565</v>
      </c>
      <c r="D121" s="17">
        <v>-2</v>
      </c>
      <c r="E121" s="19">
        <f t="shared" si="9"/>
        <v>45504</v>
      </c>
      <c r="F121" s="19">
        <f t="shared" si="10"/>
        <v>45322</v>
      </c>
      <c r="G121" s="17" t="s">
        <v>26</v>
      </c>
      <c r="H121" s="20" t="s">
        <v>34</v>
      </c>
      <c r="I121" s="17" t="s">
        <v>27</v>
      </c>
      <c r="J121" s="17" t="s">
        <v>29</v>
      </c>
      <c r="K121" s="17" t="s">
        <v>28</v>
      </c>
      <c r="L121" s="29">
        <v>7</v>
      </c>
      <c r="M121" s="30">
        <v>2.2999999999999998</v>
      </c>
    </row>
    <row r="122" spans="1:13" x14ac:dyDescent="0.3">
      <c r="A122" s="17">
        <f t="shared" si="11"/>
        <v>121</v>
      </c>
      <c r="B122" s="18" t="s">
        <v>42</v>
      </c>
      <c r="C122" s="19">
        <v>45565</v>
      </c>
      <c r="D122" s="17">
        <v>-2</v>
      </c>
      <c r="E122" s="19">
        <f t="shared" si="9"/>
        <v>45504</v>
      </c>
      <c r="F122" s="19">
        <f t="shared" si="10"/>
        <v>45322</v>
      </c>
      <c r="G122" s="17" t="s">
        <v>26</v>
      </c>
      <c r="H122" s="20" t="s">
        <v>35</v>
      </c>
      <c r="I122" s="17" t="s">
        <v>27</v>
      </c>
      <c r="J122" s="17" t="s">
        <v>29</v>
      </c>
      <c r="K122" s="17" t="s">
        <v>28</v>
      </c>
      <c r="L122" s="29">
        <v>7</v>
      </c>
      <c r="M122" s="30">
        <v>1.56</v>
      </c>
    </row>
    <row r="123" spans="1:13" x14ac:dyDescent="0.3">
      <c r="A123" s="17">
        <f t="shared" si="11"/>
        <v>122</v>
      </c>
      <c r="B123" s="18" t="s">
        <v>42</v>
      </c>
      <c r="C123" s="19">
        <v>45565</v>
      </c>
      <c r="D123" s="17">
        <v>-2</v>
      </c>
      <c r="E123" s="19">
        <f t="shared" si="9"/>
        <v>45504</v>
      </c>
      <c r="F123" s="19">
        <f t="shared" si="10"/>
        <v>45322</v>
      </c>
      <c r="G123" s="17" t="s">
        <v>26</v>
      </c>
      <c r="H123" s="20" t="s">
        <v>36</v>
      </c>
      <c r="I123" s="17" t="s">
        <v>27</v>
      </c>
      <c r="J123" s="17" t="s">
        <v>29</v>
      </c>
      <c r="K123" s="17" t="s">
        <v>28</v>
      </c>
      <c r="L123" s="29">
        <v>1</v>
      </c>
      <c r="M123" s="30">
        <v>8</v>
      </c>
    </row>
    <row r="124" spans="1:13" x14ac:dyDescent="0.3">
      <c r="A124" s="17">
        <f t="shared" si="11"/>
        <v>123</v>
      </c>
      <c r="B124" s="18" t="s">
        <v>42</v>
      </c>
      <c r="C124" s="19">
        <v>45565</v>
      </c>
      <c r="D124" s="17">
        <v>-2</v>
      </c>
      <c r="E124" s="19">
        <f t="shared" si="9"/>
        <v>45504</v>
      </c>
      <c r="F124" s="19">
        <f t="shared" si="10"/>
        <v>45322</v>
      </c>
      <c r="G124" s="17" t="s">
        <v>26</v>
      </c>
      <c r="H124" s="20" t="s">
        <v>37</v>
      </c>
      <c r="I124" s="17" t="s">
        <v>27</v>
      </c>
      <c r="J124" s="17" t="s">
        <v>29</v>
      </c>
      <c r="K124" s="17" t="s">
        <v>28</v>
      </c>
      <c r="L124" s="29">
        <v>2</v>
      </c>
      <c r="M124" s="30">
        <v>6.78</v>
      </c>
    </row>
    <row r="125" spans="1:13" x14ac:dyDescent="0.3">
      <c r="A125" s="17">
        <f t="shared" si="11"/>
        <v>124</v>
      </c>
      <c r="B125" s="18" t="s">
        <v>42</v>
      </c>
      <c r="C125" s="19">
        <v>45565</v>
      </c>
      <c r="D125" s="17">
        <v>-2</v>
      </c>
      <c r="E125" s="19">
        <f t="shared" si="9"/>
        <v>45504</v>
      </c>
      <c r="F125" s="19">
        <f t="shared" si="10"/>
        <v>45322</v>
      </c>
      <c r="G125" s="17" t="s">
        <v>26</v>
      </c>
      <c r="H125" s="20" t="s">
        <v>38</v>
      </c>
      <c r="I125" s="17" t="s">
        <v>27</v>
      </c>
      <c r="J125" s="17" t="s">
        <v>29</v>
      </c>
      <c r="K125" s="17" t="s">
        <v>28</v>
      </c>
      <c r="L125" s="29">
        <v>3</v>
      </c>
      <c r="M125" s="30">
        <v>4.68</v>
      </c>
    </row>
    <row r="126" spans="1:13" x14ac:dyDescent="0.3">
      <c r="A126" s="17">
        <f t="shared" si="11"/>
        <v>125</v>
      </c>
      <c r="B126" s="18" t="s">
        <v>42</v>
      </c>
      <c r="C126" s="19">
        <v>45565</v>
      </c>
      <c r="D126" s="17">
        <v>-2</v>
      </c>
      <c r="E126" s="19">
        <f t="shared" si="9"/>
        <v>45504</v>
      </c>
      <c r="F126" s="19">
        <f t="shared" si="10"/>
        <v>45322</v>
      </c>
      <c r="G126" s="17" t="s">
        <v>26</v>
      </c>
      <c r="H126" s="20" t="s">
        <v>39</v>
      </c>
      <c r="I126" s="17" t="s">
        <v>27</v>
      </c>
      <c r="J126" s="17" t="s">
        <v>29</v>
      </c>
      <c r="K126" s="17" t="s">
        <v>28</v>
      </c>
      <c r="L126" s="29">
        <v>4</v>
      </c>
      <c r="M126" s="30">
        <v>5.78</v>
      </c>
    </row>
    <row r="127" spans="1:13" ht="17.25" thickBot="1" x14ac:dyDescent="0.35">
      <c r="A127" s="17">
        <f t="shared" si="11"/>
        <v>126</v>
      </c>
      <c r="B127" s="21" t="s">
        <v>42</v>
      </c>
      <c r="C127" s="22">
        <v>45565</v>
      </c>
      <c r="D127" s="23">
        <v>-2</v>
      </c>
      <c r="E127" s="22">
        <f t="shared" si="9"/>
        <v>45504</v>
      </c>
      <c r="F127" s="22">
        <f t="shared" si="10"/>
        <v>45322</v>
      </c>
      <c r="G127" s="23" t="s">
        <v>26</v>
      </c>
      <c r="H127" s="24" t="s">
        <v>40</v>
      </c>
      <c r="I127" s="23" t="s">
        <v>27</v>
      </c>
      <c r="J127" s="23" t="s">
        <v>29</v>
      </c>
      <c r="K127" s="23" t="s">
        <v>28</v>
      </c>
      <c r="L127" s="32">
        <v>0.56000000000000005</v>
      </c>
      <c r="M127" s="33">
        <v>4.67</v>
      </c>
    </row>
    <row r="128" spans="1:13" x14ac:dyDescent="0.3">
      <c r="A128" s="17">
        <f t="shared" si="11"/>
        <v>127</v>
      </c>
      <c r="B128" s="13" t="s">
        <v>42</v>
      </c>
      <c r="C128" s="14">
        <v>45565</v>
      </c>
      <c r="D128" s="15">
        <v>-2</v>
      </c>
      <c r="E128" s="14">
        <f t="shared" si="9"/>
        <v>45504</v>
      </c>
      <c r="F128" s="14">
        <f t="shared" si="10"/>
        <v>45322</v>
      </c>
      <c r="G128" s="15" t="s">
        <v>14</v>
      </c>
      <c r="H128" s="16" t="s">
        <v>16</v>
      </c>
      <c r="I128" s="15" t="s">
        <v>15</v>
      </c>
      <c r="J128" s="15" t="s">
        <v>11</v>
      </c>
      <c r="K128" s="15" t="s">
        <v>10</v>
      </c>
      <c r="L128" s="27">
        <v>1.2</v>
      </c>
      <c r="M128" s="28">
        <v>8.5299999999999994</v>
      </c>
    </row>
    <row r="129" spans="1:13" x14ac:dyDescent="0.3">
      <c r="A129" s="17">
        <f t="shared" si="11"/>
        <v>128</v>
      </c>
      <c r="B129" s="18" t="s">
        <v>13</v>
      </c>
      <c r="C129" s="19">
        <v>45565</v>
      </c>
      <c r="D129" s="17">
        <v>-2</v>
      </c>
      <c r="E129" s="19">
        <f t="shared" si="9"/>
        <v>45504</v>
      </c>
      <c r="F129" s="19">
        <f t="shared" si="10"/>
        <v>45322</v>
      </c>
      <c r="G129" s="17" t="s">
        <v>14</v>
      </c>
      <c r="H129" s="20" t="s">
        <v>17</v>
      </c>
      <c r="I129" s="17" t="s">
        <v>15</v>
      </c>
      <c r="J129" s="17" t="s">
        <v>11</v>
      </c>
      <c r="K129" s="17" t="s">
        <v>10</v>
      </c>
      <c r="L129" s="29">
        <v>1.35</v>
      </c>
      <c r="M129" s="30">
        <v>10.23</v>
      </c>
    </row>
    <row r="130" spans="1:13" x14ac:dyDescent="0.3">
      <c r="A130" s="17">
        <f t="shared" si="11"/>
        <v>129</v>
      </c>
      <c r="B130" s="18" t="s">
        <v>13</v>
      </c>
      <c r="C130" s="19">
        <v>45565</v>
      </c>
      <c r="D130" s="17">
        <v>-2</v>
      </c>
      <c r="E130" s="19">
        <f t="shared" ref="E130:E161" si="12">EOMONTH(C130,D130)</f>
        <v>45504</v>
      </c>
      <c r="F130" s="19">
        <f t="shared" ref="F130:F161" si="13">EOMONTH(E130,-6)</f>
        <v>45322</v>
      </c>
      <c r="G130" s="17" t="s">
        <v>14</v>
      </c>
      <c r="H130" s="20" t="s">
        <v>18</v>
      </c>
      <c r="I130" s="17" t="s">
        <v>15</v>
      </c>
      <c r="J130" s="17" t="s">
        <v>11</v>
      </c>
      <c r="K130" s="17" t="s">
        <v>10</v>
      </c>
      <c r="L130" s="29">
        <v>1.2</v>
      </c>
      <c r="M130" s="30">
        <v>1.86</v>
      </c>
    </row>
    <row r="131" spans="1:13" x14ac:dyDescent="0.3">
      <c r="A131" s="17">
        <f t="shared" ref="A131:A165" si="14">ROW()-1</f>
        <v>130</v>
      </c>
      <c r="B131" s="18" t="s">
        <v>13</v>
      </c>
      <c r="C131" s="19">
        <v>45565</v>
      </c>
      <c r="D131" s="17">
        <v>-2</v>
      </c>
      <c r="E131" s="19">
        <f t="shared" si="12"/>
        <v>45504</v>
      </c>
      <c r="F131" s="19">
        <f t="shared" si="13"/>
        <v>45322</v>
      </c>
      <c r="G131" s="17" t="s">
        <v>14</v>
      </c>
      <c r="H131" s="20" t="s">
        <v>19</v>
      </c>
      <c r="I131" s="17" t="s">
        <v>15</v>
      </c>
      <c r="J131" s="17" t="s">
        <v>11</v>
      </c>
      <c r="K131" s="17" t="s">
        <v>10</v>
      </c>
      <c r="L131" s="29">
        <v>1.1000000000000001</v>
      </c>
      <c r="M131" s="30">
        <v>2.9041000000000001</v>
      </c>
    </row>
    <row r="132" spans="1:13" x14ac:dyDescent="0.3">
      <c r="A132" s="17">
        <f t="shared" si="14"/>
        <v>131</v>
      </c>
      <c r="B132" s="18" t="s">
        <v>13</v>
      </c>
      <c r="C132" s="19">
        <v>45565</v>
      </c>
      <c r="D132" s="17">
        <v>-2</v>
      </c>
      <c r="E132" s="19">
        <f t="shared" si="12"/>
        <v>45504</v>
      </c>
      <c r="F132" s="19">
        <f t="shared" si="13"/>
        <v>45322</v>
      </c>
      <c r="G132" s="17" t="s">
        <v>14</v>
      </c>
      <c r="H132" s="20" t="s">
        <v>20</v>
      </c>
      <c r="I132" s="17" t="s">
        <v>15</v>
      </c>
      <c r="J132" s="17" t="s">
        <v>11</v>
      </c>
      <c r="K132" s="17" t="s">
        <v>10</v>
      </c>
      <c r="L132" s="29">
        <v>1.5</v>
      </c>
      <c r="M132" s="30">
        <v>3.5230000000000001</v>
      </c>
    </row>
    <row r="133" spans="1:13" x14ac:dyDescent="0.3">
      <c r="A133" s="17">
        <f t="shared" si="14"/>
        <v>132</v>
      </c>
      <c r="B133" s="18" t="s">
        <v>13</v>
      </c>
      <c r="C133" s="19">
        <v>45565</v>
      </c>
      <c r="D133" s="17">
        <v>-2</v>
      </c>
      <c r="E133" s="19">
        <f t="shared" si="12"/>
        <v>45504</v>
      </c>
      <c r="F133" s="19">
        <f t="shared" si="13"/>
        <v>45322</v>
      </c>
      <c r="G133" s="17" t="s">
        <v>14</v>
      </c>
      <c r="H133" s="20" t="s">
        <v>21</v>
      </c>
      <c r="I133" s="17" t="s">
        <v>15</v>
      </c>
      <c r="J133" s="17" t="s">
        <v>11</v>
      </c>
      <c r="K133" s="17" t="s">
        <v>10</v>
      </c>
      <c r="L133" s="29">
        <v>1.6</v>
      </c>
      <c r="M133" s="30">
        <v>1.24</v>
      </c>
    </row>
    <row r="134" spans="1:13" x14ac:dyDescent="0.3">
      <c r="A134" s="17">
        <f t="shared" si="14"/>
        <v>133</v>
      </c>
      <c r="B134" s="18" t="s">
        <v>13</v>
      </c>
      <c r="C134" s="19">
        <v>45565</v>
      </c>
      <c r="D134" s="17">
        <v>-2</v>
      </c>
      <c r="E134" s="19">
        <f t="shared" si="12"/>
        <v>45504</v>
      </c>
      <c r="F134" s="19">
        <f t="shared" si="13"/>
        <v>45322</v>
      </c>
      <c r="G134" s="17" t="s">
        <v>14</v>
      </c>
      <c r="H134" s="20" t="s">
        <v>22</v>
      </c>
      <c r="I134" s="17" t="s">
        <v>15</v>
      </c>
      <c r="J134" s="17" t="s">
        <v>11</v>
      </c>
      <c r="K134" s="17" t="s">
        <v>10</v>
      </c>
      <c r="L134" s="29">
        <v>5.3</v>
      </c>
      <c r="M134" s="30">
        <v>5.31</v>
      </c>
    </row>
    <row r="135" spans="1:13" x14ac:dyDescent="0.3">
      <c r="A135" s="17">
        <f t="shared" si="14"/>
        <v>134</v>
      </c>
      <c r="B135" s="18" t="s">
        <v>13</v>
      </c>
      <c r="C135" s="19">
        <v>45565</v>
      </c>
      <c r="D135" s="17">
        <v>-2</v>
      </c>
      <c r="E135" s="19">
        <f t="shared" si="12"/>
        <v>45504</v>
      </c>
      <c r="F135" s="19">
        <f t="shared" si="13"/>
        <v>45322</v>
      </c>
      <c r="G135" s="17" t="s">
        <v>14</v>
      </c>
      <c r="H135" s="20" t="s">
        <v>23</v>
      </c>
      <c r="I135" s="17" t="s">
        <v>15</v>
      </c>
      <c r="J135" s="17" t="s">
        <v>11</v>
      </c>
      <c r="K135" s="17" t="s">
        <v>10</v>
      </c>
      <c r="L135" s="29">
        <v>2.35</v>
      </c>
      <c r="M135" s="30">
        <v>2.35</v>
      </c>
    </row>
    <row r="136" spans="1:13" x14ac:dyDescent="0.3">
      <c r="A136" s="17">
        <f t="shared" si="14"/>
        <v>135</v>
      </c>
      <c r="B136" s="18" t="s">
        <v>13</v>
      </c>
      <c r="C136" s="19">
        <v>45565</v>
      </c>
      <c r="D136" s="17">
        <v>-2</v>
      </c>
      <c r="E136" s="19">
        <f t="shared" si="12"/>
        <v>45504</v>
      </c>
      <c r="F136" s="19">
        <f t="shared" si="13"/>
        <v>45322</v>
      </c>
      <c r="G136" s="17" t="s">
        <v>14</v>
      </c>
      <c r="H136" s="20" t="s">
        <v>24</v>
      </c>
      <c r="I136" s="17" t="s">
        <v>15</v>
      </c>
      <c r="J136" s="17" t="s">
        <v>11</v>
      </c>
      <c r="K136" s="17" t="s">
        <v>10</v>
      </c>
      <c r="L136" s="29">
        <v>1.6</v>
      </c>
      <c r="M136" s="30">
        <v>1.6339999999999999</v>
      </c>
    </row>
    <row r="137" spans="1:13" x14ac:dyDescent="0.3">
      <c r="A137" s="17">
        <f t="shared" si="14"/>
        <v>136</v>
      </c>
      <c r="B137" s="18" t="s">
        <v>13</v>
      </c>
      <c r="C137" s="19">
        <v>45565</v>
      </c>
      <c r="D137" s="17">
        <v>-2</v>
      </c>
      <c r="E137" s="19">
        <f t="shared" si="12"/>
        <v>45504</v>
      </c>
      <c r="F137" s="19">
        <f t="shared" si="13"/>
        <v>45322</v>
      </c>
      <c r="G137" s="17" t="s">
        <v>14</v>
      </c>
      <c r="H137" s="20" t="s">
        <v>25</v>
      </c>
      <c r="I137" s="17" t="s">
        <v>15</v>
      </c>
      <c r="J137" s="17" t="s">
        <v>11</v>
      </c>
      <c r="K137" s="17" t="s">
        <v>10</v>
      </c>
      <c r="L137" s="29">
        <v>3</v>
      </c>
      <c r="M137" s="30">
        <v>0.91239999999999999</v>
      </c>
    </row>
    <row r="138" spans="1:13" x14ac:dyDescent="0.3">
      <c r="A138" s="17">
        <f t="shared" si="14"/>
        <v>137</v>
      </c>
      <c r="B138" s="18" t="s">
        <v>13</v>
      </c>
      <c r="C138" s="19">
        <v>45565</v>
      </c>
      <c r="D138" s="17">
        <v>-2</v>
      </c>
      <c r="E138" s="19">
        <f t="shared" si="12"/>
        <v>45504</v>
      </c>
      <c r="F138" s="19">
        <f t="shared" si="13"/>
        <v>45322</v>
      </c>
      <c r="G138" s="17" t="s">
        <v>14</v>
      </c>
      <c r="H138" s="20" t="s">
        <v>30</v>
      </c>
      <c r="I138" s="17" t="s">
        <v>27</v>
      </c>
      <c r="J138" s="17" t="s">
        <v>29</v>
      </c>
      <c r="K138" s="17" t="s">
        <v>28</v>
      </c>
      <c r="L138" s="29">
        <v>2</v>
      </c>
      <c r="M138" s="30">
        <v>12.31</v>
      </c>
    </row>
    <row r="139" spans="1:13" x14ac:dyDescent="0.3">
      <c r="A139" s="17">
        <f t="shared" si="14"/>
        <v>138</v>
      </c>
      <c r="B139" s="18" t="s">
        <v>13</v>
      </c>
      <c r="C139" s="19">
        <v>45565</v>
      </c>
      <c r="D139" s="17">
        <v>-2</v>
      </c>
      <c r="E139" s="19">
        <f t="shared" si="12"/>
        <v>45504</v>
      </c>
      <c r="F139" s="19">
        <f t="shared" si="13"/>
        <v>45322</v>
      </c>
      <c r="G139" s="17" t="s">
        <v>14</v>
      </c>
      <c r="H139" s="20" t="s">
        <v>31</v>
      </c>
      <c r="I139" s="17" t="s">
        <v>27</v>
      </c>
      <c r="J139" s="17" t="s">
        <v>29</v>
      </c>
      <c r="K139" s="17" t="s">
        <v>28</v>
      </c>
      <c r="L139" s="29">
        <v>1</v>
      </c>
      <c r="M139" s="30">
        <v>3.52</v>
      </c>
    </row>
    <row r="140" spans="1:13" x14ac:dyDescent="0.3">
      <c r="A140" s="17">
        <f t="shared" si="14"/>
        <v>139</v>
      </c>
      <c r="B140" s="18" t="s">
        <v>13</v>
      </c>
      <c r="C140" s="19">
        <v>45565</v>
      </c>
      <c r="D140" s="17">
        <v>-2</v>
      </c>
      <c r="E140" s="19">
        <f t="shared" si="12"/>
        <v>45504</v>
      </c>
      <c r="F140" s="19">
        <f t="shared" si="13"/>
        <v>45322</v>
      </c>
      <c r="G140" s="17" t="s">
        <v>14</v>
      </c>
      <c r="H140" s="20" t="s">
        <v>32</v>
      </c>
      <c r="I140" s="17" t="s">
        <v>27</v>
      </c>
      <c r="J140" s="17" t="s">
        <v>29</v>
      </c>
      <c r="K140" s="17" t="s">
        <v>28</v>
      </c>
      <c r="L140" s="29">
        <v>5</v>
      </c>
      <c r="M140" s="31">
        <v>4.6500000000000004</v>
      </c>
    </row>
    <row r="141" spans="1:13" x14ac:dyDescent="0.3">
      <c r="A141" s="17">
        <f t="shared" si="14"/>
        <v>140</v>
      </c>
      <c r="B141" s="18" t="s">
        <v>13</v>
      </c>
      <c r="C141" s="19">
        <v>45565</v>
      </c>
      <c r="D141" s="17">
        <v>-2</v>
      </c>
      <c r="E141" s="19">
        <f t="shared" si="12"/>
        <v>45504</v>
      </c>
      <c r="F141" s="19">
        <f t="shared" si="13"/>
        <v>45322</v>
      </c>
      <c r="G141" s="17" t="s">
        <v>14</v>
      </c>
      <c r="H141" s="20" t="s">
        <v>33</v>
      </c>
      <c r="I141" s="17" t="s">
        <v>27</v>
      </c>
      <c r="J141" s="17" t="s">
        <v>29</v>
      </c>
      <c r="K141" s="17" t="s">
        <v>28</v>
      </c>
      <c r="L141" s="29">
        <v>6</v>
      </c>
      <c r="M141" s="30">
        <v>12.3</v>
      </c>
    </row>
    <row r="142" spans="1:13" x14ac:dyDescent="0.3">
      <c r="A142" s="17">
        <f t="shared" si="14"/>
        <v>141</v>
      </c>
      <c r="B142" s="18" t="s">
        <v>13</v>
      </c>
      <c r="C142" s="19">
        <v>45565</v>
      </c>
      <c r="D142" s="17">
        <v>-2</v>
      </c>
      <c r="E142" s="19">
        <f t="shared" si="12"/>
        <v>45504</v>
      </c>
      <c r="F142" s="19">
        <f t="shared" si="13"/>
        <v>45322</v>
      </c>
      <c r="G142" s="17" t="s">
        <v>14</v>
      </c>
      <c r="H142" s="20" t="s">
        <v>34</v>
      </c>
      <c r="I142" s="17" t="s">
        <v>27</v>
      </c>
      <c r="J142" s="17" t="s">
        <v>29</v>
      </c>
      <c r="K142" s="17" t="s">
        <v>28</v>
      </c>
      <c r="L142" s="29">
        <v>7</v>
      </c>
      <c r="M142" s="30">
        <v>2.2999999999999998</v>
      </c>
    </row>
    <row r="143" spans="1:13" x14ac:dyDescent="0.3">
      <c r="A143" s="17">
        <f t="shared" si="14"/>
        <v>142</v>
      </c>
      <c r="B143" s="18" t="s">
        <v>13</v>
      </c>
      <c r="C143" s="19">
        <v>45565</v>
      </c>
      <c r="D143" s="17">
        <v>-2</v>
      </c>
      <c r="E143" s="19">
        <f t="shared" si="12"/>
        <v>45504</v>
      </c>
      <c r="F143" s="19">
        <f t="shared" si="13"/>
        <v>45322</v>
      </c>
      <c r="G143" s="17" t="s">
        <v>14</v>
      </c>
      <c r="H143" s="20" t="s">
        <v>35</v>
      </c>
      <c r="I143" s="17" t="s">
        <v>27</v>
      </c>
      <c r="J143" s="17" t="s">
        <v>29</v>
      </c>
      <c r="K143" s="17" t="s">
        <v>28</v>
      </c>
      <c r="L143" s="29">
        <v>7</v>
      </c>
      <c r="M143" s="30">
        <v>1.56</v>
      </c>
    </row>
    <row r="144" spans="1:13" x14ac:dyDescent="0.3">
      <c r="A144" s="17">
        <f t="shared" si="14"/>
        <v>143</v>
      </c>
      <c r="B144" s="18" t="s">
        <v>13</v>
      </c>
      <c r="C144" s="19">
        <v>45565</v>
      </c>
      <c r="D144" s="17">
        <v>-2</v>
      </c>
      <c r="E144" s="19">
        <f t="shared" si="12"/>
        <v>45504</v>
      </c>
      <c r="F144" s="19">
        <f t="shared" si="13"/>
        <v>45322</v>
      </c>
      <c r="G144" s="17" t="s">
        <v>14</v>
      </c>
      <c r="H144" s="20" t="s">
        <v>36</v>
      </c>
      <c r="I144" s="17" t="s">
        <v>27</v>
      </c>
      <c r="J144" s="17" t="s">
        <v>29</v>
      </c>
      <c r="K144" s="17" t="s">
        <v>28</v>
      </c>
      <c r="L144" s="29">
        <v>1</v>
      </c>
      <c r="M144" s="30">
        <v>8</v>
      </c>
    </row>
    <row r="145" spans="1:13" x14ac:dyDescent="0.3">
      <c r="A145" s="17">
        <f t="shared" si="14"/>
        <v>144</v>
      </c>
      <c r="B145" s="18" t="s">
        <v>13</v>
      </c>
      <c r="C145" s="19">
        <v>45565</v>
      </c>
      <c r="D145" s="17">
        <v>-2</v>
      </c>
      <c r="E145" s="19">
        <f t="shared" si="12"/>
        <v>45504</v>
      </c>
      <c r="F145" s="19">
        <f t="shared" si="13"/>
        <v>45322</v>
      </c>
      <c r="G145" s="17" t="s">
        <v>14</v>
      </c>
      <c r="H145" s="20" t="s">
        <v>37</v>
      </c>
      <c r="I145" s="17" t="s">
        <v>27</v>
      </c>
      <c r="J145" s="17" t="s">
        <v>29</v>
      </c>
      <c r="K145" s="17" t="s">
        <v>28</v>
      </c>
      <c r="L145" s="29">
        <v>2</v>
      </c>
      <c r="M145" s="30">
        <v>6.78</v>
      </c>
    </row>
    <row r="146" spans="1:13" x14ac:dyDescent="0.3">
      <c r="A146" s="17">
        <f t="shared" si="14"/>
        <v>145</v>
      </c>
      <c r="B146" s="18" t="s">
        <v>13</v>
      </c>
      <c r="C146" s="19">
        <v>45565</v>
      </c>
      <c r="D146" s="17">
        <v>-2</v>
      </c>
      <c r="E146" s="19">
        <f t="shared" si="12"/>
        <v>45504</v>
      </c>
      <c r="F146" s="19">
        <f t="shared" si="13"/>
        <v>45322</v>
      </c>
      <c r="G146" s="17" t="s">
        <v>14</v>
      </c>
      <c r="H146" s="20" t="s">
        <v>38</v>
      </c>
      <c r="I146" s="17" t="s">
        <v>27</v>
      </c>
      <c r="J146" s="17" t="s">
        <v>29</v>
      </c>
      <c r="K146" s="17" t="s">
        <v>28</v>
      </c>
      <c r="L146" s="29">
        <v>3</v>
      </c>
      <c r="M146" s="30">
        <v>4.68</v>
      </c>
    </row>
    <row r="147" spans="1:13" x14ac:dyDescent="0.3">
      <c r="A147" s="17">
        <f t="shared" si="14"/>
        <v>146</v>
      </c>
      <c r="B147" s="18" t="s">
        <v>13</v>
      </c>
      <c r="C147" s="19">
        <v>45565</v>
      </c>
      <c r="D147" s="17">
        <v>-2</v>
      </c>
      <c r="E147" s="19">
        <f t="shared" si="12"/>
        <v>45504</v>
      </c>
      <c r="F147" s="19">
        <f t="shared" si="13"/>
        <v>45322</v>
      </c>
      <c r="G147" s="17" t="s">
        <v>14</v>
      </c>
      <c r="H147" s="20" t="s">
        <v>39</v>
      </c>
      <c r="I147" s="17" t="s">
        <v>27</v>
      </c>
      <c r="J147" s="17" t="s">
        <v>29</v>
      </c>
      <c r="K147" s="17" t="s">
        <v>28</v>
      </c>
      <c r="L147" s="29">
        <v>4</v>
      </c>
      <c r="M147" s="30">
        <v>5.78</v>
      </c>
    </row>
    <row r="148" spans="1:13" ht="17.25" thickBot="1" x14ac:dyDescent="0.35">
      <c r="A148" s="17">
        <f t="shared" si="14"/>
        <v>147</v>
      </c>
      <c r="B148" s="21" t="s">
        <v>13</v>
      </c>
      <c r="C148" s="22">
        <v>45565</v>
      </c>
      <c r="D148" s="23">
        <v>-2</v>
      </c>
      <c r="E148" s="22">
        <f t="shared" si="12"/>
        <v>45504</v>
      </c>
      <c r="F148" s="22">
        <f t="shared" si="13"/>
        <v>45322</v>
      </c>
      <c r="G148" s="23" t="s">
        <v>14</v>
      </c>
      <c r="H148" s="24" t="s">
        <v>40</v>
      </c>
      <c r="I148" s="23" t="s">
        <v>27</v>
      </c>
      <c r="J148" s="23" t="s">
        <v>29</v>
      </c>
      <c r="K148" s="23" t="s">
        <v>28</v>
      </c>
      <c r="L148" s="32">
        <v>0.56000000000000005</v>
      </c>
      <c r="M148" s="33">
        <v>4.67</v>
      </c>
    </row>
    <row r="149" spans="1:13" x14ac:dyDescent="0.3">
      <c r="A149" s="17">
        <f t="shared" si="14"/>
        <v>148</v>
      </c>
      <c r="B149" s="13" t="s">
        <v>42</v>
      </c>
      <c r="C149" s="14">
        <v>45565</v>
      </c>
      <c r="D149" s="15">
        <v>-2</v>
      </c>
      <c r="E149" s="14">
        <f t="shared" si="12"/>
        <v>45504</v>
      </c>
      <c r="F149" s="14">
        <f t="shared" si="13"/>
        <v>45322</v>
      </c>
      <c r="G149" s="15" t="s">
        <v>26</v>
      </c>
      <c r="H149" s="16" t="s">
        <v>16</v>
      </c>
      <c r="I149" s="15" t="s">
        <v>15</v>
      </c>
      <c r="J149" s="15" t="s">
        <v>11</v>
      </c>
      <c r="K149" s="15" t="s">
        <v>10</v>
      </c>
      <c r="L149" s="27">
        <v>1.2</v>
      </c>
      <c r="M149" s="28">
        <v>8.5299999999999994</v>
      </c>
    </row>
    <row r="150" spans="1:13" x14ac:dyDescent="0.3">
      <c r="A150" s="17">
        <f t="shared" si="14"/>
        <v>149</v>
      </c>
      <c r="B150" s="18" t="s">
        <v>42</v>
      </c>
      <c r="C150" s="19">
        <v>45565</v>
      </c>
      <c r="D150" s="17">
        <v>-2</v>
      </c>
      <c r="E150" s="19">
        <f t="shared" si="12"/>
        <v>45504</v>
      </c>
      <c r="F150" s="19">
        <f t="shared" si="13"/>
        <v>45322</v>
      </c>
      <c r="G150" s="17" t="s">
        <v>26</v>
      </c>
      <c r="H150" s="20" t="s">
        <v>17</v>
      </c>
      <c r="I150" s="17" t="s">
        <v>15</v>
      </c>
      <c r="J150" s="17" t="s">
        <v>11</v>
      </c>
      <c r="K150" s="17" t="s">
        <v>10</v>
      </c>
      <c r="L150" s="29">
        <v>1.35</v>
      </c>
      <c r="M150" s="30">
        <v>10.23</v>
      </c>
    </row>
    <row r="151" spans="1:13" x14ac:dyDescent="0.3">
      <c r="A151" s="17">
        <f t="shared" si="14"/>
        <v>150</v>
      </c>
      <c r="B151" s="18" t="s">
        <v>42</v>
      </c>
      <c r="C151" s="19">
        <v>45565</v>
      </c>
      <c r="D151" s="17">
        <v>-2</v>
      </c>
      <c r="E151" s="19">
        <f t="shared" si="12"/>
        <v>45504</v>
      </c>
      <c r="F151" s="19">
        <f t="shared" si="13"/>
        <v>45322</v>
      </c>
      <c r="G151" s="17" t="s">
        <v>26</v>
      </c>
      <c r="H151" s="20" t="s">
        <v>18</v>
      </c>
      <c r="I151" s="17" t="s">
        <v>15</v>
      </c>
      <c r="J151" s="17" t="s">
        <v>11</v>
      </c>
      <c r="K151" s="17" t="s">
        <v>10</v>
      </c>
      <c r="L151" s="29">
        <v>1.2</v>
      </c>
      <c r="M151" s="30">
        <v>1.86</v>
      </c>
    </row>
    <row r="152" spans="1:13" x14ac:dyDescent="0.3">
      <c r="A152" s="17">
        <f t="shared" si="14"/>
        <v>151</v>
      </c>
      <c r="B152" s="18" t="s">
        <v>42</v>
      </c>
      <c r="C152" s="19">
        <v>45565</v>
      </c>
      <c r="D152" s="17">
        <v>-2</v>
      </c>
      <c r="E152" s="19">
        <f t="shared" si="12"/>
        <v>45504</v>
      </c>
      <c r="F152" s="19">
        <f t="shared" si="13"/>
        <v>45322</v>
      </c>
      <c r="G152" s="17" t="s">
        <v>26</v>
      </c>
      <c r="H152" s="20" t="s">
        <v>19</v>
      </c>
      <c r="I152" s="17" t="s">
        <v>15</v>
      </c>
      <c r="J152" s="17" t="s">
        <v>11</v>
      </c>
      <c r="K152" s="17" t="s">
        <v>10</v>
      </c>
      <c r="L152" s="29">
        <v>1.1000000000000001</v>
      </c>
      <c r="M152" s="30">
        <v>2.9041000000000001</v>
      </c>
    </row>
    <row r="153" spans="1:13" x14ac:dyDescent="0.3">
      <c r="A153" s="17">
        <f t="shared" si="14"/>
        <v>152</v>
      </c>
      <c r="B153" s="18" t="s">
        <v>42</v>
      </c>
      <c r="C153" s="19">
        <v>45565</v>
      </c>
      <c r="D153" s="17">
        <v>-2</v>
      </c>
      <c r="E153" s="19">
        <f t="shared" si="12"/>
        <v>45504</v>
      </c>
      <c r="F153" s="19">
        <f t="shared" si="13"/>
        <v>45322</v>
      </c>
      <c r="G153" s="17" t="s">
        <v>26</v>
      </c>
      <c r="H153" s="20" t="s">
        <v>20</v>
      </c>
      <c r="I153" s="17" t="s">
        <v>15</v>
      </c>
      <c r="J153" s="17" t="s">
        <v>11</v>
      </c>
      <c r="K153" s="17" t="s">
        <v>10</v>
      </c>
      <c r="L153" s="29">
        <v>1.5</v>
      </c>
      <c r="M153" s="30">
        <v>3.5230000000000001</v>
      </c>
    </row>
    <row r="154" spans="1:13" x14ac:dyDescent="0.3">
      <c r="A154" s="17">
        <f t="shared" si="14"/>
        <v>153</v>
      </c>
      <c r="B154" s="18" t="s">
        <v>42</v>
      </c>
      <c r="C154" s="19">
        <v>45565</v>
      </c>
      <c r="D154" s="17">
        <v>-2</v>
      </c>
      <c r="E154" s="19">
        <f t="shared" si="12"/>
        <v>45504</v>
      </c>
      <c r="F154" s="19">
        <f t="shared" si="13"/>
        <v>45322</v>
      </c>
      <c r="G154" s="17" t="s">
        <v>26</v>
      </c>
      <c r="H154" s="20" t="s">
        <v>21</v>
      </c>
      <c r="I154" s="17" t="s">
        <v>15</v>
      </c>
      <c r="J154" s="17" t="s">
        <v>11</v>
      </c>
      <c r="K154" s="17" t="s">
        <v>10</v>
      </c>
      <c r="L154" s="29">
        <v>1.6</v>
      </c>
      <c r="M154" s="30">
        <v>1.24</v>
      </c>
    </row>
    <row r="155" spans="1:13" x14ac:dyDescent="0.3">
      <c r="A155" s="17">
        <f t="shared" si="14"/>
        <v>154</v>
      </c>
      <c r="B155" s="18" t="s">
        <v>42</v>
      </c>
      <c r="C155" s="19">
        <v>45565</v>
      </c>
      <c r="D155" s="17">
        <v>-2</v>
      </c>
      <c r="E155" s="19">
        <f t="shared" si="12"/>
        <v>45504</v>
      </c>
      <c r="F155" s="19">
        <f t="shared" si="13"/>
        <v>45322</v>
      </c>
      <c r="G155" s="17" t="s">
        <v>26</v>
      </c>
      <c r="H155" s="20" t="s">
        <v>22</v>
      </c>
      <c r="I155" s="17" t="s">
        <v>15</v>
      </c>
      <c r="J155" s="17" t="s">
        <v>11</v>
      </c>
      <c r="K155" s="17" t="s">
        <v>10</v>
      </c>
      <c r="L155" s="29">
        <v>5.3</v>
      </c>
      <c r="M155" s="30">
        <v>5.31</v>
      </c>
    </row>
    <row r="156" spans="1:13" x14ac:dyDescent="0.3">
      <c r="A156" s="17">
        <f t="shared" si="14"/>
        <v>155</v>
      </c>
      <c r="B156" s="18" t="s">
        <v>42</v>
      </c>
      <c r="C156" s="19">
        <v>45565</v>
      </c>
      <c r="D156" s="17">
        <v>-2</v>
      </c>
      <c r="E156" s="19">
        <f t="shared" si="12"/>
        <v>45504</v>
      </c>
      <c r="F156" s="19">
        <f t="shared" si="13"/>
        <v>45322</v>
      </c>
      <c r="G156" s="17" t="s">
        <v>26</v>
      </c>
      <c r="H156" s="20" t="s">
        <v>23</v>
      </c>
      <c r="I156" s="17" t="s">
        <v>15</v>
      </c>
      <c r="J156" s="17" t="s">
        <v>11</v>
      </c>
      <c r="K156" s="17" t="s">
        <v>10</v>
      </c>
      <c r="L156" s="29">
        <v>2.35</v>
      </c>
      <c r="M156" s="30">
        <v>2.35</v>
      </c>
    </row>
    <row r="157" spans="1:13" x14ac:dyDescent="0.3">
      <c r="A157" s="17">
        <f t="shared" si="14"/>
        <v>156</v>
      </c>
      <c r="B157" s="18" t="s">
        <v>42</v>
      </c>
      <c r="C157" s="19">
        <v>45565</v>
      </c>
      <c r="D157" s="17">
        <v>-2</v>
      </c>
      <c r="E157" s="19">
        <f t="shared" si="12"/>
        <v>45504</v>
      </c>
      <c r="F157" s="19">
        <f t="shared" si="13"/>
        <v>45322</v>
      </c>
      <c r="G157" s="17" t="s">
        <v>26</v>
      </c>
      <c r="H157" s="20" t="s">
        <v>24</v>
      </c>
      <c r="I157" s="17" t="s">
        <v>15</v>
      </c>
      <c r="J157" s="17" t="s">
        <v>11</v>
      </c>
      <c r="K157" s="17" t="s">
        <v>10</v>
      </c>
      <c r="L157" s="29">
        <v>1.6</v>
      </c>
      <c r="M157" s="30">
        <v>1.6339999999999999</v>
      </c>
    </row>
    <row r="158" spans="1:13" x14ac:dyDescent="0.3">
      <c r="A158" s="17">
        <f t="shared" si="14"/>
        <v>157</v>
      </c>
      <c r="B158" s="18" t="s">
        <v>42</v>
      </c>
      <c r="C158" s="19">
        <v>45565</v>
      </c>
      <c r="D158" s="17">
        <v>-2</v>
      </c>
      <c r="E158" s="19">
        <f t="shared" si="12"/>
        <v>45504</v>
      </c>
      <c r="F158" s="19">
        <f t="shared" si="13"/>
        <v>45322</v>
      </c>
      <c r="G158" s="17" t="s">
        <v>26</v>
      </c>
      <c r="H158" s="20" t="s">
        <v>25</v>
      </c>
      <c r="I158" s="17" t="s">
        <v>15</v>
      </c>
      <c r="J158" s="17" t="s">
        <v>11</v>
      </c>
      <c r="K158" s="17" t="s">
        <v>10</v>
      </c>
      <c r="L158" s="29">
        <v>3</v>
      </c>
      <c r="M158" s="30">
        <v>0.91239999999999999</v>
      </c>
    </row>
    <row r="159" spans="1:13" x14ac:dyDescent="0.3">
      <c r="A159" s="17">
        <f t="shared" si="14"/>
        <v>158</v>
      </c>
      <c r="B159" s="18" t="s">
        <v>42</v>
      </c>
      <c r="C159" s="19">
        <v>45565</v>
      </c>
      <c r="D159" s="17">
        <v>-2</v>
      </c>
      <c r="E159" s="19">
        <f t="shared" si="12"/>
        <v>45504</v>
      </c>
      <c r="F159" s="19">
        <f t="shared" si="13"/>
        <v>45322</v>
      </c>
      <c r="G159" s="17" t="s">
        <v>26</v>
      </c>
      <c r="H159" s="20" t="s">
        <v>30</v>
      </c>
      <c r="I159" s="17" t="s">
        <v>27</v>
      </c>
      <c r="J159" s="17" t="s">
        <v>29</v>
      </c>
      <c r="K159" s="17" t="s">
        <v>28</v>
      </c>
      <c r="L159" s="29">
        <v>2</v>
      </c>
      <c r="M159" s="30">
        <v>12.31</v>
      </c>
    </row>
    <row r="160" spans="1:13" x14ac:dyDescent="0.3">
      <c r="A160" s="17">
        <f t="shared" si="14"/>
        <v>159</v>
      </c>
      <c r="B160" s="18" t="s">
        <v>42</v>
      </c>
      <c r="C160" s="19">
        <v>45565</v>
      </c>
      <c r="D160" s="17">
        <v>-2</v>
      </c>
      <c r="E160" s="19">
        <f t="shared" si="12"/>
        <v>45504</v>
      </c>
      <c r="F160" s="19">
        <f t="shared" si="13"/>
        <v>45322</v>
      </c>
      <c r="G160" s="17" t="s">
        <v>26</v>
      </c>
      <c r="H160" s="20" t="s">
        <v>31</v>
      </c>
      <c r="I160" s="17" t="s">
        <v>27</v>
      </c>
      <c r="J160" s="17" t="s">
        <v>29</v>
      </c>
      <c r="K160" s="17" t="s">
        <v>28</v>
      </c>
      <c r="L160" s="29">
        <v>1</v>
      </c>
      <c r="M160" s="30">
        <v>3.52</v>
      </c>
    </row>
    <row r="161" spans="1:13" x14ac:dyDescent="0.3">
      <c r="A161" s="17">
        <f t="shared" si="14"/>
        <v>160</v>
      </c>
      <c r="B161" s="18" t="s">
        <v>42</v>
      </c>
      <c r="C161" s="19">
        <v>45565</v>
      </c>
      <c r="D161" s="17">
        <v>-2</v>
      </c>
      <c r="E161" s="19">
        <f t="shared" si="12"/>
        <v>45504</v>
      </c>
      <c r="F161" s="19">
        <f t="shared" si="13"/>
        <v>45322</v>
      </c>
      <c r="G161" s="17" t="s">
        <v>26</v>
      </c>
      <c r="H161" s="20" t="s">
        <v>32</v>
      </c>
      <c r="I161" s="17" t="s">
        <v>27</v>
      </c>
      <c r="J161" s="17" t="s">
        <v>29</v>
      </c>
      <c r="K161" s="17" t="s">
        <v>28</v>
      </c>
      <c r="L161" s="29">
        <v>5</v>
      </c>
      <c r="M161" s="31">
        <v>4.6500000000000004</v>
      </c>
    </row>
    <row r="162" spans="1:13" x14ac:dyDescent="0.3">
      <c r="A162" s="17">
        <f t="shared" si="14"/>
        <v>161</v>
      </c>
      <c r="B162" s="18" t="s">
        <v>42</v>
      </c>
      <c r="C162" s="19">
        <v>45565</v>
      </c>
      <c r="D162" s="17">
        <v>-2</v>
      </c>
      <c r="E162" s="19">
        <f t="shared" ref="E162:E193" si="15">EOMONTH(C162,D162)</f>
        <v>45504</v>
      </c>
      <c r="F162" s="19">
        <f t="shared" ref="F162:F193" si="16">EOMONTH(E162,-6)</f>
        <v>45322</v>
      </c>
      <c r="G162" s="17" t="s">
        <v>26</v>
      </c>
      <c r="H162" s="20" t="s">
        <v>33</v>
      </c>
      <c r="I162" s="17" t="s">
        <v>27</v>
      </c>
      <c r="J162" s="17" t="s">
        <v>29</v>
      </c>
      <c r="K162" s="17" t="s">
        <v>28</v>
      </c>
      <c r="L162" s="29">
        <v>6</v>
      </c>
      <c r="M162" s="30">
        <v>12.3</v>
      </c>
    </row>
    <row r="163" spans="1:13" x14ac:dyDescent="0.3">
      <c r="A163" s="17">
        <f t="shared" si="14"/>
        <v>162</v>
      </c>
      <c r="B163" s="18" t="s">
        <v>42</v>
      </c>
      <c r="C163" s="19">
        <v>45565</v>
      </c>
      <c r="D163" s="17">
        <v>-2</v>
      </c>
      <c r="E163" s="19">
        <f t="shared" si="15"/>
        <v>45504</v>
      </c>
      <c r="F163" s="19">
        <f t="shared" si="16"/>
        <v>45322</v>
      </c>
      <c r="G163" s="17" t="s">
        <v>26</v>
      </c>
      <c r="H163" s="20" t="s">
        <v>34</v>
      </c>
      <c r="I163" s="17" t="s">
        <v>27</v>
      </c>
      <c r="J163" s="17" t="s">
        <v>29</v>
      </c>
      <c r="K163" s="17" t="s">
        <v>28</v>
      </c>
      <c r="L163" s="29">
        <v>7</v>
      </c>
      <c r="M163" s="30">
        <v>2.2999999999999998</v>
      </c>
    </row>
    <row r="164" spans="1:13" x14ac:dyDescent="0.3">
      <c r="A164" s="17">
        <f t="shared" si="14"/>
        <v>163</v>
      </c>
      <c r="B164" s="18" t="s">
        <v>42</v>
      </c>
      <c r="C164" s="19">
        <v>45565</v>
      </c>
      <c r="D164" s="17">
        <v>-2</v>
      </c>
      <c r="E164" s="19">
        <f t="shared" si="15"/>
        <v>45504</v>
      </c>
      <c r="F164" s="19">
        <f t="shared" si="16"/>
        <v>45322</v>
      </c>
      <c r="G164" s="17" t="s">
        <v>26</v>
      </c>
      <c r="H164" s="20" t="s">
        <v>35</v>
      </c>
      <c r="I164" s="17" t="s">
        <v>27</v>
      </c>
      <c r="J164" s="17" t="s">
        <v>29</v>
      </c>
      <c r="K164" s="17" t="s">
        <v>28</v>
      </c>
      <c r="L164" s="29">
        <v>7</v>
      </c>
      <c r="M164" s="30">
        <v>1.56</v>
      </c>
    </row>
    <row r="165" spans="1:13" x14ac:dyDescent="0.3">
      <c r="A165" s="17">
        <f t="shared" si="14"/>
        <v>164</v>
      </c>
      <c r="B165" s="18" t="s">
        <v>42</v>
      </c>
      <c r="C165" s="19">
        <v>45565</v>
      </c>
      <c r="D165" s="17">
        <v>-2</v>
      </c>
      <c r="E165" s="19">
        <f t="shared" si="15"/>
        <v>45504</v>
      </c>
      <c r="F165" s="19">
        <f t="shared" si="16"/>
        <v>45322</v>
      </c>
      <c r="G165" s="17" t="s">
        <v>26</v>
      </c>
      <c r="H165" s="20" t="s">
        <v>36</v>
      </c>
      <c r="I165" s="17" t="s">
        <v>27</v>
      </c>
      <c r="J165" s="17" t="s">
        <v>29</v>
      </c>
      <c r="K165" s="17" t="s">
        <v>28</v>
      </c>
      <c r="L165" s="29">
        <v>1</v>
      </c>
      <c r="M165" s="30">
        <v>8</v>
      </c>
    </row>
  </sheetData>
  <autoFilter ref="A1:N165" xr:uid="{A5101420-1E21-4FEA-AFFE-F6F78875E2A6}">
    <sortState xmlns:xlrd2="http://schemas.microsoft.com/office/spreadsheetml/2017/richdata2" ref="A2:N165">
      <sortCondition ref="G1:G165"/>
    </sortState>
  </autoFilter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F3598-91F9-4DDC-8C89-8320759E7F9C}">
  <sheetPr codeName="Sheet5"/>
  <dimension ref="A1:A2"/>
  <sheetViews>
    <sheetView showGridLines="0" workbookViewId="0">
      <selection activeCell="B1" sqref="B1"/>
    </sheetView>
  </sheetViews>
  <sheetFormatPr defaultRowHeight="12" x14ac:dyDescent="0.3"/>
  <cols>
    <col min="1" max="16384" width="9" style="25"/>
  </cols>
  <sheetData>
    <row r="1" spans="1:1" x14ac:dyDescent="0.3">
      <c r="A1" s="25" t="s">
        <v>14</v>
      </c>
    </row>
    <row r="2" spans="1:1" x14ac:dyDescent="0.3">
      <c r="A2" s="25" t="s">
        <v>26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C7822-11A7-4F24-86EB-1D9484D60FB6}">
  <sheetPr codeName="Sheet2"/>
  <dimension ref="A1:B4"/>
  <sheetViews>
    <sheetView showGridLines="0" workbookViewId="0">
      <selection activeCell="C32" sqref="C32"/>
    </sheetView>
  </sheetViews>
  <sheetFormatPr defaultRowHeight="12" x14ac:dyDescent="0.3"/>
  <cols>
    <col min="1" max="1" width="9" style="25"/>
    <col min="2" max="2" width="9.75" style="25" bestFit="1" customWidth="1"/>
    <col min="3" max="16384" width="9" style="25"/>
  </cols>
  <sheetData>
    <row r="1" spans="1:2" x14ac:dyDescent="0.3">
      <c r="A1" s="25" t="s">
        <v>2</v>
      </c>
      <c r="B1" s="26">
        <v>45473</v>
      </c>
    </row>
    <row r="2" spans="1:2" x14ac:dyDescent="0.3">
      <c r="A2" s="25" t="s">
        <v>43</v>
      </c>
      <c r="B2" s="25">
        <v>-2</v>
      </c>
    </row>
    <row r="3" spans="1:2" x14ac:dyDescent="0.3">
      <c r="A3" s="25" t="s">
        <v>5</v>
      </c>
      <c r="B3" s="26">
        <f>EOMONTH(B4,-6)</f>
        <v>45230</v>
      </c>
    </row>
    <row r="4" spans="1:2" x14ac:dyDescent="0.3">
      <c r="A4" s="25" t="s">
        <v>4</v>
      </c>
      <c r="B4" s="26">
        <f>EOMONTH(B1,B2)</f>
        <v>45412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01420-1E21-4FEA-AFFE-F6F78875E2A6}">
  <sheetPr codeName="Sheet3"/>
  <dimension ref="A1:N165"/>
  <sheetViews>
    <sheetView showGridLines="0" zoomScaleNormal="100" workbookViewId="0">
      <selection activeCell="K9" sqref="K9"/>
    </sheetView>
  </sheetViews>
  <sheetFormatPr defaultRowHeight="16.5" x14ac:dyDescent="0.3"/>
  <cols>
    <col min="1" max="1" width="9.125" style="6" customWidth="1"/>
    <col min="2" max="2" width="9.125" style="8" customWidth="1"/>
    <col min="3" max="3" width="11.125" style="8" bestFit="1" customWidth="1"/>
    <col min="4" max="4" width="9.125" style="8" customWidth="1"/>
    <col min="5" max="5" width="11.125" style="8" bestFit="1" customWidth="1"/>
    <col min="6" max="6" width="13.625" style="8" customWidth="1"/>
    <col min="7" max="7" width="14.75" style="8" customWidth="1"/>
    <col min="8" max="8" width="16.375" style="8" customWidth="1"/>
    <col min="9" max="9" width="28.625" style="8" customWidth="1"/>
    <col min="10" max="10" width="31" style="8" customWidth="1"/>
    <col min="11" max="11" width="54.625" style="8" bestFit="1" customWidth="1"/>
    <col min="12" max="12" width="13.25" customWidth="1"/>
  </cols>
  <sheetData>
    <row r="1" spans="1:14" ht="17.25" thickBot="1" x14ac:dyDescent="0.35">
      <c r="A1" s="2" t="s">
        <v>1</v>
      </c>
      <c r="B1" s="10" t="s">
        <v>7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1" t="s">
        <v>12</v>
      </c>
      <c r="I1" s="10" t="s">
        <v>0</v>
      </c>
      <c r="J1" s="10" t="s">
        <v>8</v>
      </c>
      <c r="K1" s="10" t="s">
        <v>9</v>
      </c>
      <c r="L1" s="9" t="s">
        <v>14</v>
      </c>
      <c r="M1" s="9" t="s">
        <v>26</v>
      </c>
      <c r="N1" s="9" t="s">
        <v>41</v>
      </c>
    </row>
    <row r="2" spans="1:14" x14ac:dyDescent="0.3">
      <c r="A2" s="12">
        <v>1</v>
      </c>
      <c r="B2" s="13" t="s">
        <v>13</v>
      </c>
      <c r="C2" s="14">
        <v>45565</v>
      </c>
      <c r="D2" s="15">
        <v>-2</v>
      </c>
      <c r="E2" s="14">
        <f t="shared" ref="E2:E33" si="0">EOMONTH(C2,D2)</f>
        <v>45504</v>
      </c>
      <c r="F2" s="14">
        <f t="shared" ref="F2:F33" si="1">EOMONTH(E2,-6)</f>
        <v>45322</v>
      </c>
      <c r="G2" s="15" t="s">
        <v>14</v>
      </c>
      <c r="H2" s="16" t="s">
        <v>16</v>
      </c>
      <c r="I2" s="15" t="s">
        <v>15</v>
      </c>
      <c r="J2" s="15" t="s">
        <v>11</v>
      </c>
      <c r="K2" s="15" t="s">
        <v>10</v>
      </c>
      <c r="L2" s="27">
        <v>1.2</v>
      </c>
      <c r="M2" s="28">
        <v>8.5299999999999994</v>
      </c>
    </row>
    <row r="3" spans="1:14" x14ac:dyDescent="0.3">
      <c r="A3" s="17">
        <f t="shared" ref="A3:A34" si="2">ROW()-1</f>
        <v>2</v>
      </c>
      <c r="B3" s="18" t="s">
        <v>13</v>
      </c>
      <c r="C3" s="19">
        <v>45565</v>
      </c>
      <c r="D3" s="17">
        <v>-2</v>
      </c>
      <c r="E3" s="19">
        <f t="shared" si="0"/>
        <v>45504</v>
      </c>
      <c r="F3" s="19">
        <f t="shared" si="1"/>
        <v>45322</v>
      </c>
      <c r="G3" s="17" t="s">
        <v>14</v>
      </c>
      <c r="H3" s="20" t="s">
        <v>17</v>
      </c>
      <c r="I3" s="17" t="s">
        <v>15</v>
      </c>
      <c r="J3" s="17" t="s">
        <v>11</v>
      </c>
      <c r="K3" s="17" t="s">
        <v>10</v>
      </c>
      <c r="L3" s="29">
        <v>1.35</v>
      </c>
      <c r="M3" s="30">
        <v>10.23</v>
      </c>
    </row>
    <row r="4" spans="1:14" x14ac:dyDescent="0.3">
      <c r="A4" s="17">
        <f t="shared" si="2"/>
        <v>3</v>
      </c>
      <c r="B4" s="18" t="s">
        <v>13</v>
      </c>
      <c r="C4" s="19">
        <v>45565</v>
      </c>
      <c r="D4" s="17">
        <v>-2</v>
      </c>
      <c r="E4" s="19">
        <f t="shared" si="0"/>
        <v>45504</v>
      </c>
      <c r="F4" s="19">
        <f t="shared" si="1"/>
        <v>45322</v>
      </c>
      <c r="G4" s="17" t="s">
        <v>14</v>
      </c>
      <c r="H4" s="20" t="s">
        <v>18</v>
      </c>
      <c r="I4" s="17" t="s">
        <v>15</v>
      </c>
      <c r="J4" s="17" t="s">
        <v>11</v>
      </c>
      <c r="K4" s="17" t="s">
        <v>10</v>
      </c>
      <c r="L4" s="29">
        <v>1.2</v>
      </c>
      <c r="M4" s="30">
        <v>1.86</v>
      </c>
    </row>
    <row r="5" spans="1:14" x14ac:dyDescent="0.3">
      <c r="A5" s="17">
        <f t="shared" si="2"/>
        <v>4</v>
      </c>
      <c r="B5" s="18" t="s">
        <v>13</v>
      </c>
      <c r="C5" s="19">
        <v>45565</v>
      </c>
      <c r="D5" s="17">
        <v>-2</v>
      </c>
      <c r="E5" s="19">
        <f t="shared" si="0"/>
        <v>45504</v>
      </c>
      <c r="F5" s="19">
        <f t="shared" si="1"/>
        <v>45322</v>
      </c>
      <c r="G5" s="17" t="s">
        <v>14</v>
      </c>
      <c r="H5" s="20" t="s">
        <v>19</v>
      </c>
      <c r="I5" s="17" t="s">
        <v>15</v>
      </c>
      <c r="J5" s="17" t="s">
        <v>11</v>
      </c>
      <c r="K5" s="17" t="s">
        <v>10</v>
      </c>
      <c r="L5" s="29">
        <v>1.1000000000000001</v>
      </c>
      <c r="M5" s="30">
        <v>2.9041000000000001</v>
      </c>
    </row>
    <row r="6" spans="1:14" x14ac:dyDescent="0.3">
      <c r="A6" s="17">
        <f t="shared" si="2"/>
        <v>5</v>
      </c>
      <c r="B6" s="18" t="s">
        <v>13</v>
      </c>
      <c r="C6" s="19">
        <v>45565</v>
      </c>
      <c r="D6" s="17">
        <v>-2</v>
      </c>
      <c r="E6" s="19">
        <f t="shared" si="0"/>
        <v>45504</v>
      </c>
      <c r="F6" s="19">
        <f t="shared" si="1"/>
        <v>45322</v>
      </c>
      <c r="G6" s="17" t="s">
        <v>14</v>
      </c>
      <c r="H6" s="20" t="s">
        <v>20</v>
      </c>
      <c r="I6" s="17" t="s">
        <v>15</v>
      </c>
      <c r="J6" s="17" t="s">
        <v>11</v>
      </c>
      <c r="K6" s="17" t="s">
        <v>10</v>
      </c>
      <c r="L6" s="29">
        <v>1.5</v>
      </c>
      <c r="M6" s="30">
        <v>3.5230000000000001</v>
      </c>
    </row>
    <row r="7" spans="1:14" x14ac:dyDescent="0.3">
      <c r="A7" s="17">
        <f t="shared" si="2"/>
        <v>6</v>
      </c>
      <c r="B7" s="18" t="s">
        <v>13</v>
      </c>
      <c r="C7" s="19">
        <v>45565</v>
      </c>
      <c r="D7" s="17">
        <v>-2</v>
      </c>
      <c r="E7" s="19">
        <f t="shared" si="0"/>
        <v>45504</v>
      </c>
      <c r="F7" s="19">
        <f t="shared" si="1"/>
        <v>45322</v>
      </c>
      <c r="G7" s="17" t="s">
        <v>14</v>
      </c>
      <c r="H7" s="20" t="s">
        <v>21</v>
      </c>
      <c r="I7" s="17" t="s">
        <v>15</v>
      </c>
      <c r="J7" s="17" t="s">
        <v>11</v>
      </c>
      <c r="K7" s="17" t="s">
        <v>10</v>
      </c>
      <c r="L7" s="29">
        <v>1.6</v>
      </c>
      <c r="M7" s="30">
        <v>1.24</v>
      </c>
    </row>
    <row r="8" spans="1:14" x14ac:dyDescent="0.3">
      <c r="A8" s="17">
        <f t="shared" si="2"/>
        <v>7</v>
      </c>
      <c r="B8" s="18" t="s">
        <v>13</v>
      </c>
      <c r="C8" s="19">
        <v>45565</v>
      </c>
      <c r="D8" s="17">
        <v>-2</v>
      </c>
      <c r="E8" s="19">
        <f t="shared" si="0"/>
        <v>45504</v>
      </c>
      <c r="F8" s="19">
        <f t="shared" si="1"/>
        <v>45322</v>
      </c>
      <c r="G8" s="17" t="s">
        <v>14</v>
      </c>
      <c r="H8" s="20" t="s">
        <v>22</v>
      </c>
      <c r="I8" s="17" t="s">
        <v>15</v>
      </c>
      <c r="J8" s="17" t="s">
        <v>11</v>
      </c>
      <c r="K8" s="17" t="s">
        <v>10</v>
      </c>
      <c r="L8" s="29">
        <v>5.3</v>
      </c>
      <c r="M8" s="30">
        <v>5.31</v>
      </c>
    </row>
    <row r="9" spans="1:14" x14ac:dyDescent="0.3">
      <c r="A9" s="17">
        <f t="shared" si="2"/>
        <v>8</v>
      </c>
      <c r="B9" s="18" t="s">
        <v>13</v>
      </c>
      <c r="C9" s="19">
        <v>45565</v>
      </c>
      <c r="D9" s="17">
        <v>-2</v>
      </c>
      <c r="E9" s="19">
        <f t="shared" si="0"/>
        <v>45504</v>
      </c>
      <c r="F9" s="19">
        <f t="shared" si="1"/>
        <v>45322</v>
      </c>
      <c r="G9" s="17" t="s">
        <v>14</v>
      </c>
      <c r="H9" s="20" t="s">
        <v>23</v>
      </c>
      <c r="I9" s="17" t="s">
        <v>15</v>
      </c>
      <c r="J9" s="17" t="s">
        <v>11</v>
      </c>
      <c r="K9" s="17" t="s">
        <v>10</v>
      </c>
      <c r="L9" s="29">
        <v>2.35</v>
      </c>
      <c r="M9" s="30">
        <v>2.35</v>
      </c>
    </row>
    <row r="10" spans="1:14" x14ac:dyDescent="0.3">
      <c r="A10" s="17">
        <f t="shared" si="2"/>
        <v>9</v>
      </c>
      <c r="B10" s="18" t="s">
        <v>13</v>
      </c>
      <c r="C10" s="19">
        <v>45565</v>
      </c>
      <c r="D10" s="17">
        <v>-2</v>
      </c>
      <c r="E10" s="19">
        <f t="shared" si="0"/>
        <v>45504</v>
      </c>
      <c r="F10" s="19">
        <f t="shared" si="1"/>
        <v>45322</v>
      </c>
      <c r="G10" s="17" t="s">
        <v>14</v>
      </c>
      <c r="H10" s="20" t="s">
        <v>24</v>
      </c>
      <c r="I10" s="17" t="s">
        <v>15</v>
      </c>
      <c r="J10" s="17" t="s">
        <v>11</v>
      </c>
      <c r="K10" s="17" t="s">
        <v>10</v>
      </c>
      <c r="L10" s="29">
        <v>1.6</v>
      </c>
      <c r="M10" s="30">
        <v>1.6339999999999999</v>
      </c>
    </row>
    <row r="11" spans="1:14" x14ac:dyDescent="0.3">
      <c r="A11" s="17">
        <f t="shared" si="2"/>
        <v>10</v>
      </c>
      <c r="B11" s="18" t="s">
        <v>13</v>
      </c>
      <c r="C11" s="19">
        <v>45565</v>
      </c>
      <c r="D11" s="17">
        <v>-2</v>
      </c>
      <c r="E11" s="19">
        <f t="shared" si="0"/>
        <v>45504</v>
      </c>
      <c r="F11" s="19">
        <f t="shared" si="1"/>
        <v>45322</v>
      </c>
      <c r="G11" s="17" t="s">
        <v>14</v>
      </c>
      <c r="H11" s="20" t="s">
        <v>25</v>
      </c>
      <c r="I11" s="17" t="s">
        <v>15</v>
      </c>
      <c r="J11" s="17" t="s">
        <v>11</v>
      </c>
      <c r="K11" s="17" t="s">
        <v>10</v>
      </c>
      <c r="L11" s="29">
        <v>3</v>
      </c>
      <c r="M11" s="30">
        <v>0.91239999999999999</v>
      </c>
    </row>
    <row r="12" spans="1:14" x14ac:dyDescent="0.3">
      <c r="A12" s="17">
        <f t="shared" si="2"/>
        <v>11</v>
      </c>
      <c r="B12" s="18" t="s">
        <v>13</v>
      </c>
      <c r="C12" s="19">
        <v>45565</v>
      </c>
      <c r="D12" s="17">
        <v>-2</v>
      </c>
      <c r="E12" s="19">
        <f t="shared" si="0"/>
        <v>45504</v>
      </c>
      <c r="F12" s="19">
        <f t="shared" si="1"/>
        <v>45322</v>
      </c>
      <c r="G12" s="17" t="s">
        <v>14</v>
      </c>
      <c r="H12" s="20" t="s">
        <v>30</v>
      </c>
      <c r="I12" s="17" t="s">
        <v>27</v>
      </c>
      <c r="J12" s="17" t="s">
        <v>29</v>
      </c>
      <c r="K12" s="17" t="s">
        <v>28</v>
      </c>
      <c r="L12" s="29">
        <v>2</v>
      </c>
      <c r="M12" s="30">
        <v>12.31</v>
      </c>
    </row>
    <row r="13" spans="1:14" x14ac:dyDescent="0.3">
      <c r="A13" s="17">
        <f t="shared" si="2"/>
        <v>12</v>
      </c>
      <c r="B13" s="18" t="s">
        <v>13</v>
      </c>
      <c r="C13" s="19">
        <v>45565</v>
      </c>
      <c r="D13" s="17">
        <v>-2</v>
      </c>
      <c r="E13" s="19">
        <f t="shared" si="0"/>
        <v>45504</v>
      </c>
      <c r="F13" s="19">
        <f t="shared" si="1"/>
        <v>45322</v>
      </c>
      <c r="G13" s="17" t="s">
        <v>14</v>
      </c>
      <c r="H13" s="20" t="s">
        <v>31</v>
      </c>
      <c r="I13" s="17" t="s">
        <v>27</v>
      </c>
      <c r="J13" s="17" t="s">
        <v>29</v>
      </c>
      <c r="K13" s="17" t="s">
        <v>28</v>
      </c>
      <c r="L13" s="29">
        <v>1</v>
      </c>
      <c r="M13" s="30">
        <v>3.52</v>
      </c>
    </row>
    <row r="14" spans="1:14" x14ac:dyDescent="0.3">
      <c r="A14" s="17">
        <f t="shared" si="2"/>
        <v>13</v>
      </c>
      <c r="B14" s="18" t="s">
        <v>13</v>
      </c>
      <c r="C14" s="19">
        <v>45565</v>
      </c>
      <c r="D14" s="17">
        <v>-2</v>
      </c>
      <c r="E14" s="19">
        <f t="shared" si="0"/>
        <v>45504</v>
      </c>
      <c r="F14" s="19">
        <f t="shared" si="1"/>
        <v>45322</v>
      </c>
      <c r="G14" s="17" t="s">
        <v>14</v>
      </c>
      <c r="H14" s="20" t="s">
        <v>32</v>
      </c>
      <c r="I14" s="17" t="s">
        <v>27</v>
      </c>
      <c r="J14" s="17" t="s">
        <v>29</v>
      </c>
      <c r="K14" s="17" t="s">
        <v>28</v>
      </c>
      <c r="L14" s="29">
        <v>5</v>
      </c>
      <c r="M14" s="31">
        <v>4.6500000000000004</v>
      </c>
    </row>
    <row r="15" spans="1:14" x14ac:dyDescent="0.3">
      <c r="A15" s="17">
        <f t="shared" si="2"/>
        <v>14</v>
      </c>
      <c r="B15" s="18" t="s">
        <v>13</v>
      </c>
      <c r="C15" s="19">
        <v>45565</v>
      </c>
      <c r="D15" s="17">
        <v>-2</v>
      </c>
      <c r="E15" s="19">
        <f t="shared" si="0"/>
        <v>45504</v>
      </c>
      <c r="F15" s="19">
        <f t="shared" si="1"/>
        <v>45322</v>
      </c>
      <c r="G15" s="17" t="s">
        <v>14</v>
      </c>
      <c r="H15" s="20" t="s">
        <v>33</v>
      </c>
      <c r="I15" s="17" t="s">
        <v>27</v>
      </c>
      <c r="J15" s="17" t="s">
        <v>29</v>
      </c>
      <c r="K15" s="17" t="s">
        <v>28</v>
      </c>
      <c r="L15" s="29">
        <v>6</v>
      </c>
      <c r="M15" s="30">
        <v>12.3</v>
      </c>
    </row>
    <row r="16" spans="1:14" x14ac:dyDescent="0.3">
      <c r="A16" s="17">
        <f t="shared" si="2"/>
        <v>15</v>
      </c>
      <c r="B16" s="18" t="s">
        <v>13</v>
      </c>
      <c r="C16" s="19">
        <v>45565</v>
      </c>
      <c r="D16" s="17">
        <v>-2</v>
      </c>
      <c r="E16" s="19">
        <f t="shared" si="0"/>
        <v>45504</v>
      </c>
      <c r="F16" s="19">
        <f t="shared" si="1"/>
        <v>45322</v>
      </c>
      <c r="G16" s="17" t="s">
        <v>14</v>
      </c>
      <c r="H16" s="20" t="s">
        <v>34</v>
      </c>
      <c r="I16" s="17" t="s">
        <v>27</v>
      </c>
      <c r="J16" s="17" t="s">
        <v>29</v>
      </c>
      <c r="K16" s="17" t="s">
        <v>28</v>
      </c>
      <c r="L16" s="29">
        <v>7</v>
      </c>
      <c r="M16" s="30">
        <v>2.2999999999999998</v>
      </c>
    </row>
    <row r="17" spans="1:13" x14ac:dyDescent="0.3">
      <c r="A17" s="17">
        <f t="shared" si="2"/>
        <v>16</v>
      </c>
      <c r="B17" s="18" t="s">
        <v>13</v>
      </c>
      <c r="C17" s="19">
        <v>45565</v>
      </c>
      <c r="D17" s="17">
        <v>-2</v>
      </c>
      <c r="E17" s="19">
        <f t="shared" si="0"/>
        <v>45504</v>
      </c>
      <c r="F17" s="19">
        <f t="shared" si="1"/>
        <v>45322</v>
      </c>
      <c r="G17" s="17" t="s">
        <v>14</v>
      </c>
      <c r="H17" s="20" t="s">
        <v>35</v>
      </c>
      <c r="I17" s="17" t="s">
        <v>27</v>
      </c>
      <c r="J17" s="17" t="s">
        <v>29</v>
      </c>
      <c r="K17" s="17" t="s">
        <v>28</v>
      </c>
      <c r="L17" s="29">
        <v>7</v>
      </c>
      <c r="M17" s="30">
        <v>1.56</v>
      </c>
    </row>
    <row r="18" spans="1:13" x14ac:dyDescent="0.3">
      <c r="A18" s="17">
        <f t="shared" si="2"/>
        <v>17</v>
      </c>
      <c r="B18" s="18" t="s">
        <v>13</v>
      </c>
      <c r="C18" s="19">
        <v>45565</v>
      </c>
      <c r="D18" s="17">
        <v>-2</v>
      </c>
      <c r="E18" s="19">
        <f t="shared" si="0"/>
        <v>45504</v>
      </c>
      <c r="F18" s="19">
        <f t="shared" si="1"/>
        <v>45322</v>
      </c>
      <c r="G18" s="17" t="s">
        <v>14</v>
      </c>
      <c r="H18" s="20" t="s">
        <v>36</v>
      </c>
      <c r="I18" s="17" t="s">
        <v>27</v>
      </c>
      <c r="J18" s="17" t="s">
        <v>29</v>
      </c>
      <c r="K18" s="17" t="s">
        <v>28</v>
      </c>
      <c r="L18" s="29">
        <v>1</v>
      </c>
      <c r="M18" s="30">
        <v>8</v>
      </c>
    </row>
    <row r="19" spans="1:13" x14ac:dyDescent="0.3">
      <c r="A19" s="17">
        <f t="shared" si="2"/>
        <v>18</v>
      </c>
      <c r="B19" s="18" t="s">
        <v>13</v>
      </c>
      <c r="C19" s="19">
        <v>45565</v>
      </c>
      <c r="D19" s="17">
        <v>-2</v>
      </c>
      <c r="E19" s="19">
        <f t="shared" si="0"/>
        <v>45504</v>
      </c>
      <c r="F19" s="19">
        <f t="shared" si="1"/>
        <v>45322</v>
      </c>
      <c r="G19" s="17" t="s">
        <v>14</v>
      </c>
      <c r="H19" s="20" t="s">
        <v>37</v>
      </c>
      <c r="I19" s="17" t="s">
        <v>27</v>
      </c>
      <c r="J19" s="17" t="s">
        <v>29</v>
      </c>
      <c r="K19" s="17" t="s">
        <v>28</v>
      </c>
      <c r="L19" s="29">
        <v>2</v>
      </c>
      <c r="M19" s="30">
        <v>6.78</v>
      </c>
    </row>
    <row r="20" spans="1:13" x14ac:dyDescent="0.3">
      <c r="A20" s="17">
        <f t="shared" si="2"/>
        <v>19</v>
      </c>
      <c r="B20" s="18" t="s">
        <v>13</v>
      </c>
      <c r="C20" s="19">
        <v>45565</v>
      </c>
      <c r="D20" s="17">
        <v>-2</v>
      </c>
      <c r="E20" s="19">
        <f t="shared" si="0"/>
        <v>45504</v>
      </c>
      <c r="F20" s="19">
        <f t="shared" si="1"/>
        <v>45322</v>
      </c>
      <c r="G20" s="17" t="s">
        <v>14</v>
      </c>
      <c r="H20" s="20" t="s">
        <v>38</v>
      </c>
      <c r="I20" s="17" t="s">
        <v>27</v>
      </c>
      <c r="J20" s="17" t="s">
        <v>29</v>
      </c>
      <c r="K20" s="17" t="s">
        <v>28</v>
      </c>
      <c r="L20" s="29">
        <v>3</v>
      </c>
      <c r="M20" s="30">
        <v>4.68</v>
      </c>
    </row>
    <row r="21" spans="1:13" x14ac:dyDescent="0.3">
      <c r="A21" s="17">
        <f t="shared" si="2"/>
        <v>20</v>
      </c>
      <c r="B21" s="18" t="s">
        <v>13</v>
      </c>
      <c r="C21" s="19">
        <v>45565</v>
      </c>
      <c r="D21" s="17">
        <v>-2</v>
      </c>
      <c r="E21" s="19">
        <f t="shared" si="0"/>
        <v>45504</v>
      </c>
      <c r="F21" s="19">
        <f t="shared" si="1"/>
        <v>45322</v>
      </c>
      <c r="G21" s="17" t="s">
        <v>14</v>
      </c>
      <c r="H21" s="20" t="s">
        <v>39</v>
      </c>
      <c r="I21" s="17" t="s">
        <v>27</v>
      </c>
      <c r="J21" s="17" t="s">
        <v>29</v>
      </c>
      <c r="K21" s="17" t="s">
        <v>28</v>
      </c>
      <c r="L21" s="29">
        <v>4</v>
      </c>
      <c r="M21" s="30">
        <v>5.78</v>
      </c>
    </row>
    <row r="22" spans="1:13" ht="17.25" thickBot="1" x14ac:dyDescent="0.35">
      <c r="A22" s="17">
        <f t="shared" si="2"/>
        <v>21</v>
      </c>
      <c r="B22" s="21" t="s">
        <v>13</v>
      </c>
      <c r="C22" s="22">
        <v>45565</v>
      </c>
      <c r="D22" s="23">
        <v>-2</v>
      </c>
      <c r="E22" s="22">
        <f t="shared" si="0"/>
        <v>45504</v>
      </c>
      <c r="F22" s="22">
        <f t="shared" si="1"/>
        <v>45322</v>
      </c>
      <c r="G22" s="23" t="s">
        <v>14</v>
      </c>
      <c r="H22" s="24" t="s">
        <v>40</v>
      </c>
      <c r="I22" s="23" t="s">
        <v>27</v>
      </c>
      <c r="J22" s="23" t="s">
        <v>29</v>
      </c>
      <c r="K22" s="23" t="s">
        <v>28</v>
      </c>
      <c r="L22" s="32">
        <v>0.56000000000000005</v>
      </c>
      <c r="M22" s="33">
        <v>4.67</v>
      </c>
    </row>
    <row r="23" spans="1:13" x14ac:dyDescent="0.3">
      <c r="A23" s="17">
        <f t="shared" si="2"/>
        <v>22</v>
      </c>
      <c r="B23" s="13" t="s">
        <v>42</v>
      </c>
      <c r="C23" s="14">
        <v>45565</v>
      </c>
      <c r="D23" s="15">
        <v>-2</v>
      </c>
      <c r="E23" s="14">
        <f t="shared" si="0"/>
        <v>45504</v>
      </c>
      <c r="F23" s="14">
        <f t="shared" si="1"/>
        <v>45322</v>
      </c>
      <c r="G23" s="15" t="s">
        <v>26</v>
      </c>
      <c r="H23" s="16" t="s">
        <v>16</v>
      </c>
      <c r="I23" s="15" t="s">
        <v>15</v>
      </c>
      <c r="J23" s="15" t="s">
        <v>11</v>
      </c>
      <c r="K23" s="15" t="s">
        <v>10</v>
      </c>
      <c r="L23" s="27">
        <v>1.2</v>
      </c>
      <c r="M23" s="28">
        <v>8.5299999999999994</v>
      </c>
    </row>
    <row r="24" spans="1:13" x14ac:dyDescent="0.3">
      <c r="A24" s="17">
        <f t="shared" si="2"/>
        <v>23</v>
      </c>
      <c r="B24" s="18" t="s">
        <v>42</v>
      </c>
      <c r="C24" s="19">
        <v>45565</v>
      </c>
      <c r="D24" s="17">
        <v>-2</v>
      </c>
      <c r="E24" s="19">
        <f t="shared" si="0"/>
        <v>45504</v>
      </c>
      <c r="F24" s="19">
        <f t="shared" si="1"/>
        <v>45322</v>
      </c>
      <c r="G24" s="17" t="s">
        <v>26</v>
      </c>
      <c r="H24" s="20" t="s">
        <v>17</v>
      </c>
      <c r="I24" s="17" t="s">
        <v>15</v>
      </c>
      <c r="J24" s="17" t="s">
        <v>11</v>
      </c>
      <c r="K24" s="17" t="s">
        <v>10</v>
      </c>
      <c r="L24" s="29">
        <v>1.35</v>
      </c>
      <c r="M24" s="30">
        <v>10.23</v>
      </c>
    </row>
    <row r="25" spans="1:13" x14ac:dyDescent="0.3">
      <c r="A25" s="17">
        <f t="shared" si="2"/>
        <v>24</v>
      </c>
      <c r="B25" s="18" t="s">
        <v>42</v>
      </c>
      <c r="C25" s="19">
        <v>45565</v>
      </c>
      <c r="D25" s="17">
        <v>-2</v>
      </c>
      <c r="E25" s="19">
        <f t="shared" si="0"/>
        <v>45504</v>
      </c>
      <c r="F25" s="19">
        <f t="shared" si="1"/>
        <v>45322</v>
      </c>
      <c r="G25" s="17" t="s">
        <v>26</v>
      </c>
      <c r="H25" s="20" t="s">
        <v>18</v>
      </c>
      <c r="I25" s="17" t="s">
        <v>15</v>
      </c>
      <c r="J25" s="17" t="s">
        <v>11</v>
      </c>
      <c r="K25" s="17" t="s">
        <v>10</v>
      </c>
      <c r="L25" s="29">
        <v>1.2</v>
      </c>
      <c r="M25" s="30">
        <v>1.86</v>
      </c>
    </row>
    <row r="26" spans="1:13" x14ac:dyDescent="0.3">
      <c r="A26" s="17">
        <f t="shared" si="2"/>
        <v>25</v>
      </c>
      <c r="B26" s="18" t="s">
        <v>42</v>
      </c>
      <c r="C26" s="19">
        <v>45565</v>
      </c>
      <c r="D26" s="17">
        <v>-2</v>
      </c>
      <c r="E26" s="19">
        <f t="shared" si="0"/>
        <v>45504</v>
      </c>
      <c r="F26" s="19">
        <f t="shared" si="1"/>
        <v>45322</v>
      </c>
      <c r="G26" s="17" t="s">
        <v>26</v>
      </c>
      <c r="H26" s="20" t="s">
        <v>19</v>
      </c>
      <c r="I26" s="17" t="s">
        <v>15</v>
      </c>
      <c r="J26" s="17" t="s">
        <v>11</v>
      </c>
      <c r="K26" s="17" t="s">
        <v>10</v>
      </c>
      <c r="L26" s="29">
        <v>1.1000000000000001</v>
      </c>
      <c r="M26" s="30">
        <v>2.9041000000000001</v>
      </c>
    </row>
    <row r="27" spans="1:13" x14ac:dyDescent="0.3">
      <c r="A27" s="17">
        <f t="shared" si="2"/>
        <v>26</v>
      </c>
      <c r="B27" s="18" t="s">
        <v>42</v>
      </c>
      <c r="C27" s="19">
        <v>45565</v>
      </c>
      <c r="D27" s="17">
        <v>-2</v>
      </c>
      <c r="E27" s="19">
        <f t="shared" si="0"/>
        <v>45504</v>
      </c>
      <c r="F27" s="19">
        <f t="shared" si="1"/>
        <v>45322</v>
      </c>
      <c r="G27" s="17" t="s">
        <v>26</v>
      </c>
      <c r="H27" s="20" t="s">
        <v>20</v>
      </c>
      <c r="I27" s="17" t="s">
        <v>15</v>
      </c>
      <c r="J27" s="17" t="s">
        <v>11</v>
      </c>
      <c r="K27" s="17" t="s">
        <v>10</v>
      </c>
      <c r="L27" s="29">
        <v>1.5</v>
      </c>
      <c r="M27" s="30">
        <v>3.5230000000000001</v>
      </c>
    </row>
    <row r="28" spans="1:13" x14ac:dyDescent="0.3">
      <c r="A28" s="17">
        <f t="shared" si="2"/>
        <v>27</v>
      </c>
      <c r="B28" s="18" t="s">
        <v>42</v>
      </c>
      <c r="C28" s="19">
        <v>45565</v>
      </c>
      <c r="D28" s="17">
        <v>-2</v>
      </c>
      <c r="E28" s="19">
        <f t="shared" si="0"/>
        <v>45504</v>
      </c>
      <c r="F28" s="19">
        <f t="shared" si="1"/>
        <v>45322</v>
      </c>
      <c r="G28" s="17" t="s">
        <v>26</v>
      </c>
      <c r="H28" s="20" t="s">
        <v>21</v>
      </c>
      <c r="I28" s="17" t="s">
        <v>15</v>
      </c>
      <c r="J28" s="17" t="s">
        <v>11</v>
      </c>
      <c r="K28" s="17" t="s">
        <v>10</v>
      </c>
      <c r="L28" s="29">
        <v>1.6</v>
      </c>
      <c r="M28" s="30">
        <v>1.24</v>
      </c>
    </row>
    <row r="29" spans="1:13" x14ac:dyDescent="0.3">
      <c r="A29" s="17">
        <f t="shared" si="2"/>
        <v>28</v>
      </c>
      <c r="B29" s="18" t="s">
        <v>42</v>
      </c>
      <c r="C29" s="19">
        <v>45565</v>
      </c>
      <c r="D29" s="17">
        <v>-2</v>
      </c>
      <c r="E29" s="19">
        <f t="shared" si="0"/>
        <v>45504</v>
      </c>
      <c r="F29" s="19">
        <f t="shared" si="1"/>
        <v>45322</v>
      </c>
      <c r="G29" s="17" t="s">
        <v>26</v>
      </c>
      <c r="H29" s="20" t="s">
        <v>22</v>
      </c>
      <c r="I29" s="17" t="s">
        <v>15</v>
      </c>
      <c r="J29" s="17" t="s">
        <v>11</v>
      </c>
      <c r="K29" s="17" t="s">
        <v>10</v>
      </c>
      <c r="L29" s="29">
        <v>5.3</v>
      </c>
      <c r="M29" s="30">
        <v>5.31</v>
      </c>
    </row>
    <row r="30" spans="1:13" x14ac:dyDescent="0.3">
      <c r="A30" s="17">
        <f t="shared" si="2"/>
        <v>29</v>
      </c>
      <c r="B30" s="18" t="s">
        <v>42</v>
      </c>
      <c r="C30" s="19">
        <v>45565</v>
      </c>
      <c r="D30" s="17">
        <v>-2</v>
      </c>
      <c r="E30" s="19">
        <f t="shared" si="0"/>
        <v>45504</v>
      </c>
      <c r="F30" s="19">
        <f t="shared" si="1"/>
        <v>45322</v>
      </c>
      <c r="G30" s="17" t="s">
        <v>26</v>
      </c>
      <c r="H30" s="20" t="s">
        <v>23</v>
      </c>
      <c r="I30" s="17" t="s">
        <v>15</v>
      </c>
      <c r="J30" s="17" t="s">
        <v>11</v>
      </c>
      <c r="K30" s="17" t="s">
        <v>10</v>
      </c>
      <c r="L30" s="29">
        <v>2.35</v>
      </c>
      <c r="M30" s="30">
        <v>2.35</v>
      </c>
    </row>
    <row r="31" spans="1:13" x14ac:dyDescent="0.3">
      <c r="A31" s="17">
        <f t="shared" si="2"/>
        <v>30</v>
      </c>
      <c r="B31" s="18" t="s">
        <v>42</v>
      </c>
      <c r="C31" s="19">
        <v>45565</v>
      </c>
      <c r="D31" s="17">
        <v>-2</v>
      </c>
      <c r="E31" s="19">
        <f t="shared" si="0"/>
        <v>45504</v>
      </c>
      <c r="F31" s="19">
        <f t="shared" si="1"/>
        <v>45322</v>
      </c>
      <c r="G31" s="17" t="s">
        <v>26</v>
      </c>
      <c r="H31" s="20" t="s">
        <v>24</v>
      </c>
      <c r="I31" s="17" t="s">
        <v>15</v>
      </c>
      <c r="J31" s="17" t="s">
        <v>11</v>
      </c>
      <c r="K31" s="17" t="s">
        <v>10</v>
      </c>
      <c r="L31" s="29">
        <v>1.6</v>
      </c>
      <c r="M31" s="30">
        <v>1.6339999999999999</v>
      </c>
    </row>
    <row r="32" spans="1:13" x14ac:dyDescent="0.3">
      <c r="A32" s="17">
        <f t="shared" si="2"/>
        <v>31</v>
      </c>
      <c r="B32" s="18" t="s">
        <v>42</v>
      </c>
      <c r="C32" s="19">
        <v>45565</v>
      </c>
      <c r="D32" s="17">
        <v>-2</v>
      </c>
      <c r="E32" s="19">
        <f t="shared" si="0"/>
        <v>45504</v>
      </c>
      <c r="F32" s="19">
        <f t="shared" si="1"/>
        <v>45322</v>
      </c>
      <c r="G32" s="17" t="s">
        <v>26</v>
      </c>
      <c r="H32" s="20" t="s">
        <v>25</v>
      </c>
      <c r="I32" s="17" t="s">
        <v>15</v>
      </c>
      <c r="J32" s="17" t="s">
        <v>11</v>
      </c>
      <c r="K32" s="17" t="s">
        <v>10</v>
      </c>
      <c r="L32" s="29">
        <v>3</v>
      </c>
      <c r="M32" s="30">
        <v>0.91239999999999999</v>
      </c>
    </row>
    <row r="33" spans="1:13" x14ac:dyDescent="0.3">
      <c r="A33" s="17">
        <f t="shared" si="2"/>
        <v>32</v>
      </c>
      <c r="B33" s="18" t="s">
        <v>42</v>
      </c>
      <c r="C33" s="19">
        <v>45565</v>
      </c>
      <c r="D33" s="17">
        <v>-2</v>
      </c>
      <c r="E33" s="19">
        <f t="shared" si="0"/>
        <v>45504</v>
      </c>
      <c r="F33" s="19">
        <f t="shared" si="1"/>
        <v>45322</v>
      </c>
      <c r="G33" s="17" t="s">
        <v>26</v>
      </c>
      <c r="H33" s="20" t="s">
        <v>30</v>
      </c>
      <c r="I33" s="17" t="s">
        <v>27</v>
      </c>
      <c r="J33" s="17" t="s">
        <v>29</v>
      </c>
      <c r="K33" s="17" t="s">
        <v>28</v>
      </c>
      <c r="L33" s="29">
        <v>2</v>
      </c>
      <c r="M33" s="30">
        <v>12.31</v>
      </c>
    </row>
    <row r="34" spans="1:13" x14ac:dyDescent="0.3">
      <c r="A34" s="17">
        <f t="shared" si="2"/>
        <v>33</v>
      </c>
      <c r="B34" s="18" t="s">
        <v>42</v>
      </c>
      <c r="C34" s="19">
        <v>45565</v>
      </c>
      <c r="D34" s="17">
        <v>-2</v>
      </c>
      <c r="E34" s="19">
        <f t="shared" ref="E34:E65" si="3">EOMONTH(C34,D34)</f>
        <v>45504</v>
      </c>
      <c r="F34" s="19">
        <f t="shared" ref="F34:F65" si="4">EOMONTH(E34,-6)</f>
        <v>45322</v>
      </c>
      <c r="G34" s="17" t="s">
        <v>26</v>
      </c>
      <c r="H34" s="20" t="s">
        <v>31</v>
      </c>
      <c r="I34" s="17" t="s">
        <v>27</v>
      </c>
      <c r="J34" s="17" t="s">
        <v>29</v>
      </c>
      <c r="K34" s="17" t="s">
        <v>28</v>
      </c>
      <c r="L34" s="29">
        <v>1</v>
      </c>
      <c r="M34" s="30">
        <v>3.52</v>
      </c>
    </row>
    <row r="35" spans="1:13" x14ac:dyDescent="0.3">
      <c r="A35" s="17">
        <f t="shared" ref="A35:A66" si="5">ROW()-1</f>
        <v>34</v>
      </c>
      <c r="B35" s="18" t="s">
        <v>42</v>
      </c>
      <c r="C35" s="19">
        <v>45565</v>
      </c>
      <c r="D35" s="17">
        <v>-2</v>
      </c>
      <c r="E35" s="19">
        <f t="shared" si="3"/>
        <v>45504</v>
      </c>
      <c r="F35" s="19">
        <f t="shared" si="4"/>
        <v>45322</v>
      </c>
      <c r="G35" s="17" t="s">
        <v>26</v>
      </c>
      <c r="H35" s="20" t="s">
        <v>32</v>
      </c>
      <c r="I35" s="17" t="s">
        <v>27</v>
      </c>
      <c r="J35" s="17" t="s">
        <v>29</v>
      </c>
      <c r="K35" s="17" t="s">
        <v>28</v>
      </c>
      <c r="L35" s="29">
        <v>5</v>
      </c>
      <c r="M35" s="31">
        <v>4.6500000000000004</v>
      </c>
    </row>
    <row r="36" spans="1:13" x14ac:dyDescent="0.3">
      <c r="A36" s="17">
        <f t="shared" si="5"/>
        <v>35</v>
      </c>
      <c r="B36" s="18" t="s">
        <v>42</v>
      </c>
      <c r="C36" s="19">
        <v>45565</v>
      </c>
      <c r="D36" s="17">
        <v>-2</v>
      </c>
      <c r="E36" s="19">
        <f t="shared" si="3"/>
        <v>45504</v>
      </c>
      <c r="F36" s="19">
        <f t="shared" si="4"/>
        <v>45322</v>
      </c>
      <c r="G36" s="17" t="s">
        <v>26</v>
      </c>
      <c r="H36" s="20" t="s">
        <v>33</v>
      </c>
      <c r="I36" s="17" t="s">
        <v>27</v>
      </c>
      <c r="J36" s="17" t="s">
        <v>29</v>
      </c>
      <c r="K36" s="17" t="s">
        <v>28</v>
      </c>
      <c r="L36" s="29">
        <v>6</v>
      </c>
      <c r="M36" s="30">
        <v>12.3</v>
      </c>
    </row>
    <row r="37" spans="1:13" x14ac:dyDescent="0.3">
      <c r="A37" s="17">
        <f t="shared" si="5"/>
        <v>36</v>
      </c>
      <c r="B37" s="18" t="s">
        <v>42</v>
      </c>
      <c r="C37" s="19">
        <v>45565</v>
      </c>
      <c r="D37" s="17">
        <v>-2</v>
      </c>
      <c r="E37" s="19">
        <f t="shared" si="3"/>
        <v>45504</v>
      </c>
      <c r="F37" s="19">
        <f t="shared" si="4"/>
        <v>45322</v>
      </c>
      <c r="G37" s="17" t="s">
        <v>26</v>
      </c>
      <c r="H37" s="20" t="s">
        <v>34</v>
      </c>
      <c r="I37" s="17" t="s">
        <v>27</v>
      </c>
      <c r="J37" s="17" t="s">
        <v>29</v>
      </c>
      <c r="K37" s="17" t="s">
        <v>28</v>
      </c>
      <c r="L37" s="29">
        <v>7</v>
      </c>
      <c r="M37" s="30">
        <v>2.2999999999999998</v>
      </c>
    </row>
    <row r="38" spans="1:13" x14ac:dyDescent="0.3">
      <c r="A38" s="17">
        <f t="shared" si="5"/>
        <v>37</v>
      </c>
      <c r="B38" s="18" t="s">
        <v>42</v>
      </c>
      <c r="C38" s="19">
        <v>45565</v>
      </c>
      <c r="D38" s="17">
        <v>-2</v>
      </c>
      <c r="E38" s="19">
        <f t="shared" si="3"/>
        <v>45504</v>
      </c>
      <c r="F38" s="19">
        <f t="shared" si="4"/>
        <v>45322</v>
      </c>
      <c r="G38" s="17" t="s">
        <v>26</v>
      </c>
      <c r="H38" s="20" t="s">
        <v>35</v>
      </c>
      <c r="I38" s="17" t="s">
        <v>27</v>
      </c>
      <c r="J38" s="17" t="s">
        <v>29</v>
      </c>
      <c r="K38" s="17" t="s">
        <v>28</v>
      </c>
      <c r="L38" s="29">
        <v>7</v>
      </c>
      <c r="M38" s="30">
        <v>1.56</v>
      </c>
    </row>
    <row r="39" spans="1:13" x14ac:dyDescent="0.3">
      <c r="A39" s="17">
        <f t="shared" si="5"/>
        <v>38</v>
      </c>
      <c r="B39" s="18" t="s">
        <v>42</v>
      </c>
      <c r="C39" s="19">
        <v>45565</v>
      </c>
      <c r="D39" s="17">
        <v>-2</v>
      </c>
      <c r="E39" s="19">
        <f t="shared" si="3"/>
        <v>45504</v>
      </c>
      <c r="F39" s="19">
        <f t="shared" si="4"/>
        <v>45322</v>
      </c>
      <c r="G39" s="17" t="s">
        <v>26</v>
      </c>
      <c r="H39" s="20" t="s">
        <v>36</v>
      </c>
      <c r="I39" s="17" t="s">
        <v>27</v>
      </c>
      <c r="J39" s="17" t="s">
        <v>29</v>
      </c>
      <c r="K39" s="17" t="s">
        <v>28</v>
      </c>
      <c r="L39" s="29">
        <v>1</v>
      </c>
      <c r="M39" s="30">
        <v>8</v>
      </c>
    </row>
    <row r="40" spans="1:13" x14ac:dyDescent="0.3">
      <c r="A40" s="17">
        <f t="shared" si="5"/>
        <v>39</v>
      </c>
      <c r="B40" s="18" t="s">
        <v>42</v>
      </c>
      <c r="C40" s="19">
        <v>45565</v>
      </c>
      <c r="D40" s="17">
        <v>-2</v>
      </c>
      <c r="E40" s="19">
        <f t="shared" si="3"/>
        <v>45504</v>
      </c>
      <c r="F40" s="19">
        <f t="shared" si="4"/>
        <v>45322</v>
      </c>
      <c r="G40" s="17" t="s">
        <v>26</v>
      </c>
      <c r="H40" s="20" t="s">
        <v>37</v>
      </c>
      <c r="I40" s="17" t="s">
        <v>27</v>
      </c>
      <c r="J40" s="17" t="s">
        <v>29</v>
      </c>
      <c r="K40" s="17" t="s">
        <v>28</v>
      </c>
      <c r="L40" s="29">
        <v>2</v>
      </c>
      <c r="M40" s="30">
        <v>6.78</v>
      </c>
    </row>
    <row r="41" spans="1:13" x14ac:dyDescent="0.3">
      <c r="A41" s="17">
        <f t="shared" si="5"/>
        <v>40</v>
      </c>
      <c r="B41" s="18" t="s">
        <v>42</v>
      </c>
      <c r="C41" s="19">
        <v>45565</v>
      </c>
      <c r="D41" s="17">
        <v>-2</v>
      </c>
      <c r="E41" s="19">
        <f t="shared" si="3"/>
        <v>45504</v>
      </c>
      <c r="F41" s="19">
        <f t="shared" si="4"/>
        <v>45322</v>
      </c>
      <c r="G41" s="17" t="s">
        <v>26</v>
      </c>
      <c r="H41" s="20" t="s">
        <v>38</v>
      </c>
      <c r="I41" s="17" t="s">
        <v>27</v>
      </c>
      <c r="J41" s="17" t="s">
        <v>29</v>
      </c>
      <c r="K41" s="17" t="s">
        <v>28</v>
      </c>
      <c r="L41" s="29">
        <v>3</v>
      </c>
      <c r="M41" s="30">
        <v>4.68</v>
      </c>
    </row>
    <row r="42" spans="1:13" x14ac:dyDescent="0.3">
      <c r="A42" s="17">
        <f t="shared" si="5"/>
        <v>41</v>
      </c>
      <c r="B42" s="18" t="s">
        <v>42</v>
      </c>
      <c r="C42" s="19">
        <v>45565</v>
      </c>
      <c r="D42" s="17">
        <v>-2</v>
      </c>
      <c r="E42" s="19">
        <f t="shared" si="3"/>
        <v>45504</v>
      </c>
      <c r="F42" s="19">
        <f t="shared" si="4"/>
        <v>45322</v>
      </c>
      <c r="G42" s="17" t="s">
        <v>26</v>
      </c>
      <c r="H42" s="20" t="s">
        <v>39</v>
      </c>
      <c r="I42" s="17" t="s">
        <v>27</v>
      </c>
      <c r="J42" s="17" t="s">
        <v>29</v>
      </c>
      <c r="K42" s="17" t="s">
        <v>28</v>
      </c>
      <c r="L42" s="29">
        <v>4</v>
      </c>
      <c r="M42" s="30">
        <v>5.78</v>
      </c>
    </row>
    <row r="43" spans="1:13" ht="17.25" thickBot="1" x14ac:dyDescent="0.35">
      <c r="A43" s="17">
        <f t="shared" si="5"/>
        <v>42</v>
      </c>
      <c r="B43" s="21" t="s">
        <v>42</v>
      </c>
      <c r="C43" s="22">
        <v>45565</v>
      </c>
      <c r="D43" s="23">
        <v>-2</v>
      </c>
      <c r="E43" s="22">
        <f t="shared" si="3"/>
        <v>45504</v>
      </c>
      <c r="F43" s="22">
        <f t="shared" si="4"/>
        <v>45322</v>
      </c>
      <c r="G43" s="23" t="s">
        <v>26</v>
      </c>
      <c r="H43" s="24" t="s">
        <v>40</v>
      </c>
      <c r="I43" s="23" t="s">
        <v>27</v>
      </c>
      <c r="J43" s="23" t="s">
        <v>29</v>
      </c>
      <c r="K43" s="23" t="s">
        <v>28</v>
      </c>
      <c r="L43" s="32">
        <v>0.56000000000000005</v>
      </c>
      <c r="M43" s="33">
        <v>4.67</v>
      </c>
    </row>
    <row r="44" spans="1:13" x14ac:dyDescent="0.3">
      <c r="A44" s="17">
        <f t="shared" si="5"/>
        <v>43</v>
      </c>
      <c r="B44" s="13" t="s">
        <v>42</v>
      </c>
      <c r="C44" s="14">
        <v>45565</v>
      </c>
      <c r="D44" s="15">
        <v>-2</v>
      </c>
      <c r="E44" s="14">
        <f t="shared" si="3"/>
        <v>45504</v>
      </c>
      <c r="F44" s="14">
        <f t="shared" si="4"/>
        <v>45322</v>
      </c>
      <c r="G44" s="15" t="s">
        <v>14</v>
      </c>
      <c r="H44" s="16" t="s">
        <v>16</v>
      </c>
      <c r="I44" s="15" t="s">
        <v>15</v>
      </c>
      <c r="J44" s="15" t="s">
        <v>11</v>
      </c>
      <c r="K44" s="15" t="s">
        <v>10</v>
      </c>
      <c r="L44" s="27">
        <v>1.2</v>
      </c>
      <c r="M44" s="28">
        <v>8.5299999999999994</v>
      </c>
    </row>
    <row r="45" spans="1:13" x14ac:dyDescent="0.3">
      <c r="A45" s="17">
        <f t="shared" si="5"/>
        <v>44</v>
      </c>
      <c r="B45" s="18" t="s">
        <v>13</v>
      </c>
      <c r="C45" s="19">
        <v>45565</v>
      </c>
      <c r="D45" s="17">
        <v>-2</v>
      </c>
      <c r="E45" s="19">
        <f t="shared" si="3"/>
        <v>45504</v>
      </c>
      <c r="F45" s="19">
        <f t="shared" si="4"/>
        <v>45322</v>
      </c>
      <c r="G45" s="17" t="s">
        <v>14</v>
      </c>
      <c r="H45" s="20" t="s">
        <v>17</v>
      </c>
      <c r="I45" s="17" t="s">
        <v>15</v>
      </c>
      <c r="J45" s="17" t="s">
        <v>11</v>
      </c>
      <c r="K45" s="17" t="s">
        <v>10</v>
      </c>
      <c r="L45" s="29">
        <v>1.35</v>
      </c>
      <c r="M45" s="30">
        <v>10.23</v>
      </c>
    </row>
    <row r="46" spans="1:13" x14ac:dyDescent="0.3">
      <c r="A46" s="17">
        <f t="shared" si="5"/>
        <v>45</v>
      </c>
      <c r="B46" s="18" t="s">
        <v>13</v>
      </c>
      <c r="C46" s="19">
        <v>45565</v>
      </c>
      <c r="D46" s="17">
        <v>-2</v>
      </c>
      <c r="E46" s="19">
        <f t="shared" si="3"/>
        <v>45504</v>
      </c>
      <c r="F46" s="19">
        <f t="shared" si="4"/>
        <v>45322</v>
      </c>
      <c r="G46" s="17" t="s">
        <v>14</v>
      </c>
      <c r="H46" s="20" t="s">
        <v>18</v>
      </c>
      <c r="I46" s="17" t="s">
        <v>15</v>
      </c>
      <c r="J46" s="17" t="s">
        <v>11</v>
      </c>
      <c r="K46" s="17" t="s">
        <v>10</v>
      </c>
      <c r="L46" s="29">
        <v>1.2</v>
      </c>
      <c r="M46" s="30">
        <v>1.86</v>
      </c>
    </row>
    <row r="47" spans="1:13" x14ac:dyDescent="0.3">
      <c r="A47" s="17">
        <f t="shared" si="5"/>
        <v>46</v>
      </c>
      <c r="B47" s="18" t="s">
        <v>13</v>
      </c>
      <c r="C47" s="19">
        <v>45565</v>
      </c>
      <c r="D47" s="17">
        <v>-2</v>
      </c>
      <c r="E47" s="19">
        <f t="shared" si="3"/>
        <v>45504</v>
      </c>
      <c r="F47" s="19">
        <f t="shared" si="4"/>
        <v>45322</v>
      </c>
      <c r="G47" s="17" t="s">
        <v>14</v>
      </c>
      <c r="H47" s="20" t="s">
        <v>19</v>
      </c>
      <c r="I47" s="17" t="s">
        <v>15</v>
      </c>
      <c r="J47" s="17" t="s">
        <v>11</v>
      </c>
      <c r="K47" s="17" t="s">
        <v>10</v>
      </c>
      <c r="L47" s="29">
        <v>1.1000000000000001</v>
      </c>
      <c r="M47" s="30">
        <v>2.9041000000000001</v>
      </c>
    </row>
    <row r="48" spans="1:13" x14ac:dyDescent="0.3">
      <c r="A48" s="17">
        <f t="shared" si="5"/>
        <v>47</v>
      </c>
      <c r="B48" s="18" t="s">
        <v>13</v>
      </c>
      <c r="C48" s="19">
        <v>45565</v>
      </c>
      <c r="D48" s="17">
        <v>-2</v>
      </c>
      <c r="E48" s="19">
        <f t="shared" si="3"/>
        <v>45504</v>
      </c>
      <c r="F48" s="19">
        <f t="shared" si="4"/>
        <v>45322</v>
      </c>
      <c r="G48" s="17" t="s">
        <v>14</v>
      </c>
      <c r="H48" s="20" t="s">
        <v>20</v>
      </c>
      <c r="I48" s="17" t="s">
        <v>15</v>
      </c>
      <c r="J48" s="17" t="s">
        <v>11</v>
      </c>
      <c r="K48" s="17" t="s">
        <v>10</v>
      </c>
      <c r="L48" s="29">
        <v>1.5</v>
      </c>
      <c r="M48" s="30">
        <v>3.5230000000000001</v>
      </c>
    </row>
    <row r="49" spans="1:13" x14ac:dyDescent="0.3">
      <c r="A49" s="17">
        <f t="shared" si="5"/>
        <v>48</v>
      </c>
      <c r="B49" s="18" t="s">
        <v>13</v>
      </c>
      <c r="C49" s="19">
        <v>45565</v>
      </c>
      <c r="D49" s="17">
        <v>-2</v>
      </c>
      <c r="E49" s="19">
        <f t="shared" si="3"/>
        <v>45504</v>
      </c>
      <c r="F49" s="19">
        <f t="shared" si="4"/>
        <v>45322</v>
      </c>
      <c r="G49" s="17" t="s">
        <v>14</v>
      </c>
      <c r="H49" s="20" t="s">
        <v>21</v>
      </c>
      <c r="I49" s="17" t="s">
        <v>15</v>
      </c>
      <c r="J49" s="17" t="s">
        <v>11</v>
      </c>
      <c r="K49" s="17" t="s">
        <v>10</v>
      </c>
      <c r="L49" s="29">
        <v>1.6</v>
      </c>
      <c r="M49" s="30">
        <v>1.24</v>
      </c>
    </row>
    <row r="50" spans="1:13" x14ac:dyDescent="0.3">
      <c r="A50" s="17">
        <f t="shared" si="5"/>
        <v>49</v>
      </c>
      <c r="B50" s="18" t="s">
        <v>13</v>
      </c>
      <c r="C50" s="19">
        <v>45565</v>
      </c>
      <c r="D50" s="17">
        <v>-2</v>
      </c>
      <c r="E50" s="19">
        <f t="shared" si="3"/>
        <v>45504</v>
      </c>
      <c r="F50" s="19">
        <f t="shared" si="4"/>
        <v>45322</v>
      </c>
      <c r="G50" s="17" t="s">
        <v>14</v>
      </c>
      <c r="H50" s="20" t="s">
        <v>22</v>
      </c>
      <c r="I50" s="17" t="s">
        <v>15</v>
      </c>
      <c r="J50" s="17" t="s">
        <v>11</v>
      </c>
      <c r="K50" s="17" t="s">
        <v>10</v>
      </c>
      <c r="L50" s="29">
        <v>5.3</v>
      </c>
      <c r="M50" s="30">
        <v>5.31</v>
      </c>
    </row>
    <row r="51" spans="1:13" x14ac:dyDescent="0.3">
      <c r="A51" s="17">
        <f t="shared" si="5"/>
        <v>50</v>
      </c>
      <c r="B51" s="18" t="s">
        <v>13</v>
      </c>
      <c r="C51" s="19">
        <v>45565</v>
      </c>
      <c r="D51" s="17">
        <v>-2</v>
      </c>
      <c r="E51" s="19">
        <f t="shared" si="3"/>
        <v>45504</v>
      </c>
      <c r="F51" s="19">
        <f t="shared" si="4"/>
        <v>45322</v>
      </c>
      <c r="G51" s="17" t="s">
        <v>14</v>
      </c>
      <c r="H51" s="20" t="s">
        <v>23</v>
      </c>
      <c r="I51" s="17" t="s">
        <v>15</v>
      </c>
      <c r="J51" s="17" t="s">
        <v>11</v>
      </c>
      <c r="K51" s="17" t="s">
        <v>10</v>
      </c>
      <c r="L51" s="29">
        <v>2.35</v>
      </c>
      <c r="M51" s="30">
        <v>2.35</v>
      </c>
    </row>
    <row r="52" spans="1:13" x14ac:dyDescent="0.3">
      <c r="A52" s="17">
        <f t="shared" si="5"/>
        <v>51</v>
      </c>
      <c r="B52" s="18" t="s">
        <v>13</v>
      </c>
      <c r="C52" s="19">
        <v>45565</v>
      </c>
      <c r="D52" s="17">
        <v>-2</v>
      </c>
      <c r="E52" s="19">
        <f t="shared" si="3"/>
        <v>45504</v>
      </c>
      <c r="F52" s="19">
        <f t="shared" si="4"/>
        <v>45322</v>
      </c>
      <c r="G52" s="17" t="s">
        <v>14</v>
      </c>
      <c r="H52" s="20" t="s">
        <v>24</v>
      </c>
      <c r="I52" s="17" t="s">
        <v>15</v>
      </c>
      <c r="J52" s="17" t="s">
        <v>11</v>
      </c>
      <c r="K52" s="17" t="s">
        <v>10</v>
      </c>
      <c r="L52" s="29">
        <v>1.6</v>
      </c>
      <c r="M52" s="30">
        <v>1.6339999999999999</v>
      </c>
    </row>
    <row r="53" spans="1:13" x14ac:dyDescent="0.3">
      <c r="A53" s="17">
        <f t="shared" si="5"/>
        <v>52</v>
      </c>
      <c r="B53" s="18" t="s">
        <v>13</v>
      </c>
      <c r="C53" s="19">
        <v>45565</v>
      </c>
      <c r="D53" s="17">
        <v>-2</v>
      </c>
      <c r="E53" s="19">
        <f t="shared" si="3"/>
        <v>45504</v>
      </c>
      <c r="F53" s="19">
        <f t="shared" si="4"/>
        <v>45322</v>
      </c>
      <c r="G53" s="17" t="s">
        <v>14</v>
      </c>
      <c r="H53" s="20" t="s">
        <v>25</v>
      </c>
      <c r="I53" s="17" t="s">
        <v>15</v>
      </c>
      <c r="J53" s="17" t="s">
        <v>11</v>
      </c>
      <c r="K53" s="17" t="s">
        <v>10</v>
      </c>
      <c r="L53" s="29">
        <v>3</v>
      </c>
      <c r="M53" s="30">
        <v>0.91239999999999999</v>
      </c>
    </row>
    <row r="54" spans="1:13" x14ac:dyDescent="0.3">
      <c r="A54" s="17">
        <f t="shared" si="5"/>
        <v>53</v>
      </c>
      <c r="B54" s="18" t="s">
        <v>13</v>
      </c>
      <c r="C54" s="19">
        <v>45565</v>
      </c>
      <c r="D54" s="17">
        <v>-2</v>
      </c>
      <c r="E54" s="19">
        <f t="shared" si="3"/>
        <v>45504</v>
      </c>
      <c r="F54" s="19">
        <f t="shared" si="4"/>
        <v>45322</v>
      </c>
      <c r="G54" s="17" t="s">
        <v>14</v>
      </c>
      <c r="H54" s="20" t="s">
        <v>30</v>
      </c>
      <c r="I54" s="17" t="s">
        <v>27</v>
      </c>
      <c r="J54" s="17" t="s">
        <v>29</v>
      </c>
      <c r="K54" s="17" t="s">
        <v>28</v>
      </c>
      <c r="L54" s="29">
        <v>2</v>
      </c>
      <c r="M54" s="30">
        <v>12.31</v>
      </c>
    </row>
    <row r="55" spans="1:13" x14ac:dyDescent="0.3">
      <c r="A55" s="17">
        <f t="shared" si="5"/>
        <v>54</v>
      </c>
      <c r="B55" s="18" t="s">
        <v>13</v>
      </c>
      <c r="C55" s="19">
        <v>45565</v>
      </c>
      <c r="D55" s="17">
        <v>-2</v>
      </c>
      <c r="E55" s="19">
        <f t="shared" si="3"/>
        <v>45504</v>
      </c>
      <c r="F55" s="19">
        <f t="shared" si="4"/>
        <v>45322</v>
      </c>
      <c r="G55" s="17" t="s">
        <v>14</v>
      </c>
      <c r="H55" s="20" t="s">
        <v>31</v>
      </c>
      <c r="I55" s="17" t="s">
        <v>27</v>
      </c>
      <c r="J55" s="17" t="s">
        <v>29</v>
      </c>
      <c r="K55" s="17" t="s">
        <v>28</v>
      </c>
      <c r="L55" s="29">
        <v>1</v>
      </c>
      <c r="M55" s="30">
        <v>3.52</v>
      </c>
    </row>
    <row r="56" spans="1:13" x14ac:dyDescent="0.3">
      <c r="A56" s="17">
        <f t="shared" si="5"/>
        <v>55</v>
      </c>
      <c r="B56" s="18" t="s">
        <v>13</v>
      </c>
      <c r="C56" s="19">
        <v>45565</v>
      </c>
      <c r="D56" s="17">
        <v>-2</v>
      </c>
      <c r="E56" s="19">
        <f t="shared" si="3"/>
        <v>45504</v>
      </c>
      <c r="F56" s="19">
        <f t="shared" si="4"/>
        <v>45322</v>
      </c>
      <c r="G56" s="17" t="s">
        <v>14</v>
      </c>
      <c r="H56" s="20" t="s">
        <v>32</v>
      </c>
      <c r="I56" s="17" t="s">
        <v>27</v>
      </c>
      <c r="J56" s="17" t="s">
        <v>29</v>
      </c>
      <c r="K56" s="17" t="s">
        <v>28</v>
      </c>
      <c r="L56" s="29">
        <v>5</v>
      </c>
      <c r="M56" s="31">
        <v>4.6500000000000004</v>
      </c>
    </row>
    <row r="57" spans="1:13" x14ac:dyDescent="0.3">
      <c r="A57" s="17">
        <f t="shared" si="5"/>
        <v>56</v>
      </c>
      <c r="B57" s="18" t="s">
        <v>13</v>
      </c>
      <c r="C57" s="19">
        <v>45565</v>
      </c>
      <c r="D57" s="17">
        <v>-2</v>
      </c>
      <c r="E57" s="19">
        <f t="shared" si="3"/>
        <v>45504</v>
      </c>
      <c r="F57" s="19">
        <f t="shared" si="4"/>
        <v>45322</v>
      </c>
      <c r="G57" s="17" t="s">
        <v>14</v>
      </c>
      <c r="H57" s="20" t="s">
        <v>33</v>
      </c>
      <c r="I57" s="17" t="s">
        <v>27</v>
      </c>
      <c r="J57" s="17" t="s">
        <v>29</v>
      </c>
      <c r="K57" s="17" t="s">
        <v>28</v>
      </c>
      <c r="L57" s="29">
        <v>6</v>
      </c>
      <c r="M57" s="30">
        <v>12.3</v>
      </c>
    </row>
    <row r="58" spans="1:13" x14ac:dyDescent="0.3">
      <c r="A58" s="17">
        <f t="shared" si="5"/>
        <v>57</v>
      </c>
      <c r="B58" s="18" t="s">
        <v>13</v>
      </c>
      <c r="C58" s="19">
        <v>45565</v>
      </c>
      <c r="D58" s="17">
        <v>-2</v>
      </c>
      <c r="E58" s="19">
        <f t="shared" si="3"/>
        <v>45504</v>
      </c>
      <c r="F58" s="19">
        <f t="shared" si="4"/>
        <v>45322</v>
      </c>
      <c r="G58" s="17" t="s">
        <v>14</v>
      </c>
      <c r="H58" s="20" t="s">
        <v>34</v>
      </c>
      <c r="I58" s="17" t="s">
        <v>27</v>
      </c>
      <c r="J58" s="17" t="s">
        <v>29</v>
      </c>
      <c r="K58" s="17" t="s">
        <v>28</v>
      </c>
      <c r="L58" s="29">
        <v>7</v>
      </c>
      <c r="M58" s="30">
        <v>2.2999999999999998</v>
      </c>
    </row>
    <row r="59" spans="1:13" x14ac:dyDescent="0.3">
      <c r="A59" s="17">
        <f t="shared" si="5"/>
        <v>58</v>
      </c>
      <c r="B59" s="18" t="s">
        <v>13</v>
      </c>
      <c r="C59" s="19">
        <v>45565</v>
      </c>
      <c r="D59" s="17">
        <v>-2</v>
      </c>
      <c r="E59" s="19">
        <f t="shared" si="3"/>
        <v>45504</v>
      </c>
      <c r="F59" s="19">
        <f t="shared" si="4"/>
        <v>45322</v>
      </c>
      <c r="G59" s="17" t="s">
        <v>14</v>
      </c>
      <c r="H59" s="20" t="s">
        <v>35</v>
      </c>
      <c r="I59" s="17" t="s">
        <v>27</v>
      </c>
      <c r="J59" s="17" t="s">
        <v>29</v>
      </c>
      <c r="K59" s="17" t="s">
        <v>28</v>
      </c>
      <c r="L59" s="29">
        <v>7</v>
      </c>
      <c r="M59" s="30">
        <v>1.56</v>
      </c>
    </row>
    <row r="60" spans="1:13" x14ac:dyDescent="0.3">
      <c r="A60" s="17">
        <f t="shared" si="5"/>
        <v>59</v>
      </c>
      <c r="B60" s="18" t="s">
        <v>13</v>
      </c>
      <c r="C60" s="19">
        <v>45565</v>
      </c>
      <c r="D60" s="17">
        <v>-2</v>
      </c>
      <c r="E60" s="19">
        <f t="shared" si="3"/>
        <v>45504</v>
      </c>
      <c r="F60" s="19">
        <f t="shared" si="4"/>
        <v>45322</v>
      </c>
      <c r="G60" s="17" t="s">
        <v>14</v>
      </c>
      <c r="H60" s="20" t="s">
        <v>36</v>
      </c>
      <c r="I60" s="17" t="s">
        <v>27</v>
      </c>
      <c r="J60" s="17" t="s">
        <v>29</v>
      </c>
      <c r="K60" s="17" t="s">
        <v>28</v>
      </c>
      <c r="L60" s="29">
        <v>1</v>
      </c>
      <c r="M60" s="30">
        <v>8</v>
      </c>
    </row>
    <row r="61" spans="1:13" x14ac:dyDescent="0.3">
      <c r="A61" s="17">
        <f t="shared" si="5"/>
        <v>60</v>
      </c>
      <c r="B61" s="18" t="s">
        <v>13</v>
      </c>
      <c r="C61" s="19">
        <v>45565</v>
      </c>
      <c r="D61" s="17">
        <v>-2</v>
      </c>
      <c r="E61" s="19">
        <f t="shared" si="3"/>
        <v>45504</v>
      </c>
      <c r="F61" s="19">
        <f t="shared" si="4"/>
        <v>45322</v>
      </c>
      <c r="G61" s="17" t="s">
        <v>14</v>
      </c>
      <c r="H61" s="20" t="s">
        <v>37</v>
      </c>
      <c r="I61" s="17" t="s">
        <v>27</v>
      </c>
      <c r="J61" s="17" t="s">
        <v>29</v>
      </c>
      <c r="K61" s="17" t="s">
        <v>28</v>
      </c>
      <c r="L61" s="29">
        <v>2</v>
      </c>
      <c r="M61" s="30">
        <v>6.78</v>
      </c>
    </row>
    <row r="62" spans="1:13" x14ac:dyDescent="0.3">
      <c r="A62" s="17">
        <f t="shared" si="5"/>
        <v>61</v>
      </c>
      <c r="B62" s="18" t="s">
        <v>13</v>
      </c>
      <c r="C62" s="19">
        <v>45565</v>
      </c>
      <c r="D62" s="17">
        <v>-2</v>
      </c>
      <c r="E62" s="19">
        <f t="shared" si="3"/>
        <v>45504</v>
      </c>
      <c r="F62" s="19">
        <f t="shared" si="4"/>
        <v>45322</v>
      </c>
      <c r="G62" s="17" t="s">
        <v>14</v>
      </c>
      <c r="H62" s="20" t="s">
        <v>38</v>
      </c>
      <c r="I62" s="17" t="s">
        <v>27</v>
      </c>
      <c r="J62" s="17" t="s">
        <v>29</v>
      </c>
      <c r="K62" s="17" t="s">
        <v>28</v>
      </c>
      <c r="L62" s="29">
        <v>3</v>
      </c>
      <c r="M62" s="30">
        <v>4.68</v>
      </c>
    </row>
    <row r="63" spans="1:13" x14ac:dyDescent="0.3">
      <c r="A63" s="17">
        <f t="shared" si="5"/>
        <v>62</v>
      </c>
      <c r="B63" s="18" t="s">
        <v>13</v>
      </c>
      <c r="C63" s="19">
        <v>45565</v>
      </c>
      <c r="D63" s="17">
        <v>-2</v>
      </c>
      <c r="E63" s="19">
        <f t="shared" si="3"/>
        <v>45504</v>
      </c>
      <c r="F63" s="19">
        <f t="shared" si="4"/>
        <v>45322</v>
      </c>
      <c r="G63" s="17" t="s">
        <v>14</v>
      </c>
      <c r="H63" s="20" t="s">
        <v>39</v>
      </c>
      <c r="I63" s="17" t="s">
        <v>27</v>
      </c>
      <c r="J63" s="17" t="s">
        <v>29</v>
      </c>
      <c r="K63" s="17" t="s">
        <v>28</v>
      </c>
      <c r="L63" s="29">
        <v>4</v>
      </c>
      <c r="M63" s="30">
        <v>5.78</v>
      </c>
    </row>
    <row r="64" spans="1:13" ht="17.25" thickBot="1" x14ac:dyDescent="0.35">
      <c r="A64" s="17">
        <f t="shared" si="5"/>
        <v>63</v>
      </c>
      <c r="B64" s="21" t="s">
        <v>13</v>
      </c>
      <c r="C64" s="22">
        <v>45565</v>
      </c>
      <c r="D64" s="23">
        <v>-2</v>
      </c>
      <c r="E64" s="22">
        <f t="shared" si="3"/>
        <v>45504</v>
      </c>
      <c r="F64" s="22">
        <f t="shared" si="4"/>
        <v>45322</v>
      </c>
      <c r="G64" s="23" t="s">
        <v>14</v>
      </c>
      <c r="H64" s="24" t="s">
        <v>40</v>
      </c>
      <c r="I64" s="23" t="s">
        <v>27</v>
      </c>
      <c r="J64" s="23" t="s">
        <v>29</v>
      </c>
      <c r="K64" s="23" t="s">
        <v>28</v>
      </c>
      <c r="L64" s="32">
        <v>0.56000000000000005</v>
      </c>
      <c r="M64" s="33">
        <v>4.67</v>
      </c>
    </row>
    <row r="65" spans="1:13" x14ac:dyDescent="0.3">
      <c r="A65" s="17">
        <f t="shared" si="5"/>
        <v>64</v>
      </c>
      <c r="B65" s="13" t="s">
        <v>42</v>
      </c>
      <c r="C65" s="14">
        <v>45565</v>
      </c>
      <c r="D65" s="15">
        <v>-2</v>
      </c>
      <c r="E65" s="14">
        <f t="shared" si="3"/>
        <v>45504</v>
      </c>
      <c r="F65" s="14">
        <f t="shared" si="4"/>
        <v>45322</v>
      </c>
      <c r="G65" s="15" t="s">
        <v>26</v>
      </c>
      <c r="H65" s="16" t="s">
        <v>16</v>
      </c>
      <c r="I65" s="15" t="s">
        <v>15</v>
      </c>
      <c r="J65" s="15" t="s">
        <v>11</v>
      </c>
      <c r="K65" s="15" t="s">
        <v>10</v>
      </c>
      <c r="L65" s="27">
        <v>1.2</v>
      </c>
      <c r="M65" s="28">
        <v>8.5299999999999994</v>
      </c>
    </row>
    <row r="66" spans="1:13" x14ac:dyDescent="0.3">
      <c r="A66" s="17">
        <f t="shared" si="5"/>
        <v>65</v>
      </c>
      <c r="B66" s="18" t="s">
        <v>42</v>
      </c>
      <c r="C66" s="19">
        <v>45565</v>
      </c>
      <c r="D66" s="17">
        <v>-2</v>
      </c>
      <c r="E66" s="19">
        <f t="shared" ref="E66:E97" si="6">EOMONTH(C66,D66)</f>
        <v>45504</v>
      </c>
      <c r="F66" s="19">
        <f t="shared" ref="F66:F97" si="7">EOMONTH(E66,-6)</f>
        <v>45322</v>
      </c>
      <c r="G66" s="17" t="s">
        <v>26</v>
      </c>
      <c r="H66" s="20" t="s">
        <v>17</v>
      </c>
      <c r="I66" s="17" t="s">
        <v>15</v>
      </c>
      <c r="J66" s="17" t="s">
        <v>11</v>
      </c>
      <c r="K66" s="17" t="s">
        <v>10</v>
      </c>
      <c r="L66" s="29">
        <v>1.35</v>
      </c>
      <c r="M66" s="30">
        <v>10.23</v>
      </c>
    </row>
    <row r="67" spans="1:13" x14ac:dyDescent="0.3">
      <c r="A67" s="17">
        <f t="shared" ref="A67:A98" si="8">ROW()-1</f>
        <v>66</v>
      </c>
      <c r="B67" s="18" t="s">
        <v>42</v>
      </c>
      <c r="C67" s="19">
        <v>45565</v>
      </c>
      <c r="D67" s="17">
        <v>-2</v>
      </c>
      <c r="E67" s="19">
        <f t="shared" si="6"/>
        <v>45504</v>
      </c>
      <c r="F67" s="19">
        <f t="shared" si="7"/>
        <v>45322</v>
      </c>
      <c r="G67" s="17" t="s">
        <v>26</v>
      </c>
      <c r="H67" s="20" t="s">
        <v>18</v>
      </c>
      <c r="I67" s="17" t="s">
        <v>15</v>
      </c>
      <c r="J67" s="17" t="s">
        <v>11</v>
      </c>
      <c r="K67" s="17" t="s">
        <v>10</v>
      </c>
      <c r="L67" s="29">
        <v>1.2</v>
      </c>
      <c r="M67" s="30">
        <v>1.86</v>
      </c>
    </row>
    <row r="68" spans="1:13" x14ac:dyDescent="0.3">
      <c r="A68" s="17">
        <f t="shared" si="8"/>
        <v>67</v>
      </c>
      <c r="B68" s="18" t="s">
        <v>42</v>
      </c>
      <c r="C68" s="19">
        <v>45565</v>
      </c>
      <c r="D68" s="17">
        <v>-2</v>
      </c>
      <c r="E68" s="19">
        <f t="shared" si="6"/>
        <v>45504</v>
      </c>
      <c r="F68" s="19">
        <f t="shared" si="7"/>
        <v>45322</v>
      </c>
      <c r="G68" s="17" t="s">
        <v>26</v>
      </c>
      <c r="H68" s="20" t="s">
        <v>19</v>
      </c>
      <c r="I68" s="17" t="s">
        <v>15</v>
      </c>
      <c r="J68" s="17" t="s">
        <v>11</v>
      </c>
      <c r="K68" s="17" t="s">
        <v>10</v>
      </c>
      <c r="L68" s="29">
        <v>1.1000000000000001</v>
      </c>
      <c r="M68" s="30">
        <v>2.9041000000000001</v>
      </c>
    </row>
    <row r="69" spans="1:13" x14ac:dyDescent="0.3">
      <c r="A69" s="17">
        <f t="shared" si="8"/>
        <v>68</v>
      </c>
      <c r="B69" s="18" t="s">
        <v>42</v>
      </c>
      <c r="C69" s="19">
        <v>45565</v>
      </c>
      <c r="D69" s="17">
        <v>-2</v>
      </c>
      <c r="E69" s="19">
        <f t="shared" si="6"/>
        <v>45504</v>
      </c>
      <c r="F69" s="19">
        <f t="shared" si="7"/>
        <v>45322</v>
      </c>
      <c r="G69" s="17" t="s">
        <v>26</v>
      </c>
      <c r="H69" s="20" t="s">
        <v>20</v>
      </c>
      <c r="I69" s="17" t="s">
        <v>15</v>
      </c>
      <c r="J69" s="17" t="s">
        <v>11</v>
      </c>
      <c r="K69" s="17" t="s">
        <v>10</v>
      </c>
      <c r="L69" s="29">
        <v>1.5</v>
      </c>
      <c r="M69" s="30">
        <v>3.5230000000000001</v>
      </c>
    </row>
    <row r="70" spans="1:13" x14ac:dyDescent="0.3">
      <c r="A70" s="17">
        <f t="shared" si="8"/>
        <v>69</v>
      </c>
      <c r="B70" s="18" t="s">
        <v>42</v>
      </c>
      <c r="C70" s="19">
        <v>45565</v>
      </c>
      <c r="D70" s="17">
        <v>-2</v>
      </c>
      <c r="E70" s="19">
        <f t="shared" si="6"/>
        <v>45504</v>
      </c>
      <c r="F70" s="19">
        <f t="shared" si="7"/>
        <v>45322</v>
      </c>
      <c r="G70" s="17" t="s">
        <v>26</v>
      </c>
      <c r="H70" s="20" t="s">
        <v>21</v>
      </c>
      <c r="I70" s="17" t="s">
        <v>15</v>
      </c>
      <c r="J70" s="17" t="s">
        <v>11</v>
      </c>
      <c r="K70" s="17" t="s">
        <v>10</v>
      </c>
      <c r="L70" s="29">
        <v>1.6</v>
      </c>
      <c r="M70" s="30">
        <v>1.24</v>
      </c>
    </row>
    <row r="71" spans="1:13" x14ac:dyDescent="0.3">
      <c r="A71" s="17">
        <f t="shared" si="8"/>
        <v>70</v>
      </c>
      <c r="B71" s="18" t="s">
        <v>42</v>
      </c>
      <c r="C71" s="19">
        <v>45565</v>
      </c>
      <c r="D71" s="17">
        <v>-2</v>
      </c>
      <c r="E71" s="19">
        <f t="shared" si="6"/>
        <v>45504</v>
      </c>
      <c r="F71" s="19">
        <f t="shared" si="7"/>
        <v>45322</v>
      </c>
      <c r="G71" s="17" t="s">
        <v>26</v>
      </c>
      <c r="H71" s="20" t="s">
        <v>22</v>
      </c>
      <c r="I71" s="17" t="s">
        <v>15</v>
      </c>
      <c r="J71" s="17" t="s">
        <v>11</v>
      </c>
      <c r="K71" s="17" t="s">
        <v>10</v>
      </c>
      <c r="L71" s="29">
        <v>5.3</v>
      </c>
      <c r="M71" s="30">
        <v>5.31</v>
      </c>
    </row>
    <row r="72" spans="1:13" x14ac:dyDescent="0.3">
      <c r="A72" s="17">
        <f t="shared" si="8"/>
        <v>71</v>
      </c>
      <c r="B72" s="18" t="s">
        <v>42</v>
      </c>
      <c r="C72" s="19">
        <v>45565</v>
      </c>
      <c r="D72" s="17">
        <v>-2</v>
      </c>
      <c r="E72" s="19">
        <f t="shared" si="6"/>
        <v>45504</v>
      </c>
      <c r="F72" s="19">
        <f t="shared" si="7"/>
        <v>45322</v>
      </c>
      <c r="G72" s="17" t="s">
        <v>26</v>
      </c>
      <c r="H72" s="20" t="s">
        <v>23</v>
      </c>
      <c r="I72" s="17" t="s">
        <v>15</v>
      </c>
      <c r="J72" s="17" t="s">
        <v>11</v>
      </c>
      <c r="K72" s="17" t="s">
        <v>10</v>
      </c>
      <c r="L72" s="29">
        <v>2.35</v>
      </c>
      <c r="M72" s="30">
        <v>2.35</v>
      </c>
    </row>
    <row r="73" spans="1:13" x14ac:dyDescent="0.3">
      <c r="A73" s="17">
        <f t="shared" si="8"/>
        <v>72</v>
      </c>
      <c r="B73" s="18" t="s">
        <v>42</v>
      </c>
      <c r="C73" s="19">
        <v>45565</v>
      </c>
      <c r="D73" s="17">
        <v>-2</v>
      </c>
      <c r="E73" s="19">
        <f t="shared" si="6"/>
        <v>45504</v>
      </c>
      <c r="F73" s="19">
        <f t="shared" si="7"/>
        <v>45322</v>
      </c>
      <c r="G73" s="17" t="s">
        <v>26</v>
      </c>
      <c r="H73" s="20" t="s">
        <v>24</v>
      </c>
      <c r="I73" s="17" t="s">
        <v>15</v>
      </c>
      <c r="J73" s="17" t="s">
        <v>11</v>
      </c>
      <c r="K73" s="17" t="s">
        <v>10</v>
      </c>
      <c r="L73" s="29">
        <v>1.6</v>
      </c>
      <c r="M73" s="30">
        <v>1.6339999999999999</v>
      </c>
    </row>
    <row r="74" spans="1:13" x14ac:dyDescent="0.3">
      <c r="A74" s="17">
        <f t="shared" si="8"/>
        <v>73</v>
      </c>
      <c r="B74" s="18" t="s">
        <v>42</v>
      </c>
      <c r="C74" s="19">
        <v>45565</v>
      </c>
      <c r="D74" s="17">
        <v>-2</v>
      </c>
      <c r="E74" s="19">
        <f t="shared" si="6"/>
        <v>45504</v>
      </c>
      <c r="F74" s="19">
        <f t="shared" si="7"/>
        <v>45322</v>
      </c>
      <c r="G74" s="17" t="s">
        <v>26</v>
      </c>
      <c r="H74" s="20" t="s">
        <v>25</v>
      </c>
      <c r="I74" s="17" t="s">
        <v>15</v>
      </c>
      <c r="J74" s="17" t="s">
        <v>11</v>
      </c>
      <c r="K74" s="17" t="s">
        <v>10</v>
      </c>
      <c r="L74" s="29">
        <v>3</v>
      </c>
      <c r="M74" s="30">
        <v>0.91239999999999999</v>
      </c>
    </row>
    <row r="75" spans="1:13" x14ac:dyDescent="0.3">
      <c r="A75" s="17">
        <f t="shared" si="8"/>
        <v>74</v>
      </c>
      <c r="B75" s="18" t="s">
        <v>42</v>
      </c>
      <c r="C75" s="19">
        <v>45565</v>
      </c>
      <c r="D75" s="17">
        <v>-2</v>
      </c>
      <c r="E75" s="19">
        <f t="shared" si="6"/>
        <v>45504</v>
      </c>
      <c r="F75" s="19">
        <f t="shared" si="7"/>
        <v>45322</v>
      </c>
      <c r="G75" s="17" t="s">
        <v>26</v>
      </c>
      <c r="H75" s="20" t="s">
        <v>30</v>
      </c>
      <c r="I75" s="17" t="s">
        <v>27</v>
      </c>
      <c r="J75" s="17" t="s">
        <v>29</v>
      </c>
      <c r="K75" s="17" t="s">
        <v>28</v>
      </c>
      <c r="L75" s="29">
        <v>2</v>
      </c>
      <c r="M75" s="30">
        <v>12.31</v>
      </c>
    </row>
    <row r="76" spans="1:13" x14ac:dyDescent="0.3">
      <c r="A76" s="17">
        <f t="shared" si="8"/>
        <v>75</v>
      </c>
      <c r="B76" s="18" t="s">
        <v>42</v>
      </c>
      <c r="C76" s="19">
        <v>45565</v>
      </c>
      <c r="D76" s="17">
        <v>-2</v>
      </c>
      <c r="E76" s="19">
        <f t="shared" si="6"/>
        <v>45504</v>
      </c>
      <c r="F76" s="19">
        <f t="shared" si="7"/>
        <v>45322</v>
      </c>
      <c r="G76" s="17" t="s">
        <v>26</v>
      </c>
      <c r="H76" s="20" t="s">
        <v>31</v>
      </c>
      <c r="I76" s="17" t="s">
        <v>27</v>
      </c>
      <c r="J76" s="17" t="s">
        <v>29</v>
      </c>
      <c r="K76" s="17" t="s">
        <v>28</v>
      </c>
      <c r="L76" s="29">
        <v>1</v>
      </c>
      <c r="M76" s="30">
        <v>3.52</v>
      </c>
    </row>
    <row r="77" spans="1:13" x14ac:dyDescent="0.3">
      <c r="A77" s="17">
        <f t="shared" si="8"/>
        <v>76</v>
      </c>
      <c r="B77" s="18" t="s">
        <v>42</v>
      </c>
      <c r="C77" s="19">
        <v>45565</v>
      </c>
      <c r="D77" s="17">
        <v>-2</v>
      </c>
      <c r="E77" s="19">
        <f t="shared" si="6"/>
        <v>45504</v>
      </c>
      <c r="F77" s="19">
        <f t="shared" si="7"/>
        <v>45322</v>
      </c>
      <c r="G77" s="17" t="s">
        <v>26</v>
      </c>
      <c r="H77" s="20" t="s">
        <v>32</v>
      </c>
      <c r="I77" s="17" t="s">
        <v>27</v>
      </c>
      <c r="J77" s="17" t="s">
        <v>29</v>
      </c>
      <c r="K77" s="17" t="s">
        <v>28</v>
      </c>
      <c r="L77" s="29">
        <v>5</v>
      </c>
      <c r="M77" s="31">
        <v>4.6500000000000004</v>
      </c>
    </row>
    <row r="78" spans="1:13" x14ac:dyDescent="0.3">
      <c r="A78" s="17">
        <f t="shared" si="8"/>
        <v>77</v>
      </c>
      <c r="B78" s="18" t="s">
        <v>42</v>
      </c>
      <c r="C78" s="19">
        <v>45565</v>
      </c>
      <c r="D78" s="17">
        <v>-2</v>
      </c>
      <c r="E78" s="19">
        <f t="shared" si="6"/>
        <v>45504</v>
      </c>
      <c r="F78" s="19">
        <f t="shared" si="7"/>
        <v>45322</v>
      </c>
      <c r="G78" s="17" t="s">
        <v>26</v>
      </c>
      <c r="H78" s="20" t="s">
        <v>33</v>
      </c>
      <c r="I78" s="17" t="s">
        <v>27</v>
      </c>
      <c r="J78" s="17" t="s">
        <v>29</v>
      </c>
      <c r="K78" s="17" t="s">
        <v>28</v>
      </c>
      <c r="L78" s="29">
        <v>6</v>
      </c>
      <c r="M78" s="30">
        <v>12.3</v>
      </c>
    </row>
    <row r="79" spans="1:13" x14ac:dyDescent="0.3">
      <c r="A79" s="17">
        <f t="shared" si="8"/>
        <v>78</v>
      </c>
      <c r="B79" s="18" t="s">
        <v>42</v>
      </c>
      <c r="C79" s="19">
        <v>45565</v>
      </c>
      <c r="D79" s="17">
        <v>-2</v>
      </c>
      <c r="E79" s="19">
        <f t="shared" si="6"/>
        <v>45504</v>
      </c>
      <c r="F79" s="19">
        <f t="shared" si="7"/>
        <v>45322</v>
      </c>
      <c r="G79" s="17" t="s">
        <v>26</v>
      </c>
      <c r="H79" s="20" t="s">
        <v>34</v>
      </c>
      <c r="I79" s="17" t="s">
        <v>27</v>
      </c>
      <c r="J79" s="17" t="s">
        <v>29</v>
      </c>
      <c r="K79" s="17" t="s">
        <v>28</v>
      </c>
      <c r="L79" s="29">
        <v>7</v>
      </c>
      <c r="M79" s="30">
        <v>2.2999999999999998</v>
      </c>
    </row>
    <row r="80" spans="1:13" x14ac:dyDescent="0.3">
      <c r="A80" s="17">
        <f t="shared" si="8"/>
        <v>79</v>
      </c>
      <c r="B80" s="18" t="s">
        <v>42</v>
      </c>
      <c r="C80" s="19">
        <v>45565</v>
      </c>
      <c r="D80" s="17">
        <v>-2</v>
      </c>
      <c r="E80" s="19">
        <f t="shared" si="6"/>
        <v>45504</v>
      </c>
      <c r="F80" s="19">
        <f t="shared" si="7"/>
        <v>45322</v>
      </c>
      <c r="G80" s="17" t="s">
        <v>26</v>
      </c>
      <c r="H80" s="20" t="s">
        <v>35</v>
      </c>
      <c r="I80" s="17" t="s">
        <v>27</v>
      </c>
      <c r="J80" s="17" t="s">
        <v>29</v>
      </c>
      <c r="K80" s="17" t="s">
        <v>28</v>
      </c>
      <c r="L80" s="29">
        <v>7</v>
      </c>
      <c r="M80" s="30">
        <v>1.56</v>
      </c>
    </row>
    <row r="81" spans="1:13" x14ac:dyDescent="0.3">
      <c r="A81" s="17">
        <f t="shared" si="8"/>
        <v>80</v>
      </c>
      <c r="B81" s="18" t="s">
        <v>42</v>
      </c>
      <c r="C81" s="19">
        <v>45565</v>
      </c>
      <c r="D81" s="17">
        <v>-2</v>
      </c>
      <c r="E81" s="19">
        <f t="shared" si="6"/>
        <v>45504</v>
      </c>
      <c r="F81" s="19">
        <f t="shared" si="7"/>
        <v>45322</v>
      </c>
      <c r="G81" s="17" t="s">
        <v>26</v>
      </c>
      <c r="H81" s="20" t="s">
        <v>36</v>
      </c>
      <c r="I81" s="17" t="s">
        <v>27</v>
      </c>
      <c r="J81" s="17" t="s">
        <v>29</v>
      </c>
      <c r="K81" s="17" t="s">
        <v>28</v>
      </c>
      <c r="L81" s="29">
        <v>1</v>
      </c>
      <c r="M81" s="30">
        <v>8</v>
      </c>
    </row>
    <row r="82" spans="1:13" x14ac:dyDescent="0.3">
      <c r="A82" s="17">
        <f t="shared" si="8"/>
        <v>81</v>
      </c>
      <c r="B82" s="18" t="s">
        <v>42</v>
      </c>
      <c r="C82" s="19">
        <v>45565</v>
      </c>
      <c r="D82" s="17">
        <v>-2</v>
      </c>
      <c r="E82" s="19">
        <f t="shared" si="6"/>
        <v>45504</v>
      </c>
      <c r="F82" s="19">
        <f t="shared" si="7"/>
        <v>45322</v>
      </c>
      <c r="G82" s="17" t="s">
        <v>26</v>
      </c>
      <c r="H82" s="20" t="s">
        <v>37</v>
      </c>
      <c r="I82" s="17" t="s">
        <v>27</v>
      </c>
      <c r="J82" s="17" t="s">
        <v>29</v>
      </c>
      <c r="K82" s="17" t="s">
        <v>28</v>
      </c>
      <c r="L82" s="29">
        <v>2</v>
      </c>
      <c r="M82" s="30">
        <v>6.78</v>
      </c>
    </row>
    <row r="83" spans="1:13" x14ac:dyDescent="0.3">
      <c r="A83" s="17">
        <f t="shared" si="8"/>
        <v>82</v>
      </c>
      <c r="B83" s="18" t="s">
        <v>42</v>
      </c>
      <c r="C83" s="19">
        <v>45565</v>
      </c>
      <c r="D83" s="17">
        <v>-2</v>
      </c>
      <c r="E83" s="19">
        <f t="shared" si="6"/>
        <v>45504</v>
      </c>
      <c r="F83" s="19">
        <f t="shared" si="7"/>
        <v>45322</v>
      </c>
      <c r="G83" s="17" t="s">
        <v>26</v>
      </c>
      <c r="H83" s="20" t="s">
        <v>38</v>
      </c>
      <c r="I83" s="17" t="s">
        <v>27</v>
      </c>
      <c r="J83" s="17" t="s">
        <v>29</v>
      </c>
      <c r="K83" s="17" t="s">
        <v>28</v>
      </c>
      <c r="L83" s="29">
        <v>3</v>
      </c>
      <c r="M83" s="30">
        <v>4.68</v>
      </c>
    </row>
    <row r="84" spans="1:13" x14ac:dyDescent="0.3">
      <c r="A84" s="17">
        <f t="shared" si="8"/>
        <v>83</v>
      </c>
      <c r="B84" s="18" t="s">
        <v>42</v>
      </c>
      <c r="C84" s="19">
        <v>45565</v>
      </c>
      <c r="D84" s="17">
        <v>-2</v>
      </c>
      <c r="E84" s="19">
        <f t="shared" si="6"/>
        <v>45504</v>
      </c>
      <c r="F84" s="19">
        <f t="shared" si="7"/>
        <v>45322</v>
      </c>
      <c r="G84" s="17" t="s">
        <v>26</v>
      </c>
      <c r="H84" s="20" t="s">
        <v>39</v>
      </c>
      <c r="I84" s="17" t="s">
        <v>27</v>
      </c>
      <c r="J84" s="17" t="s">
        <v>29</v>
      </c>
      <c r="K84" s="17" t="s">
        <v>28</v>
      </c>
      <c r="L84" s="29">
        <v>4</v>
      </c>
      <c r="M84" s="30">
        <v>5.78</v>
      </c>
    </row>
    <row r="85" spans="1:13" ht="17.25" thickBot="1" x14ac:dyDescent="0.35">
      <c r="A85" s="17">
        <f t="shared" si="8"/>
        <v>84</v>
      </c>
      <c r="B85" s="21" t="s">
        <v>42</v>
      </c>
      <c r="C85" s="22">
        <v>45565</v>
      </c>
      <c r="D85" s="23">
        <v>-2</v>
      </c>
      <c r="E85" s="22">
        <f t="shared" si="6"/>
        <v>45504</v>
      </c>
      <c r="F85" s="22">
        <f t="shared" si="7"/>
        <v>45322</v>
      </c>
      <c r="G85" s="23" t="s">
        <v>26</v>
      </c>
      <c r="H85" s="24" t="s">
        <v>40</v>
      </c>
      <c r="I85" s="23" t="s">
        <v>27</v>
      </c>
      <c r="J85" s="23" t="s">
        <v>29</v>
      </c>
      <c r="K85" s="23" t="s">
        <v>28</v>
      </c>
      <c r="L85" s="32">
        <v>0.56000000000000005</v>
      </c>
      <c r="M85" s="33">
        <v>4.67</v>
      </c>
    </row>
    <row r="86" spans="1:13" x14ac:dyDescent="0.3">
      <c r="A86" s="17">
        <f t="shared" si="8"/>
        <v>85</v>
      </c>
      <c r="B86" s="13" t="s">
        <v>42</v>
      </c>
      <c r="C86" s="14">
        <v>45565</v>
      </c>
      <c r="D86" s="15">
        <v>-2</v>
      </c>
      <c r="E86" s="14">
        <f t="shared" si="6"/>
        <v>45504</v>
      </c>
      <c r="F86" s="14">
        <f t="shared" si="7"/>
        <v>45322</v>
      </c>
      <c r="G86" s="15" t="s">
        <v>14</v>
      </c>
      <c r="H86" s="16" t="s">
        <v>16</v>
      </c>
      <c r="I86" s="15" t="s">
        <v>15</v>
      </c>
      <c r="J86" s="15" t="s">
        <v>11</v>
      </c>
      <c r="K86" s="15" t="s">
        <v>10</v>
      </c>
      <c r="L86" s="27">
        <v>1.2</v>
      </c>
      <c r="M86" s="28">
        <v>8.5299999999999994</v>
      </c>
    </row>
    <row r="87" spans="1:13" x14ac:dyDescent="0.3">
      <c r="A87" s="17">
        <f t="shared" si="8"/>
        <v>86</v>
      </c>
      <c r="B87" s="18" t="s">
        <v>13</v>
      </c>
      <c r="C87" s="19">
        <v>45565</v>
      </c>
      <c r="D87" s="17">
        <v>-2</v>
      </c>
      <c r="E87" s="19">
        <f t="shared" si="6"/>
        <v>45504</v>
      </c>
      <c r="F87" s="19">
        <f t="shared" si="7"/>
        <v>45322</v>
      </c>
      <c r="G87" s="17" t="s">
        <v>14</v>
      </c>
      <c r="H87" s="20" t="s">
        <v>17</v>
      </c>
      <c r="I87" s="17" t="s">
        <v>15</v>
      </c>
      <c r="J87" s="17" t="s">
        <v>11</v>
      </c>
      <c r="K87" s="17" t="s">
        <v>10</v>
      </c>
      <c r="L87" s="29">
        <v>1.35</v>
      </c>
      <c r="M87" s="30">
        <v>10.23</v>
      </c>
    </row>
    <row r="88" spans="1:13" x14ac:dyDescent="0.3">
      <c r="A88" s="17">
        <f t="shared" si="8"/>
        <v>87</v>
      </c>
      <c r="B88" s="18" t="s">
        <v>13</v>
      </c>
      <c r="C88" s="19">
        <v>45565</v>
      </c>
      <c r="D88" s="17">
        <v>-2</v>
      </c>
      <c r="E88" s="19">
        <f t="shared" si="6"/>
        <v>45504</v>
      </c>
      <c r="F88" s="19">
        <f t="shared" si="7"/>
        <v>45322</v>
      </c>
      <c r="G88" s="17" t="s">
        <v>14</v>
      </c>
      <c r="H88" s="20" t="s">
        <v>18</v>
      </c>
      <c r="I88" s="17" t="s">
        <v>15</v>
      </c>
      <c r="J88" s="17" t="s">
        <v>11</v>
      </c>
      <c r="K88" s="17" t="s">
        <v>10</v>
      </c>
      <c r="L88" s="29">
        <v>1.2</v>
      </c>
      <c r="M88" s="30">
        <v>1.86</v>
      </c>
    </row>
    <row r="89" spans="1:13" x14ac:dyDescent="0.3">
      <c r="A89" s="17">
        <f t="shared" si="8"/>
        <v>88</v>
      </c>
      <c r="B89" s="18" t="s">
        <v>13</v>
      </c>
      <c r="C89" s="19">
        <v>45565</v>
      </c>
      <c r="D89" s="17">
        <v>-2</v>
      </c>
      <c r="E89" s="19">
        <f t="shared" si="6"/>
        <v>45504</v>
      </c>
      <c r="F89" s="19">
        <f t="shared" si="7"/>
        <v>45322</v>
      </c>
      <c r="G89" s="17" t="s">
        <v>14</v>
      </c>
      <c r="H89" s="20" t="s">
        <v>19</v>
      </c>
      <c r="I89" s="17" t="s">
        <v>15</v>
      </c>
      <c r="J89" s="17" t="s">
        <v>11</v>
      </c>
      <c r="K89" s="17" t="s">
        <v>10</v>
      </c>
      <c r="L89" s="29">
        <v>1.1000000000000001</v>
      </c>
      <c r="M89" s="30">
        <v>2.9041000000000001</v>
      </c>
    </row>
    <row r="90" spans="1:13" x14ac:dyDescent="0.3">
      <c r="A90" s="17">
        <f t="shared" si="8"/>
        <v>89</v>
      </c>
      <c r="B90" s="18" t="s">
        <v>13</v>
      </c>
      <c r="C90" s="19">
        <v>45565</v>
      </c>
      <c r="D90" s="17">
        <v>-2</v>
      </c>
      <c r="E90" s="19">
        <f t="shared" si="6"/>
        <v>45504</v>
      </c>
      <c r="F90" s="19">
        <f t="shared" si="7"/>
        <v>45322</v>
      </c>
      <c r="G90" s="17" t="s">
        <v>14</v>
      </c>
      <c r="H90" s="20" t="s">
        <v>20</v>
      </c>
      <c r="I90" s="17" t="s">
        <v>15</v>
      </c>
      <c r="J90" s="17" t="s">
        <v>11</v>
      </c>
      <c r="K90" s="17" t="s">
        <v>10</v>
      </c>
      <c r="L90" s="29">
        <v>1.5</v>
      </c>
      <c r="M90" s="30">
        <v>3.5230000000000001</v>
      </c>
    </row>
    <row r="91" spans="1:13" x14ac:dyDescent="0.3">
      <c r="A91" s="17">
        <f t="shared" si="8"/>
        <v>90</v>
      </c>
      <c r="B91" s="18" t="s">
        <v>13</v>
      </c>
      <c r="C91" s="19">
        <v>45565</v>
      </c>
      <c r="D91" s="17">
        <v>-2</v>
      </c>
      <c r="E91" s="19">
        <f t="shared" si="6"/>
        <v>45504</v>
      </c>
      <c r="F91" s="19">
        <f t="shared" si="7"/>
        <v>45322</v>
      </c>
      <c r="G91" s="17" t="s">
        <v>14</v>
      </c>
      <c r="H91" s="20" t="s">
        <v>21</v>
      </c>
      <c r="I91" s="17" t="s">
        <v>15</v>
      </c>
      <c r="J91" s="17" t="s">
        <v>11</v>
      </c>
      <c r="K91" s="17" t="s">
        <v>10</v>
      </c>
      <c r="L91" s="29">
        <v>1.6</v>
      </c>
      <c r="M91" s="30">
        <v>1.24</v>
      </c>
    </row>
    <row r="92" spans="1:13" x14ac:dyDescent="0.3">
      <c r="A92" s="17">
        <f t="shared" si="8"/>
        <v>91</v>
      </c>
      <c r="B92" s="18" t="s">
        <v>13</v>
      </c>
      <c r="C92" s="19">
        <v>45565</v>
      </c>
      <c r="D92" s="17">
        <v>-2</v>
      </c>
      <c r="E92" s="19">
        <f t="shared" si="6"/>
        <v>45504</v>
      </c>
      <c r="F92" s="19">
        <f t="shared" si="7"/>
        <v>45322</v>
      </c>
      <c r="G92" s="17" t="s">
        <v>14</v>
      </c>
      <c r="H92" s="20" t="s">
        <v>22</v>
      </c>
      <c r="I92" s="17" t="s">
        <v>15</v>
      </c>
      <c r="J92" s="17" t="s">
        <v>11</v>
      </c>
      <c r="K92" s="17" t="s">
        <v>10</v>
      </c>
      <c r="L92" s="29">
        <v>5.3</v>
      </c>
      <c r="M92" s="30">
        <v>5.31</v>
      </c>
    </row>
    <row r="93" spans="1:13" x14ac:dyDescent="0.3">
      <c r="A93" s="17">
        <f t="shared" si="8"/>
        <v>92</v>
      </c>
      <c r="B93" s="18" t="s">
        <v>13</v>
      </c>
      <c r="C93" s="19">
        <v>45565</v>
      </c>
      <c r="D93" s="17">
        <v>-2</v>
      </c>
      <c r="E93" s="19">
        <f t="shared" si="6"/>
        <v>45504</v>
      </c>
      <c r="F93" s="19">
        <f t="shared" si="7"/>
        <v>45322</v>
      </c>
      <c r="G93" s="17" t="s">
        <v>14</v>
      </c>
      <c r="H93" s="20" t="s">
        <v>23</v>
      </c>
      <c r="I93" s="17" t="s">
        <v>15</v>
      </c>
      <c r="J93" s="17" t="s">
        <v>11</v>
      </c>
      <c r="K93" s="17" t="s">
        <v>10</v>
      </c>
      <c r="L93" s="29">
        <v>2.35</v>
      </c>
      <c r="M93" s="30">
        <v>2.35</v>
      </c>
    </row>
    <row r="94" spans="1:13" x14ac:dyDescent="0.3">
      <c r="A94" s="17">
        <f t="shared" si="8"/>
        <v>93</v>
      </c>
      <c r="B94" s="18" t="s">
        <v>13</v>
      </c>
      <c r="C94" s="19">
        <v>45565</v>
      </c>
      <c r="D94" s="17">
        <v>-2</v>
      </c>
      <c r="E94" s="19">
        <f t="shared" si="6"/>
        <v>45504</v>
      </c>
      <c r="F94" s="19">
        <f t="shared" si="7"/>
        <v>45322</v>
      </c>
      <c r="G94" s="17" t="s">
        <v>14</v>
      </c>
      <c r="H94" s="20" t="s">
        <v>24</v>
      </c>
      <c r="I94" s="17" t="s">
        <v>15</v>
      </c>
      <c r="J94" s="17" t="s">
        <v>11</v>
      </c>
      <c r="K94" s="17" t="s">
        <v>10</v>
      </c>
      <c r="L94" s="29">
        <v>1.6</v>
      </c>
      <c r="M94" s="30">
        <v>1.6339999999999999</v>
      </c>
    </row>
    <row r="95" spans="1:13" x14ac:dyDescent="0.3">
      <c r="A95" s="17">
        <f t="shared" si="8"/>
        <v>94</v>
      </c>
      <c r="B95" s="18" t="s">
        <v>13</v>
      </c>
      <c r="C95" s="19">
        <v>45565</v>
      </c>
      <c r="D95" s="17">
        <v>-2</v>
      </c>
      <c r="E95" s="19">
        <f t="shared" si="6"/>
        <v>45504</v>
      </c>
      <c r="F95" s="19">
        <f t="shared" si="7"/>
        <v>45322</v>
      </c>
      <c r="G95" s="17" t="s">
        <v>14</v>
      </c>
      <c r="H95" s="20" t="s">
        <v>25</v>
      </c>
      <c r="I95" s="17" t="s">
        <v>15</v>
      </c>
      <c r="J95" s="17" t="s">
        <v>11</v>
      </c>
      <c r="K95" s="17" t="s">
        <v>10</v>
      </c>
      <c r="L95" s="29">
        <v>3</v>
      </c>
      <c r="M95" s="30">
        <v>0.91239999999999999</v>
      </c>
    </row>
    <row r="96" spans="1:13" x14ac:dyDescent="0.3">
      <c r="A96" s="17">
        <f t="shared" si="8"/>
        <v>95</v>
      </c>
      <c r="B96" s="18" t="s">
        <v>13</v>
      </c>
      <c r="C96" s="19">
        <v>45565</v>
      </c>
      <c r="D96" s="17">
        <v>-2</v>
      </c>
      <c r="E96" s="19">
        <f t="shared" si="6"/>
        <v>45504</v>
      </c>
      <c r="F96" s="19">
        <f t="shared" si="7"/>
        <v>45322</v>
      </c>
      <c r="G96" s="17" t="s">
        <v>14</v>
      </c>
      <c r="H96" s="20" t="s">
        <v>30</v>
      </c>
      <c r="I96" s="17" t="s">
        <v>27</v>
      </c>
      <c r="J96" s="17" t="s">
        <v>29</v>
      </c>
      <c r="K96" s="17" t="s">
        <v>28</v>
      </c>
      <c r="L96" s="29">
        <v>2</v>
      </c>
      <c r="M96" s="30">
        <v>12.31</v>
      </c>
    </row>
    <row r="97" spans="1:13" x14ac:dyDescent="0.3">
      <c r="A97" s="17">
        <f t="shared" si="8"/>
        <v>96</v>
      </c>
      <c r="B97" s="18" t="s">
        <v>13</v>
      </c>
      <c r="C97" s="19">
        <v>45565</v>
      </c>
      <c r="D97" s="17">
        <v>-2</v>
      </c>
      <c r="E97" s="19">
        <f t="shared" si="6"/>
        <v>45504</v>
      </c>
      <c r="F97" s="19">
        <f t="shared" si="7"/>
        <v>45322</v>
      </c>
      <c r="G97" s="17" t="s">
        <v>14</v>
      </c>
      <c r="H97" s="20" t="s">
        <v>31</v>
      </c>
      <c r="I97" s="17" t="s">
        <v>27</v>
      </c>
      <c r="J97" s="17" t="s">
        <v>29</v>
      </c>
      <c r="K97" s="17" t="s">
        <v>28</v>
      </c>
      <c r="L97" s="29">
        <v>1</v>
      </c>
      <c r="M97" s="30">
        <v>3.52</v>
      </c>
    </row>
    <row r="98" spans="1:13" x14ac:dyDescent="0.3">
      <c r="A98" s="17">
        <f t="shared" si="8"/>
        <v>97</v>
      </c>
      <c r="B98" s="18" t="s">
        <v>13</v>
      </c>
      <c r="C98" s="19">
        <v>45565</v>
      </c>
      <c r="D98" s="17">
        <v>-2</v>
      </c>
      <c r="E98" s="19">
        <f t="shared" ref="E98:E129" si="9">EOMONTH(C98,D98)</f>
        <v>45504</v>
      </c>
      <c r="F98" s="19">
        <f t="shared" ref="F98:F129" si="10">EOMONTH(E98,-6)</f>
        <v>45322</v>
      </c>
      <c r="G98" s="17" t="s">
        <v>14</v>
      </c>
      <c r="H98" s="20" t="s">
        <v>32</v>
      </c>
      <c r="I98" s="17" t="s">
        <v>27</v>
      </c>
      <c r="J98" s="17" t="s">
        <v>29</v>
      </c>
      <c r="K98" s="17" t="s">
        <v>28</v>
      </c>
      <c r="L98" s="29">
        <v>5</v>
      </c>
      <c r="M98" s="31">
        <v>4.6500000000000004</v>
      </c>
    </row>
    <row r="99" spans="1:13" x14ac:dyDescent="0.3">
      <c r="A99" s="17">
        <f t="shared" ref="A99:A130" si="11">ROW()-1</f>
        <v>98</v>
      </c>
      <c r="B99" s="18" t="s">
        <v>13</v>
      </c>
      <c r="C99" s="19">
        <v>45565</v>
      </c>
      <c r="D99" s="17">
        <v>-2</v>
      </c>
      <c r="E99" s="19">
        <f t="shared" si="9"/>
        <v>45504</v>
      </c>
      <c r="F99" s="19">
        <f t="shared" si="10"/>
        <v>45322</v>
      </c>
      <c r="G99" s="17" t="s">
        <v>14</v>
      </c>
      <c r="H99" s="20" t="s">
        <v>33</v>
      </c>
      <c r="I99" s="17" t="s">
        <v>27</v>
      </c>
      <c r="J99" s="17" t="s">
        <v>29</v>
      </c>
      <c r="K99" s="17" t="s">
        <v>28</v>
      </c>
      <c r="L99" s="29">
        <v>6</v>
      </c>
      <c r="M99" s="30">
        <v>12.3</v>
      </c>
    </row>
    <row r="100" spans="1:13" x14ac:dyDescent="0.3">
      <c r="A100" s="17">
        <f t="shared" si="11"/>
        <v>99</v>
      </c>
      <c r="B100" s="18" t="s">
        <v>13</v>
      </c>
      <c r="C100" s="19">
        <v>45565</v>
      </c>
      <c r="D100" s="17">
        <v>-2</v>
      </c>
      <c r="E100" s="19">
        <f t="shared" si="9"/>
        <v>45504</v>
      </c>
      <c r="F100" s="19">
        <f t="shared" si="10"/>
        <v>45322</v>
      </c>
      <c r="G100" s="17" t="s">
        <v>14</v>
      </c>
      <c r="H100" s="20" t="s">
        <v>34</v>
      </c>
      <c r="I100" s="17" t="s">
        <v>27</v>
      </c>
      <c r="J100" s="17" t="s">
        <v>29</v>
      </c>
      <c r="K100" s="17" t="s">
        <v>28</v>
      </c>
      <c r="L100" s="29">
        <v>7</v>
      </c>
      <c r="M100" s="30">
        <v>2.2999999999999998</v>
      </c>
    </row>
    <row r="101" spans="1:13" x14ac:dyDescent="0.3">
      <c r="A101" s="17">
        <f t="shared" si="11"/>
        <v>100</v>
      </c>
      <c r="B101" s="18" t="s">
        <v>13</v>
      </c>
      <c r="C101" s="19">
        <v>45565</v>
      </c>
      <c r="D101" s="17">
        <v>-2</v>
      </c>
      <c r="E101" s="19">
        <f t="shared" si="9"/>
        <v>45504</v>
      </c>
      <c r="F101" s="19">
        <f t="shared" si="10"/>
        <v>45322</v>
      </c>
      <c r="G101" s="17" t="s">
        <v>14</v>
      </c>
      <c r="H101" s="20" t="s">
        <v>35</v>
      </c>
      <c r="I101" s="17" t="s">
        <v>27</v>
      </c>
      <c r="J101" s="17" t="s">
        <v>29</v>
      </c>
      <c r="K101" s="17" t="s">
        <v>28</v>
      </c>
      <c r="L101" s="29">
        <v>7</v>
      </c>
      <c r="M101" s="30">
        <v>1.56</v>
      </c>
    </row>
    <row r="102" spans="1:13" x14ac:dyDescent="0.3">
      <c r="A102" s="17">
        <f t="shared" si="11"/>
        <v>101</v>
      </c>
      <c r="B102" s="18" t="s">
        <v>13</v>
      </c>
      <c r="C102" s="19">
        <v>45565</v>
      </c>
      <c r="D102" s="17">
        <v>-2</v>
      </c>
      <c r="E102" s="19">
        <f t="shared" si="9"/>
        <v>45504</v>
      </c>
      <c r="F102" s="19">
        <f t="shared" si="10"/>
        <v>45322</v>
      </c>
      <c r="G102" s="17" t="s">
        <v>14</v>
      </c>
      <c r="H102" s="20" t="s">
        <v>36</v>
      </c>
      <c r="I102" s="17" t="s">
        <v>27</v>
      </c>
      <c r="J102" s="17" t="s">
        <v>29</v>
      </c>
      <c r="K102" s="17" t="s">
        <v>28</v>
      </c>
      <c r="L102" s="29">
        <v>1</v>
      </c>
      <c r="M102" s="30">
        <v>8</v>
      </c>
    </row>
    <row r="103" spans="1:13" x14ac:dyDescent="0.3">
      <c r="A103" s="17">
        <f t="shared" si="11"/>
        <v>102</v>
      </c>
      <c r="B103" s="18" t="s">
        <v>13</v>
      </c>
      <c r="C103" s="19">
        <v>45565</v>
      </c>
      <c r="D103" s="17">
        <v>-2</v>
      </c>
      <c r="E103" s="19">
        <f t="shared" si="9"/>
        <v>45504</v>
      </c>
      <c r="F103" s="19">
        <f t="shared" si="10"/>
        <v>45322</v>
      </c>
      <c r="G103" s="17" t="s">
        <v>14</v>
      </c>
      <c r="H103" s="20" t="s">
        <v>37</v>
      </c>
      <c r="I103" s="17" t="s">
        <v>27</v>
      </c>
      <c r="J103" s="17" t="s">
        <v>29</v>
      </c>
      <c r="K103" s="17" t="s">
        <v>28</v>
      </c>
      <c r="L103" s="29">
        <v>2</v>
      </c>
      <c r="M103" s="30">
        <v>6.78</v>
      </c>
    </row>
    <row r="104" spans="1:13" x14ac:dyDescent="0.3">
      <c r="A104" s="17">
        <f t="shared" si="11"/>
        <v>103</v>
      </c>
      <c r="B104" s="18" t="s">
        <v>13</v>
      </c>
      <c r="C104" s="19">
        <v>45565</v>
      </c>
      <c r="D104" s="17">
        <v>-2</v>
      </c>
      <c r="E104" s="19">
        <f t="shared" si="9"/>
        <v>45504</v>
      </c>
      <c r="F104" s="19">
        <f t="shared" si="10"/>
        <v>45322</v>
      </c>
      <c r="G104" s="17" t="s">
        <v>14</v>
      </c>
      <c r="H104" s="20" t="s">
        <v>38</v>
      </c>
      <c r="I104" s="17" t="s">
        <v>27</v>
      </c>
      <c r="J104" s="17" t="s">
        <v>29</v>
      </c>
      <c r="K104" s="17" t="s">
        <v>28</v>
      </c>
      <c r="L104" s="29">
        <v>3</v>
      </c>
      <c r="M104" s="30">
        <v>4.68</v>
      </c>
    </row>
    <row r="105" spans="1:13" x14ac:dyDescent="0.3">
      <c r="A105" s="17">
        <f t="shared" si="11"/>
        <v>104</v>
      </c>
      <c r="B105" s="18" t="s">
        <v>13</v>
      </c>
      <c r="C105" s="19">
        <v>45565</v>
      </c>
      <c r="D105" s="17">
        <v>-2</v>
      </c>
      <c r="E105" s="19">
        <f t="shared" si="9"/>
        <v>45504</v>
      </c>
      <c r="F105" s="19">
        <f t="shared" si="10"/>
        <v>45322</v>
      </c>
      <c r="G105" s="17" t="s">
        <v>14</v>
      </c>
      <c r="H105" s="20" t="s">
        <v>39</v>
      </c>
      <c r="I105" s="17" t="s">
        <v>27</v>
      </c>
      <c r="J105" s="17" t="s">
        <v>29</v>
      </c>
      <c r="K105" s="17" t="s">
        <v>28</v>
      </c>
      <c r="L105" s="29">
        <v>4</v>
      </c>
      <c r="M105" s="30">
        <v>5.78</v>
      </c>
    </row>
    <row r="106" spans="1:13" ht="17.25" thickBot="1" x14ac:dyDescent="0.35">
      <c r="A106" s="17">
        <f t="shared" si="11"/>
        <v>105</v>
      </c>
      <c r="B106" s="21" t="s">
        <v>13</v>
      </c>
      <c r="C106" s="22">
        <v>45565</v>
      </c>
      <c r="D106" s="23">
        <v>-2</v>
      </c>
      <c r="E106" s="22">
        <f t="shared" si="9"/>
        <v>45504</v>
      </c>
      <c r="F106" s="22">
        <f t="shared" si="10"/>
        <v>45322</v>
      </c>
      <c r="G106" s="23" t="s">
        <v>14</v>
      </c>
      <c r="H106" s="24" t="s">
        <v>40</v>
      </c>
      <c r="I106" s="23" t="s">
        <v>27</v>
      </c>
      <c r="J106" s="23" t="s">
        <v>29</v>
      </c>
      <c r="K106" s="23" t="s">
        <v>28</v>
      </c>
      <c r="L106" s="32">
        <v>0.56000000000000005</v>
      </c>
      <c r="M106" s="33">
        <v>4.67</v>
      </c>
    </row>
    <row r="107" spans="1:13" x14ac:dyDescent="0.3">
      <c r="A107" s="17">
        <f t="shared" si="11"/>
        <v>106</v>
      </c>
      <c r="B107" s="13" t="s">
        <v>42</v>
      </c>
      <c r="C107" s="14">
        <v>45565</v>
      </c>
      <c r="D107" s="15">
        <v>-2</v>
      </c>
      <c r="E107" s="14">
        <f t="shared" si="9"/>
        <v>45504</v>
      </c>
      <c r="F107" s="14">
        <f t="shared" si="10"/>
        <v>45322</v>
      </c>
      <c r="G107" s="15" t="s">
        <v>26</v>
      </c>
      <c r="H107" s="16" t="s">
        <v>16</v>
      </c>
      <c r="I107" s="15" t="s">
        <v>15</v>
      </c>
      <c r="J107" s="15" t="s">
        <v>11</v>
      </c>
      <c r="K107" s="15" t="s">
        <v>10</v>
      </c>
      <c r="L107" s="27">
        <v>1.2</v>
      </c>
      <c r="M107" s="28">
        <v>8.5299999999999994</v>
      </c>
    </row>
    <row r="108" spans="1:13" x14ac:dyDescent="0.3">
      <c r="A108" s="17">
        <f t="shared" si="11"/>
        <v>107</v>
      </c>
      <c r="B108" s="18" t="s">
        <v>42</v>
      </c>
      <c r="C108" s="19">
        <v>45565</v>
      </c>
      <c r="D108" s="17">
        <v>-2</v>
      </c>
      <c r="E108" s="19">
        <f t="shared" si="9"/>
        <v>45504</v>
      </c>
      <c r="F108" s="19">
        <f t="shared" si="10"/>
        <v>45322</v>
      </c>
      <c r="G108" s="17" t="s">
        <v>26</v>
      </c>
      <c r="H108" s="20" t="s">
        <v>17</v>
      </c>
      <c r="I108" s="17" t="s">
        <v>15</v>
      </c>
      <c r="J108" s="17" t="s">
        <v>11</v>
      </c>
      <c r="K108" s="17" t="s">
        <v>10</v>
      </c>
      <c r="L108" s="29">
        <v>1.35</v>
      </c>
      <c r="M108" s="30">
        <v>10.23</v>
      </c>
    </row>
    <row r="109" spans="1:13" x14ac:dyDescent="0.3">
      <c r="A109" s="17">
        <f t="shared" si="11"/>
        <v>108</v>
      </c>
      <c r="B109" s="18" t="s">
        <v>42</v>
      </c>
      <c r="C109" s="19">
        <v>45565</v>
      </c>
      <c r="D109" s="17">
        <v>-2</v>
      </c>
      <c r="E109" s="19">
        <f t="shared" si="9"/>
        <v>45504</v>
      </c>
      <c r="F109" s="19">
        <f t="shared" si="10"/>
        <v>45322</v>
      </c>
      <c r="G109" s="17" t="s">
        <v>26</v>
      </c>
      <c r="H109" s="20" t="s">
        <v>18</v>
      </c>
      <c r="I109" s="17" t="s">
        <v>15</v>
      </c>
      <c r="J109" s="17" t="s">
        <v>11</v>
      </c>
      <c r="K109" s="17" t="s">
        <v>10</v>
      </c>
      <c r="L109" s="29">
        <v>1.2</v>
      </c>
      <c r="M109" s="30">
        <v>1.86</v>
      </c>
    </row>
    <row r="110" spans="1:13" x14ac:dyDescent="0.3">
      <c r="A110" s="17">
        <f t="shared" si="11"/>
        <v>109</v>
      </c>
      <c r="B110" s="18" t="s">
        <v>42</v>
      </c>
      <c r="C110" s="19">
        <v>45565</v>
      </c>
      <c r="D110" s="17">
        <v>-2</v>
      </c>
      <c r="E110" s="19">
        <f t="shared" si="9"/>
        <v>45504</v>
      </c>
      <c r="F110" s="19">
        <f t="shared" si="10"/>
        <v>45322</v>
      </c>
      <c r="G110" s="17" t="s">
        <v>26</v>
      </c>
      <c r="H110" s="20" t="s">
        <v>19</v>
      </c>
      <c r="I110" s="17" t="s">
        <v>15</v>
      </c>
      <c r="J110" s="17" t="s">
        <v>11</v>
      </c>
      <c r="K110" s="17" t="s">
        <v>10</v>
      </c>
      <c r="L110" s="29">
        <v>1.1000000000000001</v>
      </c>
      <c r="M110" s="30">
        <v>2.9041000000000001</v>
      </c>
    </row>
    <row r="111" spans="1:13" x14ac:dyDescent="0.3">
      <c r="A111" s="17">
        <f t="shared" si="11"/>
        <v>110</v>
      </c>
      <c r="B111" s="18" t="s">
        <v>42</v>
      </c>
      <c r="C111" s="19">
        <v>45565</v>
      </c>
      <c r="D111" s="17">
        <v>-2</v>
      </c>
      <c r="E111" s="19">
        <f t="shared" si="9"/>
        <v>45504</v>
      </c>
      <c r="F111" s="19">
        <f t="shared" si="10"/>
        <v>45322</v>
      </c>
      <c r="G111" s="17" t="s">
        <v>26</v>
      </c>
      <c r="H111" s="20" t="s">
        <v>20</v>
      </c>
      <c r="I111" s="17" t="s">
        <v>15</v>
      </c>
      <c r="J111" s="17" t="s">
        <v>11</v>
      </c>
      <c r="K111" s="17" t="s">
        <v>10</v>
      </c>
      <c r="L111" s="29">
        <v>1.5</v>
      </c>
      <c r="M111" s="30">
        <v>3.5230000000000001</v>
      </c>
    </row>
    <row r="112" spans="1:13" x14ac:dyDescent="0.3">
      <c r="A112" s="17">
        <f t="shared" si="11"/>
        <v>111</v>
      </c>
      <c r="B112" s="18" t="s">
        <v>42</v>
      </c>
      <c r="C112" s="19">
        <v>45565</v>
      </c>
      <c r="D112" s="17">
        <v>-2</v>
      </c>
      <c r="E112" s="19">
        <f t="shared" si="9"/>
        <v>45504</v>
      </c>
      <c r="F112" s="19">
        <f t="shared" si="10"/>
        <v>45322</v>
      </c>
      <c r="G112" s="17" t="s">
        <v>26</v>
      </c>
      <c r="H112" s="20" t="s">
        <v>21</v>
      </c>
      <c r="I112" s="17" t="s">
        <v>15</v>
      </c>
      <c r="J112" s="17" t="s">
        <v>11</v>
      </c>
      <c r="K112" s="17" t="s">
        <v>10</v>
      </c>
      <c r="L112" s="29">
        <v>1.6</v>
      </c>
      <c r="M112" s="30">
        <v>1.24</v>
      </c>
    </row>
    <row r="113" spans="1:13" x14ac:dyDescent="0.3">
      <c r="A113" s="17">
        <f t="shared" si="11"/>
        <v>112</v>
      </c>
      <c r="B113" s="18" t="s">
        <v>42</v>
      </c>
      <c r="C113" s="19">
        <v>45565</v>
      </c>
      <c r="D113" s="17">
        <v>-2</v>
      </c>
      <c r="E113" s="19">
        <f t="shared" si="9"/>
        <v>45504</v>
      </c>
      <c r="F113" s="19">
        <f t="shared" si="10"/>
        <v>45322</v>
      </c>
      <c r="G113" s="17" t="s">
        <v>26</v>
      </c>
      <c r="H113" s="20" t="s">
        <v>22</v>
      </c>
      <c r="I113" s="17" t="s">
        <v>15</v>
      </c>
      <c r="J113" s="17" t="s">
        <v>11</v>
      </c>
      <c r="K113" s="17" t="s">
        <v>10</v>
      </c>
      <c r="L113" s="29">
        <v>5.3</v>
      </c>
      <c r="M113" s="30">
        <v>5.31</v>
      </c>
    </row>
    <row r="114" spans="1:13" x14ac:dyDescent="0.3">
      <c r="A114" s="17">
        <f t="shared" si="11"/>
        <v>113</v>
      </c>
      <c r="B114" s="18" t="s">
        <v>42</v>
      </c>
      <c r="C114" s="19">
        <v>45565</v>
      </c>
      <c r="D114" s="17">
        <v>-2</v>
      </c>
      <c r="E114" s="19">
        <f t="shared" si="9"/>
        <v>45504</v>
      </c>
      <c r="F114" s="19">
        <f t="shared" si="10"/>
        <v>45322</v>
      </c>
      <c r="G114" s="17" t="s">
        <v>26</v>
      </c>
      <c r="H114" s="20" t="s">
        <v>23</v>
      </c>
      <c r="I114" s="17" t="s">
        <v>15</v>
      </c>
      <c r="J114" s="17" t="s">
        <v>11</v>
      </c>
      <c r="K114" s="17" t="s">
        <v>10</v>
      </c>
      <c r="L114" s="29">
        <v>2.35</v>
      </c>
      <c r="M114" s="30">
        <v>2.35</v>
      </c>
    </row>
    <row r="115" spans="1:13" x14ac:dyDescent="0.3">
      <c r="A115" s="17">
        <f t="shared" si="11"/>
        <v>114</v>
      </c>
      <c r="B115" s="18" t="s">
        <v>42</v>
      </c>
      <c r="C115" s="19">
        <v>45565</v>
      </c>
      <c r="D115" s="17">
        <v>-2</v>
      </c>
      <c r="E115" s="19">
        <f t="shared" si="9"/>
        <v>45504</v>
      </c>
      <c r="F115" s="19">
        <f t="shared" si="10"/>
        <v>45322</v>
      </c>
      <c r="G115" s="17" t="s">
        <v>26</v>
      </c>
      <c r="H115" s="20" t="s">
        <v>24</v>
      </c>
      <c r="I115" s="17" t="s">
        <v>15</v>
      </c>
      <c r="J115" s="17" t="s">
        <v>11</v>
      </c>
      <c r="K115" s="17" t="s">
        <v>10</v>
      </c>
      <c r="L115" s="29">
        <v>1.6</v>
      </c>
      <c r="M115" s="30">
        <v>1.6339999999999999</v>
      </c>
    </row>
    <row r="116" spans="1:13" x14ac:dyDescent="0.3">
      <c r="A116" s="17">
        <f t="shared" si="11"/>
        <v>115</v>
      </c>
      <c r="B116" s="18" t="s">
        <v>42</v>
      </c>
      <c r="C116" s="19">
        <v>45565</v>
      </c>
      <c r="D116" s="17">
        <v>-2</v>
      </c>
      <c r="E116" s="19">
        <f t="shared" si="9"/>
        <v>45504</v>
      </c>
      <c r="F116" s="19">
        <f t="shared" si="10"/>
        <v>45322</v>
      </c>
      <c r="G116" s="17" t="s">
        <v>26</v>
      </c>
      <c r="H116" s="20" t="s">
        <v>25</v>
      </c>
      <c r="I116" s="17" t="s">
        <v>15</v>
      </c>
      <c r="J116" s="17" t="s">
        <v>11</v>
      </c>
      <c r="K116" s="17" t="s">
        <v>10</v>
      </c>
      <c r="L116" s="29">
        <v>3</v>
      </c>
      <c r="M116" s="30">
        <v>0.91239999999999999</v>
      </c>
    </row>
    <row r="117" spans="1:13" x14ac:dyDescent="0.3">
      <c r="A117" s="17">
        <f t="shared" si="11"/>
        <v>116</v>
      </c>
      <c r="B117" s="18" t="s">
        <v>42</v>
      </c>
      <c r="C117" s="19">
        <v>45565</v>
      </c>
      <c r="D117" s="17">
        <v>-2</v>
      </c>
      <c r="E117" s="19">
        <f t="shared" si="9"/>
        <v>45504</v>
      </c>
      <c r="F117" s="19">
        <f t="shared" si="10"/>
        <v>45322</v>
      </c>
      <c r="G117" s="17" t="s">
        <v>26</v>
      </c>
      <c r="H117" s="20" t="s">
        <v>30</v>
      </c>
      <c r="I117" s="17" t="s">
        <v>27</v>
      </c>
      <c r="J117" s="17" t="s">
        <v>29</v>
      </c>
      <c r="K117" s="17" t="s">
        <v>28</v>
      </c>
      <c r="L117" s="29">
        <v>2</v>
      </c>
      <c r="M117" s="30">
        <v>12.31</v>
      </c>
    </row>
    <row r="118" spans="1:13" x14ac:dyDescent="0.3">
      <c r="A118" s="17">
        <f t="shared" si="11"/>
        <v>117</v>
      </c>
      <c r="B118" s="18" t="s">
        <v>42</v>
      </c>
      <c r="C118" s="19">
        <v>45565</v>
      </c>
      <c r="D118" s="17">
        <v>-2</v>
      </c>
      <c r="E118" s="19">
        <f t="shared" si="9"/>
        <v>45504</v>
      </c>
      <c r="F118" s="19">
        <f t="shared" si="10"/>
        <v>45322</v>
      </c>
      <c r="G118" s="17" t="s">
        <v>26</v>
      </c>
      <c r="H118" s="20" t="s">
        <v>31</v>
      </c>
      <c r="I118" s="17" t="s">
        <v>27</v>
      </c>
      <c r="J118" s="17" t="s">
        <v>29</v>
      </c>
      <c r="K118" s="17" t="s">
        <v>28</v>
      </c>
      <c r="L118" s="29">
        <v>1</v>
      </c>
      <c r="M118" s="30">
        <v>3.52</v>
      </c>
    </row>
    <row r="119" spans="1:13" x14ac:dyDescent="0.3">
      <c r="A119" s="17">
        <f t="shared" si="11"/>
        <v>118</v>
      </c>
      <c r="B119" s="18" t="s">
        <v>42</v>
      </c>
      <c r="C119" s="19">
        <v>45565</v>
      </c>
      <c r="D119" s="17">
        <v>-2</v>
      </c>
      <c r="E119" s="19">
        <f t="shared" si="9"/>
        <v>45504</v>
      </c>
      <c r="F119" s="19">
        <f t="shared" si="10"/>
        <v>45322</v>
      </c>
      <c r="G119" s="17" t="s">
        <v>26</v>
      </c>
      <c r="H119" s="20" t="s">
        <v>32</v>
      </c>
      <c r="I119" s="17" t="s">
        <v>27</v>
      </c>
      <c r="J119" s="17" t="s">
        <v>29</v>
      </c>
      <c r="K119" s="17" t="s">
        <v>28</v>
      </c>
      <c r="L119" s="29">
        <v>5</v>
      </c>
      <c r="M119" s="31">
        <v>4.6500000000000004</v>
      </c>
    </row>
    <row r="120" spans="1:13" x14ac:dyDescent="0.3">
      <c r="A120" s="17">
        <f t="shared" si="11"/>
        <v>119</v>
      </c>
      <c r="B120" s="18" t="s">
        <v>42</v>
      </c>
      <c r="C120" s="19">
        <v>45565</v>
      </c>
      <c r="D120" s="17">
        <v>-2</v>
      </c>
      <c r="E120" s="19">
        <f t="shared" si="9"/>
        <v>45504</v>
      </c>
      <c r="F120" s="19">
        <f t="shared" si="10"/>
        <v>45322</v>
      </c>
      <c r="G120" s="17" t="s">
        <v>26</v>
      </c>
      <c r="H120" s="20" t="s">
        <v>33</v>
      </c>
      <c r="I120" s="17" t="s">
        <v>27</v>
      </c>
      <c r="J120" s="17" t="s">
        <v>29</v>
      </c>
      <c r="K120" s="17" t="s">
        <v>28</v>
      </c>
      <c r="L120" s="29">
        <v>6</v>
      </c>
      <c r="M120" s="30">
        <v>12.3</v>
      </c>
    </row>
    <row r="121" spans="1:13" x14ac:dyDescent="0.3">
      <c r="A121" s="17">
        <f t="shared" si="11"/>
        <v>120</v>
      </c>
      <c r="B121" s="18" t="s">
        <v>42</v>
      </c>
      <c r="C121" s="19">
        <v>45565</v>
      </c>
      <c r="D121" s="17">
        <v>-2</v>
      </c>
      <c r="E121" s="19">
        <f t="shared" si="9"/>
        <v>45504</v>
      </c>
      <c r="F121" s="19">
        <f t="shared" si="10"/>
        <v>45322</v>
      </c>
      <c r="G121" s="17" t="s">
        <v>26</v>
      </c>
      <c r="H121" s="20" t="s">
        <v>34</v>
      </c>
      <c r="I121" s="17" t="s">
        <v>27</v>
      </c>
      <c r="J121" s="17" t="s">
        <v>29</v>
      </c>
      <c r="K121" s="17" t="s">
        <v>28</v>
      </c>
      <c r="L121" s="29">
        <v>7</v>
      </c>
      <c r="M121" s="30">
        <v>2.2999999999999998</v>
      </c>
    </row>
    <row r="122" spans="1:13" x14ac:dyDescent="0.3">
      <c r="A122" s="17">
        <f t="shared" si="11"/>
        <v>121</v>
      </c>
      <c r="B122" s="18" t="s">
        <v>42</v>
      </c>
      <c r="C122" s="19">
        <v>45565</v>
      </c>
      <c r="D122" s="17">
        <v>-2</v>
      </c>
      <c r="E122" s="19">
        <f t="shared" si="9"/>
        <v>45504</v>
      </c>
      <c r="F122" s="19">
        <f t="shared" si="10"/>
        <v>45322</v>
      </c>
      <c r="G122" s="17" t="s">
        <v>26</v>
      </c>
      <c r="H122" s="20" t="s">
        <v>35</v>
      </c>
      <c r="I122" s="17" t="s">
        <v>27</v>
      </c>
      <c r="J122" s="17" t="s">
        <v>29</v>
      </c>
      <c r="K122" s="17" t="s">
        <v>28</v>
      </c>
      <c r="L122" s="29">
        <v>7</v>
      </c>
      <c r="M122" s="30">
        <v>1.56</v>
      </c>
    </row>
    <row r="123" spans="1:13" x14ac:dyDescent="0.3">
      <c r="A123" s="17">
        <f t="shared" si="11"/>
        <v>122</v>
      </c>
      <c r="B123" s="18" t="s">
        <v>42</v>
      </c>
      <c r="C123" s="19">
        <v>45565</v>
      </c>
      <c r="D123" s="17">
        <v>-2</v>
      </c>
      <c r="E123" s="19">
        <f t="shared" si="9"/>
        <v>45504</v>
      </c>
      <c r="F123" s="19">
        <f t="shared" si="10"/>
        <v>45322</v>
      </c>
      <c r="G123" s="17" t="s">
        <v>26</v>
      </c>
      <c r="H123" s="20" t="s">
        <v>36</v>
      </c>
      <c r="I123" s="17" t="s">
        <v>27</v>
      </c>
      <c r="J123" s="17" t="s">
        <v>29</v>
      </c>
      <c r="K123" s="17" t="s">
        <v>28</v>
      </c>
      <c r="L123" s="29">
        <v>1</v>
      </c>
      <c r="M123" s="30">
        <v>8</v>
      </c>
    </row>
    <row r="124" spans="1:13" x14ac:dyDescent="0.3">
      <c r="A124" s="17">
        <f t="shared" si="11"/>
        <v>123</v>
      </c>
      <c r="B124" s="18" t="s">
        <v>42</v>
      </c>
      <c r="C124" s="19">
        <v>45565</v>
      </c>
      <c r="D124" s="17">
        <v>-2</v>
      </c>
      <c r="E124" s="19">
        <f t="shared" si="9"/>
        <v>45504</v>
      </c>
      <c r="F124" s="19">
        <f t="shared" si="10"/>
        <v>45322</v>
      </c>
      <c r="G124" s="17" t="s">
        <v>26</v>
      </c>
      <c r="H124" s="20" t="s">
        <v>37</v>
      </c>
      <c r="I124" s="17" t="s">
        <v>27</v>
      </c>
      <c r="J124" s="17" t="s">
        <v>29</v>
      </c>
      <c r="K124" s="17" t="s">
        <v>28</v>
      </c>
      <c r="L124" s="29">
        <v>2</v>
      </c>
      <c r="M124" s="30">
        <v>6.78</v>
      </c>
    </row>
    <row r="125" spans="1:13" x14ac:dyDescent="0.3">
      <c r="A125" s="17">
        <f t="shared" si="11"/>
        <v>124</v>
      </c>
      <c r="B125" s="18" t="s">
        <v>42</v>
      </c>
      <c r="C125" s="19">
        <v>45565</v>
      </c>
      <c r="D125" s="17">
        <v>-2</v>
      </c>
      <c r="E125" s="19">
        <f t="shared" si="9"/>
        <v>45504</v>
      </c>
      <c r="F125" s="19">
        <f t="shared" si="10"/>
        <v>45322</v>
      </c>
      <c r="G125" s="17" t="s">
        <v>26</v>
      </c>
      <c r="H125" s="20" t="s">
        <v>38</v>
      </c>
      <c r="I125" s="17" t="s">
        <v>27</v>
      </c>
      <c r="J125" s="17" t="s">
        <v>29</v>
      </c>
      <c r="K125" s="17" t="s">
        <v>28</v>
      </c>
      <c r="L125" s="29">
        <v>3</v>
      </c>
      <c r="M125" s="30">
        <v>4.68</v>
      </c>
    </row>
    <row r="126" spans="1:13" x14ac:dyDescent="0.3">
      <c r="A126" s="17">
        <f t="shared" si="11"/>
        <v>125</v>
      </c>
      <c r="B126" s="18" t="s">
        <v>42</v>
      </c>
      <c r="C126" s="19">
        <v>45565</v>
      </c>
      <c r="D126" s="17">
        <v>-2</v>
      </c>
      <c r="E126" s="19">
        <f t="shared" si="9"/>
        <v>45504</v>
      </c>
      <c r="F126" s="19">
        <f t="shared" si="10"/>
        <v>45322</v>
      </c>
      <c r="G126" s="17" t="s">
        <v>26</v>
      </c>
      <c r="H126" s="20" t="s">
        <v>39</v>
      </c>
      <c r="I126" s="17" t="s">
        <v>27</v>
      </c>
      <c r="J126" s="17" t="s">
        <v>29</v>
      </c>
      <c r="K126" s="17" t="s">
        <v>28</v>
      </c>
      <c r="L126" s="29">
        <v>4</v>
      </c>
      <c r="M126" s="30">
        <v>5.78</v>
      </c>
    </row>
    <row r="127" spans="1:13" ht="17.25" thickBot="1" x14ac:dyDescent="0.35">
      <c r="A127" s="17">
        <f t="shared" si="11"/>
        <v>126</v>
      </c>
      <c r="B127" s="21" t="s">
        <v>42</v>
      </c>
      <c r="C127" s="22">
        <v>45565</v>
      </c>
      <c r="D127" s="23">
        <v>-2</v>
      </c>
      <c r="E127" s="22">
        <f t="shared" si="9"/>
        <v>45504</v>
      </c>
      <c r="F127" s="22">
        <f t="shared" si="10"/>
        <v>45322</v>
      </c>
      <c r="G127" s="23" t="s">
        <v>26</v>
      </c>
      <c r="H127" s="24" t="s">
        <v>40</v>
      </c>
      <c r="I127" s="23" t="s">
        <v>27</v>
      </c>
      <c r="J127" s="23" t="s">
        <v>29</v>
      </c>
      <c r="K127" s="23" t="s">
        <v>28</v>
      </c>
      <c r="L127" s="32">
        <v>0.56000000000000005</v>
      </c>
      <c r="M127" s="33">
        <v>4.67</v>
      </c>
    </row>
    <row r="128" spans="1:13" x14ac:dyDescent="0.3">
      <c r="A128" s="17">
        <f t="shared" si="11"/>
        <v>127</v>
      </c>
      <c r="B128" s="13" t="s">
        <v>42</v>
      </c>
      <c r="C128" s="14">
        <v>45565</v>
      </c>
      <c r="D128" s="15">
        <v>-2</v>
      </c>
      <c r="E128" s="14">
        <f t="shared" si="9"/>
        <v>45504</v>
      </c>
      <c r="F128" s="14">
        <f t="shared" si="10"/>
        <v>45322</v>
      </c>
      <c r="G128" s="15" t="s">
        <v>14</v>
      </c>
      <c r="H128" s="16" t="s">
        <v>16</v>
      </c>
      <c r="I128" s="15" t="s">
        <v>15</v>
      </c>
      <c r="J128" s="15" t="s">
        <v>11</v>
      </c>
      <c r="K128" s="15" t="s">
        <v>10</v>
      </c>
      <c r="L128" s="27">
        <v>1.2</v>
      </c>
      <c r="M128" s="28">
        <v>8.5299999999999994</v>
      </c>
    </row>
    <row r="129" spans="1:13" x14ac:dyDescent="0.3">
      <c r="A129" s="17">
        <f t="shared" si="11"/>
        <v>128</v>
      </c>
      <c r="B129" s="18" t="s">
        <v>13</v>
      </c>
      <c r="C129" s="19">
        <v>45565</v>
      </c>
      <c r="D129" s="17">
        <v>-2</v>
      </c>
      <c r="E129" s="19">
        <f t="shared" si="9"/>
        <v>45504</v>
      </c>
      <c r="F129" s="19">
        <f t="shared" si="10"/>
        <v>45322</v>
      </c>
      <c r="G129" s="17" t="s">
        <v>14</v>
      </c>
      <c r="H129" s="20" t="s">
        <v>17</v>
      </c>
      <c r="I129" s="17" t="s">
        <v>15</v>
      </c>
      <c r="J129" s="17" t="s">
        <v>11</v>
      </c>
      <c r="K129" s="17" t="s">
        <v>10</v>
      </c>
      <c r="L129" s="29">
        <v>1.35</v>
      </c>
      <c r="M129" s="30">
        <v>10.23</v>
      </c>
    </row>
    <row r="130" spans="1:13" x14ac:dyDescent="0.3">
      <c r="A130" s="17">
        <f t="shared" si="11"/>
        <v>129</v>
      </c>
      <c r="B130" s="18" t="s">
        <v>13</v>
      </c>
      <c r="C130" s="19">
        <v>45565</v>
      </c>
      <c r="D130" s="17">
        <v>-2</v>
      </c>
      <c r="E130" s="19">
        <f t="shared" ref="E130:E161" si="12">EOMONTH(C130,D130)</f>
        <v>45504</v>
      </c>
      <c r="F130" s="19">
        <f t="shared" ref="F130:F161" si="13">EOMONTH(E130,-6)</f>
        <v>45322</v>
      </c>
      <c r="G130" s="17" t="s">
        <v>14</v>
      </c>
      <c r="H130" s="20" t="s">
        <v>18</v>
      </c>
      <c r="I130" s="17" t="s">
        <v>15</v>
      </c>
      <c r="J130" s="17" t="s">
        <v>11</v>
      </c>
      <c r="K130" s="17" t="s">
        <v>10</v>
      </c>
      <c r="L130" s="29">
        <v>1.2</v>
      </c>
      <c r="M130" s="30">
        <v>1.86</v>
      </c>
    </row>
    <row r="131" spans="1:13" x14ac:dyDescent="0.3">
      <c r="A131" s="17">
        <f t="shared" ref="A131:A165" si="14">ROW()-1</f>
        <v>130</v>
      </c>
      <c r="B131" s="18" t="s">
        <v>13</v>
      </c>
      <c r="C131" s="19">
        <v>45565</v>
      </c>
      <c r="D131" s="17">
        <v>-2</v>
      </c>
      <c r="E131" s="19">
        <f t="shared" si="12"/>
        <v>45504</v>
      </c>
      <c r="F131" s="19">
        <f t="shared" si="13"/>
        <v>45322</v>
      </c>
      <c r="G131" s="17" t="s">
        <v>14</v>
      </c>
      <c r="H131" s="20" t="s">
        <v>19</v>
      </c>
      <c r="I131" s="17" t="s">
        <v>15</v>
      </c>
      <c r="J131" s="17" t="s">
        <v>11</v>
      </c>
      <c r="K131" s="17" t="s">
        <v>10</v>
      </c>
      <c r="L131" s="29">
        <v>1.1000000000000001</v>
      </c>
      <c r="M131" s="30">
        <v>2.9041000000000001</v>
      </c>
    </row>
    <row r="132" spans="1:13" x14ac:dyDescent="0.3">
      <c r="A132" s="17">
        <f t="shared" si="14"/>
        <v>131</v>
      </c>
      <c r="B132" s="18" t="s">
        <v>13</v>
      </c>
      <c r="C132" s="19">
        <v>45565</v>
      </c>
      <c r="D132" s="17">
        <v>-2</v>
      </c>
      <c r="E132" s="19">
        <f t="shared" si="12"/>
        <v>45504</v>
      </c>
      <c r="F132" s="19">
        <f t="shared" si="13"/>
        <v>45322</v>
      </c>
      <c r="G132" s="17" t="s">
        <v>14</v>
      </c>
      <c r="H132" s="20" t="s">
        <v>20</v>
      </c>
      <c r="I132" s="17" t="s">
        <v>15</v>
      </c>
      <c r="J132" s="17" t="s">
        <v>11</v>
      </c>
      <c r="K132" s="17" t="s">
        <v>10</v>
      </c>
      <c r="L132" s="29">
        <v>1.5</v>
      </c>
      <c r="M132" s="30">
        <v>3.5230000000000001</v>
      </c>
    </row>
    <row r="133" spans="1:13" x14ac:dyDescent="0.3">
      <c r="A133" s="17">
        <f t="shared" si="14"/>
        <v>132</v>
      </c>
      <c r="B133" s="18" t="s">
        <v>13</v>
      </c>
      <c r="C133" s="19">
        <v>45565</v>
      </c>
      <c r="D133" s="17">
        <v>-2</v>
      </c>
      <c r="E133" s="19">
        <f t="shared" si="12"/>
        <v>45504</v>
      </c>
      <c r="F133" s="19">
        <f t="shared" si="13"/>
        <v>45322</v>
      </c>
      <c r="G133" s="17" t="s">
        <v>14</v>
      </c>
      <c r="H133" s="20" t="s">
        <v>21</v>
      </c>
      <c r="I133" s="17" t="s">
        <v>15</v>
      </c>
      <c r="J133" s="17" t="s">
        <v>11</v>
      </c>
      <c r="K133" s="17" t="s">
        <v>10</v>
      </c>
      <c r="L133" s="29">
        <v>1.6</v>
      </c>
      <c r="M133" s="30">
        <v>1.24</v>
      </c>
    </row>
    <row r="134" spans="1:13" x14ac:dyDescent="0.3">
      <c r="A134" s="17">
        <f t="shared" si="14"/>
        <v>133</v>
      </c>
      <c r="B134" s="18" t="s">
        <v>13</v>
      </c>
      <c r="C134" s="19">
        <v>45565</v>
      </c>
      <c r="D134" s="17">
        <v>-2</v>
      </c>
      <c r="E134" s="19">
        <f t="shared" si="12"/>
        <v>45504</v>
      </c>
      <c r="F134" s="19">
        <f t="shared" si="13"/>
        <v>45322</v>
      </c>
      <c r="G134" s="17" t="s">
        <v>14</v>
      </c>
      <c r="H134" s="20" t="s">
        <v>22</v>
      </c>
      <c r="I134" s="17" t="s">
        <v>15</v>
      </c>
      <c r="J134" s="17" t="s">
        <v>11</v>
      </c>
      <c r="K134" s="17" t="s">
        <v>10</v>
      </c>
      <c r="L134" s="29">
        <v>5.3</v>
      </c>
      <c r="M134" s="30">
        <v>5.31</v>
      </c>
    </row>
    <row r="135" spans="1:13" x14ac:dyDescent="0.3">
      <c r="A135" s="17">
        <f t="shared" si="14"/>
        <v>134</v>
      </c>
      <c r="B135" s="18" t="s">
        <v>13</v>
      </c>
      <c r="C135" s="19">
        <v>45565</v>
      </c>
      <c r="D135" s="17">
        <v>-2</v>
      </c>
      <c r="E135" s="19">
        <f t="shared" si="12"/>
        <v>45504</v>
      </c>
      <c r="F135" s="19">
        <f t="shared" si="13"/>
        <v>45322</v>
      </c>
      <c r="G135" s="17" t="s">
        <v>14</v>
      </c>
      <c r="H135" s="20" t="s">
        <v>23</v>
      </c>
      <c r="I135" s="17" t="s">
        <v>15</v>
      </c>
      <c r="J135" s="17" t="s">
        <v>11</v>
      </c>
      <c r="K135" s="17" t="s">
        <v>10</v>
      </c>
      <c r="L135" s="29">
        <v>2.35</v>
      </c>
      <c r="M135" s="30">
        <v>2.35</v>
      </c>
    </row>
    <row r="136" spans="1:13" x14ac:dyDescent="0.3">
      <c r="A136" s="17">
        <f t="shared" si="14"/>
        <v>135</v>
      </c>
      <c r="B136" s="18" t="s">
        <v>13</v>
      </c>
      <c r="C136" s="19">
        <v>45565</v>
      </c>
      <c r="D136" s="17">
        <v>-2</v>
      </c>
      <c r="E136" s="19">
        <f t="shared" si="12"/>
        <v>45504</v>
      </c>
      <c r="F136" s="19">
        <f t="shared" si="13"/>
        <v>45322</v>
      </c>
      <c r="G136" s="17" t="s">
        <v>14</v>
      </c>
      <c r="H136" s="20" t="s">
        <v>24</v>
      </c>
      <c r="I136" s="17" t="s">
        <v>15</v>
      </c>
      <c r="J136" s="17" t="s">
        <v>11</v>
      </c>
      <c r="K136" s="17" t="s">
        <v>10</v>
      </c>
      <c r="L136" s="29">
        <v>1.6</v>
      </c>
      <c r="M136" s="30">
        <v>1.6339999999999999</v>
      </c>
    </row>
    <row r="137" spans="1:13" x14ac:dyDescent="0.3">
      <c r="A137" s="17">
        <f t="shared" si="14"/>
        <v>136</v>
      </c>
      <c r="B137" s="18" t="s">
        <v>13</v>
      </c>
      <c r="C137" s="19">
        <v>45565</v>
      </c>
      <c r="D137" s="17">
        <v>-2</v>
      </c>
      <c r="E137" s="19">
        <f t="shared" si="12"/>
        <v>45504</v>
      </c>
      <c r="F137" s="19">
        <f t="shared" si="13"/>
        <v>45322</v>
      </c>
      <c r="G137" s="17" t="s">
        <v>14</v>
      </c>
      <c r="H137" s="20" t="s">
        <v>25</v>
      </c>
      <c r="I137" s="17" t="s">
        <v>15</v>
      </c>
      <c r="J137" s="17" t="s">
        <v>11</v>
      </c>
      <c r="K137" s="17" t="s">
        <v>10</v>
      </c>
      <c r="L137" s="29">
        <v>3</v>
      </c>
      <c r="M137" s="30">
        <v>0.91239999999999999</v>
      </c>
    </row>
    <row r="138" spans="1:13" x14ac:dyDescent="0.3">
      <c r="A138" s="17">
        <f t="shared" si="14"/>
        <v>137</v>
      </c>
      <c r="B138" s="18" t="s">
        <v>13</v>
      </c>
      <c r="C138" s="19">
        <v>45565</v>
      </c>
      <c r="D138" s="17">
        <v>-2</v>
      </c>
      <c r="E138" s="19">
        <f t="shared" si="12"/>
        <v>45504</v>
      </c>
      <c r="F138" s="19">
        <f t="shared" si="13"/>
        <v>45322</v>
      </c>
      <c r="G138" s="17" t="s">
        <v>14</v>
      </c>
      <c r="H138" s="20" t="s">
        <v>30</v>
      </c>
      <c r="I138" s="17" t="s">
        <v>27</v>
      </c>
      <c r="J138" s="17" t="s">
        <v>29</v>
      </c>
      <c r="K138" s="17" t="s">
        <v>28</v>
      </c>
      <c r="L138" s="29">
        <v>2</v>
      </c>
      <c r="M138" s="30">
        <v>12.31</v>
      </c>
    </row>
    <row r="139" spans="1:13" x14ac:dyDescent="0.3">
      <c r="A139" s="17">
        <f t="shared" si="14"/>
        <v>138</v>
      </c>
      <c r="B139" s="18" t="s">
        <v>13</v>
      </c>
      <c r="C139" s="19">
        <v>45565</v>
      </c>
      <c r="D139" s="17">
        <v>-2</v>
      </c>
      <c r="E139" s="19">
        <f t="shared" si="12"/>
        <v>45504</v>
      </c>
      <c r="F139" s="19">
        <f t="shared" si="13"/>
        <v>45322</v>
      </c>
      <c r="G139" s="17" t="s">
        <v>14</v>
      </c>
      <c r="H139" s="20" t="s">
        <v>31</v>
      </c>
      <c r="I139" s="17" t="s">
        <v>27</v>
      </c>
      <c r="J139" s="17" t="s">
        <v>29</v>
      </c>
      <c r="K139" s="17" t="s">
        <v>28</v>
      </c>
      <c r="L139" s="29">
        <v>1</v>
      </c>
      <c r="M139" s="30">
        <v>3.52</v>
      </c>
    </row>
    <row r="140" spans="1:13" x14ac:dyDescent="0.3">
      <c r="A140" s="17">
        <f t="shared" si="14"/>
        <v>139</v>
      </c>
      <c r="B140" s="18" t="s">
        <v>13</v>
      </c>
      <c r="C140" s="19">
        <v>45565</v>
      </c>
      <c r="D140" s="17">
        <v>-2</v>
      </c>
      <c r="E140" s="19">
        <f t="shared" si="12"/>
        <v>45504</v>
      </c>
      <c r="F140" s="19">
        <f t="shared" si="13"/>
        <v>45322</v>
      </c>
      <c r="G140" s="17" t="s">
        <v>14</v>
      </c>
      <c r="H140" s="20" t="s">
        <v>32</v>
      </c>
      <c r="I140" s="17" t="s">
        <v>27</v>
      </c>
      <c r="J140" s="17" t="s">
        <v>29</v>
      </c>
      <c r="K140" s="17" t="s">
        <v>28</v>
      </c>
      <c r="L140" s="29">
        <v>5</v>
      </c>
      <c r="M140" s="31">
        <v>4.6500000000000004</v>
      </c>
    </row>
    <row r="141" spans="1:13" x14ac:dyDescent="0.3">
      <c r="A141" s="17">
        <f t="shared" si="14"/>
        <v>140</v>
      </c>
      <c r="B141" s="18" t="s">
        <v>13</v>
      </c>
      <c r="C141" s="19">
        <v>45565</v>
      </c>
      <c r="D141" s="17">
        <v>-2</v>
      </c>
      <c r="E141" s="19">
        <f t="shared" si="12"/>
        <v>45504</v>
      </c>
      <c r="F141" s="19">
        <f t="shared" si="13"/>
        <v>45322</v>
      </c>
      <c r="G141" s="17" t="s">
        <v>14</v>
      </c>
      <c r="H141" s="20" t="s">
        <v>33</v>
      </c>
      <c r="I141" s="17" t="s">
        <v>27</v>
      </c>
      <c r="J141" s="17" t="s">
        <v>29</v>
      </c>
      <c r="K141" s="17" t="s">
        <v>28</v>
      </c>
      <c r="L141" s="29">
        <v>6</v>
      </c>
      <c r="M141" s="30">
        <v>12.3</v>
      </c>
    </row>
    <row r="142" spans="1:13" x14ac:dyDescent="0.3">
      <c r="A142" s="17">
        <f t="shared" si="14"/>
        <v>141</v>
      </c>
      <c r="B142" s="18" t="s">
        <v>13</v>
      </c>
      <c r="C142" s="19">
        <v>45565</v>
      </c>
      <c r="D142" s="17">
        <v>-2</v>
      </c>
      <c r="E142" s="19">
        <f t="shared" si="12"/>
        <v>45504</v>
      </c>
      <c r="F142" s="19">
        <f t="shared" si="13"/>
        <v>45322</v>
      </c>
      <c r="G142" s="17" t="s">
        <v>14</v>
      </c>
      <c r="H142" s="20" t="s">
        <v>34</v>
      </c>
      <c r="I142" s="17" t="s">
        <v>27</v>
      </c>
      <c r="J142" s="17" t="s">
        <v>29</v>
      </c>
      <c r="K142" s="17" t="s">
        <v>28</v>
      </c>
      <c r="L142" s="29">
        <v>7</v>
      </c>
      <c r="M142" s="30">
        <v>2.2999999999999998</v>
      </c>
    </row>
    <row r="143" spans="1:13" x14ac:dyDescent="0.3">
      <c r="A143" s="17">
        <f t="shared" si="14"/>
        <v>142</v>
      </c>
      <c r="B143" s="18" t="s">
        <v>13</v>
      </c>
      <c r="C143" s="19">
        <v>45565</v>
      </c>
      <c r="D143" s="17">
        <v>-2</v>
      </c>
      <c r="E143" s="19">
        <f t="shared" si="12"/>
        <v>45504</v>
      </c>
      <c r="F143" s="19">
        <f t="shared" si="13"/>
        <v>45322</v>
      </c>
      <c r="G143" s="17" t="s">
        <v>14</v>
      </c>
      <c r="H143" s="20" t="s">
        <v>35</v>
      </c>
      <c r="I143" s="17" t="s">
        <v>27</v>
      </c>
      <c r="J143" s="17" t="s">
        <v>29</v>
      </c>
      <c r="K143" s="17" t="s">
        <v>28</v>
      </c>
      <c r="L143" s="29">
        <v>7</v>
      </c>
      <c r="M143" s="30">
        <v>1.56</v>
      </c>
    </row>
    <row r="144" spans="1:13" x14ac:dyDescent="0.3">
      <c r="A144" s="17">
        <f t="shared" si="14"/>
        <v>143</v>
      </c>
      <c r="B144" s="18" t="s">
        <v>13</v>
      </c>
      <c r="C144" s="19">
        <v>45565</v>
      </c>
      <c r="D144" s="17">
        <v>-2</v>
      </c>
      <c r="E144" s="19">
        <f t="shared" si="12"/>
        <v>45504</v>
      </c>
      <c r="F144" s="19">
        <f t="shared" si="13"/>
        <v>45322</v>
      </c>
      <c r="G144" s="17" t="s">
        <v>14</v>
      </c>
      <c r="H144" s="20" t="s">
        <v>36</v>
      </c>
      <c r="I144" s="17" t="s">
        <v>27</v>
      </c>
      <c r="J144" s="17" t="s">
        <v>29</v>
      </c>
      <c r="K144" s="17" t="s">
        <v>28</v>
      </c>
      <c r="L144" s="29">
        <v>1</v>
      </c>
      <c r="M144" s="30">
        <v>8</v>
      </c>
    </row>
    <row r="145" spans="1:13" x14ac:dyDescent="0.3">
      <c r="A145" s="17">
        <f t="shared" si="14"/>
        <v>144</v>
      </c>
      <c r="B145" s="18" t="s">
        <v>13</v>
      </c>
      <c r="C145" s="19">
        <v>45565</v>
      </c>
      <c r="D145" s="17">
        <v>-2</v>
      </c>
      <c r="E145" s="19">
        <f t="shared" si="12"/>
        <v>45504</v>
      </c>
      <c r="F145" s="19">
        <f t="shared" si="13"/>
        <v>45322</v>
      </c>
      <c r="G145" s="17" t="s">
        <v>14</v>
      </c>
      <c r="H145" s="20" t="s">
        <v>37</v>
      </c>
      <c r="I145" s="17" t="s">
        <v>27</v>
      </c>
      <c r="J145" s="17" t="s">
        <v>29</v>
      </c>
      <c r="K145" s="17" t="s">
        <v>28</v>
      </c>
      <c r="L145" s="29">
        <v>2</v>
      </c>
      <c r="M145" s="30">
        <v>6.78</v>
      </c>
    </row>
    <row r="146" spans="1:13" x14ac:dyDescent="0.3">
      <c r="A146" s="17">
        <f t="shared" si="14"/>
        <v>145</v>
      </c>
      <c r="B146" s="18" t="s">
        <v>13</v>
      </c>
      <c r="C146" s="19">
        <v>45565</v>
      </c>
      <c r="D146" s="17">
        <v>-2</v>
      </c>
      <c r="E146" s="19">
        <f t="shared" si="12"/>
        <v>45504</v>
      </c>
      <c r="F146" s="19">
        <f t="shared" si="13"/>
        <v>45322</v>
      </c>
      <c r="G146" s="17" t="s">
        <v>14</v>
      </c>
      <c r="H146" s="20" t="s">
        <v>38</v>
      </c>
      <c r="I146" s="17" t="s">
        <v>27</v>
      </c>
      <c r="J146" s="17" t="s">
        <v>29</v>
      </c>
      <c r="K146" s="17" t="s">
        <v>28</v>
      </c>
      <c r="L146" s="29">
        <v>3</v>
      </c>
      <c r="M146" s="30">
        <v>4.68</v>
      </c>
    </row>
    <row r="147" spans="1:13" x14ac:dyDescent="0.3">
      <c r="A147" s="17">
        <f t="shared" si="14"/>
        <v>146</v>
      </c>
      <c r="B147" s="18" t="s">
        <v>13</v>
      </c>
      <c r="C147" s="19">
        <v>45565</v>
      </c>
      <c r="D147" s="17">
        <v>-2</v>
      </c>
      <c r="E147" s="19">
        <f t="shared" si="12"/>
        <v>45504</v>
      </c>
      <c r="F147" s="19">
        <f t="shared" si="13"/>
        <v>45322</v>
      </c>
      <c r="G147" s="17" t="s">
        <v>14</v>
      </c>
      <c r="H147" s="20" t="s">
        <v>39</v>
      </c>
      <c r="I147" s="17" t="s">
        <v>27</v>
      </c>
      <c r="J147" s="17" t="s">
        <v>29</v>
      </c>
      <c r="K147" s="17" t="s">
        <v>28</v>
      </c>
      <c r="L147" s="29">
        <v>4</v>
      </c>
      <c r="M147" s="30">
        <v>5.78</v>
      </c>
    </row>
    <row r="148" spans="1:13" ht="17.25" thickBot="1" x14ac:dyDescent="0.35">
      <c r="A148" s="17">
        <f t="shared" si="14"/>
        <v>147</v>
      </c>
      <c r="B148" s="21" t="s">
        <v>13</v>
      </c>
      <c r="C148" s="22">
        <v>45565</v>
      </c>
      <c r="D148" s="23">
        <v>-2</v>
      </c>
      <c r="E148" s="22">
        <f t="shared" si="12"/>
        <v>45504</v>
      </c>
      <c r="F148" s="22">
        <f t="shared" si="13"/>
        <v>45322</v>
      </c>
      <c r="G148" s="23" t="s">
        <v>14</v>
      </c>
      <c r="H148" s="24" t="s">
        <v>40</v>
      </c>
      <c r="I148" s="23" t="s">
        <v>27</v>
      </c>
      <c r="J148" s="23" t="s">
        <v>29</v>
      </c>
      <c r="K148" s="23" t="s">
        <v>28</v>
      </c>
      <c r="L148" s="32">
        <v>0.56000000000000005</v>
      </c>
      <c r="M148" s="33">
        <v>4.67</v>
      </c>
    </row>
    <row r="149" spans="1:13" x14ac:dyDescent="0.3">
      <c r="A149" s="17">
        <f t="shared" si="14"/>
        <v>148</v>
      </c>
      <c r="B149" s="13" t="s">
        <v>42</v>
      </c>
      <c r="C149" s="14">
        <v>45565</v>
      </c>
      <c r="D149" s="15">
        <v>-2</v>
      </c>
      <c r="E149" s="14">
        <f t="shared" si="12"/>
        <v>45504</v>
      </c>
      <c r="F149" s="14">
        <f t="shared" si="13"/>
        <v>45322</v>
      </c>
      <c r="G149" s="15" t="s">
        <v>26</v>
      </c>
      <c r="H149" s="16" t="s">
        <v>16</v>
      </c>
      <c r="I149" s="15" t="s">
        <v>15</v>
      </c>
      <c r="J149" s="15" t="s">
        <v>11</v>
      </c>
      <c r="K149" s="15" t="s">
        <v>10</v>
      </c>
      <c r="L149" s="27">
        <v>1.2</v>
      </c>
      <c r="M149" s="28">
        <v>8.5299999999999994</v>
      </c>
    </row>
    <row r="150" spans="1:13" x14ac:dyDescent="0.3">
      <c r="A150" s="17">
        <f t="shared" si="14"/>
        <v>149</v>
      </c>
      <c r="B150" s="18" t="s">
        <v>42</v>
      </c>
      <c r="C150" s="19">
        <v>45565</v>
      </c>
      <c r="D150" s="17">
        <v>-2</v>
      </c>
      <c r="E150" s="19">
        <f t="shared" si="12"/>
        <v>45504</v>
      </c>
      <c r="F150" s="19">
        <f t="shared" si="13"/>
        <v>45322</v>
      </c>
      <c r="G150" s="17" t="s">
        <v>26</v>
      </c>
      <c r="H150" s="20" t="s">
        <v>17</v>
      </c>
      <c r="I150" s="17" t="s">
        <v>15</v>
      </c>
      <c r="J150" s="17" t="s">
        <v>11</v>
      </c>
      <c r="K150" s="17" t="s">
        <v>10</v>
      </c>
      <c r="L150" s="29">
        <v>1.35</v>
      </c>
      <c r="M150" s="30">
        <v>10.23</v>
      </c>
    </row>
    <row r="151" spans="1:13" x14ac:dyDescent="0.3">
      <c r="A151" s="17">
        <f t="shared" si="14"/>
        <v>150</v>
      </c>
      <c r="B151" s="18" t="s">
        <v>42</v>
      </c>
      <c r="C151" s="19">
        <v>45565</v>
      </c>
      <c r="D151" s="17">
        <v>-2</v>
      </c>
      <c r="E151" s="19">
        <f t="shared" si="12"/>
        <v>45504</v>
      </c>
      <c r="F151" s="19">
        <f t="shared" si="13"/>
        <v>45322</v>
      </c>
      <c r="G151" s="17" t="s">
        <v>26</v>
      </c>
      <c r="H151" s="20" t="s">
        <v>18</v>
      </c>
      <c r="I151" s="17" t="s">
        <v>15</v>
      </c>
      <c r="J151" s="17" t="s">
        <v>11</v>
      </c>
      <c r="K151" s="17" t="s">
        <v>10</v>
      </c>
      <c r="L151" s="29">
        <v>1.2</v>
      </c>
      <c r="M151" s="30">
        <v>1.86</v>
      </c>
    </row>
    <row r="152" spans="1:13" x14ac:dyDescent="0.3">
      <c r="A152" s="17">
        <f t="shared" si="14"/>
        <v>151</v>
      </c>
      <c r="B152" s="18" t="s">
        <v>42</v>
      </c>
      <c r="C152" s="19">
        <v>45565</v>
      </c>
      <c r="D152" s="17">
        <v>-2</v>
      </c>
      <c r="E152" s="19">
        <f t="shared" si="12"/>
        <v>45504</v>
      </c>
      <c r="F152" s="19">
        <f t="shared" si="13"/>
        <v>45322</v>
      </c>
      <c r="G152" s="17" t="s">
        <v>26</v>
      </c>
      <c r="H152" s="20" t="s">
        <v>19</v>
      </c>
      <c r="I152" s="17" t="s">
        <v>15</v>
      </c>
      <c r="J152" s="17" t="s">
        <v>11</v>
      </c>
      <c r="K152" s="17" t="s">
        <v>10</v>
      </c>
      <c r="L152" s="29">
        <v>1.1000000000000001</v>
      </c>
      <c r="M152" s="30">
        <v>2.9041000000000001</v>
      </c>
    </row>
    <row r="153" spans="1:13" x14ac:dyDescent="0.3">
      <c r="A153" s="17">
        <f t="shared" si="14"/>
        <v>152</v>
      </c>
      <c r="B153" s="18" t="s">
        <v>42</v>
      </c>
      <c r="C153" s="19">
        <v>45565</v>
      </c>
      <c r="D153" s="17">
        <v>-2</v>
      </c>
      <c r="E153" s="19">
        <f t="shared" si="12"/>
        <v>45504</v>
      </c>
      <c r="F153" s="19">
        <f t="shared" si="13"/>
        <v>45322</v>
      </c>
      <c r="G153" s="17" t="s">
        <v>26</v>
      </c>
      <c r="H153" s="20" t="s">
        <v>20</v>
      </c>
      <c r="I153" s="17" t="s">
        <v>15</v>
      </c>
      <c r="J153" s="17" t="s">
        <v>11</v>
      </c>
      <c r="K153" s="17" t="s">
        <v>10</v>
      </c>
      <c r="L153" s="29">
        <v>1.5</v>
      </c>
      <c r="M153" s="30">
        <v>3.5230000000000001</v>
      </c>
    </row>
    <row r="154" spans="1:13" x14ac:dyDescent="0.3">
      <c r="A154" s="17">
        <f t="shared" si="14"/>
        <v>153</v>
      </c>
      <c r="B154" s="18" t="s">
        <v>42</v>
      </c>
      <c r="C154" s="19">
        <v>45565</v>
      </c>
      <c r="D154" s="17">
        <v>-2</v>
      </c>
      <c r="E154" s="19">
        <f t="shared" si="12"/>
        <v>45504</v>
      </c>
      <c r="F154" s="19">
        <f t="shared" si="13"/>
        <v>45322</v>
      </c>
      <c r="G154" s="17" t="s">
        <v>26</v>
      </c>
      <c r="H154" s="20" t="s">
        <v>21</v>
      </c>
      <c r="I154" s="17" t="s">
        <v>15</v>
      </c>
      <c r="J154" s="17" t="s">
        <v>11</v>
      </c>
      <c r="K154" s="17" t="s">
        <v>10</v>
      </c>
      <c r="L154" s="29">
        <v>1.6</v>
      </c>
      <c r="M154" s="30">
        <v>1.24</v>
      </c>
    </row>
    <row r="155" spans="1:13" x14ac:dyDescent="0.3">
      <c r="A155" s="17">
        <f t="shared" si="14"/>
        <v>154</v>
      </c>
      <c r="B155" s="18" t="s">
        <v>42</v>
      </c>
      <c r="C155" s="19">
        <v>45565</v>
      </c>
      <c r="D155" s="17">
        <v>-2</v>
      </c>
      <c r="E155" s="19">
        <f t="shared" si="12"/>
        <v>45504</v>
      </c>
      <c r="F155" s="19">
        <f t="shared" si="13"/>
        <v>45322</v>
      </c>
      <c r="G155" s="17" t="s">
        <v>26</v>
      </c>
      <c r="H155" s="20" t="s">
        <v>22</v>
      </c>
      <c r="I155" s="17" t="s">
        <v>15</v>
      </c>
      <c r="J155" s="17" t="s">
        <v>11</v>
      </c>
      <c r="K155" s="17" t="s">
        <v>10</v>
      </c>
      <c r="L155" s="29">
        <v>5.3</v>
      </c>
      <c r="M155" s="30">
        <v>5.31</v>
      </c>
    </row>
    <row r="156" spans="1:13" x14ac:dyDescent="0.3">
      <c r="A156" s="17">
        <f t="shared" si="14"/>
        <v>155</v>
      </c>
      <c r="B156" s="18" t="s">
        <v>42</v>
      </c>
      <c r="C156" s="19">
        <v>45565</v>
      </c>
      <c r="D156" s="17">
        <v>-2</v>
      </c>
      <c r="E156" s="19">
        <f t="shared" si="12"/>
        <v>45504</v>
      </c>
      <c r="F156" s="19">
        <f t="shared" si="13"/>
        <v>45322</v>
      </c>
      <c r="G156" s="17" t="s">
        <v>26</v>
      </c>
      <c r="H156" s="20" t="s">
        <v>23</v>
      </c>
      <c r="I156" s="17" t="s">
        <v>15</v>
      </c>
      <c r="J156" s="17" t="s">
        <v>11</v>
      </c>
      <c r="K156" s="17" t="s">
        <v>10</v>
      </c>
      <c r="L156" s="29">
        <v>2.35</v>
      </c>
      <c r="M156" s="30">
        <v>2.35</v>
      </c>
    </row>
    <row r="157" spans="1:13" x14ac:dyDescent="0.3">
      <c r="A157" s="17">
        <f t="shared" si="14"/>
        <v>156</v>
      </c>
      <c r="B157" s="18" t="s">
        <v>42</v>
      </c>
      <c r="C157" s="19">
        <v>45565</v>
      </c>
      <c r="D157" s="17">
        <v>-2</v>
      </c>
      <c r="E157" s="19">
        <f t="shared" si="12"/>
        <v>45504</v>
      </c>
      <c r="F157" s="19">
        <f t="shared" si="13"/>
        <v>45322</v>
      </c>
      <c r="G157" s="17" t="s">
        <v>26</v>
      </c>
      <c r="H157" s="20" t="s">
        <v>24</v>
      </c>
      <c r="I157" s="17" t="s">
        <v>15</v>
      </c>
      <c r="J157" s="17" t="s">
        <v>11</v>
      </c>
      <c r="K157" s="17" t="s">
        <v>10</v>
      </c>
      <c r="L157" s="29">
        <v>1.6</v>
      </c>
      <c r="M157" s="30">
        <v>1.6339999999999999</v>
      </c>
    </row>
    <row r="158" spans="1:13" x14ac:dyDescent="0.3">
      <c r="A158" s="17">
        <f t="shared" si="14"/>
        <v>157</v>
      </c>
      <c r="B158" s="18" t="s">
        <v>42</v>
      </c>
      <c r="C158" s="19">
        <v>45565</v>
      </c>
      <c r="D158" s="17">
        <v>-2</v>
      </c>
      <c r="E158" s="19">
        <f t="shared" si="12"/>
        <v>45504</v>
      </c>
      <c r="F158" s="19">
        <f t="shared" si="13"/>
        <v>45322</v>
      </c>
      <c r="G158" s="17" t="s">
        <v>26</v>
      </c>
      <c r="H158" s="20" t="s">
        <v>25</v>
      </c>
      <c r="I158" s="17" t="s">
        <v>15</v>
      </c>
      <c r="J158" s="17" t="s">
        <v>11</v>
      </c>
      <c r="K158" s="17" t="s">
        <v>10</v>
      </c>
      <c r="L158" s="29">
        <v>3</v>
      </c>
      <c r="M158" s="30">
        <v>0.91239999999999999</v>
      </c>
    </row>
    <row r="159" spans="1:13" x14ac:dyDescent="0.3">
      <c r="A159" s="17">
        <f t="shared" si="14"/>
        <v>158</v>
      </c>
      <c r="B159" s="18" t="s">
        <v>42</v>
      </c>
      <c r="C159" s="19">
        <v>45565</v>
      </c>
      <c r="D159" s="17">
        <v>-2</v>
      </c>
      <c r="E159" s="19">
        <f t="shared" si="12"/>
        <v>45504</v>
      </c>
      <c r="F159" s="19">
        <f t="shared" si="13"/>
        <v>45322</v>
      </c>
      <c r="G159" s="17" t="s">
        <v>26</v>
      </c>
      <c r="H159" s="20" t="s">
        <v>30</v>
      </c>
      <c r="I159" s="17" t="s">
        <v>27</v>
      </c>
      <c r="J159" s="17" t="s">
        <v>29</v>
      </c>
      <c r="K159" s="17" t="s">
        <v>28</v>
      </c>
      <c r="L159" s="29">
        <v>2</v>
      </c>
      <c r="M159" s="30">
        <v>12.31</v>
      </c>
    </row>
    <row r="160" spans="1:13" x14ac:dyDescent="0.3">
      <c r="A160" s="17">
        <f t="shared" si="14"/>
        <v>159</v>
      </c>
      <c r="B160" s="18" t="s">
        <v>42</v>
      </c>
      <c r="C160" s="19">
        <v>45565</v>
      </c>
      <c r="D160" s="17">
        <v>-2</v>
      </c>
      <c r="E160" s="19">
        <f t="shared" si="12"/>
        <v>45504</v>
      </c>
      <c r="F160" s="19">
        <f t="shared" si="13"/>
        <v>45322</v>
      </c>
      <c r="G160" s="17" t="s">
        <v>26</v>
      </c>
      <c r="H160" s="20" t="s">
        <v>31</v>
      </c>
      <c r="I160" s="17" t="s">
        <v>27</v>
      </c>
      <c r="J160" s="17" t="s">
        <v>29</v>
      </c>
      <c r="K160" s="17" t="s">
        <v>28</v>
      </c>
      <c r="L160" s="29">
        <v>1</v>
      </c>
      <c r="M160" s="30">
        <v>3.52</v>
      </c>
    </row>
    <row r="161" spans="1:13" x14ac:dyDescent="0.3">
      <c r="A161" s="17">
        <f t="shared" si="14"/>
        <v>160</v>
      </c>
      <c r="B161" s="18" t="s">
        <v>42</v>
      </c>
      <c r="C161" s="19">
        <v>45565</v>
      </c>
      <c r="D161" s="17">
        <v>-2</v>
      </c>
      <c r="E161" s="19">
        <f t="shared" si="12"/>
        <v>45504</v>
      </c>
      <c r="F161" s="19">
        <f t="shared" si="13"/>
        <v>45322</v>
      </c>
      <c r="G161" s="17" t="s">
        <v>26</v>
      </c>
      <c r="H161" s="20" t="s">
        <v>32</v>
      </c>
      <c r="I161" s="17" t="s">
        <v>27</v>
      </c>
      <c r="J161" s="17" t="s">
        <v>29</v>
      </c>
      <c r="K161" s="17" t="s">
        <v>28</v>
      </c>
      <c r="L161" s="29">
        <v>5</v>
      </c>
      <c r="M161" s="31">
        <v>4.6500000000000004</v>
      </c>
    </row>
    <row r="162" spans="1:13" x14ac:dyDescent="0.3">
      <c r="A162" s="17">
        <f t="shared" si="14"/>
        <v>161</v>
      </c>
      <c r="B162" s="18" t="s">
        <v>42</v>
      </c>
      <c r="C162" s="19">
        <v>45565</v>
      </c>
      <c r="D162" s="17">
        <v>-2</v>
      </c>
      <c r="E162" s="19">
        <f t="shared" ref="E162:E193" si="15">EOMONTH(C162,D162)</f>
        <v>45504</v>
      </c>
      <c r="F162" s="19">
        <f t="shared" ref="F162:F193" si="16">EOMONTH(E162,-6)</f>
        <v>45322</v>
      </c>
      <c r="G162" s="17" t="s">
        <v>26</v>
      </c>
      <c r="H162" s="20" t="s">
        <v>33</v>
      </c>
      <c r="I162" s="17" t="s">
        <v>27</v>
      </c>
      <c r="J162" s="17" t="s">
        <v>29</v>
      </c>
      <c r="K162" s="17" t="s">
        <v>28</v>
      </c>
      <c r="L162" s="29">
        <v>6</v>
      </c>
      <c r="M162" s="30">
        <v>12.3</v>
      </c>
    </row>
    <row r="163" spans="1:13" x14ac:dyDescent="0.3">
      <c r="A163" s="17">
        <f t="shared" si="14"/>
        <v>162</v>
      </c>
      <c r="B163" s="18" t="s">
        <v>42</v>
      </c>
      <c r="C163" s="19">
        <v>45565</v>
      </c>
      <c r="D163" s="17">
        <v>-2</v>
      </c>
      <c r="E163" s="19">
        <f t="shared" si="15"/>
        <v>45504</v>
      </c>
      <c r="F163" s="19">
        <f t="shared" si="16"/>
        <v>45322</v>
      </c>
      <c r="G163" s="17" t="s">
        <v>26</v>
      </c>
      <c r="H163" s="20" t="s">
        <v>34</v>
      </c>
      <c r="I163" s="17" t="s">
        <v>27</v>
      </c>
      <c r="J163" s="17" t="s">
        <v>29</v>
      </c>
      <c r="K163" s="17" t="s">
        <v>28</v>
      </c>
      <c r="L163" s="29">
        <v>7</v>
      </c>
      <c r="M163" s="30">
        <v>2.2999999999999998</v>
      </c>
    </row>
    <row r="164" spans="1:13" x14ac:dyDescent="0.3">
      <c r="A164" s="17">
        <f t="shared" si="14"/>
        <v>163</v>
      </c>
      <c r="B164" s="18" t="s">
        <v>42</v>
      </c>
      <c r="C164" s="19">
        <v>45565</v>
      </c>
      <c r="D164" s="17">
        <v>-2</v>
      </c>
      <c r="E164" s="19">
        <f t="shared" si="15"/>
        <v>45504</v>
      </c>
      <c r="F164" s="19">
        <f t="shared" si="16"/>
        <v>45322</v>
      </c>
      <c r="G164" s="17" t="s">
        <v>26</v>
      </c>
      <c r="H164" s="20" t="s">
        <v>35</v>
      </c>
      <c r="I164" s="17" t="s">
        <v>27</v>
      </c>
      <c r="J164" s="17" t="s">
        <v>29</v>
      </c>
      <c r="K164" s="17" t="s">
        <v>28</v>
      </c>
      <c r="L164" s="29">
        <v>7</v>
      </c>
      <c r="M164" s="30">
        <v>1.56</v>
      </c>
    </row>
    <row r="165" spans="1:13" x14ac:dyDescent="0.3">
      <c r="A165" s="17">
        <f t="shared" si="14"/>
        <v>164</v>
      </c>
      <c r="B165" s="18" t="s">
        <v>42</v>
      </c>
      <c r="C165" s="19">
        <v>45565</v>
      </c>
      <c r="D165" s="17">
        <v>-2</v>
      </c>
      <c r="E165" s="19">
        <f t="shared" si="15"/>
        <v>45504</v>
      </c>
      <c r="F165" s="19">
        <f t="shared" si="16"/>
        <v>45322</v>
      </c>
      <c r="G165" s="17" t="s">
        <v>26</v>
      </c>
      <c r="H165" s="20" t="s">
        <v>36</v>
      </c>
      <c r="I165" s="17" t="s">
        <v>27</v>
      </c>
      <c r="J165" s="17" t="s">
        <v>29</v>
      </c>
      <c r="K165" s="17" t="s">
        <v>28</v>
      </c>
      <c r="L165" s="29">
        <v>1</v>
      </c>
      <c r="M165" s="30">
        <v>8</v>
      </c>
    </row>
  </sheetData>
  <autoFilter ref="A1:N165" xr:uid="{A5101420-1E21-4FEA-AFFE-F6F78875E2A6}">
    <sortState xmlns:xlrd2="http://schemas.microsoft.com/office/spreadsheetml/2017/richdata2" ref="A2:N165">
      <sortCondition ref="G1:G165"/>
    </sortState>
  </autoFilter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N175"/>
  <sheetViews>
    <sheetView showGridLines="0" topLeftCell="G1" zoomScaleNormal="100" workbookViewId="0">
      <selection activeCell="I22" sqref="I22"/>
    </sheetView>
  </sheetViews>
  <sheetFormatPr defaultRowHeight="16.5" x14ac:dyDescent="0.3"/>
  <cols>
    <col min="1" max="1" width="9.125" style="6" customWidth="1"/>
    <col min="2" max="2" width="9.125" style="8" customWidth="1"/>
    <col min="3" max="3" width="11.125" style="8" bestFit="1" customWidth="1"/>
    <col min="4" max="4" width="9.125" style="8" customWidth="1"/>
    <col min="5" max="5" width="11.125" style="8" bestFit="1" customWidth="1"/>
    <col min="6" max="6" width="13.625" style="8" customWidth="1"/>
    <col min="7" max="7" width="14.75" style="8" customWidth="1"/>
    <col min="8" max="8" width="16.375" style="8" customWidth="1"/>
    <col min="9" max="9" width="28.625" style="8" customWidth="1"/>
    <col min="10" max="10" width="31" style="8" customWidth="1"/>
    <col min="11" max="11" width="54.625" style="8" bestFit="1" customWidth="1"/>
    <col min="12" max="12" width="13.25" customWidth="1"/>
  </cols>
  <sheetData>
    <row r="1" spans="1:14" x14ac:dyDescent="0.3">
      <c r="A1" s="2" t="s">
        <v>1</v>
      </c>
      <c r="B1" s="2" t="s">
        <v>7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1" t="s">
        <v>12</v>
      </c>
      <c r="I1" s="2" t="s">
        <v>0</v>
      </c>
      <c r="J1" s="2" t="s">
        <v>8</v>
      </c>
      <c r="K1" s="2" t="s">
        <v>9</v>
      </c>
      <c r="L1" s="9" t="s">
        <v>14</v>
      </c>
      <c r="M1" s="9" t="s">
        <v>26</v>
      </c>
      <c r="N1" s="9" t="s">
        <v>41</v>
      </c>
    </row>
    <row r="2" spans="1:14" x14ac:dyDescent="0.3">
      <c r="A2" s="3">
        <v>1</v>
      </c>
      <c r="B2" s="3" t="s">
        <v>13</v>
      </c>
      <c r="C2" s="4">
        <v>45565</v>
      </c>
      <c r="D2" s="3">
        <v>-2</v>
      </c>
      <c r="E2" s="4">
        <f>EOMONTH(C2,D2)</f>
        <v>45504</v>
      </c>
      <c r="F2" s="4">
        <f>EOMONTH(E2,-6)</f>
        <v>45322</v>
      </c>
      <c r="G2" s="3" t="s">
        <v>14</v>
      </c>
      <c r="H2" s="5" t="s">
        <v>16</v>
      </c>
      <c r="I2" s="3" t="s">
        <v>15</v>
      </c>
      <c r="J2" s="3" t="s">
        <v>11</v>
      </c>
      <c r="K2" s="3" t="s">
        <v>10</v>
      </c>
    </row>
    <row r="3" spans="1:14" x14ac:dyDescent="0.3">
      <c r="A3" s="6">
        <f>ROW()-1</f>
        <v>2</v>
      </c>
      <c r="B3" s="3" t="s">
        <v>13</v>
      </c>
      <c r="C3" s="4">
        <v>45565</v>
      </c>
      <c r="D3" s="3">
        <v>-2</v>
      </c>
      <c r="E3" s="4">
        <f t="shared" ref="E3:E21" si="0">EOMONTH(C3,D3)</f>
        <v>45504</v>
      </c>
      <c r="F3" s="4">
        <f t="shared" ref="F3:F21" si="1">EOMONTH(E3,-6)</f>
        <v>45322</v>
      </c>
      <c r="G3" s="3" t="s">
        <v>14</v>
      </c>
      <c r="H3" s="8" t="s">
        <v>17</v>
      </c>
      <c r="I3" s="3" t="s">
        <v>15</v>
      </c>
      <c r="J3" s="3" t="s">
        <v>11</v>
      </c>
      <c r="K3" s="3" t="s">
        <v>10</v>
      </c>
    </row>
    <row r="4" spans="1:14" x14ac:dyDescent="0.3">
      <c r="A4" s="6">
        <f t="shared" ref="A4:A67" si="2">ROW()-1</f>
        <v>3</v>
      </c>
      <c r="B4" s="3" t="s">
        <v>13</v>
      </c>
      <c r="C4" s="4">
        <v>45565</v>
      </c>
      <c r="D4" s="3">
        <v>-2</v>
      </c>
      <c r="E4" s="4">
        <f t="shared" si="0"/>
        <v>45504</v>
      </c>
      <c r="F4" s="4">
        <f t="shared" si="1"/>
        <v>45322</v>
      </c>
      <c r="G4" s="3" t="s">
        <v>14</v>
      </c>
      <c r="H4" s="8" t="s">
        <v>18</v>
      </c>
      <c r="I4" s="3" t="s">
        <v>15</v>
      </c>
      <c r="J4" s="3" t="s">
        <v>11</v>
      </c>
      <c r="K4" s="3" t="s">
        <v>10</v>
      </c>
    </row>
    <row r="5" spans="1:14" x14ac:dyDescent="0.3">
      <c r="A5" s="6">
        <f t="shared" si="2"/>
        <v>4</v>
      </c>
      <c r="B5" s="3" t="s">
        <v>13</v>
      </c>
      <c r="C5" s="4">
        <v>45565</v>
      </c>
      <c r="D5" s="3">
        <v>-2</v>
      </c>
      <c r="E5" s="4">
        <f t="shared" si="0"/>
        <v>45504</v>
      </c>
      <c r="F5" s="4">
        <f t="shared" si="1"/>
        <v>45322</v>
      </c>
      <c r="G5" s="3" t="s">
        <v>14</v>
      </c>
      <c r="H5" s="8" t="s">
        <v>19</v>
      </c>
      <c r="I5" s="3" t="s">
        <v>15</v>
      </c>
      <c r="J5" s="3" t="s">
        <v>11</v>
      </c>
      <c r="K5" s="3" t="s">
        <v>10</v>
      </c>
    </row>
    <row r="6" spans="1:14" x14ac:dyDescent="0.3">
      <c r="A6" s="6">
        <f t="shared" si="2"/>
        <v>5</v>
      </c>
      <c r="B6" s="3" t="s">
        <v>13</v>
      </c>
      <c r="C6" s="4">
        <v>45565</v>
      </c>
      <c r="D6" s="3">
        <v>-2</v>
      </c>
      <c r="E6" s="4">
        <f t="shared" si="0"/>
        <v>45504</v>
      </c>
      <c r="F6" s="4">
        <f t="shared" si="1"/>
        <v>45322</v>
      </c>
      <c r="G6" s="3" t="s">
        <v>14</v>
      </c>
      <c r="H6" s="8" t="s">
        <v>20</v>
      </c>
      <c r="I6" s="3" t="s">
        <v>15</v>
      </c>
      <c r="J6" s="3" t="s">
        <v>11</v>
      </c>
      <c r="K6" s="3" t="s">
        <v>10</v>
      </c>
    </row>
    <row r="7" spans="1:14" x14ac:dyDescent="0.3">
      <c r="A7" s="6">
        <f t="shared" si="2"/>
        <v>6</v>
      </c>
      <c r="B7" s="3" t="s">
        <v>13</v>
      </c>
      <c r="C7" s="4">
        <v>45565</v>
      </c>
      <c r="D7" s="3">
        <v>-2</v>
      </c>
      <c r="E7" s="4">
        <f t="shared" si="0"/>
        <v>45504</v>
      </c>
      <c r="F7" s="4">
        <f t="shared" si="1"/>
        <v>45322</v>
      </c>
      <c r="G7" s="3" t="s">
        <v>14</v>
      </c>
      <c r="H7" s="8" t="s">
        <v>21</v>
      </c>
      <c r="I7" s="3" t="s">
        <v>15</v>
      </c>
      <c r="J7" s="3" t="s">
        <v>11</v>
      </c>
      <c r="K7" s="3" t="s">
        <v>10</v>
      </c>
    </row>
    <row r="8" spans="1:14" x14ac:dyDescent="0.3">
      <c r="A8" s="6">
        <f t="shared" si="2"/>
        <v>7</v>
      </c>
      <c r="B8" s="3" t="s">
        <v>13</v>
      </c>
      <c r="C8" s="4">
        <v>45565</v>
      </c>
      <c r="D8" s="3">
        <v>-2</v>
      </c>
      <c r="E8" s="4">
        <f t="shared" si="0"/>
        <v>45504</v>
      </c>
      <c r="F8" s="4">
        <f t="shared" si="1"/>
        <v>45322</v>
      </c>
      <c r="G8" s="3" t="s">
        <v>14</v>
      </c>
      <c r="H8" s="8" t="s">
        <v>22</v>
      </c>
      <c r="I8" s="3" t="s">
        <v>15</v>
      </c>
      <c r="J8" s="3" t="s">
        <v>11</v>
      </c>
      <c r="K8" s="3" t="s">
        <v>10</v>
      </c>
    </row>
    <row r="9" spans="1:14" x14ac:dyDescent="0.3">
      <c r="A9" s="6">
        <f t="shared" si="2"/>
        <v>8</v>
      </c>
      <c r="B9" s="3" t="s">
        <v>13</v>
      </c>
      <c r="C9" s="4">
        <v>45565</v>
      </c>
      <c r="D9" s="3">
        <v>-2</v>
      </c>
      <c r="E9" s="4">
        <f t="shared" si="0"/>
        <v>45504</v>
      </c>
      <c r="F9" s="4">
        <f t="shared" si="1"/>
        <v>45322</v>
      </c>
      <c r="G9" s="3" t="s">
        <v>14</v>
      </c>
      <c r="H9" s="8" t="s">
        <v>23</v>
      </c>
      <c r="I9" s="3" t="s">
        <v>15</v>
      </c>
      <c r="J9" s="3" t="s">
        <v>11</v>
      </c>
      <c r="K9" s="3" t="s">
        <v>10</v>
      </c>
    </row>
    <row r="10" spans="1:14" x14ac:dyDescent="0.3">
      <c r="A10" s="6">
        <f t="shared" si="2"/>
        <v>9</v>
      </c>
      <c r="B10" s="3" t="s">
        <v>13</v>
      </c>
      <c r="C10" s="4">
        <v>45565</v>
      </c>
      <c r="D10" s="3">
        <v>-2</v>
      </c>
      <c r="E10" s="4">
        <f t="shared" si="0"/>
        <v>45504</v>
      </c>
      <c r="F10" s="4">
        <f t="shared" si="1"/>
        <v>45322</v>
      </c>
      <c r="G10" s="3" t="s">
        <v>14</v>
      </c>
      <c r="H10" s="8" t="s">
        <v>24</v>
      </c>
      <c r="I10" s="3" t="s">
        <v>15</v>
      </c>
      <c r="J10" s="3" t="s">
        <v>11</v>
      </c>
      <c r="K10" s="3" t="s">
        <v>10</v>
      </c>
    </row>
    <row r="11" spans="1:14" x14ac:dyDescent="0.3">
      <c r="A11" s="6">
        <f t="shared" si="2"/>
        <v>10</v>
      </c>
      <c r="B11" s="3" t="s">
        <v>13</v>
      </c>
      <c r="C11" s="4">
        <v>45565</v>
      </c>
      <c r="D11" s="3">
        <v>-2</v>
      </c>
      <c r="E11" s="4">
        <f t="shared" si="0"/>
        <v>45504</v>
      </c>
      <c r="F11" s="4">
        <f t="shared" si="1"/>
        <v>45322</v>
      </c>
      <c r="G11" s="3" t="s">
        <v>14</v>
      </c>
      <c r="H11" s="8" t="s">
        <v>25</v>
      </c>
      <c r="I11" s="3" t="s">
        <v>15</v>
      </c>
      <c r="J11" s="3" t="s">
        <v>11</v>
      </c>
      <c r="K11" s="3" t="s">
        <v>10</v>
      </c>
    </row>
    <row r="12" spans="1:14" x14ac:dyDescent="0.3">
      <c r="A12" s="6">
        <f t="shared" si="2"/>
        <v>11</v>
      </c>
      <c r="B12" s="3" t="s">
        <v>13</v>
      </c>
      <c r="C12" s="4">
        <v>45565</v>
      </c>
      <c r="D12" s="3">
        <v>-2</v>
      </c>
      <c r="E12" s="4">
        <f t="shared" si="0"/>
        <v>45504</v>
      </c>
      <c r="F12" s="4">
        <f t="shared" si="1"/>
        <v>45322</v>
      </c>
      <c r="G12" s="3" t="s">
        <v>26</v>
      </c>
      <c r="H12" s="8" t="s">
        <v>16</v>
      </c>
      <c r="I12" s="3" t="s">
        <v>15</v>
      </c>
      <c r="J12" s="3" t="s">
        <v>11</v>
      </c>
      <c r="K12" s="3" t="s">
        <v>10</v>
      </c>
    </row>
    <row r="13" spans="1:14" x14ac:dyDescent="0.3">
      <c r="A13" s="6">
        <f t="shared" si="2"/>
        <v>12</v>
      </c>
      <c r="B13" s="3" t="s">
        <v>13</v>
      </c>
      <c r="C13" s="4">
        <v>45565</v>
      </c>
      <c r="D13" s="3">
        <v>-2</v>
      </c>
      <c r="E13" s="4">
        <f t="shared" si="0"/>
        <v>45504</v>
      </c>
      <c r="F13" s="4">
        <f t="shared" si="1"/>
        <v>45322</v>
      </c>
      <c r="G13" s="3" t="s">
        <v>26</v>
      </c>
      <c r="H13" s="8" t="s">
        <v>17</v>
      </c>
      <c r="I13" s="3" t="s">
        <v>15</v>
      </c>
      <c r="J13" s="3" t="s">
        <v>11</v>
      </c>
      <c r="K13" s="3" t="s">
        <v>10</v>
      </c>
    </row>
    <row r="14" spans="1:14" x14ac:dyDescent="0.3">
      <c r="A14" s="6">
        <f t="shared" si="2"/>
        <v>13</v>
      </c>
      <c r="B14" s="3" t="s">
        <v>13</v>
      </c>
      <c r="C14" s="4">
        <v>45565</v>
      </c>
      <c r="D14" s="3">
        <v>-2</v>
      </c>
      <c r="E14" s="4">
        <f t="shared" si="0"/>
        <v>45504</v>
      </c>
      <c r="F14" s="4">
        <f t="shared" si="1"/>
        <v>45322</v>
      </c>
      <c r="G14" s="3" t="s">
        <v>26</v>
      </c>
      <c r="H14" s="8" t="s">
        <v>18</v>
      </c>
      <c r="I14" s="3" t="s">
        <v>15</v>
      </c>
      <c r="J14" s="3" t="s">
        <v>11</v>
      </c>
      <c r="K14" s="3" t="s">
        <v>10</v>
      </c>
    </row>
    <row r="15" spans="1:14" x14ac:dyDescent="0.3">
      <c r="A15" s="6">
        <f t="shared" si="2"/>
        <v>14</v>
      </c>
      <c r="B15" s="3" t="s">
        <v>13</v>
      </c>
      <c r="C15" s="4">
        <v>45565</v>
      </c>
      <c r="D15" s="3">
        <v>-2</v>
      </c>
      <c r="E15" s="4">
        <f t="shared" si="0"/>
        <v>45504</v>
      </c>
      <c r="F15" s="4">
        <f t="shared" si="1"/>
        <v>45322</v>
      </c>
      <c r="G15" s="3" t="s">
        <v>26</v>
      </c>
      <c r="H15" s="8" t="s">
        <v>19</v>
      </c>
      <c r="I15" s="3" t="s">
        <v>15</v>
      </c>
      <c r="J15" s="3" t="s">
        <v>11</v>
      </c>
      <c r="K15" s="3" t="s">
        <v>10</v>
      </c>
    </row>
    <row r="16" spans="1:14" x14ac:dyDescent="0.3">
      <c r="A16" s="6">
        <f t="shared" si="2"/>
        <v>15</v>
      </c>
      <c r="B16" s="3" t="s">
        <v>13</v>
      </c>
      <c r="C16" s="4">
        <v>45565</v>
      </c>
      <c r="D16" s="3">
        <v>-2</v>
      </c>
      <c r="E16" s="4">
        <f t="shared" si="0"/>
        <v>45504</v>
      </c>
      <c r="F16" s="4">
        <f t="shared" si="1"/>
        <v>45322</v>
      </c>
      <c r="G16" s="3" t="s">
        <v>26</v>
      </c>
      <c r="H16" s="8" t="s">
        <v>20</v>
      </c>
      <c r="I16" s="3" t="s">
        <v>15</v>
      </c>
      <c r="J16" s="3" t="s">
        <v>11</v>
      </c>
      <c r="K16" s="3" t="s">
        <v>10</v>
      </c>
    </row>
    <row r="17" spans="1:11" x14ac:dyDescent="0.3">
      <c r="A17" s="6">
        <f t="shared" si="2"/>
        <v>16</v>
      </c>
      <c r="B17" s="3" t="s">
        <v>13</v>
      </c>
      <c r="C17" s="4">
        <v>45565</v>
      </c>
      <c r="D17" s="3">
        <v>-2</v>
      </c>
      <c r="E17" s="4">
        <f t="shared" si="0"/>
        <v>45504</v>
      </c>
      <c r="F17" s="4">
        <f t="shared" si="1"/>
        <v>45322</v>
      </c>
      <c r="G17" s="3" t="s">
        <v>26</v>
      </c>
      <c r="H17" s="8" t="s">
        <v>21</v>
      </c>
      <c r="I17" s="3" t="s">
        <v>15</v>
      </c>
      <c r="J17" s="3" t="s">
        <v>11</v>
      </c>
      <c r="K17" s="3" t="s">
        <v>10</v>
      </c>
    </row>
    <row r="18" spans="1:11" x14ac:dyDescent="0.3">
      <c r="A18" s="6">
        <f t="shared" si="2"/>
        <v>17</v>
      </c>
      <c r="B18" s="3" t="s">
        <v>13</v>
      </c>
      <c r="C18" s="4">
        <v>45565</v>
      </c>
      <c r="D18" s="3">
        <v>-2</v>
      </c>
      <c r="E18" s="4">
        <f t="shared" si="0"/>
        <v>45504</v>
      </c>
      <c r="F18" s="4">
        <f t="shared" si="1"/>
        <v>45322</v>
      </c>
      <c r="G18" s="3" t="s">
        <v>26</v>
      </c>
      <c r="H18" s="8" t="s">
        <v>22</v>
      </c>
      <c r="I18" s="3" t="s">
        <v>15</v>
      </c>
      <c r="J18" s="3" t="s">
        <v>11</v>
      </c>
      <c r="K18" s="3" t="s">
        <v>10</v>
      </c>
    </row>
    <row r="19" spans="1:11" x14ac:dyDescent="0.3">
      <c r="A19" s="6">
        <f t="shared" si="2"/>
        <v>18</v>
      </c>
      <c r="B19" s="3" t="s">
        <v>13</v>
      </c>
      <c r="C19" s="4">
        <v>45565</v>
      </c>
      <c r="D19" s="3">
        <v>-2</v>
      </c>
      <c r="E19" s="4">
        <f t="shared" si="0"/>
        <v>45504</v>
      </c>
      <c r="F19" s="4">
        <f t="shared" si="1"/>
        <v>45322</v>
      </c>
      <c r="G19" s="3" t="s">
        <v>26</v>
      </c>
      <c r="H19" s="8" t="s">
        <v>23</v>
      </c>
      <c r="I19" s="3" t="s">
        <v>15</v>
      </c>
      <c r="J19" s="3" t="s">
        <v>11</v>
      </c>
      <c r="K19" s="3" t="s">
        <v>10</v>
      </c>
    </row>
    <row r="20" spans="1:11" x14ac:dyDescent="0.3">
      <c r="A20" s="6">
        <f t="shared" si="2"/>
        <v>19</v>
      </c>
      <c r="B20" s="3" t="s">
        <v>13</v>
      </c>
      <c r="C20" s="4">
        <v>45565</v>
      </c>
      <c r="D20" s="3">
        <v>-2</v>
      </c>
      <c r="E20" s="4">
        <f t="shared" si="0"/>
        <v>45504</v>
      </c>
      <c r="F20" s="4">
        <f t="shared" si="1"/>
        <v>45322</v>
      </c>
      <c r="G20" s="3" t="s">
        <v>26</v>
      </c>
      <c r="H20" s="8" t="s">
        <v>24</v>
      </c>
      <c r="I20" s="3" t="s">
        <v>15</v>
      </c>
      <c r="J20" s="3" t="s">
        <v>11</v>
      </c>
      <c r="K20" s="3" t="s">
        <v>10</v>
      </c>
    </row>
    <row r="21" spans="1:11" x14ac:dyDescent="0.3">
      <c r="A21" s="6">
        <f t="shared" si="2"/>
        <v>20</v>
      </c>
      <c r="B21" s="3" t="s">
        <v>13</v>
      </c>
      <c r="C21" s="4">
        <v>45565</v>
      </c>
      <c r="D21" s="3">
        <v>-2</v>
      </c>
      <c r="E21" s="4">
        <f t="shared" si="0"/>
        <v>45504</v>
      </c>
      <c r="F21" s="4">
        <f t="shared" si="1"/>
        <v>45322</v>
      </c>
      <c r="G21" s="3" t="s">
        <v>26</v>
      </c>
      <c r="H21" s="8" t="s">
        <v>25</v>
      </c>
      <c r="I21" s="3" t="s">
        <v>15</v>
      </c>
      <c r="J21" s="3" t="s">
        <v>11</v>
      </c>
      <c r="K21" s="3" t="s">
        <v>10</v>
      </c>
    </row>
    <row r="22" spans="1:11" x14ac:dyDescent="0.3">
      <c r="A22" s="6">
        <f t="shared" si="2"/>
        <v>21</v>
      </c>
      <c r="B22" s="3" t="s">
        <v>13</v>
      </c>
      <c r="C22" s="4">
        <v>45565</v>
      </c>
      <c r="D22" s="3">
        <v>-2</v>
      </c>
      <c r="E22" s="4">
        <f t="shared" ref="E22:E32" si="3">EOMONTH(C22,D22)</f>
        <v>45504</v>
      </c>
      <c r="F22" s="4">
        <f t="shared" ref="F22:F32" si="4">EOMONTH(E22,-6)</f>
        <v>45322</v>
      </c>
      <c r="G22" s="3" t="s">
        <v>14</v>
      </c>
      <c r="H22" s="8" t="s">
        <v>30</v>
      </c>
      <c r="I22" s="3" t="s">
        <v>27</v>
      </c>
      <c r="J22" s="3" t="s">
        <v>29</v>
      </c>
      <c r="K22" s="3" t="s">
        <v>28</v>
      </c>
    </row>
    <row r="23" spans="1:11" x14ac:dyDescent="0.3">
      <c r="A23" s="6">
        <f t="shared" si="2"/>
        <v>22</v>
      </c>
      <c r="B23" s="3" t="s">
        <v>13</v>
      </c>
      <c r="C23" s="4">
        <v>45565</v>
      </c>
      <c r="D23" s="3">
        <v>-2</v>
      </c>
      <c r="E23" s="4">
        <f t="shared" si="3"/>
        <v>45504</v>
      </c>
      <c r="F23" s="4">
        <f t="shared" si="4"/>
        <v>45322</v>
      </c>
      <c r="G23" s="3" t="s">
        <v>14</v>
      </c>
      <c r="H23" s="8" t="s">
        <v>31</v>
      </c>
      <c r="I23" s="3" t="s">
        <v>27</v>
      </c>
      <c r="J23" s="3" t="s">
        <v>29</v>
      </c>
      <c r="K23" s="3" t="s">
        <v>28</v>
      </c>
    </row>
    <row r="24" spans="1:11" x14ac:dyDescent="0.3">
      <c r="A24" s="6">
        <f t="shared" si="2"/>
        <v>23</v>
      </c>
      <c r="B24" s="3" t="s">
        <v>13</v>
      </c>
      <c r="C24" s="4">
        <v>45565</v>
      </c>
      <c r="D24" s="3">
        <v>-2</v>
      </c>
      <c r="E24" s="4">
        <f t="shared" si="3"/>
        <v>45504</v>
      </c>
      <c r="F24" s="4">
        <f t="shared" si="4"/>
        <v>45322</v>
      </c>
      <c r="G24" s="3" t="s">
        <v>14</v>
      </c>
      <c r="H24" s="8" t="s">
        <v>32</v>
      </c>
      <c r="I24" s="3" t="s">
        <v>27</v>
      </c>
      <c r="J24" s="3" t="s">
        <v>29</v>
      </c>
      <c r="K24" s="3" t="s">
        <v>28</v>
      </c>
    </row>
    <row r="25" spans="1:11" x14ac:dyDescent="0.3">
      <c r="A25" s="6">
        <f t="shared" si="2"/>
        <v>24</v>
      </c>
      <c r="B25" s="3" t="s">
        <v>13</v>
      </c>
      <c r="C25" s="4">
        <v>45565</v>
      </c>
      <c r="D25" s="3">
        <v>-2</v>
      </c>
      <c r="E25" s="4">
        <f t="shared" si="3"/>
        <v>45504</v>
      </c>
      <c r="F25" s="4">
        <f t="shared" si="4"/>
        <v>45322</v>
      </c>
      <c r="G25" s="3" t="s">
        <v>14</v>
      </c>
      <c r="H25" s="8" t="s">
        <v>33</v>
      </c>
      <c r="I25" s="3" t="s">
        <v>27</v>
      </c>
      <c r="J25" s="3" t="s">
        <v>29</v>
      </c>
      <c r="K25" s="3" t="s">
        <v>28</v>
      </c>
    </row>
    <row r="26" spans="1:11" x14ac:dyDescent="0.3">
      <c r="A26" s="6">
        <f t="shared" si="2"/>
        <v>25</v>
      </c>
      <c r="B26" s="3" t="s">
        <v>13</v>
      </c>
      <c r="C26" s="4">
        <v>45565</v>
      </c>
      <c r="D26" s="3">
        <v>-2</v>
      </c>
      <c r="E26" s="4">
        <f t="shared" si="3"/>
        <v>45504</v>
      </c>
      <c r="F26" s="4">
        <f t="shared" si="4"/>
        <v>45322</v>
      </c>
      <c r="G26" s="3" t="s">
        <v>14</v>
      </c>
      <c r="H26" s="8" t="s">
        <v>34</v>
      </c>
      <c r="I26" s="3" t="s">
        <v>27</v>
      </c>
      <c r="J26" s="3" t="s">
        <v>29</v>
      </c>
      <c r="K26" s="3" t="s">
        <v>28</v>
      </c>
    </row>
    <row r="27" spans="1:11" x14ac:dyDescent="0.3">
      <c r="A27" s="6">
        <f t="shared" si="2"/>
        <v>26</v>
      </c>
      <c r="B27" s="3" t="s">
        <v>13</v>
      </c>
      <c r="C27" s="4">
        <v>45565</v>
      </c>
      <c r="D27" s="3">
        <v>-2</v>
      </c>
      <c r="E27" s="4">
        <f t="shared" si="3"/>
        <v>45504</v>
      </c>
      <c r="F27" s="4">
        <f t="shared" si="4"/>
        <v>45322</v>
      </c>
      <c r="G27" s="3" t="s">
        <v>14</v>
      </c>
      <c r="H27" s="8" t="s">
        <v>35</v>
      </c>
      <c r="I27" s="3" t="s">
        <v>27</v>
      </c>
      <c r="J27" s="3" t="s">
        <v>29</v>
      </c>
      <c r="K27" s="3" t="s">
        <v>28</v>
      </c>
    </row>
    <row r="28" spans="1:11" x14ac:dyDescent="0.3">
      <c r="A28" s="6">
        <f t="shared" si="2"/>
        <v>27</v>
      </c>
      <c r="B28" s="3" t="s">
        <v>13</v>
      </c>
      <c r="C28" s="4">
        <v>45565</v>
      </c>
      <c r="D28" s="3">
        <v>-2</v>
      </c>
      <c r="E28" s="4">
        <f t="shared" si="3"/>
        <v>45504</v>
      </c>
      <c r="F28" s="4">
        <f t="shared" si="4"/>
        <v>45322</v>
      </c>
      <c r="G28" s="3" t="s">
        <v>14</v>
      </c>
      <c r="H28" s="8" t="s">
        <v>36</v>
      </c>
      <c r="I28" s="3" t="s">
        <v>27</v>
      </c>
      <c r="J28" s="3" t="s">
        <v>29</v>
      </c>
      <c r="K28" s="3" t="s">
        <v>28</v>
      </c>
    </row>
    <row r="29" spans="1:11" x14ac:dyDescent="0.3">
      <c r="A29" s="6">
        <f t="shared" si="2"/>
        <v>28</v>
      </c>
      <c r="B29" s="3" t="s">
        <v>13</v>
      </c>
      <c r="C29" s="4">
        <v>45565</v>
      </c>
      <c r="D29" s="3">
        <v>-2</v>
      </c>
      <c r="E29" s="4">
        <f t="shared" si="3"/>
        <v>45504</v>
      </c>
      <c r="F29" s="4">
        <f t="shared" si="4"/>
        <v>45322</v>
      </c>
      <c r="G29" s="3" t="s">
        <v>14</v>
      </c>
      <c r="H29" s="8" t="s">
        <v>37</v>
      </c>
      <c r="I29" s="3" t="s">
        <v>27</v>
      </c>
      <c r="J29" s="3" t="s">
        <v>29</v>
      </c>
      <c r="K29" s="3" t="s">
        <v>28</v>
      </c>
    </row>
    <row r="30" spans="1:11" x14ac:dyDescent="0.3">
      <c r="A30" s="6">
        <f t="shared" si="2"/>
        <v>29</v>
      </c>
      <c r="B30" s="3" t="s">
        <v>13</v>
      </c>
      <c r="C30" s="4">
        <v>45565</v>
      </c>
      <c r="D30" s="3">
        <v>-2</v>
      </c>
      <c r="E30" s="4">
        <f t="shared" si="3"/>
        <v>45504</v>
      </c>
      <c r="F30" s="4">
        <f t="shared" si="4"/>
        <v>45322</v>
      </c>
      <c r="G30" s="3" t="s">
        <v>14</v>
      </c>
      <c r="H30" s="8" t="s">
        <v>38</v>
      </c>
      <c r="I30" s="3" t="s">
        <v>27</v>
      </c>
      <c r="J30" s="3" t="s">
        <v>29</v>
      </c>
      <c r="K30" s="3" t="s">
        <v>28</v>
      </c>
    </row>
    <row r="31" spans="1:11" x14ac:dyDescent="0.3">
      <c r="A31" s="6">
        <f t="shared" si="2"/>
        <v>30</v>
      </c>
      <c r="B31" s="3" t="s">
        <v>13</v>
      </c>
      <c r="C31" s="4">
        <v>45565</v>
      </c>
      <c r="D31" s="3">
        <v>-2</v>
      </c>
      <c r="E31" s="4">
        <f t="shared" si="3"/>
        <v>45504</v>
      </c>
      <c r="F31" s="4">
        <f t="shared" si="4"/>
        <v>45322</v>
      </c>
      <c r="G31" s="3" t="s">
        <v>14</v>
      </c>
      <c r="H31" s="8" t="s">
        <v>39</v>
      </c>
      <c r="I31" s="3" t="s">
        <v>27</v>
      </c>
      <c r="J31" s="3" t="s">
        <v>29</v>
      </c>
      <c r="K31" s="3" t="s">
        <v>28</v>
      </c>
    </row>
    <row r="32" spans="1:11" x14ac:dyDescent="0.3">
      <c r="A32" s="6">
        <f t="shared" si="2"/>
        <v>31</v>
      </c>
      <c r="B32" s="3" t="s">
        <v>13</v>
      </c>
      <c r="C32" s="4">
        <v>45565</v>
      </c>
      <c r="D32" s="3">
        <v>-2</v>
      </c>
      <c r="E32" s="4">
        <f t="shared" si="3"/>
        <v>45504</v>
      </c>
      <c r="F32" s="4">
        <f t="shared" si="4"/>
        <v>45322</v>
      </c>
      <c r="G32" s="3" t="s">
        <v>14</v>
      </c>
      <c r="H32" s="8" t="s">
        <v>40</v>
      </c>
      <c r="I32" s="3" t="s">
        <v>27</v>
      </c>
      <c r="J32" s="3" t="s">
        <v>29</v>
      </c>
      <c r="K32" s="3" t="s">
        <v>28</v>
      </c>
    </row>
    <row r="33" spans="1:11" x14ac:dyDescent="0.3">
      <c r="A33" s="6">
        <f t="shared" si="2"/>
        <v>32</v>
      </c>
      <c r="B33" s="6"/>
      <c r="C33" s="7"/>
      <c r="D33" s="6"/>
      <c r="E33" s="7"/>
      <c r="F33" s="7"/>
      <c r="G33" s="3"/>
      <c r="I33" s="3"/>
      <c r="J33" s="3"/>
      <c r="K33" s="3"/>
    </row>
    <row r="34" spans="1:11" x14ac:dyDescent="0.3">
      <c r="A34" s="6">
        <f t="shared" si="2"/>
        <v>33</v>
      </c>
      <c r="B34" s="6"/>
      <c r="C34" s="7"/>
      <c r="D34" s="6"/>
      <c r="E34" s="7"/>
      <c r="F34" s="7"/>
      <c r="G34" s="3"/>
      <c r="I34" s="3"/>
      <c r="J34" s="3"/>
      <c r="K34" s="3"/>
    </row>
    <row r="35" spans="1:11" x14ac:dyDescent="0.3">
      <c r="A35" s="6">
        <f t="shared" si="2"/>
        <v>34</v>
      </c>
      <c r="B35" s="6"/>
      <c r="C35" s="7"/>
      <c r="D35" s="6"/>
      <c r="E35" s="7"/>
      <c r="F35" s="7"/>
      <c r="G35" s="3"/>
      <c r="I35" s="3"/>
      <c r="J35" s="3"/>
      <c r="K35" s="3"/>
    </row>
    <row r="36" spans="1:11" x14ac:dyDescent="0.3">
      <c r="A36" s="6">
        <f t="shared" si="2"/>
        <v>35</v>
      </c>
      <c r="B36" s="6"/>
      <c r="C36" s="7"/>
      <c r="D36" s="6"/>
      <c r="E36" s="7"/>
      <c r="F36" s="7"/>
      <c r="G36" s="3"/>
      <c r="I36" s="3"/>
      <c r="J36" s="3"/>
      <c r="K36" s="3"/>
    </row>
    <row r="37" spans="1:11" x14ac:dyDescent="0.3">
      <c r="A37" s="6">
        <f t="shared" si="2"/>
        <v>36</v>
      </c>
      <c r="B37" s="6"/>
      <c r="C37" s="7"/>
      <c r="D37" s="6"/>
      <c r="E37" s="7"/>
      <c r="F37" s="7"/>
      <c r="G37" s="3"/>
      <c r="I37" s="3"/>
      <c r="J37" s="3"/>
      <c r="K37" s="3"/>
    </row>
    <row r="38" spans="1:11" x14ac:dyDescent="0.3">
      <c r="A38" s="6">
        <f t="shared" si="2"/>
        <v>37</v>
      </c>
      <c r="B38" s="6"/>
      <c r="C38" s="7"/>
      <c r="D38" s="6"/>
      <c r="E38" s="7"/>
      <c r="F38" s="7"/>
      <c r="G38" s="3"/>
      <c r="I38" s="3"/>
      <c r="J38" s="3"/>
      <c r="K38" s="3"/>
    </row>
    <row r="39" spans="1:11" x14ac:dyDescent="0.3">
      <c r="A39" s="6">
        <f t="shared" si="2"/>
        <v>38</v>
      </c>
      <c r="B39" s="6"/>
      <c r="C39" s="7"/>
      <c r="D39" s="6"/>
      <c r="E39" s="7"/>
      <c r="F39" s="7"/>
      <c r="G39" s="3"/>
      <c r="I39" s="3"/>
      <c r="J39" s="3"/>
      <c r="K39" s="3"/>
    </row>
    <row r="40" spans="1:11" x14ac:dyDescent="0.3">
      <c r="A40" s="6">
        <f t="shared" si="2"/>
        <v>39</v>
      </c>
      <c r="B40" s="6"/>
      <c r="C40" s="7"/>
      <c r="D40" s="6"/>
      <c r="E40" s="7"/>
      <c r="F40" s="7"/>
      <c r="G40" s="3"/>
      <c r="I40" s="3"/>
      <c r="J40" s="3"/>
      <c r="K40" s="3"/>
    </row>
    <row r="41" spans="1:11" x14ac:dyDescent="0.3">
      <c r="A41" s="6">
        <f t="shared" si="2"/>
        <v>40</v>
      </c>
      <c r="B41" s="6"/>
      <c r="C41" s="7"/>
      <c r="D41" s="6"/>
      <c r="E41" s="7"/>
      <c r="F41" s="7"/>
      <c r="G41" s="3"/>
      <c r="I41" s="3"/>
      <c r="J41" s="3"/>
      <c r="K41" s="3"/>
    </row>
    <row r="42" spans="1:11" x14ac:dyDescent="0.3">
      <c r="A42" s="6">
        <f t="shared" si="2"/>
        <v>41</v>
      </c>
      <c r="B42" s="6"/>
      <c r="C42" s="7"/>
      <c r="D42" s="6"/>
      <c r="E42" s="7"/>
      <c r="F42" s="7"/>
      <c r="G42" s="3"/>
      <c r="I42" s="3"/>
      <c r="J42" s="3"/>
      <c r="K42" s="3"/>
    </row>
    <row r="43" spans="1:11" x14ac:dyDescent="0.3">
      <c r="A43" s="6">
        <f t="shared" si="2"/>
        <v>42</v>
      </c>
      <c r="B43" s="6"/>
      <c r="C43" s="7"/>
      <c r="D43" s="6"/>
      <c r="E43" s="7"/>
      <c r="F43" s="7"/>
      <c r="G43" s="3"/>
      <c r="I43" s="3"/>
      <c r="J43" s="3"/>
      <c r="K43" s="3"/>
    </row>
    <row r="44" spans="1:11" x14ac:dyDescent="0.3">
      <c r="A44" s="6">
        <f t="shared" si="2"/>
        <v>43</v>
      </c>
      <c r="B44" s="6"/>
      <c r="C44" s="7"/>
      <c r="D44" s="6"/>
      <c r="E44" s="7"/>
      <c r="F44" s="7"/>
      <c r="G44" s="3"/>
      <c r="I44" s="3"/>
      <c r="J44" s="3"/>
      <c r="K44" s="3"/>
    </row>
    <row r="45" spans="1:11" x14ac:dyDescent="0.3">
      <c r="A45" s="6">
        <f t="shared" si="2"/>
        <v>44</v>
      </c>
      <c r="B45" s="6"/>
      <c r="C45" s="7"/>
      <c r="D45" s="6"/>
      <c r="E45" s="7"/>
      <c r="F45" s="7"/>
      <c r="G45" s="3"/>
      <c r="I45" s="3"/>
      <c r="J45" s="3"/>
      <c r="K45" s="3"/>
    </row>
    <row r="46" spans="1:11" x14ac:dyDescent="0.3">
      <c r="A46" s="6">
        <f t="shared" si="2"/>
        <v>45</v>
      </c>
      <c r="B46" s="6"/>
      <c r="C46" s="7"/>
      <c r="D46" s="6"/>
      <c r="E46" s="7"/>
      <c r="F46" s="7"/>
      <c r="G46" s="3"/>
      <c r="I46" s="3"/>
      <c r="J46" s="3"/>
      <c r="K46" s="3"/>
    </row>
    <row r="47" spans="1:11" x14ac:dyDescent="0.3">
      <c r="A47" s="6">
        <f t="shared" si="2"/>
        <v>46</v>
      </c>
      <c r="B47" s="6"/>
      <c r="C47" s="7"/>
      <c r="D47" s="6"/>
      <c r="E47" s="7"/>
      <c r="F47" s="7"/>
      <c r="G47" s="3"/>
      <c r="I47" s="3"/>
      <c r="J47" s="3"/>
      <c r="K47" s="3"/>
    </row>
    <row r="48" spans="1:11" x14ac:dyDescent="0.3">
      <c r="A48" s="6">
        <f t="shared" si="2"/>
        <v>47</v>
      </c>
      <c r="B48" s="6"/>
      <c r="C48" s="7"/>
      <c r="D48" s="6"/>
      <c r="E48" s="7"/>
      <c r="F48" s="7"/>
      <c r="G48" s="3"/>
      <c r="I48" s="3"/>
      <c r="J48" s="3"/>
      <c r="K48" s="3"/>
    </row>
    <row r="49" spans="1:11" x14ac:dyDescent="0.3">
      <c r="A49" s="6">
        <f t="shared" si="2"/>
        <v>48</v>
      </c>
      <c r="B49" s="6"/>
      <c r="C49" s="7"/>
      <c r="D49" s="6"/>
      <c r="E49" s="7"/>
      <c r="F49" s="7"/>
      <c r="G49" s="3"/>
      <c r="I49" s="3"/>
      <c r="J49" s="3"/>
      <c r="K49" s="3"/>
    </row>
    <row r="50" spans="1:11" x14ac:dyDescent="0.3">
      <c r="A50" s="6">
        <f t="shared" si="2"/>
        <v>49</v>
      </c>
      <c r="B50" s="6"/>
      <c r="C50" s="7"/>
      <c r="D50" s="6"/>
      <c r="E50" s="7"/>
      <c r="F50" s="7"/>
      <c r="G50" s="3"/>
      <c r="I50" s="3"/>
      <c r="J50" s="3"/>
      <c r="K50" s="3"/>
    </row>
    <row r="51" spans="1:11" x14ac:dyDescent="0.3">
      <c r="A51" s="6">
        <f t="shared" si="2"/>
        <v>50</v>
      </c>
      <c r="B51" s="6"/>
      <c r="C51" s="7"/>
      <c r="D51" s="6"/>
      <c r="E51" s="7"/>
      <c r="F51" s="7"/>
      <c r="G51" s="3"/>
      <c r="I51" s="3"/>
      <c r="J51" s="3"/>
      <c r="K51" s="3"/>
    </row>
    <row r="52" spans="1:11" x14ac:dyDescent="0.3">
      <c r="A52" s="6">
        <f t="shared" si="2"/>
        <v>51</v>
      </c>
      <c r="B52" s="6"/>
      <c r="C52" s="7"/>
      <c r="D52" s="6"/>
      <c r="E52" s="7"/>
      <c r="F52" s="7"/>
      <c r="G52" s="3"/>
      <c r="I52" s="3"/>
      <c r="J52" s="3"/>
      <c r="K52" s="3"/>
    </row>
    <row r="53" spans="1:11" x14ac:dyDescent="0.3">
      <c r="A53" s="6">
        <f t="shared" si="2"/>
        <v>52</v>
      </c>
      <c r="B53" s="6"/>
      <c r="C53" s="7"/>
      <c r="D53" s="6"/>
      <c r="E53" s="7"/>
      <c r="F53" s="7"/>
      <c r="G53" s="3"/>
      <c r="I53" s="3"/>
      <c r="J53" s="3"/>
      <c r="K53" s="3"/>
    </row>
    <row r="54" spans="1:11" x14ac:dyDescent="0.3">
      <c r="A54" s="6">
        <f t="shared" si="2"/>
        <v>53</v>
      </c>
      <c r="B54" s="6"/>
      <c r="C54" s="7"/>
      <c r="D54" s="6"/>
      <c r="E54" s="7"/>
      <c r="F54" s="7"/>
      <c r="G54" s="3"/>
      <c r="I54" s="3"/>
      <c r="J54" s="3"/>
      <c r="K54" s="3"/>
    </row>
    <row r="55" spans="1:11" x14ac:dyDescent="0.3">
      <c r="A55" s="6">
        <f t="shared" si="2"/>
        <v>54</v>
      </c>
      <c r="B55" s="6"/>
      <c r="C55" s="7"/>
      <c r="D55" s="6"/>
      <c r="E55" s="7"/>
      <c r="F55" s="7"/>
      <c r="G55" s="3"/>
      <c r="I55" s="3"/>
      <c r="J55" s="3"/>
      <c r="K55" s="3"/>
    </row>
    <row r="56" spans="1:11" x14ac:dyDescent="0.3">
      <c r="A56" s="6">
        <f t="shared" si="2"/>
        <v>55</v>
      </c>
      <c r="B56" s="6"/>
      <c r="C56" s="7"/>
      <c r="D56" s="6"/>
      <c r="E56" s="7"/>
      <c r="F56" s="7"/>
      <c r="G56" s="3"/>
      <c r="I56" s="3"/>
      <c r="J56" s="3"/>
      <c r="K56" s="3"/>
    </row>
    <row r="57" spans="1:11" x14ac:dyDescent="0.3">
      <c r="A57" s="6">
        <f t="shared" si="2"/>
        <v>56</v>
      </c>
      <c r="B57" s="6"/>
      <c r="C57" s="7"/>
      <c r="D57" s="6"/>
      <c r="E57" s="7"/>
      <c r="F57" s="7"/>
      <c r="G57" s="3"/>
      <c r="I57" s="3"/>
      <c r="J57" s="3"/>
      <c r="K57" s="3"/>
    </row>
    <row r="58" spans="1:11" x14ac:dyDescent="0.3">
      <c r="A58" s="6">
        <f t="shared" si="2"/>
        <v>57</v>
      </c>
      <c r="B58" s="6"/>
      <c r="C58" s="7"/>
      <c r="D58" s="6"/>
      <c r="E58" s="7"/>
      <c r="F58" s="7"/>
      <c r="G58" s="3"/>
      <c r="I58" s="3"/>
      <c r="J58" s="3"/>
      <c r="K58" s="3"/>
    </row>
    <row r="59" spans="1:11" x14ac:dyDescent="0.3">
      <c r="A59" s="6">
        <f t="shared" si="2"/>
        <v>58</v>
      </c>
      <c r="B59" s="6"/>
      <c r="C59" s="7"/>
      <c r="D59" s="6"/>
      <c r="E59" s="7"/>
      <c r="F59" s="7"/>
      <c r="G59" s="3"/>
      <c r="I59" s="3"/>
      <c r="J59" s="3"/>
      <c r="K59" s="3"/>
    </row>
    <row r="60" spans="1:11" x14ac:dyDescent="0.3">
      <c r="A60" s="6">
        <f t="shared" si="2"/>
        <v>59</v>
      </c>
      <c r="B60" s="6"/>
      <c r="C60" s="7"/>
      <c r="D60" s="6"/>
      <c r="E60" s="7"/>
      <c r="F60" s="7"/>
      <c r="G60" s="3"/>
      <c r="I60" s="3"/>
      <c r="J60" s="3"/>
      <c r="K60" s="3"/>
    </row>
    <row r="61" spans="1:11" x14ac:dyDescent="0.3">
      <c r="A61" s="6">
        <f t="shared" si="2"/>
        <v>60</v>
      </c>
      <c r="B61" s="6"/>
      <c r="C61" s="7"/>
      <c r="D61" s="6"/>
      <c r="E61" s="7"/>
      <c r="F61" s="7"/>
      <c r="G61" s="3"/>
      <c r="I61" s="3"/>
      <c r="J61" s="3"/>
      <c r="K61" s="3"/>
    </row>
    <row r="62" spans="1:11" x14ac:dyDescent="0.3">
      <c r="A62" s="6">
        <f t="shared" si="2"/>
        <v>61</v>
      </c>
      <c r="B62" s="6"/>
      <c r="C62" s="7"/>
      <c r="D62" s="6"/>
      <c r="E62" s="7"/>
      <c r="F62" s="7"/>
      <c r="G62" s="3"/>
      <c r="I62" s="3"/>
      <c r="J62" s="3"/>
      <c r="K62" s="3"/>
    </row>
    <row r="63" spans="1:11" x14ac:dyDescent="0.3">
      <c r="A63" s="6">
        <f t="shared" si="2"/>
        <v>62</v>
      </c>
      <c r="B63" s="6"/>
      <c r="C63" s="7"/>
      <c r="D63" s="6"/>
      <c r="E63" s="7"/>
      <c r="F63" s="7"/>
      <c r="G63" s="3"/>
      <c r="I63" s="3"/>
      <c r="J63" s="3"/>
      <c r="K63" s="3"/>
    </row>
    <row r="64" spans="1:11" x14ac:dyDescent="0.3">
      <c r="A64" s="6">
        <f t="shared" si="2"/>
        <v>63</v>
      </c>
      <c r="B64" s="6"/>
      <c r="C64" s="7"/>
      <c r="D64" s="6"/>
      <c r="E64" s="7"/>
      <c r="F64" s="7"/>
      <c r="G64" s="3"/>
      <c r="I64" s="3"/>
      <c r="J64" s="3"/>
      <c r="K64" s="3"/>
    </row>
    <row r="65" spans="1:11" x14ac:dyDescent="0.3">
      <c r="A65" s="6">
        <f t="shared" si="2"/>
        <v>64</v>
      </c>
      <c r="B65" s="6"/>
      <c r="C65" s="7"/>
      <c r="D65" s="6"/>
      <c r="E65" s="7"/>
      <c r="F65" s="7"/>
      <c r="G65" s="3"/>
      <c r="I65" s="3"/>
      <c r="J65" s="3"/>
      <c r="K65" s="3"/>
    </row>
    <row r="66" spans="1:11" x14ac:dyDescent="0.3">
      <c r="A66" s="6">
        <f t="shared" si="2"/>
        <v>65</v>
      </c>
      <c r="B66" s="6"/>
      <c r="C66" s="7"/>
      <c r="D66" s="6"/>
      <c r="E66" s="7"/>
      <c r="F66" s="7"/>
      <c r="G66" s="3"/>
      <c r="I66" s="3"/>
      <c r="J66" s="3"/>
      <c r="K66" s="3"/>
    </row>
    <row r="67" spans="1:11" x14ac:dyDescent="0.3">
      <c r="A67" s="6">
        <f t="shared" si="2"/>
        <v>66</v>
      </c>
      <c r="B67" s="6"/>
      <c r="C67" s="7"/>
      <c r="D67" s="6"/>
      <c r="E67" s="7"/>
      <c r="F67" s="7"/>
      <c r="G67" s="3"/>
      <c r="I67" s="3"/>
      <c r="J67" s="3"/>
      <c r="K67" s="3"/>
    </row>
    <row r="68" spans="1:11" x14ac:dyDescent="0.3">
      <c r="A68" s="6">
        <f t="shared" ref="A68:A131" si="5">ROW()-1</f>
        <v>67</v>
      </c>
      <c r="B68" s="6"/>
      <c r="C68" s="7"/>
      <c r="D68" s="6"/>
      <c r="E68" s="7"/>
      <c r="F68" s="7"/>
      <c r="G68" s="3"/>
      <c r="I68" s="3"/>
      <c r="J68" s="3"/>
      <c r="K68" s="3"/>
    </row>
    <row r="69" spans="1:11" x14ac:dyDescent="0.3">
      <c r="A69" s="6">
        <f t="shared" si="5"/>
        <v>68</v>
      </c>
      <c r="B69" s="6"/>
      <c r="C69" s="7"/>
      <c r="D69" s="6"/>
      <c r="E69" s="7"/>
      <c r="F69" s="7"/>
      <c r="G69" s="3"/>
      <c r="I69" s="3"/>
      <c r="J69" s="3"/>
      <c r="K69" s="3"/>
    </row>
    <row r="70" spans="1:11" x14ac:dyDescent="0.3">
      <c r="A70" s="6">
        <f t="shared" si="5"/>
        <v>69</v>
      </c>
      <c r="B70" s="6"/>
      <c r="C70" s="7"/>
      <c r="D70" s="6"/>
      <c r="E70" s="7"/>
      <c r="F70" s="7"/>
      <c r="G70" s="3"/>
      <c r="I70" s="3"/>
      <c r="J70" s="3"/>
      <c r="K70" s="3"/>
    </row>
    <row r="71" spans="1:11" x14ac:dyDescent="0.3">
      <c r="A71" s="6">
        <f t="shared" si="5"/>
        <v>70</v>
      </c>
      <c r="B71" s="6"/>
      <c r="C71" s="7"/>
      <c r="D71" s="6"/>
      <c r="E71" s="7"/>
      <c r="F71" s="7"/>
      <c r="G71" s="3"/>
      <c r="I71" s="3"/>
      <c r="J71" s="3"/>
      <c r="K71" s="3"/>
    </row>
    <row r="72" spans="1:11" x14ac:dyDescent="0.3">
      <c r="A72" s="6">
        <f t="shared" si="5"/>
        <v>71</v>
      </c>
      <c r="B72" s="6"/>
      <c r="C72" s="7"/>
      <c r="D72" s="6"/>
      <c r="E72" s="7"/>
      <c r="F72" s="7"/>
      <c r="G72" s="3"/>
      <c r="I72" s="3"/>
      <c r="J72" s="3"/>
      <c r="K72" s="3"/>
    </row>
    <row r="73" spans="1:11" x14ac:dyDescent="0.3">
      <c r="A73" s="6">
        <f t="shared" si="5"/>
        <v>72</v>
      </c>
      <c r="B73" s="6"/>
      <c r="C73" s="7"/>
      <c r="D73" s="6"/>
      <c r="E73" s="7"/>
      <c r="F73" s="7"/>
      <c r="G73" s="3"/>
      <c r="I73" s="3"/>
      <c r="J73" s="3"/>
      <c r="K73" s="3"/>
    </row>
    <row r="74" spans="1:11" x14ac:dyDescent="0.3">
      <c r="A74" s="6">
        <f t="shared" si="5"/>
        <v>73</v>
      </c>
      <c r="B74" s="6"/>
      <c r="C74" s="7"/>
      <c r="D74" s="6"/>
      <c r="E74" s="7"/>
      <c r="F74" s="7"/>
      <c r="G74" s="3"/>
      <c r="I74" s="3"/>
      <c r="J74" s="3"/>
      <c r="K74" s="3"/>
    </row>
    <row r="75" spans="1:11" x14ac:dyDescent="0.3">
      <c r="A75" s="6">
        <f t="shared" si="5"/>
        <v>74</v>
      </c>
      <c r="B75" s="6"/>
      <c r="C75" s="7"/>
      <c r="D75" s="6"/>
      <c r="E75" s="7"/>
      <c r="F75" s="7"/>
      <c r="G75" s="3"/>
      <c r="I75" s="3"/>
      <c r="J75" s="3"/>
      <c r="K75" s="3"/>
    </row>
    <row r="76" spans="1:11" x14ac:dyDescent="0.3">
      <c r="A76" s="6">
        <f t="shared" si="5"/>
        <v>75</v>
      </c>
      <c r="B76" s="6"/>
      <c r="C76" s="7"/>
      <c r="D76" s="6"/>
      <c r="E76" s="7"/>
      <c r="F76" s="7"/>
      <c r="G76" s="3"/>
      <c r="I76" s="3"/>
      <c r="J76" s="3"/>
      <c r="K76" s="3"/>
    </row>
    <row r="77" spans="1:11" x14ac:dyDescent="0.3">
      <c r="A77" s="6">
        <f t="shared" si="5"/>
        <v>76</v>
      </c>
      <c r="B77" s="6"/>
      <c r="C77" s="7"/>
      <c r="D77" s="6"/>
      <c r="E77" s="7"/>
      <c r="F77" s="7"/>
      <c r="G77" s="3"/>
      <c r="I77" s="3"/>
      <c r="J77" s="3"/>
      <c r="K77" s="3"/>
    </row>
    <row r="78" spans="1:11" x14ac:dyDescent="0.3">
      <c r="A78" s="6">
        <f t="shared" si="5"/>
        <v>77</v>
      </c>
      <c r="B78" s="6"/>
      <c r="C78" s="7"/>
      <c r="D78" s="6"/>
      <c r="E78" s="7"/>
      <c r="F78" s="7"/>
      <c r="G78" s="3"/>
      <c r="I78" s="3"/>
      <c r="J78" s="3"/>
      <c r="K78" s="3"/>
    </row>
    <row r="79" spans="1:11" x14ac:dyDescent="0.3">
      <c r="A79" s="6">
        <f t="shared" si="5"/>
        <v>78</v>
      </c>
      <c r="B79" s="6"/>
      <c r="C79" s="7"/>
      <c r="D79" s="6"/>
      <c r="E79" s="7"/>
      <c r="F79" s="7"/>
      <c r="G79" s="3"/>
      <c r="I79" s="3"/>
      <c r="J79" s="3"/>
      <c r="K79" s="3"/>
    </row>
    <row r="80" spans="1:11" x14ac:dyDescent="0.3">
      <c r="A80" s="6">
        <f t="shared" si="5"/>
        <v>79</v>
      </c>
      <c r="B80" s="6"/>
      <c r="C80" s="7"/>
      <c r="D80" s="6"/>
      <c r="E80" s="7"/>
      <c r="F80" s="7"/>
      <c r="G80" s="3"/>
      <c r="I80" s="3"/>
      <c r="J80" s="3"/>
      <c r="K80" s="3"/>
    </row>
    <row r="81" spans="1:11" x14ac:dyDescent="0.3">
      <c r="A81" s="6">
        <f t="shared" si="5"/>
        <v>80</v>
      </c>
      <c r="B81" s="6"/>
      <c r="C81" s="7"/>
      <c r="D81" s="6"/>
      <c r="E81" s="7"/>
      <c r="F81" s="7"/>
      <c r="G81" s="3"/>
      <c r="I81" s="3"/>
      <c r="J81" s="3"/>
      <c r="K81" s="3"/>
    </row>
    <row r="82" spans="1:11" x14ac:dyDescent="0.3">
      <c r="A82" s="6">
        <f t="shared" si="5"/>
        <v>81</v>
      </c>
      <c r="B82" s="6"/>
      <c r="C82" s="7"/>
      <c r="D82" s="6"/>
      <c r="E82" s="7"/>
      <c r="F82" s="7"/>
      <c r="G82" s="3"/>
      <c r="I82" s="3"/>
      <c r="J82" s="3"/>
      <c r="K82" s="3"/>
    </row>
    <row r="83" spans="1:11" x14ac:dyDescent="0.3">
      <c r="A83" s="6">
        <f t="shared" si="5"/>
        <v>82</v>
      </c>
      <c r="B83" s="6"/>
      <c r="C83" s="7"/>
      <c r="D83" s="6"/>
      <c r="E83" s="7"/>
      <c r="F83" s="7"/>
      <c r="G83" s="3"/>
      <c r="I83" s="3"/>
      <c r="J83" s="3"/>
      <c r="K83" s="3"/>
    </row>
    <row r="84" spans="1:11" x14ac:dyDescent="0.3">
      <c r="A84" s="6">
        <f t="shared" si="5"/>
        <v>83</v>
      </c>
      <c r="B84" s="6"/>
      <c r="C84" s="7"/>
      <c r="D84" s="6"/>
      <c r="E84" s="7"/>
      <c r="F84" s="7"/>
      <c r="G84" s="3"/>
      <c r="I84" s="3"/>
      <c r="J84" s="3"/>
      <c r="K84" s="3"/>
    </row>
    <row r="85" spans="1:11" x14ac:dyDescent="0.3">
      <c r="A85" s="6">
        <f t="shared" si="5"/>
        <v>84</v>
      </c>
      <c r="B85" s="6"/>
      <c r="C85" s="7"/>
      <c r="D85" s="6"/>
      <c r="E85" s="7"/>
      <c r="F85" s="7"/>
      <c r="G85" s="3"/>
      <c r="I85" s="3"/>
      <c r="J85" s="3"/>
      <c r="K85" s="3"/>
    </row>
    <row r="86" spans="1:11" x14ac:dyDescent="0.3">
      <c r="A86" s="6">
        <f t="shared" si="5"/>
        <v>85</v>
      </c>
      <c r="B86" s="6"/>
      <c r="C86" s="7"/>
      <c r="D86" s="6"/>
      <c r="E86" s="7"/>
      <c r="F86" s="7"/>
      <c r="G86" s="3"/>
      <c r="I86" s="3"/>
      <c r="J86" s="3"/>
      <c r="K86" s="3"/>
    </row>
    <row r="87" spans="1:11" x14ac:dyDescent="0.3">
      <c r="A87" s="6">
        <f t="shared" si="5"/>
        <v>86</v>
      </c>
      <c r="B87" s="6"/>
      <c r="C87" s="7"/>
      <c r="D87" s="6"/>
      <c r="E87" s="7"/>
      <c r="F87" s="7"/>
      <c r="G87" s="3"/>
      <c r="I87" s="3"/>
      <c r="J87" s="3"/>
      <c r="K87" s="3"/>
    </row>
    <row r="88" spans="1:11" x14ac:dyDescent="0.3">
      <c r="A88" s="6">
        <f t="shared" si="5"/>
        <v>87</v>
      </c>
      <c r="B88" s="6"/>
      <c r="C88" s="7"/>
      <c r="D88" s="6"/>
      <c r="E88" s="7"/>
      <c r="F88" s="7"/>
      <c r="G88" s="3"/>
      <c r="I88" s="3"/>
      <c r="J88" s="3"/>
      <c r="K88" s="3"/>
    </row>
    <row r="89" spans="1:11" x14ac:dyDescent="0.3">
      <c r="A89" s="6">
        <f t="shared" si="5"/>
        <v>88</v>
      </c>
      <c r="B89" s="6"/>
      <c r="C89" s="7"/>
      <c r="D89" s="6"/>
      <c r="E89" s="7"/>
      <c r="F89" s="7"/>
      <c r="G89" s="3"/>
      <c r="I89" s="3"/>
      <c r="J89" s="3"/>
      <c r="K89" s="3"/>
    </row>
    <row r="90" spans="1:11" x14ac:dyDescent="0.3">
      <c r="A90" s="6">
        <f t="shared" si="5"/>
        <v>89</v>
      </c>
      <c r="B90" s="6"/>
      <c r="C90" s="7"/>
      <c r="D90" s="6"/>
      <c r="E90" s="7"/>
      <c r="F90" s="7"/>
      <c r="G90" s="3"/>
      <c r="I90" s="3"/>
      <c r="J90" s="3"/>
      <c r="K90" s="3"/>
    </row>
    <row r="91" spans="1:11" x14ac:dyDescent="0.3">
      <c r="A91" s="6">
        <f t="shared" si="5"/>
        <v>90</v>
      </c>
      <c r="B91" s="6"/>
      <c r="C91" s="7"/>
      <c r="D91" s="6"/>
      <c r="E91" s="7"/>
      <c r="F91" s="7"/>
      <c r="G91" s="3"/>
      <c r="I91" s="3"/>
      <c r="J91" s="3"/>
      <c r="K91" s="3"/>
    </row>
    <row r="92" spans="1:11" x14ac:dyDescent="0.3">
      <c r="A92" s="6">
        <f t="shared" si="5"/>
        <v>91</v>
      </c>
      <c r="B92" s="6"/>
      <c r="C92" s="7"/>
      <c r="D92" s="6"/>
      <c r="E92" s="7"/>
      <c r="F92" s="7"/>
      <c r="G92" s="3"/>
      <c r="I92" s="3"/>
      <c r="J92" s="3"/>
      <c r="K92" s="3"/>
    </row>
    <row r="93" spans="1:11" x14ac:dyDescent="0.3">
      <c r="A93" s="6">
        <f t="shared" si="5"/>
        <v>92</v>
      </c>
      <c r="B93" s="6"/>
      <c r="C93" s="7"/>
      <c r="D93" s="6"/>
      <c r="E93" s="7"/>
      <c r="F93" s="7"/>
      <c r="G93" s="3"/>
      <c r="I93" s="3"/>
      <c r="J93" s="3"/>
      <c r="K93" s="3"/>
    </row>
    <row r="94" spans="1:11" x14ac:dyDescent="0.3">
      <c r="A94" s="6">
        <f t="shared" si="5"/>
        <v>93</v>
      </c>
      <c r="B94" s="6"/>
      <c r="C94" s="7"/>
      <c r="D94" s="6"/>
      <c r="E94" s="7"/>
      <c r="F94" s="7"/>
      <c r="G94" s="3"/>
      <c r="I94" s="3"/>
      <c r="J94" s="3"/>
      <c r="K94" s="3"/>
    </row>
    <row r="95" spans="1:11" x14ac:dyDescent="0.3">
      <c r="A95" s="6">
        <f t="shared" si="5"/>
        <v>94</v>
      </c>
      <c r="B95" s="6"/>
      <c r="C95" s="7"/>
      <c r="D95" s="6"/>
      <c r="E95" s="7"/>
      <c r="F95" s="7"/>
      <c r="G95" s="3"/>
      <c r="I95" s="3"/>
      <c r="J95" s="3"/>
      <c r="K95" s="3"/>
    </row>
    <row r="96" spans="1:11" x14ac:dyDescent="0.3">
      <c r="A96" s="6">
        <f t="shared" si="5"/>
        <v>95</v>
      </c>
      <c r="B96" s="6"/>
      <c r="C96" s="7"/>
      <c r="D96" s="6"/>
      <c r="E96" s="7"/>
      <c r="F96" s="7"/>
      <c r="G96" s="3"/>
      <c r="I96" s="3"/>
      <c r="J96" s="3"/>
      <c r="K96" s="3"/>
    </row>
    <row r="97" spans="1:11" x14ac:dyDescent="0.3">
      <c r="A97" s="6">
        <f t="shared" si="5"/>
        <v>96</v>
      </c>
      <c r="B97" s="6"/>
      <c r="C97" s="7"/>
      <c r="D97" s="6"/>
      <c r="E97" s="7"/>
      <c r="F97" s="7"/>
      <c r="G97" s="3"/>
      <c r="I97" s="3"/>
      <c r="J97" s="3"/>
      <c r="K97" s="3"/>
    </row>
    <row r="98" spans="1:11" x14ac:dyDescent="0.3">
      <c r="A98" s="6">
        <f t="shared" si="5"/>
        <v>97</v>
      </c>
      <c r="B98" s="6"/>
      <c r="C98" s="7"/>
      <c r="D98" s="6"/>
      <c r="E98" s="7"/>
      <c r="F98" s="7"/>
      <c r="G98" s="3"/>
      <c r="I98" s="3"/>
      <c r="J98" s="3"/>
      <c r="K98" s="3"/>
    </row>
    <row r="99" spans="1:11" x14ac:dyDescent="0.3">
      <c r="A99" s="6">
        <f t="shared" si="5"/>
        <v>98</v>
      </c>
      <c r="B99" s="6"/>
      <c r="C99" s="7"/>
      <c r="D99" s="6"/>
      <c r="E99" s="7"/>
      <c r="F99" s="7"/>
      <c r="G99" s="3"/>
      <c r="I99" s="3"/>
      <c r="J99" s="3"/>
      <c r="K99" s="3"/>
    </row>
    <row r="100" spans="1:11" x14ac:dyDescent="0.3">
      <c r="A100" s="6">
        <f t="shared" si="5"/>
        <v>99</v>
      </c>
      <c r="B100" s="6"/>
      <c r="C100" s="7"/>
      <c r="D100" s="6"/>
      <c r="E100" s="7"/>
      <c r="F100" s="7"/>
      <c r="G100" s="3"/>
      <c r="I100" s="3"/>
      <c r="J100" s="3"/>
      <c r="K100" s="3"/>
    </row>
    <row r="101" spans="1:11" x14ac:dyDescent="0.3">
      <c r="A101" s="6">
        <f t="shared" si="5"/>
        <v>100</v>
      </c>
      <c r="B101" s="6"/>
      <c r="C101" s="7"/>
      <c r="D101" s="6"/>
      <c r="E101" s="7"/>
      <c r="F101" s="7"/>
      <c r="G101" s="3"/>
      <c r="I101" s="3"/>
      <c r="J101" s="3"/>
      <c r="K101" s="3"/>
    </row>
    <row r="102" spans="1:11" x14ac:dyDescent="0.3">
      <c r="A102" s="6">
        <f t="shared" si="5"/>
        <v>101</v>
      </c>
      <c r="B102" s="6"/>
      <c r="C102" s="7"/>
      <c r="D102" s="6"/>
      <c r="E102" s="7"/>
      <c r="F102" s="7"/>
      <c r="G102" s="3"/>
      <c r="I102" s="3"/>
      <c r="J102" s="3"/>
      <c r="K102" s="3"/>
    </row>
    <row r="103" spans="1:11" x14ac:dyDescent="0.3">
      <c r="A103" s="6">
        <f t="shared" si="5"/>
        <v>102</v>
      </c>
      <c r="B103" s="6"/>
      <c r="C103" s="7"/>
      <c r="D103" s="6"/>
      <c r="E103" s="7"/>
      <c r="F103" s="7"/>
      <c r="G103" s="3"/>
      <c r="I103" s="3"/>
      <c r="J103" s="3"/>
      <c r="K103" s="3"/>
    </row>
    <row r="104" spans="1:11" x14ac:dyDescent="0.3">
      <c r="A104" s="6">
        <f t="shared" si="5"/>
        <v>103</v>
      </c>
      <c r="B104" s="6"/>
      <c r="C104" s="7"/>
      <c r="D104" s="6"/>
      <c r="E104" s="7"/>
      <c r="F104" s="7"/>
      <c r="G104" s="3"/>
      <c r="I104" s="3"/>
      <c r="J104" s="3"/>
      <c r="K104" s="3"/>
    </row>
    <row r="105" spans="1:11" x14ac:dyDescent="0.3">
      <c r="A105" s="6">
        <f t="shared" si="5"/>
        <v>104</v>
      </c>
      <c r="B105" s="6"/>
      <c r="C105" s="7"/>
      <c r="D105" s="6"/>
      <c r="E105" s="7"/>
      <c r="F105" s="7"/>
      <c r="G105" s="3"/>
      <c r="I105" s="3"/>
      <c r="J105" s="3"/>
      <c r="K105" s="3"/>
    </row>
    <row r="106" spans="1:11" x14ac:dyDescent="0.3">
      <c r="A106" s="6">
        <f t="shared" si="5"/>
        <v>105</v>
      </c>
      <c r="B106" s="6"/>
      <c r="C106" s="7"/>
      <c r="D106" s="6"/>
      <c r="E106" s="7"/>
      <c r="F106" s="7"/>
      <c r="G106" s="3"/>
      <c r="I106" s="3"/>
      <c r="J106" s="3"/>
      <c r="K106" s="3"/>
    </row>
    <row r="107" spans="1:11" x14ac:dyDescent="0.3">
      <c r="A107" s="6">
        <f t="shared" si="5"/>
        <v>106</v>
      </c>
      <c r="B107" s="6"/>
      <c r="C107" s="7"/>
      <c r="D107" s="6"/>
      <c r="E107" s="7"/>
      <c r="F107" s="7"/>
      <c r="G107" s="3"/>
      <c r="I107" s="3"/>
      <c r="J107" s="3"/>
      <c r="K107" s="3"/>
    </row>
    <row r="108" spans="1:11" x14ac:dyDescent="0.3">
      <c r="A108" s="6">
        <f t="shared" si="5"/>
        <v>107</v>
      </c>
      <c r="B108" s="6"/>
      <c r="C108" s="7"/>
      <c r="D108" s="6"/>
      <c r="E108" s="7"/>
      <c r="F108" s="7"/>
      <c r="G108" s="3"/>
      <c r="I108" s="3"/>
      <c r="J108" s="3"/>
      <c r="K108" s="3"/>
    </row>
    <row r="109" spans="1:11" x14ac:dyDescent="0.3">
      <c r="A109" s="6">
        <f t="shared" si="5"/>
        <v>108</v>
      </c>
      <c r="B109" s="6"/>
      <c r="C109" s="7"/>
      <c r="D109" s="6"/>
      <c r="E109" s="7"/>
      <c r="F109" s="7"/>
      <c r="G109" s="3"/>
      <c r="I109" s="3"/>
      <c r="J109" s="3"/>
      <c r="K109" s="3"/>
    </row>
    <row r="110" spans="1:11" x14ac:dyDescent="0.3">
      <c r="A110" s="6">
        <f t="shared" si="5"/>
        <v>109</v>
      </c>
      <c r="B110" s="6"/>
      <c r="C110" s="7"/>
      <c r="D110" s="6"/>
      <c r="E110" s="7"/>
      <c r="F110" s="7"/>
      <c r="G110" s="3"/>
      <c r="I110" s="3"/>
      <c r="J110" s="3"/>
      <c r="K110" s="3"/>
    </row>
    <row r="111" spans="1:11" x14ac:dyDescent="0.3">
      <c r="A111" s="6">
        <f t="shared" si="5"/>
        <v>110</v>
      </c>
      <c r="B111" s="6"/>
      <c r="C111" s="7"/>
      <c r="D111" s="6"/>
      <c r="E111" s="7"/>
      <c r="F111" s="7"/>
      <c r="G111" s="3"/>
      <c r="I111" s="3"/>
      <c r="J111" s="3"/>
      <c r="K111" s="3"/>
    </row>
    <row r="112" spans="1:11" x14ac:dyDescent="0.3">
      <c r="A112" s="6">
        <f t="shared" si="5"/>
        <v>111</v>
      </c>
      <c r="B112" s="6"/>
      <c r="C112" s="7"/>
      <c r="D112" s="6"/>
      <c r="E112" s="7"/>
      <c r="F112" s="7"/>
      <c r="G112" s="3"/>
      <c r="I112" s="3"/>
      <c r="J112" s="3"/>
      <c r="K112" s="3"/>
    </row>
    <row r="113" spans="1:11" x14ac:dyDescent="0.3">
      <c r="A113" s="6">
        <f t="shared" si="5"/>
        <v>112</v>
      </c>
      <c r="B113" s="6"/>
      <c r="C113" s="7"/>
      <c r="D113" s="6"/>
      <c r="E113" s="7"/>
      <c r="F113" s="7"/>
      <c r="G113" s="3"/>
      <c r="I113" s="3"/>
      <c r="J113" s="3"/>
      <c r="K113" s="3"/>
    </row>
    <row r="114" spans="1:11" x14ac:dyDescent="0.3">
      <c r="A114" s="6">
        <f t="shared" si="5"/>
        <v>113</v>
      </c>
      <c r="B114" s="6"/>
      <c r="C114" s="7"/>
      <c r="D114" s="6"/>
      <c r="E114" s="7"/>
      <c r="F114" s="7"/>
      <c r="G114" s="3"/>
      <c r="I114" s="3"/>
      <c r="J114" s="3"/>
      <c r="K114" s="3"/>
    </row>
    <row r="115" spans="1:11" x14ac:dyDescent="0.3">
      <c r="A115" s="6">
        <f t="shared" si="5"/>
        <v>114</v>
      </c>
      <c r="B115" s="6"/>
      <c r="C115" s="7"/>
      <c r="D115" s="6"/>
      <c r="E115" s="7"/>
      <c r="F115" s="7"/>
      <c r="G115" s="3"/>
      <c r="I115" s="3"/>
      <c r="J115" s="3"/>
      <c r="K115" s="3"/>
    </row>
    <row r="116" spans="1:11" x14ac:dyDescent="0.3">
      <c r="A116" s="6">
        <f t="shared" si="5"/>
        <v>115</v>
      </c>
      <c r="B116" s="6"/>
      <c r="C116" s="7"/>
      <c r="D116" s="6"/>
      <c r="E116" s="7"/>
      <c r="F116" s="7"/>
      <c r="G116" s="3"/>
      <c r="I116" s="3"/>
      <c r="J116" s="3"/>
      <c r="K116" s="3"/>
    </row>
    <row r="117" spans="1:11" x14ac:dyDescent="0.3">
      <c r="A117" s="6">
        <f t="shared" si="5"/>
        <v>116</v>
      </c>
      <c r="B117" s="6"/>
      <c r="C117" s="7"/>
      <c r="D117" s="6"/>
      <c r="E117" s="7"/>
      <c r="F117" s="7"/>
      <c r="G117" s="3"/>
      <c r="I117" s="3"/>
      <c r="J117" s="3"/>
      <c r="K117" s="3"/>
    </row>
    <row r="118" spans="1:11" x14ac:dyDescent="0.3">
      <c r="A118" s="6">
        <f t="shared" si="5"/>
        <v>117</v>
      </c>
      <c r="B118" s="6"/>
      <c r="C118" s="7"/>
      <c r="D118" s="6"/>
      <c r="E118" s="7"/>
      <c r="F118" s="7"/>
      <c r="G118" s="3"/>
      <c r="I118" s="3"/>
      <c r="J118" s="3"/>
      <c r="K118" s="3"/>
    </row>
    <row r="119" spans="1:11" x14ac:dyDescent="0.3">
      <c r="A119" s="6">
        <f t="shared" si="5"/>
        <v>118</v>
      </c>
      <c r="B119" s="6"/>
      <c r="C119" s="7"/>
      <c r="D119" s="6"/>
      <c r="E119" s="7"/>
      <c r="F119" s="7"/>
      <c r="G119" s="3"/>
      <c r="I119" s="3"/>
      <c r="J119" s="3"/>
      <c r="K119" s="3"/>
    </row>
    <row r="120" spans="1:11" x14ac:dyDescent="0.3">
      <c r="A120" s="6">
        <f t="shared" si="5"/>
        <v>119</v>
      </c>
      <c r="B120" s="6"/>
      <c r="C120" s="7"/>
      <c r="D120" s="6"/>
      <c r="E120" s="7"/>
      <c r="F120" s="7"/>
      <c r="G120" s="3"/>
      <c r="I120" s="3"/>
      <c r="J120" s="3"/>
      <c r="K120" s="3"/>
    </row>
    <row r="121" spans="1:11" x14ac:dyDescent="0.3">
      <c r="A121" s="6">
        <f t="shared" si="5"/>
        <v>120</v>
      </c>
      <c r="B121" s="6"/>
      <c r="C121" s="7"/>
      <c r="D121" s="6"/>
      <c r="E121" s="7"/>
      <c r="F121" s="7"/>
      <c r="G121" s="3"/>
      <c r="I121" s="3"/>
      <c r="J121" s="3"/>
      <c r="K121" s="3"/>
    </row>
    <row r="122" spans="1:11" x14ac:dyDescent="0.3">
      <c r="A122" s="6">
        <f t="shared" si="5"/>
        <v>121</v>
      </c>
      <c r="B122" s="6"/>
      <c r="C122" s="7"/>
      <c r="D122" s="6"/>
      <c r="E122" s="7"/>
      <c r="F122" s="7"/>
      <c r="G122" s="3"/>
      <c r="I122" s="3"/>
      <c r="J122" s="3"/>
      <c r="K122" s="3"/>
    </row>
    <row r="123" spans="1:11" x14ac:dyDescent="0.3">
      <c r="A123" s="6">
        <f t="shared" si="5"/>
        <v>122</v>
      </c>
      <c r="B123" s="6"/>
      <c r="C123" s="7"/>
      <c r="D123" s="6"/>
      <c r="E123" s="7"/>
      <c r="F123" s="7"/>
      <c r="G123" s="3"/>
      <c r="I123" s="3"/>
      <c r="J123" s="3"/>
      <c r="K123" s="3"/>
    </row>
    <row r="124" spans="1:11" x14ac:dyDescent="0.3">
      <c r="A124" s="6">
        <f t="shared" si="5"/>
        <v>123</v>
      </c>
      <c r="B124" s="6"/>
      <c r="C124" s="7"/>
      <c r="D124" s="6"/>
      <c r="E124" s="7"/>
      <c r="F124" s="7"/>
      <c r="G124" s="3"/>
      <c r="I124" s="3"/>
      <c r="J124" s="3"/>
      <c r="K124" s="3"/>
    </row>
    <row r="125" spans="1:11" x14ac:dyDescent="0.3">
      <c r="A125" s="6">
        <f t="shared" si="5"/>
        <v>124</v>
      </c>
      <c r="B125" s="6"/>
      <c r="C125" s="7"/>
      <c r="D125" s="6"/>
      <c r="E125" s="7"/>
      <c r="F125" s="7"/>
      <c r="G125" s="3"/>
      <c r="I125" s="3"/>
      <c r="J125" s="3"/>
      <c r="K125" s="3"/>
    </row>
    <row r="126" spans="1:11" x14ac:dyDescent="0.3">
      <c r="A126" s="6">
        <f t="shared" si="5"/>
        <v>125</v>
      </c>
      <c r="B126" s="6"/>
      <c r="C126" s="7"/>
      <c r="D126" s="6"/>
      <c r="E126" s="7"/>
      <c r="F126" s="7"/>
      <c r="G126" s="3"/>
      <c r="I126" s="3"/>
      <c r="J126" s="3"/>
      <c r="K126" s="3"/>
    </row>
    <row r="127" spans="1:11" x14ac:dyDescent="0.3">
      <c r="A127" s="6">
        <f t="shared" si="5"/>
        <v>126</v>
      </c>
      <c r="B127" s="6"/>
      <c r="C127" s="7"/>
      <c r="D127" s="6"/>
      <c r="E127" s="7"/>
      <c r="F127" s="7"/>
      <c r="G127" s="3"/>
      <c r="I127" s="3"/>
      <c r="J127" s="3"/>
      <c r="K127" s="3"/>
    </row>
    <row r="128" spans="1:11" x14ac:dyDescent="0.3">
      <c r="A128" s="6">
        <f t="shared" si="5"/>
        <v>127</v>
      </c>
      <c r="B128" s="6"/>
      <c r="C128" s="7"/>
      <c r="D128" s="6"/>
      <c r="E128" s="7"/>
      <c r="F128" s="7"/>
      <c r="G128" s="3"/>
      <c r="I128" s="3"/>
      <c r="J128" s="3"/>
      <c r="K128" s="3"/>
    </row>
    <row r="129" spans="1:11" x14ac:dyDescent="0.3">
      <c r="A129" s="6">
        <f t="shared" si="5"/>
        <v>128</v>
      </c>
      <c r="B129" s="6"/>
      <c r="C129" s="7"/>
      <c r="D129" s="6"/>
      <c r="E129" s="7"/>
      <c r="F129" s="7"/>
      <c r="G129" s="3"/>
      <c r="I129" s="3"/>
      <c r="J129" s="3"/>
      <c r="K129" s="3"/>
    </row>
    <row r="130" spans="1:11" x14ac:dyDescent="0.3">
      <c r="A130" s="6">
        <f t="shared" si="5"/>
        <v>129</v>
      </c>
      <c r="B130" s="6"/>
      <c r="C130" s="7"/>
      <c r="D130" s="6"/>
      <c r="E130" s="7"/>
      <c r="F130" s="7"/>
      <c r="G130" s="3"/>
      <c r="I130" s="3"/>
      <c r="J130" s="3"/>
      <c r="K130" s="3"/>
    </row>
    <row r="131" spans="1:11" x14ac:dyDescent="0.3">
      <c r="A131" s="6">
        <f t="shared" si="5"/>
        <v>130</v>
      </c>
      <c r="B131" s="6"/>
      <c r="C131" s="7"/>
      <c r="D131" s="6"/>
      <c r="E131" s="7"/>
      <c r="F131" s="7"/>
      <c r="G131" s="3"/>
      <c r="I131" s="3"/>
      <c r="J131" s="3"/>
      <c r="K131" s="3"/>
    </row>
    <row r="132" spans="1:11" x14ac:dyDescent="0.3">
      <c r="A132" s="6">
        <f t="shared" ref="A132:A175" si="6">ROW()-1</f>
        <v>131</v>
      </c>
      <c r="B132" s="6"/>
      <c r="C132" s="7"/>
      <c r="D132" s="6"/>
      <c r="E132" s="7"/>
      <c r="F132" s="7"/>
      <c r="G132" s="3"/>
      <c r="I132" s="3"/>
      <c r="J132" s="3"/>
      <c r="K132" s="3"/>
    </row>
    <row r="133" spans="1:11" x14ac:dyDescent="0.3">
      <c r="A133" s="6">
        <f t="shared" si="6"/>
        <v>132</v>
      </c>
      <c r="B133" s="6"/>
      <c r="C133" s="7"/>
      <c r="D133" s="6"/>
      <c r="E133" s="7"/>
      <c r="F133" s="7"/>
      <c r="G133" s="3"/>
      <c r="I133" s="3"/>
      <c r="J133" s="3"/>
      <c r="K133" s="3"/>
    </row>
    <row r="134" spans="1:11" x14ac:dyDescent="0.3">
      <c r="A134" s="6">
        <f t="shared" si="6"/>
        <v>133</v>
      </c>
      <c r="B134" s="6"/>
      <c r="C134" s="7"/>
      <c r="D134" s="6"/>
      <c r="E134" s="7"/>
      <c r="F134" s="7"/>
      <c r="G134" s="3"/>
      <c r="I134" s="3"/>
      <c r="J134" s="3"/>
      <c r="K134" s="3"/>
    </row>
    <row r="135" spans="1:11" x14ac:dyDescent="0.3">
      <c r="A135" s="6">
        <f t="shared" si="6"/>
        <v>134</v>
      </c>
      <c r="B135" s="6"/>
      <c r="C135" s="7"/>
      <c r="D135" s="6"/>
      <c r="E135" s="7"/>
      <c r="F135" s="7"/>
      <c r="G135" s="3"/>
      <c r="I135" s="3"/>
      <c r="J135" s="3"/>
      <c r="K135" s="3"/>
    </row>
    <row r="136" spans="1:11" x14ac:dyDescent="0.3">
      <c r="A136" s="6">
        <f t="shared" si="6"/>
        <v>135</v>
      </c>
      <c r="B136" s="6"/>
      <c r="C136" s="7"/>
      <c r="D136" s="6"/>
      <c r="E136" s="7"/>
      <c r="F136" s="7"/>
      <c r="G136" s="3"/>
      <c r="I136" s="3"/>
      <c r="J136" s="3"/>
      <c r="K136" s="3"/>
    </row>
    <row r="137" spans="1:11" x14ac:dyDescent="0.3">
      <c r="A137" s="6">
        <f t="shared" si="6"/>
        <v>136</v>
      </c>
      <c r="B137" s="6"/>
      <c r="C137" s="7"/>
      <c r="D137" s="6"/>
      <c r="E137" s="7"/>
      <c r="F137" s="7"/>
      <c r="G137" s="3"/>
      <c r="I137" s="3"/>
      <c r="J137" s="3"/>
      <c r="K137" s="3"/>
    </row>
    <row r="138" spans="1:11" x14ac:dyDescent="0.3">
      <c r="A138" s="6">
        <f t="shared" si="6"/>
        <v>137</v>
      </c>
      <c r="B138" s="6"/>
      <c r="C138" s="7"/>
      <c r="D138" s="6"/>
      <c r="E138" s="7"/>
      <c r="F138" s="7"/>
      <c r="G138" s="3"/>
      <c r="I138" s="3"/>
      <c r="J138" s="3"/>
      <c r="K138" s="3"/>
    </row>
    <row r="139" spans="1:11" x14ac:dyDescent="0.3">
      <c r="A139" s="6">
        <f t="shared" si="6"/>
        <v>138</v>
      </c>
      <c r="B139" s="6"/>
      <c r="C139" s="7"/>
      <c r="D139" s="6"/>
      <c r="E139" s="7"/>
      <c r="F139" s="7"/>
      <c r="G139" s="3"/>
      <c r="I139" s="3"/>
      <c r="J139" s="3"/>
      <c r="K139" s="3"/>
    </row>
    <row r="140" spans="1:11" x14ac:dyDescent="0.3">
      <c r="A140" s="6">
        <f t="shared" si="6"/>
        <v>139</v>
      </c>
      <c r="B140" s="6"/>
      <c r="C140" s="7"/>
      <c r="D140" s="6"/>
      <c r="E140" s="7"/>
      <c r="F140" s="7"/>
      <c r="G140" s="3"/>
      <c r="I140" s="3"/>
      <c r="J140" s="3"/>
      <c r="K140" s="3"/>
    </row>
    <row r="141" spans="1:11" x14ac:dyDescent="0.3">
      <c r="A141" s="6">
        <f t="shared" si="6"/>
        <v>140</v>
      </c>
      <c r="B141" s="6"/>
      <c r="C141" s="7"/>
      <c r="D141" s="6"/>
      <c r="E141" s="7"/>
      <c r="F141" s="7"/>
      <c r="G141" s="3"/>
      <c r="I141" s="3"/>
      <c r="J141" s="3"/>
      <c r="K141" s="3"/>
    </row>
    <row r="142" spans="1:11" x14ac:dyDescent="0.3">
      <c r="A142" s="6">
        <f t="shared" si="6"/>
        <v>141</v>
      </c>
      <c r="B142" s="6"/>
      <c r="C142" s="7"/>
      <c r="D142" s="6"/>
      <c r="E142" s="7"/>
      <c r="F142" s="7"/>
      <c r="G142" s="3"/>
      <c r="I142" s="3"/>
      <c r="J142" s="3"/>
      <c r="K142" s="3"/>
    </row>
    <row r="143" spans="1:11" x14ac:dyDescent="0.3">
      <c r="A143" s="6">
        <f t="shared" si="6"/>
        <v>142</v>
      </c>
      <c r="B143" s="6"/>
      <c r="C143" s="7"/>
      <c r="D143" s="6"/>
      <c r="E143" s="7"/>
      <c r="F143" s="7"/>
      <c r="G143" s="3"/>
      <c r="I143" s="3"/>
      <c r="J143" s="3"/>
      <c r="K143" s="3"/>
    </row>
    <row r="144" spans="1:11" x14ac:dyDescent="0.3">
      <c r="A144" s="6">
        <f t="shared" si="6"/>
        <v>143</v>
      </c>
      <c r="B144" s="6"/>
      <c r="C144" s="7"/>
      <c r="D144" s="6"/>
      <c r="E144" s="7"/>
      <c r="F144" s="7"/>
      <c r="G144" s="3"/>
      <c r="I144" s="3"/>
      <c r="J144" s="3"/>
      <c r="K144" s="3"/>
    </row>
    <row r="145" spans="1:11" x14ac:dyDescent="0.3">
      <c r="A145" s="6">
        <f t="shared" si="6"/>
        <v>144</v>
      </c>
      <c r="B145" s="6"/>
      <c r="C145" s="7"/>
      <c r="D145" s="6"/>
      <c r="E145" s="7"/>
      <c r="F145" s="7"/>
      <c r="G145" s="3"/>
      <c r="I145" s="3"/>
      <c r="J145" s="3"/>
      <c r="K145" s="3"/>
    </row>
    <row r="146" spans="1:11" x14ac:dyDescent="0.3">
      <c r="A146" s="6">
        <f t="shared" si="6"/>
        <v>145</v>
      </c>
      <c r="B146" s="6"/>
      <c r="C146" s="7"/>
      <c r="D146" s="6"/>
      <c r="E146" s="7"/>
      <c r="F146" s="7"/>
      <c r="G146" s="3"/>
      <c r="I146" s="3"/>
      <c r="J146" s="3"/>
      <c r="K146" s="3"/>
    </row>
    <row r="147" spans="1:11" x14ac:dyDescent="0.3">
      <c r="A147" s="6">
        <f t="shared" si="6"/>
        <v>146</v>
      </c>
      <c r="B147" s="6"/>
      <c r="C147" s="7"/>
      <c r="D147" s="6"/>
      <c r="E147" s="7"/>
      <c r="F147" s="7"/>
      <c r="G147" s="3"/>
      <c r="I147" s="3"/>
      <c r="J147" s="3"/>
      <c r="K147" s="3"/>
    </row>
    <row r="148" spans="1:11" x14ac:dyDescent="0.3">
      <c r="A148" s="6">
        <f t="shared" si="6"/>
        <v>147</v>
      </c>
      <c r="B148" s="6"/>
      <c r="C148" s="7"/>
      <c r="D148" s="6"/>
      <c r="E148" s="7"/>
      <c r="F148" s="7"/>
      <c r="G148" s="3"/>
      <c r="I148" s="3"/>
      <c r="J148" s="3"/>
      <c r="K148" s="3"/>
    </row>
    <row r="149" spans="1:11" x14ac:dyDescent="0.3">
      <c r="A149" s="6">
        <f t="shared" si="6"/>
        <v>148</v>
      </c>
      <c r="B149" s="6"/>
      <c r="C149" s="7"/>
      <c r="D149" s="6"/>
      <c r="E149" s="7"/>
      <c r="F149" s="7"/>
      <c r="G149" s="3"/>
      <c r="I149" s="3"/>
      <c r="J149" s="3"/>
      <c r="K149" s="3"/>
    </row>
    <row r="150" spans="1:11" x14ac:dyDescent="0.3">
      <c r="A150" s="6">
        <f t="shared" si="6"/>
        <v>149</v>
      </c>
      <c r="B150" s="6"/>
      <c r="C150" s="7"/>
      <c r="D150" s="6"/>
      <c r="E150" s="7"/>
      <c r="F150" s="7"/>
      <c r="G150" s="3"/>
      <c r="I150" s="3"/>
      <c r="J150" s="3"/>
      <c r="K150" s="3"/>
    </row>
    <row r="151" spans="1:11" x14ac:dyDescent="0.3">
      <c r="A151" s="6">
        <f t="shared" si="6"/>
        <v>150</v>
      </c>
      <c r="B151" s="6"/>
      <c r="C151" s="7"/>
      <c r="D151" s="6"/>
      <c r="E151" s="7"/>
      <c r="F151" s="7"/>
      <c r="G151" s="3"/>
      <c r="I151" s="3"/>
      <c r="J151" s="3"/>
      <c r="K151" s="3"/>
    </row>
    <row r="152" spans="1:11" x14ac:dyDescent="0.3">
      <c r="A152" s="6">
        <f t="shared" si="6"/>
        <v>151</v>
      </c>
      <c r="B152" s="6"/>
      <c r="C152" s="7"/>
      <c r="D152" s="6"/>
      <c r="E152" s="7"/>
      <c r="F152" s="7"/>
      <c r="G152" s="3"/>
      <c r="I152" s="3"/>
      <c r="J152" s="3"/>
      <c r="K152" s="3"/>
    </row>
    <row r="153" spans="1:11" x14ac:dyDescent="0.3">
      <c r="A153" s="6">
        <f t="shared" si="6"/>
        <v>152</v>
      </c>
      <c r="B153" s="6"/>
      <c r="C153" s="7"/>
      <c r="D153" s="6"/>
      <c r="E153" s="7"/>
      <c r="F153" s="7"/>
      <c r="G153" s="3"/>
      <c r="I153" s="3"/>
      <c r="J153" s="3"/>
      <c r="K153" s="3"/>
    </row>
    <row r="154" spans="1:11" x14ac:dyDescent="0.3">
      <c r="A154" s="6">
        <f t="shared" si="6"/>
        <v>153</v>
      </c>
      <c r="B154" s="6"/>
      <c r="C154" s="7"/>
      <c r="D154" s="6"/>
      <c r="E154" s="7"/>
      <c r="F154" s="7"/>
      <c r="G154" s="3"/>
      <c r="I154" s="3"/>
      <c r="J154" s="3"/>
      <c r="K154" s="3"/>
    </row>
    <row r="155" spans="1:11" x14ac:dyDescent="0.3">
      <c r="A155" s="6">
        <f t="shared" si="6"/>
        <v>154</v>
      </c>
      <c r="B155" s="6"/>
      <c r="C155" s="7"/>
      <c r="D155" s="6"/>
      <c r="E155" s="7"/>
      <c r="F155" s="7"/>
      <c r="G155" s="3"/>
      <c r="I155" s="3"/>
      <c r="J155" s="3"/>
      <c r="K155" s="3"/>
    </row>
    <row r="156" spans="1:11" x14ac:dyDescent="0.3">
      <c r="A156" s="6">
        <f t="shared" si="6"/>
        <v>155</v>
      </c>
      <c r="B156" s="6"/>
      <c r="C156" s="7"/>
      <c r="D156" s="6"/>
      <c r="E156" s="7"/>
      <c r="F156" s="7"/>
      <c r="G156" s="3"/>
      <c r="I156" s="3"/>
      <c r="J156" s="3"/>
      <c r="K156" s="3"/>
    </row>
    <row r="157" spans="1:11" x14ac:dyDescent="0.3">
      <c r="A157" s="6">
        <f t="shared" si="6"/>
        <v>156</v>
      </c>
      <c r="B157" s="6"/>
      <c r="C157" s="7"/>
      <c r="D157" s="6"/>
      <c r="E157" s="7"/>
      <c r="F157" s="7"/>
      <c r="G157" s="3"/>
      <c r="I157" s="3"/>
      <c r="J157" s="3"/>
      <c r="K157" s="3"/>
    </row>
    <row r="158" spans="1:11" x14ac:dyDescent="0.3">
      <c r="A158" s="6">
        <f t="shared" si="6"/>
        <v>157</v>
      </c>
      <c r="B158" s="6"/>
      <c r="C158" s="7"/>
      <c r="D158" s="6"/>
      <c r="E158" s="7"/>
      <c r="F158" s="7"/>
      <c r="G158" s="3"/>
      <c r="I158" s="3"/>
      <c r="J158" s="3"/>
      <c r="K158" s="3"/>
    </row>
    <row r="159" spans="1:11" x14ac:dyDescent="0.3">
      <c r="A159" s="6">
        <f t="shared" si="6"/>
        <v>158</v>
      </c>
      <c r="B159" s="6"/>
      <c r="C159" s="7"/>
      <c r="D159" s="6"/>
      <c r="E159" s="7"/>
      <c r="F159" s="7"/>
      <c r="G159" s="3"/>
      <c r="I159" s="3"/>
      <c r="J159" s="3"/>
      <c r="K159" s="3"/>
    </row>
    <row r="160" spans="1:11" x14ac:dyDescent="0.3">
      <c r="A160" s="6">
        <f t="shared" si="6"/>
        <v>159</v>
      </c>
      <c r="B160" s="6"/>
      <c r="C160" s="7"/>
      <c r="D160" s="6"/>
      <c r="E160" s="7"/>
      <c r="F160" s="7"/>
      <c r="G160" s="3"/>
      <c r="I160" s="3"/>
      <c r="J160" s="3"/>
      <c r="K160" s="3"/>
    </row>
    <row r="161" spans="1:11" x14ac:dyDescent="0.3">
      <c r="A161" s="6">
        <f t="shared" si="6"/>
        <v>160</v>
      </c>
      <c r="B161" s="6"/>
      <c r="C161" s="7"/>
      <c r="D161" s="6"/>
      <c r="E161" s="7"/>
      <c r="F161" s="7"/>
      <c r="G161" s="3"/>
      <c r="I161" s="3"/>
      <c r="J161" s="3"/>
      <c r="K161" s="3"/>
    </row>
    <row r="162" spans="1:11" x14ac:dyDescent="0.3">
      <c r="A162" s="6">
        <f t="shared" si="6"/>
        <v>161</v>
      </c>
      <c r="B162" s="6"/>
      <c r="C162" s="7"/>
      <c r="D162" s="6"/>
      <c r="E162" s="7"/>
      <c r="F162" s="7"/>
      <c r="G162" s="3"/>
      <c r="I162" s="3"/>
      <c r="J162" s="3"/>
      <c r="K162" s="3"/>
    </row>
    <row r="163" spans="1:11" x14ac:dyDescent="0.3">
      <c r="A163" s="6">
        <f t="shared" si="6"/>
        <v>162</v>
      </c>
      <c r="B163" s="6"/>
      <c r="C163" s="7"/>
      <c r="D163" s="6"/>
      <c r="E163" s="7"/>
      <c r="F163" s="7"/>
      <c r="G163" s="3"/>
      <c r="I163" s="3"/>
      <c r="J163" s="3"/>
      <c r="K163" s="3"/>
    </row>
    <row r="164" spans="1:11" x14ac:dyDescent="0.3">
      <c r="A164" s="6">
        <f t="shared" si="6"/>
        <v>163</v>
      </c>
      <c r="B164" s="6"/>
      <c r="C164" s="7"/>
      <c r="D164" s="6"/>
      <c r="E164" s="7"/>
      <c r="F164" s="7"/>
      <c r="G164" s="3"/>
      <c r="I164" s="3"/>
      <c r="J164" s="3"/>
      <c r="K164" s="3"/>
    </row>
    <row r="165" spans="1:11" x14ac:dyDescent="0.3">
      <c r="A165" s="6">
        <f t="shared" si="6"/>
        <v>164</v>
      </c>
      <c r="B165" s="6"/>
      <c r="C165" s="7"/>
      <c r="D165" s="6"/>
      <c r="E165" s="7"/>
      <c r="F165" s="7"/>
      <c r="G165" s="3"/>
      <c r="I165" s="3"/>
      <c r="J165" s="3"/>
      <c r="K165" s="3"/>
    </row>
    <row r="166" spans="1:11" x14ac:dyDescent="0.3">
      <c r="A166" s="6">
        <f t="shared" si="6"/>
        <v>165</v>
      </c>
      <c r="B166" s="6"/>
      <c r="C166" s="7"/>
      <c r="D166" s="6"/>
      <c r="E166" s="7"/>
      <c r="F166" s="7"/>
      <c r="G166" s="3"/>
      <c r="I166" s="3"/>
      <c r="J166" s="3"/>
      <c r="K166" s="3"/>
    </row>
    <row r="167" spans="1:11" x14ac:dyDescent="0.3">
      <c r="A167" s="6">
        <f t="shared" si="6"/>
        <v>166</v>
      </c>
      <c r="B167" s="6"/>
      <c r="C167" s="7"/>
      <c r="D167" s="6"/>
      <c r="E167" s="7"/>
      <c r="F167" s="7"/>
      <c r="G167" s="3"/>
      <c r="I167" s="3"/>
      <c r="J167" s="3"/>
      <c r="K167" s="3"/>
    </row>
    <row r="168" spans="1:11" x14ac:dyDescent="0.3">
      <c r="A168" s="6">
        <f t="shared" si="6"/>
        <v>167</v>
      </c>
      <c r="B168" s="6"/>
      <c r="C168" s="7"/>
      <c r="D168" s="6"/>
      <c r="E168" s="7"/>
      <c r="F168" s="7"/>
      <c r="G168" s="3"/>
      <c r="I168" s="3"/>
      <c r="J168" s="3"/>
      <c r="K168" s="3"/>
    </row>
    <row r="169" spans="1:11" x14ac:dyDescent="0.3">
      <c r="A169" s="6">
        <f t="shared" si="6"/>
        <v>168</v>
      </c>
      <c r="B169" s="6"/>
      <c r="C169" s="7"/>
      <c r="D169" s="6"/>
      <c r="E169" s="7"/>
      <c r="F169" s="7"/>
      <c r="G169" s="3"/>
      <c r="I169" s="3"/>
      <c r="J169" s="3"/>
      <c r="K169" s="3"/>
    </row>
    <row r="170" spans="1:11" x14ac:dyDescent="0.3">
      <c r="A170" s="6">
        <f t="shared" si="6"/>
        <v>169</v>
      </c>
      <c r="B170" s="6"/>
      <c r="C170" s="7"/>
      <c r="D170" s="6"/>
      <c r="E170" s="7"/>
      <c r="F170" s="7"/>
      <c r="G170" s="3"/>
      <c r="I170" s="3"/>
      <c r="J170" s="3"/>
      <c r="K170" s="3"/>
    </row>
    <row r="171" spans="1:11" x14ac:dyDescent="0.3">
      <c r="A171" s="6">
        <f t="shared" si="6"/>
        <v>170</v>
      </c>
      <c r="B171" s="6"/>
      <c r="C171" s="7"/>
      <c r="D171" s="6"/>
      <c r="E171" s="7"/>
      <c r="F171" s="7"/>
      <c r="G171" s="3"/>
      <c r="I171" s="3"/>
      <c r="J171" s="3"/>
      <c r="K171" s="3"/>
    </row>
    <row r="172" spans="1:11" x14ac:dyDescent="0.3">
      <c r="A172" s="6">
        <f t="shared" si="6"/>
        <v>171</v>
      </c>
      <c r="B172" s="6"/>
      <c r="C172" s="7"/>
      <c r="D172" s="6"/>
      <c r="E172" s="7"/>
      <c r="F172" s="7"/>
      <c r="G172" s="3"/>
      <c r="I172" s="3"/>
      <c r="J172" s="3"/>
      <c r="K172" s="3"/>
    </row>
    <row r="173" spans="1:11" x14ac:dyDescent="0.3">
      <c r="A173" s="6">
        <f t="shared" si="6"/>
        <v>172</v>
      </c>
      <c r="B173" s="6"/>
      <c r="C173" s="7"/>
      <c r="D173" s="6"/>
      <c r="E173" s="7"/>
      <c r="F173" s="7"/>
      <c r="G173" s="3"/>
      <c r="I173" s="3"/>
      <c r="J173" s="3"/>
      <c r="K173" s="3"/>
    </row>
    <row r="174" spans="1:11" x14ac:dyDescent="0.3">
      <c r="A174" s="6">
        <f t="shared" si="6"/>
        <v>173</v>
      </c>
      <c r="B174" s="6"/>
      <c r="C174" s="7"/>
      <c r="D174" s="6"/>
      <c r="E174" s="7"/>
      <c r="F174" s="7"/>
      <c r="G174" s="3"/>
      <c r="I174" s="3"/>
      <c r="J174" s="3"/>
      <c r="K174" s="3"/>
    </row>
    <row r="175" spans="1:11" x14ac:dyDescent="0.3">
      <c r="A175" s="6">
        <f t="shared" si="6"/>
        <v>174</v>
      </c>
      <c r="B175" s="6"/>
      <c r="C175" s="7"/>
      <c r="D175" s="6"/>
      <c r="E175" s="7"/>
      <c r="F175" s="7"/>
      <c r="G175" s="3"/>
      <c r="I175" s="3"/>
      <c r="J175" s="3"/>
      <c r="K175" s="3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테스트</vt:lpstr>
      <vt:lpstr>output</vt:lpstr>
      <vt:lpstr>INPUT</vt:lpstr>
      <vt:lpstr>24.3Q 해외유사기업(DF정리)</vt:lpstr>
      <vt:lpstr>24.3Q 해외유사기업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다.김영하</dc:creator>
  <cp:lastModifiedBy>동우 채</cp:lastModifiedBy>
  <dcterms:created xsi:type="dcterms:W3CDTF">2024-08-14T01:50:38Z</dcterms:created>
  <dcterms:modified xsi:type="dcterms:W3CDTF">2024-08-14T08:37:39Z</dcterms:modified>
</cp:coreProperties>
</file>