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0.10.10.11\Ai본부\F.AI본부\★Bloomberg_파라미터\★파라미터 총괄\★소비자물가,생산자물가,임차료상승률\"/>
    </mc:Choice>
  </mc:AlternateContent>
  <bookViews>
    <workbookView xWindow="0" yWindow="0" windowWidth="28800" windowHeight="12165" tabRatio="909" activeTab="2"/>
  </bookViews>
  <sheets>
    <sheet name="Raw Data" sheetId="1" r:id="rId1"/>
    <sheet name="6월근거자료" sheetId="37" r:id="rId2"/>
    <sheet name="조회판" sheetId="2" r:id="rId3"/>
    <sheet name="2024.07" sheetId="56" r:id="rId4"/>
    <sheet name="2024.06(O)" sheetId="55" r:id="rId5"/>
    <sheet name="2024.05(O)" sheetId="54" r:id="rId6"/>
    <sheet name="2024.04(O)" sheetId="53" r:id="rId7"/>
    <sheet name="2024.03(O)" sheetId="52" r:id="rId8"/>
    <sheet name="2024.02(O)" sheetId="51" r:id="rId9"/>
    <sheet name="2024.01(O)" sheetId="50" r:id="rId10"/>
    <sheet name="2023.12(O)" sheetId="49" r:id="rId11"/>
    <sheet name="2023.11(O)" sheetId="48" r:id="rId12"/>
    <sheet name="2023.10(X)" sheetId="44" r:id="rId13"/>
    <sheet name="2023.09(O)_1개월 전 지표까지" sheetId="42" r:id="rId14"/>
    <sheet name="2023.09(X)" sheetId="41" r:id="rId15"/>
    <sheet name="2023.08(O)" sheetId="39" r:id="rId16"/>
    <sheet name="2023.07(O)" sheetId="38" r:id="rId17"/>
    <sheet name="2023.06(O)" sheetId="36" r:id="rId18"/>
    <sheet name="2023.05(O)" sheetId="35" r:id="rId19"/>
    <sheet name="2023.04(O)" sheetId="34" r:id="rId20"/>
    <sheet name="2023.03(O)" sheetId="32" r:id="rId21"/>
    <sheet name="2023.02(O)" sheetId="31" r:id="rId22"/>
    <sheet name="2023.01(O)" sheetId="30" r:id="rId23"/>
    <sheet name="2022.12(O)" sheetId="27" r:id="rId24"/>
    <sheet name="2022.11(O)" sheetId="26" r:id="rId25"/>
    <sheet name="2022.10(O)" sheetId="24" r:id="rId26"/>
    <sheet name="2022.09(O)" sheetId="23" r:id="rId27"/>
    <sheet name="2022.08(O)" sheetId="22" r:id="rId28"/>
    <sheet name="2022.07(O)" sheetId="21" r:id="rId29"/>
    <sheet name="2022.06(O)" sheetId="20" r:id="rId30"/>
    <sheet name="2022.05(O)" sheetId="19" r:id="rId31"/>
    <sheet name="2022.04(O)" sheetId="17" r:id="rId32"/>
    <sheet name="2022.03(O)" sheetId="15" r:id="rId33"/>
    <sheet name="2022.02(O)" sheetId="13" r:id="rId34"/>
    <sheet name="2022.01(O)" sheetId="12" r:id="rId35"/>
    <sheet name="2021.12(O)" sheetId="11" r:id="rId36"/>
    <sheet name="2021.11(O)" sheetId="10" r:id="rId37"/>
    <sheet name="2021.10(O)" sheetId="8" r:id="rId38"/>
    <sheet name="2021.09(O)" sheetId="7" r:id="rId39"/>
    <sheet name="2021.08(O)" sheetId="6" r:id="rId40"/>
    <sheet name="2021.07(O)" sheetId="4" r:id="rId4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7" i="56" l="1"/>
  <c r="W46" i="56" s="1"/>
  <c r="W45" i="56" s="1"/>
  <c r="W44" i="56" s="1"/>
  <c r="W43" i="56" s="1"/>
  <c r="W42" i="56" s="1"/>
  <c r="W41" i="56" s="1"/>
  <c r="W40" i="56" s="1"/>
  <c r="W39" i="56" s="1"/>
  <c r="W38" i="56" s="1"/>
  <c r="W37" i="56" s="1"/>
  <c r="F19" i="1"/>
  <c r="F11" i="1"/>
  <c r="F7" i="1"/>
  <c r="F3" i="1"/>
  <c r="F2" i="1"/>
  <c r="AK34" i="56" l="1"/>
  <c r="AK33" i="56" s="1"/>
  <c r="AK32" i="56" s="1"/>
  <c r="AK31" i="56" s="1"/>
  <c r="AK30" i="56" s="1"/>
  <c r="AK29" i="56" s="1"/>
  <c r="AK28" i="56" s="1"/>
  <c r="AK27" i="56" s="1"/>
  <c r="AK26" i="56" s="1"/>
  <c r="AK25" i="56" s="1"/>
  <c r="AK24" i="56" s="1"/>
  <c r="AK47" i="56"/>
  <c r="AK46" i="56" s="1"/>
  <c r="AK45" i="56" s="1"/>
  <c r="AK44" i="56" s="1"/>
  <c r="AK43" i="56" s="1"/>
  <c r="AK42" i="56" s="1"/>
  <c r="AK41" i="56" s="1"/>
  <c r="AK40" i="56" s="1"/>
  <c r="AK39" i="56" s="1"/>
  <c r="AK38" i="56" s="1"/>
  <c r="AK37" i="56" s="1"/>
  <c r="W34" i="56"/>
  <c r="W33" i="56" s="1"/>
  <c r="W32" i="56" s="1"/>
  <c r="W31" i="56" s="1"/>
  <c r="W30" i="56" s="1"/>
  <c r="W29" i="56" s="1"/>
  <c r="W28" i="56" s="1"/>
  <c r="W27" i="56" s="1"/>
  <c r="W26" i="56" s="1"/>
  <c r="W25" i="56" s="1"/>
  <c r="W24" i="56" s="1"/>
  <c r="W21" i="56"/>
  <c r="AK21" i="56"/>
  <c r="AK20" i="56" s="1"/>
  <c r="AK19" i="56" s="1"/>
  <c r="AK18" i="56" s="1"/>
  <c r="AK17" i="56" s="1"/>
  <c r="AK16" i="56" s="1"/>
  <c r="AK15" i="56" s="1"/>
  <c r="AK14" i="56" s="1"/>
  <c r="AK13" i="56" s="1"/>
  <c r="AK12" i="56" s="1"/>
  <c r="AK11" i="56" s="1"/>
  <c r="AK34" i="55"/>
  <c r="AK33" i="55" s="1"/>
  <c r="AK32" i="55" s="1"/>
  <c r="AK31" i="55" s="1"/>
  <c r="AK30" i="55" s="1"/>
  <c r="AK29" i="55" s="1"/>
  <c r="AK28" i="55" s="1"/>
  <c r="AK27" i="55" s="1"/>
  <c r="AK26" i="55" s="1"/>
  <c r="AK25" i="55" s="1"/>
  <c r="AK24" i="55" s="1"/>
  <c r="W34" i="55"/>
  <c r="W33" i="55" s="1"/>
  <c r="W32" i="55" s="1"/>
  <c r="W31" i="55" s="1"/>
  <c r="W30" i="55" s="1"/>
  <c r="W29" i="55" s="1"/>
  <c r="W28" i="55" s="1"/>
  <c r="W27" i="55" s="1"/>
  <c r="W26" i="55" s="1"/>
  <c r="W25" i="55" s="1"/>
  <c r="W24" i="55" s="1"/>
  <c r="W21" i="55"/>
  <c r="AK47" i="55"/>
  <c r="AK46" i="55" s="1"/>
  <c r="AK45" i="55" s="1"/>
  <c r="AK44" i="55" s="1"/>
  <c r="AK43" i="55" s="1"/>
  <c r="AK42" i="55" s="1"/>
  <c r="AK41" i="55" s="1"/>
  <c r="AK40" i="55" s="1"/>
  <c r="AK39" i="55" s="1"/>
  <c r="AK38" i="55" s="1"/>
  <c r="AK37" i="55" s="1"/>
  <c r="W47" i="55"/>
  <c r="W46" i="55" s="1"/>
  <c r="W45" i="55" s="1"/>
  <c r="W44" i="55" s="1"/>
  <c r="W43" i="55" s="1"/>
  <c r="W42" i="55" s="1"/>
  <c r="W41" i="55" s="1"/>
  <c r="W40" i="55" s="1"/>
  <c r="W39" i="55" s="1"/>
  <c r="W38" i="55" s="1"/>
  <c r="W37" i="55" s="1"/>
  <c r="AK21" i="55"/>
  <c r="AK20" i="55" s="1"/>
  <c r="AK19" i="55" s="1"/>
  <c r="AK18" i="55" s="1"/>
  <c r="AK17" i="55" s="1"/>
  <c r="AK16" i="55" s="1"/>
  <c r="AK15" i="55" s="1"/>
  <c r="AK14" i="55" s="1"/>
  <c r="AK13" i="55" s="1"/>
  <c r="AK12" i="55" s="1"/>
  <c r="AK11" i="55" s="1"/>
  <c r="G19" i="1"/>
  <c r="G11" i="1"/>
  <c r="G7" i="1"/>
  <c r="G3" i="1"/>
  <c r="G2" i="1"/>
  <c r="I2" i="1"/>
  <c r="H2" i="1"/>
  <c r="W21" i="54"/>
  <c r="H19" i="1"/>
  <c r="H11" i="1"/>
  <c r="H7" i="1"/>
  <c r="H3" i="1"/>
  <c r="AB21" i="56" l="1"/>
  <c r="AA21" i="56"/>
  <c r="AC21" i="56"/>
  <c r="Z21" i="56"/>
  <c r="Y21" i="56"/>
  <c r="X21" i="56"/>
  <c r="W20" i="56"/>
  <c r="AE21" i="56"/>
  <c r="AD21" i="56"/>
  <c r="AG21" i="56"/>
  <c r="AF21" i="56"/>
  <c r="AI21" i="56"/>
  <c r="AH21" i="56"/>
  <c r="AB21" i="55"/>
  <c r="AA21" i="55"/>
  <c r="Y21" i="55"/>
  <c r="AC21" i="55"/>
  <c r="X21" i="55"/>
  <c r="Z21" i="55"/>
  <c r="AH21" i="55"/>
  <c r="AD21" i="55"/>
  <c r="AI21" i="55"/>
  <c r="AG21" i="55"/>
  <c r="AF21" i="55"/>
  <c r="AE21" i="55"/>
  <c r="W20" i="55"/>
  <c r="AK34" i="54"/>
  <c r="AK33" i="54" s="1"/>
  <c r="AK32" i="54" s="1"/>
  <c r="AK31" i="54" s="1"/>
  <c r="AK30" i="54" s="1"/>
  <c r="AK29" i="54" s="1"/>
  <c r="AK28" i="54" s="1"/>
  <c r="AK27" i="54" s="1"/>
  <c r="AK26" i="54" s="1"/>
  <c r="AK25" i="54" s="1"/>
  <c r="AK24" i="54" s="1"/>
  <c r="AK21" i="54"/>
  <c r="AK20" i="54" s="1"/>
  <c r="AK19" i="54" s="1"/>
  <c r="AK18" i="54" s="1"/>
  <c r="AK17" i="54" s="1"/>
  <c r="AK16" i="54" s="1"/>
  <c r="AK15" i="54" s="1"/>
  <c r="AK14" i="54" s="1"/>
  <c r="AK13" i="54" s="1"/>
  <c r="AK12" i="54" s="1"/>
  <c r="AK11" i="54" s="1"/>
  <c r="AK47" i="54"/>
  <c r="AK46" i="54" s="1"/>
  <c r="AK45" i="54" s="1"/>
  <c r="AK44" i="54" s="1"/>
  <c r="AK43" i="54" s="1"/>
  <c r="AK42" i="54" s="1"/>
  <c r="AK41" i="54" s="1"/>
  <c r="AK40" i="54" s="1"/>
  <c r="AK39" i="54" s="1"/>
  <c r="AK38" i="54" s="1"/>
  <c r="AK37" i="54" s="1"/>
  <c r="W47" i="54"/>
  <c r="W46" i="54" s="1"/>
  <c r="W45" i="54" s="1"/>
  <c r="W44" i="54" s="1"/>
  <c r="W43" i="54" s="1"/>
  <c r="W42" i="54" s="1"/>
  <c r="W41" i="54" s="1"/>
  <c r="W40" i="54" s="1"/>
  <c r="W39" i="54" s="1"/>
  <c r="W38" i="54" s="1"/>
  <c r="W37" i="54" s="1"/>
  <c r="W34" i="54"/>
  <c r="W33" i="54" s="1"/>
  <c r="W32" i="54" s="1"/>
  <c r="W31" i="54" s="1"/>
  <c r="W30" i="54" s="1"/>
  <c r="W29" i="54" s="1"/>
  <c r="W28" i="54" s="1"/>
  <c r="W27" i="54" s="1"/>
  <c r="W26" i="54" s="1"/>
  <c r="W25" i="54" s="1"/>
  <c r="W24" i="54" s="1"/>
  <c r="X21" i="54"/>
  <c r="AI21" i="54"/>
  <c r="AC21" i="54"/>
  <c r="AE21" i="54"/>
  <c r="AD21" i="54"/>
  <c r="W20" i="54"/>
  <c r="AK47" i="53"/>
  <c r="W47" i="53"/>
  <c r="W46" i="53" s="1"/>
  <c r="W45" i="53" s="1"/>
  <c r="W44" i="53" s="1"/>
  <c r="W43" i="53" s="1"/>
  <c r="W42" i="53" s="1"/>
  <c r="W41" i="53" s="1"/>
  <c r="AK46" i="53"/>
  <c r="AK45" i="53" s="1"/>
  <c r="AK44" i="53"/>
  <c r="AK43" i="53" s="1"/>
  <c r="AK42" i="53"/>
  <c r="AK41" i="53" s="1"/>
  <c r="AK40" i="53" s="1"/>
  <c r="AK39" i="53" s="1"/>
  <c r="AK38" i="53" s="1"/>
  <c r="AK37" i="53" s="1"/>
  <c r="W40" i="53"/>
  <c r="W39" i="53" s="1"/>
  <c r="W38" i="53" s="1"/>
  <c r="W37" i="53" s="1"/>
  <c r="AK34" i="53"/>
  <c r="AK33" i="53" s="1"/>
  <c r="AK32" i="53" s="1"/>
  <c r="AK31" i="53" s="1"/>
  <c r="AK30" i="53" s="1"/>
  <c r="AK29" i="53" s="1"/>
  <c r="AK28" i="53" s="1"/>
  <c r="AK27" i="53" s="1"/>
  <c r="AK26" i="53" s="1"/>
  <c r="AK25" i="53" s="1"/>
  <c r="AK24" i="53" s="1"/>
  <c r="W34" i="53"/>
  <c r="W33" i="53" s="1"/>
  <c r="W32" i="53" s="1"/>
  <c r="W31" i="53" s="1"/>
  <c r="W30" i="53" s="1"/>
  <c r="W29" i="53" s="1"/>
  <c r="W28" i="53" s="1"/>
  <c r="W27" i="53" s="1"/>
  <c r="W26" i="53" s="1"/>
  <c r="W25" i="53" s="1"/>
  <c r="W24" i="53" s="1"/>
  <c r="AK21" i="53"/>
  <c r="AK20" i="53" s="1"/>
  <c r="AK19" i="53" s="1"/>
  <c r="AK18" i="53" s="1"/>
  <c r="AK17" i="53" s="1"/>
  <c r="AK16" i="53" s="1"/>
  <c r="AK15" i="53" s="1"/>
  <c r="W21" i="53"/>
  <c r="AK14" i="53"/>
  <c r="AK13" i="53" s="1"/>
  <c r="AK12" i="53" s="1"/>
  <c r="AK11" i="53" s="1"/>
  <c r="Z21" i="53"/>
  <c r="L2" i="1"/>
  <c r="K2" i="1"/>
  <c r="J2" i="1"/>
  <c r="I19" i="1"/>
  <c r="I11" i="1"/>
  <c r="I7" i="1"/>
  <c r="I3" i="1"/>
  <c r="AD34" i="56" l="1"/>
  <c r="AD47" i="56"/>
  <c r="AA20" i="56"/>
  <c r="Z20" i="56"/>
  <c r="AI20" i="56"/>
  <c r="Y20" i="56"/>
  <c r="X20" i="56"/>
  <c r="AG20" i="56"/>
  <c r="AE20" i="56"/>
  <c r="AC20" i="56"/>
  <c r="AB20" i="56"/>
  <c r="AF20" i="56"/>
  <c r="AD20" i="56"/>
  <c r="W19" i="56"/>
  <c r="AH20" i="56"/>
  <c r="AF34" i="56"/>
  <c r="AF47" i="56"/>
  <c r="AE34" i="56"/>
  <c r="AE47" i="56"/>
  <c r="AH34" i="56"/>
  <c r="AH47" i="56"/>
  <c r="AI47" i="56"/>
  <c r="AI34" i="56"/>
  <c r="AG34" i="56"/>
  <c r="AG47" i="56"/>
  <c r="Y34" i="56"/>
  <c r="Y47" i="56"/>
  <c r="Z47" i="56"/>
  <c r="Z34" i="56"/>
  <c r="AA47" i="56"/>
  <c r="AA34" i="56"/>
  <c r="X34" i="56"/>
  <c r="X47" i="56"/>
  <c r="AC34" i="56"/>
  <c r="AC47" i="56"/>
  <c r="AB47" i="56"/>
  <c r="AB34" i="56"/>
  <c r="AG47" i="55"/>
  <c r="AG34" i="55"/>
  <c r="AE47" i="55"/>
  <c r="AE34" i="55"/>
  <c r="AD34" i="55"/>
  <c r="AD47" i="55"/>
  <c r="AH47" i="55"/>
  <c r="AH34" i="55"/>
  <c r="Z47" i="55"/>
  <c r="Z34" i="55"/>
  <c r="AA20" i="55"/>
  <c r="Z20" i="55"/>
  <c r="X20" i="55"/>
  <c r="W19" i="55"/>
  <c r="AH20" i="55"/>
  <c r="AG20" i="55"/>
  <c r="AF20" i="55"/>
  <c r="AI20" i="55"/>
  <c r="AE20" i="55"/>
  <c r="AD20" i="55"/>
  <c r="AC20" i="55"/>
  <c r="AB20" i="55"/>
  <c r="Y20" i="55"/>
  <c r="Y47" i="55"/>
  <c r="Y34" i="55"/>
  <c r="AI34" i="55"/>
  <c r="AI47" i="55"/>
  <c r="X34" i="55"/>
  <c r="X47" i="55"/>
  <c r="AA47" i="55"/>
  <c r="AA34" i="55"/>
  <c r="AF34" i="55"/>
  <c r="AF47" i="55"/>
  <c r="AC34" i="55"/>
  <c r="AC47" i="55"/>
  <c r="AB47" i="55"/>
  <c r="AB34" i="55"/>
  <c r="X34" i="54"/>
  <c r="X47" i="54"/>
  <c r="AD34" i="54"/>
  <c r="AD47" i="54"/>
  <c r="AE34" i="54"/>
  <c r="AE47" i="54"/>
  <c r="AA21" i="54"/>
  <c r="AC34" i="54"/>
  <c r="AC47" i="54"/>
  <c r="AH21" i="54"/>
  <c r="AA20" i="54"/>
  <c r="Z20" i="54"/>
  <c r="Y20" i="54"/>
  <c r="AD20" i="54"/>
  <c r="AC20" i="54"/>
  <c r="AB20" i="54"/>
  <c r="W19" i="54"/>
  <c r="AH20" i="54"/>
  <c r="AG20" i="54"/>
  <c r="AI20" i="54"/>
  <c r="AF20" i="54"/>
  <c r="AE20" i="54"/>
  <c r="X20" i="54"/>
  <c r="AF21" i="54"/>
  <c r="AI47" i="54"/>
  <c r="AI34" i="54"/>
  <c r="Z21" i="54"/>
  <c r="AB21" i="54"/>
  <c r="AG21" i="54"/>
  <c r="Y21" i="54"/>
  <c r="Z34" i="53"/>
  <c r="Z47" i="53"/>
  <c r="X21" i="53"/>
  <c r="AB21" i="53"/>
  <c r="AA21" i="53"/>
  <c r="AI21" i="53"/>
  <c r="AD21" i="53"/>
  <c r="AH21" i="53"/>
  <c r="AG21" i="53"/>
  <c r="AF21" i="53"/>
  <c r="W20" i="53"/>
  <c r="AE21" i="53"/>
  <c r="AC21" i="53"/>
  <c r="Y21" i="53"/>
  <c r="Z19" i="56" l="1"/>
  <c r="Y19" i="56"/>
  <c r="AD19" i="56"/>
  <c r="W18" i="56"/>
  <c r="AE19" i="56"/>
  <c r="AC19" i="56"/>
  <c r="AB19" i="56"/>
  <c r="AA19" i="56"/>
  <c r="AH19" i="56"/>
  <c r="AF19" i="56"/>
  <c r="X19" i="56"/>
  <c r="AI19" i="56"/>
  <c r="AG19" i="56"/>
  <c r="AF33" i="56"/>
  <c r="AF46" i="56"/>
  <c r="AH33" i="56"/>
  <c r="AH46" i="56"/>
  <c r="AC46" i="56"/>
  <c r="AC33" i="56"/>
  <c r="AE33" i="56"/>
  <c r="AE46" i="56"/>
  <c r="AD46" i="56"/>
  <c r="AD33" i="56"/>
  <c r="AB33" i="56"/>
  <c r="AB46" i="56"/>
  <c r="AG33" i="56"/>
  <c r="AG46" i="56"/>
  <c r="Y46" i="56"/>
  <c r="Y33" i="56"/>
  <c r="AA46" i="56"/>
  <c r="AA33" i="56"/>
  <c r="X33" i="56"/>
  <c r="X46" i="56"/>
  <c r="AI33" i="56"/>
  <c r="AI46" i="56"/>
  <c r="Z46" i="56"/>
  <c r="Z33" i="56"/>
  <c r="Y46" i="55"/>
  <c r="Y33" i="55"/>
  <c r="AB46" i="55"/>
  <c r="AB33" i="55"/>
  <c r="AG33" i="55"/>
  <c r="AG46" i="55"/>
  <c r="AE33" i="55"/>
  <c r="AE46" i="55"/>
  <c r="Z19" i="55"/>
  <c r="Y19" i="55"/>
  <c r="AE19" i="55"/>
  <c r="AD19" i="55"/>
  <c r="AC19" i="55"/>
  <c r="AB19" i="55"/>
  <c r="AI19" i="55"/>
  <c r="AH19" i="55"/>
  <c r="AG19" i="55"/>
  <c r="AF19" i="55"/>
  <c r="X19" i="55"/>
  <c r="AA19" i="55"/>
  <c r="W18" i="55"/>
  <c r="AC46" i="55"/>
  <c r="AC33" i="55"/>
  <c r="AI33" i="55"/>
  <c r="AI46" i="55"/>
  <c r="AH33" i="55"/>
  <c r="AH46" i="55"/>
  <c r="X46" i="55"/>
  <c r="X33" i="55"/>
  <c r="AD46" i="55"/>
  <c r="AD33" i="55"/>
  <c r="AF46" i="55"/>
  <c r="AF33" i="55"/>
  <c r="Z46" i="55"/>
  <c r="Z33" i="55"/>
  <c r="AA46" i="55"/>
  <c r="AA33" i="55"/>
  <c r="Z46" i="54"/>
  <c r="Z33" i="54"/>
  <c r="AB47" i="54"/>
  <c r="AB34" i="54"/>
  <c r="AH47" i="54"/>
  <c r="AH34" i="54"/>
  <c r="Z47" i="54"/>
  <c r="Z34" i="54"/>
  <c r="AG47" i="54"/>
  <c r="AG34" i="54"/>
  <c r="X46" i="54"/>
  <c r="X33" i="54"/>
  <c r="AF46" i="54"/>
  <c r="AF33" i="54"/>
  <c r="AI33" i="54"/>
  <c r="AI46" i="54"/>
  <c r="AG46" i="54"/>
  <c r="AG33" i="54"/>
  <c r="Y34" i="54"/>
  <c r="Y47" i="54"/>
  <c r="AF34" i="54"/>
  <c r="AF47" i="54"/>
  <c r="AB33" i="54"/>
  <c r="AB46" i="54"/>
  <c r="AA46" i="54"/>
  <c r="AA33" i="54"/>
  <c r="AE46" i="54"/>
  <c r="AE33" i="54"/>
  <c r="Z19" i="54"/>
  <c r="Y19" i="54"/>
  <c r="AH19" i="54"/>
  <c r="AG19" i="54"/>
  <c r="AF19" i="54"/>
  <c r="AE19" i="54"/>
  <c r="AD19" i="54"/>
  <c r="AC19" i="54"/>
  <c r="AA19" i="54"/>
  <c r="AI19" i="54"/>
  <c r="X19" i="54"/>
  <c r="W18" i="54"/>
  <c r="AB19" i="54"/>
  <c r="AC46" i="54"/>
  <c r="AC33" i="54"/>
  <c r="AD33" i="54"/>
  <c r="AD46" i="54"/>
  <c r="AA47" i="54"/>
  <c r="AA34" i="54"/>
  <c r="AH46" i="54"/>
  <c r="AH33" i="54"/>
  <c r="Y46" i="54"/>
  <c r="Y33" i="54"/>
  <c r="AE34" i="53"/>
  <c r="AE47" i="53"/>
  <c r="AA20" i="53"/>
  <c r="Z20" i="53"/>
  <c r="AH20" i="53"/>
  <c r="AB20" i="53"/>
  <c r="X20" i="53"/>
  <c r="Y20" i="53"/>
  <c r="AI20" i="53"/>
  <c r="AC20" i="53"/>
  <c r="AG20" i="53"/>
  <c r="AF20" i="53"/>
  <c r="AE20" i="53"/>
  <c r="AD20" i="53"/>
  <c r="W19" i="53"/>
  <c r="AG34" i="53"/>
  <c r="AG47" i="53"/>
  <c r="AH34" i="53"/>
  <c r="AH47" i="53"/>
  <c r="AA47" i="53"/>
  <c r="AA34" i="53"/>
  <c r="AC34" i="53"/>
  <c r="AC47" i="53"/>
  <c r="AI47" i="53"/>
  <c r="AI34" i="53"/>
  <c r="X47" i="53"/>
  <c r="X34" i="53"/>
  <c r="Y47" i="53"/>
  <c r="Y34" i="53"/>
  <c r="AF34" i="53"/>
  <c r="AF47" i="53"/>
  <c r="AD34" i="53"/>
  <c r="AD47" i="53"/>
  <c r="AB47" i="53"/>
  <c r="AB34" i="53"/>
  <c r="AG32" i="56" l="1"/>
  <c r="AG45" i="56"/>
  <c r="AI32" i="56"/>
  <c r="AI45" i="56"/>
  <c r="AF32" i="56"/>
  <c r="AF45" i="56"/>
  <c r="AA45" i="56"/>
  <c r="AA32" i="56"/>
  <c r="AE45" i="56"/>
  <c r="AE32" i="56"/>
  <c r="AD45" i="56"/>
  <c r="AD32" i="56"/>
  <c r="AH32" i="56"/>
  <c r="AH45" i="56"/>
  <c r="AC45" i="56"/>
  <c r="AC32" i="56"/>
  <c r="Y18" i="56"/>
  <c r="W17" i="56"/>
  <c r="X18" i="56"/>
  <c r="AH18" i="56"/>
  <c r="AG18" i="56"/>
  <c r="AE18" i="56"/>
  <c r="AF18" i="56"/>
  <c r="AA18" i="56"/>
  <c r="Z18" i="56"/>
  <c r="AD18" i="56"/>
  <c r="AI18" i="56"/>
  <c r="AB18" i="56"/>
  <c r="AC18" i="56"/>
  <c r="Y45" i="56"/>
  <c r="Y32" i="56"/>
  <c r="X45" i="56"/>
  <c r="X32" i="56"/>
  <c r="AB45" i="56"/>
  <c r="AB32" i="56"/>
  <c r="Z45" i="56"/>
  <c r="Z32" i="56"/>
  <c r="Z45" i="55"/>
  <c r="Z32" i="55"/>
  <c r="AD32" i="55"/>
  <c r="AD45" i="55"/>
  <c r="Y18" i="55"/>
  <c r="X18" i="55"/>
  <c r="W17" i="55"/>
  <c r="AH18" i="55"/>
  <c r="AG18" i="55"/>
  <c r="AE18" i="55"/>
  <c r="AI18" i="55"/>
  <c r="AF18" i="55"/>
  <c r="AC18" i="55"/>
  <c r="AD18" i="55"/>
  <c r="AB18" i="55"/>
  <c r="Z18" i="55"/>
  <c r="AA18" i="55"/>
  <c r="AG32" i="55"/>
  <c r="AG45" i="55"/>
  <c r="X45" i="55"/>
  <c r="X32" i="55"/>
  <c r="AA32" i="55"/>
  <c r="AA45" i="55"/>
  <c r="AH32" i="55"/>
  <c r="AH45" i="55"/>
  <c r="AI32" i="55"/>
  <c r="AI45" i="55"/>
  <c r="AE45" i="55"/>
  <c r="AE32" i="55"/>
  <c r="AB45" i="55"/>
  <c r="AB32" i="55"/>
  <c r="Y45" i="55"/>
  <c r="Y32" i="55"/>
  <c r="AF45" i="55"/>
  <c r="AF32" i="55"/>
  <c r="AC45" i="55"/>
  <c r="AC32" i="55"/>
  <c r="Z45" i="54"/>
  <c r="Z32" i="54"/>
  <c r="AH32" i="54"/>
  <c r="AH45" i="54"/>
  <c r="Y45" i="54"/>
  <c r="Y32" i="54"/>
  <c r="AB32" i="54"/>
  <c r="AB45" i="54"/>
  <c r="Y18" i="54"/>
  <c r="X18" i="54"/>
  <c r="W17" i="54"/>
  <c r="AE18" i="54"/>
  <c r="AG18" i="54"/>
  <c r="AF18" i="54"/>
  <c r="AD18" i="54"/>
  <c r="AA18" i="54"/>
  <c r="Z18" i="54"/>
  <c r="AI18" i="54"/>
  <c r="AH18" i="54"/>
  <c r="AC18" i="54"/>
  <c r="AB18" i="54"/>
  <c r="X45" i="54"/>
  <c r="X32" i="54"/>
  <c r="AI32" i="54"/>
  <c r="AI45" i="54"/>
  <c r="AA32" i="54"/>
  <c r="AA45" i="54"/>
  <c r="AE32" i="54"/>
  <c r="AE45" i="54"/>
  <c r="AG45" i="54"/>
  <c r="AG32" i="54"/>
  <c r="AC32" i="54"/>
  <c r="AC45" i="54"/>
  <c r="AD32" i="54"/>
  <c r="AD45" i="54"/>
  <c r="AF45" i="54"/>
  <c r="AF32" i="54"/>
  <c r="AD46" i="53"/>
  <c r="AD33" i="53"/>
  <c r="Y46" i="53"/>
  <c r="Y33" i="53"/>
  <c r="AG46" i="53"/>
  <c r="AG33" i="53"/>
  <c r="Z19" i="53"/>
  <c r="Y19" i="53"/>
  <c r="AC19" i="53"/>
  <c r="AH19" i="53"/>
  <c r="AD19" i="53"/>
  <c r="AG19" i="53"/>
  <c r="AF19" i="53"/>
  <c r="AE19" i="53"/>
  <c r="AB19" i="53"/>
  <c r="W18" i="53"/>
  <c r="AI19" i="53"/>
  <c r="AA19" i="53"/>
  <c r="X19" i="53"/>
  <c r="AC46" i="53"/>
  <c r="AC33" i="53"/>
  <c r="X33" i="53"/>
  <c r="X46" i="53"/>
  <c r="AA46" i="53"/>
  <c r="AA33" i="53"/>
  <c r="AE46" i="53"/>
  <c r="AE33" i="53"/>
  <c r="AI46" i="53"/>
  <c r="AI33" i="53"/>
  <c r="AB46" i="53"/>
  <c r="AB33" i="53"/>
  <c r="Z46" i="53"/>
  <c r="Z33" i="53"/>
  <c r="AF46" i="53"/>
  <c r="AF33" i="53"/>
  <c r="AH46" i="53"/>
  <c r="AH33" i="53"/>
  <c r="W34" i="52"/>
  <c r="W33" i="52" s="1"/>
  <c r="W32" i="52" s="1"/>
  <c r="W31" i="52" s="1"/>
  <c r="W30" i="52" s="1"/>
  <c r="W29" i="52" s="1"/>
  <c r="W28" i="52" s="1"/>
  <c r="W27" i="52" s="1"/>
  <c r="W26" i="52" s="1"/>
  <c r="W25" i="52" s="1"/>
  <c r="W24" i="52" s="1"/>
  <c r="J19" i="1"/>
  <c r="J11" i="1"/>
  <c r="J7" i="1"/>
  <c r="J3" i="1"/>
  <c r="AA31" i="56" l="1"/>
  <c r="AA44" i="56"/>
  <c r="AE44" i="56"/>
  <c r="AE31" i="56"/>
  <c r="Y44" i="56"/>
  <c r="Y31" i="56"/>
  <c r="AF44" i="56"/>
  <c r="AF31" i="56"/>
  <c r="X44" i="56"/>
  <c r="X31" i="56"/>
  <c r="AI31" i="56"/>
  <c r="AI44" i="56"/>
  <c r="AH31" i="56"/>
  <c r="AH44" i="56"/>
  <c r="AC31" i="56"/>
  <c r="AC44" i="56"/>
  <c r="AD44" i="56"/>
  <c r="AD31" i="56"/>
  <c r="AG31" i="56"/>
  <c r="AG44" i="56"/>
  <c r="X17" i="56"/>
  <c r="W16" i="56"/>
  <c r="AC17" i="56"/>
  <c r="AB17" i="56"/>
  <c r="Z17" i="56"/>
  <c r="AA17" i="56"/>
  <c r="AI17" i="56"/>
  <c r="AH17" i="56"/>
  <c r="Y17" i="56"/>
  <c r="AG17" i="56"/>
  <c r="AD17" i="56"/>
  <c r="AF17" i="56"/>
  <c r="AE17" i="56"/>
  <c r="AB31" i="56"/>
  <c r="AB44" i="56"/>
  <c r="Z31" i="56"/>
  <c r="Z44" i="56"/>
  <c r="AH31" i="55"/>
  <c r="AH44" i="55"/>
  <c r="AC31" i="55"/>
  <c r="AC44" i="55"/>
  <c r="Z31" i="55"/>
  <c r="Z44" i="55"/>
  <c r="AF31" i="55"/>
  <c r="AF44" i="55"/>
  <c r="X17" i="55"/>
  <c r="W16" i="55"/>
  <c r="AG17" i="55"/>
  <c r="AE17" i="55"/>
  <c r="AF17" i="55"/>
  <c r="AD17" i="55"/>
  <c r="AA17" i="55"/>
  <c r="Y17" i="55"/>
  <c r="AH17" i="55"/>
  <c r="AI17" i="55"/>
  <c r="Z17" i="55"/>
  <c r="AC17" i="55"/>
  <c r="AB17" i="55"/>
  <c r="AD44" i="55"/>
  <c r="AD31" i="55"/>
  <c r="AB44" i="55"/>
  <c r="AB31" i="55"/>
  <c r="AE31" i="55"/>
  <c r="AE44" i="55"/>
  <c r="Y44" i="55"/>
  <c r="Y31" i="55"/>
  <c r="AI31" i="55"/>
  <c r="AI44" i="55"/>
  <c r="X44" i="55"/>
  <c r="X31" i="55"/>
  <c r="AG31" i="55"/>
  <c r="AG44" i="55"/>
  <c r="AA44" i="55"/>
  <c r="AA31" i="55"/>
  <c r="Y44" i="54"/>
  <c r="Y31" i="54"/>
  <c r="X44" i="54"/>
  <c r="X31" i="54"/>
  <c r="X17" i="54"/>
  <c r="W16" i="54"/>
  <c r="AH17" i="54"/>
  <c r="AF17" i="54"/>
  <c r="AG17" i="54"/>
  <c r="Z17" i="54"/>
  <c r="AC17" i="54"/>
  <c r="Y17" i="54"/>
  <c r="AB17" i="54"/>
  <c r="AA17" i="54"/>
  <c r="AI17" i="54"/>
  <c r="AE17" i="54"/>
  <c r="AD17" i="54"/>
  <c r="AB31" i="54"/>
  <c r="AB44" i="54"/>
  <c r="AC44" i="54"/>
  <c r="AC31" i="54"/>
  <c r="AE31" i="54"/>
  <c r="AE44" i="54"/>
  <c r="AI31" i="54"/>
  <c r="AI44" i="54"/>
  <c r="AA31" i="54"/>
  <c r="AA44" i="54"/>
  <c r="AF31" i="54"/>
  <c r="AF44" i="54"/>
  <c r="AH31" i="54"/>
  <c r="AH44" i="54"/>
  <c r="Z31" i="54"/>
  <c r="Z44" i="54"/>
  <c r="AD31" i="54"/>
  <c r="AD44" i="54"/>
  <c r="AG31" i="54"/>
  <c r="AG44" i="54"/>
  <c r="AD45" i="53"/>
  <c r="AD32" i="53"/>
  <c r="AH45" i="53"/>
  <c r="AH32" i="53"/>
  <c r="AC32" i="53"/>
  <c r="AC45" i="53"/>
  <c r="AE45" i="53"/>
  <c r="AE32" i="53"/>
  <c r="Y45" i="53"/>
  <c r="Y32" i="53"/>
  <c r="AA45" i="53"/>
  <c r="AA32" i="53"/>
  <c r="AF45" i="53"/>
  <c r="AF32" i="53"/>
  <c r="X45" i="53"/>
  <c r="X32" i="53"/>
  <c r="AI32" i="53"/>
  <c r="AI45" i="53"/>
  <c r="Y18" i="53"/>
  <c r="X18" i="53"/>
  <c r="W17" i="53"/>
  <c r="AI18" i="53"/>
  <c r="AG18" i="53"/>
  <c r="AF18" i="53"/>
  <c r="AD18" i="53"/>
  <c r="AH18" i="53"/>
  <c r="AC18" i="53"/>
  <c r="AE18" i="53"/>
  <c r="AB18" i="53"/>
  <c r="AA18" i="53"/>
  <c r="Z18" i="53"/>
  <c r="AG45" i="53"/>
  <c r="AG32" i="53"/>
  <c r="Z45" i="53"/>
  <c r="Z32" i="53"/>
  <c r="AB45" i="53"/>
  <c r="AB32" i="53"/>
  <c r="AK34" i="52"/>
  <c r="AK33" i="52" s="1"/>
  <c r="AK32" i="52" s="1"/>
  <c r="AK31" i="52" s="1"/>
  <c r="AK30" i="52" s="1"/>
  <c r="AK29" i="52" s="1"/>
  <c r="AK28" i="52" s="1"/>
  <c r="AK27" i="52" s="1"/>
  <c r="AK26" i="52" s="1"/>
  <c r="AK25" i="52" s="1"/>
  <c r="AK24" i="52" s="1"/>
  <c r="W47" i="52"/>
  <c r="W46" i="52" s="1"/>
  <c r="W45" i="52" s="1"/>
  <c r="W44" i="52" s="1"/>
  <c r="W43" i="52" s="1"/>
  <c r="W42" i="52" s="1"/>
  <c r="W41" i="52" s="1"/>
  <c r="W40" i="52" s="1"/>
  <c r="W39" i="52" s="1"/>
  <c r="W38" i="52" s="1"/>
  <c r="W37" i="52" s="1"/>
  <c r="AK21" i="52"/>
  <c r="AK20" i="52" s="1"/>
  <c r="AK19" i="52" s="1"/>
  <c r="AK18" i="52" s="1"/>
  <c r="AK17" i="52" s="1"/>
  <c r="AK16" i="52" s="1"/>
  <c r="AK15" i="52" s="1"/>
  <c r="AK14" i="52" s="1"/>
  <c r="AK13" i="52" s="1"/>
  <c r="AK12" i="52" s="1"/>
  <c r="AK11" i="52" s="1"/>
  <c r="AK47" i="52"/>
  <c r="AK46" i="52" s="1"/>
  <c r="AK45" i="52" s="1"/>
  <c r="AK44" i="52" s="1"/>
  <c r="AK43" i="52" s="1"/>
  <c r="AK42" i="52" s="1"/>
  <c r="AK41" i="52" s="1"/>
  <c r="AK40" i="52" s="1"/>
  <c r="AK39" i="52" s="1"/>
  <c r="AK38" i="52" s="1"/>
  <c r="AK37" i="52" s="1"/>
  <c r="W21" i="52"/>
  <c r="AK21" i="51"/>
  <c r="AK20" i="51" s="1"/>
  <c r="AK19" i="51" s="1"/>
  <c r="AK18" i="51" s="1"/>
  <c r="AK17" i="51" s="1"/>
  <c r="AK16" i="51" s="1"/>
  <c r="AK15" i="51" s="1"/>
  <c r="AK14" i="51" s="1"/>
  <c r="AK13" i="51" s="1"/>
  <c r="AK12" i="51" s="1"/>
  <c r="AK11" i="51" s="1"/>
  <c r="K19" i="1"/>
  <c r="K11" i="1"/>
  <c r="K7" i="1"/>
  <c r="K3" i="1"/>
  <c r="AD30" i="56" l="1"/>
  <c r="AD43" i="56"/>
  <c r="AG30" i="56"/>
  <c r="AG43" i="56"/>
  <c r="AF30" i="56"/>
  <c r="AF43" i="56"/>
  <c r="Y30" i="56"/>
  <c r="Y43" i="56"/>
  <c r="AI43" i="56"/>
  <c r="AI30" i="56"/>
  <c r="AH30" i="56"/>
  <c r="AH43" i="56"/>
  <c r="Z43" i="56"/>
  <c r="Z30" i="56"/>
  <c r="AC43" i="56"/>
  <c r="AC30" i="56"/>
  <c r="X16" i="56"/>
  <c r="AI16" i="56"/>
  <c r="AD16" i="56"/>
  <c r="AC16" i="56"/>
  <c r="AB16" i="56"/>
  <c r="AA16" i="56"/>
  <c r="AH16" i="56"/>
  <c r="AF16" i="56"/>
  <c r="Y16" i="56"/>
  <c r="AG16" i="56"/>
  <c r="AE16" i="56"/>
  <c r="Z16" i="56"/>
  <c r="W15" i="56"/>
  <c r="AE30" i="56"/>
  <c r="AE43" i="56"/>
  <c r="AA43" i="56"/>
  <c r="AA30" i="56"/>
  <c r="AB43" i="56"/>
  <c r="AB30" i="56"/>
  <c r="X43" i="56"/>
  <c r="X30" i="56"/>
  <c r="AE30" i="55"/>
  <c r="AE43" i="55"/>
  <c r="Z30" i="55"/>
  <c r="Z43" i="55"/>
  <c r="AB30" i="55"/>
  <c r="AB43" i="55"/>
  <c r="AH30" i="55"/>
  <c r="AH43" i="55"/>
  <c r="AG30" i="55"/>
  <c r="AG43" i="55"/>
  <c r="AC43" i="55"/>
  <c r="AC30" i="55"/>
  <c r="Y43" i="55"/>
  <c r="Y30" i="55"/>
  <c r="X43" i="55"/>
  <c r="X30" i="55"/>
  <c r="AI43" i="55"/>
  <c r="AI30" i="55"/>
  <c r="AA43" i="55"/>
  <c r="AA30" i="55"/>
  <c r="X16" i="55"/>
  <c r="AE16" i="55"/>
  <c r="AC16" i="55"/>
  <c r="AD16" i="55"/>
  <c r="AB16" i="55"/>
  <c r="AA16" i="55"/>
  <c r="Z16" i="55"/>
  <c r="Y16" i="55"/>
  <c r="W15" i="55"/>
  <c r="AI16" i="55"/>
  <c r="AG16" i="55"/>
  <c r="AF16" i="55"/>
  <c r="AH16" i="55"/>
  <c r="AD43" i="55"/>
  <c r="AD30" i="55"/>
  <c r="AF30" i="55"/>
  <c r="AF43" i="55"/>
  <c r="AA43" i="54"/>
  <c r="AA30" i="54"/>
  <c r="Z43" i="54"/>
  <c r="Z30" i="54"/>
  <c r="Y30" i="54"/>
  <c r="Y43" i="54"/>
  <c r="AF30" i="54"/>
  <c r="AF43" i="54"/>
  <c r="AC16" i="54"/>
  <c r="AA16" i="54"/>
  <c r="AB16" i="54"/>
  <c r="W15" i="54"/>
  <c r="AI16" i="54"/>
  <c r="AD16" i="54"/>
  <c r="Y16" i="54"/>
  <c r="Z16" i="54"/>
  <c r="AF16" i="54"/>
  <c r="X16" i="54"/>
  <c r="AG16" i="54"/>
  <c r="AE16" i="54"/>
  <c r="AH16" i="54"/>
  <c r="AE30" i="54"/>
  <c r="AE43" i="54"/>
  <c r="AB43" i="54"/>
  <c r="AB30" i="54"/>
  <c r="AH30" i="54"/>
  <c r="AH43" i="54"/>
  <c r="AI43" i="54"/>
  <c r="AI30" i="54"/>
  <c r="AC30" i="54"/>
  <c r="AC43" i="54"/>
  <c r="AG30" i="54"/>
  <c r="AG43" i="54"/>
  <c r="X43" i="54"/>
  <c r="X30" i="54"/>
  <c r="AD30" i="54"/>
  <c r="AD43" i="54"/>
  <c r="X17" i="53"/>
  <c r="W16" i="53"/>
  <c r="AB17" i="53"/>
  <c r="Z17" i="53"/>
  <c r="AA17" i="53"/>
  <c r="Y17" i="53"/>
  <c r="AI17" i="53"/>
  <c r="AH17" i="53"/>
  <c r="AC17" i="53"/>
  <c r="AF17" i="53"/>
  <c r="AE17" i="53"/>
  <c r="AD17" i="53"/>
  <c r="AG17" i="53"/>
  <c r="Z44" i="53"/>
  <c r="Z31" i="53"/>
  <c r="AH31" i="53"/>
  <c r="AH44" i="53"/>
  <c r="AI31" i="53"/>
  <c r="AI44" i="53"/>
  <c r="AA31" i="53"/>
  <c r="AA44" i="53"/>
  <c r="AC44" i="53"/>
  <c r="AC31" i="53"/>
  <c r="AD31" i="53"/>
  <c r="AD44" i="53"/>
  <c r="Y44" i="53"/>
  <c r="Y31" i="53"/>
  <c r="AB31" i="53"/>
  <c r="AB44" i="53"/>
  <c r="AF31" i="53"/>
  <c r="AF44" i="53"/>
  <c r="X44" i="53"/>
  <c r="X31" i="53"/>
  <c r="AE31" i="53"/>
  <c r="AE44" i="53"/>
  <c r="AG31" i="53"/>
  <c r="AG44" i="53"/>
  <c r="Z21" i="52"/>
  <c r="AH21" i="52"/>
  <c r="AG21" i="52"/>
  <c r="AE21" i="52"/>
  <c r="W20" i="52"/>
  <c r="Y21" i="52"/>
  <c r="X21" i="52"/>
  <c r="AD21" i="52"/>
  <c r="AC21" i="52"/>
  <c r="AB21" i="52"/>
  <c r="AA21" i="52"/>
  <c r="AI21" i="52"/>
  <c r="AF21" i="52"/>
  <c r="AK34" i="51"/>
  <c r="AK33" i="51" s="1"/>
  <c r="AK32" i="51" s="1"/>
  <c r="AK31" i="51" s="1"/>
  <c r="AK30" i="51" s="1"/>
  <c r="AK29" i="51" s="1"/>
  <c r="AK28" i="51" s="1"/>
  <c r="AK27" i="51" s="1"/>
  <c r="AK26" i="51" s="1"/>
  <c r="AK25" i="51" s="1"/>
  <c r="AK24" i="51" s="1"/>
  <c r="W21" i="51"/>
  <c r="AK47" i="51"/>
  <c r="AK46" i="51" s="1"/>
  <c r="AK45" i="51" s="1"/>
  <c r="AK44" i="51" s="1"/>
  <c r="AK43" i="51" s="1"/>
  <c r="AK42" i="51" s="1"/>
  <c r="AK41" i="51" s="1"/>
  <c r="AK40" i="51" s="1"/>
  <c r="AK39" i="51" s="1"/>
  <c r="AK38" i="51" s="1"/>
  <c r="AK37" i="51" s="1"/>
  <c r="W47" i="51"/>
  <c r="W46" i="51" s="1"/>
  <c r="W45" i="51" s="1"/>
  <c r="W44" i="51" s="1"/>
  <c r="W43" i="51" s="1"/>
  <c r="W42" i="51" s="1"/>
  <c r="W41" i="51" s="1"/>
  <c r="W40" i="51" s="1"/>
  <c r="W39" i="51" s="1"/>
  <c r="W38" i="51" s="1"/>
  <c r="W37" i="51" s="1"/>
  <c r="W34" i="51"/>
  <c r="W33" i="51" s="1"/>
  <c r="W32" i="51" s="1"/>
  <c r="W31" i="51" s="1"/>
  <c r="W30" i="51" s="1"/>
  <c r="W29" i="51" s="1"/>
  <c r="W28" i="51" s="1"/>
  <c r="W27" i="51" s="1"/>
  <c r="W26" i="51" s="1"/>
  <c r="W25" i="51" s="1"/>
  <c r="W24" i="51" s="1"/>
  <c r="AK21" i="50"/>
  <c r="AK20" i="50" s="1"/>
  <c r="AK19" i="50" s="1"/>
  <c r="AK18" i="50" s="1"/>
  <c r="AK17" i="50" s="1"/>
  <c r="AK16" i="50" s="1"/>
  <c r="AK15" i="50" s="1"/>
  <c r="AK14" i="50" s="1"/>
  <c r="AK13" i="50" s="1"/>
  <c r="AK12" i="50" s="1"/>
  <c r="AK11" i="50" s="1"/>
  <c r="O19" i="1"/>
  <c r="N19" i="1"/>
  <c r="M19" i="1"/>
  <c r="L19" i="1"/>
  <c r="O10" i="1"/>
  <c r="N10" i="1"/>
  <c r="M10" i="1"/>
  <c r="O6" i="1"/>
  <c r="N6" i="1"/>
  <c r="M6" i="1"/>
  <c r="M2" i="1"/>
  <c r="L11" i="1"/>
  <c r="L7" i="1"/>
  <c r="L3" i="1"/>
  <c r="AA42" i="56" l="1"/>
  <c r="AA29" i="56"/>
  <c r="AI29" i="56"/>
  <c r="AI42" i="56"/>
  <c r="AF29" i="56"/>
  <c r="AF42" i="56"/>
  <c r="X29" i="56"/>
  <c r="X42" i="56"/>
  <c r="AC42" i="56"/>
  <c r="AC29" i="56"/>
  <c r="AB42" i="56"/>
  <c r="AB29" i="56"/>
  <c r="AD15" i="56"/>
  <c r="AI15" i="56"/>
  <c r="AH15" i="56"/>
  <c r="AG15" i="56"/>
  <c r="Z15" i="56"/>
  <c r="Y15" i="56"/>
  <c r="W14" i="56"/>
  <c r="X15" i="56"/>
  <c r="AA15" i="56"/>
  <c r="AF15" i="56"/>
  <c r="AE15" i="56"/>
  <c r="AC15" i="56"/>
  <c r="AB15" i="56"/>
  <c r="AE29" i="56"/>
  <c r="AE42" i="56"/>
  <c r="AH29" i="56"/>
  <c r="AH42" i="56"/>
  <c r="AD42" i="56"/>
  <c r="AD29" i="56"/>
  <c r="Z29" i="56"/>
  <c r="Z42" i="56"/>
  <c r="AG29" i="56"/>
  <c r="AG42" i="56"/>
  <c r="Y29" i="56"/>
  <c r="Y42" i="56"/>
  <c r="AG29" i="55"/>
  <c r="AG42" i="55"/>
  <c r="Z42" i="55"/>
  <c r="Z29" i="55"/>
  <c r="AI15" i="55"/>
  <c r="AH15" i="55"/>
  <c r="AG15" i="55"/>
  <c r="AF15" i="55"/>
  <c r="W14" i="55"/>
  <c r="AC15" i="55"/>
  <c r="AE15" i="55"/>
  <c r="AB15" i="55"/>
  <c r="X15" i="55"/>
  <c r="AA15" i="55"/>
  <c r="AD15" i="55"/>
  <c r="Z15" i="55"/>
  <c r="Y15" i="55"/>
  <c r="AH29" i="55"/>
  <c r="AH42" i="55"/>
  <c r="AA29" i="55"/>
  <c r="AA42" i="55"/>
  <c r="AD29" i="55"/>
  <c r="AD42" i="55"/>
  <c r="Y42" i="55"/>
  <c r="Y29" i="55"/>
  <c r="AC29" i="55"/>
  <c r="AC42" i="55"/>
  <c r="AF29" i="55"/>
  <c r="AF42" i="55"/>
  <c r="AE29" i="55"/>
  <c r="AE42" i="55"/>
  <c r="AI29" i="55"/>
  <c r="AI42" i="55"/>
  <c r="AB42" i="55"/>
  <c r="AB29" i="55"/>
  <c r="X29" i="55"/>
  <c r="X42" i="55"/>
  <c r="AC42" i="54"/>
  <c r="AC29" i="54"/>
  <c r="AA29" i="54"/>
  <c r="AA42" i="54"/>
  <c r="AH42" i="54"/>
  <c r="AH29" i="54"/>
  <c r="X29" i="54"/>
  <c r="X42" i="54"/>
  <c r="AF29" i="54"/>
  <c r="AF42" i="54"/>
  <c r="AB42" i="54"/>
  <c r="AB29" i="54"/>
  <c r="AE29" i="54"/>
  <c r="AE42" i="54"/>
  <c r="Y42" i="54"/>
  <c r="Y29" i="54"/>
  <c r="AD42" i="54"/>
  <c r="AD29" i="54"/>
  <c r="X15" i="54"/>
  <c r="Z15" i="54"/>
  <c r="Y15" i="54"/>
  <c r="W14" i="54"/>
  <c r="AI15" i="54"/>
  <c r="AF15" i="54"/>
  <c r="AB15" i="54"/>
  <c r="AE15" i="54"/>
  <c r="AA15" i="54"/>
  <c r="AD15" i="54"/>
  <c r="AH15" i="54"/>
  <c r="AG15" i="54"/>
  <c r="AC15" i="54"/>
  <c r="AG29" i="54"/>
  <c r="AG42" i="54"/>
  <c r="Z29" i="54"/>
  <c r="Z42" i="54"/>
  <c r="AI42" i="54"/>
  <c r="AI29" i="54"/>
  <c r="AC43" i="53"/>
  <c r="AC30" i="53"/>
  <c r="AF43" i="53"/>
  <c r="AF30" i="53"/>
  <c r="AE30" i="53"/>
  <c r="AE43" i="53"/>
  <c r="Z30" i="53"/>
  <c r="Z43" i="53"/>
  <c r="AH30" i="53"/>
  <c r="AH43" i="53"/>
  <c r="Y30" i="53"/>
  <c r="Y43" i="53"/>
  <c r="AB43" i="53"/>
  <c r="AB30" i="53"/>
  <c r="AD30" i="53"/>
  <c r="AD43" i="53"/>
  <c r="AA43" i="53"/>
  <c r="AA30" i="53"/>
  <c r="AH16" i="53"/>
  <c r="AG16" i="53"/>
  <c r="AI16" i="53"/>
  <c r="AB16" i="53"/>
  <c r="AA16" i="53"/>
  <c r="W15" i="53"/>
  <c r="AF16" i="53"/>
  <c r="AE16" i="53"/>
  <c r="AD16" i="53"/>
  <c r="X16" i="53"/>
  <c r="AC16" i="53"/>
  <c r="Z16" i="53"/>
  <c r="Y16" i="53"/>
  <c r="AG30" i="53"/>
  <c r="AG43" i="53"/>
  <c r="AI30" i="53"/>
  <c r="AI43" i="53"/>
  <c r="X43" i="53"/>
  <c r="X30" i="53"/>
  <c r="AI34" i="52"/>
  <c r="AI47" i="52"/>
  <c r="AA34" i="52"/>
  <c r="AA47" i="52"/>
  <c r="Z47" i="52"/>
  <c r="Z34" i="52"/>
  <c r="AB34" i="52"/>
  <c r="AB47" i="52"/>
  <c r="AD34" i="52"/>
  <c r="AD47" i="52"/>
  <c r="X47" i="52"/>
  <c r="X34" i="52"/>
  <c r="AC34" i="52"/>
  <c r="AC47" i="52"/>
  <c r="AE34" i="52"/>
  <c r="AE47" i="52"/>
  <c r="AG34" i="52"/>
  <c r="AG47" i="52"/>
  <c r="AF34" i="52"/>
  <c r="AF47" i="52"/>
  <c r="Y47" i="52"/>
  <c r="Y34" i="52"/>
  <c r="Y20" i="52"/>
  <c r="AI20" i="52"/>
  <c r="AD20" i="52"/>
  <c r="AC20" i="52"/>
  <c r="AA20" i="52"/>
  <c r="Z20" i="52"/>
  <c r="AH20" i="52"/>
  <c r="AG20" i="52"/>
  <c r="AF20" i="52"/>
  <c r="AE20" i="52"/>
  <c r="AB20" i="52"/>
  <c r="X20" i="52"/>
  <c r="W19" i="52"/>
  <c r="AH47" i="52"/>
  <c r="AH34" i="52"/>
  <c r="AB21" i="51"/>
  <c r="AA21" i="51"/>
  <c r="Z21" i="51"/>
  <c r="X21" i="51"/>
  <c r="Y21" i="51"/>
  <c r="AF21" i="51"/>
  <c r="AD21" i="51"/>
  <c r="AE21" i="51"/>
  <c r="W20" i="51"/>
  <c r="AC21" i="51"/>
  <c r="AI21" i="51"/>
  <c r="AH21" i="51"/>
  <c r="AG21" i="51"/>
  <c r="AK34" i="50"/>
  <c r="AK33" i="50" s="1"/>
  <c r="AK32" i="50" s="1"/>
  <c r="AK31" i="50" s="1"/>
  <c r="AK30" i="50" s="1"/>
  <c r="AK29" i="50" s="1"/>
  <c r="AK28" i="50" s="1"/>
  <c r="AK27" i="50" s="1"/>
  <c r="AK26" i="50" s="1"/>
  <c r="AK25" i="50" s="1"/>
  <c r="AK24" i="50" s="1"/>
  <c r="W34" i="50"/>
  <c r="W33" i="50" s="1"/>
  <c r="W32" i="50" s="1"/>
  <c r="W31" i="50" s="1"/>
  <c r="W30" i="50" s="1"/>
  <c r="W29" i="50" s="1"/>
  <c r="W28" i="50" s="1"/>
  <c r="W27" i="50" s="1"/>
  <c r="W26" i="50" s="1"/>
  <c r="W25" i="50" s="1"/>
  <c r="W24" i="50" s="1"/>
  <c r="W21" i="50"/>
  <c r="AK47" i="50"/>
  <c r="AK46" i="50" s="1"/>
  <c r="AK45" i="50" s="1"/>
  <c r="AK44" i="50" s="1"/>
  <c r="AK43" i="50" s="1"/>
  <c r="AK42" i="50" s="1"/>
  <c r="AK41" i="50" s="1"/>
  <c r="AK40" i="50" s="1"/>
  <c r="AK39" i="50" s="1"/>
  <c r="AK38" i="50" s="1"/>
  <c r="AK37" i="50" s="1"/>
  <c r="W47" i="50"/>
  <c r="W46" i="50" s="1"/>
  <c r="W45" i="50" s="1"/>
  <c r="W44" i="50" s="1"/>
  <c r="W43" i="50" s="1"/>
  <c r="W42" i="50" s="1"/>
  <c r="W41" i="50" s="1"/>
  <c r="W40" i="50" s="1"/>
  <c r="W39" i="50" s="1"/>
  <c r="W38" i="50" s="1"/>
  <c r="W37" i="50" s="1"/>
  <c r="W34" i="49"/>
  <c r="W33" i="49" s="1"/>
  <c r="W32" i="49" s="1"/>
  <c r="W31" i="49" s="1"/>
  <c r="W30" i="49" s="1"/>
  <c r="W29" i="49" s="1"/>
  <c r="W28" i="49" s="1"/>
  <c r="W27" i="49" s="1"/>
  <c r="W26" i="49" s="1"/>
  <c r="W25" i="49" s="1"/>
  <c r="W24" i="49" s="1"/>
  <c r="W21" i="49"/>
  <c r="W47" i="49"/>
  <c r="W46" i="49" s="1"/>
  <c r="W45" i="49" s="1"/>
  <c r="W44" i="49" s="1"/>
  <c r="W43" i="49" s="1"/>
  <c r="W42" i="49" s="1"/>
  <c r="W41" i="49" s="1"/>
  <c r="W40" i="49" s="1"/>
  <c r="W39" i="49" s="1"/>
  <c r="W38" i="49" s="1"/>
  <c r="W37" i="49" s="1"/>
  <c r="N2" i="1"/>
  <c r="O2" i="1"/>
  <c r="P2" i="1"/>
  <c r="Q2" i="1"/>
  <c r="W47" i="48"/>
  <c r="W46" i="48" s="1"/>
  <c r="W45" i="48" s="1"/>
  <c r="W44" i="48" s="1"/>
  <c r="W43" i="48" s="1"/>
  <c r="W42" i="48" s="1"/>
  <c r="W41" i="48" s="1"/>
  <c r="W40" i="48" s="1"/>
  <c r="W39" i="48" s="1"/>
  <c r="W38" i="48" s="1"/>
  <c r="W37" i="48" s="1"/>
  <c r="AK34" i="48"/>
  <c r="AK33" i="48" s="1"/>
  <c r="AK32" i="48" s="1"/>
  <c r="AK31" i="48" s="1"/>
  <c r="AK30" i="48" s="1"/>
  <c r="AK29" i="48" s="1"/>
  <c r="AK28" i="48" s="1"/>
  <c r="AK27" i="48" s="1"/>
  <c r="AK26" i="48" s="1"/>
  <c r="AK25" i="48" s="1"/>
  <c r="AK24" i="48" s="1"/>
  <c r="N11" i="1"/>
  <c r="M11" i="1"/>
  <c r="N7" i="1"/>
  <c r="M7" i="1"/>
  <c r="M3" i="1"/>
  <c r="Y41" i="56" l="1"/>
  <c r="Y28" i="56"/>
  <c r="AF28" i="56"/>
  <c r="AF41" i="56"/>
  <c r="AH14" i="56"/>
  <c r="AG14" i="56"/>
  <c r="AE14" i="56"/>
  <c r="AF14" i="56"/>
  <c r="Y14" i="56"/>
  <c r="W13" i="56"/>
  <c r="AI14" i="56"/>
  <c r="AD14" i="56"/>
  <c r="AC14" i="56"/>
  <c r="Z14" i="56"/>
  <c r="AB14" i="56"/>
  <c r="AA14" i="56"/>
  <c r="X14" i="56"/>
  <c r="AC28" i="56"/>
  <c r="AC41" i="56"/>
  <c r="AB28" i="56"/>
  <c r="AB41" i="56"/>
  <c r="X41" i="56"/>
  <c r="X28" i="56"/>
  <c r="AH41" i="56"/>
  <c r="AH28" i="56"/>
  <c r="AA41" i="56"/>
  <c r="AA28" i="56"/>
  <c r="AG28" i="56"/>
  <c r="AG41" i="56"/>
  <c r="AD28" i="56"/>
  <c r="AD41" i="56"/>
  <c r="AE28" i="56"/>
  <c r="AE41" i="56"/>
  <c r="Z41" i="56"/>
  <c r="Z28" i="56"/>
  <c r="AI28" i="56"/>
  <c r="AI41" i="56"/>
  <c r="AA41" i="55"/>
  <c r="AA28" i="55"/>
  <c r="AF28" i="55"/>
  <c r="AF41" i="55"/>
  <c r="X41" i="55"/>
  <c r="X28" i="55"/>
  <c r="AI41" i="55"/>
  <c r="AI28" i="55"/>
  <c r="AB28" i="55"/>
  <c r="AB41" i="55"/>
  <c r="AG41" i="55"/>
  <c r="AG28" i="55"/>
  <c r="Z28" i="55"/>
  <c r="Z41" i="55"/>
  <c r="AE28" i="55"/>
  <c r="AE41" i="55"/>
  <c r="AH41" i="55"/>
  <c r="AH28" i="55"/>
  <c r="AD28" i="55"/>
  <c r="AD41" i="55"/>
  <c r="AC28" i="55"/>
  <c r="AC41" i="55"/>
  <c r="AI14" i="55"/>
  <c r="Z14" i="55"/>
  <c r="Y14" i="55"/>
  <c r="X14" i="55"/>
  <c r="AH14" i="55"/>
  <c r="AG14" i="55"/>
  <c r="AD14" i="55"/>
  <c r="AC14" i="55"/>
  <c r="AB14" i="55"/>
  <c r="AF14" i="55"/>
  <c r="AE14" i="55"/>
  <c r="AA14" i="55"/>
  <c r="W13" i="55"/>
  <c r="Y41" i="55"/>
  <c r="Y28" i="55"/>
  <c r="Z28" i="54"/>
  <c r="Z41" i="54"/>
  <c r="AE14" i="54"/>
  <c r="AH14" i="54"/>
  <c r="AD14" i="54"/>
  <c r="AC14" i="54"/>
  <c r="AG14" i="54"/>
  <c r="AF14" i="54"/>
  <c r="X14" i="54"/>
  <c r="W13" i="54"/>
  <c r="AI14" i="54"/>
  <c r="AB14" i="54"/>
  <c r="AA14" i="54"/>
  <c r="Z14" i="54"/>
  <c r="Y14" i="54"/>
  <c r="AC41" i="54"/>
  <c r="AC28" i="54"/>
  <c r="AD28" i="54"/>
  <c r="AD41" i="54"/>
  <c r="X28" i="54"/>
  <c r="X41" i="54"/>
  <c r="AH28" i="54"/>
  <c r="AH41" i="54"/>
  <c r="AB41" i="54"/>
  <c r="AB28" i="54"/>
  <c r="Y28" i="54"/>
  <c r="Y41" i="54"/>
  <c r="AA41" i="54"/>
  <c r="AA28" i="54"/>
  <c r="AF28" i="54"/>
  <c r="AF41" i="54"/>
  <c r="AG41" i="54"/>
  <c r="AG28" i="54"/>
  <c r="AE28" i="54"/>
  <c r="AE41" i="54"/>
  <c r="AI28" i="54"/>
  <c r="AI41" i="54"/>
  <c r="AI29" i="53"/>
  <c r="AI42" i="53"/>
  <c r="Z29" i="53"/>
  <c r="Z42" i="53"/>
  <c r="AD42" i="53"/>
  <c r="AD29" i="53"/>
  <c r="AB29" i="53"/>
  <c r="AB42" i="53"/>
  <c r="AE29" i="53"/>
  <c r="AE42" i="53"/>
  <c r="AH29" i="53"/>
  <c r="AH42" i="53"/>
  <c r="Y29" i="53"/>
  <c r="Y42" i="53"/>
  <c r="X29" i="53"/>
  <c r="X42" i="53"/>
  <c r="AF29" i="53"/>
  <c r="AF42" i="53"/>
  <c r="AC15" i="53"/>
  <c r="AI15" i="53"/>
  <c r="AG15" i="53"/>
  <c r="AF15" i="53"/>
  <c r="AE15" i="53"/>
  <c r="AB15" i="53"/>
  <c r="AH15" i="53"/>
  <c r="AD15" i="53"/>
  <c r="W14" i="53"/>
  <c r="AA15" i="53"/>
  <c r="Z15" i="53"/>
  <c r="Y15" i="53"/>
  <c r="X15" i="53"/>
  <c r="AG29" i="53"/>
  <c r="AG42" i="53"/>
  <c r="AC42" i="53"/>
  <c r="AC29" i="53"/>
  <c r="AA29" i="53"/>
  <c r="AA42" i="53"/>
  <c r="AB46" i="52"/>
  <c r="AB33" i="52"/>
  <c r="Z33" i="52"/>
  <c r="Z46" i="52"/>
  <c r="X46" i="52"/>
  <c r="X33" i="52"/>
  <c r="AH46" i="52"/>
  <c r="AH33" i="52"/>
  <c r="AD33" i="52"/>
  <c r="AD46" i="52"/>
  <c r="X19" i="52"/>
  <c r="W18" i="52"/>
  <c r="AF19" i="52"/>
  <c r="AD19" i="52"/>
  <c r="AC19" i="52"/>
  <c r="AB19" i="52"/>
  <c r="AA19" i="52"/>
  <c r="Z19" i="52"/>
  <c r="Y19" i="52"/>
  <c r="AI19" i="52"/>
  <c r="AH19" i="52"/>
  <c r="AG19" i="52"/>
  <c r="AE19" i="52"/>
  <c r="AF46" i="52"/>
  <c r="AF33" i="52"/>
  <c r="AI33" i="52"/>
  <c r="AI46" i="52"/>
  <c r="AE33" i="52"/>
  <c r="AE46" i="52"/>
  <c r="AG46" i="52"/>
  <c r="AG33" i="52"/>
  <c r="AA33" i="52"/>
  <c r="AA46" i="52"/>
  <c r="AC33" i="52"/>
  <c r="AC46" i="52"/>
  <c r="Y46" i="52"/>
  <c r="Y33" i="52"/>
  <c r="AH47" i="51"/>
  <c r="AH34" i="51"/>
  <c r="AI47" i="51"/>
  <c r="AI34" i="51"/>
  <c r="AC34" i="51"/>
  <c r="AC47" i="51"/>
  <c r="AG47" i="51"/>
  <c r="AG34" i="51"/>
  <c r="AA20" i="51"/>
  <c r="Z20" i="51"/>
  <c r="AI20" i="51"/>
  <c r="AH20" i="51"/>
  <c r="W19" i="51"/>
  <c r="AG20" i="51"/>
  <c r="AC20" i="51"/>
  <c r="AB20" i="51"/>
  <c r="X20" i="51"/>
  <c r="AE20" i="51"/>
  <c r="AD20" i="51"/>
  <c r="AF20" i="51"/>
  <c r="Y20" i="51"/>
  <c r="AE34" i="51"/>
  <c r="AE47" i="51"/>
  <c r="AD34" i="51"/>
  <c r="AD47" i="51"/>
  <c r="Y34" i="51"/>
  <c r="Y47" i="51"/>
  <c r="Z47" i="51"/>
  <c r="Z34" i="51"/>
  <c r="AA47" i="51"/>
  <c r="AA34" i="51"/>
  <c r="AF34" i="51"/>
  <c r="AF47" i="51"/>
  <c r="X34" i="51"/>
  <c r="X47" i="51"/>
  <c r="AB47" i="51"/>
  <c r="AB34" i="51"/>
  <c r="AB21" i="50"/>
  <c r="AA21" i="50"/>
  <c r="Z21" i="50"/>
  <c r="Y21" i="50"/>
  <c r="W20" i="50"/>
  <c r="AD21" i="50"/>
  <c r="AC21" i="50"/>
  <c r="X21" i="50"/>
  <c r="AI21" i="50"/>
  <c r="AH21" i="50"/>
  <c r="AG21" i="50"/>
  <c r="AF21" i="50"/>
  <c r="AE21" i="50"/>
  <c r="W20" i="49"/>
  <c r="AK34" i="49"/>
  <c r="AK33" i="49" s="1"/>
  <c r="AK32" i="49" s="1"/>
  <c r="AK31" i="49" s="1"/>
  <c r="AK30" i="49" s="1"/>
  <c r="AK29" i="49" s="1"/>
  <c r="AK28" i="49" s="1"/>
  <c r="AK27" i="49" s="1"/>
  <c r="AK26" i="49" s="1"/>
  <c r="AK25" i="49" s="1"/>
  <c r="AK24" i="49" s="1"/>
  <c r="AK21" i="49"/>
  <c r="AK20" i="49" s="1"/>
  <c r="AK19" i="49" s="1"/>
  <c r="AK18" i="49" s="1"/>
  <c r="AK17" i="49" s="1"/>
  <c r="AK16" i="49" s="1"/>
  <c r="AK15" i="49" s="1"/>
  <c r="AK14" i="49" s="1"/>
  <c r="AK13" i="49" s="1"/>
  <c r="AK12" i="49" s="1"/>
  <c r="AK11" i="49" s="1"/>
  <c r="AC21" i="49"/>
  <c r="AK47" i="49"/>
  <c r="AK46" i="49" s="1"/>
  <c r="AK45" i="49" s="1"/>
  <c r="AK44" i="49" s="1"/>
  <c r="AK43" i="49" s="1"/>
  <c r="AK42" i="49" s="1"/>
  <c r="AK41" i="49" s="1"/>
  <c r="AK40" i="49" s="1"/>
  <c r="AK39" i="49" s="1"/>
  <c r="AK38" i="49" s="1"/>
  <c r="AK37" i="49" s="1"/>
  <c r="AK47" i="48"/>
  <c r="AK46" i="48" s="1"/>
  <c r="AK45" i="48" s="1"/>
  <c r="AK44" i="48" s="1"/>
  <c r="AK43" i="48" s="1"/>
  <c r="AK42" i="48" s="1"/>
  <c r="AK41" i="48" s="1"/>
  <c r="AK40" i="48" s="1"/>
  <c r="AK39" i="48" s="1"/>
  <c r="AK38" i="48" s="1"/>
  <c r="AK37" i="48" s="1"/>
  <c r="W34" i="48"/>
  <c r="W33" i="48" s="1"/>
  <c r="W32" i="48" s="1"/>
  <c r="W31" i="48" s="1"/>
  <c r="W30" i="48" s="1"/>
  <c r="W29" i="48" s="1"/>
  <c r="W28" i="48" s="1"/>
  <c r="W27" i="48" s="1"/>
  <c r="W26" i="48" s="1"/>
  <c r="W25" i="48" s="1"/>
  <c r="W24" i="48" s="1"/>
  <c r="AK21" i="48"/>
  <c r="AK20" i="48" s="1"/>
  <c r="AK19" i="48" s="1"/>
  <c r="AK18" i="48" s="1"/>
  <c r="AK17" i="48" s="1"/>
  <c r="AK16" i="48" s="1"/>
  <c r="AK15" i="48" s="1"/>
  <c r="AK14" i="48" s="1"/>
  <c r="AK13" i="48" s="1"/>
  <c r="AK12" i="48" s="1"/>
  <c r="AK11" i="48" s="1"/>
  <c r="W21" i="48"/>
  <c r="N3" i="1"/>
  <c r="AF40" i="56" l="1"/>
  <c r="AF27" i="56"/>
  <c r="AC40" i="56"/>
  <c r="AC27" i="56"/>
  <c r="AG40" i="56"/>
  <c r="AG27" i="56"/>
  <c r="Y27" i="56"/>
  <c r="Y40" i="56"/>
  <c r="AH40" i="56"/>
  <c r="AH27" i="56"/>
  <c r="AI40" i="56"/>
  <c r="AI27" i="56"/>
  <c r="AA40" i="56"/>
  <c r="AA27" i="56"/>
  <c r="Z27" i="56"/>
  <c r="Z40" i="56"/>
  <c r="AE27" i="56"/>
  <c r="AE40" i="56"/>
  <c r="AB40" i="56"/>
  <c r="AB27" i="56"/>
  <c r="AC13" i="56"/>
  <c r="AB13" i="56"/>
  <c r="W12" i="56"/>
  <c r="Z13" i="56"/>
  <c r="AA13" i="56"/>
  <c r="AD13" i="56"/>
  <c r="Y13" i="56"/>
  <c r="X13" i="56"/>
  <c r="AI13" i="56"/>
  <c r="AH13" i="56"/>
  <c r="AG13" i="56"/>
  <c r="AF13" i="56"/>
  <c r="AE13" i="56"/>
  <c r="AD27" i="56"/>
  <c r="AD40" i="56"/>
  <c r="X27" i="56"/>
  <c r="X40" i="56"/>
  <c r="AE27" i="55"/>
  <c r="AE40" i="55"/>
  <c r="AC27" i="55"/>
  <c r="AC40" i="55"/>
  <c r="Y27" i="55"/>
  <c r="Y40" i="55"/>
  <c r="AA27" i="55"/>
  <c r="AA40" i="55"/>
  <c r="AG27" i="55"/>
  <c r="AG40" i="55"/>
  <c r="AD27" i="55"/>
  <c r="AD40" i="55"/>
  <c r="AB27" i="55"/>
  <c r="AB40" i="55"/>
  <c r="Z40" i="55"/>
  <c r="Z27" i="55"/>
  <c r="AF27" i="55"/>
  <c r="AF40" i="55"/>
  <c r="X27" i="55"/>
  <c r="X40" i="55"/>
  <c r="AH13" i="55"/>
  <c r="AI13" i="55"/>
  <c r="AE13" i="55"/>
  <c r="AD13" i="55"/>
  <c r="AB13" i="55"/>
  <c r="X13" i="55"/>
  <c r="Z13" i="55"/>
  <c r="Y13" i="55"/>
  <c r="AF13" i="55"/>
  <c r="AG13" i="55"/>
  <c r="AC13" i="55"/>
  <c r="AA13" i="55"/>
  <c r="W12" i="55"/>
  <c r="AH27" i="55"/>
  <c r="AH40" i="55"/>
  <c r="AI40" i="55"/>
  <c r="AI27" i="55"/>
  <c r="X27" i="54"/>
  <c r="X40" i="54"/>
  <c r="Y27" i="54"/>
  <c r="Y40" i="54"/>
  <c r="AH13" i="54"/>
  <c r="AG13" i="54"/>
  <c r="AF13" i="54"/>
  <c r="Z13" i="54"/>
  <c r="AI13" i="54"/>
  <c r="AE13" i="54"/>
  <c r="AD13" i="54"/>
  <c r="AA13" i="54"/>
  <c r="AC13" i="54"/>
  <c r="W12" i="54"/>
  <c r="AB13" i="54"/>
  <c r="Y13" i="54"/>
  <c r="X13" i="54"/>
  <c r="AF40" i="54"/>
  <c r="AF27" i="54"/>
  <c r="AI27" i="54"/>
  <c r="AI40" i="54"/>
  <c r="AC27" i="54"/>
  <c r="AC40" i="54"/>
  <c r="AH40" i="54"/>
  <c r="AH27" i="54"/>
  <c r="AB40" i="54"/>
  <c r="AB27" i="54"/>
  <c r="AD27" i="54"/>
  <c r="AD40" i="54"/>
  <c r="AA40" i="54"/>
  <c r="AA27" i="54"/>
  <c r="AG27" i="54"/>
  <c r="AG40" i="54"/>
  <c r="AE27" i="54"/>
  <c r="AE40" i="54"/>
  <c r="Z40" i="54"/>
  <c r="Z27" i="54"/>
  <c r="AF28" i="53"/>
  <c r="AF41" i="53"/>
  <c r="Z28" i="53"/>
  <c r="Z41" i="53"/>
  <c r="AG28" i="53"/>
  <c r="AG41" i="53"/>
  <c r="AD41" i="53"/>
  <c r="AD28" i="53"/>
  <c r="AI41" i="53"/>
  <c r="AI28" i="53"/>
  <c r="X41" i="53"/>
  <c r="X28" i="53"/>
  <c r="AH41" i="53"/>
  <c r="AH28" i="53"/>
  <c r="Y41" i="53"/>
  <c r="Y28" i="53"/>
  <c r="AA41" i="53"/>
  <c r="AA28" i="53"/>
  <c r="X14" i="53"/>
  <c r="AB14" i="53"/>
  <c r="Z14" i="53"/>
  <c r="Y14" i="53"/>
  <c r="AA14" i="53"/>
  <c r="W13" i="53"/>
  <c r="AH14" i="53"/>
  <c r="AG14" i="53"/>
  <c r="AE14" i="53"/>
  <c r="AC14" i="53"/>
  <c r="AD14" i="53"/>
  <c r="AI14" i="53"/>
  <c r="AF14" i="53"/>
  <c r="AB41" i="53"/>
  <c r="AB28" i="53"/>
  <c r="AC41" i="53"/>
  <c r="AC28" i="53"/>
  <c r="AE28" i="53"/>
  <c r="AE41" i="53"/>
  <c r="AI45" i="52"/>
  <c r="AI32" i="52"/>
  <c r="AE45" i="52"/>
  <c r="AE32" i="52"/>
  <c r="AA32" i="52"/>
  <c r="AA45" i="52"/>
  <c r="AH32" i="52"/>
  <c r="AH45" i="52"/>
  <c r="AB45" i="52"/>
  <c r="AB32" i="52"/>
  <c r="Y45" i="52"/>
  <c r="Y32" i="52"/>
  <c r="AC45" i="52"/>
  <c r="AC32" i="52"/>
  <c r="AF32" i="52"/>
  <c r="AF45" i="52"/>
  <c r="AG32" i="52"/>
  <c r="AG45" i="52"/>
  <c r="Z32" i="52"/>
  <c r="Z45" i="52"/>
  <c r="AD45" i="52"/>
  <c r="AD32" i="52"/>
  <c r="AG18" i="52"/>
  <c r="AC18" i="52"/>
  <c r="AI18" i="52"/>
  <c r="AH18" i="52"/>
  <c r="AE18" i="52"/>
  <c r="W17" i="52"/>
  <c r="AD18" i="52"/>
  <c r="AB18" i="52"/>
  <c r="Z18" i="52"/>
  <c r="AA18" i="52"/>
  <c r="Y18" i="52"/>
  <c r="X18" i="52"/>
  <c r="AF18" i="52"/>
  <c r="X45" i="52"/>
  <c r="X32" i="52"/>
  <c r="AH33" i="51"/>
  <c r="AH46" i="51"/>
  <c r="AA46" i="51"/>
  <c r="AA33" i="51"/>
  <c r="Y46" i="51"/>
  <c r="Y33" i="51"/>
  <c r="AF46" i="51"/>
  <c r="AF33" i="51"/>
  <c r="X46" i="51"/>
  <c r="X33" i="51"/>
  <c r="AI33" i="51"/>
  <c r="AI46" i="51"/>
  <c r="AE33" i="51"/>
  <c r="AE46" i="51"/>
  <c r="AC46" i="51"/>
  <c r="AC33" i="51"/>
  <c r="AG46" i="51"/>
  <c r="AG33" i="51"/>
  <c r="Z46" i="51"/>
  <c r="Z33" i="51"/>
  <c r="AD33" i="51"/>
  <c r="AD46" i="51"/>
  <c r="AB46" i="51"/>
  <c r="AB33" i="51"/>
  <c r="Z19" i="51"/>
  <c r="Y19" i="51"/>
  <c r="AF19" i="51"/>
  <c r="AE19" i="51"/>
  <c r="AC19" i="51"/>
  <c r="X19" i="51"/>
  <c r="AB19" i="51"/>
  <c r="AA19" i="51"/>
  <c r="W18" i="51"/>
  <c r="AI19" i="51"/>
  <c r="AH19" i="51"/>
  <c r="AG19" i="51"/>
  <c r="AD19" i="51"/>
  <c r="AF47" i="50"/>
  <c r="AF34" i="50"/>
  <c r="AG47" i="50"/>
  <c r="AG34" i="50"/>
  <c r="Y47" i="50"/>
  <c r="Y34" i="50"/>
  <c r="AH34" i="50"/>
  <c r="AH47" i="50"/>
  <c r="AC47" i="50"/>
  <c r="AC34" i="50"/>
  <c r="AA20" i="50"/>
  <c r="Y20" i="50"/>
  <c r="X20" i="50"/>
  <c r="W19" i="50"/>
  <c r="AG20" i="50"/>
  <c r="AF20" i="50"/>
  <c r="AC20" i="50"/>
  <c r="Z20" i="50"/>
  <c r="AB20" i="50"/>
  <c r="AI20" i="50"/>
  <c r="AH20" i="50"/>
  <c r="AE20" i="50"/>
  <c r="AD20" i="50"/>
  <c r="Z47" i="50"/>
  <c r="Z34" i="50"/>
  <c r="AI34" i="50"/>
  <c r="AI47" i="50"/>
  <c r="AD47" i="50"/>
  <c r="AD34" i="50"/>
  <c r="AA47" i="50"/>
  <c r="AA34" i="50"/>
  <c r="AE47" i="50"/>
  <c r="AE34" i="50"/>
  <c r="X47" i="50"/>
  <c r="X34" i="50"/>
  <c r="AB47" i="50"/>
  <c r="AB34" i="50"/>
  <c r="AC47" i="49"/>
  <c r="AC34" i="49"/>
  <c r="X21" i="49"/>
  <c r="AI21" i="49"/>
  <c r="AA20" i="49"/>
  <c r="Z20" i="49"/>
  <c r="X20" i="49"/>
  <c r="Y20" i="49"/>
  <c r="W19" i="49"/>
  <c r="AI20" i="49"/>
  <c r="AC20" i="49"/>
  <c r="AF20" i="49"/>
  <c r="AD20" i="49"/>
  <c r="AB20" i="49"/>
  <c r="AG20" i="49"/>
  <c r="AH20" i="49"/>
  <c r="AE20" i="49"/>
  <c r="AD21" i="49"/>
  <c r="AE21" i="49"/>
  <c r="AG21" i="49"/>
  <c r="AH21" i="49"/>
  <c r="AF21" i="49"/>
  <c r="Z21" i="49"/>
  <c r="AA21" i="49"/>
  <c r="Y21" i="49"/>
  <c r="AB21" i="49"/>
  <c r="AB21" i="48"/>
  <c r="AE21" i="48"/>
  <c r="AD21" i="48"/>
  <c r="AA21" i="48"/>
  <c r="W20" i="48"/>
  <c r="AH21" i="48"/>
  <c r="AI21" i="48"/>
  <c r="Y21" i="48"/>
  <c r="X21" i="48"/>
  <c r="AG21" i="48"/>
  <c r="Z21" i="48"/>
  <c r="AF21" i="48"/>
  <c r="AC21" i="48"/>
  <c r="AK34" i="44"/>
  <c r="AK33" i="44" s="1"/>
  <c r="AK32" i="44" s="1"/>
  <c r="AK31" i="44" s="1"/>
  <c r="AK30" i="44" s="1"/>
  <c r="AK29" i="44" s="1"/>
  <c r="AK28" i="44" s="1"/>
  <c r="AK27" i="44" s="1"/>
  <c r="AK26" i="44" s="1"/>
  <c r="AK25" i="44" s="1"/>
  <c r="AK24" i="44" s="1"/>
  <c r="W21" i="44"/>
  <c r="W34" i="44"/>
  <c r="W33" i="44" s="1"/>
  <c r="W32" i="44" s="1"/>
  <c r="W31" i="44" s="1"/>
  <c r="W30" i="44" s="1"/>
  <c r="W29" i="44" s="1"/>
  <c r="W28" i="44" s="1"/>
  <c r="W27" i="44" s="1"/>
  <c r="W26" i="44" s="1"/>
  <c r="W25" i="44" s="1"/>
  <c r="W24" i="44" s="1"/>
  <c r="AK21" i="44"/>
  <c r="AK20" i="44" s="1"/>
  <c r="AK19" i="44" s="1"/>
  <c r="AK18" i="44" s="1"/>
  <c r="AK17" i="44" s="1"/>
  <c r="AK16" i="44" s="1"/>
  <c r="AK15" i="44" s="1"/>
  <c r="AK14" i="44" s="1"/>
  <c r="AK13" i="44" s="1"/>
  <c r="AK12" i="44" s="1"/>
  <c r="AK11" i="44" s="1"/>
  <c r="W47" i="44"/>
  <c r="W46" i="44" s="1"/>
  <c r="W45" i="44" s="1"/>
  <c r="W44" i="44" s="1"/>
  <c r="W43" i="44" s="1"/>
  <c r="W42" i="44" s="1"/>
  <c r="W41" i="44" s="1"/>
  <c r="W40" i="44" s="1"/>
  <c r="W39" i="44" s="1"/>
  <c r="W38" i="44" s="1"/>
  <c r="W37" i="44" s="1"/>
  <c r="AK47" i="44"/>
  <c r="AK46" i="44" s="1"/>
  <c r="AK45" i="44" s="1"/>
  <c r="AK44" i="44" s="1"/>
  <c r="AK43" i="44" s="1"/>
  <c r="AK42" i="44" s="1"/>
  <c r="AK41" i="44" s="1"/>
  <c r="AK40" i="44" s="1"/>
  <c r="AK39" i="44" s="1"/>
  <c r="AK38" i="44" s="1"/>
  <c r="AK37" i="44" s="1"/>
  <c r="P19" i="1"/>
  <c r="O11" i="1"/>
  <c r="O7" i="1"/>
  <c r="O3" i="1"/>
  <c r="AH26" i="56" l="1"/>
  <c r="AH39" i="56"/>
  <c r="AE26" i="56"/>
  <c r="AE39" i="56"/>
  <c r="AI39" i="56"/>
  <c r="AI26" i="56"/>
  <c r="Y39" i="56"/>
  <c r="Y26" i="56"/>
  <c r="AF26" i="56"/>
  <c r="AF39" i="56"/>
  <c r="AD26" i="56"/>
  <c r="AD39" i="56"/>
  <c r="Z39" i="56"/>
  <c r="Z26" i="56"/>
  <c r="X26" i="56"/>
  <c r="X39" i="56"/>
  <c r="X12" i="56"/>
  <c r="AI12" i="56"/>
  <c r="W11" i="56"/>
  <c r="AH12" i="56"/>
  <c r="AG12" i="56"/>
  <c r="AA12" i="56"/>
  <c r="Z12" i="56"/>
  <c r="AF12" i="56"/>
  <c r="AD12" i="56"/>
  <c r="AE12" i="56"/>
  <c r="AC12" i="56"/>
  <c r="Y12" i="56"/>
  <c r="AB12" i="56"/>
  <c r="AG26" i="56"/>
  <c r="AG39" i="56"/>
  <c r="AB39" i="56"/>
  <c r="AB26" i="56"/>
  <c r="AA39" i="56"/>
  <c r="AA26" i="56"/>
  <c r="AC26" i="56"/>
  <c r="AC39" i="56"/>
  <c r="AG12" i="55"/>
  <c r="AB12" i="55"/>
  <c r="AA12" i="55"/>
  <c r="Z12" i="55"/>
  <c r="Y12" i="55"/>
  <c r="AH12" i="55"/>
  <c r="W11" i="55"/>
  <c r="AF12" i="55"/>
  <c r="AD12" i="55"/>
  <c r="AC12" i="55"/>
  <c r="AI12" i="55"/>
  <c r="AE12" i="55"/>
  <c r="X12" i="55"/>
  <c r="AA26" i="55"/>
  <c r="AA39" i="55"/>
  <c r="X26" i="55"/>
  <c r="X39" i="55"/>
  <c r="AB26" i="55"/>
  <c r="AB39" i="55"/>
  <c r="AF39" i="55"/>
  <c r="AF26" i="55"/>
  <c r="AD26" i="55"/>
  <c r="AD39" i="55"/>
  <c r="Y26" i="55"/>
  <c r="Y39" i="55"/>
  <c r="AE39" i="55"/>
  <c r="AE26" i="55"/>
  <c r="AG39" i="55"/>
  <c r="AG26" i="55"/>
  <c r="Z26" i="55"/>
  <c r="Z39" i="55"/>
  <c r="AI39" i="55"/>
  <c r="AI26" i="55"/>
  <c r="AC26" i="55"/>
  <c r="AC39" i="55"/>
  <c r="AH39" i="55"/>
  <c r="AH26" i="55"/>
  <c r="Y26" i="54"/>
  <c r="Y39" i="54"/>
  <c r="AA26" i="54"/>
  <c r="AA39" i="54"/>
  <c r="AI39" i="54"/>
  <c r="AI26" i="54"/>
  <c r="Z26" i="54"/>
  <c r="Z39" i="54"/>
  <c r="AF39" i="54"/>
  <c r="AF26" i="54"/>
  <c r="AD26" i="54"/>
  <c r="AD39" i="54"/>
  <c r="AG39" i="54"/>
  <c r="AG26" i="54"/>
  <c r="AB26" i="54"/>
  <c r="AB39" i="54"/>
  <c r="AC12" i="54"/>
  <c r="AB12" i="54"/>
  <c r="W11" i="54"/>
  <c r="AA12" i="54"/>
  <c r="AE12" i="54"/>
  <c r="AD12" i="54"/>
  <c r="Z12" i="54"/>
  <c r="Y12" i="54"/>
  <c r="X12" i="54"/>
  <c r="AH12" i="54"/>
  <c r="AG12" i="54"/>
  <c r="AF12" i="54"/>
  <c r="AI12" i="54"/>
  <c r="AH39" i="54"/>
  <c r="AH26" i="54"/>
  <c r="AC26" i="54"/>
  <c r="AC39" i="54"/>
  <c r="AE39" i="54"/>
  <c r="AE26" i="54"/>
  <c r="X39" i="54"/>
  <c r="X26" i="54"/>
  <c r="X40" i="53"/>
  <c r="X27" i="53"/>
  <c r="Y40" i="53"/>
  <c r="Y27" i="53"/>
  <c r="AD27" i="53"/>
  <c r="AD40" i="53"/>
  <c r="AG40" i="53"/>
  <c r="AG27" i="53"/>
  <c r="AB40" i="53"/>
  <c r="AB27" i="53"/>
  <c r="AI40" i="53"/>
  <c r="AI27" i="53"/>
  <c r="AH40" i="53"/>
  <c r="AH27" i="53"/>
  <c r="AE27" i="53"/>
  <c r="AE40" i="53"/>
  <c r="AI13" i="53"/>
  <c r="AG13" i="53"/>
  <c r="AF13" i="53"/>
  <c r="AH13" i="53"/>
  <c r="W12" i="53"/>
  <c r="AE13" i="53"/>
  <c r="AD13" i="53"/>
  <c r="Y13" i="53"/>
  <c r="X13" i="53"/>
  <c r="AC13" i="53"/>
  <c r="AB13" i="53"/>
  <c r="AA13" i="53"/>
  <c r="Z13" i="53"/>
  <c r="Z40" i="53"/>
  <c r="Z27" i="53"/>
  <c r="AF40" i="53"/>
  <c r="AF27" i="53"/>
  <c r="AC27" i="53"/>
  <c r="AC40" i="53"/>
  <c r="AA40" i="53"/>
  <c r="AA27" i="53"/>
  <c r="AF44" i="52"/>
  <c r="AF31" i="52"/>
  <c r="AA44" i="52"/>
  <c r="AA31" i="52"/>
  <c r="AD44" i="52"/>
  <c r="AD31" i="52"/>
  <c r="X44" i="52"/>
  <c r="X31" i="52"/>
  <c r="AD17" i="52"/>
  <c r="Z17" i="52"/>
  <c r="W16" i="52"/>
  <c r="AE17" i="52"/>
  <c r="AC17" i="52"/>
  <c r="AA17" i="52"/>
  <c r="Y17" i="52"/>
  <c r="X17" i="52"/>
  <c r="AI17" i="52"/>
  <c r="AH17" i="52"/>
  <c r="AB17" i="52"/>
  <c r="AG17" i="52"/>
  <c r="AF17" i="52"/>
  <c r="Y44" i="52"/>
  <c r="Y31" i="52"/>
  <c r="AH44" i="52"/>
  <c r="AH31" i="52"/>
  <c r="Z44" i="52"/>
  <c r="Z31" i="52"/>
  <c r="AC31" i="52"/>
  <c r="AC44" i="52"/>
  <c r="AE44" i="52"/>
  <c r="AE31" i="52"/>
  <c r="AI44" i="52"/>
  <c r="AI31" i="52"/>
  <c r="AB31" i="52"/>
  <c r="AB44" i="52"/>
  <c r="AG31" i="52"/>
  <c r="AG44" i="52"/>
  <c r="AG32" i="51"/>
  <c r="AG45" i="51"/>
  <c r="AA45" i="51"/>
  <c r="AA32" i="51"/>
  <c r="AF32" i="51"/>
  <c r="AF45" i="51"/>
  <c r="AB32" i="51"/>
  <c r="AB45" i="51"/>
  <c r="AC45" i="51"/>
  <c r="AC32" i="51"/>
  <c r="Z45" i="51"/>
  <c r="Z32" i="51"/>
  <c r="AI32" i="51"/>
  <c r="AI45" i="51"/>
  <c r="AE45" i="51"/>
  <c r="AE32" i="51"/>
  <c r="AH32" i="51"/>
  <c r="AH45" i="51"/>
  <c r="Y18" i="51"/>
  <c r="X18" i="51"/>
  <c r="W17" i="51"/>
  <c r="AA18" i="51"/>
  <c r="Z18" i="51"/>
  <c r="AG18" i="51"/>
  <c r="AI18" i="51"/>
  <c r="AH18" i="51"/>
  <c r="AD18" i="51"/>
  <c r="AC18" i="51"/>
  <c r="AB18" i="51"/>
  <c r="AF18" i="51"/>
  <c r="AE18" i="51"/>
  <c r="X45" i="51"/>
  <c r="X32" i="51"/>
  <c r="Y45" i="51"/>
  <c r="Y32" i="51"/>
  <c r="AD45" i="51"/>
  <c r="AD32" i="51"/>
  <c r="AH33" i="50"/>
  <c r="AH46" i="50"/>
  <c r="AD46" i="50"/>
  <c r="AD33" i="50"/>
  <c r="AE46" i="50"/>
  <c r="AE33" i="50"/>
  <c r="AI33" i="50"/>
  <c r="AI46" i="50"/>
  <c r="AB46" i="50"/>
  <c r="AB33" i="50"/>
  <c r="AC46" i="50"/>
  <c r="AC33" i="50"/>
  <c r="AG33" i="50"/>
  <c r="AG46" i="50"/>
  <c r="Z19" i="50"/>
  <c r="X19" i="50"/>
  <c r="W18" i="50"/>
  <c r="AF19" i="50"/>
  <c r="AD19" i="50"/>
  <c r="Y19" i="50"/>
  <c r="AI19" i="50"/>
  <c r="AH19" i="50"/>
  <c r="AE19" i="50"/>
  <c r="AC19" i="50"/>
  <c r="AG19" i="50"/>
  <c r="AB19" i="50"/>
  <c r="AA19" i="50"/>
  <c r="X46" i="50"/>
  <c r="X33" i="50"/>
  <c r="Z46" i="50"/>
  <c r="Z33" i="50"/>
  <c r="AF46" i="50"/>
  <c r="AF33" i="50"/>
  <c r="Y46" i="50"/>
  <c r="Y33" i="50"/>
  <c r="AA46" i="50"/>
  <c r="AA33" i="50"/>
  <c r="AD47" i="49"/>
  <c r="AD34" i="49"/>
  <c r="AG33" i="49"/>
  <c r="AG46" i="49"/>
  <c r="AF46" i="49"/>
  <c r="AF33" i="49"/>
  <c r="AI33" i="49"/>
  <c r="AI46" i="49"/>
  <c r="Z19" i="49"/>
  <c r="Y19" i="49"/>
  <c r="X19" i="49"/>
  <c r="W18" i="49"/>
  <c r="AH19" i="49"/>
  <c r="AC19" i="49"/>
  <c r="AG19" i="49"/>
  <c r="AB19" i="49"/>
  <c r="AF19" i="49"/>
  <c r="AD19" i="49"/>
  <c r="AE19" i="49"/>
  <c r="AI19" i="49"/>
  <c r="AA19" i="49"/>
  <c r="Y46" i="49"/>
  <c r="Y33" i="49"/>
  <c r="X46" i="49"/>
  <c r="X33" i="49"/>
  <c r="AB47" i="49"/>
  <c r="AB34" i="49"/>
  <c r="Z46" i="49"/>
  <c r="Z33" i="49"/>
  <c r="AE33" i="49"/>
  <c r="AE46" i="49"/>
  <c r="AB46" i="49"/>
  <c r="AB33" i="49"/>
  <c r="AC46" i="49"/>
  <c r="AC33" i="49"/>
  <c r="AA46" i="49"/>
  <c r="AA33" i="49"/>
  <c r="Z47" i="49"/>
  <c r="Z34" i="49"/>
  <c r="AF34" i="49"/>
  <c r="AF47" i="49"/>
  <c r="AI34" i="49"/>
  <c r="AI47" i="49"/>
  <c r="AH33" i="49"/>
  <c r="AH46" i="49"/>
  <c r="AD33" i="49"/>
  <c r="AD46" i="49"/>
  <c r="Y47" i="49"/>
  <c r="Y34" i="49"/>
  <c r="AA47" i="49"/>
  <c r="AA34" i="49"/>
  <c r="X47" i="49"/>
  <c r="X34" i="49"/>
  <c r="AH34" i="49"/>
  <c r="AH47" i="49"/>
  <c r="AG47" i="49"/>
  <c r="AG34" i="49"/>
  <c r="AE34" i="49"/>
  <c r="AE47" i="49"/>
  <c r="AC34" i="48"/>
  <c r="AC47" i="48"/>
  <c r="AG47" i="48"/>
  <c r="AG34" i="48"/>
  <c r="AI47" i="48"/>
  <c r="AI34" i="48"/>
  <c r="AH47" i="48"/>
  <c r="AH34" i="48"/>
  <c r="AA20" i="48"/>
  <c r="Y20" i="48"/>
  <c r="X20" i="48"/>
  <c r="AC20" i="48"/>
  <c r="AB20" i="48"/>
  <c r="Z20" i="48"/>
  <c r="AE20" i="48"/>
  <c r="AD20" i="48"/>
  <c r="W19" i="48"/>
  <c r="AI20" i="48"/>
  <c r="AH20" i="48"/>
  <c r="AG20" i="48"/>
  <c r="AF20" i="48"/>
  <c r="Z34" i="48"/>
  <c r="Z47" i="48"/>
  <c r="AA47" i="48"/>
  <c r="AA34" i="48"/>
  <c r="Y34" i="48"/>
  <c r="Y47" i="48"/>
  <c r="AD47" i="48"/>
  <c r="AD34" i="48"/>
  <c r="X34" i="48"/>
  <c r="X47" i="48"/>
  <c r="AE47" i="48"/>
  <c r="AE34" i="48"/>
  <c r="AF47" i="48"/>
  <c r="AF34" i="48"/>
  <c r="AB47" i="48"/>
  <c r="AB34" i="48"/>
  <c r="AB21" i="44"/>
  <c r="AA21" i="44"/>
  <c r="X21" i="44"/>
  <c r="AI21" i="44"/>
  <c r="AF21" i="44"/>
  <c r="W20" i="44"/>
  <c r="AE21" i="44"/>
  <c r="AH21" i="44"/>
  <c r="AG21" i="44"/>
  <c r="AD21" i="44"/>
  <c r="AC21" i="44"/>
  <c r="Z21" i="44"/>
  <c r="Y21" i="44"/>
  <c r="AK47" i="42"/>
  <c r="AK46" i="42" s="1"/>
  <c r="AK45" i="42" s="1"/>
  <c r="AK44" i="42" s="1"/>
  <c r="AK43" i="42" s="1"/>
  <c r="AK42" i="42" s="1"/>
  <c r="AK41" i="42" s="1"/>
  <c r="AK40" i="42" s="1"/>
  <c r="AK39" i="42" s="1"/>
  <c r="AK38" i="42" s="1"/>
  <c r="AK37" i="42" s="1"/>
  <c r="AK34" i="42"/>
  <c r="AK33" i="42" s="1"/>
  <c r="AK32" i="42" s="1"/>
  <c r="W34" i="42"/>
  <c r="W33" i="42" s="1"/>
  <c r="W32" i="42"/>
  <c r="W31" i="42" s="1"/>
  <c r="W30" i="42" s="1"/>
  <c r="W29" i="42" s="1"/>
  <c r="W28" i="42" s="1"/>
  <c r="W27" i="42" s="1"/>
  <c r="W26" i="42" s="1"/>
  <c r="W25" i="42" s="1"/>
  <c r="W24" i="42" s="1"/>
  <c r="AK31" i="42"/>
  <c r="AK30" i="42" s="1"/>
  <c r="AK29" i="42" s="1"/>
  <c r="AK28" i="42" s="1"/>
  <c r="AK27" i="42" s="1"/>
  <c r="AK26" i="42" s="1"/>
  <c r="AK25" i="42" s="1"/>
  <c r="AK24" i="42" s="1"/>
  <c r="X21" i="42"/>
  <c r="W21" i="42"/>
  <c r="AH21" i="42" s="1"/>
  <c r="X25" i="56" l="1"/>
  <c r="X38" i="56"/>
  <c r="AA25" i="56"/>
  <c r="AA38" i="56"/>
  <c r="AD11" i="56"/>
  <c r="AI11" i="56"/>
  <c r="AH11" i="56"/>
  <c r="AG11" i="56"/>
  <c r="AE11" i="56"/>
  <c r="AF11" i="56"/>
  <c r="AC11" i="56"/>
  <c r="X11" i="56"/>
  <c r="AB11" i="56"/>
  <c r="AA11" i="56"/>
  <c r="Z11" i="56"/>
  <c r="Y11" i="56"/>
  <c r="AB25" i="56"/>
  <c r="AB38" i="56"/>
  <c r="AF38" i="56"/>
  <c r="AF25" i="56"/>
  <c r="AH38" i="56"/>
  <c r="AH25" i="56"/>
  <c r="Y25" i="56"/>
  <c r="Y38" i="56"/>
  <c r="AI25" i="56"/>
  <c r="AI38" i="56"/>
  <c r="AC25" i="56"/>
  <c r="AC38" i="56"/>
  <c r="AG38" i="56"/>
  <c r="AG25" i="56"/>
  <c r="AE25" i="56"/>
  <c r="AE38" i="56"/>
  <c r="Z25" i="56"/>
  <c r="Z38" i="56"/>
  <c r="AD25" i="56"/>
  <c r="AD38" i="56"/>
  <c r="X38" i="55"/>
  <c r="X25" i="55"/>
  <c r="AE25" i="55"/>
  <c r="AE38" i="55"/>
  <c r="AC25" i="55"/>
  <c r="AC38" i="55"/>
  <c r="AH25" i="55"/>
  <c r="AH38" i="55"/>
  <c r="Y25" i="55"/>
  <c r="Y38" i="55"/>
  <c r="AI25" i="55"/>
  <c r="AI38" i="55"/>
  <c r="AF25" i="55"/>
  <c r="AF38" i="55"/>
  <c r="Z25" i="55"/>
  <c r="Z38" i="55"/>
  <c r="AD25" i="55"/>
  <c r="AD38" i="55"/>
  <c r="AA25" i="55"/>
  <c r="AA38" i="55"/>
  <c r="AI11" i="55"/>
  <c r="AF11" i="55"/>
  <c r="AH11" i="55"/>
  <c r="Z11" i="55"/>
  <c r="Y11" i="55"/>
  <c r="AG11" i="55"/>
  <c r="AE11" i="55"/>
  <c r="X11" i="55"/>
  <c r="AO12" i="55" s="1"/>
  <c r="AD11" i="55"/>
  <c r="AC11" i="55"/>
  <c r="AA11" i="55"/>
  <c r="AB11" i="55"/>
  <c r="AP12" i="55" s="1"/>
  <c r="AB25" i="55"/>
  <c r="AB38" i="55"/>
  <c r="AG38" i="55"/>
  <c r="AG25" i="55"/>
  <c r="AA25" i="54"/>
  <c r="AA38" i="54"/>
  <c r="AB25" i="54"/>
  <c r="AB38" i="54"/>
  <c r="AC25" i="54"/>
  <c r="AC38" i="54"/>
  <c r="Y25" i="54"/>
  <c r="Y38" i="54"/>
  <c r="AE38" i="54"/>
  <c r="AE25" i="54"/>
  <c r="Z25" i="54"/>
  <c r="Z38" i="54"/>
  <c r="AF38" i="54"/>
  <c r="AF25" i="54"/>
  <c r="AG25" i="54"/>
  <c r="AG38" i="54"/>
  <c r="AD38" i="54"/>
  <c r="AD25" i="54"/>
  <c r="AH25" i="54"/>
  <c r="AH38" i="54"/>
  <c r="X11" i="54"/>
  <c r="AI11" i="54"/>
  <c r="AH11" i="54"/>
  <c r="AC11" i="54"/>
  <c r="AB11" i="54"/>
  <c r="AA11" i="54"/>
  <c r="AF11" i="54"/>
  <c r="AG11" i="54"/>
  <c r="Y11" i="54"/>
  <c r="AS12" i="54" s="1"/>
  <c r="AD11" i="54"/>
  <c r="Z11" i="54"/>
  <c r="AE11" i="54"/>
  <c r="AI38" i="54"/>
  <c r="AI25" i="54"/>
  <c r="X38" i="54"/>
  <c r="X25" i="54"/>
  <c r="AH26" i="53"/>
  <c r="AH39" i="53"/>
  <c r="Y39" i="53"/>
  <c r="Y26" i="53"/>
  <c r="AF26" i="53"/>
  <c r="AF39" i="53"/>
  <c r="Z26" i="53"/>
  <c r="Z39" i="53"/>
  <c r="AE26" i="53"/>
  <c r="AE39" i="53"/>
  <c r="AA26" i="53"/>
  <c r="AA39" i="53"/>
  <c r="AB39" i="53"/>
  <c r="AB26" i="53"/>
  <c r="AD26" i="53"/>
  <c r="AD39" i="53"/>
  <c r="AG26" i="53"/>
  <c r="AG39" i="53"/>
  <c r="AC26" i="53"/>
  <c r="AC39" i="53"/>
  <c r="AH12" i="53"/>
  <c r="AI12" i="53"/>
  <c r="AF12" i="53"/>
  <c r="AB12" i="53"/>
  <c r="AG12" i="53"/>
  <c r="AE12" i="53"/>
  <c r="AD12" i="53"/>
  <c r="AC12" i="53"/>
  <c r="W11" i="53"/>
  <c r="Z12" i="53"/>
  <c r="Y12" i="53"/>
  <c r="AA12" i="53"/>
  <c r="X12" i="53"/>
  <c r="AI26" i="53"/>
  <c r="AI39" i="53"/>
  <c r="X39" i="53"/>
  <c r="X26" i="53"/>
  <c r="AD43" i="52"/>
  <c r="AD30" i="52"/>
  <c r="AF30" i="52"/>
  <c r="AF43" i="52"/>
  <c r="Z43" i="52"/>
  <c r="Z30" i="52"/>
  <c r="AB43" i="52"/>
  <c r="AB30" i="52"/>
  <c r="AI43" i="52"/>
  <c r="AI30" i="52"/>
  <c r="X43" i="52"/>
  <c r="X30" i="52"/>
  <c r="AG43" i="52"/>
  <c r="AG30" i="52"/>
  <c r="Y43" i="52"/>
  <c r="Y30" i="52"/>
  <c r="AA16" i="52"/>
  <c r="AG16" i="52"/>
  <c r="AD16" i="52"/>
  <c r="AF16" i="52"/>
  <c r="AE16" i="52"/>
  <c r="AH16" i="52"/>
  <c r="AC16" i="52"/>
  <c r="AB16" i="52"/>
  <c r="Z16" i="52"/>
  <c r="Y16" i="52"/>
  <c r="X16" i="52"/>
  <c r="W15" i="52"/>
  <c r="AI16" i="52"/>
  <c r="AA43" i="52"/>
  <c r="AA30" i="52"/>
  <c r="AE30" i="52"/>
  <c r="AE43" i="52"/>
  <c r="AH43" i="52"/>
  <c r="AH30" i="52"/>
  <c r="AC43" i="52"/>
  <c r="AC30" i="52"/>
  <c r="X17" i="51"/>
  <c r="W16" i="51"/>
  <c r="AG17" i="51"/>
  <c r="AE17" i="51"/>
  <c r="AD17" i="51"/>
  <c r="AC17" i="51"/>
  <c r="AB17" i="51"/>
  <c r="AF17" i="51"/>
  <c r="Y17" i="51"/>
  <c r="AI17" i="51"/>
  <c r="AH17" i="51"/>
  <c r="AA17" i="51"/>
  <c r="Z17" i="51"/>
  <c r="Y44" i="51"/>
  <c r="Y31" i="51"/>
  <c r="AB31" i="51"/>
  <c r="AB44" i="51"/>
  <c r="AC31" i="51"/>
  <c r="AC44" i="51"/>
  <c r="AE31" i="51"/>
  <c r="AE44" i="51"/>
  <c r="X44" i="51"/>
  <c r="X31" i="51"/>
  <c r="AI31" i="51"/>
  <c r="AI44" i="51"/>
  <c r="AD31" i="51"/>
  <c r="AD44" i="51"/>
  <c r="AG31" i="51"/>
  <c r="AG44" i="51"/>
  <c r="AA31" i="51"/>
  <c r="AA44" i="51"/>
  <c r="AF31" i="51"/>
  <c r="AF44" i="51"/>
  <c r="AH31" i="51"/>
  <c r="AH44" i="51"/>
  <c r="Z31" i="51"/>
  <c r="Z44" i="51"/>
  <c r="AC45" i="50"/>
  <c r="AC32" i="50"/>
  <c r="Y45" i="50"/>
  <c r="Y32" i="50"/>
  <c r="AB45" i="50"/>
  <c r="AB32" i="50"/>
  <c r="AD45" i="50"/>
  <c r="AD32" i="50"/>
  <c r="Y18" i="50"/>
  <c r="X18" i="50"/>
  <c r="W17" i="50"/>
  <c r="AA18" i="50"/>
  <c r="Z18" i="50"/>
  <c r="AI18" i="50"/>
  <c r="AH18" i="50"/>
  <c r="AF18" i="50"/>
  <c r="AE18" i="50"/>
  <c r="AD18" i="50"/>
  <c r="AC18" i="50"/>
  <c r="AB18" i="50"/>
  <c r="AG18" i="50"/>
  <c r="X45" i="50"/>
  <c r="X32" i="50"/>
  <c r="AA45" i="50"/>
  <c r="AA32" i="50"/>
  <c r="AE45" i="50"/>
  <c r="AE32" i="50"/>
  <c r="Z45" i="50"/>
  <c r="Z32" i="50"/>
  <c r="AG32" i="50"/>
  <c r="AG45" i="50"/>
  <c r="AI32" i="50"/>
  <c r="AI45" i="50"/>
  <c r="AH32" i="50"/>
  <c r="AH45" i="50"/>
  <c r="AF32" i="50"/>
  <c r="AF45" i="50"/>
  <c r="Y18" i="49"/>
  <c r="X18" i="49"/>
  <c r="W17" i="49"/>
  <c r="AG18" i="49"/>
  <c r="AI18" i="49"/>
  <c r="AH18" i="49"/>
  <c r="AF18" i="49"/>
  <c r="AB18" i="49"/>
  <c r="AE18" i="49"/>
  <c r="AC18" i="49"/>
  <c r="AA18" i="49"/>
  <c r="Z18" i="49"/>
  <c r="AD18" i="49"/>
  <c r="Y45" i="49"/>
  <c r="Y32" i="49"/>
  <c r="AE32" i="49"/>
  <c r="AE45" i="49"/>
  <c r="Z45" i="49"/>
  <c r="Z32" i="49"/>
  <c r="AF32" i="49"/>
  <c r="AF45" i="49"/>
  <c r="AB32" i="49"/>
  <c r="AB45" i="49"/>
  <c r="X45" i="49"/>
  <c r="X32" i="49"/>
  <c r="AD32" i="49"/>
  <c r="AD45" i="49"/>
  <c r="AG32" i="49"/>
  <c r="AG45" i="49"/>
  <c r="AA32" i="49"/>
  <c r="AA45" i="49"/>
  <c r="AC45" i="49"/>
  <c r="AC32" i="49"/>
  <c r="AI32" i="49"/>
  <c r="AI45" i="49"/>
  <c r="AH32" i="49"/>
  <c r="AH45" i="49"/>
  <c r="Y46" i="48"/>
  <c r="Y33" i="48"/>
  <c r="X33" i="48"/>
  <c r="X46" i="48"/>
  <c r="AI46" i="48"/>
  <c r="AI33" i="48"/>
  <c r="AD33" i="48"/>
  <c r="AD46" i="48"/>
  <c r="AH46" i="48"/>
  <c r="AH33" i="48"/>
  <c r="AE33" i="48"/>
  <c r="AE46" i="48"/>
  <c r="AA46" i="48"/>
  <c r="AA33" i="48"/>
  <c r="AG46" i="48"/>
  <c r="AG33" i="48"/>
  <c r="Z19" i="48"/>
  <c r="AI19" i="48"/>
  <c r="AG19" i="48"/>
  <c r="W18" i="48"/>
  <c r="AH19" i="48"/>
  <c r="AA19" i="48"/>
  <c r="AE19" i="48"/>
  <c r="Y19" i="48"/>
  <c r="X19" i="48"/>
  <c r="AF19" i="48"/>
  <c r="AB19" i="48"/>
  <c r="AD19" i="48"/>
  <c r="AC19" i="48"/>
  <c r="Z46" i="48"/>
  <c r="Z33" i="48"/>
  <c r="AC33" i="48"/>
  <c r="AC46" i="48"/>
  <c r="AF46" i="48"/>
  <c r="AF33" i="48"/>
  <c r="AB33" i="48"/>
  <c r="AB46" i="48"/>
  <c r="AI20" i="44"/>
  <c r="AH20" i="44"/>
  <c r="AE20" i="44"/>
  <c r="AD20" i="44"/>
  <c r="AC20" i="44"/>
  <c r="AB20" i="44"/>
  <c r="AA20" i="44"/>
  <c r="Z20" i="44"/>
  <c r="AG20" i="44"/>
  <c r="AF20" i="44"/>
  <c r="Y20" i="44"/>
  <c r="X20" i="44"/>
  <c r="W19" i="44"/>
  <c r="AI47" i="44"/>
  <c r="AI34" i="44"/>
  <c r="AC34" i="44"/>
  <c r="AC47" i="44"/>
  <c r="AD34" i="44"/>
  <c r="AD47" i="44"/>
  <c r="Y34" i="44"/>
  <c r="Y47" i="44"/>
  <c r="AG34" i="44"/>
  <c r="AG47" i="44"/>
  <c r="Z34" i="44"/>
  <c r="Z47" i="44"/>
  <c r="AH34" i="44"/>
  <c r="AH47" i="44"/>
  <c r="AE47" i="44"/>
  <c r="AE34" i="44"/>
  <c r="AF47" i="44"/>
  <c r="AF34" i="44"/>
  <c r="X34" i="44"/>
  <c r="X47" i="44"/>
  <c r="AA47" i="44"/>
  <c r="AA34" i="44"/>
  <c r="AB47" i="44"/>
  <c r="AB34" i="44"/>
  <c r="AC21" i="42"/>
  <c r="AC34" i="42" s="1"/>
  <c r="Z21" i="42"/>
  <c r="AB21" i="42"/>
  <c r="AB34" i="42" s="1"/>
  <c r="AF21" i="42"/>
  <c r="AF47" i="42" s="1"/>
  <c r="AA21" i="42"/>
  <c r="AA34" i="42" s="1"/>
  <c r="AH47" i="42"/>
  <c r="X34" i="42"/>
  <c r="X47" i="42"/>
  <c r="AH34" i="42"/>
  <c r="Y21" i="42"/>
  <c r="AI21" i="42"/>
  <c r="AD21" i="42"/>
  <c r="AE21" i="42"/>
  <c r="W20" i="42"/>
  <c r="AG21" i="42"/>
  <c r="W47" i="42"/>
  <c r="W46" i="42" s="1"/>
  <c r="W45" i="42" s="1"/>
  <c r="W44" i="42" s="1"/>
  <c r="W43" i="42" s="1"/>
  <c r="W42" i="42" s="1"/>
  <c r="W41" i="42" s="1"/>
  <c r="W40" i="42" s="1"/>
  <c r="W39" i="42" s="1"/>
  <c r="W38" i="42" s="1"/>
  <c r="W37" i="42" s="1"/>
  <c r="AK21" i="42"/>
  <c r="AK20" i="42" s="1"/>
  <c r="AK19" i="42" s="1"/>
  <c r="AK18" i="42" s="1"/>
  <c r="AK17" i="42" s="1"/>
  <c r="AK16" i="42" s="1"/>
  <c r="AK15" i="42" s="1"/>
  <c r="AK14" i="42" s="1"/>
  <c r="AK13" i="42" s="1"/>
  <c r="AK12" i="42" s="1"/>
  <c r="AK11" i="42" s="1"/>
  <c r="Q10" i="1"/>
  <c r="Q6" i="1"/>
  <c r="P10" i="1"/>
  <c r="P6" i="1"/>
  <c r="AW12" i="56" l="1"/>
  <c r="AQ12" i="56"/>
  <c r="AQ25" i="56" s="1"/>
  <c r="AQ38" i="56"/>
  <c r="AW25" i="56"/>
  <c r="AW38" i="56"/>
  <c r="AR12" i="56"/>
  <c r="AG24" i="56"/>
  <c r="AG37" i="56"/>
  <c r="AU11" i="56"/>
  <c r="AN11" i="56"/>
  <c r="Z37" i="56"/>
  <c r="Z24" i="56"/>
  <c r="AH37" i="56"/>
  <c r="AH24" i="56"/>
  <c r="AV11" i="56"/>
  <c r="AI37" i="56"/>
  <c r="AW11" i="56"/>
  <c r="AI24" i="56"/>
  <c r="AN12" i="56"/>
  <c r="AM12" i="56"/>
  <c r="AT12" i="56"/>
  <c r="AO12" i="56"/>
  <c r="AE24" i="56"/>
  <c r="AE37" i="56"/>
  <c r="AS11" i="56"/>
  <c r="AL11" i="56"/>
  <c r="X37" i="56"/>
  <c r="X24" i="56"/>
  <c r="AT21" i="56"/>
  <c r="AR21" i="56"/>
  <c r="AS21" i="56"/>
  <c r="AN21" i="56"/>
  <c r="AO21" i="56"/>
  <c r="AQ21" i="56"/>
  <c r="AP21" i="56"/>
  <c r="AV21" i="56"/>
  <c r="AM21" i="56"/>
  <c r="AW21" i="56"/>
  <c r="AL21" i="56"/>
  <c r="AU21" i="56"/>
  <c r="AN20" i="56"/>
  <c r="AS20" i="56"/>
  <c r="AO20" i="56"/>
  <c r="AU20" i="56"/>
  <c r="AQ20" i="56"/>
  <c r="AM20" i="56"/>
  <c r="AT20" i="56"/>
  <c r="AW20" i="56"/>
  <c r="AV20" i="56"/>
  <c r="AR20" i="56"/>
  <c r="AL20" i="56"/>
  <c r="AP20" i="56"/>
  <c r="AU19" i="56"/>
  <c r="AT19" i="56"/>
  <c r="AO19" i="56"/>
  <c r="AR19" i="56"/>
  <c r="AW19" i="56"/>
  <c r="AV19" i="56"/>
  <c r="AM19" i="56"/>
  <c r="AP19" i="56"/>
  <c r="AS19" i="56"/>
  <c r="AN19" i="56"/>
  <c r="AQ19" i="56"/>
  <c r="AL19" i="56"/>
  <c r="AO18" i="56"/>
  <c r="AS18" i="56"/>
  <c r="AR18" i="56"/>
  <c r="AL18" i="56"/>
  <c r="AW18" i="56"/>
  <c r="AP18" i="56"/>
  <c r="AV18" i="56"/>
  <c r="AU18" i="56"/>
  <c r="AM18" i="56"/>
  <c r="AN18" i="56"/>
  <c r="AT18" i="56"/>
  <c r="AQ18" i="56"/>
  <c r="AR17" i="56"/>
  <c r="AL17" i="56"/>
  <c r="AP17" i="56"/>
  <c r="AV17" i="56"/>
  <c r="AU17" i="56"/>
  <c r="AS17" i="56"/>
  <c r="AN17" i="56"/>
  <c r="AM17" i="56"/>
  <c r="AT17" i="56"/>
  <c r="AW17" i="56"/>
  <c r="AO17" i="56"/>
  <c r="AQ17" i="56"/>
  <c r="AP16" i="56"/>
  <c r="AQ16" i="56"/>
  <c r="AV16" i="56"/>
  <c r="AR16" i="56"/>
  <c r="AW16" i="56"/>
  <c r="AO16" i="56"/>
  <c r="AT16" i="56"/>
  <c r="AN16" i="56"/>
  <c r="AL16" i="56"/>
  <c r="AU16" i="56"/>
  <c r="AS16" i="56"/>
  <c r="AM16" i="56"/>
  <c r="AM15" i="56"/>
  <c r="AL15" i="56"/>
  <c r="AW15" i="56"/>
  <c r="AQ15" i="56"/>
  <c r="AU15" i="56"/>
  <c r="AP15" i="56"/>
  <c r="AT15" i="56"/>
  <c r="AN15" i="56"/>
  <c r="AV15" i="56"/>
  <c r="AO15" i="56"/>
  <c r="AR15" i="56"/>
  <c r="AS15" i="56"/>
  <c r="AQ14" i="56"/>
  <c r="AL14" i="56"/>
  <c r="AW14" i="56"/>
  <c r="AO14" i="56"/>
  <c r="AM14" i="56"/>
  <c r="AT14" i="56"/>
  <c r="AU14" i="56"/>
  <c r="AS14" i="56"/>
  <c r="AP14" i="56"/>
  <c r="AV14" i="56"/>
  <c r="AN14" i="56"/>
  <c r="AR14" i="56"/>
  <c r="AU13" i="56"/>
  <c r="AL13" i="56"/>
  <c r="AV13" i="56"/>
  <c r="AR13" i="56"/>
  <c r="AS13" i="56"/>
  <c r="AW13" i="56"/>
  <c r="AQ13" i="56"/>
  <c r="AM13" i="56"/>
  <c r="AN13" i="56"/>
  <c r="AO13" i="56"/>
  <c r="AT13" i="56"/>
  <c r="AP13" i="56"/>
  <c r="AV12" i="56"/>
  <c r="AS12" i="56"/>
  <c r="AA24" i="56"/>
  <c r="AO11" i="56"/>
  <c r="AA37" i="56"/>
  <c r="AF24" i="56"/>
  <c r="AF37" i="56"/>
  <c r="AT11" i="56"/>
  <c r="AP12" i="56"/>
  <c r="AM11" i="56"/>
  <c r="Y37" i="56"/>
  <c r="Y24" i="56"/>
  <c r="AB24" i="56"/>
  <c r="AP11" i="56"/>
  <c r="AB37" i="56"/>
  <c r="AC24" i="56"/>
  <c r="AC37" i="56"/>
  <c r="AQ11" i="56"/>
  <c r="AD24" i="56"/>
  <c r="AD37" i="56"/>
  <c r="AR11" i="56"/>
  <c r="AU12" i="56"/>
  <c r="AL12" i="56"/>
  <c r="AU12" i="55"/>
  <c r="AM12" i="55"/>
  <c r="AQ12" i="55"/>
  <c r="AQ38" i="55" s="1"/>
  <c r="AQ25" i="55"/>
  <c r="AR12" i="55"/>
  <c r="AV12" i="55"/>
  <c r="AM38" i="55"/>
  <c r="AM25" i="55"/>
  <c r="AB24" i="55"/>
  <c r="AP11" i="55"/>
  <c r="AB37" i="55"/>
  <c r="AL11" i="55"/>
  <c r="X24" i="55"/>
  <c r="X37" i="55"/>
  <c r="AP21" i="55"/>
  <c r="AO21" i="55"/>
  <c r="AV21" i="55"/>
  <c r="AQ21" i="55"/>
  <c r="AM21" i="55"/>
  <c r="AN21" i="55"/>
  <c r="AL21" i="55"/>
  <c r="AS21" i="55"/>
  <c r="AW21" i="55"/>
  <c r="AU21" i="55"/>
  <c r="AR21" i="55"/>
  <c r="AT21" i="55"/>
  <c r="AU20" i="55"/>
  <c r="AT20" i="55"/>
  <c r="AS20" i="55"/>
  <c r="AM20" i="55"/>
  <c r="AR20" i="55"/>
  <c r="AN20" i="55"/>
  <c r="AW20" i="55"/>
  <c r="AV20" i="55"/>
  <c r="AL20" i="55"/>
  <c r="AP20" i="55"/>
  <c r="AQ20" i="55"/>
  <c r="AO20" i="55"/>
  <c r="AW19" i="55"/>
  <c r="AL19" i="55"/>
  <c r="AM19" i="55"/>
  <c r="AN19" i="55"/>
  <c r="AU19" i="55"/>
  <c r="AR19" i="55"/>
  <c r="AP19" i="55"/>
  <c r="AS19" i="55"/>
  <c r="AQ19" i="55"/>
  <c r="AV19" i="55"/>
  <c r="AO19" i="55"/>
  <c r="AT19" i="55"/>
  <c r="AU18" i="55"/>
  <c r="AO18" i="55"/>
  <c r="AT18" i="55"/>
  <c r="AN18" i="55"/>
  <c r="AP18" i="55"/>
  <c r="AV18" i="55"/>
  <c r="AM18" i="55"/>
  <c r="AR18" i="55"/>
  <c r="AL18" i="55"/>
  <c r="AQ18" i="55"/>
  <c r="AW18" i="55"/>
  <c r="AS18" i="55"/>
  <c r="AS17" i="55"/>
  <c r="AP17" i="55"/>
  <c r="AM17" i="55"/>
  <c r="AO17" i="55"/>
  <c r="AU17" i="55"/>
  <c r="AQ17" i="55"/>
  <c r="AT17" i="55"/>
  <c r="AL17" i="55"/>
  <c r="AN17" i="55"/>
  <c r="AR17" i="55"/>
  <c r="AV17" i="55"/>
  <c r="AW17" i="55"/>
  <c r="AW16" i="55"/>
  <c r="AV16" i="55"/>
  <c r="AS16" i="55"/>
  <c r="AU16" i="55"/>
  <c r="AN16" i="55"/>
  <c r="AR16" i="55"/>
  <c r="AT16" i="55"/>
  <c r="AO16" i="55"/>
  <c r="AM16" i="55"/>
  <c r="AP16" i="55"/>
  <c r="AL16" i="55"/>
  <c r="AQ16" i="55"/>
  <c r="AQ15" i="55"/>
  <c r="AN15" i="55"/>
  <c r="AW15" i="55"/>
  <c r="AR15" i="55"/>
  <c r="AS15" i="55"/>
  <c r="AU15" i="55"/>
  <c r="AP15" i="55"/>
  <c r="AO15" i="55"/>
  <c r="AL15" i="55"/>
  <c r="AT15" i="55"/>
  <c r="AV15" i="55"/>
  <c r="AM15" i="55"/>
  <c r="AQ14" i="55"/>
  <c r="AU14" i="55"/>
  <c r="AT14" i="55"/>
  <c r="AW14" i="55"/>
  <c r="AS14" i="55"/>
  <c r="AR14" i="55"/>
  <c r="AM14" i="55"/>
  <c r="AP14" i="55"/>
  <c r="AV14" i="55"/>
  <c r="AN14" i="55"/>
  <c r="AO14" i="55"/>
  <c r="AL14" i="55"/>
  <c r="AL13" i="55"/>
  <c r="AU13" i="55"/>
  <c r="AN13" i="55"/>
  <c r="AT13" i="55"/>
  <c r="AP13" i="55"/>
  <c r="AW13" i="55"/>
  <c r="AR13" i="55"/>
  <c r="AO13" i="55"/>
  <c r="AQ13" i="55"/>
  <c r="AM13" i="55"/>
  <c r="AS13" i="55"/>
  <c r="AV13" i="55"/>
  <c r="AE37" i="55"/>
  <c r="AE24" i="55"/>
  <c r="AS11" i="55"/>
  <c r="AT12" i="55"/>
  <c r="AP38" i="55"/>
  <c r="AP25" i="55"/>
  <c r="AR11" i="55"/>
  <c r="AD37" i="55"/>
  <c r="AD24" i="55"/>
  <c r="AM11" i="55"/>
  <c r="Y24" i="55"/>
  <c r="Y37" i="55"/>
  <c r="Z24" i="55"/>
  <c r="Z37" i="55"/>
  <c r="AN11" i="55"/>
  <c r="AL12" i="55"/>
  <c r="AO38" i="55"/>
  <c r="AO25" i="55"/>
  <c r="AG37" i="55"/>
  <c r="AG24" i="55"/>
  <c r="AU11" i="55"/>
  <c r="AS12" i="55"/>
  <c r="AH37" i="55"/>
  <c r="AH24" i="55"/>
  <c r="AV11" i="55"/>
  <c r="AA24" i="55"/>
  <c r="AO11" i="55"/>
  <c r="AA37" i="55"/>
  <c r="AF37" i="55"/>
  <c r="AF24" i="55"/>
  <c r="AT11" i="55"/>
  <c r="AW12" i="55"/>
  <c r="AU25" i="55"/>
  <c r="AU38" i="55"/>
  <c r="AQ11" i="55"/>
  <c r="AC37" i="55"/>
  <c r="AC24" i="55"/>
  <c r="AN12" i="55"/>
  <c r="AI37" i="55"/>
  <c r="AI24" i="55"/>
  <c r="AW11" i="55"/>
  <c r="AQ12" i="54"/>
  <c r="AR12" i="54"/>
  <c r="AW12" i="54"/>
  <c r="AO12" i="54"/>
  <c r="AV12" i="54"/>
  <c r="AV25" i="54" s="1"/>
  <c r="AL12" i="54"/>
  <c r="AM12" i="54"/>
  <c r="AM38" i="54"/>
  <c r="AM25" i="54"/>
  <c r="AO38" i="54"/>
  <c r="AO25" i="54"/>
  <c r="AQ25" i="54"/>
  <c r="AQ38" i="54"/>
  <c r="AR38" i="54"/>
  <c r="AR25" i="54"/>
  <c r="AD24" i="54"/>
  <c r="AD37" i="54"/>
  <c r="AR11" i="54"/>
  <c r="AM11" i="54"/>
  <c r="Y24" i="54"/>
  <c r="Y37" i="54"/>
  <c r="AT11" i="54"/>
  <c r="AF37" i="54"/>
  <c r="AF24" i="54"/>
  <c r="AA24" i="54"/>
  <c r="AO11" i="54"/>
  <c r="AA37" i="54"/>
  <c r="AT12" i="54"/>
  <c r="AL38" i="54"/>
  <c r="AL25" i="54"/>
  <c r="AC37" i="54"/>
  <c r="AC24" i="54"/>
  <c r="AQ11" i="54"/>
  <c r="AS25" i="54"/>
  <c r="AS38" i="54"/>
  <c r="AS11" i="54"/>
  <c r="AE37" i="54"/>
  <c r="AE24" i="54"/>
  <c r="AU11" i="54"/>
  <c r="AG37" i="54"/>
  <c r="AG24" i="54"/>
  <c r="AP12" i="54"/>
  <c r="AH37" i="54"/>
  <c r="AH24" i="54"/>
  <c r="AV11" i="54"/>
  <c r="AW25" i="54"/>
  <c r="AW38" i="54"/>
  <c r="Z24" i="54"/>
  <c r="Z37" i="54"/>
  <c r="AN11" i="54"/>
  <c r="AB24" i="54"/>
  <c r="AP11" i="54"/>
  <c r="AB37" i="54"/>
  <c r="AI37" i="54"/>
  <c r="AI24" i="54"/>
  <c r="AW11" i="54"/>
  <c r="AU12" i="54"/>
  <c r="AL11" i="54"/>
  <c r="X24" i="54"/>
  <c r="X37" i="54"/>
  <c r="AL21" i="54"/>
  <c r="AR21" i="54"/>
  <c r="AW21" i="54"/>
  <c r="AS21" i="54"/>
  <c r="AQ21" i="54"/>
  <c r="AL20" i="54"/>
  <c r="AT21" i="54"/>
  <c r="AP21" i="54"/>
  <c r="AN20" i="54"/>
  <c r="AV20" i="54"/>
  <c r="AT20" i="54"/>
  <c r="AP20" i="54"/>
  <c r="AM20" i="54"/>
  <c r="AV21" i="54"/>
  <c r="AS20" i="54"/>
  <c r="AQ20" i="54"/>
  <c r="AO20" i="54"/>
  <c r="AW20" i="54"/>
  <c r="AU20" i="54"/>
  <c r="AR20" i="54"/>
  <c r="AN21" i="54"/>
  <c r="AU21" i="54"/>
  <c r="AM21" i="54"/>
  <c r="AO21" i="54"/>
  <c r="AU19" i="54"/>
  <c r="AS19" i="54"/>
  <c r="AN19" i="54"/>
  <c r="AV19" i="54"/>
  <c r="AQ19" i="54"/>
  <c r="AW19" i="54"/>
  <c r="AT19" i="54"/>
  <c r="AO19" i="54"/>
  <c r="AM19" i="54"/>
  <c r="AL19" i="54"/>
  <c r="AP19" i="54"/>
  <c r="AR19" i="54"/>
  <c r="AM18" i="54"/>
  <c r="AT18" i="54"/>
  <c r="AV18" i="54"/>
  <c r="AP18" i="54"/>
  <c r="AL18" i="54"/>
  <c r="AS18" i="54"/>
  <c r="AW18" i="54"/>
  <c r="AR18" i="54"/>
  <c r="AQ18" i="54"/>
  <c r="AU18" i="54"/>
  <c r="AO18" i="54"/>
  <c r="AN18" i="54"/>
  <c r="AO17" i="54"/>
  <c r="AW17" i="54"/>
  <c r="AS17" i="54"/>
  <c r="AU17" i="54"/>
  <c r="AR17" i="54"/>
  <c r="AV17" i="54"/>
  <c r="AN17" i="54"/>
  <c r="AQ17" i="54"/>
  <c r="AM17" i="54"/>
  <c r="AT17" i="54"/>
  <c r="AP17" i="54"/>
  <c r="AL17" i="54"/>
  <c r="AQ16" i="54"/>
  <c r="AP16" i="54"/>
  <c r="AO16" i="54"/>
  <c r="AS16" i="54"/>
  <c r="AR16" i="54"/>
  <c r="AM16" i="54"/>
  <c r="AU16" i="54"/>
  <c r="AL16" i="54"/>
  <c r="AN16" i="54"/>
  <c r="AT16" i="54"/>
  <c r="AV16" i="54"/>
  <c r="AW16" i="54"/>
  <c r="AS15" i="54"/>
  <c r="AN15" i="54"/>
  <c r="AL15" i="54"/>
  <c r="AP15" i="54"/>
  <c r="AR15" i="54"/>
  <c r="AO15" i="54"/>
  <c r="AU15" i="54"/>
  <c r="AW15" i="54"/>
  <c r="AT15" i="54"/>
  <c r="AQ15" i="54"/>
  <c r="AM15" i="54"/>
  <c r="AV15" i="54"/>
  <c r="AL14" i="54"/>
  <c r="AM14" i="54"/>
  <c r="AQ14" i="54"/>
  <c r="AP14" i="54"/>
  <c r="AT14" i="54"/>
  <c r="AR14" i="54"/>
  <c r="AW14" i="54"/>
  <c r="AN14" i="54"/>
  <c r="AO14" i="54"/>
  <c r="AS14" i="54"/>
  <c r="AV14" i="54"/>
  <c r="AU14" i="54"/>
  <c r="AL13" i="54"/>
  <c r="AM13" i="54"/>
  <c r="AO13" i="54"/>
  <c r="AR13" i="54"/>
  <c r="AV13" i="54"/>
  <c r="AP13" i="54"/>
  <c r="AS13" i="54"/>
  <c r="AU13" i="54"/>
  <c r="AW13" i="54"/>
  <c r="AQ13" i="54"/>
  <c r="AN13" i="54"/>
  <c r="AT13" i="54"/>
  <c r="AN12" i="54"/>
  <c r="AD38" i="53"/>
  <c r="AD25" i="53"/>
  <c r="Z25" i="53"/>
  <c r="Z38" i="53"/>
  <c r="Y25" i="53"/>
  <c r="Y38" i="53"/>
  <c r="AC11" i="53"/>
  <c r="AA11" i="53"/>
  <c r="Y11" i="53"/>
  <c r="Z11" i="53"/>
  <c r="X11" i="53"/>
  <c r="AB11" i="53"/>
  <c r="AF11" i="53"/>
  <c r="AE11" i="53"/>
  <c r="AD11" i="53"/>
  <c r="AG11" i="53"/>
  <c r="AI11" i="53"/>
  <c r="AH11" i="53"/>
  <c r="X25" i="53"/>
  <c r="X38" i="53"/>
  <c r="AB25" i="53"/>
  <c r="AB38" i="53"/>
  <c r="AF38" i="53"/>
  <c r="AF25" i="53"/>
  <c r="AE38" i="53"/>
  <c r="AE25" i="53"/>
  <c r="AI38" i="53"/>
  <c r="AI25" i="53"/>
  <c r="AA25" i="53"/>
  <c r="AA38" i="53"/>
  <c r="AC25" i="53"/>
  <c r="AC38" i="53"/>
  <c r="AG38" i="53"/>
  <c r="AG25" i="53"/>
  <c r="AH38" i="53"/>
  <c r="AH25" i="53"/>
  <c r="AF29" i="52"/>
  <c r="AF42" i="52"/>
  <c r="AB29" i="52"/>
  <c r="AB42" i="52"/>
  <c r="AG29" i="52"/>
  <c r="AG42" i="52"/>
  <c r="AH42" i="52"/>
  <c r="AH29" i="52"/>
  <c r="AE29" i="52"/>
  <c r="AE42" i="52"/>
  <c r="AD42" i="52"/>
  <c r="AD29" i="52"/>
  <c r="X15" i="52"/>
  <c r="AH15" i="52"/>
  <c r="AG15" i="52"/>
  <c r="AE15" i="52"/>
  <c r="AC15" i="52"/>
  <c r="AB15" i="52"/>
  <c r="Z15" i="52"/>
  <c r="Y15" i="52"/>
  <c r="AA15" i="52"/>
  <c r="W14" i="52"/>
  <c r="AF15" i="52"/>
  <c r="AD15" i="52"/>
  <c r="AI15" i="52"/>
  <c r="AC42" i="52"/>
  <c r="AC29" i="52"/>
  <c r="AI29" i="52"/>
  <c r="AI42" i="52"/>
  <c r="X42" i="52"/>
  <c r="X29" i="52"/>
  <c r="Y29" i="52"/>
  <c r="Y42" i="52"/>
  <c r="AA29" i="52"/>
  <c r="AA42" i="52"/>
  <c r="Z42" i="52"/>
  <c r="Z29" i="52"/>
  <c r="AI43" i="51"/>
  <c r="AI30" i="51"/>
  <c r="AH30" i="51"/>
  <c r="AH43" i="51"/>
  <c r="AC43" i="51"/>
  <c r="AC30" i="51"/>
  <c r="Y30" i="51"/>
  <c r="Y43" i="51"/>
  <c r="AA30" i="51"/>
  <c r="AA43" i="51"/>
  <c r="AB43" i="51"/>
  <c r="AB30" i="51"/>
  <c r="AG30" i="51"/>
  <c r="AG43" i="51"/>
  <c r="AF30" i="51"/>
  <c r="AF43" i="51"/>
  <c r="AE43" i="51"/>
  <c r="AE30" i="51"/>
  <c r="X16" i="51"/>
  <c r="AI16" i="51"/>
  <c r="AB16" i="51"/>
  <c r="W15" i="51"/>
  <c r="Y16" i="51"/>
  <c r="AA16" i="51"/>
  <c r="Z16" i="51"/>
  <c r="AG16" i="51"/>
  <c r="AE16" i="51"/>
  <c r="AD16" i="51"/>
  <c r="AC16" i="51"/>
  <c r="AH16" i="51"/>
  <c r="AF16" i="51"/>
  <c r="Z30" i="51"/>
  <c r="Z43" i="51"/>
  <c r="AD43" i="51"/>
  <c r="AD30" i="51"/>
  <c r="X43" i="51"/>
  <c r="X30" i="51"/>
  <c r="X44" i="50"/>
  <c r="X31" i="50"/>
  <c r="AD44" i="50"/>
  <c r="AD31" i="50"/>
  <c r="AF31" i="50"/>
  <c r="AF44" i="50"/>
  <c r="AA44" i="50"/>
  <c r="AA31" i="50"/>
  <c r="X17" i="50"/>
  <c r="W16" i="50"/>
  <c r="AF17" i="50"/>
  <c r="AE17" i="50"/>
  <c r="AB17" i="50"/>
  <c r="Z17" i="50"/>
  <c r="AA17" i="50"/>
  <c r="Y17" i="50"/>
  <c r="AG17" i="50"/>
  <c r="AD17" i="50"/>
  <c r="AC17" i="50"/>
  <c r="AI17" i="50"/>
  <c r="AH17" i="50"/>
  <c r="AC44" i="50"/>
  <c r="AC31" i="50"/>
  <c r="AH31" i="50"/>
  <c r="AH44" i="50"/>
  <c r="AG31" i="50"/>
  <c r="AG44" i="50"/>
  <c r="AE31" i="50"/>
  <c r="AE44" i="50"/>
  <c r="AI31" i="50"/>
  <c r="AI44" i="50"/>
  <c r="Y44" i="50"/>
  <c r="Y31" i="50"/>
  <c r="AB44" i="50"/>
  <c r="AB31" i="50"/>
  <c r="Z44" i="50"/>
  <c r="Z31" i="50"/>
  <c r="AA31" i="49"/>
  <c r="AA44" i="49"/>
  <c r="AH31" i="49"/>
  <c r="AH44" i="49"/>
  <c r="AB31" i="49"/>
  <c r="AB44" i="49"/>
  <c r="AI31" i="49"/>
  <c r="AI44" i="49"/>
  <c r="Z44" i="49"/>
  <c r="Z31" i="49"/>
  <c r="AG31" i="49"/>
  <c r="AG44" i="49"/>
  <c r="AE31" i="49"/>
  <c r="AE44" i="49"/>
  <c r="X17" i="49"/>
  <c r="W16" i="49"/>
  <c r="AF17" i="49"/>
  <c r="AA17" i="49"/>
  <c r="AE17" i="49"/>
  <c r="AB17" i="49"/>
  <c r="AD17" i="49"/>
  <c r="Z17" i="49"/>
  <c r="AC17" i="49"/>
  <c r="AI17" i="49"/>
  <c r="AH17" i="49"/>
  <c r="AG17" i="49"/>
  <c r="Y17" i="49"/>
  <c r="AF31" i="49"/>
  <c r="AF44" i="49"/>
  <c r="X44" i="49"/>
  <c r="X31" i="49"/>
  <c r="AD31" i="49"/>
  <c r="AD44" i="49"/>
  <c r="AC31" i="49"/>
  <c r="AC44" i="49"/>
  <c r="Y44" i="49"/>
  <c r="Y31" i="49"/>
  <c r="AE32" i="48"/>
  <c r="AE45" i="48"/>
  <c r="AH45" i="48"/>
  <c r="AH32" i="48"/>
  <c r="Z45" i="48"/>
  <c r="Z32" i="48"/>
  <c r="Y45" i="48"/>
  <c r="Y32" i="48"/>
  <c r="AI32" i="48"/>
  <c r="AI45" i="48"/>
  <c r="AD45" i="48"/>
  <c r="AD32" i="48"/>
  <c r="AA32" i="48"/>
  <c r="AA45" i="48"/>
  <c r="AB45" i="48"/>
  <c r="AB32" i="48"/>
  <c r="Y18" i="48"/>
  <c r="AI18" i="48"/>
  <c r="AD18" i="48"/>
  <c r="AB18" i="48"/>
  <c r="AC18" i="48"/>
  <c r="AA18" i="48"/>
  <c r="Z18" i="48"/>
  <c r="X18" i="48"/>
  <c r="AE18" i="48"/>
  <c r="W17" i="48"/>
  <c r="AH18" i="48"/>
  <c r="AG18" i="48"/>
  <c r="AF18" i="48"/>
  <c r="AC45" i="48"/>
  <c r="AC32" i="48"/>
  <c r="AF32" i="48"/>
  <c r="AF45" i="48"/>
  <c r="AG32" i="48"/>
  <c r="AG45" i="48"/>
  <c r="X45" i="48"/>
  <c r="X32" i="48"/>
  <c r="X33" i="44"/>
  <c r="X46" i="44"/>
  <c r="Y33" i="44"/>
  <c r="Y46" i="44"/>
  <c r="AF33" i="44"/>
  <c r="AF46" i="44"/>
  <c r="AG33" i="44"/>
  <c r="AG46" i="44"/>
  <c r="Z46" i="44"/>
  <c r="Z33" i="44"/>
  <c r="AA46" i="44"/>
  <c r="AA33" i="44"/>
  <c r="Z19" i="44"/>
  <c r="Y19" i="44"/>
  <c r="AI19" i="44"/>
  <c r="AH19" i="44"/>
  <c r="AG19" i="44"/>
  <c r="AD19" i="44"/>
  <c r="AC19" i="44"/>
  <c r="AB19" i="44"/>
  <c r="W18" i="44"/>
  <c r="AA19" i="44"/>
  <c r="X19" i="44"/>
  <c r="AE19" i="44"/>
  <c r="AF19" i="44"/>
  <c r="AB33" i="44"/>
  <c r="AB46" i="44"/>
  <c r="AC46" i="44"/>
  <c r="AC33" i="44"/>
  <c r="AD33" i="44"/>
  <c r="AD46" i="44"/>
  <c r="AE33" i="44"/>
  <c r="AE46" i="44"/>
  <c r="AH46" i="44"/>
  <c r="AH33" i="44"/>
  <c r="AI46" i="44"/>
  <c r="AI33" i="44"/>
  <c r="AC47" i="42"/>
  <c r="AB47" i="42"/>
  <c r="AA47" i="42"/>
  <c r="AF34" i="42"/>
  <c r="Z47" i="42"/>
  <c r="Z34" i="42"/>
  <c r="AG34" i="42"/>
  <c r="AG47" i="42"/>
  <c r="AD47" i="42"/>
  <c r="AD34" i="42"/>
  <c r="AI47" i="42"/>
  <c r="AI34" i="42"/>
  <c r="AF20" i="42"/>
  <c r="W19" i="42"/>
  <c r="AC20" i="42"/>
  <c r="AA20" i="42"/>
  <c r="Z20" i="42"/>
  <c r="AI20" i="42"/>
  <c r="AH20" i="42"/>
  <c r="Y20" i="42"/>
  <c r="AE20" i="42"/>
  <c r="AG20" i="42"/>
  <c r="X20" i="42"/>
  <c r="AD20" i="42"/>
  <c r="AB20" i="42"/>
  <c r="AE47" i="42"/>
  <c r="AE34" i="42"/>
  <c r="Y47" i="42"/>
  <c r="Y34" i="42"/>
  <c r="Q11" i="1"/>
  <c r="Q19" i="1"/>
  <c r="AU45" i="56" l="1"/>
  <c r="AU32" i="56"/>
  <c r="AO47" i="56"/>
  <c r="AO34" i="56"/>
  <c r="AT45" i="56"/>
  <c r="AT32" i="56"/>
  <c r="AW46" i="56"/>
  <c r="AW33" i="56"/>
  <c r="F9" i="56"/>
  <c r="AW27" i="56"/>
  <c r="AW40" i="56"/>
  <c r="AO29" i="56"/>
  <c r="AO42" i="56"/>
  <c r="AQ27" i="56"/>
  <c r="AQ40" i="56"/>
  <c r="AP33" i="56"/>
  <c r="AP46" i="56"/>
  <c r="AQ26" i="56"/>
  <c r="AQ39" i="56"/>
  <c r="AW31" i="56"/>
  <c r="AW44" i="56"/>
  <c r="AQ43" i="56"/>
  <c r="AQ30" i="56"/>
  <c r="AP38" i="56"/>
  <c r="AP25" i="56"/>
  <c r="AT41" i="56"/>
  <c r="AT28" i="56"/>
  <c r="AO43" i="56"/>
  <c r="AO30" i="56"/>
  <c r="AT46" i="56"/>
  <c r="AT33" i="56"/>
  <c r="F22" i="56"/>
  <c r="AT24" i="56"/>
  <c r="AT37" i="56"/>
  <c r="AL39" i="56"/>
  <c r="AL26" i="56"/>
  <c r="AP41" i="56"/>
  <c r="AP28" i="56"/>
  <c r="AW30" i="56"/>
  <c r="AW43" i="56"/>
  <c r="AS44" i="56"/>
  <c r="AS31" i="56"/>
  <c r="AM46" i="56"/>
  <c r="AM33" i="56"/>
  <c r="F35" i="56"/>
  <c r="AT42" i="56"/>
  <c r="AT29" i="56"/>
  <c r="AO39" i="56"/>
  <c r="AO26" i="56"/>
  <c r="AP37" i="56"/>
  <c r="AP24" i="56"/>
  <c r="AN47" i="56"/>
  <c r="AN34" i="56"/>
  <c r="AL33" i="56"/>
  <c r="AL46" i="56"/>
  <c r="AQ42" i="56"/>
  <c r="AQ29" i="56"/>
  <c r="AP42" i="56"/>
  <c r="AP29" i="56"/>
  <c r="AN41" i="56"/>
  <c r="AN28" i="56"/>
  <c r="AL31" i="56"/>
  <c r="AL44" i="56"/>
  <c r="AV39" i="56"/>
  <c r="AV26" i="56"/>
  <c r="AR44" i="56"/>
  <c r="AR31" i="56"/>
  <c r="AL38" i="56"/>
  <c r="AL25" i="56"/>
  <c r="AU39" i="56"/>
  <c r="AU26" i="56"/>
  <c r="AU41" i="56"/>
  <c r="AU28" i="56"/>
  <c r="AT43" i="56"/>
  <c r="AT30" i="56"/>
  <c r="AO31" i="56"/>
  <c r="AO44" i="56"/>
  <c r="AQ33" i="56"/>
  <c r="AQ46" i="56"/>
  <c r="AL37" i="56"/>
  <c r="AL24" i="56"/>
  <c r="AN37" i="56"/>
  <c r="AN24" i="56"/>
  <c r="AP47" i="56"/>
  <c r="AP34" i="56"/>
  <c r="AQ47" i="56"/>
  <c r="AQ34" i="56"/>
  <c r="AV42" i="56"/>
  <c r="AV29" i="56"/>
  <c r="AR47" i="56"/>
  <c r="AR34" i="56"/>
  <c r="AT47" i="56"/>
  <c r="AT34" i="56"/>
  <c r="AU46" i="56"/>
  <c r="AU33" i="56"/>
  <c r="AW28" i="56"/>
  <c r="AW41" i="56"/>
  <c r="AN32" i="56"/>
  <c r="AN45" i="56"/>
  <c r="AS33" i="56"/>
  <c r="AS46" i="56"/>
  <c r="AP40" i="56"/>
  <c r="AP27" i="56"/>
  <c r="AM28" i="56"/>
  <c r="AM41" i="56"/>
  <c r="AU30" i="56"/>
  <c r="AU43" i="56"/>
  <c r="AS45" i="56"/>
  <c r="AS32" i="56"/>
  <c r="AN33" i="56"/>
  <c r="AN46" i="56"/>
  <c r="AT44" i="56"/>
  <c r="AT31" i="56"/>
  <c r="AL27" i="56"/>
  <c r="AL40" i="56"/>
  <c r="AM44" i="56"/>
  <c r="AM31" i="56"/>
  <c r="AU44" i="56"/>
  <c r="AU31" i="56"/>
  <c r="AV24" i="56"/>
  <c r="AV37" i="56"/>
  <c r="AP44" i="56"/>
  <c r="AP31" i="56"/>
  <c r="AV28" i="56"/>
  <c r="AV41" i="56"/>
  <c r="AR26" i="56"/>
  <c r="AR39" i="56"/>
  <c r="AM43" i="56"/>
  <c r="AM30" i="56"/>
  <c r="AO33" i="56"/>
  <c r="AO46" i="56"/>
  <c r="AV27" i="56"/>
  <c r="AV40" i="56"/>
  <c r="AM29" i="56"/>
  <c r="AM42" i="56"/>
  <c r="AQ37" i="56"/>
  <c r="AQ24" i="56"/>
  <c r="AP30" i="56"/>
  <c r="AP43" i="56"/>
  <c r="AM32" i="56"/>
  <c r="AM45" i="56"/>
  <c r="AL34" i="56"/>
  <c r="AL47" i="56"/>
  <c r="AT38" i="56"/>
  <c r="AT25" i="56"/>
  <c r="AO32" i="56"/>
  <c r="AO45" i="56"/>
  <c r="AW24" i="56"/>
  <c r="AW37" i="56"/>
  <c r="AM39" i="56"/>
  <c r="AM26" i="56"/>
  <c r="AR41" i="56"/>
  <c r="AR28" i="56"/>
  <c r="AR33" i="56"/>
  <c r="AR46" i="56"/>
  <c r="AV46" i="56"/>
  <c r="AV33" i="56"/>
  <c r="AR40" i="56"/>
  <c r="AR27" i="56"/>
  <c r="AS24" i="56"/>
  <c r="AS37" i="56"/>
  <c r="AR37" i="56"/>
  <c r="AR24" i="56"/>
  <c r="AQ45" i="56"/>
  <c r="AQ32" i="56"/>
  <c r="AS43" i="56"/>
  <c r="AS30" i="56"/>
  <c r="AV43" i="56"/>
  <c r="AV30" i="56"/>
  <c r="AO25" i="56"/>
  <c r="AO38" i="56"/>
  <c r="AS42" i="56"/>
  <c r="AS29" i="56"/>
  <c r="AS38" i="56"/>
  <c r="AS25" i="56"/>
  <c r="AT27" i="56"/>
  <c r="AT40" i="56"/>
  <c r="AU42" i="56"/>
  <c r="AU29" i="56"/>
  <c r="AL43" i="56"/>
  <c r="AL30" i="56"/>
  <c r="AV32" i="56"/>
  <c r="AV45" i="56"/>
  <c r="AW47" i="56"/>
  <c r="AW34" i="56"/>
  <c r="AM38" i="56"/>
  <c r="AM25" i="56"/>
  <c r="AT26" i="56"/>
  <c r="AT39" i="56"/>
  <c r="AN31" i="56"/>
  <c r="AN44" i="56"/>
  <c r="AN39" i="56"/>
  <c r="AN26" i="56"/>
  <c r="AR42" i="56"/>
  <c r="AR29" i="56"/>
  <c r="AV44" i="56"/>
  <c r="AV31" i="56"/>
  <c r="AW39" i="56"/>
  <c r="AW26" i="56"/>
  <c r="AS26" i="56"/>
  <c r="AS39" i="56"/>
  <c r="AM37" i="56"/>
  <c r="AM24" i="56"/>
  <c r="AQ41" i="56"/>
  <c r="AQ28" i="56"/>
  <c r="AU24" i="56"/>
  <c r="AU37" i="56"/>
  <c r="AN43" i="56"/>
  <c r="AN30" i="56"/>
  <c r="AL28" i="56"/>
  <c r="AL41" i="56"/>
  <c r="AS40" i="56"/>
  <c r="AS27" i="56"/>
  <c r="AU47" i="56"/>
  <c r="AU34" i="56"/>
  <c r="AU27" i="56"/>
  <c r="AU40" i="56"/>
  <c r="AV38" i="56"/>
  <c r="AV25" i="56"/>
  <c r="AM27" i="56"/>
  <c r="AM40" i="56"/>
  <c r="AL29" i="56"/>
  <c r="AL42" i="56"/>
  <c r="AR43" i="56"/>
  <c r="AR30" i="56"/>
  <c r="AW32" i="56"/>
  <c r="AW45" i="56"/>
  <c r="AM34" i="56"/>
  <c r="AM47" i="56"/>
  <c r="AN38" i="56"/>
  <c r="AN25" i="56"/>
  <c r="AW42" i="56"/>
  <c r="AW29" i="56"/>
  <c r="AS41" i="56"/>
  <c r="AS28" i="56"/>
  <c r="AS47" i="56"/>
  <c r="AS34" i="56"/>
  <c r="AO41" i="56"/>
  <c r="AO28" i="56"/>
  <c r="AU25" i="56"/>
  <c r="AU38" i="56"/>
  <c r="AL32" i="56"/>
  <c r="AL45" i="56"/>
  <c r="AN40" i="56"/>
  <c r="AN27" i="56"/>
  <c r="AO37" i="56"/>
  <c r="AO24" i="56"/>
  <c r="AP45" i="56"/>
  <c r="AP32" i="56"/>
  <c r="AR38" i="56"/>
  <c r="AR25" i="56"/>
  <c r="AP26" i="56"/>
  <c r="AP39" i="56"/>
  <c r="AO40" i="56"/>
  <c r="AO27" i="56"/>
  <c r="AN29" i="56"/>
  <c r="AN42" i="56"/>
  <c r="AQ44" i="56"/>
  <c r="AQ31" i="56"/>
  <c r="AR45" i="56"/>
  <c r="AR32" i="56"/>
  <c r="AV47" i="56"/>
  <c r="AV34" i="56"/>
  <c r="AQ27" i="55"/>
  <c r="AQ40" i="55"/>
  <c r="AV47" i="55"/>
  <c r="AV34" i="55"/>
  <c r="AP47" i="55"/>
  <c r="AP34" i="55"/>
  <c r="AM37" i="55"/>
  <c r="AM24" i="55"/>
  <c r="AT26" i="55"/>
  <c r="AT39" i="55"/>
  <c r="AO41" i="55"/>
  <c r="AO28" i="55"/>
  <c r="AW30" i="55"/>
  <c r="AW43" i="55"/>
  <c r="AN44" i="55"/>
  <c r="AN31" i="55"/>
  <c r="AV46" i="55"/>
  <c r="AV33" i="55"/>
  <c r="F35" i="55"/>
  <c r="AL31" i="55"/>
  <c r="AL44" i="55"/>
  <c r="AM31" i="55"/>
  <c r="AM44" i="55"/>
  <c r="AV24" i="55"/>
  <c r="AV37" i="55"/>
  <c r="AN39" i="55"/>
  <c r="AN26" i="55"/>
  <c r="AP41" i="55"/>
  <c r="AP28" i="55"/>
  <c r="AV30" i="55"/>
  <c r="AV43" i="55"/>
  <c r="AT44" i="55"/>
  <c r="AT31" i="55"/>
  <c r="AW33" i="55"/>
  <c r="AW46" i="55"/>
  <c r="F9" i="55"/>
  <c r="AL45" i="55"/>
  <c r="AL32" i="55"/>
  <c r="AR26" i="55"/>
  <c r="AR39" i="55"/>
  <c r="AO47" i="55"/>
  <c r="AO34" i="55"/>
  <c r="AW24" i="55"/>
  <c r="AW37" i="55"/>
  <c r="AR37" i="55"/>
  <c r="AR24" i="55"/>
  <c r="AL39" i="55"/>
  <c r="AL26" i="55"/>
  <c r="AS28" i="55"/>
  <c r="AS41" i="55"/>
  <c r="AN43" i="55"/>
  <c r="AN30" i="55"/>
  <c r="AU31" i="55"/>
  <c r="AU44" i="55"/>
  <c r="AR33" i="55"/>
  <c r="AR46" i="55"/>
  <c r="AL37" i="55"/>
  <c r="AL24" i="55"/>
  <c r="AR42" i="55"/>
  <c r="AR29" i="55"/>
  <c r="AR44" i="55"/>
  <c r="AR31" i="55"/>
  <c r="AV31" i="55"/>
  <c r="AV44" i="55"/>
  <c r="AU28" i="55"/>
  <c r="AU41" i="55"/>
  <c r="AL43" i="55"/>
  <c r="AL30" i="55"/>
  <c r="AM46" i="55"/>
  <c r="AM33" i="55"/>
  <c r="AN47" i="55"/>
  <c r="AN34" i="55"/>
  <c r="AO39" i="55"/>
  <c r="AO26" i="55"/>
  <c r="AQ33" i="55"/>
  <c r="AQ46" i="55"/>
  <c r="AW29" i="55"/>
  <c r="AW42" i="55"/>
  <c r="F22" i="55"/>
  <c r="AT45" i="55"/>
  <c r="AT32" i="55"/>
  <c r="AN40" i="55"/>
  <c r="AN27" i="55"/>
  <c r="AU24" i="55"/>
  <c r="AU37" i="55"/>
  <c r="AT38" i="55"/>
  <c r="AT25" i="55"/>
  <c r="AV40" i="55"/>
  <c r="AV27" i="55"/>
  <c r="AQ41" i="55"/>
  <c r="AQ28" i="55"/>
  <c r="AU30" i="55"/>
  <c r="AU43" i="55"/>
  <c r="AQ45" i="55"/>
  <c r="AQ32" i="55"/>
  <c r="AU46" i="55"/>
  <c r="AU33" i="55"/>
  <c r="AM39" i="55"/>
  <c r="AM26" i="55"/>
  <c r="AM34" i="55"/>
  <c r="AM47" i="55"/>
  <c r="AV28" i="55"/>
  <c r="AV41" i="55"/>
  <c r="AV29" i="55"/>
  <c r="AV42" i="55"/>
  <c r="AP31" i="55"/>
  <c r="AP44" i="55"/>
  <c r="AN33" i="55"/>
  <c r="AN46" i="55"/>
  <c r="AN38" i="55"/>
  <c r="AN25" i="55"/>
  <c r="AS46" i="55"/>
  <c r="AS33" i="55"/>
  <c r="AN41" i="55"/>
  <c r="AN28" i="55"/>
  <c r="AS37" i="55"/>
  <c r="AS24" i="55"/>
  <c r="AP40" i="55"/>
  <c r="AP27" i="55"/>
  <c r="AQ42" i="55"/>
  <c r="AQ29" i="55"/>
  <c r="AO43" i="55"/>
  <c r="AO30" i="55"/>
  <c r="AS45" i="55"/>
  <c r="AS32" i="55"/>
  <c r="AT47" i="55"/>
  <c r="AT34" i="55"/>
  <c r="AU27" i="55"/>
  <c r="AU40" i="55"/>
  <c r="AQ39" i="55"/>
  <c r="AQ26" i="55"/>
  <c r="AU42" i="55"/>
  <c r="AU29" i="55"/>
  <c r="AO24" i="55"/>
  <c r="AO37" i="55"/>
  <c r="AL33" i="55"/>
  <c r="AL46" i="55"/>
  <c r="AO31" i="55"/>
  <c r="AO44" i="55"/>
  <c r="AS25" i="55"/>
  <c r="AS38" i="55"/>
  <c r="AP24" i="55"/>
  <c r="AP37" i="55"/>
  <c r="AL42" i="55"/>
  <c r="AL29" i="55"/>
  <c r="AP45" i="55"/>
  <c r="AP32" i="55"/>
  <c r="AR47" i="55"/>
  <c r="AR34" i="55"/>
  <c r="AN42" i="55"/>
  <c r="AN29" i="55"/>
  <c r="AS29" i="55"/>
  <c r="AS42" i="55"/>
  <c r="AU39" i="55"/>
  <c r="AU26" i="55"/>
  <c r="AW32" i="55"/>
  <c r="AW45" i="55"/>
  <c r="AM41" i="55"/>
  <c r="AM28" i="55"/>
  <c r="AW26" i="55"/>
  <c r="AW39" i="55"/>
  <c r="AL41" i="55"/>
  <c r="AL28" i="55"/>
  <c r="AL40" i="55"/>
  <c r="AL27" i="55"/>
  <c r="AO40" i="55"/>
  <c r="AO27" i="55"/>
  <c r="AO45" i="55"/>
  <c r="AO32" i="55"/>
  <c r="AQ43" i="55"/>
  <c r="AQ30" i="55"/>
  <c r="AU47" i="55"/>
  <c r="AU34" i="55"/>
  <c r="AM42" i="55"/>
  <c r="AM29" i="55"/>
  <c r="AU45" i="55"/>
  <c r="AU32" i="55"/>
  <c r="AW47" i="55"/>
  <c r="AW34" i="55"/>
  <c r="AR25" i="55"/>
  <c r="AR38" i="55"/>
  <c r="AQ47" i="55"/>
  <c r="AQ34" i="55"/>
  <c r="AT28" i="55"/>
  <c r="AT41" i="55"/>
  <c r="AP39" i="55"/>
  <c r="AP26" i="55"/>
  <c r="AR28" i="55"/>
  <c r="AR41" i="55"/>
  <c r="AT30" i="55"/>
  <c r="AT43" i="55"/>
  <c r="AV32" i="55"/>
  <c r="AV45" i="55"/>
  <c r="AQ24" i="55"/>
  <c r="AQ37" i="55"/>
  <c r="AM43" i="55"/>
  <c r="AM30" i="55"/>
  <c r="AP42" i="55"/>
  <c r="AP29" i="55"/>
  <c r="AP43" i="55"/>
  <c r="AP30" i="55"/>
  <c r="AV25" i="55"/>
  <c r="AV38" i="55"/>
  <c r="AS40" i="55"/>
  <c r="AS27" i="55"/>
  <c r="AV26" i="55"/>
  <c r="AV39" i="55"/>
  <c r="AO42" i="55"/>
  <c r="AO29" i="55"/>
  <c r="AS44" i="55"/>
  <c r="AS31" i="55"/>
  <c r="AS47" i="55"/>
  <c r="AS34" i="55"/>
  <c r="AQ44" i="55"/>
  <c r="AQ31" i="55"/>
  <c r="AO33" i="55"/>
  <c r="AO46" i="55"/>
  <c r="AP46" i="55"/>
  <c r="AP33" i="55"/>
  <c r="AR43" i="55"/>
  <c r="AR30" i="55"/>
  <c r="AW28" i="55"/>
  <c r="AW41" i="55"/>
  <c r="AT46" i="55"/>
  <c r="AT33" i="55"/>
  <c r="AM40" i="55"/>
  <c r="AM27" i="55"/>
  <c r="AR40" i="55"/>
  <c r="AR27" i="55"/>
  <c r="AR45" i="55"/>
  <c r="AR32" i="55"/>
  <c r="AS43" i="55"/>
  <c r="AS30" i="55"/>
  <c r="AW25" i="55"/>
  <c r="AW38" i="55"/>
  <c r="AL38" i="55"/>
  <c r="AL25" i="55"/>
  <c r="AW27" i="55"/>
  <c r="AW40" i="55"/>
  <c r="AN45" i="55"/>
  <c r="AN32" i="55"/>
  <c r="AT24" i="55"/>
  <c r="AT37" i="55"/>
  <c r="AN24" i="55"/>
  <c r="AN37" i="55"/>
  <c r="AS26" i="55"/>
  <c r="AS39" i="55"/>
  <c r="AT27" i="55"/>
  <c r="AT40" i="55"/>
  <c r="AT29" i="55"/>
  <c r="AT42" i="55"/>
  <c r="AW44" i="55"/>
  <c r="AW31" i="55"/>
  <c r="AM45" i="55"/>
  <c r="AM32" i="55"/>
  <c r="AL34" i="55"/>
  <c r="AL47" i="55"/>
  <c r="AV38" i="54"/>
  <c r="AU24" i="54"/>
  <c r="AU37" i="54"/>
  <c r="AT46" i="54"/>
  <c r="AT33" i="54"/>
  <c r="AR40" i="54"/>
  <c r="AR27" i="54"/>
  <c r="AO30" i="54"/>
  <c r="AO43" i="54"/>
  <c r="AT26" i="54"/>
  <c r="AT39" i="54"/>
  <c r="AU29" i="54"/>
  <c r="AU42" i="54"/>
  <c r="AN37" i="54"/>
  <c r="AN24" i="54"/>
  <c r="AR42" i="54"/>
  <c r="AR29" i="54"/>
  <c r="AV28" i="54"/>
  <c r="AV41" i="54"/>
  <c r="AS26" i="54"/>
  <c r="AS39" i="54"/>
  <c r="AM41" i="54"/>
  <c r="AM28" i="54"/>
  <c r="AO42" i="54"/>
  <c r="AO29" i="54"/>
  <c r="AW31" i="54"/>
  <c r="AW44" i="54"/>
  <c r="AM34" i="54"/>
  <c r="AM47" i="54"/>
  <c r="AW47" i="54"/>
  <c r="AW34" i="54"/>
  <c r="AR43" i="54"/>
  <c r="AR30" i="54"/>
  <c r="AN40" i="54"/>
  <c r="AN27" i="54"/>
  <c r="AT37" i="54"/>
  <c r="AT24" i="54"/>
  <c r="AS43" i="54"/>
  <c r="AS30" i="54"/>
  <c r="AS24" i="54"/>
  <c r="AS37" i="54"/>
  <c r="AV32" i="54"/>
  <c r="AV45" i="54"/>
  <c r="AQ27" i="54"/>
  <c r="AQ40" i="54"/>
  <c r="AS45" i="54"/>
  <c r="AS32" i="54"/>
  <c r="AL27" i="54"/>
  <c r="AL40" i="54"/>
  <c r="AR24" i="54"/>
  <c r="AR37" i="54"/>
  <c r="AS47" i="54"/>
  <c r="AS34" i="54"/>
  <c r="AP42" i="54"/>
  <c r="AP29" i="54"/>
  <c r="AN47" i="54"/>
  <c r="AN34" i="54"/>
  <c r="AW28" i="54"/>
  <c r="AW41" i="54"/>
  <c r="AR46" i="54"/>
  <c r="AR33" i="54"/>
  <c r="F35" i="54"/>
  <c r="AT38" i="54"/>
  <c r="AT25" i="54"/>
  <c r="AO39" i="54"/>
  <c r="AO26" i="54"/>
  <c r="AU41" i="54"/>
  <c r="AU28" i="54"/>
  <c r="AP43" i="54"/>
  <c r="AP30" i="54"/>
  <c r="AV31" i="54"/>
  <c r="AV44" i="54"/>
  <c r="AU46" i="54"/>
  <c r="AU33" i="54"/>
  <c r="F22" i="54"/>
  <c r="AU43" i="54"/>
  <c r="AU30" i="54"/>
  <c r="AW27" i="54"/>
  <c r="AW40" i="54"/>
  <c r="AV46" i="54"/>
  <c r="AV33" i="54"/>
  <c r="AT40" i="54"/>
  <c r="AT27" i="54"/>
  <c r="AN33" i="54"/>
  <c r="AN46" i="54"/>
  <c r="AL42" i="54"/>
  <c r="AL29" i="54"/>
  <c r="AN45" i="54"/>
  <c r="AN32" i="54"/>
  <c r="AM40" i="54"/>
  <c r="AM27" i="54"/>
  <c r="AM37" i="54"/>
  <c r="AM24" i="54"/>
  <c r="AQ47" i="54"/>
  <c r="AQ34" i="54"/>
  <c r="AS29" i="54"/>
  <c r="AS42" i="54"/>
  <c r="AQ41" i="54"/>
  <c r="AQ28" i="54"/>
  <c r="AL44" i="54"/>
  <c r="AL31" i="54"/>
  <c r="AL26" i="54"/>
  <c r="AL39" i="54"/>
  <c r="AM44" i="54"/>
  <c r="AM31" i="54"/>
  <c r="AO33" i="54"/>
  <c r="AO46" i="54"/>
  <c r="AL37" i="54"/>
  <c r="AL24" i="54"/>
  <c r="AP38" i="54"/>
  <c r="AP25" i="54"/>
  <c r="AS28" i="54"/>
  <c r="AS41" i="54"/>
  <c r="AM46" i="54"/>
  <c r="AM33" i="54"/>
  <c r="AT45" i="54"/>
  <c r="AT32" i="54"/>
  <c r="AT29" i="54"/>
  <c r="AT42" i="54"/>
  <c r="AQ45" i="54"/>
  <c r="AQ32" i="54"/>
  <c r="AP40" i="54"/>
  <c r="AP27" i="54"/>
  <c r="AT47" i="54"/>
  <c r="AT34" i="54"/>
  <c r="AU31" i="54"/>
  <c r="AU44" i="54"/>
  <c r="AW26" i="54"/>
  <c r="AW39" i="54"/>
  <c r="AR44" i="54"/>
  <c r="AR31" i="54"/>
  <c r="AU47" i="54"/>
  <c r="AU34" i="54"/>
  <c r="AV39" i="54"/>
  <c r="AV26" i="54"/>
  <c r="AL34" i="54"/>
  <c r="AL47" i="54"/>
  <c r="AR26" i="54"/>
  <c r="AR39" i="54"/>
  <c r="AM39" i="54"/>
  <c r="AM26" i="54"/>
  <c r="AT30" i="54"/>
  <c r="AT43" i="54"/>
  <c r="AO37" i="54"/>
  <c r="AO24" i="54"/>
  <c r="AM43" i="54"/>
  <c r="AM30" i="54"/>
  <c r="AU27" i="54"/>
  <c r="AU40" i="54"/>
  <c r="AP41" i="54"/>
  <c r="AP28" i="54"/>
  <c r="AQ43" i="54"/>
  <c r="AQ30" i="54"/>
  <c r="AR45" i="54"/>
  <c r="AR32" i="54"/>
  <c r="AQ46" i="54"/>
  <c r="AQ33" i="54"/>
  <c r="AU38" i="54"/>
  <c r="AU25" i="54"/>
  <c r="AO40" i="54"/>
  <c r="AO27" i="54"/>
  <c r="AO32" i="54"/>
  <c r="AO45" i="54"/>
  <c r="AW43" i="54"/>
  <c r="AW30" i="54"/>
  <c r="AN38" i="54"/>
  <c r="AN25" i="54"/>
  <c r="AP24" i="54"/>
  <c r="AP37" i="54"/>
  <c r="AP47" i="54"/>
  <c r="AP34" i="54"/>
  <c r="AN39" i="54"/>
  <c r="AN26" i="54"/>
  <c r="AM42" i="54"/>
  <c r="AM29" i="54"/>
  <c r="AQ24" i="54"/>
  <c r="AQ37" i="54"/>
  <c r="AU45" i="54"/>
  <c r="AU32" i="54"/>
  <c r="AO34" i="54"/>
  <c r="AO47" i="54"/>
  <c r="AP26" i="54"/>
  <c r="AP39" i="54"/>
  <c r="AS44" i="54"/>
  <c r="AS31" i="54"/>
  <c r="AQ42" i="54"/>
  <c r="AQ29" i="54"/>
  <c r="AL43" i="54"/>
  <c r="AL30" i="54"/>
  <c r="AO41" i="54"/>
  <c r="AO28" i="54"/>
  <c r="AW33" i="54"/>
  <c r="AW46" i="54"/>
  <c r="F9" i="54"/>
  <c r="AR28" i="54"/>
  <c r="AR41" i="54"/>
  <c r="AV27" i="54"/>
  <c r="AV40" i="54"/>
  <c r="AL41" i="54"/>
  <c r="AL28" i="54"/>
  <c r="AN30" i="54"/>
  <c r="AN43" i="54"/>
  <c r="AP32" i="54"/>
  <c r="AP45" i="54"/>
  <c r="AS46" i="54"/>
  <c r="AS33" i="54"/>
  <c r="AW24" i="54"/>
  <c r="AW37" i="54"/>
  <c r="AM45" i="54"/>
  <c r="AM32" i="54"/>
  <c r="AW29" i="54"/>
  <c r="AW42" i="54"/>
  <c r="AP33" i="54"/>
  <c r="AP46" i="54"/>
  <c r="AV29" i="54"/>
  <c r="AV42" i="54"/>
  <c r="AW45" i="54"/>
  <c r="AW32" i="54"/>
  <c r="AN42" i="54"/>
  <c r="AN29" i="54"/>
  <c r="AN31" i="54"/>
  <c r="AN44" i="54"/>
  <c r="AO44" i="54"/>
  <c r="AO31" i="54"/>
  <c r="AQ26" i="54"/>
  <c r="AQ39" i="54"/>
  <c r="AL33" i="54"/>
  <c r="AL46" i="54"/>
  <c r="AQ31" i="54"/>
  <c r="AQ44" i="54"/>
  <c r="AU39" i="54"/>
  <c r="AU26" i="54"/>
  <c r="AR47" i="54"/>
  <c r="AR34" i="54"/>
  <c r="AT28" i="54"/>
  <c r="AT41" i="54"/>
  <c r="AV24" i="54"/>
  <c r="AV37" i="54"/>
  <c r="AP31" i="54"/>
  <c r="AP44" i="54"/>
  <c r="AT44" i="54"/>
  <c r="AT31" i="54"/>
  <c r="AS40" i="54"/>
  <c r="AS27" i="54"/>
  <c r="AN41" i="54"/>
  <c r="AN28" i="54"/>
  <c r="AV30" i="54"/>
  <c r="AV43" i="54"/>
  <c r="AL45" i="54"/>
  <c r="AL32" i="54"/>
  <c r="AV47" i="54"/>
  <c r="AV34" i="54"/>
  <c r="AM11" i="53"/>
  <c r="Y24" i="53"/>
  <c r="Y37" i="53"/>
  <c r="AA24" i="53"/>
  <c r="AO11" i="53"/>
  <c r="AA37" i="53"/>
  <c r="Z37" i="53"/>
  <c r="AN11" i="53"/>
  <c r="Z24" i="53"/>
  <c r="AL11" i="53"/>
  <c r="X24" i="53"/>
  <c r="X37" i="53"/>
  <c r="AN21" i="53"/>
  <c r="AU21" i="53"/>
  <c r="AV21" i="53"/>
  <c r="AL21" i="53"/>
  <c r="AS21" i="53"/>
  <c r="AM21" i="53"/>
  <c r="AT21" i="53"/>
  <c r="AP21" i="53"/>
  <c r="AO21" i="53"/>
  <c r="AQ21" i="53"/>
  <c r="AR21" i="53"/>
  <c r="AW21" i="53"/>
  <c r="AR20" i="53"/>
  <c r="AW20" i="53"/>
  <c r="AM20" i="53"/>
  <c r="AT20" i="53"/>
  <c r="AO20" i="53"/>
  <c r="AS20" i="53"/>
  <c r="AP20" i="53"/>
  <c r="AN20" i="53"/>
  <c r="AV20" i="53"/>
  <c r="AQ20" i="53"/>
  <c r="AL20" i="53"/>
  <c r="AU20" i="53"/>
  <c r="AO19" i="53"/>
  <c r="AT19" i="53"/>
  <c r="AL19" i="53"/>
  <c r="AW19" i="53"/>
  <c r="AS19" i="53"/>
  <c r="AN19" i="53"/>
  <c r="AV19" i="53"/>
  <c r="AR19" i="53"/>
  <c r="AU19" i="53"/>
  <c r="AP19" i="53"/>
  <c r="AQ19" i="53"/>
  <c r="AM19" i="53"/>
  <c r="AM18" i="53"/>
  <c r="AT18" i="53"/>
  <c r="AP18" i="53"/>
  <c r="AQ18" i="53"/>
  <c r="AN18" i="53"/>
  <c r="AW18" i="53"/>
  <c r="AR18" i="53"/>
  <c r="AS18" i="53"/>
  <c r="AV18" i="53"/>
  <c r="AO18" i="53"/>
  <c r="AU18" i="53"/>
  <c r="AL18" i="53"/>
  <c r="AM17" i="53"/>
  <c r="AP17" i="53"/>
  <c r="AU17" i="53"/>
  <c r="AS17" i="53"/>
  <c r="AV17" i="53"/>
  <c r="AQ17" i="53"/>
  <c r="AN17" i="53"/>
  <c r="AO17" i="53"/>
  <c r="AW17" i="53"/>
  <c r="AR17" i="53"/>
  <c r="AL17" i="53"/>
  <c r="AT17" i="53"/>
  <c r="AR16" i="53"/>
  <c r="AU16" i="53"/>
  <c r="AT16" i="53"/>
  <c r="AV16" i="53"/>
  <c r="AN16" i="53"/>
  <c r="AM16" i="53"/>
  <c r="AP16" i="53"/>
  <c r="AQ16" i="53"/>
  <c r="AW16" i="53"/>
  <c r="AL16" i="53"/>
  <c r="AS16" i="53"/>
  <c r="AO16" i="53"/>
  <c r="AT15" i="53"/>
  <c r="AL15" i="53"/>
  <c r="AU15" i="53"/>
  <c r="AQ15" i="53"/>
  <c r="AV15" i="53"/>
  <c r="AN15" i="53"/>
  <c r="AR15" i="53"/>
  <c r="AM15" i="53"/>
  <c r="AO15" i="53"/>
  <c r="AS15" i="53"/>
  <c r="AW15" i="53"/>
  <c r="AP15" i="53"/>
  <c r="AW14" i="53"/>
  <c r="AV14" i="53"/>
  <c r="AO14" i="53"/>
  <c r="AL14" i="53"/>
  <c r="AN14" i="53"/>
  <c r="AU14" i="53"/>
  <c r="AP14" i="53"/>
  <c r="AM14" i="53"/>
  <c r="AQ14" i="53"/>
  <c r="AR14" i="53"/>
  <c r="AS14" i="53"/>
  <c r="AT14" i="53"/>
  <c r="AO13" i="53"/>
  <c r="AM13" i="53"/>
  <c r="AW13" i="53"/>
  <c r="AV13" i="53"/>
  <c r="AN13" i="53"/>
  <c r="AQ13" i="53"/>
  <c r="AP13" i="53"/>
  <c r="AR13" i="53"/>
  <c r="AT13" i="53"/>
  <c r="AS13" i="53"/>
  <c r="AL13" i="53"/>
  <c r="AU13" i="53"/>
  <c r="AU12" i="53"/>
  <c r="AT12" i="53"/>
  <c r="AM12" i="53"/>
  <c r="AL12" i="53"/>
  <c r="AV12" i="53"/>
  <c r="AO12" i="53"/>
  <c r="AN12" i="53"/>
  <c r="AH37" i="53"/>
  <c r="AV11" i="53"/>
  <c r="AH24" i="53"/>
  <c r="AR12" i="53"/>
  <c r="AS11" i="53"/>
  <c r="AE37" i="53"/>
  <c r="AE24" i="53"/>
  <c r="AS12" i="53"/>
  <c r="AC37" i="53"/>
  <c r="AQ11" i="53"/>
  <c r="AC24" i="53"/>
  <c r="AQ12" i="53"/>
  <c r="AP12" i="53"/>
  <c r="AW12" i="53"/>
  <c r="AI37" i="53"/>
  <c r="AW11" i="53"/>
  <c r="AI24" i="53"/>
  <c r="AB24" i="53"/>
  <c r="AP11" i="53"/>
  <c r="AB37" i="53"/>
  <c r="AU11" i="53"/>
  <c r="AG37" i="53"/>
  <c r="AG24" i="53"/>
  <c r="AT11" i="53"/>
  <c r="AF37" i="53"/>
  <c r="AF24" i="53"/>
  <c r="AD37" i="53"/>
  <c r="AR11" i="53"/>
  <c r="AD24" i="53"/>
  <c r="AF28" i="52"/>
  <c r="AF41" i="52"/>
  <c r="AA28" i="52"/>
  <c r="AA41" i="52"/>
  <c r="Y28" i="52"/>
  <c r="Y41" i="52"/>
  <c r="Z41" i="52"/>
  <c r="Z28" i="52"/>
  <c r="AD28" i="52"/>
  <c r="AD41" i="52"/>
  <c r="AB28" i="52"/>
  <c r="AB41" i="52"/>
  <c r="AI28" i="52"/>
  <c r="AI41" i="52"/>
  <c r="AC41" i="52"/>
  <c r="AC28" i="52"/>
  <c r="AG41" i="52"/>
  <c r="AG28" i="52"/>
  <c r="X28" i="52"/>
  <c r="X41" i="52"/>
  <c r="AE28" i="52"/>
  <c r="AE41" i="52"/>
  <c r="AD14" i="52"/>
  <c r="W13" i="52"/>
  <c r="AC14" i="52"/>
  <c r="AA14" i="52"/>
  <c r="Z14" i="52"/>
  <c r="X14" i="52"/>
  <c r="AH14" i="52"/>
  <c r="AG14" i="52"/>
  <c r="AF14" i="52"/>
  <c r="AE14" i="52"/>
  <c r="AB14" i="52"/>
  <c r="Y14" i="52"/>
  <c r="AI14" i="52"/>
  <c r="AH28" i="52"/>
  <c r="AH41" i="52"/>
  <c r="X42" i="51"/>
  <c r="X29" i="51"/>
  <c r="AI29" i="51"/>
  <c r="AI42" i="51"/>
  <c r="AD42" i="51"/>
  <c r="AD29" i="51"/>
  <c r="AC42" i="51"/>
  <c r="AC29" i="51"/>
  <c r="AF15" i="51"/>
  <c r="AE15" i="51"/>
  <c r="AH15" i="51"/>
  <c r="AG15" i="51"/>
  <c r="AI15" i="51"/>
  <c r="W14" i="51"/>
  <c r="AD15" i="51"/>
  <c r="Z15" i="51"/>
  <c r="Y15" i="51"/>
  <c r="X15" i="51"/>
  <c r="AB15" i="51"/>
  <c r="AA15" i="51"/>
  <c r="AC15" i="51"/>
  <c r="AE29" i="51"/>
  <c r="AE42" i="51"/>
  <c r="Z29" i="51"/>
  <c r="Z42" i="51"/>
  <c r="AB42" i="51"/>
  <c r="AB29" i="51"/>
  <c r="AF29" i="51"/>
  <c r="AF42" i="51"/>
  <c r="AG29" i="51"/>
  <c r="AG42" i="51"/>
  <c r="AA29" i="51"/>
  <c r="AA42" i="51"/>
  <c r="AH42" i="51"/>
  <c r="AH29" i="51"/>
  <c r="Y29" i="51"/>
  <c r="Y42" i="51"/>
  <c r="AE16" i="50"/>
  <c r="AC16" i="50"/>
  <c r="Y16" i="50"/>
  <c r="X16" i="50"/>
  <c r="AH16" i="50"/>
  <c r="AI16" i="50"/>
  <c r="AG16" i="50"/>
  <c r="W15" i="50"/>
  <c r="AF16" i="50"/>
  <c r="Z16" i="50"/>
  <c r="AD16" i="50"/>
  <c r="AB16" i="50"/>
  <c r="AA16" i="50"/>
  <c r="AE30" i="50"/>
  <c r="AE43" i="50"/>
  <c r="AI43" i="50"/>
  <c r="AI30" i="50"/>
  <c r="X43" i="50"/>
  <c r="X30" i="50"/>
  <c r="AF30" i="50"/>
  <c r="AF43" i="50"/>
  <c r="AH30" i="50"/>
  <c r="AH43" i="50"/>
  <c r="AC43" i="50"/>
  <c r="AC30" i="50"/>
  <c r="AD30" i="50"/>
  <c r="AD43" i="50"/>
  <c r="AG30" i="50"/>
  <c r="AG43" i="50"/>
  <c r="Z43" i="50"/>
  <c r="Z30" i="50"/>
  <c r="Y30" i="50"/>
  <c r="Y43" i="50"/>
  <c r="AA43" i="50"/>
  <c r="AA30" i="50"/>
  <c r="AB43" i="50"/>
  <c r="AB30" i="50"/>
  <c r="AD30" i="49"/>
  <c r="AD43" i="49"/>
  <c r="AC30" i="49"/>
  <c r="AC43" i="49"/>
  <c r="AF30" i="49"/>
  <c r="AF43" i="49"/>
  <c r="AG30" i="49"/>
  <c r="AG43" i="49"/>
  <c r="AE30" i="49"/>
  <c r="AE43" i="49"/>
  <c r="AH30" i="49"/>
  <c r="AH43" i="49"/>
  <c r="Z43" i="49"/>
  <c r="Z30" i="49"/>
  <c r="AI16" i="49"/>
  <c r="AH16" i="49"/>
  <c r="AF16" i="49"/>
  <c r="AC16" i="49"/>
  <c r="AG16" i="49"/>
  <c r="AE16" i="49"/>
  <c r="AD16" i="49"/>
  <c r="Y16" i="49"/>
  <c r="W15" i="49"/>
  <c r="AB16" i="49"/>
  <c r="Z16" i="49"/>
  <c r="X16" i="49"/>
  <c r="AA16" i="49"/>
  <c r="AI43" i="49"/>
  <c r="AI30" i="49"/>
  <c r="AA30" i="49"/>
  <c r="AA43" i="49"/>
  <c r="AB30" i="49"/>
  <c r="AB43" i="49"/>
  <c r="X43" i="49"/>
  <c r="X30" i="49"/>
  <c r="Y30" i="49"/>
  <c r="Y43" i="49"/>
  <c r="X44" i="48"/>
  <c r="X31" i="48"/>
  <c r="AC31" i="48"/>
  <c r="AC44" i="48"/>
  <c r="AD44" i="48"/>
  <c r="AD31" i="48"/>
  <c r="Z31" i="48"/>
  <c r="Z44" i="48"/>
  <c r="Y44" i="48"/>
  <c r="Y31" i="48"/>
  <c r="AF44" i="48"/>
  <c r="AF31" i="48"/>
  <c r="AB31" i="48"/>
  <c r="AB44" i="48"/>
  <c r="AG44" i="48"/>
  <c r="AG31" i="48"/>
  <c r="AA31" i="48"/>
  <c r="AA44" i="48"/>
  <c r="AI31" i="48"/>
  <c r="AI44" i="48"/>
  <c r="AH44" i="48"/>
  <c r="AH31" i="48"/>
  <c r="X17" i="48"/>
  <c r="W16" i="48"/>
  <c r="AF17" i="48"/>
  <c r="AE17" i="48"/>
  <c r="AC17" i="48"/>
  <c r="AB17" i="48"/>
  <c r="AA17" i="48"/>
  <c r="Y17" i="48"/>
  <c r="Z17" i="48"/>
  <c r="AI17" i="48"/>
  <c r="AH17" i="48"/>
  <c r="AG17" i="48"/>
  <c r="AD17" i="48"/>
  <c r="AE44" i="48"/>
  <c r="AE31" i="48"/>
  <c r="AB32" i="44"/>
  <c r="AB45" i="44"/>
  <c r="AC45" i="44"/>
  <c r="AC32" i="44"/>
  <c r="AI32" i="44"/>
  <c r="AI45" i="44"/>
  <c r="Y45" i="44"/>
  <c r="Y32" i="44"/>
  <c r="AH45" i="44"/>
  <c r="AH32" i="44"/>
  <c r="Z45" i="44"/>
  <c r="Z32" i="44"/>
  <c r="AG45" i="44"/>
  <c r="AG32" i="44"/>
  <c r="AD45" i="44"/>
  <c r="AD32" i="44"/>
  <c r="AF32" i="44"/>
  <c r="AF45" i="44"/>
  <c r="AE32" i="44"/>
  <c r="AE45" i="44"/>
  <c r="X32" i="44"/>
  <c r="X45" i="44"/>
  <c r="AA32" i="44"/>
  <c r="AA45" i="44"/>
  <c r="AG18" i="44"/>
  <c r="AF18" i="44"/>
  <c r="W17" i="44"/>
  <c r="AC18" i="44"/>
  <c r="AB18" i="44"/>
  <c r="AA18" i="44"/>
  <c r="Z18" i="44"/>
  <c r="Y18" i="44"/>
  <c r="X18" i="44"/>
  <c r="AE18" i="44"/>
  <c r="AH18" i="44"/>
  <c r="AI18" i="44"/>
  <c r="AD18" i="44"/>
  <c r="AG46" i="42"/>
  <c r="AG33" i="42"/>
  <c r="AC33" i="42"/>
  <c r="AC46" i="42"/>
  <c r="AE33" i="42"/>
  <c r="AE46" i="42"/>
  <c r="AH19" i="42"/>
  <c r="AG19" i="42"/>
  <c r="AB19" i="42"/>
  <c r="AC19" i="42"/>
  <c r="AA19" i="42"/>
  <c r="Z19" i="42"/>
  <c r="AD19" i="42"/>
  <c r="Y19" i="42"/>
  <c r="X19" i="42"/>
  <c r="W18" i="42"/>
  <c r="AE19" i="42"/>
  <c r="AI19" i="42"/>
  <c r="AF19" i="42"/>
  <c r="AD46" i="42"/>
  <c r="AD33" i="42"/>
  <c r="Y46" i="42"/>
  <c r="Y33" i="42"/>
  <c r="AF46" i="42"/>
  <c r="AF33" i="42"/>
  <c r="X33" i="42"/>
  <c r="X46" i="42"/>
  <c r="AA46" i="42"/>
  <c r="AA33" i="42"/>
  <c r="AB33" i="42"/>
  <c r="AB46" i="42"/>
  <c r="AH33" i="42"/>
  <c r="AH46" i="42"/>
  <c r="AI46" i="42"/>
  <c r="AI33" i="42"/>
  <c r="Z46" i="42"/>
  <c r="Z33" i="42"/>
  <c r="AK47" i="41"/>
  <c r="AK46" i="41" s="1"/>
  <c r="AK45" i="41" s="1"/>
  <c r="AK44" i="41" s="1"/>
  <c r="AK43" i="41" s="1"/>
  <c r="AK42" i="41" s="1"/>
  <c r="AK41" i="41" s="1"/>
  <c r="AK40" i="41" s="1"/>
  <c r="AK39" i="41" s="1"/>
  <c r="AK38" i="41" s="1"/>
  <c r="AK37" i="41" s="1"/>
  <c r="AK34" i="41"/>
  <c r="AK33" i="41" s="1"/>
  <c r="AK32" i="41" s="1"/>
  <c r="W34" i="41"/>
  <c r="W33" i="41" s="1"/>
  <c r="W32" i="41" s="1"/>
  <c r="W31" i="41" s="1"/>
  <c r="W30" i="41" s="1"/>
  <c r="W29" i="41" s="1"/>
  <c r="W28" i="41" s="1"/>
  <c r="W27" i="41" s="1"/>
  <c r="W26" i="41" s="1"/>
  <c r="W25" i="41" s="1"/>
  <c r="W24" i="41" s="1"/>
  <c r="AK31" i="41"/>
  <c r="AK30" i="41" s="1"/>
  <c r="AK29" i="41" s="1"/>
  <c r="AK28" i="41" s="1"/>
  <c r="AK27" i="41" s="1"/>
  <c r="AK26" i="41" s="1"/>
  <c r="AK25" i="41" s="1"/>
  <c r="AK24" i="41" s="1"/>
  <c r="W21" i="41"/>
  <c r="W20" i="41" s="1"/>
  <c r="AH20" i="41" s="1"/>
  <c r="AH33" i="41" s="1"/>
  <c r="R19" i="1"/>
  <c r="S19" i="1"/>
  <c r="AU46" i="53" l="1"/>
  <c r="AU33" i="53"/>
  <c r="AQ33" i="53"/>
  <c r="AQ46" i="53"/>
  <c r="AO41" i="53"/>
  <c r="AO28" i="53"/>
  <c r="AR42" i="53"/>
  <c r="AR29" i="53"/>
  <c r="AV46" i="53"/>
  <c r="AV33" i="53"/>
  <c r="AR25" i="53"/>
  <c r="AR38" i="53"/>
  <c r="AV39" i="53"/>
  <c r="AV26" i="53"/>
  <c r="AM28" i="53"/>
  <c r="AM41" i="53"/>
  <c r="AT30" i="53"/>
  <c r="AT43" i="53"/>
  <c r="AQ44" i="53"/>
  <c r="AQ31" i="53"/>
  <c r="AN33" i="53"/>
  <c r="AN46" i="53"/>
  <c r="F9" i="53"/>
  <c r="AV42" i="53"/>
  <c r="AV29" i="53"/>
  <c r="AT42" i="53"/>
  <c r="AT29" i="53"/>
  <c r="AW44" i="53"/>
  <c r="AW31" i="53"/>
  <c r="AU47" i="53"/>
  <c r="AU34" i="53"/>
  <c r="AU37" i="53"/>
  <c r="AU24" i="53"/>
  <c r="AN39" i="53"/>
  <c r="AN26" i="53"/>
  <c r="AN31" i="53"/>
  <c r="AN44" i="53"/>
  <c r="AN47" i="53"/>
  <c r="AN34" i="53"/>
  <c r="AP24" i="53"/>
  <c r="AP37" i="53"/>
  <c r="AW39" i="53"/>
  <c r="AW26" i="53"/>
  <c r="AR28" i="53"/>
  <c r="AR41" i="53"/>
  <c r="AL43" i="53"/>
  <c r="AL30" i="53"/>
  <c r="AP44" i="53"/>
  <c r="AP31" i="53"/>
  <c r="AP33" i="53"/>
  <c r="AP46" i="53"/>
  <c r="F35" i="53"/>
  <c r="AL34" i="53"/>
  <c r="AL47" i="53"/>
  <c r="AU42" i="53"/>
  <c r="AU29" i="53"/>
  <c r="AM31" i="53"/>
  <c r="AM44" i="53"/>
  <c r="AO30" i="53"/>
  <c r="AO43" i="53"/>
  <c r="AS40" i="53"/>
  <c r="AS27" i="53"/>
  <c r="AU41" i="53"/>
  <c r="AU28" i="53"/>
  <c r="AN30" i="53"/>
  <c r="AN43" i="53"/>
  <c r="AQ32" i="53"/>
  <c r="AQ45" i="53"/>
  <c r="AM46" i="53"/>
  <c r="AM33" i="53"/>
  <c r="AN24" i="53"/>
  <c r="AN37" i="53"/>
  <c r="AW24" i="53"/>
  <c r="AW37" i="53"/>
  <c r="AO38" i="53"/>
  <c r="AO25" i="53"/>
  <c r="AR40" i="53"/>
  <c r="AR27" i="53"/>
  <c r="AL41" i="53"/>
  <c r="AL28" i="53"/>
  <c r="AQ43" i="53"/>
  <c r="AQ30" i="53"/>
  <c r="AP32" i="53"/>
  <c r="AP45" i="53"/>
  <c r="AW33" i="53"/>
  <c r="AW46" i="53"/>
  <c r="AP41" i="53"/>
  <c r="AP28" i="53"/>
  <c r="AP39" i="53"/>
  <c r="AP26" i="53"/>
  <c r="AS28" i="53"/>
  <c r="AS41" i="53"/>
  <c r="AM39" i="53"/>
  <c r="AM26" i="53"/>
  <c r="AV24" i="53"/>
  <c r="AV37" i="53"/>
  <c r="AO33" i="53"/>
  <c r="AO46" i="53"/>
  <c r="AT46" i="53"/>
  <c r="AT33" i="53"/>
  <c r="AQ27" i="53"/>
  <c r="AQ40" i="53"/>
  <c r="AW25" i="53"/>
  <c r="AW38" i="53"/>
  <c r="AR32" i="53"/>
  <c r="AR45" i="53"/>
  <c r="AW47" i="53"/>
  <c r="AW34" i="53"/>
  <c r="AR39" i="53"/>
  <c r="AR26" i="53"/>
  <c r="AW28" i="53"/>
  <c r="AW41" i="53"/>
  <c r="AS37" i="53"/>
  <c r="AS24" i="53"/>
  <c r="AN28" i="53"/>
  <c r="AN41" i="53"/>
  <c r="AO39" i="53"/>
  <c r="AO26" i="53"/>
  <c r="AL37" i="53"/>
  <c r="AL24" i="53"/>
  <c r="AU45" i="53"/>
  <c r="AU32" i="53"/>
  <c r="AM27" i="53"/>
  <c r="AM40" i="53"/>
  <c r="AR24" i="53"/>
  <c r="AR37" i="53"/>
  <c r="AP38" i="53"/>
  <c r="AP25" i="53"/>
  <c r="AM38" i="53"/>
  <c r="AM25" i="53"/>
  <c r="AP40" i="53"/>
  <c r="AP27" i="53"/>
  <c r="AS42" i="53"/>
  <c r="AS29" i="53"/>
  <c r="AU30" i="53"/>
  <c r="AU43" i="53"/>
  <c r="AV32" i="53"/>
  <c r="AV45" i="53"/>
  <c r="AR47" i="53"/>
  <c r="AR34" i="53"/>
  <c r="AO24" i="53"/>
  <c r="AO37" i="53"/>
  <c r="AR44" i="53"/>
  <c r="AR31" i="53"/>
  <c r="AT44" i="53"/>
  <c r="AT31" i="53"/>
  <c r="AQ41" i="53"/>
  <c r="AQ28" i="53"/>
  <c r="AQ25" i="53"/>
  <c r="AQ38" i="53"/>
  <c r="AT38" i="53"/>
  <c r="AT25" i="53"/>
  <c r="AU27" i="53"/>
  <c r="AU40" i="53"/>
  <c r="AL42" i="53"/>
  <c r="AL29" i="53"/>
  <c r="AP30" i="53"/>
  <c r="AP43" i="53"/>
  <c r="AN45" i="53"/>
  <c r="AN32" i="53"/>
  <c r="AQ47" i="53"/>
  <c r="AQ34" i="53"/>
  <c r="AR43" i="53"/>
  <c r="AR30" i="53"/>
  <c r="AV43" i="53"/>
  <c r="AV30" i="53"/>
  <c r="AU25" i="53"/>
  <c r="AU38" i="53"/>
  <c r="AN40" i="53"/>
  <c r="AN27" i="53"/>
  <c r="AW29" i="53"/>
  <c r="AW42" i="53"/>
  <c r="AM30" i="53"/>
  <c r="AM43" i="53"/>
  <c r="AS45" i="53"/>
  <c r="AS32" i="53"/>
  <c r="AO47" i="53"/>
  <c r="AO34" i="53"/>
  <c r="AL33" i="53"/>
  <c r="AL46" i="53"/>
  <c r="AV25" i="53"/>
  <c r="AV38" i="53"/>
  <c r="AL38" i="53"/>
  <c r="AL25" i="53"/>
  <c r="AQ37" i="53"/>
  <c r="AQ24" i="53"/>
  <c r="AQ42" i="53"/>
  <c r="AQ29" i="53"/>
  <c r="AL31" i="53"/>
  <c r="AL44" i="53"/>
  <c r="AW32" i="53"/>
  <c r="AW45" i="53"/>
  <c r="AP47" i="53"/>
  <c r="AP34" i="53"/>
  <c r="AS44" i="53"/>
  <c r="AS31" i="53"/>
  <c r="AV28" i="53"/>
  <c r="AV41" i="53"/>
  <c r="AN38" i="53"/>
  <c r="AN25" i="53"/>
  <c r="AO40" i="53"/>
  <c r="AO27" i="53"/>
  <c r="AP42" i="53"/>
  <c r="AP29" i="53"/>
  <c r="AU44" i="53"/>
  <c r="AU31" i="53"/>
  <c r="AL45" i="53"/>
  <c r="AL32" i="53"/>
  <c r="AT47" i="53"/>
  <c r="AT34" i="53"/>
  <c r="AV47" i="53"/>
  <c r="AV34" i="53"/>
  <c r="F22" i="53"/>
  <c r="AM45" i="53"/>
  <c r="AM32" i="53"/>
  <c r="AR33" i="53"/>
  <c r="AR46" i="53"/>
  <c r="AS43" i="53"/>
  <c r="AS30" i="53"/>
  <c r="AU39" i="53"/>
  <c r="AU26" i="53"/>
  <c r="AS39" i="53"/>
  <c r="AS26" i="53"/>
  <c r="AV27" i="53"/>
  <c r="AV40" i="53"/>
  <c r="AM42" i="53"/>
  <c r="AM29" i="53"/>
  <c r="AO44" i="53"/>
  <c r="AO31" i="53"/>
  <c r="AT45" i="53"/>
  <c r="AT32" i="53"/>
  <c r="AM34" i="53"/>
  <c r="AM47" i="53"/>
  <c r="AQ39" i="53"/>
  <c r="AQ26" i="53"/>
  <c r="AS33" i="53"/>
  <c r="AS46" i="53"/>
  <c r="AW43" i="53"/>
  <c r="AW30" i="53"/>
  <c r="AT40" i="53"/>
  <c r="AT27" i="53"/>
  <c r="AT41" i="53"/>
  <c r="AT28" i="53"/>
  <c r="AO42" i="53"/>
  <c r="AO29" i="53"/>
  <c r="AL40" i="53"/>
  <c r="AL27" i="53"/>
  <c r="AL39" i="53"/>
  <c r="AL26" i="53"/>
  <c r="AT37" i="53"/>
  <c r="AT24" i="53"/>
  <c r="AS38" i="53"/>
  <c r="AS25" i="53"/>
  <c r="AT39" i="53"/>
  <c r="AT26" i="53"/>
  <c r="AW40" i="53"/>
  <c r="AW27" i="53"/>
  <c r="AN42" i="53"/>
  <c r="AN29" i="53"/>
  <c r="AV44" i="53"/>
  <c r="AV31" i="53"/>
  <c r="AO32" i="53"/>
  <c r="AO45" i="53"/>
  <c r="AS47" i="53"/>
  <c r="AS34" i="53"/>
  <c r="AM37" i="53"/>
  <c r="AM24" i="53"/>
  <c r="Y40" i="52"/>
  <c r="Y27" i="52"/>
  <c r="AC27" i="52"/>
  <c r="AC40" i="52"/>
  <c r="AE40" i="52"/>
  <c r="AE27" i="52"/>
  <c r="X40" i="52"/>
  <c r="X27" i="52"/>
  <c r="AH13" i="52"/>
  <c r="AA13" i="52"/>
  <c r="Y13" i="52"/>
  <c r="Z13" i="52"/>
  <c r="AI13" i="52"/>
  <c r="AG13" i="52"/>
  <c r="AF13" i="52"/>
  <c r="AE13" i="52"/>
  <c r="AD13" i="52"/>
  <c r="AC13" i="52"/>
  <c r="AB13" i="52"/>
  <c r="X13" i="52"/>
  <c r="W12" i="52"/>
  <c r="AI40" i="52"/>
  <c r="AI27" i="52"/>
  <c r="AF40" i="52"/>
  <c r="AF27" i="52"/>
  <c r="Z40" i="52"/>
  <c r="Z27" i="52"/>
  <c r="AD40" i="52"/>
  <c r="AD27" i="52"/>
  <c r="AA27" i="52"/>
  <c r="AA40" i="52"/>
  <c r="AG27" i="52"/>
  <c r="AG40" i="52"/>
  <c r="AB27" i="52"/>
  <c r="AB40" i="52"/>
  <c r="AH40" i="52"/>
  <c r="AH27" i="52"/>
  <c r="AE28" i="51"/>
  <c r="AE41" i="51"/>
  <c r="AF28" i="51"/>
  <c r="AF41" i="51"/>
  <c r="AB41" i="51"/>
  <c r="AB28" i="51"/>
  <c r="X41" i="51"/>
  <c r="X28" i="51"/>
  <c r="Y28" i="51"/>
  <c r="Y41" i="51"/>
  <c r="Z28" i="51"/>
  <c r="Z41" i="51"/>
  <c r="AG28" i="51"/>
  <c r="AG41" i="51"/>
  <c r="AA28" i="51"/>
  <c r="AA41" i="51"/>
  <c r="AD28" i="51"/>
  <c r="AD41" i="51"/>
  <c r="AA14" i="51"/>
  <c r="Z14" i="51"/>
  <c r="AB14" i="51"/>
  <c r="Y14" i="51"/>
  <c r="X14" i="51"/>
  <c r="AE14" i="51"/>
  <c r="W13" i="51"/>
  <c r="AD14" i="51"/>
  <c r="AC14" i="51"/>
  <c r="AG14" i="51"/>
  <c r="AF14" i="51"/>
  <c r="AI14" i="51"/>
  <c r="AH14" i="51"/>
  <c r="AH28" i="51"/>
  <c r="AH41" i="51"/>
  <c r="AC41" i="51"/>
  <c r="AC28" i="51"/>
  <c r="AI41" i="51"/>
  <c r="AI28" i="51"/>
  <c r="AA42" i="50"/>
  <c r="AA29" i="50"/>
  <c r="AF29" i="50"/>
  <c r="AF42" i="50"/>
  <c r="AB42" i="50"/>
  <c r="AB29" i="50"/>
  <c r="Z29" i="50"/>
  <c r="Z42" i="50"/>
  <c r="X15" i="50"/>
  <c r="W14" i="50"/>
  <c r="Z15" i="50"/>
  <c r="Y15" i="50"/>
  <c r="AI15" i="50"/>
  <c r="AH15" i="50"/>
  <c r="AF15" i="50"/>
  <c r="AG15" i="50"/>
  <c r="AD15" i="50"/>
  <c r="AC15" i="50"/>
  <c r="AB15" i="50"/>
  <c r="AA15" i="50"/>
  <c r="AE15" i="50"/>
  <c r="AG29" i="50"/>
  <c r="AG42" i="50"/>
  <c r="AI29" i="50"/>
  <c r="AI42" i="50"/>
  <c r="AH29" i="50"/>
  <c r="AH42" i="50"/>
  <c r="Y42" i="50"/>
  <c r="Y29" i="50"/>
  <c r="X42" i="50"/>
  <c r="X29" i="50"/>
  <c r="AC29" i="50"/>
  <c r="AC42" i="50"/>
  <c r="AD29" i="50"/>
  <c r="AD42" i="50"/>
  <c r="AE29" i="50"/>
  <c r="AE42" i="50"/>
  <c r="Y29" i="49"/>
  <c r="Y42" i="49"/>
  <c r="X29" i="49"/>
  <c r="X42" i="49"/>
  <c r="AC29" i="49"/>
  <c r="AC42" i="49"/>
  <c r="AB42" i="49"/>
  <c r="AB29" i="49"/>
  <c r="AG29" i="49"/>
  <c r="AG42" i="49"/>
  <c r="AE29" i="49"/>
  <c r="AE42" i="49"/>
  <c r="AH42" i="49"/>
  <c r="AH29" i="49"/>
  <c r="AD29" i="49"/>
  <c r="AD42" i="49"/>
  <c r="AI42" i="49"/>
  <c r="AI29" i="49"/>
  <c r="AF29" i="49"/>
  <c r="AF42" i="49"/>
  <c r="Z29" i="49"/>
  <c r="Z42" i="49"/>
  <c r="AE15" i="49"/>
  <c r="Z15" i="49"/>
  <c r="AD15" i="49"/>
  <c r="AA15" i="49"/>
  <c r="AC15" i="49"/>
  <c r="AB15" i="49"/>
  <c r="Y15" i="49"/>
  <c r="AG15" i="49"/>
  <c r="AF15" i="49"/>
  <c r="AI15" i="49"/>
  <c r="AH15" i="49"/>
  <c r="X15" i="49"/>
  <c r="W14" i="49"/>
  <c r="AA29" i="49"/>
  <c r="AA42" i="49"/>
  <c r="AD43" i="48"/>
  <c r="AD30" i="48"/>
  <c r="AH30" i="48"/>
  <c r="AH43" i="48"/>
  <c r="AG43" i="48"/>
  <c r="AG30" i="48"/>
  <c r="AC43" i="48"/>
  <c r="AC30" i="48"/>
  <c r="Z43" i="48"/>
  <c r="Z30" i="48"/>
  <c r="AF43" i="48"/>
  <c r="AF30" i="48"/>
  <c r="AB43" i="48"/>
  <c r="AB30" i="48"/>
  <c r="AA43" i="48"/>
  <c r="AA30" i="48"/>
  <c r="AC16" i="48"/>
  <c r="AB16" i="48"/>
  <c r="AI16" i="48"/>
  <c r="AH16" i="48"/>
  <c r="AG16" i="48"/>
  <c r="AE16" i="48"/>
  <c r="AF16" i="48"/>
  <c r="W15" i="48"/>
  <c r="AD16" i="48"/>
  <c r="X16" i="48"/>
  <c r="AA16" i="48"/>
  <c r="Z16" i="48"/>
  <c r="Y16" i="48"/>
  <c r="AI43" i="48"/>
  <c r="AI30" i="48"/>
  <c r="AE43" i="48"/>
  <c r="AE30" i="48"/>
  <c r="Y30" i="48"/>
  <c r="Y43" i="48"/>
  <c r="X43" i="48"/>
  <c r="X30" i="48"/>
  <c r="AI31" i="44"/>
  <c r="AI44" i="44"/>
  <c r="AH31" i="44"/>
  <c r="AH44" i="44"/>
  <c r="AE31" i="44"/>
  <c r="AE44" i="44"/>
  <c r="X44" i="44"/>
  <c r="X31" i="44"/>
  <c r="Y44" i="44"/>
  <c r="Y31" i="44"/>
  <c r="Z31" i="44"/>
  <c r="Z44" i="44"/>
  <c r="AB31" i="44"/>
  <c r="AB44" i="44"/>
  <c r="AD31" i="44"/>
  <c r="AD44" i="44"/>
  <c r="AC31" i="44"/>
  <c r="AC44" i="44"/>
  <c r="X17" i="44"/>
  <c r="AI17" i="44"/>
  <c r="AH17" i="44"/>
  <c r="AG17" i="44"/>
  <c r="AF17" i="44"/>
  <c r="W16" i="44"/>
  <c r="AE17" i="44"/>
  <c r="AB17" i="44"/>
  <c r="AA17" i="44"/>
  <c r="Y17" i="44"/>
  <c r="Z17" i="44"/>
  <c r="AC17" i="44"/>
  <c r="AD17" i="44"/>
  <c r="AF44" i="44"/>
  <c r="AF31" i="44"/>
  <c r="AA31" i="44"/>
  <c r="AA44" i="44"/>
  <c r="AG44" i="44"/>
  <c r="AG31" i="44"/>
  <c r="AI32" i="42"/>
  <c r="AI45" i="42"/>
  <c r="AC45" i="42"/>
  <c r="AC32" i="42"/>
  <c r="AB45" i="42"/>
  <c r="AB32" i="42"/>
  <c r="Y32" i="42"/>
  <c r="Y45" i="42"/>
  <c r="AE45" i="42"/>
  <c r="AE32" i="42"/>
  <c r="AH45" i="42"/>
  <c r="AH32" i="42"/>
  <c r="AD18" i="42"/>
  <c r="AA18" i="42"/>
  <c r="Y18" i="42"/>
  <c r="X18" i="42"/>
  <c r="AI18" i="42"/>
  <c r="AF18" i="42"/>
  <c r="AH18" i="42"/>
  <c r="AG18" i="42"/>
  <c r="AE18" i="42"/>
  <c r="AC18" i="42"/>
  <c r="AB18" i="42"/>
  <c r="Z18" i="42"/>
  <c r="W17" i="42"/>
  <c r="AG45" i="42"/>
  <c r="AG32" i="42"/>
  <c r="AF45" i="42"/>
  <c r="AF32" i="42"/>
  <c r="X45" i="42"/>
  <c r="X32" i="42"/>
  <c r="AD45" i="42"/>
  <c r="AD32" i="42"/>
  <c r="Z45" i="42"/>
  <c r="Z32" i="42"/>
  <c r="AA45" i="42"/>
  <c r="AA32" i="42"/>
  <c r="AC21" i="41"/>
  <c r="AC47" i="41" s="1"/>
  <c r="X21" i="41"/>
  <c r="X34" i="41" s="1"/>
  <c r="Y21" i="41"/>
  <c r="Y34" i="41" s="1"/>
  <c r="AA21" i="41"/>
  <c r="AA34" i="41" s="1"/>
  <c r="AE21" i="41"/>
  <c r="AI21" i="41"/>
  <c r="AI47" i="41" s="1"/>
  <c r="AH21" i="41"/>
  <c r="AH34" i="41" s="1"/>
  <c r="AH46" i="41"/>
  <c r="Y47" i="41"/>
  <c r="AE34" i="41"/>
  <c r="AE47" i="41"/>
  <c r="AG20" i="41"/>
  <c r="AC20" i="41"/>
  <c r="AA20" i="41"/>
  <c r="X20" i="41"/>
  <c r="AI20" i="41"/>
  <c r="AF20" i="41"/>
  <c r="AD20" i="41"/>
  <c r="Z20" i="41"/>
  <c r="Y20" i="41"/>
  <c r="AB20" i="41"/>
  <c r="W19" i="41"/>
  <c r="AE20" i="41"/>
  <c r="AH47" i="41"/>
  <c r="AB21" i="41"/>
  <c r="AF21" i="41"/>
  <c r="Z21" i="41"/>
  <c r="AG21" i="41"/>
  <c r="AD21" i="41"/>
  <c r="W47" i="41"/>
  <c r="W46" i="41" s="1"/>
  <c r="W45" i="41" s="1"/>
  <c r="W44" i="41" s="1"/>
  <c r="W43" i="41" s="1"/>
  <c r="W42" i="41" s="1"/>
  <c r="W41" i="41" s="1"/>
  <c r="W40" i="41" s="1"/>
  <c r="W39" i="41" s="1"/>
  <c r="W38" i="41" s="1"/>
  <c r="W37" i="41" s="1"/>
  <c r="AK21" i="41"/>
  <c r="AK20" i="41" s="1"/>
  <c r="AK19" i="41" s="1"/>
  <c r="AK18" i="41" s="1"/>
  <c r="AK17" i="41" s="1"/>
  <c r="AK16" i="41" s="1"/>
  <c r="AK15" i="41" s="1"/>
  <c r="AK14" i="41" s="1"/>
  <c r="AK13" i="41" s="1"/>
  <c r="AK12" i="41" s="1"/>
  <c r="AK11" i="41" s="1"/>
  <c r="P11" i="1"/>
  <c r="P7" i="1"/>
  <c r="P3" i="1"/>
  <c r="Y39" i="52" l="1"/>
  <c r="Y26" i="52"/>
  <c r="AC39" i="52"/>
  <c r="AC26" i="52"/>
  <c r="Z26" i="52"/>
  <c r="Z39" i="52"/>
  <c r="AH26" i="52"/>
  <c r="AH39" i="52"/>
  <c r="X39" i="52"/>
  <c r="X26" i="52"/>
  <c r="AB26" i="52"/>
  <c r="AB39" i="52"/>
  <c r="AD26" i="52"/>
  <c r="AD39" i="52"/>
  <c r="AG26" i="52"/>
  <c r="AG39" i="52"/>
  <c r="AA26" i="52"/>
  <c r="AA39" i="52"/>
  <c r="AI12" i="52"/>
  <c r="AE12" i="52"/>
  <c r="AH12" i="52"/>
  <c r="AG12" i="52"/>
  <c r="AD12" i="52"/>
  <c r="W11" i="52"/>
  <c r="AF12" i="52"/>
  <c r="AC12" i="52"/>
  <c r="AB12" i="52"/>
  <c r="AA12" i="52"/>
  <c r="Y12" i="52"/>
  <c r="Z12" i="52"/>
  <c r="X12" i="52"/>
  <c r="AE39" i="52"/>
  <c r="AE26" i="52"/>
  <c r="AF26" i="52"/>
  <c r="AF39" i="52"/>
  <c r="AI26" i="52"/>
  <c r="AI39" i="52"/>
  <c r="AB40" i="51"/>
  <c r="AB27" i="51"/>
  <c r="AF40" i="51"/>
  <c r="AF27" i="51"/>
  <c r="AG40" i="51"/>
  <c r="AG27" i="51"/>
  <c r="AH40" i="51"/>
  <c r="AH27" i="51"/>
  <c r="Z27" i="51"/>
  <c r="Z40" i="51"/>
  <c r="AD27" i="51"/>
  <c r="AD40" i="51"/>
  <c r="AI13" i="51"/>
  <c r="AH13" i="51"/>
  <c r="AD13" i="51"/>
  <c r="AB13" i="51"/>
  <c r="Z13" i="51"/>
  <c r="W12" i="51"/>
  <c r="AA13" i="51"/>
  <c r="Y13" i="51"/>
  <c r="X13" i="51"/>
  <c r="AG13" i="51"/>
  <c r="AF13" i="51"/>
  <c r="AE13" i="51"/>
  <c r="AC13" i="51"/>
  <c r="Y27" i="51"/>
  <c r="Y40" i="51"/>
  <c r="AE27" i="51"/>
  <c r="AE40" i="51"/>
  <c r="AA27" i="51"/>
  <c r="AA40" i="51"/>
  <c r="AI40" i="51"/>
  <c r="AI27" i="51"/>
  <c r="AC27" i="51"/>
  <c r="AC40" i="51"/>
  <c r="X27" i="51"/>
  <c r="X40" i="51"/>
  <c r="X41" i="50"/>
  <c r="X28" i="50"/>
  <c r="Z41" i="50"/>
  <c r="Z28" i="50"/>
  <c r="AE28" i="50"/>
  <c r="AE41" i="50"/>
  <c r="AB28" i="50"/>
  <c r="AB41" i="50"/>
  <c r="AG41" i="50"/>
  <c r="AG28" i="50"/>
  <c r="Y28" i="50"/>
  <c r="Y41" i="50"/>
  <c r="AC28" i="50"/>
  <c r="AC41" i="50"/>
  <c r="AF28" i="50"/>
  <c r="AF41" i="50"/>
  <c r="AI14" i="50"/>
  <c r="AE14" i="50"/>
  <c r="AD14" i="50"/>
  <c r="W13" i="50"/>
  <c r="AA14" i="50"/>
  <c r="Z14" i="50"/>
  <c r="X14" i="50"/>
  <c r="Y14" i="50"/>
  <c r="AC14" i="50"/>
  <c r="AB14" i="50"/>
  <c r="AG14" i="50"/>
  <c r="AF14" i="50"/>
  <c r="AH14" i="50"/>
  <c r="AA41" i="50"/>
  <c r="AA28" i="50"/>
  <c r="AD28" i="50"/>
  <c r="AD41" i="50"/>
  <c r="AH41" i="50"/>
  <c r="AH28" i="50"/>
  <c r="AI28" i="50"/>
  <c r="AI41" i="50"/>
  <c r="AF28" i="49"/>
  <c r="AF41" i="49"/>
  <c r="AC28" i="49"/>
  <c r="AC41" i="49"/>
  <c r="X41" i="49"/>
  <c r="X28" i="49"/>
  <c r="AG41" i="49"/>
  <c r="AG28" i="49"/>
  <c r="AE28" i="49"/>
  <c r="AE41" i="49"/>
  <c r="AH28" i="49"/>
  <c r="AH41" i="49"/>
  <c r="AA28" i="49"/>
  <c r="AA41" i="49"/>
  <c r="AI28" i="49"/>
  <c r="AI41" i="49"/>
  <c r="AB41" i="49"/>
  <c r="AB28" i="49"/>
  <c r="Z28" i="49"/>
  <c r="Z41" i="49"/>
  <c r="Y28" i="49"/>
  <c r="Y41" i="49"/>
  <c r="AD28" i="49"/>
  <c r="AD41" i="49"/>
  <c r="AI14" i="49"/>
  <c r="AE14" i="49"/>
  <c r="AD14" i="49"/>
  <c r="AH14" i="49"/>
  <c r="AF14" i="49"/>
  <c r="AG14" i="49"/>
  <c r="AC14" i="49"/>
  <c r="Y14" i="49"/>
  <c r="AA14" i="49"/>
  <c r="Z14" i="49"/>
  <c r="AB14" i="49"/>
  <c r="X14" i="49"/>
  <c r="W13" i="49"/>
  <c r="AG29" i="48"/>
  <c r="AG42" i="48"/>
  <c r="AI29" i="48"/>
  <c r="AI42" i="48"/>
  <c r="AE29" i="48"/>
  <c r="AE42" i="48"/>
  <c r="Z15" i="48"/>
  <c r="W14" i="48"/>
  <c r="Y15" i="48"/>
  <c r="AD15" i="48"/>
  <c r="AB15" i="48"/>
  <c r="AA15" i="48"/>
  <c r="AC15" i="48"/>
  <c r="X15" i="48"/>
  <c r="AI15" i="48"/>
  <c r="AG15" i="48"/>
  <c r="AF15" i="48"/>
  <c r="AH15" i="48"/>
  <c r="AE15" i="48"/>
  <c r="Z29" i="48"/>
  <c r="Z42" i="48"/>
  <c r="AH42" i="48"/>
  <c r="AH29" i="48"/>
  <c r="AA29" i="48"/>
  <c r="AA42" i="48"/>
  <c r="AF29" i="48"/>
  <c r="AF42" i="48"/>
  <c r="AC42" i="48"/>
  <c r="AC29" i="48"/>
  <c r="X29" i="48"/>
  <c r="X42" i="48"/>
  <c r="AB42" i="48"/>
  <c r="AB29" i="48"/>
  <c r="Y42" i="48"/>
  <c r="Y29" i="48"/>
  <c r="AD29" i="48"/>
  <c r="AD42" i="48"/>
  <c r="Z30" i="44"/>
  <c r="Z43" i="44"/>
  <c r="Y30" i="44"/>
  <c r="Y43" i="44"/>
  <c r="AA43" i="44"/>
  <c r="AA30" i="44"/>
  <c r="AB43" i="44"/>
  <c r="AB30" i="44"/>
  <c r="AE43" i="44"/>
  <c r="AE30" i="44"/>
  <c r="AE16" i="44"/>
  <c r="AD16" i="44"/>
  <c r="AA16" i="44"/>
  <c r="Z16" i="44"/>
  <c r="Y16" i="44"/>
  <c r="X16" i="44"/>
  <c r="AI16" i="44"/>
  <c r="AH16" i="44"/>
  <c r="AG16" i="44"/>
  <c r="W15" i="44"/>
  <c r="AF16" i="44"/>
  <c r="AC16" i="44"/>
  <c r="AB16" i="44"/>
  <c r="AF43" i="44"/>
  <c r="AF30" i="44"/>
  <c r="AG30" i="44"/>
  <c r="AG43" i="44"/>
  <c r="AH43" i="44"/>
  <c r="AH30" i="44"/>
  <c r="AI30" i="44"/>
  <c r="AI43" i="44"/>
  <c r="X43" i="44"/>
  <c r="X30" i="44"/>
  <c r="AC30" i="44"/>
  <c r="AC43" i="44"/>
  <c r="AD30" i="44"/>
  <c r="AD43" i="44"/>
  <c r="AG31" i="42"/>
  <c r="AG44" i="42"/>
  <c r="AH44" i="42"/>
  <c r="AH31" i="42"/>
  <c r="AI44" i="42"/>
  <c r="AI31" i="42"/>
  <c r="Y44" i="42"/>
  <c r="Y31" i="42"/>
  <c r="Z31" i="42"/>
  <c r="Z44" i="42"/>
  <c r="X44" i="42"/>
  <c r="X31" i="42"/>
  <c r="AA31" i="42"/>
  <c r="AA44" i="42"/>
  <c r="AF31" i="42"/>
  <c r="AF44" i="42"/>
  <c r="AD31" i="42"/>
  <c r="AD44" i="42"/>
  <c r="AH17" i="42"/>
  <c r="AF17" i="42"/>
  <c r="W16" i="42"/>
  <c r="AE17" i="42"/>
  <c r="Z17" i="42"/>
  <c r="X17" i="42"/>
  <c r="AI17" i="42"/>
  <c r="AA17" i="42"/>
  <c r="AG17" i="42"/>
  <c r="AD17" i="42"/>
  <c r="AB17" i="42"/>
  <c r="AC17" i="42"/>
  <c r="Y17" i="42"/>
  <c r="AB44" i="42"/>
  <c r="AB31" i="42"/>
  <c r="AC31" i="42"/>
  <c r="AC44" i="42"/>
  <c r="AE44" i="42"/>
  <c r="AE31" i="42"/>
  <c r="AC34" i="41"/>
  <c r="X47" i="41"/>
  <c r="AA47" i="41"/>
  <c r="AI34" i="41"/>
  <c r="Z33" i="41"/>
  <c r="Z46" i="41"/>
  <c r="AD47" i="41"/>
  <c r="AD34" i="41"/>
  <c r="AG47" i="41"/>
  <c r="AG34" i="41"/>
  <c r="AI33" i="41"/>
  <c r="AI46" i="41"/>
  <c r="Y46" i="41"/>
  <c r="Y33" i="41"/>
  <c r="AA33" i="41"/>
  <c r="AA46" i="41"/>
  <c r="X19" i="41"/>
  <c r="AH19" i="41"/>
  <c r="AE19" i="41"/>
  <c r="AB19" i="41"/>
  <c r="AD19" i="41"/>
  <c r="W18" i="41"/>
  <c r="AC19" i="41"/>
  <c r="AA19" i="41"/>
  <c r="Y19" i="41"/>
  <c r="AG19" i="41"/>
  <c r="AI19" i="41"/>
  <c r="AF19" i="41"/>
  <c r="Z19" i="41"/>
  <c r="Z47" i="41"/>
  <c r="Z34" i="41"/>
  <c r="AC33" i="41"/>
  <c r="AC46" i="41"/>
  <c r="X33" i="41"/>
  <c r="X46" i="41"/>
  <c r="AG46" i="41"/>
  <c r="AG33" i="41"/>
  <c r="AD46" i="41"/>
  <c r="AD33" i="41"/>
  <c r="AB34" i="41"/>
  <c r="AB47" i="41"/>
  <c r="AB46" i="41"/>
  <c r="AB33" i="41"/>
  <c r="AF46" i="41"/>
  <c r="AF33" i="41"/>
  <c r="AF34" i="41"/>
  <c r="AF47" i="41"/>
  <c r="AE33" i="41"/>
  <c r="AE46" i="41"/>
  <c r="AK47" i="39"/>
  <c r="AK46" i="39" s="1"/>
  <c r="AK45" i="39" s="1"/>
  <c r="AK44" i="39" s="1"/>
  <c r="AK43" i="39" s="1"/>
  <c r="AK42" i="39" s="1"/>
  <c r="AK41" i="39" s="1"/>
  <c r="AK40" i="39" s="1"/>
  <c r="AK39" i="39" s="1"/>
  <c r="AK38" i="39" s="1"/>
  <c r="AK37" i="39" s="1"/>
  <c r="AK34" i="39"/>
  <c r="AK33" i="39" s="1"/>
  <c r="AK32" i="39" s="1"/>
  <c r="AK31" i="39" s="1"/>
  <c r="AK30" i="39" s="1"/>
  <c r="AK29" i="39" s="1"/>
  <c r="AK28" i="39" s="1"/>
  <c r="AK27" i="39" s="1"/>
  <c r="AK26" i="39" s="1"/>
  <c r="AK25" i="39" s="1"/>
  <c r="AK24" i="39" s="1"/>
  <c r="W47" i="39"/>
  <c r="W46" i="39" s="1"/>
  <c r="W45" i="39" s="1"/>
  <c r="W44" i="39" s="1"/>
  <c r="W43" i="39" s="1"/>
  <c r="W42" i="39" s="1"/>
  <c r="W41" i="39" s="1"/>
  <c r="W40" i="39" s="1"/>
  <c r="W39" i="39" s="1"/>
  <c r="W38" i="39" s="1"/>
  <c r="W37" i="39" s="1"/>
  <c r="AK21" i="39"/>
  <c r="AK20" i="39" s="1"/>
  <c r="AK19" i="39" s="1"/>
  <c r="AK18" i="39" s="1"/>
  <c r="AK17" i="39" s="1"/>
  <c r="AK16" i="39" s="1"/>
  <c r="AK15" i="39" s="1"/>
  <c r="AK14" i="39" s="1"/>
  <c r="AK13" i="39" s="1"/>
  <c r="AK12" i="39" s="1"/>
  <c r="AK11" i="39" s="1"/>
  <c r="W34" i="39"/>
  <c r="W33" i="39" s="1"/>
  <c r="W32" i="39" s="1"/>
  <c r="W31" i="39" s="1"/>
  <c r="W30" i="39" s="1"/>
  <c r="W29" i="39" s="1"/>
  <c r="W28" i="39" s="1"/>
  <c r="W27" i="39" s="1"/>
  <c r="W26" i="39" s="1"/>
  <c r="W25" i="39" s="1"/>
  <c r="W24" i="39" s="1"/>
  <c r="W21" i="39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Q7" i="1"/>
  <c r="Q3" i="1"/>
  <c r="S10" i="1"/>
  <c r="R10" i="1"/>
  <c r="S6" i="1"/>
  <c r="R6" i="1"/>
  <c r="R2" i="1"/>
  <c r="AH38" i="52" l="1"/>
  <c r="AH25" i="52"/>
  <c r="AG25" i="52"/>
  <c r="AG38" i="52"/>
  <c r="X25" i="52"/>
  <c r="X38" i="52"/>
  <c r="AI38" i="52"/>
  <c r="AI25" i="52"/>
  <c r="Y25" i="52"/>
  <c r="Y38" i="52"/>
  <c r="AB38" i="52"/>
  <c r="AB25" i="52"/>
  <c r="AE38" i="52"/>
  <c r="AE25" i="52"/>
  <c r="AA25" i="52"/>
  <c r="AA38" i="52"/>
  <c r="AF38" i="52"/>
  <c r="AF25" i="52"/>
  <c r="AF11" i="52"/>
  <c r="AB11" i="52"/>
  <c r="AD11" i="52"/>
  <c r="Z11" i="52"/>
  <c r="Y11" i="52"/>
  <c r="AI11" i="52"/>
  <c r="AG11" i="52"/>
  <c r="AH11" i="52"/>
  <c r="X11" i="52"/>
  <c r="AE11" i="52"/>
  <c r="AC11" i="52"/>
  <c r="AA11" i="52"/>
  <c r="Z25" i="52"/>
  <c r="Z38" i="52"/>
  <c r="AC25" i="52"/>
  <c r="AC38" i="52"/>
  <c r="AD38" i="52"/>
  <c r="AD25" i="52"/>
  <c r="AD12" i="51"/>
  <c r="AC12" i="51"/>
  <c r="AA12" i="51"/>
  <c r="Z12" i="51"/>
  <c r="AB12" i="51"/>
  <c r="Y12" i="51"/>
  <c r="AF12" i="51"/>
  <c r="AE12" i="51"/>
  <c r="X12" i="51"/>
  <c r="W11" i="51"/>
  <c r="AI12" i="51"/>
  <c r="AH12" i="51"/>
  <c r="AG12" i="51"/>
  <c r="AA39" i="51"/>
  <c r="AA26" i="51"/>
  <c r="AD26" i="51"/>
  <c r="AD39" i="51"/>
  <c r="AH26" i="51"/>
  <c r="AH39" i="51"/>
  <c r="Z26" i="51"/>
  <c r="Z39" i="51"/>
  <c r="Y26" i="51"/>
  <c r="Y39" i="51"/>
  <c r="AE39" i="51"/>
  <c r="AE26" i="51"/>
  <c r="X39" i="51"/>
  <c r="X26" i="51"/>
  <c r="AI26" i="51"/>
  <c r="AI39" i="51"/>
  <c r="AF26" i="51"/>
  <c r="AF39" i="51"/>
  <c r="AC26" i="51"/>
  <c r="AC39" i="51"/>
  <c r="AG26" i="51"/>
  <c r="AG39" i="51"/>
  <c r="AB26" i="51"/>
  <c r="AB39" i="51"/>
  <c r="X27" i="50"/>
  <c r="X40" i="50"/>
  <c r="Y40" i="50"/>
  <c r="Y27" i="50"/>
  <c r="AE27" i="50"/>
  <c r="AE40" i="50"/>
  <c r="AI40" i="50"/>
  <c r="AI27" i="50"/>
  <c r="AA40" i="50"/>
  <c r="AA27" i="50"/>
  <c r="AF27" i="50"/>
  <c r="AF40" i="50"/>
  <c r="Z40" i="50"/>
  <c r="Z27" i="50"/>
  <c r="AG27" i="50"/>
  <c r="AG40" i="50"/>
  <c r="AD13" i="50"/>
  <c r="W12" i="50"/>
  <c r="AB13" i="50"/>
  <c r="X13" i="50"/>
  <c r="AH13" i="50"/>
  <c r="AG13" i="50"/>
  <c r="AI13" i="50"/>
  <c r="AF13" i="50"/>
  <c r="AE13" i="50"/>
  <c r="AA13" i="50"/>
  <c r="Z13" i="50"/>
  <c r="Y13" i="50"/>
  <c r="AC13" i="50"/>
  <c r="AB27" i="50"/>
  <c r="AB40" i="50"/>
  <c r="AD27" i="50"/>
  <c r="AD40" i="50"/>
  <c r="AH27" i="50"/>
  <c r="AH40" i="50"/>
  <c r="AC27" i="50"/>
  <c r="AC40" i="50"/>
  <c r="AB27" i="49"/>
  <c r="AB40" i="49"/>
  <c r="X40" i="49"/>
  <c r="X27" i="49"/>
  <c r="AH27" i="49"/>
  <c r="AH40" i="49"/>
  <c r="AA40" i="49"/>
  <c r="AA27" i="49"/>
  <c r="AF27" i="49"/>
  <c r="AF40" i="49"/>
  <c r="AI40" i="49"/>
  <c r="AI27" i="49"/>
  <c r="AG27" i="49"/>
  <c r="AG40" i="49"/>
  <c r="AE27" i="49"/>
  <c r="AE40" i="49"/>
  <c r="Y27" i="49"/>
  <c r="Y40" i="49"/>
  <c r="Z40" i="49"/>
  <c r="Z27" i="49"/>
  <c r="AC27" i="49"/>
  <c r="AC40" i="49"/>
  <c r="AD27" i="49"/>
  <c r="AD40" i="49"/>
  <c r="AH13" i="49"/>
  <c r="AG13" i="49"/>
  <c r="AB13" i="49"/>
  <c r="AF13" i="49"/>
  <c r="W12" i="49"/>
  <c r="AC13" i="49"/>
  <c r="AE13" i="49"/>
  <c r="AD13" i="49"/>
  <c r="AA13" i="49"/>
  <c r="Z13" i="49"/>
  <c r="AI13" i="49"/>
  <c r="Y13" i="49"/>
  <c r="X13" i="49"/>
  <c r="Z41" i="48"/>
  <c r="Z28" i="48"/>
  <c r="Y41" i="48"/>
  <c r="Y28" i="48"/>
  <c r="AC41" i="48"/>
  <c r="AC28" i="48"/>
  <c r="AE41" i="48"/>
  <c r="AE28" i="48"/>
  <c r="AA41" i="48"/>
  <c r="AA28" i="48"/>
  <c r="AH41" i="48"/>
  <c r="AH28" i="48"/>
  <c r="X41" i="48"/>
  <c r="X28" i="48"/>
  <c r="AF28" i="48"/>
  <c r="AF41" i="48"/>
  <c r="AD41" i="48"/>
  <c r="AD28" i="48"/>
  <c r="AI14" i="48"/>
  <c r="AF14" i="48"/>
  <c r="AD14" i="48"/>
  <c r="X14" i="48"/>
  <c r="AH14" i="48"/>
  <c r="AC14" i="48"/>
  <c r="W13" i="48"/>
  <c r="AG14" i="48"/>
  <c r="AB14" i="48"/>
  <c r="AE14" i="48"/>
  <c r="AA14" i="48"/>
  <c r="Z14" i="48"/>
  <c r="Y14" i="48"/>
  <c r="AG41" i="48"/>
  <c r="AG28" i="48"/>
  <c r="AB41" i="48"/>
  <c r="AB28" i="48"/>
  <c r="AI41" i="48"/>
  <c r="AI28" i="48"/>
  <c r="AC29" i="44"/>
  <c r="AC42" i="44"/>
  <c r="AF29" i="44"/>
  <c r="AF42" i="44"/>
  <c r="AH15" i="44"/>
  <c r="AG15" i="44"/>
  <c r="AF15" i="44"/>
  <c r="W14" i="44"/>
  <c r="AE15" i="44"/>
  <c r="AD15" i="44"/>
  <c r="AC15" i="44"/>
  <c r="Z15" i="44"/>
  <c r="Y15" i="44"/>
  <c r="AI15" i="44"/>
  <c r="AB15" i="44"/>
  <c r="AA15" i="44"/>
  <c r="X15" i="44"/>
  <c r="AG29" i="44"/>
  <c r="AG42" i="44"/>
  <c r="AH42" i="44"/>
  <c r="AH29" i="44"/>
  <c r="AI42" i="44"/>
  <c r="AI29" i="44"/>
  <c r="X29" i="44"/>
  <c r="X42" i="44"/>
  <c r="Y42" i="44"/>
  <c r="Y29" i="44"/>
  <c r="Z29" i="44"/>
  <c r="Z42" i="44"/>
  <c r="AA29" i="44"/>
  <c r="AA42" i="44"/>
  <c r="AD42" i="44"/>
  <c r="AD29" i="44"/>
  <c r="AE42" i="44"/>
  <c r="AE29" i="44"/>
  <c r="AB29" i="44"/>
  <c r="AB42" i="44"/>
  <c r="Y43" i="42"/>
  <c r="Y30" i="42"/>
  <c r="AC43" i="42"/>
  <c r="AC30" i="42"/>
  <c r="AD43" i="42"/>
  <c r="AD30" i="42"/>
  <c r="AG30" i="42"/>
  <c r="AG43" i="42"/>
  <c r="AB30" i="42"/>
  <c r="AB43" i="42"/>
  <c r="AA43" i="42"/>
  <c r="AA30" i="42"/>
  <c r="AI43" i="42"/>
  <c r="AI30" i="42"/>
  <c r="X43" i="42"/>
  <c r="X30" i="42"/>
  <c r="Z43" i="42"/>
  <c r="Z30" i="42"/>
  <c r="AF43" i="42"/>
  <c r="AF30" i="42"/>
  <c r="AE43" i="42"/>
  <c r="AE30" i="42"/>
  <c r="AB16" i="42"/>
  <c r="Y16" i="42"/>
  <c r="AG16" i="42"/>
  <c r="AD16" i="42"/>
  <c r="AC16" i="42"/>
  <c r="AA16" i="42"/>
  <c r="AI16" i="42"/>
  <c r="AH16" i="42"/>
  <c r="AE16" i="42"/>
  <c r="Z16" i="42"/>
  <c r="X16" i="42"/>
  <c r="W15" i="42"/>
  <c r="AF16" i="42"/>
  <c r="AH30" i="42"/>
  <c r="AH43" i="42"/>
  <c r="AA32" i="41"/>
  <c r="AA45" i="41"/>
  <c r="AC45" i="41"/>
  <c r="AC32" i="41"/>
  <c r="AD32" i="41"/>
  <c r="AD45" i="41"/>
  <c r="AB45" i="41"/>
  <c r="AB32" i="41"/>
  <c r="AH32" i="41"/>
  <c r="AH45" i="41"/>
  <c r="Y45" i="41"/>
  <c r="Y32" i="41"/>
  <c r="X45" i="41"/>
  <c r="X32" i="41"/>
  <c r="AE45" i="41"/>
  <c r="AE32" i="41"/>
  <c r="AE18" i="41"/>
  <c r="AA18" i="41"/>
  <c r="Y18" i="41"/>
  <c r="AI18" i="41"/>
  <c r="AH18" i="41"/>
  <c r="AG18" i="41"/>
  <c r="AC18" i="41"/>
  <c r="AD18" i="41"/>
  <c r="W17" i="41"/>
  <c r="AB18" i="41"/>
  <c r="Z18" i="41"/>
  <c r="X18" i="41"/>
  <c r="AF18" i="41"/>
  <c r="Z32" i="41"/>
  <c r="Z45" i="41"/>
  <c r="AF45" i="41"/>
  <c r="AF32" i="41"/>
  <c r="AG32" i="41"/>
  <c r="AG45" i="41"/>
  <c r="AI45" i="41"/>
  <c r="AI32" i="41"/>
  <c r="AB21" i="39"/>
  <c r="AA21" i="39"/>
  <c r="Z21" i="39"/>
  <c r="Y21" i="39"/>
  <c r="X21" i="39"/>
  <c r="AI21" i="39"/>
  <c r="AH21" i="39"/>
  <c r="AG21" i="39"/>
  <c r="AF21" i="39"/>
  <c r="W20" i="39"/>
  <c r="AE21" i="39"/>
  <c r="AD21" i="39"/>
  <c r="AC21" i="39"/>
  <c r="W47" i="38"/>
  <c r="W46" i="38" s="1"/>
  <c r="W45" i="38" s="1"/>
  <c r="W44" i="38" s="1"/>
  <c r="W43" i="38" s="1"/>
  <c r="W42" i="38" s="1"/>
  <c r="W41" i="38" s="1"/>
  <c r="W40" i="38" s="1"/>
  <c r="W39" i="38" s="1"/>
  <c r="W38" i="38" s="1"/>
  <c r="W37" i="38" s="1"/>
  <c r="W34" i="38"/>
  <c r="W33" i="38" s="1"/>
  <c r="W32" i="38" s="1"/>
  <c r="W31" i="38" s="1"/>
  <c r="W30" i="38" s="1"/>
  <c r="W29" i="38" s="1"/>
  <c r="W28" i="38" s="1"/>
  <c r="W27" i="38" s="1"/>
  <c r="W26" i="38" s="1"/>
  <c r="W25" i="38" s="1"/>
  <c r="W24" i="38" s="1"/>
  <c r="W21" i="38"/>
  <c r="AK47" i="38"/>
  <c r="AK46" i="38" s="1"/>
  <c r="AK45" i="38" s="1"/>
  <c r="AK44" i="38" s="1"/>
  <c r="AK43" i="38" s="1"/>
  <c r="AK42" i="38" s="1"/>
  <c r="AK41" i="38" s="1"/>
  <c r="AK40" i="38" s="1"/>
  <c r="AK39" i="38" s="1"/>
  <c r="AK38" i="38" s="1"/>
  <c r="AK37" i="38" s="1"/>
  <c r="AK34" i="38"/>
  <c r="AK33" i="38" s="1"/>
  <c r="AK32" i="38" s="1"/>
  <c r="AK31" i="38" s="1"/>
  <c r="AK30" i="38" s="1"/>
  <c r="AK29" i="38" s="1"/>
  <c r="AK28" i="38" s="1"/>
  <c r="AK27" i="38" s="1"/>
  <c r="AK26" i="38" s="1"/>
  <c r="AK25" i="38" s="1"/>
  <c r="AK24" i="38" s="1"/>
  <c r="AK21" i="38"/>
  <c r="AK20" i="38" s="1"/>
  <c r="AK19" i="38" s="1"/>
  <c r="AK18" i="38" s="1"/>
  <c r="AK17" i="38" s="1"/>
  <c r="AK16" i="38" s="1"/>
  <c r="AK15" i="38" s="1"/>
  <c r="AK14" i="38" s="1"/>
  <c r="AK13" i="38" s="1"/>
  <c r="AK12" i="38" s="1"/>
  <c r="AK11" i="38" s="1"/>
  <c r="T55" i="37"/>
  <c r="T35" i="37"/>
  <c r="T14" i="37"/>
  <c r="W34" i="36"/>
  <c r="W33" i="36" s="1"/>
  <c r="W32" i="36" s="1"/>
  <c r="W31" i="36" s="1"/>
  <c r="W30" i="36" s="1"/>
  <c r="W29" i="36" s="1"/>
  <c r="W28" i="36" s="1"/>
  <c r="W27" i="36" s="1"/>
  <c r="W26" i="36" s="1"/>
  <c r="W25" i="36" s="1"/>
  <c r="W24" i="36" s="1"/>
  <c r="AK34" i="35"/>
  <c r="W34" i="35"/>
  <c r="W33" i="35" s="1"/>
  <c r="W32" i="35" s="1"/>
  <c r="AK33" i="35"/>
  <c r="AK32" i="35" s="1"/>
  <c r="AK31" i="35" s="1"/>
  <c r="AK30" i="35" s="1"/>
  <c r="AK29" i="35" s="1"/>
  <c r="AK28" i="35" s="1"/>
  <c r="AK27" i="35" s="1"/>
  <c r="AK26" i="35" s="1"/>
  <c r="AK25" i="35" s="1"/>
  <c r="AK24" i="35" s="1"/>
  <c r="W31" i="35"/>
  <c r="W30" i="35" s="1"/>
  <c r="W29" i="35" s="1"/>
  <c r="W28" i="35" s="1"/>
  <c r="W27" i="35" s="1"/>
  <c r="W26" i="35" s="1"/>
  <c r="W25" i="35" s="1"/>
  <c r="W24" i="35" s="1"/>
  <c r="AK21" i="35"/>
  <c r="AK20" i="35" s="1"/>
  <c r="W21" i="35"/>
  <c r="W20" i="35" s="1"/>
  <c r="AK19" i="35"/>
  <c r="AK18" i="35" s="1"/>
  <c r="AK17" i="35" s="1"/>
  <c r="AK16" i="35" s="1"/>
  <c r="AK15" i="35"/>
  <c r="AK14" i="35" s="1"/>
  <c r="AK13" i="35"/>
  <c r="AK12" i="35" s="1"/>
  <c r="AK11" i="35" s="1"/>
  <c r="Z21" i="35"/>
  <c r="S11" i="1"/>
  <c r="R11" i="1"/>
  <c r="S7" i="1"/>
  <c r="R7" i="1"/>
  <c r="R3" i="1"/>
  <c r="S2" i="1"/>
  <c r="S3" i="1"/>
  <c r="T10" i="1"/>
  <c r="T6" i="1"/>
  <c r="T2" i="1"/>
  <c r="AO12" i="52" l="1"/>
  <c r="AO25" i="52" s="1"/>
  <c r="AD24" i="52"/>
  <c r="AR11" i="52"/>
  <c r="AD37" i="52"/>
  <c r="AP11" i="52"/>
  <c r="AB24" i="52"/>
  <c r="AB37" i="52"/>
  <c r="AW12" i="52"/>
  <c r="Z24" i="52"/>
  <c r="AN11" i="52"/>
  <c r="Z37" i="52"/>
  <c r="AR12" i="52"/>
  <c r="AN12" i="52"/>
  <c r="AF37" i="52"/>
  <c r="AF24" i="52"/>
  <c r="AT11" i="52"/>
  <c r="AO11" i="52"/>
  <c r="AA24" i="52"/>
  <c r="AA37" i="52"/>
  <c r="AS12" i="52"/>
  <c r="AU12" i="52"/>
  <c r="AH37" i="52"/>
  <c r="AH24" i="52"/>
  <c r="AV11" i="52"/>
  <c r="AM12" i="52"/>
  <c r="AT12" i="52"/>
  <c r="AL12" i="52"/>
  <c r="AC37" i="52"/>
  <c r="AQ11" i="52"/>
  <c r="AC24" i="52"/>
  <c r="AL11" i="52"/>
  <c r="X24" i="52"/>
  <c r="X37" i="52"/>
  <c r="AM21" i="52"/>
  <c r="AW21" i="52"/>
  <c r="AQ21" i="52"/>
  <c r="AO21" i="52"/>
  <c r="AS21" i="52"/>
  <c r="AT21" i="52"/>
  <c r="AR21" i="52"/>
  <c r="AP21" i="52"/>
  <c r="AV21" i="52"/>
  <c r="AN21" i="52"/>
  <c r="AU21" i="52"/>
  <c r="AL21" i="52"/>
  <c r="AW20" i="52"/>
  <c r="AM20" i="52"/>
  <c r="AT20" i="52"/>
  <c r="AP20" i="52"/>
  <c r="AS20" i="52"/>
  <c r="AN20" i="52"/>
  <c r="AL20" i="52"/>
  <c r="AO20" i="52"/>
  <c r="AV20" i="52"/>
  <c r="AU20" i="52"/>
  <c r="AR20" i="52"/>
  <c r="AQ20" i="52"/>
  <c r="AM19" i="52"/>
  <c r="AS19" i="52"/>
  <c r="AT19" i="52"/>
  <c r="AR19" i="52"/>
  <c r="AV19" i="52"/>
  <c r="AQ19" i="52"/>
  <c r="AP19" i="52"/>
  <c r="AW19" i="52"/>
  <c r="AU19" i="52"/>
  <c r="AN19" i="52"/>
  <c r="AL19" i="52"/>
  <c r="AO19" i="52"/>
  <c r="AN18" i="52"/>
  <c r="AQ18" i="52"/>
  <c r="AT18" i="52"/>
  <c r="AW18" i="52"/>
  <c r="AP18" i="52"/>
  <c r="AU18" i="52"/>
  <c r="AL18" i="52"/>
  <c r="AO18" i="52"/>
  <c r="AS18" i="52"/>
  <c r="AM18" i="52"/>
  <c r="AV18" i="52"/>
  <c r="AR18" i="52"/>
  <c r="AR17" i="52"/>
  <c r="AQ17" i="52"/>
  <c r="AL17" i="52"/>
  <c r="AU17" i="52"/>
  <c r="AM17" i="52"/>
  <c r="AS17" i="52"/>
  <c r="AV17" i="52"/>
  <c r="AO17" i="52"/>
  <c r="AN17" i="52"/>
  <c r="AP17" i="52"/>
  <c r="AT17" i="52"/>
  <c r="AW17" i="52"/>
  <c r="AT16" i="52"/>
  <c r="AL16" i="52"/>
  <c r="AV16" i="52"/>
  <c r="AS16" i="52"/>
  <c r="AW16" i="52"/>
  <c r="AR16" i="52"/>
  <c r="AP16" i="52"/>
  <c r="AU16" i="52"/>
  <c r="AM16" i="52"/>
  <c r="AO16" i="52"/>
  <c r="AQ16" i="52"/>
  <c r="AN16" i="52"/>
  <c r="AT15" i="52"/>
  <c r="AP15" i="52"/>
  <c r="AS15" i="52"/>
  <c r="AV15" i="52"/>
  <c r="AQ15" i="52"/>
  <c r="AO15" i="52"/>
  <c r="AN15" i="52"/>
  <c r="AW15" i="52"/>
  <c r="AL15" i="52"/>
  <c r="AR15" i="52"/>
  <c r="AM15" i="52"/>
  <c r="AU15" i="52"/>
  <c r="AM14" i="52"/>
  <c r="AO14" i="52"/>
  <c r="AT14" i="52"/>
  <c r="AP14" i="52"/>
  <c r="AV14" i="52"/>
  <c r="AR14" i="52"/>
  <c r="AQ14" i="52"/>
  <c r="AU14" i="52"/>
  <c r="AS14" i="52"/>
  <c r="AW14" i="52"/>
  <c r="AL14" i="52"/>
  <c r="AN14" i="52"/>
  <c r="AM13" i="52"/>
  <c r="AW13" i="52"/>
  <c r="AP13" i="52"/>
  <c r="AQ13" i="52"/>
  <c r="AR13" i="52"/>
  <c r="AT13" i="52"/>
  <c r="AN13" i="52"/>
  <c r="AU13" i="52"/>
  <c r="AO13" i="52"/>
  <c r="AS13" i="52"/>
  <c r="AV13" i="52"/>
  <c r="AL13" i="52"/>
  <c r="AG37" i="52"/>
  <c r="AU11" i="52"/>
  <c r="AG24" i="52"/>
  <c r="AP12" i="52"/>
  <c r="AV12" i="52"/>
  <c r="AE37" i="52"/>
  <c r="AE24" i="52"/>
  <c r="AS11" i="52"/>
  <c r="AW11" i="52"/>
  <c r="AI37" i="52"/>
  <c r="AI24" i="52"/>
  <c r="AQ12" i="52"/>
  <c r="Y24" i="52"/>
  <c r="AM11" i="52"/>
  <c r="Y37" i="52"/>
  <c r="AI25" i="51"/>
  <c r="AI38" i="51"/>
  <c r="AF11" i="51"/>
  <c r="AE11" i="51"/>
  <c r="AH11" i="51"/>
  <c r="AC11" i="51"/>
  <c r="AA11" i="51"/>
  <c r="X11" i="51"/>
  <c r="AB11" i="51"/>
  <c r="Z11" i="51"/>
  <c r="Y11" i="51"/>
  <c r="AD11" i="51"/>
  <c r="AI11" i="51"/>
  <c r="AG11" i="51"/>
  <c r="AG38" i="51"/>
  <c r="AG25" i="51"/>
  <c r="AE25" i="51"/>
  <c r="AE38" i="51"/>
  <c r="Y38" i="51"/>
  <c r="Y25" i="51"/>
  <c r="X25" i="51"/>
  <c r="X38" i="51"/>
  <c r="AB25" i="51"/>
  <c r="AB38" i="51"/>
  <c r="Z25" i="51"/>
  <c r="Z38" i="51"/>
  <c r="AA25" i="51"/>
  <c r="AA38" i="51"/>
  <c r="AH38" i="51"/>
  <c r="AH25" i="51"/>
  <c r="AF38" i="51"/>
  <c r="AF25" i="51"/>
  <c r="AC25" i="51"/>
  <c r="AC38" i="51"/>
  <c r="AD25" i="51"/>
  <c r="AD38" i="51"/>
  <c r="W11" i="50"/>
  <c r="Y12" i="50"/>
  <c r="X12" i="50"/>
  <c r="AH12" i="50"/>
  <c r="AG12" i="50"/>
  <c r="AF12" i="50"/>
  <c r="AE12" i="50"/>
  <c r="AD12" i="50"/>
  <c r="AB12" i="50"/>
  <c r="AA12" i="50"/>
  <c r="Z12" i="50"/>
  <c r="AI12" i="50"/>
  <c r="AC12" i="50"/>
  <c r="AF39" i="50"/>
  <c r="AF26" i="50"/>
  <c r="AH26" i="50"/>
  <c r="AH39" i="50"/>
  <c r="AC26" i="50"/>
  <c r="AC39" i="50"/>
  <c r="AG26" i="50"/>
  <c r="AG39" i="50"/>
  <c r="Y39" i="50"/>
  <c r="Y26" i="50"/>
  <c r="X39" i="50"/>
  <c r="X26" i="50"/>
  <c r="Z26" i="50"/>
  <c r="Z39" i="50"/>
  <c r="AB26" i="50"/>
  <c r="AB39" i="50"/>
  <c r="AA26" i="50"/>
  <c r="AA39" i="50"/>
  <c r="AI39" i="50"/>
  <c r="AI26" i="50"/>
  <c r="AD26" i="50"/>
  <c r="AD39" i="50"/>
  <c r="AE39" i="50"/>
  <c r="AE26" i="50"/>
  <c r="Z26" i="49"/>
  <c r="Z39" i="49"/>
  <c r="AC26" i="49"/>
  <c r="AC39" i="49"/>
  <c r="AG12" i="49"/>
  <c r="X12" i="49"/>
  <c r="AI12" i="49"/>
  <c r="AH12" i="49"/>
  <c r="AF12" i="49"/>
  <c r="AE12" i="49"/>
  <c r="AD12" i="49"/>
  <c r="AB12" i="49"/>
  <c r="W11" i="49"/>
  <c r="AA12" i="49"/>
  <c r="Z12" i="49"/>
  <c r="Y12" i="49"/>
  <c r="AC12" i="49"/>
  <c r="AD26" i="49"/>
  <c r="AD39" i="49"/>
  <c r="Y26" i="49"/>
  <c r="Y39" i="49"/>
  <c r="AF39" i="49"/>
  <c r="AF26" i="49"/>
  <c r="AI39" i="49"/>
  <c r="AI26" i="49"/>
  <c r="AE39" i="49"/>
  <c r="AE26" i="49"/>
  <c r="AG39" i="49"/>
  <c r="AG26" i="49"/>
  <c r="AA26" i="49"/>
  <c r="AA39" i="49"/>
  <c r="AH39" i="49"/>
  <c r="AH26" i="49"/>
  <c r="AB26" i="49"/>
  <c r="AB39" i="49"/>
  <c r="X26" i="49"/>
  <c r="X39" i="49"/>
  <c r="AF40" i="48"/>
  <c r="AF27" i="48"/>
  <c r="AI40" i="48"/>
  <c r="AI27" i="48"/>
  <c r="AE27" i="48"/>
  <c r="AE40" i="48"/>
  <c r="AG40" i="48"/>
  <c r="AG27" i="48"/>
  <c r="X40" i="48"/>
  <c r="X27" i="48"/>
  <c r="AA40" i="48"/>
  <c r="AA27" i="48"/>
  <c r="AG13" i="48"/>
  <c r="AF13" i="48"/>
  <c r="W12" i="48"/>
  <c r="AI13" i="48"/>
  <c r="AH13" i="48"/>
  <c r="AD13" i="48"/>
  <c r="AE13" i="48"/>
  <c r="AA13" i="48"/>
  <c r="AC13" i="48"/>
  <c r="AB13" i="48"/>
  <c r="Z13" i="48"/>
  <c r="Y13" i="48"/>
  <c r="X13" i="48"/>
  <c r="Z40" i="48"/>
  <c r="Z27" i="48"/>
  <c r="AC27" i="48"/>
  <c r="AC40" i="48"/>
  <c r="AD27" i="48"/>
  <c r="AD40" i="48"/>
  <c r="Y40" i="48"/>
  <c r="Y27" i="48"/>
  <c r="AB27" i="48"/>
  <c r="AB40" i="48"/>
  <c r="AH40" i="48"/>
  <c r="AH27" i="48"/>
  <c r="AD41" i="44"/>
  <c r="AD28" i="44"/>
  <c r="AE28" i="44"/>
  <c r="AE41" i="44"/>
  <c r="AC14" i="44"/>
  <c r="AB14" i="44"/>
  <c r="Y14" i="44"/>
  <c r="X14" i="44"/>
  <c r="AG14" i="44"/>
  <c r="AF14" i="44"/>
  <c r="W13" i="44"/>
  <c r="AD14" i="44"/>
  <c r="AI14" i="44"/>
  <c r="AE14" i="44"/>
  <c r="AH14" i="44"/>
  <c r="AA14" i="44"/>
  <c r="Z14" i="44"/>
  <c r="AF28" i="44"/>
  <c r="AF41" i="44"/>
  <c r="AG28" i="44"/>
  <c r="AG41" i="44"/>
  <c r="AH28" i="44"/>
  <c r="AH41" i="44"/>
  <c r="AC41" i="44"/>
  <c r="AC28" i="44"/>
  <c r="Z41" i="44"/>
  <c r="Z28" i="44"/>
  <c r="X28" i="44"/>
  <c r="X41" i="44"/>
  <c r="AA28" i="44"/>
  <c r="AA41" i="44"/>
  <c r="AB28" i="44"/>
  <c r="AB41" i="44"/>
  <c r="AI28" i="44"/>
  <c r="AI41" i="44"/>
  <c r="Y41" i="44"/>
  <c r="Y28" i="44"/>
  <c r="AC42" i="42"/>
  <c r="AC29" i="42"/>
  <c r="AD29" i="42"/>
  <c r="AD42" i="42"/>
  <c r="Y29" i="42"/>
  <c r="Y42" i="42"/>
  <c r="AG42" i="42"/>
  <c r="AG29" i="42"/>
  <c r="AB29" i="42"/>
  <c r="AB42" i="42"/>
  <c r="AI15" i="42"/>
  <c r="AF15" i="42"/>
  <c r="W14" i="42"/>
  <c r="AD15" i="42"/>
  <c r="AC15" i="42"/>
  <c r="X15" i="42"/>
  <c r="AG15" i="42"/>
  <c r="AH15" i="42"/>
  <c r="Y15" i="42"/>
  <c r="AE15" i="42"/>
  <c r="Z15" i="42"/>
  <c r="AB15" i="42"/>
  <c r="AA15" i="42"/>
  <c r="AA29" i="42"/>
  <c r="AA42" i="42"/>
  <c r="AF42" i="42"/>
  <c r="AF29" i="42"/>
  <c r="Z42" i="42"/>
  <c r="Z29" i="42"/>
  <c r="AE42" i="42"/>
  <c r="AE29" i="42"/>
  <c r="AH42" i="42"/>
  <c r="AH29" i="42"/>
  <c r="X29" i="42"/>
  <c r="X42" i="42"/>
  <c r="AI29" i="42"/>
  <c r="AI42" i="42"/>
  <c r="X31" i="41"/>
  <c r="X44" i="41"/>
  <c r="Z44" i="41"/>
  <c r="Z31" i="41"/>
  <c r="AB31" i="41"/>
  <c r="AB44" i="41"/>
  <c r="AF31" i="41"/>
  <c r="AF44" i="41"/>
  <c r="AH17" i="41"/>
  <c r="AF17" i="41"/>
  <c r="W16" i="41"/>
  <c r="AC17" i="41"/>
  <c r="Z17" i="41"/>
  <c r="AG17" i="41"/>
  <c r="AD17" i="41"/>
  <c r="AA17" i="41"/>
  <c r="Y17" i="41"/>
  <c r="AI17" i="41"/>
  <c r="AE17" i="41"/>
  <c r="AB17" i="41"/>
  <c r="X17" i="41"/>
  <c r="AD31" i="41"/>
  <c r="AD44" i="41"/>
  <c r="AC31" i="41"/>
  <c r="AC44" i="41"/>
  <c r="AG31" i="41"/>
  <c r="AG44" i="41"/>
  <c r="AI44" i="41"/>
  <c r="AI31" i="41"/>
  <c r="AH31" i="41"/>
  <c r="AH44" i="41"/>
  <c r="Y44" i="41"/>
  <c r="Y31" i="41"/>
  <c r="AA31" i="41"/>
  <c r="AA44" i="41"/>
  <c r="AE44" i="41"/>
  <c r="AE31" i="41"/>
  <c r="AC34" i="39"/>
  <c r="AC47" i="39"/>
  <c r="AD34" i="39"/>
  <c r="AD47" i="39"/>
  <c r="AE47" i="39"/>
  <c r="AE34" i="39"/>
  <c r="X34" i="39"/>
  <c r="X47" i="39"/>
  <c r="AI20" i="39"/>
  <c r="AH20" i="39"/>
  <c r="AG20" i="39"/>
  <c r="AF20" i="39"/>
  <c r="W19" i="39"/>
  <c r="AE20" i="39"/>
  <c r="AD20" i="39"/>
  <c r="AC20" i="39"/>
  <c r="AB20" i="39"/>
  <c r="AA20" i="39"/>
  <c r="Z20" i="39"/>
  <c r="Y20" i="39"/>
  <c r="X20" i="39"/>
  <c r="AF47" i="39"/>
  <c r="AF34" i="39"/>
  <c r="AG47" i="39"/>
  <c r="AG34" i="39"/>
  <c r="AH34" i="39"/>
  <c r="AH47" i="39"/>
  <c r="AI34" i="39"/>
  <c r="AI47" i="39"/>
  <c r="Y34" i="39"/>
  <c r="Y47" i="39"/>
  <c r="Z34" i="39"/>
  <c r="Z47" i="39"/>
  <c r="AA34" i="39"/>
  <c r="AA47" i="39"/>
  <c r="AB34" i="39"/>
  <c r="AB47" i="39"/>
  <c r="AI21" i="38"/>
  <c r="AH21" i="38"/>
  <c r="AF21" i="38"/>
  <c r="Z21" i="38"/>
  <c r="W20" i="38"/>
  <c r="AE21" i="38"/>
  <c r="Y21" i="38"/>
  <c r="AC21" i="38"/>
  <c r="AD21" i="38"/>
  <c r="X21" i="38"/>
  <c r="AG21" i="38"/>
  <c r="AB21" i="38"/>
  <c r="AA21" i="38"/>
  <c r="AK47" i="36"/>
  <c r="AK46" i="36" s="1"/>
  <c r="AK45" i="36" s="1"/>
  <c r="AK44" i="36" s="1"/>
  <c r="AK43" i="36" s="1"/>
  <c r="AK42" i="36" s="1"/>
  <c r="AK41" i="36" s="1"/>
  <c r="AK40" i="36" s="1"/>
  <c r="AK39" i="36" s="1"/>
  <c r="AK38" i="36" s="1"/>
  <c r="AK37" i="36" s="1"/>
  <c r="AK34" i="36"/>
  <c r="AK33" i="36" s="1"/>
  <c r="AK32" i="36" s="1"/>
  <c r="AK31" i="36" s="1"/>
  <c r="AK30" i="36" s="1"/>
  <c r="AK29" i="36" s="1"/>
  <c r="AK28" i="36" s="1"/>
  <c r="AK27" i="36" s="1"/>
  <c r="AK26" i="36" s="1"/>
  <c r="AK25" i="36" s="1"/>
  <c r="AK24" i="36" s="1"/>
  <c r="AK21" i="36"/>
  <c r="AK20" i="36" s="1"/>
  <c r="AK19" i="36" s="1"/>
  <c r="AK18" i="36" s="1"/>
  <c r="AK17" i="36" s="1"/>
  <c r="AK16" i="36" s="1"/>
  <c r="AK15" i="36" s="1"/>
  <c r="AK14" i="36" s="1"/>
  <c r="AK13" i="36" s="1"/>
  <c r="AK12" i="36" s="1"/>
  <c r="AK11" i="36" s="1"/>
  <c r="W21" i="36"/>
  <c r="W47" i="36"/>
  <c r="W46" i="36" s="1"/>
  <c r="W45" i="36" s="1"/>
  <c r="W44" i="36" s="1"/>
  <c r="W43" i="36" s="1"/>
  <c r="W42" i="36" s="1"/>
  <c r="W41" i="36" s="1"/>
  <c r="W40" i="36" s="1"/>
  <c r="W39" i="36" s="1"/>
  <c r="W38" i="36" s="1"/>
  <c r="W37" i="36" s="1"/>
  <c r="Z34" i="35"/>
  <c r="Z47" i="35"/>
  <c r="Y20" i="35"/>
  <c r="AF21" i="35"/>
  <c r="AE20" i="35"/>
  <c r="AB21" i="35"/>
  <c r="AD20" i="35"/>
  <c r="X20" i="35"/>
  <c r="AH20" i="35"/>
  <c r="AA20" i="35"/>
  <c r="W19" i="35"/>
  <c r="AF20" i="35"/>
  <c r="AC21" i="35"/>
  <c r="AG20" i="35"/>
  <c r="Z20" i="35"/>
  <c r="AI20" i="35"/>
  <c r="AH21" i="35"/>
  <c r="AB20" i="35"/>
  <c r="Y21" i="35"/>
  <c r="AI21" i="35"/>
  <c r="AC20" i="35"/>
  <c r="AG21" i="35"/>
  <c r="AA21" i="35"/>
  <c r="AD21" i="35"/>
  <c r="AK47" i="35"/>
  <c r="AK46" i="35" s="1"/>
  <c r="AK45" i="35" s="1"/>
  <c r="AK44" i="35" s="1"/>
  <c r="AK43" i="35" s="1"/>
  <c r="AK42" i="35" s="1"/>
  <c r="AK41" i="35" s="1"/>
  <c r="AK40" i="35" s="1"/>
  <c r="AK39" i="35" s="1"/>
  <c r="AK38" i="35" s="1"/>
  <c r="AK37" i="35" s="1"/>
  <c r="W47" i="35"/>
  <c r="W46" i="35" s="1"/>
  <c r="W45" i="35" s="1"/>
  <c r="W44" i="35" s="1"/>
  <c r="W43" i="35" s="1"/>
  <c r="W42" i="35" s="1"/>
  <c r="W41" i="35" s="1"/>
  <c r="W40" i="35" s="1"/>
  <c r="W39" i="35" s="1"/>
  <c r="W38" i="35" s="1"/>
  <c r="W37" i="35" s="1"/>
  <c r="X21" i="35"/>
  <c r="AE21" i="35"/>
  <c r="AO38" i="52" l="1"/>
  <c r="AL37" i="52"/>
  <c r="AL24" i="52"/>
  <c r="AQ41" i="52"/>
  <c r="AQ28" i="52"/>
  <c r="AN40" i="52"/>
  <c r="AN27" i="52"/>
  <c r="AN25" i="52"/>
  <c r="AN38" i="52"/>
  <c r="AN32" i="52"/>
  <c r="AN45" i="52"/>
  <c r="AT41" i="52"/>
  <c r="AT28" i="52"/>
  <c r="AU40" i="52"/>
  <c r="AU27" i="52"/>
  <c r="AW32" i="52"/>
  <c r="AW45" i="52"/>
  <c r="AQ42" i="52"/>
  <c r="AQ29" i="52"/>
  <c r="AU47" i="52"/>
  <c r="AU34" i="52"/>
  <c r="AU24" i="52"/>
  <c r="AU37" i="52"/>
  <c r="AR40" i="52"/>
  <c r="AR27" i="52"/>
  <c r="AO42" i="52"/>
  <c r="AO29" i="52"/>
  <c r="AQ43" i="52"/>
  <c r="AQ30" i="52"/>
  <c r="AQ45" i="52"/>
  <c r="AQ32" i="52"/>
  <c r="AN47" i="52"/>
  <c r="AN34" i="52"/>
  <c r="AM25" i="52"/>
  <c r="AM38" i="52"/>
  <c r="AS24" i="52"/>
  <c r="AS37" i="52"/>
  <c r="AN46" i="52"/>
  <c r="AN33" i="52"/>
  <c r="AS46" i="52"/>
  <c r="AS33" i="52"/>
  <c r="AV28" i="52"/>
  <c r="AV41" i="52"/>
  <c r="AQ37" i="52"/>
  <c r="AQ24" i="52"/>
  <c r="AS30" i="52"/>
  <c r="AS43" i="52"/>
  <c r="AS27" i="52"/>
  <c r="AS40" i="52"/>
  <c r="AU30" i="52"/>
  <c r="AU43" i="52"/>
  <c r="AL43" i="52"/>
  <c r="AL30" i="52"/>
  <c r="AT38" i="52"/>
  <c r="AT25" i="52"/>
  <c r="AV40" i="52"/>
  <c r="AV27" i="52"/>
  <c r="AM42" i="52"/>
  <c r="AM29" i="52"/>
  <c r="AR30" i="52"/>
  <c r="AR43" i="52"/>
  <c r="AV32" i="52"/>
  <c r="AV45" i="52"/>
  <c r="AV47" i="52"/>
  <c r="AV34" i="52"/>
  <c r="AV37" i="52"/>
  <c r="AV24" i="52"/>
  <c r="AW25" i="52"/>
  <c r="AW38" i="52"/>
  <c r="AN30" i="52"/>
  <c r="AN43" i="52"/>
  <c r="AP41" i="52"/>
  <c r="AP28" i="52"/>
  <c r="AL38" i="52"/>
  <c r="AL25" i="52"/>
  <c r="AR44" i="52"/>
  <c r="AR31" i="52"/>
  <c r="AR45" i="52"/>
  <c r="AR32" i="52"/>
  <c r="AP47" i="52"/>
  <c r="AP34" i="52"/>
  <c r="AW26" i="52"/>
  <c r="AW39" i="52"/>
  <c r="F9" i="52"/>
  <c r="AO45" i="52"/>
  <c r="AO32" i="52"/>
  <c r="AT46" i="52"/>
  <c r="AT33" i="52"/>
  <c r="AM46" i="52"/>
  <c r="AM33" i="52"/>
  <c r="AM43" i="52"/>
  <c r="AM30" i="52"/>
  <c r="AN29" i="52"/>
  <c r="AN42" i="52"/>
  <c r="AL34" i="52"/>
  <c r="AL47" i="52"/>
  <c r="AP45" i="52"/>
  <c r="AP32" i="52"/>
  <c r="AU42" i="52"/>
  <c r="AU29" i="52"/>
  <c r="AT40" i="52"/>
  <c r="AT27" i="52"/>
  <c r="AV44" i="52"/>
  <c r="AV31" i="52"/>
  <c r="AR47" i="52"/>
  <c r="AR34" i="52"/>
  <c r="AM37" i="52"/>
  <c r="AM24" i="52"/>
  <c r="AS39" i="52"/>
  <c r="AS26" i="52"/>
  <c r="AO40" i="52"/>
  <c r="AO27" i="52"/>
  <c r="AR42" i="52"/>
  <c r="AR29" i="52"/>
  <c r="AM31" i="52"/>
  <c r="AM44" i="52"/>
  <c r="AS45" i="52"/>
  <c r="AS32" i="52"/>
  <c r="AT47" i="52"/>
  <c r="AT34" i="52"/>
  <c r="AO41" i="52"/>
  <c r="AO28" i="52"/>
  <c r="AP33" i="52"/>
  <c r="AP46" i="52"/>
  <c r="AL40" i="52"/>
  <c r="AL27" i="52"/>
  <c r="AR25" i="52"/>
  <c r="AR38" i="52"/>
  <c r="AU32" i="52"/>
  <c r="AU45" i="52"/>
  <c r="AN24" i="52"/>
  <c r="AN37" i="52"/>
  <c r="AQ40" i="52"/>
  <c r="AQ27" i="52"/>
  <c r="AL39" i="52"/>
  <c r="AL26" i="52"/>
  <c r="AP27" i="52"/>
  <c r="AP40" i="52"/>
  <c r="AV39" i="52"/>
  <c r="AV26" i="52"/>
  <c r="AP42" i="52"/>
  <c r="AP29" i="52"/>
  <c r="AT32" i="52"/>
  <c r="AT45" i="52"/>
  <c r="AO26" i="52"/>
  <c r="AO39" i="52"/>
  <c r="AM40" i="52"/>
  <c r="AM27" i="52"/>
  <c r="AW29" i="52"/>
  <c r="AW42" i="52"/>
  <c r="AS31" i="52"/>
  <c r="AS44" i="52"/>
  <c r="AM32" i="52"/>
  <c r="AM45" i="52"/>
  <c r="AS47" i="52"/>
  <c r="AS34" i="52"/>
  <c r="AU38" i="52"/>
  <c r="AU25" i="52"/>
  <c r="AP24" i="52"/>
  <c r="AP37" i="52"/>
  <c r="AQ44" i="52"/>
  <c r="AQ31" i="52"/>
  <c r="AN31" i="52"/>
  <c r="AN44" i="52"/>
  <c r="AO30" i="52"/>
  <c r="AO43" i="52"/>
  <c r="AL45" i="52"/>
  <c r="AL32" i="52"/>
  <c r="AW40" i="52"/>
  <c r="AW27" i="52"/>
  <c r="AS29" i="52"/>
  <c r="AS42" i="52"/>
  <c r="AO47" i="52"/>
  <c r="AO34" i="52"/>
  <c r="AQ38" i="52"/>
  <c r="AQ25" i="52"/>
  <c r="AV42" i="52"/>
  <c r="AV29" i="52"/>
  <c r="AR33" i="52"/>
  <c r="AR46" i="52"/>
  <c r="AR41" i="52"/>
  <c r="AR28" i="52"/>
  <c r="AU33" i="52"/>
  <c r="AU46" i="52"/>
  <c r="AR24" i="52"/>
  <c r="AR37" i="52"/>
  <c r="AR39" i="52"/>
  <c r="AR26" i="52"/>
  <c r="AL41" i="52"/>
  <c r="AL28" i="52"/>
  <c r="AT42" i="52"/>
  <c r="AT29" i="52"/>
  <c r="AP44" i="52"/>
  <c r="AP31" i="52"/>
  <c r="AV33" i="52"/>
  <c r="AV46" i="52"/>
  <c r="AM47" i="52"/>
  <c r="AM34" i="52"/>
  <c r="AO24" i="52"/>
  <c r="AO37" i="52"/>
  <c r="AT24" i="52"/>
  <c r="AT37" i="52"/>
  <c r="AS28" i="52"/>
  <c r="AS41" i="52"/>
  <c r="AW33" i="52"/>
  <c r="AW46" i="52"/>
  <c r="AU41" i="52"/>
  <c r="AU28" i="52"/>
  <c r="AO44" i="52"/>
  <c r="AO31" i="52"/>
  <c r="AS38" i="52"/>
  <c r="AS25" i="52"/>
  <c r="AN26" i="52"/>
  <c r="AN39" i="52"/>
  <c r="AL31" i="52"/>
  <c r="AL44" i="52"/>
  <c r="AT39" i="52"/>
  <c r="AT26" i="52"/>
  <c r="AU44" i="52"/>
  <c r="AU31" i="52"/>
  <c r="AW47" i="52"/>
  <c r="AW34" i="52"/>
  <c r="AQ26" i="52"/>
  <c r="AQ39" i="52"/>
  <c r="AW28" i="52"/>
  <c r="AW41" i="52"/>
  <c r="AW30" i="52"/>
  <c r="AW43" i="52"/>
  <c r="AW44" i="52"/>
  <c r="AW31" i="52"/>
  <c r="AO33" i="52"/>
  <c r="AO46" i="52"/>
  <c r="F35" i="52"/>
  <c r="AP43" i="52"/>
  <c r="AP30" i="52"/>
  <c r="AM39" i="52"/>
  <c r="AM26" i="52"/>
  <c r="AV30" i="52"/>
  <c r="AV43" i="52"/>
  <c r="AV25" i="52"/>
  <c r="AV38" i="52"/>
  <c r="AP38" i="52"/>
  <c r="AP25" i="52"/>
  <c r="AU26" i="52"/>
  <c r="AU39" i="52"/>
  <c r="AQ33" i="52"/>
  <c r="AQ46" i="52"/>
  <c r="AM41" i="52"/>
  <c r="AM28" i="52"/>
  <c r="AQ47" i="52"/>
  <c r="AQ34" i="52"/>
  <c r="AL29" i="52"/>
  <c r="AL42" i="52"/>
  <c r="AW24" i="52"/>
  <c r="AW37" i="52"/>
  <c r="AP39" i="52"/>
  <c r="AP26" i="52"/>
  <c r="AN41" i="52"/>
  <c r="AN28" i="52"/>
  <c r="AT30" i="52"/>
  <c r="AT43" i="52"/>
  <c r="AT31" i="52"/>
  <c r="AT44" i="52"/>
  <c r="AL46" i="52"/>
  <c r="AL33" i="52"/>
  <c r="F22" i="52"/>
  <c r="AP12" i="51"/>
  <c r="AP38" i="51" s="1"/>
  <c r="AW12" i="51"/>
  <c r="AP25" i="51"/>
  <c r="AW25" i="51"/>
  <c r="AW38" i="51"/>
  <c r="AR11" i="51"/>
  <c r="AD24" i="51"/>
  <c r="AD37" i="51"/>
  <c r="AG37" i="51"/>
  <c r="AG24" i="51"/>
  <c r="AU11" i="51"/>
  <c r="AR12" i="51"/>
  <c r="AN12" i="51"/>
  <c r="AL12" i="51"/>
  <c r="AA24" i="51"/>
  <c r="AO11" i="51"/>
  <c r="AA37" i="51"/>
  <c r="AV12" i="51"/>
  <c r="AU12" i="51"/>
  <c r="AM11" i="51"/>
  <c r="Y24" i="51"/>
  <c r="Y37" i="51"/>
  <c r="AH37" i="51"/>
  <c r="AH24" i="51"/>
  <c r="AV11" i="51"/>
  <c r="AB24" i="51"/>
  <c r="AP11" i="51"/>
  <c r="AB37" i="51"/>
  <c r="AS11" i="51"/>
  <c r="AE37" i="51"/>
  <c r="AE24" i="51"/>
  <c r="AO12" i="51"/>
  <c r="AQ12" i="51"/>
  <c r="AL11" i="51"/>
  <c r="X24" i="51"/>
  <c r="X37" i="51"/>
  <c r="AV21" i="51"/>
  <c r="AR21" i="51"/>
  <c r="AL21" i="51"/>
  <c r="AQ21" i="51"/>
  <c r="AS21" i="51"/>
  <c r="AN21" i="51"/>
  <c r="AW21" i="51"/>
  <c r="AT21" i="51"/>
  <c r="AM21" i="51"/>
  <c r="AP21" i="51"/>
  <c r="AO21" i="51"/>
  <c r="AU21" i="51"/>
  <c r="AV20" i="51"/>
  <c r="AP20" i="51"/>
  <c r="AS20" i="51"/>
  <c r="AQ20" i="51"/>
  <c r="AT20" i="51"/>
  <c r="AL20" i="51"/>
  <c r="AW20" i="51"/>
  <c r="AR20" i="51"/>
  <c r="AO20" i="51"/>
  <c r="AU20" i="51"/>
  <c r="AM20" i="51"/>
  <c r="AN20" i="51"/>
  <c r="AU19" i="51"/>
  <c r="AR19" i="51"/>
  <c r="AL19" i="51"/>
  <c r="AV19" i="51"/>
  <c r="AM19" i="51"/>
  <c r="AQ19" i="51"/>
  <c r="AN19" i="51"/>
  <c r="AT19" i="51"/>
  <c r="AO19" i="51"/>
  <c r="AW19" i="51"/>
  <c r="AS19" i="51"/>
  <c r="AP19" i="51"/>
  <c r="AU18" i="51"/>
  <c r="AL18" i="51"/>
  <c r="AV18" i="51"/>
  <c r="AR18" i="51"/>
  <c r="AQ18" i="51"/>
  <c r="AO18" i="51"/>
  <c r="AW18" i="51"/>
  <c r="AS18" i="51"/>
  <c r="AT18" i="51"/>
  <c r="AM18" i="51"/>
  <c r="AP18" i="51"/>
  <c r="AN18" i="51"/>
  <c r="AP17" i="51"/>
  <c r="AL17" i="51"/>
  <c r="AU17" i="51"/>
  <c r="AS17" i="51"/>
  <c r="AW17" i="51"/>
  <c r="AR17" i="51"/>
  <c r="AT17" i="51"/>
  <c r="AO17" i="51"/>
  <c r="AV17" i="51"/>
  <c r="AQ17" i="51"/>
  <c r="AM17" i="51"/>
  <c r="AN17" i="51"/>
  <c r="AL16" i="51"/>
  <c r="AP16" i="51"/>
  <c r="AM16" i="51"/>
  <c r="AT16" i="51"/>
  <c r="AR16" i="51"/>
  <c r="AW16" i="51"/>
  <c r="AV16" i="51"/>
  <c r="AU16" i="51"/>
  <c r="AS16" i="51"/>
  <c r="AO16" i="51"/>
  <c r="AQ16" i="51"/>
  <c r="AN16" i="51"/>
  <c r="AL15" i="51"/>
  <c r="AW15" i="51"/>
  <c r="AM15" i="51"/>
  <c r="AS15" i="51"/>
  <c r="AN15" i="51"/>
  <c r="AU15" i="51"/>
  <c r="AP15" i="51"/>
  <c r="AO15" i="51"/>
  <c r="AR15" i="51"/>
  <c r="AT15" i="51"/>
  <c r="AV15" i="51"/>
  <c r="AQ15" i="51"/>
  <c r="AP14" i="51"/>
  <c r="AM14" i="51"/>
  <c r="AL14" i="51"/>
  <c r="AR14" i="51"/>
  <c r="AS14" i="51"/>
  <c r="AW14" i="51"/>
  <c r="AU14" i="51"/>
  <c r="AV14" i="51"/>
  <c r="AN14" i="51"/>
  <c r="AT14" i="51"/>
  <c r="AO14" i="51"/>
  <c r="AQ14" i="51"/>
  <c r="AV13" i="51"/>
  <c r="AW13" i="51"/>
  <c r="AT13" i="51"/>
  <c r="AO13" i="51"/>
  <c r="AR13" i="51"/>
  <c r="AP13" i="51"/>
  <c r="AQ13" i="51"/>
  <c r="AS13" i="51"/>
  <c r="AN13" i="51"/>
  <c r="AM13" i="51"/>
  <c r="AU13" i="51"/>
  <c r="AL13" i="51"/>
  <c r="AT11" i="51"/>
  <c r="AF37" i="51"/>
  <c r="AF24" i="51"/>
  <c r="AI37" i="51"/>
  <c r="AI24" i="51"/>
  <c r="AW11" i="51"/>
  <c r="Z24" i="51"/>
  <c r="Z37" i="51"/>
  <c r="AN11" i="51"/>
  <c r="AT12" i="51"/>
  <c r="AQ11" i="51"/>
  <c r="AC24" i="51"/>
  <c r="AC37" i="51"/>
  <c r="AM12" i="51"/>
  <c r="AS12" i="51"/>
  <c r="AC25" i="50"/>
  <c r="AC38" i="50"/>
  <c r="Z25" i="50"/>
  <c r="Z38" i="50"/>
  <c r="AA25" i="50"/>
  <c r="AA38" i="50"/>
  <c r="AB25" i="50"/>
  <c r="AB38" i="50"/>
  <c r="AD25" i="50"/>
  <c r="AD38" i="50"/>
  <c r="AG38" i="50"/>
  <c r="AG25" i="50"/>
  <c r="AF25" i="50"/>
  <c r="AF38" i="50"/>
  <c r="AH38" i="50"/>
  <c r="AH25" i="50"/>
  <c r="AI38" i="50"/>
  <c r="AI25" i="50"/>
  <c r="X38" i="50"/>
  <c r="X25" i="50"/>
  <c r="AE25" i="50"/>
  <c r="AE38" i="50"/>
  <c r="Y25" i="50"/>
  <c r="Y38" i="50"/>
  <c r="AI11" i="50"/>
  <c r="AH11" i="50"/>
  <c r="AD11" i="50"/>
  <c r="AC11" i="50"/>
  <c r="Z11" i="50"/>
  <c r="Y11" i="50"/>
  <c r="X11" i="50"/>
  <c r="AA11" i="50"/>
  <c r="AE11" i="50"/>
  <c r="AB11" i="50"/>
  <c r="AF11" i="50"/>
  <c r="AG11" i="50"/>
  <c r="AF25" i="49"/>
  <c r="AF38" i="49"/>
  <c r="X38" i="49"/>
  <c r="X25" i="49"/>
  <c r="Y38" i="49"/>
  <c r="Y25" i="49"/>
  <c r="AE25" i="49"/>
  <c r="AE38" i="49"/>
  <c r="AA25" i="49"/>
  <c r="AA38" i="49"/>
  <c r="AF11" i="49"/>
  <c r="AD11" i="49"/>
  <c r="AI11" i="49"/>
  <c r="AE11" i="49"/>
  <c r="AH11" i="49"/>
  <c r="AC11" i="49"/>
  <c r="AG11" i="49"/>
  <c r="AA11" i="49"/>
  <c r="AQ12" i="49" s="1"/>
  <c r="AB11" i="49"/>
  <c r="Z11" i="49"/>
  <c r="X11" i="49"/>
  <c r="Y11" i="49"/>
  <c r="AP12" i="49" s="1"/>
  <c r="AH25" i="49"/>
  <c r="AH38" i="49"/>
  <c r="AB25" i="49"/>
  <c r="AB38" i="49"/>
  <c r="AI38" i="49"/>
  <c r="AI25" i="49"/>
  <c r="Z25" i="49"/>
  <c r="Z38" i="49"/>
  <c r="AG38" i="49"/>
  <c r="AG25" i="49"/>
  <c r="AD38" i="49"/>
  <c r="AD25" i="49"/>
  <c r="AC25" i="49"/>
  <c r="AC38" i="49"/>
  <c r="AB26" i="48"/>
  <c r="AB39" i="48"/>
  <c r="AI39" i="48"/>
  <c r="AI26" i="48"/>
  <c r="AH39" i="48"/>
  <c r="AH26" i="48"/>
  <c r="Y26" i="48"/>
  <c r="Y39" i="48"/>
  <c r="AA26" i="48"/>
  <c r="AA39" i="48"/>
  <c r="AF26" i="48"/>
  <c r="AF39" i="48"/>
  <c r="AC26" i="48"/>
  <c r="AC39" i="48"/>
  <c r="AC12" i="48"/>
  <c r="AA12" i="48"/>
  <c r="AB12" i="48"/>
  <c r="Z12" i="48"/>
  <c r="Y12" i="48"/>
  <c r="X12" i="48"/>
  <c r="AH12" i="48"/>
  <c r="AD12" i="48"/>
  <c r="W11" i="48"/>
  <c r="AG12" i="48"/>
  <c r="AI12" i="48"/>
  <c r="AF12" i="48"/>
  <c r="AE12" i="48"/>
  <c r="Z26" i="48"/>
  <c r="Z39" i="48"/>
  <c r="AE39" i="48"/>
  <c r="AE26" i="48"/>
  <c r="AG26" i="48"/>
  <c r="AG39" i="48"/>
  <c r="X26" i="48"/>
  <c r="X39" i="48"/>
  <c r="AD26" i="48"/>
  <c r="AD39" i="48"/>
  <c r="AD27" i="44"/>
  <c r="AD40" i="44"/>
  <c r="AI13" i="44"/>
  <c r="AF13" i="44"/>
  <c r="W12" i="44"/>
  <c r="AE13" i="44"/>
  <c r="AD13" i="44"/>
  <c r="AC13" i="44"/>
  <c r="AB13" i="44"/>
  <c r="AA13" i="44"/>
  <c r="X13" i="44"/>
  <c r="Y13" i="44"/>
  <c r="AH13" i="44"/>
  <c r="AG13" i="44"/>
  <c r="Z13" i="44"/>
  <c r="AF40" i="44"/>
  <c r="AF27" i="44"/>
  <c r="AG40" i="44"/>
  <c r="AG27" i="44"/>
  <c r="X27" i="44"/>
  <c r="X40" i="44"/>
  <c r="Y27" i="44"/>
  <c r="Y40" i="44"/>
  <c r="AB40" i="44"/>
  <c r="AB27" i="44"/>
  <c r="AC40" i="44"/>
  <c r="AC27" i="44"/>
  <c r="Z27" i="44"/>
  <c r="Z40" i="44"/>
  <c r="AA27" i="44"/>
  <c r="AA40" i="44"/>
  <c r="AH27" i="44"/>
  <c r="AH40" i="44"/>
  <c r="AE27" i="44"/>
  <c r="AE40" i="44"/>
  <c r="AI27" i="44"/>
  <c r="AI40" i="44"/>
  <c r="AA41" i="42"/>
  <c r="AA28" i="42"/>
  <c r="AB41" i="42"/>
  <c r="AB28" i="42"/>
  <c r="AE28" i="42"/>
  <c r="AE41" i="42"/>
  <c r="Z28" i="42"/>
  <c r="Z41" i="42"/>
  <c r="Y41" i="42"/>
  <c r="Y28" i="42"/>
  <c r="AH28" i="42"/>
  <c r="AH41" i="42"/>
  <c r="AG41" i="42"/>
  <c r="AG28" i="42"/>
  <c r="X41" i="42"/>
  <c r="X28" i="42"/>
  <c r="AC28" i="42"/>
  <c r="AC41" i="42"/>
  <c r="AF28" i="42"/>
  <c r="AF41" i="42"/>
  <c r="Z14" i="42"/>
  <c r="AE14" i="42"/>
  <c r="Y14" i="42"/>
  <c r="AI14" i="42"/>
  <c r="AH14" i="42"/>
  <c r="AB14" i="42"/>
  <c r="W13" i="42"/>
  <c r="AC14" i="42"/>
  <c r="AF14" i="42"/>
  <c r="AD14" i="42"/>
  <c r="AG14" i="42"/>
  <c r="X14" i="42"/>
  <c r="AA14" i="42"/>
  <c r="AD28" i="42"/>
  <c r="AD41" i="42"/>
  <c r="AI28" i="42"/>
  <c r="AI41" i="42"/>
  <c r="AD43" i="41"/>
  <c r="AD30" i="41"/>
  <c r="X30" i="41"/>
  <c r="X43" i="41"/>
  <c r="AB30" i="41"/>
  <c r="AB43" i="41"/>
  <c r="AE30" i="41"/>
  <c r="AE43" i="41"/>
  <c r="AI30" i="41"/>
  <c r="AI43" i="41"/>
  <c r="Y30" i="41"/>
  <c r="Y43" i="41"/>
  <c r="AA30" i="41"/>
  <c r="AA43" i="41"/>
  <c r="Z43" i="41"/>
  <c r="Z30" i="41"/>
  <c r="AG43" i="41"/>
  <c r="AG30" i="41"/>
  <c r="AC43" i="41"/>
  <c r="AC30" i="41"/>
  <c r="AC16" i="41"/>
  <c r="Y16" i="41"/>
  <c r="AG16" i="41"/>
  <c r="AE16" i="41"/>
  <c r="W15" i="41"/>
  <c r="AD16" i="41"/>
  <c r="Z16" i="41"/>
  <c r="AF16" i="41"/>
  <c r="AB16" i="41"/>
  <c r="AI16" i="41"/>
  <c r="AH16" i="41"/>
  <c r="AA16" i="41"/>
  <c r="X16" i="41"/>
  <c r="AF43" i="41"/>
  <c r="AF30" i="41"/>
  <c r="AH30" i="41"/>
  <c r="AH43" i="41"/>
  <c r="X46" i="39"/>
  <c r="X33" i="39"/>
  <c r="Y33" i="39"/>
  <c r="Y46" i="39"/>
  <c r="Z33" i="39"/>
  <c r="Z46" i="39"/>
  <c r="Z19" i="39"/>
  <c r="Y19" i="39"/>
  <c r="X19" i="39"/>
  <c r="AI19" i="39"/>
  <c r="AH19" i="39"/>
  <c r="AG19" i="39"/>
  <c r="AF19" i="39"/>
  <c r="W18" i="39"/>
  <c r="AE19" i="39"/>
  <c r="AD19" i="39"/>
  <c r="AC19" i="39"/>
  <c r="AB19" i="39"/>
  <c r="AA19" i="39"/>
  <c r="AA33" i="39"/>
  <c r="AA46" i="39"/>
  <c r="AB33" i="39"/>
  <c r="AB46" i="39"/>
  <c r="AC33" i="39"/>
  <c r="AC46" i="39"/>
  <c r="AD33" i="39"/>
  <c r="AD46" i="39"/>
  <c r="AE33" i="39"/>
  <c r="AE46" i="39"/>
  <c r="AF33" i="39"/>
  <c r="AF46" i="39"/>
  <c r="AG33" i="39"/>
  <c r="AG46" i="39"/>
  <c r="AH33" i="39"/>
  <c r="AH46" i="39"/>
  <c r="AI33" i="39"/>
  <c r="AI46" i="39"/>
  <c r="AB47" i="38"/>
  <c r="AB34" i="38"/>
  <c r="X34" i="38"/>
  <c r="X47" i="38"/>
  <c r="Z34" i="38"/>
  <c r="Z47" i="38"/>
  <c r="AG34" i="38"/>
  <c r="AG47" i="38"/>
  <c r="AI20" i="38"/>
  <c r="AC20" i="38"/>
  <c r="Z20" i="38"/>
  <c r="AH20" i="38"/>
  <c r="AB20" i="38"/>
  <c r="AF20" i="38"/>
  <c r="W19" i="38"/>
  <c r="AG20" i="38"/>
  <c r="AA20" i="38"/>
  <c r="X20" i="38"/>
  <c r="AE20" i="38"/>
  <c r="AD20" i="38"/>
  <c r="Y20" i="38"/>
  <c r="AD47" i="38"/>
  <c r="AD34" i="38"/>
  <c r="AF34" i="38"/>
  <c r="AF47" i="38"/>
  <c r="AE47" i="38"/>
  <c r="AE34" i="38"/>
  <c r="AC47" i="38"/>
  <c r="AC34" i="38"/>
  <c r="AH47" i="38"/>
  <c r="AH34" i="38"/>
  <c r="AA34" i="38"/>
  <c r="AA47" i="38"/>
  <c r="Y34" i="38"/>
  <c r="Y47" i="38"/>
  <c r="AI47" i="38"/>
  <c r="AI34" i="38"/>
  <c r="AD21" i="36"/>
  <c r="X21" i="36"/>
  <c r="AI21" i="36"/>
  <c r="AC21" i="36"/>
  <c r="AA21" i="36"/>
  <c r="Y21" i="36"/>
  <c r="AH21" i="36"/>
  <c r="Z21" i="36"/>
  <c r="AG21" i="36"/>
  <c r="AF21" i="36"/>
  <c r="AB21" i="36"/>
  <c r="W20" i="36"/>
  <c r="AE21" i="36"/>
  <c r="AG47" i="35"/>
  <c r="AG34" i="35"/>
  <c r="AI33" i="35"/>
  <c r="AI46" i="35"/>
  <c r="AA46" i="35"/>
  <c r="AA33" i="35"/>
  <c r="AF34" i="35"/>
  <c r="AF47" i="35"/>
  <c r="AC46" i="35"/>
  <c r="AC33" i="35"/>
  <c r="Z46" i="35"/>
  <c r="Z33" i="35"/>
  <c r="AH33" i="35"/>
  <c r="AH46" i="35"/>
  <c r="Y33" i="35"/>
  <c r="Y46" i="35"/>
  <c r="AG46" i="35"/>
  <c r="AG33" i="35"/>
  <c r="Y34" i="35"/>
  <c r="Y47" i="35"/>
  <c r="AC47" i="35"/>
  <c r="AC34" i="35"/>
  <c r="AD47" i="35"/>
  <c r="AD34" i="35"/>
  <c r="AB33" i="35"/>
  <c r="AB46" i="35"/>
  <c r="AF46" i="35"/>
  <c r="AF33" i="35"/>
  <c r="AB34" i="35"/>
  <c r="AB47" i="35"/>
  <c r="AI47" i="35"/>
  <c r="AI34" i="35"/>
  <c r="X33" i="35"/>
  <c r="X46" i="35"/>
  <c r="AD46" i="35"/>
  <c r="AD33" i="35"/>
  <c r="AE47" i="35"/>
  <c r="AE34" i="35"/>
  <c r="X47" i="35"/>
  <c r="X34" i="35"/>
  <c r="AA34" i="35"/>
  <c r="AA47" i="35"/>
  <c r="AH34" i="35"/>
  <c r="AH47" i="35"/>
  <c r="AG19" i="35"/>
  <c r="AA19" i="35"/>
  <c r="AD19" i="35"/>
  <c r="AH19" i="35"/>
  <c r="Y19" i="35"/>
  <c r="AF19" i="35"/>
  <c r="X19" i="35"/>
  <c r="AE19" i="35"/>
  <c r="AB19" i="35"/>
  <c r="W18" i="35"/>
  <c r="AI19" i="35"/>
  <c r="Z19" i="35"/>
  <c r="AC19" i="35"/>
  <c r="AE33" i="35"/>
  <c r="AE46" i="35"/>
  <c r="AQ38" i="51" l="1"/>
  <c r="AQ25" i="51"/>
  <c r="AS45" i="51"/>
  <c r="AS32" i="51"/>
  <c r="AW28" i="51"/>
  <c r="AW41" i="51"/>
  <c r="AO32" i="51"/>
  <c r="AO45" i="51"/>
  <c r="AN42" i="51"/>
  <c r="AN29" i="51"/>
  <c r="AN45" i="51"/>
  <c r="AN32" i="51"/>
  <c r="AU24" i="51"/>
  <c r="AU37" i="51"/>
  <c r="AL40" i="51"/>
  <c r="AL27" i="51"/>
  <c r="AV29" i="51"/>
  <c r="AV42" i="51"/>
  <c r="AP44" i="51"/>
  <c r="AP31" i="51"/>
  <c r="AL32" i="51"/>
  <c r="AL45" i="51"/>
  <c r="AW47" i="51"/>
  <c r="AW34" i="51"/>
  <c r="AL37" i="51"/>
  <c r="AL24" i="51"/>
  <c r="AP32" i="51"/>
  <c r="AP45" i="51"/>
  <c r="AS33" i="51"/>
  <c r="AS46" i="51"/>
  <c r="AR43" i="51"/>
  <c r="AR30" i="51"/>
  <c r="AV27" i="51"/>
  <c r="AV40" i="51"/>
  <c r="AR38" i="51"/>
  <c r="AR25" i="51"/>
  <c r="AU44" i="51"/>
  <c r="AU31" i="51"/>
  <c r="AO43" i="51"/>
  <c r="AO30" i="51"/>
  <c r="AT30" i="51"/>
  <c r="AT43" i="51"/>
  <c r="AW32" i="51"/>
  <c r="AW45" i="51"/>
  <c r="AL28" i="51"/>
  <c r="AL41" i="51"/>
  <c r="AS24" i="51"/>
  <c r="AS37" i="51"/>
  <c r="AO47" i="51"/>
  <c r="AO34" i="51"/>
  <c r="AO42" i="51"/>
  <c r="AO29" i="51"/>
  <c r="AP30" i="51"/>
  <c r="AP43" i="51"/>
  <c r="AU42" i="51"/>
  <c r="AU29" i="51"/>
  <c r="AS38" i="51"/>
  <c r="AS25" i="51"/>
  <c r="AN47" i="51"/>
  <c r="AN34" i="51"/>
  <c r="AT44" i="51"/>
  <c r="AT31" i="51"/>
  <c r="AS26" i="51"/>
  <c r="AS39" i="51"/>
  <c r="AQ41" i="51"/>
  <c r="AQ28" i="51"/>
  <c r="AT42" i="51"/>
  <c r="AT29" i="51"/>
  <c r="AS44" i="51"/>
  <c r="AS31" i="51"/>
  <c r="AN33" i="51"/>
  <c r="AN46" i="51"/>
  <c r="AQ47" i="51"/>
  <c r="AQ34" i="51"/>
  <c r="AN28" i="51"/>
  <c r="AN41" i="51"/>
  <c r="AW24" i="51"/>
  <c r="AW37" i="51"/>
  <c r="AT45" i="51"/>
  <c r="AT32" i="51"/>
  <c r="AN38" i="51"/>
  <c r="AN25" i="51"/>
  <c r="AP47" i="51"/>
  <c r="AP34" i="51"/>
  <c r="AM34" i="51"/>
  <c r="AM47" i="51"/>
  <c r="AM39" i="51"/>
  <c r="AM26" i="51"/>
  <c r="AV41" i="51"/>
  <c r="AV28" i="51"/>
  <c r="AR37" i="51"/>
  <c r="AR24" i="51"/>
  <c r="AV25" i="51"/>
  <c r="AV38" i="51"/>
  <c r="AP37" i="51"/>
  <c r="AP24" i="51"/>
  <c r="AN39" i="51"/>
  <c r="AN26" i="51"/>
  <c r="AQ37" i="51"/>
  <c r="AQ24" i="51"/>
  <c r="AU46" i="51"/>
  <c r="AU33" i="51"/>
  <c r="AR47" i="51"/>
  <c r="AR34" i="51"/>
  <c r="AV30" i="51"/>
  <c r="AV43" i="51"/>
  <c r="AQ27" i="51"/>
  <c r="AQ40" i="51"/>
  <c r="AO37" i="51"/>
  <c r="AO24" i="51"/>
  <c r="AW27" i="51"/>
  <c r="AW40" i="51"/>
  <c r="AT24" i="51"/>
  <c r="AT37" i="51"/>
  <c r="AL26" i="51"/>
  <c r="AL39" i="51"/>
  <c r="AT47" i="51"/>
  <c r="AT34" i="51"/>
  <c r="AM40" i="51"/>
  <c r="AM27" i="51"/>
  <c r="AV24" i="51"/>
  <c r="AV37" i="51"/>
  <c r="AU45" i="51"/>
  <c r="AU32" i="51"/>
  <c r="AQ26" i="51"/>
  <c r="AQ39" i="51"/>
  <c r="AL34" i="51"/>
  <c r="AL47" i="51"/>
  <c r="AP42" i="51"/>
  <c r="AP29" i="51"/>
  <c r="AT38" i="51"/>
  <c r="AT25" i="51"/>
  <c r="AR39" i="51"/>
  <c r="AR26" i="51"/>
  <c r="AR28" i="51"/>
  <c r="AR41" i="51"/>
  <c r="AL29" i="51"/>
  <c r="AL42" i="51"/>
  <c r="AQ44" i="51"/>
  <c r="AQ31" i="51"/>
  <c r="AO33" i="51"/>
  <c r="AO46" i="51"/>
  <c r="AV47" i="51"/>
  <c r="AV34" i="51"/>
  <c r="AV39" i="51"/>
  <c r="AV26" i="51"/>
  <c r="AS41" i="51"/>
  <c r="AS28" i="51"/>
  <c r="AO25" i="51"/>
  <c r="AO38" i="51"/>
  <c r="AT27" i="51"/>
  <c r="AT40" i="51"/>
  <c r="AV46" i="51"/>
  <c r="AV33" i="51"/>
  <c r="AS43" i="51"/>
  <c r="AS30" i="51"/>
  <c r="AU27" i="51"/>
  <c r="AU40" i="51"/>
  <c r="AQ32" i="51"/>
  <c r="AQ45" i="51"/>
  <c r="AS27" i="51"/>
  <c r="AS40" i="51"/>
  <c r="AR27" i="51"/>
  <c r="AR40" i="51"/>
  <c r="AV32" i="51"/>
  <c r="AV45" i="51"/>
  <c r="AM38" i="51"/>
  <c r="AM25" i="51"/>
  <c r="AM31" i="51"/>
  <c r="AM44" i="51"/>
  <c r="AR42" i="51"/>
  <c r="AR29" i="51"/>
  <c r="AM42" i="51"/>
  <c r="AM29" i="51"/>
  <c r="AO44" i="51"/>
  <c r="AO31" i="51"/>
  <c r="AN37" i="51"/>
  <c r="AN24" i="51"/>
  <c r="AO39" i="51"/>
  <c r="AO26" i="51"/>
  <c r="AO41" i="51"/>
  <c r="AO28" i="51"/>
  <c r="AN30" i="51"/>
  <c r="AN43" i="51"/>
  <c r="AR44" i="51"/>
  <c r="AR31" i="51"/>
  <c r="AR33" i="51"/>
  <c r="AR46" i="51"/>
  <c r="F35" i="51"/>
  <c r="AO40" i="51"/>
  <c r="AO27" i="51"/>
  <c r="AW30" i="51"/>
  <c r="AW43" i="51"/>
  <c r="AU47" i="51"/>
  <c r="AU34" i="51"/>
  <c r="AQ42" i="51"/>
  <c r="AQ29" i="51"/>
  <c r="AS42" i="51"/>
  <c r="AS29" i="51"/>
  <c r="AW42" i="51"/>
  <c r="AW29" i="51"/>
  <c r="AM46" i="51"/>
  <c r="AM33" i="51"/>
  <c r="AT41" i="51"/>
  <c r="AT28" i="51"/>
  <c r="AT39" i="51"/>
  <c r="AT26" i="51"/>
  <c r="AP41" i="51"/>
  <c r="AP28" i="51"/>
  <c r="AM43" i="51"/>
  <c r="AM30" i="51"/>
  <c r="AV44" i="51"/>
  <c r="AV31" i="51"/>
  <c r="AW33" i="51"/>
  <c r="AW46" i="51"/>
  <c r="F9" i="51"/>
  <c r="AM37" i="51"/>
  <c r="AM24" i="51"/>
  <c r="AT46" i="51"/>
  <c r="AT33" i="51"/>
  <c r="AQ33" i="51"/>
  <c r="AQ46" i="51"/>
  <c r="AM28" i="51"/>
  <c r="AM41" i="51"/>
  <c r="AP33" i="51"/>
  <c r="AP46" i="51"/>
  <c r="AN40" i="51"/>
  <c r="AN27" i="51"/>
  <c r="AL38" i="51"/>
  <c r="AL25" i="51"/>
  <c r="AU30" i="51"/>
  <c r="AU43" i="51"/>
  <c r="AL43" i="51"/>
  <c r="AL30" i="51"/>
  <c r="AM32" i="51"/>
  <c r="AM45" i="51"/>
  <c r="AN31" i="51"/>
  <c r="AN44" i="51"/>
  <c r="AU39" i="51"/>
  <c r="AU26" i="51"/>
  <c r="AR32" i="51"/>
  <c r="AR45" i="51"/>
  <c r="AP40" i="51"/>
  <c r="AP27" i="51"/>
  <c r="AS47" i="51"/>
  <c r="AS34" i="51"/>
  <c r="AW44" i="51"/>
  <c r="AW31" i="51"/>
  <c r="AP26" i="51"/>
  <c r="AP39" i="51"/>
  <c r="AW39" i="51"/>
  <c r="AW26" i="51"/>
  <c r="AU41" i="51"/>
  <c r="AU28" i="51"/>
  <c r="AQ43" i="51"/>
  <c r="AQ30" i="51"/>
  <c r="AL31" i="51"/>
  <c r="AL44" i="51"/>
  <c r="AL33" i="51"/>
  <c r="AL46" i="51"/>
  <c r="F22" i="51"/>
  <c r="AU25" i="51"/>
  <c r="AU38" i="51"/>
  <c r="AQ12" i="50"/>
  <c r="AQ25" i="50" s="1"/>
  <c r="AQ38" i="50"/>
  <c r="AE24" i="50"/>
  <c r="AE37" i="50"/>
  <c r="AS11" i="50"/>
  <c r="AF37" i="50"/>
  <c r="AT11" i="50"/>
  <c r="AF24" i="50"/>
  <c r="AM11" i="50"/>
  <c r="Y24" i="50"/>
  <c r="Y37" i="50"/>
  <c r="AL12" i="50"/>
  <c r="AP12" i="50"/>
  <c r="AO12" i="50"/>
  <c r="AI37" i="50"/>
  <c r="AI24" i="50"/>
  <c r="AW11" i="50"/>
  <c r="AB24" i="50"/>
  <c r="AB37" i="50"/>
  <c r="AP11" i="50"/>
  <c r="Z24" i="50"/>
  <c r="AN11" i="50"/>
  <c r="Z37" i="50"/>
  <c r="AN12" i="50"/>
  <c r="AA24" i="50"/>
  <c r="AA37" i="50"/>
  <c r="AO11" i="50"/>
  <c r="AD37" i="50"/>
  <c r="AD24" i="50"/>
  <c r="AR11" i="50"/>
  <c r="AR12" i="50"/>
  <c r="AH37" i="50"/>
  <c r="AH24" i="50"/>
  <c r="AV11" i="50"/>
  <c r="X24" i="50"/>
  <c r="X37" i="50"/>
  <c r="AL11" i="50"/>
  <c r="AT21" i="50"/>
  <c r="AU21" i="50"/>
  <c r="AO21" i="50"/>
  <c r="AR21" i="50"/>
  <c r="AL21" i="50"/>
  <c r="AW21" i="50"/>
  <c r="AQ21" i="50"/>
  <c r="AP21" i="50"/>
  <c r="AM21" i="50"/>
  <c r="AS21" i="50"/>
  <c r="AV21" i="50"/>
  <c r="AN21" i="50"/>
  <c r="AV20" i="50"/>
  <c r="AM20" i="50"/>
  <c r="AL20" i="50"/>
  <c r="AQ20" i="50"/>
  <c r="AR20" i="50"/>
  <c r="AO20" i="50"/>
  <c r="AN20" i="50"/>
  <c r="AU20" i="50"/>
  <c r="AS20" i="50"/>
  <c r="AT20" i="50"/>
  <c r="AW20" i="50"/>
  <c r="AP20" i="50"/>
  <c r="AT19" i="50"/>
  <c r="AU19" i="50"/>
  <c r="AN19" i="50"/>
  <c r="AM19" i="50"/>
  <c r="AQ19" i="50"/>
  <c r="AP19" i="50"/>
  <c r="AL19" i="50"/>
  <c r="AR19" i="50"/>
  <c r="AV19" i="50"/>
  <c r="AS19" i="50"/>
  <c r="AW19" i="50"/>
  <c r="AO19" i="50"/>
  <c r="AL18" i="50"/>
  <c r="AN18" i="50"/>
  <c r="AR18" i="50"/>
  <c r="AS18" i="50"/>
  <c r="AP18" i="50"/>
  <c r="AO18" i="50"/>
  <c r="AW18" i="50"/>
  <c r="AT18" i="50"/>
  <c r="AQ18" i="50"/>
  <c r="AM18" i="50"/>
  <c r="AV18" i="50"/>
  <c r="AU18" i="50"/>
  <c r="AW17" i="50"/>
  <c r="AR17" i="50"/>
  <c r="AL17" i="50"/>
  <c r="AU17" i="50"/>
  <c r="AM17" i="50"/>
  <c r="AO17" i="50"/>
  <c r="AP17" i="50"/>
  <c r="AT17" i="50"/>
  <c r="AN17" i="50"/>
  <c r="AV17" i="50"/>
  <c r="AS17" i="50"/>
  <c r="AQ17" i="50"/>
  <c r="AO16" i="50"/>
  <c r="AS16" i="50"/>
  <c r="AM16" i="50"/>
  <c r="AV16" i="50"/>
  <c r="AN16" i="50"/>
  <c r="AL16" i="50"/>
  <c r="AU16" i="50"/>
  <c r="AQ16" i="50"/>
  <c r="AT16" i="50"/>
  <c r="AW16" i="50"/>
  <c r="AP16" i="50"/>
  <c r="AR16" i="50"/>
  <c r="AL15" i="50"/>
  <c r="AM15" i="50"/>
  <c r="AQ15" i="50"/>
  <c r="AR15" i="50"/>
  <c r="AN15" i="50"/>
  <c r="AO15" i="50"/>
  <c r="AV15" i="50"/>
  <c r="AT15" i="50"/>
  <c r="AP15" i="50"/>
  <c r="AW15" i="50"/>
  <c r="AS15" i="50"/>
  <c r="AU15" i="50"/>
  <c r="AQ14" i="50"/>
  <c r="AP14" i="50"/>
  <c r="AL14" i="50"/>
  <c r="AO14" i="50"/>
  <c r="AW14" i="50"/>
  <c r="AT14" i="50"/>
  <c r="AM14" i="50"/>
  <c r="AN14" i="50"/>
  <c r="AS14" i="50"/>
  <c r="AU14" i="50"/>
  <c r="AR14" i="50"/>
  <c r="AV14" i="50"/>
  <c r="AN13" i="50"/>
  <c r="AS13" i="50"/>
  <c r="AV13" i="50"/>
  <c r="AQ13" i="50"/>
  <c r="AP13" i="50"/>
  <c r="AO13" i="50"/>
  <c r="AU13" i="50"/>
  <c r="AW13" i="50"/>
  <c r="AT13" i="50"/>
  <c r="AR13" i="50"/>
  <c r="AM13" i="50"/>
  <c r="AL13" i="50"/>
  <c r="AW12" i="50"/>
  <c r="AT12" i="50"/>
  <c r="AG37" i="50"/>
  <c r="AU11" i="50"/>
  <c r="AG24" i="50"/>
  <c r="AC37" i="50"/>
  <c r="AC24" i="50"/>
  <c r="AQ11" i="50"/>
  <c r="AV12" i="50"/>
  <c r="AM12" i="50"/>
  <c r="AS12" i="50"/>
  <c r="AU12" i="50"/>
  <c r="AS12" i="49"/>
  <c r="AO12" i="49"/>
  <c r="AL12" i="49"/>
  <c r="AL38" i="49"/>
  <c r="AL25" i="49"/>
  <c r="AR12" i="49"/>
  <c r="AP38" i="49"/>
  <c r="AP25" i="49"/>
  <c r="AB24" i="49"/>
  <c r="AB37" i="49"/>
  <c r="AP11" i="49"/>
  <c r="AM12" i="49"/>
  <c r="AU12" i="49"/>
  <c r="AG37" i="49"/>
  <c r="AU11" i="49"/>
  <c r="AG24" i="49"/>
  <c r="AQ38" i="49"/>
  <c r="AQ25" i="49"/>
  <c r="AS38" i="49"/>
  <c r="AS25" i="49"/>
  <c r="AN12" i="49"/>
  <c r="AH37" i="49"/>
  <c r="AV11" i="49"/>
  <c r="AH24" i="49"/>
  <c r="AO38" i="49"/>
  <c r="AO25" i="49"/>
  <c r="AM11" i="49"/>
  <c r="Y24" i="49"/>
  <c r="Y37" i="49"/>
  <c r="AE37" i="49"/>
  <c r="AS11" i="49"/>
  <c r="AE24" i="49"/>
  <c r="AL11" i="49"/>
  <c r="X24" i="49"/>
  <c r="X37" i="49"/>
  <c r="AQ21" i="49"/>
  <c r="AR21" i="49"/>
  <c r="AP21" i="49"/>
  <c r="AO20" i="49"/>
  <c r="AM20" i="49"/>
  <c r="AV21" i="49"/>
  <c r="AQ20" i="49"/>
  <c r="AU21" i="49"/>
  <c r="AS21" i="49"/>
  <c r="AS20" i="49"/>
  <c r="AT21" i="49"/>
  <c r="AL20" i="49"/>
  <c r="AN21" i="49"/>
  <c r="AM21" i="49"/>
  <c r="AW20" i="49"/>
  <c r="AV20" i="49"/>
  <c r="AR20" i="49"/>
  <c r="AN20" i="49"/>
  <c r="AU20" i="49"/>
  <c r="AT20" i="49"/>
  <c r="AW21" i="49"/>
  <c r="AO21" i="49"/>
  <c r="AP20" i="49"/>
  <c r="AL21" i="49"/>
  <c r="AS19" i="49"/>
  <c r="AU19" i="49"/>
  <c r="AP19" i="49"/>
  <c r="AN19" i="49"/>
  <c r="AO19" i="49"/>
  <c r="AT19" i="49"/>
  <c r="AR19" i="49"/>
  <c r="AQ19" i="49"/>
  <c r="AM19" i="49"/>
  <c r="AL19" i="49"/>
  <c r="AW19" i="49"/>
  <c r="AV19" i="49"/>
  <c r="AO18" i="49"/>
  <c r="AU18" i="49"/>
  <c r="AT18" i="49"/>
  <c r="AV18" i="49"/>
  <c r="AL18" i="49"/>
  <c r="AN18" i="49"/>
  <c r="AR18" i="49"/>
  <c r="AW18" i="49"/>
  <c r="AS18" i="49"/>
  <c r="AP18" i="49"/>
  <c r="AM18" i="49"/>
  <c r="AQ18" i="49"/>
  <c r="AR17" i="49"/>
  <c r="AN17" i="49"/>
  <c r="AP17" i="49"/>
  <c r="AL17" i="49"/>
  <c r="AM17" i="49"/>
  <c r="AO17" i="49"/>
  <c r="AT17" i="49"/>
  <c r="AS17" i="49"/>
  <c r="AU17" i="49"/>
  <c r="AV17" i="49"/>
  <c r="AQ17" i="49"/>
  <c r="AW17" i="49"/>
  <c r="AN16" i="49"/>
  <c r="AR16" i="49"/>
  <c r="AT16" i="49"/>
  <c r="AO16" i="49"/>
  <c r="AU16" i="49"/>
  <c r="AM16" i="49"/>
  <c r="AS16" i="49"/>
  <c r="AP16" i="49"/>
  <c r="AV16" i="49"/>
  <c r="AL16" i="49"/>
  <c r="AQ16" i="49"/>
  <c r="AW16" i="49"/>
  <c r="AL15" i="49"/>
  <c r="AT15" i="49"/>
  <c r="AV15" i="49"/>
  <c r="AM15" i="49"/>
  <c r="AW15" i="49"/>
  <c r="AU15" i="49"/>
  <c r="AR15" i="49"/>
  <c r="AN15" i="49"/>
  <c r="AQ15" i="49"/>
  <c r="AO15" i="49"/>
  <c r="AS15" i="49"/>
  <c r="AP15" i="49"/>
  <c r="AP14" i="49"/>
  <c r="AV14" i="49"/>
  <c r="AQ14" i="49"/>
  <c r="AU14" i="49"/>
  <c r="AR14" i="49"/>
  <c r="AM14" i="49"/>
  <c r="AW14" i="49"/>
  <c r="AS14" i="49"/>
  <c r="AN14" i="49"/>
  <c r="AL14" i="49"/>
  <c r="AT14" i="49"/>
  <c r="AO14" i="49"/>
  <c r="AN13" i="49"/>
  <c r="AV13" i="49"/>
  <c r="AT13" i="49"/>
  <c r="AW13" i="49"/>
  <c r="AP13" i="49"/>
  <c r="AR13" i="49"/>
  <c r="AL13" i="49"/>
  <c r="AU13" i="49"/>
  <c r="AQ13" i="49"/>
  <c r="AM13" i="49"/>
  <c r="AO13" i="49"/>
  <c r="AS13" i="49"/>
  <c r="AC37" i="49"/>
  <c r="AC24" i="49"/>
  <c r="AQ11" i="49"/>
  <c r="AI37" i="49"/>
  <c r="AW11" i="49"/>
  <c r="AI24" i="49"/>
  <c r="Z24" i="49"/>
  <c r="AN11" i="49"/>
  <c r="Z37" i="49"/>
  <c r="AW12" i="49"/>
  <c r="AD37" i="49"/>
  <c r="AR11" i="49"/>
  <c r="AD24" i="49"/>
  <c r="AT12" i="49"/>
  <c r="AV12" i="49"/>
  <c r="AA24" i="49"/>
  <c r="AA37" i="49"/>
  <c r="AO11" i="49"/>
  <c r="AF37" i="49"/>
  <c r="AT11" i="49"/>
  <c r="AF24" i="49"/>
  <c r="X38" i="48"/>
  <c r="X25" i="48"/>
  <c r="AH38" i="48"/>
  <c r="AH25" i="48"/>
  <c r="AD38" i="48"/>
  <c r="AD25" i="48"/>
  <c r="AA38" i="48"/>
  <c r="AA25" i="48"/>
  <c r="AG38" i="48"/>
  <c r="AG25" i="48"/>
  <c r="AH11" i="48"/>
  <c r="AG11" i="48"/>
  <c r="AA11" i="48"/>
  <c r="Z11" i="48"/>
  <c r="X11" i="48"/>
  <c r="AO12" i="48" s="1"/>
  <c r="AI11" i="48"/>
  <c r="AC11" i="48"/>
  <c r="AF11" i="48"/>
  <c r="Y11" i="48"/>
  <c r="AE11" i="48"/>
  <c r="AD11" i="48"/>
  <c r="AB11" i="48"/>
  <c r="Z38" i="48"/>
  <c r="Z25" i="48"/>
  <c r="AI25" i="48"/>
  <c r="AI38" i="48"/>
  <c r="AC25" i="48"/>
  <c r="AC38" i="48"/>
  <c r="AB38" i="48"/>
  <c r="AB25" i="48"/>
  <c r="AF38" i="48"/>
  <c r="AF25" i="48"/>
  <c r="Y38" i="48"/>
  <c r="Y25" i="48"/>
  <c r="AE38" i="48"/>
  <c r="AE25" i="48"/>
  <c r="AH26" i="44"/>
  <c r="AH39" i="44"/>
  <c r="Y26" i="44"/>
  <c r="Y39" i="44"/>
  <c r="AA39" i="44"/>
  <c r="AA26" i="44"/>
  <c r="AB39" i="44"/>
  <c r="AB26" i="44"/>
  <c r="AC26" i="44"/>
  <c r="AC39" i="44"/>
  <c r="AD26" i="44"/>
  <c r="AD39" i="44"/>
  <c r="AG26" i="44"/>
  <c r="AG39" i="44"/>
  <c r="AE26" i="44"/>
  <c r="AE39" i="44"/>
  <c r="AA12" i="44"/>
  <c r="Z12" i="44"/>
  <c r="AI12" i="44"/>
  <c r="AH12" i="44"/>
  <c r="AE12" i="44"/>
  <c r="AD12" i="44"/>
  <c r="AG12" i="44"/>
  <c r="X12" i="44"/>
  <c r="AF12" i="44"/>
  <c r="AC12" i="44"/>
  <c r="Y12" i="44"/>
  <c r="AB12" i="44"/>
  <c r="W11" i="44"/>
  <c r="AF26" i="44"/>
  <c r="AF39" i="44"/>
  <c r="AI39" i="44"/>
  <c r="AI26" i="44"/>
  <c r="X39" i="44"/>
  <c r="X26" i="44"/>
  <c r="Z26" i="44"/>
  <c r="Z39" i="44"/>
  <c r="AC40" i="42"/>
  <c r="AC27" i="42"/>
  <c r="AF40" i="42"/>
  <c r="AF27" i="42"/>
  <c r="AG13" i="42"/>
  <c r="AD13" i="42"/>
  <c r="AB13" i="42"/>
  <c r="AA13" i="42"/>
  <c r="AE13" i="42"/>
  <c r="W12" i="42"/>
  <c r="AC13" i="42"/>
  <c r="Z13" i="42"/>
  <c r="X13" i="42"/>
  <c r="AI13" i="42"/>
  <c r="AF13" i="42"/>
  <c r="Y13" i="42"/>
  <c r="AH13" i="42"/>
  <c r="AB27" i="42"/>
  <c r="AB40" i="42"/>
  <c r="AH40" i="42"/>
  <c r="AH27" i="42"/>
  <c r="AI40" i="42"/>
  <c r="AI27" i="42"/>
  <c r="AD40" i="42"/>
  <c r="AD27" i="42"/>
  <c r="Y27" i="42"/>
  <c r="Y40" i="42"/>
  <c r="Z40" i="42"/>
  <c r="Z27" i="42"/>
  <c r="AE40" i="42"/>
  <c r="AE27" i="42"/>
  <c r="AA40" i="42"/>
  <c r="AA27" i="42"/>
  <c r="X40" i="42"/>
  <c r="X27" i="42"/>
  <c r="AG27" i="42"/>
  <c r="AG40" i="42"/>
  <c r="AF42" i="41"/>
  <c r="AF29" i="41"/>
  <c r="AF15" i="41"/>
  <c r="W14" i="41"/>
  <c r="AD15" i="41"/>
  <c r="AA15" i="41"/>
  <c r="X15" i="41"/>
  <c r="AI15" i="41"/>
  <c r="AH15" i="41"/>
  <c r="AC15" i="41"/>
  <c r="AB15" i="41"/>
  <c r="Z15" i="41"/>
  <c r="AE15" i="41"/>
  <c r="Y15" i="41"/>
  <c r="AG15" i="41"/>
  <c r="Z42" i="41"/>
  <c r="Z29" i="41"/>
  <c r="AE29" i="41"/>
  <c r="AE42" i="41"/>
  <c r="AG42" i="41"/>
  <c r="AG29" i="41"/>
  <c r="AD42" i="41"/>
  <c r="AD29" i="41"/>
  <c r="Y29" i="41"/>
  <c r="Y42" i="41"/>
  <c r="AC42" i="41"/>
  <c r="AC29" i="41"/>
  <c r="X42" i="41"/>
  <c r="X29" i="41"/>
  <c r="AA29" i="41"/>
  <c r="AA42" i="41"/>
  <c r="AH29" i="41"/>
  <c r="AH42" i="41"/>
  <c r="AI29" i="41"/>
  <c r="AI42" i="41"/>
  <c r="AB42" i="41"/>
  <c r="AB29" i="41"/>
  <c r="AG32" i="39"/>
  <c r="AG45" i="39"/>
  <c r="X32" i="39"/>
  <c r="X45" i="39"/>
  <c r="Y32" i="39"/>
  <c r="Y45" i="39"/>
  <c r="Z32" i="39"/>
  <c r="Z45" i="39"/>
  <c r="AI32" i="39"/>
  <c r="AI45" i="39"/>
  <c r="AA32" i="39"/>
  <c r="AA45" i="39"/>
  <c r="AC45" i="39"/>
  <c r="AC32" i="39"/>
  <c r="AD45" i="39"/>
  <c r="AD32" i="39"/>
  <c r="AE45" i="39"/>
  <c r="AE32" i="39"/>
  <c r="AB32" i="39"/>
  <c r="AB45" i="39"/>
  <c r="AG18" i="39"/>
  <c r="AF18" i="39"/>
  <c r="W17" i="39"/>
  <c r="AE18" i="39"/>
  <c r="AD18" i="39"/>
  <c r="AC18" i="39"/>
  <c r="AB18" i="39"/>
  <c r="AA18" i="39"/>
  <c r="Z18" i="39"/>
  <c r="Y18" i="39"/>
  <c r="X18" i="39"/>
  <c r="AI18" i="39"/>
  <c r="AH18" i="39"/>
  <c r="AF32" i="39"/>
  <c r="AF45" i="39"/>
  <c r="AH32" i="39"/>
  <c r="AH45" i="39"/>
  <c r="AG46" i="38"/>
  <c r="AG33" i="38"/>
  <c r="Y46" i="38"/>
  <c r="Y33" i="38"/>
  <c r="AF19" i="38"/>
  <c r="Z19" i="38"/>
  <c r="W18" i="38"/>
  <c r="AI19" i="38"/>
  <c r="AE19" i="38"/>
  <c r="Y19" i="38"/>
  <c r="AD19" i="38"/>
  <c r="X19" i="38"/>
  <c r="AC19" i="38"/>
  <c r="AA19" i="38"/>
  <c r="AH19" i="38"/>
  <c r="AG19" i="38"/>
  <c r="AB19" i="38"/>
  <c r="AI33" i="38"/>
  <c r="AI46" i="38"/>
  <c r="AD33" i="38"/>
  <c r="AD46" i="38"/>
  <c r="AF46" i="38"/>
  <c r="AF33" i="38"/>
  <c r="AE46" i="38"/>
  <c r="AE33" i="38"/>
  <c r="AB33" i="38"/>
  <c r="AB46" i="38"/>
  <c r="AC33" i="38"/>
  <c r="AC46" i="38"/>
  <c r="X33" i="38"/>
  <c r="X46" i="38"/>
  <c r="AH46" i="38"/>
  <c r="AH33" i="38"/>
  <c r="AA33" i="38"/>
  <c r="AA46" i="38"/>
  <c r="Z46" i="38"/>
  <c r="Z33" i="38"/>
  <c r="Y47" i="36"/>
  <c r="Y34" i="36"/>
  <c r="AB47" i="36"/>
  <c r="AB34" i="36"/>
  <c r="AA47" i="36"/>
  <c r="AA34" i="36"/>
  <c r="AC34" i="36"/>
  <c r="AC47" i="36"/>
  <c r="AG47" i="36"/>
  <c r="AG34" i="36"/>
  <c r="AI47" i="36"/>
  <c r="AI34" i="36"/>
  <c r="AF34" i="36"/>
  <c r="AF47" i="36"/>
  <c r="Z34" i="36"/>
  <c r="Z47" i="36"/>
  <c r="X34" i="36"/>
  <c r="X47" i="36"/>
  <c r="AG20" i="36"/>
  <c r="AA20" i="36"/>
  <c r="AF20" i="36"/>
  <c r="Z20" i="36"/>
  <c r="AD20" i="36"/>
  <c r="AC20" i="36"/>
  <c r="AB20" i="36"/>
  <c r="AI20" i="36"/>
  <c r="AH20" i="36"/>
  <c r="W19" i="36"/>
  <c r="AE20" i="36"/>
  <c r="Y20" i="36"/>
  <c r="X20" i="36"/>
  <c r="AE34" i="36"/>
  <c r="AE47" i="36"/>
  <c r="AH47" i="36"/>
  <c r="AH34" i="36"/>
  <c r="AD47" i="36"/>
  <c r="AD34" i="36"/>
  <c r="AE45" i="35"/>
  <c r="AE32" i="35"/>
  <c r="AA32" i="35"/>
  <c r="AA45" i="35"/>
  <c r="AC45" i="35"/>
  <c r="AC32" i="35"/>
  <c r="X45" i="35"/>
  <c r="X32" i="35"/>
  <c r="AG45" i="35"/>
  <c r="AG32" i="35"/>
  <c r="Z45" i="35"/>
  <c r="Z32" i="35"/>
  <c r="AI45" i="35"/>
  <c r="AI32" i="35"/>
  <c r="Y32" i="35"/>
  <c r="Y45" i="35"/>
  <c r="AH32" i="35"/>
  <c r="AH45" i="35"/>
  <c r="AF45" i="35"/>
  <c r="AF32" i="35"/>
  <c r="AD18" i="35"/>
  <c r="X18" i="35"/>
  <c r="AG18" i="35"/>
  <c r="Z18" i="35"/>
  <c r="AC18" i="35"/>
  <c r="AB18" i="35"/>
  <c r="AI18" i="35"/>
  <c r="AA18" i="35"/>
  <c r="W17" i="35"/>
  <c r="Y18" i="35"/>
  <c r="AF18" i="35"/>
  <c r="AE18" i="35"/>
  <c r="AH18" i="35"/>
  <c r="AB32" i="35"/>
  <c r="AB45" i="35"/>
  <c r="AD45" i="35"/>
  <c r="AD32" i="35"/>
  <c r="AR24" i="50" l="1"/>
  <c r="AR37" i="50"/>
  <c r="AW27" i="50"/>
  <c r="AW40" i="50"/>
  <c r="AT42" i="50"/>
  <c r="AT29" i="50"/>
  <c r="AW30" i="50"/>
  <c r="AW43" i="50"/>
  <c r="AQ45" i="50"/>
  <c r="AQ32" i="50"/>
  <c r="AM34" i="50"/>
  <c r="AM47" i="50"/>
  <c r="AP25" i="50"/>
  <c r="AP38" i="50"/>
  <c r="AM39" i="50"/>
  <c r="AM26" i="50"/>
  <c r="AL40" i="50"/>
  <c r="AL27" i="50"/>
  <c r="AU42" i="50"/>
  <c r="AU29" i="50"/>
  <c r="AV44" i="50"/>
  <c r="AV31" i="50"/>
  <c r="AN32" i="50"/>
  <c r="AN45" i="50"/>
  <c r="AQ47" i="50"/>
  <c r="AQ34" i="50"/>
  <c r="AO37" i="50"/>
  <c r="AO24" i="50"/>
  <c r="AV46" i="50"/>
  <c r="AV33" i="50"/>
  <c r="AM40" i="50"/>
  <c r="AM27" i="50"/>
  <c r="AW25" i="50"/>
  <c r="AW38" i="50"/>
  <c r="AP40" i="50"/>
  <c r="AP27" i="50"/>
  <c r="AL42" i="50"/>
  <c r="AL29" i="50"/>
  <c r="AM31" i="50"/>
  <c r="AM44" i="50"/>
  <c r="AU45" i="50"/>
  <c r="AU32" i="50"/>
  <c r="AW47" i="50"/>
  <c r="AW34" i="50"/>
  <c r="AV47" i="50"/>
  <c r="AV34" i="50"/>
  <c r="AT25" i="50"/>
  <c r="AT38" i="50"/>
  <c r="AQ42" i="50"/>
  <c r="AQ29" i="50"/>
  <c r="AW26" i="50"/>
  <c r="AW39" i="50"/>
  <c r="AV42" i="50"/>
  <c r="AV29" i="50"/>
  <c r="AP46" i="50"/>
  <c r="AP33" i="50"/>
  <c r="AR47" i="50"/>
  <c r="AR34" i="50"/>
  <c r="AM37" i="50"/>
  <c r="AM24" i="50"/>
  <c r="AS27" i="50"/>
  <c r="AS40" i="50"/>
  <c r="AR42" i="50"/>
  <c r="AR29" i="50"/>
  <c r="AP42" i="50"/>
  <c r="AP29" i="50"/>
  <c r="AT27" i="50"/>
  <c r="AT40" i="50"/>
  <c r="AT45" i="50"/>
  <c r="AT32" i="50"/>
  <c r="AU28" i="50"/>
  <c r="AU41" i="50"/>
  <c r="AT44" i="50"/>
  <c r="AT31" i="50"/>
  <c r="AU26" i="50"/>
  <c r="AU39" i="50"/>
  <c r="AS41" i="50"/>
  <c r="AS28" i="50"/>
  <c r="AM42" i="50"/>
  <c r="AM29" i="50"/>
  <c r="AW44" i="50"/>
  <c r="AW31" i="50"/>
  <c r="AW46" i="50"/>
  <c r="AW33" i="50"/>
  <c r="AO47" i="50"/>
  <c r="AO34" i="50"/>
  <c r="AN38" i="50"/>
  <c r="AN25" i="50"/>
  <c r="AM43" i="50"/>
  <c r="AM30" i="50"/>
  <c r="AR43" i="50"/>
  <c r="AR30" i="50"/>
  <c r="AU44" i="50"/>
  <c r="AU31" i="50"/>
  <c r="AT26" i="50"/>
  <c r="AT39" i="50"/>
  <c r="AW28" i="50"/>
  <c r="AW41" i="50"/>
  <c r="AT24" i="50"/>
  <c r="AT37" i="50"/>
  <c r="AO42" i="50"/>
  <c r="AO29" i="50"/>
  <c r="AM38" i="50"/>
  <c r="AM25" i="50"/>
  <c r="AQ26" i="50"/>
  <c r="AQ39" i="50"/>
  <c r="AT41" i="50"/>
  <c r="AT28" i="50"/>
  <c r="AQ43" i="50"/>
  <c r="AQ30" i="50"/>
  <c r="AS44" i="50"/>
  <c r="AS31" i="50"/>
  <c r="AU46" i="50"/>
  <c r="AU33" i="50"/>
  <c r="AL37" i="50"/>
  <c r="AL24" i="50"/>
  <c r="AN37" i="50"/>
  <c r="AN24" i="50"/>
  <c r="AU24" i="50"/>
  <c r="AU37" i="50"/>
  <c r="AR45" i="50"/>
  <c r="AR32" i="50"/>
  <c r="AL45" i="50"/>
  <c r="AL32" i="50"/>
  <c r="AO38" i="50"/>
  <c r="AO25" i="50"/>
  <c r="AL38" i="50"/>
  <c r="AL25" i="50"/>
  <c r="AQ44" i="50"/>
  <c r="AQ31" i="50"/>
  <c r="AS42" i="50"/>
  <c r="AS29" i="50"/>
  <c r="AP26" i="50"/>
  <c r="AP39" i="50"/>
  <c r="AR44" i="50"/>
  <c r="AR31" i="50"/>
  <c r="AQ24" i="50"/>
  <c r="AQ37" i="50"/>
  <c r="AS26" i="50"/>
  <c r="AS39" i="50"/>
  <c r="AO41" i="50"/>
  <c r="AO28" i="50"/>
  <c r="AV30" i="50"/>
  <c r="AV43" i="50"/>
  <c r="AN44" i="50"/>
  <c r="AN31" i="50"/>
  <c r="AO33" i="50"/>
  <c r="AO46" i="50"/>
  <c r="F9" i="50"/>
  <c r="AP24" i="50"/>
  <c r="AP37" i="50"/>
  <c r="AN47" i="50"/>
  <c r="AN34" i="50"/>
  <c r="AP45" i="50"/>
  <c r="AP32" i="50"/>
  <c r="AL39" i="50"/>
  <c r="AL26" i="50"/>
  <c r="AR26" i="50"/>
  <c r="AR39" i="50"/>
  <c r="AO39" i="50"/>
  <c r="AO26" i="50"/>
  <c r="AT47" i="50"/>
  <c r="AT34" i="50"/>
  <c r="AV25" i="50"/>
  <c r="AV38" i="50"/>
  <c r="AN46" i="50"/>
  <c r="AN33" i="50"/>
  <c r="AN39" i="50"/>
  <c r="AN26" i="50"/>
  <c r="AN41" i="50"/>
  <c r="AN28" i="50"/>
  <c r="AN43" i="50"/>
  <c r="AN30" i="50"/>
  <c r="AL31" i="50"/>
  <c r="AL44" i="50"/>
  <c r="AR46" i="50"/>
  <c r="AR33" i="50"/>
  <c r="F22" i="50"/>
  <c r="AN40" i="50"/>
  <c r="AN27" i="50"/>
  <c r="AW42" i="50"/>
  <c r="AW29" i="50"/>
  <c r="AO40" i="50"/>
  <c r="AO27" i="50"/>
  <c r="AN42" i="50"/>
  <c r="AN29" i="50"/>
  <c r="AO44" i="50"/>
  <c r="AO31" i="50"/>
  <c r="AS38" i="50"/>
  <c r="AS25" i="50"/>
  <c r="AS46" i="50"/>
  <c r="AS33" i="50"/>
  <c r="AV26" i="50"/>
  <c r="AV39" i="50"/>
  <c r="AS43" i="50"/>
  <c r="AS30" i="50"/>
  <c r="F35" i="50"/>
  <c r="AV27" i="50"/>
  <c r="AV40" i="50"/>
  <c r="AR41" i="50"/>
  <c r="AR28" i="50"/>
  <c r="AT30" i="50"/>
  <c r="AT43" i="50"/>
  <c r="AO32" i="50"/>
  <c r="AO45" i="50"/>
  <c r="AQ46" i="50"/>
  <c r="AQ33" i="50"/>
  <c r="AL41" i="50"/>
  <c r="AL28" i="50"/>
  <c r="AU30" i="50"/>
  <c r="AU43" i="50"/>
  <c r="AL43" i="50"/>
  <c r="AL30" i="50"/>
  <c r="AS47" i="50"/>
  <c r="AS34" i="50"/>
  <c r="AP47" i="50"/>
  <c r="AP34" i="50"/>
  <c r="AQ40" i="50"/>
  <c r="AQ27" i="50"/>
  <c r="AU25" i="50"/>
  <c r="AU38" i="50"/>
  <c r="AT46" i="50"/>
  <c r="AT33" i="50"/>
  <c r="AP41" i="50"/>
  <c r="AP28" i="50"/>
  <c r="AP44" i="50"/>
  <c r="AP31" i="50"/>
  <c r="AS24" i="50"/>
  <c r="AS37" i="50"/>
  <c r="AR27" i="50"/>
  <c r="AR40" i="50"/>
  <c r="AQ41" i="50"/>
  <c r="AQ28" i="50"/>
  <c r="AP43" i="50"/>
  <c r="AP30" i="50"/>
  <c r="AW32" i="50"/>
  <c r="AW45" i="50"/>
  <c r="AL33" i="50"/>
  <c r="AL46" i="50"/>
  <c r="AV24" i="50"/>
  <c r="AV37" i="50"/>
  <c r="AV45" i="50"/>
  <c r="AV32" i="50"/>
  <c r="AR25" i="50"/>
  <c r="AR38" i="50"/>
  <c r="AM45" i="50"/>
  <c r="AM32" i="50"/>
  <c r="AL34" i="50"/>
  <c r="AL47" i="50"/>
  <c r="AU47" i="50"/>
  <c r="AU34" i="50"/>
  <c r="AV28" i="50"/>
  <c r="AV41" i="50"/>
  <c r="AU40" i="50"/>
  <c r="AU27" i="50"/>
  <c r="AM41" i="50"/>
  <c r="AM28" i="50"/>
  <c r="AO43" i="50"/>
  <c r="AO30" i="50"/>
  <c r="AS45" i="50"/>
  <c r="AS32" i="50"/>
  <c r="AM46" i="50"/>
  <c r="AM33" i="50"/>
  <c r="AW24" i="50"/>
  <c r="AW37" i="50"/>
  <c r="AR47" i="49"/>
  <c r="AR34" i="49"/>
  <c r="AW30" i="49"/>
  <c r="AW43" i="49"/>
  <c r="F22" i="49"/>
  <c r="AN24" i="49"/>
  <c r="AN37" i="49"/>
  <c r="AV26" i="49"/>
  <c r="AV39" i="49"/>
  <c r="AU28" i="49"/>
  <c r="AU41" i="49"/>
  <c r="AV30" i="49"/>
  <c r="AV43" i="49"/>
  <c r="AU31" i="49"/>
  <c r="AU44" i="49"/>
  <c r="AN46" i="49"/>
  <c r="AN33" i="49"/>
  <c r="F9" i="49"/>
  <c r="AN42" i="49"/>
  <c r="AN29" i="49"/>
  <c r="F35" i="49"/>
  <c r="AU30" i="49"/>
  <c r="AU43" i="49"/>
  <c r="AO40" i="49"/>
  <c r="AO27" i="49"/>
  <c r="AM41" i="49"/>
  <c r="AM28" i="49"/>
  <c r="AS43" i="49"/>
  <c r="AS30" i="49"/>
  <c r="AV32" i="49"/>
  <c r="AV45" i="49"/>
  <c r="AV46" i="49"/>
  <c r="AV33" i="49"/>
  <c r="AR39" i="49"/>
  <c r="AR26" i="49"/>
  <c r="AW25" i="49"/>
  <c r="AW38" i="49"/>
  <c r="AW26" i="49"/>
  <c r="AW39" i="49"/>
  <c r="AR46" i="49"/>
  <c r="AR33" i="49"/>
  <c r="AV28" i="49"/>
  <c r="AV41" i="49"/>
  <c r="AW24" i="49"/>
  <c r="AW37" i="49"/>
  <c r="AS40" i="49"/>
  <c r="AS27" i="49"/>
  <c r="AW42" i="49"/>
  <c r="AW29" i="49"/>
  <c r="AL43" i="49"/>
  <c r="AL30" i="49"/>
  <c r="AQ45" i="49"/>
  <c r="AQ32" i="49"/>
  <c r="AL33" i="49"/>
  <c r="AL46" i="49"/>
  <c r="AM38" i="49"/>
  <c r="AM25" i="49"/>
  <c r="AO41" i="49"/>
  <c r="AO28" i="49"/>
  <c r="AL44" i="49"/>
  <c r="AL31" i="49"/>
  <c r="AT46" i="49"/>
  <c r="AT33" i="49"/>
  <c r="AL37" i="49"/>
  <c r="AL24" i="49"/>
  <c r="AS24" i="49"/>
  <c r="AS37" i="49"/>
  <c r="AT28" i="49"/>
  <c r="AT41" i="49"/>
  <c r="AN40" i="49"/>
  <c r="AN27" i="49"/>
  <c r="AT47" i="49"/>
  <c r="AT34" i="49"/>
  <c r="AP24" i="49"/>
  <c r="AP37" i="49"/>
  <c r="AU40" i="49"/>
  <c r="AU27" i="49"/>
  <c r="AP42" i="49"/>
  <c r="AP29" i="49"/>
  <c r="AQ44" i="49"/>
  <c r="AQ31" i="49"/>
  <c r="AN32" i="49"/>
  <c r="AN45" i="49"/>
  <c r="AU47" i="49"/>
  <c r="AU34" i="49"/>
  <c r="AN44" i="49"/>
  <c r="AN31" i="49"/>
  <c r="AQ47" i="49"/>
  <c r="AQ34" i="49"/>
  <c r="AR41" i="49"/>
  <c r="AR28" i="49"/>
  <c r="AN39" i="49"/>
  <c r="AN26" i="49"/>
  <c r="AT30" i="49"/>
  <c r="AT43" i="49"/>
  <c r="AM34" i="49"/>
  <c r="AM47" i="49"/>
  <c r="AM32" i="49"/>
  <c r="AM45" i="49"/>
  <c r="AL42" i="49"/>
  <c r="AL29" i="49"/>
  <c r="AR40" i="49"/>
  <c r="AR27" i="49"/>
  <c r="AS47" i="49"/>
  <c r="AS34" i="49"/>
  <c r="AV25" i="49"/>
  <c r="AV38" i="49"/>
  <c r="AO39" i="49"/>
  <c r="AO26" i="49"/>
  <c r="AQ40" i="49"/>
  <c r="AQ27" i="49"/>
  <c r="AS29" i="49"/>
  <c r="AS42" i="49"/>
  <c r="AM44" i="49"/>
  <c r="AM31" i="49"/>
  <c r="AP45" i="49"/>
  <c r="AP32" i="49"/>
  <c r="AQ46" i="49"/>
  <c r="AQ33" i="49"/>
  <c r="AN38" i="49"/>
  <c r="AN25" i="49"/>
  <c r="AT44" i="49"/>
  <c r="AT31" i="49"/>
  <c r="AW41" i="49"/>
  <c r="AW28" i="49"/>
  <c r="AW45" i="49"/>
  <c r="AW32" i="49"/>
  <c r="AL32" i="49"/>
  <c r="AL45" i="49"/>
  <c r="AM43" i="49"/>
  <c r="AM30" i="49"/>
  <c r="AO24" i="49"/>
  <c r="AO37" i="49"/>
  <c r="AQ42" i="49"/>
  <c r="AQ29" i="49"/>
  <c r="AT45" i="49"/>
  <c r="AT32" i="49"/>
  <c r="AR43" i="49"/>
  <c r="AR30" i="49"/>
  <c r="AS26" i="49"/>
  <c r="AS39" i="49"/>
  <c r="AT38" i="49"/>
  <c r="AT25" i="49"/>
  <c r="AM39" i="49"/>
  <c r="AM26" i="49"/>
  <c r="AV40" i="49"/>
  <c r="AV27" i="49"/>
  <c r="AM42" i="49"/>
  <c r="AM29" i="49"/>
  <c r="AP44" i="49"/>
  <c r="AP31" i="49"/>
  <c r="AU45" i="49"/>
  <c r="AU32" i="49"/>
  <c r="AV47" i="49"/>
  <c r="AV34" i="49"/>
  <c r="AQ41" i="49"/>
  <c r="AQ28" i="49"/>
  <c r="AV31" i="49"/>
  <c r="AV44" i="49"/>
  <c r="AU46" i="49"/>
  <c r="AU33" i="49"/>
  <c r="AU24" i="49"/>
  <c r="AU37" i="49"/>
  <c r="AL40" i="49"/>
  <c r="AL27" i="49"/>
  <c r="AU25" i="49"/>
  <c r="AU38" i="49"/>
  <c r="AR45" i="49"/>
  <c r="AR32" i="49"/>
  <c r="AS46" i="49"/>
  <c r="AS33" i="49"/>
  <c r="AV29" i="49"/>
  <c r="AV42" i="49"/>
  <c r="AQ39" i="49"/>
  <c r="AQ26" i="49"/>
  <c r="AP40" i="49"/>
  <c r="AP27" i="49"/>
  <c r="AU29" i="49"/>
  <c r="AU42" i="49"/>
  <c r="AS44" i="49"/>
  <c r="AS31" i="49"/>
  <c r="AS45" i="49"/>
  <c r="AS32" i="49"/>
  <c r="AM33" i="49"/>
  <c r="AM46" i="49"/>
  <c r="AR25" i="49"/>
  <c r="AR38" i="49"/>
  <c r="AR42" i="49"/>
  <c r="AR29" i="49"/>
  <c r="AP39" i="49"/>
  <c r="AP26" i="49"/>
  <c r="AN41" i="49"/>
  <c r="AN28" i="49"/>
  <c r="AQ43" i="49"/>
  <c r="AQ30" i="49"/>
  <c r="AO31" i="49"/>
  <c r="AO44" i="49"/>
  <c r="AT27" i="49"/>
  <c r="AT40" i="49"/>
  <c r="AT24" i="49"/>
  <c r="AT37" i="49"/>
  <c r="AL28" i="49"/>
  <c r="AL41" i="49"/>
  <c r="AQ24" i="49"/>
  <c r="AQ37" i="49"/>
  <c r="AP43" i="49"/>
  <c r="AP30" i="49"/>
  <c r="AM40" i="49"/>
  <c r="AM27" i="49"/>
  <c r="AO45" i="49"/>
  <c r="AO32" i="49"/>
  <c r="AR24" i="49"/>
  <c r="AR37" i="49"/>
  <c r="AU26" i="49"/>
  <c r="AU39" i="49"/>
  <c r="AP41" i="49"/>
  <c r="AP28" i="49"/>
  <c r="AO42" i="49"/>
  <c r="AO29" i="49"/>
  <c r="AW44" i="49"/>
  <c r="AW31" i="49"/>
  <c r="AL34" i="49"/>
  <c r="AL47" i="49"/>
  <c r="AO46" i="49"/>
  <c r="AO33" i="49"/>
  <c r="AV24" i="49"/>
  <c r="AV37" i="49"/>
  <c r="AO47" i="49"/>
  <c r="AO34" i="49"/>
  <c r="AW47" i="49"/>
  <c r="AW34" i="49"/>
  <c r="AT26" i="49"/>
  <c r="AT39" i="49"/>
  <c r="AW46" i="49"/>
  <c r="AW33" i="49"/>
  <c r="AO43" i="49"/>
  <c r="AO30" i="49"/>
  <c r="AN34" i="49"/>
  <c r="AN47" i="49"/>
  <c r="AW27" i="49"/>
  <c r="AW40" i="49"/>
  <c r="AN43" i="49"/>
  <c r="AN30" i="49"/>
  <c r="AM37" i="49"/>
  <c r="AM24" i="49"/>
  <c r="AL39" i="49"/>
  <c r="AL26" i="49"/>
  <c r="AS28" i="49"/>
  <c r="AS41" i="49"/>
  <c r="AT29" i="49"/>
  <c r="AT42" i="49"/>
  <c r="AR44" i="49"/>
  <c r="AR31" i="49"/>
  <c r="AP46" i="49"/>
  <c r="AP33" i="49"/>
  <c r="AP47" i="49"/>
  <c r="AP34" i="49"/>
  <c r="AS12" i="48"/>
  <c r="AW12" i="48"/>
  <c r="AT12" i="48"/>
  <c r="AV12" i="48"/>
  <c r="AU12" i="48"/>
  <c r="AU38" i="48" s="1"/>
  <c r="AT25" i="48"/>
  <c r="AT38" i="48"/>
  <c r="AV38" i="48"/>
  <c r="AV25" i="48"/>
  <c r="AN12" i="48"/>
  <c r="AS25" i="48"/>
  <c r="AS38" i="48"/>
  <c r="AO25" i="48"/>
  <c r="AO38" i="48"/>
  <c r="AW38" i="48"/>
  <c r="AW25" i="48"/>
  <c r="AR11" i="48"/>
  <c r="AD24" i="48"/>
  <c r="AD37" i="48"/>
  <c r="AC37" i="48"/>
  <c r="AQ11" i="48"/>
  <c r="AC24" i="48"/>
  <c r="AM11" i="48"/>
  <c r="Y37" i="48"/>
  <c r="Y24" i="48"/>
  <c r="X37" i="48"/>
  <c r="X24" i="48"/>
  <c r="AL11" i="48"/>
  <c r="AO21" i="48"/>
  <c r="AR21" i="48"/>
  <c r="AL21" i="48"/>
  <c r="AU21" i="48"/>
  <c r="AQ21" i="48"/>
  <c r="AT21" i="48"/>
  <c r="AW21" i="48"/>
  <c r="AN21" i="48"/>
  <c r="AS21" i="48"/>
  <c r="AV21" i="48"/>
  <c r="AP21" i="48"/>
  <c r="AM21" i="48"/>
  <c r="AM20" i="48"/>
  <c r="AP20" i="48"/>
  <c r="AS20" i="48"/>
  <c r="AW20" i="48"/>
  <c r="AT20" i="48"/>
  <c r="AV20" i="48"/>
  <c r="AL20" i="48"/>
  <c r="AR20" i="48"/>
  <c r="AO20" i="48"/>
  <c r="AN20" i="48"/>
  <c r="AU20" i="48"/>
  <c r="AQ20" i="48"/>
  <c r="AR19" i="48"/>
  <c r="AO19" i="48"/>
  <c r="AQ19" i="48"/>
  <c r="AV19" i="48"/>
  <c r="AT19" i="48"/>
  <c r="AU19" i="48"/>
  <c r="AM19" i="48"/>
  <c r="AS19" i="48"/>
  <c r="AP19" i="48"/>
  <c r="AN19" i="48"/>
  <c r="AW19" i="48"/>
  <c r="AL19" i="48"/>
  <c r="AT18" i="48"/>
  <c r="AR18" i="48"/>
  <c r="AN18" i="48"/>
  <c r="AL18" i="48"/>
  <c r="AV18" i="48"/>
  <c r="AQ18" i="48"/>
  <c r="AP18" i="48"/>
  <c r="AO18" i="48"/>
  <c r="AW18" i="48"/>
  <c r="AU18" i="48"/>
  <c r="AM18" i="48"/>
  <c r="AS18" i="48"/>
  <c r="AR17" i="48"/>
  <c r="AL17" i="48"/>
  <c r="AW17" i="48"/>
  <c r="AS17" i="48"/>
  <c r="AT17" i="48"/>
  <c r="AP17" i="48"/>
  <c r="AN17" i="48"/>
  <c r="AO17" i="48"/>
  <c r="AV17" i="48"/>
  <c r="AU17" i="48"/>
  <c r="AQ17" i="48"/>
  <c r="AM17" i="48"/>
  <c r="AS16" i="48"/>
  <c r="AT16" i="48"/>
  <c r="AQ16" i="48"/>
  <c r="AL16" i="48"/>
  <c r="AV16" i="48"/>
  <c r="AO16" i="48"/>
  <c r="AR16" i="48"/>
  <c r="AU16" i="48"/>
  <c r="AM16" i="48"/>
  <c r="AW16" i="48"/>
  <c r="AN16" i="48"/>
  <c r="AP16" i="48"/>
  <c r="AV15" i="48"/>
  <c r="AW15" i="48"/>
  <c r="AL15" i="48"/>
  <c r="AQ15" i="48"/>
  <c r="AM15" i="48"/>
  <c r="AT15" i="48"/>
  <c r="AS15" i="48"/>
  <c r="AO15" i="48"/>
  <c r="AU15" i="48"/>
  <c r="AR15" i="48"/>
  <c r="AN15" i="48"/>
  <c r="AP15" i="48"/>
  <c r="AV14" i="48"/>
  <c r="AR14" i="48"/>
  <c r="AT14" i="48"/>
  <c r="AP14" i="48"/>
  <c r="AO14" i="48"/>
  <c r="AQ14" i="48"/>
  <c r="AW14" i="48"/>
  <c r="AS14" i="48"/>
  <c r="AU14" i="48"/>
  <c r="AN14" i="48"/>
  <c r="AM14" i="48"/>
  <c r="AL14" i="48"/>
  <c r="AP13" i="48"/>
  <c r="AQ13" i="48"/>
  <c r="AW13" i="48"/>
  <c r="AL13" i="48"/>
  <c r="AN13" i="48"/>
  <c r="AT13" i="48"/>
  <c r="AU13" i="48"/>
  <c r="AV13" i="48"/>
  <c r="AO13" i="48"/>
  <c r="AS13" i="48"/>
  <c r="AR13" i="48"/>
  <c r="AM13" i="48"/>
  <c r="AQ12" i="48"/>
  <c r="Z37" i="48"/>
  <c r="Z24" i="48"/>
  <c r="AN11" i="48"/>
  <c r="AP12" i="48"/>
  <c r="AA37" i="48"/>
  <c r="AO11" i="48"/>
  <c r="AA24" i="48"/>
  <c r="AB24" i="48"/>
  <c r="AP11" i="48"/>
  <c r="AB37" i="48"/>
  <c r="AR12" i="48"/>
  <c r="AF24" i="48"/>
  <c r="AT11" i="48"/>
  <c r="AF37" i="48"/>
  <c r="AG24" i="48"/>
  <c r="AG37" i="48"/>
  <c r="AU11" i="48"/>
  <c r="AM12" i="48"/>
  <c r="AS11" i="48"/>
  <c r="AE37" i="48"/>
  <c r="AE24" i="48"/>
  <c r="AI24" i="48"/>
  <c r="AI37" i="48"/>
  <c r="AW11" i="48"/>
  <c r="AH24" i="48"/>
  <c r="AH37" i="48"/>
  <c r="AV11" i="48"/>
  <c r="AL12" i="48"/>
  <c r="AB25" i="44"/>
  <c r="AB38" i="44"/>
  <c r="Y25" i="44"/>
  <c r="Y38" i="44"/>
  <c r="AC25" i="44"/>
  <c r="AC38" i="44"/>
  <c r="AF25" i="44"/>
  <c r="AF38" i="44"/>
  <c r="X25" i="44"/>
  <c r="X38" i="44"/>
  <c r="AH11" i="44"/>
  <c r="AG11" i="44"/>
  <c r="AD11" i="44"/>
  <c r="AC11" i="44"/>
  <c r="AB11" i="44"/>
  <c r="AA11" i="44"/>
  <c r="Z11" i="44"/>
  <c r="Y11" i="44"/>
  <c r="AI11" i="44"/>
  <c r="AF11" i="44"/>
  <c r="AE11" i="44"/>
  <c r="X11" i="44"/>
  <c r="AG25" i="44"/>
  <c r="AG38" i="44"/>
  <c r="AE38" i="44"/>
  <c r="AE25" i="44"/>
  <c r="AD38" i="44"/>
  <c r="AD25" i="44"/>
  <c r="AH38" i="44"/>
  <c r="AH25" i="44"/>
  <c r="AI38" i="44"/>
  <c r="AI25" i="44"/>
  <c r="Z38" i="44"/>
  <c r="Z25" i="44"/>
  <c r="AA38" i="44"/>
  <c r="AA25" i="44"/>
  <c r="Z39" i="42"/>
  <c r="Z26" i="42"/>
  <c r="AC26" i="42"/>
  <c r="AC39" i="42"/>
  <c r="X12" i="42"/>
  <c r="AI12" i="42"/>
  <c r="AH12" i="42"/>
  <c r="AC12" i="42"/>
  <c r="AF12" i="42"/>
  <c r="AD12" i="42"/>
  <c r="AB12" i="42"/>
  <c r="AA12" i="42"/>
  <c r="Z12" i="42"/>
  <c r="W11" i="42"/>
  <c r="Y12" i="42"/>
  <c r="AE12" i="42"/>
  <c r="AG12" i="42"/>
  <c r="AE39" i="42"/>
  <c r="AE26" i="42"/>
  <c r="AA26" i="42"/>
  <c r="AA39" i="42"/>
  <c r="AB26" i="42"/>
  <c r="AB39" i="42"/>
  <c r="AD26" i="42"/>
  <c r="AD39" i="42"/>
  <c r="AG26" i="42"/>
  <c r="AG39" i="42"/>
  <c r="AH39" i="42"/>
  <c r="AH26" i="42"/>
  <c r="Y39" i="42"/>
  <c r="Y26" i="42"/>
  <c r="AF26" i="42"/>
  <c r="AF39" i="42"/>
  <c r="AI26" i="42"/>
  <c r="AI39" i="42"/>
  <c r="X26" i="42"/>
  <c r="X39" i="42"/>
  <c r="Y41" i="41"/>
  <c r="Y28" i="41"/>
  <c r="AE41" i="41"/>
  <c r="AE28" i="41"/>
  <c r="Z28" i="41"/>
  <c r="Z41" i="41"/>
  <c r="AB41" i="41"/>
  <c r="AB28" i="41"/>
  <c r="AC28" i="41"/>
  <c r="AC41" i="41"/>
  <c r="AH28" i="41"/>
  <c r="AH41" i="41"/>
  <c r="AI28" i="41"/>
  <c r="AI41" i="41"/>
  <c r="X41" i="41"/>
  <c r="X28" i="41"/>
  <c r="AA28" i="41"/>
  <c r="AA41" i="41"/>
  <c r="AD28" i="41"/>
  <c r="AD41" i="41"/>
  <c r="AA14" i="41"/>
  <c r="AH14" i="41"/>
  <c r="AE14" i="41"/>
  <c r="AG14" i="41"/>
  <c r="AD14" i="41"/>
  <c r="W13" i="41"/>
  <c r="AB14" i="41"/>
  <c r="Z14" i="41"/>
  <c r="Y14" i="41"/>
  <c r="X14" i="41"/>
  <c r="AI14" i="41"/>
  <c r="AF14" i="41"/>
  <c r="AC14" i="41"/>
  <c r="AF28" i="41"/>
  <c r="AF41" i="41"/>
  <c r="AG28" i="41"/>
  <c r="AG41" i="41"/>
  <c r="AB31" i="39"/>
  <c r="AB44" i="39"/>
  <c r="AD31" i="39"/>
  <c r="AD44" i="39"/>
  <c r="AE31" i="39"/>
  <c r="AE44" i="39"/>
  <c r="AA31" i="39"/>
  <c r="AA44" i="39"/>
  <c r="X17" i="39"/>
  <c r="AI17" i="39"/>
  <c r="AH17" i="39"/>
  <c r="AG17" i="39"/>
  <c r="AF17" i="39"/>
  <c r="W16" i="39"/>
  <c r="AE17" i="39"/>
  <c r="AD17" i="39"/>
  <c r="AC17" i="39"/>
  <c r="AB17" i="39"/>
  <c r="AA17" i="39"/>
  <c r="Z17" i="39"/>
  <c r="Y17" i="39"/>
  <c r="AF31" i="39"/>
  <c r="AF44" i="39"/>
  <c r="AG31" i="39"/>
  <c r="AG44" i="39"/>
  <c r="AC31" i="39"/>
  <c r="AC44" i="39"/>
  <c r="AI31" i="39"/>
  <c r="AI44" i="39"/>
  <c r="X31" i="39"/>
  <c r="X44" i="39"/>
  <c r="Y31" i="39"/>
  <c r="Y44" i="39"/>
  <c r="AH31" i="39"/>
  <c r="AH44" i="39"/>
  <c r="Z31" i="39"/>
  <c r="Z44" i="39"/>
  <c r="AA45" i="38"/>
  <c r="AA32" i="38"/>
  <c r="X32" i="38"/>
  <c r="X45" i="38"/>
  <c r="Z45" i="38"/>
  <c r="Z32" i="38"/>
  <c r="AI45" i="38"/>
  <c r="AI32" i="38"/>
  <c r="AB45" i="38"/>
  <c r="AB32" i="38"/>
  <c r="AD32" i="38"/>
  <c r="AD45" i="38"/>
  <c r="AF45" i="38"/>
  <c r="AF32" i="38"/>
  <c r="AC45" i="38"/>
  <c r="AC32" i="38"/>
  <c r="AI18" i="38"/>
  <c r="AC18" i="38"/>
  <c r="AF18" i="38"/>
  <c r="AH18" i="38"/>
  <c r="AB18" i="38"/>
  <c r="Z18" i="38"/>
  <c r="AG18" i="38"/>
  <c r="AA18" i="38"/>
  <c r="W17" i="38"/>
  <c r="AD18" i="38"/>
  <c r="Y18" i="38"/>
  <c r="X18" i="38"/>
  <c r="AE18" i="38"/>
  <c r="AG45" i="38"/>
  <c r="AG32" i="38"/>
  <c r="Y32" i="38"/>
  <c r="Y45" i="38"/>
  <c r="AH45" i="38"/>
  <c r="AH32" i="38"/>
  <c r="AE32" i="38"/>
  <c r="AE45" i="38"/>
  <c r="AD46" i="36"/>
  <c r="AD33" i="36"/>
  <c r="AD19" i="36"/>
  <c r="X19" i="36"/>
  <c r="AI19" i="36"/>
  <c r="AB19" i="36"/>
  <c r="AG19" i="36"/>
  <c r="AH19" i="36"/>
  <c r="AA19" i="36"/>
  <c r="W18" i="36"/>
  <c r="Z19" i="36"/>
  <c r="Y19" i="36"/>
  <c r="AE19" i="36"/>
  <c r="AC19" i="36"/>
  <c r="AF19" i="36"/>
  <c r="Z46" i="36"/>
  <c r="Z33" i="36"/>
  <c r="Y46" i="36"/>
  <c r="Y33" i="36"/>
  <c r="AH46" i="36"/>
  <c r="AH33" i="36"/>
  <c r="AF33" i="36"/>
  <c r="AF46" i="36"/>
  <c r="AC33" i="36"/>
  <c r="AC46" i="36"/>
  <c r="AE46" i="36"/>
  <c r="AE33" i="36"/>
  <c r="AI33" i="36"/>
  <c r="AI46" i="36"/>
  <c r="AA46" i="36"/>
  <c r="AA33" i="36"/>
  <c r="X46" i="36"/>
  <c r="X33" i="36"/>
  <c r="AB46" i="36"/>
  <c r="AB33" i="36"/>
  <c r="AG46" i="36"/>
  <c r="AG33" i="36"/>
  <c r="Y31" i="35"/>
  <c r="Y44" i="35"/>
  <c r="X44" i="35"/>
  <c r="X31" i="35"/>
  <c r="AH31" i="35"/>
  <c r="AH44" i="35"/>
  <c r="AI31" i="35"/>
  <c r="AI44" i="35"/>
  <c r="AD31" i="35"/>
  <c r="AD44" i="35"/>
  <c r="AA44" i="35"/>
  <c r="AA31" i="35"/>
  <c r="AE31" i="35"/>
  <c r="AE44" i="35"/>
  <c r="AB44" i="35"/>
  <c r="AB31" i="35"/>
  <c r="AF44" i="35"/>
  <c r="AF31" i="35"/>
  <c r="AC44" i="35"/>
  <c r="AC31" i="35"/>
  <c r="Z44" i="35"/>
  <c r="Z31" i="35"/>
  <c r="AG17" i="35"/>
  <c r="AA17" i="35"/>
  <c r="AC17" i="35"/>
  <c r="AH17" i="35"/>
  <c r="Y17" i="35"/>
  <c r="AF17" i="35"/>
  <c r="X17" i="35"/>
  <c r="AE17" i="35"/>
  <c r="AD17" i="35"/>
  <c r="AB17" i="35"/>
  <c r="W16" i="35"/>
  <c r="AI17" i="35"/>
  <c r="Z17" i="35"/>
  <c r="AG44" i="35"/>
  <c r="AG31" i="35"/>
  <c r="AU25" i="48" l="1"/>
  <c r="AM32" i="48"/>
  <c r="AM45" i="48"/>
  <c r="AN47" i="48"/>
  <c r="AN34" i="48"/>
  <c r="AO31" i="48"/>
  <c r="AO44" i="48"/>
  <c r="AQ46" i="48"/>
  <c r="AQ33" i="48"/>
  <c r="AU47" i="48"/>
  <c r="AU34" i="48"/>
  <c r="AN29" i="48"/>
  <c r="AN42" i="48"/>
  <c r="AT45" i="48"/>
  <c r="AT32" i="48"/>
  <c r="AT27" i="48"/>
  <c r="AT40" i="48"/>
  <c r="AO32" i="48"/>
  <c r="AO45" i="48"/>
  <c r="AW31" i="48"/>
  <c r="AW44" i="48"/>
  <c r="AL47" i="48"/>
  <c r="AL34" i="48"/>
  <c r="AU41" i="48"/>
  <c r="AU28" i="48"/>
  <c r="AS29" i="48"/>
  <c r="AS42" i="48"/>
  <c r="AV31" i="48"/>
  <c r="AV44" i="48"/>
  <c r="AO33" i="48"/>
  <c r="AO46" i="48"/>
  <c r="AO47" i="48"/>
  <c r="AO34" i="48"/>
  <c r="AQ27" i="48"/>
  <c r="AQ40" i="48"/>
  <c r="AM29" i="48"/>
  <c r="AM42" i="48"/>
  <c r="AM39" i="48"/>
  <c r="AM26" i="48"/>
  <c r="AR39" i="48"/>
  <c r="AR26" i="48"/>
  <c r="AR27" i="48"/>
  <c r="AR40" i="48"/>
  <c r="AL25" i="48"/>
  <c r="AL38" i="48"/>
  <c r="AL29" i="48"/>
  <c r="AL42" i="48"/>
  <c r="AR25" i="48"/>
  <c r="AR38" i="48"/>
  <c r="AR34" i="48"/>
  <c r="AR47" i="48"/>
  <c r="AL39" i="48"/>
  <c r="AL26" i="48"/>
  <c r="AS28" i="48"/>
  <c r="AS41" i="48"/>
  <c r="AQ30" i="48"/>
  <c r="AQ43" i="48"/>
  <c r="AN44" i="48"/>
  <c r="AN31" i="48"/>
  <c r="AL33" i="48"/>
  <c r="AL46" i="48"/>
  <c r="AL37" i="48"/>
  <c r="AL24" i="48"/>
  <c r="AU37" i="48"/>
  <c r="AU24" i="48"/>
  <c r="AW42" i="48"/>
  <c r="AW29" i="48"/>
  <c r="AQ25" i="48"/>
  <c r="AQ38" i="48"/>
  <c r="AP40" i="48"/>
  <c r="AP27" i="48"/>
  <c r="AR42" i="48"/>
  <c r="AR29" i="48"/>
  <c r="AS26" i="48"/>
  <c r="AS39" i="48"/>
  <c r="AV40" i="48"/>
  <c r="AV27" i="48"/>
  <c r="AV39" i="48"/>
  <c r="AV26" i="48"/>
  <c r="AP44" i="48"/>
  <c r="AP31" i="48"/>
  <c r="AQ44" i="48"/>
  <c r="AQ31" i="48"/>
  <c r="AW24" i="48"/>
  <c r="AW37" i="48"/>
  <c r="AR46" i="48"/>
  <c r="AR33" i="48"/>
  <c r="AW39" i="48"/>
  <c r="AW26" i="48"/>
  <c r="AQ39" i="48"/>
  <c r="AQ26" i="48"/>
  <c r="AT28" i="48"/>
  <c r="AT41" i="48"/>
  <c r="AU30" i="48"/>
  <c r="AU43" i="48"/>
  <c r="AR44" i="48"/>
  <c r="AR31" i="48"/>
  <c r="AV46" i="48"/>
  <c r="AV33" i="48"/>
  <c r="F22" i="48"/>
  <c r="AV47" i="48"/>
  <c r="AV34" i="48"/>
  <c r="AS44" i="48"/>
  <c r="AS31" i="48"/>
  <c r="AU31" i="48"/>
  <c r="AU44" i="48"/>
  <c r="AP41" i="48"/>
  <c r="AP28" i="48"/>
  <c r="AT42" i="48"/>
  <c r="AT29" i="48"/>
  <c r="AP26" i="48"/>
  <c r="AP39" i="48"/>
  <c r="AU45" i="48"/>
  <c r="AU32" i="48"/>
  <c r="AQ32" i="48"/>
  <c r="AQ45" i="48"/>
  <c r="AV29" i="48"/>
  <c r="AV42" i="48"/>
  <c r="AU26" i="48"/>
  <c r="AU39" i="48"/>
  <c r="AL44" i="48"/>
  <c r="AL31" i="48"/>
  <c r="AN38" i="48"/>
  <c r="AN25" i="48"/>
  <c r="AP47" i="48"/>
  <c r="AP34" i="48"/>
  <c r="AU42" i="48"/>
  <c r="AU29" i="48"/>
  <c r="AM44" i="48"/>
  <c r="AM31" i="48"/>
  <c r="AO29" i="48"/>
  <c r="AO42" i="48"/>
  <c r="AR32" i="48"/>
  <c r="AR45" i="48"/>
  <c r="AQ42" i="48"/>
  <c r="AQ29" i="48"/>
  <c r="AN33" i="48"/>
  <c r="AN46" i="48"/>
  <c r="AM30" i="48"/>
  <c r="AM43" i="48"/>
  <c r="F9" i="48"/>
  <c r="AM28" i="48"/>
  <c r="AM41" i="48"/>
  <c r="F35" i="48"/>
  <c r="AW33" i="48"/>
  <c r="AW46" i="48"/>
  <c r="AM40" i="48"/>
  <c r="AM27" i="48"/>
  <c r="AL28" i="48"/>
  <c r="AL41" i="48"/>
  <c r="AN30" i="48"/>
  <c r="AN43" i="48"/>
  <c r="AW45" i="48"/>
  <c r="AW32" i="48"/>
  <c r="AS46" i="48"/>
  <c r="AS33" i="48"/>
  <c r="AL30" i="48"/>
  <c r="AL43" i="48"/>
  <c r="AS34" i="48"/>
  <c r="AS47" i="48"/>
  <c r="AW47" i="48"/>
  <c r="AW34" i="48"/>
  <c r="AO39" i="48"/>
  <c r="AO26" i="48"/>
  <c r="AV37" i="48"/>
  <c r="AV24" i="48"/>
  <c r="AN28" i="48"/>
  <c r="AN41" i="48"/>
  <c r="AT26" i="48"/>
  <c r="AT39" i="48"/>
  <c r="AN39" i="48"/>
  <c r="AN26" i="48"/>
  <c r="AT46" i="48"/>
  <c r="AT33" i="48"/>
  <c r="AL40" i="48"/>
  <c r="AL27" i="48"/>
  <c r="AO30" i="48"/>
  <c r="AO43" i="48"/>
  <c r="AS37" i="48"/>
  <c r="AS24" i="48"/>
  <c r="AP25" i="48"/>
  <c r="AP38" i="48"/>
  <c r="AN40" i="48"/>
  <c r="AN27" i="48"/>
  <c r="AW41" i="48"/>
  <c r="AW28" i="48"/>
  <c r="AP30" i="48"/>
  <c r="AP43" i="48"/>
  <c r="AN32" i="48"/>
  <c r="AN45" i="48"/>
  <c r="AP33" i="48"/>
  <c r="AP46" i="48"/>
  <c r="AW43" i="48"/>
  <c r="AW30" i="48"/>
  <c r="AR43" i="48"/>
  <c r="AR30" i="48"/>
  <c r="AQ24" i="48"/>
  <c r="AQ37" i="48"/>
  <c r="AT37" i="48"/>
  <c r="AT24" i="48"/>
  <c r="AU46" i="48"/>
  <c r="AU33" i="48"/>
  <c r="AP37" i="48"/>
  <c r="AP24" i="48"/>
  <c r="AV30" i="48"/>
  <c r="AV43" i="48"/>
  <c r="AO37" i="48"/>
  <c r="AO24" i="48"/>
  <c r="AL45" i="48"/>
  <c r="AL32" i="48"/>
  <c r="AN24" i="48"/>
  <c r="AN37" i="48"/>
  <c r="AU27" i="48"/>
  <c r="AU40" i="48"/>
  <c r="AV41" i="48"/>
  <c r="AV28" i="48"/>
  <c r="AT30" i="48"/>
  <c r="AT43" i="48"/>
  <c r="AP32" i="48"/>
  <c r="AP45" i="48"/>
  <c r="AM46" i="48"/>
  <c r="AM33" i="48"/>
  <c r="AM37" i="48"/>
  <c r="AM24" i="48"/>
  <c r="AW40" i="48"/>
  <c r="AW27" i="48"/>
  <c r="AO40" i="48"/>
  <c r="AO27" i="48"/>
  <c r="AV32" i="48"/>
  <c r="AV45" i="48"/>
  <c r="AT34" i="48"/>
  <c r="AT47" i="48"/>
  <c r="AQ34" i="48"/>
  <c r="AQ47" i="48"/>
  <c r="AR37" i="48"/>
  <c r="AR24" i="48"/>
  <c r="AR28" i="48"/>
  <c r="AR41" i="48"/>
  <c r="AO28" i="48"/>
  <c r="AO41" i="48"/>
  <c r="AT44" i="48"/>
  <c r="AT31" i="48"/>
  <c r="AQ41" i="48"/>
  <c r="AQ28" i="48"/>
  <c r="AM38" i="48"/>
  <c r="AM25" i="48"/>
  <c r="AS27" i="48"/>
  <c r="AS40" i="48"/>
  <c r="AP42" i="48"/>
  <c r="AP29" i="48"/>
  <c r="AS43" i="48"/>
  <c r="AS30" i="48"/>
  <c r="AS32" i="48"/>
  <c r="AS45" i="48"/>
  <c r="AM34" i="48"/>
  <c r="AM47" i="48"/>
  <c r="AT12" i="44"/>
  <c r="AT25" i="44" s="1"/>
  <c r="AE24" i="44"/>
  <c r="AS11" i="44"/>
  <c r="AE37" i="44"/>
  <c r="X24" i="44"/>
  <c r="AL11" i="44"/>
  <c r="X37" i="44"/>
  <c r="AU21" i="44"/>
  <c r="AT21" i="44"/>
  <c r="AL21" i="44"/>
  <c r="AM21" i="44"/>
  <c r="AN21" i="44"/>
  <c r="AQ21" i="44"/>
  <c r="AO21" i="44"/>
  <c r="AR21" i="44"/>
  <c r="AV21" i="44"/>
  <c r="AS21" i="44"/>
  <c r="AP21" i="44"/>
  <c r="AW21" i="44"/>
  <c r="AN20" i="44"/>
  <c r="AL20" i="44"/>
  <c r="AV20" i="44"/>
  <c r="AS20" i="44"/>
  <c r="AM20" i="44"/>
  <c r="AQ20" i="44"/>
  <c r="AW20" i="44"/>
  <c r="AU20" i="44"/>
  <c r="AO20" i="44"/>
  <c r="AP20" i="44"/>
  <c r="AT20" i="44"/>
  <c r="AR20" i="44"/>
  <c r="AP19" i="44"/>
  <c r="AV19" i="44"/>
  <c r="AT19" i="44"/>
  <c r="AQ19" i="44"/>
  <c r="AM19" i="44"/>
  <c r="AN19" i="44"/>
  <c r="AS19" i="44"/>
  <c r="AU19" i="44"/>
  <c r="AL19" i="44"/>
  <c r="AW19" i="44"/>
  <c r="AR19" i="44"/>
  <c r="AO19" i="44"/>
  <c r="AW18" i="44"/>
  <c r="AT18" i="44"/>
  <c r="AM18" i="44"/>
  <c r="AQ18" i="44"/>
  <c r="AV18" i="44"/>
  <c r="AN18" i="44"/>
  <c r="AO18" i="44"/>
  <c r="AU18" i="44"/>
  <c r="AS18" i="44"/>
  <c r="AP18" i="44"/>
  <c r="AL18" i="44"/>
  <c r="AR18" i="44"/>
  <c r="AN17" i="44"/>
  <c r="AS17" i="44"/>
  <c r="AT17" i="44"/>
  <c r="AL17" i="44"/>
  <c r="AV17" i="44"/>
  <c r="AW17" i="44"/>
  <c r="AR17" i="44"/>
  <c r="AM17" i="44"/>
  <c r="AU17" i="44"/>
  <c r="AQ17" i="44"/>
  <c r="AO17" i="44"/>
  <c r="AP17" i="44"/>
  <c r="AW16" i="44"/>
  <c r="AQ16" i="44"/>
  <c r="AR16" i="44"/>
  <c r="AL16" i="44"/>
  <c r="AN16" i="44"/>
  <c r="AO16" i="44"/>
  <c r="AT16" i="44"/>
  <c r="AU16" i="44"/>
  <c r="AM16" i="44"/>
  <c r="AS16" i="44"/>
  <c r="AV16" i="44"/>
  <c r="AP16" i="44"/>
  <c r="AV15" i="44"/>
  <c r="AR15" i="44"/>
  <c r="AQ15" i="44"/>
  <c r="AO15" i="44"/>
  <c r="AP15" i="44"/>
  <c r="AM15" i="44"/>
  <c r="AS15" i="44"/>
  <c r="AT15" i="44"/>
  <c r="AN15" i="44"/>
  <c r="AW15" i="44"/>
  <c r="AU15" i="44"/>
  <c r="AL15" i="44"/>
  <c r="AW14" i="44"/>
  <c r="AO14" i="44"/>
  <c r="AT14" i="44"/>
  <c r="AP14" i="44"/>
  <c r="AR14" i="44"/>
  <c r="AV14" i="44"/>
  <c r="AS14" i="44"/>
  <c r="AU14" i="44"/>
  <c r="AQ14" i="44"/>
  <c r="AN14" i="44"/>
  <c r="AL14" i="44"/>
  <c r="AM14" i="44"/>
  <c r="AV13" i="44"/>
  <c r="AW13" i="44"/>
  <c r="AR13" i="44"/>
  <c r="AQ13" i="44"/>
  <c r="AM13" i="44"/>
  <c r="AT13" i="44"/>
  <c r="AL13" i="44"/>
  <c r="AO13" i="44"/>
  <c r="AU13" i="44"/>
  <c r="AN13" i="44"/>
  <c r="AS13" i="44"/>
  <c r="AP13" i="44"/>
  <c r="AV12" i="44"/>
  <c r="AF24" i="44"/>
  <c r="AT11" i="44"/>
  <c r="AF37" i="44"/>
  <c r="AM11" i="44"/>
  <c r="Y37" i="44"/>
  <c r="Y24" i="44"/>
  <c r="AO12" i="44"/>
  <c r="Z37" i="44"/>
  <c r="AN11" i="44"/>
  <c r="Z24" i="44"/>
  <c r="AA24" i="44"/>
  <c r="AO11" i="44"/>
  <c r="AA37" i="44"/>
  <c r="AQ12" i="44"/>
  <c r="AR12" i="44"/>
  <c r="AB24" i="44"/>
  <c r="AP11" i="44"/>
  <c r="AB37" i="44"/>
  <c r="AI24" i="44"/>
  <c r="AI37" i="44"/>
  <c r="AW11" i="44"/>
  <c r="AC24" i="44"/>
  <c r="AQ11" i="44"/>
  <c r="AC37" i="44"/>
  <c r="AS12" i="44"/>
  <c r="AD24" i="44"/>
  <c r="AR11" i="44"/>
  <c r="AD37" i="44"/>
  <c r="AH37" i="44"/>
  <c r="AH24" i="44"/>
  <c r="AV11" i="44"/>
  <c r="AW12" i="44"/>
  <c r="AM12" i="44"/>
  <c r="AU12" i="44"/>
  <c r="AL12" i="44"/>
  <c r="AP12" i="44"/>
  <c r="AN12" i="44"/>
  <c r="AU11" i="44"/>
  <c r="AG37" i="44"/>
  <c r="AG24" i="44"/>
  <c r="AA38" i="42"/>
  <c r="AA25" i="42"/>
  <c r="AB38" i="42"/>
  <c r="AB25" i="42"/>
  <c r="AD25" i="42"/>
  <c r="AD38" i="42"/>
  <c r="AF38" i="42"/>
  <c r="AF25" i="42"/>
  <c r="AC38" i="42"/>
  <c r="AC25" i="42"/>
  <c r="AH38" i="42"/>
  <c r="AH25" i="42"/>
  <c r="AI25" i="42"/>
  <c r="AI38" i="42"/>
  <c r="X38" i="42"/>
  <c r="X25" i="42"/>
  <c r="AG38" i="42"/>
  <c r="AG25" i="42"/>
  <c r="AE25" i="42"/>
  <c r="AE38" i="42"/>
  <c r="Y38" i="42"/>
  <c r="Y25" i="42"/>
  <c r="AE11" i="42"/>
  <c r="AB11" i="42"/>
  <c r="Z11" i="42"/>
  <c r="Y11" i="42"/>
  <c r="X11" i="42"/>
  <c r="AI11" i="42"/>
  <c r="AC11" i="42"/>
  <c r="AH11" i="42"/>
  <c r="AG11" i="42"/>
  <c r="AF11" i="42"/>
  <c r="AD11" i="42"/>
  <c r="AA11" i="42"/>
  <c r="Z25" i="42"/>
  <c r="Z38" i="42"/>
  <c r="Z27" i="41"/>
  <c r="Z40" i="41"/>
  <c r="AB27" i="41"/>
  <c r="AB40" i="41"/>
  <c r="AH13" i="41"/>
  <c r="AD13" i="41"/>
  <c r="AB13" i="41"/>
  <c r="Y13" i="41"/>
  <c r="AF13" i="41"/>
  <c r="AE13" i="41"/>
  <c r="W12" i="41"/>
  <c r="Z13" i="41"/>
  <c r="X13" i="41"/>
  <c r="AI13" i="41"/>
  <c r="AG13" i="41"/>
  <c r="AC13" i="41"/>
  <c r="AA13" i="41"/>
  <c r="AD40" i="41"/>
  <c r="AD27" i="41"/>
  <c r="AG27" i="41"/>
  <c r="AG40" i="41"/>
  <c r="AE40" i="41"/>
  <c r="AE27" i="41"/>
  <c r="AH40" i="41"/>
  <c r="AH27" i="41"/>
  <c r="AA40" i="41"/>
  <c r="AA27" i="41"/>
  <c r="AC27" i="41"/>
  <c r="AC40" i="41"/>
  <c r="AF40" i="41"/>
  <c r="AF27" i="41"/>
  <c r="AI40" i="41"/>
  <c r="AI27" i="41"/>
  <c r="X40" i="41"/>
  <c r="X27" i="41"/>
  <c r="Y27" i="41"/>
  <c r="Y40" i="41"/>
  <c r="AI30" i="39"/>
  <c r="AI43" i="39"/>
  <c r="Y30" i="39"/>
  <c r="Y43" i="39"/>
  <c r="Z30" i="39"/>
  <c r="Z43" i="39"/>
  <c r="AA43" i="39"/>
  <c r="AA30" i="39"/>
  <c r="AB43" i="39"/>
  <c r="AB30" i="39"/>
  <c r="AC30" i="39"/>
  <c r="AC43" i="39"/>
  <c r="AE30" i="39"/>
  <c r="AE43" i="39"/>
  <c r="AE16" i="39"/>
  <c r="AD16" i="39"/>
  <c r="AC16" i="39"/>
  <c r="AB16" i="39"/>
  <c r="AA16" i="39"/>
  <c r="Z16" i="39"/>
  <c r="Y16" i="39"/>
  <c r="X16" i="39"/>
  <c r="AI16" i="39"/>
  <c r="AH16" i="39"/>
  <c r="AG16" i="39"/>
  <c r="W15" i="39"/>
  <c r="AF16" i="39"/>
  <c r="AF30" i="39"/>
  <c r="AF43" i="39"/>
  <c r="AG30" i="39"/>
  <c r="AG43" i="39"/>
  <c r="AD30" i="39"/>
  <c r="AD43" i="39"/>
  <c r="AH30" i="39"/>
  <c r="AH43" i="39"/>
  <c r="X30" i="39"/>
  <c r="X43" i="39"/>
  <c r="AF17" i="38"/>
  <c r="Z17" i="38"/>
  <c r="W16" i="38"/>
  <c r="AC17" i="38"/>
  <c r="AE17" i="38"/>
  <c r="Y17" i="38"/>
  <c r="AI17" i="38"/>
  <c r="AD17" i="38"/>
  <c r="X17" i="38"/>
  <c r="AG17" i="38"/>
  <c r="AB17" i="38"/>
  <c r="AH17" i="38"/>
  <c r="AA17" i="38"/>
  <c r="AF44" i="38"/>
  <c r="AF31" i="38"/>
  <c r="AA31" i="38"/>
  <c r="AA44" i="38"/>
  <c r="AC44" i="38"/>
  <c r="AC31" i="38"/>
  <c r="AH31" i="38"/>
  <c r="AH44" i="38"/>
  <c r="AE44" i="38"/>
  <c r="AE31" i="38"/>
  <c r="AG31" i="38"/>
  <c r="AG44" i="38"/>
  <c r="AI44" i="38"/>
  <c r="AI31" i="38"/>
  <c r="X44" i="38"/>
  <c r="X31" i="38"/>
  <c r="Z44" i="38"/>
  <c r="Z31" i="38"/>
  <c r="AD44" i="38"/>
  <c r="AD31" i="38"/>
  <c r="Y44" i="38"/>
  <c r="Y31" i="38"/>
  <c r="AB31" i="38"/>
  <c r="AB44" i="38"/>
  <c r="AG18" i="36"/>
  <c r="AA18" i="36"/>
  <c r="AE18" i="36"/>
  <c r="X18" i="36"/>
  <c r="AC18" i="36"/>
  <c r="AD18" i="36"/>
  <c r="AI18" i="36"/>
  <c r="W17" i="36"/>
  <c r="AH18" i="36"/>
  <c r="AF18" i="36"/>
  <c r="AB18" i="36"/>
  <c r="Z18" i="36"/>
  <c r="Y18" i="36"/>
  <c r="X45" i="36"/>
  <c r="X32" i="36"/>
  <c r="AF45" i="36"/>
  <c r="AF32" i="36"/>
  <c r="AA45" i="36"/>
  <c r="AA32" i="36"/>
  <c r="AD32" i="36"/>
  <c r="AD45" i="36"/>
  <c r="AE32" i="36"/>
  <c r="AE45" i="36"/>
  <c r="AG45" i="36"/>
  <c r="AG32" i="36"/>
  <c r="AH45" i="36"/>
  <c r="AH32" i="36"/>
  <c r="Y32" i="36"/>
  <c r="Y45" i="36"/>
  <c r="AB45" i="36"/>
  <c r="AB32" i="36"/>
  <c r="AC32" i="36"/>
  <c r="AC45" i="36"/>
  <c r="Z45" i="36"/>
  <c r="Z32" i="36"/>
  <c r="AI32" i="36"/>
  <c r="AI45" i="36"/>
  <c r="AB30" i="35"/>
  <c r="AB43" i="35"/>
  <c r="AH30" i="35"/>
  <c r="AH43" i="35"/>
  <c r="AD43" i="35"/>
  <c r="AD30" i="35"/>
  <c r="AC30" i="35"/>
  <c r="AC43" i="35"/>
  <c r="AE30" i="35"/>
  <c r="AE43" i="35"/>
  <c r="AA43" i="35"/>
  <c r="AA30" i="35"/>
  <c r="Z30" i="35"/>
  <c r="Z43" i="35"/>
  <c r="X43" i="35"/>
  <c r="X30" i="35"/>
  <c r="AG43" i="35"/>
  <c r="AG30" i="35"/>
  <c r="AI43" i="35"/>
  <c r="AI30" i="35"/>
  <c r="AF43" i="35"/>
  <c r="AF30" i="35"/>
  <c r="AD16" i="35"/>
  <c r="X16" i="35"/>
  <c r="AF16" i="35"/>
  <c r="Y16" i="35"/>
  <c r="AC16" i="35"/>
  <c r="AB16" i="35"/>
  <c r="AI16" i="35"/>
  <c r="AA16" i="35"/>
  <c r="W15" i="35"/>
  <c r="AH16" i="35"/>
  <c r="AG16" i="35"/>
  <c r="AE16" i="35"/>
  <c r="Z16" i="35"/>
  <c r="Y43" i="35"/>
  <c r="Y30" i="35"/>
  <c r="AT38" i="44" l="1"/>
  <c r="AW25" i="44"/>
  <c r="AW38" i="44"/>
  <c r="AO25" i="44"/>
  <c r="AO38" i="44"/>
  <c r="AT26" i="44"/>
  <c r="AT39" i="44"/>
  <c r="AO27" i="44"/>
  <c r="AO40" i="44"/>
  <c r="AS29" i="44"/>
  <c r="AS42" i="44"/>
  <c r="AW43" i="44"/>
  <c r="AW30" i="44"/>
  <c r="AT31" i="44"/>
  <c r="AT44" i="44"/>
  <c r="AP33" i="44"/>
  <c r="AP46" i="44"/>
  <c r="AQ34" i="44"/>
  <c r="AQ47" i="44"/>
  <c r="AV24" i="44"/>
  <c r="AV37" i="44"/>
  <c r="AM26" i="44"/>
  <c r="AM39" i="44"/>
  <c r="AW40" i="44"/>
  <c r="AW27" i="44"/>
  <c r="AM42" i="44"/>
  <c r="AM29" i="44"/>
  <c r="AV43" i="44"/>
  <c r="AV30" i="44"/>
  <c r="AW44" i="44"/>
  <c r="AW31" i="44"/>
  <c r="AO33" i="44"/>
  <c r="AO46" i="44"/>
  <c r="AN34" i="44"/>
  <c r="AN47" i="44"/>
  <c r="AQ26" i="44"/>
  <c r="AQ39" i="44"/>
  <c r="AL41" i="44"/>
  <c r="AL28" i="44"/>
  <c r="AU42" i="44"/>
  <c r="AU29" i="44"/>
  <c r="AL30" i="44"/>
  <c r="AL43" i="44"/>
  <c r="AO32" i="44"/>
  <c r="AO45" i="44"/>
  <c r="AU33" i="44"/>
  <c r="AU46" i="44"/>
  <c r="AM47" i="44"/>
  <c r="AM34" i="44"/>
  <c r="AM37" i="44"/>
  <c r="AM24" i="44"/>
  <c r="AR39" i="44"/>
  <c r="AR26" i="44"/>
  <c r="AU41" i="44"/>
  <c r="AU28" i="44"/>
  <c r="AT29" i="44"/>
  <c r="AT42" i="44"/>
  <c r="AT30" i="44"/>
  <c r="AT43" i="44"/>
  <c r="AR32" i="44"/>
  <c r="AR45" i="44"/>
  <c r="AW33" i="44"/>
  <c r="AW46" i="44"/>
  <c r="AL34" i="44"/>
  <c r="AL47" i="44"/>
  <c r="AP37" i="44"/>
  <c r="AP24" i="44"/>
  <c r="AW26" i="44"/>
  <c r="AW39" i="44"/>
  <c r="AW28" i="44"/>
  <c r="AW41" i="44"/>
  <c r="AO29" i="44"/>
  <c r="AO42" i="44"/>
  <c r="AS43" i="44"/>
  <c r="AS30" i="44"/>
  <c r="AW32" i="44"/>
  <c r="AW45" i="44"/>
  <c r="AQ46" i="44"/>
  <c r="AQ33" i="44"/>
  <c r="AT34" i="44"/>
  <c r="AT47" i="44"/>
  <c r="AV26" i="44"/>
  <c r="AV39" i="44"/>
  <c r="AN28" i="44"/>
  <c r="AN41" i="44"/>
  <c r="AN42" i="44"/>
  <c r="AN29" i="44"/>
  <c r="AN43" i="44"/>
  <c r="AN30" i="44"/>
  <c r="AL32" i="44"/>
  <c r="AL45" i="44"/>
  <c r="AM46" i="44"/>
  <c r="AM33" i="44"/>
  <c r="AU34" i="44"/>
  <c r="AU47" i="44"/>
  <c r="AR24" i="44"/>
  <c r="AR37" i="44"/>
  <c r="AR38" i="44"/>
  <c r="AR25" i="44"/>
  <c r="AM27" i="44"/>
  <c r="AM40" i="44"/>
  <c r="AT41" i="44"/>
  <c r="AT28" i="44"/>
  <c r="AL29" i="44"/>
  <c r="AL42" i="44"/>
  <c r="AR44" i="44"/>
  <c r="AR31" i="44"/>
  <c r="AU45" i="44"/>
  <c r="AU32" i="44"/>
  <c r="AS33" i="44"/>
  <c r="AS46" i="44"/>
  <c r="F35" i="44"/>
  <c r="AQ38" i="44"/>
  <c r="AQ25" i="44"/>
  <c r="AT24" i="44"/>
  <c r="AT37" i="44"/>
  <c r="AL40" i="44"/>
  <c r="AL27" i="44"/>
  <c r="AS28" i="44"/>
  <c r="AS41" i="44"/>
  <c r="AR29" i="44"/>
  <c r="AR42" i="44"/>
  <c r="AL44" i="44"/>
  <c r="AL31" i="44"/>
  <c r="AS32" i="44"/>
  <c r="AS45" i="44"/>
  <c r="AV33" i="44"/>
  <c r="AV46" i="44"/>
  <c r="AL37" i="44"/>
  <c r="AL24" i="44"/>
  <c r="AN27" i="44"/>
  <c r="AN40" i="44"/>
  <c r="AM41" i="44"/>
  <c r="AM28" i="44"/>
  <c r="AQ29" i="44"/>
  <c r="AQ42" i="44"/>
  <c r="AP44" i="44"/>
  <c r="AP31" i="44"/>
  <c r="AN32" i="44"/>
  <c r="AN45" i="44"/>
  <c r="AL33" i="44"/>
  <c r="AL46" i="44"/>
  <c r="F22" i="44"/>
  <c r="AS25" i="44"/>
  <c r="AS38" i="44"/>
  <c r="AO24" i="44"/>
  <c r="AO37" i="44"/>
  <c r="AV38" i="44"/>
  <c r="AV25" i="44"/>
  <c r="AQ27" i="44"/>
  <c r="AQ40" i="44"/>
  <c r="AP41" i="44"/>
  <c r="AP28" i="44"/>
  <c r="AW29" i="44"/>
  <c r="AW42" i="44"/>
  <c r="AS31" i="44"/>
  <c r="AS44" i="44"/>
  <c r="AM32" i="44"/>
  <c r="AM45" i="44"/>
  <c r="AN46" i="44"/>
  <c r="AN33" i="44"/>
  <c r="F9" i="44"/>
  <c r="AU24" i="44"/>
  <c r="AU37" i="44"/>
  <c r="AP26" i="44"/>
  <c r="AP39" i="44"/>
  <c r="AU27" i="44"/>
  <c r="AU40" i="44"/>
  <c r="AO28" i="44"/>
  <c r="AO41" i="44"/>
  <c r="AP30" i="44"/>
  <c r="AP43" i="44"/>
  <c r="AU31" i="44"/>
  <c r="AU44" i="44"/>
  <c r="AQ45" i="44"/>
  <c r="AQ32" i="44"/>
  <c r="AW47" i="44"/>
  <c r="AW34" i="44"/>
  <c r="AN25" i="44"/>
  <c r="AN38" i="44"/>
  <c r="AS39" i="44"/>
  <c r="AS26" i="44"/>
  <c r="AS40" i="44"/>
  <c r="AS27" i="44"/>
  <c r="AQ41" i="44"/>
  <c r="AQ28" i="44"/>
  <c r="AO43" i="44"/>
  <c r="AO30" i="44"/>
  <c r="AO44" i="44"/>
  <c r="AO31" i="44"/>
  <c r="AT45" i="44"/>
  <c r="AT32" i="44"/>
  <c r="AP34" i="44"/>
  <c r="AP47" i="44"/>
  <c r="AS24" i="44"/>
  <c r="AS37" i="44"/>
  <c r="AP25" i="44"/>
  <c r="AP38" i="44"/>
  <c r="AQ37" i="44"/>
  <c r="AQ24" i="44"/>
  <c r="AN39" i="44"/>
  <c r="AN26" i="44"/>
  <c r="AV27" i="44"/>
  <c r="AV40" i="44"/>
  <c r="AR28" i="44"/>
  <c r="AR41" i="44"/>
  <c r="AQ30" i="44"/>
  <c r="AQ43" i="44"/>
  <c r="AN31" i="44"/>
  <c r="AN44" i="44"/>
  <c r="AV32" i="44"/>
  <c r="AV45" i="44"/>
  <c r="AS47" i="44"/>
  <c r="AS34" i="44"/>
  <c r="AL25" i="44"/>
  <c r="AL38" i="44"/>
  <c r="AN24" i="44"/>
  <c r="AN37" i="44"/>
  <c r="AU26" i="44"/>
  <c r="AU39" i="44"/>
  <c r="AR27" i="44"/>
  <c r="AR40" i="44"/>
  <c r="AV28" i="44"/>
  <c r="AV41" i="44"/>
  <c r="AU30" i="44"/>
  <c r="AU43" i="44"/>
  <c r="AV31" i="44"/>
  <c r="AV44" i="44"/>
  <c r="AP45" i="44"/>
  <c r="AP32" i="44"/>
  <c r="AV47" i="44"/>
  <c r="AV34" i="44"/>
  <c r="AU38" i="44"/>
  <c r="AU25" i="44"/>
  <c r="AW24" i="44"/>
  <c r="AW37" i="44"/>
  <c r="AO39" i="44"/>
  <c r="AO26" i="44"/>
  <c r="AP27" i="44"/>
  <c r="AP40" i="44"/>
  <c r="AP29" i="44"/>
  <c r="AP42" i="44"/>
  <c r="AM30" i="44"/>
  <c r="AM43" i="44"/>
  <c r="AQ31" i="44"/>
  <c r="AQ44" i="44"/>
  <c r="AR46" i="44"/>
  <c r="AR33" i="44"/>
  <c r="AR47" i="44"/>
  <c r="AR34" i="44"/>
  <c r="AM25" i="44"/>
  <c r="AM38" i="44"/>
  <c r="AL26" i="44"/>
  <c r="AL39" i="44"/>
  <c r="AT40" i="44"/>
  <c r="AT27" i="44"/>
  <c r="AV42" i="44"/>
  <c r="AV29" i="44"/>
  <c r="AR43" i="44"/>
  <c r="AR30" i="44"/>
  <c r="AM31" i="44"/>
  <c r="AM44" i="44"/>
  <c r="AT46" i="44"/>
  <c r="AT33" i="44"/>
  <c r="AO34" i="44"/>
  <c r="AO47" i="44"/>
  <c r="AQ12" i="42"/>
  <c r="AQ25" i="42" s="1"/>
  <c r="Y37" i="42"/>
  <c r="AM11" i="42"/>
  <c r="Y24" i="42"/>
  <c r="Z37" i="42"/>
  <c r="Z24" i="42"/>
  <c r="AN11" i="42"/>
  <c r="AB24" i="42"/>
  <c r="AP11" i="42"/>
  <c r="AB37" i="42"/>
  <c r="AT12" i="42"/>
  <c r="AS11" i="42"/>
  <c r="AE24" i="42"/>
  <c r="AE37" i="42"/>
  <c r="AL12" i="42"/>
  <c r="AN12" i="42"/>
  <c r="AM12" i="42"/>
  <c r="AW12" i="42"/>
  <c r="AR12" i="42"/>
  <c r="AA24" i="42"/>
  <c r="AA37" i="42"/>
  <c r="AO11" i="42"/>
  <c r="AV12" i="42"/>
  <c r="AD24" i="42"/>
  <c r="AD37" i="42"/>
  <c r="AR11" i="42"/>
  <c r="AS12" i="42"/>
  <c r="AP12" i="42"/>
  <c r="AF37" i="42"/>
  <c r="AT11" i="42"/>
  <c r="AF24" i="42"/>
  <c r="AG24" i="42"/>
  <c r="AU11" i="42"/>
  <c r="AG37" i="42"/>
  <c r="AV11" i="42"/>
  <c r="AH37" i="42"/>
  <c r="AH24" i="42"/>
  <c r="AQ11" i="42"/>
  <c r="AC37" i="42"/>
  <c r="AC24" i="42"/>
  <c r="AI37" i="42"/>
  <c r="AI24" i="42"/>
  <c r="AW11" i="42"/>
  <c r="AU12" i="42"/>
  <c r="X37" i="42"/>
  <c r="AL11" i="42"/>
  <c r="X24" i="42"/>
  <c r="AT21" i="42"/>
  <c r="AO21" i="42"/>
  <c r="AV21" i="42"/>
  <c r="AQ21" i="42"/>
  <c r="AP21" i="42"/>
  <c r="AN21" i="42"/>
  <c r="AL21" i="42"/>
  <c r="AU21" i="42"/>
  <c r="AM21" i="42"/>
  <c r="AW21" i="42"/>
  <c r="AS21" i="42"/>
  <c r="AR21" i="42"/>
  <c r="AM20" i="42"/>
  <c r="AP20" i="42"/>
  <c r="AT20" i="42"/>
  <c r="AU20" i="42"/>
  <c r="AV20" i="42"/>
  <c r="AR20" i="42"/>
  <c r="AS20" i="42"/>
  <c r="AW20" i="42"/>
  <c r="AQ20" i="42"/>
  <c r="AO20" i="42"/>
  <c r="AN20" i="42"/>
  <c r="AL20" i="42"/>
  <c r="AW19" i="42"/>
  <c r="AS19" i="42"/>
  <c r="AR19" i="42"/>
  <c r="AU19" i="42"/>
  <c r="AT19" i="42"/>
  <c r="AO19" i="42"/>
  <c r="AP19" i="42"/>
  <c r="AQ19" i="42"/>
  <c r="AN19" i="42"/>
  <c r="AV19" i="42"/>
  <c r="AM19" i="42"/>
  <c r="AL19" i="42"/>
  <c r="AV18" i="42"/>
  <c r="AL18" i="42"/>
  <c r="AQ18" i="42"/>
  <c r="AN18" i="42"/>
  <c r="AW18" i="42"/>
  <c r="AP18" i="42"/>
  <c r="AO18" i="42"/>
  <c r="AS18" i="42"/>
  <c r="AM18" i="42"/>
  <c r="AT18" i="42"/>
  <c r="AU18" i="42"/>
  <c r="AR18" i="42"/>
  <c r="AO17" i="42"/>
  <c r="AP17" i="42"/>
  <c r="AN17" i="42"/>
  <c r="AQ17" i="42"/>
  <c r="AT17" i="42"/>
  <c r="AW17" i="42"/>
  <c r="AR17" i="42"/>
  <c r="AS17" i="42"/>
  <c r="AV17" i="42"/>
  <c r="AM17" i="42"/>
  <c r="AL17" i="42"/>
  <c r="AU17" i="42"/>
  <c r="AQ16" i="42"/>
  <c r="AO16" i="42"/>
  <c r="AV16" i="42"/>
  <c r="AR16" i="42"/>
  <c r="AL16" i="42"/>
  <c r="AN16" i="42"/>
  <c r="AT16" i="42"/>
  <c r="AM16" i="42"/>
  <c r="AW16" i="42"/>
  <c r="AS16" i="42"/>
  <c r="AU16" i="42"/>
  <c r="AP16" i="42"/>
  <c r="AR15" i="42"/>
  <c r="AP15" i="42"/>
  <c r="AT15" i="42"/>
  <c r="AV15" i="42"/>
  <c r="AW15" i="42"/>
  <c r="AU15" i="42"/>
  <c r="AS15" i="42"/>
  <c r="AQ15" i="42"/>
  <c r="AO15" i="42"/>
  <c r="AN15" i="42"/>
  <c r="AL15" i="42"/>
  <c r="AM15" i="42"/>
  <c r="AQ14" i="42"/>
  <c r="AR14" i="42"/>
  <c r="AO14" i="42"/>
  <c r="AU14" i="42"/>
  <c r="AL14" i="42"/>
  <c r="AT14" i="42"/>
  <c r="AM14" i="42"/>
  <c r="AN14" i="42"/>
  <c r="AP14" i="42"/>
  <c r="AV14" i="42"/>
  <c r="AW14" i="42"/>
  <c r="AS14" i="42"/>
  <c r="AP13" i="42"/>
  <c r="AN13" i="42"/>
  <c r="AR13" i="42"/>
  <c r="AT13" i="42"/>
  <c r="AS13" i="42"/>
  <c r="AU13" i="42"/>
  <c r="AQ13" i="42"/>
  <c r="AW13" i="42"/>
  <c r="AO13" i="42"/>
  <c r="AV13" i="42"/>
  <c r="AL13" i="42"/>
  <c r="AM13" i="42"/>
  <c r="AO12" i="42"/>
  <c r="Z39" i="41"/>
  <c r="Z26" i="41"/>
  <c r="Y12" i="41"/>
  <c r="AI12" i="41"/>
  <c r="AF12" i="41"/>
  <c r="W11" i="41"/>
  <c r="AC12" i="41"/>
  <c r="X12" i="41"/>
  <c r="AH12" i="41"/>
  <c r="AD12" i="41"/>
  <c r="AG12" i="41"/>
  <c r="AB12" i="41"/>
  <c r="AA12" i="41"/>
  <c r="Z12" i="41"/>
  <c r="AE12" i="41"/>
  <c r="AE39" i="41"/>
  <c r="AE26" i="41"/>
  <c r="AF26" i="41"/>
  <c r="AF39" i="41"/>
  <c r="Y39" i="41"/>
  <c r="Y26" i="41"/>
  <c r="AB39" i="41"/>
  <c r="AB26" i="41"/>
  <c r="AD26" i="41"/>
  <c r="AD39" i="41"/>
  <c r="AH39" i="41"/>
  <c r="AH26" i="41"/>
  <c r="AA26" i="41"/>
  <c r="AA39" i="41"/>
  <c r="AC39" i="41"/>
  <c r="AC26" i="41"/>
  <c r="AG39" i="41"/>
  <c r="AG26" i="41"/>
  <c r="AI26" i="41"/>
  <c r="AI39" i="41"/>
  <c r="X26" i="41"/>
  <c r="X39" i="41"/>
  <c r="Z29" i="39"/>
  <c r="Z42" i="39"/>
  <c r="AB29" i="39"/>
  <c r="AB42" i="39"/>
  <c r="AD29" i="39"/>
  <c r="AD42" i="39"/>
  <c r="AE29" i="39"/>
  <c r="AE42" i="39"/>
  <c r="AI15" i="39"/>
  <c r="AH15" i="39"/>
  <c r="AG15" i="39"/>
  <c r="AF15" i="39"/>
  <c r="W14" i="39"/>
  <c r="AE15" i="39"/>
  <c r="AD15" i="39"/>
  <c r="AC15" i="39"/>
  <c r="AB15" i="39"/>
  <c r="AA15" i="39"/>
  <c r="Z15" i="39"/>
  <c r="Y15" i="39"/>
  <c r="X15" i="39"/>
  <c r="AC29" i="39"/>
  <c r="AC42" i="39"/>
  <c r="AF29" i="39"/>
  <c r="AF42" i="39"/>
  <c r="AH42" i="39"/>
  <c r="AH29" i="39"/>
  <c r="AG29" i="39"/>
  <c r="AG42" i="39"/>
  <c r="AI42" i="39"/>
  <c r="AI29" i="39"/>
  <c r="X29" i="39"/>
  <c r="X42" i="39"/>
  <c r="Y29" i="39"/>
  <c r="Y42" i="39"/>
  <c r="AA29" i="39"/>
  <c r="AA42" i="39"/>
  <c r="AH43" i="38"/>
  <c r="AH30" i="38"/>
  <c r="Y30" i="38"/>
  <c r="Y43" i="38"/>
  <c r="AB43" i="38"/>
  <c r="AB30" i="38"/>
  <c r="AE30" i="38"/>
  <c r="AE43" i="38"/>
  <c r="AC43" i="38"/>
  <c r="AC30" i="38"/>
  <c r="X30" i="38"/>
  <c r="X43" i="38"/>
  <c r="AI16" i="38"/>
  <c r="AC16" i="38"/>
  <c r="AF16" i="38"/>
  <c r="AH16" i="38"/>
  <c r="AB16" i="38"/>
  <c r="W15" i="38"/>
  <c r="AG16" i="38"/>
  <c r="AA16" i="38"/>
  <c r="Z16" i="38"/>
  <c r="AE16" i="38"/>
  <c r="AD16" i="38"/>
  <c r="Y16" i="38"/>
  <c r="X16" i="38"/>
  <c r="AG43" i="38"/>
  <c r="AG30" i="38"/>
  <c r="AD30" i="38"/>
  <c r="AD43" i="38"/>
  <c r="Z43" i="38"/>
  <c r="Z30" i="38"/>
  <c r="AA43" i="38"/>
  <c r="AA30" i="38"/>
  <c r="AI43" i="38"/>
  <c r="AI30" i="38"/>
  <c r="AF43" i="38"/>
  <c r="AF30" i="38"/>
  <c r="Y44" i="36"/>
  <c r="Y31" i="36"/>
  <c r="Z44" i="36"/>
  <c r="Z31" i="36"/>
  <c r="AD44" i="36"/>
  <c r="AD31" i="36"/>
  <c r="AB31" i="36"/>
  <c r="AB44" i="36"/>
  <c r="AC44" i="36"/>
  <c r="AC31" i="36"/>
  <c r="AG31" i="36"/>
  <c r="AG44" i="36"/>
  <c r="AF31" i="36"/>
  <c r="AF44" i="36"/>
  <c r="AH31" i="36"/>
  <c r="AH44" i="36"/>
  <c r="AE44" i="36"/>
  <c r="AE31" i="36"/>
  <c r="AI44" i="36"/>
  <c r="AI31" i="36"/>
  <c r="X44" i="36"/>
  <c r="X31" i="36"/>
  <c r="AF17" i="36"/>
  <c r="Z17" i="36"/>
  <c r="W16" i="36"/>
  <c r="X17" i="36"/>
  <c r="AE17" i="36"/>
  <c r="Y17" i="36"/>
  <c r="AD17" i="36"/>
  <c r="AI17" i="36"/>
  <c r="AB17" i="36"/>
  <c r="AA17" i="36"/>
  <c r="AH17" i="36"/>
  <c r="AG17" i="36"/>
  <c r="AC17" i="36"/>
  <c r="AA44" i="36"/>
  <c r="AA31" i="36"/>
  <c r="AB42" i="35"/>
  <c r="AB29" i="35"/>
  <c r="AC42" i="35"/>
  <c r="AC29" i="35"/>
  <c r="AH29" i="35"/>
  <c r="AH42" i="35"/>
  <c r="Y29" i="35"/>
  <c r="Y42" i="35"/>
  <c r="AG15" i="35"/>
  <c r="AA15" i="35"/>
  <c r="AI15" i="35"/>
  <c r="AB15" i="35"/>
  <c r="W14" i="35"/>
  <c r="AH15" i="35"/>
  <c r="Y15" i="35"/>
  <c r="AF15" i="35"/>
  <c r="X15" i="35"/>
  <c r="AE15" i="35"/>
  <c r="AC15" i="35"/>
  <c r="Z15" i="35"/>
  <c r="AD15" i="35"/>
  <c r="AF42" i="35"/>
  <c r="AF29" i="35"/>
  <c r="AE29" i="35"/>
  <c r="AE42" i="35"/>
  <c r="AA42" i="35"/>
  <c r="AA29" i="35"/>
  <c r="X42" i="35"/>
  <c r="X29" i="35"/>
  <c r="Z29" i="35"/>
  <c r="Z42" i="35"/>
  <c r="AI42" i="35"/>
  <c r="AI29" i="35"/>
  <c r="AD42" i="35"/>
  <c r="AD29" i="35"/>
  <c r="AG42" i="35"/>
  <c r="AG29" i="35"/>
  <c r="AQ38" i="42" l="1"/>
  <c r="AT26" i="42"/>
  <c r="AT39" i="42"/>
  <c r="AM28" i="42"/>
  <c r="AM41" i="42"/>
  <c r="AM29" i="42"/>
  <c r="AM42" i="42"/>
  <c r="AQ43" i="42"/>
  <c r="AQ30" i="42"/>
  <c r="AL45" i="42"/>
  <c r="AL32" i="42"/>
  <c r="AW46" i="42"/>
  <c r="AW33" i="42"/>
  <c r="AQ47" i="42"/>
  <c r="AQ34" i="42"/>
  <c r="AQ24" i="42"/>
  <c r="AQ37" i="42"/>
  <c r="AS24" i="42"/>
  <c r="AS37" i="42"/>
  <c r="AL28" i="42"/>
  <c r="AL41" i="42"/>
  <c r="AT42" i="42"/>
  <c r="AT29" i="42"/>
  <c r="AN30" i="42"/>
  <c r="AN43" i="42"/>
  <c r="AM32" i="42"/>
  <c r="AM45" i="42"/>
  <c r="AS33" i="42"/>
  <c r="AS46" i="42"/>
  <c r="AV47" i="42"/>
  <c r="AV34" i="42"/>
  <c r="AT25" i="42"/>
  <c r="AT38" i="42"/>
  <c r="AN26" i="42"/>
  <c r="AN39" i="42"/>
  <c r="AN41" i="42"/>
  <c r="AN28" i="42"/>
  <c r="AN42" i="42"/>
  <c r="AN29" i="42"/>
  <c r="AP43" i="42"/>
  <c r="AP30" i="42"/>
  <c r="AV45" i="42"/>
  <c r="AV32" i="42"/>
  <c r="AR33" i="42"/>
  <c r="AR46" i="42"/>
  <c r="AO34" i="42"/>
  <c r="AO47" i="42"/>
  <c r="AL42" i="42"/>
  <c r="AL29" i="42"/>
  <c r="AO30" i="42"/>
  <c r="AO43" i="42"/>
  <c r="AN45" i="42"/>
  <c r="AN32" i="42"/>
  <c r="AV33" i="42"/>
  <c r="AV46" i="42"/>
  <c r="AT47" i="42"/>
  <c r="AT34" i="42"/>
  <c r="AV25" i="42"/>
  <c r="AV38" i="42"/>
  <c r="AP24" i="42"/>
  <c r="AP37" i="42"/>
  <c r="AS27" i="42"/>
  <c r="AS40" i="42"/>
  <c r="AQ28" i="42"/>
  <c r="AQ41" i="42"/>
  <c r="AR29" i="42"/>
  <c r="AR42" i="42"/>
  <c r="AR31" i="42"/>
  <c r="AR44" i="42"/>
  <c r="AQ45" i="42"/>
  <c r="AQ32" i="42"/>
  <c r="AU46" i="42"/>
  <c r="AU33" i="42"/>
  <c r="F9" i="42"/>
  <c r="AV24" i="42"/>
  <c r="AV37" i="42"/>
  <c r="AO37" i="42"/>
  <c r="AO24" i="42"/>
  <c r="AO28" i="42"/>
  <c r="AO41" i="42"/>
  <c r="AW40" i="42"/>
  <c r="AW27" i="42"/>
  <c r="AS41" i="42"/>
  <c r="AS28" i="42"/>
  <c r="AV42" i="42"/>
  <c r="AV29" i="42"/>
  <c r="AU44" i="42"/>
  <c r="AU31" i="42"/>
  <c r="AP32" i="42"/>
  <c r="AP45" i="42"/>
  <c r="AT33" i="42"/>
  <c r="AT46" i="42"/>
  <c r="F22" i="42"/>
  <c r="AP39" i="42"/>
  <c r="AP26" i="42"/>
  <c r="AV27" i="42"/>
  <c r="AV40" i="42"/>
  <c r="AU41" i="42"/>
  <c r="AU28" i="42"/>
  <c r="AO29" i="42"/>
  <c r="AO42" i="42"/>
  <c r="AT31" i="42"/>
  <c r="AT44" i="42"/>
  <c r="AO45" i="42"/>
  <c r="AO32" i="42"/>
  <c r="AP46" i="42"/>
  <c r="AP33" i="42"/>
  <c r="AL24" i="42"/>
  <c r="AL37" i="42"/>
  <c r="AU24" i="42"/>
  <c r="AU37" i="42"/>
  <c r="AN37" i="42"/>
  <c r="AN24" i="42"/>
  <c r="AO38" i="42"/>
  <c r="AO25" i="42"/>
  <c r="AP27" i="42"/>
  <c r="AP40" i="42"/>
  <c r="AW28" i="42"/>
  <c r="AW41" i="42"/>
  <c r="AQ42" i="42"/>
  <c r="AQ29" i="42"/>
  <c r="AM44" i="42"/>
  <c r="AM31" i="42"/>
  <c r="AT45" i="42"/>
  <c r="AT32" i="42"/>
  <c r="AM33" i="42"/>
  <c r="AM46" i="42"/>
  <c r="F35" i="42"/>
  <c r="AM26" i="42"/>
  <c r="AM39" i="42"/>
  <c r="AN27" i="42"/>
  <c r="AN40" i="42"/>
  <c r="AV28" i="42"/>
  <c r="AV41" i="42"/>
  <c r="AU43" i="42"/>
  <c r="AU30" i="42"/>
  <c r="AS44" i="42"/>
  <c r="AS31" i="42"/>
  <c r="AU45" i="42"/>
  <c r="AU32" i="42"/>
  <c r="AR34" i="42"/>
  <c r="AR47" i="42"/>
  <c r="AU38" i="42"/>
  <c r="AU25" i="42"/>
  <c r="AR38" i="42"/>
  <c r="AR25" i="42"/>
  <c r="AL39" i="42"/>
  <c r="AL26" i="42"/>
  <c r="AM27" i="42"/>
  <c r="AM40" i="42"/>
  <c r="AT41" i="42"/>
  <c r="AT28" i="42"/>
  <c r="AL30" i="42"/>
  <c r="AL43" i="42"/>
  <c r="AO44" i="42"/>
  <c r="AO31" i="42"/>
  <c r="AR45" i="42"/>
  <c r="AR32" i="42"/>
  <c r="AS47" i="42"/>
  <c r="AS34" i="42"/>
  <c r="AW25" i="42"/>
  <c r="AW38" i="42"/>
  <c r="AV39" i="42"/>
  <c r="AV26" i="42"/>
  <c r="AT27" i="42"/>
  <c r="AT40" i="42"/>
  <c r="AP28" i="42"/>
  <c r="AP41" i="42"/>
  <c r="AM43" i="42"/>
  <c r="AM30" i="42"/>
  <c r="AP31" i="42"/>
  <c r="AP44" i="42"/>
  <c r="AS32" i="42"/>
  <c r="AS45" i="42"/>
  <c r="AW47" i="42"/>
  <c r="AW34" i="42"/>
  <c r="AW37" i="42"/>
  <c r="AW24" i="42"/>
  <c r="AM38" i="42"/>
  <c r="AM25" i="42"/>
  <c r="AL40" i="42"/>
  <c r="AL27" i="42"/>
  <c r="AR28" i="42"/>
  <c r="AR41" i="42"/>
  <c r="AV43" i="42"/>
  <c r="AV30" i="42"/>
  <c r="AW31" i="42"/>
  <c r="AW44" i="42"/>
  <c r="AW45" i="42"/>
  <c r="AW32" i="42"/>
  <c r="AM34" i="42"/>
  <c r="AM47" i="42"/>
  <c r="AT37" i="42"/>
  <c r="AT24" i="42"/>
  <c r="AN25" i="42"/>
  <c r="AN38" i="42"/>
  <c r="AM24" i="42"/>
  <c r="AM37" i="42"/>
  <c r="AW26" i="42"/>
  <c r="AW39" i="42"/>
  <c r="AU40" i="42"/>
  <c r="AU27" i="42"/>
  <c r="AP29" i="42"/>
  <c r="AP42" i="42"/>
  <c r="AS30" i="42"/>
  <c r="AS43" i="42"/>
  <c r="AN44" i="42"/>
  <c r="AN31" i="42"/>
  <c r="AL46" i="42"/>
  <c r="AL33" i="42"/>
  <c r="AU47" i="42"/>
  <c r="AU34" i="42"/>
  <c r="AL25" i="42"/>
  <c r="AL38" i="42"/>
  <c r="AR26" i="42"/>
  <c r="AR39" i="42"/>
  <c r="AQ39" i="42"/>
  <c r="AQ26" i="42"/>
  <c r="AO40" i="42"/>
  <c r="AO27" i="42"/>
  <c r="AU29" i="42"/>
  <c r="AU42" i="42"/>
  <c r="AR30" i="42"/>
  <c r="AR43" i="42"/>
  <c r="AQ31" i="42"/>
  <c r="AQ44" i="42"/>
  <c r="AN46" i="42"/>
  <c r="AN33" i="42"/>
  <c r="AL34" i="42"/>
  <c r="AL47" i="42"/>
  <c r="AP38" i="42"/>
  <c r="AP25" i="42"/>
  <c r="AU26" i="42"/>
  <c r="AU39" i="42"/>
  <c r="AR40" i="42"/>
  <c r="AR27" i="42"/>
  <c r="AS42" i="42"/>
  <c r="AS29" i="42"/>
  <c r="AW43" i="42"/>
  <c r="AW30" i="42"/>
  <c r="AL44" i="42"/>
  <c r="AL31" i="42"/>
  <c r="AO46" i="42"/>
  <c r="AO33" i="42"/>
  <c r="AN47" i="42"/>
  <c r="AN34" i="42"/>
  <c r="AS38" i="42"/>
  <c r="AS25" i="42"/>
  <c r="AO26" i="42"/>
  <c r="AO39" i="42"/>
  <c r="AS39" i="42"/>
  <c r="AS26" i="42"/>
  <c r="AQ40" i="42"/>
  <c r="AQ27" i="42"/>
  <c r="AW42" i="42"/>
  <c r="AW29" i="42"/>
  <c r="AT30" i="42"/>
  <c r="AT43" i="42"/>
  <c r="AV44" i="42"/>
  <c r="AV31" i="42"/>
  <c r="AQ33" i="42"/>
  <c r="AQ46" i="42"/>
  <c r="AP47" i="42"/>
  <c r="AP34" i="42"/>
  <c r="AR24" i="42"/>
  <c r="AR37" i="42"/>
  <c r="Z38" i="41"/>
  <c r="Z25" i="41"/>
  <c r="AA25" i="41"/>
  <c r="AA38" i="41"/>
  <c r="AB25" i="41"/>
  <c r="AB38" i="41"/>
  <c r="AG38" i="41"/>
  <c r="AG25" i="41"/>
  <c r="AD25" i="41"/>
  <c r="AD38" i="41"/>
  <c r="AH25" i="41"/>
  <c r="AH38" i="41"/>
  <c r="X38" i="41"/>
  <c r="X25" i="41"/>
  <c r="AC38" i="41"/>
  <c r="AC25" i="41"/>
  <c r="AF11" i="41"/>
  <c r="AB11" i="41"/>
  <c r="Z11" i="41"/>
  <c r="AH11" i="41"/>
  <c r="AE11" i="41"/>
  <c r="AC11" i="41"/>
  <c r="AA11" i="41"/>
  <c r="AI11" i="41"/>
  <c r="AG11" i="41"/>
  <c r="AD11" i="41"/>
  <c r="Y11" i="41"/>
  <c r="X11" i="41"/>
  <c r="AU12" i="41" s="1"/>
  <c r="AF25" i="41"/>
  <c r="AF38" i="41"/>
  <c r="AI25" i="41"/>
  <c r="AI38" i="41"/>
  <c r="Y38" i="41"/>
  <c r="Y25" i="41"/>
  <c r="AE25" i="41"/>
  <c r="AE38" i="41"/>
  <c r="X28" i="39"/>
  <c r="X41" i="39"/>
  <c r="Y41" i="39"/>
  <c r="Y28" i="39"/>
  <c r="Z41" i="39"/>
  <c r="Z28" i="39"/>
  <c r="AA41" i="39"/>
  <c r="AA28" i="39"/>
  <c r="AB28" i="39"/>
  <c r="AB41" i="39"/>
  <c r="AD28" i="39"/>
  <c r="AD41" i="39"/>
  <c r="AE28" i="39"/>
  <c r="AE41" i="39"/>
  <c r="AC28" i="39"/>
  <c r="AC41" i="39"/>
  <c r="AC14" i="39"/>
  <c r="AB14" i="39"/>
  <c r="AA14" i="39"/>
  <c r="Z14" i="39"/>
  <c r="Y14" i="39"/>
  <c r="X14" i="39"/>
  <c r="AI14" i="39"/>
  <c r="AH14" i="39"/>
  <c r="AG14" i="39"/>
  <c r="AF14" i="39"/>
  <c r="W13" i="39"/>
  <c r="AE14" i="39"/>
  <c r="AD14" i="39"/>
  <c r="AF28" i="39"/>
  <c r="AF41" i="39"/>
  <c r="AG28" i="39"/>
  <c r="AG41" i="39"/>
  <c r="AH28" i="39"/>
  <c r="AH41" i="39"/>
  <c r="AI28" i="39"/>
  <c r="AI41" i="39"/>
  <c r="Y42" i="38"/>
  <c r="Y29" i="38"/>
  <c r="AF15" i="38"/>
  <c r="Z15" i="38"/>
  <c r="W14" i="38"/>
  <c r="AI15" i="38"/>
  <c r="AE15" i="38"/>
  <c r="Y15" i="38"/>
  <c r="AD15" i="38"/>
  <c r="X15" i="38"/>
  <c r="AC15" i="38"/>
  <c r="AH15" i="38"/>
  <c r="AG15" i="38"/>
  <c r="AB15" i="38"/>
  <c r="AA15" i="38"/>
  <c r="X42" i="38"/>
  <c r="X29" i="38"/>
  <c r="AD42" i="38"/>
  <c r="AD29" i="38"/>
  <c r="AB29" i="38"/>
  <c r="AB42" i="38"/>
  <c r="AE42" i="38"/>
  <c r="AE29" i="38"/>
  <c r="Z42" i="38"/>
  <c r="Z29" i="38"/>
  <c r="AF42" i="38"/>
  <c r="AF29" i="38"/>
  <c r="AH29" i="38"/>
  <c r="AH42" i="38"/>
  <c r="AA29" i="38"/>
  <c r="AA42" i="38"/>
  <c r="AC42" i="38"/>
  <c r="AC29" i="38"/>
  <c r="AG29" i="38"/>
  <c r="AG42" i="38"/>
  <c r="AI42" i="38"/>
  <c r="AI29" i="38"/>
  <c r="AA43" i="36"/>
  <c r="AA30" i="36"/>
  <c r="AI30" i="36"/>
  <c r="AI43" i="36"/>
  <c r="Z43" i="36"/>
  <c r="Z30" i="36"/>
  <c r="X30" i="36"/>
  <c r="X43" i="36"/>
  <c r="AI16" i="36"/>
  <c r="AC16" i="36"/>
  <c r="AG16" i="36"/>
  <c r="AH16" i="36"/>
  <c r="AB16" i="36"/>
  <c r="AA16" i="36"/>
  <c r="Z16" i="36"/>
  <c r="AF16" i="36"/>
  <c r="Y16" i="36"/>
  <c r="X16" i="36"/>
  <c r="W15" i="36"/>
  <c r="AE16" i="36"/>
  <c r="AD16" i="36"/>
  <c r="AD43" i="36"/>
  <c r="AD30" i="36"/>
  <c r="AF30" i="36"/>
  <c r="AF43" i="36"/>
  <c r="AC43" i="36"/>
  <c r="AC30" i="36"/>
  <c r="AG43" i="36"/>
  <c r="AG30" i="36"/>
  <c r="Y30" i="36"/>
  <c r="Y43" i="36"/>
  <c r="AB43" i="36"/>
  <c r="AB30" i="36"/>
  <c r="AH43" i="36"/>
  <c r="AH30" i="36"/>
  <c r="AE30" i="36"/>
  <c r="AE43" i="36"/>
  <c r="AF28" i="35"/>
  <c r="AF41" i="35"/>
  <c r="AA41" i="35"/>
  <c r="AA28" i="35"/>
  <c r="AD41" i="35"/>
  <c r="AD28" i="35"/>
  <c r="Y41" i="35"/>
  <c r="Y28" i="35"/>
  <c r="AG41" i="35"/>
  <c r="AG28" i="35"/>
  <c r="AB28" i="35"/>
  <c r="AB41" i="35"/>
  <c r="Z41" i="35"/>
  <c r="Z28" i="35"/>
  <c r="AH28" i="35"/>
  <c r="AH41" i="35"/>
  <c r="AC41" i="35"/>
  <c r="AC28" i="35"/>
  <c r="AD14" i="35"/>
  <c r="X14" i="35"/>
  <c r="AE14" i="35"/>
  <c r="AC14" i="35"/>
  <c r="AB14" i="35"/>
  <c r="AI14" i="35"/>
  <c r="AA14" i="35"/>
  <c r="W13" i="35"/>
  <c r="Z14" i="35"/>
  <c r="AG14" i="35"/>
  <c r="Y14" i="35"/>
  <c r="AF14" i="35"/>
  <c r="AH14" i="35"/>
  <c r="AE41" i="35"/>
  <c r="AE28" i="35"/>
  <c r="X41" i="35"/>
  <c r="X28" i="35"/>
  <c r="AI41" i="35"/>
  <c r="AI28" i="35"/>
  <c r="AS12" i="41" l="1"/>
  <c r="AU38" i="41"/>
  <c r="AU25" i="41"/>
  <c r="AQ12" i="41"/>
  <c r="AT12" i="41"/>
  <c r="AS38" i="41"/>
  <c r="AS25" i="41"/>
  <c r="X37" i="41"/>
  <c r="AL11" i="41"/>
  <c r="X24" i="41"/>
  <c r="AS21" i="41"/>
  <c r="AW21" i="41"/>
  <c r="AV21" i="41"/>
  <c r="AQ21" i="41"/>
  <c r="AL21" i="41"/>
  <c r="AV20" i="41"/>
  <c r="AO21" i="41"/>
  <c r="AM21" i="41"/>
  <c r="AU20" i="41"/>
  <c r="AP20" i="41"/>
  <c r="AN20" i="41"/>
  <c r="AO20" i="41"/>
  <c r="AT20" i="41"/>
  <c r="AR21" i="41"/>
  <c r="AR20" i="41"/>
  <c r="AT21" i="41"/>
  <c r="AM20" i="41"/>
  <c r="AN21" i="41"/>
  <c r="AU21" i="41"/>
  <c r="AQ20" i="41"/>
  <c r="AP21" i="41"/>
  <c r="AS20" i="41"/>
  <c r="AW20" i="41"/>
  <c r="AL20" i="41"/>
  <c r="AO19" i="41"/>
  <c r="AV19" i="41"/>
  <c r="AN19" i="41"/>
  <c r="AT19" i="41"/>
  <c r="AQ19" i="41"/>
  <c r="AM19" i="41"/>
  <c r="AU19" i="41"/>
  <c r="AW19" i="41"/>
  <c r="AL19" i="41"/>
  <c r="AS19" i="41"/>
  <c r="AR19" i="41"/>
  <c r="AP19" i="41"/>
  <c r="AM18" i="41"/>
  <c r="AQ18" i="41"/>
  <c r="AO18" i="41"/>
  <c r="AL18" i="41"/>
  <c r="AU18" i="41"/>
  <c r="AN18" i="41"/>
  <c r="AP18" i="41"/>
  <c r="AS18" i="41"/>
  <c r="AR18" i="41"/>
  <c r="AV18" i="41"/>
  <c r="AW18" i="41"/>
  <c r="AT18" i="41"/>
  <c r="AW17" i="41"/>
  <c r="AT17" i="41"/>
  <c r="AR17" i="41"/>
  <c r="AU17" i="41"/>
  <c r="AM17" i="41"/>
  <c r="AL17" i="41"/>
  <c r="AQ17" i="41"/>
  <c r="AN17" i="41"/>
  <c r="AP17" i="41"/>
  <c r="AO17" i="41"/>
  <c r="AV17" i="41"/>
  <c r="AS17" i="41"/>
  <c r="AT16" i="41"/>
  <c r="AO16" i="41"/>
  <c r="AN16" i="41"/>
  <c r="AQ16" i="41"/>
  <c r="AW16" i="41"/>
  <c r="AM16" i="41"/>
  <c r="AV16" i="41"/>
  <c r="AP16" i="41"/>
  <c r="AS16" i="41"/>
  <c r="AL16" i="41"/>
  <c r="AU16" i="41"/>
  <c r="AR16" i="41"/>
  <c r="AM15" i="41"/>
  <c r="AO15" i="41"/>
  <c r="AQ15" i="41"/>
  <c r="AR15" i="41"/>
  <c r="AS15" i="41"/>
  <c r="AV15" i="41"/>
  <c r="AT15" i="41"/>
  <c r="AU15" i="41"/>
  <c r="AW15" i="41"/>
  <c r="AN15" i="41"/>
  <c r="AP15" i="41"/>
  <c r="AL15" i="41"/>
  <c r="AN14" i="41"/>
  <c r="AV14" i="41"/>
  <c r="AM14" i="41"/>
  <c r="AW14" i="41"/>
  <c r="AR14" i="41"/>
  <c r="AO14" i="41"/>
  <c r="AL14" i="41"/>
  <c r="AP14" i="41"/>
  <c r="AQ14" i="41"/>
  <c r="AU14" i="41"/>
  <c r="AT14" i="41"/>
  <c r="AS14" i="41"/>
  <c r="AU13" i="41"/>
  <c r="AS13" i="41"/>
  <c r="AN13" i="41"/>
  <c r="AR13" i="41"/>
  <c r="AO13" i="41"/>
  <c r="AQ13" i="41"/>
  <c r="AV13" i="41"/>
  <c r="AW13" i="41"/>
  <c r="AT13" i="41"/>
  <c r="AL13" i="41"/>
  <c r="AM13" i="41"/>
  <c r="AP13" i="41"/>
  <c r="Y24" i="41"/>
  <c r="AM11" i="41"/>
  <c r="Y37" i="41"/>
  <c r="AD24" i="41"/>
  <c r="AD37" i="41"/>
  <c r="AR11" i="41"/>
  <c r="AG37" i="41"/>
  <c r="AU11" i="41"/>
  <c r="AG24" i="41"/>
  <c r="AL12" i="41"/>
  <c r="AP12" i="41"/>
  <c r="AW11" i="41"/>
  <c r="AI37" i="41"/>
  <c r="AI24" i="41"/>
  <c r="AA37" i="41"/>
  <c r="AO11" i="41"/>
  <c r="AA24" i="41"/>
  <c r="AV12" i="41"/>
  <c r="AM12" i="41"/>
  <c r="AQ11" i="41"/>
  <c r="AC24" i="41"/>
  <c r="AC37" i="41"/>
  <c r="AO12" i="41"/>
  <c r="AS11" i="41"/>
  <c r="AE37" i="41"/>
  <c r="AE24" i="41"/>
  <c r="AH24" i="41"/>
  <c r="AH37" i="41"/>
  <c r="AV11" i="41"/>
  <c r="AN11" i="41"/>
  <c r="Z24" i="41"/>
  <c r="Z37" i="41"/>
  <c r="AN12" i="41"/>
  <c r="AB24" i="41"/>
  <c r="AB37" i="41"/>
  <c r="AP11" i="41"/>
  <c r="AR12" i="41"/>
  <c r="AW12" i="41"/>
  <c r="AF37" i="41"/>
  <c r="AT11" i="41"/>
  <c r="AF24" i="41"/>
  <c r="AD27" i="39"/>
  <c r="AD40" i="39"/>
  <c r="AE27" i="39"/>
  <c r="AE40" i="39"/>
  <c r="AI13" i="39"/>
  <c r="AH13" i="39"/>
  <c r="AG13" i="39"/>
  <c r="AF13" i="39"/>
  <c r="W12" i="39"/>
  <c r="AE13" i="39"/>
  <c r="AD13" i="39"/>
  <c r="AC13" i="39"/>
  <c r="AB13" i="39"/>
  <c r="AA13" i="39"/>
  <c r="Z13" i="39"/>
  <c r="Y13" i="39"/>
  <c r="X13" i="39"/>
  <c r="AF40" i="39"/>
  <c r="AF27" i="39"/>
  <c r="AG40" i="39"/>
  <c r="AG27" i="39"/>
  <c r="AH40" i="39"/>
  <c r="AH27" i="39"/>
  <c r="X27" i="39"/>
  <c r="X40" i="39"/>
  <c r="AI27" i="39"/>
  <c r="AI40" i="39"/>
  <c r="Y27" i="39"/>
  <c r="Y40" i="39"/>
  <c r="Z27" i="39"/>
  <c r="Z40" i="39"/>
  <c r="AA27" i="39"/>
  <c r="AA40" i="39"/>
  <c r="AB27" i="39"/>
  <c r="AB40" i="39"/>
  <c r="AC27" i="39"/>
  <c r="AC40" i="39"/>
  <c r="AA41" i="38"/>
  <c r="AA28" i="38"/>
  <c r="AD28" i="38"/>
  <c r="AD41" i="38"/>
  <c r="AF41" i="38"/>
  <c r="AF28" i="38"/>
  <c r="AB41" i="38"/>
  <c r="AB28" i="38"/>
  <c r="Y28" i="38"/>
  <c r="Y41" i="38"/>
  <c r="X28" i="38"/>
  <c r="X41" i="38"/>
  <c r="AG41" i="38"/>
  <c r="AG28" i="38"/>
  <c r="AE28" i="38"/>
  <c r="AE41" i="38"/>
  <c r="Z41" i="38"/>
  <c r="Z28" i="38"/>
  <c r="AH41" i="38"/>
  <c r="AH28" i="38"/>
  <c r="AI41" i="38"/>
  <c r="AI28" i="38"/>
  <c r="AC41" i="38"/>
  <c r="AC28" i="38"/>
  <c r="AI14" i="38"/>
  <c r="AC14" i="38"/>
  <c r="AF14" i="38"/>
  <c r="AH14" i="38"/>
  <c r="AB14" i="38"/>
  <c r="Z14" i="38"/>
  <c r="AG14" i="38"/>
  <c r="AA14" i="38"/>
  <c r="W13" i="38"/>
  <c r="X14" i="38"/>
  <c r="AE14" i="38"/>
  <c r="AD14" i="38"/>
  <c r="Y14" i="38"/>
  <c r="AD42" i="36"/>
  <c r="AD29" i="36"/>
  <c r="Z29" i="36"/>
  <c r="Z42" i="36"/>
  <c r="AI42" i="36"/>
  <c r="AI29" i="36"/>
  <c r="AC42" i="36"/>
  <c r="AC29" i="36"/>
  <c r="AF15" i="36"/>
  <c r="Z15" i="36"/>
  <c r="W14" i="36"/>
  <c r="AD15" i="36"/>
  <c r="AE15" i="36"/>
  <c r="Y15" i="36"/>
  <c r="X15" i="36"/>
  <c r="AC15" i="36"/>
  <c r="AI15" i="36"/>
  <c r="AH15" i="36"/>
  <c r="AG15" i="36"/>
  <c r="AB15" i="36"/>
  <c r="AA15" i="36"/>
  <c r="AB29" i="36"/>
  <c r="AB42" i="36"/>
  <c r="AA29" i="36"/>
  <c r="AA42" i="36"/>
  <c r="X42" i="36"/>
  <c r="X29" i="36"/>
  <c r="AH29" i="36"/>
  <c r="AH42" i="36"/>
  <c r="AF42" i="36"/>
  <c r="AF29" i="36"/>
  <c r="AE42" i="36"/>
  <c r="AE29" i="36"/>
  <c r="Y42" i="36"/>
  <c r="Y29" i="36"/>
  <c r="AG42" i="36"/>
  <c r="AG29" i="36"/>
  <c r="AI27" i="35"/>
  <c r="AI40" i="35"/>
  <c r="Y27" i="35"/>
  <c r="Y40" i="35"/>
  <c r="AB27" i="35"/>
  <c r="AB40" i="35"/>
  <c r="X40" i="35"/>
  <c r="X27" i="35"/>
  <c r="AF40" i="35"/>
  <c r="AF27" i="35"/>
  <c r="AG40" i="35"/>
  <c r="AG27" i="35"/>
  <c r="AC40" i="35"/>
  <c r="AC27" i="35"/>
  <c r="Z40" i="35"/>
  <c r="Z27" i="35"/>
  <c r="AE27" i="35"/>
  <c r="AE40" i="35"/>
  <c r="AG13" i="35"/>
  <c r="AA13" i="35"/>
  <c r="AH13" i="35"/>
  <c r="Z13" i="35"/>
  <c r="AI13" i="35"/>
  <c r="Y13" i="35"/>
  <c r="AF13" i="35"/>
  <c r="X13" i="35"/>
  <c r="AE13" i="35"/>
  <c r="AC13" i="35"/>
  <c r="AB13" i="35"/>
  <c r="W12" i="35"/>
  <c r="AD13" i="35"/>
  <c r="AH40" i="35"/>
  <c r="AH27" i="35"/>
  <c r="AA40" i="35"/>
  <c r="AA27" i="35"/>
  <c r="AD40" i="35"/>
  <c r="AD27" i="35"/>
  <c r="AQ37" i="41" l="1"/>
  <c r="AQ24" i="41"/>
  <c r="AQ39" i="41"/>
  <c r="AQ26" i="41"/>
  <c r="AV40" i="41"/>
  <c r="AV27" i="41"/>
  <c r="AL42" i="41"/>
  <c r="AL29" i="41"/>
  <c r="AL43" i="41"/>
  <c r="AL30" i="41"/>
  <c r="AQ44" i="41"/>
  <c r="AQ31" i="41"/>
  <c r="AS46" i="41"/>
  <c r="AS33" i="41"/>
  <c r="AV33" i="41"/>
  <c r="AV46" i="41"/>
  <c r="AO26" i="41"/>
  <c r="AO39" i="41"/>
  <c r="AN27" i="41"/>
  <c r="AN40" i="41"/>
  <c r="AS29" i="41"/>
  <c r="AS42" i="41"/>
  <c r="AM43" i="41"/>
  <c r="AM30" i="41"/>
  <c r="AM44" i="41"/>
  <c r="AM31" i="41"/>
  <c r="AP47" i="41"/>
  <c r="AP34" i="41"/>
  <c r="AL47" i="41"/>
  <c r="AL34" i="41"/>
  <c r="AM38" i="41"/>
  <c r="AM25" i="41"/>
  <c r="AR37" i="41"/>
  <c r="AR24" i="41"/>
  <c r="AR26" i="41"/>
  <c r="AR39" i="41"/>
  <c r="AL41" i="41"/>
  <c r="AL28" i="41"/>
  <c r="AP29" i="41"/>
  <c r="AP42" i="41"/>
  <c r="AU43" i="41"/>
  <c r="AU30" i="41"/>
  <c r="AP32" i="41"/>
  <c r="AP45" i="41"/>
  <c r="AQ33" i="41"/>
  <c r="AQ46" i="41"/>
  <c r="AQ47" i="41"/>
  <c r="AQ34" i="41"/>
  <c r="AV25" i="41"/>
  <c r="AV38" i="41"/>
  <c r="AN39" i="41"/>
  <c r="AN26" i="41"/>
  <c r="AP41" i="41"/>
  <c r="AP28" i="41"/>
  <c r="AV29" i="41"/>
  <c r="AV42" i="41"/>
  <c r="AR30" i="41"/>
  <c r="AR43" i="41"/>
  <c r="AR32" i="41"/>
  <c r="AR45" i="41"/>
  <c r="AU47" i="41"/>
  <c r="AU34" i="41"/>
  <c r="AV47" i="41"/>
  <c r="AV34" i="41"/>
  <c r="AN25" i="41"/>
  <c r="AN38" i="41"/>
  <c r="AN37" i="41"/>
  <c r="AN24" i="41"/>
  <c r="AS26" i="41"/>
  <c r="AS39" i="41"/>
  <c r="AN41" i="41"/>
  <c r="AN28" i="41"/>
  <c r="AM29" i="41"/>
  <c r="AM42" i="41"/>
  <c r="AT30" i="41"/>
  <c r="AT43" i="41"/>
  <c r="AS45" i="41"/>
  <c r="AS32" i="41"/>
  <c r="AN47" i="41"/>
  <c r="AN34" i="41"/>
  <c r="AW47" i="41"/>
  <c r="AW34" i="41"/>
  <c r="AU26" i="41"/>
  <c r="AU39" i="41"/>
  <c r="AW28" i="41"/>
  <c r="AW41" i="41"/>
  <c r="AW42" i="41"/>
  <c r="AW29" i="41"/>
  <c r="AW30" i="41"/>
  <c r="AW43" i="41"/>
  <c r="AL32" i="41"/>
  <c r="AL45" i="41"/>
  <c r="AM46" i="41"/>
  <c r="AM33" i="41"/>
  <c r="AS34" i="41"/>
  <c r="AS47" i="41"/>
  <c r="AV24" i="41"/>
  <c r="AV37" i="41"/>
  <c r="AO37" i="41"/>
  <c r="AO24" i="41"/>
  <c r="AS27" i="41"/>
  <c r="AS40" i="41"/>
  <c r="AU41" i="41"/>
  <c r="AU28" i="41"/>
  <c r="AQ29" i="41"/>
  <c r="AQ42" i="41"/>
  <c r="AT31" i="41"/>
  <c r="AT44" i="41"/>
  <c r="AW45" i="41"/>
  <c r="AW32" i="41"/>
  <c r="AT47" i="41"/>
  <c r="AT34" i="41"/>
  <c r="F22" i="41"/>
  <c r="AM24" i="41"/>
  <c r="AM37" i="41"/>
  <c r="AT27" i="41"/>
  <c r="AT40" i="41"/>
  <c r="AT28" i="41"/>
  <c r="AT41" i="41"/>
  <c r="AN42" i="41"/>
  <c r="AN29" i="41"/>
  <c r="AW44" i="41"/>
  <c r="AW31" i="41"/>
  <c r="AU32" i="41"/>
  <c r="AU45" i="41"/>
  <c r="AR46" i="41"/>
  <c r="AR33" i="41"/>
  <c r="AL37" i="41"/>
  <c r="AL24" i="41"/>
  <c r="AT24" i="41"/>
  <c r="AT37" i="41"/>
  <c r="AU27" i="41"/>
  <c r="AU40" i="41"/>
  <c r="AV41" i="41"/>
  <c r="AV28" i="41"/>
  <c r="AO42" i="41"/>
  <c r="AO29" i="41"/>
  <c r="AV44" i="41"/>
  <c r="AV31" i="41"/>
  <c r="AM32" i="41"/>
  <c r="AM45" i="41"/>
  <c r="AR34" i="41"/>
  <c r="AR47" i="41"/>
  <c r="F9" i="41"/>
  <c r="AQ40" i="41"/>
  <c r="AQ27" i="41"/>
  <c r="AS41" i="41"/>
  <c r="AS28" i="41"/>
  <c r="AT42" i="41"/>
  <c r="AT29" i="41"/>
  <c r="AR31" i="41"/>
  <c r="AR44" i="41"/>
  <c r="AQ32" i="41"/>
  <c r="AQ45" i="41"/>
  <c r="AT33" i="41"/>
  <c r="AT46" i="41"/>
  <c r="F35" i="41"/>
  <c r="AW38" i="41"/>
  <c r="AW25" i="41"/>
  <c r="AP26" i="41"/>
  <c r="AP39" i="41"/>
  <c r="AP27" i="41"/>
  <c r="AP40" i="41"/>
  <c r="AR41" i="41"/>
  <c r="AR28" i="41"/>
  <c r="AS30" i="41"/>
  <c r="AS43" i="41"/>
  <c r="AS44" i="41"/>
  <c r="AS31" i="41"/>
  <c r="AT45" i="41"/>
  <c r="AT32" i="41"/>
  <c r="AO46" i="41"/>
  <c r="AO33" i="41"/>
  <c r="AR25" i="41"/>
  <c r="AR38" i="41"/>
  <c r="AW37" i="41"/>
  <c r="AW24" i="41"/>
  <c r="AM39" i="41"/>
  <c r="AM26" i="41"/>
  <c r="AL40" i="41"/>
  <c r="AL27" i="41"/>
  <c r="AQ28" i="41"/>
  <c r="AQ41" i="41"/>
  <c r="AV30" i="41"/>
  <c r="AV43" i="41"/>
  <c r="AP44" i="41"/>
  <c r="AP31" i="41"/>
  <c r="AN32" i="41"/>
  <c r="AN45" i="41"/>
  <c r="AN33" i="41"/>
  <c r="AN46" i="41"/>
  <c r="AP24" i="41"/>
  <c r="AP37" i="41"/>
  <c r="AS24" i="41"/>
  <c r="AS37" i="41"/>
  <c r="AP38" i="41"/>
  <c r="AP25" i="41"/>
  <c r="AL26" i="41"/>
  <c r="AL39" i="41"/>
  <c r="AO40" i="41"/>
  <c r="AO27" i="41"/>
  <c r="AO41" i="41"/>
  <c r="AO28" i="41"/>
  <c r="AO30" i="41"/>
  <c r="AO43" i="41"/>
  <c r="AN44" i="41"/>
  <c r="AN31" i="41"/>
  <c r="AV45" i="41"/>
  <c r="AV32" i="41"/>
  <c r="AP46" i="41"/>
  <c r="AP33" i="41"/>
  <c r="AT38" i="41"/>
  <c r="AT25" i="41"/>
  <c r="AO38" i="41"/>
  <c r="AO25" i="41"/>
  <c r="AL25" i="41"/>
  <c r="AL38" i="41"/>
  <c r="AT39" i="41"/>
  <c r="AT26" i="41"/>
  <c r="AR40" i="41"/>
  <c r="AR27" i="41"/>
  <c r="AM28" i="41"/>
  <c r="AM41" i="41"/>
  <c r="AP30" i="41"/>
  <c r="AP43" i="41"/>
  <c r="AU44" i="41"/>
  <c r="AU31" i="41"/>
  <c r="AO45" i="41"/>
  <c r="AO32" i="41"/>
  <c r="AU46" i="41"/>
  <c r="AU33" i="41"/>
  <c r="AQ38" i="41"/>
  <c r="AQ25" i="41"/>
  <c r="AW26" i="41"/>
  <c r="AW39" i="41"/>
  <c r="AW27" i="41"/>
  <c r="AW40" i="41"/>
  <c r="AR29" i="41"/>
  <c r="AR42" i="41"/>
  <c r="AN43" i="41"/>
  <c r="AN30" i="41"/>
  <c r="AL31" i="41"/>
  <c r="AL44" i="41"/>
  <c r="AL46" i="41"/>
  <c r="AL33" i="41"/>
  <c r="AM34" i="41"/>
  <c r="AM47" i="41"/>
  <c r="AU24" i="41"/>
  <c r="AU37" i="41"/>
  <c r="AV39" i="41"/>
  <c r="AV26" i="41"/>
  <c r="AM40" i="41"/>
  <c r="AM27" i="41"/>
  <c r="AU42" i="41"/>
  <c r="AU29" i="41"/>
  <c r="AQ43" i="41"/>
  <c r="AQ30" i="41"/>
  <c r="AO31" i="41"/>
  <c r="AO44" i="41"/>
  <c r="AW46" i="41"/>
  <c r="AW33" i="41"/>
  <c r="AO34" i="41"/>
  <c r="AO47" i="41"/>
  <c r="AC26" i="39"/>
  <c r="AC39" i="39"/>
  <c r="AD26" i="39"/>
  <c r="AD39" i="39"/>
  <c r="AE26" i="39"/>
  <c r="AE39" i="39"/>
  <c r="AA12" i="39"/>
  <c r="Z12" i="39"/>
  <c r="Y12" i="39"/>
  <c r="X12" i="39"/>
  <c r="AI12" i="39"/>
  <c r="AH12" i="39"/>
  <c r="AG12" i="39"/>
  <c r="AF12" i="39"/>
  <c r="W11" i="39"/>
  <c r="AE12" i="39"/>
  <c r="AD12" i="39"/>
  <c r="AC12" i="39"/>
  <c r="AB12" i="39"/>
  <c r="AF26" i="39"/>
  <c r="AF39" i="39"/>
  <c r="AG26" i="39"/>
  <c r="AG39" i="39"/>
  <c r="AH26" i="39"/>
  <c r="AH39" i="39"/>
  <c r="AI26" i="39"/>
  <c r="AI39" i="39"/>
  <c r="X39" i="39"/>
  <c r="X26" i="39"/>
  <c r="Y39" i="39"/>
  <c r="Y26" i="39"/>
  <c r="Z26" i="39"/>
  <c r="Z39" i="39"/>
  <c r="AA26" i="39"/>
  <c r="AA39" i="39"/>
  <c r="AB26" i="39"/>
  <c r="AB39" i="39"/>
  <c r="AG27" i="38"/>
  <c r="AG40" i="38"/>
  <c r="Z40" i="38"/>
  <c r="Z27" i="38"/>
  <c r="AH27" i="38"/>
  <c r="AH40" i="38"/>
  <c r="AD40" i="38"/>
  <c r="AD27" i="38"/>
  <c r="AE40" i="38"/>
  <c r="AE27" i="38"/>
  <c r="AB27" i="38"/>
  <c r="AB40" i="38"/>
  <c r="AF13" i="38"/>
  <c r="Z13" i="38"/>
  <c r="W12" i="38"/>
  <c r="AI13" i="38"/>
  <c r="AE13" i="38"/>
  <c r="Y13" i="38"/>
  <c r="AC13" i="38"/>
  <c r="AD13" i="38"/>
  <c r="X13" i="38"/>
  <c r="AA13" i="38"/>
  <c r="AH13" i="38"/>
  <c r="AG13" i="38"/>
  <c r="AB13" i="38"/>
  <c r="AF40" i="38"/>
  <c r="AF27" i="38"/>
  <c r="X40" i="38"/>
  <c r="X27" i="38"/>
  <c r="AA27" i="38"/>
  <c r="AA40" i="38"/>
  <c r="AC40" i="38"/>
  <c r="AC27" i="38"/>
  <c r="Y40" i="38"/>
  <c r="Y27" i="38"/>
  <c r="AI40" i="38"/>
  <c r="AI27" i="38"/>
  <c r="AA41" i="36"/>
  <c r="AA28" i="36"/>
  <c r="X41" i="36"/>
  <c r="X28" i="36"/>
  <c r="AF41" i="36"/>
  <c r="AF28" i="36"/>
  <c r="AC41" i="36"/>
  <c r="AC28" i="36"/>
  <c r="Y28" i="36"/>
  <c r="Y41" i="36"/>
  <c r="AG41" i="36"/>
  <c r="AG28" i="36"/>
  <c r="AE28" i="36"/>
  <c r="AE41" i="36"/>
  <c r="Z41" i="36"/>
  <c r="Z28" i="36"/>
  <c r="AB41" i="36"/>
  <c r="AB28" i="36"/>
  <c r="AH41" i="36"/>
  <c r="AH28" i="36"/>
  <c r="AD41" i="36"/>
  <c r="AD28" i="36"/>
  <c r="AI41" i="36"/>
  <c r="AI28" i="36"/>
  <c r="AI14" i="36"/>
  <c r="AC14" i="36"/>
  <c r="AH14" i="36"/>
  <c r="AB14" i="36"/>
  <c r="AG14" i="36"/>
  <c r="AA14" i="36"/>
  <c r="AF14" i="36"/>
  <c r="W13" i="36"/>
  <c r="Z14" i="36"/>
  <c r="Y14" i="36"/>
  <c r="X14" i="36"/>
  <c r="AE14" i="36"/>
  <c r="AD14" i="36"/>
  <c r="AA26" i="35"/>
  <c r="AA39" i="35"/>
  <c r="AG26" i="35"/>
  <c r="AG39" i="35"/>
  <c r="AD12" i="35"/>
  <c r="X12" i="35"/>
  <c r="AC12" i="35"/>
  <c r="AE12" i="35"/>
  <c r="AB12" i="35"/>
  <c r="AI12" i="35"/>
  <c r="AA12" i="35"/>
  <c r="W11" i="35"/>
  <c r="Z12" i="35"/>
  <c r="AG12" i="35"/>
  <c r="Y12" i="35"/>
  <c r="AF12" i="35"/>
  <c r="AH12" i="35"/>
  <c r="Y39" i="35"/>
  <c r="Y26" i="35"/>
  <c r="X39" i="35"/>
  <c r="X26" i="35"/>
  <c r="AF39" i="35"/>
  <c r="AF26" i="35"/>
  <c r="AB39" i="35"/>
  <c r="AB26" i="35"/>
  <c r="AI26" i="35"/>
  <c r="AI39" i="35"/>
  <c r="Z26" i="35"/>
  <c r="Z39" i="35"/>
  <c r="AE39" i="35"/>
  <c r="AE26" i="35"/>
  <c r="AH26" i="35"/>
  <c r="AH39" i="35"/>
  <c r="AC39" i="35"/>
  <c r="AC26" i="35"/>
  <c r="AD39" i="35"/>
  <c r="AD26" i="35"/>
  <c r="X25" i="39" l="1"/>
  <c r="X38" i="39"/>
  <c r="Y25" i="39"/>
  <c r="Y38" i="39"/>
  <c r="Z25" i="39"/>
  <c r="Z38" i="39"/>
  <c r="AA25" i="39"/>
  <c r="AA38" i="39"/>
  <c r="AB25" i="39"/>
  <c r="AB38" i="39"/>
  <c r="AC25" i="39"/>
  <c r="AC38" i="39"/>
  <c r="AD38" i="39"/>
  <c r="AD25" i="39"/>
  <c r="AE38" i="39"/>
  <c r="AE25" i="39"/>
  <c r="AH11" i="39"/>
  <c r="AG11" i="39"/>
  <c r="AF11" i="39"/>
  <c r="AE11" i="39"/>
  <c r="AD11" i="39"/>
  <c r="AC11" i="39"/>
  <c r="AB11" i="39"/>
  <c r="AA11" i="39"/>
  <c r="Z11" i="39"/>
  <c r="Y11" i="39"/>
  <c r="X11" i="39"/>
  <c r="AI11" i="39"/>
  <c r="AF38" i="39"/>
  <c r="AF25" i="39"/>
  <c r="AG25" i="39"/>
  <c r="AG38" i="39"/>
  <c r="AH25" i="39"/>
  <c r="AH38" i="39"/>
  <c r="AI25" i="39"/>
  <c r="AI38" i="39"/>
  <c r="AB39" i="38"/>
  <c r="AB26" i="38"/>
  <c r="AH39" i="38"/>
  <c r="AH26" i="38"/>
  <c r="AE26" i="38"/>
  <c r="AE39" i="38"/>
  <c r="AG39" i="38"/>
  <c r="AG26" i="38"/>
  <c r="AA39" i="38"/>
  <c r="AA26" i="38"/>
  <c r="AI39" i="38"/>
  <c r="AI26" i="38"/>
  <c r="AC39" i="38"/>
  <c r="AC26" i="38"/>
  <c r="X26" i="38"/>
  <c r="X39" i="38"/>
  <c r="AI12" i="38"/>
  <c r="AC12" i="38"/>
  <c r="W11" i="38"/>
  <c r="AH12" i="38"/>
  <c r="AB12" i="38"/>
  <c r="AF12" i="38"/>
  <c r="AG12" i="38"/>
  <c r="AA12" i="38"/>
  <c r="Z12" i="38"/>
  <c r="AD12" i="38"/>
  <c r="Y12" i="38"/>
  <c r="X12" i="38"/>
  <c r="AE12" i="38"/>
  <c r="Y26" i="38"/>
  <c r="Y39" i="38"/>
  <c r="AD26" i="38"/>
  <c r="AD39" i="38"/>
  <c r="Z39" i="38"/>
  <c r="Z26" i="38"/>
  <c r="AF39" i="38"/>
  <c r="AF26" i="38"/>
  <c r="AA40" i="36"/>
  <c r="AA27" i="36"/>
  <c r="X40" i="36"/>
  <c r="X27" i="36"/>
  <c r="AG40" i="36"/>
  <c r="AG27" i="36"/>
  <c r="AE40" i="36"/>
  <c r="AE27" i="36"/>
  <c r="Z27" i="36"/>
  <c r="Z40" i="36"/>
  <c r="AH27" i="36"/>
  <c r="AH40" i="36"/>
  <c r="Y40" i="36"/>
  <c r="Y27" i="36"/>
  <c r="AF13" i="36"/>
  <c r="Z13" i="36"/>
  <c r="W12" i="36"/>
  <c r="AD13" i="36"/>
  <c r="AE13" i="36"/>
  <c r="Y13" i="36"/>
  <c r="X13" i="36"/>
  <c r="AI13" i="36"/>
  <c r="AG13" i="36"/>
  <c r="AB13" i="36"/>
  <c r="AH13" i="36"/>
  <c r="AC13" i="36"/>
  <c r="AA13" i="36"/>
  <c r="AC40" i="36"/>
  <c r="AC27" i="36"/>
  <c r="AB40" i="36"/>
  <c r="AB27" i="36"/>
  <c r="AD40" i="36"/>
  <c r="AD27" i="36"/>
  <c r="AF40" i="36"/>
  <c r="AF27" i="36"/>
  <c r="AI40" i="36"/>
  <c r="AI27" i="36"/>
  <c r="AF38" i="35"/>
  <c r="AF25" i="35"/>
  <c r="Y38" i="35"/>
  <c r="Y25" i="35"/>
  <c r="AG38" i="35"/>
  <c r="AG25" i="35"/>
  <c r="AE38" i="35"/>
  <c r="AE25" i="35"/>
  <c r="AI38" i="35"/>
  <c r="AI25" i="35"/>
  <c r="AB38" i="35"/>
  <c r="AB25" i="35"/>
  <c r="Z25" i="35"/>
  <c r="Z38" i="35"/>
  <c r="AC38" i="35"/>
  <c r="AC25" i="35"/>
  <c r="AG11" i="35"/>
  <c r="AA11" i="35"/>
  <c r="AF11" i="35"/>
  <c r="Y11" i="35"/>
  <c r="AI11" i="35"/>
  <c r="Z11" i="35"/>
  <c r="AH11" i="35"/>
  <c r="X11" i="35"/>
  <c r="AS12" i="35" s="1"/>
  <c r="AE11" i="35"/>
  <c r="AD11" i="35"/>
  <c r="AC11" i="35"/>
  <c r="AB11" i="35"/>
  <c r="X38" i="35"/>
  <c r="X25" i="35"/>
  <c r="AH38" i="35"/>
  <c r="AH25" i="35"/>
  <c r="AA38" i="35"/>
  <c r="AA25" i="35"/>
  <c r="AD25" i="35"/>
  <c r="AD38" i="35"/>
  <c r="AO12" i="39" l="1"/>
  <c r="AO25" i="39" s="1"/>
  <c r="AW12" i="39"/>
  <c r="AT12" i="39"/>
  <c r="AS12" i="39"/>
  <c r="AI24" i="39"/>
  <c r="AW11" i="39"/>
  <c r="AI37" i="39"/>
  <c r="X24" i="39"/>
  <c r="AL11" i="39"/>
  <c r="X37" i="39"/>
  <c r="AT21" i="39"/>
  <c r="AQ21" i="39"/>
  <c r="AN21" i="39"/>
  <c r="AU21" i="39"/>
  <c r="AR21" i="39"/>
  <c r="AO21" i="39"/>
  <c r="AV21" i="39"/>
  <c r="AS21" i="39"/>
  <c r="AP21" i="39"/>
  <c r="AW21" i="39"/>
  <c r="AL21" i="39"/>
  <c r="AM21" i="39"/>
  <c r="AU20" i="39"/>
  <c r="AR20" i="39"/>
  <c r="AL20" i="39"/>
  <c r="AQ20" i="39"/>
  <c r="AM20" i="39"/>
  <c r="AV20" i="39"/>
  <c r="AN20" i="39"/>
  <c r="AW20" i="39"/>
  <c r="AT20" i="39"/>
  <c r="AO20" i="39"/>
  <c r="AS20" i="39"/>
  <c r="AP20" i="39"/>
  <c r="AU19" i="39"/>
  <c r="AW19" i="39"/>
  <c r="AS19" i="39"/>
  <c r="AL19" i="39"/>
  <c r="AO19" i="39"/>
  <c r="AP19" i="39"/>
  <c r="AT19" i="39"/>
  <c r="AN19" i="39"/>
  <c r="AQ19" i="39"/>
  <c r="AM19" i="39"/>
  <c r="AR19" i="39"/>
  <c r="AV19" i="39"/>
  <c r="AQ18" i="39"/>
  <c r="AP18" i="39"/>
  <c r="AU18" i="39"/>
  <c r="AV18" i="39"/>
  <c r="AM18" i="39"/>
  <c r="AR18" i="39"/>
  <c r="AS18" i="39"/>
  <c r="AN18" i="39"/>
  <c r="AW18" i="39"/>
  <c r="AO18" i="39"/>
  <c r="AT18" i="39"/>
  <c r="AL18" i="39"/>
  <c r="AW17" i="39"/>
  <c r="AV17" i="39"/>
  <c r="AP17" i="39"/>
  <c r="AR17" i="39"/>
  <c r="AQ17" i="39"/>
  <c r="AM17" i="39"/>
  <c r="AN17" i="39"/>
  <c r="AS17" i="39"/>
  <c r="AL17" i="39"/>
  <c r="AT17" i="39"/>
  <c r="AU17" i="39"/>
  <c r="AO17" i="39"/>
  <c r="AW16" i="39"/>
  <c r="AN16" i="39"/>
  <c r="AT16" i="39"/>
  <c r="AL16" i="39"/>
  <c r="AV16" i="39"/>
  <c r="AP16" i="39"/>
  <c r="AR16" i="39"/>
  <c r="AO16" i="39"/>
  <c r="AM16" i="39"/>
  <c r="AU16" i="39"/>
  <c r="AS16" i="39"/>
  <c r="AQ16" i="39"/>
  <c r="AV15" i="39"/>
  <c r="AL15" i="39"/>
  <c r="AP15" i="39"/>
  <c r="AQ15" i="39"/>
  <c r="AU15" i="39"/>
  <c r="AR15" i="39"/>
  <c r="AM15" i="39"/>
  <c r="AS15" i="39"/>
  <c r="AW15" i="39"/>
  <c r="AN15" i="39"/>
  <c r="AO15" i="39"/>
  <c r="AT15" i="39"/>
  <c r="AV14" i="39"/>
  <c r="AR14" i="39"/>
  <c r="AO14" i="39"/>
  <c r="AL14" i="39"/>
  <c r="AQ14" i="39"/>
  <c r="AS14" i="39"/>
  <c r="AT14" i="39"/>
  <c r="AP14" i="39"/>
  <c r="AW14" i="39"/>
  <c r="AM14" i="39"/>
  <c r="AU14" i="39"/>
  <c r="AN14" i="39"/>
  <c r="AM13" i="39"/>
  <c r="AQ13" i="39"/>
  <c r="AV13" i="39"/>
  <c r="AN13" i="39"/>
  <c r="AO13" i="39"/>
  <c r="AR13" i="39"/>
  <c r="AW13" i="39"/>
  <c r="AS13" i="39"/>
  <c r="AT13" i="39"/>
  <c r="AP13" i="39"/>
  <c r="AL13" i="39"/>
  <c r="AU13" i="39"/>
  <c r="Y24" i="39"/>
  <c r="AM11" i="39"/>
  <c r="Y37" i="39"/>
  <c r="AN12" i="39"/>
  <c r="Z24" i="39"/>
  <c r="AN11" i="39"/>
  <c r="Z37" i="39"/>
  <c r="AR12" i="39"/>
  <c r="AA24" i="39"/>
  <c r="AO11" i="39"/>
  <c r="AA37" i="39"/>
  <c r="AB24" i="39"/>
  <c r="AP11" i="39"/>
  <c r="AB37" i="39"/>
  <c r="AV12" i="39"/>
  <c r="AC24" i="39"/>
  <c r="AQ11" i="39"/>
  <c r="AC37" i="39"/>
  <c r="AQ12" i="39"/>
  <c r="AM12" i="39"/>
  <c r="AD24" i="39"/>
  <c r="AR11" i="39"/>
  <c r="AD37" i="39"/>
  <c r="AE24" i="39"/>
  <c r="AS11" i="39"/>
  <c r="AE37" i="39"/>
  <c r="AU12" i="39"/>
  <c r="AF24" i="39"/>
  <c r="AT11" i="39"/>
  <c r="AF37" i="39"/>
  <c r="AL12" i="39"/>
  <c r="AG24" i="39"/>
  <c r="AU11" i="39"/>
  <c r="AG37" i="39"/>
  <c r="AP12" i="39"/>
  <c r="AH24" i="39"/>
  <c r="AV11" i="39"/>
  <c r="AH37" i="39"/>
  <c r="AH25" i="38"/>
  <c r="AH38" i="38"/>
  <c r="Z38" i="38"/>
  <c r="Z25" i="38"/>
  <c r="AF11" i="38"/>
  <c r="Z11" i="38"/>
  <c r="AE11" i="38"/>
  <c r="Y11" i="38"/>
  <c r="AC11" i="38"/>
  <c r="AD11" i="38"/>
  <c r="X11" i="38"/>
  <c r="AI11" i="38"/>
  <c r="AG11" i="38"/>
  <c r="AB11" i="38"/>
  <c r="AA11" i="38"/>
  <c r="AH11" i="38"/>
  <c r="AA25" i="38"/>
  <c r="AA38" i="38"/>
  <c r="AC38" i="38"/>
  <c r="AC25" i="38"/>
  <c r="AE38" i="38"/>
  <c r="AE25" i="38"/>
  <c r="AG25" i="38"/>
  <c r="AG38" i="38"/>
  <c r="AI38" i="38"/>
  <c r="AI25" i="38"/>
  <c r="AD38" i="38"/>
  <c r="AD25" i="38"/>
  <c r="X38" i="38"/>
  <c r="X25" i="38"/>
  <c r="AF38" i="38"/>
  <c r="AF25" i="38"/>
  <c r="Y38" i="38"/>
  <c r="Y25" i="38"/>
  <c r="AB25" i="38"/>
  <c r="AB38" i="38"/>
  <c r="AI26" i="36"/>
  <c r="AI39" i="36"/>
  <c r="AA39" i="36"/>
  <c r="AA26" i="36"/>
  <c r="X39" i="36"/>
  <c r="X26" i="36"/>
  <c r="AF39" i="36"/>
  <c r="AF26" i="36"/>
  <c r="Y26" i="36"/>
  <c r="Y39" i="36"/>
  <c r="AH39" i="36"/>
  <c r="AH26" i="36"/>
  <c r="AE39" i="36"/>
  <c r="AE26" i="36"/>
  <c r="AB39" i="36"/>
  <c r="AB26" i="36"/>
  <c r="AD39" i="36"/>
  <c r="AD26" i="36"/>
  <c r="Z26" i="36"/>
  <c r="Z39" i="36"/>
  <c r="AC39" i="36"/>
  <c r="AC26" i="36"/>
  <c r="AG39" i="36"/>
  <c r="AG26" i="36"/>
  <c r="AI12" i="36"/>
  <c r="AC12" i="36"/>
  <c r="AA12" i="36"/>
  <c r="AH12" i="36"/>
  <c r="AB12" i="36"/>
  <c r="AG12" i="36"/>
  <c r="Z12" i="36"/>
  <c r="X12" i="36"/>
  <c r="AF12" i="36"/>
  <c r="Y12" i="36"/>
  <c r="W11" i="36"/>
  <c r="AE12" i="36"/>
  <c r="AD12" i="36"/>
  <c r="AS38" i="35"/>
  <c r="AS25" i="35"/>
  <c r="AU12" i="35"/>
  <c r="AD37" i="35"/>
  <c r="AR11" i="35"/>
  <c r="AD24" i="35"/>
  <c r="Y37" i="35"/>
  <c r="Y24" i="35"/>
  <c r="AM11" i="35"/>
  <c r="AQ12" i="35"/>
  <c r="AP12" i="35"/>
  <c r="AW12" i="35"/>
  <c r="AA24" i="35"/>
  <c r="AO11" i="35"/>
  <c r="AA37" i="35"/>
  <c r="AL12" i="35"/>
  <c r="AE37" i="35"/>
  <c r="AE24" i="35"/>
  <c r="AS11" i="35"/>
  <c r="AF37" i="35"/>
  <c r="AT11" i="35"/>
  <c r="AF24" i="35"/>
  <c r="AR12" i="35"/>
  <c r="AG24" i="35"/>
  <c r="AG37" i="35"/>
  <c r="AU11" i="35"/>
  <c r="AT12" i="35"/>
  <c r="AH37" i="35"/>
  <c r="AV11" i="35"/>
  <c r="AH24" i="35"/>
  <c r="AV12" i="35"/>
  <c r="AB37" i="35"/>
  <c r="AP11" i="35"/>
  <c r="AB24" i="35"/>
  <c r="AN11" i="35"/>
  <c r="Z37" i="35"/>
  <c r="Z24" i="35"/>
  <c r="AN12" i="35"/>
  <c r="X37" i="35"/>
  <c r="X24" i="35"/>
  <c r="AL11" i="35"/>
  <c r="AN21" i="35"/>
  <c r="AW20" i="35"/>
  <c r="AL21" i="35"/>
  <c r="AQ21" i="35"/>
  <c r="AV21" i="35"/>
  <c r="AU21" i="35"/>
  <c r="AM20" i="35"/>
  <c r="AL20" i="35"/>
  <c r="AT21" i="35"/>
  <c r="AM21" i="35"/>
  <c r="AP20" i="35"/>
  <c r="AW21" i="35"/>
  <c r="AS21" i="35"/>
  <c r="AS20" i="35"/>
  <c r="AV20" i="35"/>
  <c r="AO20" i="35"/>
  <c r="AQ20" i="35"/>
  <c r="AN20" i="35"/>
  <c r="AU20" i="35"/>
  <c r="AR21" i="35"/>
  <c r="AT20" i="35"/>
  <c r="AP21" i="35"/>
  <c r="AR20" i="35"/>
  <c r="AO21" i="35"/>
  <c r="AO19" i="35"/>
  <c r="AM19" i="35"/>
  <c r="AR19" i="35"/>
  <c r="AS19" i="35"/>
  <c r="AU19" i="35"/>
  <c r="AW19" i="35"/>
  <c r="AL19" i="35"/>
  <c r="AT19" i="35"/>
  <c r="AP19" i="35"/>
  <c r="AQ19" i="35"/>
  <c r="AN19" i="35"/>
  <c r="AV19" i="35"/>
  <c r="AR18" i="35"/>
  <c r="AP18" i="35"/>
  <c r="AL18" i="35"/>
  <c r="AW18" i="35"/>
  <c r="AQ18" i="35"/>
  <c r="AN18" i="35"/>
  <c r="AM18" i="35"/>
  <c r="AV18" i="35"/>
  <c r="AS18" i="35"/>
  <c r="AU18" i="35"/>
  <c r="AO18" i="35"/>
  <c r="AT18" i="35"/>
  <c r="AS17" i="35"/>
  <c r="AW17" i="35"/>
  <c r="AP17" i="35"/>
  <c r="AR17" i="35"/>
  <c r="AO17" i="35"/>
  <c r="AU17" i="35"/>
  <c r="AT17" i="35"/>
  <c r="AL17" i="35"/>
  <c r="AM17" i="35"/>
  <c r="AV17" i="35"/>
  <c r="AQ17" i="35"/>
  <c r="AN17" i="35"/>
  <c r="AQ16" i="35"/>
  <c r="AT16" i="35"/>
  <c r="AS16" i="35"/>
  <c r="AP16" i="35"/>
  <c r="AW16" i="35"/>
  <c r="AR16" i="35"/>
  <c r="AM16" i="35"/>
  <c r="AO16" i="35"/>
  <c r="AU16" i="35"/>
  <c r="AV16" i="35"/>
  <c r="AN16" i="35"/>
  <c r="AL16" i="35"/>
  <c r="AO15" i="35"/>
  <c r="AL15" i="35"/>
  <c r="AU15" i="35"/>
  <c r="AV15" i="35"/>
  <c r="AM15" i="35"/>
  <c r="AS15" i="35"/>
  <c r="AP15" i="35"/>
  <c r="AW15" i="35"/>
  <c r="AT15" i="35"/>
  <c r="AN15" i="35"/>
  <c r="AR15" i="35"/>
  <c r="AQ15" i="35"/>
  <c r="AO14" i="35"/>
  <c r="AL14" i="35"/>
  <c r="AP14" i="35"/>
  <c r="AU14" i="35"/>
  <c r="AR14" i="35"/>
  <c r="AM14" i="35"/>
  <c r="AT14" i="35"/>
  <c r="AS14" i="35"/>
  <c r="AN14" i="35"/>
  <c r="AW14" i="35"/>
  <c r="AQ14" i="35"/>
  <c r="AV14" i="35"/>
  <c r="AO13" i="35"/>
  <c r="AW13" i="35"/>
  <c r="AL13" i="35"/>
  <c r="AS13" i="35"/>
  <c r="AV13" i="35"/>
  <c r="AR13" i="35"/>
  <c r="AU13" i="35"/>
  <c r="AM13" i="35"/>
  <c r="AT13" i="35"/>
  <c r="AQ13" i="35"/>
  <c r="AP13" i="35"/>
  <c r="AN13" i="35"/>
  <c r="AO12" i="35"/>
  <c r="AC37" i="35"/>
  <c r="AC24" i="35"/>
  <c r="AQ11" i="35"/>
  <c r="AI37" i="35"/>
  <c r="AI24" i="35"/>
  <c r="AW11" i="35"/>
  <c r="AM12" i="35"/>
  <c r="AO38" i="39" l="1"/>
  <c r="AL25" i="39"/>
  <c r="AL38" i="39"/>
  <c r="AV26" i="39"/>
  <c r="AV39" i="39"/>
  <c r="AO28" i="39"/>
  <c r="AO41" i="39"/>
  <c r="AR29" i="39"/>
  <c r="AR42" i="39"/>
  <c r="AP30" i="39"/>
  <c r="AP43" i="39"/>
  <c r="AR32" i="39"/>
  <c r="AR45" i="39"/>
  <c r="AN46" i="39"/>
  <c r="AN33" i="39"/>
  <c r="AN34" i="39"/>
  <c r="AN47" i="39"/>
  <c r="AQ24" i="39"/>
  <c r="AQ37" i="39"/>
  <c r="AQ26" i="39"/>
  <c r="AQ39" i="39"/>
  <c r="AN28" i="39"/>
  <c r="AN41" i="39"/>
  <c r="AP29" i="39"/>
  <c r="AP42" i="39"/>
  <c r="AV30" i="39"/>
  <c r="AV43" i="39"/>
  <c r="AM32" i="39"/>
  <c r="AM45" i="39"/>
  <c r="AV33" i="39"/>
  <c r="AV46" i="39"/>
  <c r="AQ34" i="39"/>
  <c r="AQ47" i="39"/>
  <c r="AN25" i="39"/>
  <c r="AN38" i="39"/>
  <c r="AM26" i="39"/>
  <c r="AM39" i="39"/>
  <c r="AW28" i="39"/>
  <c r="AW41" i="39"/>
  <c r="AV29" i="39"/>
  <c r="AV42" i="39"/>
  <c r="AW30" i="39"/>
  <c r="AW43" i="39"/>
  <c r="AQ32" i="39"/>
  <c r="AQ45" i="39"/>
  <c r="AM46" i="39"/>
  <c r="AM33" i="39"/>
  <c r="AT34" i="39"/>
  <c r="AT47" i="39"/>
  <c r="AT24" i="39"/>
  <c r="AT37" i="39"/>
  <c r="AN27" i="39"/>
  <c r="AN40" i="39"/>
  <c r="AS28" i="39"/>
  <c r="AS41" i="39"/>
  <c r="AL29" i="39"/>
  <c r="AL42" i="39"/>
  <c r="AL44" i="39"/>
  <c r="AL31" i="39"/>
  <c r="AN32" i="39"/>
  <c r="AN45" i="39"/>
  <c r="AQ33" i="39"/>
  <c r="AQ46" i="39"/>
  <c r="F35" i="39"/>
  <c r="AV38" i="39"/>
  <c r="AV25" i="39"/>
  <c r="AM37" i="39"/>
  <c r="AM24" i="39"/>
  <c r="AU27" i="39"/>
  <c r="AU40" i="39"/>
  <c r="AM28" i="39"/>
  <c r="AM41" i="39"/>
  <c r="AT29" i="39"/>
  <c r="AT42" i="39"/>
  <c r="AT31" i="39"/>
  <c r="AT44" i="39"/>
  <c r="AT45" i="39"/>
  <c r="AT32" i="39"/>
  <c r="AL33" i="39"/>
  <c r="AL46" i="39"/>
  <c r="AL37" i="39"/>
  <c r="AL24" i="39"/>
  <c r="AU38" i="39"/>
  <c r="AU25" i="39"/>
  <c r="AM27" i="39"/>
  <c r="AM40" i="39"/>
  <c r="AR41" i="39"/>
  <c r="AR28" i="39"/>
  <c r="AN29" i="39"/>
  <c r="AN42" i="39"/>
  <c r="AO31" i="39"/>
  <c r="AO44" i="39"/>
  <c r="AP32" i="39"/>
  <c r="AP45" i="39"/>
  <c r="AR33" i="39"/>
  <c r="AR46" i="39"/>
  <c r="F22" i="39"/>
  <c r="AP24" i="39"/>
  <c r="AP37" i="39"/>
  <c r="AW40" i="39"/>
  <c r="AW27" i="39"/>
  <c r="AU28" i="39"/>
  <c r="AU41" i="39"/>
  <c r="AW29" i="39"/>
  <c r="AW42" i="39"/>
  <c r="AW31" i="39"/>
  <c r="AW44" i="39"/>
  <c r="AO32" i="39"/>
  <c r="AO45" i="39"/>
  <c r="AU33" i="39"/>
  <c r="AU46" i="39"/>
  <c r="F9" i="39"/>
  <c r="AS24" i="39"/>
  <c r="AS37" i="39"/>
  <c r="AU26" i="39"/>
  <c r="AU39" i="39"/>
  <c r="AP27" i="39"/>
  <c r="AP40" i="39"/>
  <c r="AQ41" i="39"/>
  <c r="AQ28" i="39"/>
  <c r="AO30" i="39"/>
  <c r="AO43" i="39"/>
  <c r="AN31" i="39"/>
  <c r="AN44" i="39"/>
  <c r="AL32" i="39"/>
  <c r="AL45" i="39"/>
  <c r="AM34" i="39"/>
  <c r="AM47" i="39"/>
  <c r="AL26" i="39"/>
  <c r="AL39" i="39"/>
  <c r="AT27" i="39"/>
  <c r="AT40" i="39"/>
  <c r="AP41" i="39"/>
  <c r="AP28" i="39"/>
  <c r="AU30" i="39"/>
  <c r="AU43" i="39"/>
  <c r="AS31" i="39"/>
  <c r="AS44" i="39"/>
  <c r="AS32" i="39"/>
  <c r="AS45" i="39"/>
  <c r="AL34" i="39"/>
  <c r="AL47" i="39"/>
  <c r="AV24" i="39"/>
  <c r="AV37" i="39"/>
  <c r="AP39" i="39"/>
  <c r="AP26" i="39"/>
  <c r="AS27" i="39"/>
  <c r="AS40" i="39"/>
  <c r="AL28" i="39"/>
  <c r="AL41" i="39"/>
  <c r="AT30" i="39"/>
  <c r="AT43" i="39"/>
  <c r="AR31" i="39"/>
  <c r="AR44" i="39"/>
  <c r="AW32" i="39"/>
  <c r="AW45" i="39"/>
  <c r="AW47" i="39"/>
  <c r="AW34" i="39"/>
  <c r="AW24" i="39"/>
  <c r="AW37" i="39"/>
  <c r="AO24" i="39"/>
  <c r="AO37" i="39"/>
  <c r="AT26" i="39"/>
  <c r="AT39" i="39"/>
  <c r="AQ27" i="39"/>
  <c r="AQ40" i="39"/>
  <c r="AV28" i="39"/>
  <c r="AV41" i="39"/>
  <c r="AL30" i="39"/>
  <c r="AL43" i="39"/>
  <c r="AM44" i="39"/>
  <c r="AM31" i="39"/>
  <c r="AU45" i="39"/>
  <c r="AU32" i="39"/>
  <c r="AP34" i="39"/>
  <c r="AP47" i="39"/>
  <c r="AP25" i="39"/>
  <c r="AP38" i="39"/>
  <c r="AR24" i="39"/>
  <c r="AR37" i="39"/>
  <c r="AS26" i="39"/>
  <c r="AS39" i="39"/>
  <c r="AL27" i="39"/>
  <c r="AL40" i="39"/>
  <c r="AQ29" i="39"/>
  <c r="AQ42" i="39"/>
  <c r="AS43" i="39"/>
  <c r="AS30" i="39"/>
  <c r="AV31" i="39"/>
  <c r="AV44" i="39"/>
  <c r="AP33" i="39"/>
  <c r="AP46" i="39"/>
  <c r="AS34" i="39"/>
  <c r="AS47" i="39"/>
  <c r="AS25" i="39"/>
  <c r="AS38" i="39"/>
  <c r="AW26" i="39"/>
  <c r="AW39" i="39"/>
  <c r="AO27" i="39"/>
  <c r="AO40" i="39"/>
  <c r="AS29" i="39"/>
  <c r="AS42" i="39"/>
  <c r="AN30" i="39"/>
  <c r="AN43" i="39"/>
  <c r="AU31" i="39"/>
  <c r="AU44" i="39"/>
  <c r="AS33" i="39"/>
  <c r="AS46" i="39"/>
  <c r="AV47" i="39"/>
  <c r="AV34" i="39"/>
  <c r="AT25" i="39"/>
  <c r="AT38" i="39"/>
  <c r="AR25" i="39"/>
  <c r="AR38" i="39"/>
  <c r="AR26" i="39"/>
  <c r="AR39" i="39"/>
  <c r="AR27" i="39"/>
  <c r="AR40" i="39"/>
  <c r="AU29" i="39"/>
  <c r="AU42" i="39"/>
  <c r="AM30" i="39"/>
  <c r="AM43" i="39"/>
  <c r="AP31" i="39"/>
  <c r="AP44" i="39"/>
  <c r="AO46" i="39"/>
  <c r="AO33" i="39"/>
  <c r="AO34" i="39"/>
  <c r="AO47" i="39"/>
  <c r="AW38" i="39"/>
  <c r="AW25" i="39"/>
  <c r="AU24" i="39"/>
  <c r="AU37" i="39"/>
  <c r="AM25" i="39"/>
  <c r="AM38" i="39"/>
  <c r="AO39" i="39"/>
  <c r="AO26" i="39"/>
  <c r="AV27" i="39"/>
  <c r="AV40" i="39"/>
  <c r="AM29" i="39"/>
  <c r="AM42" i="39"/>
  <c r="AQ30" i="39"/>
  <c r="AQ43" i="39"/>
  <c r="AQ31" i="39"/>
  <c r="AQ44" i="39"/>
  <c r="AT33" i="39"/>
  <c r="AT46" i="39"/>
  <c r="AR34" i="39"/>
  <c r="AR47" i="39"/>
  <c r="AQ25" i="39"/>
  <c r="AQ38" i="39"/>
  <c r="AN24" i="39"/>
  <c r="AN37" i="39"/>
  <c r="AN39" i="39"/>
  <c r="AN26" i="39"/>
  <c r="AT28" i="39"/>
  <c r="AT41" i="39"/>
  <c r="AO29" i="39"/>
  <c r="AO42" i="39"/>
  <c r="AR43" i="39"/>
  <c r="AR30" i="39"/>
  <c r="AV45" i="39"/>
  <c r="AV32" i="39"/>
  <c r="AW33" i="39"/>
  <c r="AW46" i="39"/>
  <c r="AU34" i="39"/>
  <c r="AU47" i="39"/>
  <c r="AO12" i="38"/>
  <c r="AO25" i="38" s="1"/>
  <c r="AB37" i="38"/>
  <c r="AB24" i="38"/>
  <c r="AP11" i="38"/>
  <c r="AG37" i="38"/>
  <c r="AG24" i="38"/>
  <c r="AU11" i="38"/>
  <c r="AE24" i="38"/>
  <c r="AS11" i="38"/>
  <c r="AE37" i="38"/>
  <c r="AU12" i="38"/>
  <c r="AP12" i="38"/>
  <c r="AW12" i="38"/>
  <c r="AI37" i="38"/>
  <c r="AI24" i="38"/>
  <c r="AW11" i="38"/>
  <c r="Z37" i="38"/>
  <c r="Z24" i="38"/>
  <c r="AN11" i="38"/>
  <c r="Y24" i="38"/>
  <c r="Y37" i="38"/>
  <c r="AM11" i="38"/>
  <c r="AT12" i="38"/>
  <c r="AQ12" i="38"/>
  <c r="X24" i="38"/>
  <c r="X37" i="38"/>
  <c r="AL11" i="38"/>
  <c r="AL21" i="38"/>
  <c r="AQ21" i="38"/>
  <c r="AM21" i="38"/>
  <c r="AO21" i="38"/>
  <c r="AV21" i="38"/>
  <c r="AT21" i="38"/>
  <c r="AW21" i="38"/>
  <c r="AP21" i="38"/>
  <c r="AU21" i="38"/>
  <c r="AR21" i="38"/>
  <c r="AN21" i="38"/>
  <c r="AS21" i="38"/>
  <c r="AM20" i="38"/>
  <c r="AW20" i="38"/>
  <c r="AT20" i="38"/>
  <c r="AL20" i="38"/>
  <c r="AO20" i="38"/>
  <c r="AU20" i="38"/>
  <c r="AN20" i="38"/>
  <c r="AP20" i="38"/>
  <c r="AQ20" i="38"/>
  <c r="AV20" i="38"/>
  <c r="AR20" i="38"/>
  <c r="AS20" i="38"/>
  <c r="AL19" i="38"/>
  <c r="AP19" i="38"/>
  <c r="AQ19" i="38"/>
  <c r="AU19" i="38"/>
  <c r="AV19" i="38"/>
  <c r="AM19" i="38"/>
  <c r="AO19" i="38"/>
  <c r="AW19" i="38"/>
  <c r="AT19" i="38"/>
  <c r="AN19" i="38"/>
  <c r="AR19" i="38"/>
  <c r="AS19" i="38"/>
  <c r="AS18" i="38"/>
  <c r="AM18" i="38"/>
  <c r="AO18" i="38"/>
  <c r="AV18" i="38"/>
  <c r="AL18" i="38"/>
  <c r="AT18" i="38"/>
  <c r="AR18" i="38"/>
  <c r="AU18" i="38"/>
  <c r="AW18" i="38"/>
  <c r="AP18" i="38"/>
  <c r="AQ18" i="38"/>
  <c r="AN18" i="38"/>
  <c r="AQ17" i="38"/>
  <c r="AN17" i="38"/>
  <c r="AR17" i="38"/>
  <c r="AW17" i="38"/>
  <c r="AV17" i="38"/>
  <c r="AS17" i="38"/>
  <c r="AP17" i="38"/>
  <c r="AL17" i="38"/>
  <c r="AO17" i="38"/>
  <c r="AM17" i="38"/>
  <c r="AT17" i="38"/>
  <c r="AU17" i="38"/>
  <c r="AR16" i="38"/>
  <c r="AS16" i="38"/>
  <c r="AV16" i="38"/>
  <c r="AN16" i="38"/>
  <c r="AU16" i="38"/>
  <c r="AM16" i="38"/>
  <c r="AL16" i="38"/>
  <c r="AP16" i="38"/>
  <c r="AT16" i="38"/>
  <c r="AW16" i="38"/>
  <c r="AQ16" i="38"/>
  <c r="AO16" i="38"/>
  <c r="AR15" i="38"/>
  <c r="AM15" i="38"/>
  <c r="AW15" i="38"/>
  <c r="AP15" i="38"/>
  <c r="AV15" i="38"/>
  <c r="AO15" i="38"/>
  <c r="AU15" i="38"/>
  <c r="AL15" i="38"/>
  <c r="AQ15" i="38"/>
  <c r="AT15" i="38"/>
  <c r="AS15" i="38"/>
  <c r="AN15" i="38"/>
  <c r="AN14" i="38"/>
  <c r="AS14" i="38"/>
  <c r="AU14" i="38"/>
  <c r="AM14" i="38"/>
  <c r="AW14" i="38"/>
  <c r="AL14" i="38"/>
  <c r="AV14" i="38"/>
  <c r="AR14" i="38"/>
  <c r="AT14" i="38"/>
  <c r="AO14" i="38"/>
  <c r="AP14" i="38"/>
  <c r="AQ14" i="38"/>
  <c r="AO13" i="38"/>
  <c r="AP13" i="38"/>
  <c r="AQ13" i="38"/>
  <c r="AN13" i="38"/>
  <c r="AU13" i="38"/>
  <c r="AT13" i="38"/>
  <c r="AS13" i="38"/>
  <c r="AW13" i="38"/>
  <c r="AM13" i="38"/>
  <c r="AR13" i="38"/>
  <c r="AV13" i="38"/>
  <c r="AL13" i="38"/>
  <c r="AF37" i="38"/>
  <c r="AT11" i="38"/>
  <c r="AF24" i="38"/>
  <c r="AV12" i="38"/>
  <c r="AL12" i="38"/>
  <c r="AN12" i="38"/>
  <c r="AH37" i="38"/>
  <c r="AH24" i="38"/>
  <c r="AV11" i="38"/>
  <c r="AD24" i="38"/>
  <c r="AR11" i="38"/>
  <c r="AD37" i="38"/>
  <c r="AR12" i="38"/>
  <c r="AM12" i="38"/>
  <c r="AS12" i="38"/>
  <c r="AA37" i="38"/>
  <c r="AA24" i="38"/>
  <c r="AO11" i="38"/>
  <c r="AC37" i="38"/>
  <c r="AQ11" i="38"/>
  <c r="AC24" i="38"/>
  <c r="Y38" i="36"/>
  <c r="Y25" i="36"/>
  <c r="AH38" i="36"/>
  <c r="AH25" i="36"/>
  <c r="AB38" i="36"/>
  <c r="AB25" i="36"/>
  <c r="AF25" i="36"/>
  <c r="AF38" i="36"/>
  <c r="AA38" i="36"/>
  <c r="AA25" i="36"/>
  <c r="AE38" i="36"/>
  <c r="AE25" i="36"/>
  <c r="X38" i="36"/>
  <c r="X25" i="36"/>
  <c r="AC38" i="36"/>
  <c r="AC25" i="36"/>
  <c r="AG38" i="36"/>
  <c r="AG25" i="36"/>
  <c r="AF11" i="36"/>
  <c r="Z11" i="36"/>
  <c r="AD11" i="36"/>
  <c r="AE11" i="36"/>
  <c r="Y11" i="36"/>
  <c r="X11" i="36"/>
  <c r="AC11" i="36"/>
  <c r="AI11" i="36"/>
  <c r="AH11" i="36"/>
  <c r="AB11" i="36"/>
  <c r="AA11" i="36"/>
  <c r="AG11" i="36"/>
  <c r="AD38" i="36"/>
  <c r="AD25" i="36"/>
  <c r="Z38" i="36"/>
  <c r="Z25" i="36"/>
  <c r="AI38" i="36"/>
  <c r="AI25" i="36"/>
  <c r="AO39" i="35"/>
  <c r="AO26" i="35"/>
  <c r="AO28" i="35"/>
  <c r="AO41" i="35"/>
  <c r="AS43" i="35"/>
  <c r="AS30" i="35"/>
  <c r="AS47" i="35"/>
  <c r="AS34" i="35"/>
  <c r="AS39" i="35"/>
  <c r="AS26" i="35"/>
  <c r="AT26" i="35"/>
  <c r="AT39" i="35"/>
  <c r="AL39" i="35"/>
  <c r="AL26" i="35"/>
  <c r="AN40" i="35"/>
  <c r="AN27" i="35"/>
  <c r="AP40" i="35"/>
  <c r="AP27" i="35"/>
  <c r="AT41" i="35"/>
  <c r="AT28" i="35"/>
  <c r="AU28" i="35"/>
  <c r="AU41" i="35"/>
  <c r="AU42" i="35"/>
  <c r="AU29" i="35"/>
  <c r="AS42" i="35"/>
  <c r="AS29" i="35"/>
  <c r="AM30" i="35"/>
  <c r="AM43" i="35"/>
  <c r="AP43" i="35"/>
  <c r="AP30" i="35"/>
  <c r="AS31" i="35"/>
  <c r="AS44" i="35"/>
  <c r="AL31" i="35"/>
  <c r="AL44" i="35"/>
  <c r="AP45" i="35"/>
  <c r="AP32" i="35"/>
  <c r="AR45" i="35"/>
  <c r="AR32" i="35"/>
  <c r="AT46" i="35"/>
  <c r="AT33" i="35"/>
  <c r="AV46" i="35"/>
  <c r="AV33" i="35"/>
  <c r="AT47" i="35"/>
  <c r="AT34" i="35"/>
  <c r="AL34" i="35"/>
  <c r="AL47" i="35"/>
  <c r="F35" i="35"/>
  <c r="AV24" i="35"/>
  <c r="AV37" i="35"/>
  <c r="AQ38" i="35"/>
  <c r="AQ25" i="35"/>
  <c r="AO45" i="35"/>
  <c r="AO32" i="35"/>
  <c r="AQ37" i="35"/>
  <c r="AQ24" i="35"/>
  <c r="AW37" i="35"/>
  <c r="AW24" i="35"/>
  <c r="AM39" i="35"/>
  <c r="AM26" i="35"/>
  <c r="AW39" i="35"/>
  <c r="AW26" i="35"/>
  <c r="AS40" i="35"/>
  <c r="AS27" i="35"/>
  <c r="AL27" i="35"/>
  <c r="AL40" i="35"/>
  <c r="AW41" i="35"/>
  <c r="AW28" i="35"/>
  <c r="AL41" i="35"/>
  <c r="AL28" i="35"/>
  <c r="AO42" i="35"/>
  <c r="AO29" i="35"/>
  <c r="AT42" i="35"/>
  <c r="AT29" i="35"/>
  <c r="AL43" i="35"/>
  <c r="AL30" i="35"/>
  <c r="AW43" i="35"/>
  <c r="AW30" i="35"/>
  <c r="AV31" i="35"/>
  <c r="AV44" i="35"/>
  <c r="AP44" i="35"/>
  <c r="AP31" i="35"/>
  <c r="AT32" i="35"/>
  <c r="AT45" i="35"/>
  <c r="AM45" i="35"/>
  <c r="AM32" i="35"/>
  <c r="AR34" i="35"/>
  <c r="AR47" i="35"/>
  <c r="AS46" i="35"/>
  <c r="AS33" i="35"/>
  <c r="AL33" i="35"/>
  <c r="AL46" i="35"/>
  <c r="AW46" i="35"/>
  <c r="AW33" i="35"/>
  <c r="AN38" i="35"/>
  <c r="AN25" i="35"/>
  <c r="AP37" i="35"/>
  <c r="AP24" i="35"/>
  <c r="AS24" i="35"/>
  <c r="AS37" i="35"/>
  <c r="AM37" i="35"/>
  <c r="AM24" i="35"/>
  <c r="AR37" i="35"/>
  <c r="AR24" i="35"/>
  <c r="AO38" i="35"/>
  <c r="AO25" i="35"/>
  <c r="AO27" i="35"/>
  <c r="AO40" i="35"/>
  <c r="AQ42" i="35"/>
  <c r="AQ29" i="35"/>
  <c r="AM44" i="35"/>
  <c r="AM31" i="35"/>
  <c r="AU33" i="35"/>
  <c r="AU46" i="35"/>
  <c r="AN34" i="35"/>
  <c r="AN47" i="35"/>
  <c r="AN39" i="35"/>
  <c r="AN26" i="35"/>
  <c r="AR39" i="35"/>
  <c r="AR26" i="35"/>
  <c r="AV27" i="35"/>
  <c r="AV40" i="35"/>
  <c r="AM40" i="35"/>
  <c r="AM27" i="35"/>
  <c r="AQ41" i="35"/>
  <c r="AQ28" i="35"/>
  <c r="AS28" i="35"/>
  <c r="AS41" i="35"/>
  <c r="AL29" i="35"/>
  <c r="AL42" i="35"/>
  <c r="AR29" i="35"/>
  <c r="AR42" i="35"/>
  <c r="AN43" i="35"/>
  <c r="AN30" i="35"/>
  <c r="AU43" i="35"/>
  <c r="AU30" i="35"/>
  <c r="AT44" i="35"/>
  <c r="AT31" i="35"/>
  <c r="AN44" i="35"/>
  <c r="AN31" i="35"/>
  <c r="AV45" i="35"/>
  <c r="AV32" i="35"/>
  <c r="AW45" i="35"/>
  <c r="AW32" i="35"/>
  <c r="AO34" i="35"/>
  <c r="AO47" i="35"/>
  <c r="AN46" i="35"/>
  <c r="AN33" i="35"/>
  <c r="AW47" i="35"/>
  <c r="AW34" i="35"/>
  <c r="AU34" i="35"/>
  <c r="AU47" i="35"/>
  <c r="AL37" i="35"/>
  <c r="AL24" i="35"/>
  <c r="AT38" i="35"/>
  <c r="AT25" i="35"/>
  <c r="AU38" i="35"/>
  <c r="AU25" i="35"/>
  <c r="AU39" i="35"/>
  <c r="AU26" i="35"/>
  <c r="AP41" i="35"/>
  <c r="AP28" i="35"/>
  <c r="AT43" i="35"/>
  <c r="AT30" i="35"/>
  <c r="AL45" i="35"/>
  <c r="AL32" i="35"/>
  <c r="AM33" i="35"/>
  <c r="AM46" i="35"/>
  <c r="AR38" i="35"/>
  <c r="AR25" i="35"/>
  <c r="AO37" i="35"/>
  <c r="AO24" i="35"/>
  <c r="AP26" i="35"/>
  <c r="AP39" i="35"/>
  <c r="AV26" i="35"/>
  <c r="AV39" i="35"/>
  <c r="AQ40" i="35"/>
  <c r="AQ27" i="35"/>
  <c r="AR27" i="35"/>
  <c r="AR40" i="35"/>
  <c r="AR41" i="35"/>
  <c r="AR28" i="35"/>
  <c r="AM41" i="35"/>
  <c r="AM28" i="35"/>
  <c r="AN42" i="35"/>
  <c r="AN29" i="35"/>
  <c r="AW29" i="35"/>
  <c r="AW42" i="35"/>
  <c r="AQ43" i="35"/>
  <c r="AQ30" i="35"/>
  <c r="AO30" i="35"/>
  <c r="AO43" i="35"/>
  <c r="AO44" i="35"/>
  <c r="AO31" i="35"/>
  <c r="AQ44" i="35"/>
  <c r="AQ31" i="35"/>
  <c r="AN45" i="35"/>
  <c r="AN32" i="35"/>
  <c r="AU32" i="35"/>
  <c r="AU45" i="35"/>
  <c r="AR33" i="35"/>
  <c r="AR46" i="35"/>
  <c r="AQ33" i="35"/>
  <c r="AQ46" i="35"/>
  <c r="AP46" i="35"/>
  <c r="AP33" i="35"/>
  <c r="AV47" i="35"/>
  <c r="AV34" i="35"/>
  <c r="F9" i="35"/>
  <c r="AV38" i="35"/>
  <c r="AV25" i="35"/>
  <c r="AW25" i="35"/>
  <c r="AW38" i="35"/>
  <c r="AT40" i="35"/>
  <c r="AT27" i="35"/>
  <c r="AM29" i="35"/>
  <c r="AM42" i="35"/>
  <c r="AR44" i="35"/>
  <c r="AR31" i="35"/>
  <c r="AM38" i="35"/>
  <c r="AM25" i="35"/>
  <c r="AQ39" i="35"/>
  <c r="AQ26" i="35"/>
  <c r="AW40" i="35"/>
  <c r="AW27" i="35"/>
  <c r="AU40" i="35"/>
  <c r="AU27" i="35"/>
  <c r="AN28" i="35"/>
  <c r="AN41" i="35"/>
  <c r="AV41" i="35"/>
  <c r="AV28" i="35"/>
  <c r="AV29" i="35"/>
  <c r="AV42" i="35"/>
  <c r="AP42" i="35"/>
  <c r="AP29" i="35"/>
  <c r="AV30" i="35"/>
  <c r="AV43" i="35"/>
  <c r="AR30" i="35"/>
  <c r="AR43" i="35"/>
  <c r="AU44" i="35"/>
  <c r="AU31" i="35"/>
  <c r="AW44" i="35"/>
  <c r="AW31" i="35"/>
  <c r="AQ45" i="35"/>
  <c r="AQ32" i="35"/>
  <c r="AS45" i="35"/>
  <c r="AS32" i="35"/>
  <c r="AP47" i="35"/>
  <c r="AP34" i="35"/>
  <c r="AO46" i="35"/>
  <c r="AO33" i="35"/>
  <c r="AM47" i="35"/>
  <c r="AM34" i="35"/>
  <c r="AQ47" i="35"/>
  <c r="AQ34" i="35"/>
  <c r="F22" i="35"/>
  <c r="AN24" i="35"/>
  <c r="AN37" i="35"/>
  <c r="AU37" i="35"/>
  <c r="AU24" i="35"/>
  <c r="AT37" i="35"/>
  <c r="AT24" i="35"/>
  <c r="AL38" i="35"/>
  <c r="AL25" i="35"/>
  <c r="AP25" i="35"/>
  <c r="AP38" i="35"/>
  <c r="AO38" i="38" l="1"/>
  <c r="AR24" i="38"/>
  <c r="AR37" i="38"/>
  <c r="AV40" i="38"/>
  <c r="AV27" i="38"/>
  <c r="AR42" i="38"/>
  <c r="AR29" i="38"/>
  <c r="AS44" i="38"/>
  <c r="AS31" i="38"/>
  <c r="AN33" i="38"/>
  <c r="AN46" i="38"/>
  <c r="AL47" i="38"/>
  <c r="AL34" i="38"/>
  <c r="AQ24" i="38"/>
  <c r="AQ37" i="38"/>
  <c r="AS38" i="38"/>
  <c r="AS25" i="38"/>
  <c r="AL38" i="38"/>
  <c r="AL25" i="38"/>
  <c r="AL26" i="38"/>
  <c r="AL39" i="38"/>
  <c r="AT39" i="38"/>
  <c r="AT26" i="38"/>
  <c r="AQ40" i="38"/>
  <c r="AQ27" i="38"/>
  <c r="AL40" i="38"/>
  <c r="AL27" i="38"/>
  <c r="AN41" i="38"/>
  <c r="AN28" i="38"/>
  <c r="AO41" i="38"/>
  <c r="AO28" i="38"/>
  <c r="AO29" i="38"/>
  <c r="AO42" i="38"/>
  <c r="AM42" i="38"/>
  <c r="AM29" i="38"/>
  <c r="AU43" i="38"/>
  <c r="AU30" i="38"/>
  <c r="AS43" i="38"/>
  <c r="AS30" i="38"/>
  <c r="AN31" i="38"/>
  <c r="AN44" i="38"/>
  <c r="AT31" i="38"/>
  <c r="AT44" i="38"/>
  <c r="AS45" i="38"/>
  <c r="AS32" i="38"/>
  <c r="AM45" i="38"/>
  <c r="AM32" i="38"/>
  <c r="AS46" i="38"/>
  <c r="AS33" i="38"/>
  <c r="AU33" i="38"/>
  <c r="AU46" i="38"/>
  <c r="AS34" i="38"/>
  <c r="AS47" i="38"/>
  <c r="AT34" i="38"/>
  <c r="AT47" i="38"/>
  <c r="F9" i="38"/>
  <c r="AW38" i="38"/>
  <c r="AW25" i="38"/>
  <c r="AP37" i="38"/>
  <c r="AP24" i="38"/>
  <c r="AS39" i="38"/>
  <c r="AS26" i="38"/>
  <c r="AU41" i="38"/>
  <c r="AU28" i="38"/>
  <c r="AQ30" i="38"/>
  <c r="AQ43" i="38"/>
  <c r="AM46" i="38"/>
  <c r="AM33" i="38"/>
  <c r="AM38" i="38"/>
  <c r="AM25" i="38"/>
  <c r="AV38" i="38"/>
  <c r="AV25" i="38"/>
  <c r="AV39" i="38"/>
  <c r="AV26" i="38"/>
  <c r="AU39" i="38"/>
  <c r="AU26" i="38"/>
  <c r="AP40" i="38"/>
  <c r="AP27" i="38"/>
  <c r="AW40" i="38"/>
  <c r="AW27" i="38"/>
  <c r="AS41" i="38"/>
  <c r="AS28" i="38"/>
  <c r="AV41" i="38"/>
  <c r="AV28" i="38"/>
  <c r="AQ42" i="38"/>
  <c r="AQ29" i="38"/>
  <c r="AU29" i="38"/>
  <c r="AU42" i="38"/>
  <c r="AT43" i="38"/>
  <c r="AT30" i="38"/>
  <c r="AV43" i="38"/>
  <c r="AV30" i="38"/>
  <c r="AQ44" i="38"/>
  <c r="AQ31" i="38"/>
  <c r="AL44" i="38"/>
  <c r="AL31" i="38"/>
  <c r="AR32" i="38"/>
  <c r="AR45" i="38"/>
  <c r="AV45" i="38"/>
  <c r="AV32" i="38"/>
  <c r="AR46" i="38"/>
  <c r="AR33" i="38"/>
  <c r="AO33" i="38"/>
  <c r="AO46" i="38"/>
  <c r="AN34" i="38"/>
  <c r="AN47" i="38"/>
  <c r="AV47" i="38"/>
  <c r="AV34" i="38"/>
  <c r="AL24" i="38"/>
  <c r="AL37" i="38"/>
  <c r="AM37" i="38"/>
  <c r="AM24" i="38"/>
  <c r="AP38" i="38"/>
  <c r="AP25" i="38"/>
  <c r="AU37" i="38"/>
  <c r="AU24" i="38"/>
  <c r="AN25" i="38"/>
  <c r="AN38" i="38"/>
  <c r="AN27" i="38"/>
  <c r="AN40" i="38"/>
  <c r="AP43" i="38"/>
  <c r="AP30" i="38"/>
  <c r="AO45" i="38"/>
  <c r="AO32" i="38"/>
  <c r="AW34" i="38"/>
  <c r="AW47" i="38"/>
  <c r="AS37" i="38"/>
  <c r="AS24" i="38"/>
  <c r="AO37" i="38"/>
  <c r="AO24" i="38"/>
  <c r="AR38" i="38"/>
  <c r="AR25" i="38"/>
  <c r="AV37" i="38"/>
  <c r="AV24" i="38"/>
  <c r="AR26" i="38"/>
  <c r="AR39" i="38"/>
  <c r="AN39" i="38"/>
  <c r="AN26" i="38"/>
  <c r="AO27" i="38"/>
  <c r="AO40" i="38"/>
  <c r="AM40" i="38"/>
  <c r="AM27" i="38"/>
  <c r="AT41" i="38"/>
  <c r="AT28" i="38"/>
  <c r="AP41" i="38"/>
  <c r="AP28" i="38"/>
  <c r="AW42" i="38"/>
  <c r="AW29" i="38"/>
  <c r="AN29" i="38"/>
  <c r="AN42" i="38"/>
  <c r="AM43" i="38"/>
  <c r="AM30" i="38"/>
  <c r="AW30" i="38"/>
  <c r="AW43" i="38"/>
  <c r="AP44" i="38"/>
  <c r="AP31" i="38"/>
  <c r="AV44" i="38"/>
  <c r="AV31" i="38"/>
  <c r="AN45" i="38"/>
  <c r="AN32" i="38"/>
  <c r="AU45" i="38"/>
  <c r="AU32" i="38"/>
  <c r="AV33" i="38"/>
  <c r="AV46" i="38"/>
  <c r="AL46" i="38"/>
  <c r="AL33" i="38"/>
  <c r="AR34" i="38"/>
  <c r="AR47" i="38"/>
  <c r="AO47" i="38"/>
  <c r="AO34" i="38"/>
  <c r="F35" i="38"/>
  <c r="AU25" i="38"/>
  <c r="AU38" i="38"/>
  <c r="AO39" i="38"/>
  <c r="AO26" i="38"/>
  <c r="AR28" i="38"/>
  <c r="AR41" i="38"/>
  <c r="AR44" i="38"/>
  <c r="AR31" i="38"/>
  <c r="AL32" i="38"/>
  <c r="AL45" i="38"/>
  <c r="AT25" i="38"/>
  <c r="AT38" i="38"/>
  <c r="AT37" i="38"/>
  <c r="AT24" i="38"/>
  <c r="AM39" i="38"/>
  <c r="AM26" i="38"/>
  <c r="AQ26" i="38"/>
  <c r="AQ39" i="38"/>
  <c r="AT27" i="38"/>
  <c r="AT40" i="38"/>
  <c r="AU27" i="38"/>
  <c r="AU40" i="38"/>
  <c r="AQ28" i="38"/>
  <c r="AQ41" i="38"/>
  <c r="AW28" i="38"/>
  <c r="AW41" i="38"/>
  <c r="AT29" i="38"/>
  <c r="AT42" i="38"/>
  <c r="AV42" i="38"/>
  <c r="AV29" i="38"/>
  <c r="AO43" i="38"/>
  <c r="AO30" i="38"/>
  <c r="AR30" i="38"/>
  <c r="AR43" i="38"/>
  <c r="AW44" i="38"/>
  <c r="AW31" i="38"/>
  <c r="AO31" i="38"/>
  <c r="AO44" i="38"/>
  <c r="AT45" i="38"/>
  <c r="AT32" i="38"/>
  <c r="AQ32" i="38"/>
  <c r="AQ45" i="38"/>
  <c r="AQ33" i="38"/>
  <c r="AQ46" i="38"/>
  <c r="AT33" i="38"/>
  <c r="AT46" i="38"/>
  <c r="AU47" i="38"/>
  <c r="AU34" i="38"/>
  <c r="AM34" i="38"/>
  <c r="AM47" i="38"/>
  <c r="F22" i="38"/>
  <c r="AW24" i="38"/>
  <c r="AW37" i="38"/>
  <c r="AL42" i="38"/>
  <c r="AL29" i="38"/>
  <c r="AW26" i="38"/>
  <c r="AW39" i="38"/>
  <c r="AP39" i="38"/>
  <c r="AP26" i="38"/>
  <c r="AR40" i="38"/>
  <c r="AR27" i="38"/>
  <c r="AS40" i="38"/>
  <c r="AS27" i="38"/>
  <c r="AL28" i="38"/>
  <c r="AL41" i="38"/>
  <c r="AM41" i="38"/>
  <c r="AM28" i="38"/>
  <c r="AP42" i="38"/>
  <c r="AP29" i="38"/>
  <c r="AS42" i="38"/>
  <c r="AS29" i="38"/>
  <c r="AL30" i="38"/>
  <c r="AL43" i="38"/>
  <c r="AN43" i="38"/>
  <c r="AN30" i="38"/>
  <c r="AU31" i="38"/>
  <c r="AU44" i="38"/>
  <c r="AM44" i="38"/>
  <c r="AM31" i="38"/>
  <c r="AW32" i="38"/>
  <c r="AW45" i="38"/>
  <c r="AP45" i="38"/>
  <c r="AP32" i="38"/>
  <c r="AP33" i="38"/>
  <c r="AP46" i="38"/>
  <c r="AW33" i="38"/>
  <c r="AW46" i="38"/>
  <c r="AP47" i="38"/>
  <c r="AP34" i="38"/>
  <c r="AQ34" i="38"/>
  <c r="AQ47" i="38"/>
  <c r="AQ38" i="38"/>
  <c r="AQ25" i="38"/>
  <c r="AN37" i="38"/>
  <c r="AN24" i="38"/>
  <c r="AL11" i="36"/>
  <c r="X24" i="36"/>
  <c r="X37" i="36"/>
  <c r="AP21" i="36"/>
  <c r="AU21" i="36"/>
  <c r="AR21" i="36"/>
  <c r="AQ21" i="36"/>
  <c r="AN21" i="36"/>
  <c r="AV21" i="36"/>
  <c r="AT21" i="36"/>
  <c r="AS21" i="36"/>
  <c r="AO21" i="36"/>
  <c r="AM21" i="36"/>
  <c r="AW21" i="36"/>
  <c r="AL21" i="36"/>
  <c r="AT20" i="36"/>
  <c r="AW20" i="36"/>
  <c r="AO20" i="36"/>
  <c r="AU20" i="36"/>
  <c r="AV20" i="36"/>
  <c r="AP20" i="36"/>
  <c r="AR20" i="36"/>
  <c r="AS20" i="36"/>
  <c r="AL20" i="36"/>
  <c r="AN20" i="36"/>
  <c r="AM20" i="36"/>
  <c r="AQ20" i="36"/>
  <c r="AO19" i="36"/>
  <c r="AS19" i="36"/>
  <c r="AM19" i="36"/>
  <c r="AQ19" i="36"/>
  <c r="AN19" i="36"/>
  <c r="AV19" i="36"/>
  <c r="AP19" i="36"/>
  <c r="AU19" i="36"/>
  <c r="AT19" i="36"/>
  <c r="AR19" i="36"/>
  <c r="AL19" i="36"/>
  <c r="AW19" i="36"/>
  <c r="AO18" i="36"/>
  <c r="AM18" i="36"/>
  <c r="AQ18" i="36"/>
  <c r="AT18" i="36"/>
  <c r="AV18" i="36"/>
  <c r="AL18" i="36"/>
  <c r="AS18" i="36"/>
  <c r="AP18" i="36"/>
  <c r="AU18" i="36"/>
  <c r="AW18" i="36"/>
  <c r="AN18" i="36"/>
  <c r="AR18" i="36"/>
  <c r="AW17" i="36"/>
  <c r="AT17" i="36"/>
  <c r="AN17" i="36"/>
  <c r="AR17" i="36"/>
  <c r="AV17" i="36"/>
  <c r="AS17" i="36"/>
  <c r="AL17" i="36"/>
  <c r="AU17" i="36"/>
  <c r="AO17" i="36"/>
  <c r="AQ17" i="36"/>
  <c r="AP17" i="36"/>
  <c r="AM17" i="36"/>
  <c r="AP16" i="36"/>
  <c r="AM16" i="36"/>
  <c r="AR16" i="36"/>
  <c r="AL16" i="36"/>
  <c r="AO16" i="36"/>
  <c r="AU16" i="36"/>
  <c r="AV16" i="36"/>
  <c r="AN16" i="36"/>
  <c r="AQ16" i="36"/>
  <c r="AS16" i="36"/>
  <c r="AW16" i="36"/>
  <c r="AT16" i="36"/>
  <c r="AL15" i="36"/>
  <c r="AM15" i="36"/>
  <c r="AN15" i="36"/>
  <c r="AO15" i="36"/>
  <c r="AQ15" i="36"/>
  <c r="AS15" i="36"/>
  <c r="AV15" i="36"/>
  <c r="AP15" i="36"/>
  <c r="AR15" i="36"/>
  <c r="AW15" i="36"/>
  <c r="AT15" i="36"/>
  <c r="AU15" i="36"/>
  <c r="AO14" i="36"/>
  <c r="AT14" i="36"/>
  <c r="AW14" i="36"/>
  <c r="AQ14" i="36"/>
  <c r="AU14" i="36"/>
  <c r="AN14" i="36"/>
  <c r="AL14" i="36"/>
  <c r="AV14" i="36"/>
  <c r="AS14" i="36"/>
  <c r="AM14" i="36"/>
  <c r="AP14" i="36"/>
  <c r="AR14" i="36"/>
  <c r="AW13" i="36"/>
  <c r="AM13" i="36"/>
  <c r="AP13" i="36"/>
  <c r="AQ13" i="36"/>
  <c r="AU13" i="36"/>
  <c r="AO13" i="36"/>
  <c r="AS13" i="36"/>
  <c r="AV13" i="36"/>
  <c r="AL13" i="36"/>
  <c r="AT13" i="36"/>
  <c r="AR13" i="36"/>
  <c r="AN13" i="36"/>
  <c r="AA37" i="36"/>
  <c r="AA24" i="36"/>
  <c r="AO11" i="36"/>
  <c r="AP12" i="36"/>
  <c r="AR12" i="36"/>
  <c r="AB37" i="36"/>
  <c r="AB24" i="36"/>
  <c r="AP11" i="36"/>
  <c r="AE24" i="36"/>
  <c r="AS11" i="36"/>
  <c r="AE37" i="36"/>
  <c r="AU12" i="36"/>
  <c r="AL12" i="36"/>
  <c r="AG37" i="36"/>
  <c r="AG24" i="36"/>
  <c r="AU11" i="36"/>
  <c r="AH37" i="36"/>
  <c r="AH24" i="36"/>
  <c r="AV11" i="36"/>
  <c r="AD37" i="36"/>
  <c r="AD24" i="36"/>
  <c r="AR11" i="36"/>
  <c r="AM12" i="36"/>
  <c r="AS12" i="36"/>
  <c r="Y37" i="36"/>
  <c r="Y24" i="36"/>
  <c r="AM11" i="36"/>
  <c r="AI24" i="36"/>
  <c r="AW11" i="36"/>
  <c r="AI37" i="36"/>
  <c r="Z37" i="36"/>
  <c r="Z24" i="36"/>
  <c r="AN11" i="36"/>
  <c r="AQ12" i="36"/>
  <c r="AT12" i="36"/>
  <c r="AW12" i="36"/>
  <c r="AN12" i="36"/>
  <c r="AO12" i="36"/>
  <c r="AC37" i="36"/>
  <c r="AQ11" i="36"/>
  <c r="AC24" i="36"/>
  <c r="AF37" i="36"/>
  <c r="AF24" i="36"/>
  <c r="AT11" i="36"/>
  <c r="AV12" i="36"/>
  <c r="AM26" i="36" l="1"/>
  <c r="AM39" i="36"/>
  <c r="AM41" i="36"/>
  <c r="AM28" i="36"/>
  <c r="AT43" i="36"/>
  <c r="AT30" i="36"/>
  <c r="AS45" i="36"/>
  <c r="AS32" i="36"/>
  <c r="AU47" i="36"/>
  <c r="AU34" i="36"/>
  <c r="AS39" i="36"/>
  <c r="AS26" i="36"/>
  <c r="AV28" i="36"/>
  <c r="AV41" i="36"/>
  <c r="AL30" i="36"/>
  <c r="AL43" i="36"/>
  <c r="AO31" i="36"/>
  <c r="AO44" i="36"/>
  <c r="AR46" i="36"/>
  <c r="AR33" i="36"/>
  <c r="AT47" i="36"/>
  <c r="AT34" i="36"/>
  <c r="AP34" i="36"/>
  <c r="AP47" i="36"/>
  <c r="AN37" i="36"/>
  <c r="AN24" i="36"/>
  <c r="AW37" i="36"/>
  <c r="AW24" i="36"/>
  <c r="AS38" i="36"/>
  <c r="AS25" i="36"/>
  <c r="AS37" i="36"/>
  <c r="AS24" i="36"/>
  <c r="AR38" i="36"/>
  <c r="AR25" i="36"/>
  <c r="AN39" i="36"/>
  <c r="AN26" i="36"/>
  <c r="AO39" i="36"/>
  <c r="AO26" i="36"/>
  <c r="AR40" i="36"/>
  <c r="AR27" i="36"/>
  <c r="AN40" i="36"/>
  <c r="AN27" i="36"/>
  <c r="AU41" i="36"/>
  <c r="AU28" i="36"/>
  <c r="AS41" i="36"/>
  <c r="AS28" i="36"/>
  <c r="AT29" i="36"/>
  <c r="AT42" i="36"/>
  <c r="AU29" i="36"/>
  <c r="AU42" i="36"/>
  <c r="AM43" i="36"/>
  <c r="AM30" i="36"/>
  <c r="AS43" i="36"/>
  <c r="AS30" i="36"/>
  <c r="AR44" i="36"/>
  <c r="AR31" i="36"/>
  <c r="AL44" i="36"/>
  <c r="AL31" i="36"/>
  <c r="AW32" i="36"/>
  <c r="AW45" i="36"/>
  <c r="AV32" i="36"/>
  <c r="AV45" i="36"/>
  <c r="AQ46" i="36"/>
  <c r="AQ33" i="36"/>
  <c r="AP33" i="36"/>
  <c r="AP46" i="36"/>
  <c r="AL47" i="36"/>
  <c r="AL34" i="36"/>
  <c r="AV34" i="36"/>
  <c r="AV47" i="36"/>
  <c r="F35" i="36"/>
  <c r="AV38" i="36"/>
  <c r="AV25" i="36"/>
  <c r="AT27" i="36"/>
  <c r="AT40" i="36"/>
  <c r="AU43" i="36"/>
  <c r="AU30" i="36"/>
  <c r="AU45" i="36"/>
  <c r="AU32" i="36"/>
  <c r="AS34" i="36"/>
  <c r="AS47" i="36"/>
  <c r="AQ37" i="36"/>
  <c r="AQ24" i="36"/>
  <c r="AL40" i="36"/>
  <c r="AL27" i="36"/>
  <c r="AP42" i="36"/>
  <c r="AP29" i="36"/>
  <c r="AV37" i="36"/>
  <c r="AV24" i="36"/>
  <c r="AP38" i="36"/>
  <c r="AP25" i="36"/>
  <c r="AU39" i="36"/>
  <c r="AU26" i="36"/>
  <c r="AT41" i="36"/>
  <c r="AT28" i="36"/>
  <c r="AW42" i="36"/>
  <c r="AW29" i="36"/>
  <c r="AO29" i="36"/>
  <c r="AO42" i="36"/>
  <c r="AP30" i="36"/>
  <c r="AP43" i="36"/>
  <c r="AV43" i="36"/>
  <c r="AV30" i="36"/>
  <c r="AN31" i="36"/>
  <c r="AN44" i="36"/>
  <c r="AV31" i="36"/>
  <c r="AV44" i="36"/>
  <c r="AL32" i="36"/>
  <c r="AL45" i="36"/>
  <c r="AN45" i="36"/>
  <c r="AN32" i="36"/>
  <c r="AM46" i="36"/>
  <c r="AM33" i="36"/>
  <c r="AV33" i="36"/>
  <c r="AV46" i="36"/>
  <c r="AW47" i="36"/>
  <c r="AW34" i="36"/>
  <c r="AN47" i="36"/>
  <c r="AN34" i="36"/>
  <c r="F9" i="36"/>
  <c r="AV39" i="36"/>
  <c r="AV26" i="36"/>
  <c r="AP28" i="36"/>
  <c r="AP41" i="36"/>
  <c r="AM29" i="36"/>
  <c r="AM42" i="36"/>
  <c r="AM31" i="36"/>
  <c r="AM44" i="36"/>
  <c r="AW46" i="36"/>
  <c r="AW33" i="36"/>
  <c r="AQ38" i="36"/>
  <c r="AQ25" i="36"/>
  <c r="AW39" i="36"/>
  <c r="AW26" i="36"/>
  <c r="AL28" i="36"/>
  <c r="AL41" i="36"/>
  <c r="AW43" i="36"/>
  <c r="AW30" i="36"/>
  <c r="AP45" i="36"/>
  <c r="AP32" i="36"/>
  <c r="AT33" i="36"/>
  <c r="AT46" i="36"/>
  <c r="AR39" i="36"/>
  <c r="AR26" i="36"/>
  <c r="AU27" i="36"/>
  <c r="AU40" i="36"/>
  <c r="AQ28" i="36"/>
  <c r="AQ41" i="36"/>
  <c r="AN25" i="36"/>
  <c r="AN38" i="36"/>
  <c r="AL38" i="36"/>
  <c r="AL25" i="36"/>
  <c r="AO37" i="36"/>
  <c r="AO24" i="36"/>
  <c r="AT39" i="36"/>
  <c r="AT26" i="36"/>
  <c r="AQ39" i="36"/>
  <c r="AQ26" i="36"/>
  <c r="AM40" i="36"/>
  <c r="AM27" i="36"/>
  <c r="AQ40" i="36"/>
  <c r="AQ27" i="36"/>
  <c r="AW28" i="36"/>
  <c r="AW41" i="36"/>
  <c r="AO41" i="36"/>
  <c r="AO28" i="36"/>
  <c r="AS29" i="36"/>
  <c r="AS42" i="36"/>
  <c r="AL42" i="36"/>
  <c r="AL29" i="36"/>
  <c r="AQ30" i="36"/>
  <c r="AQ43" i="36"/>
  <c r="AR30" i="36"/>
  <c r="AR43" i="36"/>
  <c r="AW44" i="36"/>
  <c r="AW31" i="36"/>
  <c r="AT44" i="36"/>
  <c r="AT31" i="36"/>
  <c r="AR32" i="36"/>
  <c r="AR45" i="36"/>
  <c r="AQ45" i="36"/>
  <c r="AQ32" i="36"/>
  <c r="AN46" i="36"/>
  <c r="AN33" i="36"/>
  <c r="AU33" i="36"/>
  <c r="AU46" i="36"/>
  <c r="AM34" i="36"/>
  <c r="AM47" i="36"/>
  <c r="AQ34" i="36"/>
  <c r="AQ47" i="36"/>
  <c r="F22" i="36"/>
  <c r="AT38" i="36"/>
  <c r="AT25" i="36"/>
  <c r="AU37" i="36"/>
  <c r="AU24" i="36"/>
  <c r="AV40" i="36"/>
  <c r="AV27" i="36"/>
  <c r="AN29" i="36"/>
  <c r="AN42" i="36"/>
  <c r="AP44" i="36"/>
  <c r="AP31" i="36"/>
  <c r="AS33" i="36"/>
  <c r="AS46" i="36"/>
  <c r="AT37" i="36"/>
  <c r="AT24" i="36"/>
  <c r="AO27" i="36"/>
  <c r="AO40" i="36"/>
  <c r="AV42" i="36"/>
  <c r="AV29" i="36"/>
  <c r="AS44" i="36"/>
  <c r="AS31" i="36"/>
  <c r="AO45" i="36"/>
  <c r="AO32" i="36"/>
  <c r="AO38" i="36"/>
  <c r="AO25" i="36"/>
  <c r="AM38" i="36"/>
  <c r="AM25" i="36"/>
  <c r="AP40" i="36"/>
  <c r="AP27" i="36"/>
  <c r="AW38" i="36"/>
  <c r="AW25" i="36"/>
  <c r="AM37" i="36"/>
  <c r="AM24" i="36"/>
  <c r="AR24" i="36"/>
  <c r="AR37" i="36"/>
  <c r="AU25" i="36"/>
  <c r="AU38" i="36"/>
  <c r="AP37" i="36"/>
  <c r="AP24" i="36"/>
  <c r="AL26" i="36"/>
  <c r="AL39" i="36"/>
  <c r="AP39" i="36"/>
  <c r="AP26" i="36"/>
  <c r="AS40" i="36"/>
  <c r="AS27" i="36"/>
  <c r="AW40" i="36"/>
  <c r="AW27" i="36"/>
  <c r="AR28" i="36"/>
  <c r="AR41" i="36"/>
  <c r="AN41" i="36"/>
  <c r="AN28" i="36"/>
  <c r="AQ42" i="36"/>
  <c r="AQ29" i="36"/>
  <c r="AR42" i="36"/>
  <c r="AR29" i="36"/>
  <c r="AO43" i="36"/>
  <c r="AO30" i="36"/>
  <c r="AN43" i="36"/>
  <c r="AN30" i="36"/>
  <c r="AU31" i="36"/>
  <c r="AU44" i="36"/>
  <c r="AQ44" i="36"/>
  <c r="AQ31" i="36"/>
  <c r="AT45" i="36"/>
  <c r="AT32" i="36"/>
  <c r="AM45" i="36"/>
  <c r="AM32" i="36"/>
  <c r="AL46" i="36"/>
  <c r="AL33" i="36"/>
  <c r="AO46" i="36"/>
  <c r="AO33" i="36"/>
  <c r="AO47" i="36"/>
  <c r="AO34" i="36"/>
  <c r="AR34" i="36"/>
  <c r="AR47" i="36"/>
  <c r="AL37" i="36"/>
  <c r="AL24" i="36"/>
  <c r="W21" i="34" l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AF21" i="34" l="1"/>
  <c r="Z21" i="34"/>
  <c r="W20" i="34"/>
  <c r="AD21" i="34"/>
  <c r="X21" i="34"/>
  <c r="AB21" i="34"/>
  <c r="AI21" i="34"/>
  <c r="AA21" i="34"/>
  <c r="AH21" i="34"/>
  <c r="Y21" i="34"/>
  <c r="AC21" i="34"/>
  <c r="AE21" i="34"/>
  <c r="AG21" i="34"/>
  <c r="W47" i="34"/>
  <c r="W46" i="34" s="1"/>
  <c r="W45" i="34" s="1"/>
  <c r="W44" i="34" s="1"/>
  <c r="W43" i="34" s="1"/>
  <c r="W42" i="34" s="1"/>
  <c r="W41" i="34" s="1"/>
  <c r="W40" i="34" s="1"/>
  <c r="W39" i="34" s="1"/>
  <c r="W38" i="34" s="1"/>
  <c r="W37" i="34" s="1"/>
  <c r="W34" i="34"/>
  <c r="W33" i="34" s="1"/>
  <c r="W32" i="34" s="1"/>
  <c r="W31" i="34" s="1"/>
  <c r="W30" i="34" s="1"/>
  <c r="W29" i="34" s="1"/>
  <c r="W28" i="34" s="1"/>
  <c r="W27" i="34" s="1"/>
  <c r="W26" i="34" s="1"/>
  <c r="W25" i="34" s="1"/>
  <c r="W24" i="34" s="1"/>
  <c r="AK47" i="34"/>
  <c r="AK46" i="34" s="1"/>
  <c r="AK45" i="34" s="1"/>
  <c r="AK44" i="34" s="1"/>
  <c r="AK43" i="34" s="1"/>
  <c r="AK42" i="34" s="1"/>
  <c r="AK41" i="34" s="1"/>
  <c r="AK40" i="34" s="1"/>
  <c r="AK39" i="34" s="1"/>
  <c r="AK38" i="34" s="1"/>
  <c r="AK37" i="34" s="1"/>
  <c r="AK34" i="34"/>
  <c r="AK33" i="34" s="1"/>
  <c r="AK32" i="34" s="1"/>
  <c r="AK31" i="34" s="1"/>
  <c r="AK30" i="34" s="1"/>
  <c r="AK29" i="34" s="1"/>
  <c r="AK28" i="34" s="1"/>
  <c r="AK27" i="34" s="1"/>
  <c r="AK26" i="34" s="1"/>
  <c r="AK25" i="34" s="1"/>
  <c r="AK24" i="34" s="1"/>
  <c r="AK21" i="34"/>
  <c r="AK20" i="34" s="1"/>
  <c r="AK19" i="34" s="1"/>
  <c r="AK18" i="34" s="1"/>
  <c r="AK17" i="34" s="1"/>
  <c r="AK16" i="34" s="1"/>
  <c r="AK15" i="34" s="1"/>
  <c r="AK14" i="34" s="1"/>
  <c r="AK13" i="34" s="1"/>
  <c r="AK12" i="34" s="1"/>
  <c r="AK11" i="34" s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V6" i="1"/>
  <c r="U6" i="1"/>
  <c r="T11" i="1"/>
  <c r="T7" i="1"/>
  <c r="U2" i="1"/>
  <c r="T3" i="1"/>
  <c r="AC47" i="34" l="1"/>
  <c r="AC34" i="34"/>
  <c r="Y47" i="34"/>
  <c r="Y34" i="34"/>
  <c r="AD47" i="34"/>
  <c r="AD34" i="34"/>
  <c r="X34" i="34"/>
  <c r="X47" i="34"/>
  <c r="AH47" i="34"/>
  <c r="AH34" i="34"/>
  <c r="AI20" i="34"/>
  <c r="AC20" i="34"/>
  <c r="AG20" i="34"/>
  <c r="AA20" i="34"/>
  <c r="AE20" i="34"/>
  <c r="AD20" i="34"/>
  <c r="W19" i="34"/>
  <c r="AB20" i="34"/>
  <c r="X20" i="34"/>
  <c r="Z20" i="34"/>
  <c r="Y20" i="34"/>
  <c r="AF20" i="34"/>
  <c r="AH20" i="34"/>
  <c r="AB47" i="34"/>
  <c r="AB34" i="34"/>
  <c r="AA34" i="34"/>
  <c r="AA47" i="34"/>
  <c r="Z47" i="34"/>
  <c r="Z34" i="34"/>
  <c r="AE34" i="34"/>
  <c r="AE47" i="34"/>
  <c r="AG34" i="34"/>
  <c r="AG47" i="34"/>
  <c r="AI47" i="34"/>
  <c r="AI34" i="34"/>
  <c r="AF47" i="34"/>
  <c r="AF34" i="34"/>
  <c r="X33" i="34" l="1"/>
  <c r="X46" i="34"/>
  <c r="AB46" i="34"/>
  <c r="AB33" i="34"/>
  <c r="AC46" i="34"/>
  <c r="AC33" i="34"/>
  <c r="AA33" i="34"/>
  <c r="AA46" i="34"/>
  <c r="AH33" i="34"/>
  <c r="AH46" i="34"/>
  <c r="AF19" i="34"/>
  <c r="Z19" i="34"/>
  <c r="W18" i="34"/>
  <c r="AD19" i="34"/>
  <c r="X19" i="34"/>
  <c r="AH19" i="34"/>
  <c r="Y19" i="34"/>
  <c r="AG19" i="34"/>
  <c r="AE19" i="34"/>
  <c r="AA19" i="34"/>
  <c r="AI19" i="34"/>
  <c r="AC19" i="34"/>
  <c r="AB19" i="34"/>
  <c r="AI33" i="34"/>
  <c r="AI46" i="34"/>
  <c r="Z46" i="34"/>
  <c r="Z33" i="34"/>
  <c r="AF46" i="34"/>
  <c r="AF33" i="34"/>
  <c r="AD33" i="34"/>
  <c r="AD46" i="34"/>
  <c r="AG46" i="34"/>
  <c r="AG33" i="34"/>
  <c r="Y33" i="34"/>
  <c r="Y46" i="34"/>
  <c r="AE46" i="34"/>
  <c r="AE33" i="34"/>
  <c r="U7" i="1"/>
  <c r="U11" i="1"/>
  <c r="V2" i="1"/>
  <c r="AG45" i="34" l="1"/>
  <c r="AG32" i="34"/>
  <c r="Z45" i="34"/>
  <c r="Z32" i="34"/>
  <c r="AD32" i="34"/>
  <c r="AD45" i="34"/>
  <c r="AB32" i="34"/>
  <c r="AB45" i="34"/>
  <c r="Y45" i="34"/>
  <c r="Y32" i="34"/>
  <c r="AF32" i="34"/>
  <c r="AF45" i="34"/>
  <c r="AA45" i="34"/>
  <c r="AA32" i="34"/>
  <c r="AI18" i="34"/>
  <c r="AC18" i="34"/>
  <c r="AG18" i="34"/>
  <c r="AA18" i="34"/>
  <c r="AB18" i="34"/>
  <c r="Z18" i="34"/>
  <c r="AH18" i="34"/>
  <c r="Y18" i="34"/>
  <c r="AD18" i="34"/>
  <c r="X18" i="34"/>
  <c r="W17" i="34"/>
  <c r="AF18" i="34"/>
  <c r="AE18" i="34"/>
  <c r="AC45" i="34"/>
  <c r="AC32" i="34"/>
  <c r="AH45" i="34"/>
  <c r="AH32" i="34"/>
  <c r="AE45" i="34"/>
  <c r="AE32" i="34"/>
  <c r="AI45" i="34"/>
  <c r="AI32" i="34"/>
  <c r="X32" i="34"/>
  <c r="X45" i="34"/>
  <c r="AK47" i="32"/>
  <c r="AK46" i="32" s="1"/>
  <c r="AK45" i="32" s="1"/>
  <c r="AK44" i="32" s="1"/>
  <c r="AK43" i="32" s="1"/>
  <c r="AK42" i="32" s="1"/>
  <c r="AK41" i="32" s="1"/>
  <c r="AK40" i="32" s="1"/>
  <c r="AK39" i="32" s="1"/>
  <c r="AK38" i="32" s="1"/>
  <c r="AK37" i="32" s="1"/>
  <c r="W47" i="32"/>
  <c r="W46" i="32" s="1"/>
  <c r="W45" i="32" s="1"/>
  <c r="W44" i="32" s="1"/>
  <c r="W43" i="32" s="1"/>
  <c r="W42" i="32" s="1"/>
  <c r="W41" i="32" s="1"/>
  <c r="W40" i="32" s="1"/>
  <c r="W39" i="32" s="1"/>
  <c r="W38" i="32" s="1"/>
  <c r="W37" i="32" s="1"/>
  <c r="AK34" i="32"/>
  <c r="AK33" i="32" s="1"/>
  <c r="AK32" i="32" s="1"/>
  <c r="AK31" i="32" s="1"/>
  <c r="AK30" i="32" s="1"/>
  <c r="AK29" i="32" s="1"/>
  <c r="AK28" i="32" s="1"/>
  <c r="AK27" i="32" s="1"/>
  <c r="AK26" i="32" s="1"/>
  <c r="AK25" i="32" s="1"/>
  <c r="AK24" i="32" s="1"/>
  <c r="W34" i="32"/>
  <c r="W33" i="32" s="1"/>
  <c r="W32" i="32" s="1"/>
  <c r="W31" i="32" s="1"/>
  <c r="W30" i="32" s="1"/>
  <c r="W29" i="32" s="1"/>
  <c r="W28" i="32" s="1"/>
  <c r="W27" i="32" s="1"/>
  <c r="W26" i="32" s="1"/>
  <c r="W25" i="32" s="1"/>
  <c r="W24" i="32" s="1"/>
  <c r="W21" i="32"/>
  <c r="AK21" i="32"/>
  <c r="AK20" i="32" s="1"/>
  <c r="AK19" i="32" s="1"/>
  <c r="AK18" i="32" s="1"/>
  <c r="AK17" i="32" s="1"/>
  <c r="AK16" i="32" s="1"/>
  <c r="AK15" i="32" s="1"/>
  <c r="AK14" i="32" s="1"/>
  <c r="AK13" i="32" s="1"/>
  <c r="AK12" i="32" s="1"/>
  <c r="AK11" i="32" s="1"/>
  <c r="W47" i="31"/>
  <c r="W46" i="31" s="1"/>
  <c r="W45" i="31" s="1"/>
  <c r="W44" i="31" s="1"/>
  <c r="W43" i="31" s="1"/>
  <c r="W42" i="31" s="1"/>
  <c r="W41" i="31" s="1"/>
  <c r="W40" i="31" s="1"/>
  <c r="W39" i="31" s="1"/>
  <c r="W38" i="31" s="1"/>
  <c r="W37" i="31" s="1"/>
  <c r="AK34" i="31"/>
  <c r="AK33" i="31" s="1"/>
  <c r="AK32" i="31" s="1"/>
  <c r="AK31" i="31" s="1"/>
  <c r="AK30" i="31" s="1"/>
  <c r="AK29" i="31" s="1"/>
  <c r="AK28" i="31" s="1"/>
  <c r="AK27" i="31" s="1"/>
  <c r="AK26" i="31" s="1"/>
  <c r="AK25" i="31" s="1"/>
  <c r="AK24" i="31" s="1"/>
  <c r="AK47" i="31"/>
  <c r="AK46" i="31" s="1"/>
  <c r="AK45" i="31" s="1"/>
  <c r="AK44" i="31" s="1"/>
  <c r="AK43" i="31" s="1"/>
  <c r="AK42" i="31" s="1"/>
  <c r="AK41" i="31" s="1"/>
  <c r="AK40" i="31" s="1"/>
  <c r="AK39" i="31" s="1"/>
  <c r="AK38" i="31" s="1"/>
  <c r="AK37" i="31" s="1"/>
  <c r="AK21" i="31"/>
  <c r="AK20" i="31" s="1"/>
  <c r="AK19" i="31" s="1"/>
  <c r="AK18" i="31" s="1"/>
  <c r="AK17" i="31" s="1"/>
  <c r="AK16" i="31" s="1"/>
  <c r="AK15" i="31" s="1"/>
  <c r="AK14" i="31" s="1"/>
  <c r="AK13" i="31" s="1"/>
  <c r="AK12" i="31" s="1"/>
  <c r="AK11" i="31" s="1"/>
  <c r="W34" i="31"/>
  <c r="W33" i="31" s="1"/>
  <c r="W32" i="31" s="1"/>
  <c r="W31" i="31" s="1"/>
  <c r="W30" i="31" s="1"/>
  <c r="W29" i="31" s="1"/>
  <c r="W28" i="31" s="1"/>
  <c r="W27" i="31" s="1"/>
  <c r="W26" i="31" s="1"/>
  <c r="W25" i="31" s="1"/>
  <c r="W24" i="31" s="1"/>
  <c r="W21" i="31"/>
  <c r="X11" i="1"/>
  <c r="W11" i="1"/>
  <c r="V11" i="1"/>
  <c r="X7" i="1"/>
  <c r="W7" i="1"/>
  <c r="V7" i="1"/>
  <c r="W2" i="1"/>
  <c r="AF44" i="34" l="1"/>
  <c r="AF31" i="34"/>
  <c r="Z44" i="34"/>
  <c r="Z31" i="34"/>
  <c r="AC44" i="34"/>
  <c r="AC31" i="34"/>
  <c r="AE31" i="34"/>
  <c r="AE44" i="34"/>
  <c r="AF17" i="34"/>
  <c r="Z17" i="34"/>
  <c r="W16" i="34"/>
  <c r="AD17" i="34"/>
  <c r="X17" i="34"/>
  <c r="AE17" i="34"/>
  <c r="AC17" i="34"/>
  <c r="AB17" i="34"/>
  <c r="AG17" i="34"/>
  <c r="AI17" i="34"/>
  <c r="AH17" i="34"/>
  <c r="AA17" i="34"/>
  <c r="Y17" i="34"/>
  <c r="AB44" i="34"/>
  <c r="AB31" i="34"/>
  <c r="Y44" i="34"/>
  <c r="Y31" i="34"/>
  <c r="AI31" i="34"/>
  <c r="AI44" i="34"/>
  <c r="X44" i="34"/>
  <c r="X31" i="34"/>
  <c r="AA31" i="34"/>
  <c r="AA44" i="34"/>
  <c r="AH44" i="34"/>
  <c r="AH31" i="34"/>
  <c r="AD44" i="34"/>
  <c r="AD31" i="34"/>
  <c r="AG31" i="34"/>
  <c r="AG44" i="34"/>
  <c r="AI21" i="32"/>
  <c r="AC21" i="32"/>
  <c r="AH21" i="32"/>
  <c r="AB21" i="32"/>
  <c r="AG21" i="32"/>
  <c r="AA21" i="32"/>
  <c r="AF21" i="32"/>
  <c r="Z21" i="32"/>
  <c r="W20" i="32"/>
  <c r="AE21" i="32"/>
  <c r="Y21" i="32"/>
  <c r="AD21" i="32"/>
  <c r="X21" i="32"/>
  <c r="AG21" i="31"/>
  <c r="AA21" i="31"/>
  <c r="AE21" i="31"/>
  <c r="Y21" i="31"/>
  <c r="AD21" i="31"/>
  <c r="X21" i="31"/>
  <c r="Z21" i="31"/>
  <c r="AI21" i="31"/>
  <c r="AH21" i="31"/>
  <c r="AF21" i="31"/>
  <c r="W20" i="31"/>
  <c r="AC21" i="31"/>
  <c r="AB21" i="31"/>
  <c r="Y2" i="1"/>
  <c r="X2" i="1"/>
  <c r="AB43" i="34" l="1"/>
  <c r="AB30" i="34"/>
  <c r="AC43" i="34"/>
  <c r="AC30" i="34"/>
  <c r="AA43" i="34"/>
  <c r="AA30" i="34"/>
  <c r="AE43" i="34"/>
  <c r="AE30" i="34"/>
  <c r="AF43" i="34"/>
  <c r="AF30" i="34"/>
  <c r="AH30" i="34"/>
  <c r="AH43" i="34"/>
  <c r="X43" i="34"/>
  <c r="X30" i="34"/>
  <c r="Z30" i="34"/>
  <c r="Z43" i="34"/>
  <c r="AI43" i="34"/>
  <c r="AI30" i="34"/>
  <c r="AD30" i="34"/>
  <c r="AD43" i="34"/>
  <c r="Y30" i="34"/>
  <c r="Y43" i="34"/>
  <c r="AG43" i="34"/>
  <c r="AG30" i="34"/>
  <c r="AI16" i="34"/>
  <c r="AC16" i="34"/>
  <c r="AG16" i="34"/>
  <c r="AA16" i="34"/>
  <c r="AH16" i="34"/>
  <c r="Y16" i="34"/>
  <c r="AF16" i="34"/>
  <c r="X16" i="34"/>
  <c r="AE16" i="34"/>
  <c r="W15" i="34"/>
  <c r="AD16" i="34"/>
  <c r="AB16" i="34"/>
  <c r="Z16" i="34"/>
  <c r="AD47" i="32"/>
  <c r="AD34" i="32"/>
  <c r="Y47" i="32"/>
  <c r="Y34" i="32"/>
  <c r="AG47" i="32"/>
  <c r="AG34" i="32"/>
  <c r="AE47" i="32"/>
  <c r="AE34" i="32"/>
  <c r="AB34" i="32"/>
  <c r="AB47" i="32"/>
  <c r="AF20" i="32"/>
  <c r="Z20" i="32"/>
  <c r="W19" i="32"/>
  <c r="AE20" i="32"/>
  <c r="Y20" i="32"/>
  <c r="AD20" i="32"/>
  <c r="X20" i="32"/>
  <c r="AI20" i="32"/>
  <c r="AC20" i="32"/>
  <c r="AH20" i="32"/>
  <c r="AB20" i="32"/>
  <c r="AA20" i="32"/>
  <c r="AG20" i="32"/>
  <c r="AH34" i="32"/>
  <c r="AH47" i="32"/>
  <c r="AA47" i="32"/>
  <c r="AA34" i="32"/>
  <c r="Z47" i="32"/>
  <c r="Z34" i="32"/>
  <c r="AC47" i="32"/>
  <c r="AC34" i="32"/>
  <c r="X47" i="32"/>
  <c r="X34" i="32"/>
  <c r="AF47" i="32"/>
  <c r="AF34" i="32"/>
  <c r="AI47" i="32"/>
  <c r="AI34" i="32"/>
  <c r="AH47" i="31"/>
  <c r="AH34" i="31"/>
  <c r="X34" i="31"/>
  <c r="X47" i="31"/>
  <c r="AD20" i="31"/>
  <c r="X20" i="31"/>
  <c r="AH20" i="31"/>
  <c r="AB20" i="31"/>
  <c r="AG20" i="31"/>
  <c r="AA20" i="31"/>
  <c r="AC20" i="31"/>
  <c r="Z20" i="31"/>
  <c r="Y20" i="31"/>
  <c r="AI20" i="31"/>
  <c r="AF20" i="31"/>
  <c r="W19" i="31"/>
  <c r="AE20" i="31"/>
  <c r="AD34" i="31"/>
  <c r="AD47" i="31"/>
  <c r="AC47" i="31"/>
  <c r="AC34" i="31"/>
  <c r="AF34" i="31"/>
  <c r="AF47" i="31"/>
  <c r="Y34" i="31"/>
  <c r="Y47" i="31"/>
  <c r="AE34" i="31"/>
  <c r="AE47" i="31"/>
  <c r="AI47" i="31"/>
  <c r="AI34" i="31"/>
  <c r="AA34" i="31"/>
  <c r="AA47" i="31"/>
  <c r="AB47" i="31"/>
  <c r="AB34" i="31"/>
  <c r="Z34" i="31"/>
  <c r="Z47" i="31"/>
  <c r="AG34" i="31"/>
  <c r="AG47" i="31"/>
  <c r="W47" i="30"/>
  <c r="W46" i="30" s="1"/>
  <c r="W45" i="30" s="1"/>
  <c r="W44" i="30" s="1"/>
  <c r="W43" i="30" s="1"/>
  <c r="W42" i="30" s="1"/>
  <c r="W41" i="30" s="1"/>
  <c r="W40" i="30" s="1"/>
  <c r="W39" i="30" s="1"/>
  <c r="W38" i="30" s="1"/>
  <c r="W37" i="30" s="1"/>
  <c r="AK21" i="30"/>
  <c r="AK20" i="30" s="1"/>
  <c r="AK19" i="30" s="1"/>
  <c r="AK18" i="30" s="1"/>
  <c r="AK17" i="30" s="1"/>
  <c r="AK16" i="30" s="1"/>
  <c r="AK15" i="30" s="1"/>
  <c r="AK14" i="30" s="1"/>
  <c r="AK13" i="30" s="1"/>
  <c r="AK12" i="30" s="1"/>
  <c r="AK11" i="30" s="1"/>
  <c r="AK34" i="30"/>
  <c r="AK33" i="30" s="1"/>
  <c r="AK32" i="30" s="1"/>
  <c r="AK31" i="30" s="1"/>
  <c r="AK30" i="30" s="1"/>
  <c r="AK29" i="30" s="1"/>
  <c r="AK28" i="30" s="1"/>
  <c r="AK27" i="30" s="1"/>
  <c r="AK26" i="30" s="1"/>
  <c r="AK25" i="30" s="1"/>
  <c r="AK24" i="30" s="1"/>
  <c r="AK47" i="30"/>
  <c r="AK46" i="30" s="1"/>
  <c r="AK45" i="30" s="1"/>
  <c r="AK44" i="30" s="1"/>
  <c r="AK43" i="30" s="1"/>
  <c r="AK42" i="30" s="1"/>
  <c r="AK41" i="30" s="1"/>
  <c r="AK40" i="30" s="1"/>
  <c r="AK39" i="30" s="1"/>
  <c r="AK38" i="30" s="1"/>
  <c r="AK37" i="30" s="1"/>
  <c r="W34" i="30"/>
  <c r="W33" i="30" s="1"/>
  <c r="W32" i="30" s="1"/>
  <c r="W31" i="30" s="1"/>
  <c r="W30" i="30" s="1"/>
  <c r="W29" i="30" s="1"/>
  <c r="W28" i="30" s="1"/>
  <c r="W27" i="30" s="1"/>
  <c r="W26" i="30" s="1"/>
  <c r="W25" i="30" s="1"/>
  <c r="W24" i="30" s="1"/>
  <c r="W21" i="30"/>
  <c r="AB29" i="34" l="1"/>
  <c r="AB42" i="34"/>
  <c r="AH42" i="34"/>
  <c r="AH29" i="34"/>
  <c r="AF15" i="34"/>
  <c r="Z15" i="34"/>
  <c r="W14" i="34"/>
  <c r="AD15" i="34"/>
  <c r="X15" i="34"/>
  <c r="AB15" i="34"/>
  <c r="AI15" i="34"/>
  <c r="AA15" i="34"/>
  <c r="AH15" i="34"/>
  <c r="Y15" i="34"/>
  <c r="AC15" i="34"/>
  <c r="AG15" i="34"/>
  <c r="AE15" i="34"/>
  <c r="AA42" i="34"/>
  <c r="AA29" i="34"/>
  <c r="AE42" i="34"/>
  <c r="AE29" i="34"/>
  <c r="AG29" i="34"/>
  <c r="AG42" i="34"/>
  <c r="AD42" i="34"/>
  <c r="AD29" i="34"/>
  <c r="X42" i="34"/>
  <c r="X29" i="34"/>
  <c r="AC29" i="34"/>
  <c r="AC42" i="34"/>
  <c r="Y42" i="34"/>
  <c r="Y29" i="34"/>
  <c r="Z42" i="34"/>
  <c r="Z29" i="34"/>
  <c r="AF42" i="34"/>
  <c r="AF29" i="34"/>
  <c r="AI42" i="34"/>
  <c r="AI29" i="34"/>
  <c r="AE33" i="32"/>
  <c r="AE46" i="32"/>
  <c r="AC46" i="32"/>
  <c r="AC33" i="32"/>
  <c r="AI19" i="32"/>
  <c r="AC19" i="32"/>
  <c r="AH19" i="32"/>
  <c r="AB19" i="32"/>
  <c r="AG19" i="32"/>
  <c r="AA19" i="32"/>
  <c r="AF19" i="32"/>
  <c r="Z19" i="32"/>
  <c r="W18" i="32"/>
  <c r="Y19" i="32"/>
  <c r="X19" i="32"/>
  <c r="AE19" i="32"/>
  <c r="AD19" i="32"/>
  <c r="Z46" i="32"/>
  <c r="Z33" i="32"/>
  <c r="AG46" i="32"/>
  <c r="AG33" i="32"/>
  <c r="X33" i="32"/>
  <c r="X46" i="32"/>
  <c r="AF46" i="32"/>
  <c r="AF33" i="32"/>
  <c r="AH46" i="32"/>
  <c r="AH33" i="32"/>
  <c r="AD46" i="32"/>
  <c r="AD33" i="32"/>
  <c r="AI46" i="32"/>
  <c r="AI33" i="32"/>
  <c r="AA46" i="32"/>
  <c r="AA33" i="32"/>
  <c r="AB46" i="32"/>
  <c r="AB33" i="32"/>
  <c r="Y33" i="32"/>
  <c r="Y46" i="32"/>
  <c r="AI33" i="31"/>
  <c r="AI46" i="31"/>
  <c r="Y46" i="31"/>
  <c r="Y33" i="31"/>
  <c r="AH33" i="31"/>
  <c r="AH46" i="31"/>
  <c r="AB33" i="31"/>
  <c r="AB46" i="31"/>
  <c r="Z46" i="31"/>
  <c r="Z33" i="31"/>
  <c r="X33" i="31"/>
  <c r="X46" i="31"/>
  <c r="AD33" i="31"/>
  <c r="AD46" i="31"/>
  <c r="AC33" i="31"/>
  <c r="AC46" i="31"/>
  <c r="AG19" i="31"/>
  <c r="AA19" i="31"/>
  <c r="AE19" i="31"/>
  <c r="Y19" i="31"/>
  <c r="AD19" i="31"/>
  <c r="X19" i="31"/>
  <c r="AF19" i="31"/>
  <c r="AC19" i="31"/>
  <c r="W18" i="31"/>
  <c r="AB19" i="31"/>
  <c r="AI19" i="31"/>
  <c r="Z19" i="31"/>
  <c r="AH19" i="31"/>
  <c r="AA33" i="31"/>
  <c r="AA46" i="31"/>
  <c r="AE46" i="31"/>
  <c r="AE33" i="31"/>
  <c r="AF46" i="31"/>
  <c r="AF33" i="31"/>
  <c r="AG33" i="31"/>
  <c r="AG46" i="31"/>
  <c r="AD21" i="30"/>
  <c r="X21" i="30"/>
  <c r="AH21" i="30"/>
  <c r="AI21" i="30"/>
  <c r="AC21" i="30"/>
  <c r="AB21" i="30"/>
  <c r="AG21" i="30"/>
  <c r="AE21" i="30"/>
  <c r="AA21" i="30"/>
  <c r="AF21" i="30"/>
  <c r="W20" i="30"/>
  <c r="Y21" i="30"/>
  <c r="Z21" i="30"/>
  <c r="AD41" i="34" l="1"/>
  <c r="AD28" i="34"/>
  <c r="AI14" i="34"/>
  <c r="AC14" i="34"/>
  <c r="AG14" i="34"/>
  <c r="AA14" i="34"/>
  <c r="AE14" i="34"/>
  <c r="AD14" i="34"/>
  <c r="W13" i="34"/>
  <c r="AB14" i="34"/>
  <c r="X14" i="34"/>
  <c r="Z14" i="34"/>
  <c r="AF14" i="34"/>
  <c r="Y14" i="34"/>
  <c r="AH14" i="34"/>
  <c r="AA41" i="34"/>
  <c r="AA28" i="34"/>
  <c r="Z28" i="34"/>
  <c r="Z41" i="34"/>
  <c r="AE28" i="34"/>
  <c r="AE41" i="34"/>
  <c r="AI41" i="34"/>
  <c r="AI28" i="34"/>
  <c r="AF28" i="34"/>
  <c r="AF41" i="34"/>
  <c r="AH41" i="34"/>
  <c r="AH28" i="34"/>
  <c r="AG41" i="34"/>
  <c r="AG28" i="34"/>
  <c r="AB41" i="34"/>
  <c r="AB28" i="34"/>
  <c r="Y41" i="34"/>
  <c r="Y28" i="34"/>
  <c r="AC41" i="34"/>
  <c r="AC28" i="34"/>
  <c r="X41" i="34"/>
  <c r="X28" i="34"/>
  <c r="AB32" i="32"/>
  <c r="AB45" i="32"/>
  <c r="AD45" i="32"/>
  <c r="AD32" i="32"/>
  <c r="AF45" i="32"/>
  <c r="AF32" i="32"/>
  <c r="AI45" i="32"/>
  <c r="AI32" i="32"/>
  <c r="Y45" i="32"/>
  <c r="Y32" i="32"/>
  <c r="AF18" i="32"/>
  <c r="Z18" i="32"/>
  <c r="W17" i="32"/>
  <c r="AE18" i="32"/>
  <c r="Y18" i="32"/>
  <c r="AD18" i="32"/>
  <c r="X18" i="32"/>
  <c r="AI18" i="32"/>
  <c r="AC18" i="32"/>
  <c r="AB18" i="32"/>
  <c r="AA18" i="32"/>
  <c r="AH18" i="32"/>
  <c r="AG18" i="32"/>
  <c r="Z45" i="32"/>
  <c r="Z32" i="32"/>
  <c r="AE45" i="32"/>
  <c r="AE32" i="32"/>
  <c r="AA32" i="32"/>
  <c r="AA45" i="32"/>
  <c r="AH45" i="32"/>
  <c r="AH32" i="32"/>
  <c r="AC45" i="32"/>
  <c r="AC32" i="32"/>
  <c r="X45" i="32"/>
  <c r="X32" i="32"/>
  <c r="AG45" i="32"/>
  <c r="AG32" i="32"/>
  <c r="AF45" i="31"/>
  <c r="AF32" i="31"/>
  <c r="AB45" i="31"/>
  <c r="AB32" i="31"/>
  <c r="AD18" i="31"/>
  <c r="X18" i="31"/>
  <c r="AH18" i="31"/>
  <c r="AG18" i="31"/>
  <c r="AA18" i="31"/>
  <c r="AI18" i="31"/>
  <c r="Y18" i="31"/>
  <c r="AF18" i="31"/>
  <c r="AE18" i="31"/>
  <c r="AB18" i="31"/>
  <c r="AC18" i="31"/>
  <c r="W17" i="31"/>
  <c r="Z18" i="31"/>
  <c r="AE32" i="31"/>
  <c r="AE45" i="31"/>
  <c r="Y45" i="31"/>
  <c r="Y32" i="31"/>
  <c r="AC45" i="31"/>
  <c r="AC32" i="31"/>
  <c r="AA45" i="31"/>
  <c r="AA32" i="31"/>
  <c r="AG45" i="31"/>
  <c r="AG32" i="31"/>
  <c r="Z45" i="31"/>
  <c r="Z32" i="31"/>
  <c r="X32" i="31"/>
  <c r="X45" i="31"/>
  <c r="AH45" i="31"/>
  <c r="AH32" i="31"/>
  <c r="AI45" i="31"/>
  <c r="AI32" i="31"/>
  <c r="AD32" i="31"/>
  <c r="AD45" i="31"/>
  <c r="Y47" i="30"/>
  <c r="Y34" i="30"/>
  <c r="AB47" i="30"/>
  <c r="AB34" i="30"/>
  <c r="AG20" i="30"/>
  <c r="AA20" i="30"/>
  <c r="Y20" i="30"/>
  <c r="AF20" i="30"/>
  <c r="Z20" i="30"/>
  <c r="W19" i="30"/>
  <c r="AE20" i="30"/>
  <c r="X20" i="30"/>
  <c r="AD20" i="30"/>
  <c r="AI20" i="30"/>
  <c r="AH20" i="30"/>
  <c r="AB20" i="30"/>
  <c r="AC20" i="30"/>
  <c r="AC47" i="30"/>
  <c r="AC34" i="30"/>
  <c r="Z34" i="30"/>
  <c r="Z47" i="30"/>
  <c r="AF47" i="30"/>
  <c r="AF34" i="30"/>
  <c r="AI47" i="30"/>
  <c r="AI34" i="30"/>
  <c r="AH47" i="30"/>
  <c r="AH34" i="30"/>
  <c r="AE47" i="30"/>
  <c r="AE34" i="30"/>
  <c r="X47" i="30"/>
  <c r="X34" i="30"/>
  <c r="AA34" i="30"/>
  <c r="AA47" i="30"/>
  <c r="AG34" i="30"/>
  <c r="AG47" i="30"/>
  <c r="AD47" i="30"/>
  <c r="AD34" i="30"/>
  <c r="AK47" i="27"/>
  <c r="AK46" i="27" s="1"/>
  <c r="AK45" i="27" s="1"/>
  <c r="AK44" i="27" s="1"/>
  <c r="AK43" i="27" s="1"/>
  <c r="AK42" i="27" s="1"/>
  <c r="AK41" i="27" s="1"/>
  <c r="AK40" i="27" s="1"/>
  <c r="AK39" i="27" s="1"/>
  <c r="AK38" i="27" s="1"/>
  <c r="AK37" i="27" s="1"/>
  <c r="W47" i="27"/>
  <c r="W46" i="27" s="1"/>
  <c r="W45" i="27" s="1"/>
  <c r="W44" i="27" s="1"/>
  <c r="W43" i="27" s="1"/>
  <c r="W42" i="27" s="1"/>
  <c r="W41" i="27" s="1"/>
  <c r="W40" i="27" s="1"/>
  <c r="W39" i="27" s="1"/>
  <c r="W38" i="27" s="1"/>
  <c r="W37" i="27" s="1"/>
  <c r="W34" i="27"/>
  <c r="W33" i="27" s="1"/>
  <c r="W32" i="27" s="1"/>
  <c r="W31" i="27" s="1"/>
  <c r="W30" i="27" s="1"/>
  <c r="W29" i="27" s="1"/>
  <c r="W28" i="27" s="1"/>
  <c r="W27" i="27" s="1"/>
  <c r="W26" i="27" s="1"/>
  <c r="W25" i="27" s="1"/>
  <c r="W24" i="27" s="1"/>
  <c r="AK34" i="27"/>
  <c r="AK33" i="27" s="1"/>
  <c r="AK32" i="27" s="1"/>
  <c r="AK31" i="27" s="1"/>
  <c r="AK30" i="27" s="1"/>
  <c r="AK29" i="27" s="1"/>
  <c r="AK28" i="27" s="1"/>
  <c r="AK27" i="27" s="1"/>
  <c r="AK26" i="27" s="1"/>
  <c r="AK25" i="27" s="1"/>
  <c r="AK24" i="27" s="1"/>
  <c r="AK21" i="27"/>
  <c r="AK20" i="27" s="1"/>
  <c r="AK19" i="27" s="1"/>
  <c r="AK18" i="27" s="1"/>
  <c r="AK17" i="27" s="1"/>
  <c r="AK16" i="27" s="1"/>
  <c r="AK15" i="27" s="1"/>
  <c r="AK14" i="27" s="1"/>
  <c r="AK13" i="27" s="1"/>
  <c r="AK12" i="27" s="1"/>
  <c r="AK11" i="27" s="1"/>
  <c r="W21" i="27"/>
  <c r="AK34" i="26"/>
  <c r="AK33" i="26" s="1"/>
  <c r="AK32" i="26" s="1"/>
  <c r="AK31" i="26" s="1"/>
  <c r="AK30" i="26" s="1"/>
  <c r="AK29" i="26" s="1"/>
  <c r="AK28" i="26" s="1"/>
  <c r="AK27" i="26" s="1"/>
  <c r="AK26" i="26" s="1"/>
  <c r="AK25" i="26" s="1"/>
  <c r="AK24" i="26" s="1"/>
  <c r="AK47" i="26"/>
  <c r="AK46" i="26" s="1"/>
  <c r="AK45" i="26" s="1"/>
  <c r="AK44" i="26" s="1"/>
  <c r="AK43" i="26" s="1"/>
  <c r="AK42" i="26" s="1"/>
  <c r="AK41" i="26" s="1"/>
  <c r="AK40" i="26" s="1"/>
  <c r="AK39" i="26" s="1"/>
  <c r="AK38" i="26" s="1"/>
  <c r="AK37" i="26" s="1"/>
  <c r="W34" i="26"/>
  <c r="W33" i="26" s="1"/>
  <c r="W32" i="26" s="1"/>
  <c r="W31" i="26" s="1"/>
  <c r="W30" i="26" s="1"/>
  <c r="W29" i="26" s="1"/>
  <c r="W28" i="26" s="1"/>
  <c r="W27" i="26" s="1"/>
  <c r="W26" i="26" s="1"/>
  <c r="W25" i="26" s="1"/>
  <c r="W24" i="26" s="1"/>
  <c r="W47" i="26"/>
  <c r="W46" i="26" s="1"/>
  <c r="W45" i="26" s="1"/>
  <c r="W44" i="26" s="1"/>
  <c r="W43" i="26" s="1"/>
  <c r="W42" i="26" s="1"/>
  <c r="W41" i="26" s="1"/>
  <c r="W40" i="26" s="1"/>
  <c r="W39" i="26" s="1"/>
  <c r="W38" i="26" s="1"/>
  <c r="W37" i="26" s="1"/>
  <c r="AK21" i="26"/>
  <c r="AK20" i="26" s="1"/>
  <c r="AK19" i="26" s="1"/>
  <c r="AK18" i="26" s="1"/>
  <c r="AK17" i="26" s="1"/>
  <c r="AK16" i="26" s="1"/>
  <c r="AK15" i="26" s="1"/>
  <c r="AK14" i="26" s="1"/>
  <c r="AK13" i="26" s="1"/>
  <c r="AK12" i="26" s="1"/>
  <c r="AK11" i="26" s="1"/>
  <c r="W21" i="26"/>
  <c r="AA2" i="1"/>
  <c r="Z2" i="1"/>
  <c r="Y11" i="1"/>
  <c r="Y7" i="1"/>
  <c r="Z11" i="1"/>
  <c r="Z7" i="1"/>
  <c r="AB40" i="34" l="1"/>
  <c r="AB27" i="34"/>
  <c r="AF13" i="34"/>
  <c r="Z13" i="34"/>
  <c r="W12" i="34"/>
  <c r="AD13" i="34"/>
  <c r="X13" i="34"/>
  <c r="AH13" i="34"/>
  <c r="Y13" i="34"/>
  <c r="AG13" i="34"/>
  <c r="AE13" i="34"/>
  <c r="AA13" i="34"/>
  <c r="AC13" i="34"/>
  <c r="AB13" i="34"/>
  <c r="AI13" i="34"/>
  <c r="Y40" i="34"/>
  <c r="Y27" i="34"/>
  <c r="AD40" i="34"/>
  <c r="AD27" i="34"/>
  <c r="AI27" i="34"/>
  <c r="AI40" i="34"/>
  <c r="AF40" i="34"/>
  <c r="AF27" i="34"/>
  <c r="AE40" i="34"/>
  <c r="AE27" i="34"/>
  <c r="AC27" i="34"/>
  <c r="AC40" i="34"/>
  <c r="Z40" i="34"/>
  <c r="Z27" i="34"/>
  <c r="AA40" i="34"/>
  <c r="AA27" i="34"/>
  <c r="AH27" i="34"/>
  <c r="AH40" i="34"/>
  <c r="X40" i="34"/>
  <c r="X27" i="34"/>
  <c r="AG40" i="34"/>
  <c r="AG27" i="34"/>
  <c r="AB44" i="32"/>
  <c r="AB31" i="32"/>
  <c r="AE44" i="32"/>
  <c r="AE31" i="32"/>
  <c r="AC44" i="32"/>
  <c r="AC31" i="32"/>
  <c r="AI17" i="32"/>
  <c r="AC17" i="32"/>
  <c r="AH17" i="32"/>
  <c r="AB17" i="32"/>
  <c r="AG17" i="32"/>
  <c r="AA17" i="32"/>
  <c r="AF17" i="32"/>
  <c r="Z17" i="32"/>
  <c r="W16" i="32"/>
  <c r="AE17" i="32"/>
  <c r="AD17" i="32"/>
  <c r="Y17" i="32"/>
  <c r="X17" i="32"/>
  <c r="Z44" i="32"/>
  <c r="Z31" i="32"/>
  <c r="AG44" i="32"/>
  <c r="AG31" i="32"/>
  <c r="AF44" i="32"/>
  <c r="AF31" i="32"/>
  <c r="AH44" i="32"/>
  <c r="AH31" i="32"/>
  <c r="AD31" i="32"/>
  <c r="AD44" i="32"/>
  <c r="AI44" i="32"/>
  <c r="AI31" i="32"/>
  <c r="X44" i="32"/>
  <c r="X31" i="32"/>
  <c r="AA44" i="32"/>
  <c r="AA31" i="32"/>
  <c r="Y44" i="32"/>
  <c r="Y31" i="32"/>
  <c r="AB44" i="31"/>
  <c r="AB31" i="31"/>
  <c r="AE44" i="31"/>
  <c r="AE31" i="31"/>
  <c r="AH31" i="31"/>
  <c r="AH44" i="31"/>
  <c r="AG31" i="31"/>
  <c r="AG44" i="31"/>
  <c r="AF44" i="31"/>
  <c r="AF31" i="31"/>
  <c r="X44" i="31"/>
  <c r="X31" i="31"/>
  <c r="Y44" i="31"/>
  <c r="Y31" i="31"/>
  <c r="AD44" i="31"/>
  <c r="AD31" i="31"/>
  <c r="AC44" i="31"/>
  <c r="AC31" i="31"/>
  <c r="Z44" i="31"/>
  <c r="Z31" i="31"/>
  <c r="AG17" i="31"/>
  <c r="AA17" i="31"/>
  <c r="AD17" i="31"/>
  <c r="X17" i="31"/>
  <c r="AB17" i="31"/>
  <c r="AI17" i="31"/>
  <c r="Z17" i="31"/>
  <c r="AH17" i="31"/>
  <c r="Y17" i="31"/>
  <c r="W16" i="31"/>
  <c r="AF17" i="31"/>
  <c r="AE17" i="31"/>
  <c r="AC17" i="31"/>
  <c r="AI44" i="31"/>
  <c r="AI31" i="31"/>
  <c r="AA31" i="31"/>
  <c r="AA44" i="31"/>
  <c r="AI46" i="30"/>
  <c r="AI33" i="30"/>
  <c r="AD33" i="30"/>
  <c r="AD46" i="30"/>
  <c r="Y46" i="30"/>
  <c r="Y33" i="30"/>
  <c r="AF46" i="30"/>
  <c r="AF33" i="30"/>
  <c r="X33" i="30"/>
  <c r="X46" i="30"/>
  <c r="AA46" i="30"/>
  <c r="AA33" i="30"/>
  <c r="AG33" i="30"/>
  <c r="AG46" i="30"/>
  <c r="AE46" i="30"/>
  <c r="AE33" i="30"/>
  <c r="AC33" i="30"/>
  <c r="AC46" i="30"/>
  <c r="AB46" i="30"/>
  <c r="AB33" i="30"/>
  <c r="AD19" i="30"/>
  <c r="X19" i="30"/>
  <c r="AI19" i="30"/>
  <c r="AC19" i="30"/>
  <c r="AG19" i="30"/>
  <c r="Y19" i="30"/>
  <c r="AB19" i="30"/>
  <c r="AF19" i="30"/>
  <c r="AE19" i="30"/>
  <c r="W18" i="30"/>
  <c r="AH19" i="30"/>
  <c r="AA19" i="30"/>
  <c r="Z19" i="30"/>
  <c r="AH33" i="30"/>
  <c r="AH46" i="30"/>
  <c r="Z46" i="30"/>
  <c r="Z33" i="30"/>
  <c r="AF21" i="27"/>
  <c r="Z21" i="27"/>
  <c r="W20" i="27"/>
  <c r="AE21" i="27"/>
  <c r="Y21" i="27"/>
  <c r="AG21" i="27"/>
  <c r="AA21" i="27"/>
  <c r="AH21" i="27"/>
  <c r="AI21" i="27"/>
  <c r="X21" i="27"/>
  <c r="AC21" i="27"/>
  <c r="AB21" i="27"/>
  <c r="AD21" i="27"/>
  <c r="AF21" i="26"/>
  <c r="AD21" i="26"/>
  <c r="X21" i="26"/>
  <c r="AC21" i="26"/>
  <c r="AH21" i="26"/>
  <c r="AA21" i="26"/>
  <c r="AG21" i="26"/>
  <c r="W20" i="26"/>
  <c r="AE21" i="26"/>
  <c r="AB21" i="26"/>
  <c r="Y21" i="26"/>
  <c r="AI21" i="26"/>
  <c r="Z21" i="26"/>
  <c r="Z39" i="34" l="1"/>
  <c r="Z26" i="34"/>
  <c r="AB39" i="34"/>
  <c r="AB26" i="34"/>
  <c r="AH39" i="34"/>
  <c r="AH26" i="34"/>
  <c r="Y39" i="34"/>
  <c r="Y26" i="34"/>
  <c r="AC39" i="34"/>
  <c r="AC26" i="34"/>
  <c r="X39" i="34"/>
  <c r="X26" i="34"/>
  <c r="AG39" i="34"/>
  <c r="AG26" i="34"/>
  <c r="AI39" i="34"/>
  <c r="AI26" i="34"/>
  <c r="AA39" i="34"/>
  <c r="AA26" i="34"/>
  <c r="AD39" i="34"/>
  <c r="AD26" i="34"/>
  <c r="AF26" i="34"/>
  <c r="AF39" i="34"/>
  <c r="AE39" i="34"/>
  <c r="AE26" i="34"/>
  <c r="AI12" i="34"/>
  <c r="AC12" i="34"/>
  <c r="AG12" i="34"/>
  <c r="AA12" i="34"/>
  <c r="AB12" i="34"/>
  <c r="Z12" i="34"/>
  <c r="AH12" i="34"/>
  <c r="Y12" i="34"/>
  <c r="AD12" i="34"/>
  <c r="AF12" i="34"/>
  <c r="X12" i="34"/>
  <c r="AE12" i="34"/>
  <c r="W11" i="34"/>
  <c r="AH43" i="32"/>
  <c r="AH30" i="32"/>
  <c r="Y43" i="32"/>
  <c r="Y30" i="32"/>
  <c r="AA43" i="32"/>
  <c r="AA30" i="32"/>
  <c r="AF16" i="32"/>
  <c r="Z16" i="32"/>
  <c r="W15" i="32"/>
  <c r="AE16" i="32"/>
  <c r="Y16" i="32"/>
  <c r="AD16" i="32"/>
  <c r="X16" i="32"/>
  <c r="AI16" i="32"/>
  <c r="AC16" i="32"/>
  <c r="AH16" i="32"/>
  <c r="AG16" i="32"/>
  <c r="AB16" i="32"/>
  <c r="AA16" i="32"/>
  <c r="AD43" i="32"/>
  <c r="AD30" i="32"/>
  <c r="AG30" i="32"/>
  <c r="AG43" i="32"/>
  <c r="AB43" i="32"/>
  <c r="AB30" i="32"/>
  <c r="Z43" i="32"/>
  <c r="Z30" i="32"/>
  <c r="AC43" i="32"/>
  <c r="AC30" i="32"/>
  <c r="AE43" i="32"/>
  <c r="AE30" i="32"/>
  <c r="X43" i="32"/>
  <c r="X30" i="32"/>
  <c r="AF43" i="32"/>
  <c r="AF30" i="32"/>
  <c r="AI43" i="32"/>
  <c r="AI30" i="32"/>
  <c r="AA43" i="31"/>
  <c r="AA30" i="31"/>
  <c r="AC43" i="31"/>
  <c r="AC30" i="31"/>
  <c r="Z43" i="31"/>
  <c r="Z30" i="31"/>
  <c r="AG43" i="31"/>
  <c r="AG30" i="31"/>
  <c r="AE43" i="31"/>
  <c r="AE30" i="31"/>
  <c r="AI43" i="31"/>
  <c r="AI30" i="31"/>
  <c r="Y30" i="31"/>
  <c r="Y43" i="31"/>
  <c r="AF43" i="31"/>
  <c r="AF30" i="31"/>
  <c r="AB43" i="31"/>
  <c r="AB30" i="31"/>
  <c r="AH43" i="31"/>
  <c r="AH30" i="31"/>
  <c r="AD16" i="31"/>
  <c r="X16" i="31"/>
  <c r="AG16" i="31"/>
  <c r="Z16" i="31"/>
  <c r="AF16" i="31"/>
  <c r="Y16" i="31"/>
  <c r="AE16" i="31"/>
  <c r="AB16" i="31"/>
  <c r="AC16" i="31"/>
  <c r="AI16" i="31"/>
  <c r="W15" i="31"/>
  <c r="AA16" i="31"/>
  <c r="AH16" i="31"/>
  <c r="X30" i="31"/>
  <c r="X43" i="31"/>
  <c r="AD30" i="31"/>
  <c r="AD43" i="31"/>
  <c r="X45" i="30"/>
  <c r="X32" i="30"/>
  <c r="Z32" i="30"/>
  <c r="Z45" i="30"/>
  <c r="AB32" i="30"/>
  <c r="AB45" i="30"/>
  <c r="AD45" i="30"/>
  <c r="AD32" i="30"/>
  <c r="AF32" i="30"/>
  <c r="AF45" i="30"/>
  <c r="AA45" i="30"/>
  <c r="AA32" i="30"/>
  <c r="Y45" i="30"/>
  <c r="Y32" i="30"/>
  <c r="AH32" i="30"/>
  <c r="AH45" i="30"/>
  <c r="AG18" i="30"/>
  <c r="AA18" i="30"/>
  <c r="AF18" i="30"/>
  <c r="Z18" i="30"/>
  <c r="W17" i="30"/>
  <c r="AB18" i="30"/>
  <c r="X18" i="30"/>
  <c r="AE18" i="30"/>
  <c r="AI18" i="30"/>
  <c r="Y18" i="30"/>
  <c r="AH18" i="30"/>
  <c r="AD18" i="30"/>
  <c r="AC18" i="30"/>
  <c r="AC45" i="30"/>
  <c r="AC32" i="30"/>
  <c r="AG45" i="30"/>
  <c r="AG32" i="30"/>
  <c r="AE45" i="30"/>
  <c r="AE32" i="30"/>
  <c r="AI45" i="30"/>
  <c r="AI32" i="30"/>
  <c r="AC47" i="27"/>
  <c r="AC34" i="27"/>
  <c r="X47" i="27"/>
  <c r="X34" i="27"/>
  <c r="AE34" i="27"/>
  <c r="AE47" i="27"/>
  <c r="AB34" i="27"/>
  <c r="AB47" i="27"/>
  <c r="Y34" i="27"/>
  <c r="Y47" i="27"/>
  <c r="AI47" i="27"/>
  <c r="AI34" i="27"/>
  <c r="AI20" i="27"/>
  <c r="AC20" i="27"/>
  <c r="AH20" i="27"/>
  <c r="AB20" i="27"/>
  <c r="AD20" i="27"/>
  <c r="W19" i="27"/>
  <c r="Z20" i="27"/>
  <c r="AA20" i="27"/>
  <c r="AF20" i="27"/>
  <c r="X20" i="27"/>
  <c r="AE20" i="27"/>
  <c r="AG20" i="27"/>
  <c r="Y20" i="27"/>
  <c r="AG34" i="27"/>
  <c r="AG47" i="27"/>
  <c r="AH34" i="27"/>
  <c r="AH47" i="27"/>
  <c r="Z47" i="27"/>
  <c r="Z34" i="27"/>
  <c r="AD47" i="27"/>
  <c r="AD34" i="27"/>
  <c r="AA34" i="27"/>
  <c r="AA47" i="27"/>
  <c r="AF34" i="27"/>
  <c r="AF47" i="27"/>
  <c r="AI34" i="26"/>
  <c r="AI47" i="26"/>
  <c r="Y34" i="26"/>
  <c r="Y47" i="26"/>
  <c r="AH47" i="26"/>
  <c r="AH34" i="26"/>
  <c r="AA34" i="26"/>
  <c r="AA47" i="26"/>
  <c r="AB47" i="26"/>
  <c r="AB34" i="26"/>
  <c r="AC47" i="26"/>
  <c r="AC34" i="26"/>
  <c r="AG20" i="26"/>
  <c r="AA20" i="26"/>
  <c r="AF20" i="26"/>
  <c r="Z20" i="26"/>
  <c r="W19" i="26"/>
  <c r="AD20" i="26"/>
  <c r="X20" i="26"/>
  <c r="AI20" i="26"/>
  <c r="AH20" i="26"/>
  <c r="AE20" i="26"/>
  <c r="AB20" i="26"/>
  <c r="Y20" i="26"/>
  <c r="AC20" i="26"/>
  <c r="AE47" i="26"/>
  <c r="AE34" i="26"/>
  <c r="X34" i="26"/>
  <c r="X47" i="26"/>
  <c r="AD34" i="26"/>
  <c r="AD47" i="26"/>
  <c r="Z34" i="26"/>
  <c r="Z47" i="26"/>
  <c r="AG47" i="26"/>
  <c r="AG34" i="26"/>
  <c r="AF34" i="26"/>
  <c r="AF47" i="26"/>
  <c r="AK47" i="24"/>
  <c r="AK46" i="24" s="1"/>
  <c r="AK45" i="24" s="1"/>
  <c r="AK44" i="24" s="1"/>
  <c r="AK43" i="24" s="1"/>
  <c r="AK42" i="24" s="1"/>
  <c r="AK41" i="24" s="1"/>
  <c r="AK40" i="24" s="1"/>
  <c r="AK39" i="24" s="1"/>
  <c r="AK38" i="24" s="1"/>
  <c r="AK37" i="24" s="1"/>
  <c r="W47" i="24"/>
  <c r="W46" i="24" s="1"/>
  <c r="W45" i="24" s="1"/>
  <c r="W44" i="24" s="1"/>
  <c r="W43" i="24" s="1"/>
  <c r="W42" i="24" s="1"/>
  <c r="W41" i="24" s="1"/>
  <c r="W40" i="24" s="1"/>
  <c r="W39" i="24" s="1"/>
  <c r="W38" i="24" s="1"/>
  <c r="W37" i="24" s="1"/>
  <c r="AK34" i="24"/>
  <c r="AK33" i="24" s="1"/>
  <c r="AK32" i="24" s="1"/>
  <c r="AK31" i="24" s="1"/>
  <c r="AK30" i="24" s="1"/>
  <c r="AK29" i="24" s="1"/>
  <c r="AK28" i="24" s="1"/>
  <c r="AK27" i="24" s="1"/>
  <c r="AK26" i="24" s="1"/>
  <c r="AK25" i="24" s="1"/>
  <c r="AK24" i="24" s="1"/>
  <c r="W34" i="24"/>
  <c r="W33" i="24" s="1"/>
  <c r="W32" i="24" s="1"/>
  <c r="W31" i="24" s="1"/>
  <c r="W30" i="24" s="1"/>
  <c r="W29" i="24" s="1"/>
  <c r="W28" i="24" s="1"/>
  <c r="W27" i="24" s="1"/>
  <c r="W26" i="24" s="1"/>
  <c r="W25" i="24" s="1"/>
  <c r="W24" i="24" s="1"/>
  <c r="AK21" i="24"/>
  <c r="AK20" i="24" s="1"/>
  <c r="AK19" i="24" s="1"/>
  <c r="AK18" i="24" s="1"/>
  <c r="AK17" i="24" s="1"/>
  <c r="AK16" i="24" s="1"/>
  <c r="AK15" i="24" s="1"/>
  <c r="AK14" i="24" s="1"/>
  <c r="AK13" i="24" s="1"/>
  <c r="AK12" i="24" s="1"/>
  <c r="AK11" i="24" s="1"/>
  <c r="W21" i="24"/>
  <c r="AE25" i="34" l="1"/>
  <c r="AE38" i="34"/>
  <c r="AF38" i="34"/>
  <c r="AF25" i="34"/>
  <c r="AA38" i="34"/>
  <c r="AA25" i="34"/>
  <c r="X38" i="34"/>
  <c r="X25" i="34"/>
  <c r="AD38" i="34"/>
  <c r="AD25" i="34"/>
  <c r="AG38" i="34"/>
  <c r="AG25" i="34"/>
  <c r="Z38" i="34"/>
  <c r="Z25" i="34"/>
  <c r="Y38" i="34"/>
  <c r="Y25" i="34"/>
  <c r="AC38" i="34"/>
  <c r="AC25" i="34"/>
  <c r="AB38" i="34"/>
  <c r="AB25" i="34"/>
  <c r="AF11" i="34"/>
  <c r="Z11" i="34"/>
  <c r="AD11" i="34"/>
  <c r="X11" i="34"/>
  <c r="AE11" i="34"/>
  <c r="AC11" i="34"/>
  <c r="AB11" i="34"/>
  <c r="AG11" i="34"/>
  <c r="AA11" i="34"/>
  <c r="Y11" i="34"/>
  <c r="AI11" i="34"/>
  <c r="AH11" i="34"/>
  <c r="AH38" i="34"/>
  <c r="AH25" i="34"/>
  <c r="AI38" i="34"/>
  <c r="AI25" i="34"/>
  <c r="AD42" i="32"/>
  <c r="AD29" i="32"/>
  <c r="AG42" i="32"/>
  <c r="AG29" i="32"/>
  <c r="Y42" i="32"/>
  <c r="Y29" i="32"/>
  <c r="AE42" i="32"/>
  <c r="AE29" i="32"/>
  <c r="AC42" i="32"/>
  <c r="AC29" i="32"/>
  <c r="AI15" i="32"/>
  <c r="AC15" i="32"/>
  <c r="AH15" i="32"/>
  <c r="AB15" i="32"/>
  <c r="AG15" i="32"/>
  <c r="AA15" i="32"/>
  <c r="AF15" i="32"/>
  <c r="Z15" i="32"/>
  <c r="AD15" i="32"/>
  <c r="AE15" i="32"/>
  <c r="Y15" i="32"/>
  <c r="W14" i="32"/>
  <c r="X15" i="32"/>
  <c r="AB42" i="32"/>
  <c r="AB29" i="32"/>
  <c r="AI42" i="32"/>
  <c r="AI29" i="32"/>
  <c r="Z42" i="32"/>
  <c r="Z29" i="32"/>
  <c r="AH42" i="32"/>
  <c r="AH29" i="32"/>
  <c r="AA42" i="32"/>
  <c r="AA29" i="32"/>
  <c r="X42" i="32"/>
  <c r="X29" i="32"/>
  <c r="AF42" i="32"/>
  <c r="AF29" i="32"/>
  <c r="AB29" i="31"/>
  <c r="AB42" i="31"/>
  <c r="X42" i="31"/>
  <c r="X29" i="31"/>
  <c r="AH42" i="31"/>
  <c r="AH29" i="31"/>
  <c r="AE42" i="31"/>
  <c r="AE29" i="31"/>
  <c r="AD42" i="31"/>
  <c r="AD29" i="31"/>
  <c r="AA29" i="31"/>
  <c r="AA42" i="31"/>
  <c r="AG15" i="31"/>
  <c r="AA15" i="31"/>
  <c r="AF15" i="31"/>
  <c r="Z15" i="31"/>
  <c r="W14" i="31"/>
  <c r="AE15" i="31"/>
  <c r="Y15" i="31"/>
  <c r="AC15" i="31"/>
  <c r="AD15" i="31"/>
  <c r="X15" i="31"/>
  <c r="AI15" i="31"/>
  <c r="AH15" i="31"/>
  <c r="AB15" i="31"/>
  <c r="AF42" i="31"/>
  <c r="AF29" i="31"/>
  <c r="Y42" i="31"/>
  <c r="Y29" i="31"/>
  <c r="AI42" i="31"/>
  <c r="AI29" i="31"/>
  <c r="Z42" i="31"/>
  <c r="Z29" i="31"/>
  <c r="AC42" i="31"/>
  <c r="AC29" i="31"/>
  <c r="AG29" i="31"/>
  <c r="AG42" i="31"/>
  <c r="Y44" i="30"/>
  <c r="Y31" i="30"/>
  <c r="AI44" i="30"/>
  <c r="AI31" i="30"/>
  <c r="AF44" i="30"/>
  <c r="AF31" i="30"/>
  <c r="Z44" i="30"/>
  <c r="Z31" i="30"/>
  <c r="AE31" i="30"/>
  <c r="AE44" i="30"/>
  <c r="AA31" i="30"/>
  <c r="AA44" i="30"/>
  <c r="AC44" i="30"/>
  <c r="AC31" i="30"/>
  <c r="AG44" i="30"/>
  <c r="AG31" i="30"/>
  <c r="AB31" i="30"/>
  <c r="AB44" i="30"/>
  <c r="X44" i="30"/>
  <c r="X31" i="30"/>
  <c r="AD44" i="30"/>
  <c r="AD31" i="30"/>
  <c r="AH44" i="30"/>
  <c r="AH31" i="30"/>
  <c r="AD17" i="30"/>
  <c r="X17" i="30"/>
  <c r="AI17" i="30"/>
  <c r="AC17" i="30"/>
  <c r="AE17" i="30"/>
  <c r="AA17" i="30"/>
  <c r="Z17" i="30"/>
  <c r="AB17" i="30"/>
  <c r="W16" i="30"/>
  <c r="AH17" i="30"/>
  <c r="AF17" i="30"/>
  <c r="AG17" i="30"/>
  <c r="Y17" i="30"/>
  <c r="AE33" i="27"/>
  <c r="AE46" i="27"/>
  <c r="X33" i="27"/>
  <c r="X46" i="27"/>
  <c r="AB46" i="27"/>
  <c r="AB33" i="27"/>
  <c r="AG46" i="27"/>
  <c r="AG33" i="27"/>
  <c r="AF19" i="27"/>
  <c r="Z19" i="27"/>
  <c r="W18" i="27"/>
  <c r="AE19" i="27"/>
  <c r="Y19" i="27"/>
  <c r="AG19" i="27"/>
  <c r="AC19" i="27"/>
  <c r="AD19" i="27"/>
  <c r="AI19" i="27"/>
  <c r="AA19" i="27"/>
  <c r="AH19" i="27"/>
  <c r="X19" i="27"/>
  <c r="AB19" i="27"/>
  <c r="AF46" i="27"/>
  <c r="AF33" i="27"/>
  <c r="AH33" i="27"/>
  <c r="AH46" i="27"/>
  <c r="AD33" i="27"/>
  <c r="AD46" i="27"/>
  <c r="AA46" i="27"/>
  <c r="AA33" i="27"/>
  <c r="AC46" i="27"/>
  <c r="AC33" i="27"/>
  <c r="Y33" i="27"/>
  <c r="Y46" i="27"/>
  <c r="Z46" i="27"/>
  <c r="Z33" i="27"/>
  <c r="AI33" i="27"/>
  <c r="AI46" i="27"/>
  <c r="AG33" i="26"/>
  <c r="AG46" i="26"/>
  <c r="AB33" i="26"/>
  <c r="AB46" i="26"/>
  <c r="AD19" i="26"/>
  <c r="X19" i="26"/>
  <c r="AI19" i="26"/>
  <c r="AC19" i="26"/>
  <c r="AG19" i="26"/>
  <c r="AA19" i="26"/>
  <c r="Z19" i="26"/>
  <c r="Y19" i="26"/>
  <c r="AH19" i="26"/>
  <c r="AE19" i="26"/>
  <c r="AB19" i="26"/>
  <c r="AF19" i="26"/>
  <c r="W18" i="26"/>
  <c r="AC33" i="26"/>
  <c r="AC46" i="26"/>
  <c r="AD33" i="26"/>
  <c r="AD46" i="26"/>
  <c r="AE46" i="26"/>
  <c r="AE33" i="26"/>
  <c r="Z33" i="26"/>
  <c r="Z46" i="26"/>
  <c r="Y46" i="26"/>
  <c r="Y33" i="26"/>
  <c r="AH46" i="26"/>
  <c r="AH33" i="26"/>
  <c r="AF46" i="26"/>
  <c r="AF33" i="26"/>
  <c r="X33" i="26"/>
  <c r="X46" i="26"/>
  <c r="AI33" i="26"/>
  <c r="AI46" i="26"/>
  <c r="AA33" i="26"/>
  <c r="AA46" i="26"/>
  <c r="AD21" i="24"/>
  <c r="X21" i="24"/>
  <c r="AG21" i="24"/>
  <c r="AA21" i="24"/>
  <c r="AF21" i="24"/>
  <c r="AE21" i="24"/>
  <c r="AC21" i="24"/>
  <c r="W20" i="24"/>
  <c r="AI21" i="24"/>
  <c r="Z21" i="24"/>
  <c r="AH21" i="24"/>
  <c r="Y21" i="24"/>
  <c r="AB21" i="24"/>
  <c r="AS12" i="34" l="1"/>
  <c r="AS38" i="34" s="1"/>
  <c r="AF37" i="34"/>
  <c r="AF24" i="34"/>
  <c r="AT11" i="34"/>
  <c r="AB37" i="34"/>
  <c r="AB24" i="34"/>
  <c r="AP11" i="34"/>
  <c r="AH24" i="34"/>
  <c r="AH37" i="34"/>
  <c r="AV11" i="34"/>
  <c r="AC37" i="34"/>
  <c r="AQ11" i="34"/>
  <c r="AC24" i="34"/>
  <c r="AU12" i="34"/>
  <c r="Z24" i="34"/>
  <c r="AN11" i="34"/>
  <c r="Z37" i="34"/>
  <c r="AT12" i="34"/>
  <c r="AE37" i="34"/>
  <c r="AS11" i="34"/>
  <c r="AE24" i="34"/>
  <c r="AL12" i="34"/>
  <c r="AG37" i="34"/>
  <c r="AG24" i="34"/>
  <c r="AU11" i="34"/>
  <c r="AQ12" i="34"/>
  <c r="AO12" i="34"/>
  <c r="AW12" i="34"/>
  <c r="AI37" i="34"/>
  <c r="AW11" i="34"/>
  <c r="AI24" i="34"/>
  <c r="AM11" i="34"/>
  <c r="Y24" i="34"/>
  <c r="Y37" i="34"/>
  <c r="X37" i="34"/>
  <c r="X24" i="34"/>
  <c r="AL11" i="34"/>
  <c r="AT21" i="34"/>
  <c r="AP21" i="34"/>
  <c r="AV21" i="34"/>
  <c r="AN21" i="34"/>
  <c r="AW21" i="34"/>
  <c r="AS21" i="34"/>
  <c r="AQ21" i="34"/>
  <c r="AL21" i="34"/>
  <c r="AO21" i="34"/>
  <c r="AU21" i="34"/>
  <c r="AM21" i="34"/>
  <c r="AR21" i="34"/>
  <c r="AW20" i="34"/>
  <c r="AR20" i="34"/>
  <c r="AM20" i="34"/>
  <c r="AT20" i="34"/>
  <c r="AU20" i="34"/>
  <c r="AV20" i="34"/>
  <c r="AO20" i="34"/>
  <c r="AL20" i="34"/>
  <c r="AN20" i="34"/>
  <c r="AQ20" i="34"/>
  <c r="AP20" i="34"/>
  <c r="AS20" i="34"/>
  <c r="AL19" i="34"/>
  <c r="AN19" i="34"/>
  <c r="AQ19" i="34"/>
  <c r="AW19" i="34"/>
  <c r="AR19" i="34"/>
  <c r="AT19" i="34"/>
  <c r="AP19" i="34"/>
  <c r="AS19" i="34"/>
  <c r="AU19" i="34"/>
  <c r="AO19" i="34"/>
  <c r="AM19" i="34"/>
  <c r="AV19" i="34"/>
  <c r="AP18" i="34"/>
  <c r="AM18" i="34"/>
  <c r="AO18" i="34"/>
  <c r="AV18" i="34"/>
  <c r="AN18" i="34"/>
  <c r="AT18" i="34"/>
  <c r="AS18" i="34"/>
  <c r="AL18" i="34"/>
  <c r="AR18" i="34"/>
  <c r="AW18" i="34"/>
  <c r="AU18" i="34"/>
  <c r="AQ18" i="34"/>
  <c r="AS17" i="34"/>
  <c r="AT17" i="34"/>
  <c r="AN17" i="34"/>
  <c r="AV17" i="34"/>
  <c r="AQ17" i="34"/>
  <c r="AP17" i="34"/>
  <c r="AL17" i="34"/>
  <c r="AW17" i="34"/>
  <c r="AR17" i="34"/>
  <c r="AO17" i="34"/>
  <c r="AU17" i="34"/>
  <c r="AM17" i="34"/>
  <c r="AO16" i="34"/>
  <c r="AT16" i="34"/>
  <c r="AW16" i="34"/>
  <c r="AU16" i="34"/>
  <c r="AN16" i="34"/>
  <c r="AV16" i="34"/>
  <c r="AP16" i="34"/>
  <c r="AQ16" i="34"/>
  <c r="AM16" i="34"/>
  <c r="AL16" i="34"/>
  <c r="AR16" i="34"/>
  <c r="AS16" i="34"/>
  <c r="AW15" i="34"/>
  <c r="AT15" i="34"/>
  <c r="AP15" i="34"/>
  <c r="AQ15" i="34"/>
  <c r="AN15" i="34"/>
  <c r="AS15" i="34"/>
  <c r="AU15" i="34"/>
  <c r="AV15" i="34"/>
  <c r="AL15" i="34"/>
  <c r="AR15" i="34"/>
  <c r="AO15" i="34"/>
  <c r="AM15" i="34"/>
  <c r="AR14" i="34"/>
  <c r="AT14" i="34"/>
  <c r="AS14" i="34"/>
  <c r="AN14" i="34"/>
  <c r="AU14" i="34"/>
  <c r="AL14" i="34"/>
  <c r="AP14" i="34"/>
  <c r="AM14" i="34"/>
  <c r="AV14" i="34"/>
  <c r="AO14" i="34"/>
  <c r="AQ14" i="34"/>
  <c r="AW14" i="34"/>
  <c r="AT13" i="34"/>
  <c r="AO13" i="34"/>
  <c r="AP13" i="34"/>
  <c r="AQ13" i="34"/>
  <c r="AW13" i="34"/>
  <c r="AM13" i="34"/>
  <c r="AR13" i="34"/>
  <c r="AN13" i="34"/>
  <c r="AU13" i="34"/>
  <c r="AS13" i="34"/>
  <c r="AV13" i="34"/>
  <c r="AL13" i="34"/>
  <c r="AP12" i="34"/>
  <c r="AM12" i="34"/>
  <c r="AN12" i="34"/>
  <c r="AR12" i="34"/>
  <c r="AV12" i="34"/>
  <c r="AA37" i="34"/>
  <c r="AO11" i="34"/>
  <c r="AA24" i="34"/>
  <c r="AD37" i="34"/>
  <c r="AD24" i="34"/>
  <c r="AR11" i="34"/>
  <c r="AD41" i="32"/>
  <c r="AD28" i="32"/>
  <c r="Z41" i="32"/>
  <c r="Z28" i="32"/>
  <c r="AC41" i="32"/>
  <c r="AC28" i="32"/>
  <c r="AE41" i="32"/>
  <c r="AE28" i="32"/>
  <c r="AF41" i="32"/>
  <c r="AF28" i="32"/>
  <c r="AI41" i="32"/>
  <c r="AI28" i="32"/>
  <c r="AH41" i="32"/>
  <c r="AH28" i="32"/>
  <c r="X41" i="32"/>
  <c r="X28" i="32"/>
  <c r="AG14" i="32"/>
  <c r="AA14" i="32"/>
  <c r="AF14" i="32"/>
  <c r="Z14" i="32"/>
  <c r="W13" i="32"/>
  <c r="AD14" i="32"/>
  <c r="AE14" i="32"/>
  <c r="Y14" i="32"/>
  <c r="AI14" i="32"/>
  <c r="AC14" i="32"/>
  <c r="X14" i="32"/>
  <c r="AH14" i="32"/>
  <c r="AB14" i="32"/>
  <c r="AA41" i="32"/>
  <c r="AA28" i="32"/>
  <c r="AB41" i="32"/>
  <c r="AB28" i="32"/>
  <c r="Y41" i="32"/>
  <c r="Y28" i="32"/>
  <c r="AG41" i="32"/>
  <c r="AG28" i="32"/>
  <c r="AH41" i="31"/>
  <c r="AH28" i="31"/>
  <c r="AD14" i="31"/>
  <c r="X14" i="31"/>
  <c r="AI14" i="31"/>
  <c r="AC14" i="31"/>
  <c r="AH14" i="31"/>
  <c r="AB14" i="31"/>
  <c r="Z14" i="31"/>
  <c r="AG14" i="31"/>
  <c r="AA14" i="31"/>
  <c r="AF14" i="31"/>
  <c r="W13" i="31"/>
  <c r="Y14" i="31"/>
  <c r="AE14" i="31"/>
  <c r="X28" i="31"/>
  <c r="X41" i="31"/>
  <c r="Z41" i="31"/>
  <c r="Z28" i="31"/>
  <c r="AI41" i="31"/>
  <c r="AI28" i="31"/>
  <c r="AD28" i="31"/>
  <c r="AD41" i="31"/>
  <c r="AF41" i="31"/>
  <c r="AF28" i="31"/>
  <c r="AE28" i="31"/>
  <c r="AE41" i="31"/>
  <c r="AC41" i="31"/>
  <c r="AC28" i="31"/>
  <c r="AA41" i="31"/>
  <c r="AA28" i="31"/>
  <c r="AB41" i="31"/>
  <c r="AB28" i="31"/>
  <c r="Y41" i="31"/>
  <c r="Y28" i="31"/>
  <c r="AG41" i="31"/>
  <c r="AG28" i="31"/>
  <c r="AA43" i="30"/>
  <c r="AA30" i="30"/>
  <c r="AF43" i="30"/>
  <c r="AF30" i="30"/>
  <c r="AE30" i="30"/>
  <c r="AE43" i="30"/>
  <c r="AG43" i="30"/>
  <c r="AG30" i="30"/>
  <c r="AH30" i="30"/>
  <c r="AH43" i="30"/>
  <c r="AC43" i="30"/>
  <c r="AC30" i="30"/>
  <c r="AG16" i="30"/>
  <c r="AA16" i="30"/>
  <c r="AF16" i="30"/>
  <c r="Z16" i="30"/>
  <c r="W15" i="30"/>
  <c r="AH16" i="30"/>
  <c r="X16" i="30"/>
  <c r="AD16" i="30"/>
  <c r="AC16" i="30"/>
  <c r="AE16" i="30"/>
  <c r="Y16" i="30"/>
  <c r="AI16" i="30"/>
  <c r="AB16" i="30"/>
  <c r="AB43" i="30"/>
  <c r="AB30" i="30"/>
  <c r="X30" i="30"/>
  <c r="X43" i="30"/>
  <c r="AI43" i="30"/>
  <c r="AI30" i="30"/>
  <c r="Y30" i="30"/>
  <c r="Y43" i="30"/>
  <c r="Z43" i="30"/>
  <c r="Z30" i="30"/>
  <c r="AD30" i="30"/>
  <c r="AD43" i="30"/>
  <c r="AD45" i="27"/>
  <c r="AD32" i="27"/>
  <c r="AB45" i="27"/>
  <c r="AB32" i="27"/>
  <c r="X45" i="27"/>
  <c r="X32" i="27"/>
  <c r="AG32" i="27"/>
  <c r="AG45" i="27"/>
  <c r="AF45" i="27"/>
  <c r="AF32" i="27"/>
  <c r="AH45" i="27"/>
  <c r="AH32" i="27"/>
  <c r="Y32" i="27"/>
  <c r="Y45" i="27"/>
  <c r="AC45" i="27"/>
  <c r="AC32" i="27"/>
  <c r="AA45" i="27"/>
  <c r="AA32" i="27"/>
  <c r="AE32" i="27"/>
  <c r="AE45" i="27"/>
  <c r="Z45" i="27"/>
  <c r="Z32" i="27"/>
  <c r="AI45" i="27"/>
  <c r="AI32" i="27"/>
  <c r="AI18" i="27"/>
  <c r="AC18" i="27"/>
  <c r="AH18" i="27"/>
  <c r="AB18" i="27"/>
  <c r="Z18" i="27"/>
  <c r="X18" i="27"/>
  <c r="AG18" i="27"/>
  <c r="Y18" i="27"/>
  <c r="AF18" i="27"/>
  <c r="AD18" i="27"/>
  <c r="AA18" i="27"/>
  <c r="W17" i="27"/>
  <c r="AE18" i="27"/>
  <c r="AC45" i="26"/>
  <c r="AC32" i="26"/>
  <c r="AH45" i="26"/>
  <c r="AH32" i="26"/>
  <c r="AI45" i="26"/>
  <c r="AI32" i="26"/>
  <c r="AE32" i="26"/>
  <c r="AE45" i="26"/>
  <c r="Y45" i="26"/>
  <c r="Y32" i="26"/>
  <c r="X45" i="26"/>
  <c r="X32" i="26"/>
  <c r="AG18" i="26"/>
  <c r="AA18" i="26"/>
  <c r="AF18" i="26"/>
  <c r="Z18" i="26"/>
  <c r="W17" i="26"/>
  <c r="AD18" i="26"/>
  <c r="X18" i="26"/>
  <c r="AC18" i="26"/>
  <c r="AB18" i="26"/>
  <c r="Y18" i="26"/>
  <c r="AH18" i="26"/>
  <c r="AE18" i="26"/>
  <c r="AI18" i="26"/>
  <c r="Z45" i="26"/>
  <c r="Z32" i="26"/>
  <c r="AD32" i="26"/>
  <c r="AD45" i="26"/>
  <c r="AF45" i="26"/>
  <c r="AF32" i="26"/>
  <c r="AA32" i="26"/>
  <c r="AA45" i="26"/>
  <c r="AB45" i="26"/>
  <c r="AB32" i="26"/>
  <c r="AG45" i="26"/>
  <c r="AG32" i="26"/>
  <c r="AH34" i="24"/>
  <c r="AH47" i="24"/>
  <c r="AF34" i="24"/>
  <c r="AF47" i="24"/>
  <c r="AB34" i="24"/>
  <c r="AB47" i="24"/>
  <c r="Z34" i="24"/>
  <c r="Z47" i="24"/>
  <c r="AA34" i="24"/>
  <c r="AA47" i="24"/>
  <c r="Y47" i="24"/>
  <c r="Y34" i="24"/>
  <c r="AI47" i="24"/>
  <c r="AI34" i="24"/>
  <c r="AG34" i="24"/>
  <c r="AG47" i="24"/>
  <c r="AE47" i="24"/>
  <c r="AE34" i="24"/>
  <c r="AG20" i="24"/>
  <c r="AA20" i="24"/>
  <c r="AD20" i="24"/>
  <c r="X20" i="24"/>
  <c r="AI20" i="24"/>
  <c r="Z20" i="24"/>
  <c r="AH20" i="24"/>
  <c r="Y20" i="24"/>
  <c r="AF20" i="24"/>
  <c r="AC20" i="24"/>
  <c r="W19" i="24"/>
  <c r="AB20" i="24"/>
  <c r="AE20" i="24"/>
  <c r="X47" i="24"/>
  <c r="X34" i="24"/>
  <c r="AC47" i="24"/>
  <c r="AC34" i="24"/>
  <c r="AD47" i="24"/>
  <c r="AD34" i="24"/>
  <c r="AS25" i="34" l="1"/>
  <c r="AL26" i="34"/>
  <c r="AL39" i="34"/>
  <c r="AS28" i="34"/>
  <c r="AS41" i="34"/>
  <c r="AQ44" i="34"/>
  <c r="AQ31" i="34"/>
  <c r="AS46" i="34"/>
  <c r="AS33" i="34"/>
  <c r="AL37" i="34"/>
  <c r="AL24" i="34"/>
  <c r="AT38" i="34"/>
  <c r="AT25" i="34"/>
  <c r="AT37" i="34"/>
  <c r="AT24" i="34"/>
  <c r="AV38" i="34"/>
  <c r="AV25" i="34"/>
  <c r="AV39" i="34"/>
  <c r="AV26" i="34"/>
  <c r="AW39" i="34"/>
  <c r="AW26" i="34"/>
  <c r="AQ40" i="34"/>
  <c r="AQ27" i="34"/>
  <c r="AU40" i="34"/>
  <c r="AU27" i="34"/>
  <c r="AO41" i="34"/>
  <c r="AO28" i="34"/>
  <c r="AN41" i="34"/>
  <c r="AN28" i="34"/>
  <c r="AR42" i="34"/>
  <c r="AR29" i="34"/>
  <c r="AN29" i="34"/>
  <c r="AN42" i="34"/>
  <c r="AU43" i="34"/>
  <c r="AU30" i="34"/>
  <c r="AQ43" i="34"/>
  <c r="AQ30" i="34"/>
  <c r="AU44" i="34"/>
  <c r="AU31" i="34"/>
  <c r="AN44" i="34"/>
  <c r="AN31" i="34"/>
  <c r="AM32" i="34"/>
  <c r="AM45" i="34"/>
  <c r="AR45" i="34"/>
  <c r="AR32" i="34"/>
  <c r="AP46" i="34"/>
  <c r="AP33" i="34"/>
  <c r="AU46" i="34"/>
  <c r="AU33" i="34"/>
  <c r="AM47" i="34"/>
  <c r="AM34" i="34"/>
  <c r="AW47" i="34"/>
  <c r="AW34" i="34"/>
  <c r="F9" i="34"/>
  <c r="AM37" i="34"/>
  <c r="AM24" i="34"/>
  <c r="AO38" i="34"/>
  <c r="AO25" i="34"/>
  <c r="AL38" i="34"/>
  <c r="AL25" i="34"/>
  <c r="AM41" i="34"/>
  <c r="AM28" i="34"/>
  <c r="AM30" i="34"/>
  <c r="AM43" i="34"/>
  <c r="AT45" i="34"/>
  <c r="AT32" i="34"/>
  <c r="AW38" i="34"/>
  <c r="AW25" i="34"/>
  <c r="AS39" i="34"/>
  <c r="AS26" i="34"/>
  <c r="AR41" i="34"/>
  <c r="AR28" i="34"/>
  <c r="AW44" i="34"/>
  <c r="AW31" i="34"/>
  <c r="AW32" i="34"/>
  <c r="AW45" i="34"/>
  <c r="AU34" i="34"/>
  <c r="AU47" i="34"/>
  <c r="F22" i="34"/>
  <c r="AQ38" i="34"/>
  <c r="AQ25" i="34"/>
  <c r="AN37" i="34"/>
  <c r="AN24" i="34"/>
  <c r="AQ37" i="34"/>
  <c r="AQ24" i="34"/>
  <c r="AP37" i="34"/>
  <c r="AP24" i="34"/>
  <c r="AM26" i="34"/>
  <c r="AM39" i="34"/>
  <c r="AS42" i="34"/>
  <c r="AS29" i="34"/>
  <c r="AT31" i="34"/>
  <c r="AT44" i="34"/>
  <c r="AR47" i="34"/>
  <c r="AR34" i="34"/>
  <c r="AO40" i="34"/>
  <c r="AO27" i="34"/>
  <c r="AL29" i="34"/>
  <c r="AL42" i="34"/>
  <c r="AO43" i="34"/>
  <c r="AO30" i="34"/>
  <c r="AO45" i="34"/>
  <c r="AO32" i="34"/>
  <c r="AN34" i="34"/>
  <c r="AN47" i="34"/>
  <c r="AN38" i="34"/>
  <c r="AN25" i="34"/>
  <c r="AU39" i="34"/>
  <c r="AU26" i="34"/>
  <c r="AP39" i="34"/>
  <c r="AP26" i="34"/>
  <c r="AV27" i="34"/>
  <c r="AV40" i="34"/>
  <c r="AS40" i="34"/>
  <c r="AS27" i="34"/>
  <c r="AL41" i="34"/>
  <c r="AL28" i="34"/>
  <c r="AP41" i="34"/>
  <c r="AP28" i="34"/>
  <c r="AM42" i="34"/>
  <c r="AM29" i="34"/>
  <c r="AW42" i="34"/>
  <c r="AW29" i="34"/>
  <c r="AR30" i="34"/>
  <c r="AR43" i="34"/>
  <c r="AN43" i="34"/>
  <c r="AN30" i="34"/>
  <c r="AR44" i="34"/>
  <c r="AR31" i="34"/>
  <c r="AO31" i="34"/>
  <c r="AO44" i="34"/>
  <c r="AU45" i="34"/>
  <c r="AU32" i="34"/>
  <c r="AQ32" i="34"/>
  <c r="AQ45" i="34"/>
  <c r="AN33" i="34"/>
  <c r="AN46" i="34"/>
  <c r="AM46" i="34"/>
  <c r="AM33" i="34"/>
  <c r="AO47" i="34"/>
  <c r="AO34" i="34"/>
  <c r="AV47" i="34"/>
  <c r="AV34" i="34"/>
  <c r="F35" i="34"/>
  <c r="AU37" i="34"/>
  <c r="AU24" i="34"/>
  <c r="AR37" i="34"/>
  <c r="AR24" i="34"/>
  <c r="AL40" i="34"/>
  <c r="AL27" i="34"/>
  <c r="AP43" i="34"/>
  <c r="AP30" i="34"/>
  <c r="AV33" i="34"/>
  <c r="AV46" i="34"/>
  <c r="AQ39" i="34"/>
  <c r="AQ26" i="34"/>
  <c r="AQ41" i="34"/>
  <c r="AQ28" i="34"/>
  <c r="AV43" i="34"/>
  <c r="AV30" i="34"/>
  <c r="AQ33" i="34"/>
  <c r="AQ46" i="34"/>
  <c r="AO37" i="34"/>
  <c r="AO24" i="34"/>
  <c r="AM38" i="34"/>
  <c r="AM25" i="34"/>
  <c r="AN39" i="34"/>
  <c r="AN26" i="34"/>
  <c r="AO39" i="34"/>
  <c r="AO26" i="34"/>
  <c r="AM40" i="34"/>
  <c r="AM27" i="34"/>
  <c r="AT40" i="34"/>
  <c r="AT27" i="34"/>
  <c r="AV41" i="34"/>
  <c r="AV28" i="34"/>
  <c r="AT41" i="34"/>
  <c r="AT28" i="34"/>
  <c r="AQ42" i="34"/>
  <c r="AQ29" i="34"/>
  <c r="AT42" i="34"/>
  <c r="AT29" i="34"/>
  <c r="AW30" i="34"/>
  <c r="AW43" i="34"/>
  <c r="AT43" i="34"/>
  <c r="AT30" i="34"/>
  <c r="AL44" i="34"/>
  <c r="AL31" i="34"/>
  <c r="AM44" i="34"/>
  <c r="AM31" i="34"/>
  <c r="AS45" i="34"/>
  <c r="AS32" i="34"/>
  <c r="AN45" i="34"/>
  <c r="AN32" i="34"/>
  <c r="AL46" i="34"/>
  <c r="AL33" i="34"/>
  <c r="AR46" i="34"/>
  <c r="AR33" i="34"/>
  <c r="AL47" i="34"/>
  <c r="AL34" i="34"/>
  <c r="AP47" i="34"/>
  <c r="AP34" i="34"/>
  <c r="AW37" i="34"/>
  <c r="AW24" i="34"/>
  <c r="AS24" i="34"/>
  <c r="AS37" i="34"/>
  <c r="AW40" i="34"/>
  <c r="AW27" i="34"/>
  <c r="AV29" i="34"/>
  <c r="AV42" i="34"/>
  <c r="AV45" i="34"/>
  <c r="AV32" i="34"/>
  <c r="AS34" i="34"/>
  <c r="AS47" i="34"/>
  <c r="AR38" i="34"/>
  <c r="AR25" i="34"/>
  <c r="AN40" i="34"/>
  <c r="AN27" i="34"/>
  <c r="AU29" i="34"/>
  <c r="AU42" i="34"/>
  <c r="AV44" i="34"/>
  <c r="AV31" i="34"/>
  <c r="AT33" i="34"/>
  <c r="AT46" i="34"/>
  <c r="AP25" i="34"/>
  <c r="AP38" i="34"/>
  <c r="AR39" i="34"/>
  <c r="AR26" i="34"/>
  <c r="AT39" i="34"/>
  <c r="AT26" i="34"/>
  <c r="AP40" i="34"/>
  <c r="AP27" i="34"/>
  <c r="AR40" i="34"/>
  <c r="AR27" i="34"/>
  <c r="AU41" i="34"/>
  <c r="AU28" i="34"/>
  <c r="AW41" i="34"/>
  <c r="AW28" i="34"/>
  <c r="AP29" i="34"/>
  <c r="AP42" i="34"/>
  <c r="AO42" i="34"/>
  <c r="AO29" i="34"/>
  <c r="AL43" i="34"/>
  <c r="AL30" i="34"/>
  <c r="AS30" i="34"/>
  <c r="AS43" i="34"/>
  <c r="AS44" i="34"/>
  <c r="AS31" i="34"/>
  <c r="AP31" i="34"/>
  <c r="AP44" i="34"/>
  <c r="AP45" i="34"/>
  <c r="AP32" i="34"/>
  <c r="AL32" i="34"/>
  <c r="AL45" i="34"/>
  <c r="AO46" i="34"/>
  <c r="AO33" i="34"/>
  <c r="AW33" i="34"/>
  <c r="AW46" i="34"/>
  <c r="AQ34" i="34"/>
  <c r="AQ47" i="34"/>
  <c r="AT34" i="34"/>
  <c r="AT47" i="34"/>
  <c r="AU38" i="34"/>
  <c r="AU25" i="34"/>
  <c r="AV37" i="34"/>
  <c r="AV24" i="34"/>
  <c r="Y40" i="32"/>
  <c r="Y27" i="32"/>
  <c r="AE40" i="32"/>
  <c r="AE27" i="32"/>
  <c r="AC40" i="32"/>
  <c r="AC27" i="32"/>
  <c r="Z40" i="32"/>
  <c r="Z27" i="32"/>
  <c r="AI40" i="32"/>
  <c r="AI27" i="32"/>
  <c r="AF40" i="32"/>
  <c r="AF27" i="32"/>
  <c r="AG40" i="32"/>
  <c r="AG27" i="32"/>
  <c r="AA40" i="32"/>
  <c r="AA27" i="32"/>
  <c r="AH40" i="32"/>
  <c r="AH27" i="32"/>
  <c r="AD40" i="32"/>
  <c r="AD27" i="32"/>
  <c r="AB40" i="32"/>
  <c r="AB27" i="32"/>
  <c r="X40" i="32"/>
  <c r="X27" i="32"/>
  <c r="AI13" i="32"/>
  <c r="AC13" i="32"/>
  <c r="AA13" i="32"/>
  <c r="AH13" i="32"/>
  <c r="AB13" i="32"/>
  <c r="AF13" i="32"/>
  <c r="Z13" i="32"/>
  <c r="W12" i="32"/>
  <c r="AD13" i="32"/>
  <c r="X13" i="32"/>
  <c r="AG13" i="32"/>
  <c r="AE13" i="32"/>
  <c r="Y13" i="32"/>
  <c r="AE40" i="31"/>
  <c r="AE27" i="31"/>
  <c r="Z40" i="31"/>
  <c r="Z27" i="31"/>
  <c r="AD40" i="31"/>
  <c r="AD27" i="31"/>
  <c r="AG27" i="31"/>
  <c r="AG40" i="31"/>
  <c r="Y40" i="31"/>
  <c r="Y27" i="31"/>
  <c r="AB40" i="31"/>
  <c r="AB27" i="31"/>
  <c r="AG13" i="31"/>
  <c r="AA13" i="31"/>
  <c r="AF13" i="31"/>
  <c r="Z13" i="31"/>
  <c r="W12" i="31"/>
  <c r="AE13" i="31"/>
  <c r="Y13" i="31"/>
  <c r="AC13" i="31"/>
  <c r="AD13" i="31"/>
  <c r="X13" i="31"/>
  <c r="AI13" i="31"/>
  <c r="AB13" i="31"/>
  <c r="AH13" i="31"/>
  <c r="AH27" i="31"/>
  <c r="AH40" i="31"/>
  <c r="X40" i="31"/>
  <c r="X27" i="31"/>
  <c r="AF40" i="31"/>
  <c r="AF27" i="31"/>
  <c r="AC40" i="31"/>
  <c r="AC27" i="31"/>
  <c r="AA27" i="31"/>
  <c r="AA40" i="31"/>
  <c r="AI40" i="31"/>
  <c r="AI27" i="31"/>
  <c r="AH42" i="30"/>
  <c r="AH29" i="30"/>
  <c r="Y29" i="30"/>
  <c r="Y42" i="30"/>
  <c r="AD15" i="30"/>
  <c r="X15" i="30"/>
  <c r="AI15" i="30"/>
  <c r="AC15" i="30"/>
  <c r="AA15" i="30"/>
  <c r="AG15" i="30"/>
  <c r="AF15" i="30"/>
  <c r="AH15" i="30"/>
  <c r="Z15" i="30"/>
  <c r="Y15" i="30"/>
  <c r="AB15" i="30"/>
  <c r="AE15" i="30"/>
  <c r="W14" i="30"/>
  <c r="AI29" i="30"/>
  <c r="AI42" i="30"/>
  <c r="AE42" i="30"/>
  <c r="AE29" i="30"/>
  <c r="Z42" i="30"/>
  <c r="Z29" i="30"/>
  <c r="AC42" i="30"/>
  <c r="AC29" i="30"/>
  <c r="AF42" i="30"/>
  <c r="AF29" i="30"/>
  <c r="AD42" i="30"/>
  <c r="AD29" i="30"/>
  <c r="AA42" i="30"/>
  <c r="AA29" i="30"/>
  <c r="AB42" i="30"/>
  <c r="AB29" i="30"/>
  <c r="X42" i="30"/>
  <c r="X29" i="30"/>
  <c r="AG42" i="30"/>
  <c r="AG29" i="30"/>
  <c r="Z44" i="27"/>
  <c r="Z31" i="27"/>
  <c r="AD44" i="27"/>
  <c r="AD31" i="27"/>
  <c r="AB31" i="27"/>
  <c r="AB44" i="27"/>
  <c r="AA44" i="27"/>
  <c r="AA31" i="27"/>
  <c r="AF44" i="27"/>
  <c r="AF31" i="27"/>
  <c r="AH31" i="27"/>
  <c r="AH44" i="27"/>
  <c r="X31" i="27"/>
  <c r="X44" i="27"/>
  <c r="Y44" i="27"/>
  <c r="Y31" i="27"/>
  <c r="AC44" i="27"/>
  <c r="AC31" i="27"/>
  <c r="AE17" i="27"/>
  <c r="Y17" i="27"/>
  <c r="AI17" i="27"/>
  <c r="AD17" i="27"/>
  <c r="X17" i="27"/>
  <c r="AG17" i="27"/>
  <c r="AA17" i="27"/>
  <c r="AF17" i="27"/>
  <c r="Z17" i="27"/>
  <c r="W16" i="27"/>
  <c r="AB17" i="27"/>
  <c r="AH17" i="27"/>
  <c r="AC17" i="27"/>
  <c r="AE44" i="27"/>
  <c r="AE31" i="27"/>
  <c r="AG44" i="27"/>
  <c r="AG31" i="27"/>
  <c r="AI44" i="27"/>
  <c r="AI31" i="27"/>
  <c r="AD31" i="26"/>
  <c r="AD44" i="26"/>
  <c r="AH31" i="26"/>
  <c r="AH44" i="26"/>
  <c r="AD17" i="26"/>
  <c r="X17" i="26"/>
  <c r="AI17" i="26"/>
  <c r="AC17" i="26"/>
  <c r="AG17" i="26"/>
  <c r="AA17" i="26"/>
  <c r="AF17" i="26"/>
  <c r="W16" i="26"/>
  <c r="AE17" i="26"/>
  <c r="AB17" i="26"/>
  <c r="Y17" i="26"/>
  <c r="AH17" i="26"/>
  <c r="Z17" i="26"/>
  <c r="Y44" i="26"/>
  <c r="Y31" i="26"/>
  <c r="Z44" i="26"/>
  <c r="Z31" i="26"/>
  <c r="AE44" i="26"/>
  <c r="AE31" i="26"/>
  <c r="AB44" i="26"/>
  <c r="AB31" i="26"/>
  <c r="AF31" i="26"/>
  <c r="AF44" i="26"/>
  <c r="AC44" i="26"/>
  <c r="AC31" i="26"/>
  <c r="AA44" i="26"/>
  <c r="AA31" i="26"/>
  <c r="AI44" i="26"/>
  <c r="AI31" i="26"/>
  <c r="X31" i="26"/>
  <c r="X44" i="26"/>
  <c r="AG31" i="26"/>
  <c r="AG44" i="26"/>
  <c r="AB46" i="24"/>
  <c r="AB33" i="24"/>
  <c r="Z46" i="24"/>
  <c r="Z33" i="24"/>
  <c r="AC33" i="24"/>
  <c r="AC46" i="24"/>
  <c r="AG19" i="24"/>
  <c r="AA19" i="24"/>
  <c r="AF19" i="24"/>
  <c r="Z19" i="24"/>
  <c r="W18" i="24"/>
  <c r="AE19" i="24"/>
  <c r="Y19" i="24"/>
  <c r="AI19" i="24"/>
  <c r="AC19" i="24"/>
  <c r="AH19" i="24"/>
  <c r="AB19" i="24"/>
  <c r="AD19" i="24"/>
  <c r="X19" i="24"/>
  <c r="AI33" i="24"/>
  <c r="AI46" i="24"/>
  <c r="AF46" i="24"/>
  <c r="AF33" i="24"/>
  <c r="AD33" i="24"/>
  <c r="AD46" i="24"/>
  <c r="Y33" i="24"/>
  <c r="Y46" i="24"/>
  <c r="AA46" i="24"/>
  <c r="AA33" i="24"/>
  <c r="X33" i="24"/>
  <c r="X46" i="24"/>
  <c r="AE33" i="24"/>
  <c r="AE46" i="24"/>
  <c r="AH46" i="24"/>
  <c r="AH33" i="24"/>
  <c r="AG46" i="24"/>
  <c r="AG33" i="24"/>
  <c r="AG39" i="32" l="1"/>
  <c r="AG26" i="32"/>
  <c r="AB39" i="32"/>
  <c r="AB26" i="32"/>
  <c r="AH39" i="32"/>
  <c r="AH26" i="32"/>
  <c r="X39" i="32"/>
  <c r="X26" i="32"/>
  <c r="AD39" i="32"/>
  <c r="AD26" i="32"/>
  <c r="AA39" i="32"/>
  <c r="AA26" i="32"/>
  <c r="AE39" i="32"/>
  <c r="AE26" i="32"/>
  <c r="AC39" i="32"/>
  <c r="AC26" i="32"/>
  <c r="AF39" i="32"/>
  <c r="AF26" i="32"/>
  <c r="AF12" i="32"/>
  <c r="Z12" i="32"/>
  <c r="W11" i="32"/>
  <c r="AD12" i="32"/>
  <c r="AE12" i="32"/>
  <c r="Y12" i="32"/>
  <c r="AI12" i="32"/>
  <c r="AC12" i="32"/>
  <c r="AG12" i="32"/>
  <c r="AA12" i="32"/>
  <c r="X12" i="32"/>
  <c r="AH12" i="32"/>
  <c r="AB12" i="32"/>
  <c r="Y39" i="32"/>
  <c r="Y26" i="32"/>
  <c r="Z39" i="32"/>
  <c r="Z26" i="32"/>
  <c r="AI39" i="32"/>
  <c r="AI26" i="32"/>
  <c r="AB39" i="31"/>
  <c r="AB26" i="31"/>
  <c r="AE39" i="31"/>
  <c r="AE26" i="31"/>
  <c r="AI39" i="31"/>
  <c r="AI26" i="31"/>
  <c r="AD12" i="31"/>
  <c r="X12" i="31"/>
  <c r="AI12" i="31"/>
  <c r="AC12" i="31"/>
  <c r="AH12" i="31"/>
  <c r="AB12" i="31"/>
  <c r="Z12" i="31"/>
  <c r="AG12" i="31"/>
  <c r="AA12" i="31"/>
  <c r="AF12" i="31"/>
  <c r="W11" i="31"/>
  <c r="AE12" i="31"/>
  <c r="Y12" i="31"/>
  <c r="X26" i="31"/>
  <c r="X39" i="31"/>
  <c r="Z39" i="31"/>
  <c r="Z26" i="31"/>
  <c r="AD26" i="31"/>
  <c r="AD39" i="31"/>
  <c r="AF39" i="31"/>
  <c r="AF26" i="31"/>
  <c r="AC39" i="31"/>
  <c r="AC26" i="31"/>
  <c r="AA39" i="31"/>
  <c r="AA26" i="31"/>
  <c r="AH39" i="31"/>
  <c r="AH26" i="31"/>
  <c r="Y26" i="31"/>
  <c r="Y39" i="31"/>
  <c r="AG39" i="31"/>
  <c r="AG26" i="31"/>
  <c r="AC41" i="30"/>
  <c r="AC28" i="30"/>
  <c r="Z41" i="30"/>
  <c r="Z28" i="30"/>
  <c r="AI41" i="30"/>
  <c r="AI28" i="30"/>
  <c r="Y41" i="30"/>
  <c r="Y28" i="30"/>
  <c r="AH41" i="30"/>
  <c r="AH28" i="30"/>
  <c r="X41" i="30"/>
  <c r="X28" i="30"/>
  <c r="AG14" i="30"/>
  <c r="AA14" i="30"/>
  <c r="AF14" i="30"/>
  <c r="Z14" i="30"/>
  <c r="W13" i="30"/>
  <c r="AD14" i="30"/>
  <c r="AB14" i="30"/>
  <c r="Y14" i="30"/>
  <c r="AC14" i="30"/>
  <c r="AI14" i="30"/>
  <c r="AE14" i="30"/>
  <c r="X14" i="30"/>
  <c r="AH14" i="30"/>
  <c r="AF41" i="30"/>
  <c r="AF28" i="30"/>
  <c r="AD41" i="30"/>
  <c r="AD28" i="30"/>
  <c r="AG41" i="30"/>
  <c r="AG28" i="30"/>
  <c r="AE41" i="30"/>
  <c r="AE28" i="30"/>
  <c r="AB28" i="30"/>
  <c r="AB41" i="30"/>
  <c r="AA41" i="30"/>
  <c r="AA28" i="30"/>
  <c r="X43" i="27"/>
  <c r="X30" i="27"/>
  <c r="AH43" i="27"/>
  <c r="AH30" i="27"/>
  <c r="AB43" i="27"/>
  <c r="AB30" i="27"/>
  <c r="AH16" i="27"/>
  <c r="AB16" i="27"/>
  <c r="AG16" i="27"/>
  <c r="AA16" i="27"/>
  <c r="AD16" i="27"/>
  <c r="X16" i="27"/>
  <c r="AI16" i="27"/>
  <c r="AC16" i="27"/>
  <c r="AE16" i="27"/>
  <c r="Z16" i="27"/>
  <c r="Y16" i="27"/>
  <c r="W15" i="27"/>
  <c r="AF16" i="27"/>
  <c r="AD43" i="27"/>
  <c r="AD30" i="27"/>
  <c r="AG43" i="27"/>
  <c r="AG30" i="27"/>
  <c r="Z43" i="27"/>
  <c r="Z30" i="27"/>
  <c r="AI43" i="27"/>
  <c r="AI30" i="27"/>
  <c r="AF43" i="27"/>
  <c r="AF30" i="27"/>
  <c r="Y30" i="27"/>
  <c r="Y43" i="27"/>
  <c r="AC43" i="27"/>
  <c r="AC30" i="27"/>
  <c r="AA43" i="27"/>
  <c r="AA30" i="27"/>
  <c r="AE30" i="27"/>
  <c r="AE43" i="27"/>
  <c r="AC30" i="26"/>
  <c r="AC43" i="26"/>
  <c r="AE43" i="26"/>
  <c r="AE30" i="26"/>
  <c r="AI43" i="26"/>
  <c r="AI30" i="26"/>
  <c r="AB43" i="26"/>
  <c r="AB30" i="26"/>
  <c r="AG16" i="26"/>
  <c r="AA16" i="26"/>
  <c r="AF16" i="26"/>
  <c r="Z16" i="26"/>
  <c r="W15" i="26"/>
  <c r="AD16" i="26"/>
  <c r="X16" i="26"/>
  <c r="AI16" i="26"/>
  <c r="AH16" i="26"/>
  <c r="AE16" i="26"/>
  <c r="AB16" i="26"/>
  <c r="Y16" i="26"/>
  <c r="AC16" i="26"/>
  <c r="X30" i="26"/>
  <c r="X43" i="26"/>
  <c r="Z43" i="26"/>
  <c r="Z30" i="26"/>
  <c r="AF43" i="26"/>
  <c r="AF30" i="26"/>
  <c r="AD43" i="26"/>
  <c r="AD30" i="26"/>
  <c r="AH43" i="26"/>
  <c r="AH30" i="26"/>
  <c r="AA30" i="26"/>
  <c r="AA43" i="26"/>
  <c r="Y30" i="26"/>
  <c r="Y43" i="26"/>
  <c r="AG43" i="26"/>
  <c r="AG30" i="26"/>
  <c r="AE45" i="24"/>
  <c r="AE32" i="24"/>
  <c r="AB45" i="24"/>
  <c r="AB32" i="24"/>
  <c r="AD18" i="24"/>
  <c r="X18" i="24"/>
  <c r="AI18" i="24"/>
  <c r="AC18" i="24"/>
  <c r="AH18" i="24"/>
  <c r="AB18" i="24"/>
  <c r="AF18" i="24"/>
  <c r="Z18" i="24"/>
  <c r="W17" i="24"/>
  <c r="AE18" i="24"/>
  <c r="Y18" i="24"/>
  <c r="AA18" i="24"/>
  <c r="AG18" i="24"/>
  <c r="AH45" i="24"/>
  <c r="AH32" i="24"/>
  <c r="Z45" i="24"/>
  <c r="Z32" i="24"/>
  <c r="AC45" i="24"/>
  <c r="AC32" i="24"/>
  <c r="AF45" i="24"/>
  <c r="AF32" i="24"/>
  <c r="AD45" i="24"/>
  <c r="AD32" i="24"/>
  <c r="AI45" i="24"/>
  <c r="AI32" i="24"/>
  <c r="AA32" i="24"/>
  <c r="AA45" i="24"/>
  <c r="X45" i="24"/>
  <c r="X32" i="24"/>
  <c r="Y45" i="24"/>
  <c r="Y32" i="24"/>
  <c r="AG32" i="24"/>
  <c r="AG45" i="24"/>
  <c r="X38" i="32" l="1"/>
  <c r="X25" i="32"/>
  <c r="AE25" i="32"/>
  <c r="AE38" i="32"/>
  <c r="AD25" i="32"/>
  <c r="AD38" i="32"/>
  <c r="Y38" i="32"/>
  <c r="Y25" i="32"/>
  <c r="AA38" i="32"/>
  <c r="AA25" i="32"/>
  <c r="AG38" i="32"/>
  <c r="AG25" i="32"/>
  <c r="AI11" i="32"/>
  <c r="AC11" i="32"/>
  <c r="AH11" i="32"/>
  <c r="AB11" i="32"/>
  <c r="AF11" i="32"/>
  <c r="Z11" i="32"/>
  <c r="X11" i="32"/>
  <c r="AG11" i="32"/>
  <c r="AE11" i="32"/>
  <c r="Y11" i="32"/>
  <c r="AN12" i="32" s="1"/>
  <c r="AD11" i="32"/>
  <c r="AA11" i="32"/>
  <c r="AH38" i="32"/>
  <c r="AH25" i="32"/>
  <c r="AC38" i="32"/>
  <c r="AC25" i="32"/>
  <c r="Z38" i="32"/>
  <c r="Z25" i="32"/>
  <c r="AB38" i="32"/>
  <c r="AB25" i="32"/>
  <c r="AI38" i="32"/>
  <c r="AI25" i="32"/>
  <c r="AF38" i="32"/>
  <c r="AF25" i="32"/>
  <c r="Z38" i="31"/>
  <c r="Z25" i="31"/>
  <c r="AE38" i="31"/>
  <c r="AE25" i="31"/>
  <c r="AB25" i="31"/>
  <c r="AB38" i="31"/>
  <c r="AG11" i="31"/>
  <c r="AA11" i="31"/>
  <c r="AE11" i="31"/>
  <c r="Y11" i="31"/>
  <c r="AC11" i="31"/>
  <c r="AD11" i="31"/>
  <c r="X11" i="31"/>
  <c r="AI11" i="31"/>
  <c r="AF11" i="31"/>
  <c r="AH11" i="31"/>
  <c r="AB11" i="31"/>
  <c r="Z11" i="31"/>
  <c r="AH38" i="31"/>
  <c r="AH25" i="31"/>
  <c r="Y38" i="31"/>
  <c r="Y25" i="31"/>
  <c r="AC38" i="31"/>
  <c r="AC25" i="31"/>
  <c r="AA38" i="31"/>
  <c r="AA25" i="31"/>
  <c r="AI38" i="31"/>
  <c r="AI25" i="31"/>
  <c r="AF38" i="31"/>
  <c r="AF25" i="31"/>
  <c r="AG38" i="31"/>
  <c r="AG25" i="31"/>
  <c r="X38" i="31"/>
  <c r="X25" i="31"/>
  <c r="AD38" i="31"/>
  <c r="AD25" i="31"/>
  <c r="X40" i="30"/>
  <c r="X27" i="30"/>
  <c r="AE40" i="30"/>
  <c r="AE27" i="30"/>
  <c r="AD13" i="30"/>
  <c r="X13" i="30"/>
  <c r="AI13" i="30"/>
  <c r="AC13" i="30"/>
  <c r="AG13" i="30"/>
  <c r="Y13" i="30"/>
  <c r="AE13" i="30"/>
  <c r="AB13" i="30"/>
  <c r="AF13" i="30"/>
  <c r="W12" i="30"/>
  <c r="Z13" i="30"/>
  <c r="AH13" i="30"/>
  <c r="AA13" i="30"/>
  <c r="AD40" i="30"/>
  <c r="AD27" i="30"/>
  <c r="AI40" i="30"/>
  <c r="AI27" i="30"/>
  <c r="Z40" i="30"/>
  <c r="Z27" i="30"/>
  <c r="AC40" i="30"/>
  <c r="AC27" i="30"/>
  <c r="AF40" i="30"/>
  <c r="AF27" i="30"/>
  <c r="Y27" i="30"/>
  <c r="Y40" i="30"/>
  <c r="AA40" i="30"/>
  <c r="AA27" i="30"/>
  <c r="AH27" i="30"/>
  <c r="AH40" i="30"/>
  <c r="AB40" i="30"/>
  <c r="AB27" i="30"/>
  <c r="AG27" i="30"/>
  <c r="AG40" i="30"/>
  <c r="AA42" i="27"/>
  <c r="AA29" i="27"/>
  <c r="AE15" i="27"/>
  <c r="Y15" i="27"/>
  <c r="AD15" i="27"/>
  <c r="X15" i="27"/>
  <c r="AG15" i="27"/>
  <c r="AA15" i="27"/>
  <c r="AF15" i="27"/>
  <c r="Z15" i="27"/>
  <c r="W14" i="27"/>
  <c r="AH15" i="27"/>
  <c r="AI15" i="27"/>
  <c r="AC15" i="27"/>
  <c r="AB15" i="27"/>
  <c r="X29" i="27"/>
  <c r="X42" i="27"/>
  <c r="Y42" i="27"/>
  <c r="Y29" i="27"/>
  <c r="AD42" i="27"/>
  <c r="AD29" i="27"/>
  <c r="Z42" i="27"/>
  <c r="Z29" i="27"/>
  <c r="AG42" i="27"/>
  <c r="AG29" i="27"/>
  <c r="AC42" i="27"/>
  <c r="AC29" i="27"/>
  <c r="AB29" i="27"/>
  <c r="AB42" i="27"/>
  <c r="AE42" i="27"/>
  <c r="AE29" i="27"/>
  <c r="AF42" i="27"/>
  <c r="AF29" i="27"/>
  <c r="AI42" i="27"/>
  <c r="AI29" i="27"/>
  <c r="AH29" i="27"/>
  <c r="AH42" i="27"/>
  <c r="AI42" i="26"/>
  <c r="AI29" i="26"/>
  <c r="AA29" i="26"/>
  <c r="AA42" i="26"/>
  <c r="AC42" i="26"/>
  <c r="AC29" i="26"/>
  <c r="X42" i="26"/>
  <c r="X29" i="26"/>
  <c r="AG42" i="26"/>
  <c r="AG29" i="26"/>
  <c r="Y42" i="26"/>
  <c r="Y29" i="26"/>
  <c r="AD29" i="26"/>
  <c r="AD42" i="26"/>
  <c r="AB29" i="26"/>
  <c r="AB42" i="26"/>
  <c r="AD15" i="26"/>
  <c r="X15" i="26"/>
  <c r="AI15" i="26"/>
  <c r="AC15" i="26"/>
  <c r="AG15" i="26"/>
  <c r="AA15" i="26"/>
  <c r="Z15" i="26"/>
  <c r="Y15" i="26"/>
  <c r="AH15" i="26"/>
  <c r="AE15" i="26"/>
  <c r="AB15" i="26"/>
  <c r="AF15" i="26"/>
  <c r="W14" i="26"/>
  <c r="AE42" i="26"/>
  <c r="AE29" i="26"/>
  <c r="Z42" i="26"/>
  <c r="Z29" i="26"/>
  <c r="AH42" i="26"/>
  <c r="AH29" i="26"/>
  <c r="AF29" i="26"/>
  <c r="AF42" i="26"/>
  <c r="AC44" i="24"/>
  <c r="AC31" i="24"/>
  <c r="AG17" i="24"/>
  <c r="AA17" i="24"/>
  <c r="AF17" i="24"/>
  <c r="Z17" i="24"/>
  <c r="W16" i="24"/>
  <c r="AE17" i="24"/>
  <c r="Y17" i="24"/>
  <c r="AI17" i="24"/>
  <c r="AC17" i="24"/>
  <c r="AH17" i="24"/>
  <c r="AB17" i="24"/>
  <c r="X17" i="24"/>
  <c r="AD17" i="24"/>
  <c r="AI44" i="24"/>
  <c r="AI31" i="24"/>
  <c r="AE44" i="24"/>
  <c r="AE31" i="24"/>
  <c r="Z44" i="24"/>
  <c r="Z31" i="24"/>
  <c r="X31" i="24"/>
  <c r="X44" i="24"/>
  <c r="AG44" i="24"/>
  <c r="AG31" i="24"/>
  <c r="AF44" i="24"/>
  <c r="AF31" i="24"/>
  <c r="AD31" i="24"/>
  <c r="AD44" i="24"/>
  <c r="AA44" i="24"/>
  <c r="AA31" i="24"/>
  <c r="AB44" i="24"/>
  <c r="AB31" i="24"/>
  <c r="Y44" i="24"/>
  <c r="Y31" i="24"/>
  <c r="AH44" i="24"/>
  <c r="AH31" i="24"/>
  <c r="AT12" i="32" l="1"/>
  <c r="AO12" i="32"/>
  <c r="AO38" i="32" s="1"/>
  <c r="AO25" i="32"/>
  <c r="AA37" i="32"/>
  <c r="AA24" i="32"/>
  <c r="AO11" i="32"/>
  <c r="Z37" i="32"/>
  <c r="Z24" i="32"/>
  <c r="AN11" i="32"/>
  <c r="AU12" i="32"/>
  <c r="AT38" i="32"/>
  <c r="AT25" i="32"/>
  <c r="AD37" i="32"/>
  <c r="AD24" i="32"/>
  <c r="AR11" i="32"/>
  <c r="AF37" i="32"/>
  <c r="AF24" i="32"/>
  <c r="AT11" i="32"/>
  <c r="AR12" i="32"/>
  <c r="AN38" i="32"/>
  <c r="AN25" i="32"/>
  <c r="Y37" i="32"/>
  <c r="Y24" i="32"/>
  <c r="AM11" i="32"/>
  <c r="AB37" i="32"/>
  <c r="AB24" i="32"/>
  <c r="AP11" i="32"/>
  <c r="AP12" i="32"/>
  <c r="AV12" i="32"/>
  <c r="AE37" i="32"/>
  <c r="AE24" i="32"/>
  <c r="AS11" i="32"/>
  <c r="AH37" i="32"/>
  <c r="AH24" i="32"/>
  <c r="AV11" i="32"/>
  <c r="AM12" i="32"/>
  <c r="AL12" i="32"/>
  <c r="AG37" i="32"/>
  <c r="AG24" i="32"/>
  <c r="AU11" i="32"/>
  <c r="AC37" i="32"/>
  <c r="AC24" i="32"/>
  <c r="AQ11" i="32"/>
  <c r="AW12" i="32"/>
  <c r="AQ12" i="32"/>
  <c r="X37" i="32"/>
  <c r="X24" i="32"/>
  <c r="AL11" i="32"/>
  <c r="AM21" i="32"/>
  <c r="AP21" i="32"/>
  <c r="AN21" i="32"/>
  <c r="AQ21" i="32"/>
  <c r="AW21" i="32"/>
  <c r="AT21" i="32"/>
  <c r="AS21" i="32"/>
  <c r="AO21" i="32"/>
  <c r="AR21" i="32"/>
  <c r="AV21" i="32"/>
  <c r="AU21" i="32"/>
  <c r="AL21" i="32"/>
  <c r="AN20" i="32"/>
  <c r="AT20" i="32"/>
  <c r="AR20" i="32"/>
  <c r="AW20" i="32"/>
  <c r="AM20" i="32"/>
  <c r="AL20" i="32"/>
  <c r="AP20" i="32"/>
  <c r="AO20" i="32"/>
  <c r="AS20" i="32"/>
  <c r="AV20" i="32"/>
  <c r="AU20" i="32"/>
  <c r="AQ20" i="32"/>
  <c r="AP19" i="32"/>
  <c r="AM19" i="32"/>
  <c r="AO19" i="32"/>
  <c r="AL19" i="32"/>
  <c r="AR19" i="32"/>
  <c r="AW19" i="32"/>
  <c r="AT19" i="32"/>
  <c r="AV19" i="32"/>
  <c r="AQ19" i="32"/>
  <c r="AN19" i="32"/>
  <c r="AU19" i="32"/>
  <c r="AS19" i="32"/>
  <c r="AR18" i="32"/>
  <c r="AP18" i="32"/>
  <c r="AL18" i="32"/>
  <c r="AS18" i="32"/>
  <c r="AQ18" i="32"/>
  <c r="AN18" i="32"/>
  <c r="AM18" i="32"/>
  <c r="AU18" i="32"/>
  <c r="AO18" i="32"/>
  <c r="AV18" i="32"/>
  <c r="AT18" i="32"/>
  <c r="AW18" i="32"/>
  <c r="AM17" i="32"/>
  <c r="AV17" i="32"/>
  <c r="AU17" i="32"/>
  <c r="AT17" i="32"/>
  <c r="AQ17" i="32"/>
  <c r="AW17" i="32"/>
  <c r="AO17" i="32"/>
  <c r="AN17" i="32"/>
  <c r="AR17" i="32"/>
  <c r="AP17" i="32"/>
  <c r="AL17" i="32"/>
  <c r="AS17" i="32"/>
  <c r="AQ16" i="32"/>
  <c r="AT16" i="32"/>
  <c r="AO16" i="32"/>
  <c r="AR16" i="32"/>
  <c r="AU16" i="32"/>
  <c r="AS16" i="32"/>
  <c r="AL16" i="32"/>
  <c r="AP16" i="32"/>
  <c r="AN16" i="32"/>
  <c r="AM16" i="32"/>
  <c r="AW16" i="32"/>
  <c r="AV16" i="32"/>
  <c r="AN15" i="32"/>
  <c r="AT15" i="32"/>
  <c r="AL15" i="32"/>
  <c r="AV15" i="32"/>
  <c r="AS15" i="32"/>
  <c r="AU15" i="32"/>
  <c r="AP15" i="32"/>
  <c r="AR15" i="32"/>
  <c r="AQ15" i="32"/>
  <c r="AW15" i="32"/>
  <c r="AO15" i="32"/>
  <c r="AM15" i="32"/>
  <c r="AW14" i="32"/>
  <c r="AS14" i="32"/>
  <c r="AV14" i="32"/>
  <c r="AO14" i="32"/>
  <c r="AP14" i="32"/>
  <c r="AM14" i="32"/>
  <c r="AN14" i="32"/>
  <c r="AR14" i="32"/>
  <c r="AT14" i="32"/>
  <c r="AU14" i="32"/>
  <c r="AQ14" i="32"/>
  <c r="AL14" i="32"/>
  <c r="AP13" i="32"/>
  <c r="AW13" i="32"/>
  <c r="AR13" i="32"/>
  <c r="AQ13" i="32"/>
  <c r="AN13" i="32"/>
  <c r="AM13" i="32"/>
  <c r="AU13" i="32"/>
  <c r="AS13" i="32"/>
  <c r="AV13" i="32"/>
  <c r="AL13" i="32"/>
  <c r="AO13" i="32"/>
  <c r="AT13" i="32"/>
  <c r="AI37" i="32"/>
  <c r="AI24" i="32"/>
  <c r="AW11" i="32"/>
  <c r="AS12" i="32"/>
  <c r="X37" i="31"/>
  <c r="AL11" i="31"/>
  <c r="X24" i="31"/>
  <c r="AW21" i="31"/>
  <c r="AO21" i="31"/>
  <c r="AT21" i="31"/>
  <c r="AN21" i="31"/>
  <c r="AV21" i="31"/>
  <c r="AQ21" i="31"/>
  <c r="AS21" i="31"/>
  <c r="AP21" i="31"/>
  <c r="AL21" i="31"/>
  <c r="AR21" i="31"/>
  <c r="AM21" i="31"/>
  <c r="AU21" i="31"/>
  <c r="AQ20" i="31"/>
  <c r="AM20" i="31"/>
  <c r="AT20" i="31"/>
  <c r="AW20" i="31"/>
  <c r="AP20" i="31"/>
  <c r="AR20" i="31"/>
  <c r="AV20" i="31"/>
  <c r="AN20" i="31"/>
  <c r="AO20" i="31"/>
  <c r="AL20" i="31"/>
  <c r="AS20" i="31"/>
  <c r="AU20" i="31"/>
  <c r="AT19" i="31"/>
  <c r="AP19" i="31"/>
  <c r="AQ19" i="31"/>
  <c r="AW19" i="31"/>
  <c r="AS19" i="31"/>
  <c r="AL19" i="31"/>
  <c r="AO19" i="31"/>
  <c r="AN19" i="31"/>
  <c r="AU19" i="31"/>
  <c r="AM19" i="31"/>
  <c r="AV19" i="31"/>
  <c r="AR19" i="31"/>
  <c r="AT18" i="31"/>
  <c r="AS18" i="31"/>
  <c r="AP18" i="31"/>
  <c r="AU18" i="31"/>
  <c r="AN18" i="31"/>
  <c r="AO18" i="31"/>
  <c r="AM18" i="31"/>
  <c r="AQ18" i="31"/>
  <c r="AL18" i="31"/>
  <c r="AR18" i="31"/>
  <c r="AW18" i="31"/>
  <c r="AV18" i="31"/>
  <c r="AQ17" i="31"/>
  <c r="AS17" i="31"/>
  <c r="AR17" i="31"/>
  <c r="AL17" i="31"/>
  <c r="AO17" i="31"/>
  <c r="AU17" i="31"/>
  <c r="AN17" i="31"/>
  <c r="AM17" i="31"/>
  <c r="AV17" i="31"/>
  <c r="AW17" i="31"/>
  <c r="AT17" i="31"/>
  <c r="AP17" i="31"/>
  <c r="AQ16" i="31"/>
  <c r="AL16" i="31"/>
  <c r="AR16" i="31"/>
  <c r="AW16" i="31"/>
  <c r="AM16" i="31"/>
  <c r="AU16" i="31"/>
  <c r="AP16" i="31"/>
  <c r="AV16" i="31"/>
  <c r="AS16" i="31"/>
  <c r="AO16" i="31"/>
  <c r="AT16" i="31"/>
  <c r="AN16" i="31"/>
  <c r="AO15" i="31"/>
  <c r="AU15" i="31"/>
  <c r="AL15" i="31"/>
  <c r="AR15" i="31"/>
  <c r="AQ15" i="31"/>
  <c r="AM15" i="31"/>
  <c r="AP15" i="31"/>
  <c r="AN15" i="31"/>
  <c r="AV15" i="31"/>
  <c r="AW15" i="31"/>
  <c r="AS15" i="31"/>
  <c r="AT15" i="31"/>
  <c r="AN14" i="31"/>
  <c r="AM14" i="31"/>
  <c r="AU14" i="31"/>
  <c r="AO14" i="31"/>
  <c r="AV14" i="31"/>
  <c r="AL14" i="31"/>
  <c r="AQ14" i="31"/>
  <c r="AS14" i="31"/>
  <c r="AP14" i="31"/>
  <c r="AT14" i="31"/>
  <c r="AW14" i="31"/>
  <c r="AR14" i="31"/>
  <c r="AN13" i="31"/>
  <c r="AQ13" i="31"/>
  <c r="AP13" i="31"/>
  <c r="AO13" i="31"/>
  <c r="AM13" i="31"/>
  <c r="AU13" i="31"/>
  <c r="AL13" i="31"/>
  <c r="AT13" i="31"/>
  <c r="AW13" i="31"/>
  <c r="AV13" i="31"/>
  <c r="AS13" i="31"/>
  <c r="AR13" i="31"/>
  <c r="AR12" i="31"/>
  <c r="Z37" i="31"/>
  <c r="Z24" i="31"/>
  <c r="AN11" i="31"/>
  <c r="AD37" i="31"/>
  <c r="AD24" i="31"/>
  <c r="AR11" i="31"/>
  <c r="AT12" i="31"/>
  <c r="AQ12" i="31"/>
  <c r="AB37" i="31"/>
  <c r="AP11" i="31"/>
  <c r="AB24" i="31"/>
  <c r="AC37" i="31"/>
  <c r="AC24" i="31"/>
  <c r="AQ11" i="31"/>
  <c r="AW12" i="31"/>
  <c r="Y37" i="31"/>
  <c r="Y24" i="31"/>
  <c r="AM11" i="31"/>
  <c r="AP12" i="31"/>
  <c r="AO12" i="31"/>
  <c r="AF37" i="31"/>
  <c r="AF24" i="31"/>
  <c r="AT11" i="31"/>
  <c r="AE37" i="31"/>
  <c r="AE24" i="31"/>
  <c r="AS11" i="31"/>
  <c r="AN12" i="31"/>
  <c r="AM12" i="31"/>
  <c r="AH37" i="31"/>
  <c r="AH24" i="31"/>
  <c r="AV11" i="31"/>
  <c r="AL12" i="31"/>
  <c r="AU12" i="31"/>
  <c r="AV12" i="31"/>
  <c r="AI37" i="31"/>
  <c r="AI24" i="31"/>
  <c r="AW11" i="31"/>
  <c r="AA37" i="31"/>
  <c r="AA24" i="31"/>
  <c r="AO11" i="31"/>
  <c r="AS12" i="31"/>
  <c r="AG37" i="31"/>
  <c r="AG24" i="31"/>
  <c r="AU11" i="31"/>
  <c r="AF26" i="30"/>
  <c r="AF39" i="30"/>
  <c r="AI39" i="30"/>
  <c r="AI26" i="30"/>
  <c r="AB39" i="30"/>
  <c r="AB26" i="30"/>
  <c r="X39" i="30"/>
  <c r="X26" i="30"/>
  <c r="AG12" i="30"/>
  <c r="AA12" i="30"/>
  <c r="AF12" i="30"/>
  <c r="Z12" i="30"/>
  <c r="W11" i="30"/>
  <c r="AB12" i="30"/>
  <c r="AH12" i="30"/>
  <c r="AE12" i="30"/>
  <c r="AI12" i="30"/>
  <c r="Y12" i="30"/>
  <c r="X12" i="30"/>
  <c r="AD12" i="30"/>
  <c r="AC12" i="30"/>
  <c r="AA39" i="30"/>
  <c r="AA26" i="30"/>
  <c r="AE39" i="30"/>
  <c r="AE26" i="30"/>
  <c r="AD39" i="30"/>
  <c r="AD26" i="30"/>
  <c r="AH26" i="30"/>
  <c r="AH39" i="30"/>
  <c r="Y39" i="30"/>
  <c r="Y26" i="30"/>
  <c r="AC39" i="30"/>
  <c r="AC26" i="30"/>
  <c r="Z39" i="30"/>
  <c r="Z26" i="30"/>
  <c r="AG39" i="30"/>
  <c r="AG26" i="30"/>
  <c r="Z41" i="27"/>
  <c r="Z28" i="27"/>
  <c r="Y28" i="27"/>
  <c r="Y41" i="27"/>
  <c r="AB41" i="27"/>
  <c r="AB28" i="27"/>
  <c r="AF41" i="27"/>
  <c r="AF28" i="27"/>
  <c r="AE28" i="27"/>
  <c r="AE41" i="27"/>
  <c r="AA28" i="27"/>
  <c r="AA41" i="27"/>
  <c r="AI41" i="27"/>
  <c r="AI28" i="27"/>
  <c r="AG41" i="27"/>
  <c r="AG28" i="27"/>
  <c r="AC41" i="27"/>
  <c r="AC28" i="27"/>
  <c r="AH41" i="27"/>
  <c r="AH28" i="27"/>
  <c r="X41" i="27"/>
  <c r="X28" i="27"/>
  <c r="AH14" i="27"/>
  <c r="AB14" i="27"/>
  <c r="AG14" i="27"/>
  <c r="AA14" i="27"/>
  <c r="AD14" i="27"/>
  <c r="X14" i="27"/>
  <c r="AI14" i="27"/>
  <c r="AC14" i="27"/>
  <c r="AF14" i="27"/>
  <c r="AE14" i="27"/>
  <c r="Z14" i="27"/>
  <c r="Y14" i="27"/>
  <c r="W13" i="27"/>
  <c r="AD41" i="27"/>
  <c r="AD28" i="27"/>
  <c r="AE41" i="26"/>
  <c r="AE28" i="26"/>
  <c r="AC41" i="26"/>
  <c r="AC28" i="26"/>
  <c r="AH41" i="26"/>
  <c r="AH28" i="26"/>
  <c r="AI41" i="26"/>
  <c r="AI28" i="26"/>
  <c r="X28" i="26"/>
  <c r="X41" i="26"/>
  <c r="AG14" i="26"/>
  <c r="AA14" i="26"/>
  <c r="AF14" i="26"/>
  <c r="Z14" i="26"/>
  <c r="W13" i="26"/>
  <c r="AD14" i="26"/>
  <c r="X14" i="26"/>
  <c r="AC14" i="26"/>
  <c r="AB14" i="26"/>
  <c r="Y14" i="26"/>
  <c r="AH14" i="26"/>
  <c r="AE14" i="26"/>
  <c r="AI14" i="26"/>
  <c r="Z41" i="26"/>
  <c r="Z28" i="26"/>
  <c r="AD41" i="26"/>
  <c r="AD28" i="26"/>
  <c r="AF41" i="26"/>
  <c r="AF28" i="26"/>
  <c r="AA41" i="26"/>
  <c r="AA28" i="26"/>
  <c r="Y41" i="26"/>
  <c r="Y28" i="26"/>
  <c r="AB41" i="26"/>
  <c r="AB28" i="26"/>
  <c r="AG41" i="26"/>
  <c r="AG28" i="26"/>
  <c r="Y43" i="24"/>
  <c r="Y30" i="24"/>
  <c r="X43" i="24"/>
  <c r="X30" i="24"/>
  <c r="AE43" i="24"/>
  <c r="AE30" i="24"/>
  <c r="AI43" i="24"/>
  <c r="AI30" i="24"/>
  <c r="AG30" i="24"/>
  <c r="AG43" i="24"/>
  <c r="AB43" i="24"/>
  <c r="AB30" i="24"/>
  <c r="AD16" i="24"/>
  <c r="X16" i="24"/>
  <c r="AI16" i="24"/>
  <c r="AC16" i="24"/>
  <c r="AH16" i="24"/>
  <c r="AB16" i="24"/>
  <c r="AF16" i="24"/>
  <c r="Z16" i="24"/>
  <c r="W15" i="24"/>
  <c r="AE16" i="24"/>
  <c r="Y16" i="24"/>
  <c r="AG16" i="24"/>
  <c r="AA16" i="24"/>
  <c r="AD43" i="24"/>
  <c r="AD30" i="24"/>
  <c r="AH43" i="24"/>
  <c r="AH30" i="24"/>
  <c r="Z43" i="24"/>
  <c r="Z30" i="24"/>
  <c r="AA30" i="24"/>
  <c r="AA43" i="24"/>
  <c r="AC43" i="24"/>
  <c r="AC30" i="24"/>
  <c r="AF43" i="24"/>
  <c r="AF30" i="24"/>
  <c r="AA11" i="1"/>
  <c r="AA7" i="1"/>
  <c r="AR41" i="32" l="1"/>
  <c r="AR28" i="32"/>
  <c r="AU44" i="32"/>
  <c r="AU31" i="32"/>
  <c r="AP44" i="32"/>
  <c r="AP31" i="32"/>
  <c r="AV45" i="32"/>
  <c r="AV32" i="32"/>
  <c r="AM45" i="32"/>
  <c r="AM32" i="32"/>
  <c r="AO46" i="32"/>
  <c r="AO33" i="32"/>
  <c r="AT46" i="32"/>
  <c r="AT33" i="32"/>
  <c r="AO34" i="32"/>
  <c r="AO47" i="32"/>
  <c r="AP47" i="32"/>
  <c r="AP34" i="32"/>
  <c r="AQ38" i="32"/>
  <c r="AQ25" i="32"/>
  <c r="AR40" i="32"/>
  <c r="AR27" i="32"/>
  <c r="AV43" i="32"/>
  <c r="AV30" i="32"/>
  <c r="AU26" i="32"/>
  <c r="AU39" i="32"/>
  <c r="AP39" i="32"/>
  <c r="AP26" i="32"/>
  <c r="AN40" i="32"/>
  <c r="AN27" i="32"/>
  <c r="AW40" i="32"/>
  <c r="AW27" i="32"/>
  <c r="AP41" i="32"/>
  <c r="AP28" i="32"/>
  <c r="AN28" i="32"/>
  <c r="AN41" i="32"/>
  <c r="AL42" i="32"/>
  <c r="AL29" i="32"/>
  <c r="AQ42" i="32"/>
  <c r="AQ29" i="32"/>
  <c r="AO43" i="32"/>
  <c r="AO30" i="32"/>
  <c r="AM43" i="32"/>
  <c r="AM30" i="32"/>
  <c r="AM44" i="32"/>
  <c r="AM31" i="32"/>
  <c r="AR44" i="32"/>
  <c r="AR31" i="32"/>
  <c r="AT32" i="32"/>
  <c r="AT45" i="32"/>
  <c r="AP45" i="32"/>
  <c r="AP32" i="32"/>
  <c r="AP46" i="32"/>
  <c r="AP33" i="32"/>
  <c r="AN46" i="32"/>
  <c r="AN33" i="32"/>
  <c r="AS47" i="32"/>
  <c r="AS34" i="32"/>
  <c r="AM47" i="32"/>
  <c r="AM34" i="32"/>
  <c r="AW25" i="32"/>
  <c r="AW38" i="32"/>
  <c r="AU37" i="32"/>
  <c r="AU24" i="32"/>
  <c r="AV37" i="32"/>
  <c r="AV24" i="32"/>
  <c r="AR37" i="32"/>
  <c r="AR24" i="32"/>
  <c r="AU38" i="32"/>
  <c r="AU25" i="32"/>
  <c r="AO37" i="32"/>
  <c r="AO24" i="32"/>
  <c r="AW39" i="32"/>
  <c r="AW26" i="32"/>
  <c r="AT41" i="32"/>
  <c r="AT28" i="32"/>
  <c r="AT26" i="32"/>
  <c r="AT39" i="32"/>
  <c r="AM39" i="32"/>
  <c r="AM26" i="32"/>
  <c r="AL40" i="32"/>
  <c r="AL27" i="32"/>
  <c r="AM40" i="32"/>
  <c r="AM27" i="32"/>
  <c r="AM41" i="32"/>
  <c r="AM28" i="32"/>
  <c r="AU41" i="32"/>
  <c r="AU28" i="32"/>
  <c r="AV42" i="32"/>
  <c r="AV29" i="32"/>
  <c r="AS42" i="32"/>
  <c r="AS29" i="32"/>
  <c r="AS43" i="32"/>
  <c r="AS30" i="32"/>
  <c r="AW43" i="32"/>
  <c r="AW30" i="32"/>
  <c r="AW44" i="32"/>
  <c r="AW31" i="32"/>
  <c r="AN44" i="32"/>
  <c r="AN31" i="32"/>
  <c r="AS45" i="32"/>
  <c r="AS32" i="32"/>
  <c r="AW45" i="32"/>
  <c r="AW32" i="32"/>
  <c r="AQ33" i="32"/>
  <c r="AQ46" i="32"/>
  <c r="AL33" i="32"/>
  <c r="AL46" i="32"/>
  <c r="AL47" i="32"/>
  <c r="AL34" i="32"/>
  <c r="AT34" i="32"/>
  <c r="AT47" i="32"/>
  <c r="AL37" i="32"/>
  <c r="AL24" i="32"/>
  <c r="AQ37" i="32"/>
  <c r="AQ24" i="32"/>
  <c r="AV38" i="32"/>
  <c r="AV25" i="32"/>
  <c r="AR38" i="32"/>
  <c r="AR25" i="32"/>
  <c r="AN37" i="32"/>
  <c r="AN24" i="32"/>
  <c r="AS40" i="32"/>
  <c r="AS27" i="32"/>
  <c r="AP42" i="32"/>
  <c r="AP29" i="32"/>
  <c r="AS38" i="32"/>
  <c r="AS25" i="32"/>
  <c r="AO39" i="32"/>
  <c r="AO26" i="32"/>
  <c r="AN39" i="32"/>
  <c r="AN26" i="32"/>
  <c r="AQ27" i="32"/>
  <c r="AQ40" i="32"/>
  <c r="AP40" i="32"/>
  <c r="AP27" i="32"/>
  <c r="AO41" i="32"/>
  <c r="AO28" i="32"/>
  <c r="AS41" i="32"/>
  <c r="AS28" i="32"/>
  <c r="AW42" i="32"/>
  <c r="AW29" i="32"/>
  <c r="AU42" i="32"/>
  <c r="AU29" i="32"/>
  <c r="AL43" i="32"/>
  <c r="AL30" i="32"/>
  <c r="AQ43" i="32"/>
  <c r="AQ30" i="32"/>
  <c r="AT44" i="32"/>
  <c r="AT31" i="32"/>
  <c r="AQ44" i="32"/>
  <c r="AQ31" i="32"/>
  <c r="AU32" i="32"/>
  <c r="AU45" i="32"/>
  <c r="AR45" i="32"/>
  <c r="AR32" i="32"/>
  <c r="AU46" i="32"/>
  <c r="AU33" i="32"/>
  <c r="AM46" i="32"/>
  <c r="AM33" i="32"/>
  <c r="AU34" i="32"/>
  <c r="AU47" i="32"/>
  <c r="AW47" i="32"/>
  <c r="AW34" i="32"/>
  <c r="F9" i="32"/>
  <c r="AP38" i="32"/>
  <c r="AP25" i="32"/>
  <c r="AM37" i="32"/>
  <c r="AM24" i="32"/>
  <c r="AS39" i="32"/>
  <c r="AS26" i="32"/>
  <c r="AT42" i="32"/>
  <c r="AT29" i="32"/>
  <c r="AW37" i="32"/>
  <c r="AW24" i="32"/>
  <c r="AL39" i="32"/>
  <c r="AL26" i="32"/>
  <c r="AQ39" i="32"/>
  <c r="AQ26" i="32"/>
  <c r="AU40" i="32"/>
  <c r="AU27" i="32"/>
  <c r="AO40" i="32"/>
  <c r="AO27" i="32"/>
  <c r="AW41" i="32"/>
  <c r="AW28" i="32"/>
  <c r="AV41" i="32"/>
  <c r="AV28" i="32"/>
  <c r="AM42" i="32"/>
  <c r="AM29" i="32"/>
  <c r="AR42" i="32"/>
  <c r="AR29" i="32"/>
  <c r="AP43" i="32"/>
  <c r="AP30" i="32"/>
  <c r="AT43" i="32"/>
  <c r="AT30" i="32"/>
  <c r="AV44" i="32"/>
  <c r="AV31" i="32"/>
  <c r="AS44" i="32"/>
  <c r="AS31" i="32"/>
  <c r="AN32" i="32"/>
  <c r="AN45" i="32"/>
  <c r="AL45" i="32"/>
  <c r="AL32" i="32"/>
  <c r="AV46" i="32"/>
  <c r="AV33" i="32"/>
  <c r="AW46" i="32"/>
  <c r="AW33" i="32"/>
  <c r="AV47" i="32"/>
  <c r="AV34" i="32"/>
  <c r="AQ47" i="32"/>
  <c r="AQ34" i="32"/>
  <c r="F22" i="32"/>
  <c r="AL38" i="32"/>
  <c r="AL25" i="32"/>
  <c r="AT37" i="32"/>
  <c r="AT24" i="32"/>
  <c r="AN43" i="32"/>
  <c r="AN30" i="32"/>
  <c r="AV39" i="32"/>
  <c r="AV26" i="32"/>
  <c r="AR39" i="32"/>
  <c r="AR26" i="32"/>
  <c r="AT40" i="32"/>
  <c r="AT27" i="32"/>
  <c r="AV40" i="32"/>
  <c r="AV27" i="32"/>
  <c r="AQ41" i="32"/>
  <c r="AQ28" i="32"/>
  <c r="AL41" i="32"/>
  <c r="AL28" i="32"/>
  <c r="AN42" i="32"/>
  <c r="AN29" i="32"/>
  <c r="AO42" i="32"/>
  <c r="AO29" i="32"/>
  <c r="AR43" i="32"/>
  <c r="AR30" i="32"/>
  <c r="AU43" i="32"/>
  <c r="AU30" i="32"/>
  <c r="AO44" i="32"/>
  <c r="AO31" i="32"/>
  <c r="AL44" i="32"/>
  <c r="AL31" i="32"/>
  <c r="AQ45" i="32"/>
  <c r="AQ32" i="32"/>
  <c r="AO45" i="32"/>
  <c r="AO32" i="32"/>
  <c r="AS46" i="32"/>
  <c r="AS33" i="32"/>
  <c r="AR33" i="32"/>
  <c r="AR46" i="32"/>
  <c r="AR47" i="32"/>
  <c r="AR34" i="32"/>
  <c r="AN34" i="32"/>
  <c r="AN47" i="32"/>
  <c r="F35" i="32"/>
  <c r="AM38" i="32"/>
  <c r="AM25" i="32"/>
  <c r="AS37" i="32"/>
  <c r="AS24" i="32"/>
  <c r="AP37" i="32"/>
  <c r="AP24" i="32"/>
  <c r="AO38" i="31"/>
  <c r="AO25" i="31"/>
  <c r="AM40" i="31"/>
  <c r="AM27" i="31"/>
  <c r="AL42" i="31"/>
  <c r="AL29" i="31"/>
  <c r="AS43" i="31"/>
  <c r="AS30" i="31"/>
  <c r="AN45" i="31"/>
  <c r="AN32" i="31"/>
  <c r="AP45" i="31"/>
  <c r="AP32" i="31"/>
  <c r="AN33" i="31"/>
  <c r="AN46" i="31"/>
  <c r="AM46" i="31"/>
  <c r="AM33" i="31"/>
  <c r="AP47" i="31"/>
  <c r="AP34" i="31"/>
  <c r="AO47" i="31"/>
  <c r="AO34" i="31"/>
  <c r="AV38" i="31"/>
  <c r="AV25" i="31"/>
  <c r="AP38" i="31"/>
  <c r="AP25" i="31"/>
  <c r="AR38" i="31"/>
  <c r="AR25" i="31"/>
  <c r="AL26" i="31"/>
  <c r="AL39" i="31"/>
  <c r="AN39" i="31"/>
  <c r="AN26" i="31"/>
  <c r="AQ40" i="31"/>
  <c r="AQ27" i="31"/>
  <c r="AN27" i="31"/>
  <c r="AN40" i="31"/>
  <c r="AP41" i="31"/>
  <c r="AP28" i="31"/>
  <c r="AO41" i="31"/>
  <c r="AO28" i="31"/>
  <c r="AP42" i="31"/>
  <c r="AP29" i="31"/>
  <c r="AQ42" i="31"/>
  <c r="AQ29" i="31"/>
  <c r="AN43" i="31"/>
  <c r="AN30" i="31"/>
  <c r="AQ30" i="31"/>
  <c r="AQ43" i="31"/>
  <c r="AM44" i="31"/>
  <c r="AM31" i="31"/>
  <c r="AT31" i="31"/>
  <c r="AT44" i="31"/>
  <c r="AO45" i="31"/>
  <c r="AO32" i="31"/>
  <c r="AT45" i="31"/>
  <c r="AT32" i="31"/>
  <c r="AV33" i="31"/>
  <c r="AV46" i="31"/>
  <c r="AQ33" i="31"/>
  <c r="AQ46" i="31"/>
  <c r="AS34" i="31"/>
  <c r="AS47" i="31"/>
  <c r="AW34" i="31"/>
  <c r="AW47" i="31"/>
  <c r="AO37" i="31"/>
  <c r="AO24" i="31"/>
  <c r="AW38" i="31"/>
  <c r="AW25" i="31"/>
  <c r="AT39" i="31"/>
  <c r="AT26" i="31"/>
  <c r="AU41" i="31"/>
  <c r="AU28" i="31"/>
  <c r="AM38" i="31"/>
  <c r="AM25" i="31"/>
  <c r="AQ37" i="31"/>
  <c r="AQ24" i="31"/>
  <c r="AR39" i="31"/>
  <c r="AR26" i="31"/>
  <c r="AL40" i="31"/>
  <c r="AL27" i="31"/>
  <c r="AT41" i="31"/>
  <c r="AT28" i="31"/>
  <c r="AU42" i="31"/>
  <c r="AU29" i="31"/>
  <c r="AP43" i="31"/>
  <c r="AP30" i="31"/>
  <c r="AU43" i="31"/>
  <c r="AU30" i="31"/>
  <c r="AV44" i="31"/>
  <c r="AV31" i="31"/>
  <c r="AO44" i="31"/>
  <c r="AO31" i="31"/>
  <c r="AR32" i="31"/>
  <c r="AR45" i="31"/>
  <c r="AL45" i="31"/>
  <c r="AL32" i="31"/>
  <c r="AU33" i="31"/>
  <c r="AU46" i="31"/>
  <c r="AR46" i="31"/>
  <c r="AR33" i="31"/>
  <c r="AU47" i="31"/>
  <c r="AU34" i="31"/>
  <c r="AQ34" i="31"/>
  <c r="AQ47" i="31"/>
  <c r="F22" i="31"/>
  <c r="AU37" i="31"/>
  <c r="AU24" i="31"/>
  <c r="AR37" i="31"/>
  <c r="AR24" i="31"/>
  <c r="AS40" i="31"/>
  <c r="AS27" i="31"/>
  <c r="AV42" i="31"/>
  <c r="AV29" i="31"/>
  <c r="AQ44" i="31"/>
  <c r="AQ31" i="31"/>
  <c r="AU39" i="31"/>
  <c r="AU26" i="31"/>
  <c r="AN29" i="31"/>
  <c r="AN42" i="31"/>
  <c r="AL38" i="31"/>
  <c r="AL25" i="31"/>
  <c r="AN38" i="31"/>
  <c r="AN25" i="31"/>
  <c r="AT37" i="31"/>
  <c r="AT24" i="31"/>
  <c r="AQ38" i="31"/>
  <c r="AQ25" i="31"/>
  <c r="AS39" i="31"/>
  <c r="AS26" i="31"/>
  <c r="AM39" i="31"/>
  <c r="AM26" i="31"/>
  <c r="AW40" i="31"/>
  <c r="AW27" i="31"/>
  <c r="AV40" i="31"/>
  <c r="AV27" i="31"/>
  <c r="AS41" i="31"/>
  <c r="AS28" i="31"/>
  <c r="AQ28" i="31"/>
  <c r="AQ41" i="31"/>
  <c r="AT29" i="31"/>
  <c r="AT42" i="31"/>
  <c r="AM42" i="31"/>
  <c r="AM29" i="31"/>
  <c r="AT43" i="31"/>
  <c r="AT30" i="31"/>
  <c r="AO43" i="31"/>
  <c r="AO30" i="31"/>
  <c r="AW44" i="31"/>
  <c r="AW31" i="31"/>
  <c r="AN31" i="31"/>
  <c r="AN44" i="31"/>
  <c r="AV45" i="31"/>
  <c r="AV32" i="31"/>
  <c r="AS45" i="31"/>
  <c r="AS32" i="31"/>
  <c r="AS46" i="31"/>
  <c r="AS33" i="31"/>
  <c r="AP33" i="31"/>
  <c r="AP46" i="31"/>
  <c r="AM34" i="31"/>
  <c r="AM47" i="31"/>
  <c r="AV47" i="31"/>
  <c r="AV34" i="31"/>
  <c r="F9" i="31"/>
  <c r="AP37" i="31"/>
  <c r="AP24" i="31"/>
  <c r="AQ26" i="31"/>
  <c r="AQ39" i="31"/>
  <c r="AN41" i="31"/>
  <c r="AN28" i="31"/>
  <c r="AM43" i="31"/>
  <c r="AM30" i="31"/>
  <c r="AS44" i="31"/>
  <c r="AS31" i="31"/>
  <c r="AU38" i="31"/>
  <c r="AU25" i="31"/>
  <c r="AM37" i="31"/>
  <c r="AM24" i="31"/>
  <c r="AR40" i="31"/>
  <c r="AR27" i="31"/>
  <c r="AM41" i="31"/>
  <c r="AM28" i="31"/>
  <c r="AS38" i="31"/>
  <c r="AS25" i="31"/>
  <c r="AW37" i="31"/>
  <c r="AW24" i="31"/>
  <c r="AV37" i="31"/>
  <c r="AV24" i="31"/>
  <c r="AT38" i="31"/>
  <c r="AT25" i="31"/>
  <c r="AN37" i="31"/>
  <c r="AN24" i="31"/>
  <c r="AV39" i="31"/>
  <c r="AV26" i="31"/>
  <c r="AO39" i="31"/>
  <c r="AO26" i="31"/>
  <c r="AT27" i="31"/>
  <c r="AT40" i="31"/>
  <c r="AO40" i="31"/>
  <c r="AO27" i="31"/>
  <c r="AW28" i="31"/>
  <c r="AW41" i="31"/>
  <c r="AR28" i="31"/>
  <c r="AR41" i="31"/>
  <c r="AO29" i="31"/>
  <c r="AO42" i="31"/>
  <c r="AW42" i="31"/>
  <c r="AW29" i="31"/>
  <c r="AW30" i="31"/>
  <c r="AW43" i="31"/>
  <c r="AL30" i="31"/>
  <c r="AL43" i="31"/>
  <c r="AR44" i="31"/>
  <c r="AR31" i="31"/>
  <c r="AU31" i="31"/>
  <c r="AU44" i="31"/>
  <c r="AM45" i="31"/>
  <c r="AM32" i="31"/>
  <c r="AW32" i="31"/>
  <c r="AW45" i="31"/>
  <c r="AL46" i="31"/>
  <c r="AL33" i="31"/>
  <c r="AW33" i="31"/>
  <c r="AW46" i="31"/>
  <c r="AR34" i="31"/>
  <c r="AR47" i="31"/>
  <c r="AN34" i="31"/>
  <c r="AN47" i="31"/>
  <c r="AL37" i="31"/>
  <c r="AL24" i="31"/>
  <c r="AS37" i="31"/>
  <c r="AS24" i="31"/>
  <c r="AW26" i="31"/>
  <c r="AW39" i="31"/>
  <c r="AP39" i="31"/>
  <c r="AP26" i="31"/>
  <c r="AP40" i="31"/>
  <c r="AP27" i="31"/>
  <c r="AU27" i="31"/>
  <c r="AU40" i="31"/>
  <c r="AV41" i="31"/>
  <c r="AV28" i="31"/>
  <c r="AL41" i="31"/>
  <c r="AL28" i="31"/>
  <c r="AS42" i="31"/>
  <c r="AS29" i="31"/>
  <c r="AR42" i="31"/>
  <c r="AR29" i="31"/>
  <c r="AV43" i="31"/>
  <c r="AV30" i="31"/>
  <c r="AR43" i="31"/>
  <c r="AR30" i="31"/>
  <c r="AL44" i="31"/>
  <c r="AL31" i="31"/>
  <c r="AP44" i="31"/>
  <c r="AP31" i="31"/>
  <c r="AU45" i="31"/>
  <c r="AU32" i="31"/>
  <c r="AQ32" i="31"/>
  <c r="AQ45" i="31"/>
  <c r="AO33" i="31"/>
  <c r="AO46" i="31"/>
  <c r="AT33" i="31"/>
  <c r="AT46" i="31"/>
  <c r="AL34" i="31"/>
  <c r="AL47" i="31"/>
  <c r="AT34" i="31"/>
  <c r="AT47" i="31"/>
  <c r="F35" i="31"/>
  <c r="AA38" i="30"/>
  <c r="AA25" i="30"/>
  <c r="AC25" i="30"/>
  <c r="AC38" i="30"/>
  <c r="AH38" i="30"/>
  <c r="AH25" i="30"/>
  <c r="AG38" i="30"/>
  <c r="AG25" i="30"/>
  <c r="AD38" i="30"/>
  <c r="AD25" i="30"/>
  <c r="AB38" i="30"/>
  <c r="AB25" i="30"/>
  <c r="X38" i="30"/>
  <c r="X25" i="30"/>
  <c r="AD11" i="30"/>
  <c r="X11" i="30"/>
  <c r="AI11" i="30"/>
  <c r="AC11" i="30"/>
  <c r="AE11" i="30"/>
  <c r="AH11" i="30"/>
  <c r="AB11" i="30"/>
  <c r="AA11" i="30"/>
  <c r="Z11" i="30"/>
  <c r="AG11" i="30"/>
  <c r="AF11" i="30"/>
  <c r="Y11" i="30"/>
  <c r="AE25" i="30"/>
  <c r="AE38" i="30"/>
  <c r="Y38" i="30"/>
  <c r="Y25" i="30"/>
  <c r="Z38" i="30"/>
  <c r="Z25" i="30"/>
  <c r="AI25" i="30"/>
  <c r="AI38" i="30"/>
  <c r="AF38" i="30"/>
  <c r="AF25" i="30"/>
  <c r="AI40" i="27"/>
  <c r="AI27" i="27"/>
  <c r="AE40" i="27"/>
  <c r="AE27" i="27"/>
  <c r="AA40" i="27"/>
  <c r="AA27" i="27"/>
  <c r="AC40" i="27"/>
  <c r="AC27" i="27"/>
  <c r="AF40" i="27"/>
  <c r="AF27" i="27"/>
  <c r="AG40" i="27"/>
  <c r="AG27" i="27"/>
  <c r="AB40" i="27"/>
  <c r="AB27" i="27"/>
  <c r="AE13" i="27"/>
  <c r="Y13" i="27"/>
  <c r="AD13" i="27"/>
  <c r="X13" i="27"/>
  <c r="AG13" i="27"/>
  <c r="AA13" i="27"/>
  <c r="AF13" i="27"/>
  <c r="Z13" i="27"/>
  <c r="W12" i="27"/>
  <c r="AI13" i="27"/>
  <c r="AH13" i="27"/>
  <c r="AC13" i="27"/>
  <c r="AB13" i="27"/>
  <c r="Y40" i="27"/>
  <c r="Y27" i="27"/>
  <c r="X27" i="27"/>
  <c r="X40" i="27"/>
  <c r="AH40" i="27"/>
  <c r="AH27" i="27"/>
  <c r="Z40" i="27"/>
  <c r="Z27" i="27"/>
  <c r="AD40" i="27"/>
  <c r="AD27" i="27"/>
  <c r="AC40" i="26"/>
  <c r="AC27" i="26"/>
  <c r="Y40" i="26"/>
  <c r="Y27" i="26"/>
  <c r="Z40" i="26"/>
  <c r="Z27" i="26"/>
  <c r="AA27" i="26"/>
  <c r="AA40" i="26"/>
  <c r="AB40" i="26"/>
  <c r="AB27" i="26"/>
  <c r="AF40" i="26"/>
  <c r="AF27" i="26"/>
  <c r="X27" i="26"/>
  <c r="X40" i="26"/>
  <c r="AG40" i="26"/>
  <c r="AG27" i="26"/>
  <c r="AE40" i="26"/>
  <c r="AE27" i="26"/>
  <c r="AD40" i="26"/>
  <c r="AD27" i="26"/>
  <c r="AI40" i="26"/>
  <c r="AI27" i="26"/>
  <c r="AH40" i="26"/>
  <c r="AH27" i="26"/>
  <c r="AD13" i="26"/>
  <c r="X13" i="26"/>
  <c r="AI13" i="26"/>
  <c r="AC13" i="26"/>
  <c r="AG13" i="26"/>
  <c r="AA13" i="26"/>
  <c r="AF13" i="26"/>
  <c r="W12" i="26"/>
  <c r="AB13" i="26"/>
  <c r="Y13" i="26"/>
  <c r="AH13" i="26"/>
  <c r="AE13" i="26"/>
  <c r="Z13" i="26"/>
  <c r="Y42" i="24"/>
  <c r="Y29" i="24"/>
  <c r="AH42" i="24"/>
  <c r="AH29" i="24"/>
  <c r="AB42" i="24"/>
  <c r="AB29" i="24"/>
  <c r="AE42" i="24"/>
  <c r="AE29" i="24"/>
  <c r="AC42" i="24"/>
  <c r="AC29" i="24"/>
  <c r="AG42" i="24"/>
  <c r="AG29" i="24"/>
  <c r="AG15" i="24"/>
  <c r="AA15" i="24"/>
  <c r="AF15" i="24"/>
  <c r="Z15" i="24"/>
  <c r="W14" i="24"/>
  <c r="AE15" i="24"/>
  <c r="Y15" i="24"/>
  <c r="AI15" i="24"/>
  <c r="AC15" i="24"/>
  <c r="AH15" i="24"/>
  <c r="AB15" i="24"/>
  <c r="AD15" i="24"/>
  <c r="X15" i="24"/>
  <c r="AI42" i="24"/>
  <c r="AI29" i="24"/>
  <c r="Z42" i="24"/>
  <c r="Z29" i="24"/>
  <c r="X42" i="24"/>
  <c r="X29" i="24"/>
  <c r="AA42" i="24"/>
  <c r="AA29" i="24"/>
  <c r="AF42" i="24"/>
  <c r="AF29" i="24"/>
  <c r="AD29" i="24"/>
  <c r="AD42" i="24"/>
  <c r="AB2" i="1"/>
  <c r="AM12" i="30" l="1"/>
  <c r="AM38" i="30" s="1"/>
  <c r="AS12" i="30"/>
  <c r="AB37" i="30"/>
  <c r="AP11" i="30"/>
  <c r="AB24" i="30"/>
  <c r="AD24" i="30"/>
  <c r="AD37" i="30"/>
  <c r="AR11" i="30"/>
  <c r="X37" i="30"/>
  <c r="X24" i="30"/>
  <c r="AL11" i="30"/>
  <c r="AP21" i="30"/>
  <c r="AL21" i="30"/>
  <c r="AU21" i="30"/>
  <c r="AT21" i="30"/>
  <c r="AS21" i="30"/>
  <c r="AM21" i="30"/>
  <c r="AN21" i="30"/>
  <c r="AV21" i="30"/>
  <c r="AO21" i="30"/>
  <c r="AQ21" i="30"/>
  <c r="AR21" i="30"/>
  <c r="AW21" i="30"/>
  <c r="AR20" i="30"/>
  <c r="AL20" i="30"/>
  <c r="AS20" i="30"/>
  <c r="AW20" i="30"/>
  <c r="AT20" i="30"/>
  <c r="AV20" i="30"/>
  <c r="AU20" i="30"/>
  <c r="AP20" i="30"/>
  <c r="AN20" i="30"/>
  <c r="AM20" i="30"/>
  <c r="AQ20" i="30"/>
  <c r="AO20" i="30"/>
  <c r="AN19" i="30"/>
  <c r="AT19" i="30"/>
  <c r="AV19" i="30"/>
  <c r="AR19" i="30"/>
  <c r="AS19" i="30"/>
  <c r="AW19" i="30"/>
  <c r="AL19" i="30"/>
  <c r="AP19" i="30"/>
  <c r="AM19" i="30"/>
  <c r="AU19" i="30"/>
  <c r="AQ19" i="30"/>
  <c r="AO19" i="30"/>
  <c r="AW18" i="30"/>
  <c r="AS18" i="30"/>
  <c r="AU18" i="30"/>
  <c r="AQ18" i="30"/>
  <c r="AM18" i="30"/>
  <c r="AN18" i="30"/>
  <c r="AL18" i="30"/>
  <c r="AP18" i="30"/>
  <c r="AT18" i="30"/>
  <c r="AO18" i="30"/>
  <c r="AR18" i="30"/>
  <c r="AV18" i="30"/>
  <c r="AT17" i="30"/>
  <c r="AV17" i="30"/>
  <c r="AN17" i="30"/>
  <c r="AR17" i="30"/>
  <c r="AO17" i="30"/>
  <c r="AU17" i="30"/>
  <c r="AL17" i="30"/>
  <c r="AW17" i="30"/>
  <c r="AP17" i="30"/>
  <c r="AQ17" i="30"/>
  <c r="AM17" i="30"/>
  <c r="AS17" i="30"/>
  <c r="AU16" i="30"/>
  <c r="AR16" i="30"/>
  <c r="AL16" i="30"/>
  <c r="AV16" i="30"/>
  <c r="AS16" i="30"/>
  <c r="AT16" i="30"/>
  <c r="AM16" i="30"/>
  <c r="AO16" i="30"/>
  <c r="AN16" i="30"/>
  <c r="AW16" i="30"/>
  <c r="AQ16" i="30"/>
  <c r="AP16" i="30"/>
  <c r="AN15" i="30"/>
  <c r="AV15" i="30"/>
  <c r="AO15" i="30"/>
  <c r="AP15" i="30"/>
  <c r="AQ15" i="30"/>
  <c r="AT15" i="30"/>
  <c r="AR15" i="30"/>
  <c r="AU15" i="30"/>
  <c r="AM15" i="30"/>
  <c r="AW15" i="30"/>
  <c r="AL15" i="30"/>
  <c r="AS15" i="30"/>
  <c r="AS14" i="30"/>
  <c r="AN14" i="30"/>
  <c r="AM14" i="30"/>
  <c r="AP14" i="30"/>
  <c r="AR14" i="30"/>
  <c r="AQ14" i="30"/>
  <c r="AL14" i="30"/>
  <c r="AW14" i="30"/>
  <c r="AT14" i="30"/>
  <c r="AO14" i="30"/>
  <c r="AU14" i="30"/>
  <c r="AV14" i="30"/>
  <c r="AW13" i="30"/>
  <c r="AS13" i="30"/>
  <c r="AV13" i="30"/>
  <c r="AM13" i="30"/>
  <c r="AO13" i="30"/>
  <c r="AT13" i="30"/>
  <c r="AN13" i="30"/>
  <c r="AR13" i="30"/>
  <c r="AU13" i="30"/>
  <c r="AL13" i="30"/>
  <c r="AQ13" i="30"/>
  <c r="AP13" i="30"/>
  <c r="AP12" i="30"/>
  <c r="AT12" i="30"/>
  <c r="Y37" i="30"/>
  <c r="Y24" i="30"/>
  <c r="AM11" i="30"/>
  <c r="AH24" i="30"/>
  <c r="AV11" i="30"/>
  <c r="AH37" i="30"/>
  <c r="AO12" i="30"/>
  <c r="AN12" i="30"/>
  <c r="AF24" i="30"/>
  <c r="AF37" i="30"/>
  <c r="AT11" i="30"/>
  <c r="AE24" i="30"/>
  <c r="AE37" i="30"/>
  <c r="AS11" i="30"/>
  <c r="AL12" i="30"/>
  <c r="AU12" i="30"/>
  <c r="AG37" i="30"/>
  <c r="AG24" i="30"/>
  <c r="AU11" i="30"/>
  <c r="AC37" i="30"/>
  <c r="AC24" i="30"/>
  <c r="AQ11" i="30"/>
  <c r="AA37" i="30"/>
  <c r="AA24" i="30"/>
  <c r="AO11" i="30"/>
  <c r="AV12" i="30"/>
  <c r="AW12" i="30"/>
  <c r="Z37" i="30"/>
  <c r="Z24" i="30"/>
  <c r="AN11" i="30"/>
  <c r="AI37" i="30"/>
  <c r="AI24" i="30"/>
  <c r="AW11" i="30"/>
  <c r="AR12" i="30"/>
  <c r="AQ12" i="30"/>
  <c r="Z39" i="27"/>
  <c r="Z26" i="27"/>
  <c r="Y39" i="27"/>
  <c r="Y26" i="27"/>
  <c r="AB39" i="27"/>
  <c r="AB26" i="27"/>
  <c r="AF39" i="27"/>
  <c r="AF26" i="27"/>
  <c r="AE39" i="27"/>
  <c r="AE26" i="27"/>
  <c r="AC39" i="27"/>
  <c r="AC26" i="27"/>
  <c r="AH39" i="27"/>
  <c r="AH26" i="27"/>
  <c r="AG26" i="27"/>
  <c r="AG39" i="27"/>
  <c r="AA26" i="27"/>
  <c r="AA39" i="27"/>
  <c r="AI39" i="27"/>
  <c r="AI26" i="27"/>
  <c r="X39" i="27"/>
  <c r="X26" i="27"/>
  <c r="AH12" i="27"/>
  <c r="AB12" i="27"/>
  <c r="AG12" i="27"/>
  <c r="AA12" i="27"/>
  <c r="AD12" i="27"/>
  <c r="X12" i="27"/>
  <c r="AI12" i="27"/>
  <c r="AC12" i="27"/>
  <c r="Y12" i="27"/>
  <c r="W11" i="27"/>
  <c r="AF12" i="27"/>
  <c r="Z12" i="27"/>
  <c r="AE12" i="27"/>
  <c r="AD39" i="27"/>
  <c r="AD26" i="27"/>
  <c r="AE39" i="26"/>
  <c r="AE26" i="26"/>
  <c r="AA26" i="26"/>
  <c r="AA39" i="26"/>
  <c r="AH39" i="26"/>
  <c r="AH26" i="26"/>
  <c r="AG39" i="26"/>
  <c r="AG26" i="26"/>
  <c r="AB39" i="26"/>
  <c r="AB26" i="26"/>
  <c r="AI39" i="26"/>
  <c r="AI26" i="26"/>
  <c r="AC39" i="26"/>
  <c r="AC26" i="26"/>
  <c r="AG12" i="26"/>
  <c r="AA12" i="26"/>
  <c r="AF12" i="26"/>
  <c r="Z12" i="26"/>
  <c r="W11" i="26"/>
  <c r="AD12" i="26"/>
  <c r="X12" i="26"/>
  <c r="AI12" i="26"/>
  <c r="AE12" i="26"/>
  <c r="AB12" i="26"/>
  <c r="Y12" i="26"/>
  <c r="AH12" i="26"/>
  <c r="AC12" i="26"/>
  <c r="X39" i="26"/>
  <c r="X26" i="26"/>
  <c r="Y39" i="26"/>
  <c r="Y26" i="26"/>
  <c r="Z39" i="26"/>
  <c r="Z26" i="26"/>
  <c r="AF39" i="26"/>
  <c r="AF26" i="26"/>
  <c r="AD39" i="26"/>
  <c r="AD26" i="26"/>
  <c r="AE41" i="24"/>
  <c r="AE28" i="24"/>
  <c r="AB41" i="24"/>
  <c r="AB28" i="24"/>
  <c r="AD14" i="24"/>
  <c r="X14" i="24"/>
  <c r="AI14" i="24"/>
  <c r="AC14" i="24"/>
  <c r="AH14" i="24"/>
  <c r="AB14" i="24"/>
  <c r="AF14" i="24"/>
  <c r="Z14" i="24"/>
  <c r="W13" i="24"/>
  <c r="AE14" i="24"/>
  <c r="Y14" i="24"/>
  <c r="AA14" i="24"/>
  <c r="AG14" i="24"/>
  <c r="AH41" i="24"/>
  <c r="AH28" i="24"/>
  <c r="Z41" i="24"/>
  <c r="Z28" i="24"/>
  <c r="AD41" i="24"/>
  <c r="AD28" i="24"/>
  <c r="AC41" i="24"/>
  <c r="AC28" i="24"/>
  <c r="AF41" i="24"/>
  <c r="AF28" i="24"/>
  <c r="AI41" i="24"/>
  <c r="AI28" i="24"/>
  <c r="AA41" i="24"/>
  <c r="AA28" i="24"/>
  <c r="X41" i="24"/>
  <c r="X28" i="24"/>
  <c r="Y41" i="24"/>
  <c r="Y28" i="24"/>
  <c r="AG28" i="24"/>
  <c r="AG41" i="24"/>
  <c r="W21" i="23"/>
  <c r="AK34" i="23"/>
  <c r="AK33" i="23" s="1"/>
  <c r="AK32" i="23" s="1"/>
  <c r="AK31" i="23" s="1"/>
  <c r="AK30" i="23" s="1"/>
  <c r="AK29" i="23" s="1"/>
  <c r="AK28" i="23" s="1"/>
  <c r="AK27" i="23" s="1"/>
  <c r="AK26" i="23" s="1"/>
  <c r="AK25" i="23" s="1"/>
  <c r="AK24" i="23" s="1"/>
  <c r="W47" i="23"/>
  <c r="W46" i="23" s="1"/>
  <c r="W45" i="23" s="1"/>
  <c r="W44" i="23" s="1"/>
  <c r="W43" i="23" s="1"/>
  <c r="W42" i="23" s="1"/>
  <c r="W41" i="23" s="1"/>
  <c r="W40" i="23" s="1"/>
  <c r="W39" i="23" s="1"/>
  <c r="W38" i="23" s="1"/>
  <c r="W37" i="23" s="1"/>
  <c r="W34" i="23"/>
  <c r="W33" i="23" s="1"/>
  <c r="W32" i="23" s="1"/>
  <c r="W31" i="23" s="1"/>
  <c r="W30" i="23" s="1"/>
  <c r="W29" i="23" s="1"/>
  <c r="W28" i="23" s="1"/>
  <c r="W27" i="23" s="1"/>
  <c r="W26" i="23" s="1"/>
  <c r="W25" i="23" s="1"/>
  <c r="W24" i="23" s="1"/>
  <c r="AK47" i="23"/>
  <c r="AK46" i="23" s="1"/>
  <c r="AK45" i="23" s="1"/>
  <c r="AK44" i="23" s="1"/>
  <c r="AK43" i="23" s="1"/>
  <c r="AK42" i="23" s="1"/>
  <c r="AK41" i="23" s="1"/>
  <c r="AK40" i="23" s="1"/>
  <c r="AK39" i="23" s="1"/>
  <c r="AK38" i="23" s="1"/>
  <c r="AK37" i="23" s="1"/>
  <c r="AK21" i="23"/>
  <c r="AK20" i="23" s="1"/>
  <c r="AK19" i="23" s="1"/>
  <c r="AK18" i="23" s="1"/>
  <c r="AK17" i="23" s="1"/>
  <c r="AK16" i="23" s="1"/>
  <c r="AK15" i="23" s="1"/>
  <c r="AK14" i="23" s="1"/>
  <c r="AK13" i="23" s="1"/>
  <c r="AK12" i="23" s="1"/>
  <c r="AK11" i="23" s="1"/>
  <c r="AC2" i="1"/>
  <c r="AD2" i="1"/>
  <c r="AE2" i="1"/>
  <c r="AF2" i="1"/>
  <c r="AB11" i="1"/>
  <c r="AB7" i="1"/>
  <c r="AM25" i="30" l="1"/>
  <c r="AR38" i="30"/>
  <c r="AR25" i="30"/>
  <c r="AU26" i="30"/>
  <c r="AU39" i="30"/>
  <c r="AO28" i="30"/>
  <c r="AO41" i="30"/>
  <c r="AT31" i="30"/>
  <c r="AT44" i="30"/>
  <c r="AS46" i="30"/>
  <c r="AS33" i="30"/>
  <c r="AS37" i="30"/>
  <c r="AS24" i="30"/>
  <c r="AV37" i="30"/>
  <c r="AV24" i="30"/>
  <c r="AT38" i="30"/>
  <c r="AT25" i="30"/>
  <c r="AR39" i="30"/>
  <c r="AR26" i="30"/>
  <c r="AS39" i="30"/>
  <c r="AS26" i="30"/>
  <c r="AW40" i="30"/>
  <c r="AW27" i="30"/>
  <c r="AN27" i="30"/>
  <c r="AN40" i="30"/>
  <c r="AU41" i="30"/>
  <c r="AU28" i="30"/>
  <c r="AV41" i="30"/>
  <c r="AV28" i="30"/>
  <c r="AO42" i="30"/>
  <c r="AO29" i="30"/>
  <c r="AR29" i="30"/>
  <c r="AR42" i="30"/>
  <c r="AW43" i="30"/>
  <c r="AW30" i="30"/>
  <c r="AV43" i="30"/>
  <c r="AV30" i="30"/>
  <c r="AP44" i="30"/>
  <c r="AP31" i="30"/>
  <c r="AS44" i="30"/>
  <c r="AS31" i="30"/>
  <c r="AP45" i="30"/>
  <c r="AP32" i="30"/>
  <c r="AT45" i="30"/>
  <c r="AT32" i="30"/>
  <c r="AP33" i="30"/>
  <c r="AP46" i="30"/>
  <c r="AL46" i="30"/>
  <c r="AL33" i="30"/>
  <c r="AV47" i="30"/>
  <c r="AV34" i="30"/>
  <c r="AL34" i="30"/>
  <c r="AL47" i="30"/>
  <c r="AR37" i="30"/>
  <c r="AR24" i="30"/>
  <c r="AP37" i="30"/>
  <c r="AP24" i="30"/>
  <c r="AL25" i="30"/>
  <c r="AL38" i="30"/>
  <c r="AM40" i="30"/>
  <c r="AM27" i="30"/>
  <c r="AN43" i="30"/>
  <c r="AN30" i="30"/>
  <c r="AN46" i="30"/>
  <c r="AN33" i="30"/>
  <c r="F35" i="30"/>
  <c r="AW24" i="30"/>
  <c r="AW37" i="30"/>
  <c r="AU37" i="30"/>
  <c r="AU24" i="30"/>
  <c r="AP38" i="30"/>
  <c r="AP25" i="30"/>
  <c r="AN39" i="30"/>
  <c r="AN26" i="30"/>
  <c r="AW39" i="30"/>
  <c r="AW26" i="30"/>
  <c r="AL40" i="30"/>
  <c r="AL27" i="30"/>
  <c r="AS40" i="30"/>
  <c r="AS27" i="30"/>
  <c r="AR41" i="30"/>
  <c r="AR28" i="30"/>
  <c r="AN41" i="30"/>
  <c r="AN28" i="30"/>
  <c r="AM42" i="30"/>
  <c r="AM29" i="30"/>
  <c r="AU42" i="30"/>
  <c r="AU29" i="30"/>
  <c r="AL43" i="30"/>
  <c r="AL30" i="30"/>
  <c r="AT43" i="30"/>
  <c r="AT30" i="30"/>
  <c r="AL31" i="30"/>
  <c r="AL44" i="30"/>
  <c r="AW44" i="30"/>
  <c r="AW31" i="30"/>
  <c r="AL45" i="30"/>
  <c r="AL32" i="30"/>
  <c r="AN45" i="30"/>
  <c r="AN32" i="30"/>
  <c r="AU46" i="30"/>
  <c r="AU33" i="30"/>
  <c r="AR33" i="30"/>
  <c r="AR46" i="30"/>
  <c r="AN34" i="30"/>
  <c r="AN47" i="30"/>
  <c r="AP47" i="30"/>
  <c r="AP34" i="30"/>
  <c r="AN37" i="30"/>
  <c r="AN24" i="30"/>
  <c r="AV39" i="30"/>
  <c r="AV26" i="30"/>
  <c r="AL29" i="30"/>
  <c r="AL42" i="30"/>
  <c r="AM45" i="30"/>
  <c r="AM32" i="30"/>
  <c r="AO34" i="30"/>
  <c r="AO47" i="30"/>
  <c r="AN38" i="30"/>
  <c r="AN25" i="30"/>
  <c r="AM37" i="30"/>
  <c r="AM24" i="30"/>
  <c r="AP39" i="30"/>
  <c r="AP26" i="30"/>
  <c r="AT39" i="30"/>
  <c r="AT26" i="30"/>
  <c r="AV40" i="30"/>
  <c r="AV27" i="30"/>
  <c r="AQ40" i="30"/>
  <c r="AQ27" i="30"/>
  <c r="AS41" i="30"/>
  <c r="AS28" i="30"/>
  <c r="AT41" i="30"/>
  <c r="AT28" i="30"/>
  <c r="AP29" i="30"/>
  <c r="AP42" i="30"/>
  <c r="AT42" i="30"/>
  <c r="AT29" i="30"/>
  <c r="AS43" i="30"/>
  <c r="AS30" i="30"/>
  <c r="AU43" i="30"/>
  <c r="AU30" i="30"/>
  <c r="AV44" i="30"/>
  <c r="AV31" i="30"/>
  <c r="AN31" i="30"/>
  <c r="AN44" i="30"/>
  <c r="AO45" i="30"/>
  <c r="AO32" i="30"/>
  <c r="AW45" i="30"/>
  <c r="AW32" i="30"/>
  <c r="AO46" i="30"/>
  <c r="AO33" i="30"/>
  <c r="AV33" i="30"/>
  <c r="AV46" i="30"/>
  <c r="AW34" i="30"/>
  <c r="AW47" i="30"/>
  <c r="AM34" i="30"/>
  <c r="AM47" i="30"/>
  <c r="AL37" i="30"/>
  <c r="AL24" i="30"/>
  <c r="AS38" i="30"/>
  <c r="AS25" i="30"/>
  <c r="AT40" i="30"/>
  <c r="AT27" i="30"/>
  <c r="AN42" i="30"/>
  <c r="AN29" i="30"/>
  <c r="AU31" i="30"/>
  <c r="AU44" i="30"/>
  <c r="AU47" i="30"/>
  <c r="AU34" i="30"/>
  <c r="AV25" i="30"/>
  <c r="AV38" i="30"/>
  <c r="AQ37" i="30"/>
  <c r="AQ24" i="30"/>
  <c r="AO38" i="30"/>
  <c r="AO25" i="30"/>
  <c r="AQ39" i="30"/>
  <c r="AQ26" i="30"/>
  <c r="AO39" i="30"/>
  <c r="AO26" i="30"/>
  <c r="AU40" i="30"/>
  <c r="AU27" i="30"/>
  <c r="AR40" i="30"/>
  <c r="AR27" i="30"/>
  <c r="AL28" i="30"/>
  <c r="AL41" i="30"/>
  <c r="AQ41" i="30"/>
  <c r="AQ28" i="30"/>
  <c r="AQ42" i="30"/>
  <c r="AQ29" i="30"/>
  <c r="AS42" i="30"/>
  <c r="AS29" i="30"/>
  <c r="AM30" i="30"/>
  <c r="AM43" i="30"/>
  <c r="AO30" i="30"/>
  <c r="AO43" i="30"/>
  <c r="AR44" i="30"/>
  <c r="AR31" i="30"/>
  <c r="AM44" i="30"/>
  <c r="AM31" i="30"/>
  <c r="AQ32" i="30"/>
  <c r="AQ45" i="30"/>
  <c r="AS45" i="30"/>
  <c r="AS32" i="30"/>
  <c r="AQ33" i="30"/>
  <c r="AQ46" i="30"/>
  <c r="AT46" i="30"/>
  <c r="AT33" i="30"/>
  <c r="AR34" i="30"/>
  <c r="AR47" i="30"/>
  <c r="AS34" i="30"/>
  <c r="AS47" i="30"/>
  <c r="F9" i="30"/>
  <c r="AO37" i="30"/>
  <c r="AO24" i="30"/>
  <c r="AM28" i="30"/>
  <c r="AM41" i="30"/>
  <c r="AP43" i="30"/>
  <c r="AP30" i="30"/>
  <c r="AV45" i="30"/>
  <c r="AV32" i="30"/>
  <c r="AW38" i="30"/>
  <c r="AW25" i="30"/>
  <c r="AQ38" i="30"/>
  <c r="AQ25" i="30"/>
  <c r="AU38" i="30"/>
  <c r="AU25" i="30"/>
  <c r="AT37" i="30"/>
  <c r="AT24" i="30"/>
  <c r="AL26" i="30"/>
  <c r="AL39" i="30"/>
  <c r="AM39" i="30"/>
  <c r="AM26" i="30"/>
  <c r="AO40" i="30"/>
  <c r="AO27" i="30"/>
  <c r="AP40" i="30"/>
  <c r="AP27" i="30"/>
  <c r="AW28" i="30"/>
  <c r="AW41" i="30"/>
  <c r="AP41" i="30"/>
  <c r="AP28" i="30"/>
  <c r="AW42" i="30"/>
  <c r="AW29" i="30"/>
  <c r="AV42" i="30"/>
  <c r="AV29" i="30"/>
  <c r="AQ43" i="30"/>
  <c r="AQ30" i="30"/>
  <c r="AR43" i="30"/>
  <c r="AR30" i="30"/>
  <c r="AO31" i="30"/>
  <c r="AO44" i="30"/>
  <c r="AQ44" i="30"/>
  <c r="AQ31" i="30"/>
  <c r="AU32" i="30"/>
  <c r="AU45" i="30"/>
  <c r="AR32" i="30"/>
  <c r="AR45" i="30"/>
  <c r="AM46" i="30"/>
  <c r="AM33" i="30"/>
  <c r="AW33" i="30"/>
  <c r="AW46" i="30"/>
  <c r="AQ47" i="30"/>
  <c r="AQ34" i="30"/>
  <c r="AT34" i="30"/>
  <c r="AT47" i="30"/>
  <c r="F22" i="30"/>
  <c r="AE11" i="27"/>
  <c r="Y11" i="27"/>
  <c r="AD11" i="27"/>
  <c r="X11" i="27"/>
  <c r="AG11" i="27"/>
  <c r="AA11" i="27"/>
  <c r="AF11" i="27"/>
  <c r="Z11" i="27"/>
  <c r="AB11" i="27"/>
  <c r="AI11" i="27"/>
  <c r="AH11" i="27"/>
  <c r="AC11" i="27"/>
  <c r="AA38" i="27"/>
  <c r="AA25" i="27"/>
  <c r="AC38" i="27"/>
  <c r="AC25" i="27"/>
  <c r="Y38" i="27"/>
  <c r="Y25" i="27"/>
  <c r="AG38" i="27"/>
  <c r="AG25" i="27"/>
  <c r="AB38" i="27"/>
  <c r="AB25" i="27"/>
  <c r="AI38" i="27"/>
  <c r="AI25" i="27"/>
  <c r="AH38" i="27"/>
  <c r="AH25" i="27"/>
  <c r="AE38" i="27"/>
  <c r="AE25" i="27"/>
  <c r="Z38" i="27"/>
  <c r="Z25" i="27"/>
  <c r="X38" i="27"/>
  <c r="X25" i="27"/>
  <c r="AF38" i="27"/>
  <c r="AF25" i="27"/>
  <c r="AD38" i="27"/>
  <c r="AD25" i="27"/>
  <c r="AH38" i="26"/>
  <c r="AH25" i="26"/>
  <c r="AI38" i="26"/>
  <c r="AI25" i="26"/>
  <c r="AA38" i="26"/>
  <c r="AA25" i="26"/>
  <c r="AD38" i="26"/>
  <c r="AD25" i="26"/>
  <c r="AC38" i="26"/>
  <c r="AC25" i="26"/>
  <c r="X25" i="26"/>
  <c r="X38" i="26"/>
  <c r="AG25" i="26"/>
  <c r="AG38" i="26"/>
  <c r="Y38" i="26"/>
  <c r="Y25" i="26"/>
  <c r="AD11" i="26"/>
  <c r="X11" i="26"/>
  <c r="AI11" i="26"/>
  <c r="AC11" i="26"/>
  <c r="AG11" i="26"/>
  <c r="AA11" i="26"/>
  <c r="Z11" i="26"/>
  <c r="AH11" i="26"/>
  <c r="AE11" i="26"/>
  <c r="AB11" i="26"/>
  <c r="AF11" i="26"/>
  <c r="Y11" i="26"/>
  <c r="AB38" i="26"/>
  <c r="AB25" i="26"/>
  <c r="Z38" i="26"/>
  <c r="Z25" i="26"/>
  <c r="AE38" i="26"/>
  <c r="AE25" i="26"/>
  <c r="AF38" i="26"/>
  <c r="AF25" i="26"/>
  <c r="AC40" i="24"/>
  <c r="AC27" i="24"/>
  <c r="AG13" i="24"/>
  <c r="AA13" i="24"/>
  <c r="AF13" i="24"/>
  <c r="Z13" i="24"/>
  <c r="W12" i="24"/>
  <c r="AI13" i="24"/>
  <c r="AC13" i="24"/>
  <c r="AH13" i="24"/>
  <c r="AB13" i="24"/>
  <c r="AD13" i="24"/>
  <c r="Y13" i="24"/>
  <c r="X13" i="24"/>
  <c r="AE13" i="24"/>
  <c r="AI40" i="24"/>
  <c r="AI27" i="24"/>
  <c r="Z40" i="24"/>
  <c r="Z27" i="24"/>
  <c r="X27" i="24"/>
  <c r="X40" i="24"/>
  <c r="AG40" i="24"/>
  <c r="AG27" i="24"/>
  <c r="AF40" i="24"/>
  <c r="AF27" i="24"/>
  <c r="AD40" i="24"/>
  <c r="AD27" i="24"/>
  <c r="AE40" i="24"/>
  <c r="AE27" i="24"/>
  <c r="AA40" i="24"/>
  <c r="AA27" i="24"/>
  <c r="AB40" i="24"/>
  <c r="AB27" i="24"/>
  <c r="Y40" i="24"/>
  <c r="Y27" i="24"/>
  <c r="AH40" i="24"/>
  <c r="AH27" i="24"/>
  <c r="AH21" i="23"/>
  <c r="AB21" i="23"/>
  <c r="AG21" i="23"/>
  <c r="AA21" i="23"/>
  <c r="AF21" i="23"/>
  <c r="Z21" i="23"/>
  <c r="W20" i="23"/>
  <c r="AE21" i="23"/>
  <c r="Y21" i="23"/>
  <c r="X21" i="23"/>
  <c r="AI21" i="23"/>
  <c r="AD21" i="23"/>
  <c r="AC21" i="23"/>
  <c r="W47" i="22"/>
  <c r="W46" i="22" s="1"/>
  <c r="W45" i="22" s="1"/>
  <c r="W44" i="22" s="1"/>
  <c r="W43" i="22" s="1"/>
  <c r="W42" i="22" s="1"/>
  <c r="W41" i="22" s="1"/>
  <c r="W40" i="22" s="1"/>
  <c r="W39" i="22" s="1"/>
  <c r="W38" i="22" s="1"/>
  <c r="W37" i="22" s="1"/>
  <c r="AK47" i="22"/>
  <c r="AK46" i="22" s="1"/>
  <c r="AK45" i="22" s="1"/>
  <c r="AK44" i="22" s="1"/>
  <c r="AK43" i="22" s="1"/>
  <c r="AK42" i="22" s="1"/>
  <c r="AK41" i="22" s="1"/>
  <c r="AK40" i="22" s="1"/>
  <c r="AK39" i="22" s="1"/>
  <c r="AK38" i="22" s="1"/>
  <c r="AK37" i="22" s="1"/>
  <c r="AK34" i="22"/>
  <c r="AK33" i="22" s="1"/>
  <c r="AK32" i="22" s="1"/>
  <c r="AK31" i="22" s="1"/>
  <c r="AK30" i="22" s="1"/>
  <c r="AK29" i="22" s="1"/>
  <c r="AK28" i="22" s="1"/>
  <c r="AK27" i="22" s="1"/>
  <c r="AK26" i="22" s="1"/>
  <c r="AK25" i="22" s="1"/>
  <c r="AK24" i="22" s="1"/>
  <c r="W34" i="22"/>
  <c r="W33" i="22" s="1"/>
  <c r="W32" i="22" s="1"/>
  <c r="W31" i="22" s="1"/>
  <c r="W30" i="22" s="1"/>
  <c r="W29" i="22" s="1"/>
  <c r="W28" i="22" s="1"/>
  <c r="W27" i="22" s="1"/>
  <c r="W26" i="22" s="1"/>
  <c r="W25" i="22" s="1"/>
  <c r="W24" i="22" s="1"/>
  <c r="AK21" i="22"/>
  <c r="AK20" i="22" s="1"/>
  <c r="AK19" i="22" s="1"/>
  <c r="AK18" i="22" s="1"/>
  <c r="AK17" i="22" s="1"/>
  <c r="AK16" i="22" s="1"/>
  <c r="AK15" i="22" s="1"/>
  <c r="AK14" i="22" s="1"/>
  <c r="AK13" i="22" s="1"/>
  <c r="AK12" i="22" s="1"/>
  <c r="AK11" i="22" s="1"/>
  <c r="W21" i="22"/>
  <c r="B19" i="1"/>
  <c r="AC11" i="1"/>
  <c r="AC7" i="1"/>
  <c r="AO12" i="27" l="1"/>
  <c r="AO38" i="27" s="1"/>
  <c r="AC37" i="27"/>
  <c r="AC24" i="27"/>
  <c r="AQ11" i="27"/>
  <c r="AN12" i="27"/>
  <c r="AH37" i="27"/>
  <c r="AH24" i="27"/>
  <c r="AV11" i="27"/>
  <c r="AG24" i="27"/>
  <c r="AG37" i="27"/>
  <c r="AU11" i="27"/>
  <c r="AI37" i="27"/>
  <c r="AI24" i="27"/>
  <c r="AW11" i="27"/>
  <c r="X37" i="27"/>
  <c r="X24" i="27"/>
  <c r="AL11" i="27"/>
  <c r="AL21" i="27"/>
  <c r="AN21" i="27"/>
  <c r="AT21" i="27"/>
  <c r="AO21" i="27"/>
  <c r="AM21" i="27"/>
  <c r="AV21" i="27"/>
  <c r="AU21" i="27"/>
  <c r="AQ21" i="27"/>
  <c r="AP21" i="27"/>
  <c r="AR21" i="27"/>
  <c r="AS21" i="27"/>
  <c r="AW21" i="27"/>
  <c r="AQ20" i="27"/>
  <c r="AW20" i="27"/>
  <c r="AO20" i="27"/>
  <c r="AM20" i="27"/>
  <c r="AR20" i="27"/>
  <c r="AL20" i="27"/>
  <c r="AT20" i="27"/>
  <c r="AN20" i="27"/>
  <c r="AV20" i="27"/>
  <c r="AS20" i="27"/>
  <c r="AP20" i="27"/>
  <c r="AU20" i="27"/>
  <c r="AP19" i="27"/>
  <c r="AQ19" i="27"/>
  <c r="AO19" i="27"/>
  <c r="AT19" i="27"/>
  <c r="AS19" i="27"/>
  <c r="AN19" i="27"/>
  <c r="AL19" i="27"/>
  <c r="AR19" i="27"/>
  <c r="AM19" i="27"/>
  <c r="AW19" i="27"/>
  <c r="AU19" i="27"/>
  <c r="AV19" i="27"/>
  <c r="AR18" i="27"/>
  <c r="AT18" i="27"/>
  <c r="AM18" i="27"/>
  <c r="AU18" i="27"/>
  <c r="AS18" i="27"/>
  <c r="AW18" i="27"/>
  <c r="AO18" i="27"/>
  <c r="AN18" i="27"/>
  <c r="AV18" i="27"/>
  <c r="AL18" i="27"/>
  <c r="AP18" i="27"/>
  <c r="AQ18" i="27"/>
  <c r="AN17" i="27"/>
  <c r="AW17" i="27"/>
  <c r="AV17" i="27"/>
  <c r="AU17" i="27"/>
  <c r="AS17" i="27"/>
  <c r="AT17" i="27"/>
  <c r="AR17" i="27"/>
  <c r="AQ17" i="27"/>
  <c r="AP17" i="27"/>
  <c r="AM17" i="27"/>
  <c r="AL17" i="27"/>
  <c r="AO17" i="27"/>
  <c r="AM16" i="27"/>
  <c r="AS16" i="27"/>
  <c r="AV16" i="27"/>
  <c r="AQ16" i="27"/>
  <c r="AT16" i="27"/>
  <c r="AN16" i="27"/>
  <c r="AP16" i="27"/>
  <c r="AO16" i="27"/>
  <c r="AL16" i="27"/>
  <c r="AW16" i="27"/>
  <c r="AR16" i="27"/>
  <c r="AU16" i="27"/>
  <c r="AL15" i="27"/>
  <c r="AM15" i="27"/>
  <c r="AS15" i="27"/>
  <c r="AU15" i="27"/>
  <c r="AN15" i="27"/>
  <c r="AV15" i="27"/>
  <c r="AQ15" i="27"/>
  <c r="AP15" i="27"/>
  <c r="AO15" i="27"/>
  <c r="AR15" i="27"/>
  <c r="AT15" i="27"/>
  <c r="AW15" i="27"/>
  <c r="AT14" i="27"/>
  <c r="AL14" i="27"/>
  <c r="AR14" i="27"/>
  <c r="AN14" i="27"/>
  <c r="AM14" i="27"/>
  <c r="AQ14" i="27"/>
  <c r="AV14" i="27"/>
  <c r="AS14" i="27"/>
  <c r="AW14" i="27"/>
  <c r="AP14" i="27"/>
  <c r="AO14" i="27"/>
  <c r="AU14" i="27"/>
  <c r="AL13" i="27"/>
  <c r="AN13" i="27"/>
  <c r="AT13" i="27"/>
  <c r="AV13" i="27"/>
  <c r="AM13" i="27"/>
  <c r="AS13" i="27"/>
  <c r="AU13" i="27"/>
  <c r="AW13" i="27"/>
  <c r="AQ13" i="27"/>
  <c r="AP13" i="27"/>
  <c r="AO13" i="27"/>
  <c r="AR13" i="27"/>
  <c r="AL12" i="27"/>
  <c r="AU12" i="27"/>
  <c r="AB37" i="27"/>
  <c r="AB24" i="27"/>
  <c r="AP11" i="27"/>
  <c r="AD37" i="27"/>
  <c r="AD24" i="27"/>
  <c r="AR11" i="27"/>
  <c r="AA37" i="27"/>
  <c r="AA24" i="27"/>
  <c r="AO11" i="27"/>
  <c r="AV12" i="27"/>
  <c r="AS12" i="27"/>
  <c r="AP12" i="27"/>
  <c r="AQ12" i="27"/>
  <c r="Z37" i="27"/>
  <c r="Z24" i="27"/>
  <c r="AN11" i="27"/>
  <c r="Y37" i="27"/>
  <c r="AM11" i="27"/>
  <c r="Y24" i="27"/>
  <c r="AR12" i="27"/>
  <c r="AW12" i="27"/>
  <c r="AM12" i="27"/>
  <c r="AT12" i="27"/>
  <c r="AF37" i="27"/>
  <c r="AF24" i="27"/>
  <c r="AT11" i="27"/>
  <c r="AE24" i="27"/>
  <c r="AS11" i="27"/>
  <c r="AE37" i="27"/>
  <c r="AO12" i="26"/>
  <c r="AO38" i="26" s="1"/>
  <c r="AP12" i="26"/>
  <c r="AB37" i="26"/>
  <c r="AB24" i="26"/>
  <c r="AP11" i="26"/>
  <c r="AC37" i="26"/>
  <c r="AQ11" i="26"/>
  <c r="AC24" i="26"/>
  <c r="AL12" i="26"/>
  <c r="AE37" i="26"/>
  <c r="AE24" i="26"/>
  <c r="AS11" i="26"/>
  <c r="AW11" i="26"/>
  <c r="AI24" i="26"/>
  <c r="AI37" i="26"/>
  <c r="X37" i="26"/>
  <c r="X24" i="26"/>
  <c r="AL11" i="26"/>
  <c r="AL21" i="26"/>
  <c r="AW21" i="26"/>
  <c r="AS21" i="26"/>
  <c r="AU21" i="26"/>
  <c r="AO21" i="26"/>
  <c r="AN21" i="26"/>
  <c r="AQ21" i="26"/>
  <c r="AR21" i="26"/>
  <c r="AM21" i="26"/>
  <c r="AV21" i="26"/>
  <c r="AT21" i="26"/>
  <c r="AP21" i="26"/>
  <c r="AS20" i="26"/>
  <c r="AO20" i="26"/>
  <c r="AP20" i="26"/>
  <c r="AV20" i="26"/>
  <c r="AQ20" i="26"/>
  <c r="AN20" i="26"/>
  <c r="AU20" i="26"/>
  <c r="AR20" i="26"/>
  <c r="AM20" i="26"/>
  <c r="AT20" i="26"/>
  <c r="AL20" i="26"/>
  <c r="AW20" i="26"/>
  <c r="AM19" i="26"/>
  <c r="AP19" i="26"/>
  <c r="AQ19" i="26"/>
  <c r="AR19" i="26"/>
  <c r="AW19" i="26"/>
  <c r="AS19" i="26"/>
  <c r="AN19" i="26"/>
  <c r="AT19" i="26"/>
  <c r="AU19" i="26"/>
  <c r="AO19" i="26"/>
  <c r="AV19" i="26"/>
  <c r="AL19" i="26"/>
  <c r="AS18" i="26"/>
  <c r="AP18" i="26"/>
  <c r="AO18" i="26"/>
  <c r="AU18" i="26"/>
  <c r="AQ18" i="26"/>
  <c r="AM18" i="26"/>
  <c r="AV18" i="26"/>
  <c r="AL18" i="26"/>
  <c r="AW18" i="26"/>
  <c r="AT18" i="26"/>
  <c r="AR18" i="26"/>
  <c r="AN18" i="26"/>
  <c r="AU17" i="26"/>
  <c r="AQ17" i="26"/>
  <c r="AS17" i="26"/>
  <c r="AP17" i="26"/>
  <c r="AL17" i="26"/>
  <c r="AT17" i="26"/>
  <c r="AR17" i="26"/>
  <c r="AM17" i="26"/>
  <c r="AO17" i="26"/>
  <c r="AN17" i="26"/>
  <c r="AW17" i="26"/>
  <c r="AV17" i="26"/>
  <c r="AQ16" i="26"/>
  <c r="AO16" i="26"/>
  <c r="AU16" i="26"/>
  <c r="AP16" i="26"/>
  <c r="AL16" i="26"/>
  <c r="AN16" i="26"/>
  <c r="AW16" i="26"/>
  <c r="AR16" i="26"/>
  <c r="AV16" i="26"/>
  <c r="AM16" i="26"/>
  <c r="AS16" i="26"/>
  <c r="AT16" i="26"/>
  <c r="AO15" i="26"/>
  <c r="AP15" i="26"/>
  <c r="AW15" i="26"/>
  <c r="AL15" i="26"/>
  <c r="AT15" i="26"/>
  <c r="AS15" i="26"/>
  <c r="AM15" i="26"/>
  <c r="AV15" i="26"/>
  <c r="AR15" i="26"/>
  <c r="AU15" i="26"/>
  <c r="AQ15" i="26"/>
  <c r="AN15" i="26"/>
  <c r="AM14" i="26"/>
  <c r="AP14" i="26"/>
  <c r="AW14" i="26"/>
  <c r="AU14" i="26"/>
  <c r="AT14" i="26"/>
  <c r="AQ14" i="26"/>
  <c r="AN14" i="26"/>
  <c r="AL14" i="26"/>
  <c r="AR14" i="26"/>
  <c r="AO14" i="26"/>
  <c r="AS14" i="26"/>
  <c r="AV14" i="26"/>
  <c r="AO13" i="26"/>
  <c r="AP13" i="26"/>
  <c r="AM13" i="26"/>
  <c r="AQ13" i="26"/>
  <c r="AT13" i="26"/>
  <c r="AN13" i="26"/>
  <c r="AV13" i="26"/>
  <c r="AS13" i="26"/>
  <c r="AU13" i="26"/>
  <c r="AW13" i="26"/>
  <c r="AR13" i="26"/>
  <c r="AL13" i="26"/>
  <c r="AU12" i="26"/>
  <c r="Z37" i="26"/>
  <c r="Z24" i="26"/>
  <c r="AN11" i="26"/>
  <c r="AD37" i="26"/>
  <c r="AR11" i="26"/>
  <c r="AD24" i="26"/>
  <c r="AR12" i="26"/>
  <c r="AV12" i="26"/>
  <c r="AH37" i="26"/>
  <c r="AH24" i="26"/>
  <c r="AV11" i="26"/>
  <c r="Y37" i="26"/>
  <c r="Y24" i="26"/>
  <c r="AM11" i="26"/>
  <c r="AA37" i="26"/>
  <c r="AA24" i="26"/>
  <c r="AO11" i="26"/>
  <c r="AT12" i="26"/>
  <c r="AN12" i="26"/>
  <c r="AS12" i="26"/>
  <c r="AF37" i="26"/>
  <c r="AF24" i="26"/>
  <c r="AT11" i="26"/>
  <c r="AG24" i="26"/>
  <c r="AG37" i="26"/>
  <c r="AU11" i="26"/>
  <c r="AM12" i="26"/>
  <c r="AQ12" i="26"/>
  <c r="AW12" i="26"/>
  <c r="AE39" i="24"/>
  <c r="AE26" i="24"/>
  <c r="AC39" i="24"/>
  <c r="AC26" i="24"/>
  <c r="AG39" i="24"/>
  <c r="AG26" i="24"/>
  <c r="AA26" i="24"/>
  <c r="AA39" i="24"/>
  <c r="X39" i="24"/>
  <c r="X26" i="24"/>
  <c r="AI39" i="24"/>
  <c r="AI26" i="24"/>
  <c r="Y39" i="24"/>
  <c r="Y26" i="24"/>
  <c r="AD12" i="24"/>
  <c r="X12" i="24"/>
  <c r="AI12" i="24"/>
  <c r="AC12" i="24"/>
  <c r="AF12" i="24"/>
  <c r="Z12" i="24"/>
  <c r="W11" i="24"/>
  <c r="AE12" i="24"/>
  <c r="Y12" i="24"/>
  <c r="AG12" i="24"/>
  <c r="AB12" i="24"/>
  <c r="AA12" i="24"/>
  <c r="AH12" i="24"/>
  <c r="AH39" i="24"/>
  <c r="AH26" i="24"/>
  <c r="AD39" i="24"/>
  <c r="AD26" i="24"/>
  <c r="Z39" i="24"/>
  <c r="Z26" i="24"/>
  <c r="AB39" i="24"/>
  <c r="AB26" i="24"/>
  <c r="AF39" i="24"/>
  <c r="AF26" i="24"/>
  <c r="Z34" i="23"/>
  <c r="Z47" i="23"/>
  <c r="AI47" i="23"/>
  <c r="AI34" i="23"/>
  <c r="AF34" i="23"/>
  <c r="AF47" i="23"/>
  <c r="AD34" i="23"/>
  <c r="AD47" i="23"/>
  <c r="X34" i="23"/>
  <c r="X47" i="23"/>
  <c r="AA47" i="23"/>
  <c r="AA34" i="23"/>
  <c r="AC47" i="23"/>
  <c r="AC34" i="23"/>
  <c r="AE20" i="23"/>
  <c r="Y20" i="23"/>
  <c r="AD20" i="23"/>
  <c r="X20" i="23"/>
  <c r="AI20" i="23"/>
  <c r="AC20" i="23"/>
  <c r="AH20" i="23"/>
  <c r="AB20" i="23"/>
  <c r="W19" i="23"/>
  <c r="AG20" i="23"/>
  <c r="AA20" i="23"/>
  <c r="Z20" i="23"/>
  <c r="AF20" i="23"/>
  <c r="Y34" i="23"/>
  <c r="Y47" i="23"/>
  <c r="AG47" i="23"/>
  <c r="AG34" i="23"/>
  <c r="AH47" i="23"/>
  <c r="AH34" i="23"/>
  <c r="AE47" i="23"/>
  <c r="AE34" i="23"/>
  <c r="AB47" i="23"/>
  <c r="AB34" i="23"/>
  <c r="AF21" i="22"/>
  <c r="Z21" i="22"/>
  <c r="W20" i="22"/>
  <c r="AH21" i="22"/>
  <c r="AB21" i="22"/>
  <c r="AC21" i="22"/>
  <c r="AA21" i="22"/>
  <c r="AI21" i="22"/>
  <c r="Y21" i="22"/>
  <c r="AG21" i="22"/>
  <c r="X21" i="22"/>
  <c r="AE21" i="22"/>
  <c r="AD21" i="22"/>
  <c r="AK47" i="21"/>
  <c r="AK46" i="21" s="1"/>
  <c r="AK45" i="21" s="1"/>
  <c r="AK44" i="21" s="1"/>
  <c r="AK43" i="21" s="1"/>
  <c r="AK42" i="21" s="1"/>
  <c r="AK41" i="21" s="1"/>
  <c r="AK40" i="21" s="1"/>
  <c r="AK39" i="21" s="1"/>
  <c r="AK38" i="21" s="1"/>
  <c r="AK37" i="21" s="1"/>
  <c r="W47" i="21"/>
  <c r="W46" i="21" s="1"/>
  <c r="W45" i="21" s="1"/>
  <c r="W44" i="21" s="1"/>
  <c r="W43" i="21" s="1"/>
  <c r="W42" i="21" s="1"/>
  <c r="W41" i="21" s="1"/>
  <c r="W40" i="21" s="1"/>
  <c r="W39" i="21" s="1"/>
  <c r="W38" i="21" s="1"/>
  <c r="W37" i="21" s="1"/>
  <c r="AK34" i="21"/>
  <c r="AK33" i="21" s="1"/>
  <c r="AK32" i="21" s="1"/>
  <c r="AK31" i="21" s="1"/>
  <c r="AK30" i="21" s="1"/>
  <c r="AK29" i="21" s="1"/>
  <c r="AK28" i="21" s="1"/>
  <c r="AK27" i="21" s="1"/>
  <c r="AK26" i="21" s="1"/>
  <c r="AK25" i="21" s="1"/>
  <c r="AK24" i="21" s="1"/>
  <c r="W34" i="21"/>
  <c r="W33" i="21" s="1"/>
  <c r="W32" i="21" s="1"/>
  <c r="W31" i="21" s="1"/>
  <c r="W30" i="21" s="1"/>
  <c r="W29" i="21" s="1"/>
  <c r="W28" i="21" s="1"/>
  <c r="W27" i="21" s="1"/>
  <c r="W26" i="21" s="1"/>
  <c r="W25" i="21" s="1"/>
  <c r="W24" i="21" s="1"/>
  <c r="AK21" i="21"/>
  <c r="AK20" i="21" s="1"/>
  <c r="AK19" i="21" s="1"/>
  <c r="AK18" i="21" s="1"/>
  <c r="AK17" i="21" s="1"/>
  <c r="AK16" i="21" s="1"/>
  <c r="AK15" i="21" s="1"/>
  <c r="AK14" i="21" s="1"/>
  <c r="AK13" i="21" s="1"/>
  <c r="AK12" i="21" s="1"/>
  <c r="AK11" i="21" s="1"/>
  <c r="W21" i="21"/>
  <c r="AD11" i="1"/>
  <c r="AD7" i="1"/>
  <c r="AG2" i="1"/>
  <c r="AE11" i="1"/>
  <c r="AE7" i="1"/>
  <c r="AO25" i="27" l="1"/>
  <c r="AT40" i="27"/>
  <c r="AT27" i="27"/>
  <c r="AN30" i="27"/>
  <c r="AN43" i="27"/>
  <c r="AU34" i="27"/>
  <c r="AU47" i="27"/>
  <c r="AT38" i="27"/>
  <c r="AT25" i="27"/>
  <c r="AQ38" i="27"/>
  <c r="AQ25" i="27"/>
  <c r="AP37" i="27"/>
  <c r="AP24" i="27"/>
  <c r="AR39" i="27"/>
  <c r="AR26" i="27"/>
  <c r="AS39" i="27"/>
  <c r="AS26" i="27"/>
  <c r="AU40" i="27"/>
  <c r="AU27" i="27"/>
  <c r="AQ27" i="27"/>
  <c r="AQ40" i="27"/>
  <c r="AW41" i="27"/>
  <c r="AW28" i="27"/>
  <c r="AV41" i="27"/>
  <c r="AV28" i="27"/>
  <c r="AU29" i="27"/>
  <c r="AU42" i="27"/>
  <c r="AN42" i="27"/>
  <c r="AN29" i="27"/>
  <c r="AO43" i="27"/>
  <c r="AO30" i="27"/>
  <c r="AT43" i="27"/>
  <c r="AT30" i="27"/>
  <c r="AQ44" i="27"/>
  <c r="AQ31" i="27"/>
  <c r="AW31" i="27"/>
  <c r="AW44" i="27"/>
  <c r="AV45" i="27"/>
  <c r="AV32" i="27"/>
  <c r="AN45" i="27"/>
  <c r="AN32" i="27"/>
  <c r="AU46" i="27"/>
  <c r="AU33" i="27"/>
  <c r="AL33" i="27"/>
  <c r="AL46" i="27"/>
  <c r="AW47" i="27"/>
  <c r="AW34" i="27"/>
  <c r="AV47" i="27"/>
  <c r="AV34" i="27"/>
  <c r="F9" i="27"/>
  <c r="AV37" i="27"/>
  <c r="AV24" i="27"/>
  <c r="AQ37" i="27"/>
  <c r="AQ24" i="27"/>
  <c r="AS37" i="27"/>
  <c r="AS24" i="27"/>
  <c r="AU39" i="27"/>
  <c r="AU26" i="27"/>
  <c r="AL28" i="27"/>
  <c r="AL41" i="27"/>
  <c r="AO31" i="27"/>
  <c r="AO44" i="27"/>
  <c r="AT46" i="27"/>
  <c r="AT33" i="27"/>
  <c r="AO39" i="27"/>
  <c r="AO26" i="27"/>
  <c r="AM40" i="27"/>
  <c r="AM27" i="27"/>
  <c r="AT28" i="27"/>
  <c r="AT41" i="27"/>
  <c r="AN28" i="27"/>
  <c r="AN41" i="27"/>
  <c r="AR42" i="27"/>
  <c r="AR29" i="27"/>
  <c r="AT42" i="27"/>
  <c r="AT29" i="27"/>
  <c r="AL30" i="27"/>
  <c r="AL43" i="27"/>
  <c r="AS43" i="27"/>
  <c r="AS30" i="27"/>
  <c r="AP44" i="27"/>
  <c r="AP31" i="27"/>
  <c r="AS44" i="27"/>
  <c r="AS31" i="27"/>
  <c r="AU45" i="27"/>
  <c r="AU32" i="27"/>
  <c r="AS45" i="27"/>
  <c r="AS32" i="27"/>
  <c r="AP33" i="27"/>
  <c r="AP46" i="27"/>
  <c r="AR33" i="27"/>
  <c r="AR46" i="27"/>
  <c r="AS47" i="27"/>
  <c r="AS34" i="27"/>
  <c r="AM34" i="27"/>
  <c r="AM47" i="27"/>
  <c r="AL37" i="27"/>
  <c r="AL24" i="27"/>
  <c r="AM37" i="27"/>
  <c r="AM24" i="27"/>
  <c r="AL39" i="27"/>
  <c r="AL26" i="27"/>
  <c r="AP42" i="27"/>
  <c r="AP29" i="27"/>
  <c r="AR44" i="27"/>
  <c r="AR31" i="27"/>
  <c r="AQ33" i="27"/>
  <c r="AQ46" i="27"/>
  <c r="AM39" i="27"/>
  <c r="AM26" i="27"/>
  <c r="AW25" i="27"/>
  <c r="AW38" i="27"/>
  <c r="AN37" i="27"/>
  <c r="AN24" i="27"/>
  <c r="AS38" i="27"/>
  <c r="AS25" i="27"/>
  <c r="AP39" i="27"/>
  <c r="AP26" i="27"/>
  <c r="AV39" i="27"/>
  <c r="AV26" i="27"/>
  <c r="AP40" i="27"/>
  <c r="AP27" i="27"/>
  <c r="AN40" i="27"/>
  <c r="AN27" i="27"/>
  <c r="AR28" i="27"/>
  <c r="AR41" i="27"/>
  <c r="AU41" i="27"/>
  <c r="AU28" i="27"/>
  <c r="AW42" i="27"/>
  <c r="AW29" i="27"/>
  <c r="AQ29" i="27"/>
  <c r="AQ42" i="27"/>
  <c r="AM43" i="27"/>
  <c r="AM30" i="27"/>
  <c r="AU43" i="27"/>
  <c r="AU30" i="27"/>
  <c r="AL44" i="27"/>
  <c r="AL31" i="27"/>
  <c r="AU31" i="27"/>
  <c r="AU44" i="27"/>
  <c r="AW45" i="27"/>
  <c r="AW32" i="27"/>
  <c r="AT32" i="27"/>
  <c r="AT45" i="27"/>
  <c r="AS46" i="27"/>
  <c r="AS33" i="27"/>
  <c r="AM46" i="27"/>
  <c r="AM33" i="27"/>
  <c r="AR47" i="27"/>
  <c r="AR34" i="27"/>
  <c r="AO34" i="27"/>
  <c r="AO47" i="27"/>
  <c r="F22" i="27"/>
  <c r="AU37" i="27"/>
  <c r="AU24" i="27"/>
  <c r="AV40" i="27"/>
  <c r="AV27" i="27"/>
  <c r="AM42" i="27"/>
  <c r="AM29" i="27"/>
  <c r="AL32" i="27"/>
  <c r="AL45" i="27"/>
  <c r="AL47" i="27"/>
  <c r="AL34" i="27"/>
  <c r="AM38" i="27"/>
  <c r="AM25" i="27"/>
  <c r="AO40" i="27"/>
  <c r="AO27" i="27"/>
  <c r="AT37" i="27"/>
  <c r="AT24" i="27"/>
  <c r="AR38" i="27"/>
  <c r="AR25" i="27"/>
  <c r="AV38" i="27"/>
  <c r="AV25" i="27"/>
  <c r="AR37" i="27"/>
  <c r="AR24" i="27"/>
  <c r="AQ39" i="27"/>
  <c r="AQ26" i="27"/>
  <c r="AT39" i="27"/>
  <c r="AT26" i="27"/>
  <c r="AW27" i="27"/>
  <c r="AW40" i="27"/>
  <c r="AR40" i="27"/>
  <c r="AR27" i="27"/>
  <c r="AO41" i="27"/>
  <c r="AO28" i="27"/>
  <c r="AS41" i="27"/>
  <c r="AS28" i="27"/>
  <c r="AL42" i="27"/>
  <c r="AL29" i="27"/>
  <c r="AV42" i="27"/>
  <c r="AV29" i="27"/>
  <c r="AP43" i="27"/>
  <c r="AP30" i="27"/>
  <c r="AV43" i="27"/>
  <c r="AV30" i="27"/>
  <c r="AV44" i="27"/>
  <c r="AV31" i="27"/>
  <c r="AM44" i="27"/>
  <c r="AM31" i="27"/>
  <c r="AM45" i="27"/>
  <c r="AM32" i="27"/>
  <c r="AO45" i="27"/>
  <c r="AO32" i="27"/>
  <c r="AV46" i="27"/>
  <c r="AV33" i="27"/>
  <c r="AO33" i="27"/>
  <c r="AO46" i="27"/>
  <c r="AP47" i="27"/>
  <c r="AP34" i="27"/>
  <c r="AT34" i="27"/>
  <c r="AT47" i="27"/>
  <c r="F35" i="27"/>
  <c r="AL38" i="27"/>
  <c r="AL25" i="27"/>
  <c r="AQ41" i="27"/>
  <c r="AQ28" i="27"/>
  <c r="AR30" i="27"/>
  <c r="AR43" i="27"/>
  <c r="AP45" i="27"/>
  <c r="AP32" i="27"/>
  <c r="AW37" i="27"/>
  <c r="AW24" i="27"/>
  <c r="AP38" i="27"/>
  <c r="AP25" i="27"/>
  <c r="AO37" i="27"/>
  <c r="AO24" i="27"/>
  <c r="AU25" i="27"/>
  <c r="AU38" i="27"/>
  <c r="AW39" i="27"/>
  <c r="AW26" i="27"/>
  <c r="AN39" i="27"/>
  <c r="AN26" i="27"/>
  <c r="AS40" i="27"/>
  <c r="AS27" i="27"/>
  <c r="AL40" i="27"/>
  <c r="AL27" i="27"/>
  <c r="AP41" i="27"/>
  <c r="AP28" i="27"/>
  <c r="AM41" i="27"/>
  <c r="AM28" i="27"/>
  <c r="AO29" i="27"/>
  <c r="AO42" i="27"/>
  <c r="AS42" i="27"/>
  <c r="AS29" i="27"/>
  <c r="AQ43" i="27"/>
  <c r="AQ30" i="27"/>
  <c r="AW43" i="27"/>
  <c r="AW30" i="27"/>
  <c r="AN44" i="27"/>
  <c r="AN31" i="27"/>
  <c r="AT44" i="27"/>
  <c r="AT31" i="27"/>
  <c r="AR32" i="27"/>
  <c r="AR45" i="27"/>
  <c r="AQ45" i="27"/>
  <c r="AQ32" i="27"/>
  <c r="AN46" i="27"/>
  <c r="AN33" i="27"/>
  <c r="AW33" i="27"/>
  <c r="AW46" i="27"/>
  <c r="AQ47" i="27"/>
  <c r="AQ34" i="27"/>
  <c r="AN34" i="27"/>
  <c r="AN47" i="27"/>
  <c r="AN38" i="27"/>
  <c r="AN25" i="27"/>
  <c r="AO25" i="26"/>
  <c r="AW26" i="26"/>
  <c r="AW39" i="26"/>
  <c r="AV39" i="26"/>
  <c r="AV26" i="26"/>
  <c r="AM40" i="26"/>
  <c r="AM27" i="26"/>
  <c r="AW29" i="26"/>
  <c r="AW42" i="26"/>
  <c r="AU43" i="26"/>
  <c r="AU30" i="26"/>
  <c r="AM45" i="26"/>
  <c r="AM32" i="26"/>
  <c r="AQ25" i="26"/>
  <c r="AQ38" i="26"/>
  <c r="AL26" i="26"/>
  <c r="AL39" i="26"/>
  <c r="AN26" i="26"/>
  <c r="AN39" i="26"/>
  <c r="AV40" i="26"/>
  <c r="AV27" i="26"/>
  <c r="AQ27" i="26"/>
  <c r="AQ40" i="26"/>
  <c r="AN28" i="26"/>
  <c r="AN41" i="26"/>
  <c r="AS41" i="26"/>
  <c r="AS28" i="26"/>
  <c r="AT29" i="26"/>
  <c r="AT42" i="26"/>
  <c r="AN29" i="26"/>
  <c r="AN42" i="26"/>
  <c r="AV30" i="26"/>
  <c r="AV43" i="26"/>
  <c r="AT30" i="26"/>
  <c r="AT43" i="26"/>
  <c r="AN31" i="26"/>
  <c r="AN44" i="26"/>
  <c r="AM44" i="26"/>
  <c r="AM31" i="26"/>
  <c r="AL32" i="26"/>
  <c r="AL45" i="26"/>
  <c r="AS45" i="26"/>
  <c r="AS32" i="26"/>
  <c r="AW33" i="26"/>
  <c r="AW46" i="26"/>
  <c r="AN33" i="26"/>
  <c r="AN46" i="26"/>
  <c r="AP34" i="26"/>
  <c r="AP47" i="26"/>
  <c r="AN34" i="26"/>
  <c r="AN47" i="26"/>
  <c r="AL37" i="26"/>
  <c r="AL24" i="26"/>
  <c r="AL38" i="26"/>
  <c r="AL25" i="26"/>
  <c r="AP37" i="26"/>
  <c r="AP24" i="26"/>
  <c r="AR38" i="26"/>
  <c r="AR25" i="26"/>
  <c r="AW25" i="26"/>
  <c r="AW38" i="26"/>
  <c r="AM37" i="26"/>
  <c r="AM24" i="26"/>
  <c r="AO39" i="26"/>
  <c r="AO26" i="26"/>
  <c r="AM41" i="26"/>
  <c r="AM28" i="26"/>
  <c r="AR30" i="26"/>
  <c r="AR43" i="26"/>
  <c r="AS31" i="26"/>
  <c r="AS44" i="26"/>
  <c r="AU33" i="26"/>
  <c r="AU46" i="26"/>
  <c r="AT38" i="26"/>
  <c r="AT25" i="26"/>
  <c r="AM38" i="26"/>
  <c r="AM25" i="26"/>
  <c r="AT24" i="26"/>
  <c r="AT37" i="26"/>
  <c r="AO37" i="26"/>
  <c r="AO24" i="26"/>
  <c r="AV38" i="26"/>
  <c r="AV25" i="26"/>
  <c r="AR39" i="26"/>
  <c r="AR26" i="26"/>
  <c r="AT26" i="26"/>
  <c r="AT39" i="26"/>
  <c r="AS40" i="26"/>
  <c r="AS27" i="26"/>
  <c r="AT27" i="26"/>
  <c r="AT40" i="26"/>
  <c r="AQ28" i="26"/>
  <c r="AQ41" i="26"/>
  <c r="AT41" i="26"/>
  <c r="AT28" i="26"/>
  <c r="AS42" i="26"/>
  <c r="AS29" i="26"/>
  <c r="AL42" i="26"/>
  <c r="AL29" i="26"/>
  <c r="AW43" i="26"/>
  <c r="AW30" i="26"/>
  <c r="AL30" i="26"/>
  <c r="AL43" i="26"/>
  <c r="AR44" i="26"/>
  <c r="AR31" i="26"/>
  <c r="AQ31" i="26"/>
  <c r="AQ44" i="26"/>
  <c r="AV32" i="26"/>
  <c r="AV45" i="26"/>
  <c r="AW32" i="26"/>
  <c r="AW45" i="26"/>
  <c r="AL46" i="26"/>
  <c r="AL33" i="26"/>
  <c r="AQ33" i="26"/>
  <c r="AQ46" i="26"/>
  <c r="AT34" i="26"/>
  <c r="AT47" i="26"/>
  <c r="AO47" i="26"/>
  <c r="AO34" i="26"/>
  <c r="F22" i="26"/>
  <c r="AW37" i="26"/>
  <c r="AW24" i="26"/>
  <c r="AQ39" i="26"/>
  <c r="AQ26" i="26"/>
  <c r="AU40" i="26"/>
  <c r="AU27" i="26"/>
  <c r="AL41" i="26"/>
  <c r="AL28" i="26"/>
  <c r="AP42" i="26"/>
  <c r="AP29" i="26"/>
  <c r="AP43" i="26"/>
  <c r="AP30" i="26"/>
  <c r="AU44" i="26"/>
  <c r="AU31" i="26"/>
  <c r="AR45" i="26"/>
  <c r="AR32" i="26"/>
  <c r="AV33" i="26"/>
  <c r="AV46" i="26"/>
  <c r="AS37" i="26"/>
  <c r="AS24" i="26"/>
  <c r="AU37" i="26"/>
  <c r="AU24" i="26"/>
  <c r="AU39" i="26"/>
  <c r="AU26" i="26"/>
  <c r="AM39" i="26"/>
  <c r="AM26" i="26"/>
  <c r="AR40" i="26"/>
  <c r="AR27" i="26"/>
  <c r="AW40" i="26"/>
  <c r="AW27" i="26"/>
  <c r="AR28" i="26"/>
  <c r="AR41" i="26"/>
  <c r="AW28" i="26"/>
  <c r="AW41" i="26"/>
  <c r="AV42" i="26"/>
  <c r="AV29" i="26"/>
  <c r="AU29" i="26"/>
  <c r="AU42" i="26"/>
  <c r="AO43" i="26"/>
  <c r="AO30" i="26"/>
  <c r="AS43" i="26"/>
  <c r="AS30" i="26"/>
  <c r="AW44" i="26"/>
  <c r="AW31" i="26"/>
  <c r="AO31" i="26"/>
  <c r="AO44" i="26"/>
  <c r="AU45" i="26"/>
  <c r="AU32" i="26"/>
  <c r="AQ45" i="26"/>
  <c r="AQ32" i="26"/>
  <c r="AM33" i="26"/>
  <c r="AM46" i="26"/>
  <c r="AP33" i="26"/>
  <c r="AP46" i="26"/>
  <c r="AM34" i="26"/>
  <c r="AM47" i="26"/>
  <c r="AS34" i="26"/>
  <c r="AS47" i="26"/>
  <c r="F35" i="26"/>
  <c r="AQ37" i="26"/>
  <c r="AQ24" i="26"/>
  <c r="AP38" i="26"/>
  <c r="AP25" i="26"/>
  <c r="AN37" i="26"/>
  <c r="AN24" i="26"/>
  <c r="AO40" i="26"/>
  <c r="AO27" i="26"/>
  <c r="AU41" i="26"/>
  <c r="AU28" i="26"/>
  <c r="AM42" i="26"/>
  <c r="AM29" i="26"/>
  <c r="AN43" i="26"/>
  <c r="AN30" i="26"/>
  <c r="AT44" i="26"/>
  <c r="AT31" i="26"/>
  <c r="AO45" i="26"/>
  <c r="AO32" i="26"/>
  <c r="AT33" i="26"/>
  <c r="AT46" i="26"/>
  <c r="AV47" i="26"/>
  <c r="AV34" i="26"/>
  <c r="AU47" i="26"/>
  <c r="AU34" i="26"/>
  <c r="F9" i="26"/>
  <c r="AS38" i="26"/>
  <c r="AS25" i="26"/>
  <c r="AV37" i="26"/>
  <c r="AV24" i="26"/>
  <c r="AR37" i="26"/>
  <c r="AR24" i="26"/>
  <c r="AS39" i="26"/>
  <c r="AS26" i="26"/>
  <c r="AP39" i="26"/>
  <c r="AP26" i="26"/>
  <c r="AL40" i="26"/>
  <c r="AL27" i="26"/>
  <c r="AP40" i="26"/>
  <c r="AP27" i="26"/>
  <c r="AV41" i="26"/>
  <c r="AV28" i="26"/>
  <c r="AP28" i="26"/>
  <c r="AP41" i="26"/>
  <c r="AR42" i="26"/>
  <c r="AR29" i="26"/>
  <c r="AO29" i="26"/>
  <c r="AO42" i="26"/>
  <c r="AM43" i="26"/>
  <c r="AM30" i="26"/>
  <c r="AQ30" i="26"/>
  <c r="AQ43" i="26"/>
  <c r="AL44" i="26"/>
  <c r="AL31" i="26"/>
  <c r="AP44" i="26"/>
  <c r="AP31" i="26"/>
  <c r="AT32" i="26"/>
  <c r="AT45" i="26"/>
  <c r="AP45" i="26"/>
  <c r="AP32" i="26"/>
  <c r="AR46" i="26"/>
  <c r="AR33" i="26"/>
  <c r="AO46" i="26"/>
  <c r="AO33" i="26"/>
  <c r="AR34" i="26"/>
  <c r="AR47" i="26"/>
  <c r="AW34" i="26"/>
  <c r="AW47" i="26"/>
  <c r="AN25" i="26"/>
  <c r="AN38" i="26"/>
  <c r="AU38" i="26"/>
  <c r="AU25" i="26"/>
  <c r="AN40" i="26"/>
  <c r="AN27" i="26"/>
  <c r="AO41" i="26"/>
  <c r="AO28" i="26"/>
  <c r="AQ42" i="26"/>
  <c r="AQ29" i="26"/>
  <c r="AV44" i="26"/>
  <c r="AV31" i="26"/>
  <c r="AN32" i="26"/>
  <c r="AN45" i="26"/>
  <c r="AS46" i="26"/>
  <c r="AS33" i="26"/>
  <c r="AQ34" i="26"/>
  <c r="AQ47" i="26"/>
  <c r="AL47" i="26"/>
  <c r="AL34" i="26"/>
  <c r="AH38" i="24"/>
  <c r="AH25" i="24"/>
  <c r="AG11" i="24"/>
  <c r="AA11" i="24"/>
  <c r="AF11" i="24"/>
  <c r="Z11" i="24"/>
  <c r="AI11" i="24"/>
  <c r="AC11" i="24"/>
  <c r="AH11" i="24"/>
  <c r="AB11" i="24"/>
  <c r="AE11" i="24"/>
  <c r="X11" i="24"/>
  <c r="AD11" i="24"/>
  <c r="Y11" i="24"/>
  <c r="AD25" i="24"/>
  <c r="AD38" i="24"/>
  <c r="AE38" i="24"/>
  <c r="AE25" i="24"/>
  <c r="AA38" i="24"/>
  <c r="AA25" i="24"/>
  <c r="Z38" i="24"/>
  <c r="Z25" i="24"/>
  <c r="AB38" i="24"/>
  <c r="AB25" i="24"/>
  <c r="AF38" i="24"/>
  <c r="AF25" i="24"/>
  <c r="X25" i="24"/>
  <c r="X38" i="24"/>
  <c r="AG38" i="24"/>
  <c r="AG25" i="24"/>
  <c r="AC38" i="24"/>
  <c r="AC25" i="24"/>
  <c r="Y38" i="24"/>
  <c r="Y25" i="24"/>
  <c r="AI38" i="24"/>
  <c r="AI25" i="24"/>
  <c r="AF46" i="23"/>
  <c r="AF33" i="23"/>
  <c r="AH46" i="23"/>
  <c r="AH33" i="23"/>
  <c r="AE46" i="23"/>
  <c r="AE33" i="23"/>
  <c r="Y46" i="23"/>
  <c r="Y33" i="23"/>
  <c r="Z46" i="23"/>
  <c r="Z33" i="23"/>
  <c r="AC33" i="23"/>
  <c r="AC46" i="23"/>
  <c r="AB33" i="23"/>
  <c r="AB46" i="23"/>
  <c r="AA33" i="23"/>
  <c r="AA46" i="23"/>
  <c r="AI33" i="23"/>
  <c r="AI46" i="23"/>
  <c r="AG33" i="23"/>
  <c r="AG46" i="23"/>
  <c r="X46" i="23"/>
  <c r="X33" i="23"/>
  <c r="AH19" i="23"/>
  <c r="AB19" i="23"/>
  <c r="AG19" i="23"/>
  <c r="AA19" i="23"/>
  <c r="AF19" i="23"/>
  <c r="Z19" i="23"/>
  <c r="AI19" i="23"/>
  <c r="AE19" i="23"/>
  <c r="W18" i="23"/>
  <c r="Y19" i="23"/>
  <c r="AD19" i="23"/>
  <c r="X19" i="23"/>
  <c r="AC19" i="23"/>
  <c r="AD46" i="23"/>
  <c r="AD33" i="23"/>
  <c r="AE47" i="22"/>
  <c r="AE34" i="22"/>
  <c r="AC47" i="22"/>
  <c r="AC34" i="22"/>
  <c r="X47" i="22"/>
  <c r="X34" i="22"/>
  <c r="AB47" i="22"/>
  <c r="AB34" i="22"/>
  <c r="AG34" i="22"/>
  <c r="AG47" i="22"/>
  <c r="AH47" i="22"/>
  <c r="AH34" i="22"/>
  <c r="AD34" i="22"/>
  <c r="AD47" i="22"/>
  <c r="Y34" i="22"/>
  <c r="Y47" i="22"/>
  <c r="AI20" i="22"/>
  <c r="AC20" i="22"/>
  <c r="AE20" i="22"/>
  <c r="Y20" i="22"/>
  <c r="AF20" i="22"/>
  <c r="AD20" i="22"/>
  <c r="AB20" i="22"/>
  <c r="W19" i="22"/>
  <c r="AA20" i="22"/>
  <c r="AG20" i="22"/>
  <c r="AH20" i="22"/>
  <c r="Z20" i="22"/>
  <c r="X20" i="22"/>
  <c r="AI47" i="22"/>
  <c r="AI34" i="22"/>
  <c r="Z34" i="22"/>
  <c r="Z47" i="22"/>
  <c r="AA34" i="22"/>
  <c r="AA47" i="22"/>
  <c r="AF34" i="22"/>
  <c r="AF47" i="22"/>
  <c r="AD21" i="21"/>
  <c r="X21" i="21"/>
  <c r="AI21" i="21"/>
  <c r="AC21" i="21"/>
  <c r="AF21" i="21"/>
  <c r="Z21" i="21"/>
  <c r="W20" i="21"/>
  <c r="AE21" i="21"/>
  <c r="Y21" i="21"/>
  <c r="AG21" i="21"/>
  <c r="AB21" i="21"/>
  <c r="AA21" i="21"/>
  <c r="AH21" i="21"/>
  <c r="AK47" i="20"/>
  <c r="AK46" i="20" s="1"/>
  <c r="AK45" i="20" s="1"/>
  <c r="AK44" i="20" s="1"/>
  <c r="AK43" i="20" s="1"/>
  <c r="AK42" i="20" s="1"/>
  <c r="AK41" i="20" s="1"/>
  <c r="AK40" i="20" s="1"/>
  <c r="AK39" i="20" s="1"/>
  <c r="AK38" i="20" s="1"/>
  <c r="AK37" i="20" s="1"/>
  <c r="W47" i="20"/>
  <c r="W46" i="20" s="1"/>
  <c r="W45" i="20" s="1"/>
  <c r="W44" i="20" s="1"/>
  <c r="W43" i="20" s="1"/>
  <c r="W42" i="20" s="1"/>
  <c r="W41" i="20" s="1"/>
  <c r="W40" i="20" s="1"/>
  <c r="W39" i="20" s="1"/>
  <c r="W38" i="20" s="1"/>
  <c r="W37" i="20" s="1"/>
  <c r="AK34" i="20"/>
  <c r="AK33" i="20" s="1"/>
  <c r="AK32" i="20" s="1"/>
  <c r="AK31" i="20" s="1"/>
  <c r="AK30" i="20" s="1"/>
  <c r="AK29" i="20" s="1"/>
  <c r="AK28" i="20" s="1"/>
  <c r="AK27" i="20" s="1"/>
  <c r="AK26" i="20" s="1"/>
  <c r="AK25" i="20" s="1"/>
  <c r="AK24" i="20" s="1"/>
  <c r="AK21" i="20"/>
  <c r="AK20" i="20" s="1"/>
  <c r="AK19" i="20" s="1"/>
  <c r="AK18" i="20" s="1"/>
  <c r="AK17" i="20" s="1"/>
  <c r="AK16" i="20" s="1"/>
  <c r="AK15" i="20" s="1"/>
  <c r="AK14" i="20" s="1"/>
  <c r="AK13" i="20" s="1"/>
  <c r="AK12" i="20" s="1"/>
  <c r="AK11" i="20" s="1"/>
  <c r="W34" i="20"/>
  <c r="W33" i="20" s="1"/>
  <c r="W32" i="20" s="1"/>
  <c r="W31" i="20" s="1"/>
  <c r="W30" i="20" s="1"/>
  <c r="W29" i="20" s="1"/>
  <c r="W28" i="20" s="1"/>
  <c r="W27" i="20" s="1"/>
  <c r="W26" i="20" s="1"/>
  <c r="W25" i="20" s="1"/>
  <c r="W24" i="20" s="1"/>
  <c r="W21" i="20"/>
  <c r="AK47" i="19"/>
  <c r="AK46" i="19" s="1"/>
  <c r="AK45" i="19" s="1"/>
  <c r="AK44" i="19" s="1"/>
  <c r="AK43" i="19" s="1"/>
  <c r="AK42" i="19" s="1"/>
  <c r="AK41" i="19" s="1"/>
  <c r="AK40" i="19" s="1"/>
  <c r="AK39" i="19" s="1"/>
  <c r="AK38" i="19" s="1"/>
  <c r="AK37" i="19" s="1"/>
  <c r="W34" i="19"/>
  <c r="W33" i="19" s="1"/>
  <c r="W32" i="19" s="1"/>
  <c r="W31" i="19" s="1"/>
  <c r="W30" i="19" s="1"/>
  <c r="W29" i="19" s="1"/>
  <c r="W28" i="19" s="1"/>
  <c r="W27" i="19" s="1"/>
  <c r="W26" i="19" s="1"/>
  <c r="W25" i="19" s="1"/>
  <c r="W24" i="19" s="1"/>
  <c r="AK34" i="19"/>
  <c r="AK33" i="19" s="1"/>
  <c r="AK32" i="19" s="1"/>
  <c r="AK31" i="19" s="1"/>
  <c r="AK30" i="19" s="1"/>
  <c r="AK29" i="19" s="1"/>
  <c r="AK28" i="19" s="1"/>
  <c r="AK27" i="19" s="1"/>
  <c r="AK26" i="19" s="1"/>
  <c r="AK25" i="19" s="1"/>
  <c r="AK24" i="19" s="1"/>
  <c r="W21" i="19"/>
  <c r="W47" i="19"/>
  <c r="W46" i="19" s="1"/>
  <c r="W45" i="19" s="1"/>
  <c r="W44" i="19" s="1"/>
  <c r="W43" i="19" s="1"/>
  <c r="W42" i="19" s="1"/>
  <c r="W41" i="19" s="1"/>
  <c r="W40" i="19" s="1"/>
  <c r="W39" i="19" s="1"/>
  <c r="W38" i="19" s="1"/>
  <c r="W37" i="19" s="1"/>
  <c r="AK21" i="19"/>
  <c r="AK20" i="19" s="1"/>
  <c r="AK19" i="19" s="1"/>
  <c r="AK18" i="19" s="1"/>
  <c r="AK17" i="19" s="1"/>
  <c r="AK16" i="19" s="1"/>
  <c r="AK15" i="19" s="1"/>
  <c r="AK14" i="19" s="1"/>
  <c r="AK13" i="19" s="1"/>
  <c r="AK12" i="19" s="1"/>
  <c r="AK11" i="19" s="1"/>
  <c r="W21" i="17"/>
  <c r="AV12" i="24" l="1"/>
  <c r="AV38" i="24" s="1"/>
  <c r="AV25" i="24"/>
  <c r="AA24" i="24"/>
  <c r="AA37" i="24"/>
  <c r="AO11" i="24"/>
  <c r="AW12" i="24"/>
  <c r="AP12" i="24"/>
  <c r="AS12" i="24"/>
  <c r="AH37" i="24"/>
  <c r="AV11" i="24"/>
  <c r="AH24" i="24"/>
  <c r="AG24" i="24"/>
  <c r="AG37" i="24"/>
  <c r="AU11" i="24"/>
  <c r="AB37" i="24"/>
  <c r="AP11" i="24"/>
  <c r="AB24" i="24"/>
  <c r="AT12" i="24"/>
  <c r="AO12" i="24"/>
  <c r="Y37" i="24"/>
  <c r="Y24" i="24"/>
  <c r="AM11" i="24"/>
  <c r="AC37" i="24"/>
  <c r="AC24" i="24"/>
  <c r="AQ11" i="24"/>
  <c r="AQ12" i="24"/>
  <c r="AD37" i="24"/>
  <c r="AD24" i="24"/>
  <c r="AR11" i="24"/>
  <c r="AI37" i="24"/>
  <c r="AI24" i="24"/>
  <c r="AW11" i="24"/>
  <c r="AL12" i="24"/>
  <c r="AN12" i="24"/>
  <c r="AR12" i="24"/>
  <c r="X37" i="24"/>
  <c r="X24" i="24"/>
  <c r="AL11" i="24"/>
  <c r="AT21" i="24"/>
  <c r="AO21" i="24"/>
  <c r="AU21" i="24"/>
  <c r="AQ21" i="24"/>
  <c r="AN21" i="24"/>
  <c r="AW21" i="24"/>
  <c r="AV21" i="24"/>
  <c r="AL21" i="24"/>
  <c r="AR21" i="24"/>
  <c r="AP21" i="24"/>
  <c r="AM21" i="24"/>
  <c r="AS21" i="24"/>
  <c r="AN20" i="24"/>
  <c r="AL20" i="24"/>
  <c r="AT20" i="24"/>
  <c r="AV20" i="24"/>
  <c r="AP20" i="24"/>
  <c r="AO20" i="24"/>
  <c r="AU20" i="24"/>
  <c r="AW20" i="24"/>
  <c r="AR20" i="24"/>
  <c r="AQ20" i="24"/>
  <c r="AM20" i="24"/>
  <c r="AS20" i="24"/>
  <c r="AV19" i="24"/>
  <c r="AO19" i="24"/>
  <c r="AU19" i="24"/>
  <c r="AP19" i="24"/>
  <c r="AM19" i="24"/>
  <c r="AT19" i="24"/>
  <c r="AS19" i="24"/>
  <c r="AQ19" i="24"/>
  <c r="AR19" i="24"/>
  <c r="AW19" i="24"/>
  <c r="AN19" i="24"/>
  <c r="AL19" i="24"/>
  <c r="AS18" i="24"/>
  <c r="AW18" i="24"/>
  <c r="AV18" i="24"/>
  <c r="AQ18" i="24"/>
  <c r="AL18" i="24"/>
  <c r="AR18" i="24"/>
  <c r="AM18" i="24"/>
  <c r="AN18" i="24"/>
  <c r="AU18" i="24"/>
  <c r="AT18" i="24"/>
  <c r="AP18" i="24"/>
  <c r="AO18" i="24"/>
  <c r="AL17" i="24"/>
  <c r="AU17" i="24"/>
  <c r="AN17" i="24"/>
  <c r="AM17" i="24"/>
  <c r="AV17" i="24"/>
  <c r="AQ17" i="24"/>
  <c r="AR17" i="24"/>
  <c r="AP17" i="24"/>
  <c r="AW17" i="24"/>
  <c r="AS17" i="24"/>
  <c r="AO17" i="24"/>
  <c r="AT17" i="24"/>
  <c r="AV16" i="24"/>
  <c r="AQ16" i="24"/>
  <c r="AL16" i="24"/>
  <c r="AR16" i="24"/>
  <c r="AN16" i="24"/>
  <c r="AT16" i="24"/>
  <c r="AM16" i="24"/>
  <c r="AS16" i="24"/>
  <c r="AW16" i="24"/>
  <c r="AO16" i="24"/>
  <c r="AP16" i="24"/>
  <c r="AU16" i="24"/>
  <c r="AV15" i="24"/>
  <c r="AQ15" i="24"/>
  <c r="AO15" i="24"/>
  <c r="AU15" i="24"/>
  <c r="AP15" i="24"/>
  <c r="AR15" i="24"/>
  <c r="AM15" i="24"/>
  <c r="AW15" i="24"/>
  <c r="AS15" i="24"/>
  <c r="AN15" i="24"/>
  <c r="AT15" i="24"/>
  <c r="AL15" i="24"/>
  <c r="AN14" i="24"/>
  <c r="AT14" i="24"/>
  <c r="AV14" i="24"/>
  <c r="AW14" i="24"/>
  <c r="AU14" i="24"/>
  <c r="AQ14" i="24"/>
  <c r="AS14" i="24"/>
  <c r="AM14" i="24"/>
  <c r="AP14" i="24"/>
  <c r="AL14" i="24"/>
  <c r="AR14" i="24"/>
  <c r="AO14" i="24"/>
  <c r="AW13" i="24"/>
  <c r="AR13" i="24"/>
  <c r="AQ13" i="24"/>
  <c r="AP13" i="24"/>
  <c r="AS13" i="24"/>
  <c r="AM13" i="24"/>
  <c r="AV13" i="24"/>
  <c r="AT13" i="24"/>
  <c r="AO13" i="24"/>
  <c r="AN13" i="24"/>
  <c r="AL13" i="24"/>
  <c r="AU13" i="24"/>
  <c r="Z37" i="24"/>
  <c r="Z24" i="24"/>
  <c r="AN11" i="24"/>
  <c r="AU12" i="24"/>
  <c r="AM12" i="24"/>
  <c r="AE37" i="24"/>
  <c r="AE24" i="24"/>
  <c r="AS11" i="24"/>
  <c r="AF37" i="24"/>
  <c r="AF24" i="24"/>
  <c r="AT11" i="24"/>
  <c r="AG45" i="23"/>
  <c r="AG32" i="23"/>
  <c r="AE32" i="23"/>
  <c r="AE45" i="23"/>
  <c r="AB45" i="23"/>
  <c r="AB32" i="23"/>
  <c r="AA45" i="23"/>
  <c r="AA32" i="23"/>
  <c r="AE18" i="23"/>
  <c r="Y18" i="23"/>
  <c r="AD18" i="23"/>
  <c r="X18" i="23"/>
  <c r="AI18" i="23"/>
  <c r="AC18" i="23"/>
  <c r="Z18" i="23"/>
  <c r="AH18" i="23"/>
  <c r="AG18" i="23"/>
  <c r="AA18" i="23"/>
  <c r="AF18" i="23"/>
  <c r="AB18" i="23"/>
  <c r="W17" i="23"/>
  <c r="AC45" i="23"/>
  <c r="AC32" i="23"/>
  <c r="AI32" i="23"/>
  <c r="AI45" i="23"/>
  <c r="AH45" i="23"/>
  <c r="AH32" i="23"/>
  <c r="X32" i="23"/>
  <c r="X45" i="23"/>
  <c r="Z45" i="23"/>
  <c r="Z32" i="23"/>
  <c r="Y32" i="23"/>
  <c r="Y45" i="23"/>
  <c r="AD32" i="23"/>
  <c r="AD45" i="23"/>
  <c r="AF45" i="23"/>
  <c r="AF32" i="23"/>
  <c r="AF19" i="22"/>
  <c r="Z19" i="22"/>
  <c r="W18" i="22"/>
  <c r="AH19" i="22"/>
  <c r="AB19" i="22"/>
  <c r="AI19" i="22"/>
  <c r="Y19" i="22"/>
  <c r="AG19" i="22"/>
  <c r="X19" i="22"/>
  <c r="AE19" i="22"/>
  <c r="AD19" i="22"/>
  <c r="AC19" i="22"/>
  <c r="AA19" i="22"/>
  <c r="AG33" i="22"/>
  <c r="AG46" i="22"/>
  <c r="Y46" i="22"/>
  <c r="Y33" i="22"/>
  <c r="AA46" i="22"/>
  <c r="AA33" i="22"/>
  <c r="AE46" i="22"/>
  <c r="AE33" i="22"/>
  <c r="AC33" i="22"/>
  <c r="AC46" i="22"/>
  <c r="X33" i="22"/>
  <c r="X46" i="22"/>
  <c r="AB33" i="22"/>
  <c r="AB46" i="22"/>
  <c r="AI33" i="22"/>
  <c r="AI46" i="22"/>
  <c r="Z46" i="22"/>
  <c r="Z33" i="22"/>
  <c r="AD33" i="22"/>
  <c r="AD46" i="22"/>
  <c r="AH46" i="22"/>
  <c r="AH33" i="22"/>
  <c r="AF46" i="22"/>
  <c r="AF33" i="22"/>
  <c r="AC47" i="21"/>
  <c r="AC34" i="21"/>
  <c r="AE34" i="21"/>
  <c r="AE47" i="21"/>
  <c r="AA34" i="21"/>
  <c r="AA47" i="21"/>
  <c r="Z47" i="21"/>
  <c r="Z34" i="21"/>
  <c r="AG34" i="21"/>
  <c r="AG47" i="21"/>
  <c r="AI47" i="21"/>
  <c r="AI34" i="21"/>
  <c r="AB34" i="21"/>
  <c r="AB47" i="21"/>
  <c r="AF47" i="21"/>
  <c r="AF34" i="21"/>
  <c r="Y34" i="21"/>
  <c r="Y47" i="21"/>
  <c r="X47" i="21"/>
  <c r="X34" i="21"/>
  <c r="AH34" i="21"/>
  <c r="AH47" i="21"/>
  <c r="AG20" i="21"/>
  <c r="AA20" i="21"/>
  <c r="AF20" i="21"/>
  <c r="Z20" i="21"/>
  <c r="W19" i="21"/>
  <c r="AI20" i="21"/>
  <c r="AC20" i="21"/>
  <c r="AH20" i="21"/>
  <c r="AB20" i="21"/>
  <c r="Y20" i="21"/>
  <c r="X20" i="21"/>
  <c r="AE20" i="21"/>
  <c r="AD20" i="21"/>
  <c r="AD47" i="21"/>
  <c r="AD34" i="21"/>
  <c r="AF21" i="20"/>
  <c r="Z21" i="20"/>
  <c r="W20" i="20"/>
  <c r="AE21" i="20"/>
  <c r="Y21" i="20"/>
  <c r="AD21" i="20"/>
  <c r="X21" i="20"/>
  <c r="AI21" i="20"/>
  <c r="AC21" i="20"/>
  <c r="AH21" i="20"/>
  <c r="AB21" i="20"/>
  <c r="AA21" i="20"/>
  <c r="AG21" i="20"/>
  <c r="AE21" i="19"/>
  <c r="Y21" i="19"/>
  <c r="AI21" i="19"/>
  <c r="AC21" i="19"/>
  <c r="AH21" i="19"/>
  <c r="AB21" i="19"/>
  <c r="X21" i="19"/>
  <c r="AF21" i="19"/>
  <c r="W20" i="19"/>
  <c r="AG21" i="19"/>
  <c r="AD21" i="19"/>
  <c r="AA21" i="19"/>
  <c r="Z21" i="19"/>
  <c r="AC21" i="17"/>
  <c r="AA21" i="17"/>
  <c r="AF21" i="17"/>
  <c r="Z21" i="17"/>
  <c r="W20" i="17"/>
  <c r="X21" i="17"/>
  <c r="AD21" i="17"/>
  <c r="AI21" i="17"/>
  <c r="AH21" i="17"/>
  <c r="AK21" i="17"/>
  <c r="AK20" i="17" s="1"/>
  <c r="AK19" i="17" s="1"/>
  <c r="AK18" i="17" s="1"/>
  <c r="AK17" i="17" s="1"/>
  <c r="AK16" i="17" s="1"/>
  <c r="AK15" i="17" s="1"/>
  <c r="AK14" i="17" s="1"/>
  <c r="AK13" i="17" s="1"/>
  <c r="AK12" i="17" s="1"/>
  <c r="AK11" i="17" s="1"/>
  <c r="AK34" i="17"/>
  <c r="AK33" i="17" s="1"/>
  <c r="AK32" i="17" s="1"/>
  <c r="AK31" i="17" s="1"/>
  <c r="AK30" i="17" s="1"/>
  <c r="AK29" i="17" s="1"/>
  <c r="AK28" i="17" s="1"/>
  <c r="AK27" i="17" s="1"/>
  <c r="AK26" i="17" s="1"/>
  <c r="AK25" i="17" s="1"/>
  <c r="AK24" i="17" s="1"/>
  <c r="AK47" i="17"/>
  <c r="AK46" i="17" s="1"/>
  <c r="AK45" i="17" s="1"/>
  <c r="AK44" i="17" s="1"/>
  <c r="AK43" i="17" s="1"/>
  <c r="AK42" i="17" s="1"/>
  <c r="AK41" i="17" s="1"/>
  <c r="AK40" i="17" s="1"/>
  <c r="AK39" i="17" s="1"/>
  <c r="AK38" i="17" s="1"/>
  <c r="AK37" i="17" s="1"/>
  <c r="W47" i="17"/>
  <c r="W46" i="17" s="1"/>
  <c r="W45" i="17" s="1"/>
  <c r="W44" i="17" s="1"/>
  <c r="W43" i="17" s="1"/>
  <c r="W42" i="17" s="1"/>
  <c r="W41" i="17" s="1"/>
  <c r="W40" i="17" s="1"/>
  <c r="W39" i="17" s="1"/>
  <c r="W38" i="17" s="1"/>
  <c r="W37" i="17" s="1"/>
  <c r="W34" i="17"/>
  <c r="W33" i="17" s="1"/>
  <c r="W32" i="17" s="1"/>
  <c r="W31" i="17" s="1"/>
  <c r="W30" i="17" s="1"/>
  <c r="W29" i="17" s="1"/>
  <c r="W28" i="17" s="1"/>
  <c r="W27" i="17" s="1"/>
  <c r="W26" i="17" s="1"/>
  <c r="W25" i="17" s="1"/>
  <c r="W24" i="17" s="1"/>
  <c r="AS40" i="24" l="1"/>
  <c r="AS27" i="24"/>
  <c r="AM42" i="24"/>
  <c r="AM29" i="24"/>
  <c r="AS44" i="24"/>
  <c r="AS31" i="24"/>
  <c r="AN46" i="24"/>
  <c r="AN33" i="24"/>
  <c r="AR37" i="24"/>
  <c r="AR24" i="24"/>
  <c r="AU39" i="24"/>
  <c r="AU26" i="24"/>
  <c r="AL41" i="24"/>
  <c r="AL28" i="24"/>
  <c r="AQ43" i="24"/>
  <c r="AQ30" i="24"/>
  <c r="AT32" i="24"/>
  <c r="AT45" i="24"/>
  <c r="AW47" i="24"/>
  <c r="AW34" i="24"/>
  <c r="AU38" i="24"/>
  <c r="AU25" i="24"/>
  <c r="AL39" i="24"/>
  <c r="AL26" i="24"/>
  <c r="AS39" i="24"/>
  <c r="AS26" i="24"/>
  <c r="AR40" i="24"/>
  <c r="AR27" i="24"/>
  <c r="AU40" i="24"/>
  <c r="AU27" i="24"/>
  <c r="AT28" i="24"/>
  <c r="AT41" i="24"/>
  <c r="AP41" i="24"/>
  <c r="AP28" i="24"/>
  <c r="AP42" i="24"/>
  <c r="AP29" i="24"/>
  <c r="AN42" i="24"/>
  <c r="AN29" i="24"/>
  <c r="AO43" i="24"/>
  <c r="AO30" i="24"/>
  <c r="AV43" i="24"/>
  <c r="AV30" i="24"/>
  <c r="AP44" i="24"/>
  <c r="AP31" i="24"/>
  <c r="AL44" i="24"/>
  <c r="AL31" i="24"/>
  <c r="AN32" i="24"/>
  <c r="AN45" i="24"/>
  <c r="AM45" i="24"/>
  <c r="AM32" i="24"/>
  <c r="AM46" i="24"/>
  <c r="AM33" i="24"/>
  <c r="AP33" i="24"/>
  <c r="AP46" i="24"/>
  <c r="AM34" i="24"/>
  <c r="AM47" i="24"/>
  <c r="AN34" i="24"/>
  <c r="AN47" i="24"/>
  <c r="F9" i="24"/>
  <c r="AW37" i="24"/>
  <c r="AW24" i="24"/>
  <c r="AT38" i="24"/>
  <c r="AT25" i="24"/>
  <c r="AW39" i="24"/>
  <c r="AW26" i="24"/>
  <c r="AV41" i="24"/>
  <c r="AV28" i="24"/>
  <c r="AL43" i="24"/>
  <c r="AL30" i="24"/>
  <c r="AV45" i="24"/>
  <c r="AV32" i="24"/>
  <c r="AT34" i="24"/>
  <c r="AT47" i="24"/>
  <c r="AO37" i="24"/>
  <c r="AO24" i="24"/>
  <c r="AQ27" i="24"/>
  <c r="AQ40" i="24"/>
  <c r="AT42" i="24"/>
  <c r="AT29" i="24"/>
  <c r="AR44" i="24"/>
  <c r="AR31" i="24"/>
  <c r="AO46" i="24"/>
  <c r="AO33" i="24"/>
  <c r="AL38" i="24"/>
  <c r="AL25" i="24"/>
  <c r="AN26" i="24"/>
  <c r="AN39" i="24"/>
  <c r="AP39" i="24"/>
  <c r="AP26" i="24"/>
  <c r="AL40" i="24"/>
  <c r="AL27" i="24"/>
  <c r="AW27" i="24"/>
  <c r="AW40" i="24"/>
  <c r="AN28" i="24"/>
  <c r="AN41" i="24"/>
  <c r="AU41" i="24"/>
  <c r="AU28" i="24"/>
  <c r="AO42" i="24"/>
  <c r="AO29" i="24"/>
  <c r="AR42" i="24"/>
  <c r="AR29" i="24"/>
  <c r="AS43" i="24"/>
  <c r="AS30" i="24"/>
  <c r="AM43" i="24"/>
  <c r="AM30" i="24"/>
  <c r="AT44" i="24"/>
  <c r="AT31" i="24"/>
  <c r="AQ31" i="24"/>
  <c r="AQ44" i="24"/>
  <c r="AW45" i="24"/>
  <c r="AW32" i="24"/>
  <c r="AP45" i="24"/>
  <c r="AP32" i="24"/>
  <c r="AQ33" i="24"/>
  <c r="AQ46" i="24"/>
  <c r="AV33" i="24"/>
  <c r="AV46" i="24"/>
  <c r="AP47" i="24"/>
  <c r="AP34" i="24"/>
  <c r="AQ47" i="24"/>
  <c r="AQ34" i="24"/>
  <c r="F22" i="24"/>
  <c r="AS38" i="24"/>
  <c r="AS25" i="24"/>
  <c r="AT24" i="24"/>
  <c r="AT37" i="24"/>
  <c r="AN40" i="24"/>
  <c r="AN27" i="24"/>
  <c r="AV42" i="24"/>
  <c r="AV29" i="24"/>
  <c r="AM44" i="24"/>
  <c r="AM31" i="24"/>
  <c r="AU46" i="24"/>
  <c r="AU33" i="24"/>
  <c r="AN38" i="24"/>
  <c r="AN25" i="24"/>
  <c r="AM38" i="24"/>
  <c r="AM25" i="24"/>
  <c r="AO40" i="24"/>
  <c r="AO27" i="24"/>
  <c r="AU42" i="24"/>
  <c r="AU29" i="24"/>
  <c r="AO44" i="24"/>
  <c r="AO31" i="24"/>
  <c r="AS46" i="24"/>
  <c r="AS33" i="24"/>
  <c r="AL37" i="24"/>
  <c r="AL24" i="24"/>
  <c r="AU37" i="24"/>
  <c r="AU24" i="24"/>
  <c r="AS37" i="24"/>
  <c r="AS24" i="24"/>
  <c r="AN37" i="24"/>
  <c r="AN24" i="24"/>
  <c r="AO39" i="24"/>
  <c r="AO26" i="24"/>
  <c r="AQ39" i="24"/>
  <c r="AQ26" i="24"/>
  <c r="AP40" i="24"/>
  <c r="AP27" i="24"/>
  <c r="AV40" i="24"/>
  <c r="AV27" i="24"/>
  <c r="AS41" i="24"/>
  <c r="AS28" i="24"/>
  <c r="AO41" i="24"/>
  <c r="AO28" i="24"/>
  <c r="AW29" i="24"/>
  <c r="AW42" i="24"/>
  <c r="AL42" i="24"/>
  <c r="AL29" i="24"/>
  <c r="AW43" i="24"/>
  <c r="AW30" i="24"/>
  <c r="AN30" i="24"/>
  <c r="AN43" i="24"/>
  <c r="AU44" i="24"/>
  <c r="AU31" i="24"/>
  <c r="AV44" i="24"/>
  <c r="AV31" i="24"/>
  <c r="AR45" i="24"/>
  <c r="AR32" i="24"/>
  <c r="AU45" i="24"/>
  <c r="AU32" i="24"/>
  <c r="AR33" i="24"/>
  <c r="AR46" i="24"/>
  <c r="AT46" i="24"/>
  <c r="AT33" i="24"/>
  <c r="AR47" i="24"/>
  <c r="AR34" i="24"/>
  <c r="AU34" i="24"/>
  <c r="AU47" i="24"/>
  <c r="F35" i="24"/>
  <c r="AQ25" i="24"/>
  <c r="AQ38" i="24"/>
  <c r="AM37" i="24"/>
  <c r="AM24" i="24"/>
  <c r="AP37" i="24"/>
  <c r="AP24" i="24"/>
  <c r="AP38" i="24"/>
  <c r="AP25" i="24"/>
  <c r="AV39" i="24"/>
  <c r="AV26" i="24"/>
  <c r="AM41" i="24"/>
  <c r="AM28" i="24"/>
  <c r="AR43" i="24"/>
  <c r="AR30" i="24"/>
  <c r="AS45" i="24"/>
  <c r="AS32" i="24"/>
  <c r="AV47" i="24"/>
  <c r="AV34" i="24"/>
  <c r="AV37" i="24"/>
  <c r="AV24" i="24"/>
  <c r="AM39" i="24"/>
  <c r="AM26" i="24"/>
  <c r="AR41" i="24"/>
  <c r="AR28" i="24"/>
  <c r="AT30" i="24"/>
  <c r="AT43" i="24"/>
  <c r="AL45" i="24"/>
  <c r="AL32" i="24"/>
  <c r="AS34" i="24"/>
  <c r="AS47" i="24"/>
  <c r="AO38" i="24"/>
  <c r="AO25" i="24"/>
  <c r="AT26" i="24"/>
  <c r="AT39" i="24"/>
  <c r="AR39" i="24"/>
  <c r="AR26" i="24"/>
  <c r="AM40" i="24"/>
  <c r="AM27" i="24"/>
  <c r="AT40" i="24"/>
  <c r="AT27" i="24"/>
  <c r="AW41" i="24"/>
  <c r="AW28" i="24"/>
  <c r="AQ41" i="24"/>
  <c r="AQ28" i="24"/>
  <c r="AS42" i="24"/>
  <c r="AS29" i="24"/>
  <c r="AQ29" i="24"/>
  <c r="AQ42" i="24"/>
  <c r="AP43" i="24"/>
  <c r="AP30" i="24"/>
  <c r="AU43" i="24"/>
  <c r="AU30" i="24"/>
  <c r="AN44" i="24"/>
  <c r="AN31" i="24"/>
  <c r="AW31" i="24"/>
  <c r="AW44" i="24"/>
  <c r="AQ45" i="24"/>
  <c r="AQ32" i="24"/>
  <c r="AO45" i="24"/>
  <c r="AO32" i="24"/>
  <c r="AW33" i="24"/>
  <c r="AW46" i="24"/>
  <c r="AL33" i="24"/>
  <c r="AL46" i="24"/>
  <c r="AL47" i="24"/>
  <c r="AL34" i="24"/>
  <c r="AO34" i="24"/>
  <c r="AO47" i="24"/>
  <c r="AR38" i="24"/>
  <c r="AR25" i="24"/>
  <c r="AQ37" i="24"/>
  <c r="AQ24" i="24"/>
  <c r="AW25" i="24"/>
  <c r="AW38" i="24"/>
  <c r="Z31" i="23"/>
  <c r="Z44" i="23"/>
  <c r="AB31" i="23"/>
  <c r="AB44" i="23"/>
  <c r="AC44" i="23"/>
  <c r="AC31" i="23"/>
  <c r="Y44" i="23"/>
  <c r="Y31" i="23"/>
  <c r="AH17" i="23"/>
  <c r="AB17" i="23"/>
  <c r="AG17" i="23"/>
  <c r="AA17" i="23"/>
  <c r="AC17" i="23"/>
  <c r="AD17" i="23"/>
  <c r="Z17" i="23"/>
  <c r="AI17" i="23"/>
  <c r="Y17" i="23"/>
  <c r="AE17" i="23"/>
  <c r="AF17" i="23"/>
  <c r="X17" i="23"/>
  <c r="W16" i="23"/>
  <c r="AF44" i="23"/>
  <c r="AF31" i="23"/>
  <c r="AI44" i="23"/>
  <c r="AI31" i="23"/>
  <c r="AE44" i="23"/>
  <c r="AE31" i="23"/>
  <c r="AA31" i="23"/>
  <c r="AA44" i="23"/>
  <c r="X44" i="23"/>
  <c r="X31" i="23"/>
  <c r="AH31" i="23"/>
  <c r="AH44" i="23"/>
  <c r="AG31" i="23"/>
  <c r="AG44" i="23"/>
  <c r="AD44" i="23"/>
  <c r="AD31" i="23"/>
  <c r="AI45" i="22"/>
  <c r="AI32" i="22"/>
  <c r="AD45" i="22"/>
  <c r="AD32" i="22"/>
  <c r="AE32" i="22"/>
  <c r="AE45" i="22"/>
  <c r="AH45" i="22"/>
  <c r="AH32" i="22"/>
  <c r="AB45" i="22"/>
  <c r="AB32" i="22"/>
  <c r="X45" i="22"/>
  <c r="X32" i="22"/>
  <c r="AI18" i="22"/>
  <c r="AC18" i="22"/>
  <c r="AE18" i="22"/>
  <c r="Y18" i="22"/>
  <c r="AB18" i="22"/>
  <c r="AA18" i="22"/>
  <c r="AH18" i="22"/>
  <c r="Z18" i="22"/>
  <c r="AG18" i="22"/>
  <c r="X18" i="22"/>
  <c r="AD18" i="22"/>
  <c r="AF18" i="22"/>
  <c r="W17" i="22"/>
  <c r="AG45" i="22"/>
  <c r="AG32" i="22"/>
  <c r="Z32" i="22"/>
  <c r="Z45" i="22"/>
  <c r="AC45" i="22"/>
  <c r="AC32" i="22"/>
  <c r="AA45" i="22"/>
  <c r="AA32" i="22"/>
  <c r="Y32" i="22"/>
  <c r="Y45" i="22"/>
  <c r="AF32" i="22"/>
  <c r="AF45" i="22"/>
  <c r="AA46" i="21"/>
  <c r="AA33" i="21"/>
  <c r="AD33" i="21"/>
  <c r="AD46" i="21"/>
  <c r="Y33" i="21"/>
  <c r="Y46" i="21"/>
  <c r="Z46" i="21"/>
  <c r="Z33" i="21"/>
  <c r="AH33" i="21"/>
  <c r="AH46" i="21"/>
  <c r="AC46" i="21"/>
  <c r="AC33" i="21"/>
  <c r="AE33" i="21"/>
  <c r="AE46" i="21"/>
  <c r="AB33" i="21"/>
  <c r="AB46" i="21"/>
  <c r="AF46" i="21"/>
  <c r="AF33" i="21"/>
  <c r="AG46" i="21"/>
  <c r="AG33" i="21"/>
  <c r="AI46" i="21"/>
  <c r="AI33" i="21"/>
  <c r="X33" i="21"/>
  <c r="X46" i="21"/>
  <c r="AD19" i="21"/>
  <c r="X19" i="21"/>
  <c r="AI19" i="21"/>
  <c r="AC19" i="21"/>
  <c r="AF19" i="21"/>
  <c r="Z19" i="21"/>
  <c r="W18" i="21"/>
  <c r="AE19" i="21"/>
  <c r="Y19" i="21"/>
  <c r="AB19" i="21"/>
  <c r="AA19" i="21"/>
  <c r="AH19" i="21"/>
  <c r="AG19" i="21"/>
  <c r="AB34" i="20"/>
  <c r="AB47" i="20"/>
  <c r="AH34" i="20"/>
  <c r="AH47" i="20"/>
  <c r="AE47" i="20"/>
  <c r="AE34" i="20"/>
  <c r="AA34" i="20"/>
  <c r="AA47" i="20"/>
  <c r="Y47" i="20"/>
  <c r="Y34" i="20"/>
  <c r="AC47" i="20"/>
  <c r="AC34" i="20"/>
  <c r="AI20" i="20"/>
  <c r="AC20" i="20"/>
  <c r="AH20" i="20"/>
  <c r="AB20" i="20"/>
  <c r="AG20" i="20"/>
  <c r="AA20" i="20"/>
  <c r="AF20" i="20"/>
  <c r="Z20" i="20"/>
  <c r="W19" i="20"/>
  <c r="AE20" i="20"/>
  <c r="Y20" i="20"/>
  <c r="X20" i="20"/>
  <c r="AD20" i="20"/>
  <c r="AD47" i="20"/>
  <c r="AD34" i="20"/>
  <c r="AI47" i="20"/>
  <c r="AI34" i="20"/>
  <c r="Z47" i="20"/>
  <c r="Z34" i="20"/>
  <c r="AG34" i="20"/>
  <c r="AG47" i="20"/>
  <c r="X47" i="20"/>
  <c r="X34" i="20"/>
  <c r="AF47" i="20"/>
  <c r="AF34" i="20"/>
  <c r="AA47" i="19"/>
  <c r="AA34" i="19"/>
  <c r="AB34" i="19"/>
  <c r="AB47" i="19"/>
  <c r="Z47" i="19"/>
  <c r="Z34" i="19"/>
  <c r="AD47" i="19"/>
  <c r="AD34" i="19"/>
  <c r="AH34" i="19"/>
  <c r="AH47" i="19"/>
  <c r="AG47" i="19"/>
  <c r="AG34" i="19"/>
  <c r="AC34" i="19"/>
  <c r="AC47" i="19"/>
  <c r="AH20" i="19"/>
  <c r="AB20" i="19"/>
  <c r="AF20" i="19"/>
  <c r="Z20" i="19"/>
  <c r="W19" i="19"/>
  <c r="AE20" i="19"/>
  <c r="Y20" i="19"/>
  <c r="AA20" i="19"/>
  <c r="AI20" i="19"/>
  <c r="AG20" i="19"/>
  <c r="AD20" i="19"/>
  <c r="AC20" i="19"/>
  <c r="X20" i="19"/>
  <c r="AI34" i="19"/>
  <c r="AI47" i="19"/>
  <c r="AF34" i="19"/>
  <c r="AF47" i="19"/>
  <c r="Y34" i="19"/>
  <c r="Y47" i="19"/>
  <c r="X47" i="19"/>
  <c r="X34" i="19"/>
  <c r="AE34" i="19"/>
  <c r="AE47" i="19"/>
  <c r="AH47" i="17"/>
  <c r="AH34" i="17"/>
  <c r="Z34" i="17"/>
  <c r="Z47" i="17"/>
  <c r="AA47" i="17"/>
  <c r="AA34" i="17"/>
  <c r="AD47" i="17"/>
  <c r="AD34" i="17"/>
  <c r="Y21" i="17"/>
  <c r="AG21" i="17"/>
  <c r="AI34" i="17"/>
  <c r="AI47" i="17"/>
  <c r="X47" i="17"/>
  <c r="X34" i="17"/>
  <c r="AE21" i="17"/>
  <c r="AB21" i="17"/>
  <c r="AF34" i="17"/>
  <c r="AF47" i="17"/>
  <c r="AE20" i="17"/>
  <c r="Y20" i="17"/>
  <c r="AD20" i="17"/>
  <c r="X20" i="17"/>
  <c r="AI20" i="17"/>
  <c r="AC20" i="17"/>
  <c r="AH20" i="17"/>
  <c r="AB20" i="17"/>
  <c r="AA20" i="17"/>
  <c r="Z20" i="17"/>
  <c r="W19" i="17"/>
  <c r="AG20" i="17"/>
  <c r="AF20" i="17"/>
  <c r="AC34" i="17"/>
  <c r="AC47" i="17"/>
  <c r="AF11" i="1"/>
  <c r="AF7" i="1"/>
  <c r="AI43" i="23" l="1"/>
  <c r="AI30" i="23"/>
  <c r="Z43" i="23"/>
  <c r="Z30" i="23"/>
  <c r="AH43" i="23"/>
  <c r="AH30" i="23"/>
  <c r="AB43" i="23"/>
  <c r="AB30" i="23"/>
  <c r="AE16" i="23"/>
  <c r="Y16" i="23"/>
  <c r="AD16" i="23"/>
  <c r="X16" i="23"/>
  <c r="AF16" i="23"/>
  <c r="AG16" i="23"/>
  <c r="AC16" i="23"/>
  <c r="AB16" i="23"/>
  <c r="W15" i="23"/>
  <c r="AH16" i="23"/>
  <c r="AI16" i="23"/>
  <c r="AA16" i="23"/>
  <c r="Z16" i="23"/>
  <c r="X30" i="23"/>
  <c r="X43" i="23"/>
  <c r="AD30" i="23"/>
  <c r="AD43" i="23"/>
  <c r="AF43" i="23"/>
  <c r="AF30" i="23"/>
  <c r="AC30" i="23"/>
  <c r="AC43" i="23"/>
  <c r="AE30" i="23"/>
  <c r="AE43" i="23"/>
  <c r="AA43" i="23"/>
  <c r="AA30" i="23"/>
  <c r="Y30" i="23"/>
  <c r="Y43" i="23"/>
  <c r="AG43" i="23"/>
  <c r="AG30" i="23"/>
  <c r="AF44" i="22"/>
  <c r="AF31" i="22"/>
  <c r="AA44" i="22"/>
  <c r="AA31" i="22"/>
  <c r="X44" i="22"/>
  <c r="X31" i="22"/>
  <c r="AD44" i="22"/>
  <c r="AD31" i="22"/>
  <c r="AB31" i="22"/>
  <c r="AB44" i="22"/>
  <c r="Y44" i="22"/>
  <c r="Y31" i="22"/>
  <c r="AG44" i="22"/>
  <c r="AG31" i="22"/>
  <c r="AE44" i="22"/>
  <c r="AE31" i="22"/>
  <c r="Z44" i="22"/>
  <c r="Z31" i="22"/>
  <c r="AC31" i="22"/>
  <c r="AC44" i="22"/>
  <c r="AH17" i="22"/>
  <c r="AG17" i="22"/>
  <c r="AA17" i="22"/>
  <c r="AF17" i="22"/>
  <c r="Z17" i="22"/>
  <c r="W16" i="22"/>
  <c r="AE17" i="22"/>
  <c r="Y17" i="22"/>
  <c r="AD17" i="22"/>
  <c r="X17" i="22"/>
  <c r="AC17" i="22"/>
  <c r="AB17" i="22"/>
  <c r="AI17" i="22"/>
  <c r="AH31" i="22"/>
  <c r="AH44" i="22"/>
  <c r="AI31" i="22"/>
  <c r="AI44" i="22"/>
  <c r="AB45" i="21"/>
  <c r="AB32" i="21"/>
  <c r="AH32" i="21"/>
  <c r="AH45" i="21"/>
  <c r="Z45" i="21"/>
  <c r="Z32" i="21"/>
  <c r="AI45" i="21"/>
  <c r="AI32" i="21"/>
  <c r="AA45" i="21"/>
  <c r="AA32" i="21"/>
  <c r="AF45" i="21"/>
  <c r="AF32" i="21"/>
  <c r="AC45" i="21"/>
  <c r="AC32" i="21"/>
  <c r="AE32" i="21"/>
  <c r="AE45" i="21"/>
  <c r="X45" i="21"/>
  <c r="X32" i="21"/>
  <c r="Y32" i="21"/>
  <c r="Y45" i="21"/>
  <c r="AG45" i="21"/>
  <c r="AG32" i="21"/>
  <c r="AG18" i="21"/>
  <c r="AA18" i="21"/>
  <c r="AF18" i="21"/>
  <c r="Z18" i="21"/>
  <c r="W17" i="21"/>
  <c r="AI18" i="21"/>
  <c r="AC18" i="21"/>
  <c r="AH18" i="21"/>
  <c r="AB18" i="21"/>
  <c r="AE18" i="21"/>
  <c r="Y18" i="21"/>
  <c r="AD18" i="21"/>
  <c r="X18" i="21"/>
  <c r="AD45" i="21"/>
  <c r="AD32" i="21"/>
  <c r="Y33" i="20"/>
  <c r="Y46" i="20"/>
  <c r="AG46" i="20"/>
  <c r="AG33" i="20"/>
  <c r="AA46" i="20"/>
  <c r="AA33" i="20"/>
  <c r="AB46" i="20"/>
  <c r="AB33" i="20"/>
  <c r="X33" i="20"/>
  <c r="X46" i="20"/>
  <c r="AE33" i="20"/>
  <c r="AE46" i="20"/>
  <c r="AF19" i="20"/>
  <c r="Z19" i="20"/>
  <c r="W18" i="20"/>
  <c r="AE19" i="20"/>
  <c r="Y19" i="20"/>
  <c r="AD19" i="20"/>
  <c r="X19" i="20"/>
  <c r="AI19" i="20"/>
  <c r="AC19" i="20"/>
  <c r="AH19" i="20"/>
  <c r="AG19" i="20"/>
  <c r="AB19" i="20"/>
  <c r="AA19" i="20"/>
  <c r="AH33" i="20"/>
  <c r="AH46" i="20"/>
  <c r="Z46" i="20"/>
  <c r="Z33" i="20"/>
  <c r="AC46" i="20"/>
  <c r="AC33" i="20"/>
  <c r="AD33" i="20"/>
  <c r="AD46" i="20"/>
  <c r="AF46" i="20"/>
  <c r="AF33" i="20"/>
  <c r="AI46" i="20"/>
  <c r="AI33" i="20"/>
  <c r="X46" i="19"/>
  <c r="X33" i="19"/>
  <c r="Y33" i="19"/>
  <c r="Y46" i="19"/>
  <c r="AH33" i="19"/>
  <c r="AH46" i="19"/>
  <c r="AC46" i="19"/>
  <c r="AC33" i="19"/>
  <c r="AE33" i="19"/>
  <c r="AE46" i="19"/>
  <c r="AB33" i="19"/>
  <c r="AB46" i="19"/>
  <c r="AD46" i="19"/>
  <c r="AD33" i="19"/>
  <c r="AE19" i="19"/>
  <c r="Y19" i="19"/>
  <c r="AI19" i="19"/>
  <c r="AC19" i="19"/>
  <c r="AH19" i="19"/>
  <c r="AB19" i="19"/>
  <c r="AD19" i="19"/>
  <c r="Z19" i="19"/>
  <c r="AG19" i="19"/>
  <c r="X19" i="19"/>
  <c r="AF19" i="19"/>
  <c r="AA19" i="19"/>
  <c r="W18" i="19"/>
  <c r="AA46" i="19"/>
  <c r="AA33" i="19"/>
  <c r="AG46" i="19"/>
  <c r="AG33" i="19"/>
  <c r="Z33" i="19"/>
  <c r="Z46" i="19"/>
  <c r="AI33" i="19"/>
  <c r="AI46" i="19"/>
  <c r="AF46" i="19"/>
  <c r="AF33" i="19"/>
  <c r="AA46" i="17"/>
  <c r="AA33" i="17"/>
  <c r="Y47" i="17"/>
  <c r="Y34" i="17"/>
  <c r="AB46" i="17"/>
  <c r="AB33" i="17"/>
  <c r="Y46" i="17"/>
  <c r="Y33" i="17"/>
  <c r="AB47" i="17"/>
  <c r="AB34" i="17"/>
  <c r="AG34" i="17"/>
  <c r="AG47" i="17"/>
  <c r="AH46" i="17"/>
  <c r="AH33" i="17"/>
  <c r="AE46" i="17"/>
  <c r="AE33" i="17"/>
  <c r="AE47" i="17"/>
  <c r="AE34" i="17"/>
  <c r="Z33" i="17"/>
  <c r="Z46" i="17"/>
  <c r="AF33" i="17"/>
  <c r="AF46" i="17"/>
  <c r="AC33" i="17"/>
  <c r="AC46" i="17"/>
  <c r="X33" i="17"/>
  <c r="X46" i="17"/>
  <c r="AD46" i="17"/>
  <c r="AD33" i="17"/>
  <c r="AG46" i="17"/>
  <c r="AG33" i="17"/>
  <c r="AH19" i="17"/>
  <c r="AB19" i="17"/>
  <c r="AG19" i="17"/>
  <c r="AA19" i="17"/>
  <c r="AF19" i="17"/>
  <c r="Z19" i="17"/>
  <c r="W18" i="17"/>
  <c r="AC19" i="17"/>
  <c r="Y19" i="17"/>
  <c r="X19" i="17"/>
  <c r="AI19" i="17"/>
  <c r="AE19" i="17"/>
  <c r="AD19" i="17"/>
  <c r="AI33" i="17"/>
  <c r="AI46" i="17"/>
  <c r="W47" i="15"/>
  <c r="W46" i="15" s="1"/>
  <c r="W45" i="15" s="1"/>
  <c r="W44" i="15" s="1"/>
  <c r="W43" i="15" s="1"/>
  <c r="W42" i="15" s="1"/>
  <c r="W41" i="15" s="1"/>
  <c r="W40" i="15" s="1"/>
  <c r="W39" i="15" s="1"/>
  <c r="W38" i="15" s="1"/>
  <c r="W37" i="15" s="1"/>
  <c r="AK21" i="15"/>
  <c r="AK20" i="15" s="1"/>
  <c r="AK19" i="15" s="1"/>
  <c r="AK18" i="15" s="1"/>
  <c r="AK17" i="15" s="1"/>
  <c r="AK16" i="15" s="1"/>
  <c r="AK15" i="15" s="1"/>
  <c r="AK14" i="15" s="1"/>
  <c r="AK13" i="15" s="1"/>
  <c r="AK12" i="15" s="1"/>
  <c r="AK11" i="15" s="1"/>
  <c r="Y42" i="23" l="1"/>
  <c r="Y29" i="23"/>
  <c r="AE42" i="23"/>
  <c r="AE29" i="23"/>
  <c r="AA29" i="23"/>
  <c r="AA42" i="23"/>
  <c r="AG29" i="23"/>
  <c r="AG42" i="23"/>
  <c r="AB29" i="23"/>
  <c r="AB42" i="23"/>
  <c r="Z42" i="23"/>
  <c r="Z29" i="23"/>
  <c r="AI42" i="23"/>
  <c r="AI29" i="23"/>
  <c r="AF29" i="23"/>
  <c r="AF42" i="23"/>
  <c r="AH15" i="23"/>
  <c r="AB15" i="23"/>
  <c r="AG15" i="23"/>
  <c r="AA15" i="23"/>
  <c r="AI15" i="23"/>
  <c r="Y15" i="23"/>
  <c r="AF15" i="23"/>
  <c r="X15" i="23"/>
  <c r="W14" i="23"/>
  <c r="Z15" i="23"/>
  <c r="AE15" i="23"/>
  <c r="AD15" i="23"/>
  <c r="AC15" i="23"/>
  <c r="AC42" i="23"/>
  <c r="AC29" i="23"/>
  <c r="AH29" i="23"/>
  <c r="AH42" i="23"/>
  <c r="X42" i="23"/>
  <c r="X29" i="23"/>
  <c r="AD42" i="23"/>
  <c r="AD29" i="23"/>
  <c r="AF30" i="22"/>
  <c r="AF43" i="22"/>
  <c r="Y30" i="22"/>
  <c r="Y43" i="22"/>
  <c r="AG43" i="22"/>
  <c r="AG30" i="22"/>
  <c r="AI43" i="22"/>
  <c r="AI30" i="22"/>
  <c r="AE30" i="22"/>
  <c r="AE43" i="22"/>
  <c r="AH43" i="22"/>
  <c r="AH30" i="22"/>
  <c r="AB43" i="22"/>
  <c r="AB30" i="22"/>
  <c r="AD16" i="22"/>
  <c r="X16" i="22"/>
  <c r="AI16" i="22"/>
  <c r="AC16" i="22"/>
  <c r="AH16" i="22"/>
  <c r="AB16" i="22"/>
  <c r="AG16" i="22"/>
  <c r="AA16" i="22"/>
  <c r="Y16" i="22"/>
  <c r="W15" i="22"/>
  <c r="AF16" i="22"/>
  <c r="AE16" i="22"/>
  <c r="Z16" i="22"/>
  <c r="AC43" i="22"/>
  <c r="AC30" i="22"/>
  <c r="Z30" i="22"/>
  <c r="Z43" i="22"/>
  <c r="X43" i="22"/>
  <c r="X30" i="22"/>
  <c r="AD43" i="22"/>
  <c r="AD30" i="22"/>
  <c r="AA43" i="22"/>
  <c r="AA30" i="22"/>
  <c r="AA44" i="21"/>
  <c r="AA31" i="21"/>
  <c r="AC44" i="21"/>
  <c r="AC31" i="21"/>
  <c r="AE44" i="21"/>
  <c r="AE31" i="21"/>
  <c r="Z44" i="21"/>
  <c r="Z31" i="21"/>
  <c r="X44" i="21"/>
  <c r="X31" i="21"/>
  <c r="AD44" i="21"/>
  <c r="AD31" i="21"/>
  <c r="AB31" i="21"/>
  <c r="AB44" i="21"/>
  <c r="AF44" i="21"/>
  <c r="AF31" i="21"/>
  <c r="AH31" i="21"/>
  <c r="AH44" i="21"/>
  <c r="AG44" i="21"/>
  <c r="AG31" i="21"/>
  <c r="AI44" i="21"/>
  <c r="AI31" i="21"/>
  <c r="Y44" i="21"/>
  <c r="Y31" i="21"/>
  <c r="AD17" i="21"/>
  <c r="X17" i="21"/>
  <c r="AI17" i="21"/>
  <c r="AC17" i="21"/>
  <c r="AF17" i="21"/>
  <c r="Z17" i="21"/>
  <c r="W16" i="21"/>
  <c r="AE17" i="21"/>
  <c r="Y17" i="21"/>
  <c r="AH17" i="21"/>
  <c r="AA17" i="21"/>
  <c r="AG17" i="21"/>
  <c r="AB17" i="21"/>
  <c r="AB45" i="20"/>
  <c r="AB32" i="20"/>
  <c r="Y45" i="20"/>
  <c r="Y32" i="20"/>
  <c r="AH45" i="20"/>
  <c r="AH32" i="20"/>
  <c r="AE45" i="20"/>
  <c r="AE32" i="20"/>
  <c r="AD45" i="20"/>
  <c r="AD32" i="20"/>
  <c r="AC45" i="20"/>
  <c r="AC32" i="20"/>
  <c r="AI18" i="20"/>
  <c r="AC18" i="20"/>
  <c r="AH18" i="20"/>
  <c r="AB18" i="20"/>
  <c r="AG18" i="20"/>
  <c r="AA18" i="20"/>
  <c r="AF18" i="20"/>
  <c r="Z18" i="20"/>
  <c r="W17" i="20"/>
  <c r="X18" i="20"/>
  <c r="Y18" i="20"/>
  <c r="AE18" i="20"/>
  <c r="AD18" i="20"/>
  <c r="AG45" i="20"/>
  <c r="AG32" i="20"/>
  <c r="AI45" i="20"/>
  <c r="AI32" i="20"/>
  <c r="Z45" i="20"/>
  <c r="Z32" i="20"/>
  <c r="AA32" i="20"/>
  <c r="AA45" i="20"/>
  <c r="X45" i="20"/>
  <c r="X32" i="20"/>
  <c r="AF45" i="20"/>
  <c r="AF32" i="20"/>
  <c r="Z45" i="19"/>
  <c r="Z32" i="19"/>
  <c r="AF18" i="19"/>
  <c r="Z18" i="19"/>
  <c r="W17" i="19"/>
  <c r="AE18" i="19"/>
  <c r="Y18" i="19"/>
  <c r="AC18" i="19"/>
  <c r="AI18" i="19"/>
  <c r="AA18" i="19"/>
  <c r="AG18" i="19"/>
  <c r="AD18" i="19"/>
  <c r="AB18" i="19"/>
  <c r="AH18" i="19"/>
  <c r="X18" i="19"/>
  <c r="AD45" i="19"/>
  <c r="AD32" i="19"/>
  <c r="AE32" i="19"/>
  <c r="AE45" i="19"/>
  <c r="Y45" i="19"/>
  <c r="Y32" i="19"/>
  <c r="AA32" i="19"/>
  <c r="AA45" i="19"/>
  <c r="AB32" i="19"/>
  <c r="AB45" i="19"/>
  <c r="AF45" i="19"/>
  <c r="AF32" i="19"/>
  <c r="AH32" i="19"/>
  <c r="AH45" i="19"/>
  <c r="X45" i="19"/>
  <c r="X32" i="19"/>
  <c r="AC45" i="19"/>
  <c r="AC32" i="19"/>
  <c r="AG45" i="19"/>
  <c r="AG32" i="19"/>
  <c r="AI45" i="19"/>
  <c r="AI32" i="19"/>
  <c r="AI45" i="17"/>
  <c r="AI32" i="17"/>
  <c r="AF45" i="17"/>
  <c r="AF32" i="17"/>
  <c r="X45" i="17"/>
  <c r="X32" i="17"/>
  <c r="AA32" i="17"/>
  <c r="AA45" i="17"/>
  <c r="AE45" i="17"/>
  <c r="AE32" i="17"/>
  <c r="Y45" i="17"/>
  <c r="Y32" i="17"/>
  <c r="AG45" i="17"/>
  <c r="AG32" i="17"/>
  <c r="Z45" i="17"/>
  <c r="Z32" i="17"/>
  <c r="AC32" i="17"/>
  <c r="AC45" i="17"/>
  <c r="AB45" i="17"/>
  <c r="AB32" i="17"/>
  <c r="AD32" i="17"/>
  <c r="AD45" i="17"/>
  <c r="AE18" i="17"/>
  <c r="Y18" i="17"/>
  <c r="AD18" i="17"/>
  <c r="X18" i="17"/>
  <c r="AI18" i="17"/>
  <c r="AC18" i="17"/>
  <c r="AF18" i="17"/>
  <c r="AB18" i="17"/>
  <c r="AA18" i="17"/>
  <c r="Z18" i="17"/>
  <c r="AH18" i="17"/>
  <c r="W17" i="17"/>
  <c r="AG18" i="17"/>
  <c r="AH45" i="17"/>
  <c r="AH32" i="17"/>
  <c r="AK34" i="15"/>
  <c r="AK33" i="15" s="1"/>
  <c r="AK32" i="15" s="1"/>
  <c r="AK31" i="15" s="1"/>
  <c r="AK30" i="15" s="1"/>
  <c r="AK29" i="15" s="1"/>
  <c r="AK28" i="15" s="1"/>
  <c r="AK27" i="15" s="1"/>
  <c r="AK26" i="15" s="1"/>
  <c r="AK25" i="15" s="1"/>
  <c r="AK24" i="15" s="1"/>
  <c r="W34" i="15"/>
  <c r="W33" i="15" s="1"/>
  <c r="W32" i="15" s="1"/>
  <c r="W31" i="15" s="1"/>
  <c r="W30" i="15" s="1"/>
  <c r="W29" i="15" s="1"/>
  <c r="W28" i="15" s="1"/>
  <c r="W27" i="15" s="1"/>
  <c r="W26" i="15" s="1"/>
  <c r="W25" i="15" s="1"/>
  <c r="W24" i="15" s="1"/>
  <c r="W21" i="15"/>
  <c r="AK47" i="15"/>
  <c r="AK46" i="15" s="1"/>
  <c r="AK45" i="15" s="1"/>
  <c r="AK44" i="15" s="1"/>
  <c r="AK43" i="15" s="1"/>
  <c r="AK42" i="15" s="1"/>
  <c r="AK41" i="15" s="1"/>
  <c r="AK40" i="15" s="1"/>
  <c r="AK39" i="15" s="1"/>
  <c r="AK38" i="15" s="1"/>
  <c r="AK37" i="15" s="1"/>
  <c r="AK47" i="13"/>
  <c r="AK46" i="13" s="1"/>
  <c r="AK45" i="13" s="1"/>
  <c r="AK44" i="13" s="1"/>
  <c r="AK43" i="13" s="1"/>
  <c r="AK42" i="13" s="1"/>
  <c r="AK41" i="13" s="1"/>
  <c r="AK40" i="13" s="1"/>
  <c r="AK39" i="13" s="1"/>
  <c r="AK38" i="13" s="1"/>
  <c r="AK37" i="13" s="1"/>
  <c r="AG11" i="1"/>
  <c r="AG7" i="1"/>
  <c r="HT2" i="1"/>
  <c r="HS2" i="1"/>
  <c r="HR2" i="1"/>
  <c r="HQ2" i="1"/>
  <c r="HP2" i="1"/>
  <c r="HO2" i="1"/>
  <c r="HN2" i="1"/>
  <c r="HM2" i="1"/>
  <c r="HL2" i="1"/>
  <c r="HK2" i="1"/>
  <c r="HJ2" i="1"/>
  <c r="HI2" i="1"/>
  <c r="HH2" i="1"/>
  <c r="HG2" i="1"/>
  <c r="HF2" i="1"/>
  <c r="HE2" i="1"/>
  <c r="HD2" i="1"/>
  <c r="HC2" i="1"/>
  <c r="HB2" i="1"/>
  <c r="HA2" i="1"/>
  <c r="GZ2" i="1"/>
  <c r="GY2" i="1"/>
  <c r="GX2" i="1"/>
  <c r="GW2" i="1"/>
  <c r="GV2" i="1"/>
  <c r="GU2" i="1"/>
  <c r="GT2" i="1"/>
  <c r="GS2" i="1"/>
  <c r="GR2" i="1"/>
  <c r="GQ2" i="1"/>
  <c r="GP2" i="1"/>
  <c r="GO2" i="1"/>
  <c r="GN2" i="1"/>
  <c r="GM2" i="1"/>
  <c r="GL2" i="1"/>
  <c r="GK2" i="1"/>
  <c r="GJ2" i="1"/>
  <c r="GI2" i="1"/>
  <c r="GH2" i="1"/>
  <c r="GG2" i="1"/>
  <c r="GF2" i="1"/>
  <c r="GE2" i="1"/>
  <c r="GD2" i="1"/>
  <c r="GC2" i="1"/>
  <c r="GB2" i="1"/>
  <c r="GA2" i="1"/>
  <c r="FZ2" i="1"/>
  <c r="FY2" i="1"/>
  <c r="FX2" i="1"/>
  <c r="FW2" i="1"/>
  <c r="FV2" i="1"/>
  <c r="FU2" i="1"/>
  <c r="FT2" i="1"/>
  <c r="FS2" i="1"/>
  <c r="FR2" i="1"/>
  <c r="FQ2" i="1"/>
  <c r="FP2" i="1"/>
  <c r="FO2" i="1"/>
  <c r="FN2" i="1"/>
  <c r="FM2" i="1"/>
  <c r="FL2" i="1"/>
  <c r="FK2" i="1"/>
  <c r="FJ2" i="1"/>
  <c r="FI2" i="1"/>
  <c r="FH2" i="1"/>
  <c r="FG2" i="1"/>
  <c r="FF2" i="1"/>
  <c r="FE2" i="1"/>
  <c r="FD2" i="1"/>
  <c r="FC2" i="1"/>
  <c r="FB2" i="1"/>
  <c r="FA2" i="1"/>
  <c r="EZ2" i="1"/>
  <c r="EY2" i="1"/>
  <c r="EX2" i="1"/>
  <c r="EW2" i="1"/>
  <c r="EV2" i="1"/>
  <c r="EU2" i="1"/>
  <c r="ET2" i="1"/>
  <c r="ES2" i="1"/>
  <c r="ER2" i="1"/>
  <c r="EQ2" i="1"/>
  <c r="EP2" i="1"/>
  <c r="EO2" i="1"/>
  <c r="EN2" i="1"/>
  <c r="EM2" i="1"/>
  <c r="EL2" i="1"/>
  <c r="EK2" i="1"/>
  <c r="EJ2" i="1"/>
  <c r="EI2" i="1"/>
  <c r="EH2" i="1"/>
  <c r="EG2" i="1"/>
  <c r="EF2" i="1"/>
  <c r="EE2" i="1"/>
  <c r="ED2" i="1"/>
  <c r="EC2" i="1"/>
  <c r="EB2" i="1"/>
  <c r="EA2" i="1"/>
  <c r="DZ2" i="1"/>
  <c r="DY2" i="1"/>
  <c r="DX2" i="1"/>
  <c r="DW2" i="1"/>
  <c r="DV2" i="1"/>
  <c r="DU2" i="1"/>
  <c r="DT2" i="1"/>
  <c r="DS2" i="1"/>
  <c r="DR2" i="1"/>
  <c r="DQ2" i="1"/>
  <c r="DP2" i="1"/>
  <c r="DO2" i="1"/>
  <c r="DN2" i="1"/>
  <c r="DM2" i="1"/>
  <c r="DL2" i="1"/>
  <c r="DK2" i="1"/>
  <c r="DJ2" i="1"/>
  <c r="DI2" i="1"/>
  <c r="DH2" i="1"/>
  <c r="DG2" i="1"/>
  <c r="DF2" i="1"/>
  <c r="DE2" i="1"/>
  <c r="DD2" i="1"/>
  <c r="DC2" i="1"/>
  <c r="DB2" i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H11" i="1"/>
  <c r="AH7" i="1"/>
  <c r="AD14" i="23" l="1"/>
  <c r="X14" i="23"/>
  <c r="AF14" i="23"/>
  <c r="Y14" i="23"/>
  <c r="AI14" i="23"/>
  <c r="AC14" i="23"/>
  <c r="Z14" i="23"/>
  <c r="W13" i="23"/>
  <c r="AE14" i="23"/>
  <c r="AH14" i="23"/>
  <c r="AB14" i="23"/>
  <c r="AG14" i="23"/>
  <c r="AA14" i="23"/>
  <c r="AG41" i="23"/>
  <c r="AG28" i="23"/>
  <c r="Z41" i="23"/>
  <c r="Z28" i="23"/>
  <c r="X28" i="23"/>
  <c r="X41" i="23"/>
  <c r="AB41" i="23"/>
  <c r="AB28" i="23"/>
  <c r="AC41" i="23"/>
  <c r="AC28" i="23"/>
  <c r="AF41" i="23"/>
  <c r="AF28" i="23"/>
  <c r="AH41" i="23"/>
  <c r="AH28" i="23"/>
  <c r="AA41" i="23"/>
  <c r="AA28" i="23"/>
  <c r="AD28" i="23"/>
  <c r="AD41" i="23"/>
  <c r="Y28" i="23"/>
  <c r="Y41" i="23"/>
  <c r="AE28" i="23"/>
  <c r="AE41" i="23"/>
  <c r="AI28" i="23"/>
  <c r="AI41" i="23"/>
  <c r="AA42" i="22"/>
  <c r="AA29" i="22"/>
  <c r="X42" i="22"/>
  <c r="X29" i="22"/>
  <c r="Z42" i="22"/>
  <c r="Z29" i="22"/>
  <c r="AG42" i="22"/>
  <c r="AG29" i="22"/>
  <c r="AD42" i="22"/>
  <c r="AD29" i="22"/>
  <c r="AE42" i="22"/>
  <c r="AE29" i="22"/>
  <c r="AB29" i="22"/>
  <c r="AB42" i="22"/>
  <c r="AF42" i="22"/>
  <c r="AF29" i="22"/>
  <c r="AH29" i="22"/>
  <c r="AH42" i="22"/>
  <c r="AG15" i="22"/>
  <c r="AA15" i="22"/>
  <c r="AF15" i="22"/>
  <c r="Z15" i="22"/>
  <c r="W14" i="22"/>
  <c r="AE15" i="22"/>
  <c r="Y15" i="22"/>
  <c r="AD15" i="22"/>
  <c r="X15" i="22"/>
  <c r="AB15" i="22"/>
  <c r="AI15" i="22"/>
  <c r="AH15" i="22"/>
  <c r="AC15" i="22"/>
  <c r="AC29" i="22"/>
  <c r="AC42" i="22"/>
  <c r="Y42" i="22"/>
  <c r="Y29" i="22"/>
  <c r="AI29" i="22"/>
  <c r="AI42" i="22"/>
  <c r="AH43" i="21"/>
  <c r="AH30" i="21"/>
  <c r="AG43" i="21"/>
  <c r="AG30" i="21"/>
  <c r="Z43" i="21"/>
  <c r="Z30" i="21"/>
  <c r="Y30" i="21"/>
  <c r="Y43" i="21"/>
  <c r="AA43" i="21"/>
  <c r="AA30" i="21"/>
  <c r="AF43" i="21"/>
  <c r="AF30" i="21"/>
  <c r="AI43" i="21"/>
  <c r="AI30" i="21"/>
  <c r="AE30" i="21"/>
  <c r="AE43" i="21"/>
  <c r="X43" i="21"/>
  <c r="X30" i="21"/>
  <c r="AC43" i="21"/>
  <c r="AC30" i="21"/>
  <c r="AB43" i="21"/>
  <c r="AB30" i="21"/>
  <c r="AG16" i="21"/>
  <c r="AA16" i="21"/>
  <c r="AF16" i="21"/>
  <c r="Z16" i="21"/>
  <c r="W15" i="21"/>
  <c r="AI16" i="21"/>
  <c r="AC16" i="21"/>
  <c r="AD16" i="21"/>
  <c r="AB16" i="21"/>
  <c r="Y16" i="21"/>
  <c r="X16" i="21"/>
  <c r="AH16" i="21"/>
  <c r="AE16" i="21"/>
  <c r="AD43" i="21"/>
  <c r="AD30" i="21"/>
  <c r="AA44" i="20"/>
  <c r="AA31" i="20"/>
  <c r="AG44" i="20"/>
  <c r="AG31" i="20"/>
  <c r="X31" i="20"/>
  <c r="X44" i="20"/>
  <c r="AB44" i="20"/>
  <c r="AB31" i="20"/>
  <c r="AE44" i="20"/>
  <c r="AE31" i="20"/>
  <c r="Y44" i="20"/>
  <c r="Y31" i="20"/>
  <c r="AF17" i="20"/>
  <c r="Z17" i="20"/>
  <c r="W16" i="20"/>
  <c r="AE17" i="20"/>
  <c r="Y17" i="20"/>
  <c r="AD17" i="20"/>
  <c r="X17" i="20"/>
  <c r="AI17" i="20"/>
  <c r="AC17" i="20"/>
  <c r="AA17" i="20"/>
  <c r="AH17" i="20"/>
  <c r="AG17" i="20"/>
  <c r="AB17" i="20"/>
  <c r="AH44" i="20"/>
  <c r="AH31" i="20"/>
  <c r="Z44" i="20"/>
  <c r="Z31" i="20"/>
  <c r="AC44" i="20"/>
  <c r="AC31" i="20"/>
  <c r="AD31" i="20"/>
  <c r="AD44" i="20"/>
  <c r="AF44" i="20"/>
  <c r="AF31" i="20"/>
  <c r="AI44" i="20"/>
  <c r="AI31" i="20"/>
  <c r="X31" i="19"/>
  <c r="X44" i="19"/>
  <c r="AI44" i="19"/>
  <c r="AI31" i="19"/>
  <c r="AF44" i="19"/>
  <c r="AF31" i="19"/>
  <c r="AH44" i="19"/>
  <c r="AH31" i="19"/>
  <c r="AC44" i="19"/>
  <c r="AC31" i="19"/>
  <c r="Z44" i="19"/>
  <c r="Z31" i="19"/>
  <c r="AB44" i="19"/>
  <c r="AB31" i="19"/>
  <c r="Y31" i="19"/>
  <c r="Y44" i="19"/>
  <c r="AA44" i="19"/>
  <c r="AA31" i="19"/>
  <c r="AD31" i="19"/>
  <c r="AD44" i="19"/>
  <c r="AE31" i="19"/>
  <c r="AE44" i="19"/>
  <c r="AG44" i="19"/>
  <c r="AG31" i="19"/>
  <c r="AI17" i="19"/>
  <c r="AC17" i="19"/>
  <c r="AH17" i="19"/>
  <c r="AA17" i="19"/>
  <c r="AF17" i="19"/>
  <c r="Y17" i="19"/>
  <c r="AG17" i="19"/>
  <c r="AE17" i="19"/>
  <c r="AD17" i="19"/>
  <c r="AB17" i="19"/>
  <c r="Z17" i="19"/>
  <c r="W16" i="19"/>
  <c r="X17" i="19"/>
  <c r="Z44" i="17"/>
  <c r="Z31" i="17"/>
  <c r="X44" i="17"/>
  <c r="X31" i="17"/>
  <c r="AA44" i="17"/>
  <c r="AA31" i="17"/>
  <c r="AD31" i="17"/>
  <c r="AD44" i="17"/>
  <c r="AB44" i="17"/>
  <c r="AB31" i="17"/>
  <c r="Y44" i="17"/>
  <c r="Y31" i="17"/>
  <c r="AG31" i="17"/>
  <c r="AG44" i="17"/>
  <c r="AF31" i="17"/>
  <c r="AF44" i="17"/>
  <c r="AE44" i="17"/>
  <c r="AE31" i="17"/>
  <c r="AC44" i="17"/>
  <c r="AC31" i="17"/>
  <c r="AH17" i="17"/>
  <c r="AB17" i="17"/>
  <c r="AG17" i="17"/>
  <c r="AA17" i="17"/>
  <c r="AD17" i="17"/>
  <c r="W16" i="17"/>
  <c r="AC17" i="17"/>
  <c r="AF17" i="17"/>
  <c r="Z17" i="17"/>
  <c r="X17" i="17"/>
  <c r="AI17" i="17"/>
  <c r="Y17" i="17"/>
  <c r="AE17" i="17"/>
  <c r="AH44" i="17"/>
  <c r="AH31" i="17"/>
  <c r="AI44" i="17"/>
  <c r="AI31" i="17"/>
  <c r="AI21" i="15"/>
  <c r="AC21" i="15"/>
  <c r="AH21" i="15"/>
  <c r="AB21" i="15"/>
  <c r="AG21" i="15"/>
  <c r="AA21" i="15"/>
  <c r="AF21" i="15"/>
  <c r="Z21" i="15"/>
  <c r="W20" i="15"/>
  <c r="X21" i="15"/>
  <c r="AE21" i="15"/>
  <c r="AD21" i="15"/>
  <c r="Y21" i="15"/>
  <c r="AK21" i="13"/>
  <c r="AK20" i="13" s="1"/>
  <c r="AK19" i="13" s="1"/>
  <c r="AK18" i="13" s="1"/>
  <c r="AK17" i="13" s="1"/>
  <c r="AK16" i="13" s="1"/>
  <c r="AK15" i="13" s="1"/>
  <c r="AK14" i="13" s="1"/>
  <c r="AK13" i="13" s="1"/>
  <c r="AK12" i="13" s="1"/>
  <c r="AK11" i="13" s="1"/>
  <c r="W47" i="13"/>
  <c r="W46" i="13" s="1"/>
  <c r="W45" i="13" s="1"/>
  <c r="W44" i="13" s="1"/>
  <c r="W43" i="13" s="1"/>
  <c r="W42" i="13" s="1"/>
  <c r="W41" i="13" s="1"/>
  <c r="W40" i="13" s="1"/>
  <c r="W39" i="13" s="1"/>
  <c r="W38" i="13" s="1"/>
  <c r="W37" i="13" s="1"/>
  <c r="AK34" i="13"/>
  <c r="AK33" i="13" s="1"/>
  <c r="AK32" i="13" s="1"/>
  <c r="AK31" i="13" s="1"/>
  <c r="AK30" i="13" s="1"/>
  <c r="AK29" i="13" s="1"/>
  <c r="AK28" i="13" s="1"/>
  <c r="AK27" i="13" s="1"/>
  <c r="AK26" i="13" s="1"/>
  <c r="AK25" i="13" s="1"/>
  <c r="AK24" i="13" s="1"/>
  <c r="W34" i="13"/>
  <c r="W33" i="13" s="1"/>
  <c r="W32" i="13" s="1"/>
  <c r="W31" i="13" s="1"/>
  <c r="W30" i="13" s="1"/>
  <c r="W29" i="13" s="1"/>
  <c r="W28" i="13" s="1"/>
  <c r="W27" i="13" s="1"/>
  <c r="W26" i="13" s="1"/>
  <c r="W25" i="13" s="1"/>
  <c r="W24" i="13" s="1"/>
  <c r="W21" i="13"/>
  <c r="AK47" i="12"/>
  <c r="AK46" i="12" s="1"/>
  <c r="AK45" i="12" s="1"/>
  <c r="AK44" i="12" s="1"/>
  <c r="AK43" i="12" s="1"/>
  <c r="AK42" i="12" s="1"/>
  <c r="AK41" i="12" s="1"/>
  <c r="AK40" i="12" s="1"/>
  <c r="AK39" i="12" s="1"/>
  <c r="AK38" i="12" s="1"/>
  <c r="AK37" i="12" s="1"/>
  <c r="W47" i="12"/>
  <c r="W46" i="12" s="1"/>
  <c r="W45" i="12" s="1"/>
  <c r="W44" i="12" s="1"/>
  <c r="W43" i="12" s="1"/>
  <c r="W42" i="12" s="1"/>
  <c r="W41" i="12" s="1"/>
  <c r="W40" i="12" s="1"/>
  <c r="W39" i="12" s="1"/>
  <c r="W38" i="12" s="1"/>
  <c r="W37" i="12" s="1"/>
  <c r="W34" i="12"/>
  <c r="W33" i="12" s="1"/>
  <c r="W32" i="12" s="1"/>
  <c r="W31" i="12" s="1"/>
  <c r="W30" i="12" s="1"/>
  <c r="W29" i="12" s="1"/>
  <c r="W28" i="12" s="1"/>
  <c r="W27" i="12" s="1"/>
  <c r="W26" i="12" s="1"/>
  <c r="W25" i="12" s="1"/>
  <c r="W24" i="12" s="1"/>
  <c r="AK21" i="12"/>
  <c r="AK20" i="12" s="1"/>
  <c r="AK19" i="12" s="1"/>
  <c r="AK18" i="12" s="1"/>
  <c r="AK17" i="12" s="1"/>
  <c r="AK16" i="12" s="1"/>
  <c r="AK15" i="12" s="1"/>
  <c r="AK14" i="12" s="1"/>
  <c r="AK13" i="12" s="1"/>
  <c r="AK12" i="12" s="1"/>
  <c r="AK11" i="12" s="1"/>
  <c r="W21" i="12"/>
  <c r="AK34" i="12"/>
  <c r="AK33" i="12" s="1"/>
  <c r="AK32" i="12" s="1"/>
  <c r="AK31" i="12" s="1"/>
  <c r="AK30" i="12" s="1"/>
  <c r="AK29" i="12" s="1"/>
  <c r="AK28" i="12" s="1"/>
  <c r="AK27" i="12" s="1"/>
  <c r="AK26" i="12" s="1"/>
  <c r="AK25" i="12" s="1"/>
  <c r="AK24" i="12" s="1"/>
  <c r="AI11" i="1"/>
  <c r="AI7" i="1"/>
  <c r="AC40" i="23" l="1"/>
  <c r="AC27" i="23"/>
  <c r="AB27" i="23"/>
  <c r="AB40" i="23"/>
  <c r="AI40" i="23"/>
  <c r="AI27" i="23"/>
  <c r="AH27" i="23"/>
  <c r="AH40" i="23"/>
  <c r="Y40" i="23"/>
  <c r="Y27" i="23"/>
  <c r="AG27" i="23"/>
  <c r="AG40" i="23"/>
  <c r="AE40" i="23"/>
  <c r="AE27" i="23"/>
  <c r="AF40" i="23"/>
  <c r="AF27" i="23"/>
  <c r="AG13" i="23"/>
  <c r="AA13" i="23"/>
  <c r="AC13" i="23"/>
  <c r="AF13" i="23"/>
  <c r="Z13" i="23"/>
  <c r="W12" i="23"/>
  <c r="AE13" i="23"/>
  <c r="Y13" i="23"/>
  <c r="AI13" i="23"/>
  <c r="AB13" i="23"/>
  <c r="AD13" i="23"/>
  <c r="X13" i="23"/>
  <c r="AH13" i="23"/>
  <c r="X40" i="23"/>
  <c r="X27" i="23"/>
  <c r="AA27" i="23"/>
  <c r="AA40" i="23"/>
  <c r="Z40" i="23"/>
  <c r="Z27" i="23"/>
  <c r="AD40" i="23"/>
  <c r="AD27" i="23"/>
  <c r="AH41" i="22"/>
  <c r="AH28" i="22"/>
  <c r="AE28" i="22"/>
  <c r="AE41" i="22"/>
  <c r="AI41" i="22"/>
  <c r="AI28" i="22"/>
  <c r="AD14" i="22"/>
  <c r="X14" i="22"/>
  <c r="AI14" i="22"/>
  <c r="AC14" i="22"/>
  <c r="AH14" i="22"/>
  <c r="AB14" i="22"/>
  <c r="AG14" i="22"/>
  <c r="AA14" i="22"/>
  <c r="AE14" i="22"/>
  <c r="Z14" i="22"/>
  <c r="W13" i="22"/>
  <c r="Y14" i="22"/>
  <c r="AF14" i="22"/>
  <c r="AB41" i="22"/>
  <c r="AB28" i="22"/>
  <c r="Z28" i="22"/>
  <c r="Z41" i="22"/>
  <c r="X41" i="22"/>
  <c r="X28" i="22"/>
  <c r="AF28" i="22"/>
  <c r="AF41" i="22"/>
  <c r="AD41" i="22"/>
  <c r="AD28" i="22"/>
  <c r="AA41" i="22"/>
  <c r="AA28" i="22"/>
  <c r="AC41" i="22"/>
  <c r="AC28" i="22"/>
  <c r="Y28" i="22"/>
  <c r="Y41" i="22"/>
  <c r="AG41" i="22"/>
  <c r="AG28" i="22"/>
  <c r="AA42" i="21"/>
  <c r="AA29" i="21"/>
  <c r="AC42" i="21"/>
  <c r="AC29" i="21"/>
  <c r="Y42" i="21"/>
  <c r="Y29" i="21"/>
  <c r="Z42" i="21"/>
  <c r="Z29" i="21"/>
  <c r="AB29" i="21"/>
  <c r="AB42" i="21"/>
  <c r="AF42" i="21"/>
  <c r="AF29" i="21"/>
  <c r="AG42" i="21"/>
  <c r="AG29" i="21"/>
  <c r="AH29" i="21"/>
  <c r="AH42" i="21"/>
  <c r="AI42" i="21"/>
  <c r="AI29" i="21"/>
  <c r="AD42" i="21"/>
  <c r="AD29" i="21"/>
  <c r="AE29" i="21"/>
  <c r="AE42" i="21"/>
  <c r="X42" i="21"/>
  <c r="X29" i="21"/>
  <c r="AD15" i="21"/>
  <c r="X15" i="21"/>
  <c r="AI15" i="21"/>
  <c r="AC15" i="21"/>
  <c r="AF15" i="21"/>
  <c r="Z15" i="21"/>
  <c r="AG15" i="21"/>
  <c r="AE15" i="21"/>
  <c r="AB15" i="21"/>
  <c r="Y15" i="21"/>
  <c r="W14" i="21"/>
  <c r="AH15" i="21"/>
  <c r="AA15" i="21"/>
  <c r="AH30" i="20"/>
  <c r="AH43" i="20"/>
  <c r="Y30" i="20"/>
  <c r="Y43" i="20"/>
  <c r="AG43" i="20"/>
  <c r="AG30" i="20"/>
  <c r="AA30" i="20"/>
  <c r="AA43" i="20"/>
  <c r="AE43" i="20"/>
  <c r="AE30" i="20"/>
  <c r="AC43" i="20"/>
  <c r="AC30" i="20"/>
  <c r="AI16" i="20"/>
  <c r="AC16" i="20"/>
  <c r="AG16" i="20"/>
  <c r="AA16" i="20"/>
  <c r="AF16" i="20"/>
  <c r="X16" i="20"/>
  <c r="AE16" i="20"/>
  <c r="AB16" i="20"/>
  <c r="AD16" i="20"/>
  <c r="W15" i="20"/>
  <c r="Y16" i="20"/>
  <c r="AH16" i="20"/>
  <c r="Z16" i="20"/>
  <c r="AI43" i="20"/>
  <c r="AI30" i="20"/>
  <c r="Z43" i="20"/>
  <c r="Z30" i="20"/>
  <c r="AD43" i="20"/>
  <c r="AD30" i="20"/>
  <c r="AB30" i="20"/>
  <c r="AB43" i="20"/>
  <c r="X43" i="20"/>
  <c r="X30" i="20"/>
  <c r="AF43" i="20"/>
  <c r="AF30" i="20"/>
  <c r="AA30" i="19"/>
  <c r="AA43" i="19"/>
  <c r="Z43" i="19"/>
  <c r="Z30" i="19"/>
  <c r="AB43" i="19"/>
  <c r="AB30" i="19"/>
  <c r="AD43" i="19"/>
  <c r="AD30" i="19"/>
  <c r="AH43" i="19"/>
  <c r="AH30" i="19"/>
  <c r="AF16" i="19"/>
  <c r="AD16" i="19"/>
  <c r="X16" i="19"/>
  <c r="AI16" i="19"/>
  <c r="AB16" i="19"/>
  <c r="AC16" i="19"/>
  <c r="W15" i="19"/>
  <c r="AA16" i="19"/>
  <c r="Z16" i="19"/>
  <c r="AE16" i="19"/>
  <c r="AH16" i="19"/>
  <c r="Y16" i="19"/>
  <c r="AG16" i="19"/>
  <c r="AF43" i="19"/>
  <c r="AF30" i="19"/>
  <c r="AE43" i="19"/>
  <c r="AE30" i="19"/>
  <c r="AC43" i="19"/>
  <c r="AC30" i="19"/>
  <c r="Y43" i="19"/>
  <c r="Y30" i="19"/>
  <c r="X43" i="19"/>
  <c r="X30" i="19"/>
  <c r="AG30" i="19"/>
  <c r="AG43" i="19"/>
  <c r="AI43" i="19"/>
  <c r="AI30" i="19"/>
  <c r="AF43" i="17"/>
  <c r="AF30" i="17"/>
  <c r="AB43" i="17"/>
  <c r="AB30" i="17"/>
  <c r="AE43" i="17"/>
  <c r="AE30" i="17"/>
  <c r="AC43" i="17"/>
  <c r="AC30" i="17"/>
  <c r="AH43" i="17"/>
  <c r="AH30" i="17"/>
  <c r="Y43" i="17"/>
  <c r="Y30" i="17"/>
  <c r="AE16" i="17"/>
  <c r="Y16" i="17"/>
  <c r="AD16" i="17"/>
  <c r="X16" i="17"/>
  <c r="AG16" i="17"/>
  <c r="AF16" i="17"/>
  <c r="AC16" i="17"/>
  <c r="W15" i="17"/>
  <c r="AI16" i="17"/>
  <c r="AB16" i="17"/>
  <c r="AA16" i="17"/>
  <c r="AH16" i="17"/>
  <c r="Z16" i="17"/>
  <c r="AI30" i="17"/>
  <c r="AI43" i="17"/>
  <c r="AD43" i="17"/>
  <c r="AD30" i="17"/>
  <c r="X30" i="17"/>
  <c r="X43" i="17"/>
  <c r="AA43" i="17"/>
  <c r="AA30" i="17"/>
  <c r="Z43" i="17"/>
  <c r="Z30" i="17"/>
  <c r="AG30" i="17"/>
  <c r="AG43" i="17"/>
  <c r="Y34" i="15"/>
  <c r="Y47" i="15"/>
  <c r="AA47" i="15"/>
  <c r="AA34" i="15"/>
  <c r="X34" i="15"/>
  <c r="X47" i="15"/>
  <c r="AB34" i="15"/>
  <c r="AB47" i="15"/>
  <c r="AD34" i="15"/>
  <c r="AD47" i="15"/>
  <c r="AG47" i="15"/>
  <c r="AG34" i="15"/>
  <c r="AF20" i="15"/>
  <c r="Z20" i="15"/>
  <c r="W19" i="15"/>
  <c r="AE20" i="15"/>
  <c r="Y20" i="15"/>
  <c r="AD20" i="15"/>
  <c r="X20" i="15"/>
  <c r="AI20" i="15"/>
  <c r="AC20" i="15"/>
  <c r="AA20" i="15"/>
  <c r="AG20" i="15"/>
  <c r="AB20" i="15"/>
  <c r="AH20" i="15"/>
  <c r="AH47" i="15"/>
  <c r="AH34" i="15"/>
  <c r="AF47" i="15"/>
  <c r="AF34" i="15"/>
  <c r="AE34" i="15"/>
  <c r="AE47" i="15"/>
  <c r="Z47" i="15"/>
  <c r="Z34" i="15"/>
  <c r="AC47" i="15"/>
  <c r="AC34" i="15"/>
  <c r="AI47" i="15"/>
  <c r="AI34" i="15"/>
  <c r="AF21" i="13"/>
  <c r="Z21" i="13"/>
  <c r="W20" i="13"/>
  <c r="AI21" i="13"/>
  <c r="AC21" i="13"/>
  <c r="AH21" i="13"/>
  <c r="AB21" i="13"/>
  <c r="AE21" i="13"/>
  <c r="AD21" i="13"/>
  <c r="AA21" i="13"/>
  <c r="Y21" i="13"/>
  <c r="X21" i="13"/>
  <c r="AG21" i="13"/>
  <c r="AE21" i="12"/>
  <c r="Y21" i="12"/>
  <c r="AD21" i="12"/>
  <c r="X21" i="12"/>
  <c r="AI21" i="12"/>
  <c r="AC21" i="12"/>
  <c r="AH21" i="12"/>
  <c r="AB21" i="12"/>
  <c r="W20" i="12"/>
  <c r="AG21" i="12"/>
  <c r="AA21" i="12"/>
  <c r="AF21" i="12"/>
  <c r="Z21" i="12"/>
  <c r="HK11" i="1"/>
  <c r="HL11" i="1"/>
  <c r="HM11" i="1"/>
  <c r="HN11" i="1"/>
  <c r="HO11" i="1"/>
  <c r="HP11" i="1"/>
  <c r="HQ11" i="1"/>
  <c r="HR11" i="1"/>
  <c r="HS11" i="1"/>
  <c r="HT11" i="1"/>
  <c r="HK7" i="1"/>
  <c r="HL7" i="1"/>
  <c r="HM7" i="1"/>
  <c r="HN7" i="1"/>
  <c r="HO7" i="1"/>
  <c r="HP7" i="1"/>
  <c r="HQ7" i="1"/>
  <c r="HR7" i="1"/>
  <c r="HS7" i="1"/>
  <c r="HT7" i="1"/>
  <c r="AJ11" i="1"/>
  <c r="AJ7" i="1"/>
  <c r="HK3" i="1"/>
  <c r="HL3" i="1"/>
  <c r="HM3" i="1"/>
  <c r="HN3" i="1"/>
  <c r="HO3" i="1"/>
  <c r="HP3" i="1"/>
  <c r="HQ3" i="1"/>
  <c r="HR3" i="1"/>
  <c r="HS3" i="1"/>
  <c r="HT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AK11" i="1"/>
  <c r="AK7" i="1"/>
  <c r="AI39" i="23" l="1"/>
  <c r="AI26" i="23"/>
  <c r="AC26" i="23"/>
  <c r="AC39" i="23"/>
  <c r="AB39" i="23"/>
  <c r="AB26" i="23"/>
  <c r="Y26" i="23"/>
  <c r="Y39" i="23"/>
  <c r="AA39" i="23"/>
  <c r="AA26" i="23"/>
  <c r="AH39" i="23"/>
  <c r="AH26" i="23"/>
  <c r="AE39" i="23"/>
  <c r="AE26" i="23"/>
  <c r="AG39" i="23"/>
  <c r="AG26" i="23"/>
  <c r="AF39" i="23"/>
  <c r="AF26" i="23"/>
  <c r="X26" i="23"/>
  <c r="X39" i="23"/>
  <c r="AD12" i="23"/>
  <c r="X12" i="23"/>
  <c r="AI12" i="23"/>
  <c r="AC12" i="23"/>
  <c r="AE12" i="23"/>
  <c r="AH12" i="23"/>
  <c r="AB12" i="23"/>
  <c r="AF12" i="23"/>
  <c r="W11" i="23"/>
  <c r="AG12" i="23"/>
  <c r="AA12" i="23"/>
  <c r="Z12" i="23"/>
  <c r="Y12" i="23"/>
  <c r="AD26" i="23"/>
  <c r="AD39" i="23"/>
  <c r="Z39" i="23"/>
  <c r="Z26" i="23"/>
  <c r="Y40" i="22"/>
  <c r="Y27" i="22"/>
  <c r="AB27" i="22"/>
  <c r="AB40" i="22"/>
  <c r="AG13" i="22"/>
  <c r="AA13" i="22"/>
  <c r="AF13" i="22"/>
  <c r="Z13" i="22"/>
  <c r="W12" i="22"/>
  <c r="AE13" i="22"/>
  <c r="Y13" i="22"/>
  <c r="AD13" i="22"/>
  <c r="X13" i="22"/>
  <c r="AH13" i="22"/>
  <c r="AC13" i="22"/>
  <c r="AB13" i="22"/>
  <c r="AI13" i="22"/>
  <c r="AH27" i="22"/>
  <c r="AH40" i="22"/>
  <c r="Z40" i="22"/>
  <c r="Z27" i="22"/>
  <c r="AC27" i="22"/>
  <c r="AC40" i="22"/>
  <c r="AE40" i="22"/>
  <c r="AE27" i="22"/>
  <c r="AI27" i="22"/>
  <c r="AI40" i="22"/>
  <c r="AA40" i="22"/>
  <c r="AA27" i="22"/>
  <c r="X40" i="22"/>
  <c r="X27" i="22"/>
  <c r="AF40" i="22"/>
  <c r="AF27" i="22"/>
  <c r="AG40" i="22"/>
  <c r="AG27" i="22"/>
  <c r="AD40" i="22"/>
  <c r="AD27" i="22"/>
  <c r="AH28" i="21"/>
  <c r="AH41" i="21"/>
  <c r="Z41" i="21"/>
  <c r="Z28" i="21"/>
  <c r="Y28" i="21"/>
  <c r="Y41" i="21"/>
  <c r="AG14" i="21"/>
  <c r="AA14" i="21"/>
  <c r="AF14" i="21"/>
  <c r="Z14" i="21"/>
  <c r="AI14" i="21"/>
  <c r="Y14" i="21"/>
  <c r="AH14" i="21"/>
  <c r="X14" i="21"/>
  <c r="AE14" i="21"/>
  <c r="AC14" i="21"/>
  <c r="AD14" i="21"/>
  <c r="AB14" i="21"/>
  <c r="W13" i="21"/>
  <c r="AF41" i="21"/>
  <c r="AF28" i="21"/>
  <c r="AB41" i="21"/>
  <c r="AB28" i="21"/>
  <c r="AI41" i="21"/>
  <c r="AI28" i="21"/>
  <c r="AC41" i="21"/>
  <c r="AC28" i="21"/>
  <c r="AE28" i="21"/>
  <c r="AE41" i="21"/>
  <c r="X41" i="21"/>
  <c r="X28" i="21"/>
  <c r="AA41" i="21"/>
  <c r="AA28" i="21"/>
  <c r="AG41" i="21"/>
  <c r="AG28" i="21"/>
  <c r="AD41" i="21"/>
  <c r="AD28" i="21"/>
  <c r="Y29" i="20"/>
  <c r="Y42" i="20"/>
  <c r="AF42" i="20"/>
  <c r="AF29" i="20"/>
  <c r="AF15" i="20"/>
  <c r="Z15" i="20"/>
  <c r="W14" i="20"/>
  <c r="AD15" i="20"/>
  <c r="X15" i="20"/>
  <c r="AI15" i="20"/>
  <c r="AA15" i="20"/>
  <c r="AH15" i="20"/>
  <c r="Y15" i="20"/>
  <c r="AE15" i="20"/>
  <c r="AB15" i="20"/>
  <c r="AG15" i="20"/>
  <c r="AC15" i="20"/>
  <c r="AA42" i="20"/>
  <c r="AA29" i="20"/>
  <c r="AD29" i="20"/>
  <c r="AD42" i="20"/>
  <c r="AG42" i="20"/>
  <c r="AG29" i="20"/>
  <c r="X29" i="20"/>
  <c r="X42" i="20"/>
  <c r="AB42" i="20"/>
  <c r="AB29" i="20"/>
  <c r="AC42" i="20"/>
  <c r="AC29" i="20"/>
  <c r="AH42" i="20"/>
  <c r="AH29" i="20"/>
  <c r="Z42" i="20"/>
  <c r="Z29" i="20"/>
  <c r="AE29" i="20"/>
  <c r="AE42" i="20"/>
  <c r="AI42" i="20"/>
  <c r="AI29" i="20"/>
  <c r="Z42" i="19"/>
  <c r="Z29" i="19"/>
  <c r="X29" i="19"/>
  <c r="X42" i="19"/>
  <c r="AI42" i="19"/>
  <c r="AI29" i="19"/>
  <c r="AA42" i="19"/>
  <c r="AA29" i="19"/>
  <c r="AD29" i="19"/>
  <c r="AD42" i="19"/>
  <c r="AE42" i="19"/>
  <c r="AE29" i="19"/>
  <c r="AG42" i="19"/>
  <c r="AG29" i="19"/>
  <c r="AG15" i="19"/>
  <c r="AA15" i="19"/>
  <c r="AE15" i="19"/>
  <c r="Y15" i="19"/>
  <c r="AF15" i="19"/>
  <c r="AD15" i="19"/>
  <c r="AC15" i="19"/>
  <c r="W14" i="19"/>
  <c r="AI15" i="19"/>
  <c r="X15" i="19"/>
  <c r="AB15" i="19"/>
  <c r="Z15" i="19"/>
  <c r="AH15" i="19"/>
  <c r="AF42" i="19"/>
  <c r="AF29" i="19"/>
  <c r="Y42" i="19"/>
  <c r="Y29" i="19"/>
  <c r="AC29" i="19"/>
  <c r="AC42" i="19"/>
  <c r="AH42" i="19"/>
  <c r="AH29" i="19"/>
  <c r="AB42" i="19"/>
  <c r="AB29" i="19"/>
  <c r="AH42" i="17"/>
  <c r="AH29" i="17"/>
  <c r="AF42" i="17"/>
  <c r="AF29" i="17"/>
  <c r="AA42" i="17"/>
  <c r="AA29" i="17"/>
  <c r="AG42" i="17"/>
  <c r="AG29" i="17"/>
  <c r="Y42" i="17"/>
  <c r="Y29" i="17"/>
  <c r="AB42" i="17"/>
  <c r="AB29" i="17"/>
  <c r="X29" i="17"/>
  <c r="X42" i="17"/>
  <c r="AI42" i="17"/>
  <c r="AI29" i="17"/>
  <c r="AD42" i="17"/>
  <c r="AD29" i="17"/>
  <c r="AE15" i="17"/>
  <c r="Y15" i="17"/>
  <c r="AD15" i="17"/>
  <c r="X15" i="17"/>
  <c r="AI15" i="17"/>
  <c r="AC15" i="17"/>
  <c r="AG15" i="17"/>
  <c r="AH15" i="17"/>
  <c r="AB15" i="17"/>
  <c r="AA15" i="17"/>
  <c r="AF15" i="17"/>
  <c r="Z15" i="17"/>
  <c r="W14" i="17"/>
  <c r="Z29" i="17"/>
  <c r="Z42" i="17"/>
  <c r="AC42" i="17"/>
  <c r="AC29" i="17"/>
  <c r="AE42" i="17"/>
  <c r="AE29" i="17"/>
  <c r="AB46" i="15"/>
  <c r="AB33" i="15"/>
  <c r="AG33" i="15"/>
  <c r="AG46" i="15"/>
  <c r="Y33" i="15"/>
  <c r="Y46" i="15"/>
  <c r="X46" i="15"/>
  <c r="X33" i="15"/>
  <c r="AE33" i="15"/>
  <c r="AE46" i="15"/>
  <c r="AD46" i="15"/>
  <c r="AD33" i="15"/>
  <c r="AA33" i="15"/>
  <c r="AA46" i="15"/>
  <c r="AC46" i="15"/>
  <c r="AC33" i="15"/>
  <c r="AI19" i="15"/>
  <c r="AC19" i="15"/>
  <c r="AH19" i="15"/>
  <c r="AB19" i="15"/>
  <c r="AG19" i="15"/>
  <c r="AA19" i="15"/>
  <c r="AF19" i="15"/>
  <c r="Z19" i="15"/>
  <c r="W18" i="15"/>
  <c r="AD19" i="15"/>
  <c r="AE19" i="15"/>
  <c r="Y19" i="15"/>
  <c r="X19" i="15"/>
  <c r="AH33" i="15"/>
  <c r="AH46" i="15"/>
  <c r="AI46" i="15"/>
  <c r="AI33" i="15"/>
  <c r="Z46" i="15"/>
  <c r="Z33" i="15"/>
  <c r="AF33" i="15"/>
  <c r="AF46" i="15"/>
  <c r="AG34" i="13"/>
  <c r="AG47" i="13"/>
  <c r="X34" i="13"/>
  <c r="X47" i="13"/>
  <c r="AH47" i="13"/>
  <c r="AH34" i="13"/>
  <c r="AA34" i="13"/>
  <c r="AA47" i="13"/>
  <c r="AB47" i="13"/>
  <c r="AB34" i="13"/>
  <c r="Y47" i="13"/>
  <c r="Y34" i="13"/>
  <c r="AC47" i="13"/>
  <c r="AC34" i="13"/>
  <c r="AI47" i="13"/>
  <c r="AI34" i="13"/>
  <c r="AD34" i="13"/>
  <c r="AD47" i="13"/>
  <c r="AI20" i="13"/>
  <c r="AC20" i="13"/>
  <c r="AF20" i="13"/>
  <c r="Z20" i="13"/>
  <c r="W19" i="13"/>
  <c r="AE20" i="13"/>
  <c r="Y20" i="13"/>
  <c r="AH20" i="13"/>
  <c r="AD20" i="13"/>
  <c r="AB20" i="13"/>
  <c r="AG20" i="13"/>
  <c r="AA20" i="13"/>
  <c r="X20" i="13"/>
  <c r="AE47" i="13"/>
  <c r="AE34" i="13"/>
  <c r="Z47" i="13"/>
  <c r="Z34" i="13"/>
  <c r="AF47" i="13"/>
  <c r="AF34" i="13"/>
  <c r="AC47" i="12"/>
  <c r="AC34" i="12"/>
  <c r="AG34" i="12"/>
  <c r="AG47" i="12"/>
  <c r="X47" i="12"/>
  <c r="X34" i="12"/>
  <c r="AF34" i="12"/>
  <c r="AF47" i="12"/>
  <c r="AI47" i="12"/>
  <c r="AI34" i="12"/>
  <c r="AH20" i="12"/>
  <c r="AB20" i="12"/>
  <c r="AG20" i="12"/>
  <c r="AA20" i="12"/>
  <c r="AF20" i="12"/>
  <c r="Z20" i="12"/>
  <c r="W19" i="12"/>
  <c r="AE20" i="12"/>
  <c r="Y20" i="12"/>
  <c r="X20" i="12"/>
  <c r="AC20" i="12"/>
  <c r="AD20" i="12"/>
  <c r="AI20" i="12"/>
  <c r="AD47" i="12"/>
  <c r="AD34" i="12"/>
  <c r="AA47" i="12"/>
  <c r="AA34" i="12"/>
  <c r="AB34" i="12"/>
  <c r="AB47" i="12"/>
  <c r="Y47" i="12"/>
  <c r="Y34" i="12"/>
  <c r="Z34" i="12"/>
  <c r="Z47" i="12"/>
  <c r="AH34" i="12"/>
  <c r="AH47" i="12"/>
  <c r="AE47" i="12"/>
  <c r="AE34" i="12"/>
  <c r="W47" i="11"/>
  <c r="W46" i="11" s="1"/>
  <c r="W45" i="11" s="1"/>
  <c r="W44" i="11" s="1"/>
  <c r="W43" i="11" s="1"/>
  <c r="W42" i="11" s="1"/>
  <c r="W41" i="11" s="1"/>
  <c r="W40" i="11" s="1"/>
  <c r="W39" i="11" s="1"/>
  <c r="W38" i="11" s="1"/>
  <c r="W37" i="11" s="1"/>
  <c r="AK34" i="11"/>
  <c r="AK33" i="11" s="1"/>
  <c r="AK32" i="11" s="1"/>
  <c r="AK31" i="11" s="1"/>
  <c r="AK30" i="11" s="1"/>
  <c r="AK29" i="11" s="1"/>
  <c r="AK28" i="11" s="1"/>
  <c r="AK27" i="11" s="1"/>
  <c r="AK26" i="11" s="1"/>
  <c r="AK25" i="11" s="1"/>
  <c r="AK24" i="11" s="1"/>
  <c r="W34" i="11"/>
  <c r="W33" i="11" s="1"/>
  <c r="W32" i="11" s="1"/>
  <c r="W31" i="11" s="1"/>
  <c r="W30" i="11" s="1"/>
  <c r="W29" i="11" s="1"/>
  <c r="W28" i="11" s="1"/>
  <c r="W27" i="11" s="1"/>
  <c r="W26" i="11" s="1"/>
  <c r="W25" i="11" s="1"/>
  <c r="W24" i="11" s="1"/>
  <c r="AK47" i="11"/>
  <c r="AK46" i="11" s="1"/>
  <c r="AK45" i="11" s="1"/>
  <c r="AK44" i="11" s="1"/>
  <c r="AK43" i="11" s="1"/>
  <c r="AK42" i="11" s="1"/>
  <c r="AK41" i="11" s="1"/>
  <c r="AK40" i="11" s="1"/>
  <c r="AK39" i="11" s="1"/>
  <c r="AK38" i="11" s="1"/>
  <c r="AK37" i="11" s="1"/>
  <c r="AK21" i="11"/>
  <c r="AK20" i="11" s="1"/>
  <c r="AK19" i="11" s="1"/>
  <c r="AK18" i="11" s="1"/>
  <c r="AK17" i="11" s="1"/>
  <c r="AK16" i="11" s="1"/>
  <c r="AK15" i="11" s="1"/>
  <c r="AK14" i="11" s="1"/>
  <c r="AK13" i="11" s="1"/>
  <c r="AK12" i="11" s="1"/>
  <c r="AK11" i="11" s="1"/>
  <c r="W21" i="11"/>
  <c r="AK47" i="10"/>
  <c r="AK46" i="10" s="1"/>
  <c r="AK45" i="10" s="1"/>
  <c r="AK44" i="10" s="1"/>
  <c r="AK43" i="10" s="1"/>
  <c r="AK42" i="10" s="1"/>
  <c r="AK41" i="10" s="1"/>
  <c r="AK40" i="10" s="1"/>
  <c r="AK39" i="10" s="1"/>
  <c r="AK38" i="10" s="1"/>
  <c r="AK37" i="10" s="1"/>
  <c r="W47" i="10"/>
  <c r="W46" i="10" s="1"/>
  <c r="W45" i="10" s="1"/>
  <c r="W44" i="10" s="1"/>
  <c r="W43" i="10" s="1"/>
  <c r="W42" i="10" s="1"/>
  <c r="W41" i="10" s="1"/>
  <c r="W40" i="10" s="1"/>
  <c r="W39" i="10" s="1"/>
  <c r="W38" i="10" s="1"/>
  <c r="W37" i="10" s="1"/>
  <c r="W34" i="10"/>
  <c r="W33" i="10" s="1"/>
  <c r="W32" i="10" s="1"/>
  <c r="W31" i="10" s="1"/>
  <c r="W30" i="10" s="1"/>
  <c r="W29" i="10" s="1"/>
  <c r="W28" i="10" s="1"/>
  <c r="W27" i="10" s="1"/>
  <c r="W26" i="10" s="1"/>
  <c r="W25" i="10" s="1"/>
  <c r="W24" i="10" s="1"/>
  <c r="AK34" i="10"/>
  <c r="AK33" i="10" s="1"/>
  <c r="AK32" i="10" s="1"/>
  <c r="AK31" i="10" s="1"/>
  <c r="AK30" i="10" s="1"/>
  <c r="AK29" i="10" s="1"/>
  <c r="AK28" i="10" s="1"/>
  <c r="AK27" i="10" s="1"/>
  <c r="AK26" i="10" s="1"/>
  <c r="AK25" i="10" s="1"/>
  <c r="AK24" i="10" s="1"/>
  <c r="AK21" i="10"/>
  <c r="AK20" i="10" s="1"/>
  <c r="AK19" i="10" s="1"/>
  <c r="AK18" i="10" s="1"/>
  <c r="AK17" i="10" s="1"/>
  <c r="AK16" i="10" s="1"/>
  <c r="AK15" i="10" s="1"/>
  <c r="AK14" i="10" s="1"/>
  <c r="AK13" i="10" s="1"/>
  <c r="AK12" i="10" s="1"/>
  <c r="AK11" i="10" s="1"/>
  <c r="W21" i="10"/>
  <c r="AL11" i="1"/>
  <c r="AL7" i="1"/>
  <c r="AH38" i="23" l="1"/>
  <c r="AH25" i="23"/>
  <c r="AF38" i="23"/>
  <c r="AF25" i="23"/>
  <c r="X38" i="23"/>
  <c r="X25" i="23"/>
  <c r="Y38" i="23"/>
  <c r="Y25" i="23"/>
  <c r="AB38" i="23"/>
  <c r="AB25" i="23"/>
  <c r="AD38" i="23"/>
  <c r="AD25" i="23"/>
  <c r="AA25" i="23"/>
  <c r="AA38" i="23"/>
  <c r="AE38" i="23"/>
  <c r="AE25" i="23"/>
  <c r="AG38" i="23"/>
  <c r="AG25" i="23"/>
  <c r="AC38" i="23"/>
  <c r="AC25" i="23"/>
  <c r="Z38" i="23"/>
  <c r="Z25" i="23"/>
  <c r="AG11" i="23"/>
  <c r="AA11" i="23"/>
  <c r="AI11" i="23"/>
  <c r="AF11" i="23"/>
  <c r="Z11" i="23"/>
  <c r="AC11" i="23"/>
  <c r="AB11" i="23"/>
  <c r="AE11" i="23"/>
  <c r="Y11" i="23"/>
  <c r="AH11" i="23"/>
  <c r="AD11" i="23"/>
  <c r="X11" i="23"/>
  <c r="AV12" i="23" s="1"/>
  <c r="AI38" i="23"/>
  <c r="AI25" i="23"/>
  <c r="AH39" i="22"/>
  <c r="AH26" i="22"/>
  <c r="Z39" i="22"/>
  <c r="Z26" i="22"/>
  <c r="X39" i="22"/>
  <c r="X26" i="22"/>
  <c r="AF39" i="22"/>
  <c r="AF26" i="22"/>
  <c r="AD39" i="22"/>
  <c r="AD26" i="22"/>
  <c r="AA39" i="22"/>
  <c r="AA26" i="22"/>
  <c r="AI39" i="22"/>
  <c r="AI26" i="22"/>
  <c r="Y39" i="22"/>
  <c r="Y26" i="22"/>
  <c r="AG39" i="22"/>
  <c r="AG26" i="22"/>
  <c r="AB39" i="22"/>
  <c r="AB26" i="22"/>
  <c r="AE26" i="22"/>
  <c r="AE39" i="22"/>
  <c r="AC39" i="22"/>
  <c r="AC26" i="22"/>
  <c r="AD12" i="22"/>
  <c r="X12" i="22"/>
  <c r="AI12" i="22"/>
  <c r="AC12" i="22"/>
  <c r="AH12" i="22"/>
  <c r="AB12" i="22"/>
  <c r="AG12" i="22"/>
  <c r="AA12" i="22"/>
  <c r="AF12" i="22"/>
  <c r="Z12" i="22"/>
  <c r="Y12" i="22"/>
  <c r="W11" i="22"/>
  <c r="AE12" i="22"/>
  <c r="AC40" i="21"/>
  <c r="AC27" i="21"/>
  <c r="AB27" i="21"/>
  <c r="AB40" i="21"/>
  <c r="Y27" i="21"/>
  <c r="Y40" i="21"/>
  <c r="AD40" i="21"/>
  <c r="AD27" i="21"/>
  <c r="AI40" i="21"/>
  <c r="AI27" i="21"/>
  <c r="Z40" i="21"/>
  <c r="Z27" i="21"/>
  <c r="AF40" i="21"/>
  <c r="AF27" i="21"/>
  <c r="X40" i="21"/>
  <c r="X27" i="21"/>
  <c r="AA40" i="21"/>
  <c r="AA27" i="21"/>
  <c r="AE40" i="21"/>
  <c r="AE27" i="21"/>
  <c r="AD13" i="21"/>
  <c r="AI13" i="21"/>
  <c r="AB13" i="21"/>
  <c r="AH13" i="21"/>
  <c r="AA13" i="21"/>
  <c r="Z13" i="21"/>
  <c r="AF13" i="21"/>
  <c r="AE13" i="21"/>
  <c r="X13" i="21"/>
  <c r="AG13" i="21"/>
  <c r="W12" i="21"/>
  <c r="Y13" i="21"/>
  <c r="AC13" i="21"/>
  <c r="AH27" i="21"/>
  <c r="AH40" i="21"/>
  <c r="AG40" i="21"/>
  <c r="AG27" i="21"/>
  <c r="Z28" i="20"/>
  <c r="Z41" i="20"/>
  <c r="AE41" i="20"/>
  <c r="AE28" i="20"/>
  <c r="AD41" i="20"/>
  <c r="AD28" i="20"/>
  <c r="Y41" i="20"/>
  <c r="Y28" i="20"/>
  <c r="AI14" i="20"/>
  <c r="AC14" i="20"/>
  <c r="AG14" i="20"/>
  <c r="AA14" i="20"/>
  <c r="AD14" i="20"/>
  <c r="W13" i="20"/>
  <c r="AB14" i="20"/>
  <c r="AH14" i="20"/>
  <c r="AE14" i="20"/>
  <c r="Z14" i="20"/>
  <c r="Y14" i="20"/>
  <c r="AF14" i="20"/>
  <c r="X14" i="20"/>
  <c r="AC41" i="20"/>
  <c r="AC28" i="20"/>
  <c r="AA28" i="20"/>
  <c r="AA41" i="20"/>
  <c r="AF41" i="20"/>
  <c r="AF28" i="20"/>
  <c r="AG28" i="20"/>
  <c r="AG41" i="20"/>
  <c r="AI41" i="20"/>
  <c r="AI28" i="20"/>
  <c r="AH28" i="20"/>
  <c r="AH41" i="20"/>
  <c r="AB28" i="20"/>
  <c r="AB41" i="20"/>
  <c r="X41" i="20"/>
  <c r="X28" i="20"/>
  <c r="AH41" i="19"/>
  <c r="AH28" i="19"/>
  <c r="AC41" i="19"/>
  <c r="AC28" i="19"/>
  <c r="AG41" i="19"/>
  <c r="AG28" i="19"/>
  <c r="AA28" i="19"/>
  <c r="AA41" i="19"/>
  <c r="Z28" i="19"/>
  <c r="Z41" i="19"/>
  <c r="AD41" i="19"/>
  <c r="AD28" i="19"/>
  <c r="AD14" i="19"/>
  <c r="X14" i="19"/>
  <c r="AH14" i="19"/>
  <c r="AB14" i="19"/>
  <c r="AI14" i="19"/>
  <c r="Z14" i="19"/>
  <c r="AG14" i="19"/>
  <c r="Y14" i="19"/>
  <c r="AF14" i="19"/>
  <c r="W13" i="19"/>
  <c r="AA14" i="19"/>
  <c r="AE14" i="19"/>
  <c r="AC14" i="19"/>
  <c r="AB41" i="19"/>
  <c r="AB28" i="19"/>
  <c r="AF41" i="19"/>
  <c r="AF28" i="19"/>
  <c r="X41" i="19"/>
  <c r="X28" i="19"/>
  <c r="Y28" i="19"/>
  <c r="Y41" i="19"/>
  <c r="AI41" i="19"/>
  <c r="AI28" i="19"/>
  <c r="AE41" i="19"/>
  <c r="AE28" i="19"/>
  <c r="AF41" i="17"/>
  <c r="AF28" i="17"/>
  <c r="AA28" i="17"/>
  <c r="AA41" i="17"/>
  <c r="X41" i="17"/>
  <c r="X28" i="17"/>
  <c r="Z41" i="17"/>
  <c r="Z28" i="17"/>
  <c r="AB41" i="17"/>
  <c r="AB28" i="17"/>
  <c r="AD41" i="17"/>
  <c r="AD28" i="17"/>
  <c r="AI41" i="17"/>
  <c r="AI28" i="17"/>
  <c r="AH41" i="17"/>
  <c r="AH28" i="17"/>
  <c r="Y41" i="17"/>
  <c r="Y28" i="17"/>
  <c r="AC41" i="17"/>
  <c r="AC28" i="17"/>
  <c r="AH14" i="17"/>
  <c r="AB14" i="17"/>
  <c r="AG14" i="17"/>
  <c r="AA14" i="17"/>
  <c r="AD14" i="17"/>
  <c r="AF14" i="17"/>
  <c r="Z14" i="17"/>
  <c r="W13" i="17"/>
  <c r="AE14" i="17"/>
  <c r="Y14" i="17"/>
  <c r="X14" i="17"/>
  <c r="AI14" i="17"/>
  <c r="AC14" i="17"/>
  <c r="AG41" i="17"/>
  <c r="AG28" i="17"/>
  <c r="AE41" i="17"/>
  <c r="AE28" i="17"/>
  <c r="AB45" i="15"/>
  <c r="AB32" i="15"/>
  <c r="AF18" i="15"/>
  <c r="Z18" i="15"/>
  <c r="W17" i="15"/>
  <c r="AE18" i="15"/>
  <c r="Y18" i="15"/>
  <c r="AD18" i="15"/>
  <c r="X18" i="15"/>
  <c r="AI18" i="15"/>
  <c r="AC18" i="15"/>
  <c r="AG18" i="15"/>
  <c r="AB18" i="15"/>
  <c r="AH18" i="15"/>
  <c r="AA18" i="15"/>
  <c r="Z45" i="15"/>
  <c r="Z32" i="15"/>
  <c r="AC32" i="15"/>
  <c r="AC45" i="15"/>
  <c r="AH45" i="15"/>
  <c r="AH32" i="15"/>
  <c r="X32" i="15"/>
  <c r="X45" i="15"/>
  <c r="AF45" i="15"/>
  <c r="AF32" i="15"/>
  <c r="AI45" i="15"/>
  <c r="AI32" i="15"/>
  <c r="Y32" i="15"/>
  <c r="Y45" i="15"/>
  <c r="AA45" i="15"/>
  <c r="AA32" i="15"/>
  <c r="AD45" i="15"/>
  <c r="AD32" i="15"/>
  <c r="AE45" i="15"/>
  <c r="AE32" i="15"/>
  <c r="AG45" i="15"/>
  <c r="AG32" i="15"/>
  <c r="AD33" i="13"/>
  <c r="AD46" i="13"/>
  <c r="AA33" i="13"/>
  <c r="AA46" i="13"/>
  <c r="AE46" i="13"/>
  <c r="AE33" i="13"/>
  <c r="Z46" i="13"/>
  <c r="Z33" i="13"/>
  <c r="X33" i="13"/>
  <c r="X46" i="13"/>
  <c r="AG33" i="13"/>
  <c r="AG46" i="13"/>
  <c r="AF19" i="13"/>
  <c r="Z19" i="13"/>
  <c r="W18" i="13"/>
  <c r="AI19" i="13"/>
  <c r="AC19" i="13"/>
  <c r="AH19" i="13"/>
  <c r="AB19" i="13"/>
  <c r="Y19" i="13"/>
  <c r="AG19" i="13"/>
  <c r="AE19" i="13"/>
  <c r="AA19" i="13"/>
  <c r="X19" i="13"/>
  <c r="AD19" i="13"/>
  <c r="AB46" i="13"/>
  <c r="AB33" i="13"/>
  <c r="AH46" i="13"/>
  <c r="AH33" i="13"/>
  <c r="AC46" i="13"/>
  <c r="AC33" i="13"/>
  <c r="AF46" i="13"/>
  <c r="AF33" i="13"/>
  <c r="Y46" i="13"/>
  <c r="Y33" i="13"/>
  <c r="AI46" i="13"/>
  <c r="AI33" i="13"/>
  <c r="AA46" i="12"/>
  <c r="AA33" i="12"/>
  <c r="Y33" i="12"/>
  <c r="Y46" i="12"/>
  <c r="AG46" i="12"/>
  <c r="AG33" i="12"/>
  <c r="AE33" i="12"/>
  <c r="AE46" i="12"/>
  <c r="AI33" i="12"/>
  <c r="AI46" i="12"/>
  <c r="AE19" i="12"/>
  <c r="Y19" i="12"/>
  <c r="AD19" i="12"/>
  <c r="X19" i="12"/>
  <c r="AI19" i="12"/>
  <c r="AC19" i="12"/>
  <c r="AH19" i="12"/>
  <c r="AB19" i="12"/>
  <c r="AA19" i="12"/>
  <c r="Z19" i="12"/>
  <c r="AG19" i="12"/>
  <c r="AF19" i="12"/>
  <c r="W18" i="12"/>
  <c r="AH33" i="12"/>
  <c r="AH46" i="12"/>
  <c r="X33" i="12"/>
  <c r="X46" i="12"/>
  <c r="AD46" i="12"/>
  <c r="AD33" i="12"/>
  <c r="Z46" i="12"/>
  <c r="Z33" i="12"/>
  <c r="AB46" i="12"/>
  <c r="AB33" i="12"/>
  <c r="AC33" i="12"/>
  <c r="AC46" i="12"/>
  <c r="AF46" i="12"/>
  <c r="AF33" i="12"/>
  <c r="AF21" i="11"/>
  <c r="Z21" i="11"/>
  <c r="W20" i="11"/>
  <c r="AE21" i="11"/>
  <c r="Y21" i="11"/>
  <c r="AD21" i="11"/>
  <c r="X21" i="11"/>
  <c r="AI21" i="11"/>
  <c r="AC21" i="11"/>
  <c r="AG21" i="11"/>
  <c r="AB21" i="11"/>
  <c r="AA21" i="11"/>
  <c r="AH21" i="11"/>
  <c r="AD21" i="10"/>
  <c r="X21" i="10"/>
  <c r="AI21" i="10"/>
  <c r="AC21" i="10"/>
  <c r="AG21" i="10"/>
  <c r="AA21" i="10"/>
  <c r="AF21" i="10"/>
  <c r="Z21" i="10"/>
  <c r="W20" i="10"/>
  <c r="AE21" i="10"/>
  <c r="AB21" i="10"/>
  <c r="Y21" i="10"/>
  <c r="AH21" i="10"/>
  <c r="AM7" i="1"/>
  <c r="AM11" i="1"/>
  <c r="AV38" i="23" l="1"/>
  <c r="AV25" i="23"/>
  <c r="AE24" i="23"/>
  <c r="AS11" i="23"/>
  <c r="AE37" i="23"/>
  <c r="AH37" i="23"/>
  <c r="AH24" i="23"/>
  <c r="AV11" i="23"/>
  <c r="AF37" i="23"/>
  <c r="AF24" i="23"/>
  <c r="AT11" i="23"/>
  <c r="AU12" i="23"/>
  <c r="AR12" i="23"/>
  <c r="Y37" i="23"/>
  <c r="AM11" i="23"/>
  <c r="Y24" i="23"/>
  <c r="AI24" i="23"/>
  <c r="AI37" i="23"/>
  <c r="AW11" i="23"/>
  <c r="AL12" i="23"/>
  <c r="AW12" i="23"/>
  <c r="AM12" i="23"/>
  <c r="AB37" i="23"/>
  <c r="AB24" i="23"/>
  <c r="AP11" i="23"/>
  <c r="AG37" i="23"/>
  <c r="AG24" i="23"/>
  <c r="AU11" i="23"/>
  <c r="AQ12" i="23"/>
  <c r="AO12" i="23"/>
  <c r="X37" i="23"/>
  <c r="X24" i="23"/>
  <c r="AL11" i="23"/>
  <c r="AM21" i="23"/>
  <c r="AS21" i="23"/>
  <c r="AU21" i="23"/>
  <c r="AW21" i="23"/>
  <c r="AP21" i="23"/>
  <c r="AN21" i="23"/>
  <c r="AR21" i="23"/>
  <c r="AV21" i="23"/>
  <c r="AQ21" i="23"/>
  <c r="AL21" i="23"/>
  <c r="AT21" i="23"/>
  <c r="AO21" i="23"/>
  <c r="AO20" i="23"/>
  <c r="AN20" i="23"/>
  <c r="AW20" i="23"/>
  <c r="AL20" i="23"/>
  <c r="AR20" i="23"/>
  <c r="AT20" i="23"/>
  <c r="AP20" i="23"/>
  <c r="AU20" i="23"/>
  <c r="AV20" i="23"/>
  <c r="AM20" i="23"/>
  <c r="AS20" i="23"/>
  <c r="AQ20" i="23"/>
  <c r="AW19" i="23"/>
  <c r="AU19" i="23"/>
  <c r="AO19" i="23"/>
  <c r="AR19" i="23"/>
  <c r="AQ19" i="23"/>
  <c r="AL19" i="23"/>
  <c r="AV19" i="23"/>
  <c r="AN19" i="23"/>
  <c r="AT19" i="23"/>
  <c r="AS19" i="23"/>
  <c r="AP19" i="23"/>
  <c r="AM19" i="23"/>
  <c r="AP18" i="23"/>
  <c r="AO18" i="23"/>
  <c r="AU18" i="23"/>
  <c r="AT18" i="23"/>
  <c r="AN18" i="23"/>
  <c r="AQ18" i="23"/>
  <c r="AM18" i="23"/>
  <c r="AV18" i="23"/>
  <c r="AW18" i="23"/>
  <c r="AS18" i="23"/>
  <c r="AL18" i="23"/>
  <c r="AR18" i="23"/>
  <c r="AL17" i="23"/>
  <c r="AM17" i="23"/>
  <c r="AR17" i="23"/>
  <c r="AS17" i="23"/>
  <c r="AT17" i="23"/>
  <c r="AQ17" i="23"/>
  <c r="AO17" i="23"/>
  <c r="AV17" i="23"/>
  <c r="AW17" i="23"/>
  <c r="AP17" i="23"/>
  <c r="AU17" i="23"/>
  <c r="AN17" i="23"/>
  <c r="AP16" i="23"/>
  <c r="AL16" i="23"/>
  <c r="AS16" i="23"/>
  <c r="AW16" i="23"/>
  <c r="AT16" i="23"/>
  <c r="AU16" i="23"/>
  <c r="AM16" i="23"/>
  <c r="AO16" i="23"/>
  <c r="AV16" i="23"/>
  <c r="AQ16" i="23"/>
  <c r="AR16" i="23"/>
  <c r="AN16" i="23"/>
  <c r="AN15" i="23"/>
  <c r="AL15" i="23"/>
  <c r="AO15" i="23"/>
  <c r="AW15" i="23"/>
  <c r="AS15" i="23"/>
  <c r="AU15" i="23"/>
  <c r="AQ15" i="23"/>
  <c r="AR15" i="23"/>
  <c r="AP15" i="23"/>
  <c r="AT15" i="23"/>
  <c r="AV15" i="23"/>
  <c r="AM15" i="23"/>
  <c r="AP14" i="23"/>
  <c r="AT14" i="23"/>
  <c r="AL14" i="23"/>
  <c r="AR14" i="23"/>
  <c r="AO14" i="23"/>
  <c r="AQ14" i="23"/>
  <c r="AV14" i="23"/>
  <c r="AM14" i="23"/>
  <c r="AN14" i="23"/>
  <c r="AU14" i="23"/>
  <c r="AS14" i="23"/>
  <c r="AW14" i="23"/>
  <c r="AO13" i="23"/>
  <c r="AW13" i="23"/>
  <c r="AQ13" i="23"/>
  <c r="AM13" i="23"/>
  <c r="AU13" i="23"/>
  <c r="AL13" i="23"/>
  <c r="AR13" i="23"/>
  <c r="AT13" i="23"/>
  <c r="AS13" i="23"/>
  <c r="AP13" i="23"/>
  <c r="AV13" i="23"/>
  <c r="AN13" i="23"/>
  <c r="AC37" i="23"/>
  <c r="AC24" i="23"/>
  <c r="AQ11" i="23"/>
  <c r="AN12" i="23"/>
  <c r="AS12" i="23"/>
  <c r="AT12" i="23"/>
  <c r="AA37" i="23"/>
  <c r="AA24" i="23"/>
  <c r="AO11" i="23"/>
  <c r="AD24" i="23"/>
  <c r="AR11" i="23"/>
  <c r="AD37" i="23"/>
  <c r="Z37" i="23"/>
  <c r="AN11" i="23"/>
  <c r="Z24" i="23"/>
  <c r="AP12" i="23"/>
  <c r="AB38" i="22"/>
  <c r="AB25" i="22"/>
  <c r="Y38" i="22"/>
  <c r="Y25" i="22"/>
  <c r="AH38" i="22"/>
  <c r="AH25" i="22"/>
  <c r="Z38" i="22"/>
  <c r="Z25" i="22"/>
  <c r="AC38" i="22"/>
  <c r="AC25" i="22"/>
  <c r="AF38" i="22"/>
  <c r="AF25" i="22"/>
  <c r="AI38" i="22"/>
  <c r="AI25" i="22"/>
  <c r="AA38" i="22"/>
  <c r="AA25" i="22"/>
  <c r="X38" i="22"/>
  <c r="X25" i="22"/>
  <c r="AG11" i="22"/>
  <c r="AA11" i="22"/>
  <c r="AF11" i="22"/>
  <c r="Z11" i="22"/>
  <c r="AE11" i="22"/>
  <c r="Y11" i="22"/>
  <c r="AD11" i="22"/>
  <c r="X11" i="22"/>
  <c r="AI11" i="22"/>
  <c r="AC11" i="22"/>
  <c r="AB11" i="22"/>
  <c r="AH11" i="22"/>
  <c r="AE38" i="22"/>
  <c r="AE25" i="22"/>
  <c r="AG38" i="22"/>
  <c r="AG25" i="22"/>
  <c r="AD38" i="22"/>
  <c r="AD25" i="22"/>
  <c r="Y26" i="21"/>
  <c r="Y39" i="21"/>
  <c r="AE26" i="21"/>
  <c r="AE39" i="21"/>
  <c r="AI39" i="21"/>
  <c r="AI26" i="21"/>
  <c r="AG39" i="21"/>
  <c r="AG26" i="21"/>
  <c r="AC39" i="21"/>
  <c r="AC26" i="21"/>
  <c r="AF39" i="21"/>
  <c r="AF26" i="21"/>
  <c r="AD39" i="21"/>
  <c r="AD26" i="21"/>
  <c r="Z39" i="21"/>
  <c r="Z26" i="21"/>
  <c r="AE12" i="21"/>
  <c r="Y12" i="21"/>
  <c r="AC12" i="21"/>
  <c r="AB12" i="21"/>
  <c r="AD12" i="21"/>
  <c r="X12" i="21"/>
  <c r="AG12" i="21"/>
  <c r="AA12" i="21"/>
  <c r="AF12" i="21"/>
  <c r="Z12" i="21"/>
  <c r="W11" i="21"/>
  <c r="AI12" i="21"/>
  <c r="AH12" i="21"/>
  <c r="AA39" i="21"/>
  <c r="AA26" i="21"/>
  <c r="AH39" i="21"/>
  <c r="AH26" i="21"/>
  <c r="X39" i="21"/>
  <c r="X26" i="21"/>
  <c r="AB26" i="21"/>
  <c r="AB39" i="21"/>
  <c r="AB40" i="20"/>
  <c r="AB27" i="20"/>
  <c r="AI40" i="20"/>
  <c r="AI27" i="20"/>
  <c r="AC27" i="20"/>
  <c r="AC40" i="20"/>
  <c r="X40" i="20"/>
  <c r="X27" i="20"/>
  <c r="AF40" i="20"/>
  <c r="AF27" i="20"/>
  <c r="AF13" i="20"/>
  <c r="Z13" i="20"/>
  <c r="W12" i="20"/>
  <c r="AE13" i="20"/>
  <c r="Y13" i="20"/>
  <c r="AI13" i="20"/>
  <c r="AD13" i="20"/>
  <c r="X13" i="20"/>
  <c r="AG13" i="20"/>
  <c r="AC13" i="20"/>
  <c r="AA13" i="20"/>
  <c r="AH13" i="20"/>
  <c r="AB13" i="20"/>
  <c r="AH40" i="20"/>
  <c r="AH27" i="20"/>
  <c r="Y40" i="20"/>
  <c r="Y27" i="20"/>
  <c r="AD27" i="20"/>
  <c r="AD40" i="20"/>
  <c r="Z40" i="20"/>
  <c r="Z27" i="20"/>
  <c r="AA40" i="20"/>
  <c r="AA27" i="20"/>
  <c r="AE27" i="20"/>
  <c r="AE40" i="20"/>
  <c r="AG40" i="20"/>
  <c r="AG27" i="20"/>
  <c r="AD27" i="19"/>
  <c r="AD40" i="19"/>
  <c r="AE40" i="19"/>
  <c r="AE27" i="19"/>
  <c r="Z40" i="19"/>
  <c r="Z27" i="19"/>
  <c r="AG40" i="19"/>
  <c r="AG27" i="19"/>
  <c r="AA40" i="19"/>
  <c r="AA27" i="19"/>
  <c r="AI40" i="19"/>
  <c r="AI27" i="19"/>
  <c r="AB27" i="19"/>
  <c r="AB40" i="19"/>
  <c r="AF40" i="19"/>
  <c r="AF27" i="19"/>
  <c r="AH40" i="19"/>
  <c r="AH27" i="19"/>
  <c r="AG13" i="19"/>
  <c r="AA13" i="19"/>
  <c r="AE13" i="19"/>
  <c r="Y13" i="19"/>
  <c r="AC13" i="19"/>
  <c r="AB13" i="19"/>
  <c r="AI13" i="19"/>
  <c r="Z13" i="19"/>
  <c r="W12" i="19"/>
  <c r="AH13" i="19"/>
  <c r="X13" i="19"/>
  <c r="AF13" i="19"/>
  <c r="AD13" i="19"/>
  <c r="Y40" i="19"/>
  <c r="Y27" i="19"/>
  <c r="X27" i="19"/>
  <c r="X40" i="19"/>
  <c r="AC40" i="19"/>
  <c r="AC27" i="19"/>
  <c r="AE13" i="17"/>
  <c r="Y13" i="17"/>
  <c r="AD13" i="17"/>
  <c r="X13" i="17"/>
  <c r="AB13" i="17"/>
  <c r="AI13" i="17"/>
  <c r="AC13" i="17"/>
  <c r="AA13" i="17"/>
  <c r="AH13" i="17"/>
  <c r="AG13" i="17"/>
  <c r="AF13" i="17"/>
  <c r="Z13" i="17"/>
  <c r="W12" i="17"/>
  <c r="AB40" i="17"/>
  <c r="AB27" i="17"/>
  <c r="AC40" i="17"/>
  <c r="AC27" i="17"/>
  <c r="Z40" i="17"/>
  <c r="Z27" i="17"/>
  <c r="AH40" i="17"/>
  <c r="AH27" i="17"/>
  <c r="AI40" i="17"/>
  <c r="AI27" i="17"/>
  <c r="AF27" i="17"/>
  <c r="AF40" i="17"/>
  <c r="X40" i="17"/>
  <c r="X27" i="17"/>
  <c r="AD27" i="17"/>
  <c r="AD40" i="17"/>
  <c r="Y40" i="17"/>
  <c r="Y27" i="17"/>
  <c r="AA40" i="17"/>
  <c r="AA27" i="17"/>
  <c r="AE40" i="17"/>
  <c r="AE27" i="17"/>
  <c r="AG40" i="17"/>
  <c r="AG27" i="17"/>
  <c r="AI44" i="15"/>
  <c r="AI31" i="15"/>
  <c r="X44" i="15"/>
  <c r="X31" i="15"/>
  <c r="AH44" i="15"/>
  <c r="AH31" i="15"/>
  <c r="AD44" i="15"/>
  <c r="AD31" i="15"/>
  <c r="Z44" i="15"/>
  <c r="Z31" i="15"/>
  <c r="AA31" i="15"/>
  <c r="AA44" i="15"/>
  <c r="AB31" i="15"/>
  <c r="AB44" i="15"/>
  <c r="Y44" i="15"/>
  <c r="Y31" i="15"/>
  <c r="AF31" i="15"/>
  <c r="AF44" i="15"/>
  <c r="AG44" i="15"/>
  <c r="AG31" i="15"/>
  <c r="AE31" i="15"/>
  <c r="AE44" i="15"/>
  <c r="AC44" i="15"/>
  <c r="AC31" i="15"/>
  <c r="AI17" i="15"/>
  <c r="AC17" i="15"/>
  <c r="AH17" i="15"/>
  <c r="AB17" i="15"/>
  <c r="AF17" i="15"/>
  <c r="Z17" i="15"/>
  <c r="AA17" i="15"/>
  <c r="W16" i="15"/>
  <c r="AE17" i="15"/>
  <c r="AD17" i="15"/>
  <c r="Y17" i="15"/>
  <c r="X17" i="15"/>
  <c r="AG17" i="15"/>
  <c r="AI45" i="13"/>
  <c r="AI32" i="13"/>
  <c r="AD32" i="13"/>
  <c r="AD45" i="13"/>
  <c r="X32" i="13"/>
  <c r="X45" i="13"/>
  <c r="AH45" i="13"/>
  <c r="AH32" i="13"/>
  <c r="AG45" i="13"/>
  <c r="AG32" i="13"/>
  <c r="AI18" i="13"/>
  <c r="AC18" i="13"/>
  <c r="AF18" i="13"/>
  <c r="Z18" i="13"/>
  <c r="W17" i="13"/>
  <c r="AE18" i="13"/>
  <c r="Y18" i="13"/>
  <c r="AB18" i="13"/>
  <c r="AH18" i="13"/>
  <c r="AA18" i="13"/>
  <c r="AG18" i="13"/>
  <c r="AD18" i="13"/>
  <c r="X18" i="13"/>
  <c r="AA32" i="13"/>
  <c r="AA45" i="13"/>
  <c r="AC45" i="13"/>
  <c r="AC32" i="13"/>
  <c r="AE45" i="13"/>
  <c r="AE32" i="13"/>
  <c r="Y45" i="13"/>
  <c r="Y32" i="13"/>
  <c r="Z45" i="13"/>
  <c r="Z32" i="13"/>
  <c r="AB45" i="13"/>
  <c r="AB32" i="13"/>
  <c r="AF45" i="13"/>
  <c r="AF32" i="13"/>
  <c r="AA32" i="12"/>
  <c r="AA45" i="12"/>
  <c r="AB45" i="12"/>
  <c r="AB32" i="12"/>
  <c r="Y45" i="12"/>
  <c r="Y32" i="12"/>
  <c r="AD45" i="12"/>
  <c r="AD32" i="12"/>
  <c r="AH45" i="12"/>
  <c r="AH32" i="12"/>
  <c r="AE32" i="12"/>
  <c r="AE45" i="12"/>
  <c r="X45" i="12"/>
  <c r="X32" i="12"/>
  <c r="AH18" i="12"/>
  <c r="AB18" i="12"/>
  <c r="AG18" i="12"/>
  <c r="AA18" i="12"/>
  <c r="AF18" i="12"/>
  <c r="Z18" i="12"/>
  <c r="W17" i="12"/>
  <c r="AE18" i="12"/>
  <c r="Y18" i="12"/>
  <c r="AD18" i="12"/>
  <c r="AI18" i="12"/>
  <c r="AC18" i="12"/>
  <c r="X18" i="12"/>
  <c r="AF45" i="12"/>
  <c r="AF32" i="12"/>
  <c r="AC45" i="12"/>
  <c r="AC32" i="12"/>
  <c r="Z45" i="12"/>
  <c r="Z32" i="12"/>
  <c r="AG45" i="12"/>
  <c r="AG32" i="12"/>
  <c r="AI45" i="12"/>
  <c r="AI32" i="12"/>
  <c r="AA34" i="11"/>
  <c r="AA47" i="11"/>
  <c r="AB47" i="11"/>
  <c r="AB34" i="11"/>
  <c r="Y47" i="11"/>
  <c r="Y34" i="11"/>
  <c r="AG34" i="11"/>
  <c r="AG47" i="11"/>
  <c r="AE47" i="11"/>
  <c r="AE34" i="11"/>
  <c r="AD34" i="11"/>
  <c r="AD47" i="11"/>
  <c r="AC47" i="11"/>
  <c r="AC34" i="11"/>
  <c r="AI20" i="11"/>
  <c r="AC20" i="11"/>
  <c r="AH20" i="11"/>
  <c r="AB20" i="11"/>
  <c r="AG20" i="11"/>
  <c r="AA20" i="11"/>
  <c r="AF20" i="11"/>
  <c r="Z20" i="11"/>
  <c r="W19" i="11"/>
  <c r="AE20" i="11"/>
  <c r="AD20" i="11"/>
  <c r="Y20" i="11"/>
  <c r="X20" i="11"/>
  <c r="AI47" i="11"/>
  <c r="AI34" i="11"/>
  <c r="Z47" i="11"/>
  <c r="Z34" i="11"/>
  <c r="AH47" i="11"/>
  <c r="AH34" i="11"/>
  <c r="X34" i="11"/>
  <c r="X47" i="11"/>
  <c r="AF47" i="11"/>
  <c r="AF34" i="11"/>
  <c r="AH34" i="10"/>
  <c r="AH47" i="10"/>
  <c r="Y47" i="10"/>
  <c r="Y34" i="10"/>
  <c r="AA34" i="10"/>
  <c r="AA47" i="10"/>
  <c r="AB34" i="10"/>
  <c r="AB47" i="10"/>
  <c r="AG34" i="10"/>
  <c r="AG47" i="10"/>
  <c r="AI47" i="10"/>
  <c r="AI34" i="10"/>
  <c r="AC47" i="10"/>
  <c r="AC34" i="10"/>
  <c r="AG20" i="10"/>
  <c r="AA20" i="10"/>
  <c r="AF20" i="10"/>
  <c r="Z20" i="10"/>
  <c r="W19" i="10"/>
  <c r="AD20" i="10"/>
  <c r="X20" i="10"/>
  <c r="AI20" i="10"/>
  <c r="AC20" i="10"/>
  <c r="AH20" i="10"/>
  <c r="AE20" i="10"/>
  <c r="Y20" i="10"/>
  <c r="AB20" i="10"/>
  <c r="Z34" i="10"/>
  <c r="Z47" i="10"/>
  <c r="X47" i="10"/>
  <c r="X34" i="10"/>
  <c r="AE47" i="10"/>
  <c r="AE34" i="10"/>
  <c r="AF34" i="10"/>
  <c r="AF47" i="10"/>
  <c r="AD47" i="10"/>
  <c r="AD34" i="10"/>
  <c r="AK47" i="8"/>
  <c r="AK46" i="8" s="1"/>
  <c r="AK45" i="8" s="1"/>
  <c r="AK44" i="8" s="1"/>
  <c r="AK43" i="8" s="1"/>
  <c r="AK42" i="8" s="1"/>
  <c r="AK41" i="8" s="1"/>
  <c r="AK40" i="8" s="1"/>
  <c r="AK39" i="8" s="1"/>
  <c r="AK38" i="8" s="1"/>
  <c r="AK37" i="8" s="1"/>
  <c r="W34" i="8"/>
  <c r="W33" i="8" s="1"/>
  <c r="W32" i="8" s="1"/>
  <c r="W31" i="8" s="1"/>
  <c r="W30" i="8" s="1"/>
  <c r="W29" i="8" s="1"/>
  <c r="W28" i="8" s="1"/>
  <c r="W27" i="8" s="1"/>
  <c r="W26" i="8" s="1"/>
  <c r="W25" i="8" s="1"/>
  <c r="W24" i="8" s="1"/>
  <c r="AK34" i="8"/>
  <c r="AK33" i="8" s="1"/>
  <c r="AK32" i="8" s="1"/>
  <c r="AK31" i="8" s="1"/>
  <c r="AK30" i="8" s="1"/>
  <c r="AK29" i="8" s="1"/>
  <c r="AK28" i="8" s="1"/>
  <c r="AK27" i="8" s="1"/>
  <c r="AK26" i="8" s="1"/>
  <c r="AK25" i="8" s="1"/>
  <c r="AK24" i="8" s="1"/>
  <c r="W47" i="8"/>
  <c r="W46" i="8" s="1"/>
  <c r="W45" i="8" s="1"/>
  <c r="W44" i="8" s="1"/>
  <c r="W43" i="8" s="1"/>
  <c r="W42" i="8" s="1"/>
  <c r="W41" i="8" s="1"/>
  <c r="W40" i="8" s="1"/>
  <c r="W39" i="8" s="1"/>
  <c r="W38" i="8" s="1"/>
  <c r="W37" i="8" s="1"/>
  <c r="W21" i="8"/>
  <c r="AK21" i="8"/>
  <c r="AK20" i="8" s="1"/>
  <c r="AK19" i="8" s="1"/>
  <c r="AK18" i="8" s="1"/>
  <c r="AK17" i="8" s="1"/>
  <c r="AK16" i="8" s="1"/>
  <c r="AK15" i="8" s="1"/>
  <c r="AK14" i="8" s="1"/>
  <c r="AK13" i="8" s="1"/>
  <c r="AK12" i="8" s="1"/>
  <c r="AK11" i="8" s="1"/>
  <c r="W34" i="7"/>
  <c r="W33" i="7" s="1"/>
  <c r="W32" i="7" s="1"/>
  <c r="W31" i="7" s="1"/>
  <c r="W30" i="7" s="1"/>
  <c r="W29" i="7" s="1"/>
  <c r="W28" i="7" s="1"/>
  <c r="W27" i="7" s="1"/>
  <c r="W26" i="7" s="1"/>
  <c r="W25" i="7" s="1"/>
  <c r="W24" i="7" s="1"/>
  <c r="W21" i="7"/>
  <c r="AR26" i="23" l="1"/>
  <c r="AR39" i="23"/>
  <c r="AQ28" i="23"/>
  <c r="AQ41" i="23"/>
  <c r="AO43" i="23"/>
  <c r="AO30" i="23"/>
  <c r="AV32" i="23"/>
  <c r="AV45" i="23"/>
  <c r="AR47" i="23"/>
  <c r="AR34" i="23"/>
  <c r="AW40" i="23"/>
  <c r="AW27" i="23"/>
  <c r="AN29" i="23"/>
  <c r="AN42" i="23"/>
  <c r="AR44" i="23"/>
  <c r="AR31" i="23"/>
  <c r="AO47" i="23"/>
  <c r="AO34" i="23"/>
  <c r="AN37" i="23"/>
  <c r="AN24" i="23"/>
  <c r="AO37" i="23"/>
  <c r="AO24" i="23"/>
  <c r="AN25" i="23"/>
  <c r="AN38" i="23"/>
  <c r="AV39" i="23"/>
  <c r="AV26" i="23"/>
  <c r="AU39" i="23"/>
  <c r="AU26" i="23"/>
  <c r="AS40" i="23"/>
  <c r="AS27" i="23"/>
  <c r="AO27" i="23"/>
  <c r="AO40" i="23"/>
  <c r="AV28" i="23"/>
  <c r="AV41" i="23"/>
  <c r="AS41" i="23"/>
  <c r="AS28" i="23"/>
  <c r="AR42" i="23"/>
  <c r="AR29" i="23"/>
  <c r="AT29" i="23"/>
  <c r="AT42" i="23"/>
  <c r="AU43" i="23"/>
  <c r="AU30" i="23"/>
  <c r="AT43" i="23"/>
  <c r="AT30" i="23"/>
  <c r="AL44" i="23"/>
  <c r="AL31" i="23"/>
  <c r="AN31" i="23"/>
  <c r="AN44" i="23"/>
  <c r="AP45" i="23"/>
  <c r="AP32" i="23"/>
  <c r="AQ32" i="23"/>
  <c r="AQ45" i="23"/>
  <c r="AS33" i="23"/>
  <c r="AS46" i="23"/>
  <c r="AR46" i="23"/>
  <c r="AR33" i="23"/>
  <c r="AT47" i="23"/>
  <c r="AT34" i="23"/>
  <c r="AP34" i="23"/>
  <c r="AP47" i="23"/>
  <c r="F9" i="23"/>
  <c r="AR38" i="23"/>
  <c r="AR25" i="23"/>
  <c r="AV37" i="23"/>
  <c r="AV24" i="23"/>
  <c r="AS37" i="23"/>
  <c r="AS24" i="23"/>
  <c r="AT38" i="23"/>
  <c r="AT25" i="23"/>
  <c r="AP40" i="23"/>
  <c r="AP27" i="23"/>
  <c r="AP42" i="23"/>
  <c r="AP29" i="23"/>
  <c r="AP44" i="23"/>
  <c r="AP31" i="23"/>
  <c r="AO33" i="23"/>
  <c r="AO46" i="23"/>
  <c r="AQ38" i="23"/>
  <c r="AQ25" i="23"/>
  <c r="AL39" i="23"/>
  <c r="AL26" i="23"/>
  <c r="AU41" i="23"/>
  <c r="AU28" i="23"/>
  <c r="AQ30" i="23"/>
  <c r="AQ43" i="23"/>
  <c r="AL32" i="23"/>
  <c r="AL45" i="23"/>
  <c r="AN47" i="23"/>
  <c r="AN34" i="23"/>
  <c r="AW37" i="23"/>
  <c r="AW24" i="23"/>
  <c r="AQ24" i="23"/>
  <c r="AQ37" i="23"/>
  <c r="AP39" i="23"/>
  <c r="AP26" i="23"/>
  <c r="AM39" i="23"/>
  <c r="AM26" i="23"/>
  <c r="AU27" i="23"/>
  <c r="AU40" i="23"/>
  <c r="AR40" i="23"/>
  <c r="AR27" i="23"/>
  <c r="AT41" i="23"/>
  <c r="AT28" i="23"/>
  <c r="AW28" i="23"/>
  <c r="AW41" i="23"/>
  <c r="AQ42" i="23"/>
  <c r="AQ29" i="23"/>
  <c r="AW42" i="23"/>
  <c r="AW29" i="23"/>
  <c r="AP30" i="23"/>
  <c r="AP43" i="23"/>
  <c r="AS43" i="23"/>
  <c r="AS30" i="23"/>
  <c r="AS44" i="23"/>
  <c r="AS31" i="23"/>
  <c r="AT31" i="23"/>
  <c r="AT44" i="23"/>
  <c r="AS45" i="23"/>
  <c r="AS32" i="23"/>
  <c r="AR32" i="23"/>
  <c r="AR45" i="23"/>
  <c r="AM46" i="23"/>
  <c r="AM33" i="23"/>
  <c r="AL46" i="23"/>
  <c r="AL33" i="23"/>
  <c r="AL47" i="23"/>
  <c r="AL34" i="23"/>
  <c r="AW34" i="23"/>
  <c r="AW47" i="23"/>
  <c r="F22" i="23"/>
  <c r="AM38" i="23"/>
  <c r="AM25" i="23"/>
  <c r="AU38" i="23"/>
  <c r="AU25" i="23"/>
  <c r="AO39" i="23"/>
  <c r="AO26" i="23"/>
  <c r="AN41" i="23"/>
  <c r="AN28" i="23"/>
  <c r="AL30" i="23"/>
  <c r="AL43" i="23"/>
  <c r="AW32" i="23"/>
  <c r="AW45" i="23"/>
  <c r="AM34" i="23"/>
  <c r="AM47" i="23"/>
  <c r="AM37" i="23"/>
  <c r="AM24" i="23"/>
  <c r="AN39" i="23"/>
  <c r="AN26" i="23"/>
  <c r="AM41" i="23"/>
  <c r="AM28" i="23"/>
  <c r="AN43" i="23"/>
  <c r="AN30" i="23"/>
  <c r="AM45" i="23"/>
  <c r="AM32" i="23"/>
  <c r="AT33" i="23"/>
  <c r="AT46" i="23"/>
  <c r="AU37" i="23"/>
  <c r="AU24" i="23"/>
  <c r="AS39" i="23"/>
  <c r="AS26" i="23"/>
  <c r="AQ26" i="23"/>
  <c r="AQ39" i="23"/>
  <c r="AN27" i="23"/>
  <c r="AN40" i="23"/>
  <c r="AL40" i="23"/>
  <c r="AL27" i="23"/>
  <c r="AP41" i="23"/>
  <c r="AP28" i="23"/>
  <c r="AO41" i="23"/>
  <c r="AO28" i="23"/>
  <c r="AV42" i="23"/>
  <c r="AV29" i="23"/>
  <c r="AS29" i="23"/>
  <c r="AS42" i="23"/>
  <c r="AW30" i="23"/>
  <c r="AW43" i="23"/>
  <c r="AR30" i="23"/>
  <c r="AR43" i="23"/>
  <c r="AW44" i="23"/>
  <c r="AW31" i="23"/>
  <c r="AU31" i="23"/>
  <c r="AU44" i="23"/>
  <c r="AT45" i="23"/>
  <c r="AT32" i="23"/>
  <c r="AO45" i="23"/>
  <c r="AO32" i="23"/>
  <c r="AV33" i="23"/>
  <c r="AV46" i="23"/>
  <c r="AW46" i="23"/>
  <c r="AW33" i="23"/>
  <c r="AQ34" i="23"/>
  <c r="AQ47" i="23"/>
  <c r="AU47" i="23"/>
  <c r="AU34" i="23"/>
  <c r="F35" i="23"/>
  <c r="AW38" i="23"/>
  <c r="AW25" i="23"/>
  <c r="AR37" i="23"/>
  <c r="AR24" i="23"/>
  <c r="AV40" i="23"/>
  <c r="AV27" i="23"/>
  <c r="AM42" i="23"/>
  <c r="AM29" i="23"/>
  <c r="AM31" i="23"/>
  <c r="AM44" i="23"/>
  <c r="AP33" i="23"/>
  <c r="AP46" i="23"/>
  <c r="AS25" i="23"/>
  <c r="AS38" i="23"/>
  <c r="AQ40" i="23"/>
  <c r="AQ27" i="23"/>
  <c r="AU29" i="23"/>
  <c r="AU42" i="23"/>
  <c r="AQ44" i="23"/>
  <c r="AQ31" i="23"/>
  <c r="AQ46" i="23"/>
  <c r="AQ33" i="23"/>
  <c r="AL37" i="23"/>
  <c r="AL24" i="23"/>
  <c r="AP38" i="23"/>
  <c r="AP25" i="23"/>
  <c r="AT39" i="23"/>
  <c r="AT26" i="23"/>
  <c r="AW26" i="23"/>
  <c r="AW39" i="23"/>
  <c r="AM40" i="23"/>
  <c r="AM27" i="23"/>
  <c r="AT27" i="23"/>
  <c r="AT40" i="23"/>
  <c r="AR28" i="23"/>
  <c r="AR41" i="23"/>
  <c r="AL28" i="23"/>
  <c r="AL41" i="23"/>
  <c r="AO29" i="23"/>
  <c r="AO42" i="23"/>
  <c r="AL42" i="23"/>
  <c r="AL29" i="23"/>
  <c r="AV43" i="23"/>
  <c r="AV30" i="23"/>
  <c r="AM43" i="23"/>
  <c r="AM30" i="23"/>
  <c r="AV44" i="23"/>
  <c r="AV31" i="23"/>
  <c r="AO31" i="23"/>
  <c r="AO44" i="23"/>
  <c r="AN45" i="23"/>
  <c r="AN32" i="23"/>
  <c r="AU45" i="23"/>
  <c r="AU32" i="23"/>
  <c r="AU46" i="23"/>
  <c r="AU33" i="23"/>
  <c r="AN33" i="23"/>
  <c r="AN46" i="23"/>
  <c r="AV47" i="23"/>
  <c r="AV34" i="23"/>
  <c r="AS34" i="23"/>
  <c r="AS47" i="23"/>
  <c r="AO38" i="23"/>
  <c r="AO25" i="23"/>
  <c r="AP37" i="23"/>
  <c r="AP24" i="23"/>
  <c r="AL38" i="23"/>
  <c r="AL25" i="23"/>
  <c r="AT37" i="23"/>
  <c r="AT24" i="23"/>
  <c r="AN12" i="22"/>
  <c r="AN38" i="22" s="1"/>
  <c r="AH37" i="22"/>
  <c r="AH24" i="22"/>
  <c r="AV11" i="22"/>
  <c r="AB37" i="22"/>
  <c r="AB24" i="22"/>
  <c r="AP11" i="22"/>
  <c r="AE37" i="22"/>
  <c r="AS11" i="22"/>
  <c r="AE24" i="22"/>
  <c r="AL12" i="22"/>
  <c r="Y37" i="22"/>
  <c r="Y24" i="22"/>
  <c r="AM11" i="22"/>
  <c r="AS12" i="22"/>
  <c r="AC37" i="22"/>
  <c r="AC24" i="22"/>
  <c r="AQ11" i="22"/>
  <c r="Z37" i="22"/>
  <c r="AN11" i="22"/>
  <c r="Z24" i="22"/>
  <c r="AT12" i="22"/>
  <c r="AV12" i="22"/>
  <c r="AR12" i="22"/>
  <c r="AI37" i="22"/>
  <c r="AW11" i="22"/>
  <c r="AI24" i="22"/>
  <c r="AF37" i="22"/>
  <c r="AT11" i="22"/>
  <c r="AF24" i="22"/>
  <c r="AQ12" i="22"/>
  <c r="X24" i="22"/>
  <c r="AL11" i="22"/>
  <c r="X37" i="22"/>
  <c r="AW21" i="22"/>
  <c r="AT21" i="22"/>
  <c r="AS21" i="22"/>
  <c r="AQ21" i="22"/>
  <c r="AU21" i="22"/>
  <c r="AR21" i="22"/>
  <c r="AO21" i="22"/>
  <c r="AL21" i="22"/>
  <c r="AV21" i="22"/>
  <c r="AN21" i="22"/>
  <c r="AM21" i="22"/>
  <c r="AP21" i="22"/>
  <c r="AL20" i="22"/>
  <c r="AV20" i="22"/>
  <c r="AT20" i="22"/>
  <c r="AR20" i="22"/>
  <c r="AN20" i="22"/>
  <c r="AM20" i="22"/>
  <c r="AQ20" i="22"/>
  <c r="AP20" i="22"/>
  <c r="AW20" i="22"/>
  <c r="AS20" i="22"/>
  <c r="AO20" i="22"/>
  <c r="AU20" i="22"/>
  <c r="AR19" i="22"/>
  <c r="AQ19" i="22"/>
  <c r="AP19" i="22"/>
  <c r="AM19" i="22"/>
  <c r="AW19" i="22"/>
  <c r="AN19" i="22"/>
  <c r="AS19" i="22"/>
  <c r="AL19" i="22"/>
  <c r="AU19" i="22"/>
  <c r="AO19" i="22"/>
  <c r="AV19" i="22"/>
  <c r="AT19" i="22"/>
  <c r="AO18" i="22"/>
  <c r="AP18" i="22"/>
  <c r="AV18" i="22"/>
  <c r="AW18" i="22"/>
  <c r="AS18" i="22"/>
  <c r="AU18" i="22"/>
  <c r="AT18" i="22"/>
  <c r="AR18" i="22"/>
  <c r="AQ18" i="22"/>
  <c r="AM18" i="22"/>
  <c r="AL18" i="22"/>
  <c r="AN18" i="22"/>
  <c r="AS17" i="22"/>
  <c r="AQ17" i="22"/>
  <c r="AW17" i="22"/>
  <c r="AP17" i="22"/>
  <c r="AL17" i="22"/>
  <c r="AR17" i="22"/>
  <c r="AT17" i="22"/>
  <c r="AU17" i="22"/>
  <c r="AM17" i="22"/>
  <c r="AV17" i="22"/>
  <c r="AN17" i="22"/>
  <c r="AO17" i="22"/>
  <c r="AT16" i="22"/>
  <c r="AL16" i="22"/>
  <c r="AR16" i="22"/>
  <c r="AP16" i="22"/>
  <c r="AM16" i="22"/>
  <c r="AQ16" i="22"/>
  <c r="AO16" i="22"/>
  <c r="AU16" i="22"/>
  <c r="AN16" i="22"/>
  <c r="AV16" i="22"/>
  <c r="AS16" i="22"/>
  <c r="AW16" i="22"/>
  <c r="AS15" i="22"/>
  <c r="AR15" i="22"/>
  <c r="AO15" i="22"/>
  <c r="AU15" i="22"/>
  <c r="AL15" i="22"/>
  <c r="AN15" i="22"/>
  <c r="AM15" i="22"/>
  <c r="AV15" i="22"/>
  <c r="AT15" i="22"/>
  <c r="AQ15" i="22"/>
  <c r="AW15" i="22"/>
  <c r="AP15" i="22"/>
  <c r="AP14" i="22"/>
  <c r="AS14" i="22"/>
  <c r="AL14" i="22"/>
  <c r="AR14" i="22"/>
  <c r="AU14" i="22"/>
  <c r="AN14" i="22"/>
  <c r="AQ14" i="22"/>
  <c r="AO14" i="22"/>
  <c r="AM14" i="22"/>
  <c r="AW14" i="22"/>
  <c r="AT14" i="22"/>
  <c r="AV14" i="22"/>
  <c r="AN13" i="22"/>
  <c r="AR13" i="22"/>
  <c r="AS13" i="22"/>
  <c r="AT13" i="22"/>
  <c r="AO13" i="22"/>
  <c r="AM13" i="22"/>
  <c r="AU13" i="22"/>
  <c r="AV13" i="22"/>
  <c r="AW13" i="22"/>
  <c r="AP13" i="22"/>
  <c r="AL13" i="22"/>
  <c r="AQ13" i="22"/>
  <c r="AA37" i="22"/>
  <c r="AO11" i="22"/>
  <c r="AA24" i="22"/>
  <c r="AW12" i="22"/>
  <c r="AM12" i="22"/>
  <c r="AP12" i="22"/>
  <c r="AU12" i="22"/>
  <c r="AD37" i="22"/>
  <c r="AD24" i="22"/>
  <c r="AR11" i="22"/>
  <c r="AG37" i="22"/>
  <c r="AG24" i="22"/>
  <c r="AU11" i="22"/>
  <c r="AO12" i="22"/>
  <c r="Z38" i="21"/>
  <c r="Z25" i="21"/>
  <c r="AB38" i="21"/>
  <c r="AB25" i="21"/>
  <c r="AF38" i="21"/>
  <c r="AF25" i="21"/>
  <c r="AC38" i="21"/>
  <c r="AC25" i="21"/>
  <c r="AA38" i="21"/>
  <c r="AA25" i="21"/>
  <c r="AH38" i="21"/>
  <c r="AH25" i="21"/>
  <c r="AG38" i="21"/>
  <c r="AG25" i="21"/>
  <c r="AE38" i="21"/>
  <c r="AE25" i="21"/>
  <c r="Y38" i="21"/>
  <c r="Y25" i="21"/>
  <c r="AI38" i="21"/>
  <c r="AI25" i="21"/>
  <c r="X38" i="21"/>
  <c r="X25" i="21"/>
  <c r="AH11" i="21"/>
  <c r="AB11" i="21"/>
  <c r="Z11" i="21"/>
  <c r="AG11" i="21"/>
  <c r="AA11" i="21"/>
  <c r="AF11" i="21"/>
  <c r="AD11" i="21"/>
  <c r="X11" i="21"/>
  <c r="Y11" i="21"/>
  <c r="AI11" i="21"/>
  <c r="AC11" i="21"/>
  <c r="AE11" i="21"/>
  <c r="AD38" i="21"/>
  <c r="AD25" i="21"/>
  <c r="AC39" i="20"/>
  <c r="AC26" i="20"/>
  <c r="AE26" i="20"/>
  <c r="AE39" i="20"/>
  <c r="Z39" i="20"/>
  <c r="Z26" i="20"/>
  <c r="AG39" i="20"/>
  <c r="AG26" i="20"/>
  <c r="AI12" i="20"/>
  <c r="AC12" i="20"/>
  <c r="AF12" i="20"/>
  <c r="AE12" i="20"/>
  <c r="AH12" i="20"/>
  <c r="AB12" i="20"/>
  <c r="Y12" i="20"/>
  <c r="AD12" i="20"/>
  <c r="AG12" i="20"/>
  <c r="AA12" i="20"/>
  <c r="Z12" i="20"/>
  <c r="W11" i="20"/>
  <c r="X12" i="20"/>
  <c r="AB39" i="20"/>
  <c r="AB26" i="20"/>
  <c r="AD39" i="20"/>
  <c r="AD26" i="20"/>
  <c r="AF26" i="20"/>
  <c r="AF39" i="20"/>
  <c r="X39" i="20"/>
  <c r="X26" i="20"/>
  <c r="AH39" i="20"/>
  <c r="AH26" i="20"/>
  <c r="AI39" i="20"/>
  <c r="AI26" i="20"/>
  <c r="AA39" i="20"/>
  <c r="AA26" i="20"/>
  <c r="Y39" i="20"/>
  <c r="Y26" i="20"/>
  <c r="X39" i="19"/>
  <c r="X26" i="19"/>
  <c r="AC39" i="19"/>
  <c r="AC26" i="19"/>
  <c r="AF39" i="19"/>
  <c r="AF26" i="19"/>
  <c r="AH39" i="19"/>
  <c r="AH26" i="19"/>
  <c r="Y39" i="19"/>
  <c r="Y26" i="19"/>
  <c r="AB39" i="19"/>
  <c r="AB26" i="19"/>
  <c r="AD12" i="19"/>
  <c r="X12" i="19"/>
  <c r="AI12" i="19"/>
  <c r="AB12" i="19"/>
  <c r="AH12" i="19"/>
  <c r="AA12" i="19"/>
  <c r="W11" i="19"/>
  <c r="AG12" i="19"/>
  <c r="Z12" i="19"/>
  <c r="AC12" i="19"/>
  <c r="AF12" i="19"/>
  <c r="Y12" i="19"/>
  <c r="AE12" i="19"/>
  <c r="AE26" i="19"/>
  <c r="AE39" i="19"/>
  <c r="Z39" i="19"/>
  <c r="Z26" i="19"/>
  <c r="AA26" i="19"/>
  <c r="AA39" i="19"/>
  <c r="AD39" i="19"/>
  <c r="AD26" i="19"/>
  <c r="AI39" i="19"/>
  <c r="AI26" i="19"/>
  <c r="AG26" i="19"/>
  <c r="AG39" i="19"/>
  <c r="Z39" i="17"/>
  <c r="Z26" i="17"/>
  <c r="AI26" i="17"/>
  <c r="AI39" i="17"/>
  <c r="AF39" i="17"/>
  <c r="AF26" i="17"/>
  <c r="AB39" i="17"/>
  <c r="AB26" i="17"/>
  <c r="AG26" i="17"/>
  <c r="AG39" i="17"/>
  <c r="X26" i="17"/>
  <c r="X39" i="17"/>
  <c r="AH39" i="17"/>
  <c r="AH26" i="17"/>
  <c r="AD39" i="17"/>
  <c r="AD26" i="17"/>
  <c r="AA39" i="17"/>
  <c r="AA26" i="17"/>
  <c r="Y39" i="17"/>
  <c r="Y26" i="17"/>
  <c r="AH12" i="17"/>
  <c r="AB12" i="17"/>
  <c r="AG12" i="17"/>
  <c r="AA12" i="17"/>
  <c r="Y12" i="17"/>
  <c r="AF12" i="17"/>
  <c r="Z12" i="17"/>
  <c r="W11" i="17"/>
  <c r="X12" i="17"/>
  <c r="AE12" i="17"/>
  <c r="AD12" i="17"/>
  <c r="AC12" i="17"/>
  <c r="AI12" i="17"/>
  <c r="AC39" i="17"/>
  <c r="AC26" i="17"/>
  <c r="AE39" i="17"/>
  <c r="AE26" i="17"/>
  <c r="Y30" i="15"/>
  <c r="Y43" i="15"/>
  <c r="AD30" i="15"/>
  <c r="AD43" i="15"/>
  <c r="AB43" i="15"/>
  <c r="AB30" i="15"/>
  <c r="AF43" i="15"/>
  <c r="AF30" i="15"/>
  <c r="AE30" i="15"/>
  <c r="AE43" i="15"/>
  <c r="AH43" i="15"/>
  <c r="AH30" i="15"/>
  <c r="X30" i="15"/>
  <c r="X43" i="15"/>
  <c r="AF16" i="15"/>
  <c r="Z16" i="15"/>
  <c r="AE16" i="15"/>
  <c r="Y16" i="15"/>
  <c r="AG16" i="15"/>
  <c r="AB16" i="15"/>
  <c r="AI16" i="15"/>
  <c r="X16" i="15"/>
  <c r="AD16" i="15"/>
  <c r="AH16" i="15"/>
  <c r="AC16" i="15"/>
  <c r="W15" i="15"/>
  <c r="AA16" i="15"/>
  <c r="AC43" i="15"/>
  <c r="AC30" i="15"/>
  <c r="Z43" i="15"/>
  <c r="Z30" i="15"/>
  <c r="AG43" i="15"/>
  <c r="AG30" i="15"/>
  <c r="AA43" i="15"/>
  <c r="AA30" i="15"/>
  <c r="AI43" i="15"/>
  <c r="AI30" i="15"/>
  <c r="AC44" i="13"/>
  <c r="AC31" i="13"/>
  <c r="X44" i="13"/>
  <c r="X31" i="13"/>
  <c r="AA31" i="13"/>
  <c r="AA44" i="13"/>
  <c r="Z44" i="13"/>
  <c r="Z31" i="13"/>
  <c r="AI44" i="13"/>
  <c r="AI31" i="13"/>
  <c r="AH44" i="13"/>
  <c r="AH31" i="13"/>
  <c r="AF44" i="13"/>
  <c r="AF31" i="13"/>
  <c r="AD31" i="13"/>
  <c r="AD44" i="13"/>
  <c r="AE44" i="13"/>
  <c r="AE31" i="13"/>
  <c r="AB44" i="13"/>
  <c r="AB31" i="13"/>
  <c r="Y44" i="13"/>
  <c r="Y31" i="13"/>
  <c r="AG31" i="13"/>
  <c r="AG44" i="13"/>
  <c r="AF17" i="13"/>
  <c r="Z17" i="13"/>
  <c r="W16" i="13"/>
  <c r="AI17" i="13"/>
  <c r="AC17" i="13"/>
  <c r="AD17" i="13"/>
  <c r="AH17" i="13"/>
  <c r="Y17" i="13"/>
  <c r="AB17" i="13"/>
  <c r="AG17" i="13"/>
  <c r="X17" i="13"/>
  <c r="AE17" i="13"/>
  <c r="AA17" i="13"/>
  <c r="AB44" i="12"/>
  <c r="AB31" i="12"/>
  <c r="AC44" i="12"/>
  <c r="AC31" i="12"/>
  <c r="Z44" i="12"/>
  <c r="Z31" i="12"/>
  <c r="AH31" i="12"/>
  <c r="AH44" i="12"/>
  <c r="AI44" i="12"/>
  <c r="AI31" i="12"/>
  <c r="AF44" i="12"/>
  <c r="AF31" i="12"/>
  <c r="AE44" i="12"/>
  <c r="AE31" i="12"/>
  <c r="AE17" i="12"/>
  <c r="Y17" i="12"/>
  <c r="AD17" i="12"/>
  <c r="X17" i="12"/>
  <c r="AI17" i="12"/>
  <c r="AC17" i="12"/>
  <c r="AH17" i="12"/>
  <c r="AB17" i="12"/>
  <c r="AG17" i="12"/>
  <c r="AF17" i="12"/>
  <c r="AA17" i="12"/>
  <c r="W16" i="12"/>
  <c r="Z17" i="12"/>
  <c r="AD44" i="12"/>
  <c r="AD31" i="12"/>
  <c r="AA44" i="12"/>
  <c r="AA31" i="12"/>
  <c r="X44" i="12"/>
  <c r="X31" i="12"/>
  <c r="Y44" i="12"/>
  <c r="Y31" i="12"/>
  <c r="AG44" i="12"/>
  <c r="AG31" i="12"/>
  <c r="Z46" i="11"/>
  <c r="Z33" i="11"/>
  <c r="X33" i="11"/>
  <c r="X46" i="11"/>
  <c r="AI46" i="11"/>
  <c r="AI33" i="11"/>
  <c r="Y46" i="11"/>
  <c r="Y33" i="11"/>
  <c r="AA33" i="11"/>
  <c r="AA46" i="11"/>
  <c r="AF46" i="11"/>
  <c r="AF33" i="11"/>
  <c r="AD33" i="11"/>
  <c r="AD46" i="11"/>
  <c r="AG33" i="11"/>
  <c r="AG46" i="11"/>
  <c r="AE46" i="11"/>
  <c r="AE33" i="11"/>
  <c r="AC46" i="11"/>
  <c r="AC33" i="11"/>
  <c r="AB46" i="11"/>
  <c r="AB33" i="11"/>
  <c r="AF19" i="11"/>
  <c r="Z19" i="11"/>
  <c r="W18" i="11"/>
  <c r="AE19" i="11"/>
  <c r="Y19" i="11"/>
  <c r="AD19" i="11"/>
  <c r="X19" i="11"/>
  <c r="AI19" i="11"/>
  <c r="AC19" i="11"/>
  <c r="AH19" i="11"/>
  <c r="AG19" i="11"/>
  <c r="AB19" i="11"/>
  <c r="AA19" i="11"/>
  <c r="AH46" i="11"/>
  <c r="AH33" i="11"/>
  <c r="AI33" i="10"/>
  <c r="AI46" i="10"/>
  <c r="AA46" i="10"/>
  <c r="AA33" i="10"/>
  <c r="AB46" i="10"/>
  <c r="AB33" i="10"/>
  <c r="X33" i="10"/>
  <c r="X46" i="10"/>
  <c r="AG46" i="10"/>
  <c r="AG33" i="10"/>
  <c r="Y33" i="10"/>
  <c r="Y46" i="10"/>
  <c r="AE33" i="10"/>
  <c r="AE46" i="10"/>
  <c r="AD19" i="10"/>
  <c r="X19" i="10"/>
  <c r="AI19" i="10"/>
  <c r="AC19" i="10"/>
  <c r="AG19" i="10"/>
  <c r="AA19" i="10"/>
  <c r="AF19" i="10"/>
  <c r="Z19" i="10"/>
  <c r="W18" i="10"/>
  <c r="AH19" i="10"/>
  <c r="AB19" i="10"/>
  <c r="AE19" i="10"/>
  <c r="Y19" i="10"/>
  <c r="AH46" i="10"/>
  <c r="AH33" i="10"/>
  <c r="Z46" i="10"/>
  <c r="Z33" i="10"/>
  <c r="AD33" i="10"/>
  <c r="AD46" i="10"/>
  <c r="AC33" i="10"/>
  <c r="AC46" i="10"/>
  <c r="AF46" i="10"/>
  <c r="AF33" i="10"/>
  <c r="AI21" i="8"/>
  <c r="AC21" i="8"/>
  <c r="AH21" i="8"/>
  <c r="AB21" i="8"/>
  <c r="AG21" i="8"/>
  <c r="AA21" i="8"/>
  <c r="AF21" i="8"/>
  <c r="Z21" i="8"/>
  <c r="W20" i="8"/>
  <c r="AE21" i="8"/>
  <c r="AD21" i="8"/>
  <c r="Y21" i="8"/>
  <c r="X21" i="8"/>
  <c r="AE21" i="7"/>
  <c r="Y21" i="7"/>
  <c r="AD21" i="7"/>
  <c r="X21" i="7"/>
  <c r="AH21" i="7"/>
  <c r="AB21" i="7"/>
  <c r="AG21" i="7"/>
  <c r="AA21" i="7"/>
  <c r="AI21" i="7"/>
  <c r="AF21" i="7"/>
  <c r="Z21" i="7"/>
  <c r="AC21" i="7"/>
  <c r="W20" i="7"/>
  <c r="AK47" i="7"/>
  <c r="AK46" i="7" s="1"/>
  <c r="AK45" i="7" s="1"/>
  <c r="AK44" i="7" s="1"/>
  <c r="AK43" i="7" s="1"/>
  <c r="AK42" i="7" s="1"/>
  <c r="AK41" i="7" s="1"/>
  <c r="AK40" i="7" s="1"/>
  <c r="AK39" i="7" s="1"/>
  <c r="AK38" i="7" s="1"/>
  <c r="AK37" i="7" s="1"/>
  <c r="AK34" i="7"/>
  <c r="AK33" i="7" s="1"/>
  <c r="AK32" i="7" s="1"/>
  <c r="AK31" i="7" s="1"/>
  <c r="AK30" i="7" s="1"/>
  <c r="AK29" i="7" s="1"/>
  <c r="AK28" i="7" s="1"/>
  <c r="AK27" i="7" s="1"/>
  <c r="AK26" i="7" s="1"/>
  <c r="AK25" i="7" s="1"/>
  <c r="AK24" i="7" s="1"/>
  <c r="AK21" i="7"/>
  <c r="AK20" i="7" s="1"/>
  <c r="AK19" i="7" s="1"/>
  <c r="AK18" i="7" s="1"/>
  <c r="AK17" i="7" s="1"/>
  <c r="AK16" i="7" s="1"/>
  <c r="AK15" i="7" s="1"/>
  <c r="AK14" i="7" s="1"/>
  <c r="AK13" i="7" s="1"/>
  <c r="AK12" i="7" s="1"/>
  <c r="AK11" i="7" s="1"/>
  <c r="W47" i="7"/>
  <c r="W46" i="7" s="1"/>
  <c r="W45" i="7" s="1"/>
  <c r="W44" i="7" s="1"/>
  <c r="W43" i="7" s="1"/>
  <c r="W42" i="7" s="1"/>
  <c r="W41" i="7" s="1"/>
  <c r="W40" i="7" s="1"/>
  <c r="W39" i="7" s="1"/>
  <c r="W38" i="7" s="1"/>
  <c r="W37" i="7" s="1"/>
  <c r="W34" i="6"/>
  <c r="W33" i="6"/>
  <c r="W32" i="6" s="1"/>
  <c r="W31" i="6" s="1"/>
  <c r="W30" i="6" s="1"/>
  <c r="W29" i="6" s="1"/>
  <c r="W28" i="6"/>
  <c r="W27" i="6" s="1"/>
  <c r="W26" i="6" s="1"/>
  <c r="W25" i="6" s="1"/>
  <c r="W24" i="6" s="1"/>
  <c r="AK21" i="6"/>
  <c r="AK20" i="6" s="1"/>
  <c r="AK19" i="6" s="1"/>
  <c r="AK18" i="6" s="1"/>
  <c r="AK17" i="6" s="1"/>
  <c r="AK16" i="6" s="1"/>
  <c r="AK15" i="6" s="1"/>
  <c r="AK14" i="6" s="1"/>
  <c r="AK13" i="6" s="1"/>
  <c r="AK12" i="6" s="1"/>
  <c r="AK11" i="6" s="1"/>
  <c r="AO11" i="1"/>
  <c r="AN11" i="1"/>
  <c r="AO7" i="1"/>
  <c r="AN7" i="1"/>
  <c r="AN25" i="22" l="1"/>
  <c r="AU37" i="22"/>
  <c r="AU24" i="22"/>
  <c r="AP39" i="22"/>
  <c r="AP26" i="22"/>
  <c r="AT39" i="22"/>
  <c r="AT26" i="22"/>
  <c r="AW40" i="22"/>
  <c r="AW27" i="22"/>
  <c r="AR40" i="22"/>
  <c r="AR27" i="22"/>
  <c r="AQ41" i="22"/>
  <c r="AQ28" i="22"/>
  <c r="AU41" i="22"/>
  <c r="AU28" i="22"/>
  <c r="AV29" i="22"/>
  <c r="AV42" i="22"/>
  <c r="AP29" i="22"/>
  <c r="AP42" i="22"/>
  <c r="AV43" i="22"/>
  <c r="AV30" i="22"/>
  <c r="AP43" i="22"/>
  <c r="AP30" i="22"/>
  <c r="AM44" i="22"/>
  <c r="AM31" i="22"/>
  <c r="AW44" i="22"/>
  <c r="AW31" i="22"/>
  <c r="AO45" i="22"/>
  <c r="AO32" i="22"/>
  <c r="AM32" i="22"/>
  <c r="AM45" i="22"/>
  <c r="AS46" i="22"/>
  <c r="AS33" i="22"/>
  <c r="AR46" i="22"/>
  <c r="AR33" i="22"/>
  <c r="AN34" i="22"/>
  <c r="AN47" i="22"/>
  <c r="AQ47" i="22"/>
  <c r="AQ34" i="22"/>
  <c r="AL37" i="22"/>
  <c r="AL24" i="22"/>
  <c r="AV38" i="22"/>
  <c r="AV25" i="22"/>
  <c r="AM37" i="22"/>
  <c r="AM24" i="22"/>
  <c r="AS37" i="22"/>
  <c r="AS24" i="22"/>
  <c r="AV37" i="22"/>
  <c r="AV24" i="22"/>
  <c r="AO37" i="22"/>
  <c r="AO24" i="22"/>
  <c r="AW39" i="22"/>
  <c r="AW26" i="22"/>
  <c r="AS26" i="22"/>
  <c r="AS39" i="22"/>
  <c r="AM40" i="22"/>
  <c r="AM27" i="22"/>
  <c r="AL40" i="22"/>
  <c r="AL27" i="22"/>
  <c r="AT41" i="22"/>
  <c r="AT28" i="22"/>
  <c r="AO41" i="22"/>
  <c r="AO28" i="22"/>
  <c r="AN42" i="22"/>
  <c r="AN29" i="22"/>
  <c r="AR42" i="22"/>
  <c r="AR29" i="22"/>
  <c r="AM30" i="22"/>
  <c r="AM43" i="22"/>
  <c r="AW43" i="22"/>
  <c r="AW30" i="22"/>
  <c r="AQ44" i="22"/>
  <c r="AQ31" i="22"/>
  <c r="AV31" i="22"/>
  <c r="AV44" i="22"/>
  <c r="AU45" i="22"/>
  <c r="AU32" i="22"/>
  <c r="AP45" i="22"/>
  <c r="AP32" i="22"/>
  <c r="AW33" i="22"/>
  <c r="AW46" i="22"/>
  <c r="AT46" i="22"/>
  <c r="AT33" i="22"/>
  <c r="AV47" i="22"/>
  <c r="AV34" i="22"/>
  <c r="AS34" i="22"/>
  <c r="AS47" i="22"/>
  <c r="F22" i="22"/>
  <c r="AT38" i="22"/>
  <c r="AT25" i="22"/>
  <c r="AQ37" i="22"/>
  <c r="AQ24" i="22"/>
  <c r="AU38" i="22"/>
  <c r="AU25" i="22"/>
  <c r="AV39" i="22"/>
  <c r="AV26" i="22"/>
  <c r="AR26" i="22"/>
  <c r="AR39" i="22"/>
  <c r="AO27" i="22"/>
  <c r="AO40" i="22"/>
  <c r="AS40" i="22"/>
  <c r="AS27" i="22"/>
  <c r="AV41" i="22"/>
  <c r="AV28" i="22"/>
  <c r="AR28" i="22"/>
  <c r="AR41" i="22"/>
  <c r="AU29" i="22"/>
  <c r="AU42" i="22"/>
  <c r="AL42" i="22"/>
  <c r="AL29" i="22"/>
  <c r="AU43" i="22"/>
  <c r="AU30" i="22"/>
  <c r="AQ43" i="22"/>
  <c r="AQ30" i="22"/>
  <c r="AR44" i="22"/>
  <c r="AR31" i="22"/>
  <c r="AP31" i="22"/>
  <c r="AP44" i="22"/>
  <c r="AL32" i="22"/>
  <c r="AL45" i="22"/>
  <c r="AQ45" i="22"/>
  <c r="AQ32" i="22"/>
  <c r="AP33" i="22"/>
  <c r="AP46" i="22"/>
  <c r="AV33" i="22"/>
  <c r="AV46" i="22"/>
  <c r="AL34" i="22"/>
  <c r="AL47" i="22"/>
  <c r="AT34" i="22"/>
  <c r="AT47" i="22"/>
  <c r="AQ38" i="22"/>
  <c r="AQ25" i="22"/>
  <c r="AP37" i="22"/>
  <c r="AP24" i="22"/>
  <c r="AP38" i="22"/>
  <c r="AP25" i="22"/>
  <c r="AU39" i="22"/>
  <c r="AU26" i="22"/>
  <c r="AN39" i="22"/>
  <c r="AN26" i="22"/>
  <c r="AQ40" i="22"/>
  <c r="AQ27" i="22"/>
  <c r="AP27" i="22"/>
  <c r="AP40" i="22"/>
  <c r="AM28" i="22"/>
  <c r="AM41" i="22"/>
  <c r="AS28" i="22"/>
  <c r="AS41" i="22"/>
  <c r="AO29" i="22"/>
  <c r="AO42" i="22"/>
  <c r="AT42" i="22"/>
  <c r="AT29" i="22"/>
  <c r="AT43" i="22"/>
  <c r="AT30" i="22"/>
  <c r="AS30" i="22"/>
  <c r="AS43" i="22"/>
  <c r="AT44" i="22"/>
  <c r="AT31" i="22"/>
  <c r="AO31" i="22"/>
  <c r="AO44" i="22"/>
  <c r="AS32" i="22"/>
  <c r="AS45" i="22"/>
  <c r="AR32" i="22"/>
  <c r="AR45" i="22"/>
  <c r="AQ33" i="22"/>
  <c r="AQ46" i="22"/>
  <c r="AL46" i="22"/>
  <c r="AL33" i="22"/>
  <c r="AO47" i="22"/>
  <c r="AO34" i="22"/>
  <c r="AW47" i="22"/>
  <c r="AW34" i="22"/>
  <c r="AW24" i="22"/>
  <c r="AW37" i="22"/>
  <c r="AL38" i="22"/>
  <c r="AL25" i="22"/>
  <c r="AQ26" i="22"/>
  <c r="AQ39" i="22"/>
  <c r="AM39" i="22"/>
  <c r="AM26" i="22"/>
  <c r="AV27" i="22"/>
  <c r="AV40" i="22"/>
  <c r="AN27" i="22"/>
  <c r="AN40" i="22"/>
  <c r="AP41" i="22"/>
  <c r="AP28" i="22"/>
  <c r="AN41" i="22"/>
  <c r="AN28" i="22"/>
  <c r="AW42" i="22"/>
  <c r="AW29" i="22"/>
  <c r="AQ42" i="22"/>
  <c r="AQ29" i="22"/>
  <c r="AO43" i="22"/>
  <c r="AO30" i="22"/>
  <c r="AR30" i="22"/>
  <c r="AR43" i="22"/>
  <c r="AN44" i="22"/>
  <c r="AN31" i="22"/>
  <c r="AU31" i="22"/>
  <c r="AU44" i="22"/>
  <c r="AT45" i="22"/>
  <c r="AT32" i="22"/>
  <c r="AN45" i="22"/>
  <c r="AN32" i="22"/>
  <c r="AU33" i="22"/>
  <c r="AU46" i="22"/>
  <c r="AM46" i="22"/>
  <c r="AM33" i="22"/>
  <c r="AP47" i="22"/>
  <c r="AP34" i="22"/>
  <c r="AR34" i="22"/>
  <c r="AR47" i="22"/>
  <c r="F35" i="22"/>
  <c r="AN37" i="22"/>
  <c r="AN24" i="22"/>
  <c r="AS38" i="22"/>
  <c r="AS25" i="22"/>
  <c r="AM38" i="22"/>
  <c r="AM25" i="22"/>
  <c r="AO25" i="22"/>
  <c r="AO38" i="22"/>
  <c r="AR37" i="22"/>
  <c r="AR24" i="22"/>
  <c r="AW38" i="22"/>
  <c r="AW25" i="22"/>
  <c r="AL26" i="22"/>
  <c r="AL39" i="22"/>
  <c r="AO39" i="22"/>
  <c r="AO26" i="22"/>
  <c r="AT40" i="22"/>
  <c r="AT27" i="22"/>
  <c r="AU27" i="22"/>
  <c r="AU40" i="22"/>
  <c r="AW41" i="22"/>
  <c r="AW28" i="22"/>
  <c r="AL28" i="22"/>
  <c r="AL41" i="22"/>
  <c r="AS42" i="22"/>
  <c r="AS29" i="22"/>
  <c r="AM42" i="22"/>
  <c r="AM29" i="22"/>
  <c r="AN43" i="22"/>
  <c r="AN30" i="22"/>
  <c r="AL30" i="22"/>
  <c r="AL43" i="22"/>
  <c r="AL44" i="22"/>
  <c r="AL31" i="22"/>
  <c r="AS44" i="22"/>
  <c r="AS31" i="22"/>
  <c r="AV45" i="22"/>
  <c r="AV32" i="22"/>
  <c r="AW45" i="22"/>
  <c r="AW32" i="22"/>
  <c r="AO33" i="22"/>
  <c r="AO46" i="22"/>
  <c r="AN46" i="22"/>
  <c r="AN33" i="22"/>
  <c r="AM34" i="22"/>
  <c r="AM47" i="22"/>
  <c r="AU47" i="22"/>
  <c r="AU34" i="22"/>
  <c r="F9" i="22"/>
  <c r="AT37" i="22"/>
  <c r="AT24" i="22"/>
  <c r="AR38" i="22"/>
  <c r="AR25" i="22"/>
  <c r="X37" i="21"/>
  <c r="AL11" i="21"/>
  <c r="X24" i="21"/>
  <c r="AS21" i="21"/>
  <c r="AV21" i="21"/>
  <c r="AR21" i="21"/>
  <c r="AQ21" i="21"/>
  <c r="AW21" i="21"/>
  <c r="AU21" i="21"/>
  <c r="AP21" i="21"/>
  <c r="AT21" i="21"/>
  <c r="AN21" i="21"/>
  <c r="AO21" i="21"/>
  <c r="AM21" i="21"/>
  <c r="AL21" i="21"/>
  <c r="AV20" i="21"/>
  <c r="AR20" i="21"/>
  <c r="AS20" i="21"/>
  <c r="AP20" i="21"/>
  <c r="AW20" i="21"/>
  <c r="AM20" i="21"/>
  <c r="AQ20" i="21"/>
  <c r="AN20" i="21"/>
  <c r="AL20" i="21"/>
  <c r="AO20" i="21"/>
  <c r="AT20" i="21"/>
  <c r="AU20" i="21"/>
  <c r="AR19" i="21"/>
  <c r="AW19" i="21"/>
  <c r="AU19" i="21"/>
  <c r="AQ19" i="21"/>
  <c r="AV19" i="21"/>
  <c r="AO19" i="21"/>
  <c r="AS19" i="21"/>
  <c r="AN19" i="21"/>
  <c r="AT19" i="21"/>
  <c r="AL19" i="21"/>
  <c r="AP19" i="21"/>
  <c r="AM19" i="21"/>
  <c r="AT18" i="21"/>
  <c r="AO18" i="21"/>
  <c r="AP18" i="21"/>
  <c r="AQ18" i="21"/>
  <c r="AN18" i="21"/>
  <c r="AL18" i="21"/>
  <c r="AW18" i="21"/>
  <c r="AM18" i="21"/>
  <c r="AS18" i="21"/>
  <c r="AR18" i="21"/>
  <c r="AV18" i="21"/>
  <c r="AU18" i="21"/>
  <c r="AR17" i="21"/>
  <c r="AV17" i="21"/>
  <c r="AU17" i="21"/>
  <c r="AO17" i="21"/>
  <c r="AW17" i="21"/>
  <c r="AS17" i="21"/>
  <c r="AQ17" i="21"/>
  <c r="AP17" i="21"/>
  <c r="AM17" i="21"/>
  <c r="AN17" i="21"/>
  <c r="AT17" i="21"/>
  <c r="AL17" i="21"/>
  <c r="AQ16" i="21"/>
  <c r="AN16" i="21"/>
  <c r="AP16" i="21"/>
  <c r="AV16" i="21"/>
  <c r="AO16" i="21"/>
  <c r="AM16" i="21"/>
  <c r="AS16" i="21"/>
  <c r="AT16" i="21"/>
  <c r="AU16" i="21"/>
  <c r="AR16" i="21"/>
  <c r="AW16" i="21"/>
  <c r="AL16" i="21"/>
  <c r="AV15" i="21"/>
  <c r="AP15" i="21"/>
  <c r="AL15" i="21"/>
  <c r="AR15" i="21"/>
  <c r="AT15" i="21"/>
  <c r="AN15" i="21"/>
  <c r="AU15" i="21"/>
  <c r="AW15" i="21"/>
  <c r="AO15" i="21"/>
  <c r="AS15" i="21"/>
  <c r="AM15" i="21"/>
  <c r="AQ15" i="21"/>
  <c r="AW14" i="21"/>
  <c r="AP14" i="21"/>
  <c r="AT14" i="21"/>
  <c r="AL14" i="21"/>
  <c r="AS14" i="21"/>
  <c r="AV14" i="21"/>
  <c r="AQ14" i="21"/>
  <c r="AR14" i="21"/>
  <c r="AN14" i="21"/>
  <c r="AM14" i="21"/>
  <c r="AO14" i="21"/>
  <c r="AU14" i="21"/>
  <c r="AU13" i="21"/>
  <c r="AS13" i="21"/>
  <c r="AL13" i="21"/>
  <c r="AM13" i="21"/>
  <c r="AR13" i="21"/>
  <c r="AW13" i="21"/>
  <c r="AT13" i="21"/>
  <c r="AV13" i="21"/>
  <c r="AP13" i="21"/>
  <c r="AQ13" i="21"/>
  <c r="AN13" i="21"/>
  <c r="AO13" i="21"/>
  <c r="AH37" i="21"/>
  <c r="AH24" i="21"/>
  <c r="AV11" i="21"/>
  <c r="AI37" i="21"/>
  <c r="AI24" i="21"/>
  <c r="AW11" i="21"/>
  <c r="AG37" i="21"/>
  <c r="AG24" i="21"/>
  <c r="AU11" i="21"/>
  <c r="AM12" i="21"/>
  <c r="AV12" i="21"/>
  <c r="AT12" i="21"/>
  <c r="AB37" i="21"/>
  <c r="AB24" i="21"/>
  <c r="AP11" i="21"/>
  <c r="AW12" i="21"/>
  <c r="AR12" i="21"/>
  <c r="Y24" i="21"/>
  <c r="Y37" i="21"/>
  <c r="AM11" i="21"/>
  <c r="Z37" i="21"/>
  <c r="Z24" i="21"/>
  <c r="AN11" i="21"/>
  <c r="AE37" i="21"/>
  <c r="AE24" i="21"/>
  <c r="AS11" i="21"/>
  <c r="AF37" i="21"/>
  <c r="AF24" i="21"/>
  <c r="AT11" i="21"/>
  <c r="AS12" i="21"/>
  <c r="AD37" i="21"/>
  <c r="AR11" i="21"/>
  <c r="AD24" i="21"/>
  <c r="AU12" i="21"/>
  <c r="AQ12" i="21"/>
  <c r="AN12" i="21"/>
  <c r="AC37" i="21"/>
  <c r="AC24" i="21"/>
  <c r="AQ11" i="21"/>
  <c r="AA37" i="21"/>
  <c r="AA24" i="21"/>
  <c r="AO11" i="21"/>
  <c r="AL12" i="21"/>
  <c r="AO12" i="21"/>
  <c r="AP12" i="21"/>
  <c r="AF11" i="20"/>
  <c r="Z11" i="20"/>
  <c r="AC11" i="20"/>
  <c r="AE11" i="20"/>
  <c r="Y11" i="20"/>
  <c r="AT12" i="20" s="1"/>
  <c r="AI11" i="20"/>
  <c r="AH11" i="20"/>
  <c r="AD11" i="20"/>
  <c r="X11" i="20"/>
  <c r="AA11" i="20"/>
  <c r="AG11" i="20"/>
  <c r="AB11" i="20"/>
  <c r="AD38" i="20"/>
  <c r="AD25" i="20"/>
  <c r="AC38" i="20"/>
  <c r="AC25" i="20"/>
  <c r="X25" i="20"/>
  <c r="X38" i="20"/>
  <c r="Y25" i="20"/>
  <c r="Y38" i="20"/>
  <c r="AI38" i="20"/>
  <c r="AI25" i="20"/>
  <c r="Z38" i="20"/>
  <c r="Z25" i="20"/>
  <c r="AH38" i="20"/>
  <c r="AH25" i="20"/>
  <c r="AA38" i="20"/>
  <c r="AA25" i="20"/>
  <c r="AE38" i="20"/>
  <c r="AE25" i="20"/>
  <c r="AB38" i="20"/>
  <c r="AB25" i="20"/>
  <c r="AG38" i="20"/>
  <c r="AG25" i="20"/>
  <c r="AF38" i="20"/>
  <c r="AF25" i="20"/>
  <c r="Y38" i="19"/>
  <c r="Y25" i="19"/>
  <c r="AA38" i="19"/>
  <c r="AA25" i="19"/>
  <c r="AF38" i="19"/>
  <c r="AF25" i="19"/>
  <c r="AH25" i="19"/>
  <c r="AH38" i="19"/>
  <c r="AB38" i="19"/>
  <c r="AB25" i="19"/>
  <c r="Z38" i="19"/>
  <c r="Z25" i="19"/>
  <c r="AI38" i="19"/>
  <c r="AI25" i="19"/>
  <c r="AC38" i="19"/>
  <c r="AC25" i="19"/>
  <c r="AG38" i="19"/>
  <c r="AG25" i="19"/>
  <c r="X38" i="19"/>
  <c r="X25" i="19"/>
  <c r="AE38" i="19"/>
  <c r="AE25" i="19"/>
  <c r="AG11" i="19"/>
  <c r="AA11" i="19"/>
  <c r="AE11" i="19"/>
  <c r="X11" i="19"/>
  <c r="AD11" i="19"/>
  <c r="Y11" i="19"/>
  <c r="AC11" i="19"/>
  <c r="AH11" i="19"/>
  <c r="AF11" i="19"/>
  <c r="AI11" i="19"/>
  <c r="AB11" i="19"/>
  <c r="Z11" i="19"/>
  <c r="AD38" i="19"/>
  <c r="AD25" i="19"/>
  <c r="AE11" i="17"/>
  <c r="Y11" i="17"/>
  <c r="AB11" i="17"/>
  <c r="AD11" i="17"/>
  <c r="X11" i="17"/>
  <c r="AL12" i="17" s="1"/>
  <c r="AH11" i="17"/>
  <c r="AI11" i="17"/>
  <c r="AC11" i="17"/>
  <c r="AA11" i="17"/>
  <c r="AG11" i="17"/>
  <c r="Z11" i="17"/>
  <c r="AF11" i="17"/>
  <c r="AR12" i="17" s="1"/>
  <c r="AB38" i="17"/>
  <c r="AB25" i="17"/>
  <c r="AI38" i="17"/>
  <c r="AI25" i="17"/>
  <c r="Z38" i="17"/>
  <c r="Z25" i="17"/>
  <c r="AH38" i="17"/>
  <c r="AH25" i="17"/>
  <c r="AC38" i="17"/>
  <c r="AC25" i="17"/>
  <c r="AF25" i="17"/>
  <c r="AF38" i="17"/>
  <c r="AD38" i="17"/>
  <c r="AD25" i="17"/>
  <c r="Y38" i="17"/>
  <c r="Y25" i="17"/>
  <c r="AE38" i="17"/>
  <c r="AE25" i="17"/>
  <c r="AA38" i="17"/>
  <c r="AA25" i="17"/>
  <c r="X25" i="17"/>
  <c r="X38" i="17"/>
  <c r="AG38" i="17"/>
  <c r="AG25" i="17"/>
  <c r="AA29" i="15"/>
  <c r="AA42" i="15"/>
  <c r="AI42" i="15"/>
  <c r="AI29" i="15"/>
  <c r="AF42" i="15"/>
  <c r="AF29" i="15"/>
  <c r="X42" i="15"/>
  <c r="X29" i="15"/>
  <c r="AE15" i="15"/>
  <c r="Y15" i="15"/>
  <c r="AA15" i="15"/>
  <c r="Z15" i="15"/>
  <c r="W14" i="15"/>
  <c r="AD15" i="15"/>
  <c r="X15" i="15"/>
  <c r="AB15" i="15"/>
  <c r="AF15" i="15"/>
  <c r="AI15" i="15"/>
  <c r="AC15" i="15"/>
  <c r="AH15" i="15"/>
  <c r="AG15" i="15"/>
  <c r="AB29" i="15"/>
  <c r="AB42" i="15"/>
  <c r="Z42" i="15"/>
  <c r="Z29" i="15"/>
  <c r="AC42" i="15"/>
  <c r="AC29" i="15"/>
  <c r="AG29" i="15"/>
  <c r="AG42" i="15"/>
  <c r="AH29" i="15"/>
  <c r="AH42" i="15"/>
  <c r="Y42" i="15"/>
  <c r="Y29" i="15"/>
  <c r="AD42" i="15"/>
  <c r="AD29" i="15"/>
  <c r="AE42" i="15"/>
  <c r="AE29" i="15"/>
  <c r="AG30" i="13"/>
  <c r="AG43" i="13"/>
  <c r="AE43" i="13"/>
  <c r="AE30" i="13"/>
  <c r="AD30" i="13"/>
  <c r="AD43" i="13"/>
  <c r="AI43" i="13"/>
  <c r="AI30" i="13"/>
  <c r="AA43" i="13"/>
  <c r="AA30" i="13"/>
  <c r="X30" i="13"/>
  <c r="X43" i="13"/>
  <c r="AC43" i="13"/>
  <c r="AC30" i="13"/>
  <c r="Y43" i="13"/>
  <c r="Y30" i="13"/>
  <c r="Z43" i="13"/>
  <c r="Z30" i="13"/>
  <c r="AB43" i="13"/>
  <c r="AB30" i="13"/>
  <c r="AI16" i="13"/>
  <c r="AC16" i="13"/>
  <c r="AF16" i="13"/>
  <c r="Z16" i="13"/>
  <c r="AG16" i="13"/>
  <c r="X16" i="13"/>
  <c r="AB16" i="13"/>
  <c r="Y16" i="13"/>
  <c r="AE16" i="13"/>
  <c r="AA16" i="13"/>
  <c r="AH16" i="13"/>
  <c r="W15" i="13"/>
  <c r="AD16" i="13"/>
  <c r="AH43" i="13"/>
  <c r="AH30" i="13"/>
  <c r="AF43" i="13"/>
  <c r="AF30" i="13"/>
  <c r="AB43" i="12"/>
  <c r="AB30" i="12"/>
  <c r="AH43" i="12"/>
  <c r="AH30" i="12"/>
  <c r="AE43" i="12"/>
  <c r="AE30" i="12"/>
  <c r="AH16" i="12"/>
  <c r="AB16" i="12"/>
  <c r="AG16" i="12"/>
  <c r="AA16" i="12"/>
  <c r="AF16" i="12"/>
  <c r="Z16" i="12"/>
  <c r="W15" i="12"/>
  <c r="AE16" i="12"/>
  <c r="Y16" i="12"/>
  <c r="AI16" i="12"/>
  <c r="AD16" i="12"/>
  <c r="X16" i="12"/>
  <c r="AC16" i="12"/>
  <c r="AC43" i="12"/>
  <c r="AC30" i="12"/>
  <c r="Z43" i="12"/>
  <c r="Z30" i="12"/>
  <c r="AI43" i="12"/>
  <c r="AI30" i="12"/>
  <c r="AF30" i="12"/>
  <c r="AF43" i="12"/>
  <c r="X43" i="12"/>
  <c r="X30" i="12"/>
  <c r="Y30" i="12"/>
  <c r="Y43" i="12"/>
  <c r="AA30" i="12"/>
  <c r="AA43" i="12"/>
  <c r="AG43" i="12"/>
  <c r="AG30" i="12"/>
  <c r="AD43" i="12"/>
  <c r="AD30" i="12"/>
  <c r="AC45" i="11"/>
  <c r="AC32" i="11"/>
  <c r="AI18" i="11"/>
  <c r="AC18" i="11"/>
  <c r="AH18" i="11"/>
  <c r="AB18" i="11"/>
  <c r="AG18" i="11"/>
  <c r="AA18" i="11"/>
  <c r="AF18" i="11"/>
  <c r="Z18" i="11"/>
  <c r="W17" i="11"/>
  <c r="X18" i="11"/>
  <c r="AE18" i="11"/>
  <c r="AD18" i="11"/>
  <c r="Y18" i="11"/>
  <c r="AE45" i="11"/>
  <c r="AE32" i="11"/>
  <c r="AI45" i="11"/>
  <c r="AI32" i="11"/>
  <c r="Z45" i="11"/>
  <c r="Z32" i="11"/>
  <c r="AA45" i="11"/>
  <c r="AA32" i="11"/>
  <c r="X32" i="11"/>
  <c r="X45" i="11"/>
  <c r="AF45" i="11"/>
  <c r="AF32" i="11"/>
  <c r="AH45" i="11"/>
  <c r="AH32" i="11"/>
  <c r="AB45" i="11"/>
  <c r="AB32" i="11"/>
  <c r="AD32" i="11"/>
  <c r="AD45" i="11"/>
  <c r="AG32" i="11"/>
  <c r="AG45" i="11"/>
  <c r="Y45" i="11"/>
  <c r="Y32" i="11"/>
  <c r="Z32" i="10"/>
  <c r="Z45" i="10"/>
  <c r="X45" i="10"/>
  <c r="X32" i="10"/>
  <c r="Y45" i="10"/>
  <c r="Y32" i="10"/>
  <c r="AF45" i="10"/>
  <c r="AF32" i="10"/>
  <c r="AD45" i="10"/>
  <c r="AD32" i="10"/>
  <c r="AB45" i="10"/>
  <c r="AB32" i="10"/>
  <c r="AG32" i="10"/>
  <c r="AG45" i="10"/>
  <c r="AA45" i="10"/>
  <c r="AA32" i="10"/>
  <c r="AH45" i="10"/>
  <c r="AH32" i="10"/>
  <c r="AC45" i="10"/>
  <c r="AC32" i="10"/>
  <c r="AE45" i="10"/>
  <c r="AE32" i="10"/>
  <c r="AG18" i="10"/>
  <c r="AA18" i="10"/>
  <c r="AF18" i="10"/>
  <c r="Z18" i="10"/>
  <c r="W17" i="10"/>
  <c r="AD18" i="10"/>
  <c r="X18" i="10"/>
  <c r="AI18" i="10"/>
  <c r="AC18" i="10"/>
  <c r="AE18" i="10"/>
  <c r="AH18" i="10"/>
  <c r="AB18" i="10"/>
  <c r="Y18" i="10"/>
  <c r="AI45" i="10"/>
  <c r="AI32" i="10"/>
  <c r="AF47" i="8"/>
  <c r="AF34" i="8"/>
  <c r="Y47" i="8"/>
  <c r="Y34" i="8"/>
  <c r="AA47" i="8"/>
  <c r="AA34" i="8"/>
  <c r="X47" i="8"/>
  <c r="X34" i="8"/>
  <c r="AD47" i="8"/>
  <c r="AD34" i="8"/>
  <c r="AG34" i="8"/>
  <c r="AG47" i="8"/>
  <c r="AB34" i="8"/>
  <c r="AB47" i="8"/>
  <c r="AF20" i="8"/>
  <c r="Z20" i="8"/>
  <c r="W19" i="8"/>
  <c r="AE20" i="8"/>
  <c r="Y20" i="8"/>
  <c r="AD20" i="8"/>
  <c r="X20" i="8"/>
  <c r="AI20" i="8"/>
  <c r="AC20" i="8"/>
  <c r="AH20" i="8"/>
  <c r="AG20" i="8"/>
  <c r="AB20" i="8"/>
  <c r="AA20" i="8"/>
  <c r="AH34" i="8"/>
  <c r="AH47" i="8"/>
  <c r="AE47" i="8"/>
  <c r="AE34" i="8"/>
  <c r="Z34" i="8"/>
  <c r="Z47" i="8"/>
  <c r="AC34" i="8"/>
  <c r="AC47" i="8"/>
  <c r="AI34" i="8"/>
  <c r="AI47" i="8"/>
  <c r="Z34" i="7"/>
  <c r="Z47" i="7"/>
  <c r="AH34" i="7"/>
  <c r="AH47" i="7"/>
  <c r="AC47" i="7"/>
  <c r="AC34" i="7"/>
  <c r="AF34" i="7"/>
  <c r="AF47" i="7"/>
  <c r="X47" i="7"/>
  <c r="X34" i="7"/>
  <c r="AB34" i="7"/>
  <c r="AB47" i="7"/>
  <c r="AI47" i="7"/>
  <c r="AI34" i="7"/>
  <c r="AD47" i="7"/>
  <c r="AD34" i="7"/>
  <c r="AA47" i="7"/>
  <c r="AA34" i="7"/>
  <c r="Y34" i="7"/>
  <c r="Y47" i="7"/>
  <c r="AH20" i="7"/>
  <c r="AB20" i="7"/>
  <c r="AG20" i="7"/>
  <c r="AA20" i="7"/>
  <c r="AE20" i="7"/>
  <c r="Y20" i="7"/>
  <c r="AD20" i="7"/>
  <c r="X20" i="7"/>
  <c r="W19" i="7"/>
  <c r="AI20" i="7"/>
  <c r="AF20" i="7"/>
  <c r="AC20" i="7"/>
  <c r="Z20" i="7"/>
  <c r="AG47" i="7"/>
  <c r="AG34" i="7"/>
  <c r="AE34" i="7"/>
  <c r="AE47" i="7"/>
  <c r="AK34" i="6"/>
  <c r="AK33" i="6" s="1"/>
  <c r="AK32" i="6" s="1"/>
  <c r="AK31" i="6" s="1"/>
  <c r="AK30" i="6" s="1"/>
  <c r="AK29" i="6" s="1"/>
  <c r="AK28" i="6" s="1"/>
  <c r="AK27" i="6" s="1"/>
  <c r="AK26" i="6" s="1"/>
  <c r="AK25" i="6" s="1"/>
  <c r="AK24" i="6" s="1"/>
  <c r="AK47" i="6"/>
  <c r="AK46" i="6" s="1"/>
  <c r="AK45" i="6" s="1"/>
  <c r="AK44" i="6" s="1"/>
  <c r="AK43" i="6" s="1"/>
  <c r="AK42" i="6" s="1"/>
  <c r="AK41" i="6" s="1"/>
  <c r="AK40" i="6" s="1"/>
  <c r="AK39" i="6" s="1"/>
  <c r="AK38" i="6" s="1"/>
  <c r="AK37" i="6" s="1"/>
  <c r="W47" i="6"/>
  <c r="W46" i="6" s="1"/>
  <c r="W45" i="6" s="1"/>
  <c r="W44" i="6" s="1"/>
  <c r="W43" i="6" s="1"/>
  <c r="W42" i="6" s="1"/>
  <c r="W41" i="6" s="1"/>
  <c r="W40" i="6" s="1"/>
  <c r="W39" i="6" s="1"/>
  <c r="W38" i="6" s="1"/>
  <c r="W37" i="6" s="1"/>
  <c r="W21" i="6"/>
  <c r="AK47" i="4"/>
  <c r="AK46" i="4" s="1"/>
  <c r="AK45" i="4" s="1"/>
  <c r="AK44" i="4" s="1"/>
  <c r="AK43" i="4" s="1"/>
  <c r="AK42" i="4" s="1"/>
  <c r="AK41" i="4" s="1"/>
  <c r="AK40" i="4" s="1"/>
  <c r="AK39" i="4" s="1"/>
  <c r="AK38" i="4" s="1"/>
  <c r="AK37" i="4" s="1"/>
  <c r="W47" i="4"/>
  <c r="W46" i="4" s="1"/>
  <c r="W45" i="4" s="1"/>
  <c r="W44" i="4" s="1"/>
  <c r="W43" i="4" s="1"/>
  <c r="W42" i="4" s="1"/>
  <c r="W41" i="4" s="1"/>
  <c r="W40" i="4" s="1"/>
  <c r="W39" i="4" s="1"/>
  <c r="W38" i="4" s="1"/>
  <c r="W37" i="4" s="1"/>
  <c r="AK34" i="4"/>
  <c r="AK33" i="4" s="1"/>
  <c r="AK32" i="4" s="1"/>
  <c r="AK31" i="4" s="1"/>
  <c r="AK30" i="4" s="1"/>
  <c r="AK29" i="4" s="1"/>
  <c r="AK28" i="4" s="1"/>
  <c r="AK27" i="4" s="1"/>
  <c r="AK26" i="4" s="1"/>
  <c r="AK25" i="4" s="1"/>
  <c r="AK24" i="4" s="1"/>
  <c r="W34" i="4"/>
  <c r="W33" i="4" s="1"/>
  <c r="W32" i="4" s="1"/>
  <c r="W31" i="4" s="1"/>
  <c r="W30" i="4" s="1"/>
  <c r="W29" i="4" s="1"/>
  <c r="W28" i="4" s="1"/>
  <c r="W27" i="4" s="1"/>
  <c r="W26" i="4" s="1"/>
  <c r="W25" i="4" s="1"/>
  <c r="W24" i="4" s="1"/>
  <c r="W21" i="4"/>
  <c r="AK21" i="4"/>
  <c r="AK20" i="4" s="1"/>
  <c r="AK19" i="4" s="1"/>
  <c r="AK18" i="4" s="1"/>
  <c r="AK17" i="4" s="1"/>
  <c r="AK16" i="4" s="1"/>
  <c r="AK15" i="4" s="1"/>
  <c r="AK14" i="4" s="1"/>
  <c r="AK13" i="4" s="1"/>
  <c r="AK12" i="4" s="1"/>
  <c r="AK11" i="4" s="1"/>
  <c r="AQ41" i="21" l="1"/>
  <c r="AQ28" i="21"/>
  <c r="AS43" i="21"/>
  <c r="AS30" i="21"/>
  <c r="AU33" i="21"/>
  <c r="AU46" i="21"/>
  <c r="AP38" i="21"/>
  <c r="AP25" i="21"/>
  <c r="AQ38" i="21"/>
  <c r="AQ25" i="21"/>
  <c r="AS38" i="21"/>
  <c r="AS25" i="21"/>
  <c r="AS37" i="21"/>
  <c r="AS24" i="21"/>
  <c r="AW38" i="21"/>
  <c r="AW25" i="21"/>
  <c r="AV38" i="21"/>
  <c r="AV25" i="21"/>
  <c r="AW37" i="21"/>
  <c r="AW24" i="21"/>
  <c r="AV39" i="21"/>
  <c r="AV26" i="21"/>
  <c r="AS39" i="21"/>
  <c r="AS26" i="21"/>
  <c r="AR40" i="21"/>
  <c r="AR27" i="21"/>
  <c r="AP40" i="21"/>
  <c r="AP27" i="21"/>
  <c r="AW41" i="21"/>
  <c r="AW28" i="21"/>
  <c r="AP41" i="21"/>
  <c r="AP28" i="21"/>
  <c r="AT42" i="21"/>
  <c r="AT29" i="21"/>
  <c r="AN42" i="21"/>
  <c r="AN29" i="21"/>
  <c r="AP43" i="21"/>
  <c r="AP30" i="21"/>
  <c r="AV43" i="21"/>
  <c r="AV30" i="21"/>
  <c r="AM44" i="21"/>
  <c r="AM31" i="21"/>
  <c r="AO31" i="21"/>
  <c r="AO44" i="21"/>
  <c r="AN45" i="21"/>
  <c r="AN32" i="21"/>
  <c r="AW45" i="21"/>
  <c r="AW32" i="21"/>
  <c r="AN46" i="21"/>
  <c r="AN33" i="21"/>
  <c r="AR33" i="21"/>
  <c r="AR46" i="21"/>
  <c r="AT34" i="21"/>
  <c r="AT47" i="21"/>
  <c r="AV47" i="21"/>
  <c r="AV34" i="21"/>
  <c r="AU27" i="21"/>
  <c r="AU40" i="21"/>
  <c r="AM42" i="21"/>
  <c r="AM29" i="21"/>
  <c r="AO45" i="21"/>
  <c r="AO32" i="21"/>
  <c r="AO38" i="21"/>
  <c r="AO25" i="21"/>
  <c r="AQ37" i="21"/>
  <c r="AQ24" i="21"/>
  <c r="AU25" i="21"/>
  <c r="AU38" i="21"/>
  <c r="AT37" i="21"/>
  <c r="AT24" i="21"/>
  <c r="AM37" i="21"/>
  <c r="AM24" i="21"/>
  <c r="AP37" i="21"/>
  <c r="AP24" i="21"/>
  <c r="AM38" i="21"/>
  <c r="AM25" i="21"/>
  <c r="AT39" i="21"/>
  <c r="AT26" i="21"/>
  <c r="AU39" i="21"/>
  <c r="AU26" i="21"/>
  <c r="AQ40" i="21"/>
  <c r="AQ27" i="21"/>
  <c r="AW40" i="21"/>
  <c r="AW27" i="21"/>
  <c r="AU41" i="21"/>
  <c r="AU28" i="21"/>
  <c r="AV41" i="21"/>
  <c r="AV28" i="21"/>
  <c r="AS42" i="21"/>
  <c r="AS29" i="21"/>
  <c r="AQ42" i="21"/>
  <c r="AQ29" i="21"/>
  <c r="AQ43" i="21"/>
  <c r="AQ30" i="21"/>
  <c r="AR30" i="21"/>
  <c r="AR43" i="21"/>
  <c r="AW44" i="21"/>
  <c r="AW31" i="21"/>
  <c r="AT44" i="21"/>
  <c r="AT31" i="21"/>
  <c r="AS45" i="21"/>
  <c r="AS32" i="21"/>
  <c r="AR32" i="21"/>
  <c r="AR45" i="21"/>
  <c r="AQ33" i="21"/>
  <c r="AQ46" i="21"/>
  <c r="AV46" i="21"/>
  <c r="AV33" i="21"/>
  <c r="AP47" i="21"/>
  <c r="AP34" i="21"/>
  <c r="AS47" i="21"/>
  <c r="AS34" i="21"/>
  <c r="AO26" i="21"/>
  <c r="AO39" i="21"/>
  <c r="AN41" i="21"/>
  <c r="AN28" i="21"/>
  <c r="AU31" i="21"/>
  <c r="AU44" i="21"/>
  <c r="AU34" i="21"/>
  <c r="AU47" i="21"/>
  <c r="AU24" i="21"/>
  <c r="AU37" i="21"/>
  <c r="AN39" i="21"/>
  <c r="AN26" i="21"/>
  <c r="AR26" i="21"/>
  <c r="AR39" i="21"/>
  <c r="AO27" i="21"/>
  <c r="AO40" i="21"/>
  <c r="AS40" i="21"/>
  <c r="AS27" i="21"/>
  <c r="AM41" i="21"/>
  <c r="AM28" i="21"/>
  <c r="AT41" i="21"/>
  <c r="AT28" i="21"/>
  <c r="AW42" i="21"/>
  <c r="AW29" i="21"/>
  <c r="AO29" i="21"/>
  <c r="AO42" i="21"/>
  <c r="AT43" i="21"/>
  <c r="AT30" i="21"/>
  <c r="AW43" i="21"/>
  <c r="AW30" i="21"/>
  <c r="AV44" i="21"/>
  <c r="AV31" i="21"/>
  <c r="AN44" i="21"/>
  <c r="AN31" i="21"/>
  <c r="AP45" i="21"/>
  <c r="AP32" i="21"/>
  <c r="AV45" i="21"/>
  <c r="AV32" i="21"/>
  <c r="AT46" i="21"/>
  <c r="AT33" i="21"/>
  <c r="AW33" i="21"/>
  <c r="AW46" i="21"/>
  <c r="AM47" i="21"/>
  <c r="AM34" i="21"/>
  <c r="AW47" i="21"/>
  <c r="AW34" i="21"/>
  <c r="F22" i="21"/>
  <c r="AW39" i="21"/>
  <c r="AW26" i="21"/>
  <c r="AL42" i="21"/>
  <c r="AL29" i="21"/>
  <c r="AL31" i="21"/>
  <c r="AL44" i="21"/>
  <c r="AL34" i="21"/>
  <c r="AL47" i="21"/>
  <c r="AO37" i="21"/>
  <c r="AO24" i="21"/>
  <c r="AR37" i="21"/>
  <c r="AR24" i="21"/>
  <c r="AN37" i="21"/>
  <c r="AN24" i="21"/>
  <c r="AV37" i="21"/>
  <c r="AV24" i="21"/>
  <c r="AQ39" i="21"/>
  <c r="AQ26" i="21"/>
  <c r="AM39" i="21"/>
  <c r="AM26" i="21"/>
  <c r="AM40" i="21"/>
  <c r="AM27" i="21"/>
  <c r="AL27" i="21"/>
  <c r="AL40" i="21"/>
  <c r="AS41" i="21"/>
  <c r="AS28" i="21"/>
  <c r="AR28" i="21"/>
  <c r="AR41" i="21"/>
  <c r="AR29" i="21"/>
  <c r="AR42" i="21"/>
  <c r="AV42" i="21"/>
  <c r="AV29" i="21"/>
  <c r="AN43" i="21"/>
  <c r="AN30" i="21"/>
  <c r="AO30" i="21"/>
  <c r="AO43" i="21"/>
  <c r="AR44" i="21"/>
  <c r="AR31" i="21"/>
  <c r="AQ44" i="21"/>
  <c r="AQ31" i="21"/>
  <c r="AL32" i="21"/>
  <c r="AL45" i="21"/>
  <c r="AQ45" i="21"/>
  <c r="AQ32" i="21"/>
  <c r="AO33" i="21"/>
  <c r="AO46" i="21"/>
  <c r="AP46" i="21"/>
  <c r="AP33" i="21"/>
  <c r="AO34" i="21"/>
  <c r="AO47" i="21"/>
  <c r="AQ47" i="21"/>
  <c r="AQ34" i="21"/>
  <c r="AL37" i="21"/>
  <c r="AL24" i="21"/>
  <c r="AL38" i="21"/>
  <c r="AL25" i="21"/>
  <c r="AV40" i="21"/>
  <c r="AV27" i="21"/>
  <c r="AL30" i="21"/>
  <c r="AL43" i="21"/>
  <c r="AM45" i="21"/>
  <c r="AM32" i="21"/>
  <c r="AM46" i="21"/>
  <c r="AM33" i="21"/>
  <c r="F9" i="21"/>
  <c r="AN38" i="21"/>
  <c r="AN25" i="21"/>
  <c r="AR25" i="21"/>
  <c r="AR38" i="21"/>
  <c r="AT38" i="21"/>
  <c r="AT25" i="21"/>
  <c r="AP39" i="21"/>
  <c r="AP26" i="21"/>
  <c r="AL26" i="21"/>
  <c r="AL39" i="21"/>
  <c r="AN40" i="21"/>
  <c r="AN27" i="21"/>
  <c r="AT40" i="21"/>
  <c r="AT27" i="21"/>
  <c r="AO41" i="21"/>
  <c r="AO28" i="21"/>
  <c r="AL28" i="21"/>
  <c r="AL41" i="21"/>
  <c r="AU29" i="21"/>
  <c r="AU42" i="21"/>
  <c r="AP42" i="21"/>
  <c r="AP29" i="21"/>
  <c r="AM43" i="21"/>
  <c r="AM30" i="21"/>
  <c r="AU43" i="21"/>
  <c r="AU30" i="21"/>
  <c r="AS44" i="21"/>
  <c r="AS31" i="21"/>
  <c r="AP44" i="21"/>
  <c r="AP31" i="21"/>
  <c r="AT45" i="21"/>
  <c r="AT32" i="21"/>
  <c r="AU45" i="21"/>
  <c r="AU32" i="21"/>
  <c r="AL33" i="21"/>
  <c r="AL46" i="21"/>
  <c r="AS46" i="21"/>
  <c r="AS33" i="21"/>
  <c r="AN34" i="21"/>
  <c r="AN47" i="21"/>
  <c r="AR34" i="21"/>
  <c r="AR47" i="21"/>
  <c r="F35" i="21"/>
  <c r="AN12" i="20"/>
  <c r="AN38" i="20" s="1"/>
  <c r="AL12" i="20"/>
  <c r="AB24" i="20"/>
  <c r="AB37" i="20"/>
  <c r="AP11" i="20"/>
  <c r="AI37" i="20"/>
  <c r="AW11" i="20"/>
  <c r="AI24" i="20"/>
  <c r="AT38" i="20"/>
  <c r="AT25" i="20"/>
  <c r="AS12" i="20"/>
  <c r="AG37" i="20"/>
  <c r="AG24" i="20"/>
  <c r="AU11" i="20"/>
  <c r="Y37" i="20"/>
  <c r="Y24" i="20"/>
  <c r="AM11" i="20"/>
  <c r="AA24" i="20"/>
  <c r="AO11" i="20"/>
  <c r="AA37" i="20"/>
  <c r="AP12" i="20"/>
  <c r="AV12" i="20"/>
  <c r="AM12" i="20"/>
  <c r="X37" i="20"/>
  <c r="X24" i="20"/>
  <c r="AL11" i="20"/>
  <c r="AV21" i="20"/>
  <c r="AM21" i="20"/>
  <c r="AN21" i="20"/>
  <c r="AL21" i="20"/>
  <c r="AT21" i="20"/>
  <c r="AW21" i="20"/>
  <c r="AP21" i="20"/>
  <c r="AS21" i="20"/>
  <c r="AO21" i="20"/>
  <c r="AR21" i="20"/>
  <c r="AQ21" i="20"/>
  <c r="AU21" i="20"/>
  <c r="AU20" i="20"/>
  <c r="AN20" i="20"/>
  <c r="AQ20" i="20"/>
  <c r="AW20" i="20"/>
  <c r="AL20" i="20"/>
  <c r="AV20" i="20"/>
  <c r="AT20" i="20"/>
  <c r="AM20" i="20"/>
  <c r="AP20" i="20"/>
  <c r="AR20" i="20"/>
  <c r="AO20" i="20"/>
  <c r="AS20" i="20"/>
  <c r="AM19" i="20"/>
  <c r="AN19" i="20"/>
  <c r="AL19" i="20"/>
  <c r="AT19" i="20"/>
  <c r="AW19" i="20"/>
  <c r="AU19" i="20"/>
  <c r="AO19" i="20"/>
  <c r="AR19" i="20"/>
  <c r="AP19" i="20"/>
  <c r="AS19" i="20"/>
  <c r="AQ19" i="20"/>
  <c r="AV19" i="20"/>
  <c r="AS18" i="20"/>
  <c r="AN18" i="20"/>
  <c r="AQ18" i="20"/>
  <c r="AT18" i="20"/>
  <c r="AW18" i="20"/>
  <c r="AO18" i="20"/>
  <c r="AP18" i="20"/>
  <c r="AV18" i="20"/>
  <c r="AU18" i="20"/>
  <c r="AR18" i="20"/>
  <c r="AL18" i="20"/>
  <c r="AM18" i="20"/>
  <c r="AS17" i="20"/>
  <c r="AT17" i="20"/>
  <c r="AL17" i="20"/>
  <c r="AM17" i="20"/>
  <c r="AV17" i="20"/>
  <c r="AW17" i="20"/>
  <c r="AN17" i="20"/>
  <c r="AO17" i="20"/>
  <c r="AQ17" i="20"/>
  <c r="AP17" i="20"/>
  <c r="AR17" i="20"/>
  <c r="AU17" i="20"/>
  <c r="AU16" i="20"/>
  <c r="AL16" i="20"/>
  <c r="AS16" i="20"/>
  <c r="AN16" i="20"/>
  <c r="AM16" i="20"/>
  <c r="AQ16" i="20"/>
  <c r="AP16" i="20"/>
  <c r="AR16" i="20"/>
  <c r="AT16" i="20"/>
  <c r="AO16" i="20"/>
  <c r="AV16" i="20"/>
  <c r="AW16" i="20"/>
  <c r="AM15" i="20"/>
  <c r="AQ15" i="20"/>
  <c r="AO15" i="20"/>
  <c r="AW15" i="20"/>
  <c r="AL15" i="20"/>
  <c r="AP15" i="20"/>
  <c r="AU15" i="20"/>
  <c r="AS15" i="20"/>
  <c r="AN15" i="20"/>
  <c r="AT15" i="20"/>
  <c r="AV15" i="20"/>
  <c r="AR15" i="20"/>
  <c r="AP14" i="20"/>
  <c r="AW14" i="20"/>
  <c r="AU14" i="20"/>
  <c r="AS14" i="20"/>
  <c r="AR14" i="20"/>
  <c r="AL14" i="20"/>
  <c r="AV14" i="20"/>
  <c r="AO14" i="20"/>
  <c r="AQ14" i="20"/>
  <c r="AT14" i="20"/>
  <c r="AN14" i="20"/>
  <c r="AM14" i="20"/>
  <c r="AV13" i="20"/>
  <c r="AU13" i="20"/>
  <c r="AQ13" i="20"/>
  <c r="AP13" i="20"/>
  <c r="AT13" i="20"/>
  <c r="AL13" i="20"/>
  <c r="AO13" i="20"/>
  <c r="AS13" i="20"/>
  <c r="AN13" i="20"/>
  <c r="AR13" i="20"/>
  <c r="AM13" i="20"/>
  <c r="AW13" i="20"/>
  <c r="AC37" i="20"/>
  <c r="AQ11" i="20"/>
  <c r="AC24" i="20"/>
  <c r="AE37" i="20"/>
  <c r="AE24" i="20"/>
  <c r="AS11" i="20"/>
  <c r="AO12" i="20"/>
  <c r="AW12" i="20"/>
  <c r="AQ12" i="20"/>
  <c r="AD37" i="20"/>
  <c r="AD24" i="20"/>
  <c r="AR11" i="20"/>
  <c r="Z37" i="20"/>
  <c r="Z24" i="20"/>
  <c r="AN11" i="20"/>
  <c r="AR12" i="20"/>
  <c r="AU12" i="20"/>
  <c r="AH37" i="20"/>
  <c r="AH24" i="20"/>
  <c r="AV11" i="20"/>
  <c r="AF37" i="20"/>
  <c r="AF24" i="20"/>
  <c r="AT11" i="20"/>
  <c r="AM12" i="19"/>
  <c r="AM38" i="19" s="1"/>
  <c r="AU12" i="19"/>
  <c r="AR12" i="19"/>
  <c r="AF37" i="19"/>
  <c r="AF24" i="19"/>
  <c r="AT11" i="19"/>
  <c r="AE24" i="19"/>
  <c r="AS11" i="19"/>
  <c r="AE37" i="19"/>
  <c r="AT12" i="19"/>
  <c r="AH37" i="19"/>
  <c r="AV11" i="19"/>
  <c r="AH24" i="19"/>
  <c r="AA37" i="19"/>
  <c r="AA24" i="19"/>
  <c r="AO11" i="19"/>
  <c r="AL12" i="19"/>
  <c r="AV12" i="19"/>
  <c r="X37" i="19"/>
  <c r="X24" i="19"/>
  <c r="AL11" i="19"/>
  <c r="AP21" i="19"/>
  <c r="AV21" i="19"/>
  <c r="AT21" i="19"/>
  <c r="AO21" i="19"/>
  <c r="AL21" i="19"/>
  <c r="AR21" i="19"/>
  <c r="AW21" i="19"/>
  <c r="AM21" i="19"/>
  <c r="AN21" i="19"/>
  <c r="AQ21" i="19"/>
  <c r="AS21" i="19"/>
  <c r="AU21" i="19"/>
  <c r="AS20" i="19"/>
  <c r="AT20" i="19"/>
  <c r="AO20" i="19"/>
  <c r="AL20" i="19"/>
  <c r="AR20" i="19"/>
  <c r="AW20" i="19"/>
  <c r="AQ20" i="19"/>
  <c r="AN20" i="19"/>
  <c r="AM20" i="19"/>
  <c r="AP20" i="19"/>
  <c r="AV20" i="19"/>
  <c r="AU20" i="19"/>
  <c r="AS19" i="19"/>
  <c r="AW19" i="19"/>
  <c r="AR19" i="19"/>
  <c r="AO19" i="19"/>
  <c r="AV19" i="19"/>
  <c r="AU19" i="19"/>
  <c r="AN19" i="19"/>
  <c r="AT19" i="19"/>
  <c r="AQ19" i="19"/>
  <c r="AM19" i="19"/>
  <c r="AL19" i="19"/>
  <c r="AP19" i="19"/>
  <c r="AW18" i="19"/>
  <c r="AQ18" i="19"/>
  <c r="AM18" i="19"/>
  <c r="AS18" i="19"/>
  <c r="AT18" i="19"/>
  <c r="AU18" i="19"/>
  <c r="AL18" i="19"/>
  <c r="AV18" i="19"/>
  <c r="AP18" i="19"/>
  <c r="AR18" i="19"/>
  <c r="AN18" i="19"/>
  <c r="AO18" i="19"/>
  <c r="AT17" i="19"/>
  <c r="AM17" i="19"/>
  <c r="AU17" i="19"/>
  <c r="AN17" i="19"/>
  <c r="AQ17" i="19"/>
  <c r="AO17" i="19"/>
  <c r="AR17" i="19"/>
  <c r="AP17" i="19"/>
  <c r="AV17" i="19"/>
  <c r="AS17" i="19"/>
  <c r="AL17" i="19"/>
  <c r="AW17" i="19"/>
  <c r="AL16" i="19"/>
  <c r="AR16" i="19"/>
  <c r="AT16" i="19"/>
  <c r="AP16" i="19"/>
  <c r="AN16" i="19"/>
  <c r="AV16" i="19"/>
  <c r="AM16" i="19"/>
  <c r="AO16" i="19"/>
  <c r="AW16" i="19"/>
  <c r="AU16" i="19"/>
  <c r="AQ16" i="19"/>
  <c r="AS16" i="19"/>
  <c r="AT15" i="19"/>
  <c r="AW15" i="19"/>
  <c r="AV15" i="19"/>
  <c r="AS15" i="19"/>
  <c r="AO15" i="19"/>
  <c r="AR15" i="19"/>
  <c r="AP15" i="19"/>
  <c r="AM15" i="19"/>
  <c r="AQ15" i="19"/>
  <c r="AU15" i="19"/>
  <c r="AN15" i="19"/>
  <c r="AL15" i="19"/>
  <c r="AS14" i="19"/>
  <c r="AO14" i="19"/>
  <c r="AT14" i="19"/>
  <c r="AU14" i="19"/>
  <c r="AL14" i="19"/>
  <c r="AV14" i="19"/>
  <c r="AR14" i="19"/>
  <c r="AP14" i="19"/>
  <c r="AN14" i="19"/>
  <c r="AW14" i="19"/>
  <c r="AM14" i="19"/>
  <c r="AQ14" i="19"/>
  <c r="AQ13" i="19"/>
  <c r="AM13" i="19"/>
  <c r="AN13" i="19"/>
  <c r="AO13" i="19"/>
  <c r="AW13" i="19"/>
  <c r="AU13" i="19"/>
  <c r="AL13" i="19"/>
  <c r="AV13" i="19"/>
  <c r="AT13" i="19"/>
  <c r="AS13" i="19"/>
  <c r="AR13" i="19"/>
  <c r="AP13" i="19"/>
  <c r="AC24" i="19"/>
  <c r="AQ11" i="19"/>
  <c r="AC37" i="19"/>
  <c r="AG37" i="19"/>
  <c r="AG24" i="19"/>
  <c r="AU11" i="19"/>
  <c r="AI37" i="19"/>
  <c r="AW11" i="19"/>
  <c r="AI24" i="19"/>
  <c r="AN12" i="19"/>
  <c r="Z37" i="19"/>
  <c r="AN11" i="19"/>
  <c r="Z24" i="19"/>
  <c r="Y37" i="19"/>
  <c r="Y24" i="19"/>
  <c r="AM11" i="19"/>
  <c r="AO12" i="19"/>
  <c r="AB37" i="19"/>
  <c r="AB24" i="19"/>
  <c r="AP11" i="19"/>
  <c r="AD37" i="19"/>
  <c r="AD24" i="19"/>
  <c r="AR11" i="19"/>
  <c r="AS12" i="19"/>
  <c r="AQ12" i="19"/>
  <c r="AW12" i="19"/>
  <c r="AP12" i="19"/>
  <c r="AS12" i="17"/>
  <c r="AV12" i="17"/>
  <c r="AN12" i="17"/>
  <c r="AU12" i="17"/>
  <c r="AU38" i="17" s="1"/>
  <c r="AO12" i="17"/>
  <c r="AM12" i="17"/>
  <c r="AT12" i="17"/>
  <c r="AT25" i="17" s="1"/>
  <c r="AP12" i="17"/>
  <c r="AN38" i="17"/>
  <c r="AN25" i="17"/>
  <c r="AL38" i="17"/>
  <c r="AL25" i="17"/>
  <c r="AS38" i="17"/>
  <c r="AS25" i="17"/>
  <c r="AT38" i="17"/>
  <c r="AF37" i="17"/>
  <c r="AF24" i="17"/>
  <c r="AT11" i="17"/>
  <c r="AH37" i="17"/>
  <c r="AH24" i="17"/>
  <c r="AV11" i="17"/>
  <c r="Z37" i="17"/>
  <c r="Z24" i="17"/>
  <c r="AN11" i="17"/>
  <c r="X37" i="17"/>
  <c r="X24" i="17"/>
  <c r="AL11" i="17"/>
  <c r="AN21" i="17"/>
  <c r="AL21" i="17"/>
  <c r="AT21" i="17"/>
  <c r="AQ21" i="17"/>
  <c r="AR21" i="17"/>
  <c r="AV21" i="17"/>
  <c r="AW21" i="17"/>
  <c r="AO21" i="17"/>
  <c r="AM21" i="17"/>
  <c r="AR20" i="17"/>
  <c r="AP21" i="17"/>
  <c r="AV20" i="17"/>
  <c r="AS20" i="17"/>
  <c r="AT20" i="17"/>
  <c r="AL20" i="17"/>
  <c r="AW20" i="17"/>
  <c r="AO20" i="17"/>
  <c r="AM20" i="17"/>
  <c r="AU21" i="17"/>
  <c r="AN20" i="17"/>
  <c r="AU20" i="17"/>
  <c r="AP20" i="17"/>
  <c r="AS21" i="17"/>
  <c r="AQ20" i="17"/>
  <c r="AS19" i="17"/>
  <c r="AN19" i="17"/>
  <c r="AV19" i="17"/>
  <c r="AO19" i="17"/>
  <c r="AU19" i="17"/>
  <c r="AR19" i="17"/>
  <c r="AW19" i="17"/>
  <c r="AP19" i="17"/>
  <c r="AL19" i="17"/>
  <c r="AM19" i="17"/>
  <c r="AT19" i="17"/>
  <c r="AQ19" i="17"/>
  <c r="AP18" i="17"/>
  <c r="AW18" i="17"/>
  <c r="AR18" i="17"/>
  <c r="AT18" i="17"/>
  <c r="AV18" i="17"/>
  <c r="AQ18" i="17"/>
  <c r="AN18" i="17"/>
  <c r="AU18" i="17"/>
  <c r="AO18" i="17"/>
  <c r="AL18" i="17"/>
  <c r="AM18" i="17"/>
  <c r="AS18" i="17"/>
  <c r="AN17" i="17"/>
  <c r="AP17" i="17"/>
  <c r="AV17" i="17"/>
  <c r="AT17" i="17"/>
  <c r="AO17" i="17"/>
  <c r="AQ17" i="17"/>
  <c r="AS17" i="17"/>
  <c r="AM17" i="17"/>
  <c r="AW17" i="17"/>
  <c r="AU17" i="17"/>
  <c r="AR17" i="17"/>
  <c r="AL17" i="17"/>
  <c r="AT16" i="17"/>
  <c r="AL16" i="17"/>
  <c r="AS16" i="17"/>
  <c r="AW16" i="17"/>
  <c r="AM16" i="17"/>
  <c r="AQ16" i="17"/>
  <c r="AN16" i="17"/>
  <c r="AV16" i="17"/>
  <c r="AU16" i="17"/>
  <c r="AO16" i="17"/>
  <c r="AP16" i="17"/>
  <c r="AR16" i="17"/>
  <c r="AO15" i="17"/>
  <c r="AP15" i="17"/>
  <c r="AS15" i="17"/>
  <c r="AV15" i="17"/>
  <c r="AU15" i="17"/>
  <c r="AW15" i="17"/>
  <c r="AQ15" i="17"/>
  <c r="AT15" i="17"/>
  <c r="AN15" i="17"/>
  <c r="AL15" i="17"/>
  <c r="AR15" i="17"/>
  <c r="AM15" i="17"/>
  <c r="AM14" i="17"/>
  <c r="AO14" i="17"/>
  <c r="AR14" i="17"/>
  <c r="AS14" i="17"/>
  <c r="AQ14" i="17"/>
  <c r="AW14" i="17"/>
  <c r="AL14" i="17"/>
  <c r="AV14" i="17"/>
  <c r="AP14" i="17"/>
  <c r="AT14" i="17"/>
  <c r="AN14" i="17"/>
  <c r="AU14" i="17"/>
  <c r="AR13" i="17"/>
  <c r="AN13" i="17"/>
  <c r="AP13" i="17"/>
  <c r="AQ13" i="17"/>
  <c r="AV13" i="17"/>
  <c r="AM13" i="17"/>
  <c r="AL13" i="17"/>
  <c r="AO13" i="17"/>
  <c r="AW13" i="17"/>
  <c r="AT13" i="17"/>
  <c r="AU13" i="17"/>
  <c r="AS13" i="17"/>
  <c r="AV38" i="17"/>
  <c r="AV25" i="17"/>
  <c r="AP38" i="17"/>
  <c r="AP25" i="17"/>
  <c r="AG37" i="17"/>
  <c r="AG24" i="17"/>
  <c r="AU11" i="17"/>
  <c r="AD37" i="17"/>
  <c r="AD24" i="17"/>
  <c r="AR11" i="17"/>
  <c r="AO38" i="17"/>
  <c r="AO25" i="17"/>
  <c r="AR38" i="17"/>
  <c r="AR25" i="17"/>
  <c r="AA37" i="17"/>
  <c r="AA24" i="17"/>
  <c r="AO11" i="17"/>
  <c r="AB37" i="17"/>
  <c r="AB24" i="17"/>
  <c r="AP11" i="17"/>
  <c r="AQ12" i="17"/>
  <c r="AW12" i="17"/>
  <c r="AC37" i="17"/>
  <c r="AC24" i="17"/>
  <c r="AQ11" i="17"/>
  <c r="Y37" i="17"/>
  <c r="Y24" i="17"/>
  <c r="AM11" i="17"/>
  <c r="AM38" i="17"/>
  <c r="AM25" i="17"/>
  <c r="AI37" i="17"/>
  <c r="AI24" i="17"/>
  <c r="AW11" i="17"/>
  <c r="AE37" i="17"/>
  <c r="AE24" i="17"/>
  <c r="AS11" i="17"/>
  <c r="Y41" i="15"/>
  <c r="Y28" i="15"/>
  <c r="AE41" i="15"/>
  <c r="AE28" i="15"/>
  <c r="AH41" i="15"/>
  <c r="AH28" i="15"/>
  <c r="AD28" i="15"/>
  <c r="AD41" i="15"/>
  <c r="AB28" i="15"/>
  <c r="AB41" i="15"/>
  <c r="AG41" i="15"/>
  <c r="AG28" i="15"/>
  <c r="AC28" i="15"/>
  <c r="AC41" i="15"/>
  <c r="AH14" i="15"/>
  <c r="AB14" i="15"/>
  <c r="Y14" i="15"/>
  <c r="AD14" i="15"/>
  <c r="AI14" i="15"/>
  <c r="AG14" i="15"/>
  <c r="AA14" i="15"/>
  <c r="AE14" i="15"/>
  <c r="AC14" i="15"/>
  <c r="AF14" i="15"/>
  <c r="Z14" i="15"/>
  <c r="W13" i="15"/>
  <c r="X14" i="15"/>
  <c r="X41" i="15"/>
  <c r="X28" i="15"/>
  <c r="AI41" i="15"/>
  <c r="AI28" i="15"/>
  <c r="Z41" i="15"/>
  <c r="Z28" i="15"/>
  <c r="AF41" i="15"/>
  <c r="AF28" i="15"/>
  <c r="AA41" i="15"/>
  <c r="AA28" i="15"/>
  <c r="AH15" i="13"/>
  <c r="AB15" i="13"/>
  <c r="AG15" i="13"/>
  <c r="AE15" i="13"/>
  <c r="Y15" i="13"/>
  <c r="AC15" i="13"/>
  <c r="AA15" i="13"/>
  <c r="AD15" i="13"/>
  <c r="X15" i="13"/>
  <c r="AI15" i="13"/>
  <c r="W14" i="13"/>
  <c r="Z15" i="13"/>
  <c r="AF15" i="13"/>
  <c r="Y42" i="13"/>
  <c r="Y29" i="13"/>
  <c r="AC42" i="13"/>
  <c r="AC29" i="13"/>
  <c r="AD42" i="13"/>
  <c r="AD29" i="13"/>
  <c r="AB42" i="13"/>
  <c r="AB29" i="13"/>
  <c r="AI42" i="13"/>
  <c r="AI29" i="13"/>
  <c r="AH42" i="13"/>
  <c r="AH29" i="13"/>
  <c r="AA29" i="13"/>
  <c r="AA42" i="13"/>
  <c r="Z42" i="13"/>
  <c r="Z29" i="13"/>
  <c r="X29" i="13"/>
  <c r="X42" i="13"/>
  <c r="AG29" i="13"/>
  <c r="AG42" i="13"/>
  <c r="AE42" i="13"/>
  <c r="AE29" i="13"/>
  <c r="AF42" i="13"/>
  <c r="AF29" i="13"/>
  <c r="Z42" i="12"/>
  <c r="Z29" i="12"/>
  <c r="AF42" i="12"/>
  <c r="AF29" i="12"/>
  <c r="AI42" i="12"/>
  <c r="AI29" i="12"/>
  <c r="AA42" i="12"/>
  <c r="AA29" i="12"/>
  <c r="Y42" i="12"/>
  <c r="Y29" i="12"/>
  <c r="AG42" i="12"/>
  <c r="AG29" i="12"/>
  <c r="AD29" i="12"/>
  <c r="AD42" i="12"/>
  <c r="AE42" i="12"/>
  <c r="AE29" i="12"/>
  <c r="AB42" i="12"/>
  <c r="AB29" i="12"/>
  <c r="X42" i="12"/>
  <c r="X29" i="12"/>
  <c r="AC42" i="12"/>
  <c r="AC29" i="12"/>
  <c r="AD15" i="12"/>
  <c r="X15" i="12"/>
  <c r="AI15" i="12"/>
  <c r="AC15" i="12"/>
  <c r="AB15" i="12"/>
  <c r="W14" i="12"/>
  <c r="AA15" i="12"/>
  <c r="AH15" i="12"/>
  <c r="Z15" i="12"/>
  <c r="AF15" i="12"/>
  <c r="AE15" i="12"/>
  <c r="AG15" i="12"/>
  <c r="Y15" i="12"/>
  <c r="AH42" i="12"/>
  <c r="AH29" i="12"/>
  <c r="Y44" i="11"/>
  <c r="Y31" i="11"/>
  <c r="AF44" i="11"/>
  <c r="AF31" i="11"/>
  <c r="AI44" i="11"/>
  <c r="AI31" i="11"/>
  <c r="AD44" i="11"/>
  <c r="AD31" i="11"/>
  <c r="AA31" i="11"/>
  <c r="AA44" i="11"/>
  <c r="AE44" i="11"/>
  <c r="AE31" i="11"/>
  <c r="AG31" i="11"/>
  <c r="AG44" i="11"/>
  <c r="AC44" i="11"/>
  <c r="AC31" i="11"/>
  <c r="X31" i="11"/>
  <c r="X44" i="11"/>
  <c r="AB44" i="11"/>
  <c r="AB31" i="11"/>
  <c r="Z44" i="11"/>
  <c r="Z31" i="11"/>
  <c r="AF17" i="11"/>
  <c r="Z17" i="11"/>
  <c r="AE17" i="11"/>
  <c r="Y17" i="11"/>
  <c r="AI17" i="11"/>
  <c r="AC17" i="11"/>
  <c r="X17" i="11"/>
  <c r="AA17" i="11"/>
  <c r="AH17" i="11"/>
  <c r="AG17" i="11"/>
  <c r="AD17" i="11"/>
  <c r="AB17" i="11"/>
  <c r="W16" i="11"/>
  <c r="AH44" i="11"/>
  <c r="AH31" i="11"/>
  <c r="AA44" i="10"/>
  <c r="AA31" i="10"/>
  <c r="AE44" i="10"/>
  <c r="AE31" i="10"/>
  <c r="Z44" i="10"/>
  <c r="Z31" i="10"/>
  <c r="AC31" i="10"/>
  <c r="AC44" i="10"/>
  <c r="AF44" i="10"/>
  <c r="AF31" i="10"/>
  <c r="AI44" i="10"/>
  <c r="AI31" i="10"/>
  <c r="X44" i="10"/>
  <c r="X31" i="10"/>
  <c r="AG44" i="10"/>
  <c r="AG31" i="10"/>
  <c r="Y44" i="10"/>
  <c r="Y31" i="10"/>
  <c r="AB44" i="10"/>
  <c r="AB31" i="10"/>
  <c r="AD44" i="10"/>
  <c r="AD31" i="10"/>
  <c r="AH44" i="10"/>
  <c r="AH31" i="10"/>
  <c r="AD17" i="10"/>
  <c r="X17" i="10"/>
  <c r="AI17" i="10"/>
  <c r="AC17" i="10"/>
  <c r="AG17" i="10"/>
  <c r="AA17" i="10"/>
  <c r="AF17" i="10"/>
  <c r="Z17" i="10"/>
  <c r="AH17" i="10"/>
  <c r="Y17" i="10"/>
  <c r="W16" i="10"/>
  <c r="AE17" i="10"/>
  <c r="AB17" i="10"/>
  <c r="AA46" i="8"/>
  <c r="AA33" i="8"/>
  <c r="X46" i="8"/>
  <c r="X33" i="8"/>
  <c r="AF33" i="8"/>
  <c r="AF46" i="8"/>
  <c r="AB46" i="8"/>
  <c r="AB33" i="8"/>
  <c r="AD46" i="8"/>
  <c r="AD33" i="8"/>
  <c r="AI46" i="8"/>
  <c r="AI33" i="8"/>
  <c r="AG46" i="8"/>
  <c r="AG33" i="8"/>
  <c r="Y33" i="8"/>
  <c r="Y46" i="8"/>
  <c r="AH46" i="8"/>
  <c r="AH33" i="8"/>
  <c r="AE33" i="8"/>
  <c r="AE46" i="8"/>
  <c r="Z33" i="8"/>
  <c r="Z46" i="8"/>
  <c r="AC33" i="8"/>
  <c r="AC46" i="8"/>
  <c r="AI19" i="8"/>
  <c r="AC19" i="8"/>
  <c r="AH19" i="8"/>
  <c r="AB19" i="8"/>
  <c r="AG19" i="8"/>
  <c r="AA19" i="8"/>
  <c r="AE19" i="8"/>
  <c r="AD19" i="8"/>
  <c r="Z19" i="8"/>
  <c r="Y19" i="8"/>
  <c r="X19" i="8"/>
  <c r="W18" i="8"/>
  <c r="AF19" i="8"/>
  <c r="Y33" i="7"/>
  <c r="Y46" i="7"/>
  <c r="X46" i="7"/>
  <c r="X33" i="7"/>
  <c r="AB33" i="7"/>
  <c r="AB46" i="7"/>
  <c r="Z46" i="7"/>
  <c r="Z33" i="7"/>
  <c r="AD46" i="7"/>
  <c r="AD33" i="7"/>
  <c r="AH33" i="7"/>
  <c r="AH46" i="7"/>
  <c r="AC33" i="7"/>
  <c r="AC46" i="7"/>
  <c r="AF46" i="7"/>
  <c r="AF33" i="7"/>
  <c r="AE33" i="7"/>
  <c r="AE46" i="7"/>
  <c r="AI33" i="7"/>
  <c r="AI46" i="7"/>
  <c r="AA46" i="7"/>
  <c r="AA33" i="7"/>
  <c r="AE19" i="7"/>
  <c r="Y19" i="7"/>
  <c r="AD19" i="7"/>
  <c r="X19" i="7"/>
  <c r="AH19" i="7"/>
  <c r="AB19" i="7"/>
  <c r="AG19" i="7"/>
  <c r="AA19" i="7"/>
  <c r="AF19" i="7"/>
  <c r="AI19" i="7"/>
  <c r="AC19" i="7"/>
  <c r="Z19" i="7"/>
  <c r="W18" i="7"/>
  <c r="AG46" i="7"/>
  <c r="AG33" i="7"/>
  <c r="AG21" i="6"/>
  <c r="AA21" i="6"/>
  <c r="AI21" i="6"/>
  <c r="AC21" i="6"/>
  <c r="AH21" i="6"/>
  <c r="AB21" i="6"/>
  <c r="AF21" i="6"/>
  <c r="Z21" i="6"/>
  <c r="AD21" i="6"/>
  <c r="Y21" i="6"/>
  <c r="X21" i="6"/>
  <c r="W20" i="6"/>
  <c r="AE21" i="6"/>
  <c r="AF21" i="4"/>
  <c r="Z21" i="4"/>
  <c r="W20" i="4"/>
  <c r="AE21" i="4"/>
  <c r="Y21" i="4"/>
  <c r="AI21" i="4"/>
  <c r="AC21" i="4"/>
  <c r="X21" i="4"/>
  <c r="AG21" i="4"/>
  <c r="AH21" i="4"/>
  <c r="AD21" i="4"/>
  <c r="AB21" i="4"/>
  <c r="AA21" i="4"/>
  <c r="AN25" i="20" l="1"/>
  <c r="AV27" i="20"/>
  <c r="AV40" i="20"/>
  <c r="AN30" i="20"/>
  <c r="AN43" i="20"/>
  <c r="AT46" i="20"/>
  <c r="AT33" i="20"/>
  <c r="AU38" i="20"/>
  <c r="AU25" i="20"/>
  <c r="AR37" i="20"/>
  <c r="AR24" i="20"/>
  <c r="AO38" i="20"/>
  <c r="AO25" i="20"/>
  <c r="AN26" i="20"/>
  <c r="AN39" i="20"/>
  <c r="AQ39" i="20"/>
  <c r="AQ26" i="20"/>
  <c r="AQ40" i="20"/>
  <c r="AQ27" i="20"/>
  <c r="AU27" i="20"/>
  <c r="AU40" i="20"/>
  <c r="AN41" i="20"/>
  <c r="AN28" i="20"/>
  <c r="AO41" i="20"/>
  <c r="AO28" i="20"/>
  <c r="AT42" i="20"/>
  <c r="AT29" i="20"/>
  <c r="AS42" i="20"/>
  <c r="AS29" i="20"/>
  <c r="AQ43" i="20"/>
  <c r="AQ30" i="20"/>
  <c r="AL30" i="20"/>
  <c r="AL43" i="20"/>
  <c r="AU44" i="20"/>
  <c r="AU31" i="20"/>
  <c r="AQ31" i="20"/>
  <c r="AQ44" i="20"/>
  <c r="AP45" i="20"/>
  <c r="AP32" i="20"/>
  <c r="AL32" i="20"/>
  <c r="AL45" i="20"/>
  <c r="AP46" i="20"/>
  <c r="AP33" i="20"/>
  <c r="AQ33" i="20"/>
  <c r="AQ46" i="20"/>
  <c r="AO34" i="20"/>
  <c r="AO47" i="20"/>
  <c r="AN34" i="20"/>
  <c r="AN47" i="20"/>
  <c r="F35" i="20"/>
  <c r="AU37" i="20"/>
  <c r="AU24" i="20"/>
  <c r="AP37" i="20"/>
  <c r="AP24" i="20"/>
  <c r="AN37" i="20"/>
  <c r="AN24" i="20"/>
  <c r="AV39" i="20"/>
  <c r="AV26" i="20"/>
  <c r="AP29" i="20"/>
  <c r="AP42" i="20"/>
  <c r="AS44" i="20"/>
  <c r="AS31" i="20"/>
  <c r="AV38" i="20"/>
  <c r="AV25" i="20"/>
  <c r="AR25" i="20"/>
  <c r="AR38" i="20"/>
  <c r="AQ37" i="20"/>
  <c r="AQ24" i="20"/>
  <c r="AS39" i="20"/>
  <c r="AS26" i="20"/>
  <c r="AU39" i="20"/>
  <c r="AU26" i="20"/>
  <c r="AO40" i="20"/>
  <c r="AO27" i="20"/>
  <c r="AW27" i="20"/>
  <c r="AW40" i="20"/>
  <c r="AS28" i="20"/>
  <c r="AS41" i="20"/>
  <c r="AQ41" i="20"/>
  <c r="AQ28" i="20"/>
  <c r="AR29" i="20"/>
  <c r="AR42" i="20"/>
  <c r="AL42" i="20"/>
  <c r="AL29" i="20"/>
  <c r="AO30" i="20"/>
  <c r="AO43" i="20"/>
  <c r="AT43" i="20"/>
  <c r="AT30" i="20"/>
  <c r="AV44" i="20"/>
  <c r="AV31" i="20"/>
  <c r="AN44" i="20"/>
  <c r="AN31" i="20"/>
  <c r="AR45" i="20"/>
  <c r="AR32" i="20"/>
  <c r="AN32" i="20"/>
  <c r="AN45" i="20"/>
  <c r="AM46" i="20"/>
  <c r="AM33" i="20"/>
  <c r="AN46" i="20"/>
  <c r="AN33" i="20"/>
  <c r="AS47" i="20"/>
  <c r="AS34" i="20"/>
  <c r="AM47" i="20"/>
  <c r="AM34" i="20"/>
  <c r="AM38" i="20"/>
  <c r="AM25" i="20"/>
  <c r="AS37" i="20"/>
  <c r="AS24" i="20"/>
  <c r="AP40" i="20"/>
  <c r="AP27" i="20"/>
  <c r="AU42" i="20"/>
  <c r="AU29" i="20"/>
  <c r="AO45" i="20"/>
  <c r="AO32" i="20"/>
  <c r="AP47" i="20"/>
  <c r="AP34" i="20"/>
  <c r="AV37" i="20"/>
  <c r="AV24" i="20"/>
  <c r="AW39" i="20"/>
  <c r="AW26" i="20"/>
  <c r="AL39" i="20"/>
  <c r="AL26" i="20"/>
  <c r="AM40" i="20"/>
  <c r="AM27" i="20"/>
  <c r="AL27" i="20"/>
  <c r="AL40" i="20"/>
  <c r="AR28" i="20"/>
  <c r="AR41" i="20"/>
  <c r="AP41" i="20"/>
  <c r="AP28" i="20"/>
  <c r="AW42" i="20"/>
  <c r="AW29" i="20"/>
  <c r="AQ29" i="20"/>
  <c r="AQ42" i="20"/>
  <c r="AU30" i="20"/>
  <c r="AU43" i="20"/>
  <c r="AW43" i="20"/>
  <c r="AW30" i="20"/>
  <c r="AM44" i="20"/>
  <c r="AM31" i="20"/>
  <c r="AO31" i="20"/>
  <c r="AO44" i="20"/>
  <c r="AV45" i="20"/>
  <c r="AV32" i="20"/>
  <c r="AU45" i="20"/>
  <c r="AU32" i="20"/>
  <c r="AS46" i="20"/>
  <c r="AS33" i="20"/>
  <c r="AV46" i="20"/>
  <c r="AV33" i="20"/>
  <c r="AU34" i="20"/>
  <c r="AU47" i="20"/>
  <c r="AW47" i="20"/>
  <c r="AW34" i="20"/>
  <c r="F9" i="20"/>
  <c r="AP38" i="20"/>
  <c r="AP25" i="20"/>
  <c r="AM37" i="20"/>
  <c r="AM24" i="20"/>
  <c r="AL38" i="20"/>
  <c r="AL25" i="20"/>
  <c r="AU28" i="20"/>
  <c r="AU41" i="20"/>
  <c r="AS43" i="20"/>
  <c r="AS30" i="20"/>
  <c r="AM45" i="20"/>
  <c r="AM32" i="20"/>
  <c r="AV47" i="20"/>
  <c r="AV34" i="20"/>
  <c r="AT37" i="20"/>
  <c r="AT24" i="20"/>
  <c r="AQ25" i="20"/>
  <c r="AQ38" i="20"/>
  <c r="AM39" i="20"/>
  <c r="AM26" i="20"/>
  <c r="AT39" i="20"/>
  <c r="AT26" i="20"/>
  <c r="AN40" i="20"/>
  <c r="AN27" i="20"/>
  <c r="AR40" i="20"/>
  <c r="AR27" i="20"/>
  <c r="AV41" i="20"/>
  <c r="AV28" i="20"/>
  <c r="AL41" i="20"/>
  <c r="AL28" i="20"/>
  <c r="AV42" i="20"/>
  <c r="AV29" i="20"/>
  <c r="AM42" i="20"/>
  <c r="AM29" i="20"/>
  <c r="AR43" i="20"/>
  <c r="AR30" i="20"/>
  <c r="AV43" i="20"/>
  <c r="AV30" i="20"/>
  <c r="AL44" i="20"/>
  <c r="AL31" i="20"/>
  <c r="AW31" i="20"/>
  <c r="AW44" i="20"/>
  <c r="AQ45" i="20"/>
  <c r="AQ32" i="20"/>
  <c r="AW45" i="20"/>
  <c r="AW32" i="20"/>
  <c r="AO33" i="20"/>
  <c r="AO46" i="20"/>
  <c r="AL33" i="20"/>
  <c r="AL46" i="20"/>
  <c r="AQ47" i="20"/>
  <c r="AQ34" i="20"/>
  <c r="AT34" i="20"/>
  <c r="AT47" i="20"/>
  <c r="AL37" i="20"/>
  <c r="AL24" i="20"/>
  <c r="AS38" i="20"/>
  <c r="AS25" i="20"/>
  <c r="AO26" i="20"/>
  <c r="AO39" i="20"/>
  <c r="AM41" i="20"/>
  <c r="AM28" i="20"/>
  <c r="AP44" i="20"/>
  <c r="AP31" i="20"/>
  <c r="AU46" i="20"/>
  <c r="AU33" i="20"/>
  <c r="AW37" i="20"/>
  <c r="AW24" i="20"/>
  <c r="AW38" i="20"/>
  <c r="AW25" i="20"/>
  <c r="AR39" i="20"/>
  <c r="AR26" i="20"/>
  <c r="AP39" i="20"/>
  <c r="AP26" i="20"/>
  <c r="AT40" i="20"/>
  <c r="AT27" i="20"/>
  <c r="AS40" i="20"/>
  <c r="AS27" i="20"/>
  <c r="AT28" i="20"/>
  <c r="AT41" i="20"/>
  <c r="AW41" i="20"/>
  <c r="AW28" i="20"/>
  <c r="AO29" i="20"/>
  <c r="AO42" i="20"/>
  <c r="AN42" i="20"/>
  <c r="AN29" i="20"/>
  <c r="AP43" i="20"/>
  <c r="AP30" i="20"/>
  <c r="AM43" i="20"/>
  <c r="AM30" i="20"/>
  <c r="AR44" i="20"/>
  <c r="AR31" i="20"/>
  <c r="AT44" i="20"/>
  <c r="AT31" i="20"/>
  <c r="AS45" i="20"/>
  <c r="AS32" i="20"/>
  <c r="AT32" i="20"/>
  <c r="AT45" i="20"/>
  <c r="AR33" i="20"/>
  <c r="AR46" i="20"/>
  <c r="AW33" i="20"/>
  <c r="AW46" i="20"/>
  <c r="AR47" i="20"/>
  <c r="AR34" i="20"/>
  <c r="AL34" i="20"/>
  <c r="AL47" i="20"/>
  <c r="F22" i="20"/>
  <c r="AO37" i="20"/>
  <c r="AO24" i="20"/>
  <c r="AM25" i="19"/>
  <c r="AU37" i="19"/>
  <c r="AU24" i="19"/>
  <c r="AP41" i="19"/>
  <c r="AP28" i="19"/>
  <c r="AL31" i="19"/>
  <c r="AL44" i="19"/>
  <c r="AP47" i="19"/>
  <c r="AP34" i="19"/>
  <c r="AW38" i="19"/>
  <c r="AW25" i="19"/>
  <c r="AN24" i="19"/>
  <c r="AN37" i="19"/>
  <c r="AQ37" i="19"/>
  <c r="AQ24" i="19"/>
  <c r="AT26" i="19"/>
  <c r="AT39" i="19"/>
  <c r="AN26" i="19"/>
  <c r="AN39" i="19"/>
  <c r="AN40" i="19"/>
  <c r="AN27" i="19"/>
  <c r="AT40" i="19"/>
  <c r="AT27" i="19"/>
  <c r="AQ41" i="19"/>
  <c r="AQ28" i="19"/>
  <c r="AV41" i="19"/>
  <c r="AV28" i="19"/>
  <c r="AW42" i="19"/>
  <c r="AW29" i="19"/>
  <c r="AT42" i="19"/>
  <c r="AT29" i="19"/>
  <c r="AV30" i="19"/>
  <c r="AV43" i="19"/>
  <c r="AU43" i="19"/>
  <c r="AU30" i="19"/>
  <c r="AP31" i="19"/>
  <c r="AP44" i="19"/>
  <c r="AM31" i="19"/>
  <c r="AM44" i="19"/>
  <c r="AQ45" i="19"/>
  <c r="AQ32" i="19"/>
  <c r="AR32" i="19"/>
  <c r="AR45" i="19"/>
  <c r="AM46" i="19"/>
  <c r="AM33" i="19"/>
  <c r="AO33" i="19"/>
  <c r="AO46" i="19"/>
  <c r="AN34" i="19"/>
  <c r="AN47" i="19"/>
  <c r="AT47" i="19"/>
  <c r="AT34" i="19"/>
  <c r="F35" i="19"/>
  <c r="AS40" i="19"/>
  <c r="AS27" i="19"/>
  <c r="AR30" i="19"/>
  <c r="AR43" i="19"/>
  <c r="AS32" i="19"/>
  <c r="AS45" i="19"/>
  <c r="AL38" i="19"/>
  <c r="AL25" i="19"/>
  <c r="AQ38" i="19"/>
  <c r="AQ25" i="19"/>
  <c r="AP37" i="19"/>
  <c r="AP24" i="19"/>
  <c r="AM37" i="19"/>
  <c r="AM24" i="19"/>
  <c r="AV39" i="19"/>
  <c r="AV26" i="19"/>
  <c r="AM26" i="19"/>
  <c r="AM39" i="19"/>
  <c r="AP40" i="19"/>
  <c r="AP27" i="19"/>
  <c r="AO40" i="19"/>
  <c r="AO27" i="19"/>
  <c r="AM41" i="19"/>
  <c r="AM28" i="19"/>
  <c r="AW41" i="19"/>
  <c r="AW28" i="19"/>
  <c r="AO29" i="19"/>
  <c r="AO42" i="19"/>
  <c r="AR42" i="19"/>
  <c r="AR29" i="19"/>
  <c r="AP43" i="19"/>
  <c r="AP30" i="19"/>
  <c r="AM43" i="19"/>
  <c r="AM30" i="19"/>
  <c r="AV31" i="19"/>
  <c r="AV44" i="19"/>
  <c r="AQ44" i="19"/>
  <c r="AQ31" i="19"/>
  <c r="AT32" i="19"/>
  <c r="AT45" i="19"/>
  <c r="AW45" i="19"/>
  <c r="AW32" i="19"/>
  <c r="AN46" i="19"/>
  <c r="AN33" i="19"/>
  <c r="AT46" i="19"/>
  <c r="AT33" i="19"/>
  <c r="AM34" i="19"/>
  <c r="AM47" i="19"/>
  <c r="AV34" i="19"/>
  <c r="AV47" i="19"/>
  <c r="AV38" i="19"/>
  <c r="AV25" i="19"/>
  <c r="AS37" i="19"/>
  <c r="AS24" i="19"/>
  <c r="AL39" i="19"/>
  <c r="AL26" i="19"/>
  <c r="AT41" i="19"/>
  <c r="AT28" i="19"/>
  <c r="AT43" i="19"/>
  <c r="AT30" i="19"/>
  <c r="AS46" i="19"/>
  <c r="AS33" i="19"/>
  <c r="AR37" i="19"/>
  <c r="AR24" i="19"/>
  <c r="AP39" i="19"/>
  <c r="AP26" i="19"/>
  <c r="AU39" i="19"/>
  <c r="AU26" i="19"/>
  <c r="AQ27" i="19"/>
  <c r="AQ40" i="19"/>
  <c r="AV40" i="19"/>
  <c r="AV27" i="19"/>
  <c r="AL41" i="19"/>
  <c r="AL28" i="19"/>
  <c r="AR41" i="19"/>
  <c r="AR28" i="19"/>
  <c r="AS42" i="19"/>
  <c r="AS29" i="19"/>
  <c r="AV42" i="19"/>
  <c r="AV29" i="19"/>
  <c r="AW43" i="19"/>
  <c r="AW30" i="19"/>
  <c r="AO30" i="19"/>
  <c r="AO43" i="19"/>
  <c r="AO44" i="19"/>
  <c r="AO31" i="19"/>
  <c r="AU44" i="19"/>
  <c r="AU31" i="19"/>
  <c r="AP45" i="19"/>
  <c r="AP32" i="19"/>
  <c r="AU32" i="19"/>
  <c r="AU45" i="19"/>
  <c r="AU46" i="19"/>
  <c r="AU33" i="19"/>
  <c r="AW33" i="19"/>
  <c r="AW46" i="19"/>
  <c r="AU34" i="19"/>
  <c r="AU47" i="19"/>
  <c r="AR47" i="19"/>
  <c r="AR34" i="19"/>
  <c r="F9" i="19"/>
  <c r="AO24" i="19"/>
  <c r="AO37" i="19"/>
  <c r="AV37" i="19"/>
  <c r="AV24" i="19"/>
  <c r="AU38" i="19"/>
  <c r="AU25" i="19"/>
  <c r="AN38" i="19"/>
  <c r="AN25" i="19"/>
  <c r="AR27" i="19"/>
  <c r="AR40" i="19"/>
  <c r="AL42" i="19"/>
  <c r="AL29" i="19"/>
  <c r="AN45" i="19"/>
  <c r="AN32" i="19"/>
  <c r="AW47" i="19"/>
  <c r="AW34" i="19"/>
  <c r="AW37" i="19"/>
  <c r="AW24" i="19"/>
  <c r="AR39" i="19"/>
  <c r="AR26" i="19"/>
  <c r="AW39" i="19"/>
  <c r="AW26" i="19"/>
  <c r="AM40" i="19"/>
  <c r="AM27" i="19"/>
  <c r="AL40" i="19"/>
  <c r="AL27" i="19"/>
  <c r="AN28" i="19"/>
  <c r="AN41" i="19"/>
  <c r="AO41" i="19"/>
  <c r="AO28" i="19"/>
  <c r="AQ42" i="19"/>
  <c r="AQ29" i="19"/>
  <c r="AN42" i="19"/>
  <c r="AN29" i="19"/>
  <c r="AL43" i="19"/>
  <c r="AL30" i="19"/>
  <c r="AQ43" i="19"/>
  <c r="AQ30" i="19"/>
  <c r="AN44" i="19"/>
  <c r="AN31" i="19"/>
  <c r="AT44" i="19"/>
  <c r="AT31" i="19"/>
  <c r="AL45" i="19"/>
  <c r="AL32" i="19"/>
  <c r="AV45" i="19"/>
  <c r="AV32" i="19"/>
  <c r="AV46" i="19"/>
  <c r="AV33" i="19"/>
  <c r="AR33" i="19"/>
  <c r="AR46" i="19"/>
  <c r="AS47" i="19"/>
  <c r="AS34" i="19"/>
  <c r="AL47" i="19"/>
  <c r="AL34" i="19"/>
  <c r="AL24" i="19"/>
  <c r="AL37" i="19"/>
  <c r="AS25" i="19"/>
  <c r="AS38" i="19"/>
  <c r="AQ39" i="19"/>
  <c r="AQ26" i="19"/>
  <c r="AM42" i="19"/>
  <c r="AM29" i="19"/>
  <c r="AW31" i="19"/>
  <c r="AW44" i="19"/>
  <c r="AQ33" i="19"/>
  <c r="AQ46" i="19"/>
  <c r="AR38" i="19"/>
  <c r="AR25" i="19"/>
  <c r="AP38" i="19"/>
  <c r="AP25" i="19"/>
  <c r="AO38" i="19"/>
  <c r="AO25" i="19"/>
  <c r="AS39" i="19"/>
  <c r="AS26" i="19"/>
  <c r="AO39" i="19"/>
  <c r="AO26" i="19"/>
  <c r="AW40" i="19"/>
  <c r="AW27" i="19"/>
  <c r="AU40" i="19"/>
  <c r="AU27" i="19"/>
  <c r="AU28" i="19"/>
  <c r="AU41" i="19"/>
  <c r="AS41" i="19"/>
  <c r="AS28" i="19"/>
  <c r="AU29" i="19"/>
  <c r="AU42" i="19"/>
  <c r="AP42" i="19"/>
  <c r="AP29" i="19"/>
  <c r="AS30" i="19"/>
  <c r="AS43" i="19"/>
  <c r="AN43" i="19"/>
  <c r="AN30" i="19"/>
  <c r="AR44" i="19"/>
  <c r="AR31" i="19"/>
  <c r="AS44" i="19"/>
  <c r="AS31" i="19"/>
  <c r="AM45" i="19"/>
  <c r="AM32" i="19"/>
  <c r="AO45" i="19"/>
  <c r="AO32" i="19"/>
  <c r="AP33" i="19"/>
  <c r="AP46" i="19"/>
  <c r="AL33" i="19"/>
  <c r="AL46" i="19"/>
  <c r="AQ47" i="19"/>
  <c r="AQ34" i="19"/>
  <c r="AO34" i="19"/>
  <c r="AO47" i="19"/>
  <c r="F22" i="19"/>
  <c r="AT38" i="19"/>
  <c r="AT25" i="19"/>
  <c r="AT37" i="19"/>
  <c r="AT24" i="19"/>
  <c r="AU25" i="17"/>
  <c r="AM37" i="17"/>
  <c r="AM24" i="17"/>
  <c r="AT39" i="17"/>
  <c r="AT26" i="17"/>
  <c r="AQ39" i="17"/>
  <c r="AQ26" i="17"/>
  <c r="AT40" i="17"/>
  <c r="AT27" i="17"/>
  <c r="AS27" i="17"/>
  <c r="AS40" i="17"/>
  <c r="AL41" i="17"/>
  <c r="AL28" i="17"/>
  <c r="AV41" i="17"/>
  <c r="AV28" i="17"/>
  <c r="AO42" i="17"/>
  <c r="AO29" i="17"/>
  <c r="AW29" i="17"/>
  <c r="AW42" i="17"/>
  <c r="AU43" i="17"/>
  <c r="AU30" i="17"/>
  <c r="AT43" i="17"/>
  <c r="AT30" i="17"/>
  <c r="AL44" i="17"/>
  <c r="AL31" i="17"/>
  <c r="AT31" i="17"/>
  <c r="AT44" i="17"/>
  <c r="AM45" i="17"/>
  <c r="AM32" i="17"/>
  <c r="AO45" i="17"/>
  <c r="AO32" i="17"/>
  <c r="AP33" i="17"/>
  <c r="AP46" i="17"/>
  <c r="AW33" i="17"/>
  <c r="AW46" i="17"/>
  <c r="AR46" i="17"/>
  <c r="AR33" i="17"/>
  <c r="AQ47" i="17"/>
  <c r="AQ34" i="17"/>
  <c r="F22" i="17"/>
  <c r="AT37" i="17"/>
  <c r="AT24" i="17"/>
  <c r="AS37" i="17"/>
  <c r="AS24" i="17"/>
  <c r="AW24" i="17"/>
  <c r="AW37" i="17"/>
  <c r="AW39" i="17"/>
  <c r="AW26" i="17"/>
  <c r="AP39" i="17"/>
  <c r="AP26" i="17"/>
  <c r="AP40" i="17"/>
  <c r="AP27" i="17"/>
  <c r="AR40" i="17"/>
  <c r="AR27" i="17"/>
  <c r="AN41" i="17"/>
  <c r="AN28" i="17"/>
  <c r="AS41" i="17"/>
  <c r="AS28" i="17"/>
  <c r="AU42" i="17"/>
  <c r="AU29" i="17"/>
  <c r="AS42" i="17"/>
  <c r="AS29" i="17"/>
  <c r="AW30" i="17"/>
  <c r="AW43" i="17"/>
  <c r="AV30" i="17"/>
  <c r="AV43" i="17"/>
  <c r="AO44" i="17"/>
  <c r="AO31" i="17"/>
  <c r="AR44" i="17"/>
  <c r="AR31" i="17"/>
  <c r="AL45" i="17"/>
  <c r="AL32" i="17"/>
  <c r="AV45" i="17"/>
  <c r="AV32" i="17"/>
  <c r="AU46" i="17"/>
  <c r="AU33" i="17"/>
  <c r="AL46" i="17"/>
  <c r="AL33" i="17"/>
  <c r="AM34" i="17"/>
  <c r="AM47" i="17"/>
  <c r="AT47" i="17"/>
  <c r="AT34" i="17"/>
  <c r="F35" i="17"/>
  <c r="AW38" i="17"/>
  <c r="AW25" i="17"/>
  <c r="AO39" i="17"/>
  <c r="AO26" i="17"/>
  <c r="AN39" i="17"/>
  <c r="AN26" i="17"/>
  <c r="AV40" i="17"/>
  <c r="AV27" i="17"/>
  <c r="AO40" i="17"/>
  <c r="AO27" i="17"/>
  <c r="AT41" i="17"/>
  <c r="AT28" i="17"/>
  <c r="AP28" i="17"/>
  <c r="AP41" i="17"/>
  <c r="AV42" i="17"/>
  <c r="AV29" i="17"/>
  <c r="AL42" i="17"/>
  <c r="AL29" i="17"/>
  <c r="AM43" i="17"/>
  <c r="AM30" i="17"/>
  <c r="AP43" i="17"/>
  <c r="AP30" i="17"/>
  <c r="AU44" i="17"/>
  <c r="AU31" i="17"/>
  <c r="AW44" i="17"/>
  <c r="AW31" i="17"/>
  <c r="AP32" i="17"/>
  <c r="AP45" i="17"/>
  <c r="AN45" i="17"/>
  <c r="AN32" i="17"/>
  <c r="AN33" i="17"/>
  <c r="AN46" i="17"/>
  <c r="AT46" i="17"/>
  <c r="AT33" i="17"/>
  <c r="AO47" i="17"/>
  <c r="AO34" i="17"/>
  <c r="AL47" i="17"/>
  <c r="AL34" i="17"/>
  <c r="AN37" i="17"/>
  <c r="AN24" i="17"/>
  <c r="AV37" i="17"/>
  <c r="AV24" i="17"/>
  <c r="AQ38" i="17"/>
  <c r="AQ25" i="17"/>
  <c r="AO37" i="17"/>
  <c r="AO24" i="17"/>
  <c r="AU37" i="17"/>
  <c r="AU24" i="17"/>
  <c r="AL39" i="17"/>
  <c r="AL26" i="17"/>
  <c r="AR39" i="17"/>
  <c r="AR26" i="17"/>
  <c r="AL40" i="17"/>
  <c r="AL27" i="17"/>
  <c r="AM40" i="17"/>
  <c r="AM27" i="17"/>
  <c r="AQ41" i="17"/>
  <c r="AQ28" i="17"/>
  <c r="AO41" i="17"/>
  <c r="AO28" i="17"/>
  <c r="AN42" i="17"/>
  <c r="AN29" i="17"/>
  <c r="AT42" i="17"/>
  <c r="AT29" i="17"/>
  <c r="AS43" i="17"/>
  <c r="AS30" i="17"/>
  <c r="AN43" i="17"/>
  <c r="AN30" i="17"/>
  <c r="AN44" i="17"/>
  <c r="AN31" i="17"/>
  <c r="AP44" i="17"/>
  <c r="AP31" i="17"/>
  <c r="AW45" i="17"/>
  <c r="AW32" i="17"/>
  <c r="AS45" i="17"/>
  <c r="AS32" i="17"/>
  <c r="AU47" i="17"/>
  <c r="AU34" i="17"/>
  <c r="AS46" i="17"/>
  <c r="AS33" i="17"/>
  <c r="AW34" i="17"/>
  <c r="AW47" i="17"/>
  <c r="AN47" i="17"/>
  <c r="AN34" i="17"/>
  <c r="AS39" i="17"/>
  <c r="AS26" i="17"/>
  <c r="AM39" i="17"/>
  <c r="AM26" i="17"/>
  <c r="AU40" i="17"/>
  <c r="AU27" i="17"/>
  <c r="AW40" i="17"/>
  <c r="AW27" i="17"/>
  <c r="AM41" i="17"/>
  <c r="AM28" i="17"/>
  <c r="AW41" i="17"/>
  <c r="AW28" i="17"/>
  <c r="AR42" i="17"/>
  <c r="AR29" i="17"/>
  <c r="AQ42" i="17"/>
  <c r="AQ29" i="17"/>
  <c r="AL43" i="17"/>
  <c r="AL30" i="17"/>
  <c r="AQ43" i="17"/>
  <c r="AQ30" i="17"/>
  <c r="AS31" i="17"/>
  <c r="AS44" i="17"/>
  <c r="AQ44" i="17"/>
  <c r="AQ31" i="17"/>
  <c r="AQ32" i="17"/>
  <c r="AQ45" i="17"/>
  <c r="AR45" i="17"/>
  <c r="AR32" i="17"/>
  <c r="AQ46" i="17"/>
  <c r="AQ33" i="17"/>
  <c r="AM33" i="17"/>
  <c r="AM46" i="17"/>
  <c r="AV33" i="17"/>
  <c r="AV46" i="17"/>
  <c r="AV47" i="17"/>
  <c r="AV34" i="17"/>
  <c r="F9" i="17"/>
  <c r="AQ24" i="17"/>
  <c r="AQ37" i="17"/>
  <c r="AP24" i="17"/>
  <c r="AP37" i="17"/>
  <c r="AR37" i="17"/>
  <c r="AR24" i="17"/>
  <c r="AU39" i="17"/>
  <c r="AU26" i="17"/>
  <c r="AV26" i="17"/>
  <c r="AV39" i="17"/>
  <c r="AN40" i="17"/>
  <c r="AN27" i="17"/>
  <c r="AQ40" i="17"/>
  <c r="AQ27" i="17"/>
  <c r="AR41" i="17"/>
  <c r="AR28" i="17"/>
  <c r="AU41" i="17"/>
  <c r="AU28" i="17"/>
  <c r="AP42" i="17"/>
  <c r="AP29" i="17"/>
  <c r="AM29" i="17"/>
  <c r="AM42" i="17"/>
  <c r="AR43" i="17"/>
  <c r="AR30" i="17"/>
  <c r="AO43" i="17"/>
  <c r="AO30" i="17"/>
  <c r="AM44" i="17"/>
  <c r="AM31" i="17"/>
  <c r="AV44" i="17"/>
  <c r="AV31" i="17"/>
  <c r="AT45" i="17"/>
  <c r="AT32" i="17"/>
  <c r="AU45" i="17"/>
  <c r="AU32" i="17"/>
  <c r="AS34" i="17"/>
  <c r="AS47" i="17"/>
  <c r="AO46" i="17"/>
  <c r="AO33" i="17"/>
  <c r="AP47" i="17"/>
  <c r="AP34" i="17"/>
  <c r="AR47" i="17"/>
  <c r="AR34" i="17"/>
  <c r="AL37" i="17"/>
  <c r="AL24" i="17"/>
  <c r="AH27" i="15"/>
  <c r="AH40" i="15"/>
  <c r="AE13" i="15"/>
  <c r="Y13" i="15"/>
  <c r="AB13" i="15"/>
  <c r="AG13" i="15"/>
  <c r="Z13" i="15"/>
  <c r="AD13" i="15"/>
  <c r="X13" i="15"/>
  <c r="AH13" i="15"/>
  <c r="AI13" i="15"/>
  <c r="AC13" i="15"/>
  <c r="AA13" i="15"/>
  <c r="AF13" i="15"/>
  <c r="W12" i="15"/>
  <c r="AG40" i="15"/>
  <c r="AG27" i="15"/>
  <c r="X40" i="15"/>
  <c r="X27" i="15"/>
  <c r="Z27" i="15"/>
  <c r="Z40" i="15"/>
  <c r="AI40" i="15"/>
  <c r="AI27" i="15"/>
  <c r="AE40" i="15"/>
  <c r="AE27" i="15"/>
  <c r="AA40" i="15"/>
  <c r="AA27" i="15"/>
  <c r="AF40" i="15"/>
  <c r="AF27" i="15"/>
  <c r="AD40" i="15"/>
  <c r="AD27" i="15"/>
  <c r="AB40" i="15"/>
  <c r="AB27" i="15"/>
  <c r="AC40" i="15"/>
  <c r="AC27" i="15"/>
  <c r="Y27" i="15"/>
  <c r="Y40" i="15"/>
  <c r="AB41" i="13"/>
  <c r="AB28" i="13"/>
  <c r="AF41" i="13"/>
  <c r="AF28" i="13"/>
  <c r="Z41" i="13"/>
  <c r="Z28" i="13"/>
  <c r="AC41" i="13"/>
  <c r="AC28" i="13"/>
  <c r="AD28" i="13"/>
  <c r="AD41" i="13"/>
  <c r="AA41" i="13"/>
  <c r="AA28" i="13"/>
  <c r="AE14" i="13"/>
  <c r="Y14" i="13"/>
  <c r="AH14" i="13"/>
  <c r="AB14" i="13"/>
  <c r="Z14" i="13"/>
  <c r="AD14" i="13"/>
  <c r="AG14" i="13"/>
  <c r="AA14" i="13"/>
  <c r="AF14" i="13"/>
  <c r="W13" i="13"/>
  <c r="X14" i="13"/>
  <c r="AI14" i="13"/>
  <c r="AC14" i="13"/>
  <c r="Y41" i="13"/>
  <c r="Y28" i="13"/>
  <c r="AI41" i="13"/>
  <c r="AI28" i="13"/>
  <c r="AE41" i="13"/>
  <c r="AE28" i="13"/>
  <c r="X41" i="13"/>
  <c r="X28" i="13"/>
  <c r="AG41" i="13"/>
  <c r="AG28" i="13"/>
  <c r="AH41" i="13"/>
  <c r="AH28" i="13"/>
  <c r="AF41" i="12"/>
  <c r="AF28" i="12"/>
  <c r="Z41" i="12"/>
  <c r="Z28" i="12"/>
  <c r="AI41" i="12"/>
  <c r="AI28" i="12"/>
  <c r="AH41" i="12"/>
  <c r="AH28" i="12"/>
  <c r="X41" i="12"/>
  <c r="X28" i="12"/>
  <c r="AA41" i="12"/>
  <c r="AA28" i="12"/>
  <c r="AD41" i="12"/>
  <c r="AD28" i="12"/>
  <c r="Y28" i="12"/>
  <c r="Y41" i="12"/>
  <c r="AG41" i="12"/>
  <c r="AG28" i="12"/>
  <c r="AG14" i="12"/>
  <c r="AA14" i="12"/>
  <c r="AF14" i="12"/>
  <c r="Z14" i="12"/>
  <c r="AE14" i="12"/>
  <c r="AD14" i="12"/>
  <c r="AC14" i="12"/>
  <c r="AI14" i="12"/>
  <c r="AH14" i="12"/>
  <c r="W13" i="12"/>
  <c r="AB14" i="12"/>
  <c r="Y14" i="12"/>
  <c r="X14" i="12"/>
  <c r="AC28" i="12"/>
  <c r="AC41" i="12"/>
  <c r="AE41" i="12"/>
  <c r="AE28" i="12"/>
  <c r="AB41" i="12"/>
  <c r="AB28" i="12"/>
  <c r="AG43" i="11"/>
  <c r="AG30" i="11"/>
  <c r="Y43" i="11"/>
  <c r="Y30" i="11"/>
  <c r="X30" i="11"/>
  <c r="X43" i="11"/>
  <c r="AH43" i="11"/>
  <c r="AH30" i="11"/>
  <c r="AE43" i="11"/>
  <c r="AE30" i="11"/>
  <c r="Z43" i="11"/>
  <c r="Z30" i="11"/>
  <c r="AF43" i="11"/>
  <c r="AF30" i="11"/>
  <c r="AA30" i="11"/>
  <c r="AA43" i="11"/>
  <c r="AB43" i="11"/>
  <c r="AB30" i="11"/>
  <c r="AC43" i="11"/>
  <c r="AC30" i="11"/>
  <c r="AI16" i="11"/>
  <c r="AG16" i="11"/>
  <c r="AA16" i="11"/>
  <c r="AF16" i="11"/>
  <c r="Z16" i="11"/>
  <c r="W15" i="11"/>
  <c r="AE16" i="11"/>
  <c r="Y16" i="11"/>
  <c r="AD16" i="11"/>
  <c r="X16" i="11"/>
  <c r="AB16" i="11"/>
  <c r="AC16" i="11"/>
  <c r="AH16" i="11"/>
  <c r="AD30" i="11"/>
  <c r="AD43" i="11"/>
  <c r="AI43" i="11"/>
  <c r="AI30" i="11"/>
  <c r="AC43" i="10"/>
  <c r="AC30" i="10"/>
  <c r="AE43" i="10"/>
  <c r="AE30" i="10"/>
  <c r="AA43" i="10"/>
  <c r="AA30" i="10"/>
  <c r="AB43" i="10"/>
  <c r="AB30" i="10"/>
  <c r="AG16" i="10"/>
  <c r="AA16" i="10"/>
  <c r="AF16" i="10"/>
  <c r="Z16" i="10"/>
  <c r="AD16" i="10"/>
  <c r="X16" i="10"/>
  <c r="AC16" i="10"/>
  <c r="AB16" i="10"/>
  <c r="Y16" i="10"/>
  <c r="AH16" i="10"/>
  <c r="AI16" i="10"/>
  <c r="AE16" i="10"/>
  <c r="W15" i="10"/>
  <c r="AG43" i="10"/>
  <c r="AG30" i="10"/>
  <c r="AH43" i="10"/>
  <c r="AH30" i="10"/>
  <c r="AI43" i="10"/>
  <c r="AI30" i="10"/>
  <c r="Y43" i="10"/>
  <c r="Y30" i="10"/>
  <c r="Z43" i="10"/>
  <c r="Z30" i="10"/>
  <c r="X43" i="10"/>
  <c r="X30" i="10"/>
  <c r="AF30" i="10"/>
  <c r="AF43" i="10"/>
  <c r="AD43" i="10"/>
  <c r="AD30" i="10"/>
  <c r="AB45" i="8"/>
  <c r="AB32" i="8"/>
  <c r="AE45" i="8"/>
  <c r="AE32" i="8"/>
  <c r="AG18" i="8"/>
  <c r="AA18" i="8"/>
  <c r="AF18" i="8"/>
  <c r="Z18" i="8"/>
  <c r="W17" i="8"/>
  <c r="AE18" i="8"/>
  <c r="Y18" i="8"/>
  <c r="AD18" i="8"/>
  <c r="X18" i="8"/>
  <c r="AI18" i="8"/>
  <c r="AC18" i="8"/>
  <c r="AB18" i="8"/>
  <c r="AH18" i="8"/>
  <c r="AA32" i="8"/>
  <c r="AA45" i="8"/>
  <c r="X45" i="8"/>
  <c r="X32" i="8"/>
  <c r="AG45" i="8"/>
  <c r="AG32" i="8"/>
  <c r="Y45" i="8"/>
  <c r="Y32" i="8"/>
  <c r="Z45" i="8"/>
  <c r="Z32" i="8"/>
  <c r="AH45" i="8"/>
  <c r="AH32" i="8"/>
  <c r="AD45" i="8"/>
  <c r="AD32" i="8"/>
  <c r="AC45" i="8"/>
  <c r="AC32" i="8"/>
  <c r="AF45" i="8"/>
  <c r="AF32" i="8"/>
  <c r="AI32" i="8"/>
  <c r="AI45" i="8"/>
  <c r="AD45" i="7"/>
  <c r="AD32" i="7"/>
  <c r="AA45" i="7"/>
  <c r="AA32" i="7"/>
  <c r="Y32" i="7"/>
  <c r="Y45" i="7"/>
  <c r="AI45" i="7"/>
  <c r="AI32" i="7"/>
  <c r="AF45" i="7"/>
  <c r="AF32" i="7"/>
  <c r="AH18" i="7"/>
  <c r="AB18" i="7"/>
  <c r="AG18" i="7"/>
  <c r="AA18" i="7"/>
  <c r="AE18" i="7"/>
  <c r="Y18" i="7"/>
  <c r="AD18" i="7"/>
  <c r="X18" i="7"/>
  <c r="Z18" i="7"/>
  <c r="AI18" i="7"/>
  <c r="W17" i="7"/>
  <c r="AF18" i="7"/>
  <c r="AC18" i="7"/>
  <c r="AG45" i="7"/>
  <c r="AG32" i="7"/>
  <c r="AE32" i="7"/>
  <c r="AE45" i="7"/>
  <c r="Z45" i="7"/>
  <c r="Z32" i="7"/>
  <c r="X45" i="7"/>
  <c r="X32" i="7"/>
  <c r="AB45" i="7"/>
  <c r="AB32" i="7"/>
  <c r="AC45" i="7"/>
  <c r="AC32" i="7"/>
  <c r="AH45" i="7"/>
  <c r="AH32" i="7"/>
  <c r="AB34" i="6"/>
  <c r="AB47" i="6"/>
  <c r="X34" i="6"/>
  <c r="X47" i="6"/>
  <c r="AH47" i="6"/>
  <c r="AH34" i="6"/>
  <c r="Y34" i="6"/>
  <c r="Y47" i="6"/>
  <c r="AD34" i="6"/>
  <c r="AD47" i="6"/>
  <c r="AI47" i="6"/>
  <c r="AI34" i="6"/>
  <c r="AC47" i="6"/>
  <c r="AC34" i="6"/>
  <c r="Z47" i="6"/>
  <c r="Z34" i="6"/>
  <c r="AA47" i="6"/>
  <c r="AA34" i="6"/>
  <c r="AD20" i="6"/>
  <c r="X20" i="6"/>
  <c r="AF20" i="6"/>
  <c r="Z20" i="6"/>
  <c r="W19" i="6"/>
  <c r="AE20" i="6"/>
  <c r="Y20" i="6"/>
  <c r="AC20" i="6"/>
  <c r="AB20" i="6"/>
  <c r="AA20" i="6"/>
  <c r="AH20" i="6"/>
  <c r="AG20" i="6"/>
  <c r="AI20" i="6"/>
  <c r="AE34" i="6"/>
  <c r="AE47" i="6"/>
  <c r="AF47" i="6"/>
  <c r="AF34" i="6"/>
  <c r="AG47" i="6"/>
  <c r="AG34" i="6"/>
  <c r="AD47" i="4"/>
  <c r="AD34" i="4"/>
  <c r="AH34" i="4"/>
  <c r="AH47" i="4"/>
  <c r="AE34" i="4"/>
  <c r="AE47" i="4"/>
  <c r="AB34" i="4"/>
  <c r="AB47" i="4"/>
  <c r="Y34" i="4"/>
  <c r="Y47" i="4"/>
  <c r="AG34" i="4"/>
  <c r="AG47" i="4"/>
  <c r="AI20" i="4"/>
  <c r="AC20" i="4"/>
  <c r="AH20" i="4"/>
  <c r="AB20" i="4"/>
  <c r="AF20" i="4"/>
  <c r="Z20" i="4"/>
  <c r="W19" i="4"/>
  <c r="AA20" i="4"/>
  <c r="X20" i="4"/>
  <c r="Y20" i="4"/>
  <c r="AG20" i="4"/>
  <c r="AE20" i="4"/>
  <c r="AD20" i="4"/>
  <c r="AI47" i="4"/>
  <c r="AI34" i="4"/>
  <c r="X47" i="4"/>
  <c r="X34" i="4"/>
  <c r="Z34" i="4"/>
  <c r="Z47" i="4"/>
  <c r="AA34" i="4"/>
  <c r="AA47" i="4"/>
  <c r="AC47" i="4"/>
  <c r="AC34" i="4"/>
  <c r="AF47" i="4"/>
  <c r="AF34" i="4"/>
  <c r="HJ11" i="1"/>
  <c r="HI11" i="1"/>
  <c r="HH11" i="1"/>
  <c r="HG11" i="1"/>
  <c r="HF11" i="1"/>
  <c r="HE11" i="1"/>
  <c r="HD11" i="1"/>
  <c r="HC11" i="1"/>
  <c r="HB11" i="1"/>
  <c r="HA11" i="1"/>
  <c r="GZ11" i="1"/>
  <c r="GY11" i="1"/>
  <c r="GX11" i="1"/>
  <c r="GW11" i="1"/>
  <c r="GV11" i="1"/>
  <c r="GU11" i="1"/>
  <c r="GT11" i="1"/>
  <c r="GS11" i="1"/>
  <c r="GR11" i="1"/>
  <c r="GQ11" i="1"/>
  <c r="GP11" i="1"/>
  <c r="GO11" i="1"/>
  <c r="GN11" i="1"/>
  <c r="GM11" i="1"/>
  <c r="GL11" i="1"/>
  <c r="GK11" i="1"/>
  <c r="GJ11" i="1"/>
  <c r="GI11" i="1"/>
  <c r="GH11" i="1"/>
  <c r="GG11" i="1"/>
  <c r="GF11" i="1"/>
  <c r="GE11" i="1"/>
  <c r="GD11" i="1"/>
  <c r="GC11" i="1"/>
  <c r="GB11" i="1"/>
  <c r="GA11" i="1"/>
  <c r="FZ11" i="1"/>
  <c r="FY11" i="1"/>
  <c r="FX11" i="1"/>
  <c r="FW11" i="1"/>
  <c r="FV11" i="1"/>
  <c r="FU11" i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/>
  <c r="EL11" i="1"/>
  <c r="EK11" i="1"/>
  <c r="EJ11" i="1"/>
  <c r="EI11" i="1"/>
  <c r="EH11" i="1"/>
  <c r="EG11" i="1"/>
  <c r="EF11" i="1"/>
  <c r="EE11" i="1"/>
  <c r="ED11" i="1"/>
  <c r="EC11" i="1"/>
  <c r="EB11" i="1"/>
  <c r="EA11" i="1"/>
  <c r="DZ11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C4" i="2"/>
  <c r="AF39" i="15" l="1"/>
  <c r="AF26" i="15"/>
  <c r="AH39" i="15"/>
  <c r="AH26" i="15"/>
  <c r="Y26" i="15"/>
  <c r="Y39" i="15"/>
  <c r="AH12" i="15"/>
  <c r="AB12" i="15"/>
  <c r="AE12" i="15"/>
  <c r="AD12" i="15"/>
  <c r="AC12" i="15"/>
  <c r="AG12" i="15"/>
  <c r="AA12" i="15"/>
  <c r="AI12" i="15"/>
  <c r="AF12" i="15"/>
  <c r="Z12" i="15"/>
  <c r="W11" i="15"/>
  <c r="Y12" i="15"/>
  <c r="X12" i="15"/>
  <c r="X26" i="15"/>
  <c r="X39" i="15"/>
  <c r="AE39" i="15"/>
  <c r="AE26" i="15"/>
  <c r="AD39" i="15"/>
  <c r="AD26" i="15"/>
  <c r="AA39" i="15"/>
  <c r="AA26" i="15"/>
  <c r="Z39" i="15"/>
  <c r="Z26" i="15"/>
  <c r="AC39" i="15"/>
  <c r="AC26" i="15"/>
  <c r="AG39" i="15"/>
  <c r="AG26" i="15"/>
  <c r="AI26" i="15"/>
  <c r="AI39" i="15"/>
  <c r="AB39" i="15"/>
  <c r="AB26" i="15"/>
  <c r="AH13" i="13"/>
  <c r="AB13" i="13"/>
  <c r="AE13" i="13"/>
  <c r="Y13" i="13"/>
  <c r="AC13" i="13"/>
  <c r="AG13" i="13"/>
  <c r="AD13" i="13"/>
  <c r="X13" i="13"/>
  <c r="AI13" i="13"/>
  <c r="AA13" i="13"/>
  <c r="Z13" i="13"/>
  <c r="AF13" i="13"/>
  <c r="W12" i="13"/>
  <c r="AI40" i="13"/>
  <c r="AI27" i="13"/>
  <c r="AD40" i="13"/>
  <c r="AD27" i="13"/>
  <c r="AA40" i="13"/>
  <c r="AA27" i="13"/>
  <c r="X40" i="13"/>
  <c r="X27" i="13"/>
  <c r="Z40" i="13"/>
  <c r="Z27" i="13"/>
  <c r="AB40" i="13"/>
  <c r="AB27" i="13"/>
  <c r="AF40" i="13"/>
  <c r="AF27" i="13"/>
  <c r="AH40" i="13"/>
  <c r="AH27" i="13"/>
  <c r="Y40" i="13"/>
  <c r="Y27" i="13"/>
  <c r="AC40" i="13"/>
  <c r="AC27" i="13"/>
  <c r="AG27" i="13"/>
  <c r="AG40" i="13"/>
  <c r="AE40" i="13"/>
  <c r="AE27" i="13"/>
  <c r="AB40" i="12"/>
  <c r="AB27" i="12"/>
  <c r="AE40" i="12"/>
  <c r="AE27" i="12"/>
  <c r="AH13" i="12"/>
  <c r="AB13" i="12"/>
  <c r="AG13" i="12"/>
  <c r="AA13" i="12"/>
  <c r="X13" i="12"/>
  <c r="AC13" i="12"/>
  <c r="AF13" i="12"/>
  <c r="Z13" i="12"/>
  <c r="W12" i="12"/>
  <c r="AE13" i="12"/>
  <c r="Y13" i="12"/>
  <c r="AD13" i="12"/>
  <c r="AI13" i="12"/>
  <c r="Z40" i="12"/>
  <c r="Z27" i="12"/>
  <c r="AD40" i="12"/>
  <c r="AD27" i="12"/>
  <c r="AH27" i="12"/>
  <c r="AH40" i="12"/>
  <c r="AF40" i="12"/>
  <c r="AF27" i="12"/>
  <c r="Y40" i="12"/>
  <c r="Y27" i="12"/>
  <c r="AI40" i="12"/>
  <c r="AI27" i="12"/>
  <c r="AA40" i="12"/>
  <c r="AA27" i="12"/>
  <c r="X40" i="12"/>
  <c r="X27" i="12"/>
  <c r="AC40" i="12"/>
  <c r="AC27" i="12"/>
  <c r="AG40" i="12"/>
  <c r="AG27" i="12"/>
  <c r="AF42" i="11"/>
  <c r="AF29" i="11"/>
  <c r="Y42" i="11"/>
  <c r="Y29" i="11"/>
  <c r="AG29" i="11"/>
  <c r="AG42" i="11"/>
  <c r="X42" i="11"/>
  <c r="X29" i="11"/>
  <c r="AH42" i="11"/>
  <c r="AH29" i="11"/>
  <c r="AE42" i="11"/>
  <c r="AE29" i="11"/>
  <c r="AI42" i="11"/>
  <c r="AI29" i="11"/>
  <c r="AC42" i="11"/>
  <c r="AC29" i="11"/>
  <c r="AD15" i="11"/>
  <c r="X15" i="11"/>
  <c r="AI15" i="11"/>
  <c r="AC15" i="11"/>
  <c r="AH15" i="11"/>
  <c r="AB15" i="11"/>
  <c r="AG15" i="11"/>
  <c r="AA15" i="11"/>
  <c r="AE15" i="11"/>
  <c r="AF15" i="11"/>
  <c r="Z15" i="11"/>
  <c r="W14" i="11"/>
  <c r="Y15" i="11"/>
  <c r="AB42" i="11"/>
  <c r="AB29" i="11"/>
  <c r="Z42" i="11"/>
  <c r="Z29" i="11"/>
  <c r="AD29" i="11"/>
  <c r="AD42" i="11"/>
  <c r="AA29" i="11"/>
  <c r="AA42" i="11"/>
  <c r="AB42" i="10"/>
  <c r="AB29" i="10"/>
  <c r="AA42" i="10"/>
  <c r="AA29" i="10"/>
  <c r="AD15" i="10"/>
  <c r="X15" i="10"/>
  <c r="AI15" i="10"/>
  <c r="AC15" i="10"/>
  <c r="AG15" i="10"/>
  <c r="AA15" i="10"/>
  <c r="AF15" i="10"/>
  <c r="AE15" i="10"/>
  <c r="Z15" i="10"/>
  <c r="AB15" i="10"/>
  <c r="W14" i="10"/>
  <c r="Y15" i="10"/>
  <c r="AH15" i="10"/>
  <c r="AC42" i="10"/>
  <c r="AC29" i="10"/>
  <c r="AG42" i="10"/>
  <c r="AG29" i="10"/>
  <c r="AE42" i="10"/>
  <c r="AE29" i="10"/>
  <c r="AI29" i="10"/>
  <c r="AI42" i="10"/>
  <c r="AD42" i="10"/>
  <c r="AD29" i="10"/>
  <c r="X29" i="10"/>
  <c r="X42" i="10"/>
  <c r="AH42" i="10"/>
  <c r="AH29" i="10"/>
  <c r="Z42" i="10"/>
  <c r="Z29" i="10"/>
  <c r="Y42" i="10"/>
  <c r="Y29" i="10"/>
  <c r="AF42" i="10"/>
  <c r="AF29" i="10"/>
  <c r="Z44" i="8"/>
  <c r="Z31" i="8"/>
  <c r="X44" i="8"/>
  <c r="X31" i="8"/>
  <c r="AF44" i="8"/>
  <c r="AF31" i="8"/>
  <c r="AA44" i="8"/>
  <c r="AA31" i="8"/>
  <c r="AI31" i="8"/>
  <c r="AI44" i="8"/>
  <c r="AH44" i="8"/>
  <c r="AH31" i="8"/>
  <c r="Y44" i="8"/>
  <c r="Y31" i="8"/>
  <c r="AG44" i="8"/>
  <c r="AG31" i="8"/>
  <c r="AD31" i="8"/>
  <c r="AD44" i="8"/>
  <c r="AB44" i="8"/>
  <c r="AB31" i="8"/>
  <c r="AE44" i="8"/>
  <c r="AE31" i="8"/>
  <c r="AC44" i="8"/>
  <c r="AC31" i="8"/>
  <c r="AD17" i="8"/>
  <c r="X17" i="8"/>
  <c r="AI17" i="8"/>
  <c r="AC17" i="8"/>
  <c r="AH17" i="8"/>
  <c r="AB17" i="8"/>
  <c r="AG17" i="8"/>
  <c r="AA17" i="8"/>
  <c r="AF17" i="8"/>
  <c r="Z17" i="8"/>
  <c r="W16" i="8"/>
  <c r="AE17" i="8"/>
  <c r="Y17" i="8"/>
  <c r="AI44" i="7"/>
  <c r="AI31" i="7"/>
  <c r="AG44" i="7"/>
  <c r="AG31" i="7"/>
  <c r="X44" i="7"/>
  <c r="X31" i="7"/>
  <c r="AB31" i="7"/>
  <c r="AB44" i="7"/>
  <c r="Z44" i="7"/>
  <c r="Z31" i="7"/>
  <c r="AD44" i="7"/>
  <c r="AD31" i="7"/>
  <c r="AF44" i="7"/>
  <c r="AF31" i="7"/>
  <c r="Y44" i="7"/>
  <c r="Y31" i="7"/>
  <c r="AA44" i="7"/>
  <c r="AA31" i="7"/>
  <c r="AC44" i="7"/>
  <c r="AC31" i="7"/>
  <c r="AH31" i="7"/>
  <c r="AH44" i="7"/>
  <c r="AE17" i="7"/>
  <c r="Y17" i="7"/>
  <c r="AD17" i="7"/>
  <c r="X17" i="7"/>
  <c r="AH17" i="7"/>
  <c r="AB17" i="7"/>
  <c r="AG17" i="7"/>
  <c r="AA17" i="7"/>
  <c r="AC17" i="7"/>
  <c r="W16" i="7"/>
  <c r="AI17" i="7"/>
  <c r="AF17" i="7"/>
  <c r="Z17" i="7"/>
  <c r="AE44" i="7"/>
  <c r="AE31" i="7"/>
  <c r="Y46" i="6"/>
  <c r="Y33" i="6"/>
  <c r="AH46" i="6"/>
  <c r="AH33" i="6"/>
  <c r="AA33" i="6"/>
  <c r="AA46" i="6"/>
  <c r="Z46" i="6"/>
  <c r="Z33" i="6"/>
  <c r="AI46" i="6"/>
  <c r="AI33" i="6"/>
  <c r="AE33" i="6"/>
  <c r="AE46" i="6"/>
  <c r="AB33" i="6"/>
  <c r="AB46" i="6"/>
  <c r="AF46" i="6"/>
  <c r="AF33" i="6"/>
  <c r="AG33" i="6"/>
  <c r="AG46" i="6"/>
  <c r="AG19" i="6"/>
  <c r="AA19" i="6"/>
  <c r="AI19" i="6"/>
  <c r="AC19" i="6"/>
  <c r="AH19" i="6"/>
  <c r="AB19" i="6"/>
  <c r="AF19" i="6"/>
  <c r="W18" i="6"/>
  <c r="AE19" i="6"/>
  <c r="AD19" i="6"/>
  <c r="X19" i="6"/>
  <c r="Z19" i="6"/>
  <c r="Y19" i="6"/>
  <c r="AC46" i="6"/>
  <c r="AC33" i="6"/>
  <c r="X33" i="6"/>
  <c r="X46" i="6"/>
  <c r="AD46" i="6"/>
  <c r="AD33" i="6"/>
  <c r="AG46" i="4"/>
  <c r="AG33" i="4"/>
  <c r="Y33" i="4"/>
  <c r="Y46" i="4"/>
  <c r="AB33" i="4"/>
  <c r="AB46" i="4"/>
  <c r="AE33" i="4"/>
  <c r="AE46" i="4"/>
  <c r="X33" i="4"/>
  <c r="X46" i="4"/>
  <c r="AH33" i="4"/>
  <c r="AH46" i="4"/>
  <c r="Z46" i="4"/>
  <c r="Z33" i="4"/>
  <c r="AA46" i="4"/>
  <c r="AA33" i="4"/>
  <c r="AC33" i="4"/>
  <c r="AC46" i="4"/>
  <c r="AF46" i="4"/>
  <c r="AF33" i="4"/>
  <c r="AD33" i="4"/>
  <c r="AD46" i="4"/>
  <c r="AF19" i="4"/>
  <c r="Z19" i="4"/>
  <c r="W18" i="4"/>
  <c r="AE19" i="4"/>
  <c r="Y19" i="4"/>
  <c r="AI19" i="4"/>
  <c r="AC19" i="4"/>
  <c r="AD19" i="4"/>
  <c r="AA19" i="4"/>
  <c r="AB19" i="4"/>
  <c r="X19" i="4"/>
  <c r="AH19" i="4"/>
  <c r="AG19" i="4"/>
  <c r="AI46" i="4"/>
  <c r="AI33" i="4"/>
  <c r="W21" i="2"/>
  <c r="AK47" i="2"/>
  <c r="AK46" i="2" s="1"/>
  <c r="AK45" i="2" s="1"/>
  <c r="AK44" i="2" s="1"/>
  <c r="AK43" i="2" s="1"/>
  <c r="AK42" i="2" s="1"/>
  <c r="AK41" i="2" s="1"/>
  <c r="AK40" i="2" s="1"/>
  <c r="AK39" i="2" s="1"/>
  <c r="AK38" i="2" s="1"/>
  <c r="AK37" i="2" s="1"/>
  <c r="AK21" i="2"/>
  <c r="AK20" i="2" s="1"/>
  <c r="AK19" i="2" s="1"/>
  <c r="AK18" i="2" s="1"/>
  <c r="AK17" i="2" s="1"/>
  <c r="AK16" i="2" s="1"/>
  <c r="AK15" i="2" s="1"/>
  <c r="AK14" i="2" s="1"/>
  <c r="AK13" i="2" s="1"/>
  <c r="AK12" i="2" s="1"/>
  <c r="AK11" i="2" s="1"/>
  <c r="AK34" i="2"/>
  <c r="AK33" i="2" s="1"/>
  <c r="AK32" i="2" s="1"/>
  <c r="AK31" i="2" s="1"/>
  <c r="AK30" i="2" s="1"/>
  <c r="AK29" i="2" s="1"/>
  <c r="AK28" i="2" s="1"/>
  <c r="AK27" i="2" s="1"/>
  <c r="AK26" i="2" s="1"/>
  <c r="AK25" i="2" s="1"/>
  <c r="AK24" i="2" s="1"/>
  <c r="C6" i="2"/>
  <c r="I34" i="2"/>
  <c r="I33" i="2" s="1"/>
  <c r="I32" i="2" s="1"/>
  <c r="I31" i="2" s="1"/>
  <c r="I30" i="2" s="1"/>
  <c r="I29" i="2" s="1"/>
  <c r="I28" i="2" s="1"/>
  <c r="I27" i="2" s="1"/>
  <c r="I26" i="2" s="1"/>
  <c r="I25" i="2" s="1"/>
  <c r="I24" i="2" s="1"/>
  <c r="I47" i="2"/>
  <c r="I46" i="2" s="1"/>
  <c r="I45" i="2" s="1"/>
  <c r="I44" i="2" s="1"/>
  <c r="I43" i="2" s="1"/>
  <c r="I42" i="2" s="1"/>
  <c r="I41" i="2" s="1"/>
  <c r="I40" i="2" s="1"/>
  <c r="I39" i="2" s="1"/>
  <c r="I38" i="2" s="1"/>
  <c r="I37" i="2" s="1"/>
  <c r="W34" i="2"/>
  <c r="W33" i="2" s="1"/>
  <c r="W47" i="2"/>
  <c r="W46" i="2" s="1"/>
  <c r="I21" i="2"/>
  <c r="I20" i="2" s="1"/>
  <c r="I19" i="2" s="1"/>
  <c r="I18" i="2" s="1"/>
  <c r="I17" i="2" s="1"/>
  <c r="I16" i="2" s="1"/>
  <c r="I15" i="2" s="1"/>
  <c r="I14" i="2" s="1"/>
  <c r="I13" i="2" s="1"/>
  <c r="I12" i="2" s="1"/>
  <c r="I11" i="2" s="1"/>
  <c r="W20" i="2" l="1"/>
  <c r="AE21" i="2"/>
  <c r="Q21" i="2" s="1"/>
  <c r="AC38" i="15"/>
  <c r="AC25" i="15"/>
  <c r="Z38" i="15"/>
  <c r="Z25" i="15"/>
  <c r="AD38" i="15"/>
  <c r="AD25" i="15"/>
  <c r="AG38" i="15"/>
  <c r="AG25" i="15"/>
  <c r="AF38" i="15"/>
  <c r="AF25" i="15"/>
  <c r="AE38" i="15"/>
  <c r="AE25" i="15"/>
  <c r="Y38" i="15"/>
  <c r="Y25" i="15"/>
  <c r="AE11" i="15"/>
  <c r="Y11" i="15"/>
  <c r="AH11" i="15"/>
  <c r="AG11" i="15"/>
  <c r="AF11" i="15"/>
  <c r="AD11" i="15"/>
  <c r="X11" i="15"/>
  <c r="AI11" i="15"/>
  <c r="AC11" i="15"/>
  <c r="AB11" i="15"/>
  <c r="AA11" i="15"/>
  <c r="Z11" i="15"/>
  <c r="AI38" i="15"/>
  <c r="AI25" i="15"/>
  <c r="AB38" i="15"/>
  <c r="AB25" i="15"/>
  <c r="X38" i="15"/>
  <c r="X25" i="15"/>
  <c r="AA25" i="15"/>
  <c r="AA38" i="15"/>
  <c r="AH38" i="15"/>
  <c r="AH25" i="15"/>
  <c r="AG39" i="13"/>
  <c r="AG26" i="13"/>
  <c r="AF39" i="13"/>
  <c r="AF26" i="13"/>
  <c r="Z39" i="13"/>
  <c r="Z26" i="13"/>
  <c r="AC39" i="13"/>
  <c r="AC26" i="13"/>
  <c r="Y39" i="13"/>
  <c r="Y26" i="13"/>
  <c r="AI39" i="13"/>
  <c r="AI26" i="13"/>
  <c r="AE39" i="13"/>
  <c r="AE26" i="13"/>
  <c r="X26" i="13"/>
  <c r="X39" i="13"/>
  <c r="AB39" i="13"/>
  <c r="AB26" i="13"/>
  <c r="AA39" i="13"/>
  <c r="AA26" i="13"/>
  <c r="AE12" i="13"/>
  <c r="Y12" i="13"/>
  <c r="X12" i="13"/>
  <c r="AH12" i="13"/>
  <c r="AB12" i="13"/>
  <c r="AF12" i="13"/>
  <c r="W11" i="13"/>
  <c r="AG12" i="13"/>
  <c r="AA12" i="13"/>
  <c r="Z12" i="13"/>
  <c r="AD12" i="13"/>
  <c r="AC12" i="13"/>
  <c r="AI12" i="13"/>
  <c r="AD39" i="13"/>
  <c r="AD26" i="13"/>
  <c r="AH39" i="13"/>
  <c r="AH26" i="13"/>
  <c r="AA39" i="12"/>
  <c r="AA26" i="12"/>
  <c r="AE39" i="12"/>
  <c r="AE26" i="12"/>
  <c r="AE12" i="12"/>
  <c r="Y12" i="12"/>
  <c r="AD12" i="12"/>
  <c r="X12" i="12"/>
  <c r="AB12" i="12"/>
  <c r="AA12" i="12"/>
  <c r="AI12" i="12"/>
  <c r="AC12" i="12"/>
  <c r="AG12" i="12"/>
  <c r="Z12" i="12"/>
  <c r="W11" i="12"/>
  <c r="AH12" i="12"/>
  <c r="AF12" i="12"/>
  <c r="AG39" i="12"/>
  <c r="AG26" i="12"/>
  <c r="Z26" i="12"/>
  <c r="Z39" i="12"/>
  <c r="AB39" i="12"/>
  <c r="AB26" i="12"/>
  <c r="AH39" i="12"/>
  <c r="AH26" i="12"/>
  <c r="AI26" i="12"/>
  <c r="AI39" i="12"/>
  <c r="AD39" i="12"/>
  <c r="AD26" i="12"/>
  <c r="AC39" i="12"/>
  <c r="AC26" i="12"/>
  <c r="AF39" i="12"/>
  <c r="AF26" i="12"/>
  <c r="Y39" i="12"/>
  <c r="Y26" i="12"/>
  <c r="X39" i="12"/>
  <c r="X26" i="12"/>
  <c r="AE41" i="11"/>
  <c r="AE28" i="11"/>
  <c r="AI41" i="11"/>
  <c r="AI28" i="11"/>
  <c r="AF41" i="11"/>
  <c r="AF28" i="11"/>
  <c r="AA41" i="11"/>
  <c r="AA28" i="11"/>
  <c r="X28" i="11"/>
  <c r="X41" i="11"/>
  <c r="AG28" i="11"/>
  <c r="AG41" i="11"/>
  <c r="AD28" i="11"/>
  <c r="AD41" i="11"/>
  <c r="Y41" i="11"/>
  <c r="Y28" i="11"/>
  <c r="AG14" i="11"/>
  <c r="AA14" i="11"/>
  <c r="AF14" i="11"/>
  <c r="Z14" i="11"/>
  <c r="W13" i="11"/>
  <c r="AB14" i="11"/>
  <c r="AE14" i="11"/>
  <c r="Y14" i="11"/>
  <c r="AD14" i="11"/>
  <c r="X14" i="11"/>
  <c r="AI14" i="11"/>
  <c r="AC14" i="11"/>
  <c r="AH14" i="11"/>
  <c r="AB41" i="11"/>
  <c r="AB28" i="11"/>
  <c r="AC41" i="11"/>
  <c r="AC28" i="11"/>
  <c r="Z41" i="11"/>
  <c r="Z28" i="11"/>
  <c r="AH41" i="11"/>
  <c r="AH28" i="11"/>
  <c r="AB41" i="10"/>
  <c r="AB28" i="10"/>
  <c r="AC41" i="10"/>
  <c r="AC28" i="10"/>
  <c r="Z41" i="10"/>
  <c r="Z28" i="10"/>
  <c r="AI41" i="10"/>
  <c r="AI28" i="10"/>
  <c r="AE41" i="10"/>
  <c r="AE28" i="10"/>
  <c r="AH41" i="10"/>
  <c r="AH28" i="10"/>
  <c r="AF41" i="10"/>
  <c r="AF28" i="10"/>
  <c r="AD41" i="10"/>
  <c r="AD28" i="10"/>
  <c r="X41" i="10"/>
  <c r="X28" i="10"/>
  <c r="Y41" i="10"/>
  <c r="Y28" i="10"/>
  <c r="AA41" i="10"/>
  <c r="AA28" i="10"/>
  <c r="AE14" i="10"/>
  <c r="Y14" i="10"/>
  <c r="AD14" i="10"/>
  <c r="X14" i="10"/>
  <c r="AH14" i="10"/>
  <c r="AI14" i="10"/>
  <c r="AC14" i="10"/>
  <c r="AG14" i="10"/>
  <c r="AA14" i="10"/>
  <c r="AF14" i="10"/>
  <c r="Z14" i="10"/>
  <c r="W13" i="10"/>
  <c r="AB14" i="10"/>
  <c r="AG41" i="10"/>
  <c r="AG28" i="10"/>
  <c r="AG30" i="8"/>
  <c r="AG43" i="8"/>
  <c r="AG16" i="8"/>
  <c r="AA16" i="8"/>
  <c r="AF16" i="8"/>
  <c r="Z16" i="8"/>
  <c r="W15" i="8"/>
  <c r="AE16" i="8"/>
  <c r="Y16" i="8"/>
  <c r="AD16" i="8"/>
  <c r="X16" i="8"/>
  <c r="AI16" i="8"/>
  <c r="AC16" i="8"/>
  <c r="AH16" i="8"/>
  <c r="AB16" i="8"/>
  <c r="AH43" i="8"/>
  <c r="AH30" i="8"/>
  <c r="AE43" i="8"/>
  <c r="AE30" i="8"/>
  <c r="Z43" i="8"/>
  <c r="Z30" i="8"/>
  <c r="AC43" i="8"/>
  <c r="AC30" i="8"/>
  <c r="Y43" i="8"/>
  <c r="Y30" i="8"/>
  <c r="AF43" i="8"/>
  <c r="AF30" i="8"/>
  <c r="AI43" i="8"/>
  <c r="AI30" i="8"/>
  <c r="AB43" i="8"/>
  <c r="AB30" i="8"/>
  <c r="AA43" i="8"/>
  <c r="AA30" i="8"/>
  <c r="X43" i="8"/>
  <c r="X30" i="8"/>
  <c r="AD43" i="8"/>
  <c r="AD30" i="8"/>
  <c r="AG16" i="7"/>
  <c r="AA16" i="7"/>
  <c r="AD16" i="7"/>
  <c r="X16" i="7"/>
  <c r="AE16" i="7"/>
  <c r="AB16" i="7"/>
  <c r="AI16" i="7"/>
  <c r="Z16" i="7"/>
  <c r="W15" i="7"/>
  <c r="AH16" i="7"/>
  <c r="Y16" i="7"/>
  <c r="AF16" i="7"/>
  <c r="AC16" i="7"/>
  <c r="AC43" i="7"/>
  <c r="AC30" i="7"/>
  <c r="AD43" i="7"/>
  <c r="AD30" i="7"/>
  <c r="X43" i="7"/>
  <c r="X30" i="7"/>
  <c r="AA43" i="7"/>
  <c r="AA30" i="7"/>
  <c r="Y30" i="7"/>
  <c r="Y43" i="7"/>
  <c r="Z43" i="7"/>
  <c r="Z30" i="7"/>
  <c r="AG43" i="7"/>
  <c r="AG30" i="7"/>
  <c r="AF43" i="7"/>
  <c r="AF30" i="7"/>
  <c r="AB43" i="7"/>
  <c r="AB30" i="7"/>
  <c r="AE30" i="7"/>
  <c r="AE43" i="7"/>
  <c r="AI43" i="7"/>
  <c r="AI30" i="7"/>
  <c r="AH43" i="7"/>
  <c r="AH30" i="7"/>
  <c r="Z45" i="6"/>
  <c r="Z32" i="6"/>
  <c r="AB45" i="6"/>
  <c r="AB32" i="6"/>
  <c r="X32" i="6"/>
  <c r="X45" i="6"/>
  <c r="AH32" i="6"/>
  <c r="AH45" i="6"/>
  <c r="AD45" i="6"/>
  <c r="AD32" i="6"/>
  <c r="AE32" i="6"/>
  <c r="AE45" i="6"/>
  <c r="AI45" i="6"/>
  <c r="AI32" i="6"/>
  <c r="AD18" i="6"/>
  <c r="X18" i="6"/>
  <c r="AF18" i="6"/>
  <c r="Z18" i="6"/>
  <c r="W17" i="6"/>
  <c r="AE18" i="6"/>
  <c r="Y18" i="6"/>
  <c r="AI18" i="6"/>
  <c r="AH18" i="6"/>
  <c r="AG18" i="6"/>
  <c r="AC18" i="6"/>
  <c r="AB18" i="6"/>
  <c r="AA18" i="6"/>
  <c r="AA32" i="6"/>
  <c r="AA45" i="6"/>
  <c r="AC45" i="6"/>
  <c r="AC32" i="6"/>
  <c r="Y45" i="6"/>
  <c r="Y32" i="6"/>
  <c r="AF45" i="6"/>
  <c r="AF32" i="6"/>
  <c r="AG45" i="6"/>
  <c r="AG32" i="6"/>
  <c r="AB45" i="4"/>
  <c r="AB32" i="4"/>
  <c r="AD45" i="4"/>
  <c r="AD32" i="4"/>
  <c r="Z32" i="4"/>
  <c r="Z45" i="4"/>
  <c r="AG45" i="4"/>
  <c r="AG32" i="4"/>
  <c r="AC45" i="4"/>
  <c r="AC32" i="4"/>
  <c r="AF32" i="4"/>
  <c r="AF45" i="4"/>
  <c r="AE32" i="4"/>
  <c r="AE45" i="4"/>
  <c r="AI18" i="4"/>
  <c r="AC18" i="4"/>
  <c r="AH18" i="4"/>
  <c r="AB18" i="4"/>
  <c r="AF18" i="4"/>
  <c r="Z18" i="4"/>
  <c r="AG18" i="4"/>
  <c r="W17" i="4"/>
  <c r="AD18" i="4"/>
  <c r="AE18" i="4"/>
  <c r="AA18" i="4"/>
  <c r="Y18" i="4"/>
  <c r="X18" i="4"/>
  <c r="AH45" i="4"/>
  <c r="AH32" i="4"/>
  <c r="AI45" i="4"/>
  <c r="AI32" i="4"/>
  <c r="AA45" i="4"/>
  <c r="AA32" i="4"/>
  <c r="X45" i="4"/>
  <c r="X32" i="4"/>
  <c r="Y32" i="4"/>
  <c r="Y45" i="4"/>
  <c r="AF21" i="2"/>
  <c r="R21" i="2" s="1"/>
  <c r="AB21" i="2"/>
  <c r="N21" i="2" s="1"/>
  <c r="AH21" i="2"/>
  <c r="T21" i="2" s="1"/>
  <c r="AC21" i="2"/>
  <c r="O21" i="2" s="1"/>
  <c r="AA21" i="2"/>
  <c r="M21" i="2" s="1"/>
  <c r="X21" i="2"/>
  <c r="J21" i="2" s="1"/>
  <c r="AG21" i="2"/>
  <c r="S21" i="2" s="1"/>
  <c r="AI21" i="2"/>
  <c r="U21" i="2" s="1"/>
  <c r="AD21" i="2"/>
  <c r="P21" i="2" s="1"/>
  <c r="Z21" i="2"/>
  <c r="L21" i="2" s="1"/>
  <c r="Y21" i="2"/>
  <c r="K21" i="2" s="1"/>
  <c r="AE20" i="2"/>
  <c r="Q20" i="2" s="1"/>
  <c r="Y20" i="2"/>
  <c r="K20" i="2" s="1"/>
  <c r="AD20" i="2"/>
  <c r="P20" i="2" s="1"/>
  <c r="X20" i="2"/>
  <c r="J20" i="2" s="1"/>
  <c r="AH20" i="2"/>
  <c r="T20" i="2" s="1"/>
  <c r="AB20" i="2"/>
  <c r="N20" i="2" s="1"/>
  <c r="Z20" i="2"/>
  <c r="L20" i="2" s="1"/>
  <c r="AI20" i="2"/>
  <c r="U20" i="2" s="1"/>
  <c r="AG20" i="2"/>
  <c r="S20" i="2" s="1"/>
  <c r="AF20" i="2"/>
  <c r="R20" i="2" s="1"/>
  <c r="AC20" i="2"/>
  <c r="O20" i="2" s="1"/>
  <c r="AA20" i="2"/>
  <c r="M20" i="2" s="1"/>
  <c r="W32" i="2"/>
  <c r="W19" i="2"/>
  <c r="W45" i="2"/>
  <c r="AV12" i="15" l="1"/>
  <c r="AV38" i="15" s="1"/>
  <c r="AN12" i="15"/>
  <c r="AN25" i="15" s="1"/>
  <c r="AN38" i="15"/>
  <c r="AE37" i="15"/>
  <c r="AE24" i="15"/>
  <c r="AS11" i="15"/>
  <c r="AL12" i="15"/>
  <c r="Z37" i="15"/>
  <c r="Z24" i="15"/>
  <c r="AN11" i="15"/>
  <c r="AD37" i="15"/>
  <c r="AD24" i="15"/>
  <c r="AR11" i="15"/>
  <c r="AQ12" i="15"/>
  <c r="Y37" i="15"/>
  <c r="Y24" i="15"/>
  <c r="AM11" i="15"/>
  <c r="AA37" i="15"/>
  <c r="AA24" i="15"/>
  <c r="AO11" i="15"/>
  <c r="AF37" i="15"/>
  <c r="AF24" i="15"/>
  <c r="AT11" i="15"/>
  <c r="AM12" i="15"/>
  <c r="AU12" i="15"/>
  <c r="AI24" i="15"/>
  <c r="AW11" i="15"/>
  <c r="AI37" i="15"/>
  <c r="AR12" i="15"/>
  <c r="AW12" i="15"/>
  <c r="AB37" i="15"/>
  <c r="AB24" i="15"/>
  <c r="AP11" i="15"/>
  <c r="AG37" i="15"/>
  <c r="AG24" i="15"/>
  <c r="AU11" i="15"/>
  <c r="AP12" i="15"/>
  <c r="AS12" i="15"/>
  <c r="X37" i="15"/>
  <c r="X24" i="15"/>
  <c r="AL11" i="15"/>
  <c r="AO21" i="15"/>
  <c r="AR21" i="15"/>
  <c r="AT21" i="15"/>
  <c r="AM21" i="15"/>
  <c r="AP21" i="15"/>
  <c r="AV21" i="15"/>
  <c r="AQ21" i="15"/>
  <c r="AL21" i="15"/>
  <c r="AW21" i="15"/>
  <c r="AN21" i="15"/>
  <c r="AS21" i="15"/>
  <c r="AU21" i="15"/>
  <c r="AU20" i="15"/>
  <c r="AS20" i="15"/>
  <c r="AQ20" i="15"/>
  <c r="AT20" i="15"/>
  <c r="AM20" i="15"/>
  <c r="AR20" i="15"/>
  <c r="AP20" i="15"/>
  <c r="AL20" i="15"/>
  <c r="AN20" i="15"/>
  <c r="AO20" i="15"/>
  <c r="AW20" i="15"/>
  <c r="AV20" i="15"/>
  <c r="AQ19" i="15"/>
  <c r="AN19" i="15"/>
  <c r="AV19" i="15"/>
  <c r="AM19" i="15"/>
  <c r="AS19" i="15"/>
  <c r="AW19" i="15"/>
  <c r="AT19" i="15"/>
  <c r="AO19" i="15"/>
  <c r="AU19" i="15"/>
  <c r="AP19" i="15"/>
  <c r="AL19" i="15"/>
  <c r="AR19" i="15"/>
  <c r="AL18" i="15"/>
  <c r="AM18" i="15"/>
  <c r="AT18" i="15"/>
  <c r="AN18" i="15"/>
  <c r="AO18" i="15"/>
  <c r="AS18" i="15"/>
  <c r="AW18" i="15"/>
  <c r="AR18" i="15"/>
  <c r="AP18" i="15"/>
  <c r="AV18" i="15"/>
  <c r="AQ18" i="15"/>
  <c r="AU18" i="15"/>
  <c r="AS17" i="15"/>
  <c r="AW17" i="15"/>
  <c r="AR17" i="15"/>
  <c r="AO17" i="15"/>
  <c r="AM17" i="15"/>
  <c r="AT17" i="15"/>
  <c r="AQ17" i="15"/>
  <c r="AL17" i="15"/>
  <c r="AU17" i="15"/>
  <c r="AP17" i="15"/>
  <c r="AV17" i="15"/>
  <c r="AN17" i="15"/>
  <c r="AP16" i="15"/>
  <c r="AN16" i="15"/>
  <c r="AS16" i="15"/>
  <c r="AO16" i="15"/>
  <c r="AW16" i="15"/>
  <c r="AU16" i="15"/>
  <c r="AR16" i="15"/>
  <c r="AT16" i="15"/>
  <c r="AV16" i="15"/>
  <c r="AL16" i="15"/>
  <c r="AM16" i="15"/>
  <c r="AQ16" i="15"/>
  <c r="AW15" i="15"/>
  <c r="AN15" i="15"/>
  <c r="AS15" i="15"/>
  <c r="AP15" i="15"/>
  <c r="AL15" i="15"/>
  <c r="AM15" i="15"/>
  <c r="AR15" i="15"/>
  <c r="AQ15" i="15"/>
  <c r="AT15" i="15"/>
  <c r="AV15" i="15"/>
  <c r="AU15" i="15"/>
  <c r="AO15" i="15"/>
  <c r="AL14" i="15"/>
  <c r="AS14" i="15"/>
  <c r="AU14" i="15"/>
  <c r="AT14" i="15"/>
  <c r="AW14" i="15"/>
  <c r="AQ14" i="15"/>
  <c r="AV14" i="15"/>
  <c r="AP14" i="15"/>
  <c r="AN14" i="15"/>
  <c r="AO14" i="15"/>
  <c r="AR14" i="15"/>
  <c r="AM14" i="15"/>
  <c r="AR13" i="15"/>
  <c r="AP13" i="15"/>
  <c r="AV13" i="15"/>
  <c r="AS13" i="15"/>
  <c r="AW13" i="15"/>
  <c r="AN13" i="15"/>
  <c r="AO13" i="15"/>
  <c r="AM13" i="15"/>
  <c r="AT13" i="15"/>
  <c r="AL13" i="15"/>
  <c r="AU13" i="15"/>
  <c r="AQ13" i="15"/>
  <c r="AO12" i="15"/>
  <c r="AC37" i="15"/>
  <c r="AC24" i="15"/>
  <c r="AQ11" i="15"/>
  <c r="AH24" i="15"/>
  <c r="AV11" i="15"/>
  <c r="AH37" i="15"/>
  <c r="AT12" i="15"/>
  <c r="Z38" i="13"/>
  <c r="Z25" i="13"/>
  <c r="AA25" i="13"/>
  <c r="AA38" i="13"/>
  <c r="AG25" i="13"/>
  <c r="AG38" i="13"/>
  <c r="Y38" i="13"/>
  <c r="Y25" i="13"/>
  <c r="AH38" i="13"/>
  <c r="AH25" i="13"/>
  <c r="X38" i="13"/>
  <c r="X25" i="13"/>
  <c r="AI38" i="13"/>
  <c r="AI25" i="13"/>
  <c r="AH11" i="13"/>
  <c r="AB11" i="13"/>
  <c r="AA11" i="13"/>
  <c r="AE11" i="13"/>
  <c r="Y11" i="13"/>
  <c r="AI11" i="13"/>
  <c r="AD11" i="13"/>
  <c r="X11" i="13"/>
  <c r="AC11" i="13"/>
  <c r="AG11" i="13"/>
  <c r="AQ12" i="13" s="1"/>
  <c r="AF11" i="13"/>
  <c r="Z11" i="13"/>
  <c r="AE38" i="13"/>
  <c r="AE25" i="13"/>
  <c r="AC38" i="13"/>
  <c r="AC25" i="13"/>
  <c r="AF38" i="13"/>
  <c r="AF25" i="13"/>
  <c r="AD38" i="13"/>
  <c r="AD25" i="13"/>
  <c r="AB38" i="13"/>
  <c r="AB25" i="13"/>
  <c r="AG38" i="12"/>
  <c r="AG25" i="12"/>
  <c r="AD25" i="12"/>
  <c r="AD38" i="12"/>
  <c r="X38" i="12"/>
  <c r="X25" i="12"/>
  <c r="AC38" i="12"/>
  <c r="AC25" i="12"/>
  <c r="Y38" i="12"/>
  <c r="Y25" i="12"/>
  <c r="AF38" i="12"/>
  <c r="AF25" i="12"/>
  <c r="AI38" i="12"/>
  <c r="AI25" i="12"/>
  <c r="AE38" i="12"/>
  <c r="AE25" i="12"/>
  <c r="Z38" i="12"/>
  <c r="Z25" i="12"/>
  <c r="AH38" i="12"/>
  <c r="AH25" i="12"/>
  <c r="AA38" i="12"/>
  <c r="AA25" i="12"/>
  <c r="AH11" i="12"/>
  <c r="AB11" i="12"/>
  <c r="AC11" i="12"/>
  <c r="AG11" i="12"/>
  <c r="AA11" i="12"/>
  <c r="AE11" i="12"/>
  <c r="AD11" i="12"/>
  <c r="AF11" i="12"/>
  <c r="Z11" i="12"/>
  <c r="Y11" i="12"/>
  <c r="AN12" i="12" s="1"/>
  <c r="X11" i="12"/>
  <c r="AI11" i="12"/>
  <c r="AB38" i="12"/>
  <c r="AB25" i="12"/>
  <c r="AD40" i="11"/>
  <c r="AD27" i="11"/>
  <c r="AF40" i="11"/>
  <c r="AF27" i="11"/>
  <c r="X27" i="11"/>
  <c r="X40" i="11"/>
  <c r="Y40" i="11"/>
  <c r="Y27" i="11"/>
  <c r="AA27" i="11"/>
  <c r="AA40" i="11"/>
  <c r="AH40" i="11"/>
  <c r="AH27" i="11"/>
  <c r="AG27" i="11"/>
  <c r="AG40" i="11"/>
  <c r="AC40" i="11"/>
  <c r="AC27" i="11"/>
  <c r="AB40" i="11"/>
  <c r="AB27" i="11"/>
  <c r="Z40" i="11"/>
  <c r="Z27" i="11"/>
  <c r="AE40" i="11"/>
  <c r="AE27" i="11"/>
  <c r="AI40" i="11"/>
  <c r="AI27" i="11"/>
  <c r="AD13" i="11"/>
  <c r="X13" i="11"/>
  <c r="AI13" i="11"/>
  <c r="AC13" i="11"/>
  <c r="AH13" i="11"/>
  <c r="AB13" i="11"/>
  <c r="AG13" i="11"/>
  <c r="AA13" i="11"/>
  <c r="AF13" i="11"/>
  <c r="Z13" i="11"/>
  <c r="W12" i="11"/>
  <c r="AE13" i="11"/>
  <c r="Y13" i="11"/>
  <c r="AF40" i="10"/>
  <c r="AF27" i="10"/>
  <c r="X40" i="10"/>
  <c r="X27" i="10"/>
  <c r="AA40" i="10"/>
  <c r="AA27" i="10"/>
  <c r="AD40" i="10"/>
  <c r="AD27" i="10"/>
  <c r="AG40" i="10"/>
  <c r="AG27" i="10"/>
  <c r="AC40" i="10"/>
  <c r="AC27" i="10"/>
  <c r="AE40" i="10"/>
  <c r="AE27" i="10"/>
  <c r="Y40" i="10"/>
  <c r="Y27" i="10"/>
  <c r="AB40" i="10"/>
  <c r="AB27" i="10"/>
  <c r="AH13" i="10"/>
  <c r="AB13" i="10"/>
  <c r="AG13" i="10"/>
  <c r="AA13" i="10"/>
  <c r="AF13" i="10"/>
  <c r="Z13" i="10"/>
  <c r="W12" i="10"/>
  <c r="AE13" i="10"/>
  <c r="AD13" i="10"/>
  <c r="X13" i="10"/>
  <c r="AI13" i="10"/>
  <c r="AC13" i="10"/>
  <c r="Y13" i="10"/>
  <c r="AI40" i="10"/>
  <c r="AI27" i="10"/>
  <c r="Z40" i="10"/>
  <c r="Z27" i="10"/>
  <c r="AH40" i="10"/>
  <c r="AH27" i="10"/>
  <c r="AD42" i="8"/>
  <c r="AD29" i="8"/>
  <c r="AA42" i="8"/>
  <c r="AA29" i="8"/>
  <c r="AB42" i="8"/>
  <c r="AB29" i="8"/>
  <c r="Y42" i="8"/>
  <c r="Y29" i="8"/>
  <c r="AG42" i="8"/>
  <c r="AG29" i="8"/>
  <c r="AH42" i="8"/>
  <c r="AH29" i="8"/>
  <c r="AE29" i="8"/>
  <c r="AE42" i="8"/>
  <c r="AC42" i="8"/>
  <c r="AC29" i="8"/>
  <c r="AD15" i="8"/>
  <c r="X15" i="8"/>
  <c r="AI15" i="8"/>
  <c r="AC15" i="8"/>
  <c r="AH15" i="8"/>
  <c r="AB15" i="8"/>
  <c r="AG15" i="8"/>
  <c r="AA15" i="8"/>
  <c r="AF15" i="8"/>
  <c r="Z15" i="8"/>
  <c r="W14" i="8"/>
  <c r="Y15" i="8"/>
  <c r="AE15" i="8"/>
  <c r="AI42" i="8"/>
  <c r="AI29" i="8"/>
  <c r="Z29" i="8"/>
  <c r="Z42" i="8"/>
  <c r="X42" i="8"/>
  <c r="X29" i="8"/>
  <c r="AF42" i="8"/>
  <c r="AF29" i="8"/>
  <c r="Y42" i="7"/>
  <c r="Y29" i="7"/>
  <c r="AE42" i="7"/>
  <c r="AE29" i="7"/>
  <c r="AF42" i="7"/>
  <c r="AF29" i="7"/>
  <c r="AH29" i="7"/>
  <c r="AH42" i="7"/>
  <c r="X42" i="7"/>
  <c r="X29" i="7"/>
  <c r="AH15" i="7"/>
  <c r="AB15" i="7"/>
  <c r="AA15" i="7"/>
  <c r="Z15" i="7"/>
  <c r="AE15" i="7"/>
  <c r="Y15" i="7"/>
  <c r="AI15" i="7"/>
  <c r="AF15" i="7"/>
  <c r="W14" i="7"/>
  <c r="AD15" i="7"/>
  <c r="X15" i="7"/>
  <c r="AC15" i="7"/>
  <c r="AG15" i="7"/>
  <c r="AD42" i="7"/>
  <c r="AD29" i="7"/>
  <c r="AB29" i="7"/>
  <c r="AB42" i="7"/>
  <c r="Z42" i="7"/>
  <c r="Z29" i="7"/>
  <c r="AA42" i="7"/>
  <c r="AA29" i="7"/>
  <c r="AC42" i="7"/>
  <c r="AC29" i="7"/>
  <c r="AI42" i="7"/>
  <c r="AI29" i="7"/>
  <c r="AG42" i="7"/>
  <c r="AG29" i="7"/>
  <c r="AF47" i="2"/>
  <c r="R47" i="2" s="1"/>
  <c r="AA31" i="6"/>
  <c r="AA44" i="6"/>
  <c r="Y44" i="6"/>
  <c r="Y31" i="6"/>
  <c r="AD31" i="6"/>
  <c r="AD44" i="6"/>
  <c r="AI44" i="6"/>
  <c r="AI31" i="6"/>
  <c r="AB44" i="6"/>
  <c r="AB31" i="6"/>
  <c r="X31" i="6"/>
  <c r="X44" i="6"/>
  <c r="AE44" i="6"/>
  <c r="AE31" i="6"/>
  <c r="AC44" i="6"/>
  <c r="AC31" i="6"/>
  <c r="AG17" i="6"/>
  <c r="AA17" i="6"/>
  <c r="AI17" i="6"/>
  <c r="AC17" i="6"/>
  <c r="AH17" i="6"/>
  <c r="AB17" i="6"/>
  <c r="Z17" i="6"/>
  <c r="X17" i="6"/>
  <c r="AD17" i="6"/>
  <c r="Y17" i="6"/>
  <c r="AF17" i="6"/>
  <c r="W16" i="6"/>
  <c r="AE17" i="6"/>
  <c r="AG44" i="6"/>
  <c r="AG31" i="6"/>
  <c r="Z44" i="6"/>
  <c r="Z31" i="6"/>
  <c r="AH44" i="6"/>
  <c r="AH31" i="6"/>
  <c r="AF44" i="6"/>
  <c r="AF31" i="6"/>
  <c r="AC31" i="4"/>
  <c r="AC44" i="4"/>
  <c r="AG44" i="4"/>
  <c r="AG31" i="4"/>
  <c r="Y44" i="4"/>
  <c r="Y31" i="4"/>
  <c r="Z44" i="4"/>
  <c r="Z31" i="4"/>
  <c r="AI31" i="4"/>
  <c r="AI44" i="4"/>
  <c r="AA44" i="4"/>
  <c r="AA31" i="4"/>
  <c r="AF44" i="4"/>
  <c r="AF31" i="4"/>
  <c r="AE44" i="4"/>
  <c r="AE31" i="4"/>
  <c r="AB31" i="4"/>
  <c r="AB44" i="4"/>
  <c r="AF17" i="4"/>
  <c r="Z17" i="4"/>
  <c r="W16" i="4"/>
  <c r="AE17" i="4"/>
  <c r="Y17" i="4"/>
  <c r="AG17" i="4"/>
  <c r="AC17" i="4"/>
  <c r="AD17" i="4"/>
  <c r="AB17" i="4"/>
  <c r="AI17" i="4"/>
  <c r="AA17" i="4"/>
  <c r="X17" i="4"/>
  <c r="AH17" i="4"/>
  <c r="X44" i="4"/>
  <c r="X31" i="4"/>
  <c r="AD44" i="4"/>
  <c r="AD31" i="4"/>
  <c r="AH31" i="4"/>
  <c r="AH44" i="4"/>
  <c r="AF34" i="2"/>
  <c r="R34" i="2" s="1"/>
  <c r="Z47" i="2"/>
  <c r="L47" i="2" s="1"/>
  <c r="AH47" i="2"/>
  <c r="T47" i="2" s="1"/>
  <c r="AG47" i="2"/>
  <c r="S47" i="2" s="1"/>
  <c r="X47" i="2"/>
  <c r="J47" i="2" s="1"/>
  <c r="AE34" i="2"/>
  <c r="Q34" i="2" s="1"/>
  <c r="AE47" i="2"/>
  <c r="Q47" i="2" s="1"/>
  <c r="Y34" i="2"/>
  <c r="K34" i="2" s="1"/>
  <c r="Y47" i="2"/>
  <c r="K47" i="2" s="1"/>
  <c r="AB34" i="2"/>
  <c r="N34" i="2" s="1"/>
  <c r="AB47" i="2"/>
  <c r="N47" i="2" s="1"/>
  <c r="AG34" i="2"/>
  <c r="S34" i="2" s="1"/>
  <c r="AC34" i="2"/>
  <c r="O34" i="2" s="1"/>
  <c r="Z34" i="2"/>
  <c r="L34" i="2" s="1"/>
  <c r="AC47" i="2"/>
  <c r="O47" i="2" s="1"/>
  <c r="AD47" i="2"/>
  <c r="P47" i="2" s="1"/>
  <c r="AD34" i="2"/>
  <c r="P34" i="2" s="1"/>
  <c r="AH34" i="2"/>
  <c r="T34" i="2" s="1"/>
  <c r="X34" i="2"/>
  <c r="J34" i="2" s="1"/>
  <c r="AI47" i="2"/>
  <c r="U47" i="2" s="1"/>
  <c r="AI34" i="2"/>
  <c r="U34" i="2" s="1"/>
  <c r="AA47" i="2"/>
  <c r="M47" i="2" s="1"/>
  <c r="AA34" i="2"/>
  <c r="M34" i="2" s="1"/>
  <c r="AD33" i="2"/>
  <c r="P33" i="2" s="1"/>
  <c r="AD46" i="2"/>
  <c r="P46" i="2" s="1"/>
  <c r="AI33" i="2"/>
  <c r="U33" i="2" s="1"/>
  <c r="AI46" i="2"/>
  <c r="U46" i="2" s="1"/>
  <c r="Y46" i="2"/>
  <c r="K46" i="2" s="1"/>
  <c r="Y33" i="2"/>
  <c r="K33" i="2" s="1"/>
  <c r="Z46" i="2"/>
  <c r="L46" i="2" s="1"/>
  <c r="Z33" i="2"/>
  <c r="L33" i="2" s="1"/>
  <c r="AE46" i="2"/>
  <c r="Q46" i="2" s="1"/>
  <c r="AE33" i="2"/>
  <c r="Q33" i="2" s="1"/>
  <c r="AG46" i="2"/>
  <c r="S46" i="2" s="1"/>
  <c r="AG33" i="2"/>
  <c r="S33" i="2" s="1"/>
  <c r="AA46" i="2"/>
  <c r="M46" i="2" s="1"/>
  <c r="AA33" i="2"/>
  <c r="M33" i="2" s="1"/>
  <c r="AB46" i="2"/>
  <c r="N46" i="2" s="1"/>
  <c r="AB33" i="2"/>
  <c r="N33" i="2" s="1"/>
  <c r="AE19" i="2"/>
  <c r="Q19" i="2" s="1"/>
  <c r="Y19" i="2"/>
  <c r="K19" i="2" s="1"/>
  <c r="AD19" i="2"/>
  <c r="P19" i="2" s="1"/>
  <c r="AH19" i="2"/>
  <c r="T19" i="2" s="1"/>
  <c r="AB19" i="2"/>
  <c r="N19" i="2" s="1"/>
  <c r="Z19" i="2"/>
  <c r="L19" i="2" s="1"/>
  <c r="AI19" i="2"/>
  <c r="U19" i="2" s="1"/>
  <c r="X19" i="2"/>
  <c r="J19" i="2" s="1"/>
  <c r="AG19" i="2"/>
  <c r="S19" i="2" s="1"/>
  <c r="AC19" i="2"/>
  <c r="O19" i="2" s="1"/>
  <c r="AF19" i="2"/>
  <c r="R19" i="2" s="1"/>
  <c r="AA19" i="2"/>
  <c r="M19" i="2" s="1"/>
  <c r="AC46" i="2"/>
  <c r="O46" i="2" s="1"/>
  <c r="AC33" i="2"/>
  <c r="O33" i="2" s="1"/>
  <c r="AH46" i="2"/>
  <c r="T46" i="2" s="1"/>
  <c r="AH33" i="2"/>
  <c r="T33" i="2" s="1"/>
  <c r="AF46" i="2"/>
  <c r="R46" i="2" s="1"/>
  <c r="AF33" i="2"/>
  <c r="R33" i="2" s="1"/>
  <c r="X46" i="2"/>
  <c r="J46" i="2" s="1"/>
  <c r="X33" i="2"/>
  <c r="J33" i="2" s="1"/>
  <c r="W18" i="2"/>
  <c r="W44" i="2"/>
  <c r="W31" i="2"/>
  <c r="AV25" i="15" l="1"/>
  <c r="AP39" i="15"/>
  <c r="AP26" i="15"/>
  <c r="AN41" i="15"/>
  <c r="AN28" i="15"/>
  <c r="AW30" i="15"/>
  <c r="AW43" i="15"/>
  <c r="AN45" i="15"/>
  <c r="AN32" i="15"/>
  <c r="AL46" i="15"/>
  <c r="AL33" i="15"/>
  <c r="AS38" i="15"/>
  <c r="AS25" i="15"/>
  <c r="AV40" i="15"/>
  <c r="AV27" i="15"/>
  <c r="AR42" i="15"/>
  <c r="AR29" i="15"/>
  <c r="AW44" i="15"/>
  <c r="AW31" i="15"/>
  <c r="AU46" i="15"/>
  <c r="AU33" i="15"/>
  <c r="AP38" i="15"/>
  <c r="AP25" i="15"/>
  <c r="AQ26" i="15"/>
  <c r="AQ39" i="15"/>
  <c r="AN39" i="15"/>
  <c r="AN26" i="15"/>
  <c r="AM40" i="15"/>
  <c r="AM27" i="15"/>
  <c r="AQ40" i="15"/>
  <c r="AQ27" i="15"/>
  <c r="AO28" i="15"/>
  <c r="AO41" i="15"/>
  <c r="AM41" i="15"/>
  <c r="AM28" i="15"/>
  <c r="AQ42" i="15"/>
  <c r="AQ29" i="15"/>
  <c r="AU29" i="15"/>
  <c r="AU42" i="15"/>
  <c r="AN43" i="15"/>
  <c r="AN30" i="15"/>
  <c r="AT43" i="15"/>
  <c r="AT30" i="15"/>
  <c r="AU31" i="15"/>
  <c r="AU44" i="15"/>
  <c r="AS44" i="15"/>
  <c r="AS31" i="15"/>
  <c r="AR32" i="15"/>
  <c r="AR45" i="15"/>
  <c r="AW32" i="15"/>
  <c r="AW45" i="15"/>
  <c r="AV46" i="15"/>
  <c r="AV33" i="15"/>
  <c r="AR46" i="15"/>
  <c r="AR33" i="15"/>
  <c r="AU47" i="15"/>
  <c r="AU34" i="15"/>
  <c r="AV47" i="15"/>
  <c r="AV34" i="15"/>
  <c r="F9" i="15"/>
  <c r="AU37" i="15"/>
  <c r="AU24" i="15"/>
  <c r="AW24" i="15"/>
  <c r="AW37" i="15"/>
  <c r="AM37" i="15"/>
  <c r="AM24" i="15"/>
  <c r="AR37" i="15"/>
  <c r="AR24" i="15"/>
  <c r="AV37" i="15"/>
  <c r="AV24" i="15"/>
  <c r="AP40" i="15"/>
  <c r="AP27" i="15"/>
  <c r="AT29" i="15"/>
  <c r="AT42" i="15"/>
  <c r="AR44" i="15"/>
  <c r="AR31" i="15"/>
  <c r="AS46" i="15"/>
  <c r="AS33" i="15"/>
  <c r="AQ38" i="15"/>
  <c r="AQ25" i="15"/>
  <c r="AO38" i="15"/>
  <c r="AO25" i="15"/>
  <c r="AR41" i="15"/>
  <c r="AR28" i="15"/>
  <c r="AP42" i="15"/>
  <c r="AP29" i="15"/>
  <c r="AL44" i="15"/>
  <c r="AL31" i="15"/>
  <c r="AP46" i="15"/>
  <c r="AP33" i="15"/>
  <c r="AP37" i="15"/>
  <c r="AP24" i="15"/>
  <c r="AQ37" i="15"/>
  <c r="AQ24" i="15"/>
  <c r="AU39" i="15"/>
  <c r="AU26" i="15"/>
  <c r="AW39" i="15"/>
  <c r="AW26" i="15"/>
  <c r="AR40" i="15"/>
  <c r="AR27" i="15"/>
  <c r="AW40" i="15"/>
  <c r="AW27" i="15"/>
  <c r="AU41" i="15"/>
  <c r="AU28" i="15"/>
  <c r="AL41" i="15"/>
  <c r="AL28" i="15"/>
  <c r="AM29" i="15"/>
  <c r="AM42" i="15"/>
  <c r="AW42" i="15"/>
  <c r="AW29" i="15"/>
  <c r="AV43" i="15"/>
  <c r="AV30" i="15"/>
  <c r="AM43" i="15"/>
  <c r="AM30" i="15"/>
  <c r="AQ44" i="15"/>
  <c r="AQ31" i="15"/>
  <c r="AO31" i="15"/>
  <c r="AO44" i="15"/>
  <c r="AL32" i="15"/>
  <c r="AL45" i="15"/>
  <c r="AS45" i="15"/>
  <c r="AS32" i="15"/>
  <c r="AW46" i="15"/>
  <c r="AW33" i="15"/>
  <c r="AM46" i="15"/>
  <c r="AM33" i="15"/>
  <c r="AS47" i="15"/>
  <c r="AS34" i="15"/>
  <c r="AP34" i="15"/>
  <c r="AP47" i="15"/>
  <c r="AL37" i="15"/>
  <c r="AL24" i="15"/>
  <c r="AL25" i="15"/>
  <c r="AL38" i="15"/>
  <c r="AS40" i="15"/>
  <c r="AS27" i="15"/>
  <c r="AN42" i="15"/>
  <c r="AN29" i="15"/>
  <c r="AM44" i="15"/>
  <c r="AM31" i="15"/>
  <c r="AR34" i="15"/>
  <c r="AR47" i="15"/>
  <c r="AO39" i="15"/>
  <c r="AO26" i="15"/>
  <c r="AL40" i="15"/>
  <c r="AL27" i="15"/>
  <c r="AQ30" i="15"/>
  <c r="AQ43" i="15"/>
  <c r="AT45" i="15"/>
  <c r="AT32" i="15"/>
  <c r="AQ34" i="15"/>
  <c r="AQ47" i="15"/>
  <c r="AT38" i="15"/>
  <c r="AT25" i="15"/>
  <c r="AL26" i="15"/>
  <c r="AL39" i="15"/>
  <c r="AS39" i="15"/>
  <c r="AS26" i="15"/>
  <c r="AO40" i="15"/>
  <c r="AO27" i="15"/>
  <c r="AT40" i="15"/>
  <c r="AT27" i="15"/>
  <c r="AV41" i="15"/>
  <c r="AV28" i="15"/>
  <c r="AP28" i="15"/>
  <c r="AP41" i="15"/>
  <c r="AL42" i="15"/>
  <c r="AL29" i="15"/>
  <c r="AO42" i="15"/>
  <c r="AO29" i="15"/>
  <c r="AP43" i="15"/>
  <c r="AP30" i="15"/>
  <c r="AO43" i="15"/>
  <c r="AO30" i="15"/>
  <c r="AV44" i="15"/>
  <c r="AV31" i="15"/>
  <c r="AN31" i="15"/>
  <c r="AN44" i="15"/>
  <c r="AP45" i="15"/>
  <c r="AP32" i="15"/>
  <c r="AM45" i="15"/>
  <c r="AM32" i="15"/>
  <c r="AO33" i="15"/>
  <c r="AO46" i="15"/>
  <c r="AT33" i="15"/>
  <c r="AT46" i="15"/>
  <c r="AN47" i="15"/>
  <c r="AN34" i="15"/>
  <c r="AM47" i="15"/>
  <c r="AM34" i="15"/>
  <c r="F22" i="15"/>
  <c r="AW38" i="15"/>
  <c r="AW25" i="15"/>
  <c r="AU38" i="15"/>
  <c r="AU25" i="15"/>
  <c r="AO37" i="15"/>
  <c r="AO24" i="15"/>
  <c r="AS37" i="15"/>
  <c r="AS24" i="15"/>
  <c r="AM39" i="15"/>
  <c r="AM26" i="15"/>
  <c r="AQ41" i="15"/>
  <c r="AQ28" i="15"/>
  <c r="AL43" i="15"/>
  <c r="AL30" i="15"/>
  <c r="AO45" i="15"/>
  <c r="AO32" i="15"/>
  <c r="AL34" i="15"/>
  <c r="AL47" i="15"/>
  <c r="AT37" i="15"/>
  <c r="AT24" i="15"/>
  <c r="AR39" i="15"/>
  <c r="AR26" i="15"/>
  <c r="AW28" i="15"/>
  <c r="AW41" i="15"/>
  <c r="AS43" i="15"/>
  <c r="AS30" i="15"/>
  <c r="AQ32" i="15"/>
  <c r="AQ45" i="15"/>
  <c r="AO34" i="15"/>
  <c r="AO47" i="15"/>
  <c r="AT39" i="15"/>
  <c r="AT26" i="15"/>
  <c r="AV26" i="15"/>
  <c r="AV39" i="15"/>
  <c r="AN27" i="15"/>
  <c r="AN40" i="15"/>
  <c r="AU40" i="15"/>
  <c r="AU27" i="15"/>
  <c r="AT41" i="15"/>
  <c r="AT28" i="15"/>
  <c r="AS41" i="15"/>
  <c r="AS28" i="15"/>
  <c r="AV42" i="15"/>
  <c r="AV29" i="15"/>
  <c r="AS42" i="15"/>
  <c r="AS29" i="15"/>
  <c r="AU43" i="15"/>
  <c r="AU30" i="15"/>
  <c r="AR30" i="15"/>
  <c r="AR43" i="15"/>
  <c r="AP44" i="15"/>
  <c r="AP31" i="15"/>
  <c r="AT31" i="15"/>
  <c r="AT44" i="15"/>
  <c r="AU32" i="15"/>
  <c r="AU45" i="15"/>
  <c r="AV32" i="15"/>
  <c r="AV45" i="15"/>
  <c r="AN33" i="15"/>
  <c r="AN46" i="15"/>
  <c r="AQ46" i="15"/>
  <c r="AQ33" i="15"/>
  <c r="AW34" i="15"/>
  <c r="AW47" i="15"/>
  <c r="AT47" i="15"/>
  <c r="AT34" i="15"/>
  <c r="F35" i="15"/>
  <c r="AR38" i="15"/>
  <c r="AR25" i="15"/>
  <c r="AM38" i="15"/>
  <c r="AM25" i="15"/>
  <c r="AN37" i="15"/>
  <c r="AN24" i="15"/>
  <c r="AR12" i="13"/>
  <c r="AR38" i="13" s="1"/>
  <c r="AQ38" i="13"/>
  <c r="AQ25" i="13"/>
  <c r="AE37" i="13"/>
  <c r="AE24" i="13"/>
  <c r="AS11" i="13"/>
  <c r="AC37" i="13"/>
  <c r="AC24" i="13"/>
  <c r="AQ11" i="13"/>
  <c r="AP12" i="13"/>
  <c r="X24" i="13"/>
  <c r="X37" i="13"/>
  <c r="AL11" i="13"/>
  <c r="AL21" i="13"/>
  <c r="AT21" i="13"/>
  <c r="AW21" i="13"/>
  <c r="AS21" i="13"/>
  <c r="AN21" i="13"/>
  <c r="AV21" i="13"/>
  <c r="AO21" i="13"/>
  <c r="AQ21" i="13"/>
  <c r="AM21" i="13"/>
  <c r="AU21" i="13"/>
  <c r="AP21" i="13"/>
  <c r="AR21" i="13"/>
  <c r="AQ20" i="13"/>
  <c r="AM20" i="13"/>
  <c r="AW20" i="13"/>
  <c r="AR20" i="13"/>
  <c r="AN20" i="13"/>
  <c r="AP20" i="13"/>
  <c r="AO20" i="13"/>
  <c r="AL20" i="13"/>
  <c r="AV20" i="13"/>
  <c r="AT20" i="13"/>
  <c r="AU20" i="13"/>
  <c r="AS20" i="13"/>
  <c r="AR19" i="13"/>
  <c r="AO19" i="13"/>
  <c r="AT19" i="13"/>
  <c r="AV19" i="13"/>
  <c r="AU19" i="13"/>
  <c r="AW19" i="13"/>
  <c r="AQ19" i="13"/>
  <c r="AN19" i="13"/>
  <c r="AL19" i="13"/>
  <c r="AM19" i="13"/>
  <c r="AS19" i="13"/>
  <c r="AP19" i="13"/>
  <c r="AM18" i="13"/>
  <c r="AP18" i="13"/>
  <c r="AL18" i="13"/>
  <c r="AW18" i="13"/>
  <c r="AR18" i="13"/>
  <c r="AV18" i="13"/>
  <c r="AS18" i="13"/>
  <c r="AU18" i="13"/>
  <c r="AN18" i="13"/>
  <c r="AT18" i="13"/>
  <c r="AO18" i="13"/>
  <c r="AQ18" i="13"/>
  <c r="AS17" i="13"/>
  <c r="AM17" i="13"/>
  <c r="AT17" i="13"/>
  <c r="AP17" i="13"/>
  <c r="AO17" i="13"/>
  <c r="AV17" i="13"/>
  <c r="AW17" i="13"/>
  <c r="AL17" i="13"/>
  <c r="AQ17" i="13"/>
  <c r="AN17" i="13"/>
  <c r="AR17" i="13"/>
  <c r="AU17" i="13"/>
  <c r="AW16" i="13"/>
  <c r="AN16" i="13"/>
  <c r="AM16" i="13"/>
  <c r="AP16" i="13"/>
  <c r="AO16" i="13"/>
  <c r="AU16" i="13"/>
  <c r="AV16" i="13"/>
  <c r="AL16" i="13"/>
  <c r="AQ16" i="13"/>
  <c r="AR16" i="13"/>
  <c r="AT16" i="13"/>
  <c r="AS16" i="13"/>
  <c r="AT15" i="13"/>
  <c r="AR15" i="13"/>
  <c r="AS15" i="13"/>
  <c r="AU15" i="13"/>
  <c r="AV15" i="13"/>
  <c r="AP15" i="13"/>
  <c r="AW15" i="13"/>
  <c r="AL15" i="13"/>
  <c r="AQ15" i="13"/>
  <c r="AO15" i="13"/>
  <c r="AM15" i="13"/>
  <c r="AN15" i="13"/>
  <c r="AP14" i="13"/>
  <c r="AU14" i="13"/>
  <c r="AS14" i="13"/>
  <c r="AR14" i="13"/>
  <c r="AM14" i="13"/>
  <c r="AL14" i="13"/>
  <c r="AN14" i="13"/>
  <c r="AV14" i="13"/>
  <c r="AW14" i="13"/>
  <c r="AO14" i="13"/>
  <c r="AT14" i="13"/>
  <c r="AQ14" i="13"/>
  <c r="AV13" i="13"/>
  <c r="AR13" i="13"/>
  <c r="AU13" i="13"/>
  <c r="AN13" i="13"/>
  <c r="AQ13" i="13"/>
  <c r="AS13" i="13"/>
  <c r="AP13" i="13"/>
  <c r="AT13" i="13"/>
  <c r="AM13" i="13"/>
  <c r="AO13" i="13"/>
  <c r="AW13" i="13"/>
  <c r="AL13" i="13"/>
  <c r="AB37" i="13"/>
  <c r="AB24" i="13"/>
  <c r="AP11" i="13"/>
  <c r="AO12" i="13"/>
  <c r="AA37" i="13"/>
  <c r="AA24" i="13"/>
  <c r="AO11" i="13"/>
  <c r="AD24" i="13"/>
  <c r="AR11" i="13"/>
  <c r="AD37" i="13"/>
  <c r="AH37" i="13"/>
  <c r="AH24" i="13"/>
  <c r="AV11" i="13"/>
  <c r="AL12" i="13"/>
  <c r="AU12" i="13"/>
  <c r="AT12" i="13"/>
  <c r="Z37" i="13"/>
  <c r="Z24" i="13"/>
  <c r="AN11" i="13"/>
  <c r="AI37" i="13"/>
  <c r="AI24" i="13"/>
  <c r="AW11" i="13"/>
  <c r="AW12" i="13"/>
  <c r="AF37" i="13"/>
  <c r="AT11" i="13"/>
  <c r="AF24" i="13"/>
  <c r="Y37" i="13"/>
  <c r="Y24" i="13"/>
  <c r="AM11" i="13"/>
  <c r="AM12" i="13"/>
  <c r="AN12" i="13"/>
  <c r="AG37" i="13"/>
  <c r="AU11" i="13"/>
  <c r="AG24" i="13"/>
  <c r="AV12" i="13"/>
  <c r="AS12" i="13"/>
  <c r="AM12" i="12"/>
  <c r="AM25" i="12" s="1"/>
  <c r="AN38" i="12"/>
  <c r="AN25" i="12"/>
  <c r="AT12" i="12"/>
  <c r="AG37" i="12"/>
  <c r="AG24" i="12"/>
  <c r="AU11" i="12"/>
  <c r="Z37" i="12"/>
  <c r="Z24" i="12"/>
  <c r="AN11" i="12"/>
  <c r="AC37" i="12"/>
  <c r="AC24" i="12"/>
  <c r="AQ11" i="12"/>
  <c r="Y37" i="12"/>
  <c r="Y24" i="12"/>
  <c r="AM11" i="12"/>
  <c r="AR12" i="12"/>
  <c r="AP12" i="12"/>
  <c r="AF37" i="12"/>
  <c r="AF24" i="12"/>
  <c r="AT11" i="12"/>
  <c r="AB37" i="12"/>
  <c r="AB24" i="12"/>
  <c r="AP11" i="12"/>
  <c r="AL12" i="12"/>
  <c r="AU12" i="12"/>
  <c r="AV12" i="12"/>
  <c r="AH37" i="12"/>
  <c r="AH24" i="12"/>
  <c r="AV11" i="12"/>
  <c r="AI37" i="12"/>
  <c r="AI24" i="12"/>
  <c r="AW11" i="12"/>
  <c r="AE37" i="12"/>
  <c r="AE24" i="12"/>
  <c r="AS11" i="12"/>
  <c r="AO12" i="12"/>
  <c r="AS12" i="12"/>
  <c r="AD37" i="12"/>
  <c r="AR11" i="12"/>
  <c r="AD24" i="12"/>
  <c r="AW12" i="12"/>
  <c r="AQ12" i="12"/>
  <c r="X37" i="12"/>
  <c r="X24" i="12"/>
  <c r="AL11" i="12"/>
  <c r="AU21" i="12"/>
  <c r="AW21" i="12"/>
  <c r="AM21" i="12"/>
  <c r="AS21" i="12"/>
  <c r="AT21" i="12"/>
  <c r="AR21" i="12"/>
  <c r="AQ21" i="12"/>
  <c r="AP21" i="12"/>
  <c r="AV21" i="12"/>
  <c r="AO21" i="12"/>
  <c r="AL21" i="12"/>
  <c r="AN21" i="12"/>
  <c r="AM20" i="12"/>
  <c r="AV20" i="12"/>
  <c r="AU20" i="12"/>
  <c r="AP20" i="12"/>
  <c r="AW20" i="12"/>
  <c r="AR20" i="12"/>
  <c r="AQ20" i="12"/>
  <c r="AO20" i="12"/>
  <c r="AS20" i="12"/>
  <c r="AN20" i="12"/>
  <c r="AL20" i="12"/>
  <c r="AT20" i="12"/>
  <c r="AP19" i="12"/>
  <c r="AV19" i="12"/>
  <c r="AU19" i="12"/>
  <c r="AT19" i="12"/>
  <c r="AW19" i="12"/>
  <c r="AQ19" i="12"/>
  <c r="AO19" i="12"/>
  <c r="AR19" i="12"/>
  <c r="AL19" i="12"/>
  <c r="AS19" i="12"/>
  <c r="AN19" i="12"/>
  <c r="AM19" i="12"/>
  <c r="AQ18" i="12"/>
  <c r="AW18" i="12"/>
  <c r="AR18" i="12"/>
  <c r="AM18" i="12"/>
  <c r="AO18" i="12"/>
  <c r="AU18" i="12"/>
  <c r="AS18" i="12"/>
  <c r="AP18" i="12"/>
  <c r="AV18" i="12"/>
  <c r="AL18" i="12"/>
  <c r="AN18" i="12"/>
  <c r="AT18" i="12"/>
  <c r="AV17" i="12"/>
  <c r="AM17" i="12"/>
  <c r="AT17" i="12"/>
  <c r="AL17" i="12"/>
  <c r="AU17" i="12"/>
  <c r="AP17" i="12"/>
  <c r="AN17" i="12"/>
  <c r="AO17" i="12"/>
  <c r="AQ17" i="12"/>
  <c r="AW17" i="12"/>
  <c r="AS17" i="12"/>
  <c r="AR17" i="12"/>
  <c r="AT16" i="12"/>
  <c r="AM16" i="12"/>
  <c r="AS16" i="12"/>
  <c r="AV16" i="12"/>
  <c r="AW16" i="12"/>
  <c r="AN16" i="12"/>
  <c r="AL16" i="12"/>
  <c r="AQ16" i="12"/>
  <c r="AO16" i="12"/>
  <c r="AR16" i="12"/>
  <c r="AP16" i="12"/>
  <c r="AU16" i="12"/>
  <c r="AN15" i="12"/>
  <c r="AM15" i="12"/>
  <c r="AL15" i="12"/>
  <c r="AT15" i="12"/>
  <c r="AV15" i="12"/>
  <c r="AQ15" i="12"/>
  <c r="AS15" i="12"/>
  <c r="AR15" i="12"/>
  <c r="AW15" i="12"/>
  <c r="AU15" i="12"/>
  <c r="AP15" i="12"/>
  <c r="AO15" i="12"/>
  <c r="AS14" i="12"/>
  <c r="AO14" i="12"/>
  <c r="AQ14" i="12"/>
  <c r="AU14" i="12"/>
  <c r="AW14" i="12"/>
  <c r="AP14" i="12"/>
  <c r="AV14" i="12"/>
  <c r="AM14" i="12"/>
  <c r="AL14" i="12"/>
  <c r="AN14" i="12"/>
  <c r="AT14" i="12"/>
  <c r="AR14" i="12"/>
  <c r="AS13" i="12"/>
  <c r="AV13" i="12"/>
  <c r="AQ13" i="12"/>
  <c r="AL13" i="12"/>
  <c r="AP13" i="12"/>
  <c r="AR13" i="12"/>
  <c r="AT13" i="12"/>
  <c r="AM13" i="12"/>
  <c r="AO13" i="12"/>
  <c r="AN13" i="12"/>
  <c r="AW13" i="12"/>
  <c r="AU13" i="12"/>
  <c r="AA37" i="12"/>
  <c r="AO11" i="12"/>
  <c r="AA24" i="12"/>
  <c r="AB39" i="11"/>
  <c r="AB26" i="11"/>
  <c r="AE39" i="11"/>
  <c r="AE26" i="11"/>
  <c r="AG12" i="11"/>
  <c r="AA12" i="11"/>
  <c r="AF12" i="11"/>
  <c r="Z12" i="11"/>
  <c r="W11" i="11"/>
  <c r="AE12" i="11"/>
  <c r="Y12" i="11"/>
  <c r="AD12" i="11"/>
  <c r="X12" i="11"/>
  <c r="AI12" i="11"/>
  <c r="AC12" i="11"/>
  <c r="AH12" i="11"/>
  <c r="AB12" i="11"/>
  <c r="AH39" i="11"/>
  <c r="AH26" i="11"/>
  <c r="AI39" i="11"/>
  <c r="AI26" i="11"/>
  <c r="Z39" i="11"/>
  <c r="Z26" i="11"/>
  <c r="AC39" i="11"/>
  <c r="AC26" i="11"/>
  <c r="AA39" i="11"/>
  <c r="AA26" i="11"/>
  <c r="X26" i="11"/>
  <c r="X39" i="11"/>
  <c r="AF39" i="11"/>
  <c r="AF26" i="11"/>
  <c r="Y39" i="11"/>
  <c r="Y26" i="11"/>
  <c r="AG39" i="11"/>
  <c r="AG26" i="11"/>
  <c r="AD26" i="11"/>
  <c r="AD39" i="11"/>
  <c r="AC39" i="10"/>
  <c r="AC26" i="10"/>
  <c r="Z39" i="10"/>
  <c r="Z26" i="10"/>
  <c r="AI39" i="10"/>
  <c r="AI26" i="10"/>
  <c r="AF39" i="10"/>
  <c r="AF26" i="10"/>
  <c r="AD39" i="10"/>
  <c r="AD26" i="10"/>
  <c r="AG26" i="10"/>
  <c r="AG39" i="10"/>
  <c r="X39" i="10"/>
  <c r="X26" i="10"/>
  <c r="AE39" i="10"/>
  <c r="AE26" i="10"/>
  <c r="AB39" i="10"/>
  <c r="AB26" i="10"/>
  <c r="AA39" i="10"/>
  <c r="AA26" i="10"/>
  <c r="Y39" i="10"/>
  <c r="Y26" i="10"/>
  <c r="AE12" i="10"/>
  <c r="Y12" i="10"/>
  <c r="AD12" i="10"/>
  <c r="X12" i="10"/>
  <c r="AH12" i="10"/>
  <c r="AI12" i="10"/>
  <c r="AC12" i="10"/>
  <c r="AG12" i="10"/>
  <c r="AA12" i="10"/>
  <c r="AB12" i="10"/>
  <c r="AF12" i="10"/>
  <c r="Z12" i="10"/>
  <c r="W11" i="10"/>
  <c r="AH39" i="10"/>
  <c r="AH26" i="10"/>
  <c r="AC41" i="8"/>
  <c r="AC28" i="8"/>
  <c r="AF41" i="8"/>
  <c r="AF28" i="8"/>
  <c r="AI41" i="8"/>
  <c r="AI28" i="8"/>
  <c r="Z41" i="8"/>
  <c r="Z28" i="8"/>
  <c r="AA41" i="8"/>
  <c r="AA28" i="8"/>
  <c r="X41" i="8"/>
  <c r="X28" i="8"/>
  <c r="AE41" i="8"/>
  <c r="AE28" i="8"/>
  <c r="AG41" i="8"/>
  <c r="AG28" i="8"/>
  <c r="AD41" i="8"/>
  <c r="AD28" i="8"/>
  <c r="Y41" i="8"/>
  <c r="Y28" i="8"/>
  <c r="AB41" i="8"/>
  <c r="AB28" i="8"/>
  <c r="AG14" i="8"/>
  <c r="AA14" i="8"/>
  <c r="AF14" i="8"/>
  <c r="Z14" i="8"/>
  <c r="W13" i="8"/>
  <c r="AE14" i="8"/>
  <c r="Y14" i="8"/>
  <c r="AD14" i="8"/>
  <c r="X14" i="8"/>
  <c r="AI14" i="8"/>
  <c r="AC14" i="8"/>
  <c r="AB14" i="8"/>
  <c r="AH14" i="8"/>
  <c r="AH41" i="8"/>
  <c r="AH28" i="8"/>
  <c r="AD41" i="7"/>
  <c r="AD28" i="7"/>
  <c r="Z41" i="7"/>
  <c r="Z28" i="7"/>
  <c r="AE14" i="7"/>
  <c r="Y14" i="7"/>
  <c r="AD14" i="7"/>
  <c r="AC14" i="7"/>
  <c r="AH14" i="7"/>
  <c r="AB14" i="7"/>
  <c r="AF14" i="7"/>
  <c r="W13" i="7"/>
  <c r="AI14" i="7"/>
  <c r="AG14" i="7"/>
  <c r="AA14" i="7"/>
  <c r="Z14" i="7"/>
  <c r="X14" i="7"/>
  <c r="AA41" i="7"/>
  <c r="AA28" i="7"/>
  <c r="AF41" i="7"/>
  <c r="AF28" i="7"/>
  <c r="AB41" i="7"/>
  <c r="AB28" i="7"/>
  <c r="AG41" i="7"/>
  <c r="AG28" i="7"/>
  <c r="AH41" i="7"/>
  <c r="AH28" i="7"/>
  <c r="AC41" i="7"/>
  <c r="AC28" i="7"/>
  <c r="Y28" i="7"/>
  <c r="Y41" i="7"/>
  <c r="AI41" i="7"/>
  <c r="AI28" i="7"/>
  <c r="X41" i="7"/>
  <c r="X28" i="7"/>
  <c r="AE28" i="7"/>
  <c r="AE41" i="7"/>
  <c r="AC43" i="6"/>
  <c r="AC30" i="6"/>
  <c r="AI43" i="6"/>
  <c r="AI30" i="6"/>
  <c r="AA43" i="6"/>
  <c r="AA30" i="6"/>
  <c r="Z43" i="6"/>
  <c r="Z30" i="6"/>
  <c r="AG43" i="6"/>
  <c r="AG30" i="6"/>
  <c r="AD43" i="6"/>
  <c r="AD30" i="6"/>
  <c r="X43" i="6"/>
  <c r="X30" i="6"/>
  <c r="AE43" i="6"/>
  <c r="AE30" i="6"/>
  <c r="AD16" i="6"/>
  <c r="X16" i="6"/>
  <c r="AF16" i="6"/>
  <c r="Z16" i="6"/>
  <c r="W15" i="6"/>
  <c r="AE16" i="6"/>
  <c r="Y16" i="6"/>
  <c r="AC16" i="6"/>
  <c r="AH16" i="6"/>
  <c r="AG16" i="6"/>
  <c r="AB16" i="6"/>
  <c r="AA16" i="6"/>
  <c r="AI16" i="6"/>
  <c r="AB30" i="6"/>
  <c r="AB43" i="6"/>
  <c r="Y30" i="6"/>
  <c r="Y43" i="6"/>
  <c r="AF43" i="6"/>
  <c r="AF30" i="6"/>
  <c r="AH43" i="6"/>
  <c r="AH30" i="6"/>
  <c r="Y30" i="4"/>
  <c r="Y43" i="4"/>
  <c r="AI43" i="4"/>
  <c r="AI30" i="4"/>
  <c r="AE30" i="4"/>
  <c r="AE43" i="4"/>
  <c r="AA43" i="4"/>
  <c r="AA30" i="4"/>
  <c r="AB43" i="4"/>
  <c r="AB30" i="4"/>
  <c r="AI16" i="4"/>
  <c r="AC16" i="4"/>
  <c r="AH16" i="4"/>
  <c r="AB16" i="4"/>
  <c r="Z16" i="4"/>
  <c r="W15" i="4"/>
  <c r="AF16" i="4"/>
  <c r="X16" i="4"/>
  <c r="AG16" i="4"/>
  <c r="Y16" i="4"/>
  <c r="AE16" i="4"/>
  <c r="AD16" i="4"/>
  <c r="AA16" i="4"/>
  <c r="X43" i="4"/>
  <c r="X30" i="4"/>
  <c r="AD43" i="4"/>
  <c r="AD30" i="4"/>
  <c r="Z30" i="4"/>
  <c r="Z43" i="4"/>
  <c r="AG43" i="4"/>
  <c r="AG30" i="4"/>
  <c r="AH43" i="4"/>
  <c r="AH30" i="4"/>
  <c r="AC43" i="4"/>
  <c r="AC30" i="4"/>
  <c r="AF30" i="4"/>
  <c r="AF43" i="4"/>
  <c r="AE18" i="2"/>
  <c r="Q18" i="2" s="1"/>
  <c r="Y18" i="2"/>
  <c r="K18" i="2" s="1"/>
  <c r="AD18" i="2"/>
  <c r="P18" i="2" s="1"/>
  <c r="X18" i="2"/>
  <c r="J18" i="2" s="1"/>
  <c r="AG18" i="2"/>
  <c r="S18" i="2" s="1"/>
  <c r="AI18" i="2"/>
  <c r="U18" i="2" s="1"/>
  <c r="AC18" i="2"/>
  <c r="O18" i="2" s="1"/>
  <c r="AA18" i="2"/>
  <c r="M18" i="2" s="1"/>
  <c r="AH18" i="2"/>
  <c r="T18" i="2" s="1"/>
  <c r="AB18" i="2"/>
  <c r="N18" i="2" s="1"/>
  <c r="Z18" i="2"/>
  <c r="L18" i="2" s="1"/>
  <c r="AF18" i="2"/>
  <c r="R18" i="2" s="1"/>
  <c r="AA45" i="2"/>
  <c r="M45" i="2" s="1"/>
  <c r="AA32" i="2"/>
  <c r="M32" i="2" s="1"/>
  <c r="AF45" i="2"/>
  <c r="R45" i="2" s="1"/>
  <c r="AF32" i="2"/>
  <c r="R32" i="2" s="1"/>
  <c r="AB45" i="2"/>
  <c r="N45" i="2" s="1"/>
  <c r="AB32" i="2"/>
  <c r="N32" i="2" s="1"/>
  <c r="AI45" i="2"/>
  <c r="U45" i="2" s="1"/>
  <c r="AI32" i="2"/>
  <c r="U32" i="2" s="1"/>
  <c r="Z45" i="2"/>
  <c r="L45" i="2" s="1"/>
  <c r="Z32" i="2"/>
  <c r="L32" i="2" s="1"/>
  <c r="AC32" i="2"/>
  <c r="O32" i="2" s="1"/>
  <c r="AC45" i="2"/>
  <c r="O45" i="2" s="1"/>
  <c r="AH45" i="2"/>
  <c r="T45" i="2" s="1"/>
  <c r="AH32" i="2"/>
  <c r="T32" i="2" s="1"/>
  <c r="AG45" i="2"/>
  <c r="S45" i="2" s="1"/>
  <c r="AG32" i="2"/>
  <c r="S32" i="2" s="1"/>
  <c r="AD32" i="2"/>
  <c r="P32" i="2" s="1"/>
  <c r="AD45" i="2"/>
  <c r="P45" i="2" s="1"/>
  <c r="X45" i="2"/>
  <c r="J45" i="2" s="1"/>
  <c r="X32" i="2"/>
  <c r="J32" i="2" s="1"/>
  <c r="Y45" i="2"/>
  <c r="K45" i="2" s="1"/>
  <c r="Y32" i="2"/>
  <c r="K32" i="2" s="1"/>
  <c r="AE45" i="2"/>
  <c r="Q45" i="2" s="1"/>
  <c r="AE32" i="2"/>
  <c r="Q32" i="2" s="1"/>
  <c r="W30" i="2"/>
  <c r="W43" i="2"/>
  <c r="W17" i="2"/>
  <c r="AR25" i="13" l="1"/>
  <c r="AQ26" i="13"/>
  <c r="AQ39" i="13"/>
  <c r="AO42" i="13"/>
  <c r="AO29" i="13"/>
  <c r="AM38" i="13"/>
  <c r="AM25" i="13"/>
  <c r="AT38" i="13"/>
  <c r="AT25" i="13"/>
  <c r="AT39" i="13"/>
  <c r="AT26" i="13"/>
  <c r="AM37" i="13"/>
  <c r="AM24" i="13"/>
  <c r="AT37" i="13"/>
  <c r="AT24" i="13"/>
  <c r="AU38" i="13"/>
  <c r="AU25" i="13"/>
  <c r="AP39" i="13"/>
  <c r="AP26" i="13"/>
  <c r="AV39" i="13"/>
  <c r="AV26" i="13"/>
  <c r="AN27" i="13"/>
  <c r="AN40" i="13"/>
  <c r="AP40" i="13"/>
  <c r="AP27" i="13"/>
  <c r="AW41" i="13"/>
  <c r="AW28" i="13"/>
  <c r="AT41" i="13"/>
  <c r="AT28" i="13"/>
  <c r="AV42" i="13"/>
  <c r="AV29" i="13"/>
  <c r="AW29" i="13"/>
  <c r="AW42" i="13"/>
  <c r="AW30" i="13"/>
  <c r="AW43" i="13"/>
  <c r="AS43" i="13"/>
  <c r="AS30" i="13"/>
  <c r="AS44" i="13"/>
  <c r="AS31" i="13"/>
  <c r="AM44" i="13"/>
  <c r="AM31" i="13"/>
  <c r="AQ32" i="13"/>
  <c r="AQ45" i="13"/>
  <c r="AR45" i="13"/>
  <c r="AR32" i="13"/>
  <c r="AO46" i="13"/>
  <c r="AO33" i="13"/>
  <c r="AQ33" i="13"/>
  <c r="AQ46" i="13"/>
  <c r="AO47" i="13"/>
  <c r="AO34" i="13"/>
  <c r="AL47" i="13"/>
  <c r="AL34" i="13"/>
  <c r="AQ24" i="13"/>
  <c r="AQ37" i="13"/>
  <c r="AW38" i="13"/>
  <c r="AW25" i="13"/>
  <c r="AW26" i="13"/>
  <c r="AW39" i="13"/>
  <c r="AR43" i="13"/>
  <c r="AR30" i="13"/>
  <c r="AO37" i="13"/>
  <c r="AO24" i="13"/>
  <c r="AV40" i="13"/>
  <c r="AV27" i="13"/>
  <c r="AN37" i="13"/>
  <c r="AN24" i="13"/>
  <c r="AL38" i="13"/>
  <c r="AL25" i="13"/>
  <c r="AL39" i="13"/>
  <c r="AL26" i="13"/>
  <c r="AS39" i="13"/>
  <c r="AS26" i="13"/>
  <c r="AQ40" i="13"/>
  <c r="AQ27" i="13"/>
  <c r="AL40" i="13"/>
  <c r="AL27" i="13"/>
  <c r="AN41" i="13"/>
  <c r="AN28" i="13"/>
  <c r="AP41" i="13"/>
  <c r="AP28" i="13"/>
  <c r="AS42" i="13"/>
  <c r="AS29" i="13"/>
  <c r="AU42" i="13"/>
  <c r="AU29" i="13"/>
  <c r="AU43" i="13"/>
  <c r="AU30" i="13"/>
  <c r="AV43" i="13"/>
  <c r="AV30" i="13"/>
  <c r="AQ31" i="13"/>
  <c r="AQ44" i="13"/>
  <c r="AV44" i="13"/>
  <c r="AV31" i="13"/>
  <c r="AP45" i="13"/>
  <c r="AP32" i="13"/>
  <c r="AW32" i="13"/>
  <c r="AW45" i="13"/>
  <c r="AS46" i="13"/>
  <c r="AS33" i="13"/>
  <c r="AP46" i="13"/>
  <c r="AP33" i="13"/>
  <c r="AR47" i="13"/>
  <c r="AR34" i="13"/>
  <c r="AV47" i="13"/>
  <c r="AV34" i="13"/>
  <c r="F9" i="13"/>
  <c r="AT27" i="13"/>
  <c r="AT40" i="13"/>
  <c r="AV41" i="13"/>
  <c r="AV28" i="13"/>
  <c r="AO43" i="13"/>
  <c r="AO30" i="13"/>
  <c r="AR44" i="13"/>
  <c r="AR31" i="13"/>
  <c r="AU45" i="13"/>
  <c r="AU32" i="13"/>
  <c r="AP47" i="13"/>
  <c r="AP34" i="13"/>
  <c r="AN34" i="13"/>
  <c r="AN47" i="13"/>
  <c r="AW24" i="13"/>
  <c r="AW37" i="13"/>
  <c r="AV37" i="13"/>
  <c r="AV24" i="13"/>
  <c r="AO39" i="13"/>
  <c r="AO26" i="13"/>
  <c r="AN39" i="13"/>
  <c r="AN26" i="13"/>
  <c r="AO40" i="13"/>
  <c r="AO27" i="13"/>
  <c r="AR40" i="13"/>
  <c r="AR27" i="13"/>
  <c r="AO41" i="13"/>
  <c r="AO28" i="13"/>
  <c r="AU41" i="13"/>
  <c r="AU28" i="13"/>
  <c r="AR42" i="13"/>
  <c r="AR29" i="13"/>
  <c r="AP42" i="13"/>
  <c r="AP29" i="13"/>
  <c r="AN43" i="13"/>
  <c r="AN30" i="13"/>
  <c r="AP43" i="13"/>
  <c r="AP30" i="13"/>
  <c r="AT31" i="13"/>
  <c r="AT44" i="13"/>
  <c r="AW44" i="13"/>
  <c r="AW31" i="13"/>
  <c r="AM45" i="13"/>
  <c r="AM32" i="13"/>
  <c r="AV45" i="13"/>
  <c r="AV32" i="13"/>
  <c r="AT33" i="13"/>
  <c r="AT46" i="13"/>
  <c r="AR46" i="13"/>
  <c r="AR33" i="13"/>
  <c r="AU47" i="13"/>
  <c r="AU34" i="13"/>
  <c r="AS47" i="13"/>
  <c r="AS34" i="13"/>
  <c r="F35" i="13"/>
  <c r="AU37" i="13"/>
  <c r="AU24" i="13"/>
  <c r="AR37" i="13"/>
  <c r="AR24" i="13"/>
  <c r="AM40" i="13"/>
  <c r="AM27" i="13"/>
  <c r="AT29" i="13"/>
  <c r="AT42" i="13"/>
  <c r="AO44" i="13"/>
  <c r="AO31" i="13"/>
  <c r="AS45" i="13"/>
  <c r="AS32" i="13"/>
  <c r="AU46" i="13"/>
  <c r="AU33" i="13"/>
  <c r="AN33" i="13"/>
  <c r="AN46" i="13"/>
  <c r="AL37" i="13"/>
  <c r="AL24" i="13"/>
  <c r="AS38" i="13"/>
  <c r="AS25" i="13"/>
  <c r="AN25" i="13"/>
  <c r="AN38" i="13"/>
  <c r="AP37" i="13"/>
  <c r="AP24" i="13"/>
  <c r="AM39" i="13"/>
  <c r="AM26" i="13"/>
  <c r="AU39" i="13"/>
  <c r="AU26" i="13"/>
  <c r="AW40" i="13"/>
  <c r="AW27" i="13"/>
  <c r="AS40" i="13"/>
  <c r="AS27" i="13"/>
  <c r="AQ41" i="13"/>
  <c r="AQ28" i="13"/>
  <c r="AS41" i="13"/>
  <c r="AS28" i="13"/>
  <c r="AQ42" i="13"/>
  <c r="AQ29" i="13"/>
  <c r="AM42" i="13"/>
  <c r="AM29" i="13"/>
  <c r="AQ30" i="13"/>
  <c r="AQ43" i="13"/>
  <c r="AT30" i="13"/>
  <c r="AT43" i="13"/>
  <c r="AN31" i="13"/>
  <c r="AN44" i="13"/>
  <c r="AL44" i="13"/>
  <c r="AL31" i="13"/>
  <c r="AL45" i="13"/>
  <c r="AL32" i="13"/>
  <c r="AT45" i="13"/>
  <c r="AT32" i="13"/>
  <c r="AV46" i="13"/>
  <c r="AV33" i="13"/>
  <c r="AW33" i="13"/>
  <c r="AW46" i="13"/>
  <c r="AM47" i="13"/>
  <c r="AM34" i="13"/>
  <c r="AW34" i="13"/>
  <c r="AW47" i="13"/>
  <c r="F22" i="13"/>
  <c r="AS37" i="13"/>
  <c r="AS24" i="13"/>
  <c r="AO38" i="13"/>
  <c r="AO25" i="13"/>
  <c r="AM41" i="13"/>
  <c r="AM28" i="13"/>
  <c r="AV38" i="13"/>
  <c r="AV25" i="13"/>
  <c r="AR39" i="13"/>
  <c r="AR26" i="13"/>
  <c r="AU40" i="13"/>
  <c r="AU27" i="13"/>
  <c r="AL41" i="13"/>
  <c r="AL28" i="13"/>
  <c r="AR41" i="13"/>
  <c r="AR28" i="13"/>
  <c r="AL42" i="13"/>
  <c r="AL29" i="13"/>
  <c r="AN29" i="13"/>
  <c r="AN42" i="13"/>
  <c r="AL43" i="13"/>
  <c r="AL30" i="13"/>
  <c r="AM43" i="13"/>
  <c r="AM30" i="13"/>
  <c r="AU44" i="13"/>
  <c r="AU31" i="13"/>
  <c r="AP44" i="13"/>
  <c r="AP31" i="13"/>
  <c r="AN32" i="13"/>
  <c r="AN45" i="13"/>
  <c r="AO45" i="13"/>
  <c r="AO32" i="13"/>
  <c r="AL46" i="13"/>
  <c r="AL33" i="13"/>
  <c r="AM46" i="13"/>
  <c r="AM33" i="13"/>
  <c r="AQ34" i="13"/>
  <c r="AQ47" i="13"/>
  <c r="AT34" i="13"/>
  <c r="AT47" i="13"/>
  <c r="AP38" i="13"/>
  <c r="AP25" i="13"/>
  <c r="AM38" i="12"/>
  <c r="AR28" i="12"/>
  <c r="AR41" i="12"/>
  <c r="AP44" i="12"/>
  <c r="AP31" i="12"/>
  <c r="AV45" i="12"/>
  <c r="AV32" i="12"/>
  <c r="AW47" i="12"/>
  <c r="AW34" i="12"/>
  <c r="AQ38" i="12"/>
  <c r="AQ25" i="12"/>
  <c r="AS38" i="12"/>
  <c r="AS25" i="12"/>
  <c r="AW37" i="12"/>
  <c r="AW24" i="12"/>
  <c r="AN37" i="12"/>
  <c r="AN24" i="12"/>
  <c r="AO37" i="12"/>
  <c r="AO24" i="12"/>
  <c r="AM41" i="12"/>
  <c r="AM28" i="12"/>
  <c r="AW44" i="12"/>
  <c r="AW31" i="12"/>
  <c r="AS39" i="12"/>
  <c r="AS26" i="12"/>
  <c r="AS40" i="12"/>
  <c r="AS27" i="12"/>
  <c r="AS41" i="12"/>
  <c r="AS28" i="12"/>
  <c r="AN41" i="12"/>
  <c r="AN28" i="12"/>
  <c r="AL42" i="12"/>
  <c r="AL29" i="12"/>
  <c r="AT42" i="12"/>
  <c r="AT29" i="12"/>
  <c r="AN43" i="12"/>
  <c r="AN30" i="12"/>
  <c r="AV43" i="12"/>
  <c r="AV30" i="12"/>
  <c r="AS44" i="12"/>
  <c r="AS31" i="12"/>
  <c r="AQ31" i="12"/>
  <c r="AQ44" i="12"/>
  <c r="AO45" i="12"/>
  <c r="AO32" i="12"/>
  <c r="AP45" i="12"/>
  <c r="AP32" i="12"/>
  <c r="AQ33" i="12"/>
  <c r="AQ46" i="12"/>
  <c r="AM46" i="12"/>
  <c r="AM33" i="12"/>
  <c r="AQ47" i="12"/>
  <c r="AQ34" i="12"/>
  <c r="AU34" i="12"/>
  <c r="AU47" i="12"/>
  <c r="AW38" i="12"/>
  <c r="AW25" i="12"/>
  <c r="AO38" i="12"/>
  <c r="AO25" i="12"/>
  <c r="AP38" i="12"/>
  <c r="AP25" i="12"/>
  <c r="AQ37" i="12"/>
  <c r="AQ24" i="12"/>
  <c r="AT38" i="12"/>
  <c r="AT25" i="12"/>
  <c r="AM39" i="12"/>
  <c r="AM26" i="12"/>
  <c r="AQ42" i="12"/>
  <c r="AQ29" i="12"/>
  <c r="AR45" i="12"/>
  <c r="AR32" i="12"/>
  <c r="AT26" i="12"/>
  <c r="AT39" i="12"/>
  <c r="AV40" i="12"/>
  <c r="AV27" i="12"/>
  <c r="AU39" i="12"/>
  <c r="AU26" i="12"/>
  <c r="AR39" i="12"/>
  <c r="AR26" i="12"/>
  <c r="AR40" i="12"/>
  <c r="AR27" i="12"/>
  <c r="AP27" i="12"/>
  <c r="AP40" i="12"/>
  <c r="AO41" i="12"/>
  <c r="AO28" i="12"/>
  <c r="AQ41" i="12"/>
  <c r="AQ28" i="12"/>
  <c r="AU42" i="12"/>
  <c r="AU29" i="12"/>
  <c r="AN42" i="12"/>
  <c r="AN29" i="12"/>
  <c r="AR43" i="12"/>
  <c r="AR30" i="12"/>
  <c r="AP43" i="12"/>
  <c r="AP30" i="12"/>
  <c r="AT44" i="12"/>
  <c r="AT31" i="12"/>
  <c r="AU44" i="12"/>
  <c r="AU31" i="12"/>
  <c r="AM45" i="12"/>
  <c r="AM32" i="12"/>
  <c r="AQ45" i="12"/>
  <c r="AQ32" i="12"/>
  <c r="AT46" i="12"/>
  <c r="AT33" i="12"/>
  <c r="AR33" i="12"/>
  <c r="AR46" i="12"/>
  <c r="AN34" i="12"/>
  <c r="AN47" i="12"/>
  <c r="AR47" i="12"/>
  <c r="AR34" i="12"/>
  <c r="F9" i="12"/>
  <c r="AS37" i="12"/>
  <c r="AS24" i="12"/>
  <c r="AV38" i="12"/>
  <c r="AV25" i="12"/>
  <c r="AR38" i="12"/>
  <c r="AR25" i="12"/>
  <c r="AM40" i="12"/>
  <c r="AM27" i="12"/>
  <c r="AO43" i="12"/>
  <c r="AO30" i="12"/>
  <c r="AO46" i="12"/>
  <c r="AO33" i="12"/>
  <c r="AP39" i="12"/>
  <c r="AP26" i="12"/>
  <c r="AT40" i="12"/>
  <c r="AT27" i="12"/>
  <c r="AW40" i="12"/>
  <c r="AW27" i="12"/>
  <c r="AP41" i="12"/>
  <c r="AP28" i="12"/>
  <c r="AV41" i="12"/>
  <c r="AV28" i="12"/>
  <c r="AP42" i="12"/>
  <c r="AP29" i="12"/>
  <c r="AW42" i="12"/>
  <c r="AW29" i="12"/>
  <c r="AS43" i="12"/>
  <c r="AS30" i="12"/>
  <c r="AU43" i="12"/>
  <c r="AU30" i="12"/>
  <c r="AN44" i="12"/>
  <c r="AN31" i="12"/>
  <c r="AO31" i="12"/>
  <c r="AO44" i="12"/>
  <c r="AN45" i="12"/>
  <c r="AN32" i="12"/>
  <c r="AW45" i="12"/>
  <c r="AW32" i="12"/>
  <c r="AL33" i="12"/>
  <c r="AL46" i="12"/>
  <c r="AW46" i="12"/>
  <c r="AW33" i="12"/>
  <c r="AL47" i="12"/>
  <c r="AL34" i="12"/>
  <c r="AT47" i="12"/>
  <c r="AT34" i="12"/>
  <c r="AL37" i="12"/>
  <c r="AL24" i="12"/>
  <c r="AR24" i="12"/>
  <c r="AR37" i="12"/>
  <c r="AU38" i="12"/>
  <c r="AU25" i="12"/>
  <c r="AV39" i="12"/>
  <c r="AV26" i="12"/>
  <c r="AM42" i="12"/>
  <c r="AM29" i="12"/>
  <c r="AV33" i="12"/>
  <c r="AV46" i="12"/>
  <c r="AN39" i="12"/>
  <c r="AN26" i="12"/>
  <c r="AN40" i="12"/>
  <c r="AN27" i="12"/>
  <c r="AU40" i="12"/>
  <c r="AU27" i="12"/>
  <c r="AU41" i="12"/>
  <c r="AU28" i="12"/>
  <c r="AT41" i="12"/>
  <c r="AT28" i="12"/>
  <c r="AR42" i="12"/>
  <c r="AR29" i="12"/>
  <c r="AV42" i="12"/>
  <c r="AV29" i="12"/>
  <c r="AW43" i="12"/>
  <c r="AW30" i="12"/>
  <c r="AL43" i="12"/>
  <c r="AL30" i="12"/>
  <c r="AL44" i="12"/>
  <c r="AL31" i="12"/>
  <c r="AM44" i="12"/>
  <c r="AM31" i="12"/>
  <c r="AS45" i="12"/>
  <c r="AS32" i="12"/>
  <c r="AT45" i="12"/>
  <c r="AT32" i="12"/>
  <c r="AN46" i="12"/>
  <c r="AN33" i="12"/>
  <c r="AP33" i="12"/>
  <c r="AP46" i="12"/>
  <c r="AO34" i="12"/>
  <c r="AO47" i="12"/>
  <c r="AS34" i="12"/>
  <c r="AS47" i="12"/>
  <c r="F22" i="12"/>
  <c r="AV37" i="12"/>
  <c r="AV24" i="12"/>
  <c r="AL38" i="12"/>
  <c r="AL25" i="12"/>
  <c r="AT24" i="12"/>
  <c r="AT37" i="12"/>
  <c r="AM37" i="12"/>
  <c r="AM24" i="12"/>
  <c r="AU37" i="12"/>
  <c r="AU24" i="12"/>
  <c r="AO40" i="12"/>
  <c r="AO27" i="12"/>
  <c r="AM43" i="12"/>
  <c r="AM30" i="12"/>
  <c r="AP47" i="12"/>
  <c r="AP34" i="12"/>
  <c r="AW39" i="12"/>
  <c r="AW26" i="12"/>
  <c r="AL39" i="12"/>
  <c r="AL26" i="12"/>
  <c r="AO39" i="12"/>
  <c r="AO26" i="12"/>
  <c r="AQ39" i="12"/>
  <c r="AQ26" i="12"/>
  <c r="AL40" i="12"/>
  <c r="AL27" i="12"/>
  <c r="AQ40" i="12"/>
  <c r="AQ27" i="12"/>
  <c r="AW41" i="12"/>
  <c r="AW28" i="12"/>
  <c r="AL41" i="12"/>
  <c r="AL28" i="12"/>
  <c r="AO29" i="12"/>
  <c r="AO42" i="12"/>
  <c r="AS42" i="12"/>
  <c r="AS29" i="12"/>
  <c r="AQ43" i="12"/>
  <c r="AQ30" i="12"/>
  <c r="AT30" i="12"/>
  <c r="AT43" i="12"/>
  <c r="AV31" i="12"/>
  <c r="AV44" i="12"/>
  <c r="AR44" i="12"/>
  <c r="AR31" i="12"/>
  <c r="AL45" i="12"/>
  <c r="AL32" i="12"/>
  <c r="AU45" i="12"/>
  <c r="AU32" i="12"/>
  <c r="AS46" i="12"/>
  <c r="AS33" i="12"/>
  <c r="AU46" i="12"/>
  <c r="AU33" i="12"/>
  <c r="AV47" i="12"/>
  <c r="AV34" i="12"/>
  <c r="AM34" i="12"/>
  <c r="AM47" i="12"/>
  <c r="F35" i="12"/>
  <c r="AP37" i="12"/>
  <c r="AP24" i="12"/>
  <c r="AI38" i="11"/>
  <c r="AI25" i="11"/>
  <c r="Z38" i="11"/>
  <c r="Z25" i="11"/>
  <c r="X38" i="11"/>
  <c r="X25" i="11"/>
  <c r="AF38" i="11"/>
  <c r="AF25" i="11"/>
  <c r="AA38" i="11"/>
  <c r="AA25" i="11"/>
  <c r="AB38" i="11"/>
  <c r="AB25" i="11"/>
  <c r="Y38" i="11"/>
  <c r="Y25" i="11"/>
  <c r="AG38" i="11"/>
  <c r="AG25" i="11"/>
  <c r="AD38" i="11"/>
  <c r="AD25" i="11"/>
  <c r="AH38" i="11"/>
  <c r="AH25" i="11"/>
  <c r="AE38" i="11"/>
  <c r="AE25" i="11"/>
  <c r="AC38" i="11"/>
  <c r="AC25" i="11"/>
  <c r="AD11" i="11"/>
  <c r="X11" i="11"/>
  <c r="AI11" i="11"/>
  <c r="AC11" i="11"/>
  <c r="AH11" i="11"/>
  <c r="AB11" i="11"/>
  <c r="AG11" i="11"/>
  <c r="AA11" i="11"/>
  <c r="AF11" i="11"/>
  <c r="Z11" i="11"/>
  <c r="AE11" i="11"/>
  <c r="Y11" i="11"/>
  <c r="Y38" i="10"/>
  <c r="Y25" i="10"/>
  <c r="AB38" i="10"/>
  <c r="AB25" i="10"/>
  <c r="X38" i="10"/>
  <c r="X25" i="10"/>
  <c r="AA38" i="10"/>
  <c r="AA25" i="10"/>
  <c r="AD38" i="10"/>
  <c r="AD25" i="10"/>
  <c r="AH11" i="10"/>
  <c r="AB11" i="10"/>
  <c r="AN12" i="10" s="1"/>
  <c r="AG11" i="10"/>
  <c r="AA11" i="10"/>
  <c r="AF11" i="10"/>
  <c r="Z11" i="10"/>
  <c r="AE11" i="10"/>
  <c r="AD11" i="10"/>
  <c r="X11" i="10"/>
  <c r="AI11" i="10"/>
  <c r="AC11" i="10"/>
  <c r="Y11" i="10"/>
  <c r="AC38" i="10"/>
  <c r="AC25" i="10"/>
  <c r="AE38" i="10"/>
  <c r="AE25" i="10"/>
  <c r="Z38" i="10"/>
  <c r="Z25" i="10"/>
  <c r="AI38" i="10"/>
  <c r="AI25" i="10"/>
  <c r="AG38" i="10"/>
  <c r="AG25" i="10"/>
  <c r="AF38" i="10"/>
  <c r="AF25" i="10"/>
  <c r="AH38" i="10"/>
  <c r="AH25" i="10"/>
  <c r="AA40" i="8"/>
  <c r="AA27" i="8"/>
  <c r="AI40" i="8"/>
  <c r="AI27" i="8"/>
  <c r="Z40" i="8"/>
  <c r="Z27" i="8"/>
  <c r="X40" i="8"/>
  <c r="X27" i="8"/>
  <c r="AF27" i="8"/>
  <c r="AF40" i="8"/>
  <c r="AD40" i="8"/>
  <c r="AD27" i="8"/>
  <c r="AH40" i="8"/>
  <c r="AH27" i="8"/>
  <c r="AG40" i="8"/>
  <c r="AG27" i="8"/>
  <c r="Y40" i="8"/>
  <c r="Y27" i="8"/>
  <c r="AE40" i="8"/>
  <c r="AE27" i="8"/>
  <c r="AB40" i="8"/>
  <c r="AB27" i="8"/>
  <c r="AC40" i="8"/>
  <c r="AC27" i="8"/>
  <c r="AD13" i="8"/>
  <c r="X13" i="8"/>
  <c r="AI13" i="8"/>
  <c r="AC13" i="8"/>
  <c r="AH13" i="8"/>
  <c r="AB13" i="8"/>
  <c r="AG13" i="8"/>
  <c r="AA13" i="8"/>
  <c r="AF13" i="8"/>
  <c r="Z13" i="8"/>
  <c r="W12" i="8"/>
  <c r="AE13" i="8"/>
  <c r="Y13" i="8"/>
  <c r="AC40" i="7"/>
  <c r="AC27" i="7"/>
  <c r="AI40" i="7"/>
  <c r="AI27" i="7"/>
  <c r="AD40" i="7"/>
  <c r="AD27" i="7"/>
  <c r="AG40" i="7"/>
  <c r="AG27" i="7"/>
  <c r="AH13" i="7"/>
  <c r="AB13" i="7"/>
  <c r="AF13" i="7"/>
  <c r="W12" i="7"/>
  <c r="AE13" i="7"/>
  <c r="Y13" i="7"/>
  <c r="AI13" i="7"/>
  <c r="AA13" i="7"/>
  <c r="Z13" i="7"/>
  <c r="AD13" i="7"/>
  <c r="X13" i="7"/>
  <c r="AC13" i="7"/>
  <c r="AG13" i="7"/>
  <c r="Y40" i="7"/>
  <c r="Y27" i="7"/>
  <c r="X40" i="7"/>
  <c r="X27" i="7"/>
  <c r="AF40" i="7"/>
  <c r="AF27" i="7"/>
  <c r="AE40" i="7"/>
  <c r="AE27" i="7"/>
  <c r="Z40" i="7"/>
  <c r="Z27" i="7"/>
  <c r="AB27" i="7"/>
  <c r="AB40" i="7"/>
  <c r="AA40" i="7"/>
  <c r="AA27" i="7"/>
  <c r="AH27" i="7"/>
  <c r="AH40" i="7"/>
  <c r="AF42" i="6"/>
  <c r="AF29" i="6"/>
  <c r="AC42" i="6"/>
  <c r="AC29" i="6"/>
  <c r="X29" i="6"/>
  <c r="X42" i="6"/>
  <c r="AG29" i="6"/>
  <c r="AG42" i="6"/>
  <c r="AI42" i="6"/>
  <c r="AI29" i="6"/>
  <c r="AD42" i="6"/>
  <c r="AD29" i="6"/>
  <c r="Z42" i="6"/>
  <c r="Z29" i="6"/>
  <c r="AH42" i="6"/>
  <c r="AH29" i="6"/>
  <c r="Y29" i="6"/>
  <c r="Y42" i="6"/>
  <c r="AA42" i="6"/>
  <c r="AA29" i="6"/>
  <c r="AE42" i="6"/>
  <c r="AE29" i="6"/>
  <c r="AB42" i="6"/>
  <c r="AB29" i="6"/>
  <c r="AG15" i="6"/>
  <c r="AA15" i="6"/>
  <c r="AI15" i="6"/>
  <c r="AC15" i="6"/>
  <c r="AH15" i="6"/>
  <c r="AB15" i="6"/>
  <c r="AF15" i="6"/>
  <c r="W14" i="6"/>
  <c r="Y15" i="6"/>
  <c r="X15" i="6"/>
  <c r="AE15" i="6"/>
  <c r="AD15" i="6"/>
  <c r="Z15" i="6"/>
  <c r="AH29" i="4"/>
  <c r="AH42" i="4"/>
  <c r="X42" i="4"/>
  <c r="X29" i="4"/>
  <c r="AC29" i="4"/>
  <c r="AC42" i="4"/>
  <c r="Y42" i="4"/>
  <c r="Y29" i="4"/>
  <c r="AG42" i="4"/>
  <c r="AG29" i="4"/>
  <c r="AF42" i="4"/>
  <c r="AF29" i="4"/>
  <c r="AI29" i="4"/>
  <c r="AI42" i="4"/>
  <c r="AA42" i="4"/>
  <c r="AA29" i="4"/>
  <c r="AD42" i="4"/>
  <c r="AD29" i="4"/>
  <c r="AI15" i="4"/>
  <c r="AC15" i="4"/>
  <c r="AG15" i="4"/>
  <c r="AA15" i="4"/>
  <c r="AH15" i="4"/>
  <c r="AB15" i="4"/>
  <c r="AF15" i="4"/>
  <c r="Z15" i="4"/>
  <c r="W14" i="4"/>
  <c r="AE15" i="4"/>
  <c r="Y15" i="4"/>
  <c r="AD15" i="4"/>
  <c r="X15" i="4"/>
  <c r="AB29" i="4"/>
  <c r="AB42" i="4"/>
  <c r="AE42" i="4"/>
  <c r="AE29" i="4"/>
  <c r="Z42" i="4"/>
  <c r="Z29" i="4"/>
  <c r="AF44" i="2"/>
  <c r="R44" i="2" s="1"/>
  <c r="AF31" i="2"/>
  <c r="R31" i="2" s="1"/>
  <c r="AG44" i="2"/>
  <c r="S44" i="2" s="1"/>
  <c r="AG31" i="2"/>
  <c r="S31" i="2" s="1"/>
  <c r="AB44" i="2"/>
  <c r="N44" i="2" s="1"/>
  <c r="AB31" i="2"/>
  <c r="N31" i="2" s="1"/>
  <c r="X44" i="2"/>
  <c r="J44" i="2" s="1"/>
  <c r="X31" i="2"/>
  <c r="J31" i="2" s="1"/>
  <c r="AI31" i="2"/>
  <c r="U31" i="2" s="1"/>
  <c r="AI44" i="2"/>
  <c r="U44" i="2" s="1"/>
  <c r="AH44" i="2"/>
  <c r="T44" i="2" s="1"/>
  <c r="AH31" i="2"/>
  <c r="T31" i="2" s="1"/>
  <c r="AD31" i="2"/>
  <c r="P31" i="2" s="1"/>
  <c r="AD44" i="2"/>
  <c r="P44" i="2" s="1"/>
  <c r="Z44" i="2"/>
  <c r="L44" i="2" s="1"/>
  <c r="Z31" i="2"/>
  <c r="L31" i="2" s="1"/>
  <c r="AE17" i="2"/>
  <c r="Q17" i="2" s="1"/>
  <c r="Y17" i="2"/>
  <c r="K17" i="2" s="1"/>
  <c r="AD17" i="2"/>
  <c r="P17" i="2" s="1"/>
  <c r="X17" i="2"/>
  <c r="J17" i="2" s="1"/>
  <c r="AA17" i="2"/>
  <c r="M17" i="2" s="1"/>
  <c r="AI17" i="2"/>
  <c r="U17" i="2" s="1"/>
  <c r="AC17" i="2"/>
  <c r="O17" i="2" s="1"/>
  <c r="AH17" i="2"/>
  <c r="T17" i="2" s="1"/>
  <c r="AB17" i="2"/>
  <c r="N17" i="2" s="1"/>
  <c r="AG17" i="2"/>
  <c r="S17" i="2" s="1"/>
  <c r="AF17" i="2"/>
  <c r="R17" i="2" s="1"/>
  <c r="Z17" i="2"/>
  <c r="L17" i="2" s="1"/>
  <c r="AA44" i="2"/>
  <c r="M44" i="2" s="1"/>
  <c r="AA31" i="2"/>
  <c r="M31" i="2" s="1"/>
  <c r="Y44" i="2"/>
  <c r="K44" i="2" s="1"/>
  <c r="Y31" i="2"/>
  <c r="K31" i="2" s="1"/>
  <c r="AC44" i="2"/>
  <c r="O44" i="2" s="1"/>
  <c r="AC31" i="2"/>
  <c r="O31" i="2" s="1"/>
  <c r="AE44" i="2"/>
  <c r="Q44" i="2" s="1"/>
  <c r="AE31" i="2"/>
  <c r="Q31" i="2" s="1"/>
  <c r="W42" i="2"/>
  <c r="W16" i="2"/>
  <c r="W29" i="2"/>
  <c r="AW12" i="11" l="1"/>
  <c r="AW38" i="11" s="1"/>
  <c r="AW25" i="11"/>
  <c r="AB37" i="11"/>
  <c r="AB24" i="11"/>
  <c r="AP11" i="11"/>
  <c r="AP12" i="11"/>
  <c r="AE37" i="11"/>
  <c r="AE24" i="11"/>
  <c r="AS11" i="11"/>
  <c r="AH37" i="11"/>
  <c r="AH24" i="11"/>
  <c r="AV11" i="11"/>
  <c r="AQ12" i="11"/>
  <c r="AR12" i="11"/>
  <c r="AL12" i="11"/>
  <c r="Y37" i="11"/>
  <c r="Y24" i="11"/>
  <c r="AM11" i="11"/>
  <c r="Z37" i="11"/>
  <c r="Z24" i="11"/>
  <c r="AN11" i="11"/>
  <c r="AC37" i="11"/>
  <c r="AC24" i="11"/>
  <c r="AQ11" i="11"/>
  <c r="AV12" i="11"/>
  <c r="AF37" i="11"/>
  <c r="AF24" i="11"/>
  <c r="AT11" i="11"/>
  <c r="AI37" i="11"/>
  <c r="AW11" i="11"/>
  <c r="AI24" i="11"/>
  <c r="AM12" i="11"/>
  <c r="AA37" i="11"/>
  <c r="AA24" i="11"/>
  <c r="AO11" i="11"/>
  <c r="X37" i="11"/>
  <c r="X24" i="11"/>
  <c r="AL11" i="11"/>
  <c r="AP21" i="11"/>
  <c r="AS21" i="11"/>
  <c r="AN21" i="11"/>
  <c r="AL21" i="11"/>
  <c r="AT21" i="11"/>
  <c r="AW21" i="11"/>
  <c r="AQ21" i="11"/>
  <c r="AO21" i="11"/>
  <c r="AU21" i="11"/>
  <c r="AR21" i="11"/>
  <c r="AV21" i="11"/>
  <c r="AM21" i="11"/>
  <c r="AP20" i="11"/>
  <c r="AL20" i="11"/>
  <c r="AU20" i="11"/>
  <c r="AN20" i="11"/>
  <c r="AM20" i="11"/>
  <c r="AR20" i="11"/>
  <c r="AQ20" i="11"/>
  <c r="AT20" i="11"/>
  <c r="AS20" i="11"/>
  <c r="AW20" i="11"/>
  <c r="AO20" i="11"/>
  <c r="AV20" i="11"/>
  <c r="AS19" i="11"/>
  <c r="AV19" i="11"/>
  <c r="AR19" i="11"/>
  <c r="AU19" i="11"/>
  <c r="AM19" i="11"/>
  <c r="AO19" i="11"/>
  <c r="AQ19" i="11"/>
  <c r="AW19" i="11"/>
  <c r="AP19" i="11"/>
  <c r="AN19" i="11"/>
  <c r="AL19" i="11"/>
  <c r="AT19" i="11"/>
  <c r="AT18" i="11"/>
  <c r="AQ18" i="11"/>
  <c r="AN18" i="11"/>
  <c r="AR18" i="11"/>
  <c r="AU18" i="11"/>
  <c r="AP18" i="11"/>
  <c r="AM18" i="11"/>
  <c r="AS18" i="11"/>
  <c r="AV18" i="11"/>
  <c r="AW18" i="11"/>
  <c r="AO18" i="11"/>
  <c r="AL18" i="11"/>
  <c r="AR17" i="11"/>
  <c r="AV17" i="11"/>
  <c r="AQ17" i="11"/>
  <c r="AU17" i="11"/>
  <c r="AL17" i="11"/>
  <c r="AT17" i="11"/>
  <c r="AP17" i="11"/>
  <c r="AM17" i="11"/>
  <c r="AS17" i="11"/>
  <c r="AN17" i="11"/>
  <c r="AW17" i="11"/>
  <c r="AO17" i="11"/>
  <c r="AM16" i="11"/>
  <c r="AQ16" i="11"/>
  <c r="AV16" i="11"/>
  <c r="AR16" i="11"/>
  <c r="AL16" i="11"/>
  <c r="AW16" i="11"/>
  <c r="AO16" i="11"/>
  <c r="AT16" i="11"/>
  <c r="AU16" i="11"/>
  <c r="AN16" i="11"/>
  <c r="AP16" i="11"/>
  <c r="AS16" i="11"/>
  <c r="AW15" i="11"/>
  <c r="AO15" i="11"/>
  <c r="AN15" i="11"/>
  <c r="AL15" i="11"/>
  <c r="AM15" i="11"/>
  <c r="AR15" i="11"/>
  <c r="AV15" i="11"/>
  <c r="AS15" i="11"/>
  <c r="AQ15" i="11"/>
  <c r="AU15" i="11"/>
  <c r="AT15" i="11"/>
  <c r="AP15" i="11"/>
  <c r="AT14" i="11"/>
  <c r="AS14" i="11"/>
  <c r="AM14" i="11"/>
  <c r="AU14" i="11"/>
  <c r="AO14" i="11"/>
  <c r="AQ14" i="11"/>
  <c r="AR14" i="11"/>
  <c r="AN14" i="11"/>
  <c r="AL14" i="11"/>
  <c r="AW14" i="11"/>
  <c r="AV14" i="11"/>
  <c r="AP14" i="11"/>
  <c r="AU13" i="11"/>
  <c r="AR13" i="11"/>
  <c r="AW13" i="11"/>
  <c r="AO13" i="11"/>
  <c r="AS13" i="11"/>
  <c r="AN13" i="11"/>
  <c r="AP13" i="11"/>
  <c r="AL13" i="11"/>
  <c r="AT13" i="11"/>
  <c r="AM13" i="11"/>
  <c r="AV13" i="11"/>
  <c r="AQ13" i="11"/>
  <c r="AU12" i="11"/>
  <c r="AO12" i="11"/>
  <c r="AT12" i="11"/>
  <c r="AG37" i="11"/>
  <c r="AG24" i="11"/>
  <c r="AU11" i="11"/>
  <c r="AD37" i="11"/>
  <c r="AD24" i="11"/>
  <c r="AR11" i="11"/>
  <c r="AS12" i="11"/>
  <c r="AN12" i="11"/>
  <c r="AN38" i="10"/>
  <c r="AN25" i="10"/>
  <c r="AI37" i="10"/>
  <c r="AI24" i="10"/>
  <c r="AW11" i="10"/>
  <c r="AA37" i="10"/>
  <c r="AA24" i="10"/>
  <c r="AO11" i="10"/>
  <c r="AS12" i="10"/>
  <c r="AW12" i="10"/>
  <c r="AV12" i="10"/>
  <c r="AQ12" i="10"/>
  <c r="X37" i="10"/>
  <c r="X24" i="10"/>
  <c r="AL11" i="10"/>
  <c r="AL21" i="10"/>
  <c r="AR21" i="10"/>
  <c r="AM21" i="10"/>
  <c r="AU21" i="10"/>
  <c r="AN21" i="10"/>
  <c r="AT21" i="10"/>
  <c r="AS21" i="10"/>
  <c r="AV21" i="10"/>
  <c r="AP21" i="10"/>
  <c r="AQ21" i="10"/>
  <c r="AW21" i="10"/>
  <c r="AO21" i="10"/>
  <c r="AO20" i="10"/>
  <c r="AU20" i="10"/>
  <c r="AQ20" i="10"/>
  <c r="AL20" i="10"/>
  <c r="AW20" i="10"/>
  <c r="AS20" i="10"/>
  <c r="AV20" i="10"/>
  <c r="AP20" i="10"/>
  <c r="AM20" i="10"/>
  <c r="AN20" i="10"/>
  <c r="AT20" i="10"/>
  <c r="AR20" i="10"/>
  <c r="AU19" i="10"/>
  <c r="AN19" i="10"/>
  <c r="AL19" i="10"/>
  <c r="AR19" i="10"/>
  <c r="AO19" i="10"/>
  <c r="AS19" i="10"/>
  <c r="AT19" i="10"/>
  <c r="AQ19" i="10"/>
  <c r="AP19" i="10"/>
  <c r="AV19" i="10"/>
  <c r="AM19" i="10"/>
  <c r="AW19" i="10"/>
  <c r="AT18" i="10"/>
  <c r="AQ18" i="10"/>
  <c r="AU18" i="10"/>
  <c r="AR18" i="10"/>
  <c r="AO18" i="10"/>
  <c r="AL18" i="10"/>
  <c r="AM18" i="10"/>
  <c r="AP18" i="10"/>
  <c r="AN18" i="10"/>
  <c r="AW18" i="10"/>
  <c r="AS18" i="10"/>
  <c r="AV18" i="10"/>
  <c r="AS17" i="10"/>
  <c r="AR17" i="10"/>
  <c r="AM17" i="10"/>
  <c r="AT17" i="10"/>
  <c r="AQ17" i="10"/>
  <c r="AP17" i="10"/>
  <c r="AU17" i="10"/>
  <c r="AV17" i="10"/>
  <c r="AL17" i="10"/>
  <c r="AW17" i="10"/>
  <c r="AO17" i="10"/>
  <c r="AN17" i="10"/>
  <c r="AV16" i="10"/>
  <c r="AM16" i="10"/>
  <c r="AN16" i="10"/>
  <c r="AO16" i="10"/>
  <c r="AS16" i="10"/>
  <c r="AL16" i="10"/>
  <c r="AP16" i="10"/>
  <c r="AU16" i="10"/>
  <c r="AW16" i="10"/>
  <c r="AR16" i="10"/>
  <c r="AQ16" i="10"/>
  <c r="AT16" i="10"/>
  <c r="AQ15" i="10"/>
  <c r="AR15" i="10"/>
  <c r="AO15" i="10"/>
  <c r="AU15" i="10"/>
  <c r="AP15" i="10"/>
  <c r="AM15" i="10"/>
  <c r="AW15" i="10"/>
  <c r="AT15" i="10"/>
  <c r="AN15" i="10"/>
  <c r="AV15" i="10"/>
  <c r="AL15" i="10"/>
  <c r="AS15" i="10"/>
  <c r="AL14" i="10"/>
  <c r="AU14" i="10"/>
  <c r="AN14" i="10"/>
  <c r="AM14" i="10"/>
  <c r="AT14" i="10"/>
  <c r="AS14" i="10"/>
  <c r="AR14" i="10"/>
  <c r="AW14" i="10"/>
  <c r="AO14" i="10"/>
  <c r="AQ14" i="10"/>
  <c r="AP14" i="10"/>
  <c r="AV14" i="10"/>
  <c r="AR13" i="10"/>
  <c r="AM13" i="10"/>
  <c r="AV13" i="10"/>
  <c r="AT13" i="10"/>
  <c r="AL13" i="10"/>
  <c r="AO13" i="10"/>
  <c r="AQ13" i="10"/>
  <c r="AU13" i="10"/>
  <c r="AN13" i="10"/>
  <c r="AW13" i="10"/>
  <c r="AS13" i="10"/>
  <c r="AP13" i="10"/>
  <c r="AG37" i="10"/>
  <c r="AG24" i="10"/>
  <c r="AU11" i="10"/>
  <c r="AL12" i="10"/>
  <c r="AD37" i="10"/>
  <c r="AD24" i="10"/>
  <c r="AR11" i="10"/>
  <c r="AU12" i="10"/>
  <c r="AE37" i="10"/>
  <c r="AE24" i="10"/>
  <c r="AS11" i="10"/>
  <c r="AH37" i="10"/>
  <c r="AH24" i="10"/>
  <c r="AV11" i="10"/>
  <c r="AM12" i="10"/>
  <c r="AT12" i="10"/>
  <c r="Y37" i="10"/>
  <c r="Y24" i="10"/>
  <c r="AM11" i="10"/>
  <c r="Z37" i="10"/>
  <c r="Z24" i="10"/>
  <c r="AN11" i="10"/>
  <c r="AB37" i="10"/>
  <c r="AB24" i="10"/>
  <c r="AP11" i="10"/>
  <c r="AO12" i="10"/>
  <c r="AC37" i="10"/>
  <c r="AC24" i="10"/>
  <c r="AQ11" i="10"/>
  <c r="AT11" i="10"/>
  <c r="AF37" i="10"/>
  <c r="AF24" i="10"/>
  <c r="AR12" i="10"/>
  <c r="AP12" i="10"/>
  <c r="Z39" i="8"/>
  <c r="Z26" i="8"/>
  <c r="AB39" i="8"/>
  <c r="AB26" i="8"/>
  <c r="AE39" i="8"/>
  <c r="AE26" i="8"/>
  <c r="AG12" i="8"/>
  <c r="AA12" i="8"/>
  <c r="AF12" i="8"/>
  <c r="Z12" i="8"/>
  <c r="W11" i="8"/>
  <c r="AE12" i="8"/>
  <c r="Y12" i="8"/>
  <c r="AD12" i="8"/>
  <c r="X12" i="8"/>
  <c r="AI12" i="8"/>
  <c r="AC12" i="8"/>
  <c r="AH12" i="8"/>
  <c r="AB12" i="8"/>
  <c r="AH39" i="8"/>
  <c r="AH26" i="8"/>
  <c r="AF39" i="8"/>
  <c r="AF26" i="8"/>
  <c r="AI26" i="8"/>
  <c r="AI39" i="8"/>
  <c r="AC39" i="8"/>
  <c r="AC26" i="8"/>
  <c r="AA39" i="8"/>
  <c r="AA26" i="8"/>
  <c r="X39" i="8"/>
  <c r="X26" i="8"/>
  <c r="Y39" i="8"/>
  <c r="Y26" i="8"/>
  <c r="AG39" i="8"/>
  <c r="AG26" i="8"/>
  <c r="AD39" i="8"/>
  <c r="AD26" i="8"/>
  <c r="AG39" i="7"/>
  <c r="AG26" i="7"/>
  <c r="AI39" i="7"/>
  <c r="AI26" i="7"/>
  <c r="AH39" i="7"/>
  <c r="AH26" i="7"/>
  <c r="AB39" i="7"/>
  <c r="AB26" i="7"/>
  <c r="AC39" i="7"/>
  <c r="AC26" i="7"/>
  <c r="Y26" i="7"/>
  <c r="Y39" i="7"/>
  <c r="X39" i="7"/>
  <c r="X26" i="7"/>
  <c r="AE26" i="7"/>
  <c r="AE39" i="7"/>
  <c r="AD39" i="7"/>
  <c r="AD26" i="7"/>
  <c r="AE12" i="7"/>
  <c r="Y12" i="7"/>
  <c r="X12" i="7"/>
  <c r="AI12" i="7"/>
  <c r="AH12" i="7"/>
  <c r="AB12" i="7"/>
  <c r="AF12" i="7"/>
  <c r="AD12" i="7"/>
  <c r="AC12" i="7"/>
  <c r="AG12" i="7"/>
  <c r="AA12" i="7"/>
  <c r="Z12" i="7"/>
  <c r="W11" i="7"/>
  <c r="AA39" i="7"/>
  <c r="AA26" i="7"/>
  <c r="Z39" i="7"/>
  <c r="Z26" i="7"/>
  <c r="AF39" i="7"/>
  <c r="AF26" i="7"/>
  <c r="AC41" i="6"/>
  <c r="AC28" i="6"/>
  <c r="Y41" i="6"/>
  <c r="Y28" i="6"/>
  <c r="AD41" i="6"/>
  <c r="AD28" i="6"/>
  <c r="AB28" i="6"/>
  <c r="AB41" i="6"/>
  <c r="X41" i="6"/>
  <c r="X28" i="6"/>
  <c r="AE28" i="6"/>
  <c r="AE41" i="6"/>
  <c r="AH41" i="6"/>
  <c r="AH28" i="6"/>
  <c r="AI41" i="6"/>
  <c r="AI28" i="6"/>
  <c r="AD14" i="6"/>
  <c r="X14" i="6"/>
  <c r="AF14" i="6"/>
  <c r="Z14" i="6"/>
  <c r="W13" i="6"/>
  <c r="AE14" i="6"/>
  <c r="Y14" i="6"/>
  <c r="AI14" i="6"/>
  <c r="AH14" i="6"/>
  <c r="AG14" i="6"/>
  <c r="AA14" i="6"/>
  <c r="AC14" i="6"/>
  <c r="AB14" i="6"/>
  <c r="AA41" i="6"/>
  <c r="AA28" i="6"/>
  <c r="Z41" i="6"/>
  <c r="Z28" i="6"/>
  <c r="AF41" i="6"/>
  <c r="AF28" i="6"/>
  <c r="AG41" i="6"/>
  <c r="AG28" i="6"/>
  <c r="AB41" i="4"/>
  <c r="AB28" i="4"/>
  <c r="Y28" i="4"/>
  <c r="Y41" i="4"/>
  <c r="AH41" i="4"/>
  <c r="AH28" i="4"/>
  <c r="AD41" i="4"/>
  <c r="AD28" i="4"/>
  <c r="AE28" i="4"/>
  <c r="AE41" i="4"/>
  <c r="AA41" i="4"/>
  <c r="AA28" i="4"/>
  <c r="AF14" i="4"/>
  <c r="Z14" i="4"/>
  <c r="W13" i="4"/>
  <c r="AD14" i="4"/>
  <c r="AE14" i="4"/>
  <c r="Y14" i="4"/>
  <c r="X14" i="4"/>
  <c r="AI14" i="4"/>
  <c r="AC14" i="4"/>
  <c r="AH14" i="4"/>
  <c r="AB14" i="4"/>
  <c r="AG14" i="4"/>
  <c r="AA14" i="4"/>
  <c r="AG41" i="4"/>
  <c r="AG28" i="4"/>
  <c r="Z28" i="4"/>
  <c r="Z41" i="4"/>
  <c r="AC41" i="4"/>
  <c r="AC28" i="4"/>
  <c r="X41" i="4"/>
  <c r="X28" i="4"/>
  <c r="AF28" i="4"/>
  <c r="AF41" i="4"/>
  <c r="AI41" i="4"/>
  <c r="AI28" i="4"/>
  <c r="Z43" i="2"/>
  <c r="L43" i="2" s="1"/>
  <c r="Z30" i="2"/>
  <c r="L30" i="2" s="1"/>
  <c r="AF43" i="2"/>
  <c r="R43" i="2" s="1"/>
  <c r="AF30" i="2"/>
  <c r="R30" i="2" s="1"/>
  <c r="AA43" i="2"/>
  <c r="M43" i="2" s="1"/>
  <c r="AA30" i="2"/>
  <c r="M30" i="2" s="1"/>
  <c r="AG43" i="2"/>
  <c r="S43" i="2" s="1"/>
  <c r="AG30" i="2"/>
  <c r="S30" i="2" s="1"/>
  <c r="X43" i="2"/>
  <c r="J43" i="2" s="1"/>
  <c r="X30" i="2"/>
  <c r="J30" i="2" s="1"/>
  <c r="AE43" i="2"/>
  <c r="Q43" i="2" s="1"/>
  <c r="AE30" i="2"/>
  <c r="Q30" i="2" s="1"/>
  <c r="AB43" i="2"/>
  <c r="N43" i="2" s="1"/>
  <c r="AB30" i="2"/>
  <c r="N30" i="2" s="1"/>
  <c r="AD30" i="2"/>
  <c r="P30" i="2" s="1"/>
  <c r="AD43" i="2"/>
  <c r="P43" i="2" s="1"/>
  <c r="AI43" i="2"/>
  <c r="U43" i="2" s="1"/>
  <c r="AI30" i="2"/>
  <c r="U30" i="2" s="1"/>
  <c r="AE16" i="2"/>
  <c r="Q16" i="2" s="1"/>
  <c r="Y16" i="2"/>
  <c r="K16" i="2" s="1"/>
  <c r="AD16" i="2"/>
  <c r="P16" i="2" s="1"/>
  <c r="X16" i="2"/>
  <c r="J16" i="2" s="1"/>
  <c r="AI16" i="2"/>
  <c r="U16" i="2" s="1"/>
  <c r="AC16" i="2"/>
  <c r="O16" i="2" s="1"/>
  <c r="AG16" i="2"/>
  <c r="S16" i="2" s="1"/>
  <c r="AH16" i="2"/>
  <c r="T16" i="2" s="1"/>
  <c r="AB16" i="2"/>
  <c r="N16" i="2" s="1"/>
  <c r="AA16" i="2"/>
  <c r="M16" i="2" s="1"/>
  <c r="Z16" i="2"/>
  <c r="L16" i="2" s="1"/>
  <c r="AF16" i="2"/>
  <c r="R16" i="2" s="1"/>
  <c r="AH43" i="2"/>
  <c r="T43" i="2" s="1"/>
  <c r="AH30" i="2"/>
  <c r="T30" i="2" s="1"/>
  <c r="Y43" i="2"/>
  <c r="K43" i="2" s="1"/>
  <c r="Y30" i="2"/>
  <c r="K30" i="2" s="1"/>
  <c r="AC43" i="2"/>
  <c r="O43" i="2" s="1"/>
  <c r="AC30" i="2"/>
  <c r="O30" i="2" s="1"/>
  <c r="W28" i="2"/>
  <c r="W15" i="2"/>
  <c r="W41" i="2"/>
  <c r="AU41" i="11" l="1"/>
  <c r="AU28" i="11"/>
  <c r="AU43" i="11"/>
  <c r="AU30" i="11"/>
  <c r="AW33" i="11"/>
  <c r="AW46" i="11"/>
  <c r="F22" i="11"/>
  <c r="AS38" i="11"/>
  <c r="AS25" i="11"/>
  <c r="AQ26" i="11"/>
  <c r="AQ39" i="11"/>
  <c r="AN26" i="11"/>
  <c r="AN39" i="11"/>
  <c r="AP40" i="11"/>
  <c r="AP27" i="11"/>
  <c r="AQ40" i="11"/>
  <c r="AQ27" i="11"/>
  <c r="AP41" i="11"/>
  <c r="AP28" i="11"/>
  <c r="AR41" i="11"/>
  <c r="AR28" i="11"/>
  <c r="AS42" i="11"/>
  <c r="AS29" i="11"/>
  <c r="AW42" i="11"/>
  <c r="AW29" i="11"/>
  <c r="AO43" i="11"/>
  <c r="AO30" i="11"/>
  <c r="AT43" i="11"/>
  <c r="AT30" i="11"/>
  <c r="AL44" i="11"/>
  <c r="AL31" i="11"/>
  <c r="AP44" i="11"/>
  <c r="AP31" i="11"/>
  <c r="AT32" i="11"/>
  <c r="AT45" i="11"/>
  <c r="AO45" i="11"/>
  <c r="AO32" i="11"/>
  <c r="AV46" i="11"/>
  <c r="AV33" i="11"/>
  <c r="AR46" i="11"/>
  <c r="AR33" i="11"/>
  <c r="AM47" i="11"/>
  <c r="AM34" i="11"/>
  <c r="AW34" i="11"/>
  <c r="AW47" i="11"/>
  <c r="AL37" i="11"/>
  <c r="AL24" i="11"/>
  <c r="AL38" i="11"/>
  <c r="AL25" i="11"/>
  <c r="AU40" i="11"/>
  <c r="AU27" i="11"/>
  <c r="AN30" i="11"/>
  <c r="AN43" i="11"/>
  <c r="AU45" i="11"/>
  <c r="AU32" i="11"/>
  <c r="AT37" i="11"/>
  <c r="AT24" i="11"/>
  <c r="AU37" i="11"/>
  <c r="AU24" i="11"/>
  <c r="AR37" i="11"/>
  <c r="AR24" i="11"/>
  <c r="AV39" i="11"/>
  <c r="AV26" i="11"/>
  <c r="AS39" i="11"/>
  <c r="AS26" i="11"/>
  <c r="AV40" i="11"/>
  <c r="AV27" i="11"/>
  <c r="AO40" i="11"/>
  <c r="AO27" i="11"/>
  <c r="AT28" i="11"/>
  <c r="AT41" i="11"/>
  <c r="AM41" i="11"/>
  <c r="AM28" i="11"/>
  <c r="AP42" i="11"/>
  <c r="AP29" i="11"/>
  <c r="AL42" i="11"/>
  <c r="AL29" i="11"/>
  <c r="AW30" i="11"/>
  <c r="AW43" i="11"/>
  <c r="AL43" i="11"/>
  <c r="AL30" i="11"/>
  <c r="AO44" i="11"/>
  <c r="AO31" i="11"/>
  <c r="AU44" i="11"/>
  <c r="AU31" i="11"/>
  <c r="AL45" i="11"/>
  <c r="AL32" i="11"/>
  <c r="AM45" i="11"/>
  <c r="AM32" i="11"/>
  <c r="AO46" i="11"/>
  <c r="AO33" i="11"/>
  <c r="AM46" i="11"/>
  <c r="AM33" i="11"/>
  <c r="AV47" i="11"/>
  <c r="AV34" i="11"/>
  <c r="AT34" i="11"/>
  <c r="AT47" i="11"/>
  <c r="F9" i="11"/>
  <c r="AQ24" i="11"/>
  <c r="AQ37" i="11"/>
  <c r="AR38" i="11"/>
  <c r="AR25" i="11"/>
  <c r="AS37" i="11"/>
  <c r="AS24" i="11"/>
  <c r="AP37" i="11"/>
  <c r="AP24" i="11"/>
  <c r="AW27" i="11"/>
  <c r="AW40" i="11"/>
  <c r="AR42" i="11"/>
  <c r="AR29" i="11"/>
  <c r="AN45" i="11"/>
  <c r="AN32" i="11"/>
  <c r="AL47" i="11"/>
  <c r="AL34" i="11"/>
  <c r="AQ38" i="11"/>
  <c r="AQ25" i="11"/>
  <c r="AT38" i="11"/>
  <c r="AT25" i="11"/>
  <c r="AT39" i="11"/>
  <c r="AT26" i="11"/>
  <c r="AW26" i="11"/>
  <c r="AW39" i="11"/>
  <c r="AL40" i="11"/>
  <c r="AL27" i="11"/>
  <c r="AM40" i="11"/>
  <c r="AM27" i="11"/>
  <c r="AQ28" i="11"/>
  <c r="AQ41" i="11"/>
  <c r="AN41" i="11"/>
  <c r="AN28" i="11"/>
  <c r="AU42" i="11"/>
  <c r="AU29" i="11"/>
  <c r="AV42" i="11"/>
  <c r="AV29" i="11"/>
  <c r="AS43" i="11"/>
  <c r="AS30" i="11"/>
  <c r="AQ30" i="11"/>
  <c r="AQ43" i="11"/>
  <c r="AV44" i="11"/>
  <c r="AV31" i="11"/>
  <c r="AN31" i="11"/>
  <c r="AN44" i="11"/>
  <c r="AP45" i="11"/>
  <c r="AP32" i="11"/>
  <c r="AR45" i="11"/>
  <c r="AR32" i="11"/>
  <c r="AS46" i="11"/>
  <c r="AS33" i="11"/>
  <c r="AU46" i="11"/>
  <c r="AU33" i="11"/>
  <c r="AU47" i="11"/>
  <c r="AU34" i="11"/>
  <c r="AN34" i="11"/>
  <c r="AN47" i="11"/>
  <c r="F35" i="11"/>
  <c r="AO39" i="11"/>
  <c r="AO26" i="11"/>
  <c r="AN29" i="11"/>
  <c r="AN42" i="11"/>
  <c r="AR44" i="11"/>
  <c r="AR31" i="11"/>
  <c r="AR47" i="11"/>
  <c r="AR34" i="11"/>
  <c r="AM37" i="11"/>
  <c r="AM24" i="11"/>
  <c r="AO38" i="11"/>
  <c r="AO25" i="11"/>
  <c r="AL39" i="11"/>
  <c r="AL26" i="11"/>
  <c r="AR39" i="11"/>
  <c r="AR26" i="11"/>
  <c r="AN27" i="11"/>
  <c r="AN40" i="11"/>
  <c r="AS40" i="11"/>
  <c r="AS27" i="11"/>
  <c r="AS41" i="11"/>
  <c r="AS28" i="11"/>
  <c r="AO41" i="11"/>
  <c r="AO28" i="11"/>
  <c r="AT29" i="11"/>
  <c r="AT42" i="11"/>
  <c r="AQ29" i="11"/>
  <c r="AQ42" i="11"/>
  <c r="AM43" i="11"/>
  <c r="AM30" i="11"/>
  <c r="AV43" i="11"/>
  <c r="AV30" i="11"/>
  <c r="AS44" i="11"/>
  <c r="AS31" i="11"/>
  <c r="AQ44" i="11"/>
  <c r="AQ31" i="11"/>
  <c r="AW32" i="11"/>
  <c r="AW45" i="11"/>
  <c r="AV45" i="11"/>
  <c r="AV32" i="11"/>
  <c r="AT33" i="11"/>
  <c r="AT46" i="11"/>
  <c r="AL46" i="11"/>
  <c r="AL33" i="11"/>
  <c r="AO47" i="11"/>
  <c r="AO34" i="11"/>
  <c r="AS47" i="11"/>
  <c r="AS34" i="11"/>
  <c r="AV37" i="11"/>
  <c r="AV24" i="11"/>
  <c r="AM39" i="11"/>
  <c r="AM26" i="11"/>
  <c r="AL41" i="11"/>
  <c r="AL28" i="11"/>
  <c r="AW31" i="11"/>
  <c r="AW44" i="11"/>
  <c r="AN33" i="11"/>
  <c r="AN46" i="11"/>
  <c r="AM38" i="11"/>
  <c r="AM25" i="11"/>
  <c r="AN25" i="11"/>
  <c r="AN38" i="11"/>
  <c r="AU38" i="11"/>
  <c r="AU25" i="11"/>
  <c r="AP39" i="11"/>
  <c r="AP26" i="11"/>
  <c r="AU39" i="11"/>
  <c r="AU26" i="11"/>
  <c r="AR40" i="11"/>
  <c r="AR27" i="11"/>
  <c r="AT27" i="11"/>
  <c r="AT40" i="11"/>
  <c r="AV41" i="11"/>
  <c r="AV28" i="11"/>
  <c r="AW28" i="11"/>
  <c r="AW41" i="11"/>
  <c r="AO42" i="11"/>
  <c r="AO29" i="11"/>
  <c r="AM42" i="11"/>
  <c r="AM29" i="11"/>
  <c r="AP43" i="11"/>
  <c r="AP30" i="11"/>
  <c r="AR43" i="11"/>
  <c r="AR30" i="11"/>
  <c r="AM44" i="11"/>
  <c r="AM31" i="11"/>
  <c r="AT31" i="11"/>
  <c r="AT44" i="11"/>
  <c r="AQ32" i="11"/>
  <c r="AQ45" i="11"/>
  <c r="AS45" i="11"/>
  <c r="AS32" i="11"/>
  <c r="AQ33" i="11"/>
  <c r="AQ46" i="11"/>
  <c r="AP46" i="11"/>
  <c r="AP33" i="11"/>
  <c r="AQ34" i="11"/>
  <c r="AQ47" i="11"/>
  <c r="AP47" i="11"/>
  <c r="AP34" i="11"/>
  <c r="AO37" i="11"/>
  <c r="AO24" i="11"/>
  <c r="AW37" i="11"/>
  <c r="AW24" i="11"/>
  <c r="AV38" i="11"/>
  <c r="AV25" i="11"/>
  <c r="AN37" i="11"/>
  <c r="AN24" i="11"/>
  <c r="AP38" i="11"/>
  <c r="AP25" i="11"/>
  <c r="AW39" i="10"/>
  <c r="AW26" i="10"/>
  <c r="AU41" i="10"/>
  <c r="AU28" i="10"/>
  <c r="AW44" i="10"/>
  <c r="AW31" i="10"/>
  <c r="AR38" i="10"/>
  <c r="AR25" i="10"/>
  <c r="AV37" i="10"/>
  <c r="AV24" i="10"/>
  <c r="AP39" i="10"/>
  <c r="AP26" i="10"/>
  <c r="AO39" i="10"/>
  <c r="AO26" i="10"/>
  <c r="AV40" i="10"/>
  <c r="AV27" i="10"/>
  <c r="AS40" i="10"/>
  <c r="AS27" i="10"/>
  <c r="AS41" i="10"/>
  <c r="AS28" i="10"/>
  <c r="AM28" i="10"/>
  <c r="AM41" i="10"/>
  <c r="AT42" i="10"/>
  <c r="AT29" i="10"/>
  <c r="AL42" i="10"/>
  <c r="AL29" i="10"/>
  <c r="AN30" i="10"/>
  <c r="AN43" i="10"/>
  <c r="AP43" i="10"/>
  <c r="AP30" i="10"/>
  <c r="AV31" i="10"/>
  <c r="AV44" i="10"/>
  <c r="AL44" i="10"/>
  <c r="AL31" i="10"/>
  <c r="AW45" i="10"/>
  <c r="AW32" i="10"/>
  <c r="AS32" i="10"/>
  <c r="AS45" i="10"/>
  <c r="AR33" i="10"/>
  <c r="AR46" i="10"/>
  <c r="AS46" i="10"/>
  <c r="AS33" i="10"/>
  <c r="AO34" i="10"/>
  <c r="AO47" i="10"/>
  <c r="AT34" i="10"/>
  <c r="AT47" i="10"/>
  <c r="F9" i="10"/>
  <c r="AW38" i="10"/>
  <c r="AW25" i="10"/>
  <c r="AW37" i="10"/>
  <c r="AW24" i="10"/>
  <c r="AQ40" i="10"/>
  <c r="AQ27" i="10"/>
  <c r="AW43" i="10"/>
  <c r="AW30" i="10"/>
  <c r="AN46" i="10"/>
  <c r="AN33" i="10"/>
  <c r="AM37" i="10"/>
  <c r="AM24" i="10"/>
  <c r="AL38" i="10"/>
  <c r="AL25" i="10"/>
  <c r="AS39" i="10"/>
  <c r="AS26" i="10"/>
  <c r="AL39" i="10"/>
  <c r="AL26" i="10"/>
  <c r="AP27" i="10"/>
  <c r="AP40" i="10"/>
  <c r="AT40" i="10"/>
  <c r="AT27" i="10"/>
  <c r="AL41" i="10"/>
  <c r="AL28" i="10"/>
  <c r="AP41" i="10"/>
  <c r="AP28" i="10"/>
  <c r="AQ29" i="10"/>
  <c r="AQ42" i="10"/>
  <c r="AS42" i="10"/>
  <c r="AS29" i="10"/>
  <c r="AO43" i="10"/>
  <c r="AO30" i="10"/>
  <c r="AQ43" i="10"/>
  <c r="AQ30" i="10"/>
  <c r="AS44" i="10"/>
  <c r="AS31" i="10"/>
  <c r="AO44" i="10"/>
  <c r="AO31" i="10"/>
  <c r="AM45" i="10"/>
  <c r="AM32" i="10"/>
  <c r="AO45" i="10"/>
  <c r="AO32" i="10"/>
  <c r="AT46" i="10"/>
  <c r="AT33" i="10"/>
  <c r="AW33" i="10"/>
  <c r="AW46" i="10"/>
  <c r="AW47" i="10"/>
  <c r="AW34" i="10"/>
  <c r="AN34" i="10"/>
  <c r="AN47" i="10"/>
  <c r="AL37" i="10"/>
  <c r="AL24" i="10"/>
  <c r="AS38" i="10"/>
  <c r="AS25" i="10"/>
  <c r="AT39" i="10"/>
  <c r="AT26" i="10"/>
  <c r="AR42" i="10"/>
  <c r="AR29" i="10"/>
  <c r="AR44" i="10"/>
  <c r="AR31" i="10"/>
  <c r="AL33" i="10"/>
  <c r="AL46" i="10"/>
  <c r="AN37" i="10"/>
  <c r="AN24" i="10"/>
  <c r="AU37" i="10"/>
  <c r="AU24" i="10"/>
  <c r="AN39" i="10"/>
  <c r="AN26" i="10"/>
  <c r="AV39" i="10"/>
  <c r="AV26" i="10"/>
  <c r="AO40" i="10"/>
  <c r="AO27" i="10"/>
  <c r="AN40" i="10"/>
  <c r="AN27" i="10"/>
  <c r="AN41" i="10"/>
  <c r="AN28" i="10"/>
  <c r="AO41" i="10"/>
  <c r="AO28" i="10"/>
  <c r="AW42" i="10"/>
  <c r="AW29" i="10"/>
  <c r="AN42" i="10"/>
  <c r="AN29" i="10"/>
  <c r="AL43" i="10"/>
  <c r="AL30" i="10"/>
  <c r="AM43" i="10"/>
  <c r="AM30" i="10"/>
  <c r="AN44" i="10"/>
  <c r="AN31" i="10"/>
  <c r="AU44" i="10"/>
  <c r="AU31" i="10"/>
  <c r="AP45" i="10"/>
  <c r="AP32" i="10"/>
  <c r="AL45" i="10"/>
  <c r="AL32" i="10"/>
  <c r="AM46" i="10"/>
  <c r="AM33" i="10"/>
  <c r="AQ33" i="10"/>
  <c r="AQ46" i="10"/>
  <c r="AP47" i="10"/>
  <c r="AP34" i="10"/>
  <c r="AM34" i="10"/>
  <c r="AM47" i="10"/>
  <c r="F35" i="10"/>
  <c r="AO37" i="10"/>
  <c r="AO24" i="10"/>
  <c r="AM40" i="10"/>
  <c r="AM27" i="10"/>
  <c r="AO42" i="10"/>
  <c r="AO29" i="10"/>
  <c r="AV45" i="10"/>
  <c r="AV32" i="10"/>
  <c r="AU34" i="10"/>
  <c r="AU47" i="10"/>
  <c r="AO38" i="10"/>
  <c r="AO25" i="10"/>
  <c r="AT37" i="10"/>
  <c r="AT24" i="10"/>
  <c r="AP37" i="10"/>
  <c r="AP24" i="10"/>
  <c r="AT38" i="10"/>
  <c r="AT25" i="10"/>
  <c r="AR37" i="10"/>
  <c r="AR24" i="10"/>
  <c r="AU39" i="10"/>
  <c r="AU26" i="10"/>
  <c r="AM39" i="10"/>
  <c r="AM26" i="10"/>
  <c r="AW27" i="10"/>
  <c r="AW40" i="10"/>
  <c r="AU40" i="10"/>
  <c r="AU27" i="10"/>
  <c r="AT41" i="10"/>
  <c r="AT28" i="10"/>
  <c r="AR41" i="10"/>
  <c r="AR28" i="10"/>
  <c r="AU42" i="10"/>
  <c r="AU29" i="10"/>
  <c r="AM42" i="10"/>
  <c r="AM29" i="10"/>
  <c r="AV43" i="10"/>
  <c r="AV30" i="10"/>
  <c r="AR43" i="10"/>
  <c r="AR30" i="10"/>
  <c r="AP44" i="10"/>
  <c r="AP31" i="10"/>
  <c r="AQ44" i="10"/>
  <c r="AQ31" i="10"/>
  <c r="AQ45" i="10"/>
  <c r="AQ32" i="10"/>
  <c r="AN45" i="10"/>
  <c r="AN32" i="10"/>
  <c r="AP33" i="10"/>
  <c r="AP46" i="10"/>
  <c r="AU46" i="10"/>
  <c r="AU33" i="10"/>
  <c r="AV47" i="10"/>
  <c r="AV34" i="10"/>
  <c r="AR47" i="10"/>
  <c r="AR34" i="10"/>
  <c r="AQ38" i="10"/>
  <c r="AQ25" i="10"/>
  <c r="AU38" i="10"/>
  <c r="AU25" i="10"/>
  <c r="AV41" i="10"/>
  <c r="AV28" i="10"/>
  <c r="AT43" i="10"/>
  <c r="AT30" i="10"/>
  <c r="AR45" i="10"/>
  <c r="AR32" i="10"/>
  <c r="AQ47" i="10"/>
  <c r="AQ34" i="10"/>
  <c r="F22" i="10"/>
  <c r="AP38" i="10"/>
  <c r="AP25" i="10"/>
  <c r="AQ37" i="10"/>
  <c r="AQ24" i="10"/>
  <c r="AM38" i="10"/>
  <c r="AM25" i="10"/>
  <c r="AS37" i="10"/>
  <c r="AS24" i="10"/>
  <c r="AQ39" i="10"/>
  <c r="AQ26" i="10"/>
  <c r="AR39" i="10"/>
  <c r="AR26" i="10"/>
  <c r="AR40" i="10"/>
  <c r="AR27" i="10"/>
  <c r="AL40" i="10"/>
  <c r="AL27" i="10"/>
  <c r="AW41" i="10"/>
  <c r="AW28" i="10"/>
  <c r="AQ41" i="10"/>
  <c r="AQ28" i="10"/>
  <c r="AP42" i="10"/>
  <c r="AP29" i="10"/>
  <c r="AV42" i="10"/>
  <c r="AV29" i="10"/>
  <c r="AU43" i="10"/>
  <c r="AU30" i="10"/>
  <c r="AS43" i="10"/>
  <c r="AS30" i="10"/>
  <c r="AM44" i="10"/>
  <c r="AM31" i="10"/>
  <c r="AT44" i="10"/>
  <c r="AT31" i="10"/>
  <c r="AT45" i="10"/>
  <c r="AT32" i="10"/>
  <c r="AU45" i="10"/>
  <c r="AU32" i="10"/>
  <c r="AV33" i="10"/>
  <c r="AV46" i="10"/>
  <c r="AO46" i="10"/>
  <c r="AO33" i="10"/>
  <c r="AS34" i="10"/>
  <c r="AS47" i="10"/>
  <c r="AL47" i="10"/>
  <c r="AL34" i="10"/>
  <c r="AV38" i="10"/>
  <c r="AV25" i="10"/>
  <c r="AE38" i="8"/>
  <c r="AE25" i="8"/>
  <c r="AC38" i="8"/>
  <c r="AC25" i="8"/>
  <c r="AD11" i="8"/>
  <c r="X11" i="8"/>
  <c r="AT12" i="8" s="1"/>
  <c r="AI11" i="8"/>
  <c r="AC11" i="8"/>
  <c r="AH11" i="8"/>
  <c r="AB11" i="8"/>
  <c r="AG11" i="8"/>
  <c r="AA11" i="8"/>
  <c r="AF11" i="8"/>
  <c r="Z11" i="8"/>
  <c r="AE11" i="8"/>
  <c r="Y11" i="8"/>
  <c r="AI38" i="8"/>
  <c r="AI25" i="8"/>
  <c r="Z38" i="8"/>
  <c r="Z25" i="8"/>
  <c r="X38" i="8"/>
  <c r="X25" i="8"/>
  <c r="AF38" i="8"/>
  <c r="AF25" i="8"/>
  <c r="AH38" i="8"/>
  <c r="AH25" i="8"/>
  <c r="AD38" i="8"/>
  <c r="AD25" i="8"/>
  <c r="AA38" i="8"/>
  <c r="AA25" i="8"/>
  <c r="AB38" i="8"/>
  <c r="AB25" i="8"/>
  <c r="Y25" i="8"/>
  <c r="Y38" i="8"/>
  <c r="AG38" i="8"/>
  <c r="AG25" i="8"/>
  <c r="AA38" i="7"/>
  <c r="AA25" i="7"/>
  <c r="AH25" i="7"/>
  <c r="AH38" i="7"/>
  <c r="Z38" i="7"/>
  <c r="Z25" i="7"/>
  <c r="AG38" i="7"/>
  <c r="AG25" i="7"/>
  <c r="AI38" i="7"/>
  <c r="AI25" i="7"/>
  <c r="AC38" i="7"/>
  <c r="AC25" i="7"/>
  <c r="X38" i="7"/>
  <c r="X25" i="7"/>
  <c r="AB25" i="7"/>
  <c r="AB38" i="7"/>
  <c r="AD38" i="7"/>
  <c r="AD25" i="7"/>
  <c r="Y38" i="7"/>
  <c r="Y25" i="7"/>
  <c r="AH11" i="7"/>
  <c r="AB11" i="7"/>
  <c r="AG11" i="7"/>
  <c r="AF11" i="7"/>
  <c r="AE11" i="7"/>
  <c r="Y11" i="7"/>
  <c r="AC11" i="7"/>
  <c r="AA11" i="7"/>
  <c r="Z11" i="7"/>
  <c r="AD11" i="7"/>
  <c r="X11" i="7"/>
  <c r="AI11" i="7"/>
  <c r="AF38" i="7"/>
  <c r="AF25" i="7"/>
  <c r="AE38" i="7"/>
  <c r="AE25" i="7"/>
  <c r="AH40" i="6"/>
  <c r="AH27" i="6"/>
  <c r="AF40" i="6"/>
  <c r="AF27" i="6"/>
  <c r="Z40" i="6"/>
  <c r="Z27" i="6"/>
  <c r="AI40" i="6"/>
  <c r="AI27" i="6"/>
  <c r="AB40" i="6"/>
  <c r="AB27" i="6"/>
  <c r="Y27" i="6"/>
  <c r="Y40" i="6"/>
  <c r="AD40" i="6"/>
  <c r="AD27" i="6"/>
  <c r="AC40" i="6"/>
  <c r="AC27" i="6"/>
  <c r="AE27" i="6"/>
  <c r="AE40" i="6"/>
  <c r="AG40" i="6"/>
  <c r="AG27" i="6"/>
  <c r="X27" i="6"/>
  <c r="X40" i="6"/>
  <c r="AA27" i="6"/>
  <c r="AA40" i="6"/>
  <c r="AG13" i="6"/>
  <c r="AA13" i="6"/>
  <c r="AI13" i="6"/>
  <c r="AC13" i="6"/>
  <c r="AH13" i="6"/>
  <c r="AB13" i="6"/>
  <c r="Z13" i="6"/>
  <c r="Y13" i="6"/>
  <c r="X13" i="6"/>
  <c r="W12" i="6"/>
  <c r="AE13" i="6"/>
  <c r="AD13" i="6"/>
  <c r="AF13" i="6"/>
  <c r="Y40" i="4"/>
  <c r="Y27" i="4"/>
  <c r="AE40" i="4"/>
  <c r="AE27" i="4"/>
  <c r="AH27" i="4"/>
  <c r="AH40" i="4"/>
  <c r="AD40" i="4"/>
  <c r="AD27" i="4"/>
  <c r="AB27" i="4"/>
  <c r="AB40" i="4"/>
  <c r="AC27" i="4"/>
  <c r="AC40" i="4"/>
  <c r="AI13" i="4"/>
  <c r="AC13" i="4"/>
  <c r="AA13" i="4"/>
  <c r="AH13" i="4"/>
  <c r="AB13" i="4"/>
  <c r="AG13" i="4"/>
  <c r="AF13" i="4"/>
  <c r="Z13" i="4"/>
  <c r="W12" i="4"/>
  <c r="AE13" i="4"/>
  <c r="Y13" i="4"/>
  <c r="X13" i="4"/>
  <c r="AD13" i="4"/>
  <c r="AG40" i="4"/>
  <c r="AG27" i="4"/>
  <c r="AI27" i="4"/>
  <c r="AI40" i="4"/>
  <c r="Z40" i="4"/>
  <c r="Z27" i="4"/>
  <c r="AA40" i="4"/>
  <c r="AA27" i="4"/>
  <c r="X40" i="4"/>
  <c r="X27" i="4"/>
  <c r="AF40" i="4"/>
  <c r="AF27" i="4"/>
  <c r="AH42" i="2"/>
  <c r="T42" i="2" s="1"/>
  <c r="AH29" i="2"/>
  <c r="T29" i="2" s="1"/>
  <c r="Y42" i="2"/>
  <c r="K42" i="2" s="1"/>
  <c r="Y29" i="2"/>
  <c r="K29" i="2" s="1"/>
  <c r="AG42" i="2"/>
  <c r="S42" i="2" s="1"/>
  <c r="AG29" i="2"/>
  <c r="S29" i="2" s="1"/>
  <c r="AE42" i="2"/>
  <c r="Q42" i="2" s="1"/>
  <c r="AE29" i="2"/>
  <c r="Q29" i="2" s="1"/>
  <c r="AB42" i="2"/>
  <c r="N42" i="2" s="1"/>
  <c r="AB29" i="2"/>
  <c r="N29" i="2" s="1"/>
  <c r="AF42" i="2"/>
  <c r="R42" i="2" s="1"/>
  <c r="AF29" i="2"/>
  <c r="R29" i="2" s="1"/>
  <c r="AC42" i="2"/>
  <c r="O42" i="2" s="1"/>
  <c r="AC29" i="2"/>
  <c r="O29" i="2" s="1"/>
  <c r="Z42" i="2"/>
  <c r="L42" i="2" s="1"/>
  <c r="Z29" i="2"/>
  <c r="L29" i="2" s="1"/>
  <c r="AI29" i="2"/>
  <c r="U29" i="2" s="1"/>
  <c r="AI42" i="2"/>
  <c r="U42" i="2" s="1"/>
  <c r="AD29" i="2"/>
  <c r="P29" i="2" s="1"/>
  <c r="AD42" i="2"/>
  <c r="P42" i="2" s="1"/>
  <c r="AE15" i="2"/>
  <c r="Q15" i="2" s="1"/>
  <c r="Y15" i="2"/>
  <c r="K15" i="2" s="1"/>
  <c r="AD15" i="2"/>
  <c r="P15" i="2" s="1"/>
  <c r="X15" i="2"/>
  <c r="J15" i="2" s="1"/>
  <c r="AG15" i="2"/>
  <c r="S15" i="2" s="1"/>
  <c r="AI15" i="2"/>
  <c r="U15" i="2" s="1"/>
  <c r="AC15" i="2"/>
  <c r="O15" i="2" s="1"/>
  <c r="AA15" i="2"/>
  <c r="M15" i="2" s="1"/>
  <c r="AH15" i="2"/>
  <c r="T15" i="2" s="1"/>
  <c r="AB15" i="2"/>
  <c r="N15" i="2" s="1"/>
  <c r="Z15" i="2"/>
  <c r="L15" i="2" s="1"/>
  <c r="AF15" i="2"/>
  <c r="R15" i="2" s="1"/>
  <c r="AA42" i="2"/>
  <c r="M42" i="2" s="1"/>
  <c r="AA29" i="2"/>
  <c r="M29" i="2" s="1"/>
  <c r="X42" i="2"/>
  <c r="J42" i="2" s="1"/>
  <c r="X29" i="2"/>
  <c r="J29" i="2" s="1"/>
  <c r="W14" i="2"/>
  <c r="W40" i="2"/>
  <c r="W27" i="2"/>
  <c r="AR12" i="8" l="1"/>
  <c r="AN12" i="8"/>
  <c r="AN38" i="8" s="1"/>
  <c r="AP12" i="8"/>
  <c r="AO12" i="8"/>
  <c r="AM12" i="8"/>
  <c r="AM38" i="8" s="1"/>
  <c r="AU12" i="8"/>
  <c r="AU38" i="8" s="1"/>
  <c r="AN25" i="8"/>
  <c r="AO38" i="8"/>
  <c r="AO25" i="8"/>
  <c r="AR38" i="8"/>
  <c r="AR25" i="8"/>
  <c r="Z37" i="8"/>
  <c r="Z24" i="8"/>
  <c r="AN11" i="8"/>
  <c r="AC37" i="8"/>
  <c r="AC24" i="8"/>
  <c r="AQ11" i="8"/>
  <c r="AT38" i="8"/>
  <c r="AT25" i="8"/>
  <c r="AF37" i="8"/>
  <c r="AF24" i="8"/>
  <c r="AT11" i="8"/>
  <c r="AI37" i="8"/>
  <c r="AI24" i="8"/>
  <c r="AW11" i="8"/>
  <c r="AP38" i="8"/>
  <c r="AP25" i="8"/>
  <c r="AV12" i="8"/>
  <c r="AW12" i="8"/>
  <c r="AA37" i="8"/>
  <c r="AA24" i="8"/>
  <c r="AO11" i="8"/>
  <c r="X37" i="8"/>
  <c r="X24" i="8"/>
  <c r="AL11" i="8"/>
  <c r="AM21" i="8"/>
  <c r="AV21" i="8"/>
  <c r="AW21" i="8"/>
  <c r="AR21" i="8"/>
  <c r="AT21" i="8"/>
  <c r="AP21" i="8"/>
  <c r="AN21" i="8"/>
  <c r="AQ21" i="8"/>
  <c r="AO21" i="8"/>
  <c r="AL21" i="8"/>
  <c r="AS21" i="8"/>
  <c r="AU21" i="8"/>
  <c r="AL20" i="8"/>
  <c r="AM20" i="8"/>
  <c r="AN20" i="8"/>
  <c r="AO20" i="8"/>
  <c r="AP20" i="8"/>
  <c r="AS20" i="8"/>
  <c r="AV20" i="8"/>
  <c r="AQ20" i="8"/>
  <c r="AW20" i="8"/>
  <c r="AU20" i="8"/>
  <c r="AT20" i="8"/>
  <c r="AR20" i="8"/>
  <c r="AM19" i="8"/>
  <c r="AV19" i="8"/>
  <c r="AW19" i="8"/>
  <c r="AR19" i="8"/>
  <c r="AP19" i="8"/>
  <c r="AS19" i="8"/>
  <c r="AU19" i="8"/>
  <c r="AT19" i="8"/>
  <c r="AN19" i="8"/>
  <c r="AO19" i="8"/>
  <c r="AL19" i="8"/>
  <c r="AQ19" i="8"/>
  <c r="AL18" i="8"/>
  <c r="AW18" i="8"/>
  <c r="AS18" i="8"/>
  <c r="AU18" i="8"/>
  <c r="AV18" i="8"/>
  <c r="AN18" i="8"/>
  <c r="AM18" i="8"/>
  <c r="AT18" i="8"/>
  <c r="AO18" i="8"/>
  <c r="AR18" i="8"/>
  <c r="AP18" i="8"/>
  <c r="AQ18" i="8"/>
  <c r="AV17" i="8"/>
  <c r="AS17" i="8"/>
  <c r="AM17" i="8"/>
  <c r="AW17" i="8"/>
  <c r="AR17" i="8"/>
  <c r="AT17" i="8"/>
  <c r="AQ17" i="8"/>
  <c r="AU17" i="8"/>
  <c r="AN17" i="8"/>
  <c r="AO17" i="8"/>
  <c r="AL17" i="8"/>
  <c r="AP17" i="8"/>
  <c r="AQ16" i="8"/>
  <c r="AR16" i="8"/>
  <c r="AO16" i="8"/>
  <c r="AU16" i="8"/>
  <c r="AS16" i="8"/>
  <c r="AL16" i="8"/>
  <c r="AN16" i="8"/>
  <c r="AW16" i="8"/>
  <c r="AM16" i="8"/>
  <c r="AP16" i="8"/>
  <c r="AT16" i="8"/>
  <c r="AV16" i="8"/>
  <c r="AT15" i="8"/>
  <c r="AU15" i="8"/>
  <c r="AP15" i="8"/>
  <c r="AS15" i="8"/>
  <c r="AN15" i="8"/>
  <c r="AQ15" i="8"/>
  <c r="AM15" i="8"/>
  <c r="AW15" i="8"/>
  <c r="AO15" i="8"/>
  <c r="AL15" i="8"/>
  <c r="AR15" i="8"/>
  <c r="AV15" i="8"/>
  <c r="AW14" i="8"/>
  <c r="AL14" i="8"/>
  <c r="AT14" i="8"/>
  <c r="AU14" i="8"/>
  <c r="AP14" i="8"/>
  <c r="AO14" i="8"/>
  <c r="AS14" i="8"/>
  <c r="AR14" i="8"/>
  <c r="AV14" i="8"/>
  <c r="AN14" i="8"/>
  <c r="AM14" i="8"/>
  <c r="AQ14" i="8"/>
  <c r="AP13" i="8"/>
  <c r="AT13" i="8"/>
  <c r="AO13" i="8"/>
  <c r="AL13" i="8"/>
  <c r="AU13" i="8"/>
  <c r="AR13" i="8"/>
  <c r="AW13" i="8"/>
  <c r="AN13" i="8"/>
  <c r="AV13" i="8"/>
  <c r="AQ13" i="8"/>
  <c r="AM13" i="8"/>
  <c r="AS13" i="8"/>
  <c r="AG37" i="8"/>
  <c r="AU11" i="8"/>
  <c r="AG24" i="8"/>
  <c r="AD37" i="8"/>
  <c r="AD24" i="8"/>
  <c r="AR11" i="8"/>
  <c r="AS12" i="8"/>
  <c r="Y37" i="8"/>
  <c r="Y24" i="8"/>
  <c r="AM11" i="8"/>
  <c r="AB37" i="8"/>
  <c r="AB24" i="8"/>
  <c r="AP11" i="8"/>
  <c r="AL12" i="8"/>
  <c r="AE37" i="8"/>
  <c r="AE24" i="8"/>
  <c r="AS11" i="8"/>
  <c r="AH37" i="8"/>
  <c r="AH24" i="8"/>
  <c r="AV11" i="8"/>
  <c r="AQ12" i="8"/>
  <c r="AM12" i="7"/>
  <c r="AM38" i="7" s="1"/>
  <c r="AC37" i="7"/>
  <c r="AC24" i="7"/>
  <c r="AQ11" i="7"/>
  <c r="AH37" i="7"/>
  <c r="AH24" i="7"/>
  <c r="AV11" i="7"/>
  <c r="AR12" i="7"/>
  <c r="AQ12" i="7"/>
  <c r="AA37" i="7"/>
  <c r="AA24" i="7"/>
  <c r="AO11" i="7"/>
  <c r="AI37" i="7"/>
  <c r="AI24" i="7"/>
  <c r="AW11" i="7"/>
  <c r="Y24" i="7"/>
  <c r="AM11" i="7"/>
  <c r="Y37" i="7"/>
  <c r="X37" i="7"/>
  <c r="X24" i="7"/>
  <c r="AL11" i="7"/>
  <c r="AL21" i="7"/>
  <c r="AR21" i="7"/>
  <c r="AS21" i="7"/>
  <c r="AV21" i="7"/>
  <c r="AW21" i="7"/>
  <c r="AN21" i="7"/>
  <c r="AQ21" i="7"/>
  <c r="AT21" i="7"/>
  <c r="AO21" i="7"/>
  <c r="AP21" i="7"/>
  <c r="AU21" i="7"/>
  <c r="AM21" i="7"/>
  <c r="AL20" i="7"/>
  <c r="AN20" i="7"/>
  <c r="AR20" i="7"/>
  <c r="AT20" i="7"/>
  <c r="AO20" i="7"/>
  <c r="AV20" i="7"/>
  <c r="AM20" i="7"/>
  <c r="AQ20" i="7"/>
  <c r="AW20" i="7"/>
  <c r="AP20" i="7"/>
  <c r="AS20" i="7"/>
  <c r="AU20" i="7"/>
  <c r="AO19" i="7"/>
  <c r="AT19" i="7"/>
  <c r="AV19" i="7"/>
  <c r="AW19" i="7"/>
  <c r="AS19" i="7"/>
  <c r="AP19" i="7"/>
  <c r="AM19" i="7"/>
  <c r="AR19" i="7"/>
  <c r="AN19" i="7"/>
  <c r="AU19" i="7"/>
  <c r="AL19" i="7"/>
  <c r="AQ19" i="7"/>
  <c r="AN18" i="7"/>
  <c r="AT18" i="7"/>
  <c r="AS18" i="7"/>
  <c r="AQ18" i="7"/>
  <c r="AM18" i="7"/>
  <c r="AV18" i="7"/>
  <c r="AW18" i="7"/>
  <c r="AP18" i="7"/>
  <c r="AL18" i="7"/>
  <c r="AR18" i="7"/>
  <c r="AO18" i="7"/>
  <c r="AU18" i="7"/>
  <c r="AP17" i="7"/>
  <c r="AV17" i="7"/>
  <c r="AR17" i="7"/>
  <c r="AT17" i="7"/>
  <c r="AM17" i="7"/>
  <c r="AN17" i="7"/>
  <c r="AQ17" i="7"/>
  <c r="AO17" i="7"/>
  <c r="AU17" i="7"/>
  <c r="AL17" i="7"/>
  <c r="AS17" i="7"/>
  <c r="AW17" i="7"/>
  <c r="AR16" i="7"/>
  <c r="AN16" i="7"/>
  <c r="AW16" i="7"/>
  <c r="AS16" i="7"/>
  <c r="AL16" i="7"/>
  <c r="AQ16" i="7"/>
  <c r="AO16" i="7"/>
  <c r="AU16" i="7"/>
  <c r="AM16" i="7"/>
  <c r="AV16" i="7"/>
  <c r="AT16" i="7"/>
  <c r="AP16" i="7"/>
  <c r="AO15" i="7"/>
  <c r="AM15" i="7"/>
  <c r="AP15" i="7"/>
  <c r="AL15" i="7"/>
  <c r="AU15" i="7"/>
  <c r="AR15" i="7"/>
  <c r="AQ15" i="7"/>
  <c r="AS15" i="7"/>
  <c r="AV15" i="7"/>
  <c r="AT15" i="7"/>
  <c r="AW15" i="7"/>
  <c r="AN15" i="7"/>
  <c r="AW14" i="7"/>
  <c r="AN14" i="7"/>
  <c r="AQ14" i="7"/>
  <c r="AM14" i="7"/>
  <c r="AO14" i="7"/>
  <c r="AT14" i="7"/>
  <c r="AL14" i="7"/>
  <c r="AV14" i="7"/>
  <c r="AU14" i="7"/>
  <c r="AS14" i="7"/>
  <c r="AP14" i="7"/>
  <c r="AR14" i="7"/>
  <c r="AS13" i="7"/>
  <c r="AT13" i="7"/>
  <c r="AW13" i="7"/>
  <c r="AQ13" i="7"/>
  <c r="AN13" i="7"/>
  <c r="AO13" i="7"/>
  <c r="AV13" i="7"/>
  <c r="AU13" i="7"/>
  <c r="AP13" i="7"/>
  <c r="AL13" i="7"/>
  <c r="AM13" i="7"/>
  <c r="AR13" i="7"/>
  <c r="AE24" i="7"/>
  <c r="AE37" i="7"/>
  <c r="AS11" i="7"/>
  <c r="AL12" i="7"/>
  <c r="AU12" i="7"/>
  <c r="AO12" i="7"/>
  <c r="AT12" i="7"/>
  <c r="AD37" i="7"/>
  <c r="AD24" i="7"/>
  <c r="AR11" i="7"/>
  <c r="AF37" i="7"/>
  <c r="AF24" i="7"/>
  <c r="AT11" i="7"/>
  <c r="AW12" i="7"/>
  <c r="AB37" i="7"/>
  <c r="AP11" i="7"/>
  <c r="AB24" i="7"/>
  <c r="AN12" i="7"/>
  <c r="AS12" i="7"/>
  <c r="Z37" i="7"/>
  <c r="Z24" i="7"/>
  <c r="AN11" i="7"/>
  <c r="AG37" i="7"/>
  <c r="AG24" i="7"/>
  <c r="AU11" i="7"/>
  <c r="AP12" i="7"/>
  <c r="AV12" i="7"/>
  <c r="AC39" i="6"/>
  <c r="AC26" i="6"/>
  <c r="AB39" i="6"/>
  <c r="AB26" i="6"/>
  <c r="AE39" i="6"/>
  <c r="AE26" i="6"/>
  <c r="X39" i="6"/>
  <c r="X26" i="6"/>
  <c r="AI39" i="6"/>
  <c r="AI26" i="6"/>
  <c r="AD26" i="6"/>
  <c r="AD39" i="6"/>
  <c r="AD12" i="6"/>
  <c r="X12" i="6"/>
  <c r="AF12" i="6"/>
  <c r="Z12" i="6"/>
  <c r="W11" i="6"/>
  <c r="AE12" i="6"/>
  <c r="Y12" i="6"/>
  <c r="AC12" i="6"/>
  <c r="AB12" i="6"/>
  <c r="AG12" i="6"/>
  <c r="AA12" i="6"/>
  <c r="AI12" i="6"/>
  <c r="AH12" i="6"/>
  <c r="Y39" i="6"/>
  <c r="Y26" i="6"/>
  <c r="AA39" i="6"/>
  <c r="AA26" i="6"/>
  <c r="AH39" i="6"/>
  <c r="AH26" i="6"/>
  <c r="AF39" i="6"/>
  <c r="AF26" i="6"/>
  <c r="Z39" i="6"/>
  <c r="Z26" i="6"/>
  <c r="AG39" i="6"/>
  <c r="AG26" i="6"/>
  <c r="AB39" i="4"/>
  <c r="AB26" i="4"/>
  <c r="AE39" i="4"/>
  <c r="AE26" i="4"/>
  <c r="AH39" i="4"/>
  <c r="AH26" i="4"/>
  <c r="AG39" i="4"/>
  <c r="AG26" i="4"/>
  <c r="AF12" i="4"/>
  <c r="Z12" i="4"/>
  <c r="W11" i="4"/>
  <c r="AD12" i="4"/>
  <c r="AE12" i="4"/>
  <c r="Y12" i="4"/>
  <c r="X12" i="4"/>
  <c r="AI12" i="4"/>
  <c r="AC12" i="4"/>
  <c r="AH12" i="4"/>
  <c r="AB12" i="4"/>
  <c r="AA12" i="4"/>
  <c r="AG12" i="4"/>
  <c r="AA39" i="4"/>
  <c r="AA26" i="4"/>
  <c r="X39" i="4"/>
  <c r="X26" i="4"/>
  <c r="Z26" i="4"/>
  <c r="Z39" i="4"/>
  <c r="AC39" i="4"/>
  <c r="AC26" i="4"/>
  <c r="Y26" i="4"/>
  <c r="Y39" i="4"/>
  <c r="AD39" i="4"/>
  <c r="AD26" i="4"/>
  <c r="AF39" i="4"/>
  <c r="AF26" i="4"/>
  <c r="AI39" i="4"/>
  <c r="AI26" i="4"/>
  <c r="Z41" i="2"/>
  <c r="L41" i="2" s="1"/>
  <c r="Z28" i="2"/>
  <c r="L28" i="2" s="1"/>
  <c r="AG41" i="2"/>
  <c r="S41" i="2" s="1"/>
  <c r="AG28" i="2"/>
  <c r="S28" i="2" s="1"/>
  <c r="AB41" i="2"/>
  <c r="N41" i="2" s="1"/>
  <c r="AB28" i="2"/>
  <c r="N28" i="2" s="1"/>
  <c r="X41" i="2"/>
  <c r="J41" i="2" s="1"/>
  <c r="X28" i="2"/>
  <c r="J28" i="2" s="1"/>
  <c r="AI41" i="2"/>
  <c r="U41" i="2" s="1"/>
  <c r="AI28" i="2"/>
  <c r="U28" i="2" s="1"/>
  <c r="AH41" i="2"/>
  <c r="T41" i="2" s="1"/>
  <c r="AH28" i="2"/>
  <c r="T28" i="2" s="1"/>
  <c r="AD41" i="2"/>
  <c r="P41" i="2" s="1"/>
  <c r="AD28" i="2"/>
  <c r="P28" i="2" s="1"/>
  <c r="AA41" i="2"/>
  <c r="M41" i="2" s="1"/>
  <c r="AA28" i="2"/>
  <c r="M28" i="2" s="1"/>
  <c r="Y41" i="2"/>
  <c r="K41" i="2" s="1"/>
  <c r="Y28" i="2"/>
  <c r="K28" i="2" s="1"/>
  <c r="AF41" i="2"/>
  <c r="R41" i="2" s="1"/>
  <c r="AF28" i="2"/>
  <c r="R28" i="2" s="1"/>
  <c r="AE14" i="2"/>
  <c r="Q14" i="2" s="1"/>
  <c r="Y14" i="2"/>
  <c r="K14" i="2" s="1"/>
  <c r="AD14" i="2"/>
  <c r="P14" i="2" s="1"/>
  <c r="X14" i="2"/>
  <c r="J14" i="2" s="1"/>
  <c r="AG14" i="2"/>
  <c r="S14" i="2" s="1"/>
  <c r="AI14" i="2"/>
  <c r="U14" i="2" s="1"/>
  <c r="AC14" i="2"/>
  <c r="O14" i="2" s="1"/>
  <c r="AH14" i="2"/>
  <c r="T14" i="2" s="1"/>
  <c r="AB14" i="2"/>
  <c r="N14" i="2" s="1"/>
  <c r="AA14" i="2"/>
  <c r="M14" i="2" s="1"/>
  <c r="AF14" i="2"/>
  <c r="R14" i="2" s="1"/>
  <c r="Z14" i="2"/>
  <c r="L14" i="2" s="1"/>
  <c r="AC41" i="2"/>
  <c r="O41" i="2" s="1"/>
  <c r="AC28" i="2"/>
  <c r="O28" i="2" s="1"/>
  <c r="AE41" i="2"/>
  <c r="Q41" i="2" s="1"/>
  <c r="AE28" i="2"/>
  <c r="Q28" i="2" s="1"/>
  <c r="W13" i="2"/>
  <c r="W26" i="2"/>
  <c r="W39" i="2"/>
  <c r="AU25" i="8" l="1"/>
  <c r="AM25" i="8"/>
  <c r="AR37" i="8"/>
  <c r="AR24" i="8"/>
  <c r="AU37" i="8"/>
  <c r="AU24" i="8"/>
  <c r="AN39" i="8"/>
  <c r="AN26" i="8"/>
  <c r="AT39" i="8"/>
  <c r="AT26" i="8"/>
  <c r="AR40" i="8"/>
  <c r="AR27" i="8"/>
  <c r="AL40" i="8"/>
  <c r="AL27" i="8"/>
  <c r="AW41" i="8"/>
  <c r="AW28" i="8"/>
  <c r="AU41" i="8"/>
  <c r="AU28" i="8"/>
  <c r="AW42" i="8"/>
  <c r="AW29" i="8"/>
  <c r="AR42" i="8"/>
  <c r="AR29" i="8"/>
  <c r="AU30" i="8"/>
  <c r="AU43" i="8"/>
  <c r="AS43" i="8"/>
  <c r="AS30" i="8"/>
  <c r="AT44" i="8"/>
  <c r="AT31" i="8"/>
  <c r="AW31" i="8"/>
  <c r="AW44" i="8"/>
  <c r="AT32" i="8"/>
  <c r="AT45" i="8"/>
  <c r="AV32" i="8"/>
  <c r="AV45" i="8"/>
  <c r="AQ33" i="8"/>
  <c r="AQ46" i="8"/>
  <c r="AM33" i="8"/>
  <c r="AM46" i="8"/>
  <c r="AQ47" i="8"/>
  <c r="AQ34" i="8"/>
  <c r="AV34" i="8"/>
  <c r="AV47" i="8"/>
  <c r="AM37" i="8"/>
  <c r="AM24" i="8"/>
  <c r="AW39" i="8"/>
  <c r="AW26" i="8"/>
  <c r="AP39" i="8"/>
  <c r="AP26" i="8"/>
  <c r="AS40" i="8"/>
  <c r="AS27" i="8"/>
  <c r="AW40" i="8"/>
  <c r="AW27" i="8"/>
  <c r="AM41" i="8"/>
  <c r="AM28" i="8"/>
  <c r="AT41" i="8"/>
  <c r="AT28" i="8"/>
  <c r="AN42" i="8"/>
  <c r="AN29" i="8"/>
  <c r="AQ42" i="8"/>
  <c r="AQ29" i="8"/>
  <c r="AQ43" i="8"/>
  <c r="AQ30" i="8"/>
  <c r="AV43" i="8"/>
  <c r="AV30" i="8"/>
  <c r="AM31" i="8"/>
  <c r="AM44" i="8"/>
  <c r="AL44" i="8"/>
  <c r="AL31" i="8"/>
  <c r="AU45" i="8"/>
  <c r="AU32" i="8"/>
  <c r="AM45" i="8"/>
  <c r="AM32" i="8"/>
  <c r="AV33" i="8"/>
  <c r="AV46" i="8"/>
  <c r="AL33" i="8"/>
  <c r="AL46" i="8"/>
  <c r="AN34" i="8"/>
  <c r="AN47" i="8"/>
  <c r="AM47" i="8"/>
  <c r="AM34" i="8"/>
  <c r="AO37" i="8"/>
  <c r="AO24" i="8"/>
  <c r="AN37" i="8"/>
  <c r="AN24" i="8"/>
  <c r="AV37" i="8"/>
  <c r="AV24" i="8"/>
  <c r="AL38" i="8"/>
  <c r="AL25" i="8"/>
  <c r="AS39" i="8"/>
  <c r="AS26" i="8"/>
  <c r="AR39" i="8"/>
  <c r="AR26" i="8"/>
  <c r="AQ40" i="8"/>
  <c r="AQ27" i="8"/>
  <c r="AO40" i="8"/>
  <c r="AO27" i="8"/>
  <c r="AV28" i="8"/>
  <c r="AV41" i="8"/>
  <c r="AQ41" i="8"/>
  <c r="AQ28" i="8"/>
  <c r="AV42" i="8"/>
  <c r="AV29" i="8"/>
  <c r="AL42" i="8"/>
  <c r="AL29" i="8"/>
  <c r="AP30" i="8"/>
  <c r="AP43" i="8"/>
  <c r="AT43" i="8"/>
  <c r="AT30" i="8"/>
  <c r="AQ44" i="8"/>
  <c r="AQ31" i="8"/>
  <c r="AN44" i="8"/>
  <c r="AN31" i="8"/>
  <c r="AQ45" i="8"/>
  <c r="AQ32" i="8"/>
  <c r="AS45" i="8"/>
  <c r="AS32" i="8"/>
  <c r="AR33" i="8"/>
  <c r="AR46" i="8"/>
  <c r="AS33" i="8"/>
  <c r="AS46" i="8"/>
  <c r="AU34" i="8"/>
  <c r="AU47" i="8"/>
  <c r="AP34" i="8"/>
  <c r="AP47" i="8"/>
  <c r="AL37" i="8"/>
  <c r="AL24" i="8"/>
  <c r="AM39" i="8"/>
  <c r="AM26" i="8"/>
  <c r="AU39" i="8"/>
  <c r="AU26" i="8"/>
  <c r="AM40" i="8"/>
  <c r="AM27" i="8"/>
  <c r="AP40" i="8"/>
  <c r="AP27" i="8"/>
  <c r="AR41" i="8"/>
  <c r="AR28" i="8"/>
  <c r="AN28" i="8"/>
  <c r="AN41" i="8"/>
  <c r="AT42" i="8"/>
  <c r="AT29" i="8"/>
  <c r="AS29" i="8"/>
  <c r="AS42" i="8"/>
  <c r="AL43" i="8"/>
  <c r="AL30" i="8"/>
  <c r="AR43" i="8"/>
  <c r="AR30" i="8"/>
  <c r="AP44" i="8"/>
  <c r="AP31" i="8"/>
  <c r="AV44" i="8"/>
  <c r="AV31" i="8"/>
  <c r="AL45" i="8"/>
  <c r="AL32" i="8"/>
  <c r="AP45" i="8"/>
  <c r="AP32" i="8"/>
  <c r="AT46" i="8"/>
  <c r="AT33" i="8"/>
  <c r="AP46" i="8"/>
  <c r="AP33" i="8"/>
  <c r="AS34" i="8"/>
  <c r="AS47" i="8"/>
  <c r="AT47" i="8"/>
  <c r="AT34" i="8"/>
  <c r="F9" i="8"/>
  <c r="AT37" i="8"/>
  <c r="AT24" i="8"/>
  <c r="AQ37" i="8"/>
  <c r="AQ24" i="8"/>
  <c r="AS37" i="8"/>
  <c r="AS24" i="8"/>
  <c r="AP24" i="8"/>
  <c r="AP37" i="8"/>
  <c r="AQ39" i="8"/>
  <c r="AQ26" i="8"/>
  <c r="AL39" i="8"/>
  <c r="AL26" i="8"/>
  <c r="AN40" i="8"/>
  <c r="AN27" i="8"/>
  <c r="AU40" i="8"/>
  <c r="AU27" i="8"/>
  <c r="AL41" i="8"/>
  <c r="AL28" i="8"/>
  <c r="AS28" i="8"/>
  <c r="AS41" i="8"/>
  <c r="AP42" i="8"/>
  <c r="AP29" i="8"/>
  <c r="AU42" i="8"/>
  <c r="AU29" i="8"/>
  <c r="AO43" i="8"/>
  <c r="AO30" i="8"/>
  <c r="AW43" i="8"/>
  <c r="AW30" i="8"/>
  <c r="AR44" i="8"/>
  <c r="AR31" i="8"/>
  <c r="AU44" i="8"/>
  <c r="AU31" i="8"/>
  <c r="AO45" i="8"/>
  <c r="AO32" i="8"/>
  <c r="AR45" i="8"/>
  <c r="AR32" i="8"/>
  <c r="AU46" i="8"/>
  <c r="AU33" i="8"/>
  <c r="AO46" i="8"/>
  <c r="AO33" i="8"/>
  <c r="AL47" i="8"/>
  <c r="AL34" i="8"/>
  <c r="AR47" i="8"/>
  <c r="AR34" i="8"/>
  <c r="F22" i="8"/>
  <c r="AW38" i="8"/>
  <c r="AW25" i="8"/>
  <c r="AQ38" i="8"/>
  <c r="AQ25" i="8"/>
  <c r="AS38" i="8"/>
  <c r="AS25" i="8"/>
  <c r="AV39" i="8"/>
  <c r="AV26" i="8"/>
  <c r="AO26" i="8"/>
  <c r="AO39" i="8"/>
  <c r="AV40" i="8"/>
  <c r="AV27" i="8"/>
  <c r="AT40" i="8"/>
  <c r="AT27" i="8"/>
  <c r="AO41" i="8"/>
  <c r="AO28" i="8"/>
  <c r="AP41" i="8"/>
  <c r="AP28" i="8"/>
  <c r="AM42" i="8"/>
  <c r="AM29" i="8"/>
  <c r="AO42" i="8"/>
  <c r="AO29" i="8"/>
  <c r="AN43" i="8"/>
  <c r="AN30" i="8"/>
  <c r="AM43" i="8"/>
  <c r="AM30" i="8"/>
  <c r="AO44" i="8"/>
  <c r="AO31" i="8"/>
  <c r="AS44" i="8"/>
  <c r="AS31" i="8"/>
  <c r="AN45" i="8"/>
  <c r="AN32" i="8"/>
  <c r="AW45" i="8"/>
  <c r="AW32" i="8"/>
  <c r="AW46" i="8"/>
  <c r="AW33" i="8"/>
  <c r="AN46" i="8"/>
  <c r="AN33" i="8"/>
  <c r="AO34" i="8"/>
  <c r="AO47" i="8"/>
  <c r="AW47" i="8"/>
  <c r="AW34" i="8"/>
  <c r="F35" i="8"/>
  <c r="AV38" i="8"/>
  <c r="AV25" i="8"/>
  <c r="AW37" i="8"/>
  <c r="AW24" i="8"/>
  <c r="AM25" i="7"/>
  <c r="AL38" i="7"/>
  <c r="AL25" i="7"/>
  <c r="AP38" i="7"/>
  <c r="AP25" i="7"/>
  <c r="AT38" i="7"/>
  <c r="AT25" i="7"/>
  <c r="AU39" i="7"/>
  <c r="AU26" i="7"/>
  <c r="AT39" i="7"/>
  <c r="AT26" i="7"/>
  <c r="AV40" i="7"/>
  <c r="AV27" i="7"/>
  <c r="AN40" i="7"/>
  <c r="AN27" i="7"/>
  <c r="AS41" i="7"/>
  <c r="AS28" i="7"/>
  <c r="AM41" i="7"/>
  <c r="AM28" i="7"/>
  <c r="AU29" i="7"/>
  <c r="AU42" i="7"/>
  <c r="AN42" i="7"/>
  <c r="AN29" i="7"/>
  <c r="AO43" i="7"/>
  <c r="AO30" i="7"/>
  <c r="AV43" i="7"/>
  <c r="AV30" i="7"/>
  <c r="AP44" i="7"/>
  <c r="AP31" i="7"/>
  <c r="AT44" i="7"/>
  <c r="AT31" i="7"/>
  <c r="AR32" i="7"/>
  <c r="AR45" i="7"/>
  <c r="AT45" i="7"/>
  <c r="AT32" i="7"/>
  <c r="AQ46" i="7"/>
  <c r="AQ33" i="7"/>
  <c r="AN46" i="7"/>
  <c r="AN33" i="7"/>
  <c r="AT47" i="7"/>
  <c r="AT34" i="7"/>
  <c r="AR47" i="7"/>
  <c r="AR34" i="7"/>
  <c r="AQ38" i="7"/>
  <c r="AQ25" i="7"/>
  <c r="AQ37" i="7"/>
  <c r="AQ24" i="7"/>
  <c r="AO27" i="7"/>
  <c r="AO40" i="7"/>
  <c r="AP37" i="7"/>
  <c r="AP24" i="7"/>
  <c r="AO25" i="7"/>
  <c r="AO38" i="7"/>
  <c r="AV39" i="7"/>
  <c r="AV26" i="7"/>
  <c r="AS39" i="7"/>
  <c r="AS26" i="7"/>
  <c r="AL40" i="7"/>
  <c r="AL27" i="7"/>
  <c r="AW40" i="7"/>
  <c r="AW27" i="7"/>
  <c r="AQ41" i="7"/>
  <c r="AQ28" i="7"/>
  <c r="AO41" i="7"/>
  <c r="AO28" i="7"/>
  <c r="AO29" i="7"/>
  <c r="AO42" i="7"/>
  <c r="AR42" i="7"/>
  <c r="AR29" i="7"/>
  <c r="AQ43" i="7"/>
  <c r="AQ30" i="7"/>
  <c r="AP43" i="7"/>
  <c r="AP30" i="7"/>
  <c r="AW44" i="7"/>
  <c r="AW31" i="7"/>
  <c r="AN44" i="7"/>
  <c r="AN31" i="7"/>
  <c r="AM45" i="7"/>
  <c r="AM32" i="7"/>
  <c r="AO45" i="7"/>
  <c r="AO32" i="7"/>
  <c r="AM46" i="7"/>
  <c r="AM33" i="7"/>
  <c r="AL33" i="7"/>
  <c r="AL46" i="7"/>
  <c r="AQ47" i="7"/>
  <c r="AQ34" i="7"/>
  <c r="AL47" i="7"/>
  <c r="AL34" i="7"/>
  <c r="AR38" i="7"/>
  <c r="AR25" i="7"/>
  <c r="AS38" i="7"/>
  <c r="AS25" i="7"/>
  <c r="AW41" i="7"/>
  <c r="AW28" i="7"/>
  <c r="AU37" i="7"/>
  <c r="AU24" i="7"/>
  <c r="AU25" i="7"/>
  <c r="AU38" i="7"/>
  <c r="AR26" i="7"/>
  <c r="AR39" i="7"/>
  <c r="AO39" i="7"/>
  <c r="AO26" i="7"/>
  <c r="AR40" i="7"/>
  <c r="AR27" i="7"/>
  <c r="AT40" i="7"/>
  <c r="AT27" i="7"/>
  <c r="AN41" i="7"/>
  <c r="AN28" i="7"/>
  <c r="AR28" i="7"/>
  <c r="AR41" i="7"/>
  <c r="AP42" i="7"/>
  <c r="AP29" i="7"/>
  <c r="AQ42" i="7"/>
  <c r="AQ29" i="7"/>
  <c r="AW43" i="7"/>
  <c r="AW30" i="7"/>
  <c r="AN43" i="7"/>
  <c r="AN30" i="7"/>
  <c r="AU31" i="7"/>
  <c r="AU44" i="7"/>
  <c r="AV44" i="7"/>
  <c r="AV31" i="7"/>
  <c r="AQ45" i="7"/>
  <c r="AQ32" i="7"/>
  <c r="AP45" i="7"/>
  <c r="AP32" i="7"/>
  <c r="AU46" i="7"/>
  <c r="AU33" i="7"/>
  <c r="AV33" i="7"/>
  <c r="AV46" i="7"/>
  <c r="AM34" i="7"/>
  <c r="AM47" i="7"/>
  <c r="AN47" i="7"/>
  <c r="AN34" i="7"/>
  <c r="F9" i="7"/>
  <c r="AM37" i="7"/>
  <c r="AM24" i="7"/>
  <c r="AV37" i="7"/>
  <c r="AV24" i="7"/>
  <c r="AR24" i="7"/>
  <c r="AR37" i="7"/>
  <c r="AP40" i="7"/>
  <c r="AP27" i="7"/>
  <c r="AL42" i="7"/>
  <c r="AL29" i="7"/>
  <c r="AM43" i="7"/>
  <c r="AM30" i="7"/>
  <c r="AM44" i="7"/>
  <c r="AM31" i="7"/>
  <c r="AS45" i="7"/>
  <c r="AS32" i="7"/>
  <c r="AS46" i="7"/>
  <c r="AS33" i="7"/>
  <c r="AO46" i="7"/>
  <c r="AO33" i="7"/>
  <c r="AU34" i="7"/>
  <c r="AU47" i="7"/>
  <c r="AW47" i="7"/>
  <c r="AW34" i="7"/>
  <c r="AL24" i="7"/>
  <c r="AL37" i="7"/>
  <c r="AO37" i="7"/>
  <c r="AO24" i="7"/>
  <c r="AM39" i="7"/>
  <c r="AM26" i="7"/>
  <c r="AU41" i="7"/>
  <c r="AU28" i="7"/>
  <c r="AS43" i="7"/>
  <c r="AS30" i="7"/>
  <c r="AL32" i="7"/>
  <c r="AL45" i="7"/>
  <c r="AN38" i="7"/>
  <c r="AN25" i="7"/>
  <c r="AL26" i="7"/>
  <c r="AL39" i="7"/>
  <c r="AQ39" i="7"/>
  <c r="AQ26" i="7"/>
  <c r="AS40" i="7"/>
  <c r="AS27" i="7"/>
  <c r="AM40" i="7"/>
  <c r="AM27" i="7"/>
  <c r="AT41" i="7"/>
  <c r="AT28" i="7"/>
  <c r="AL28" i="7"/>
  <c r="AL41" i="7"/>
  <c r="AV42" i="7"/>
  <c r="AV29" i="7"/>
  <c r="AS42" i="7"/>
  <c r="AS29" i="7"/>
  <c r="AL30" i="7"/>
  <c r="AL43" i="7"/>
  <c r="AT43" i="7"/>
  <c r="AT30" i="7"/>
  <c r="AR44" i="7"/>
  <c r="AR31" i="7"/>
  <c r="AQ44" i="7"/>
  <c r="AQ31" i="7"/>
  <c r="AU45" i="7"/>
  <c r="AU32" i="7"/>
  <c r="AW45" i="7"/>
  <c r="AW32" i="7"/>
  <c r="AP33" i="7"/>
  <c r="AP46" i="7"/>
  <c r="AT46" i="7"/>
  <c r="AT33" i="7"/>
  <c r="AP47" i="7"/>
  <c r="AP34" i="7"/>
  <c r="AV47" i="7"/>
  <c r="AV34" i="7"/>
  <c r="F22" i="7"/>
  <c r="AW37" i="7"/>
  <c r="AW24" i="7"/>
  <c r="AW38" i="7"/>
  <c r="AW25" i="7"/>
  <c r="AN39" i="7"/>
  <c r="AN26" i="7"/>
  <c r="AT42" i="7"/>
  <c r="AT29" i="7"/>
  <c r="AO31" i="7"/>
  <c r="AO44" i="7"/>
  <c r="AV38" i="7"/>
  <c r="AV25" i="7"/>
  <c r="AN37" i="7"/>
  <c r="AN24" i="7"/>
  <c r="AT37" i="7"/>
  <c r="AT24" i="7"/>
  <c r="AS37" i="7"/>
  <c r="AS24" i="7"/>
  <c r="AP39" i="7"/>
  <c r="AP26" i="7"/>
  <c r="AW39" i="7"/>
  <c r="AW26" i="7"/>
  <c r="AU27" i="7"/>
  <c r="AU40" i="7"/>
  <c r="AQ40" i="7"/>
  <c r="AQ27" i="7"/>
  <c r="AV41" i="7"/>
  <c r="AV28" i="7"/>
  <c r="AP41" i="7"/>
  <c r="AP28" i="7"/>
  <c r="AM42" i="7"/>
  <c r="AM29" i="7"/>
  <c r="AW42" i="7"/>
  <c r="AW29" i="7"/>
  <c r="AU43" i="7"/>
  <c r="AU30" i="7"/>
  <c r="AR30" i="7"/>
  <c r="AR43" i="7"/>
  <c r="AL44" i="7"/>
  <c r="AL31" i="7"/>
  <c r="AS44" i="7"/>
  <c r="AS31" i="7"/>
  <c r="AN45" i="7"/>
  <c r="AN32" i="7"/>
  <c r="AV45" i="7"/>
  <c r="AV32" i="7"/>
  <c r="AW46" i="7"/>
  <c r="AW33" i="7"/>
  <c r="AR33" i="7"/>
  <c r="AR46" i="7"/>
  <c r="AO34" i="7"/>
  <c r="AO47" i="7"/>
  <c r="AS34" i="7"/>
  <c r="AS47" i="7"/>
  <c r="F35" i="7"/>
  <c r="AI38" i="6"/>
  <c r="AI25" i="6"/>
  <c r="AE38" i="6"/>
  <c r="AE25" i="6"/>
  <c r="AA38" i="6"/>
  <c r="AA25" i="6"/>
  <c r="AG11" i="6"/>
  <c r="AA11" i="6"/>
  <c r="AI11" i="6"/>
  <c r="AC11" i="6"/>
  <c r="AH11" i="6"/>
  <c r="AB11" i="6"/>
  <c r="AF11" i="6"/>
  <c r="AE11" i="6"/>
  <c r="AD11" i="6"/>
  <c r="Z11" i="6"/>
  <c r="Y11" i="6"/>
  <c r="X11" i="6"/>
  <c r="AG38" i="6"/>
  <c r="AG25" i="6"/>
  <c r="Z25" i="6"/>
  <c r="Z38" i="6"/>
  <c r="AB25" i="6"/>
  <c r="AB38" i="6"/>
  <c r="AF38" i="6"/>
  <c r="AF25" i="6"/>
  <c r="AC38" i="6"/>
  <c r="AC25" i="6"/>
  <c r="X38" i="6"/>
  <c r="X25" i="6"/>
  <c r="AH38" i="6"/>
  <c r="AH25" i="6"/>
  <c r="Y38" i="6"/>
  <c r="Y25" i="6"/>
  <c r="AD38" i="6"/>
  <c r="AD25" i="6"/>
  <c r="Z38" i="4"/>
  <c r="Z25" i="4"/>
  <c r="AG38" i="4"/>
  <c r="AG25" i="4"/>
  <c r="X38" i="4"/>
  <c r="X25" i="4"/>
  <c r="AF38" i="4"/>
  <c r="AF25" i="4"/>
  <c r="AI38" i="4"/>
  <c r="AI25" i="4"/>
  <c r="AA38" i="4"/>
  <c r="AA25" i="4"/>
  <c r="Y38" i="4"/>
  <c r="Y25" i="4"/>
  <c r="AE38" i="4"/>
  <c r="AE25" i="4"/>
  <c r="AH38" i="4"/>
  <c r="AH25" i="4"/>
  <c r="AD38" i="4"/>
  <c r="AD25" i="4"/>
  <c r="AB25" i="4"/>
  <c r="AB38" i="4"/>
  <c r="AC38" i="4"/>
  <c r="AC25" i="4"/>
  <c r="AI11" i="4"/>
  <c r="AC11" i="4"/>
  <c r="AG11" i="4"/>
  <c r="AH11" i="4"/>
  <c r="AB11" i="4"/>
  <c r="AA11" i="4"/>
  <c r="AF11" i="4"/>
  <c r="Z11" i="4"/>
  <c r="AE11" i="4"/>
  <c r="Y11" i="4"/>
  <c r="AD11" i="4"/>
  <c r="X11" i="4"/>
  <c r="AF40" i="2"/>
  <c r="R40" i="2" s="1"/>
  <c r="AF27" i="2"/>
  <c r="R27" i="2" s="1"/>
  <c r="AG40" i="2"/>
  <c r="S40" i="2" s="1"/>
  <c r="AG27" i="2"/>
  <c r="S27" i="2" s="1"/>
  <c r="Z40" i="2"/>
  <c r="L40" i="2" s="1"/>
  <c r="Z27" i="2"/>
  <c r="L27" i="2" s="1"/>
  <c r="AA40" i="2"/>
  <c r="M40" i="2" s="1"/>
  <c r="AA27" i="2"/>
  <c r="M27" i="2" s="1"/>
  <c r="X40" i="2"/>
  <c r="J40" i="2" s="1"/>
  <c r="X27" i="2"/>
  <c r="J27" i="2" s="1"/>
  <c r="AB40" i="2"/>
  <c r="N40" i="2" s="1"/>
  <c r="AB27" i="2"/>
  <c r="N27" i="2" s="1"/>
  <c r="AD40" i="2"/>
  <c r="P40" i="2" s="1"/>
  <c r="AD27" i="2"/>
  <c r="P27" i="2" s="1"/>
  <c r="AI40" i="2"/>
  <c r="U40" i="2" s="1"/>
  <c r="AI27" i="2"/>
  <c r="U27" i="2" s="1"/>
  <c r="AH40" i="2"/>
  <c r="T40" i="2" s="1"/>
  <c r="AH27" i="2"/>
  <c r="T27" i="2" s="1"/>
  <c r="Y40" i="2"/>
  <c r="K40" i="2" s="1"/>
  <c r="Y27" i="2"/>
  <c r="K27" i="2" s="1"/>
  <c r="AE13" i="2"/>
  <c r="Q13" i="2" s="1"/>
  <c r="Y13" i="2"/>
  <c r="K13" i="2" s="1"/>
  <c r="AD13" i="2"/>
  <c r="P13" i="2" s="1"/>
  <c r="X13" i="2"/>
  <c r="J13" i="2" s="1"/>
  <c r="AA13" i="2"/>
  <c r="M13" i="2" s="1"/>
  <c r="AI13" i="2"/>
  <c r="U13" i="2" s="1"/>
  <c r="AC13" i="2"/>
  <c r="O13" i="2" s="1"/>
  <c r="AG13" i="2"/>
  <c r="S13" i="2" s="1"/>
  <c r="AH13" i="2"/>
  <c r="T13" i="2" s="1"/>
  <c r="AB13" i="2"/>
  <c r="N13" i="2" s="1"/>
  <c r="Z13" i="2"/>
  <c r="L13" i="2" s="1"/>
  <c r="AF13" i="2"/>
  <c r="R13" i="2" s="1"/>
  <c r="AC40" i="2"/>
  <c r="O40" i="2" s="1"/>
  <c r="AC27" i="2"/>
  <c r="O27" i="2" s="1"/>
  <c r="AE40" i="2"/>
  <c r="Q40" i="2" s="1"/>
  <c r="AE27" i="2"/>
  <c r="Q27" i="2" s="1"/>
  <c r="W38" i="2"/>
  <c r="W25" i="2"/>
  <c r="W12" i="2"/>
  <c r="AU12" i="6" l="1"/>
  <c r="AU38" i="6" s="1"/>
  <c r="AQ12" i="6"/>
  <c r="AB37" i="6"/>
  <c r="AP11" i="6"/>
  <c r="AB24" i="6"/>
  <c r="AO12" i="6"/>
  <c r="AP12" i="6"/>
  <c r="Y37" i="6"/>
  <c r="Y24" i="6"/>
  <c r="AM11" i="6"/>
  <c r="AH24" i="6"/>
  <c r="AH37" i="6"/>
  <c r="AV11" i="6"/>
  <c r="AR12" i="6"/>
  <c r="AL12" i="6"/>
  <c r="AT12" i="6"/>
  <c r="Z37" i="6"/>
  <c r="AN11" i="6"/>
  <c r="Z24" i="6"/>
  <c r="AC37" i="6"/>
  <c r="AC24" i="6"/>
  <c r="AQ11" i="6"/>
  <c r="X37" i="6"/>
  <c r="X24" i="6"/>
  <c r="AL11" i="6"/>
  <c r="AL21" i="6"/>
  <c r="AR21" i="6"/>
  <c r="AT21" i="6"/>
  <c r="AO21" i="6"/>
  <c r="AV21" i="6"/>
  <c r="AM21" i="6"/>
  <c r="AS21" i="6"/>
  <c r="AW21" i="6"/>
  <c r="AN21" i="6"/>
  <c r="AP21" i="6"/>
  <c r="AQ21" i="6"/>
  <c r="AU21" i="6"/>
  <c r="AW20" i="6"/>
  <c r="AQ20" i="6"/>
  <c r="AM20" i="6"/>
  <c r="AN20" i="6"/>
  <c r="AV20" i="6"/>
  <c r="AT20" i="6"/>
  <c r="AL20" i="6"/>
  <c r="AP20" i="6"/>
  <c r="AS20" i="6"/>
  <c r="AU20" i="6"/>
  <c r="AR20" i="6"/>
  <c r="AO20" i="6"/>
  <c r="AP19" i="6"/>
  <c r="AR19" i="6"/>
  <c r="AO19" i="6"/>
  <c r="AQ19" i="6"/>
  <c r="AT19" i="6"/>
  <c r="AN19" i="6"/>
  <c r="AV19" i="6"/>
  <c r="AM19" i="6"/>
  <c r="AL19" i="6"/>
  <c r="AU19" i="6"/>
  <c r="AW19" i="6"/>
  <c r="AS19" i="6"/>
  <c r="AQ18" i="6"/>
  <c r="AU18" i="6"/>
  <c r="AT18" i="6"/>
  <c r="AM18" i="6"/>
  <c r="AP18" i="6"/>
  <c r="AV18" i="6"/>
  <c r="AN18" i="6"/>
  <c r="AL18" i="6"/>
  <c r="AW18" i="6"/>
  <c r="AS18" i="6"/>
  <c r="AO18" i="6"/>
  <c r="AR18" i="6"/>
  <c r="AU17" i="6"/>
  <c r="AS17" i="6"/>
  <c r="AW17" i="6"/>
  <c r="AM17" i="6"/>
  <c r="AT17" i="6"/>
  <c r="AN17" i="6"/>
  <c r="AQ17" i="6"/>
  <c r="AL17" i="6"/>
  <c r="AR17" i="6"/>
  <c r="AV17" i="6"/>
  <c r="AO17" i="6"/>
  <c r="AP17" i="6"/>
  <c r="AQ16" i="6"/>
  <c r="AW16" i="6"/>
  <c r="AV16" i="6"/>
  <c r="AS16" i="6"/>
  <c r="AT16" i="6"/>
  <c r="AL16" i="6"/>
  <c r="AR16" i="6"/>
  <c r="AU16" i="6"/>
  <c r="AN16" i="6"/>
  <c r="AM16" i="6"/>
  <c r="AO16" i="6"/>
  <c r="AP16" i="6"/>
  <c r="AW15" i="6"/>
  <c r="AM15" i="6"/>
  <c r="AL15" i="6"/>
  <c r="AT15" i="6"/>
  <c r="AN15" i="6"/>
  <c r="AR15" i="6"/>
  <c r="AO15" i="6"/>
  <c r="AP15" i="6"/>
  <c r="AS15" i="6"/>
  <c r="AV15" i="6"/>
  <c r="AQ15" i="6"/>
  <c r="AU15" i="6"/>
  <c r="AV14" i="6"/>
  <c r="AQ14" i="6"/>
  <c r="AL14" i="6"/>
  <c r="AT14" i="6"/>
  <c r="AP14" i="6"/>
  <c r="AN14" i="6"/>
  <c r="AM14" i="6"/>
  <c r="AS14" i="6"/>
  <c r="AO14" i="6"/>
  <c r="AW14" i="6"/>
  <c r="AR14" i="6"/>
  <c r="AU14" i="6"/>
  <c r="AP13" i="6"/>
  <c r="AO13" i="6"/>
  <c r="AV13" i="6"/>
  <c r="AN13" i="6"/>
  <c r="AW13" i="6"/>
  <c r="AT13" i="6"/>
  <c r="AQ13" i="6"/>
  <c r="AL13" i="6"/>
  <c r="AM13" i="6"/>
  <c r="AS13" i="6"/>
  <c r="AU13" i="6"/>
  <c r="AR13" i="6"/>
  <c r="AV12" i="6"/>
  <c r="AD37" i="6"/>
  <c r="AD24" i="6"/>
  <c r="AR11" i="6"/>
  <c r="AI37" i="6"/>
  <c r="AI24" i="6"/>
  <c r="AW11" i="6"/>
  <c r="AE37" i="6"/>
  <c r="AE24" i="6"/>
  <c r="AS11" i="6"/>
  <c r="AA37" i="6"/>
  <c r="AO11" i="6"/>
  <c r="AA24" i="6"/>
  <c r="AW12" i="6"/>
  <c r="AM12" i="6"/>
  <c r="AN12" i="6"/>
  <c r="AF37" i="6"/>
  <c r="AT11" i="6"/>
  <c r="AF24" i="6"/>
  <c r="AG37" i="6"/>
  <c r="AU11" i="6"/>
  <c r="AG24" i="6"/>
  <c r="AS12" i="6"/>
  <c r="AU12" i="4"/>
  <c r="AU38" i="4" s="1"/>
  <c r="AA37" i="4"/>
  <c r="AA24" i="4"/>
  <c r="AO11" i="4"/>
  <c r="AO12" i="4"/>
  <c r="AW12" i="4"/>
  <c r="AD37" i="4"/>
  <c r="AD24" i="4"/>
  <c r="AR11" i="4"/>
  <c r="AB37" i="4"/>
  <c r="AB24" i="4"/>
  <c r="AP11" i="4"/>
  <c r="AQ12" i="4"/>
  <c r="AV12" i="4"/>
  <c r="AL12" i="4"/>
  <c r="Y37" i="4"/>
  <c r="Y24" i="4"/>
  <c r="AM11" i="4"/>
  <c r="AH37" i="4"/>
  <c r="AH24" i="4"/>
  <c r="AV11" i="4"/>
  <c r="AT12" i="4"/>
  <c r="AN12" i="4"/>
  <c r="AG37" i="4"/>
  <c r="AG24" i="4"/>
  <c r="AU11" i="4"/>
  <c r="AR12" i="4"/>
  <c r="AM12" i="4"/>
  <c r="AE24" i="4"/>
  <c r="AE37" i="4"/>
  <c r="AS11" i="4"/>
  <c r="Z37" i="4"/>
  <c r="AN11" i="4"/>
  <c r="Z24" i="4"/>
  <c r="AC37" i="4"/>
  <c r="AC24" i="4"/>
  <c r="AQ11" i="4"/>
  <c r="X37" i="4"/>
  <c r="X24" i="4"/>
  <c r="AL11" i="4"/>
  <c r="AV21" i="4"/>
  <c r="AN21" i="4"/>
  <c r="AT21" i="4"/>
  <c r="AR21" i="4"/>
  <c r="AL21" i="4"/>
  <c r="AQ21" i="4"/>
  <c r="AP21" i="4"/>
  <c r="AO21" i="4"/>
  <c r="AM21" i="4"/>
  <c r="AU21" i="4"/>
  <c r="AS21" i="4"/>
  <c r="AW21" i="4"/>
  <c r="AM20" i="4"/>
  <c r="AO20" i="4"/>
  <c r="AW20" i="4"/>
  <c r="AV20" i="4"/>
  <c r="AU20" i="4"/>
  <c r="AL20" i="4"/>
  <c r="AR20" i="4"/>
  <c r="AQ20" i="4"/>
  <c r="AS20" i="4"/>
  <c r="AN20" i="4"/>
  <c r="AT20" i="4"/>
  <c r="AP20" i="4"/>
  <c r="AQ19" i="4"/>
  <c r="AM19" i="4"/>
  <c r="AP19" i="4"/>
  <c r="AS19" i="4"/>
  <c r="AV19" i="4"/>
  <c r="AL19" i="4"/>
  <c r="AW19" i="4"/>
  <c r="AU19" i="4"/>
  <c r="AO19" i="4"/>
  <c r="AR19" i="4"/>
  <c r="AN19" i="4"/>
  <c r="AT19" i="4"/>
  <c r="AW18" i="4"/>
  <c r="AL18" i="4"/>
  <c r="AV18" i="4"/>
  <c r="AU18" i="4"/>
  <c r="AS18" i="4"/>
  <c r="AN18" i="4"/>
  <c r="AT18" i="4"/>
  <c r="AR18" i="4"/>
  <c r="AM18" i="4"/>
  <c r="AO18" i="4"/>
  <c r="AQ18" i="4"/>
  <c r="AP18" i="4"/>
  <c r="AW17" i="4"/>
  <c r="AP17" i="4"/>
  <c r="AT17" i="4"/>
  <c r="AL17" i="4"/>
  <c r="AM17" i="4"/>
  <c r="AS17" i="4"/>
  <c r="AN17" i="4"/>
  <c r="AV17" i="4"/>
  <c r="AQ17" i="4"/>
  <c r="AO17" i="4"/>
  <c r="AR17" i="4"/>
  <c r="AU17" i="4"/>
  <c r="AU16" i="4"/>
  <c r="AS16" i="4"/>
  <c r="AV16" i="4"/>
  <c r="AL16" i="4"/>
  <c r="AM16" i="4"/>
  <c r="AP16" i="4"/>
  <c r="AW16" i="4"/>
  <c r="AQ16" i="4"/>
  <c r="AR16" i="4"/>
  <c r="AT16" i="4"/>
  <c r="AO16" i="4"/>
  <c r="AN16" i="4"/>
  <c r="AN15" i="4"/>
  <c r="AT15" i="4"/>
  <c r="AM15" i="4"/>
  <c r="AS15" i="4"/>
  <c r="AQ15" i="4"/>
  <c r="AW15" i="4"/>
  <c r="AP15" i="4"/>
  <c r="AR15" i="4"/>
  <c r="AU15" i="4"/>
  <c r="AV15" i="4"/>
  <c r="AO15" i="4"/>
  <c r="AL15" i="4"/>
  <c r="AP14" i="4"/>
  <c r="AW14" i="4"/>
  <c r="AN14" i="4"/>
  <c r="AT14" i="4"/>
  <c r="AR14" i="4"/>
  <c r="AL14" i="4"/>
  <c r="AU14" i="4"/>
  <c r="AO14" i="4"/>
  <c r="AM14" i="4"/>
  <c r="AV14" i="4"/>
  <c r="AQ14" i="4"/>
  <c r="AS14" i="4"/>
  <c r="AS13" i="4"/>
  <c r="AL13" i="4"/>
  <c r="AT13" i="4"/>
  <c r="AW13" i="4"/>
  <c r="AO13" i="4"/>
  <c r="AP13" i="4"/>
  <c r="AQ13" i="4"/>
  <c r="AU13" i="4"/>
  <c r="AN13" i="4"/>
  <c r="AM13" i="4"/>
  <c r="AR13" i="4"/>
  <c r="AV13" i="4"/>
  <c r="AF24" i="4"/>
  <c r="AT11" i="4"/>
  <c r="AF37" i="4"/>
  <c r="AI37" i="4"/>
  <c r="AW11" i="4"/>
  <c r="AI24" i="4"/>
  <c r="AP12" i="4"/>
  <c r="AS12" i="4"/>
  <c r="AF39" i="2"/>
  <c r="R39" i="2" s="1"/>
  <c r="AF26" i="2"/>
  <c r="R26" i="2" s="1"/>
  <c r="Z39" i="2"/>
  <c r="L39" i="2" s="1"/>
  <c r="Z26" i="2"/>
  <c r="L26" i="2" s="1"/>
  <c r="AA39" i="2"/>
  <c r="M39" i="2" s="1"/>
  <c r="AA26" i="2"/>
  <c r="M26" i="2" s="1"/>
  <c r="AI39" i="2"/>
  <c r="U39" i="2" s="1"/>
  <c r="AI26" i="2"/>
  <c r="U26" i="2" s="1"/>
  <c r="AB39" i="2"/>
  <c r="N39" i="2" s="1"/>
  <c r="AB26" i="2"/>
  <c r="N26" i="2" s="1"/>
  <c r="X39" i="2"/>
  <c r="J39" i="2" s="1"/>
  <c r="X26" i="2"/>
  <c r="J26" i="2" s="1"/>
  <c r="AH39" i="2"/>
  <c r="T39" i="2" s="1"/>
  <c r="AH26" i="2"/>
  <c r="T26" i="2" s="1"/>
  <c r="AD39" i="2"/>
  <c r="P39" i="2" s="1"/>
  <c r="AD26" i="2"/>
  <c r="P26" i="2" s="1"/>
  <c r="AE12" i="2"/>
  <c r="Q12" i="2" s="1"/>
  <c r="Y12" i="2"/>
  <c r="K12" i="2" s="1"/>
  <c r="AD12" i="2"/>
  <c r="P12" i="2" s="1"/>
  <c r="X12" i="2"/>
  <c r="J12" i="2" s="1"/>
  <c r="AI12" i="2"/>
  <c r="U12" i="2" s="1"/>
  <c r="AC12" i="2"/>
  <c r="O12" i="2" s="1"/>
  <c r="AG12" i="2"/>
  <c r="S12" i="2" s="1"/>
  <c r="AH12" i="2"/>
  <c r="T12" i="2" s="1"/>
  <c r="AB12" i="2"/>
  <c r="N12" i="2" s="1"/>
  <c r="AA12" i="2"/>
  <c r="M12" i="2" s="1"/>
  <c r="Z12" i="2"/>
  <c r="L12" i="2" s="1"/>
  <c r="AF12" i="2"/>
  <c r="R12" i="2" s="1"/>
  <c r="AG39" i="2"/>
  <c r="S39" i="2" s="1"/>
  <c r="AG26" i="2"/>
  <c r="S26" i="2" s="1"/>
  <c r="Y39" i="2"/>
  <c r="K39" i="2" s="1"/>
  <c r="Y26" i="2"/>
  <c r="K26" i="2" s="1"/>
  <c r="AC39" i="2"/>
  <c r="O39" i="2" s="1"/>
  <c r="AC26" i="2"/>
  <c r="O26" i="2" s="1"/>
  <c r="AE39" i="2"/>
  <c r="Q39" i="2" s="1"/>
  <c r="AE26" i="2"/>
  <c r="Q26" i="2" s="1"/>
  <c r="W11" i="2"/>
  <c r="W24" i="2"/>
  <c r="W37" i="2"/>
  <c r="AU25" i="6" l="1"/>
  <c r="AL39" i="6"/>
  <c r="AL26" i="6"/>
  <c r="AM41" i="6"/>
  <c r="AM28" i="6"/>
  <c r="AL31" i="6"/>
  <c r="AL44" i="6"/>
  <c r="AP46" i="6"/>
  <c r="AP33" i="6"/>
  <c r="AN37" i="6"/>
  <c r="AN24" i="6"/>
  <c r="AS39" i="6"/>
  <c r="AS26" i="6"/>
  <c r="AN39" i="6"/>
  <c r="AN26" i="6"/>
  <c r="AW40" i="6"/>
  <c r="AW27" i="6"/>
  <c r="AT27" i="6"/>
  <c r="AT40" i="6"/>
  <c r="AV41" i="6"/>
  <c r="AV28" i="6"/>
  <c r="AT41" i="6"/>
  <c r="AT28" i="6"/>
  <c r="AM42" i="6"/>
  <c r="AM29" i="6"/>
  <c r="AS42" i="6"/>
  <c r="AS29" i="6"/>
  <c r="AV30" i="6"/>
  <c r="AV43" i="6"/>
  <c r="AM43" i="6"/>
  <c r="AM30" i="6"/>
  <c r="AS31" i="6"/>
  <c r="AS44" i="6"/>
  <c r="AM44" i="6"/>
  <c r="AM31" i="6"/>
  <c r="AU32" i="6"/>
  <c r="AU45" i="6"/>
  <c r="AQ45" i="6"/>
  <c r="AQ32" i="6"/>
  <c r="AU46" i="6"/>
  <c r="AU33" i="6"/>
  <c r="AN33" i="6"/>
  <c r="AN46" i="6"/>
  <c r="AP47" i="6"/>
  <c r="AP34" i="6"/>
  <c r="AO47" i="6"/>
  <c r="AO34" i="6"/>
  <c r="F35" i="6"/>
  <c r="AR38" i="6"/>
  <c r="AR25" i="6"/>
  <c r="AM37" i="6"/>
  <c r="AM24" i="6"/>
  <c r="AP37" i="6"/>
  <c r="AP24" i="6"/>
  <c r="AQ40" i="6"/>
  <c r="AQ27" i="6"/>
  <c r="AL43" i="6"/>
  <c r="AL30" i="6"/>
  <c r="AR45" i="6"/>
  <c r="AR32" i="6"/>
  <c r="AR47" i="6"/>
  <c r="AR34" i="6"/>
  <c r="AT37" i="6"/>
  <c r="AT24" i="6"/>
  <c r="AO37" i="6"/>
  <c r="AO24" i="6"/>
  <c r="AW37" i="6"/>
  <c r="AW24" i="6"/>
  <c r="AM39" i="6"/>
  <c r="AM26" i="6"/>
  <c r="AV39" i="6"/>
  <c r="AV26" i="6"/>
  <c r="AO40" i="6"/>
  <c r="AO27" i="6"/>
  <c r="AL27" i="6"/>
  <c r="AL40" i="6"/>
  <c r="AS41" i="6"/>
  <c r="AS28" i="6"/>
  <c r="AL41" i="6"/>
  <c r="AL28" i="6"/>
  <c r="AN42" i="6"/>
  <c r="AN29" i="6"/>
  <c r="AV42" i="6"/>
  <c r="AV29" i="6"/>
  <c r="AR43" i="6"/>
  <c r="AR30" i="6"/>
  <c r="AW43" i="6"/>
  <c r="AW30" i="6"/>
  <c r="AW31" i="6"/>
  <c r="AW44" i="6"/>
  <c r="AT44" i="6"/>
  <c r="AT31" i="6"/>
  <c r="AL45" i="6"/>
  <c r="AL32" i="6"/>
  <c r="AO45" i="6"/>
  <c r="AO32" i="6"/>
  <c r="AS46" i="6"/>
  <c r="AS33" i="6"/>
  <c r="AM33" i="6"/>
  <c r="AM46" i="6"/>
  <c r="AN34" i="6"/>
  <c r="AN47" i="6"/>
  <c r="AT34" i="6"/>
  <c r="AT47" i="6"/>
  <c r="F9" i="6"/>
  <c r="AV37" i="6"/>
  <c r="AV24" i="6"/>
  <c r="AN38" i="6"/>
  <c r="AN25" i="6"/>
  <c r="AO39" i="6"/>
  <c r="AO26" i="6"/>
  <c r="AU42" i="6"/>
  <c r="AU29" i="6"/>
  <c r="AU44" i="6"/>
  <c r="AU31" i="6"/>
  <c r="AQ37" i="6"/>
  <c r="AQ24" i="6"/>
  <c r="AM25" i="6"/>
  <c r="AM38" i="6"/>
  <c r="AV38" i="6"/>
  <c r="AV25" i="6"/>
  <c r="AQ39" i="6"/>
  <c r="AQ26" i="6"/>
  <c r="AP26" i="6"/>
  <c r="AP39" i="6"/>
  <c r="AM40" i="6"/>
  <c r="AM27" i="6"/>
  <c r="AV40" i="6"/>
  <c r="AV27" i="6"/>
  <c r="AO41" i="6"/>
  <c r="AO28" i="6"/>
  <c r="AW41" i="6"/>
  <c r="AW28" i="6"/>
  <c r="AR29" i="6"/>
  <c r="AR42" i="6"/>
  <c r="AQ42" i="6"/>
  <c r="AQ29" i="6"/>
  <c r="AQ43" i="6"/>
  <c r="AQ30" i="6"/>
  <c r="AU43" i="6"/>
  <c r="AU30" i="6"/>
  <c r="AN44" i="6"/>
  <c r="AN31" i="6"/>
  <c r="AQ31" i="6"/>
  <c r="AQ44" i="6"/>
  <c r="AV45" i="6"/>
  <c r="AV32" i="6"/>
  <c r="AP32" i="6"/>
  <c r="AP45" i="6"/>
  <c r="AL46" i="6"/>
  <c r="AL33" i="6"/>
  <c r="AW46" i="6"/>
  <c r="AW33" i="6"/>
  <c r="AS47" i="6"/>
  <c r="AS34" i="6"/>
  <c r="AL47" i="6"/>
  <c r="AL34" i="6"/>
  <c r="AP38" i="6"/>
  <c r="AP25" i="6"/>
  <c r="AQ38" i="6"/>
  <c r="AQ25" i="6"/>
  <c r="AS40" i="6"/>
  <c r="AS27" i="6"/>
  <c r="AW42" i="6"/>
  <c r="AW29" i="6"/>
  <c r="AM45" i="6"/>
  <c r="AM32" i="6"/>
  <c r="AW34" i="6"/>
  <c r="AW47" i="6"/>
  <c r="AT39" i="6"/>
  <c r="AT26" i="6"/>
  <c r="AU40" i="6"/>
  <c r="AU27" i="6"/>
  <c r="AU28" i="6"/>
  <c r="AU41" i="6"/>
  <c r="AR41" i="6"/>
  <c r="AR28" i="6"/>
  <c r="AP42" i="6"/>
  <c r="AP29" i="6"/>
  <c r="AL42" i="6"/>
  <c r="AL29" i="6"/>
  <c r="AP43" i="6"/>
  <c r="AP30" i="6"/>
  <c r="AN43" i="6"/>
  <c r="AN30" i="6"/>
  <c r="AR44" i="6"/>
  <c r="AR31" i="6"/>
  <c r="AV44" i="6"/>
  <c r="AV31" i="6"/>
  <c r="AS45" i="6"/>
  <c r="AS32" i="6"/>
  <c r="AN32" i="6"/>
  <c r="AN45" i="6"/>
  <c r="AO46" i="6"/>
  <c r="AO33" i="6"/>
  <c r="AT33" i="6"/>
  <c r="AT46" i="6"/>
  <c r="AU34" i="6"/>
  <c r="AU47" i="6"/>
  <c r="AM47" i="6"/>
  <c r="AM34" i="6"/>
  <c r="AL37" i="6"/>
  <c r="AL24" i="6"/>
  <c r="AT38" i="6"/>
  <c r="AT25" i="6"/>
  <c r="AO25" i="6"/>
  <c r="AO38" i="6"/>
  <c r="AU37" i="6"/>
  <c r="AU24" i="6"/>
  <c r="AP41" i="6"/>
  <c r="AP28" i="6"/>
  <c r="AS43" i="6"/>
  <c r="AS30" i="6"/>
  <c r="AQ33" i="6"/>
  <c r="AQ46" i="6"/>
  <c r="AW38" i="6"/>
  <c r="AW25" i="6"/>
  <c r="AS37" i="6"/>
  <c r="AS24" i="6"/>
  <c r="AR39" i="6"/>
  <c r="AR26" i="6"/>
  <c r="AN40" i="6"/>
  <c r="AN27" i="6"/>
  <c r="AS38" i="6"/>
  <c r="AS25" i="6"/>
  <c r="AR24" i="6"/>
  <c r="AR37" i="6"/>
  <c r="AU39" i="6"/>
  <c r="AU26" i="6"/>
  <c r="AW39" i="6"/>
  <c r="AW26" i="6"/>
  <c r="AR40" i="6"/>
  <c r="AR27" i="6"/>
  <c r="AP40" i="6"/>
  <c r="AP27" i="6"/>
  <c r="AQ41" i="6"/>
  <c r="AQ28" i="6"/>
  <c r="AN28" i="6"/>
  <c r="AN41" i="6"/>
  <c r="AO42" i="6"/>
  <c r="AO29" i="6"/>
  <c r="AT42" i="6"/>
  <c r="AT29" i="6"/>
  <c r="AO30" i="6"/>
  <c r="AO43" i="6"/>
  <c r="AT30" i="6"/>
  <c r="AT43" i="6"/>
  <c r="AO44" i="6"/>
  <c r="AO31" i="6"/>
  <c r="AP44" i="6"/>
  <c r="AP31" i="6"/>
  <c r="AW32" i="6"/>
  <c r="AW45" i="6"/>
  <c r="AT32" i="6"/>
  <c r="AT45" i="6"/>
  <c r="AR46" i="6"/>
  <c r="AR33" i="6"/>
  <c r="AV46" i="6"/>
  <c r="AV33" i="6"/>
  <c r="AQ34" i="6"/>
  <c r="AQ47" i="6"/>
  <c r="AV47" i="6"/>
  <c r="AV34" i="6"/>
  <c r="F22" i="6"/>
  <c r="AL25" i="6"/>
  <c r="AL38" i="6"/>
  <c r="AU25" i="4"/>
  <c r="AM40" i="4"/>
  <c r="AM27" i="4"/>
  <c r="AV29" i="4"/>
  <c r="AV42" i="4"/>
  <c r="AO45" i="4"/>
  <c r="AO32" i="4"/>
  <c r="AT34" i="4"/>
  <c r="AT47" i="4"/>
  <c r="AV38" i="4"/>
  <c r="AV25" i="4"/>
  <c r="AU39" i="4"/>
  <c r="AU26" i="4"/>
  <c r="AL26" i="4"/>
  <c r="AL39" i="4"/>
  <c r="AO27" i="4"/>
  <c r="AO40" i="4"/>
  <c r="AW40" i="4"/>
  <c r="AW27" i="4"/>
  <c r="AR28" i="4"/>
  <c r="AR41" i="4"/>
  <c r="AT41" i="4"/>
  <c r="AT28" i="4"/>
  <c r="AQ42" i="4"/>
  <c r="AQ29" i="4"/>
  <c r="AS42" i="4"/>
  <c r="AS29" i="4"/>
  <c r="AV43" i="4"/>
  <c r="AV30" i="4"/>
  <c r="AP43" i="4"/>
  <c r="AP30" i="4"/>
  <c r="AR44" i="4"/>
  <c r="AR31" i="4"/>
  <c r="AL44" i="4"/>
  <c r="AL31" i="4"/>
  <c r="AU45" i="4"/>
  <c r="AU32" i="4"/>
  <c r="AM32" i="4"/>
  <c r="AM45" i="4"/>
  <c r="AQ33" i="4"/>
  <c r="AQ46" i="4"/>
  <c r="AO33" i="4"/>
  <c r="AO46" i="4"/>
  <c r="AO34" i="4"/>
  <c r="AO47" i="4"/>
  <c r="AN34" i="4"/>
  <c r="AN47" i="4"/>
  <c r="AQ37" i="4"/>
  <c r="AQ24" i="4"/>
  <c r="AN37" i="4"/>
  <c r="AN24" i="4"/>
  <c r="AM38" i="4"/>
  <c r="AM25" i="4"/>
  <c r="AN38" i="4"/>
  <c r="AN25" i="4"/>
  <c r="AQ38" i="4"/>
  <c r="AQ25" i="4"/>
  <c r="AO37" i="4"/>
  <c r="AO24" i="4"/>
  <c r="AN39" i="4"/>
  <c r="AN26" i="4"/>
  <c r="AM28" i="4"/>
  <c r="AM41" i="4"/>
  <c r="AM44" i="4"/>
  <c r="AM31" i="4"/>
  <c r="AM47" i="4"/>
  <c r="AM34" i="4"/>
  <c r="AT37" i="4"/>
  <c r="AT24" i="4"/>
  <c r="AW37" i="4"/>
  <c r="AW24" i="4"/>
  <c r="AQ39" i="4"/>
  <c r="AQ26" i="4"/>
  <c r="AS26" i="4"/>
  <c r="AS39" i="4"/>
  <c r="AU27" i="4"/>
  <c r="AU40" i="4"/>
  <c r="AP27" i="4"/>
  <c r="AP40" i="4"/>
  <c r="AP41" i="4"/>
  <c r="AP28" i="4"/>
  <c r="AN41" i="4"/>
  <c r="AN28" i="4"/>
  <c r="AW42" i="4"/>
  <c r="AW29" i="4"/>
  <c r="AU29" i="4"/>
  <c r="AU42" i="4"/>
  <c r="AN43" i="4"/>
  <c r="AN30" i="4"/>
  <c r="AW43" i="4"/>
  <c r="AW30" i="4"/>
  <c r="AT44" i="4"/>
  <c r="AT31" i="4"/>
  <c r="AW44" i="4"/>
  <c r="AW31" i="4"/>
  <c r="AW45" i="4"/>
  <c r="AW32" i="4"/>
  <c r="AQ45" i="4"/>
  <c r="AQ32" i="4"/>
  <c r="AR33" i="4"/>
  <c r="AR46" i="4"/>
  <c r="AM46" i="4"/>
  <c r="AM33" i="4"/>
  <c r="AP47" i="4"/>
  <c r="AP34" i="4"/>
  <c r="AV47" i="4"/>
  <c r="AV34" i="4"/>
  <c r="AR38" i="4"/>
  <c r="AR25" i="4"/>
  <c r="AT38" i="4"/>
  <c r="AT25" i="4"/>
  <c r="AM37" i="4"/>
  <c r="AM24" i="4"/>
  <c r="AT39" i="4"/>
  <c r="AT26" i="4"/>
  <c r="AR42" i="4"/>
  <c r="AR29" i="4"/>
  <c r="AV31" i="4"/>
  <c r="AV44" i="4"/>
  <c r="AW33" i="4"/>
  <c r="AW46" i="4"/>
  <c r="F35" i="4"/>
  <c r="AR24" i="4"/>
  <c r="AR37" i="4"/>
  <c r="AS40" i="4"/>
  <c r="AS27" i="4"/>
  <c r="AL28" i="4"/>
  <c r="AL41" i="4"/>
  <c r="AW41" i="4"/>
  <c r="AW28" i="4"/>
  <c r="AN42" i="4"/>
  <c r="AN29" i="4"/>
  <c r="AP29" i="4"/>
  <c r="AP42" i="4"/>
  <c r="AU43" i="4"/>
  <c r="AU30" i="4"/>
  <c r="AS30" i="4"/>
  <c r="AS43" i="4"/>
  <c r="AP31" i="4"/>
  <c r="AP44" i="4"/>
  <c r="AN44" i="4"/>
  <c r="AN31" i="4"/>
  <c r="AT45" i="4"/>
  <c r="AT32" i="4"/>
  <c r="AL32" i="4"/>
  <c r="AL45" i="4"/>
  <c r="AP33" i="4"/>
  <c r="AP46" i="4"/>
  <c r="AL33" i="4"/>
  <c r="AL46" i="4"/>
  <c r="AW47" i="4"/>
  <c r="AW34" i="4"/>
  <c r="AQ47" i="4"/>
  <c r="AQ34" i="4"/>
  <c r="AL37" i="4"/>
  <c r="AL24" i="4"/>
  <c r="AP37" i="4"/>
  <c r="AP24" i="4"/>
  <c r="AU41" i="4"/>
  <c r="AU28" i="4"/>
  <c r="AT43" i="4"/>
  <c r="AT30" i="4"/>
  <c r="AS46" i="4"/>
  <c r="AS33" i="4"/>
  <c r="AV39" i="4"/>
  <c r="AV26" i="4"/>
  <c r="AL40" i="4"/>
  <c r="AL27" i="4"/>
  <c r="AR26" i="4"/>
  <c r="AR39" i="4"/>
  <c r="AO39" i="4"/>
  <c r="AO26" i="4"/>
  <c r="AQ40" i="4"/>
  <c r="AQ27" i="4"/>
  <c r="AR40" i="4"/>
  <c r="AR27" i="4"/>
  <c r="AO41" i="4"/>
  <c r="AO28" i="4"/>
  <c r="AQ41" i="4"/>
  <c r="AQ28" i="4"/>
  <c r="AO29" i="4"/>
  <c r="AO42" i="4"/>
  <c r="AM42" i="4"/>
  <c r="AM29" i="4"/>
  <c r="AR30" i="4"/>
  <c r="AR43" i="4"/>
  <c r="AM30" i="4"/>
  <c r="AM43" i="4"/>
  <c r="AQ44" i="4"/>
  <c r="AQ31" i="4"/>
  <c r="AS44" i="4"/>
  <c r="AS31" i="4"/>
  <c r="AN45" i="4"/>
  <c r="AN32" i="4"/>
  <c r="AV45" i="4"/>
  <c r="AV32" i="4"/>
  <c r="AT46" i="4"/>
  <c r="AT33" i="4"/>
  <c r="AU33" i="4"/>
  <c r="AU46" i="4"/>
  <c r="AS34" i="4"/>
  <c r="AS47" i="4"/>
  <c r="AL47" i="4"/>
  <c r="AL34" i="4"/>
  <c r="F22" i="4"/>
  <c r="AS37" i="4"/>
  <c r="AS24" i="4"/>
  <c r="AU37" i="4"/>
  <c r="AU24" i="4"/>
  <c r="AV37" i="4"/>
  <c r="AV24" i="4"/>
  <c r="AW38" i="4"/>
  <c r="AW25" i="4"/>
  <c r="AP25" i="4"/>
  <c r="AP38" i="4"/>
  <c r="AN40" i="4"/>
  <c r="AN27" i="4"/>
  <c r="AQ43" i="4"/>
  <c r="AQ30" i="4"/>
  <c r="AP45" i="4"/>
  <c r="AP32" i="4"/>
  <c r="AP39" i="4"/>
  <c r="AP26" i="4"/>
  <c r="AS38" i="4"/>
  <c r="AS25" i="4"/>
  <c r="AM26" i="4"/>
  <c r="AM39" i="4"/>
  <c r="AW39" i="4"/>
  <c r="AW26" i="4"/>
  <c r="AV27" i="4"/>
  <c r="AV40" i="4"/>
  <c r="AT40" i="4"/>
  <c r="AT27" i="4"/>
  <c r="AV41" i="4"/>
  <c r="AV28" i="4"/>
  <c r="AS28" i="4"/>
  <c r="AS41" i="4"/>
  <c r="AT42" i="4"/>
  <c r="AT29" i="4"/>
  <c r="AL42" i="4"/>
  <c r="AL29" i="4"/>
  <c r="AO43" i="4"/>
  <c r="AO30" i="4"/>
  <c r="AL30" i="4"/>
  <c r="AL43" i="4"/>
  <c r="AO31" i="4"/>
  <c r="AO44" i="4"/>
  <c r="AU31" i="4"/>
  <c r="AU44" i="4"/>
  <c r="AR32" i="4"/>
  <c r="AR45" i="4"/>
  <c r="AS32" i="4"/>
  <c r="AS45" i="4"/>
  <c r="AN46" i="4"/>
  <c r="AN33" i="4"/>
  <c r="AV33" i="4"/>
  <c r="AV46" i="4"/>
  <c r="AU34" i="4"/>
  <c r="AU47" i="4"/>
  <c r="AR34" i="4"/>
  <c r="AR47" i="4"/>
  <c r="F9" i="4"/>
  <c r="AL38" i="4"/>
  <c r="AL25" i="4"/>
  <c r="AO25" i="4"/>
  <c r="AO38" i="4"/>
  <c r="Z38" i="2"/>
  <c r="L38" i="2" s="1"/>
  <c r="Z25" i="2"/>
  <c r="L25" i="2" s="1"/>
  <c r="AI38" i="2"/>
  <c r="U38" i="2" s="1"/>
  <c r="AI25" i="2"/>
  <c r="U25" i="2" s="1"/>
  <c r="AC38" i="2"/>
  <c r="O38" i="2" s="1"/>
  <c r="AC25" i="2"/>
  <c r="O25" i="2" s="1"/>
  <c r="AA38" i="2"/>
  <c r="M38" i="2" s="1"/>
  <c r="AA25" i="2"/>
  <c r="M25" i="2" s="1"/>
  <c r="X38" i="2"/>
  <c r="J38" i="2" s="1"/>
  <c r="X25" i="2"/>
  <c r="J25" i="2" s="1"/>
  <c r="AF38" i="2"/>
  <c r="R38" i="2" s="1"/>
  <c r="AF25" i="2"/>
  <c r="R25" i="2" s="1"/>
  <c r="AB38" i="2"/>
  <c r="N38" i="2" s="1"/>
  <c r="AB25" i="2"/>
  <c r="N25" i="2" s="1"/>
  <c r="AD38" i="2"/>
  <c r="P38" i="2" s="1"/>
  <c r="AD25" i="2"/>
  <c r="P25" i="2" s="1"/>
  <c r="AH38" i="2"/>
  <c r="T38" i="2" s="1"/>
  <c r="AH25" i="2"/>
  <c r="T25" i="2" s="1"/>
  <c r="Y38" i="2"/>
  <c r="K38" i="2" s="1"/>
  <c r="Y25" i="2"/>
  <c r="K25" i="2" s="1"/>
  <c r="AE11" i="2"/>
  <c r="Q11" i="2" s="1"/>
  <c r="Y11" i="2"/>
  <c r="K11" i="2" s="1"/>
  <c r="AD11" i="2"/>
  <c r="P11" i="2" s="1"/>
  <c r="X11" i="2"/>
  <c r="J11" i="2" s="1"/>
  <c r="AG11" i="2"/>
  <c r="S11" i="2" s="1"/>
  <c r="AI11" i="2"/>
  <c r="U11" i="2" s="1"/>
  <c r="AC11" i="2"/>
  <c r="O11" i="2" s="1"/>
  <c r="AA11" i="2"/>
  <c r="M11" i="2" s="1"/>
  <c r="AH11" i="2"/>
  <c r="T11" i="2" s="1"/>
  <c r="AB11" i="2"/>
  <c r="N11" i="2" s="1"/>
  <c r="AF11" i="2"/>
  <c r="R11" i="2" s="1"/>
  <c r="Z11" i="2"/>
  <c r="L11" i="2" s="1"/>
  <c r="AG38" i="2"/>
  <c r="S38" i="2" s="1"/>
  <c r="AG25" i="2"/>
  <c r="S25" i="2" s="1"/>
  <c r="AE38" i="2"/>
  <c r="Q38" i="2" s="1"/>
  <c r="AE25" i="2"/>
  <c r="Q25" i="2" s="1"/>
  <c r="C8" i="2" l="1"/>
  <c r="AG37" i="2"/>
  <c r="S37" i="2" s="1"/>
  <c r="AG24" i="2"/>
  <c r="S24" i="2" s="1"/>
  <c r="AF37" i="2"/>
  <c r="R37" i="2" s="1"/>
  <c r="AF24" i="2"/>
  <c r="R24" i="2" s="1"/>
  <c r="AB37" i="2"/>
  <c r="N37" i="2" s="1"/>
  <c r="AB24" i="2"/>
  <c r="N24" i="2" s="1"/>
  <c r="X37" i="2"/>
  <c r="J37" i="2" s="1"/>
  <c r="X24" i="2"/>
  <c r="J24" i="2" s="1"/>
  <c r="AH37" i="2"/>
  <c r="T37" i="2" s="1"/>
  <c r="AH24" i="2"/>
  <c r="T24" i="2" s="1"/>
  <c r="AD37" i="2"/>
  <c r="P37" i="2" s="1"/>
  <c r="AD24" i="2"/>
  <c r="P24" i="2" s="1"/>
  <c r="AI37" i="2"/>
  <c r="U37" i="2" s="1"/>
  <c r="AI24" i="2"/>
  <c r="U24" i="2" s="1"/>
  <c r="AA37" i="2"/>
  <c r="M37" i="2" s="1"/>
  <c r="AA24" i="2"/>
  <c r="M24" i="2" s="1"/>
  <c r="Y37" i="2"/>
  <c r="K37" i="2" s="1"/>
  <c r="Y24" i="2"/>
  <c r="K24" i="2" s="1"/>
  <c r="Z37" i="2"/>
  <c r="L37" i="2" s="1"/>
  <c r="Z24" i="2"/>
  <c r="L24" i="2" s="1"/>
  <c r="AC37" i="2"/>
  <c r="O37" i="2" s="1"/>
  <c r="AC24" i="2"/>
  <c r="O24" i="2" s="1"/>
  <c r="AE37" i="2"/>
  <c r="Q37" i="2" s="1"/>
  <c r="AE24" i="2"/>
  <c r="Q24" i="2" s="1"/>
  <c r="C9" i="2" l="1"/>
  <c r="C10" i="2"/>
  <c r="AW11" i="2"/>
  <c r="AW24" i="2" s="1"/>
  <c r="AQ11" i="2"/>
  <c r="AR11" i="2"/>
  <c r="AL11" i="2"/>
  <c r="AN11" i="2"/>
  <c r="AT21" i="2"/>
  <c r="AN21" i="2"/>
  <c r="AV21" i="2"/>
  <c r="AO20" i="2"/>
  <c r="AS20" i="2"/>
  <c r="AM21" i="2"/>
  <c r="AU20" i="2"/>
  <c r="AT20" i="2"/>
  <c r="AU21" i="2"/>
  <c r="AL21" i="2"/>
  <c r="AR21" i="2"/>
  <c r="AO21" i="2"/>
  <c r="AQ21" i="2"/>
  <c r="AR20" i="2"/>
  <c r="AQ20" i="2"/>
  <c r="AP20" i="2"/>
  <c r="AW21" i="2"/>
  <c r="AP21" i="2"/>
  <c r="AS21" i="2"/>
  <c r="AM20" i="2"/>
  <c r="AV20" i="2"/>
  <c r="AL20" i="2"/>
  <c r="AW20" i="2"/>
  <c r="AN20" i="2"/>
  <c r="AQ19" i="2"/>
  <c r="AU19" i="2"/>
  <c r="AR19" i="2"/>
  <c r="AO19" i="2"/>
  <c r="AV19" i="2"/>
  <c r="AN19" i="2"/>
  <c r="AL19" i="2"/>
  <c r="AM19" i="2"/>
  <c r="AW19" i="2"/>
  <c r="AT19" i="2"/>
  <c r="AS19" i="2"/>
  <c r="AP19" i="2"/>
  <c r="AT18" i="2"/>
  <c r="AR18" i="2"/>
  <c r="AW18" i="2"/>
  <c r="AP18" i="2"/>
  <c r="AQ18" i="2"/>
  <c r="AN18" i="2"/>
  <c r="AM18" i="2"/>
  <c r="AV18" i="2"/>
  <c r="AS18" i="2"/>
  <c r="AU18" i="2"/>
  <c r="AO18" i="2"/>
  <c r="AL18" i="2"/>
  <c r="AT17" i="2"/>
  <c r="AN17" i="2"/>
  <c r="AU17" i="2"/>
  <c r="AO17" i="2"/>
  <c r="AP17" i="2"/>
  <c r="AQ17" i="2"/>
  <c r="AL17" i="2"/>
  <c r="AV17" i="2"/>
  <c r="AR17" i="2"/>
  <c r="AW17" i="2"/>
  <c r="AM17" i="2"/>
  <c r="AS17" i="2"/>
  <c r="AP16" i="2"/>
  <c r="AM16" i="2"/>
  <c r="AS16" i="2"/>
  <c r="AW16" i="2"/>
  <c r="AU16" i="2"/>
  <c r="AN16" i="2"/>
  <c r="AT16" i="2"/>
  <c r="AO16" i="2"/>
  <c r="AR16" i="2"/>
  <c r="AV16" i="2"/>
  <c r="AQ16" i="2"/>
  <c r="AL16" i="2"/>
  <c r="AL15" i="2"/>
  <c r="AV15" i="2"/>
  <c r="AT15" i="2"/>
  <c r="AO15" i="2"/>
  <c r="AQ15" i="2"/>
  <c r="AU15" i="2"/>
  <c r="AS15" i="2"/>
  <c r="AW15" i="2"/>
  <c r="AM15" i="2"/>
  <c r="AN15" i="2"/>
  <c r="AP15" i="2"/>
  <c r="AR15" i="2"/>
  <c r="AT14" i="2"/>
  <c r="AN14" i="2"/>
  <c r="AU14" i="2"/>
  <c r="AW14" i="2"/>
  <c r="AO14" i="2"/>
  <c r="AV14" i="2"/>
  <c r="AL14" i="2"/>
  <c r="AM14" i="2"/>
  <c r="AP14" i="2"/>
  <c r="AQ14" i="2"/>
  <c r="AR14" i="2"/>
  <c r="AS14" i="2"/>
  <c r="AN13" i="2"/>
  <c r="AP13" i="2"/>
  <c r="AO13" i="2"/>
  <c r="AU13" i="2"/>
  <c r="AV13" i="2"/>
  <c r="AW13" i="2"/>
  <c r="AM13" i="2"/>
  <c r="AL13" i="2"/>
  <c r="AR13" i="2"/>
  <c r="AQ13" i="2"/>
  <c r="AT13" i="2"/>
  <c r="AS13" i="2"/>
  <c r="AN12" i="2"/>
  <c r="AQ12" i="2"/>
  <c r="AL12" i="2"/>
  <c r="AO12" i="2"/>
  <c r="AW12" i="2"/>
  <c r="AV12" i="2"/>
  <c r="AT12" i="2"/>
  <c r="AM12" i="2"/>
  <c r="AR12" i="2"/>
  <c r="AS12" i="2"/>
  <c r="AP12" i="2"/>
  <c r="AU12" i="2"/>
  <c r="AV11" i="2"/>
  <c r="AM11" i="2"/>
  <c r="AU11" i="2"/>
  <c r="AS11" i="2"/>
  <c r="AP11" i="2"/>
  <c r="AO11" i="2"/>
  <c r="AT11" i="2"/>
  <c r="AW37" i="2" l="1"/>
  <c r="AV25" i="2"/>
  <c r="AV38" i="2"/>
  <c r="AS27" i="2"/>
  <c r="AS40" i="2"/>
  <c r="AV40" i="2"/>
  <c r="AV27" i="2"/>
  <c r="AR28" i="2"/>
  <c r="AR41" i="2"/>
  <c r="AU41" i="2"/>
  <c r="AU28" i="2"/>
  <c r="AL42" i="2"/>
  <c r="AL29" i="2"/>
  <c r="AN42" i="2"/>
  <c r="AN29" i="2"/>
  <c r="AS43" i="2"/>
  <c r="AS30" i="2"/>
  <c r="AQ30" i="2"/>
  <c r="AQ43" i="2"/>
  <c r="AL44" i="2"/>
  <c r="AL31" i="2"/>
  <c r="AN44" i="2"/>
  <c r="AN31" i="2"/>
  <c r="AP45" i="2"/>
  <c r="AP32" i="2"/>
  <c r="AN45" i="2"/>
  <c r="AN32" i="2"/>
  <c r="AN33" i="2"/>
  <c r="AN46" i="2"/>
  <c r="AP47" i="2"/>
  <c r="AP34" i="2"/>
  <c r="AO47" i="2"/>
  <c r="AO34" i="2"/>
  <c r="AM47" i="2"/>
  <c r="AM34" i="2"/>
  <c r="AQ37" i="2"/>
  <c r="AQ24" i="2"/>
  <c r="AU37" i="2"/>
  <c r="AU24" i="2"/>
  <c r="AP25" i="2"/>
  <c r="AP38" i="2"/>
  <c r="AW25" i="2"/>
  <c r="AW38" i="2"/>
  <c r="AT26" i="2"/>
  <c r="AT39" i="2"/>
  <c r="AV39" i="2"/>
  <c r="AV26" i="2"/>
  <c r="AR40" i="2"/>
  <c r="AR27" i="2"/>
  <c r="AO40" i="2"/>
  <c r="AO27" i="2"/>
  <c r="AP41" i="2"/>
  <c r="AP28" i="2"/>
  <c r="AQ41" i="2"/>
  <c r="AQ28" i="2"/>
  <c r="AQ42" i="2"/>
  <c r="AQ29" i="2"/>
  <c r="AU42" i="2"/>
  <c r="AU29" i="2"/>
  <c r="AM43" i="2"/>
  <c r="AM30" i="2"/>
  <c r="AP43" i="2"/>
  <c r="AP30" i="2"/>
  <c r="AO44" i="2"/>
  <c r="AO31" i="2"/>
  <c r="AQ31" i="2"/>
  <c r="AQ44" i="2"/>
  <c r="AS45" i="2"/>
  <c r="AS32" i="2"/>
  <c r="AV45" i="2"/>
  <c r="AV32" i="2"/>
  <c r="AW46" i="2"/>
  <c r="AW33" i="2"/>
  <c r="AW47" i="2"/>
  <c r="AW34" i="2"/>
  <c r="AR34" i="2"/>
  <c r="AR47" i="2"/>
  <c r="AS46" i="2"/>
  <c r="AS33" i="2"/>
  <c r="AP46" i="2"/>
  <c r="AP33" i="2"/>
  <c r="AN37" i="2"/>
  <c r="AN24" i="2"/>
  <c r="AR38" i="2"/>
  <c r="AR25" i="2"/>
  <c r="AR39" i="2"/>
  <c r="AR26" i="2"/>
  <c r="AP27" i="2"/>
  <c r="AP40" i="2"/>
  <c r="AM41" i="2"/>
  <c r="AM28" i="2"/>
  <c r="AR29" i="2"/>
  <c r="AR42" i="2"/>
  <c r="AR30" i="2"/>
  <c r="AR43" i="2"/>
  <c r="AS44" i="2"/>
  <c r="AS31" i="2"/>
  <c r="AW44" i="2"/>
  <c r="AW31" i="2"/>
  <c r="AW32" i="2"/>
  <c r="AW45" i="2"/>
  <c r="AR45" i="2"/>
  <c r="AR32" i="2"/>
  <c r="AV33" i="2"/>
  <c r="AV46" i="2"/>
  <c r="AQ46" i="2"/>
  <c r="AQ33" i="2"/>
  <c r="AU34" i="2"/>
  <c r="AU47" i="2"/>
  <c r="AV47" i="2"/>
  <c r="AV34" i="2"/>
  <c r="AU25" i="2"/>
  <c r="AU38" i="2"/>
  <c r="AW39" i="2"/>
  <c r="AW26" i="2"/>
  <c r="AM37" i="2"/>
  <c r="AM24" i="2"/>
  <c r="AS38" i="2"/>
  <c r="AS25" i="2"/>
  <c r="AQ39" i="2"/>
  <c r="AQ26" i="2"/>
  <c r="AQ40" i="2"/>
  <c r="AQ27" i="2"/>
  <c r="AW40" i="2"/>
  <c r="AW27" i="2"/>
  <c r="AO41" i="2"/>
  <c r="AO28" i="2"/>
  <c r="AO43" i="2"/>
  <c r="AO30" i="2"/>
  <c r="AU44" i="2"/>
  <c r="AU31" i="2"/>
  <c r="AP31" i="2"/>
  <c r="AP44" i="2"/>
  <c r="AT45" i="2"/>
  <c r="AT32" i="2"/>
  <c r="AO32" i="2"/>
  <c r="AO45" i="2"/>
  <c r="AL46" i="2"/>
  <c r="AL33" i="2"/>
  <c r="AL34" i="2"/>
  <c r="AL47" i="2"/>
  <c r="AO46" i="2"/>
  <c r="AO33" i="2"/>
  <c r="AL38" i="2"/>
  <c r="AL25" i="2"/>
  <c r="AO26" i="2"/>
  <c r="AO39" i="2"/>
  <c r="AU27" i="2"/>
  <c r="AU40" i="2"/>
  <c r="AT41" i="2"/>
  <c r="AT28" i="2"/>
  <c r="AS29" i="2"/>
  <c r="AS42" i="2"/>
  <c r="AU43" i="2"/>
  <c r="AU30" i="2"/>
  <c r="AT37" i="2"/>
  <c r="AT24" i="2"/>
  <c r="AP37" i="2"/>
  <c r="AP24" i="2"/>
  <c r="AM38" i="2"/>
  <c r="AM25" i="2"/>
  <c r="AQ38" i="2"/>
  <c r="AQ25" i="2"/>
  <c r="AL39" i="2"/>
  <c r="AL26" i="2"/>
  <c r="AP39" i="2"/>
  <c r="AP26" i="2"/>
  <c r="AM40" i="2"/>
  <c r="AM27" i="2"/>
  <c r="AN40" i="2"/>
  <c r="AN27" i="2"/>
  <c r="AW41" i="2"/>
  <c r="AW28" i="2"/>
  <c r="AV41" i="2"/>
  <c r="AV28" i="2"/>
  <c r="AO42" i="2"/>
  <c r="AO29" i="2"/>
  <c r="AM42" i="2"/>
  <c r="AM29" i="2"/>
  <c r="AV30" i="2"/>
  <c r="AV43" i="2"/>
  <c r="AN43" i="2"/>
  <c r="AN30" i="2"/>
  <c r="AV44" i="2"/>
  <c r="AV31" i="2"/>
  <c r="AR44" i="2"/>
  <c r="AR31" i="2"/>
  <c r="AM45" i="2"/>
  <c r="AM32" i="2"/>
  <c r="AU45" i="2"/>
  <c r="AU32" i="2"/>
  <c r="AM46" i="2"/>
  <c r="AM33" i="2"/>
  <c r="AR46" i="2"/>
  <c r="AR33" i="2"/>
  <c r="AT33" i="2"/>
  <c r="AT46" i="2"/>
  <c r="AN47" i="2"/>
  <c r="AN34" i="2"/>
  <c r="AL37" i="2"/>
  <c r="AL24" i="2"/>
  <c r="AS39" i="2"/>
  <c r="AS26" i="2"/>
  <c r="AO38" i="2"/>
  <c r="AO25" i="2"/>
  <c r="AU26" i="2"/>
  <c r="AU39" i="2"/>
  <c r="AN41" i="2"/>
  <c r="AN28" i="2"/>
  <c r="AV42" i="2"/>
  <c r="AV29" i="2"/>
  <c r="AW29" i="2"/>
  <c r="AW42" i="2"/>
  <c r="AW43" i="2"/>
  <c r="AW30" i="2"/>
  <c r="AO37" i="2"/>
  <c r="AO24" i="2"/>
  <c r="AS37" i="2"/>
  <c r="AS24" i="2"/>
  <c r="AV24" i="2"/>
  <c r="AV37" i="2"/>
  <c r="AT38" i="2"/>
  <c r="AT25" i="2"/>
  <c r="AN38" i="2"/>
  <c r="AN25" i="2"/>
  <c r="AM39" i="2"/>
  <c r="AM26" i="2"/>
  <c r="AN39" i="2"/>
  <c r="AN26" i="2"/>
  <c r="AL40" i="2"/>
  <c r="AL27" i="2"/>
  <c r="AT27" i="2"/>
  <c r="AT40" i="2"/>
  <c r="AS28" i="2"/>
  <c r="AS41" i="2"/>
  <c r="AL28" i="2"/>
  <c r="AL41" i="2"/>
  <c r="AT42" i="2"/>
  <c r="AT29" i="2"/>
  <c r="AP42" i="2"/>
  <c r="AP29" i="2"/>
  <c r="AL43" i="2"/>
  <c r="AL30" i="2"/>
  <c r="AT43" i="2"/>
  <c r="AT30" i="2"/>
  <c r="AM44" i="2"/>
  <c r="AM31" i="2"/>
  <c r="AT44" i="2"/>
  <c r="AT31" i="2"/>
  <c r="AL45" i="2"/>
  <c r="AL32" i="2"/>
  <c r="AQ45" i="2"/>
  <c r="AQ32" i="2"/>
  <c r="AS47" i="2"/>
  <c r="AS34" i="2"/>
  <c r="AQ47" i="2"/>
  <c r="AQ34" i="2"/>
  <c r="AU46" i="2"/>
  <c r="AU33" i="2"/>
  <c r="AT47" i="2"/>
  <c r="AT34" i="2"/>
  <c r="AR37" i="2"/>
  <c r="AR24" i="2"/>
  <c r="F35" i="2"/>
  <c r="F9" i="2"/>
  <c r="F22" i="2"/>
</calcChain>
</file>

<file path=xl/sharedStrings.xml><?xml version="1.0" encoding="utf-8"?>
<sst xmlns="http://schemas.openxmlformats.org/spreadsheetml/2006/main" count="5745" uniqueCount="316">
  <si>
    <t>지표기준일</t>
    <phoneticPr fontId="4" type="noConversion"/>
  </si>
  <si>
    <t>소비자물가상승률</t>
    <phoneticPr fontId="4" type="noConversion"/>
  </si>
  <si>
    <t>생산자물가상승률</t>
    <phoneticPr fontId="4" type="noConversion"/>
  </si>
  <si>
    <t>임대료물가상승률</t>
    <phoneticPr fontId="4" type="noConversion"/>
  </si>
  <si>
    <t>통계표</t>
  </si>
  <si>
    <t>항목명1</t>
  </si>
  <si>
    <t>변환</t>
  </si>
  <si>
    <t>년＼월</t>
  </si>
  <si>
    <t>지표시작일</t>
    <phoneticPr fontId="4" type="noConversion"/>
  </si>
  <si>
    <t>단위</t>
  </si>
  <si>
    <t>가중치</t>
  </si>
  <si>
    <t>2011/09</t>
  </si>
  <si>
    <t>2011/10</t>
  </si>
  <si>
    <t>2011/11</t>
  </si>
  <si>
    <t>2011/12</t>
  </si>
  <si>
    <t>2012/01</t>
  </si>
  <si>
    <t>2012/02</t>
  </si>
  <si>
    <t>2012/03</t>
  </si>
  <si>
    <t>2012/04</t>
  </si>
  <si>
    <t>2012/05</t>
  </si>
  <si>
    <t>2012/06</t>
  </si>
  <si>
    <t>2012/07</t>
  </si>
  <si>
    <t>2012/08</t>
  </si>
  <si>
    <t>2012/09</t>
  </si>
  <si>
    <t>2012/10</t>
  </si>
  <si>
    <t>2012/11</t>
  </si>
  <si>
    <t>2012/12</t>
  </si>
  <si>
    <t>2013/01</t>
  </si>
  <si>
    <t>2013/02</t>
  </si>
  <si>
    <t>2013/03</t>
  </si>
  <si>
    <t>2013/04</t>
  </si>
  <si>
    <t>2013/05</t>
  </si>
  <si>
    <t>2013/06</t>
  </si>
  <si>
    <t>2013/07</t>
  </si>
  <si>
    <t>2013/08</t>
  </si>
  <si>
    <t>2013/09</t>
  </si>
  <si>
    <t>2013/10</t>
  </si>
  <si>
    <t>2013/11</t>
  </si>
  <si>
    <t>2013/12</t>
  </si>
  <si>
    <t>2014/01</t>
  </si>
  <si>
    <t>2014/02</t>
  </si>
  <si>
    <t>2014/03</t>
  </si>
  <si>
    <t>2014/04</t>
  </si>
  <si>
    <t>2014/05</t>
  </si>
  <si>
    <t>2014/06</t>
  </si>
  <si>
    <t>2014/07</t>
  </si>
  <si>
    <t>2014/08</t>
  </si>
  <si>
    <t>2014/09</t>
  </si>
  <si>
    <t>2014/10</t>
  </si>
  <si>
    <t>2014/11</t>
  </si>
  <si>
    <t>2014/12</t>
  </si>
  <si>
    <t>2015/01</t>
  </si>
  <si>
    <t>2015/02</t>
  </si>
  <si>
    <t>2015/03</t>
  </si>
  <si>
    <t>2015/04</t>
  </si>
  <si>
    <t>2015/05</t>
  </si>
  <si>
    <t>2015/06</t>
  </si>
  <si>
    <t>2015/07</t>
  </si>
  <si>
    <t>2015/08</t>
  </si>
  <si>
    <t>2015/09</t>
  </si>
  <si>
    <t>2015/10</t>
  </si>
  <si>
    <t>2015/11</t>
  </si>
  <si>
    <t>2015/12</t>
  </si>
  <si>
    <t>2016/01</t>
  </si>
  <si>
    <t>2016/02</t>
  </si>
  <si>
    <t>2016/03</t>
  </si>
  <si>
    <t>2016/04</t>
  </si>
  <si>
    <t>2016/05</t>
  </si>
  <si>
    <t>2016/06</t>
  </si>
  <si>
    <t>2016/07</t>
  </si>
  <si>
    <t>2016/08</t>
  </si>
  <si>
    <t>2016/09</t>
  </si>
  <si>
    <t>2016/10</t>
  </si>
  <si>
    <t>2016/11</t>
  </si>
  <si>
    <t>2016/12</t>
  </si>
  <si>
    <t>2017/01</t>
  </si>
  <si>
    <t>2017/02</t>
  </si>
  <si>
    <t>2017/03</t>
  </si>
  <si>
    <t>2017/04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</si>
  <si>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</si>
  <si>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</si>
  <si>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</si>
  <si>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</si>
  <si>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</si>
  <si>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</si>
  <si>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</si>
  <si>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</si>
  <si>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</si>
  <si>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</si>
  <si>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</si>
  <si>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</si>
  <si>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</si>
  <si>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</si>
  <si>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</si>
  <si>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</si>
  <si>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</si>
  <si>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</si>
  <si>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</si>
  <si>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</si>
  <si>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2019/01</t>
  </si>
  <si>
    <t>2019/02</t>
  </si>
  <si>
    <t>2019/03</t>
  </si>
  <si>
    <t>2019/04</t>
  </si>
  <si>
    <t>2019/05</t>
  </si>
  <si>
    <t>2019/06</t>
  </si>
  <si>
    <t>2019/07</t>
  </si>
  <si>
    <t>2019/08</t>
  </si>
  <si>
    <t>2019/09</t>
  </si>
  <si>
    <t>2019/10</t>
  </si>
  <si>
    <t>2019/11</t>
  </si>
  <si>
    <t>2019/12</t>
  </si>
  <si>
    <t>2020/01</t>
  </si>
  <si>
    <t>2020/02</t>
  </si>
  <si>
    <t>2020/03</t>
  </si>
  <si>
    <t>2020/04</t>
  </si>
  <si>
    <t>2020/05</t>
  </si>
  <si>
    <t>2020/06</t>
  </si>
  <si>
    <t>2020/07</t>
  </si>
  <si>
    <t>2020/08</t>
  </si>
  <si>
    <t>2020/09</t>
  </si>
  <si>
    <t>2020/10</t>
  </si>
  <si>
    <t>2020/11</t>
  </si>
  <si>
    <t>2020/12</t>
  </si>
  <si>
    <t>2021/01</t>
  </si>
  <si>
    <t>2021/02</t>
  </si>
  <si>
    <t>2021/03</t>
  </si>
  <si>
    <t>2021/04</t>
  </si>
  <si>
    <t>2021/05</t>
  </si>
  <si>
    <t>2021/06</t>
  </si>
  <si>
    <t>2021/07</t>
  </si>
  <si>
    <t>2021/08</t>
  </si>
  <si>
    <t>7.1.1 생산자물가지수(기본분류)(2015=100)</t>
  </si>
  <si>
    <t>총지수</t>
  </si>
  <si>
    <t>%</t>
  </si>
  <si>
    <t>전년동기대비증감률</t>
  </si>
  <si>
    <t>7.4.1 소비자물가지수(2015=100)(전국)</t>
  </si>
  <si>
    <t>7.1.3 생산자물가지수(품목별)(2015=100)</t>
  </si>
  <si>
    <t xml:space="preserve">      비주거용건물임대</t>
  </si>
  <si>
    <t>2011/08</t>
  </si>
  <si>
    <t>2011/07</t>
  </si>
  <si>
    <t>2011/06</t>
  </si>
  <si>
    <t>2011/05</t>
  </si>
  <si>
    <t>2011/04</t>
  </si>
  <si>
    <t>2011/03</t>
  </si>
  <si>
    <t>2011/02</t>
  </si>
  <si>
    <t>2011/01</t>
  </si>
  <si>
    <t>2010/12</t>
  </si>
  <si>
    <t>2010/11</t>
  </si>
  <si>
    <t>2010/10</t>
  </si>
  <si>
    <t>2010/09</t>
  </si>
  <si>
    <t>2010/08</t>
  </si>
  <si>
    <t>2010/07</t>
  </si>
  <si>
    <t>2010/06</t>
  </si>
  <si>
    <t>2010/05</t>
  </si>
  <si>
    <t>2010/04</t>
  </si>
  <si>
    <t>2010/03</t>
  </si>
  <si>
    <t>2010/02</t>
  </si>
  <si>
    <t>2010/01</t>
  </si>
  <si>
    <t>2009/12</t>
  </si>
  <si>
    <t>2009/11</t>
  </si>
  <si>
    <t>2009/10</t>
  </si>
  <si>
    <t>2009/09</t>
  </si>
  <si>
    <t>2009/08</t>
  </si>
  <si>
    <t>2009/07</t>
  </si>
  <si>
    <t>2009/06</t>
  </si>
  <si>
    <t>2009/05</t>
  </si>
  <si>
    <t>2009/04</t>
  </si>
  <si>
    <t>2009/03</t>
  </si>
  <si>
    <t>2009/02</t>
  </si>
  <si>
    <t>2009/01</t>
  </si>
  <si>
    <t>2008/12</t>
  </si>
  <si>
    <t>2008/11</t>
  </si>
  <si>
    <t>2008/10</t>
  </si>
  <si>
    <t>2008/09</t>
  </si>
  <si>
    <t>2008/08</t>
  </si>
  <si>
    <t>2008/07</t>
  </si>
  <si>
    <t>2008/06</t>
  </si>
  <si>
    <t>2008/05</t>
  </si>
  <si>
    <t>2008/04</t>
  </si>
  <si>
    <t>2008/03</t>
  </si>
  <si>
    <t>2008/02</t>
  </si>
  <si>
    <t>2008/01</t>
  </si>
  <si>
    <t>2007/12</t>
  </si>
  <si>
    <t>2007/11</t>
  </si>
  <si>
    <t>2007/10</t>
  </si>
  <si>
    <t>2007/09</t>
  </si>
  <si>
    <t>2007/08</t>
  </si>
  <si>
    <t>2007/07</t>
  </si>
  <si>
    <t>2007/06</t>
  </si>
  <si>
    <t>2007/05</t>
  </si>
  <si>
    <t>2007/04</t>
  </si>
  <si>
    <t>2007/03</t>
  </si>
  <si>
    <t>2007/02</t>
  </si>
  <si>
    <t>2007/01</t>
  </si>
  <si>
    <t>2006/12</t>
  </si>
  <si>
    <t>※ 소비자물가상승률: 매월 초 발표</t>
    <phoneticPr fontId="4" type="noConversion"/>
  </si>
  <si>
    <t>http://ecos.bok.or.kr</t>
    <phoneticPr fontId="4" type="noConversion"/>
  </si>
  <si>
    <t>※ 서비스&gt;부동산서비스&gt;비거주용건물임대</t>
    <phoneticPr fontId="4" type="noConversion"/>
  </si>
  <si>
    <t>&lt;주의사항&gt;</t>
    <phoneticPr fontId="4" type="noConversion"/>
  </si>
  <si>
    <t>※ 생산자물가상승률: 내달 중순 발표</t>
    <phoneticPr fontId="4" type="noConversion"/>
  </si>
  <si>
    <t>(4) 결국 최근 확정지표는 6월까지임</t>
    <phoneticPr fontId="4" type="noConversion"/>
  </si>
  <si>
    <t>Ex) 평가기준일과 지표기준일 등 예시</t>
    <phoneticPr fontId="4" type="noConversion"/>
  </si>
  <si>
    <t>(3) 하지만 그 7월지표는 잠정치임</t>
    <phoneticPr fontId="4" type="noConversion"/>
  </si>
  <si>
    <t>(1) 9월평가용 지표작업은 8월 마무리함</t>
    <phoneticPr fontId="4" type="noConversion"/>
  </si>
  <si>
    <t>(2) 8월까지 확인가능 지표는 7월까지임</t>
    <phoneticPr fontId="4" type="noConversion"/>
  </si>
  <si>
    <r>
      <t xml:space="preserve">(5) </t>
    </r>
    <r>
      <rPr>
        <sz val="8"/>
        <color rgb="FFC00000"/>
        <rFont val="맑은 고딕"/>
        <family val="3"/>
        <charset val="129"/>
        <scheme val="major"/>
      </rPr>
      <t>평가기준일과 실제지표는 3개월</t>
    </r>
    <r>
      <rPr>
        <sz val="8"/>
        <color theme="1"/>
        <rFont val="맑은 고딕"/>
        <family val="3"/>
        <charset val="129"/>
        <scheme val="major"/>
      </rPr>
      <t xml:space="preserve"> 간격</t>
    </r>
    <phoneticPr fontId="4" type="noConversion"/>
  </si>
  <si>
    <t>① 일반적으로 ECOS에서 발표하는 수치는 D+2월의 20일 이후에나 확정됨 (D+1월의 수치는 잠정수치로, 이후 수치 변동될 수 있음)</t>
    <phoneticPr fontId="4" type="noConversion"/>
  </si>
  <si>
    <t>:: 현재 조회되는 자료 중 가장 최근월 자료는 잠정수치일 가능성이 높음 (ex.6월 확정수치는 21년 7월수치가 나와야 알 수 있음)</t>
    <phoneticPr fontId="4" type="noConversion"/>
  </si>
  <si>
    <t>② DCF Template는 무조건 가장 최근일자의 RATE를 불러오게 되어 있음 → 시즌 중에는 데이터 업데이트 하면 안됨</t>
    <phoneticPr fontId="4" type="noConversion"/>
  </si>
  <si>
    <t>※ 크롬에서 열 것</t>
    <phoneticPr fontId="4" type="noConversion"/>
  </si>
  <si>
    <t>★국민연금용 평가시 9월 지표기준일</t>
    <phoneticPr fontId="4" type="noConversion"/>
  </si>
  <si>
    <t>조회기준일</t>
    <phoneticPr fontId="4" type="noConversion"/>
  </si>
  <si>
    <t>※지표기준일=NMP 등록시 기준일</t>
    <phoneticPr fontId="4" type="noConversion"/>
  </si>
  <si>
    <t>※조회기준일=실제 입력데이터 기준일</t>
    <phoneticPr fontId="4" type="noConversion"/>
  </si>
  <si>
    <t>→ 조회기준일은 8월</t>
    <phoneticPr fontId="4" type="noConversion"/>
  </si>
  <si>
    <t>총계산월수</t>
    <phoneticPr fontId="4" type="noConversion"/>
  </si>
  <si>
    <t>반올림적용</t>
    <phoneticPr fontId="4" type="noConversion"/>
  </si>
  <si>
    <t>생산자물가지수
(기본분류)
(2015=100)</t>
    <phoneticPr fontId="4" type="noConversion"/>
  </si>
  <si>
    <t>총지수
생산자</t>
    <phoneticPr fontId="4" type="noConversion"/>
  </si>
  <si>
    <t>총지수
소비자</t>
    <phoneticPr fontId="4" type="noConversion"/>
  </si>
  <si>
    <t>생산자물가지수
(품목별)
(2015=100)</t>
    <phoneticPr fontId="4" type="noConversion"/>
  </si>
  <si>
    <t>비주거용
건물임대</t>
    <phoneticPr fontId="4" type="noConversion"/>
  </si>
  <si>
    <t>전년동기
대비증감률</t>
    <phoneticPr fontId="4" type="noConversion"/>
  </si>
  <si>
    <t>소비자물가지수(2015=100)
(전국)</t>
    <phoneticPr fontId="4" type="noConversion"/>
  </si>
  <si>
    <t>※소비자물가=급여인상률</t>
    <phoneticPr fontId="4" type="noConversion"/>
  </si>
  <si>
    <t/>
  </si>
  <si>
    <t>엑셀로 다운받지 않으면 원데이터가 조회되지 않으니 유의하세요</t>
    <phoneticPr fontId="4" type="noConversion"/>
  </si>
  <si>
    <t>2021/10</t>
  </si>
  <si>
    <t>2021/09</t>
  </si>
  <si>
    <t>소비자물가상승률</t>
  </si>
  <si>
    <t>생산자물가상승률</t>
  </si>
  <si>
    <t>2021/11</t>
  </si>
  <si>
    <t>2021/12</t>
  </si>
  <si>
    <t>2006/11</t>
  </si>
  <si>
    <t>2006/10</t>
  </si>
  <si>
    <t>2006/09</t>
  </si>
  <si>
    <t>2006/08</t>
  </si>
  <si>
    <t>2006/07</t>
  </si>
  <si>
    <t>2006/06</t>
  </si>
  <si>
    <t>2006/05</t>
  </si>
  <si>
    <t>2006/04</t>
  </si>
  <si>
    <t>2006/03</t>
  </si>
  <si>
    <t>2006/02</t>
  </si>
  <si>
    <t>2006/01</t>
  </si>
  <si>
    <r>
      <t>소비자물가지수</t>
    </r>
    <r>
      <rPr>
        <sz val="9"/>
        <color rgb="FFC00000"/>
        <rFont val="맑은 고딕"/>
        <family val="3"/>
        <charset val="129"/>
        <scheme val="major"/>
      </rPr>
      <t>(2020=100</t>
    </r>
    <r>
      <rPr>
        <sz val="9"/>
        <color theme="1"/>
        <rFont val="맑은 고딕"/>
        <family val="3"/>
        <charset val="129"/>
        <scheme val="major"/>
      </rPr>
      <t>)
(전국)</t>
    </r>
    <phoneticPr fontId="4" type="noConversion"/>
  </si>
  <si>
    <t>2022/01</t>
  </si>
  <si>
    <t>7.4.1 소비자물가지수(2020=100)(전국)</t>
    <phoneticPr fontId="4" type="noConversion"/>
  </si>
  <si>
    <t>2022/02</t>
  </si>
  <si>
    <t>2022/03</t>
  </si>
  <si>
    <t>2022/04</t>
  </si>
  <si>
    <t>2022/06</t>
  </si>
  <si>
    <t>2022/05</t>
  </si>
  <si>
    <t>(2020=100)(전국)</t>
    <phoneticPr fontId="4" type="noConversion"/>
  </si>
  <si>
    <t>계정항목</t>
  </si>
  <si>
    <t>4.2.1. 소비자물가지수</t>
  </si>
  <si>
    <t>계정코드</t>
  </si>
  <si>
    <t>4.1.1.1. 생산자물가지수(기본분류)</t>
  </si>
  <si>
    <t>(2015=100)</t>
    <phoneticPr fontId="4" type="noConversion"/>
  </si>
  <si>
    <t>4.1.1.3. 생산자물가지수(품목별)</t>
  </si>
  <si>
    <t>*조회사이트 개편되면서 소수점이 1자리까지만 표기됨</t>
    <phoneticPr fontId="4" type="noConversion"/>
  </si>
  <si>
    <t>오류검증</t>
    <phoneticPr fontId="4" type="noConversion"/>
  </si>
  <si>
    <t>2022/08</t>
  </si>
  <si>
    <t>2022/07</t>
  </si>
  <si>
    <t>2022/09</t>
  </si>
  <si>
    <t>2022/10</t>
  </si>
  <si>
    <t>2022/12</t>
  </si>
  <si>
    <t>2022/11</t>
  </si>
  <si>
    <t>2023/01</t>
  </si>
  <si>
    <t>2023/03</t>
  </si>
  <si>
    <t>2023/02</t>
  </si>
  <si>
    <t>연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</si>
  <si>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</si>
  <si>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</si>
  <si>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</si>
  <si>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</si>
  <si>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</si>
  <si>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</si>
  <si>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</si>
  <si>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</si>
  <si>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</si>
  <si>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</si>
  <si>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</si>
  <si>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</si>
  <si>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2023/04</t>
  </si>
  <si>
    <t>2023/06</t>
  </si>
  <si>
    <t>2023/05</t>
  </si>
  <si>
    <t>2023/08</t>
    <phoneticPr fontId="4" type="noConversion"/>
  </si>
  <si>
    <t>2023/07</t>
  </si>
  <si>
    <t>2023/09</t>
    <phoneticPr fontId="4" type="noConversion"/>
  </si>
  <si>
    <t>2023/09</t>
    <phoneticPr fontId="4" type="noConversion"/>
  </si>
  <si>
    <t>2023/09</t>
    <phoneticPr fontId="4" type="noConversion"/>
  </si>
  <si>
    <t>2023/08</t>
    <phoneticPr fontId="4" type="noConversion"/>
  </si>
  <si>
    <t>2023/10</t>
    <phoneticPr fontId="4" type="noConversion"/>
  </si>
  <si>
    <t>2023/10</t>
    <phoneticPr fontId="4" type="noConversion"/>
  </si>
  <si>
    <t>2023/10</t>
    <phoneticPr fontId="4" type="noConversion"/>
  </si>
  <si>
    <t>2023/09</t>
    <phoneticPr fontId="4" type="noConversion"/>
  </si>
  <si>
    <t>2023/11</t>
    <phoneticPr fontId="4" type="noConversion"/>
  </si>
  <si>
    <t>2023/12</t>
    <phoneticPr fontId="4" type="noConversion"/>
  </si>
  <si>
    <t>2023/11</t>
    <phoneticPr fontId="4" type="noConversion"/>
  </si>
  <si>
    <t>2024/01</t>
    <phoneticPr fontId="4" type="noConversion"/>
  </si>
  <si>
    <t>2023/10</t>
    <phoneticPr fontId="4" type="noConversion"/>
  </si>
  <si>
    <t>2023/11</t>
    <phoneticPr fontId="4" type="noConversion"/>
  </si>
  <si>
    <t>2023/12</t>
    <phoneticPr fontId="4" type="noConversion"/>
  </si>
  <si>
    <t>2024/01</t>
    <phoneticPr fontId="4" type="noConversion"/>
  </si>
  <si>
    <t>2024/02</t>
    <phoneticPr fontId="4" type="noConversion"/>
  </si>
  <si>
    <t>2024/03</t>
    <phoneticPr fontId="4" type="noConversion"/>
  </si>
  <si>
    <t>2024/02</t>
    <phoneticPr fontId="4" type="noConversion"/>
  </si>
  <si>
    <t>2024/03</t>
    <phoneticPr fontId="4" type="noConversion"/>
  </si>
  <si>
    <t>2024/04</t>
    <phoneticPr fontId="4" type="noConversion"/>
  </si>
  <si>
    <t>26.8</t>
  </si>
  <si>
    <t>2024/05</t>
    <phoneticPr fontId="4" type="noConversion"/>
  </si>
  <si>
    <t>2024/05</t>
    <phoneticPr fontId="4" type="noConversion"/>
  </si>
  <si>
    <t>2024/06</t>
    <phoneticPr fontId="4" type="noConversion"/>
  </si>
  <si>
    <t>2024/06</t>
    <phoneticPr fontId="4" type="noConversion"/>
  </si>
  <si>
    <t>2024/07</t>
    <phoneticPr fontId="4" type="noConversion"/>
  </si>
  <si>
    <t>2024/07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</si>
</sst>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_);_(* \(#,##0\);_(* &quot;-&quot;_);_(@_)"/>
    <numFmt numFmtId="177" formatCode="00&quot;월&quot;"/>
    <numFmt numFmtId="178" formatCode="0_);[Red]\(0\)"/>
    <numFmt numFmtId="179" formatCode="###,###,###,##0"/>
    <numFmt numFmtId="180" formatCode="###,###,###,##0.0"/>
    <numFmt numFmtId="181" formatCode="###,###,###,##0.#####"/>
    <numFmt numFmtId="182" formatCode="&quot;소&quot;&quot;수&quot;&quot;점&quot;\ 0&quot;째&quot;&quot;자&quot;&quot;리&quot;"/>
    <numFmt numFmtId="183" formatCode="0.0_ "/>
    <numFmt numFmtId="184" formatCode="0.00_ "/>
    <numFmt numFmtId="185" formatCode="_-* #,##0.00_-;\-* #,##0.00_-;_-* &quot;-&quot;_-;_-@_-"/>
    <numFmt numFmtId="186" formatCode="yyyy\/mm"/>
  </numFmts>
  <fonts count="29">
    <font>
      <sz val="11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theme="1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8"/>
      <color rgb="FF044F71"/>
      <name val="돋움"/>
      <family val="3"/>
      <charset val="129"/>
    </font>
    <font>
      <sz val="10"/>
      <name val="Arial"/>
      <family val="2"/>
    </font>
    <font>
      <sz val="10"/>
      <color indexed="54"/>
      <name val="Arial"/>
      <family val="2"/>
    </font>
    <font>
      <sz val="9"/>
      <color theme="0"/>
      <name val="맑은 고딕"/>
      <family val="2"/>
      <scheme val="minor"/>
    </font>
    <font>
      <b/>
      <sz val="9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scheme val="minor"/>
    </font>
    <font>
      <sz val="11"/>
      <color rgb="FFC00000"/>
      <name val="맑은 고딕"/>
      <family val="2"/>
      <scheme val="minor"/>
    </font>
    <font>
      <b/>
      <sz val="9"/>
      <color rgb="FFC00000"/>
      <name val="맑은 고딕"/>
      <family val="3"/>
      <charset val="129"/>
      <scheme val="major"/>
    </font>
    <font>
      <sz val="9"/>
      <color rgb="FFC00000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sz val="8"/>
      <color rgb="FFC00000"/>
      <name val="맑은 고딕"/>
      <family val="3"/>
      <charset val="129"/>
      <scheme val="major"/>
    </font>
    <font>
      <sz val="9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inor"/>
    </font>
    <font>
      <sz val="9"/>
      <color theme="8" tint="-0.249977111117893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sz val="9"/>
      <color rgb="FFC0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.5"/>
      <color rgb="FF888282"/>
      <name val="Noto Sans KR"/>
    </font>
    <font>
      <sz val="10.5"/>
      <color rgb="FF555555"/>
      <name val="Noto Sans KR"/>
    </font>
    <font>
      <sz val="10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darkTrellis">
        <fgColor indexed="42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4E7EB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DBDBDB"/>
      </right>
      <top style="thin">
        <color rgb="FFDBDBDB"/>
      </top>
      <bottom style="thin">
        <color rgb="FFDBDBDB"/>
      </bottom>
      <diagonal/>
    </border>
    <border>
      <left/>
      <right style="thin">
        <color rgb="FFD2D5DA"/>
      </right>
      <top/>
      <bottom style="thin">
        <color rgb="FFD2D5DA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/>
    <xf numFmtId="0" fontId="1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0" fontId="28" fillId="0" borderId="0">
      <alignment vertical="center"/>
    </xf>
  </cellStyleXfs>
  <cellXfs count="145">
    <xf numFmtId="0" fontId="0" fillId="0" borderId="0" xfId="0"/>
    <xf numFmtId="0" fontId="8" fillId="5" borderId="6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10" fillId="3" borderId="0" xfId="0" applyNumberFormat="1" applyFont="1" applyFill="1" applyAlignment="1">
      <alignment horizontal="center"/>
    </xf>
    <xf numFmtId="0" fontId="12" fillId="7" borderId="0" xfId="3" applyFill="1"/>
    <xf numFmtId="0" fontId="13" fillId="0" borderId="0" xfId="0" applyFont="1"/>
    <xf numFmtId="0" fontId="20" fillId="8" borderId="0" xfId="2" applyFont="1" applyFill="1">
      <alignment vertical="center"/>
    </xf>
    <xf numFmtId="0" fontId="6" fillId="3" borderId="0" xfId="0" applyFont="1" applyFill="1" applyAlignment="1" applyProtection="1">
      <alignment vertical="center"/>
      <protection locked="0"/>
    </xf>
    <xf numFmtId="2" fontId="6" fillId="6" borderId="0" xfId="0" applyNumberFormat="1" applyFont="1" applyFill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14" fontId="6" fillId="4" borderId="8" xfId="0" applyNumberFormat="1" applyFont="1" applyFill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vertical="center"/>
      <protection locked="0"/>
    </xf>
    <xf numFmtId="14" fontId="6" fillId="0" borderId="10" xfId="0" applyNumberFormat="1" applyFont="1" applyBorder="1" applyAlignment="1" applyProtection="1">
      <alignment horizontal="center" vertical="center"/>
      <protection locked="0"/>
    </xf>
    <xf numFmtId="178" fontId="6" fillId="0" borderId="8" xfId="0" applyNumberFormat="1" applyFont="1" applyFill="1" applyBorder="1" applyAlignment="1" applyProtection="1">
      <alignment horizontal="center" vertical="center"/>
      <protection locked="0"/>
    </xf>
    <xf numFmtId="2" fontId="6" fillId="6" borderId="11" xfId="0" applyNumberFormat="1" applyFont="1" applyFill="1" applyBorder="1" applyAlignment="1" applyProtection="1">
      <alignment horizontal="center" vertical="center"/>
      <protection locked="0"/>
    </xf>
    <xf numFmtId="2" fontId="6" fillId="6" borderId="12" xfId="0" applyNumberFormat="1" applyFont="1" applyFill="1" applyBorder="1" applyAlignment="1" applyProtection="1">
      <alignment horizontal="center" vertical="center"/>
      <protection locked="0"/>
    </xf>
    <xf numFmtId="10" fontId="6" fillId="7" borderId="8" xfId="1" applyNumberFormat="1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vertical="center"/>
      <protection locked="0"/>
    </xf>
    <xf numFmtId="10" fontId="6" fillId="7" borderId="12" xfId="1" applyNumberFormat="1" applyFont="1" applyFill="1" applyBorder="1" applyAlignment="1" applyProtection="1">
      <alignment horizontal="center" vertical="center"/>
      <protection locked="0"/>
    </xf>
    <xf numFmtId="10" fontId="6" fillId="7" borderId="10" xfId="1" applyNumberFormat="1" applyFont="1" applyFill="1" applyBorder="1" applyAlignment="1" applyProtection="1">
      <alignment horizontal="center" vertical="center"/>
      <protection locked="0"/>
    </xf>
    <xf numFmtId="0" fontId="6" fillId="6" borderId="11" xfId="0" applyFont="1" applyFill="1" applyBorder="1" applyAlignment="1" applyProtection="1">
      <alignment vertical="center"/>
      <protection locked="0"/>
    </xf>
    <xf numFmtId="0" fontId="6" fillId="6" borderId="12" xfId="0" applyFont="1" applyFill="1" applyBorder="1" applyAlignment="1" applyProtection="1">
      <alignment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17" fillId="0" borderId="11" xfId="0" applyFont="1" applyBorder="1" applyAlignment="1" applyProtection="1">
      <alignment vertical="center"/>
      <protection locked="0"/>
    </xf>
    <xf numFmtId="0" fontId="16" fillId="0" borderId="12" xfId="0" applyFont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vertical="center"/>
      <protection locked="0"/>
    </xf>
    <xf numFmtId="0" fontId="16" fillId="0" borderId="16" xfId="0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19" fillId="0" borderId="11" xfId="0" applyFont="1" applyBorder="1" applyAlignment="1" applyProtection="1">
      <alignment vertical="center"/>
      <protection locked="0"/>
    </xf>
    <xf numFmtId="0" fontId="6" fillId="0" borderId="10" xfId="0" applyFont="1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 indent="1"/>
      <protection locked="0"/>
    </xf>
    <xf numFmtId="0" fontId="18" fillId="0" borderId="0" xfId="0" applyFont="1" applyAlignment="1" applyProtection="1">
      <alignment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182" fontId="16" fillId="4" borderId="14" xfId="0" applyNumberFormat="1" applyFont="1" applyFill="1" applyBorder="1" applyAlignment="1" applyProtection="1">
      <alignment horizontal="center" vertical="center"/>
      <protection locked="0"/>
    </xf>
    <xf numFmtId="0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0" applyNumberFormat="1" applyFont="1" applyBorder="1" applyAlignment="1" applyProtection="1">
      <alignment horizontal="center" vertical="center" wrapText="1"/>
      <protection locked="0"/>
    </xf>
    <xf numFmtId="14" fontId="7" fillId="0" borderId="4" xfId="0" applyNumberFormat="1" applyFont="1" applyBorder="1" applyAlignment="1" applyProtection="1">
      <alignment horizontal="center" vertical="center" wrapText="1"/>
      <protection locked="0"/>
    </xf>
    <xf numFmtId="0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5" xfId="0" applyNumberFormat="1" applyFont="1" applyFill="1" applyBorder="1" applyAlignment="1" applyProtection="1">
      <alignment horizontal="center" vertical="center" wrapText="1"/>
      <protection locked="0"/>
    </xf>
    <xf numFmtId="2" fontId="6" fillId="6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0" fontId="6" fillId="6" borderId="0" xfId="0" applyFont="1" applyFill="1" applyAlignment="1" applyProtection="1">
      <alignment vertical="center"/>
    </xf>
    <xf numFmtId="49" fontId="6" fillId="2" borderId="2" xfId="0" applyNumberFormat="1" applyFont="1" applyFill="1" applyBorder="1" applyAlignment="1" applyProtection="1">
      <alignment horizontal="center" vertical="center" wrapText="1"/>
    </xf>
    <xf numFmtId="0" fontId="6" fillId="2" borderId="2" xfId="0" applyNumberFormat="1" applyFont="1" applyFill="1" applyBorder="1" applyAlignment="1" applyProtection="1">
      <alignment horizontal="center" vertical="center" wrapText="1"/>
    </xf>
    <xf numFmtId="177" fontId="6" fillId="2" borderId="2" xfId="0" applyNumberFormat="1" applyFont="1" applyFill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4" borderId="2" xfId="0" applyNumberFormat="1" applyFont="1" applyFill="1" applyBorder="1" applyAlignment="1" applyProtection="1">
      <alignment horizontal="center" vertical="center" wrapText="1"/>
    </xf>
    <xf numFmtId="0" fontId="6" fillId="3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16" fillId="0" borderId="7" xfId="0" applyFont="1" applyBorder="1" applyAlignment="1" applyProtection="1">
      <alignment vertical="center"/>
      <protection locked="0"/>
    </xf>
    <xf numFmtId="0" fontId="6" fillId="0" borderId="8" xfId="0" applyFont="1" applyBorder="1" applyAlignment="1" applyProtection="1">
      <alignment vertical="center"/>
      <protection locked="0"/>
    </xf>
    <xf numFmtId="0" fontId="16" fillId="0" borderId="9" xfId="0" applyFont="1" applyBorder="1" applyAlignment="1" applyProtection="1">
      <alignment vertical="center"/>
      <protection locked="0"/>
    </xf>
    <xf numFmtId="0" fontId="16" fillId="0" borderId="10" xfId="0" applyFont="1" applyBorder="1" applyAlignment="1" applyProtection="1">
      <alignment vertical="center"/>
      <protection locked="0"/>
    </xf>
    <xf numFmtId="0" fontId="6" fillId="0" borderId="2" xfId="0" applyNumberFormat="1" applyFont="1" applyBorder="1" applyAlignment="1" applyProtection="1">
      <alignment horizontal="center" vertical="center" wrapText="1"/>
    </xf>
    <xf numFmtId="183" fontId="21" fillId="0" borderId="2" xfId="0" applyNumberFormat="1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vertical="center"/>
    </xf>
    <xf numFmtId="14" fontId="6" fillId="4" borderId="8" xfId="0" applyNumberFormat="1" applyFont="1" applyFill="1" applyBorder="1" applyAlignment="1" applyProtection="1">
      <alignment horizontal="center" vertical="center"/>
    </xf>
    <xf numFmtId="0" fontId="6" fillId="0" borderId="9" xfId="0" applyFont="1" applyBorder="1" applyAlignment="1" applyProtection="1">
      <alignment vertical="center"/>
    </xf>
    <xf numFmtId="14" fontId="6" fillId="0" borderId="10" xfId="0" applyNumberFormat="1" applyFont="1" applyBorder="1" applyAlignment="1" applyProtection="1">
      <alignment horizontal="center" vertical="center"/>
    </xf>
    <xf numFmtId="178" fontId="6" fillId="0" borderId="8" xfId="0" applyNumberFormat="1" applyFont="1" applyFill="1" applyBorder="1" applyAlignment="1" applyProtection="1">
      <alignment horizontal="center" vertical="center"/>
    </xf>
    <xf numFmtId="2" fontId="6" fillId="6" borderId="11" xfId="0" applyNumberFormat="1" applyFont="1" applyFill="1" applyBorder="1" applyAlignment="1" applyProtection="1">
      <alignment horizontal="center" vertical="center"/>
    </xf>
    <xf numFmtId="2" fontId="6" fillId="6" borderId="12" xfId="0" applyNumberFormat="1" applyFont="1" applyFill="1" applyBorder="1" applyAlignment="1" applyProtection="1">
      <alignment horizontal="center" vertical="center"/>
    </xf>
    <xf numFmtId="10" fontId="6" fillId="7" borderId="8" xfId="1" applyNumberFormat="1" applyFont="1" applyFill="1" applyBorder="1" applyAlignment="1" applyProtection="1">
      <alignment horizontal="center" vertical="center"/>
    </xf>
    <xf numFmtId="0" fontId="6" fillId="0" borderId="11" xfId="0" applyFont="1" applyBorder="1" applyAlignment="1" applyProtection="1">
      <alignment vertical="center"/>
    </xf>
    <xf numFmtId="10" fontId="6" fillId="7" borderId="12" xfId="1" applyNumberFormat="1" applyFont="1" applyFill="1" applyBorder="1" applyAlignment="1" applyProtection="1">
      <alignment horizontal="center" vertical="center"/>
    </xf>
    <xf numFmtId="10" fontId="6" fillId="7" borderId="10" xfId="1" applyNumberFormat="1" applyFont="1" applyFill="1" applyBorder="1" applyAlignment="1" applyProtection="1">
      <alignment horizontal="center" vertical="center"/>
    </xf>
    <xf numFmtId="0" fontId="6" fillId="6" borderId="11" xfId="0" applyFont="1" applyFill="1" applyBorder="1" applyAlignment="1" applyProtection="1">
      <alignment vertical="center"/>
    </xf>
    <xf numFmtId="0" fontId="6" fillId="6" borderId="12" xfId="0" applyFont="1" applyFill="1" applyBorder="1" applyAlignment="1" applyProtection="1">
      <alignment vertical="center"/>
    </xf>
    <xf numFmtId="0" fontId="16" fillId="0" borderId="7" xfId="0" applyFont="1" applyBorder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17" fillId="0" borderId="11" xfId="0" applyFont="1" applyBorder="1" applyAlignment="1" applyProtection="1">
      <alignment vertical="center"/>
    </xf>
    <xf numFmtId="0" fontId="16" fillId="0" borderId="12" xfId="0" applyFont="1" applyBorder="1" applyAlignment="1" applyProtection="1">
      <alignment vertical="center"/>
    </xf>
    <xf numFmtId="0" fontId="16" fillId="0" borderId="15" xfId="0" applyFont="1" applyBorder="1" applyAlignment="1" applyProtection="1">
      <alignment vertical="center"/>
    </xf>
    <xf numFmtId="0" fontId="16" fillId="0" borderId="16" xfId="0" applyFont="1" applyBorder="1" applyAlignment="1" applyProtection="1">
      <alignment vertical="center"/>
    </xf>
    <xf numFmtId="0" fontId="16" fillId="0" borderId="11" xfId="0" applyFont="1" applyBorder="1" applyAlignment="1" applyProtection="1">
      <alignment vertical="center"/>
    </xf>
    <xf numFmtId="0" fontId="16" fillId="0" borderId="9" xfId="0" applyFont="1" applyBorder="1" applyAlignment="1" applyProtection="1">
      <alignment vertical="center"/>
    </xf>
    <xf numFmtId="0" fontId="16" fillId="0" borderId="10" xfId="0" applyFont="1" applyBorder="1" applyAlignment="1" applyProtection="1">
      <alignment vertical="center"/>
    </xf>
    <xf numFmtId="0" fontId="6" fillId="0" borderId="12" xfId="0" applyFont="1" applyBorder="1" applyAlignment="1" applyProtection="1">
      <alignment vertical="center"/>
    </xf>
    <xf numFmtId="0" fontId="19" fillId="0" borderId="11" xfId="0" applyFont="1" applyBorder="1" applyAlignment="1" applyProtection="1">
      <alignment vertical="center"/>
    </xf>
    <xf numFmtId="0" fontId="6" fillId="0" borderId="10" xfId="0" applyFont="1" applyBorder="1" applyAlignment="1" applyProtection="1">
      <alignment vertical="center"/>
    </xf>
    <xf numFmtId="0" fontId="6" fillId="0" borderId="2" xfId="0" applyNumberFormat="1" applyFont="1" applyBorder="1" applyAlignment="1" applyProtection="1">
      <alignment horizontal="center" vertical="center" wrapText="1"/>
    </xf>
    <xf numFmtId="184" fontId="6" fillId="6" borderId="0" xfId="0" applyNumberFormat="1" applyFont="1" applyFill="1" applyAlignment="1" applyProtection="1">
      <alignment vertical="center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22" fillId="0" borderId="0" xfId="0" applyFont="1" applyAlignment="1">
      <alignment horizontal="center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23" fillId="0" borderId="0" xfId="0" applyFont="1"/>
    <xf numFmtId="0" fontId="24" fillId="0" borderId="0" xfId="0" applyFont="1"/>
    <xf numFmtId="0" fontId="17" fillId="0" borderId="0" xfId="0" applyFont="1" applyAlignment="1" applyProtection="1">
      <alignment vertical="center"/>
      <protection locked="0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0" fillId="0" borderId="7" xfId="0" applyBorder="1"/>
    <xf numFmtId="0" fontId="0" fillId="0" borderId="17" xfId="0" applyBorder="1"/>
    <xf numFmtId="0" fontId="0" fillId="0" borderId="8" xfId="0" applyBorder="1"/>
    <xf numFmtId="0" fontId="0" fillId="0" borderId="18" xfId="0" applyBorder="1"/>
    <xf numFmtId="0" fontId="0" fillId="0" borderId="10" xfId="0" applyBorder="1"/>
    <xf numFmtId="0" fontId="25" fillId="8" borderId="9" xfId="0" applyFont="1" applyFill="1" applyBorder="1"/>
    <xf numFmtId="0" fontId="25" fillId="8" borderId="18" xfId="0" applyFont="1" applyFill="1" applyBorder="1"/>
    <xf numFmtId="0" fontId="6" fillId="0" borderId="2" xfId="0" applyNumberFormat="1" applyFont="1" applyBorder="1" applyAlignment="1" applyProtection="1">
      <alignment horizontal="center" vertical="center" wrapText="1"/>
    </xf>
    <xf numFmtId="17" fontId="8" fillId="5" borderId="6" xfId="0" quotePrefix="1" applyNumberFormat="1" applyFont="1" applyFill="1" applyBorder="1" applyAlignment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26" fillId="9" borderId="19" xfId="0" applyFont="1" applyFill="1" applyBorder="1" applyAlignment="1">
      <alignment horizontal="center" vertical="center" wrapText="1"/>
    </xf>
    <xf numFmtId="49" fontId="27" fillId="0" borderId="20" xfId="0" applyNumberFormat="1" applyFont="1" applyBorder="1" applyAlignment="1">
      <alignment horizontal="left" vertical="center"/>
    </xf>
    <xf numFmtId="49" fontId="27" fillId="0" borderId="20" xfId="0" applyNumberFormat="1" applyFont="1" applyBorder="1" applyAlignment="1">
      <alignment horizontal="center" vertical="center"/>
    </xf>
    <xf numFmtId="49" fontId="27" fillId="0" borderId="20" xfId="0" applyNumberFormat="1" applyFont="1" applyBorder="1" applyAlignment="1">
      <alignment horizontal="right" vertical="center"/>
    </xf>
    <xf numFmtId="0" fontId="27" fillId="0" borderId="20" xfId="0" applyFont="1" applyBorder="1" applyAlignment="1">
      <alignment horizontal="right" vertical="center"/>
    </xf>
    <xf numFmtId="185" fontId="0" fillId="0" borderId="0" xfId="5" applyNumberFormat="1" applyFont="1" applyAlignment="1"/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186" fontId="0" fillId="0" borderId="0" xfId="0" quotePrefix="1" applyNumberFormat="1"/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0" fontId="8" fillId="0" borderId="2" xfId="0" applyFont="1" applyFill="1" applyBorder="1" applyAlignment="1">
      <alignment horizontal="left" vertical="center" wrapText="1"/>
    </xf>
    <xf numFmtId="179" fontId="0" fillId="0" borderId="2" xfId="0" applyNumberFormat="1" applyFill="1" applyBorder="1" applyAlignment="1">
      <alignment horizontal="right" vertical="center" wrapText="1"/>
    </xf>
    <xf numFmtId="0" fontId="8" fillId="0" borderId="2" xfId="0" applyFont="1" applyFill="1" applyBorder="1" applyAlignment="1">
      <alignment horizontal="center" vertical="center" wrapText="1"/>
    </xf>
    <xf numFmtId="180" fontId="9" fillId="0" borderId="2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181" fontId="0" fillId="0" borderId="2" xfId="0" applyNumberFormat="1" applyFill="1" applyBorder="1" applyAlignment="1">
      <alignment horizontal="right" vertical="center" wrapText="1"/>
    </xf>
    <xf numFmtId="0" fontId="8" fillId="4" borderId="2" xfId="0" applyFont="1" applyFill="1" applyBorder="1" applyAlignment="1">
      <alignment horizontal="center" vertical="center" wrapText="1"/>
    </xf>
    <xf numFmtId="180" fontId="9" fillId="4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  <xf numFmtId="49" fontId="6" fillId="0" borderId="2" xfId="0" applyNumberFormat="1" applyFont="1" applyBorder="1" applyAlignment="1" applyProtection="1">
      <alignment horizontal="center" vertical="center" wrapText="1"/>
    </xf>
    <xf numFmtId="49" fontId="6" fillId="0" borderId="2" xfId="0" applyNumberFormat="1" applyFont="1" applyFill="1" applyBorder="1" applyAlignment="1" applyProtection="1">
      <alignment horizontal="center" vertical="center" wrapText="1"/>
    </xf>
    <xf numFmtId="0" fontId="6" fillId="0" borderId="2" xfId="0" applyNumberFormat="1" applyFont="1" applyBorder="1" applyAlignment="1" applyProtection="1">
      <alignment horizontal="center" vertical="center" wrapText="1"/>
    </xf>
  </cellXfs>
  <cellStyles count="7">
    <cellStyle name="백분율" xfId="1" builtinId="5"/>
    <cellStyle name="쉼표 [0]" xfId="5" builtinId="6"/>
    <cellStyle name="표준" xfId="0" builtinId="0"/>
    <cellStyle name="표준 2" xfId="2"/>
    <cellStyle name="표준 3" xfId="4"/>
    <cellStyle name="표준 4" xfId="6"/>
    <cellStyle name="하이퍼링크" xfId="3" builtinId="8"/>
  </cellStyles>
  <dxfs count="471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186977</xdr:colOff>
      <xdr:row>20</xdr:row>
      <xdr:rowOff>41622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11977" cy="41237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48025</xdr:rowOff>
    </xdr:from>
    <xdr:to>
      <xdr:col>14</xdr:col>
      <xdr:colOff>290347</xdr:colOff>
      <xdr:row>43</xdr:row>
      <xdr:rowOff>53628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38382"/>
          <a:ext cx="9815347" cy="4291853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45</xdr:row>
      <xdr:rowOff>60033</xdr:rowOff>
    </xdr:from>
    <xdr:to>
      <xdr:col>14</xdr:col>
      <xdr:colOff>179295</xdr:colOff>
      <xdr:row>65</xdr:row>
      <xdr:rowOff>127562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9244854"/>
          <a:ext cx="9704294" cy="41496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[0]!저장시트" textlink="">
      <xdr:nvSpPr>
        <xdr:cNvPr id="3" name="직사각형 2"/>
        <xdr:cNvSpPr/>
      </xdr:nvSpPr>
      <xdr:spPr>
        <a:xfrm>
          <a:off x="47625" y="1419225"/>
          <a:ext cx="1971675" cy="304800"/>
        </a:xfrm>
        <a:prstGeom prst="rect">
          <a:avLst/>
        </a:prstGeom>
        <a:solidFill>
          <a:srgbClr val="00206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저장시트 생성하기</a:t>
          </a:r>
          <a:r>
            <a:rPr lang="en-US" altLang="ko-KR" sz="1100" b="1">
              <a:solidFill>
                <a:schemeClr val="bg1"/>
              </a:solidFill>
            </a:rPr>
            <a:t>(</a:t>
          </a:r>
          <a:r>
            <a:rPr lang="ko-KR" altLang="en-US" sz="1100" b="1">
              <a:solidFill>
                <a:schemeClr val="bg1"/>
              </a:solidFill>
            </a:rPr>
            <a:t>클릭</a:t>
          </a:r>
          <a:r>
            <a:rPr lang="en-US" altLang="ko-KR" sz="1100" b="1">
              <a:solidFill>
                <a:schemeClr val="bg1"/>
              </a:solidFill>
            </a:rPr>
            <a:t>)</a:t>
          </a:r>
          <a:endParaRPr lang="ko-KR" alt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ecos.bok.or.k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HT30"/>
  <sheetViews>
    <sheetView showGridLines="0" zoomScale="85" zoomScaleNormal="85" workbookViewId="0">
      <selection activeCell="H24" sqref="H24"/>
    </sheetView>
  </sheetViews>
  <sheetFormatPr defaultRowHeight="16.5" zeroHeight="1"/>
  <cols>
    <col min="1" max="1" width="18.5" customWidth="1"/>
    <col min="2" max="2" width="12.25" customWidth="1"/>
    <col min="5" max="16" width="12.375" customWidth="1"/>
    <col min="17" max="228" width="9.75" customWidth="1"/>
  </cols>
  <sheetData>
    <row r="1" spans="1:228">
      <c r="A1" s="4" t="s">
        <v>196</v>
      </c>
      <c r="B1" s="5" t="s">
        <v>209</v>
      </c>
    </row>
    <row r="2" spans="1:228">
      <c r="A2" s="6" t="s">
        <v>226</v>
      </c>
      <c r="B2" s="6"/>
      <c r="C2" s="6"/>
      <c r="D2" s="6"/>
      <c r="E2" s="6"/>
      <c r="F2" s="88" t="str">
        <f>IF(COUNTIF(D5:F5,"N/A")&lt;&gt;0,"미확정","확정")</f>
        <v>확정</v>
      </c>
      <c r="G2" s="88" t="str">
        <f>IF(COUNTIF(E5:G5,"N/A")&lt;&gt;0,"미확정","확정")</f>
        <v>확정</v>
      </c>
      <c r="H2" s="88" t="str">
        <f t="shared" ref="H2" si="0">IF(COUNTIF(G5:H5,"N/A")&lt;&gt;0,"미확정","확정")</f>
        <v>확정</v>
      </c>
      <c r="I2" s="88" t="str">
        <f t="shared" ref="I2" si="1">IF(COUNTIF(H5:I5,"N/A")&lt;&gt;0,"미확정","확정")</f>
        <v>확정</v>
      </c>
      <c r="J2" s="88" t="str">
        <f t="shared" ref="J2" si="2">IF(COUNTIF(I5:J5,"N/A")&lt;&gt;0,"미확정","확정")</f>
        <v>확정</v>
      </c>
      <c r="K2" s="88" t="str">
        <f t="shared" ref="K2" si="3">IF(COUNTIF(J5:K5,"N/A")&lt;&gt;0,"미확정","확정")</f>
        <v>확정</v>
      </c>
      <c r="L2" s="88" t="str">
        <f t="shared" ref="L2" si="4">IF(COUNTIF(K5:L5,"N/A")&lt;&gt;0,"미확정","확정")</f>
        <v>확정</v>
      </c>
      <c r="M2" s="88" t="str">
        <f t="shared" ref="M2:U2" si="5">IF(COUNTIF(L5:M5,"N/A")&lt;&gt;0,"미확정","확정")</f>
        <v>확정</v>
      </c>
      <c r="N2" s="88" t="str">
        <f t="shared" si="5"/>
        <v>확정</v>
      </c>
      <c r="O2" s="88" t="str">
        <f t="shared" si="5"/>
        <v>확정</v>
      </c>
      <c r="P2" s="88" t="str">
        <f t="shared" si="5"/>
        <v>확정</v>
      </c>
      <c r="Q2" s="88" t="str">
        <f t="shared" si="5"/>
        <v>확정</v>
      </c>
      <c r="R2" s="88" t="str">
        <f t="shared" si="5"/>
        <v>확정</v>
      </c>
      <c r="S2" s="88" t="str">
        <f t="shared" si="5"/>
        <v>확정</v>
      </c>
      <c r="T2" s="88" t="str">
        <f t="shared" si="5"/>
        <v>확정</v>
      </c>
      <c r="U2" s="88" t="str">
        <f t="shared" si="5"/>
        <v>확정</v>
      </c>
      <c r="V2" s="88" t="str">
        <f t="shared" ref="V2" si="6">IF(COUNTIF(U5:V5,"N/A")&lt;&gt;0,"미확정","확정")</f>
        <v>확정</v>
      </c>
      <c r="W2" s="88" t="str">
        <f t="shared" ref="W2" si="7">IF(COUNTIF(V5:W5,"N/A")&lt;&gt;0,"미확정","확정")</f>
        <v>확정</v>
      </c>
      <c r="X2" s="88" t="str">
        <f t="shared" ref="X2" si="8">IF(COUNTIF(W5:X5,"N/A")&lt;&gt;0,"미확정","확정")</f>
        <v>확정</v>
      </c>
      <c r="Y2" s="88" t="str">
        <f t="shared" ref="Y2" si="9">IF(COUNTIF(X5:Y5,"N/A")&lt;&gt;0,"미확정","확정")</f>
        <v>확정</v>
      </c>
      <c r="Z2" s="88" t="str">
        <f t="shared" ref="Z2" si="10">IF(COUNTIF(Y5:Z5,"N/A")&lt;&gt;0,"미확정","확정")</f>
        <v>확정</v>
      </c>
      <c r="AA2" s="88" t="str">
        <f t="shared" ref="AA2" si="11">IF(COUNTIF(Z5:AA5,"N/A")&lt;&gt;0,"미확정","확정")</f>
        <v>확정</v>
      </c>
      <c r="AB2" s="88" t="str">
        <f t="shared" ref="AB2" si="12">IF(COUNTIF(AA5:AB5,"N/A")&lt;&gt;0,"미확정","확정")</f>
        <v>확정</v>
      </c>
      <c r="AC2" s="88" t="str">
        <f t="shared" ref="AC2" si="13">IF(COUNTIF(AB5:AC5,"N/A")&lt;&gt;0,"미확정","확정")</f>
        <v>확정</v>
      </c>
      <c r="AD2" s="88" t="str">
        <f t="shared" ref="AD2:AE2" si="14">IF(COUNTIF(AC5:AD5,"N/A")&lt;&gt;0,"미확정","확정")</f>
        <v>확정</v>
      </c>
      <c r="AE2" s="88" t="str">
        <f t="shared" si="14"/>
        <v>확정</v>
      </c>
      <c r="AF2" s="88" t="str">
        <f t="shared" ref="AF2" si="15">IF(COUNTIF(AE5:AF5,"N/A")&lt;&gt;0,"미확정","확정")</f>
        <v>확정</v>
      </c>
      <c r="AG2" s="88" t="str">
        <f t="shared" ref="AG2:CS2" si="16">IF(COUNTIF(AF5:AG5,"N/A")&lt;&gt;0,"미확정","확정")</f>
        <v>확정</v>
      </c>
      <c r="AH2" s="88" t="str">
        <f t="shared" si="16"/>
        <v>확정</v>
      </c>
      <c r="AI2" s="88" t="str">
        <f t="shared" si="16"/>
        <v>확정</v>
      </c>
      <c r="AJ2" s="88" t="str">
        <f t="shared" si="16"/>
        <v>확정</v>
      </c>
      <c r="AK2" s="88" t="str">
        <f t="shared" si="16"/>
        <v>확정</v>
      </c>
      <c r="AL2" s="88" t="str">
        <f t="shared" si="16"/>
        <v>확정</v>
      </c>
      <c r="AM2" s="88" t="str">
        <f t="shared" si="16"/>
        <v>확정</v>
      </c>
      <c r="AN2" s="88" t="str">
        <f t="shared" si="16"/>
        <v>확정</v>
      </c>
      <c r="AO2" s="88" t="str">
        <f t="shared" si="16"/>
        <v>확정</v>
      </c>
      <c r="AP2" s="88" t="str">
        <f t="shared" si="16"/>
        <v>확정</v>
      </c>
      <c r="AQ2" s="88" t="str">
        <f t="shared" si="16"/>
        <v>확정</v>
      </c>
      <c r="AR2" s="88" t="str">
        <f t="shared" si="16"/>
        <v>확정</v>
      </c>
      <c r="AS2" s="88" t="str">
        <f t="shared" si="16"/>
        <v>확정</v>
      </c>
      <c r="AT2" s="88" t="str">
        <f t="shared" si="16"/>
        <v>확정</v>
      </c>
      <c r="AU2" s="88" t="str">
        <f t="shared" si="16"/>
        <v>확정</v>
      </c>
      <c r="AV2" s="88" t="str">
        <f t="shared" si="16"/>
        <v>확정</v>
      </c>
      <c r="AW2" s="88" t="str">
        <f t="shared" si="16"/>
        <v>확정</v>
      </c>
      <c r="AX2" s="88" t="str">
        <f t="shared" si="16"/>
        <v>확정</v>
      </c>
      <c r="AY2" s="88" t="str">
        <f t="shared" si="16"/>
        <v>확정</v>
      </c>
      <c r="AZ2" s="88" t="str">
        <f t="shared" si="16"/>
        <v>확정</v>
      </c>
      <c r="BA2" s="88" t="str">
        <f t="shared" si="16"/>
        <v>확정</v>
      </c>
      <c r="BB2" s="88" t="str">
        <f t="shared" si="16"/>
        <v>확정</v>
      </c>
      <c r="BC2" s="88" t="str">
        <f t="shared" si="16"/>
        <v>확정</v>
      </c>
      <c r="BD2" s="88" t="str">
        <f t="shared" si="16"/>
        <v>확정</v>
      </c>
      <c r="BE2" s="88" t="str">
        <f t="shared" si="16"/>
        <v>확정</v>
      </c>
      <c r="BF2" s="88" t="str">
        <f t="shared" si="16"/>
        <v>확정</v>
      </c>
      <c r="BG2" s="88" t="str">
        <f t="shared" si="16"/>
        <v>확정</v>
      </c>
      <c r="BH2" s="88" t="str">
        <f t="shared" si="16"/>
        <v>확정</v>
      </c>
      <c r="BI2" s="88" t="str">
        <f t="shared" si="16"/>
        <v>확정</v>
      </c>
      <c r="BJ2" s="88" t="str">
        <f t="shared" si="16"/>
        <v>확정</v>
      </c>
      <c r="BK2" s="88" t="str">
        <f t="shared" si="16"/>
        <v>확정</v>
      </c>
      <c r="BL2" s="88" t="str">
        <f t="shared" si="16"/>
        <v>확정</v>
      </c>
      <c r="BM2" s="88" t="str">
        <f t="shared" si="16"/>
        <v>확정</v>
      </c>
      <c r="BN2" s="88" t="str">
        <f t="shared" si="16"/>
        <v>확정</v>
      </c>
      <c r="BO2" s="88" t="str">
        <f t="shared" si="16"/>
        <v>확정</v>
      </c>
      <c r="BP2" s="88" t="str">
        <f t="shared" si="16"/>
        <v>확정</v>
      </c>
      <c r="BQ2" s="88" t="str">
        <f t="shared" si="16"/>
        <v>확정</v>
      </c>
      <c r="BR2" s="88" t="str">
        <f t="shared" si="16"/>
        <v>확정</v>
      </c>
      <c r="BS2" s="88" t="str">
        <f t="shared" si="16"/>
        <v>확정</v>
      </c>
      <c r="BT2" s="88" t="str">
        <f t="shared" si="16"/>
        <v>확정</v>
      </c>
      <c r="BU2" s="88" t="str">
        <f t="shared" si="16"/>
        <v>확정</v>
      </c>
      <c r="BV2" s="88" t="str">
        <f t="shared" si="16"/>
        <v>확정</v>
      </c>
      <c r="BW2" s="88" t="str">
        <f t="shared" si="16"/>
        <v>확정</v>
      </c>
      <c r="BX2" s="88" t="str">
        <f t="shared" si="16"/>
        <v>확정</v>
      </c>
      <c r="BY2" s="88" t="str">
        <f t="shared" si="16"/>
        <v>확정</v>
      </c>
      <c r="BZ2" s="88" t="str">
        <f t="shared" si="16"/>
        <v>확정</v>
      </c>
      <c r="CA2" s="88" t="str">
        <f t="shared" si="16"/>
        <v>확정</v>
      </c>
      <c r="CB2" s="88" t="str">
        <f t="shared" si="16"/>
        <v>확정</v>
      </c>
      <c r="CC2" s="88" t="str">
        <f t="shared" si="16"/>
        <v>확정</v>
      </c>
      <c r="CD2" s="88" t="str">
        <f t="shared" si="16"/>
        <v>확정</v>
      </c>
      <c r="CE2" s="88" t="str">
        <f t="shared" si="16"/>
        <v>확정</v>
      </c>
      <c r="CF2" s="88" t="str">
        <f t="shared" si="16"/>
        <v>확정</v>
      </c>
      <c r="CG2" s="88" t="str">
        <f t="shared" si="16"/>
        <v>확정</v>
      </c>
      <c r="CH2" s="88" t="str">
        <f t="shared" si="16"/>
        <v>확정</v>
      </c>
      <c r="CI2" s="88" t="str">
        <f t="shared" si="16"/>
        <v>확정</v>
      </c>
      <c r="CJ2" s="88" t="str">
        <f t="shared" si="16"/>
        <v>확정</v>
      </c>
      <c r="CK2" s="88" t="str">
        <f t="shared" si="16"/>
        <v>확정</v>
      </c>
      <c r="CL2" s="88" t="str">
        <f t="shared" si="16"/>
        <v>확정</v>
      </c>
      <c r="CM2" s="88" t="str">
        <f t="shared" si="16"/>
        <v>확정</v>
      </c>
      <c r="CN2" s="88" t="str">
        <f t="shared" si="16"/>
        <v>확정</v>
      </c>
      <c r="CO2" s="88" t="str">
        <f t="shared" si="16"/>
        <v>확정</v>
      </c>
      <c r="CP2" s="88" t="str">
        <f t="shared" si="16"/>
        <v>확정</v>
      </c>
      <c r="CQ2" s="88" t="str">
        <f t="shared" si="16"/>
        <v>확정</v>
      </c>
      <c r="CR2" s="88" t="str">
        <f t="shared" si="16"/>
        <v>확정</v>
      </c>
      <c r="CS2" s="88" t="str">
        <f t="shared" si="16"/>
        <v>확정</v>
      </c>
      <c r="CT2" s="88" t="str">
        <f t="shared" ref="CT2:FE2" si="17">IF(COUNTIF(CS5:CT5,"N/A")&lt;&gt;0,"미확정","확정")</f>
        <v>확정</v>
      </c>
      <c r="CU2" s="88" t="str">
        <f t="shared" si="17"/>
        <v>확정</v>
      </c>
      <c r="CV2" s="88" t="str">
        <f t="shared" si="17"/>
        <v>확정</v>
      </c>
      <c r="CW2" s="88" t="str">
        <f t="shared" si="17"/>
        <v>확정</v>
      </c>
      <c r="CX2" s="88" t="str">
        <f t="shared" si="17"/>
        <v>확정</v>
      </c>
      <c r="CY2" s="88" t="str">
        <f t="shared" si="17"/>
        <v>확정</v>
      </c>
      <c r="CZ2" s="88" t="str">
        <f t="shared" si="17"/>
        <v>확정</v>
      </c>
      <c r="DA2" s="88" t="str">
        <f t="shared" si="17"/>
        <v>확정</v>
      </c>
      <c r="DB2" s="88" t="str">
        <f t="shared" si="17"/>
        <v>확정</v>
      </c>
      <c r="DC2" s="88" t="str">
        <f t="shared" si="17"/>
        <v>확정</v>
      </c>
      <c r="DD2" s="88" t="str">
        <f t="shared" si="17"/>
        <v>확정</v>
      </c>
      <c r="DE2" s="88" t="str">
        <f t="shared" si="17"/>
        <v>확정</v>
      </c>
      <c r="DF2" s="88" t="str">
        <f t="shared" si="17"/>
        <v>확정</v>
      </c>
      <c r="DG2" s="88" t="str">
        <f t="shared" si="17"/>
        <v>확정</v>
      </c>
      <c r="DH2" s="88" t="str">
        <f t="shared" si="17"/>
        <v>확정</v>
      </c>
      <c r="DI2" s="88" t="str">
        <f t="shared" si="17"/>
        <v>확정</v>
      </c>
      <c r="DJ2" s="88" t="str">
        <f t="shared" si="17"/>
        <v>확정</v>
      </c>
      <c r="DK2" s="88" t="str">
        <f t="shared" si="17"/>
        <v>확정</v>
      </c>
      <c r="DL2" s="88" t="str">
        <f t="shared" si="17"/>
        <v>확정</v>
      </c>
      <c r="DM2" s="88" t="str">
        <f t="shared" si="17"/>
        <v>확정</v>
      </c>
      <c r="DN2" s="88" t="str">
        <f t="shared" si="17"/>
        <v>확정</v>
      </c>
      <c r="DO2" s="88" t="str">
        <f t="shared" si="17"/>
        <v>확정</v>
      </c>
      <c r="DP2" s="88" t="str">
        <f t="shared" si="17"/>
        <v>확정</v>
      </c>
      <c r="DQ2" s="88" t="str">
        <f t="shared" si="17"/>
        <v>확정</v>
      </c>
      <c r="DR2" s="88" t="str">
        <f t="shared" si="17"/>
        <v>확정</v>
      </c>
      <c r="DS2" s="88" t="str">
        <f t="shared" si="17"/>
        <v>확정</v>
      </c>
      <c r="DT2" s="88" t="str">
        <f t="shared" si="17"/>
        <v>확정</v>
      </c>
      <c r="DU2" s="88" t="str">
        <f t="shared" si="17"/>
        <v>확정</v>
      </c>
      <c r="DV2" s="88" t="str">
        <f t="shared" si="17"/>
        <v>확정</v>
      </c>
      <c r="DW2" s="88" t="str">
        <f t="shared" si="17"/>
        <v>확정</v>
      </c>
      <c r="DX2" s="88" t="str">
        <f t="shared" si="17"/>
        <v>확정</v>
      </c>
      <c r="DY2" s="88" t="str">
        <f t="shared" si="17"/>
        <v>확정</v>
      </c>
      <c r="DZ2" s="88" t="str">
        <f t="shared" si="17"/>
        <v>확정</v>
      </c>
      <c r="EA2" s="88" t="str">
        <f t="shared" si="17"/>
        <v>확정</v>
      </c>
      <c r="EB2" s="88" t="str">
        <f t="shared" si="17"/>
        <v>확정</v>
      </c>
      <c r="EC2" s="88" t="str">
        <f t="shared" si="17"/>
        <v>확정</v>
      </c>
      <c r="ED2" s="88" t="str">
        <f t="shared" si="17"/>
        <v>확정</v>
      </c>
      <c r="EE2" s="88" t="str">
        <f t="shared" si="17"/>
        <v>확정</v>
      </c>
      <c r="EF2" s="88" t="str">
        <f t="shared" si="17"/>
        <v>확정</v>
      </c>
      <c r="EG2" s="88" t="str">
        <f t="shared" si="17"/>
        <v>확정</v>
      </c>
      <c r="EH2" s="88" t="str">
        <f t="shared" si="17"/>
        <v>확정</v>
      </c>
      <c r="EI2" s="88" t="str">
        <f t="shared" si="17"/>
        <v>확정</v>
      </c>
      <c r="EJ2" s="88" t="str">
        <f t="shared" si="17"/>
        <v>확정</v>
      </c>
      <c r="EK2" s="88" t="str">
        <f t="shared" si="17"/>
        <v>확정</v>
      </c>
      <c r="EL2" s="88" t="str">
        <f t="shared" si="17"/>
        <v>확정</v>
      </c>
      <c r="EM2" s="88" t="str">
        <f t="shared" si="17"/>
        <v>확정</v>
      </c>
      <c r="EN2" s="88" t="str">
        <f t="shared" si="17"/>
        <v>확정</v>
      </c>
      <c r="EO2" s="88" t="str">
        <f t="shared" si="17"/>
        <v>확정</v>
      </c>
      <c r="EP2" s="88" t="str">
        <f t="shared" si="17"/>
        <v>확정</v>
      </c>
      <c r="EQ2" s="88" t="str">
        <f t="shared" si="17"/>
        <v>확정</v>
      </c>
      <c r="ER2" s="88" t="str">
        <f t="shared" si="17"/>
        <v>확정</v>
      </c>
      <c r="ES2" s="88" t="str">
        <f t="shared" si="17"/>
        <v>확정</v>
      </c>
      <c r="ET2" s="88" t="str">
        <f t="shared" si="17"/>
        <v>확정</v>
      </c>
      <c r="EU2" s="88" t="str">
        <f t="shared" si="17"/>
        <v>확정</v>
      </c>
      <c r="EV2" s="88" t="str">
        <f t="shared" si="17"/>
        <v>확정</v>
      </c>
      <c r="EW2" s="88" t="str">
        <f t="shared" si="17"/>
        <v>확정</v>
      </c>
      <c r="EX2" s="88" t="str">
        <f t="shared" si="17"/>
        <v>확정</v>
      </c>
      <c r="EY2" s="88" t="str">
        <f t="shared" si="17"/>
        <v>확정</v>
      </c>
      <c r="EZ2" s="88" t="str">
        <f t="shared" si="17"/>
        <v>확정</v>
      </c>
      <c r="FA2" s="88" t="str">
        <f t="shared" si="17"/>
        <v>확정</v>
      </c>
      <c r="FB2" s="88" t="str">
        <f t="shared" si="17"/>
        <v>확정</v>
      </c>
      <c r="FC2" s="88" t="str">
        <f t="shared" si="17"/>
        <v>확정</v>
      </c>
      <c r="FD2" s="88" t="str">
        <f t="shared" si="17"/>
        <v>확정</v>
      </c>
      <c r="FE2" s="88" t="str">
        <f t="shared" si="17"/>
        <v>확정</v>
      </c>
      <c r="FF2" s="88" t="str">
        <f t="shared" ref="FF2:HQ2" si="18">IF(COUNTIF(FE5:FF5,"N/A")&lt;&gt;0,"미확정","확정")</f>
        <v>확정</v>
      </c>
      <c r="FG2" s="88" t="str">
        <f t="shared" si="18"/>
        <v>확정</v>
      </c>
      <c r="FH2" s="88" t="str">
        <f t="shared" si="18"/>
        <v>확정</v>
      </c>
      <c r="FI2" s="88" t="str">
        <f t="shared" si="18"/>
        <v>확정</v>
      </c>
      <c r="FJ2" s="88" t="str">
        <f t="shared" si="18"/>
        <v>확정</v>
      </c>
      <c r="FK2" s="88" t="str">
        <f t="shared" si="18"/>
        <v>확정</v>
      </c>
      <c r="FL2" s="88" t="str">
        <f t="shared" si="18"/>
        <v>확정</v>
      </c>
      <c r="FM2" s="88" t="str">
        <f t="shared" si="18"/>
        <v>확정</v>
      </c>
      <c r="FN2" s="88" t="str">
        <f t="shared" si="18"/>
        <v>확정</v>
      </c>
      <c r="FO2" s="88" t="str">
        <f t="shared" si="18"/>
        <v>확정</v>
      </c>
      <c r="FP2" s="88" t="str">
        <f t="shared" si="18"/>
        <v>확정</v>
      </c>
      <c r="FQ2" s="88" t="str">
        <f t="shared" si="18"/>
        <v>확정</v>
      </c>
      <c r="FR2" s="88" t="str">
        <f t="shared" si="18"/>
        <v>확정</v>
      </c>
      <c r="FS2" s="88" t="str">
        <f t="shared" si="18"/>
        <v>확정</v>
      </c>
      <c r="FT2" s="88" t="str">
        <f t="shared" si="18"/>
        <v>확정</v>
      </c>
      <c r="FU2" s="88" t="str">
        <f t="shared" si="18"/>
        <v>확정</v>
      </c>
      <c r="FV2" s="88" t="str">
        <f t="shared" si="18"/>
        <v>확정</v>
      </c>
      <c r="FW2" s="88" t="str">
        <f t="shared" si="18"/>
        <v>확정</v>
      </c>
      <c r="FX2" s="88" t="str">
        <f t="shared" si="18"/>
        <v>확정</v>
      </c>
      <c r="FY2" s="88" t="str">
        <f t="shared" si="18"/>
        <v>확정</v>
      </c>
      <c r="FZ2" s="88" t="str">
        <f t="shared" si="18"/>
        <v>확정</v>
      </c>
      <c r="GA2" s="88" t="str">
        <f t="shared" si="18"/>
        <v>확정</v>
      </c>
      <c r="GB2" s="88" t="str">
        <f t="shared" si="18"/>
        <v>확정</v>
      </c>
      <c r="GC2" s="88" t="str">
        <f t="shared" si="18"/>
        <v>확정</v>
      </c>
      <c r="GD2" s="88" t="str">
        <f t="shared" si="18"/>
        <v>확정</v>
      </c>
      <c r="GE2" s="88" t="str">
        <f t="shared" si="18"/>
        <v>확정</v>
      </c>
      <c r="GF2" s="88" t="str">
        <f t="shared" si="18"/>
        <v>확정</v>
      </c>
      <c r="GG2" s="88" t="str">
        <f t="shared" si="18"/>
        <v>확정</v>
      </c>
      <c r="GH2" s="88" t="str">
        <f t="shared" si="18"/>
        <v>확정</v>
      </c>
      <c r="GI2" s="88" t="str">
        <f t="shared" si="18"/>
        <v>확정</v>
      </c>
      <c r="GJ2" s="88" t="str">
        <f t="shared" si="18"/>
        <v>확정</v>
      </c>
      <c r="GK2" s="88" t="str">
        <f t="shared" si="18"/>
        <v>확정</v>
      </c>
      <c r="GL2" s="88" t="str">
        <f t="shared" si="18"/>
        <v>확정</v>
      </c>
      <c r="GM2" s="88" t="str">
        <f t="shared" si="18"/>
        <v>확정</v>
      </c>
      <c r="GN2" s="88" t="str">
        <f t="shared" si="18"/>
        <v>확정</v>
      </c>
      <c r="GO2" s="88" t="str">
        <f t="shared" si="18"/>
        <v>확정</v>
      </c>
      <c r="GP2" s="88" t="str">
        <f t="shared" si="18"/>
        <v>확정</v>
      </c>
      <c r="GQ2" s="88" t="str">
        <f t="shared" si="18"/>
        <v>확정</v>
      </c>
      <c r="GR2" s="88" t="str">
        <f t="shared" si="18"/>
        <v>확정</v>
      </c>
      <c r="GS2" s="88" t="str">
        <f t="shared" si="18"/>
        <v>확정</v>
      </c>
      <c r="GT2" s="88" t="str">
        <f t="shared" si="18"/>
        <v>확정</v>
      </c>
      <c r="GU2" s="88" t="str">
        <f t="shared" si="18"/>
        <v>확정</v>
      </c>
      <c r="GV2" s="88" t="str">
        <f t="shared" si="18"/>
        <v>확정</v>
      </c>
      <c r="GW2" s="88" t="str">
        <f t="shared" si="18"/>
        <v>확정</v>
      </c>
      <c r="GX2" s="88" t="str">
        <f t="shared" si="18"/>
        <v>확정</v>
      </c>
      <c r="GY2" s="88" t="str">
        <f t="shared" si="18"/>
        <v>확정</v>
      </c>
      <c r="GZ2" s="88" t="str">
        <f t="shared" si="18"/>
        <v>확정</v>
      </c>
      <c r="HA2" s="88" t="str">
        <f t="shared" si="18"/>
        <v>확정</v>
      </c>
      <c r="HB2" s="88" t="str">
        <f t="shared" si="18"/>
        <v>확정</v>
      </c>
      <c r="HC2" s="88" t="str">
        <f t="shared" si="18"/>
        <v>확정</v>
      </c>
      <c r="HD2" s="88" t="str">
        <f t="shared" si="18"/>
        <v>확정</v>
      </c>
      <c r="HE2" s="88" t="str">
        <f t="shared" si="18"/>
        <v>확정</v>
      </c>
      <c r="HF2" s="88" t="str">
        <f t="shared" si="18"/>
        <v>확정</v>
      </c>
      <c r="HG2" s="88" t="str">
        <f t="shared" si="18"/>
        <v>확정</v>
      </c>
      <c r="HH2" s="88" t="str">
        <f t="shared" si="18"/>
        <v>확정</v>
      </c>
      <c r="HI2" s="88" t="str">
        <f t="shared" si="18"/>
        <v>확정</v>
      </c>
      <c r="HJ2" s="88" t="str">
        <f t="shared" si="18"/>
        <v>확정</v>
      </c>
      <c r="HK2" s="88" t="str">
        <f t="shared" si="18"/>
        <v>확정</v>
      </c>
      <c r="HL2" s="88" t="str">
        <f t="shared" si="18"/>
        <v>확정</v>
      </c>
      <c r="HM2" s="88" t="str">
        <f t="shared" si="18"/>
        <v>확정</v>
      </c>
      <c r="HN2" s="88" t="str">
        <f t="shared" si="18"/>
        <v>확정</v>
      </c>
      <c r="HO2" s="88" t="str">
        <f t="shared" si="18"/>
        <v>확정</v>
      </c>
      <c r="HP2" s="88" t="str">
        <f t="shared" si="18"/>
        <v>확정</v>
      </c>
      <c r="HQ2" s="88" t="str">
        <f t="shared" si="18"/>
        <v>확정</v>
      </c>
      <c r="HR2" s="88" t="str">
        <f t="shared" ref="HR2:HT2" si="19">IF(COUNTIF(HQ5:HR5,"N/A")&lt;&gt;0,"미확정","확정")</f>
        <v>확정</v>
      </c>
      <c r="HS2" s="88" t="str">
        <f t="shared" si="19"/>
        <v>확정</v>
      </c>
      <c r="HT2" s="88" t="str">
        <f t="shared" si="19"/>
        <v>확정</v>
      </c>
    </row>
    <row r="3" spans="1:228" ht="17.25" thickBot="1">
      <c r="F3" s="3">
        <f t="shared" ref="F3:AO3" si="20">EOMONTH(DATEVALUE(LEFT(F4,4)&amp;"-"&amp;MID(F4,6,2)&amp;"-01"),0)</f>
        <v>45504</v>
      </c>
      <c r="G3" s="3">
        <f t="shared" si="20"/>
        <v>45473</v>
      </c>
      <c r="H3" s="3">
        <f t="shared" si="20"/>
        <v>45443</v>
      </c>
      <c r="I3" s="3">
        <f t="shared" si="20"/>
        <v>45412</v>
      </c>
      <c r="J3" s="3">
        <f t="shared" si="20"/>
        <v>45382</v>
      </c>
      <c r="K3" s="3">
        <f t="shared" si="20"/>
        <v>45351</v>
      </c>
      <c r="L3" s="3">
        <f t="shared" si="20"/>
        <v>45322</v>
      </c>
      <c r="M3" s="3">
        <f t="shared" si="20"/>
        <v>45291</v>
      </c>
      <c r="N3" s="3">
        <f t="shared" si="20"/>
        <v>45260</v>
      </c>
      <c r="O3" s="3">
        <f t="shared" si="20"/>
        <v>45230</v>
      </c>
      <c r="P3" s="3">
        <f t="shared" si="20"/>
        <v>45199</v>
      </c>
      <c r="Q3" s="3">
        <f t="shared" si="20"/>
        <v>45169</v>
      </c>
      <c r="R3" s="3">
        <f t="shared" si="20"/>
        <v>45138</v>
      </c>
      <c r="S3" s="3">
        <f t="shared" si="20"/>
        <v>45107</v>
      </c>
      <c r="T3" s="3">
        <f t="shared" si="20"/>
        <v>45077</v>
      </c>
      <c r="U3" s="3">
        <f t="shared" si="20"/>
        <v>45046</v>
      </c>
      <c r="V3" s="3">
        <f t="shared" si="20"/>
        <v>45016</v>
      </c>
      <c r="W3" s="3">
        <f t="shared" si="20"/>
        <v>44985</v>
      </c>
      <c r="X3" s="3">
        <f t="shared" si="20"/>
        <v>44957</v>
      </c>
      <c r="Y3" s="3">
        <f t="shared" si="20"/>
        <v>44926</v>
      </c>
      <c r="Z3" s="3">
        <f t="shared" si="20"/>
        <v>44895</v>
      </c>
      <c r="AA3" s="3">
        <f t="shared" si="20"/>
        <v>44865</v>
      </c>
      <c r="AB3" s="3">
        <f t="shared" si="20"/>
        <v>44834</v>
      </c>
      <c r="AC3" s="3">
        <f t="shared" si="20"/>
        <v>44804</v>
      </c>
      <c r="AD3" s="3">
        <f t="shared" si="20"/>
        <v>44773</v>
      </c>
      <c r="AE3" s="3">
        <f t="shared" si="20"/>
        <v>44742</v>
      </c>
      <c r="AF3" s="3">
        <f t="shared" si="20"/>
        <v>44712</v>
      </c>
      <c r="AG3" s="3">
        <f t="shared" si="20"/>
        <v>44681</v>
      </c>
      <c r="AH3" s="3">
        <f t="shared" si="20"/>
        <v>44651</v>
      </c>
      <c r="AI3" s="3">
        <f t="shared" si="20"/>
        <v>44620</v>
      </c>
      <c r="AJ3" s="3">
        <f t="shared" si="20"/>
        <v>44592</v>
      </c>
      <c r="AK3" s="3">
        <f t="shared" si="20"/>
        <v>44561</v>
      </c>
      <c r="AL3" s="3">
        <f t="shared" si="20"/>
        <v>44530</v>
      </c>
      <c r="AM3" s="3">
        <f t="shared" si="20"/>
        <v>44500</v>
      </c>
      <c r="AN3" s="3">
        <f t="shared" si="20"/>
        <v>44469</v>
      </c>
      <c r="AO3" s="3">
        <f t="shared" si="20"/>
        <v>44439</v>
      </c>
      <c r="AP3" s="3">
        <f>EOMONTH(DATEVALUE(LEFT(AP4,4)&amp;"-"&amp;MID(AP4,6,2)&amp;"-01"),0)</f>
        <v>44408</v>
      </c>
      <c r="AQ3" s="3">
        <f t="shared" ref="AQ3:DB3" si="21">EOMONTH(DATEVALUE(LEFT(AQ4,4)&amp;"-"&amp;MID(AQ4,6,2)&amp;"-01"),0)</f>
        <v>44377</v>
      </c>
      <c r="AR3" s="3">
        <f t="shared" si="21"/>
        <v>44347</v>
      </c>
      <c r="AS3" s="3">
        <f t="shared" si="21"/>
        <v>44316</v>
      </c>
      <c r="AT3" s="3">
        <f t="shared" si="21"/>
        <v>44286</v>
      </c>
      <c r="AU3" s="3">
        <f t="shared" si="21"/>
        <v>44255</v>
      </c>
      <c r="AV3" s="3">
        <f t="shared" si="21"/>
        <v>44227</v>
      </c>
      <c r="AW3" s="3">
        <f t="shared" si="21"/>
        <v>44196</v>
      </c>
      <c r="AX3" s="3">
        <f t="shared" si="21"/>
        <v>44165</v>
      </c>
      <c r="AY3" s="3">
        <f t="shared" si="21"/>
        <v>44135</v>
      </c>
      <c r="AZ3" s="3">
        <f t="shared" si="21"/>
        <v>44104</v>
      </c>
      <c r="BA3" s="3">
        <f t="shared" si="21"/>
        <v>44074</v>
      </c>
      <c r="BB3" s="3">
        <f t="shared" si="21"/>
        <v>44043</v>
      </c>
      <c r="BC3" s="3">
        <f t="shared" si="21"/>
        <v>44012</v>
      </c>
      <c r="BD3" s="3">
        <f t="shared" si="21"/>
        <v>43982</v>
      </c>
      <c r="BE3" s="3">
        <f t="shared" si="21"/>
        <v>43951</v>
      </c>
      <c r="BF3" s="3">
        <f t="shared" si="21"/>
        <v>43921</v>
      </c>
      <c r="BG3" s="3">
        <f t="shared" si="21"/>
        <v>43890</v>
      </c>
      <c r="BH3" s="3">
        <f t="shared" si="21"/>
        <v>43861</v>
      </c>
      <c r="BI3" s="3">
        <f t="shared" si="21"/>
        <v>43830</v>
      </c>
      <c r="BJ3" s="3">
        <f t="shared" si="21"/>
        <v>43799</v>
      </c>
      <c r="BK3" s="3">
        <f t="shared" si="21"/>
        <v>43769</v>
      </c>
      <c r="BL3" s="3">
        <f t="shared" si="21"/>
        <v>43738</v>
      </c>
      <c r="BM3" s="3">
        <f t="shared" si="21"/>
        <v>43708</v>
      </c>
      <c r="BN3" s="3">
        <f t="shared" si="21"/>
        <v>43677</v>
      </c>
      <c r="BO3" s="3">
        <f t="shared" si="21"/>
        <v>43646</v>
      </c>
      <c r="BP3" s="3">
        <f t="shared" si="21"/>
        <v>43616</v>
      </c>
      <c r="BQ3" s="3">
        <f t="shared" si="21"/>
        <v>43585</v>
      </c>
      <c r="BR3" s="3">
        <f t="shared" si="21"/>
        <v>43555</v>
      </c>
      <c r="BS3" s="3">
        <f t="shared" si="21"/>
        <v>43524</v>
      </c>
      <c r="BT3" s="3">
        <f t="shared" si="21"/>
        <v>43496</v>
      </c>
      <c r="BU3" s="3">
        <f t="shared" si="21"/>
        <v>43465</v>
      </c>
      <c r="BV3" s="3">
        <f t="shared" si="21"/>
        <v>43434</v>
      </c>
      <c r="BW3" s="3">
        <f t="shared" si="21"/>
        <v>43404</v>
      </c>
      <c r="BX3" s="3">
        <f t="shared" si="21"/>
        <v>43373</v>
      </c>
      <c r="BY3" s="3">
        <f t="shared" si="21"/>
        <v>43343</v>
      </c>
      <c r="BZ3" s="3">
        <f t="shared" si="21"/>
        <v>43312</v>
      </c>
      <c r="CA3" s="3">
        <f t="shared" si="21"/>
        <v>43281</v>
      </c>
      <c r="CB3" s="3">
        <f t="shared" si="21"/>
        <v>43251</v>
      </c>
      <c r="CC3" s="3">
        <f t="shared" si="21"/>
        <v>43220</v>
      </c>
      <c r="CD3" s="3">
        <f t="shared" si="21"/>
        <v>43190</v>
      </c>
      <c r="CE3" s="3">
        <f t="shared" si="21"/>
        <v>43159</v>
      </c>
      <c r="CF3" s="3">
        <f t="shared" si="21"/>
        <v>43131</v>
      </c>
      <c r="CG3" s="3">
        <f t="shared" si="21"/>
        <v>43100</v>
      </c>
      <c r="CH3" s="3">
        <f t="shared" si="21"/>
        <v>43069</v>
      </c>
      <c r="CI3" s="3">
        <f t="shared" si="21"/>
        <v>43039</v>
      </c>
      <c r="CJ3" s="3">
        <f t="shared" si="21"/>
        <v>43008</v>
      </c>
      <c r="CK3" s="3">
        <f t="shared" si="21"/>
        <v>42978</v>
      </c>
      <c r="CL3" s="3">
        <f t="shared" si="21"/>
        <v>42947</v>
      </c>
      <c r="CM3" s="3">
        <f t="shared" si="21"/>
        <v>42916</v>
      </c>
      <c r="CN3" s="3">
        <f t="shared" si="21"/>
        <v>42886</v>
      </c>
      <c r="CO3" s="3">
        <f t="shared" si="21"/>
        <v>42855</v>
      </c>
      <c r="CP3" s="3">
        <f t="shared" si="21"/>
        <v>42825</v>
      </c>
      <c r="CQ3" s="3">
        <f t="shared" si="21"/>
        <v>42794</v>
      </c>
      <c r="CR3" s="3">
        <f t="shared" si="21"/>
        <v>42766</v>
      </c>
      <c r="CS3" s="3">
        <f t="shared" si="21"/>
        <v>42735</v>
      </c>
      <c r="CT3" s="3">
        <f t="shared" si="21"/>
        <v>42704</v>
      </c>
      <c r="CU3" s="3">
        <f t="shared" si="21"/>
        <v>42674</v>
      </c>
      <c r="CV3" s="3">
        <f t="shared" si="21"/>
        <v>42643</v>
      </c>
      <c r="CW3" s="3">
        <f t="shared" si="21"/>
        <v>42613</v>
      </c>
      <c r="CX3" s="3">
        <f t="shared" si="21"/>
        <v>42582</v>
      </c>
      <c r="CY3" s="3">
        <f t="shared" si="21"/>
        <v>42551</v>
      </c>
      <c r="CZ3" s="3">
        <f t="shared" si="21"/>
        <v>42521</v>
      </c>
      <c r="DA3" s="3">
        <f t="shared" si="21"/>
        <v>42490</v>
      </c>
      <c r="DB3" s="3">
        <f t="shared" si="21"/>
        <v>42460</v>
      </c>
      <c r="DC3" s="3">
        <f t="shared" ref="DC3:FN3" si="22">EOMONTH(DATEVALUE(LEFT(DC4,4)&amp;"-"&amp;MID(DC4,6,2)&amp;"-01"),0)</f>
        <v>42429</v>
      </c>
      <c r="DD3" s="3">
        <f t="shared" si="22"/>
        <v>42400</v>
      </c>
      <c r="DE3" s="3">
        <f t="shared" si="22"/>
        <v>42369</v>
      </c>
      <c r="DF3" s="3">
        <f t="shared" si="22"/>
        <v>42338</v>
      </c>
      <c r="DG3" s="3">
        <f t="shared" si="22"/>
        <v>42308</v>
      </c>
      <c r="DH3" s="3">
        <f t="shared" si="22"/>
        <v>42277</v>
      </c>
      <c r="DI3" s="3">
        <f t="shared" si="22"/>
        <v>42247</v>
      </c>
      <c r="DJ3" s="3">
        <f t="shared" si="22"/>
        <v>42216</v>
      </c>
      <c r="DK3" s="3">
        <f t="shared" si="22"/>
        <v>42185</v>
      </c>
      <c r="DL3" s="3">
        <f t="shared" si="22"/>
        <v>42155</v>
      </c>
      <c r="DM3" s="3">
        <f t="shared" si="22"/>
        <v>42124</v>
      </c>
      <c r="DN3" s="3">
        <f t="shared" si="22"/>
        <v>42094</v>
      </c>
      <c r="DO3" s="3">
        <f t="shared" si="22"/>
        <v>42063</v>
      </c>
      <c r="DP3" s="3">
        <f t="shared" si="22"/>
        <v>42035</v>
      </c>
      <c r="DQ3" s="3">
        <f t="shared" si="22"/>
        <v>42004</v>
      </c>
      <c r="DR3" s="3">
        <f t="shared" si="22"/>
        <v>41973</v>
      </c>
      <c r="DS3" s="3">
        <f t="shared" si="22"/>
        <v>41943</v>
      </c>
      <c r="DT3" s="3">
        <f t="shared" si="22"/>
        <v>41912</v>
      </c>
      <c r="DU3" s="3">
        <f t="shared" si="22"/>
        <v>41882</v>
      </c>
      <c r="DV3" s="3">
        <f t="shared" si="22"/>
        <v>41851</v>
      </c>
      <c r="DW3" s="3">
        <f t="shared" si="22"/>
        <v>41820</v>
      </c>
      <c r="DX3" s="3">
        <f t="shared" si="22"/>
        <v>41790</v>
      </c>
      <c r="DY3" s="3">
        <f t="shared" si="22"/>
        <v>41759</v>
      </c>
      <c r="DZ3" s="3">
        <f t="shared" si="22"/>
        <v>41729</v>
      </c>
      <c r="EA3" s="3">
        <f t="shared" si="22"/>
        <v>41698</v>
      </c>
      <c r="EB3" s="3">
        <f t="shared" si="22"/>
        <v>41670</v>
      </c>
      <c r="EC3" s="3">
        <f t="shared" si="22"/>
        <v>41639</v>
      </c>
      <c r="ED3" s="3">
        <f t="shared" si="22"/>
        <v>41608</v>
      </c>
      <c r="EE3" s="3">
        <f t="shared" si="22"/>
        <v>41578</v>
      </c>
      <c r="EF3" s="3">
        <f t="shared" si="22"/>
        <v>41547</v>
      </c>
      <c r="EG3" s="3">
        <f t="shared" si="22"/>
        <v>41517</v>
      </c>
      <c r="EH3" s="3">
        <f t="shared" si="22"/>
        <v>41486</v>
      </c>
      <c r="EI3" s="3">
        <f t="shared" si="22"/>
        <v>41455</v>
      </c>
      <c r="EJ3" s="3">
        <f t="shared" si="22"/>
        <v>41425</v>
      </c>
      <c r="EK3" s="3">
        <f t="shared" si="22"/>
        <v>41394</v>
      </c>
      <c r="EL3" s="3">
        <f t="shared" si="22"/>
        <v>41364</v>
      </c>
      <c r="EM3" s="3">
        <f t="shared" si="22"/>
        <v>41333</v>
      </c>
      <c r="EN3" s="3">
        <f t="shared" si="22"/>
        <v>41305</v>
      </c>
      <c r="EO3" s="3">
        <f t="shared" si="22"/>
        <v>41274</v>
      </c>
      <c r="EP3" s="3">
        <f t="shared" si="22"/>
        <v>41243</v>
      </c>
      <c r="EQ3" s="3">
        <f t="shared" si="22"/>
        <v>41213</v>
      </c>
      <c r="ER3" s="3">
        <f t="shared" si="22"/>
        <v>41182</v>
      </c>
      <c r="ES3" s="3">
        <f t="shared" si="22"/>
        <v>41152</v>
      </c>
      <c r="ET3" s="3">
        <f t="shared" si="22"/>
        <v>41121</v>
      </c>
      <c r="EU3" s="3">
        <f t="shared" si="22"/>
        <v>41090</v>
      </c>
      <c r="EV3" s="3">
        <f t="shared" si="22"/>
        <v>41060</v>
      </c>
      <c r="EW3" s="3">
        <f t="shared" si="22"/>
        <v>41029</v>
      </c>
      <c r="EX3" s="3">
        <f t="shared" si="22"/>
        <v>40999</v>
      </c>
      <c r="EY3" s="3">
        <f t="shared" si="22"/>
        <v>40968</v>
      </c>
      <c r="EZ3" s="3">
        <f t="shared" si="22"/>
        <v>40939</v>
      </c>
      <c r="FA3" s="3">
        <f t="shared" si="22"/>
        <v>40908</v>
      </c>
      <c r="FB3" s="3">
        <f t="shared" si="22"/>
        <v>40877</v>
      </c>
      <c r="FC3" s="3">
        <f t="shared" si="22"/>
        <v>40847</v>
      </c>
      <c r="FD3" s="3">
        <f t="shared" si="22"/>
        <v>40816</v>
      </c>
      <c r="FE3" s="3">
        <f t="shared" si="22"/>
        <v>40786</v>
      </c>
      <c r="FF3" s="3">
        <f t="shared" si="22"/>
        <v>40755</v>
      </c>
      <c r="FG3" s="3">
        <f t="shared" si="22"/>
        <v>40724</v>
      </c>
      <c r="FH3" s="3">
        <f t="shared" si="22"/>
        <v>40694</v>
      </c>
      <c r="FI3" s="3">
        <f t="shared" si="22"/>
        <v>40663</v>
      </c>
      <c r="FJ3" s="3">
        <f t="shared" si="22"/>
        <v>40633</v>
      </c>
      <c r="FK3" s="3">
        <f t="shared" si="22"/>
        <v>40602</v>
      </c>
      <c r="FL3" s="3">
        <f t="shared" si="22"/>
        <v>40574</v>
      </c>
      <c r="FM3" s="3">
        <f t="shared" si="22"/>
        <v>40543</v>
      </c>
      <c r="FN3" s="3">
        <f t="shared" si="22"/>
        <v>40512</v>
      </c>
      <c r="FO3" s="3">
        <f t="shared" ref="FO3:HT3" si="23">EOMONTH(DATEVALUE(LEFT(FO4,4)&amp;"-"&amp;MID(FO4,6,2)&amp;"-01"),0)</f>
        <v>40482</v>
      </c>
      <c r="FP3" s="3">
        <f t="shared" si="23"/>
        <v>40451</v>
      </c>
      <c r="FQ3" s="3">
        <f t="shared" si="23"/>
        <v>40421</v>
      </c>
      <c r="FR3" s="3">
        <f t="shared" si="23"/>
        <v>40390</v>
      </c>
      <c r="FS3" s="3">
        <f t="shared" si="23"/>
        <v>40359</v>
      </c>
      <c r="FT3" s="3">
        <f t="shared" si="23"/>
        <v>40329</v>
      </c>
      <c r="FU3" s="3">
        <f t="shared" si="23"/>
        <v>40298</v>
      </c>
      <c r="FV3" s="3">
        <f t="shared" si="23"/>
        <v>40268</v>
      </c>
      <c r="FW3" s="3">
        <f t="shared" si="23"/>
        <v>40237</v>
      </c>
      <c r="FX3" s="3">
        <f t="shared" si="23"/>
        <v>40209</v>
      </c>
      <c r="FY3" s="3">
        <f t="shared" si="23"/>
        <v>40178</v>
      </c>
      <c r="FZ3" s="3">
        <f t="shared" si="23"/>
        <v>40147</v>
      </c>
      <c r="GA3" s="3">
        <f t="shared" si="23"/>
        <v>40117</v>
      </c>
      <c r="GB3" s="3">
        <f t="shared" si="23"/>
        <v>40086</v>
      </c>
      <c r="GC3" s="3">
        <f t="shared" si="23"/>
        <v>40056</v>
      </c>
      <c r="GD3" s="3">
        <f t="shared" si="23"/>
        <v>40025</v>
      </c>
      <c r="GE3" s="3">
        <f t="shared" si="23"/>
        <v>39994</v>
      </c>
      <c r="GF3" s="3">
        <f t="shared" si="23"/>
        <v>39964</v>
      </c>
      <c r="GG3" s="3">
        <f t="shared" si="23"/>
        <v>39933</v>
      </c>
      <c r="GH3" s="3">
        <f t="shared" si="23"/>
        <v>39903</v>
      </c>
      <c r="GI3" s="3">
        <f t="shared" si="23"/>
        <v>39872</v>
      </c>
      <c r="GJ3" s="3">
        <f t="shared" si="23"/>
        <v>39844</v>
      </c>
      <c r="GK3" s="3">
        <f t="shared" si="23"/>
        <v>39813</v>
      </c>
      <c r="GL3" s="3">
        <f t="shared" si="23"/>
        <v>39782</v>
      </c>
      <c r="GM3" s="3">
        <f t="shared" si="23"/>
        <v>39752</v>
      </c>
      <c r="GN3" s="3">
        <f t="shared" si="23"/>
        <v>39721</v>
      </c>
      <c r="GO3" s="3">
        <f t="shared" si="23"/>
        <v>39691</v>
      </c>
      <c r="GP3" s="3">
        <f t="shared" si="23"/>
        <v>39660</v>
      </c>
      <c r="GQ3" s="3">
        <f t="shared" si="23"/>
        <v>39629</v>
      </c>
      <c r="GR3" s="3">
        <f t="shared" si="23"/>
        <v>39599</v>
      </c>
      <c r="GS3" s="3">
        <f t="shared" si="23"/>
        <v>39568</v>
      </c>
      <c r="GT3" s="3">
        <f t="shared" si="23"/>
        <v>39538</v>
      </c>
      <c r="GU3" s="3">
        <f t="shared" si="23"/>
        <v>39507</v>
      </c>
      <c r="GV3" s="3">
        <f t="shared" si="23"/>
        <v>39478</v>
      </c>
      <c r="GW3" s="3">
        <f t="shared" si="23"/>
        <v>39447</v>
      </c>
      <c r="GX3" s="3">
        <f t="shared" si="23"/>
        <v>39416</v>
      </c>
      <c r="GY3" s="3">
        <f t="shared" si="23"/>
        <v>39386</v>
      </c>
      <c r="GZ3" s="3">
        <f t="shared" si="23"/>
        <v>39355</v>
      </c>
      <c r="HA3" s="3">
        <f t="shared" si="23"/>
        <v>39325</v>
      </c>
      <c r="HB3" s="3">
        <f t="shared" si="23"/>
        <v>39294</v>
      </c>
      <c r="HC3" s="3">
        <f t="shared" si="23"/>
        <v>39263</v>
      </c>
      <c r="HD3" s="3">
        <f t="shared" si="23"/>
        <v>39233</v>
      </c>
      <c r="HE3" s="3">
        <f t="shared" si="23"/>
        <v>39202</v>
      </c>
      <c r="HF3" s="3">
        <f t="shared" si="23"/>
        <v>39172</v>
      </c>
      <c r="HG3" s="3">
        <f t="shared" si="23"/>
        <v>39141</v>
      </c>
      <c r="HH3" s="3">
        <f t="shared" si="23"/>
        <v>39113</v>
      </c>
      <c r="HI3" s="3">
        <f t="shared" si="23"/>
        <v>39082</v>
      </c>
      <c r="HJ3" s="3">
        <f t="shared" si="23"/>
        <v>39051</v>
      </c>
      <c r="HK3" s="3">
        <f t="shared" si="23"/>
        <v>39021</v>
      </c>
      <c r="HL3" s="3">
        <f t="shared" si="23"/>
        <v>38990</v>
      </c>
      <c r="HM3" s="3">
        <f t="shared" si="23"/>
        <v>38960</v>
      </c>
      <c r="HN3" s="3">
        <f t="shared" si="23"/>
        <v>38929</v>
      </c>
      <c r="HO3" s="3">
        <f t="shared" si="23"/>
        <v>38898</v>
      </c>
      <c r="HP3" s="3">
        <f t="shared" si="23"/>
        <v>38868</v>
      </c>
      <c r="HQ3" s="3">
        <f t="shared" si="23"/>
        <v>38837</v>
      </c>
      <c r="HR3" s="3">
        <f t="shared" si="23"/>
        <v>38807</v>
      </c>
      <c r="HS3" s="3">
        <f t="shared" si="23"/>
        <v>38776</v>
      </c>
      <c r="HT3" s="3">
        <f t="shared" si="23"/>
        <v>38748</v>
      </c>
    </row>
    <row r="4" spans="1:228" s="2" customFormat="1" ht="17.25" thickBot="1">
      <c r="A4" s="1" t="s">
        <v>4</v>
      </c>
      <c r="B4" s="1" t="s">
        <v>255</v>
      </c>
      <c r="C4" s="1" t="s">
        <v>9</v>
      </c>
      <c r="D4" s="1" t="s">
        <v>10</v>
      </c>
      <c r="E4" s="1" t="s">
        <v>6</v>
      </c>
      <c r="F4" s="109" t="s">
        <v>314</v>
      </c>
      <c r="G4" s="109" t="s">
        <v>312</v>
      </c>
      <c r="H4" s="109" t="s">
        <v>310</v>
      </c>
      <c r="I4" s="109" t="s">
        <v>308</v>
      </c>
      <c r="J4" s="109" t="s">
        <v>305</v>
      </c>
      <c r="K4" s="109" t="s">
        <v>304</v>
      </c>
      <c r="L4" s="109" t="s">
        <v>299</v>
      </c>
      <c r="M4" s="109" t="s">
        <v>297</v>
      </c>
      <c r="N4" s="109" t="s">
        <v>296</v>
      </c>
      <c r="O4" s="109" t="s">
        <v>292</v>
      </c>
      <c r="P4" s="109" t="s">
        <v>288</v>
      </c>
      <c r="Q4" s="109" t="s">
        <v>286</v>
      </c>
      <c r="R4" s="109" t="s">
        <v>287</v>
      </c>
      <c r="S4" s="109" t="s">
        <v>284</v>
      </c>
      <c r="T4" s="109" t="s">
        <v>285</v>
      </c>
      <c r="U4" s="109" t="s">
        <v>283</v>
      </c>
      <c r="V4" s="109" t="s">
        <v>268</v>
      </c>
      <c r="W4" s="109" t="s">
        <v>269</v>
      </c>
      <c r="X4" s="109" t="s">
        <v>267</v>
      </c>
      <c r="Y4" s="109" t="s">
        <v>265</v>
      </c>
      <c r="Z4" s="109" t="s">
        <v>266</v>
      </c>
      <c r="AA4" s="109" t="s">
        <v>264</v>
      </c>
      <c r="AB4" s="109" t="s">
        <v>263</v>
      </c>
      <c r="AC4" s="1" t="s">
        <v>261</v>
      </c>
      <c r="AD4" s="1" t="s">
        <v>262</v>
      </c>
      <c r="AE4" s="1" t="s">
        <v>250</v>
      </c>
      <c r="AF4" s="1" t="s">
        <v>251</v>
      </c>
      <c r="AG4" s="1" t="s">
        <v>249</v>
      </c>
      <c r="AH4" s="1" t="s">
        <v>248</v>
      </c>
      <c r="AI4" s="1" t="s">
        <v>247</v>
      </c>
      <c r="AJ4" s="1" t="s">
        <v>245</v>
      </c>
      <c r="AK4" s="1" t="s">
        <v>232</v>
      </c>
      <c r="AL4" s="1" t="s">
        <v>231</v>
      </c>
      <c r="AM4" s="1" t="s">
        <v>227</v>
      </c>
      <c r="AN4" s="1" t="s">
        <v>228</v>
      </c>
      <c r="AO4" s="1" t="s">
        <v>130</v>
      </c>
      <c r="AP4" s="1" t="s">
        <v>129</v>
      </c>
      <c r="AQ4" s="1" t="s">
        <v>128</v>
      </c>
      <c r="AR4" s="1" t="s">
        <v>127</v>
      </c>
      <c r="AS4" s="1" t="s">
        <v>126</v>
      </c>
      <c r="AT4" s="1" t="s">
        <v>125</v>
      </c>
      <c r="AU4" s="1" t="s">
        <v>124</v>
      </c>
      <c r="AV4" s="1" t="s">
        <v>123</v>
      </c>
      <c r="AW4" s="1" t="s">
        <v>122</v>
      </c>
      <c r="AX4" s="1" t="s">
        <v>121</v>
      </c>
      <c r="AY4" s="1" t="s">
        <v>120</v>
      </c>
      <c r="AZ4" s="1" t="s">
        <v>119</v>
      </c>
      <c r="BA4" s="1" t="s">
        <v>118</v>
      </c>
      <c r="BB4" s="1" t="s">
        <v>117</v>
      </c>
      <c r="BC4" s="1" t="s">
        <v>116</v>
      </c>
      <c r="BD4" s="1" t="s">
        <v>115</v>
      </c>
      <c r="BE4" s="1" t="s">
        <v>114</v>
      </c>
      <c r="BF4" s="1" t="s">
        <v>113</v>
      </c>
      <c r="BG4" s="1" t="s">
        <v>112</v>
      </c>
      <c r="BH4" s="1" t="s">
        <v>111</v>
      </c>
      <c r="BI4" s="1" t="s">
        <v>110</v>
      </c>
      <c r="BJ4" s="1" t="s">
        <v>109</v>
      </c>
      <c r="BK4" s="1" t="s">
        <v>108</v>
      </c>
      <c r="BL4" s="1" t="s">
        <v>107</v>
      </c>
      <c r="BM4" s="1" t="s">
        <v>106</v>
      </c>
      <c r="BN4" s="1" t="s">
        <v>105</v>
      </c>
      <c r="BO4" s="1" t="s">
        <v>104</v>
      </c>
      <c r="BP4" s="1" t="s">
        <v>103</v>
      </c>
      <c r="BQ4" s="1" t="s">
        <v>102</v>
      </c>
      <c r="BR4" s="1" t="s">
        <v>101</v>
      </c>
      <c r="BS4" s="1" t="s">
        <v>100</v>
      </c>
      <c r="BT4" s="1" t="s">
        <v>99</v>
      </c>
      <c r="BU4" s="1" t="s">
        <v>98</v>
      </c>
      <c r="BV4" s="1" t="s">
        <v>97</v>
      </c>
      <c r="BW4" s="1" t="s">
        <v>96</v>
      </c>
      <c r="BX4" s="1" t="s">
        <v>95</v>
      </c>
      <c r="BY4" s="1" t="s">
        <v>94</v>
      </c>
      <c r="BZ4" s="1" t="s">
        <v>93</v>
      </c>
      <c r="CA4" s="1" t="s">
        <v>92</v>
      </c>
      <c r="CB4" s="1" t="s">
        <v>91</v>
      </c>
      <c r="CC4" s="1" t="s">
        <v>90</v>
      </c>
      <c r="CD4" s="1" t="s">
        <v>89</v>
      </c>
      <c r="CE4" s="1" t="s">
        <v>88</v>
      </c>
      <c r="CF4" s="1" t="s">
        <v>87</v>
      </c>
      <c r="CG4" s="1" t="s">
        <v>86</v>
      </c>
      <c r="CH4" s="1" t="s">
        <v>85</v>
      </c>
      <c r="CI4" s="1" t="s">
        <v>84</v>
      </c>
      <c r="CJ4" s="1" t="s">
        <v>83</v>
      </c>
      <c r="CK4" s="1" t="s">
        <v>82</v>
      </c>
      <c r="CL4" s="1" t="s">
        <v>81</v>
      </c>
      <c r="CM4" s="1" t="s">
        <v>80</v>
      </c>
      <c r="CN4" s="1" t="s">
        <v>79</v>
      </c>
      <c r="CO4" s="1" t="s">
        <v>78</v>
      </c>
      <c r="CP4" s="1" t="s">
        <v>77</v>
      </c>
      <c r="CQ4" s="1" t="s">
        <v>76</v>
      </c>
      <c r="CR4" s="1" t="s">
        <v>75</v>
      </c>
      <c r="CS4" s="1" t="s">
        <v>74</v>
      </c>
      <c r="CT4" s="1" t="s">
        <v>73</v>
      </c>
      <c r="CU4" s="1" t="s">
        <v>72</v>
      </c>
      <c r="CV4" s="1" t="s">
        <v>71</v>
      </c>
      <c r="CW4" s="1" t="s">
        <v>70</v>
      </c>
      <c r="CX4" s="1" t="s">
        <v>69</v>
      </c>
      <c r="CY4" s="1" t="s">
        <v>68</v>
      </c>
      <c r="CZ4" s="1" t="s">
        <v>67</v>
      </c>
      <c r="DA4" s="1" t="s">
        <v>66</v>
      </c>
      <c r="DB4" s="1" t="s">
        <v>65</v>
      </c>
      <c r="DC4" s="1" t="s">
        <v>64</v>
      </c>
      <c r="DD4" s="1" t="s">
        <v>63</v>
      </c>
      <c r="DE4" s="1" t="s">
        <v>62</v>
      </c>
      <c r="DF4" s="1" t="s">
        <v>61</v>
      </c>
      <c r="DG4" s="1" t="s">
        <v>60</v>
      </c>
      <c r="DH4" s="1" t="s">
        <v>59</v>
      </c>
      <c r="DI4" s="1" t="s">
        <v>58</v>
      </c>
      <c r="DJ4" s="1" t="s">
        <v>57</v>
      </c>
      <c r="DK4" s="1" t="s">
        <v>56</v>
      </c>
      <c r="DL4" s="1" t="s">
        <v>55</v>
      </c>
      <c r="DM4" s="1" t="s">
        <v>54</v>
      </c>
      <c r="DN4" s="1" t="s">
        <v>53</v>
      </c>
      <c r="DO4" s="1" t="s">
        <v>52</v>
      </c>
      <c r="DP4" s="1" t="s">
        <v>51</v>
      </c>
      <c r="DQ4" s="1" t="s">
        <v>50</v>
      </c>
      <c r="DR4" s="1" t="s">
        <v>49</v>
      </c>
      <c r="DS4" s="1" t="s">
        <v>48</v>
      </c>
      <c r="DT4" s="1" t="s">
        <v>47</v>
      </c>
      <c r="DU4" s="1" t="s">
        <v>46</v>
      </c>
      <c r="DV4" s="1" t="s">
        <v>45</v>
      </c>
      <c r="DW4" s="1" t="s">
        <v>44</v>
      </c>
      <c r="DX4" s="1" t="s">
        <v>43</v>
      </c>
      <c r="DY4" s="1" t="s">
        <v>42</v>
      </c>
      <c r="DZ4" s="1" t="s">
        <v>41</v>
      </c>
      <c r="EA4" s="1" t="s">
        <v>40</v>
      </c>
      <c r="EB4" s="1" t="s">
        <v>39</v>
      </c>
      <c r="EC4" s="1" t="s">
        <v>38</v>
      </c>
      <c r="ED4" s="1" t="s">
        <v>37</v>
      </c>
      <c r="EE4" s="1" t="s">
        <v>36</v>
      </c>
      <c r="EF4" s="1" t="s">
        <v>35</v>
      </c>
      <c r="EG4" s="1" t="s">
        <v>34</v>
      </c>
      <c r="EH4" s="1" t="s">
        <v>33</v>
      </c>
      <c r="EI4" s="1" t="s">
        <v>32</v>
      </c>
      <c r="EJ4" s="1" t="s">
        <v>31</v>
      </c>
      <c r="EK4" s="1" t="s">
        <v>30</v>
      </c>
      <c r="EL4" s="1" t="s">
        <v>29</v>
      </c>
      <c r="EM4" s="1" t="s">
        <v>28</v>
      </c>
      <c r="EN4" s="1" t="s">
        <v>27</v>
      </c>
      <c r="EO4" s="1" t="s">
        <v>26</v>
      </c>
      <c r="EP4" s="1" t="s">
        <v>25</v>
      </c>
      <c r="EQ4" s="1" t="s">
        <v>24</v>
      </c>
      <c r="ER4" s="1" t="s">
        <v>23</v>
      </c>
      <c r="ES4" s="1" t="s">
        <v>22</v>
      </c>
      <c r="ET4" s="1" t="s">
        <v>21</v>
      </c>
      <c r="EU4" s="1" t="s">
        <v>20</v>
      </c>
      <c r="EV4" s="1" t="s">
        <v>19</v>
      </c>
      <c r="EW4" s="1" t="s">
        <v>18</v>
      </c>
      <c r="EX4" s="1" t="s">
        <v>17</v>
      </c>
      <c r="EY4" s="1" t="s">
        <v>16</v>
      </c>
      <c r="EZ4" s="1" t="s">
        <v>15</v>
      </c>
      <c r="FA4" s="1" t="s">
        <v>14</v>
      </c>
      <c r="FB4" s="1" t="s">
        <v>13</v>
      </c>
      <c r="FC4" s="1" t="s">
        <v>12</v>
      </c>
      <c r="FD4" s="1" t="s">
        <v>11</v>
      </c>
      <c r="FE4" s="1" t="s">
        <v>138</v>
      </c>
      <c r="FF4" s="1" t="s">
        <v>139</v>
      </c>
      <c r="FG4" s="1" t="s">
        <v>140</v>
      </c>
      <c r="FH4" s="1" t="s">
        <v>141</v>
      </c>
      <c r="FI4" s="1" t="s">
        <v>142</v>
      </c>
      <c r="FJ4" s="1" t="s">
        <v>143</v>
      </c>
      <c r="FK4" s="1" t="s">
        <v>144</v>
      </c>
      <c r="FL4" s="1" t="s">
        <v>145</v>
      </c>
      <c r="FM4" s="1" t="s">
        <v>146</v>
      </c>
      <c r="FN4" s="1" t="s">
        <v>147</v>
      </c>
      <c r="FO4" s="1" t="s">
        <v>148</v>
      </c>
      <c r="FP4" s="1" t="s">
        <v>149</v>
      </c>
      <c r="FQ4" s="1" t="s">
        <v>150</v>
      </c>
      <c r="FR4" s="1" t="s">
        <v>151</v>
      </c>
      <c r="FS4" s="1" t="s">
        <v>152</v>
      </c>
      <c r="FT4" s="1" t="s">
        <v>153</v>
      </c>
      <c r="FU4" s="1" t="s">
        <v>154</v>
      </c>
      <c r="FV4" s="1" t="s">
        <v>155</v>
      </c>
      <c r="FW4" s="1" t="s">
        <v>156</v>
      </c>
      <c r="FX4" s="1" t="s">
        <v>157</v>
      </c>
      <c r="FY4" s="1" t="s">
        <v>158</v>
      </c>
      <c r="FZ4" s="1" t="s">
        <v>159</v>
      </c>
      <c r="GA4" s="1" t="s">
        <v>160</v>
      </c>
      <c r="GB4" s="1" t="s">
        <v>161</v>
      </c>
      <c r="GC4" s="1" t="s">
        <v>162</v>
      </c>
      <c r="GD4" s="1" t="s">
        <v>163</v>
      </c>
      <c r="GE4" s="1" t="s">
        <v>164</v>
      </c>
      <c r="GF4" s="1" t="s">
        <v>165</v>
      </c>
      <c r="GG4" s="1" t="s">
        <v>166</v>
      </c>
      <c r="GH4" s="1" t="s">
        <v>167</v>
      </c>
      <c r="GI4" s="1" t="s">
        <v>168</v>
      </c>
      <c r="GJ4" s="1" t="s">
        <v>169</v>
      </c>
      <c r="GK4" s="1" t="s">
        <v>170</v>
      </c>
      <c r="GL4" s="1" t="s">
        <v>171</v>
      </c>
      <c r="GM4" s="1" t="s">
        <v>172</v>
      </c>
      <c r="GN4" s="1" t="s">
        <v>173</v>
      </c>
      <c r="GO4" s="1" t="s">
        <v>174</v>
      </c>
      <c r="GP4" s="1" t="s">
        <v>175</v>
      </c>
      <c r="GQ4" s="1" t="s">
        <v>176</v>
      </c>
      <c r="GR4" s="1" t="s">
        <v>177</v>
      </c>
      <c r="GS4" s="1" t="s">
        <v>178</v>
      </c>
      <c r="GT4" s="1" t="s">
        <v>179</v>
      </c>
      <c r="GU4" s="1" t="s">
        <v>180</v>
      </c>
      <c r="GV4" s="1" t="s">
        <v>181</v>
      </c>
      <c r="GW4" s="1" t="s">
        <v>182</v>
      </c>
      <c r="GX4" s="1" t="s">
        <v>183</v>
      </c>
      <c r="GY4" s="1" t="s">
        <v>184</v>
      </c>
      <c r="GZ4" s="1" t="s">
        <v>185</v>
      </c>
      <c r="HA4" s="1" t="s">
        <v>186</v>
      </c>
      <c r="HB4" s="1" t="s">
        <v>187</v>
      </c>
      <c r="HC4" s="1" t="s">
        <v>188</v>
      </c>
      <c r="HD4" s="1" t="s">
        <v>189</v>
      </c>
      <c r="HE4" s="1" t="s">
        <v>190</v>
      </c>
      <c r="HF4" s="1" t="s">
        <v>191</v>
      </c>
      <c r="HG4" s="1" t="s">
        <v>192</v>
      </c>
      <c r="HH4" s="1" t="s">
        <v>193</v>
      </c>
      <c r="HI4" s="1" t="s">
        <v>194</v>
      </c>
      <c r="HJ4" s="1" t="s">
        <v>233</v>
      </c>
      <c r="HK4" s="1" t="s">
        <v>234</v>
      </c>
      <c r="HL4" s="1" t="s">
        <v>235</v>
      </c>
      <c r="HM4" s="1" t="s">
        <v>236</v>
      </c>
      <c r="HN4" s="1" t="s">
        <v>237</v>
      </c>
      <c r="HO4" s="1" t="s">
        <v>238</v>
      </c>
      <c r="HP4" s="1" t="s">
        <v>239</v>
      </c>
      <c r="HQ4" s="1" t="s">
        <v>240</v>
      </c>
      <c r="HR4" s="1" t="s">
        <v>241</v>
      </c>
      <c r="HS4" s="1" t="s">
        <v>242</v>
      </c>
      <c r="HT4" s="1" t="s">
        <v>243</v>
      </c>
    </row>
    <row r="5" spans="1:228" s="137" customFormat="1" ht="25.5">
      <c r="A5" s="133" t="s">
        <v>256</v>
      </c>
      <c r="B5" s="133" t="s">
        <v>132</v>
      </c>
      <c r="C5" s="133" t="s">
        <v>133</v>
      </c>
      <c r="D5" s="134">
        <v>1000</v>
      </c>
      <c r="E5" s="133" t="s">
        <v>134</v>
      </c>
      <c r="F5" s="135">
        <v>2.6</v>
      </c>
      <c r="G5" s="135">
        <v>2.5</v>
      </c>
      <c r="H5" s="135">
        <v>2.2999999999999998</v>
      </c>
      <c r="I5" s="135">
        <v>1.9</v>
      </c>
      <c r="J5" s="139">
        <v>1.5</v>
      </c>
      <c r="K5" s="139">
        <v>1.4</v>
      </c>
      <c r="L5" s="135">
        <v>1.3</v>
      </c>
      <c r="M5" s="139">
        <v>1.1000000000000001</v>
      </c>
      <c r="N5" s="135">
        <v>0.6</v>
      </c>
      <c r="O5" s="139">
        <v>0.6</v>
      </c>
      <c r="P5" s="139">
        <v>1.3</v>
      </c>
      <c r="Q5" s="139">
        <v>0.9</v>
      </c>
      <c r="R5" s="135">
        <v>-0.3</v>
      </c>
      <c r="S5" s="135">
        <v>-0.3</v>
      </c>
      <c r="T5" s="135">
        <v>0.5</v>
      </c>
      <c r="U5" s="135">
        <v>1.6</v>
      </c>
      <c r="V5" s="135">
        <v>3.3</v>
      </c>
      <c r="W5" s="135">
        <v>4.8</v>
      </c>
      <c r="X5" s="135">
        <v>5.0999999999999996</v>
      </c>
      <c r="Y5" s="135">
        <v>5.8</v>
      </c>
      <c r="Z5" s="135">
        <v>6.2</v>
      </c>
      <c r="AA5" s="135">
        <v>7.3</v>
      </c>
      <c r="AB5" s="135">
        <v>7.9</v>
      </c>
      <c r="AC5" s="135">
        <v>8.1999999999999993</v>
      </c>
      <c r="AD5" s="135">
        <v>9.1999999999999993</v>
      </c>
      <c r="AE5" s="135">
        <v>10</v>
      </c>
      <c r="AF5" s="135">
        <v>9.9</v>
      </c>
      <c r="AG5" s="135">
        <v>9.6999999999999993</v>
      </c>
      <c r="AH5" s="136">
        <v>9</v>
      </c>
      <c r="AI5" s="136">
        <v>8.5</v>
      </c>
      <c r="AJ5" s="136">
        <v>8.9</v>
      </c>
      <c r="AK5" s="136">
        <v>9</v>
      </c>
      <c r="AL5" s="136">
        <v>9.8000000000000007</v>
      </c>
      <c r="AM5" s="136">
        <v>9.1</v>
      </c>
      <c r="AN5" s="136">
        <v>7.6</v>
      </c>
      <c r="AO5" s="136">
        <v>7.4</v>
      </c>
      <c r="AP5" s="136">
        <v>7.4</v>
      </c>
      <c r="AQ5" s="136">
        <v>6.6</v>
      </c>
      <c r="AR5" s="136">
        <v>6.6</v>
      </c>
      <c r="AS5" s="136">
        <v>6</v>
      </c>
      <c r="AT5" s="136">
        <v>4.0999999999999996</v>
      </c>
      <c r="AU5" s="136">
        <v>2.1</v>
      </c>
      <c r="AV5" s="136">
        <v>0.9</v>
      </c>
      <c r="AW5" s="136">
        <v>0.2</v>
      </c>
      <c r="AX5" s="136">
        <v>-0.3</v>
      </c>
      <c r="AY5" s="136">
        <v>-0.5</v>
      </c>
      <c r="AZ5" s="136">
        <v>-0.4</v>
      </c>
      <c r="BA5" s="136">
        <v>-0.5</v>
      </c>
      <c r="BB5" s="136">
        <v>-0.8</v>
      </c>
      <c r="BC5" s="136">
        <v>-1</v>
      </c>
      <c r="BD5" s="136">
        <v>-1.8</v>
      </c>
      <c r="BE5" s="136">
        <v>-1.7</v>
      </c>
      <c r="BF5" s="136">
        <v>-0.5</v>
      </c>
      <c r="BG5" s="136">
        <v>0.7</v>
      </c>
      <c r="BH5" s="136">
        <v>1.1000000000000001</v>
      </c>
      <c r="BI5" s="136">
        <v>0.7</v>
      </c>
      <c r="BJ5" s="136">
        <v>-0.1</v>
      </c>
      <c r="BK5" s="136">
        <v>-0.7</v>
      </c>
      <c r="BL5" s="136">
        <v>-0.8</v>
      </c>
      <c r="BM5" s="136">
        <v>-0.6</v>
      </c>
      <c r="BN5" s="136">
        <v>-0.3</v>
      </c>
      <c r="BO5" s="136">
        <v>0.1</v>
      </c>
      <c r="BP5" s="136">
        <v>0.4</v>
      </c>
      <c r="BQ5" s="136">
        <v>0.6</v>
      </c>
      <c r="BR5" s="136">
        <v>0.5</v>
      </c>
      <c r="BS5" s="136">
        <v>0.1</v>
      </c>
      <c r="BT5" s="136">
        <v>0.4</v>
      </c>
      <c r="BU5" s="136">
        <v>0.9</v>
      </c>
      <c r="BV5" s="136">
        <v>1.5</v>
      </c>
      <c r="BW5" s="136">
        <v>2.1</v>
      </c>
      <c r="BX5" s="136">
        <v>2.5</v>
      </c>
      <c r="BY5" s="136">
        <v>2.9</v>
      </c>
      <c r="BZ5" s="136">
        <v>2.9</v>
      </c>
      <c r="CA5" s="136">
        <v>2.5</v>
      </c>
      <c r="CB5" s="136">
        <v>2.1</v>
      </c>
      <c r="CC5" s="136">
        <v>1.5</v>
      </c>
      <c r="CD5" s="136">
        <v>1.2</v>
      </c>
      <c r="CE5" s="136">
        <v>1.2</v>
      </c>
      <c r="CF5" s="140">
        <v>1.1000000000000001</v>
      </c>
      <c r="CG5" s="136">
        <v>2.2000000000000002</v>
      </c>
      <c r="CH5" s="136">
        <v>3</v>
      </c>
      <c r="CI5" s="136">
        <v>3.6</v>
      </c>
      <c r="CJ5" s="136">
        <v>3.8</v>
      </c>
      <c r="CK5" s="136">
        <v>3.3</v>
      </c>
      <c r="CL5" s="136">
        <v>3</v>
      </c>
      <c r="CM5" s="136">
        <v>2.8</v>
      </c>
      <c r="CN5" s="136">
        <v>3.4</v>
      </c>
      <c r="CO5" s="136">
        <v>3.8</v>
      </c>
      <c r="CP5" s="136">
        <v>4.3</v>
      </c>
      <c r="CQ5" s="136">
        <v>4.3</v>
      </c>
      <c r="CR5" s="136">
        <v>3.9</v>
      </c>
      <c r="CS5" s="136">
        <v>1.8</v>
      </c>
      <c r="CT5" s="136">
        <v>0.7</v>
      </c>
      <c r="CU5" s="136">
        <v>-0.1</v>
      </c>
      <c r="CV5" s="136">
        <v>-1.1000000000000001</v>
      </c>
      <c r="CW5" s="136">
        <v>-1.8</v>
      </c>
      <c r="CX5" s="136">
        <v>-2.5</v>
      </c>
      <c r="CY5" s="136">
        <v>-2.7</v>
      </c>
      <c r="CZ5" s="136">
        <v>-3</v>
      </c>
      <c r="DA5" s="136">
        <v>-3</v>
      </c>
      <c r="DB5" s="136">
        <v>-3.3</v>
      </c>
      <c r="DC5" s="136">
        <v>-3.4</v>
      </c>
      <c r="DD5" s="136">
        <v>-3.3</v>
      </c>
      <c r="DE5" s="136">
        <v>-4</v>
      </c>
      <c r="DF5" s="136">
        <v>-4.7</v>
      </c>
      <c r="DG5" s="136">
        <v>-4.5999999999999996</v>
      </c>
      <c r="DH5" s="136">
        <v>-4.5999999999999996</v>
      </c>
      <c r="DI5" s="136">
        <v>-4.5</v>
      </c>
      <c r="DJ5" s="136">
        <v>-4</v>
      </c>
      <c r="DK5" s="136">
        <v>-3.6</v>
      </c>
      <c r="DL5" s="136">
        <v>-3.5</v>
      </c>
      <c r="DM5" s="136">
        <v>-3.6</v>
      </c>
      <c r="DN5" s="136">
        <v>-3.7</v>
      </c>
      <c r="DO5" s="136">
        <v>-3.6</v>
      </c>
      <c r="DP5" s="136">
        <v>-3.6</v>
      </c>
      <c r="DQ5" s="136">
        <v>-2.1</v>
      </c>
      <c r="DR5" s="136">
        <v>-0.9</v>
      </c>
      <c r="DS5" s="136">
        <v>-0.8</v>
      </c>
      <c r="DT5" s="136">
        <v>-0.5</v>
      </c>
      <c r="DU5" s="136">
        <v>-0.2</v>
      </c>
      <c r="DV5" s="140">
        <v>0.1</v>
      </c>
      <c r="DW5" s="140">
        <v>0</v>
      </c>
      <c r="DX5" s="136">
        <v>0</v>
      </c>
      <c r="DY5" s="136">
        <v>-0.3</v>
      </c>
      <c r="DZ5" s="136">
        <v>-0.5</v>
      </c>
      <c r="EA5" s="136">
        <v>-0.9</v>
      </c>
      <c r="EB5" s="136">
        <v>-0.3</v>
      </c>
      <c r="EC5" s="136">
        <v>-0.4</v>
      </c>
      <c r="ED5" s="136">
        <v>-0.9</v>
      </c>
      <c r="EE5" s="136">
        <v>-1.4</v>
      </c>
      <c r="EF5" s="136">
        <v>-1.8</v>
      </c>
      <c r="EG5" s="136">
        <v>-1.3</v>
      </c>
      <c r="EH5" s="136">
        <v>-1</v>
      </c>
      <c r="EI5" s="136">
        <v>-1.4</v>
      </c>
      <c r="EJ5" s="136">
        <v>-2.6</v>
      </c>
      <c r="EK5" s="136">
        <v>-2.8</v>
      </c>
      <c r="EL5" s="136">
        <v>-2.4</v>
      </c>
      <c r="EM5" s="136">
        <v>-1.6</v>
      </c>
      <c r="EN5" s="136">
        <v>-1.6</v>
      </c>
      <c r="EO5" s="136">
        <v>-1.2</v>
      </c>
      <c r="EP5" s="136">
        <v>-0.9</v>
      </c>
      <c r="EQ5" s="136">
        <v>-0.5</v>
      </c>
      <c r="ER5" s="136">
        <v>0.2</v>
      </c>
      <c r="ES5" s="136">
        <v>-0.1</v>
      </c>
      <c r="ET5" s="136">
        <v>-0.6</v>
      </c>
      <c r="EU5" s="136">
        <v>0</v>
      </c>
      <c r="EV5" s="136">
        <v>1</v>
      </c>
      <c r="EW5" s="136">
        <v>1.8</v>
      </c>
      <c r="EX5" s="136">
        <v>2.4</v>
      </c>
      <c r="EY5" s="136">
        <v>3.2</v>
      </c>
      <c r="EZ5" s="136">
        <v>3.2</v>
      </c>
      <c r="FA5" s="136">
        <v>4.2653999999999996</v>
      </c>
      <c r="FB5" s="136">
        <v>5.1280000000000001</v>
      </c>
      <c r="FC5" s="136">
        <v>5.8326000000000002</v>
      </c>
      <c r="FD5" s="136">
        <v>6.3236999999999997</v>
      </c>
      <c r="FE5" s="136">
        <v>6.8521999999999998</v>
      </c>
      <c r="FF5" s="136">
        <v>7.0342000000000002</v>
      </c>
      <c r="FG5" s="136">
        <v>7.1631</v>
      </c>
      <c r="FH5" s="136">
        <v>7.5250000000000004</v>
      </c>
      <c r="FI5" s="136">
        <v>8.1089000000000002</v>
      </c>
      <c r="FJ5" s="136">
        <v>8.2296999999999993</v>
      </c>
      <c r="FK5" s="136">
        <v>7.4421999999999997</v>
      </c>
      <c r="FL5" s="136">
        <v>6.8349000000000002</v>
      </c>
      <c r="FM5" s="136">
        <v>5.6703999999999999</v>
      </c>
      <c r="FN5" s="136">
        <v>5.2290999999999999</v>
      </c>
      <c r="FO5" s="136">
        <v>5.2262000000000004</v>
      </c>
      <c r="FP5" s="136">
        <v>4</v>
      </c>
      <c r="FQ5" s="136">
        <v>3.5045999999999999</v>
      </c>
      <c r="FR5" s="136">
        <v>3.7862</v>
      </c>
      <c r="FS5" s="136">
        <v>4.7074999999999996</v>
      </c>
      <c r="FT5" s="136">
        <v>4.3152999999999997</v>
      </c>
      <c r="FU5" s="136">
        <v>2.6488999999999998</v>
      </c>
      <c r="FV5" s="136">
        <v>2.0230999999999999</v>
      </c>
      <c r="FW5" s="136">
        <v>2.0326</v>
      </c>
      <c r="FX5" s="136">
        <v>2.5448</v>
      </c>
      <c r="FY5" s="136">
        <v>1.8080000000000001</v>
      </c>
      <c r="FZ5" s="136">
        <v>-0.40539999999999998</v>
      </c>
      <c r="GA5" s="136">
        <v>-3.0560999999999998</v>
      </c>
      <c r="GB5" s="136">
        <v>-2.5316000000000001</v>
      </c>
      <c r="GC5" s="136">
        <v>-3.0253999999999999</v>
      </c>
      <c r="GD5" s="136">
        <v>-3.8515999999999999</v>
      </c>
      <c r="GE5" s="136">
        <v>-3.0859000000000001</v>
      </c>
      <c r="GF5" s="136">
        <v>-1.2707999999999999</v>
      </c>
      <c r="GG5" s="136">
        <v>1.4876</v>
      </c>
      <c r="GH5" s="136">
        <v>3.5268999999999999</v>
      </c>
      <c r="GI5" s="136">
        <v>4.3750999999999998</v>
      </c>
      <c r="GJ5" s="136">
        <v>4.6376999999999997</v>
      </c>
      <c r="GK5" s="136">
        <v>5.5227000000000004</v>
      </c>
      <c r="GL5" s="136">
        <v>7.7629999999999999</v>
      </c>
      <c r="GM5" s="136">
        <v>10.7874</v>
      </c>
      <c r="GN5" s="136">
        <v>11.305199999999999</v>
      </c>
      <c r="GO5" s="136">
        <v>12.298999999999999</v>
      </c>
      <c r="GP5" s="136">
        <v>12.552300000000001</v>
      </c>
      <c r="GQ5" s="136">
        <v>10.539400000000001</v>
      </c>
      <c r="GR5" s="136">
        <v>9.0166000000000004</v>
      </c>
      <c r="GS5" s="136">
        <v>7.4683000000000002</v>
      </c>
      <c r="GT5" s="136">
        <v>5.9683000000000002</v>
      </c>
      <c r="GU5" s="136">
        <v>5.0583</v>
      </c>
      <c r="GV5" s="136">
        <v>4.1483999999999996</v>
      </c>
      <c r="GW5" s="136">
        <v>3.5825999999999998</v>
      </c>
      <c r="GX5" s="136">
        <v>3.0712000000000002</v>
      </c>
      <c r="GY5" s="136">
        <v>2.1486999999999998</v>
      </c>
      <c r="GZ5" s="136">
        <v>1.0018</v>
      </c>
      <c r="HA5" s="136">
        <v>0.85670000000000002</v>
      </c>
      <c r="HB5" s="136">
        <v>1.5633999999999999</v>
      </c>
      <c r="HC5" s="136">
        <v>1.7527999999999999</v>
      </c>
      <c r="HD5" s="136">
        <v>1.3582000000000001</v>
      </c>
      <c r="HE5" s="136">
        <v>1.1435</v>
      </c>
      <c r="HF5" s="136">
        <v>0.62490000000000001</v>
      </c>
      <c r="HG5" s="136">
        <v>6.93E-2</v>
      </c>
      <c r="HH5" s="136">
        <v>5.7799999999999997E-2</v>
      </c>
      <c r="HI5" s="136">
        <v>0.39450000000000002</v>
      </c>
      <c r="HJ5" s="136">
        <v>0.19670000000000001</v>
      </c>
      <c r="HK5" s="136">
        <v>0.39219999999999999</v>
      </c>
      <c r="HL5" s="136">
        <v>1.5961000000000001</v>
      </c>
      <c r="HM5" s="136">
        <v>1.7077</v>
      </c>
      <c r="HN5" s="136">
        <v>1.3396999999999999</v>
      </c>
      <c r="HO5" s="136">
        <v>1.6409</v>
      </c>
      <c r="HP5" s="136">
        <v>1.3651</v>
      </c>
      <c r="HQ5" s="136">
        <v>0.35930000000000001</v>
      </c>
      <c r="HR5" s="136">
        <v>0.45329999999999998</v>
      </c>
      <c r="HS5" s="136">
        <v>0.67479999999999996</v>
      </c>
      <c r="HT5" s="136">
        <v>0.82769999999999999</v>
      </c>
    </row>
    <row r="6" spans="1:228">
      <c r="M6" s="88" t="str">
        <f t="shared" ref="M6:O6" si="24">IF(COUNTIF(M9:M9,"N/A")&lt;&gt;0,"미확정","확정")</f>
        <v>확정</v>
      </c>
      <c r="N6" s="88" t="str">
        <f t="shared" si="24"/>
        <v>확정</v>
      </c>
      <c r="O6" s="88" t="str">
        <f t="shared" si="24"/>
        <v>확정</v>
      </c>
      <c r="P6" s="88" t="str">
        <f>IF(COUNTIF(P9:P9,"N/A")&lt;&gt;0,"미확정","확정")</f>
        <v>확정</v>
      </c>
      <c r="Q6" s="88" t="str">
        <f>IF(COUNTIF(P9:Q9,"N/A")&lt;&gt;0,"미확정","확정")</f>
        <v>확정</v>
      </c>
      <c r="R6" s="88" t="str">
        <f>IF(COUNTIF(Q9:R9,"N/A")&lt;&gt;0,"미확정","확정")</f>
        <v>확정</v>
      </c>
      <c r="S6" s="88" t="str">
        <f>IF(COUNTIF(R9:S9,"N/A")&lt;&gt;0,"미확정","확정")</f>
        <v>확정</v>
      </c>
      <c r="T6" s="88" t="str">
        <f t="shared" ref="T6" si="25">IF(COUNTIF(S9:T9,"N/A")&lt;&gt;0,"미확정","확정")</f>
        <v>확정</v>
      </c>
      <c r="U6" s="88" t="str">
        <f>IF(COUNTIF(T9:U9,"N/A")&lt;&gt;0,"미확정","확정")</f>
        <v>확정</v>
      </c>
      <c r="V6" s="88" t="str">
        <f t="shared" ref="V6" si="26">IF(COUNTIF(U9:V9,"N/A")&lt;&gt;0,"미확정","확정")</f>
        <v>확정</v>
      </c>
      <c r="W6" s="88" t="str">
        <f t="shared" ref="W6" si="27">IF(COUNTIF(V9:W9,"N/A")&lt;&gt;0,"미확정","확정")</f>
        <v>확정</v>
      </c>
      <c r="X6" s="88" t="str">
        <f t="shared" ref="X6" si="28">IF(COUNTIF(W9:X9,"N/A")&lt;&gt;0,"미확정","확정")</f>
        <v>확정</v>
      </c>
      <c r="Y6" s="88" t="str">
        <f t="shared" ref="Y6" si="29">IF(COUNTIF(X9:Y9,"N/A")&lt;&gt;0,"미확정","확정")</f>
        <v>확정</v>
      </c>
      <c r="Z6" s="88" t="str">
        <f t="shared" ref="Z6" si="30">IF(COUNTIF(Y9:Z9,"N/A")&lt;&gt;0,"미확정","확정")</f>
        <v>확정</v>
      </c>
      <c r="AA6" s="88" t="str">
        <f t="shared" ref="AA6" si="31">IF(COUNTIF(Z9:AA9,"N/A")&lt;&gt;0,"미확정","확정")</f>
        <v>확정</v>
      </c>
      <c r="AB6" s="88" t="str">
        <f t="shared" ref="AB6" si="32">IF(COUNTIF(AA9:AB9,"N/A")&lt;&gt;0,"미확정","확정")</f>
        <v>확정</v>
      </c>
      <c r="AC6" s="88" t="str">
        <f t="shared" ref="AC6" si="33">IF(COUNTIF(AB9:AC9,"N/A")&lt;&gt;0,"미확정","확정")</f>
        <v>확정</v>
      </c>
      <c r="AD6" s="88" t="str">
        <f t="shared" ref="AD6" si="34">IF(COUNTIF(AC9:AD9,"N/A")&lt;&gt;0,"미확정","확정")</f>
        <v>확정</v>
      </c>
      <c r="AE6" s="88" t="str">
        <f t="shared" ref="AE6" si="35">IF(COUNTIF(AD9:AE9,"N/A")&lt;&gt;0,"미확정","확정")</f>
        <v>확정</v>
      </c>
      <c r="AF6" s="88" t="str">
        <f t="shared" ref="AF6" si="36">IF(COUNTIF(AE9:AF9,"N/A")&lt;&gt;0,"미확정","확정")</f>
        <v>확정</v>
      </c>
      <c r="AG6" s="88" t="str">
        <f t="shared" ref="AG6" si="37">IF(COUNTIF(AF9:AG9,"N/A")&lt;&gt;0,"미확정","확정")</f>
        <v>확정</v>
      </c>
      <c r="AH6" s="88" t="str">
        <f t="shared" ref="AH6" si="38">IF(COUNTIF(AG9:AH9,"N/A")&lt;&gt;0,"미확정","확정")</f>
        <v>확정</v>
      </c>
      <c r="AI6" s="88" t="str">
        <f t="shared" ref="AI6" si="39">IF(COUNTIF(AH9:AI9,"N/A")&lt;&gt;0,"미확정","확정")</f>
        <v>확정</v>
      </c>
      <c r="AJ6" s="88" t="str">
        <f t="shared" ref="AJ6" si="40">IF(COUNTIF(AI9:AJ9,"N/A")&lt;&gt;0,"미확정","확정")</f>
        <v>확정</v>
      </c>
      <c r="AK6" s="88" t="str">
        <f t="shared" ref="AK6" si="41">IF(COUNTIF(AJ9:AK9,"N/A")&lt;&gt;0,"미확정","확정")</f>
        <v>확정</v>
      </c>
      <c r="AL6" s="88" t="str">
        <f t="shared" ref="AL6" si="42">IF(COUNTIF(AK9:AL9,"N/A")&lt;&gt;0,"미확정","확정")</f>
        <v>확정</v>
      </c>
      <c r="AM6" s="88" t="str">
        <f t="shared" ref="AM6" si="43">IF(COUNTIF(AL9:AM9,"N/A")&lt;&gt;0,"미확정","확정")</f>
        <v>확정</v>
      </c>
      <c r="AN6" s="88" t="str">
        <f t="shared" ref="AN6" si="44">IF(COUNTIF(AM9:AN9,"N/A")&lt;&gt;0,"미확정","확정")</f>
        <v>확정</v>
      </c>
      <c r="AO6" s="88" t="str">
        <f t="shared" ref="AO6" si="45">IF(COUNTIF(AN9:AO9,"N/A")&lt;&gt;0,"미확정","확정")</f>
        <v>확정</v>
      </c>
      <c r="AP6" s="88" t="str">
        <f t="shared" ref="AP6" si="46">IF(COUNTIF(AO9:AP9,"N/A")&lt;&gt;0,"미확정","확정")</f>
        <v>확정</v>
      </c>
      <c r="AQ6" s="88" t="str">
        <f t="shared" ref="AQ6" si="47">IF(COUNTIF(AP9:AQ9,"N/A")&lt;&gt;0,"미확정","확정")</f>
        <v>확정</v>
      </c>
      <c r="AR6" s="88" t="str">
        <f t="shared" ref="AR6" si="48">IF(COUNTIF(AQ9:AR9,"N/A")&lt;&gt;0,"미확정","확정")</f>
        <v>확정</v>
      </c>
      <c r="AS6" s="88" t="str">
        <f t="shared" ref="AS6" si="49">IF(COUNTIF(AR9:AS9,"N/A")&lt;&gt;0,"미확정","확정")</f>
        <v>확정</v>
      </c>
      <c r="AT6" s="88" t="str">
        <f t="shared" ref="AT6" si="50">IF(COUNTIF(AS9:AT9,"N/A")&lt;&gt;0,"미확정","확정")</f>
        <v>확정</v>
      </c>
      <c r="AU6" s="88" t="str">
        <f t="shared" ref="AU6" si="51">IF(COUNTIF(AT9:AU9,"N/A")&lt;&gt;0,"미확정","확정")</f>
        <v>확정</v>
      </c>
      <c r="AV6" s="88" t="str">
        <f t="shared" ref="AV6" si="52">IF(COUNTIF(AU9:AV9,"N/A")&lt;&gt;0,"미확정","확정")</f>
        <v>확정</v>
      </c>
      <c r="AW6" s="88" t="str">
        <f t="shared" ref="AW6" si="53">IF(COUNTIF(AV9:AW9,"N/A")&lt;&gt;0,"미확정","확정")</f>
        <v>확정</v>
      </c>
      <c r="AX6" s="88" t="str">
        <f t="shared" ref="AX6" si="54">IF(COUNTIF(AW9:AX9,"N/A")&lt;&gt;0,"미확정","확정")</f>
        <v>확정</v>
      </c>
      <c r="AY6" s="88" t="str">
        <f t="shared" ref="AY6" si="55">IF(COUNTIF(AX9:AY9,"N/A")&lt;&gt;0,"미확정","확정")</f>
        <v>확정</v>
      </c>
      <c r="AZ6" s="88" t="str">
        <f t="shared" ref="AZ6" si="56">IF(COUNTIF(AY9:AZ9,"N/A")&lt;&gt;0,"미확정","확정")</f>
        <v>확정</v>
      </c>
      <c r="BA6" s="88" t="str">
        <f t="shared" ref="BA6" si="57">IF(COUNTIF(AZ9:BA9,"N/A")&lt;&gt;0,"미확정","확정")</f>
        <v>확정</v>
      </c>
      <c r="BB6" s="88" t="str">
        <f t="shared" ref="BB6" si="58">IF(COUNTIF(BA9:BB9,"N/A")&lt;&gt;0,"미확정","확정")</f>
        <v>확정</v>
      </c>
      <c r="BC6" s="88" t="str">
        <f t="shared" ref="BC6" si="59">IF(COUNTIF(BB9:BC9,"N/A")&lt;&gt;0,"미확정","확정")</f>
        <v>확정</v>
      </c>
      <c r="BD6" s="88" t="str">
        <f t="shared" ref="BD6" si="60">IF(COUNTIF(BC9:BD9,"N/A")&lt;&gt;0,"미확정","확정")</f>
        <v>확정</v>
      </c>
      <c r="BE6" s="88" t="str">
        <f t="shared" ref="BE6" si="61">IF(COUNTIF(BD9:BE9,"N/A")&lt;&gt;0,"미확정","확정")</f>
        <v>확정</v>
      </c>
      <c r="BF6" s="88" t="str">
        <f t="shared" ref="BF6" si="62">IF(COUNTIF(BE9:BF9,"N/A")&lt;&gt;0,"미확정","확정")</f>
        <v>확정</v>
      </c>
      <c r="BG6" s="88" t="str">
        <f t="shared" ref="BG6" si="63">IF(COUNTIF(BF9:BG9,"N/A")&lt;&gt;0,"미확정","확정")</f>
        <v>확정</v>
      </c>
      <c r="BH6" s="88" t="str">
        <f t="shared" ref="BH6" si="64">IF(COUNTIF(BG9:BH9,"N/A")&lt;&gt;0,"미확정","확정")</f>
        <v>확정</v>
      </c>
      <c r="BI6" s="88" t="str">
        <f t="shared" ref="BI6" si="65">IF(COUNTIF(BH9:BI9,"N/A")&lt;&gt;0,"미확정","확정")</f>
        <v>확정</v>
      </c>
      <c r="BJ6" s="88" t="str">
        <f t="shared" ref="BJ6" si="66">IF(COUNTIF(BI9:BJ9,"N/A")&lt;&gt;0,"미확정","확정")</f>
        <v>확정</v>
      </c>
      <c r="BK6" s="88" t="str">
        <f t="shared" ref="BK6" si="67">IF(COUNTIF(BJ9:BK9,"N/A")&lt;&gt;0,"미확정","확정")</f>
        <v>확정</v>
      </c>
      <c r="BL6" s="88" t="str">
        <f t="shared" ref="BL6" si="68">IF(COUNTIF(BK9:BL9,"N/A")&lt;&gt;0,"미확정","확정")</f>
        <v>확정</v>
      </c>
      <c r="BM6" s="88" t="str">
        <f t="shared" ref="BM6" si="69">IF(COUNTIF(BL9:BM9,"N/A")&lt;&gt;0,"미확정","확정")</f>
        <v>확정</v>
      </c>
      <c r="BN6" s="88" t="str">
        <f t="shared" ref="BN6" si="70">IF(COUNTIF(BM9:BN9,"N/A")&lt;&gt;0,"미확정","확정")</f>
        <v>확정</v>
      </c>
      <c r="BO6" s="88" t="str">
        <f t="shared" ref="BO6" si="71">IF(COUNTIF(BN9:BO9,"N/A")&lt;&gt;0,"미확정","확정")</f>
        <v>확정</v>
      </c>
      <c r="BP6" s="88" t="str">
        <f t="shared" ref="BP6" si="72">IF(COUNTIF(BO9:BP9,"N/A")&lt;&gt;0,"미확정","확정")</f>
        <v>확정</v>
      </c>
      <c r="BQ6" s="88" t="str">
        <f t="shared" ref="BQ6" si="73">IF(COUNTIF(BP9:BQ9,"N/A")&lt;&gt;0,"미확정","확정")</f>
        <v>확정</v>
      </c>
      <c r="BR6" s="88" t="str">
        <f t="shared" ref="BR6" si="74">IF(COUNTIF(BQ9:BR9,"N/A")&lt;&gt;0,"미확정","확정")</f>
        <v>확정</v>
      </c>
      <c r="BS6" s="88" t="str">
        <f t="shared" ref="BS6" si="75">IF(COUNTIF(BR9:BS9,"N/A")&lt;&gt;0,"미확정","확정")</f>
        <v>확정</v>
      </c>
      <c r="BT6" s="88" t="str">
        <f t="shared" ref="BT6" si="76">IF(COUNTIF(BS9:BT9,"N/A")&lt;&gt;0,"미확정","확정")</f>
        <v>확정</v>
      </c>
      <c r="BU6" s="88" t="str">
        <f t="shared" ref="BU6" si="77">IF(COUNTIF(BT9:BU9,"N/A")&lt;&gt;0,"미확정","확정")</f>
        <v>확정</v>
      </c>
      <c r="BV6" s="88" t="str">
        <f t="shared" ref="BV6" si="78">IF(COUNTIF(BU9:BV9,"N/A")&lt;&gt;0,"미확정","확정")</f>
        <v>확정</v>
      </c>
      <c r="BW6" s="88" t="str">
        <f t="shared" ref="BW6" si="79">IF(COUNTIF(BV9:BW9,"N/A")&lt;&gt;0,"미확정","확정")</f>
        <v>확정</v>
      </c>
      <c r="BX6" s="88" t="str">
        <f t="shared" ref="BX6" si="80">IF(COUNTIF(BW9:BX9,"N/A")&lt;&gt;0,"미확정","확정")</f>
        <v>확정</v>
      </c>
      <c r="BY6" s="88" t="str">
        <f t="shared" ref="BY6" si="81">IF(COUNTIF(BX9:BY9,"N/A")&lt;&gt;0,"미확정","확정")</f>
        <v>확정</v>
      </c>
      <c r="BZ6" s="88" t="str">
        <f t="shared" ref="BZ6" si="82">IF(COUNTIF(BY9:BZ9,"N/A")&lt;&gt;0,"미확정","확정")</f>
        <v>확정</v>
      </c>
      <c r="CA6" s="88" t="str">
        <f t="shared" ref="CA6" si="83">IF(COUNTIF(BZ9:CA9,"N/A")&lt;&gt;0,"미확정","확정")</f>
        <v>확정</v>
      </c>
      <c r="CB6" s="88" t="str">
        <f t="shared" ref="CB6" si="84">IF(COUNTIF(CA9:CB9,"N/A")&lt;&gt;0,"미확정","확정")</f>
        <v>확정</v>
      </c>
      <c r="CC6" s="88" t="str">
        <f t="shared" ref="CC6" si="85">IF(COUNTIF(CB9:CC9,"N/A")&lt;&gt;0,"미확정","확정")</f>
        <v>확정</v>
      </c>
      <c r="CD6" s="88" t="str">
        <f t="shared" ref="CD6" si="86">IF(COUNTIF(CC9:CD9,"N/A")&lt;&gt;0,"미확정","확정")</f>
        <v>확정</v>
      </c>
      <c r="CE6" s="88" t="str">
        <f t="shared" ref="CE6" si="87">IF(COUNTIF(CD9:CE9,"N/A")&lt;&gt;0,"미확정","확정")</f>
        <v>확정</v>
      </c>
      <c r="CF6" s="88" t="str">
        <f t="shared" ref="CF6" si="88">IF(COUNTIF(CE9:CF9,"N/A")&lt;&gt;0,"미확정","확정")</f>
        <v>확정</v>
      </c>
      <c r="CG6" s="88" t="str">
        <f t="shared" ref="CG6" si="89">IF(COUNTIF(CF9:CG9,"N/A")&lt;&gt;0,"미확정","확정")</f>
        <v>확정</v>
      </c>
      <c r="CH6" s="88" t="str">
        <f t="shared" ref="CH6" si="90">IF(COUNTIF(CG9:CH9,"N/A")&lt;&gt;0,"미확정","확정")</f>
        <v>확정</v>
      </c>
      <c r="CI6" s="88" t="str">
        <f t="shared" ref="CI6" si="91">IF(COUNTIF(CH9:CI9,"N/A")&lt;&gt;0,"미확정","확정")</f>
        <v>확정</v>
      </c>
      <c r="CJ6" s="88" t="str">
        <f t="shared" ref="CJ6" si="92">IF(COUNTIF(CI9:CJ9,"N/A")&lt;&gt;0,"미확정","확정")</f>
        <v>확정</v>
      </c>
      <c r="CK6" s="88" t="str">
        <f t="shared" ref="CK6" si="93">IF(COUNTIF(CJ9:CK9,"N/A")&lt;&gt;0,"미확정","확정")</f>
        <v>확정</v>
      </c>
      <c r="CL6" s="88" t="str">
        <f t="shared" ref="CL6" si="94">IF(COUNTIF(CK9:CL9,"N/A")&lt;&gt;0,"미확정","확정")</f>
        <v>확정</v>
      </c>
      <c r="CM6" s="88" t="str">
        <f t="shared" ref="CM6" si="95">IF(COUNTIF(CL9:CM9,"N/A")&lt;&gt;0,"미확정","확정")</f>
        <v>확정</v>
      </c>
      <c r="CN6" s="88" t="str">
        <f t="shared" ref="CN6" si="96">IF(COUNTIF(CM9:CN9,"N/A")&lt;&gt;0,"미확정","확정")</f>
        <v>확정</v>
      </c>
      <c r="CO6" s="88" t="str">
        <f t="shared" ref="CO6" si="97">IF(COUNTIF(CN9:CO9,"N/A")&lt;&gt;0,"미확정","확정")</f>
        <v>확정</v>
      </c>
      <c r="CP6" s="88" t="str">
        <f t="shared" ref="CP6" si="98">IF(COUNTIF(CO9:CP9,"N/A")&lt;&gt;0,"미확정","확정")</f>
        <v>확정</v>
      </c>
      <c r="CQ6" s="88" t="str">
        <f t="shared" ref="CQ6" si="99">IF(COUNTIF(CP9:CQ9,"N/A")&lt;&gt;0,"미확정","확정")</f>
        <v>확정</v>
      </c>
      <c r="CR6" s="88" t="str">
        <f t="shared" ref="CR6" si="100">IF(COUNTIF(CQ9:CR9,"N/A")&lt;&gt;0,"미확정","확정")</f>
        <v>확정</v>
      </c>
      <c r="CS6" s="88" t="str">
        <f t="shared" ref="CS6" si="101">IF(COUNTIF(CR9:CS9,"N/A")&lt;&gt;0,"미확정","확정")</f>
        <v>확정</v>
      </c>
      <c r="CT6" s="88" t="str">
        <f t="shared" ref="CT6" si="102">IF(COUNTIF(CS9:CT9,"N/A")&lt;&gt;0,"미확정","확정")</f>
        <v>확정</v>
      </c>
      <c r="CU6" s="88" t="str">
        <f t="shared" ref="CU6" si="103">IF(COUNTIF(CT9:CU9,"N/A")&lt;&gt;0,"미확정","확정")</f>
        <v>확정</v>
      </c>
      <c r="CV6" s="88" t="str">
        <f t="shared" ref="CV6" si="104">IF(COUNTIF(CU9:CV9,"N/A")&lt;&gt;0,"미확정","확정")</f>
        <v>확정</v>
      </c>
      <c r="CW6" s="88" t="str">
        <f t="shared" ref="CW6" si="105">IF(COUNTIF(CV9:CW9,"N/A")&lt;&gt;0,"미확정","확정")</f>
        <v>확정</v>
      </c>
      <c r="CX6" s="88" t="str">
        <f t="shared" ref="CX6" si="106">IF(COUNTIF(CW9:CX9,"N/A")&lt;&gt;0,"미확정","확정")</f>
        <v>확정</v>
      </c>
      <c r="CY6" s="88" t="str">
        <f t="shared" ref="CY6" si="107">IF(COUNTIF(CX9:CY9,"N/A")&lt;&gt;0,"미확정","확정")</f>
        <v>확정</v>
      </c>
      <c r="CZ6" s="88" t="str">
        <f t="shared" ref="CZ6" si="108">IF(COUNTIF(CY9:CZ9,"N/A")&lt;&gt;0,"미확정","확정")</f>
        <v>확정</v>
      </c>
      <c r="DA6" s="88" t="str">
        <f t="shared" ref="DA6" si="109">IF(COUNTIF(CZ9:DA9,"N/A")&lt;&gt;0,"미확정","확정")</f>
        <v>확정</v>
      </c>
      <c r="DB6" s="88" t="str">
        <f t="shared" ref="DB6" si="110">IF(COUNTIF(DA9:DB9,"N/A")&lt;&gt;0,"미확정","확정")</f>
        <v>확정</v>
      </c>
      <c r="DC6" s="88" t="str">
        <f t="shared" ref="DC6" si="111">IF(COUNTIF(DB9:DC9,"N/A")&lt;&gt;0,"미확정","확정")</f>
        <v>확정</v>
      </c>
      <c r="DD6" s="88" t="str">
        <f t="shared" ref="DD6" si="112">IF(COUNTIF(DC9:DD9,"N/A")&lt;&gt;0,"미확정","확정")</f>
        <v>확정</v>
      </c>
      <c r="DE6" s="88" t="str">
        <f t="shared" ref="DE6" si="113">IF(COUNTIF(DD9:DE9,"N/A")&lt;&gt;0,"미확정","확정")</f>
        <v>확정</v>
      </c>
      <c r="DF6" s="88" t="str">
        <f t="shared" ref="DF6" si="114">IF(COUNTIF(DE9:DF9,"N/A")&lt;&gt;0,"미확정","확정")</f>
        <v>확정</v>
      </c>
      <c r="DG6" s="88" t="str">
        <f t="shared" ref="DG6" si="115">IF(COUNTIF(DF9:DG9,"N/A")&lt;&gt;0,"미확정","확정")</f>
        <v>확정</v>
      </c>
      <c r="DH6" s="88" t="str">
        <f t="shared" ref="DH6" si="116">IF(COUNTIF(DG9:DH9,"N/A")&lt;&gt;0,"미확정","확정")</f>
        <v>확정</v>
      </c>
      <c r="DI6" s="88" t="str">
        <f t="shared" ref="DI6" si="117">IF(COUNTIF(DH9:DI9,"N/A")&lt;&gt;0,"미확정","확정")</f>
        <v>확정</v>
      </c>
      <c r="DJ6" s="88" t="str">
        <f t="shared" ref="DJ6" si="118">IF(COUNTIF(DI9:DJ9,"N/A")&lt;&gt;0,"미확정","확정")</f>
        <v>확정</v>
      </c>
      <c r="DK6" s="88" t="str">
        <f t="shared" ref="DK6" si="119">IF(COUNTIF(DJ9:DK9,"N/A")&lt;&gt;0,"미확정","확정")</f>
        <v>확정</v>
      </c>
      <c r="DL6" s="88" t="str">
        <f t="shared" ref="DL6" si="120">IF(COUNTIF(DK9:DL9,"N/A")&lt;&gt;0,"미확정","확정")</f>
        <v>확정</v>
      </c>
      <c r="DM6" s="88" t="str">
        <f t="shared" ref="DM6" si="121">IF(COUNTIF(DL9:DM9,"N/A")&lt;&gt;0,"미확정","확정")</f>
        <v>확정</v>
      </c>
      <c r="DN6" s="88" t="str">
        <f t="shared" ref="DN6" si="122">IF(COUNTIF(DM9:DN9,"N/A")&lt;&gt;0,"미확정","확정")</f>
        <v>확정</v>
      </c>
      <c r="DO6" s="88" t="str">
        <f t="shared" ref="DO6" si="123">IF(COUNTIF(DN9:DO9,"N/A")&lt;&gt;0,"미확정","확정")</f>
        <v>확정</v>
      </c>
      <c r="DP6" s="88" t="str">
        <f t="shared" ref="DP6" si="124">IF(COUNTIF(DO9:DP9,"N/A")&lt;&gt;0,"미확정","확정")</f>
        <v>확정</v>
      </c>
      <c r="DQ6" s="88" t="str">
        <f t="shared" ref="DQ6" si="125">IF(COUNTIF(DP9:DQ9,"N/A")&lt;&gt;0,"미확정","확정")</f>
        <v>확정</v>
      </c>
      <c r="DR6" s="88" t="str">
        <f t="shared" ref="DR6" si="126">IF(COUNTIF(DQ9:DR9,"N/A")&lt;&gt;0,"미확정","확정")</f>
        <v>확정</v>
      </c>
      <c r="DS6" s="88" t="str">
        <f t="shared" ref="DS6" si="127">IF(COUNTIF(DR9:DS9,"N/A")&lt;&gt;0,"미확정","확정")</f>
        <v>확정</v>
      </c>
      <c r="DT6" s="88" t="str">
        <f t="shared" ref="DT6" si="128">IF(COUNTIF(DS9:DT9,"N/A")&lt;&gt;0,"미확정","확정")</f>
        <v>확정</v>
      </c>
      <c r="DU6" s="88" t="str">
        <f t="shared" ref="DU6" si="129">IF(COUNTIF(DT9:DU9,"N/A")&lt;&gt;0,"미확정","확정")</f>
        <v>확정</v>
      </c>
      <c r="DV6" s="88" t="str">
        <f t="shared" ref="DV6" si="130">IF(COUNTIF(DU9:DV9,"N/A")&lt;&gt;0,"미확정","확정")</f>
        <v>확정</v>
      </c>
      <c r="DW6" s="88" t="str">
        <f t="shared" ref="DW6" si="131">IF(COUNTIF(DV9:DW9,"N/A")&lt;&gt;0,"미확정","확정")</f>
        <v>확정</v>
      </c>
      <c r="DX6" s="88" t="str">
        <f t="shared" ref="DX6" si="132">IF(COUNTIF(DW9:DX9,"N/A")&lt;&gt;0,"미확정","확정")</f>
        <v>확정</v>
      </c>
      <c r="DY6" s="88" t="str">
        <f t="shared" ref="DY6" si="133">IF(COUNTIF(DX9:DY9,"N/A")&lt;&gt;0,"미확정","확정")</f>
        <v>확정</v>
      </c>
      <c r="DZ6" s="88" t="str">
        <f t="shared" ref="DZ6" si="134">IF(COUNTIF(DY9:DZ9,"N/A")&lt;&gt;0,"미확정","확정")</f>
        <v>확정</v>
      </c>
      <c r="EA6" s="88" t="str">
        <f t="shared" ref="EA6" si="135">IF(COUNTIF(DZ9:EA9,"N/A")&lt;&gt;0,"미확정","확정")</f>
        <v>확정</v>
      </c>
      <c r="EB6" s="88" t="str">
        <f t="shared" ref="EB6" si="136">IF(COUNTIF(EA9:EB9,"N/A")&lt;&gt;0,"미확정","확정")</f>
        <v>확정</v>
      </c>
      <c r="EC6" s="88" t="str">
        <f t="shared" ref="EC6" si="137">IF(COUNTIF(EB9:EC9,"N/A")&lt;&gt;0,"미확정","확정")</f>
        <v>확정</v>
      </c>
      <c r="ED6" s="88" t="str">
        <f t="shared" ref="ED6" si="138">IF(COUNTIF(EC9:ED9,"N/A")&lt;&gt;0,"미확정","확정")</f>
        <v>확정</v>
      </c>
      <c r="EE6" s="88" t="str">
        <f t="shared" ref="EE6" si="139">IF(COUNTIF(ED9:EE9,"N/A")&lt;&gt;0,"미확정","확정")</f>
        <v>확정</v>
      </c>
      <c r="EF6" s="88" t="str">
        <f t="shared" ref="EF6" si="140">IF(COUNTIF(EE9:EF9,"N/A")&lt;&gt;0,"미확정","확정")</f>
        <v>확정</v>
      </c>
      <c r="EG6" s="88" t="str">
        <f t="shared" ref="EG6" si="141">IF(COUNTIF(EF9:EG9,"N/A")&lt;&gt;0,"미확정","확정")</f>
        <v>확정</v>
      </c>
      <c r="EH6" s="88" t="str">
        <f t="shared" ref="EH6" si="142">IF(COUNTIF(EG9:EH9,"N/A")&lt;&gt;0,"미확정","확정")</f>
        <v>확정</v>
      </c>
      <c r="EI6" s="88" t="str">
        <f t="shared" ref="EI6" si="143">IF(COUNTIF(EH9:EI9,"N/A")&lt;&gt;0,"미확정","확정")</f>
        <v>확정</v>
      </c>
      <c r="EJ6" s="88" t="str">
        <f t="shared" ref="EJ6" si="144">IF(COUNTIF(EI9:EJ9,"N/A")&lt;&gt;0,"미확정","확정")</f>
        <v>확정</v>
      </c>
      <c r="EK6" s="88" t="str">
        <f t="shared" ref="EK6" si="145">IF(COUNTIF(EJ9:EK9,"N/A")&lt;&gt;0,"미확정","확정")</f>
        <v>확정</v>
      </c>
      <c r="EL6" s="88" t="str">
        <f t="shared" ref="EL6" si="146">IF(COUNTIF(EK9:EL9,"N/A")&lt;&gt;0,"미확정","확정")</f>
        <v>확정</v>
      </c>
      <c r="EM6" s="88" t="str">
        <f t="shared" ref="EM6" si="147">IF(COUNTIF(EL9:EM9,"N/A")&lt;&gt;0,"미확정","확정")</f>
        <v>확정</v>
      </c>
      <c r="EN6" s="88" t="str">
        <f t="shared" ref="EN6" si="148">IF(COUNTIF(EM9:EN9,"N/A")&lt;&gt;0,"미확정","확정")</f>
        <v>확정</v>
      </c>
      <c r="EO6" s="88" t="str">
        <f t="shared" ref="EO6" si="149">IF(COUNTIF(EN9:EO9,"N/A")&lt;&gt;0,"미확정","확정")</f>
        <v>확정</v>
      </c>
      <c r="EP6" s="88" t="str">
        <f t="shared" ref="EP6" si="150">IF(COUNTIF(EO9:EP9,"N/A")&lt;&gt;0,"미확정","확정")</f>
        <v>확정</v>
      </c>
      <c r="EQ6" s="88" t="str">
        <f t="shared" ref="EQ6" si="151">IF(COUNTIF(EP9:EQ9,"N/A")&lt;&gt;0,"미확정","확정")</f>
        <v>확정</v>
      </c>
      <c r="ER6" s="88" t="str">
        <f t="shared" ref="ER6" si="152">IF(COUNTIF(EQ9:ER9,"N/A")&lt;&gt;0,"미확정","확정")</f>
        <v>확정</v>
      </c>
      <c r="ES6" s="88" t="str">
        <f t="shared" ref="ES6" si="153">IF(COUNTIF(ER9:ES9,"N/A")&lt;&gt;0,"미확정","확정")</f>
        <v>확정</v>
      </c>
      <c r="ET6" s="88" t="str">
        <f t="shared" ref="ET6" si="154">IF(COUNTIF(ES9:ET9,"N/A")&lt;&gt;0,"미확정","확정")</f>
        <v>확정</v>
      </c>
      <c r="EU6" s="88" t="str">
        <f t="shared" ref="EU6" si="155">IF(COUNTIF(ET9:EU9,"N/A")&lt;&gt;0,"미확정","확정")</f>
        <v>확정</v>
      </c>
      <c r="EV6" s="88" t="str">
        <f t="shared" ref="EV6" si="156">IF(COUNTIF(EU9:EV9,"N/A")&lt;&gt;0,"미확정","확정")</f>
        <v>확정</v>
      </c>
      <c r="EW6" s="88" t="str">
        <f t="shared" ref="EW6" si="157">IF(COUNTIF(EV9:EW9,"N/A")&lt;&gt;0,"미확정","확정")</f>
        <v>확정</v>
      </c>
      <c r="EX6" s="88" t="str">
        <f t="shared" ref="EX6" si="158">IF(COUNTIF(EW9:EX9,"N/A")&lt;&gt;0,"미확정","확정")</f>
        <v>확정</v>
      </c>
      <c r="EY6" s="88" t="str">
        <f t="shared" ref="EY6" si="159">IF(COUNTIF(EX9:EY9,"N/A")&lt;&gt;0,"미확정","확정")</f>
        <v>확정</v>
      </c>
      <c r="EZ6" s="88" t="str">
        <f t="shared" ref="EZ6" si="160">IF(COUNTIF(EY9:EZ9,"N/A")&lt;&gt;0,"미확정","확정")</f>
        <v>확정</v>
      </c>
      <c r="FA6" s="88" t="str">
        <f t="shared" ref="FA6" si="161">IF(COUNTIF(EZ9:FA9,"N/A")&lt;&gt;0,"미확정","확정")</f>
        <v>확정</v>
      </c>
      <c r="FB6" s="88" t="str">
        <f t="shared" ref="FB6" si="162">IF(COUNTIF(FA9:FB9,"N/A")&lt;&gt;0,"미확정","확정")</f>
        <v>확정</v>
      </c>
      <c r="FC6" s="88" t="str">
        <f t="shared" ref="FC6" si="163">IF(COUNTIF(FB9:FC9,"N/A")&lt;&gt;0,"미확정","확정")</f>
        <v>확정</v>
      </c>
      <c r="FD6" s="88" t="str">
        <f t="shared" ref="FD6" si="164">IF(COUNTIF(FC9:FD9,"N/A")&lt;&gt;0,"미확정","확정")</f>
        <v>확정</v>
      </c>
      <c r="FE6" s="88" t="str">
        <f t="shared" ref="FE6" si="165">IF(COUNTIF(FD9:FE9,"N/A")&lt;&gt;0,"미확정","확정")</f>
        <v>확정</v>
      </c>
      <c r="FF6" s="88" t="str">
        <f t="shared" ref="FF6" si="166">IF(COUNTIF(FE9:FF9,"N/A")&lt;&gt;0,"미확정","확정")</f>
        <v>확정</v>
      </c>
      <c r="FG6" s="88" t="str">
        <f t="shared" ref="FG6" si="167">IF(COUNTIF(FF9:FG9,"N/A")&lt;&gt;0,"미확정","확정")</f>
        <v>확정</v>
      </c>
      <c r="FH6" s="88" t="str">
        <f t="shared" ref="FH6" si="168">IF(COUNTIF(FG9:FH9,"N/A")&lt;&gt;0,"미확정","확정")</f>
        <v>확정</v>
      </c>
      <c r="FI6" s="88" t="str">
        <f t="shared" ref="FI6" si="169">IF(COUNTIF(FH9:FI9,"N/A")&lt;&gt;0,"미확정","확정")</f>
        <v>확정</v>
      </c>
      <c r="FJ6" s="88" t="str">
        <f t="shared" ref="FJ6" si="170">IF(COUNTIF(FI9:FJ9,"N/A")&lt;&gt;0,"미확정","확정")</f>
        <v>확정</v>
      </c>
      <c r="FK6" s="88" t="str">
        <f t="shared" ref="FK6" si="171">IF(COUNTIF(FJ9:FK9,"N/A")&lt;&gt;0,"미확정","확정")</f>
        <v>확정</v>
      </c>
      <c r="FL6" s="88" t="str">
        <f t="shared" ref="FL6" si="172">IF(COUNTIF(FK9:FL9,"N/A")&lt;&gt;0,"미확정","확정")</f>
        <v>확정</v>
      </c>
      <c r="FM6" s="88" t="str">
        <f t="shared" ref="FM6" si="173">IF(COUNTIF(FL9:FM9,"N/A")&lt;&gt;0,"미확정","확정")</f>
        <v>확정</v>
      </c>
      <c r="FN6" s="88" t="str">
        <f t="shared" ref="FN6" si="174">IF(COUNTIF(FM9:FN9,"N/A")&lt;&gt;0,"미확정","확정")</f>
        <v>확정</v>
      </c>
      <c r="FO6" s="88" t="str">
        <f t="shared" ref="FO6" si="175">IF(COUNTIF(FN9:FO9,"N/A")&lt;&gt;0,"미확정","확정")</f>
        <v>확정</v>
      </c>
      <c r="FP6" s="88" t="str">
        <f t="shared" ref="FP6" si="176">IF(COUNTIF(FO9:FP9,"N/A")&lt;&gt;0,"미확정","확정")</f>
        <v>확정</v>
      </c>
      <c r="FQ6" s="88" t="str">
        <f t="shared" ref="FQ6" si="177">IF(COUNTIF(FP9:FQ9,"N/A")&lt;&gt;0,"미확정","확정")</f>
        <v>확정</v>
      </c>
      <c r="FR6" s="88" t="str">
        <f t="shared" ref="FR6" si="178">IF(COUNTIF(FQ9:FR9,"N/A")&lt;&gt;0,"미확정","확정")</f>
        <v>확정</v>
      </c>
      <c r="FS6" s="88" t="str">
        <f t="shared" ref="FS6" si="179">IF(COUNTIF(FR9:FS9,"N/A")&lt;&gt;0,"미확정","확정")</f>
        <v>확정</v>
      </c>
      <c r="FT6" s="88" t="str">
        <f t="shared" ref="FT6" si="180">IF(COUNTIF(FS9:FT9,"N/A")&lt;&gt;0,"미확정","확정")</f>
        <v>확정</v>
      </c>
      <c r="FU6" s="88" t="str">
        <f t="shared" ref="FU6" si="181">IF(COUNTIF(FT9:FU9,"N/A")&lt;&gt;0,"미확정","확정")</f>
        <v>확정</v>
      </c>
      <c r="FV6" s="88" t="str">
        <f t="shared" ref="FV6" si="182">IF(COUNTIF(FU9:FV9,"N/A")&lt;&gt;0,"미확정","확정")</f>
        <v>확정</v>
      </c>
      <c r="FW6" s="88" t="str">
        <f t="shared" ref="FW6" si="183">IF(COUNTIF(FV9:FW9,"N/A")&lt;&gt;0,"미확정","확정")</f>
        <v>확정</v>
      </c>
      <c r="FX6" s="88" t="str">
        <f t="shared" ref="FX6" si="184">IF(COUNTIF(FW9:FX9,"N/A")&lt;&gt;0,"미확정","확정")</f>
        <v>확정</v>
      </c>
      <c r="FY6" s="88" t="str">
        <f t="shared" ref="FY6" si="185">IF(COUNTIF(FX9:FY9,"N/A")&lt;&gt;0,"미확정","확정")</f>
        <v>확정</v>
      </c>
      <c r="FZ6" s="88" t="str">
        <f t="shared" ref="FZ6" si="186">IF(COUNTIF(FY9:FZ9,"N/A")&lt;&gt;0,"미확정","확정")</f>
        <v>확정</v>
      </c>
      <c r="GA6" s="88" t="str">
        <f t="shared" ref="GA6" si="187">IF(COUNTIF(FZ9:GA9,"N/A")&lt;&gt;0,"미확정","확정")</f>
        <v>확정</v>
      </c>
      <c r="GB6" s="88" t="str">
        <f t="shared" ref="GB6" si="188">IF(COUNTIF(GA9:GB9,"N/A")&lt;&gt;0,"미확정","확정")</f>
        <v>확정</v>
      </c>
      <c r="GC6" s="88" t="str">
        <f t="shared" ref="GC6" si="189">IF(COUNTIF(GB9:GC9,"N/A")&lt;&gt;0,"미확정","확정")</f>
        <v>확정</v>
      </c>
      <c r="GD6" s="88" t="str">
        <f t="shared" ref="GD6" si="190">IF(COUNTIF(GC9:GD9,"N/A")&lt;&gt;0,"미확정","확정")</f>
        <v>확정</v>
      </c>
      <c r="GE6" s="88" t="str">
        <f t="shared" ref="GE6" si="191">IF(COUNTIF(GD9:GE9,"N/A")&lt;&gt;0,"미확정","확정")</f>
        <v>확정</v>
      </c>
      <c r="GF6" s="88" t="str">
        <f t="shared" ref="GF6" si="192">IF(COUNTIF(GE9:GF9,"N/A")&lt;&gt;0,"미확정","확정")</f>
        <v>확정</v>
      </c>
      <c r="GG6" s="88" t="str">
        <f t="shared" ref="GG6" si="193">IF(COUNTIF(GF9:GG9,"N/A")&lt;&gt;0,"미확정","확정")</f>
        <v>확정</v>
      </c>
      <c r="GH6" s="88" t="str">
        <f t="shared" ref="GH6" si="194">IF(COUNTIF(GG9:GH9,"N/A")&lt;&gt;0,"미확정","확정")</f>
        <v>확정</v>
      </c>
      <c r="GI6" s="88" t="str">
        <f t="shared" ref="GI6" si="195">IF(COUNTIF(GH9:GI9,"N/A")&lt;&gt;0,"미확정","확정")</f>
        <v>확정</v>
      </c>
      <c r="GJ6" s="88" t="str">
        <f t="shared" ref="GJ6" si="196">IF(COUNTIF(GI9:GJ9,"N/A")&lt;&gt;0,"미확정","확정")</f>
        <v>확정</v>
      </c>
      <c r="GK6" s="88" t="str">
        <f t="shared" ref="GK6" si="197">IF(COUNTIF(GJ9:GK9,"N/A")&lt;&gt;0,"미확정","확정")</f>
        <v>확정</v>
      </c>
      <c r="GL6" s="88" t="str">
        <f t="shared" ref="GL6" si="198">IF(COUNTIF(GK9:GL9,"N/A")&lt;&gt;0,"미확정","확정")</f>
        <v>확정</v>
      </c>
      <c r="GM6" s="88" t="str">
        <f t="shared" ref="GM6" si="199">IF(COUNTIF(GL9:GM9,"N/A")&lt;&gt;0,"미확정","확정")</f>
        <v>확정</v>
      </c>
      <c r="GN6" s="88" t="str">
        <f t="shared" ref="GN6" si="200">IF(COUNTIF(GM9:GN9,"N/A")&lt;&gt;0,"미확정","확정")</f>
        <v>확정</v>
      </c>
      <c r="GO6" s="88" t="str">
        <f t="shared" ref="GO6" si="201">IF(COUNTIF(GN9:GO9,"N/A")&lt;&gt;0,"미확정","확정")</f>
        <v>확정</v>
      </c>
      <c r="GP6" s="88" t="str">
        <f t="shared" ref="GP6" si="202">IF(COUNTIF(GO9:GP9,"N/A")&lt;&gt;0,"미확정","확정")</f>
        <v>확정</v>
      </c>
      <c r="GQ6" s="88" t="str">
        <f t="shared" ref="GQ6" si="203">IF(COUNTIF(GP9:GQ9,"N/A")&lt;&gt;0,"미확정","확정")</f>
        <v>확정</v>
      </c>
      <c r="GR6" s="88" t="str">
        <f t="shared" ref="GR6" si="204">IF(COUNTIF(GQ9:GR9,"N/A")&lt;&gt;0,"미확정","확정")</f>
        <v>확정</v>
      </c>
      <c r="GS6" s="88" t="str">
        <f t="shared" ref="GS6" si="205">IF(COUNTIF(GR9:GS9,"N/A")&lt;&gt;0,"미확정","확정")</f>
        <v>확정</v>
      </c>
      <c r="GT6" s="88" t="str">
        <f t="shared" ref="GT6" si="206">IF(COUNTIF(GS9:GT9,"N/A")&lt;&gt;0,"미확정","확정")</f>
        <v>확정</v>
      </c>
      <c r="GU6" s="88" t="str">
        <f t="shared" ref="GU6" si="207">IF(COUNTIF(GT9:GU9,"N/A")&lt;&gt;0,"미확정","확정")</f>
        <v>확정</v>
      </c>
      <c r="GV6" s="88" t="str">
        <f t="shared" ref="GV6" si="208">IF(COUNTIF(GU9:GV9,"N/A")&lt;&gt;0,"미확정","확정")</f>
        <v>확정</v>
      </c>
      <c r="GW6" s="88" t="str">
        <f t="shared" ref="GW6" si="209">IF(COUNTIF(GV9:GW9,"N/A")&lt;&gt;0,"미확정","확정")</f>
        <v>확정</v>
      </c>
      <c r="GX6" s="88" t="str">
        <f t="shared" ref="GX6" si="210">IF(COUNTIF(GW9:GX9,"N/A")&lt;&gt;0,"미확정","확정")</f>
        <v>확정</v>
      </c>
      <c r="GY6" s="88" t="str">
        <f t="shared" ref="GY6" si="211">IF(COUNTIF(GX9:GY9,"N/A")&lt;&gt;0,"미확정","확정")</f>
        <v>확정</v>
      </c>
      <c r="GZ6" s="88" t="str">
        <f t="shared" ref="GZ6" si="212">IF(COUNTIF(GY9:GZ9,"N/A")&lt;&gt;0,"미확정","확정")</f>
        <v>확정</v>
      </c>
      <c r="HA6" s="88" t="str">
        <f t="shared" ref="HA6" si="213">IF(COUNTIF(GZ9:HA9,"N/A")&lt;&gt;0,"미확정","확정")</f>
        <v>확정</v>
      </c>
      <c r="HB6" s="88" t="str">
        <f t="shared" ref="HB6" si="214">IF(COUNTIF(HA9:HB9,"N/A")&lt;&gt;0,"미확정","확정")</f>
        <v>확정</v>
      </c>
      <c r="HC6" s="88" t="str">
        <f t="shared" ref="HC6" si="215">IF(COUNTIF(HB9:HC9,"N/A")&lt;&gt;0,"미확정","확정")</f>
        <v>확정</v>
      </c>
      <c r="HD6" s="88" t="str">
        <f t="shared" ref="HD6" si="216">IF(COUNTIF(HC9:HD9,"N/A")&lt;&gt;0,"미확정","확정")</f>
        <v>확정</v>
      </c>
      <c r="HE6" s="88" t="str">
        <f t="shared" ref="HE6" si="217">IF(COUNTIF(HD9:HE9,"N/A")&lt;&gt;0,"미확정","확정")</f>
        <v>확정</v>
      </c>
      <c r="HF6" s="88" t="str">
        <f t="shared" ref="HF6" si="218">IF(COUNTIF(HE9:HF9,"N/A")&lt;&gt;0,"미확정","확정")</f>
        <v>확정</v>
      </c>
      <c r="HG6" s="88" t="str">
        <f t="shared" ref="HG6" si="219">IF(COUNTIF(HF9:HG9,"N/A")&lt;&gt;0,"미확정","확정")</f>
        <v>확정</v>
      </c>
      <c r="HH6" s="88" t="str">
        <f t="shared" ref="HH6" si="220">IF(COUNTIF(HG9:HH9,"N/A")&lt;&gt;0,"미확정","확정")</f>
        <v>확정</v>
      </c>
      <c r="HI6" s="88" t="str">
        <f t="shared" ref="HI6" si="221">IF(COUNTIF(HH9:HI9,"N/A")&lt;&gt;0,"미확정","확정")</f>
        <v>확정</v>
      </c>
      <c r="HJ6" s="88" t="str">
        <f t="shared" ref="HJ6" si="222">IF(COUNTIF(HI9:HJ9,"N/A")&lt;&gt;0,"미확정","확정")</f>
        <v>확정</v>
      </c>
      <c r="HK6" s="88" t="str">
        <f t="shared" ref="HK6" si="223">IF(COUNTIF(HJ9:HK9,"N/A")&lt;&gt;0,"미확정","확정")</f>
        <v>확정</v>
      </c>
      <c r="HL6" s="88" t="str">
        <f t="shared" ref="HL6" si="224">IF(COUNTIF(HK9:HL9,"N/A")&lt;&gt;0,"미확정","확정")</f>
        <v>확정</v>
      </c>
      <c r="HM6" s="88" t="str">
        <f t="shared" ref="HM6" si="225">IF(COUNTIF(HL9:HM9,"N/A")&lt;&gt;0,"미확정","확정")</f>
        <v>확정</v>
      </c>
      <c r="HN6" s="88" t="str">
        <f t="shared" ref="HN6" si="226">IF(COUNTIF(HM9:HN9,"N/A")&lt;&gt;0,"미확정","확정")</f>
        <v>확정</v>
      </c>
      <c r="HO6" s="88" t="str">
        <f t="shared" ref="HO6" si="227">IF(COUNTIF(HN9:HO9,"N/A")&lt;&gt;0,"미확정","확정")</f>
        <v>확정</v>
      </c>
      <c r="HP6" s="88" t="str">
        <f t="shared" ref="HP6" si="228">IF(COUNTIF(HO9:HP9,"N/A")&lt;&gt;0,"미확정","확정")</f>
        <v>확정</v>
      </c>
      <c r="HQ6" s="88" t="str">
        <f t="shared" ref="HQ6" si="229">IF(COUNTIF(HP9:HQ9,"N/A")&lt;&gt;0,"미확정","확정")</f>
        <v>확정</v>
      </c>
      <c r="HR6" s="88" t="str">
        <f t="shared" ref="HR6" si="230">IF(COUNTIF(HQ9:HR9,"N/A")&lt;&gt;0,"미확정","확정")</f>
        <v>확정</v>
      </c>
      <c r="HS6" s="88" t="str">
        <f t="shared" ref="HS6" si="231">IF(COUNTIF(HR9:HS9,"N/A")&lt;&gt;0,"미확정","확정")</f>
        <v>확정</v>
      </c>
      <c r="HT6" s="88" t="str">
        <f t="shared" ref="HT6" si="232">IF(COUNTIF(HS9:HT9,"N/A")&lt;&gt;0,"미확정","확정")</f>
        <v>확정</v>
      </c>
    </row>
    <row r="7" spans="1:228" ht="17.25" thickBot="1">
      <c r="F7" s="3">
        <f t="shared" ref="F7:Q7" si="233">EOMONTH(DATEVALUE(LEFT(F8,4)&amp;"-"&amp;MID(F8,6,2)&amp;"-01"),0)</f>
        <v>45504</v>
      </c>
      <c r="G7" s="3">
        <f t="shared" si="233"/>
        <v>45473</v>
      </c>
      <c r="H7" s="3">
        <f t="shared" si="233"/>
        <v>45443</v>
      </c>
      <c r="I7" s="3">
        <f t="shared" si="233"/>
        <v>45412</v>
      </c>
      <c r="J7" s="3">
        <f t="shared" si="233"/>
        <v>45382</v>
      </c>
      <c r="K7" s="3">
        <f t="shared" si="233"/>
        <v>45351</v>
      </c>
      <c r="L7" s="3">
        <f t="shared" si="233"/>
        <v>45322</v>
      </c>
      <c r="M7" s="3">
        <f t="shared" si="233"/>
        <v>45291</v>
      </c>
      <c r="N7" s="3">
        <f t="shared" si="233"/>
        <v>45260</v>
      </c>
      <c r="O7" s="3">
        <f t="shared" si="233"/>
        <v>45230</v>
      </c>
      <c r="P7" s="3">
        <f t="shared" si="233"/>
        <v>45199</v>
      </c>
      <c r="Q7" s="3">
        <f t="shared" si="233"/>
        <v>45169</v>
      </c>
      <c r="R7" s="3">
        <f t="shared" ref="R7" si="234">EOMONTH(DATEVALUE(LEFT(R8,4)&amp;"-"&amp;MID(R8,6,2)&amp;"-01"),0)</f>
        <v>45138</v>
      </c>
      <c r="S7" s="3">
        <f t="shared" ref="S7:T7" si="235">EOMONTH(DATEVALUE(LEFT(S8,4)&amp;"-"&amp;MID(S8,6,2)&amp;"-01"),0)</f>
        <v>45107</v>
      </c>
      <c r="T7" s="3">
        <f t="shared" si="235"/>
        <v>45077</v>
      </c>
      <c r="U7" s="3">
        <f t="shared" ref="U7" si="236">EOMONTH(DATEVALUE(LEFT(U8,4)&amp;"-"&amp;MID(U8,6,2)&amp;"-01"),0)</f>
        <v>45046</v>
      </c>
      <c r="V7" s="3">
        <f t="shared" ref="V7:X7" si="237">EOMONTH(DATEVALUE(LEFT(V8,4)&amp;"-"&amp;MID(V8,6,2)&amp;"-01"),0)</f>
        <v>45016</v>
      </c>
      <c r="W7" s="3">
        <f t="shared" si="237"/>
        <v>44985</v>
      </c>
      <c r="X7" s="3">
        <f t="shared" si="237"/>
        <v>44957</v>
      </c>
      <c r="Y7" s="3">
        <f t="shared" ref="Y7:AA7" si="238">EOMONTH(DATEVALUE(LEFT(Y8,4)&amp;"-"&amp;MID(Y8,6,2)&amp;"-01"),0)</f>
        <v>44926</v>
      </c>
      <c r="Z7" s="3">
        <f t="shared" si="238"/>
        <v>44895</v>
      </c>
      <c r="AA7" s="3">
        <f t="shared" si="238"/>
        <v>44865</v>
      </c>
      <c r="AB7" s="3">
        <f t="shared" ref="AB7:AD7" si="239">EOMONTH(DATEVALUE(LEFT(AB8,4)&amp;"-"&amp;MID(AB8,6,2)&amp;"-01"),0)</f>
        <v>44834</v>
      </c>
      <c r="AC7" s="3">
        <f t="shared" si="239"/>
        <v>44804</v>
      </c>
      <c r="AD7" s="3">
        <f t="shared" si="239"/>
        <v>44773</v>
      </c>
      <c r="AE7" s="3">
        <f t="shared" ref="AE7:AO7" si="240">EOMONTH(DATEVALUE(LEFT(AE8,4)&amp;"-"&amp;MID(AE8,6,2)&amp;"-01"),0)</f>
        <v>44742</v>
      </c>
      <c r="AF7" s="3">
        <f t="shared" si="240"/>
        <v>44712</v>
      </c>
      <c r="AG7" s="3">
        <f t="shared" si="240"/>
        <v>44681</v>
      </c>
      <c r="AH7" s="3">
        <f t="shared" si="240"/>
        <v>44651</v>
      </c>
      <c r="AI7" s="3">
        <f t="shared" si="240"/>
        <v>44620</v>
      </c>
      <c r="AJ7" s="3">
        <f t="shared" si="240"/>
        <v>44592</v>
      </c>
      <c r="AK7" s="3">
        <f t="shared" si="240"/>
        <v>44561</v>
      </c>
      <c r="AL7" s="3">
        <f t="shared" si="240"/>
        <v>44530</v>
      </c>
      <c r="AM7" s="3">
        <f t="shared" si="240"/>
        <v>44500</v>
      </c>
      <c r="AN7" s="3">
        <f t="shared" si="240"/>
        <v>44469</v>
      </c>
      <c r="AO7" s="3">
        <f t="shared" si="240"/>
        <v>44439</v>
      </c>
      <c r="AP7" s="3">
        <f>EOMONTH(DATEVALUE(LEFT(AP8,4)&amp;"-"&amp;MID(AP8,6,2)&amp;"-01"),0)</f>
        <v>44408</v>
      </c>
      <c r="AQ7" s="3">
        <f t="shared" ref="AQ7" si="241">EOMONTH(DATEVALUE(LEFT(AQ8,4)&amp;"-"&amp;MID(AQ8,6,2)&amp;"-01"),0)</f>
        <v>44377</v>
      </c>
      <c r="AR7" s="3">
        <f t="shared" ref="AR7" si="242">EOMONTH(DATEVALUE(LEFT(AR8,4)&amp;"-"&amp;MID(AR8,6,2)&amp;"-01"),0)</f>
        <v>44347</v>
      </c>
      <c r="AS7" s="3">
        <f t="shared" ref="AS7" si="243">EOMONTH(DATEVALUE(LEFT(AS8,4)&amp;"-"&amp;MID(AS8,6,2)&amp;"-01"),0)</f>
        <v>44316</v>
      </c>
      <c r="AT7" s="3">
        <f t="shared" ref="AT7" si="244">EOMONTH(DATEVALUE(LEFT(AT8,4)&amp;"-"&amp;MID(AT8,6,2)&amp;"-01"),0)</f>
        <v>44286</v>
      </c>
      <c r="AU7" s="3">
        <f t="shared" ref="AU7" si="245">EOMONTH(DATEVALUE(LEFT(AU8,4)&amp;"-"&amp;MID(AU8,6,2)&amp;"-01"),0)</f>
        <v>44255</v>
      </c>
      <c r="AV7" s="3">
        <f t="shared" ref="AV7" si="246">EOMONTH(DATEVALUE(LEFT(AV8,4)&amp;"-"&amp;MID(AV8,6,2)&amp;"-01"),0)</f>
        <v>44227</v>
      </c>
      <c r="AW7" s="3">
        <f t="shared" ref="AW7" si="247">EOMONTH(DATEVALUE(LEFT(AW8,4)&amp;"-"&amp;MID(AW8,6,2)&amp;"-01"),0)</f>
        <v>44196</v>
      </c>
      <c r="AX7" s="3">
        <f t="shared" ref="AX7" si="248">EOMONTH(DATEVALUE(LEFT(AX8,4)&amp;"-"&amp;MID(AX8,6,2)&amp;"-01"),0)</f>
        <v>44165</v>
      </c>
      <c r="AY7" s="3">
        <f t="shared" ref="AY7" si="249">EOMONTH(DATEVALUE(LEFT(AY8,4)&amp;"-"&amp;MID(AY8,6,2)&amp;"-01"),0)</f>
        <v>44135</v>
      </c>
      <c r="AZ7" s="3">
        <f t="shared" ref="AZ7" si="250">EOMONTH(DATEVALUE(LEFT(AZ8,4)&amp;"-"&amp;MID(AZ8,6,2)&amp;"-01"),0)</f>
        <v>44104</v>
      </c>
      <c r="BA7" s="3">
        <f t="shared" ref="BA7" si="251">EOMONTH(DATEVALUE(LEFT(BA8,4)&amp;"-"&amp;MID(BA8,6,2)&amp;"-01"),0)</f>
        <v>44074</v>
      </c>
      <c r="BB7" s="3">
        <f t="shared" ref="BB7" si="252">EOMONTH(DATEVALUE(LEFT(BB8,4)&amp;"-"&amp;MID(BB8,6,2)&amp;"-01"),0)</f>
        <v>44043</v>
      </c>
      <c r="BC7" s="3">
        <f t="shared" ref="BC7" si="253">EOMONTH(DATEVALUE(LEFT(BC8,4)&amp;"-"&amp;MID(BC8,6,2)&amp;"-01"),0)</f>
        <v>44012</v>
      </c>
      <c r="BD7" s="3">
        <f t="shared" ref="BD7" si="254">EOMONTH(DATEVALUE(LEFT(BD8,4)&amp;"-"&amp;MID(BD8,6,2)&amp;"-01"),0)</f>
        <v>43982</v>
      </c>
      <c r="BE7" s="3">
        <f t="shared" ref="BE7" si="255">EOMONTH(DATEVALUE(LEFT(BE8,4)&amp;"-"&amp;MID(BE8,6,2)&amp;"-01"),0)</f>
        <v>43951</v>
      </c>
      <c r="BF7" s="3">
        <f t="shared" ref="BF7" si="256">EOMONTH(DATEVALUE(LEFT(BF8,4)&amp;"-"&amp;MID(BF8,6,2)&amp;"-01"),0)</f>
        <v>43921</v>
      </c>
      <c r="BG7" s="3">
        <f t="shared" ref="BG7" si="257">EOMONTH(DATEVALUE(LEFT(BG8,4)&amp;"-"&amp;MID(BG8,6,2)&amp;"-01"),0)</f>
        <v>43890</v>
      </c>
      <c r="BH7" s="3">
        <f t="shared" ref="BH7" si="258">EOMONTH(DATEVALUE(LEFT(BH8,4)&amp;"-"&amp;MID(BH8,6,2)&amp;"-01"),0)</f>
        <v>43861</v>
      </c>
      <c r="BI7" s="3">
        <f t="shared" ref="BI7" si="259">EOMONTH(DATEVALUE(LEFT(BI8,4)&amp;"-"&amp;MID(BI8,6,2)&amp;"-01"),0)</f>
        <v>43830</v>
      </c>
      <c r="BJ7" s="3">
        <f t="shared" ref="BJ7" si="260">EOMONTH(DATEVALUE(LEFT(BJ8,4)&amp;"-"&amp;MID(BJ8,6,2)&amp;"-01"),0)</f>
        <v>43799</v>
      </c>
      <c r="BK7" s="3">
        <f t="shared" ref="BK7" si="261">EOMONTH(DATEVALUE(LEFT(BK8,4)&amp;"-"&amp;MID(BK8,6,2)&amp;"-01"),0)</f>
        <v>43769</v>
      </c>
      <c r="BL7" s="3">
        <f t="shared" ref="BL7" si="262">EOMONTH(DATEVALUE(LEFT(BL8,4)&amp;"-"&amp;MID(BL8,6,2)&amp;"-01"),0)</f>
        <v>43738</v>
      </c>
      <c r="BM7" s="3">
        <f t="shared" ref="BM7" si="263">EOMONTH(DATEVALUE(LEFT(BM8,4)&amp;"-"&amp;MID(BM8,6,2)&amp;"-01"),0)</f>
        <v>43708</v>
      </c>
      <c r="BN7" s="3">
        <f t="shared" ref="BN7" si="264">EOMONTH(DATEVALUE(LEFT(BN8,4)&amp;"-"&amp;MID(BN8,6,2)&amp;"-01"),0)</f>
        <v>43677</v>
      </c>
      <c r="BO7" s="3">
        <f t="shared" ref="BO7" si="265">EOMONTH(DATEVALUE(LEFT(BO8,4)&amp;"-"&amp;MID(BO8,6,2)&amp;"-01"),0)</f>
        <v>43646</v>
      </c>
      <c r="BP7" s="3">
        <f t="shared" ref="BP7" si="266">EOMONTH(DATEVALUE(LEFT(BP8,4)&amp;"-"&amp;MID(BP8,6,2)&amp;"-01"),0)</f>
        <v>43616</v>
      </c>
      <c r="BQ7" s="3">
        <f t="shared" ref="BQ7" si="267">EOMONTH(DATEVALUE(LEFT(BQ8,4)&amp;"-"&amp;MID(BQ8,6,2)&amp;"-01"),0)</f>
        <v>43585</v>
      </c>
      <c r="BR7" s="3">
        <f t="shared" ref="BR7" si="268">EOMONTH(DATEVALUE(LEFT(BR8,4)&amp;"-"&amp;MID(BR8,6,2)&amp;"-01"),0)</f>
        <v>43555</v>
      </c>
      <c r="BS7" s="3">
        <f t="shared" ref="BS7" si="269">EOMONTH(DATEVALUE(LEFT(BS8,4)&amp;"-"&amp;MID(BS8,6,2)&amp;"-01"),0)</f>
        <v>43524</v>
      </c>
      <c r="BT7" s="3">
        <f t="shared" ref="BT7" si="270">EOMONTH(DATEVALUE(LEFT(BT8,4)&amp;"-"&amp;MID(BT8,6,2)&amp;"-01"),0)</f>
        <v>43496</v>
      </c>
      <c r="BU7" s="3">
        <f t="shared" ref="BU7" si="271">EOMONTH(DATEVALUE(LEFT(BU8,4)&amp;"-"&amp;MID(BU8,6,2)&amp;"-01"),0)</f>
        <v>43465</v>
      </c>
      <c r="BV7" s="3">
        <f t="shared" ref="BV7" si="272">EOMONTH(DATEVALUE(LEFT(BV8,4)&amp;"-"&amp;MID(BV8,6,2)&amp;"-01"),0)</f>
        <v>43434</v>
      </c>
      <c r="BW7" s="3">
        <f t="shared" ref="BW7" si="273">EOMONTH(DATEVALUE(LEFT(BW8,4)&amp;"-"&amp;MID(BW8,6,2)&amp;"-01"),0)</f>
        <v>43404</v>
      </c>
      <c r="BX7" s="3">
        <f t="shared" ref="BX7" si="274">EOMONTH(DATEVALUE(LEFT(BX8,4)&amp;"-"&amp;MID(BX8,6,2)&amp;"-01"),0)</f>
        <v>43373</v>
      </c>
      <c r="BY7" s="3">
        <f t="shared" ref="BY7" si="275">EOMONTH(DATEVALUE(LEFT(BY8,4)&amp;"-"&amp;MID(BY8,6,2)&amp;"-01"),0)</f>
        <v>43343</v>
      </c>
      <c r="BZ7" s="3">
        <f t="shared" ref="BZ7" si="276">EOMONTH(DATEVALUE(LEFT(BZ8,4)&amp;"-"&amp;MID(BZ8,6,2)&amp;"-01"),0)</f>
        <v>43312</v>
      </c>
      <c r="CA7" s="3">
        <f t="shared" ref="CA7" si="277">EOMONTH(DATEVALUE(LEFT(CA8,4)&amp;"-"&amp;MID(CA8,6,2)&amp;"-01"),0)</f>
        <v>43281</v>
      </c>
      <c r="CB7" s="3">
        <f t="shared" ref="CB7" si="278">EOMONTH(DATEVALUE(LEFT(CB8,4)&amp;"-"&amp;MID(CB8,6,2)&amp;"-01"),0)</f>
        <v>43251</v>
      </c>
      <c r="CC7" s="3">
        <f t="shared" ref="CC7" si="279">EOMONTH(DATEVALUE(LEFT(CC8,4)&amp;"-"&amp;MID(CC8,6,2)&amp;"-01"),0)</f>
        <v>43220</v>
      </c>
      <c r="CD7" s="3">
        <f t="shared" ref="CD7" si="280">EOMONTH(DATEVALUE(LEFT(CD8,4)&amp;"-"&amp;MID(CD8,6,2)&amp;"-01"),0)</f>
        <v>43190</v>
      </c>
      <c r="CE7" s="3">
        <f t="shared" ref="CE7" si="281">EOMONTH(DATEVALUE(LEFT(CE8,4)&amp;"-"&amp;MID(CE8,6,2)&amp;"-01"),0)</f>
        <v>43159</v>
      </c>
      <c r="CF7" s="3">
        <f t="shared" ref="CF7" si="282">EOMONTH(DATEVALUE(LEFT(CF8,4)&amp;"-"&amp;MID(CF8,6,2)&amp;"-01"),0)</f>
        <v>43131</v>
      </c>
      <c r="CG7" s="3">
        <f t="shared" ref="CG7" si="283">EOMONTH(DATEVALUE(LEFT(CG8,4)&amp;"-"&amp;MID(CG8,6,2)&amp;"-01"),0)</f>
        <v>43100</v>
      </c>
      <c r="CH7" s="3">
        <f t="shared" ref="CH7" si="284">EOMONTH(DATEVALUE(LEFT(CH8,4)&amp;"-"&amp;MID(CH8,6,2)&amp;"-01"),0)</f>
        <v>43069</v>
      </c>
      <c r="CI7" s="3">
        <f t="shared" ref="CI7" si="285">EOMONTH(DATEVALUE(LEFT(CI8,4)&amp;"-"&amp;MID(CI8,6,2)&amp;"-01"),0)</f>
        <v>43039</v>
      </c>
      <c r="CJ7" s="3">
        <f t="shared" ref="CJ7" si="286">EOMONTH(DATEVALUE(LEFT(CJ8,4)&amp;"-"&amp;MID(CJ8,6,2)&amp;"-01"),0)</f>
        <v>43008</v>
      </c>
      <c r="CK7" s="3">
        <f t="shared" ref="CK7" si="287">EOMONTH(DATEVALUE(LEFT(CK8,4)&amp;"-"&amp;MID(CK8,6,2)&amp;"-01"),0)</f>
        <v>42978</v>
      </c>
      <c r="CL7" s="3">
        <f t="shared" ref="CL7" si="288">EOMONTH(DATEVALUE(LEFT(CL8,4)&amp;"-"&amp;MID(CL8,6,2)&amp;"-01"),0)</f>
        <v>42947</v>
      </c>
      <c r="CM7" s="3">
        <f t="shared" ref="CM7" si="289">EOMONTH(DATEVALUE(LEFT(CM8,4)&amp;"-"&amp;MID(CM8,6,2)&amp;"-01"),0)</f>
        <v>42916</v>
      </c>
      <c r="CN7" s="3">
        <f t="shared" ref="CN7" si="290">EOMONTH(DATEVALUE(LEFT(CN8,4)&amp;"-"&amp;MID(CN8,6,2)&amp;"-01"),0)</f>
        <v>42886</v>
      </c>
      <c r="CO7" s="3">
        <f t="shared" ref="CO7" si="291">EOMONTH(DATEVALUE(LEFT(CO8,4)&amp;"-"&amp;MID(CO8,6,2)&amp;"-01"),0)</f>
        <v>42855</v>
      </c>
      <c r="CP7" s="3">
        <f t="shared" ref="CP7" si="292">EOMONTH(DATEVALUE(LEFT(CP8,4)&amp;"-"&amp;MID(CP8,6,2)&amp;"-01"),0)</f>
        <v>42825</v>
      </c>
      <c r="CQ7" s="3">
        <f t="shared" ref="CQ7" si="293">EOMONTH(DATEVALUE(LEFT(CQ8,4)&amp;"-"&amp;MID(CQ8,6,2)&amp;"-01"),0)</f>
        <v>42794</v>
      </c>
      <c r="CR7" s="3">
        <f t="shared" ref="CR7" si="294">EOMONTH(DATEVALUE(LEFT(CR8,4)&amp;"-"&amp;MID(CR8,6,2)&amp;"-01"),0)</f>
        <v>42766</v>
      </c>
      <c r="CS7" s="3">
        <f t="shared" ref="CS7" si="295">EOMONTH(DATEVALUE(LEFT(CS8,4)&amp;"-"&amp;MID(CS8,6,2)&amp;"-01"),0)</f>
        <v>42735</v>
      </c>
      <c r="CT7" s="3">
        <f t="shared" ref="CT7" si="296">EOMONTH(DATEVALUE(LEFT(CT8,4)&amp;"-"&amp;MID(CT8,6,2)&amp;"-01"),0)</f>
        <v>42704</v>
      </c>
      <c r="CU7" s="3">
        <f t="shared" ref="CU7" si="297">EOMONTH(DATEVALUE(LEFT(CU8,4)&amp;"-"&amp;MID(CU8,6,2)&amp;"-01"),0)</f>
        <v>42674</v>
      </c>
      <c r="CV7" s="3">
        <f t="shared" ref="CV7" si="298">EOMONTH(DATEVALUE(LEFT(CV8,4)&amp;"-"&amp;MID(CV8,6,2)&amp;"-01"),0)</f>
        <v>42643</v>
      </c>
      <c r="CW7" s="3">
        <f t="shared" ref="CW7" si="299">EOMONTH(DATEVALUE(LEFT(CW8,4)&amp;"-"&amp;MID(CW8,6,2)&amp;"-01"),0)</f>
        <v>42613</v>
      </c>
      <c r="CX7" s="3">
        <f t="shared" ref="CX7" si="300">EOMONTH(DATEVALUE(LEFT(CX8,4)&amp;"-"&amp;MID(CX8,6,2)&amp;"-01"),0)</f>
        <v>42582</v>
      </c>
      <c r="CY7" s="3">
        <f t="shared" ref="CY7" si="301">EOMONTH(DATEVALUE(LEFT(CY8,4)&amp;"-"&amp;MID(CY8,6,2)&amp;"-01"),0)</f>
        <v>42551</v>
      </c>
      <c r="CZ7" s="3">
        <f t="shared" ref="CZ7" si="302">EOMONTH(DATEVALUE(LEFT(CZ8,4)&amp;"-"&amp;MID(CZ8,6,2)&amp;"-01"),0)</f>
        <v>42521</v>
      </c>
      <c r="DA7" s="3">
        <f t="shared" ref="DA7" si="303">EOMONTH(DATEVALUE(LEFT(DA8,4)&amp;"-"&amp;MID(DA8,6,2)&amp;"-01"),0)</f>
        <v>42490</v>
      </c>
      <c r="DB7" s="3">
        <f t="shared" ref="DB7" si="304">EOMONTH(DATEVALUE(LEFT(DB8,4)&amp;"-"&amp;MID(DB8,6,2)&amp;"-01"),0)</f>
        <v>42460</v>
      </c>
      <c r="DC7" s="3">
        <f t="shared" ref="DC7" si="305">EOMONTH(DATEVALUE(LEFT(DC8,4)&amp;"-"&amp;MID(DC8,6,2)&amp;"-01"),0)</f>
        <v>42429</v>
      </c>
      <c r="DD7" s="3">
        <f t="shared" ref="DD7" si="306">EOMONTH(DATEVALUE(LEFT(DD8,4)&amp;"-"&amp;MID(DD8,6,2)&amp;"-01"),0)</f>
        <v>42400</v>
      </c>
      <c r="DE7" s="3">
        <f t="shared" ref="DE7" si="307">EOMONTH(DATEVALUE(LEFT(DE8,4)&amp;"-"&amp;MID(DE8,6,2)&amp;"-01"),0)</f>
        <v>42369</v>
      </c>
      <c r="DF7" s="3">
        <f t="shared" ref="DF7" si="308">EOMONTH(DATEVALUE(LEFT(DF8,4)&amp;"-"&amp;MID(DF8,6,2)&amp;"-01"),0)</f>
        <v>42338</v>
      </c>
      <c r="DG7" s="3">
        <f t="shared" ref="DG7" si="309">EOMONTH(DATEVALUE(LEFT(DG8,4)&amp;"-"&amp;MID(DG8,6,2)&amp;"-01"),0)</f>
        <v>42308</v>
      </c>
      <c r="DH7" s="3">
        <f t="shared" ref="DH7" si="310">EOMONTH(DATEVALUE(LEFT(DH8,4)&amp;"-"&amp;MID(DH8,6,2)&amp;"-01"),0)</f>
        <v>42277</v>
      </c>
      <c r="DI7" s="3">
        <f t="shared" ref="DI7" si="311">EOMONTH(DATEVALUE(LEFT(DI8,4)&amp;"-"&amp;MID(DI8,6,2)&amp;"-01"),0)</f>
        <v>42247</v>
      </c>
      <c r="DJ7" s="3">
        <f t="shared" ref="DJ7" si="312">EOMONTH(DATEVALUE(LEFT(DJ8,4)&amp;"-"&amp;MID(DJ8,6,2)&amp;"-01"),0)</f>
        <v>42216</v>
      </c>
      <c r="DK7" s="3">
        <f t="shared" ref="DK7" si="313">EOMONTH(DATEVALUE(LEFT(DK8,4)&amp;"-"&amp;MID(DK8,6,2)&amp;"-01"),0)</f>
        <v>42185</v>
      </c>
      <c r="DL7" s="3">
        <f t="shared" ref="DL7" si="314">EOMONTH(DATEVALUE(LEFT(DL8,4)&amp;"-"&amp;MID(DL8,6,2)&amp;"-01"),0)</f>
        <v>42155</v>
      </c>
      <c r="DM7" s="3">
        <f t="shared" ref="DM7" si="315">EOMONTH(DATEVALUE(LEFT(DM8,4)&amp;"-"&amp;MID(DM8,6,2)&amp;"-01"),0)</f>
        <v>42124</v>
      </c>
      <c r="DN7" s="3">
        <f t="shared" ref="DN7" si="316">EOMONTH(DATEVALUE(LEFT(DN8,4)&amp;"-"&amp;MID(DN8,6,2)&amp;"-01"),0)</f>
        <v>42094</v>
      </c>
      <c r="DO7" s="3">
        <f t="shared" ref="DO7" si="317">EOMONTH(DATEVALUE(LEFT(DO8,4)&amp;"-"&amp;MID(DO8,6,2)&amp;"-01"),0)</f>
        <v>42063</v>
      </c>
      <c r="DP7" s="3">
        <f t="shared" ref="DP7" si="318">EOMONTH(DATEVALUE(LEFT(DP8,4)&amp;"-"&amp;MID(DP8,6,2)&amp;"-01"),0)</f>
        <v>42035</v>
      </c>
      <c r="DQ7" s="3">
        <f t="shared" ref="DQ7" si="319">EOMONTH(DATEVALUE(LEFT(DQ8,4)&amp;"-"&amp;MID(DQ8,6,2)&amp;"-01"),0)</f>
        <v>42004</v>
      </c>
      <c r="DR7" s="3">
        <f t="shared" ref="DR7" si="320">EOMONTH(DATEVALUE(LEFT(DR8,4)&amp;"-"&amp;MID(DR8,6,2)&amp;"-01"),0)</f>
        <v>41973</v>
      </c>
      <c r="DS7" s="3">
        <f t="shared" ref="DS7" si="321">EOMONTH(DATEVALUE(LEFT(DS8,4)&amp;"-"&amp;MID(DS8,6,2)&amp;"-01"),0)</f>
        <v>41943</v>
      </c>
      <c r="DT7" s="3">
        <f t="shared" ref="DT7" si="322">EOMONTH(DATEVALUE(LEFT(DT8,4)&amp;"-"&amp;MID(DT8,6,2)&amp;"-01"),0)</f>
        <v>41912</v>
      </c>
      <c r="DU7" s="3">
        <f t="shared" ref="DU7" si="323">EOMONTH(DATEVALUE(LEFT(DU8,4)&amp;"-"&amp;MID(DU8,6,2)&amp;"-01"),0)</f>
        <v>41882</v>
      </c>
      <c r="DV7" s="3">
        <f t="shared" ref="DV7" si="324">EOMONTH(DATEVALUE(LEFT(DV8,4)&amp;"-"&amp;MID(DV8,6,2)&amp;"-01"),0)</f>
        <v>41851</v>
      </c>
      <c r="DW7" s="3">
        <f t="shared" ref="DW7" si="325">EOMONTH(DATEVALUE(LEFT(DW8,4)&amp;"-"&amp;MID(DW8,6,2)&amp;"-01"),0)</f>
        <v>41820</v>
      </c>
      <c r="DX7" s="3">
        <f t="shared" ref="DX7" si="326">EOMONTH(DATEVALUE(LEFT(DX8,4)&amp;"-"&amp;MID(DX8,6,2)&amp;"-01"),0)</f>
        <v>41790</v>
      </c>
      <c r="DY7" s="3">
        <f t="shared" ref="DY7" si="327">EOMONTH(DATEVALUE(LEFT(DY8,4)&amp;"-"&amp;MID(DY8,6,2)&amp;"-01"),0)</f>
        <v>41759</v>
      </c>
      <c r="DZ7" s="3">
        <f t="shared" ref="DZ7" si="328">EOMONTH(DATEVALUE(LEFT(DZ8,4)&amp;"-"&amp;MID(DZ8,6,2)&amp;"-01"),0)</f>
        <v>41729</v>
      </c>
      <c r="EA7" s="3">
        <f t="shared" ref="EA7" si="329">EOMONTH(DATEVALUE(LEFT(EA8,4)&amp;"-"&amp;MID(EA8,6,2)&amp;"-01"),0)</f>
        <v>41698</v>
      </c>
      <c r="EB7" s="3">
        <f t="shared" ref="EB7" si="330">EOMONTH(DATEVALUE(LEFT(EB8,4)&amp;"-"&amp;MID(EB8,6,2)&amp;"-01"),0)</f>
        <v>41670</v>
      </c>
      <c r="EC7" s="3">
        <f t="shared" ref="EC7" si="331">EOMONTH(DATEVALUE(LEFT(EC8,4)&amp;"-"&amp;MID(EC8,6,2)&amp;"-01"),0)</f>
        <v>41639</v>
      </c>
      <c r="ED7" s="3">
        <f t="shared" ref="ED7" si="332">EOMONTH(DATEVALUE(LEFT(ED8,4)&amp;"-"&amp;MID(ED8,6,2)&amp;"-01"),0)</f>
        <v>41608</v>
      </c>
      <c r="EE7" s="3">
        <f t="shared" ref="EE7" si="333">EOMONTH(DATEVALUE(LEFT(EE8,4)&amp;"-"&amp;MID(EE8,6,2)&amp;"-01"),0)</f>
        <v>41578</v>
      </c>
      <c r="EF7" s="3">
        <f t="shared" ref="EF7" si="334">EOMONTH(DATEVALUE(LEFT(EF8,4)&amp;"-"&amp;MID(EF8,6,2)&amp;"-01"),0)</f>
        <v>41547</v>
      </c>
      <c r="EG7" s="3">
        <f t="shared" ref="EG7" si="335">EOMONTH(DATEVALUE(LEFT(EG8,4)&amp;"-"&amp;MID(EG8,6,2)&amp;"-01"),0)</f>
        <v>41517</v>
      </c>
      <c r="EH7" s="3">
        <f t="shared" ref="EH7" si="336">EOMONTH(DATEVALUE(LEFT(EH8,4)&amp;"-"&amp;MID(EH8,6,2)&amp;"-01"),0)</f>
        <v>41486</v>
      </c>
      <c r="EI7" s="3">
        <f t="shared" ref="EI7" si="337">EOMONTH(DATEVALUE(LEFT(EI8,4)&amp;"-"&amp;MID(EI8,6,2)&amp;"-01"),0)</f>
        <v>41455</v>
      </c>
      <c r="EJ7" s="3">
        <f t="shared" ref="EJ7" si="338">EOMONTH(DATEVALUE(LEFT(EJ8,4)&amp;"-"&amp;MID(EJ8,6,2)&amp;"-01"),0)</f>
        <v>41425</v>
      </c>
      <c r="EK7" s="3">
        <f t="shared" ref="EK7" si="339">EOMONTH(DATEVALUE(LEFT(EK8,4)&amp;"-"&amp;MID(EK8,6,2)&amp;"-01"),0)</f>
        <v>41394</v>
      </c>
      <c r="EL7" s="3">
        <f t="shared" ref="EL7" si="340">EOMONTH(DATEVALUE(LEFT(EL8,4)&amp;"-"&amp;MID(EL8,6,2)&amp;"-01"),0)</f>
        <v>41364</v>
      </c>
      <c r="EM7" s="3">
        <f t="shared" ref="EM7" si="341">EOMONTH(DATEVALUE(LEFT(EM8,4)&amp;"-"&amp;MID(EM8,6,2)&amp;"-01"),0)</f>
        <v>41333</v>
      </c>
      <c r="EN7" s="3">
        <f t="shared" ref="EN7" si="342">EOMONTH(DATEVALUE(LEFT(EN8,4)&amp;"-"&amp;MID(EN8,6,2)&amp;"-01"),0)</f>
        <v>41305</v>
      </c>
      <c r="EO7" s="3">
        <f t="shared" ref="EO7" si="343">EOMONTH(DATEVALUE(LEFT(EO8,4)&amp;"-"&amp;MID(EO8,6,2)&amp;"-01"),0)</f>
        <v>41274</v>
      </c>
      <c r="EP7" s="3">
        <f t="shared" ref="EP7" si="344">EOMONTH(DATEVALUE(LEFT(EP8,4)&amp;"-"&amp;MID(EP8,6,2)&amp;"-01"),0)</f>
        <v>41243</v>
      </c>
      <c r="EQ7" s="3">
        <f t="shared" ref="EQ7" si="345">EOMONTH(DATEVALUE(LEFT(EQ8,4)&amp;"-"&amp;MID(EQ8,6,2)&amp;"-01"),0)</f>
        <v>41213</v>
      </c>
      <c r="ER7" s="3">
        <f t="shared" ref="ER7" si="346">EOMONTH(DATEVALUE(LEFT(ER8,4)&amp;"-"&amp;MID(ER8,6,2)&amp;"-01"),0)</f>
        <v>41182</v>
      </c>
      <c r="ES7" s="3">
        <f t="shared" ref="ES7" si="347">EOMONTH(DATEVALUE(LEFT(ES8,4)&amp;"-"&amp;MID(ES8,6,2)&amp;"-01"),0)</f>
        <v>41152</v>
      </c>
      <c r="ET7" s="3">
        <f t="shared" ref="ET7" si="348">EOMONTH(DATEVALUE(LEFT(ET8,4)&amp;"-"&amp;MID(ET8,6,2)&amp;"-01"),0)</f>
        <v>41121</v>
      </c>
      <c r="EU7" s="3">
        <f t="shared" ref="EU7" si="349">EOMONTH(DATEVALUE(LEFT(EU8,4)&amp;"-"&amp;MID(EU8,6,2)&amp;"-01"),0)</f>
        <v>41090</v>
      </c>
      <c r="EV7" s="3">
        <f t="shared" ref="EV7" si="350">EOMONTH(DATEVALUE(LEFT(EV8,4)&amp;"-"&amp;MID(EV8,6,2)&amp;"-01"),0)</f>
        <v>41060</v>
      </c>
      <c r="EW7" s="3">
        <f t="shared" ref="EW7" si="351">EOMONTH(DATEVALUE(LEFT(EW8,4)&amp;"-"&amp;MID(EW8,6,2)&amp;"-01"),0)</f>
        <v>41029</v>
      </c>
      <c r="EX7" s="3">
        <f t="shared" ref="EX7" si="352">EOMONTH(DATEVALUE(LEFT(EX8,4)&amp;"-"&amp;MID(EX8,6,2)&amp;"-01"),0)</f>
        <v>40999</v>
      </c>
      <c r="EY7" s="3">
        <f t="shared" ref="EY7" si="353">EOMONTH(DATEVALUE(LEFT(EY8,4)&amp;"-"&amp;MID(EY8,6,2)&amp;"-01"),0)</f>
        <v>40968</v>
      </c>
      <c r="EZ7" s="3">
        <f t="shared" ref="EZ7" si="354">EOMONTH(DATEVALUE(LEFT(EZ8,4)&amp;"-"&amp;MID(EZ8,6,2)&amp;"-01"),0)</f>
        <v>40939</v>
      </c>
      <c r="FA7" s="3">
        <f t="shared" ref="FA7" si="355">EOMONTH(DATEVALUE(LEFT(FA8,4)&amp;"-"&amp;MID(FA8,6,2)&amp;"-01"),0)</f>
        <v>40908</v>
      </c>
      <c r="FB7" s="3">
        <f t="shared" ref="FB7" si="356">EOMONTH(DATEVALUE(LEFT(FB8,4)&amp;"-"&amp;MID(FB8,6,2)&amp;"-01"),0)</f>
        <v>40877</v>
      </c>
      <c r="FC7" s="3">
        <f t="shared" ref="FC7" si="357">EOMONTH(DATEVALUE(LEFT(FC8,4)&amp;"-"&amp;MID(FC8,6,2)&amp;"-01"),0)</f>
        <v>40847</v>
      </c>
      <c r="FD7" s="3">
        <f t="shared" ref="FD7" si="358">EOMONTH(DATEVALUE(LEFT(FD8,4)&amp;"-"&amp;MID(FD8,6,2)&amp;"-01"),0)</f>
        <v>40816</v>
      </c>
      <c r="FE7" s="3">
        <f t="shared" ref="FE7" si="359">EOMONTH(DATEVALUE(LEFT(FE8,4)&amp;"-"&amp;MID(FE8,6,2)&amp;"-01"),0)</f>
        <v>40786</v>
      </c>
      <c r="FF7" s="3">
        <f t="shared" ref="FF7" si="360">EOMONTH(DATEVALUE(LEFT(FF8,4)&amp;"-"&amp;MID(FF8,6,2)&amp;"-01"),0)</f>
        <v>40755</v>
      </c>
      <c r="FG7" s="3">
        <f t="shared" ref="FG7" si="361">EOMONTH(DATEVALUE(LEFT(FG8,4)&amp;"-"&amp;MID(FG8,6,2)&amp;"-01"),0)</f>
        <v>40724</v>
      </c>
      <c r="FH7" s="3">
        <f t="shared" ref="FH7" si="362">EOMONTH(DATEVALUE(LEFT(FH8,4)&amp;"-"&amp;MID(FH8,6,2)&amp;"-01"),0)</f>
        <v>40694</v>
      </c>
      <c r="FI7" s="3">
        <f t="shared" ref="FI7" si="363">EOMONTH(DATEVALUE(LEFT(FI8,4)&amp;"-"&amp;MID(FI8,6,2)&amp;"-01"),0)</f>
        <v>40663</v>
      </c>
      <c r="FJ7" s="3">
        <f t="shared" ref="FJ7" si="364">EOMONTH(DATEVALUE(LEFT(FJ8,4)&amp;"-"&amp;MID(FJ8,6,2)&amp;"-01"),0)</f>
        <v>40633</v>
      </c>
      <c r="FK7" s="3">
        <f t="shared" ref="FK7" si="365">EOMONTH(DATEVALUE(LEFT(FK8,4)&amp;"-"&amp;MID(FK8,6,2)&amp;"-01"),0)</f>
        <v>40602</v>
      </c>
      <c r="FL7" s="3">
        <f t="shared" ref="FL7" si="366">EOMONTH(DATEVALUE(LEFT(FL8,4)&amp;"-"&amp;MID(FL8,6,2)&amp;"-01"),0)</f>
        <v>40574</v>
      </c>
      <c r="FM7" s="3">
        <f t="shared" ref="FM7" si="367">EOMONTH(DATEVALUE(LEFT(FM8,4)&amp;"-"&amp;MID(FM8,6,2)&amp;"-01"),0)</f>
        <v>40543</v>
      </c>
      <c r="FN7" s="3">
        <f t="shared" ref="FN7" si="368">EOMONTH(DATEVALUE(LEFT(FN8,4)&amp;"-"&amp;MID(FN8,6,2)&amp;"-01"),0)</f>
        <v>40512</v>
      </c>
      <c r="FO7" s="3">
        <f t="shared" ref="FO7" si="369">EOMONTH(DATEVALUE(LEFT(FO8,4)&amp;"-"&amp;MID(FO8,6,2)&amp;"-01"),0)</f>
        <v>40482</v>
      </c>
      <c r="FP7" s="3">
        <f t="shared" ref="FP7" si="370">EOMONTH(DATEVALUE(LEFT(FP8,4)&amp;"-"&amp;MID(FP8,6,2)&amp;"-01"),0)</f>
        <v>40451</v>
      </c>
      <c r="FQ7" s="3">
        <f t="shared" ref="FQ7" si="371">EOMONTH(DATEVALUE(LEFT(FQ8,4)&amp;"-"&amp;MID(FQ8,6,2)&amp;"-01"),0)</f>
        <v>40421</v>
      </c>
      <c r="FR7" s="3">
        <f t="shared" ref="FR7" si="372">EOMONTH(DATEVALUE(LEFT(FR8,4)&amp;"-"&amp;MID(FR8,6,2)&amp;"-01"),0)</f>
        <v>40390</v>
      </c>
      <c r="FS7" s="3">
        <f t="shared" ref="FS7" si="373">EOMONTH(DATEVALUE(LEFT(FS8,4)&amp;"-"&amp;MID(FS8,6,2)&amp;"-01"),0)</f>
        <v>40359</v>
      </c>
      <c r="FT7" s="3">
        <f t="shared" ref="FT7" si="374">EOMONTH(DATEVALUE(LEFT(FT8,4)&amp;"-"&amp;MID(FT8,6,2)&amp;"-01"),0)</f>
        <v>40329</v>
      </c>
      <c r="FU7" s="3">
        <f t="shared" ref="FU7" si="375">EOMONTH(DATEVALUE(LEFT(FU8,4)&amp;"-"&amp;MID(FU8,6,2)&amp;"-01"),0)</f>
        <v>40298</v>
      </c>
      <c r="FV7" s="3">
        <f t="shared" ref="FV7" si="376">EOMONTH(DATEVALUE(LEFT(FV8,4)&amp;"-"&amp;MID(FV8,6,2)&amp;"-01"),0)</f>
        <v>40268</v>
      </c>
      <c r="FW7" s="3">
        <f t="shared" ref="FW7" si="377">EOMONTH(DATEVALUE(LEFT(FW8,4)&amp;"-"&amp;MID(FW8,6,2)&amp;"-01"),0)</f>
        <v>40237</v>
      </c>
      <c r="FX7" s="3">
        <f t="shared" ref="FX7" si="378">EOMONTH(DATEVALUE(LEFT(FX8,4)&amp;"-"&amp;MID(FX8,6,2)&amp;"-01"),0)</f>
        <v>40209</v>
      </c>
      <c r="FY7" s="3">
        <f t="shared" ref="FY7" si="379">EOMONTH(DATEVALUE(LEFT(FY8,4)&amp;"-"&amp;MID(FY8,6,2)&amp;"-01"),0)</f>
        <v>40178</v>
      </c>
      <c r="FZ7" s="3">
        <f t="shared" ref="FZ7" si="380">EOMONTH(DATEVALUE(LEFT(FZ8,4)&amp;"-"&amp;MID(FZ8,6,2)&amp;"-01"),0)</f>
        <v>40147</v>
      </c>
      <c r="GA7" s="3">
        <f t="shared" ref="GA7" si="381">EOMONTH(DATEVALUE(LEFT(GA8,4)&amp;"-"&amp;MID(GA8,6,2)&amp;"-01"),0)</f>
        <v>40117</v>
      </c>
      <c r="GB7" s="3">
        <f t="shared" ref="GB7" si="382">EOMONTH(DATEVALUE(LEFT(GB8,4)&amp;"-"&amp;MID(GB8,6,2)&amp;"-01"),0)</f>
        <v>40086</v>
      </c>
      <c r="GC7" s="3">
        <f t="shared" ref="GC7" si="383">EOMONTH(DATEVALUE(LEFT(GC8,4)&amp;"-"&amp;MID(GC8,6,2)&amp;"-01"),0)</f>
        <v>40056</v>
      </c>
      <c r="GD7" s="3">
        <f t="shared" ref="GD7" si="384">EOMONTH(DATEVALUE(LEFT(GD8,4)&amp;"-"&amp;MID(GD8,6,2)&amp;"-01"),0)</f>
        <v>40025</v>
      </c>
      <c r="GE7" s="3">
        <f t="shared" ref="GE7" si="385">EOMONTH(DATEVALUE(LEFT(GE8,4)&amp;"-"&amp;MID(GE8,6,2)&amp;"-01"),0)</f>
        <v>39994</v>
      </c>
      <c r="GF7" s="3">
        <f t="shared" ref="GF7" si="386">EOMONTH(DATEVALUE(LEFT(GF8,4)&amp;"-"&amp;MID(GF8,6,2)&amp;"-01"),0)</f>
        <v>39964</v>
      </c>
      <c r="GG7" s="3">
        <f t="shared" ref="GG7" si="387">EOMONTH(DATEVALUE(LEFT(GG8,4)&amp;"-"&amp;MID(GG8,6,2)&amp;"-01"),0)</f>
        <v>39933</v>
      </c>
      <c r="GH7" s="3">
        <f t="shared" ref="GH7" si="388">EOMONTH(DATEVALUE(LEFT(GH8,4)&amp;"-"&amp;MID(GH8,6,2)&amp;"-01"),0)</f>
        <v>39903</v>
      </c>
      <c r="GI7" s="3">
        <f t="shared" ref="GI7" si="389">EOMONTH(DATEVALUE(LEFT(GI8,4)&amp;"-"&amp;MID(GI8,6,2)&amp;"-01"),0)</f>
        <v>39872</v>
      </c>
      <c r="GJ7" s="3">
        <f t="shared" ref="GJ7" si="390">EOMONTH(DATEVALUE(LEFT(GJ8,4)&amp;"-"&amp;MID(GJ8,6,2)&amp;"-01"),0)</f>
        <v>39844</v>
      </c>
      <c r="GK7" s="3">
        <f t="shared" ref="GK7" si="391">EOMONTH(DATEVALUE(LEFT(GK8,4)&amp;"-"&amp;MID(GK8,6,2)&amp;"-01"),0)</f>
        <v>39813</v>
      </c>
      <c r="GL7" s="3">
        <f t="shared" ref="GL7" si="392">EOMONTH(DATEVALUE(LEFT(GL8,4)&amp;"-"&amp;MID(GL8,6,2)&amp;"-01"),0)</f>
        <v>39782</v>
      </c>
      <c r="GM7" s="3">
        <f t="shared" ref="GM7" si="393">EOMONTH(DATEVALUE(LEFT(GM8,4)&amp;"-"&amp;MID(GM8,6,2)&amp;"-01"),0)</f>
        <v>39752</v>
      </c>
      <c r="GN7" s="3">
        <f t="shared" ref="GN7" si="394">EOMONTH(DATEVALUE(LEFT(GN8,4)&amp;"-"&amp;MID(GN8,6,2)&amp;"-01"),0)</f>
        <v>39721</v>
      </c>
      <c r="GO7" s="3">
        <f t="shared" ref="GO7" si="395">EOMONTH(DATEVALUE(LEFT(GO8,4)&amp;"-"&amp;MID(GO8,6,2)&amp;"-01"),0)</f>
        <v>39691</v>
      </c>
      <c r="GP7" s="3">
        <f t="shared" ref="GP7" si="396">EOMONTH(DATEVALUE(LEFT(GP8,4)&amp;"-"&amp;MID(GP8,6,2)&amp;"-01"),0)</f>
        <v>39660</v>
      </c>
      <c r="GQ7" s="3">
        <f t="shared" ref="GQ7" si="397">EOMONTH(DATEVALUE(LEFT(GQ8,4)&amp;"-"&amp;MID(GQ8,6,2)&amp;"-01"),0)</f>
        <v>39629</v>
      </c>
      <c r="GR7" s="3">
        <f t="shared" ref="GR7" si="398">EOMONTH(DATEVALUE(LEFT(GR8,4)&amp;"-"&amp;MID(GR8,6,2)&amp;"-01"),0)</f>
        <v>39599</v>
      </c>
      <c r="GS7" s="3">
        <f t="shared" ref="GS7" si="399">EOMONTH(DATEVALUE(LEFT(GS8,4)&amp;"-"&amp;MID(GS8,6,2)&amp;"-01"),0)</f>
        <v>39568</v>
      </c>
      <c r="GT7" s="3">
        <f t="shared" ref="GT7" si="400">EOMONTH(DATEVALUE(LEFT(GT8,4)&amp;"-"&amp;MID(GT8,6,2)&amp;"-01"),0)</f>
        <v>39538</v>
      </c>
      <c r="GU7" s="3">
        <f t="shared" ref="GU7" si="401">EOMONTH(DATEVALUE(LEFT(GU8,4)&amp;"-"&amp;MID(GU8,6,2)&amp;"-01"),0)</f>
        <v>39507</v>
      </c>
      <c r="GV7" s="3">
        <f t="shared" ref="GV7" si="402">EOMONTH(DATEVALUE(LEFT(GV8,4)&amp;"-"&amp;MID(GV8,6,2)&amp;"-01"),0)</f>
        <v>39478</v>
      </c>
      <c r="GW7" s="3">
        <f t="shared" ref="GW7" si="403">EOMONTH(DATEVALUE(LEFT(GW8,4)&amp;"-"&amp;MID(GW8,6,2)&amp;"-01"),0)</f>
        <v>39447</v>
      </c>
      <c r="GX7" s="3">
        <f t="shared" ref="GX7" si="404">EOMONTH(DATEVALUE(LEFT(GX8,4)&amp;"-"&amp;MID(GX8,6,2)&amp;"-01"),0)</f>
        <v>39416</v>
      </c>
      <c r="GY7" s="3">
        <f t="shared" ref="GY7" si="405">EOMONTH(DATEVALUE(LEFT(GY8,4)&amp;"-"&amp;MID(GY8,6,2)&amp;"-01"),0)</f>
        <v>39386</v>
      </c>
      <c r="GZ7" s="3">
        <f t="shared" ref="GZ7" si="406">EOMONTH(DATEVALUE(LEFT(GZ8,4)&amp;"-"&amp;MID(GZ8,6,2)&amp;"-01"),0)</f>
        <v>39355</v>
      </c>
      <c r="HA7" s="3">
        <f t="shared" ref="HA7" si="407">EOMONTH(DATEVALUE(LEFT(HA8,4)&amp;"-"&amp;MID(HA8,6,2)&amp;"-01"),0)</f>
        <v>39325</v>
      </c>
      <c r="HB7" s="3">
        <f t="shared" ref="HB7" si="408">EOMONTH(DATEVALUE(LEFT(HB8,4)&amp;"-"&amp;MID(HB8,6,2)&amp;"-01"),0)</f>
        <v>39294</v>
      </c>
      <c r="HC7" s="3">
        <f t="shared" ref="HC7" si="409">EOMONTH(DATEVALUE(LEFT(HC8,4)&amp;"-"&amp;MID(HC8,6,2)&amp;"-01"),0)</f>
        <v>39263</v>
      </c>
      <c r="HD7" s="3">
        <f t="shared" ref="HD7" si="410">EOMONTH(DATEVALUE(LEFT(HD8,4)&amp;"-"&amp;MID(HD8,6,2)&amp;"-01"),0)</f>
        <v>39233</v>
      </c>
      <c r="HE7" s="3">
        <f t="shared" ref="HE7" si="411">EOMONTH(DATEVALUE(LEFT(HE8,4)&amp;"-"&amp;MID(HE8,6,2)&amp;"-01"),0)</f>
        <v>39202</v>
      </c>
      <c r="HF7" s="3">
        <f t="shared" ref="HF7" si="412">EOMONTH(DATEVALUE(LEFT(HF8,4)&amp;"-"&amp;MID(HF8,6,2)&amp;"-01"),0)</f>
        <v>39172</v>
      </c>
      <c r="HG7" s="3">
        <f t="shared" ref="HG7" si="413">EOMONTH(DATEVALUE(LEFT(HG8,4)&amp;"-"&amp;MID(HG8,6,2)&amp;"-01"),0)</f>
        <v>39141</v>
      </c>
      <c r="HH7" s="3">
        <f t="shared" ref="HH7" si="414">EOMONTH(DATEVALUE(LEFT(HH8,4)&amp;"-"&amp;MID(HH8,6,2)&amp;"-01"),0)</f>
        <v>39113</v>
      </c>
      <c r="HI7" s="3">
        <f t="shared" ref="HI7" si="415">EOMONTH(DATEVALUE(LEFT(HI8,4)&amp;"-"&amp;MID(HI8,6,2)&amp;"-01"),0)</f>
        <v>39082</v>
      </c>
      <c r="HJ7" s="3">
        <f t="shared" ref="HJ7:HT7" si="416">EOMONTH(DATEVALUE(LEFT(HJ8,4)&amp;"-"&amp;MID(HJ8,6,2)&amp;"-01"),0)</f>
        <v>39051</v>
      </c>
      <c r="HK7" s="3">
        <f t="shared" si="416"/>
        <v>39021</v>
      </c>
      <c r="HL7" s="3">
        <f t="shared" si="416"/>
        <v>38990</v>
      </c>
      <c r="HM7" s="3">
        <f t="shared" si="416"/>
        <v>38960</v>
      </c>
      <c r="HN7" s="3">
        <f t="shared" si="416"/>
        <v>38929</v>
      </c>
      <c r="HO7" s="3">
        <f t="shared" si="416"/>
        <v>38898</v>
      </c>
      <c r="HP7" s="3">
        <f t="shared" si="416"/>
        <v>38868</v>
      </c>
      <c r="HQ7" s="3">
        <f t="shared" si="416"/>
        <v>38837</v>
      </c>
      <c r="HR7" s="3">
        <f t="shared" si="416"/>
        <v>38807</v>
      </c>
      <c r="HS7" s="3">
        <f t="shared" si="416"/>
        <v>38776</v>
      </c>
      <c r="HT7" s="3">
        <f t="shared" si="416"/>
        <v>38748</v>
      </c>
    </row>
    <row r="8" spans="1:228" s="2" customFormat="1" ht="17.25" thickBot="1">
      <c r="A8" s="1" t="s">
        <v>4</v>
      </c>
      <c r="B8" s="1" t="s">
        <v>253</v>
      </c>
      <c r="C8" s="1" t="s">
        <v>9</v>
      </c>
      <c r="D8" s="1" t="s">
        <v>10</v>
      </c>
      <c r="E8" s="1" t="s">
        <v>6</v>
      </c>
      <c r="F8" s="109" t="s">
        <v>314</v>
      </c>
      <c r="G8" s="109" t="s">
        <v>312</v>
      </c>
      <c r="H8" s="109" t="s">
        <v>310</v>
      </c>
      <c r="I8" s="109" t="s">
        <v>308</v>
      </c>
      <c r="J8" s="109" t="s">
        <v>305</v>
      </c>
      <c r="K8" s="109" t="s">
        <v>304</v>
      </c>
      <c r="L8" s="109" t="s">
        <v>299</v>
      </c>
      <c r="M8" s="109" t="s">
        <v>297</v>
      </c>
      <c r="N8" s="109" t="s">
        <v>298</v>
      </c>
      <c r="O8" s="109" t="s">
        <v>293</v>
      </c>
      <c r="P8" s="109" t="s">
        <v>289</v>
      </c>
      <c r="Q8" s="109" t="s">
        <v>286</v>
      </c>
      <c r="R8" s="109" t="s">
        <v>287</v>
      </c>
      <c r="S8" s="109" t="s">
        <v>284</v>
      </c>
      <c r="T8" s="109" t="s">
        <v>285</v>
      </c>
      <c r="U8" s="109" t="s">
        <v>283</v>
      </c>
      <c r="V8" s="109" t="s">
        <v>268</v>
      </c>
      <c r="W8" s="109" t="s">
        <v>269</v>
      </c>
      <c r="X8" s="109" t="s">
        <v>267</v>
      </c>
      <c r="Y8" s="109" t="s">
        <v>265</v>
      </c>
      <c r="Z8" s="109" t="s">
        <v>266</v>
      </c>
      <c r="AA8" s="109" t="s">
        <v>264</v>
      </c>
      <c r="AB8" s="1" t="s">
        <v>263</v>
      </c>
      <c r="AC8" s="1" t="s">
        <v>261</v>
      </c>
      <c r="AD8" s="1" t="s">
        <v>262</v>
      </c>
      <c r="AE8" s="1" t="s">
        <v>250</v>
      </c>
      <c r="AF8" s="1" t="s">
        <v>251</v>
      </c>
      <c r="AG8" s="1" t="s">
        <v>249</v>
      </c>
      <c r="AH8" s="1" t="s">
        <v>248</v>
      </c>
      <c r="AI8" s="1" t="s">
        <v>247</v>
      </c>
      <c r="AJ8" s="1" t="s">
        <v>245</v>
      </c>
      <c r="AK8" s="1" t="s">
        <v>232</v>
      </c>
      <c r="AL8" s="1" t="s">
        <v>231</v>
      </c>
      <c r="AM8" s="1" t="s">
        <v>227</v>
      </c>
      <c r="AN8" s="1" t="s">
        <v>228</v>
      </c>
      <c r="AO8" s="1" t="s">
        <v>130</v>
      </c>
      <c r="AP8" s="1" t="s">
        <v>129</v>
      </c>
      <c r="AQ8" s="1" t="s">
        <v>128</v>
      </c>
      <c r="AR8" s="1" t="s">
        <v>127</v>
      </c>
      <c r="AS8" s="1" t="s">
        <v>126</v>
      </c>
      <c r="AT8" s="1" t="s">
        <v>125</v>
      </c>
      <c r="AU8" s="1" t="s">
        <v>124</v>
      </c>
      <c r="AV8" s="1" t="s">
        <v>123</v>
      </c>
      <c r="AW8" s="1" t="s">
        <v>122</v>
      </c>
      <c r="AX8" s="1" t="s">
        <v>121</v>
      </c>
      <c r="AY8" s="1" t="s">
        <v>120</v>
      </c>
      <c r="AZ8" s="1" t="s">
        <v>119</v>
      </c>
      <c r="BA8" s="1" t="s">
        <v>118</v>
      </c>
      <c r="BB8" s="1" t="s">
        <v>117</v>
      </c>
      <c r="BC8" s="1" t="s">
        <v>116</v>
      </c>
      <c r="BD8" s="1" t="s">
        <v>115</v>
      </c>
      <c r="BE8" s="1" t="s">
        <v>114</v>
      </c>
      <c r="BF8" s="1" t="s">
        <v>113</v>
      </c>
      <c r="BG8" s="1" t="s">
        <v>112</v>
      </c>
      <c r="BH8" s="1" t="s">
        <v>111</v>
      </c>
      <c r="BI8" s="1" t="s">
        <v>110</v>
      </c>
      <c r="BJ8" s="1" t="s">
        <v>109</v>
      </c>
      <c r="BK8" s="1" t="s">
        <v>108</v>
      </c>
      <c r="BL8" s="1" t="s">
        <v>107</v>
      </c>
      <c r="BM8" s="1" t="s">
        <v>106</v>
      </c>
      <c r="BN8" s="1" t="s">
        <v>105</v>
      </c>
      <c r="BO8" s="1" t="s">
        <v>104</v>
      </c>
      <c r="BP8" s="1" t="s">
        <v>103</v>
      </c>
      <c r="BQ8" s="1" t="s">
        <v>102</v>
      </c>
      <c r="BR8" s="1" t="s">
        <v>101</v>
      </c>
      <c r="BS8" s="1" t="s">
        <v>100</v>
      </c>
      <c r="BT8" s="1" t="s">
        <v>99</v>
      </c>
      <c r="BU8" s="1" t="s">
        <v>98</v>
      </c>
      <c r="BV8" s="1" t="s">
        <v>97</v>
      </c>
      <c r="BW8" s="1" t="s">
        <v>96</v>
      </c>
      <c r="BX8" s="1" t="s">
        <v>95</v>
      </c>
      <c r="BY8" s="1" t="s">
        <v>94</v>
      </c>
      <c r="BZ8" s="1" t="s">
        <v>93</v>
      </c>
      <c r="CA8" s="1" t="s">
        <v>92</v>
      </c>
      <c r="CB8" s="1" t="s">
        <v>91</v>
      </c>
      <c r="CC8" s="1" t="s">
        <v>90</v>
      </c>
      <c r="CD8" s="1" t="s">
        <v>89</v>
      </c>
      <c r="CE8" s="1" t="s">
        <v>88</v>
      </c>
      <c r="CF8" s="1" t="s">
        <v>87</v>
      </c>
      <c r="CG8" s="1" t="s">
        <v>86</v>
      </c>
      <c r="CH8" s="1" t="s">
        <v>85</v>
      </c>
      <c r="CI8" s="1" t="s">
        <v>84</v>
      </c>
      <c r="CJ8" s="1" t="s">
        <v>83</v>
      </c>
      <c r="CK8" s="1" t="s">
        <v>82</v>
      </c>
      <c r="CL8" s="1" t="s">
        <v>81</v>
      </c>
      <c r="CM8" s="1" t="s">
        <v>80</v>
      </c>
      <c r="CN8" s="1" t="s">
        <v>79</v>
      </c>
      <c r="CO8" s="1" t="s">
        <v>78</v>
      </c>
      <c r="CP8" s="1" t="s">
        <v>77</v>
      </c>
      <c r="CQ8" s="1" t="s">
        <v>76</v>
      </c>
      <c r="CR8" s="1" t="s">
        <v>75</v>
      </c>
      <c r="CS8" s="1" t="s">
        <v>74</v>
      </c>
      <c r="CT8" s="1" t="s">
        <v>73</v>
      </c>
      <c r="CU8" s="1" t="s">
        <v>72</v>
      </c>
      <c r="CV8" s="1" t="s">
        <v>71</v>
      </c>
      <c r="CW8" s="1" t="s">
        <v>70</v>
      </c>
      <c r="CX8" s="1" t="s">
        <v>69</v>
      </c>
      <c r="CY8" s="1" t="s">
        <v>68</v>
      </c>
      <c r="CZ8" s="1" t="s">
        <v>67</v>
      </c>
      <c r="DA8" s="1" t="s">
        <v>66</v>
      </c>
      <c r="DB8" s="1" t="s">
        <v>65</v>
      </c>
      <c r="DC8" s="1" t="s">
        <v>64</v>
      </c>
      <c r="DD8" s="1" t="s">
        <v>63</v>
      </c>
      <c r="DE8" s="1" t="s">
        <v>62</v>
      </c>
      <c r="DF8" s="1" t="s">
        <v>61</v>
      </c>
      <c r="DG8" s="1" t="s">
        <v>60</v>
      </c>
      <c r="DH8" s="1" t="s">
        <v>59</v>
      </c>
      <c r="DI8" s="1" t="s">
        <v>58</v>
      </c>
      <c r="DJ8" s="1" t="s">
        <v>57</v>
      </c>
      <c r="DK8" s="1" t="s">
        <v>56</v>
      </c>
      <c r="DL8" s="1" t="s">
        <v>55</v>
      </c>
      <c r="DM8" s="1" t="s">
        <v>54</v>
      </c>
      <c r="DN8" s="1" t="s">
        <v>53</v>
      </c>
      <c r="DO8" s="1" t="s">
        <v>52</v>
      </c>
      <c r="DP8" s="1" t="s">
        <v>51</v>
      </c>
      <c r="DQ8" s="1" t="s">
        <v>50</v>
      </c>
      <c r="DR8" s="1" t="s">
        <v>49</v>
      </c>
      <c r="DS8" s="1" t="s">
        <v>48</v>
      </c>
      <c r="DT8" s="1" t="s">
        <v>47</v>
      </c>
      <c r="DU8" s="1" t="s">
        <v>46</v>
      </c>
      <c r="DV8" s="1" t="s">
        <v>45</v>
      </c>
      <c r="DW8" s="1" t="s">
        <v>44</v>
      </c>
      <c r="DX8" s="1" t="s">
        <v>43</v>
      </c>
      <c r="DY8" s="1" t="s">
        <v>42</v>
      </c>
      <c r="DZ8" s="1" t="s">
        <v>41</v>
      </c>
      <c r="EA8" s="1" t="s">
        <v>40</v>
      </c>
      <c r="EB8" s="1" t="s">
        <v>39</v>
      </c>
      <c r="EC8" s="1" t="s">
        <v>38</v>
      </c>
      <c r="ED8" s="1" t="s">
        <v>37</v>
      </c>
      <c r="EE8" s="1" t="s">
        <v>36</v>
      </c>
      <c r="EF8" s="1" t="s">
        <v>35</v>
      </c>
      <c r="EG8" s="1" t="s">
        <v>34</v>
      </c>
      <c r="EH8" s="1" t="s">
        <v>33</v>
      </c>
      <c r="EI8" s="1" t="s">
        <v>32</v>
      </c>
      <c r="EJ8" s="1" t="s">
        <v>31</v>
      </c>
      <c r="EK8" s="1" t="s">
        <v>30</v>
      </c>
      <c r="EL8" s="1" t="s">
        <v>29</v>
      </c>
      <c r="EM8" s="1" t="s">
        <v>28</v>
      </c>
      <c r="EN8" s="1" t="s">
        <v>27</v>
      </c>
      <c r="EO8" s="1" t="s">
        <v>26</v>
      </c>
      <c r="EP8" s="1" t="s">
        <v>25</v>
      </c>
      <c r="EQ8" s="1" t="s">
        <v>24</v>
      </c>
      <c r="ER8" s="1" t="s">
        <v>23</v>
      </c>
      <c r="ES8" s="1" t="s">
        <v>22</v>
      </c>
      <c r="ET8" s="1" t="s">
        <v>21</v>
      </c>
      <c r="EU8" s="1" t="s">
        <v>20</v>
      </c>
      <c r="EV8" s="1" t="s">
        <v>19</v>
      </c>
      <c r="EW8" s="1" t="s">
        <v>18</v>
      </c>
      <c r="EX8" s="1" t="s">
        <v>17</v>
      </c>
      <c r="EY8" s="1" t="s">
        <v>16</v>
      </c>
      <c r="EZ8" s="1" t="s">
        <v>15</v>
      </c>
      <c r="FA8" s="1" t="s">
        <v>14</v>
      </c>
      <c r="FB8" s="1" t="s">
        <v>13</v>
      </c>
      <c r="FC8" s="1" t="s">
        <v>12</v>
      </c>
      <c r="FD8" s="1" t="s">
        <v>11</v>
      </c>
      <c r="FE8" s="1" t="s">
        <v>138</v>
      </c>
      <c r="FF8" s="1" t="s">
        <v>139</v>
      </c>
      <c r="FG8" s="1" t="s">
        <v>140</v>
      </c>
      <c r="FH8" s="1" t="s">
        <v>141</v>
      </c>
      <c r="FI8" s="1" t="s">
        <v>142</v>
      </c>
      <c r="FJ8" s="1" t="s">
        <v>143</v>
      </c>
      <c r="FK8" s="1" t="s">
        <v>144</v>
      </c>
      <c r="FL8" s="1" t="s">
        <v>145</v>
      </c>
      <c r="FM8" s="1" t="s">
        <v>146</v>
      </c>
      <c r="FN8" s="1" t="s">
        <v>147</v>
      </c>
      <c r="FO8" s="1" t="s">
        <v>148</v>
      </c>
      <c r="FP8" s="1" t="s">
        <v>149</v>
      </c>
      <c r="FQ8" s="1" t="s">
        <v>150</v>
      </c>
      <c r="FR8" s="1" t="s">
        <v>151</v>
      </c>
      <c r="FS8" s="1" t="s">
        <v>152</v>
      </c>
      <c r="FT8" s="1" t="s">
        <v>153</v>
      </c>
      <c r="FU8" s="1" t="s">
        <v>154</v>
      </c>
      <c r="FV8" s="1" t="s">
        <v>155</v>
      </c>
      <c r="FW8" s="1" t="s">
        <v>156</v>
      </c>
      <c r="FX8" s="1" t="s">
        <v>157</v>
      </c>
      <c r="FY8" s="1" t="s">
        <v>158</v>
      </c>
      <c r="FZ8" s="1" t="s">
        <v>159</v>
      </c>
      <c r="GA8" s="1" t="s">
        <v>160</v>
      </c>
      <c r="GB8" s="1" t="s">
        <v>161</v>
      </c>
      <c r="GC8" s="1" t="s">
        <v>162</v>
      </c>
      <c r="GD8" s="1" t="s">
        <v>163</v>
      </c>
      <c r="GE8" s="1" t="s">
        <v>164</v>
      </c>
      <c r="GF8" s="1" t="s">
        <v>165</v>
      </c>
      <c r="GG8" s="1" t="s">
        <v>166</v>
      </c>
      <c r="GH8" s="1" t="s">
        <v>167</v>
      </c>
      <c r="GI8" s="1" t="s">
        <v>168</v>
      </c>
      <c r="GJ8" s="1" t="s">
        <v>169</v>
      </c>
      <c r="GK8" s="1" t="s">
        <v>170</v>
      </c>
      <c r="GL8" s="1" t="s">
        <v>171</v>
      </c>
      <c r="GM8" s="1" t="s">
        <v>172</v>
      </c>
      <c r="GN8" s="1" t="s">
        <v>173</v>
      </c>
      <c r="GO8" s="1" t="s">
        <v>174</v>
      </c>
      <c r="GP8" s="1" t="s">
        <v>175</v>
      </c>
      <c r="GQ8" s="1" t="s">
        <v>176</v>
      </c>
      <c r="GR8" s="1" t="s">
        <v>177</v>
      </c>
      <c r="GS8" s="1" t="s">
        <v>178</v>
      </c>
      <c r="GT8" s="1" t="s">
        <v>179</v>
      </c>
      <c r="GU8" s="1" t="s">
        <v>180</v>
      </c>
      <c r="GV8" s="1" t="s">
        <v>181</v>
      </c>
      <c r="GW8" s="1" t="s">
        <v>182</v>
      </c>
      <c r="GX8" s="1" t="s">
        <v>183</v>
      </c>
      <c r="GY8" s="1" t="s">
        <v>184</v>
      </c>
      <c r="GZ8" s="1" t="s">
        <v>185</v>
      </c>
      <c r="HA8" s="1" t="s">
        <v>186</v>
      </c>
      <c r="HB8" s="1" t="s">
        <v>187</v>
      </c>
      <c r="HC8" s="1" t="s">
        <v>188</v>
      </c>
      <c r="HD8" s="1" t="s">
        <v>189</v>
      </c>
      <c r="HE8" s="1" t="s">
        <v>190</v>
      </c>
      <c r="HF8" s="1" t="s">
        <v>191</v>
      </c>
      <c r="HG8" s="1" t="s">
        <v>192</v>
      </c>
      <c r="HH8" s="1" t="s">
        <v>193</v>
      </c>
      <c r="HI8" s="1" t="s">
        <v>194</v>
      </c>
      <c r="HJ8" s="1" t="s">
        <v>233</v>
      </c>
      <c r="HK8" s="1" t="s">
        <v>234</v>
      </c>
      <c r="HL8" s="1" t="s">
        <v>235</v>
      </c>
      <c r="HM8" s="1" t="s">
        <v>236</v>
      </c>
      <c r="HN8" s="1" t="s">
        <v>237</v>
      </c>
      <c r="HO8" s="1" t="s">
        <v>238</v>
      </c>
      <c r="HP8" s="1" t="s">
        <v>239</v>
      </c>
      <c r="HQ8" s="1" t="s">
        <v>240</v>
      </c>
      <c r="HR8" s="1" t="s">
        <v>241</v>
      </c>
      <c r="HS8" s="1" t="s">
        <v>242</v>
      </c>
      <c r="HT8" s="1" t="s">
        <v>243</v>
      </c>
    </row>
    <row r="9" spans="1:228" s="137" customFormat="1" ht="25.5">
      <c r="A9" s="133" t="s">
        <v>254</v>
      </c>
      <c r="B9" s="133" t="s">
        <v>132</v>
      </c>
      <c r="C9" s="133" t="s">
        <v>133</v>
      </c>
      <c r="D9" s="134">
        <v>1000</v>
      </c>
      <c r="E9" s="133" t="s">
        <v>134</v>
      </c>
      <c r="F9" s="135">
        <v>2.6</v>
      </c>
      <c r="G9" s="135">
        <v>2.4</v>
      </c>
      <c r="H9" s="135">
        <v>2.7</v>
      </c>
      <c r="I9" s="135">
        <v>2.9</v>
      </c>
      <c r="J9" s="135">
        <v>3.1</v>
      </c>
      <c r="K9" s="135">
        <v>3.1</v>
      </c>
      <c r="L9" s="135">
        <v>2.8</v>
      </c>
      <c r="M9" s="135">
        <v>3.2</v>
      </c>
      <c r="N9" s="135">
        <v>3.3</v>
      </c>
      <c r="O9" s="135">
        <v>3.8</v>
      </c>
      <c r="P9" s="135">
        <v>3.7</v>
      </c>
      <c r="Q9" s="135">
        <v>3.4</v>
      </c>
      <c r="R9" s="135">
        <v>2.4</v>
      </c>
      <c r="S9" s="135">
        <v>2.7</v>
      </c>
      <c r="T9" s="135">
        <v>3.4</v>
      </c>
      <c r="U9" s="135">
        <v>3.7</v>
      </c>
      <c r="V9" s="135">
        <v>4.2</v>
      </c>
      <c r="W9" s="135">
        <v>4.7</v>
      </c>
      <c r="X9" s="135">
        <v>5</v>
      </c>
      <c r="Y9" s="135">
        <v>5</v>
      </c>
      <c r="Z9" s="135">
        <v>5</v>
      </c>
      <c r="AA9" s="135">
        <v>5.6</v>
      </c>
      <c r="AB9" s="135">
        <v>5.5</v>
      </c>
      <c r="AC9" s="135">
        <v>5.7</v>
      </c>
      <c r="AD9" s="135">
        <v>6.3</v>
      </c>
      <c r="AE9" s="135">
        <v>6</v>
      </c>
      <c r="AF9" s="135">
        <v>5.3</v>
      </c>
      <c r="AG9" s="135">
        <v>4.8</v>
      </c>
      <c r="AH9" s="136">
        <v>4.2</v>
      </c>
      <c r="AI9" s="136">
        <v>3.8</v>
      </c>
      <c r="AJ9" s="136">
        <v>3.8</v>
      </c>
      <c r="AK9" s="136">
        <v>3.7</v>
      </c>
      <c r="AL9" s="136">
        <v>3.8</v>
      </c>
      <c r="AM9" s="136">
        <v>3.2</v>
      </c>
      <c r="AN9" s="136">
        <v>2.4</v>
      </c>
      <c r="AO9" s="136">
        <v>2.6</v>
      </c>
      <c r="AP9" s="136">
        <v>2.6</v>
      </c>
      <c r="AQ9" s="136">
        <v>2.2999999999999998</v>
      </c>
      <c r="AR9" s="136">
        <v>2.6</v>
      </c>
      <c r="AS9" s="136">
        <v>2.5</v>
      </c>
      <c r="AT9" s="136">
        <v>1.9</v>
      </c>
      <c r="AU9" s="136">
        <v>1.4</v>
      </c>
      <c r="AV9" s="136">
        <v>0.9</v>
      </c>
      <c r="AW9" s="136">
        <v>0.6</v>
      </c>
      <c r="AX9" s="136">
        <v>0.6</v>
      </c>
      <c r="AY9" s="136">
        <v>0.1</v>
      </c>
      <c r="AZ9" s="136">
        <v>0.9</v>
      </c>
      <c r="BA9" s="136">
        <v>0.8</v>
      </c>
      <c r="BB9" s="136">
        <v>0.4</v>
      </c>
      <c r="BC9" s="136">
        <v>0.2</v>
      </c>
      <c r="BD9" s="136">
        <v>-0.2</v>
      </c>
      <c r="BE9" s="136">
        <v>0</v>
      </c>
      <c r="BF9" s="136">
        <v>0.8</v>
      </c>
      <c r="BG9" s="136">
        <v>0.9</v>
      </c>
      <c r="BH9" s="136">
        <v>1.2</v>
      </c>
      <c r="BI9" s="136">
        <v>0.7</v>
      </c>
      <c r="BJ9" s="136">
        <v>0.2</v>
      </c>
      <c r="BK9" s="136">
        <v>0</v>
      </c>
      <c r="BL9" s="136">
        <v>-0.4</v>
      </c>
      <c r="BM9" s="136">
        <v>0</v>
      </c>
      <c r="BN9" s="136">
        <v>0.6</v>
      </c>
      <c r="BO9" s="136">
        <v>0.7</v>
      </c>
      <c r="BP9" s="136">
        <v>0.7</v>
      </c>
      <c r="BQ9" s="136">
        <v>0.6</v>
      </c>
      <c r="BR9" s="136">
        <v>0.4</v>
      </c>
      <c r="BS9" s="136">
        <v>0.5</v>
      </c>
      <c r="BT9" s="136">
        <v>0.8</v>
      </c>
      <c r="BU9" s="136">
        <v>1.3</v>
      </c>
      <c r="BV9" s="136">
        <v>2</v>
      </c>
      <c r="BW9" s="136">
        <v>2</v>
      </c>
      <c r="BX9" s="136">
        <v>2.1</v>
      </c>
      <c r="BY9" s="136">
        <v>1.4</v>
      </c>
      <c r="BZ9" s="136">
        <v>1.1000000000000001</v>
      </c>
      <c r="CA9" s="136">
        <v>1.5</v>
      </c>
      <c r="CB9" s="136">
        <v>1.5</v>
      </c>
      <c r="CC9" s="136">
        <v>1.5</v>
      </c>
      <c r="CD9" s="136">
        <v>1.2</v>
      </c>
      <c r="CE9" s="136">
        <v>1.3</v>
      </c>
      <c r="CF9" s="136">
        <v>0.8</v>
      </c>
      <c r="CG9" s="136">
        <v>1.4</v>
      </c>
      <c r="CH9" s="136">
        <v>1.2</v>
      </c>
      <c r="CI9" s="136">
        <v>1.8</v>
      </c>
      <c r="CJ9" s="136">
        <v>2</v>
      </c>
      <c r="CK9" s="136">
        <v>2.5</v>
      </c>
      <c r="CL9" s="136">
        <v>2.2000000000000002</v>
      </c>
      <c r="CM9" s="136">
        <v>1.8</v>
      </c>
      <c r="CN9" s="136">
        <v>2</v>
      </c>
      <c r="CO9" s="136">
        <v>2</v>
      </c>
      <c r="CP9" s="136">
        <v>2.2999999999999998</v>
      </c>
      <c r="CQ9" s="136">
        <v>2.1</v>
      </c>
      <c r="CR9" s="136">
        <v>2.2000000000000002</v>
      </c>
      <c r="CS9" s="136">
        <v>1.3</v>
      </c>
      <c r="CT9" s="136">
        <v>1.5</v>
      </c>
      <c r="CU9" s="136">
        <v>1.5</v>
      </c>
      <c r="CV9" s="136">
        <v>1.3</v>
      </c>
      <c r="CW9" s="136">
        <v>0.5</v>
      </c>
      <c r="CX9" s="136">
        <v>0.4</v>
      </c>
      <c r="CY9" s="136">
        <v>0.7</v>
      </c>
      <c r="CZ9" s="136">
        <v>0.8</v>
      </c>
      <c r="DA9" s="136">
        <v>1</v>
      </c>
      <c r="DB9" s="136">
        <v>0.8</v>
      </c>
      <c r="DC9" s="136">
        <v>1.1000000000000001</v>
      </c>
      <c r="DD9" s="136">
        <v>0.6</v>
      </c>
      <c r="DE9" s="136">
        <v>1.1000000000000001</v>
      </c>
      <c r="DF9" s="136">
        <v>0.8</v>
      </c>
      <c r="DG9" s="136">
        <v>0.8</v>
      </c>
      <c r="DH9" s="136">
        <v>0.5</v>
      </c>
      <c r="DI9" s="136">
        <v>0.7</v>
      </c>
      <c r="DJ9" s="136">
        <v>0.7</v>
      </c>
      <c r="DK9" s="136">
        <v>0.7</v>
      </c>
      <c r="DL9" s="136">
        <v>0.6</v>
      </c>
      <c r="DM9" s="136">
        <v>0.4</v>
      </c>
      <c r="DN9" s="136">
        <v>0.5</v>
      </c>
      <c r="DO9" s="136">
        <v>0.6</v>
      </c>
      <c r="DP9" s="136">
        <v>1</v>
      </c>
      <c r="DQ9" s="136">
        <v>0.8</v>
      </c>
      <c r="DR9" s="136">
        <v>1</v>
      </c>
      <c r="DS9" s="136">
        <v>1.1000000000000001</v>
      </c>
      <c r="DT9" s="136">
        <v>1.1000000000000001</v>
      </c>
      <c r="DU9" s="136">
        <v>1.4</v>
      </c>
      <c r="DV9" s="136">
        <v>1.6</v>
      </c>
      <c r="DW9" s="136">
        <v>1.7</v>
      </c>
      <c r="DX9" s="136">
        <v>1.7</v>
      </c>
      <c r="DY9" s="136">
        <v>1.5</v>
      </c>
      <c r="DZ9" s="136">
        <v>1.3</v>
      </c>
      <c r="EA9" s="136">
        <v>1</v>
      </c>
      <c r="EB9" s="136">
        <v>1.1000000000000001</v>
      </c>
      <c r="EC9" s="136">
        <v>1.1000000000000001</v>
      </c>
      <c r="ED9" s="136">
        <v>1.2</v>
      </c>
      <c r="EE9" s="136">
        <v>0.9</v>
      </c>
      <c r="EF9" s="136">
        <v>1</v>
      </c>
      <c r="EG9" s="136">
        <v>1.5</v>
      </c>
      <c r="EH9" s="136">
        <v>1.6</v>
      </c>
      <c r="EI9" s="136">
        <v>1.2</v>
      </c>
      <c r="EJ9" s="136">
        <v>1.1000000000000001</v>
      </c>
      <c r="EK9" s="136">
        <v>1.3</v>
      </c>
      <c r="EL9" s="136">
        <v>1.5</v>
      </c>
      <c r="EM9" s="136">
        <v>1.6</v>
      </c>
      <c r="EN9" s="136">
        <v>1.6</v>
      </c>
      <c r="EO9" s="136">
        <v>1.4</v>
      </c>
      <c r="EP9" s="136">
        <v>1.6</v>
      </c>
      <c r="EQ9" s="136">
        <v>2.1</v>
      </c>
      <c r="ER9" s="136">
        <v>2.1</v>
      </c>
      <c r="ES9" s="136">
        <v>1.3</v>
      </c>
      <c r="ET9" s="136">
        <v>1.5</v>
      </c>
      <c r="EU9" s="136">
        <v>2.2000000000000002</v>
      </c>
      <c r="EV9" s="136">
        <v>2.5</v>
      </c>
      <c r="EW9" s="136">
        <v>2.6</v>
      </c>
      <c r="EX9" s="136">
        <v>2.7</v>
      </c>
      <c r="EY9" s="136">
        <v>3</v>
      </c>
      <c r="EZ9" s="136">
        <v>3.3</v>
      </c>
      <c r="FA9" s="136">
        <v>4.2</v>
      </c>
      <c r="FB9" s="136">
        <v>4.2</v>
      </c>
      <c r="FC9" s="136">
        <v>3.6</v>
      </c>
      <c r="FD9" s="136">
        <v>3.8</v>
      </c>
      <c r="FE9" s="136">
        <v>4.7</v>
      </c>
      <c r="FF9" s="136">
        <v>4.5</v>
      </c>
      <c r="FG9" s="136">
        <v>4.2</v>
      </c>
      <c r="FH9" s="136">
        <v>3.9</v>
      </c>
      <c r="FI9" s="136">
        <v>3.8</v>
      </c>
      <c r="FJ9" s="136">
        <v>4.0999999999999996</v>
      </c>
      <c r="FK9" s="136">
        <v>3.9</v>
      </c>
      <c r="FL9" s="136">
        <v>3.4</v>
      </c>
      <c r="FM9" s="136">
        <v>3.0337000000000001</v>
      </c>
      <c r="FN9" s="136">
        <v>2.9887000000000001</v>
      </c>
      <c r="FO9" s="136">
        <v>3.6825999999999999</v>
      </c>
      <c r="FP9" s="136">
        <v>3.4076</v>
      </c>
      <c r="FQ9" s="136">
        <v>2.6818</v>
      </c>
      <c r="FR9" s="136">
        <v>2.5306999999999999</v>
      </c>
      <c r="FS9" s="136">
        <v>2.6888999999999998</v>
      </c>
      <c r="FT9" s="136">
        <v>2.7021000000000002</v>
      </c>
      <c r="FU9" s="136">
        <v>2.5983000000000001</v>
      </c>
      <c r="FV9" s="136">
        <v>2.4582000000000002</v>
      </c>
      <c r="FW9" s="136">
        <v>2.9839000000000002</v>
      </c>
      <c r="FX9" s="136">
        <v>3.5185</v>
      </c>
      <c r="FY9" s="136">
        <v>2.8006000000000002</v>
      </c>
      <c r="FZ9" s="136">
        <v>2.4388000000000001</v>
      </c>
      <c r="GA9" s="136">
        <v>1.9819</v>
      </c>
      <c r="GB9" s="136">
        <v>2.1602999999999999</v>
      </c>
      <c r="GC9" s="136">
        <v>2.1623000000000001</v>
      </c>
      <c r="GD9" s="136">
        <v>1.6182000000000001</v>
      </c>
      <c r="GE9" s="136">
        <v>1.9926999999999999</v>
      </c>
      <c r="GF9" s="136">
        <v>2.7343000000000002</v>
      </c>
      <c r="GG9" s="136">
        <v>3.5819000000000001</v>
      </c>
      <c r="GH9" s="136">
        <v>3.8813</v>
      </c>
      <c r="GI9" s="136">
        <v>4.1041999999999996</v>
      </c>
      <c r="GJ9" s="136">
        <v>3.7471999999999999</v>
      </c>
      <c r="GK9" s="136">
        <v>4.1390000000000002</v>
      </c>
      <c r="GL9" s="136">
        <v>4.5327999999999999</v>
      </c>
      <c r="GM9" s="136">
        <v>4.8158000000000003</v>
      </c>
      <c r="GN9" s="136">
        <v>5.1083999999999996</v>
      </c>
      <c r="GO9" s="136">
        <v>5.6132</v>
      </c>
      <c r="GP9" s="136">
        <v>5.9039999999999999</v>
      </c>
      <c r="GQ9" s="136">
        <v>5.5437000000000003</v>
      </c>
      <c r="GR9" s="136">
        <v>4.8743999999999996</v>
      </c>
      <c r="GS9" s="136">
        <v>4.1165000000000003</v>
      </c>
      <c r="GT9" s="136">
        <v>3.9386000000000001</v>
      </c>
      <c r="GU9" s="136">
        <v>3.5758000000000001</v>
      </c>
      <c r="GV9" s="136">
        <v>3.8904000000000001</v>
      </c>
      <c r="GW9" s="136">
        <v>3.6059000000000001</v>
      </c>
      <c r="GX9" s="136">
        <v>3.5179</v>
      </c>
      <c r="GY9" s="136">
        <v>3.0158</v>
      </c>
      <c r="GZ9" s="136">
        <v>2.3248000000000002</v>
      </c>
      <c r="HA9" s="136">
        <v>2.0392999999999999</v>
      </c>
      <c r="HB9" s="136">
        <v>2.5394000000000001</v>
      </c>
      <c r="HC9" s="136">
        <v>2.548</v>
      </c>
      <c r="HD9" s="136">
        <v>2.3485</v>
      </c>
      <c r="HE9" s="136">
        <v>2.4491999999999998</v>
      </c>
      <c r="HF9" s="136">
        <v>2.1589</v>
      </c>
      <c r="HG9" s="136">
        <v>2.1703000000000001</v>
      </c>
      <c r="HH9" s="136">
        <v>1.6815</v>
      </c>
      <c r="HI9" s="136">
        <v>2.09</v>
      </c>
      <c r="HJ9" s="136">
        <v>2.0975999999999999</v>
      </c>
      <c r="HK9" s="136">
        <v>2.1867999999999999</v>
      </c>
      <c r="HL9" s="136">
        <v>2.4796999999999998</v>
      </c>
      <c r="HM9" s="136">
        <v>2.6917</v>
      </c>
      <c r="HN9" s="136">
        <v>2.4001000000000001</v>
      </c>
      <c r="HO9" s="136">
        <v>2.4125000000000001</v>
      </c>
      <c r="HP9" s="136">
        <v>2.3029999999999999</v>
      </c>
      <c r="HQ9" s="136">
        <v>2.0009999999999999</v>
      </c>
      <c r="HR9" s="136">
        <v>2.0030000000000001</v>
      </c>
      <c r="HS9" s="136">
        <v>2.0150999999999999</v>
      </c>
      <c r="HT9" s="136">
        <v>2.2244000000000002</v>
      </c>
    </row>
    <row r="10" spans="1:228">
      <c r="A10" s="95" t="s">
        <v>252</v>
      </c>
      <c r="M10" s="88" t="str">
        <f t="shared" ref="M10:O10" si="417">IF(COUNTIF(M13:M13,"N/A")&lt;&gt;0,"미확정","확정")</f>
        <v>확정</v>
      </c>
      <c r="N10" s="88" t="str">
        <f t="shared" si="417"/>
        <v>확정</v>
      </c>
      <c r="O10" s="88" t="str">
        <f t="shared" si="417"/>
        <v>확정</v>
      </c>
      <c r="P10" s="88" t="str">
        <f>IF(COUNTIF(P13:P13,"N/A")&lt;&gt;0,"미확정","확정")</f>
        <v>확정</v>
      </c>
      <c r="Q10" s="88" t="str">
        <f>IF(COUNTIF(P13:Q13,"N/A")&lt;&gt;0,"미확정","확정")</f>
        <v>확정</v>
      </c>
      <c r="R10" s="88" t="str">
        <f>IF(COUNTIF(Q13:R13,"N/A")&lt;&gt;0,"미확정","확정")</f>
        <v>확정</v>
      </c>
      <c r="S10" s="88" t="str">
        <f>IF(COUNTIF(R13:S13,"N/A")&lt;&gt;0,"미확정","확정")</f>
        <v>확정</v>
      </c>
      <c r="T10" s="88" t="str">
        <f t="shared" ref="T10" si="418">IF(COUNTIF(S13:T13,"N/A")&lt;&gt;0,"미확정","확정")</f>
        <v>확정</v>
      </c>
      <c r="U10" s="88" t="str">
        <f>IF(COUNTIF(T13:U13,"N/A")&lt;&gt;0,"미확정","확정")</f>
        <v>확정</v>
      </c>
      <c r="V10" s="88" t="str">
        <f t="shared" ref="V10" si="419">IF(COUNTIF(U13:V13,"N/A")&lt;&gt;0,"미확정","확정")</f>
        <v>확정</v>
      </c>
      <c r="W10" s="88" t="str">
        <f t="shared" ref="W10" si="420">IF(COUNTIF(V13:W13,"N/A")&lt;&gt;0,"미확정","확정")</f>
        <v>확정</v>
      </c>
      <c r="X10" s="88" t="str">
        <f t="shared" ref="X10" si="421">IF(COUNTIF(W13:X13,"N/A")&lt;&gt;0,"미확정","확정")</f>
        <v>확정</v>
      </c>
      <c r="Y10" s="88" t="str">
        <f t="shared" ref="Y10" si="422">IF(COUNTIF(X13:Y13,"N/A")&lt;&gt;0,"미확정","확정")</f>
        <v>확정</v>
      </c>
      <c r="Z10" s="88" t="str">
        <f t="shared" ref="Z10" si="423">IF(COUNTIF(Y13:Z13,"N/A")&lt;&gt;0,"미확정","확정")</f>
        <v>확정</v>
      </c>
      <c r="AA10" s="88" t="str">
        <f t="shared" ref="AA10" si="424">IF(COUNTIF(Z13:AA13,"N/A")&lt;&gt;0,"미확정","확정")</f>
        <v>확정</v>
      </c>
      <c r="AB10" s="88" t="str">
        <f t="shared" ref="AB10" si="425">IF(COUNTIF(AA13:AB13,"N/A")&lt;&gt;0,"미확정","확정")</f>
        <v>확정</v>
      </c>
      <c r="AC10" s="88" t="str">
        <f t="shared" ref="AC10" si="426">IF(COUNTIF(AB13:AC13,"N/A")&lt;&gt;0,"미확정","확정")</f>
        <v>확정</v>
      </c>
      <c r="AD10" s="88" t="str">
        <f t="shared" ref="AD10" si="427">IF(COUNTIF(AC13:AD13,"N/A")&lt;&gt;0,"미확정","확정")</f>
        <v>확정</v>
      </c>
      <c r="AE10" s="88" t="str">
        <f t="shared" ref="AE10" si="428">IF(COUNTIF(AD13:AE13,"N/A")&lt;&gt;0,"미확정","확정")</f>
        <v>확정</v>
      </c>
      <c r="AF10" s="88" t="str">
        <f t="shared" ref="AF10" si="429">IF(COUNTIF(AE13:AF13,"N/A")&lt;&gt;0,"미확정","확정")</f>
        <v>확정</v>
      </c>
      <c r="AG10" s="88" t="str">
        <f t="shared" ref="AG10" si="430">IF(COUNTIF(AF13:AG13,"N/A")&lt;&gt;0,"미확정","확정")</f>
        <v>확정</v>
      </c>
      <c r="AH10" s="88" t="str">
        <f t="shared" ref="AH10" si="431">IF(COUNTIF(AG13:AH13,"N/A")&lt;&gt;0,"미확정","확정")</f>
        <v>확정</v>
      </c>
      <c r="AI10" s="88" t="str">
        <f t="shared" ref="AI10" si="432">IF(COUNTIF(AH13:AI13,"N/A")&lt;&gt;0,"미확정","확정")</f>
        <v>확정</v>
      </c>
      <c r="AJ10" s="88" t="str">
        <f t="shared" ref="AJ10" si="433">IF(COUNTIF(AI13:AJ13,"N/A")&lt;&gt;0,"미확정","확정")</f>
        <v>확정</v>
      </c>
      <c r="AK10" s="88" t="str">
        <f t="shared" ref="AK10" si="434">IF(COUNTIF(AJ13:AK13,"N/A")&lt;&gt;0,"미확정","확정")</f>
        <v>확정</v>
      </c>
      <c r="AL10" s="88" t="str">
        <f t="shared" ref="AL10" si="435">IF(COUNTIF(AK13:AL13,"N/A")&lt;&gt;0,"미확정","확정")</f>
        <v>확정</v>
      </c>
      <c r="AM10" s="88" t="str">
        <f t="shared" ref="AM10" si="436">IF(COUNTIF(AL13:AM13,"N/A")&lt;&gt;0,"미확정","확정")</f>
        <v>확정</v>
      </c>
      <c r="AN10" s="88" t="str">
        <f t="shared" ref="AN10" si="437">IF(COUNTIF(AM13:AN13,"N/A")&lt;&gt;0,"미확정","확정")</f>
        <v>확정</v>
      </c>
      <c r="AO10" s="88" t="str">
        <f t="shared" ref="AO10" si="438">IF(COUNTIF(AN13:AO13,"N/A")&lt;&gt;0,"미확정","확정")</f>
        <v>확정</v>
      </c>
      <c r="AP10" s="88" t="str">
        <f t="shared" ref="AP10" si="439">IF(COUNTIF(AO13:AP13,"N/A")&lt;&gt;0,"미확정","확정")</f>
        <v>확정</v>
      </c>
      <c r="AQ10" s="88" t="str">
        <f t="shared" ref="AQ10" si="440">IF(COUNTIF(AP13:AQ13,"N/A")&lt;&gt;0,"미확정","확정")</f>
        <v>확정</v>
      </c>
      <c r="AR10" s="88" t="str">
        <f t="shared" ref="AR10" si="441">IF(COUNTIF(AQ13:AR13,"N/A")&lt;&gt;0,"미확정","확정")</f>
        <v>확정</v>
      </c>
      <c r="AS10" s="88" t="str">
        <f t="shared" ref="AS10" si="442">IF(COUNTIF(AR13:AS13,"N/A")&lt;&gt;0,"미확정","확정")</f>
        <v>확정</v>
      </c>
      <c r="AT10" s="88" t="str">
        <f t="shared" ref="AT10" si="443">IF(COUNTIF(AS13:AT13,"N/A")&lt;&gt;0,"미확정","확정")</f>
        <v>확정</v>
      </c>
      <c r="AU10" s="88" t="str">
        <f t="shared" ref="AU10" si="444">IF(COUNTIF(AT13:AU13,"N/A")&lt;&gt;0,"미확정","확정")</f>
        <v>확정</v>
      </c>
      <c r="AV10" s="88" t="str">
        <f t="shared" ref="AV10" si="445">IF(COUNTIF(AU13:AV13,"N/A")&lt;&gt;0,"미확정","확정")</f>
        <v>확정</v>
      </c>
      <c r="AW10" s="88" t="str">
        <f t="shared" ref="AW10" si="446">IF(COUNTIF(AV13:AW13,"N/A")&lt;&gt;0,"미확정","확정")</f>
        <v>확정</v>
      </c>
      <c r="AX10" s="88" t="str">
        <f t="shared" ref="AX10" si="447">IF(COUNTIF(AW13:AX13,"N/A")&lt;&gt;0,"미확정","확정")</f>
        <v>확정</v>
      </c>
      <c r="AY10" s="88" t="str">
        <f t="shared" ref="AY10" si="448">IF(COUNTIF(AX13:AY13,"N/A")&lt;&gt;0,"미확정","확정")</f>
        <v>확정</v>
      </c>
      <c r="AZ10" s="88" t="str">
        <f t="shared" ref="AZ10" si="449">IF(COUNTIF(AY13:AZ13,"N/A")&lt;&gt;0,"미확정","확정")</f>
        <v>확정</v>
      </c>
      <c r="BA10" s="88" t="str">
        <f t="shared" ref="BA10" si="450">IF(COUNTIF(AZ13:BA13,"N/A")&lt;&gt;0,"미확정","확정")</f>
        <v>확정</v>
      </c>
      <c r="BB10" s="88" t="str">
        <f t="shared" ref="BB10" si="451">IF(COUNTIF(BA13:BB13,"N/A")&lt;&gt;0,"미확정","확정")</f>
        <v>확정</v>
      </c>
      <c r="BC10" s="88" t="str">
        <f t="shared" ref="BC10" si="452">IF(COUNTIF(BB13:BC13,"N/A")&lt;&gt;0,"미확정","확정")</f>
        <v>확정</v>
      </c>
      <c r="BD10" s="88" t="str">
        <f t="shared" ref="BD10" si="453">IF(COUNTIF(BC13:BD13,"N/A")&lt;&gt;0,"미확정","확정")</f>
        <v>확정</v>
      </c>
      <c r="BE10" s="88" t="str">
        <f t="shared" ref="BE10" si="454">IF(COUNTIF(BD13:BE13,"N/A")&lt;&gt;0,"미확정","확정")</f>
        <v>확정</v>
      </c>
      <c r="BF10" s="88" t="str">
        <f t="shared" ref="BF10" si="455">IF(COUNTIF(BE13:BF13,"N/A")&lt;&gt;0,"미확정","확정")</f>
        <v>확정</v>
      </c>
      <c r="BG10" s="88" t="str">
        <f t="shared" ref="BG10" si="456">IF(COUNTIF(BF13:BG13,"N/A")&lt;&gt;0,"미확정","확정")</f>
        <v>확정</v>
      </c>
      <c r="BH10" s="88" t="str">
        <f t="shared" ref="BH10" si="457">IF(COUNTIF(BG13:BH13,"N/A")&lt;&gt;0,"미확정","확정")</f>
        <v>확정</v>
      </c>
      <c r="BI10" s="88" t="str">
        <f t="shared" ref="BI10" si="458">IF(COUNTIF(BH13:BI13,"N/A")&lt;&gt;0,"미확정","확정")</f>
        <v>확정</v>
      </c>
      <c r="BJ10" s="88" t="str">
        <f t="shared" ref="BJ10" si="459">IF(COUNTIF(BI13:BJ13,"N/A")&lt;&gt;0,"미확정","확정")</f>
        <v>확정</v>
      </c>
      <c r="BK10" s="88" t="str">
        <f t="shared" ref="BK10" si="460">IF(COUNTIF(BJ13:BK13,"N/A")&lt;&gt;0,"미확정","확정")</f>
        <v>확정</v>
      </c>
      <c r="BL10" s="88" t="str">
        <f t="shared" ref="BL10" si="461">IF(COUNTIF(BK13:BL13,"N/A")&lt;&gt;0,"미확정","확정")</f>
        <v>확정</v>
      </c>
      <c r="BM10" s="88" t="str">
        <f t="shared" ref="BM10" si="462">IF(COUNTIF(BL13:BM13,"N/A")&lt;&gt;0,"미확정","확정")</f>
        <v>확정</v>
      </c>
      <c r="BN10" s="88" t="str">
        <f t="shared" ref="BN10" si="463">IF(COUNTIF(BM13:BN13,"N/A")&lt;&gt;0,"미확정","확정")</f>
        <v>확정</v>
      </c>
      <c r="BO10" s="88" t="str">
        <f t="shared" ref="BO10" si="464">IF(COUNTIF(BN13:BO13,"N/A")&lt;&gt;0,"미확정","확정")</f>
        <v>확정</v>
      </c>
      <c r="BP10" s="88" t="str">
        <f t="shared" ref="BP10" si="465">IF(COUNTIF(BO13:BP13,"N/A")&lt;&gt;0,"미확정","확정")</f>
        <v>확정</v>
      </c>
      <c r="BQ10" s="88" t="str">
        <f t="shared" ref="BQ10" si="466">IF(COUNTIF(BP13:BQ13,"N/A")&lt;&gt;0,"미확정","확정")</f>
        <v>확정</v>
      </c>
      <c r="BR10" s="88" t="str">
        <f t="shared" ref="BR10" si="467">IF(COUNTIF(BQ13:BR13,"N/A")&lt;&gt;0,"미확정","확정")</f>
        <v>확정</v>
      </c>
      <c r="BS10" s="88" t="str">
        <f t="shared" ref="BS10" si="468">IF(COUNTIF(BR13:BS13,"N/A")&lt;&gt;0,"미확정","확정")</f>
        <v>확정</v>
      </c>
      <c r="BT10" s="88" t="str">
        <f t="shared" ref="BT10" si="469">IF(COUNTIF(BS13:BT13,"N/A")&lt;&gt;0,"미확정","확정")</f>
        <v>확정</v>
      </c>
      <c r="BU10" s="88" t="str">
        <f t="shared" ref="BU10" si="470">IF(COUNTIF(BT13:BU13,"N/A")&lt;&gt;0,"미확정","확정")</f>
        <v>확정</v>
      </c>
      <c r="BV10" s="88" t="str">
        <f t="shared" ref="BV10" si="471">IF(COUNTIF(BU13:BV13,"N/A")&lt;&gt;0,"미확정","확정")</f>
        <v>확정</v>
      </c>
      <c r="BW10" s="88" t="str">
        <f t="shared" ref="BW10" si="472">IF(COUNTIF(BV13:BW13,"N/A")&lt;&gt;0,"미확정","확정")</f>
        <v>확정</v>
      </c>
      <c r="BX10" s="88" t="str">
        <f t="shared" ref="BX10" si="473">IF(COUNTIF(BW13:BX13,"N/A")&lt;&gt;0,"미확정","확정")</f>
        <v>확정</v>
      </c>
      <c r="BY10" s="88" t="str">
        <f t="shared" ref="BY10" si="474">IF(COUNTIF(BX13:BY13,"N/A")&lt;&gt;0,"미확정","확정")</f>
        <v>확정</v>
      </c>
      <c r="BZ10" s="88" t="str">
        <f t="shared" ref="BZ10" si="475">IF(COUNTIF(BY13:BZ13,"N/A")&lt;&gt;0,"미확정","확정")</f>
        <v>확정</v>
      </c>
      <c r="CA10" s="88" t="str">
        <f t="shared" ref="CA10" si="476">IF(COUNTIF(BZ13:CA13,"N/A")&lt;&gt;0,"미확정","확정")</f>
        <v>확정</v>
      </c>
      <c r="CB10" s="88" t="str">
        <f t="shared" ref="CB10" si="477">IF(COUNTIF(CA13:CB13,"N/A")&lt;&gt;0,"미확정","확정")</f>
        <v>확정</v>
      </c>
      <c r="CC10" s="88" t="str">
        <f t="shared" ref="CC10" si="478">IF(COUNTIF(CB13:CC13,"N/A")&lt;&gt;0,"미확정","확정")</f>
        <v>확정</v>
      </c>
      <c r="CD10" s="88" t="str">
        <f t="shared" ref="CD10" si="479">IF(COUNTIF(CC13:CD13,"N/A")&lt;&gt;0,"미확정","확정")</f>
        <v>확정</v>
      </c>
      <c r="CE10" s="88" t="str">
        <f t="shared" ref="CE10" si="480">IF(COUNTIF(CD13:CE13,"N/A")&lt;&gt;0,"미확정","확정")</f>
        <v>확정</v>
      </c>
      <c r="CF10" s="88" t="str">
        <f t="shared" ref="CF10" si="481">IF(COUNTIF(CE13:CF13,"N/A")&lt;&gt;0,"미확정","확정")</f>
        <v>확정</v>
      </c>
      <c r="CG10" s="88" t="str">
        <f t="shared" ref="CG10" si="482">IF(COUNTIF(CF13:CG13,"N/A")&lt;&gt;0,"미확정","확정")</f>
        <v>확정</v>
      </c>
      <c r="CH10" s="88" t="str">
        <f t="shared" ref="CH10" si="483">IF(COUNTIF(CG13:CH13,"N/A")&lt;&gt;0,"미확정","확정")</f>
        <v>확정</v>
      </c>
      <c r="CI10" s="88" t="str">
        <f t="shared" ref="CI10" si="484">IF(COUNTIF(CH13:CI13,"N/A")&lt;&gt;0,"미확정","확정")</f>
        <v>확정</v>
      </c>
      <c r="CJ10" s="88" t="str">
        <f t="shared" ref="CJ10" si="485">IF(COUNTIF(CI13:CJ13,"N/A")&lt;&gt;0,"미확정","확정")</f>
        <v>확정</v>
      </c>
      <c r="CK10" s="88" t="str">
        <f t="shared" ref="CK10" si="486">IF(COUNTIF(CJ13:CK13,"N/A")&lt;&gt;0,"미확정","확정")</f>
        <v>확정</v>
      </c>
      <c r="CL10" s="88" t="str">
        <f t="shared" ref="CL10" si="487">IF(COUNTIF(CK13:CL13,"N/A")&lt;&gt;0,"미확정","확정")</f>
        <v>확정</v>
      </c>
      <c r="CM10" s="88" t="str">
        <f t="shared" ref="CM10" si="488">IF(COUNTIF(CL13:CM13,"N/A")&lt;&gt;0,"미확정","확정")</f>
        <v>확정</v>
      </c>
      <c r="CN10" s="88" t="str">
        <f t="shared" ref="CN10" si="489">IF(COUNTIF(CM13:CN13,"N/A")&lt;&gt;0,"미확정","확정")</f>
        <v>확정</v>
      </c>
      <c r="CO10" s="88" t="str">
        <f t="shared" ref="CO10" si="490">IF(COUNTIF(CN13:CO13,"N/A")&lt;&gt;0,"미확정","확정")</f>
        <v>확정</v>
      </c>
      <c r="CP10" s="88" t="str">
        <f t="shared" ref="CP10" si="491">IF(COUNTIF(CO13:CP13,"N/A")&lt;&gt;0,"미확정","확정")</f>
        <v>확정</v>
      </c>
      <c r="CQ10" s="88" t="str">
        <f t="shared" ref="CQ10" si="492">IF(COUNTIF(CP13:CQ13,"N/A")&lt;&gt;0,"미확정","확정")</f>
        <v>확정</v>
      </c>
      <c r="CR10" s="88" t="str">
        <f t="shared" ref="CR10" si="493">IF(COUNTIF(CQ13:CR13,"N/A")&lt;&gt;0,"미확정","확정")</f>
        <v>확정</v>
      </c>
      <c r="CS10" s="88" t="str">
        <f t="shared" ref="CS10" si="494">IF(COUNTIF(CR13:CS13,"N/A")&lt;&gt;0,"미확정","확정")</f>
        <v>확정</v>
      </c>
      <c r="CT10" s="88" t="str">
        <f t="shared" ref="CT10" si="495">IF(COUNTIF(CS13:CT13,"N/A")&lt;&gt;0,"미확정","확정")</f>
        <v>확정</v>
      </c>
      <c r="CU10" s="88" t="str">
        <f t="shared" ref="CU10" si="496">IF(COUNTIF(CT13:CU13,"N/A")&lt;&gt;0,"미확정","확정")</f>
        <v>확정</v>
      </c>
      <c r="CV10" s="88" t="str">
        <f t="shared" ref="CV10" si="497">IF(COUNTIF(CU13:CV13,"N/A")&lt;&gt;0,"미확정","확정")</f>
        <v>확정</v>
      </c>
      <c r="CW10" s="88" t="str">
        <f t="shared" ref="CW10" si="498">IF(COUNTIF(CV13:CW13,"N/A")&lt;&gt;0,"미확정","확정")</f>
        <v>확정</v>
      </c>
      <c r="CX10" s="88" t="str">
        <f t="shared" ref="CX10" si="499">IF(COUNTIF(CW13:CX13,"N/A")&lt;&gt;0,"미확정","확정")</f>
        <v>확정</v>
      </c>
      <c r="CY10" s="88" t="str">
        <f t="shared" ref="CY10" si="500">IF(COUNTIF(CX13:CY13,"N/A")&lt;&gt;0,"미확정","확정")</f>
        <v>확정</v>
      </c>
      <c r="CZ10" s="88" t="str">
        <f t="shared" ref="CZ10" si="501">IF(COUNTIF(CY13:CZ13,"N/A")&lt;&gt;0,"미확정","확정")</f>
        <v>확정</v>
      </c>
      <c r="DA10" s="88" t="str">
        <f t="shared" ref="DA10" si="502">IF(COUNTIF(CZ13:DA13,"N/A")&lt;&gt;0,"미확정","확정")</f>
        <v>확정</v>
      </c>
      <c r="DB10" s="88" t="str">
        <f t="shared" ref="DB10" si="503">IF(COUNTIF(DA13:DB13,"N/A")&lt;&gt;0,"미확정","확정")</f>
        <v>확정</v>
      </c>
      <c r="DC10" s="88" t="str">
        <f t="shared" ref="DC10" si="504">IF(COUNTIF(DB13:DC13,"N/A")&lt;&gt;0,"미확정","확정")</f>
        <v>확정</v>
      </c>
      <c r="DD10" s="88" t="str">
        <f t="shared" ref="DD10" si="505">IF(COUNTIF(DC13:DD13,"N/A")&lt;&gt;0,"미확정","확정")</f>
        <v>확정</v>
      </c>
      <c r="DE10" s="88" t="str">
        <f t="shared" ref="DE10" si="506">IF(COUNTIF(DD13:DE13,"N/A")&lt;&gt;0,"미확정","확정")</f>
        <v>확정</v>
      </c>
      <c r="DF10" s="88" t="str">
        <f t="shared" ref="DF10" si="507">IF(COUNTIF(DE13:DF13,"N/A")&lt;&gt;0,"미확정","확정")</f>
        <v>확정</v>
      </c>
      <c r="DG10" s="88" t="str">
        <f t="shared" ref="DG10" si="508">IF(COUNTIF(DF13:DG13,"N/A")&lt;&gt;0,"미확정","확정")</f>
        <v>확정</v>
      </c>
      <c r="DH10" s="88" t="str">
        <f t="shared" ref="DH10" si="509">IF(COUNTIF(DG13:DH13,"N/A")&lt;&gt;0,"미확정","확정")</f>
        <v>확정</v>
      </c>
      <c r="DI10" s="88" t="str">
        <f t="shared" ref="DI10" si="510">IF(COUNTIF(DH13:DI13,"N/A")&lt;&gt;0,"미확정","확정")</f>
        <v>확정</v>
      </c>
      <c r="DJ10" s="88" t="str">
        <f t="shared" ref="DJ10" si="511">IF(COUNTIF(DI13:DJ13,"N/A")&lt;&gt;0,"미확정","확정")</f>
        <v>확정</v>
      </c>
      <c r="DK10" s="88" t="str">
        <f t="shared" ref="DK10" si="512">IF(COUNTIF(DJ13:DK13,"N/A")&lt;&gt;0,"미확정","확정")</f>
        <v>확정</v>
      </c>
      <c r="DL10" s="88" t="str">
        <f t="shared" ref="DL10" si="513">IF(COUNTIF(DK13:DL13,"N/A")&lt;&gt;0,"미확정","확정")</f>
        <v>확정</v>
      </c>
      <c r="DM10" s="88" t="str">
        <f t="shared" ref="DM10" si="514">IF(COUNTIF(DL13:DM13,"N/A")&lt;&gt;0,"미확정","확정")</f>
        <v>확정</v>
      </c>
      <c r="DN10" s="88" t="str">
        <f t="shared" ref="DN10" si="515">IF(COUNTIF(DM13:DN13,"N/A")&lt;&gt;0,"미확정","확정")</f>
        <v>확정</v>
      </c>
      <c r="DO10" s="88" t="str">
        <f t="shared" ref="DO10" si="516">IF(COUNTIF(DN13:DO13,"N/A")&lt;&gt;0,"미확정","확정")</f>
        <v>확정</v>
      </c>
      <c r="DP10" s="88" t="str">
        <f t="shared" ref="DP10" si="517">IF(COUNTIF(DO13:DP13,"N/A")&lt;&gt;0,"미확정","확정")</f>
        <v>확정</v>
      </c>
      <c r="DQ10" s="88" t="str">
        <f t="shared" ref="DQ10" si="518">IF(COUNTIF(DP13:DQ13,"N/A")&lt;&gt;0,"미확정","확정")</f>
        <v>확정</v>
      </c>
      <c r="DR10" s="88" t="str">
        <f t="shared" ref="DR10" si="519">IF(COUNTIF(DQ13:DR13,"N/A")&lt;&gt;0,"미확정","확정")</f>
        <v>확정</v>
      </c>
      <c r="DS10" s="88" t="str">
        <f t="shared" ref="DS10" si="520">IF(COUNTIF(DR13:DS13,"N/A")&lt;&gt;0,"미확정","확정")</f>
        <v>확정</v>
      </c>
      <c r="DT10" s="88" t="str">
        <f t="shared" ref="DT10" si="521">IF(COUNTIF(DS13:DT13,"N/A")&lt;&gt;0,"미확정","확정")</f>
        <v>확정</v>
      </c>
      <c r="DU10" s="88" t="str">
        <f t="shared" ref="DU10" si="522">IF(COUNTIF(DT13:DU13,"N/A")&lt;&gt;0,"미확정","확정")</f>
        <v>확정</v>
      </c>
      <c r="DV10" s="88" t="str">
        <f t="shared" ref="DV10" si="523">IF(COUNTIF(DU13:DV13,"N/A")&lt;&gt;0,"미확정","확정")</f>
        <v>확정</v>
      </c>
      <c r="DW10" s="88" t="str">
        <f t="shared" ref="DW10" si="524">IF(COUNTIF(DV13:DW13,"N/A")&lt;&gt;0,"미확정","확정")</f>
        <v>확정</v>
      </c>
      <c r="DX10" s="88" t="str">
        <f t="shared" ref="DX10" si="525">IF(COUNTIF(DW13:DX13,"N/A")&lt;&gt;0,"미확정","확정")</f>
        <v>확정</v>
      </c>
      <c r="DY10" s="88" t="str">
        <f t="shared" ref="DY10" si="526">IF(COUNTIF(DX13:DY13,"N/A")&lt;&gt;0,"미확정","확정")</f>
        <v>확정</v>
      </c>
      <c r="DZ10" s="88" t="str">
        <f t="shared" ref="DZ10" si="527">IF(COUNTIF(DY13:DZ13,"N/A")&lt;&gt;0,"미확정","확정")</f>
        <v>확정</v>
      </c>
      <c r="EA10" s="88" t="str">
        <f t="shared" ref="EA10" si="528">IF(COUNTIF(DZ13:EA13,"N/A")&lt;&gt;0,"미확정","확정")</f>
        <v>확정</v>
      </c>
      <c r="EB10" s="88" t="str">
        <f t="shared" ref="EB10" si="529">IF(COUNTIF(EA13:EB13,"N/A")&lt;&gt;0,"미확정","확정")</f>
        <v>확정</v>
      </c>
      <c r="EC10" s="88" t="str">
        <f t="shared" ref="EC10" si="530">IF(COUNTIF(EB13:EC13,"N/A")&lt;&gt;0,"미확정","확정")</f>
        <v>확정</v>
      </c>
      <c r="ED10" s="88" t="str">
        <f t="shared" ref="ED10" si="531">IF(COUNTIF(EC13:ED13,"N/A")&lt;&gt;0,"미확정","확정")</f>
        <v>확정</v>
      </c>
      <c r="EE10" s="88" t="str">
        <f t="shared" ref="EE10" si="532">IF(COUNTIF(ED13:EE13,"N/A")&lt;&gt;0,"미확정","확정")</f>
        <v>확정</v>
      </c>
      <c r="EF10" s="88" t="str">
        <f t="shared" ref="EF10" si="533">IF(COUNTIF(EE13:EF13,"N/A")&lt;&gt;0,"미확정","확정")</f>
        <v>확정</v>
      </c>
      <c r="EG10" s="88" t="str">
        <f t="shared" ref="EG10" si="534">IF(COUNTIF(EF13:EG13,"N/A")&lt;&gt;0,"미확정","확정")</f>
        <v>확정</v>
      </c>
      <c r="EH10" s="88" t="str">
        <f t="shared" ref="EH10" si="535">IF(COUNTIF(EG13:EH13,"N/A")&lt;&gt;0,"미확정","확정")</f>
        <v>확정</v>
      </c>
      <c r="EI10" s="88" t="str">
        <f t="shared" ref="EI10" si="536">IF(COUNTIF(EH13:EI13,"N/A")&lt;&gt;0,"미확정","확정")</f>
        <v>확정</v>
      </c>
      <c r="EJ10" s="88" t="str">
        <f t="shared" ref="EJ10" si="537">IF(COUNTIF(EI13:EJ13,"N/A")&lt;&gt;0,"미확정","확정")</f>
        <v>확정</v>
      </c>
      <c r="EK10" s="88" t="str">
        <f t="shared" ref="EK10" si="538">IF(COUNTIF(EJ13:EK13,"N/A")&lt;&gt;0,"미확정","확정")</f>
        <v>확정</v>
      </c>
      <c r="EL10" s="88" t="str">
        <f t="shared" ref="EL10" si="539">IF(COUNTIF(EK13:EL13,"N/A")&lt;&gt;0,"미확정","확정")</f>
        <v>확정</v>
      </c>
      <c r="EM10" s="88" t="str">
        <f t="shared" ref="EM10" si="540">IF(COUNTIF(EL13:EM13,"N/A")&lt;&gt;0,"미확정","확정")</f>
        <v>확정</v>
      </c>
      <c r="EN10" s="88" t="str">
        <f t="shared" ref="EN10" si="541">IF(COUNTIF(EM13:EN13,"N/A")&lt;&gt;0,"미확정","확정")</f>
        <v>확정</v>
      </c>
      <c r="EO10" s="88" t="str">
        <f t="shared" ref="EO10" si="542">IF(COUNTIF(EN13:EO13,"N/A")&lt;&gt;0,"미확정","확정")</f>
        <v>확정</v>
      </c>
      <c r="EP10" s="88" t="str">
        <f t="shared" ref="EP10" si="543">IF(COUNTIF(EO13:EP13,"N/A")&lt;&gt;0,"미확정","확정")</f>
        <v>확정</v>
      </c>
      <c r="EQ10" s="88" t="str">
        <f t="shared" ref="EQ10" si="544">IF(COUNTIF(EP13:EQ13,"N/A")&lt;&gt;0,"미확정","확정")</f>
        <v>확정</v>
      </c>
      <c r="ER10" s="88" t="str">
        <f t="shared" ref="ER10" si="545">IF(COUNTIF(EQ13:ER13,"N/A")&lt;&gt;0,"미확정","확정")</f>
        <v>확정</v>
      </c>
      <c r="ES10" s="88" t="str">
        <f t="shared" ref="ES10" si="546">IF(COUNTIF(ER13:ES13,"N/A")&lt;&gt;0,"미확정","확정")</f>
        <v>확정</v>
      </c>
      <c r="ET10" s="88" t="str">
        <f t="shared" ref="ET10" si="547">IF(COUNTIF(ES13:ET13,"N/A")&lt;&gt;0,"미확정","확정")</f>
        <v>확정</v>
      </c>
      <c r="EU10" s="88" t="str">
        <f t="shared" ref="EU10" si="548">IF(COUNTIF(ET13:EU13,"N/A")&lt;&gt;0,"미확정","확정")</f>
        <v>확정</v>
      </c>
      <c r="EV10" s="88" t="str">
        <f t="shared" ref="EV10" si="549">IF(COUNTIF(EU13:EV13,"N/A")&lt;&gt;0,"미확정","확정")</f>
        <v>확정</v>
      </c>
      <c r="EW10" s="88" t="str">
        <f t="shared" ref="EW10" si="550">IF(COUNTIF(EV13:EW13,"N/A")&lt;&gt;0,"미확정","확정")</f>
        <v>확정</v>
      </c>
      <c r="EX10" s="88" t="str">
        <f t="shared" ref="EX10" si="551">IF(COUNTIF(EW13:EX13,"N/A")&lt;&gt;0,"미확정","확정")</f>
        <v>확정</v>
      </c>
      <c r="EY10" s="88" t="str">
        <f t="shared" ref="EY10" si="552">IF(COUNTIF(EX13:EY13,"N/A")&lt;&gt;0,"미확정","확정")</f>
        <v>확정</v>
      </c>
      <c r="EZ10" s="88" t="str">
        <f t="shared" ref="EZ10" si="553">IF(COUNTIF(EY13:EZ13,"N/A")&lt;&gt;0,"미확정","확정")</f>
        <v>확정</v>
      </c>
      <c r="FA10" s="88" t="str">
        <f t="shared" ref="FA10" si="554">IF(COUNTIF(EZ13:FA13,"N/A")&lt;&gt;0,"미확정","확정")</f>
        <v>확정</v>
      </c>
      <c r="FB10" s="88" t="str">
        <f t="shared" ref="FB10" si="555">IF(COUNTIF(FA13:FB13,"N/A")&lt;&gt;0,"미확정","확정")</f>
        <v>확정</v>
      </c>
      <c r="FC10" s="88" t="str">
        <f t="shared" ref="FC10" si="556">IF(COUNTIF(FB13:FC13,"N/A")&lt;&gt;0,"미확정","확정")</f>
        <v>확정</v>
      </c>
      <c r="FD10" s="88" t="str">
        <f t="shared" ref="FD10" si="557">IF(COUNTIF(FC13:FD13,"N/A")&lt;&gt;0,"미확정","확정")</f>
        <v>확정</v>
      </c>
      <c r="FE10" s="88" t="str">
        <f t="shared" ref="FE10" si="558">IF(COUNTIF(FD13:FE13,"N/A")&lt;&gt;0,"미확정","확정")</f>
        <v>확정</v>
      </c>
      <c r="FF10" s="88" t="str">
        <f t="shared" ref="FF10" si="559">IF(COUNTIF(FE13:FF13,"N/A")&lt;&gt;0,"미확정","확정")</f>
        <v>확정</v>
      </c>
      <c r="FG10" s="88" t="str">
        <f t="shared" ref="FG10" si="560">IF(COUNTIF(FF13:FG13,"N/A")&lt;&gt;0,"미확정","확정")</f>
        <v>확정</v>
      </c>
      <c r="FH10" s="88" t="str">
        <f t="shared" ref="FH10" si="561">IF(COUNTIF(FG13:FH13,"N/A")&lt;&gt;0,"미확정","확정")</f>
        <v>확정</v>
      </c>
      <c r="FI10" s="88" t="str">
        <f t="shared" ref="FI10" si="562">IF(COUNTIF(FH13:FI13,"N/A")&lt;&gt;0,"미확정","확정")</f>
        <v>확정</v>
      </c>
      <c r="FJ10" s="88" t="str">
        <f t="shared" ref="FJ10" si="563">IF(COUNTIF(FI13:FJ13,"N/A")&lt;&gt;0,"미확정","확정")</f>
        <v>확정</v>
      </c>
      <c r="FK10" s="88" t="str">
        <f t="shared" ref="FK10" si="564">IF(COUNTIF(FJ13:FK13,"N/A")&lt;&gt;0,"미확정","확정")</f>
        <v>확정</v>
      </c>
      <c r="FL10" s="88" t="str">
        <f t="shared" ref="FL10" si="565">IF(COUNTIF(FK13:FL13,"N/A")&lt;&gt;0,"미확정","확정")</f>
        <v>확정</v>
      </c>
      <c r="FM10" s="88" t="str">
        <f t="shared" ref="FM10" si="566">IF(COUNTIF(FL13:FM13,"N/A")&lt;&gt;0,"미확정","확정")</f>
        <v>확정</v>
      </c>
      <c r="FN10" s="88" t="str">
        <f t="shared" ref="FN10" si="567">IF(COUNTIF(FM13:FN13,"N/A")&lt;&gt;0,"미확정","확정")</f>
        <v>확정</v>
      </c>
      <c r="FO10" s="88" t="str">
        <f t="shared" ref="FO10" si="568">IF(COUNTIF(FN13:FO13,"N/A")&lt;&gt;0,"미확정","확정")</f>
        <v>확정</v>
      </c>
      <c r="FP10" s="88" t="str">
        <f t="shared" ref="FP10" si="569">IF(COUNTIF(FO13:FP13,"N/A")&lt;&gt;0,"미확정","확정")</f>
        <v>확정</v>
      </c>
      <c r="FQ10" s="88" t="str">
        <f t="shared" ref="FQ10" si="570">IF(COUNTIF(FP13:FQ13,"N/A")&lt;&gt;0,"미확정","확정")</f>
        <v>확정</v>
      </c>
      <c r="FR10" s="88" t="str">
        <f t="shared" ref="FR10" si="571">IF(COUNTIF(FQ13:FR13,"N/A")&lt;&gt;0,"미확정","확정")</f>
        <v>확정</v>
      </c>
      <c r="FS10" s="88" t="str">
        <f t="shared" ref="FS10" si="572">IF(COUNTIF(FR13:FS13,"N/A")&lt;&gt;0,"미확정","확정")</f>
        <v>확정</v>
      </c>
      <c r="FT10" s="88" t="str">
        <f t="shared" ref="FT10" si="573">IF(COUNTIF(FS13:FT13,"N/A")&lt;&gt;0,"미확정","확정")</f>
        <v>확정</v>
      </c>
      <c r="FU10" s="88" t="str">
        <f t="shared" ref="FU10" si="574">IF(COUNTIF(FT13:FU13,"N/A")&lt;&gt;0,"미확정","확정")</f>
        <v>확정</v>
      </c>
      <c r="FV10" s="88" t="str">
        <f t="shared" ref="FV10" si="575">IF(COUNTIF(FU13:FV13,"N/A")&lt;&gt;0,"미확정","확정")</f>
        <v>확정</v>
      </c>
      <c r="FW10" s="88" t="str">
        <f t="shared" ref="FW10" si="576">IF(COUNTIF(FV13:FW13,"N/A")&lt;&gt;0,"미확정","확정")</f>
        <v>확정</v>
      </c>
      <c r="FX10" s="88" t="str">
        <f t="shared" ref="FX10" si="577">IF(COUNTIF(FW13:FX13,"N/A")&lt;&gt;0,"미확정","확정")</f>
        <v>확정</v>
      </c>
      <c r="FY10" s="88" t="str">
        <f t="shared" ref="FY10" si="578">IF(COUNTIF(FX13:FY13,"N/A")&lt;&gt;0,"미확정","확정")</f>
        <v>확정</v>
      </c>
      <c r="FZ10" s="88" t="str">
        <f t="shared" ref="FZ10" si="579">IF(COUNTIF(FY13:FZ13,"N/A")&lt;&gt;0,"미확정","확정")</f>
        <v>확정</v>
      </c>
      <c r="GA10" s="88" t="str">
        <f t="shared" ref="GA10" si="580">IF(COUNTIF(FZ13:GA13,"N/A")&lt;&gt;0,"미확정","확정")</f>
        <v>확정</v>
      </c>
      <c r="GB10" s="88" t="str">
        <f t="shared" ref="GB10" si="581">IF(COUNTIF(GA13:GB13,"N/A")&lt;&gt;0,"미확정","확정")</f>
        <v>확정</v>
      </c>
      <c r="GC10" s="88" t="str">
        <f t="shared" ref="GC10" si="582">IF(COUNTIF(GB13:GC13,"N/A")&lt;&gt;0,"미확정","확정")</f>
        <v>확정</v>
      </c>
      <c r="GD10" s="88" t="str">
        <f t="shared" ref="GD10" si="583">IF(COUNTIF(GC13:GD13,"N/A")&lt;&gt;0,"미확정","확정")</f>
        <v>확정</v>
      </c>
      <c r="GE10" s="88" t="str">
        <f t="shared" ref="GE10" si="584">IF(COUNTIF(GD13:GE13,"N/A")&lt;&gt;0,"미확정","확정")</f>
        <v>확정</v>
      </c>
      <c r="GF10" s="88" t="str">
        <f t="shared" ref="GF10" si="585">IF(COUNTIF(GE13:GF13,"N/A")&lt;&gt;0,"미확정","확정")</f>
        <v>확정</v>
      </c>
      <c r="GG10" s="88" t="str">
        <f t="shared" ref="GG10" si="586">IF(COUNTIF(GF13:GG13,"N/A")&lt;&gt;0,"미확정","확정")</f>
        <v>확정</v>
      </c>
      <c r="GH10" s="88" t="str">
        <f t="shared" ref="GH10" si="587">IF(COUNTIF(GG13:GH13,"N/A")&lt;&gt;0,"미확정","확정")</f>
        <v>확정</v>
      </c>
      <c r="GI10" s="88" t="str">
        <f t="shared" ref="GI10" si="588">IF(COUNTIF(GH13:GI13,"N/A")&lt;&gt;0,"미확정","확정")</f>
        <v>확정</v>
      </c>
      <c r="GJ10" s="88" t="str">
        <f t="shared" ref="GJ10" si="589">IF(COUNTIF(GI13:GJ13,"N/A")&lt;&gt;0,"미확정","확정")</f>
        <v>확정</v>
      </c>
      <c r="GK10" s="88" t="str">
        <f t="shared" ref="GK10" si="590">IF(COUNTIF(GJ13:GK13,"N/A")&lt;&gt;0,"미확정","확정")</f>
        <v>확정</v>
      </c>
      <c r="GL10" s="88" t="str">
        <f t="shared" ref="GL10" si="591">IF(COUNTIF(GK13:GL13,"N/A")&lt;&gt;0,"미확정","확정")</f>
        <v>확정</v>
      </c>
      <c r="GM10" s="88" t="str">
        <f t="shared" ref="GM10" si="592">IF(COUNTIF(GL13:GM13,"N/A")&lt;&gt;0,"미확정","확정")</f>
        <v>확정</v>
      </c>
      <c r="GN10" s="88" t="str">
        <f t="shared" ref="GN10" si="593">IF(COUNTIF(GM13:GN13,"N/A")&lt;&gt;0,"미확정","확정")</f>
        <v>확정</v>
      </c>
      <c r="GO10" s="88" t="str">
        <f t="shared" ref="GO10" si="594">IF(COUNTIF(GN13:GO13,"N/A")&lt;&gt;0,"미확정","확정")</f>
        <v>확정</v>
      </c>
      <c r="GP10" s="88" t="str">
        <f t="shared" ref="GP10" si="595">IF(COUNTIF(GO13:GP13,"N/A")&lt;&gt;0,"미확정","확정")</f>
        <v>확정</v>
      </c>
      <c r="GQ10" s="88" t="str">
        <f t="shared" ref="GQ10" si="596">IF(COUNTIF(GP13:GQ13,"N/A")&lt;&gt;0,"미확정","확정")</f>
        <v>확정</v>
      </c>
      <c r="GR10" s="88" t="str">
        <f t="shared" ref="GR10" si="597">IF(COUNTIF(GQ13:GR13,"N/A")&lt;&gt;0,"미확정","확정")</f>
        <v>확정</v>
      </c>
      <c r="GS10" s="88" t="str">
        <f t="shared" ref="GS10" si="598">IF(COUNTIF(GR13:GS13,"N/A")&lt;&gt;0,"미확정","확정")</f>
        <v>확정</v>
      </c>
      <c r="GT10" s="88" t="str">
        <f t="shared" ref="GT10" si="599">IF(COUNTIF(GS13:GT13,"N/A")&lt;&gt;0,"미확정","확정")</f>
        <v>확정</v>
      </c>
      <c r="GU10" s="88" t="str">
        <f t="shared" ref="GU10" si="600">IF(COUNTIF(GT13:GU13,"N/A")&lt;&gt;0,"미확정","확정")</f>
        <v>확정</v>
      </c>
      <c r="GV10" s="88" t="str">
        <f t="shared" ref="GV10" si="601">IF(COUNTIF(GU13:GV13,"N/A")&lt;&gt;0,"미확정","확정")</f>
        <v>확정</v>
      </c>
      <c r="GW10" s="88" t="str">
        <f t="shared" ref="GW10" si="602">IF(COUNTIF(GV13:GW13,"N/A")&lt;&gt;0,"미확정","확정")</f>
        <v>확정</v>
      </c>
      <c r="GX10" s="88" t="str">
        <f t="shared" ref="GX10" si="603">IF(COUNTIF(GW13:GX13,"N/A")&lt;&gt;0,"미확정","확정")</f>
        <v>확정</v>
      </c>
      <c r="GY10" s="88" t="str">
        <f t="shared" ref="GY10" si="604">IF(COUNTIF(GX13:GY13,"N/A")&lt;&gt;0,"미확정","확정")</f>
        <v>확정</v>
      </c>
      <c r="GZ10" s="88" t="str">
        <f t="shared" ref="GZ10" si="605">IF(COUNTIF(GY13:GZ13,"N/A")&lt;&gt;0,"미확정","확정")</f>
        <v>확정</v>
      </c>
      <c r="HA10" s="88" t="str">
        <f t="shared" ref="HA10" si="606">IF(COUNTIF(GZ13:HA13,"N/A")&lt;&gt;0,"미확정","확정")</f>
        <v>확정</v>
      </c>
      <c r="HB10" s="88" t="str">
        <f t="shared" ref="HB10" si="607">IF(COUNTIF(HA13:HB13,"N/A")&lt;&gt;0,"미확정","확정")</f>
        <v>확정</v>
      </c>
      <c r="HC10" s="88" t="str">
        <f t="shared" ref="HC10" si="608">IF(COUNTIF(HB13:HC13,"N/A")&lt;&gt;0,"미확정","확정")</f>
        <v>확정</v>
      </c>
      <c r="HD10" s="88" t="str">
        <f t="shared" ref="HD10" si="609">IF(COUNTIF(HC13:HD13,"N/A")&lt;&gt;0,"미확정","확정")</f>
        <v>확정</v>
      </c>
      <c r="HE10" s="88" t="str">
        <f t="shared" ref="HE10" si="610">IF(COUNTIF(HD13:HE13,"N/A")&lt;&gt;0,"미확정","확정")</f>
        <v>확정</v>
      </c>
      <c r="HF10" s="88" t="str">
        <f t="shared" ref="HF10" si="611">IF(COUNTIF(HE13:HF13,"N/A")&lt;&gt;0,"미확정","확정")</f>
        <v>확정</v>
      </c>
      <c r="HG10" s="88" t="str">
        <f t="shared" ref="HG10" si="612">IF(COUNTIF(HF13:HG13,"N/A")&lt;&gt;0,"미확정","확정")</f>
        <v>확정</v>
      </c>
      <c r="HH10" s="88" t="str">
        <f t="shared" ref="HH10" si="613">IF(COUNTIF(HG13:HH13,"N/A")&lt;&gt;0,"미확정","확정")</f>
        <v>확정</v>
      </c>
      <c r="HI10" s="88" t="str">
        <f t="shared" ref="HI10" si="614">IF(COUNTIF(HH13:HI13,"N/A")&lt;&gt;0,"미확정","확정")</f>
        <v>확정</v>
      </c>
      <c r="HJ10" s="88" t="str">
        <f t="shared" ref="HJ10" si="615">IF(COUNTIF(HI13:HJ13,"N/A")&lt;&gt;0,"미확정","확정")</f>
        <v>확정</v>
      </c>
      <c r="HK10" s="88" t="str">
        <f t="shared" ref="HK10" si="616">IF(COUNTIF(HJ13:HK13,"N/A")&lt;&gt;0,"미확정","확정")</f>
        <v>확정</v>
      </c>
      <c r="HL10" s="88" t="str">
        <f t="shared" ref="HL10" si="617">IF(COUNTIF(HK13:HL13,"N/A")&lt;&gt;0,"미확정","확정")</f>
        <v>확정</v>
      </c>
      <c r="HM10" s="88" t="str">
        <f t="shared" ref="HM10" si="618">IF(COUNTIF(HL13:HM13,"N/A")&lt;&gt;0,"미확정","확정")</f>
        <v>확정</v>
      </c>
      <c r="HN10" s="88" t="str">
        <f t="shared" ref="HN10" si="619">IF(COUNTIF(HM13:HN13,"N/A")&lt;&gt;0,"미확정","확정")</f>
        <v>확정</v>
      </c>
      <c r="HO10" s="88" t="str">
        <f t="shared" ref="HO10" si="620">IF(COUNTIF(HN13:HO13,"N/A")&lt;&gt;0,"미확정","확정")</f>
        <v>확정</v>
      </c>
      <c r="HP10" s="88" t="str">
        <f t="shared" ref="HP10" si="621">IF(COUNTIF(HO13:HP13,"N/A")&lt;&gt;0,"미확정","확정")</f>
        <v>확정</v>
      </c>
      <c r="HQ10" s="88" t="str">
        <f t="shared" ref="HQ10" si="622">IF(COUNTIF(HP13:HQ13,"N/A")&lt;&gt;0,"미확정","확정")</f>
        <v>확정</v>
      </c>
      <c r="HR10" s="88" t="str">
        <f t="shared" ref="HR10" si="623">IF(COUNTIF(HQ13:HR13,"N/A")&lt;&gt;0,"미확정","확정")</f>
        <v>확정</v>
      </c>
      <c r="HS10" s="88" t="str">
        <f t="shared" ref="HS10" si="624">IF(COUNTIF(HR13:HS13,"N/A")&lt;&gt;0,"미확정","확정")</f>
        <v>확정</v>
      </c>
      <c r="HT10" s="88" t="str">
        <f t="shared" ref="HT10" si="625">IF(COUNTIF(HS13:HT13,"N/A")&lt;&gt;0,"미확정","확정")</f>
        <v>확정</v>
      </c>
    </row>
    <row r="11" spans="1:228" ht="17.25" thickBot="1">
      <c r="F11" s="3">
        <f t="shared" ref="F11:P11" si="626">EOMONTH(DATEVALUE(LEFT(F12,4)&amp;"-"&amp;MID(F12,6,2)&amp;"-01"),0)</f>
        <v>45504</v>
      </c>
      <c r="G11" s="3">
        <f t="shared" si="626"/>
        <v>45473</v>
      </c>
      <c r="H11" s="3">
        <f t="shared" si="626"/>
        <v>45443</v>
      </c>
      <c r="I11" s="3">
        <f t="shared" si="626"/>
        <v>45412</v>
      </c>
      <c r="J11" s="3">
        <f t="shared" si="626"/>
        <v>45382</v>
      </c>
      <c r="K11" s="3">
        <f t="shared" si="626"/>
        <v>45351</v>
      </c>
      <c r="L11" s="3">
        <f t="shared" si="626"/>
        <v>45322</v>
      </c>
      <c r="M11" s="3">
        <f t="shared" si="626"/>
        <v>45291</v>
      </c>
      <c r="N11" s="3">
        <f t="shared" si="626"/>
        <v>45260</v>
      </c>
      <c r="O11" s="3">
        <f t="shared" si="626"/>
        <v>45230</v>
      </c>
      <c r="P11" s="3">
        <f t="shared" si="626"/>
        <v>45199</v>
      </c>
      <c r="Q11" s="3">
        <f>EOMONTH(DATEVALUE(LEFT(Q12,4)&amp;"-"&amp;MID(Q12,6,2)&amp;"-01"),0)</f>
        <v>45169</v>
      </c>
      <c r="R11" s="3">
        <f t="shared" ref="R11:S11" si="627">EOMONTH(DATEVALUE(LEFT(R12,4)&amp;"-"&amp;MID(R12,6,2)&amp;"-01"),0)</f>
        <v>45138</v>
      </c>
      <c r="S11" s="3">
        <f t="shared" si="627"/>
        <v>45107</v>
      </c>
      <c r="T11" s="3">
        <f t="shared" ref="T11" si="628">EOMONTH(DATEVALUE(LEFT(T12,4)&amp;"-"&amp;MID(T12,6,2)&amp;"-01"),0)</f>
        <v>45077</v>
      </c>
      <c r="U11" s="3">
        <f t="shared" ref="U11:X11" si="629">EOMONTH(DATEVALUE(LEFT(U12,4)&amp;"-"&amp;MID(U12,6,2)&amp;"-01"),0)</f>
        <v>45046</v>
      </c>
      <c r="V11" s="3">
        <f t="shared" si="629"/>
        <v>45016</v>
      </c>
      <c r="W11" s="3">
        <f t="shared" si="629"/>
        <v>44985</v>
      </c>
      <c r="X11" s="3">
        <f t="shared" si="629"/>
        <v>44957</v>
      </c>
      <c r="Y11" s="3">
        <f t="shared" ref="Y11:AA11" si="630">EOMONTH(DATEVALUE(LEFT(Y12,4)&amp;"-"&amp;MID(Y12,6,2)&amp;"-01"),0)</f>
        <v>44926</v>
      </c>
      <c r="Z11" s="3">
        <f t="shared" si="630"/>
        <v>44895</v>
      </c>
      <c r="AA11" s="3">
        <f t="shared" si="630"/>
        <v>44865</v>
      </c>
      <c r="AB11" s="3">
        <f t="shared" ref="AB11:AD11" si="631">EOMONTH(DATEVALUE(LEFT(AB12,4)&amp;"-"&amp;MID(AB12,6,2)&amp;"-01"),0)</f>
        <v>44834</v>
      </c>
      <c r="AC11" s="3">
        <f t="shared" si="631"/>
        <v>44804</v>
      </c>
      <c r="AD11" s="3">
        <f t="shared" si="631"/>
        <v>44773</v>
      </c>
      <c r="AE11" s="3">
        <f t="shared" ref="AE11:AO11" si="632">EOMONTH(DATEVALUE(LEFT(AE12,4)&amp;"-"&amp;MID(AE12,6,2)&amp;"-01"),0)</f>
        <v>44742</v>
      </c>
      <c r="AF11" s="3">
        <f t="shared" si="632"/>
        <v>44712</v>
      </c>
      <c r="AG11" s="3">
        <f t="shared" si="632"/>
        <v>44681</v>
      </c>
      <c r="AH11" s="3">
        <f t="shared" si="632"/>
        <v>44651</v>
      </c>
      <c r="AI11" s="3">
        <f t="shared" si="632"/>
        <v>44620</v>
      </c>
      <c r="AJ11" s="3">
        <f t="shared" si="632"/>
        <v>44592</v>
      </c>
      <c r="AK11" s="3">
        <f t="shared" si="632"/>
        <v>44561</v>
      </c>
      <c r="AL11" s="3">
        <f t="shared" si="632"/>
        <v>44530</v>
      </c>
      <c r="AM11" s="3">
        <f t="shared" si="632"/>
        <v>44500</v>
      </c>
      <c r="AN11" s="3">
        <f t="shared" si="632"/>
        <v>44469</v>
      </c>
      <c r="AO11" s="3">
        <f t="shared" si="632"/>
        <v>44439</v>
      </c>
      <c r="AP11" s="3">
        <f>EOMONTH(DATEVALUE(LEFT(AP12,4)&amp;"-"&amp;MID(AP12,6,2)&amp;"-01"),0)</f>
        <v>44408</v>
      </c>
      <c r="AQ11" s="3">
        <f t="shared" ref="AQ11" si="633">EOMONTH(DATEVALUE(LEFT(AQ12,4)&amp;"-"&amp;MID(AQ12,6,2)&amp;"-01"),0)</f>
        <v>44377</v>
      </c>
      <c r="AR11" s="3">
        <f t="shared" ref="AR11" si="634">EOMONTH(DATEVALUE(LEFT(AR12,4)&amp;"-"&amp;MID(AR12,6,2)&amp;"-01"),0)</f>
        <v>44347</v>
      </c>
      <c r="AS11" s="3">
        <f t="shared" ref="AS11" si="635">EOMONTH(DATEVALUE(LEFT(AS12,4)&amp;"-"&amp;MID(AS12,6,2)&amp;"-01"),0)</f>
        <v>44316</v>
      </c>
      <c r="AT11" s="3">
        <f t="shared" ref="AT11" si="636">EOMONTH(DATEVALUE(LEFT(AT12,4)&amp;"-"&amp;MID(AT12,6,2)&amp;"-01"),0)</f>
        <v>44286</v>
      </c>
      <c r="AU11" s="3">
        <f t="shared" ref="AU11" si="637">EOMONTH(DATEVALUE(LEFT(AU12,4)&amp;"-"&amp;MID(AU12,6,2)&amp;"-01"),0)</f>
        <v>44255</v>
      </c>
      <c r="AV11" s="3">
        <f t="shared" ref="AV11" si="638">EOMONTH(DATEVALUE(LEFT(AV12,4)&amp;"-"&amp;MID(AV12,6,2)&amp;"-01"),0)</f>
        <v>44227</v>
      </c>
      <c r="AW11" s="3">
        <f t="shared" ref="AW11" si="639">EOMONTH(DATEVALUE(LEFT(AW12,4)&amp;"-"&amp;MID(AW12,6,2)&amp;"-01"),0)</f>
        <v>44196</v>
      </c>
      <c r="AX11" s="3">
        <f t="shared" ref="AX11" si="640">EOMONTH(DATEVALUE(LEFT(AX12,4)&amp;"-"&amp;MID(AX12,6,2)&amp;"-01"),0)</f>
        <v>44165</v>
      </c>
      <c r="AY11" s="3">
        <f t="shared" ref="AY11" si="641">EOMONTH(DATEVALUE(LEFT(AY12,4)&amp;"-"&amp;MID(AY12,6,2)&amp;"-01"),0)</f>
        <v>44135</v>
      </c>
      <c r="AZ11" s="3">
        <f t="shared" ref="AZ11" si="642">EOMONTH(DATEVALUE(LEFT(AZ12,4)&amp;"-"&amp;MID(AZ12,6,2)&amp;"-01"),0)</f>
        <v>44104</v>
      </c>
      <c r="BA11" s="3">
        <f t="shared" ref="BA11" si="643">EOMONTH(DATEVALUE(LEFT(BA12,4)&amp;"-"&amp;MID(BA12,6,2)&amp;"-01"),0)</f>
        <v>44074</v>
      </c>
      <c r="BB11" s="3">
        <f t="shared" ref="BB11" si="644">EOMONTH(DATEVALUE(LEFT(BB12,4)&amp;"-"&amp;MID(BB12,6,2)&amp;"-01"),0)</f>
        <v>44043</v>
      </c>
      <c r="BC11" s="3">
        <f t="shared" ref="BC11" si="645">EOMONTH(DATEVALUE(LEFT(BC12,4)&amp;"-"&amp;MID(BC12,6,2)&amp;"-01"),0)</f>
        <v>44012</v>
      </c>
      <c r="BD11" s="3">
        <f t="shared" ref="BD11" si="646">EOMONTH(DATEVALUE(LEFT(BD12,4)&amp;"-"&amp;MID(BD12,6,2)&amp;"-01"),0)</f>
        <v>43982</v>
      </c>
      <c r="BE11" s="3">
        <f t="shared" ref="BE11" si="647">EOMONTH(DATEVALUE(LEFT(BE12,4)&amp;"-"&amp;MID(BE12,6,2)&amp;"-01"),0)</f>
        <v>43951</v>
      </c>
      <c r="BF11" s="3">
        <f t="shared" ref="BF11" si="648">EOMONTH(DATEVALUE(LEFT(BF12,4)&amp;"-"&amp;MID(BF12,6,2)&amp;"-01"),0)</f>
        <v>43921</v>
      </c>
      <c r="BG11" s="3">
        <f t="shared" ref="BG11" si="649">EOMONTH(DATEVALUE(LEFT(BG12,4)&amp;"-"&amp;MID(BG12,6,2)&amp;"-01"),0)</f>
        <v>43890</v>
      </c>
      <c r="BH11" s="3">
        <f t="shared" ref="BH11" si="650">EOMONTH(DATEVALUE(LEFT(BH12,4)&amp;"-"&amp;MID(BH12,6,2)&amp;"-01"),0)</f>
        <v>43861</v>
      </c>
      <c r="BI11" s="3">
        <f t="shared" ref="BI11" si="651">EOMONTH(DATEVALUE(LEFT(BI12,4)&amp;"-"&amp;MID(BI12,6,2)&amp;"-01"),0)</f>
        <v>43830</v>
      </c>
      <c r="BJ11" s="3">
        <f t="shared" ref="BJ11" si="652">EOMONTH(DATEVALUE(LEFT(BJ12,4)&amp;"-"&amp;MID(BJ12,6,2)&amp;"-01"),0)</f>
        <v>43799</v>
      </c>
      <c r="BK11" s="3">
        <f t="shared" ref="BK11" si="653">EOMONTH(DATEVALUE(LEFT(BK12,4)&amp;"-"&amp;MID(BK12,6,2)&amp;"-01"),0)</f>
        <v>43769</v>
      </c>
      <c r="BL11" s="3">
        <f t="shared" ref="BL11" si="654">EOMONTH(DATEVALUE(LEFT(BL12,4)&amp;"-"&amp;MID(BL12,6,2)&amp;"-01"),0)</f>
        <v>43738</v>
      </c>
      <c r="BM11" s="3">
        <f t="shared" ref="BM11" si="655">EOMONTH(DATEVALUE(LEFT(BM12,4)&amp;"-"&amp;MID(BM12,6,2)&amp;"-01"),0)</f>
        <v>43708</v>
      </c>
      <c r="BN11" s="3">
        <f t="shared" ref="BN11" si="656">EOMONTH(DATEVALUE(LEFT(BN12,4)&amp;"-"&amp;MID(BN12,6,2)&amp;"-01"),0)</f>
        <v>43677</v>
      </c>
      <c r="BO11" s="3">
        <f t="shared" ref="BO11" si="657">EOMONTH(DATEVALUE(LEFT(BO12,4)&amp;"-"&amp;MID(BO12,6,2)&amp;"-01"),0)</f>
        <v>43646</v>
      </c>
      <c r="BP11" s="3">
        <f t="shared" ref="BP11" si="658">EOMONTH(DATEVALUE(LEFT(BP12,4)&amp;"-"&amp;MID(BP12,6,2)&amp;"-01"),0)</f>
        <v>43616</v>
      </c>
      <c r="BQ11" s="3">
        <f t="shared" ref="BQ11" si="659">EOMONTH(DATEVALUE(LEFT(BQ12,4)&amp;"-"&amp;MID(BQ12,6,2)&amp;"-01"),0)</f>
        <v>43585</v>
      </c>
      <c r="BR11" s="3">
        <f t="shared" ref="BR11" si="660">EOMONTH(DATEVALUE(LEFT(BR12,4)&amp;"-"&amp;MID(BR12,6,2)&amp;"-01"),0)</f>
        <v>43555</v>
      </c>
      <c r="BS11" s="3">
        <f t="shared" ref="BS11" si="661">EOMONTH(DATEVALUE(LEFT(BS12,4)&amp;"-"&amp;MID(BS12,6,2)&amp;"-01"),0)</f>
        <v>43524</v>
      </c>
      <c r="BT11" s="3">
        <f t="shared" ref="BT11" si="662">EOMONTH(DATEVALUE(LEFT(BT12,4)&amp;"-"&amp;MID(BT12,6,2)&amp;"-01"),0)</f>
        <v>43496</v>
      </c>
      <c r="BU11" s="3">
        <f t="shared" ref="BU11" si="663">EOMONTH(DATEVALUE(LEFT(BU12,4)&amp;"-"&amp;MID(BU12,6,2)&amp;"-01"),0)</f>
        <v>43465</v>
      </c>
      <c r="BV11" s="3">
        <f t="shared" ref="BV11" si="664">EOMONTH(DATEVALUE(LEFT(BV12,4)&amp;"-"&amp;MID(BV12,6,2)&amp;"-01"),0)</f>
        <v>43434</v>
      </c>
      <c r="BW11" s="3">
        <f t="shared" ref="BW11" si="665">EOMONTH(DATEVALUE(LEFT(BW12,4)&amp;"-"&amp;MID(BW12,6,2)&amp;"-01"),0)</f>
        <v>43404</v>
      </c>
      <c r="BX11" s="3">
        <f t="shared" ref="BX11" si="666">EOMONTH(DATEVALUE(LEFT(BX12,4)&amp;"-"&amp;MID(BX12,6,2)&amp;"-01"),0)</f>
        <v>43373</v>
      </c>
      <c r="BY11" s="3">
        <f t="shared" ref="BY11" si="667">EOMONTH(DATEVALUE(LEFT(BY12,4)&amp;"-"&amp;MID(BY12,6,2)&amp;"-01"),0)</f>
        <v>43343</v>
      </c>
      <c r="BZ11" s="3">
        <f t="shared" ref="BZ11" si="668">EOMONTH(DATEVALUE(LEFT(BZ12,4)&amp;"-"&amp;MID(BZ12,6,2)&amp;"-01"),0)</f>
        <v>43312</v>
      </c>
      <c r="CA11" s="3">
        <f t="shared" ref="CA11" si="669">EOMONTH(DATEVALUE(LEFT(CA12,4)&amp;"-"&amp;MID(CA12,6,2)&amp;"-01"),0)</f>
        <v>43281</v>
      </c>
      <c r="CB11" s="3">
        <f t="shared" ref="CB11" si="670">EOMONTH(DATEVALUE(LEFT(CB12,4)&amp;"-"&amp;MID(CB12,6,2)&amp;"-01"),0)</f>
        <v>43251</v>
      </c>
      <c r="CC11" s="3">
        <f t="shared" ref="CC11" si="671">EOMONTH(DATEVALUE(LEFT(CC12,4)&amp;"-"&amp;MID(CC12,6,2)&amp;"-01"),0)</f>
        <v>43220</v>
      </c>
      <c r="CD11" s="3">
        <f t="shared" ref="CD11" si="672">EOMONTH(DATEVALUE(LEFT(CD12,4)&amp;"-"&amp;MID(CD12,6,2)&amp;"-01"),0)</f>
        <v>43190</v>
      </c>
      <c r="CE11" s="3">
        <f t="shared" ref="CE11" si="673">EOMONTH(DATEVALUE(LEFT(CE12,4)&amp;"-"&amp;MID(CE12,6,2)&amp;"-01"),0)</f>
        <v>43159</v>
      </c>
      <c r="CF11" s="3">
        <f t="shared" ref="CF11" si="674">EOMONTH(DATEVALUE(LEFT(CF12,4)&amp;"-"&amp;MID(CF12,6,2)&amp;"-01"),0)</f>
        <v>43131</v>
      </c>
      <c r="CG11" s="3">
        <f t="shared" ref="CG11" si="675">EOMONTH(DATEVALUE(LEFT(CG12,4)&amp;"-"&amp;MID(CG12,6,2)&amp;"-01"),0)</f>
        <v>43100</v>
      </c>
      <c r="CH11" s="3">
        <f t="shared" ref="CH11" si="676">EOMONTH(DATEVALUE(LEFT(CH12,4)&amp;"-"&amp;MID(CH12,6,2)&amp;"-01"),0)</f>
        <v>43069</v>
      </c>
      <c r="CI11" s="3">
        <f t="shared" ref="CI11" si="677">EOMONTH(DATEVALUE(LEFT(CI12,4)&amp;"-"&amp;MID(CI12,6,2)&amp;"-01"),0)</f>
        <v>43039</v>
      </c>
      <c r="CJ11" s="3">
        <f t="shared" ref="CJ11" si="678">EOMONTH(DATEVALUE(LEFT(CJ12,4)&amp;"-"&amp;MID(CJ12,6,2)&amp;"-01"),0)</f>
        <v>43008</v>
      </c>
      <c r="CK11" s="3">
        <f t="shared" ref="CK11" si="679">EOMONTH(DATEVALUE(LEFT(CK12,4)&amp;"-"&amp;MID(CK12,6,2)&amp;"-01"),0)</f>
        <v>42978</v>
      </c>
      <c r="CL11" s="3">
        <f t="shared" ref="CL11" si="680">EOMONTH(DATEVALUE(LEFT(CL12,4)&amp;"-"&amp;MID(CL12,6,2)&amp;"-01"),0)</f>
        <v>42947</v>
      </c>
      <c r="CM11" s="3">
        <f t="shared" ref="CM11" si="681">EOMONTH(DATEVALUE(LEFT(CM12,4)&amp;"-"&amp;MID(CM12,6,2)&amp;"-01"),0)</f>
        <v>42916</v>
      </c>
      <c r="CN11" s="3">
        <f t="shared" ref="CN11" si="682">EOMONTH(DATEVALUE(LEFT(CN12,4)&amp;"-"&amp;MID(CN12,6,2)&amp;"-01"),0)</f>
        <v>42886</v>
      </c>
      <c r="CO11" s="3">
        <f t="shared" ref="CO11" si="683">EOMONTH(DATEVALUE(LEFT(CO12,4)&amp;"-"&amp;MID(CO12,6,2)&amp;"-01"),0)</f>
        <v>42855</v>
      </c>
      <c r="CP11" s="3">
        <f t="shared" ref="CP11" si="684">EOMONTH(DATEVALUE(LEFT(CP12,4)&amp;"-"&amp;MID(CP12,6,2)&amp;"-01"),0)</f>
        <v>42825</v>
      </c>
      <c r="CQ11" s="3">
        <f t="shared" ref="CQ11" si="685">EOMONTH(DATEVALUE(LEFT(CQ12,4)&amp;"-"&amp;MID(CQ12,6,2)&amp;"-01"),0)</f>
        <v>42794</v>
      </c>
      <c r="CR11" s="3">
        <f t="shared" ref="CR11" si="686">EOMONTH(DATEVALUE(LEFT(CR12,4)&amp;"-"&amp;MID(CR12,6,2)&amp;"-01"),0)</f>
        <v>42766</v>
      </c>
      <c r="CS11" s="3">
        <f t="shared" ref="CS11" si="687">EOMONTH(DATEVALUE(LEFT(CS12,4)&amp;"-"&amp;MID(CS12,6,2)&amp;"-01"),0)</f>
        <v>42735</v>
      </c>
      <c r="CT11" s="3">
        <f t="shared" ref="CT11" si="688">EOMONTH(DATEVALUE(LEFT(CT12,4)&amp;"-"&amp;MID(CT12,6,2)&amp;"-01"),0)</f>
        <v>42704</v>
      </c>
      <c r="CU11" s="3">
        <f t="shared" ref="CU11" si="689">EOMONTH(DATEVALUE(LEFT(CU12,4)&amp;"-"&amp;MID(CU12,6,2)&amp;"-01"),0)</f>
        <v>42674</v>
      </c>
      <c r="CV11" s="3">
        <f t="shared" ref="CV11" si="690">EOMONTH(DATEVALUE(LEFT(CV12,4)&amp;"-"&amp;MID(CV12,6,2)&amp;"-01"),0)</f>
        <v>42643</v>
      </c>
      <c r="CW11" s="3">
        <f t="shared" ref="CW11" si="691">EOMONTH(DATEVALUE(LEFT(CW12,4)&amp;"-"&amp;MID(CW12,6,2)&amp;"-01"),0)</f>
        <v>42613</v>
      </c>
      <c r="CX11" s="3">
        <f t="shared" ref="CX11" si="692">EOMONTH(DATEVALUE(LEFT(CX12,4)&amp;"-"&amp;MID(CX12,6,2)&amp;"-01"),0)</f>
        <v>42582</v>
      </c>
      <c r="CY11" s="3">
        <f t="shared" ref="CY11" si="693">EOMONTH(DATEVALUE(LEFT(CY12,4)&amp;"-"&amp;MID(CY12,6,2)&amp;"-01"),0)</f>
        <v>42551</v>
      </c>
      <c r="CZ11" s="3">
        <f t="shared" ref="CZ11" si="694">EOMONTH(DATEVALUE(LEFT(CZ12,4)&amp;"-"&amp;MID(CZ12,6,2)&amp;"-01"),0)</f>
        <v>42521</v>
      </c>
      <c r="DA11" s="3">
        <f t="shared" ref="DA11" si="695">EOMONTH(DATEVALUE(LEFT(DA12,4)&amp;"-"&amp;MID(DA12,6,2)&amp;"-01"),0)</f>
        <v>42490</v>
      </c>
      <c r="DB11" s="3">
        <f t="shared" ref="DB11" si="696">EOMONTH(DATEVALUE(LEFT(DB12,4)&amp;"-"&amp;MID(DB12,6,2)&amp;"-01"),0)</f>
        <v>42460</v>
      </c>
      <c r="DC11" s="3">
        <f t="shared" ref="DC11" si="697">EOMONTH(DATEVALUE(LEFT(DC12,4)&amp;"-"&amp;MID(DC12,6,2)&amp;"-01"),0)</f>
        <v>42429</v>
      </c>
      <c r="DD11" s="3">
        <f t="shared" ref="DD11" si="698">EOMONTH(DATEVALUE(LEFT(DD12,4)&amp;"-"&amp;MID(DD12,6,2)&amp;"-01"),0)</f>
        <v>42400</v>
      </c>
      <c r="DE11" s="3">
        <f t="shared" ref="DE11" si="699">EOMONTH(DATEVALUE(LEFT(DE12,4)&amp;"-"&amp;MID(DE12,6,2)&amp;"-01"),0)</f>
        <v>42369</v>
      </c>
      <c r="DF11" s="3">
        <f t="shared" ref="DF11" si="700">EOMONTH(DATEVALUE(LEFT(DF12,4)&amp;"-"&amp;MID(DF12,6,2)&amp;"-01"),0)</f>
        <v>42338</v>
      </c>
      <c r="DG11" s="3">
        <f t="shared" ref="DG11" si="701">EOMONTH(DATEVALUE(LEFT(DG12,4)&amp;"-"&amp;MID(DG12,6,2)&amp;"-01"),0)</f>
        <v>42308</v>
      </c>
      <c r="DH11" s="3">
        <f t="shared" ref="DH11" si="702">EOMONTH(DATEVALUE(LEFT(DH12,4)&amp;"-"&amp;MID(DH12,6,2)&amp;"-01"),0)</f>
        <v>42277</v>
      </c>
      <c r="DI11" s="3">
        <f t="shared" ref="DI11" si="703">EOMONTH(DATEVALUE(LEFT(DI12,4)&amp;"-"&amp;MID(DI12,6,2)&amp;"-01"),0)</f>
        <v>42247</v>
      </c>
      <c r="DJ11" s="3">
        <f t="shared" ref="DJ11" si="704">EOMONTH(DATEVALUE(LEFT(DJ12,4)&amp;"-"&amp;MID(DJ12,6,2)&amp;"-01"),0)</f>
        <v>42216</v>
      </c>
      <c r="DK11" s="3">
        <f t="shared" ref="DK11" si="705">EOMONTH(DATEVALUE(LEFT(DK12,4)&amp;"-"&amp;MID(DK12,6,2)&amp;"-01"),0)</f>
        <v>42185</v>
      </c>
      <c r="DL11" s="3">
        <f t="shared" ref="DL11" si="706">EOMONTH(DATEVALUE(LEFT(DL12,4)&amp;"-"&amp;MID(DL12,6,2)&amp;"-01"),0)</f>
        <v>42155</v>
      </c>
      <c r="DM11" s="3">
        <f t="shared" ref="DM11" si="707">EOMONTH(DATEVALUE(LEFT(DM12,4)&amp;"-"&amp;MID(DM12,6,2)&amp;"-01"),0)</f>
        <v>42124</v>
      </c>
      <c r="DN11" s="3">
        <f t="shared" ref="DN11" si="708">EOMONTH(DATEVALUE(LEFT(DN12,4)&amp;"-"&amp;MID(DN12,6,2)&amp;"-01"),0)</f>
        <v>42094</v>
      </c>
      <c r="DO11" s="3">
        <f t="shared" ref="DO11" si="709">EOMONTH(DATEVALUE(LEFT(DO12,4)&amp;"-"&amp;MID(DO12,6,2)&amp;"-01"),0)</f>
        <v>42063</v>
      </c>
      <c r="DP11" s="3">
        <f t="shared" ref="DP11" si="710">EOMONTH(DATEVALUE(LEFT(DP12,4)&amp;"-"&amp;MID(DP12,6,2)&amp;"-01"),0)</f>
        <v>42035</v>
      </c>
      <c r="DQ11" s="3">
        <f t="shared" ref="DQ11" si="711">EOMONTH(DATEVALUE(LEFT(DQ12,4)&amp;"-"&amp;MID(DQ12,6,2)&amp;"-01"),0)</f>
        <v>42004</v>
      </c>
      <c r="DR11" s="3">
        <f t="shared" ref="DR11" si="712">EOMONTH(DATEVALUE(LEFT(DR12,4)&amp;"-"&amp;MID(DR12,6,2)&amp;"-01"),0)</f>
        <v>41973</v>
      </c>
      <c r="DS11" s="3">
        <f t="shared" ref="DS11" si="713">EOMONTH(DATEVALUE(LEFT(DS12,4)&amp;"-"&amp;MID(DS12,6,2)&amp;"-01"),0)</f>
        <v>41943</v>
      </c>
      <c r="DT11" s="3">
        <f t="shared" ref="DT11" si="714">EOMONTH(DATEVALUE(LEFT(DT12,4)&amp;"-"&amp;MID(DT12,6,2)&amp;"-01"),0)</f>
        <v>41912</v>
      </c>
      <c r="DU11" s="3">
        <f t="shared" ref="DU11" si="715">EOMONTH(DATEVALUE(LEFT(DU12,4)&amp;"-"&amp;MID(DU12,6,2)&amp;"-01"),0)</f>
        <v>41882</v>
      </c>
      <c r="DV11" s="3">
        <f t="shared" ref="DV11" si="716">EOMONTH(DATEVALUE(LEFT(DV12,4)&amp;"-"&amp;MID(DV12,6,2)&amp;"-01"),0)</f>
        <v>41851</v>
      </c>
      <c r="DW11" s="3">
        <f t="shared" ref="DW11" si="717">EOMONTH(DATEVALUE(LEFT(DW12,4)&amp;"-"&amp;MID(DW12,6,2)&amp;"-01"),0)</f>
        <v>41820</v>
      </c>
      <c r="DX11" s="3">
        <f t="shared" ref="DX11" si="718">EOMONTH(DATEVALUE(LEFT(DX12,4)&amp;"-"&amp;MID(DX12,6,2)&amp;"-01"),0)</f>
        <v>41790</v>
      </c>
      <c r="DY11" s="3">
        <f t="shared" ref="DY11" si="719">EOMONTH(DATEVALUE(LEFT(DY12,4)&amp;"-"&amp;MID(DY12,6,2)&amp;"-01"),0)</f>
        <v>41759</v>
      </c>
      <c r="DZ11" s="3">
        <f t="shared" ref="DZ11" si="720">EOMONTH(DATEVALUE(LEFT(DZ12,4)&amp;"-"&amp;MID(DZ12,6,2)&amp;"-01"),0)</f>
        <v>41729</v>
      </c>
      <c r="EA11" s="3">
        <f t="shared" ref="EA11" si="721">EOMONTH(DATEVALUE(LEFT(EA12,4)&amp;"-"&amp;MID(EA12,6,2)&amp;"-01"),0)</f>
        <v>41698</v>
      </c>
      <c r="EB11" s="3">
        <f t="shared" ref="EB11" si="722">EOMONTH(DATEVALUE(LEFT(EB12,4)&amp;"-"&amp;MID(EB12,6,2)&amp;"-01"),0)</f>
        <v>41670</v>
      </c>
      <c r="EC11" s="3">
        <f t="shared" ref="EC11" si="723">EOMONTH(DATEVALUE(LEFT(EC12,4)&amp;"-"&amp;MID(EC12,6,2)&amp;"-01"),0)</f>
        <v>41639</v>
      </c>
      <c r="ED11" s="3">
        <f t="shared" ref="ED11" si="724">EOMONTH(DATEVALUE(LEFT(ED12,4)&amp;"-"&amp;MID(ED12,6,2)&amp;"-01"),0)</f>
        <v>41608</v>
      </c>
      <c r="EE11" s="3">
        <f t="shared" ref="EE11" si="725">EOMONTH(DATEVALUE(LEFT(EE12,4)&amp;"-"&amp;MID(EE12,6,2)&amp;"-01"),0)</f>
        <v>41578</v>
      </c>
      <c r="EF11" s="3">
        <f t="shared" ref="EF11" si="726">EOMONTH(DATEVALUE(LEFT(EF12,4)&amp;"-"&amp;MID(EF12,6,2)&amp;"-01"),0)</f>
        <v>41547</v>
      </c>
      <c r="EG11" s="3">
        <f t="shared" ref="EG11" si="727">EOMONTH(DATEVALUE(LEFT(EG12,4)&amp;"-"&amp;MID(EG12,6,2)&amp;"-01"),0)</f>
        <v>41517</v>
      </c>
      <c r="EH11" s="3">
        <f t="shared" ref="EH11" si="728">EOMONTH(DATEVALUE(LEFT(EH12,4)&amp;"-"&amp;MID(EH12,6,2)&amp;"-01"),0)</f>
        <v>41486</v>
      </c>
      <c r="EI11" s="3">
        <f t="shared" ref="EI11" si="729">EOMONTH(DATEVALUE(LEFT(EI12,4)&amp;"-"&amp;MID(EI12,6,2)&amp;"-01"),0)</f>
        <v>41455</v>
      </c>
      <c r="EJ11" s="3">
        <f t="shared" ref="EJ11" si="730">EOMONTH(DATEVALUE(LEFT(EJ12,4)&amp;"-"&amp;MID(EJ12,6,2)&amp;"-01"),0)</f>
        <v>41425</v>
      </c>
      <c r="EK11" s="3">
        <f t="shared" ref="EK11" si="731">EOMONTH(DATEVALUE(LEFT(EK12,4)&amp;"-"&amp;MID(EK12,6,2)&amp;"-01"),0)</f>
        <v>41394</v>
      </c>
      <c r="EL11" s="3">
        <f t="shared" ref="EL11" si="732">EOMONTH(DATEVALUE(LEFT(EL12,4)&amp;"-"&amp;MID(EL12,6,2)&amp;"-01"),0)</f>
        <v>41364</v>
      </c>
      <c r="EM11" s="3">
        <f t="shared" ref="EM11" si="733">EOMONTH(DATEVALUE(LEFT(EM12,4)&amp;"-"&amp;MID(EM12,6,2)&amp;"-01"),0)</f>
        <v>41333</v>
      </c>
      <c r="EN11" s="3">
        <f t="shared" ref="EN11" si="734">EOMONTH(DATEVALUE(LEFT(EN12,4)&amp;"-"&amp;MID(EN12,6,2)&amp;"-01"),0)</f>
        <v>41305</v>
      </c>
      <c r="EO11" s="3">
        <f t="shared" ref="EO11" si="735">EOMONTH(DATEVALUE(LEFT(EO12,4)&amp;"-"&amp;MID(EO12,6,2)&amp;"-01"),0)</f>
        <v>41274</v>
      </c>
      <c r="EP11" s="3">
        <f t="shared" ref="EP11" si="736">EOMONTH(DATEVALUE(LEFT(EP12,4)&amp;"-"&amp;MID(EP12,6,2)&amp;"-01"),0)</f>
        <v>41243</v>
      </c>
      <c r="EQ11" s="3">
        <f t="shared" ref="EQ11" si="737">EOMONTH(DATEVALUE(LEFT(EQ12,4)&amp;"-"&amp;MID(EQ12,6,2)&amp;"-01"),0)</f>
        <v>41213</v>
      </c>
      <c r="ER11" s="3">
        <f t="shared" ref="ER11" si="738">EOMONTH(DATEVALUE(LEFT(ER12,4)&amp;"-"&amp;MID(ER12,6,2)&amp;"-01"),0)</f>
        <v>41182</v>
      </c>
      <c r="ES11" s="3">
        <f t="shared" ref="ES11" si="739">EOMONTH(DATEVALUE(LEFT(ES12,4)&amp;"-"&amp;MID(ES12,6,2)&amp;"-01"),0)</f>
        <v>41152</v>
      </c>
      <c r="ET11" s="3">
        <f t="shared" ref="ET11" si="740">EOMONTH(DATEVALUE(LEFT(ET12,4)&amp;"-"&amp;MID(ET12,6,2)&amp;"-01"),0)</f>
        <v>41121</v>
      </c>
      <c r="EU11" s="3">
        <f t="shared" ref="EU11" si="741">EOMONTH(DATEVALUE(LEFT(EU12,4)&amp;"-"&amp;MID(EU12,6,2)&amp;"-01"),0)</f>
        <v>41090</v>
      </c>
      <c r="EV11" s="3">
        <f t="shared" ref="EV11" si="742">EOMONTH(DATEVALUE(LEFT(EV12,4)&amp;"-"&amp;MID(EV12,6,2)&amp;"-01"),0)</f>
        <v>41060</v>
      </c>
      <c r="EW11" s="3">
        <f t="shared" ref="EW11" si="743">EOMONTH(DATEVALUE(LEFT(EW12,4)&amp;"-"&amp;MID(EW12,6,2)&amp;"-01"),0)</f>
        <v>41029</v>
      </c>
      <c r="EX11" s="3">
        <f t="shared" ref="EX11" si="744">EOMONTH(DATEVALUE(LEFT(EX12,4)&amp;"-"&amp;MID(EX12,6,2)&amp;"-01"),0)</f>
        <v>40999</v>
      </c>
      <c r="EY11" s="3">
        <f t="shared" ref="EY11" si="745">EOMONTH(DATEVALUE(LEFT(EY12,4)&amp;"-"&amp;MID(EY12,6,2)&amp;"-01"),0)</f>
        <v>40968</v>
      </c>
      <c r="EZ11" s="3">
        <f t="shared" ref="EZ11" si="746">EOMONTH(DATEVALUE(LEFT(EZ12,4)&amp;"-"&amp;MID(EZ12,6,2)&amp;"-01"),0)</f>
        <v>40939</v>
      </c>
      <c r="FA11" s="3">
        <f t="shared" ref="FA11" si="747">EOMONTH(DATEVALUE(LEFT(FA12,4)&amp;"-"&amp;MID(FA12,6,2)&amp;"-01"),0)</f>
        <v>40908</v>
      </c>
      <c r="FB11" s="3">
        <f t="shared" ref="FB11" si="748">EOMONTH(DATEVALUE(LEFT(FB12,4)&amp;"-"&amp;MID(FB12,6,2)&amp;"-01"),0)</f>
        <v>40877</v>
      </c>
      <c r="FC11" s="3">
        <f t="shared" ref="FC11" si="749">EOMONTH(DATEVALUE(LEFT(FC12,4)&amp;"-"&amp;MID(FC12,6,2)&amp;"-01"),0)</f>
        <v>40847</v>
      </c>
      <c r="FD11" s="3">
        <f t="shared" ref="FD11" si="750">EOMONTH(DATEVALUE(LEFT(FD12,4)&amp;"-"&amp;MID(FD12,6,2)&amp;"-01"),0)</f>
        <v>40816</v>
      </c>
      <c r="FE11" s="3">
        <f t="shared" ref="FE11" si="751">EOMONTH(DATEVALUE(LEFT(FE12,4)&amp;"-"&amp;MID(FE12,6,2)&amp;"-01"),0)</f>
        <v>40786</v>
      </c>
      <c r="FF11" s="3">
        <f t="shared" ref="FF11" si="752">EOMONTH(DATEVALUE(LEFT(FF12,4)&amp;"-"&amp;MID(FF12,6,2)&amp;"-01"),0)</f>
        <v>40755</v>
      </c>
      <c r="FG11" s="3">
        <f t="shared" ref="FG11" si="753">EOMONTH(DATEVALUE(LEFT(FG12,4)&amp;"-"&amp;MID(FG12,6,2)&amp;"-01"),0)</f>
        <v>40724</v>
      </c>
      <c r="FH11" s="3">
        <f t="shared" ref="FH11" si="754">EOMONTH(DATEVALUE(LEFT(FH12,4)&amp;"-"&amp;MID(FH12,6,2)&amp;"-01"),0)</f>
        <v>40694</v>
      </c>
      <c r="FI11" s="3">
        <f t="shared" ref="FI11" si="755">EOMONTH(DATEVALUE(LEFT(FI12,4)&amp;"-"&amp;MID(FI12,6,2)&amp;"-01"),0)</f>
        <v>40663</v>
      </c>
      <c r="FJ11" s="3">
        <f t="shared" ref="FJ11" si="756">EOMONTH(DATEVALUE(LEFT(FJ12,4)&amp;"-"&amp;MID(FJ12,6,2)&amp;"-01"),0)</f>
        <v>40633</v>
      </c>
      <c r="FK11" s="3">
        <f t="shared" ref="FK11" si="757">EOMONTH(DATEVALUE(LEFT(FK12,4)&amp;"-"&amp;MID(FK12,6,2)&amp;"-01"),0)</f>
        <v>40602</v>
      </c>
      <c r="FL11" s="3">
        <f t="shared" ref="FL11" si="758">EOMONTH(DATEVALUE(LEFT(FL12,4)&amp;"-"&amp;MID(FL12,6,2)&amp;"-01"),0)</f>
        <v>40574</v>
      </c>
      <c r="FM11" s="3">
        <f t="shared" ref="FM11" si="759">EOMONTH(DATEVALUE(LEFT(FM12,4)&amp;"-"&amp;MID(FM12,6,2)&amp;"-01"),0)</f>
        <v>40543</v>
      </c>
      <c r="FN11" s="3">
        <f t="shared" ref="FN11" si="760">EOMONTH(DATEVALUE(LEFT(FN12,4)&amp;"-"&amp;MID(FN12,6,2)&amp;"-01"),0)</f>
        <v>40512</v>
      </c>
      <c r="FO11" s="3">
        <f t="shared" ref="FO11" si="761">EOMONTH(DATEVALUE(LEFT(FO12,4)&amp;"-"&amp;MID(FO12,6,2)&amp;"-01"),0)</f>
        <v>40482</v>
      </c>
      <c r="FP11" s="3">
        <f t="shared" ref="FP11" si="762">EOMONTH(DATEVALUE(LEFT(FP12,4)&amp;"-"&amp;MID(FP12,6,2)&amp;"-01"),0)</f>
        <v>40451</v>
      </c>
      <c r="FQ11" s="3">
        <f t="shared" ref="FQ11" si="763">EOMONTH(DATEVALUE(LEFT(FQ12,4)&amp;"-"&amp;MID(FQ12,6,2)&amp;"-01"),0)</f>
        <v>40421</v>
      </c>
      <c r="FR11" s="3">
        <f t="shared" ref="FR11" si="764">EOMONTH(DATEVALUE(LEFT(FR12,4)&amp;"-"&amp;MID(FR12,6,2)&amp;"-01"),0)</f>
        <v>40390</v>
      </c>
      <c r="FS11" s="3">
        <f t="shared" ref="FS11" si="765">EOMONTH(DATEVALUE(LEFT(FS12,4)&amp;"-"&amp;MID(FS12,6,2)&amp;"-01"),0)</f>
        <v>40359</v>
      </c>
      <c r="FT11" s="3">
        <f t="shared" ref="FT11" si="766">EOMONTH(DATEVALUE(LEFT(FT12,4)&amp;"-"&amp;MID(FT12,6,2)&amp;"-01"),0)</f>
        <v>40329</v>
      </c>
      <c r="FU11" s="3">
        <f t="shared" ref="FU11" si="767">EOMONTH(DATEVALUE(LEFT(FU12,4)&amp;"-"&amp;MID(FU12,6,2)&amp;"-01"),0)</f>
        <v>40298</v>
      </c>
      <c r="FV11" s="3">
        <f t="shared" ref="FV11" si="768">EOMONTH(DATEVALUE(LEFT(FV12,4)&amp;"-"&amp;MID(FV12,6,2)&amp;"-01"),0)</f>
        <v>40268</v>
      </c>
      <c r="FW11" s="3">
        <f t="shared" ref="FW11" si="769">EOMONTH(DATEVALUE(LEFT(FW12,4)&amp;"-"&amp;MID(FW12,6,2)&amp;"-01"),0)</f>
        <v>40237</v>
      </c>
      <c r="FX11" s="3">
        <f t="shared" ref="FX11" si="770">EOMONTH(DATEVALUE(LEFT(FX12,4)&amp;"-"&amp;MID(FX12,6,2)&amp;"-01"),0)</f>
        <v>40209</v>
      </c>
      <c r="FY11" s="3">
        <f t="shared" ref="FY11" si="771">EOMONTH(DATEVALUE(LEFT(FY12,4)&amp;"-"&amp;MID(FY12,6,2)&amp;"-01"),0)</f>
        <v>40178</v>
      </c>
      <c r="FZ11" s="3">
        <f t="shared" ref="FZ11" si="772">EOMONTH(DATEVALUE(LEFT(FZ12,4)&amp;"-"&amp;MID(FZ12,6,2)&amp;"-01"),0)</f>
        <v>40147</v>
      </c>
      <c r="GA11" s="3">
        <f t="shared" ref="GA11" si="773">EOMONTH(DATEVALUE(LEFT(GA12,4)&amp;"-"&amp;MID(GA12,6,2)&amp;"-01"),0)</f>
        <v>40117</v>
      </c>
      <c r="GB11" s="3">
        <f t="shared" ref="GB11" si="774">EOMONTH(DATEVALUE(LEFT(GB12,4)&amp;"-"&amp;MID(GB12,6,2)&amp;"-01"),0)</f>
        <v>40086</v>
      </c>
      <c r="GC11" s="3">
        <f t="shared" ref="GC11" si="775">EOMONTH(DATEVALUE(LEFT(GC12,4)&amp;"-"&amp;MID(GC12,6,2)&amp;"-01"),0)</f>
        <v>40056</v>
      </c>
      <c r="GD11" s="3">
        <f t="shared" ref="GD11" si="776">EOMONTH(DATEVALUE(LEFT(GD12,4)&amp;"-"&amp;MID(GD12,6,2)&amp;"-01"),0)</f>
        <v>40025</v>
      </c>
      <c r="GE11" s="3">
        <f t="shared" ref="GE11" si="777">EOMONTH(DATEVALUE(LEFT(GE12,4)&amp;"-"&amp;MID(GE12,6,2)&amp;"-01"),0)</f>
        <v>39994</v>
      </c>
      <c r="GF11" s="3">
        <f t="shared" ref="GF11" si="778">EOMONTH(DATEVALUE(LEFT(GF12,4)&amp;"-"&amp;MID(GF12,6,2)&amp;"-01"),0)</f>
        <v>39964</v>
      </c>
      <c r="GG11" s="3">
        <f t="shared" ref="GG11" si="779">EOMONTH(DATEVALUE(LEFT(GG12,4)&amp;"-"&amp;MID(GG12,6,2)&amp;"-01"),0)</f>
        <v>39933</v>
      </c>
      <c r="GH11" s="3">
        <f t="shared" ref="GH11" si="780">EOMONTH(DATEVALUE(LEFT(GH12,4)&amp;"-"&amp;MID(GH12,6,2)&amp;"-01"),0)</f>
        <v>39903</v>
      </c>
      <c r="GI11" s="3">
        <f t="shared" ref="GI11" si="781">EOMONTH(DATEVALUE(LEFT(GI12,4)&amp;"-"&amp;MID(GI12,6,2)&amp;"-01"),0)</f>
        <v>39872</v>
      </c>
      <c r="GJ11" s="3">
        <f t="shared" ref="GJ11" si="782">EOMONTH(DATEVALUE(LEFT(GJ12,4)&amp;"-"&amp;MID(GJ12,6,2)&amp;"-01"),0)</f>
        <v>39844</v>
      </c>
      <c r="GK11" s="3">
        <f t="shared" ref="GK11" si="783">EOMONTH(DATEVALUE(LEFT(GK12,4)&amp;"-"&amp;MID(GK12,6,2)&amp;"-01"),0)</f>
        <v>39813</v>
      </c>
      <c r="GL11" s="3">
        <f t="shared" ref="GL11" si="784">EOMONTH(DATEVALUE(LEFT(GL12,4)&amp;"-"&amp;MID(GL12,6,2)&amp;"-01"),0)</f>
        <v>39782</v>
      </c>
      <c r="GM11" s="3">
        <f t="shared" ref="GM11" si="785">EOMONTH(DATEVALUE(LEFT(GM12,4)&amp;"-"&amp;MID(GM12,6,2)&amp;"-01"),0)</f>
        <v>39752</v>
      </c>
      <c r="GN11" s="3">
        <f t="shared" ref="GN11" si="786">EOMONTH(DATEVALUE(LEFT(GN12,4)&amp;"-"&amp;MID(GN12,6,2)&amp;"-01"),0)</f>
        <v>39721</v>
      </c>
      <c r="GO11" s="3">
        <f t="shared" ref="GO11" si="787">EOMONTH(DATEVALUE(LEFT(GO12,4)&amp;"-"&amp;MID(GO12,6,2)&amp;"-01"),0)</f>
        <v>39691</v>
      </c>
      <c r="GP11" s="3">
        <f t="shared" ref="GP11" si="788">EOMONTH(DATEVALUE(LEFT(GP12,4)&amp;"-"&amp;MID(GP12,6,2)&amp;"-01"),0)</f>
        <v>39660</v>
      </c>
      <c r="GQ11" s="3">
        <f t="shared" ref="GQ11" si="789">EOMONTH(DATEVALUE(LEFT(GQ12,4)&amp;"-"&amp;MID(GQ12,6,2)&amp;"-01"),0)</f>
        <v>39629</v>
      </c>
      <c r="GR11" s="3">
        <f t="shared" ref="GR11" si="790">EOMONTH(DATEVALUE(LEFT(GR12,4)&amp;"-"&amp;MID(GR12,6,2)&amp;"-01"),0)</f>
        <v>39599</v>
      </c>
      <c r="GS11" s="3">
        <f t="shared" ref="GS11" si="791">EOMONTH(DATEVALUE(LEFT(GS12,4)&amp;"-"&amp;MID(GS12,6,2)&amp;"-01"),0)</f>
        <v>39568</v>
      </c>
      <c r="GT11" s="3">
        <f t="shared" ref="GT11" si="792">EOMONTH(DATEVALUE(LEFT(GT12,4)&amp;"-"&amp;MID(GT12,6,2)&amp;"-01"),0)</f>
        <v>39538</v>
      </c>
      <c r="GU11" s="3">
        <f t="shared" ref="GU11" si="793">EOMONTH(DATEVALUE(LEFT(GU12,4)&amp;"-"&amp;MID(GU12,6,2)&amp;"-01"),0)</f>
        <v>39507</v>
      </c>
      <c r="GV11" s="3">
        <f t="shared" ref="GV11" si="794">EOMONTH(DATEVALUE(LEFT(GV12,4)&amp;"-"&amp;MID(GV12,6,2)&amp;"-01"),0)</f>
        <v>39478</v>
      </c>
      <c r="GW11" s="3">
        <f t="shared" ref="GW11" si="795">EOMONTH(DATEVALUE(LEFT(GW12,4)&amp;"-"&amp;MID(GW12,6,2)&amp;"-01"),0)</f>
        <v>39447</v>
      </c>
      <c r="GX11" s="3">
        <f t="shared" ref="GX11" si="796">EOMONTH(DATEVALUE(LEFT(GX12,4)&amp;"-"&amp;MID(GX12,6,2)&amp;"-01"),0)</f>
        <v>39416</v>
      </c>
      <c r="GY11" s="3">
        <f t="shared" ref="GY11" si="797">EOMONTH(DATEVALUE(LEFT(GY12,4)&amp;"-"&amp;MID(GY12,6,2)&amp;"-01"),0)</f>
        <v>39386</v>
      </c>
      <c r="GZ11" s="3">
        <f t="shared" ref="GZ11" si="798">EOMONTH(DATEVALUE(LEFT(GZ12,4)&amp;"-"&amp;MID(GZ12,6,2)&amp;"-01"),0)</f>
        <v>39355</v>
      </c>
      <c r="HA11" s="3">
        <f t="shared" ref="HA11" si="799">EOMONTH(DATEVALUE(LEFT(HA12,4)&amp;"-"&amp;MID(HA12,6,2)&amp;"-01"),0)</f>
        <v>39325</v>
      </c>
      <c r="HB11" s="3">
        <f t="shared" ref="HB11" si="800">EOMONTH(DATEVALUE(LEFT(HB12,4)&amp;"-"&amp;MID(HB12,6,2)&amp;"-01"),0)</f>
        <v>39294</v>
      </c>
      <c r="HC11" s="3">
        <f t="shared" ref="HC11" si="801">EOMONTH(DATEVALUE(LEFT(HC12,4)&amp;"-"&amp;MID(HC12,6,2)&amp;"-01"),0)</f>
        <v>39263</v>
      </c>
      <c r="HD11" s="3">
        <f t="shared" ref="HD11" si="802">EOMONTH(DATEVALUE(LEFT(HD12,4)&amp;"-"&amp;MID(HD12,6,2)&amp;"-01"),0)</f>
        <v>39233</v>
      </c>
      <c r="HE11" s="3">
        <f t="shared" ref="HE11" si="803">EOMONTH(DATEVALUE(LEFT(HE12,4)&amp;"-"&amp;MID(HE12,6,2)&amp;"-01"),0)</f>
        <v>39202</v>
      </c>
      <c r="HF11" s="3">
        <f t="shared" ref="HF11" si="804">EOMONTH(DATEVALUE(LEFT(HF12,4)&amp;"-"&amp;MID(HF12,6,2)&amp;"-01"),0)</f>
        <v>39172</v>
      </c>
      <c r="HG11" s="3">
        <f t="shared" ref="HG11" si="805">EOMONTH(DATEVALUE(LEFT(HG12,4)&amp;"-"&amp;MID(HG12,6,2)&amp;"-01"),0)</f>
        <v>39141</v>
      </c>
      <c r="HH11" s="3">
        <f t="shared" ref="HH11" si="806">EOMONTH(DATEVALUE(LEFT(HH12,4)&amp;"-"&amp;MID(HH12,6,2)&amp;"-01"),0)</f>
        <v>39113</v>
      </c>
      <c r="HI11" s="3">
        <f t="shared" ref="HI11" si="807">EOMONTH(DATEVALUE(LEFT(HI12,4)&amp;"-"&amp;MID(HI12,6,2)&amp;"-01"),0)</f>
        <v>39082</v>
      </c>
      <c r="HJ11" s="3">
        <f t="shared" ref="HJ11:HT11" si="808">EOMONTH(DATEVALUE(LEFT(HJ12,4)&amp;"-"&amp;MID(HJ12,6,2)&amp;"-01"),0)</f>
        <v>39051</v>
      </c>
      <c r="HK11" s="3">
        <f t="shared" si="808"/>
        <v>39021</v>
      </c>
      <c r="HL11" s="3">
        <f t="shared" si="808"/>
        <v>38990</v>
      </c>
      <c r="HM11" s="3">
        <f t="shared" si="808"/>
        <v>38960</v>
      </c>
      <c r="HN11" s="3">
        <f t="shared" si="808"/>
        <v>38929</v>
      </c>
      <c r="HO11" s="3">
        <f t="shared" si="808"/>
        <v>38898</v>
      </c>
      <c r="HP11" s="3">
        <f t="shared" si="808"/>
        <v>38868</v>
      </c>
      <c r="HQ11" s="3">
        <f t="shared" si="808"/>
        <v>38837</v>
      </c>
      <c r="HR11" s="3">
        <f t="shared" si="808"/>
        <v>38807</v>
      </c>
      <c r="HS11" s="3">
        <f t="shared" si="808"/>
        <v>38776</v>
      </c>
      <c r="HT11" s="3">
        <f t="shared" si="808"/>
        <v>38748</v>
      </c>
    </row>
    <row r="12" spans="1:228" s="2" customFormat="1" ht="17.25" thickBot="1">
      <c r="A12" s="1" t="s">
        <v>4</v>
      </c>
      <c r="B12" s="1" t="s">
        <v>5</v>
      </c>
      <c r="C12" s="1" t="s">
        <v>9</v>
      </c>
      <c r="D12" s="1" t="s">
        <v>10</v>
      </c>
      <c r="E12" s="1" t="s">
        <v>6</v>
      </c>
      <c r="F12" s="109" t="s">
        <v>314</v>
      </c>
      <c r="G12" s="109" t="s">
        <v>312</v>
      </c>
      <c r="H12" s="109" t="s">
        <v>310</v>
      </c>
      <c r="I12" s="109" t="s">
        <v>308</v>
      </c>
      <c r="J12" s="109" t="s">
        <v>305</v>
      </c>
      <c r="K12" s="109" t="s">
        <v>304</v>
      </c>
      <c r="L12" s="109" t="s">
        <v>299</v>
      </c>
      <c r="M12" s="109" t="s">
        <v>297</v>
      </c>
      <c r="N12" s="109" t="s">
        <v>298</v>
      </c>
      <c r="O12" s="109" t="s">
        <v>294</v>
      </c>
      <c r="P12" s="109" t="s">
        <v>290</v>
      </c>
      <c r="Q12" s="109" t="s">
        <v>286</v>
      </c>
      <c r="R12" s="109" t="s">
        <v>287</v>
      </c>
      <c r="S12" s="109" t="s">
        <v>284</v>
      </c>
      <c r="T12" s="109" t="s">
        <v>285</v>
      </c>
      <c r="U12" s="109" t="s">
        <v>283</v>
      </c>
      <c r="V12" s="109" t="s">
        <v>268</v>
      </c>
      <c r="W12" s="109" t="s">
        <v>269</v>
      </c>
      <c r="X12" s="109" t="s">
        <v>267</v>
      </c>
      <c r="Y12" s="109" t="s">
        <v>265</v>
      </c>
      <c r="Z12" s="109" t="s">
        <v>266</v>
      </c>
      <c r="AA12" s="109" t="s">
        <v>264</v>
      </c>
      <c r="AB12" s="1" t="s">
        <v>263</v>
      </c>
      <c r="AC12" s="1" t="s">
        <v>261</v>
      </c>
      <c r="AD12" s="1" t="s">
        <v>262</v>
      </c>
      <c r="AE12" s="1" t="s">
        <v>250</v>
      </c>
      <c r="AF12" s="1" t="s">
        <v>251</v>
      </c>
      <c r="AG12" s="1" t="s">
        <v>249</v>
      </c>
      <c r="AH12" s="1" t="s">
        <v>248</v>
      </c>
      <c r="AI12" s="1" t="s">
        <v>247</v>
      </c>
      <c r="AJ12" s="1" t="s">
        <v>245</v>
      </c>
      <c r="AK12" s="1" t="s">
        <v>232</v>
      </c>
      <c r="AL12" s="1" t="s">
        <v>231</v>
      </c>
      <c r="AM12" s="1" t="s">
        <v>227</v>
      </c>
      <c r="AN12" s="1" t="s">
        <v>228</v>
      </c>
      <c r="AO12" s="1" t="s">
        <v>130</v>
      </c>
      <c r="AP12" s="1" t="s">
        <v>129</v>
      </c>
      <c r="AQ12" s="1" t="s">
        <v>128</v>
      </c>
      <c r="AR12" s="1" t="s">
        <v>127</v>
      </c>
      <c r="AS12" s="1" t="s">
        <v>126</v>
      </c>
      <c r="AT12" s="1" t="s">
        <v>125</v>
      </c>
      <c r="AU12" s="1" t="s">
        <v>124</v>
      </c>
      <c r="AV12" s="1" t="s">
        <v>123</v>
      </c>
      <c r="AW12" s="1" t="s">
        <v>122</v>
      </c>
      <c r="AX12" s="1" t="s">
        <v>121</v>
      </c>
      <c r="AY12" s="1" t="s">
        <v>120</v>
      </c>
      <c r="AZ12" s="1" t="s">
        <v>119</v>
      </c>
      <c r="BA12" s="1" t="s">
        <v>118</v>
      </c>
      <c r="BB12" s="1" t="s">
        <v>117</v>
      </c>
      <c r="BC12" s="1" t="s">
        <v>116</v>
      </c>
      <c r="BD12" s="1" t="s">
        <v>115</v>
      </c>
      <c r="BE12" s="1" t="s">
        <v>114</v>
      </c>
      <c r="BF12" s="1" t="s">
        <v>113</v>
      </c>
      <c r="BG12" s="1" t="s">
        <v>112</v>
      </c>
      <c r="BH12" s="1" t="s">
        <v>111</v>
      </c>
      <c r="BI12" s="1" t="s">
        <v>110</v>
      </c>
      <c r="BJ12" s="1" t="s">
        <v>109</v>
      </c>
      <c r="BK12" s="1" t="s">
        <v>108</v>
      </c>
      <c r="BL12" s="1" t="s">
        <v>107</v>
      </c>
      <c r="BM12" s="1" t="s">
        <v>106</v>
      </c>
      <c r="BN12" s="1" t="s">
        <v>105</v>
      </c>
      <c r="BO12" s="1" t="s">
        <v>104</v>
      </c>
      <c r="BP12" s="1" t="s">
        <v>103</v>
      </c>
      <c r="BQ12" s="1" t="s">
        <v>102</v>
      </c>
      <c r="BR12" s="1" t="s">
        <v>101</v>
      </c>
      <c r="BS12" s="1" t="s">
        <v>100</v>
      </c>
      <c r="BT12" s="1" t="s">
        <v>99</v>
      </c>
      <c r="BU12" s="1" t="s">
        <v>98</v>
      </c>
      <c r="BV12" s="1" t="s">
        <v>97</v>
      </c>
      <c r="BW12" s="1" t="s">
        <v>96</v>
      </c>
      <c r="BX12" s="1" t="s">
        <v>95</v>
      </c>
      <c r="BY12" s="1" t="s">
        <v>94</v>
      </c>
      <c r="BZ12" s="1" t="s">
        <v>93</v>
      </c>
      <c r="CA12" s="1" t="s">
        <v>92</v>
      </c>
      <c r="CB12" s="1" t="s">
        <v>91</v>
      </c>
      <c r="CC12" s="1" t="s">
        <v>90</v>
      </c>
      <c r="CD12" s="1" t="s">
        <v>89</v>
      </c>
      <c r="CE12" s="1" t="s">
        <v>88</v>
      </c>
      <c r="CF12" s="1" t="s">
        <v>87</v>
      </c>
      <c r="CG12" s="1" t="s">
        <v>86</v>
      </c>
      <c r="CH12" s="1" t="s">
        <v>85</v>
      </c>
      <c r="CI12" s="1" t="s">
        <v>84</v>
      </c>
      <c r="CJ12" s="1" t="s">
        <v>83</v>
      </c>
      <c r="CK12" s="1" t="s">
        <v>82</v>
      </c>
      <c r="CL12" s="1" t="s">
        <v>81</v>
      </c>
      <c r="CM12" s="1" t="s">
        <v>80</v>
      </c>
      <c r="CN12" s="1" t="s">
        <v>79</v>
      </c>
      <c r="CO12" s="1" t="s">
        <v>78</v>
      </c>
      <c r="CP12" s="1" t="s">
        <v>77</v>
      </c>
      <c r="CQ12" s="1" t="s">
        <v>76</v>
      </c>
      <c r="CR12" s="1" t="s">
        <v>75</v>
      </c>
      <c r="CS12" s="1" t="s">
        <v>74</v>
      </c>
      <c r="CT12" s="1" t="s">
        <v>73</v>
      </c>
      <c r="CU12" s="1" t="s">
        <v>72</v>
      </c>
      <c r="CV12" s="1" t="s">
        <v>71</v>
      </c>
      <c r="CW12" s="1" t="s">
        <v>70</v>
      </c>
      <c r="CX12" s="1" t="s">
        <v>69</v>
      </c>
      <c r="CY12" s="1" t="s">
        <v>68</v>
      </c>
      <c r="CZ12" s="1" t="s">
        <v>67</v>
      </c>
      <c r="DA12" s="1" t="s">
        <v>66</v>
      </c>
      <c r="DB12" s="1" t="s">
        <v>65</v>
      </c>
      <c r="DC12" s="1" t="s">
        <v>64</v>
      </c>
      <c r="DD12" s="1" t="s">
        <v>63</v>
      </c>
      <c r="DE12" s="1" t="s">
        <v>62</v>
      </c>
      <c r="DF12" s="1" t="s">
        <v>61</v>
      </c>
      <c r="DG12" s="1" t="s">
        <v>60</v>
      </c>
      <c r="DH12" s="1" t="s">
        <v>59</v>
      </c>
      <c r="DI12" s="1" t="s">
        <v>58</v>
      </c>
      <c r="DJ12" s="1" t="s">
        <v>57</v>
      </c>
      <c r="DK12" s="1" t="s">
        <v>56</v>
      </c>
      <c r="DL12" s="1" t="s">
        <v>55</v>
      </c>
      <c r="DM12" s="1" t="s">
        <v>54</v>
      </c>
      <c r="DN12" s="1" t="s">
        <v>53</v>
      </c>
      <c r="DO12" s="1" t="s">
        <v>52</v>
      </c>
      <c r="DP12" s="1" t="s">
        <v>51</v>
      </c>
      <c r="DQ12" s="1" t="s">
        <v>50</v>
      </c>
      <c r="DR12" s="1" t="s">
        <v>49</v>
      </c>
      <c r="DS12" s="1" t="s">
        <v>48</v>
      </c>
      <c r="DT12" s="1" t="s">
        <v>47</v>
      </c>
      <c r="DU12" s="1" t="s">
        <v>46</v>
      </c>
      <c r="DV12" s="1" t="s">
        <v>45</v>
      </c>
      <c r="DW12" s="1" t="s">
        <v>44</v>
      </c>
      <c r="DX12" s="1" t="s">
        <v>43</v>
      </c>
      <c r="DY12" s="1" t="s">
        <v>42</v>
      </c>
      <c r="DZ12" s="1" t="s">
        <v>41</v>
      </c>
      <c r="EA12" s="1" t="s">
        <v>40</v>
      </c>
      <c r="EB12" s="1" t="s">
        <v>39</v>
      </c>
      <c r="EC12" s="1" t="s">
        <v>38</v>
      </c>
      <c r="ED12" s="1" t="s">
        <v>37</v>
      </c>
      <c r="EE12" s="1" t="s">
        <v>36</v>
      </c>
      <c r="EF12" s="1" t="s">
        <v>35</v>
      </c>
      <c r="EG12" s="1" t="s">
        <v>34</v>
      </c>
      <c r="EH12" s="1" t="s">
        <v>33</v>
      </c>
      <c r="EI12" s="1" t="s">
        <v>32</v>
      </c>
      <c r="EJ12" s="1" t="s">
        <v>31</v>
      </c>
      <c r="EK12" s="1" t="s">
        <v>30</v>
      </c>
      <c r="EL12" s="1" t="s">
        <v>29</v>
      </c>
      <c r="EM12" s="1" t="s">
        <v>28</v>
      </c>
      <c r="EN12" s="1" t="s">
        <v>27</v>
      </c>
      <c r="EO12" s="1" t="s">
        <v>26</v>
      </c>
      <c r="EP12" s="1" t="s">
        <v>25</v>
      </c>
      <c r="EQ12" s="1" t="s">
        <v>24</v>
      </c>
      <c r="ER12" s="1" t="s">
        <v>23</v>
      </c>
      <c r="ES12" s="1" t="s">
        <v>22</v>
      </c>
      <c r="ET12" s="1" t="s">
        <v>21</v>
      </c>
      <c r="EU12" s="1" t="s">
        <v>20</v>
      </c>
      <c r="EV12" s="1" t="s">
        <v>19</v>
      </c>
      <c r="EW12" s="1" t="s">
        <v>18</v>
      </c>
      <c r="EX12" s="1" t="s">
        <v>17</v>
      </c>
      <c r="EY12" s="1" t="s">
        <v>16</v>
      </c>
      <c r="EZ12" s="1" t="s">
        <v>15</v>
      </c>
      <c r="FA12" s="1" t="s">
        <v>14</v>
      </c>
      <c r="FB12" s="1" t="s">
        <v>13</v>
      </c>
      <c r="FC12" s="1" t="s">
        <v>12</v>
      </c>
      <c r="FD12" s="1" t="s">
        <v>11</v>
      </c>
      <c r="FE12" s="1" t="s">
        <v>138</v>
      </c>
      <c r="FF12" s="1" t="s">
        <v>139</v>
      </c>
      <c r="FG12" s="1" t="s">
        <v>140</v>
      </c>
      <c r="FH12" s="1" t="s">
        <v>141</v>
      </c>
      <c r="FI12" s="1" t="s">
        <v>142</v>
      </c>
      <c r="FJ12" s="1" t="s">
        <v>143</v>
      </c>
      <c r="FK12" s="1" t="s">
        <v>144</v>
      </c>
      <c r="FL12" s="1" t="s">
        <v>145</v>
      </c>
      <c r="FM12" s="1" t="s">
        <v>146</v>
      </c>
      <c r="FN12" s="1" t="s">
        <v>147</v>
      </c>
      <c r="FO12" s="1" t="s">
        <v>148</v>
      </c>
      <c r="FP12" s="1" t="s">
        <v>149</v>
      </c>
      <c r="FQ12" s="1" t="s">
        <v>150</v>
      </c>
      <c r="FR12" s="1" t="s">
        <v>151</v>
      </c>
      <c r="FS12" s="1" t="s">
        <v>152</v>
      </c>
      <c r="FT12" s="1" t="s">
        <v>153</v>
      </c>
      <c r="FU12" s="1" t="s">
        <v>154</v>
      </c>
      <c r="FV12" s="1" t="s">
        <v>155</v>
      </c>
      <c r="FW12" s="1" t="s">
        <v>156</v>
      </c>
      <c r="FX12" s="1" t="s">
        <v>157</v>
      </c>
      <c r="FY12" s="1" t="s">
        <v>158</v>
      </c>
      <c r="FZ12" s="1" t="s">
        <v>159</v>
      </c>
      <c r="GA12" s="1" t="s">
        <v>160</v>
      </c>
      <c r="GB12" s="1" t="s">
        <v>161</v>
      </c>
      <c r="GC12" s="1" t="s">
        <v>162</v>
      </c>
      <c r="GD12" s="1" t="s">
        <v>163</v>
      </c>
      <c r="GE12" s="1" t="s">
        <v>164</v>
      </c>
      <c r="GF12" s="1" t="s">
        <v>165</v>
      </c>
      <c r="GG12" s="1" t="s">
        <v>166</v>
      </c>
      <c r="GH12" s="1" t="s">
        <v>167</v>
      </c>
      <c r="GI12" s="1" t="s">
        <v>168</v>
      </c>
      <c r="GJ12" s="1" t="s">
        <v>169</v>
      </c>
      <c r="GK12" s="1" t="s">
        <v>170</v>
      </c>
      <c r="GL12" s="1" t="s">
        <v>171</v>
      </c>
      <c r="GM12" s="1" t="s">
        <v>172</v>
      </c>
      <c r="GN12" s="1" t="s">
        <v>173</v>
      </c>
      <c r="GO12" s="1" t="s">
        <v>174</v>
      </c>
      <c r="GP12" s="1" t="s">
        <v>175</v>
      </c>
      <c r="GQ12" s="1" t="s">
        <v>176</v>
      </c>
      <c r="GR12" s="1" t="s">
        <v>177</v>
      </c>
      <c r="GS12" s="1" t="s">
        <v>178</v>
      </c>
      <c r="GT12" s="1" t="s">
        <v>179</v>
      </c>
      <c r="GU12" s="1" t="s">
        <v>180</v>
      </c>
      <c r="GV12" s="1" t="s">
        <v>181</v>
      </c>
      <c r="GW12" s="1" t="s">
        <v>182</v>
      </c>
      <c r="GX12" s="1" t="s">
        <v>183</v>
      </c>
      <c r="GY12" s="1" t="s">
        <v>184</v>
      </c>
      <c r="GZ12" s="1" t="s">
        <v>185</v>
      </c>
      <c r="HA12" s="1" t="s">
        <v>186</v>
      </c>
      <c r="HB12" s="1" t="s">
        <v>187</v>
      </c>
      <c r="HC12" s="1" t="s">
        <v>188</v>
      </c>
      <c r="HD12" s="1" t="s">
        <v>189</v>
      </c>
      <c r="HE12" s="1" t="s">
        <v>190</v>
      </c>
      <c r="HF12" s="1" t="s">
        <v>191</v>
      </c>
      <c r="HG12" s="1" t="s">
        <v>192</v>
      </c>
      <c r="HH12" s="1" t="s">
        <v>193</v>
      </c>
      <c r="HI12" s="1" t="s">
        <v>194</v>
      </c>
      <c r="HJ12" s="1" t="s">
        <v>233</v>
      </c>
      <c r="HK12" s="1" t="s">
        <v>234</v>
      </c>
      <c r="HL12" s="1" t="s">
        <v>235</v>
      </c>
      <c r="HM12" s="1" t="s">
        <v>236</v>
      </c>
      <c r="HN12" s="1" t="s">
        <v>237</v>
      </c>
      <c r="HO12" s="1" t="s">
        <v>238</v>
      </c>
      <c r="HP12" s="1" t="s">
        <v>239</v>
      </c>
      <c r="HQ12" s="1" t="s">
        <v>240</v>
      </c>
      <c r="HR12" s="1" t="s">
        <v>241</v>
      </c>
      <c r="HS12" s="1" t="s">
        <v>242</v>
      </c>
      <c r="HT12" s="1" t="s">
        <v>243</v>
      </c>
    </row>
    <row r="13" spans="1:228" s="137" customFormat="1" ht="25.5">
      <c r="A13" s="133" t="s">
        <v>258</v>
      </c>
      <c r="B13" s="133" t="s">
        <v>137</v>
      </c>
      <c r="C13" s="133" t="s">
        <v>133</v>
      </c>
      <c r="D13" s="138">
        <v>25.4</v>
      </c>
      <c r="E13" s="133" t="s">
        <v>134</v>
      </c>
      <c r="F13" s="135">
        <v>2.1</v>
      </c>
      <c r="G13" s="135">
        <v>1.9</v>
      </c>
      <c r="H13" s="135">
        <v>1.9</v>
      </c>
      <c r="I13" s="135">
        <v>1.9</v>
      </c>
      <c r="J13" s="135">
        <v>2.1</v>
      </c>
      <c r="K13" s="135">
        <v>2.1</v>
      </c>
      <c r="L13" s="135">
        <v>2.1</v>
      </c>
      <c r="M13" s="135">
        <v>1.6</v>
      </c>
      <c r="N13" s="135">
        <v>1.4</v>
      </c>
      <c r="O13" s="135">
        <v>1.4</v>
      </c>
      <c r="P13" s="135">
        <v>1.3</v>
      </c>
      <c r="Q13" s="135">
        <v>1.3</v>
      </c>
      <c r="R13" s="135">
        <v>1.2</v>
      </c>
      <c r="S13" s="135">
        <v>1.2</v>
      </c>
      <c r="T13" s="139">
        <v>1.1000000000000001</v>
      </c>
      <c r="U13" s="135">
        <v>1.1000000000000001</v>
      </c>
      <c r="V13" s="135">
        <v>1</v>
      </c>
      <c r="W13" s="135">
        <v>0.9</v>
      </c>
      <c r="X13" s="135">
        <v>0.7</v>
      </c>
      <c r="Y13" s="135">
        <v>0.8</v>
      </c>
      <c r="Z13" s="139">
        <v>0.7</v>
      </c>
      <c r="AA13" s="135">
        <v>0.6</v>
      </c>
      <c r="AB13" s="135">
        <v>0.6</v>
      </c>
      <c r="AC13" s="135">
        <v>0.6</v>
      </c>
      <c r="AD13" s="135">
        <v>0.6</v>
      </c>
      <c r="AE13" s="139">
        <v>0.5</v>
      </c>
      <c r="AF13" s="135">
        <v>0.4</v>
      </c>
      <c r="AG13" s="135">
        <v>0.4</v>
      </c>
      <c r="AH13" s="136">
        <v>0.2</v>
      </c>
      <c r="AI13" s="136">
        <v>0.2</v>
      </c>
      <c r="AJ13" s="136">
        <v>0.2</v>
      </c>
      <c r="AK13" s="136">
        <v>-0.2</v>
      </c>
      <c r="AL13" s="140">
        <v>-0.2</v>
      </c>
      <c r="AM13" s="136">
        <v>-0.3</v>
      </c>
      <c r="AN13" s="136">
        <v>-0.3</v>
      </c>
      <c r="AO13" s="136">
        <v>-0.4</v>
      </c>
      <c r="AP13" s="136">
        <v>-0.3</v>
      </c>
      <c r="AQ13" s="136">
        <v>-0.3</v>
      </c>
      <c r="AR13" s="136">
        <v>-0.3</v>
      </c>
      <c r="AS13" s="136">
        <v>-0.4</v>
      </c>
      <c r="AT13" s="136">
        <v>-0.2</v>
      </c>
      <c r="AU13" s="136">
        <v>-0.2</v>
      </c>
      <c r="AV13" s="136">
        <v>-0.2</v>
      </c>
      <c r="AW13" s="136">
        <v>0.6</v>
      </c>
      <c r="AX13" s="136">
        <v>0.6</v>
      </c>
      <c r="AY13" s="140">
        <v>0.7</v>
      </c>
      <c r="AZ13" s="136">
        <v>0.7</v>
      </c>
      <c r="BA13" s="136">
        <v>0.9</v>
      </c>
      <c r="BB13" s="136">
        <v>0.9</v>
      </c>
      <c r="BC13" s="140">
        <v>0.9</v>
      </c>
      <c r="BD13" s="140">
        <v>0.9</v>
      </c>
      <c r="BE13" s="136">
        <v>1</v>
      </c>
      <c r="BF13" s="136">
        <v>1.1000000000000001</v>
      </c>
      <c r="BG13" s="136">
        <v>1.1000000000000001</v>
      </c>
      <c r="BH13" s="136">
        <v>1.2</v>
      </c>
      <c r="BI13" s="136">
        <v>0.8</v>
      </c>
      <c r="BJ13" s="136">
        <v>0.8</v>
      </c>
      <c r="BK13" s="136">
        <v>0.9</v>
      </c>
      <c r="BL13" s="136">
        <v>0.8</v>
      </c>
      <c r="BM13" s="136">
        <v>0.8</v>
      </c>
      <c r="BN13" s="136">
        <v>1</v>
      </c>
      <c r="BO13" s="136">
        <v>1</v>
      </c>
      <c r="BP13" s="136">
        <v>1.2</v>
      </c>
      <c r="BQ13" s="136">
        <v>1.2</v>
      </c>
      <c r="BR13" s="136">
        <v>1.3</v>
      </c>
      <c r="BS13" s="136">
        <v>1.3</v>
      </c>
      <c r="BT13" s="136">
        <v>1.2</v>
      </c>
      <c r="BU13" s="136">
        <v>1.1000000000000001</v>
      </c>
      <c r="BV13" s="136">
        <v>1.1000000000000001</v>
      </c>
      <c r="BW13" s="136">
        <v>1</v>
      </c>
      <c r="BX13" s="136">
        <v>1</v>
      </c>
      <c r="BY13" s="136">
        <v>0.7</v>
      </c>
      <c r="BZ13" s="136">
        <v>0.5</v>
      </c>
      <c r="CA13" s="136">
        <v>0.5</v>
      </c>
      <c r="CB13" s="136">
        <v>0.3</v>
      </c>
      <c r="CC13" s="136">
        <v>0.3</v>
      </c>
      <c r="CD13" s="136">
        <v>0.2</v>
      </c>
      <c r="CE13" s="136">
        <v>0.3</v>
      </c>
      <c r="CF13" s="136">
        <v>0.3</v>
      </c>
      <c r="CG13" s="136">
        <v>0.4</v>
      </c>
      <c r="CH13" s="136">
        <v>0.3</v>
      </c>
      <c r="CI13" s="136">
        <v>0.4</v>
      </c>
      <c r="CJ13" s="136">
        <v>0.3</v>
      </c>
      <c r="CK13" s="136">
        <v>0.5</v>
      </c>
      <c r="CL13" s="136">
        <v>0.7</v>
      </c>
      <c r="CM13" s="136">
        <v>0.5</v>
      </c>
      <c r="CN13" s="140">
        <v>0.8</v>
      </c>
      <c r="CO13" s="136">
        <v>0.9</v>
      </c>
      <c r="CP13" s="136">
        <v>0.9</v>
      </c>
      <c r="CQ13" s="136">
        <v>0.8</v>
      </c>
      <c r="CR13" s="140">
        <v>0.8</v>
      </c>
      <c r="CS13" s="136">
        <v>1</v>
      </c>
      <c r="CT13" s="136">
        <v>1.1000000000000001</v>
      </c>
      <c r="CU13" s="136">
        <v>1.1000000000000001</v>
      </c>
      <c r="CV13" s="136">
        <v>1.2</v>
      </c>
      <c r="CW13" s="136">
        <v>1.2</v>
      </c>
      <c r="CX13" s="136">
        <v>0.6</v>
      </c>
      <c r="CY13" s="136">
        <v>0.6</v>
      </c>
      <c r="CZ13" s="136">
        <v>0.5</v>
      </c>
      <c r="DA13" s="136">
        <v>0.3</v>
      </c>
      <c r="DB13" s="136">
        <v>0.3</v>
      </c>
      <c r="DC13" s="136">
        <v>0.3</v>
      </c>
      <c r="DD13" s="136">
        <v>0.3</v>
      </c>
      <c r="DE13" s="136">
        <v>0.3</v>
      </c>
      <c r="DF13" s="136">
        <v>0.3</v>
      </c>
      <c r="DG13" s="136">
        <v>0.4</v>
      </c>
      <c r="DH13" s="136">
        <v>0.4</v>
      </c>
      <c r="DI13" s="136">
        <v>0.4</v>
      </c>
      <c r="DJ13" s="136">
        <v>0.8</v>
      </c>
      <c r="DK13" s="136">
        <v>1</v>
      </c>
      <c r="DL13" s="136">
        <v>0.9</v>
      </c>
      <c r="DM13" s="136">
        <v>1</v>
      </c>
      <c r="DN13" s="136">
        <v>1</v>
      </c>
      <c r="DO13" s="136">
        <v>0.9</v>
      </c>
      <c r="DP13" s="136">
        <v>0.9</v>
      </c>
      <c r="DQ13" s="136">
        <v>0.7</v>
      </c>
      <c r="DR13" s="136">
        <v>0.7</v>
      </c>
      <c r="DS13" s="136">
        <v>0.6</v>
      </c>
      <c r="DT13" s="136">
        <v>0.6</v>
      </c>
      <c r="DU13" s="136">
        <v>0.7</v>
      </c>
      <c r="DV13" s="136">
        <v>0.9</v>
      </c>
      <c r="DW13" s="136">
        <v>0.9</v>
      </c>
      <c r="DX13" s="136">
        <v>1</v>
      </c>
      <c r="DY13" s="136">
        <v>1</v>
      </c>
      <c r="DZ13" s="136">
        <v>0.8</v>
      </c>
      <c r="EA13" s="136">
        <v>0.9</v>
      </c>
      <c r="EB13" s="136">
        <v>1</v>
      </c>
      <c r="EC13" s="136">
        <v>1</v>
      </c>
      <c r="ED13" s="136">
        <v>1.1000000000000001</v>
      </c>
      <c r="EE13" s="136">
        <v>1.1000000000000001</v>
      </c>
      <c r="EF13" s="136">
        <v>1.1000000000000001</v>
      </c>
      <c r="EG13" s="136">
        <v>1.1000000000000001</v>
      </c>
      <c r="EH13" s="136">
        <v>0.9</v>
      </c>
      <c r="EI13" s="136">
        <v>0.8</v>
      </c>
      <c r="EJ13" s="136">
        <v>0.8</v>
      </c>
      <c r="EK13" s="136">
        <v>0.7</v>
      </c>
      <c r="EL13" s="136">
        <v>0.9</v>
      </c>
      <c r="EM13" s="136">
        <v>0.9</v>
      </c>
      <c r="EN13" s="136">
        <v>0.7</v>
      </c>
      <c r="EO13" s="136">
        <v>1</v>
      </c>
      <c r="EP13" s="136">
        <v>1</v>
      </c>
      <c r="EQ13" s="136">
        <v>1</v>
      </c>
      <c r="ER13" s="136">
        <v>1.1000000000000001</v>
      </c>
      <c r="ES13" s="136">
        <v>1</v>
      </c>
      <c r="ET13" s="136">
        <v>1.1000000000000001</v>
      </c>
      <c r="EU13" s="136">
        <v>1</v>
      </c>
      <c r="EV13" s="136">
        <v>1</v>
      </c>
      <c r="EW13" s="136">
        <v>1</v>
      </c>
      <c r="EX13" s="136">
        <v>1</v>
      </c>
      <c r="EY13" s="136">
        <v>1</v>
      </c>
      <c r="EZ13" s="136">
        <v>1</v>
      </c>
      <c r="FA13" s="136">
        <v>0.8841</v>
      </c>
      <c r="FB13" s="136">
        <v>0.90559999999999996</v>
      </c>
      <c r="FC13" s="136">
        <v>0.75990000000000002</v>
      </c>
      <c r="FD13" s="136">
        <v>0.66639999999999999</v>
      </c>
      <c r="FE13" s="136">
        <v>0.70850000000000002</v>
      </c>
      <c r="FF13" s="136">
        <v>0.69830000000000003</v>
      </c>
      <c r="FG13" s="136">
        <v>0.75090000000000001</v>
      </c>
      <c r="FH13" s="136">
        <v>0.77239999999999998</v>
      </c>
      <c r="FI13" s="136">
        <v>0.75180000000000002</v>
      </c>
      <c r="FJ13" s="136">
        <v>0.69969999999999999</v>
      </c>
      <c r="FK13" s="136">
        <v>0.74180000000000001</v>
      </c>
      <c r="FL13" s="136">
        <v>0.69989999999999997</v>
      </c>
      <c r="FM13" s="136">
        <v>0.78620000000000001</v>
      </c>
      <c r="FN13" s="136">
        <v>0.7974</v>
      </c>
      <c r="FO13" s="136">
        <v>0.88219999999999998</v>
      </c>
      <c r="FP13" s="136">
        <v>1.1479999999999999</v>
      </c>
      <c r="FQ13" s="136">
        <v>1.0848</v>
      </c>
      <c r="FR13" s="136">
        <v>1.0531999999999999</v>
      </c>
      <c r="FS13" s="136">
        <v>1.1606000000000001</v>
      </c>
      <c r="FT13" s="136">
        <v>1.0867</v>
      </c>
      <c r="FU13" s="136">
        <v>1.2261</v>
      </c>
      <c r="FV13" s="136">
        <v>1.4944</v>
      </c>
      <c r="FW13" s="136">
        <v>1.9167000000000001</v>
      </c>
      <c r="FX13" s="136">
        <v>2.0249000000000001</v>
      </c>
      <c r="FY13" s="136">
        <v>2.2401</v>
      </c>
      <c r="FZ13" s="136">
        <v>2.3408000000000002</v>
      </c>
      <c r="GA13" s="136">
        <v>2.4312</v>
      </c>
      <c r="GB13" s="136">
        <v>2.4272</v>
      </c>
      <c r="GC13" s="136">
        <v>2.7153</v>
      </c>
      <c r="GD13" s="136">
        <v>2.8153999999999999</v>
      </c>
      <c r="GE13" s="136">
        <v>2.8206000000000002</v>
      </c>
      <c r="GF13" s="136">
        <v>2.8206000000000002</v>
      </c>
      <c r="GG13" s="136">
        <v>2.7475999999999998</v>
      </c>
      <c r="GH13" s="136">
        <v>2.6547999999999998</v>
      </c>
      <c r="GI13" s="136">
        <v>2.3654000000000002</v>
      </c>
      <c r="GJ13" s="136">
        <v>2.3786</v>
      </c>
      <c r="GK13" s="136">
        <v>3.1737000000000002</v>
      </c>
      <c r="GL13" s="136">
        <v>3.0769000000000002</v>
      </c>
      <c r="GM13" s="136">
        <v>3.1857000000000002</v>
      </c>
      <c r="GN13" s="136">
        <v>3</v>
      </c>
      <c r="GO13" s="136">
        <v>2.8025000000000002</v>
      </c>
      <c r="GP13" s="136">
        <v>2.9083999999999999</v>
      </c>
      <c r="GQ13" s="136">
        <v>2.7189999999999999</v>
      </c>
      <c r="GR13" s="136">
        <v>2.8106</v>
      </c>
      <c r="GS13" s="136">
        <v>2.8022999999999998</v>
      </c>
      <c r="GT13" s="136">
        <v>2.8075999999999999</v>
      </c>
      <c r="GU13" s="136">
        <v>2.8245</v>
      </c>
      <c r="GV13" s="136">
        <v>2.9312999999999998</v>
      </c>
      <c r="GW13" s="136">
        <v>2.5516000000000001</v>
      </c>
      <c r="GX13" s="136">
        <v>2.4609000000000001</v>
      </c>
      <c r="GY13" s="136">
        <v>2.2704</v>
      </c>
      <c r="GZ13" s="136">
        <v>2.2610999999999999</v>
      </c>
      <c r="HA13" s="136">
        <v>2.1701999999999999</v>
      </c>
      <c r="HB13" s="136">
        <v>1.9657</v>
      </c>
      <c r="HC13" s="136">
        <v>2.0701000000000001</v>
      </c>
      <c r="HD13" s="136">
        <v>2.1766000000000001</v>
      </c>
      <c r="HE13" s="136">
        <v>2.2839</v>
      </c>
      <c r="HF13" s="136">
        <v>2.1947999999999999</v>
      </c>
      <c r="HG13" s="136">
        <v>1.9890000000000001</v>
      </c>
      <c r="HH13" s="136">
        <v>1.8880999999999999</v>
      </c>
      <c r="HI13" s="136">
        <v>1.2051000000000001</v>
      </c>
      <c r="HJ13" s="136">
        <v>1.2981</v>
      </c>
      <c r="HK13" s="136">
        <v>1.1947000000000001</v>
      </c>
      <c r="HL13" s="136">
        <v>1.1028</v>
      </c>
      <c r="HM13" s="136">
        <v>1.2075</v>
      </c>
      <c r="HN13" s="136">
        <v>1.4056999999999999</v>
      </c>
      <c r="HO13" s="136">
        <v>1.302</v>
      </c>
      <c r="HP13" s="136">
        <v>1.1061000000000001</v>
      </c>
      <c r="HQ13" s="136">
        <v>0.89870000000000005</v>
      </c>
      <c r="HR13" s="136">
        <v>0.79500000000000004</v>
      </c>
      <c r="HS13" s="136">
        <v>0.89970000000000006</v>
      </c>
      <c r="HT13" s="136">
        <v>0.88890000000000002</v>
      </c>
    </row>
    <row r="14" spans="1:228">
      <c r="A14" s="96" t="s">
        <v>257</v>
      </c>
    </row>
    <row r="15" spans="1:228">
      <c r="A15" s="5" t="s">
        <v>197</v>
      </c>
    </row>
    <row r="16" spans="1:228"/>
    <row r="17" spans="1:149" ht="17.25" thickBot="1">
      <c r="F17" s="124" t="s">
        <v>315</v>
      </c>
      <c r="G17" s="124" t="s">
        <v>313</v>
      </c>
      <c r="H17" s="124" t="s">
        <v>311</v>
      </c>
      <c r="I17" s="124" t="s">
        <v>308</v>
      </c>
      <c r="J17" s="124" t="s">
        <v>307</v>
      </c>
      <c r="K17" s="124" t="s">
        <v>306</v>
      </c>
      <c r="L17" s="124" t="s">
        <v>303</v>
      </c>
      <c r="M17" s="124" t="s">
        <v>302</v>
      </c>
      <c r="N17" s="124" t="s">
        <v>301</v>
      </c>
      <c r="O17" s="124" t="s">
        <v>300</v>
      </c>
      <c r="P17" s="124" t="s">
        <v>295</v>
      </c>
      <c r="Q17" s="124" t="s">
        <v>291</v>
      </c>
      <c r="R17" t="s">
        <v>287</v>
      </c>
      <c r="S17" t="s">
        <v>284</v>
      </c>
      <c r="T17" t="s">
        <v>285</v>
      </c>
      <c r="U17" t="s">
        <v>283</v>
      </c>
      <c r="V17" t="s">
        <v>268</v>
      </c>
      <c r="W17" t="s">
        <v>269</v>
      </c>
      <c r="X17" t="s">
        <v>267</v>
      </c>
      <c r="Y17" t="s">
        <v>265</v>
      </c>
      <c r="Z17" t="s">
        <v>266</v>
      </c>
      <c r="AA17" t="s">
        <v>264</v>
      </c>
      <c r="AB17" t="s">
        <v>263</v>
      </c>
      <c r="AC17" t="s">
        <v>261</v>
      </c>
      <c r="AD17" t="s">
        <v>262</v>
      </c>
      <c r="AE17" t="s">
        <v>250</v>
      </c>
      <c r="AF17" t="s">
        <v>251</v>
      </c>
      <c r="AG17" t="s">
        <v>249</v>
      </c>
      <c r="AH17" t="s">
        <v>248</v>
      </c>
      <c r="AI17" t="s">
        <v>247</v>
      </c>
      <c r="AJ17" t="s">
        <v>245</v>
      </c>
      <c r="AK17" t="s">
        <v>232</v>
      </c>
      <c r="AL17" t="s">
        <v>231</v>
      </c>
      <c r="AM17" t="s">
        <v>227</v>
      </c>
      <c r="AN17" t="s">
        <v>228</v>
      </c>
      <c r="AO17" t="s">
        <v>130</v>
      </c>
      <c r="AP17" t="s">
        <v>129</v>
      </c>
      <c r="AQ17" t="s">
        <v>128</v>
      </c>
      <c r="AR17" t="s">
        <v>127</v>
      </c>
      <c r="AS17" t="s">
        <v>126</v>
      </c>
      <c r="AT17" t="s">
        <v>125</v>
      </c>
      <c r="AU17" t="s">
        <v>124</v>
      </c>
      <c r="AV17" t="s">
        <v>123</v>
      </c>
      <c r="AW17" t="s">
        <v>122</v>
      </c>
      <c r="AX17" t="s">
        <v>121</v>
      </c>
      <c r="AY17" t="s">
        <v>120</v>
      </c>
      <c r="AZ17" t="s">
        <v>119</v>
      </c>
      <c r="BA17" t="s">
        <v>118</v>
      </c>
      <c r="BB17" t="s">
        <v>117</v>
      </c>
      <c r="BC17" t="s">
        <v>116</v>
      </c>
      <c r="BD17" t="s">
        <v>115</v>
      </c>
      <c r="BE17" t="s">
        <v>114</v>
      </c>
      <c r="BF17" t="s">
        <v>113</v>
      </c>
      <c r="BG17" t="s">
        <v>112</v>
      </c>
      <c r="BH17" t="s">
        <v>111</v>
      </c>
      <c r="BI17" t="s">
        <v>110</v>
      </c>
      <c r="BJ17" t="s">
        <v>109</v>
      </c>
      <c r="BK17" t="s">
        <v>108</v>
      </c>
      <c r="BL17" t="s">
        <v>107</v>
      </c>
      <c r="BM17" t="s">
        <v>106</v>
      </c>
      <c r="BN17" t="s">
        <v>105</v>
      </c>
      <c r="BO17" t="s">
        <v>104</v>
      </c>
      <c r="BP17" t="s">
        <v>103</v>
      </c>
      <c r="BQ17" t="s">
        <v>102</v>
      </c>
      <c r="BR17" t="s">
        <v>101</v>
      </c>
      <c r="BS17" t="s">
        <v>100</v>
      </c>
      <c r="BT17" t="s">
        <v>99</v>
      </c>
      <c r="BU17" t="s">
        <v>98</v>
      </c>
      <c r="BV17" t="s">
        <v>97</v>
      </c>
      <c r="BW17" t="s">
        <v>96</v>
      </c>
      <c r="BX17" t="s">
        <v>95</v>
      </c>
      <c r="BY17" t="s">
        <v>94</v>
      </c>
      <c r="BZ17" t="s">
        <v>93</v>
      </c>
      <c r="CA17" t="s">
        <v>92</v>
      </c>
      <c r="CB17" t="s">
        <v>91</v>
      </c>
      <c r="CC17" t="s">
        <v>90</v>
      </c>
      <c r="CD17" t="s">
        <v>89</v>
      </c>
      <c r="CE17" t="s">
        <v>88</v>
      </c>
      <c r="CF17" t="s">
        <v>87</v>
      </c>
      <c r="CG17" t="s">
        <v>86</v>
      </c>
      <c r="CH17" t="s">
        <v>85</v>
      </c>
      <c r="CI17" t="s">
        <v>84</v>
      </c>
      <c r="CJ17" t="s">
        <v>83</v>
      </c>
      <c r="CK17" t="s">
        <v>82</v>
      </c>
      <c r="CL17" t="s">
        <v>81</v>
      </c>
      <c r="CM17" t="s">
        <v>80</v>
      </c>
      <c r="CN17" t="s">
        <v>79</v>
      </c>
      <c r="CO17" t="s">
        <v>78</v>
      </c>
      <c r="CP17" t="s">
        <v>77</v>
      </c>
      <c r="CQ17" t="s">
        <v>76</v>
      </c>
      <c r="CR17" t="s">
        <v>75</v>
      </c>
      <c r="CS17" t="s">
        <v>74</v>
      </c>
      <c r="CT17" t="s">
        <v>73</v>
      </c>
      <c r="CU17" t="s">
        <v>72</v>
      </c>
      <c r="CV17" t="s">
        <v>71</v>
      </c>
      <c r="CW17" t="s">
        <v>70</v>
      </c>
      <c r="CX17" t="s">
        <v>69</v>
      </c>
      <c r="CY17" t="s">
        <v>68</v>
      </c>
      <c r="CZ17" t="s">
        <v>67</v>
      </c>
      <c r="DA17" t="s">
        <v>66</v>
      </c>
      <c r="DB17" t="s">
        <v>65</v>
      </c>
      <c r="DC17" t="s">
        <v>64</v>
      </c>
      <c r="DD17" t="s">
        <v>63</v>
      </c>
      <c r="DE17" t="s">
        <v>62</v>
      </c>
      <c r="DF17" t="s">
        <v>61</v>
      </c>
      <c r="DG17" t="s">
        <v>60</v>
      </c>
      <c r="DH17" t="s">
        <v>59</v>
      </c>
      <c r="DI17" t="s">
        <v>58</v>
      </c>
      <c r="DJ17" t="s">
        <v>57</v>
      </c>
      <c r="DK17" t="s">
        <v>56</v>
      </c>
      <c r="DL17" t="s">
        <v>55</v>
      </c>
      <c r="DM17" t="s">
        <v>54</v>
      </c>
      <c r="DN17" t="s">
        <v>53</v>
      </c>
      <c r="DO17" t="s">
        <v>52</v>
      </c>
      <c r="DP17" t="s">
        <v>51</v>
      </c>
      <c r="DQ17" t="s">
        <v>50</v>
      </c>
      <c r="DR17" t="s">
        <v>49</v>
      </c>
      <c r="DS17" t="s">
        <v>48</v>
      </c>
      <c r="DT17" t="s">
        <v>47</v>
      </c>
      <c r="DU17" t="s">
        <v>46</v>
      </c>
      <c r="DV17" t="s">
        <v>45</v>
      </c>
      <c r="DW17" t="s">
        <v>44</v>
      </c>
      <c r="DX17" t="s">
        <v>43</v>
      </c>
      <c r="DY17" t="s">
        <v>42</v>
      </c>
      <c r="DZ17" t="s">
        <v>41</v>
      </c>
      <c r="EA17" t="s">
        <v>40</v>
      </c>
      <c r="EB17" t="s">
        <v>39</v>
      </c>
      <c r="EC17" t="s">
        <v>38</v>
      </c>
      <c r="ED17" t="s">
        <v>37</v>
      </c>
      <c r="EE17" t="s">
        <v>36</v>
      </c>
      <c r="EF17" t="s">
        <v>35</v>
      </c>
      <c r="EG17" t="s">
        <v>34</v>
      </c>
      <c r="EH17" t="s">
        <v>33</v>
      </c>
    </row>
    <row r="18" spans="1:149">
      <c r="A18" s="101"/>
      <c r="B18" s="102"/>
      <c r="C18" s="102"/>
      <c r="D18" s="102"/>
      <c r="E18" s="102"/>
      <c r="F18" s="102">
        <v>2.1</v>
      </c>
      <c r="G18" s="102">
        <v>1.9</v>
      </c>
      <c r="H18" s="102">
        <v>1.9</v>
      </c>
      <c r="I18" s="102">
        <v>1.9</v>
      </c>
      <c r="J18" s="102">
        <v>2.1</v>
      </c>
      <c r="K18" s="102">
        <v>2.1</v>
      </c>
      <c r="L18" s="102">
        <v>2.1</v>
      </c>
      <c r="M18" s="102">
        <v>1.6</v>
      </c>
      <c r="N18" s="102">
        <v>1.4</v>
      </c>
      <c r="O18" s="102">
        <v>1.4</v>
      </c>
      <c r="P18" s="102">
        <v>1.3</v>
      </c>
      <c r="Q18" s="102">
        <v>1.3</v>
      </c>
      <c r="R18" s="102">
        <v>1.2</v>
      </c>
      <c r="S18" s="102">
        <v>1.2</v>
      </c>
      <c r="T18" s="102">
        <v>1.1000000000000001</v>
      </c>
      <c r="U18" s="102">
        <v>1.1000000000000001</v>
      </c>
      <c r="V18" s="102">
        <v>1</v>
      </c>
      <c r="W18" s="102">
        <v>0.9</v>
      </c>
      <c r="X18" s="102">
        <v>0.7</v>
      </c>
      <c r="Y18" s="102">
        <v>0.8</v>
      </c>
      <c r="Z18" s="102">
        <v>0.7</v>
      </c>
      <c r="AA18" s="102">
        <v>0.6</v>
      </c>
      <c r="AB18" s="102">
        <v>0.6</v>
      </c>
      <c r="AC18" s="102">
        <v>0.6</v>
      </c>
      <c r="AD18" s="102">
        <v>0.6</v>
      </c>
      <c r="AE18" s="102">
        <v>0.5</v>
      </c>
      <c r="AF18" s="102">
        <v>0.4</v>
      </c>
      <c r="AG18" s="102">
        <v>0.4</v>
      </c>
      <c r="AH18" s="102">
        <v>0.2</v>
      </c>
      <c r="AI18" s="102">
        <v>0.2</v>
      </c>
      <c r="AJ18" s="102">
        <v>0.2</v>
      </c>
      <c r="AK18" s="102">
        <v>-0.2</v>
      </c>
      <c r="AL18" s="102">
        <v>-0.2</v>
      </c>
      <c r="AM18" s="102">
        <v>-0.3</v>
      </c>
      <c r="AN18" s="102">
        <v>-0.3</v>
      </c>
      <c r="AO18" s="102">
        <v>-0.4</v>
      </c>
      <c r="AP18" s="102">
        <v>-0.3</v>
      </c>
      <c r="AQ18" s="102">
        <v>-0.3</v>
      </c>
      <c r="AR18" s="102">
        <v>-0.3</v>
      </c>
      <c r="AS18" s="102">
        <v>-0.4</v>
      </c>
      <c r="AT18" s="102">
        <v>-0.2</v>
      </c>
      <c r="AU18" s="102">
        <v>-0.2</v>
      </c>
      <c r="AV18" s="102">
        <v>-0.2</v>
      </c>
      <c r="AW18" s="102">
        <v>0.6</v>
      </c>
      <c r="AX18" s="102">
        <v>0.6</v>
      </c>
      <c r="AY18" s="102">
        <v>0.7</v>
      </c>
      <c r="AZ18" s="102">
        <v>0.7</v>
      </c>
      <c r="BA18" s="102">
        <v>0.9</v>
      </c>
      <c r="BB18" s="102">
        <v>0.9</v>
      </c>
      <c r="BC18" s="102">
        <v>0.9</v>
      </c>
      <c r="BD18" s="102">
        <v>0.9</v>
      </c>
      <c r="BE18" s="102">
        <v>1</v>
      </c>
      <c r="BF18" s="102">
        <v>1.1000000000000001</v>
      </c>
      <c r="BG18" s="102">
        <v>1.1000000000000001</v>
      </c>
      <c r="BH18" s="102">
        <v>1.2</v>
      </c>
      <c r="BI18" s="102">
        <v>0.8</v>
      </c>
      <c r="BJ18" s="102">
        <v>0.8</v>
      </c>
      <c r="BK18" s="102">
        <v>0.9</v>
      </c>
      <c r="BL18" s="102">
        <v>0.8</v>
      </c>
      <c r="BM18" s="102">
        <v>0.8</v>
      </c>
      <c r="BN18" s="102">
        <v>1</v>
      </c>
      <c r="BO18" s="102">
        <v>1</v>
      </c>
      <c r="BP18" s="102">
        <v>1.2</v>
      </c>
      <c r="BQ18" s="102">
        <v>1.2</v>
      </c>
      <c r="BR18" s="102">
        <v>1.3</v>
      </c>
      <c r="BS18" s="102">
        <v>1.3</v>
      </c>
      <c r="BT18" s="102">
        <v>1.2</v>
      </c>
      <c r="BU18" s="102">
        <v>1.1000000000000001</v>
      </c>
      <c r="BV18" s="102">
        <v>1.1000000000000001</v>
      </c>
      <c r="BW18" s="102">
        <v>1</v>
      </c>
      <c r="BX18" s="102">
        <v>1</v>
      </c>
      <c r="BY18" s="102">
        <v>0.7</v>
      </c>
      <c r="BZ18" s="102">
        <v>0.5</v>
      </c>
      <c r="CA18" s="102">
        <v>0.5</v>
      </c>
      <c r="CB18" s="102">
        <v>0.3</v>
      </c>
      <c r="CC18" s="102">
        <v>0.3</v>
      </c>
      <c r="CD18" s="102">
        <v>0.2</v>
      </c>
      <c r="CE18" s="102">
        <v>0.3</v>
      </c>
      <c r="CF18" s="102">
        <v>0.3</v>
      </c>
      <c r="CG18" s="102">
        <v>0.4</v>
      </c>
      <c r="CH18" s="102">
        <v>0.3</v>
      </c>
      <c r="CI18" s="102">
        <v>0.4</v>
      </c>
      <c r="CJ18" s="102">
        <v>0.3</v>
      </c>
      <c r="CK18" s="102">
        <v>0.5</v>
      </c>
      <c r="CL18" s="102">
        <v>0.7</v>
      </c>
      <c r="CM18" s="102">
        <v>0.5</v>
      </c>
      <c r="CN18" s="102">
        <v>0.8</v>
      </c>
      <c r="CO18" s="102">
        <v>0.9</v>
      </c>
      <c r="CP18" s="102">
        <v>0.9</v>
      </c>
      <c r="CQ18" s="102">
        <v>0.8</v>
      </c>
      <c r="CR18" s="102">
        <v>0.8</v>
      </c>
      <c r="CS18" s="102">
        <v>1</v>
      </c>
      <c r="CT18" s="102">
        <v>1.1000000000000001</v>
      </c>
      <c r="CU18" s="102">
        <v>1.1000000000000001</v>
      </c>
      <c r="CV18" s="102">
        <v>1.2</v>
      </c>
      <c r="CW18" s="102">
        <v>1.2</v>
      </c>
      <c r="CX18" s="102">
        <v>0.6</v>
      </c>
      <c r="CY18" s="102">
        <v>0.6</v>
      </c>
      <c r="CZ18" s="102">
        <v>0.5</v>
      </c>
      <c r="DA18" s="102">
        <v>0.3</v>
      </c>
      <c r="DB18" s="102">
        <v>0.3</v>
      </c>
      <c r="DC18" s="102">
        <v>0.3</v>
      </c>
      <c r="DD18" s="102">
        <v>0.3</v>
      </c>
      <c r="DE18" s="102">
        <v>0.3</v>
      </c>
      <c r="DF18" s="102">
        <v>0.3</v>
      </c>
      <c r="DG18" s="102">
        <v>0.4</v>
      </c>
      <c r="DH18" s="102">
        <v>0.4</v>
      </c>
      <c r="DI18" s="102">
        <v>0.4</v>
      </c>
      <c r="DJ18" s="102">
        <v>0.8</v>
      </c>
      <c r="DK18" s="102">
        <v>1</v>
      </c>
      <c r="DL18" s="102">
        <v>0.9</v>
      </c>
      <c r="DM18" s="102">
        <v>1</v>
      </c>
      <c r="DN18" s="102">
        <v>1</v>
      </c>
      <c r="DO18" s="102">
        <v>0.9</v>
      </c>
      <c r="DP18" s="102">
        <v>0.9</v>
      </c>
      <c r="DQ18" s="102">
        <v>0.7</v>
      </c>
      <c r="DR18" s="102">
        <v>0.7</v>
      </c>
      <c r="DS18" s="102">
        <v>0.6</v>
      </c>
      <c r="DT18" s="102">
        <v>0.6</v>
      </c>
      <c r="DU18" s="102">
        <v>0.7</v>
      </c>
      <c r="DV18" s="102">
        <v>0.9</v>
      </c>
      <c r="DW18" s="102">
        <v>0.9</v>
      </c>
      <c r="DX18" s="102">
        <v>1</v>
      </c>
      <c r="DY18" s="102">
        <v>1</v>
      </c>
      <c r="DZ18" s="102">
        <v>0.8</v>
      </c>
      <c r="EA18" s="102">
        <v>0.9</v>
      </c>
      <c r="EB18" s="102">
        <v>1</v>
      </c>
      <c r="EC18" s="102">
        <v>1</v>
      </c>
      <c r="ED18" s="102">
        <v>1.1000000000000001</v>
      </c>
      <c r="EE18" s="102">
        <v>1.1000000000000001</v>
      </c>
      <c r="EF18" s="102">
        <v>1.1000000000000001</v>
      </c>
      <c r="EG18" s="102">
        <v>1.1000000000000001</v>
      </c>
      <c r="EH18" s="102">
        <v>0.9</v>
      </c>
      <c r="EI18" s="102">
        <v>0.8</v>
      </c>
      <c r="EJ18" s="102"/>
      <c r="EK18" s="102"/>
      <c r="EL18" s="102"/>
      <c r="EM18" s="102"/>
      <c r="EN18" s="102"/>
      <c r="EO18" s="102"/>
      <c r="EP18" s="102"/>
      <c r="EQ18" s="102"/>
      <c r="ER18" s="102"/>
      <c r="ES18" s="103"/>
    </row>
    <row r="19" spans="1:149" ht="17.25" thickBot="1">
      <c r="A19" s="106" t="s">
        <v>260</v>
      </c>
      <c r="B19" s="107" t="b">
        <f>COUNTIF(E19:ES19,TRUE)=COUNTA(E19:ES19)</f>
        <v>1</v>
      </c>
      <c r="C19" s="104"/>
      <c r="D19" s="104"/>
      <c r="E19" s="104"/>
      <c r="F19" s="104" t="b">
        <f t="shared" ref="F19:G19" si="809">F18=F13</f>
        <v>1</v>
      </c>
      <c r="G19" s="104" t="b">
        <f t="shared" si="809"/>
        <v>1</v>
      </c>
      <c r="H19" s="104" t="b">
        <f t="shared" ref="H19:I19" si="810">H18=H13</f>
        <v>1</v>
      </c>
      <c r="I19" s="104" t="b">
        <f t="shared" si="810"/>
        <v>1</v>
      </c>
      <c r="J19" s="104" t="b">
        <f t="shared" ref="J19:K19" si="811">J18=J13</f>
        <v>1</v>
      </c>
      <c r="K19" s="104" t="b">
        <f t="shared" si="811"/>
        <v>1</v>
      </c>
      <c r="L19" s="104" t="b">
        <f t="shared" ref="L19:O19" si="812">L18=L13</f>
        <v>1</v>
      </c>
      <c r="M19" s="104" t="b">
        <f t="shared" si="812"/>
        <v>1</v>
      </c>
      <c r="N19" s="104" t="b">
        <f t="shared" si="812"/>
        <v>1</v>
      </c>
      <c r="O19" s="104" t="b">
        <f t="shared" si="812"/>
        <v>1</v>
      </c>
      <c r="P19" s="104" t="b">
        <f>P18=P13</f>
        <v>1</v>
      </c>
      <c r="Q19" s="104" t="b">
        <f>Q18=Q13</f>
        <v>1</v>
      </c>
      <c r="R19" s="104" t="b">
        <f>R18=R13</f>
        <v>1</v>
      </c>
      <c r="S19" s="104" t="b">
        <f>S18=S13</f>
        <v>1</v>
      </c>
      <c r="T19" s="104" t="b">
        <f t="shared" ref="T19:CE19" si="813">T18=T13</f>
        <v>1</v>
      </c>
      <c r="U19" s="104" t="b">
        <f t="shared" si="813"/>
        <v>1</v>
      </c>
      <c r="V19" s="104" t="b">
        <f t="shared" si="813"/>
        <v>1</v>
      </c>
      <c r="W19" s="104" t="b">
        <f t="shared" si="813"/>
        <v>1</v>
      </c>
      <c r="X19" s="104" t="b">
        <f t="shared" si="813"/>
        <v>1</v>
      </c>
      <c r="Y19" s="104" t="b">
        <f t="shared" si="813"/>
        <v>1</v>
      </c>
      <c r="Z19" s="104" t="b">
        <f t="shared" si="813"/>
        <v>1</v>
      </c>
      <c r="AA19" s="104" t="b">
        <f t="shared" si="813"/>
        <v>1</v>
      </c>
      <c r="AB19" s="104" t="b">
        <f t="shared" si="813"/>
        <v>1</v>
      </c>
      <c r="AC19" s="104" t="b">
        <f t="shared" si="813"/>
        <v>1</v>
      </c>
      <c r="AD19" s="104" t="b">
        <f t="shared" si="813"/>
        <v>1</v>
      </c>
      <c r="AE19" s="104" t="b">
        <f t="shared" si="813"/>
        <v>1</v>
      </c>
      <c r="AF19" s="104" t="b">
        <f t="shared" si="813"/>
        <v>1</v>
      </c>
      <c r="AG19" s="104" t="b">
        <f t="shared" si="813"/>
        <v>1</v>
      </c>
      <c r="AH19" s="104" t="b">
        <f t="shared" si="813"/>
        <v>1</v>
      </c>
      <c r="AI19" s="104" t="b">
        <f t="shared" si="813"/>
        <v>1</v>
      </c>
      <c r="AJ19" s="104" t="b">
        <f t="shared" si="813"/>
        <v>1</v>
      </c>
      <c r="AK19" s="104" t="b">
        <f t="shared" si="813"/>
        <v>1</v>
      </c>
      <c r="AL19" s="104" t="b">
        <f t="shared" si="813"/>
        <v>1</v>
      </c>
      <c r="AM19" s="104" t="b">
        <f t="shared" si="813"/>
        <v>1</v>
      </c>
      <c r="AN19" s="104" t="b">
        <f t="shared" si="813"/>
        <v>1</v>
      </c>
      <c r="AO19" s="104" t="b">
        <f t="shared" si="813"/>
        <v>1</v>
      </c>
      <c r="AP19" s="104" t="b">
        <f t="shared" si="813"/>
        <v>1</v>
      </c>
      <c r="AQ19" s="104" t="b">
        <f t="shared" si="813"/>
        <v>1</v>
      </c>
      <c r="AR19" s="104" t="b">
        <f t="shared" si="813"/>
        <v>1</v>
      </c>
      <c r="AS19" s="104" t="b">
        <f t="shared" si="813"/>
        <v>1</v>
      </c>
      <c r="AT19" s="104" t="b">
        <f t="shared" si="813"/>
        <v>1</v>
      </c>
      <c r="AU19" s="104" t="b">
        <f t="shared" si="813"/>
        <v>1</v>
      </c>
      <c r="AV19" s="104" t="b">
        <f t="shared" si="813"/>
        <v>1</v>
      </c>
      <c r="AW19" s="104" t="b">
        <f t="shared" si="813"/>
        <v>1</v>
      </c>
      <c r="AX19" s="104" t="b">
        <f t="shared" si="813"/>
        <v>1</v>
      </c>
      <c r="AY19" s="104" t="b">
        <f t="shared" si="813"/>
        <v>1</v>
      </c>
      <c r="AZ19" s="104" t="b">
        <f t="shared" si="813"/>
        <v>1</v>
      </c>
      <c r="BA19" s="104" t="b">
        <f t="shared" si="813"/>
        <v>1</v>
      </c>
      <c r="BB19" s="104" t="b">
        <f t="shared" si="813"/>
        <v>1</v>
      </c>
      <c r="BC19" s="104" t="b">
        <f t="shared" si="813"/>
        <v>1</v>
      </c>
      <c r="BD19" s="104" t="b">
        <f t="shared" si="813"/>
        <v>1</v>
      </c>
      <c r="BE19" s="104" t="b">
        <f t="shared" si="813"/>
        <v>1</v>
      </c>
      <c r="BF19" s="104" t="b">
        <f t="shared" si="813"/>
        <v>1</v>
      </c>
      <c r="BG19" s="104" t="b">
        <f t="shared" si="813"/>
        <v>1</v>
      </c>
      <c r="BH19" s="104" t="b">
        <f t="shared" si="813"/>
        <v>1</v>
      </c>
      <c r="BI19" s="104" t="b">
        <f t="shared" si="813"/>
        <v>1</v>
      </c>
      <c r="BJ19" s="104" t="b">
        <f t="shared" si="813"/>
        <v>1</v>
      </c>
      <c r="BK19" s="104" t="b">
        <f t="shared" si="813"/>
        <v>1</v>
      </c>
      <c r="BL19" s="104" t="b">
        <f t="shared" si="813"/>
        <v>1</v>
      </c>
      <c r="BM19" s="104" t="b">
        <f t="shared" si="813"/>
        <v>1</v>
      </c>
      <c r="BN19" s="104" t="b">
        <f t="shared" si="813"/>
        <v>1</v>
      </c>
      <c r="BO19" s="104" t="b">
        <f t="shared" si="813"/>
        <v>1</v>
      </c>
      <c r="BP19" s="104" t="b">
        <f t="shared" si="813"/>
        <v>1</v>
      </c>
      <c r="BQ19" s="104" t="b">
        <f t="shared" si="813"/>
        <v>1</v>
      </c>
      <c r="BR19" s="104" t="b">
        <f t="shared" si="813"/>
        <v>1</v>
      </c>
      <c r="BS19" s="104" t="b">
        <f t="shared" si="813"/>
        <v>1</v>
      </c>
      <c r="BT19" s="104" t="b">
        <f t="shared" si="813"/>
        <v>1</v>
      </c>
      <c r="BU19" s="104" t="b">
        <f t="shared" si="813"/>
        <v>1</v>
      </c>
      <c r="BV19" s="104" t="b">
        <f t="shared" si="813"/>
        <v>1</v>
      </c>
      <c r="BW19" s="104" t="b">
        <f t="shared" si="813"/>
        <v>1</v>
      </c>
      <c r="BX19" s="104" t="b">
        <f t="shared" si="813"/>
        <v>1</v>
      </c>
      <c r="BY19" s="104" t="b">
        <f t="shared" si="813"/>
        <v>1</v>
      </c>
      <c r="BZ19" s="104" t="b">
        <f t="shared" si="813"/>
        <v>1</v>
      </c>
      <c r="CA19" s="104" t="b">
        <f t="shared" si="813"/>
        <v>1</v>
      </c>
      <c r="CB19" s="104" t="b">
        <f t="shared" si="813"/>
        <v>1</v>
      </c>
      <c r="CC19" s="104" t="b">
        <f t="shared" si="813"/>
        <v>1</v>
      </c>
      <c r="CD19" s="104" t="b">
        <f t="shared" si="813"/>
        <v>1</v>
      </c>
      <c r="CE19" s="104" t="b">
        <f t="shared" si="813"/>
        <v>1</v>
      </c>
      <c r="CF19" s="104" t="b">
        <f t="shared" ref="CF19:EH19" si="814">CF18=CF13</f>
        <v>1</v>
      </c>
      <c r="CG19" s="104" t="b">
        <f t="shared" si="814"/>
        <v>1</v>
      </c>
      <c r="CH19" s="104" t="b">
        <f t="shared" si="814"/>
        <v>1</v>
      </c>
      <c r="CI19" s="104" t="b">
        <f t="shared" si="814"/>
        <v>1</v>
      </c>
      <c r="CJ19" s="104" t="b">
        <f t="shared" si="814"/>
        <v>1</v>
      </c>
      <c r="CK19" s="104" t="b">
        <f t="shared" si="814"/>
        <v>1</v>
      </c>
      <c r="CL19" s="104" t="b">
        <f t="shared" si="814"/>
        <v>1</v>
      </c>
      <c r="CM19" s="104" t="b">
        <f t="shared" si="814"/>
        <v>1</v>
      </c>
      <c r="CN19" s="104" t="b">
        <f t="shared" si="814"/>
        <v>1</v>
      </c>
      <c r="CO19" s="104" t="b">
        <f t="shared" si="814"/>
        <v>1</v>
      </c>
      <c r="CP19" s="104" t="b">
        <f t="shared" si="814"/>
        <v>1</v>
      </c>
      <c r="CQ19" s="104" t="b">
        <f t="shared" si="814"/>
        <v>1</v>
      </c>
      <c r="CR19" s="104" t="b">
        <f t="shared" si="814"/>
        <v>1</v>
      </c>
      <c r="CS19" s="104" t="b">
        <f t="shared" si="814"/>
        <v>1</v>
      </c>
      <c r="CT19" s="104" t="b">
        <f t="shared" si="814"/>
        <v>1</v>
      </c>
      <c r="CU19" s="104" t="b">
        <f t="shared" si="814"/>
        <v>1</v>
      </c>
      <c r="CV19" s="104" t="b">
        <f t="shared" si="814"/>
        <v>1</v>
      </c>
      <c r="CW19" s="104" t="b">
        <f t="shared" si="814"/>
        <v>1</v>
      </c>
      <c r="CX19" s="104" t="b">
        <f t="shared" si="814"/>
        <v>1</v>
      </c>
      <c r="CY19" s="104" t="b">
        <f t="shared" si="814"/>
        <v>1</v>
      </c>
      <c r="CZ19" s="104" t="b">
        <f t="shared" si="814"/>
        <v>1</v>
      </c>
      <c r="DA19" s="104" t="b">
        <f t="shared" si="814"/>
        <v>1</v>
      </c>
      <c r="DB19" s="104" t="b">
        <f t="shared" si="814"/>
        <v>1</v>
      </c>
      <c r="DC19" s="104" t="b">
        <f t="shared" si="814"/>
        <v>1</v>
      </c>
      <c r="DD19" s="104" t="b">
        <f t="shared" si="814"/>
        <v>1</v>
      </c>
      <c r="DE19" s="104" t="b">
        <f t="shared" si="814"/>
        <v>1</v>
      </c>
      <c r="DF19" s="104" t="b">
        <f t="shared" si="814"/>
        <v>1</v>
      </c>
      <c r="DG19" s="104" t="b">
        <f t="shared" si="814"/>
        <v>1</v>
      </c>
      <c r="DH19" s="104" t="b">
        <f t="shared" si="814"/>
        <v>1</v>
      </c>
      <c r="DI19" s="104" t="b">
        <f t="shared" si="814"/>
        <v>1</v>
      </c>
      <c r="DJ19" s="104" t="b">
        <f t="shared" si="814"/>
        <v>1</v>
      </c>
      <c r="DK19" s="104" t="b">
        <f t="shared" si="814"/>
        <v>1</v>
      </c>
      <c r="DL19" s="104" t="b">
        <f t="shared" si="814"/>
        <v>1</v>
      </c>
      <c r="DM19" s="104" t="b">
        <f t="shared" si="814"/>
        <v>1</v>
      </c>
      <c r="DN19" s="104" t="b">
        <f t="shared" si="814"/>
        <v>1</v>
      </c>
      <c r="DO19" s="104" t="b">
        <f t="shared" si="814"/>
        <v>1</v>
      </c>
      <c r="DP19" s="104" t="b">
        <f t="shared" si="814"/>
        <v>1</v>
      </c>
      <c r="DQ19" s="104" t="b">
        <f t="shared" si="814"/>
        <v>1</v>
      </c>
      <c r="DR19" s="104" t="b">
        <f t="shared" si="814"/>
        <v>1</v>
      </c>
      <c r="DS19" s="104" t="b">
        <f t="shared" si="814"/>
        <v>1</v>
      </c>
      <c r="DT19" s="104" t="b">
        <f t="shared" si="814"/>
        <v>1</v>
      </c>
      <c r="DU19" s="104" t="b">
        <f t="shared" si="814"/>
        <v>1</v>
      </c>
      <c r="DV19" s="104" t="b">
        <f t="shared" si="814"/>
        <v>1</v>
      </c>
      <c r="DW19" s="104" t="b">
        <f t="shared" si="814"/>
        <v>1</v>
      </c>
      <c r="DX19" s="104" t="b">
        <f t="shared" si="814"/>
        <v>1</v>
      </c>
      <c r="DY19" s="104" t="b">
        <f t="shared" si="814"/>
        <v>1</v>
      </c>
      <c r="DZ19" s="104" t="b">
        <f t="shared" si="814"/>
        <v>1</v>
      </c>
      <c r="EA19" s="104" t="b">
        <f t="shared" si="814"/>
        <v>1</v>
      </c>
      <c r="EB19" s="104" t="b">
        <f t="shared" si="814"/>
        <v>1</v>
      </c>
      <c r="EC19" s="104" t="b">
        <f t="shared" si="814"/>
        <v>1</v>
      </c>
      <c r="ED19" s="104" t="b">
        <f t="shared" si="814"/>
        <v>1</v>
      </c>
      <c r="EE19" s="104" t="b">
        <f t="shared" si="814"/>
        <v>1</v>
      </c>
      <c r="EF19" s="104" t="b">
        <f t="shared" si="814"/>
        <v>1</v>
      </c>
      <c r="EG19" s="104" t="b">
        <f t="shared" si="814"/>
        <v>1</v>
      </c>
      <c r="EH19" s="104" t="b">
        <f t="shared" si="814"/>
        <v>1</v>
      </c>
      <c r="EI19" s="104"/>
      <c r="EJ19" s="104"/>
      <c r="EK19" s="104"/>
      <c r="EL19" s="104"/>
      <c r="EM19" s="104"/>
      <c r="EN19" s="104"/>
      <c r="EO19" s="104"/>
      <c r="EP19" s="104"/>
      <c r="EQ19" s="104"/>
      <c r="ER19" s="104"/>
      <c r="ES19" s="105"/>
    </row>
    <row r="20" spans="1:149"/>
    <row r="21" spans="1:149"/>
    <row r="22" spans="1:149"/>
    <row r="23" spans="1:149"/>
    <row r="24" spans="1:149"/>
    <row r="25" spans="1:149"/>
    <row r="26" spans="1:149"/>
    <row r="27" spans="1:149"/>
    <row r="28" spans="1:149"/>
    <row r="29" spans="1:149"/>
    <row r="30" spans="1:149"/>
  </sheetData>
  <phoneticPr fontId="4" type="noConversion"/>
  <conditionalFormatting sqref="T2:HT5 L4:N4 A2:E5">
    <cfRule type="expression" dxfId="470" priority="206">
      <formula>A$2="미확정"</formula>
    </cfRule>
  </conditionalFormatting>
  <conditionalFormatting sqref="T6:HT9 A6:E9 L6">
    <cfRule type="expression" dxfId="469" priority="205">
      <formula>A$6="미확정"</formula>
    </cfRule>
  </conditionalFormatting>
  <conditionalFormatting sqref="T10:HT13 A10:E13 L10">
    <cfRule type="expression" dxfId="468" priority="204">
      <formula>A$10="미확정"</formula>
    </cfRule>
  </conditionalFormatting>
  <conditionalFormatting sqref="S3:S5">
    <cfRule type="expression" dxfId="467" priority="203">
      <formula>S$2="미확정"</formula>
    </cfRule>
  </conditionalFormatting>
  <conditionalFormatting sqref="S8:S9">
    <cfRule type="expression" dxfId="466" priority="202">
      <formula>S$6="미확정"</formula>
    </cfRule>
  </conditionalFormatting>
  <conditionalFormatting sqref="S13">
    <cfRule type="expression" dxfId="465" priority="201">
      <formula>S$10="미확정"</formula>
    </cfRule>
  </conditionalFormatting>
  <conditionalFormatting sqref="S2">
    <cfRule type="expression" dxfId="464" priority="200">
      <formula>S$2="미확정"</formula>
    </cfRule>
  </conditionalFormatting>
  <conditionalFormatting sqref="R5">
    <cfRule type="expression" dxfId="463" priority="198">
      <formula>R$2="미확정"</formula>
    </cfRule>
  </conditionalFormatting>
  <conditionalFormatting sqref="R4">
    <cfRule type="expression" dxfId="462" priority="194">
      <formula>R$2="미확정"</formula>
    </cfRule>
  </conditionalFormatting>
  <conditionalFormatting sqref="R3">
    <cfRule type="expression" dxfId="461" priority="193">
      <formula>R$2="미확정"</formula>
    </cfRule>
  </conditionalFormatting>
  <conditionalFormatting sqref="R9">
    <cfRule type="expression" dxfId="460" priority="191">
      <formula>R$2="미확정"</formula>
    </cfRule>
  </conditionalFormatting>
  <conditionalFormatting sqref="R8">
    <cfRule type="expression" dxfId="459" priority="190">
      <formula>R$2="미확정"</formula>
    </cfRule>
  </conditionalFormatting>
  <conditionalFormatting sqref="R7">
    <cfRule type="expression" dxfId="458" priority="189">
      <formula>R$2="미확정"</formula>
    </cfRule>
  </conditionalFormatting>
  <conditionalFormatting sqref="S7">
    <cfRule type="expression" dxfId="457" priority="187">
      <formula>S$6="미확정"</formula>
    </cfRule>
  </conditionalFormatting>
  <conditionalFormatting sqref="S12">
    <cfRule type="expression" dxfId="456" priority="186">
      <formula>S$6="미확정"</formula>
    </cfRule>
  </conditionalFormatting>
  <conditionalFormatting sqref="R12">
    <cfRule type="expression" dxfId="455" priority="185">
      <formula>R$2="미확정"</formula>
    </cfRule>
  </conditionalFormatting>
  <conditionalFormatting sqref="R11">
    <cfRule type="expression" dxfId="454" priority="184">
      <formula>R$2="미확정"</formula>
    </cfRule>
  </conditionalFormatting>
  <conditionalFormatting sqref="S11">
    <cfRule type="expression" dxfId="453" priority="182">
      <formula>S$6="미확정"</formula>
    </cfRule>
  </conditionalFormatting>
  <conditionalFormatting sqref="R13">
    <cfRule type="expression" dxfId="452" priority="181">
      <formula>R$2="미확정"</formula>
    </cfRule>
  </conditionalFormatting>
  <conditionalFormatting sqref="R2">
    <cfRule type="expression" dxfId="451" priority="180">
      <formula>R$2="미확정"</formula>
    </cfRule>
  </conditionalFormatting>
  <conditionalFormatting sqref="S6">
    <cfRule type="expression" dxfId="450" priority="179">
      <formula>S$2="미확정"</formula>
    </cfRule>
  </conditionalFormatting>
  <conditionalFormatting sqref="R6">
    <cfRule type="expression" dxfId="449" priority="178">
      <formula>R$2="미확정"</formula>
    </cfRule>
  </conditionalFormatting>
  <conditionalFormatting sqref="S10">
    <cfRule type="expression" dxfId="448" priority="177">
      <formula>S$2="미확정"</formula>
    </cfRule>
  </conditionalFormatting>
  <conditionalFormatting sqref="R10">
    <cfRule type="expression" dxfId="447" priority="176">
      <formula>R$2="미확정"</formula>
    </cfRule>
  </conditionalFormatting>
  <conditionalFormatting sqref="Q5">
    <cfRule type="expression" dxfId="446" priority="163">
      <formula>Q$2="미확정"</formula>
    </cfRule>
  </conditionalFormatting>
  <conditionalFormatting sqref="Q4">
    <cfRule type="expression" dxfId="445" priority="162">
      <formula>Q$2="미확정"</formula>
    </cfRule>
  </conditionalFormatting>
  <conditionalFormatting sqref="Q3">
    <cfRule type="expression" dxfId="444" priority="161">
      <formula>Q$2="미확정"</formula>
    </cfRule>
  </conditionalFormatting>
  <conditionalFormatting sqref="Q9">
    <cfRule type="expression" dxfId="443" priority="160">
      <formula>Q$2="미확정"</formula>
    </cfRule>
  </conditionalFormatting>
  <conditionalFormatting sqref="Q8">
    <cfRule type="expression" dxfId="442" priority="159">
      <formula>Q$2="미확정"</formula>
    </cfRule>
  </conditionalFormatting>
  <conditionalFormatting sqref="Q7">
    <cfRule type="expression" dxfId="441" priority="158">
      <formula>Q$2="미확정"</formula>
    </cfRule>
  </conditionalFormatting>
  <conditionalFormatting sqref="Q12">
    <cfRule type="expression" dxfId="440" priority="157">
      <formula>Q$2="미확정"</formula>
    </cfRule>
  </conditionalFormatting>
  <conditionalFormatting sqref="Q11">
    <cfRule type="expression" dxfId="439" priority="156">
      <formula>Q$2="미확정"</formula>
    </cfRule>
  </conditionalFormatting>
  <conditionalFormatting sqref="Q13">
    <cfRule type="expression" dxfId="438" priority="155">
      <formula>Q$2="미확정"</formula>
    </cfRule>
  </conditionalFormatting>
  <conditionalFormatting sqref="Q6">
    <cfRule type="expression" dxfId="437" priority="153">
      <formula>Q$2="미확정"</formula>
    </cfRule>
  </conditionalFormatting>
  <conditionalFormatting sqref="Q10">
    <cfRule type="expression" dxfId="436" priority="152">
      <formula>Q$2="미확정"</formula>
    </cfRule>
  </conditionalFormatting>
  <conditionalFormatting sqref="P4">
    <cfRule type="expression" dxfId="435" priority="150">
      <formula>P$2="미확정"</formula>
    </cfRule>
  </conditionalFormatting>
  <conditionalFormatting sqref="P3">
    <cfRule type="expression" dxfId="434" priority="149">
      <formula>P$2="미확정"</formula>
    </cfRule>
  </conditionalFormatting>
  <conditionalFormatting sqref="P9">
    <cfRule type="expression" dxfId="433" priority="148">
      <formula>P$2="미확정"</formula>
    </cfRule>
  </conditionalFormatting>
  <conditionalFormatting sqref="P8">
    <cfRule type="expression" dxfId="432" priority="147">
      <formula>P$2="미확정"</formula>
    </cfRule>
  </conditionalFormatting>
  <conditionalFormatting sqref="P7">
    <cfRule type="expression" dxfId="431" priority="146">
      <formula>P$2="미확정"</formula>
    </cfRule>
  </conditionalFormatting>
  <conditionalFormatting sqref="P12">
    <cfRule type="expression" dxfId="430" priority="145">
      <formula>P$2="미확정"</formula>
    </cfRule>
  </conditionalFormatting>
  <conditionalFormatting sqref="P11">
    <cfRule type="expression" dxfId="429" priority="144">
      <formula>P$2="미확정"</formula>
    </cfRule>
  </conditionalFormatting>
  <conditionalFormatting sqref="P13">
    <cfRule type="expression" dxfId="428" priority="143">
      <formula>P$2="미확정"</formula>
    </cfRule>
  </conditionalFormatting>
  <conditionalFormatting sqref="P6">
    <cfRule type="expression" dxfId="427" priority="141">
      <formula>P$2="미확정"</formula>
    </cfRule>
  </conditionalFormatting>
  <conditionalFormatting sqref="P10">
    <cfRule type="expression" dxfId="426" priority="140">
      <formula>P$2="미확정"</formula>
    </cfRule>
  </conditionalFormatting>
  <conditionalFormatting sqref="P5">
    <cfRule type="expression" dxfId="425" priority="127">
      <formula>P$2="미확정"</formula>
    </cfRule>
  </conditionalFormatting>
  <conditionalFormatting sqref="O4">
    <cfRule type="expression" dxfId="424" priority="126">
      <formula>O$2="미확정"</formula>
    </cfRule>
  </conditionalFormatting>
  <conditionalFormatting sqref="O8">
    <cfRule type="expression" dxfId="423" priority="125">
      <formula>O$2="미확정"</formula>
    </cfRule>
  </conditionalFormatting>
  <conditionalFormatting sqref="O12">
    <cfRule type="expression" dxfId="422" priority="124">
      <formula>O$2="미확정"</formula>
    </cfRule>
  </conditionalFormatting>
  <conditionalFormatting sqref="O3">
    <cfRule type="expression" dxfId="421" priority="123">
      <formula>O$2="미확정"</formula>
    </cfRule>
  </conditionalFormatting>
  <conditionalFormatting sqref="O7">
    <cfRule type="expression" dxfId="420" priority="121">
      <formula>O$2="미확정"</formula>
    </cfRule>
  </conditionalFormatting>
  <conditionalFormatting sqref="O11">
    <cfRule type="expression" dxfId="419" priority="120">
      <formula>O$2="미확정"</formula>
    </cfRule>
  </conditionalFormatting>
  <conditionalFormatting sqref="O5">
    <cfRule type="expression" dxfId="418" priority="119">
      <formula>O$2="미확정"</formula>
    </cfRule>
  </conditionalFormatting>
  <conditionalFormatting sqref="O9">
    <cfRule type="expression" dxfId="417" priority="118">
      <formula>O$2="미확정"</formula>
    </cfRule>
  </conditionalFormatting>
  <conditionalFormatting sqref="O13">
    <cfRule type="expression" dxfId="416" priority="117">
      <formula>O$2="미확정"</formula>
    </cfRule>
  </conditionalFormatting>
  <conditionalFormatting sqref="N3">
    <cfRule type="expression" dxfId="415" priority="116">
      <formula>N$2="미확정"</formula>
    </cfRule>
  </conditionalFormatting>
  <conditionalFormatting sqref="M3">
    <cfRule type="expression" dxfId="414" priority="115">
      <formula>M$2="미확정"</formula>
    </cfRule>
  </conditionalFormatting>
  <conditionalFormatting sqref="M7:N7">
    <cfRule type="expression" dxfId="413" priority="114">
      <formula>M$2="미확정"</formula>
    </cfRule>
  </conditionalFormatting>
  <conditionalFormatting sqref="M8:N8">
    <cfRule type="expression" dxfId="412" priority="113">
      <formula>M$2="미확정"</formula>
    </cfRule>
  </conditionalFormatting>
  <conditionalFormatting sqref="N12">
    <cfRule type="expression" dxfId="411" priority="112">
      <formula>N$2="미확정"</formula>
    </cfRule>
  </conditionalFormatting>
  <conditionalFormatting sqref="M12">
    <cfRule type="expression" dxfId="410" priority="111">
      <formula>M$2="미확정"</formula>
    </cfRule>
  </conditionalFormatting>
  <conditionalFormatting sqref="M11:N11">
    <cfRule type="expression" dxfId="409" priority="110">
      <formula>M$2="미확정"</formula>
    </cfRule>
  </conditionalFormatting>
  <conditionalFormatting sqref="N9">
    <cfRule type="expression" dxfId="408" priority="107">
      <formula>N$2="미확정"</formula>
    </cfRule>
  </conditionalFormatting>
  <conditionalFormatting sqref="M9">
    <cfRule type="expression" dxfId="407" priority="106">
      <formula>M$2="미확정"</formula>
    </cfRule>
  </conditionalFormatting>
  <conditionalFormatting sqref="N5">
    <cfRule type="expression" dxfId="406" priority="105">
      <formula>N$2="미확정"</formula>
    </cfRule>
  </conditionalFormatting>
  <conditionalFormatting sqref="M5">
    <cfRule type="expression" dxfId="405" priority="104">
      <formula>M$2="미확정"</formula>
    </cfRule>
  </conditionalFormatting>
  <conditionalFormatting sqref="N13">
    <cfRule type="expression" dxfId="404" priority="101">
      <formula>N$2="미확정"</formula>
    </cfRule>
  </conditionalFormatting>
  <conditionalFormatting sqref="M13">
    <cfRule type="expression" dxfId="403" priority="100">
      <formula>M$2="미확정"</formula>
    </cfRule>
  </conditionalFormatting>
  <conditionalFormatting sqref="Q2">
    <cfRule type="expression" dxfId="402" priority="98">
      <formula>Q$2="미확정"</formula>
    </cfRule>
  </conditionalFormatting>
  <conditionalFormatting sqref="P2">
    <cfRule type="expression" dxfId="401" priority="97">
      <formula>P$2="미확정"</formula>
    </cfRule>
  </conditionalFormatting>
  <conditionalFormatting sqref="O2">
    <cfRule type="expression" dxfId="400" priority="96">
      <formula>O$2="미확정"</formula>
    </cfRule>
  </conditionalFormatting>
  <conditionalFormatting sqref="N2">
    <cfRule type="expression" dxfId="399" priority="95">
      <formula>N$2="미확정"</formula>
    </cfRule>
  </conditionalFormatting>
  <conditionalFormatting sqref="L3">
    <cfRule type="expression" dxfId="398" priority="93">
      <formula>L$2="미확정"</formula>
    </cfRule>
  </conditionalFormatting>
  <conditionalFormatting sqref="L7">
    <cfRule type="expression" dxfId="397" priority="92">
      <formula>L$2="미확정"</formula>
    </cfRule>
  </conditionalFormatting>
  <conditionalFormatting sqref="L11">
    <cfRule type="expression" dxfId="396" priority="89">
      <formula>L$2="미확정"</formula>
    </cfRule>
  </conditionalFormatting>
  <conditionalFormatting sqref="L8">
    <cfRule type="expression" dxfId="395" priority="88">
      <formula>L$2="미확정"</formula>
    </cfRule>
  </conditionalFormatting>
  <conditionalFormatting sqref="L12">
    <cfRule type="expression" dxfId="394" priority="87">
      <formula>L$2="미확정"</formula>
    </cfRule>
  </conditionalFormatting>
  <conditionalFormatting sqref="M2">
    <cfRule type="expression" dxfId="393" priority="86">
      <formula>M$2="미확정"</formula>
    </cfRule>
  </conditionalFormatting>
  <conditionalFormatting sqref="M6:O6">
    <cfRule type="expression" dxfId="392" priority="85">
      <formula>M$2="미확정"</formula>
    </cfRule>
  </conditionalFormatting>
  <conditionalFormatting sqref="M10:O10">
    <cfRule type="expression" dxfId="391" priority="84">
      <formula>M$2="미확정"</formula>
    </cfRule>
  </conditionalFormatting>
  <conditionalFormatting sqref="L9">
    <cfRule type="expression" dxfId="390" priority="83">
      <formula>L$2="미확정"</formula>
    </cfRule>
  </conditionalFormatting>
  <conditionalFormatting sqref="L5">
    <cfRule type="expression" dxfId="389" priority="82">
      <formula>L$2="미확정"</formula>
    </cfRule>
  </conditionalFormatting>
  <conditionalFormatting sqref="L13">
    <cfRule type="expression" dxfId="388" priority="81">
      <formula>L$2="미확정"</formula>
    </cfRule>
  </conditionalFormatting>
  <conditionalFormatting sqref="K4">
    <cfRule type="expression" dxfId="387" priority="80">
      <formula>K$2="미확정"</formula>
    </cfRule>
  </conditionalFormatting>
  <conditionalFormatting sqref="K6">
    <cfRule type="expression" dxfId="386" priority="79">
      <formula>K$6="미확정"</formula>
    </cfRule>
  </conditionalFormatting>
  <conditionalFormatting sqref="K10">
    <cfRule type="expression" dxfId="385" priority="78">
      <formula>K$10="미확정"</formula>
    </cfRule>
  </conditionalFormatting>
  <conditionalFormatting sqref="K3">
    <cfRule type="expression" dxfId="384" priority="77">
      <formula>K$2="미확정"</formula>
    </cfRule>
  </conditionalFormatting>
  <conditionalFormatting sqref="K7">
    <cfRule type="expression" dxfId="383" priority="76">
      <formula>K$2="미확정"</formula>
    </cfRule>
  </conditionalFormatting>
  <conditionalFormatting sqref="K11">
    <cfRule type="expression" dxfId="382" priority="75">
      <formula>K$2="미확정"</formula>
    </cfRule>
  </conditionalFormatting>
  <conditionalFormatting sqref="K8">
    <cfRule type="expression" dxfId="381" priority="74">
      <formula>K$2="미확정"</formula>
    </cfRule>
  </conditionalFormatting>
  <conditionalFormatting sqref="K12">
    <cfRule type="expression" dxfId="380" priority="73">
      <formula>K$2="미확정"</formula>
    </cfRule>
  </conditionalFormatting>
  <conditionalFormatting sqref="K9">
    <cfRule type="expression" dxfId="379" priority="72">
      <formula>K$2="미확정"</formula>
    </cfRule>
  </conditionalFormatting>
  <conditionalFormatting sqref="K5">
    <cfRule type="expression" dxfId="378" priority="71">
      <formula>K$2="미확정"</formula>
    </cfRule>
  </conditionalFormatting>
  <conditionalFormatting sqref="K13">
    <cfRule type="expression" dxfId="377" priority="70">
      <formula>K$2="미확정"</formula>
    </cfRule>
  </conditionalFormatting>
  <conditionalFormatting sqref="J4">
    <cfRule type="expression" dxfId="376" priority="69">
      <formula>J$2="미확정"</formula>
    </cfRule>
  </conditionalFormatting>
  <conditionalFormatting sqref="J6">
    <cfRule type="expression" dxfId="375" priority="68">
      <formula>J$6="미확정"</formula>
    </cfRule>
  </conditionalFormatting>
  <conditionalFormatting sqref="J10">
    <cfRule type="expression" dxfId="374" priority="67">
      <formula>J$10="미확정"</formula>
    </cfRule>
  </conditionalFormatting>
  <conditionalFormatting sqref="J3">
    <cfRule type="expression" dxfId="373" priority="66">
      <formula>J$2="미확정"</formula>
    </cfRule>
  </conditionalFormatting>
  <conditionalFormatting sqref="J7">
    <cfRule type="expression" dxfId="372" priority="65">
      <formula>J$2="미확정"</formula>
    </cfRule>
  </conditionalFormatting>
  <conditionalFormatting sqref="J11">
    <cfRule type="expression" dxfId="371" priority="64">
      <formula>J$2="미확정"</formula>
    </cfRule>
  </conditionalFormatting>
  <conditionalFormatting sqref="J9">
    <cfRule type="expression" dxfId="370" priority="61">
      <formula>J$2="미확정"</formula>
    </cfRule>
  </conditionalFormatting>
  <conditionalFormatting sqref="J5">
    <cfRule type="expression" dxfId="369" priority="60">
      <formula>J$2="미확정"</formula>
    </cfRule>
  </conditionalFormatting>
  <conditionalFormatting sqref="J13">
    <cfRule type="expression" dxfId="368" priority="59">
      <formula>J$2="미확정"</formula>
    </cfRule>
  </conditionalFormatting>
  <conditionalFormatting sqref="J8">
    <cfRule type="expression" dxfId="367" priority="58">
      <formula>J$2="미확정"</formula>
    </cfRule>
  </conditionalFormatting>
  <conditionalFormatting sqref="J12">
    <cfRule type="expression" dxfId="366" priority="57">
      <formula>J$2="미확정"</formula>
    </cfRule>
  </conditionalFormatting>
  <conditionalFormatting sqref="I4">
    <cfRule type="expression" dxfId="365" priority="56">
      <formula>I$2="미확정"</formula>
    </cfRule>
  </conditionalFormatting>
  <conditionalFormatting sqref="I6">
    <cfRule type="expression" dxfId="364" priority="55">
      <formula>I$6="미확정"</formula>
    </cfRule>
  </conditionalFormatting>
  <conditionalFormatting sqref="I10">
    <cfRule type="expression" dxfId="363" priority="54">
      <formula>I$10="미확정"</formula>
    </cfRule>
  </conditionalFormatting>
  <conditionalFormatting sqref="I3">
    <cfRule type="expression" dxfId="362" priority="53">
      <formula>I$2="미확정"</formula>
    </cfRule>
  </conditionalFormatting>
  <conditionalFormatting sqref="I7">
    <cfRule type="expression" dxfId="361" priority="52">
      <formula>I$2="미확정"</formula>
    </cfRule>
  </conditionalFormatting>
  <conditionalFormatting sqref="I11">
    <cfRule type="expression" dxfId="360" priority="51">
      <formula>I$2="미확정"</formula>
    </cfRule>
  </conditionalFormatting>
  <conditionalFormatting sqref="I9">
    <cfRule type="expression" dxfId="359" priority="50">
      <formula>I$2="미확정"</formula>
    </cfRule>
  </conditionalFormatting>
  <conditionalFormatting sqref="I5">
    <cfRule type="expression" dxfId="358" priority="49">
      <formula>I$2="미확정"</formula>
    </cfRule>
  </conditionalFormatting>
  <conditionalFormatting sqref="I13">
    <cfRule type="expression" dxfId="357" priority="48">
      <formula>I$2="미확정"</formula>
    </cfRule>
  </conditionalFormatting>
  <conditionalFormatting sqref="I8">
    <cfRule type="expression" dxfId="356" priority="45">
      <formula>I$2="미확정"</formula>
    </cfRule>
  </conditionalFormatting>
  <conditionalFormatting sqref="I12">
    <cfRule type="expression" dxfId="355" priority="44">
      <formula>I$2="미확정"</formula>
    </cfRule>
  </conditionalFormatting>
  <conditionalFormatting sqref="J2:L2">
    <cfRule type="expression" dxfId="354" priority="43">
      <formula>J$2="미확정"</formula>
    </cfRule>
  </conditionalFormatting>
  <conditionalFormatting sqref="H4">
    <cfRule type="expression" dxfId="353" priority="42">
      <formula>H$2="미확정"</formula>
    </cfRule>
  </conditionalFormatting>
  <conditionalFormatting sqref="H6">
    <cfRule type="expression" dxfId="352" priority="41">
      <formula>H$6="미확정"</formula>
    </cfRule>
  </conditionalFormatting>
  <conditionalFormatting sqref="H10">
    <cfRule type="expression" dxfId="351" priority="40">
      <formula>H$10="미확정"</formula>
    </cfRule>
  </conditionalFormatting>
  <conditionalFormatting sqref="H3">
    <cfRule type="expression" dxfId="350" priority="39">
      <formula>H$2="미확정"</formula>
    </cfRule>
  </conditionalFormatting>
  <conditionalFormatting sqref="H7">
    <cfRule type="expression" dxfId="349" priority="38">
      <formula>H$2="미확정"</formula>
    </cfRule>
  </conditionalFormatting>
  <conditionalFormatting sqref="H11">
    <cfRule type="expression" dxfId="348" priority="37">
      <formula>H$2="미확정"</formula>
    </cfRule>
  </conditionalFormatting>
  <conditionalFormatting sqref="H9">
    <cfRule type="expression" dxfId="347" priority="36">
      <formula>H$2="미확정"</formula>
    </cfRule>
  </conditionalFormatting>
  <conditionalFormatting sqref="H5">
    <cfRule type="expression" dxfId="346" priority="35">
      <formula>H$2="미확정"</formula>
    </cfRule>
  </conditionalFormatting>
  <conditionalFormatting sqref="H13">
    <cfRule type="expression" dxfId="345" priority="34">
      <formula>H$2="미확정"</formula>
    </cfRule>
  </conditionalFormatting>
  <conditionalFormatting sqref="H8">
    <cfRule type="expression" dxfId="344" priority="31">
      <formula>H$2="미확정"</formula>
    </cfRule>
  </conditionalFormatting>
  <conditionalFormatting sqref="H12">
    <cfRule type="expression" dxfId="343" priority="30">
      <formula>H$2="미확정"</formula>
    </cfRule>
  </conditionalFormatting>
  <conditionalFormatting sqref="H2:I2">
    <cfRule type="expression" dxfId="342" priority="29">
      <formula>H$2="미확정"</formula>
    </cfRule>
  </conditionalFormatting>
  <conditionalFormatting sqref="G4">
    <cfRule type="expression" dxfId="341" priority="28">
      <formula>G$2="미확정"</formula>
    </cfRule>
  </conditionalFormatting>
  <conditionalFormatting sqref="G6">
    <cfRule type="expression" dxfId="340" priority="27">
      <formula>G$6="미확정"</formula>
    </cfRule>
  </conditionalFormatting>
  <conditionalFormatting sqref="G10">
    <cfRule type="expression" dxfId="339" priority="26">
      <formula>G$10="미확정"</formula>
    </cfRule>
  </conditionalFormatting>
  <conditionalFormatting sqref="G3">
    <cfRule type="expression" dxfId="338" priority="25">
      <formula>G$2="미확정"</formula>
    </cfRule>
  </conditionalFormatting>
  <conditionalFormatting sqref="G7">
    <cfRule type="expression" dxfId="337" priority="24">
      <formula>G$2="미확정"</formula>
    </cfRule>
  </conditionalFormatting>
  <conditionalFormatting sqref="G11">
    <cfRule type="expression" dxfId="336" priority="23">
      <formula>G$2="미확정"</formula>
    </cfRule>
  </conditionalFormatting>
  <conditionalFormatting sqref="G9">
    <cfRule type="expression" dxfId="335" priority="22">
      <formula>G$2="미확정"</formula>
    </cfRule>
  </conditionalFormatting>
  <conditionalFormatting sqref="G5">
    <cfRule type="expression" dxfId="334" priority="21">
      <formula>G$2="미확정"</formula>
    </cfRule>
  </conditionalFormatting>
  <conditionalFormatting sqref="G13">
    <cfRule type="expression" dxfId="333" priority="20">
      <formula>G$2="미확정"</formula>
    </cfRule>
  </conditionalFormatting>
  <conditionalFormatting sqref="G2">
    <cfRule type="expression" dxfId="332" priority="17">
      <formula>G$2="미확정"</formula>
    </cfRule>
  </conditionalFormatting>
  <conditionalFormatting sqref="G8">
    <cfRule type="expression" dxfId="331" priority="16">
      <formula>G$2="미확정"</formula>
    </cfRule>
  </conditionalFormatting>
  <conditionalFormatting sqref="G12">
    <cfRule type="expression" dxfId="330" priority="15">
      <formula>G$2="미확정"</formula>
    </cfRule>
  </conditionalFormatting>
  <conditionalFormatting sqref="F4">
    <cfRule type="expression" dxfId="21" priority="14">
      <formula>F$2="미확정"</formula>
    </cfRule>
  </conditionalFormatting>
  <conditionalFormatting sqref="F6">
    <cfRule type="expression" dxfId="20" priority="13">
      <formula>F$6="미확정"</formula>
    </cfRule>
  </conditionalFormatting>
  <conditionalFormatting sqref="F10">
    <cfRule type="expression" dxfId="19" priority="12">
      <formula>F$10="미확정"</formula>
    </cfRule>
  </conditionalFormatting>
  <conditionalFormatting sqref="F3">
    <cfRule type="expression" dxfId="18" priority="11">
      <formula>F$2="미확정"</formula>
    </cfRule>
  </conditionalFormatting>
  <conditionalFormatting sqref="F7">
    <cfRule type="expression" dxfId="17" priority="10">
      <formula>F$2="미확정"</formula>
    </cfRule>
  </conditionalFormatting>
  <conditionalFormatting sqref="F11">
    <cfRule type="expression" dxfId="16" priority="9">
      <formula>F$2="미확정"</formula>
    </cfRule>
  </conditionalFormatting>
  <conditionalFormatting sqref="F9">
    <cfRule type="expression" dxfId="15" priority="8">
      <formula>F$2="미확정"</formula>
    </cfRule>
  </conditionalFormatting>
  <conditionalFormatting sqref="F5">
    <cfRule type="expression" dxfId="14" priority="7">
      <formula>F$2="미확정"</formula>
    </cfRule>
  </conditionalFormatting>
  <conditionalFormatting sqref="F13">
    <cfRule type="expression" dxfId="13" priority="6">
      <formula>F$2="미확정"</formula>
    </cfRule>
  </conditionalFormatting>
  <conditionalFormatting sqref="F2">
    <cfRule type="expression" dxfId="12" priority="5">
      <formula>F$2="미확정"</formula>
    </cfRule>
  </conditionalFormatting>
  <conditionalFormatting sqref="F8">
    <cfRule type="expression" dxfId="9" priority="2">
      <formula>F$2="미확정"</formula>
    </cfRule>
  </conditionalFormatting>
  <conditionalFormatting sqref="F12">
    <cfRule type="expression" dxfId="8" priority="1">
      <formula>F$2="미확정"</formula>
    </cfRule>
  </conditionalFormatting>
  <hyperlinks>
    <hyperlink ref="A1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N1:AE55"/>
  <sheetViews>
    <sheetView zoomScale="70" zoomScaleNormal="70" workbookViewId="0"/>
  </sheetViews>
  <sheetFormatPr defaultRowHeight="16.5"/>
  <cols>
    <col min="21" max="21" width="9" customWidth="1"/>
  </cols>
  <sheetData>
    <row r="1" spans="14:31">
      <c r="N1" s="113" t="s">
        <v>4</v>
      </c>
      <c r="O1" s="113" t="s">
        <v>253</v>
      </c>
      <c r="P1" s="113" t="s">
        <v>9</v>
      </c>
      <c r="Q1" s="113" t="s">
        <v>10</v>
      </c>
      <c r="R1" s="113" t="s">
        <v>6</v>
      </c>
      <c r="S1" s="113" t="s">
        <v>270</v>
      </c>
      <c r="T1" s="113" t="s">
        <v>271</v>
      </c>
      <c r="U1" s="113" t="s">
        <v>272</v>
      </c>
      <c r="V1" s="113" t="s">
        <v>273</v>
      </c>
      <c r="W1" s="113" t="s">
        <v>274</v>
      </c>
      <c r="X1" s="113" t="s">
        <v>275</v>
      </c>
      <c r="Y1" s="113" t="s">
        <v>276</v>
      </c>
      <c r="Z1" s="113" t="s">
        <v>277</v>
      </c>
      <c r="AA1" s="113" t="s">
        <v>278</v>
      </c>
      <c r="AB1" s="113" t="s">
        <v>279</v>
      </c>
      <c r="AC1" s="113" t="s">
        <v>280</v>
      </c>
      <c r="AD1" s="113" t="s">
        <v>281</v>
      </c>
      <c r="AE1" s="113" t="s">
        <v>282</v>
      </c>
    </row>
    <row r="2" spans="14:31">
      <c r="N2" s="114" t="s">
        <v>254</v>
      </c>
      <c r="O2" s="114" t="s">
        <v>132</v>
      </c>
      <c r="P2" s="115" t="s">
        <v>133</v>
      </c>
      <c r="Q2" s="116">
        <v>1000</v>
      </c>
      <c r="R2" s="115" t="s">
        <v>134</v>
      </c>
      <c r="S2" s="115">
        <v>2014</v>
      </c>
      <c r="T2" s="117"/>
      <c r="U2" s="117"/>
      <c r="V2" s="117"/>
      <c r="W2" s="117"/>
      <c r="X2" s="117"/>
      <c r="Y2" s="117"/>
      <c r="Z2" s="117">
        <v>1.6</v>
      </c>
      <c r="AA2" s="117">
        <v>1.4</v>
      </c>
      <c r="AB2" s="117">
        <v>1.1000000000000001</v>
      </c>
      <c r="AC2" s="117">
        <v>1.1000000000000001</v>
      </c>
      <c r="AD2" s="117">
        <v>1</v>
      </c>
      <c r="AE2" s="117">
        <v>0.8</v>
      </c>
    </row>
    <row r="3" spans="14:31">
      <c r="N3" s="114" t="s">
        <v>254</v>
      </c>
      <c r="O3" s="114" t="s">
        <v>132</v>
      </c>
      <c r="P3" s="115" t="s">
        <v>133</v>
      </c>
      <c r="Q3" s="116">
        <v>1000</v>
      </c>
      <c r="R3" s="115" t="s">
        <v>134</v>
      </c>
      <c r="S3" s="115">
        <v>2015</v>
      </c>
      <c r="T3" s="117">
        <v>1</v>
      </c>
      <c r="U3" s="117">
        <v>0.6</v>
      </c>
      <c r="V3" s="117">
        <v>0.5</v>
      </c>
      <c r="W3" s="117">
        <v>0.4</v>
      </c>
      <c r="X3" s="117">
        <v>0.6</v>
      </c>
      <c r="Y3" s="117">
        <v>0.7</v>
      </c>
      <c r="Z3" s="117">
        <v>0.7</v>
      </c>
      <c r="AA3" s="117">
        <v>0.7</v>
      </c>
      <c r="AB3" s="117">
        <v>0.5</v>
      </c>
      <c r="AC3" s="117">
        <v>0.8</v>
      </c>
      <c r="AD3" s="117">
        <v>0.8</v>
      </c>
      <c r="AE3" s="117">
        <v>1.1000000000000001</v>
      </c>
    </row>
    <row r="4" spans="14:31">
      <c r="N4" s="114" t="s">
        <v>254</v>
      </c>
      <c r="O4" s="114" t="s">
        <v>132</v>
      </c>
      <c r="P4" s="115" t="s">
        <v>133</v>
      </c>
      <c r="Q4" s="116">
        <v>1000</v>
      </c>
      <c r="R4" s="115" t="s">
        <v>134</v>
      </c>
      <c r="S4" s="115">
        <v>2016</v>
      </c>
      <c r="T4" s="117">
        <v>0.6</v>
      </c>
      <c r="U4" s="117">
        <v>1.1000000000000001</v>
      </c>
      <c r="V4" s="117">
        <v>0.8</v>
      </c>
      <c r="W4" s="117">
        <v>1</v>
      </c>
      <c r="X4" s="117">
        <v>0.8</v>
      </c>
      <c r="Y4" s="117">
        <v>0.7</v>
      </c>
      <c r="Z4" s="117">
        <v>0.4</v>
      </c>
      <c r="AA4" s="117">
        <v>0.5</v>
      </c>
      <c r="AB4" s="117">
        <v>1.3</v>
      </c>
      <c r="AC4" s="117">
        <v>1.5</v>
      </c>
      <c r="AD4" s="117">
        <v>1.5</v>
      </c>
      <c r="AE4" s="117">
        <v>1.3</v>
      </c>
    </row>
    <row r="5" spans="14:31">
      <c r="N5" s="114" t="s">
        <v>254</v>
      </c>
      <c r="O5" s="114" t="s">
        <v>132</v>
      </c>
      <c r="P5" s="115" t="s">
        <v>133</v>
      </c>
      <c r="Q5" s="116">
        <v>1000</v>
      </c>
      <c r="R5" s="115" t="s">
        <v>134</v>
      </c>
      <c r="S5" s="115">
        <v>2017</v>
      </c>
      <c r="T5" s="117">
        <v>2.2000000000000002</v>
      </c>
      <c r="U5" s="117">
        <v>2.1</v>
      </c>
      <c r="V5" s="117">
        <v>2.2999999999999998</v>
      </c>
      <c r="W5" s="117">
        <v>2</v>
      </c>
      <c r="X5" s="117">
        <v>2</v>
      </c>
      <c r="Y5" s="117">
        <v>1.8</v>
      </c>
      <c r="Z5" s="117">
        <v>2.2000000000000002</v>
      </c>
      <c r="AA5" s="117">
        <v>2.5</v>
      </c>
      <c r="AB5" s="117">
        <v>2</v>
      </c>
      <c r="AC5" s="117">
        <v>1.8</v>
      </c>
      <c r="AD5" s="117">
        <v>1.2</v>
      </c>
      <c r="AE5" s="117">
        <v>1.4</v>
      </c>
    </row>
    <row r="6" spans="14:31">
      <c r="N6" s="114" t="s">
        <v>254</v>
      </c>
      <c r="O6" s="114" t="s">
        <v>132</v>
      </c>
      <c r="P6" s="115" t="s">
        <v>133</v>
      </c>
      <c r="Q6" s="116">
        <v>1000</v>
      </c>
      <c r="R6" s="115" t="s">
        <v>134</v>
      </c>
      <c r="S6" s="115">
        <v>2018</v>
      </c>
      <c r="T6" s="117">
        <v>0.8</v>
      </c>
      <c r="U6" s="117">
        <v>1.3</v>
      </c>
      <c r="V6" s="117">
        <v>1.2</v>
      </c>
      <c r="W6" s="117">
        <v>1.5</v>
      </c>
      <c r="X6" s="117">
        <v>1.5</v>
      </c>
      <c r="Y6" s="117">
        <v>1.5</v>
      </c>
      <c r="Z6" s="117">
        <v>1.1000000000000001</v>
      </c>
      <c r="AA6" s="117">
        <v>1.4</v>
      </c>
      <c r="AB6" s="117">
        <v>2.1</v>
      </c>
      <c r="AC6" s="117">
        <v>2</v>
      </c>
      <c r="AD6" s="117">
        <v>2</v>
      </c>
      <c r="AE6" s="117">
        <v>1.3</v>
      </c>
    </row>
    <row r="7" spans="14:31">
      <c r="N7" s="114" t="s">
        <v>254</v>
      </c>
      <c r="O7" s="114" t="s">
        <v>132</v>
      </c>
      <c r="P7" s="115" t="s">
        <v>133</v>
      </c>
      <c r="Q7" s="116">
        <v>1000</v>
      </c>
      <c r="R7" s="115" t="s">
        <v>134</v>
      </c>
      <c r="S7" s="115">
        <v>2019</v>
      </c>
      <c r="T7" s="117">
        <v>0.8</v>
      </c>
      <c r="U7" s="117">
        <v>0.5</v>
      </c>
      <c r="V7" s="117">
        <v>0.4</v>
      </c>
      <c r="W7" s="117">
        <v>0.6</v>
      </c>
      <c r="X7" s="117">
        <v>0.7</v>
      </c>
      <c r="Y7" s="117">
        <v>0.7</v>
      </c>
      <c r="Z7" s="117">
        <v>0.6</v>
      </c>
      <c r="AA7" s="117">
        <v>0</v>
      </c>
      <c r="AB7" s="117">
        <v>-0.4</v>
      </c>
      <c r="AC7" s="117">
        <v>0</v>
      </c>
      <c r="AD7" s="117">
        <v>0.2</v>
      </c>
      <c r="AE7" s="117">
        <v>0.7</v>
      </c>
    </row>
    <row r="8" spans="14:31">
      <c r="N8" s="114" t="s">
        <v>254</v>
      </c>
      <c r="O8" s="114" t="s">
        <v>132</v>
      </c>
      <c r="P8" s="115" t="s">
        <v>133</v>
      </c>
      <c r="Q8" s="116">
        <v>1000</v>
      </c>
      <c r="R8" s="115" t="s">
        <v>134</v>
      </c>
      <c r="S8" s="115">
        <v>2020</v>
      </c>
      <c r="T8" s="117">
        <v>1.2</v>
      </c>
      <c r="U8" s="117">
        <v>0.9</v>
      </c>
      <c r="V8" s="117">
        <v>0.8</v>
      </c>
      <c r="W8" s="117">
        <v>0</v>
      </c>
      <c r="X8" s="117">
        <v>-0.2</v>
      </c>
      <c r="Y8" s="117">
        <v>0.2</v>
      </c>
      <c r="Z8" s="117">
        <v>0.4</v>
      </c>
      <c r="AA8" s="117">
        <v>0.8</v>
      </c>
      <c r="AB8" s="117">
        <v>0.9</v>
      </c>
      <c r="AC8" s="117">
        <v>0.1</v>
      </c>
      <c r="AD8" s="117">
        <v>0.6</v>
      </c>
      <c r="AE8" s="117">
        <v>0.6</v>
      </c>
    </row>
    <row r="9" spans="14:31">
      <c r="N9" s="114" t="s">
        <v>254</v>
      </c>
      <c r="O9" s="114" t="s">
        <v>132</v>
      </c>
      <c r="P9" s="115" t="s">
        <v>133</v>
      </c>
      <c r="Q9" s="116">
        <v>1000</v>
      </c>
      <c r="R9" s="115" t="s">
        <v>134</v>
      </c>
      <c r="S9" s="115">
        <v>2021</v>
      </c>
      <c r="T9" s="117">
        <v>0.9</v>
      </c>
      <c r="U9" s="117">
        <v>1.4</v>
      </c>
      <c r="V9" s="117">
        <v>1.9</v>
      </c>
      <c r="W9" s="117">
        <v>2.5</v>
      </c>
      <c r="X9" s="117">
        <v>2.6</v>
      </c>
      <c r="Y9" s="117">
        <v>2.2999999999999998</v>
      </c>
      <c r="Z9" s="117">
        <v>2.6</v>
      </c>
      <c r="AA9" s="117">
        <v>2.6</v>
      </c>
      <c r="AB9" s="117">
        <v>2.4</v>
      </c>
      <c r="AC9" s="117">
        <v>3.2</v>
      </c>
      <c r="AD9" s="117">
        <v>3.8</v>
      </c>
      <c r="AE9" s="117">
        <v>3.7</v>
      </c>
    </row>
    <row r="10" spans="14:31">
      <c r="N10" s="114" t="s">
        <v>254</v>
      </c>
      <c r="O10" s="114" t="s">
        <v>132</v>
      </c>
      <c r="P10" s="115" t="s">
        <v>133</v>
      </c>
      <c r="Q10" s="116">
        <v>1000</v>
      </c>
      <c r="R10" s="115" t="s">
        <v>134</v>
      </c>
      <c r="S10" s="115">
        <v>2022</v>
      </c>
      <c r="T10" s="117">
        <v>3.8</v>
      </c>
      <c r="U10" s="117">
        <v>3.8</v>
      </c>
      <c r="V10" s="117">
        <v>4.2</v>
      </c>
      <c r="W10" s="117">
        <v>4.8</v>
      </c>
      <c r="X10" s="117">
        <v>5.3</v>
      </c>
      <c r="Y10" s="117">
        <v>6</v>
      </c>
      <c r="Z10" s="117">
        <v>6.3</v>
      </c>
      <c r="AA10" s="117">
        <v>5.7</v>
      </c>
      <c r="AB10" s="117">
        <v>5.5</v>
      </c>
      <c r="AC10" s="117">
        <v>5.6</v>
      </c>
      <c r="AD10" s="117">
        <v>5</v>
      </c>
      <c r="AE10" s="117">
        <v>5</v>
      </c>
    </row>
    <row r="11" spans="14:31">
      <c r="N11" s="114" t="s">
        <v>254</v>
      </c>
      <c r="O11" s="114" t="s">
        <v>132</v>
      </c>
      <c r="P11" s="115" t="s">
        <v>133</v>
      </c>
      <c r="Q11" s="116">
        <v>1000</v>
      </c>
      <c r="R11" s="115" t="s">
        <v>134</v>
      </c>
      <c r="S11" s="115">
        <v>2023</v>
      </c>
      <c r="T11" s="117">
        <v>5</v>
      </c>
      <c r="U11" s="117">
        <v>4.7</v>
      </c>
      <c r="V11" s="117">
        <v>4.2</v>
      </c>
      <c r="W11" s="117">
        <v>3.7</v>
      </c>
      <c r="X11" s="117">
        <v>3.4</v>
      </c>
      <c r="Y11" s="117">
        <v>2.7</v>
      </c>
      <c r="Z11" s="117">
        <v>2.4</v>
      </c>
      <c r="AA11" s="117">
        <v>3.4</v>
      </c>
      <c r="AB11" s="117">
        <v>3.7</v>
      </c>
      <c r="AC11" s="117">
        <v>3.8</v>
      </c>
      <c r="AD11" s="117">
        <v>3.3</v>
      </c>
      <c r="AE11" s="117">
        <v>3.2</v>
      </c>
    </row>
    <row r="12" spans="14:31">
      <c r="N12" s="114" t="s">
        <v>254</v>
      </c>
      <c r="O12" s="114" t="s">
        <v>132</v>
      </c>
      <c r="P12" s="115" t="s">
        <v>133</v>
      </c>
      <c r="Q12" s="116">
        <v>1000</v>
      </c>
      <c r="R12" s="115" t="s">
        <v>134</v>
      </c>
      <c r="S12" s="115">
        <v>2024</v>
      </c>
      <c r="T12" s="117">
        <v>2.8</v>
      </c>
      <c r="U12" s="117">
        <v>3.1</v>
      </c>
      <c r="V12" s="117">
        <v>3.1</v>
      </c>
      <c r="W12" s="117">
        <v>2.9</v>
      </c>
      <c r="X12" s="117">
        <v>2.7</v>
      </c>
      <c r="Y12" s="117">
        <v>2.4</v>
      </c>
      <c r="Z12" s="117"/>
      <c r="AA12" s="117"/>
      <c r="AB12" s="117"/>
      <c r="AC12" s="117"/>
      <c r="AD12" s="117"/>
      <c r="AE12" s="117"/>
    </row>
    <row r="14" spans="14:31">
      <c r="T14" s="118">
        <f>AVERAGE(T2:AE12)</f>
        <v>1.9216666666666664</v>
      </c>
    </row>
    <row r="22" spans="14:31">
      <c r="N22" s="113" t="s">
        <v>4</v>
      </c>
      <c r="O22" s="113" t="s">
        <v>255</v>
      </c>
      <c r="P22" s="113" t="s">
        <v>9</v>
      </c>
      <c r="Q22" s="113" t="s">
        <v>10</v>
      </c>
      <c r="R22" s="113" t="s">
        <v>6</v>
      </c>
      <c r="S22" s="113" t="s">
        <v>270</v>
      </c>
      <c r="T22" s="113" t="s">
        <v>271</v>
      </c>
      <c r="U22" s="113" t="s">
        <v>272</v>
      </c>
      <c r="V22" s="113" t="s">
        <v>273</v>
      </c>
      <c r="W22" s="113" t="s">
        <v>274</v>
      </c>
      <c r="X22" s="113" t="s">
        <v>275</v>
      </c>
      <c r="Y22" s="113" t="s">
        <v>276</v>
      </c>
      <c r="Z22" s="113" t="s">
        <v>277</v>
      </c>
      <c r="AA22" s="113" t="s">
        <v>278</v>
      </c>
      <c r="AB22" s="113" t="s">
        <v>279</v>
      </c>
      <c r="AC22" s="113" t="s">
        <v>280</v>
      </c>
      <c r="AD22" s="113" t="s">
        <v>281</v>
      </c>
      <c r="AE22" s="113" t="s">
        <v>282</v>
      </c>
    </row>
    <row r="23" spans="14:31">
      <c r="N23" s="114" t="s">
        <v>256</v>
      </c>
      <c r="O23" s="114" t="s">
        <v>132</v>
      </c>
      <c r="P23" s="115" t="s">
        <v>133</v>
      </c>
      <c r="Q23" s="116">
        <v>1000</v>
      </c>
      <c r="R23" s="115" t="s">
        <v>134</v>
      </c>
      <c r="S23" s="115">
        <v>2014</v>
      </c>
      <c r="T23" s="117"/>
      <c r="U23" s="117"/>
      <c r="V23" s="117"/>
      <c r="W23" s="117"/>
      <c r="X23" s="117"/>
      <c r="Y23" s="117"/>
      <c r="Z23" s="117">
        <v>0.1</v>
      </c>
      <c r="AA23" s="117">
        <v>-0.2</v>
      </c>
      <c r="AB23" s="117">
        <v>-0.5</v>
      </c>
      <c r="AC23" s="117">
        <v>-0.8</v>
      </c>
      <c r="AD23" s="117">
        <v>-0.9</v>
      </c>
      <c r="AE23" s="117">
        <v>-2.1</v>
      </c>
    </row>
    <row r="24" spans="14:31">
      <c r="N24" s="114" t="s">
        <v>256</v>
      </c>
      <c r="O24" s="114" t="s">
        <v>132</v>
      </c>
      <c r="P24" s="115" t="s">
        <v>133</v>
      </c>
      <c r="Q24" s="116">
        <v>1000</v>
      </c>
      <c r="R24" s="115" t="s">
        <v>134</v>
      </c>
      <c r="S24" s="115">
        <v>2015</v>
      </c>
      <c r="T24" s="117">
        <v>-3.6</v>
      </c>
      <c r="U24" s="117">
        <v>-3.6</v>
      </c>
      <c r="V24" s="117">
        <v>-3.7</v>
      </c>
      <c r="W24" s="117">
        <v>-3.6</v>
      </c>
      <c r="X24" s="117">
        <v>-3.5</v>
      </c>
      <c r="Y24" s="117">
        <v>-3.6</v>
      </c>
      <c r="Z24" s="117">
        <v>-4</v>
      </c>
      <c r="AA24" s="117">
        <v>-4.5</v>
      </c>
      <c r="AB24" s="117">
        <v>-4.5999999999999996</v>
      </c>
      <c r="AC24" s="117">
        <v>-4.5999999999999996</v>
      </c>
      <c r="AD24" s="117">
        <v>-4.7</v>
      </c>
      <c r="AE24" s="117">
        <v>-4</v>
      </c>
    </row>
    <row r="25" spans="14:31">
      <c r="N25" s="114" t="s">
        <v>256</v>
      </c>
      <c r="O25" s="114" t="s">
        <v>132</v>
      </c>
      <c r="P25" s="115" t="s">
        <v>133</v>
      </c>
      <c r="Q25" s="116">
        <v>1000</v>
      </c>
      <c r="R25" s="115" t="s">
        <v>134</v>
      </c>
      <c r="S25" s="115">
        <v>2016</v>
      </c>
      <c r="T25" s="117">
        <v>-3.3</v>
      </c>
      <c r="U25" s="117">
        <v>-3.4</v>
      </c>
      <c r="V25" s="117">
        <v>-3.3</v>
      </c>
      <c r="W25" s="117">
        <v>-3</v>
      </c>
      <c r="X25" s="117">
        <v>-3</v>
      </c>
      <c r="Y25" s="117">
        <v>-2.7</v>
      </c>
      <c r="Z25" s="117">
        <v>-2.5</v>
      </c>
      <c r="AA25" s="117">
        <v>-1.8</v>
      </c>
      <c r="AB25" s="117">
        <v>-1.1000000000000001</v>
      </c>
      <c r="AC25" s="117">
        <v>-0.1</v>
      </c>
      <c r="AD25" s="117">
        <v>0.7</v>
      </c>
      <c r="AE25" s="117">
        <v>1.8</v>
      </c>
    </row>
    <row r="26" spans="14:31">
      <c r="N26" s="114" t="s">
        <v>256</v>
      </c>
      <c r="O26" s="114" t="s">
        <v>132</v>
      </c>
      <c r="P26" s="115" t="s">
        <v>133</v>
      </c>
      <c r="Q26" s="116">
        <v>1000</v>
      </c>
      <c r="R26" s="115" t="s">
        <v>134</v>
      </c>
      <c r="S26" s="115">
        <v>2017</v>
      </c>
      <c r="T26" s="117">
        <v>3.9</v>
      </c>
      <c r="U26" s="117">
        <v>4.3</v>
      </c>
      <c r="V26" s="117">
        <v>4.3</v>
      </c>
      <c r="W26" s="117">
        <v>3.8</v>
      </c>
      <c r="X26" s="117">
        <v>3.4</v>
      </c>
      <c r="Y26" s="117">
        <v>2.8</v>
      </c>
      <c r="Z26" s="117">
        <v>3</v>
      </c>
      <c r="AA26" s="117">
        <v>3.3</v>
      </c>
      <c r="AB26" s="117">
        <v>3.8</v>
      </c>
      <c r="AC26" s="117">
        <v>3.6</v>
      </c>
      <c r="AD26" s="117">
        <v>3</v>
      </c>
      <c r="AE26" s="117">
        <v>2.2000000000000002</v>
      </c>
    </row>
    <row r="27" spans="14:31">
      <c r="N27" s="114" t="s">
        <v>256</v>
      </c>
      <c r="O27" s="114" t="s">
        <v>132</v>
      </c>
      <c r="P27" s="115" t="s">
        <v>133</v>
      </c>
      <c r="Q27" s="116">
        <v>1000</v>
      </c>
      <c r="R27" s="115" t="s">
        <v>134</v>
      </c>
      <c r="S27" s="115">
        <v>2018</v>
      </c>
      <c r="T27" s="117">
        <v>1.1000000000000001</v>
      </c>
      <c r="U27" s="117">
        <v>1.2</v>
      </c>
      <c r="V27" s="117">
        <v>1.2</v>
      </c>
      <c r="W27" s="117">
        <v>1.5</v>
      </c>
      <c r="X27" s="117">
        <v>2.1</v>
      </c>
      <c r="Y27" s="117">
        <v>2.5</v>
      </c>
      <c r="Z27" s="117">
        <v>2.9</v>
      </c>
      <c r="AA27" s="117">
        <v>2.9</v>
      </c>
      <c r="AB27" s="117">
        <v>2.5</v>
      </c>
      <c r="AC27" s="117">
        <v>2.1</v>
      </c>
      <c r="AD27" s="117">
        <v>1.5</v>
      </c>
      <c r="AE27" s="117">
        <v>0.9</v>
      </c>
    </row>
    <row r="28" spans="14:31">
      <c r="N28" s="114" t="s">
        <v>256</v>
      </c>
      <c r="O28" s="114" t="s">
        <v>132</v>
      </c>
      <c r="P28" s="115" t="s">
        <v>133</v>
      </c>
      <c r="Q28" s="116">
        <v>1000</v>
      </c>
      <c r="R28" s="115" t="s">
        <v>134</v>
      </c>
      <c r="S28" s="115">
        <v>2019</v>
      </c>
      <c r="T28" s="117">
        <v>0.4</v>
      </c>
      <c r="U28" s="117">
        <v>0.1</v>
      </c>
      <c r="V28" s="117">
        <v>0.5</v>
      </c>
      <c r="W28" s="117">
        <v>0.6</v>
      </c>
      <c r="X28" s="117">
        <v>0.4</v>
      </c>
      <c r="Y28" s="117">
        <v>0.1</v>
      </c>
      <c r="Z28" s="117">
        <v>-0.3</v>
      </c>
      <c r="AA28" s="117">
        <v>-0.6</v>
      </c>
      <c r="AB28" s="117">
        <v>-0.8</v>
      </c>
      <c r="AC28" s="117">
        <v>-0.7</v>
      </c>
      <c r="AD28" s="117">
        <v>-0.1</v>
      </c>
      <c r="AE28" s="117">
        <v>0.7</v>
      </c>
    </row>
    <row r="29" spans="14:31">
      <c r="N29" s="114" t="s">
        <v>256</v>
      </c>
      <c r="O29" s="114" t="s">
        <v>132</v>
      </c>
      <c r="P29" s="115" t="s">
        <v>133</v>
      </c>
      <c r="Q29" s="116">
        <v>1000</v>
      </c>
      <c r="R29" s="115" t="s">
        <v>134</v>
      </c>
      <c r="S29" s="115">
        <v>2020</v>
      </c>
      <c r="T29" s="117">
        <v>1.1000000000000001</v>
      </c>
      <c r="U29" s="117">
        <v>0.7</v>
      </c>
      <c r="V29" s="117">
        <v>-0.5</v>
      </c>
      <c r="W29" s="117">
        <v>-1.7</v>
      </c>
      <c r="X29" s="117">
        <v>-1.8</v>
      </c>
      <c r="Y29" s="117">
        <v>-1</v>
      </c>
      <c r="Z29" s="117">
        <v>-0.8</v>
      </c>
      <c r="AA29" s="117">
        <v>-0.5</v>
      </c>
      <c r="AB29" s="117">
        <v>-0.4</v>
      </c>
      <c r="AC29" s="117">
        <v>-0.5</v>
      </c>
      <c r="AD29" s="117">
        <v>-0.3</v>
      </c>
      <c r="AE29" s="117">
        <v>0.2</v>
      </c>
    </row>
    <row r="30" spans="14:31">
      <c r="N30" s="114" t="s">
        <v>256</v>
      </c>
      <c r="O30" s="114" t="s">
        <v>132</v>
      </c>
      <c r="P30" s="115" t="s">
        <v>133</v>
      </c>
      <c r="Q30" s="116">
        <v>1000</v>
      </c>
      <c r="R30" s="115" t="s">
        <v>134</v>
      </c>
      <c r="S30" s="115">
        <v>2021</v>
      </c>
      <c r="T30" s="117">
        <v>0.9</v>
      </c>
      <c r="U30" s="117">
        <v>2.1</v>
      </c>
      <c r="V30" s="117">
        <v>4.0999999999999996</v>
      </c>
      <c r="W30" s="117">
        <v>6</v>
      </c>
      <c r="X30" s="117">
        <v>6.6</v>
      </c>
      <c r="Y30" s="117">
        <v>6.6</v>
      </c>
      <c r="Z30" s="117">
        <v>7.4</v>
      </c>
      <c r="AA30" s="117">
        <v>7.4</v>
      </c>
      <c r="AB30" s="117">
        <v>7.6</v>
      </c>
      <c r="AC30" s="117">
        <v>9.1</v>
      </c>
      <c r="AD30" s="117">
        <v>9.8000000000000007</v>
      </c>
      <c r="AE30" s="117">
        <v>9</v>
      </c>
    </row>
    <row r="31" spans="14:31">
      <c r="N31" s="114" t="s">
        <v>256</v>
      </c>
      <c r="O31" s="114" t="s">
        <v>132</v>
      </c>
      <c r="P31" s="115" t="s">
        <v>133</v>
      </c>
      <c r="Q31" s="116">
        <v>1000</v>
      </c>
      <c r="R31" s="115" t="s">
        <v>134</v>
      </c>
      <c r="S31" s="115">
        <v>2022</v>
      </c>
      <c r="T31" s="117">
        <v>8.9</v>
      </c>
      <c r="U31" s="117">
        <v>8.5</v>
      </c>
      <c r="V31" s="117">
        <v>9</v>
      </c>
      <c r="W31" s="117">
        <v>9.6999999999999993</v>
      </c>
      <c r="X31" s="117">
        <v>9.9</v>
      </c>
      <c r="Y31" s="117">
        <v>10</v>
      </c>
      <c r="Z31" s="117">
        <v>9.1999999999999993</v>
      </c>
      <c r="AA31" s="117">
        <v>8.1999999999999993</v>
      </c>
      <c r="AB31" s="117">
        <v>7.9</v>
      </c>
      <c r="AC31" s="117">
        <v>7.3</v>
      </c>
      <c r="AD31" s="117">
        <v>6.2</v>
      </c>
      <c r="AE31" s="117">
        <v>5.8</v>
      </c>
    </row>
    <row r="32" spans="14:31">
      <c r="N32" s="114" t="s">
        <v>256</v>
      </c>
      <c r="O32" s="114" t="s">
        <v>132</v>
      </c>
      <c r="P32" s="115" t="s">
        <v>133</v>
      </c>
      <c r="Q32" s="116">
        <v>1000</v>
      </c>
      <c r="R32" s="115" t="s">
        <v>134</v>
      </c>
      <c r="S32" s="115">
        <v>2023</v>
      </c>
      <c r="T32" s="117">
        <v>5.0999999999999996</v>
      </c>
      <c r="U32" s="117">
        <v>4.8</v>
      </c>
      <c r="V32" s="117">
        <v>3.3</v>
      </c>
      <c r="W32" s="117">
        <v>1.6</v>
      </c>
      <c r="X32" s="117">
        <v>0.5</v>
      </c>
      <c r="Y32" s="117">
        <v>-0.3</v>
      </c>
      <c r="Z32" s="117">
        <v>-0.3</v>
      </c>
      <c r="AA32" s="117">
        <v>0.9</v>
      </c>
      <c r="AB32" s="117">
        <v>1.3</v>
      </c>
      <c r="AC32" s="117">
        <v>0.6</v>
      </c>
      <c r="AD32" s="117">
        <v>0.6</v>
      </c>
      <c r="AE32" s="117">
        <v>1.1000000000000001</v>
      </c>
    </row>
    <row r="33" spans="14:31">
      <c r="N33" s="114" t="s">
        <v>256</v>
      </c>
      <c r="O33" s="114" t="s">
        <v>132</v>
      </c>
      <c r="P33" s="115" t="s">
        <v>133</v>
      </c>
      <c r="Q33" s="116">
        <v>1000</v>
      </c>
      <c r="R33" s="115" t="s">
        <v>134</v>
      </c>
      <c r="S33" s="115">
        <v>2024</v>
      </c>
      <c r="T33" s="117">
        <v>1.3</v>
      </c>
      <c r="U33" s="117">
        <v>1.4</v>
      </c>
      <c r="V33" s="117">
        <v>1.5</v>
      </c>
      <c r="W33" s="117">
        <v>1.9</v>
      </c>
      <c r="X33" s="117">
        <v>2.2999999999999998</v>
      </c>
      <c r="Y33" s="117">
        <v>2.5</v>
      </c>
      <c r="Z33" s="117"/>
      <c r="AA33" s="117"/>
      <c r="AB33" s="117"/>
      <c r="AC33" s="117"/>
      <c r="AD33" s="117"/>
      <c r="AE33" s="117"/>
    </row>
    <row r="35" spans="14:31">
      <c r="T35" s="118">
        <f>AVERAGE(T23:AE33)</f>
        <v>1.5983333333333336</v>
      </c>
    </row>
    <row r="42" spans="14:31">
      <c r="N42" s="113" t="s">
        <v>4</v>
      </c>
      <c r="O42" s="113" t="s">
        <v>255</v>
      </c>
      <c r="P42" s="113" t="s">
        <v>9</v>
      </c>
      <c r="Q42" s="113" t="s">
        <v>10</v>
      </c>
      <c r="R42" s="113" t="s">
        <v>6</v>
      </c>
      <c r="S42" s="113" t="s">
        <v>270</v>
      </c>
      <c r="T42" s="113" t="s">
        <v>271</v>
      </c>
      <c r="U42" s="113" t="s">
        <v>272</v>
      </c>
      <c r="V42" s="113" t="s">
        <v>273</v>
      </c>
      <c r="W42" s="113" t="s">
        <v>274</v>
      </c>
      <c r="X42" s="113" t="s">
        <v>275</v>
      </c>
      <c r="Y42" s="113" t="s">
        <v>276</v>
      </c>
      <c r="Z42" s="113" t="s">
        <v>277</v>
      </c>
      <c r="AA42" s="113" t="s">
        <v>278</v>
      </c>
      <c r="AB42" s="113" t="s">
        <v>279</v>
      </c>
      <c r="AC42" s="113" t="s">
        <v>280</v>
      </c>
      <c r="AD42" s="113" t="s">
        <v>281</v>
      </c>
      <c r="AE42" s="113" t="s">
        <v>282</v>
      </c>
    </row>
    <row r="43" spans="14:31">
      <c r="N43" s="114" t="s">
        <v>258</v>
      </c>
      <c r="O43" s="114" t="s">
        <v>137</v>
      </c>
      <c r="P43" s="115" t="s">
        <v>133</v>
      </c>
      <c r="Q43" s="116" t="s">
        <v>309</v>
      </c>
      <c r="R43" s="115" t="s">
        <v>134</v>
      </c>
      <c r="S43" s="115">
        <v>2014</v>
      </c>
      <c r="T43" s="117"/>
      <c r="U43" s="117"/>
      <c r="V43" s="117"/>
      <c r="W43" s="117"/>
      <c r="X43" s="117"/>
      <c r="Y43" s="117"/>
      <c r="Z43" s="117">
        <v>0.9</v>
      </c>
      <c r="AA43" s="117">
        <v>0.7</v>
      </c>
      <c r="AB43" s="117">
        <v>0.6</v>
      </c>
      <c r="AC43" s="117">
        <v>0.6</v>
      </c>
      <c r="AD43" s="117">
        <v>0.7</v>
      </c>
      <c r="AE43" s="117">
        <v>0.7</v>
      </c>
    </row>
    <row r="44" spans="14:31">
      <c r="N44" s="114" t="s">
        <v>258</v>
      </c>
      <c r="O44" s="114" t="s">
        <v>137</v>
      </c>
      <c r="P44" s="115" t="s">
        <v>133</v>
      </c>
      <c r="Q44" s="116" t="s">
        <v>309</v>
      </c>
      <c r="R44" s="115" t="s">
        <v>134</v>
      </c>
      <c r="S44" s="115">
        <v>2015</v>
      </c>
      <c r="T44" s="117">
        <v>0.9</v>
      </c>
      <c r="U44" s="117">
        <v>0.9</v>
      </c>
      <c r="V44" s="117">
        <v>1</v>
      </c>
      <c r="W44" s="117">
        <v>1</v>
      </c>
      <c r="X44" s="117">
        <v>0.9</v>
      </c>
      <c r="Y44" s="117">
        <v>1</v>
      </c>
      <c r="Z44" s="117">
        <v>0.8</v>
      </c>
      <c r="AA44" s="117">
        <v>0.4</v>
      </c>
      <c r="AB44" s="117">
        <v>0.4</v>
      </c>
      <c r="AC44" s="117">
        <v>0.4</v>
      </c>
      <c r="AD44" s="117">
        <v>0.3</v>
      </c>
      <c r="AE44" s="117">
        <v>0.3</v>
      </c>
    </row>
    <row r="45" spans="14:31">
      <c r="N45" s="114" t="s">
        <v>258</v>
      </c>
      <c r="O45" s="114" t="s">
        <v>137</v>
      </c>
      <c r="P45" s="115" t="s">
        <v>133</v>
      </c>
      <c r="Q45" s="116" t="s">
        <v>309</v>
      </c>
      <c r="R45" s="115" t="s">
        <v>134</v>
      </c>
      <c r="S45" s="115">
        <v>2016</v>
      </c>
      <c r="T45" s="117">
        <v>0.3</v>
      </c>
      <c r="U45" s="117">
        <v>0.3</v>
      </c>
      <c r="V45" s="117">
        <v>0.3</v>
      </c>
      <c r="W45" s="117">
        <v>0.3</v>
      </c>
      <c r="X45" s="117">
        <v>0.5</v>
      </c>
      <c r="Y45" s="117">
        <v>0.6</v>
      </c>
      <c r="Z45" s="117">
        <v>0.6</v>
      </c>
      <c r="AA45" s="117">
        <v>1.2</v>
      </c>
      <c r="AB45" s="117">
        <v>1.2</v>
      </c>
      <c r="AC45" s="117">
        <v>1.1000000000000001</v>
      </c>
      <c r="AD45" s="117">
        <v>1.1000000000000001</v>
      </c>
      <c r="AE45" s="117">
        <v>1</v>
      </c>
    </row>
    <row r="46" spans="14:31">
      <c r="N46" s="114" t="s">
        <v>258</v>
      </c>
      <c r="O46" s="114" t="s">
        <v>137</v>
      </c>
      <c r="P46" s="115" t="s">
        <v>133</v>
      </c>
      <c r="Q46" s="116" t="s">
        <v>309</v>
      </c>
      <c r="R46" s="115" t="s">
        <v>134</v>
      </c>
      <c r="S46" s="115">
        <v>2017</v>
      </c>
      <c r="T46" s="117">
        <v>0.8</v>
      </c>
      <c r="U46" s="117">
        <v>0.8</v>
      </c>
      <c r="V46" s="117">
        <v>0.9</v>
      </c>
      <c r="W46" s="117">
        <v>0.9</v>
      </c>
      <c r="X46" s="117">
        <v>0.8</v>
      </c>
      <c r="Y46" s="117">
        <v>0.5</v>
      </c>
      <c r="Z46" s="117">
        <v>0.7</v>
      </c>
      <c r="AA46" s="117">
        <v>0.5</v>
      </c>
      <c r="AB46" s="117">
        <v>0.3</v>
      </c>
      <c r="AC46" s="117">
        <v>0.4</v>
      </c>
      <c r="AD46" s="117">
        <v>0.3</v>
      </c>
      <c r="AE46" s="117">
        <v>0.4</v>
      </c>
    </row>
    <row r="47" spans="14:31">
      <c r="N47" s="114" t="s">
        <v>258</v>
      </c>
      <c r="O47" s="114" t="s">
        <v>137</v>
      </c>
      <c r="P47" s="115" t="s">
        <v>133</v>
      </c>
      <c r="Q47" s="116" t="s">
        <v>309</v>
      </c>
      <c r="R47" s="115" t="s">
        <v>134</v>
      </c>
      <c r="S47" s="115">
        <v>2018</v>
      </c>
      <c r="T47" s="117">
        <v>0.3</v>
      </c>
      <c r="U47" s="117">
        <v>0.3</v>
      </c>
      <c r="V47" s="117">
        <v>0.2</v>
      </c>
      <c r="W47" s="117">
        <v>0.3</v>
      </c>
      <c r="X47" s="117">
        <v>0.3</v>
      </c>
      <c r="Y47" s="117">
        <v>0.5</v>
      </c>
      <c r="Z47" s="117">
        <v>0.5</v>
      </c>
      <c r="AA47" s="117">
        <v>0.7</v>
      </c>
      <c r="AB47" s="117">
        <v>1</v>
      </c>
      <c r="AC47" s="117">
        <v>1</v>
      </c>
      <c r="AD47" s="117">
        <v>1.1000000000000001</v>
      </c>
      <c r="AE47" s="117">
        <v>1.1000000000000001</v>
      </c>
    </row>
    <row r="48" spans="14:31">
      <c r="N48" s="114" t="s">
        <v>258</v>
      </c>
      <c r="O48" s="114" t="s">
        <v>137</v>
      </c>
      <c r="P48" s="115" t="s">
        <v>133</v>
      </c>
      <c r="Q48" s="116" t="s">
        <v>309</v>
      </c>
      <c r="R48" s="115" t="s">
        <v>134</v>
      </c>
      <c r="S48" s="115">
        <v>2019</v>
      </c>
      <c r="T48" s="117">
        <v>1.2</v>
      </c>
      <c r="U48" s="117">
        <v>1.3</v>
      </c>
      <c r="V48" s="117">
        <v>1.3</v>
      </c>
      <c r="W48" s="117">
        <v>1.2</v>
      </c>
      <c r="X48" s="117">
        <v>1.2</v>
      </c>
      <c r="Y48" s="117">
        <v>1</v>
      </c>
      <c r="Z48" s="117">
        <v>1</v>
      </c>
      <c r="AA48" s="117">
        <v>0.8</v>
      </c>
      <c r="AB48" s="117">
        <v>0.8</v>
      </c>
      <c r="AC48" s="117">
        <v>0.9</v>
      </c>
      <c r="AD48" s="117">
        <v>0.8</v>
      </c>
      <c r="AE48" s="117">
        <v>0.8</v>
      </c>
    </row>
    <row r="49" spans="14:31">
      <c r="N49" s="114" t="s">
        <v>258</v>
      </c>
      <c r="O49" s="114" t="s">
        <v>137</v>
      </c>
      <c r="P49" s="115" t="s">
        <v>133</v>
      </c>
      <c r="Q49" s="116" t="s">
        <v>309</v>
      </c>
      <c r="R49" s="115" t="s">
        <v>134</v>
      </c>
      <c r="S49" s="115">
        <v>2020</v>
      </c>
      <c r="T49" s="117">
        <v>1.2</v>
      </c>
      <c r="U49" s="117">
        <v>1.1000000000000001</v>
      </c>
      <c r="V49" s="117">
        <v>1.1000000000000001</v>
      </c>
      <c r="W49" s="117">
        <v>1</v>
      </c>
      <c r="X49" s="117">
        <v>0.9</v>
      </c>
      <c r="Y49" s="117">
        <v>0.9</v>
      </c>
      <c r="Z49" s="117">
        <v>0.9</v>
      </c>
      <c r="AA49" s="117">
        <v>0.9</v>
      </c>
      <c r="AB49" s="117">
        <v>0.7</v>
      </c>
      <c r="AC49" s="117">
        <v>0.7</v>
      </c>
      <c r="AD49" s="117">
        <v>0.6</v>
      </c>
      <c r="AE49" s="117">
        <v>0.6</v>
      </c>
    </row>
    <row r="50" spans="14:31">
      <c r="N50" s="114" t="s">
        <v>258</v>
      </c>
      <c r="O50" s="114" t="s">
        <v>137</v>
      </c>
      <c r="P50" s="115" t="s">
        <v>133</v>
      </c>
      <c r="Q50" s="116" t="s">
        <v>309</v>
      </c>
      <c r="R50" s="115" t="s">
        <v>134</v>
      </c>
      <c r="S50" s="115">
        <v>2021</v>
      </c>
      <c r="T50" s="117">
        <v>-0.2</v>
      </c>
      <c r="U50" s="117">
        <v>-0.2</v>
      </c>
      <c r="V50" s="117">
        <v>-0.2</v>
      </c>
      <c r="W50" s="117">
        <v>-0.4</v>
      </c>
      <c r="X50" s="117">
        <v>-0.3</v>
      </c>
      <c r="Y50" s="117">
        <v>-0.3</v>
      </c>
      <c r="Z50" s="117">
        <v>-0.3</v>
      </c>
      <c r="AA50" s="117">
        <v>-0.4</v>
      </c>
      <c r="AB50" s="117">
        <v>-0.3</v>
      </c>
      <c r="AC50" s="117">
        <v>-0.3</v>
      </c>
      <c r="AD50" s="117">
        <v>-0.2</v>
      </c>
      <c r="AE50" s="117">
        <v>-0.2</v>
      </c>
    </row>
    <row r="51" spans="14:31">
      <c r="N51" s="114" t="s">
        <v>258</v>
      </c>
      <c r="O51" s="114" t="s">
        <v>137</v>
      </c>
      <c r="P51" s="115" t="s">
        <v>133</v>
      </c>
      <c r="Q51" s="116" t="s">
        <v>309</v>
      </c>
      <c r="R51" s="115" t="s">
        <v>134</v>
      </c>
      <c r="S51" s="115">
        <v>2022</v>
      </c>
      <c r="T51" s="117">
        <v>0.2</v>
      </c>
      <c r="U51" s="117">
        <v>0.2</v>
      </c>
      <c r="V51" s="117">
        <v>0.2</v>
      </c>
      <c r="W51" s="117">
        <v>0.4</v>
      </c>
      <c r="X51" s="117">
        <v>0.4</v>
      </c>
      <c r="Y51" s="117">
        <v>0.5</v>
      </c>
      <c r="Z51" s="117">
        <v>0.6</v>
      </c>
      <c r="AA51" s="117">
        <v>0.6</v>
      </c>
      <c r="AB51" s="117">
        <v>0.6</v>
      </c>
      <c r="AC51" s="117">
        <v>0.6</v>
      </c>
      <c r="AD51" s="117">
        <v>0.7</v>
      </c>
      <c r="AE51" s="117">
        <v>0.8</v>
      </c>
    </row>
    <row r="52" spans="14:31">
      <c r="N52" s="114" t="s">
        <v>258</v>
      </c>
      <c r="O52" s="114" t="s">
        <v>137</v>
      </c>
      <c r="P52" s="115" t="s">
        <v>133</v>
      </c>
      <c r="Q52" s="116" t="s">
        <v>309</v>
      </c>
      <c r="R52" s="115" t="s">
        <v>134</v>
      </c>
      <c r="S52" s="115">
        <v>2023</v>
      </c>
      <c r="T52" s="117">
        <v>0.7</v>
      </c>
      <c r="U52" s="117">
        <v>0.9</v>
      </c>
      <c r="V52" s="117">
        <v>1</v>
      </c>
      <c r="W52" s="117">
        <v>1.1000000000000001</v>
      </c>
      <c r="X52" s="117">
        <v>1.1000000000000001</v>
      </c>
      <c r="Y52" s="117">
        <v>1.2</v>
      </c>
      <c r="Z52" s="117">
        <v>1.2</v>
      </c>
      <c r="AA52" s="117">
        <v>1.3</v>
      </c>
      <c r="AB52" s="117">
        <v>1.3</v>
      </c>
      <c r="AC52" s="117">
        <v>1.4</v>
      </c>
      <c r="AD52" s="117">
        <v>1.4</v>
      </c>
      <c r="AE52" s="117">
        <v>1.6</v>
      </c>
    </row>
    <row r="53" spans="14:31">
      <c r="N53" s="114" t="s">
        <v>258</v>
      </c>
      <c r="O53" s="114" t="s">
        <v>137</v>
      </c>
      <c r="P53" s="115" t="s">
        <v>133</v>
      </c>
      <c r="Q53" s="116" t="s">
        <v>309</v>
      </c>
      <c r="R53" s="115" t="s">
        <v>134</v>
      </c>
      <c r="S53" s="115">
        <v>2024</v>
      </c>
      <c r="T53" s="117">
        <v>2.1</v>
      </c>
      <c r="U53" s="117">
        <v>2.1</v>
      </c>
      <c r="V53" s="117">
        <v>2.1</v>
      </c>
      <c r="W53" s="117">
        <v>1.9</v>
      </c>
      <c r="X53" s="117">
        <v>1.9</v>
      </c>
      <c r="Y53" s="117">
        <v>1.9</v>
      </c>
      <c r="Z53" s="117"/>
      <c r="AA53" s="117"/>
      <c r="AB53" s="117"/>
      <c r="AC53" s="117"/>
      <c r="AD53" s="117"/>
      <c r="AE53" s="117"/>
    </row>
    <row r="55" spans="14:31">
      <c r="T55" s="118">
        <f>AVERAGE(T43:AE53)</f>
        <v>0.72666666666666679</v>
      </c>
    </row>
  </sheetData>
  <phoneticPr fontId="4" type="noConversion"/>
  <pageMargins left="0.7" right="0.7" top="0.75" bottom="0.75" header="0.3" footer="0.3"/>
  <ignoredErrors>
    <ignoredError sqref="Q43:Q53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AY73"/>
  <sheetViews>
    <sheetView showGridLines="0" tabSelected="1" zoomScaleNormal="100" workbookViewId="0">
      <selection activeCell="I5" sqref="I5"/>
    </sheetView>
  </sheetViews>
  <sheetFormatPr defaultColWidth="13.625" defaultRowHeight="12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45532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f>EOMONTH(C3,-1)</f>
        <v>45504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f>EOMONTH(C4,-C5+1)</f>
        <v>41882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f>ROUND(AVERAGE(J11:U21)/100,4)</f>
        <v>1.9300000000000001E-2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f>ROUND(AVERAGE(J24:U34)/100,4)</f>
        <v>1.6199999999999999E-2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f>ROUND(AVERAGE(J37:U47)/100,4)</f>
        <v>7.4000000000000003E-3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8">
        <f t="shared" ref="I11:I19" si="0">I12-1</f>
        <v>2014</v>
      </c>
      <c r="J11" s="58" t="str">
        <f>IF(X11="","",ROUND(VLOOKUP($E11,'Raw Data'!$1:$1048576,MATCH(X11,'Raw Data'!$3:$3,0),FALSE),$G$6))</f>
        <v/>
      </c>
      <c r="K11" s="58" t="str">
        <f>IF(Y11="","",ROUND(VLOOKUP($E11,'Raw Data'!$1:$1048576,MATCH(Y11,'Raw Data'!$3:$3,0),FALSE),$G$6))</f>
        <v/>
      </c>
      <c r="L11" s="58" t="str">
        <f>IF(Z11="","",ROUND(VLOOKUP($E11,'Raw Data'!$1:$1048576,MATCH(Z11,'Raw Data'!$3:$3,0),FALSE),$G$6))</f>
        <v/>
      </c>
      <c r="M11" s="58" t="str">
        <f>IF(AA11="","",ROUND(VLOOKUP($E11,'Raw Data'!$1:$1048576,MATCH(AA11,'Raw Data'!$3:$3,0),FALSE),$G$6))</f>
        <v/>
      </c>
      <c r="N11" s="58" t="str">
        <f>IF(AB11="","",ROUND(VLOOKUP($E11,'Raw Data'!$1:$1048576,MATCH(AB11,'Raw Data'!$3:$3,0),FALSE),$G$6))</f>
        <v/>
      </c>
      <c r="O11" s="58" t="str">
        <f>IF(AC11="","",ROUND(VLOOKUP($E11,'Raw Data'!$1:$1048576,MATCH(AC11,'Raw Data'!$3:$3,0),FALSE),$G$6))</f>
        <v/>
      </c>
      <c r="P11" s="58" t="str">
        <f>IF(AD11="","",ROUND(VLOOKUP($E11,'Raw Data'!$1:$1048576,MATCH(AD11,'Raw Data'!$3:$3,0),FALSE),$G$6))</f>
        <v/>
      </c>
      <c r="Q11" s="58">
        <f>IF(AE11="","",ROUND(VLOOKUP($E11,'Raw Data'!$1:$1048576,MATCH(AE11,'Raw Data'!$3:$3,0),FALSE),$G$6))</f>
        <v>1.4</v>
      </c>
      <c r="R11" s="58">
        <f>IF(AF11="","",ROUND(VLOOKUP($E11,'Raw Data'!$1:$1048576,MATCH(AF11,'Raw Data'!$3:$3,0),FALSE),$G$6))</f>
        <v>1.1000000000000001</v>
      </c>
      <c r="S11" s="58">
        <f>IF(AG11="","",ROUND(VLOOKUP($E11,'Raw Data'!$1:$1048576,MATCH(AG11,'Raw Data'!$3:$3,0),FALSE),$G$6))</f>
        <v>1.1000000000000001</v>
      </c>
      <c r="T11" s="58">
        <f>IF(AH11="","",ROUND(VLOOKUP($E11,'Raw Data'!$1:$1048576,MATCH(AH11,'Raw Data'!$3:$3,0),FALSE),$G$6))</f>
        <v>1</v>
      </c>
      <c r="U11" s="58">
        <f>IF(AI11="","",ROUND(VLOOKUP($E11,'Raw Data'!$1:$1048576,MATCH(AI11,'Raw Data'!$3:$3,0),FALSE),$G$6))</f>
        <v>0.8</v>
      </c>
      <c r="W11" s="39">
        <f t="shared" ref="W11:W19" si="1">W12-1</f>
        <v>2014</v>
      </c>
      <c r="X11" s="40" t="str">
        <f t="shared" ref="X11:AI21" si="2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2"/>
        <v/>
      </c>
      <c r="Z11" s="40" t="str">
        <f t="shared" si="2"/>
        <v/>
      </c>
      <c r="AA11" s="40" t="str">
        <f t="shared" si="2"/>
        <v/>
      </c>
      <c r="AB11" s="40" t="str">
        <f t="shared" si="2"/>
        <v/>
      </c>
      <c r="AC11" s="40" t="str">
        <f t="shared" si="2"/>
        <v/>
      </c>
      <c r="AD11" s="40" t="str">
        <f t="shared" si="2"/>
        <v/>
      </c>
      <c r="AE11" s="40">
        <f t="shared" si="2"/>
        <v>41882</v>
      </c>
      <c r="AF11" s="40">
        <f t="shared" si="2"/>
        <v>41912</v>
      </c>
      <c r="AG11" s="40">
        <f t="shared" si="2"/>
        <v>41943</v>
      </c>
      <c r="AH11" s="40">
        <f t="shared" si="2"/>
        <v>41973</v>
      </c>
      <c r="AI11" s="40">
        <f t="shared" si="2"/>
        <v>42004</v>
      </c>
      <c r="AK11" s="39">
        <f t="shared" ref="AK11:AK19" si="3">AK12-1</f>
        <v>2014</v>
      </c>
      <c r="AL11" s="40" t="str">
        <f t="shared" ref="AL11:AL21" si="4">IF(X11=MIN($X$11:$AI$21)=TRUE,"MIN",IF(X11=MAX($X$11:$AI$21)=TRUE,"MAX",""))</f>
        <v/>
      </c>
      <c r="AM11" s="40" t="str">
        <f t="shared" ref="AM11:AM21" si="5">IF(Y11=MIN($X$11:$AI$21)=TRUE,"MIN",IF(Y11=MAX($X$11:$AI$21)=TRUE,"MAX",""))</f>
        <v/>
      </c>
      <c r="AN11" s="40" t="str">
        <f t="shared" ref="AN11:AN21" si="6">IF(Z11=MIN($X$11:$AI$21)=TRUE,"MIN",IF(Z11=MAX($X$11:$AI$21)=TRUE,"MAX",""))</f>
        <v/>
      </c>
      <c r="AO11" s="40" t="str">
        <f t="shared" ref="AO11:AO21" si="7">IF(AA11=MIN($X$11:$AI$21)=TRUE,"MIN",IF(AA11=MAX($X$11:$AI$21)=TRUE,"MAX",""))</f>
        <v/>
      </c>
      <c r="AP11" s="40" t="str">
        <f t="shared" ref="AP11:AP21" si="8">IF(AB11=MIN($X$11:$AI$21)=TRUE,"MIN",IF(AB11=MAX($X$11:$AI$21)=TRUE,"MAX",""))</f>
        <v/>
      </c>
      <c r="AQ11" s="40" t="str">
        <f t="shared" ref="AQ11:AQ21" si="9">IF(AC11=MIN($X$11:$AI$21)=TRUE,"MIN",IF(AC11=MAX($X$11:$AI$21)=TRUE,"MAX",""))</f>
        <v/>
      </c>
      <c r="AR11" s="40" t="str">
        <f t="shared" ref="AR11:AR21" si="10">IF(AD11=MIN($X$11:$AI$21)=TRUE,"MIN",IF(AD11=MAX($X$11:$AI$21)=TRUE,"MAX",""))</f>
        <v/>
      </c>
      <c r="AS11" s="40" t="str">
        <f t="shared" ref="AS11:AS21" si="11">IF(AE11=MIN($X$11:$AI$21)=TRUE,"MIN",IF(AE11=MAX($X$11:$AI$21)=TRUE,"MAX",""))</f>
        <v>MIN</v>
      </c>
      <c r="AT11" s="40" t="str">
        <f t="shared" ref="AT11:AT21" si="12">IF(AF11=MIN($X$11:$AI$21)=TRUE,"MIN",IF(AF11=MAX($X$11:$AI$21)=TRUE,"MAX",""))</f>
        <v/>
      </c>
      <c r="AU11" s="40" t="str">
        <f t="shared" ref="AU11:AU21" si="13">IF(AG11=MIN($X$11:$AI$21)=TRUE,"MIN",IF(AG11=MAX($X$11:$AI$21)=TRUE,"MAX",""))</f>
        <v/>
      </c>
      <c r="AV11" s="40" t="str">
        <f t="shared" ref="AV11:AV21" si="14">IF(AH11=MIN($X$11:$AI$21)=TRUE,"MIN",IF(AH11=MAX($X$11:$AI$21)=TRUE,"MAX",""))</f>
        <v/>
      </c>
      <c r="AW11" s="40" t="str">
        <f t="shared" ref="AW11:AW21" si="15">IF(AI11=MIN($X$11:$AI$21)=TRUE,"MIN",IF(AI11=MAX($X$11:$AI$21)=TRUE,"MAX",""))</f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49">
        <f t="shared" si="0"/>
        <v>2015</v>
      </c>
      <c r="J12" s="58">
        <f>IF(X12="","",ROUND(VLOOKUP($E12,'Raw Data'!$1:$1048576,MATCH(X12,'Raw Data'!$3:$3,0),FALSE),$G$6))</f>
        <v>1</v>
      </c>
      <c r="K12" s="58">
        <f>IF(Y12="","",ROUND(VLOOKUP($E12,'Raw Data'!$1:$1048576,MATCH(Y12,'Raw Data'!$3:$3,0),FALSE),$G$6))</f>
        <v>0.6</v>
      </c>
      <c r="L12" s="58">
        <f>IF(Z12="","",ROUND(VLOOKUP($E12,'Raw Data'!$1:$1048576,MATCH(Z12,'Raw Data'!$3:$3,0),FALSE),$G$6))</f>
        <v>0.5</v>
      </c>
      <c r="M12" s="58">
        <f>IF(AA12="","",ROUND(VLOOKUP($E12,'Raw Data'!$1:$1048576,MATCH(AA12,'Raw Data'!$3:$3,0),FALSE),$G$6))</f>
        <v>0.4</v>
      </c>
      <c r="N12" s="58">
        <f>IF(AB12="","",ROUND(VLOOKUP($E12,'Raw Data'!$1:$1048576,MATCH(AB12,'Raw Data'!$3:$3,0),FALSE),$G$6))</f>
        <v>0.6</v>
      </c>
      <c r="O12" s="58">
        <f>IF(AC12="","",ROUND(VLOOKUP($E12,'Raw Data'!$1:$1048576,MATCH(AC12,'Raw Data'!$3:$3,0),FALSE),$G$6))</f>
        <v>0.7</v>
      </c>
      <c r="P12" s="58">
        <f>IF(AD12="","",ROUND(VLOOKUP($E12,'Raw Data'!$1:$1048576,MATCH(AD12,'Raw Data'!$3:$3,0),FALSE),$G$6))</f>
        <v>0.7</v>
      </c>
      <c r="Q12" s="58">
        <f>IF(AE12="","",ROUND(VLOOKUP($E12,'Raw Data'!$1:$1048576,MATCH(AE12,'Raw Data'!$3:$3,0),FALSE),$G$6))</f>
        <v>0.7</v>
      </c>
      <c r="R12" s="58">
        <f>IF(AF12="","",ROUND(VLOOKUP($E12,'Raw Data'!$1:$1048576,MATCH(AF12,'Raw Data'!$3:$3,0),FALSE),$G$6))</f>
        <v>0.5</v>
      </c>
      <c r="S12" s="58">
        <f>IF(AG12="","",ROUND(VLOOKUP($E12,'Raw Data'!$1:$1048576,MATCH(AG12,'Raw Data'!$3:$3,0),FALSE),$G$6))</f>
        <v>0.8</v>
      </c>
      <c r="T12" s="58">
        <f>IF(AH12="","",ROUND(VLOOKUP($E12,'Raw Data'!$1:$1048576,MATCH(AH12,'Raw Data'!$3:$3,0),FALSE),$G$6))</f>
        <v>0.8</v>
      </c>
      <c r="U12" s="58">
        <f>IF(AI12="","",ROUND(VLOOKUP($E12,'Raw Data'!$1:$1048576,MATCH(AI12,'Raw Data'!$3:$3,0),FALSE),$G$6))</f>
        <v>1.1000000000000001</v>
      </c>
      <c r="W12" s="39">
        <f t="shared" si="1"/>
        <v>2015</v>
      </c>
      <c r="X12" s="40">
        <f t="shared" si="2"/>
        <v>42035</v>
      </c>
      <c r="Y12" s="40">
        <f t="shared" si="2"/>
        <v>42063</v>
      </c>
      <c r="Z12" s="40">
        <f t="shared" si="2"/>
        <v>42094</v>
      </c>
      <c r="AA12" s="40">
        <f t="shared" si="2"/>
        <v>42124</v>
      </c>
      <c r="AB12" s="40">
        <f t="shared" si="2"/>
        <v>42155</v>
      </c>
      <c r="AC12" s="40">
        <f t="shared" si="2"/>
        <v>42185</v>
      </c>
      <c r="AD12" s="40">
        <f t="shared" si="2"/>
        <v>42216</v>
      </c>
      <c r="AE12" s="40">
        <f t="shared" si="2"/>
        <v>42247</v>
      </c>
      <c r="AF12" s="40">
        <f t="shared" si="2"/>
        <v>42277</v>
      </c>
      <c r="AG12" s="40">
        <f t="shared" si="2"/>
        <v>42308</v>
      </c>
      <c r="AH12" s="40">
        <f t="shared" si="2"/>
        <v>42338</v>
      </c>
      <c r="AI12" s="40">
        <f t="shared" si="2"/>
        <v>42369</v>
      </c>
      <c r="AK12" s="39">
        <f t="shared" si="3"/>
        <v>2015</v>
      </c>
      <c r="AL12" s="40" t="str">
        <f t="shared" si="4"/>
        <v/>
      </c>
      <c r="AM12" s="40" t="str">
        <f t="shared" si="5"/>
        <v/>
      </c>
      <c r="AN12" s="40" t="str">
        <f t="shared" si="6"/>
        <v/>
      </c>
      <c r="AO12" s="40" t="str">
        <f t="shared" si="7"/>
        <v/>
      </c>
      <c r="AP12" s="40" t="str">
        <f t="shared" si="8"/>
        <v/>
      </c>
      <c r="AQ12" s="40" t="str">
        <f t="shared" si="9"/>
        <v/>
      </c>
      <c r="AR12" s="40" t="str">
        <f t="shared" si="10"/>
        <v/>
      </c>
      <c r="AS12" s="40" t="str">
        <f t="shared" si="11"/>
        <v/>
      </c>
      <c r="AT12" s="40" t="str">
        <f t="shared" si="12"/>
        <v/>
      </c>
      <c r="AU12" s="40" t="str">
        <f t="shared" si="13"/>
        <v/>
      </c>
      <c r="AV12" s="40" t="str">
        <f t="shared" si="14"/>
        <v/>
      </c>
      <c r="AW12" s="40" t="str">
        <f t="shared" si="15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49">
        <f t="shared" si="0"/>
        <v>2016</v>
      </c>
      <c r="J13" s="58">
        <f>IF(X13="","",ROUND(VLOOKUP($E13,'Raw Data'!$1:$1048576,MATCH(X13,'Raw Data'!$3:$3,0),FALSE),$G$6))</f>
        <v>0.6</v>
      </c>
      <c r="K13" s="58">
        <f>IF(Y13="","",ROUND(VLOOKUP($E13,'Raw Data'!$1:$1048576,MATCH(Y13,'Raw Data'!$3:$3,0),FALSE),$G$6))</f>
        <v>1.1000000000000001</v>
      </c>
      <c r="L13" s="58">
        <f>IF(Z13="","",ROUND(VLOOKUP($E13,'Raw Data'!$1:$1048576,MATCH(Z13,'Raw Data'!$3:$3,0),FALSE),$G$6))</f>
        <v>0.8</v>
      </c>
      <c r="M13" s="58">
        <f>IF(AA13="","",ROUND(VLOOKUP($E13,'Raw Data'!$1:$1048576,MATCH(AA13,'Raw Data'!$3:$3,0),FALSE),$G$6))</f>
        <v>1</v>
      </c>
      <c r="N13" s="58">
        <f>IF(AB13="","",ROUND(VLOOKUP($E13,'Raw Data'!$1:$1048576,MATCH(AB13,'Raw Data'!$3:$3,0),FALSE),$G$6))</f>
        <v>0.8</v>
      </c>
      <c r="O13" s="58">
        <f>IF(AC13="","",ROUND(VLOOKUP($E13,'Raw Data'!$1:$1048576,MATCH(AC13,'Raw Data'!$3:$3,0),FALSE),$G$6))</f>
        <v>0.7</v>
      </c>
      <c r="P13" s="58">
        <f>IF(AD13="","",ROUND(VLOOKUP($E13,'Raw Data'!$1:$1048576,MATCH(AD13,'Raw Data'!$3:$3,0),FALSE),$G$6))</f>
        <v>0.4</v>
      </c>
      <c r="Q13" s="58">
        <f>IF(AE13="","",ROUND(VLOOKUP($E13,'Raw Data'!$1:$1048576,MATCH(AE13,'Raw Data'!$3:$3,0),FALSE),$G$6))</f>
        <v>0.5</v>
      </c>
      <c r="R13" s="58">
        <f>IF(AF13="","",ROUND(VLOOKUP($E13,'Raw Data'!$1:$1048576,MATCH(AF13,'Raw Data'!$3:$3,0),FALSE),$G$6))</f>
        <v>1.3</v>
      </c>
      <c r="S13" s="58">
        <f>IF(AG13="","",ROUND(VLOOKUP($E13,'Raw Data'!$1:$1048576,MATCH(AG13,'Raw Data'!$3:$3,0),FALSE),$G$6))</f>
        <v>1.5</v>
      </c>
      <c r="T13" s="58">
        <f>IF(AH13="","",ROUND(VLOOKUP($E13,'Raw Data'!$1:$1048576,MATCH(AH13,'Raw Data'!$3:$3,0),FALSE),$G$6))</f>
        <v>1.5</v>
      </c>
      <c r="U13" s="58">
        <f>IF(AI13="","",ROUND(VLOOKUP($E13,'Raw Data'!$1:$1048576,MATCH(AI13,'Raw Data'!$3:$3,0),FALSE),$G$6))</f>
        <v>1.3</v>
      </c>
      <c r="W13" s="39">
        <f t="shared" si="1"/>
        <v>2016</v>
      </c>
      <c r="X13" s="40">
        <f t="shared" si="2"/>
        <v>42400</v>
      </c>
      <c r="Y13" s="40">
        <f t="shared" si="2"/>
        <v>42429</v>
      </c>
      <c r="Z13" s="40">
        <f t="shared" si="2"/>
        <v>42460</v>
      </c>
      <c r="AA13" s="40">
        <f t="shared" si="2"/>
        <v>42490</v>
      </c>
      <c r="AB13" s="40">
        <f t="shared" si="2"/>
        <v>42521</v>
      </c>
      <c r="AC13" s="40">
        <f t="shared" si="2"/>
        <v>42551</v>
      </c>
      <c r="AD13" s="40">
        <f t="shared" si="2"/>
        <v>42582</v>
      </c>
      <c r="AE13" s="40">
        <f t="shared" si="2"/>
        <v>42613</v>
      </c>
      <c r="AF13" s="40">
        <f t="shared" si="2"/>
        <v>42643</v>
      </c>
      <c r="AG13" s="40">
        <f t="shared" si="2"/>
        <v>42674</v>
      </c>
      <c r="AH13" s="40">
        <f t="shared" si="2"/>
        <v>42704</v>
      </c>
      <c r="AI13" s="40">
        <f t="shared" si="2"/>
        <v>42735</v>
      </c>
      <c r="AK13" s="39">
        <f t="shared" si="3"/>
        <v>2016</v>
      </c>
      <c r="AL13" s="40" t="str">
        <f t="shared" si="4"/>
        <v/>
      </c>
      <c r="AM13" s="40" t="str">
        <f t="shared" si="5"/>
        <v/>
      </c>
      <c r="AN13" s="40" t="str">
        <f t="shared" si="6"/>
        <v/>
      </c>
      <c r="AO13" s="40" t="str">
        <f t="shared" si="7"/>
        <v/>
      </c>
      <c r="AP13" s="40" t="str">
        <f t="shared" si="8"/>
        <v/>
      </c>
      <c r="AQ13" s="40" t="str">
        <f t="shared" si="9"/>
        <v/>
      </c>
      <c r="AR13" s="40" t="str">
        <f t="shared" si="10"/>
        <v/>
      </c>
      <c r="AS13" s="40" t="str">
        <f t="shared" si="11"/>
        <v/>
      </c>
      <c r="AT13" s="40" t="str">
        <f t="shared" si="12"/>
        <v/>
      </c>
      <c r="AU13" s="40" t="str">
        <f t="shared" si="13"/>
        <v/>
      </c>
      <c r="AV13" s="40" t="str">
        <f t="shared" si="14"/>
        <v/>
      </c>
      <c r="AW13" s="40" t="str">
        <f t="shared" si="15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49">
        <f t="shared" si="0"/>
        <v>2017</v>
      </c>
      <c r="J14" s="58">
        <f>IF(X14="","",ROUND(VLOOKUP($E14,'Raw Data'!$1:$1048576,MATCH(X14,'Raw Data'!$3:$3,0),FALSE),$G$6))</f>
        <v>2.2000000000000002</v>
      </c>
      <c r="K14" s="58">
        <f>IF(Y14="","",ROUND(VLOOKUP($E14,'Raw Data'!$1:$1048576,MATCH(Y14,'Raw Data'!$3:$3,0),FALSE),$G$6))</f>
        <v>2.1</v>
      </c>
      <c r="L14" s="58">
        <f>IF(Z14="","",ROUND(VLOOKUP($E14,'Raw Data'!$1:$1048576,MATCH(Z14,'Raw Data'!$3:$3,0),FALSE),$G$6))</f>
        <v>2.2999999999999998</v>
      </c>
      <c r="M14" s="58">
        <f>IF(AA14="","",ROUND(VLOOKUP($E14,'Raw Data'!$1:$1048576,MATCH(AA14,'Raw Data'!$3:$3,0),FALSE),$G$6))</f>
        <v>2</v>
      </c>
      <c r="N14" s="58">
        <f>IF(AB14="","",ROUND(VLOOKUP($E14,'Raw Data'!$1:$1048576,MATCH(AB14,'Raw Data'!$3:$3,0),FALSE),$G$6))</f>
        <v>2</v>
      </c>
      <c r="O14" s="58">
        <f>IF(AC14="","",ROUND(VLOOKUP($E14,'Raw Data'!$1:$1048576,MATCH(AC14,'Raw Data'!$3:$3,0),FALSE),$G$6))</f>
        <v>1.8</v>
      </c>
      <c r="P14" s="58">
        <f>IF(AD14="","",ROUND(VLOOKUP($E14,'Raw Data'!$1:$1048576,MATCH(AD14,'Raw Data'!$3:$3,0),FALSE),$G$6))</f>
        <v>2.2000000000000002</v>
      </c>
      <c r="Q14" s="58">
        <f>IF(AE14="","",ROUND(VLOOKUP($E14,'Raw Data'!$1:$1048576,MATCH(AE14,'Raw Data'!$3:$3,0),FALSE),$G$6))</f>
        <v>2.5</v>
      </c>
      <c r="R14" s="58">
        <f>IF(AF14="","",ROUND(VLOOKUP($E14,'Raw Data'!$1:$1048576,MATCH(AF14,'Raw Data'!$3:$3,0),FALSE),$G$6))</f>
        <v>2</v>
      </c>
      <c r="S14" s="58">
        <f>IF(AG14="","",ROUND(VLOOKUP($E14,'Raw Data'!$1:$1048576,MATCH(AG14,'Raw Data'!$3:$3,0),FALSE),$G$6))</f>
        <v>1.8</v>
      </c>
      <c r="T14" s="58">
        <f>IF(AH14="","",ROUND(VLOOKUP($E14,'Raw Data'!$1:$1048576,MATCH(AH14,'Raw Data'!$3:$3,0),FALSE),$G$6))</f>
        <v>1.2</v>
      </c>
      <c r="U14" s="58">
        <f>IF(AI14="","",ROUND(VLOOKUP($E14,'Raw Data'!$1:$1048576,MATCH(AI14,'Raw Data'!$3:$3,0),FALSE),$G$6))</f>
        <v>1.4</v>
      </c>
      <c r="W14" s="39">
        <f t="shared" si="1"/>
        <v>2017</v>
      </c>
      <c r="X14" s="40">
        <f t="shared" si="2"/>
        <v>42766</v>
      </c>
      <c r="Y14" s="40">
        <f t="shared" si="2"/>
        <v>42794</v>
      </c>
      <c r="Z14" s="40">
        <f t="shared" si="2"/>
        <v>42825</v>
      </c>
      <c r="AA14" s="40">
        <f t="shared" si="2"/>
        <v>42855</v>
      </c>
      <c r="AB14" s="40">
        <f t="shared" si="2"/>
        <v>42886</v>
      </c>
      <c r="AC14" s="40">
        <f t="shared" si="2"/>
        <v>42916</v>
      </c>
      <c r="AD14" s="40">
        <f t="shared" si="2"/>
        <v>42947</v>
      </c>
      <c r="AE14" s="40">
        <f t="shared" si="2"/>
        <v>42978</v>
      </c>
      <c r="AF14" s="40">
        <f t="shared" si="2"/>
        <v>43008</v>
      </c>
      <c r="AG14" s="40">
        <f t="shared" si="2"/>
        <v>43039</v>
      </c>
      <c r="AH14" s="40">
        <f t="shared" si="2"/>
        <v>43069</v>
      </c>
      <c r="AI14" s="40">
        <f t="shared" si="2"/>
        <v>43100</v>
      </c>
      <c r="AK14" s="39">
        <f t="shared" si="3"/>
        <v>2017</v>
      </c>
      <c r="AL14" s="40" t="str">
        <f t="shared" si="4"/>
        <v/>
      </c>
      <c r="AM14" s="40" t="str">
        <f t="shared" si="5"/>
        <v/>
      </c>
      <c r="AN14" s="40" t="str">
        <f t="shared" si="6"/>
        <v/>
      </c>
      <c r="AO14" s="40" t="str">
        <f t="shared" si="7"/>
        <v/>
      </c>
      <c r="AP14" s="40" t="str">
        <f t="shared" si="8"/>
        <v/>
      </c>
      <c r="AQ14" s="40" t="str">
        <f t="shared" si="9"/>
        <v/>
      </c>
      <c r="AR14" s="40" t="str">
        <f t="shared" si="10"/>
        <v/>
      </c>
      <c r="AS14" s="40" t="str">
        <f t="shared" si="11"/>
        <v/>
      </c>
      <c r="AT14" s="40" t="str">
        <f t="shared" si="12"/>
        <v/>
      </c>
      <c r="AU14" s="40" t="str">
        <f t="shared" si="13"/>
        <v/>
      </c>
      <c r="AV14" s="40" t="str">
        <f t="shared" si="14"/>
        <v/>
      </c>
      <c r="AW14" s="40" t="str">
        <f t="shared" si="15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49">
        <f t="shared" si="0"/>
        <v>2018</v>
      </c>
      <c r="J15" s="58">
        <f>IF(X15="","",ROUND(VLOOKUP($E15,'Raw Data'!$1:$1048576,MATCH(X15,'Raw Data'!$3:$3,0),FALSE),$G$6))</f>
        <v>0.8</v>
      </c>
      <c r="K15" s="58">
        <f>IF(Y15="","",ROUND(VLOOKUP($E15,'Raw Data'!$1:$1048576,MATCH(Y15,'Raw Data'!$3:$3,0),FALSE),$G$6))</f>
        <v>1.3</v>
      </c>
      <c r="L15" s="58">
        <f>IF(Z15="","",ROUND(VLOOKUP($E15,'Raw Data'!$1:$1048576,MATCH(Z15,'Raw Data'!$3:$3,0),FALSE),$G$6))</f>
        <v>1.2</v>
      </c>
      <c r="M15" s="58">
        <f>IF(AA15="","",ROUND(VLOOKUP($E15,'Raw Data'!$1:$1048576,MATCH(AA15,'Raw Data'!$3:$3,0),FALSE),$G$6))</f>
        <v>1.5</v>
      </c>
      <c r="N15" s="58">
        <f>IF(AB15="","",ROUND(VLOOKUP($E15,'Raw Data'!$1:$1048576,MATCH(AB15,'Raw Data'!$3:$3,0),FALSE),$G$6))</f>
        <v>1.5</v>
      </c>
      <c r="O15" s="58">
        <f>IF(AC15="","",ROUND(VLOOKUP($E15,'Raw Data'!$1:$1048576,MATCH(AC15,'Raw Data'!$3:$3,0),FALSE),$G$6))</f>
        <v>1.5</v>
      </c>
      <c r="P15" s="58">
        <f>IF(AD15="","",ROUND(VLOOKUP($E15,'Raw Data'!$1:$1048576,MATCH(AD15,'Raw Data'!$3:$3,0),FALSE),$G$6))</f>
        <v>1.1000000000000001</v>
      </c>
      <c r="Q15" s="58">
        <f>IF(AE15="","",ROUND(VLOOKUP($E15,'Raw Data'!$1:$1048576,MATCH(AE15,'Raw Data'!$3:$3,0),FALSE),$G$6))</f>
        <v>1.4</v>
      </c>
      <c r="R15" s="58">
        <f>IF(AF15="","",ROUND(VLOOKUP($E15,'Raw Data'!$1:$1048576,MATCH(AF15,'Raw Data'!$3:$3,0),FALSE),$G$6))</f>
        <v>2.1</v>
      </c>
      <c r="S15" s="58">
        <f>IF(AG15="","",ROUND(VLOOKUP($E15,'Raw Data'!$1:$1048576,MATCH(AG15,'Raw Data'!$3:$3,0),FALSE),$G$6))</f>
        <v>2</v>
      </c>
      <c r="T15" s="58">
        <f>IF(AH15="","",ROUND(VLOOKUP($E15,'Raw Data'!$1:$1048576,MATCH(AH15,'Raw Data'!$3:$3,0),FALSE),$G$6))</f>
        <v>2</v>
      </c>
      <c r="U15" s="58">
        <f>IF(AI15="","",ROUND(VLOOKUP($E15,'Raw Data'!$1:$1048576,MATCH(AI15,'Raw Data'!$3:$3,0),FALSE),$G$6))</f>
        <v>1.3</v>
      </c>
      <c r="W15" s="39">
        <f t="shared" si="1"/>
        <v>2018</v>
      </c>
      <c r="X15" s="40">
        <f t="shared" si="2"/>
        <v>43131</v>
      </c>
      <c r="Y15" s="40">
        <f t="shared" si="2"/>
        <v>43159</v>
      </c>
      <c r="Z15" s="40">
        <f t="shared" si="2"/>
        <v>43190</v>
      </c>
      <c r="AA15" s="40">
        <f t="shared" si="2"/>
        <v>43220</v>
      </c>
      <c r="AB15" s="40">
        <f t="shared" si="2"/>
        <v>43251</v>
      </c>
      <c r="AC15" s="40">
        <f t="shared" si="2"/>
        <v>43281</v>
      </c>
      <c r="AD15" s="40">
        <f t="shared" si="2"/>
        <v>43312</v>
      </c>
      <c r="AE15" s="40">
        <f t="shared" si="2"/>
        <v>43343</v>
      </c>
      <c r="AF15" s="40">
        <f t="shared" si="2"/>
        <v>43373</v>
      </c>
      <c r="AG15" s="40">
        <f t="shared" si="2"/>
        <v>43404</v>
      </c>
      <c r="AH15" s="40">
        <f t="shared" si="2"/>
        <v>43434</v>
      </c>
      <c r="AI15" s="40">
        <f t="shared" si="2"/>
        <v>43465</v>
      </c>
      <c r="AK15" s="39">
        <f t="shared" si="3"/>
        <v>2018</v>
      </c>
      <c r="AL15" s="40" t="str">
        <f t="shared" si="4"/>
        <v/>
      </c>
      <c r="AM15" s="40" t="str">
        <f t="shared" si="5"/>
        <v/>
      </c>
      <c r="AN15" s="40" t="str">
        <f t="shared" si="6"/>
        <v/>
      </c>
      <c r="AO15" s="40" t="str">
        <f t="shared" si="7"/>
        <v/>
      </c>
      <c r="AP15" s="40" t="str">
        <f t="shared" si="8"/>
        <v/>
      </c>
      <c r="AQ15" s="40" t="str">
        <f t="shared" si="9"/>
        <v/>
      </c>
      <c r="AR15" s="40" t="str">
        <f t="shared" si="10"/>
        <v/>
      </c>
      <c r="AS15" s="40" t="str">
        <f t="shared" si="11"/>
        <v/>
      </c>
      <c r="AT15" s="40" t="str">
        <f t="shared" si="12"/>
        <v/>
      </c>
      <c r="AU15" s="40" t="str">
        <f t="shared" si="13"/>
        <v/>
      </c>
      <c r="AV15" s="40" t="str">
        <f t="shared" si="14"/>
        <v/>
      </c>
      <c r="AW15" s="40" t="str">
        <f t="shared" si="15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49">
        <f t="shared" si="0"/>
        <v>2019</v>
      </c>
      <c r="J16" s="58">
        <f>IF(X16="","",ROUND(VLOOKUP($E16,'Raw Data'!$1:$1048576,MATCH(X16,'Raw Data'!$3:$3,0),FALSE),$G$6))</f>
        <v>0.8</v>
      </c>
      <c r="K16" s="58">
        <f>IF(Y16="","",ROUND(VLOOKUP($E16,'Raw Data'!$1:$1048576,MATCH(Y16,'Raw Data'!$3:$3,0),FALSE),$G$6))</f>
        <v>0.5</v>
      </c>
      <c r="L16" s="58">
        <f>IF(Z16="","",ROUND(VLOOKUP($E16,'Raw Data'!$1:$1048576,MATCH(Z16,'Raw Data'!$3:$3,0),FALSE),$G$6))</f>
        <v>0.4</v>
      </c>
      <c r="M16" s="58">
        <f>IF(AA16="","",ROUND(VLOOKUP($E16,'Raw Data'!$1:$1048576,MATCH(AA16,'Raw Data'!$3:$3,0),FALSE),$G$6))</f>
        <v>0.6</v>
      </c>
      <c r="N16" s="58">
        <f>IF(AB16="","",ROUND(VLOOKUP($E16,'Raw Data'!$1:$1048576,MATCH(AB16,'Raw Data'!$3:$3,0),FALSE),$G$6))</f>
        <v>0.7</v>
      </c>
      <c r="O16" s="58">
        <f>IF(AC16="","",ROUND(VLOOKUP($E16,'Raw Data'!$1:$1048576,MATCH(AC16,'Raw Data'!$3:$3,0),FALSE),$G$6))</f>
        <v>0.7</v>
      </c>
      <c r="P16" s="58">
        <f>IF(AD16="","",ROUND(VLOOKUP($E16,'Raw Data'!$1:$1048576,MATCH(AD16,'Raw Data'!$3:$3,0),FALSE),$G$6))</f>
        <v>0.6</v>
      </c>
      <c r="Q16" s="58">
        <f>IF(AE16="","",ROUND(VLOOKUP($E16,'Raw Data'!$1:$1048576,MATCH(AE16,'Raw Data'!$3:$3,0),FALSE),$G$6))</f>
        <v>0</v>
      </c>
      <c r="R16" s="58">
        <f>IF(AF16="","",ROUND(VLOOKUP($E16,'Raw Data'!$1:$1048576,MATCH(AF16,'Raw Data'!$3:$3,0),FALSE),$G$6))</f>
        <v>-0.4</v>
      </c>
      <c r="S16" s="58">
        <f>IF(AG16="","",ROUND(VLOOKUP($E16,'Raw Data'!$1:$1048576,MATCH(AG16,'Raw Data'!$3:$3,0),FALSE),$G$6))</f>
        <v>0</v>
      </c>
      <c r="T16" s="58">
        <f>IF(AH16="","",ROUND(VLOOKUP($E16,'Raw Data'!$1:$1048576,MATCH(AH16,'Raw Data'!$3:$3,0),FALSE),$G$6))</f>
        <v>0.2</v>
      </c>
      <c r="U16" s="58">
        <f>IF(AI16="","",ROUND(VLOOKUP($E16,'Raw Data'!$1:$1048576,MATCH(AI16,'Raw Data'!$3:$3,0),FALSE),$G$6))</f>
        <v>0.7</v>
      </c>
      <c r="W16" s="39">
        <f t="shared" si="1"/>
        <v>2019</v>
      </c>
      <c r="X16" s="40">
        <f t="shared" si="2"/>
        <v>43496</v>
      </c>
      <c r="Y16" s="40">
        <f t="shared" si="2"/>
        <v>43524</v>
      </c>
      <c r="Z16" s="40">
        <f t="shared" si="2"/>
        <v>43555</v>
      </c>
      <c r="AA16" s="40">
        <f t="shared" si="2"/>
        <v>43585</v>
      </c>
      <c r="AB16" s="40">
        <f t="shared" si="2"/>
        <v>43616</v>
      </c>
      <c r="AC16" s="40">
        <f t="shared" si="2"/>
        <v>43646</v>
      </c>
      <c r="AD16" s="40">
        <f t="shared" si="2"/>
        <v>43677</v>
      </c>
      <c r="AE16" s="40">
        <f t="shared" si="2"/>
        <v>43708</v>
      </c>
      <c r="AF16" s="40">
        <f t="shared" si="2"/>
        <v>43738</v>
      </c>
      <c r="AG16" s="40">
        <f t="shared" si="2"/>
        <v>43769</v>
      </c>
      <c r="AH16" s="40">
        <f t="shared" si="2"/>
        <v>43799</v>
      </c>
      <c r="AI16" s="40">
        <f t="shared" si="2"/>
        <v>43830</v>
      </c>
      <c r="AK16" s="39">
        <f t="shared" si="3"/>
        <v>2019</v>
      </c>
      <c r="AL16" s="40" t="str">
        <f t="shared" si="4"/>
        <v/>
      </c>
      <c r="AM16" s="40" t="str">
        <f t="shared" si="5"/>
        <v/>
      </c>
      <c r="AN16" s="40" t="str">
        <f t="shared" si="6"/>
        <v/>
      </c>
      <c r="AO16" s="40" t="str">
        <f t="shared" si="7"/>
        <v/>
      </c>
      <c r="AP16" s="40" t="str">
        <f t="shared" si="8"/>
        <v/>
      </c>
      <c r="AQ16" s="40" t="str">
        <f t="shared" si="9"/>
        <v/>
      </c>
      <c r="AR16" s="40" t="str">
        <f t="shared" si="10"/>
        <v/>
      </c>
      <c r="AS16" s="40" t="str">
        <f t="shared" si="11"/>
        <v/>
      </c>
      <c r="AT16" s="40" t="str">
        <f t="shared" si="12"/>
        <v/>
      </c>
      <c r="AU16" s="40" t="str">
        <f t="shared" si="13"/>
        <v/>
      </c>
      <c r="AV16" s="40" t="str">
        <f t="shared" si="14"/>
        <v/>
      </c>
      <c r="AW16" s="40" t="str">
        <f t="shared" si="15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49">
        <f t="shared" si="0"/>
        <v>2020</v>
      </c>
      <c r="J17" s="58">
        <f>IF(X17="","",ROUND(VLOOKUP($E17,'Raw Data'!$1:$1048576,MATCH(X17,'Raw Data'!$3:$3,0),FALSE),$G$6))</f>
        <v>1.2</v>
      </c>
      <c r="K17" s="58">
        <f>IF(Y17="","",ROUND(VLOOKUP($E17,'Raw Data'!$1:$1048576,MATCH(Y17,'Raw Data'!$3:$3,0),FALSE),$G$6))</f>
        <v>0.9</v>
      </c>
      <c r="L17" s="58">
        <f>IF(Z17="","",ROUND(VLOOKUP($E17,'Raw Data'!$1:$1048576,MATCH(Z17,'Raw Data'!$3:$3,0),FALSE),$G$6))</f>
        <v>0.8</v>
      </c>
      <c r="M17" s="58">
        <f>IF(AA17="","",ROUND(VLOOKUP($E17,'Raw Data'!$1:$1048576,MATCH(AA17,'Raw Data'!$3:$3,0),FALSE),$G$6))</f>
        <v>0</v>
      </c>
      <c r="N17" s="58">
        <f>IF(AB17="","",ROUND(VLOOKUP($E17,'Raw Data'!$1:$1048576,MATCH(AB17,'Raw Data'!$3:$3,0),FALSE),$G$6))</f>
        <v>-0.2</v>
      </c>
      <c r="O17" s="58">
        <f>IF(AC17="","",ROUND(VLOOKUP($E17,'Raw Data'!$1:$1048576,MATCH(AC17,'Raw Data'!$3:$3,0),FALSE),$G$6))</f>
        <v>0.2</v>
      </c>
      <c r="P17" s="58">
        <f>IF(AD17="","",ROUND(VLOOKUP($E17,'Raw Data'!$1:$1048576,MATCH(AD17,'Raw Data'!$3:$3,0),FALSE),$G$6))</f>
        <v>0.4</v>
      </c>
      <c r="Q17" s="58">
        <f>IF(AE17="","",ROUND(VLOOKUP($E17,'Raw Data'!$1:$1048576,MATCH(AE17,'Raw Data'!$3:$3,0),FALSE),$G$6))</f>
        <v>0.8</v>
      </c>
      <c r="R17" s="58">
        <f>IF(AF17="","",ROUND(VLOOKUP($E17,'Raw Data'!$1:$1048576,MATCH(AF17,'Raw Data'!$3:$3,0),FALSE),$G$6))</f>
        <v>0.9</v>
      </c>
      <c r="S17" s="58">
        <f>IF(AG17="","",ROUND(VLOOKUP($E17,'Raw Data'!$1:$1048576,MATCH(AG17,'Raw Data'!$3:$3,0),FALSE),$G$6))</f>
        <v>0.1</v>
      </c>
      <c r="T17" s="58">
        <f>IF(AH17="","",ROUND(VLOOKUP($E17,'Raw Data'!$1:$1048576,MATCH(AH17,'Raw Data'!$3:$3,0),FALSE),$G$6))</f>
        <v>0.6</v>
      </c>
      <c r="U17" s="58">
        <f>IF(AI17="","",ROUND(VLOOKUP($E17,'Raw Data'!$1:$1048576,MATCH(AI17,'Raw Data'!$3:$3,0),FALSE),$G$6))</f>
        <v>0.6</v>
      </c>
      <c r="W17" s="39">
        <f t="shared" si="1"/>
        <v>2020</v>
      </c>
      <c r="X17" s="40">
        <f t="shared" si="2"/>
        <v>43861</v>
      </c>
      <c r="Y17" s="40">
        <f t="shared" si="2"/>
        <v>43890</v>
      </c>
      <c r="Z17" s="40">
        <f t="shared" si="2"/>
        <v>43921</v>
      </c>
      <c r="AA17" s="40">
        <f t="shared" si="2"/>
        <v>43951</v>
      </c>
      <c r="AB17" s="40">
        <f t="shared" si="2"/>
        <v>43982</v>
      </c>
      <c r="AC17" s="40">
        <f t="shared" si="2"/>
        <v>44012</v>
      </c>
      <c r="AD17" s="40">
        <f t="shared" si="2"/>
        <v>44043</v>
      </c>
      <c r="AE17" s="40">
        <f t="shared" si="2"/>
        <v>44074</v>
      </c>
      <c r="AF17" s="40">
        <f t="shared" si="2"/>
        <v>44104</v>
      </c>
      <c r="AG17" s="40">
        <f t="shared" si="2"/>
        <v>44135</v>
      </c>
      <c r="AH17" s="40">
        <f t="shared" si="2"/>
        <v>44165</v>
      </c>
      <c r="AI17" s="40">
        <f t="shared" si="2"/>
        <v>44196</v>
      </c>
      <c r="AK17" s="39">
        <f t="shared" si="3"/>
        <v>2020</v>
      </c>
      <c r="AL17" s="40" t="str">
        <f t="shared" si="4"/>
        <v/>
      </c>
      <c r="AM17" s="40" t="str">
        <f t="shared" si="5"/>
        <v/>
      </c>
      <c r="AN17" s="40" t="str">
        <f t="shared" si="6"/>
        <v/>
      </c>
      <c r="AO17" s="40" t="str">
        <f t="shared" si="7"/>
        <v/>
      </c>
      <c r="AP17" s="40" t="str">
        <f t="shared" si="8"/>
        <v/>
      </c>
      <c r="AQ17" s="40" t="str">
        <f t="shared" si="9"/>
        <v/>
      </c>
      <c r="AR17" s="40" t="str">
        <f t="shared" si="10"/>
        <v/>
      </c>
      <c r="AS17" s="40" t="str">
        <f t="shared" si="11"/>
        <v/>
      </c>
      <c r="AT17" s="40" t="str">
        <f t="shared" si="12"/>
        <v/>
      </c>
      <c r="AU17" s="40" t="str">
        <f t="shared" si="13"/>
        <v/>
      </c>
      <c r="AV17" s="40" t="str">
        <f t="shared" si="14"/>
        <v/>
      </c>
      <c r="AW17" s="40" t="str">
        <f t="shared" si="15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49">
        <f t="shared" si="0"/>
        <v>2021</v>
      </c>
      <c r="J18" s="58">
        <f>IF(X18="","",ROUND(VLOOKUP($E18,'Raw Data'!$1:$1048576,MATCH(X18,'Raw Data'!$3:$3,0),FALSE),$G$6))</f>
        <v>0.9</v>
      </c>
      <c r="K18" s="58">
        <f>IF(Y18="","",ROUND(VLOOKUP($E18,'Raw Data'!$1:$1048576,MATCH(Y18,'Raw Data'!$3:$3,0),FALSE),$G$6))</f>
        <v>1.4</v>
      </c>
      <c r="L18" s="58">
        <f>IF(Z18="","",ROUND(VLOOKUP($E18,'Raw Data'!$1:$1048576,MATCH(Z18,'Raw Data'!$3:$3,0),FALSE),$G$6))</f>
        <v>1.9</v>
      </c>
      <c r="M18" s="58">
        <f>IF(AA18="","",ROUND(VLOOKUP($E18,'Raw Data'!$1:$1048576,MATCH(AA18,'Raw Data'!$3:$3,0),FALSE),$G$6))</f>
        <v>2.5</v>
      </c>
      <c r="N18" s="58">
        <f>IF(AB18="","",ROUND(VLOOKUP($E18,'Raw Data'!$1:$1048576,MATCH(AB18,'Raw Data'!$3:$3,0),FALSE),$G$6))</f>
        <v>2.6</v>
      </c>
      <c r="O18" s="58">
        <f>IF(AC18="","",ROUND(VLOOKUP($E18,'Raw Data'!$1:$1048576,MATCH(AC18,'Raw Data'!$3:$3,0),FALSE),$G$6))</f>
        <v>2.2999999999999998</v>
      </c>
      <c r="P18" s="58">
        <f>IF(AD18="","",ROUND(VLOOKUP($E18,'Raw Data'!$1:$1048576,MATCH(AD18,'Raw Data'!$3:$3,0),FALSE),$G$6))</f>
        <v>2.6</v>
      </c>
      <c r="Q18" s="58">
        <f>IF(AE18="","",ROUND(VLOOKUP($E18,'Raw Data'!$1:$1048576,MATCH(AE18,'Raw Data'!$3:$3,0),FALSE),$G$6))</f>
        <v>2.6</v>
      </c>
      <c r="R18" s="58">
        <f>IF(AF18="","",ROUND(VLOOKUP($E18,'Raw Data'!$1:$1048576,MATCH(AF18,'Raw Data'!$3:$3,0),FALSE),$G$6))</f>
        <v>2.4</v>
      </c>
      <c r="S18" s="58">
        <f>IF(AG18="","",ROUND(VLOOKUP($E18,'Raw Data'!$1:$1048576,MATCH(AG18,'Raw Data'!$3:$3,0),FALSE),$G$6))</f>
        <v>3.2</v>
      </c>
      <c r="T18" s="58">
        <f>IF(AH18="","",ROUND(VLOOKUP($E18,'Raw Data'!$1:$1048576,MATCH(AH18,'Raw Data'!$3:$3,0),FALSE),$G$6))</f>
        <v>3.8</v>
      </c>
      <c r="U18" s="58">
        <f>IF(AI18="","",ROUND(VLOOKUP($E18,'Raw Data'!$1:$1048576,MATCH(AI18,'Raw Data'!$3:$3,0),FALSE),$G$6))</f>
        <v>3.7</v>
      </c>
      <c r="W18" s="39">
        <f t="shared" si="1"/>
        <v>2021</v>
      </c>
      <c r="X18" s="40">
        <f t="shared" si="2"/>
        <v>44227</v>
      </c>
      <c r="Y18" s="40">
        <f t="shared" si="2"/>
        <v>44255</v>
      </c>
      <c r="Z18" s="40">
        <f t="shared" si="2"/>
        <v>44286</v>
      </c>
      <c r="AA18" s="40">
        <f t="shared" si="2"/>
        <v>44316</v>
      </c>
      <c r="AB18" s="40">
        <f t="shared" si="2"/>
        <v>44347</v>
      </c>
      <c r="AC18" s="40">
        <f t="shared" si="2"/>
        <v>44377</v>
      </c>
      <c r="AD18" s="40">
        <f t="shared" si="2"/>
        <v>44408</v>
      </c>
      <c r="AE18" s="40">
        <f t="shared" si="2"/>
        <v>44439</v>
      </c>
      <c r="AF18" s="40">
        <f t="shared" si="2"/>
        <v>44469</v>
      </c>
      <c r="AG18" s="40">
        <f t="shared" si="2"/>
        <v>44500</v>
      </c>
      <c r="AH18" s="40">
        <f t="shared" si="2"/>
        <v>44530</v>
      </c>
      <c r="AI18" s="40">
        <f t="shared" si="2"/>
        <v>44561</v>
      </c>
      <c r="AK18" s="39">
        <f t="shared" si="3"/>
        <v>2021</v>
      </c>
      <c r="AL18" s="40" t="str">
        <f t="shared" si="4"/>
        <v/>
      </c>
      <c r="AM18" s="40" t="str">
        <f t="shared" si="5"/>
        <v/>
      </c>
      <c r="AN18" s="40" t="str">
        <f t="shared" si="6"/>
        <v/>
      </c>
      <c r="AO18" s="40" t="str">
        <f t="shared" si="7"/>
        <v/>
      </c>
      <c r="AP18" s="40" t="str">
        <f t="shared" si="8"/>
        <v/>
      </c>
      <c r="AQ18" s="40" t="str">
        <f t="shared" si="9"/>
        <v/>
      </c>
      <c r="AR18" s="40" t="str">
        <f t="shared" si="10"/>
        <v/>
      </c>
      <c r="AS18" s="40" t="str">
        <f t="shared" si="11"/>
        <v/>
      </c>
      <c r="AT18" s="40" t="str">
        <f t="shared" si="12"/>
        <v/>
      </c>
      <c r="AU18" s="40" t="str">
        <f t="shared" si="13"/>
        <v/>
      </c>
      <c r="AV18" s="40" t="str">
        <f t="shared" si="14"/>
        <v/>
      </c>
      <c r="AW18" s="40" t="str">
        <f t="shared" si="15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49">
        <f t="shared" si="0"/>
        <v>2022</v>
      </c>
      <c r="J19" s="58">
        <f>IF(X19="","",ROUND(VLOOKUP($E19,'Raw Data'!$1:$1048576,MATCH(X19,'Raw Data'!$3:$3,0),FALSE),$G$6))</f>
        <v>3.8</v>
      </c>
      <c r="K19" s="58">
        <f>IF(Y19="","",ROUND(VLOOKUP($E19,'Raw Data'!$1:$1048576,MATCH(Y19,'Raw Data'!$3:$3,0),FALSE),$G$6))</f>
        <v>3.8</v>
      </c>
      <c r="L19" s="58">
        <f>IF(Z19="","",ROUND(VLOOKUP($E19,'Raw Data'!$1:$1048576,MATCH(Z19,'Raw Data'!$3:$3,0),FALSE),$G$6))</f>
        <v>4.2</v>
      </c>
      <c r="M19" s="58">
        <f>IF(AA19="","",ROUND(VLOOKUP($E19,'Raw Data'!$1:$1048576,MATCH(AA19,'Raw Data'!$3:$3,0),FALSE),$G$6))</f>
        <v>4.8</v>
      </c>
      <c r="N19" s="58">
        <f>IF(AB19="","",ROUND(VLOOKUP($E19,'Raw Data'!$1:$1048576,MATCH(AB19,'Raw Data'!$3:$3,0),FALSE),$G$6))</f>
        <v>5.3</v>
      </c>
      <c r="O19" s="58">
        <f>IF(AC19="","",ROUND(VLOOKUP($E19,'Raw Data'!$1:$1048576,MATCH(AC19,'Raw Data'!$3:$3,0),FALSE),$G$6))</f>
        <v>6</v>
      </c>
      <c r="P19" s="58">
        <f>IF(AD19="","",ROUND(VLOOKUP($E19,'Raw Data'!$1:$1048576,MATCH(AD19,'Raw Data'!$3:$3,0),FALSE),$G$6))</f>
        <v>6.3</v>
      </c>
      <c r="Q19" s="58">
        <f>IF(AE19="","",ROUND(VLOOKUP($E19,'Raw Data'!$1:$1048576,MATCH(AE19,'Raw Data'!$3:$3,0),FALSE),$G$6))</f>
        <v>5.7</v>
      </c>
      <c r="R19" s="58">
        <f>IF(AF19="","",ROUND(VLOOKUP($E19,'Raw Data'!$1:$1048576,MATCH(AF19,'Raw Data'!$3:$3,0),FALSE),$G$6))</f>
        <v>5.5</v>
      </c>
      <c r="S19" s="58">
        <f>IF(AG19="","",ROUND(VLOOKUP($E19,'Raw Data'!$1:$1048576,MATCH(AG19,'Raw Data'!$3:$3,0),FALSE),$G$6))</f>
        <v>5.6</v>
      </c>
      <c r="T19" s="58">
        <f>IF(AH19="","",ROUND(VLOOKUP($E19,'Raw Data'!$1:$1048576,MATCH(AH19,'Raw Data'!$3:$3,0),FALSE),$G$6))</f>
        <v>5</v>
      </c>
      <c r="U19" s="58">
        <f>IF(AI19="","",ROUND(VLOOKUP($E19,'Raw Data'!$1:$1048576,MATCH(AI19,'Raw Data'!$3:$3,0),FALSE),$G$6))</f>
        <v>5</v>
      </c>
      <c r="W19" s="39">
        <f t="shared" si="1"/>
        <v>2022</v>
      </c>
      <c r="X19" s="40">
        <f t="shared" si="2"/>
        <v>44592</v>
      </c>
      <c r="Y19" s="40">
        <f t="shared" si="2"/>
        <v>44620</v>
      </c>
      <c r="Z19" s="40">
        <f t="shared" si="2"/>
        <v>44651</v>
      </c>
      <c r="AA19" s="40">
        <f t="shared" si="2"/>
        <v>44681</v>
      </c>
      <c r="AB19" s="40">
        <f t="shared" si="2"/>
        <v>44712</v>
      </c>
      <c r="AC19" s="40">
        <f t="shared" si="2"/>
        <v>44742</v>
      </c>
      <c r="AD19" s="40">
        <f t="shared" si="2"/>
        <v>44773</v>
      </c>
      <c r="AE19" s="40">
        <f t="shared" si="2"/>
        <v>44804</v>
      </c>
      <c r="AF19" s="40">
        <f t="shared" si="2"/>
        <v>44834</v>
      </c>
      <c r="AG19" s="40">
        <f t="shared" si="2"/>
        <v>44865</v>
      </c>
      <c r="AH19" s="40">
        <f t="shared" si="2"/>
        <v>44895</v>
      </c>
      <c r="AI19" s="40">
        <f t="shared" si="2"/>
        <v>44926</v>
      </c>
      <c r="AK19" s="39">
        <f t="shared" si="3"/>
        <v>2022</v>
      </c>
      <c r="AL19" s="40" t="str">
        <f t="shared" si="4"/>
        <v/>
      </c>
      <c r="AM19" s="40" t="str">
        <f t="shared" si="5"/>
        <v/>
      </c>
      <c r="AN19" s="40" t="str">
        <f t="shared" si="6"/>
        <v/>
      </c>
      <c r="AO19" s="40" t="str">
        <f t="shared" si="7"/>
        <v/>
      </c>
      <c r="AP19" s="40" t="str">
        <f t="shared" si="8"/>
        <v/>
      </c>
      <c r="AQ19" s="40" t="str">
        <f t="shared" si="9"/>
        <v/>
      </c>
      <c r="AR19" s="40" t="str">
        <f t="shared" si="10"/>
        <v/>
      </c>
      <c r="AS19" s="40" t="str">
        <f t="shared" si="11"/>
        <v/>
      </c>
      <c r="AT19" s="40" t="str">
        <f t="shared" si="12"/>
        <v/>
      </c>
      <c r="AU19" s="40" t="str">
        <f t="shared" si="13"/>
        <v/>
      </c>
      <c r="AV19" s="40" t="str">
        <f t="shared" si="14"/>
        <v/>
      </c>
      <c r="AW19" s="40" t="str">
        <f t="shared" si="15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49">
        <f>I21-1</f>
        <v>2023</v>
      </c>
      <c r="J20" s="58">
        <f>IF(X20="","",ROUND(VLOOKUP($E20,'Raw Data'!$1:$1048576,MATCH(X20,'Raw Data'!$3:$3,0),FALSE),$G$6))</f>
        <v>5</v>
      </c>
      <c r="K20" s="58">
        <f>IF(Y20="","",ROUND(VLOOKUP($E20,'Raw Data'!$1:$1048576,MATCH(Y20,'Raw Data'!$3:$3,0),FALSE),$G$6))</f>
        <v>4.7</v>
      </c>
      <c r="L20" s="58">
        <f>IF(Z20="","",ROUND(VLOOKUP($E20,'Raw Data'!$1:$1048576,MATCH(Z20,'Raw Data'!$3:$3,0),FALSE),$G$6))</f>
        <v>4.2</v>
      </c>
      <c r="M20" s="58">
        <f>IF(AA20="","",ROUND(VLOOKUP($E20,'Raw Data'!$1:$1048576,MATCH(AA20,'Raw Data'!$3:$3,0),FALSE),$G$6))</f>
        <v>3.7</v>
      </c>
      <c r="N20" s="58">
        <f>IF(AB20="","",ROUND(VLOOKUP($E20,'Raw Data'!$1:$1048576,MATCH(AB20,'Raw Data'!$3:$3,0),FALSE),$G$6))</f>
        <v>3.4</v>
      </c>
      <c r="O20" s="58">
        <f>IF(AC20="","",ROUND(VLOOKUP($E20,'Raw Data'!$1:$1048576,MATCH(AC20,'Raw Data'!$3:$3,0),FALSE),$G$6))</f>
        <v>2.7</v>
      </c>
      <c r="P20" s="58">
        <f>IF(AD20="","",ROUND(VLOOKUP($E20,'Raw Data'!$1:$1048576,MATCH(AD20,'Raw Data'!$3:$3,0),FALSE),$G$6))</f>
        <v>2.4</v>
      </c>
      <c r="Q20" s="58">
        <f>IF(AE20="","",ROUND(VLOOKUP($E20,'Raw Data'!$1:$1048576,MATCH(AE20,'Raw Data'!$3:$3,0),FALSE),$G$6))</f>
        <v>3.4</v>
      </c>
      <c r="R20" s="58">
        <f>IF(AF20="","",ROUND(VLOOKUP($E20,'Raw Data'!$1:$1048576,MATCH(AF20,'Raw Data'!$3:$3,0),FALSE),$G$6))</f>
        <v>3.7</v>
      </c>
      <c r="S20" s="58">
        <f>IF(AG20="","",ROUND(VLOOKUP($E20,'Raw Data'!$1:$1048576,MATCH(AG20,'Raw Data'!$3:$3,0),FALSE),$G$6))</f>
        <v>3.8</v>
      </c>
      <c r="T20" s="58">
        <f>IF(AH20="","",ROUND(VLOOKUP($E20,'Raw Data'!$1:$1048576,MATCH(AH20,'Raw Data'!$3:$3,0),FALSE),$G$6))</f>
        <v>3.3</v>
      </c>
      <c r="U20" s="58">
        <f>IF(AI20="","",ROUND(VLOOKUP($E20,'Raw Data'!$1:$1048576,MATCH(AI20,'Raw Data'!$3:$3,0),FALSE),$G$6))</f>
        <v>3.2</v>
      </c>
      <c r="W20" s="39">
        <f>W21-1</f>
        <v>2023</v>
      </c>
      <c r="X20" s="40">
        <f t="shared" si="2"/>
        <v>44957</v>
      </c>
      <c r="Y20" s="40">
        <f t="shared" si="2"/>
        <v>44985</v>
      </c>
      <c r="Z20" s="40">
        <f t="shared" si="2"/>
        <v>45016</v>
      </c>
      <c r="AA20" s="40">
        <f t="shared" si="2"/>
        <v>45046</v>
      </c>
      <c r="AB20" s="40">
        <f t="shared" si="2"/>
        <v>45077</v>
      </c>
      <c r="AC20" s="40">
        <f t="shared" si="2"/>
        <v>45107</v>
      </c>
      <c r="AD20" s="40">
        <f t="shared" si="2"/>
        <v>45138</v>
      </c>
      <c r="AE20" s="40">
        <f t="shared" si="2"/>
        <v>45169</v>
      </c>
      <c r="AF20" s="40">
        <f t="shared" si="2"/>
        <v>45199</v>
      </c>
      <c r="AG20" s="40">
        <f t="shared" si="2"/>
        <v>45230</v>
      </c>
      <c r="AH20" s="40">
        <f t="shared" si="2"/>
        <v>45260</v>
      </c>
      <c r="AI20" s="40">
        <f t="shared" si="2"/>
        <v>45291</v>
      </c>
      <c r="AK20" s="39">
        <f>AK21-1</f>
        <v>2023</v>
      </c>
      <c r="AL20" s="40" t="str">
        <f t="shared" si="4"/>
        <v/>
      </c>
      <c r="AM20" s="40" t="str">
        <f t="shared" si="5"/>
        <v/>
      </c>
      <c r="AN20" s="40" t="str">
        <f t="shared" si="6"/>
        <v/>
      </c>
      <c r="AO20" s="40" t="str">
        <f t="shared" si="7"/>
        <v/>
      </c>
      <c r="AP20" s="40" t="str">
        <f t="shared" si="8"/>
        <v/>
      </c>
      <c r="AQ20" s="40" t="str">
        <f t="shared" si="9"/>
        <v/>
      </c>
      <c r="AR20" s="40" t="str">
        <f t="shared" si="10"/>
        <v/>
      </c>
      <c r="AS20" s="40" t="str">
        <f t="shared" si="11"/>
        <v/>
      </c>
      <c r="AT20" s="40" t="str">
        <f t="shared" si="12"/>
        <v/>
      </c>
      <c r="AU20" s="40" t="str">
        <f t="shared" si="13"/>
        <v/>
      </c>
      <c r="AV20" s="40" t="str">
        <f t="shared" si="14"/>
        <v/>
      </c>
      <c r="AW20" s="40" t="str">
        <f t="shared" si="15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f>YEAR($C$4)</f>
        <v>2024</v>
      </c>
      <c r="J21" s="58">
        <f>IF(X21="","",ROUND(VLOOKUP($E21,'Raw Data'!$1:$1048576,MATCH(X21,'Raw Data'!$3:$3,0),FALSE),$G$6))</f>
        <v>2.8</v>
      </c>
      <c r="K21" s="58">
        <f>IF(Y21="","",ROUND(VLOOKUP($E21,'Raw Data'!$1:$1048576,MATCH(Y21,'Raw Data'!$3:$3,0),FALSE),$G$6))</f>
        <v>3.1</v>
      </c>
      <c r="L21" s="58">
        <f>IF(Z21="","",ROUND(VLOOKUP($E21,'Raw Data'!$1:$1048576,MATCH(Z21,'Raw Data'!$3:$3,0),FALSE),$G$6))</f>
        <v>3.1</v>
      </c>
      <c r="M21" s="58">
        <f>IF(AA21="","",ROUND(VLOOKUP($E21,'Raw Data'!$1:$1048576,MATCH(AA21,'Raw Data'!$3:$3,0),FALSE),$G$6))</f>
        <v>2.9</v>
      </c>
      <c r="N21" s="58">
        <f>IF(AB21="","",ROUND(VLOOKUP($E21,'Raw Data'!$1:$1048576,MATCH(AB21,'Raw Data'!$3:$3,0),FALSE),$G$6))</f>
        <v>2.7</v>
      </c>
      <c r="O21" s="58">
        <f>IF(AC21="","",ROUND(VLOOKUP($E21,'Raw Data'!$1:$1048576,MATCH(AC21,'Raw Data'!$3:$3,0),FALSE),$G$6))</f>
        <v>2.4</v>
      </c>
      <c r="P21" s="58">
        <f>IF(AD21="","",ROUND(VLOOKUP($E21,'Raw Data'!$1:$1048576,MATCH(AD21,'Raw Data'!$3:$3,0),FALSE),$G$6))</f>
        <v>2.6</v>
      </c>
      <c r="Q21" s="58" t="str">
        <f>IF(AE21="","",ROUND(VLOOKUP($E21,'Raw Data'!$1:$1048576,MATCH(AE21,'Raw Data'!$3:$3,0),FALSE),$G$6))</f>
        <v/>
      </c>
      <c r="R21" s="58" t="str">
        <f>IF(AF21="","",ROUND(VLOOKUP($E21,'Raw Data'!$1:$1048576,MATCH(AF21,'Raw Data'!$3:$3,0),FALSE),$G$6))</f>
        <v/>
      </c>
      <c r="S21" s="58" t="str">
        <f>IF(AG21="","",ROUND(VLOOKUP($E21,'Raw Data'!$1:$1048576,MATCH(AG21,'Raw Data'!$3:$3,0),FALSE),$G$6))</f>
        <v/>
      </c>
      <c r="T21" s="58" t="str">
        <f>IF(AH21="","",ROUND(VLOOKUP($E21,'Raw Data'!$1:$1048576,MATCH(AH21,'Raw Data'!$3:$3,0),FALSE),$G$6))</f>
        <v/>
      </c>
      <c r="U21" s="58" t="str">
        <f>IF(AI21="","",ROUND(VLOOKUP($E21,'Raw Data'!$1:$1048576,MATCH(AI21,'Raw Data'!$3:$3,0),FALSE),$G$6))</f>
        <v/>
      </c>
      <c r="W21" s="41">
        <f>YEAR($C$4)</f>
        <v>2024</v>
      </c>
      <c r="X21" s="40">
        <f t="shared" si="2"/>
        <v>45322</v>
      </c>
      <c r="Y21" s="40">
        <f t="shared" si="2"/>
        <v>45351</v>
      </c>
      <c r="Z21" s="40">
        <f t="shared" si="2"/>
        <v>45382</v>
      </c>
      <c r="AA21" s="40">
        <f t="shared" si="2"/>
        <v>45412</v>
      </c>
      <c r="AB21" s="40">
        <f t="shared" si="2"/>
        <v>45443</v>
      </c>
      <c r="AC21" s="40">
        <f t="shared" si="2"/>
        <v>45473</v>
      </c>
      <c r="AD21" s="40">
        <f t="shared" si="2"/>
        <v>45504</v>
      </c>
      <c r="AE21" s="40" t="str">
        <f t="shared" si="2"/>
        <v/>
      </c>
      <c r="AF21" s="40" t="str">
        <f t="shared" si="2"/>
        <v/>
      </c>
      <c r="AG21" s="40" t="str">
        <f t="shared" si="2"/>
        <v/>
      </c>
      <c r="AH21" s="40" t="str">
        <f t="shared" si="2"/>
        <v/>
      </c>
      <c r="AI21" s="40" t="str">
        <f t="shared" si="2"/>
        <v/>
      </c>
      <c r="AK21" s="41">
        <f>YEAR($C$4)</f>
        <v>2024</v>
      </c>
      <c r="AL21" s="40" t="str">
        <f t="shared" si="4"/>
        <v/>
      </c>
      <c r="AM21" s="40" t="str">
        <f t="shared" si="5"/>
        <v/>
      </c>
      <c r="AN21" s="40" t="str">
        <f t="shared" si="6"/>
        <v/>
      </c>
      <c r="AO21" s="40" t="str">
        <f t="shared" si="7"/>
        <v/>
      </c>
      <c r="AP21" s="40" t="str">
        <f t="shared" si="8"/>
        <v/>
      </c>
      <c r="AQ21" s="40" t="str">
        <f t="shared" si="9"/>
        <v/>
      </c>
      <c r="AR21" s="40" t="str">
        <f t="shared" si="10"/>
        <v>MAX</v>
      </c>
      <c r="AS21" s="40" t="str">
        <f t="shared" si="11"/>
        <v/>
      </c>
      <c r="AT21" s="40" t="str">
        <f t="shared" si="12"/>
        <v/>
      </c>
      <c r="AU21" s="40" t="str">
        <f t="shared" si="13"/>
        <v/>
      </c>
      <c r="AV21" s="40" t="str">
        <f t="shared" si="14"/>
        <v/>
      </c>
      <c r="AW21" s="40" t="str">
        <f t="shared" si="15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49">
        <f t="shared" ref="I24:I32" si="16">I25-1</f>
        <v>2014</v>
      </c>
      <c r="J24" s="58" t="str">
        <f>IF(X24="","",ROUND(VLOOKUP($E24,'Raw Data'!$1:$1048576,MATCH(X24,'Raw Data'!$3:$3,0),FALSE),$G$6))</f>
        <v/>
      </c>
      <c r="K24" s="58" t="str">
        <f>IF(Y24="","",ROUND(VLOOKUP($E24,'Raw Data'!$1:$1048576,MATCH(Y24,'Raw Data'!$3:$3,0),FALSE),$G$6))</f>
        <v/>
      </c>
      <c r="L24" s="58" t="str">
        <f>IF(Z24="","",ROUND(VLOOKUP($E24,'Raw Data'!$1:$1048576,MATCH(Z24,'Raw Data'!$3:$3,0),FALSE),$G$6))</f>
        <v/>
      </c>
      <c r="M24" s="58" t="str">
        <f>IF(AA24="","",ROUND(VLOOKUP($E24,'Raw Data'!$1:$1048576,MATCH(AA24,'Raw Data'!$3:$3,0),FALSE),$G$6))</f>
        <v/>
      </c>
      <c r="N24" s="58" t="str">
        <f>IF(AB24="","",ROUND(VLOOKUP($E24,'Raw Data'!$1:$1048576,MATCH(AB24,'Raw Data'!$3:$3,0),FALSE),$G$6))</f>
        <v/>
      </c>
      <c r="O24" s="58" t="str">
        <f>IF(AC24="","",ROUND(VLOOKUP($E24,'Raw Data'!$1:$1048576,MATCH(AC24,'Raw Data'!$3:$3,0),FALSE),$G$6))</f>
        <v/>
      </c>
      <c r="P24" s="58" t="str">
        <f>IF(AD24="","",ROUND(VLOOKUP($E24,'Raw Data'!$1:$1048576,MATCH(AD24,'Raw Data'!$3:$3,0),FALSE),$G$6))</f>
        <v/>
      </c>
      <c r="Q24" s="58">
        <f>IF(AE24="","",ROUND(VLOOKUP($E24,'Raw Data'!$1:$1048576,MATCH(AE24,'Raw Data'!$3:$3,0),FALSE),$G$6))</f>
        <v>-0.2</v>
      </c>
      <c r="R24" s="58">
        <f>IF(AF24="","",ROUND(VLOOKUP($E24,'Raw Data'!$1:$1048576,MATCH(AF24,'Raw Data'!$3:$3,0),FALSE),$G$6))</f>
        <v>-0.5</v>
      </c>
      <c r="S24" s="58">
        <f>IF(AG24="","",ROUND(VLOOKUP($E24,'Raw Data'!$1:$1048576,MATCH(AG24,'Raw Data'!$3:$3,0),FALSE),$G$6))</f>
        <v>-0.8</v>
      </c>
      <c r="T24" s="58">
        <f>IF(AH24="","",ROUND(VLOOKUP($E24,'Raw Data'!$1:$1048576,MATCH(AH24,'Raw Data'!$3:$3,0),FALSE),$G$6))</f>
        <v>-0.9</v>
      </c>
      <c r="U24" s="58">
        <f>IF(AI24="","",ROUND(VLOOKUP($E24,'Raw Data'!$1:$1048576,MATCH(AI24,'Raw Data'!$3:$3,0),FALSE),$G$6))</f>
        <v>-2.1</v>
      </c>
      <c r="W24" s="39">
        <f t="shared" ref="W24:W32" si="17">W25-1</f>
        <v>2014</v>
      </c>
      <c r="X24" s="40" t="str">
        <f t="shared" ref="X24:AI24" si="18">X11</f>
        <v/>
      </c>
      <c r="Y24" s="40" t="str">
        <f t="shared" si="18"/>
        <v/>
      </c>
      <c r="Z24" s="40" t="str">
        <f t="shared" si="18"/>
        <v/>
      </c>
      <c r="AA24" s="40" t="str">
        <f t="shared" si="18"/>
        <v/>
      </c>
      <c r="AB24" s="40" t="str">
        <f t="shared" si="18"/>
        <v/>
      </c>
      <c r="AC24" s="40" t="str">
        <f t="shared" si="18"/>
        <v/>
      </c>
      <c r="AD24" s="40" t="str">
        <f t="shared" si="18"/>
        <v/>
      </c>
      <c r="AE24" s="40">
        <f t="shared" si="18"/>
        <v>41882</v>
      </c>
      <c r="AF24" s="40">
        <f t="shared" si="18"/>
        <v>41912</v>
      </c>
      <c r="AG24" s="40">
        <f t="shared" si="18"/>
        <v>41943</v>
      </c>
      <c r="AH24" s="40">
        <f t="shared" si="18"/>
        <v>41973</v>
      </c>
      <c r="AI24" s="40">
        <f t="shared" si="18"/>
        <v>42004</v>
      </c>
      <c r="AK24" s="39">
        <f t="shared" ref="AK24:AK32" si="19">AK25-1</f>
        <v>2014</v>
      </c>
      <c r="AL24" s="40" t="str">
        <f t="shared" ref="AL24:AW24" si="20">AL11</f>
        <v/>
      </c>
      <c r="AM24" s="40" t="str">
        <f t="shared" si="20"/>
        <v/>
      </c>
      <c r="AN24" s="40" t="str">
        <f t="shared" si="20"/>
        <v/>
      </c>
      <c r="AO24" s="40" t="str">
        <f t="shared" si="20"/>
        <v/>
      </c>
      <c r="AP24" s="40" t="str">
        <f t="shared" si="20"/>
        <v/>
      </c>
      <c r="AQ24" s="40" t="str">
        <f t="shared" si="20"/>
        <v/>
      </c>
      <c r="AR24" s="40" t="str">
        <f t="shared" si="20"/>
        <v/>
      </c>
      <c r="AS24" s="40" t="str">
        <f t="shared" si="20"/>
        <v>MIN</v>
      </c>
      <c r="AT24" s="40" t="str">
        <f t="shared" si="20"/>
        <v/>
      </c>
      <c r="AU24" s="40" t="str">
        <f t="shared" si="20"/>
        <v/>
      </c>
      <c r="AV24" s="40" t="str">
        <f t="shared" si="20"/>
        <v/>
      </c>
      <c r="AW24" s="40" t="str">
        <f t="shared" si="20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49">
        <f t="shared" si="16"/>
        <v>2015</v>
      </c>
      <c r="J25" s="58">
        <f>IF(X25="","",ROUND(VLOOKUP($E25,'Raw Data'!$1:$1048576,MATCH(X25,'Raw Data'!$3:$3,0),FALSE),$G$6))</f>
        <v>-3.6</v>
      </c>
      <c r="K25" s="58">
        <f>IF(Y25="","",ROUND(VLOOKUP($E25,'Raw Data'!$1:$1048576,MATCH(Y25,'Raw Data'!$3:$3,0),FALSE),$G$6))</f>
        <v>-3.6</v>
      </c>
      <c r="L25" s="58">
        <f>IF(Z25="","",ROUND(VLOOKUP($E25,'Raw Data'!$1:$1048576,MATCH(Z25,'Raw Data'!$3:$3,0),FALSE),$G$6))</f>
        <v>-3.7</v>
      </c>
      <c r="M25" s="58">
        <f>IF(AA25="","",ROUND(VLOOKUP($E25,'Raw Data'!$1:$1048576,MATCH(AA25,'Raw Data'!$3:$3,0),FALSE),$G$6))</f>
        <v>-3.6</v>
      </c>
      <c r="N25" s="58">
        <f>IF(AB25="","",ROUND(VLOOKUP($E25,'Raw Data'!$1:$1048576,MATCH(AB25,'Raw Data'!$3:$3,0),FALSE),$G$6))</f>
        <v>-3.5</v>
      </c>
      <c r="O25" s="58">
        <f>IF(AC25="","",ROUND(VLOOKUP($E25,'Raw Data'!$1:$1048576,MATCH(AC25,'Raw Data'!$3:$3,0),FALSE),$G$6))</f>
        <v>-3.6</v>
      </c>
      <c r="P25" s="58">
        <f>IF(AD25="","",ROUND(VLOOKUP($E25,'Raw Data'!$1:$1048576,MATCH(AD25,'Raw Data'!$3:$3,0),FALSE),$G$6))</f>
        <v>-4</v>
      </c>
      <c r="Q25" s="58">
        <f>IF(AE25="","",ROUND(VLOOKUP($E25,'Raw Data'!$1:$1048576,MATCH(AE25,'Raw Data'!$3:$3,0),FALSE),$G$6))</f>
        <v>-4.5</v>
      </c>
      <c r="R25" s="58">
        <f>IF(AF25="","",ROUND(VLOOKUP($E25,'Raw Data'!$1:$1048576,MATCH(AF25,'Raw Data'!$3:$3,0),FALSE),$G$6))</f>
        <v>-4.5999999999999996</v>
      </c>
      <c r="S25" s="58">
        <f>IF(AG25="","",ROUND(VLOOKUP($E25,'Raw Data'!$1:$1048576,MATCH(AG25,'Raw Data'!$3:$3,0),FALSE),$G$6))</f>
        <v>-4.5999999999999996</v>
      </c>
      <c r="T25" s="58">
        <f>IF(AH25="","",ROUND(VLOOKUP($E25,'Raw Data'!$1:$1048576,MATCH(AH25,'Raw Data'!$3:$3,0),FALSE),$G$6))</f>
        <v>-4.7</v>
      </c>
      <c r="U25" s="58">
        <f>IF(AI25="","",ROUND(VLOOKUP($E25,'Raw Data'!$1:$1048576,MATCH(AI25,'Raw Data'!$3:$3,0),FALSE),$G$6))</f>
        <v>-4</v>
      </c>
      <c r="W25" s="39">
        <f t="shared" si="17"/>
        <v>2015</v>
      </c>
      <c r="X25" s="40">
        <f t="shared" ref="X25:AI25" si="21">X12</f>
        <v>42035</v>
      </c>
      <c r="Y25" s="40">
        <f t="shared" si="21"/>
        <v>42063</v>
      </c>
      <c r="Z25" s="40">
        <f t="shared" si="21"/>
        <v>42094</v>
      </c>
      <c r="AA25" s="40">
        <f t="shared" si="21"/>
        <v>42124</v>
      </c>
      <c r="AB25" s="40">
        <f t="shared" si="21"/>
        <v>42155</v>
      </c>
      <c r="AC25" s="40">
        <f t="shared" si="21"/>
        <v>42185</v>
      </c>
      <c r="AD25" s="40">
        <f t="shared" si="21"/>
        <v>42216</v>
      </c>
      <c r="AE25" s="40">
        <f t="shared" si="21"/>
        <v>42247</v>
      </c>
      <c r="AF25" s="40">
        <f t="shared" si="21"/>
        <v>42277</v>
      </c>
      <c r="AG25" s="40">
        <f t="shared" si="21"/>
        <v>42308</v>
      </c>
      <c r="AH25" s="40">
        <f t="shared" si="21"/>
        <v>42338</v>
      </c>
      <c r="AI25" s="40">
        <f t="shared" si="21"/>
        <v>42369</v>
      </c>
      <c r="AK25" s="39">
        <f t="shared" si="19"/>
        <v>2015</v>
      </c>
      <c r="AL25" s="40" t="str">
        <f t="shared" ref="AL25:AW25" si="22">AL12</f>
        <v/>
      </c>
      <c r="AM25" s="40" t="str">
        <f t="shared" si="22"/>
        <v/>
      </c>
      <c r="AN25" s="40" t="str">
        <f t="shared" si="22"/>
        <v/>
      </c>
      <c r="AO25" s="40" t="str">
        <f t="shared" si="22"/>
        <v/>
      </c>
      <c r="AP25" s="40" t="str">
        <f t="shared" si="22"/>
        <v/>
      </c>
      <c r="AQ25" s="40" t="str">
        <f t="shared" si="22"/>
        <v/>
      </c>
      <c r="AR25" s="40" t="str">
        <f t="shared" si="22"/>
        <v/>
      </c>
      <c r="AS25" s="40" t="str">
        <f t="shared" si="22"/>
        <v/>
      </c>
      <c r="AT25" s="40" t="str">
        <f t="shared" si="22"/>
        <v/>
      </c>
      <c r="AU25" s="40" t="str">
        <f t="shared" si="22"/>
        <v/>
      </c>
      <c r="AV25" s="40" t="str">
        <f t="shared" si="22"/>
        <v/>
      </c>
      <c r="AW25" s="40" t="str">
        <f t="shared" si="22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49">
        <f t="shared" si="16"/>
        <v>2016</v>
      </c>
      <c r="J26" s="58">
        <f>IF(X26="","",ROUND(VLOOKUP($E26,'Raw Data'!$1:$1048576,MATCH(X26,'Raw Data'!$3:$3,0),FALSE),$G$6))</f>
        <v>-3.3</v>
      </c>
      <c r="K26" s="58">
        <f>IF(Y26="","",ROUND(VLOOKUP($E26,'Raw Data'!$1:$1048576,MATCH(Y26,'Raw Data'!$3:$3,0),FALSE),$G$6))</f>
        <v>-3.4</v>
      </c>
      <c r="L26" s="58">
        <f>IF(Z26="","",ROUND(VLOOKUP($E26,'Raw Data'!$1:$1048576,MATCH(Z26,'Raw Data'!$3:$3,0),FALSE),$G$6))</f>
        <v>-3.3</v>
      </c>
      <c r="M26" s="58">
        <f>IF(AA26="","",ROUND(VLOOKUP($E26,'Raw Data'!$1:$1048576,MATCH(AA26,'Raw Data'!$3:$3,0),FALSE),$G$6))</f>
        <v>-3</v>
      </c>
      <c r="N26" s="58">
        <f>IF(AB26="","",ROUND(VLOOKUP($E26,'Raw Data'!$1:$1048576,MATCH(AB26,'Raw Data'!$3:$3,0),FALSE),$G$6))</f>
        <v>-3</v>
      </c>
      <c r="O26" s="58">
        <f>IF(AC26="","",ROUND(VLOOKUP($E26,'Raw Data'!$1:$1048576,MATCH(AC26,'Raw Data'!$3:$3,0),FALSE),$G$6))</f>
        <v>-2.7</v>
      </c>
      <c r="P26" s="58">
        <f>IF(AD26="","",ROUND(VLOOKUP($E26,'Raw Data'!$1:$1048576,MATCH(AD26,'Raw Data'!$3:$3,0),FALSE),$G$6))</f>
        <v>-2.5</v>
      </c>
      <c r="Q26" s="58">
        <f>IF(AE26="","",ROUND(VLOOKUP($E26,'Raw Data'!$1:$1048576,MATCH(AE26,'Raw Data'!$3:$3,0),FALSE),$G$6))</f>
        <v>-1.8</v>
      </c>
      <c r="R26" s="58">
        <f>IF(AF26="","",ROUND(VLOOKUP($E26,'Raw Data'!$1:$1048576,MATCH(AF26,'Raw Data'!$3:$3,0),FALSE),$G$6))</f>
        <v>-1.1000000000000001</v>
      </c>
      <c r="S26" s="58">
        <f>IF(AG26="","",ROUND(VLOOKUP($E26,'Raw Data'!$1:$1048576,MATCH(AG26,'Raw Data'!$3:$3,0),FALSE),$G$6))</f>
        <v>-0.1</v>
      </c>
      <c r="T26" s="58">
        <f>IF(AH26="","",ROUND(VLOOKUP($E26,'Raw Data'!$1:$1048576,MATCH(AH26,'Raw Data'!$3:$3,0),FALSE),$G$6))</f>
        <v>0.7</v>
      </c>
      <c r="U26" s="58">
        <f>IF(AI26="","",ROUND(VLOOKUP($E26,'Raw Data'!$1:$1048576,MATCH(AI26,'Raw Data'!$3:$3,0),FALSE),$G$6))</f>
        <v>1.8</v>
      </c>
      <c r="W26" s="39">
        <f t="shared" si="17"/>
        <v>2016</v>
      </c>
      <c r="X26" s="40">
        <f t="shared" ref="X26:AI26" si="23">X13</f>
        <v>42400</v>
      </c>
      <c r="Y26" s="40">
        <f t="shared" si="23"/>
        <v>42429</v>
      </c>
      <c r="Z26" s="40">
        <f t="shared" si="23"/>
        <v>42460</v>
      </c>
      <c r="AA26" s="40">
        <f t="shared" si="23"/>
        <v>42490</v>
      </c>
      <c r="AB26" s="40">
        <f t="shared" si="23"/>
        <v>42521</v>
      </c>
      <c r="AC26" s="40">
        <f t="shared" si="23"/>
        <v>42551</v>
      </c>
      <c r="AD26" s="40">
        <f t="shared" si="23"/>
        <v>42582</v>
      </c>
      <c r="AE26" s="40">
        <f t="shared" si="23"/>
        <v>42613</v>
      </c>
      <c r="AF26" s="40">
        <f t="shared" si="23"/>
        <v>42643</v>
      </c>
      <c r="AG26" s="40">
        <f t="shared" si="23"/>
        <v>42674</v>
      </c>
      <c r="AH26" s="40">
        <f t="shared" si="23"/>
        <v>42704</v>
      </c>
      <c r="AI26" s="40">
        <f t="shared" si="23"/>
        <v>42735</v>
      </c>
      <c r="AK26" s="39">
        <f t="shared" si="19"/>
        <v>2016</v>
      </c>
      <c r="AL26" s="40" t="str">
        <f t="shared" ref="AL26:AW26" si="24">AL13</f>
        <v/>
      </c>
      <c r="AM26" s="40" t="str">
        <f t="shared" si="24"/>
        <v/>
      </c>
      <c r="AN26" s="40" t="str">
        <f t="shared" si="24"/>
        <v/>
      </c>
      <c r="AO26" s="40" t="str">
        <f t="shared" si="24"/>
        <v/>
      </c>
      <c r="AP26" s="40" t="str">
        <f t="shared" si="24"/>
        <v/>
      </c>
      <c r="AQ26" s="40" t="str">
        <f t="shared" si="24"/>
        <v/>
      </c>
      <c r="AR26" s="40" t="str">
        <f t="shared" si="24"/>
        <v/>
      </c>
      <c r="AS26" s="40" t="str">
        <f t="shared" si="24"/>
        <v/>
      </c>
      <c r="AT26" s="40" t="str">
        <f t="shared" si="24"/>
        <v/>
      </c>
      <c r="AU26" s="40" t="str">
        <f t="shared" si="24"/>
        <v/>
      </c>
      <c r="AV26" s="40" t="str">
        <f t="shared" si="24"/>
        <v/>
      </c>
      <c r="AW26" s="40" t="str">
        <f t="shared" si="24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49">
        <f t="shared" si="16"/>
        <v>2017</v>
      </c>
      <c r="J27" s="58">
        <f>IF(X27="","",ROUND(VLOOKUP($E27,'Raw Data'!$1:$1048576,MATCH(X27,'Raw Data'!$3:$3,0),FALSE),$G$6))</f>
        <v>3.9</v>
      </c>
      <c r="K27" s="58">
        <f>IF(Y27="","",ROUND(VLOOKUP($E27,'Raw Data'!$1:$1048576,MATCH(Y27,'Raw Data'!$3:$3,0),FALSE),$G$6))</f>
        <v>4.3</v>
      </c>
      <c r="L27" s="58">
        <f>IF(Z27="","",ROUND(VLOOKUP($E27,'Raw Data'!$1:$1048576,MATCH(Z27,'Raw Data'!$3:$3,0),FALSE),$G$6))</f>
        <v>4.3</v>
      </c>
      <c r="M27" s="58">
        <f>IF(AA27="","",ROUND(VLOOKUP($E27,'Raw Data'!$1:$1048576,MATCH(AA27,'Raw Data'!$3:$3,0),FALSE),$G$6))</f>
        <v>3.8</v>
      </c>
      <c r="N27" s="58">
        <f>IF(AB27="","",ROUND(VLOOKUP($E27,'Raw Data'!$1:$1048576,MATCH(AB27,'Raw Data'!$3:$3,0),FALSE),$G$6))</f>
        <v>3.4</v>
      </c>
      <c r="O27" s="58">
        <f>IF(AC27="","",ROUND(VLOOKUP($E27,'Raw Data'!$1:$1048576,MATCH(AC27,'Raw Data'!$3:$3,0),FALSE),$G$6))</f>
        <v>2.8</v>
      </c>
      <c r="P27" s="58">
        <f>IF(AD27="","",ROUND(VLOOKUP($E27,'Raw Data'!$1:$1048576,MATCH(AD27,'Raw Data'!$3:$3,0),FALSE),$G$6))</f>
        <v>3</v>
      </c>
      <c r="Q27" s="58">
        <f>IF(AE27="","",ROUND(VLOOKUP($E27,'Raw Data'!$1:$1048576,MATCH(AE27,'Raw Data'!$3:$3,0),FALSE),$G$6))</f>
        <v>3.3</v>
      </c>
      <c r="R27" s="58">
        <f>IF(AF27="","",ROUND(VLOOKUP($E27,'Raw Data'!$1:$1048576,MATCH(AF27,'Raw Data'!$3:$3,0),FALSE),$G$6))</f>
        <v>3.8</v>
      </c>
      <c r="S27" s="58">
        <f>IF(AG27="","",ROUND(VLOOKUP($E27,'Raw Data'!$1:$1048576,MATCH(AG27,'Raw Data'!$3:$3,0),FALSE),$G$6))</f>
        <v>3.6</v>
      </c>
      <c r="T27" s="58">
        <f>IF(AH27="","",ROUND(VLOOKUP($E27,'Raw Data'!$1:$1048576,MATCH(AH27,'Raw Data'!$3:$3,0),FALSE),$G$6))</f>
        <v>3</v>
      </c>
      <c r="U27" s="58">
        <f>IF(AI27="","",ROUND(VLOOKUP($E27,'Raw Data'!$1:$1048576,MATCH(AI27,'Raw Data'!$3:$3,0),FALSE),$G$6))</f>
        <v>2.2000000000000002</v>
      </c>
      <c r="W27" s="39">
        <f t="shared" si="17"/>
        <v>2017</v>
      </c>
      <c r="X27" s="40">
        <f t="shared" ref="X27:AI27" si="25">X14</f>
        <v>42766</v>
      </c>
      <c r="Y27" s="40">
        <f t="shared" si="25"/>
        <v>42794</v>
      </c>
      <c r="Z27" s="40">
        <f t="shared" si="25"/>
        <v>42825</v>
      </c>
      <c r="AA27" s="40">
        <f t="shared" si="25"/>
        <v>42855</v>
      </c>
      <c r="AB27" s="40">
        <f t="shared" si="25"/>
        <v>42886</v>
      </c>
      <c r="AC27" s="40">
        <f t="shared" si="25"/>
        <v>42916</v>
      </c>
      <c r="AD27" s="40">
        <f t="shared" si="25"/>
        <v>42947</v>
      </c>
      <c r="AE27" s="40">
        <f t="shared" si="25"/>
        <v>42978</v>
      </c>
      <c r="AF27" s="40">
        <f t="shared" si="25"/>
        <v>43008</v>
      </c>
      <c r="AG27" s="40">
        <f t="shared" si="25"/>
        <v>43039</v>
      </c>
      <c r="AH27" s="40">
        <f t="shared" si="25"/>
        <v>43069</v>
      </c>
      <c r="AI27" s="40">
        <f t="shared" si="25"/>
        <v>43100</v>
      </c>
      <c r="AK27" s="39">
        <f t="shared" si="19"/>
        <v>2017</v>
      </c>
      <c r="AL27" s="40" t="str">
        <f t="shared" ref="AL27:AW27" si="26">AL14</f>
        <v/>
      </c>
      <c r="AM27" s="40" t="str">
        <f t="shared" si="26"/>
        <v/>
      </c>
      <c r="AN27" s="40" t="str">
        <f t="shared" si="26"/>
        <v/>
      </c>
      <c r="AO27" s="40" t="str">
        <f t="shared" si="26"/>
        <v/>
      </c>
      <c r="AP27" s="40" t="str">
        <f t="shared" si="26"/>
        <v/>
      </c>
      <c r="AQ27" s="40" t="str">
        <f t="shared" si="26"/>
        <v/>
      </c>
      <c r="AR27" s="40" t="str">
        <f t="shared" si="26"/>
        <v/>
      </c>
      <c r="AS27" s="40" t="str">
        <f t="shared" si="26"/>
        <v/>
      </c>
      <c r="AT27" s="40" t="str">
        <f t="shared" si="26"/>
        <v/>
      </c>
      <c r="AU27" s="40" t="str">
        <f t="shared" si="26"/>
        <v/>
      </c>
      <c r="AV27" s="40" t="str">
        <f t="shared" si="26"/>
        <v/>
      </c>
      <c r="AW27" s="40" t="str">
        <f t="shared" si="26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49">
        <f t="shared" si="16"/>
        <v>2018</v>
      </c>
      <c r="J28" s="58">
        <f>IF(X28="","",ROUND(VLOOKUP($E28,'Raw Data'!$1:$1048576,MATCH(X28,'Raw Data'!$3:$3,0),FALSE),$G$6))</f>
        <v>1.1000000000000001</v>
      </c>
      <c r="K28" s="58">
        <f>IF(Y28="","",ROUND(VLOOKUP($E28,'Raw Data'!$1:$1048576,MATCH(Y28,'Raw Data'!$3:$3,0),FALSE),$G$6))</f>
        <v>1.2</v>
      </c>
      <c r="L28" s="58">
        <f>IF(Z28="","",ROUND(VLOOKUP($E28,'Raw Data'!$1:$1048576,MATCH(Z28,'Raw Data'!$3:$3,0),FALSE),$G$6))</f>
        <v>1.2</v>
      </c>
      <c r="M28" s="58">
        <f>IF(AA28="","",ROUND(VLOOKUP($E28,'Raw Data'!$1:$1048576,MATCH(AA28,'Raw Data'!$3:$3,0),FALSE),$G$6))</f>
        <v>1.5</v>
      </c>
      <c r="N28" s="58">
        <f>IF(AB28="","",ROUND(VLOOKUP($E28,'Raw Data'!$1:$1048576,MATCH(AB28,'Raw Data'!$3:$3,0),FALSE),$G$6))</f>
        <v>2.1</v>
      </c>
      <c r="O28" s="58">
        <f>IF(AC28="","",ROUND(VLOOKUP($E28,'Raw Data'!$1:$1048576,MATCH(AC28,'Raw Data'!$3:$3,0),FALSE),$G$6))</f>
        <v>2.5</v>
      </c>
      <c r="P28" s="58">
        <f>IF(AD28="","",ROUND(VLOOKUP($E28,'Raw Data'!$1:$1048576,MATCH(AD28,'Raw Data'!$3:$3,0),FALSE),$G$6))</f>
        <v>2.9</v>
      </c>
      <c r="Q28" s="58">
        <f>IF(AE28="","",ROUND(VLOOKUP($E28,'Raw Data'!$1:$1048576,MATCH(AE28,'Raw Data'!$3:$3,0),FALSE),$G$6))</f>
        <v>2.9</v>
      </c>
      <c r="R28" s="58">
        <f>IF(AF28="","",ROUND(VLOOKUP($E28,'Raw Data'!$1:$1048576,MATCH(AF28,'Raw Data'!$3:$3,0),FALSE),$G$6))</f>
        <v>2.5</v>
      </c>
      <c r="S28" s="58">
        <f>IF(AG28="","",ROUND(VLOOKUP($E28,'Raw Data'!$1:$1048576,MATCH(AG28,'Raw Data'!$3:$3,0),FALSE),$G$6))</f>
        <v>2.1</v>
      </c>
      <c r="T28" s="58">
        <f>IF(AH28="","",ROUND(VLOOKUP($E28,'Raw Data'!$1:$1048576,MATCH(AH28,'Raw Data'!$3:$3,0),FALSE),$G$6))</f>
        <v>1.5</v>
      </c>
      <c r="U28" s="58">
        <f>IF(AI28="","",ROUND(VLOOKUP($E28,'Raw Data'!$1:$1048576,MATCH(AI28,'Raw Data'!$3:$3,0),FALSE),$G$6))</f>
        <v>0.9</v>
      </c>
      <c r="W28" s="39">
        <f t="shared" si="17"/>
        <v>2018</v>
      </c>
      <c r="X28" s="40">
        <f t="shared" ref="X28:AI28" si="27">X15</f>
        <v>43131</v>
      </c>
      <c r="Y28" s="40">
        <f t="shared" si="27"/>
        <v>43159</v>
      </c>
      <c r="Z28" s="40">
        <f t="shared" si="27"/>
        <v>43190</v>
      </c>
      <c r="AA28" s="40">
        <f t="shared" si="27"/>
        <v>43220</v>
      </c>
      <c r="AB28" s="40">
        <f t="shared" si="27"/>
        <v>43251</v>
      </c>
      <c r="AC28" s="40">
        <f t="shared" si="27"/>
        <v>43281</v>
      </c>
      <c r="AD28" s="40">
        <f t="shared" si="27"/>
        <v>43312</v>
      </c>
      <c r="AE28" s="40">
        <f t="shared" si="27"/>
        <v>43343</v>
      </c>
      <c r="AF28" s="40">
        <f t="shared" si="27"/>
        <v>43373</v>
      </c>
      <c r="AG28" s="40">
        <f t="shared" si="27"/>
        <v>43404</v>
      </c>
      <c r="AH28" s="40">
        <f t="shared" si="27"/>
        <v>43434</v>
      </c>
      <c r="AI28" s="40">
        <f t="shared" si="27"/>
        <v>43465</v>
      </c>
      <c r="AK28" s="39">
        <f t="shared" si="19"/>
        <v>2018</v>
      </c>
      <c r="AL28" s="40" t="str">
        <f t="shared" ref="AL28:AW28" si="28">AL15</f>
        <v/>
      </c>
      <c r="AM28" s="40" t="str">
        <f t="shared" si="28"/>
        <v/>
      </c>
      <c r="AN28" s="40" t="str">
        <f t="shared" si="28"/>
        <v/>
      </c>
      <c r="AO28" s="40" t="str">
        <f t="shared" si="28"/>
        <v/>
      </c>
      <c r="AP28" s="40" t="str">
        <f t="shared" si="28"/>
        <v/>
      </c>
      <c r="AQ28" s="40" t="str">
        <f t="shared" si="28"/>
        <v/>
      </c>
      <c r="AR28" s="40" t="str">
        <f t="shared" si="28"/>
        <v/>
      </c>
      <c r="AS28" s="40" t="str">
        <f t="shared" si="28"/>
        <v/>
      </c>
      <c r="AT28" s="40" t="str">
        <f t="shared" si="28"/>
        <v/>
      </c>
      <c r="AU28" s="40" t="str">
        <f t="shared" si="28"/>
        <v/>
      </c>
      <c r="AV28" s="40" t="str">
        <f t="shared" si="28"/>
        <v/>
      </c>
      <c r="AW28" s="40" t="str">
        <f t="shared" si="28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49">
        <f t="shared" si="16"/>
        <v>2019</v>
      </c>
      <c r="J29" s="58">
        <f>IF(X29="","",ROUND(VLOOKUP($E29,'Raw Data'!$1:$1048576,MATCH(X29,'Raw Data'!$3:$3,0),FALSE),$G$6))</f>
        <v>0.4</v>
      </c>
      <c r="K29" s="58">
        <f>IF(Y29="","",ROUND(VLOOKUP($E29,'Raw Data'!$1:$1048576,MATCH(Y29,'Raw Data'!$3:$3,0),FALSE),$G$6))</f>
        <v>0.1</v>
      </c>
      <c r="L29" s="58">
        <f>IF(Z29="","",ROUND(VLOOKUP($E29,'Raw Data'!$1:$1048576,MATCH(Z29,'Raw Data'!$3:$3,0),FALSE),$G$6))</f>
        <v>0.5</v>
      </c>
      <c r="M29" s="58">
        <f>IF(AA29="","",ROUND(VLOOKUP($E29,'Raw Data'!$1:$1048576,MATCH(AA29,'Raw Data'!$3:$3,0),FALSE),$G$6))</f>
        <v>0.6</v>
      </c>
      <c r="N29" s="58">
        <f>IF(AB29="","",ROUND(VLOOKUP($E29,'Raw Data'!$1:$1048576,MATCH(AB29,'Raw Data'!$3:$3,0),FALSE),$G$6))</f>
        <v>0.4</v>
      </c>
      <c r="O29" s="58">
        <f>IF(AC29="","",ROUND(VLOOKUP($E29,'Raw Data'!$1:$1048576,MATCH(AC29,'Raw Data'!$3:$3,0),FALSE),$G$6))</f>
        <v>0.1</v>
      </c>
      <c r="P29" s="58">
        <f>IF(AD29="","",ROUND(VLOOKUP($E29,'Raw Data'!$1:$1048576,MATCH(AD29,'Raw Data'!$3:$3,0),FALSE),$G$6))</f>
        <v>-0.3</v>
      </c>
      <c r="Q29" s="58">
        <f>IF(AE29="","",ROUND(VLOOKUP($E29,'Raw Data'!$1:$1048576,MATCH(AE29,'Raw Data'!$3:$3,0),FALSE),$G$6))</f>
        <v>-0.6</v>
      </c>
      <c r="R29" s="58">
        <f>IF(AF29="","",ROUND(VLOOKUP($E29,'Raw Data'!$1:$1048576,MATCH(AF29,'Raw Data'!$3:$3,0),FALSE),$G$6))</f>
        <v>-0.8</v>
      </c>
      <c r="S29" s="58">
        <f>IF(AG29="","",ROUND(VLOOKUP($E29,'Raw Data'!$1:$1048576,MATCH(AG29,'Raw Data'!$3:$3,0),FALSE),$G$6))</f>
        <v>-0.7</v>
      </c>
      <c r="T29" s="58">
        <f>IF(AH29="","",ROUND(VLOOKUP($E29,'Raw Data'!$1:$1048576,MATCH(AH29,'Raw Data'!$3:$3,0),FALSE),$G$6))</f>
        <v>-0.1</v>
      </c>
      <c r="U29" s="58">
        <f>IF(AI29="","",ROUND(VLOOKUP($E29,'Raw Data'!$1:$1048576,MATCH(AI29,'Raw Data'!$3:$3,0),FALSE),$G$6))</f>
        <v>0.7</v>
      </c>
      <c r="W29" s="39">
        <f t="shared" si="17"/>
        <v>2019</v>
      </c>
      <c r="X29" s="40">
        <f t="shared" ref="X29:AI29" si="29">X16</f>
        <v>43496</v>
      </c>
      <c r="Y29" s="40">
        <f t="shared" si="29"/>
        <v>43524</v>
      </c>
      <c r="Z29" s="40">
        <f t="shared" si="29"/>
        <v>43555</v>
      </c>
      <c r="AA29" s="40">
        <f t="shared" si="29"/>
        <v>43585</v>
      </c>
      <c r="AB29" s="40">
        <f t="shared" si="29"/>
        <v>43616</v>
      </c>
      <c r="AC29" s="40">
        <f t="shared" si="29"/>
        <v>43646</v>
      </c>
      <c r="AD29" s="40">
        <f t="shared" si="29"/>
        <v>43677</v>
      </c>
      <c r="AE29" s="40">
        <f t="shared" si="29"/>
        <v>43708</v>
      </c>
      <c r="AF29" s="40">
        <f t="shared" si="29"/>
        <v>43738</v>
      </c>
      <c r="AG29" s="40">
        <f t="shared" si="29"/>
        <v>43769</v>
      </c>
      <c r="AH29" s="40">
        <f t="shared" si="29"/>
        <v>43799</v>
      </c>
      <c r="AI29" s="40">
        <f t="shared" si="29"/>
        <v>43830</v>
      </c>
      <c r="AK29" s="39">
        <f t="shared" si="19"/>
        <v>2019</v>
      </c>
      <c r="AL29" s="40" t="str">
        <f t="shared" ref="AL29:AW29" si="30">AL16</f>
        <v/>
      </c>
      <c r="AM29" s="40" t="str">
        <f t="shared" si="30"/>
        <v/>
      </c>
      <c r="AN29" s="40" t="str">
        <f t="shared" si="30"/>
        <v/>
      </c>
      <c r="AO29" s="40" t="str">
        <f t="shared" si="30"/>
        <v/>
      </c>
      <c r="AP29" s="40" t="str">
        <f t="shared" si="30"/>
        <v/>
      </c>
      <c r="AQ29" s="40" t="str">
        <f t="shared" si="30"/>
        <v/>
      </c>
      <c r="AR29" s="40" t="str">
        <f t="shared" si="30"/>
        <v/>
      </c>
      <c r="AS29" s="40" t="str">
        <f t="shared" si="30"/>
        <v/>
      </c>
      <c r="AT29" s="40" t="str">
        <f t="shared" si="30"/>
        <v/>
      </c>
      <c r="AU29" s="40" t="str">
        <f t="shared" si="30"/>
        <v/>
      </c>
      <c r="AV29" s="40" t="str">
        <f t="shared" si="30"/>
        <v/>
      </c>
      <c r="AW29" s="40" t="str">
        <f t="shared" si="30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49">
        <f t="shared" si="16"/>
        <v>2020</v>
      </c>
      <c r="J30" s="58">
        <f>IF(X30="","",ROUND(VLOOKUP($E30,'Raw Data'!$1:$1048576,MATCH(X30,'Raw Data'!$3:$3,0),FALSE),$G$6))</f>
        <v>1.1000000000000001</v>
      </c>
      <c r="K30" s="58">
        <f>IF(Y30="","",ROUND(VLOOKUP($E30,'Raw Data'!$1:$1048576,MATCH(Y30,'Raw Data'!$3:$3,0),FALSE),$G$6))</f>
        <v>0.7</v>
      </c>
      <c r="L30" s="58">
        <f>IF(Z30="","",ROUND(VLOOKUP($E30,'Raw Data'!$1:$1048576,MATCH(Z30,'Raw Data'!$3:$3,0),FALSE),$G$6))</f>
        <v>-0.5</v>
      </c>
      <c r="M30" s="58">
        <f>IF(AA30="","",ROUND(VLOOKUP($E30,'Raw Data'!$1:$1048576,MATCH(AA30,'Raw Data'!$3:$3,0),FALSE),$G$6))</f>
        <v>-1.7</v>
      </c>
      <c r="N30" s="58">
        <f>IF(AB30="","",ROUND(VLOOKUP($E30,'Raw Data'!$1:$1048576,MATCH(AB30,'Raw Data'!$3:$3,0),FALSE),$G$6))</f>
        <v>-1.8</v>
      </c>
      <c r="O30" s="58">
        <f>IF(AC30="","",ROUND(VLOOKUP($E30,'Raw Data'!$1:$1048576,MATCH(AC30,'Raw Data'!$3:$3,0),FALSE),$G$6))</f>
        <v>-1</v>
      </c>
      <c r="P30" s="58">
        <f>IF(AD30="","",ROUND(VLOOKUP($E30,'Raw Data'!$1:$1048576,MATCH(AD30,'Raw Data'!$3:$3,0),FALSE),$G$6))</f>
        <v>-0.8</v>
      </c>
      <c r="Q30" s="58">
        <f>IF(AE30="","",ROUND(VLOOKUP($E30,'Raw Data'!$1:$1048576,MATCH(AE30,'Raw Data'!$3:$3,0),FALSE),$G$6))</f>
        <v>-0.5</v>
      </c>
      <c r="R30" s="58">
        <f>IF(AF30="","",ROUND(VLOOKUP($E30,'Raw Data'!$1:$1048576,MATCH(AF30,'Raw Data'!$3:$3,0),FALSE),$G$6))</f>
        <v>-0.4</v>
      </c>
      <c r="S30" s="58">
        <f>IF(AG30="","",ROUND(VLOOKUP($E30,'Raw Data'!$1:$1048576,MATCH(AG30,'Raw Data'!$3:$3,0),FALSE),$G$6))</f>
        <v>-0.5</v>
      </c>
      <c r="T30" s="58">
        <f>IF(AH30="","",ROUND(VLOOKUP($E30,'Raw Data'!$1:$1048576,MATCH(AH30,'Raw Data'!$3:$3,0),FALSE),$G$6))</f>
        <v>-0.3</v>
      </c>
      <c r="U30" s="58">
        <f>IF(AI30="","",ROUND(VLOOKUP($E30,'Raw Data'!$1:$1048576,MATCH(AI30,'Raw Data'!$3:$3,0),FALSE),$G$6))</f>
        <v>0.2</v>
      </c>
      <c r="W30" s="39">
        <f t="shared" si="17"/>
        <v>2020</v>
      </c>
      <c r="X30" s="40">
        <f t="shared" ref="X30:AI30" si="31">X17</f>
        <v>43861</v>
      </c>
      <c r="Y30" s="40">
        <f t="shared" si="31"/>
        <v>43890</v>
      </c>
      <c r="Z30" s="40">
        <f t="shared" si="31"/>
        <v>43921</v>
      </c>
      <c r="AA30" s="40">
        <f t="shared" si="31"/>
        <v>43951</v>
      </c>
      <c r="AB30" s="40">
        <f t="shared" si="31"/>
        <v>43982</v>
      </c>
      <c r="AC30" s="40">
        <f t="shared" si="31"/>
        <v>44012</v>
      </c>
      <c r="AD30" s="40">
        <f t="shared" si="31"/>
        <v>44043</v>
      </c>
      <c r="AE30" s="40">
        <f t="shared" si="31"/>
        <v>44074</v>
      </c>
      <c r="AF30" s="40">
        <f t="shared" si="31"/>
        <v>44104</v>
      </c>
      <c r="AG30" s="40">
        <f t="shared" si="31"/>
        <v>44135</v>
      </c>
      <c r="AH30" s="40">
        <f t="shared" si="31"/>
        <v>44165</v>
      </c>
      <c r="AI30" s="40">
        <f t="shared" si="31"/>
        <v>44196</v>
      </c>
      <c r="AK30" s="39">
        <f t="shared" si="19"/>
        <v>2020</v>
      </c>
      <c r="AL30" s="40" t="str">
        <f t="shared" ref="AL30:AW30" si="32">AL17</f>
        <v/>
      </c>
      <c r="AM30" s="40" t="str">
        <f t="shared" si="32"/>
        <v/>
      </c>
      <c r="AN30" s="40" t="str">
        <f t="shared" si="32"/>
        <v/>
      </c>
      <c r="AO30" s="40" t="str">
        <f t="shared" si="32"/>
        <v/>
      </c>
      <c r="AP30" s="40" t="str">
        <f t="shared" si="32"/>
        <v/>
      </c>
      <c r="AQ30" s="40" t="str">
        <f t="shared" si="32"/>
        <v/>
      </c>
      <c r="AR30" s="40" t="str">
        <f t="shared" si="32"/>
        <v/>
      </c>
      <c r="AS30" s="40" t="str">
        <f t="shared" si="32"/>
        <v/>
      </c>
      <c r="AT30" s="40" t="str">
        <f t="shared" si="32"/>
        <v/>
      </c>
      <c r="AU30" s="40" t="str">
        <f t="shared" si="32"/>
        <v/>
      </c>
      <c r="AV30" s="40" t="str">
        <f t="shared" si="32"/>
        <v/>
      </c>
      <c r="AW30" s="40" t="str">
        <f t="shared" si="32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49">
        <f t="shared" si="16"/>
        <v>2021</v>
      </c>
      <c r="J31" s="58">
        <f>IF(X31="","",ROUND(VLOOKUP($E31,'Raw Data'!$1:$1048576,MATCH(X31,'Raw Data'!$3:$3,0),FALSE),$G$6))</f>
        <v>0.9</v>
      </c>
      <c r="K31" s="58">
        <f>IF(Y31="","",ROUND(VLOOKUP($E31,'Raw Data'!$1:$1048576,MATCH(Y31,'Raw Data'!$3:$3,0),FALSE),$G$6))</f>
        <v>2.1</v>
      </c>
      <c r="L31" s="58">
        <f>IF(Z31="","",ROUND(VLOOKUP($E31,'Raw Data'!$1:$1048576,MATCH(Z31,'Raw Data'!$3:$3,0),FALSE),$G$6))</f>
        <v>4.0999999999999996</v>
      </c>
      <c r="M31" s="58">
        <f>IF(AA31="","",ROUND(VLOOKUP($E31,'Raw Data'!$1:$1048576,MATCH(AA31,'Raw Data'!$3:$3,0),FALSE),$G$6))</f>
        <v>6</v>
      </c>
      <c r="N31" s="58">
        <f>IF(AB31="","",ROUND(VLOOKUP($E31,'Raw Data'!$1:$1048576,MATCH(AB31,'Raw Data'!$3:$3,0),FALSE),$G$6))</f>
        <v>6.6</v>
      </c>
      <c r="O31" s="58">
        <f>IF(AC31="","",ROUND(VLOOKUP($E31,'Raw Data'!$1:$1048576,MATCH(AC31,'Raw Data'!$3:$3,0),FALSE),$G$6))</f>
        <v>6.6</v>
      </c>
      <c r="P31" s="58">
        <f>IF(AD31="","",ROUND(VLOOKUP($E31,'Raw Data'!$1:$1048576,MATCH(AD31,'Raw Data'!$3:$3,0),FALSE),$G$6))</f>
        <v>7.4</v>
      </c>
      <c r="Q31" s="58">
        <f>IF(AE31="","",ROUND(VLOOKUP($E31,'Raw Data'!$1:$1048576,MATCH(AE31,'Raw Data'!$3:$3,0),FALSE),$G$6))</f>
        <v>7.4</v>
      </c>
      <c r="R31" s="58">
        <f>IF(AF31="","",ROUND(VLOOKUP($E31,'Raw Data'!$1:$1048576,MATCH(AF31,'Raw Data'!$3:$3,0),FALSE),$G$6))</f>
        <v>7.6</v>
      </c>
      <c r="S31" s="58">
        <f>IF(AG31="","",ROUND(VLOOKUP($E31,'Raw Data'!$1:$1048576,MATCH(AG31,'Raw Data'!$3:$3,0),FALSE),$G$6))</f>
        <v>9.1</v>
      </c>
      <c r="T31" s="58">
        <f>IF(AH31="","",ROUND(VLOOKUP($E31,'Raw Data'!$1:$1048576,MATCH(AH31,'Raw Data'!$3:$3,0),FALSE),$G$6))</f>
        <v>9.8000000000000007</v>
      </c>
      <c r="U31" s="58">
        <f>IF(AI31="","",ROUND(VLOOKUP($E31,'Raw Data'!$1:$1048576,MATCH(AI31,'Raw Data'!$3:$3,0),FALSE),$G$6))</f>
        <v>9</v>
      </c>
      <c r="W31" s="39">
        <f t="shared" si="17"/>
        <v>2021</v>
      </c>
      <c r="X31" s="40">
        <f t="shared" ref="X31:AI31" si="33">X18</f>
        <v>44227</v>
      </c>
      <c r="Y31" s="40">
        <f t="shared" si="33"/>
        <v>44255</v>
      </c>
      <c r="Z31" s="40">
        <f t="shared" si="33"/>
        <v>44286</v>
      </c>
      <c r="AA31" s="40">
        <f t="shared" si="33"/>
        <v>44316</v>
      </c>
      <c r="AB31" s="40">
        <f t="shared" si="33"/>
        <v>44347</v>
      </c>
      <c r="AC31" s="40">
        <f t="shared" si="33"/>
        <v>44377</v>
      </c>
      <c r="AD31" s="40">
        <f t="shared" si="33"/>
        <v>44408</v>
      </c>
      <c r="AE31" s="40">
        <f t="shared" si="33"/>
        <v>44439</v>
      </c>
      <c r="AF31" s="40">
        <f t="shared" si="33"/>
        <v>44469</v>
      </c>
      <c r="AG31" s="40">
        <f t="shared" si="33"/>
        <v>44500</v>
      </c>
      <c r="AH31" s="40">
        <f t="shared" si="33"/>
        <v>44530</v>
      </c>
      <c r="AI31" s="40">
        <f t="shared" si="33"/>
        <v>44561</v>
      </c>
      <c r="AK31" s="39">
        <f t="shared" si="19"/>
        <v>2021</v>
      </c>
      <c r="AL31" s="40" t="str">
        <f t="shared" ref="AL31:AW31" si="34">AL18</f>
        <v/>
      </c>
      <c r="AM31" s="40" t="str">
        <f t="shared" si="34"/>
        <v/>
      </c>
      <c r="AN31" s="40" t="str">
        <f t="shared" si="34"/>
        <v/>
      </c>
      <c r="AO31" s="40" t="str">
        <f t="shared" si="34"/>
        <v/>
      </c>
      <c r="AP31" s="40" t="str">
        <f t="shared" si="34"/>
        <v/>
      </c>
      <c r="AQ31" s="40" t="str">
        <f t="shared" si="34"/>
        <v/>
      </c>
      <c r="AR31" s="40" t="str">
        <f t="shared" si="34"/>
        <v/>
      </c>
      <c r="AS31" s="40" t="str">
        <f t="shared" si="34"/>
        <v/>
      </c>
      <c r="AT31" s="40" t="str">
        <f t="shared" si="34"/>
        <v/>
      </c>
      <c r="AU31" s="40" t="str">
        <f t="shared" si="34"/>
        <v/>
      </c>
      <c r="AV31" s="40" t="str">
        <f t="shared" si="34"/>
        <v/>
      </c>
      <c r="AW31" s="40" t="str">
        <f t="shared" si="34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49">
        <f t="shared" si="16"/>
        <v>2022</v>
      </c>
      <c r="J32" s="58">
        <f>IF(X32="","",ROUND(VLOOKUP($E32,'Raw Data'!$1:$1048576,MATCH(X32,'Raw Data'!$3:$3,0),FALSE),$G$6))</f>
        <v>8.9</v>
      </c>
      <c r="K32" s="58">
        <f>IF(Y32="","",ROUND(VLOOKUP($E32,'Raw Data'!$1:$1048576,MATCH(Y32,'Raw Data'!$3:$3,0),FALSE),$G$6))</f>
        <v>8.5</v>
      </c>
      <c r="L32" s="58">
        <f>IF(Z32="","",ROUND(VLOOKUP($E32,'Raw Data'!$1:$1048576,MATCH(Z32,'Raw Data'!$3:$3,0),FALSE),$G$6))</f>
        <v>9</v>
      </c>
      <c r="M32" s="58">
        <f>IF(AA32="","",ROUND(VLOOKUP($E32,'Raw Data'!$1:$1048576,MATCH(AA32,'Raw Data'!$3:$3,0),FALSE),$G$6))</f>
        <v>9.6999999999999993</v>
      </c>
      <c r="N32" s="58">
        <f>IF(AB32="","",ROUND(VLOOKUP($E32,'Raw Data'!$1:$1048576,MATCH(AB32,'Raw Data'!$3:$3,0),FALSE),$G$6))</f>
        <v>9.9</v>
      </c>
      <c r="O32" s="58">
        <f>IF(AC32="","",ROUND(VLOOKUP($E32,'Raw Data'!$1:$1048576,MATCH(AC32,'Raw Data'!$3:$3,0),FALSE),$G$6))</f>
        <v>10</v>
      </c>
      <c r="P32" s="58">
        <f>IF(AD32="","",ROUND(VLOOKUP($E32,'Raw Data'!$1:$1048576,MATCH(AD32,'Raw Data'!$3:$3,0),FALSE),$G$6))</f>
        <v>9.1999999999999993</v>
      </c>
      <c r="Q32" s="58">
        <f>IF(AE32="","",ROUND(VLOOKUP($E32,'Raw Data'!$1:$1048576,MATCH(AE32,'Raw Data'!$3:$3,0),FALSE),$G$6))</f>
        <v>8.1999999999999993</v>
      </c>
      <c r="R32" s="58">
        <f>IF(AF32="","",ROUND(VLOOKUP($E32,'Raw Data'!$1:$1048576,MATCH(AF32,'Raw Data'!$3:$3,0),FALSE),$G$6))</f>
        <v>7.9</v>
      </c>
      <c r="S32" s="58">
        <f>IF(AG32="","",ROUND(VLOOKUP($E32,'Raw Data'!$1:$1048576,MATCH(AG32,'Raw Data'!$3:$3,0),FALSE),$G$6))</f>
        <v>7.3</v>
      </c>
      <c r="T32" s="58">
        <f>IF(AH32="","",ROUND(VLOOKUP($E32,'Raw Data'!$1:$1048576,MATCH(AH32,'Raw Data'!$3:$3,0),FALSE),$G$6))</f>
        <v>6.2</v>
      </c>
      <c r="U32" s="58">
        <f>IF(AI32="","",ROUND(VLOOKUP($E32,'Raw Data'!$1:$1048576,MATCH(AI32,'Raw Data'!$3:$3,0),FALSE),$G$6))</f>
        <v>5.8</v>
      </c>
      <c r="W32" s="39">
        <f t="shared" si="17"/>
        <v>2022</v>
      </c>
      <c r="X32" s="40">
        <f t="shared" ref="X32:AI32" si="35">X19</f>
        <v>44592</v>
      </c>
      <c r="Y32" s="40">
        <f t="shared" si="35"/>
        <v>44620</v>
      </c>
      <c r="Z32" s="40">
        <f t="shared" si="35"/>
        <v>44651</v>
      </c>
      <c r="AA32" s="40">
        <f t="shared" si="35"/>
        <v>44681</v>
      </c>
      <c r="AB32" s="40">
        <f t="shared" si="35"/>
        <v>44712</v>
      </c>
      <c r="AC32" s="40">
        <f t="shared" si="35"/>
        <v>44742</v>
      </c>
      <c r="AD32" s="40">
        <f t="shared" si="35"/>
        <v>44773</v>
      </c>
      <c r="AE32" s="40">
        <f t="shared" si="35"/>
        <v>44804</v>
      </c>
      <c r="AF32" s="40">
        <f t="shared" si="35"/>
        <v>44834</v>
      </c>
      <c r="AG32" s="40">
        <f t="shared" si="35"/>
        <v>44865</v>
      </c>
      <c r="AH32" s="40">
        <f t="shared" si="35"/>
        <v>44895</v>
      </c>
      <c r="AI32" s="40">
        <f t="shared" si="35"/>
        <v>44926</v>
      </c>
      <c r="AK32" s="39">
        <f t="shared" si="19"/>
        <v>2022</v>
      </c>
      <c r="AL32" s="40" t="str">
        <f t="shared" ref="AL32:AW32" si="36">AL19</f>
        <v/>
      </c>
      <c r="AM32" s="40" t="str">
        <f t="shared" si="36"/>
        <v/>
      </c>
      <c r="AN32" s="40" t="str">
        <f t="shared" si="36"/>
        <v/>
      </c>
      <c r="AO32" s="40" t="str">
        <f t="shared" si="36"/>
        <v/>
      </c>
      <c r="AP32" s="40" t="str">
        <f t="shared" si="36"/>
        <v/>
      </c>
      <c r="AQ32" s="40" t="str">
        <f t="shared" si="36"/>
        <v/>
      </c>
      <c r="AR32" s="40" t="str">
        <f t="shared" si="36"/>
        <v/>
      </c>
      <c r="AS32" s="40" t="str">
        <f t="shared" si="36"/>
        <v/>
      </c>
      <c r="AT32" s="40" t="str">
        <f t="shared" si="36"/>
        <v/>
      </c>
      <c r="AU32" s="40" t="str">
        <f t="shared" si="36"/>
        <v/>
      </c>
      <c r="AV32" s="40" t="str">
        <f t="shared" si="36"/>
        <v/>
      </c>
      <c r="AW32" s="40" t="str">
        <f t="shared" si="36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49">
        <f>I34-1</f>
        <v>2023</v>
      </c>
      <c r="J33" s="58">
        <f>IF(X33="","",ROUND(VLOOKUP($E33,'Raw Data'!$1:$1048576,MATCH(X33,'Raw Data'!$3:$3,0),FALSE),$G$6))</f>
        <v>5.0999999999999996</v>
      </c>
      <c r="K33" s="58">
        <f>IF(Y33="","",ROUND(VLOOKUP($E33,'Raw Data'!$1:$1048576,MATCH(Y33,'Raw Data'!$3:$3,0),FALSE),$G$6))</f>
        <v>4.8</v>
      </c>
      <c r="L33" s="58">
        <f>IF(Z33="","",ROUND(VLOOKUP($E33,'Raw Data'!$1:$1048576,MATCH(Z33,'Raw Data'!$3:$3,0),FALSE),$G$6))</f>
        <v>3.3</v>
      </c>
      <c r="M33" s="58">
        <f>IF(AA33="","",ROUND(VLOOKUP($E33,'Raw Data'!$1:$1048576,MATCH(AA33,'Raw Data'!$3:$3,0),FALSE),$G$6))</f>
        <v>1.6</v>
      </c>
      <c r="N33" s="58">
        <f>IF(AB33="","",ROUND(VLOOKUP($E33,'Raw Data'!$1:$1048576,MATCH(AB33,'Raw Data'!$3:$3,0),FALSE),$G$6))</f>
        <v>0.5</v>
      </c>
      <c r="O33" s="58">
        <f>IF(AC33="","",ROUND(VLOOKUP($E33,'Raw Data'!$1:$1048576,MATCH(AC33,'Raw Data'!$3:$3,0),FALSE),$G$6))</f>
        <v>-0.3</v>
      </c>
      <c r="P33" s="58">
        <f>IF(AD33="","",ROUND(VLOOKUP($E33,'Raw Data'!$1:$1048576,MATCH(AD33,'Raw Data'!$3:$3,0),FALSE),$G$6))</f>
        <v>-0.3</v>
      </c>
      <c r="Q33" s="58">
        <f>IF(AE33="","",ROUND(VLOOKUP($E33,'Raw Data'!$1:$1048576,MATCH(AE33,'Raw Data'!$3:$3,0),FALSE),$G$6))</f>
        <v>0.9</v>
      </c>
      <c r="R33" s="58">
        <f>IF(AF33="","",ROUND(VLOOKUP($E33,'Raw Data'!$1:$1048576,MATCH(AF33,'Raw Data'!$3:$3,0),FALSE),$G$6))</f>
        <v>1.3</v>
      </c>
      <c r="S33" s="58">
        <f>IF(AG33="","",ROUND(VLOOKUP($E33,'Raw Data'!$1:$1048576,MATCH(AG33,'Raw Data'!$3:$3,0),FALSE),$G$6))</f>
        <v>0.6</v>
      </c>
      <c r="T33" s="58">
        <f>IF(AH33="","",ROUND(VLOOKUP($E33,'Raw Data'!$1:$1048576,MATCH(AH33,'Raw Data'!$3:$3,0),FALSE),$G$6))</f>
        <v>0.6</v>
      </c>
      <c r="U33" s="58">
        <f>IF(AI33="","",ROUND(VLOOKUP($E33,'Raw Data'!$1:$1048576,MATCH(AI33,'Raw Data'!$3:$3,0),FALSE),$G$6))</f>
        <v>1.1000000000000001</v>
      </c>
      <c r="W33" s="39">
        <f>W34-1</f>
        <v>2023</v>
      </c>
      <c r="X33" s="40">
        <f t="shared" ref="X33:AI33" si="37">X20</f>
        <v>44957</v>
      </c>
      <c r="Y33" s="40">
        <f t="shared" si="37"/>
        <v>44985</v>
      </c>
      <c r="Z33" s="40">
        <f t="shared" si="37"/>
        <v>45016</v>
      </c>
      <c r="AA33" s="40">
        <f t="shared" si="37"/>
        <v>45046</v>
      </c>
      <c r="AB33" s="40">
        <f t="shared" si="37"/>
        <v>45077</v>
      </c>
      <c r="AC33" s="40">
        <f t="shared" si="37"/>
        <v>45107</v>
      </c>
      <c r="AD33" s="40">
        <f t="shared" si="37"/>
        <v>45138</v>
      </c>
      <c r="AE33" s="40">
        <f t="shared" si="37"/>
        <v>45169</v>
      </c>
      <c r="AF33" s="40">
        <f t="shared" si="37"/>
        <v>45199</v>
      </c>
      <c r="AG33" s="40">
        <f t="shared" si="37"/>
        <v>45230</v>
      </c>
      <c r="AH33" s="40">
        <f t="shared" si="37"/>
        <v>45260</v>
      </c>
      <c r="AI33" s="40">
        <f t="shared" si="37"/>
        <v>45291</v>
      </c>
      <c r="AK33" s="39">
        <f>AK34-1</f>
        <v>2023</v>
      </c>
      <c r="AL33" s="40" t="str">
        <f t="shared" ref="AL33:AW33" si="38">AL20</f>
        <v/>
      </c>
      <c r="AM33" s="40" t="str">
        <f t="shared" si="38"/>
        <v/>
      </c>
      <c r="AN33" s="40" t="str">
        <f t="shared" si="38"/>
        <v/>
      </c>
      <c r="AO33" s="40" t="str">
        <f t="shared" si="38"/>
        <v/>
      </c>
      <c r="AP33" s="40" t="str">
        <f t="shared" si="38"/>
        <v/>
      </c>
      <c r="AQ33" s="40" t="str">
        <f t="shared" si="38"/>
        <v/>
      </c>
      <c r="AR33" s="40" t="str">
        <f t="shared" si="38"/>
        <v/>
      </c>
      <c r="AS33" s="40" t="str">
        <f t="shared" si="38"/>
        <v/>
      </c>
      <c r="AT33" s="40" t="str">
        <f t="shared" si="38"/>
        <v/>
      </c>
      <c r="AU33" s="40" t="str">
        <f t="shared" si="38"/>
        <v/>
      </c>
      <c r="AV33" s="40" t="str">
        <f t="shared" si="38"/>
        <v/>
      </c>
      <c r="AW33" s="40" t="str">
        <f t="shared" si="38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f>YEAR($C$4)</f>
        <v>2024</v>
      </c>
      <c r="J34" s="58">
        <f>IF(X34="","",ROUND(VLOOKUP($E34,'Raw Data'!$1:$1048576,MATCH(X34,'Raw Data'!$3:$3,0),FALSE),$G$6))</f>
        <v>1.3</v>
      </c>
      <c r="K34" s="58">
        <f>IF(Y34="","",ROUND(VLOOKUP($E34,'Raw Data'!$1:$1048576,MATCH(Y34,'Raw Data'!$3:$3,0),FALSE),$G$6))</f>
        <v>1.4</v>
      </c>
      <c r="L34" s="58">
        <f>IF(Z34="","",ROUND(VLOOKUP($E34,'Raw Data'!$1:$1048576,MATCH(Z34,'Raw Data'!$3:$3,0),FALSE),$G$6))</f>
        <v>1.5</v>
      </c>
      <c r="M34" s="58">
        <f>IF(AA34="","",ROUND(VLOOKUP($E34,'Raw Data'!$1:$1048576,MATCH(AA34,'Raw Data'!$3:$3,0),FALSE),$G$6))</f>
        <v>1.9</v>
      </c>
      <c r="N34" s="58">
        <f>IF(AB34="","",ROUND(VLOOKUP($E34,'Raw Data'!$1:$1048576,MATCH(AB34,'Raw Data'!$3:$3,0),FALSE),$G$6))</f>
        <v>2.2999999999999998</v>
      </c>
      <c r="O34" s="58">
        <f>IF(AC34="","",ROUND(VLOOKUP($E34,'Raw Data'!$1:$1048576,MATCH(AC34,'Raw Data'!$3:$3,0),FALSE),$G$6))</f>
        <v>2.5</v>
      </c>
      <c r="P34" s="58">
        <f>IF(AD34="","",ROUND(VLOOKUP($E34,'Raw Data'!$1:$1048576,MATCH(AD34,'Raw Data'!$3:$3,0),FALSE),$G$6))</f>
        <v>2.6</v>
      </c>
      <c r="Q34" s="58" t="str">
        <f>IF(AE34="","",ROUND(VLOOKUP($E34,'Raw Data'!$1:$1048576,MATCH(AE34,'Raw Data'!$3:$3,0),FALSE),$G$6))</f>
        <v/>
      </c>
      <c r="R34" s="58" t="str">
        <f>IF(AF34="","",ROUND(VLOOKUP($E34,'Raw Data'!$1:$1048576,MATCH(AF34,'Raw Data'!$3:$3,0),FALSE),$G$6))</f>
        <v/>
      </c>
      <c r="S34" s="58" t="str">
        <f>IF(AG34="","",ROUND(VLOOKUP($E34,'Raw Data'!$1:$1048576,MATCH(AG34,'Raw Data'!$3:$3,0),FALSE),$G$6))</f>
        <v/>
      </c>
      <c r="T34" s="58" t="str">
        <f>IF(AH34="","",ROUND(VLOOKUP($E34,'Raw Data'!$1:$1048576,MATCH(AH34,'Raw Data'!$3:$3,0),FALSE),$G$6))</f>
        <v/>
      </c>
      <c r="U34" s="58" t="str">
        <f>IF(AI34="","",ROUND(VLOOKUP($E34,'Raw Data'!$1:$1048576,MATCH(AI34,'Raw Data'!$3:$3,0),FALSE),$G$6))</f>
        <v/>
      </c>
      <c r="W34" s="41">
        <f>YEAR($C$4)</f>
        <v>2024</v>
      </c>
      <c r="X34" s="40">
        <f t="shared" ref="X34:AI34" si="39">X21</f>
        <v>45322</v>
      </c>
      <c r="Y34" s="40">
        <f t="shared" si="39"/>
        <v>45351</v>
      </c>
      <c r="Z34" s="40">
        <f t="shared" si="39"/>
        <v>45382</v>
      </c>
      <c r="AA34" s="40">
        <f t="shared" si="39"/>
        <v>45412</v>
      </c>
      <c r="AB34" s="40">
        <f t="shared" si="39"/>
        <v>45443</v>
      </c>
      <c r="AC34" s="40">
        <f t="shared" si="39"/>
        <v>45473</v>
      </c>
      <c r="AD34" s="40">
        <f t="shared" si="39"/>
        <v>45504</v>
      </c>
      <c r="AE34" s="40" t="str">
        <f t="shared" si="39"/>
        <v/>
      </c>
      <c r="AF34" s="40" t="str">
        <f t="shared" si="39"/>
        <v/>
      </c>
      <c r="AG34" s="40" t="str">
        <f t="shared" si="39"/>
        <v/>
      </c>
      <c r="AH34" s="40" t="str">
        <f t="shared" si="39"/>
        <v/>
      </c>
      <c r="AI34" s="40" t="str">
        <f t="shared" si="39"/>
        <v/>
      </c>
      <c r="AK34" s="41">
        <f>YEAR($C$4)</f>
        <v>2024</v>
      </c>
      <c r="AL34" s="40" t="str">
        <f t="shared" ref="AL34:AW34" si="40">AL21</f>
        <v/>
      </c>
      <c r="AM34" s="40" t="str">
        <f t="shared" si="40"/>
        <v/>
      </c>
      <c r="AN34" s="40" t="str">
        <f t="shared" si="40"/>
        <v/>
      </c>
      <c r="AO34" s="40" t="str">
        <f t="shared" si="40"/>
        <v/>
      </c>
      <c r="AP34" s="40" t="str">
        <f t="shared" si="40"/>
        <v/>
      </c>
      <c r="AQ34" s="40" t="str">
        <f t="shared" si="40"/>
        <v/>
      </c>
      <c r="AR34" s="40" t="str">
        <f t="shared" si="40"/>
        <v>MAX</v>
      </c>
      <c r="AS34" s="40" t="str">
        <f t="shared" si="40"/>
        <v/>
      </c>
      <c r="AT34" s="40" t="str">
        <f t="shared" si="40"/>
        <v/>
      </c>
      <c r="AU34" s="40" t="str">
        <f t="shared" si="40"/>
        <v/>
      </c>
      <c r="AV34" s="40" t="str">
        <f t="shared" si="40"/>
        <v/>
      </c>
      <c r="AW34" s="40" t="str">
        <f t="shared" si="40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49">
        <f t="shared" ref="I37:I45" si="41">I38-1</f>
        <v>2014</v>
      </c>
      <c r="J37" s="58" t="str">
        <f>IF(X37="","",ROUND(VLOOKUP($E37,'Raw Data'!$1:$1048576,MATCH(X37,'Raw Data'!$3:$3,0),FALSE),$G$6))</f>
        <v/>
      </c>
      <c r="K37" s="58" t="str">
        <f>IF(Y37="","",ROUND(VLOOKUP($E37,'Raw Data'!$1:$1048576,MATCH(Y37,'Raw Data'!$3:$3,0),FALSE),$G$6))</f>
        <v/>
      </c>
      <c r="L37" s="58" t="str">
        <f>IF(Z37="","",ROUND(VLOOKUP($E37,'Raw Data'!$1:$1048576,MATCH(Z37,'Raw Data'!$3:$3,0),FALSE),$G$6))</f>
        <v/>
      </c>
      <c r="M37" s="58" t="str">
        <f>IF(AA37="","",ROUND(VLOOKUP($E37,'Raw Data'!$1:$1048576,MATCH(AA37,'Raw Data'!$3:$3,0),FALSE),$G$6))</f>
        <v/>
      </c>
      <c r="N37" s="58" t="str">
        <f>IF(AB37="","",ROUND(VLOOKUP($E37,'Raw Data'!$1:$1048576,MATCH(AB37,'Raw Data'!$3:$3,0),FALSE),$G$6))</f>
        <v/>
      </c>
      <c r="O37" s="58" t="str">
        <f>IF(AC37="","",ROUND(VLOOKUP($E37,'Raw Data'!$1:$1048576,MATCH(AC37,'Raw Data'!$3:$3,0),FALSE),$G$6))</f>
        <v/>
      </c>
      <c r="P37" s="58" t="str">
        <f>IF(AD37="","",ROUND(VLOOKUP($E37,'Raw Data'!$1:$1048576,MATCH(AD37,'Raw Data'!$3:$3,0),FALSE),$G$6))</f>
        <v/>
      </c>
      <c r="Q37" s="58">
        <f>IF(AE37="","",ROUND(VLOOKUP($E37,'Raw Data'!$1:$1048576,MATCH(AE37,'Raw Data'!$3:$3,0),FALSE),$G$6))</f>
        <v>0.7</v>
      </c>
      <c r="R37" s="58">
        <f>IF(AF37="","",ROUND(VLOOKUP($E37,'Raw Data'!$1:$1048576,MATCH(AF37,'Raw Data'!$3:$3,0),FALSE),$G$6))</f>
        <v>0.6</v>
      </c>
      <c r="S37" s="58">
        <f>IF(AG37="","",ROUND(VLOOKUP($E37,'Raw Data'!$1:$1048576,MATCH(AG37,'Raw Data'!$3:$3,0),FALSE),$G$6))</f>
        <v>0.6</v>
      </c>
      <c r="T37" s="58">
        <f>IF(AH37="","",ROUND(VLOOKUP($E37,'Raw Data'!$1:$1048576,MATCH(AH37,'Raw Data'!$3:$3,0),FALSE),$G$6))</f>
        <v>0.7</v>
      </c>
      <c r="U37" s="58">
        <f>IF(AI37="","",ROUND(VLOOKUP($E37,'Raw Data'!$1:$1048576,MATCH(AI37,'Raw Data'!$3:$3,0),FALSE),$G$6))</f>
        <v>0.7</v>
      </c>
      <c r="W37" s="39">
        <f t="shared" ref="W37:W45" si="42">W38-1</f>
        <v>2014</v>
      </c>
      <c r="X37" s="40" t="str">
        <f t="shared" ref="X37:AI37" si="43">X11</f>
        <v/>
      </c>
      <c r="Y37" s="40" t="str">
        <f t="shared" si="43"/>
        <v/>
      </c>
      <c r="Z37" s="40" t="str">
        <f t="shared" si="43"/>
        <v/>
      </c>
      <c r="AA37" s="40" t="str">
        <f t="shared" si="43"/>
        <v/>
      </c>
      <c r="AB37" s="40" t="str">
        <f t="shared" si="43"/>
        <v/>
      </c>
      <c r="AC37" s="40" t="str">
        <f t="shared" si="43"/>
        <v/>
      </c>
      <c r="AD37" s="40" t="str">
        <f t="shared" si="43"/>
        <v/>
      </c>
      <c r="AE37" s="40">
        <f t="shared" si="43"/>
        <v>41882</v>
      </c>
      <c r="AF37" s="40">
        <f t="shared" si="43"/>
        <v>41912</v>
      </c>
      <c r="AG37" s="40">
        <f t="shared" si="43"/>
        <v>41943</v>
      </c>
      <c r="AH37" s="40">
        <f t="shared" si="43"/>
        <v>41973</v>
      </c>
      <c r="AI37" s="40">
        <f t="shared" si="43"/>
        <v>42004</v>
      </c>
      <c r="AK37" s="39">
        <f t="shared" ref="AK37:AK45" si="44">AK38-1</f>
        <v>2014</v>
      </c>
      <c r="AL37" s="40" t="str">
        <f t="shared" ref="AL37:AW37" si="45">AL11</f>
        <v/>
      </c>
      <c r="AM37" s="40" t="str">
        <f t="shared" si="45"/>
        <v/>
      </c>
      <c r="AN37" s="40" t="str">
        <f t="shared" si="45"/>
        <v/>
      </c>
      <c r="AO37" s="40" t="str">
        <f t="shared" si="45"/>
        <v/>
      </c>
      <c r="AP37" s="40" t="str">
        <f t="shared" si="45"/>
        <v/>
      </c>
      <c r="AQ37" s="40" t="str">
        <f t="shared" si="45"/>
        <v/>
      </c>
      <c r="AR37" s="40" t="str">
        <f t="shared" si="45"/>
        <v/>
      </c>
      <c r="AS37" s="40" t="str">
        <f t="shared" si="45"/>
        <v>MIN</v>
      </c>
      <c r="AT37" s="40" t="str">
        <f t="shared" si="45"/>
        <v/>
      </c>
      <c r="AU37" s="40" t="str">
        <f t="shared" si="45"/>
        <v/>
      </c>
      <c r="AV37" s="40" t="str">
        <f t="shared" si="45"/>
        <v/>
      </c>
      <c r="AW37" s="40" t="str">
        <f t="shared" si="45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49">
        <f t="shared" si="41"/>
        <v>2015</v>
      </c>
      <c r="J38" s="58">
        <f>IF(X38="","",ROUND(VLOOKUP($E38,'Raw Data'!$1:$1048576,MATCH(X38,'Raw Data'!$3:$3,0),FALSE),$G$6))</f>
        <v>0.9</v>
      </c>
      <c r="K38" s="58">
        <f>IF(Y38="","",ROUND(VLOOKUP($E38,'Raw Data'!$1:$1048576,MATCH(Y38,'Raw Data'!$3:$3,0),FALSE),$G$6))</f>
        <v>0.9</v>
      </c>
      <c r="L38" s="58">
        <f>IF(Z38="","",ROUND(VLOOKUP($E38,'Raw Data'!$1:$1048576,MATCH(Z38,'Raw Data'!$3:$3,0),FALSE),$G$6))</f>
        <v>1</v>
      </c>
      <c r="M38" s="58">
        <f>IF(AA38="","",ROUND(VLOOKUP($E38,'Raw Data'!$1:$1048576,MATCH(AA38,'Raw Data'!$3:$3,0),FALSE),$G$6))</f>
        <v>1</v>
      </c>
      <c r="N38" s="58">
        <f>IF(AB38="","",ROUND(VLOOKUP($E38,'Raw Data'!$1:$1048576,MATCH(AB38,'Raw Data'!$3:$3,0),FALSE),$G$6))</f>
        <v>0.9</v>
      </c>
      <c r="O38" s="58">
        <f>IF(AC38="","",ROUND(VLOOKUP($E38,'Raw Data'!$1:$1048576,MATCH(AC38,'Raw Data'!$3:$3,0),FALSE),$G$6))</f>
        <v>1</v>
      </c>
      <c r="P38" s="58">
        <f>IF(AD38="","",ROUND(VLOOKUP($E38,'Raw Data'!$1:$1048576,MATCH(AD38,'Raw Data'!$3:$3,0),FALSE),$G$6))</f>
        <v>0.8</v>
      </c>
      <c r="Q38" s="58">
        <f>IF(AE38="","",ROUND(VLOOKUP($E38,'Raw Data'!$1:$1048576,MATCH(AE38,'Raw Data'!$3:$3,0),FALSE),$G$6))</f>
        <v>0.4</v>
      </c>
      <c r="R38" s="58">
        <f>IF(AF38="","",ROUND(VLOOKUP($E38,'Raw Data'!$1:$1048576,MATCH(AF38,'Raw Data'!$3:$3,0),FALSE),$G$6))</f>
        <v>0.4</v>
      </c>
      <c r="S38" s="58">
        <f>IF(AG38="","",ROUND(VLOOKUP($E38,'Raw Data'!$1:$1048576,MATCH(AG38,'Raw Data'!$3:$3,0),FALSE),$G$6))</f>
        <v>0.4</v>
      </c>
      <c r="T38" s="58">
        <f>IF(AH38="","",ROUND(VLOOKUP($E38,'Raw Data'!$1:$1048576,MATCH(AH38,'Raw Data'!$3:$3,0),FALSE),$G$6))</f>
        <v>0.3</v>
      </c>
      <c r="U38" s="58">
        <f>IF(AI38="","",ROUND(VLOOKUP($E38,'Raw Data'!$1:$1048576,MATCH(AI38,'Raw Data'!$3:$3,0),FALSE),$G$6))</f>
        <v>0.3</v>
      </c>
      <c r="W38" s="39">
        <f t="shared" si="42"/>
        <v>2015</v>
      </c>
      <c r="X38" s="40">
        <f t="shared" ref="X38:AI38" si="46">X12</f>
        <v>42035</v>
      </c>
      <c r="Y38" s="40">
        <f t="shared" si="46"/>
        <v>42063</v>
      </c>
      <c r="Z38" s="40">
        <f t="shared" si="46"/>
        <v>42094</v>
      </c>
      <c r="AA38" s="40">
        <f t="shared" si="46"/>
        <v>42124</v>
      </c>
      <c r="AB38" s="40">
        <f t="shared" si="46"/>
        <v>42155</v>
      </c>
      <c r="AC38" s="40">
        <f t="shared" si="46"/>
        <v>42185</v>
      </c>
      <c r="AD38" s="40">
        <f t="shared" si="46"/>
        <v>42216</v>
      </c>
      <c r="AE38" s="40">
        <f t="shared" si="46"/>
        <v>42247</v>
      </c>
      <c r="AF38" s="40">
        <f t="shared" si="46"/>
        <v>42277</v>
      </c>
      <c r="AG38" s="40">
        <f t="shared" si="46"/>
        <v>42308</v>
      </c>
      <c r="AH38" s="40">
        <f t="shared" si="46"/>
        <v>42338</v>
      </c>
      <c r="AI38" s="40">
        <f t="shared" si="46"/>
        <v>42369</v>
      </c>
      <c r="AK38" s="39">
        <f t="shared" si="44"/>
        <v>2015</v>
      </c>
      <c r="AL38" s="40" t="str">
        <f t="shared" ref="AL38:AW38" si="47">AL12</f>
        <v/>
      </c>
      <c r="AM38" s="40" t="str">
        <f t="shared" si="47"/>
        <v/>
      </c>
      <c r="AN38" s="40" t="str">
        <f t="shared" si="47"/>
        <v/>
      </c>
      <c r="AO38" s="40" t="str">
        <f t="shared" si="47"/>
        <v/>
      </c>
      <c r="AP38" s="40" t="str">
        <f t="shared" si="47"/>
        <v/>
      </c>
      <c r="AQ38" s="40" t="str">
        <f t="shared" si="47"/>
        <v/>
      </c>
      <c r="AR38" s="40" t="str">
        <f t="shared" si="47"/>
        <v/>
      </c>
      <c r="AS38" s="40" t="str">
        <f t="shared" si="47"/>
        <v/>
      </c>
      <c r="AT38" s="40" t="str">
        <f t="shared" si="47"/>
        <v/>
      </c>
      <c r="AU38" s="40" t="str">
        <f t="shared" si="47"/>
        <v/>
      </c>
      <c r="AV38" s="40" t="str">
        <f t="shared" si="47"/>
        <v/>
      </c>
      <c r="AW38" s="40" t="str">
        <f t="shared" si="47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49">
        <f t="shared" si="41"/>
        <v>2016</v>
      </c>
      <c r="J39" s="58">
        <f>IF(X39="","",ROUND(VLOOKUP($E39,'Raw Data'!$1:$1048576,MATCH(X39,'Raw Data'!$3:$3,0),FALSE),$G$6))</f>
        <v>0.3</v>
      </c>
      <c r="K39" s="58">
        <f>IF(Y39="","",ROUND(VLOOKUP($E39,'Raw Data'!$1:$1048576,MATCH(Y39,'Raw Data'!$3:$3,0),FALSE),$G$6))</f>
        <v>0.3</v>
      </c>
      <c r="L39" s="58">
        <f>IF(Z39="","",ROUND(VLOOKUP($E39,'Raw Data'!$1:$1048576,MATCH(Z39,'Raw Data'!$3:$3,0),FALSE),$G$6))</f>
        <v>0.3</v>
      </c>
      <c r="M39" s="58">
        <f>IF(AA39="","",ROUND(VLOOKUP($E39,'Raw Data'!$1:$1048576,MATCH(AA39,'Raw Data'!$3:$3,0),FALSE),$G$6))</f>
        <v>0.3</v>
      </c>
      <c r="N39" s="58">
        <f>IF(AB39="","",ROUND(VLOOKUP($E39,'Raw Data'!$1:$1048576,MATCH(AB39,'Raw Data'!$3:$3,0),FALSE),$G$6))</f>
        <v>0.5</v>
      </c>
      <c r="O39" s="58">
        <f>IF(AC39="","",ROUND(VLOOKUP($E39,'Raw Data'!$1:$1048576,MATCH(AC39,'Raw Data'!$3:$3,0),FALSE),$G$6))</f>
        <v>0.6</v>
      </c>
      <c r="P39" s="58">
        <f>IF(AD39="","",ROUND(VLOOKUP($E39,'Raw Data'!$1:$1048576,MATCH(AD39,'Raw Data'!$3:$3,0),FALSE),$G$6))</f>
        <v>0.6</v>
      </c>
      <c r="Q39" s="58">
        <f>IF(AE39="","",ROUND(VLOOKUP($E39,'Raw Data'!$1:$1048576,MATCH(AE39,'Raw Data'!$3:$3,0),FALSE),$G$6))</f>
        <v>1.2</v>
      </c>
      <c r="R39" s="58">
        <f>IF(AF39="","",ROUND(VLOOKUP($E39,'Raw Data'!$1:$1048576,MATCH(AF39,'Raw Data'!$3:$3,0),FALSE),$G$6))</f>
        <v>1.2</v>
      </c>
      <c r="S39" s="58">
        <f>IF(AG39="","",ROUND(VLOOKUP($E39,'Raw Data'!$1:$1048576,MATCH(AG39,'Raw Data'!$3:$3,0),FALSE),$G$6))</f>
        <v>1.1000000000000001</v>
      </c>
      <c r="T39" s="58">
        <f>IF(AH39="","",ROUND(VLOOKUP($E39,'Raw Data'!$1:$1048576,MATCH(AH39,'Raw Data'!$3:$3,0),FALSE),$G$6))</f>
        <v>1.1000000000000001</v>
      </c>
      <c r="U39" s="58">
        <f>IF(AI39="","",ROUND(VLOOKUP($E39,'Raw Data'!$1:$1048576,MATCH(AI39,'Raw Data'!$3:$3,0),FALSE),$G$6))</f>
        <v>1</v>
      </c>
      <c r="W39" s="39">
        <f t="shared" si="42"/>
        <v>2016</v>
      </c>
      <c r="X39" s="40">
        <f t="shared" ref="X39:AI39" si="48">X13</f>
        <v>42400</v>
      </c>
      <c r="Y39" s="40">
        <f t="shared" si="48"/>
        <v>42429</v>
      </c>
      <c r="Z39" s="40">
        <f t="shared" si="48"/>
        <v>42460</v>
      </c>
      <c r="AA39" s="40">
        <f t="shared" si="48"/>
        <v>42490</v>
      </c>
      <c r="AB39" s="40">
        <f t="shared" si="48"/>
        <v>42521</v>
      </c>
      <c r="AC39" s="40">
        <f t="shared" si="48"/>
        <v>42551</v>
      </c>
      <c r="AD39" s="40">
        <f t="shared" si="48"/>
        <v>42582</v>
      </c>
      <c r="AE39" s="40">
        <f t="shared" si="48"/>
        <v>42613</v>
      </c>
      <c r="AF39" s="40">
        <f t="shared" si="48"/>
        <v>42643</v>
      </c>
      <c r="AG39" s="40">
        <f t="shared" si="48"/>
        <v>42674</v>
      </c>
      <c r="AH39" s="40">
        <f t="shared" si="48"/>
        <v>42704</v>
      </c>
      <c r="AI39" s="40">
        <f t="shared" si="48"/>
        <v>42735</v>
      </c>
      <c r="AK39" s="39">
        <f t="shared" si="44"/>
        <v>2016</v>
      </c>
      <c r="AL39" s="40" t="str">
        <f t="shared" ref="AL39:AW39" si="49">AL13</f>
        <v/>
      </c>
      <c r="AM39" s="40" t="str">
        <f t="shared" si="49"/>
        <v/>
      </c>
      <c r="AN39" s="40" t="str">
        <f t="shared" si="49"/>
        <v/>
      </c>
      <c r="AO39" s="40" t="str">
        <f t="shared" si="49"/>
        <v/>
      </c>
      <c r="AP39" s="40" t="str">
        <f t="shared" si="49"/>
        <v/>
      </c>
      <c r="AQ39" s="40" t="str">
        <f t="shared" si="49"/>
        <v/>
      </c>
      <c r="AR39" s="40" t="str">
        <f t="shared" si="49"/>
        <v/>
      </c>
      <c r="AS39" s="40" t="str">
        <f t="shared" si="49"/>
        <v/>
      </c>
      <c r="AT39" s="40" t="str">
        <f t="shared" si="49"/>
        <v/>
      </c>
      <c r="AU39" s="40" t="str">
        <f t="shared" si="49"/>
        <v/>
      </c>
      <c r="AV39" s="40" t="str">
        <f t="shared" si="49"/>
        <v/>
      </c>
      <c r="AW39" s="40" t="str">
        <f t="shared" si="49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49">
        <f t="shared" si="41"/>
        <v>2017</v>
      </c>
      <c r="J40" s="58">
        <f>IF(X40="","",ROUND(VLOOKUP($E40,'Raw Data'!$1:$1048576,MATCH(X40,'Raw Data'!$3:$3,0),FALSE),$G$6))</f>
        <v>0.8</v>
      </c>
      <c r="K40" s="58">
        <f>IF(Y40="","",ROUND(VLOOKUP($E40,'Raw Data'!$1:$1048576,MATCH(Y40,'Raw Data'!$3:$3,0),FALSE),$G$6))</f>
        <v>0.8</v>
      </c>
      <c r="L40" s="58">
        <f>IF(Z40="","",ROUND(VLOOKUP($E40,'Raw Data'!$1:$1048576,MATCH(Z40,'Raw Data'!$3:$3,0),FALSE),$G$6))</f>
        <v>0.9</v>
      </c>
      <c r="M40" s="58">
        <f>IF(AA40="","",ROUND(VLOOKUP($E40,'Raw Data'!$1:$1048576,MATCH(AA40,'Raw Data'!$3:$3,0),FALSE),$G$6))</f>
        <v>0.9</v>
      </c>
      <c r="N40" s="58">
        <f>IF(AB40="","",ROUND(VLOOKUP($E40,'Raw Data'!$1:$1048576,MATCH(AB40,'Raw Data'!$3:$3,0),FALSE),$G$6))</f>
        <v>0.8</v>
      </c>
      <c r="O40" s="58">
        <f>IF(AC40="","",ROUND(VLOOKUP($E40,'Raw Data'!$1:$1048576,MATCH(AC40,'Raw Data'!$3:$3,0),FALSE),$G$6))</f>
        <v>0.5</v>
      </c>
      <c r="P40" s="58">
        <f>IF(AD40="","",ROUND(VLOOKUP($E40,'Raw Data'!$1:$1048576,MATCH(AD40,'Raw Data'!$3:$3,0),FALSE),$G$6))</f>
        <v>0.7</v>
      </c>
      <c r="Q40" s="58">
        <f>IF(AE40="","",ROUND(VLOOKUP($E40,'Raw Data'!$1:$1048576,MATCH(AE40,'Raw Data'!$3:$3,0),FALSE),$G$6))</f>
        <v>0.5</v>
      </c>
      <c r="R40" s="58">
        <f>IF(AF40="","",ROUND(VLOOKUP($E40,'Raw Data'!$1:$1048576,MATCH(AF40,'Raw Data'!$3:$3,0),FALSE),$G$6))</f>
        <v>0.3</v>
      </c>
      <c r="S40" s="58">
        <f>IF(AG40="","",ROUND(VLOOKUP($E40,'Raw Data'!$1:$1048576,MATCH(AG40,'Raw Data'!$3:$3,0),FALSE),$G$6))</f>
        <v>0.4</v>
      </c>
      <c r="T40" s="58">
        <f>IF(AH40="","",ROUND(VLOOKUP($E40,'Raw Data'!$1:$1048576,MATCH(AH40,'Raw Data'!$3:$3,0),FALSE),$G$6))</f>
        <v>0.3</v>
      </c>
      <c r="U40" s="58">
        <f>IF(AI40="","",ROUND(VLOOKUP($E40,'Raw Data'!$1:$1048576,MATCH(AI40,'Raw Data'!$3:$3,0),FALSE),$G$6))</f>
        <v>0.4</v>
      </c>
      <c r="W40" s="39">
        <f t="shared" si="42"/>
        <v>2017</v>
      </c>
      <c r="X40" s="40">
        <f t="shared" ref="X40:AI40" si="50">X14</f>
        <v>42766</v>
      </c>
      <c r="Y40" s="40">
        <f t="shared" si="50"/>
        <v>42794</v>
      </c>
      <c r="Z40" s="40">
        <f t="shared" si="50"/>
        <v>42825</v>
      </c>
      <c r="AA40" s="40">
        <f t="shared" si="50"/>
        <v>42855</v>
      </c>
      <c r="AB40" s="40">
        <f t="shared" si="50"/>
        <v>42886</v>
      </c>
      <c r="AC40" s="40">
        <f t="shared" si="50"/>
        <v>42916</v>
      </c>
      <c r="AD40" s="40">
        <f t="shared" si="50"/>
        <v>42947</v>
      </c>
      <c r="AE40" s="40">
        <f t="shared" si="50"/>
        <v>42978</v>
      </c>
      <c r="AF40" s="40">
        <f t="shared" si="50"/>
        <v>43008</v>
      </c>
      <c r="AG40" s="40">
        <f t="shared" si="50"/>
        <v>43039</v>
      </c>
      <c r="AH40" s="40">
        <f t="shared" si="50"/>
        <v>43069</v>
      </c>
      <c r="AI40" s="40">
        <f t="shared" si="50"/>
        <v>43100</v>
      </c>
      <c r="AK40" s="39">
        <f t="shared" si="44"/>
        <v>2017</v>
      </c>
      <c r="AL40" s="40" t="str">
        <f t="shared" ref="AL40:AW40" si="51">AL14</f>
        <v/>
      </c>
      <c r="AM40" s="40" t="str">
        <f t="shared" si="51"/>
        <v/>
      </c>
      <c r="AN40" s="40" t="str">
        <f t="shared" si="51"/>
        <v/>
      </c>
      <c r="AO40" s="40" t="str">
        <f t="shared" si="51"/>
        <v/>
      </c>
      <c r="AP40" s="40" t="str">
        <f t="shared" si="51"/>
        <v/>
      </c>
      <c r="AQ40" s="40" t="str">
        <f t="shared" si="51"/>
        <v/>
      </c>
      <c r="AR40" s="40" t="str">
        <f t="shared" si="51"/>
        <v/>
      </c>
      <c r="AS40" s="40" t="str">
        <f t="shared" si="51"/>
        <v/>
      </c>
      <c r="AT40" s="40" t="str">
        <f t="shared" si="51"/>
        <v/>
      </c>
      <c r="AU40" s="40" t="str">
        <f t="shared" si="51"/>
        <v/>
      </c>
      <c r="AV40" s="40" t="str">
        <f t="shared" si="51"/>
        <v/>
      </c>
      <c r="AW40" s="40" t="str">
        <f t="shared" si="5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49">
        <f t="shared" si="41"/>
        <v>2018</v>
      </c>
      <c r="J41" s="58">
        <f>IF(X41="","",ROUND(VLOOKUP($E41,'Raw Data'!$1:$1048576,MATCH(X41,'Raw Data'!$3:$3,0),FALSE),$G$6))</f>
        <v>0.3</v>
      </c>
      <c r="K41" s="58">
        <f>IF(Y41="","",ROUND(VLOOKUP($E41,'Raw Data'!$1:$1048576,MATCH(Y41,'Raw Data'!$3:$3,0),FALSE),$G$6))</f>
        <v>0.3</v>
      </c>
      <c r="L41" s="58">
        <f>IF(Z41="","",ROUND(VLOOKUP($E41,'Raw Data'!$1:$1048576,MATCH(Z41,'Raw Data'!$3:$3,0),FALSE),$G$6))</f>
        <v>0.2</v>
      </c>
      <c r="M41" s="58">
        <f>IF(AA41="","",ROUND(VLOOKUP($E41,'Raw Data'!$1:$1048576,MATCH(AA41,'Raw Data'!$3:$3,0),FALSE),$G$6))</f>
        <v>0.3</v>
      </c>
      <c r="N41" s="58">
        <f>IF(AB41="","",ROUND(VLOOKUP($E41,'Raw Data'!$1:$1048576,MATCH(AB41,'Raw Data'!$3:$3,0),FALSE),$G$6))</f>
        <v>0.3</v>
      </c>
      <c r="O41" s="58">
        <f>IF(AC41="","",ROUND(VLOOKUP($E41,'Raw Data'!$1:$1048576,MATCH(AC41,'Raw Data'!$3:$3,0),FALSE),$G$6))</f>
        <v>0.5</v>
      </c>
      <c r="P41" s="58">
        <f>IF(AD41="","",ROUND(VLOOKUP($E41,'Raw Data'!$1:$1048576,MATCH(AD41,'Raw Data'!$3:$3,0),FALSE),$G$6))</f>
        <v>0.5</v>
      </c>
      <c r="Q41" s="58">
        <f>IF(AE41="","",ROUND(VLOOKUP($E41,'Raw Data'!$1:$1048576,MATCH(AE41,'Raw Data'!$3:$3,0),FALSE),$G$6))</f>
        <v>0.7</v>
      </c>
      <c r="R41" s="58">
        <f>IF(AF41="","",ROUND(VLOOKUP($E41,'Raw Data'!$1:$1048576,MATCH(AF41,'Raw Data'!$3:$3,0),FALSE),$G$6))</f>
        <v>1</v>
      </c>
      <c r="S41" s="58">
        <f>IF(AG41="","",ROUND(VLOOKUP($E41,'Raw Data'!$1:$1048576,MATCH(AG41,'Raw Data'!$3:$3,0),FALSE),$G$6))</f>
        <v>1</v>
      </c>
      <c r="T41" s="58">
        <f>IF(AH41="","",ROUND(VLOOKUP($E41,'Raw Data'!$1:$1048576,MATCH(AH41,'Raw Data'!$3:$3,0),FALSE),$G$6))</f>
        <v>1.1000000000000001</v>
      </c>
      <c r="U41" s="58">
        <f>IF(AI41="","",ROUND(VLOOKUP($E41,'Raw Data'!$1:$1048576,MATCH(AI41,'Raw Data'!$3:$3,0),FALSE),$G$6))</f>
        <v>1.1000000000000001</v>
      </c>
      <c r="W41" s="39">
        <f t="shared" si="42"/>
        <v>2018</v>
      </c>
      <c r="X41" s="40">
        <f t="shared" ref="X41:AI41" si="52">X15</f>
        <v>43131</v>
      </c>
      <c r="Y41" s="40">
        <f t="shared" si="52"/>
        <v>43159</v>
      </c>
      <c r="Z41" s="40">
        <f t="shared" si="52"/>
        <v>43190</v>
      </c>
      <c r="AA41" s="40">
        <f t="shared" si="52"/>
        <v>43220</v>
      </c>
      <c r="AB41" s="40">
        <f t="shared" si="52"/>
        <v>43251</v>
      </c>
      <c r="AC41" s="40">
        <f t="shared" si="52"/>
        <v>43281</v>
      </c>
      <c r="AD41" s="40">
        <f t="shared" si="52"/>
        <v>43312</v>
      </c>
      <c r="AE41" s="40">
        <f t="shared" si="52"/>
        <v>43343</v>
      </c>
      <c r="AF41" s="40">
        <f t="shared" si="52"/>
        <v>43373</v>
      </c>
      <c r="AG41" s="40">
        <f t="shared" si="52"/>
        <v>43404</v>
      </c>
      <c r="AH41" s="40">
        <f t="shared" si="52"/>
        <v>43434</v>
      </c>
      <c r="AI41" s="40">
        <f t="shared" si="52"/>
        <v>43465</v>
      </c>
      <c r="AK41" s="39">
        <f t="shared" si="44"/>
        <v>2018</v>
      </c>
      <c r="AL41" s="40" t="str">
        <f t="shared" ref="AL41:AW41" si="53">AL15</f>
        <v/>
      </c>
      <c r="AM41" s="40" t="str">
        <f t="shared" si="53"/>
        <v/>
      </c>
      <c r="AN41" s="40" t="str">
        <f t="shared" si="53"/>
        <v/>
      </c>
      <c r="AO41" s="40" t="str">
        <f t="shared" si="53"/>
        <v/>
      </c>
      <c r="AP41" s="40" t="str">
        <f t="shared" si="53"/>
        <v/>
      </c>
      <c r="AQ41" s="40" t="str">
        <f t="shared" si="53"/>
        <v/>
      </c>
      <c r="AR41" s="40" t="str">
        <f t="shared" si="53"/>
        <v/>
      </c>
      <c r="AS41" s="40" t="str">
        <f t="shared" si="53"/>
        <v/>
      </c>
      <c r="AT41" s="40" t="str">
        <f t="shared" si="53"/>
        <v/>
      </c>
      <c r="AU41" s="40" t="str">
        <f t="shared" si="53"/>
        <v/>
      </c>
      <c r="AV41" s="40" t="str">
        <f t="shared" si="53"/>
        <v/>
      </c>
      <c r="AW41" s="40" t="str">
        <f t="shared" si="53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49">
        <f t="shared" si="41"/>
        <v>2019</v>
      </c>
      <c r="J42" s="58">
        <f>IF(X42="","",ROUND(VLOOKUP($E42,'Raw Data'!$1:$1048576,MATCH(X42,'Raw Data'!$3:$3,0),FALSE),$G$6))</f>
        <v>1.2</v>
      </c>
      <c r="K42" s="58">
        <f>IF(Y42="","",ROUND(VLOOKUP($E42,'Raw Data'!$1:$1048576,MATCH(Y42,'Raw Data'!$3:$3,0),FALSE),$G$6))</f>
        <v>1.3</v>
      </c>
      <c r="L42" s="58">
        <f>IF(Z42="","",ROUND(VLOOKUP($E42,'Raw Data'!$1:$1048576,MATCH(Z42,'Raw Data'!$3:$3,0),FALSE),$G$6))</f>
        <v>1.3</v>
      </c>
      <c r="M42" s="58">
        <f>IF(AA42="","",ROUND(VLOOKUP($E42,'Raw Data'!$1:$1048576,MATCH(AA42,'Raw Data'!$3:$3,0),FALSE),$G$6))</f>
        <v>1.2</v>
      </c>
      <c r="N42" s="58">
        <f>IF(AB42="","",ROUND(VLOOKUP($E42,'Raw Data'!$1:$1048576,MATCH(AB42,'Raw Data'!$3:$3,0),FALSE),$G$6))</f>
        <v>1.2</v>
      </c>
      <c r="O42" s="58">
        <f>IF(AC42="","",ROUND(VLOOKUP($E42,'Raw Data'!$1:$1048576,MATCH(AC42,'Raw Data'!$3:$3,0),FALSE),$G$6))</f>
        <v>1</v>
      </c>
      <c r="P42" s="58">
        <f>IF(AD42="","",ROUND(VLOOKUP($E42,'Raw Data'!$1:$1048576,MATCH(AD42,'Raw Data'!$3:$3,0),FALSE),$G$6))</f>
        <v>1</v>
      </c>
      <c r="Q42" s="58">
        <f>IF(AE42="","",ROUND(VLOOKUP($E42,'Raw Data'!$1:$1048576,MATCH(AE42,'Raw Data'!$3:$3,0),FALSE),$G$6))</f>
        <v>0.8</v>
      </c>
      <c r="R42" s="58">
        <f>IF(AF42="","",ROUND(VLOOKUP($E42,'Raw Data'!$1:$1048576,MATCH(AF42,'Raw Data'!$3:$3,0),FALSE),$G$6))</f>
        <v>0.8</v>
      </c>
      <c r="S42" s="58">
        <f>IF(AG42="","",ROUND(VLOOKUP($E42,'Raw Data'!$1:$1048576,MATCH(AG42,'Raw Data'!$3:$3,0),FALSE),$G$6))</f>
        <v>0.9</v>
      </c>
      <c r="T42" s="58">
        <f>IF(AH42="","",ROUND(VLOOKUP($E42,'Raw Data'!$1:$1048576,MATCH(AH42,'Raw Data'!$3:$3,0),FALSE),$G$6))</f>
        <v>0.8</v>
      </c>
      <c r="U42" s="58">
        <f>IF(AI42="","",ROUND(VLOOKUP($E42,'Raw Data'!$1:$1048576,MATCH(AI42,'Raw Data'!$3:$3,0),FALSE),$G$6))</f>
        <v>0.8</v>
      </c>
      <c r="W42" s="39">
        <f t="shared" si="42"/>
        <v>2019</v>
      </c>
      <c r="X42" s="40">
        <f t="shared" ref="X42:AI42" si="54">X16</f>
        <v>43496</v>
      </c>
      <c r="Y42" s="40">
        <f t="shared" si="54"/>
        <v>43524</v>
      </c>
      <c r="Z42" s="40">
        <f t="shared" si="54"/>
        <v>43555</v>
      </c>
      <c r="AA42" s="40">
        <f t="shared" si="54"/>
        <v>43585</v>
      </c>
      <c r="AB42" s="40">
        <f t="shared" si="54"/>
        <v>43616</v>
      </c>
      <c r="AC42" s="40">
        <f t="shared" si="54"/>
        <v>43646</v>
      </c>
      <c r="AD42" s="40">
        <f t="shared" si="54"/>
        <v>43677</v>
      </c>
      <c r="AE42" s="40">
        <f t="shared" si="54"/>
        <v>43708</v>
      </c>
      <c r="AF42" s="40">
        <f t="shared" si="54"/>
        <v>43738</v>
      </c>
      <c r="AG42" s="40">
        <f t="shared" si="54"/>
        <v>43769</v>
      </c>
      <c r="AH42" s="40">
        <f t="shared" si="54"/>
        <v>43799</v>
      </c>
      <c r="AI42" s="40">
        <f t="shared" si="54"/>
        <v>43830</v>
      </c>
      <c r="AK42" s="39">
        <f t="shared" si="44"/>
        <v>2019</v>
      </c>
      <c r="AL42" s="40" t="str">
        <f t="shared" ref="AL42:AW42" si="55">AL16</f>
        <v/>
      </c>
      <c r="AM42" s="40" t="str">
        <f t="shared" si="55"/>
        <v/>
      </c>
      <c r="AN42" s="40" t="str">
        <f t="shared" si="55"/>
        <v/>
      </c>
      <c r="AO42" s="40" t="str">
        <f t="shared" si="55"/>
        <v/>
      </c>
      <c r="AP42" s="40" t="str">
        <f t="shared" si="55"/>
        <v/>
      </c>
      <c r="AQ42" s="40" t="str">
        <f t="shared" si="55"/>
        <v/>
      </c>
      <c r="AR42" s="40" t="str">
        <f t="shared" si="55"/>
        <v/>
      </c>
      <c r="AS42" s="40" t="str">
        <f t="shared" si="55"/>
        <v/>
      </c>
      <c r="AT42" s="40" t="str">
        <f t="shared" si="55"/>
        <v/>
      </c>
      <c r="AU42" s="40" t="str">
        <f t="shared" si="55"/>
        <v/>
      </c>
      <c r="AV42" s="40" t="str">
        <f t="shared" si="55"/>
        <v/>
      </c>
      <c r="AW42" s="40" t="str">
        <f t="shared" si="55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49">
        <f t="shared" si="41"/>
        <v>2020</v>
      </c>
      <c r="J43" s="58">
        <f>IF(X43="","",ROUND(VLOOKUP($E43,'Raw Data'!$1:$1048576,MATCH(X43,'Raw Data'!$3:$3,0),FALSE),$G$6))</f>
        <v>1.2</v>
      </c>
      <c r="K43" s="58">
        <f>IF(Y43="","",ROUND(VLOOKUP($E43,'Raw Data'!$1:$1048576,MATCH(Y43,'Raw Data'!$3:$3,0),FALSE),$G$6))</f>
        <v>1.1000000000000001</v>
      </c>
      <c r="L43" s="58">
        <f>IF(Z43="","",ROUND(VLOOKUP($E43,'Raw Data'!$1:$1048576,MATCH(Z43,'Raw Data'!$3:$3,0),FALSE),$G$6))</f>
        <v>1.1000000000000001</v>
      </c>
      <c r="M43" s="58">
        <f>IF(AA43="","",ROUND(VLOOKUP($E43,'Raw Data'!$1:$1048576,MATCH(AA43,'Raw Data'!$3:$3,0),FALSE),$G$6))</f>
        <v>1</v>
      </c>
      <c r="N43" s="58">
        <f>IF(AB43="","",ROUND(VLOOKUP($E43,'Raw Data'!$1:$1048576,MATCH(AB43,'Raw Data'!$3:$3,0),FALSE),$G$6))</f>
        <v>0.9</v>
      </c>
      <c r="O43" s="58">
        <f>IF(AC43="","",ROUND(VLOOKUP($E43,'Raw Data'!$1:$1048576,MATCH(AC43,'Raw Data'!$3:$3,0),FALSE),$G$6))</f>
        <v>0.9</v>
      </c>
      <c r="P43" s="58">
        <f>IF(AD43="","",ROUND(VLOOKUP($E43,'Raw Data'!$1:$1048576,MATCH(AD43,'Raw Data'!$3:$3,0),FALSE),$G$6))</f>
        <v>0.9</v>
      </c>
      <c r="Q43" s="58">
        <f>IF(AE43="","",ROUND(VLOOKUP($E43,'Raw Data'!$1:$1048576,MATCH(AE43,'Raw Data'!$3:$3,0),FALSE),$G$6))</f>
        <v>0.9</v>
      </c>
      <c r="R43" s="58">
        <f>IF(AF43="","",ROUND(VLOOKUP($E43,'Raw Data'!$1:$1048576,MATCH(AF43,'Raw Data'!$3:$3,0),FALSE),$G$6))</f>
        <v>0.7</v>
      </c>
      <c r="S43" s="58">
        <f>IF(AG43="","",ROUND(VLOOKUP($E43,'Raw Data'!$1:$1048576,MATCH(AG43,'Raw Data'!$3:$3,0),FALSE),$G$6))</f>
        <v>0.7</v>
      </c>
      <c r="T43" s="58">
        <f>IF(AH43="","",ROUND(VLOOKUP($E43,'Raw Data'!$1:$1048576,MATCH(AH43,'Raw Data'!$3:$3,0),FALSE),$G$6))</f>
        <v>0.6</v>
      </c>
      <c r="U43" s="58">
        <f>IF(AI43="","",ROUND(VLOOKUP($E43,'Raw Data'!$1:$1048576,MATCH(AI43,'Raw Data'!$3:$3,0),FALSE),$G$6))</f>
        <v>0.6</v>
      </c>
      <c r="W43" s="39">
        <f t="shared" si="42"/>
        <v>2020</v>
      </c>
      <c r="X43" s="40">
        <f t="shared" ref="X43:AI43" si="56">X17</f>
        <v>43861</v>
      </c>
      <c r="Y43" s="40">
        <f t="shared" si="56"/>
        <v>43890</v>
      </c>
      <c r="Z43" s="40">
        <f t="shared" si="56"/>
        <v>43921</v>
      </c>
      <c r="AA43" s="40">
        <f t="shared" si="56"/>
        <v>43951</v>
      </c>
      <c r="AB43" s="40">
        <f t="shared" si="56"/>
        <v>43982</v>
      </c>
      <c r="AC43" s="40">
        <f t="shared" si="56"/>
        <v>44012</v>
      </c>
      <c r="AD43" s="40">
        <f t="shared" si="56"/>
        <v>44043</v>
      </c>
      <c r="AE43" s="40">
        <f t="shared" si="56"/>
        <v>44074</v>
      </c>
      <c r="AF43" s="40">
        <f t="shared" si="56"/>
        <v>44104</v>
      </c>
      <c r="AG43" s="40">
        <f t="shared" si="56"/>
        <v>44135</v>
      </c>
      <c r="AH43" s="40">
        <f t="shared" si="56"/>
        <v>44165</v>
      </c>
      <c r="AI43" s="40">
        <f t="shared" si="56"/>
        <v>44196</v>
      </c>
      <c r="AK43" s="39">
        <f t="shared" si="44"/>
        <v>2020</v>
      </c>
      <c r="AL43" s="40" t="str">
        <f t="shared" ref="AL43:AW43" si="57">AL17</f>
        <v/>
      </c>
      <c r="AM43" s="40" t="str">
        <f t="shared" si="57"/>
        <v/>
      </c>
      <c r="AN43" s="40" t="str">
        <f t="shared" si="57"/>
        <v/>
      </c>
      <c r="AO43" s="40" t="str">
        <f t="shared" si="57"/>
        <v/>
      </c>
      <c r="AP43" s="40" t="str">
        <f t="shared" si="57"/>
        <v/>
      </c>
      <c r="AQ43" s="40" t="str">
        <f t="shared" si="57"/>
        <v/>
      </c>
      <c r="AR43" s="40" t="str">
        <f t="shared" si="57"/>
        <v/>
      </c>
      <c r="AS43" s="40" t="str">
        <f t="shared" si="57"/>
        <v/>
      </c>
      <c r="AT43" s="40" t="str">
        <f t="shared" si="57"/>
        <v/>
      </c>
      <c r="AU43" s="40" t="str">
        <f t="shared" si="57"/>
        <v/>
      </c>
      <c r="AV43" s="40" t="str">
        <f t="shared" si="57"/>
        <v/>
      </c>
      <c r="AW43" s="40" t="str">
        <f t="shared" si="57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49">
        <f t="shared" si="41"/>
        <v>2021</v>
      </c>
      <c r="J44" s="58">
        <f>IF(X44="","",ROUND(VLOOKUP($E44,'Raw Data'!$1:$1048576,MATCH(X44,'Raw Data'!$3:$3,0),FALSE),$G$6))</f>
        <v>-0.2</v>
      </c>
      <c r="K44" s="58">
        <f>IF(Y44="","",ROUND(VLOOKUP($E44,'Raw Data'!$1:$1048576,MATCH(Y44,'Raw Data'!$3:$3,0),FALSE),$G$6))</f>
        <v>-0.2</v>
      </c>
      <c r="L44" s="58">
        <f>IF(Z44="","",ROUND(VLOOKUP($E44,'Raw Data'!$1:$1048576,MATCH(Z44,'Raw Data'!$3:$3,0),FALSE),$G$6))</f>
        <v>-0.2</v>
      </c>
      <c r="M44" s="58">
        <f>IF(AA44="","",ROUND(VLOOKUP($E44,'Raw Data'!$1:$1048576,MATCH(AA44,'Raw Data'!$3:$3,0),FALSE),$G$6))</f>
        <v>-0.4</v>
      </c>
      <c r="N44" s="58">
        <f>IF(AB44="","",ROUND(VLOOKUP($E44,'Raw Data'!$1:$1048576,MATCH(AB44,'Raw Data'!$3:$3,0),FALSE),$G$6))</f>
        <v>-0.3</v>
      </c>
      <c r="O44" s="58">
        <f>IF(AC44="","",ROUND(VLOOKUP($E44,'Raw Data'!$1:$1048576,MATCH(AC44,'Raw Data'!$3:$3,0),FALSE),$G$6))</f>
        <v>-0.3</v>
      </c>
      <c r="P44" s="58">
        <f>IF(AD44="","",ROUND(VLOOKUP($E44,'Raw Data'!$1:$1048576,MATCH(AD44,'Raw Data'!$3:$3,0),FALSE),$G$6))</f>
        <v>-0.3</v>
      </c>
      <c r="Q44" s="58">
        <f>IF(AE44="","",ROUND(VLOOKUP($E44,'Raw Data'!$1:$1048576,MATCH(AE44,'Raw Data'!$3:$3,0),FALSE),$G$6))</f>
        <v>-0.4</v>
      </c>
      <c r="R44" s="58">
        <f>IF(AF44="","",ROUND(VLOOKUP($E44,'Raw Data'!$1:$1048576,MATCH(AF44,'Raw Data'!$3:$3,0),FALSE),$G$6))</f>
        <v>-0.3</v>
      </c>
      <c r="S44" s="58">
        <f>IF(AG44="","",ROUND(VLOOKUP($E44,'Raw Data'!$1:$1048576,MATCH(AG44,'Raw Data'!$3:$3,0),FALSE),$G$6))</f>
        <v>-0.3</v>
      </c>
      <c r="T44" s="58">
        <f>IF(AH44="","",ROUND(VLOOKUP($E44,'Raw Data'!$1:$1048576,MATCH(AH44,'Raw Data'!$3:$3,0),FALSE),$G$6))</f>
        <v>-0.2</v>
      </c>
      <c r="U44" s="58">
        <f>IF(AI44="","",ROUND(VLOOKUP($E44,'Raw Data'!$1:$1048576,MATCH(AI44,'Raw Data'!$3:$3,0),FALSE),$G$6))</f>
        <v>-0.2</v>
      </c>
      <c r="W44" s="39">
        <f t="shared" si="42"/>
        <v>2021</v>
      </c>
      <c r="X44" s="40">
        <f t="shared" ref="X44:AI44" si="58">X18</f>
        <v>44227</v>
      </c>
      <c r="Y44" s="40">
        <f t="shared" si="58"/>
        <v>44255</v>
      </c>
      <c r="Z44" s="40">
        <f t="shared" si="58"/>
        <v>44286</v>
      </c>
      <c r="AA44" s="40">
        <f t="shared" si="58"/>
        <v>44316</v>
      </c>
      <c r="AB44" s="40">
        <f t="shared" si="58"/>
        <v>44347</v>
      </c>
      <c r="AC44" s="40">
        <f t="shared" si="58"/>
        <v>44377</v>
      </c>
      <c r="AD44" s="40">
        <f t="shared" si="58"/>
        <v>44408</v>
      </c>
      <c r="AE44" s="40">
        <f t="shared" si="58"/>
        <v>44439</v>
      </c>
      <c r="AF44" s="40">
        <f t="shared" si="58"/>
        <v>44469</v>
      </c>
      <c r="AG44" s="40">
        <f t="shared" si="58"/>
        <v>44500</v>
      </c>
      <c r="AH44" s="40">
        <f t="shared" si="58"/>
        <v>44530</v>
      </c>
      <c r="AI44" s="40">
        <f t="shared" si="58"/>
        <v>44561</v>
      </c>
      <c r="AK44" s="39">
        <f t="shared" si="44"/>
        <v>2021</v>
      </c>
      <c r="AL44" s="40" t="str">
        <f t="shared" ref="AL44:AW44" si="59">AL18</f>
        <v/>
      </c>
      <c r="AM44" s="40" t="str">
        <f t="shared" si="59"/>
        <v/>
      </c>
      <c r="AN44" s="40" t="str">
        <f t="shared" si="59"/>
        <v/>
      </c>
      <c r="AO44" s="40" t="str">
        <f t="shared" si="59"/>
        <v/>
      </c>
      <c r="AP44" s="40" t="str">
        <f t="shared" si="59"/>
        <v/>
      </c>
      <c r="AQ44" s="40" t="str">
        <f t="shared" si="59"/>
        <v/>
      </c>
      <c r="AR44" s="40" t="str">
        <f t="shared" si="59"/>
        <v/>
      </c>
      <c r="AS44" s="40" t="str">
        <f t="shared" si="59"/>
        <v/>
      </c>
      <c r="AT44" s="40" t="str">
        <f t="shared" si="59"/>
        <v/>
      </c>
      <c r="AU44" s="40" t="str">
        <f t="shared" si="59"/>
        <v/>
      </c>
      <c r="AV44" s="40" t="str">
        <f t="shared" si="59"/>
        <v/>
      </c>
      <c r="AW44" s="40" t="str">
        <f t="shared" si="59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49">
        <f t="shared" si="41"/>
        <v>2022</v>
      </c>
      <c r="J45" s="58">
        <f>IF(X45="","",ROUND(VLOOKUP($E45,'Raw Data'!$1:$1048576,MATCH(X45,'Raw Data'!$3:$3,0),FALSE),$G$6))</f>
        <v>0.2</v>
      </c>
      <c r="K45" s="58">
        <f>IF(Y45="","",ROUND(VLOOKUP($E45,'Raw Data'!$1:$1048576,MATCH(Y45,'Raw Data'!$3:$3,0),FALSE),$G$6))</f>
        <v>0.2</v>
      </c>
      <c r="L45" s="58">
        <f>IF(Z45="","",ROUND(VLOOKUP($E45,'Raw Data'!$1:$1048576,MATCH(Z45,'Raw Data'!$3:$3,0),FALSE),$G$6))</f>
        <v>0.2</v>
      </c>
      <c r="M45" s="58">
        <f>IF(AA45="","",ROUND(VLOOKUP($E45,'Raw Data'!$1:$1048576,MATCH(AA45,'Raw Data'!$3:$3,0),FALSE),$G$6))</f>
        <v>0.4</v>
      </c>
      <c r="N45" s="58">
        <f>IF(AB45="","",ROUND(VLOOKUP($E45,'Raw Data'!$1:$1048576,MATCH(AB45,'Raw Data'!$3:$3,0),FALSE),$G$6))</f>
        <v>0.4</v>
      </c>
      <c r="O45" s="58">
        <f>IF(AC45="","",ROUND(VLOOKUP($E45,'Raw Data'!$1:$1048576,MATCH(AC45,'Raw Data'!$3:$3,0),FALSE),$G$6))</f>
        <v>0.5</v>
      </c>
      <c r="P45" s="58">
        <f>IF(AD45="","",ROUND(VLOOKUP($E45,'Raw Data'!$1:$1048576,MATCH(AD45,'Raw Data'!$3:$3,0),FALSE),$G$6))</f>
        <v>0.6</v>
      </c>
      <c r="Q45" s="58">
        <f>IF(AE45="","",ROUND(VLOOKUP($E45,'Raw Data'!$1:$1048576,MATCH(AE45,'Raw Data'!$3:$3,0),FALSE),$G$6))</f>
        <v>0.6</v>
      </c>
      <c r="R45" s="58">
        <f>IF(AF45="","",ROUND(VLOOKUP($E45,'Raw Data'!$1:$1048576,MATCH(AF45,'Raw Data'!$3:$3,0),FALSE),$G$6))</f>
        <v>0.6</v>
      </c>
      <c r="S45" s="58">
        <f>IF(AG45="","",ROUND(VLOOKUP($E45,'Raw Data'!$1:$1048576,MATCH(AG45,'Raw Data'!$3:$3,0),FALSE),$G$6))</f>
        <v>0.6</v>
      </c>
      <c r="T45" s="58">
        <f>IF(AH45="","",ROUND(VLOOKUP($E45,'Raw Data'!$1:$1048576,MATCH(AH45,'Raw Data'!$3:$3,0),FALSE),$G$6))</f>
        <v>0.7</v>
      </c>
      <c r="U45" s="58">
        <f>IF(AI45="","",ROUND(VLOOKUP($E45,'Raw Data'!$1:$1048576,MATCH(AI45,'Raw Data'!$3:$3,0),FALSE),$G$6))</f>
        <v>0.8</v>
      </c>
      <c r="W45" s="39">
        <f t="shared" si="42"/>
        <v>2022</v>
      </c>
      <c r="X45" s="40">
        <f t="shared" ref="X45:AI45" si="60">X19</f>
        <v>44592</v>
      </c>
      <c r="Y45" s="40">
        <f t="shared" si="60"/>
        <v>44620</v>
      </c>
      <c r="Z45" s="40">
        <f t="shared" si="60"/>
        <v>44651</v>
      </c>
      <c r="AA45" s="40">
        <f t="shared" si="60"/>
        <v>44681</v>
      </c>
      <c r="AB45" s="40">
        <f t="shared" si="60"/>
        <v>44712</v>
      </c>
      <c r="AC45" s="40">
        <f t="shared" si="60"/>
        <v>44742</v>
      </c>
      <c r="AD45" s="40">
        <f t="shared" si="60"/>
        <v>44773</v>
      </c>
      <c r="AE45" s="40">
        <f t="shared" si="60"/>
        <v>44804</v>
      </c>
      <c r="AF45" s="40">
        <f t="shared" si="60"/>
        <v>44834</v>
      </c>
      <c r="AG45" s="40">
        <f t="shared" si="60"/>
        <v>44865</v>
      </c>
      <c r="AH45" s="40">
        <f t="shared" si="60"/>
        <v>44895</v>
      </c>
      <c r="AI45" s="40">
        <f t="shared" si="60"/>
        <v>44926</v>
      </c>
      <c r="AK45" s="39">
        <f t="shared" si="44"/>
        <v>2022</v>
      </c>
      <c r="AL45" s="40" t="str">
        <f t="shared" ref="AL45:AW45" si="61">AL19</f>
        <v/>
      </c>
      <c r="AM45" s="40" t="str">
        <f t="shared" si="61"/>
        <v/>
      </c>
      <c r="AN45" s="40" t="str">
        <f t="shared" si="61"/>
        <v/>
      </c>
      <c r="AO45" s="40" t="str">
        <f t="shared" si="61"/>
        <v/>
      </c>
      <c r="AP45" s="40" t="str">
        <f t="shared" si="61"/>
        <v/>
      </c>
      <c r="AQ45" s="40" t="str">
        <f t="shared" si="61"/>
        <v/>
      </c>
      <c r="AR45" s="40" t="str">
        <f t="shared" si="61"/>
        <v/>
      </c>
      <c r="AS45" s="40" t="str">
        <f t="shared" si="61"/>
        <v/>
      </c>
      <c r="AT45" s="40" t="str">
        <f t="shared" si="61"/>
        <v/>
      </c>
      <c r="AU45" s="40" t="str">
        <f t="shared" si="61"/>
        <v/>
      </c>
      <c r="AV45" s="40" t="str">
        <f t="shared" si="61"/>
        <v/>
      </c>
      <c r="AW45" s="40" t="str">
        <f t="shared" si="6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49">
        <f>I47-1</f>
        <v>2023</v>
      </c>
      <c r="J46" s="58">
        <f>IF(X46="","",ROUND(VLOOKUP($E46,'Raw Data'!$1:$1048576,MATCH(X46,'Raw Data'!$3:$3,0),FALSE),$G$6))</f>
        <v>0.7</v>
      </c>
      <c r="K46" s="58">
        <f>IF(Y46="","",ROUND(VLOOKUP($E46,'Raw Data'!$1:$1048576,MATCH(Y46,'Raw Data'!$3:$3,0),FALSE),$G$6))</f>
        <v>0.9</v>
      </c>
      <c r="L46" s="58">
        <f>IF(Z46="","",ROUND(VLOOKUP($E46,'Raw Data'!$1:$1048576,MATCH(Z46,'Raw Data'!$3:$3,0),FALSE),$G$6))</f>
        <v>1</v>
      </c>
      <c r="M46" s="58">
        <f>IF(AA46="","",ROUND(VLOOKUP($E46,'Raw Data'!$1:$1048576,MATCH(AA46,'Raw Data'!$3:$3,0),FALSE),$G$6))</f>
        <v>1.1000000000000001</v>
      </c>
      <c r="N46" s="58">
        <f>IF(AB46="","",ROUND(VLOOKUP($E46,'Raw Data'!$1:$1048576,MATCH(AB46,'Raw Data'!$3:$3,0),FALSE),$G$6))</f>
        <v>1.1000000000000001</v>
      </c>
      <c r="O46" s="58">
        <f>IF(AC46="","",ROUND(VLOOKUP($E46,'Raw Data'!$1:$1048576,MATCH(AC46,'Raw Data'!$3:$3,0),FALSE),$G$6))</f>
        <v>1.2</v>
      </c>
      <c r="P46" s="58">
        <f>IF(AD46="","",ROUND(VLOOKUP($E46,'Raw Data'!$1:$1048576,MATCH(AD46,'Raw Data'!$3:$3,0),FALSE),$G$6))</f>
        <v>1.2</v>
      </c>
      <c r="Q46" s="58">
        <f>IF(AE46="","",ROUND(VLOOKUP($E46,'Raw Data'!$1:$1048576,MATCH(AE46,'Raw Data'!$3:$3,0),FALSE),$G$6))</f>
        <v>1.3</v>
      </c>
      <c r="R46" s="58">
        <f>IF(AF46="","",ROUND(VLOOKUP($E46,'Raw Data'!$1:$1048576,MATCH(AF46,'Raw Data'!$3:$3,0),FALSE),$G$6))</f>
        <v>1.3</v>
      </c>
      <c r="S46" s="58">
        <f>IF(AG46="","",ROUND(VLOOKUP($E46,'Raw Data'!$1:$1048576,MATCH(AG46,'Raw Data'!$3:$3,0),FALSE),$G$6))</f>
        <v>1.4</v>
      </c>
      <c r="T46" s="58">
        <f>IF(AH46="","",ROUND(VLOOKUP($E46,'Raw Data'!$1:$1048576,MATCH(AH46,'Raw Data'!$3:$3,0),FALSE),$G$6))</f>
        <v>1.4</v>
      </c>
      <c r="U46" s="58">
        <f>IF(AI46="","",ROUND(VLOOKUP($E46,'Raw Data'!$1:$1048576,MATCH(AI46,'Raw Data'!$3:$3,0),FALSE),$G$6))</f>
        <v>1.6</v>
      </c>
      <c r="W46" s="39">
        <f>W47-1</f>
        <v>2023</v>
      </c>
      <c r="X46" s="40">
        <f t="shared" ref="X46:AI46" si="62">X20</f>
        <v>44957</v>
      </c>
      <c r="Y46" s="40">
        <f t="shared" si="62"/>
        <v>44985</v>
      </c>
      <c r="Z46" s="40">
        <f t="shared" si="62"/>
        <v>45016</v>
      </c>
      <c r="AA46" s="40">
        <f t="shared" si="62"/>
        <v>45046</v>
      </c>
      <c r="AB46" s="40">
        <f t="shared" si="62"/>
        <v>45077</v>
      </c>
      <c r="AC46" s="40">
        <f t="shared" si="62"/>
        <v>45107</v>
      </c>
      <c r="AD46" s="40">
        <f t="shared" si="62"/>
        <v>45138</v>
      </c>
      <c r="AE46" s="40">
        <f t="shared" si="62"/>
        <v>45169</v>
      </c>
      <c r="AF46" s="40">
        <f t="shared" si="62"/>
        <v>45199</v>
      </c>
      <c r="AG46" s="40">
        <f t="shared" si="62"/>
        <v>45230</v>
      </c>
      <c r="AH46" s="40">
        <f t="shared" si="62"/>
        <v>45260</v>
      </c>
      <c r="AI46" s="40">
        <f t="shared" si="62"/>
        <v>45291</v>
      </c>
      <c r="AK46" s="39">
        <f>AK47-1</f>
        <v>2023</v>
      </c>
      <c r="AL46" s="40" t="str">
        <f t="shared" ref="AL46:AW46" si="63">AL20</f>
        <v/>
      </c>
      <c r="AM46" s="40" t="str">
        <f t="shared" si="63"/>
        <v/>
      </c>
      <c r="AN46" s="40" t="str">
        <f t="shared" si="63"/>
        <v/>
      </c>
      <c r="AO46" s="40" t="str">
        <f t="shared" si="63"/>
        <v/>
      </c>
      <c r="AP46" s="40" t="str">
        <f t="shared" si="63"/>
        <v/>
      </c>
      <c r="AQ46" s="40" t="str">
        <f t="shared" si="63"/>
        <v/>
      </c>
      <c r="AR46" s="40" t="str">
        <f t="shared" si="63"/>
        <v/>
      </c>
      <c r="AS46" s="40" t="str">
        <f t="shared" si="63"/>
        <v/>
      </c>
      <c r="AT46" s="40" t="str">
        <f t="shared" si="63"/>
        <v/>
      </c>
      <c r="AU46" s="40" t="str">
        <f t="shared" si="63"/>
        <v/>
      </c>
      <c r="AV46" s="40" t="str">
        <f t="shared" si="63"/>
        <v/>
      </c>
      <c r="AW46" s="40" t="str">
        <f t="shared" si="63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f>YEAR($C$4)</f>
        <v>2024</v>
      </c>
      <c r="J47" s="58">
        <f>IF(X47="","",ROUND(VLOOKUP($E47,'Raw Data'!$1:$1048576,MATCH(X47,'Raw Data'!$3:$3,0),FALSE),$G$6))</f>
        <v>2.1</v>
      </c>
      <c r="K47" s="58">
        <f>IF(Y47="","",ROUND(VLOOKUP($E47,'Raw Data'!$1:$1048576,MATCH(Y47,'Raw Data'!$3:$3,0),FALSE),$G$6))</f>
        <v>2.1</v>
      </c>
      <c r="L47" s="58">
        <f>IF(Z47="","",ROUND(VLOOKUP($E47,'Raw Data'!$1:$1048576,MATCH(Z47,'Raw Data'!$3:$3,0),FALSE),$G$6))</f>
        <v>2.1</v>
      </c>
      <c r="M47" s="58">
        <f>IF(AA47="","",ROUND(VLOOKUP($E47,'Raw Data'!$1:$1048576,MATCH(AA47,'Raw Data'!$3:$3,0),FALSE),$G$6))</f>
        <v>1.9</v>
      </c>
      <c r="N47" s="58">
        <f>IF(AB47="","",ROUND(VLOOKUP($E47,'Raw Data'!$1:$1048576,MATCH(AB47,'Raw Data'!$3:$3,0),FALSE),$G$6))</f>
        <v>1.9</v>
      </c>
      <c r="O47" s="58">
        <f>IF(AC47="","",ROUND(VLOOKUP($E47,'Raw Data'!$1:$1048576,MATCH(AC47,'Raw Data'!$3:$3,0),FALSE),$G$6))</f>
        <v>1.9</v>
      </c>
      <c r="P47" s="58">
        <f>IF(AD47="","",ROUND(VLOOKUP($E47,'Raw Data'!$1:$1048576,MATCH(AD47,'Raw Data'!$3:$3,0),FALSE),$G$6))</f>
        <v>2.1</v>
      </c>
      <c r="Q47" s="58" t="str">
        <f>IF(AE47="","",ROUND(VLOOKUP($E47,'Raw Data'!$1:$1048576,MATCH(AE47,'Raw Data'!$3:$3,0),FALSE),$G$6))</f>
        <v/>
      </c>
      <c r="R47" s="58" t="str">
        <f>IF(AF47="","",ROUND(VLOOKUP($E47,'Raw Data'!$1:$1048576,MATCH(AF47,'Raw Data'!$3:$3,0),FALSE),$G$6))</f>
        <v/>
      </c>
      <c r="S47" s="58" t="str">
        <f>IF(AG47="","",ROUND(VLOOKUP($E47,'Raw Data'!$1:$1048576,MATCH(AG47,'Raw Data'!$3:$3,0),FALSE),$G$6))</f>
        <v/>
      </c>
      <c r="T47" s="58" t="str">
        <f>IF(AH47="","",ROUND(VLOOKUP($E47,'Raw Data'!$1:$1048576,MATCH(AH47,'Raw Data'!$3:$3,0),FALSE),$G$6))</f>
        <v/>
      </c>
      <c r="U47" s="58" t="str">
        <f>IF(AI47="","",ROUND(VLOOKUP($E47,'Raw Data'!$1:$1048576,MATCH(AI47,'Raw Data'!$3:$3,0),FALSE),$G$6))</f>
        <v/>
      </c>
      <c r="W47" s="41">
        <f>YEAR($C$4)</f>
        <v>2024</v>
      </c>
      <c r="X47" s="40">
        <f t="shared" ref="X47:AI47" si="64">X21</f>
        <v>45322</v>
      </c>
      <c r="Y47" s="40">
        <f t="shared" si="64"/>
        <v>45351</v>
      </c>
      <c r="Z47" s="40">
        <f t="shared" si="64"/>
        <v>45382</v>
      </c>
      <c r="AA47" s="40">
        <f t="shared" si="64"/>
        <v>45412</v>
      </c>
      <c r="AB47" s="40">
        <f t="shared" si="64"/>
        <v>45443</v>
      </c>
      <c r="AC47" s="40">
        <f t="shared" si="64"/>
        <v>45473</v>
      </c>
      <c r="AD47" s="40">
        <f t="shared" si="64"/>
        <v>45504</v>
      </c>
      <c r="AE47" s="40" t="str">
        <f t="shared" si="64"/>
        <v/>
      </c>
      <c r="AF47" s="40" t="str">
        <f t="shared" si="64"/>
        <v/>
      </c>
      <c r="AG47" s="40" t="str">
        <f t="shared" si="64"/>
        <v/>
      </c>
      <c r="AH47" s="40" t="str">
        <f t="shared" si="64"/>
        <v/>
      </c>
      <c r="AI47" s="40" t="str">
        <f t="shared" si="64"/>
        <v/>
      </c>
      <c r="AK47" s="41">
        <f>YEAR($C$4)</f>
        <v>2024</v>
      </c>
      <c r="AL47" s="40" t="str">
        <f t="shared" ref="AL47:AW47" si="65">AL21</f>
        <v/>
      </c>
      <c r="AM47" s="40" t="str">
        <f t="shared" si="65"/>
        <v/>
      </c>
      <c r="AN47" s="40" t="str">
        <f t="shared" si="65"/>
        <v/>
      </c>
      <c r="AO47" s="40" t="str">
        <f t="shared" si="65"/>
        <v/>
      </c>
      <c r="AP47" s="40" t="str">
        <f t="shared" si="65"/>
        <v/>
      </c>
      <c r="AQ47" s="40" t="str">
        <f t="shared" si="65"/>
        <v/>
      </c>
      <c r="AR47" s="40" t="str">
        <f t="shared" si="65"/>
        <v>MAX</v>
      </c>
      <c r="AS47" s="40" t="str">
        <f t="shared" si="65"/>
        <v/>
      </c>
      <c r="AT47" s="40" t="str">
        <f t="shared" si="65"/>
        <v/>
      </c>
      <c r="AU47" s="40" t="str">
        <f t="shared" si="65"/>
        <v/>
      </c>
      <c r="AV47" s="40" t="str">
        <f t="shared" si="65"/>
        <v/>
      </c>
      <c r="AW47" s="40" t="str">
        <f t="shared" si="65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329" priority="11" operator="equal">
      <formula>FALSE</formula>
    </cfRule>
    <cfRule type="cellIs" dxfId="328" priority="12" operator="equal">
      <formula>TRUE</formula>
    </cfRule>
  </conditionalFormatting>
  <conditionalFormatting sqref="F22">
    <cfRule type="cellIs" dxfId="327" priority="9" operator="equal">
      <formula>FALSE</formula>
    </cfRule>
    <cfRule type="cellIs" dxfId="326" priority="10" operator="equal">
      <formula>TRUE</formula>
    </cfRule>
  </conditionalFormatting>
  <conditionalFormatting sqref="F35">
    <cfRule type="cellIs" dxfId="325" priority="7" operator="equal">
      <formula>FALSE</formula>
    </cfRule>
    <cfRule type="cellIs" dxfId="324" priority="8" operator="equal">
      <formula>TRUE</formula>
    </cfRule>
  </conditionalFormatting>
  <conditionalFormatting sqref="J11:U21 J24:U34 J37:U47">
    <cfRule type="expression" dxfId="323" priority="5">
      <formula>AL11="MAX"</formula>
    </cfRule>
    <cfRule type="expression" dxfId="322" priority="6">
      <formula>AL11="MIN"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2060"/>
  </sheetPr>
  <dimension ref="A1:AY73"/>
  <sheetViews>
    <sheetView showGridLines="0" zoomScaleNormal="100" workbookViewId="0">
      <selection activeCell="I6" sqref="I6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45532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45504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41882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1.9300000000000001E-2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1.6199999999999999E-2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7.4000000000000003E-3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41">
        <v>2014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>MIN</v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41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41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41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41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41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41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41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41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41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>
        <v>3.1</v>
      </c>
      <c r="M21" s="58">
        <v>2.9</v>
      </c>
      <c r="N21" s="58">
        <v>2.7</v>
      </c>
      <c r="O21" s="58">
        <v>2.4</v>
      </c>
      <c r="P21" s="58">
        <v>2.6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>
        <f t="shared" si="1"/>
        <v>45382</v>
      </c>
      <c r="AA21" s="40">
        <f t="shared" si="1"/>
        <v>45412</v>
      </c>
      <c r="AB21" s="40">
        <f t="shared" si="1"/>
        <v>45443</v>
      </c>
      <c r="AC21" s="40">
        <f t="shared" si="1"/>
        <v>45473</v>
      </c>
      <c r="AD21" s="40">
        <f t="shared" si="1"/>
        <v>45504</v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>MAX</v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41">
        <v>2014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>MIN</v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41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41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41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41">
        <v>2018</v>
      </c>
      <c r="J28" s="58">
        <v>1.1000000000000001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41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41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41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41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41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0.9</v>
      </c>
      <c r="R33" s="58">
        <v>1.3</v>
      </c>
      <c r="S33" s="58">
        <v>0.6</v>
      </c>
      <c r="T33" s="58">
        <v>0.6</v>
      </c>
      <c r="U33" s="58">
        <v>1.1000000000000001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1.4</v>
      </c>
      <c r="L34" s="58">
        <v>1.5</v>
      </c>
      <c r="M34" s="58">
        <v>1.9</v>
      </c>
      <c r="N34" s="58">
        <v>2.2999999999999998</v>
      </c>
      <c r="O34" s="58">
        <v>2.5</v>
      </c>
      <c r="P34" s="58">
        <v>2.6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>
        <f t="shared" si="5"/>
        <v>45382</v>
      </c>
      <c r="AA34" s="40">
        <f t="shared" si="5"/>
        <v>45412</v>
      </c>
      <c r="AB34" s="40">
        <f t="shared" si="5"/>
        <v>45443</v>
      </c>
      <c r="AC34" s="40">
        <f t="shared" si="5"/>
        <v>45473</v>
      </c>
      <c r="AD34" s="40">
        <f t="shared" si="5"/>
        <v>45504</v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>MAX</v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41">
        <v>2014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>MIN</v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41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41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41">
        <v>2017</v>
      </c>
      <c r="J40" s="58">
        <v>0.8</v>
      </c>
      <c r="K40" s="58">
        <v>0.8</v>
      </c>
      <c r="L40" s="58">
        <v>0.9</v>
      </c>
      <c r="M40" s="58">
        <v>0.9</v>
      </c>
      <c r="N40" s="58">
        <v>0.8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41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41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41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0.9</v>
      </c>
      <c r="O43" s="58">
        <v>0.9</v>
      </c>
      <c r="P43" s="58">
        <v>0.9</v>
      </c>
      <c r="Q43" s="58">
        <v>0.9</v>
      </c>
      <c r="R43" s="58">
        <v>0.7</v>
      </c>
      <c r="S43" s="58">
        <v>0.7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41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-0.2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41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0.5</v>
      </c>
      <c r="P45" s="58">
        <v>0.6</v>
      </c>
      <c r="Q45" s="58">
        <v>0.6</v>
      </c>
      <c r="R45" s="58">
        <v>0.6</v>
      </c>
      <c r="S45" s="58">
        <v>0.6</v>
      </c>
      <c r="T45" s="58">
        <v>0.7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41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1.1000000000000001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>
        <v>2.1</v>
      </c>
      <c r="M47" s="58">
        <v>1.9</v>
      </c>
      <c r="N47" s="58">
        <v>1.9</v>
      </c>
      <c r="O47" s="58">
        <v>1.9</v>
      </c>
      <c r="P47" s="58">
        <v>2.1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>
        <f t="shared" si="9"/>
        <v>45382</v>
      </c>
      <c r="AA47" s="40">
        <f t="shared" si="9"/>
        <v>45412</v>
      </c>
      <c r="AB47" s="40">
        <f t="shared" si="9"/>
        <v>45443</v>
      </c>
      <c r="AC47" s="40">
        <f t="shared" si="9"/>
        <v>45473</v>
      </c>
      <c r="AD47" s="40">
        <f t="shared" si="9"/>
        <v>45504</v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>MAX</v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F2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F35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J11:U21 J24:U34 J37:U47">
    <cfRule type="expression" dxfId="1" priority="1">
      <formula>AL11="MAX"</formula>
    </cfRule>
    <cfRule type="expression" dxfId="0" priority="2">
      <formula>AL11="MIN"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Y73"/>
  <sheetViews>
    <sheetView showGridLines="0" zoomScaleNormal="100" workbookViewId="0">
      <selection activeCell="C3" sqref="C3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45498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45473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41851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1.9199999999999998E-2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1.6E-2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7.3000000000000001E-3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32">
        <v>2014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>MIN</v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32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32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32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32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32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32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32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32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32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>
        <v>3.1</v>
      </c>
      <c r="M21" s="58">
        <v>2.9</v>
      </c>
      <c r="N21" s="58">
        <v>2.7</v>
      </c>
      <c r="O21" s="58">
        <v>2.4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>
        <f t="shared" si="1"/>
        <v>45382</v>
      </c>
      <c r="AA21" s="40">
        <f t="shared" si="1"/>
        <v>45412</v>
      </c>
      <c r="AB21" s="40">
        <f t="shared" si="1"/>
        <v>45443</v>
      </c>
      <c r="AC21" s="40">
        <f t="shared" si="1"/>
        <v>45473</v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>MAX</v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32">
        <v>2014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>
        <v>0.1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>MIN</v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32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32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32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32">
        <v>2018</v>
      </c>
      <c r="J28" s="58">
        <v>1.1000000000000001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32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32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32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32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32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0.9</v>
      </c>
      <c r="R33" s="58">
        <v>1.3</v>
      </c>
      <c r="S33" s="58">
        <v>0.6</v>
      </c>
      <c r="T33" s="58">
        <v>0.6</v>
      </c>
      <c r="U33" s="58">
        <v>1.1000000000000001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1.4</v>
      </c>
      <c r="L34" s="58">
        <v>1.5</v>
      </c>
      <c r="M34" s="58">
        <v>1.9</v>
      </c>
      <c r="N34" s="58">
        <v>2.2999999999999998</v>
      </c>
      <c r="O34" s="58">
        <v>2.5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>
        <f t="shared" si="5"/>
        <v>45382</v>
      </c>
      <c r="AA34" s="40">
        <f t="shared" si="5"/>
        <v>45412</v>
      </c>
      <c r="AB34" s="40">
        <f t="shared" si="5"/>
        <v>45443</v>
      </c>
      <c r="AC34" s="40">
        <f t="shared" si="5"/>
        <v>45473</v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>MAX</v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32">
        <v>2014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>MIN</v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32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32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32">
        <v>2017</v>
      </c>
      <c r="J40" s="58">
        <v>0.8</v>
      </c>
      <c r="K40" s="58">
        <v>0.8</v>
      </c>
      <c r="L40" s="58">
        <v>0.9</v>
      </c>
      <c r="M40" s="58">
        <v>0.9</v>
      </c>
      <c r="N40" s="58">
        <v>0.8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32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32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32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0.9</v>
      </c>
      <c r="O43" s="58">
        <v>0.9</v>
      </c>
      <c r="P43" s="58">
        <v>0.9</v>
      </c>
      <c r="Q43" s="58">
        <v>0.9</v>
      </c>
      <c r="R43" s="58">
        <v>0.7</v>
      </c>
      <c r="S43" s="58">
        <v>0.7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32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-0.2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32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0.5</v>
      </c>
      <c r="P45" s="58">
        <v>0.6</v>
      </c>
      <c r="Q45" s="58">
        <v>0.6</v>
      </c>
      <c r="R45" s="58">
        <v>0.6</v>
      </c>
      <c r="S45" s="58">
        <v>0.6</v>
      </c>
      <c r="T45" s="58">
        <v>0.7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32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1.1000000000000001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>
        <v>2.1</v>
      </c>
      <c r="M47" s="58">
        <v>1.9</v>
      </c>
      <c r="N47" s="58">
        <v>1.9</v>
      </c>
      <c r="O47" s="58">
        <v>1.9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>
        <f t="shared" si="9"/>
        <v>45382</v>
      </c>
      <c r="AA47" s="40">
        <f t="shared" si="9"/>
        <v>45412</v>
      </c>
      <c r="AB47" s="40">
        <f t="shared" si="9"/>
        <v>45443</v>
      </c>
      <c r="AC47" s="40">
        <f t="shared" si="9"/>
        <v>45473</v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>MAX</v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321" priority="7" operator="equal">
      <formula>FALSE</formula>
    </cfRule>
    <cfRule type="cellIs" dxfId="320" priority="8" operator="equal">
      <formula>TRUE</formula>
    </cfRule>
  </conditionalFormatting>
  <conditionalFormatting sqref="F22">
    <cfRule type="cellIs" dxfId="319" priority="5" operator="equal">
      <formula>FALSE</formula>
    </cfRule>
    <cfRule type="cellIs" dxfId="318" priority="6" operator="equal">
      <formula>TRUE</formula>
    </cfRule>
  </conditionalFormatting>
  <conditionalFormatting sqref="F35">
    <cfRule type="cellIs" dxfId="317" priority="3" operator="equal">
      <formula>FALSE</formula>
    </cfRule>
    <cfRule type="cellIs" dxfId="316" priority="4" operator="equal">
      <formula>TRUE</formula>
    </cfRule>
  </conditionalFormatting>
  <conditionalFormatting sqref="J11:U21 J24:U34 J37:U47">
    <cfRule type="expression" dxfId="315" priority="1">
      <formula>AL11="MAX"</formula>
    </cfRule>
    <cfRule type="expression" dxfId="314" priority="2">
      <formula>AL11="MIN"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Y73"/>
  <sheetViews>
    <sheetView showGridLines="0" zoomScaleNormal="100" workbookViewId="0">
      <selection activeCell="I6" sqref="I6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45473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45443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41820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1.9199999999999998E-2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1.5800000000000002E-2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7.1999999999999998E-3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32">
        <v>2014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>
        <v>1.7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>
        <f t="shared" si="1"/>
        <v>41820</v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>MIN</v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32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32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32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32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32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32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32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32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32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>
        <v>3.1</v>
      </c>
      <c r="M21" s="58">
        <v>2.9</v>
      </c>
      <c r="N21" s="58">
        <v>2.7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>
        <f t="shared" si="1"/>
        <v>45382</v>
      </c>
      <c r="AA21" s="40">
        <f t="shared" si="1"/>
        <v>45412</v>
      </c>
      <c r="AB21" s="40">
        <f t="shared" si="1"/>
        <v>45443</v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>MAX</v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32">
        <v>2014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>
        <v>0</v>
      </c>
      <c r="P24" s="58">
        <v>0.1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>
        <f t="shared" si="5"/>
        <v>41820</v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>MIN</v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32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32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32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32">
        <v>2018</v>
      </c>
      <c r="J28" s="58">
        <v>1.1000000000000001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32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32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32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32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32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0.9</v>
      </c>
      <c r="R33" s="58">
        <v>1.3</v>
      </c>
      <c r="S33" s="58">
        <v>0.6</v>
      </c>
      <c r="T33" s="58">
        <v>0.6</v>
      </c>
      <c r="U33" s="58">
        <v>1.1000000000000001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1.4</v>
      </c>
      <c r="L34" s="58">
        <v>1.5</v>
      </c>
      <c r="M34" s="58">
        <v>1.9</v>
      </c>
      <c r="N34" s="58">
        <v>2.2999999999999998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>
        <f t="shared" si="5"/>
        <v>45382</v>
      </c>
      <c r="AA34" s="40">
        <f t="shared" si="5"/>
        <v>45412</v>
      </c>
      <c r="AB34" s="40">
        <f t="shared" si="5"/>
        <v>45443</v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>MAX</v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32">
        <v>2014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>
        <v>0.9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>
        <f t="shared" si="9"/>
        <v>41820</v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>MIN</v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32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32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32">
        <v>2017</v>
      </c>
      <c r="J40" s="58">
        <v>0.8</v>
      </c>
      <c r="K40" s="58">
        <v>0.8</v>
      </c>
      <c r="L40" s="58">
        <v>0.9</v>
      </c>
      <c r="M40" s="58">
        <v>0.9</v>
      </c>
      <c r="N40" s="58">
        <v>0.8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32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32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32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0.9</v>
      </c>
      <c r="O43" s="58">
        <v>0.9</v>
      </c>
      <c r="P43" s="58">
        <v>0.9</v>
      </c>
      <c r="Q43" s="58">
        <v>0.9</v>
      </c>
      <c r="R43" s="58">
        <v>0.7</v>
      </c>
      <c r="S43" s="58">
        <v>0.7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32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-0.2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32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0.5</v>
      </c>
      <c r="P45" s="58">
        <v>0.6</v>
      </c>
      <c r="Q45" s="58">
        <v>0.6</v>
      </c>
      <c r="R45" s="58">
        <v>0.6</v>
      </c>
      <c r="S45" s="58">
        <v>0.6</v>
      </c>
      <c r="T45" s="58">
        <v>0.7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32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1.1000000000000001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>
        <v>2.1</v>
      </c>
      <c r="M47" s="58">
        <v>1.9</v>
      </c>
      <c r="N47" s="58">
        <v>1.9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>
        <f t="shared" si="9"/>
        <v>45382</v>
      </c>
      <c r="AA47" s="40">
        <f t="shared" si="9"/>
        <v>45412</v>
      </c>
      <c r="AB47" s="40">
        <f t="shared" si="9"/>
        <v>45443</v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>MAX</v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313" priority="7" operator="equal">
      <formula>FALSE</formula>
    </cfRule>
    <cfRule type="cellIs" dxfId="312" priority="8" operator="equal">
      <formula>TRUE</formula>
    </cfRule>
  </conditionalFormatting>
  <conditionalFormatting sqref="F22">
    <cfRule type="cellIs" dxfId="311" priority="5" operator="equal">
      <formula>FALSE</formula>
    </cfRule>
    <cfRule type="cellIs" dxfId="310" priority="6" operator="equal">
      <formula>TRUE</formula>
    </cfRule>
  </conditionalFormatting>
  <conditionalFormatting sqref="F35">
    <cfRule type="cellIs" dxfId="309" priority="3" operator="equal">
      <formula>FALSE</formula>
    </cfRule>
    <cfRule type="cellIs" dxfId="308" priority="4" operator="equal">
      <formula>TRUE</formula>
    </cfRule>
  </conditionalFormatting>
  <conditionalFormatting sqref="J11:U21 J24:U34 J37:U47">
    <cfRule type="expression" dxfId="307" priority="1">
      <formula>AL11="MAX"</formula>
    </cfRule>
    <cfRule type="expression" dxfId="306" priority="2">
      <formula>AL11="MIN"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Y73"/>
  <sheetViews>
    <sheetView showGridLines="0" zoomScaleNormal="100" workbookViewId="0">
      <selection activeCell="I6" sqref="I6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45442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45412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41790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1.9099999999999999E-2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1.5599999999999999E-2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7.1000000000000004E-3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31">
        <v>2014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>
        <v>1.7</v>
      </c>
      <c r="O11" s="58">
        <v>1.7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>
        <f t="shared" si="1"/>
        <v>41790</v>
      </c>
      <c r="AC11" s="40">
        <f t="shared" si="1"/>
        <v>41820</v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>MIN</v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31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31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31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31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31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31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31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31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31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>
        <v>3.1</v>
      </c>
      <c r="M21" s="58">
        <v>2.9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>
        <f t="shared" si="1"/>
        <v>45382</v>
      </c>
      <c r="AA21" s="40">
        <f t="shared" si="1"/>
        <v>45412</v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>MAX</v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31">
        <v>2014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>
        <v>0</v>
      </c>
      <c r="O24" s="58">
        <v>0</v>
      </c>
      <c r="P24" s="58">
        <v>0.1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>
        <f t="shared" si="5"/>
        <v>41790</v>
      </c>
      <c r="AC24" s="40">
        <f t="shared" si="5"/>
        <v>41820</v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>MIN</v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31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31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31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31">
        <v>2018</v>
      </c>
      <c r="J28" s="58">
        <v>1.1000000000000001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31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31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31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31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31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0.9</v>
      </c>
      <c r="R33" s="58">
        <v>1.3</v>
      </c>
      <c r="S33" s="58">
        <v>0.6</v>
      </c>
      <c r="T33" s="58">
        <v>0.6</v>
      </c>
      <c r="U33" s="58">
        <v>1.1000000000000001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1.4</v>
      </c>
      <c r="L34" s="58">
        <v>1.5</v>
      </c>
      <c r="M34" s="58">
        <v>1.8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>
        <f t="shared" si="5"/>
        <v>45382</v>
      </c>
      <c r="AA34" s="40">
        <f t="shared" si="5"/>
        <v>45412</v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>MAX</v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31">
        <v>2014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>
        <v>1</v>
      </c>
      <c r="O37" s="58">
        <v>0.9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>
        <f t="shared" si="9"/>
        <v>41790</v>
      </c>
      <c r="AC37" s="40">
        <f t="shared" si="9"/>
        <v>41820</v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>MIN</v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31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31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31">
        <v>2017</v>
      </c>
      <c r="J40" s="58">
        <v>0.8</v>
      </c>
      <c r="K40" s="58">
        <v>0.8</v>
      </c>
      <c r="L40" s="58">
        <v>0.9</v>
      </c>
      <c r="M40" s="58">
        <v>0.9</v>
      </c>
      <c r="N40" s="58">
        <v>0.8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31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31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31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0.9</v>
      </c>
      <c r="O43" s="58">
        <v>0.9</v>
      </c>
      <c r="P43" s="58">
        <v>0.9</v>
      </c>
      <c r="Q43" s="58">
        <v>0.9</v>
      </c>
      <c r="R43" s="58">
        <v>0.7</v>
      </c>
      <c r="S43" s="58">
        <v>0.7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31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-0.2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31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0.5</v>
      </c>
      <c r="P45" s="58">
        <v>0.6</v>
      </c>
      <c r="Q45" s="58">
        <v>0.6</v>
      </c>
      <c r="R45" s="58">
        <v>0.6</v>
      </c>
      <c r="S45" s="58">
        <v>0.6</v>
      </c>
      <c r="T45" s="58">
        <v>0.7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31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1.1000000000000001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>
        <v>2.1</v>
      </c>
      <c r="M47" s="58">
        <v>1.9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>
        <f t="shared" si="9"/>
        <v>45382</v>
      </c>
      <c r="AA47" s="40">
        <f t="shared" si="9"/>
        <v>45412</v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>MAX</v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305" priority="7" operator="equal">
      <formula>FALSE</formula>
    </cfRule>
    <cfRule type="cellIs" dxfId="304" priority="8" operator="equal">
      <formula>TRUE</formula>
    </cfRule>
  </conditionalFormatting>
  <conditionalFormatting sqref="F22">
    <cfRule type="cellIs" dxfId="303" priority="5" operator="equal">
      <formula>FALSE</formula>
    </cfRule>
    <cfRule type="cellIs" dxfId="302" priority="6" operator="equal">
      <formula>TRUE</formula>
    </cfRule>
  </conditionalFormatting>
  <conditionalFormatting sqref="F35">
    <cfRule type="cellIs" dxfId="301" priority="3" operator="equal">
      <formula>FALSE</formula>
    </cfRule>
    <cfRule type="cellIs" dxfId="300" priority="4" operator="equal">
      <formula>TRUE</formula>
    </cfRule>
  </conditionalFormatting>
  <conditionalFormatting sqref="J11:U21 J24:U34 J37:U47">
    <cfRule type="expression" dxfId="299" priority="1">
      <formula>AL11="MAX"</formula>
    </cfRule>
    <cfRule type="expression" dxfId="298" priority="2">
      <formula>AL11="MIN"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Y73"/>
  <sheetViews>
    <sheetView showGridLines="0" zoomScaleNormal="100" workbookViewId="0">
      <selection activeCell="C3" sqref="C3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45412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45382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41759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1.55E-2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7.0000000000000001E-3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30">
        <v>2014</v>
      </c>
      <c r="J11" s="58" t="s">
        <v>225</v>
      </c>
      <c r="K11" s="58" t="s">
        <v>225</v>
      </c>
      <c r="L11" s="58" t="s">
        <v>225</v>
      </c>
      <c r="M11" s="58">
        <v>1.5</v>
      </c>
      <c r="N11" s="58">
        <v>1.7</v>
      </c>
      <c r="O11" s="58">
        <v>1.7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>
        <f t="shared" si="1"/>
        <v>41759</v>
      </c>
      <c r="AB11" s="40">
        <f t="shared" si="1"/>
        <v>41790</v>
      </c>
      <c r="AC11" s="40">
        <f t="shared" si="1"/>
        <v>41820</v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>MIN</v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30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30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30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30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30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30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30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30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30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>
        <v>3.1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>
        <f t="shared" si="1"/>
        <v>45382</v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/>
      </c>
      <c r="AN21" s="40" t="str">
        <f t="shared" si="3"/>
        <v>MAX</v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30">
        <v>2014</v>
      </c>
      <c r="J24" s="58" t="s">
        <v>225</v>
      </c>
      <c r="K24" s="58" t="s">
        <v>225</v>
      </c>
      <c r="L24" s="58" t="s">
        <v>225</v>
      </c>
      <c r="M24" s="58">
        <v>-0.3</v>
      </c>
      <c r="N24" s="58">
        <v>0</v>
      </c>
      <c r="O24" s="58">
        <v>0.1</v>
      </c>
      <c r="P24" s="58">
        <v>0.2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>
        <f t="shared" si="5"/>
        <v>41759</v>
      </c>
      <c r="AB24" s="40">
        <f t="shared" si="5"/>
        <v>41790</v>
      </c>
      <c r="AC24" s="40">
        <f t="shared" si="5"/>
        <v>41820</v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>MIN</v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30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-4.0999999999999996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30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30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30">
        <v>2018</v>
      </c>
      <c r="J28" s="58">
        <v>1.2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30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30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30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30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30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1</v>
      </c>
      <c r="R33" s="58">
        <v>1.4</v>
      </c>
      <c r="S33" s="58">
        <v>0.7</v>
      </c>
      <c r="T33" s="58">
        <v>0.6</v>
      </c>
      <c r="U33" s="58">
        <v>1.2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1.5</v>
      </c>
      <c r="L34" s="58">
        <v>1.6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>
        <f t="shared" si="5"/>
        <v>45382</v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/>
      </c>
      <c r="AN34" s="40" t="str">
        <f t="shared" si="7"/>
        <v>MAX</v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30">
        <v>2014</v>
      </c>
      <c r="J37" s="58" t="s">
        <v>225</v>
      </c>
      <c r="K37" s="58" t="s">
        <v>225</v>
      </c>
      <c r="L37" s="58" t="s">
        <v>225</v>
      </c>
      <c r="M37" s="58">
        <v>1</v>
      </c>
      <c r="N37" s="58">
        <v>1</v>
      </c>
      <c r="O37" s="58">
        <v>0.9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>
        <f t="shared" si="9"/>
        <v>41759</v>
      </c>
      <c r="AB37" s="40">
        <f t="shared" si="9"/>
        <v>41790</v>
      </c>
      <c r="AC37" s="40">
        <f t="shared" si="9"/>
        <v>41820</v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>MIN</v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30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30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30">
        <v>2017</v>
      </c>
      <c r="J40" s="58">
        <v>0.9</v>
      </c>
      <c r="K40" s="58">
        <v>0.8</v>
      </c>
      <c r="L40" s="58">
        <v>0.9</v>
      </c>
      <c r="M40" s="58">
        <v>0.9</v>
      </c>
      <c r="N40" s="58">
        <v>0.7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30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30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30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1</v>
      </c>
      <c r="O43" s="58">
        <v>1</v>
      </c>
      <c r="P43" s="58">
        <v>0.9</v>
      </c>
      <c r="Q43" s="58">
        <v>0.9</v>
      </c>
      <c r="R43" s="58">
        <v>0.7</v>
      </c>
      <c r="S43" s="58">
        <v>0.6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30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-0.3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30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0.4</v>
      </c>
      <c r="P45" s="58">
        <v>0.6</v>
      </c>
      <c r="Q45" s="58">
        <v>0.6</v>
      </c>
      <c r="R45" s="58">
        <v>0.6</v>
      </c>
      <c r="S45" s="58">
        <v>0.6</v>
      </c>
      <c r="T45" s="58">
        <v>0.6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30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1.2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>
        <v>2.1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>
        <f t="shared" si="9"/>
        <v>45382</v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/>
      </c>
      <c r="AN47" s="40" t="str">
        <f t="shared" si="11"/>
        <v>MAX</v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97" priority="7" operator="equal">
      <formula>FALSE</formula>
    </cfRule>
    <cfRule type="cellIs" dxfId="296" priority="8" operator="equal">
      <formula>TRUE</formula>
    </cfRule>
  </conditionalFormatting>
  <conditionalFormatting sqref="F22">
    <cfRule type="cellIs" dxfId="295" priority="5" operator="equal">
      <formula>FALSE</formula>
    </cfRule>
    <cfRule type="cellIs" dxfId="294" priority="6" operator="equal">
      <formula>TRUE</formula>
    </cfRule>
  </conditionalFormatting>
  <conditionalFormatting sqref="F35">
    <cfRule type="cellIs" dxfId="293" priority="3" operator="equal">
      <formula>FALSE</formula>
    </cfRule>
    <cfRule type="cellIs" dxfId="292" priority="4" operator="equal">
      <formula>TRUE</formula>
    </cfRule>
  </conditionalFormatting>
  <conditionalFormatting sqref="J11:U21 J24:U34 J37:U47">
    <cfRule type="expression" dxfId="291" priority="1">
      <formula>AL11="MAX"</formula>
    </cfRule>
    <cfRule type="expression" dxfId="290" priority="2">
      <formula>AL11="MIN"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Y73"/>
  <sheetViews>
    <sheetView showGridLines="0" zoomScaleNormal="100" workbookViewId="0">
      <selection activeCell="K7" sqref="K7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45382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45351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41729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1.8800000000000001E-2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1.5299999999999999E-2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6.8999999999999999E-3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9">
        <v>2014</v>
      </c>
      <c r="J11" s="58" t="s">
        <v>225</v>
      </c>
      <c r="K11" s="58" t="s">
        <v>225</v>
      </c>
      <c r="L11" s="58">
        <v>1.3</v>
      </c>
      <c r="M11" s="58">
        <v>1.5</v>
      </c>
      <c r="N11" s="58">
        <v>1.7</v>
      </c>
      <c r="O11" s="58">
        <v>1.7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>
        <f t="shared" si="1"/>
        <v>41729</v>
      </c>
      <c r="AA11" s="40">
        <f t="shared" si="1"/>
        <v>41759</v>
      </c>
      <c r="AB11" s="40">
        <f t="shared" si="1"/>
        <v>41790</v>
      </c>
      <c r="AC11" s="40">
        <f t="shared" si="1"/>
        <v>41820</v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>MIN</v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9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9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9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9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9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9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9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9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9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>
        <v>3.1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>
        <f t="shared" si="1"/>
        <v>45351</v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/>
      </c>
      <c r="AM21" s="40" t="str">
        <f t="shared" si="3"/>
        <v>MAX</v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9">
        <v>2014</v>
      </c>
      <c r="J24" s="58" t="s">
        <v>225</v>
      </c>
      <c r="K24" s="58" t="s">
        <v>225</v>
      </c>
      <c r="L24" s="58">
        <v>-0.5</v>
      </c>
      <c r="M24" s="58">
        <v>-0.3</v>
      </c>
      <c r="N24" s="58">
        <v>0</v>
      </c>
      <c r="O24" s="58">
        <v>0.1</v>
      </c>
      <c r="P24" s="58">
        <v>0.2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 t="str">
        <f t="shared" si="5"/>
        <v/>
      </c>
      <c r="Z24" s="40">
        <f t="shared" si="5"/>
        <v>41729</v>
      </c>
      <c r="AA24" s="40">
        <f t="shared" si="5"/>
        <v>41759</v>
      </c>
      <c r="AB24" s="40">
        <f t="shared" si="5"/>
        <v>41790</v>
      </c>
      <c r="AC24" s="40">
        <f t="shared" si="5"/>
        <v>41820</v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>MIN</v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9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-4.0999999999999996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9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9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9">
        <v>2018</v>
      </c>
      <c r="J28" s="58">
        <v>1.2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9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9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9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9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9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1</v>
      </c>
      <c r="R33" s="58">
        <v>1.4</v>
      </c>
      <c r="S33" s="58">
        <v>0.7</v>
      </c>
      <c r="T33" s="58">
        <v>0.6</v>
      </c>
      <c r="U33" s="58">
        <v>1.2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>
        <v>1.5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>
        <f t="shared" si="5"/>
        <v>45351</v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/>
      </c>
      <c r="AM34" s="40" t="str">
        <f t="shared" si="7"/>
        <v>MAX</v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9">
        <v>2014</v>
      </c>
      <c r="J37" s="58" t="s">
        <v>225</v>
      </c>
      <c r="K37" s="58" t="s">
        <v>225</v>
      </c>
      <c r="L37" s="58">
        <v>0.8</v>
      </c>
      <c r="M37" s="58">
        <v>1</v>
      </c>
      <c r="N37" s="58">
        <v>1</v>
      </c>
      <c r="O37" s="58">
        <v>0.9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 t="str">
        <f t="shared" si="9"/>
        <v/>
      </c>
      <c r="Z37" s="40">
        <f t="shared" si="9"/>
        <v>41729</v>
      </c>
      <c r="AA37" s="40">
        <f t="shared" si="9"/>
        <v>41759</v>
      </c>
      <c r="AB37" s="40">
        <f t="shared" si="9"/>
        <v>41790</v>
      </c>
      <c r="AC37" s="40">
        <f t="shared" si="9"/>
        <v>41820</v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>MIN</v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9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9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9">
        <v>2017</v>
      </c>
      <c r="J40" s="58">
        <v>0.9</v>
      </c>
      <c r="K40" s="58">
        <v>0.8</v>
      </c>
      <c r="L40" s="58">
        <v>0.9</v>
      </c>
      <c r="M40" s="58">
        <v>0.9</v>
      </c>
      <c r="N40" s="58">
        <v>0.7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9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9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9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1</v>
      </c>
      <c r="O43" s="58">
        <v>1</v>
      </c>
      <c r="P43" s="58">
        <v>0.9</v>
      </c>
      <c r="Q43" s="58">
        <v>0.9</v>
      </c>
      <c r="R43" s="58">
        <v>0.7</v>
      </c>
      <c r="S43" s="58">
        <v>0.6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9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-0.3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9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0.4</v>
      </c>
      <c r="P45" s="58">
        <v>0.6</v>
      </c>
      <c r="Q45" s="58">
        <v>0.6</v>
      </c>
      <c r="R45" s="58">
        <v>0.6</v>
      </c>
      <c r="S45" s="58">
        <v>0.6</v>
      </c>
      <c r="T45" s="58">
        <v>0.6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9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1.2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2.1</v>
      </c>
      <c r="K47" s="58">
        <v>2.1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>
        <f t="shared" si="9"/>
        <v>45351</v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/>
      </c>
      <c r="AM47" s="40" t="str">
        <f t="shared" si="11"/>
        <v>MAX</v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89" priority="7" operator="equal">
      <formula>FALSE</formula>
    </cfRule>
    <cfRule type="cellIs" dxfId="288" priority="8" operator="equal">
      <formula>TRUE</formula>
    </cfRule>
  </conditionalFormatting>
  <conditionalFormatting sqref="F22">
    <cfRule type="cellIs" dxfId="287" priority="5" operator="equal">
      <formula>FALSE</formula>
    </cfRule>
    <cfRule type="cellIs" dxfId="286" priority="6" operator="equal">
      <formula>TRUE</formula>
    </cfRule>
  </conditionalFormatting>
  <conditionalFormatting sqref="F35">
    <cfRule type="cellIs" dxfId="285" priority="3" operator="equal">
      <formula>FALSE</formula>
    </cfRule>
    <cfRule type="cellIs" dxfId="284" priority="4" operator="equal">
      <formula>TRUE</formula>
    </cfRule>
  </conditionalFormatting>
  <conditionalFormatting sqref="J11:U21 J24:U34 J37:U47">
    <cfRule type="expression" dxfId="283" priority="1">
      <formula>AL11="MAX"</formula>
    </cfRule>
    <cfRule type="expression" dxfId="282" priority="2">
      <formula>AL11="MIN"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Y73"/>
  <sheetViews>
    <sheetView showGridLines="0" zoomScaleNormal="100" workbookViewId="0">
      <selection activeCell="I6" sqref="I6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45350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45322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41698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1.8599999999999998E-2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1.5100000000000001E-2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6.7999999999999996E-3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8">
        <v>2014</v>
      </c>
      <c r="J11" s="58" t="s">
        <v>225</v>
      </c>
      <c r="K11" s="58">
        <v>1</v>
      </c>
      <c r="L11" s="58">
        <v>1.3</v>
      </c>
      <c r="M11" s="58">
        <v>1.5</v>
      </c>
      <c r="N11" s="58">
        <v>1.7</v>
      </c>
      <c r="O11" s="58">
        <v>1.7</v>
      </c>
      <c r="P11" s="58">
        <v>1.6</v>
      </c>
      <c r="Q11" s="58">
        <v>1.4</v>
      </c>
      <c r="R11" s="58">
        <v>1.1000000000000001</v>
      </c>
      <c r="S11" s="58">
        <v>1.1000000000000001</v>
      </c>
      <c r="T11" s="58">
        <v>1</v>
      </c>
      <c r="U11" s="58">
        <v>0.8</v>
      </c>
      <c r="W11" s="39">
        <f t="shared" ref="W11:W19" si="0">W12-1</f>
        <v>2014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>
        <f t="shared" si="1"/>
        <v>41698</v>
      </c>
      <c r="Z11" s="40">
        <f t="shared" si="1"/>
        <v>41729</v>
      </c>
      <c r="AA11" s="40">
        <f t="shared" si="1"/>
        <v>41759</v>
      </c>
      <c r="AB11" s="40">
        <f t="shared" si="1"/>
        <v>41790</v>
      </c>
      <c r="AC11" s="40">
        <f t="shared" si="1"/>
        <v>41820</v>
      </c>
      <c r="AD11" s="40">
        <f t="shared" si="1"/>
        <v>41851</v>
      </c>
      <c r="AE11" s="40">
        <f t="shared" si="1"/>
        <v>41882</v>
      </c>
      <c r="AF11" s="40">
        <f t="shared" si="1"/>
        <v>41912</v>
      </c>
      <c r="AG11" s="40">
        <f t="shared" si="1"/>
        <v>41943</v>
      </c>
      <c r="AH11" s="40">
        <f t="shared" si="1"/>
        <v>41973</v>
      </c>
      <c r="AI11" s="40">
        <f t="shared" si="1"/>
        <v>42004</v>
      </c>
      <c r="AK11" s="39">
        <f t="shared" ref="AK11:AK19" si="2">AK12-1</f>
        <v>2014</v>
      </c>
      <c r="AL11" s="40" t="str">
        <f t="shared" ref="AL11:AW21" si="3">IF(X11=MIN($X$11:$AI$21)=TRUE,"MIN",IF(X11=MAX($X$11:$AI$21)=TRUE,"MAX",""))</f>
        <v/>
      </c>
      <c r="AM11" s="40" t="str">
        <f t="shared" si="3"/>
        <v>MIN</v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8">
        <v>2015</v>
      </c>
      <c r="J12" s="58">
        <v>1</v>
      </c>
      <c r="K12" s="58">
        <v>0.6</v>
      </c>
      <c r="L12" s="58">
        <v>0.5</v>
      </c>
      <c r="M12" s="58">
        <v>0.4</v>
      </c>
      <c r="N12" s="58">
        <v>0.6</v>
      </c>
      <c r="O12" s="58">
        <v>0.7</v>
      </c>
      <c r="P12" s="58">
        <v>0.7</v>
      </c>
      <c r="Q12" s="58">
        <v>0.7</v>
      </c>
      <c r="R12" s="58">
        <v>0.5</v>
      </c>
      <c r="S12" s="58">
        <v>0.8</v>
      </c>
      <c r="T12" s="58">
        <v>0.8</v>
      </c>
      <c r="U12" s="58">
        <v>1.1000000000000001</v>
      </c>
      <c r="W12" s="39">
        <f t="shared" si="0"/>
        <v>2015</v>
      </c>
      <c r="X12" s="40">
        <f t="shared" si="1"/>
        <v>42035</v>
      </c>
      <c r="Y12" s="40">
        <f t="shared" si="1"/>
        <v>42063</v>
      </c>
      <c r="Z12" s="40">
        <f t="shared" si="1"/>
        <v>42094</v>
      </c>
      <c r="AA12" s="40">
        <f t="shared" si="1"/>
        <v>42124</v>
      </c>
      <c r="AB12" s="40">
        <f t="shared" si="1"/>
        <v>42155</v>
      </c>
      <c r="AC12" s="40">
        <f t="shared" si="1"/>
        <v>42185</v>
      </c>
      <c r="AD12" s="40">
        <f t="shared" si="1"/>
        <v>42216</v>
      </c>
      <c r="AE12" s="40">
        <f t="shared" si="1"/>
        <v>42247</v>
      </c>
      <c r="AF12" s="40">
        <f t="shared" si="1"/>
        <v>42277</v>
      </c>
      <c r="AG12" s="40">
        <f t="shared" si="1"/>
        <v>42308</v>
      </c>
      <c r="AH12" s="40">
        <f t="shared" si="1"/>
        <v>42338</v>
      </c>
      <c r="AI12" s="40">
        <f t="shared" si="1"/>
        <v>42369</v>
      </c>
      <c r="AK12" s="39">
        <f t="shared" si="2"/>
        <v>2015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8">
        <v>2016</v>
      </c>
      <c r="J13" s="58">
        <v>0.6</v>
      </c>
      <c r="K13" s="58">
        <v>1.1000000000000001</v>
      </c>
      <c r="L13" s="58">
        <v>0.8</v>
      </c>
      <c r="M13" s="58">
        <v>1</v>
      </c>
      <c r="N13" s="58">
        <v>0.8</v>
      </c>
      <c r="O13" s="58">
        <v>0.7</v>
      </c>
      <c r="P13" s="58">
        <v>0.4</v>
      </c>
      <c r="Q13" s="58">
        <v>0.5</v>
      </c>
      <c r="R13" s="58">
        <v>1.3</v>
      </c>
      <c r="S13" s="58">
        <v>1.5</v>
      </c>
      <c r="T13" s="58">
        <v>1.5</v>
      </c>
      <c r="U13" s="58">
        <v>1.3</v>
      </c>
      <c r="W13" s="39">
        <f t="shared" si="0"/>
        <v>2016</v>
      </c>
      <c r="X13" s="40">
        <f t="shared" si="1"/>
        <v>42400</v>
      </c>
      <c r="Y13" s="40">
        <f t="shared" si="1"/>
        <v>42429</v>
      </c>
      <c r="Z13" s="40">
        <f t="shared" si="1"/>
        <v>42460</v>
      </c>
      <c r="AA13" s="40">
        <f t="shared" si="1"/>
        <v>42490</v>
      </c>
      <c r="AB13" s="40">
        <f t="shared" si="1"/>
        <v>42521</v>
      </c>
      <c r="AC13" s="40">
        <f t="shared" si="1"/>
        <v>42551</v>
      </c>
      <c r="AD13" s="40">
        <f t="shared" si="1"/>
        <v>42582</v>
      </c>
      <c r="AE13" s="40">
        <f t="shared" si="1"/>
        <v>42613</v>
      </c>
      <c r="AF13" s="40">
        <f t="shared" si="1"/>
        <v>42643</v>
      </c>
      <c r="AG13" s="40">
        <f t="shared" si="1"/>
        <v>42674</v>
      </c>
      <c r="AH13" s="40">
        <f t="shared" si="1"/>
        <v>42704</v>
      </c>
      <c r="AI13" s="40">
        <f t="shared" si="1"/>
        <v>42735</v>
      </c>
      <c r="AK13" s="39">
        <f t="shared" si="2"/>
        <v>2016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8">
        <v>2017</v>
      </c>
      <c r="J14" s="58">
        <v>2.2000000000000002</v>
      </c>
      <c r="K14" s="58">
        <v>2.1</v>
      </c>
      <c r="L14" s="58">
        <v>2.2999999999999998</v>
      </c>
      <c r="M14" s="58">
        <v>2</v>
      </c>
      <c r="N14" s="58">
        <v>2</v>
      </c>
      <c r="O14" s="58">
        <v>1.8</v>
      </c>
      <c r="P14" s="58">
        <v>2.2000000000000002</v>
      </c>
      <c r="Q14" s="58">
        <v>2.5</v>
      </c>
      <c r="R14" s="58">
        <v>2</v>
      </c>
      <c r="S14" s="58">
        <v>1.8</v>
      </c>
      <c r="T14" s="58">
        <v>1.2</v>
      </c>
      <c r="U14" s="58">
        <v>1.4</v>
      </c>
      <c r="W14" s="39">
        <f t="shared" si="0"/>
        <v>2017</v>
      </c>
      <c r="X14" s="40">
        <f t="shared" si="1"/>
        <v>42766</v>
      </c>
      <c r="Y14" s="40">
        <f t="shared" si="1"/>
        <v>42794</v>
      </c>
      <c r="Z14" s="40">
        <f t="shared" si="1"/>
        <v>42825</v>
      </c>
      <c r="AA14" s="40">
        <f t="shared" si="1"/>
        <v>42855</v>
      </c>
      <c r="AB14" s="40">
        <f t="shared" si="1"/>
        <v>42886</v>
      </c>
      <c r="AC14" s="40">
        <f t="shared" si="1"/>
        <v>42916</v>
      </c>
      <c r="AD14" s="40">
        <f t="shared" si="1"/>
        <v>42947</v>
      </c>
      <c r="AE14" s="40">
        <f t="shared" si="1"/>
        <v>42978</v>
      </c>
      <c r="AF14" s="40">
        <f t="shared" si="1"/>
        <v>43008</v>
      </c>
      <c r="AG14" s="40">
        <f t="shared" si="1"/>
        <v>43039</v>
      </c>
      <c r="AH14" s="40">
        <f t="shared" si="1"/>
        <v>43069</v>
      </c>
      <c r="AI14" s="40">
        <f t="shared" si="1"/>
        <v>43100</v>
      </c>
      <c r="AK14" s="39">
        <f t="shared" si="2"/>
        <v>2017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8">
        <v>2018</v>
      </c>
      <c r="J15" s="58">
        <v>0.8</v>
      </c>
      <c r="K15" s="58">
        <v>1.3</v>
      </c>
      <c r="L15" s="58">
        <v>1.2</v>
      </c>
      <c r="M15" s="58">
        <v>1.5</v>
      </c>
      <c r="N15" s="58">
        <v>1.5</v>
      </c>
      <c r="O15" s="58">
        <v>1.5</v>
      </c>
      <c r="P15" s="58">
        <v>1.1000000000000001</v>
      </c>
      <c r="Q15" s="58">
        <v>1.4</v>
      </c>
      <c r="R15" s="58">
        <v>2.1</v>
      </c>
      <c r="S15" s="58">
        <v>2</v>
      </c>
      <c r="T15" s="58">
        <v>2</v>
      </c>
      <c r="U15" s="58">
        <v>1.3</v>
      </c>
      <c r="W15" s="39">
        <f t="shared" si="0"/>
        <v>2018</v>
      </c>
      <c r="X15" s="40">
        <f t="shared" si="1"/>
        <v>43131</v>
      </c>
      <c r="Y15" s="40">
        <f t="shared" si="1"/>
        <v>43159</v>
      </c>
      <c r="Z15" s="40">
        <f t="shared" si="1"/>
        <v>43190</v>
      </c>
      <c r="AA15" s="40">
        <f t="shared" si="1"/>
        <v>43220</v>
      </c>
      <c r="AB15" s="40">
        <f t="shared" si="1"/>
        <v>43251</v>
      </c>
      <c r="AC15" s="40">
        <f t="shared" si="1"/>
        <v>43281</v>
      </c>
      <c r="AD15" s="40">
        <f t="shared" si="1"/>
        <v>43312</v>
      </c>
      <c r="AE15" s="40">
        <f t="shared" si="1"/>
        <v>43343</v>
      </c>
      <c r="AF15" s="40">
        <f t="shared" si="1"/>
        <v>43373</v>
      </c>
      <c r="AG15" s="40">
        <f t="shared" si="1"/>
        <v>43404</v>
      </c>
      <c r="AH15" s="40">
        <f t="shared" si="1"/>
        <v>43434</v>
      </c>
      <c r="AI15" s="40">
        <f t="shared" si="1"/>
        <v>43465</v>
      </c>
      <c r="AK15" s="39">
        <f t="shared" si="2"/>
        <v>2018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8">
        <v>2019</v>
      </c>
      <c r="J16" s="58">
        <v>0.8</v>
      </c>
      <c r="K16" s="58">
        <v>0.5</v>
      </c>
      <c r="L16" s="58">
        <v>0.4</v>
      </c>
      <c r="M16" s="58">
        <v>0.6</v>
      </c>
      <c r="N16" s="58">
        <v>0.7</v>
      </c>
      <c r="O16" s="58">
        <v>0.7</v>
      </c>
      <c r="P16" s="58">
        <v>0.6</v>
      </c>
      <c r="Q16" s="58">
        <v>0</v>
      </c>
      <c r="R16" s="58">
        <v>-0.4</v>
      </c>
      <c r="S16" s="58">
        <v>0</v>
      </c>
      <c r="T16" s="58">
        <v>0.2</v>
      </c>
      <c r="U16" s="58">
        <v>0.7</v>
      </c>
      <c r="W16" s="39">
        <f t="shared" si="0"/>
        <v>2019</v>
      </c>
      <c r="X16" s="40">
        <f t="shared" si="1"/>
        <v>43496</v>
      </c>
      <c r="Y16" s="40">
        <f t="shared" si="1"/>
        <v>43524</v>
      </c>
      <c r="Z16" s="40">
        <f t="shared" si="1"/>
        <v>43555</v>
      </c>
      <c r="AA16" s="40">
        <f t="shared" si="1"/>
        <v>43585</v>
      </c>
      <c r="AB16" s="40">
        <f t="shared" si="1"/>
        <v>43616</v>
      </c>
      <c r="AC16" s="40">
        <f t="shared" si="1"/>
        <v>43646</v>
      </c>
      <c r="AD16" s="40">
        <f t="shared" si="1"/>
        <v>43677</v>
      </c>
      <c r="AE16" s="40">
        <f t="shared" si="1"/>
        <v>43708</v>
      </c>
      <c r="AF16" s="40">
        <f t="shared" si="1"/>
        <v>43738</v>
      </c>
      <c r="AG16" s="40">
        <f t="shared" si="1"/>
        <v>43769</v>
      </c>
      <c r="AH16" s="40">
        <f t="shared" si="1"/>
        <v>43799</v>
      </c>
      <c r="AI16" s="40">
        <f t="shared" si="1"/>
        <v>43830</v>
      </c>
      <c r="AK16" s="39">
        <f t="shared" si="2"/>
        <v>2019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8">
        <v>2020</v>
      </c>
      <c r="J17" s="58">
        <v>1.2</v>
      </c>
      <c r="K17" s="58">
        <v>0.9</v>
      </c>
      <c r="L17" s="58">
        <v>0.8</v>
      </c>
      <c r="M17" s="58">
        <v>0</v>
      </c>
      <c r="N17" s="58">
        <v>-0.2</v>
      </c>
      <c r="O17" s="58">
        <v>0.2</v>
      </c>
      <c r="P17" s="58">
        <v>0.4</v>
      </c>
      <c r="Q17" s="58">
        <v>0.8</v>
      </c>
      <c r="R17" s="58">
        <v>0.9</v>
      </c>
      <c r="S17" s="58">
        <v>0.1</v>
      </c>
      <c r="T17" s="58">
        <v>0.6</v>
      </c>
      <c r="U17" s="58">
        <v>0.6</v>
      </c>
      <c r="W17" s="39">
        <f t="shared" si="0"/>
        <v>2020</v>
      </c>
      <c r="X17" s="40">
        <f t="shared" si="1"/>
        <v>43861</v>
      </c>
      <c r="Y17" s="40">
        <f t="shared" si="1"/>
        <v>43890</v>
      </c>
      <c r="Z17" s="40">
        <f t="shared" si="1"/>
        <v>43921</v>
      </c>
      <c r="AA17" s="40">
        <f t="shared" si="1"/>
        <v>43951</v>
      </c>
      <c r="AB17" s="40">
        <f t="shared" si="1"/>
        <v>43982</v>
      </c>
      <c r="AC17" s="40">
        <f t="shared" si="1"/>
        <v>44012</v>
      </c>
      <c r="AD17" s="40">
        <f t="shared" si="1"/>
        <v>44043</v>
      </c>
      <c r="AE17" s="40">
        <f t="shared" si="1"/>
        <v>44074</v>
      </c>
      <c r="AF17" s="40">
        <f t="shared" si="1"/>
        <v>44104</v>
      </c>
      <c r="AG17" s="40">
        <f t="shared" si="1"/>
        <v>44135</v>
      </c>
      <c r="AH17" s="40">
        <f t="shared" si="1"/>
        <v>44165</v>
      </c>
      <c r="AI17" s="40">
        <f t="shared" si="1"/>
        <v>44196</v>
      </c>
      <c r="AK17" s="39">
        <f t="shared" si="2"/>
        <v>2020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8">
        <v>2021</v>
      </c>
      <c r="J18" s="58">
        <v>0.9</v>
      </c>
      <c r="K18" s="58">
        <v>1.4</v>
      </c>
      <c r="L18" s="58">
        <v>1.9</v>
      </c>
      <c r="M18" s="58">
        <v>2.5</v>
      </c>
      <c r="N18" s="58">
        <v>2.6</v>
      </c>
      <c r="O18" s="58">
        <v>2.2999999999999998</v>
      </c>
      <c r="P18" s="58">
        <v>2.6</v>
      </c>
      <c r="Q18" s="58">
        <v>2.6</v>
      </c>
      <c r="R18" s="58">
        <v>2.4</v>
      </c>
      <c r="S18" s="58">
        <v>3.2</v>
      </c>
      <c r="T18" s="58">
        <v>3.8</v>
      </c>
      <c r="U18" s="58">
        <v>3.7</v>
      </c>
      <c r="W18" s="39">
        <f t="shared" si="0"/>
        <v>2021</v>
      </c>
      <c r="X18" s="40">
        <f t="shared" si="1"/>
        <v>44227</v>
      </c>
      <c r="Y18" s="40">
        <f t="shared" si="1"/>
        <v>44255</v>
      </c>
      <c r="Z18" s="40">
        <f t="shared" si="1"/>
        <v>44286</v>
      </c>
      <c r="AA18" s="40">
        <f t="shared" si="1"/>
        <v>44316</v>
      </c>
      <c r="AB18" s="40">
        <f t="shared" si="1"/>
        <v>44347</v>
      </c>
      <c r="AC18" s="40">
        <f t="shared" si="1"/>
        <v>44377</v>
      </c>
      <c r="AD18" s="40">
        <f t="shared" si="1"/>
        <v>44408</v>
      </c>
      <c r="AE18" s="40">
        <f t="shared" si="1"/>
        <v>44439</v>
      </c>
      <c r="AF18" s="40">
        <f t="shared" si="1"/>
        <v>44469</v>
      </c>
      <c r="AG18" s="40">
        <f t="shared" si="1"/>
        <v>44500</v>
      </c>
      <c r="AH18" s="40">
        <f t="shared" si="1"/>
        <v>44530</v>
      </c>
      <c r="AI18" s="40">
        <f t="shared" si="1"/>
        <v>44561</v>
      </c>
      <c r="AK18" s="39">
        <f t="shared" si="2"/>
        <v>2021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8">
        <v>2022</v>
      </c>
      <c r="J19" s="58">
        <v>3.8</v>
      </c>
      <c r="K19" s="58">
        <v>3.8</v>
      </c>
      <c r="L19" s="58">
        <v>4.2</v>
      </c>
      <c r="M19" s="58">
        <v>4.8</v>
      </c>
      <c r="N19" s="58">
        <v>5.3</v>
      </c>
      <c r="O19" s="58">
        <v>6</v>
      </c>
      <c r="P19" s="58">
        <v>6.3</v>
      </c>
      <c r="Q19" s="58">
        <v>5.7</v>
      </c>
      <c r="R19" s="58">
        <v>5.5</v>
      </c>
      <c r="S19" s="58">
        <v>5.6</v>
      </c>
      <c r="T19" s="58">
        <v>5</v>
      </c>
      <c r="U19" s="58">
        <v>5</v>
      </c>
      <c r="W19" s="39">
        <f t="shared" si="0"/>
        <v>2022</v>
      </c>
      <c r="X19" s="40">
        <f t="shared" si="1"/>
        <v>44592</v>
      </c>
      <c r="Y19" s="40">
        <f t="shared" si="1"/>
        <v>44620</v>
      </c>
      <c r="Z19" s="40">
        <f t="shared" si="1"/>
        <v>44651</v>
      </c>
      <c r="AA19" s="40">
        <f t="shared" si="1"/>
        <v>44681</v>
      </c>
      <c r="AB19" s="40">
        <f t="shared" si="1"/>
        <v>44712</v>
      </c>
      <c r="AC19" s="40">
        <f t="shared" si="1"/>
        <v>44742</v>
      </c>
      <c r="AD19" s="40">
        <f t="shared" si="1"/>
        <v>44773</v>
      </c>
      <c r="AE19" s="40">
        <f t="shared" si="1"/>
        <v>44804</v>
      </c>
      <c r="AF19" s="40">
        <f t="shared" si="1"/>
        <v>44834</v>
      </c>
      <c r="AG19" s="40">
        <f t="shared" si="1"/>
        <v>44865</v>
      </c>
      <c r="AH19" s="40">
        <f t="shared" si="1"/>
        <v>44895</v>
      </c>
      <c r="AI19" s="40">
        <f t="shared" si="1"/>
        <v>44926</v>
      </c>
      <c r="AK19" s="39">
        <f t="shared" si="2"/>
        <v>2022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8">
        <v>2023</v>
      </c>
      <c r="J20" s="58">
        <v>5</v>
      </c>
      <c r="K20" s="58">
        <v>4.7</v>
      </c>
      <c r="L20" s="58">
        <v>4.2</v>
      </c>
      <c r="M20" s="58">
        <v>3.7</v>
      </c>
      <c r="N20" s="58">
        <v>3.4</v>
      </c>
      <c r="O20" s="58">
        <v>2.7</v>
      </c>
      <c r="P20" s="58">
        <v>2.4</v>
      </c>
      <c r="Q20" s="58">
        <v>3.4</v>
      </c>
      <c r="R20" s="58">
        <v>3.7</v>
      </c>
      <c r="S20" s="58">
        <v>3.8</v>
      </c>
      <c r="T20" s="58">
        <v>3.3</v>
      </c>
      <c r="U20" s="58">
        <v>3.2</v>
      </c>
      <c r="W20" s="39">
        <f>W21-1</f>
        <v>2023</v>
      </c>
      <c r="X20" s="40">
        <f t="shared" si="1"/>
        <v>44957</v>
      </c>
      <c r="Y20" s="40">
        <f t="shared" si="1"/>
        <v>44985</v>
      </c>
      <c r="Z20" s="40">
        <f t="shared" si="1"/>
        <v>45016</v>
      </c>
      <c r="AA20" s="40">
        <f t="shared" si="1"/>
        <v>45046</v>
      </c>
      <c r="AB20" s="40">
        <f t="shared" si="1"/>
        <v>45077</v>
      </c>
      <c r="AC20" s="40">
        <f t="shared" si="1"/>
        <v>45107</v>
      </c>
      <c r="AD20" s="40">
        <f t="shared" si="1"/>
        <v>45138</v>
      </c>
      <c r="AE20" s="40">
        <f t="shared" si="1"/>
        <v>45169</v>
      </c>
      <c r="AF20" s="40">
        <f t="shared" si="1"/>
        <v>45199</v>
      </c>
      <c r="AG20" s="40">
        <f t="shared" si="1"/>
        <v>45230</v>
      </c>
      <c r="AH20" s="40">
        <f t="shared" si="1"/>
        <v>45260</v>
      </c>
      <c r="AI20" s="40">
        <f t="shared" si="1"/>
        <v>45291</v>
      </c>
      <c r="AK20" s="39">
        <f>AK21-1</f>
        <v>2023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2024</v>
      </c>
      <c r="J21" s="58">
        <v>2.8</v>
      </c>
      <c r="K21" s="58" t="s">
        <v>225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2024</v>
      </c>
      <c r="X21" s="40">
        <f t="shared" si="1"/>
        <v>45322</v>
      </c>
      <c r="Y21" s="40" t="str">
        <f t="shared" si="1"/>
        <v/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2024</v>
      </c>
      <c r="AL21" s="40" t="str">
        <f t="shared" si="3"/>
        <v>MAX</v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8">
        <v>2014</v>
      </c>
      <c r="J24" s="58" t="s">
        <v>225</v>
      </c>
      <c r="K24" s="58">
        <v>-0.9</v>
      </c>
      <c r="L24" s="58">
        <v>-0.5</v>
      </c>
      <c r="M24" s="58">
        <v>-0.3</v>
      </c>
      <c r="N24" s="58">
        <v>0</v>
      </c>
      <c r="O24" s="58">
        <v>0.1</v>
      </c>
      <c r="P24" s="58">
        <v>0.2</v>
      </c>
      <c r="Q24" s="58">
        <v>-0.2</v>
      </c>
      <c r="R24" s="58">
        <v>-0.5</v>
      </c>
      <c r="S24" s="58">
        <v>-0.8</v>
      </c>
      <c r="T24" s="58">
        <v>-0.9</v>
      </c>
      <c r="U24" s="58">
        <v>-2.1</v>
      </c>
      <c r="W24" s="39">
        <f t="shared" ref="W24:W32" si="4">W25-1</f>
        <v>2014</v>
      </c>
      <c r="X24" s="40" t="str">
        <f t="shared" ref="X24:AI34" si="5">X11</f>
        <v/>
      </c>
      <c r="Y24" s="40">
        <f t="shared" si="5"/>
        <v>41698</v>
      </c>
      <c r="Z24" s="40">
        <f t="shared" si="5"/>
        <v>41729</v>
      </c>
      <c r="AA24" s="40">
        <f t="shared" si="5"/>
        <v>41759</v>
      </c>
      <c r="AB24" s="40">
        <f t="shared" si="5"/>
        <v>41790</v>
      </c>
      <c r="AC24" s="40">
        <f t="shared" si="5"/>
        <v>41820</v>
      </c>
      <c r="AD24" s="40">
        <f t="shared" si="5"/>
        <v>41851</v>
      </c>
      <c r="AE24" s="40">
        <f t="shared" si="5"/>
        <v>41882</v>
      </c>
      <c r="AF24" s="40">
        <f t="shared" si="5"/>
        <v>41912</v>
      </c>
      <c r="AG24" s="40">
        <f t="shared" si="5"/>
        <v>41943</v>
      </c>
      <c r="AH24" s="40">
        <f t="shared" si="5"/>
        <v>41973</v>
      </c>
      <c r="AI24" s="40">
        <f t="shared" si="5"/>
        <v>42004</v>
      </c>
      <c r="AK24" s="39">
        <f t="shared" ref="AK24:AK32" si="6">AK25-1</f>
        <v>2014</v>
      </c>
      <c r="AL24" s="40" t="str">
        <f t="shared" ref="AL24:AW34" si="7">AL11</f>
        <v/>
      </c>
      <c r="AM24" s="40" t="str">
        <f t="shared" si="7"/>
        <v>MIN</v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8">
        <v>2015</v>
      </c>
      <c r="J25" s="58">
        <v>-3.6</v>
      </c>
      <c r="K25" s="58">
        <v>-3.6</v>
      </c>
      <c r="L25" s="58">
        <v>-3.7</v>
      </c>
      <c r="M25" s="58">
        <v>-3.6</v>
      </c>
      <c r="N25" s="58">
        <v>-3.5</v>
      </c>
      <c r="O25" s="58">
        <v>-3.6</v>
      </c>
      <c r="P25" s="58">
        <v>-4.0999999999999996</v>
      </c>
      <c r="Q25" s="58">
        <v>-4.5</v>
      </c>
      <c r="R25" s="58">
        <v>-4.5999999999999996</v>
      </c>
      <c r="S25" s="58">
        <v>-4.5999999999999996</v>
      </c>
      <c r="T25" s="58">
        <v>-4.7</v>
      </c>
      <c r="U25" s="58">
        <v>-4</v>
      </c>
      <c r="W25" s="39">
        <f t="shared" si="4"/>
        <v>2015</v>
      </c>
      <c r="X25" s="40">
        <f t="shared" si="5"/>
        <v>42035</v>
      </c>
      <c r="Y25" s="40">
        <f t="shared" si="5"/>
        <v>42063</v>
      </c>
      <c r="Z25" s="40">
        <f t="shared" si="5"/>
        <v>42094</v>
      </c>
      <c r="AA25" s="40">
        <f t="shared" si="5"/>
        <v>42124</v>
      </c>
      <c r="AB25" s="40">
        <f t="shared" si="5"/>
        <v>42155</v>
      </c>
      <c r="AC25" s="40">
        <f t="shared" si="5"/>
        <v>42185</v>
      </c>
      <c r="AD25" s="40">
        <f t="shared" si="5"/>
        <v>42216</v>
      </c>
      <c r="AE25" s="40">
        <f t="shared" si="5"/>
        <v>42247</v>
      </c>
      <c r="AF25" s="40">
        <f t="shared" si="5"/>
        <v>42277</v>
      </c>
      <c r="AG25" s="40">
        <f t="shared" si="5"/>
        <v>42308</v>
      </c>
      <c r="AH25" s="40">
        <f t="shared" si="5"/>
        <v>42338</v>
      </c>
      <c r="AI25" s="40">
        <f t="shared" si="5"/>
        <v>42369</v>
      </c>
      <c r="AK25" s="39">
        <f t="shared" si="6"/>
        <v>2015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8">
        <v>2016</v>
      </c>
      <c r="J26" s="58">
        <v>-3.3</v>
      </c>
      <c r="K26" s="58">
        <v>-3.4</v>
      </c>
      <c r="L26" s="58">
        <v>-3.3</v>
      </c>
      <c r="M26" s="58">
        <v>-3</v>
      </c>
      <c r="N26" s="58">
        <v>-3</v>
      </c>
      <c r="O26" s="58">
        <v>-2.7</v>
      </c>
      <c r="P26" s="58">
        <v>-2.5</v>
      </c>
      <c r="Q26" s="58">
        <v>-1.8</v>
      </c>
      <c r="R26" s="58">
        <v>-1.1000000000000001</v>
      </c>
      <c r="S26" s="58">
        <v>-0.1</v>
      </c>
      <c r="T26" s="58">
        <v>0.7</v>
      </c>
      <c r="U26" s="58">
        <v>1.8</v>
      </c>
      <c r="W26" s="39">
        <f t="shared" si="4"/>
        <v>2016</v>
      </c>
      <c r="X26" s="40">
        <f t="shared" si="5"/>
        <v>42400</v>
      </c>
      <c r="Y26" s="40">
        <f t="shared" si="5"/>
        <v>42429</v>
      </c>
      <c r="Z26" s="40">
        <f t="shared" si="5"/>
        <v>42460</v>
      </c>
      <c r="AA26" s="40">
        <f t="shared" si="5"/>
        <v>42490</v>
      </c>
      <c r="AB26" s="40">
        <f t="shared" si="5"/>
        <v>42521</v>
      </c>
      <c r="AC26" s="40">
        <f t="shared" si="5"/>
        <v>42551</v>
      </c>
      <c r="AD26" s="40">
        <f t="shared" si="5"/>
        <v>42582</v>
      </c>
      <c r="AE26" s="40">
        <f t="shared" si="5"/>
        <v>42613</v>
      </c>
      <c r="AF26" s="40">
        <f t="shared" si="5"/>
        <v>42643</v>
      </c>
      <c r="AG26" s="40">
        <f t="shared" si="5"/>
        <v>42674</v>
      </c>
      <c r="AH26" s="40">
        <f t="shared" si="5"/>
        <v>42704</v>
      </c>
      <c r="AI26" s="40">
        <f t="shared" si="5"/>
        <v>42735</v>
      </c>
      <c r="AK26" s="39">
        <f t="shared" si="6"/>
        <v>2016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8">
        <v>2017</v>
      </c>
      <c r="J27" s="58">
        <v>3.9</v>
      </c>
      <c r="K27" s="58">
        <v>4.3</v>
      </c>
      <c r="L27" s="58">
        <v>4.3</v>
      </c>
      <c r="M27" s="58">
        <v>3.8</v>
      </c>
      <c r="N27" s="58">
        <v>3.4</v>
      </c>
      <c r="O27" s="58">
        <v>2.8</v>
      </c>
      <c r="P27" s="58">
        <v>3</v>
      </c>
      <c r="Q27" s="58">
        <v>3.3</v>
      </c>
      <c r="R27" s="58">
        <v>3.8</v>
      </c>
      <c r="S27" s="58">
        <v>3.6</v>
      </c>
      <c r="T27" s="58">
        <v>3</v>
      </c>
      <c r="U27" s="58">
        <v>2.2000000000000002</v>
      </c>
      <c r="W27" s="39">
        <f t="shared" si="4"/>
        <v>2017</v>
      </c>
      <c r="X27" s="40">
        <f t="shared" si="5"/>
        <v>42766</v>
      </c>
      <c r="Y27" s="40">
        <f t="shared" si="5"/>
        <v>42794</v>
      </c>
      <c r="Z27" s="40">
        <f t="shared" si="5"/>
        <v>42825</v>
      </c>
      <c r="AA27" s="40">
        <f t="shared" si="5"/>
        <v>42855</v>
      </c>
      <c r="AB27" s="40">
        <f t="shared" si="5"/>
        <v>42886</v>
      </c>
      <c r="AC27" s="40">
        <f t="shared" si="5"/>
        <v>42916</v>
      </c>
      <c r="AD27" s="40">
        <f t="shared" si="5"/>
        <v>42947</v>
      </c>
      <c r="AE27" s="40">
        <f t="shared" si="5"/>
        <v>42978</v>
      </c>
      <c r="AF27" s="40">
        <f t="shared" si="5"/>
        <v>43008</v>
      </c>
      <c r="AG27" s="40">
        <f t="shared" si="5"/>
        <v>43039</v>
      </c>
      <c r="AH27" s="40">
        <f t="shared" si="5"/>
        <v>43069</v>
      </c>
      <c r="AI27" s="40">
        <f t="shared" si="5"/>
        <v>43100</v>
      </c>
      <c r="AK27" s="39">
        <f t="shared" si="6"/>
        <v>2017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8">
        <v>2018</v>
      </c>
      <c r="J28" s="58">
        <v>1.2</v>
      </c>
      <c r="K28" s="58">
        <v>1.2</v>
      </c>
      <c r="L28" s="58">
        <v>1.2</v>
      </c>
      <c r="M28" s="58">
        <v>1.5</v>
      </c>
      <c r="N28" s="58">
        <v>2.1</v>
      </c>
      <c r="O28" s="58">
        <v>2.5</v>
      </c>
      <c r="P28" s="58">
        <v>2.9</v>
      </c>
      <c r="Q28" s="58">
        <v>2.9</v>
      </c>
      <c r="R28" s="58">
        <v>2.5</v>
      </c>
      <c r="S28" s="58">
        <v>2.1</v>
      </c>
      <c r="T28" s="58">
        <v>1.5</v>
      </c>
      <c r="U28" s="58">
        <v>0.9</v>
      </c>
      <c r="W28" s="39">
        <f t="shared" si="4"/>
        <v>2018</v>
      </c>
      <c r="X28" s="40">
        <f t="shared" si="5"/>
        <v>43131</v>
      </c>
      <c r="Y28" s="40">
        <f t="shared" si="5"/>
        <v>43159</v>
      </c>
      <c r="Z28" s="40">
        <f t="shared" si="5"/>
        <v>43190</v>
      </c>
      <c r="AA28" s="40">
        <f t="shared" si="5"/>
        <v>43220</v>
      </c>
      <c r="AB28" s="40">
        <f t="shared" si="5"/>
        <v>43251</v>
      </c>
      <c r="AC28" s="40">
        <f t="shared" si="5"/>
        <v>43281</v>
      </c>
      <c r="AD28" s="40">
        <f t="shared" si="5"/>
        <v>43312</v>
      </c>
      <c r="AE28" s="40">
        <f t="shared" si="5"/>
        <v>43343</v>
      </c>
      <c r="AF28" s="40">
        <f t="shared" si="5"/>
        <v>43373</v>
      </c>
      <c r="AG28" s="40">
        <f t="shared" si="5"/>
        <v>43404</v>
      </c>
      <c r="AH28" s="40">
        <f t="shared" si="5"/>
        <v>43434</v>
      </c>
      <c r="AI28" s="40">
        <f t="shared" si="5"/>
        <v>43465</v>
      </c>
      <c r="AK28" s="39">
        <f t="shared" si="6"/>
        <v>2018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8">
        <v>2019</v>
      </c>
      <c r="J29" s="58">
        <v>0.4</v>
      </c>
      <c r="K29" s="58">
        <v>0.1</v>
      </c>
      <c r="L29" s="58">
        <v>0.5</v>
      </c>
      <c r="M29" s="58">
        <v>0.6</v>
      </c>
      <c r="N29" s="58">
        <v>0.4</v>
      </c>
      <c r="O29" s="58">
        <v>0.1</v>
      </c>
      <c r="P29" s="58">
        <v>-0.3</v>
      </c>
      <c r="Q29" s="58">
        <v>-0.6</v>
      </c>
      <c r="R29" s="58">
        <v>-0.8</v>
      </c>
      <c r="S29" s="58">
        <v>-0.7</v>
      </c>
      <c r="T29" s="58">
        <v>-0.1</v>
      </c>
      <c r="U29" s="58">
        <v>0.7</v>
      </c>
      <c r="W29" s="39">
        <f t="shared" si="4"/>
        <v>2019</v>
      </c>
      <c r="X29" s="40">
        <f t="shared" si="5"/>
        <v>43496</v>
      </c>
      <c r="Y29" s="40">
        <f t="shared" si="5"/>
        <v>43524</v>
      </c>
      <c r="Z29" s="40">
        <f t="shared" si="5"/>
        <v>43555</v>
      </c>
      <c r="AA29" s="40">
        <f t="shared" si="5"/>
        <v>43585</v>
      </c>
      <c r="AB29" s="40">
        <f t="shared" si="5"/>
        <v>43616</v>
      </c>
      <c r="AC29" s="40">
        <f t="shared" si="5"/>
        <v>43646</v>
      </c>
      <c r="AD29" s="40">
        <f t="shared" si="5"/>
        <v>43677</v>
      </c>
      <c r="AE29" s="40">
        <f t="shared" si="5"/>
        <v>43708</v>
      </c>
      <c r="AF29" s="40">
        <f t="shared" si="5"/>
        <v>43738</v>
      </c>
      <c r="AG29" s="40">
        <f t="shared" si="5"/>
        <v>43769</v>
      </c>
      <c r="AH29" s="40">
        <f t="shared" si="5"/>
        <v>43799</v>
      </c>
      <c r="AI29" s="40">
        <f t="shared" si="5"/>
        <v>43830</v>
      </c>
      <c r="AK29" s="39">
        <f t="shared" si="6"/>
        <v>2019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8">
        <v>2020</v>
      </c>
      <c r="J30" s="58">
        <v>1.1000000000000001</v>
      </c>
      <c r="K30" s="58">
        <v>0.7</v>
      </c>
      <c r="L30" s="58">
        <v>-0.5</v>
      </c>
      <c r="M30" s="58">
        <v>-1.7</v>
      </c>
      <c r="N30" s="58">
        <v>-1.8</v>
      </c>
      <c r="O30" s="58">
        <v>-1</v>
      </c>
      <c r="P30" s="58">
        <v>-0.8</v>
      </c>
      <c r="Q30" s="58">
        <v>-0.5</v>
      </c>
      <c r="R30" s="58">
        <v>-0.4</v>
      </c>
      <c r="S30" s="58">
        <v>-0.5</v>
      </c>
      <c r="T30" s="58">
        <v>-0.3</v>
      </c>
      <c r="U30" s="58">
        <v>0.2</v>
      </c>
      <c r="W30" s="39">
        <f t="shared" si="4"/>
        <v>2020</v>
      </c>
      <c r="X30" s="40">
        <f t="shared" si="5"/>
        <v>43861</v>
      </c>
      <c r="Y30" s="40">
        <f t="shared" si="5"/>
        <v>43890</v>
      </c>
      <c r="Z30" s="40">
        <f t="shared" si="5"/>
        <v>43921</v>
      </c>
      <c r="AA30" s="40">
        <f t="shared" si="5"/>
        <v>43951</v>
      </c>
      <c r="AB30" s="40">
        <f t="shared" si="5"/>
        <v>43982</v>
      </c>
      <c r="AC30" s="40">
        <f t="shared" si="5"/>
        <v>44012</v>
      </c>
      <c r="AD30" s="40">
        <f t="shared" si="5"/>
        <v>44043</v>
      </c>
      <c r="AE30" s="40">
        <f t="shared" si="5"/>
        <v>44074</v>
      </c>
      <c r="AF30" s="40">
        <f t="shared" si="5"/>
        <v>44104</v>
      </c>
      <c r="AG30" s="40">
        <f t="shared" si="5"/>
        <v>44135</v>
      </c>
      <c r="AH30" s="40">
        <f t="shared" si="5"/>
        <v>44165</v>
      </c>
      <c r="AI30" s="40">
        <f t="shared" si="5"/>
        <v>44196</v>
      </c>
      <c r="AK30" s="39">
        <f t="shared" si="6"/>
        <v>2020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8">
        <v>2021</v>
      </c>
      <c r="J31" s="58">
        <v>0.9</v>
      </c>
      <c r="K31" s="58">
        <v>2.1</v>
      </c>
      <c r="L31" s="58">
        <v>4.0999999999999996</v>
      </c>
      <c r="M31" s="58">
        <v>6</v>
      </c>
      <c r="N31" s="58">
        <v>6.6</v>
      </c>
      <c r="O31" s="58">
        <v>6.6</v>
      </c>
      <c r="P31" s="58">
        <v>7.4</v>
      </c>
      <c r="Q31" s="58">
        <v>7.4</v>
      </c>
      <c r="R31" s="58">
        <v>7.6</v>
      </c>
      <c r="S31" s="58">
        <v>9.1</v>
      </c>
      <c r="T31" s="58">
        <v>9.8000000000000007</v>
      </c>
      <c r="U31" s="58">
        <v>9</v>
      </c>
      <c r="W31" s="39">
        <f t="shared" si="4"/>
        <v>2021</v>
      </c>
      <c r="X31" s="40">
        <f t="shared" si="5"/>
        <v>44227</v>
      </c>
      <c r="Y31" s="40">
        <f t="shared" si="5"/>
        <v>44255</v>
      </c>
      <c r="Z31" s="40">
        <f t="shared" si="5"/>
        <v>44286</v>
      </c>
      <c r="AA31" s="40">
        <f t="shared" si="5"/>
        <v>44316</v>
      </c>
      <c r="AB31" s="40">
        <f t="shared" si="5"/>
        <v>44347</v>
      </c>
      <c r="AC31" s="40">
        <f t="shared" si="5"/>
        <v>44377</v>
      </c>
      <c r="AD31" s="40">
        <f t="shared" si="5"/>
        <v>44408</v>
      </c>
      <c r="AE31" s="40">
        <f t="shared" si="5"/>
        <v>44439</v>
      </c>
      <c r="AF31" s="40">
        <f t="shared" si="5"/>
        <v>44469</v>
      </c>
      <c r="AG31" s="40">
        <f t="shared" si="5"/>
        <v>44500</v>
      </c>
      <c r="AH31" s="40">
        <f t="shared" si="5"/>
        <v>44530</v>
      </c>
      <c r="AI31" s="40">
        <f t="shared" si="5"/>
        <v>44561</v>
      </c>
      <c r="AK31" s="39">
        <f t="shared" si="6"/>
        <v>2021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8">
        <v>2022</v>
      </c>
      <c r="J32" s="58">
        <v>8.9</v>
      </c>
      <c r="K32" s="58">
        <v>8.5</v>
      </c>
      <c r="L32" s="58">
        <v>9</v>
      </c>
      <c r="M32" s="58">
        <v>9.6999999999999993</v>
      </c>
      <c r="N32" s="58">
        <v>9.9</v>
      </c>
      <c r="O32" s="58">
        <v>10</v>
      </c>
      <c r="P32" s="58">
        <v>9.1999999999999993</v>
      </c>
      <c r="Q32" s="58">
        <v>8.1999999999999993</v>
      </c>
      <c r="R32" s="58">
        <v>7.9</v>
      </c>
      <c r="S32" s="58">
        <v>7.3</v>
      </c>
      <c r="T32" s="58">
        <v>6.2</v>
      </c>
      <c r="U32" s="58">
        <v>5.8</v>
      </c>
      <c r="W32" s="39">
        <f t="shared" si="4"/>
        <v>2022</v>
      </c>
      <c r="X32" s="40">
        <f t="shared" si="5"/>
        <v>44592</v>
      </c>
      <c r="Y32" s="40">
        <f t="shared" si="5"/>
        <v>44620</v>
      </c>
      <c r="Z32" s="40">
        <f t="shared" si="5"/>
        <v>44651</v>
      </c>
      <c r="AA32" s="40">
        <f t="shared" si="5"/>
        <v>44681</v>
      </c>
      <c r="AB32" s="40">
        <f t="shared" si="5"/>
        <v>44712</v>
      </c>
      <c r="AC32" s="40">
        <f t="shared" si="5"/>
        <v>44742</v>
      </c>
      <c r="AD32" s="40">
        <f t="shared" si="5"/>
        <v>44773</v>
      </c>
      <c r="AE32" s="40">
        <f t="shared" si="5"/>
        <v>44804</v>
      </c>
      <c r="AF32" s="40">
        <f t="shared" si="5"/>
        <v>44834</v>
      </c>
      <c r="AG32" s="40">
        <f t="shared" si="5"/>
        <v>44865</v>
      </c>
      <c r="AH32" s="40">
        <f t="shared" si="5"/>
        <v>44895</v>
      </c>
      <c r="AI32" s="40">
        <f t="shared" si="5"/>
        <v>44926</v>
      </c>
      <c r="AK32" s="39">
        <f t="shared" si="6"/>
        <v>2022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8">
        <v>2023</v>
      </c>
      <c r="J33" s="58">
        <v>5.0999999999999996</v>
      </c>
      <c r="K33" s="58">
        <v>4.8</v>
      </c>
      <c r="L33" s="58">
        <v>3.3</v>
      </c>
      <c r="M33" s="58">
        <v>1.6</v>
      </c>
      <c r="N33" s="58">
        <v>0.5</v>
      </c>
      <c r="O33" s="58">
        <v>-0.3</v>
      </c>
      <c r="P33" s="58">
        <v>-0.3</v>
      </c>
      <c r="Q33" s="58">
        <v>1</v>
      </c>
      <c r="R33" s="58">
        <v>1.4</v>
      </c>
      <c r="S33" s="58">
        <v>0.7</v>
      </c>
      <c r="T33" s="58">
        <v>0.6</v>
      </c>
      <c r="U33" s="58">
        <v>1.2</v>
      </c>
      <c r="W33" s="39">
        <f>W34-1</f>
        <v>2023</v>
      </c>
      <c r="X33" s="40">
        <f t="shared" si="5"/>
        <v>44957</v>
      </c>
      <c r="Y33" s="40">
        <f t="shared" si="5"/>
        <v>44985</v>
      </c>
      <c r="Z33" s="40">
        <f t="shared" si="5"/>
        <v>45016</v>
      </c>
      <c r="AA33" s="40">
        <f t="shared" si="5"/>
        <v>45046</v>
      </c>
      <c r="AB33" s="40">
        <f t="shared" si="5"/>
        <v>45077</v>
      </c>
      <c r="AC33" s="40">
        <f t="shared" si="5"/>
        <v>45107</v>
      </c>
      <c r="AD33" s="40">
        <f t="shared" si="5"/>
        <v>45138</v>
      </c>
      <c r="AE33" s="40">
        <f t="shared" si="5"/>
        <v>45169</v>
      </c>
      <c r="AF33" s="40">
        <f t="shared" si="5"/>
        <v>45199</v>
      </c>
      <c r="AG33" s="40">
        <f t="shared" si="5"/>
        <v>45230</v>
      </c>
      <c r="AH33" s="40">
        <f t="shared" si="5"/>
        <v>45260</v>
      </c>
      <c r="AI33" s="40">
        <f t="shared" si="5"/>
        <v>45291</v>
      </c>
      <c r="AK33" s="39">
        <f>AK34-1</f>
        <v>2023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2024</v>
      </c>
      <c r="J34" s="58">
        <v>1.3</v>
      </c>
      <c r="K34" s="58" t="s">
        <v>225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2024</v>
      </c>
      <c r="X34" s="40">
        <f t="shared" si="5"/>
        <v>45322</v>
      </c>
      <c r="Y34" s="40" t="str">
        <f t="shared" si="5"/>
        <v/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2024</v>
      </c>
      <c r="AL34" s="40" t="str">
        <f t="shared" si="7"/>
        <v>MAX</v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8">
        <v>2014</v>
      </c>
      <c r="J37" s="58" t="s">
        <v>225</v>
      </c>
      <c r="K37" s="58">
        <v>0.9</v>
      </c>
      <c r="L37" s="58">
        <v>0.8</v>
      </c>
      <c r="M37" s="58">
        <v>1</v>
      </c>
      <c r="N37" s="58">
        <v>1</v>
      </c>
      <c r="O37" s="58">
        <v>0.9</v>
      </c>
      <c r="P37" s="58">
        <v>0.9</v>
      </c>
      <c r="Q37" s="58">
        <v>0.7</v>
      </c>
      <c r="R37" s="58">
        <v>0.6</v>
      </c>
      <c r="S37" s="58">
        <v>0.6</v>
      </c>
      <c r="T37" s="58">
        <v>0.7</v>
      </c>
      <c r="U37" s="58">
        <v>0.7</v>
      </c>
      <c r="W37" s="39">
        <f t="shared" ref="W37:W45" si="8">W38-1</f>
        <v>2014</v>
      </c>
      <c r="X37" s="40" t="str">
        <f t="shared" ref="X37:AI47" si="9">X11</f>
        <v/>
      </c>
      <c r="Y37" s="40">
        <f t="shared" si="9"/>
        <v>41698</v>
      </c>
      <c r="Z37" s="40">
        <f t="shared" si="9"/>
        <v>41729</v>
      </c>
      <c r="AA37" s="40">
        <f t="shared" si="9"/>
        <v>41759</v>
      </c>
      <c r="AB37" s="40">
        <f t="shared" si="9"/>
        <v>41790</v>
      </c>
      <c r="AC37" s="40">
        <f t="shared" si="9"/>
        <v>41820</v>
      </c>
      <c r="AD37" s="40">
        <f t="shared" si="9"/>
        <v>41851</v>
      </c>
      <c r="AE37" s="40">
        <f t="shared" si="9"/>
        <v>41882</v>
      </c>
      <c r="AF37" s="40">
        <f t="shared" si="9"/>
        <v>41912</v>
      </c>
      <c r="AG37" s="40">
        <f t="shared" si="9"/>
        <v>41943</v>
      </c>
      <c r="AH37" s="40">
        <f t="shared" si="9"/>
        <v>41973</v>
      </c>
      <c r="AI37" s="40">
        <f t="shared" si="9"/>
        <v>42004</v>
      </c>
      <c r="AK37" s="39">
        <f t="shared" ref="AK37:AK45" si="10">AK38-1</f>
        <v>2014</v>
      </c>
      <c r="AL37" s="40" t="str">
        <f t="shared" ref="AL37:AW47" si="11">AL11</f>
        <v/>
      </c>
      <c r="AM37" s="40" t="str">
        <f t="shared" si="11"/>
        <v>MIN</v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8">
        <v>2015</v>
      </c>
      <c r="J38" s="58">
        <v>0.9</v>
      </c>
      <c r="K38" s="58">
        <v>0.9</v>
      </c>
      <c r="L38" s="58">
        <v>1</v>
      </c>
      <c r="M38" s="58">
        <v>1</v>
      </c>
      <c r="N38" s="58">
        <v>0.9</v>
      </c>
      <c r="O38" s="58">
        <v>1</v>
      </c>
      <c r="P38" s="58">
        <v>0.8</v>
      </c>
      <c r="Q38" s="58">
        <v>0.4</v>
      </c>
      <c r="R38" s="58">
        <v>0.4</v>
      </c>
      <c r="S38" s="58">
        <v>0.4</v>
      </c>
      <c r="T38" s="58">
        <v>0.3</v>
      </c>
      <c r="U38" s="58">
        <v>0.3</v>
      </c>
      <c r="W38" s="39">
        <f t="shared" si="8"/>
        <v>2015</v>
      </c>
      <c r="X38" s="40">
        <f t="shared" si="9"/>
        <v>42035</v>
      </c>
      <c r="Y38" s="40">
        <f t="shared" si="9"/>
        <v>42063</v>
      </c>
      <c r="Z38" s="40">
        <f t="shared" si="9"/>
        <v>42094</v>
      </c>
      <c r="AA38" s="40">
        <f t="shared" si="9"/>
        <v>42124</v>
      </c>
      <c r="AB38" s="40">
        <f t="shared" si="9"/>
        <v>42155</v>
      </c>
      <c r="AC38" s="40">
        <f t="shared" si="9"/>
        <v>42185</v>
      </c>
      <c r="AD38" s="40">
        <f t="shared" si="9"/>
        <v>42216</v>
      </c>
      <c r="AE38" s="40">
        <f t="shared" si="9"/>
        <v>42247</v>
      </c>
      <c r="AF38" s="40">
        <f t="shared" si="9"/>
        <v>42277</v>
      </c>
      <c r="AG38" s="40">
        <f t="shared" si="9"/>
        <v>42308</v>
      </c>
      <c r="AH38" s="40">
        <f t="shared" si="9"/>
        <v>42338</v>
      </c>
      <c r="AI38" s="40">
        <f t="shared" si="9"/>
        <v>42369</v>
      </c>
      <c r="AK38" s="39">
        <f t="shared" si="10"/>
        <v>2015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8">
        <v>2016</v>
      </c>
      <c r="J39" s="58">
        <v>0.3</v>
      </c>
      <c r="K39" s="58">
        <v>0.3</v>
      </c>
      <c r="L39" s="58">
        <v>0.3</v>
      </c>
      <c r="M39" s="58">
        <v>0.3</v>
      </c>
      <c r="N39" s="58">
        <v>0.5</v>
      </c>
      <c r="O39" s="58">
        <v>0.6</v>
      </c>
      <c r="P39" s="58">
        <v>0.6</v>
      </c>
      <c r="Q39" s="58">
        <v>1.2</v>
      </c>
      <c r="R39" s="58">
        <v>1.2</v>
      </c>
      <c r="S39" s="58">
        <v>1.1000000000000001</v>
      </c>
      <c r="T39" s="58">
        <v>1.1000000000000001</v>
      </c>
      <c r="U39" s="58">
        <v>1</v>
      </c>
      <c r="W39" s="39">
        <f t="shared" si="8"/>
        <v>2016</v>
      </c>
      <c r="X39" s="40">
        <f t="shared" si="9"/>
        <v>42400</v>
      </c>
      <c r="Y39" s="40">
        <f t="shared" si="9"/>
        <v>42429</v>
      </c>
      <c r="Z39" s="40">
        <f t="shared" si="9"/>
        <v>42460</v>
      </c>
      <c r="AA39" s="40">
        <f t="shared" si="9"/>
        <v>42490</v>
      </c>
      <c r="AB39" s="40">
        <f t="shared" si="9"/>
        <v>42521</v>
      </c>
      <c r="AC39" s="40">
        <f t="shared" si="9"/>
        <v>42551</v>
      </c>
      <c r="AD39" s="40">
        <f t="shared" si="9"/>
        <v>42582</v>
      </c>
      <c r="AE39" s="40">
        <f t="shared" si="9"/>
        <v>42613</v>
      </c>
      <c r="AF39" s="40">
        <f t="shared" si="9"/>
        <v>42643</v>
      </c>
      <c r="AG39" s="40">
        <f t="shared" si="9"/>
        <v>42674</v>
      </c>
      <c r="AH39" s="40">
        <f t="shared" si="9"/>
        <v>42704</v>
      </c>
      <c r="AI39" s="40">
        <f t="shared" si="9"/>
        <v>42735</v>
      </c>
      <c r="AK39" s="39">
        <f t="shared" si="10"/>
        <v>2016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8">
        <v>2017</v>
      </c>
      <c r="J40" s="58">
        <v>0.9</v>
      </c>
      <c r="K40" s="58">
        <v>0.8</v>
      </c>
      <c r="L40" s="58">
        <v>0.9</v>
      </c>
      <c r="M40" s="58">
        <v>0.9</v>
      </c>
      <c r="N40" s="58">
        <v>0.7</v>
      </c>
      <c r="O40" s="58">
        <v>0.5</v>
      </c>
      <c r="P40" s="58">
        <v>0.7</v>
      </c>
      <c r="Q40" s="58">
        <v>0.5</v>
      </c>
      <c r="R40" s="58">
        <v>0.3</v>
      </c>
      <c r="S40" s="58">
        <v>0.4</v>
      </c>
      <c r="T40" s="58">
        <v>0.3</v>
      </c>
      <c r="U40" s="58">
        <v>0.4</v>
      </c>
      <c r="W40" s="39">
        <f t="shared" si="8"/>
        <v>2017</v>
      </c>
      <c r="X40" s="40">
        <f t="shared" si="9"/>
        <v>42766</v>
      </c>
      <c r="Y40" s="40">
        <f t="shared" si="9"/>
        <v>42794</v>
      </c>
      <c r="Z40" s="40">
        <f t="shared" si="9"/>
        <v>42825</v>
      </c>
      <c r="AA40" s="40">
        <f t="shared" si="9"/>
        <v>42855</v>
      </c>
      <c r="AB40" s="40">
        <f t="shared" si="9"/>
        <v>42886</v>
      </c>
      <c r="AC40" s="40">
        <f t="shared" si="9"/>
        <v>42916</v>
      </c>
      <c r="AD40" s="40">
        <f t="shared" si="9"/>
        <v>42947</v>
      </c>
      <c r="AE40" s="40">
        <f t="shared" si="9"/>
        <v>42978</v>
      </c>
      <c r="AF40" s="40">
        <f t="shared" si="9"/>
        <v>43008</v>
      </c>
      <c r="AG40" s="40">
        <f t="shared" si="9"/>
        <v>43039</v>
      </c>
      <c r="AH40" s="40">
        <f t="shared" si="9"/>
        <v>43069</v>
      </c>
      <c r="AI40" s="40">
        <f t="shared" si="9"/>
        <v>43100</v>
      </c>
      <c r="AK40" s="39">
        <f t="shared" si="10"/>
        <v>2017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8">
        <v>2018</v>
      </c>
      <c r="J41" s="58">
        <v>0.3</v>
      </c>
      <c r="K41" s="58">
        <v>0.3</v>
      </c>
      <c r="L41" s="58">
        <v>0.2</v>
      </c>
      <c r="M41" s="58">
        <v>0.3</v>
      </c>
      <c r="N41" s="58">
        <v>0.3</v>
      </c>
      <c r="O41" s="58">
        <v>0.5</v>
      </c>
      <c r="P41" s="58">
        <v>0.5</v>
      </c>
      <c r="Q41" s="58">
        <v>0.7</v>
      </c>
      <c r="R41" s="58">
        <v>1</v>
      </c>
      <c r="S41" s="58">
        <v>1</v>
      </c>
      <c r="T41" s="58">
        <v>1.1000000000000001</v>
      </c>
      <c r="U41" s="58">
        <v>1.1000000000000001</v>
      </c>
      <c r="W41" s="39">
        <f t="shared" si="8"/>
        <v>2018</v>
      </c>
      <c r="X41" s="40">
        <f t="shared" si="9"/>
        <v>43131</v>
      </c>
      <c r="Y41" s="40">
        <f t="shared" si="9"/>
        <v>43159</v>
      </c>
      <c r="Z41" s="40">
        <f t="shared" si="9"/>
        <v>43190</v>
      </c>
      <c r="AA41" s="40">
        <f t="shared" si="9"/>
        <v>43220</v>
      </c>
      <c r="AB41" s="40">
        <f t="shared" si="9"/>
        <v>43251</v>
      </c>
      <c r="AC41" s="40">
        <f t="shared" si="9"/>
        <v>43281</v>
      </c>
      <c r="AD41" s="40">
        <f t="shared" si="9"/>
        <v>43312</v>
      </c>
      <c r="AE41" s="40">
        <f t="shared" si="9"/>
        <v>43343</v>
      </c>
      <c r="AF41" s="40">
        <f t="shared" si="9"/>
        <v>43373</v>
      </c>
      <c r="AG41" s="40">
        <f t="shared" si="9"/>
        <v>43404</v>
      </c>
      <c r="AH41" s="40">
        <f t="shared" si="9"/>
        <v>43434</v>
      </c>
      <c r="AI41" s="40">
        <f t="shared" si="9"/>
        <v>43465</v>
      </c>
      <c r="AK41" s="39">
        <f t="shared" si="10"/>
        <v>2018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8">
        <v>2019</v>
      </c>
      <c r="J42" s="58">
        <v>1.2</v>
      </c>
      <c r="K42" s="58">
        <v>1.3</v>
      </c>
      <c r="L42" s="58">
        <v>1.3</v>
      </c>
      <c r="M42" s="58">
        <v>1.2</v>
      </c>
      <c r="N42" s="58">
        <v>1.2</v>
      </c>
      <c r="O42" s="58">
        <v>1</v>
      </c>
      <c r="P42" s="58">
        <v>1</v>
      </c>
      <c r="Q42" s="58">
        <v>0.8</v>
      </c>
      <c r="R42" s="58">
        <v>0.8</v>
      </c>
      <c r="S42" s="58">
        <v>0.9</v>
      </c>
      <c r="T42" s="58">
        <v>0.8</v>
      </c>
      <c r="U42" s="58">
        <v>0.8</v>
      </c>
      <c r="W42" s="39">
        <f t="shared" si="8"/>
        <v>2019</v>
      </c>
      <c r="X42" s="40">
        <f t="shared" si="9"/>
        <v>43496</v>
      </c>
      <c r="Y42" s="40">
        <f t="shared" si="9"/>
        <v>43524</v>
      </c>
      <c r="Z42" s="40">
        <f t="shared" si="9"/>
        <v>43555</v>
      </c>
      <c r="AA42" s="40">
        <f t="shared" si="9"/>
        <v>43585</v>
      </c>
      <c r="AB42" s="40">
        <f t="shared" si="9"/>
        <v>43616</v>
      </c>
      <c r="AC42" s="40">
        <f t="shared" si="9"/>
        <v>43646</v>
      </c>
      <c r="AD42" s="40">
        <f t="shared" si="9"/>
        <v>43677</v>
      </c>
      <c r="AE42" s="40">
        <f t="shared" si="9"/>
        <v>43708</v>
      </c>
      <c r="AF42" s="40">
        <f t="shared" si="9"/>
        <v>43738</v>
      </c>
      <c r="AG42" s="40">
        <f t="shared" si="9"/>
        <v>43769</v>
      </c>
      <c r="AH42" s="40">
        <f t="shared" si="9"/>
        <v>43799</v>
      </c>
      <c r="AI42" s="40">
        <f t="shared" si="9"/>
        <v>43830</v>
      </c>
      <c r="AK42" s="39">
        <f t="shared" si="10"/>
        <v>2019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8">
        <v>2020</v>
      </c>
      <c r="J43" s="58">
        <v>1.2</v>
      </c>
      <c r="K43" s="58">
        <v>1.1000000000000001</v>
      </c>
      <c r="L43" s="58">
        <v>1.1000000000000001</v>
      </c>
      <c r="M43" s="58">
        <v>1</v>
      </c>
      <c r="N43" s="58">
        <v>1</v>
      </c>
      <c r="O43" s="58">
        <v>1</v>
      </c>
      <c r="P43" s="58">
        <v>0.9</v>
      </c>
      <c r="Q43" s="58">
        <v>0.9</v>
      </c>
      <c r="R43" s="58">
        <v>0.7</v>
      </c>
      <c r="S43" s="58">
        <v>0.6</v>
      </c>
      <c r="T43" s="58">
        <v>0.6</v>
      </c>
      <c r="U43" s="58">
        <v>0.6</v>
      </c>
      <c r="W43" s="39">
        <f t="shared" si="8"/>
        <v>2020</v>
      </c>
      <c r="X43" s="40">
        <f t="shared" si="9"/>
        <v>43861</v>
      </c>
      <c r="Y43" s="40">
        <f t="shared" si="9"/>
        <v>43890</v>
      </c>
      <c r="Z43" s="40">
        <f t="shared" si="9"/>
        <v>43921</v>
      </c>
      <c r="AA43" s="40">
        <f t="shared" si="9"/>
        <v>43951</v>
      </c>
      <c r="AB43" s="40">
        <f t="shared" si="9"/>
        <v>43982</v>
      </c>
      <c r="AC43" s="40">
        <f t="shared" si="9"/>
        <v>44012</v>
      </c>
      <c r="AD43" s="40">
        <f t="shared" si="9"/>
        <v>44043</v>
      </c>
      <c r="AE43" s="40">
        <f t="shared" si="9"/>
        <v>44074</v>
      </c>
      <c r="AF43" s="40">
        <f t="shared" si="9"/>
        <v>44104</v>
      </c>
      <c r="AG43" s="40">
        <f t="shared" si="9"/>
        <v>44135</v>
      </c>
      <c r="AH43" s="40">
        <f t="shared" si="9"/>
        <v>44165</v>
      </c>
      <c r="AI43" s="40">
        <f t="shared" si="9"/>
        <v>44196</v>
      </c>
      <c r="AK43" s="39">
        <f t="shared" si="10"/>
        <v>2020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8">
        <v>2021</v>
      </c>
      <c r="J44" s="58">
        <v>-0.2</v>
      </c>
      <c r="K44" s="58">
        <v>-0.2</v>
      </c>
      <c r="L44" s="58">
        <v>-0.2</v>
      </c>
      <c r="M44" s="58">
        <v>-0.4</v>
      </c>
      <c r="N44" s="58">
        <v>-0.3</v>
      </c>
      <c r="O44" s="58">
        <v>-0.3</v>
      </c>
      <c r="P44" s="58">
        <v>-0.3</v>
      </c>
      <c r="Q44" s="58">
        <v>-0.4</v>
      </c>
      <c r="R44" s="58">
        <v>-0.3</v>
      </c>
      <c r="S44" s="58">
        <v>-0.3</v>
      </c>
      <c r="T44" s="58">
        <v>-0.3</v>
      </c>
      <c r="U44" s="58">
        <v>-0.2</v>
      </c>
      <c r="W44" s="39">
        <f t="shared" si="8"/>
        <v>2021</v>
      </c>
      <c r="X44" s="40">
        <f t="shared" si="9"/>
        <v>44227</v>
      </c>
      <c r="Y44" s="40">
        <f t="shared" si="9"/>
        <v>44255</v>
      </c>
      <c r="Z44" s="40">
        <f t="shared" si="9"/>
        <v>44286</v>
      </c>
      <c r="AA44" s="40">
        <f t="shared" si="9"/>
        <v>44316</v>
      </c>
      <c r="AB44" s="40">
        <f t="shared" si="9"/>
        <v>44347</v>
      </c>
      <c r="AC44" s="40">
        <f t="shared" si="9"/>
        <v>44377</v>
      </c>
      <c r="AD44" s="40">
        <f t="shared" si="9"/>
        <v>44408</v>
      </c>
      <c r="AE44" s="40">
        <f t="shared" si="9"/>
        <v>44439</v>
      </c>
      <c r="AF44" s="40">
        <f t="shared" si="9"/>
        <v>44469</v>
      </c>
      <c r="AG44" s="40">
        <f t="shared" si="9"/>
        <v>44500</v>
      </c>
      <c r="AH44" s="40">
        <f t="shared" si="9"/>
        <v>44530</v>
      </c>
      <c r="AI44" s="40">
        <f t="shared" si="9"/>
        <v>44561</v>
      </c>
      <c r="AK44" s="39">
        <f t="shared" si="10"/>
        <v>2021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8">
        <v>2022</v>
      </c>
      <c r="J45" s="58">
        <v>0.2</v>
      </c>
      <c r="K45" s="58">
        <v>0.2</v>
      </c>
      <c r="L45" s="58">
        <v>0.2</v>
      </c>
      <c r="M45" s="58">
        <v>0.4</v>
      </c>
      <c r="N45" s="58">
        <v>0.4</v>
      </c>
      <c r="O45" s="58">
        <v>0.4</v>
      </c>
      <c r="P45" s="58">
        <v>0.6</v>
      </c>
      <c r="Q45" s="58">
        <v>0.6</v>
      </c>
      <c r="R45" s="58">
        <v>0.6</v>
      </c>
      <c r="S45" s="58">
        <v>0.6</v>
      </c>
      <c r="T45" s="58">
        <v>0.6</v>
      </c>
      <c r="U45" s="58">
        <v>0.8</v>
      </c>
      <c r="W45" s="39">
        <f t="shared" si="8"/>
        <v>2022</v>
      </c>
      <c r="X45" s="40">
        <f t="shared" si="9"/>
        <v>44592</v>
      </c>
      <c r="Y45" s="40">
        <f t="shared" si="9"/>
        <v>44620</v>
      </c>
      <c r="Z45" s="40">
        <f t="shared" si="9"/>
        <v>44651</v>
      </c>
      <c r="AA45" s="40">
        <f t="shared" si="9"/>
        <v>44681</v>
      </c>
      <c r="AB45" s="40">
        <f t="shared" si="9"/>
        <v>44712</v>
      </c>
      <c r="AC45" s="40">
        <f t="shared" si="9"/>
        <v>44742</v>
      </c>
      <c r="AD45" s="40">
        <f t="shared" si="9"/>
        <v>44773</v>
      </c>
      <c r="AE45" s="40">
        <f t="shared" si="9"/>
        <v>44804</v>
      </c>
      <c r="AF45" s="40">
        <f t="shared" si="9"/>
        <v>44834</v>
      </c>
      <c r="AG45" s="40">
        <f t="shared" si="9"/>
        <v>44865</v>
      </c>
      <c r="AH45" s="40">
        <f t="shared" si="9"/>
        <v>44895</v>
      </c>
      <c r="AI45" s="40">
        <f t="shared" si="9"/>
        <v>44926</v>
      </c>
      <c r="AK45" s="39">
        <f t="shared" si="10"/>
        <v>2022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8">
        <v>2023</v>
      </c>
      <c r="J46" s="58">
        <v>0.7</v>
      </c>
      <c r="K46" s="58">
        <v>0.9</v>
      </c>
      <c r="L46" s="58">
        <v>1</v>
      </c>
      <c r="M46" s="58">
        <v>1.1000000000000001</v>
      </c>
      <c r="N46" s="58">
        <v>1.2</v>
      </c>
      <c r="O46" s="58">
        <v>1.2</v>
      </c>
      <c r="P46" s="58">
        <v>1.2</v>
      </c>
      <c r="Q46" s="58">
        <v>1.3</v>
      </c>
      <c r="R46" s="58">
        <v>1.3</v>
      </c>
      <c r="S46" s="58">
        <v>1.4</v>
      </c>
      <c r="T46" s="58">
        <v>1.4</v>
      </c>
      <c r="U46" s="58">
        <v>1.6</v>
      </c>
      <c r="W46" s="39">
        <f>W47-1</f>
        <v>2023</v>
      </c>
      <c r="X46" s="40">
        <f t="shared" si="9"/>
        <v>44957</v>
      </c>
      <c r="Y46" s="40">
        <f t="shared" si="9"/>
        <v>44985</v>
      </c>
      <c r="Z46" s="40">
        <f t="shared" si="9"/>
        <v>45016</v>
      </c>
      <c r="AA46" s="40">
        <f t="shared" si="9"/>
        <v>45046</v>
      </c>
      <c r="AB46" s="40">
        <f t="shared" si="9"/>
        <v>45077</v>
      </c>
      <c r="AC46" s="40">
        <f t="shared" si="9"/>
        <v>45107</v>
      </c>
      <c r="AD46" s="40">
        <f t="shared" si="9"/>
        <v>45138</v>
      </c>
      <c r="AE46" s="40">
        <f t="shared" si="9"/>
        <v>45169</v>
      </c>
      <c r="AF46" s="40">
        <f t="shared" si="9"/>
        <v>45199</v>
      </c>
      <c r="AG46" s="40">
        <f t="shared" si="9"/>
        <v>45230</v>
      </c>
      <c r="AH46" s="40">
        <f t="shared" si="9"/>
        <v>45260</v>
      </c>
      <c r="AI46" s="40">
        <f t="shared" si="9"/>
        <v>45291</v>
      </c>
      <c r="AK46" s="39">
        <f>AK47-1</f>
        <v>2023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2024</v>
      </c>
      <c r="J47" s="58">
        <v>1.9</v>
      </c>
      <c r="K47" s="58" t="s">
        <v>225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2024</v>
      </c>
      <c r="X47" s="40">
        <f t="shared" si="9"/>
        <v>45322</v>
      </c>
      <c r="Y47" s="40" t="str">
        <f t="shared" si="9"/>
        <v/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2024</v>
      </c>
      <c r="AL47" s="40" t="str">
        <f t="shared" si="11"/>
        <v>MAX</v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81" priority="7" operator="equal">
      <formula>FALSE</formula>
    </cfRule>
    <cfRule type="cellIs" dxfId="280" priority="8" operator="equal">
      <formula>TRUE</formula>
    </cfRule>
  </conditionalFormatting>
  <conditionalFormatting sqref="F22">
    <cfRule type="cellIs" dxfId="279" priority="5" operator="equal">
      <formula>FALSE</formula>
    </cfRule>
    <cfRule type="cellIs" dxfId="278" priority="6" operator="equal">
      <formula>TRUE</formula>
    </cfRule>
  </conditionalFormatting>
  <conditionalFormatting sqref="F35">
    <cfRule type="cellIs" dxfId="277" priority="3" operator="equal">
      <formula>FALSE</formula>
    </cfRule>
    <cfRule type="cellIs" dxfId="276" priority="4" operator="equal">
      <formula>TRUE</formula>
    </cfRule>
  </conditionalFormatting>
  <conditionalFormatting sqref="J11:U21 J24:U34 J37:U47">
    <cfRule type="expression" dxfId="275" priority="1">
      <formula>AL11="MAX"</formula>
    </cfRule>
    <cfRule type="expression" dxfId="274" priority="2">
      <formula>AL11="MIN"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Y73"/>
  <sheetViews>
    <sheetView showGridLines="0" zoomScaleNormal="100" workbookViewId="0">
      <selection activeCell="C4" sqref="C4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45322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45291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41670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1.8499999999999999E-2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1.4999999999999999E-2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6.7000000000000002E-3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7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 t="s">
        <v>225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 t="str">
        <f t="shared" si="1"/>
        <v/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7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>MIN</v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7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7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7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7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7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7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7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7">
        <v>2022</v>
      </c>
      <c r="J20" s="58">
        <v>3.8</v>
      </c>
      <c r="K20" s="58">
        <v>3.8</v>
      </c>
      <c r="L20" s="58">
        <v>4.2</v>
      </c>
      <c r="M20" s="58">
        <v>4.8</v>
      </c>
      <c r="N20" s="58">
        <v>5.3</v>
      </c>
      <c r="O20" s="58">
        <v>6</v>
      </c>
      <c r="P20" s="58">
        <v>6.3</v>
      </c>
      <c r="Q20" s="58">
        <v>5.7</v>
      </c>
      <c r="R20" s="58">
        <v>5.5</v>
      </c>
      <c r="S20" s="58">
        <v>5.6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</v>
      </c>
      <c r="K21" s="58">
        <v>4.7</v>
      </c>
      <c r="L21" s="58">
        <v>4.2</v>
      </c>
      <c r="M21" s="58">
        <v>3.7</v>
      </c>
      <c r="N21" s="58">
        <v>3.4</v>
      </c>
      <c r="O21" s="58">
        <v>2.7</v>
      </c>
      <c r="P21" s="58">
        <v>2.4</v>
      </c>
      <c r="Q21" s="58">
        <v>3.4</v>
      </c>
      <c r="R21" s="58">
        <v>3.7</v>
      </c>
      <c r="S21" s="58">
        <v>3.8</v>
      </c>
      <c r="T21" s="58">
        <v>3.3</v>
      </c>
      <c r="U21" s="58">
        <v>3.2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>
        <f t="shared" si="1"/>
        <v>45169</v>
      </c>
      <c r="AF21" s="40">
        <f t="shared" si="1"/>
        <v>45199</v>
      </c>
      <c r="AG21" s="40">
        <f t="shared" si="1"/>
        <v>45230</v>
      </c>
      <c r="AH21" s="40">
        <f t="shared" si="1"/>
        <v>45260</v>
      </c>
      <c r="AI21" s="40">
        <f t="shared" si="1"/>
        <v>45291</v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>MAX</v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7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 t="s">
        <v>225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 t="str">
        <f t="shared" si="5"/>
        <v/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7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>MIN</v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7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7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7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7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7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7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7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7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-0.3</v>
      </c>
      <c r="Q34" s="58">
        <v>1</v>
      </c>
      <c r="R34" s="58">
        <v>1.4</v>
      </c>
      <c r="S34" s="58">
        <v>0.7</v>
      </c>
      <c r="T34" s="58">
        <v>0.6</v>
      </c>
      <c r="U34" s="58">
        <v>1.2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>
        <f t="shared" si="5"/>
        <v>45169</v>
      </c>
      <c r="AF34" s="40">
        <f t="shared" si="5"/>
        <v>45199</v>
      </c>
      <c r="AG34" s="40">
        <f t="shared" si="5"/>
        <v>45230</v>
      </c>
      <c r="AH34" s="40">
        <f t="shared" si="5"/>
        <v>45260</v>
      </c>
      <c r="AI34" s="40">
        <f t="shared" si="5"/>
        <v>45291</v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>MAX</v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7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 t="s">
        <v>225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 t="str">
        <f t="shared" si="9"/>
        <v/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7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>MIN</v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7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7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7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7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7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7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7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7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>
        <v>1.3</v>
      </c>
      <c r="R47" s="58">
        <v>1.3</v>
      </c>
      <c r="S47" s="58">
        <v>1.4</v>
      </c>
      <c r="T47" s="58">
        <v>1.4</v>
      </c>
      <c r="U47" s="58">
        <v>1.6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>
        <f t="shared" si="9"/>
        <v>45169</v>
      </c>
      <c r="AF47" s="40">
        <f t="shared" si="9"/>
        <v>45199</v>
      </c>
      <c r="AG47" s="40">
        <f t="shared" si="9"/>
        <v>45230</v>
      </c>
      <c r="AH47" s="40">
        <f t="shared" si="9"/>
        <v>45260</v>
      </c>
      <c r="AI47" s="40">
        <f t="shared" si="9"/>
        <v>45291</v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>MAX</v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73" priority="7" operator="equal">
      <formula>FALSE</formula>
    </cfRule>
    <cfRule type="cellIs" dxfId="272" priority="8" operator="equal">
      <formula>TRUE</formula>
    </cfRule>
  </conditionalFormatting>
  <conditionalFormatting sqref="F22">
    <cfRule type="cellIs" dxfId="271" priority="5" operator="equal">
      <formula>FALSE</formula>
    </cfRule>
    <cfRule type="cellIs" dxfId="270" priority="6" operator="equal">
      <formula>TRUE</formula>
    </cfRule>
  </conditionalFormatting>
  <conditionalFormatting sqref="F35">
    <cfRule type="cellIs" dxfId="269" priority="3" operator="equal">
      <formula>FALSE</formula>
    </cfRule>
    <cfRule type="cellIs" dxfId="268" priority="4" operator="equal">
      <formula>TRUE</formula>
    </cfRule>
  </conditionalFormatting>
  <conditionalFormatting sqref="J11:U21 J24:U34 J37:U47">
    <cfRule type="expression" dxfId="267" priority="1">
      <formula>AL11="MAX"</formula>
    </cfRule>
    <cfRule type="expression" dxfId="266" priority="2">
      <formula>AL11="MIN"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Y73"/>
  <sheetViews>
    <sheetView showGridLines="0" zoomScaleNormal="100" workbookViewId="0">
      <selection activeCell="U47" sqref="I37:U47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45291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45260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41639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1.83E-2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1.4800000000000001E-2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6.7000000000000002E-3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7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>MIN</v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7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7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7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7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7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7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7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7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7">
        <v>2022</v>
      </c>
      <c r="J20" s="58">
        <v>3.8</v>
      </c>
      <c r="K20" s="58">
        <v>3.8</v>
      </c>
      <c r="L20" s="58">
        <v>4.2</v>
      </c>
      <c r="M20" s="58">
        <v>4.8</v>
      </c>
      <c r="N20" s="58">
        <v>5.3</v>
      </c>
      <c r="O20" s="58">
        <v>6</v>
      </c>
      <c r="P20" s="58">
        <v>6.3</v>
      </c>
      <c r="Q20" s="58">
        <v>5.7</v>
      </c>
      <c r="R20" s="58">
        <v>5.5</v>
      </c>
      <c r="S20" s="58">
        <v>5.6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</v>
      </c>
      <c r="K21" s="58">
        <v>4.7</v>
      </c>
      <c r="L21" s="58">
        <v>4.2</v>
      </c>
      <c r="M21" s="58">
        <v>3.7</v>
      </c>
      <c r="N21" s="58">
        <v>3.4</v>
      </c>
      <c r="O21" s="58">
        <v>2.7</v>
      </c>
      <c r="P21" s="58">
        <v>2.4</v>
      </c>
      <c r="Q21" s="58">
        <v>3.4</v>
      </c>
      <c r="R21" s="58">
        <v>3.7</v>
      </c>
      <c r="S21" s="58">
        <v>3.8</v>
      </c>
      <c r="T21" s="58">
        <v>3.3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>
        <f t="shared" si="1"/>
        <v>45169</v>
      </c>
      <c r="AF21" s="40">
        <f t="shared" si="1"/>
        <v>45199</v>
      </c>
      <c r="AG21" s="40">
        <f t="shared" si="1"/>
        <v>45230</v>
      </c>
      <c r="AH21" s="40">
        <f t="shared" si="1"/>
        <v>45260</v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>MAX</v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7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>MIN</v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7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7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7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7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7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7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7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7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7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-0.3</v>
      </c>
      <c r="Q34" s="58">
        <v>1</v>
      </c>
      <c r="R34" s="58">
        <v>1.4</v>
      </c>
      <c r="S34" s="58">
        <v>0.7</v>
      </c>
      <c r="T34" s="58">
        <v>0.6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>
        <f t="shared" si="5"/>
        <v>45169</v>
      </c>
      <c r="AF34" s="40">
        <f t="shared" si="5"/>
        <v>45199</v>
      </c>
      <c r="AG34" s="40">
        <f t="shared" si="5"/>
        <v>45230</v>
      </c>
      <c r="AH34" s="40">
        <f t="shared" si="5"/>
        <v>45260</v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>MAX</v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7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>MIN</v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7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7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7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7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7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7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7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7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7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>
        <v>1.3</v>
      </c>
      <c r="R47" s="58">
        <v>1.3</v>
      </c>
      <c r="S47" s="58">
        <v>1.4</v>
      </c>
      <c r="T47" s="58">
        <v>1.4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>
        <f t="shared" si="9"/>
        <v>45169</v>
      </c>
      <c r="AF47" s="40">
        <f t="shared" si="9"/>
        <v>45199</v>
      </c>
      <c r="AG47" s="40">
        <f t="shared" si="9"/>
        <v>45230</v>
      </c>
      <c r="AH47" s="40">
        <f t="shared" si="9"/>
        <v>45260</v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>MAX</v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65" priority="7" operator="equal">
      <formula>FALSE</formula>
    </cfRule>
    <cfRule type="cellIs" dxfId="264" priority="8" operator="equal">
      <formula>TRUE</formula>
    </cfRule>
  </conditionalFormatting>
  <conditionalFormatting sqref="F22">
    <cfRule type="cellIs" dxfId="263" priority="5" operator="equal">
      <formula>FALSE</formula>
    </cfRule>
    <cfRule type="cellIs" dxfId="262" priority="6" operator="equal">
      <formula>TRUE</formula>
    </cfRule>
  </conditionalFormatting>
  <conditionalFormatting sqref="F35">
    <cfRule type="cellIs" dxfId="261" priority="3" operator="equal">
      <formula>FALSE</formula>
    </cfRule>
    <cfRule type="cellIs" dxfId="260" priority="4" operator="equal">
      <formula>TRUE</formula>
    </cfRule>
  </conditionalFormatting>
  <conditionalFormatting sqref="J11:U21 J24:U34 J37:U47">
    <cfRule type="expression" dxfId="259" priority="1">
      <formula>AL11="MAX"</formula>
    </cfRule>
    <cfRule type="expression" dxfId="258" priority="2">
      <formula>AL11="MIN"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Y73"/>
  <sheetViews>
    <sheetView showGridLines="0" zoomScaleNormal="100" workbookViewId="0">
      <selection activeCell="C10" sqref="C10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4.5" style="7" customWidth="1"/>
    <col min="23" max="35" width="14.5" style="23" customWidth="1"/>
    <col min="36" max="36" width="14.5" style="7" customWidth="1"/>
    <col min="37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45260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45230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41608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1.8100000000000002E-2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1.47E-2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6.7000000000000002E-3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6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>MIN</v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6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6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6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6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6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6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6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6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6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>
        <v>2.7</v>
      </c>
      <c r="P21" s="58">
        <v>2.2999999999999998</v>
      </c>
      <c r="Q21" s="58">
        <v>3.4</v>
      </c>
      <c r="R21" s="58">
        <v>3.7</v>
      </c>
      <c r="S21" s="58">
        <v>3.8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>
        <f t="shared" si="1"/>
        <v>45169</v>
      </c>
      <c r="AF21" s="40">
        <f t="shared" si="1"/>
        <v>45199</v>
      </c>
      <c r="AG21" s="40">
        <f t="shared" si="1"/>
        <v>45230</v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>MAX</v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6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>MIN</v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6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6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6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6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6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6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6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6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6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-0.2</v>
      </c>
      <c r="Q34" s="58">
        <v>1</v>
      </c>
      <c r="R34" s="58">
        <v>1.3</v>
      </c>
      <c r="S34" s="58">
        <v>0.8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>
        <f t="shared" si="5"/>
        <v>45169</v>
      </c>
      <c r="AF34" s="40">
        <f t="shared" si="5"/>
        <v>45199</v>
      </c>
      <c r="AG34" s="40">
        <f t="shared" si="5"/>
        <v>45230</v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>MAX</v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6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>MIN</v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6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6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6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6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6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6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6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6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6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>
        <v>1.3</v>
      </c>
      <c r="R47" s="58">
        <v>1.3</v>
      </c>
      <c r="S47" s="58">
        <v>1.4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>
        <f t="shared" si="9"/>
        <v>45169</v>
      </c>
      <c r="AF47" s="40">
        <f t="shared" si="9"/>
        <v>45199</v>
      </c>
      <c r="AG47" s="40">
        <f t="shared" si="9"/>
        <v>45230</v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>MAX</v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57" priority="7" operator="equal">
      <formula>FALSE</formula>
    </cfRule>
    <cfRule type="cellIs" dxfId="256" priority="8" operator="equal">
      <formula>TRUE</formula>
    </cfRule>
  </conditionalFormatting>
  <conditionalFormatting sqref="F22">
    <cfRule type="cellIs" dxfId="255" priority="5" operator="equal">
      <formula>FALSE</formula>
    </cfRule>
    <cfRule type="cellIs" dxfId="254" priority="6" operator="equal">
      <formula>TRUE</formula>
    </cfRule>
  </conditionalFormatting>
  <conditionalFormatting sqref="F35">
    <cfRule type="cellIs" dxfId="253" priority="3" operator="equal">
      <formula>FALSE</formula>
    </cfRule>
    <cfRule type="cellIs" dxfId="252" priority="4" operator="equal">
      <formula>TRUE</formula>
    </cfRule>
  </conditionalFormatting>
  <conditionalFormatting sqref="J11:U21 J24:U34 J37:U47">
    <cfRule type="expression" dxfId="251" priority="1">
      <formula>AL11="MAX"</formula>
    </cfRule>
    <cfRule type="expression" dxfId="250" priority="2">
      <formula>AL11="MIN"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73"/>
  <sheetViews>
    <sheetView showGridLines="0" zoomScaleNormal="100" workbookViewId="0">
      <selection activeCell="F49" sqref="F49:G50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2.75" style="7" customWidth="1"/>
    <col min="23" max="35" width="14.5" style="23" hidden="1" customWidth="1"/>
    <col min="36" max="36" width="14.5" style="7" hidden="1" customWidth="1"/>
    <col min="37" max="49" width="14.5" style="23" hidden="1" customWidth="1"/>
    <col min="50" max="51" width="14.5" style="23" customWidth="1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45230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45199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41578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1.7899999999999999E-2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1.4500000000000001E-2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5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>MIN</v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5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5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5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5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5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5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5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5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5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>
        <v>2.7</v>
      </c>
      <c r="P21" s="58">
        <v>2.2999999999999998</v>
      </c>
      <c r="Q21" s="58">
        <v>3.4</v>
      </c>
      <c r="R21" s="58">
        <v>3.7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>
        <f t="shared" si="1"/>
        <v>45169</v>
      </c>
      <c r="AF21" s="40">
        <f t="shared" si="1"/>
        <v>45199</v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>MAX</v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5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>MIN</v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5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5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5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5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5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5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5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5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5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-0.2</v>
      </c>
      <c r="Q34" s="58">
        <v>1</v>
      </c>
      <c r="R34" s="58">
        <v>1.3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>
        <f t="shared" si="5"/>
        <v>45169</v>
      </c>
      <c r="AF34" s="40">
        <f t="shared" si="5"/>
        <v>45199</v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>MAX</v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5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>MIN</v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5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5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5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5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5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5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5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5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5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>
        <v>1.3</v>
      </c>
      <c r="R47" s="58">
        <v>1.3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>
        <f t="shared" si="9"/>
        <v>45169</v>
      </c>
      <c r="AF47" s="40">
        <f t="shared" si="9"/>
        <v>45199</v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>MAX</v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49" priority="7" operator="equal">
      <formula>FALSE</formula>
    </cfRule>
    <cfRule type="cellIs" dxfId="248" priority="8" operator="equal">
      <formula>TRUE</formula>
    </cfRule>
  </conditionalFormatting>
  <conditionalFormatting sqref="F22">
    <cfRule type="cellIs" dxfId="247" priority="5" operator="equal">
      <formula>FALSE</formula>
    </cfRule>
    <cfRule type="cellIs" dxfId="246" priority="6" operator="equal">
      <formula>TRUE</formula>
    </cfRule>
  </conditionalFormatting>
  <conditionalFormatting sqref="F35">
    <cfRule type="cellIs" dxfId="245" priority="3" operator="equal">
      <formula>FALSE</formula>
    </cfRule>
    <cfRule type="cellIs" dxfId="244" priority="4" operator="equal">
      <formula>TRUE</formula>
    </cfRule>
  </conditionalFormatting>
  <conditionalFormatting sqref="J11:U21 J24:U34 J37:U47">
    <cfRule type="expression" dxfId="243" priority="1">
      <formula>AL11="MAX"</formula>
    </cfRule>
    <cfRule type="expression" dxfId="242" priority="2">
      <formula>AL11="MIN"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Y73"/>
  <sheetViews>
    <sheetView showGridLines="0" zoomScaleNormal="100" workbookViewId="0">
      <selection activeCell="H37" sqref="H37:H47"/>
    </sheetView>
  </sheetViews>
  <sheetFormatPr defaultColWidth="13.625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2" style="7" customWidth="1"/>
    <col min="23" max="35" width="2" style="23" hidden="1" customWidth="1"/>
    <col min="36" max="36" width="2" style="7" hidden="1" customWidth="1"/>
    <col min="37" max="49" width="2" style="23" hidden="1" customWidth="1"/>
    <col min="50" max="51" width="13.625" style="23"/>
    <col min="52" max="16384" width="13.625" style="52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45199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45169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41547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1.77E-2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1.43E-2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3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>MIN</v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3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3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3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3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3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3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3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3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3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>
        <v>2.7</v>
      </c>
      <c r="P21" s="58">
        <v>2.2999999999999998</v>
      </c>
      <c r="Q21" s="58">
        <v>3.4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>
        <f t="shared" si="1"/>
        <v>45169</v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>MAX</v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3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>MIN</v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3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3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3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3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3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3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3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3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3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-0.2</v>
      </c>
      <c r="Q34" s="58">
        <v>1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>
        <f t="shared" si="5"/>
        <v>45169</v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>MAX</v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3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>MIN</v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3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3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3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3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3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3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3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3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3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>
        <v>1.3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>
        <f t="shared" si="9"/>
        <v>45169</v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>MAX</v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41" priority="7" operator="equal">
      <formula>FALSE</formula>
    </cfRule>
    <cfRule type="cellIs" dxfId="240" priority="8" operator="equal">
      <formula>TRUE</formula>
    </cfRule>
  </conditionalFormatting>
  <conditionalFormatting sqref="F22">
    <cfRule type="cellIs" dxfId="239" priority="5" operator="equal">
      <formula>FALSE</formula>
    </cfRule>
    <cfRule type="cellIs" dxfId="238" priority="6" operator="equal">
      <formula>TRUE</formula>
    </cfRule>
  </conditionalFormatting>
  <conditionalFormatting sqref="F35">
    <cfRule type="cellIs" dxfId="237" priority="3" operator="equal">
      <formula>FALSE</formula>
    </cfRule>
    <cfRule type="cellIs" dxfId="236" priority="4" operator="equal">
      <formula>TRUE</formula>
    </cfRule>
  </conditionalFormatting>
  <conditionalFormatting sqref="J11:U21 J24:U34 J37:U47">
    <cfRule type="expression" dxfId="235" priority="1">
      <formula>AL11="MAX"</formula>
    </cfRule>
    <cfRule type="expression" dxfId="234" priority="2">
      <formula>AL11="MIN"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Y73"/>
  <sheetViews>
    <sheetView showGridLines="0" zoomScaleNormal="100" workbookViewId="0">
      <selection activeCell="N49" sqref="N49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45169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45138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41517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1.7500000000000002E-2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2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>MIN</v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2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2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2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2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2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2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2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2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2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>
        <v>2.7</v>
      </c>
      <c r="P21" s="58">
        <v>2.2999999999999998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>
        <f t="shared" si="1"/>
        <v>45138</v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>MAX</v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2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>MIN</v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2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2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2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2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2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2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2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2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2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>
        <v>-0.2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>
        <f t="shared" si="5"/>
        <v>45138</v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>MAX</v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2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>MIN</v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2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2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2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2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2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2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2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2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2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>
        <v>1.2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>
        <f t="shared" si="9"/>
        <v>45138</v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>MAX</v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33" priority="7" operator="equal">
      <formula>FALSE</formula>
    </cfRule>
    <cfRule type="cellIs" dxfId="232" priority="8" operator="equal">
      <formula>TRUE</formula>
    </cfRule>
  </conditionalFormatting>
  <conditionalFormatting sqref="F22">
    <cfRule type="cellIs" dxfId="231" priority="5" operator="equal">
      <formula>FALSE</formula>
    </cfRule>
    <cfRule type="cellIs" dxfId="230" priority="6" operator="equal">
      <formula>TRUE</formula>
    </cfRule>
  </conditionalFormatting>
  <conditionalFormatting sqref="F35">
    <cfRule type="cellIs" dxfId="229" priority="3" operator="equal">
      <formula>FALSE</formula>
    </cfRule>
    <cfRule type="cellIs" dxfId="228" priority="4" operator="equal">
      <formula>TRUE</formula>
    </cfRule>
  </conditionalFormatting>
  <conditionalFormatting sqref="J11:U21 J24:U34 J37:U47">
    <cfRule type="expression" dxfId="227" priority="1">
      <formula>AL11="MAX"</formula>
    </cfRule>
    <cfRule type="expression" dxfId="226" priority="2">
      <formula>AL11="MIN"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Y73"/>
  <sheetViews>
    <sheetView showGridLines="0" zoomScaleNormal="100" workbookViewId="0">
      <selection activeCell="C8" sqref="C8:C10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45138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45107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41486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1.7500000000000002E-2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1.4E-2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1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>MIN</v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1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1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1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1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1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1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1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1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1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>
        <v>2.7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>
        <f t="shared" si="1"/>
        <v>45107</v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>MAX</v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1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>MIN</v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1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1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1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1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1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1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1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1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1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>
        <v>-0.3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>
        <f t="shared" si="5"/>
        <v>45107</v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>MAX</v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1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>MIN</v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1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1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1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1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1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1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1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1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1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>
        <v>1.2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>
        <f t="shared" si="9"/>
        <v>45107</v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>MAX</v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25" priority="7" operator="equal">
      <formula>FALSE</formula>
    </cfRule>
    <cfRule type="cellIs" dxfId="224" priority="8" operator="equal">
      <formula>TRUE</formula>
    </cfRule>
  </conditionalFormatting>
  <conditionalFormatting sqref="F22">
    <cfRule type="cellIs" dxfId="223" priority="5" operator="equal">
      <formula>FALSE</formula>
    </cfRule>
    <cfRule type="cellIs" dxfId="222" priority="6" operator="equal">
      <formula>TRUE</formula>
    </cfRule>
  </conditionalFormatting>
  <conditionalFormatting sqref="F35">
    <cfRule type="cellIs" dxfId="221" priority="3" operator="equal">
      <formula>FALSE</formula>
    </cfRule>
    <cfRule type="cellIs" dxfId="220" priority="4" operator="equal">
      <formula>TRUE</formula>
    </cfRule>
  </conditionalFormatting>
  <conditionalFormatting sqref="J11:U21 J24:U34 J37:U47">
    <cfRule type="expression" dxfId="219" priority="1">
      <formula>AL11="MAX"</formula>
    </cfRule>
    <cfRule type="expression" dxfId="218" priority="2">
      <formula>AL11="MIN"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Y73"/>
  <sheetViews>
    <sheetView showGridLines="0" zoomScaleNormal="100" workbookViewId="0">
      <selection activeCell="I45" sqref="I45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45107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45077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41455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1.3899999999999999E-2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0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>
        <v>1.2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>
        <f t="shared" si="1"/>
        <v>41455</v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>MIN</v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0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0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0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0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0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0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0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0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0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>
        <v>3.3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>
        <f t="shared" si="1"/>
        <v>45077</v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>MAX</v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0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>
        <v>-1.4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>
        <f t="shared" si="5"/>
        <v>41455</v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>MIN</v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0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0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0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0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0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0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0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0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0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>
        <v>0.5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>
        <f t="shared" si="5"/>
        <v>45077</v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>MAX</v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0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>
        <v>0.8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>
        <f t="shared" si="9"/>
        <v>41455</v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>MIN</v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0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0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0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0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0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0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0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0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0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>
        <v>1.2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>
        <f t="shared" si="9"/>
        <v>45077</v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>MAX</v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17" priority="7" operator="equal">
      <formula>FALSE</formula>
    </cfRule>
    <cfRule type="cellIs" dxfId="216" priority="8" operator="equal">
      <formula>TRUE</formula>
    </cfRule>
  </conditionalFormatting>
  <conditionalFormatting sqref="F22">
    <cfRule type="cellIs" dxfId="215" priority="5" operator="equal">
      <formula>FALSE</formula>
    </cfRule>
    <cfRule type="cellIs" dxfId="214" priority="6" operator="equal">
      <formula>TRUE</formula>
    </cfRule>
  </conditionalFormatting>
  <conditionalFormatting sqref="F35">
    <cfRule type="cellIs" dxfId="213" priority="3" operator="equal">
      <formula>FALSE</formula>
    </cfRule>
    <cfRule type="cellIs" dxfId="212" priority="4" operator="equal">
      <formula>TRUE</formula>
    </cfRule>
  </conditionalFormatting>
  <conditionalFormatting sqref="J11:U21 J24:U34 J37:U47">
    <cfRule type="expression" dxfId="211" priority="1">
      <formula>AL11="MAX"</formula>
    </cfRule>
    <cfRule type="expression" dxfId="210" priority="2">
      <formula>AL11="MIN"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Y73"/>
  <sheetViews>
    <sheetView showGridLines="0" zoomScaleNormal="100" workbookViewId="0">
      <selection activeCell="N50" sqref="N50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45077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45046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41425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1.72E-2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1.37E-2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20">
        <v>2013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>
        <v>1.1000000000000001</v>
      </c>
      <c r="O11" s="58">
        <v>1.2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>
        <f t="shared" si="1"/>
        <v>41425</v>
      </c>
      <c r="AC11" s="40">
        <f t="shared" si="1"/>
        <v>41455</v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>MIN</v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20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20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20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20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20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20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20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20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20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>
        <v>3.7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>
        <f t="shared" si="1"/>
        <v>45046</v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>MAX</v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20">
        <v>2013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>
        <v>-2.6</v>
      </c>
      <c r="O24" s="58">
        <v>-1.4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>
        <f t="shared" si="5"/>
        <v>41425</v>
      </c>
      <c r="AC24" s="40">
        <f t="shared" si="5"/>
        <v>41455</v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>MIN</v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20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20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20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20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20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20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20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20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20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>
        <v>1.6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>
        <f t="shared" si="5"/>
        <v>45046</v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>MAX</v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20">
        <v>2013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>
        <v>0.8</v>
      </c>
      <c r="O37" s="58">
        <v>0.8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>
        <f t="shared" si="9"/>
        <v>41425</v>
      </c>
      <c r="AC37" s="40">
        <f t="shared" si="9"/>
        <v>41455</v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>MIN</v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20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20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20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20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20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20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20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20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20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>
        <v>1.1000000000000001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>
        <f t="shared" si="9"/>
        <v>45046</v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>MAX</v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09" priority="7" operator="equal">
      <formula>FALSE</formula>
    </cfRule>
    <cfRule type="cellIs" dxfId="208" priority="8" operator="equal">
      <formula>TRUE</formula>
    </cfRule>
  </conditionalFormatting>
  <conditionalFormatting sqref="F22">
    <cfRule type="cellIs" dxfId="207" priority="5" operator="equal">
      <formula>FALSE</formula>
    </cfRule>
    <cfRule type="cellIs" dxfId="206" priority="6" operator="equal">
      <formula>TRUE</formula>
    </cfRule>
  </conditionalFormatting>
  <conditionalFormatting sqref="F35">
    <cfRule type="cellIs" dxfId="205" priority="3" operator="equal">
      <formula>FALSE</formula>
    </cfRule>
    <cfRule type="cellIs" dxfId="204" priority="4" operator="equal">
      <formula>TRUE</formula>
    </cfRule>
  </conditionalFormatting>
  <conditionalFormatting sqref="J11:U21 J24:U34 J37:U47">
    <cfRule type="expression" dxfId="203" priority="1">
      <formula>AL11="MAX"</formula>
    </cfRule>
    <cfRule type="expression" dxfId="202" priority="2">
      <formula>AL11="MIN"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Y73"/>
  <sheetViews>
    <sheetView showGridLines="0" zoomScaleNormal="100" workbookViewId="0">
      <selection activeCell="K46" sqref="K46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45046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45016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41394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1.7000000000000001E-2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1.3299999999999999E-2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9">
        <v>2013</v>
      </c>
      <c r="J11" s="58" t="s">
        <v>225</v>
      </c>
      <c r="K11" s="58" t="s">
        <v>225</v>
      </c>
      <c r="L11" s="58" t="s">
        <v>225</v>
      </c>
      <c r="M11" s="58">
        <v>1.3</v>
      </c>
      <c r="N11" s="58">
        <v>1.1000000000000001</v>
      </c>
      <c r="O11" s="58">
        <v>1.2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>
        <f t="shared" si="1"/>
        <v>41394</v>
      </c>
      <c r="AB11" s="40">
        <f t="shared" si="1"/>
        <v>41425</v>
      </c>
      <c r="AC11" s="40">
        <f t="shared" si="1"/>
        <v>41455</v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>MIN</v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9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9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9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9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9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9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9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9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9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>
        <v>4.2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>
        <f t="shared" si="1"/>
        <v>45016</v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/>
      </c>
      <c r="AN21" s="40" t="str">
        <f t="shared" si="3"/>
        <v>MAX</v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9">
        <v>2013</v>
      </c>
      <c r="J24" s="58" t="s">
        <v>225</v>
      </c>
      <c r="K24" s="58" t="s">
        <v>225</v>
      </c>
      <c r="L24" s="58" t="s">
        <v>225</v>
      </c>
      <c r="M24" s="58">
        <v>-2.8</v>
      </c>
      <c r="N24" s="58">
        <v>-2.6</v>
      </c>
      <c r="O24" s="58">
        <v>-1.4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>
        <f t="shared" si="5"/>
        <v>41394</v>
      </c>
      <c r="AB24" s="40">
        <f t="shared" si="5"/>
        <v>41425</v>
      </c>
      <c r="AC24" s="40">
        <f t="shared" si="5"/>
        <v>41455</v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>MIN</v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9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9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9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9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9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9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9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9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9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>
        <v>3.3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>
        <f t="shared" si="5"/>
        <v>45016</v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/>
      </c>
      <c r="AN34" s="40" t="str">
        <f t="shared" si="7"/>
        <v>MAX</v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9">
        <v>2013</v>
      </c>
      <c r="J37" s="58" t="s">
        <v>225</v>
      </c>
      <c r="K37" s="58" t="s">
        <v>225</v>
      </c>
      <c r="L37" s="58" t="s">
        <v>225</v>
      </c>
      <c r="M37" s="58">
        <v>0.7</v>
      </c>
      <c r="N37" s="58">
        <v>0.8</v>
      </c>
      <c r="O37" s="58">
        <v>0.8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>
        <f t="shared" si="9"/>
        <v>41394</v>
      </c>
      <c r="AB37" s="40">
        <f t="shared" si="9"/>
        <v>41425</v>
      </c>
      <c r="AC37" s="40">
        <f t="shared" si="9"/>
        <v>41455</v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>MIN</v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9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9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9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9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9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9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9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9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9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>
        <v>1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>
        <f t="shared" si="9"/>
        <v>45016</v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/>
      </c>
      <c r="AN47" s="40" t="str">
        <f t="shared" si="11"/>
        <v>MAX</v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201" priority="7" operator="equal">
      <formula>FALSE</formula>
    </cfRule>
    <cfRule type="cellIs" dxfId="200" priority="8" operator="equal">
      <formula>TRUE</formula>
    </cfRule>
  </conditionalFormatting>
  <conditionalFormatting sqref="F22">
    <cfRule type="cellIs" dxfId="199" priority="5" operator="equal">
      <formula>FALSE</formula>
    </cfRule>
    <cfRule type="cellIs" dxfId="198" priority="6" operator="equal">
      <formula>TRUE</formula>
    </cfRule>
  </conditionalFormatting>
  <conditionalFormatting sqref="F35">
    <cfRule type="cellIs" dxfId="197" priority="3" operator="equal">
      <formula>FALSE</formula>
    </cfRule>
    <cfRule type="cellIs" dxfId="196" priority="4" operator="equal">
      <formula>TRUE</formula>
    </cfRule>
  </conditionalFormatting>
  <conditionalFormatting sqref="J11:U21 J24:U34 J37:U47">
    <cfRule type="expression" dxfId="195" priority="1">
      <formula>AL11="MAX"</formula>
    </cfRule>
    <cfRule type="expression" dxfId="194" priority="2">
      <formula>AL11="MIN"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73"/>
  <sheetViews>
    <sheetView showGridLines="0" zoomScaleNormal="100" workbookViewId="0">
      <selection activeCell="G11" sqref="G11:G21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45016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44985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41364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1.67E-2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1.2800000000000001E-2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2">
        <v>2013</v>
      </c>
      <c r="J11" s="58" t="s">
        <v>225</v>
      </c>
      <c r="K11" s="58" t="s">
        <v>225</v>
      </c>
      <c r="L11" s="58">
        <v>1.5</v>
      </c>
      <c r="M11" s="58">
        <v>1.3</v>
      </c>
      <c r="N11" s="58">
        <v>1.1000000000000001</v>
      </c>
      <c r="O11" s="58">
        <v>1.2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>
        <f t="shared" si="1"/>
        <v>41364</v>
      </c>
      <c r="AA11" s="40">
        <f t="shared" si="1"/>
        <v>41394</v>
      </c>
      <c r="AB11" s="40">
        <f t="shared" si="1"/>
        <v>41425</v>
      </c>
      <c r="AC11" s="40">
        <f t="shared" si="1"/>
        <v>41455</v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>MIN</v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2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2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2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2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2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2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2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2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2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>
        <v>4.8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>
        <f t="shared" si="1"/>
        <v>44985</v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/>
      </c>
      <c r="AM21" s="40" t="str">
        <f t="shared" si="3"/>
        <v>MAX</v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2">
        <v>2013</v>
      </c>
      <c r="J24" s="58" t="s">
        <v>225</v>
      </c>
      <c r="K24" s="58" t="s">
        <v>225</v>
      </c>
      <c r="L24" s="58">
        <v>-2.4</v>
      </c>
      <c r="M24" s="58">
        <v>-2.8</v>
      </c>
      <c r="N24" s="58">
        <v>-2.6</v>
      </c>
      <c r="O24" s="58">
        <v>-1.4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 t="str">
        <f t="shared" si="5"/>
        <v/>
      </c>
      <c r="Z24" s="40">
        <f t="shared" si="5"/>
        <v>41364</v>
      </c>
      <c r="AA24" s="40">
        <f t="shared" si="5"/>
        <v>41394</v>
      </c>
      <c r="AB24" s="40">
        <f t="shared" si="5"/>
        <v>41425</v>
      </c>
      <c r="AC24" s="40">
        <f t="shared" si="5"/>
        <v>41455</v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>MIN</v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2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2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2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2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2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2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2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2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2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>
        <v>4.8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>
        <f t="shared" si="5"/>
        <v>44985</v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/>
      </c>
      <c r="AM34" s="40" t="str">
        <f t="shared" si="7"/>
        <v>MAX</v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2">
        <v>2013</v>
      </c>
      <c r="J37" s="58" t="s">
        <v>225</v>
      </c>
      <c r="K37" s="58" t="s">
        <v>225</v>
      </c>
      <c r="L37" s="58">
        <v>0.9</v>
      </c>
      <c r="M37" s="58">
        <v>0.7</v>
      </c>
      <c r="N37" s="58">
        <v>0.8</v>
      </c>
      <c r="O37" s="58">
        <v>0.8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 t="str">
        <f t="shared" si="9"/>
        <v/>
      </c>
      <c r="Z37" s="40">
        <f t="shared" si="9"/>
        <v>41364</v>
      </c>
      <c r="AA37" s="40">
        <f t="shared" si="9"/>
        <v>41394</v>
      </c>
      <c r="AB37" s="40">
        <f t="shared" si="9"/>
        <v>41425</v>
      </c>
      <c r="AC37" s="40">
        <f t="shared" si="9"/>
        <v>41455</v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>MIN</v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2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2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2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2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2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2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2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2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2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>
        <v>0.9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>
        <f t="shared" si="9"/>
        <v>44985</v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/>
      </c>
      <c r="AM47" s="40" t="str">
        <f t="shared" si="11"/>
        <v>MAX</v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93" priority="7" operator="equal">
      <formula>FALSE</formula>
    </cfRule>
    <cfRule type="cellIs" dxfId="192" priority="8" operator="equal">
      <formula>TRUE</formula>
    </cfRule>
  </conditionalFormatting>
  <conditionalFormatting sqref="F22">
    <cfRule type="cellIs" dxfId="191" priority="5" operator="equal">
      <formula>FALSE</formula>
    </cfRule>
    <cfRule type="cellIs" dxfId="190" priority="6" operator="equal">
      <formula>TRUE</formula>
    </cfRule>
  </conditionalFormatting>
  <conditionalFormatting sqref="F35">
    <cfRule type="cellIs" dxfId="189" priority="3" operator="equal">
      <formula>FALSE</formula>
    </cfRule>
    <cfRule type="cellIs" dxfId="188" priority="4" operator="equal">
      <formula>TRUE</formula>
    </cfRule>
  </conditionalFormatting>
  <conditionalFormatting sqref="J11:U21 J24:U34 J37:U47">
    <cfRule type="expression" dxfId="187" priority="1">
      <formula>AL11="MAX"</formula>
    </cfRule>
    <cfRule type="expression" dxfId="186" priority="2">
      <formula>AL11="MIN"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Y73"/>
  <sheetViews>
    <sheetView showGridLines="0" zoomScaleNormal="100" workbookViewId="0">
      <selection activeCell="G11" sqref="G11:G21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44985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44957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41333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1.6500000000000001E-2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1.23E-2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2">
        <v>2013</v>
      </c>
      <c r="J11" s="58" t="s">
        <v>225</v>
      </c>
      <c r="K11" s="58">
        <v>1.6</v>
      </c>
      <c r="L11" s="58">
        <v>1.5</v>
      </c>
      <c r="M11" s="58">
        <v>1.3</v>
      </c>
      <c r="N11" s="58">
        <v>1.1000000000000001</v>
      </c>
      <c r="O11" s="58">
        <v>1.2</v>
      </c>
      <c r="P11" s="58">
        <v>1.6</v>
      </c>
      <c r="Q11" s="58">
        <v>1.5</v>
      </c>
      <c r="R11" s="58">
        <v>1</v>
      </c>
      <c r="S11" s="58">
        <v>0.9</v>
      </c>
      <c r="T11" s="58">
        <v>1.2</v>
      </c>
      <c r="U11" s="58">
        <v>1.1000000000000001</v>
      </c>
      <c r="W11" s="39">
        <f t="shared" ref="W11:W19" si="0">W12-1</f>
        <v>2013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>
        <f t="shared" si="1"/>
        <v>41333</v>
      </c>
      <c r="Z11" s="40">
        <f t="shared" si="1"/>
        <v>41364</v>
      </c>
      <c r="AA11" s="40">
        <f t="shared" si="1"/>
        <v>41394</v>
      </c>
      <c r="AB11" s="40">
        <f t="shared" si="1"/>
        <v>41425</v>
      </c>
      <c r="AC11" s="40">
        <f t="shared" si="1"/>
        <v>41455</v>
      </c>
      <c r="AD11" s="40">
        <f t="shared" si="1"/>
        <v>41486</v>
      </c>
      <c r="AE11" s="40">
        <f t="shared" si="1"/>
        <v>41517</v>
      </c>
      <c r="AF11" s="40">
        <f t="shared" si="1"/>
        <v>41547</v>
      </c>
      <c r="AG11" s="40">
        <f t="shared" si="1"/>
        <v>41578</v>
      </c>
      <c r="AH11" s="40">
        <f t="shared" si="1"/>
        <v>41608</v>
      </c>
      <c r="AI11" s="40">
        <f t="shared" si="1"/>
        <v>41639</v>
      </c>
      <c r="AK11" s="39">
        <f t="shared" ref="AK11:AK19" si="2">AK12-1</f>
        <v>2013</v>
      </c>
      <c r="AL11" s="40" t="str">
        <f t="shared" ref="AL11:AW21" si="3">IF(X11=MIN($X$11:$AI$21)=TRUE,"MIN",IF(X11=MAX($X$11:$AI$21)=TRUE,"MAX",""))</f>
        <v/>
      </c>
      <c r="AM11" s="40" t="str">
        <f t="shared" si="3"/>
        <v>MIN</v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2">
        <v>2014</v>
      </c>
      <c r="J12" s="58">
        <v>1.1000000000000001</v>
      </c>
      <c r="K12" s="58">
        <v>1</v>
      </c>
      <c r="L12" s="58">
        <v>1.3</v>
      </c>
      <c r="M12" s="58">
        <v>1.5</v>
      </c>
      <c r="N12" s="58">
        <v>1.7</v>
      </c>
      <c r="O12" s="58">
        <v>1.7</v>
      </c>
      <c r="P12" s="58">
        <v>1.6</v>
      </c>
      <c r="Q12" s="58">
        <v>1.4</v>
      </c>
      <c r="R12" s="58">
        <v>1.1000000000000001</v>
      </c>
      <c r="S12" s="58">
        <v>1.1000000000000001</v>
      </c>
      <c r="T12" s="58">
        <v>1</v>
      </c>
      <c r="U12" s="58">
        <v>0.8</v>
      </c>
      <c r="W12" s="39">
        <f t="shared" si="0"/>
        <v>2014</v>
      </c>
      <c r="X12" s="40">
        <f t="shared" si="1"/>
        <v>41670</v>
      </c>
      <c r="Y12" s="40">
        <f t="shared" si="1"/>
        <v>41698</v>
      </c>
      <c r="Z12" s="40">
        <f t="shared" si="1"/>
        <v>41729</v>
      </c>
      <c r="AA12" s="40">
        <f t="shared" si="1"/>
        <v>41759</v>
      </c>
      <c r="AB12" s="40">
        <f t="shared" si="1"/>
        <v>41790</v>
      </c>
      <c r="AC12" s="40">
        <f t="shared" si="1"/>
        <v>41820</v>
      </c>
      <c r="AD12" s="40">
        <f t="shared" si="1"/>
        <v>41851</v>
      </c>
      <c r="AE12" s="40">
        <f t="shared" si="1"/>
        <v>41882</v>
      </c>
      <c r="AF12" s="40">
        <f t="shared" si="1"/>
        <v>41912</v>
      </c>
      <c r="AG12" s="40">
        <f t="shared" si="1"/>
        <v>41943</v>
      </c>
      <c r="AH12" s="40">
        <f t="shared" si="1"/>
        <v>41973</v>
      </c>
      <c r="AI12" s="40">
        <f t="shared" si="1"/>
        <v>42004</v>
      </c>
      <c r="AK12" s="39">
        <f t="shared" si="2"/>
        <v>2014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2">
        <v>2015</v>
      </c>
      <c r="J13" s="58">
        <v>1</v>
      </c>
      <c r="K13" s="58">
        <v>0.6</v>
      </c>
      <c r="L13" s="58">
        <v>0.5</v>
      </c>
      <c r="M13" s="58">
        <v>0.4</v>
      </c>
      <c r="N13" s="58">
        <v>0.6</v>
      </c>
      <c r="O13" s="58">
        <v>0.7</v>
      </c>
      <c r="P13" s="58">
        <v>0.7</v>
      </c>
      <c r="Q13" s="58">
        <v>0.7</v>
      </c>
      <c r="R13" s="58">
        <v>0.5</v>
      </c>
      <c r="S13" s="58">
        <v>0.8</v>
      </c>
      <c r="T13" s="58">
        <v>0.8</v>
      </c>
      <c r="U13" s="58">
        <v>1.1000000000000001</v>
      </c>
      <c r="W13" s="39">
        <f t="shared" si="0"/>
        <v>2015</v>
      </c>
      <c r="X13" s="40">
        <f t="shared" si="1"/>
        <v>42035</v>
      </c>
      <c r="Y13" s="40">
        <f t="shared" si="1"/>
        <v>42063</v>
      </c>
      <c r="Z13" s="40">
        <f t="shared" si="1"/>
        <v>42094</v>
      </c>
      <c r="AA13" s="40">
        <f t="shared" si="1"/>
        <v>42124</v>
      </c>
      <c r="AB13" s="40">
        <f t="shared" si="1"/>
        <v>42155</v>
      </c>
      <c r="AC13" s="40">
        <f t="shared" si="1"/>
        <v>42185</v>
      </c>
      <c r="AD13" s="40">
        <f t="shared" si="1"/>
        <v>42216</v>
      </c>
      <c r="AE13" s="40">
        <f t="shared" si="1"/>
        <v>42247</v>
      </c>
      <c r="AF13" s="40">
        <f t="shared" si="1"/>
        <v>42277</v>
      </c>
      <c r="AG13" s="40">
        <f t="shared" si="1"/>
        <v>42308</v>
      </c>
      <c r="AH13" s="40">
        <f t="shared" si="1"/>
        <v>42338</v>
      </c>
      <c r="AI13" s="40">
        <f t="shared" si="1"/>
        <v>42369</v>
      </c>
      <c r="AK13" s="39">
        <f t="shared" si="2"/>
        <v>2015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2">
        <v>2016</v>
      </c>
      <c r="J14" s="58">
        <v>0.6</v>
      </c>
      <c r="K14" s="58">
        <v>1.1000000000000001</v>
      </c>
      <c r="L14" s="58">
        <v>0.8</v>
      </c>
      <c r="M14" s="58">
        <v>1</v>
      </c>
      <c r="N14" s="58">
        <v>0.8</v>
      </c>
      <c r="O14" s="58">
        <v>0.7</v>
      </c>
      <c r="P14" s="58">
        <v>0.4</v>
      </c>
      <c r="Q14" s="58">
        <v>0.5</v>
      </c>
      <c r="R14" s="58">
        <v>1.3</v>
      </c>
      <c r="S14" s="58">
        <v>1.5</v>
      </c>
      <c r="T14" s="58">
        <v>1.5</v>
      </c>
      <c r="U14" s="58">
        <v>1.3</v>
      </c>
      <c r="W14" s="39">
        <f t="shared" si="0"/>
        <v>2016</v>
      </c>
      <c r="X14" s="40">
        <f t="shared" si="1"/>
        <v>42400</v>
      </c>
      <c r="Y14" s="40">
        <f t="shared" si="1"/>
        <v>42429</v>
      </c>
      <c r="Z14" s="40">
        <f t="shared" si="1"/>
        <v>42460</v>
      </c>
      <c r="AA14" s="40">
        <f t="shared" si="1"/>
        <v>42490</v>
      </c>
      <c r="AB14" s="40">
        <f t="shared" si="1"/>
        <v>42521</v>
      </c>
      <c r="AC14" s="40">
        <f t="shared" si="1"/>
        <v>42551</v>
      </c>
      <c r="AD14" s="40">
        <f t="shared" si="1"/>
        <v>42582</v>
      </c>
      <c r="AE14" s="40">
        <f t="shared" si="1"/>
        <v>42613</v>
      </c>
      <c r="AF14" s="40">
        <f t="shared" si="1"/>
        <v>42643</v>
      </c>
      <c r="AG14" s="40">
        <f t="shared" si="1"/>
        <v>42674</v>
      </c>
      <c r="AH14" s="40">
        <f t="shared" si="1"/>
        <v>42704</v>
      </c>
      <c r="AI14" s="40">
        <f t="shared" si="1"/>
        <v>42735</v>
      </c>
      <c r="AK14" s="39">
        <f t="shared" si="2"/>
        <v>2016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2">
        <v>2017</v>
      </c>
      <c r="J15" s="58">
        <v>2.2000000000000002</v>
      </c>
      <c r="K15" s="58">
        <v>2.1</v>
      </c>
      <c r="L15" s="58">
        <v>2.2999999999999998</v>
      </c>
      <c r="M15" s="58">
        <v>2</v>
      </c>
      <c r="N15" s="58">
        <v>2</v>
      </c>
      <c r="O15" s="58">
        <v>1.8</v>
      </c>
      <c r="P15" s="58">
        <v>2.2000000000000002</v>
      </c>
      <c r="Q15" s="58">
        <v>2.5</v>
      </c>
      <c r="R15" s="58">
        <v>2</v>
      </c>
      <c r="S15" s="58">
        <v>1.8</v>
      </c>
      <c r="T15" s="58">
        <v>1.2</v>
      </c>
      <c r="U15" s="58">
        <v>1.4</v>
      </c>
      <c r="W15" s="39">
        <f t="shared" si="0"/>
        <v>2017</v>
      </c>
      <c r="X15" s="40">
        <f t="shared" si="1"/>
        <v>42766</v>
      </c>
      <c r="Y15" s="40">
        <f t="shared" si="1"/>
        <v>42794</v>
      </c>
      <c r="Z15" s="40">
        <f t="shared" si="1"/>
        <v>42825</v>
      </c>
      <c r="AA15" s="40">
        <f t="shared" si="1"/>
        <v>42855</v>
      </c>
      <c r="AB15" s="40">
        <f t="shared" si="1"/>
        <v>42886</v>
      </c>
      <c r="AC15" s="40">
        <f t="shared" si="1"/>
        <v>42916</v>
      </c>
      <c r="AD15" s="40">
        <f t="shared" si="1"/>
        <v>42947</v>
      </c>
      <c r="AE15" s="40">
        <f t="shared" si="1"/>
        <v>42978</v>
      </c>
      <c r="AF15" s="40">
        <f t="shared" si="1"/>
        <v>43008</v>
      </c>
      <c r="AG15" s="40">
        <f t="shared" si="1"/>
        <v>43039</v>
      </c>
      <c r="AH15" s="40">
        <f t="shared" si="1"/>
        <v>43069</v>
      </c>
      <c r="AI15" s="40">
        <f t="shared" si="1"/>
        <v>43100</v>
      </c>
      <c r="AK15" s="39">
        <f t="shared" si="2"/>
        <v>2017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2">
        <v>2018</v>
      </c>
      <c r="J16" s="58">
        <v>0.8</v>
      </c>
      <c r="K16" s="58">
        <v>1.3</v>
      </c>
      <c r="L16" s="58">
        <v>1.2</v>
      </c>
      <c r="M16" s="58">
        <v>1.5</v>
      </c>
      <c r="N16" s="58">
        <v>1.5</v>
      </c>
      <c r="O16" s="58">
        <v>1.5</v>
      </c>
      <c r="P16" s="58">
        <v>1.1000000000000001</v>
      </c>
      <c r="Q16" s="58">
        <v>1.4</v>
      </c>
      <c r="R16" s="58">
        <v>2.1</v>
      </c>
      <c r="S16" s="58">
        <v>2</v>
      </c>
      <c r="T16" s="58">
        <v>2</v>
      </c>
      <c r="U16" s="58">
        <v>1.3</v>
      </c>
      <c r="W16" s="39">
        <f t="shared" si="0"/>
        <v>2018</v>
      </c>
      <c r="X16" s="40">
        <f t="shared" si="1"/>
        <v>43131</v>
      </c>
      <c r="Y16" s="40">
        <f t="shared" si="1"/>
        <v>43159</v>
      </c>
      <c r="Z16" s="40">
        <f t="shared" si="1"/>
        <v>43190</v>
      </c>
      <c r="AA16" s="40">
        <f t="shared" si="1"/>
        <v>43220</v>
      </c>
      <c r="AB16" s="40">
        <f t="shared" si="1"/>
        <v>43251</v>
      </c>
      <c r="AC16" s="40">
        <f t="shared" si="1"/>
        <v>43281</v>
      </c>
      <c r="AD16" s="40">
        <f t="shared" si="1"/>
        <v>43312</v>
      </c>
      <c r="AE16" s="40">
        <f t="shared" si="1"/>
        <v>43343</v>
      </c>
      <c r="AF16" s="40">
        <f t="shared" si="1"/>
        <v>43373</v>
      </c>
      <c r="AG16" s="40">
        <f t="shared" si="1"/>
        <v>43404</v>
      </c>
      <c r="AH16" s="40">
        <f t="shared" si="1"/>
        <v>43434</v>
      </c>
      <c r="AI16" s="40">
        <f t="shared" si="1"/>
        <v>43465</v>
      </c>
      <c r="AK16" s="39">
        <f t="shared" si="2"/>
        <v>2018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2">
        <v>2019</v>
      </c>
      <c r="J17" s="58">
        <v>0.8</v>
      </c>
      <c r="K17" s="58">
        <v>0.5</v>
      </c>
      <c r="L17" s="58">
        <v>0.4</v>
      </c>
      <c r="M17" s="58">
        <v>0.6</v>
      </c>
      <c r="N17" s="58">
        <v>0.7</v>
      </c>
      <c r="O17" s="58">
        <v>0.7</v>
      </c>
      <c r="P17" s="58">
        <v>0.6</v>
      </c>
      <c r="Q17" s="58">
        <v>0</v>
      </c>
      <c r="R17" s="58">
        <v>-0.4</v>
      </c>
      <c r="S17" s="58">
        <v>0</v>
      </c>
      <c r="T17" s="58">
        <v>0.2</v>
      </c>
      <c r="U17" s="58">
        <v>0.7</v>
      </c>
      <c r="W17" s="39">
        <f t="shared" si="0"/>
        <v>2019</v>
      </c>
      <c r="X17" s="40">
        <f t="shared" si="1"/>
        <v>43496</v>
      </c>
      <c r="Y17" s="40">
        <f t="shared" si="1"/>
        <v>43524</v>
      </c>
      <c r="Z17" s="40">
        <f t="shared" si="1"/>
        <v>43555</v>
      </c>
      <c r="AA17" s="40">
        <f t="shared" si="1"/>
        <v>43585</v>
      </c>
      <c r="AB17" s="40">
        <f t="shared" si="1"/>
        <v>43616</v>
      </c>
      <c r="AC17" s="40">
        <f t="shared" si="1"/>
        <v>43646</v>
      </c>
      <c r="AD17" s="40">
        <f t="shared" si="1"/>
        <v>43677</v>
      </c>
      <c r="AE17" s="40">
        <f t="shared" si="1"/>
        <v>43708</v>
      </c>
      <c r="AF17" s="40">
        <f t="shared" si="1"/>
        <v>43738</v>
      </c>
      <c r="AG17" s="40">
        <f t="shared" si="1"/>
        <v>43769</v>
      </c>
      <c r="AH17" s="40">
        <f t="shared" si="1"/>
        <v>43799</v>
      </c>
      <c r="AI17" s="40">
        <f t="shared" si="1"/>
        <v>43830</v>
      </c>
      <c r="AK17" s="39">
        <f t="shared" si="2"/>
        <v>2019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2">
        <v>2020</v>
      </c>
      <c r="J18" s="58">
        <v>1.2</v>
      </c>
      <c r="K18" s="58">
        <v>0.9</v>
      </c>
      <c r="L18" s="58">
        <v>0.8</v>
      </c>
      <c r="M18" s="58">
        <v>0</v>
      </c>
      <c r="N18" s="58">
        <v>-0.2</v>
      </c>
      <c r="O18" s="58">
        <v>0.2</v>
      </c>
      <c r="P18" s="58">
        <v>0.4</v>
      </c>
      <c r="Q18" s="58">
        <v>0.8</v>
      </c>
      <c r="R18" s="58">
        <v>0.9</v>
      </c>
      <c r="S18" s="58">
        <v>0.1</v>
      </c>
      <c r="T18" s="58">
        <v>0.6</v>
      </c>
      <c r="U18" s="58">
        <v>0.6</v>
      </c>
      <c r="W18" s="39">
        <f t="shared" si="0"/>
        <v>2020</v>
      </c>
      <c r="X18" s="40">
        <f t="shared" si="1"/>
        <v>43861</v>
      </c>
      <c r="Y18" s="40">
        <f t="shared" si="1"/>
        <v>43890</v>
      </c>
      <c r="Z18" s="40">
        <f t="shared" si="1"/>
        <v>43921</v>
      </c>
      <c r="AA18" s="40">
        <f t="shared" si="1"/>
        <v>43951</v>
      </c>
      <c r="AB18" s="40">
        <f t="shared" si="1"/>
        <v>43982</v>
      </c>
      <c r="AC18" s="40">
        <f t="shared" si="1"/>
        <v>44012</v>
      </c>
      <c r="AD18" s="40">
        <f t="shared" si="1"/>
        <v>44043</v>
      </c>
      <c r="AE18" s="40">
        <f t="shared" si="1"/>
        <v>44074</v>
      </c>
      <c r="AF18" s="40">
        <f t="shared" si="1"/>
        <v>44104</v>
      </c>
      <c r="AG18" s="40">
        <f t="shared" si="1"/>
        <v>44135</v>
      </c>
      <c r="AH18" s="40">
        <f t="shared" si="1"/>
        <v>44165</v>
      </c>
      <c r="AI18" s="40">
        <f t="shared" si="1"/>
        <v>44196</v>
      </c>
      <c r="AK18" s="39">
        <f t="shared" si="2"/>
        <v>2020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2">
        <v>2021</v>
      </c>
      <c r="J19" s="58">
        <v>0.9</v>
      </c>
      <c r="K19" s="58">
        <v>1.4</v>
      </c>
      <c r="L19" s="58">
        <v>1.9</v>
      </c>
      <c r="M19" s="58">
        <v>2.5</v>
      </c>
      <c r="N19" s="58">
        <v>2.6</v>
      </c>
      <c r="O19" s="58">
        <v>2.2999999999999998</v>
      </c>
      <c r="P19" s="58">
        <v>2.6</v>
      </c>
      <c r="Q19" s="58">
        <v>2.6</v>
      </c>
      <c r="R19" s="58">
        <v>2.4</v>
      </c>
      <c r="S19" s="58">
        <v>3.2</v>
      </c>
      <c r="T19" s="58">
        <v>3.8</v>
      </c>
      <c r="U19" s="58">
        <v>3.7</v>
      </c>
      <c r="W19" s="39">
        <f t="shared" si="0"/>
        <v>2021</v>
      </c>
      <c r="X19" s="40">
        <f t="shared" si="1"/>
        <v>44227</v>
      </c>
      <c r="Y19" s="40">
        <f t="shared" si="1"/>
        <v>44255</v>
      </c>
      <c r="Z19" s="40">
        <f t="shared" si="1"/>
        <v>44286</v>
      </c>
      <c r="AA19" s="40">
        <f t="shared" si="1"/>
        <v>44316</v>
      </c>
      <c r="AB19" s="40">
        <f t="shared" si="1"/>
        <v>44347</v>
      </c>
      <c r="AC19" s="40">
        <f t="shared" si="1"/>
        <v>44377</v>
      </c>
      <c r="AD19" s="40">
        <f t="shared" si="1"/>
        <v>44408</v>
      </c>
      <c r="AE19" s="40">
        <f t="shared" si="1"/>
        <v>44439</v>
      </c>
      <c r="AF19" s="40">
        <f t="shared" si="1"/>
        <v>44469</v>
      </c>
      <c r="AG19" s="40">
        <f t="shared" si="1"/>
        <v>44500</v>
      </c>
      <c r="AH19" s="40">
        <f t="shared" si="1"/>
        <v>44530</v>
      </c>
      <c r="AI19" s="40">
        <f t="shared" si="1"/>
        <v>44561</v>
      </c>
      <c r="AK19" s="39">
        <f t="shared" si="2"/>
        <v>2021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2">
        <v>2022</v>
      </c>
      <c r="J20" s="58">
        <v>3.6</v>
      </c>
      <c r="K20" s="58">
        <v>3.7</v>
      </c>
      <c r="L20" s="58">
        <v>4.0999999999999996</v>
      </c>
      <c r="M20" s="58">
        <v>4.8</v>
      </c>
      <c r="N20" s="58">
        <v>5.4</v>
      </c>
      <c r="O20" s="58">
        <v>6</v>
      </c>
      <c r="P20" s="58">
        <v>6.3</v>
      </c>
      <c r="Q20" s="58">
        <v>5.7</v>
      </c>
      <c r="R20" s="58">
        <v>5.6</v>
      </c>
      <c r="S20" s="58">
        <v>5.7</v>
      </c>
      <c r="T20" s="58">
        <v>5</v>
      </c>
      <c r="U20" s="58">
        <v>5</v>
      </c>
      <c r="W20" s="39">
        <f>W21-1</f>
        <v>2022</v>
      </c>
      <c r="X20" s="40">
        <f t="shared" si="1"/>
        <v>44592</v>
      </c>
      <c r="Y20" s="40">
        <f t="shared" si="1"/>
        <v>44620</v>
      </c>
      <c r="Z20" s="40">
        <f t="shared" si="1"/>
        <v>44651</v>
      </c>
      <c r="AA20" s="40">
        <f t="shared" si="1"/>
        <v>44681</v>
      </c>
      <c r="AB20" s="40">
        <f t="shared" si="1"/>
        <v>44712</v>
      </c>
      <c r="AC20" s="40">
        <f t="shared" si="1"/>
        <v>44742</v>
      </c>
      <c r="AD20" s="40">
        <f t="shared" si="1"/>
        <v>44773</v>
      </c>
      <c r="AE20" s="40">
        <f t="shared" si="1"/>
        <v>44804</v>
      </c>
      <c r="AF20" s="40">
        <f t="shared" si="1"/>
        <v>44834</v>
      </c>
      <c r="AG20" s="40">
        <f t="shared" si="1"/>
        <v>44865</v>
      </c>
      <c r="AH20" s="40">
        <f t="shared" si="1"/>
        <v>44895</v>
      </c>
      <c r="AI20" s="40">
        <f t="shared" si="1"/>
        <v>44926</v>
      </c>
      <c r="AK20" s="39">
        <f>AK21-1</f>
        <v>2022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2023</v>
      </c>
      <c r="J21" s="58">
        <v>5.2</v>
      </c>
      <c r="K21" s="58" t="s">
        <v>225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2023</v>
      </c>
      <c r="X21" s="40">
        <f t="shared" si="1"/>
        <v>44957</v>
      </c>
      <c r="Y21" s="40" t="str">
        <f t="shared" si="1"/>
        <v/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2023</v>
      </c>
      <c r="AL21" s="40" t="str">
        <f t="shared" si="3"/>
        <v>MAX</v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2">
        <v>2013</v>
      </c>
      <c r="J24" s="58" t="s">
        <v>225</v>
      </c>
      <c r="K24" s="58">
        <v>-1.6</v>
      </c>
      <c r="L24" s="58">
        <v>-2.4</v>
      </c>
      <c r="M24" s="58">
        <v>-2.8</v>
      </c>
      <c r="N24" s="58">
        <v>-2.6</v>
      </c>
      <c r="O24" s="58">
        <v>-1.4</v>
      </c>
      <c r="P24" s="58">
        <v>-1</v>
      </c>
      <c r="Q24" s="58">
        <v>-1.3</v>
      </c>
      <c r="R24" s="58">
        <v>-1.8</v>
      </c>
      <c r="S24" s="58">
        <v>-1.4</v>
      </c>
      <c r="T24" s="58">
        <v>-0.9</v>
      </c>
      <c r="U24" s="58">
        <v>-0.4</v>
      </c>
      <c r="W24" s="39">
        <f t="shared" ref="W24:W32" si="4">W25-1</f>
        <v>2013</v>
      </c>
      <c r="X24" s="40" t="str">
        <f t="shared" ref="X24:AI34" si="5">X11</f>
        <v/>
      </c>
      <c r="Y24" s="40">
        <f t="shared" si="5"/>
        <v>41333</v>
      </c>
      <c r="Z24" s="40">
        <f t="shared" si="5"/>
        <v>41364</v>
      </c>
      <c r="AA24" s="40">
        <f t="shared" si="5"/>
        <v>41394</v>
      </c>
      <c r="AB24" s="40">
        <f t="shared" si="5"/>
        <v>41425</v>
      </c>
      <c r="AC24" s="40">
        <f t="shared" si="5"/>
        <v>41455</v>
      </c>
      <c r="AD24" s="40">
        <f t="shared" si="5"/>
        <v>41486</v>
      </c>
      <c r="AE24" s="40">
        <f t="shared" si="5"/>
        <v>41517</v>
      </c>
      <c r="AF24" s="40">
        <f t="shared" si="5"/>
        <v>41547</v>
      </c>
      <c r="AG24" s="40">
        <f t="shared" si="5"/>
        <v>41578</v>
      </c>
      <c r="AH24" s="40">
        <f t="shared" si="5"/>
        <v>41608</v>
      </c>
      <c r="AI24" s="40">
        <f t="shared" si="5"/>
        <v>41639</v>
      </c>
      <c r="AK24" s="39">
        <f t="shared" ref="AK24:AK32" si="6">AK25-1</f>
        <v>2013</v>
      </c>
      <c r="AL24" s="40" t="str">
        <f t="shared" ref="AL24:AW34" si="7">AL11</f>
        <v/>
      </c>
      <c r="AM24" s="40" t="str">
        <f t="shared" si="7"/>
        <v>MIN</v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2">
        <v>2014</v>
      </c>
      <c r="J25" s="58">
        <v>-0.3</v>
      </c>
      <c r="K25" s="58">
        <v>-0.9</v>
      </c>
      <c r="L25" s="58">
        <v>-0.5</v>
      </c>
      <c r="M25" s="58">
        <v>-0.3</v>
      </c>
      <c r="N25" s="58">
        <v>0</v>
      </c>
      <c r="O25" s="58">
        <v>0.1</v>
      </c>
      <c r="P25" s="58">
        <v>0.2</v>
      </c>
      <c r="Q25" s="58">
        <v>-0.2</v>
      </c>
      <c r="R25" s="58">
        <v>-0.5</v>
      </c>
      <c r="S25" s="58">
        <v>-0.8</v>
      </c>
      <c r="T25" s="58">
        <v>-0.9</v>
      </c>
      <c r="U25" s="58">
        <v>-2.1</v>
      </c>
      <c r="W25" s="39">
        <f t="shared" si="4"/>
        <v>2014</v>
      </c>
      <c r="X25" s="40">
        <f t="shared" si="5"/>
        <v>41670</v>
      </c>
      <c r="Y25" s="40">
        <f t="shared" si="5"/>
        <v>41698</v>
      </c>
      <c r="Z25" s="40">
        <f t="shared" si="5"/>
        <v>41729</v>
      </c>
      <c r="AA25" s="40">
        <f t="shared" si="5"/>
        <v>41759</v>
      </c>
      <c r="AB25" s="40">
        <f t="shared" si="5"/>
        <v>41790</v>
      </c>
      <c r="AC25" s="40">
        <f t="shared" si="5"/>
        <v>41820</v>
      </c>
      <c r="AD25" s="40">
        <f t="shared" si="5"/>
        <v>41851</v>
      </c>
      <c r="AE25" s="40">
        <f t="shared" si="5"/>
        <v>41882</v>
      </c>
      <c r="AF25" s="40">
        <f t="shared" si="5"/>
        <v>41912</v>
      </c>
      <c r="AG25" s="40">
        <f t="shared" si="5"/>
        <v>41943</v>
      </c>
      <c r="AH25" s="40">
        <f t="shared" si="5"/>
        <v>41973</v>
      </c>
      <c r="AI25" s="40">
        <f t="shared" si="5"/>
        <v>42004</v>
      </c>
      <c r="AK25" s="39">
        <f t="shared" si="6"/>
        <v>2014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2">
        <v>2015</v>
      </c>
      <c r="J26" s="58">
        <v>-3.6</v>
      </c>
      <c r="K26" s="58">
        <v>-3.6</v>
      </c>
      <c r="L26" s="58">
        <v>-3.7</v>
      </c>
      <c r="M26" s="58">
        <v>-3.6</v>
      </c>
      <c r="N26" s="58">
        <v>-3.5</v>
      </c>
      <c r="O26" s="58">
        <v>-3.6</v>
      </c>
      <c r="P26" s="58">
        <v>-4.0999999999999996</v>
      </c>
      <c r="Q26" s="58">
        <v>-4.5</v>
      </c>
      <c r="R26" s="58">
        <v>-4.5999999999999996</v>
      </c>
      <c r="S26" s="58">
        <v>-4.5999999999999996</v>
      </c>
      <c r="T26" s="58">
        <v>-4.7</v>
      </c>
      <c r="U26" s="58">
        <v>-4</v>
      </c>
      <c r="W26" s="39">
        <f t="shared" si="4"/>
        <v>2015</v>
      </c>
      <c r="X26" s="40">
        <f t="shared" si="5"/>
        <v>42035</v>
      </c>
      <c r="Y26" s="40">
        <f t="shared" si="5"/>
        <v>42063</v>
      </c>
      <c r="Z26" s="40">
        <f t="shared" si="5"/>
        <v>42094</v>
      </c>
      <c r="AA26" s="40">
        <f t="shared" si="5"/>
        <v>42124</v>
      </c>
      <c r="AB26" s="40">
        <f t="shared" si="5"/>
        <v>42155</v>
      </c>
      <c r="AC26" s="40">
        <f t="shared" si="5"/>
        <v>42185</v>
      </c>
      <c r="AD26" s="40">
        <f t="shared" si="5"/>
        <v>42216</v>
      </c>
      <c r="AE26" s="40">
        <f t="shared" si="5"/>
        <v>42247</v>
      </c>
      <c r="AF26" s="40">
        <f t="shared" si="5"/>
        <v>42277</v>
      </c>
      <c r="AG26" s="40">
        <f t="shared" si="5"/>
        <v>42308</v>
      </c>
      <c r="AH26" s="40">
        <f t="shared" si="5"/>
        <v>42338</v>
      </c>
      <c r="AI26" s="40">
        <f t="shared" si="5"/>
        <v>42369</v>
      </c>
      <c r="AK26" s="39">
        <f t="shared" si="6"/>
        <v>2015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2">
        <v>2016</v>
      </c>
      <c r="J27" s="58">
        <v>-3.3</v>
      </c>
      <c r="K27" s="58">
        <v>-3.4</v>
      </c>
      <c r="L27" s="58">
        <v>-3.3</v>
      </c>
      <c r="M27" s="58">
        <v>-3</v>
      </c>
      <c r="N27" s="58">
        <v>-3</v>
      </c>
      <c r="O27" s="58">
        <v>-2.7</v>
      </c>
      <c r="P27" s="58">
        <v>-2.5</v>
      </c>
      <c r="Q27" s="58">
        <v>-1.8</v>
      </c>
      <c r="R27" s="58">
        <v>-1.1000000000000001</v>
      </c>
      <c r="S27" s="58">
        <v>-0.1</v>
      </c>
      <c r="T27" s="58">
        <v>0.7</v>
      </c>
      <c r="U27" s="58">
        <v>1.8</v>
      </c>
      <c r="W27" s="39">
        <f t="shared" si="4"/>
        <v>2016</v>
      </c>
      <c r="X27" s="40">
        <f t="shared" si="5"/>
        <v>42400</v>
      </c>
      <c r="Y27" s="40">
        <f t="shared" si="5"/>
        <v>42429</v>
      </c>
      <c r="Z27" s="40">
        <f t="shared" si="5"/>
        <v>42460</v>
      </c>
      <c r="AA27" s="40">
        <f t="shared" si="5"/>
        <v>42490</v>
      </c>
      <c r="AB27" s="40">
        <f t="shared" si="5"/>
        <v>42521</v>
      </c>
      <c r="AC27" s="40">
        <f t="shared" si="5"/>
        <v>42551</v>
      </c>
      <c r="AD27" s="40">
        <f t="shared" si="5"/>
        <v>42582</v>
      </c>
      <c r="AE27" s="40">
        <f t="shared" si="5"/>
        <v>42613</v>
      </c>
      <c r="AF27" s="40">
        <f t="shared" si="5"/>
        <v>42643</v>
      </c>
      <c r="AG27" s="40">
        <f t="shared" si="5"/>
        <v>42674</v>
      </c>
      <c r="AH27" s="40">
        <f t="shared" si="5"/>
        <v>42704</v>
      </c>
      <c r="AI27" s="40">
        <f t="shared" si="5"/>
        <v>42735</v>
      </c>
      <c r="AK27" s="39">
        <f t="shared" si="6"/>
        <v>2016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2">
        <v>2017</v>
      </c>
      <c r="J28" s="58">
        <v>3.9</v>
      </c>
      <c r="K28" s="58">
        <v>4.3</v>
      </c>
      <c r="L28" s="58">
        <v>4.3</v>
      </c>
      <c r="M28" s="58">
        <v>3.8</v>
      </c>
      <c r="N28" s="58">
        <v>3.4</v>
      </c>
      <c r="O28" s="58">
        <v>2.8</v>
      </c>
      <c r="P28" s="58">
        <v>3</v>
      </c>
      <c r="Q28" s="58">
        <v>3.3</v>
      </c>
      <c r="R28" s="58">
        <v>3.8</v>
      </c>
      <c r="S28" s="58">
        <v>3.6</v>
      </c>
      <c r="T28" s="58">
        <v>3</v>
      </c>
      <c r="U28" s="58">
        <v>2.2000000000000002</v>
      </c>
      <c r="W28" s="39">
        <f t="shared" si="4"/>
        <v>2017</v>
      </c>
      <c r="X28" s="40">
        <f t="shared" si="5"/>
        <v>42766</v>
      </c>
      <c r="Y28" s="40">
        <f t="shared" si="5"/>
        <v>42794</v>
      </c>
      <c r="Z28" s="40">
        <f t="shared" si="5"/>
        <v>42825</v>
      </c>
      <c r="AA28" s="40">
        <f t="shared" si="5"/>
        <v>42855</v>
      </c>
      <c r="AB28" s="40">
        <f t="shared" si="5"/>
        <v>42886</v>
      </c>
      <c r="AC28" s="40">
        <f t="shared" si="5"/>
        <v>42916</v>
      </c>
      <c r="AD28" s="40">
        <f t="shared" si="5"/>
        <v>42947</v>
      </c>
      <c r="AE28" s="40">
        <f t="shared" si="5"/>
        <v>42978</v>
      </c>
      <c r="AF28" s="40">
        <f t="shared" si="5"/>
        <v>43008</v>
      </c>
      <c r="AG28" s="40">
        <f t="shared" si="5"/>
        <v>43039</v>
      </c>
      <c r="AH28" s="40">
        <f t="shared" si="5"/>
        <v>43069</v>
      </c>
      <c r="AI28" s="40">
        <f t="shared" si="5"/>
        <v>43100</v>
      </c>
      <c r="AK28" s="39">
        <f t="shared" si="6"/>
        <v>2017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2">
        <v>2018</v>
      </c>
      <c r="J29" s="58">
        <v>1.2</v>
      </c>
      <c r="K29" s="58">
        <v>1.2</v>
      </c>
      <c r="L29" s="58">
        <v>1.2</v>
      </c>
      <c r="M29" s="58">
        <v>1.5</v>
      </c>
      <c r="N29" s="58">
        <v>2.1</v>
      </c>
      <c r="O29" s="58">
        <v>2.5</v>
      </c>
      <c r="P29" s="58">
        <v>2.9</v>
      </c>
      <c r="Q29" s="58">
        <v>2.9</v>
      </c>
      <c r="R29" s="58">
        <v>2.5</v>
      </c>
      <c r="S29" s="58">
        <v>2.1</v>
      </c>
      <c r="T29" s="58">
        <v>1.5</v>
      </c>
      <c r="U29" s="58">
        <v>0.9</v>
      </c>
      <c r="W29" s="39">
        <f t="shared" si="4"/>
        <v>2018</v>
      </c>
      <c r="X29" s="40">
        <f t="shared" si="5"/>
        <v>43131</v>
      </c>
      <c r="Y29" s="40">
        <f t="shared" si="5"/>
        <v>43159</v>
      </c>
      <c r="Z29" s="40">
        <f t="shared" si="5"/>
        <v>43190</v>
      </c>
      <c r="AA29" s="40">
        <f t="shared" si="5"/>
        <v>43220</v>
      </c>
      <c r="AB29" s="40">
        <f t="shared" si="5"/>
        <v>43251</v>
      </c>
      <c r="AC29" s="40">
        <f t="shared" si="5"/>
        <v>43281</v>
      </c>
      <c r="AD29" s="40">
        <f t="shared" si="5"/>
        <v>43312</v>
      </c>
      <c r="AE29" s="40">
        <f t="shared" si="5"/>
        <v>43343</v>
      </c>
      <c r="AF29" s="40">
        <f t="shared" si="5"/>
        <v>43373</v>
      </c>
      <c r="AG29" s="40">
        <f t="shared" si="5"/>
        <v>43404</v>
      </c>
      <c r="AH29" s="40">
        <f t="shared" si="5"/>
        <v>43434</v>
      </c>
      <c r="AI29" s="40">
        <f t="shared" si="5"/>
        <v>43465</v>
      </c>
      <c r="AK29" s="39">
        <f t="shared" si="6"/>
        <v>2018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2">
        <v>2019</v>
      </c>
      <c r="J30" s="58">
        <v>0.4</v>
      </c>
      <c r="K30" s="58">
        <v>0.1</v>
      </c>
      <c r="L30" s="58">
        <v>0.5</v>
      </c>
      <c r="M30" s="58">
        <v>0.6</v>
      </c>
      <c r="N30" s="58">
        <v>0.4</v>
      </c>
      <c r="O30" s="58">
        <v>0.1</v>
      </c>
      <c r="P30" s="58">
        <v>-0.3</v>
      </c>
      <c r="Q30" s="58">
        <v>-0.6</v>
      </c>
      <c r="R30" s="58">
        <v>-0.8</v>
      </c>
      <c r="S30" s="58">
        <v>-0.7</v>
      </c>
      <c r="T30" s="58">
        <v>-0.1</v>
      </c>
      <c r="U30" s="58">
        <v>0.7</v>
      </c>
      <c r="W30" s="39">
        <f t="shared" si="4"/>
        <v>2019</v>
      </c>
      <c r="X30" s="40">
        <f t="shared" si="5"/>
        <v>43496</v>
      </c>
      <c r="Y30" s="40">
        <f t="shared" si="5"/>
        <v>43524</v>
      </c>
      <c r="Z30" s="40">
        <f t="shared" si="5"/>
        <v>43555</v>
      </c>
      <c r="AA30" s="40">
        <f t="shared" si="5"/>
        <v>43585</v>
      </c>
      <c r="AB30" s="40">
        <f t="shared" si="5"/>
        <v>43616</v>
      </c>
      <c r="AC30" s="40">
        <f t="shared" si="5"/>
        <v>43646</v>
      </c>
      <c r="AD30" s="40">
        <f t="shared" si="5"/>
        <v>43677</v>
      </c>
      <c r="AE30" s="40">
        <f t="shared" si="5"/>
        <v>43708</v>
      </c>
      <c r="AF30" s="40">
        <f t="shared" si="5"/>
        <v>43738</v>
      </c>
      <c r="AG30" s="40">
        <f t="shared" si="5"/>
        <v>43769</v>
      </c>
      <c r="AH30" s="40">
        <f t="shared" si="5"/>
        <v>43799</v>
      </c>
      <c r="AI30" s="40">
        <f t="shared" si="5"/>
        <v>43830</v>
      </c>
      <c r="AK30" s="39">
        <f t="shared" si="6"/>
        <v>2019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2">
        <v>2020</v>
      </c>
      <c r="J31" s="58">
        <v>1.1000000000000001</v>
      </c>
      <c r="K31" s="58">
        <v>0.7</v>
      </c>
      <c r="L31" s="58">
        <v>-0.5</v>
      </c>
      <c r="M31" s="58">
        <v>-1.7</v>
      </c>
      <c r="N31" s="58">
        <v>-1.8</v>
      </c>
      <c r="O31" s="58">
        <v>-1</v>
      </c>
      <c r="P31" s="58">
        <v>-0.8</v>
      </c>
      <c r="Q31" s="58">
        <v>-0.5</v>
      </c>
      <c r="R31" s="58">
        <v>-0.4</v>
      </c>
      <c r="S31" s="58">
        <v>-0.5</v>
      </c>
      <c r="T31" s="58">
        <v>-0.3</v>
      </c>
      <c r="U31" s="58">
        <v>0.2</v>
      </c>
      <c r="W31" s="39">
        <f t="shared" si="4"/>
        <v>2020</v>
      </c>
      <c r="X31" s="40">
        <f t="shared" si="5"/>
        <v>43861</v>
      </c>
      <c r="Y31" s="40">
        <f t="shared" si="5"/>
        <v>43890</v>
      </c>
      <c r="Z31" s="40">
        <f t="shared" si="5"/>
        <v>43921</v>
      </c>
      <c r="AA31" s="40">
        <f t="shared" si="5"/>
        <v>43951</v>
      </c>
      <c r="AB31" s="40">
        <f t="shared" si="5"/>
        <v>43982</v>
      </c>
      <c r="AC31" s="40">
        <f t="shared" si="5"/>
        <v>44012</v>
      </c>
      <c r="AD31" s="40">
        <f t="shared" si="5"/>
        <v>44043</v>
      </c>
      <c r="AE31" s="40">
        <f t="shared" si="5"/>
        <v>44074</v>
      </c>
      <c r="AF31" s="40">
        <f t="shared" si="5"/>
        <v>44104</v>
      </c>
      <c r="AG31" s="40">
        <f t="shared" si="5"/>
        <v>44135</v>
      </c>
      <c r="AH31" s="40">
        <f t="shared" si="5"/>
        <v>44165</v>
      </c>
      <c r="AI31" s="40">
        <f t="shared" si="5"/>
        <v>44196</v>
      </c>
      <c r="AK31" s="39">
        <f t="shared" si="6"/>
        <v>2020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2">
        <v>2021</v>
      </c>
      <c r="J32" s="58">
        <v>0.9</v>
      </c>
      <c r="K32" s="58">
        <v>2.1</v>
      </c>
      <c r="L32" s="58">
        <v>4.0999999999999996</v>
      </c>
      <c r="M32" s="58">
        <v>6</v>
      </c>
      <c r="N32" s="58">
        <v>6.6</v>
      </c>
      <c r="O32" s="58">
        <v>6.6</v>
      </c>
      <c r="P32" s="58">
        <v>7.4</v>
      </c>
      <c r="Q32" s="58">
        <v>7.4</v>
      </c>
      <c r="R32" s="58">
        <v>7.6</v>
      </c>
      <c r="S32" s="58">
        <v>9.1</v>
      </c>
      <c r="T32" s="58">
        <v>9.8000000000000007</v>
      </c>
      <c r="U32" s="58">
        <v>9</v>
      </c>
      <c r="W32" s="39">
        <f t="shared" si="4"/>
        <v>2021</v>
      </c>
      <c r="X32" s="40">
        <f t="shared" si="5"/>
        <v>44227</v>
      </c>
      <c r="Y32" s="40">
        <f t="shared" si="5"/>
        <v>44255</v>
      </c>
      <c r="Z32" s="40">
        <f t="shared" si="5"/>
        <v>44286</v>
      </c>
      <c r="AA32" s="40">
        <f t="shared" si="5"/>
        <v>44316</v>
      </c>
      <c r="AB32" s="40">
        <f t="shared" si="5"/>
        <v>44347</v>
      </c>
      <c r="AC32" s="40">
        <f t="shared" si="5"/>
        <v>44377</v>
      </c>
      <c r="AD32" s="40">
        <f t="shared" si="5"/>
        <v>44408</v>
      </c>
      <c r="AE32" s="40">
        <f t="shared" si="5"/>
        <v>44439</v>
      </c>
      <c r="AF32" s="40">
        <f t="shared" si="5"/>
        <v>44469</v>
      </c>
      <c r="AG32" s="40">
        <f t="shared" si="5"/>
        <v>44500</v>
      </c>
      <c r="AH32" s="40">
        <f t="shared" si="5"/>
        <v>44530</v>
      </c>
      <c r="AI32" s="40">
        <f t="shared" si="5"/>
        <v>44561</v>
      </c>
      <c r="AK32" s="39">
        <f t="shared" si="6"/>
        <v>2021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2">
        <v>2022</v>
      </c>
      <c r="J33" s="58">
        <v>8.9</v>
      </c>
      <c r="K33" s="58">
        <v>8.5</v>
      </c>
      <c r="L33" s="58">
        <v>9</v>
      </c>
      <c r="M33" s="58">
        <v>9.6999999999999993</v>
      </c>
      <c r="N33" s="58">
        <v>9.9</v>
      </c>
      <c r="O33" s="58">
        <v>10</v>
      </c>
      <c r="P33" s="58">
        <v>9.1999999999999993</v>
      </c>
      <c r="Q33" s="58">
        <v>8.1999999999999993</v>
      </c>
      <c r="R33" s="58">
        <v>7.9</v>
      </c>
      <c r="S33" s="58">
        <v>7.3</v>
      </c>
      <c r="T33" s="58">
        <v>6.2</v>
      </c>
      <c r="U33" s="58">
        <v>5.8</v>
      </c>
      <c r="W33" s="39">
        <f>W34-1</f>
        <v>2022</v>
      </c>
      <c r="X33" s="40">
        <f t="shared" si="5"/>
        <v>44592</v>
      </c>
      <c r="Y33" s="40">
        <f t="shared" si="5"/>
        <v>44620</v>
      </c>
      <c r="Z33" s="40">
        <f t="shared" si="5"/>
        <v>44651</v>
      </c>
      <c r="AA33" s="40">
        <f t="shared" si="5"/>
        <v>44681</v>
      </c>
      <c r="AB33" s="40">
        <f t="shared" si="5"/>
        <v>44712</v>
      </c>
      <c r="AC33" s="40">
        <f t="shared" si="5"/>
        <v>44742</v>
      </c>
      <c r="AD33" s="40">
        <f t="shared" si="5"/>
        <v>44773</v>
      </c>
      <c r="AE33" s="40">
        <f t="shared" si="5"/>
        <v>44804</v>
      </c>
      <c r="AF33" s="40">
        <f t="shared" si="5"/>
        <v>44834</v>
      </c>
      <c r="AG33" s="40">
        <f t="shared" si="5"/>
        <v>44865</v>
      </c>
      <c r="AH33" s="40">
        <f t="shared" si="5"/>
        <v>44895</v>
      </c>
      <c r="AI33" s="40">
        <f t="shared" si="5"/>
        <v>44926</v>
      </c>
      <c r="AK33" s="39">
        <f>AK34-1</f>
        <v>2022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2023</v>
      </c>
      <c r="J34" s="58">
        <v>5.0999999999999996</v>
      </c>
      <c r="K34" s="58" t="s">
        <v>225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2023</v>
      </c>
      <c r="X34" s="40">
        <f t="shared" si="5"/>
        <v>44957</v>
      </c>
      <c r="Y34" s="40" t="str">
        <f t="shared" si="5"/>
        <v/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2023</v>
      </c>
      <c r="AL34" s="40" t="str">
        <f t="shared" si="7"/>
        <v>MAX</v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2">
        <v>2013</v>
      </c>
      <c r="J37" s="58" t="s">
        <v>225</v>
      </c>
      <c r="K37" s="58">
        <v>0.9</v>
      </c>
      <c r="L37" s="58">
        <v>0.9</v>
      </c>
      <c r="M37" s="58">
        <v>0.7</v>
      </c>
      <c r="N37" s="58">
        <v>0.8</v>
      </c>
      <c r="O37" s="58">
        <v>0.8</v>
      </c>
      <c r="P37" s="58">
        <v>0.9</v>
      </c>
      <c r="Q37" s="58">
        <v>1.1000000000000001</v>
      </c>
      <c r="R37" s="58">
        <v>1.1000000000000001</v>
      </c>
      <c r="S37" s="58">
        <v>1.1000000000000001</v>
      </c>
      <c r="T37" s="58">
        <v>1.1000000000000001</v>
      </c>
      <c r="U37" s="58">
        <v>1</v>
      </c>
      <c r="W37" s="39">
        <f t="shared" ref="W37:W45" si="8">W38-1</f>
        <v>2013</v>
      </c>
      <c r="X37" s="40" t="str">
        <f t="shared" ref="X37:AI47" si="9">X11</f>
        <v/>
      </c>
      <c r="Y37" s="40">
        <f t="shared" si="9"/>
        <v>41333</v>
      </c>
      <c r="Z37" s="40">
        <f t="shared" si="9"/>
        <v>41364</v>
      </c>
      <c r="AA37" s="40">
        <f t="shared" si="9"/>
        <v>41394</v>
      </c>
      <c r="AB37" s="40">
        <f t="shared" si="9"/>
        <v>41425</v>
      </c>
      <c r="AC37" s="40">
        <f t="shared" si="9"/>
        <v>41455</v>
      </c>
      <c r="AD37" s="40">
        <f t="shared" si="9"/>
        <v>41486</v>
      </c>
      <c r="AE37" s="40">
        <f t="shared" si="9"/>
        <v>41517</v>
      </c>
      <c r="AF37" s="40">
        <f t="shared" si="9"/>
        <v>41547</v>
      </c>
      <c r="AG37" s="40">
        <f t="shared" si="9"/>
        <v>41578</v>
      </c>
      <c r="AH37" s="40">
        <f t="shared" si="9"/>
        <v>41608</v>
      </c>
      <c r="AI37" s="40">
        <f t="shared" si="9"/>
        <v>41639</v>
      </c>
      <c r="AK37" s="39">
        <f t="shared" ref="AK37:AK45" si="10">AK38-1</f>
        <v>2013</v>
      </c>
      <c r="AL37" s="40" t="str">
        <f t="shared" ref="AL37:AW47" si="11">AL11</f>
        <v/>
      </c>
      <c r="AM37" s="40" t="str">
        <f t="shared" si="11"/>
        <v>MIN</v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2">
        <v>2014</v>
      </c>
      <c r="J38" s="58">
        <v>1</v>
      </c>
      <c r="K38" s="58">
        <v>0.9</v>
      </c>
      <c r="L38" s="58">
        <v>0.8</v>
      </c>
      <c r="M38" s="58">
        <v>1</v>
      </c>
      <c r="N38" s="58">
        <v>1</v>
      </c>
      <c r="O38" s="58">
        <v>0.9</v>
      </c>
      <c r="P38" s="58">
        <v>0.9</v>
      </c>
      <c r="Q38" s="58">
        <v>0.7</v>
      </c>
      <c r="R38" s="58">
        <v>0.6</v>
      </c>
      <c r="S38" s="58">
        <v>0.6</v>
      </c>
      <c r="T38" s="58">
        <v>0.7</v>
      </c>
      <c r="U38" s="58">
        <v>0.7</v>
      </c>
      <c r="W38" s="39">
        <f t="shared" si="8"/>
        <v>2014</v>
      </c>
      <c r="X38" s="40">
        <f t="shared" si="9"/>
        <v>41670</v>
      </c>
      <c r="Y38" s="40">
        <f t="shared" si="9"/>
        <v>41698</v>
      </c>
      <c r="Z38" s="40">
        <f t="shared" si="9"/>
        <v>41729</v>
      </c>
      <c r="AA38" s="40">
        <f t="shared" si="9"/>
        <v>41759</v>
      </c>
      <c r="AB38" s="40">
        <f t="shared" si="9"/>
        <v>41790</v>
      </c>
      <c r="AC38" s="40">
        <f t="shared" si="9"/>
        <v>41820</v>
      </c>
      <c r="AD38" s="40">
        <f t="shared" si="9"/>
        <v>41851</v>
      </c>
      <c r="AE38" s="40">
        <f t="shared" si="9"/>
        <v>41882</v>
      </c>
      <c r="AF38" s="40">
        <f t="shared" si="9"/>
        <v>41912</v>
      </c>
      <c r="AG38" s="40">
        <f t="shared" si="9"/>
        <v>41943</v>
      </c>
      <c r="AH38" s="40">
        <f t="shared" si="9"/>
        <v>41973</v>
      </c>
      <c r="AI38" s="40">
        <f t="shared" si="9"/>
        <v>42004</v>
      </c>
      <c r="AK38" s="39">
        <f t="shared" si="10"/>
        <v>2014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2">
        <v>2015</v>
      </c>
      <c r="J39" s="58">
        <v>0.9</v>
      </c>
      <c r="K39" s="58">
        <v>0.9</v>
      </c>
      <c r="L39" s="58">
        <v>1</v>
      </c>
      <c r="M39" s="58">
        <v>1</v>
      </c>
      <c r="N39" s="58">
        <v>0.9</v>
      </c>
      <c r="O39" s="58">
        <v>1</v>
      </c>
      <c r="P39" s="58">
        <v>0.8</v>
      </c>
      <c r="Q39" s="58">
        <v>0.4</v>
      </c>
      <c r="R39" s="58">
        <v>0.4</v>
      </c>
      <c r="S39" s="58">
        <v>0.4</v>
      </c>
      <c r="T39" s="58">
        <v>0.3</v>
      </c>
      <c r="U39" s="58">
        <v>0.3</v>
      </c>
      <c r="W39" s="39">
        <f t="shared" si="8"/>
        <v>2015</v>
      </c>
      <c r="X39" s="40">
        <f t="shared" si="9"/>
        <v>42035</v>
      </c>
      <c r="Y39" s="40">
        <f t="shared" si="9"/>
        <v>42063</v>
      </c>
      <c r="Z39" s="40">
        <f t="shared" si="9"/>
        <v>42094</v>
      </c>
      <c r="AA39" s="40">
        <f t="shared" si="9"/>
        <v>42124</v>
      </c>
      <c r="AB39" s="40">
        <f t="shared" si="9"/>
        <v>42155</v>
      </c>
      <c r="AC39" s="40">
        <f t="shared" si="9"/>
        <v>42185</v>
      </c>
      <c r="AD39" s="40">
        <f t="shared" si="9"/>
        <v>42216</v>
      </c>
      <c r="AE39" s="40">
        <f t="shared" si="9"/>
        <v>42247</v>
      </c>
      <c r="AF39" s="40">
        <f t="shared" si="9"/>
        <v>42277</v>
      </c>
      <c r="AG39" s="40">
        <f t="shared" si="9"/>
        <v>42308</v>
      </c>
      <c r="AH39" s="40">
        <f t="shared" si="9"/>
        <v>42338</v>
      </c>
      <c r="AI39" s="40">
        <f t="shared" si="9"/>
        <v>42369</v>
      </c>
      <c r="AK39" s="39">
        <f t="shared" si="10"/>
        <v>2015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2">
        <v>2016</v>
      </c>
      <c r="J40" s="58">
        <v>0.3</v>
      </c>
      <c r="K40" s="58">
        <v>0.3</v>
      </c>
      <c r="L40" s="58">
        <v>0.3</v>
      </c>
      <c r="M40" s="58">
        <v>0.3</v>
      </c>
      <c r="N40" s="58">
        <v>0.5</v>
      </c>
      <c r="O40" s="58">
        <v>0.6</v>
      </c>
      <c r="P40" s="58">
        <v>0.6</v>
      </c>
      <c r="Q40" s="58">
        <v>1.2</v>
      </c>
      <c r="R40" s="58">
        <v>1.2</v>
      </c>
      <c r="S40" s="58">
        <v>1.1000000000000001</v>
      </c>
      <c r="T40" s="58">
        <v>1.1000000000000001</v>
      </c>
      <c r="U40" s="58">
        <v>1</v>
      </c>
      <c r="W40" s="39">
        <f t="shared" si="8"/>
        <v>2016</v>
      </c>
      <c r="X40" s="40">
        <f t="shared" si="9"/>
        <v>42400</v>
      </c>
      <c r="Y40" s="40">
        <f t="shared" si="9"/>
        <v>42429</v>
      </c>
      <c r="Z40" s="40">
        <f t="shared" si="9"/>
        <v>42460</v>
      </c>
      <c r="AA40" s="40">
        <f t="shared" si="9"/>
        <v>42490</v>
      </c>
      <c r="AB40" s="40">
        <f t="shared" si="9"/>
        <v>42521</v>
      </c>
      <c r="AC40" s="40">
        <f t="shared" si="9"/>
        <v>42551</v>
      </c>
      <c r="AD40" s="40">
        <f t="shared" si="9"/>
        <v>42582</v>
      </c>
      <c r="AE40" s="40">
        <f t="shared" si="9"/>
        <v>42613</v>
      </c>
      <c r="AF40" s="40">
        <f t="shared" si="9"/>
        <v>42643</v>
      </c>
      <c r="AG40" s="40">
        <f t="shared" si="9"/>
        <v>42674</v>
      </c>
      <c r="AH40" s="40">
        <f t="shared" si="9"/>
        <v>42704</v>
      </c>
      <c r="AI40" s="40">
        <f t="shared" si="9"/>
        <v>42735</v>
      </c>
      <c r="AK40" s="39">
        <f t="shared" si="10"/>
        <v>2016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2">
        <v>2017</v>
      </c>
      <c r="J41" s="58">
        <v>0.9</v>
      </c>
      <c r="K41" s="58">
        <v>0.8</v>
      </c>
      <c r="L41" s="58">
        <v>0.9</v>
      </c>
      <c r="M41" s="58">
        <v>0.9</v>
      </c>
      <c r="N41" s="58">
        <v>0.7</v>
      </c>
      <c r="O41" s="58">
        <v>0.5</v>
      </c>
      <c r="P41" s="58">
        <v>0.7</v>
      </c>
      <c r="Q41" s="58">
        <v>0.5</v>
      </c>
      <c r="R41" s="58">
        <v>0.3</v>
      </c>
      <c r="S41" s="58">
        <v>0.4</v>
      </c>
      <c r="T41" s="58">
        <v>0.3</v>
      </c>
      <c r="U41" s="58">
        <v>0.4</v>
      </c>
      <c r="W41" s="39">
        <f t="shared" si="8"/>
        <v>2017</v>
      </c>
      <c r="X41" s="40">
        <f t="shared" si="9"/>
        <v>42766</v>
      </c>
      <c r="Y41" s="40">
        <f t="shared" si="9"/>
        <v>42794</v>
      </c>
      <c r="Z41" s="40">
        <f t="shared" si="9"/>
        <v>42825</v>
      </c>
      <c r="AA41" s="40">
        <f t="shared" si="9"/>
        <v>42855</v>
      </c>
      <c r="AB41" s="40">
        <f t="shared" si="9"/>
        <v>42886</v>
      </c>
      <c r="AC41" s="40">
        <f t="shared" si="9"/>
        <v>42916</v>
      </c>
      <c r="AD41" s="40">
        <f t="shared" si="9"/>
        <v>42947</v>
      </c>
      <c r="AE41" s="40">
        <f t="shared" si="9"/>
        <v>42978</v>
      </c>
      <c r="AF41" s="40">
        <f t="shared" si="9"/>
        <v>43008</v>
      </c>
      <c r="AG41" s="40">
        <f t="shared" si="9"/>
        <v>43039</v>
      </c>
      <c r="AH41" s="40">
        <f t="shared" si="9"/>
        <v>43069</v>
      </c>
      <c r="AI41" s="40">
        <f t="shared" si="9"/>
        <v>43100</v>
      </c>
      <c r="AK41" s="39">
        <f t="shared" si="10"/>
        <v>2017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2">
        <v>2018</v>
      </c>
      <c r="J42" s="58">
        <v>0.3</v>
      </c>
      <c r="K42" s="58">
        <v>0.3</v>
      </c>
      <c r="L42" s="58">
        <v>0.2</v>
      </c>
      <c r="M42" s="58">
        <v>0.3</v>
      </c>
      <c r="N42" s="58">
        <v>0.3</v>
      </c>
      <c r="O42" s="58">
        <v>0.5</v>
      </c>
      <c r="P42" s="58">
        <v>0.5</v>
      </c>
      <c r="Q42" s="58">
        <v>0.7</v>
      </c>
      <c r="R42" s="58">
        <v>1</v>
      </c>
      <c r="S42" s="58">
        <v>1</v>
      </c>
      <c r="T42" s="58">
        <v>1.1000000000000001</v>
      </c>
      <c r="U42" s="58">
        <v>1.1000000000000001</v>
      </c>
      <c r="W42" s="39">
        <f t="shared" si="8"/>
        <v>2018</v>
      </c>
      <c r="X42" s="40">
        <f t="shared" si="9"/>
        <v>43131</v>
      </c>
      <c r="Y42" s="40">
        <f t="shared" si="9"/>
        <v>43159</v>
      </c>
      <c r="Z42" s="40">
        <f t="shared" si="9"/>
        <v>43190</v>
      </c>
      <c r="AA42" s="40">
        <f t="shared" si="9"/>
        <v>43220</v>
      </c>
      <c r="AB42" s="40">
        <f t="shared" si="9"/>
        <v>43251</v>
      </c>
      <c r="AC42" s="40">
        <f t="shared" si="9"/>
        <v>43281</v>
      </c>
      <c r="AD42" s="40">
        <f t="shared" si="9"/>
        <v>43312</v>
      </c>
      <c r="AE42" s="40">
        <f t="shared" si="9"/>
        <v>43343</v>
      </c>
      <c r="AF42" s="40">
        <f t="shared" si="9"/>
        <v>43373</v>
      </c>
      <c r="AG42" s="40">
        <f t="shared" si="9"/>
        <v>43404</v>
      </c>
      <c r="AH42" s="40">
        <f t="shared" si="9"/>
        <v>43434</v>
      </c>
      <c r="AI42" s="40">
        <f t="shared" si="9"/>
        <v>43465</v>
      </c>
      <c r="AK42" s="39">
        <f t="shared" si="10"/>
        <v>2018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2">
        <v>2019</v>
      </c>
      <c r="J43" s="58">
        <v>1.2</v>
      </c>
      <c r="K43" s="58">
        <v>1.3</v>
      </c>
      <c r="L43" s="58">
        <v>1.3</v>
      </c>
      <c r="M43" s="58">
        <v>1.2</v>
      </c>
      <c r="N43" s="58">
        <v>1.2</v>
      </c>
      <c r="O43" s="58">
        <v>1</v>
      </c>
      <c r="P43" s="58">
        <v>1</v>
      </c>
      <c r="Q43" s="58">
        <v>0.8</v>
      </c>
      <c r="R43" s="58">
        <v>0.8</v>
      </c>
      <c r="S43" s="58">
        <v>0.9</v>
      </c>
      <c r="T43" s="58">
        <v>0.8</v>
      </c>
      <c r="U43" s="58">
        <v>0.8</v>
      </c>
      <c r="W43" s="39">
        <f t="shared" si="8"/>
        <v>2019</v>
      </c>
      <c r="X43" s="40">
        <f t="shared" si="9"/>
        <v>43496</v>
      </c>
      <c r="Y43" s="40">
        <f t="shared" si="9"/>
        <v>43524</v>
      </c>
      <c r="Z43" s="40">
        <f t="shared" si="9"/>
        <v>43555</v>
      </c>
      <c r="AA43" s="40">
        <f t="shared" si="9"/>
        <v>43585</v>
      </c>
      <c r="AB43" s="40">
        <f t="shared" si="9"/>
        <v>43616</v>
      </c>
      <c r="AC43" s="40">
        <f t="shared" si="9"/>
        <v>43646</v>
      </c>
      <c r="AD43" s="40">
        <f t="shared" si="9"/>
        <v>43677</v>
      </c>
      <c r="AE43" s="40">
        <f t="shared" si="9"/>
        <v>43708</v>
      </c>
      <c r="AF43" s="40">
        <f t="shared" si="9"/>
        <v>43738</v>
      </c>
      <c r="AG43" s="40">
        <f t="shared" si="9"/>
        <v>43769</v>
      </c>
      <c r="AH43" s="40">
        <f t="shared" si="9"/>
        <v>43799</v>
      </c>
      <c r="AI43" s="40">
        <f t="shared" si="9"/>
        <v>43830</v>
      </c>
      <c r="AK43" s="39">
        <f t="shared" si="10"/>
        <v>2019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2">
        <v>2020</v>
      </c>
      <c r="J44" s="58">
        <v>1.2</v>
      </c>
      <c r="K44" s="58">
        <v>1.1000000000000001</v>
      </c>
      <c r="L44" s="58">
        <v>1.1000000000000001</v>
      </c>
      <c r="M44" s="58">
        <v>1</v>
      </c>
      <c r="N44" s="58">
        <v>1</v>
      </c>
      <c r="O44" s="58">
        <v>1</v>
      </c>
      <c r="P44" s="58">
        <v>0.9</v>
      </c>
      <c r="Q44" s="58">
        <v>0.9</v>
      </c>
      <c r="R44" s="58">
        <v>0.7</v>
      </c>
      <c r="S44" s="58">
        <v>0.6</v>
      </c>
      <c r="T44" s="58">
        <v>0.6</v>
      </c>
      <c r="U44" s="58">
        <v>0.6</v>
      </c>
      <c r="W44" s="39">
        <f t="shared" si="8"/>
        <v>2020</v>
      </c>
      <c r="X44" s="40">
        <f t="shared" si="9"/>
        <v>43861</v>
      </c>
      <c r="Y44" s="40">
        <f t="shared" si="9"/>
        <v>43890</v>
      </c>
      <c r="Z44" s="40">
        <f t="shared" si="9"/>
        <v>43921</v>
      </c>
      <c r="AA44" s="40">
        <f t="shared" si="9"/>
        <v>43951</v>
      </c>
      <c r="AB44" s="40">
        <f t="shared" si="9"/>
        <v>43982</v>
      </c>
      <c r="AC44" s="40">
        <f t="shared" si="9"/>
        <v>44012</v>
      </c>
      <c r="AD44" s="40">
        <f t="shared" si="9"/>
        <v>44043</v>
      </c>
      <c r="AE44" s="40">
        <f t="shared" si="9"/>
        <v>44074</v>
      </c>
      <c r="AF44" s="40">
        <f t="shared" si="9"/>
        <v>44104</v>
      </c>
      <c r="AG44" s="40">
        <f t="shared" si="9"/>
        <v>44135</v>
      </c>
      <c r="AH44" s="40">
        <f t="shared" si="9"/>
        <v>44165</v>
      </c>
      <c r="AI44" s="40">
        <f t="shared" si="9"/>
        <v>44196</v>
      </c>
      <c r="AK44" s="39">
        <f t="shared" si="10"/>
        <v>2020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2">
        <v>2021</v>
      </c>
      <c r="J45" s="58">
        <v>-0.2</v>
      </c>
      <c r="K45" s="58">
        <v>-0.2</v>
      </c>
      <c r="L45" s="58">
        <v>-0.2</v>
      </c>
      <c r="M45" s="58">
        <v>-0.4</v>
      </c>
      <c r="N45" s="58">
        <v>-0.3</v>
      </c>
      <c r="O45" s="58">
        <v>-0.3</v>
      </c>
      <c r="P45" s="58">
        <v>-0.3</v>
      </c>
      <c r="Q45" s="58">
        <v>-0.4</v>
      </c>
      <c r="R45" s="58">
        <v>-0.3</v>
      </c>
      <c r="S45" s="58">
        <v>-0.3</v>
      </c>
      <c r="T45" s="58">
        <v>-0.3</v>
      </c>
      <c r="U45" s="58">
        <v>-0.2</v>
      </c>
      <c r="W45" s="39">
        <f t="shared" si="8"/>
        <v>2021</v>
      </c>
      <c r="X45" s="40">
        <f t="shared" si="9"/>
        <v>44227</v>
      </c>
      <c r="Y45" s="40">
        <f t="shared" si="9"/>
        <v>44255</v>
      </c>
      <c r="Z45" s="40">
        <f t="shared" si="9"/>
        <v>44286</v>
      </c>
      <c r="AA45" s="40">
        <f t="shared" si="9"/>
        <v>44316</v>
      </c>
      <c r="AB45" s="40">
        <f t="shared" si="9"/>
        <v>44347</v>
      </c>
      <c r="AC45" s="40">
        <f t="shared" si="9"/>
        <v>44377</v>
      </c>
      <c r="AD45" s="40">
        <f t="shared" si="9"/>
        <v>44408</v>
      </c>
      <c r="AE45" s="40">
        <f t="shared" si="9"/>
        <v>44439</v>
      </c>
      <c r="AF45" s="40">
        <f t="shared" si="9"/>
        <v>44469</v>
      </c>
      <c r="AG45" s="40">
        <f t="shared" si="9"/>
        <v>44500</v>
      </c>
      <c r="AH45" s="40">
        <f t="shared" si="9"/>
        <v>44530</v>
      </c>
      <c r="AI45" s="40">
        <f t="shared" si="9"/>
        <v>44561</v>
      </c>
      <c r="AK45" s="39">
        <f t="shared" si="10"/>
        <v>2021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2">
        <v>2022</v>
      </c>
      <c r="J46" s="58">
        <v>0.2</v>
      </c>
      <c r="K46" s="58">
        <v>0.2</v>
      </c>
      <c r="L46" s="58">
        <v>0.2</v>
      </c>
      <c r="M46" s="58">
        <v>0.4</v>
      </c>
      <c r="N46" s="58">
        <v>0.4</v>
      </c>
      <c r="O46" s="58">
        <v>0.4</v>
      </c>
      <c r="P46" s="58">
        <v>0.6</v>
      </c>
      <c r="Q46" s="58">
        <v>0.6</v>
      </c>
      <c r="R46" s="58">
        <v>0.6</v>
      </c>
      <c r="S46" s="58">
        <v>0.6</v>
      </c>
      <c r="T46" s="58">
        <v>0.6</v>
      </c>
      <c r="U46" s="58">
        <v>0.8</v>
      </c>
      <c r="W46" s="39">
        <f>W47-1</f>
        <v>2022</v>
      </c>
      <c r="X46" s="40">
        <f t="shared" si="9"/>
        <v>44592</v>
      </c>
      <c r="Y46" s="40">
        <f t="shared" si="9"/>
        <v>44620</v>
      </c>
      <c r="Z46" s="40">
        <f t="shared" si="9"/>
        <v>44651</v>
      </c>
      <c r="AA46" s="40">
        <f t="shared" si="9"/>
        <v>44681</v>
      </c>
      <c r="AB46" s="40">
        <f t="shared" si="9"/>
        <v>44712</v>
      </c>
      <c r="AC46" s="40">
        <f t="shared" si="9"/>
        <v>44742</v>
      </c>
      <c r="AD46" s="40">
        <f t="shared" si="9"/>
        <v>44773</v>
      </c>
      <c r="AE46" s="40">
        <f t="shared" si="9"/>
        <v>44804</v>
      </c>
      <c r="AF46" s="40">
        <f t="shared" si="9"/>
        <v>44834</v>
      </c>
      <c r="AG46" s="40">
        <f t="shared" si="9"/>
        <v>44865</v>
      </c>
      <c r="AH46" s="40">
        <f t="shared" si="9"/>
        <v>44895</v>
      </c>
      <c r="AI46" s="40">
        <f t="shared" si="9"/>
        <v>44926</v>
      </c>
      <c r="AK46" s="39">
        <f>AK47-1</f>
        <v>2022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2023</v>
      </c>
      <c r="J47" s="58">
        <v>0.7</v>
      </c>
      <c r="K47" s="58" t="s">
        <v>225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2023</v>
      </c>
      <c r="X47" s="40">
        <f t="shared" si="9"/>
        <v>44957</v>
      </c>
      <c r="Y47" s="40" t="str">
        <f t="shared" si="9"/>
        <v/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2023</v>
      </c>
      <c r="AL47" s="40" t="str">
        <f t="shared" si="11"/>
        <v>MAX</v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85" priority="7" operator="equal">
      <formula>FALSE</formula>
    </cfRule>
    <cfRule type="cellIs" dxfId="184" priority="8" operator="equal">
      <formula>TRUE</formula>
    </cfRule>
  </conditionalFormatting>
  <conditionalFormatting sqref="F22">
    <cfRule type="cellIs" dxfId="183" priority="5" operator="equal">
      <formula>FALSE</formula>
    </cfRule>
    <cfRule type="cellIs" dxfId="182" priority="6" operator="equal">
      <formula>TRUE</formula>
    </cfRule>
  </conditionalFormatting>
  <conditionalFormatting sqref="F35">
    <cfRule type="cellIs" dxfId="181" priority="3" operator="equal">
      <formula>FALSE</formula>
    </cfRule>
    <cfRule type="cellIs" dxfId="180" priority="4" operator="equal">
      <formula>TRUE</formula>
    </cfRule>
  </conditionalFormatting>
  <conditionalFormatting sqref="J11:U21 J24:U34 J37:U47">
    <cfRule type="expression" dxfId="179" priority="1">
      <formula>AL11="MAX"</formula>
    </cfRule>
    <cfRule type="expression" dxfId="178" priority="2">
      <formula>AL11="MIN"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Y73"/>
  <sheetViews>
    <sheetView showGridLines="0" zoomScaleNormal="100" workbookViewId="0">
      <selection activeCell="J17" sqref="J1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44957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44926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41305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1.6199999999999999E-2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1.17E-2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1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 t="s">
        <v>225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 t="str">
        <f t="shared" si="1"/>
        <v/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1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>MIN</v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1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1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1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1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1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1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1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1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>
        <v>5.7</v>
      </c>
      <c r="R21" s="58">
        <v>5.6</v>
      </c>
      <c r="S21" s="58">
        <v>5.7</v>
      </c>
      <c r="T21" s="58">
        <v>5</v>
      </c>
      <c r="U21" s="58">
        <v>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>
        <f t="shared" si="1"/>
        <v>44804</v>
      </c>
      <c r="AF21" s="40">
        <f t="shared" si="1"/>
        <v>44834</v>
      </c>
      <c r="AG21" s="40">
        <f t="shared" si="1"/>
        <v>44865</v>
      </c>
      <c r="AH21" s="40">
        <f t="shared" si="1"/>
        <v>44895</v>
      </c>
      <c r="AI21" s="40">
        <f t="shared" si="1"/>
        <v>44926</v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>MAX</v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1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 t="s">
        <v>225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 t="str">
        <f t="shared" si="5"/>
        <v/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1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>MIN</v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1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1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1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1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1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1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1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1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>
        <v>8.1999999999999993</v>
      </c>
      <c r="R34" s="58">
        <v>7.9</v>
      </c>
      <c r="S34" s="58">
        <v>7.3</v>
      </c>
      <c r="T34" s="58">
        <v>6.2</v>
      </c>
      <c r="U34" s="58">
        <v>5.8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>
        <f t="shared" si="5"/>
        <v>44804</v>
      </c>
      <c r="AF34" s="40">
        <f t="shared" si="5"/>
        <v>44834</v>
      </c>
      <c r="AG34" s="40">
        <f t="shared" si="5"/>
        <v>44865</v>
      </c>
      <c r="AH34" s="40">
        <f t="shared" si="5"/>
        <v>44895</v>
      </c>
      <c r="AI34" s="40">
        <f t="shared" si="5"/>
        <v>44926</v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>MAX</v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1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 t="s">
        <v>225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 t="str">
        <f t="shared" si="9"/>
        <v/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1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>MIN</v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1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1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1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1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1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1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1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1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>
        <v>0.6</v>
      </c>
      <c r="R47" s="58">
        <v>0.6</v>
      </c>
      <c r="S47" s="58">
        <v>0.6</v>
      </c>
      <c r="T47" s="58">
        <v>0.6</v>
      </c>
      <c r="U47" s="58">
        <v>0.8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>
        <f t="shared" si="9"/>
        <v>44804</v>
      </c>
      <c r="AF47" s="40">
        <f t="shared" si="9"/>
        <v>44834</v>
      </c>
      <c r="AG47" s="40">
        <f t="shared" si="9"/>
        <v>44865</v>
      </c>
      <c r="AH47" s="40">
        <f t="shared" si="9"/>
        <v>44895</v>
      </c>
      <c r="AI47" s="40">
        <f t="shared" si="9"/>
        <v>44926</v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>MAX</v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77" priority="7" operator="equal">
      <formula>FALSE</formula>
    </cfRule>
    <cfRule type="cellIs" dxfId="176" priority="8" operator="equal">
      <formula>TRUE</formula>
    </cfRule>
  </conditionalFormatting>
  <conditionalFormatting sqref="F22">
    <cfRule type="cellIs" dxfId="175" priority="5" operator="equal">
      <formula>FALSE</formula>
    </cfRule>
    <cfRule type="cellIs" dxfId="174" priority="6" operator="equal">
      <formula>TRUE</formula>
    </cfRule>
  </conditionalFormatting>
  <conditionalFormatting sqref="F35">
    <cfRule type="cellIs" dxfId="173" priority="3" operator="equal">
      <formula>FALSE</formula>
    </cfRule>
    <cfRule type="cellIs" dxfId="172" priority="4" operator="equal">
      <formula>TRUE</formula>
    </cfRule>
  </conditionalFormatting>
  <conditionalFormatting sqref="J11:U21 J24:U34 J37:U47">
    <cfRule type="expression" dxfId="171" priority="1">
      <formula>AL11="MAX"</formula>
    </cfRule>
    <cfRule type="expression" dxfId="170" priority="2">
      <formula>AL11="MIN"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Y73"/>
  <sheetViews>
    <sheetView showGridLines="0" zoomScaleNormal="100" workbookViewId="0">
      <selection activeCell="G56" sqref="G56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44926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44895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41274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1.5900000000000001E-2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1.11E-2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0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>MIN</v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0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0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0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0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0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0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0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0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0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>
        <v>5.7</v>
      </c>
      <c r="R21" s="58">
        <v>5.6</v>
      </c>
      <c r="S21" s="58">
        <v>5.7</v>
      </c>
      <c r="T21" s="58">
        <v>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>
        <f t="shared" si="1"/>
        <v>44804</v>
      </c>
      <c r="AF21" s="40">
        <f t="shared" si="1"/>
        <v>44834</v>
      </c>
      <c r="AG21" s="40">
        <f t="shared" si="1"/>
        <v>44865</v>
      </c>
      <c r="AH21" s="40">
        <f t="shared" si="1"/>
        <v>44895</v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>MAX</v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0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>MIN</v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0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0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0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0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0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0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0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0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0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>
        <v>8.1999999999999993</v>
      </c>
      <c r="R34" s="58">
        <v>7.9</v>
      </c>
      <c r="S34" s="58">
        <v>7.3</v>
      </c>
      <c r="T34" s="58">
        <v>6.2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>
        <f t="shared" si="5"/>
        <v>44804</v>
      </c>
      <c r="AF34" s="40">
        <f t="shared" si="5"/>
        <v>44834</v>
      </c>
      <c r="AG34" s="40">
        <f t="shared" si="5"/>
        <v>44865</v>
      </c>
      <c r="AH34" s="40">
        <f t="shared" si="5"/>
        <v>44895</v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>MAX</v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0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>MIN</v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0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0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0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0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0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0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0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0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0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>
        <v>0.6</v>
      </c>
      <c r="R47" s="58">
        <v>0.6</v>
      </c>
      <c r="S47" s="58">
        <v>0.6</v>
      </c>
      <c r="T47" s="58">
        <v>0.6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>
        <f t="shared" si="9"/>
        <v>44804</v>
      </c>
      <c r="AF47" s="40">
        <f t="shared" si="9"/>
        <v>44834</v>
      </c>
      <c r="AG47" s="40">
        <f t="shared" si="9"/>
        <v>44865</v>
      </c>
      <c r="AH47" s="40">
        <f t="shared" si="9"/>
        <v>44895</v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>MAX</v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69" priority="7" operator="equal">
      <formula>FALSE</formula>
    </cfRule>
    <cfRule type="cellIs" dxfId="168" priority="8" operator="equal">
      <formula>TRUE</formula>
    </cfRule>
  </conditionalFormatting>
  <conditionalFormatting sqref="F22">
    <cfRule type="cellIs" dxfId="167" priority="5" operator="equal">
      <formula>FALSE</formula>
    </cfRule>
    <cfRule type="cellIs" dxfId="166" priority="6" operator="equal">
      <formula>TRUE</formula>
    </cfRule>
  </conditionalFormatting>
  <conditionalFormatting sqref="F35">
    <cfRule type="cellIs" dxfId="165" priority="3" operator="equal">
      <formula>FALSE</formula>
    </cfRule>
    <cfRule type="cellIs" dxfId="164" priority="4" operator="equal">
      <formula>TRUE</formula>
    </cfRule>
  </conditionalFormatting>
  <conditionalFormatting sqref="J11:U21 J24:U34 J37:U47">
    <cfRule type="expression" dxfId="163" priority="1">
      <formula>AL11="MAX"</formula>
    </cfRule>
    <cfRule type="expression" dxfId="162" priority="2">
      <formula>AL11="MIN"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Y73"/>
  <sheetViews>
    <sheetView showGridLines="0" zoomScaleNormal="100" workbookViewId="0">
      <selection activeCell="I41" sqref="I41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44895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44865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41243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1.5599999999999999E-2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1.06E-2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10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>MIN</v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10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10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10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10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10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10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10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10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10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>
        <v>5.7</v>
      </c>
      <c r="R21" s="58">
        <v>5.6</v>
      </c>
      <c r="S21" s="58">
        <v>5.7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>
        <f t="shared" si="1"/>
        <v>44804</v>
      </c>
      <c r="AF21" s="40">
        <f t="shared" si="1"/>
        <v>44834</v>
      </c>
      <c r="AG21" s="40">
        <f t="shared" si="1"/>
        <v>44865</v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>MAX</v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10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>MIN</v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10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10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10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10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10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10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10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10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10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>
        <v>8.1999999999999993</v>
      </c>
      <c r="R34" s="58">
        <v>7.9</v>
      </c>
      <c r="S34" s="58">
        <v>7.3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>
        <f t="shared" si="5"/>
        <v>44804</v>
      </c>
      <c r="AF34" s="40">
        <f t="shared" si="5"/>
        <v>44834</v>
      </c>
      <c r="AG34" s="40">
        <f t="shared" si="5"/>
        <v>44865</v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>MAX</v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10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>MIN</v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10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10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10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10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10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10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10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10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10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>
        <v>0.6</v>
      </c>
      <c r="R47" s="58">
        <v>0.6</v>
      </c>
      <c r="S47" s="58">
        <v>0.6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>
        <f t="shared" si="9"/>
        <v>44804</v>
      </c>
      <c r="AF47" s="40">
        <f t="shared" si="9"/>
        <v>44834</v>
      </c>
      <c r="AG47" s="40">
        <f t="shared" si="9"/>
        <v>44865</v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>MAX</v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61" priority="7" operator="equal">
      <formula>FALSE</formula>
    </cfRule>
    <cfRule type="cellIs" dxfId="160" priority="8" operator="equal">
      <formula>TRUE</formula>
    </cfRule>
  </conditionalFormatting>
  <conditionalFormatting sqref="F22">
    <cfRule type="cellIs" dxfId="159" priority="5" operator="equal">
      <formula>FALSE</formula>
    </cfRule>
    <cfRule type="cellIs" dxfId="158" priority="6" operator="equal">
      <formula>TRUE</formula>
    </cfRule>
  </conditionalFormatting>
  <conditionalFormatting sqref="F35">
    <cfRule type="cellIs" dxfId="157" priority="3" operator="equal">
      <formula>FALSE</formula>
    </cfRule>
    <cfRule type="cellIs" dxfId="156" priority="4" operator="equal">
      <formula>TRUE</formula>
    </cfRule>
  </conditionalFormatting>
  <conditionalFormatting sqref="J11:U21 J24:U34 J37:U47">
    <cfRule type="expression" dxfId="155" priority="1">
      <formula>AL11="MAX"</formula>
    </cfRule>
    <cfRule type="expression" dxfId="154" priority="2">
      <formula>AL11="MIN"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Y73"/>
  <sheetViews>
    <sheetView showGridLines="0" zoomScaleNormal="100" workbookViewId="0">
      <selection activeCell="F36" sqref="F36:U4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44865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44834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41213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1.5299999999999999E-2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9.9000000000000008E-3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6.4999999999999997E-3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08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>MIN</v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08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08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08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08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08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08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08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08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08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>
        <v>5.7</v>
      </c>
      <c r="R21" s="58">
        <v>5.6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>
        <f t="shared" si="1"/>
        <v>44804</v>
      </c>
      <c r="AF21" s="40">
        <f t="shared" si="1"/>
        <v>44834</v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>MAX</v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08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>MIN</v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08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08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08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08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08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08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08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08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08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>
        <v>8.1999999999999993</v>
      </c>
      <c r="R34" s="58">
        <v>7.9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>
        <f t="shared" si="5"/>
        <v>44804</v>
      </c>
      <c r="AF34" s="40">
        <f t="shared" si="5"/>
        <v>44834</v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>MAX</v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08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>MIN</v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08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08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08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08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08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08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08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08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08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>
        <v>0.6</v>
      </c>
      <c r="R47" s="58">
        <v>0.6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>
        <f t="shared" si="9"/>
        <v>44804</v>
      </c>
      <c r="AF47" s="40">
        <f t="shared" si="9"/>
        <v>44834</v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>MAX</v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53" priority="7" operator="equal">
      <formula>FALSE</formula>
    </cfRule>
    <cfRule type="cellIs" dxfId="152" priority="8" operator="equal">
      <formula>TRUE</formula>
    </cfRule>
  </conditionalFormatting>
  <conditionalFormatting sqref="F22">
    <cfRule type="cellIs" dxfId="151" priority="5" operator="equal">
      <formula>FALSE</formula>
    </cfRule>
    <cfRule type="cellIs" dxfId="150" priority="6" operator="equal">
      <formula>TRUE</formula>
    </cfRule>
  </conditionalFormatting>
  <conditionalFormatting sqref="F35">
    <cfRule type="cellIs" dxfId="149" priority="3" operator="equal">
      <formula>FALSE</formula>
    </cfRule>
    <cfRule type="cellIs" dxfId="148" priority="4" operator="equal">
      <formula>TRUE</formula>
    </cfRule>
  </conditionalFormatting>
  <conditionalFormatting sqref="J11:U21 J24:U34 J37:U47">
    <cfRule type="expression" dxfId="147" priority="1">
      <formula>AL11="MAX"</formula>
    </cfRule>
    <cfRule type="expression" dxfId="146" priority="2">
      <formula>AL11="MIN"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Y73"/>
  <sheetViews>
    <sheetView showGridLines="0" zoomScaleNormal="100" workbookViewId="0">
      <selection activeCell="Q21" sqref="Q21"/>
    </sheetView>
  </sheetViews>
  <sheetFormatPr defaultColWidth="9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9" style="23" customWidth="1"/>
    <col min="36" max="36" width="1.75" style="7" customWidth="1"/>
    <col min="37" max="51" width="9" style="23" customWidth="1"/>
    <col min="52" max="16383" width="9" style="52"/>
    <col min="16384" max="16384" width="7" style="52" customWidth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44834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44804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41182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1.4999999999999999E-2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9.2999999999999992E-3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100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>
        <v>2.1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>MIN</v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100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100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100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100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100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100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100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100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100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>
        <v>5.7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>
        <f t="shared" si="1"/>
        <v>44804</v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>MAX</v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100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>
        <v>0.2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>MIN</v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100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100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100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100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100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100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100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100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100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>
        <v>8.1999999999999993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>
        <f t="shared" si="5"/>
        <v>44804</v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>MAX</v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100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>
        <v>1.1000000000000001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>MIN</v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100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100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100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100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100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100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100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100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100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>
        <v>0.6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>
        <f t="shared" si="9"/>
        <v>44804</v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>MAX</v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45" priority="7" operator="equal">
      <formula>FALSE</formula>
    </cfRule>
    <cfRule type="cellIs" dxfId="144" priority="8" operator="equal">
      <formula>TRUE</formula>
    </cfRule>
  </conditionalFormatting>
  <conditionalFormatting sqref="F22">
    <cfRule type="cellIs" dxfId="143" priority="5" operator="equal">
      <formula>FALSE</formula>
    </cfRule>
    <cfRule type="cellIs" dxfId="142" priority="6" operator="equal">
      <formula>TRUE</formula>
    </cfRule>
  </conditionalFormatting>
  <conditionalFormatting sqref="F35">
    <cfRule type="cellIs" dxfId="141" priority="3" operator="equal">
      <formula>FALSE</formula>
    </cfRule>
    <cfRule type="cellIs" dxfId="140" priority="4" operator="equal">
      <formula>TRUE</formula>
    </cfRule>
  </conditionalFormatting>
  <conditionalFormatting sqref="J11:U21 J24:U34 J37:U47">
    <cfRule type="expression" dxfId="139" priority="1">
      <formula>AL11="MAX"</formula>
    </cfRule>
    <cfRule type="expression" dxfId="138" priority="2">
      <formula>AL11="MIN"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Y73"/>
  <sheetViews>
    <sheetView showGridLines="0" zoomScaleNormal="100" workbookViewId="0">
      <selection activeCell="I11" sqref="I11:U4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44804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44773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41152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1.46E-2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8.6E-3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99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>
        <v>1.3</v>
      </c>
      <c r="R11" s="58">
        <v>2.1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>MIN</v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99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99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99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99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99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99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99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99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99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>
        <v>6.3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>
        <f t="shared" si="1"/>
        <v>44773</v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>MAX</v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99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>
        <v>-0.1</v>
      </c>
      <c r="R24" s="58">
        <v>0.2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>MIN</v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99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99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99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99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99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99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99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99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99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>
        <v>9.1999999999999993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>
        <f t="shared" si="5"/>
        <v>44773</v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>MAX</v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99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>
        <v>1</v>
      </c>
      <c r="R37" s="58">
        <v>1.1000000000000001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>MIN</v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99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99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99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99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99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99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99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99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99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>
        <v>0.6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>
        <f t="shared" si="9"/>
        <v>44773</v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>MAX</v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37" priority="7" operator="equal">
      <formula>FALSE</formula>
    </cfRule>
    <cfRule type="cellIs" dxfId="136" priority="8" operator="equal">
      <formula>TRUE</formula>
    </cfRule>
  </conditionalFormatting>
  <conditionalFormatting sqref="F22">
    <cfRule type="cellIs" dxfId="135" priority="5" operator="equal">
      <formula>FALSE</formula>
    </cfRule>
    <cfRule type="cellIs" dxfId="134" priority="6" operator="equal">
      <formula>TRUE</formula>
    </cfRule>
  </conditionalFormatting>
  <conditionalFormatting sqref="F35">
    <cfRule type="cellIs" dxfId="133" priority="3" operator="equal">
      <formula>FALSE</formula>
    </cfRule>
    <cfRule type="cellIs" dxfId="132" priority="4" operator="equal">
      <formula>TRUE</formula>
    </cfRule>
  </conditionalFormatting>
  <conditionalFormatting sqref="J11:U21 J24:U34 J37:U47">
    <cfRule type="expression" dxfId="131" priority="1">
      <formula>AL11="MAX"</formula>
    </cfRule>
    <cfRule type="expression" dxfId="130" priority="2">
      <formula>AL11="MIN"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Y73"/>
  <sheetViews>
    <sheetView showGridLines="0" zoomScaleNormal="100" workbookViewId="0">
      <selection activeCell="J39" sqref="J39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44773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44742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41121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1.4200000000000001E-2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7.7999999999999996E-3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6.7000000000000002E-3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98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>
        <v>1.5</v>
      </c>
      <c r="Q11" s="58">
        <v>1.3</v>
      </c>
      <c r="R11" s="58">
        <v>2.1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>MIN</v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98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98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98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98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98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98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98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98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98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>
        <v>6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>
        <f t="shared" si="1"/>
        <v>44742</v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>MAX</v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98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>
        <v>-0.6</v>
      </c>
      <c r="Q24" s="58">
        <v>-0.1</v>
      </c>
      <c r="R24" s="58">
        <v>0.2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>MIN</v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98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98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98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98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98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98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98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98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98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>
        <v>10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>
        <f t="shared" si="5"/>
        <v>44742</v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>MAX</v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98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>
        <v>1.1000000000000001</v>
      </c>
      <c r="Q37" s="58">
        <v>1</v>
      </c>
      <c r="R37" s="58">
        <v>1.1000000000000001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>MIN</v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98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98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98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98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98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98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98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98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98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>
        <v>0.4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>
        <f t="shared" si="9"/>
        <v>44742</v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>MAX</v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29" priority="7" operator="equal">
      <formula>FALSE</formula>
    </cfRule>
    <cfRule type="cellIs" dxfId="128" priority="8" operator="equal">
      <formula>TRUE</formula>
    </cfRule>
  </conditionalFormatting>
  <conditionalFormatting sqref="F22">
    <cfRule type="cellIs" dxfId="127" priority="5" operator="equal">
      <formula>FALSE</formula>
    </cfRule>
    <cfRule type="cellIs" dxfId="126" priority="6" operator="equal">
      <formula>TRUE</formula>
    </cfRule>
  </conditionalFormatting>
  <conditionalFormatting sqref="F35">
    <cfRule type="cellIs" dxfId="125" priority="3" operator="equal">
      <formula>FALSE</formula>
    </cfRule>
    <cfRule type="cellIs" dxfId="124" priority="4" operator="equal">
      <formula>TRUE</formula>
    </cfRule>
  </conditionalFormatting>
  <conditionalFormatting sqref="J11:U21 J24:U34 J37:U47">
    <cfRule type="expression" dxfId="123" priority="1">
      <formula>AL11="MAX"</formula>
    </cfRule>
    <cfRule type="expression" dxfId="122" priority="2">
      <formula>AL11="MIN"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73"/>
  <sheetViews>
    <sheetView showGridLines="0" zoomScaleNormal="100" workbookViewId="0">
      <selection activeCell="G24" sqref="G24:G34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44742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44712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41090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1.3899999999999999E-2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6.8999999999999999E-3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6.7000000000000002E-3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94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>
        <v>2.2000000000000002</v>
      </c>
      <c r="P11" s="58">
        <v>1.5</v>
      </c>
      <c r="Q11" s="58">
        <v>1.3</v>
      </c>
      <c r="R11" s="58">
        <v>2.1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>
        <f t="shared" si="1"/>
        <v>41090</v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>MIN</v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94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94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94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94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94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94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94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94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94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>
        <v>5.4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>
        <f t="shared" si="1"/>
        <v>44712</v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>MAX</v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94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>
        <v>0</v>
      </c>
      <c r="P24" s="58">
        <v>-0.6</v>
      </c>
      <c r="Q24" s="58">
        <v>-0.1</v>
      </c>
      <c r="R24" s="58">
        <v>0.2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>
        <f t="shared" si="5"/>
        <v>41090</v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>MIN</v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94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94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94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94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94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94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94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94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94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>
        <v>9.9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>
        <f t="shared" si="5"/>
        <v>44712</v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>MAX</v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94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>
        <v>1</v>
      </c>
      <c r="P37" s="58">
        <v>1.1000000000000001</v>
      </c>
      <c r="Q37" s="58">
        <v>1</v>
      </c>
      <c r="R37" s="58">
        <v>1.1000000000000001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>
        <f t="shared" si="9"/>
        <v>41090</v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>MIN</v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94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94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94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94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94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94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94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94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94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>
        <v>0.4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>
        <f t="shared" si="9"/>
        <v>44712</v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>MAX</v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21" priority="7" operator="equal">
      <formula>FALSE</formula>
    </cfRule>
    <cfRule type="cellIs" dxfId="120" priority="8" operator="equal">
      <formula>TRUE</formula>
    </cfRule>
  </conditionalFormatting>
  <conditionalFormatting sqref="F22">
    <cfRule type="cellIs" dxfId="119" priority="5" operator="equal">
      <formula>FALSE</formula>
    </cfRule>
    <cfRule type="cellIs" dxfId="118" priority="6" operator="equal">
      <formula>TRUE</formula>
    </cfRule>
  </conditionalFormatting>
  <conditionalFormatting sqref="F35">
    <cfRule type="cellIs" dxfId="117" priority="3" operator="equal">
      <formula>FALSE</formula>
    </cfRule>
    <cfRule type="cellIs" dxfId="116" priority="4" operator="equal">
      <formula>TRUE</formula>
    </cfRule>
  </conditionalFormatting>
  <conditionalFormatting sqref="J11:U21 J24:U34 J37:U47">
    <cfRule type="expression" dxfId="115" priority="1">
      <formula>AL11="MAX"</formula>
    </cfRule>
    <cfRule type="expression" dxfId="114" priority="2">
      <formula>AL11="MIN"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Y73"/>
  <sheetViews>
    <sheetView showGridLines="0" zoomScaleNormal="100" workbookViewId="0">
      <selection activeCell="G24" sqref="G24:G34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44712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44681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41060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G7" s="97" t="s">
        <v>259</v>
      </c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1.37E-2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6.1999999999999998E-3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6.7999999999999996E-3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254</v>
      </c>
      <c r="F11" s="144" t="s">
        <v>244</v>
      </c>
      <c r="G11" s="144" t="s">
        <v>219</v>
      </c>
      <c r="H11" s="143" t="s">
        <v>222</v>
      </c>
      <c r="I11" s="94">
        <v>2012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>
        <v>2.5</v>
      </c>
      <c r="O11" s="58">
        <v>2.2000000000000002</v>
      </c>
      <c r="P11" s="58">
        <v>1.5</v>
      </c>
      <c r="Q11" s="58">
        <v>1.3</v>
      </c>
      <c r="R11" s="58">
        <v>2.1</v>
      </c>
      <c r="S11" s="58">
        <v>2.1</v>
      </c>
      <c r="T11" s="58">
        <v>1.6</v>
      </c>
      <c r="U11" s="58">
        <v>1.4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>
        <f t="shared" si="1"/>
        <v>41060</v>
      </c>
      <c r="AC11" s="40">
        <f t="shared" si="1"/>
        <v>41090</v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>MIN</v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254</v>
      </c>
      <c r="F12" s="144"/>
      <c r="G12" s="144"/>
      <c r="H12" s="143"/>
      <c r="I12" s="94">
        <v>2013</v>
      </c>
      <c r="J12" s="58">
        <v>1.6</v>
      </c>
      <c r="K12" s="58">
        <v>1.6</v>
      </c>
      <c r="L12" s="58">
        <v>1.5</v>
      </c>
      <c r="M12" s="58">
        <v>1.3</v>
      </c>
      <c r="N12" s="58">
        <v>1.1000000000000001</v>
      </c>
      <c r="O12" s="58">
        <v>1.2</v>
      </c>
      <c r="P12" s="58">
        <v>1.6</v>
      </c>
      <c r="Q12" s="58">
        <v>1.5</v>
      </c>
      <c r="R12" s="58">
        <v>1</v>
      </c>
      <c r="S12" s="58">
        <v>0.9</v>
      </c>
      <c r="T12" s="58">
        <v>1.2</v>
      </c>
      <c r="U12" s="58">
        <v>1.1000000000000001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254</v>
      </c>
      <c r="F13" s="144"/>
      <c r="G13" s="144"/>
      <c r="H13" s="143"/>
      <c r="I13" s="94">
        <v>2014</v>
      </c>
      <c r="J13" s="58">
        <v>1.1000000000000001</v>
      </c>
      <c r="K13" s="58">
        <v>1</v>
      </c>
      <c r="L13" s="58">
        <v>1.3</v>
      </c>
      <c r="M13" s="58">
        <v>1.5</v>
      </c>
      <c r="N13" s="58">
        <v>1.7</v>
      </c>
      <c r="O13" s="58">
        <v>1.7</v>
      </c>
      <c r="P13" s="58">
        <v>1.6</v>
      </c>
      <c r="Q13" s="58">
        <v>1.4</v>
      </c>
      <c r="R13" s="58">
        <v>1.1000000000000001</v>
      </c>
      <c r="S13" s="58">
        <v>1.1000000000000001</v>
      </c>
      <c r="T13" s="58">
        <v>1</v>
      </c>
      <c r="U13" s="58">
        <v>0.8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254</v>
      </c>
      <c r="F14" s="144"/>
      <c r="G14" s="144"/>
      <c r="H14" s="143"/>
      <c r="I14" s="94">
        <v>2015</v>
      </c>
      <c r="J14" s="58">
        <v>1</v>
      </c>
      <c r="K14" s="58">
        <v>0.6</v>
      </c>
      <c r="L14" s="58">
        <v>0.5</v>
      </c>
      <c r="M14" s="58">
        <v>0.4</v>
      </c>
      <c r="N14" s="58">
        <v>0.6</v>
      </c>
      <c r="O14" s="58">
        <v>0.7</v>
      </c>
      <c r="P14" s="58">
        <v>0.7</v>
      </c>
      <c r="Q14" s="58">
        <v>0.7</v>
      </c>
      <c r="R14" s="58">
        <v>0.5</v>
      </c>
      <c r="S14" s="58">
        <v>0.8</v>
      </c>
      <c r="T14" s="58">
        <v>0.8</v>
      </c>
      <c r="U14" s="58">
        <v>1.1000000000000001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254</v>
      </c>
      <c r="F15" s="144"/>
      <c r="G15" s="144"/>
      <c r="H15" s="143"/>
      <c r="I15" s="94">
        <v>2016</v>
      </c>
      <c r="J15" s="58">
        <v>0.6</v>
      </c>
      <c r="K15" s="58">
        <v>1.1000000000000001</v>
      </c>
      <c r="L15" s="58">
        <v>0.8</v>
      </c>
      <c r="M15" s="58">
        <v>1</v>
      </c>
      <c r="N15" s="58">
        <v>0.8</v>
      </c>
      <c r="O15" s="58">
        <v>0.7</v>
      </c>
      <c r="P15" s="58">
        <v>0.4</v>
      </c>
      <c r="Q15" s="58">
        <v>0.5</v>
      </c>
      <c r="R15" s="58">
        <v>1.3</v>
      </c>
      <c r="S15" s="58">
        <v>1.5</v>
      </c>
      <c r="T15" s="58">
        <v>1.5</v>
      </c>
      <c r="U15" s="58">
        <v>1.3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254</v>
      </c>
      <c r="F16" s="144"/>
      <c r="G16" s="144"/>
      <c r="H16" s="143"/>
      <c r="I16" s="94">
        <v>2017</v>
      </c>
      <c r="J16" s="58">
        <v>2.2000000000000002</v>
      </c>
      <c r="K16" s="58">
        <v>2.1</v>
      </c>
      <c r="L16" s="58">
        <v>2.2999999999999998</v>
      </c>
      <c r="M16" s="58">
        <v>2</v>
      </c>
      <c r="N16" s="58">
        <v>2</v>
      </c>
      <c r="O16" s="58">
        <v>1.8</v>
      </c>
      <c r="P16" s="58">
        <v>2.2000000000000002</v>
      </c>
      <c r="Q16" s="58">
        <v>2.5</v>
      </c>
      <c r="R16" s="58">
        <v>2</v>
      </c>
      <c r="S16" s="58">
        <v>1.8</v>
      </c>
      <c r="T16" s="58">
        <v>1.2</v>
      </c>
      <c r="U16" s="58">
        <v>1.4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254</v>
      </c>
      <c r="F17" s="144"/>
      <c r="G17" s="144"/>
      <c r="H17" s="143"/>
      <c r="I17" s="94">
        <v>2018</v>
      </c>
      <c r="J17" s="58">
        <v>0.8</v>
      </c>
      <c r="K17" s="58">
        <v>1.3</v>
      </c>
      <c r="L17" s="58">
        <v>1.2</v>
      </c>
      <c r="M17" s="58">
        <v>1.5</v>
      </c>
      <c r="N17" s="58">
        <v>1.5</v>
      </c>
      <c r="O17" s="58">
        <v>1.5</v>
      </c>
      <c r="P17" s="58">
        <v>1.1000000000000001</v>
      </c>
      <c r="Q17" s="58">
        <v>1.4</v>
      </c>
      <c r="R17" s="58">
        <v>2.1</v>
      </c>
      <c r="S17" s="58">
        <v>2</v>
      </c>
      <c r="T17" s="58">
        <v>2</v>
      </c>
      <c r="U17" s="58">
        <v>1.3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254</v>
      </c>
      <c r="F18" s="144"/>
      <c r="G18" s="144"/>
      <c r="H18" s="143"/>
      <c r="I18" s="94">
        <v>2019</v>
      </c>
      <c r="J18" s="58">
        <v>0.8</v>
      </c>
      <c r="K18" s="58">
        <v>0.5</v>
      </c>
      <c r="L18" s="58">
        <v>0.4</v>
      </c>
      <c r="M18" s="58">
        <v>0.6</v>
      </c>
      <c r="N18" s="58">
        <v>0.7</v>
      </c>
      <c r="O18" s="58">
        <v>0.7</v>
      </c>
      <c r="P18" s="58">
        <v>0.6</v>
      </c>
      <c r="Q18" s="58">
        <v>0</v>
      </c>
      <c r="R18" s="58">
        <v>-0.4</v>
      </c>
      <c r="S18" s="58">
        <v>0</v>
      </c>
      <c r="T18" s="58">
        <v>0.2</v>
      </c>
      <c r="U18" s="58">
        <v>0.7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254</v>
      </c>
      <c r="F19" s="144"/>
      <c r="G19" s="144"/>
      <c r="H19" s="143"/>
      <c r="I19" s="94">
        <v>2020</v>
      </c>
      <c r="J19" s="58">
        <v>1.2</v>
      </c>
      <c r="K19" s="58">
        <v>0.9</v>
      </c>
      <c r="L19" s="58">
        <v>0.8</v>
      </c>
      <c r="M19" s="58">
        <v>0</v>
      </c>
      <c r="N19" s="58">
        <v>-0.2</v>
      </c>
      <c r="O19" s="58">
        <v>0.2</v>
      </c>
      <c r="P19" s="58">
        <v>0.4</v>
      </c>
      <c r="Q19" s="58">
        <v>0.8</v>
      </c>
      <c r="R19" s="58">
        <v>0.9</v>
      </c>
      <c r="S19" s="58">
        <v>0.1</v>
      </c>
      <c r="T19" s="58">
        <v>0.6</v>
      </c>
      <c r="U19" s="58">
        <v>0.6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254</v>
      </c>
      <c r="F20" s="144"/>
      <c r="G20" s="144"/>
      <c r="H20" s="143"/>
      <c r="I20" s="94">
        <v>2021</v>
      </c>
      <c r="J20" s="58">
        <v>0.9</v>
      </c>
      <c r="K20" s="58">
        <v>1.4</v>
      </c>
      <c r="L20" s="58">
        <v>1.9</v>
      </c>
      <c r="M20" s="58">
        <v>2.5</v>
      </c>
      <c r="N20" s="58">
        <v>2.6</v>
      </c>
      <c r="O20" s="58">
        <v>2.2999999999999998</v>
      </c>
      <c r="P20" s="58">
        <v>2.6</v>
      </c>
      <c r="Q20" s="58">
        <v>2.6</v>
      </c>
      <c r="R20" s="58">
        <v>2.4</v>
      </c>
      <c r="S20" s="58">
        <v>3.2</v>
      </c>
      <c r="T20" s="58">
        <v>3.8</v>
      </c>
      <c r="U20" s="58">
        <v>3.7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254</v>
      </c>
      <c r="F21" s="144"/>
      <c r="G21" s="144"/>
      <c r="H21" s="143"/>
      <c r="I21" s="50">
        <v>2022</v>
      </c>
      <c r="J21" s="58">
        <v>3.6</v>
      </c>
      <c r="K21" s="58">
        <v>3.7</v>
      </c>
      <c r="L21" s="58">
        <v>4.0999999999999996</v>
      </c>
      <c r="M21" s="58">
        <v>4.8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>
        <f t="shared" si="1"/>
        <v>44681</v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>MAX</v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256</v>
      </c>
      <c r="F24" s="142" t="s">
        <v>217</v>
      </c>
      <c r="G24" s="142" t="s">
        <v>218</v>
      </c>
      <c r="H24" s="143" t="s">
        <v>222</v>
      </c>
      <c r="I24" s="94">
        <v>2012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>
        <v>1</v>
      </c>
      <c r="O24" s="58">
        <v>0</v>
      </c>
      <c r="P24" s="58">
        <v>-0.6</v>
      </c>
      <c r="Q24" s="58">
        <v>-0.1</v>
      </c>
      <c r="R24" s="58">
        <v>0.2</v>
      </c>
      <c r="S24" s="58">
        <v>-0.5</v>
      </c>
      <c r="T24" s="58">
        <v>-0.9</v>
      </c>
      <c r="U24" s="58">
        <v>-1.2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>
        <f t="shared" si="5"/>
        <v>41060</v>
      </c>
      <c r="AC24" s="40">
        <f t="shared" si="5"/>
        <v>41090</v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>MIN</v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256</v>
      </c>
      <c r="F25" s="142"/>
      <c r="G25" s="142"/>
      <c r="H25" s="143"/>
      <c r="I25" s="94">
        <v>2013</v>
      </c>
      <c r="J25" s="58">
        <v>-1.6</v>
      </c>
      <c r="K25" s="58">
        <v>-1.6</v>
      </c>
      <c r="L25" s="58">
        <v>-2.4</v>
      </c>
      <c r="M25" s="58">
        <v>-2.8</v>
      </c>
      <c r="N25" s="58">
        <v>-2.6</v>
      </c>
      <c r="O25" s="58">
        <v>-1.4</v>
      </c>
      <c r="P25" s="58">
        <v>-1</v>
      </c>
      <c r="Q25" s="58">
        <v>-1.3</v>
      </c>
      <c r="R25" s="58">
        <v>-1.8</v>
      </c>
      <c r="S25" s="58">
        <v>-1.4</v>
      </c>
      <c r="T25" s="58">
        <v>-0.9</v>
      </c>
      <c r="U25" s="58">
        <v>-0.4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256</v>
      </c>
      <c r="F26" s="142"/>
      <c r="G26" s="142"/>
      <c r="H26" s="143"/>
      <c r="I26" s="94">
        <v>2014</v>
      </c>
      <c r="J26" s="58">
        <v>-0.3</v>
      </c>
      <c r="K26" s="58">
        <v>-0.9</v>
      </c>
      <c r="L26" s="58">
        <v>-0.5</v>
      </c>
      <c r="M26" s="58">
        <v>-0.3</v>
      </c>
      <c r="N26" s="58">
        <v>0</v>
      </c>
      <c r="O26" s="58">
        <v>0.1</v>
      </c>
      <c r="P26" s="58">
        <v>0.2</v>
      </c>
      <c r="Q26" s="58">
        <v>-0.2</v>
      </c>
      <c r="R26" s="58">
        <v>-0.5</v>
      </c>
      <c r="S26" s="58">
        <v>-0.8</v>
      </c>
      <c r="T26" s="58">
        <v>-0.9</v>
      </c>
      <c r="U26" s="58">
        <v>-2.1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256</v>
      </c>
      <c r="F27" s="142"/>
      <c r="G27" s="142"/>
      <c r="H27" s="143"/>
      <c r="I27" s="94">
        <v>2015</v>
      </c>
      <c r="J27" s="58">
        <v>-3.6</v>
      </c>
      <c r="K27" s="58">
        <v>-3.6</v>
      </c>
      <c r="L27" s="58">
        <v>-3.7</v>
      </c>
      <c r="M27" s="58">
        <v>-3.6</v>
      </c>
      <c r="N27" s="58">
        <v>-3.5</v>
      </c>
      <c r="O27" s="58">
        <v>-3.6</v>
      </c>
      <c r="P27" s="58">
        <v>-4.0999999999999996</v>
      </c>
      <c r="Q27" s="58">
        <v>-4.5</v>
      </c>
      <c r="R27" s="58">
        <v>-4.5999999999999996</v>
      </c>
      <c r="S27" s="58">
        <v>-4.5999999999999996</v>
      </c>
      <c r="T27" s="58">
        <v>-4.7</v>
      </c>
      <c r="U27" s="58">
        <v>-4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256</v>
      </c>
      <c r="F28" s="142"/>
      <c r="G28" s="142"/>
      <c r="H28" s="143"/>
      <c r="I28" s="94">
        <v>2016</v>
      </c>
      <c r="J28" s="58">
        <v>-3.3</v>
      </c>
      <c r="K28" s="58">
        <v>-3.4</v>
      </c>
      <c r="L28" s="58">
        <v>-3.3</v>
      </c>
      <c r="M28" s="58">
        <v>-3</v>
      </c>
      <c r="N28" s="58">
        <v>-3</v>
      </c>
      <c r="O28" s="58">
        <v>-2.7</v>
      </c>
      <c r="P28" s="58">
        <v>-2.5</v>
      </c>
      <c r="Q28" s="58">
        <v>-1.8</v>
      </c>
      <c r="R28" s="58">
        <v>-1.1000000000000001</v>
      </c>
      <c r="S28" s="58">
        <v>-0.1</v>
      </c>
      <c r="T28" s="58">
        <v>0.7</v>
      </c>
      <c r="U28" s="58">
        <v>1.8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256</v>
      </c>
      <c r="F29" s="142"/>
      <c r="G29" s="142"/>
      <c r="H29" s="143"/>
      <c r="I29" s="94">
        <v>2017</v>
      </c>
      <c r="J29" s="58">
        <v>3.9</v>
      </c>
      <c r="K29" s="58">
        <v>4.3</v>
      </c>
      <c r="L29" s="58">
        <v>4.3</v>
      </c>
      <c r="M29" s="58">
        <v>3.8</v>
      </c>
      <c r="N29" s="58">
        <v>3.4</v>
      </c>
      <c r="O29" s="58">
        <v>2.8</v>
      </c>
      <c r="P29" s="58">
        <v>3</v>
      </c>
      <c r="Q29" s="58">
        <v>3.3</v>
      </c>
      <c r="R29" s="58">
        <v>3.8</v>
      </c>
      <c r="S29" s="58">
        <v>3.6</v>
      </c>
      <c r="T29" s="58">
        <v>3</v>
      </c>
      <c r="U29" s="58">
        <v>2.2000000000000002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256</v>
      </c>
      <c r="F30" s="142"/>
      <c r="G30" s="142"/>
      <c r="H30" s="143"/>
      <c r="I30" s="94">
        <v>2018</v>
      </c>
      <c r="J30" s="58">
        <v>1.2</v>
      </c>
      <c r="K30" s="58">
        <v>1.2</v>
      </c>
      <c r="L30" s="58">
        <v>1.2</v>
      </c>
      <c r="M30" s="58">
        <v>1.5</v>
      </c>
      <c r="N30" s="58">
        <v>2.1</v>
      </c>
      <c r="O30" s="58">
        <v>2.5</v>
      </c>
      <c r="P30" s="58">
        <v>2.9</v>
      </c>
      <c r="Q30" s="58">
        <v>2.9</v>
      </c>
      <c r="R30" s="58">
        <v>2.5</v>
      </c>
      <c r="S30" s="58">
        <v>2.1</v>
      </c>
      <c r="T30" s="58">
        <v>1.5</v>
      </c>
      <c r="U30" s="58">
        <v>0.9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256</v>
      </c>
      <c r="F31" s="142"/>
      <c r="G31" s="142"/>
      <c r="H31" s="143"/>
      <c r="I31" s="94">
        <v>2019</v>
      </c>
      <c r="J31" s="58">
        <v>0.4</v>
      </c>
      <c r="K31" s="58">
        <v>0.1</v>
      </c>
      <c r="L31" s="58">
        <v>0.5</v>
      </c>
      <c r="M31" s="58">
        <v>0.6</v>
      </c>
      <c r="N31" s="58">
        <v>0.4</v>
      </c>
      <c r="O31" s="58">
        <v>0.1</v>
      </c>
      <c r="P31" s="58">
        <v>-0.3</v>
      </c>
      <c r="Q31" s="58">
        <v>-0.6</v>
      </c>
      <c r="R31" s="58">
        <v>-0.8</v>
      </c>
      <c r="S31" s="58">
        <v>-0.7</v>
      </c>
      <c r="T31" s="58">
        <v>-0.1</v>
      </c>
      <c r="U31" s="58">
        <v>0.7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256</v>
      </c>
      <c r="F32" s="142"/>
      <c r="G32" s="142"/>
      <c r="H32" s="143"/>
      <c r="I32" s="94">
        <v>2020</v>
      </c>
      <c r="J32" s="58">
        <v>1.1000000000000001</v>
      </c>
      <c r="K32" s="58">
        <v>0.7</v>
      </c>
      <c r="L32" s="58">
        <v>-0.5</v>
      </c>
      <c r="M32" s="58">
        <v>-1.7</v>
      </c>
      <c r="N32" s="58">
        <v>-1.8</v>
      </c>
      <c r="O32" s="58">
        <v>-1</v>
      </c>
      <c r="P32" s="58">
        <v>-0.8</v>
      </c>
      <c r="Q32" s="58">
        <v>-0.5</v>
      </c>
      <c r="R32" s="58">
        <v>-0.4</v>
      </c>
      <c r="S32" s="58">
        <v>-0.5</v>
      </c>
      <c r="T32" s="58">
        <v>-0.3</v>
      </c>
      <c r="U32" s="58">
        <v>0.2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256</v>
      </c>
      <c r="F33" s="142"/>
      <c r="G33" s="142"/>
      <c r="H33" s="143"/>
      <c r="I33" s="94">
        <v>2021</v>
      </c>
      <c r="J33" s="58">
        <v>0.9</v>
      </c>
      <c r="K33" s="58">
        <v>2.1</v>
      </c>
      <c r="L33" s="58">
        <v>4.0999999999999996</v>
      </c>
      <c r="M33" s="58">
        <v>6</v>
      </c>
      <c r="N33" s="58">
        <v>6.6</v>
      </c>
      <c r="O33" s="58">
        <v>6.6</v>
      </c>
      <c r="P33" s="58">
        <v>7.4</v>
      </c>
      <c r="Q33" s="58">
        <v>7.4</v>
      </c>
      <c r="R33" s="58">
        <v>7.6</v>
      </c>
      <c r="S33" s="58">
        <v>9.1</v>
      </c>
      <c r="T33" s="58">
        <v>9.8000000000000007</v>
      </c>
      <c r="U33" s="58">
        <v>9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256</v>
      </c>
      <c r="F34" s="142"/>
      <c r="G34" s="142"/>
      <c r="H34" s="143"/>
      <c r="I34" s="50">
        <v>2022</v>
      </c>
      <c r="J34" s="58">
        <v>8.9</v>
      </c>
      <c r="K34" s="58">
        <v>8.5</v>
      </c>
      <c r="L34" s="58">
        <v>9</v>
      </c>
      <c r="M34" s="58">
        <v>9.6999999999999993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>
        <f t="shared" si="5"/>
        <v>44681</v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>MAX</v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258</v>
      </c>
      <c r="F37" s="142" t="s">
        <v>220</v>
      </c>
      <c r="G37" s="142" t="s">
        <v>221</v>
      </c>
      <c r="H37" s="143" t="s">
        <v>222</v>
      </c>
      <c r="I37" s="94">
        <v>2012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>
        <v>1</v>
      </c>
      <c r="O37" s="58">
        <v>1</v>
      </c>
      <c r="P37" s="58">
        <v>1.1000000000000001</v>
      </c>
      <c r="Q37" s="58">
        <v>1</v>
      </c>
      <c r="R37" s="58">
        <v>1.1000000000000001</v>
      </c>
      <c r="S37" s="58">
        <v>1</v>
      </c>
      <c r="T37" s="58">
        <v>1</v>
      </c>
      <c r="U37" s="58">
        <v>1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>
        <f t="shared" si="9"/>
        <v>41060</v>
      </c>
      <c r="AC37" s="40">
        <f t="shared" si="9"/>
        <v>41090</v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>MIN</v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258</v>
      </c>
      <c r="F38" s="142"/>
      <c r="G38" s="142"/>
      <c r="H38" s="143"/>
      <c r="I38" s="94">
        <v>2013</v>
      </c>
      <c r="J38" s="58">
        <v>0.7</v>
      </c>
      <c r="K38" s="58">
        <v>0.9</v>
      </c>
      <c r="L38" s="58">
        <v>0.9</v>
      </c>
      <c r="M38" s="58">
        <v>0.7</v>
      </c>
      <c r="N38" s="58">
        <v>0.8</v>
      </c>
      <c r="O38" s="58">
        <v>0.8</v>
      </c>
      <c r="P38" s="58">
        <v>0.9</v>
      </c>
      <c r="Q38" s="58">
        <v>1.1000000000000001</v>
      </c>
      <c r="R38" s="58">
        <v>1.1000000000000001</v>
      </c>
      <c r="S38" s="58">
        <v>1.1000000000000001</v>
      </c>
      <c r="T38" s="58">
        <v>1.1000000000000001</v>
      </c>
      <c r="U38" s="58">
        <v>1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258</v>
      </c>
      <c r="F39" s="142"/>
      <c r="G39" s="142"/>
      <c r="H39" s="143"/>
      <c r="I39" s="94">
        <v>2014</v>
      </c>
      <c r="J39" s="58">
        <v>1</v>
      </c>
      <c r="K39" s="58">
        <v>0.9</v>
      </c>
      <c r="L39" s="58">
        <v>0.8</v>
      </c>
      <c r="M39" s="58">
        <v>1</v>
      </c>
      <c r="N39" s="58">
        <v>1</v>
      </c>
      <c r="O39" s="58">
        <v>0.9</v>
      </c>
      <c r="P39" s="58">
        <v>0.9</v>
      </c>
      <c r="Q39" s="58">
        <v>0.7</v>
      </c>
      <c r="R39" s="58">
        <v>0.6</v>
      </c>
      <c r="S39" s="58">
        <v>0.6</v>
      </c>
      <c r="T39" s="58">
        <v>0.7</v>
      </c>
      <c r="U39" s="58">
        <v>0.7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258</v>
      </c>
      <c r="F40" s="142"/>
      <c r="G40" s="142"/>
      <c r="H40" s="143"/>
      <c r="I40" s="94">
        <v>2015</v>
      </c>
      <c r="J40" s="58">
        <v>0.9</v>
      </c>
      <c r="K40" s="58">
        <v>0.9</v>
      </c>
      <c r="L40" s="58">
        <v>1</v>
      </c>
      <c r="M40" s="58">
        <v>1</v>
      </c>
      <c r="N40" s="58">
        <v>0.9</v>
      </c>
      <c r="O40" s="58">
        <v>1</v>
      </c>
      <c r="P40" s="58">
        <v>0.8</v>
      </c>
      <c r="Q40" s="58">
        <v>0.4</v>
      </c>
      <c r="R40" s="58">
        <v>0.4</v>
      </c>
      <c r="S40" s="58">
        <v>0.4</v>
      </c>
      <c r="T40" s="58">
        <v>0.3</v>
      </c>
      <c r="U40" s="58">
        <v>0.3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258</v>
      </c>
      <c r="F41" s="142"/>
      <c r="G41" s="142"/>
      <c r="H41" s="143"/>
      <c r="I41" s="94">
        <v>2016</v>
      </c>
      <c r="J41" s="58">
        <v>0.3</v>
      </c>
      <c r="K41" s="58">
        <v>0.3</v>
      </c>
      <c r="L41" s="58">
        <v>0.3</v>
      </c>
      <c r="M41" s="58">
        <v>0.3</v>
      </c>
      <c r="N41" s="58">
        <v>0.5</v>
      </c>
      <c r="O41" s="58">
        <v>0.6</v>
      </c>
      <c r="P41" s="58">
        <v>0.6</v>
      </c>
      <c r="Q41" s="58">
        <v>1.2</v>
      </c>
      <c r="R41" s="58">
        <v>1.2</v>
      </c>
      <c r="S41" s="58">
        <v>1.1000000000000001</v>
      </c>
      <c r="T41" s="58">
        <v>1.1000000000000001</v>
      </c>
      <c r="U41" s="58">
        <v>1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258</v>
      </c>
      <c r="F42" s="142"/>
      <c r="G42" s="142"/>
      <c r="H42" s="143"/>
      <c r="I42" s="94">
        <v>2017</v>
      </c>
      <c r="J42" s="58">
        <v>0.9</v>
      </c>
      <c r="K42" s="58">
        <v>0.8</v>
      </c>
      <c r="L42" s="58">
        <v>0.9</v>
      </c>
      <c r="M42" s="58">
        <v>0.9</v>
      </c>
      <c r="N42" s="58">
        <v>0.7</v>
      </c>
      <c r="O42" s="58">
        <v>0.5</v>
      </c>
      <c r="P42" s="58">
        <v>0.7</v>
      </c>
      <c r="Q42" s="58">
        <v>0.5</v>
      </c>
      <c r="R42" s="58">
        <v>0.3</v>
      </c>
      <c r="S42" s="58">
        <v>0.4</v>
      </c>
      <c r="T42" s="58">
        <v>0.3</v>
      </c>
      <c r="U42" s="58">
        <v>0.4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258</v>
      </c>
      <c r="F43" s="142"/>
      <c r="G43" s="142"/>
      <c r="H43" s="143"/>
      <c r="I43" s="94">
        <v>2018</v>
      </c>
      <c r="J43" s="58">
        <v>0.3</v>
      </c>
      <c r="K43" s="58">
        <v>0.3</v>
      </c>
      <c r="L43" s="58">
        <v>0.2</v>
      </c>
      <c r="M43" s="58">
        <v>0.3</v>
      </c>
      <c r="N43" s="58">
        <v>0.3</v>
      </c>
      <c r="O43" s="58">
        <v>0.5</v>
      </c>
      <c r="P43" s="58">
        <v>0.5</v>
      </c>
      <c r="Q43" s="58">
        <v>0.7</v>
      </c>
      <c r="R43" s="58">
        <v>1</v>
      </c>
      <c r="S43" s="58">
        <v>1</v>
      </c>
      <c r="T43" s="58">
        <v>1.1000000000000001</v>
      </c>
      <c r="U43" s="58">
        <v>1.1000000000000001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258</v>
      </c>
      <c r="F44" s="142"/>
      <c r="G44" s="142"/>
      <c r="H44" s="143"/>
      <c r="I44" s="94">
        <v>2019</v>
      </c>
      <c r="J44" s="58">
        <v>1.2</v>
      </c>
      <c r="K44" s="58">
        <v>1.3</v>
      </c>
      <c r="L44" s="58">
        <v>1.3</v>
      </c>
      <c r="M44" s="58">
        <v>1.2</v>
      </c>
      <c r="N44" s="58">
        <v>1.2</v>
      </c>
      <c r="O44" s="58">
        <v>1</v>
      </c>
      <c r="P44" s="58">
        <v>1</v>
      </c>
      <c r="Q44" s="58">
        <v>0.8</v>
      </c>
      <c r="R44" s="58">
        <v>0.8</v>
      </c>
      <c r="S44" s="58">
        <v>0.9</v>
      </c>
      <c r="T44" s="58">
        <v>0.8</v>
      </c>
      <c r="U44" s="58">
        <v>0.8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258</v>
      </c>
      <c r="F45" s="142"/>
      <c r="G45" s="142"/>
      <c r="H45" s="143"/>
      <c r="I45" s="94">
        <v>2020</v>
      </c>
      <c r="J45" s="58">
        <v>1.2</v>
      </c>
      <c r="K45" s="58">
        <v>1.1000000000000001</v>
      </c>
      <c r="L45" s="58">
        <v>1.1000000000000001</v>
      </c>
      <c r="M45" s="58">
        <v>1</v>
      </c>
      <c r="N45" s="58">
        <v>1</v>
      </c>
      <c r="O45" s="58">
        <v>1</v>
      </c>
      <c r="P45" s="58">
        <v>0.9</v>
      </c>
      <c r="Q45" s="58">
        <v>0.9</v>
      </c>
      <c r="R45" s="58">
        <v>0.7</v>
      </c>
      <c r="S45" s="58">
        <v>0.6</v>
      </c>
      <c r="T45" s="58">
        <v>0.6</v>
      </c>
      <c r="U45" s="58">
        <v>0.6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258</v>
      </c>
      <c r="F46" s="142"/>
      <c r="G46" s="142"/>
      <c r="H46" s="143"/>
      <c r="I46" s="94">
        <v>2021</v>
      </c>
      <c r="J46" s="58">
        <v>-0.2</v>
      </c>
      <c r="K46" s="58">
        <v>-0.2</v>
      </c>
      <c r="L46" s="58">
        <v>-0.2</v>
      </c>
      <c r="M46" s="58">
        <v>-0.4</v>
      </c>
      <c r="N46" s="58">
        <v>-0.3</v>
      </c>
      <c r="O46" s="58">
        <v>-0.3</v>
      </c>
      <c r="P46" s="58">
        <v>-0.3</v>
      </c>
      <c r="Q46" s="58">
        <v>-0.4</v>
      </c>
      <c r="R46" s="58">
        <v>-0.3</v>
      </c>
      <c r="S46" s="58">
        <v>-0.3</v>
      </c>
      <c r="T46" s="58">
        <v>-0.3</v>
      </c>
      <c r="U46" s="58">
        <v>-0.2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258</v>
      </c>
      <c r="F47" s="142"/>
      <c r="G47" s="142"/>
      <c r="H47" s="143"/>
      <c r="I47" s="50">
        <v>2022</v>
      </c>
      <c r="J47" s="58">
        <v>0.2</v>
      </c>
      <c r="K47" s="58">
        <v>0.2</v>
      </c>
      <c r="L47" s="58">
        <v>0.2</v>
      </c>
      <c r="M47" s="58">
        <v>0.4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>
        <f t="shared" si="9"/>
        <v>44681</v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>MAX</v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13" priority="7" operator="equal">
      <formula>FALSE</formula>
    </cfRule>
    <cfRule type="cellIs" dxfId="112" priority="8" operator="equal">
      <formula>TRUE</formula>
    </cfRule>
  </conditionalFormatting>
  <conditionalFormatting sqref="F22">
    <cfRule type="cellIs" dxfId="111" priority="5" operator="equal">
      <formula>FALSE</formula>
    </cfRule>
    <cfRule type="cellIs" dxfId="110" priority="6" operator="equal">
      <formula>TRUE</formula>
    </cfRule>
  </conditionalFormatting>
  <conditionalFormatting sqref="F35">
    <cfRule type="cellIs" dxfId="109" priority="3" operator="equal">
      <formula>FALSE</formula>
    </cfRule>
    <cfRule type="cellIs" dxfId="108" priority="4" operator="equal">
      <formula>TRUE</formula>
    </cfRule>
  </conditionalFormatting>
  <conditionalFormatting sqref="J11:U21 J24:U34 J37:U47">
    <cfRule type="expression" dxfId="107" priority="1">
      <formula>AL11="MAX"</formula>
    </cfRule>
    <cfRule type="expression" dxfId="106" priority="2">
      <formula>AL11="MIN"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Y73"/>
  <sheetViews>
    <sheetView showGridLines="0" zoomScaleNormal="100" workbookViewId="0">
      <selection activeCell="I32" sqref="I32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44681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44651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41029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1.35E-2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5.4999999999999997E-3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6.7999999999999996E-3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93">
        <v>2012</v>
      </c>
      <c r="J11" s="58" t="s">
        <v>225</v>
      </c>
      <c r="K11" s="58" t="s">
        <v>225</v>
      </c>
      <c r="L11" s="58" t="s">
        <v>225</v>
      </c>
      <c r="M11" s="58">
        <v>2.5525000000000002</v>
      </c>
      <c r="N11" s="58">
        <v>2.5386000000000002</v>
      </c>
      <c r="O11" s="58">
        <v>2.1958000000000002</v>
      </c>
      <c r="P11" s="58">
        <v>1.4761</v>
      </c>
      <c r="Q11" s="58">
        <v>1.2656000000000001</v>
      </c>
      <c r="R11" s="58">
        <v>2.0878000000000001</v>
      </c>
      <c r="S11" s="58">
        <v>2.0907</v>
      </c>
      <c r="T11" s="58">
        <v>1.6314</v>
      </c>
      <c r="U11" s="58">
        <v>1.4260999999999999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>
        <f t="shared" si="1"/>
        <v>41029</v>
      </c>
      <c r="AB11" s="40">
        <f t="shared" si="1"/>
        <v>41060</v>
      </c>
      <c r="AC11" s="40">
        <f t="shared" si="1"/>
        <v>41090</v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>MIN</v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93">
        <v>2013</v>
      </c>
      <c r="J12" s="58">
        <v>1.6286</v>
      </c>
      <c r="K12" s="58">
        <v>1.5831999999999999</v>
      </c>
      <c r="L12" s="58">
        <v>1.4604999999999999</v>
      </c>
      <c r="M12" s="58">
        <v>1.3295999999999999</v>
      </c>
      <c r="N12" s="58">
        <v>1.1485000000000001</v>
      </c>
      <c r="O12" s="58">
        <v>1.1687000000000001</v>
      </c>
      <c r="P12" s="58">
        <v>1.6153999999999999</v>
      </c>
      <c r="Q12" s="58">
        <v>1.5056</v>
      </c>
      <c r="R12" s="58">
        <v>0.98040000000000005</v>
      </c>
      <c r="S12" s="58">
        <v>0.86099999999999999</v>
      </c>
      <c r="T12" s="58">
        <v>1.2009000000000001</v>
      </c>
      <c r="U12" s="58">
        <v>1.1435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93">
        <v>2014</v>
      </c>
      <c r="J13" s="58">
        <v>1.0806</v>
      </c>
      <c r="K13" s="58">
        <v>1.0125</v>
      </c>
      <c r="L13" s="58">
        <v>1.2921</v>
      </c>
      <c r="M13" s="58">
        <v>1.4985999999999999</v>
      </c>
      <c r="N13" s="58">
        <v>1.6655</v>
      </c>
      <c r="O13" s="58">
        <v>1.6589</v>
      </c>
      <c r="P13" s="58">
        <v>1.5896999999999999</v>
      </c>
      <c r="Q13" s="58">
        <v>1.4081999999999999</v>
      </c>
      <c r="R13" s="58">
        <v>1.1464000000000001</v>
      </c>
      <c r="S13" s="58">
        <v>1.1499999999999999</v>
      </c>
      <c r="T13" s="58">
        <v>0.96550000000000002</v>
      </c>
      <c r="U13" s="58">
        <v>0.83340000000000003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93">
        <v>2015</v>
      </c>
      <c r="J14" s="58">
        <v>0.97409999999999997</v>
      </c>
      <c r="K14" s="58">
        <v>0.64590000000000003</v>
      </c>
      <c r="L14" s="58">
        <v>0.47049999999999997</v>
      </c>
      <c r="M14" s="58">
        <v>0.43619999999999998</v>
      </c>
      <c r="N14" s="58">
        <v>0.55210000000000004</v>
      </c>
      <c r="O14" s="58">
        <v>0.70130000000000003</v>
      </c>
      <c r="P14" s="58">
        <v>0.73529999999999995</v>
      </c>
      <c r="Q14" s="58">
        <v>0.70020000000000004</v>
      </c>
      <c r="R14" s="58">
        <v>0.50380000000000003</v>
      </c>
      <c r="S14" s="58">
        <v>0.80779999999999996</v>
      </c>
      <c r="T14" s="58">
        <v>0.82010000000000005</v>
      </c>
      <c r="U14" s="58">
        <v>1.1317999999999999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93">
        <v>2016</v>
      </c>
      <c r="J15" s="58">
        <v>0.62229999999999996</v>
      </c>
      <c r="K15" s="58">
        <v>1.1133</v>
      </c>
      <c r="L15" s="58">
        <v>0.84250000000000003</v>
      </c>
      <c r="M15" s="58">
        <v>1.0018</v>
      </c>
      <c r="N15" s="58">
        <v>0.77990000000000004</v>
      </c>
      <c r="O15" s="58">
        <v>0.73970000000000002</v>
      </c>
      <c r="P15" s="58">
        <v>0.36919999999999997</v>
      </c>
      <c r="Q15" s="58">
        <v>0.48730000000000001</v>
      </c>
      <c r="R15" s="58">
        <v>1.3489</v>
      </c>
      <c r="S15" s="58">
        <v>1.4879</v>
      </c>
      <c r="T15" s="58">
        <v>1.5307999999999999</v>
      </c>
      <c r="U15" s="58">
        <v>1.3380000000000001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93">
        <v>2017</v>
      </c>
      <c r="J16" s="58">
        <v>2.2408000000000001</v>
      </c>
      <c r="K16" s="58">
        <v>2.0828000000000002</v>
      </c>
      <c r="L16" s="58">
        <v>2.2768999999999999</v>
      </c>
      <c r="M16" s="58">
        <v>1.9556</v>
      </c>
      <c r="N16" s="58">
        <v>2.0036</v>
      </c>
      <c r="O16" s="58">
        <v>1.8063</v>
      </c>
      <c r="P16" s="58">
        <v>2.1669999999999998</v>
      </c>
      <c r="Q16" s="58">
        <v>2.4885999999999999</v>
      </c>
      <c r="R16" s="58">
        <v>2.0001000000000002</v>
      </c>
      <c r="S16" s="58">
        <v>1.7618</v>
      </c>
      <c r="T16" s="58">
        <v>1.1534</v>
      </c>
      <c r="U16" s="58">
        <v>1.4075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93">
        <v>2018</v>
      </c>
      <c r="J17" s="58">
        <v>0.76</v>
      </c>
      <c r="K17" s="58">
        <v>1.2526999999999999</v>
      </c>
      <c r="L17" s="58">
        <v>1.2156</v>
      </c>
      <c r="M17" s="58">
        <v>1.5281</v>
      </c>
      <c r="N17" s="58">
        <v>1.4691000000000001</v>
      </c>
      <c r="O17" s="58">
        <v>1.4803999999999999</v>
      </c>
      <c r="P17" s="58">
        <v>1.119</v>
      </c>
      <c r="Q17" s="58">
        <v>1.4318</v>
      </c>
      <c r="R17" s="58">
        <v>2.0872000000000002</v>
      </c>
      <c r="S17" s="58">
        <v>2.0024999999999999</v>
      </c>
      <c r="T17" s="58">
        <v>2.0369999999999999</v>
      </c>
      <c r="U17" s="58">
        <v>1.3204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93">
        <v>2019</v>
      </c>
      <c r="J18" s="58">
        <v>0.79300000000000004</v>
      </c>
      <c r="K18" s="58">
        <v>0.46129999999999999</v>
      </c>
      <c r="L18" s="58">
        <v>0.37469999999999998</v>
      </c>
      <c r="M18" s="58">
        <v>0.55589999999999995</v>
      </c>
      <c r="N18" s="58">
        <v>0.67989999999999995</v>
      </c>
      <c r="O18" s="58">
        <v>0.7208</v>
      </c>
      <c r="P18" s="58">
        <v>0.60550000000000004</v>
      </c>
      <c r="Q18" s="58">
        <v>-3.7199999999999997E-2</v>
      </c>
      <c r="R18" s="58">
        <v>-0.42609999999999998</v>
      </c>
      <c r="S18" s="58">
        <v>0</v>
      </c>
      <c r="T18" s="58">
        <v>0.152</v>
      </c>
      <c r="U18" s="58">
        <v>0.73850000000000005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93">
        <v>2020</v>
      </c>
      <c r="J19" s="58">
        <v>1.2196</v>
      </c>
      <c r="K19" s="58">
        <v>0.85489999999999999</v>
      </c>
      <c r="L19" s="58">
        <v>0.82630000000000003</v>
      </c>
      <c r="M19" s="58">
        <v>1.9099999999999999E-2</v>
      </c>
      <c r="N19" s="58">
        <v>-0.2127</v>
      </c>
      <c r="O19" s="58">
        <v>0.22009999999999999</v>
      </c>
      <c r="P19" s="58">
        <v>0.4466</v>
      </c>
      <c r="Q19" s="58">
        <v>0.76939999999999997</v>
      </c>
      <c r="R19" s="58">
        <v>0.94799999999999995</v>
      </c>
      <c r="S19" s="58">
        <v>0.1389</v>
      </c>
      <c r="T19" s="58">
        <v>0.61219999999999997</v>
      </c>
      <c r="U19" s="58">
        <v>0.61270000000000002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93">
        <v>2021</v>
      </c>
      <c r="J20" s="58">
        <v>0.94910000000000005</v>
      </c>
      <c r="K20" s="58">
        <v>1.4177</v>
      </c>
      <c r="L20" s="58">
        <v>1.9011</v>
      </c>
      <c r="M20" s="58">
        <v>2.4925000000000002</v>
      </c>
      <c r="N20" s="58">
        <v>2.6246999999999998</v>
      </c>
      <c r="O20" s="58">
        <v>2.3468</v>
      </c>
      <c r="P20" s="58">
        <v>2.6398000000000001</v>
      </c>
      <c r="Q20" s="58">
        <v>2.5550999999999999</v>
      </c>
      <c r="R20" s="58">
        <v>2.4121999999999999</v>
      </c>
      <c r="S20" s="58">
        <v>3.1642999999999999</v>
      </c>
      <c r="T20" s="58">
        <v>3.7766000000000002</v>
      </c>
      <c r="U20" s="58">
        <v>3.6978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2022</v>
      </c>
      <c r="J21" s="58">
        <v>3.6124000000000001</v>
      </c>
      <c r="K21" s="58">
        <v>3.6621000000000001</v>
      </c>
      <c r="L21" s="58">
        <v>4.1437999999999997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>
        <f t="shared" si="1"/>
        <v>44651</v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/>
      </c>
      <c r="AN21" s="40" t="str">
        <f t="shared" si="3"/>
        <v>MAX</v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93">
        <v>2012</v>
      </c>
      <c r="J24" s="58" t="s">
        <v>225</v>
      </c>
      <c r="K24" s="58" t="s">
        <v>225</v>
      </c>
      <c r="L24" s="58" t="s">
        <v>225</v>
      </c>
      <c r="M24" s="58">
        <v>1.8492</v>
      </c>
      <c r="N24" s="58">
        <v>0.97829999999999995</v>
      </c>
      <c r="O24" s="58">
        <v>-1.89E-2</v>
      </c>
      <c r="P24" s="58">
        <v>-0.59319999999999995</v>
      </c>
      <c r="Q24" s="58">
        <v>-0.1128</v>
      </c>
      <c r="R24" s="58">
        <v>0.1691</v>
      </c>
      <c r="S24" s="58">
        <v>-0.51729999999999998</v>
      </c>
      <c r="T24" s="58">
        <v>-0.88690000000000002</v>
      </c>
      <c r="U24" s="58">
        <v>-1.2254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>
        <f t="shared" si="5"/>
        <v>41029</v>
      </c>
      <c r="AB24" s="40">
        <f t="shared" si="5"/>
        <v>41060</v>
      </c>
      <c r="AC24" s="40">
        <f t="shared" si="5"/>
        <v>41090</v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>MIN</v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93">
        <v>2013</v>
      </c>
      <c r="J25" s="58">
        <v>-1.5753999999999999</v>
      </c>
      <c r="K25" s="58">
        <v>-1.5740000000000001</v>
      </c>
      <c r="L25" s="58">
        <v>-2.4466999999999999</v>
      </c>
      <c r="M25" s="58">
        <v>-2.7976000000000001</v>
      </c>
      <c r="N25" s="58">
        <v>-2.5897000000000001</v>
      </c>
      <c r="O25" s="58">
        <v>-1.4144000000000001</v>
      </c>
      <c r="P25" s="58">
        <v>-0.99450000000000005</v>
      </c>
      <c r="Q25" s="58">
        <v>-1.3272999999999999</v>
      </c>
      <c r="R25" s="58">
        <v>-1.7822</v>
      </c>
      <c r="S25" s="58">
        <v>-1.3613</v>
      </c>
      <c r="T25" s="58">
        <v>-0.87580000000000002</v>
      </c>
      <c r="U25" s="58">
        <v>-0.40079999999999999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93">
        <v>2014</v>
      </c>
      <c r="J26" s="58">
        <v>-0.2954</v>
      </c>
      <c r="K26" s="58">
        <v>-0.85160000000000002</v>
      </c>
      <c r="L26" s="58">
        <v>-0.49399999999999999</v>
      </c>
      <c r="M26" s="58">
        <v>-0.33360000000000001</v>
      </c>
      <c r="N26" s="58">
        <v>-9.5999999999999992E-3</v>
      </c>
      <c r="O26" s="58">
        <v>5.74E-2</v>
      </c>
      <c r="P26" s="58">
        <v>0.15310000000000001</v>
      </c>
      <c r="Q26" s="58">
        <v>-0.22900000000000001</v>
      </c>
      <c r="R26" s="58">
        <v>-0.48709999999999998</v>
      </c>
      <c r="S26" s="58">
        <v>-0.83379999999999999</v>
      </c>
      <c r="T26" s="58">
        <v>-0.94110000000000005</v>
      </c>
      <c r="U26" s="58">
        <v>-2.1366000000000001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93">
        <v>2015</v>
      </c>
      <c r="J27" s="58">
        <v>-3.5929000000000002</v>
      </c>
      <c r="K27" s="58">
        <v>-3.6457000000000002</v>
      </c>
      <c r="L27" s="58">
        <v>-3.7235</v>
      </c>
      <c r="M27" s="58">
        <v>-3.6145</v>
      </c>
      <c r="N27" s="58">
        <v>-3.5291000000000001</v>
      </c>
      <c r="O27" s="58">
        <v>-3.6230000000000002</v>
      </c>
      <c r="P27" s="58">
        <v>-4.0500999999999996</v>
      </c>
      <c r="Q27" s="58">
        <v>-4.5419999999999998</v>
      </c>
      <c r="R27" s="58">
        <v>-4.6161000000000003</v>
      </c>
      <c r="S27" s="58">
        <v>-4.6003999999999996</v>
      </c>
      <c r="T27" s="58">
        <v>-4.6825000000000001</v>
      </c>
      <c r="U27" s="58">
        <v>-3.9651000000000001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93">
        <v>2016</v>
      </c>
      <c r="J28" s="58">
        <v>-3.3006000000000002</v>
      </c>
      <c r="K28" s="58">
        <v>-3.3677000000000001</v>
      </c>
      <c r="L28" s="58">
        <v>-3.3121999999999998</v>
      </c>
      <c r="M28" s="58">
        <v>-3.0356999999999998</v>
      </c>
      <c r="N28" s="58">
        <v>-2.984</v>
      </c>
      <c r="O28" s="58">
        <v>-2.7078000000000002</v>
      </c>
      <c r="P28" s="58">
        <v>-2.4588999999999999</v>
      </c>
      <c r="Q28" s="58">
        <v>-1.7629999999999999</v>
      </c>
      <c r="R28" s="58">
        <v>-1.0967</v>
      </c>
      <c r="S28" s="58">
        <v>-0.1216</v>
      </c>
      <c r="T28" s="58">
        <v>0.72209999999999996</v>
      </c>
      <c r="U28" s="58">
        <v>1.8452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93">
        <v>2017</v>
      </c>
      <c r="J29" s="58">
        <v>3.8847999999999998</v>
      </c>
      <c r="K29" s="58">
        <v>4.2845000000000004</v>
      </c>
      <c r="L29" s="58">
        <v>4.3076999999999996</v>
      </c>
      <c r="M29" s="58">
        <v>3.8264999999999998</v>
      </c>
      <c r="N29" s="58">
        <v>3.4232999999999998</v>
      </c>
      <c r="O29" s="58">
        <v>2.7730000000000001</v>
      </c>
      <c r="P29" s="58">
        <v>2.97</v>
      </c>
      <c r="Q29" s="58">
        <v>3.3445</v>
      </c>
      <c r="R29" s="58">
        <v>3.7945000000000002</v>
      </c>
      <c r="S29" s="58">
        <v>3.6008</v>
      </c>
      <c r="T29" s="58">
        <v>3.0394999999999999</v>
      </c>
      <c r="U29" s="58">
        <v>2.1922000000000001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93">
        <v>2018</v>
      </c>
      <c r="J30" s="58">
        <v>1.1544000000000001</v>
      </c>
      <c r="K30" s="58">
        <v>1.1893</v>
      </c>
      <c r="L30" s="58">
        <v>1.1898</v>
      </c>
      <c r="M30" s="58">
        <v>1.5371999999999999</v>
      </c>
      <c r="N30" s="58">
        <v>2.1044999999999998</v>
      </c>
      <c r="O30" s="58">
        <v>2.5394000000000001</v>
      </c>
      <c r="P30" s="58">
        <v>2.9339</v>
      </c>
      <c r="Q30" s="58">
        <v>2.9304000000000001</v>
      </c>
      <c r="R30" s="58">
        <v>2.5385</v>
      </c>
      <c r="S30" s="58">
        <v>2.0756000000000001</v>
      </c>
      <c r="T30" s="58">
        <v>1.4601999999999999</v>
      </c>
      <c r="U30" s="58">
        <v>0.92079999999999995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93">
        <v>2019</v>
      </c>
      <c r="J31" s="58">
        <v>0.39019999999999999</v>
      </c>
      <c r="K31" s="58">
        <v>6.8000000000000005E-2</v>
      </c>
      <c r="L31" s="58">
        <v>0.45669999999999999</v>
      </c>
      <c r="M31" s="58">
        <v>0.62109999999999999</v>
      </c>
      <c r="N31" s="58">
        <v>0.4355</v>
      </c>
      <c r="O31" s="58">
        <v>0.1258</v>
      </c>
      <c r="P31" s="58">
        <v>-0.33700000000000002</v>
      </c>
      <c r="Q31" s="58">
        <v>-0.55600000000000005</v>
      </c>
      <c r="R31" s="58">
        <v>-0.78380000000000005</v>
      </c>
      <c r="S31" s="58">
        <v>-0.6714</v>
      </c>
      <c r="T31" s="58">
        <v>-0.1159</v>
      </c>
      <c r="U31" s="58">
        <v>0.65029999999999999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93">
        <v>2020</v>
      </c>
      <c r="J32" s="58">
        <v>1.1271</v>
      </c>
      <c r="K32" s="58">
        <v>0.69889999999999997</v>
      </c>
      <c r="L32" s="58">
        <v>-0.54169999999999996</v>
      </c>
      <c r="M32" s="58">
        <v>-1.6879</v>
      </c>
      <c r="N32" s="58">
        <v>-1.7632000000000001</v>
      </c>
      <c r="O32" s="58">
        <v>-0.98550000000000004</v>
      </c>
      <c r="P32" s="58">
        <v>-0.76329999999999998</v>
      </c>
      <c r="Q32" s="58">
        <v>-0.50129999999999997</v>
      </c>
      <c r="R32" s="58">
        <v>-0.36609999999999998</v>
      </c>
      <c r="S32" s="58">
        <v>-0.53110000000000002</v>
      </c>
      <c r="T32" s="58">
        <v>-0.30940000000000001</v>
      </c>
      <c r="U32" s="58">
        <v>0.19289999999999999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93">
        <v>2021</v>
      </c>
      <c r="J33" s="58">
        <v>0.93200000000000005</v>
      </c>
      <c r="K33" s="58">
        <v>2.0918000000000001</v>
      </c>
      <c r="L33" s="58">
        <v>4.1043000000000003</v>
      </c>
      <c r="M33" s="58">
        <v>6.0138999999999996</v>
      </c>
      <c r="N33" s="58">
        <v>6.5613999999999999</v>
      </c>
      <c r="O33" s="58">
        <v>6.5769000000000002</v>
      </c>
      <c r="P33" s="58">
        <v>7.3703000000000003</v>
      </c>
      <c r="Q33" s="58">
        <v>7.4016999999999999</v>
      </c>
      <c r="R33" s="58">
        <v>7.5903999999999998</v>
      </c>
      <c r="S33" s="58">
        <v>9.1447000000000003</v>
      </c>
      <c r="T33" s="58">
        <v>9.8361000000000001</v>
      </c>
      <c r="U33" s="58">
        <v>8.9604999999999997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2022</v>
      </c>
      <c r="J34" s="58">
        <v>8.9004999999999992</v>
      </c>
      <c r="K34" s="58">
        <v>8.5355000000000008</v>
      </c>
      <c r="L34" s="58">
        <v>9.0246999999999993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>
        <f t="shared" si="5"/>
        <v>44651</v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/>
      </c>
      <c r="AN34" s="40" t="str">
        <f t="shared" si="7"/>
        <v>MAX</v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93">
        <v>2012</v>
      </c>
      <c r="J37" s="58" t="s">
        <v>225</v>
      </c>
      <c r="K37" s="58" t="s">
        <v>225</v>
      </c>
      <c r="L37" s="58" t="s">
        <v>225</v>
      </c>
      <c r="M37" s="58">
        <v>1.026</v>
      </c>
      <c r="N37" s="58">
        <v>0.97360000000000002</v>
      </c>
      <c r="O37" s="58">
        <v>1.0455000000000001</v>
      </c>
      <c r="P37" s="58">
        <v>1.0660000000000001</v>
      </c>
      <c r="Q37" s="58">
        <v>1.0346</v>
      </c>
      <c r="R37" s="58">
        <v>1.1067</v>
      </c>
      <c r="S37" s="58">
        <v>1.0435000000000001</v>
      </c>
      <c r="T37" s="58">
        <v>0.98</v>
      </c>
      <c r="U37" s="58">
        <v>1.0206999999999999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>
        <f t="shared" si="9"/>
        <v>41029</v>
      </c>
      <c r="AB37" s="40">
        <f t="shared" si="9"/>
        <v>41060</v>
      </c>
      <c r="AC37" s="40">
        <f t="shared" si="9"/>
        <v>41090</v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>MIN</v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93">
        <v>2013</v>
      </c>
      <c r="J38" s="58">
        <v>0.74970000000000003</v>
      </c>
      <c r="K38" s="58">
        <v>0.85219999999999996</v>
      </c>
      <c r="L38" s="58">
        <v>0.91369999999999996</v>
      </c>
      <c r="M38" s="58">
        <v>0.6976</v>
      </c>
      <c r="N38" s="58">
        <v>0.7591</v>
      </c>
      <c r="O38" s="58">
        <v>0.7581</v>
      </c>
      <c r="P38" s="58">
        <v>0.91139999999999999</v>
      </c>
      <c r="Q38" s="58">
        <v>1.0649</v>
      </c>
      <c r="R38" s="58">
        <v>1.1355</v>
      </c>
      <c r="S38" s="58">
        <v>1.0736000000000001</v>
      </c>
      <c r="T38" s="58">
        <v>1.0522</v>
      </c>
      <c r="U38" s="58">
        <v>0.96960000000000002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93">
        <v>2014</v>
      </c>
      <c r="J39" s="58">
        <v>1.0092000000000001</v>
      </c>
      <c r="K39" s="58">
        <v>0.89590000000000003</v>
      </c>
      <c r="L39" s="58">
        <v>0.81379999999999997</v>
      </c>
      <c r="M39" s="58">
        <v>0.97799999999999998</v>
      </c>
      <c r="N39" s="58">
        <v>0.99770000000000003</v>
      </c>
      <c r="O39" s="58">
        <v>0.86429999999999996</v>
      </c>
      <c r="P39" s="58">
        <v>0.85240000000000005</v>
      </c>
      <c r="Q39" s="58">
        <v>0.69910000000000005</v>
      </c>
      <c r="R39" s="58">
        <v>0.5766</v>
      </c>
      <c r="S39" s="58">
        <v>0.62719999999999998</v>
      </c>
      <c r="T39" s="58">
        <v>0.71779999999999999</v>
      </c>
      <c r="U39" s="58">
        <v>0.69750000000000001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93">
        <v>2015</v>
      </c>
      <c r="J40" s="58">
        <v>0.8679</v>
      </c>
      <c r="K40" s="58">
        <v>0.93840000000000001</v>
      </c>
      <c r="L40" s="58">
        <v>0.9788</v>
      </c>
      <c r="M40" s="58">
        <v>1.0088999999999999</v>
      </c>
      <c r="N40" s="58">
        <v>0.92730000000000001</v>
      </c>
      <c r="O40" s="58">
        <v>0.998</v>
      </c>
      <c r="P40" s="58">
        <v>0.82509999999999994</v>
      </c>
      <c r="Q40" s="58">
        <v>0.37230000000000002</v>
      </c>
      <c r="R40" s="58">
        <v>0.37209999999999999</v>
      </c>
      <c r="S40" s="58">
        <v>0.41220000000000001</v>
      </c>
      <c r="T40" s="58">
        <v>0.29110000000000003</v>
      </c>
      <c r="U40" s="58">
        <v>0.33129999999999998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93">
        <v>2016</v>
      </c>
      <c r="J41" s="58">
        <v>0.32019999999999998</v>
      </c>
      <c r="K41" s="58">
        <v>0.2999</v>
      </c>
      <c r="L41" s="58">
        <v>0.26979999999999998</v>
      </c>
      <c r="M41" s="58">
        <v>0.2697</v>
      </c>
      <c r="N41" s="58">
        <v>0.47939999999999999</v>
      </c>
      <c r="O41" s="58">
        <v>0.57889999999999997</v>
      </c>
      <c r="P41" s="58">
        <v>0.60880000000000001</v>
      </c>
      <c r="Q41" s="58">
        <v>1.2129000000000001</v>
      </c>
      <c r="R41" s="58">
        <v>1.2223999999999999</v>
      </c>
      <c r="S41" s="58">
        <v>1.1012999999999999</v>
      </c>
      <c r="T41" s="58">
        <v>1.0709</v>
      </c>
      <c r="U41" s="58">
        <v>0.99050000000000005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93">
        <v>2017</v>
      </c>
      <c r="J42" s="58">
        <v>0.85770000000000002</v>
      </c>
      <c r="K42" s="58">
        <v>0.82720000000000005</v>
      </c>
      <c r="L42" s="58">
        <v>0.877</v>
      </c>
      <c r="M42" s="58">
        <v>0.86660000000000004</v>
      </c>
      <c r="N42" s="58">
        <v>0.74550000000000005</v>
      </c>
      <c r="O42" s="58">
        <v>0.53590000000000004</v>
      </c>
      <c r="P42" s="58">
        <v>0.67449999999999999</v>
      </c>
      <c r="Q42" s="58">
        <v>0.49519999999999997</v>
      </c>
      <c r="R42" s="58">
        <v>0.31680000000000003</v>
      </c>
      <c r="S42" s="58">
        <v>0.35649999999999998</v>
      </c>
      <c r="T42" s="58">
        <v>0.34660000000000002</v>
      </c>
      <c r="U42" s="58">
        <v>0.42599999999999999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93">
        <v>2018</v>
      </c>
      <c r="J43" s="58">
        <v>0.29659999999999997</v>
      </c>
      <c r="K43" s="58">
        <v>0.26690000000000003</v>
      </c>
      <c r="L43" s="58">
        <v>0.247</v>
      </c>
      <c r="M43" s="58">
        <v>0.27650000000000002</v>
      </c>
      <c r="N43" s="58">
        <v>0.28610000000000002</v>
      </c>
      <c r="O43" s="58">
        <v>0.52310000000000001</v>
      </c>
      <c r="P43" s="58">
        <v>0.50249999999999995</v>
      </c>
      <c r="Q43" s="58">
        <v>0.749</v>
      </c>
      <c r="R43" s="58">
        <v>1.0361</v>
      </c>
      <c r="S43" s="58">
        <v>1.0361</v>
      </c>
      <c r="T43" s="58">
        <v>1.0952999999999999</v>
      </c>
      <c r="U43" s="58">
        <v>1.1345000000000001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93">
        <v>2019</v>
      </c>
      <c r="J44" s="58">
        <v>1.1535</v>
      </c>
      <c r="K44" s="58">
        <v>1.252</v>
      </c>
      <c r="L44" s="58">
        <v>1.2811999999999999</v>
      </c>
      <c r="M44" s="58">
        <v>1.2408999999999999</v>
      </c>
      <c r="N44" s="58">
        <v>1.1805000000000001</v>
      </c>
      <c r="O44" s="58">
        <v>0.99180000000000001</v>
      </c>
      <c r="P44" s="58">
        <v>1</v>
      </c>
      <c r="Q44" s="58">
        <v>0.84119999999999995</v>
      </c>
      <c r="R44" s="58">
        <v>0.83020000000000005</v>
      </c>
      <c r="S44" s="58">
        <v>0.86919999999999997</v>
      </c>
      <c r="T44" s="58">
        <v>0.8004</v>
      </c>
      <c r="U44" s="58">
        <v>0.76080000000000003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93">
        <v>2020</v>
      </c>
      <c r="J45" s="58">
        <v>1.2085999999999999</v>
      </c>
      <c r="K45" s="58">
        <v>1.1196999999999999</v>
      </c>
      <c r="L45" s="58">
        <v>1.0606</v>
      </c>
      <c r="M45" s="58">
        <v>1.0117</v>
      </c>
      <c r="N45" s="58">
        <v>0.95279999999999998</v>
      </c>
      <c r="O45" s="58">
        <v>0.95279999999999998</v>
      </c>
      <c r="P45" s="58">
        <v>0.87360000000000004</v>
      </c>
      <c r="Q45" s="58">
        <v>0.85360000000000003</v>
      </c>
      <c r="R45" s="58">
        <v>0.69740000000000002</v>
      </c>
      <c r="S45" s="58">
        <v>0.64870000000000005</v>
      </c>
      <c r="T45" s="58">
        <v>0.62939999999999996</v>
      </c>
      <c r="U45" s="58">
        <v>0.5615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93">
        <v>2021</v>
      </c>
      <c r="J46" s="58">
        <v>-0.183</v>
      </c>
      <c r="K46" s="58">
        <v>-0.20219999999999999</v>
      </c>
      <c r="L46" s="58">
        <v>-0.18290000000000001</v>
      </c>
      <c r="M46" s="58">
        <v>-0.35630000000000001</v>
      </c>
      <c r="N46" s="58">
        <v>-0.32750000000000001</v>
      </c>
      <c r="O46" s="58">
        <v>-0.2697</v>
      </c>
      <c r="P46" s="58">
        <v>-0.34639999999999999</v>
      </c>
      <c r="Q46" s="58">
        <v>-0.37509999999999999</v>
      </c>
      <c r="R46" s="58">
        <v>-0.3463</v>
      </c>
      <c r="S46" s="58">
        <v>-0.30780000000000002</v>
      </c>
      <c r="T46" s="58">
        <v>-0.25019999999999998</v>
      </c>
      <c r="U46" s="58">
        <v>-0.21179999999999999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2022</v>
      </c>
      <c r="J47" s="58">
        <v>0.15440000000000001</v>
      </c>
      <c r="K47" s="58">
        <v>0.193</v>
      </c>
      <c r="L47" s="58">
        <v>0.18329999999999999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>
        <f t="shared" si="9"/>
        <v>44651</v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/>
      </c>
      <c r="AN47" s="40" t="str">
        <f t="shared" si="11"/>
        <v>MAX</v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105" priority="7" operator="equal">
      <formula>FALSE</formula>
    </cfRule>
    <cfRule type="cellIs" dxfId="104" priority="8" operator="equal">
      <formula>TRUE</formula>
    </cfRule>
  </conditionalFormatting>
  <conditionalFormatting sqref="F22">
    <cfRule type="cellIs" dxfId="103" priority="5" operator="equal">
      <formula>FALSE</formula>
    </cfRule>
    <cfRule type="cellIs" dxfId="102" priority="6" operator="equal">
      <formula>TRUE</formula>
    </cfRule>
  </conditionalFormatting>
  <conditionalFormatting sqref="F35">
    <cfRule type="cellIs" dxfId="101" priority="3" operator="equal">
      <formula>FALSE</formula>
    </cfRule>
    <cfRule type="cellIs" dxfId="100" priority="4" operator="equal">
      <formula>TRUE</formula>
    </cfRule>
  </conditionalFormatting>
  <conditionalFormatting sqref="J11:U21 J24:U34 J37:U47">
    <cfRule type="expression" dxfId="99" priority="1">
      <formula>AL11="MAX"</formula>
    </cfRule>
    <cfRule type="expression" dxfId="98" priority="2">
      <formula>AL11="MIN"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Y73"/>
  <sheetViews>
    <sheetView showGridLines="0" zoomScaleNormal="100" workbookViewId="0">
      <selection activeCell="I10" sqref="I10:U4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44651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44620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40999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1.34E-2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5.0000000000000001E-3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6.8999999999999999E-3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92">
        <v>2012</v>
      </c>
      <c r="J11" s="58" t="s">
        <v>225</v>
      </c>
      <c r="K11" s="58" t="s">
        <v>225</v>
      </c>
      <c r="L11" s="58">
        <v>2.6625000000000001</v>
      </c>
      <c r="M11" s="58">
        <v>2.5525000000000002</v>
      </c>
      <c r="N11" s="58">
        <v>2.5386000000000002</v>
      </c>
      <c r="O11" s="58">
        <v>2.1958000000000002</v>
      </c>
      <c r="P11" s="58">
        <v>1.4761</v>
      </c>
      <c r="Q11" s="58">
        <v>1.2656000000000001</v>
      </c>
      <c r="R11" s="58">
        <v>2.0878000000000001</v>
      </c>
      <c r="S11" s="58">
        <v>2.0907</v>
      </c>
      <c r="T11" s="58">
        <v>1.6314</v>
      </c>
      <c r="U11" s="58">
        <v>1.4260999999999999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>
        <f t="shared" si="1"/>
        <v>40999</v>
      </c>
      <c r="AA11" s="40">
        <f t="shared" si="1"/>
        <v>41029</v>
      </c>
      <c r="AB11" s="40">
        <f t="shared" si="1"/>
        <v>41060</v>
      </c>
      <c r="AC11" s="40">
        <f t="shared" si="1"/>
        <v>41090</v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>MIN</v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92">
        <v>2013</v>
      </c>
      <c r="J12" s="58">
        <v>1.6286</v>
      </c>
      <c r="K12" s="58">
        <v>1.5831999999999999</v>
      </c>
      <c r="L12" s="58">
        <v>1.4604999999999999</v>
      </c>
      <c r="M12" s="58">
        <v>1.3295999999999999</v>
      </c>
      <c r="N12" s="58">
        <v>1.1485000000000001</v>
      </c>
      <c r="O12" s="58">
        <v>1.1687000000000001</v>
      </c>
      <c r="P12" s="58">
        <v>1.6153999999999999</v>
      </c>
      <c r="Q12" s="58">
        <v>1.5056</v>
      </c>
      <c r="R12" s="58">
        <v>0.98040000000000005</v>
      </c>
      <c r="S12" s="58">
        <v>0.86099999999999999</v>
      </c>
      <c r="T12" s="58">
        <v>1.2009000000000001</v>
      </c>
      <c r="U12" s="58">
        <v>1.1435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92">
        <v>2014</v>
      </c>
      <c r="J13" s="58">
        <v>1.0806</v>
      </c>
      <c r="K13" s="58">
        <v>1.0125</v>
      </c>
      <c r="L13" s="58">
        <v>1.2921</v>
      </c>
      <c r="M13" s="58">
        <v>1.4985999999999999</v>
      </c>
      <c r="N13" s="58">
        <v>1.6655</v>
      </c>
      <c r="O13" s="58">
        <v>1.6589</v>
      </c>
      <c r="P13" s="58">
        <v>1.5896999999999999</v>
      </c>
      <c r="Q13" s="58">
        <v>1.4081999999999999</v>
      </c>
      <c r="R13" s="58">
        <v>1.1464000000000001</v>
      </c>
      <c r="S13" s="58">
        <v>1.1499999999999999</v>
      </c>
      <c r="T13" s="58">
        <v>0.96550000000000002</v>
      </c>
      <c r="U13" s="58">
        <v>0.83340000000000003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92">
        <v>2015</v>
      </c>
      <c r="J14" s="58">
        <v>0.97409999999999997</v>
      </c>
      <c r="K14" s="58">
        <v>0.64590000000000003</v>
      </c>
      <c r="L14" s="58">
        <v>0.47049999999999997</v>
      </c>
      <c r="M14" s="58">
        <v>0.43619999999999998</v>
      </c>
      <c r="N14" s="58">
        <v>0.55210000000000004</v>
      </c>
      <c r="O14" s="58">
        <v>0.70130000000000003</v>
      </c>
      <c r="P14" s="58">
        <v>0.73529999999999995</v>
      </c>
      <c r="Q14" s="58">
        <v>0.70020000000000004</v>
      </c>
      <c r="R14" s="58">
        <v>0.50380000000000003</v>
      </c>
      <c r="S14" s="58">
        <v>0.80779999999999996</v>
      </c>
      <c r="T14" s="58">
        <v>0.82010000000000005</v>
      </c>
      <c r="U14" s="58">
        <v>1.1317999999999999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92">
        <v>2016</v>
      </c>
      <c r="J15" s="58">
        <v>0.62229999999999996</v>
      </c>
      <c r="K15" s="58">
        <v>1.1133</v>
      </c>
      <c r="L15" s="58">
        <v>0.84250000000000003</v>
      </c>
      <c r="M15" s="58">
        <v>1.0018</v>
      </c>
      <c r="N15" s="58">
        <v>0.77990000000000004</v>
      </c>
      <c r="O15" s="58">
        <v>0.73970000000000002</v>
      </c>
      <c r="P15" s="58">
        <v>0.36919999999999997</v>
      </c>
      <c r="Q15" s="58">
        <v>0.48730000000000001</v>
      </c>
      <c r="R15" s="58">
        <v>1.3489</v>
      </c>
      <c r="S15" s="58">
        <v>1.4879</v>
      </c>
      <c r="T15" s="58">
        <v>1.5307999999999999</v>
      </c>
      <c r="U15" s="58">
        <v>1.3380000000000001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92">
        <v>2017</v>
      </c>
      <c r="J16" s="58">
        <v>2.2408000000000001</v>
      </c>
      <c r="K16" s="58">
        <v>2.0828000000000002</v>
      </c>
      <c r="L16" s="58">
        <v>2.2768999999999999</v>
      </c>
      <c r="M16" s="58">
        <v>1.9556</v>
      </c>
      <c r="N16" s="58">
        <v>2.0036</v>
      </c>
      <c r="O16" s="58">
        <v>1.8063</v>
      </c>
      <c r="P16" s="58">
        <v>2.1669999999999998</v>
      </c>
      <c r="Q16" s="58">
        <v>2.4885999999999999</v>
      </c>
      <c r="R16" s="58">
        <v>2.0001000000000002</v>
      </c>
      <c r="S16" s="58">
        <v>1.7618</v>
      </c>
      <c r="T16" s="58">
        <v>1.1534</v>
      </c>
      <c r="U16" s="58">
        <v>1.4075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92">
        <v>2018</v>
      </c>
      <c r="J17" s="58">
        <v>0.76</v>
      </c>
      <c r="K17" s="58">
        <v>1.2526999999999999</v>
      </c>
      <c r="L17" s="58">
        <v>1.2156</v>
      </c>
      <c r="M17" s="58">
        <v>1.5281</v>
      </c>
      <c r="N17" s="58">
        <v>1.4691000000000001</v>
      </c>
      <c r="O17" s="58">
        <v>1.4803999999999999</v>
      </c>
      <c r="P17" s="58">
        <v>1.119</v>
      </c>
      <c r="Q17" s="58">
        <v>1.4318</v>
      </c>
      <c r="R17" s="58">
        <v>2.0872000000000002</v>
      </c>
      <c r="S17" s="58">
        <v>2.0024999999999999</v>
      </c>
      <c r="T17" s="58">
        <v>2.0369999999999999</v>
      </c>
      <c r="U17" s="58">
        <v>1.3204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92">
        <v>2019</v>
      </c>
      <c r="J18" s="58">
        <v>0.79300000000000004</v>
      </c>
      <c r="K18" s="58">
        <v>0.46129999999999999</v>
      </c>
      <c r="L18" s="58">
        <v>0.37469999999999998</v>
      </c>
      <c r="M18" s="58">
        <v>0.55589999999999995</v>
      </c>
      <c r="N18" s="58">
        <v>0.67989999999999995</v>
      </c>
      <c r="O18" s="58">
        <v>0.7208</v>
      </c>
      <c r="P18" s="58">
        <v>0.60550000000000004</v>
      </c>
      <c r="Q18" s="58">
        <v>-3.7199999999999997E-2</v>
      </c>
      <c r="R18" s="58">
        <v>-0.42609999999999998</v>
      </c>
      <c r="S18" s="58">
        <v>0</v>
      </c>
      <c r="T18" s="58">
        <v>0.152</v>
      </c>
      <c r="U18" s="58">
        <v>0.73850000000000005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92">
        <v>2020</v>
      </c>
      <c r="J19" s="58">
        <v>1.2196</v>
      </c>
      <c r="K19" s="58">
        <v>0.85489999999999999</v>
      </c>
      <c r="L19" s="58">
        <v>0.82630000000000003</v>
      </c>
      <c r="M19" s="58">
        <v>1.9099999999999999E-2</v>
      </c>
      <c r="N19" s="58">
        <v>-0.2127</v>
      </c>
      <c r="O19" s="58">
        <v>0.22009999999999999</v>
      </c>
      <c r="P19" s="58">
        <v>0.4466</v>
      </c>
      <c r="Q19" s="58">
        <v>0.76939999999999997</v>
      </c>
      <c r="R19" s="58">
        <v>0.94799999999999995</v>
      </c>
      <c r="S19" s="58">
        <v>0.1389</v>
      </c>
      <c r="T19" s="58">
        <v>0.61219999999999997</v>
      </c>
      <c r="U19" s="58">
        <v>0.61270000000000002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92">
        <v>2021</v>
      </c>
      <c r="J20" s="58">
        <v>0.94910000000000005</v>
      </c>
      <c r="K20" s="58">
        <v>1.4177</v>
      </c>
      <c r="L20" s="58">
        <v>1.9011</v>
      </c>
      <c r="M20" s="58">
        <v>2.4925000000000002</v>
      </c>
      <c r="N20" s="58">
        <v>2.6246999999999998</v>
      </c>
      <c r="O20" s="58">
        <v>2.3468</v>
      </c>
      <c r="P20" s="58">
        <v>2.6398000000000001</v>
      </c>
      <c r="Q20" s="58">
        <v>2.5550999999999999</v>
      </c>
      <c r="R20" s="58">
        <v>2.4121999999999999</v>
      </c>
      <c r="S20" s="58">
        <v>3.1642999999999999</v>
      </c>
      <c r="T20" s="58">
        <v>3.7766000000000002</v>
      </c>
      <c r="U20" s="58">
        <v>3.6978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2022</v>
      </c>
      <c r="J21" s="58">
        <v>3.6124000000000001</v>
      </c>
      <c r="K21" s="58">
        <v>3.6621000000000001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>
        <f t="shared" si="1"/>
        <v>44620</v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/>
      </c>
      <c r="AM21" s="40" t="str">
        <f t="shared" si="3"/>
        <v>MAX</v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92">
        <v>2012</v>
      </c>
      <c r="J24" s="58" t="s">
        <v>225</v>
      </c>
      <c r="K24" s="58" t="s">
        <v>225</v>
      </c>
      <c r="L24" s="58">
        <v>2.4302000000000001</v>
      </c>
      <c r="M24" s="58">
        <v>1.8492</v>
      </c>
      <c r="N24" s="58">
        <v>0.97829999999999995</v>
      </c>
      <c r="O24" s="58">
        <v>-1.89E-2</v>
      </c>
      <c r="P24" s="58">
        <v>-0.59319999999999995</v>
      </c>
      <c r="Q24" s="58">
        <v>-0.1128</v>
      </c>
      <c r="R24" s="58">
        <v>0.1691</v>
      </c>
      <c r="S24" s="58">
        <v>-0.51729999999999998</v>
      </c>
      <c r="T24" s="58">
        <v>-0.88690000000000002</v>
      </c>
      <c r="U24" s="58">
        <v>-1.2254</v>
      </c>
      <c r="W24" s="39">
        <f t="shared" ref="W24:W32" si="4">W25-1</f>
        <v>2012</v>
      </c>
      <c r="X24" s="40" t="str">
        <f t="shared" ref="X24:AI34" si="5">X11</f>
        <v/>
      </c>
      <c r="Y24" s="40" t="str">
        <f t="shared" si="5"/>
        <v/>
      </c>
      <c r="Z24" s="40">
        <f t="shared" si="5"/>
        <v>40999</v>
      </c>
      <c r="AA24" s="40">
        <f t="shared" si="5"/>
        <v>41029</v>
      </c>
      <c r="AB24" s="40">
        <f t="shared" si="5"/>
        <v>41060</v>
      </c>
      <c r="AC24" s="40">
        <f t="shared" si="5"/>
        <v>41090</v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>MIN</v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92">
        <v>2013</v>
      </c>
      <c r="J25" s="58">
        <v>-1.5753999999999999</v>
      </c>
      <c r="K25" s="58">
        <v>-1.5740000000000001</v>
      </c>
      <c r="L25" s="58">
        <v>-2.4466999999999999</v>
      </c>
      <c r="M25" s="58">
        <v>-2.7976000000000001</v>
      </c>
      <c r="N25" s="58">
        <v>-2.5897000000000001</v>
      </c>
      <c r="O25" s="58">
        <v>-1.4144000000000001</v>
      </c>
      <c r="P25" s="58">
        <v>-0.99450000000000005</v>
      </c>
      <c r="Q25" s="58">
        <v>-1.3272999999999999</v>
      </c>
      <c r="R25" s="58">
        <v>-1.7822</v>
      </c>
      <c r="S25" s="58">
        <v>-1.3613</v>
      </c>
      <c r="T25" s="58">
        <v>-0.87580000000000002</v>
      </c>
      <c r="U25" s="58">
        <v>-0.40079999999999999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92">
        <v>2014</v>
      </c>
      <c r="J26" s="58">
        <v>-0.2954</v>
      </c>
      <c r="K26" s="58">
        <v>-0.85160000000000002</v>
      </c>
      <c r="L26" s="58">
        <v>-0.49399999999999999</v>
      </c>
      <c r="M26" s="58">
        <v>-0.33360000000000001</v>
      </c>
      <c r="N26" s="58">
        <v>-9.5999999999999992E-3</v>
      </c>
      <c r="O26" s="58">
        <v>5.74E-2</v>
      </c>
      <c r="P26" s="58">
        <v>0.15310000000000001</v>
      </c>
      <c r="Q26" s="58">
        <v>-0.22900000000000001</v>
      </c>
      <c r="R26" s="58">
        <v>-0.48709999999999998</v>
      </c>
      <c r="S26" s="58">
        <v>-0.83379999999999999</v>
      </c>
      <c r="T26" s="58">
        <v>-0.94110000000000005</v>
      </c>
      <c r="U26" s="58">
        <v>-2.1366000000000001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92">
        <v>2015</v>
      </c>
      <c r="J27" s="58">
        <v>-3.5929000000000002</v>
      </c>
      <c r="K27" s="58">
        <v>-3.6457000000000002</v>
      </c>
      <c r="L27" s="58">
        <v>-3.7235</v>
      </c>
      <c r="M27" s="58">
        <v>-3.6145</v>
      </c>
      <c r="N27" s="58">
        <v>-3.5291000000000001</v>
      </c>
      <c r="O27" s="58">
        <v>-3.6230000000000002</v>
      </c>
      <c r="P27" s="58">
        <v>-4.0500999999999996</v>
      </c>
      <c r="Q27" s="58">
        <v>-4.5419999999999998</v>
      </c>
      <c r="R27" s="58">
        <v>-4.6161000000000003</v>
      </c>
      <c r="S27" s="58">
        <v>-4.6003999999999996</v>
      </c>
      <c r="T27" s="58">
        <v>-4.6825000000000001</v>
      </c>
      <c r="U27" s="58">
        <v>-3.9651000000000001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92">
        <v>2016</v>
      </c>
      <c r="J28" s="58">
        <v>-3.3006000000000002</v>
      </c>
      <c r="K28" s="58">
        <v>-3.3677000000000001</v>
      </c>
      <c r="L28" s="58">
        <v>-3.3121999999999998</v>
      </c>
      <c r="M28" s="58">
        <v>-3.0356999999999998</v>
      </c>
      <c r="N28" s="58">
        <v>-2.984</v>
      </c>
      <c r="O28" s="58">
        <v>-2.7078000000000002</v>
      </c>
      <c r="P28" s="58">
        <v>-2.4588999999999999</v>
      </c>
      <c r="Q28" s="58">
        <v>-1.7629999999999999</v>
      </c>
      <c r="R28" s="58">
        <v>-1.0967</v>
      </c>
      <c r="S28" s="58">
        <v>-0.1216</v>
      </c>
      <c r="T28" s="58">
        <v>0.72209999999999996</v>
      </c>
      <c r="U28" s="58">
        <v>1.8452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92">
        <v>2017</v>
      </c>
      <c r="J29" s="58">
        <v>3.8847999999999998</v>
      </c>
      <c r="K29" s="58">
        <v>4.2845000000000004</v>
      </c>
      <c r="L29" s="58">
        <v>4.3076999999999996</v>
      </c>
      <c r="M29" s="58">
        <v>3.8264999999999998</v>
      </c>
      <c r="N29" s="58">
        <v>3.4232999999999998</v>
      </c>
      <c r="O29" s="58">
        <v>2.7730000000000001</v>
      </c>
      <c r="P29" s="58">
        <v>2.97</v>
      </c>
      <c r="Q29" s="58">
        <v>3.3445</v>
      </c>
      <c r="R29" s="58">
        <v>3.7945000000000002</v>
      </c>
      <c r="S29" s="58">
        <v>3.6008</v>
      </c>
      <c r="T29" s="58">
        <v>3.0394999999999999</v>
      </c>
      <c r="U29" s="58">
        <v>2.1922000000000001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92">
        <v>2018</v>
      </c>
      <c r="J30" s="58">
        <v>1.1544000000000001</v>
      </c>
      <c r="K30" s="58">
        <v>1.1893</v>
      </c>
      <c r="L30" s="58">
        <v>1.1898</v>
      </c>
      <c r="M30" s="58">
        <v>1.5371999999999999</v>
      </c>
      <c r="N30" s="58">
        <v>2.1044999999999998</v>
      </c>
      <c r="O30" s="58">
        <v>2.5394000000000001</v>
      </c>
      <c r="P30" s="58">
        <v>2.9339</v>
      </c>
      <c r="Q30" s="58">
        <v>2.9304000000000001</v>
      </c>
      <c r="R30" s="58">
        <v>2.5385</v>
      </c>
      <c r="S30" s="58">
        <v>2.0756000000000001</v>
      </c>
      <c r="T30" s="58">
        <v>1.4601999999999999</v>
      </c>
      <c r="U30" s="58">
        <v>0.92079999999999995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92">
        <v>2019</v>
      </c>
      <c r="J31" s="58">
        <v>0.39019999999999999</v>
      </c>
      <c r="K31" s="58">
        <v>6.8000000000000005E-2</v>
      </c>
      <c r="L31" s="58">
        <v>0.45669999999999999</v>
      </c>
      <c r="M31" s="58">
        <v>0.62109999999999999</v>
      </c>
      <c r="N31" s="58">
        <v>0.4355</v>
      </c>
      <c r="O31" s="58">
        <v>0.1258</v>
      </c>
      <c r="P31" s="58">
        <v>-0.33700000000000002</v>
      </c>
      <c r="Q31" s="58">
        <v>-0.55600000000000005</v>
      </c>
      <c r="R31" s="58">
        <v>-0.78380000000000005</v>
      </c>
      <c r="S31" s="58">
        <v>-0.6714</v>
      </c>
      <c r="T31" s="58">
        <v>-0.1159</v>
      </c>
      <c r="U31" s="58">
        <v>0.65029999999999999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92">
        <v>2020</v>
      </c>
      <c r="J32" s="58">
        <v>1.1271</v>
      </c>
      <c r="K32" s="58">
        <v>0.69889999999999997</v>
      </c>
      <c r="L32" s="58">
        <v>-0.54169999999999996</v>
      </c>
      <c r="M32" s="58">
        <v>-1.6879</v>
      </c>
      <c r="N32" s="58">
        <v>-1.7632000000000001</v>
      </c>
      <c r="O32" s="58">
        <v>-0.98550000000000004</v>
      </c>
      <c r="P32" s="58">
        <v>-0.76329999999999998</v>
      </c>
      <c r="Q32" s="58">
        <v>-0.50129999999999997</v>
      </c>
      <c r="R32" s="58">
        <v>-0.36609999999999998</v>
      </c>
      <c r="S32" s="58">
        <v>-0.53110000000000002</v>
      </c>
      <c r="T32" s="58">
        <v>-0.30940000000000001</v>
      </c>
      <c r="U32" s="58">
        <v>0.19289999999999999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92">
        <v>2021</v>
      </c>
      <c r="J33" s="58">
        <v>0.93200000000000005</v>
      </c>
      <c r="K33" s="58">
        <v>2.0918000000000001</v>
      </c>
      <c r="L33" s="58">
        <v>4.1043000000000003</v>
      </c>
      <c r="M33" s="58">
        <v>6.0138999999999996</v>
      </c>
      <c r="N33" s="58">
        <v>6.5613999999999999</v>
      </c>
      <c r="O33" s="58">
        <v>6.5769000000000002</v>
      </c>
      <c r="P33" s="58">
        <v>7.3703000000000003</v>
      </c>
      <c r="Q33" s="58">
        <v>7.4016999999999999</v>
      </c>
      <c r="R33" s="58">
        <v>7.5903999999999998</v>
      </c>
      <c r="S33" s="58">
        <v>9.1447000000000003</v>
      </c>
      <c r="T33" s="58">
        <v>9.8361000000000001</v>
      </c>
      <c r="U33" s="58">
        <v>8.9604999999999997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2022</v>
      </c>
      <c r="J34" s="58">
        <v>8.9004999999999992</v>
      </c>
      <c r="K34" s="58">
        <v>8.5355000000000008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>
        <f t="shared" si="5"/>
        <v>44620</v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/>
      </c>
      <c r="AM34" s="40" t="str">
        <f t="shared" si="7"/>
        <v>MAX</v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92">
        <v>2012</v>
      </c>
      <c r="J37" s="58" t="s">
        <v>225</v>
      </c>
      <c r="K37" s="58" t="s">
        <v>225</v>
      </c>
      <c r="L37" s="58">
        <v>1.0163</v>
      </c>
      <c r="M37" s="58">
        <v>1.026</v>
      </c>
      <c r="N37" s="58">
        <v>0.97360000000000002</v>
      </c>
      <c r="O37" s="58">
        <v>1.0455000000000001</v>
      </c>
      <c r="P37" s="58">
        <v>1.0660000000000001</v>
      </c>
      <c r="Q37" s="58">
        <v>1.0346</v>
      </c>
      <c r="R37" s="58">
        <v>1.1067</v>
      </c>
      <c r="S37" s="58">
        <v>1.0435000000000001</v>
      </c>
      <c r="T37" s="58">
        <v>0.98</v>
      </c>
      <c r="U37" s="58">
        <v>1.0206999999999999</v>
      </c>
      <c r="W37" s="39">
        <f t="shared" ref="W37:W45" si="8">W38-1</f>
        <v>2012</v>
      </c>
      <c r="X37" s="40" t="str">
        <f t="shared" ref="X37:AI47" si="9">X11</f>
        <v/>
      </c>
      <c r="Y37" s="40" t="str">
        <f t="shared" si="9"/>
        <v/>
      </c>
      <c r="Z37" s="40">
        <f t="shared" si="9"/>
        <v>40999</v>
      </c>
      <c r="AA37" s="40">
        <f t="shared" si="9"/>
        <v>41029</v>
      </c>
      <c r="AB37" s="40">
        <f t="shared" si="9"/>
        <v>41060</v>
      </c>
      <c r="AC37" s="40">
        <f t="shared" si="9"/>
        <v>41090</v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>MIN</v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92">
        <v>2013</v>
      </c>
      <c r="J38" s="58">
        <v>0.74970000000000003</v>
      </c>
      <c r="K38" s="58">
        <v>0.85219999999999996</v>
      </c>
      <c r="L38" s="58">
        <v>0.91369999999999996</v>
      </c>
      <c r="M38" s="58">
        <v>0.6976</v>
      </c>
      <c r="N38" s="58">
        <v>0.7591</v>
      </c>
      <c r="O38" s="58">
        <v>0.7581</v>
      </c>
      <c r="P38" s="58">
        <v>0.91139999999999999</v>
      </c>
      <c r="Q38" s="58">
        <v>1.0649</v>
      </c>
      <c r="R38" s="58">
        <v>1.1355</v>
      </c>
      <c r="S38" s="58">
        <v>1.0736000000000001</v>
      </c>
      <c r="T38" s="58">
        <v>1.0522</v>
      </c>
      <c r="U38" s="58">
        <v>0.96960000000000002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92">
        <v>2014</v>
      </c>
      <c r="J39" s="58">
        <v>1.0092000000000001</v>
      </c>
      <c r="K39" s="58">
        <v>0.89590000000000003</v>
      </c>
      <c r="L39" s="58">
        <v>0.81379999999999997</v>
      </c>
      <c r="M39" s="58">
        <v>0.97799999999999998</v>
      </c>
      <c r="N39" s="58">
        <v>0.99770000000000003</v>
      </c>
      <c r="O39" s="58">
        <v>0.86429999999999996</v>
      </c>
      <c r="P39" s="58">
        <v>0.85240000000000005</v>
      </c>
      <c r="Q39" s="58">
        <v>0.69910000000000005</v>
      </c>
      <c r="R39" s="58">
        <v>0.5766</v>
      </c>
      <c r="S39" s="58">
        <v>0.62719999999999998</v>
      </c>
      <c r="T39" s="58">
        <v>0.71779999999999999</v>
      </c>
      <c r="U39" s="58">
        <v>0.69750000000000001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92">
        <v>2015</v>
      </c>
      <c r="J40" s="58">
        <v>0.8679</v>
      </c>
      <c r="K40" s="58">
        <v>0.93840000000000001</v>
      </c>
      <c r="L40" s="58">
        <v>0.9788</v>
      </c>
      <c r="M40" s="58">
        <v>1.0088999999999999</v>
      </c>
      <c r="N40" s="58">
        <v>0.92730000000000001</v>
      </c>
      <c r="O40" s="58">
        <v>0.998</v>
      </c>
      <c r="P40" s="58">
        <v>0.82509999999999994</v>
      </c>
      <c r="Q40" s="58">
        <v>0.37230000000000002</v>
      </c>
      <c r="R40" s="58">
        <v>0.37209999999999999</v>
      </c>
      <c r="S40" s="58">
        <v>0.41220000000000001</v>
      </c>
      <c r="T40" s="58">
        <v>0.29110000000000003</v>
      </c>
      <c r="U40" s="58">
        <v>0.33129999999999998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92">
        <v>2016</v>
      </c>
      <c r="J41" s="58">
        <v>0.32019999999999998</v>
      </c>
      <c r="K41" s="58">
        <v>0.2999</v>
      </c>
      <c r="L41" s="58">
        <v>0.26979999999999998</v>
      </c>
      <c r="M41" s="58">
        <v>0.2697</v>
      </c>
      <c r="N41" s="58">
        <v>0.47939999999999999</v>
      </c>
      <c r="O41" s="58">
        <v>0.57889999999999997</v>
      </c>
      <c r="P41" s="58">
        <v>0.60880000000000001</v>
      </c>
      <c r="Q41" s="58">
        <v>1.2129000000000001</v>
      </c>
      <c r="R41" s="58">
        <v>1.2223999999999999</v>
      </c>
      <c r="S41" s="58">
        <v>1.1012999999999999</v>
      </c>
      <c r="T41" s="58">
        <v>1.0709</v>
      </c>
      <c r="U41" s="58">
        <v>0.99050000000000005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92">
        <v>2017</v>
      </c>
      <c r="J42" s="58">
        <v>0.85770000000000002</v>
      </c>
      <c r="K42" s="58">
        <v>0.82720000000000005</v>
      </c>
      <c r="L42" s="58">
        <v>0.877</v>
      </c>
      <c r="M42" s="58">
        <v>0.86660000000000004</v>
      </c>
      <c r="N42" s="58">
        <v>0.74550000000000005</v>
      </c>
      <c r="O42" s="58">
        <v>0.53590000000000004</v>
      </c>
      <c r="P42" s="58">
        <v>0.67449999999999999</v>
      </c>
      <c r="Q42" s="58">
        <v>0.49519999999999997</v>
      </c>
      <c r="R42" s="58">
        <v>0.31680000000000003</v>
      </c>
      <c r="S42" s="58">
        <v>0.35649999999999998</v>
      </c>
      <c r="T42" s="58">
        <v>0.34660000000000002</v>
      </c>
      <c r="U42" s="58">
        <v>0.42599999999999999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92">
        <v>2018</v>
      </c>
      <c r="J43" s="58">
        <v>0.29659999999999997</v>
      </c>
      <c r="K43" s="58">
        <v>0.26690000000000003</v>
      </c>
      <c r="L43" s="58">
        <v>0.247</v>
      </c>
      <c r="M43" s="58">
        <v>0.27650000000000002</v>
      </c>
      <c r="N43" s="58">
        <v>0.28610000000000002</v>
      </c>
      <c r="O43" s="58">
        <v>0.52310000000000001</v>
      </c>
      <c r="P43" s="58">
        <v>0.50249999999999995</v>
      </c>
      <c r="Q43" s="58">
        <v>0.749</v>
      </c>
      <c r="R43" s="58">
        <v>1.0361</v>
      </c>
      <c r="S43" s="58">
        <v>1.0361</v>
      </c>
      <c r="T43" s="58">
        <v>1.0952999999999999</v>
      </c>
      <c r="U43" s="58">
        <v>1.1345000000000001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92">
        <v>2019</v>
      </c>
      <c r="J44" s="58">
        <v>1.1535</v>
      </c>
      <c r="K44" s="58">
        <v>1.252</v>
      </c>
      <c r="L44" s="58">
        <v>1.2811999999999999</v>
      </c>
      <c r="M44" s="58">
        <v>1.2408999999999999</v>
      </c>
      <c r="N44" s="58">
        <v>1.1805000000000001</v>
      </c>
      <c r="O44" s="58">
        <v>0.99180000000000001</v>
      </c>
      <c r="P44" s="58">
        <v>1</v>
      </c>
      <c r="Q44" s="58">
        <v>0.84119999999999995</v>
      </c>
      <c r="R44" s="58">
        <v>0.83020000000000005</v>
      </c>
      <c r="S44" s="58">
        <v>0.86919999999999997</v>
      </c>
      <c r="T44" s="58">
        <v>0.8004</v>
      </c>
      <c r="U44" s="58">
        <v>0.76080000000000003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92">
        <v>2020</v>
      </c>
      <c r="J45" s="58">
        <v>1.2085999999999999</v>
      </c>
      <c r="K45" s="58">
        <v>1.1196999999999999</v>
      </c>
      <c r="L45" s="58">
        <v>1.0606</v>
      </c>
      <c r="M45" s="58">
        <v>1.0117</v>
      </c>
      <c r="N45" s="58">
        <v>0.95279999999999998</v>
      </c>
      <c r="O45" s="58">
        <v>0.95279999999999998</v>
      </c>
      <c r="P45" s="58">
        <v>0.87360000000000004</v>
      </c>
      <c r="Q45" s="58">
        <v>0.85360000000000003</v>
      </c>
      <c r="R45" s="58">
        <v>0.69740000000000002</v>
      </c>
      <c r="S45" s="58">
        <v>0.64870000000000005</v>
      </c>
      <c r="T45" s="58">
        <v>0.62939999999999996</v>
      </c>
      <c r="U45" s="58">
        <v>0.5615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92">
        <v>2021</v>
      </c>
      <c r="J46" s="58">
        <v>-0.183</v>
      </c>
      <c r="K46" s="58">
        <v>-0.20219999999999999</v>
      </c>
      <c r="L46" s="58">
        <v>-0.18290000000000001</v>
      </c>
      <c r="M46" s="58">
        <v>-0.35630000000000001</v>
      </c>
      <c r="N46" s="58">
        <v>-0.32750000000000001</v>
      </c>
      <c r="O46" s="58">
        <v>-0.2697</v>
      </c>
      <c r="P46" s="58">
        <v>-0.34639999999999999</v>
      </c>
      <c r="Q46" s="58">
        <v>-0.37509999999999999</v>
      </c>
      <c r="R46" s="58">
        <v>-0.3463</v>
      </c>
      <c r="S46" s="58">
        <v>-0.30780000000000002</v>
      </c>
      <c r="T46" s="58">
        <v>-0.25019999999999998</v>
      </c>
      <c r="U46" s="58">
        <v>-0.21179999999999999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2022</v>
      </c>
      <c r="J47" s="58">
        <v>0.15440000000000001</v>
      </c>
      <c r="K47" s="58">
        <v>0.193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>
        <f t="shared" si="9"/>
        <v>44620</v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/>
      </c>
      <c r="AM47" s="40" t="str">
        <f t="shared" si="11"/>
        <v>MAX</v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97" priority="7" operator="equal">
      <formula>FALSE</formula>
    </cfRule>
    <cfRule type="cellIs" dxfId="96" priority="8" operator="equal">
      <formula>TRUE</formula>
    </cfRule>
  </conditionalFormatting>
  <conditionalFormatting sqref="F22">
    <cfRule type="cellIs" dxfId="95" priority="5" operator="equal">
      <formula>FALSE</formula>
    </cfRule>
    <cfRule type="cellIs" dxfId="94" priority="6" operator="equal">
      <formula>TRUE</formula>
    </cfRule>
  </conditionalFormatting>
  <conditionalFormatting sqref="F35">
    <cfRule type="cellIs" dxfId="93" priority="3" operator="equal">
      <formula>FALSE</formula>
    </cfRule>
    <cfRule type="cellIs" dxfId="92" priority="4" operator="equal">
      <formula>TRUE</formula>
    </cfRule>
  </conditionalFormatting>
  <conditionalFormatting sqref="J11:U21 J24:U34 J37:U47">
    <cfRule type="expression" dxfId="91" priority="1">
      <formula>AL11="MAX"</formula>
    </cfRule>
    <cfRule type="expression" dxfId="90" priority="2">
      <formula>AL11="MIN"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Y73"/>
  <sheetViews>
    <sheetView showGridLines="0" zoomScaleNormal="100" workbookViewId="0">
      <selection activeCell="I10" sqref="I10:U4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44620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44592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40968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4.4999999999999997E-3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6.8999999999999999E-3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91">
        <v>2012</v>
      </c>
      <c r="J11" s="58" t="s">
        <v>225</v>
      </c>
      <c r="K11" s="58">
        <v>3.0329000000000002</v>
      </c>
      <c r="L11" s="58">
        <v>2.6625000000000001</v>
      </c>
      <c r="M11" s="58">
        <v>2.5525000000000002</v>
      </c>
      <c r="N11" s="58">
        <v>2.5386000000000002</v>
      </c>
      <c r="O11" s="58">
        <v>2.1958000000000002</v>
      </c>
      <c r="P11" s="58">
        <v>1.4761</v>
      </c>
      <c r="Q11" s="58">
        <v>1.2656000000000001</v>
      </c>
      <c r="R11" s="58">
        <v>2.0878000000000001</v>
      </c>
      <c r="S11" s="58">
        <v>2.0907</v>
      </c>
      <c r="T11" s="58">
        <v>1.6314</v>
      </c>
      <c r="U11" s="58">
        <v>1.4260999999999999</v>
      </c>
      <c r="W11" s="39">
        <f t="shared" ref="W11:W19" si="0">W12-1</f>
        <v>2012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>
        <f t="shared" si="1"/>
        <v>40968</v>
      </c>
      <c r="Z11" s="40">
        <f t="shared" si="1"/>
        <v>40999</v>
      </c>
      <c r="AA11" s="40">
        <f t="shared" si="1"/>
        <v>41029</v>
      </c>
      <c r="AB11" s="40">
        <f t="shared" si="1"/>
        <v>41060</v>
      </c>
      <c r="AC11" s="40">
        <f t="shared" si="1"/>
        <v>41090</v>
      </c>
      <c r="AD11" s="40">
        <f t="shared" si="1"/>
        <v>41121</v>
      </c>
      <c r="AE11" s="40">
        <f t="shared" si="1"/>
        <v>41152</v>
      </c>
      <c r="AF11" s="40">
        <f t="shared" si="1"/>
        <v>41182</v>
      </c>
      <c r="AG11" s="40">
        <f t="shared" si="1"/>
        <v>41213</v>
      </c>
      <c r="AH11" s="40">
        <f t="shared" si="1"/>
        <v>41243</v>
      </c>
      <c r="AI11" s="40">
        <f t="shared" si="1"/>
        <v>41274</v>
      </c>
      <c r="AK11" s="39">
        <f t="shared" ref="AK11:AK19" si="2">AK12-1</f>
        <v>2012</v>
      </c>
      <c r="AL11" s="40" t="str">
        <f t="shared" ref="AL11:AW21" si="3">IF(X11=MIN($X$11:$AI$21)=TRUE,"MIN",IF(X11=MAX($X$11:$AI$21)=TRUE,"MAX",""))</f>
        <v/>
      </c>
      <c r="AM11" s="40" t="str">
        <f t="shared" si="3"/>
        <v>MIN</v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91">
        <v>2013</v>
      </c>
      <c r="J12" s="58">
        <v>1.6286</v>
      </c>
      <c r="K12" s="58">
        <v>1.5831999999999999</v>
      </c>
      <c r="L12" s="58">
        <v>1.4604999999999999</v>
      </c>
      <c r="M12" s="58">
        <v>1.3295999999999999</v>
      </c>
      <c r="N12" s="58">
        <v>1.1485000000000001</v>
      </c>
      <c r="O12" s="58">
        <v>1.1687000000000001</v>
      </c>
      <c r="P12" s="58">
        <v>1.6153999999999999</v>
      </c>
      <c r="Q12" s="58">
        <v>1.5056</v>
      </c>
      <c r="R12" s="58">
        <v>0.98040000000000005</v>
      </c>
      <c r="S12" s="58">
        <v>0.86099999999999999</v>
      </c>
      <c r="T12" s="58">
        <v>1.2009000000000001</v>
      </c>
      <c r="U12" s="58">
        <v>1.1435</v>
      </c>
      <c r="W12" s="39">
        <f t="shared" si="0"/>
        <v>2013</v>
      </c>
      <c r="X12" s="40">
        <f t="shared" si="1"/>
        <v>41305</v>
      </c>
      <c r="Y12" s="40">
        <f t="shared" si="1"/>
        <v>41333</v>
      </c>
      <c r="Z12" s="40">
        <f t="shared" si="1"/>
        <v>41364</v>
      </c>
      <c r="AA12" s="40">
        <f t="shared" si="1"/>
        <v>41394</v>
      </c>
      <c r="AB12" s="40">
        <f t="shared" si="1"/>
        <v>41425</v>
      </c>
      <c r="AC12" s="40">
        <f t="shared" si="1"/>
        <v>41455</v>
      </c>
      <c r="AD12" s="40">
        <f t="shared" si="1"/>
        <v>41486</v>
      </c>
      <c r="AE12" s="40">
        <f t="shared" si="1"/>
        <v>41517</v>
      </c>
      <c r="AF12" s="40">
        <f t="shared" si="1"/>
        <v>41547</v>
      </c>
      <c r="AG12" s="40">
        <f t="shared" si="1"/>
        <v>41578</v>
      </c>
      <c r="AH12" s="40">
        <f t="shared" si="1"/>
        <v>41608</v>
      </c>
      <c r="AI12" s="40">
        <f t="shared" si="1"/>
        <v>41639</v>
      </c>
      <c r="AK12" s="39">
        <f t="shared" si="2"/>
        <v>2013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91">
        <v>2014</v>
      </c>
      <c r="J13" s="58">
        <v>1.0806</v>
      </c>
      <c r="K13" s="58">
        <v>1.0125</v>
      </c>
      <c r="L13" s="58">
        <v>1.2921</v>
      </c>
      <c r="M13" s="58">
        <v>1.4985999999999999</v>
      </c>
      <c r="N13" s="58">
        <v>1.6655</v>
      </c>
      <c r="O13" s="58">
        <v>1.6589</v>
      </c>
      <c r="P13" s="58">
        <v>1.5896999999999999</v>
      </c>
      <c r="Q13" s="58">
        <v>1.4081999999999999</v>
      </c>
      <c r="R13" s="58">
        <v>1.1464000000000001</v>
      </c>
      <c r="S13" s="58">
        <v>1.1499999999999999</v>
      </c>
      <c r="T13" s="58">
        <v>0.96550000000000002</v>
      </c>
      <c r="U13" s="58">
        <v>0.83340000000000003</v>
      </c>
      <c r="W13" s="39">
        <f t="shared" si="0"/>
        <v>2014</v>
      </c>
      <c r="X13" s="40">
        <f t="shared" si="1"/>
        <v>41670</v>
      </c>
      <c r="Y13" s="40">
        <f t="shared" si="1"/>
        <v>41698</v>
      </c>
      <c r="Z13" s="40">
        <f t="shared" si="1"/>
        <v>41729</v>
      </c>
      <c r="AA13" s="40">
        <f t="shared" si="1"/>
        <v>41759</v>
      </c>
      <c r="AB13" s="40">
        <f t="shared" si="1"/>
        <v>41790</v>
      </c>
      <c r="AC13" s="40">
        <f t="shared" si="1"/>
        <v>41820</v>
      </c>
      <c r="AD13" s="40">
        <f t="shared" si="1"/>
        <v>41851</v>
      </c>
      <c r="AE13" s="40">
        <f t="shared" si="1"/>
        <v>41882</v>
      </c>
      <c r="AF13" s="40">
        <f t="shared" si="1"/>
        <v>41912</v>
      </c>
      <c r="AG13" s="40">
        <f t="shared" si="1"/>
        <v>41943</v>
      </c>
      <c r="AH13" s="40">
        <f t="shared" si="1"/>
        <v>41973</v>
      </c>
      <c r="AI13" s="40">
        <f t="shared" si="1"/>
        <v>42004</v>
      </c>
      <c r="AK13" s="39">
        <f t="shared" si="2"/>
        <v>2014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91">
        <v>2015</v>
      </c>
      <c r="J14" s="58">
        <v>0.97409999999999997</v>
      </c>
      <c r="K14" s="58">
        <v>0.64590000000000003</v>
      </c>
      <c r="L14" s="58">
        <v>0.47049999999999997</v>
      </c>
      <c r="M14" s="58">
        <v>0.43619999999999998</v>
      </c>
      <c r="N14" s="58">
        <v>0.55210000000000004</v>
      </c>
      <c r="O14" s="58">
        <v>0.70130000000000003</v>
      </c>
      <c r="P14" s="58">
        <v>0.73529999999999995</v>
      </c>
      <c r="Q14" s="58">
        <v>0.70020000000000004</v>
      </c>
      <c r="R14" s="58">
        <v>0.50380000000000003</v>
      </c>
      <c r="S14" s="58">
        <v>0.80779999999999996</v>
      </c>
      <c r="T14" s="58">
        <v>0.82010000000000005</v>
      </c>
      <c r="U14" s="58">
        <v>1.1317999999999999</v>
      </c>
      <c r="W14" s="39">
        <f t="shared" si="0"/>
        <v>2015</v>
      </c>
      <c r="X14" s="40">
        <f t="shared" si="1"/>
        <v>42035</v>
      </c>
      <c r="Y14" s="40">
        <f t="shared" si="1"/>
        <v>42063</v>
      </c>
      <c r="Z14" s="40">
        <f t="shared" si="1"/>
        <v>42094</v>
      </c>
      <c r="AA14" s="40">
        <f t="shared" si="1"/>
        <v>42124</v>
      </c>
      <c r="AB14" s="40">
        <f t="shared" si="1"/>
        <v>42155</v>
      </c>
      <c r="AC14" s="40">
        <f t="shared" si="1"/>
        <v>42185</v>
      </c>
      <c r="AD14" s="40">
        <f t="shared" si="1"/>
        <v>42216</v>
      </c>
      <c r="AE14" s="40">
        <f t="shared" si="1"/>
        <v>42247</v>
      </c>
      <c r="AF14" s="40">
        <f t="shared" si="1"/>
        <v>42277</v>
      </c>
      <c r="AG14" s="40">
        <f t="shared" si="1"/>
        <v>42308</v>
      </c>
      <c r="AH14" s="40">
        <f t="shared" si="1"/>
        <v>42338</v>
      </c>
      <c r="AI14" s="40">
        <f t="shared" si="1"/>
        <v>42369</v>
      </c>
      <c r="AK14" s="39">
        <f t="shared" si="2"/>
        <v>2015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91">
        <v>2016</v>
      </c>
      <c r="J15" s="58">
        <v>0.62229999999999996</v>
      </c>
      <c r="K15" s="58">
        <v>1.1133</v>
      </c>
      <c r="L15" s="58">
        <v>0.84250000000000003</v>
      </c>
      <c r="M15" s="58">
        <v>1.0018</v>
      </c>
      <c r="N15" s="58">
        <v>0.77990000000000004</v>
      </c>
      <c r="O15" s="58">
        <v>0.73970000000000002</v>
      </c>
      <c r="P15" s="58">
        <v>0.36919999999999997</v>
      </c>
      <c r="Q15" s="58">
        <v>0.48730000000000001</v>
      </c>
      <c r="R15" s="58">
        <v>1.3489</v>
      </c>
      <c r="S15" s="58">
        <v>1.4879</v>
      </c>
      <c r="T15" s="58">
        <v>1.5307999999999999</v>
      </c>
      <c r="U15" s="58">
        <v>1.3380000000000001</v>
      </c>
      <c r="W15" s="39">
        <f t="shared" si="0"/>
        <v>2016</v>
      </c>
      <c r="X15" s="40">
        <f t="shared" si="1"/>
        <v>42400</v>
      </c>
      <c r="Y15" s="40">
        <f t="shared" si="1"/>
        <v>42429</v>
      </c>
      <c r="Z15" s="40">
        <f t="shared" si="1"/>
        <v>42460</v>
      </c>
      <c r="AA15" s="40">
        <f t="shared" si="1"/>
        <v>42490</v>
      </c>
      <c r="AB15" s="40">
        <f t="shared" si="1"/>
        <v>42521</v>
      </c>
      <c r="AC15" s="40">
        <f t="shared" si="1"/>
        <v>42551</v>
      </c>
      <c r="AD15" s="40">
        <f t="shared" si="1"/>
        <v>42582</v>
      </c>
      <c r="AE15" s="40">
        <f t="shared" si="1"/>
        <v>42613</v>
      </c>
      <c r="AF15" s="40">
        <f t="shared" si="1"/>
        <v>42643</v>
      </c>
      <c r="AG15" s="40">
        <f t="shared" si="1"/>
        <v>42674</v>
      </c>
      <c r="AH15" s="40">
        <f t="shared" si="1"/>
        <v>42704</v>
      </c>
      <c r="AI15" s="40">
        <f t="shared" si="1"/>
        <v>42735</v>
      </c>
      <c r="AK15" s="39">
        <f t="shared" si="2"/>
        <v>2016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91">
        <v>2017</v>
      </c>
      <c r="J16" s="58">
        <v>2.2408000000000001</v>
      </c>
      <c r="K16" s="58">
        <v>2.0828000000000002</v>
      </c>
      <c r="L16" s="58">
        <v>2.2768999999999999</v>
      </c>
      <c r="M16" s="58">
        <v>1.9556</v>
      </c>
      <c r="N16" s="58">
        <v>2.0036</v>
      </c>
      <c r="O16" s="58">
        <v>1.8063</v>
      </c>
      <c r="P16" s="58">
        <v>2.1669999999999998</v>
      </c>
      <c r="Q16" s="58">
        <v>2.4885999999999999</v>
      </c>
      <c r="R16" s="58">
        <v>2.0001000000000002</v>
      </c>
      <c r="S16" s="58">
        <v>1.7618</v>
      </c>
      <c r="T16" s="58">
        <v>1.1534</v>
      </c>
      <c r="U16" s="58">
        <v>1.4075</v>
      </c>
      <c r="W16" s="39">
        <f t="shared" si="0"/>
        <v>2017</v>
      </c>
      <c r="X16" s="40">
        <f t="shared" si="1"/>
        <v>42766</v>
      </c>
      <c r="Y16" s="40">
        <f t="shared" si="1"/>
        <v>42794</v>
      </c>
      <c r="Z16" s="40">
        <f t="shared" si="1"/>
        <v>42825</v>
      </c>
      <c r="AA16" s="40">
        <f t="shared" si="1"/>
        <v>42855</v>
      </c>
      <c r="AB16" s="40">
        <f t="shared" si="1"/>
        <v>42886</v>
      </c>
      <c r="AC16" s="40">
        <f t="shared" si="1"/>
        <v>42916</v>
      </c>
      <c r="AD16" s="40">
        <f t="shared" si="1"/>
        <v>42947</v>
      </c>
      <c r="AE16" s="40">
        <f t="shared" si="1"/>
        <v>42978</v>
      </c>
      <c r="AF16" s="40">
        <f t="shared" si="1"/>
        <v>43008</v>
      </c>
      <c r="AG16" s="40">
        <f t="shared" si="1"/>
        <v>43039</v>
      </c>
      <c r="AH16" s="40">
        <f t="shared" si="1"/>
        <v>43069</v>
      </c>
      <c r="AI16" s="40">
        <f t="shared" si="1"/>
        <v>43100</v>
      </c>
      <c r="AK16" s="39">
        <f t="shared" si="2"/>
        <v>2017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91">
        <v>2018</v>
      </c>
      <c r="J17" s="58">
        <v>0.76</v>
      </c>
      <c r="K17" s="58">
        <v>1.2526999999999999</v>
      </c>
      <c r="L17" s="58">
        <v>1.2156</v>
      </c>
      <c r="M17" s="58">
        <v>1.5281</v>
      </c>
      <c r="N17" s="58">
        <v>1.4691000000000001</v>
      </c>
      <c r="O17" s="58">
        <v>1.4803999999999999</v>
      </c>
      <c r="P17" s="58">
        <v>1.119</v>
      </c>
      <c r="Q17" s="58">
        <v>1.4318</v>
      </c>
      <c r="R17" s="58">
        <v>2.0872000000000002</v>
      </c>
      <c r="S17" s="58">
        <v>2.0024999999999999</v>
      </c>
      <c r="T17" s="58">
        <v>2.0369999999999999</v>
      </c>
      <c r="U17" s="58">
        <v>1.3204</v>
      </c>
      <c r="W17" s="39">
        <f t="shared" si="0"/>
        <v>2018</v>
      </c>
      <c r="X17" s="40">
        <f t="shared" si="1"/>
        <v>43131</v>
      </c>
      <c r="Y17" s="40">
        <f t="shared" si="1"/>
        <v>43159</v>
      </c>
      <c r="Z17" s="40">
        <f t="shared" si="1"/>
        <v>43190</v>
      </c>
      <c r="AA17" s="40">
        <f t="shared" si="1"/>
        <v>43220</v>
      </c>
      <c r="AB17" s="40">
        <f t="shared" si="1"/>
        <v>43251</v>
      </c>
      <c r="AC17" s="40">
        <f t="shared" si="1"/>
        <v>43281</v>
      </c>
      <c r="AD17" s="40">
        <f t="shared" si="1"/>
        <v>43312</v>
      </c>
      <c r="AE17" s="40">
        <f t="shared" si="1"/>
        <v>43343</v>
      </c>
      <c r="AF17" s="40">
        <f t="shared" si="1"/>
        <v>43373</v>
      </c>
      <c r="AG17" s="40">
        <f t="shared" si="1"/>
        <v>43404</v>
      </c>
      <c r="AH17" s="40">
        <f t="shared" si="1"/>
        <v>43434</v>
      </c>
      <c r="AI17" s="40">
        <f t="shared" si="1"/>
        <v>43465</v>
      </c>
      <c r="AK17" s="39">
        <f t="shared" si="2"/>
        <v>2018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91">
        <v>2019</v>
      </c>
      <c r="J18" s="58">
        <v>0.79300000000000004</v>
      </c>
      <c r="K18" s="58">
        <v>0.46129999999999999</v>
      </c>
      <c r="L18" s="58">
        <v>0.37469999999999998</v>
      </c>
      <c r="M18" s="58">
        <v>0.55589999999999995</v>
      </c>
      <c r="N18" s="58">
        <v>0.67989999999999995</v>
      </c>
      <c r="O18" s="58">
        <v>0.7208</v>
      </c>
      <c r="P18" s="58">
        <v>0.60550000000000004</v>
      </c>
      <c r="Q18" s="58">
        <v>-3.7199999999999997E-2</v>
      </c>
      <c r="R18" s="58">
        <v>-0.42609999999999998</v>
      </c>
      <c r="S18" s="58">
        <v>0</v>
      </c>
      <c r="T18" s="58">
        <v>0.152</v>
      </c>
      <c r="U18" s="58">
        <v>0.73850000000000005</v>
      </c>
      <c r="W18" s="39">
        <f t="shared" si="0"/>
        <v>2019</v>
      </c>
      <c r="X18" s="40">
        <f t="shared" si="1"/>
        <v>43496</v>
      </c>
      <c r="Y18" s="40">
        <f t="shared" si="1"/>
        <v>43524</v>
      </c>
      <c r="Z18" s="40">
        <f t="shared" si="1"/>
        <v>43555</v>
      </c>
      <c r="AA18" s="40">
        <f t="shared" si="1"/>
        <v>43585</v>
      </c>
      <c r="AB18" s="40">
        <f t="shared" si="1"/>
        <v>43616</v>
      </c>
      <c r="AC18" s="40">
        <f t="shared" si="1"/>
        <v>43646</v>
      </c>
      <c r="AD18" s="40">
        <f t="shared" si="1"/>
        <v>43677</v>
      </c>
      <c r="AE18" s="40">
        <f t="shared" si="1"/>
        <v>43708</v>
      </c>
      <c r="AF18" s="40">
        <f t="shared" si="1"/>
        <v>43738</v>
      </c>
      <c r="AG18" s="40">
        <f t="shared" si="1"/>
        <v>43769</v>
      </c>
      <c r="AH18" s="40">
        <f t="shared" si="1"/>
        <v>43799</v>
      </c>
      <c r="AI18" s="40">
        <f t="shared" si="1"/>
        <v>43830</v>
      </c>
      <c r="AK18" s="39">
        <f t="shared" si="2"/>
        <v>2019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91">
        <v>2020</v>
      </c>
      <c r="J19" s="58">
        <v>1.2196</v>
      </c>
      <c r="K19" s="58">
        <v>0.85489999999999999</v>
      </c>
      <c r="L19" s="58">
        <v>0.82630000000000003</v>
      </c>
      <c r="M19" s="58">
        <v>1.9099999999999999E-2</v>
      </c>
      <c r="N19" s="58">
        <v>-0.2127</v>
      </c>
      <c r="O19" s="58">
        <v>0.22009999999999999</v>
      </c>
      <c r="P19" s="58">
        <v>0.4466</v>
      </c>
      <c r="Q19" s="58">
        <v>0.76939999999999997</v>
      </c>
      <c r="R19" s="58">
        <v>0.94799999999999995</v>
      </c>
      <c r="S19" s="58">
        <v>0.1389</v>
      </c>
      <c r="T19" s="58">
        <v>0.61219999999999997</v>
      </c>
      <c r="U19" s="58">
        <v>0.61270000000000002</v>
      </c>
      <c r="W19" s="39">
        <f t="shared" si="0"/>
        <v>2020</v>
      </c>
      <c r="X19" s="40">
        <f t="shared" si="1"/>
        <v>43861</v>
      </c>
      <c r="Y19" s="40">
        <f t="shared" si="1"/>
        <v>43890</v>
      </c>
      <c r="Z19" s="40">
        <f t="shared" si="1"/>
        <v>43921</v>
      </c>
      <c r="AA19" s="40">
        <f t="shared" si="1"/>
        <v>43951</v>
      </c>
      <c r="AB19" s="40">
        <f t="shared" si="1"/>
        <v>43982</v>
      </c>
      <c r="AC19" s="40">
        <f t="shared" si="1"/>
        <v>44012</v>
      </c>
      <c r="AD19" s="40">
        <f t="shared" si="1"/>
        <v>44043</v>
      </c>
      <c r="AE19" s="40">
        <f t="shared" si="1"/>
        <v>44074</v>
      </c>
      <c r="AF19" s="40">
        <f t="shared" si="1"/>
        <v>44104</v>
      </c>
      <c r="AG19" s="40">
        <f t="shared" si="1"/>
        <v>44135</v>
      </c>
      <c r="AH19" s="40">
        <f t="shared" si="1"/>
        <v>44165</v>
      </c>
      <c r="AI19" s="40">
        <f t="shared" si="1"/>
        <v>44196</v>
      </c>
      <c r="AK19" s="39">
        <f t="shared" si="2"/>
        <v>2020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91">
        <v>2021</v>
      </c>
      <c r="J20" s="58">
        <v>0.94910000000000005</v>
      </c>
      <c r="K20" s="58">
        <v>1.4177</v>
      </c>
      <c r="L20" s="58">
        <v>1.9011</v>
      </c>
      <c r="M20" s="58">
        <v>2.4925000000000002</v>
      </c>
      <c r="N20" s="58">
        <v>2.6246999999999998</v>
      </c>
      <c r="O20" s="58">
        <v>2.3468</v>
      </c>
      <c r="P20" s="58">
        <v>2.6398000000000001</v>
      </c>
      <c r="Q20" s="58">
        <v>2.5550999999999999</v>
      </c>
      <c r="R20" s="58">
        <v>2.4121999999999999</v>
      </c>
      <c r="S20" s="58">
        <v>3.1642999999999999</v>
      </c>
      <c r="T20" s="58">
        <v>3.7766000000000002</v>
      </c>
      <c r="U20" s="58">
        <v>3.6978</v>
      </c>
      <c r="W20" s="39">
        <f>W21-1</f>
        <v>2021</v>
      </c>
      <c r="X20" s="40">
        <f t="shared" si="1"/>
        <v>44227</v>
      </c>
      <c r="Y20" s="40">
        <f t="shared" si="1"/>
        <v>44255</v>
      </c>
      <c r="Z20" s="40">
        <f t="shared" si="1"/>
        <v>44286</v>
      </c>
      <c r="AA20" s="40">
        <f t="shared" si="1"/>
        <v>44316</v>
      </c>
      <c r="AB20" s="40">
        <f t="shared" si="1"/>
        <v>44347</v>
      </c>
      <c r="AC20" s="40">
        <f t="shared" si="1"/>
        <v>44377</v>
      </c>
      <c r="AD20" s="40">
        <f t="shared" si="1"/>
        <v>44408</v>
      </c>
      <c r="AE20" s="40">
        <f t="shared" si="1"/>
        <v>44439</v>
      </c>
      <c r="AF20" s="40">
        <f t="shared" si="1"/>
        <v>44469</v>
      </c>
      <c r="AG20" s="40">
        <f t="shared" si="1"/>
        <v>44500</v>
      </c>
      <c r="AH20" s="40">
        <f t="shared" si="1"/>
        <v>44530</v>
      </c>
      <c r="AI20" s="40">
        <f t="shared" si="1"/>
        <v>44561</v>
      </c>
      <c r="AK20" s="39">
        <f>AK21-1</f>
        <v>2021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2022</v>
      </c>
      <c r="J21" s="58">
        <v>3.6124000000000001</v>
      </c>
      <c r="K21" s="58" t="s">
        <v>225</v>
      </c>
      <c r="L21" s="58" t="s">
        <v>225</v>
      </c>
      <c r="M21" s="58" t="s">
        <v>225</v>
      </c>
      <c r="N21" s="58" t="s">
        <v>225</v>
      </c>
      <c r="O21" s="58" t="s">
        <v>225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2022</v>
      </c>
      <c r="X21" s="40">
        <f t="shared" si="1"/>
        <v>44592</v>
      </c>
      <c r="Y21" s="40" t="str">
        <f t="shared" si="1"/>
        <v/>
      </c>
      <c r="Z21" s="40" t="str">
        <f t="shared" si="1"/>
        <v/>
      </c>
      <c r="AA21" s="40" t="str">
        <f t="shared" si="1"/>
        <v/>
      </c>
      <c r="AB21" s="40" t="str">
        <f t="shared" si="1"/>
        <v/>
      </c>
      <c r="AC21" s="40" t="str">
        <f t="shared" si="1"/>
        <v/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2022</v>
      </c>
      <c r="AL21" s="40" t="str">
        <f t="shared" si="3"/>
        <v>MAX</v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91">
        <v>2012</v>
      </c>
      <c r="J24" s="58" t="s">
        <v>225</v>
      </c>
      <c r="K24" s="58">
        <v>3.1511</v>
      </c>
      <c r="L24" s="58">
        <v>2.4302000000000001</v>
      </c>
      <c r="M24" s="58">
        <v>1.8492</v>
      </c>
      <c r="N24" s="58">
        <v>0.97829999999999995</v>
      </c>
      <c r="O24" s="58">
        <v>-1.89E-2</v>
      </c>
      <c r="P24" s="58">
        <v>-0.59319999999999995</v>
      </c>
      <c r="Q24" s="58">
        <v>-0.1128</v>
      </c>
      <c r="R24" s="58">
        <v>0.1691</v>
      </c>
      <c r="S24" s="58">
        <v>-0.51729999999999998</v>
      </c>
      <c r="T24" s="58">
        <v>-0.88690000000000002</v>
      </c>
      <c r="U24" s="58">
        <v>-1.2254</v>
      </c>
      <c r="W24" s="39">
        <f t="shared" ref="W24:W32" si="4">W25-1</f>
        <v>2012</v>
      </c>
      <c r="X24" s="40" t="str">
        <f t="shared" ref="X24:AI34" si="5">X11</f>
        <v/>
      </c>
      <c r="Y24" s="40">
        <f t="shared" si="5"/>
        <v>40968</v>
      </c>
      <c r="Z24" s="40">
        <f t="shared" si="5"/>
        <v>40999</v>
      </c>
      <c r="AA24" s="40">
        <f t="shared" si="5"/>
        <v>41029</v>
      </c>
      <c r="AB24" s="40">
        <f t="shared" si="5"/>
        <v>41060</v>
      </c>
      <c r="AC24" s="40">
        <f t="shared" si="5"/>
        <v>41090</v>
      </c>
      <c r="AD24" s="40">
        <f t="shared" si="5"/>
        <v>41121</v>
      </c>
      <c r="AE24" s="40">
        <f t="shared" si="5"/>
        <v>41152</v>
      </c>
      <c r="AF24" s="40">
        <f t="shared" si="5"/>
        <v>41182</v>
      </c>
      <c r="AG24" s="40">
        <f t="shared" si="5"/>
        <v>41213</v>
      </c>
      <c r="AH24" s="40">
        <f t="shared" si="5"/>
        <v>41243</v>
      </c>
      <c r="AI24" s="40">
        <f t="shared" si="5"/>
        <v>41274</v>
      </c>
      <c r="AK24" s="39">
        <f t="shared" ref="AK24:AK32" si="6">AK25-1</f>
        <v>2012</v>
      </c>
      <c r="AL24" s="40" t="str">
        <f t="shared" ref="AL24:AW34" si="7">AL11</f>
        <v/>
      </c>
      <c r="AM24" s="40" t="str">
        <f t="shared" si="7"/>
        <v>MIN</v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91">
        <v>2013</v>
      </c>
      <c r="J25" s="58">
        <v>-1.5753999999999999</v>
      </c>
      <c r="K25" s="58">
        <v>-1.5740000000000001</v>
      </c>
      <c r="L25" s="58">
        <v>-2.4466999999999999</v>
      </c>
      <c r="M25" s="58">
        <v>-2.7976000000000001</v>
      </c>
      <c r="N25" s="58">
        <v>-2.5897000000000001</v>
      </c>
      <c r="O25" s="58">
        <v>-1.4144000000000001</v>
      </c>
      <c r="P25" s="58">
        <v>-0.99450000000000005</v>
      </c>
      <c r="Q25" s="58">
        <v>-1.3272999999999999</v>
      </c>
      <c r="R25" s="58">
        <v>-1.7822</v>
      </c>
      <c r="S25" s="58">
        <v>-1.3613</v>
      </c>
      <c r="T25" s="58">
        <v>-0.87580000000000002</v>
      </c>
      <c r="U25" s="58">
        <v>-0.40079999999999999</v>
      </c>
      <c r="W25" s="39">
        <f t="shared" si="4"/>
        <v>2013</v>
      </c>
      <c r="X25" s="40">
        <f t="shared" si="5"/>
        <v>41305</v>
      </c>
      <c r="Y25" s="40">
        <f t="shared" si="5"/>
        <v>41333</v>
      </c>
      <c r="Z25" s="40">
        <f t="shared" si="5"/>
        <v>41364</v>
      </c>
      <c r="AA25" s="40">
        <f t="shared" si="5"/>
        <v>41394</v>
      </c>
      <c r="AB25" s="40">
        <f t="shared" si="5"/>
        <v>41425</v>
      </c>
      <c r="AC25" s="40">
        <f t="shared" si="5"/>
        <v>41455</v>
      </c>
      <c r="AD25" s="40">
        <f t="shared" si="5"/>
        <v>41486</v>
      </c>
      <c r="AE25" s="40">
        <f t="shared" si="5"/>
        <v>41517</v>
      </c>
      <c r="AF25" s="40">
        <f t="shared" si="5"/>
        <v>41547</v>
      </c>
      <c r="AG25" s="40">
        <f t="shared" si="5"/>
        <v>41578</v>
      </c>
      <c r="AH25" s="40">
        <f t="shared" si="5"/>
        <v>41608</v>
      </c>
      <c r="AI25" s="40">
        <f t="shared" si="5"/>
        <v>41639</v>
      </c>
      <c r="AK25" s="39">
        <f t="shared" si="6"/>
        <v>2013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91">
        <v>2014</v>
      </c>
      <c r="J26" s="58">
        <v>-0.2954</v>
      </c>
      <c r="K26" s="58">
        <v>-0.85160000000000002</v>
      </c>
      <c r="L26" s="58">
        <v>-0.49399999999999999</v>
      </c>
      <c r="M26" s="58">
        <v>-0.33360000000000001</v>
      </c>
      <c r="N26" s="58">
        <v>-9.5999999999999992E-3</v>
      </c>
      <c r="O26" s="58">
        <v>5.74E-2</v>
      </c>
      <c r="P26" s="58">
        <v>0.15310000000000001</v>
      </c>
      <c r="Q26" s="58">
        <v>-0.22900000000000001</v>
      </c>
      <c r="R26" s="58">
        <v>-0.48709999999999998</v>
      </c>
      <c r="S26" s="58">
        <v>-0.83379999999999999</v>
      </c>
      <c r="T26" s="58">
        <v>-0.94110000000000005</v>
      </c>
      <c r="U26" s="58">
        <v>-2.1366000000000001</v>
      </c>
      <c r="W26" s="39">
        <f t="shared" si="4"/>
        <v>2014</v>
      </c>
      <c r="X26" s="40">
        <f t="shared" si="5"/>
        <v>41670</v>
      </c>
      <c r="Y26" s="40">
        <f t="shared" si="5"/>
        <v>41698</v>
      </c>
      <c r="Z26" s="40">
        <f t="shared" si="5"/>
        <v>41729</v>
      </c>
      <c r="AA26" s="40">
        <f t="shared" si="5"/>
        <v>41759</v>
      </c>
      <c r="AB26" s="40">
        <f t="shared" si="5"/>
        <v>41790</v>
      </c>
      <c r="AC26" s="40">
        <f t="shared" si="5"/>
        <v>41820</v>
      </c>
      <c r="AD26" s="40">
        <f t="shared" si="5"/>
        <v>41851</v>
      </c>
      <c r="AE26" s="40">
        <f t="shared" si="5"/>
        <v>41882</v>
      </c>
      <c r="AF26" s="40">
        <f t="shared" si="5"/>
        <v>41912</v>
      </c>
      <c r="AG26" s="40">
        <f t="shared" si="5"/>
        <v>41943</v>
      </c>
      <c r="AH26" s="40">
        <f t="shared" si="5"/>
        <v>41973</v>
      </c>
      <c r="AI26" s="40">
        <f t="shared" si="5"/>
        <v>42004</v>
      </c>
      <c r="AK26" s="39">
        <f t="shared" si="6"/>
        <v>2014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91">
        <v>2015</v>
      </c>
      <c r="J27" s="58">
        <v>-3.5929000000000002</v>
      </c>
      <c r="K27" s="58">
        <v>-3.6457000000000002</v>
      </c>
      <c r="L27" s="58">
        <v>-3.7235</v>
      </c>
      <c r="M27" s="58">
        <v>-3.6145</v>
      </c>
      <c r="N27" s="58">
        <v>-3.5291000000000001</v>
      </c>
      <c r="O27" s="58">
        <v>-3.6230000000000002</v>
      </c>
      <c r="P27" s="58">
        <v>-4.0500999999999996</v>
      </c>
      <c r="Q27" s="58">
        <v>-4.5419999999999998</v>
      </c>
      <c r="R27" s="58">
        <v>-4.6161000000000003</v>
      </c>
      <c r="S27" s="58">
        <v>-4.6003999999999996</v>
      </c>
      <c r="T27" s="58">
        <v>-4.6825000000000001</v>
      </c>
      <c r="U27" s="58">
        <v>-3.9651000000000001</v>
      </c>
      <c r="W27" s="39">
        <f t="shared" si="4"/>
        <v>2015</v>
      </c>
      <c r="X27" s="40">
        <f t="shared" si="5"/>
        <v>42035</v>
      </c>
      <c r="Y27" s="40">
        <f t="shared" si="5"/>
        <v>42063</v>
      </c>
      <c r="Z27" s="40">
        <f t="shared" si="5"/>
        <v>42094</v>
      </c>
      <c r="AA27" s="40">
        <f t="shared" si="5"/>
        <v>42124</v>
      </c>
      <c r="AB27" s="40">
        <f t="shared" si="5"/>
        <v>42155</v>
      </c>
      <c r="AC27" s="40">
        <f t="shared" si="5"/>
        <v>42185</v>
      </c>
      <c r="AD27" s="40">
        <f t="shared" si="5"/>
        <v>42216</v>
      </c>
      <c r="AE27" s="40">
        <f t="shared" si="5"/>
        <v>42247</v>
      </c>
      <c r="AF27" s="40">
        <f t="shared" si="5"/>
        <v>42277</v>
      </c>
      <c r="AG27" s="40">
        <f t="shared" si="5"/>
        <v>42308</v>
      </c>
      <c r="AH27" s="40">
        <f t="shared" si="5"/>
        <v>42338</v>
      </c>
      <c r="AI27" s="40">
        <f t="shared" si="5"/>
        <v>42369</v>
      </c>
      <c r="AK27" s="39">
        <f t="shared" si="6"/>
        <v>2015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91">
        <v>2016</v>
      </c>
      <c r="J28" s="58">
        <v>-3.3006000000000002</v>
      </c>
      <c r="K28" s="58">
        <v>-3.3677000000000001</v>
      </c>
      <c r="L28" s="58">
        <v>-3.3121999999999998</v>
      </c>
      <c r="M28" s="58">
        <v>-3.0356999999999998</v>
      </c>
      <c r="N28" s="58">
        <v>-2.984</v>
      </c>
      <c r="O28" s="58">
        <v>-2.7078000000000002</v>
      </c>
      <c r="P28" s="58">
        <v>-2.4588999999999999</v>
      </c>
      <c r="Q28" s="58">
        <v>-1.7629999999999999</v>
      </c>
      <c r="R28" s="58">
        <v>-1.0967</v>
      </c>
      <c r="S28" s="58">
        <v>-0.1216</v>
      </c>
      <c r="T28" s="58">
        <v>0.72209999999999996</v>
      </c>
      <c r="U28" s="58">
        <v>1.8452</v>
      </c>
      <c r="W28" s="39">
        <f t="shared" si="4"/>
        <v>2016</v>
      </c>
      <c r="X28" s="40">
        <f t="shared" si="5"/>
        <v>42400</v>
      </c>
      <c r="Y28" s="40">
        <f t="shared" si="5"/>
        <v>42429</v>
      </c>
      <c r="Z28" s="40">
        <f t="shared" si="5"/>
        <v>42460</v>
      </c>
      <c r="AA28" s="40">
        <f t="shared" si="5"/>
        <v>42490</v>
      </c>
      <c r="AB28" s="40">
        <f t="shared" si="5"/>
        <v>42521</v>
      </c>
      <c r="AC28" s="40">
        <f t="shared" si="5"/>
        <v>42551</v>
      </c>
      <c r="AD28" s="40">
        <f t="shared" si="5"/>
        <v>42582</v>
      </c>
      <c r="AE28" s="40">
        <f t="shared" si="5"/>
        <v>42613</v>
      </c>
      <c r="AF28" s="40">
        <f t="shared" si="5"/>
        <v>42643</v>
      </c>
      <c r="AG28" s="40">
        <f t="shared" si="5"/>
        <v>42674</v>
      </c>
      <c r="AH28" s="40">
        <f t="shared" si="5"/>
        <v>42704</v>
      </c>
      <c r="AI28" s="40">
        <f t="shared" si="5"/>
        <v>42735</v>
      </c>
      <c r="AK28" s="39">
        <f t="shared" si="6"/>
        <v>2016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91">
        <v>2017</v>
      </c>
      <c r="J29" s="58">
        <v>3.8847999999999998</v>
      </c>
      <c r="K29" s="58">
        <v>4.2845000000000004</v>
      </c>
      <c r="L29" s="58">
        <v>4.3076999999999996</v>
      </c>
      <c r="M29" s="58">
        <v>3.8264999999999998</v>
      </c>
      <c r="N29" s="58">
        <v>3.4232999999999998</v>
      </c>
      <c r="O29" s="58">
        <v>2.7730000000000001</v>
      </c>
      <c r="P29" s="58">
        <v>2.97</v>
      </c>
      <c r="Q29" s="58">
        <v>3.3445</v>
      </c>
      <c r="R29" s="58">
        <v>3.7945000000000002</v>
      </c>
      <c r="S29" s="58">
        <v>3.6008</v>
      </c>
      <c r="T29" s="58">
        <v>3.0394999999999999</v>
      </c>
      <c r="U29" s="58">
        <v>2.1922000000000001</v>
      </c>
      <c r="W29" s="39">
        <f t="shared" si="4"/>
        <v>2017</v>
      </c>
      <c r="X29" s="40">
        <f t="shared" si="5"/>
        <v>42766</v>
      </c>
      <c r="Y29" s="40">
        <f t="shared" si="5"/>
        <v>42794</v>
      </c>
      <c r="Z29" s="40">
        <f t="shared" si="5"/>
        <v>42825</v>
      </c>
      <c r="AA29" s="40">
        <f t="shared" si="5"/>
        <v>42855</v>
      </c>
      <c r="AB29" s="40">
        <f t="shared" si="5"/>
        <v>42886</v>
      </c>
      <c r="AC29" s="40">
        <f t="shared" si="5"/>
        <v>42916</v>
      </c>
      <c r="AD29" s="40">
        <f t="shared" si="5"/>
        <v>42947</v>
      </c>
      <c r="AE29" s="40">
        <f t="shared" si="5"/>
        <v>42978</v>
      </c>
      <c r="AF29" s="40">
        <f t="shared" si="5"/>
        <v>43008</v>
      </c>
      <c r="AG29" s="40">
        <f t="shared" si="5"/>
        <v>43039</v>
      </c>
      <c r="AH29" s="40">
        <f t="shared" si="5"/>
        <v>43069</v>
      </c>
      <c r="AI29" s="40">
        <f t="shared" si="5"/>
        <v>43100</v>
      </c>
      <c r="AK29" s="39">
        <f t="shared" si="6"/>
        <v>2017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91">
        <v>2018</v>
      </c>
      <c r="J30" s="58">
        <v>1.1544000000000001</v>
      </c>
      <c r="K30" s="58">
        <v>1.1893</v>
      </c>
      <c r="L30" s="58">
        <v>1.1898</v>
      </c>
      <c r="M30" s="58">
        <v>1.5371999999999999</v>
      </c>
      <c r="N30" s="58">
        <v>2.1044999999999998</v>
      </c>
      <c r="O30" s="58">
        <v>2.5394000000000001</v>
      </c>
      <c r="P30" s="58">
        <v>2.9339</v>
      </c>
      <c r="Q30" s="58">
        <v>2.9304000000000001</v>
      </c>
      <c r="R30" s="58">
        <v>2.5385</v>
      </c>
      <c r="S30" s="58">
        <v>2.0756000000000001</v>
      </c>
      <c r="T30" s="58">
        <v>1.4601999999999999</v>
      </c>
      <c r="U30" s="58">
        <v>0.92079999999999995</v>
      </c>
      <c r="W30" s="39">
        <f t="shared" si="4"/>
        <v>2018</v>
      </c>
      <c r="X30" s="40">
        <f t="shared" si="5"/>
        <v>43131</v>
      </c>
      <c r="Y30" s="40">
        <f t="shared" si="5"/>
        <v>43159</v>
      </c>
      <c r="Z30" s="40">
        <f t="shared" si="5"/>
        <v>43190</v>
      </c>
      <c r="AA30" s="40">
        <f t="shared" si="5"/>
        <v>43220</v>
      </c>
      <c r="AB30" s="40">
        <f t="shared" si="5"/>
        <v>43251</v>
      </c>
      <c r="AC30" s="40">
        <f t="shared" si="5"/>
        <v>43281</v>
      </c>
      <c r="AD30" s="40">
        <f t="shared" si="5"/>
        <v>43312</v>
      </c>
      <c r="AE30" s="40">
        <f t="shared" si="5"/>
        <v>43343</v>
      </c>
      <c r="AF30" s="40">
        <f t="shared" si="5"/>
        <v>43373</v>
      </c>
      <c r="AG30" s="40">
        <f t="shared" si="5"/>
        <v>43404</v>
      </c>
      <c r="AH30" s="40">
        <f t="shared" si="5"/>
        <v>43434</v>
      </c>
      <c r="AI30" s="40">
        <f t="shared" si="5"/>
        <v>43465</v>
      </c>
      <c r="AK30" s="39">
        <f t="shared" si="6"/>
        <v>2018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91">
        <v>2019</v>
      </c>
      <c r="J31" s="58">
        <v>0.39019999999999999</v>
      </c>
      <c r="K31" s="58">
        <v>6.8000000000000005E-2</v>
      </c>
      <c r="L31" s="58">
        <v>0.45669999999999999</v>
      </c>
      <c r="M31" s="58">
        <v>0.62109999999999999</v>
      </c>
      <c r="N31" s="58">
        <v>0.4355</v>
      </c>
      <c r="O31" s="58">
        <v>0.1258</v>
      </c>
      <c r="P31" s="58">
        <v>-0.33700000000000002</v>
      </c>
      <c r="Q31" s="58">
        <v>-0.55600000000000005</v>
      </c>
      <c r="R31" s="58">
        <v>-0.78380000000000005</v>
      </c>
      <c r="S31" s="58">
        <v>-0.6714</v>
      </c>
      <c r="T31" s="58">
        <v>-0.1159</v>
      </c>
      <c r="U31" s="58">
        <v>0.65029999999999999</v>
      </c>
      <c r="W31" s="39">
        <f t="shared" si="4"/>
        <v>2019</v>
      </c>
      <c r="X31" s="40">
        <f t="shared" si="5"/>
        <v>43496</v>
      </c>
      <c r="Y31" s="40">
        <f t="shared" si="5"/>
        <v>43524</v>
      </c>
      <c r="Z31" s="40">
        <f t="shared" si="5"/>
        <v>43555</v>
      </c>
      <c r="AA31" s="40">
        <f t="shared" si="5"/>
        <v>43585</v>
      </c>
      <c r="AB31" s="40">
        <f t="shared" si="5"/>
        <v>43616</v>
      </c>
      <c r="AC31" s="40">
        <f t="shared" si="5"/>
        <v>43646</v>
      </c>
      <c r="AD31" s="40">
        <f t="shared" si="5"/>
        <v>43677</v>
      </c>
      <c r="AE31" s="40">
        <f t="shared" si="5"/>
        <v>43708</v>
      </c>
      <c r="AF31" s="40">
        <f t="shared" si="5"/>
        <v>43738</v>
      </c>
      <c r="AG31" s="40">
        <f t="shared" si="5"/>
        <v>43769</v>
      </c>
      <c r="AH31" s="40">
        <f t="shared" si="5"/>
        <v>43799</v>
      </c>
      <c r="AI31" s="40">
        <f t="shared" si="5"/>
        <v>43830</v>
      </c>
      <c r="AK31" s="39">
        <f t="shared" si="6"/>
        <v>2019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91">
        <v>2020</v>
      </c>
      <c r="J32" s="58">
        <v>1.1271</v>
      </c>
      <c r="K32" s="58">
        <v>0.69889999999999997</v>
      </c>
      <c r="L32" s="58">
        <v>-0.54169999999999996</v>
      </c>
      <c r="M32" s="58">
        <v>-1.6879</v>
      </c>
      <c r="N32" s="58">
        <v>-1.7632000000000001</v>
      </c>
      <c r="O32" s="58">
        <v>-0.98550000000000004</v>
      </c>
      <c r="P32" s="58">
        <v>-0.76329999999999998</v>
      </c>
      <c r="Q32" s="58">
        <v>-0.50129999999999997</v>
      </c>
      <c r="R32" s="58">
        <v>-0.36609999999999998</v>
      </c>
      <c r="S32" s="58">
        <v>-0.53110000000000002</v>
      </c>
      <c r="T32" s="58">
        <v>-0.30940000000000001</v>
      </c>
      <c r="U32" s="58">
        <v>0.19289999999999999</v>
      </c>
      <c r="W32" s="39">
        <f t="shared" si="4"/>
        <v>2020</v>
      </c>
      <c r="X32" s="40">
        <f t="shared" si="5"/>
        <v>43861</v>
      </c>
      <c r="Y32" s="40">
        <f t="shared" si="5"/>
        <v>43890</v>
      </c>
      <c r="Z32" s="40">
        <f t="shared" si="5"/>
        <v>43921</v>
      </c>
      <c r="AA32" s="40">
        <f t="shared" si="5"/>
        <v>43951</v>
      </c>
      <c r="AB32" s="40">
        <f t="shared" si="5"/>
        <v>43982</v>
      </c>
      <c r="AC32" s="40">
        <f t="shared" si="5"/>
        <v>44012</v>
      </c>
      <c r="AD32" s="40">
        <f t="shared" si="5"/>
        <v>44043</v>
      </c>
      <c r="AE32" s="40">
        <f t="shared" si="5"/>
        <v>44074</v>
      </c>
      <c r="AF32" s="40">
        <f t="shared" si="5"/>
        <v>44104</v>
      </c>
      <c r="AG32" s="40">
        <f t="shared" si="5"/>
        <v>44135</v>
      </c>
      <c r="AH32" s="40">
        <f t="shared" si="5"/>
        <v>44165</v>
      </c>
      <c r="AI32" s="40">
        <f t="shared" si="5"/>
        <v>44196</v>
      </c>
      <c r="AK32" s="39">
        <f t="shared" si="6"/>
        <v>2020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91">
        <v>2021</v>
      </c>
      <c r="J33" s="58">
        <v>0.93200000000000005</v>
      </c>
      <c r="K33" s="58">
        <v>2.0918000000000001</v>
      </c>
      <c r="L33" s="58">
        <v>4.1043000000000003</v>
      </c>
      <c r="M33" s="58">
        <v>6.0138999999999996</v>
      </c>
      <c r="N33" s="58">
        <v>6.5613999999999999</v>
      </c>
      <c r="O33" s="58">
        <v>6.5769000000000002</v>
      </c>
      <c r="P33" s="58">
        <v>7.3703000000000003</v>
      </c>
      <c r="Q33" s="58">
        <v>7.4016999999999999</v>
      </c>
      <c r="R33" s="58">
        <v>7.5903999999999998</v>
      </c>
      <c r="S33" s="58">
        <v>9.1447000000000003</v>
      </c>
      <c r="T33" s="58">
        <v>9.8361000000000001</v>
      </c>
      <c r="U33" s="58">
        <v>8.9604999999999997</v>
      </c>
      <c r="W33" s="39">
        <f>W34-1</f>
        <v>2021</v>
      </c>
      <c r="X33" s="40">
        <f t="shared" si="5"/>
        <v>44227</v>
      </c>
      <c r="Y33" s="40">
        <f t="shared" si="5"/>
        <v>44255</v>
      </c>
      <c r="Z33" s="40">
        <f t="shared" si="5"/>
        <v>44286</v>
      </c>
      <c r="AA33" s="40">
        <f t="shared" si="5"/>
        <v>44316</v>
      </c>
      <c r="AB33" s="40">
        <f t="shared" si="5"/>
        <v>44347</v>
      </c>
      <c r="AC33" s="40">
        <f t="shared" si="5"/>
        <v>44377</v>
      </c>
      <c r="AD33" s="40">
        <f t="shared" si="5"/>
        <v>44408</v>
      </c>
      <c r="AE33" s="40">
        <f t="shared" si="5"/>
        <v>44439</v>
      </c>
      <c r="AF33" s="40">
        <f t="shared" si="5"/>
        <v>44469</v>
      </c>
      <c r="AG33" s="40">
        <f t="shared" si="5"/>
        <v>44500</v>
      </c>
      <c r="AH33" s="40">
        <f t="shared" si="5"/>
        <v>44530</v>
      </c>
      <c r="AI33" s="40">
        <f t="shared" si="5"/>
        <v>44561</v>
      </c>
      <c r="AK33" s="39">
        <f>AK34-1</f>
        <v>2021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2022</v>
      </c>
      <c r="J34" s="58">
        <v>8.9004999999999992</v>
      </c>
      <c r="K34" s="58" t="s">
        <v>225</v>
      </c>
      <c r="L34" s="58" t="s">
        <v>225</v>
      </c>
      <c r="M34" s="58" t="s">
        <v>225</v>
      </c>
      <c r="N34" s="58" t="s">
        <v>225</v>
      </c>
      <c r="O34" s="58" t="s">
        <v>225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2022</v>
      </c>
      <c r="X34" s="40">
        <f t="shared" si="5"/>
        <v>44592</v>
      </c>
      <c r="Y34" s="40" t="str">
        <f t="shared" si="5"/>
        <v/>
      </c>
      <c r="Z34" s="40" t="str">
        <f t="shared" si="5"/>
        <v/>
      </c>
      <c r="AA34" s="40" t="str">
        <f t="shared" si="5"/>
        <v/>
      </c>
      <c r="AB34" s="40" t="str">
        <f t="shared" si="5"/>
        <v/>
      </c>
      <c r="AC34" s="40" t="str">
        <f t="shared" si="5"/>
        <v/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2022</v>
      </c>
      <c r="AL34" s="40" t="str">
        <f t="shared" si="7"/>
        <v>MAX</v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91">
        <v>2012</v>
      </c>
      <c r="J37" s="58" t="s">
        <v>225</v>
      </c>
      <c r="K37" s="58">
        <v>1.0164</v>
      </c>
      <c r="L37" s="58">
        <v>1.0163</v>
      </c>
      <c r="M37" s="58">
        <v>1.026</v>
      </c>
      <c r="N37" s="58">
        <v>0.97360000000000002</v>
      </c>
      <c r="O37" s="58">
        <v>1.0455000000000001</v>
      </c>
      <c r="P37" s="58">
        <v>1.0660000000000001</v>
      </c>
      <c r="Q37" s="58">
        <v>1.0346</v>
      </c>
      <c r="R37" s="58">
        <v>1.1067</v>
      </c>
      <c r="S37" s="58">
        <v>1.0435000000000001</v>
      </c>
      <c r="T37" s="58">
        <v>0.98</v>
      </c>
      <c r="U37" s="58">
        <v>1.0206999999999999</v>
      </c>
      <c r="W37" s="39">
        <f t="shared" ref="W37:W45" si="8">W38-1</f>
        <v>2012</v>
      </c>
      <c r="X37" s="40" t="str">
        <f t="shared" ref="X37:AI47" si="9">X11</f>
        <v/>
      </c>
      <c r="Y37" s="40">
        <f t="shared" si="9"/>
        <v>40968</v>
      </c>
      <c r="Z37" s="40">
        <f t="shared" si="9"/>
        <v>40999</v>
      </c>
      <c r="AA37" s="40">
        <f t="shared" si="9"/>
        <v>41029</v>
      </c>
      <c r="AB37" s="40">
        <f t="shared" si="9"/>
        <v>41060</v>
      </c>
      <c r="AC37" s="40">
        <f t="shared" si="9"/>
        <v>41090</v>
      </c>
      <c r="AD37" s="40">
        <f t="shared" si="9"/>
        <v>41121</v>
      </c>
      <c r="AE37" s="40">
        <f t="shared" si="9"/>
        <v>41152</v>
      </c>
      <c r="AF37" s="40">
        <f t="shared" si="9"/>
        <v>41182</v>
      </c>
      <c r="AG37" s="40">
        <f t="shared" si="9"/>
        <v>41213</v>
      </c>
      <c r="AH37" s="40">
        <f t="shared" si="9"/>
        <v>41243</v>
      </c>
      <c r="AI37" s="40">
        <f t="shared" si="9"/>
        <v>41274</v>
      </c>
      <c r="AK37" s="39">
        <f t="shared" ref="AK37:AK45" si="10">AK38-1</f>
        <v>2012</v>
      </c>
      <c r="AL37" s="40" t="str">
        <f t="shared" ref="AL37:AW47" si="11">AL11</f>
        <v/>
      </c>
      <c r="AM37" s="40" t="str">
        <f t="shared" si="11"/>
        <v>MIN</v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91">
        <v>2013</v>
      </c>
      <c r="J38" s="58">
        <v>0.74970000000000003</v>
      </c>
      <c r="K38" s="58">
        <v>0.85219999999999996</v>
      </c>
      <c r="L38" s="58">
        <v>0.91369999999999996</v>
      </c>
      <c r="M38" s="58">
        <v>0.6976</v>
      </c>
      <c r="N38" s="58">
        <v>0.7591</v>
      </c>
      <c r="O38" s="58">
        <v>0.7581</v>
      </c>
      <c r="P38" s="58">
        <v>0.91139999999999999</v>
      </c>
      <c r="Q38" s="58">
        <v>1.0649</v>
      </c>
      <c r="R38" s="58">
        <v>1.1355</v>
      </c>
      <c r="S38" s="58">
        <v>1.0736000000000001</v>
      </c>
      <c r="T38" s="58">
        <v>1.0522</v>
      </c>
      <c r="U38" s="58">
        <v>0.96960000000000002</v>
      </c>
      <c r="W38" s="39">
        <f t="shared" si="8"/>
        <v>2013</v>
      </c>
      <c r="X38" s="40">
        <f t="shared" si="9"/>
        <v>41305</v>
      </c>
      <c r="Y38" s="40">
        <f t="shared" si="9"/>
        <v>41333</v>
      </c>
      <c r="Z38" s="40">
        <f t="shared" si="9"/>
        <v>41364</v>
      </c>
      <c r="AA38" s="40">
        <f t="shared" si="9"/>
        <v>41394</v>
      </c>
      <c r="AB38" s="40">
        <f t="shared" si="9"/>
        <v>41425</v>
      </c>
      <c r="AC38" s="40">
        <f t="shared" si="9"/>
        <v>41455</v>
      </c>
      <c r="AD38" s="40">
        <f t="shared" si="9"/>
        <v>41486</v>
      </c>
      <c r="AE38" s="40">
        <f t="shared" si="9"/>
        <v>41517</v>
      </c>
      <c r="AF38" s="40">
        <f t="shared" si="9"/>
        <v>41547</v>
      </c>
      <c r="AG38" s="40">
        <f t="shared" si="9"/>
        <v>41578</v>
      </c>
      <c r="AH38" s="40">
        <f t="shared" si="9"/>
        <v>41608</v>
      </c>
      <c r="AI38" s="40">
        <f t="shared" si="9"/>
        <v>41639</v>
      </c>
      <c r="AK38" s="39">
        <f t="shared" si="10"/>
        <v>2013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91">
        <v>2014</v>
      </c>
      <c r="J39" s="58">
        <v>1.0092000000000001</v>
      </c>
      <c r="K39" s="58">
        <v>0.89590000000000003</v>
      </c>
      <c r="L39" s="58">
        <v>0.81379999999999997</v>
      </c>
      <c r="M39" s="58">
        <v>0.97799999999999998</v>
      </c>
      <c r="N39" s="58">
        <v>0.99770000000000003</v>
      </c>
      <c r="O39" s="58">
        <v>0.86429999999999996</v>
      </c>
      <c r="P39" s="58">
        <v>0.85240000000000005</v>
      </c>
      <c r="Q39" s="58">
        <v>0.69910000000000005</v>
      </c>
      <c r="R39" s="58">
        <v>0.5766</v>
      </c>
      <c r="S39" s="58">
        <v>0.62719999999999998</v>
      </c>
      <c r="T39" s="58">
        <v>0.71779999999999999</v>
      </c>
      <c r="U39" s="58">
        <v>0.69750000000000001</v>
      </c>
      <c r="W39" s="39">
        <f t="shared" si="8"/>
        <v>2014</v>
      </c>
      <c r="X39" s="40">
        <f t="shared" si="9"/>
        <v>41670</v>
      </c>
      <c r="Y39" s="40">
        <f t="shared" si="9"/>
        <v>41698</v>
      </c>
      <c r="Z39" s="40">
        <f t="shared" si="9"/>
        <v>41729</v>
      </c>
      <c r="AA39" s="40">
        <f t="shared" si="9"/>
        <v>41759</v>
      </c>
      <c r="AB39" s="40">
        <f t="shared" si="9"/>
        <v>41790</v>
      </c>
      <c r="AC39" s="40">
        <f t="shared" si="9"/>
        <v>41820</v>
      </c>
      <c r="AD39" s="40">
        <f t="shared" si="9"/>
        <v>41851</v>
      </c>
      <c r="AE39" s="40">
        <f t="shared" si="9"/>
        <v>41882</v>
      </c>
      <c r="AF39" s="40">
        <f t="shared" si="9"/>
        <v>41912</v>
      </c>
      <c r="AG39" s="40">
        <f t="shared" si="9"/>
        <v>41943</v>
      </c>
      <c r="AH39" s="40">
        <f t="shared" si="9"/>
        <v>41973</v>
      </c>
      <c r="AI39" s="40">
        <f t="shared" si="9"/>
        <v>42004</v>
      </c>
      <c r="AK39" s="39">
        <f t="shared" si="10"/>
        <v>2014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91">
        <v>2015</v>
      </c>
      <c r="J40" s="58">
        <v>0.8679</v>
      </c>
      <c r="K40" s="58">
        <v>0.93840000000000001</v>
      </c>
      <c r="L40" s="58">
        <v>0.9788</v>
      </c>
      <c r="M40" s="58">
        <v>1.0088999999999999</v>
      </c>
      <c r="N40" s="58">
        <v>0.92730000000000001</v>
      </c>
      <c r="O40" s="58">
        <v>0.998</v>
      </c>
      <c r="P40" s="58">
        <v>0.82509999999999994</v>
      </c>
      <c r="Q40" s="58">
        <v>0.37230000000000002</v>
      </c>
      <c r="R40" s="58">
        <v>0.37209999999999999</v>
      </c>
      <c r="S40" s="58">
        <v>0.41220000000000001</v>
      </c>
      <c r="T40" s="58">
        <v>0.29110000000000003</v>
      </c>
      <c r="U40" s="58">
        <v>0.33129999999999998</v>
      </c>
      <c r="W40" s="39">
        <f t="shared" si="8"/>
        <v>2015</v>
      </c>
      <c r="X40" s="40">
        <f t="shared" si="9"/>
        <v>42035</v>
      </c>
      <c r="Y40" s="40">
        <f t="shared" si="9"/>
        <v>42063</v>
      </c>
      <c r="Z40" s="40">
        <f t="shared" si="9"/>
        <v>42094</v>
      </c>
      <c r="AA40" s="40">
        <f t="shared" si="9"/>
        <v>42124</v>
      </c>
      <c r="AB40" s="40">
        <f t="shared" si="9"/>
        <v>42155</v>
      </c>
      <c r="AC40" s="40">
        <f t="shared" si="9"/>
        <v>42185</v>
      </c>
      <c r="AD40" s="40">
        <f t="shared" si="9"/>
        <v>42216</v>
      </c>
      <c r="AE40" s="40">
        <f t="shared" si="9"/>
        <v>42247</v>
      </c>
      <c r="AF40" s="40">
        <f t="shared" si="9"/>
        <v>42277</v>
      </c>
      <c r="AG40" s="40">
        <f t="shared" si="9"/>
        <v>42308</v>
      </c>
      <c r="AH40" s="40">
        <f t="shared" si="9"/>
        <v>42338</v>
      </c>
      <c r="AI40" s="40">
        <f t="shared" si="9"/>
        <v>42369</v>
      </c>
      <c r="AK40" s="39">
        <f t="shared" si="10"/>
        <v>2015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91">
        <v>2016</v>
      </c>
      <c r="J41" s="58">
        <v>0.32019999999999998</v>
      </c>
      <c r="K41" s="58">
        <v>0.2999</v>
      </c>
      <c r="L41" s="58">
        <v>0.26979999999999998</v>
      </c>
      <c r="M41" s="58">
        <v>0.2697</v>
      </c>
      <c r="N41" s="58">
        <v>0.47939999999999999</v>
      </c>
      <c r="O41" s="58">
        <v>0.57889999999999997</v>
      </c>
      <c r="P41" s="58">
        <v>0.60880000000000001</v>
      </c>
      <c r="Q41" s="58">
        <v>1.2129000000000001</v>
      </c>
      <c r="R41" s="58">
        <v>1.2223999999999999</v>
      </c>
      <c r="S41" s="58">
        <v>1.1012999999999999</v>
      </c>
      <c r="T41" s="58">
        <v>1.0709</v>
      </c>
      <c r="U41" s="58">
        <v>0.99050000000000005</v>
      </c>
      <c r="W41" s="39">
        <f t="shared" si="8"/>
        <v>2016</v>
      </c>
      <c r="X41" s="40">
        <f t="shared" si="9"/>
        <v>42400</v>
      </c>
      <c r="Y41" s="40">
        <f t="shared" si="9"/>
        <v>42429</v>
      </c>
      <c r="Z41" s="40">
        <f t="shared" si="9"/>
        <v>42460</v>
      </c>
      <c r="AA41" s="40">
        <f t="shared" si="9"/>
        <v>42490</v>
      </c>
      <c r="AB41" s="40">
        <f t="shared" si="9"/>
        <v>42521</v>
      </c>
      <c r="AC41" s="40">
        <f t="shared" si="9"/>
        <v>42551</v>
      </c>
      <c r="AD41" s="40">
        <f t="shared" si="9"/>
        <v>42582</v>
      </c>
      <c r="AE41" s="40">
        <f t="shared" si="9"/>
        <v>42613</v>
      </c>
      <c r="AF41" s="40">
        <f t="shared" si="9"/>
        <v>42643</v>
      </c>
      <c r="AG41" s="40">
        <f t="shared" si="9"/>
        <v>42674</v>
      </c>
      <c r="AH41" s="40">
        <f t="shared" si="9"/>
        <v>42704</v>
      </c>
      <c r="AI41" s="40">
        <f t="shared" si="9"/>
        <v>42735</v>
      </c>
      <c r="AK41" s="39">
        <f t="shared" si="10"/>
        <v>2016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91">
        <v>2017</v>
      </c>
      <c r="J42" s="58">
        <v>0.85770000000000002</v>
      </c>
      <c r="K42" s="58">
        <v>0.82720000000000005</v>
      </c>
      <c r="L42" s="58">
        <v>0.877</v>
      </c>
      <c r="M42" s="58">
        <v>0.86660000000000004</v>
      </c>
      <c r="N42" s="58">
        <v>0.74550000000000005</v>
      </c>
      <c r="O42" s="58">
        <v>0.53590000000000004</v>
      </c>
      <c r="P42" s="58">
        <v>0.67449999999999999</v>
      </c>
      <c r="Q42" s="58">
        <v>0.49519999999999997</v>
      </c>
      <c r="R42" s="58">
        <v>0.31680000000000003</v>
      </c>
      <c r="S42" s="58">
        <v>0.35649999999999998</v>
      </c>
      <c r="T42" s="58">
        <v>0.34660000000000002</v>
      </c>
      <c r="U42" s="58">
        <v>0.42599999999999999</v>
      </c>
      <c r="W42" s="39">
        <f t="shared" si="8"/>
        <v>2017</v>
      </c>
      <c r="X42" s="40">
        <f t="shared" si="9"/>
        <v>42766</v>
      </c>
      <c r="Y42" s="40">
        <f t="shared" si="9"/>
        <v>42794</v>
      </c>
      <c r="Z42" s="40">
        <f t="shared" si="9"/>
        <v>42825</v>
      </c>
      <c r="AA42" s="40">
        <f t="shared" si="9"/>
        <v>42855</v>
      </c>
      <c r="AB42" s="40">
        <f t="shared" si="9"/>
        <v>42886</v>
      </c>
      <c r="AC42" s="40">
        <f t="shared" si="9"/>
        <v>42916</v>
      </c>
      <c r="AD42" s="40">
        <f t="shared" si="9"/>
        <v>42947</v>
      </c>
      <c r="AE42" s="40">
        <f t="shared" si="9"/>
        <v>42978</v>
      </c>
      <c r="AF42" s="40">
        <f t="shared" si="9"/>
        <v>43008</v>
      </c>
      <c r="AG42" s="40">
        <f t="shared" si="9"/>
        <v>43039</v>
      </c>
      <c r="AH42" s="40">
        <f t="shared" si="9"/>
        <v>43069</v>
      </c>
      <c r="AI42" s="40">
        <f t="shared" si="9"/>
        <v>43100</v>
      </c>
      <c r="AK42" s="39">
        <f t="shared" si="10"/>
        <v>2017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91">
        <v>2018</v>
      </c>
      <c r="J43" s="58">
        <v>0.29659999999999997</v>
      </c>
      <c r="K43" s="58">
        <v>0.26690000000000003</v>
      </c>
      <c r="L43" s="58">
        <v>0.247</v>
      </c>
      <c r="M43" s="58">
        <v>0.27650000000000002</v>
      </c>
      <c r="N43" s="58">
        <v>0.28610000000000002</v>
      </c>
      <c r="O43" s="58">
        <v>0.52310000000000001</v>
      </c>
      <c r="P43" s="58">
        <v>0.50249999999999995</v>
      </c>
      <c r="Q43" s="58">
        <v>0.749</v>
      </c>
      <c r="R43" s="58">
        <v>1.0361</v>
      </c>
      <c r="S43" s="58">
        <v>1.0361</v>
      </c>
      <c r="T43" s="58">
        <v>1.0952999999999999</v>
      </c>
      <c r="U43" s="58">
        <v>1.1345000000000001</v>
      </c>
      <c r="W43" s="39">
        <f t="shared" si="8"/>
        <v>2018</v>
      </c>
      <c r="X43" s="40">
        <f t="shared" si="9"/>
        <v>43131</v>
      </c>
      <c r="Y43" s="40">
        <f t="shared" si="9"/>
        <v>43159</v>
      </c>
      <c r="Z43" s="40">
        <f t="shared" si="9"/>
        <v>43190</v>
      </c>
      <c r="AA43" s="40">
        <f t="shared" si="9"/>
        <v>43220</v>
      </c>
      <c r="AB43" s="40">
        <f t="shared" si="9"/>
        <v>43251</v>
      </c>
      <c r="AC43" s="40">
        <f t="shared" si="9"/>
        <v>43281</v>
      </c>
      <c r="AD43" s="40">
        <f t="shared" si="9"/>
        <v>43312</v>
      </c>
      <c r="AE43" s="40">
        <f t="shared" si="9"/>
        <v>43343</v>
      </c>
      <c r="AF43" s="40">
        <f t="shared" si="9"/>
        <v>43373</v>
      </c>
      <c r="AG43" s="40">
        <f t="shared" si="9"/>
        <v>43404</v>
      </c>
      <c r="AH43" s="40">
        <f t="shared" si="9"/>
        <v>43434</v>
      </c>
      <c r="AI43" s="40">
        <f t="shared" si="9"/>
        <v>43465</v>
      </c>
      <c r="AK43" s="39">
        <f t="shared" si="10"/>
        <v>2018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91">
        <v>2019</v>
      </c>
      <c r="J44" s="58">
        <v>1.1535</v>
      </c>
      <c r="K44" s="58">
        <v>1.252</v>
      </c>
      <c r="L44" s="58">
        <v>1.2811999999999999</v>
      </c>
      <c r="M44" s="58">
        <v>1.2408999999999999</v>
      </c>
      <c r="N44" s="58">
        <v>1.1805000000000001</v>
      </c>
      <c r="O44" s="58">
        <v>0.99180000000000001</v>
      </c>
      <c r="P44" s="58">
        <v>1</v>
      </c>
      <c r="Q44" s="58">
        <v>0.84119999999999995</v>
      </c>
      <c r="R44" s="58">
        <v>0.83020000000000005</v>
      </c>
      <c r="S44" s="58">
        <v>0.86919999999999997</v>
      </c>
      <c r="T44" s="58">
        <v>0.8004</v>
      </c>
      <c r="U44" s="58">
        <v>0.76080000000000003</v>
      </c>
      <c r="W44" s="39">
        <f t="shared" si="8"/>
        <v>2019</v>
      </c>
      <c r="X44" s="40">
        <f t="shared" si="9"/>
        <v>43496</v>
      </c>
      <c r="Y44" s="40">
        <f t="shared" si="9"/>
        <v>43524</v>
      </c>
      <c r="Z44" s="40">
        <f t="shared" si="9"/>
        <v>43555</v>
      </c>
      <c r="AA44" s="40">
        <f t="shared" si="9"/>
        <v>43585</v>
      </c>
      <c r="AB44" s="40">
        <f t="shared" si="9"/>
        <v>43616</v>
      </c>
      <c r="AC44" s="40">
        <f t="shared" si="9"/>
        <v>43646</v>
      </c>
      <c r="AD44" s="40">
        <f t="shared" si="9"/>
        <v>43677</v>
      </c>
      <c r="AE44" s="40">
        <f t="shared" si="9"/>
        <v>43708</v>
      </c>
      <c r="AF44" s="40">
        <f t="shared" si="9"/>
        <v>43738</v>
      </c>
      <c r="AG44" s="40">
        <f t="shared" si="9"/>
        <v>43769</v>
      </c>
      <c r="AH44" s="40">
        <f t="shared" si="9"/>
        <v>43799</v>
      </c>
      <c r="AI44" s="40">
        <f t="shared" si="9"/>
        <v>43830</v>
      </c>
      <c r="AK44" s="39">
        <f t="shared" si="10"/>
        <v>2019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91">
        <v>2020</v>
      </c>
      <c r="J45" s="58">
        <v>1.2085999999999999</v>
      </c>
      <c r="K45" s="58">
        <v>1.1196999999999999</v>
      </c>
      <c r="L45" s="58">
        <v>1.0606</v>
      </c>
      <c r="M45" s="58">
        <v>1.0117</v>
      </c>
      <c r="N45" s="58">
        <v>0.95279999999999998</v>
      </c>
      <c r="O45" s="58">
        <v>0.95279999999999998</v>
      </c>
      <c r="P45" s="58">
        <v>0.87360000000000004</v>
      </c>
      <c r="Q45" s="58">
        <v>0.85360000000000003</v>
      </c>
      <c r="R45" s="58">
        <v>0.69740000000000002</v>
      </c>
      <c r="S45" s="58">
        <v>0.64870000000000005</v>
      </c>
      <c r="T45" s="58">
        <v>0.62939999999999996</v>
      </c>
      <c r="U45" s="58">
        <v>0.5615</v>
      </c>
      <c r="W45" s="39">
        <f t="shared" si="8"/>
        <v>2020</v>
      </c>
      <c r="X45" s="40">
        <f t="shared" si="9"/>
        <v>43861</v>
      </c>
      <c r="Y45" s="40">
        <f t="shared" si="9"/>
        <v>43890</v>
      </c>
      <c r="Z45" s="40">
        <f t="shared" si="9"/>
        <v>43921</v>
      </c>
      <c r="AA45" s="40">
        <f t="shared" si="9"/>
        <v>43951</v>
      </c>
      <c r="AB45" s="40">
        <f t="shared" si="9"/>
        <v>43982</v>
      </c>
      <c r="AC45" s="40">
        <f t="shared" si="9"/>
        <v>44012</v>
      </c>
      <c r="AD45" s="40">
        <f t="shared" si="9"/>
        <v>44043</v>
      </c>
      <c r="AE45" s="40">
        <f t="shared" si="9"/>
        <v>44074</v>
      </c>
      <c r="AF45" s="40">
        <f t="shared" si="9"/>
        <v>44104</v>
      </c>
      <c r="AG45" s="40">
        <f t="shared" si="9"/>
        <v>44135</v>
      </c>
      <c r="AH45" s="40">
        <f t="shared" si="9"/>
        <v>44165</v>
      </c>
      <c r="AI45" s="40">
        <f t="shared" si="9"/>
        <v>44196</v>
      </c>
      <c r="AK45" s="39">
        <f t="shared" si="10"/>
        <v>2020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91">
        <v>2021</v>
      </c>
      <c r="J46" s="58">
        <v>-0.183</v>
      </c>
      <c r="K46" s="58">
        <v>-0.20219999999999999</v>
      </c>
      <c r="L46" s="58">
        <v>-0.18290000000000001</v>
      </c>
      <c r="M46" s="58">
        <v>-0.35630000000000001</v>
      </c>
      <c r="N46" s="58">
        <v>-0.32750000000000001</v>
      </c>
      <c r="O46" s="58">
        <v>-0.2697</v>
      </c>
      <c r="P46" s="58">
        <v>-0.34639999999999999</v>
      </c>
      <c r="Q46" s="58">
        <v>-0.37509999999999999</v>
      </c>
      <c r="R46" s="58">
        <v>-0.3463</v>
      </c>
      <c r="S46" s="58">
        <v>-0.30780000000000002</v>
      </c>
      <c r="T46" s="58">
        <v>-0.25019999999999998</v>
      </c>
      <c r="U46" s="58">
        <v>-0.21179999999999999</v>
      </c>
      <c r="W46" s="39">
        <f>W47-1</f>
        <v>2021</v>
      </c>
      <c r="X46" s="40">
        <f t="shared" si="9"/>
        <v>44227</v>
      </c>
      <c r="Y46" s="40">
        <f t="shared" si="9"/>
        <v>44255</v>
      </c>
      <c r="Z46" s="40">
        <f t="shared" si="9"/>
        <v>44286</v>
      </c>
      <c r="AA46" s="40">
        <f t="shared" si="9"/>
        <v>44316</v>
      </c>
      <c r="AB46" s="40">
        <f t="shared" si="9"/>
        <v>44347</v>
      </c>
      <c r="AC46" s="40">
        <f t="shared" si="9"/>
        <v>44377</v>
      </c>
      <c r="AD46" s="40">
        <f t="shared" si="9"/>
        <v>44408</v>
      </c>
      <c r="AE46" s="40">
        <f t="shared" si="9"/>
        <v>44439</v>
      </c>
      <c r="AF46" s="40">
        <f t="shared" si="9"/>
        <v>44469</v>
      </c>
      <c r="AG46" s="40">
        <f t="shared" si="9"/>
        <v>44500</v>
      </c>
      <c r="AH46" s="40">
        <f t="shared" si="9"/>
        <v>44530</v>
      </c>
      <c r="AI46" s="40">
        <f t="shared" si="9"/>
        <v>44561</v>
      </c>
      <c r="AK46" s="39">
        <f>AK47-1</f>
        <v>2021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2022</v>
      </c>
      <c r="J47" s="58">
        <v>0.15440000000000001</v>
      </c>
      <c r="K47" s="58" t="s">
        <v>225</v>
      </c>
      <c r="L47" s="58" t="s">
        <v>225</v>
      </c>
      <c r="M47" s="58" t="s">
        <v>225</v>
      </c>
      <c r="N47" s="58" t="s">
        <v>225</v>
      </c>
      <c r="O47" s="58" t="s">
        <v>225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2022</v>
      </c>
      <c r="X47" s="40">
        <f t="shared" si="9"/>
        <v>44592</v>
      </c>
      <c r="Y47" s="40" t="str">
        <f t="shared" si="9"/>
        <v/>
      </c>
      <c r="Z47" s="40" t="str">
        <f t="shared" si="9"/>
        <v/>
      </c>
      <c r="AA47" s="40" t="str">
        <f t="shared" si="9"/>
        <v/>
      </c>
      <c r="AB47" s="40" t="str">
        <f t="shared" si="9"/>
        <v/>
      </c>
      <c r="AC47" s="40" t="str">
        <f t="shared" si="9"/>
        <v/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2022</v>
      </c>
      <c r="AL47" s="40" t="str">
        <f t="shared" si="11"/>
        <v>MAX</v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89" priority="7" operator="equal">
      <formula>FALSE</formula>
    </cfRule>
    <cfRule type="cellIs" dxfId="88" priority="8" operator="equal">
      <formula>TRUE</formula>
    </cfRule>
  </conditionalFormatting>
  <conditionalFormatting sqref="F22">
    <cfRule type="cellIs" dxfId="87" priority="5" operator="equal">
      <formula>FALSE</formula>
    </cfRule>
    <cfRule type="cellIs" dxfId="86" priority="6" operator="equal">
      <formula>TRUE</formula>
    </cfRule>
  </conditionalFormatting>
  <conditionalFormatting sqref="F35">
    <cfRule type="cellIs" dxfId="85" priority="3" operator="equal">
      <formula>FALSE</formula>
    </cfRule>
    <cfRule type="cellIs" dxfId="84" priority="4" operator="equal">
      <formula>TRUE</formula>
    </cfRule>
  </conditionalFormatting>
  <conditionalFormatting sqref="J11:U21 J24:U34 J37:U47">
    <cfRule type="expression" dxfId="83" priority="1">
      <formula>AL11="MAX"</formula>
    </cfRule>
    <cfRule type="expression" dxfId="82" priority="2">
      <formula>AL11="MIN"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Y73"/>
  <sheetViews>
    <sheetView showGridLines="0" zoomScaleNormal="100" workbookViewId="0">
      <selection activeCell="G37" sqref="G37:G47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44592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44561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40939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4.0000000000000001E-3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7.0000000000000001E-3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90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 t="s">
        <v>225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 t="str">
        <f t="shared" si="1"/>
        <v/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90">
        <v>2012</v>
      </c>
      <c r="J12" s="58">
        <v>3.3458999999999999</v>
      </c>
      <c r="K12" s="58">
        <v>3.0329000000000002</v>
      </c>
      <c r="L12" s="58">
        <v>2.6625000000000001</v>
      </c>
      <c r="M12" s="58">
        <v>2.5525000000000002</v>
      </c>
      <c r="N12" s="58">
        <v>2.5386000000000002</v>
      </c>
      <c r="O12" s="58">
        <v>2.1958000000000002</v>
      </c>
      <c r="P12" s="58">
        <v>1.4761</v>
      </c>
      <c r="Q12" s="58">
        <v>1.2656000000000001</v>
      </c>
      <c r="R12" s="58">
        <v>2.0878000000000001</v>
      </c>
      <c r="S12" s="58">
        <v>2.0907</v>
      </c>
      <c r="T12" s="58">
        <v>1.6314</v>
      </c>
      <c r="U12" s="58">
        <v>1.4260999999999999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>MIN</v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90">
        <v>2013</v>
      </c>
      <c r="J13" s="58">
        <v>1.6286</v>
      </c>
      <c r="K13" s="58">
        <v>1.5831999999999999</v>
      </c>
      <c r="L13" s="58">
        <v>1.4604999999999999</v>
      </c>
      <c r="M13" s="58">
        <v>1.3295999999999999</v>
      </c>
      <c r="N13" s="58">
        <v>1.1485000000000001</v>
      </c>
      <c r="O13" s="58">
        <v>1.1687000000000001</v>
      </c>
      <c r="P13" s="58">
        <v>1.6153999999999999</v>
      </c>
      <c r="Q13" s="58">
        <v>1.5056</v>
      </c>
      <c r="R13" s="58">
        <v>0.98040000000000005</v>
      </c>
      <c r="S13" s="58">
        <v>0.86099999999999999</v>
      </c>
      <c r="T13" s="58">
        <v>1.2009000000000001</v>
      </c>
      <c r="U13" s="58">
        <v>1.1435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90">
        <v>2014</v>
      </c>
      <c r="J14" s="58">
        <v>1.0806</v>
      </c>
      <c r="K14" s="58">
        <v>1.0125</v>
      </c>
      <c r="L14" s="58">
        <v>1.2921</v>
      </c>
      <c r="M14" s="58">
        <v>1.4985999999999999</v>
      </c>
      <c r="N14" s="58">
        <v>1.6655</v>
      </c>
      <c r="O14" s="58">
        <v>1.6589</v>
      </c>
      <c r="P14" s="58">
        <v>1.5896999999999999</v>
      </c>
      <c r="Q14" s="58">
        <v>1.4081999999999999</v>
      </c>
      <c r="R14" s="58">
        <v>1.1464000000000001</v>
      </c>
      <c r="S14" s="58">
        <v>1.1499999999999999</v>
      </c>
      <c r="T14" s="58">
        <v>0.96550000000000002</v>
      </c>
      <c r="U14" s="58">
        <v>0.83340000000000003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90">
        <v>2015</v>
      </c>
      <c r="J15" s="58">
        <v>0.97409999999999997</v>
      </c>
      <c r="K15" s="58">
        <v>0.64590000000000003</v>
      </c>
      <c r="L15" s="58">
        <v>0.47049999999999997</v>
      </c>
      <c r="M15" s="58">
        <v>0.43619999999999998</v>
      </c>
      <c r="N15" s="58">
        <v>0.55210000000000004</v>
      </c>
      <c r="O15" s="58">
        <v>0.70130000000000003</v>
      </c>
      <c r="P15" s="58">
        <v>0.73529999999999995</v>
      </c>
      <c r="Q15" s="58">
        <v>0.70020000000000004</v>
      </c>
      <c r="R15" s="58">
        <v>0.50380000000000003</v>
      </c>
      <c r="S15" s="58">
        <v>0.80779999999999996</v>
      </c>
      <c r="T15" s="58">
        <v>0.82010000000000005</v>
      </c>
      <c r="U15" s="58">
        <v>1.1317999999999999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90">
        <v>2016</v>
      </c>
      <c r="J16" s="58">
        <v>0.62229999999999996</v>
      </c>
      <c r="K16" s="58">
        <v>1.1133</v>
      </c>
      <c r="L16" s="58">
        <v>0.84250000000000003</v>
      </c>
      <c r="M16" s="58">
        <v>1.0018</v>
      </c>
      <c r="N16" s="58">
        <v>0.77990000000000004</v>
      </c>
      <c r="O16" s="58">
        <v>0.73970000000000002</v>
      </c>
      <c r="P16" s="58">
        <v>0.36919999999999997</v>
      </c>
      <c r="Q16" s="58">
        <v>0.48730000000000001</v>
      </c>
      <c r="R16" s="58">
        <v>1.3489</v>
      </c>
      <c r="S16" s="58">
        <v>1.4879</v>
      </c>
      <c r="T16" s="58">
        <v>1.5307999999999999</v>
      </c>
      <c r="U16" s="58">
        <v>1.3380000000000001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90">
        <v>2017</v>
      </c>
      <c r="J17" s="58">
        <v>2.2408000000000001</v>
      </c>
      <c r="K17" s="58">
        <v>2.0828000000000002</v>
      </c>
      <c r="L17" s="58">
        <v>2.2768999999999999</v>
      </c>
      <c r="M17" s="58">
        <v>1.9556</v>
      </c>
      <c r="N17" s="58">
        <v>2.0036</v>
      </c>
      <c r="O17" s="58">
        <v>1.8063</v>
      </c>
      <c r="P17" s="58">
        <v>2.1669999999999998</v>
      </c>
      <c r="Q17" s="58">
        <v>2.4885999999999999</v>
      </c>
      <c r="R17" s="58">
        <v>2.0001000000000002</v>
      </c>
      <c r="S17" s="58">
        <v>1.7618</v>
      </c>
      <c r="T17" s="58">
        <v>1.1534</v>
      </c>
      <c r="U17" s="58">
        <v>1.4075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90">
        <v>2018</v>
      </c>
      <c r="J18" s="58">
        <v>0.76</v>
      </c>
      <c r="K18" s="58">
        <v>1.2526999999999999</v>
      </c>
      <c r="L18" s="58">
        <v>1.2156</v>
      </c>
      <c r="M18" s="58">
        <v>1.5281</v>
      </c>
      <c r="N18" s="58">
        <v>1.4691000000000001</v>
      </c>
      <c r="O18" s="58">
        <v>1.4803999999999999</v>
      </c>
      <c r="P18" s="58">
        <v>1.119</v>
      </c>
      <c r="Q18" s="58">
        <v>1.4318</v>
      </c>
      <c r="R18" s="58">
        <v>2.0872000000000002</v>
      </c>
      <c r="S18" s="58">
        <v>2.0024999999999999</v>
      </c>
      <c r="T18" s="58">
        <v>2.0369999999999999</v>
      </c>
      <c r="U18" s="58">
        <v>1.3204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90">
        <v>2019</v>
      </c>
      <c r="J19" s="58">
        <v>0.79300000000000004</v>
      </c>
      <c r="K19" s="58">
        <v>0.46129999999999999</v>
      </c>
      <c r="L19" s="58">
        <v>0.37469999999999998</v>
      </c>
      <c r="M19" s="58">
        <v>0.55589999999999995</v>
      </c>
      <c r="N19" s="58">
        <v>0.67989999999999995</v>
      </c>
      <c r="O19" s="58">
        <v>0.7208</v>
      </c>
      <c r="P19" s="58">
        <v>0.60550000000000004</v>
      </c>
      <c r="Q19" s="58">
        <v>-3.7199999999999997E-2</v>
      </c>
      <c r="R19" s="58">
        <v>-0.42609999999999998</v>
      </c>
      <c r="S19" s="58">
        <v>0</v>
      </c>
      <c r="T19" s="58">
        <v>0.152</v>
      </c>
      <c r="U19" s="58">
        <v>0.73850000000000005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90">
        <v>2020</v>
      </c>
      <c r="J20" s="58">
        <v>1.2196</v>
      </c>
      <c r="K20" s="58">
        <v>0.85489999999999999</v>
      </c>
      <c r="L20" s="58">
        <v>0.82630000000000003</v>
      </c>
      <c r="M20" s="58">
        <v>1.9099999999999999E-2</v>
      </c>
      <c r="N20" s="58">
        <v>-0.2127</v>
      </c>
      <c r="O20" s="58">
        <v>0.22009999999999999</v>
      </c>
      <c r="P20" s="58">
        <v>0.4466</v>
      </c>
      <c r="Q20" s="58">
        <v>0.76939999999999997</v>
      </c>
      <c r="R20" s="58">
        <v>0.94799999999999995</v>
      </c>
      <c r="S20" s="58">
        <v>0.1389</v>
      </c>
      <c r="T20" s="58">
        <v>0.61219999999999997</v>
      </c>
      <c r="U20" s="58">
        <v>0.61270000000000002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2021</v>
      </c>
      <c r="J21" s="58">
        <v>0.94910000000000005</v>
      </c>
      <c r="K21" s="58">
        <v>1.4177</v>
      </c>
      <c r="L21" s="58">
        <v>1.9011</v>
      </c>
      <c r="M21" s="58">
        <v>2.4925000000000002</v>
      </c>
      <c r="N21" s="58">
        <v>2.6246999999999998</v>
      </c>
      <c r="O21" s="58">
        <v>2.3468</v>
      </c>
      <c r="P21" s="58">
        <v>2.6398000000000001</v>
      </c>
      <c r="Q21" s="58">
        <v>2.5550999999999999</v>
      </c>
      <c r="R21" s="58">
        <v>2.4121999999999999</v>
      </c>
      <c r="S21" s="58">
        <v>3.1642999999999999</v>
      </c>
      <c r="T21" s="58">
        <v>3.7766000000000002</v>
      </c>
      <c r="U21" s="58">
        <v>3.6978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>
        <f t="shared" si="1"/>
        <v>44439</v>
      </c>
      <c r="AF21" s="40">
        <f t="shared" si="1"/>
        <v>44469</v>
      </c>
      <c r="AG21" s="40">
        <f t="shared" si="1"/>
        <v>44500</v>
      </c>
      <c r="AH21" s="40">
        <f t="shared" si="1"/>
        <v>44530</v>
      </c>
      <c r="AI21" s="40">
        <f t="shared" si="1"/>
        <v>44561</v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>MAX</v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90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 t="s">
        <v>225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 t="str">
        <f t="shared" si="5"/>
        <v/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90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>MIN</v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90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90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90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90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90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90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90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90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>
        <v>7.4016999999999999</v>
      </c>
      <c r="R34" s="58">
        <v>7.5903999999999998</v>
      </c>
      <c r="S34" s="58">
        <v>9.1447000000000003</v>
      </c>
      <c r="T34" s="58">
        <v>9.8361000000000001</v>
      </c>
      <c r="U34" s="58">
        <v>8.9604999999999997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>
        <f t="shared" si="5"/>
        <v>44439</v>
      </c>
      <c r="AF34" s="40">
        <f t="shared" si="5"/>
        <v>44469</v>
      </c>
      <c r="AG34" s="40">
        <f t="shared" si="5"/>
        <v>44500</v>
      </c>
      <c r="AH34" s="40">
        <f t="shared" si="5"/>
        <v>44530</v>
      </c>
      <c r="AI34" s="40">
        <f t="shared" si="5"/>
        <v>44561</v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>MAX</v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90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 t="s">
        <v>225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 t="str">
        <f t="shared" si="9"/>
        <v/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90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>MIN</v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90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90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90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90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90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90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90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90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>
        <v>-0.37509999999999999</v>
      </c>
      <c r="R47" s="58">
        <v>-0.3463</v>
      </c>
      <c r="S47" s="58">
        <v>-0.30780000000000002</v>
      </c>
      <c r="T47" s="58">
        <v>-0.25019999999999998</v>
      </c>
      <c r="U47" s="58">
        <v>-0.21179999999999999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>
        <f t="shared" si="9"/>
        <v>44439</v>
      </c>
      <c r="AF47" s="40">
        <f t="shared" si="9"/>
        <v>44469</v>
      </c>
      <c r="AG47" s="40">
        <f t="shared" si="9"/>
        <v>44500</v>
      </c>
      <c r="AH47" s="40">
        <f t="shared" si="9"/>
        <v>44530</v>
      </c>
      <c r="AI47" s="40">
        <f t="shared" si="9"/>
        <v>44561</v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>MAX</v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81" priority="7" operator="equal">
      <formula>FALSE</formula>
    </cfRule>
    <cfRule type="cellIs" dxfId="80" priority="8" operator="equal">
      <formula>TRUE</formula>
    </cfRule>
  </conditionalFormatting>
  <conditionalFormatting sqref="F22">
    <cfRule type="cellIs" dxfId="79" priority="5" operator="equal">
      <formula>FALSE</formula>
    </cfRule>
    <cfRule type="cellIs" dxfId="78" priority="6" operator="equal">
      <formula>TRUE</formula>
    </cfRule>
  </conditionalFormatting>
  <conditionalFormatting sqref="F35">
    <cfRule type="cellIs" dxfId="77" priority="3" operator="equal">
      <formula>FALSE</formula>
    </cfRule>
    <cfRule type="cellIs" dxfId="76" priority="4" operator="equal">
      <formula>TRUE</formula>
    </cfRule>
  </conditionalFormatting>
  <conditionalFormatting sqref="J11:U21 J24:U34 J37:U47">
    <cfRule type="expression" dxfId="75" priority="1">
      <formula>AL11="MAX"</formula>
    </cfRule>
    <cfRule type="expression" dxfId="74" priority="2">
      <formula>AL11="MIN"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73"/>
  <sheetViews>
    <sheetView showGridLines="0" zoomScaleNormal="100" workbookViewId="0">
      <selection activeCell="I60" sqref="I60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44561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44530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40908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3.7000000000000002E-3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7.1000000000000004E-3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89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 t="s">
        <v>225</v>
      </c>
      <c r="U11" s="58">
        <v>4.1604999999999999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 t="str">
        <f t="shared" si="1"/>
        <v/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>MIN</v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89">
        <v>2012</v>
      </c>
      <c r="J12" s="58">
        <v>3.3412999999999999</v>
      </c>
      <c r="K12" s="58">
        <v>3.0375000000000001</v>
      </c>
      <c r="L12" s="58">
        <v>2.6558000000000002</v>
      </c>
      <c r="M12" s="58">
        <v>2.5522999999999998</v>
      </c>
      <c r="N12" s="58">
        <v>2.5363000000000002</v>
      </c>
      <c r="O12" s="58">
        <v>2.1968999999999999</v>
      </c>
      <c r="P12" s="58">
        <v>1.4761</v>
      </c>
      <c r="Q12" s="58">
        <v>1.2678</v>
      </c>
      <c r="R12" s="58">
        <v>2.0855999999999999</v>
      </c>
      <c r="S12" s="58">
        <v>2.0895999999999999</v>
      </c>
      <c r="T12" s="58">
        <v>1.6348</v>
      </c>
      <c r="U12" s="58">
        <v>1.4305000000000001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89">
        <v>2013</v>
      </c>
      <c r="J13" s="58">
        <v>1.6331</v>
      </c>
      <c r="K13" s="58">
        <v>1.5831</v>
      </c>
      <c r="L13" s="58">
        <v>1.4626999999999999</v>
      </c>
      <c r="M13" s="58">
        <v>1.3208</v>
      </c>
      <c r="N13" s="58">
        <v>1.1442000000000001</v>
      </c>
      <c r="O13" s="58">
        <v>1.1676</v>
      </c>
      <c r="P13" s="58">
        <v>1.6187</v>
      </c>
      <c r="Q13" s="58">
        <v>1.5023</v>
      </c>
      <c r="R13" s="58">
        <v>0.98370000000000002</v>
      </c>
      <c r="S13" s="58">
        <v>0.85550000000000004</v>
      </c>
      <c r="T13" s="58">
        <v>1.2063999999999999</v>
      </c>
      <c r="U13" s="58">
        <v>1.1391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89">
        <v>2014</v>
      </c>
      <c r="J14" s="58">
        <v>1.0784</v>
      </c>
      <c r="K14" s="58">
        <v>1.0103</v>
      </c>
      <c r="L14" s="58">
        <v>1.2909999999999999</v>
      </c>
      <c r="M14" s="58">
        <v>1.4975000000000001</v>
      </c>
      <c r="N14" s="58">
        <v>1.6698999999999999</v>
      </c>
      <c r="O14" s="58">
        <v>1.6611</v>
      </c>
      <c r="P14" s="58">
        <v>1.5929</v>
      </c>
      <c r="Q14" s="58">
        <v>1.405</v>
      </c>
      <c r="R14" s="58">
        <v>1.1454</v>
      </c>
      <c r="S14" s="58">
        <v>1.1597</v>
      </c>
      <c r="T14" s="58">
        <v>0.96650000000000003</v>
      </c>
      <c r="U14" s="58">
        <v>0.83660000000000001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89">
        <v>2015</v>
      </c>
      <c r="J15" s="58">
        <v>0.97089999999999999</v>
      </c>
      <c r="K15" s="58">
        <v>0.64910000000000001</v>
      </c>
      <c r="L15" s="58">
        <v>0.47799999999999998</v>
      </c>
      <c r="M15" s="58">
        <v>0.44579999999999997</v>
      </c>
      <c r="N15" s="58">
        <v>0.55100000000000005</v>
      </c>
      <c r="O15" s="58">
        <v>0.70030000000000003</v>
      </c>
      <c r="P15" s="58">
        <v>0.73099999999999998</v>
      </c>
      <c r="Q15" s="58">
        <v>0.69799999999999995</v>
      </c>
      <c r="R15" s="58">
        <v>0.50800000000000001</v>
      </c>
      <c r="S15" s="58">
        <v>0.80669999999999997</v>
      </c>
      <c r="T15" s="58">
        <v>0.81899999999999995</v>
      </c>
      <c r="U15" s="58">
        <v>1.1274999999999999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89">
        <v>2016</v>
      </c>
      <c r="J16" s="58">
        <v>0.62339999999999995</v>
      </c>
      <c r="K16" s="58">
        <v>1.1101000000000001</v>
      </c>
      <c r="L16" s="58">
        <v>0.83509999999999995</v>
      </c>
      <c r="M16" s="58">
        <v>0.99329999999999996</v>
      </c>
      <c r="N16" s="58">
        <v>0.77990000000000004</v>
      </c>
      <c r="O16" s="58">
        <v>0.73750000000000004</v>
      </c>
      <c r="P16" s="58">
        <v>0.36809999999999998</v>
      </c>
      <c r="Q16" s="58">
        <v>0.49359999999999998</v>
      </c>
      <c r="R16" s="58">
        <v>1.3478000000000001</v>
      </c>
      <c r="S16" s="58">
        <v>1.4846999999999999</v>
      </c>
      <c r="T16" s="58">
        <v>1.5297000000000001</v>
      </c>
      <c r="U16" s="58">
        <v>1.3359000000000001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89">
        <v>2017</v>
      </c>
      <c r="J17" s="58">
        <v>2.2471999999999999</v>
      </c>
      <c r="K17" s="58">
        <v>2.0807000000000002</v>
      </c>
      <c r="L17" s="58">
        <v>2.2854000000000001</v>
      </c>
      <c r="M17" s="58">
        <v>1.9567000000000001</v>
      </c>
      <c r="N17" s="58">
        <v>2.0076999999999998</v>
      </c>
      <c r="O17" s="58">
        <v>1.8093999999999999</v>
      </c>
      <c r="P17" s="58">
        <v>2.1690999999999998</v>
      </c>
      <c r="Q17" s="58">
        <v>2.4874999999999998</v>
      </c>
      <c r="R17" s="58">
        <v>1.9947999999999999</v>
      </c>
      <c r="S17" s="58">
        <v>1.7639</v>
      </c>
      <c r="T17" s="58">
        <v>1.1534</v>
      </c>
      <c r="U17" s="58">
        <v>1.4117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89">
        <v>2018</v>
      </c>
      <c r="J18" s="58">
        <v>0.76</v>
      </c>
      <c r="K18" s="58">
        <v>1.2599</v>
      </c>
      <c r="L18" s="58">
        <v>1.2094</v>
      </c>
      <c r="M18" s="58">
        <v>1.5290999999999999</v>
      </c>
      <c r="N18" s="58">
        <v>1.4659</v>
      </c>
      <c r="O18" s="58">
        <v>1.4794</v>
      </c>
      <c r="P18" s="58">
        <v>1.1178999999999999</v>
      </c>
      <c r="Q18" s="58">
        <v>1.4277</v>
      </c>
      <c r="R18" s="58">
        <v>2.0882000000000001</v>
      </c>
      <c r="S18" s="58">
        <v>1.9984</v>
      </c>
      <c r="T18" s="58">
        <v>2.0339</v>
      </c>
      <c r="U18" s="58">
        <v>1.3204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89">
        <v>2019</v>
      </c>
      <c r="J19" s="58">
        <v>0.78480000000000005</v>
      </c>
      <c r="K19" s="58">
        <v>0.45519999999999999</v>
      </c>
      <c r="L19" s="58">
        <v>0.37469999999999998</v>
      </c>
      <c r="M19" s="58">
        <v>0.55589999999999995</v>
      </c>
      <c r="N19" s="58">
        <v>0.67689999999999995</v>
      </c>
      <c r="O19" s="58">
        <v>0.71879999999999999</v>
      </c>
      <c r="P19" s="58">
        <v>0.60860000000000003</v>
      </c>
      <c r="Q19" s="58">
        <v>-3.0200000000000001E-2</v>
      </c>
      <c r="R19" s="58">
        <v>-0.42909999999999998</v>
      </c>
      <c r="S19" s="58">
        <v>0</v>
      </c>
      <c r="T19" s="58">
        <v>0.151</v>
      </c>
      <c r="U19" s="58">
        <v>0.73740000000000006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89">
        <v>2020</v>
      </c>
      <c r="J20" s="58">
        <v>1.2237</v>
      </c>
      <c r="K20" s="58">
        <v>0.85589999999999999</v>
      </c>
      <c r="L20" s="58">
        <v>0.82730000000000004</v>
      </c>
      <c r="M20" s="58">
        <v>2.01E-2</v>
      </c>
      <c r="N20" s="58">
        <v>-0.2107</v>
      </c>
      <c r="O20" s="58">
        <v>0.22109999999999999</v>
      </c>
      <c r="P20" s="58">
        <v>0.44359999999999999</v>
      </c>
      <c r="Q20" s="58">
        <v>0.76439999999999997</v>
      </c>
      <c r="R20" s="58">
        <v>0.95199999999999996</v>
      </c>
      <c r="S20" s="58">
        <v>0.1399</v>
      </c>
      <c r="T20" s="58">
        <v>0.61319999999999997</v>
      </c>
      <c r="U20" s="58">
        <v>0.61170000000000002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2021</v>
      </c>
      <c r="J21" s="58">
        <v>0.94910000000000005</v>
      </c>
      <c r="K21" s="58">
        <v>1.4177</v>
      </c>
      <c r="L21" s="58">
        <v>1.9011</v>
      </c>
      <c r="M21" s="58">
        <v>2.4925000000000002</v>
      </c>
      <c r="N21" s="58">
        <v>2.6246999999999998</v>
      </c>
      <c r="O21" s="58">
        <v>2.3468</v>
      </c>
      <c r="P21" s="58">
        <v>2.6398000000000001</v>
      </c>
      <c r="Q21" s="58">
        <v>2.5550999999999999</v>
      </c>
      <c r="R21" s="58">
        <v>2.4121999999999999</v>
      </c>
      <c r="S21" s="58">
        <v>3.1642999999999999</v>
      </c>
      <c r="T21" s="58">
        <v>3.7766000000000002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>
        <f t="shared" si="1"/>
        <v>44439</v>
      </c>
      <c r="AF21" s="40">
        <f t="shared" si="1"/>
        <v>44469</v>
      </c>
      <c r="AG21" s="40">
        <f t="shared" si="1"/>
        <v>44500</v>
      </c>
      <c r="AH21" s="40">
        <f t="shared" si="1"/>
        <v>44530</v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>MAX</v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89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 t="s">
        <v>225</v>
      </c>
      <c r="U24" s="58">
        <v>4.2653999999999996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 t="str">
        <f t="shared" si="5"/>
        <v/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>MIN</v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89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89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89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89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89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89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89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89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89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>
        <v>7.4016999999999999</v>
      </c>
      <c r="R34" s="58">
        <v>7.5903999999999998</v>
      </c>
      <c r="S34" s="58">
        <v>9.1447000000000003</v>
      </c>
      <c r="T34" s="58">
        <v>9.8361000000000001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>
        <f t="shared" si="5"/>
        <v>44439</v>
      </c>
      <c r="AF34" s="40">
        <f t="shared" si="5"/>
        <v>44469</v>
      </c>
      <c r="AG34" s="40">
        <f t="shared" si="5"/>
        <v>44500</v>
      </c>
      <c r="AH34" s="40">
        <f t="shared" si="5"/>
        <v>44530</v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>MAX</v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89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 t="s">
        <v>225</v>
      </c>
      <c r="U37" s="58">
        <v>0.8841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 t="str">
        <f t="shared" si="9"/>
        <v/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>MIN</v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89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89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89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89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89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89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89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89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89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>
        <v>-0.37509999999999999</v>
      </c>
      <c r="R47" s="58">
        <v>-0.3463</v>
      </c>
      <c r="S47" s="58">
        <v>-0.30780000000000002</v>
      </c>
      <c r="T47" s="58">
        <v>-0.25019999999999998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>
        <f t="shared" si="9"/>
        <v>44439</v>
      </c>
      <c r="AF47" s="40">
        <f t="shared" si="9"/>
        <v>44469</v>
      </c>
      <c r="AG47" s="40">
        <f t="shared" si="9"/>
        <v>44500</v>
      </c>
      <c r="AH47" s="40">
        <f t="shared" si="9"/>
        <v>44530</v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>MAX</v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73" priority="7" operator="equal">
      <formula>FALSE</formula>
    </cfRule>
    <cfRule type="cellIs" dxfId="72" priority="8" operator="equal">
      <formula>TRUE</formula>
    </cfRule>
  </conditionalFormatting>
  <conditionalFormatting sqref="F22">
    <cfRule type="cellIs" dxfId="71" priority="5" operator="equal">
      <formula>FALSE</formula>
    </cfRule>
    <cfRule type="cellIs" dxfId="70" priority="6" operator="equal">
      <formula>TRUE</formula>
    </cfRule>
  </conditionalFormatting>
  <conditionalFormatting sqref="F35">
    <cfRule type="cellIs" dxfId="69" priority="3" operator="equal">
      <formula>FALSE</formula>
    </cfRule>
    <cfRule type="cellIs" dxfId="68" priority="4" operator="equal">
      <formula>TRUE</formula>
    </cfRule>
  </conditionalFormatting>
  <conditionalFormatting sqref="J11:U21 J24:U34 J37:U47">
    <cfRule type="expression" dxfId="67" priority="1">
      <formula>AL11="MAX"</formula>
    </cfRule>
    <cfRule type="expression" dxfId="66" priority="2">
      <formula>AL11="MIN"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73"/>
  <sheetViews>
    <sheetView showGridLines="0" zoomScaleNormal="100" workbookViewId="0">
      <selection activeCell="I40" sqref="I40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44530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44500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40877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1.34E-2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3.3E-3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7.1999999999999998E-3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246</v>
      </c>
      <c r="F11" s="144" t="s">
        <v>244</v>
      </c>
      <c r="G11" s="144" t="s">
        <v>219</v>
      </c>
      <c r="H11" s="143" t="s">
        <v>222</v>
      </c>
      <c r="I11" s="89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 t="s">
        <v>225</v>
      </c>
      <c r="T11" s="58">
        <v>4.1651999999999996</v>
      </c>
      <c r="U11" s="58">
        <v>4.1604999999999999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 t="str">
        <f t="shared" si="1"/>
        <v/>
      </c>
      <c r="AH11" s="40">
        <f t="shared" si="1"/>
        <v>40877</v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>MIN</v>
      </c>
      <c r="AW11" s="40" t="str">
        <f t="shared" si="3"/>
        <v/>
      </c>
    </row>
    <row r="12" spans="1:51" ht="12" customHeight="1">
      <c r="B12" s="70"/>
      <c r="C12" s="71"/>
      <c r="E12" s="45" t="s">
        <v>246</v>
      </c>
      <c r="F12" s="144"/>
      <c r="G12" s="144"/>
      <c r="H12" s="143"/>
      <c r="I12" s="89">
        <v>2012</v>
      </c>
      <c r="J12" s="58">
        <v>3.3412999999999999</v>
      </c>
      <c r="K12" s="58">
        <v>3.0375000000000001</v>
      </c>
      <c r="L12" s="58">
        <v>2.6558000000000002</v>
      </c>
      <c r="M12" s="58">
        <v>2.5522999999999998</v>
      </c>
      <c r="N12" s="58">
        <v>2.5363000000000002</v>
      </c>
      <c r="O12" s="58">
        <v>2.1968999999999999</v>
      </c>
      <c r="P12" s="58">
        <v>1.4761</v>
      </c>
      <c r="Q12" s="58">
        <v>1.2678</v>
      </c>
      <c r="R12" s="58">
        <v>2.0855999999999999</v>
      </c>
      <c r="S12" s="58">
        <v>2.0895999999999999</v>
      </c>
      <c r="T12" s="58">
        <v>1.6348</v>
      </c>
      <c r="U12" s="58">
        <v>1.4305000000000001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246</v>
      </c>
      <c r="F13" s="144"/>
      <c r="G13" s="144"/>
      <c r="H13" s="143"/>
      <c r="I13" s="89">
        <v>2013</v>
      </c>
      <c r="J13" s="58">
        <v>1.6331</v>
      </c>
      <c r="K13" s="58">
        <v>1.5831</v>
      </c>
      <c r="L13" s="58">
        <v>1.4626999999999999</v>
      </c>
      <c r="M13" s="58">
        <v>1.3208</v>
      </c>
      <c r="N13" s="58">
        <v>1.1442000000000001</v>
      </c>
      <c r="O13" s="58">
        <v>1.1676</v>
      </c>
      <c r="P13" s="58">
        <v>1.6187</v>
      </c>
      <c r="Q13" s="58">
        <v>1.5023</v>
      </c>
      <c r="R13" s="58">
        <v>0.98370000000000002</v>
      </c>
      <c r="S13" s="58">
        <v>0.85550000000000004</v>
      </c>
      <c r="T13" s="58">
        <v>1.2063999999999999</v>
      </c>
      <c r="U13" s="58">
        <v>1.1391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246</v>
      </c>
      <c r="F14" s="144"/>
      <c r="G14" s="144"/>
      <c r="H14" s="143"/>
      <c r="I14" s="89">
        <v>2014</v>
      </c>
      <c r="J14" s="58">
        <v>1.0784</v>
      </c>
      <c r="K14" s="58">
        <v>1.0103</v>
      </c>
      <c r="L14" s="58">
        <v>1.2909999999999999</v>
      </c>
      <c r="M14" s="58">
        <v>1.4975000000000001</v>
      </c>
      <c r="N14" s="58">
        <v>1.6698999999999999</v>
      </c>
      <c r="O14" s="58">
        <v>1.6611</v>
      </c>
      <c r="P14" s="58">
        <v>1.5929</v>
      </c>
      <c r="Q14" s="58">
        <v>1.405</v>
      </c>
      <c r="R14" s="58">
        <v>1.1454</v>
      </c>
      <c r="S14" s="58">
        <v>1.1597</v>
      </c>
      <c r="T14" s="58">
        <v>0.96650000000000003</v>
      </c>
      <c r="U14" s="58">
        <v>0.83660000000000001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246</v>
      </c>
      <c r="F15" s="144"/>
      <c r="G15" s="144"/>
      <c r="H15" s="143"/>
      <c r="I15" s="89">
        <v>2015</v>
      </c>
      <c r="J15" s="58">
        <v>0.97089999999999999</v>
      </c>
      <c r="K15" s="58">
        <v>0.64910000000000001</v>
      </c>
      <c r="L15" s="58">
        <v>0.47799999999999998</v>
      </c>
      <c r="M15" s="58">
        <v>0.44579999999999997</v>
      </c>
      <c r="N15" s="58">
        <v>0.55100000000000005</v>
      </c>
      <c r="O15" s="58">
        <v>0.70030000000000003</v>
      </c>
      <c r="P15" s="58">
        <v>0.73099999999999998</v>
      </c>
      <c r="Q15" s="58">
        <v>0.69799999999999995</v>
      </c>
      <c r="R15" s="58">
        <v>0.50800000000000001</v>
      </c>
      <c r="S15" s="58">
        <v>0.80669999999999997</v>
      </c>
      <c r="T15" s="58">
        <v>0.81899999999999995</v>
      </c>
      <c r="U15" s="58">
        <v>1.1274999999999999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246</v>
      </c>
      <c r="F16" s="144"/>
      <c r="G16" s="144"/>
      <c r="H16" s="143"/>
      <c r="I16" s="89">
        <v>2016</v>
      </c>
      <c r="J16" s="58">
        <v>0.62339999999999995</v>
      </c>
      <c r="K16" s="58">
        <v>1.1101000000000001</v>
      </c>
      <c r="L16" s="58">
        <v>0.83509999999999995</v>
      </c>
      <c r="M16" s="58">
        <v>0.99329999999999996</v>
      </c>
      <c r="N16" s="58">
        <v>0.77990000000000004</v>
      </c>
      <c r="O16" s="58">
        <v>0.73750000000000004</v>
      </c>
      <c r="P16" s="58">
        <v>0.36809999999999998</v>
      </c>
      <c r="Q16" s="58">
        <v>0.49359999999999998</v>
      </c>
      <c r="R16" s="58">
        <v>1.3478000000000001</v>
      </c>
      <c r="S16" s="58">
        <v>1.4846999999999999</v>
      </c>
      <c r="T16" s="58">
        <v>1.5297000000000001</v>
      </c>
      <c r="U16" s="58">
        <v>1.3359000000000001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246</v>
      </c>
      <c r="F17" s="144"/>
      <c r="G17" s="144"/>
      <c r="H17" s="143"/>
      <c r="I17" s="89">
        <v>2017</v>
      </c>
      <c r="J17" s="58">
        <v>2.2471999999999999</v>
      </c>
      <c r="K17" s="58">
        <v>2.0807000000000002</v>
      </c>
      <c r="L17" s="58">
        <v>2.2854000000000001</v>
      </c>
      <c r="M17" s="58">
        <v>1.9567000000000001</v>
      </c>
      <c r="N17" s="58">
        <v>2.0076999999999998</v>
      </c>
      <c r="O17" s="58">
        <v>1.8093999999999999</v>
      </c>
      <c r="P17" s="58">
        <v>2.1690999999999998</v>
      </c>
      <c r="Q17" s="58">
        <v>2.4874999999999998</v>
      </c>
      <c r="R17" s="58">
        <v>1.9947999999999999</v>
      </c>
      <c r="S17" s="58">
        <v>1.7639</v>
      </c>
      <c r="T17" s="58">
        <v>1.1534</v>
      </c>
      <c r="U17" s="58">
        <v>1.4117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246</v>
      </c>
      <c r="F18" s="144"/>
      <c r="G18" s="144"/>
      <c r="H18" s="143"/>
      <c r="I18" s="89">
        <v>2018</v>
      </c>
      <c r="J18" s="58">
        <v>0.76</v>
      </c>
      <c r="K18" s="58">
        <v>1.2599</v>
      </c>
      <c r="L18" s="58">
        <v>1.2094</v>
      </c>
      <c r="M18" s="58">
        <v>1.5290999999999999</v>
      </c>
      <c r="N18" s="58">
        <v>1.4659</v>
      </c>
      <c r="O18" s="58">
        <v>1.4794</v>
      </c>
      <c r="P18" s="58">
        <v>1.1178999999999999</v>
      </c>
      <c r="Q18" s="58">
        <v>1.4277</v>
      </c>
      <c r="R18" s="58">
        <v>2.0882000000000001</v>
      </c>
      <c r="S18" s="58">
        <v>1.9984</v>
      </c>
      <c r="T18" s="58">
        <v>2.0339</v>
      </c>
      <c r="U18" s="58">
        <v>1.3204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246</v>
      </c>
      <c r="F19" s="144"/>
      <c r="G19" s="144"/>
      <c r="H19" s="143"/>
      <c r="I19" s="89">
        <v>2019</v>
      </c>
      <c r="J19" s="58">
        <v>0.78480000000000005</v>
      </c>
      <c r="K19" s="58">
        <v>0.45519999999999999</v>
      </c>
      <c r="L19" s="58">
        <v>0.37469999999999998</v>
      </c>
      <c r="M19" s="58">
        <v>0.55589999999999995</v>
      </c>
      <c r="N19" s="58">
        <v>0.67689999999999995</v>
      </c>
      <c r="O19" s="58">
        <v>0.71879999999999999</v>
      </c>
      <c r="P19" s="58">
        <v>0.60860000000000003</v>
      </c>
      <c r="Q19" s="58">
        <v>-3.0200000000000001E-2</v>
      </c>
      <c r="R19" s="58">
        <v>-0.42909999999999998</v>
      </c>
      <c r="S19" s="58">
        <v>0</v>
      </c>
      <c r="T19" s="58">
        <v>0.151</v>
      </c>
      <c r="U19" s="58">
        <v>0.73740000000000006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246</v>
      </c>
      <c r="F20" s="144"/>
      <c r="G20" s="144"/>
      <c r="H20" s="143"/>
      <c r="I20" s="89">
        <v>2020</v>
      </c>
      <c r="J20" s="58">
        <v>1.2237</v>
      </c>
      <c r="K20" s="58">
        <v>0.85589999999999999</v>
      </c>
      <c r="L20" s="58">
        <v>0.82730000000000004</v>
      </c>
      <c r="M20" s="58">
        <v>2.01E-2</v>
      </c>
      <c r="N20" s="58">
        <v>-0.2107</v>
      </c>
      <c r="O20" s="58">
        <v>0.22109999999999999</v>
      </c>
      <c r="P20" s="58">
        <v>0.44359999999999999</v>
      </c>
      <c r="Q20" s="58">
        <v>0.76439999999999997</v>
      </c>
      <c r="R20" s="58">
        <v>0.95199999999999996</v>
      </c>
      <c r="S20" s="58">
        <v>0.1399</v>
      </c>
      <c r="T20" s="58">
        <v>0.61319999999999997</v>
      </c>
      <c r="U20" s="58">
        <v>0.61170000000000002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246</v>
      </c>
      <c r="F21" s="144"/>
      <c r="G21" s="144"/>
      <c r="H21" s="143"/>
      <c r="I21" s="50">
        <v>2021</v>
      </c>
      <c r="J21" s="58">
        <v>0.94910000000000005</v>
      </c>
      <c r="K21" s="58">
        <v>1.4177</v>
      </c>
      <c r="L21" s="58">
        <v>1.9011</v>
      </c>
      <c r="M21" s="58">
        <v>2.4925000000000002</v>
      </c>
      <c r="N21" s="58">
        <v>2.6246999999999998</v>
      </c>
      <c r="O21" s="58">
        <v>2.3468</v>
      </c>
      <c r="P21" s="58">
        <v>2.6398000000000001</v>
      </c>
      <c r="Q21" s="58">
        <v>2.5550999999999999</v>
      </c>
      <c r="R21" s="58">
        <v>2.4121999999999999</v>
      </c>
      <c r="S21" s="58">
        <v>3.1642999999999999</v>
      </c>
      <c r="T21" s="58" t="s">
        <v>225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>
        <f t="shared" si="1"/>
        <v>44439</v>
      </c>
      <c r="AF21" s="40">
        <f t="shared" si="1"/>
        <v>44469</v>
      </c>
      <c r="AG21" s="40">
        <f t="shared" si="1"/>
        <v>44500</v>
      </c>
      <c r="AH21" s="40" t="str">
        <f t="shared" si="1"/>
        <v/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>MAX</v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89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 t="s">
        <v>225</v>
      </c>
      <c r="T24" s="58">
        <v>5.1280000000000001</v>
      </c>
      <c r="U24" s="58">
        <v>4.2653999999999996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 t="str">
        <f t="shared" si="5"/>
        <v/>
      </c>
      <c r="AH24" s="40">
        <f t="shared" si="5"/>
        <v>40877</v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>MIN</v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89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89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89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89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89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89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89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89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89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>
        <v>7.4016999999999999</v>
      </c>
      <c r="R34" s="58">
        <v>7.5903999999999998</v>
      </c>
      <c r="S34" s="58">
        <v>9.1447000000000003</v>
      </c>
      <c r="T34" s="58" t="s">
        <v>225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>
        <f t="shared" si="5"/>
        <v>44439</v>
      </c>
      <c r="AF34" s="40">
        <f t="shared" si="5"/>
        <v>44469</v>
      </c>
      <c r="AG34" s="40">
        <f t="shared" si="5"/>
        <v>44500</v>
      </c>
      <c r="AH34" s="40" t="str">
        <f t="shared" si="5"/>
        <v/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>MAX</v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89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 t="s">
        <v>225</v>
      </c>
      <c r="T37" s="58">
        <v>0.90559999999999996</v>
      </c>
      <c r="U37" s="58">
        <v>0.8841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 t="str">
        <f t="shared" si="9"/>
        <v/>
      </c>
      <c r="AH37" s="40">
        <f t="shared" si="9"/>
        <v>40877</v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>MIN</v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89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89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89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89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89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89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89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89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89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>
        <v>-0.37509999999999999</v>
      </c>
      <c r="R47" s="58">
        <v>-0.3463</v>
      </c>
      <c r="S47" s="58">
        <v>-0.30780000000000002</v>
      </c>
      <c r="T47" s="58" t="s">
        <v>225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>
        <f t="shared" si="9"/>
        <v>44439</v>
      </c>
      <c r="AF47" s="40">
        <f t="shared" si="9"/>
        <v>44469</v>
      </c>
      <c r="AG47" s="40">
        <f t="shared" si="9"/>
        <v>44500</v>
      </c>
      <c r="AH47" s="40" t="str">
        <f t="shared" si="9"/>
        <v/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>MAX</v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65" priority="7" operator="equal">
      <formula>FALSE</formula>
    </cfRule>
    <cfRule type="cellIs" dxfId="64" priority="8" operator="equal">
      <formula>TRUE</formula>
    </cfRule>
  </conditionalFormatting>
  <conditionalFormatting sqref="F22">
    <cfRule type="cellIs" dxfId="63" priority="5" operator="equal">
      <formula>FALSE</formula>
    </cfRule>
    <cfRule type="cellIs" dxfId="62" priority="6" operator="equal">
      <formula>TRUE</formula>
    </cfRule>
  </conditionalFormatting>
  <conditionalFormatting sqref="F35">
    <cfRule type="cellIs" dxfId="61" priority="3" operator="equal">
      <formula>FALSE</formula>
    </cfRule>
    <cfRule type="cellIs" dxfId="60" priority="4" operator="equal">
      <formula>TRUE</formula>
    </cfRule>
  </conditionalFormatting>
  <conditionalFormatting sqref="J11:U21 J24:U34 J37:U47">
    <cfRule type="expression" dxfId="59" priority="1">
      <formula>AL11="MAX"</formula>
    </cfRule>
    <cfRule type="expression" dxfId="58" priority="2">
      <formula>AL11="MIN"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Y73"/>
  <sheetViews>
    <sheetView showGridLines="0" zoomScaleNormal="100" workbookViewId="0">
      <selection activeCell="I28" sqref="I28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44500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44469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40847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1.3299999999999999E-2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3.0000000000000001E-3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7.3000000000000001E-3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135</v>
      </c>
      <c r="F11" s="144" t="s">
        <v>223</v>
      </c>
      <c r="G11" s="144" t="s">
        <v>219</v>
      </c>
      <c r="H11" s="143" t="s">
        <v>222</v>
      </c>
      <c r="I11" s="87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 t="s">
        <v>225</v>
      </c>
      <c r="S11" s="58">
        <v>3.5615000000000001</v>
      </c>
      <c r="T11" s="58">
        <v>4.1752000000000002</v>
      </c>
      <c r="U11" s="58">
        <v>4.1585999999999999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 t="str">
        <f t="shared" si="1"/>
        <v/>
      </c>
      <c r="AG11" s="40">
        <f t="shared" si="1"/>
        <v>40847</v>
      </c>
      <c r="AH11" s="40">
        <f t="shared" si="1"/>
        <v>40877</v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/>
      </c>
      <c r="AU11" s="40" t="str">
        <f t="shared" si="3"/>
        <v>MIN</v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135</v>
      </c>
      <c r="F12" s="144"/>
      <c r="G12" s="144"/>
      <c r="H12" s="143"/>
      <c r="I12" s="87">
        <v>2012</v>
      </c>
      <c r="J12" s="58">
        <v>3.3458999999999999</v>
      </c>
      <c r="K12" s="58">
        <v>3.0329000000000002</v>
      </c>
      <c r="L12" s="58">
        <v>2.6617999999999999</v>
      </c>
      <c r="M12" s="58">
        <v>2.5529999999999999</v>
      </c>
      <c r="N12" s="58">
        <v>2.5386000000000002</v>
      </c>
      <c r="O12" s="58">
        <v>2.1962000000000002</v>
      </c>
      <c r="P12" s="58">
        <v>1.4771000000000001</v>
      </c>
      <c r="Q12" s="58">
        <v>1.2665</v>
      </c>
      <c r="R12" s="58">
        <v>2.0872999999999999</v>
      </c>
      <c r="S12" s="58">
        <v>2.0912999999999999</v>
      </c>
      <c r="T12" s="58">
        <v>1.6314</v>
      </c>
      <c r="U12" s="58">
        <v>1.4258999999999999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135</v>
      </c>
      <c r="F13" s="144"/>
      <c r="G13" s="144"/>
      <c r="H13" s="143"/>
      <c r="I13" s="87">
        <v>2013</v>
      </c>
      <c r="J13" s="58">
        <v>1.6292</v>
      </c>
      <c r="K13" s="58">
        <v>1.5837000000000001</v>
      </c>
      <c r="L13" s="58">
        <v>1.4610000000000001</v>
      </c>
      <c r="M13" s="58">
        <v>1.3295999999999999</v>
      </c>
      <c r="N13" s="58">
        <v>1.1484000000000001</v>
      </c>
      <c r="O13" s="58">
        <v>1.1687000000000001</v>
      </c>
      <c r="P13" s="58">
        <v>1.6153999999999999</v>
      </c>
      <c r="Q13" s="58">
        <v>1.5046999999999999</v>
      </c>
      <c r="R13" s="58">
        <v>0.98029999999999995</v>
      </c>
      <c r="S13" s="58">
        <v>0.8609</v>
      </c>
      <c r="T13" s="58">
        <v>1.2011000000000001</v>
      </c>
      <c r="U13" s="58">
        <v>1.1434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135</v>
      </c>
      <c r="F14" s="144"/>
      <c r="G14" s="144"/>
      <c r="H14" s="143"/>
      <c r="I14" s="87">
        <v>2014</v>
      </c>
      <c r="J14" s="58">
        <v>1.0803</v>
      </c>
      <c r="K14" s="58">
        <v>1.0125</v>
      </c>
      <c r="L14" s="58">
        <v>1.292</v>
      </c>
      <c r="M14" s="58">
        <v>1.4982</v>
      </c>
      <c r="N14" s="58">
        <v>1.6657999999999999</v>
      </c>
      <c r="O14" s="58">
        <v>1.6586000000000001</v>
      </c>
      <c r="P14" s="58">
        <v>1.5896999999999999</v>
      </c>
      <c r="Q14" s="58">
        <v>1.4080999999999999</v>
      </c>
      <c r="R14" s="58">
        <v>1.1464000000000001</v>
      </c>
      <c r="S14" s="58">
        <v>1.1498999999999999</v>
      </c>
      <c r="T14" s="58">
        <v>0.96579999999999999</v>
      </c>
      <c r="U14" s="58">
        <v>0.83330000000000004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135</v>
      </c>
      <c r="F15" s="144"/>
      <c r="G15" s="144"/>
      <c r="H15" s="143"/>
      <c r="I15" s="87">
        <v>2015</v>
      </c>
      <c r="J15" s="58">
        <v>0.97460000000000002</v>
      </c>
      <c r="K15" s="58">
        <v>0.64500000000000002</v>
      </c>
      <c r="L15" s="58">
        <v>0.47049999999999997</v>
      </c>
      <c r="M15" s="58">
        <v>0.436</v>
      </c>
      <c r="N15" s="58">
        <v>0.55189999999999995</v>
      </c>
      <c r="O15" s="58">
        <v>0.70150000000000001</v>
      </c>
      <c r="P15" s="58">
        <v>0.73470000000000002</v>
      </c>
      <c r="Q15" s="58">
        <v>0.70030000000000003</v>
      </c>
      <c r="R15" s="58">
        <v>0.504</v>
      </c>
      <c r="S15" s="58">
        <v>0.80759999999999998</v>
      </c>
      <c r="T15" s="58">
        <v>0.81930000000000003</v>
      </c>
      <c r="U15" s="58">
        <v>1.1322000000000001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135</v>
      </c>
      <c r="F16" s="144"/>
      <c r="G16" s="144"/>
      <c r="H16" s="143"/>
      <c r="I16" s="87">
        <v>2016</v>
      </c>
      <c r="J16" s="58">
        <v>0.62139999999999995</v>
      </c>
      <c r="K16" s="58">
        <v>1.1132</v>
      </c>
      <c r="L16" s="58">
        <v>0.84240000000000004</v>
      </c>
      <c r="M16" s="58">
        <v>1.0024999999999999</v>
      </c>
      <c r="N16" s="58">
        <v>0.77980000000000005</v>
      </c>
      <c r="O16" s="58">
        <v>0.73960000000000004</v>
      </c>
      <c r="P16" s="58">
        <v>0.36919999999999997</v>
      </c>
      <c r="Q16" s="58">
        <v>0.48820000000000002</v>
      </c>
      <c r="R16" s="58">
        <v>1.3485</v>
      </c>
      <c r="S16" s="58">
        <v>1.4883999999999999</v>
      </c>
      <c r="T16" s="58">
        <v>1.5311999999999999</v>
      </c>
      <c r="U16" s="58">
        <v>1.3371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135</v>
      </c>
      <c r="F17" s="144"/>
      <c r="G17" s="144"/>
      <c r="H17" s="143"/>
      <c r="I17" s="87">
        <v>2017</v>
      </c>
      <c r="J17" s="58">
        <v>2.2412999999999998</v>
      </c>
      <c r="K17" s="58">
        <v>2.0829</v>
      </c>
      <c r="L17" s="58">
        <v>2.2772000000000001</v>
      </c>
      <c r="M17" s="58">
        <v>1.9553</v>
      </c>
      <c r="N17" s="58">
        <v>2.0038</v>
      </c>
      <c r="O17" s="58">
        <v>1.8057000000000001</v>
      </c>
      <c r="P17" s="58">
        <v>2.1669999999999998</v>
      </c>
      <c r="Q17" s="58">
        <v>2.4885999999999999</v>
      </c>
      <c r="R17" s="58">
        <v>2.0007999999999999</v>
      </c>
      <c r="S17" s="58">
        <v>1.7618</v>
      </c>
      <c r="T17" s="58">
        <v>1.1533</v>
      </c>
      <c r="U17" s="58">
        <v>1.4079999999999999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135</v>
      </c>
      <c r="F18" s="144"/>
      <c r="G18" s="144"/>
      <c r="H18" s="143"/>
      <c r="I18" s="87">
        <v>2018</v>
      </c>
      <c r="J18" s="58">
        <v>0.75990000000000002</v>
      </c>
      <c r="K18" s="58">
        <v>1.2534000000000001</v>
      </c>
      <c r="L18" s="58">
        <v>1.2154</v>
      </c>
      <c r="M18" s="58">
        <v>1.5284</v>
      </c>
      <c r="N18" s="58">
        <v>1.4683999999999999</v>
      </c>
      <c r="O18" s="58">
        <v>1.4813000000000001</v>
      </c>
      <c r="P18" s="58">
        <v>1.1189</v>
      </c>
      <c r="Q18" s="58">
        <v>1.4318</v>
      </c>
      <c r="R18" s="58">
        <v>2.0872000000000002</v>
      </c>
      <c r="S18" s="58">
        <v>2.0021</v>
      </c>
      <c r="T18" s="58">
        <v>2.0366</v>
      </c>
      <c r="U18" s="58">
        <v>1.3205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135</v>
      </c>
      <c r="F19" s="144"/>
      <c r="G19" s="144"/>
      <c r="H19" s="143"/>
      <c r="I19" s="87">
        <v>2019</v>
      </c>
      <c r="J19" s="58">
        <v>0.79290000000000005</v>
      </c>
      <c r="K19" s="58">
        <v>0.46060000000000001</v>
      </c>
      <c r="L19" s="58">
        <v>0.37459999999999999</v>
      </c>
      <c r="M19" s="58">
        <v>0.55610000000000004</v>
      </c>
      <c r="N19" s="58">
        <v>0.68049999999999999</v>
      </c>
      <c r="O19" s="58">
        <v>0.72030000000000005</v>
      </c>
      <c r="P19" s="58">
        <v>0.60619999999999996</v>
      </c>
      <c r="Q19" s="58">
        <v>-3.8100000000000002E-2</v>
      </c>
      <c r="R19" s="58">
        <v>-0.4259</v>
      </c>
      <c r="S19" s="58">
        <v>0</v>
      </c>
      <c r="T19" s="58">
        <v>0.15279999999999999</v>
      </c>
      <c r="U19" s="58">
        <v>0.7379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135</v>
      </c>
      <c r="F20" s="144"/>
      <c r="G20" s="144"/>
      <c r="H20" s="143"/>
      <c r="I20" s="87">
        <v>2020</v>
      </c>
      <c r="J20" s="58">
        <v>1.4870000000000001</v>
      </c>
      <c r="K20" s="58">
        <v>1.0603</v>
      </c>
      <c r="L20" s="58">
        <v>1.0048999999999999</v>
      </c>
      <c r="M20" s="58">
        <v>7.6300000000000007E-2</v>
      </c>
      <c r="N20" s="58">
        <v>-0.32369999999999999</v>
      </c>
      <c r="O20" s="58">
        <v>-9.4999999999999998E-3</v>
      </c>
      <c r="P20" s="58">
        <v>0.28689999999999999</v>
      </c>
      <c r="Q20" s="58">
        <v>0.6583</v>
      </c>
      <c r="R20" s="58">
        <v>0.9506</v>
      </c>
      <c r="S20" s="58">
        <v>0.14219999999999999</v>
      </c>
      <c r="T20" s="58">
        <v>0.60070000000000001</v>
      </c>
      <c r="U20" s="58">
        <v>0.5232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135</v>
      </c>
      <c r="F21" s="144"/>
      <c r="G21" s="144"/>
      <c r="H21" s="143"/>
      <c r="I21" s="50">
        <v>2021</v>
      </c>
      <c r="J21" s="58">
        <v>0.64280000000000004</v>
      </c>
      <c r="K21" s="58">
        <v>1.1342000000000001</v>
      </c>
      <c r="L21" s="58">
        <v>1.5349999999999999</v>
      </c>
      <c r="M21" s="58">
        <v>2.3249</v>
      </c>
      <c r="N21" s="58">
        <v>2.6263000000000001</v>
      </c>
      <c r="O21" s="58">
        <v>2.403</v>
      </c>
      <c r="P21" s="58">
        <v>2.6225000000000001</v>
      </c>
      <c r="Q21" s="58">
        <v>2.6444999999999999</v>
      </c>
      <c r="R21" s="58">
        <v>2.4765000000000001</v>
      </c>
      <c r="S21" s="58" t="s">
        <v>225</v>
      </c>
      <c r="T21" s="58" t="s">
        <v>225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>
        <f t="shared" si="1"/>
        <v>44439</v>
      </c>
      <c r="AF21" s="40">
        <f t="shared" si="1"/>
        <v>44469</v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/>
      </c>
      <c r="AT21" s="40" t="str">
        <f t="shared" si="3"/>
        <v>MAX</v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87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 t="s">
        <v>225</v>
      </c>
      <c r="S24" s="58">
        <v>5.8326000000000002</v>
      </c>
      <c r="T24" s="58">
        <v>5.1280000000000001</v>
      </c>
      <c r="U24" s="58">
        <v>4.2653999999999996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 t="str">
        <f t="shared" si="5"/>
        <v/>
      </c>
      <c r="AG24" s="40">
        <f t="shared" si="5"/>
        <v>40847</v>
      </c>
      <c r="AH24" s="40">
        <f t="shared" si="5"/>
        <v>40877</v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/>
      </c>
      <c r="AU24" s="40" t="str">
        <f t="shared" si="7"/>
        <v>MIN</v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87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87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87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87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87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87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87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87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87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>
        <v>7.4016999999999999</v>
      </c>
      <c r="R34" s="58">
        <v>7.5903999999999998</v>
      </c>
      <c r="S34" s="58" t="s">
        <v>225</v>
      </c>
      <c r="T34" s="58" t="s">
        <v>225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>
        <f t="shared" si="5"/>
        <v>44439</v>
      </c>
      <c r="AF34" s="40">
        <f t="shared" si="5"/>
        <v>44469</v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/>
      </c>
      <c r="AT34" s="40" t="str">
        <f t="shared" si="7"/>
        <v>MAX</v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87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 t="s">
        <v>225</v>
      </c>
      <c r="S37" s="58">
        <v>0.75990000000000002</v>
      </c>
      <c r="T37" s="58">
        <v>0.90559999999999996</v>
      </c>
      <c r="U37" s="58">
        <v>0.8841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 t="str">
        <f t="shared" si="9"/>
        <v/>
      </c>
      <c r="AG37" s="40">
        <f t="shared" si="9"/>
        <v>40847</v>
      </c>
      <c r="AH37" s="40">
        <f t="shared" si="9"/>
        <v>40877</v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/>
      </c>
      <c r="AU37" s="40" t="str">
        <f t="shared" si="11"/>
        <v>MIN</v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87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87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87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87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87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87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87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87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87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>
        <v>-0.37509999999999999</v>
      </c>
      <c r="R47" s="58">
        <v>-0.3463</v>
      </c>
      <c r="S47" s="58" t="s">
        <v>225</v>
      </c>
      <c r="T47" s="58" t="s">
        <v>225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>
        <f t="shared" si="9"/>
        <v>44439</v>
      </c>
      <c r="AF47" s="40">
        <f t="shared" si="9"/>
        <v>44469</v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/>
      </c>
      <c r="AT47" s="40" t="str">
        <f t="shared" si="11"/>
        <v>MAX</v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57" priority="7" operator="equal">
      <formula>FALSE</formula>
    </cfRule>
    <cfRule type="cellIs" dxfId="56" priority="8" operator="equal">
      <formula>TRUE</formula>
    </cfRule>
  </conditionalFormatting>
  <conditionalFormatting sqref="F22">
    <cfRule type="cellIs" dxfId="55" priority="5" operator="equal">
      <formula>FALSE</formula>
    </cfRule>
    <cfRule type="cellIs" dxfId="54" priority="6" operator="equal">
      <formula>TRUE</formula>
    </cfRule>
  </conditionalFormatting>
  <conditionalFormatting sqref="F35">
    <cfRule type="cellIs" dxfId="53" priority="3" operator="equal">
      <formula>FALSE</formula>
    </cfRule>
    <cfRule type="cellIs" dxfId="52" priority="4" operator="equal">
      <formula>TRUE</formula>
    </cfRule>
  </conditionalFormatting>
  <conditionalFormatting sqref="J11:U21 J24:U34 J37:U47">
    <cfRule type="expression" dxfId="51" priority="1">
      <formula>AL11="MAX"</formula>
    </cfRule>
    <cfRule type="expression" dxfId="50" priority="2">
      <formula>AL11="MIN"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Y73"/>
  <sheetViews>
    <sheetView showGridLines="0" zoomScaleNormal="100" workbookViewId="0">
      <selection activeCell="I25" sqref="I25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44469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44439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40816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1.34E-2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2.8999999999999998E-3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7.4000000000000003E-3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135</v>
      </c>
      <c r="F11" s="144" t="s">
        <v>223</v>
      </c>
      <c r="G11" s="144" t="s">
        <v>219</v>
      </c>
      <c r="H11" s="143" t="s">
        <v>222</v>
      </c>
      <c r="I11" s="86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 t="s">
        <v>225</v>
      </c>
      <c r="R11" s="58">
        <v>3.7591999999999999</v>
      </c>
      <c r="S11" s="58">
        <v>3.5615000000000001</v>
      </c>
      <c r="T11" s="58">
        <v>4.1752000000000002</v>
      </c>
      <c r="U11" s="58">
        <v>4.1585999999999999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 t="str">
        <f t="shared" si="1"/>
        <v/>
      </c>
      <c r="AF11" s="40">
        <f t="shared" si="1"/>
        <v>40816</v>
      </c>
      <c r="AG11" s="40">
        <f t="shared" si="1"/>
        <v>40847</v>
      </c>
      <c r="AH11" s="40">
        <f t="shared" si="1"/>
        <v>40877</v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/>
      </c>
      <c r="AT11" s="40" t="str">
        <f t="shared" si="3"/>
        <v>MIN</v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135</v>
      </c>
      <c r="F12" s="144"/>
      <c r="G12" s="144"/>
      <c r="H12" s="143"/>
      <c r="I12" s="86">
        <v>2012</v>
      </c>
      <c r="J12" s="58">
        <v>3.3458999999999999</v>
      </c>
      <c r="K12" s="58">
        <v>3.0329000000000002</v>
      </c>
      <c r="L12" s="58">
        <v>2.6617999999999999</v>
      </c>
      <c r="M12" s="58">
        <v>2.5529999999999999</v>
      </c>
      <c r="N12" s="58">
        <v>2.5386000000000002</v>
      </c>
      <c r="O12" s="58">
        <v>2.1962000000000002</v>
      </c>
      <c r="P12" s="58">
        <v>1.4771000000000001</v>
      </c>
      <c r="Q12" s="58">
        <v>1.2665</v>
      </c>
      <c r="R12" s="58">
        <v>2.0872999999999999</v>
      </c>
      <c r="S12" s="58">
        <v>2.0912999999999999</v>
      </c>
      <c r="T12" s="58">
        <v>1.6314</v>
      </c>
      <c r="U12" s="58">
        <v>1.4258999999999999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135</v>
      </c>
      <c r="F13" s="144"/>
      <c r="G13" s="144"/>
      <c r="H13" s="143"/>
      <c r="I13" s="86">
        <v>2013</v>
      </c>
      <c r="J13" s="58">
        <v>1.6292</v>
      </c>
      <c r="K13" s="58">
        <v>1.5837000000000001</v>
      </c>
      <c r="L13" s="58">
        <v>1.4610000000000001</v>
      </c>
      <c r="M13" s="58">
        <v>1.3295999999999999</v>
      </c>
      <c r="N13" s="58">
        <v>1.1484000000000001</v>
      </c>
      <c r="O13" s="58">
        <v>1.1687000000000001</v>
      </c>
      <c r="P13" s="58">
        <v>1.6153999999999999</v>
      </c>
      <c r="Q13" s="58">
        <v>1.5046999999999999</v>
      </c>
      <c r="R13" s="58">
        <v>0.98029999999999995</v>
      </c>
      <c r="S13" s="58">
        <v>0.8609</v>
      </c>
      <c r="T13" s="58">
        <v>1.2011000000000001</v>
      </c>
      <c r="U13" s="58">
        <v>1.1434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135</v>
      </c>
      <c r="F14" s="144"/>
      <c r="G14" s="144"/>
      <c r="H14" s="143"/>
      <c r="I14" s="86">
        <v>2014</v>
      </c>
      <c r="J14" s="58">
        <v>1.0803</v>
      </c>
      <c r="K14" s="58">
        <v>1.0125</v>
      </c>
      <c r="L14" s="58">
        <v>1.292</v>
      </c>
      <c r="M14" s="58">
        <v>1.4982</v>
      </c>
      <c r="N14" s="58">
        <v>1.6657999999999999</v>
      </c>
      <c r="O14" s="58">
        <v>1.6586000000000001</v>
      </c>
      <c r="P14" s="58">
        <v>1.5896999999999999</v>
      </c>
      <c r="Q14" s="58">
        <v>1.4080999999999999</v>
      </c>
      <c r="R14" s="58">
        <v>1.1464000000000001</v>
      </c>
      <c r="S14" s="58">
        <v>1.1498999999999999</v>
      </c>
      <c r="T14" s="58">
        <v>0.96579999999999999</v>
      </c>
      <c r="U14" s="58">
        <v>0.83330000000000004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135</v>
      </c>
      <c r="F15" s="144"/>
      <c r="G15" s="144"/>
      <c r="H15" s="143"/>
      <c r="I15" s="86">
        <v>2015</v>
      </c>
      <c r="J15" s="58">
        <v>0.97460000000000002</v>
      </c>
      <c r="K15" s="58">
        <v>0.64500000000000002</v>
      </c>
      <c r="L15" s="58">
        <v>0.47049999999999997</v>
      </c>
      <c r="M15" s="58">
        <v>0.436</v>
      </c>
      <c r="N15" s="58">
        <v>0.55189999999999995</v>
      </c>
      <c r="O15" s="58">
        <v>0.70150000000000001</v>
      </c>
      <c r="P15" s="58">
        <v>0.73470000000000002</v>
      </c>
      <c r="Q15" s="58">
        <v>0.70030000000000003</v>
      </c>
      <c r="R15" s="58">
        <v>0.504</v>
      </c>
      <c r="S15" s="58">
        <v>0.80759999999999998</v>
      </c>
      <c r="T15" s="58">
        <v>0.81930000000000003</v>
      </c>
      <c r="U15" s="58">
        <v>1.1322000000000001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135</v>
      </c>
      <c r="F16" s="144"/>
      <c r="G16" s="144"/>
      <c r="H16" s="143"/>
      <c r="I16" s="86">
        <v>2016</v>
      </c>
      <c r="J16" s="58">
        <v>0.62139999999999995</v>
      </c>
      <c r="K16" s="58">
        <v>1.1132</v>
      </c>
      <c r="L16" s="58">
        <v>0.84240000000000004</v>
      </c>
      <c r="M16" s="58">
        <v>1.0024999999999999</v>
      </c>
      <c r="N16" s="58">
        <v>0.77980000000000005</v>
      </c>
      <c r="O16" s="58">
        <v>0.73960000000000004</v>
      </c>
      <c r="P16" s="58">
        <v>0.36919999999999997</v>
      </c>
      <c r="Q16" s="58">
        <v>0.48820000000000002</v>
      </c>
      <c r="R16" s="58">
        <v>1.3485</v>
      </c>
      <c r="S16" s="58">
        <v>1.4883999999999999</v>
      </c>
      <c r="T16" s="58">
        <v>1.5311999999999999</v>
      </c>
      <c r="U16" s="58">
        <v>1.3371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135</v>
      </c>
      <c r="F17" s="144"/>
      <c r="G17" s="144"/>
      <c r="H17" s="143"/>
      <c r="I17" s="86">
        <v>2017</v>
      </c>
      <c r="J17" s="58">
        <v>2.2412999999999998</v>
      </c>
      <c r="K17" s="58">
        <v>2.0829</v>
      </c>
      <c r="L17" s="58">
        <v>2.2772000000000001</v>
      </c>
      <c r="M17" s="58">
        <v>1.9553</v>
      </c>
      <c r="N17" s="58">
        <v>2.0038</v>
      </c>
      <c r="O17" s="58">
        <v>1.8057000000000001</v>
      </c>
      <c r="P17" s="58">
        <v>2.1669999999999998</v>
      </c>
      <c r="Q17" s="58">
        <v>2.4885999999999999</v>
      </c>
      <c r="R17" s="58">
        <v>2.0007999999999999</v>
      </c>
      <c r="S17" s="58">
        <v>1.7618</v>
      </c>
      <c r="T17" s="58">
        <v>1.1533</v>
      </c>
      <c r="U17" s="58">
        <v>1.4079999999999999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135</v>
      </c>
      <c r="F18" s="144"/>
      <c r="G18" s="144"/>
      <c r="H18" s="143"/>
      <c r="I18" s="86">
        <v>2018</v>
      </c>
      <c r="J18" s="58">
        <v>0.75990000000000002</v>
      </c>
      <c r="K18" s="58">
        <v>1.2534000000000001</v>
      </c>
      <c r="L18" s="58">
        <v>1.2154</v>
      </c>
      <c r="M18" s="58">
        <v>1.5284</v>
      </c>
      <c r="N18" s="58">
        <v>1.4683999999999999</v>
      </c>
      <c r="O18" s="58">
        <v>1.4813000000000001</v>
      </c>
      <c r="P18" s="58">
        <v>1.1189</v>
      </c>
      <c r="Q18" s="58">
        <v>1.4318</v>
      </c>
      <c r="R18" s="58">
        <v>2.0872000000000002</v>
      </c>
      <c r="S18" s="58">
        <v>2.0021</v>
      </c>
      <c r="T18" s="58">
        <v>2.0366</v>
      </c>
      <c r="U18" s="58">
        <v>1.3205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135</v>
      </c>
      <c r="F19" s="144"/>
      <c r="G19" s="144"/>
      <c r="H19" s="143"/>
      <c r="I19" s="86">
        <v>2019</v>
      </c>
      <c r="J19" s="58">
        <v>0.79290000000000005</v>
      </c>
      <c r="K19" s="58">
        <v>0.46060000000000001</v>
      </c>
      <c r="L19" s="58">
        <v>0.37459999999999999</v>
      </c>
      <c r="M19" s="58">
        <v>0.55610000000000004</v>
      </c>
      <c r="N19" s="58">
        <v>0.68049999999999999</v>
      </c>
      <c r="O19" s="58">
        <v>0.72030000000000005</v>
      </c>
      <c r="P19" s="58">
        <v>0.60619999999999996</v>
      </c>
      <c r="Q19" s="58">
        <v>-3.8100000000000002E-2</v>
      </c>
      <c r="R19" s="58">
        <v>-0.4259</v>
      </c>
      <c r="S19" s="58">
        <v>0</v>
      </c>
      <c r="T19" s="58">
        <v>0.15279999999999999</v>
      </c>
      <c r="U19" s="58">
        <v>0.7379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135</v>
      </c>
      <c r="F20" s="144"/>
      <c r="G20" s="144"/>
      <c r="H20" s="143"/>
      <c r="I20" s="86">
        <v>2020</v>
      </c>
      <c r="J20" s="58">
        <v>1.4870000000000001</v>
      </c>
      <c r="K20" s="58">
        <v>1.0603</v>
      </c>
      <c r="L20" s="58">
        <v>1.0048999999999999</v>
      </c>
      <c r="M20" s="58">
        <v>7.6300000000000007E-2</v>
      </c>
      <c r="N20" s="58">
        <v>-0.32369999999999999</v>
      </c>
      <c r="O20" s="58">
        <v>-9.4999999999999998E-3</v>
      </c>
      <c r="P20" s="58">
        <v>0.28689999999999999</v>
      </c>
      <c r="Q20" s="58">
        <v>0.6583</v>
      </c>
      <c r="R20" s="58">
        <v>0.9506</v>
      </c>
      <c r="S20" s="58">
        <v>0.14219999999999999</v>
      </c>
      <c r="T20" s="58">
        <v>0.60070000000000001</v>
      </c>
      <c r="U20" s="58">
        <v>0.5232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135</v>
      </c>
      <c r="F21" s="144"/>
      <c r="G21" s="144"/>
      <c r="H21" s="143"/>
      <c r="I21" s="50">
        <v>2021</v>
      </c>
      <c r="J21" s="58">
        <v>0.64280000000000004</v>
      </c>
      <c r="K21" s="58">
        <v>1.1342000000000001</v>
      </c>
      <c r="L21" s="58">
        <v>1.5349999999999999</v>
      </c>
      <c r="M21" s="58">
        <v>2.3249</v>
      </c>
      <c r="N21" s="58">
        <v>2.6263000000000001</v>
      </c>
      <c r="O21" s="58">
        <v>2.403</v>
      </c>
      <c r="P21" s="58">
        <v>2.6225000000000001</v>
      </c>
      <c r="Q21" s="58">
        <v>2.6444999999999999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>
        <f t="shared" si="1"/>
        <v>44439</v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/>
      </c>
      <c r="AS21" s="40" t="str">
        <f t="shared" si="3"/>
        <v>MAX</v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86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 t="s">
        <v>225</v>
      </c>
      <c r="R24" s="58">
        <v>6.3236999999999997</v>
      </c>
      <c r="S24" s="58">
        <v>5.8326000000000002</v>
      </c>
      <c r="T24" s="58">
        <v>5.1280000000000001</v>
      </c>
      <c r="U24" s="58">
        <v>4.2653999999999996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 t="str">
        <f t="shared" si="5"/>
        <v/>
      </c>
      <c r="AF24" s="40">
        <f t="shared" si="5"/>
        <v>40816</v>
      </c>
      <c r="AG24" s="40">
        <f t="shared" si="5"/>
        <v>40847</v>
      </c>
      <c r="AH24" s="40">
        <f t="shared" si="5"/>
        <v>40877</v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/>
      </c>
      <c r="AT24" s="40" t="str">
        <f t="shared" si="7"/>
        <v>MIN</v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86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86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86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86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86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86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86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86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86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>
        <v>7.4016999999999999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>
        <f t="shared" si="5"/>
        <v>44439</v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/>
      </c>
      <c r="AS34" s="40" t="str">
        <f t="shared" si="7"/>
        <v>MAX</v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86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 t="s">
        <v>225</v>
      </c>
      <c r="R37" s="58">
        <v>0.66639999999999999</v>
      </c>
      <c r="S37" s="58">
        <v>0.75990000000000002</v>
      </c>
      <c r="T37" s="58">
        <v>0.90559999999999996</v>
      </c>
      <c r="U37" s="58">
        <v>0.8841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 t="str">
        <f t="shared" si="9"/>
        <v/>
      </c>
      <c r="AF37" s="40">
        <f t="shared" si="9"/>
        <v>40816</v>
      </c>
      <c r="AG37" s="40">
        <f t="shared" si="9"/>
        <v>40847</v>
      </c>
      <c r="AH37" s="40">
        <f t="shared" si="9"/>
        <v>40877</v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/>
      </c>
      <c r="AT37" s="40" t="str">
        <f t="shared" si="11"/>
        <v>MIN</v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86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86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86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86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86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86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86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86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86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>
        <v>-0.37509999999999999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>
        <f t="shared" si="9"/>
        <v>44439</v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/>
      </c>
      <c r="AS47" s="40" t="str">
        <f t="shared" si="11"/>
        <v>MAX</v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49" priority="7" operator="equal">
      <formula>FALSE</formula>
    </cfRule>
    <cfRule type="cellIs" dxfId="48" priority="8" operator="equal">
      <formula>TRUE</formula>
    </cfRule>
  </conditionalFormatting>
  <conditionalFormatting sqref="F22">
    <cfRule type="cellIs" dxfId="47" priority="5" operator="equal">
      <formula>FALSE</formula>
    </cfRule>
    <cfRule type="cellIs" dxfId="46" priority="6" operator="equal">
      <formula>TRUE</formula>
    </cfRule>
  </conditionalFormatting>
  <conditionalFormatting sqref="F35">
    <cfRule type="cellIs" dxfId="45" priority="3" operator="equal">
      <formula>FALSE</formula>
    </cfRule>
    <cfRule type="cellIs" dxfId="44" priority="4" operator="equal">
      <formula>TRUE</formula>
    </cfRule>
  </conditionalFormatting>
  <conditionalFormatting sqref="J11:U21 J24:U34 J37:U47">
    <cfRule type="expression" dxfId="43" priority="1">
      <formula>AL11="MAX"</formula>
    </cfRule>
    <cfRule type="expression" dxfId="42" priority="2">
      <formula>AL11="MIN"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73"/>
  <sheetViews>
    <sheetView showGridLines="0" zoomScaleNormal="100" workbookViewId="0">
      <selection activeCell="H8" sqref="H8"/>
    </sheetView>
  </sheetViews>
  <sheetFormatPr defaultColWidth="0" defaultRowHeight="12" customHeight="1" zeroHeight="1"/>
  <cols>
    <col min="1" max="1" width="0.625" style="51" customWidth="1"/>
    <col min="2" max="2" width="13.875" style="52" bestFit="1" customWidth="1"/>
    <col min="3" max="3" width="12" style="52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>
      <c r="B1" s="51"/>
      <c r="C1" s="51"/>
    </row>
    <row r="2" spans="1:51" s="23" customFormat="1" ht="4.5" customHeight="1" thickBot="1">
      <c r="A2" s="7"/>
      <c r="B2" s="43"/>
      <c r="C2" s="43"/>
      <c r="D2" s="7"/>
      <c r="E2" s="7"/>
      <c r="L2" s="31"/>
      <c r="V2" s="7"/>
      <c r="AJ2" s="7"/>
    </row>
    <row r="3" spans="1:51" s="23" customFormat="1" ht="12" customHeight="1">
      <c r="A3" s="7"/>
      <c r="B3" s="59" t="s">
        <v>0</v>
      </c>
      <c r="C3" s="60">
        <v>44439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61" t="s">
        <v>211</v>
      </c>
      <c r="C4" s="62">
        <v>44408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59" t="s">
        <v>215</v>
      </c>
      <c r="C5" s="6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61" t="s">
        <v>8</v>
      </c>
      <c r="C6" s="62">
        <v>40786</v>
      </c>
      <c r="D6" s="7"/>
      <c r="E6" s="7"/>
      <c r="F6" s="35" t="s">
        <v>216</v>
      </c>
      <c r="G6" s="36">
        <v>4</v>
      </c>
      <c r="L6" s="31" t="s">
        <v>208</v>
      </c>
      <c r="V6" s="7"/>
      <c r="AJ6" s="7"/>
    </row>
    <row r="7" spans="1:51" s="23" customFormat="1" ht="12" customHeight="1" thickBot="1">
      <c r="A7" s="7"/>
      <c r="B7" s="64"/>
      <c r="C7" s="65"/>
      <c r="D7" s="7"/>
      <c r="E7" s="7"/>
      <c r="L7" s="31"/>
      <c r="V7" s="7"/>
      <c r="AJ7" s="7"/>
    </row>
    <row r="8" spans="1:51" s="23" customFormat="1" ht="12" customHeight="1">
      <c r="A8" s="7"/>
      <c r="B8" s="59" t="s">
        <v>1</v>
      </c>
      <c r="C8" s="66">
        <v>1.3599999999999999E-2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67" t="s">
        <v>2</v>
      </c>
      <c r="C9" s="68">
        <v>2.8E-3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61" t="s">
        <v>3</v>
      </c>
      <c r="C10" s="69">
        <v>7.4000000000000003E-3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70"/>
      <c r="C11" s="71"/>
      <c r="E11" s="45" t="s">
        <v>135</v>
      </c>
      <c r="F11" s="144" t="s">
        <v>223</v>
      </c>
      <c r="G11" s="144" t="s">
        <v>219</v>
      </c>
      <c r="H11" s="143" t="s">
        <v>222</v>
      </c>
      <c r="I11" s="84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 t="s">
        <v>225</v>
      </c>
      <c r="Q11" s="58">
        <v>4.6858000000000004</v>
      </c>
      <c r="R11" s="58">
        <v>3.7591999999999999</v>
      </c>
      <c r="S11" s="58">
        <v>3.5615000000000001</v>
      </c>
      <c r="T11" s="58">
        <v>4.1752000000000002</v>
      </c>
      <c r="U11" s="58">
        <v>4.1585999999999999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 t="str">
        <f t="shared" si="1"/>
        <v/>
      </c>
      <c r="AE11" s="40">
        <f t="shared" si="1"/>
        <v>40786</v>
      </c>
      <c r="AF11" s="40">
        <f t="shared" si="1"/>
        <v>40816</v>
      </c>
      <c r="AG11" s="40">
        <f t="shared" si="1"/>
        <v>40847</v>
      </c>
      <c r="AH11" s="40">
        <f t="shared" si="1"/>
        <v>40877</v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/>
      </c>
      <c r="AS11" s="40" t="str">
        <f t="shared" si="3"/>
        <v>MIN</v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70"/>
      <c r="C12" s="71"/>
      <c r="E12" s="45" t="s">
        <v>135</v>
      </c>
      <c r="F12" s="144"/>
      <c r="G12" s="144"/>
      <c r="H12" s="143"/>
      <c r="I12" s="84">
        <v>2012</v>
      </c>
      <c r="J12" s="58">
        <v>3.3458999999999999</v>
      </c>
      <c r="K12" s="58">
        <v>3.0329000000000002</v>
      </c>
      <c r="L12" s="58">
        <v>2.6617999999999999</v>
      </c>
      <c r="M12" s="58">
        <v>2.5529999999999999</v>
      </c>
      <c r="N12" s="58">
        <v>2.5386000000000002</v>
      </c>
      <c r="O12" s="58">
        <v>2.1962000000000002</v>
      </c>
      <c r="P12" s="58">
        <v>1.4771000000000001</v>
      </c>
      <c r="Q12" s="58">
        <v>1.2665</v>
      </c>
      <c r="R12" s="58">
        <v>2.0872999999999999</v>
      </c>
      <c r="S12" s="58">
        <v>2.0912999999999999</v>
      </c>
      <c r="T12" s="58">
        <v>1.6314</v>
      </c>
      <c r="U12" s="58">
        <v>1.4258999999999999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64"/>
      <c r="C13" s="65"/>
      <c r="E13" s="45" t="s">
        <v>135</v>
      </c>
      <c r="F13" s="144"/>
      <c r="G13" s="144"/>
      <c r="H13" s="143"/>
      <c r="I13" s="84">
        <v>2013</v>
      </c>
      <c r="J13" s="58">
        <v>1.6292</v>
      </c>
      <c r="K13" s="58">
        <v>1.5837000000000001</v>
      </c>
      <c r="L13" s="58">
        <v>1.4610000000000001</v>
      </c>
      <c r="M13" s="58">
        <v>1.3295999999999999</v>
      </c>
      <c r="N13" s="58">
        <v>1.1484000000000001</v>
      </c>
      <c r="O13" s="58">
        <v>1.1687000000000001</v>
      </c>
      <c r="P13" s="58">
        <v>1.6153999999999999</v>
      </c>
      <c r="Q13" s="58">
        <v>1.5046999999999999</v>
      </c>
      <c r="R13" s="58">
        <v>0.98029999999999995</v>
      </c>
      <c r="S13" s="58">
        <v>0.8609</v>
      </c>
      <c r="T13" s="58">
        <v>1.2011000000000001</v>
      </c>
      <c r="U13" s="58">
        <v>1.1434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64"/>
      <c r="C14" s="65"/>
      <c r="E14" s="45" t="s">
        <v>135</v>
      </c>
      <c r="F14" s="144"/>
      <c r="G14" s="144"/>
      <c r="H14" s="143"/>
      <c r="I14" s="84">
        <v>2014</v>
      </c>
      <c r="J14" s="58">
        <v>1.0803</v>
      </c>
      <c r="K14" s="58">
        <v>1.0125</v>
      </c>
      <c r="L14" s="58">
        <v>1.292</v>
      </c>
      <c r="M14" s="58">
        <v>1.4982</v>
      </c>
      <c r="N14" s="58">
        <v>1.6657999999999999</v>
      </c>
      <c r="O14" s="58">
        <v>1.6586000000000001</v>
      </c>
      <c r="P14" s="58">
        <v>1.5896999999999999</v>
      </c>
      <c r="Q14" s="58">
        <v>1.4080999999999999</v>
      </c>
      <c r="R14" s="58">
        <v>1.1464000000000001</v>
      </c>
      <c r="S14" s="58">
        <v>1.1498999999999999</v>
      </c>
      <c r="T14" s="58">
        <v>0.96579999999999999</v>
      </c>
      <c r="U14" s="58">
        <v>0.83330000000000004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72" t="s">
        <v>224</v>
      </c>
      <c r="C15" s="73"/>
      <c r="E15" s="45" t="s">
        <v>135</v>
      </c>
      <c r="F15" s="144"/>
      <c r="G15" s="144"/>
      <c r="H15" s="143"/>
      <c r="I15" s="84">
        <v>2015</v>
      </c>
      <c r="J15" s="58">
        <v>0.97460000000000002</v>
      </c>
      <c r="K15" s="58">
        <v>0.64500000000000002</v>
      </c>
      <c r="L15" s="58">
        <v>0.47049999999999997</v>
      </c>
      <c r="M15" s="58">
        <v>0.436</v>
      </c>
      <c r="N15" s="58">
        <v>0.55189999999999995</v>
      </c>
      <c r="O15" s="58">
        <v>0.70150000000000001</v>
      </c>
      <c r="P15" s="58">
        <v>0.73470000000000002</v>
      </c>
      <c r="Q15" s="58">
        <v>0.70030000000000003</v>
      </c>
      <c r="R15" s="58">
        <v>0.504</v>
      </c>
      <c r="S15" s="58">
        <v>0.80759999999999998</v>
      </c>
      <c r="T15" s="58">
        <v>0.81930000000000003</v>
      </c>
      <c r="U15" s="58">
        <v>1.1322000000000001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74" t="s">
        <v>212</v>
      </c>
      <c r="C16" s="75"/>
      <c r="E16" s="45" t="s">
        <v>135</v>
      </c>
      <c r="F16" s="144"/>
      <c r="G16" s="144"/>
      <c r="H16" s="143"/>
      <c r="I16" s="84">
        <v>2016</v>
      </c>
      <c r="J16" s="58">
        <v>0.62139999999999995</v>
      </c>
      <c r="K16" s="58">
        <v>1.1132</v>
      </c>
      <c r="L16" s="58">
        <v>0.84240000000000004</v>
      </c>
      <c r="M16" s="58">
        <v>1.0024999999999999</v>
      </c>
      <c r="N16" s="58">
        <v>0.77980000000000005</v>
      </c>
      <c r="O16" s="58">
        <v>0.73960000000000004</v>
      </c>
      <c r="P16" s="58">
        <v>0.36919999999999997</v>
      </c>
      <c r="Q16" s="58">
        <v>0.48820000000000002</v>
      </c>
      <c r="R16" s="58">
        <v>1.3485</v>
      </c>
      <c r="S16" s="58">
        <v>1.4883999999999999</v>
      </c>
      <c r="T16" s="58">
        <v>1.5311999999999999</v>
      </c>
      <c r="U16" s="58">
        <v>1.3371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74" t="s">
        <v>213</v>
      </c>
      <c r="C17" s="75"/>
      <c r="E17" s="45" t="s">
        <v>135</v>
      </c>
      <c r="F17" s="144"/>
      <c r="G17" s="144"/>
      <c r="H17" s="143"/>
      <c r="I17" s="84">
        <v>2017</v>
      </c>
      <c r="J17" s="58">
        <v>2.2412999999999998</v>
      </c>
      <c r="K17" s="58">
        <v>2.0829</v>
      </c>
      <c r="L17" s="58">
        <v>2.2772000000000001</v>
      </c>
      <c r="M17" s="58">
        <v>1.9553</v>
      </c>
      <c r="N17" s="58">
        <v>2.0038</v>
      </c>
      <c r="O17" s="58">
        <v>1.8057000000000001</v>
      </c>
      <c r="P17" s="58">
        <v>2.1669999999999998</v>
      </c>
      <c r="Q17" s="58">
        <v>2.4885999999999999</v>
      </c>
      <c r="R17" s="58">
        <v>2.0007999999999999</v>
      </c>
      <c r="S17" s="58">
        <v>1.7618</v>
      </c>
      <c r="T17" s="58">
        <v>1.1533</v>
      </c>
      <c r="U17" s="58">
        <v>1.4079999999999999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76" t="s">
        <v>201</v>
      </c>
      <c r="C18" s="77"/>
      <c r="E18" s="45" t="s">
        <v>135</v>
      </c>
      <c r="F18" s="144"/>
      <c r="G18" s="144"/>
      <c r="H18" s="143"/>
      <c r="I18" s="84">
        <v>2018</v>
      </c>
      <c r="J18" s="58">
        <v>0.75990000000000002</v>
      </c>
      <c r="K18" s="58">
        <v>1.2534000000000001</v>
      </c>
      <c r="L18" s="58">
        <v>1.2154</v>
      </c>
      <c r="M18" s="58">
        <v>1.5284</v>
      </c>
      <c r="N18" s="58">
        <v>1.4683999999999999</v>
      </c>
      <c r="O18" s="58">
        <v>1.4813000000000001</v>
      </c>
      <c r="P18" s="58">
        <v>1.1189</v>
      </c>
      <c r="Q18" s="58">
        <v>1.4318</v>
      </c>
      <c r="R18" s="58">
        <v>2.0872000000000002</v>
      </c>
      <c r="S18" s="58">
        <v>2.0021</v>
      </c>
      <c r="T18" s="58">
        <v>2.0366</v>
      </c>
      <c r="U18" s="58">
        <v>1.3205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78" t="s">
        <v>203</v>
      </c>
      <c r="C19" s="75"/>
      <c r="E19" s="45" t="s">
        <v>135</v>
      </c>
      <c r="F19" s="144"/>
      <c r="G19" s="144"/>
      <c r="H19" s="143"/>
      <c r="I19" s="84">
        <v>2019</v>
      </c>
      <c r="J19" s="58">
        <v>0.79290000000000005</v>
      </c>
      <c r="K19" s="58">
        <v>0.46060000000000001</v>
      </c>
      <c r="L19" s="58">
        <v>0.37459999999999999</v>
      </c>
      <c r="M19" s="58">
        <v>0.55610000000000004</v>
      </c>
      <c r="N19" s="58">
        <v>0.68049999999999999</v>
      </c>
      <c r="O19" s="58">
        <v>0.72030000000000005</v>
      </c>
      <c r="P19" s="58">
        <v>0.60619999999999996</v>
      </c>
      <c r="Q19" s="58">
        <v>-3.8100000000000002E-2</v>
      </c>
      <c r="R19" s="58">
        <v>-0.4259</v>
      </c>
      <c r="S19" s="58">
        <v>0</v>
      </c>
      <c r="T19" s="58">
        <v>0.15279999999999999</v>
      </c>
      <c r="U19" s="58">
        <v>0.7379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78" t="s">
        <v>204</v>
      </c>
      <c r="C20" s="75"/>
      <c r="E20" s="45" t="s">
        <v>135</v>
      </c>
      <c r="F20" s="144"/>
      <c r="G20" s="144"/>
      <c r="H20" s="143"/>
      <c r="I20" s="84">
        <v>2020</v>
      </c>
      <c r="J20" s="58">
        <v>1.4870000000000001</v>
      </c>
      <c r="K20" s="58">
        <v>1.0603</v>
      </c>
      <c r="L20" s="58">
        <v>1.0048999999999999</v>
      </c>
      <c r="M20" s="58">
        <v>7.6300000000000007E-2</v>
      </c>
      <c r="N20" s="58">
        <v>-0.32369999999999999</v>
      </c>
      <c r="O20" s="58">
        <v>-9.4999999999999998E-3</v>
      </c>
      <c r="P20" s="58">
        <v>0.28689999999999999</v>
      </c>
      <c r="Q20" s="58">
        <v>0.6583</v>
      </c>
      <c r="R20" s="58">
        <v>0.9506</v>
      </c>
      <c r="S20" s="58">
        <v>0.14219999999999999</v>
      </c>
      <c r="T20" s="58">
        <v>0.60070000000000001</v>
      </c>
      <c r="U20" s="58">
        <v>0.5232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78" t="s">
        <v>202</v>
      </c>
      <c r="C21" s="75"/>
      <c r="E21" s="45" t="s">
        <v>135</v>
      </c>
      <c r="F21" s="144"/>
      <c r="G21" s="144"/>
      <c r="H21" s="143"/>
      <c r="I21" s="50">
        <v>2021</v>
      </c>
      <c r="J21" s="58">
        <v>0.64280000000000004</v>
      </c>
      <c r="K21" s="58">
        <v>1.1342000000000001</v>
      </c>
      <c r="L21" s="58">
        <v>1.5349999999999999</v>
      </c>
      <c r="M21" s="58">
        <v>2.3249</v>
      </c>
      <c r="N21" s="58">
        <v>2.6263000000000001</v>
      </c>
      <c r="O21" s="58">
        <v>2.403</v>
      </c>
      <c r="P21" s="58">
        <v>2.6225000000000001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>
        <f t="shared" si="1"/>
        <v>44408</v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/>
      </c>
      <c r="AR21" s="40" t="str">
        <f t="shared" si="3"/>
        <v>MAX</v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78" t="s">
        <v>200</v>
      </c>
      <c r="C22" s="7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79" t="s">
        <v>205</v>
      </c>
      <c r="C23" s="80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67"/>
      <c r="C24" s="81"/>
      <c r="E24" s="45" t="s">
        <v>131</v>
      </c>
      <c r="F24" s="142" t="s">
        <v>217</v>
      </c>
      <c r="G24" s="142" t="s">
        <v>218</v>
      </c>
      <c r="H24" s="143" t="s">
        <v>222</v>
      </c>
      <c r="I24" s="84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 t="s">
        <v>225</v>
      </c>
      <c r="Q24" s="58">
        <v>6.8521999999999998</v>
      </c>
      <c r="R24" s="58">
        <v>6.3236999999999997</v>
      </c>
      <c r="S24" s="58">
        <v>5.8326000000000002</v>
      </c>
      <c r="T24" s="58">
        <v>5.1280000000000001</v>
      </c>
      <c r="U24" s="58">
        <v>4.2653999999999996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 t="str">
        <f t="shared" si="5"/>
        <v/>
      </c>
      <c r="AE24" s="40">
        <f t="shared" si="5"/>
        <v>40786</v>
      </c>
      <c r="AF24" s="40">
        <f t="shared" si="5"/>
        <v>40816</v>
      </c>
      <c r="AG24" s="40">
        <f t="shared" si="5"/>
        <v>40847</v>
      </c>
      <c r="AH24" s="40">
        <f t="shared" si="5"/>
        <v>40877</v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/>
      </c>
      <c r="AS24" s="40" t="str">
        <f t="shared" si="7"/>
        <v>MIN</v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82" t="s">
        <v>210</v>
      </c>
      <c r="C25" s="75"/>
      <c r="E25" s="45" t="s">
        <v>131</v>
      </c>
      <c r="F25" s="142"/>
      <c r="G25" s="142"/>
      <c r="H25" s="143"/>
      <c r="I25" s="84">
        <v>2012</v>
      </c>
      <c r="J25" s="58">
        <v>3.2132999999999998</v>
      </c>
      <c r="K25" s="58">
        <v>3.1511</v>
      </c>
      <c r="L25" s="58">
        <v>2.4302000000000001</v>
      </c>
      <c r="M25" s="58">
        <v>1.8492</v>
      </c>
      <c r="N25" s="58">
        <v>0.97829999999999995</v>
      </c>
      <c r="O25" s="58">
        <v>-1.89E-2</v>
      </c>
      <c r="P25" s="58">
        <v>-0.59319999999999995</v>
      </c>
      <c r="Q25" s="58">
        <v>-0.1128</v>
      </c>
      <c r="R25" s="58">
        <v>0.1691</v>
      </c>
      <c r="S25" s="58">
        <v>-0.51729999999999998</v>
      </c>
      <c r="T25" s="58">
        <v>-0.88690000000000002</v>
      </c>
      <c r="U25" s="58">
        <v>-1.2254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82" t="s">
        <v>214</v>
      </c>
      <c r="C26" s="81"/>
      <c r="E26" s="45" t="s">
        <v>131</v>
      </c>
      <c r="F26" s="142"/>
      <c r="G26" s="142"/>
      <c r="H26" s="143"/>
      <c r="I26" s="84">
        <v>2013</v>
      </c>
      <c r="J26" s="58">
        <v>-1.5753999999999999</v>
      </c>
      <c r="K26" s="58">
        <v>-1.5740000000000001</v>
      </c>
      <c r="L26" s="58">
        <v>-2.4466999999999999</v>
      </c>
      <c r="M26" s="58">
        <v>-2.7976000000000001</v>
      </c>
      <c r="N26" s="58">
        <v>-2.5897000000000001</v>
      </c>
      <c r="O26" s="58">
        <v>-1.4144000000000001</v>
      </c>
      <c r="P26" s="58">
        <v>-0.99450000000000005</v>
      </c>
      <c r="Q26" s="58">
        <v>-1.3272999999999999</v>
      </c>
      <c r="R26" s="58">
        <v>-1.7822</v>
      </c>
      <c r="S26" s="58">
        <v>-1.3613</v>
      </c>
      <c r="T26" s="58">
        <v>-0.87580000000000002</v>
      </c>
      <c r="U26" s="58">
        <v>-0.40079999999999999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67"/>
      <c r="C27" s="81"/>
      <c r="E27" s="45" t="s">
        <v>131</v>
      </c>
      <c r="F27" s="142"/>
      <c r="G27" s="142"/>
      <c r="H27" s="143"/>
      <c r="I27" s="84">
        <v>2014</v>
      </c>
      <c r="J27" s="58">
        <v>-0.2954</v>
      </c>
      <c r="K27" s="58">
        <v>-0.85160000000000002</v>
      </c>
      <c r="L27" s="58">
        <v>-0.49399999999999999</v>
      </c>
      <c r="M27" s="58">
        <v>-0.33360000000000001</v>
      </c>
      <c r="N27" s="58">
        <v>-9.5999999999999992E-3</v>
      </c>
      <c r="O27" s="58">
        <v>5.74E-2</v>
      </c>
      <c r="P27" s="58">
        <v>0.15310000000000001</v>
      </c>
      <c r="Q27" s="58">
        <v>-0.22900000000000001</v>
      </c>
      <c r="R27" s="58">
        <v>-0.48709999999999998</v>
      </c>
      <c r="S27" s="58">
        <v>-0.83379999999999999</v>
      </c>
      <c r="T27" s="58">
        <v>-0.94110000000000005</v>
      </c>
      <c r="U27" s="58">
        <v>-2.1366000000000001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67"/>
      <c r="C28" s="81"/>
      <c r="E28" s="45" t="s">
        <v>131</v>
      </c>
      <c r="F28" s="142"/>
      <c r="G28" s="142"/>
      <c r="H28" s="143"/>
      <c r="I28" s="84">
        <v>2015</v>
      </c>
      <c r="J28" s="58">
        <v>-3.5929000000000002</v>
      </c>
      <c r="K28" s="58">
        <v>-3.6457000000000002</v>
      </c>
      <c r="L28" s="58">
        <v>-3.7235</v>
      </c>
      <c r="M28" s="58">
        <v>-3.6145</v>
      </c>
      <c r="N28" s="58">
        <v>-3.5291000000000001</v>
      </c>
      <c r="O28" s="58">
        <v>-3.6230000000000002</v>
      </c>
      <c r="P28" s="58">
        <v>-4.0500999999999996</v>
      </c>
      <c r="Q28" s="58">
        <v>-4.5419999999999998</v>
      </c>
      <c r="R28" s="58">
        <v>-4.6161000000000003</v>
      </c>
      <c r="S28" s="58">
        <v>-4.6003999999999996</v>
      </c>
      <c r="T28" s="58">
        <v>-4.6825000000000001</v>
      </c>
      <c r="U28" s="58">
        <v>-3.9651000000000001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67"/>
      <c r="C29" s="81"/>
      <c r="E29" s="45" t="s">
        <v>131</v>
      </c>
      <c r="F29" s="142"/>
      <c r="G29" s="142"/>
      <c r="H29" s="143"/>
      <c r="I29" s="84">
        <v>2016</v>
      </c>
      <c r="J29" s="58">
        <v>-3.3006000000000002</v>
      </c>
      <c r="K29" s="58">
        <v>-3.3677000000000001</v>
      </c>
      <c r="L29" s="58">
        <v>-3.3121999999999998</v>
      </c>
      <c r="M29" s="58">
        <v>-3.0356999999999998</v>
      </c>
      <c r="N29" s="58">
        <v>-2.984</v>
      </c>
      <c r="O29" s="58">
        <v>-2.7078000000000002</v>
      </c>
      <c r="P29" s="58">
        <v>-2.4588999999999999</v>
      </c>
      <c r="Q29" s="58">
        <v>-1.7629999999999999</v>
      </c>
      <c r="R29" s="58">
        <v>-1.0967</v>
      </c>
      <c r="S29" s="58">
        <v>-0.1216</v>
      </c>
      <c r="T29" s="58">
        <v>0.72209999999999996</v>
      </c>
      <c r="U29" s="58">
        <v>1.8452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67"/>
      <c r="C30" s="81"/>
      <c r="E30" s="45" t="s">
        <v>131</v>
      </c>
      <c r="F30" s="142"/>
      <c r="G30" s="142"/>
      <c r="H30" s="143"/>
      <c r="I30" s="84">
        <v>2017</v>
      </c>
      <c r="J30" s="58">
        <v>3.8847999999999998</v>
      </c>
      <c r="K30" s="58">
        <v>4.2845000000000004</v>
      </c>
      <c r="L30" s="58">
        <v>4.3076999999999996</v>
      </c>
      <c r="M30" s="58">
        <v>3.8264999999999998</v>
      </c>
      <c r="N30" s="58">
        <v>3.4232999999999998</v>
      </c>
      <c r="O30" s="58">
        <v>2.7730000000000001</v>
      </c>
      <c r="P30" s="58">
        <v>2.97</v>
      </c>
      <c r="Q30" s="58">
        <v>3.3445</v>
      </c>
      <c r="R30" s="58">
        <v>3.7945000000000002</v>
      </c>
      <c r="S30" s="58">
        <v>3.6008</v>
      </c>
      <c r="T30" s="58">
        <v>3.0394999999999999</v>
      </c>
      <c r="U30" s="58">
        <v>2.1922000000000001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67"/>
      <c r="C31" s="81"/>
      <c r="E31" s="45" t="s">
        <v>131</v>
      </c>
      <c r="F31" s="142"/>
      <c r="G31" s="142"/>
      <c r="H31" s="143"/>
      <c r="I31" s="84">
        <v>2018</v>
      </c>
      <c r="J31" s="58">
        <v>1.1544000000000001</v>
      </c>
      <c r="K31" s="58">
        <v>1.1893</v>
      </c>
      <c r="L31" s="58">
        <v>1.1898</v>
      </c>
      <c r="M31" s="58">
        <v>1.5371999999999999</v>
      </c>
      <c r="N31" s="58">
        <v>2.1044999999999998</v>
      </c>
      <c r="O31" s="58">
        <v>2.5394000000000001</v>
      </c>
      <c r="P31" s="58">
        <v>2.9339</v>
      </c>
      <c r="Q31" s="58">
        <v>2.9304000000000001</v>
      </c>
      <c r="R31" s="58">
        <v>2.5385</v>
      </c>
      <c r="S31" s="58">
        <v>2.0756000000000001</v>
      </c>
      <c r="T31" s="58">
        <v>1.4601999999999999</v>
      </c>
      <c r="U31" s="58">
        <v>0.92079999999999995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67"/>
      <c r="C32" s="81"/>
      <c r="E32" s="45" t="s">
        <v>131</v>
      </c>
      <c r="F32" s="142"/>
      <c r="G32" s="142"/>
      <c r="H32" s="143"/>
      <c r="I32" s="84">
        <v>2019</v>
      </c>
      <c r="J32" s="58">
        <v>0.39019999999999999</v>
      </c>
      <c r="K32" s="58">
        <v>6.8000000000000005E-2</v>
      </c>
      <c r="L32" s="58">
        <v>0.45669999999999999</v>
      </c>
      <c r="M32" s="58">
        <v>0.62109999999999999</v>
      </c>
      <c r="N32" s="58">
        <v>0.4355</v>
      </c>
      <c r="O32" s="58">
        <v>0.1258</v>
      </c>
      <c r="P32" s="58">
        <v>-0.33700000000000002</v>
      </c>
      <c r="Q32" s="58">
        <v>-0.55600000000000005</v>
      </c>
      <c r="R32" s="58">
        <v>-0.78380000000000005</v>
      </c>
      <c r="S32" s="58">
        <v>-0.6714</v>
      </c>
      <c r="T32" s="58">
        <v>-0.1159</v>
      </c>
      <c r="U32" s="58">
        <v>0.65029999999999999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67"/>
      <c r="C33" s="81"/>
      <c r="E33" s="45" t="s">
        <v>131</v>
      </c>
      <c r="F33" s="142"/>
      <c r="G33" s="142"/>
      <c r="H33" s="143"/>
      <c r="I33" s="84">
        <v>2020</v>
      </c>
      <c r="J33" s="58">
        <v>1.1271</v>
      </c>
      <c r="K33" s="58">
        <v>0.69889999999999997</v>
      </c>
      <c r="L33" s="58">
        <v>-0.54169999999999996</v>
      </c>
      <c r="M33" s="58">
        <v>-1.6879</v>
      </c>
      <c r="N33" s="58">
        <v>-1.7632000000000001</v>
      </c>
      <c r="O33" s="58">
        <v>-0.98550000000000004</v>
      </c>
      <c r="P33" s="58">
        <v>-0.76329999999999998</v>
      </c>
      <c r="Q33" s="58">
        <v>-0.50129999999999997</v>
      </c>
      <c r="R33" s="58">
        <v>-0.36609999999999998</v>
      </c>
      <c r="S33" s="58">
        <v>-0.53110000000000002</v>
      </c>
      <c r="T33" s="58">
        <v>-0.30940000000000001</v>
      </c>
      <c r="U33" s="58">
        <v>0.19289999999999999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67"/>
      <c r="C34" s="81"/>
      <c r="E34" s="45" t="s">
        <v>131</v>
      </c>
      <c r="F34" s="142"/>
      <c r="G34" s="142"/>
      <c r="H34" s="143"/>
      <c r="I34" s="50">
        <v>2021</v>
      </c>
      <c r="J34" s="58">
        <v>0.93200000000000005</v>
      </c>
      <c r="K34" s="58">
        <v>2.0918000000000001</v>
      </c>
      <c r="L34" s="58">
        <v>4.1043000000000003</v>
      </c>
      <c r="M34" s="58">
        <v>6.0138999999999996</v>
      </c>
      <c r="N34" s="58">
        <v>6.5613999999999999</v>
      </c>
      <c r="O34" s="58">
        <v>6.5769000000000002</v>
      </c>
      <c r="P34" s="58">
        <v>7.3703000000000003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>
        <f t="shared" si="5"/>
        <v>44408</v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/>
      </c>
      <c r="AR34" s="40" t="str">
        <f t="shared" si="7"/>
        <v>MAX</v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67"/>
      <c r="C35" s="81"/>
      <c r="F35" s="44" t="b">
        <f>COUNT(J37:U47)=120</f>
        <v>1</v>
      </c>
      <c r="G35" s="45"/>
      <c r="H35" s="45"/>
      <c r="I35" s="45"/>
      <c r="J35" s="8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67"/>
      <c r="C36" s="81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67"/>
      <c r="C37" s="81"/>
      <c r="E37" s="45" t="s">
        <v>136</v>
      </c>
      <c r="F37" s="142" t="s">
        <v>220</v>
      </c>
      <c r="G37" s="142" t="s">
        <v>221</v>
      </c>
      <c r="H37" s="143" t="s">
        <v>222</v>
      </c>
      <c r="I37" s="84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 t="s">
        <v>225</v>
      </c>
      <c r="Q37" s="58">
        <v>0.70850000000000002</v>
      </c>
      <c r="R37" s="58">
        <v>0.66639999999999999</v>
      </c>
      <c r="S37" s="58">
        <v>0.75990000000000002</v>
      </c>
      <c r="T37" s="58">
        <v>0.90559999999999996</v>
      </c>
      <c r="U37" s="58">
        <v>0.8841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 t="str">
        <f t="shared" si="9"/>
        <v/>
      </c>
      <c r="AE37" s="40">
        <f t="shared" si="9"/>
        <v>40786</v>
      </c>
      <c r="AF37" s="40">
        <f t="shared" si="9"/>
        <v>40816</v>
      </c>
      <c r="AG37" s="40">
        <f t="shared" si="9"/>
        <v>40847</v>
      </c>
      <c r="AH37" s="40">
        <f t="shared" si="9"/>
        <v>40877</v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/>
      </c>
      <c r="AS37" s="40" t="str">
        <f t="shared" si="11"/>
        <v>MIN</v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67"/>
      <c r="C38" s="81"/>
      <c r="E38" s="45" t="s">
        <v>136</v>
      </c>
      <c r="F38" s="142"/>
      <c r="G38" s="142"/>
      <c r="H38" s="143"/>
      <c r="I38" s="84">
        <v>2012</v>
      </c>
      <c r="J38" s="58">
        <v>1.0062</v>
      </c>
      <c r="K38" s="58">
        <v>1.0164</v>
      </c>
      <c r="L38" s="58">
        <v>1.0163</v>
      </c>
      <c r="M38" s="58">
        <v>1.026</v>
      </c>
      <c r="N38" s="58">
        <v>0.97360000000000002</v>
      </c>
      <c r="O38" s="58">
        <v>1.0455000000000001</v>
      </c>
      <c r="P38" s="58">
        <v>1.0660000000000001</v>
      </c>
      <c r="Q38" s="58">
        <v>1.0346</v>
      </c>
      <c r="R38" s="58">
        <v>1.1067</v>
      </c>
      <c r="S38" s="58">
        <v>1.0435000000000001</v>
      </c>
      <c r="T38" s="58">
        <v>0.98</v>
      </c>
      <c r="U38" s="58">
        <v>1.0206999999999999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67"/>
      <c r="C39" s="81"/>
      <c r="E39" s="45" t="s">
        <v>136</v>
      </c>
      <c r="F39" s="142"/>
      <c r="G39" s="142"/>
      <c r="H39" s="143"/>
      <c r="I39" s="84">
        <v>2013</v>
      </c>
      <c r="J39" s="58">
        <v>0.74970000000000003</v>
      </c>
      <c r="K39" s="58">
        <v>0.85219999999999996</v>
      </c>
      <c r="L39" s="58">
        <v>0.91369999999999996</v>
      </c>
      <c r="M39" s="58">
        <v>0.6976</v>
      </c>
      <c r="N39" s="58">
        <v>0.7591</v>
      </c>
      <c r="O39" s="58">
        <v>0.7581</v>
      </c>
      <c r="P39" s="58">
        <v>0.91139999999999999</v>
      </c>
      <c r="Q39" s="58">
        <v>1.0649</v>
      </c>
      <c r="R39" s="58">
        <v>1.1355</v>
      </c>
      <c r="S39" s="58">
        <v>1.0736000000000001</v>
      </c>
      <c r="T39" s="58">
        <v>1.0522</v>
      </c>
      <c r="U39" s="58">
        <v>0.96960000000000002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67"/>
      <c r="C40" s="81"/>
      <c r="E40" s="45" t="s">
        <v>136</v>
      </c>
      <c r="F40" s="142"/>
      <c r="G40" s="142"/>
      <c r="H40" s="143"/>
      <c r="I40" s="84">
        <v>2014</v>
      </c>
      <c r="J40" s="58">
        <v>1.0092000000000001</v>
      </c>
      <c r="K40" s="58">
        <v>0.89590000000000003</v>
      </c>
      <c r="L40" s="58">
        <v>0.81379999999999997</v>
      </c>
      <c r="M40" s="58">
        <v>0.97799999999999998</v>
      </c>
      <c r="N40" s="58">
        <v>0.99770000000000003</v>
      </c>
      <c r="O40" s="58">
        <v>0.86429999999999996</v>
      </c>
      <c r="P40" s="58">
        <v>0.85240000000000005</v>
      </c>
      <c r="Q40" s="58">
        <v>0.69910000000000005</v>
      </c>
      <c r="R40" s="58">
        <v>0.5766</v>
      </c>
      <c r="S40" s="58">
        <v>0.62719999999999998</v>
      </c>
      <c r="T40" s="58">
        <v>0.71779999999999999</v>
      </c>
      <c r="U40" s="58">
        <v>0.69750000000000001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67"/>
      <c r="C41" s="81"/>
      <c r="E41" s="45" t="s">
        <v>136</v>
      </c>
      <c r="F41" s="142"/>
      <c r="G41" s="142"/>
      <c r="H41" s="143"/>
      <c r="I41" s="84">
        <v>2015</v>
      </c>
      <c r="J41" s="58">
        <v>0.8679</v>
      </c>
      <c r="K41" s="58">
        <v>0.93840000000000001</v>
      </c>
      <c r="L41" s="58">
        <v>0.9788</v>
      </c>
      <c r="M41" s="58">
        <v>1.0088999999999999</v>
      </c>
      <c r="N41" s="58">
        <v>0.92730000000000001</v>
      </c>
      <c r="O41" s="58">
        <v>0.998</v>
      </c>
      <c r="P41" s="58">
        <v>0.82509999999999994</v>
      </c>
      <c r="Q41" s="58">
        <v>0.37230000000000002</v>
      </c>
      <c r="R41" s="58">
        <v>0.37209999999999999</v>
      </c>
      <c r="S41" s="58">
        <v>0.41220000000000001</v>
      </c>
      <c r="T41" s="58">
        <v>0.29110000000000003</v>
      </c>
      <c r="U41" s="58">
        <v>0.33129999999999998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67"/>
      <c r="C42" s="81"/>
      <c r="E42" s="45" t="s">
        <v>136</v>
      </c>
      <c r="F42" s="142"/>
      <c r="G42" s="142"/>
      <c r="H42" s="143"/>
      <c r="I42" s="84">
        <v>2016</v>
      </c>
      <c r="J42" s="58">
        <v>0.32019999999999998</v>
      </c>
      <c r="K42" s="58">
        <v>0.2999</v>
      </c>
      <c r="L42" s="58">
        <v>0.26979999999999998</v>
      </c>
      <c r="M42" s="58">
        <v>0.2697</v>
      </c>
      <c r="N42" s="58">
        <v>0.47939999999999999</v>
      </c>
      <c r="O42" s="58">
        <v>0.57889999999999997</v>
      </c>
      <c r="P42" s="58">
        <v>0.60880000000000001</v>
      </c>
      <c r="Q42" s="58">
        <v>1.2129000000000001</v>
      </c>
      <c r="R42" s="58">
        <v>1.2223999999999999</v>
      </c>
      <c r="S42" s="58">
        <v>1.1012999999999999</v>
      </c>
      <c r="T42" s="58">
        <v>1.0709</v>
      </c>
      <c r="U42" s="58">
        <v>0.99050000000000005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67"/>
      <c r="C43" s="81"/>
      <c r="E43" s="45" t="s">
        <v>136</v>
      </c>
      <c r="F43" s="142"/>
      <c r="G43" s="142"/>
      <c r="H43" s="143"/>
      <c r="I43" s="84">
        <v>2017</v>
      </c>
      <c r="J43" s="58">
        <v>0.85770000000000002</v>
      </c>
      <c r="K43" s="58">
        <v>0.82720000000000005</v>
      </c>
      <c r="L43" s="58">
        <v>0.877</v>
      </c>
      <c r="M43" s="58">
        <v>0.86660000000000004</v>
      </c>
      <c r="N43" s="58">
        <v>0.74550000000000005</v>
      </c>
      <c r="O43" s="58">
        <v>0.53590000000000004</v>
      </c>
      <c r="P43" s="58">
        <v>0.67449999999999999</v>
      </c>
      <c r="Q43" s="58">
        <v>0.49519999999999997</v>
      </c>
      <c r="R43" s="58">
        <v>0.31680000000000003</v>
      </c>
      <c r="S43" s="58">
        <v>0.35649999999999998</v>
      </c>
      <c r="T43" s="58">
        <v>0.34660000000000002</v>
      </c>
      <c r="U43" s="58">
        <v>0.42599999999999999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67"/>
      <c r="C44" s="81"/>
      <c r="E44" s="45" t="s">
        <v>136</v>
      </c>
      <c r="F44" s="142"/>
      <c r="G44" s="142"/>
      <c r="H44" s="143"/>
      <c r="I44" s="84">
        <v>2018</v>
      </c>
      <c r="J44" s="58">
        <v>0.29659999999999997</v>
      </c>
      <c r="K44" s="58">
        <v>0.26690000000000003</v>
      </c>
      <c r="L44" s="58">
        <v>0.247</v>
      </c>
      <c r="M44" s="58">
        <v>0.27650000000000002</v>
      </c>
      <c r="N44" s="58">
        <v>0.28610000000000002</v>
      </c>
      <c r="O44" s="58">
        <v>0.52310000000000001</v>
      </c>
      <c r="P44" s="58">
        <v>0.50249999999999995</v>
      </c>
      <c r="Q44" s="58">
        <v>0.749</v>
      </c>
      <c r="R44" s="58">
        <v>1.0361</v>
      </c>
      <c r="S44" s="58">
        <v>1.0361</v>
      </c>
      <c r="T44" s="58">
        <v>1.0952999999999999</v>
      </c>
      <c r="U44" s="58">
        <v>1.1345000000000001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67"/>
      <c r="C45" s="81"/>
      <c r="E45" s="45" t="s">
        <v>136</v>
      </c>
      <c r="F45" s="142"/>
      <c r="G45" s="142"/>
      <c r="H45" s="143"/>
      <c r="I45" s="84">
        <v>2019</v>
      </c>
      <c r="J45" s="58">
        <v>1.1535</v>
      </c>
      <c r="K45" s="58">
        <v>1.252</v>
      </c>
      <c r="L45" s="58">
        <v>1.2811999999999999</v>
      </c>
      <c r="M45" s="58">
        <v>1.2408999999999999</v>
      </c>
      <c r="N45" s="58">
        <v>1.1805000000000001</v>
      </c>
      <c r="O45" s="58">
        <v>0.99180000000000001</v>
      </c>
      <c r="P45" s="58">
        <v>1</v>
      </c>
      <c r="Q45" s="58">
        <v>0.84119999999999995</v>
      </c>
      <c r="R45" s="58">
        <v>0.83020000000000005</v>
      </c>
      <c r="S45" s="58">
        <v>0.86919999999999997</v>
      </c>
      <c r="T45" s="58">
        <v>0.8004</v>
      </c>
      <c r="U45" s="58">
        <v>0.76080000000000003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67"/>
      <c r="C46" s="81"/>
      <c r="E46" s="45" t="s">
        <v>136</v>
      </c>
      <c r="F46" s="142"/>
      <c r="G46" s="142"/>
      <c r="H46" s="143"/>
      <c r="I46" s="84">
        <v>2020</v>
      </c>
      <c r="J46" s="58">
        <v>1.2085999999999999</v>
      </c>
      <c r="K46" s="58">
        <v>1.1196999999999999</v>
      </c>
      <c r="L46" s="58">
        <v>1.0606</v>
      </c>
      <c r="M46" s="58">
        <v>1.0117</v>
      </c>
      <c r="N46" s="58">
        <v>0.95279999999999998</v>
      </c>
      <c r="O46" s="58">
        <v>0.95279999999999998</v>
      </c>
      <c r="P46" s="58">
        <v>0.87360000000000004</v>
      </c>
      <c r="Q46" s="58">
        <v>0.85360000000000003</v>
      </c>
      <c r="R46" s="58">
        <v>0.69740000000000002</v>
      </c>
      <c r="S46" s="58">
        <v>0.64870000000000005</v>
      </c>
      <c r="T46" s="58">
        <v>0.62939999999999996</v>
      </c>
      <c r="U46" s="58">
        <v>0.5615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67"/>
      <c r="C47" s="81"/>
      <c r="E47" s="45" t="s">
        <v>136</v>
      </c>
      <c r="F47" s="142"/>
      <c r="G47" s="142"/>
      <c r="H47" s="143"/>
      <c r="I47" s="50">
        <v>2021</v>
      </c>
      <c r="J47" s="58">
        <v>-0.183</v>
      </c>
      <c r="K47" s="58">
        <v>-0.20219999999999999</v>
      </c>
      <c r="L47" s="58">
        <v>-0.18290000000000001</v>
      </c>
      <c r="M47" s="58">
        <v>-0.35630000000000001</v>
      </c>
      <c r="N47" s="58">
        <v>-0.32750000000000001</v>
      </c>
      <c r="O47" s="58">
        <v>-0.2697</v>
      </c>
      <c r="P47" s="58">
        <v>-0.34639999999999999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>
        <f t="shared" si="9"/>
        <v>44408</v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/>
      </c>
      <c r="AR47" s="40" t="str">
        <f t="shared" si="11"/>
        <v>MAX</v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67"/>
      <c r="C48" s="81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67"/>
      <c r="C49" s="8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67"/>
      <c r="C50" s="81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67"/>
      <c r="C51" s="81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67"/>
      <c r="C52" s="81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67"/>
      <c r="C53" s="81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67"/>
      <c r="C54" s="81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67"/>
      <c r="C55" s="81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67"/>
      <c r="C56" s="81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67"/>
      <c r="C57" s="81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67"/>
      <c r="C58" s="81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67"/>
      <c r="C59" s="81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67"/>
      <c r="C60" s="81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67"/>
      <c r="C61" s="81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67"/>
      <c r="C62" s="81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67"/>
      <c r="C63" s="81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67"/>
      <c r="C64" s="81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67"/>
      <c r="C65" s="81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67"/>
      <c r="C66" s="81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67"/>
      <c r="C67" s="81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67"/>
      <c r="C68" s="81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67"/>
      <c r="C69" s="81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61"/>
      <c r="C70" s="83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41" priority="7" operator="equal">
      <formula>FALSE</formula>
    </cfRule>
    <cfRule type="cellIs" dxfId="40" priority="8" operator="equal">
      <formula>TRUE</formula>
    </cfRule>
  </conditionalFormatting>
  <conditionalFormatting sqref="F22">
    <cfRule type="cellIs" dxfId="39" priority="5" operator="equal">
      <formula>FALSE</formula>
    </cfRule>
    <cfRule type="cellIs" dxfId="38" priority="6" operator="equal">
      <formula>TRUE</formula>
    </cfRule>
  </conditionalFormatting>
  <conditionalFormatting sqref="F35">
    <cfRule type="cellIs" dxfId="37" priority="3" operator="equal">
      <formula>FALSE</formula>
    </cfRule>
    <cfRule type="cellIs" dxfId="36" priority="4" operator="equal">
      <formula>TRUE</formula>
    </cfRule>
  </conditionalFormatting>
  <conditionalFormatting sqref="J11:U21 J24:U34 J37:U47">
    <cfRule type="expression" dxfId="35" priority="1">
      <formula>AL11="MAX"</formula>
    </cfRule>
    <cfRule type="expression" dxfId="34" priority="2">
      <formula>AL11="MIN"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73"/>
  <sheetViews>
    <sheetView showGridLines="0" zoomScaleNormal="100" workbookViewId="0">
      <selection activeCell="B28" sqref="B28:C32"/>
    </sheetView>
  </sheetViews>
  <sheetFormatPr defaultColWidth="0" defaultRowHeight="12" customHeight="1" zeroHeight="1"/>
  <cols>
    <col min="1" max="1" width="0.625" style="51" customWidth="1"/>
    <col min="2" max="2" width="13.875" style="23" bestFit="1" customWidth="1"/>
    <col min="3" max="3" width="12" style="23" customWidth="1"/>
    <col min="4" max="5" width="1.875" style="51" customWidth="1"/>
    <col min="6" max="6" width="11.875" style="52" customWidth="1"/>
    <col min="7" max="7" width="11.125" style="52" bestFit="1" customWidth="1"/>
    <col min="8" max="21" width="9" style="52" customWidth="1"/>
    <col min="22" max="22" width="1.75" style="7" customWidth="1"/>
    <col min="23" max="35" width="0" style="23" hidden="1" customWidth="1"/>
    <col min="36" max="36" width="1.75" style="7" hidden="1" customWidth="1"/>
    <col min="37" max="49" width="0" style="23" hidden="1" customWidth="1"/>
    <col min="50" max="51" width="9" style="23" hidden="1" customWidth="1"/>
    <col min="52" max="16384" width="9" style="52" hidden="1"/>
  </cols>
  <sheetData>
    <row r="1" spans="1:51" s="7" customFormat="1" ht="4.5" customHeight="1"/>
    <row r="2" spans="1:51" s="23" customFormat="1" ht="4.5" customHeight="1" thickBot="1">
      <c r="A2" s="7"/>
      <c r="B2" s="8"/>
      <c r="C2" s="8"/>
      <c r="D2" s="7"/>
      <c r="E2" s="7"/>
      <c r="L2" s="31"/>
      <c r="V2" s="7"/>
      <c r="AJ2" s="7"/>
    </row>
    <row r="3" spans="1:51" s="23" customFormat="1" ht="12" customHeight="1">
      <c r="A3" s="7"/>
      <c r="B3" s="9" t="s">
        <v>0</v>
      </c>
      <c r="C3" s="10">
        <v>44408</v>
      </c>
      <c r="D3" s="7"/>
      <c r="E3" s="7"/>
      <c r="F3" s="23" t="s">
        <v>195</v>
      </c>
      <c r="L3" s="32" t="s">
        <v>198</v>
      </c>
      <c r="V3" s="7"/>
      <c r="AJ3" s="7"/>
    </row>
    <row r="4" spans="1:51" s="23" customFormat="1" ht="12" customHeight="1" thickBot="1">
      <c r="A4" s="7"/>
      <c r="B4" s="11" t="s">
        <v>211</v>
      </c>
      <c r="C4" s="12">
        <v>44377</v>
      </c>
      <c r="D4" s="7"/>
      <c r="E4" s="7"/>
      <c r="F4" s="23" t="s">
        <v>199</v>
      </c>
      <c r="L4" s="31" t="s">
        <v>206</v>
      </c>
      <c r="V4" s="7"/>
      <c r="AJ4" s="7"/>
    </row>
    <row r="5" spans="1:51" s="23" customFormat="1" ht="12" customHeight="1">
      <c r="A5" s="7"/>
      <c r="B5" s="9" t="s">
        <v>215</v>
      </c>
      <c r="C5" s="13">
        <v>120</v>
      </c>
      <c r="D5" s="7"/>
      <c r="E5" s="7"/>
      <c r="L5" s="33" t="s">
        <v>207</v>
      </c>
      <c r="V5" s="7"/>
      <c r="AJ5" s="7"/>
      <c r="AY5" s="34"/>
    </row>
    <row r="6" spans="1:51" s="23" customFormat="1" ht="12" customHeight="1" thickBot="1">
      <c r="A6" s="7"/>
      <c r="B6" s="11" t="s">
        <v>8</v>
      </c>
      <c r="C6" s="12">
        <v>40755</v>
      </c>
      <c r="D6" s="7"/>
      <c r="E6" s="7"/>
      <c r="F6" s="35" t="s">
        <v>216</v>
      </c>
      <c r="G6" s="36">
        <v>1</v>
      </c>
      <c r="L6" s="31" t="s">
        <v>208</v>
      </c>
      <c r="V6" s="7"/>
      <c r="AJ6" s="7"/>
    </row>
    <row r="7" spans="1:51" s="23" customFormat="1" ht="12" customHeight="1" thickBot="1">
      <c r="A7" s="7"/>
      <c r="B7" s="14"/>
      <c r="C7" s="15"/>
      <c r="D7" s="7"/>
      <c r="E7" s="7"/>
      <c r="L7" s="31"/>
      <c r="V7" s="7"/>
      <c r="AJ7" s="7"/>
    </row>
    <row r="8" spans="1:51" s="23" customFormat="1" ht="12" customHeight="1">
      <c r="A8" s="7"/>
      <c r="B8" s="9" t="s">
        <v>229</v>
      </c>
      <c r="C8" s="16">
        <v>1.38E-2</v>
      </c>
      <c r="D8" s="7"/>
      <c r="E8" s="7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7"/>
      <c r="AJ8" s="7"/>
    </row>
    <row r="9" spans="1:51" ht="12" customHeight="1">
      <c r="B9" s="17" t="s">
        <v>230</v>
      </c>
      <c r="C9" s="18">
        <v>2.8E-3</v>
      </c>
      <c r="F9" s="44" t="b">
        <f>COUNT(J11:U21)=120</f>
        <v>1</v>
      </c>
      <c r="G9" s="43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51" ht="12" customHeight="1" thickBot="1">
      <c r="B10" s="11" t="s">
        <v>3</v>
      </c>
      <c r="C10" s="19">
        <v>7.6E-3</v>
      </c>
      <c r="F10" s="46" t="s">
        <v>4</v>
      </c>
      <c r="G10" s="46" t="s">
        <v>5</v>
      </c>
      <c r="H10" s="46" t="s">
        <v>6</v>
      </c>
      <c r="I10" s="47" t="s">
        <v>7</v>
      </c>
      <c r="J10" s="48">
        <v>1</v>
      </c>
      <c r="K10" s="48">
        <v>2</v>
      </c>
      <c r="L10" s="48">
        <v>3</v>
      </c>
      <c r="M10" s="48">
        <v>4</v>
      </c>
      <c r="N10" s="48">
        <v>5</v>
      </c>
      <c r="O10" s="48">
        <v>6</v>
      </c>
      <c r="P10" s="48">
        <v>7</v>
      </c>
      <c r="Q10" s="48">
        <v>8</v>
      </c>
      <c r="R10" s="48">
        <v>9</v>
      </c>
      <c r="S10" s="48">
        <v>10</v>
      </c>
      <c r="T10" s="48">
        <v>11</v>
      </c>
      <c r="U10" s="48">
        <v>12</v>
      </c>
      <c r="W10" s="37" t="s">
        <v>7</v>
      </c>
      <c r="X10" s="38">
        <v>1</v>
      </c>
      <c r="Y10" s="38">
        <v>2</v>
      </c>
      <c r="Z10" s="38">
        <v>3</v>
      </c>
      <c r="AA10" s="38">
        <v>4</v>
      </c>
      <c r="AB10" s="38">
        <v>5</v>
      </c>
      <c r="AC10" s="38">
        <v>6</v>
      </c>
      <c r="AD10" s="38">
        <v>7</v>
      </c>
      <c r="AE10" s="38">
        <v>8</v>
      </c>
      <c r="AF10" s="38">
        <v>9</v>
      </c>
      <c r="AG10" s="38">
        <v>10</v>
      </c>
      <c r="AH10" s="38">
        <v>11</v>
      </c>
      <c r="AI10" s="38">
        <v>12</v>
      </c>
      <c r="AK10" s="37" t="s">
        <v>7</v>
      </c>
      <c r="AL10" s="38">
        <v>1</v>
      </c>
      <c r="AM10" s="38">
        <v>2</v>
      </c>
      <c r="AN10" s="38">
        <v>3</v>
      </c>
      <c r="AO10" s="38">
        <v>4</v>
      </c>
      <c r="AP10" s="38">
        <v>5</v>
      </c>
      <c r="AQ10" s="38">
        <v>6</v>
      </c>
      <c r="AR10" s="38">
        <v>7</v>
      </c>
      <c r="AS10" s="38">
        <v>8</v>
      </c>
      <c r="AT10" s="38">
        <v>9</v>
      </c>
      <c r="AU10" s="38">
        <v>10</v>
      </c>
      <c r="AV10" s="38">
        <v>11</v>
      </c>
      <c r="AW10" s="38">
        <v>12</v>
      </c>
    </row>
    <row r="11" spans="1:51" ht="12" customHeight="1">
      <c r="B11" s="20"/>
      <c r="C11" s="21"/>
      <c r="E11" s="45" t="s">
        <v>135</v>
      </c>
      <c r="F11" s="144" t="s">
        <v>223</v>
      </c>
      <c r="G11" s="144" t="s">
        <v>219</v>
      </c>
      <c r="H11" s="143" t="s">
        <v>222</v>
      </c>
      <c r="I11" s="84">
        <v>2011</v>
      </c>
      <c r="J11" s="58" t="s">
        <v>225</v>
      </c>
      <c r="K11" s="58" t="s">
        <v>225</v>
      </c>
      <c r="L11" s="58" t="s">
        <v>225</v>
      </c>
      <c r="M11" s="58" t="s">
        <v>225</v>
      </c>
      <c r="N11" s="58" t="s">
        <v>225</v>
      </c>
      <c r="O11" s="58" t="s">
        <v>225</v>
      </c>
      <c r="P11" s="58">
        <v>4.5</v>
      </c>
      <c r="Q11" s="58">
        <v>4.7</v>
      </c>
      <c r="R11" s="58">
        <v>3.8</v>
      </c>
      <c r="S11" s="58">
        <v>3.6</v>
      </c>
      <c r="T11" s="58">
        <v>4.2</v>
      </c>
      <c r="U11" s="58">
        <v>4.2</v>
      </c>
      <c r="W11" s="39">
        <f t="shared" ref="W11:W19" si="0">W12-1</f>
        <v>2011</v>
      </c>
      <c r="X11" s="40" t="str">
        <f t="shared" ref="X11:AI21" si="1">IF(AND(EOMONTH(DATEVALUE($W11&amp;"-"&amp;X$10&amp;"-"&amp;1),0)&gt;=$C$6,EOMONTH(DATEVALUE($W11&amp;"-"&amp;X$10&amp;"-"&amp;1),0)&lt;=$C$4)=FALSE,"",EOMONTH(DATEVALUE($W11&amp;"-"&amp;X$10&amp;"-"&amp;1),0))</f>
        <v/>
      </c>
      <c r="Y11" s="40" t="str">
        <f t="shared" si="1"/>
        <v/>
      </c>
      <c r="Z11" s="40" t="str">
        <f t="shared" si="1"/>
        <v/>
      </c>
      <c r="AA11" s="40" t="str">
        <f t="shared" si="1"/>
        <v/>
      </c>
      <c r="AB11" s="40" t="str">
        <f t="shared" si="1"/>
        <v/>
      </c>
      <c r="AC11" s="40" t="str">
        <f t="shared" si="1"/>
        <v/>
      </c>
      <c r="AD11" s="40">
        <f t="shared" si="1"/>
        <v>40755</v>
      </c>
      <c r="AE11" s="40">
        <f t="shared" si="1"/>
        <v>40786</v>
      </c>
      <c r="AF11" s="40">
        <f t="shared" si="1"/>
        <v>40816</v>
      </c>
      <c r="AG11" s="40">
        <f t="shared" si="1"/>
        <v>40847</v>
      </c>
      <c r="AH11" s="40">
        <f t="shared" si="1"/>
        <v>40877</v>
      </c>
      <c r="AI11" s="40">
        <f t="shared" si="1"/>
        <v>40908</v>
      </c>
      <c r="AK11" s="39">
        <f t="shared" ref="AK11:AK19" si="2">AK12-1</f>
        <v>2011</v>
      </c>
      <c r="AL11" s="40" t="str">
        <f t="shared" ref="AL11:AW21" si="3">IF(X11=MIN($X$11:$AI$21)=TRUE,"MIN",IF(X11=MAX($X$11:$AI$21)=TRUE,"MAX",""))</f>
        <v/>
      </c>
      <c r="AM11" s="40" t="str">
        <f t="shared" si="3"/>
        <v/>
      </c>
      <c r="AN11" s="40" t="str">
        <f t="shared" si="3"/>
        <v/>
      </c>
      <c r="AO11" s="40" t="str">
        <f t="shared" si="3"/>
        <v/>
      </c>
      <c r="AP11" s="40" t="str">
        <f t="shared" si="3"/>
        <v/>
      </c>
      <c r="AQ11" s="40" t="str">
        <f t="shared" si="3"/>
        <v/>
      </c>
      <c r="AR11" s="40" t="str">
        <f t="shared" si="3"/>
        <v>MIN</v>
      </c>
      <c r="AS11" s="40" t="str">
        <f t="shared" si="3"/>
        <v/>
      </c>
      <c r="AT11" s="40" t="str">
        <f t="shared" si="3"/>
        <v/>
      </c>
      <c r="AU11" s="40" t="str">
        <f t="shared" si="3"/>
        <v/>
      </c>
      <c r="AV11" s="40" t="str">
        <f t="shared" si="3"/>
        <v/>
      </c>
      <c r="AW11" s="40" t="str">
        <f t="shared" si="3"/>
        <v/>
      </c>
    </row>
    <row r="12" spans="1:51" ht="12" customHeight="1">
      <c r="B12" s="20"/>
      <c r="C12" s="21"/>
      <c r="E12" s="45" t="s">
        <v>135</v>
      </c>
      <c r="F12" s="144"/>
      <c r="G12" s="144"/>
      <c r="H12" s="143"/>
      <c r="I12" s="84">
        <v>2012</v>
      </c>
      <c r="J12" s="58">
        <v>3.3</v>
      </c>
      <c r="K12" s="58">
        <v>3</v>
      </c>
      <c r="L12" s="58">
        <v>2.7</v>
      </c>
      <c r="M12" s="58">
        <v>2.6</v>
      </c>
      <c r="N12" s="58">
        <v>2.5</v>
      </c>
      <c r="O12" s="58">
        <v>2.2000000000000002</v>
      </c>
      <c r="P12" s="58">
        <v>1.5</v>
      </c>
      <c r="Q12" s="58">
        <v>1.3</v>
      </c>
      <c r="R12" s="58">
        <v>2.1</v>
      </c>
      <c r="S12" s="58">
        <v>2.1</v>
      </c>
      <c r="T12" s="58">
        <v>1.6</v>
      </c>
      <c r="U12" s="58">
        <v>1.4</v>
      </c>
      <c r="W12" s="39">
        <f t="shared" si="0"/>
        <v>2012</v>
      </c>
      <c r="X12" s="40">
        <f t="shared" si="1"/>
        <v>40939</v>
      </c>
      <c r="Y12" s="40">
        <f t="shared" si="1"/>
        <v>40968</v>
      </c>
      <c r="Z12" s="40">
        <f t="shared" si="1"/>
        <v>40999</v>
      </c>
      <c r="AA12" s="40">
        <f t="shared" si="1"/>
        <v>41029</v>
      </c>
      <c r="AB12" s="40">
        <f t="shared" si="1"/>
        <v>41060</v>
      </c>
      <c r="AC12" s="40">
        <f t="shared" si="1"/>
        <v>41090</v>
      </c>
      <c r="AD12" s="40">
        <f t="shared" si="1"/>
        <v>41121</v>
      </c>
      <c r="AE12" s="40">
        <f t="shared" si="1"/>
        <v>41152</v>
      </c>
      <c r="AF12" s="40">
        <f t="shared" si="1"/>
        <v>41182</v>
      </c>
      <c r="AG12" s="40">
        <f t="shared" si="1"/>
        <v>41213</v>
      </c>
      <c r="AH12" s="40">
        <f t="shared" si="1"/>
        <v>41243</v>
      </c>
      <c r="AI12" s="40">
        <f t="shared" si="1"/>
        <v>41274</v>
      </c>
      <c r="AK12" s="39">
        <f t="shared" si="2"/>
        <v>2012</v>
      </c>
      <c r="AL12" s="40" t="str">
        <f t="shared" si="3"/>
        <v/>
      </c>
      <c r="AM12" s="40" t="str">
        <f t="shared" si="3"/>
        <v/>
      </c>
      <c r="AN12" s="40" t="str">
        <f t="shared" si="3"/>
        <v/>
      </c>
      <c r="AO12" s="40" t="str">
        <f t="shared" si="3"/>
        <v/>
      </c>
      <c r="AP12" s="40" t="str">
        <f t="shared" si="3"/>
        <v/>
      </c>
      <c r="AQ12" s="40" t="str">
        <f t="shared" si="3"/>
        <v/>
      </c>
      <c r="AR12" s="40" t="str">
        <f t="shared" si="3"/>
        <v/>
      </c>
      <c r="AS12" s="40" t="str">
        <f t="shared" si="3"/>
        <v/>
      </c>
      <c r="AT12" s="40" t="str">
        <f t="shared" si="3"/>
        <v/>
      </c>
      <c r="AU12" s="40" t="str">
        <f t="shared" si="3"/>
        <v/>
      </c>
      <c r="AV12" s="40" t="str">
        <f t="shared" si="3"/>
        <v/>
      </c>
      <c r="AW12" s="40" t="str">
        <f t="shared" si="3"/>
        <v/>
      </c>
    </row>
    <row r="13" spans="1:51" ht="12" customHeight="1">
      <c r="B13" s="14"/>
      <c r="C13" s="15"/>
      <c r="E13" s="45" t="s">
        <v>135</v>
      </c>
      <c r="F13" s="144"/>
      <c r="G13" s="144"/>
      <c r="H13" s="143"/>
      <c r="I13" s="84">
        <v>2013</v>
      </c>
      <c r="J13" s="58">
        <v>1.6</v>
      </c>
      <c r="K13" s="58">
        <v>1.6</v>
      </c>
      <c r="L13" s="58">
        <v>1.5</v>
      </c>
      <c r="M13" s="58">
        <v>1.3</v>
      </c>
      <c r="N13" s="58">
        <v>1.1000000000000001</v>
      </c>
      <c r="O13" s="58">
        <v>1.2</v>
      </c>
      <c r="P13" s="58">
        <v>1.6</v>
      </c>
      <c r="Q13" s="58">
        <v>1.5</v>
      </c>
      <c r="R13" s="58">
        <v>1</v>
      </c>
      <c r="S13" s="58">
        <v>0.9</v>
      </c>
      <c r="T13" s="58">
        <v>1.2</v>
      </c>
      <c r="U13" s="58">
        <v>1.1000000000000001</v>
      </c>
      <c r="W13" s="39">
        <f t="shared" si="0"/>
        <v>2013</v>
      </c>
      <c r="X13" s="40">
        <f t="shared" si="1"/>
        <v>41305</v>
      </c>
      <c r="Y13" s="40">
        <f t="shared" si="1"/>
        <v>41333</v>
      </c>
      <c r="Z13" s="40">
        <f t="shared" si="1"/>
        <v>41364</v>
      </c>
      <c r="AA13" s="40">
        <f t="shared" si="1"/>
        <v>41394</v>
      </c>
      <c r="AB13" s="40">
        <f t="shared" si="1"/>
        <v>41425</v>
      </c>
      <c r="AC13" s="40">
        <f t="shared" si="1"/>
        <v>41455</v>
      </c>
      <c r="AD13" s="40">
        <f t="shared" si="1"/>
        <v>41486</v>
      </c>
      <c r="AE13" s="40">
        <f t="shared" si="1"/>
        <v>41517</v>
      </c>
      <c r="AF13" s="40">
        <f t="shared" si="1"/>
        <v>41547</v>
      </c>
      <c r="AG13" s="40">
        <f t="shared" si="1"/>
        <v>41578</v>
      </c>
      <c r="AH13" s="40">
        <f t="shared" si="1"/>
        <v>41608</v>
      </c>
      <c r="AI13" s="40">
        <f t="shared" si="1"/>
        <v>41639</v>
      </c>
      <c r="AK13" s="39">
        <f t="shared" si="2"/>
        <v>2013</v>
      </c>
      <c r="AL13" s="40" t="str">
        <f t="shared" si="3"/>
        <v/>
      </c>
      <c r="AM13" s="40" t="str">
        <f t="shared" si="3"/>
        <v/>
      </c>
      <c r="AN13" s="40" t="str">
        <f t="shared" si="3"/>
        <v/>
      </c>
      <c r="AO13" s="40" t="str">
        <f t="shared" si="3"/>
        <v/>
      </c>
      <c r="AP13" s="40" t="str">
        <f t="shared" si="3"/>
        <v/>
      </c>
      <c r="AQ13" s="40" t="str">
        <f t="shared" si="3"/>
        <v/>
      </c>
      <c r="AR13" s="40" t="str">
        <f t="shared" si="3"/>
        <v/>
      </c>
      <c r="AS13" s="40" t="str">
        <f t="shared" si="3"/>
        <v/>
      </c>
      <c r="AT13" s="40" t="str">
        <f t="shared" si="3"/>
        <v/>
      </c>
      <c r="AU13" s="40" t="str">
        <f t="shared" si="3"/>
        <v/>
      </c>
      <c r="AV13" s="40" t="str">
        <f t="shared" si="3"/>
        <v/>
      </c>
      <c r="AW13" s="40" t="str">
        <f t="shared" si="3"/>
        <v/>
      </c>
    </row>
    <row r="14" spans="1:51" ht="12" customHeight="1" thickBot="1">
      <c r="B14" s="14"/>
      <c r="C14" s="15"/>
      <c r="E14" s="45" t="s">
        <v>135</v>
      </c>
      <c r="F14" s="144"/>
      <c r="G14" s="144"/>
      <c r="H14" s="143"/>
      <c r="I14" s="84">
        <v>2014</v>
      </c>
      <c r="J14" s="58">
        <v>1.1000000000000001</v>
      </c>
      <c r="K14" s="58">
        <v>1</v>
      </c>
      <c r="L14" s="58">
        <v>1.3</v>
      </c>
      <c r="M14" s="58">
        <v>1.5</v>
      </c>
      <c r="N14" s="58">
        <v>1.7</v>
      </c>
      <c r="O14" s="58">
        <v>1.7</v>
      </c>
      <c r="P14" s="58">
        <v>1.6</v>
      </c>
      <c r="Q14" s="58">
        <v>1.4</v>
      </c>
      <c r="R14" s="58">
        <v>1.1000000000000001</v>
      </c>
      <c r="S14" s="58">
        <v>1.1000000000000001</v>
      </c>
      <c r="T14" s="58">
        <v>1</v>
      </c>
      <c r="U14" s="58">
        <v>0.8</v>
      </c>
      <c r="W14" s="39">
        <f t="shared" si="0"/>
        <v>2014</v>
      </c>
      <c r="X14" s="40">
        <f t="shared" si="1"/>
        <v>41670</v>
      </c>
      <c r="Y14" s="40">
        <f t="shared" si="1"/>
        <v>41698</v>
      </c>
      <c r="Z14" s="40">
        <f t="shared" si="1"/>
        <v>41729</v>
      </c>
      <c r="AA14" s="40">
        <f t="shared" si="1"/>
        <v>41759</v>
      </c>
      <c r="AB14" s="40">
        <f t="shared" si="1"/>
        <v>41790</v>
      </c>
      <c r="AC14" s="40">
        <f t="shared" si="1"/>
        <v>41820</v>
      </c>
      <c r="AD14" s="40">
        <f t="shared" si="1"/>
        <v>41851</v>
      </c>
      <c r="AE14" s="40">
        <f t="shared" si="1"/>
        <v>41882</v>
      </c>
      <c r="AF14" s="40">
        <f t="shared" si="1"/>
        <v>41912</v>
      </c>
      <c r="AG14" s="40">
        <f t="shared" si="1"/>
        <v>41943</v>
      </c>
      <c r="AH14" s="40">
        <f t="shared" si="1"/>
        <v>41973</v>
      </c>
      <c r="AI14" s="40">
        <f t="shared" si="1"/>
        <v>42004</v>
      </c>
      <c r="AK14" s="39">
        <f t="shared" si="2"/>
        <v>2014</v>
      </c>
      <c r="AL14" s="40" t="str">
        <f t="shared" si="3"/>
        <v/>
      </c>
      <c r="AM14" s="40" t="str">
        <f t="shared" si="3"/>
        <v/>
      </c>
      <c r="AN14" s="40" t="str">
        <f t="shared" si="3"/>
        <v/>
      </c>
      <c r="AO14" s="40" t="str">
        <f t="shared" si="3"/>
        <v/>
      </c>
      <c r="AP14" s="40" t="str">
        <f t="shared" si="3"/>
        <v/>
      </c>
      <c r="AQ14" s="40" t="str">
        <f t="shared" si="3"/>
        <v/>
      </c>
      <c r="AR14" s="40" t="str">
        <f t="shared" si="3"/>
        <v/>
      </c>
      <c r="AS14" s="40" t="str">
        <f t="shared" si="3"/>
        <v/>
      </c>
      <c r="AT14" s="40" t="str">
        <f t="shared" si="3"/>
        <v/>
      </c>
      <c r="AU14" s="40" t="str">
        <f t="shared" si="3"/>
        <v/>
      </c>
      <c r="AV14" s="40" t="str">
        <f t="shared" si="3"/>
        <v/>
      </c>
      <c r="AW14" s="40" t="str">
        <f t="shared" si="3"/>
        <v/>
      </c>
    </row>
    <row r="15" spans="1:51" ht="12" customHeight="1">
      <c r="B15" s="53" t="s">
        <v>224</v>
      </c>
      <c r="C15" s="54"/>
      <c r="E15" s="45" t="s">
        <v>135</v>
      </c>
      <c r="F15" s="144"/>
      <c r="G15" s="144"/>
      <c r="H15" s="143"/>
      <c r="I15" s="84">
        <v>2015</v>
      </c>
      <c r="J15" s="58">
        <v>1</v>
      </c>
      <c r="K15" s="58">
        <v>0.6</v>
      </c>
      <c r="L15" s="58">
        <v>0.5</v>
      </c>
      <c r="M15" s="58">
        <v>0.4</v>
      </c>
      <c r="N15" s="58">
        <v>0.6</v>
      </c>
      <c r="O15" s="58">
        <v>0.7</v>
      </c>
      <c r="P15" s="58">
        <v>0.7</v>
      </c>
      <c r="Q15" s="58">
        <v>0.7</v>
      </c>
      <c r="R15" s="58">
        <v>0.5</v>
      </c>
      <c r="S15" s="58">
        <v>0.8</v>
      </c>
      <c r="T15" s="58">
        <v>0.8</v>
      </c>
      <c r="U15" s="58">
        <v>1.1000000000000001</v>
      </c>
      <c r="W15" s="39">
        <f t="shared" si="0"/>
        <v>2015</v>
      </c>
      <c r="X15" s="40">
        <f t="shared" si="1"/>
        <v>42035</v>
      </c>
      <c r="Y15" s="40">
        <f t="shared" si="1"/>
        <v>42063</v>
      </c>
      <c r="Z15" s="40">
        <f t="shared" si="1"/>
        <v>42094</v>
      </c>
      <c r="AA15" s="40">
        <f t="shared" si="1"/>
        <v>42124</v>
      </c>
      <c r="AB15" s="40">
        <f t="shared" si="1"/>
        <v>42155</v>
      </c>
      <c r="AC15" s="40">
        <f t="shared" si="1"/>
        <v>42185</v>
      </c>
      <c r="AD15" s="40">
        <f t="shared" si="1"/>
        <v>42216</v>
      </c>
      <c r="AE15" s="40">
        <f t="shared" si="1"/>
        <v>42247</v>
      </c>
      <c r="AF15" s="40">
        <f t="shared" si="1"/>
        <v>42277</v>
      </c>
      <c r="AG15" s="40">
        <f t="shared" si="1"/>
        <v>42308</v>
      </c>
      <c r="AH15" s="40">
        <f t="shared" si="1"/>
        <v>42338</v>
      </c>
      <c r="AI15" s="40">
        <f t="shared" si="1"/>
        <v>42369</v>
      </c>
      <c r="AK15" s="39">
        <f t="shared" si="2"/>
        <v>2015</v>
      </c>
      <c r="AL15" s="40" t="str">
        <f t="shared" si="3"/>
        <v/>
      </c>
      <c r="AM15" s="40" t="str">
        <f t="shared" si="3"/>
        <v/>
      </c>
      <c r="AN15" s="40" t="str">
        <f t="shared" si="3"/>
        <v/>
      </c>
      <c r="AO15" s="40" t="str">
        <f t="shared" si="3"/>
        <v/>
      </c>
      <c r="AP15" s="40" t="str">
        <f t="shared" si="3"/>
        <v/>
      </c>
      <c r="AQ15" s="40" t="str">
        <f t="shared" si="3"/>
        <v/>
      </c>
      <c r="AR15" s="40" t="str">
        <f t="shared" si="3"/>
        <v/>
      </c>
      <c r="AS15" s="40" t="str">
        <f t="shared" si="3"/>
        <v/>
      </c>
      <c r="AT15" s="40" t="str">
        <f t="shared" si="3"/>
        <v/>
      </c>
      <c r="AU15" s="40" t="str">
        <f t="shared" si="3"/>
        <v/>
      </c>
      <c r="AV15" s="40" t="str">
        <f t="shared" si="3"/>
        <v/>
      </c>
      <c r="AW15" s="40" t="str">
        <f t="shared" si="3"/>
        <v/>
      </c>
    </row>
    <row r="16" spans="1:51" ht="12" customHeight="1">
      <c r="B16" s="24" t="s">
        <v>212</v>
      </c>
      <c r="C16" s="25"/>
      <c r="E16" s="45" t="s">
        <v>135</v>
      </c>
      <c r="F16" s="144"/>
      <c r="G16" s="144"/>
      <c r="H16" s="143"/>
      <c r="I16" s="84">
        <v>2016</v>
      </c>
      <c r="J16" s="58">
        <v>0.6</v>
      </c>
      <c r="K16" s="58">
        <v>1.1000000000000001</v>
      </c>
      <c r="L16" s="58">
        <v>0.8</v>
      </c>
      <c r="M16" s="58">
        <v>1</v>
      </c>
      <c r="N16" s="58">
        <v>0.8</v>
      </c>
      <c r="O16" s="58">
        <v>0.7</v>
      </c>
      <c r="P16" s="58">
        <v>0.4</v>
      </c>
      <c r="Q16" s="58">
        <v>0.5</v>
      </c>
      <c r="R16" s="58">
        <v>1.3</v>
      </c>
      <c r="S16" s="58">
        <v>1.5</v>
      </c>
      <c r="T16" s="58">
        <v>1.5</v>
      </c>
      <c r="U16" s="58">
        <v>1.3</v>
      </c>
      <c r="W16" s="39">
        <f t="shared" si="0"/>
        <v>2016</v>
      </c>
      <c r="X16" s="40">
        <f t="shared" si="1"/>
        <v>42400</v>
      </c>
      <c r="Y16" s="40">
        <f t="shared" si="1"/>
        <v>42429</v>
      </c>
      <c r="Z16" s="40">
        <f t="shared" si="1"/>
        <v>42460</v>
      </c>
      <c r="AA16" s="40">
        <f t="shared" si="1"/>
        <v>42490</v>
      </c>
      <c r="AB16" s="40">
        <f t="shared" si="1"/>
        <v>42521</v>
      </c>
      <c r="AC16" s="40">
        <f t="shared" si="1"/>
        <v>42551</v>
      </c>
      <c r="AD16" s="40">
        <f t="shared" si="1"/>
        <v>42582</v>
      </c>
      <c r="AE16" s="40">
        <f t="shared" si="1"/>
        <v>42613</v>
      </c>
      <c r="AF16" s="40">
        <f t="shared" si="1"/>
        <v>42643</v>
      </c>
      <c r="AG16" s="40">
        <f t="shared" si="1"/>
        <v>42674</v>
      </c>
      <c r="AH16" s="40">
        <f t="shared" si="1"/>
        <v>42704</v>
      </c>
      <c r="AI16" s="40">
        <f t="shared" si="1"/>
        <v>42735</v>
      </c>
      <c r="AK16" s="39">
        <f t="shared" si="2"/>
        <v>2016</v>
      </c>
      <c r="AL16" s="40" t="str">
        <f t="shared" si="3"/>
        <v/>
      </c>
      <c r="AM16" s="40" t="str">
        <f t="shared" si="3"/>
        <v/>
      </c>
      <c r="AN16" s="40" t="str">
        <f t="shared" si="3"/>
        <v/>
      </c>
      <c r="AO16" s="40" t="str">
        <f t="shared" si="3"/>
        <v/>
      </c>
      <c r="AP16" s="40" t="str">
        <f t="shared" si="3"/>
        <v/>
      </c>
      <c r="AQ16" s="40" t="str">
        <f t="shared" si="3"/>
        <v/>
      </c>
      <c r="AR16" s="40" t="str">
        <f t="shared" si="3"/>
        <v/>
      </c>
      <c r="AS16" s="40" t="str">
        <f t="shared" si="3"/>
        <v/>
      </c>
      <c r="AT16" s="40" t="str">
        <f t="shared" si="3"/>
        <v/>
      </c>
      <c r="AU16" s="40" t="str">
        <f t="shared" si="3"/>
        <v/>
      </c>
      <c r="AV16" s="40" t="str">
        <f t="shared" si="3"/>
        <v/>
      </c>
      <c r="AW16" s="40" t="str">
        <f t="shared" si="3"/>
        <v/>
      </c>
    </row>
    <row r="17" spans="2:49" ht="12" customHeight="1">
      <c r="B17" s="24" t="s">
        <v>213</v>
      </c>
      <c r="C17" s="25"/>
      <c r="E17" s="45" t="s">
        <v>135</v>
      </c>
      <c r="F17" s="144"/>
      <c r="G17" s="144"/>
      <c r="H17" s="143"/>
      <c r="I17" s="84">
        <v>2017</v>
      </c>
      <c r="J17" s="58">
        <v>2.2000000000000002</v>
      </c>
      <c r="K17" s="58">
        <v>2.1</v>
      </c>
      <c r="L17" s="58">
        <v>2.2999999999999998</v>
      </c>
      <c r="M17" s="58">
        <v>2</v>
      </c>
      <c r="N17" s="58">
        <v>2</v>
      </c>
      <c r="O17" s="58">
        <v>1.8</v>
      </c>
      <c r="P17" s="58">
        <v>2.2000000000000002</v>
      </c>
      <c r="Q17" s="58">
        <v>2.5</v>
      </c>
      <c r="R17" s="58">
        <v>2</v>
      </c>
      <c r="S17" s="58">
        <v>1.8</v>
      </c>
      <c r="T17" s="58">
        <v>1.2</v>
      </c>
      <c r="U17" s="58">
        <v>1.4</v>
      </c>
      <c r="W17" s="39">
        <f t="shared" si="0"/>
        <v>2017</v>
      </c>
      <c r="X17" s="40">
        <f t="shared" si="1"/>
        <v>42766</v>
      </c>
      <c r="Y17" s="40">
        <f t="shared" si="1"/>
        <v>42794</v>
      </c>
      <c r="Z17" s="40">
        <f t="shared" si="1"/>
        <v>42825</v>
      </c>
      <c r="AA17" s="40">
        <f t="shared" si="1"/>
        <v>42855</v>
      </c>
      <c r="AB17" s="40">
        <f t="shared" si="1"/>
        <v>42886</v>
      </c>
      <c r="AC17" s="40">
        <f t="shared" si="1"/>
        <v>42916</v>
      </c>
      <c r="AD17" s="40">
        <f t="shared" si="1"/>
        <v>42947</v>
      </c>
      <c r="AE17" s="40">
        <f t="shared" si="1"/>
        <v>42978</v>
      </c>
      <c r="AF17" s="40">
        <f t="shared" si="1"/>
        <v>43008</v>
      </c>
      <c r="AG17" s="40">
        <f t="shared" si="1"/>
        <v>43039</v>
      </c>
      <c r="AH17" s="40">
        <f t="shared" si="1"/>
        <v>43069</v>
      </c>
      <c r="AI17" s="40">
        <f t="shared" si="1"/>
        <v>43100</v>
      </c>
      <c r="AK17" s="39">
        <f t="shared" si="2"/>
        <v>2017</v>
      </c>
      <c r="AL17" s="40" t="str">
        <f t="shared" si="3"/>
        <v/>
      </c>
      <c r="AM17" s="40" t="str">
        <f t="shared" si="3"/>
        <v/>
      </c>
      <c r="AN17" s="40" t="str">
        <f t="shared" si="3"/>
        <v/>
      </c>
      <c r="AO17" s="40" t="str">
        <f t="shared" si="3"/>
        <v/>
      </c>
      <c r="AP17" s="40" t="str">
        <f t="shared" si="3"/>
        <v/>
      </c>
      <c r="AQ17" s="40" t="str">
        <f t="shared" si="3"/>
        <v/>
      </c>
      <c r="AR17" s="40" t="str">
        <f t="shared" si="3"/>
        <v/>
      </c>
      <c r="AS17" s="40" t="str">
        <f t="shared" si="3"/>
        <v/>
      </c>
      <c r="AT17" s="40" t="str">
        <f t="shared" si="3"/>
        <v/>
      </c>
      <c r="AU17" s="40" t="str">
        <f t="shared" si="3"/>
        <v/>
      </c>
      <c r="AV17" s="40" t="str">
        <f t="shared" si="3"/>
        <v/>
      </c>
      <c r="AW17" s="40" t="str">
        <f t="shared" si="3"/>
        <v/>
      </c>
    </row>
    <row r="18" spans="2:49" ht="12" customHeight="1">
      <c r="B18" s="26" t="s">
        <v>201</v>
      </c>
      <c r="C18" s="27"/>
      <c r="E18" s="45" t="s">
        <v>135</v>
      </c>
      <c r="F18" s="144"/>
      <c r="G18" s="144"/>
      <c r="H18" s="143"/>
      <c r="I18" s="84">
        <v>2018</v>
      </c>
      <c r="J18" s="58">
        <v>0.8</v>
      </c>
      <c r="K18" s="58">
        <v>1.3</v>
      </c>
      <c r="L18" s="58">
        <v>1.2</v>
      </c>
      <c r="M18" s="58">
        <v>1.5</v>
      </c>
      <c r="N18" s="58">
        <v>1.5</v>
      </c>
      <c r="O18" s="58">
        <v>1.5</v>
      </c>
      <c r="P18" s="58">
        <v>1.1000000000000001</v>
      </c>
      <c r="Q18" s="58">
        <v>1.4</v>
      </c>
      <c r="R18" s="58">
        <v>2.1</v>
      </c>
      <c r="S18" s="58">
        <v>2</v>
      </c>
      <c r="T18" s="58">
        <v>2</v>
      </c>
      <c r="U18" s="58">
        <v>1.3</v>
      </c>
      <c r="W18" s="39">
        <f t="shared" si="0"/>
        <v>2018</v>
      </c>
      <c r="X18" s="40">
        <f t="shared" si="1"/>
        <v>43131</v>
      </c>
      <c r="Y18" s="40">
        <f t="shared" si="1"/>
        <v>43159</v>
      </c>
      <c r="Z18" s="40">
        <f t="shared" si="1"/>
        <v>43190</v>
      </c>
      <c r="AA18" s="40">
        <f t="shared" si="1"/>
        <v>43220</v>
      </c>
      <c r="AB18" s="40">
        <f t="shared" si="1"/>
        <v>43251</v>
      </c>
      <c r="AC18" s="40">
        <f t="shared" si="1"/>
        <v>43281</v>
      </c>
      <c r="AD18" s="40">
        <f t="shared" si="1"/>
        <v>43312</v>
      </c>
      <c r="AE18" s="40">
        <f t="shared" si="1"/>
        <v>43343</v>
      </c>
      <c r="AF18" s="40">
        <f t="shared" si="1"/>
        <v>43373</v>
      </c>
      <c r="AG18" s="40">
        <f t="shared" si="1"/>
        <v>43404</v>
      </c>
      <c r="AH18" s="40">
        <f t="shared" si="1"/>
        <v>43434</v>
      </c>
      <c r="AI18" s="40">
        <f t="shared" si="1"/>
        <v>43465</v>
      </c>
      <c r="AK18" s="39">
        <f t="shared" si="2"/>
        <v>2018</v>
      </c>
      <c r="AL18" s="40" t="str">
        <f t="shared" si="3"/>
        <v/>
      </c>
      <c r="AM18" s="40" t="str">
        <f t="shared" si="3"/>
        <v/>
      </c>
      <c r="AN18" s="40" t="str">
        <f t="shared" si="3"/>
        <v/>
      </c>
      <c r="AO18" s="40" t="str">
        <f t="shared" si="3"/>
        <v/>
      </c>
      <c r="AP18" s="40" t="str">
        <f t="shared" si="3"/>
        <v/>
      </c>
      <c r="AQ18" s="40" t="str">
        <f t="shared" si="3"/>
        <v/>
      </c>
      <c r="AR18" s="40" t="str">
        <f t="shared" si="3"/>
        <v/>
      </c>
      <c r="AS18" s="40" t="str">
        <f t="shared" si="3"/>
        <v/>
      </c>
      <c r="AT18" s="40" t="str">
        <f t="shared" si="3"/>
        <v/>
      </c>
      <c r="AU18" s="40" t="str">
        <f t="shared" si="3"/>
        <v/>
      </c>
      <c r="AV18" s="40" t="str">
        <f t="shared" si="3"/>
        <v/>
      </c>
      <c r="AW18" s="40" t="str">
        <f t="shared" si="3"/>
        <v/>
      </c>
    </row>
    <row r="19" spans="2:49" ht="12" customHeight="1">
      <c r="B19" s="22" t="s">
        <v>203</v>
      </c>
      <c r="C19" s="25"/>
      <c r="E19" s="45" t="s">
        <v>135</v>
      </c>
      <c r="F19" s="144"/>
      <c r="G19" s="144"/>
      <c r="H19" s="143"/>
      <c r="I19" s="84">
        <v>2019</v>
      </c>
      <c r="J19" s="58">
        <v>0.8</v>
      </c>
      <c r="K19" s="58">
        <v>0.5</v>
      </c>
      <c r="L19" s="58">
        <v>0.4</v>
      </c>
      <c r="M19" s="58">
        <v>0.6</v>
      </c>
      <c r="N19" s="58">
        <v>0.7</v>
      </c>
      <c r="O19" s="58">
        <v>0.7</v>
      </c>
      <c r="P19" s="58">
        <v>0.6</v>
      </c>
      <c r="Q19" s="58">
        <v>0</v>
      </c>
      <c r="R19" s="58">
        <v>-0.4</v>
      </c>
      <c r="S19" s="58">
        <v>0</v>
      </c>
      <c r="T19" s="58">
        <v>0.2</v>
      </c>
      <c r="U19" s="58">
        <v>0.7</v>
      </c>
      <c r="W19" s="39">
        <f t="shared" si="0"/>
        <v>2019</v>
      </c>
      <c r="X19" s="40">
        <f t="shared" si="1"/>
        <v>43496</v>
      </c>
      <c r="Y19" s="40">
        <f t="shared" si="1"/>
        <v>43524</v>
      </c>
      <c r="Z19" s="40">
        <f t="shared" si="1"/>
        <v>43555</v>
      </c>
      <c r="AA19" s="40">
        <f t="shared" si="1"/>
        <v>43585</v>
      </c>
      <c r="AB19" s="40">
        <f t="shared" si="1"/>
        <v>43616</v>
      </c>
      <c r="AC19" s="40">
        <f t="shared" si="1"/>
        <v>43646</v>
      </c>
      <c r="AD19" s="40">
        <f t="shared" si="1"/>
        <v>43677</v>
      </c>
      <c r="AE19" s="40">
        <f t="shared" si="1"/>
        <v>43708</v>
      </c>
      <c r="AF19" s="40">
        <f t="shared" si="1"/>
        <v>43738</v>
      </c>
      <c r="AG19" s="40">
        <f t="shared" si="1"/>
        <v>43769</v>
      </c>
      <c r="AH19" s="40">
        <f t="shared" si="1"/>
        <v>43799</v>
      </c>
      <c r="AI19" s="40">
        <f t="shared" si="1"/>
        <v>43830</v>
      </c>
      <c r="AK19" s="39">
        <f t="shared" si="2"/>
        <v>2019</v>
      </c>
      <c r="AL19" s="40" t="str">
        <f t="shared" si="3"/>
        <v/>
      </c>
      <c r="AM19" s="40" t="str">
        <f t="shared" si="3"/>
        <v/>
      </c>
      <c r="AN19" s="40" t="str">
        <f t="shared" si="3"/>
        <v/>
      </c>
      <c r="AO19" s="40" t="str">
        <f t="shared" si="3"/>
        <v/>
      </c>
      <c r="AP19" s="40" t="str">
        <f t="shared" si="3"/>
        <v/>
      </c>
      <c r="AQ19" s="40" t="str">
        <f t="shared" si="3"/>
        <v/>
      </c>
      <c r="AR19" s="40" t="str">
        <f t="shared" si="3"/>
        <v/>
      </c>
      <c r="AS19" s="40" t="str">
        <f t="shared" si="3"/>
        <v/>
      </c>
      <c r="AT19" s="40" t="str">
        <f t="shared" si="3"/>
        <v/>
      </c>
      <c r="AU19" s="40" t="str">
        <f t="shared" si="3"/>
        <v/>
      </c>
      <c r="AV19" s="40" t="str">
        <f t="shared" si="3"/>
        <v/>
      </c>
      <c r="AW19" s="40" t="str">
        <f t="shared" si="3"/>
        <v/>
      </c>
    </row>
    <row r="20" spans="2:49" ht="12" customHeight="1">
      <c r="B20" s="22" t="s">
        <v>204</v>
      </c>
      <c r="C20" s="25"/>
      <c r="E20" s="45" t="s">
        <v>135</v>
      </c>
      <c r="F20" s="144"/>
      <c r="G20" s="144"/>
      <c r="H20" s="143"/>
      <c r="I20" s="84">
        <v>2020</v>
      </c>
      <c r="J20" s="58">
        <v>1.5</v>
      </c>
      <c r="K20" s="58">
        <v>1.1000000000000001</v>
      </c>
      <c r="L20" s="58">
        <v>1</v>
      </c>
      <c r="M20" s="58">
        <v>0.1</v>
      </c>
      <c r="N20" s="58">
        <v>-0.3</v>
      </c>
      <c r="O20" s="58">
        <v>0</v>
      </c>
      <c r="P20" s="58">
        <v>0.3</v>
      </c>
      <c r="Q20" s="58">
        <v>0.7</v>
      </c>
      <c r="R20" s="58">
        <v>1</v>
      </c>
      <c r="S20" s="58">
        <v>0.1</v>
      </c>
      <c r="T20" s="58">
        <v>0.6</v>
      </c>
      <c r="U20" s="58">
        <v>0.5</v>
      </c>
      <c r="W20" s="39">
        <f>W21-1</f>
        <v>2020</v>
      </c>
      <c r="X20" s="40">
        <f t="shared" si="1"/>
        <v>43861</v>
      </c>
      <c r="Y20" s="40">
        <f t="shared" si="1"/>
        <v>43890</v>
      </c>
      <c r="Z20" s="40">
        <f t="shared" si="1"/>
        <v>43921</v>
      </c>
      <c r="AA20" s="40">
        <f t="shared" si="1"/>
        <v>43951</v>
      </c>
      <c r="AB20" s="40">
        <f t="shared" si="1"/>
        <v>43982</v>
      </c>
      <c r="AC20" s="40">
        <f t="shared" si="1"/>
        <v>44012</v>
      </c>
      <c r="AD20" s="40">
        <f t="shared" si="1"/>
        <v>44043</v>
      </c>
      <c r="AE20" s="40">
        <f t="shared" si="1"/>
        <v>44074</v>
      </c>
      <c r="AF20" s="40">
        <f t="shared" si="1"/>
        <v>44104</v>
      </c>
      <c r="AG20" s="40">
        <f t="shared" si="1"/>
        <v>44135</v>
      </c>
      <c r="AH20" s="40">
        <f t="shared" si="1"/>
        <v>44165</v>
      </c>
      <c r="AI20" s="40">
        <f t="shared" si="1"/>
        <v>44196</v>
      </c>
      <c r="AK20" s="39">
        <f>AK21-1</f>
        <v>2020</v>
      </c>
      <c r="AL20" s="40" t="str">
        <f t="shared" si="3"/>
        <v/>
      </c>
      <c r="AM20" s="40" t="str">
        <f t="shared" si="3"/>
        <v/>
      </c>
      <c r="AN20" s="40" t="str">
        <f t="shared" si="3"/>
        <v/>
      </c>
      <c r="AO20" s="40" t="str">
        <f t="shared" si="3"/>
        <v/>
      </c>
      <c r="AP20" s="40" t="str">
        <f t="shared" si="3"/>
        <v/>
      </c>
      <c r="AQ20" s="40" t="str">
        <f t="shared" si="3"/>
        <v/>
      </c>
      <c r="AR20" s="40" t="str">
        <f t="shared" si="3"/>
        <v/>
      </c>
      <c r="AS20" s="40" t="str">
        <f t="shared" si="3"/>
        <v/>
      </c>
      <c r="AT20" s="40" t="str">
        <f t="shared" si="3"/>
        <v/>
      </c>
      <c r="AU20" s="40" t="str">
        <f t="shared" si="3"/>
        <v/>
      </c>
      <c r="AV20" s="40" t="str">
        <f t="shared" si="3"/>
        <v/>
      </c>
      <c r="AW20" s="40" t="str">
        <f t="shared" si="3"/>
        <v/>
      </c>
    </row>
    <row r="21" spans="2:49" ht="12" customHeight="1">
      <c r="B21" s="22" t="s">
        <v>202</v>
      </c>
      <c r="C21" s="25"/>
      <c r="E21" s="45" t="s">
        <v>135</v>
      </c>
      <c r="F21" s="144"/>
      <c r="G21" s="144"/>
      <c r="H21" s="143"/>
      <c r="I21" s="50">
        <v>2021</v>
      </c>
      <c r="J21" s="58">
        <v>0.6</v>
      </c>
      <c r="K21" s="58">
        <v>1.1000000000000001</v>
      </c>
      <c r="L21" s="58">
        <v>1.5</v>
      </c>
      <c r="M21" s="58">
        <v>2.2999999999999998</v>
      </c>
      <c r="N21" s="58">
        <v>2.6</v>
      </c>
      <c r="O21" s="58">
        <v>2.4</v>
      </c>
      <c r="P21" s="58" t="s">
        <v>225</v>
      </c>
      <c r="Q21" s="58" t="s">
        <v>225</v>
      </c>
      <c r="R21" s="58" t="s">
        <v>225</v>
      </c>
      <c r="S21" s="58" t="s">
        <v>225</v>
      </c>
      <c r="T21" s="58" t="s">
        <v>225</v>
      </c>
      <c r="U21" s="58" t="s">
        <v>225</v>
      </c>
      <c r="W21" s="41">
        <f>YEAR($C$4)</f>
        <v>2021</v>
      </c>
      <c r="X21" s="40">
        <f t="shared" si="1"/>
        <v>44227</v>
      </c>
      <c r="Y21" s="40">
        <f t="shared" si="1"/>
        <v>44255</v>
      </c>
      <c r="Z21" s="40">
        <f t="shared" si="1"/>
        <v>44286</v>
      </c>
      <c r="AA21" s="40">
        <f t="shared" si="1"/>
        <v>44316</v>
      </c>
      <c r="AB21" s="40">
        <f t="shared" si="1"/>
        <v>44347</v>
      </c>
      <c r="AC21" s="40">
        <f t="shared" si="1"/>
        <v>44377</v>
      </c>
      <c r="AD21" s="40" t="str">
        <f t="shared" si="1"/>
        <v/>
      </c>
      <c r="AE21" s="40" t="str">
        <f t="shared" si="1"/>
        <v/>
      </c>
      <c r="AF21" s="40" t="str">
        <f t="shared" si="1"/>
        <v/>
      </c>
      <c r="AG21" s="40" t="str">
        <f t="shared" si="1"/>
        <v/>
      </c>
      <c r="AH21" s="40" t="str">
        <f t="shared" si="1"/>
        <v/>
      </c>
      <c r="AI21" s="40" t="str">
        <f t="shared" si="1"/>
        <v/>
      </c>
      <c r="AK21" s="41">
        <f>YEAR($C$4)</f>
        <v>2021</v>
      </c>
      <c r="AL21" s="40" t="str">
        <f t="shared" si="3"/>
        <v/>
      </c>
      <c r="AM21" s="40" t="str">
        <f t="shared" si="3"/>
        <v/>
      </c>
      <c r="AN21" s="40" t="str">
        <f t="shared" si="3"/>
        <v/>
      </c>
      <c r="AO21" s="40" t="str">
        <f t="shared" si="3"/>
        <v/>
      </c>
      <c r="AP21" s="40" t="str">
        <f t="shared" si="3"/>
        <v/>
      </c>
      <c r="AQ21" s="40" t="str">
        <f t="shared" si="3"/>
        <v>MAX</v>
      </c>
      <c r="AR21" s="40" t="str">
        <f t="shared" si="3"/>
        <v/>
      </c>
      <c r="AS21" s="40" t="str">
        <f t="shared" si="3"/>
        <v/>
      </c>
      <c r="AT21" s="40" t="str">
        <f t="shared" si="3"/>
        <v/>
      </c>
      <c r="AU21" s="40" t="str">
        <f t="shared" si="3"/>
        <v/>
      </c>
      <c r="AV21" s="40" t="str">
        <f t="shared" si="3"/>
        <v/>
      </c>
      <c r="AW21" s="40" t="str">
        <f t="shared" si="3"/>
        <v/>
      </c>
    </row>
    <row r="22" spans="2:49" ht="12" customHeight="1">
      <c r="B22" s="22" t="s">
        <v>200</v>
      </c>
      <c r="C22" s="25"/>
      <c r="F22" s="44" t="b">
        <f>COUNT(J24:U34)=120</f>
        <v>1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2:49" ht="12" customHeight="1" thickBot="1">
      <c r="B23" s="55" t="s">
        <v>205</v>
      </c>
      <c r="C23" s="56"/>
      <c r="F23" s="47" t="s">
        <v>4</v>
      </c>
      <c r="G23" s="47" t="s">
        <v>5</v>
      </c>
      <c r="H23" s="47" t="s">
        <v>6</v>
      </c>
      <c r="I23" s="47" t="s">
        <v>7</v>
      </c>
      <c r="J23" s="48">
        <v>1</v>
      </c>
      <c r="K23" s="48">
        <v>2</v>
      </c>
      <c r="L23" s="48">
        <v>3</v>
      </c>
      <c r="M23" s="48">
        <v>4</v>
      </c>
      <c r="N23" s="48">
        <v>5</v>
      </c>
      <c r="O23" s="48">
        <v>6</v>
      </c>
      <c r="P23" s="48">
        <v>7</v>
      </c>
      <c r="Q23" s="48">
        <v>8</v>
      </c>
      <c r="R23" s="48">
        <v>9</v>
      </c>
      <c r="S23" s="48">
        <v>10</v>
      </c>
      <c r="T23" s="48">
        <v>11</v>
      </c>
      <c r="U23" s="48">
        <v>12</v>
      </c>
      <c r="W23" s="37" t="s">
        <v>7</v>
      </c>
      <c r="X23" s="38">
        <v>1</v>
      </c>
      <c r="Y23" s="38">
        <v>2</v>
      </c>
      <c r="Z23" s="38">
        <v>3</v>
      </c>
      <c r="AA23" s="38">
        <v>4</v>
      </c>
      <c r="AB23" s="38">
        <v>5</v>
      </c>
      <c r="AC23" s="38">
        <v>6</v>
      </c>
      <c r="AD23" s="38">
        <v>7</v>
      </c>
      <c r="AE23" s="38">
        <v>8</v>
      </c>
      <c r="AF23" s="38">
        <v>9</v>
      </c>
      <c r="AG23" s="38">
        <v>10</v>
      </c>
      <c r="AH23" s="38">
        <v>11</v>
      </c>
      <c r="AI23" s="38">
        <v>12</v>
      </c>
      <c r="AK23" s="37" t="s">
        <v>7</v>
      </c>
      <c r="AL23" s="38">
        <v>1</v>
      </c>
      <c r="AM23" s="38">
        <v>2</v>
      </c>
      <c r="AN23" s="38">
        <v>3</v>
      </c>
      <c r="AO23" s="38">
        <v>4</v>
      </c>
      <c r="AP23" s="38">
        <v>5</v>
      </c>
      <c r="AQ23" s="38">
        <v>6</v>
      </c>
      <c r="AR23" s="38">
        <v>7</v>
      </c>
      <c r="AS23" s="38">
        <v>8</v>
      </c>
      <c r="AT23" s="38">
        <v>9</v>
      </c>
      <c r="AU23" s="38">
        <v>10</v>
      </c>
      <c r="AV23" s="38">
        <v>11</v>
      </c>
      <c r="AW23" s="38">
        <v>12</v>
      </c>
    </row>
    <row r="24" spans="2:49" ht="12" customHeight="1">
      <c r="B24" s="17"/>
      <c r="C24" s="28"/>
      <c r="E24" s="45" t="s">
        <v>131</v>
      </c>
      <c r="F24" s="142" t="s">
        <v>217</v>
      </c>
      <c r="G24" s="142" t="s">
        <v>218</v>
      </c>
      <c r="H24" s="143" t="s">
        <v>222</v>
      </c>
      <c r="I24" s="84">
        <v>2011</v>
      </c>
      <c r="J24" s="58" t="s">
        <v>225</v>
      </c>
      <c r="K24" s="58" t="s">
        <v>225</v>
      </c>
      <c r="L24" s="58" t="s">
        <v>225</v>
      </c>
      <c r="M24" s="58" t="s">
        <v>225</v>
      </c>
      <c r="N24" s="58" t="s">
        <v>225</v>
      </c>
      <c r="O24" s="58" t="s">
        <v>225</v>
      </c>
      <c r="P24" s="58">
        <v>7</v>
      </c>
      <c r="Q24" s="58">
        <v>6.9</v>
      </c>
      <c r="R24" s="58">
        <v>6.3</v>
      </c>
      <c r="S24" s="58">
        <v>5.8</v>
      </c>
      <c r="T24" s="58">
        <v>5.0999999999999996</v>
      </c>
      <c r="U24" s="58">
        <v>4.3</v>
      </c>
      <c r="W24" s="39">
        <f t="shared" ref="W24:W32" si="4">W25-1</f>
        <v>2011</v>
      </c>
      <c r="X24" s="40" t="str">
        <f t="shared" ref="X24:AI34" si="5">X11</f>
        <v/>
      </c>
      <c r="Y24" s="40" t="str">
        <f t="shared" si="5"/>
        <v/>
      </c>
      <c r="Z24" s="40" t="str">
        <f t="shared" si="5"/>
        <v/>
      </c>
      <c r="AA24" s="40" t="str">
        <f t="shared" si="5"/>
        <v/>
      </c>
      <c r="AB24" s="40" t="str">
        <f t="shared" si="5"/>
        <v/>
      </c>
      <c r="AC24" s="40" t="str">
        <f t="shared" si="5"/>
        <v/>
      </c>
      <c r="AD24" s="40">
        <f t="shared" si="5"/>
        <v>40755</v>
      </c>
      <c r="AE24" s="40">
        <f t="shared" si="5"/>
        <v>40786</v>
      </c>
      <c r="AF24" s="40">
        <f t="shared" si="5"/>
        <v>40816</v>
      </c>
      <c r="AG24" s="40">
        <f t="shared" si="5"/>
        <v>40847</v>
      </c>
      <c r="AH24" s="40">
        <f t="shared" si="5"/>
        <v>40877</v>
      </c>
      <c r="AI24" s="40">
        <f t="shared" si="5"/>
        <v>40908</v>
      </c>
      <c r="AK24" s="39">
        <f t="shared" ref="AK24:AK32" si="6">AK25-1</f>
        <v>2011</v>
      </c>
      <c r="AL24" s="40" t="str">
        <f t="shared" ref="AL24:AW34" si="7">AL11</f>
        <v/>
      </c>
      <c r="AM24" s="40" t="str">
        <f t="shared" si="7"/>
        <v/>
      </c>
      <c r="AN24" s="40" t="str">
        <f t="shared" si="7"/>
        <v/>
      </c>
      <c r="AO24" s="40" t="str">
        <f t="shared" si="7"/>
        <v/>
      </c>
      <c r="AP24" s="40" t="str">
        <f t="shared" si="7"/>
        <v/>
      </c>
      <c r="AQ24" s="40" t="str">
        <f t="shared" si="7"/>
        <v/>
      </c>
      <c r="AR24" s="40" t="str">
        <f t="shared" si="7"/>
        <v>MIN</v>
      </c>
      <c r="AS24" s="40" t="str">
        <f t="shared" si="7"/>
        <v/>
      </c>
      <c r="AT24" s="40" t="str">
        <f t="shared" si="7"/>
        <v/>
      </c>
      <c r="AU24" s="40" t="str">
        <f t="shared" si="7"/>
        <v/>
      </c>
      <c r="AV24" s="40" t="str">
        <f t="shared" si="7"/>
        <v/>
      </c>
      <c r="AW24" s="40" t="str">
        <f t="shared" si="7"/>
        <v/>
      </c>
    </row>
    <row r="25" spans="2:49" ht="12" customHeight="1">
      <c r="B25" s="29" t="s">
        <v>210</v>
      </c>
      <c r="C25" s="25"/>
      <c r="E25" s="45" t="s">
        <v>131</v>
      </c>
      <c r="F25" s="142"/>
      <c r="G25" s="142"/>
      <c r="H25" s="143"/>
      <c r="I25" s="84">
        <v>2012</v>
      </c>
      <c r="J25" s="58">
        <v>3.2</v>
      </c>
      <c r="K25" s="58">
        <v>3.2</v>
      </c>
      <c r="L25" s="58">
        <v>2.4</v>
      </c>
      <c r="M25" s="58">
        <v>1.8</v>
      </c>
      <c r="N25" s="58">
        <v>1</v>
      </c>
      <c r="O25" s="58">
        <v>0</v>
      </c>
      <c r="P25" s="58">
        <v>-0.6</v>
      </c>
      <c r="Q25" s="58">
        <v>-0.1</v>
      </c>
      <c r="R25" s="58">
        <v>0.2</v>
      </c>
      <c r="S25" s="58">
        <v>-0.5</v>
      </c>
      <c r="T25" s="58">
        <v>-0.9</v>
      </c>
      <c r="U25" s="58">
        <v>-1.2</v>
      </c>
      <c r="W25" s="39">
        <f t="shared" si="4"/>
        <v>2012</v>
      </c>
      <c r="X25" s="40">
        <f t="shared" si="5"/>
        <v>40939</v>
      </c>
      <c r="Y25" s="40">
        <f t="shared" si="5"/>
        <v>40968</v>
      </c>
      <c r="Z25" s="40">
        <f t="shared" si="5"/>
        <v>40999</v>
      </c>
      <c r="AA25" s="40">
        <f t="shared" si="5"/>
        <v>41029</v>
      </c>
      <c r="AB25" s="40">
        <f t="shared" si="5"/>
        <v>41060</v>
      </c>
      <c r="AC25" s="40">
        <f t="shared" si="5"/>
        <v>41090</v>
      </c>
      <c r="AD25" s="40">
        <f t="shared" si="5"/>
        <v>41121</v>
      </c>
      <c r="AE25" s="40">
        <f t="shared" si="5"/>
        <v>41152</v>
      </c>
      <c r="AF25" s="40">
        <f t="shared" si="5"/>
        <v>41182</v>
      </c>
      <c r="AG25" s="40">
        <f t="shared" si="5"/>
        <v>41213</v>
      </c>
      <c r="AH25" s="40">
        <f t="shared" si="5"/>
        <v>41243</v>
      </c>
      <c r="AI25" s="40">
        <f t="shared" si="5"/>
        <v>41274</v>
      </c>
      <c r="AK25" s="39">
        <f t="shared" si="6"/>
        <v>2012</v>
      </c>
      <c r="AL25" s="40" t="str">
        <f t="shared" si="7"/>
        <v/>
      </c>
      <c r="AM25" s="40" t="str">
        <f t="shared" si="7"/>
        <v/>
      </c>
      <c r="AN25" s="40" t="str">
        <f t="shared" si="7"/>
        <v/>
      </c>
      <c r="AO25" s="40" t="str">
        <f t="shared" si="7"/>
        <v/>
      </c>
      <c r="AP25" s="40" t="str">
        <f t="shared" si="7"/>
        <v/>
      </c>
      <c r="AQ25" s="40" t="str">
        <f t="shared" si="7"/>
        <v/>
      </c>
      <c r="AR25" s="40" t="str">
        <f t="shared" si="7"/>
        <v/>
      </c>
      <c r="AS25" s="40" t="str">
        <f t="shared" si="7"/>
        <v/>
      </c>
      <c r="AT25" s="40" t="str">
        <f t="shared" si="7"/>
        <v/>
      </c>
      <c r="AU25" s="40" t="str">
        <f t="shared" si="7"/>
        <v/>
      </c>
      <c r="AV25" s="40" t="str">
        <f t="shared" si="7"/>
        <v/>
      </c>
      <c r="AW25" s="40" t="str">
        <f t="shared" si="7"/>
        <v/>
      </c>
    </row>
    <row r="26" spans="2:49" ht="12" customHeight="1">
      <c r="B26" s="29" t="s">
        <v>214</v>
      </c>
      <c r="C26" s="28"/>
      <c r="E26" s="45" t="s">
        <v>131</v>
      </c>
      <c r="F26" s="142"/>
      <c r="G26" s="142"/>
      <c r="H26" s="143"/>
      <c r="I26" s="84">
        <v>2013</v>
      </c>
      <c r="J26" s="58">
        <v>-1.6</v>
      </c>
      <c r="K26" s="58">
        <v>-1.6</v>
      </c>
      <c r="L26" s="58">
        <v>-2.4</v>
      </c>
      <c r="M26" s="58">
        <v>-2.8</v>
      </c>
      <c r="N26" s="58">
        <v>-2.6</v>
      </c>
      <c r="O26" s="58">
        <v>-1.4</v>
      </c>
      <c r="P26" s="58">
        <v>-1</v>
      </c>
      <c r="Q26" s="58">
        <v>-1.3</v>
      </c>
      <c r="R26" s="58">
        <v>-1.8</v>
      </c>
      <c r="S26" s="58">
        <v>-1.4</v>
      </c>
      <c r="T26" s="58">
        <v>-0.9</v>
      </c>
      <c r="U26" s="58">
        <v>-0.4</v>
      </c>
      <c r="W26" s="39">
        <f t="shared" si="4"/>
        <v>2013</v>
      </c>
      <c r="X26" s="40">
        <f t="shared" si="5"/>
        <v>41305</v>
      </c>
      <c r="Y26" s="40">
        <f t="shared" si="5"/>
        <v>41333</v>
      </c>
      <c r="Z26" s="40">
        <f t="shared" si="5"/>
        <v>41364</v>
      </c>
      <c r="AA26" s="40">
        <f t="shared" si="5"/>
        <v>41394</v>
      </c>
      <c r="AB26" s="40">
        <f t="shared" si="5"/>
        <v>41425</v>
      </c>
      <c r="AC26" s="40">
        <f t="shared" si="5"/>
        <v>41455</v>
      </c>
      <c r="AD26" s="40">
        <f t="shared" si="5"/>
        <v>41486</v>
      </c>
      <c r="AE26" s="40">
        <f t="shared" si="5"/>
        <v>41517</v>
      </c>
      <c r="AF26" s="40">
        <f t="shared" si="5"/>
        <v>41547</v>
      </c>
      <c r="AG26" s="40">
        <f t="shared" si="5"/>
        <v>41578</v>
      </c>
      <c r="AH26" s="40">
        <f t="shared" si="5"/>
        <v>41608</v>
      </c>
      <c r="AI26" s="40">
        <f t="shared" si="5"/>
        <v>41639</v>
      </c>
      <c r="AK26" s="39">
        <f t="shared" si="6"/>
        <v>2013</v>
      </c>
      <c r="AL26" s="40" t="str">
        <f t="shared" si="7"/>
        <v/>
      </c>
      <c r="AM26" s="40" t="str">
        <f t="shared" si="7"/>
        <v/>
      </c>
      <c r="AN26" s="40" t="str">
        <f t="shared" si="7"/>
        <v/>
      </c>
      <c r="AO26" s="40" t="str">
        <f t="shared" si="7"/>
        <v/>
      </c>
      <c r="AP26" s="40" t="str">
        <f t="shared" si="7"/>
        <v/>
      </c>
      <c r="AQ26" s="40" t="str">
        <f t="shared" si="7"/>
        <v/>
      </c>
      <c r="AR26" s="40" t="str">
        <f t="shared" si="7"/>
        <v/>
      </c>
      <c r="AS26" s="40" t="str">
        <f t="shared" si="7"/>
        <v/>
      </c>
      <c r="AT26" s="40" t="str">
        <f t="shared" si="7"/>
        <v/>
      </c>
      <c r="AU26" s="40" t="str">
        <f t="shared" si="7"/>
        <v/>
      </c>
      <c r="AV26" s="40" t="str">
        <f t="shared" si="7"/>
        <v/>
      </c>
      <c r="AW26" s="40" t="str">
        <f t="shared" si="7"/>
        <v/>
      </c>
    </row>
    <row r="27" spans="2:49" ht="12" customHeight="1">
      <c r="B27" s="17"/>
      <c r="C27" s="28"/>
      <c r="E27" s="45" t="s">
        <v>131</v>
      </c>
      <c r="F27" s="142"/>
      <c r="G27" s="142"/>
      <c r="H27" s="143"/>
      <c r="I27" s="84">
        <v>2014</v>
      </c>
      <c r="J27" s="58">
        <v>-0.3</v>
      </c>
      <c r="K27" s="58">
        <v>-0.9</v>
      </c>
      <c r="L27" s="58">
        <v>-0.5</v>
      </c>
      <c r="M27" s="58">
        <v>-0.3</v>
      </c>
      <c r="N27" s="58">
        <v>0</v>
      </c>
      <c r="O27" s="58">
        <v>0.1</v>
      </c>
      <c r="P27" s="58">
        <v>0.2</v>
      </c>
      <c r="Q27" s="58">
        <v>-0.2</v>
      </c>
      <c r="R27" s="58">
        <v>-0.5</v>
      </c>
      <c r="S27" s="58">
        <v>-0.8</v>
      </c>
      <c r="T27" s="58">
        <v>-0.9</v>
      </c>
      <c r="U27" s="58">
        <v>-2.1</v>
      </c>
      <c r="W27" s="39">
        <f t="shared" si="4"/>
        <v>2014</v>
      </c>
      <c r="X27" s="40">
        <f t="shared" si="5"/>
        <v>41670</v>
      </c>
      <c r="Y27" s="40">
        <f t="shared" si="5"/>
        <v>41698</v>
      </c>
      <c r="Z27" s="40">
        <f t="shared" si="5"/>
        <v>41729</v>
      </c>
      <c r="AA27" s="40">
        <f t="shared" si="5"/>
        <v>41759</v>
      </c>
      <c r="AB27" s="40">
        <f t="shared" si="5"/>
        <v>41790</v>
      </c>
      <c r="AC27" s="40">
        <f t="shared" si="5"/>
        <v>41820</v>
      </c>
      <c r="AD27" s="40">
        <f t="shared" si="5"/>
        <v>41851</v>
      </c>
      <c r="AE27" s="40">
        <f t="shared" si="5"/>
        <v>41882</v>
      </c>
      <c r="AF27" s="40">
        <f t="shared" si="5"/>
        <v>41912</v>
      </c>
      <c r="AG27" s="40">
        <f t="shared" si="5"/>
        <v>41943</v>
      </c>
      <c r="AH27" s="40">
        <f t="shared" si="5"/>
        <v>41973</v>
      </c>
      <c r="AI27" s="40">
        <f t="shared" si="5"/>
        <v>42004</v>
      </c>
      <c r="AK27" s="39">
        <f t="shared" si="6"/>
        <v>2014</v>
      </c>
      <c r="AL27" s="40" t="str">
        <f t="shared" si="7"/>
        <v/>
      </c>
      <c r="AM27" s="40" t="str">
        <f t="shared" si="7"/>
        <v/>
      </c>
      <c r="AN27" s="40" t="str">
        <f t="shared" si="7"/>
        <v/>
      </c>
      <c r="AO27" s="40" t="str">
        <f t="shared" si="7"/>
        <v/>
      </c>
      <c r="AP27" s="40" t="str">
        <f t="shared" si="7"/>
        <v/>
      </c>
      <c r="AQ27" s="40" t="str">
        <f t="shared" si="7"/>
        <v/>
      </c>
      <c r="AR27" s="40" t="str">
        <f t="shared" si="7"/>
        <v/>
      </c>
      <c r="AS27" s="40" t="str">
        <f t="shared" si="7"/>
        <v/>
      </c>
      <c r="AT27" s="40" t="str">
        <f t="shared" si="7"/>
        <v/>
      </c>
      <c r="AU27" s="40" t="str">
        <f t="shared" si="7"/>
        <v/>
      </c>
      <c r="AV27" s="40" t="str">
        <f t="shared" si="7"/>
        <v/>
      </c>
      <c r="AW27" s="40" t="str">
        <f t="shared" si="7"/>
        <v/>
      </c>
    </row>
    <row r="28" spans="2:49" ht="12" customHeight="1">
      <c r="B28" s="17"/>
      <c r="C28" s="28"/>
      <c r="E28" s="45" t="s">
        <v>131</v>
      </c>
      <c r="F28" s="142"/>
      <c r="G28" s="142"/>
      <c r="H28" s="143"/>
      <c r="I28" s="84">
        <v>2015</v>
      </c>
      <c r="J28" s="58">
        <v>-3.6</v>
      </c>
      <c r="K28" s="58">
        <v>-3.6</v>
      </c>
      <c r="L28" s="58">
        <v>-3.7</v>
      </c>
      <c r="M28" s="58">
        <v>-3.6</v>
      </c>
      <c r="N28" s="58">
        <v>-3.5</v>
      </c>
      <c r="O28" s="58">
        <v>-3.6</v>
      </c>
      <c r="P28" s="58">
        <v>-4.0999999999999996</v>
      </c>
      <c r="Q28" s="58">
        <v>-4.5</v>
      </c>
      <c r="R28" s="58">
        <v>-4.5999999999999996</v>
      </c>
      <c r="S28" s="58">
        <v>-4.5999999999999996</v>
      </c>
      <c r="T28" s="58">
        <v>-4.7</v>
      </c>
      <c r="U28" s="58">
        <v>-4</v>
      </c>
      <c r="W28" s="39">
        <f t="shared" si="4"/>
        <v>2015</v>
      </c>
      <c r="X28" s="40">
        <f t="shared" si="5"/>
        <v>42035</v>
      </c>
      <c r="Y28" s="40">
        <f t="shared" si="5"/>
        <v>42063</v>
      </c>
      <c r="Z28" s="40">
        <f t="shared" si="5"/>
        <v>42094</v>
      </c>
      <c r="AA28" s="40">
        <f t="shared" si="5"/>
        <v>42124</v>
      </c>
      <c r="AB28" s="40">
        <f t="shared" si="5"/>
        <v>42155</v>
      </c>
      <c r="AC28" s="40">
        <f t="shared" si="5"/>
        <v>42185</v>
      </c>
      <c r="AD28" s="40">
        <f t="shared" si="5"/>
        <v>42216</v>
      </c>
      <c r="AE28" s="40">
        <f t="shared" si="5"/>
        <v>42247</v>
      </c>
      <c r="AF28" s="40">
        <f t="shared" si="5"/>
        <v>42277</v>
      </c>
      <c r="AG28" s="40">
        <f t="shared" si="5"/>
        <v>42308</v>
      </c>
      <c r="AH28" s="40">
        <f t="shared" si="5"/>
        <v>42338</v>
      </c>
      <c r="AI28" s="40">
        <f t="shared" si="5"/>
        <v>42369</v>
      </c>
      <c r="AK28" s="39">
        <f t="shared" si="6"/>
        <v>2015</v>
      </c>
      <c r="AL28" s="40" t="str">
        <f t="shared" si="7"/>
        <v/>
      </c>
      <c r="AM28" s="40" t="str">
        <f t="shared" si="7"/>
        <v/>
      </c>
      <c r="AN28" s="40" t="str">
        <f t="shared" si="7"/>
        <v/>
      </c>
      <c r="AO28" s="40" t="str">
        <f t="shared" si="7"/>
        <v/>
      </c>
      <c r="AP28" s="40" t="str">
        <f t="shared" si="7"/>
        <v/>
      </c>
      <c r="AQ28" s="40" t="str">
        <f t="shared" si="7"/>
        <v/>
      </c>
      <c r="AR28" s="40" t="str">
        <f t="shared" si="7"/>
        <v/>
      </c>
      <c r="AS28" s="40" t="str">
        <f t="shared" si="7"/>
        <v/>
      </c>
      <c r="AT28" s="40" t="str">
        <f t="shared" si="7"/>
        <v/>
      </c>
      <c r="AU28" s="40" t="str">
        <f t="shared" si="7"/>
        <v/>
      </c>
      <c r="AV28" s="40" t="str">
        <f t="shared" si="7"/>
        <v/>
      </c>
      <c r="AW28" s="40" t="str">
        <f t="shared" si="7"/>
        <v/>
      </c>
    </row>
    <row r="29" spans="2:49" ht="12" customHeight="1">
      <c r="B29" s="17"/>
      <c r="C29" s="28"/>
      <c r="E29" s="45" t="s">
        <v>131</v>
      </c>
      <c r="F29" s="142"/>
      <c r="G29" s="142"/>
      <c r="H29" s="143"/>
      <c r="I29" s="84">
        <v>2016</v>
      </c>
      <c r="J29" s="58">
        <v>-3.3</v>
      </c>
      <c r="K29" s="58">
        <v>-3.4</v>
      </c>
      <c r="L29" s="58">
        <v>-3.3</v>
      </c>
      <c r="M29" s="58">
        <v>-3</v>
      </c>
      <c r="N29" s="58">
        <v>-3</v>
      </c>
      <c r="O29" s="58">
        <v>-2.7</v>
      </c>
      <c r="P29" s="58">
        <v>-2.5</v>
      </c>
      <c r="Q29" s="58">
        <v>-1.8</v>
      </c>
      <c r="R29" s="58">
        <v>-1.1000000000000001</v>
      </c>
      <c r="S29" s="58">
        <v>-0.1</v>
      </c>
      <c r="T29" s="58">
        <v>0.7</v>
      </c>
      <c r="U29" s="58">
        <v>1.8</v>
      </c>
      <c r="W29" s="39">
        <f t="shared" si="4"/>
        <v>2016</v>
      </c>
      <c r="X29" s="40">
        <f t="shared" si="5"/>
        <v>42400</v>
      </c>
      <c r="Y29" s="40">
        <f t="shared" si="5"/>
        <v>42429</v>
      </c>
      <c r="Z29" s="40">
        <f t="shared" si="5"/>
        <v>42460</v>
      </c>
      <c r="AA29" s="40">
        <f t="shared" si="5"/>
        <v>42490</v>
      </c>
      <c r="AB29" s="40">
        <f t="shared" si="5"/>
        <v>42521</v>
      </c>
      <c r="AC29" s="40">
        <f t="shared" si="5"/>
        <v>42551</v>
      </c>
      <c r="AD29" s="40">
        <f t="shared" si="5"/>
        <v>42582</v>
      </c>
      <c r="AE29" s="40">
        <f t="shared" si="5"/>
        <v>42613</v>
      </c>
      <c r="AF29" s="40">
        <f t="shared" si="5"/>
        <v>42643</v>
      </c>
      <c r="AG29" s="40">
        <f t="shared" si="5"/>
        <v>42674</v>
      </c>
      <c r="AH29" s="40">
        <f t="shared" si="5"/>
        <v>42704</v>
      </c>
      <c r="AI29" s="40">
        <f t="shared" si="5"/>
        <v>42735</v>
      </c>
      <c r="AK29" s="39">
        <f t="shared" si="6"/>
        <v>2016</v>
      </c>
      <c r="AL29" s="40" t="str">
        <f t="shared" si="7"/>
        <v/>
      </c>
      <c r="AM29" s="40" t="str">
        <f t="shared" si="7"/>
        <v/>
      </c>
      <c r="AN29" s="40" t="str">
        <f t="shared" si="7"/>
        <v/>
      </c>
      <c r="AO29" s="40" t="str">
        <f t="shared" si="7"/>
        <v/>
      </c>
      <c r="AP29" s="40" t="str">
        <f t="shared" si="7"/>
        <v/>
      </c>
      <c r="AQ29" s="40" t="str">
        <f t="shared" si="7"/>
        <v/>
      </c>
      <c r="AR29" s="40" t="str">
        <f t="shared" si="7"/>
        <v/>
      </c>
      <c r="AS29" s="40" t="str">
        <f t="shared" si="7"/>
        <v/>
      </c>
      <c r="AT29" s="40" t="str">
        <f t="shared" si="7"/>
        <v/>
      </c>
      <c r="AU29" s="40" t="str">
        <f t="shared" si="7"/>
        <v/>
      </c>
      <c r="AV29" s="40" t="str">
        <f t="shared" si="7"/>
        <v/>
      </c>
      <c r="AW29" s="40" t="str">
        <f t="shared" si="7"/>
        <v/>
      </c>
    </row>
    <row r="30" spans="2:49" ht="12" customHeight="1">
      <c r="B30" s="17"/>
      <c r="C30" s="28"/>
      <c r="E30" s="45" t="s">
        <v>131</v>
      </c>
      <c r="F30" s="142"/>
      <c r="G30" s="142"/>
      <c r="H30" s="143"/>
      <c r="I30" s="84">
        <v>2017</v>
      </c>
      <c r="J30" s="58">
        <v>3.9</v>
      </c>
      <c r="K30" s="58">
        <v>4.3</v>
      </c>
      <c r="L30" s="58">
        <v>4.3</v>
      </c>
      <c r="M30" s="58">
        <v>3.8</v>
      </c>
      <c r="N30" s="58">
        <v>3.4</v>
      </c>
      <c r="O30" s="58">
        <v>2.8</v>
      </c>
      <c r="P30" s="58">
        <v>3</v>
      </c>
      <c r="Q30" s="58">
        <v>3.3</v>
      </c>
      <c r="R30" s="58">
        <v>3.8</v>
      </c>
      <c r="S30" s="58">
        <v>3.6</v>
      </c>
      <c r="T30" s="58">
        <v>3</v>
      </c>
      <c r="U30" s="58">
        <v>2.2000000000000002</v>
      </c>
      <c r="W30" s="39">
        <f t="shared" si="4"/>
        <v>2017</v>
      </c>
      <c r="X30" s="40">
        <f t="shared" si="5"/>
        <v>42766</v>
      </c>
      <c r="Y30" s="40">
        <f t="shared" si="5"/>
        <v>42794</v>
      </c>
      <c r="Z30" s="40">
        <f t="shared" si="5"/>
        <v>42825</v>
      </c>
      <c r="AA30" s="40">
        <f t="shared" si="5"/>
        <v>42855</v>
      </c>
      <c r="AB30" s="40">
        <f t="shared" si="5"/>
        <v>42886</v>
      </c>
      <c r="AC30" s="40">
        <f t="shared" si="5"/>
        <v>42916</v>
      </c>
      <c r="AD30" s="40">
        <f t="shared" si="5"/>
        <v>42947</v>
      </c>
      <c r="AE30" s="40">
        <f t="shared" si="5"/>
        <v>42978</v>
      </c>
      <c r="AF30" s="40">
        <f t="shared" si="5"/>
        <v>43008</v>
      </c>
      <c r="AG30" s="40">
        <f t="shared" si="5"/>
        <v>43039</v>
      </c>
      <c r="AH30" s="40">
        <f t="shared" si="5"/>
        <v>43069</v>
      </c>
      <c r="AI30" s="40">
        <f t="shared" si="5"/>
        <v>43100</v>
      </c>
      <c r="AK30" s="39">
        <f t="shared" si="6"/>
        <v>2017</v>
      </c>
      <c r="AL30" s="40" t="str">
        <f t="shared" si="7"/>
        <v/>
      </c>
      <c r="AM30" s="40" t="str">
        <f t="shared" si="7"/>
        <v/>
      </c>
      <c r="AN30" s="40" t="str">
        <f t="shared" si="7"/>
        <v/>
      </c>
      <c r="AO30" s="40" t="str">
        <f t="shared" si="7"/>
        <v/>
      </c>
      <c r="AP30" s="40" t="str">
        <f t="shared" si="7"/>
        <v/>
      </c>
      <c r="AQ30" s="40" t="str">
        <f t="shared" si="7"/>
        <v/>
      </c>
      <c r="AR30" s="40" t="str">
        <f t="shared" si="7"/>
        <v/>
      </c>
      <c r="AS30" s="40" t="str">
        <f t="shared" si="7"/>
        <v/>
      </c>
      <c r="AT30" s="40" t="str">
        <f t="shared" si="7"/>
        <v/>
      </c>
      <c r="AU30" s="40" t="str">
        <f t="shared" si="7"/>
        <v/>
      </c>
      <c r="AV30" s="40" t="str">
        <f t="shared" si="7"/>
        <v/>
      </c>
      <c r="AW30" s="40" t="str">
        <f t="shared" si="7"/>
        <v/>
      </c>
    </row>
    <row r="31" spans="2:49" ht="12" customHeight="1">
      <c r="B31" s="17"/>
      <c r="C31" s="28"/>
      <c r="E31" s="45" t="s">
        <v>131</v>
      </c>
      <c r="F31" s="142"/>
      <c r="G31" s="142"/>
      <c r="H31" s="143"/>
      <c r="I31" s="84">
        <v>2018</v>
      </c>
      <c r="J31" s="58">
        <v>1.2</v>
      </c>
      <c r="K31" s="58">
        <v>1.2</v>
      </c>
      <c r="L31" s="58">
        <v>1.2</v>
      </c>
      <c r="M31" s="58">
        <v>1.5</v>
      </c>
      <c r="N31" s="58">
        <v>2.1</v>
      </c>
      <c r="O31" s="58">
        <v>2.5</v>
      </c>
      <c r="P31" s="58">
        <v>2.9</v>
      </c>
      <c r="Q31" s="58">
        <v>2.9</v>
      </c>
      <c r="R31" s="58">
        <v>2.5</v>
      </c>
      <c r="S31" s="58">
        <v>2.1</v>
      </c>
      <c r="T31" s="58">
        <v>1.5</v>
      </c>
      <c r="U31" s="58">
        <v>0.9</v>
      </c>
      <c r="W31" s="39">
        <f t="shared" si="4"/>
        <v>2018</v>
      </c>
      <c r="X31" s="40">
        <f t="shared" si="5"/>
        <v>43131</v>
      </c>
      <c r="Y31" s="40">
        <f t="shared" si="5"/>
        <v>43159</v>
      </c>
      <c r="Z31" s="40">
        <f t="shared" si="5"/>
        <v>43190</v>
      </c>
      <c r="AA31" s="40">
        <f t="shared" si="5"/>
        <v>43220</v>
      </c>
      <c r="AB31" s="40">
        <f t="shared" si="5"/>
        <v>43251</v>
      </c>
      <c r="AC31" s="40">
        <f t="shared" si="5"/>
        <v>43281</v>
      </c>
      <c r="AD31" s="40">
        <f t="shared" si="5"/>
        <v>43312</v>
      </c>
      <c r="AE31" s="40">
        <f t="shared" si="5"/>
        <v>43343</v>
      </c>
      <c r="AF31" s="40">
        <f t="shared" si="5"/>
        <v>43373</v>
      </c>
      <c r="AG31" s="40">
        <f t="shared" si="5"/>
        <v>43404</v>
      </c>
      <c r="AH31" s="40">
        <f t="shared" si="5"/>
        <v>43434</v>
      </c>
      <c r="AI31" s="40">
        <f t="shared" si="5"/>
        <v>43465</v>
      </c>
      <c r="AK31" s="39">
        <f t="shared" si="6"/>
        <v>2018</v>
      </c>
      <c r="AL31" s="40" t="str">
        <f t="shared" si="7"/>
        <v/>
      </c>
      <c r="AM31" s="40" t="str">
        <f t="shared" si="7"/>
        <v/>
      </c>
      <c r="AN31" s="40" t="str">
        <f t="shared" si="7"/>
        <v/>
      </c>
      <c r="AO31" s="40" t="str">
        <f t="shared" si="7"/>
        <v/>
      </c>
      <c r="AP31" s="40" t="str">
        <f t="shared" si="7"/>
        <v/>
      </c>
      <c r="AQ31" s="40" t="str">
        <f t="shared" si="7"/>
        <v/>
      </c>
      <c r="AR31" s="40" t="str">
        <f t="shared" si="7"/>
        <v/>
      </c>
      <c r="AS31" s="40" t="str">
        <f t="shared" si="7"/>
        <v/>
      </c>
      <c r="AT31" s="40" t="str">
        <f t="shared" si="7"/>
        <v/>
      </c>
      <c r="AU31" s="40" t="str">
        <f t="shared" si="7"/>
        <v/>
      </c>
      <c r="AV31" s="40" t="str">
        <f t="shared" si="7"/>
        <v/>
      </c>
      <c r="AW31" s="40" t="str">
        <f t="shared" si="7"/>
        <v/>
      </c>
    </row>
    <row r="32" spans="2:49" ht="12" customHeight="1">
      <c r="B32" s="17"/>
      <c r="C32" s="28"/>
      <c r="E32" s="45" t="s">
        <v>131</v>
      </c>
      <c r="F32" s="142"/>
      <c r="G32" s="142"/>
      <c r="H32" s="143"/>
      <c r="I32" s="84">
        <v>2019</v>
      </c>
      <c r="J32" s="58">
        <v>0.4</v>
      </c>
      <c r="K32" s="58">
        <v>0.1</v>
      </c>
      <c r="L32" s="58">
        <v>0.5</v>
      </c>
      <c r="M32" s="58">
        <v>0.6</v>
      </c>
      <c r="N32" s="58">
        <v>0.4</v>
      </c>
      <c r="O32" s="58">
        <v>0.1</v>
      </c>
      <c r="P32" s="58">
        <v>-0.3</v>
      </c>
      <c r="Q32" s="58">
        <v>-0.6</v>
      </c>
      <c r="R32" s="58">
        <v>-0.8</v>
      </c>
      <c r="S32" s="58">
        <v>-0.7</v>
      </c>
      <c r="T32" s="58">
        <v>-0.1</v>
      </c>
      <c r="U32" s="58">
        <v>0.7</v>
      </c>
      <c r="W32" s="39">
        <f t="shared" si="4"/>
        <v>2019</v>
      </c>
      <c r="X32" s="40">
        <f t="shared" si="5"/>
        <v>43496</v>
      </c>
      <c r="Y32" s="40">
        <f t="shared" si="5"/>
        <v>43524</v>
      </c>
      <c r="Z32" s="40">
        <f t="shared" si="5"/>
        <v>43555</v>
      </c>
      <c r="AA32" s="40">
        <f t="shared" si="5"/>
        <v>43585</v>
      </c>
      <c r="AB32" s="40">
        <f t="shared" si="5"/>
        <v>43616</v>
      </c>
      <c r="AC32" s="40">
        <f t="shared" si="5"/>
        <v>43646</v>
      </c>
      <c r="AD32" s="40">
        <f t="shared" si="5"/>
        <v>43677</v>
      </c>
      <c r="AE32" s="40">
        <f t="shared" si="5"/>
        <v>43708</v>
      </c>
      <c r="AF32" s="40">
        <f t="shared" si="5"/>
        <v>43738</v>
      </c>
      <c r="AG32" s="40">
        <f t="shared" si="5"/>
        <v>43769</v>
      </c>
      <c r="AH32" s="40">
        <f t="shared" si="5"/>
        <v>43799</v>
      </c>
      <c r="AI32" s="40">
        <f t="shared" si="5"/>
        <v>43830</v>
      </c>
      <c r="AK32" s="39">
        <f t="shared" si="6"/>
        <v>2019</v>
      </c>
      <c r="AL32" s="40" t="str">
        <f t="shared" si="7"/>
        <v/>
      </c>
      <c r="AM32" s="40" t="str">
        <f t="shared" si="7"/>
        <v/>
      </c>
      <c r="AN32" s="40" t="str">
        <f t="shared" si="7"/>
        <v/>
      </c>
      <c r="AO32" s="40" t="str">
        <f t="shared" si="7"/>
        <v/>
      </c>
      <c r="AP32" s="40" t="str">
        <f t="shared" si="7"/>
        <v/>
      </c>
      <c r="AQ32" s="40" t="str">
        <f t="shared" si="7"/>
        <v/>
      </c>
      <c r="AR32" s="40" t="str">
        <f t="shared" si="7"/>
        <v/>
      </c>
      <c r="AS32" s="40" t="str">
        <f t="shared" si="7"/>
        <v/>
      </c>
      <c r="AT32" s="40" t="str">
        <f t="shared" si="7"/>
        <v/>
      </c>
      <c r="AU32" s="40" t="str">
        <f t="shared" si="7"/>
        <v/>
      </c>
      <c r="AV32" s="40" t="str">
        <f t="shared" si="7"/>
        <v/>
      </c>
      <c r="AW32" s="40" t="str">
        <f t="shared" si="7"/>
        <v/>
      </c>
    </row>
    <row r="33" spans="2:49" ht="12" customHeight="1">
      <c r="B33" s="17"/>
      <c r="C33" s="28"/>
      <c r="E33" s="45" t="s">
        <v>131</v>
      </c>
      <c r="F33" s="142"/>
      <c r="G33" s="142"/>
      <c r="H33" s="143"/>
      <c r="I33" s="84">
        <v>2020</v>
      </c>
      <c r="J33" s="58">
        <v>1.1000000000000001</v>
      </c>
      <c r="K33" s="58">
        <v>0.7</v>
      </c>
      <c r="L33" s="58">
        <v>-0.5</v>
      </c>
      <c r="M33" s="58">
        <v>-1.7</v>
      </c>
      <c r="N33" s="58">
        <v>-1.8</v>
      </c>
      <c r="O33" s="58">
        <v>-1</v>
      </c>
      <c r="P33" s="58">
        <v>-0.8</v>
      </c>
      <c r="Q33" s="58">
        <v>-0.5</v>
      </c>
      <c r="R33" s="58">
        <v>-0.4</v>
      </c>
      <c r="S33" s="58">
        <v>-0.5</v>
      </c>
      <c r="T33" s="58">
        <v>-0.3</v>
      </c>
      <c r="U33" s="58">
        <v>0.2</v>
      </c>
      <c r="W33" s="39">
        <f>W34-1</f>
        <v>2020</v>
      </c>
      <c r="X33" s="40">
        <f t="shared" si="5"/>
        <v>43861</v>
      </c>
      <c r="Y33" s="40">
        <f t="shared" si="5"/>
        <v>43890</v>
      </c>
      <c r="Z33" s="40">
        <f t="shared" si="5"/>
        <v>43921</v>
      </c>
      <c r="AA33" s="40">
        <f t="shared" si="5"/>
        <v>43951</v>
      </c>
      <c r="AB33" s="40">
        <f t="shared" si="5"/>
        <v>43982</v>
      </c>
      <c r="AC33" s="40">
        <f t="shared" si="5"/>
        <v>44012</v>
      </c>
      <c r="AD33" s="40">
        <f t="shared" si="5"/>
        <v>44043</v>
      </c>
      <c r="AE33" s="40">
        <f t="shared" si="5"/>
        <v>44074</v>
      </c>
      <c r="AF33" s="40">
        <f t="shared" si="5"/>
        <v>44104</v>
      </c>
      <c r="AG33" s="40">
        <f t="shared" si="5"/>
        <v>44135</v>
      </c>
      <c r="AH33" s="40">
        <f t="shared" si="5"/>
        <v>44165</v>
      </c>
      <c r="AI33" s="40">
        <f t="shared" si="5"/>
        <v>44196</v>
      </c>
      <c r="AK33" s="39">
        <f>AK34-1</f>
        <v>2020</v>
      </c>
      <c r="AL33" s="40" t="str">
        <f t="shared" si="7"/>
        <v/>
      </c>
      <c r="AM33" s="40" t="str">
        <f t="shared" si="7"/>
        <v/>
      </c>
      <c r="AN33" s="40" t="str">
        <f t="shared" si="7"/>
        <v/>
      </c>
      <c r="AO33" s="40" t="str">
        <f t="shared" si="7"/>
        <v/>
      </c>
      <c r="AP33" s="40" t="str">
        <f t="shared" si="7"/>
        <v/>
      </c>
      <c r="AQ33" s="40" t="str">
        <f t="shared" si="7"/>
        <v/>
      </c>
      <c r="AR33" s="40" t="str">
        <f t="shared" si="7"/>
        <v/>
      </c>
      <c r="AS33" s="40" t="str">
        <f t="shared" si="7"/>
        <v/>
      </c>
      <c r="AT33" s="40" t="str">
        <f t="shared" si="7"/>
        <v/>
      </c>
      <c r="AU33" s="40" t="str">
        <f t="shared" si="7"/>
        <v/>
      </c>
      <c r="AV33" s="40" t="str">
        <f t="shared" si="7"/>
        <v/>
      </c>
      <c r="AW33" s="40" t="str">
        <f t="shared" si="7"/>
        <v/>
      </c>
    </row>
    <row r="34" spans="2:49" ht="12" customHeight="1">
      <c r="B34" s="17"/>
      <c r="C34" s="28"/>
      <c r="E34" s="45" t="s">
        <v>131</v>
      </c>
      <c r="F34" s="142"/>
      <c r="G34" s="142"/>
      <c r="H34" s="143"/>
      <c r="I34" s="50">
        <v>2021</v>
      </c>
      <c r="J34" s="58">
        <v>0.9</v>
      </c>
      <c r="K34" s="58">
        <v>2.1</v>
      </c>
      <c r="L34" s="58">
        <v>4.0999999999999996</v>
      </c>
      <c r="M34" s="58">
        <v>6</v>
      </c>
      <c r="N34" s="58">
        <v>6.6</v>
      </c>
      <c r="O34" s="58">
        <v>6.6</v>
      </c>
      <c r="P34" s="58" t="s">
        <v>225</v>
      </c>
      <c r="Q34" s="58" t="s">
        <v>225</v>
      </c>
      <c r="R34" s="58" t="s">
        <v>225</v>
      </c>
      <c r="S34" s="58" t="s">
        <v>225</v>
      </c>
      <c r="T34" s="58" t="s">
        <v>225</v>
      </c>
      <c r="U34" s="58" t="s">
        <v>225</v>
      </c>
      <c r="W34" s="41">
        <f>YEAR($C$4)</f>
        <v>2021</v>
      </c>
      <c r="X34" s="40">
        <f t="shared" si="5"/>
        <v>44227</v>
      </c>
      <c r="Y34" s="40">
        <f t="shared" si="5"/>
        <v>44255</v>
      </c>
      <c r="Z34" s="40">
        <f t="shared" si="5"/>
        <v>44286</v>
      </c>
      <c r="AA34" s="40">
        <f t="shared" si="5"/>
        <v>44316</v>
      </c>
      <c r="AB34" s="40">
        <f t="shared" si="5"/>
        <v>44347</v>
      </c>
      <c r="AC34" s="40">
        <f t="shared" si="5"/>
        <v>44377</v>
      </c>
      <c r="AD34" s="40" t="str">
        <f t="shared" si="5"/>
        <v/>
      </c>
      <c r="AE34" s="40" t="str">
        <f t="shared" si="5"/>
        <v/>
      </c>
      <c r="AF34" s="40" t="str">
        <f t="shared" si="5"/>
        <v/>
      </c>
      <c r="AG34" s="40" t="str">
        <f t="shared" si="5"/>
        <v/>
      </c>
      <c r="AH34" s="40" t="str">
        <f t="shared" si="5"/>
        <v/>
      </c>
      <c r="AI34" s="40" t="str">
        <f t="shared" si="5"/>
        <v/>
      </c>
      <c r="AK34" s="41">
        <f>YEAR($C$4)</f>
        <v>2021</v>
      </c>
      <c r="AL34" s="40" t="str">
        <f t="shared" si="7"/>
        <v/>
      </c>
      <c r="AM34" s="40" t="str">
        <f t="shared" si="7"/>
        <v/>
      </c>
      <c r="AN34" s="40" t="str">
        <f t="shared" si="7"/>
        <v/>
      </c>
      <c r="AO34" s="40" t="str">
        <f t="shared" si="7"/>
        <v/>
      </c>
      <c r="AP34" s="40" t="str">
        <f t="shared" si="7"/>
        <v/>
      </c>
      <c r="AQ34" s="40" t="str">
        <f t="shared" si="7"/>
        <v>MAX</v>
      </c>
      <c r="AR34" s="40" t="str">
        <f t="shared" si="7"/>
        <v/>
      </c>
      <c r="AS34" s="40" t="str">
        <f t="shared" si="7"/>
        <v/>
      </c>
      <c r="AT34" s="40" t="str">
        <f t="shared" si="7"/>
        <v/>
      </c>
      <c r="AU34" s="40" t="str">
        <f t="shared" si="7"/>
        <v/>
      </c>
      <c r="AV34" s="40" t="str">
        <f t="shared" si="7"/>
        <v/>
      </c>
      <c r="AW34" s="40" t="str">
        <f t="shared" si="7"/>
        <v/>
      </c>
    </row>
    <row r="35" spans="2:49" ht="12" customHeight="1">
      <c r="B35" s="17"/>
      <c r="C35" s="28"/>
      <c r="F35" s="44" t="b">
        <f>COUNT(J37:U47)=120</f>
        <v>1</v>
      </c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2:49" ht="12" customHeight="1">
      <c r="B36" s="17"/>
      <c r="C36" s="28"/>
      <c r="F36" s="46" t="s">
        <v>4</v>
      </c>
      <c r="G36" s="46" t="s">
        <v>5</v>
      </c>
      <c r="H36" s="46" t="s">
        <v>6</v>
      </c>
      <c r="I36" s="47" t="s">
        <v>7</v>
      </c>
      <c r="J36" s="48">
        <v>1</v>
      </c>
      <c r="K36" s="48">
        <v>2</v>
      </c>
      <c r="L36" s="48">
        <v>3</v>
      </c>
      <c r="M36" s="48">
        <v>4</v>
      </c>
      <c r="N36" s="48">
        <v>5</v>
      </c>
      <c r="O36" s="48">
        <v>6</v>
      </c>
      <c r="P36" s="48">
        <v>7</v>
      </c>
      <c r="Q36" s="48">
        <v>8</v>
      </c>
      <c r="R36" s="48">
        <v>9</v>
      </c>
      <c r="S36" s="48">
        <v>10</v>
      </c>
      <c r="T36" s="48">
        <v>11</v>
      </c>
      <c r="U36" s="48">
        <v>12</v>
      </c>
      <c r="W36" s="42" t="s">
        <v>7</v>
      </c>
      <c r="X36" s="38">
        <v>1</v>
      </c>
      <c r="Y36" s="38">
        <v>2</v>
      </c>
      <c r="Z36" s="38">
        <v>3</v>
      </c>
      <c r="AA36" s="38">
        <v>4</v>
      </c>
      <c r="AB36" s="38">
        <v>5</v>
      </c>
      <c r="AC36" s="38">
        <v>6</v>
      </c>
      <c r="AD36" s="38">
        <v>7</v>
      </c>
      <c r="AE36" s="38">
        <v>8</v>
      </c>
      <c r="AF36" s="38">
        <v>9</v>
      </c>
      <c r="AG36" s="38">
        <v>10</v>
      </c>
      <c r="AH36" s="38">
        <v>11</v>
      </c>
      <c r="AI36" s="38">
        <v>12</v>
      </c>
      <c r="AK36" s="42" t="s">
        <v>7</v>
      </c>
      <c r="AL36" s="38">
        <v>1</v>
      </c>
      <c r="AM36" s="38">
        <v>2</v>
      </c>
      <c r="AN36" s="38">
        <v>3</v>
      </c>
      <c r="AO36" s="38">
        <v>4</v>
      </c>
      <c r="AP36" s="38">
        <v>5</v>
      </c>
      <c r="AQ36" s="38">
        <v>6</v>
      </c>
      <c r="AR36" s="38">
        <v>7</v>
      </c>
      <c r="AS36" s="38">
        <v>8</v>
      </c>
      <c r="AT36" s="38">
        <v>9</v>
      </c>
      <c r="AU36" s="38">
        <v>10</v>
      </c>
      <c r="AV36" s="38">
        <v>11</v>
      </c>
      <c r="AW36" s="38">
        <v>12</v>
      </c>
    </row>
    <row r="37" spans="2:49" ht="12" customHeight="1">
      <c r="B37" s="17"/>
      <c r="C37" s="28"/>
      <c r="E37" s="45" t="s">
        <v>136</v>
      </c>
      <c r="F37" s="142" t="s">
        <v>220</v>
      </c>
      <c r="G37" s="142" t="s">
        <v>221</v>
      </c>
      <c r="H37" s="143" t="s">
        <v>222</v>
      </c>
      <c r="I37" s="57">
        <v>2011</v>
      </c>
      <c r="J37" s="58" t="s">
        <v>225</v>
      </c>
      <c r="K37" s="58" t="s">
        <v>225</v>
      </c>
      <c r="L37" s="58" t="s">
        <v>225</v>
      </c>
      <c r="M37" s="58" t="s">
        <v>225</v>
      </c>
      <c r="N37" s="58" t="s">
        <v>225</v>
      </c>
      <c r="O37" s="58" t="s">
        <v>225</v>
      </c>
      <c r="P37" s="58">
        <v>0.7</v>
      </c>
      <c r="Q37" s="58">
        <v>0.7</v>
      </c>
      <c r="R37" s="58">
        <v>0.7</v>
      </c>
      <c r="S37" s="58">
        <v>0.8</v>
      </c>
      <c r="T37" s="58">
        <v>0.9</v>
      </c>
      <c r="U37" s="58">
        <v>0.9</v>
      </c>
      <c r="W37" s="39">
        <f t="shared" ref="W37:W45" si="8">W38-1</f>
        <v>2011</v>
      </c>
      <c r="X37" s="40" t="str">
        <f t="shared" ref="X37:AI47" si="9">X11</f>
        <v/>
      </c>
      <c r="Y37" s="40" t="str">
        <f t="shared" si="9"/>
        <v/>
      </c>
      <c r="Z37" s="40" t="str">
        <f t="shared" si="9"/>
        <v/>
      </c>
      <c r="AA37" s="40" t="str">
        <f t="shared" si="9"/>
        <v/>
      </c>
      <c r="AB37" s="40" t="str">
        <f t="shared" si="9"/>
        <v/>
      </c>
      <c r="AC37" s="40" t="str">
        <f t="shared" si="9"/>
        <v/>
      </c>
      <c r="AD37" s="40">
        <f t="shared" si="9"/>
        <v>40755</v>
      </c>
      <c r="AE37" s="40">
        <f t="shared" si="9"/>
        <v>40786</v>
      </c>
      <c r="AF37" s="40">
        <f t="shared" si="9"/>
        <v>40816</v>
      </c>
      <c r="AG37" s="40">
        <f t="shared" si="9"/>
        <v>40847</v>
      </c>
      <c r="AH37" s="40">
        <f t="shared" si="9"/>
        <v>40877</v>
      </c>
      <c r="AI37" s="40">
        <f t="shared" si="9"/>
        <v>40908</v>
      </c>
      <c r="AK37" s="39">
        <f t="shared" ref="AK37:AK45" si="10">AK38-1</f>
        <v>2011</v>
      </c>
      <c r="AL37" s="40" t="str">
        <f t="shared" ref="AL37:AW47" si="11">AL11</f>
        <v/>
      </c>
      <c r="AM37" s="40" t="str">
        <f t="shared" si="11"/>
        <v/>
      </c>
      <c r="AN37" s="40" t="str">
        <f t="shared" si="11"/>
        <v/>
      </c>
      <c r="AO37" s="40" t="str">
        <f t="shared" si="11"/>
        <v/>
      </c>
      <c r="AP37" s="40" t="str">
        <f t="shared" si="11"/>
        <v/>
      </c>
      <c r="AQ37" s="40" t="str">
        <f t="shared" si="11"/>
        <v/>
      </c>
      <c r="AR37" s="40" t="str">
        <f t="shared" si="11"/>
        <v>MIN</v>
      </c>
      <c r="AS37" s="40" t="str">
        <f t="shared" si="11"/>
        <v/>
      </c>
      <c r="AT37" s="40" t="str">
        <f t="shared" si="11"/>
        <v/>
      </c>
      <c r="AU37" s="40" t="str">
        <f t="shared" si="11"/>
        <v/>
      </c>
      <c r="AV37" s="40" t="str">
        <f t="shared" si="11"/>
        <v/>
      </c>
      <c r="AW37" s="40" t="str">
        <f t="shared" si="11"/>
        <v/>
      </c>
    </row>
    <row r="38" spans="2:49" ht="12" customHeight="1">
      <c r="B38" s="17"/>
      <c r="C38" s="28"/>
      <c r="E38" s="45" t="s">
        <v>136</v>
      </c>
      <c r="F38" s="142"/>
      <c r="G38" s="142"/>
      <c r="H38" s="143"/>
      <c r="I38" s="57">
        <v>2012</v>
      </c>
      <c r="J38" s="58">
        <v>1</v>
      </c>
      <c r="K38" s="58">
        <v>1</v>
      </c>
      <c r="L38" s="58">
        <v>1</v>
      </c>
      <c r="M38" s="58">
        <v>1</v>
      </c>
      <c r="N38" s="58">
        <v>1</v>
      </c>
      <c r="O38" s="58">
        <v>1</v>
      </c>
      <c r="P38" s="58">
        <v>1.1000000000000001</v>
      </c>
      <c r="Q38" s="58">
        <v>1</v>
      </c>
      <c r="R38" s="58">
        <v>1.1000000000000001</v>
      </c>
      <c r="S38" s="58">
        <v>1</v>
      </c>
      <c r="T38" s="58">
        <v>1</v>
      </c>
      <c r="U38" s="58">
        <v>1</v>
      </c>
      <c r="W38" s="39">
        <f t="shared" si="8"/>
        <v>2012</v>
      </c>
      <c r="X38" s="40">
        <f t="shared" si="9"/>
        <v>40939</v>
      </c>
      <c r="Y38" s="40">
        <f t="shared" si="9"/>
        <v>40968</v>
      </c>
      <c r="Z38" s="40">
        <f t="shared" si="9"/>
        <v>40999</v>
      </c>
      <c r="AA38" s="40">
        <f t="shared" si="9"/>
        <v>41029</v>
      </c>
      <c r="AB38" s="40">
        <f t="shared" si="9"/>
        <v>41060</v>
      </c>
      <c r="AC38" s="40">
        <f t="shared" si="9"/>
        <v>41090</v>
      </c>
      <c r="AD38" s="40">
        <f t="shared" si="9"/>
        <v>41121</v>
      </c>
      <c r="AE38" s="40">
        <f t="shared" si="9"/>
        <v>41152</v>
      </c>
      <c r="AF38" s="40">
        <f t="shared" si="9"/>
        <v>41182</v>
      </c>
      <c r="AG38" s="40">
        <f t="shared" si="9"/>
        <v>41213</v>
      </c>
      <c r="AH38" s="40">
        <f t="shared" si="9"/>
        <v>41243</v>
      </c>
      <c r="AI38" s="40">
        <f t="shared" si="9"/>
        <v>41274</v>
      </c>
      <c r="AK38" s="39">
        <f t="shared" si="10"/>
        <v>2012</v>
      </c>
      <c r="AL38" s="40" t="str">
        <f t="shared" si="11"/>
        <v/>
      </c>
      <c r="AM38" s="40" t="str">
        <f t="shared" si="11"/>
        <v/>
      </c>
      <c r="AN38" s="40" t="str">
        <f t="shared" si="11"/>
        <v/>
      </c>
      <c r="AO38" s="40" t="str">
        <f t="shared" si="11"/>
        <v/>
      </c>
      <c r="AP38" s="40" t="str">
        <f t="shared" si="11"/>
        <v/>
      </c>
      <c r="AQ38" s="40" t="str">
        <f t="shared" si="11"/>
        <v/>
      </c>
      <c r="AR38" s="40" t="str">
        <f t="shared" si="11"/>
        <v/>
      </c>
      <c r="AS38" s="40" t="str">
        <f t="shared" si="11"/>
        <v/>
      </c>
      <c r="AT38" s="40" t="str">
        <f t="shared" si="11"/>
        <v/>
      </c>
      <c r="AU38" s="40" t="str">
        <f t="shared" si="11"/>
        <v/>
      </c>
      <c r="AV38" s="40" t="str">
        <f t="shared" si="11"/>
        <v/>
      </c>
      <c r="AW38" s="40" t="str">
        <f t="shared" si="11"/>
        <v/>
      </c>
    </row>
    <row r="39" spans="2:49" ht="12" customHeight="1">
      <c r="B39" s="17"/>
      <c r="C39" s="28"/>
      <c r="E39" s="45" t="s">
        <v>136</v>
      </c>
      <c r="F39" s="142"/>
      <c r="G39" s="142"/>
      <c r="H39" s="143"/>
      <c r="I39" s="57">
        <v>2013</v>
      </c>
      <c r="J39" s="58">
        <v>0.7</v>
      </c>
      <c r="K39" s="58">
        <v>0.9</v>
      </c>
      <c r="L39" s="58">
        <v>0.9</v>
      </c>
      <c r="M39" s="58">
        <v>0.7</v>
      </c>
      <c r="N39" s="58">
        <v>0.8</v>
      </c>
      <c r="O39" s="58">
        <v>0.8</v>
      </c>
      <c r="P39" s="58">
        <v>0.9</v>
      </c>
      <c r="Q39" s="58">
        <v>1.1000000000000001</v>
      </c>
      <c r="R39" s="58">
        <v>1.1000000000000001</v>
      </c>
      <c r="S39" s="58">
        <v>1.1000000000000001</v>
      </c>
      <c r="T39" s="58">
        <v>1.1000000000000001</v>
      </c>
      <c r="U39" s="58">
        <v>1</v>
      </c>
      <c r="W39" s="39">
        <f t="shared" si="8"/>
        <v>2013</v>
      </c>
      <c r="X39" s="40">
        <f t="shared" si="9"/>
        <v>41305</v>
      </c>
      <c r="Y39" s="40">
        <f t="shared" si="9"/>
        <v>41333</v>
      </c>
      <c r="Z39" s="40">
        <f t="shared" si="9"/>
        <v>41364</v>
      </c>
      <c r="AA39" s="40">
        <f t="shared" si="9"/>
        <v>41394</v>
      </c>
      <c r="AB39" s="40">
        <f t="shared" si="9"/>
        <v>41425</v>
      </c>
      <c r="AC39" s="40">
        <f t="shared" si="9"/>
        <v>41455</v>
      </c>
      <c r="AD39" s="40">
        <f t="shared" si="9"/>
        <v>41486</v>
      </c>
      <c r="AE39" s="40">
        <f t="shared" si="9"/>
        <v>41517</v>
      </c>
      <c r="AF39" s="40">
        <f t="shared" si="9"/>
        <v>41547</v>
      </c>
      <c r="AG39" s="40">
        <f t="shared" si="9"/>
        <v>41578</v>
      </c>
      <c r="AH39" s="40">
        <f t="shared" si="9"/>
        <v>41608</v>
      </c>
      <c r="AI39" s="40">
        <f t="shared" si="9"/>
        <v>41639</v>
      </c>
      <c r="AK39" s="39">
        <f t="shared" si="10"/>
        <v>2013</v>
      </c>
      <c r="AL39" s="40" t="str">
        <f t="shared" si="11"/>
        <v/>
      </c>
      <c r="AM39" s="40" t="str">
        <f t="shared" si="11"/>
        <v/>
      </c>
      <c r="AN39" s="40" t="str">
        <f t="shared" si="11"/>
        <v/>
      </c>
      <c r="AO39" s="40" t="str">
        <f t="shared" si="11"/>
        <v/>
      </c>
      <c r="AP39" s="40" t="str">
        <f t="shared" si="11"/>
        <v/>
      </c>
      <c r="AQ39" s="40" t="str">
        <f t="shared" si="11"/>
        <v/>
      </c>
      <c r="AR39" s="40" t="str">
        <f t="shared" si="11"/>
        <v/>
      </c>
      <c r="AS39" s="40" t="str">
        <f t="shared" si="11"/>
        <v/>
      </c>
      <c r="AT39" s="40" t="str">
        <f t="shared" si="11"/>
        <v/>
      </c>
      <c r="AU39" s="40" t="str">
        <f t="shared" si="11"/>
        <v/>
      </c>
      <c r="AV39" s="40" t="str">
        <f t="shared" si="11"/>
        <v/>
      </c>
      <c r="AW39" s="40" t="str">
        <f t="shared" si="11"/>
        <v/>
      </c>
    </row>
    <row r="40" spans="2:49" ht="12" customHeight="1">
      <c r="B40" s="17"/>
      <c r="C40" s="28"/>
      <c r="E40" s="45" t="s">
        <v>136</v>
      </c>
      <c r="F40" s="142"/>
      <c r="G40" s="142"/>
      <c r="H40" s="143"/>
      <c r="I40" s="57">
        <v>2014</v>
      </c>
      <c r="J40" s="58">
        <v>1</v>
      </c>
      <c r="K40" s="58">
        <v>0.9</v>
      </c>
      <c r="L40" s="58">
        <v>0.8</v>
      </c>
      <c r="M40" s="58">
        <v>1</v>
      </c>
      <c r="N40" s="58">
        <v>1</v>
      </c>
      <c r="O40" s="58">
        <v>0.9</v>
      </c>
      <c r="P40" s="58">
        <v>0.9</v>
      </c>
      <c r="Q40" s="58">
        <v>0.7</v>
      </c>
      <c r="R40" s="58">
        <v>0.6</v>
      </c>
      <c r="S40" s="58">
        <v>0.6</v>
      </c>
      <c r="T40" s="58">
        <v>0.7</v>
      </c>
      <c r="U40" s="58">
        <v>0.7</v>
      </c>
      <c r="W40" s="39">
        <f t="shared" si="8"/>
        <v>2014</v>
      </c>
      <c r="X40" s="40">
        <f t="shared" si="9"/>
        <v>41670</v>
      </c>
      <c r="Y40" s="40">
        <f t="shared" si="9"/>
        <v>41698</v>
      </c>
      <c r="Z40" s="40">
        <f t="shared" si="9"/>
        <v>41729</v>
      </c>
      <c r="AA40" s="40">
        <f t="shared" si="9"/>
        <v>41759</v>
      </c>
      <c r="AB40" s="40">
        <f t="shared" si="9"/>
        <v>41790</v>
      </c>
      <c r="AC40" s="40">
        <f t="shared" si="9"/>
        <v>41820</v>
      </c>
      <c r="AD40" s="40">
        <f t="shared" si="9"/>
        <v>41851</v>
      </c>
      <c r="AE40" s="40">
        <f t="shared" si="9"/>
        <v>41882</v>
      </c>
      <c r="AF40" s="40">
        <f t="shared" si="9"/>
        <v>41912</v>
      </c>
      <c r="AG40" s="40">
        <f t="shared" si="9"/>
        <v>41943</v>
      </c>
      <c r="AH40" s="40">
        <f t="shared" si="9"/>
        <v>41973</v>
      </c>
      <c r="AI40" s="40">
        <f t="shared" si="9"/>
        <v>42004</v>
      </c>
      <c r="AK40" s="39">
        <f t="shared" si="10"/>
        <v>2014</v>
      </c>
      <c r="AL40" s="40" t="str">
        <f t="shared" si="11"/>
        <v/>
      </c>
      <c r="AM40" s="40" t="str">
        <f t="shared" si="11"/>
        <v/>
      </c>
      <c r="AN40" s="40" t="str">
        <f t="shared" si="11"/>
        <v/>
      </c>
      <c r="AO40" s="40" t="str">
        <f t="shared" si="11"/>
        <v/>
      </c>
      <c r="AP40" s="40" t="str">
        <f t="shared" si="11"/>
        <v/>
      </c>
      <c r="AQ40" s="40" t="str">
        <f t="shared" si="11"/>
        <v/>
      </c>
      <c r="AR40" s="40" t="str">
        <f t="shared" si="11"/>
        <v/>
      </c>
      <c r="AS40" s="40" t="str">
        <f t="shared" si="11"/>
        <v/>
      </c>
      <c r="AT40" s="40" t="str">
        <f t="shared" si="11"/>
        <v/>
      </c>
      <c r="AU40" s="40" t="str">
        <f t="shared" si="11"/>
        <v/>
      </c>
      <c r="AV40" s="40" t="str">
        <f t="shared" si="11"/>
        <v/>
      </c>
      <c r="AW40" s="40" t="str">
        <f t="shared" si="11"/>
        <v/>
      </c>
    </row>
    <row r="41" spans="2:49" ht="12" customHeight="1">
      <c r="B41" s="17"/>
      <c r="C41" s="28"/>
      <c r="E41" s="45" t="s">
        <v>136</v>
      </c>
      <c r="F41" s="142"/>
      <c r="G41" s="142"/>
      <c r="H41" s="143"/>
      <c r="I41" s="57">
        <v>2015</v>
      </c>
      <c r="J41" s="58">
        <v>0.9</v>
      </c>
      <c r="K41" s="58">
        <v>0.9</v>
      </c>
      <c r="L41" s="58">
        <v>1</v>
      </c>
      <c r="M41" s="58">
        <v>1</v>
      </c>
      <c r="N41" s="58">
        <v>0.9</v>
      </c>
      <c r="O41" s="58">
        <v>1</v>
      </c>
      <c r="P41" s="58">
        <v>0.8</v>
      </c>
      <c r="Q41" s="58">
        <v>0.4</v>
      </c>
      <c r="R41" s="58">
        <v>0.4</v>
      </c>
      <c r="S41" s="58">
        <v>0.4</v>
      </c>
      <c r="T41" s="58">
        <v>0.3</v>
      </c>
      <c r="U41" s="58">
        <v>0.3</v>
      </c>
      <c r="W41" s="39">
        <f t="shared" si="8"/>
        <v>2015</v>
      </c>
      <c r="X41" s="40">
        <f t="shared" si="9"/>
        <v>42035</v>
      </c>
      <c r="Y41" s="40">
        <f t="shared" si="9"/>
        <v>42063</v>
      </c>
      <c r="Z41" s="40">
        <f t="shared" si="9"/>
        <v>42094</v>
      </c>
      <c r="AA41" s="40">
        <f t="shared" si="9"/>
        <v>42124</v>
      </c>
      <c r="AB41" s="40">
        <f t="shared" si="9"/>
        <v>42155</v>
      </c>
      <c r="AC41" s="40">
        <f t="shared" si="9"/>
        <v>42185</v>
      </c>
      <c r="AD41" s="40">
        <f t="shared" si="9"/>
        <v>42216</v>
      </c>
      <c r="AE41" s="40">
        <f t="shared" si="9"/>
        <v>42247</v>
      </c>
      <c r="AF41" s="40">
        <f t="shared" si="9"/>
        <v>42277</v>
      </c>
      <c r="AG41" s="40">
        <f t="shared" si="9"/>
        <v>42308</v>
      </c>
      <c r="AH41" s="40">
        <f t="shared" si="9"/>
        <v>42338</v>
      </c>
      <c r="AI41" s="40">
        <f t="shared" si="9"/>
        <v>42369</v>
      </c>
      <c r="AK41" s="39">
        <f t="shared" si="10"/>
        <v>2015</v>
      </c>
      <c r="AL41" s="40" t="str">
        <f t="shared" si="11"/>
        <v/>
      </c>
      <c r="AM41" s="40" t="str">
        <f t="shared" si="11"/>
        <v/>
      </c>
      <c r="AN41" s="40" t="str">
        <f t="shared" si="11"/>
        <v/>
      </c>
      <c r="AO41" s="40" t="str">
        <f t="shared" si="11"/>
        <v/>
      </c>
      <c r="AP41" s="40" t="str">
        <f t="shared" si="11"/>
        <v/>
      </c>
      <c r="AQ41" s="40" t="str">
        <f t="shared" si="11"/>
        <v/>
      </c>
      <c r="AR41" s="40" t="str">
        <f t="shared" si="11"/>
        <v/>
      </c>
      <c r="AS41" s="40" t="str">
        <f t="shared" si="11"/>
        <v/>
      </c>
      <c r="AT41" s="40" t="str">
        <f t="shared" si="11"/>
        <v/>
      </c>
      <c r="AU41" s="40" t="str">
        <f t="shared" si="11"/>
        <v/>
      </c>
      <c r="AV41" s="40" t="str">
        <f t="shared" si="11"/>
        <v/>
      </c>
      <c r="AW41" s="40" t="str">
        <f t="shared" si="11"/>
        <v/>
      </c>
    </row>
    <row r="42" spans="2:49" ht="12" customHeight="1">
      <c r="B42" s="17"/>
      <c r="C42" s="28"/>
      <c r="E42" s="45" t="s">
        <v>136</v>
      </c>
      <c r="F42" s="142"/>
      <c r="G42" s="142"/>
      <c r="H42" s="143"/>
      <c r="I42" s="57">
        <v>2016</v>
      </c>
      <c r="J42" s="58">
        <v>0.3</v>
      </c>
      <c r="K42" s="58">
        <v>0.3</v>
      </c>
      <c r="L42" s="58">
        <v>0.3</v>
      </c>
      <c r="M42" s="58">
        <v>0.3</v>
      </c>
      <c r="N42" s="58">
        <v>0.5</v>
      </c>
      <c r="O42" s="58">
        <v>0.6</v>
      </c>
      <c r="P42" s="58">
        <v>0.6</v>
      </c>
      <c r="Q42" s="58">
        <v>1.2</v>
      </c>
      <c r="R42" s="58">
        <v>1.2</v>
      </c>
      <c r="S42" s="58">
        <v>1.1000000000000001</v>
      </c>
      <c r="T42" s="58">
        <v>1.1000000000000001</v>
      </c>
      <c r="U42" s="58">
        <v>1</v>
      </c>
      <c r="W42" s="39">
        <f t="shared" si="8"/>
        <v>2016</v>
      </c>
      <c r="X42" s="40">
        <f t="shared" si="9"/>
        <v>42400</v>
      </c>
      <c r="Y42" s="40">
        <f t="shared" si="9"/>
        <v>42429</v>
      </c>
      <c r="Z42" s="40">
        <f t="shared" si="9"/>
        <v>42460</v>
      </c>
      <c r="AA42" s="40">
        <f t="shared" si="9"/>
        <v>42490</v>
      </c>
      <c r="AB42" s="40">
        <f t="shared" si="9"/>
        <v>42521</v>
      </c>
      <c r="AC42" s="40">
        <f t="shared" si="9"/>
        <v>42551</v>
      </c>
      <c r="AD42" s="40">
        <f t="shared" si="9"/>
        <v>42582</v>
      </c>
      <c r="AE42" s="40">
        <f t="shared" si="9"/>
        <v>42613</v>
      </c>
      <c r="AF42" s="40">
        <f t="shared" si="9"/>
        <v>42643</v>
      </c>
      <c r="AG42" s="40">
        <f t="shared" si="9"/>
        <v>42674</v>
      </c>
      <c r="AH42" s="40">
        <f t="shared" si="9"/>
        <v>42704</v>
      </c>
      <c r="AI42" s="40">
        <f t="shared" si="9"/>
        <v>42735</v>
      </c>
      <c r="AK42" s="39">
        <f t="shared" si="10"/>
        <v>2016</v>
      </c>
      <c r="AL42" s="40" t="str">
        <f t="shared" si="11"/>
        <v/>
      </c>
      <c r="AM42" s="40" t="str">
        <f t="shared" si="11"/>
        <v/>
      </c>
      <c r="AN42" s="40" t="str">
        <f t="shared" si="11"/>
        <v/>
      </c>
      <c r="AO42" s="40" t="str">
        <f t="shared" si="11"/>
        <v/>
      </c>
      <c r="AP42" s="40" t="str">
        <f t="shared" si="11"/>
        <v/>
      </c>
      <c r="AQ42" s="40" t="str">
        <f t="shared" si="11"/>
        <v/>
      </c>
      <c r="AR42" s="40" t="str">
        <f t="shared" si="11"/>
        <v/>
      </c>
      <c r="AS42" s="40" t="str">
        <f t="shared" si="11"/>
        <v/>
      </c>
      <c r="AT42" s="40" t="str">
        <f t="shared" si="11"/>
        <v/>
      </c>
      <c r="AU42" s="40" t="str">
        <f t="shared" si="11"/>
        <v/>
      </c>
      <c r="AV42" s="40" t="str">
        <f t="shared" si="11"/>
        <v/>
      </c>
      <c r="AW42" s="40" t="str">
        <f t="shared" si="11"/>
        <v/>
      </c>
    </row>
    <row r="43" spans="2:49" ht="12" customHeight="1">
      <c r="B43" s="17"/>
      <c r="C43" s="28"/>
      <c r="E43" s="45" t="s">
        <v>136</v>
      </c>
      <c r="F43" s="142"/>
      <c r="G43" s="142"/>
      <c r="H43" s="143"/>
      <c r="I43" s="57">
        <v>2017</v>
      </c>
      <c r="J43" s="58">
        <v>0.9</v>
      </c>
      <c r="K43" s="58">
        <v>0.8</v>
      </c>
      <c r="L43" s="58">
        <v>0.9</v>
      </c>
      <c r="M43" s="58">
        <v>0.9</v>
      </c>
      <c r="N43" s="58">
        <v>0.7</v>
      </c>
      <c r="O43" s="58">
        <v>0.5</v>
      </c>
      <c r="P43" s="58">
        <v>0.7</v>
      </c>
      <c r="Q43" s="58">
        <v>0.5</v>
      </c>
      <c r="R43" s="58">
        <v>0.3</v>
      </c>
      <c r="S43" s="58">
        <v>0.4</v>
      </c>
      <c r="T43" s="58">
        <v>0.3</v>
      </c>
      <c r="U43" s="58">
        <v>0.4</v>
      </c>
      <c r="W43" s="39">
        <f t="shared" si="8"/>
        <v>2017</v>
      </c>
      <c r="X43" s="40">
        <f t="shared" si="9"/>
        <v>42766</v>
      </c>
      <c r="Y43" s="40">
        <f t="shared" si="9"/>
        <v>42794</v>
      </c>
      <c r="Z43" s="40">
        <f t="shared" si="9"/>
        <v>42825</v>
      </c>
      <c r="AA43" s="40">
        <f t="shared" si="9"/>
        <v>42855</v>
      </c>
      <c r="AB43" s="40">
        <f t="shared" si="9"/>
        <v>42886</v>
      </c>
      <c r="AC43" s="40">
        <f t="shared" si="9"/>
        <v>42916</v>
      </c>
      <c r="AD43" s="40">
        <f t="shared" si="9"/>
        <v>42947</v>
      </c>
      <c r="AE43" s="40">
        <f t="shared" si="9"/>
        <v>42978</v>
      </c>
      <c r="AF43" s="40">
        <f t="shared" si="9"/>
        <v>43008</v>
      </c>
      <c r="AG43" s="40">
        <f t="shared" si="9"/>
        <v>43039</v>
      </c>
      <c r="AH43" s="40">
        <f t="shared" si="9"/>
        <v>43069</v>
      </c>
      <c r="AI43" s="40">
        <f t="shared" si="9"/>
        <v>43100</v>
      </c>
      <c r="AK43" s="39">
        <f t="shared" si="10"/>
        <v>2017</v>
      </c>
      <c r="AL43" s="40" t="str">
        <f t="shared" si="11"/>
        <v/>
      </c>
      <c r="AM43" s="40" t="str">
        <f t="shared" si="11"/>
        <v/>
      </c>
      <c r="AN43" s="40" t="str">
        <f t="shared" si="11"/>
        <v/>
      </c>
      <c r="AO43" s="40" t="str">
        <f t="shared" si="11"/>
        <v/>
      </c>
      <c r="AP43" s="40" t="str">
        <f t="shared" si="11"/>
        <v/>
      </c>
      <c r="AQ43" s="40" t="str">
        <f t="shared" si="11"/>
        <v/>
      </c>
      <c r="AR43" s="40" t="str">
        <f t="shared" si="11"/>
        <v/>
      </c>
      <c r="AS43" s="40" t="str">
        <f t="shared" si="11"/>
        <v/>
      </c>
      <c r="AT43" s="40" t="str">
        <f t="shared" si="11"/>
        <v/>
      </c>
      <c r="AU43" s="40" t="str">
        <f t="shared" si="11"/>
        <v/>
      </c>
      <c r="AV43" s="40" t="str">
        <f t="shared" si="11"/>
        <v/>
      </c>
      <c r="AW43" s="40" t="str">
        <f t="shared" si="11"/>
        <v/>
      </c>
    </row>
    <row r="44" spans="2:49" ht="12" customHeight="1">
      <c r="B44" s="17"/>
      <c r="C44" s="28"/>
      <c r="E44" s="45" t="s">
        <v>136</v>
      </c>
      <c r="F44" s="142"/>
      <c r="G44" s="142"/>
      <c r="H44" s="143"/>
      <c r="I44" s="57">
        <v>2018</v>
      </c>
      <c r="J44" s="58">
        <v>0.3</v>
      </c>
      <c r="K44" s="58">
        <v>0.3</v>
      </c>
      <c r="L44" s="58">
        <v>0.2</v>
      </c>
      <c r="M44" s="58">
        <v>0.3</v>
      </c>
      <c r="N44" s="58">
        <v>0.3</v>
      </c>
      <c r="O44" s="58">
        <v>0.5</v>
      </c>
      <c r="P44" s="58">
        <v>0.5</v>
      </c>
      <c r="Q44" s="58">
        <v>0.7</v>
      </c>
      <c r="R44" s="58">
        <v>1</v>
      </c>
      <c r="S44" s="58">
        <v>1</v>
      </c>
      <c r="T44" s="58">
        <v>1.1000000000000001</v>
      </c>
      <c r="U44" s="58">
        <v>1.1000000000000001</v>
      </c>
      <c r="W44" s="39">
        <f t="shared" si="8"/>
        <v>2018</v>
      </c>
      <c r="X44" s="40">
        <f t="shared" si="9"/>
        <v>43131</v>
      </c>
      <c r="Y44" s="40">
        <f t="shared" si="9"/>
        <v>43159</v>
      </c>
      <c r="Z44" s="40">
        <f t="shared" si="9"/>
        <v>43190</v>
      </c>
      <c r="AA44" s="40">
        <f t="shared" si="9"/>
        <v>43220</v>
      </c>
      <c r="AB44" s="40">
        <f t="shared" si="9"/>
        <v>43251</v>
      </c>
      <c r="AC44" s="40">
        <f t="shared" si="9"/>
        <v>43281</v>
      </c>
      <c r="AD44" s="40">
        <f t="shared" si="9"/>
        <v>43312</v>
      </c>
      <c r="AE44" s="40">
        <f t="shared" si="9"/>
        <v>43343</v>
      </c>
      <c r="AF44" s="40">
        <f t="shared" si="9"/>
        <v>43373</v>
      </c>
      <c r="AG44" s="40">
        <f t="shared" si="9"/>
        <v>43404</v>
      </c>
      <c r="AH44" s="40">
        <f t="shared" si="9"/>
        <v>43434</v>
      </c>
      <c r="AI44" s="40">
        <f t="shared" si="9"/>
        <v>43465</v>
      </c>
      <c r="AK44" s="39">
        <f t="shared" si="10"/>
        <v>2018</v>
      </c>
      <c r="AL44" s="40" t="str">
        <f t="shared" si="11"/>
        <v/>
      </c>
      <c r="AM44" s="40" t="str">
        <f t="shared" si="11"/>
        <v/>
      </c>
      <c r="AN44" s="40" t="str">
        <f t="shared" si="11"/>
        <v/>
      </c>
      <c r="AO44" s="40" t="str">
        <f t="shared" si="11"/>
        <v/>
      </c>
      <c r="AP44" s="40" t="str">
        <f t="shared" si="11"/>
        <v/>
      </c>
      <c r="AQ44" s="40" t="str">
        <f t="shared" si="11"/>
        <v/>
      </c>
      <c r="AR44" s="40" t="str">
        <f t="shared" si="11"/>
        <v/>
      </c>
      <c r="AS44" s="40" t="str">
        <f t="shared" si="11"/>
        <v/>
      </c>
      <c r="AT44" s="40" t="str">
        <f t="shared" si="11"/>
        <v/>
      </c>
      <c r="AU44" s="40" t="str">
        <f t="shared" si="11"/>
        <v/>
      </c>
      <c r="AV44" s="40" t="str">
        <f t="shared" si="11"/>
        <v/>
      </c>
      <c r="AW44" s="40" t="str">
        <f t="shared" si="11"/>
        <v/>
      </c>
    </row>
    <row r="45" spans="2:49" ht="12" customHeight="1">
      <c r="B45" s="17"/>
      <c r="C45" s="28"/>
      <c r="E45" s="45" t="s">
        <v>136</v>
      </c>
      <c r="F45" s="142"/>
      <c r="G45" s="142"/>
      <c r="H45" s="143"/>
      <c r="I45" s="57">
        <v>2019</v>
      </c>
      <c r="J45" s="58">
        <v>1.2</v>
      </c>
      <c r="K45" s="58">
        <v>1.3</v>
      </c>
      <c r="L45" s="58">
        <v>1.3</v>
      </c>
      <c r="M45" s="58">
        <v>1.2</v>
      </c>
      <c r="N45" s="58">
        <v>1.2</v>
      </c>
      <c r="O45" s="58">
        <v>1</v>
      </c>
      <c r="P45" s="58">
        <v>1</v>
      </c>
      <c r="Q45" s="58">
        <v>0.8</v>
      </c>
      <c r="R45" s="58">
        <v>0.8</v>
      </c>
      <c r="S45" s="58">
        <v>0.9</v>
      </c>
      <c r="T45" s="58">
        <v>0.8</v>
      </c>
      <c r="U45" s="58">
        <v>0.8</v>
      </c>
      <c r="W45" s="39">
        <f t="shared" si="8"/>
        <v>2019</v>
      </c>
      <c r="X45" s="40">
        <f t="shared" si="9"/>
        <v>43496</v>
      </c>
      <c r="Y45" s="40">
        <f t="shared" si="9"/>
        <v>43524</v>
      </c>
      <c r="Z45" s="40">
        <f t="shared" si="9"/>
        <v>43555</v>
      </c>
      <c r="AA45" s="40">
        <f t="shared" si="9"/>
        <v>43585</v>
      </c>
      <c r="AB45" s="40">
        <f t="shared" si="9"/>
        <v>43616</v>
      </c>
      <c r="AC45" s="40">
        <f t="shared" si="9"/>
        <v>43646</v>
      </c>
      <c r="AD45" s="40">
        <f t="shared" si="9"/>
        <v>43677</v>
      </c>
      <c r="AE45" s="40">
        <f t="shared" si="9"/>
        <v>43708</v>
      </c>
      <c r="AF45" s="40">
        <f t="shared" si="9"/>
        <v>43738</v>
      </c>
      <c r="AG45" s="40">
        <f t="shared" si="9"/>
        <v>43769</v>
      </c>
      <c r="AH45" s="40">
        <f t="shared" si="9"/>
        <v>43799</v>
      </c>
      <c r="AI45" s="40">
        <f t="shared" si="9"/>
        <v>43830</v>
      </c>
      <c r="AK45" s="39">
        <f t="shared" si="10"/>
        <v>2019</v>
      </c>
      <c r="AL45" s="40" t="str">
        <f t="shared" si="11"/>
        <v/>
      </c>
      <c r="AM45" s="40" t="str">
        <f t="shared" si="11"/>
        <v/>
      </c>
      <c r="AN45" s="40" t="str">
        <f t="shared" si="11"/>
        <v/>
      </c>
      <c r="AO45" s="40" t="str">
        <f t="shared" si="11"/>
        <v/>
      </c>
      <c r="AP45" s="40" t="str">
        <f t="shared" si="11"/>
        <v/>
      </c>
      <c r="AQ45" s="40" t="str">
        <f t="shared" si="11"/>
        <v/>
      </c>
      <c r="AR45" s="40" t="str">
        <f t="shared" si="11"/>
        <v/>
      </c>
      <c r="AS45" s="40" t="str">
        <f t="shared" si="11"/>
        <v/>
      </c>
      <c r="AT45" s="40" t="str">
        <f t="shared" si="11"/>
        <v/>
      </c>
      <c r="AU45" s="40" t="str">
        <f t="shared" si="11"/>
        <v/>
      </c>
      <c r="AV45" s="40" t="str">
        <f t="shared" si="11"/>
        <v/>
      </c>
      <c r="AW45" s="40" t="str">
        <f t="shared" si="11"/>
        <v/>
      </c>
    </row>
    <row r="46" spans="2:49" ht="12" customHeight="1">
      <c r="B46" s="17"/>
      <c r="C46" s="28"/>
      <c r="E46" s="45" t="s">
        <v>136</v>
      </c>
      <c r="F46" s="142"/>
      <c r="G46" s="142"/>
      <c r="H46" s="143"/>
      <c r="I46" s="57">
        <v>2020</v>
      </c>
      <c r="J46" s="58">
        <v>1.2</v>
      </c>
      <c r="K46" s="58">
        <v>1.1000000000000001</v>
      </c>
      <c r="L46" s="58">
        <v>1.1000000000000001</v>
      </c>
      <c r="M46" s="58">
        <v>1</v>
      </c>
      <c r="N46" s="58">
        <v>1</v>
      </c>
      <c r="O46" s="58">
        <v>1</v>
      </c>
      <c r="P46" s="58">
        <v>0.9</v>
      </c>
      <c r="Q46" s="58">
        <v>0.9</v>
      </c>
      <c r="R46" s="58">
        <v>0.7</v>
      </c>
      <c r="S46" s="58">
        <v>0.6</v>
      </c>
      <c r="T46" s="58">
        <v>0.6</v>
      </c>
      <c r="U46" s="58">
        <v>0.6</v>
      </c>
      <c r="W46" s="39">
        <f>W47-1</f>
        <v>2020</v>
      </c>
      <c r="X46" s="40">
        <f t="shared" si="9"/>
        <v>43861</v>
      </c>
      <c r="Y46" s="40">
        <f t="shared" si="9"/>
        <v>43890</v>
      </c>
      <c r="Z46" s="40">
        <f t="shared" si="9"/>
        <v>43921</v>
      </c>
      <c r="AA46" s="40">
        <f t="shared" si="9"/>
        <v>43951</v>
      </c>
      <c r="AB46" s="40">
        <f t="shared" si="9"/>
        <v>43982</v>
      </c>
      <c r="AC46" s="40">
        <f t="shared" si="9"/>
        <v>44012</v>
      </c>
      <c r="AD46" s="40">
        <f t="shared" si="9"/>
        <v>44043</v>
      </c>
      <c r="AE46" s="40">
        <f t="shared" si="9"/>
        <v>44074</v>
      </c>
      <c r="AF46" s="40">
        <f t="shared" si="9"/>
        <v>44104</v>
      </c>
      <c r="AG46" s="40">
        <f t="shared" si="9"/>
        <v>44135</v>
      </c>
      <c r="AH46" s="40">
        <f t="shared" si="9"/>
        <v>44165</v>
      </c>
      <c r="AI46" s="40">
        <f t="shared" si="9"/>
        <v>44196</v>
      </c>
      <c r="AK46" s="39">
        <f>AK47-1</f>
        <v>2020</v>
      </c>
      <c r="AL46" s="40" t="str">
        <f t="shared" si="11"/>
        <v/>
      </c>
      <c r="AM46" s="40" t="str">
        <f t="shared" si="11"/>
        <v/>
      </c>
      <c r="AN46" s="40" t="str">
        <f t="shared" si="11"/>
        <v/>
      </c>
      <c r="AO46" s="40" t="str">
        <f t="shared" si="11"/>
        <v/>
      </c>
      <c r="AP46" s="40" t="str">
        <f t="shared" si="11"/>
        <v/>
      </c>
      <c r="AQ46" s="40" t="str">
        <f t="shared" si="11"/>
        <v/>
      </c>
      <c r="AR46" s="40" t="str">
        <f t="shared" si="11"/>
        <v/>
      </c>
      <c r="AS46" s="40" t="str">
        <f t="shared" si="11"/>
        <v/>
      </c>
      <c r="AT46" s="40" t="str">
        <f t="shared" si="11"/>
        <v/>
      </c>
      <c r="AU46" s="40" t="str">
        <f t="shared" si="11"/>
        <v/>
      </c>
      <c r="AV46" s="40" t="str">
        <f t="shared" si="11"/>
        <v/>
      </c>
      <c r="AW46" s="40" t="str">
        <f t="shared" si="11"/>
        <v/>
      </c>
    </row>
    <row r="47" spans="2:49" ht="12" customHeight="1">
      <c r="B47" s="17"/>
      <c r="C47" s="28"/>
      <c r="E47" s="45" t="s">
        <v>136</v>
      </c>
      <c r="F47" s="142"/>
      <c r="G47" s="142"/>
      <c r="H47" s="143"/>
      <c r="I47" s="50">
        <v>2021</v>
      </c>
      <c r="J47" s="58">
        <v>-0.2</v>
      </c>
      <c r="K47" s="58">
        <v>-0.2</v>
      </c>
      <c r="L47" s="58">
        <v>-0.2</v>
      </c>
      <c r="M47" s="58">
        <v>-0.4</v>
      </c>
      <c r="N47" s="58">
        <v>-0.3</v>
      </c>
      <c r="O47" s="58">
        <v>-0.3</v>
      </c>
      <c r="P47" s="58" t="s">
        <v>225</v>
      </c>
      <c r="Q47" s="58" t="s">
        <v>225</v>
      </c>
      <c r="R47" s="58" t="s">
        <v>225</v>
      </c>
      <c r="S47" s="58" t="s">
        <v>225</v>
      </c>
      <c r="T47" s="58" t="s">
        <v>225</v>
      </c>
      <c r="U47" s="58" t="s">
        <v>225</v>
      </c>
      <c r="W47" s="41">
        <f>YEAR($C$4)</f>
        <v>2021</v>
      </c>
      <c r="X47" s="40">
        <f t="shared" si="9"/>
        <v>44227</v>
      </c>
      <c r="Y47" s="40">
        <f t="shared" si="9"/>
        <v>44255</v>
      </c>
      <c r="Z47" s="40">
        <f t="shared" si="9"/>
        <v>44286</v>
      </c>
      <c r="AA47" s="40">
        <f t="shared" si="9"/>
        <v>44316</v>
      </c>
      <c r="AB47" s="40">
        <f t="shared" si="9"/>
        <v>44347</v>
      </c>
      <c r="AC47" s="40">
        <f t="shared" si="9"/>
        <v>44377</v>
      </c>
      <c r="AD47" s="40" t="str">
        <f t="shared" si="9"/>
        <v/>
      </c>
      <c r="AE47" s="40" t="str">
        <f t="shared" si="9"/>
        <v/>
      </c>
      <c r="AF47" s="40" t="str">
        <f t="shared" si="9"/>
        <v/>
      </c>
      <c r="AG47" s="40" t="str">
        <f t="shared" si="9"/>
        <v/>
      </c>
      <c r="AH47" s="40" t="str">
        <f t="shared" si="9"/>
        <v/>
      </c>
      <c r="AI47" s="40" t="str">
        <f t="shared" si="9"/>
        <v/>
      </c>
      <c r="AK47" s="41">
        <f>YEAR($C$4)</f>
        <v>2021</v>
      </c>
      <c r="AL47" s="40" t="str">
        <f t="shared" si="11"/>
        <v/>
      </c>
      <c r="AM47" s="40" t="str">
        <f t="shared" si="11"/>
        <v/>
      </c>
      <c r="AN47" s="40" t="str">
        <f t="shared" si="11"/>
        <v/>
      </c>
      <c r="AO47" s="40" t="str">
        <f t="shared" si="11"/>
        <v/>
      </c>
      <c r="AP47" s="40" t="str">
        <f t="shared" si="11"/>
        <v/>
      </c>
      <c r="AQ47" s="40" t="str">
        <f t="shared" si="11"/>
        <v>MAX</v>
      </c>
      <c r="AR47" s="40" t="str">
        <f t="shared" si="11"/>
        <v/>
      </c>
      <c r="AS47" s="40" t="str">
        <f t="shared" si="11"/>
        <v/>
      </c>
      <c r="AT47" s="40" t="str">
        <f t="shared" si="11"/>
        <v/>
      </c>
      <c r="AU47" s="40" t="str">
        <f t="shared" si="11"/>
        <v/>
      </c>
      <c r="AV47" s="40" t="str">
        <f t="shared" si="11"/>
        <v/>
      </c>
      <c r="AW47" s="40" t="str">
        <f t="shared" si="11"/>
        <v/>
      </c>
    </row>
    <row r="48" spans="2:49" ht="12" customHeight="1">
      <c r="B48" s="17"/>
      <c r="C48" s="28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2:21" ht="12" customHeight="1">
      <c r="B49" s="17"/>
      <c r="C49" s="28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2:21" ht="12" customHeight="1">
      <c r="B50" s="17"/>
      <c r="C50" s="28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2:21" ht="12" customHeight="1">
      <c r="B51" s="17"/>
      <c r="C51" s="28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</row>
    <row r="52" spans="2:21" ht="12" customHeight="1">
      <c r="B52" s="17"/>
      <c r="C52" s="28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</row>
    <row r="53" spans="2:21" ht="12" customHeight="1">
      <c r="B53" s="17"/>
      <c r="C53" s="28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</row>
    <row r="54" spans="2:21" ht="12" customHeight="1">
      <c r="B54" s="17"/>
      <c r="C54" s="28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2:21" ht="12" customHeight="1">
      <c r="B55" s="17"/>
      <c r="C55" s="28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2:21" ht="12" customHeight="1">
      <c r="B56" s="17"/>
      <c r="C56" s="28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2:21" ht="12" customHeight="1">
      <c r="B57" s="17"/>
      <c r="C57" s="28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2:21" ht="12" customHeight="1">
      <c r="B58" s="17"/>
      <c r="C58" s="28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2:21" ht="12" customHeight="1">
      <c r="B59" s="17"/>
      <c r="C59" s="28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2:21" ht="12" customHeight="1">
      <c r="B60" s="17"/>
      <c r="C60" s="28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</row>
    <row r="61" spans="2:21" ht="12" customHeight="1">
      <c r="B61" s="17"/>
      <c r="C61" s="28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</row>
    <row r="62" spans="2:21" ht="12" customHeight="1">
      <c r="B62" s="17"/>
      <c r="C62" s="28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</row>
    <row r="63" spans="2:21" ht="12" customHeight="1">
      <c r="B63" s="17"/>
      <c r="C63" s="28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2:21" ht="12" customHeight="1">
      <c r="B64" s="17"/>
      <c r="C64" s="28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2:21" ht="12" customHeight="1">
      <c r="B65" s="17"/>
      <c r="C65" s="28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2:21" ht="12" customHeight="1">
      <c r="B66" s="17"/>
      <c r="C66" s="28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2:21" ht="12" customHeight="1">
      <c r="B67" s="17"/>
      <c r="C67" s="28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2:21" ht="12" customHeight="1">
      <c r="B68" s="17"/>
      <c r="C68" s="28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2:21" ht="12" customHeight="1">
      <c r="B69" s="17"/>
      <c r="C69" s="28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2:21" ht="12" customHeight="1" thickBot="1">
      <c r="B70" s="11"/>
      <c r="C70" s="30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2:21" hidden="1"/>
    <row r="72" spans="2:21" hidden="1"/>
    <row r="73" spans="2:21" hidden="1"/>
  </sheetData>
  <mergeCells count="9">
    <mergeCell ref="F37:F47"/>
    <mergeCell ref="G37:G47"/>
    <mergeCell ref="H37:H47"/>
    <mergeCell ref="F11:F21"/>
    <mergeCell ref="G11:G21"/>
    <mergeCell ref="H11:H21"/>
    <mergeCell ref="F24:F34"/>
    <mergeCell ref="G24:G34"/>
    <mergeCell ref="H24:H34"/>
  </mergeCells>
  <phoneticPr fontId="4" type="noConversion"/>
  <conditionalFormatting sqref="F9">
    <cfRule type="cellIs" dxfId="33" priority="13" operator="equal">
      <formula>FALSE</formula>
    </cfRule>
    <cfRule type="cellIs" dxfId="32" priority="14" operator="equal">
      <formula>TRUE</formula>
    </cfRule>
  </conditionalFormatting>
  <conditionalFormatting sqref="F22">
    <cfRule type="cellIs" dxfId="31" priority="11" operator="equal">
      <formula>FALSE</formula>
    </cfRule>
    <cfRule type="cellIs" dxfId="30" priority="12" operator="equal">
      <formula>TRUE</formula>
    </cfRule>
  </conditionalFormatting>
  <conditionalFormatting sqref="F35">
    <cfRule type="cellIs" dxfId="29" priority="9" operator="equal">
      <formula>FALSE</formula>
    </cfRule>
    <cfRule type="cellIs" dxfId="28" priority="10" operator="equal">
      <formula>TRUE</formula>
    </cfRule>
  </conditionalFormatting>
  <conditionalFormatting sqref="J37:U47">
    <cfRule type="expression" dxfId="27" priority="7">
      <formula>AL37="MAX"</formula>
    </cfRule>
    <cfRule type="expression" dxfId="26" priority="8">
      <formula>AL37="MIN"</formula>
    </cfRule>
  </conditionalFormatting>
  <conditionalFormatting sqref="J11:U21">
    <cfRule type="expression" dxfId="25" priority="3">
      <formula>AL11="MAX"</formula>
    </cfRule>
    <cfRule type="expression" dxfId="24" priority="4">
      <formula>AL11="MIN"</formula>
    </cfRule>
  </conditionalFormatting>
  <conditionalFormatting sqref="J24:U34">
    <cfRule type="expression" dxfId="23" priority="1">
      <formula>AL24="MAX"</formula>
    </cfRule>
    <cfRule type="expression" dxfId="22" priority="2">
      <formula>AL24="MIN"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41</vt:i4>
      </vt:variant>
    </vt:vector>
  </HeadingPairs>
  <TitlesOfParts>
    <vt:vector size="41" baseType="lpstr">
      <vt:lpstr>Raw Data</vt:lpstr>
      <vt:lpstr>6월근거자료</vt:lpstr>
      <vt:lpstr>조회판</vt:lpstr>
      <vt:lpstr>2024.07</vt:lpstr>
      <vt:lpstr>2024.06(O)</vt:lpstr>
      <vt:lpstr>2024.05(O)</vt:lpstr>
      <vt:lpstr>2024.04(O)</vt:lpstr>
      <vt:lpstr>2024.03(O)</vt:lpstr>
      <vt:lpstr>2024.02(O)</vt:lpstr>
      <vt:lpstr>2024.01(O)</vt:lpstr>
      <vt:lpstr>2023.12(O)</vt:lpstr>
      <vt:lpstr>2023.11(O)</vt:lpstr>
      <vt:lpstr>2023.10(X)</vt:lpstr>
      <vt:lpstr>2023.09(O)_1개월 전 지표까지</vt:lpstr>
      <vt:lpstr>2023.09(X)</vt:lpstr>
      <vt:lpstr>2023.08(O)</vt:lpstr>
      <vt:lpstr>2023.07(O)</vt:lpstr>
      <vt:lpstr>2023.06(O)</vt:lpstr>
      <vt:lpstr>2023.05(O)</vt:lpstr>
      <vt:lpstr>2023.04(O)</vt:lpstr>
      <vt:lpstr>2023.03(O)</vt:lpstr>
      <vt:lpstr>2023.02(O)</vt:lpstr>
      <vt:lpstr>2023.01(O)</vt:lpstr>
      <vt:lpstr>2022.12(O)</vt:lpstr>
      <vt:lpstr>2022.11(O)</vt:lpstr>
      <vt:lpstr>2022.10(O)</vt:lpstr>
      <vt:lpstr>2022.09(O)</vt:lpstr>
      <vt:lpstr>2022.08(O)</vt:lpstr>
      <vt:lpstr>2022.07(O)</vt:lpstr>
      <vt:lpstr>2022.06(O)</vt:lpstr>
      <vt:lpstr>2022.05(O)</vt:lpstr>
      <vt:lpstr>2022.04(O)</vt:lpstr>
      <vt:lpstr>2022.03(O)</vt:lpstr>
      <vt:lpstr>2022.02(O)</vt:lpstr>
      <vt:lpstr>2022.01(O)</vt:lpstr>
      <vt:lpstr>2021.12(O)</vt:lpstr>
      <vt:lpstr>2021.11(O)</vt:lpstr>
      <vt:lpstr>2021.10(O)</vt:lpstr>
      <vt:lpstr>2021.09(O)</vt:lpstr>
      <vt:lpstr>2021.08(O)</vt:lpstr>
      <vt:lpstr>2021.07(O)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다.정병열</dc:creator>
  <cp:lastModifiedBy>다.오수현</cp:lastModifiedBy>
  <dcterms:created xsi:type="dcterms:W3CDTF">2015-06-05T18:19:34Z</dcterms:created>
  <dcterms:modified xsi:type="dcterms:W3CDTF">2024-08-28T06:35:45Z</dcterms:modified>
</cp:coreProperties>
</file>